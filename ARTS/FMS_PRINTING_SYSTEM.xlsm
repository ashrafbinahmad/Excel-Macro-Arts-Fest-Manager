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docs.live.net/79c2bead5a87975f/Documents/MDIA FEST 2023/ARTS/"/>
    </mc:Choice>
  </mc:AlternateContent>
  <xr:revisionPtr revIDLastSave="49234" documentId="13_ncr:1_{DC9C586D-C5E7-4D49-BB55-AF6349A01885}" xr6:coauthVersionLast="47" xr6:coauthVersionMax="47" xr10:uidLastSave="{5FC4784E-B21D-4AAE-9105-B9DA336B7355}"/>
  <bookViews>
    <workbookView xWindow="-98" yWindow="-98" windowWidth="24196" windowHeight="14476" tabRatio="840" activeTab="3" xr2:uid="{49E0BFD9-7B5E-4406-9201-4DC154943EF9}"/>
  </bookViews>
  <sheets>
    <sheet name="fetcher" sheetId="2" r:id="rId1"/>
    <sheet name="TICKLIST" sheetId="1" r:id="rId2"/>
    <sheet name="TEAM CANDs (4t 4s)" sheetId="3" r:id="rId3"/>
    <sheet name="JUDGEMENT SHEET (4t)" sheetId="5" r:id="rId4"/>
    <sheet name="Judge. SHEET PRINT STATUS (R)" sheetId="8" r:id="rId5"/>
    <sheet name="Grp Pr. TICKLIST (M)" sheetId="9" r:id="rId6"/>
    <sheet name="Pr. CANDIDATES" sheetId="10" r:id="rId7"/>
    <sheet name="Cn PROGRAMS" sheetId="11" r:id="rId8"/>
  </sheets>
  <functionGroups builtInGroupCount="19"/>
  <externalReferences>
    <externalReference r:id="rId9"/>
  </externalReferences>
  <definedNames>
    <definedName name="_xlpm.in" hidden="1" xlm="1">#NAME?</definedName>
    <definedName name="_xlpm.rep" hidden="1" xlm="1">#NAME?</definedName>
    <definedName name="_xlpm.s" hidden="1" xlm="1">#NAME?</definedName>
    <definedName name="_xlpm.trimmed" hidden="1" xlm="1">#NAME?</definedName>
    <definedName name="ExternalData_1" localSheetId="4" hidden="1">'Judge. SHEET PRINT STATUS (R)'!$A$2:$U$209</definedName>
    <definedName name="f_all_program_candidates">fetcher!$BK$2:$NE$506</definedName>
    <definedName name="f_detailsof_candi_chests_and_names">fetcher!$AO$3:$AP$502</definedName>
    <definedName name="f_detailsof_candidates">fetcher!$AO$3:$AX$502</definedName>
    <definedName name="f_detailsof_programs">fetcher!$AZ$3:$BI$502</definedName>
    <definedName name="f_detailsof_teams">fetcher!$E$3:$AM$62</definedName>
    <definedName name="f_lisof_teams_codes">fetcher!$E$3:$E$62</definedName>
    <definedName name="f_listof_candidate_classes">fetcher!$AS$3:$AS$502</definedName>
    <definedName name="f_listof_candidate_names">fetcher!$AP$3:$AP$502</definedName>
    <definedName name="f_listof_candidate_program_code">fetcher!$BL$4:$NE$4</definedName>
    <definedName name="f_listof_candidate_sections">fetcher!$AR$3:$AR$502</definedName>
    <definedName name="f_listof_candidate_teams">fetcher!$AQ$3:$AQ$502</definedName>
    <definedName name="f_listof_chest_nos">fetcher!$AO$3:$AO$502</definedName>
    <definedName name="f_listof_program_candi_count">fetcher!$BE$3:$BE$502</definedName>
    <definedName name="f_listof_program_candidate_number_in_team">fetcher!$BL$4:$NE$4</definedName>
    <definedName name="f_listof_program_candidate_teams">fetcher!$BL$3:$NE$3</definedName>
    <definedName name="f_listof_program_candidates">fetcher!$BL$7:$NE$506</definedName>
    <definedName name="f_listof_program_codes">fetcher!$AZ$3:$AZ$502</definedName>
    <definedName name="f_listof_program_names">fetcher!$BA$3:$BA$502</definedName>
    <definedName name="f_listof_program_sections">fetcher!$BB$3:$BB$502</definedName>
    <definedName name="f_listof_program_single_or_group">fetcher!$BC$3:$BC$502</definedName>
    <definedName name="f_listof_sections">fetcher!$C$3:$C$12</definedName>
    <definedName name="f_listof_stage_or_non_stg">fetcher!$BD$3:$BD$502</definedName>
    <definedName name="f_listof_teams_names">fetcher!$F$3:$F$62</definedName>
    <definedName name="f_str_festname">fetcher!$A$3</definedName>
    <definedName name="_xlnm.Print_Area" localSheetId="5">'Grp Pr. TICKLIST (M)'!$A$1:$K$26</definedName>
    <definedName name="_xlnm.Print_Area" localSheetId="3">'JUDGEMENT SHEET (4t)'!$C$1:$X$35</definedName>
    <definedName name="_xlnm.Print_Area" localSheetId="6">'Pr. CANDIDATES'!$A:$H</definedName>
    <definedName name="slct_team">'Pr. CANDIDATES'!$L$2</definedName>
    <definedName name="Slicer_Date">#N/A</definedName>
    <definedName name="Slicer_Section">#N/A</definedName>
    <definedName name="Slicer_Single_Group">#N/A</definedName>
    <definedName name="Slicer_Stage_Non_stage">#N/A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4:slicerCache r:id="rId13"/>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31" i="5" l="1"/>
  <c r="E31" i="5"/>
  <c r="E32" i="5"/>
  <c r="C31" i="5"/>
  <c r="Q31" i="5"/>
  <c r="A2" i="9"/>
  <c r="S33" i="5" l="1"/>
  <c r="G33" i="5"/>
  <c r="A3" i="2" l="1" a="1"/>
  <c r="A3" i="2" s="1"/>
  <c r="Q30" i="5"/>
  <c r="S1" i="5" l="1"/>
  <c r="A1" i="9"/>
  <c r="Q20" i="5"/>
  <c r="Q19" i="5"/>
  <c r="Q18" i="5"/>
  <c r="Q17" i="5"/>
  <c r="Q16" i="5"/>
  <c r="Q15" i="5"/>
  <c r="Q14" i="5"/>
  <c r="Q13" i="5"/>
  <c r="Q12" i="5"/>
  <c r="Q11" i="5"/>
  <c r="Q10" i="5"/>
  <c r="I9" i="5"/>
  <c r="Q9" i="5"/>
  <c r="I8" i="5"/>
  <c r="Q8" i="5"/>
  <c r="I7" i="5"/>
  <c r="Q7" i="5"/>
  <c r="I10" i="5"/>
  <c r="S4" i="5"/>
  <c r="BK1" i="2" l="1"/>
  <c r="E2" i="1" l="1"/>
  <c r="G1" i="5"/>
  <c r="C3" i="2" a="1"/>
  <c r="AI4" i="3" l="1"/>
  <c r="AD4" i="3"/>
  <c r="AW4" i="3"/>
  <c r="BU4" i="3"/>
  <c r="BP4" i="3"/>
  <c r="AR4" i="3"/>
  <c r="BB4" i="3"/>
  <c r="BK4" i="3"/>
  <c r="Y4" i="3"/>
  <c r="C3" i="2"/>
  <c r="P4" i="3"/>
  <c r="K4" i="3"/>
  <c r="F4" i="3"/>
  <c r="T4" i="3" l="1"/>
  <c r="AM4" i="3"/>
  <c r="BF4" i="3"/>
  <c r="A4" i="3"/>
  <c r="C32" i="5" l="1"/>
  <c r="P31" i="5" l="1"/>
  <c r="C28" i="5" l="1"/>
  <c r="C30" i="5"/>
  <c r="C27" i="5"/>
  <c r="C29" i="5"/>
  <c r="C26" i="5"/>
  <c r="C25" i="5"/>
  <c r="C22" i="5"/>
  <c r="C23" i="5"/>
  <c r="C24" i="5"/>
  <c r="C19" i="5"/>
  <c r="C20" i="5"/>
  <c r="C21" i="5"/>
  <c r="E21" i="5" l="1"/>
  <c r="H25" i="5"/>
  <c r="E20" i="5"/>
  <c r="H24" i="5"/>
  <c r="E22" i="5"/>
  <c r="H26" i="5"/>
  <c r="H22" i="5" l="1"/>
  <c r="H20" i="5"/>
  <c r="H21" i="5"/>
  <c r="E25" i="5"/>
  <c r="H29" i="5"/>
  <c r="E26" i="5"/>
  <c r="H30" i="5"/>
  <c r="E24" i="5"/>
  <c r="H28" i="5"/>
  <c r="E29" i="5" l="1"/>
  <c r="E30" i="5"/>
  <c r="I30" i="5" s="1"/>
  <c r="E28" i="5"/>
  <c r="H19" i="5" l="1"/>
  <c r="E19" i="5" l="1"/>
  <c r="H23" i="5"/>
  <c r="E23" i="5" l="1"/>
  <c r="H27" i="5"/>
  <c r="E27" i="5" l="1"/>
  <c r="AZ3" i="2" l="1" a="1"/>
  <c r="AZ3" i="2" l="1"/>
  <c r="F6" i="1" a="1"/>
  <c r="F6" i="1" s="1"/>
  <c r="B1" i="1" s="1" a="1"/>
  <c r="B1" i="1" s="1"/>
  <c r="F7" i="1" a="1"/>
  <c r="F7" i="1" s="1"/>
  <c r="F8" i="1" a="1"/>
  <c r="F8" i="1" s="1"/>
  <c r="AB4" i="5" l="1"/>
  <c r="B1940" i="10"/>
  <c r="B1052" i="10"/>
  <c r="B177" i="10"/>
  <c r="B2098" i="10"/>
  <c r="B1250" i="10"/>
  <c r="B351" i="10"/>
  <c r="B2526" i="10"/>
  <c r="B1872" i="10"/>
  <c r="B1364" i="10"/>
  <c r="B2074" i="10"/>
  <c r="B2605" i="10"/>
  <c r="B1816" i="10"/>
  <c r="B944" i="10"/>
  <c r="B73" i="10"/>
  <c r="B1998" i="10"/>
  <c r="B1122" i="10"/>
  <c r="B243" i="10"/>
  <c r="B2168" i="10"/>
  <c r="B1312" i="10"/>
  <c r="B420" i="10"/>
  <c r="B2434" i="10"/>
  <c r="B1594" i="10"/>
  <c r="B714" i="10"/>
  <c r="B2590" i="10"/>
  <c r="B1760" i="10"/>
  <c r="B888" i="10"/>
  <c r="B17" i="10"/>
  <c r="B2112" i="10"/>
  <c r="B1260" i="10"/>
  <c r="B364" i="10"/>
  <c r="B1982" i="10"/>
  <c r="B406" i="10"/>
  <c r="B1066" i="10"/>
  <c r="B1650" i="10"/>
  <c r="B742" i="10"/>
  <c r="B874" i="10"/>
  <c r="B1708" i="10"/>
  <c r="B836" i="10"/>
  <c r="B2672" i="10"/>
  <c r="B1010" i="10"/>
  <c r="B139" i="10"/>
  <c r="B2064" i="10"/>
  <c r="B309" i="10"/>
  <c r="B2330" i="10"/>
  <c r="B610" i="10"/>
  <c r="B1664" i="10"/>
  <c r="B780" i="10"/>
  <c r="B2012" i="10"/>
  <c r="B257" i="10"/>
  <c r="B1538" i="10"/>
  <c r="B634" i="10"/>
  <c r="B295" i="10"/>
  <c r="B2540" i="10"/>
  <c r="B1882" i="10"/>
  <c r="B1200" i="10"/>
  <c r="B1486" i="10"/>
  <c r="B2484" i="10"/>
  <c r="B2615" i="10"/>
  <c r="B1136" i="10"/>
  <c r="B2278" i="10"/>
  <c r="B1226" i="10"/>
  <c r="B2448" i="10"/>
  <c r="B1608" i="10"/>
  <c r="B728" i="10"/>
  <c r="B2593" i="10"/>
  <c r="B1774" i="10"/>
  <c r="B902" i="10"/>
  <c r="B31" i="10"/>
  <c r="B1968" i="10"/>
  <c r="B1080" i="10"/>
  <c r="B201" i="10"/>
  <c r="B2234" i="10"/>
  <c r="B1378" i="10"/>
  <c r="B490" i="10"/>
  <c r="B2400" i="10"/>
  <c r="B1552" i="10"/>
  <c r="B672" i="10"/>
  <c r="B2694" i="10"/>
  <c r="B1904" i="10"/>
  <c r="B1024" i="10"/>
  <c r="B153" i="10"/>
  <c r="B1094" i="10"/>
  <c r="B546" i="10"/>
  <c r="B187" i="10"/>
  <c r="B770" i="10"/>
  <c r="B1858" i="10"/>
  <c r="B1434" i="10"/>
  <c r="B215" i="10"/>
  <c r="B2458" i="10"/>
  <c r="B1164" i="10"/>
  <c r="B2206" i="10"/>
  <c r="B1528" i="10"/>
  <c r="B2599" i="10"/>
  <c r="B1988" i="10"/>
  <c r="B2316" i="10"/>
  <c r="B1298" i="10"/>
  <c r="G5" i="5"/>
  <c r="S5" i="5" s="1"/>
  <c r="B822" i="10"/>
  <c r="B2386" i="10"/>
  <c r="B2154" i="10"/>
  <c r="B2344" i="10"/>
  <c r="B1500" i="10"/>
  <c r="B620" i="10"/>
  <c r="B2498" i="10"/>
  <c r="B1674" i="10"/>
  <c r="B794" i="10"/>
  <c r="B2629" i="10"/>
  <c r="B1844" i="10"/>
  <c r="B972" i="10"/>
  <c r="B101" i="10"/>
  <c r="B2126" i="10"/>
  <c r="B1274" i="10"/>
  <c r="B378" i="10"/>
  <c r="B2292" i="10"/>
  <c r="B1448" i="10"/>
  <c r="B556" i="10"/>
  <c r="B2596" i="10"/>
  <c r="B1788" i="10"/>
  <c r="B916" i="10"/>
  <c r="B45" i="10"/>
  <c r="B658" i="10"/>
  <c r="B115" i="10"/>
  <c r="B3" i="10"/>
  <c r="B323" i="10"/>
  <c r="B1830" i="10"/>
  <c r="B2262" i="10"/>
  <c r="B518" i="10"/>
  <c r="B958" i="10"/>
  <c r="B281" i="10"/>
  <c r="B462" i="10"/>
  <c r="B644" i="10"/>
  <c r="B930" i="10"/>
  <c r="B229" i="10"/>
  <c r="B2474" i="10"/>
  <c r="B87" i="10"/>
  <c r="B2272" i="10"/>
  <c r="B1694" i="10"/>
  <c r="B996" i="10"/>
  <c r="B476" i="10"/>
  <c r="B1178" i="10"/>
  <c r="B2248" i="10"/>
  <c r="B1392" i="10"/>
  <c r="B504" i="10"/>
  <c r="B2410" i="10"/>
  <c r="B1566" i="10"/>
  <c r="B686" i="10"/>
  <c r="B2584" i="10"/>
  <c r="B1736" i="10"/>
  <c r="B860" i="10"/>
  <c r="B2566" i="10"/>
  <c r="B2026" i="10"/>
  <c r="B1150" i="10"/>
  <c r="B271" i="10"/>
  <c r="B2196" i="10"/>
  <c r="B1340" i="10"/>
  <c r="B448" i="10"/>
  <c r="B2512" i="10"/>
  <c r="B1684" i="10"/>
  <c r="B808" i="10"/>
  <c r="B2632" i="10"/>
  <c r="B1722" i="10"/>
  <c r="B1406" i="10"/>
  <c r="B1350" i="10"/>
  <c r="B59" i="10"/>
  <c r="B596" i="10"/>
  <c r="B1622" i="10"/>
  <c r="B532" i="10"/>
  <c r="B125" i="10"/>
  <c r="B1514" i="10"/>
  <c r="B2140" i="10"/>
  <c r="B1284" i="10"/>
  <c r="B392" i="10"/>
  <c r="B2306" i="10"/>
  <c r="B1462" i="10"/>
  <c r="B582" i="10"/>
  <c r="B2464" i="10"/>
  <c r="B1636" i="10"/>
  <c r="B756" i="10"/>
  <c r="B2724" i="10"/>
  <c r="B1914" i="10"/>
  <c r="B1038" i="10"/>
  <c r="B163" i="10"/>
  <c r="B2084" i="10"/>
  <c r="B1240" i="10"/>
  <c r="B337" i="10"/>
  <c r="B2420" i="10"/>
  <c r="B1580" i="10"/>
  <c r="B700" i="10"/>
  <c r="B2587" i="10"/>
  <c r="B434" i="10"/>
  <c r="B2358" i="10"/>
  <c r="B982" i="10"/>
  <c r="B2050" i="10"/>
  <c r="B2182" i="10"/>
  <c r="H4" i="5"/>
  <c r="B2040" i="10"/>
  <c r="B2372" i="10"/>
  <c r="B1802" i="10"/>
  <c r="B1108" i="10"/>
  <c r="B1472" i="10"/>
  <c r="B1954" i="10"/>
  <c r="B1746" i="10"/>
  <c r="B1420" i="10"/>
  <c r="B2658" i="10"/>
  <c r="B2220" i="10"/>
  <c r="B846" i="10"/>
  <c r="B1326" i="10"/>
  <c r="BK2" i="2" l="1" a="1"/>
  <c r="BK2" i="2" s="1"/>
  <c r="A1710" i="10" l="1" a="1"/>
  <c r="A1710" i="10" s="1"/>
  <c r="A2066" i="10" a="1"/>
  <c r="A2066" i="10" s="1"/>
  <c r="B520" i="10" a="1"/>
  <c r="B520" i="10" s="1"/>
  <c r="A2236" i="10" a="1"/>
  <c r="A2236" i="10" s="1"/>
  <c r="B2598" i="10" a="1"/>
  <c r="B2598" i="10" s="1"/>
  <c r="E2598" i="10" s="1"/>
  <c r="B450" i="10" a="1"/>
  <c r="B450" i="10" s="1"/>
  <c r="B1026" i="10" a="1"/>
  <c r="B1026" i="10" s="1"/>
  <c r="F19" i="5"/>
  <c r="R19" i="5" s="1"/>
  <c r="P19" i="5" s="1"/>
  <c r="A259" i="10" a="1"/>
  <c r="A259" i="10" s="1"/>
  <c r="B558" i="10" a="1"/>
  <c r="B558" i="10" s="1"/>
  <c r="A1804" i="10" a="1"/>
  <c r="A1804" i="10" s="1"/>
  <c r="B2208" i="10" a="1"/>
  <c r="B2208" i="10" s="1"/>
  <c r="B1596" i="10" a="1"/>
  <c r="B1596" i="10" s="1"/>
  <c r="B103" i="10" a="1"/>
  <c r="B103" i="10" s="1"/>
  <c r="B1366" i="10" a="1"/>
  <c r="B1366" i="10" s="1"/>
  <c r="A2592" i="10" a="1"/>
  <c r="A2592" i="10" s="1"/>
  <c r="B1942" i="10" a="1"/>
  <c r="B1942" i="10" s="1"/>
  <c r="A1366" i="10" a="1"/>
  <c r="A1366" i="10" s="1"/>
  <c r="B1300" i="10" a="1"/>
  <c r="B646" i="10" a="1"/>
  <c r="B646" i="10" s="1"/>
  <c r="A1724" i="10" a="1"/>
  <c r="A1724" i="10" s="1"/>
  <c r="B1832" i="10" a="1"/>
  <c r="B1832" i="10" s="1"/>
  <c r="A1040" i="10" a="1"/>
  <c r="A1040" i="10" s="1"/>
  <c r="B117" i="10" a="1"/>
  <c r="B117" i="10" s="1"/>
  <c r="B838" i="10" a="1"/>
  <c r="B838" i="10" s="1"/>
  <c r="B2601" i="10" a="1"/>
  <c r="B2601" i="10" s="1"/>
  <c r="B904" i="10" a="1"/>
  <c r="B904" i="10" s="1"/>
  <c r="B622" i="10" a="1"/>
  <c r="B622" i="10" s="1"/>
  <c r="B2696" i="10" a="1"/>
  <c r="B2696" i="10" s="1"/>
  <c r="B848" i="10" a="1"/>
  <c r="B848" i="10" s="1"/>
  <c r="B366" i="10" a="1"/>
  <c r="B366" i="10" s="1"/>
  <c r="B1970" i="10" a="1"/>
  <c r="B1970" i="10" s="1"/>
  <c r="A1474" i="10" a="1"/>
  <c r="A1474" i="10" s="1"/>
  <c r="A984" i="10" a="1"/>
  <c r="A984" i="10" s="1"/>
  <c r="A2634" i="10" a="1"/>
  <c r="A2634" i="10" s="1"/>
  <c r="A1054" i="10" a="1"/>
  <c r="A1054" i="10" s="1"/>
  <c r="B2514" i="10" a="1"/>
  <c r="B2514" i="10" s="1"/>
  <c r="B636" i="10" a="1"/>
  <c r="B636" i="10" s="1"/>
  <c r="A1984" i="10" a="1"/>
  <c r="A1984" i="10" s="1"/>
  <c r="B998" i="10" a="1"/>
  <c r="B998" i="10" s="1"/>
  <c r="A1464" i="10" a="1"/>
  <c r="A1464" i="10" s="1"/>
  <c r="A1394" i="10" a="1"/>
  <c r="A1394" i="10" s="1"/>
  <c r="A1874" i="10" a="1"/>
  <c r="A1874" i="10" s="1"/>
  <c r="A492" i="10" a="1"/>
  <c r="A492" i="10" s="1"/>
  <c r="B2346" i="10" a="1"/>
  <c r="B2346" i="10" s="1"/>
  <c r="A660" i="10" a="1"/>
  <c r="A660" i="10" s="1"/>
  <c r="A1990" i="10" a="1"/>
  <c r="A1990" i="10" s="1"/>
  <c r="A165" i="10" a="1"/>
  <c r="A165" i="10" s="1"/>
  <c r="A311" i="10" a="1"/>
  <c r="A311" i="10" s="1"/>
  <c r="A1790" i="10" a="1"/>
  <c r="A1790" i="10" s="1"/>
  <c r="B1804" i="10" a="1"/>
  <c r="B1804" i="10" s="1"/>
  <c r="B1450" i="10" a="1"/>
  <c r="B1450" i="10" s="1"/>
  <c r="A2274" i="10" a="1"/>
  <c r="A2274" i="10" s="1"/>
  <c r="F23" i="5"/>
  <c r="R23" i="5" s="1"/>
  <c r="P23" i="5" s="1"/>
  <c r="A688" i="10" a="1"/>
  <c r="A688" i="10" s="1"/>
  <c r="B1314" i="10" a="1"/>
  <c r="B1314" i="10" s="1"/>
  <c r="A231" i="10" a="1"/>
  <c r="A231" i="10" s="1"/>
  <c r="A2170" i="10" a="1"/>
  <c r="A2170" i="10" s="1"/>
  <c r="A2114" i="10" a="1"/>
  <c r="A2114" i="10" s="1"/>
  <c r="B890" i="10" a="1"/>
  <c r="B890" i="10" s="1"/>
  <c r="F25" i="5"/>
  <c r="R25" i="5" s="1"/>
  <c r="P25" i="5" s="1"/>
  <c r="A1516" i="10" a="1"/>
  <c r="A1516" i="10" s="1"/>
  <c r="B1180" i="10" a="1"/>
  <c r="B1180" i="10" s="1"/>
  <c r="A1906" i="10" a="1"/>
  <c r="A1906" i="10" s="1"/>
  <c r="B716" i="10" a="1"/>
  <c r="B716" i="10" s="1"/>
  <c r="B297" i="10" a="1"/>
  <c r="B297" i="10" s="1"/>
  <c r="B1916" i="10" a="1"/>
  <c r="B1916" i="10" s="1"/>
  <c r="A75" i="10" a="1"/>
  <c r="A75" i="10" s="1"/>
  <c r="A1166" i="10" a="1"/>
  <c r="A1166" i="10" s="1"/>
  <c r="B1710" i="10" a="1"/>
  <c r="B1710" i="10" s="1"/>
  <c r="B283" i="10" a="1"/>
  <c r="B283" i="10" s="1"/>
  <c r="B2634" i="10" a="1"/>
  <c r="B2634" i="10" s="1"/>
  <c r="A1762" i="10" a="1"/>
  <c r="A1762" i="10" s="1"/>
  <c r="B2042" i="10" a="1"/>
  <c r="B2042" i="10" s="1"/>
  <c r="A1262" i="10" a="1"/>
  <c r="A1262" i="10" s="1"/>
  <c r="B2294" i="10" a="1"/>
  <c r="B2294" i="10" s="1"/>
  <c r="A862" i="10" a="1"/>
  <c r="A862" i="10" s="1"/>
  <c r="B1502" i="10" a="1"/>
  <c r="B1502" i="10" s="1"/>
  <c r="B2170" i="10" a="1"/>
  <c r="B2170" i="10" s="1"/>
  <c r="B2128" i="10" a="1"/>
  <c r="B2128" i="10" s="1"/>
  <c r="A5" i="10" a="1"/>
  <c r="A5" i="10" s="1"/>
  <c r="A810" i="10" a="1"/>
  <c r="A810" i="10" s="1"/>
  <c r="A189" i="10" a="1"/>
  <c r="A189" i="10" s="1"/>
  <c r="B1054" i="10" a="1"/>
  <c r="B1054" i="10" s="1"/>
  <c r="A2308" i="10" a="1"/>
  <c r="A2308" i="10" s="1"/>
  <c r="A2052" i="10" a="1"/>
  <c r="A2052" i="10" s="1"/>
  <c r="A2586" i="10" a="1"/>
  <c r="A2586" i="10" s="1"/>
  <c r="A1380" i="10" a="1"/>
  <c r="A1380" i="10" s="1"/>
  <c r="B141" i="10" a="1"/>
  <c r="B141" i="10" s="1"/>
  <c r="A1554" i="10" a="1"/>
  <c r="A1554" i="10" s="1"/>
  <c r="B1776" i="10" a="1"/>
  <c r="B1776" i="10" s="1"/>
  <c r="B612" i="10" a="1"/>
  <c r="B612" i="10" s="1"/>
  <c r="B1096" i="10" a="1"/>
  <c r="B1096" i="10" s="1"/>
  <c r="B5" i="10" a="1"/>
  <c r="B5" i="10" s="1"/>
  <c r="F32" i="5"/>
  <c r="F29" i="5"/>
  <c r="R29" i="5" s="1"/>
  <c r="P29" i="5" s="1"/>
  <c r="A2460" i="10" a="1"/>
  <c r="A2460" i="10" s="1"/>
  <c r="B876" i="10" a="1"/>
  <c r="B876" i="10" s="1"/>
  <c r="A155" i="10" a="1"/>
  <c r="A155" i="10" s="1"/>
  <c r="A2450" i="10" a="1"/>
  <c r="A2450" i="10" s="1"/>
  <c r="A2000" i="10" a="1"/>
  <c r="A2000" i="10" s="1"/>
  <c r="A848" i="10" a="1"/>
  <c r="A848" i="10" s="1"/>
  <c r="A1860" i="10" a="1"/>
  <c r="A1860" i="10" s="1"/>
  <c r="B1686" i="10" a="1"/>
  <c r="B1686" i="10" s="1"/>
  <c r="B1352" i="10" a="1"/>
  <c r="B1352" i="10" s="1"/>
  <c r="A1970" i="10" a="1"/>
  <c r="A1970" i="10" s="1"/>
  <c r="B127" i="10" a="1"/>
  <c r="B127" i="10" s="1"/>
  <c r="A2280" i="10" a="1"/>
  <c r="A2280" i="10" s="1"/>
  <c r="B353" i="10" a="1"/>
  <c r="B353" i="10" s="1"/>
  <c r="B464" i="10" a="1"/>
  <c r="B464" i="10" s="1"/>
  <c r="A2198" i="10" a="1"/>
  <c r="A2198" i="10" s="1"/>
  <c r="A2042" i="10" a="1"/>
  <c r="A2042" i="10" s="1"/>
  <c r="B1110" i="10" a="1"/>
  <c r="B1110" i="10" s="1"/>
  <c r="A1110" i="10" a="1"/>
  <c r="A1110" i="10" s="1"/>
  <c r="B394" i="10" a="1"/>
  <c r="B394" i="10" s="1"/>
  <c r="F27" i="5"/>
  <c r="R27" i="5" s="1"/>
  <c r="P27" i="5" s="1"/>
  <c r="B2486" i="10" a="1"/>
  <c r="B2486" i="10" s="1"/>
  <c r="B932" i="10" a="1"/>
  <c r="B932" i="10" s="1"/>
  <c r="B2607" i="10" a="1"/>
  <c r="B2607" i="10" s="1"/>
  <c r="B2466" i="10" a="1"/>
  <c r="B2466" i="10" s="1"/>
  <c r="A325" i="10" a="1"/>
  <c r="A325" i="10" s="1"/>
  <c r="A558" i="10" a="1"/>
  <c r="A558" i="10" s="1"/>
  <c r="F24" i="5"/>
  <c r="R24" i="5" s="1"/>
  <c r="P24" i="5" s="1"/>
  <c r="A1012" i="10" a="1"/>
  <c r="A1012" i="10" s="1"/>
  <c r="A1488" i="10" a="1"/>
  <c r="A1488" i="10" s="1"/>
  <c r="A2360" i="10" a="1"/>
  <c r="A2360" i="10" s="1"/>
  <c r="B19" i="10" a="1"/>
  <c r="B19" i="10" s="1"/>
  <c r="B2450" i="10" a="1"/>
  <c r="B2450" i="10" s="1"/>
  <c r="B1242" i="10" a="1"/>
  <c r="B1242" i="10" s="1"/>
  <c r="F20" i="5"/>
  <c r="R20" i="5" s="1"/>
  <c r="P20" i="5" s="1"/>
  <c r="B179" i="10" a="1"/>
  <c r="B179" i="10" s="1"/>
  <c r="B478" i="10" a="1"/>
  <c r="B478" i="10" s="1"/>
  <c r="B245" i="10" a="1"/>
  <c r="B245" i="10" s="1"/>
  <c r="B1040" i="10" a="1"/>
  <c r="B1040" i="10" s="1"/>
  <c r="A2696" i="10" a="1"/>
  <c r="A2696" i="10" s="1"/>
  <c r="A1610" i="10" a="1"/>
  <c r="A1610" i="10" s="1"/>
  <c r="A1138" i="10" a="1"/>
  <c r="A1138" i="10" s="1"/>
  <c r="B2014" i="10" a="1"/>
  <c r="A1884" i="10" a="1"/>
  <c r="A1884" i="10" s="1"/>
  <c r="A918" i="10" a="1"/>
  <c r="A918" i="10" s="1"/>
  <c r="A1068" i="10" a="1"/>
  <c r="A1068" i="10" s="1"/>
  <c r="B1738" i="10" a="1"/>
  <c r="B1738" i="10" s="1"/>
  <c r="A1582" i="10" a="1"/>
  <c r="A1582" i="10" s="1"/>
  <c r="A1202" i="10" a="1"/>
  <c r="A1202" i="10" s="1"/>
  <c r="A782" i="10" a="1"/>
  <c r="A782" i="10" s="1"/>
  <c r="B974" i="10" a="1"/>
  <c r="B974" i="10" s="1"/>
  <c r="A772" i="10" a="1"/>
  <c r="A772" i="10" s="1"/>
  <c r="A1180" i="10" a="1"/>
  <c r="A1180" i="10" s="1"/>
  <c r="A548" i="10" a="1"/>
  <c r="A548" i="10" s="1"/>
  <c r="A730" i="10" a="1"/>
  <c r="A730" i="10" s="1"/>
  <c r="A2412" i="10" a="1"/>
  <c r="A2412" i="10" s="1"/>
  <c r="B1990" i="10" a="1"/>
  <c r="B1990" i="10" s="1"/>
  <c r="B2000" i="10" a="1"/>
  <c r="B2000" i="10" s="1"/>
  <c r="A622" i="10" a="1"/>
  <c r="A622" i="10" s="1"/>
  <c r="B984" i="10" a="1"/>
  <c r="B984" i="10" s="1"/>
  <c r="A1530" i="10" a="1"/>
  <c r="A1530" i="10" s="1"/>
  <c r="B155" i="10" a="1"/>
  <c r="B155" i="10" s="1"/>
  <c r="A2466" i="10" a="1"/>
  <c r="A2466" i="10" s="1"/>
  <c r="B1906" i="10" a="1"/>
  <c r="B1906" i="10" s="1"/>
  <c r="B47" i="10" a="1"/>
  <c r="B47" i="10" s="1"/>
  <c r="A796" i="10" a="1"/>
  <c r="A796" i="10" s="1"/>
  <c r="B1610" i="10" a="1"/>
  <c r="B1610" i="10" s="1"/>
  <c r="A2476" i="10" a="1"/>
  <c r="A2476" i="10" s="1"/>
  <c r="A2514" i="10" a="1"/>
  <c r="A2514" i="10" s="1"/>
  <c r="A674" i="10" a="1"/>
  <c r="A674" i="10" s="1"/>
  <c r="A1408" i="10" a="1"/>
  <c r="A1408" i="10" s="1"/>
  <c r="A1082" i="10" a="1"/>
  <c r="A1082" i="10" s="1"/>
  <c r="B506" i="10" a="1"/>
  <c r="B506" i="10" s="1"/>
  <c r="A904" i="10" a="1"/>
  <c r="A904" i="10" s="1"/>
  <c r="A478" i="10" a="1"/>
  <c r="A478" i="10" s="1"/>
  <c r="A1436" i="10" a="1"/>
  <c r="A1436" i="10" s="1"/>
  <c r="B2500" i="10" a="1"/>
  <c r="B2500" i="10" s="1"/>
  <c r="B1624" i="10" a="1"/>
  <c r="B1624" i="10" s="1"/>
  <c r="B231" i="10" a="1"/>
  <c r="B231" i="10" s="1"/>
  <c r="A1818" i="10" a="1"/>
  <c r="A1818" i="10" s="1"/>
  <c r="A1846" i="10" a="1"/>
  <c r="A1846" i="10" s="1"/>
  <c r="A1342" i="10" a="1"/>
  <c r="A1342" i="10" s="1"/>
  <c r="A117" i="10" a="1"/>
  <c r="A117" i="10" s="1"/>
  <c r="F26" i="5"/>
  <c r="R26" i="5" s="1"/>
  <c r="P26" i="5" s="1"/>
  <c r="A646" i="10" a="1"/>
  <c r="A646" i="10" s="1"/>
  <c r="B1638" i="10" a="1"/>
  <c r="B1638" i="10" s="1"/>
  <c r="B960" i="10" a="1"/>
  <c r="B960" i="10" s="1"/>
  <c r="B2222" i="10" a="1"/>
  <c r="B2222" i="10" s="1"/>
  <c r="A946" i="10" a="1"/>
  <c r="A946" i="10" s="1"/>
  <c r="A890" i="10" a="1"/>
  <c r="A890" i="10" s="1"/>
  <c r="F22" i="5"/>
  <c r="R22" i="5" s="1"/>
  <c r="P22" i="5" s="1"/>
  <c r="B2142" i="10" a="1"/>
  <c r="B2142" i="10" s="1"/>
  <c r="A702" i="10" a="1"/>
  <c r="A702" i="10" s="1"/>
  <c r="B1082" i="10" a="1"/>
  <c r="B1082" i="10" s="1"/>
  <c r="B339" i="10" a="1"/>
  <c r="B339" i="10" s="1"/>
  <c r="A2128" i="10" a="1"/>
  <c r="A2128" i="10" s="1"/>
  <c r="B2076" i="10" a="1"/>
  <c r="B2076" i="10" s="1"/>
  <c r="A1252" i="10" a="1"/>
  <c r="A1252" i="10" s="1"/>
  <c r="B1328" i="10" a="1"/>
  <c r="B1328" i="10" s="1"/>
  <c r="A2264" i="10" a="1"/>
  <c r="A2264" i="10" s="1"/>
  <c r="B1228" i="10" a="1"/>
  <c r="B1228" i="10" s="1"/>
  <c r="B2476" i="10" a="1"/>
  <c r="B2476" i="10" s="1"/>
  <c r="A1776" i="10" a="1"/>
  <c r="A1776" i="10" s="1"/>
  <c r="I1" i="10"/>
  <c r="A2346" i="10" a="1"/>
  <c r="A2346" i="10" s="1"/>
  <c r="B548" i="10" a="1"/>
  <c r="B548" i="10" s="1"/>
  <c r="B1516" i="10" a="1"/>
  <c r="B1516" i="10" s="1"/>
  <c r="A1026" i="10" a="1"/>
  <c r="A1026" i="10" s="1"/>
  <c r="B598" i="10" a="1"/>
  <c r="B598" i="10" s="1"/>
  <c r="A998" i="10" a="1"/>
  <c r="A998" i="10" s="1"/>
  <c r="B2460" i="10" a="1"/>
  <c r="B2460" i="10" s="1"/>
  <c r="A838" i="10" a="1"/>
  <c r="A838" i="10" s="1"/>
  <c r="A2674" i="10" a="1"/>
  <c r="A2674" i="10" s="1"/>
  <c r="A2631" i="10" a="1"/>
  <c r="A2631" i="10" s="1"/>
  <c r="B1540" i="10" a="1"/>
  <c r="B1540" i="10" s="1"/>
  <c r="A2388" i="10" a="1"/>
  <c r="A2388" i="10" s="1"/>
  <c r="A2208" i="10" a="1"/>
  <c r="A2208" i="10" s="1"/>
  <c r="A2595" i="10" a="1"/>
  <c r="A2595" i="10" s="1"/>
  <c r="A1314" i="10" a="1"/>
  <c r="A1314" i="10" s="1"/>
  <c r="B1286" i="10" a="1"/>
  <c r="B1286" i="10" s="1"/>
  <c r="A103" i="10" a="1"/>
  <c r="A103" i="10" s="1"/>
  <c r="B730" i="10" a="1"/>
  <c r="B730" i="10" s="1"/>
  <c r="B534" i="10" a="1"/>
  <c r="B534" i="10" s="1"/>
  <c r="A1276" i="10" a="1"/>
  <c r="A1276" i="10" s="1"/>
  <c r="B2318" i="10" a="1"/>
  <c r="B2318" i="10" s="1"/>
  <c r="A353" i="10" a="1"/>
  <c r="A353" i="10" s="1"/>
  <c r="A2422" i="10" a="1"/>
  <c r="A2422" i="10" s="1"/>
  <c r="B492" i="10" a="1"/>
  <c r="B492" i="10" s="1"/>
  <c r="A33" i="10" a="1"/>
  <c r="A33" i="10" s="1"/>
  <c r="B2374" i="10" a="1"/>
  <c r="B2374" i="10" s="1"/>
  <c r="B2114" i="10" a="1"/>
  <c r="B2114" i="10" s="1"/>
  <c r="A506" i="10" a="1"/>
  <c r="A506" i="10" s="1"/>
  <c r="A2318" i="10" a="1"/>
  <c r="A2318" i="10" s="1"/>
  <c r="A1624" i="10" a="1"/>
  <c r="A1624" i="10" s="1"/>
  <c r="A2486" i="10" a="1"/>
  <c r="A2486" i="10" s="1"/>
  <c r="A974" i="10" a="1"/>
  <c r="A974" i="10" s="1"/>
  <c r="A2086" i="10" a="1"/>
  <c r="A2086" i="10" s="1"/>
  <c r="A1540" i="10" a="1"/>
  <c r="A1540" i="10" s="1"/>
  <c r="B2412" i="10" a="1"/>
  <c r="B2412" i="10" s="1"/>
  <c r="A520" i="10" a="1"/>
  <c r="A520" i="10" s="1"/>
  <c r="F21" i="5"/>
  <c r="R21" i="5" s="1"/>
  <c r="P21" i="5" s="1"/>
  <c r="A1352" i="10" a="1"/>
  <c r="A1352" i="10" s="1"/>
  <c r="B2264" i="10" a="1"/>
  <c r="B2264" i="10" s="1"/>
  <c r="A422" i="10" a="1"/>
  <c r="A422" i="10" s="1"/>
  <c r="A19" i="10" a="1"/>
  <c r="A19" i="10" s="1"/>
  <c r="A1242" i="10" a="1"/>
  <c r="A1242" i="10" s="1"/>
  <c r="A584" i="10" a="1"/>
  <c r="A584" i="10" s="1"/>
  <c r="A297" i="10" a="1"/>
  <c r="A297" i="10" s="1"/>
  <c r="B203" i="10" a="1"/>
  <c r="B203" i="10" s="1"/>
  <c r="A1328" i="10" a="1"/>
  <c r="A1328" i="10" s="1"/>
  <c r="A1124" i="10" a="1"/>
  <c r="A1124" i="10" s="1"/>
  <c r="A394" i="10" a="1"/>
  <c r="A394" i="10" s="1"/>
  <c r="A1422" i="10" a="1"/>
  <c r="A1422" i="10" s="1"/>
  <c r="B2156" i="10" a="1"/>
  <c r="B2156" i="10" s="1"/>
  <c r="B2308" i="10" a="1"/>
  <c r="B2308" i="10" s="1"/>
  <c r="A179" i="10" a="1"/>
  <c r="A179" i="10" s="1"/>
  <c r="B1380" i="10" a="1"/>
  <c r="B1380" i="10" s="1"/>
  <c r="A1096" i="10" a="1"/>
  <c r="A1096" i="10" s="1"/>
  <c r="A1916" i="10" a="1"/>
  <c r="A1916" i="10" s="1"/>
  <c r="A450" i="10" a="1"/>
  <c r="A450" i="10" s="1"/>
  <c r="B2332" i="10" a="1"/>
  <c r="B2332" i="10" s="1"/>
  <c r="A127" i="10" a="1"/>
  <c r="A127" i="10" s="1"/>
  <c r="A2142" i="10" a="1"/>
  <c r="A2142" i="10" s="1"/>
  <c r="A824" i="10" a="1"/>
  <c r="A824" i="10" s="1"/>
  <c r="A2542" i="10" a="1"/>
  <c r="A2542" i="10" s="1"/>
  <c r="B660" i="10" a="1"/>
  <c r="B660" i="10" s="1"/>
  <c r="B1956" i="10" a="1"/>
  <c r="B1956" i="10" s="1"/>
  <c r="B1818" i="10" a="1"/>
  <c r="B1818" i="10" s="1"/>
  <c r="A1596" i="10" a="1"/>
  <c r="A1596" i="10" s="1"/>
  <c r="B758" i="10" a="1"/>
  <c r="B758" i="10" s="1"/>
  <c r="B1860" i="10" a="1"/>
  <c r="B1860" i="10" s="1"/>
  <c r="A1638" i="10" a="1"/>
  <c r="A1638" i="10" s="1"/>
  <c r="A2607" i="10" a="1"/>
  <c r="A2607" i="10" s="1"/>
  <c r="A436" i="10" a="1"/>
  <c r="A436" i="10" s="1"/>
  <c r="A380" i="10" a="1"/>
  <c r="A380" i="10" s="1"/>
  <c r="A1502" i="10" a="1"/>
  <c r="A1502" i="10" s="1"/>
  <c r="A534" i="10" a="1"/>
  <c r="A534" i="10" s="1"/>
  <c r="B1884" i="10" a="1"/>
  <c r="B1884" i="10" s="1"/>
  <c r="B2631" i="10" a="1"/>
  <c r="B2631" i="10" s="1"/>
  <c r="C2631" i="10" s="1"/>
  <c r="B2184" i="10" a="1"/>
  <c r="B2184" i="10" s="1"/>
  <c r="B2528" i="10" a="1"/>
  <c r="B2528" i="10" s="1"/>
  <c r="B1262" i="10" a="1"/>
  <c r="B1262" i="10" s="1"/>
  <c r="B217" i="10" a="1"/>
  <c r="B217" i="10" s="1"/>
  <c r="B189" i="10" a="1"/>
  <c r="B189" i="10" s="1"/>
  <c r="A744" i="10" a="1"/>
  <c r="A744" i="10" s="1"/>
  <c r="A1686" i="10" a="1"/>
  <c r="A1686" i="10" s="1"/>
  <c r="F30" i="5"/>
  <c r="R30" i="5" s="1"/>
  <c r="P30" i="5" s="1"/>
  <c r="B380" i="10" a="1"/>
  <c r="B380" i="10" s="1"/>
  <c r="A1300" i="10" a="1"/>
  <c r="A1300" i="10" s="1"/>
  <c r="B2568" i="10" a="1"/>
  <c r="B2568" i="10" s="1"/>
  <c r="A2184" i="10" a="1"/>
  <c r="A2184" i="10" s="1"/>
  <c r="B259" i="10" a="1"/>
  <c r="B259" i="10" s="1"/>
  <c r="B2402" i="10" a="1"/>
  <c r="B2402" i="10" s="1"/>
  <c r="B1138" i="10" a="1"/>
  <c r="B1138" i="10" s="1"/>
  <c r="A2332" i="10" a="1"/>
  <c r="A2332" i="10" s="1"/>
  <c r="A283" i="10" a="1"/>
  <c r="A283" i="10" s="1"/>
  <c r="A758" i="10" a="1"/>
  <c r="A758" i="10" s="1"/>
  <c r="B2236" i="10" a="1"/>
  <c r="B2236" i="10" s="1"/>
  <c r="A716" i="10" a="1"/>
  <c r="A716" i="10" s="1"/>
  <c r="B2066" i="10" a="1"/>
  <c r="B2066" i="10" s="1"/>
  <c r="B2436" i="10" a="1"/>
  <c r="B2436" i="10" s="1"/>
  <c r="A245" i="10" a="1"/>
  <c r="A245" i="10" s="1"/>
  <c r="B674" i="10" a="1"/>
  <c r="B674" i="10" s="1"/>
  <c r="B1568" i="10" a="1"/>
  <c r="B1568" i="10" s="1"/>
  <c r="B408" i="10" a="1"/>
  <c r="B408" i="10" s="1"/>
  <c r="A2589" i="10" a="1"/>
  <c r="A2589" i="10" s="1"/>
  <c r="B1666" i="10" a="1"/>
  <c r="B1666" i="10" s="1"/>
  <c r="B1464" i="10" a="1"/>
  <c r="B1464" i="10" s="1"/>
  <c r="A217" i="10" a="1"/>
  <c r="A217" i="10" s="1"/>
  <c r="B311" i="10" a="1"/>
  <c r="B311" i="10" s="1"/>
  <c r="B2589" i="10" a="1"/>
  <c r="B2589" i="10" s="1"/>
  <c r="D2589" i="10" s="1"/>
  <c r="B1488" i="10" a="1"/>
  <c r="B1488" i="10" s="1"/>
  <c r="B1068" i="10" a="1"/>
  <c r="B1068" i="10" s="1"/>
  <c r="A141" i="10" a="1"/>
  <c r="A141" i="10" s="1"/>
  <c r="A2294" i="10" a="1"/>
  <c r="A2294" i="10" s="1"/>
  <c r="B2617" i="10" a="1"/>
  <c r="B2617" i="10" s="1"/>
  <c r="A1228" i="10" a="1"/>
  <c r="A1228" i="10" s="1"/>
  <c r="B2280" i="10" a="1"/>
  <c r="B2280" i="10" s="1"/>
  <c r="B1984" i="10" a="1"/>
  <c r="B1984" i="10" s="1"/>
  <c r="B1276" i="10" a="1"/>
  <c r="B1276" i="10" s="1"/>
  <c r="B862" i="10" a="1"/>
  <c r="B862" i="10" s="1"/>
  <c r="A2500" i="10" a="1"/>
  <c r="A2500" i="10" s="1"/>
  <c r="B273" i="10" a="1"/>
  <c r="B273" i="10" s="1"/>
  <c r="B2592" i="10" a="1"/>
  <c r="B2592" i="10" s="1"/>
  <c r="E2592" i="10" s="1"/>
  <c r="A2222" i="10" a="1"/>
  <c r="A2222" i="10" s="1"/>
  <c r="B1124" i="10" a="1"/>
  <c r="B1124" i="10" s="1"/>
  <c r="A47" i="10" a="1"/>
  <c r="A47" i="10" s="1"/>
  <c r="B2250" i="10" a="1"/>
  <c r="B2250" i="10" s="1"/>
  <c r="B2360" i="10" a="1"/>
  <c r="B2360" i="10" s="1"/>
  <c r="A2436" i="10" a="1"/>
  <c r="A2436" i="10" s="1"/>
  <c r="A1738" i="10" a="1"/>
  <c r="A1738" i="10" s="1"/>
  <c r="A1748" i="10" a="1"/>
  <c r="A1748" i="10" s="1"/>
  <c r="B584" i="10" a="1"/>
  <c r="B584" i="10" s="1"/>
  <c r="A2014" i="10" a="1"/>
  <c r="A2014" i="10" s="1"/>
  <c r="B946" i="10" a="1"/>
  <c r="B946" i="10" s="1"/>
  <c r="A960" i="10" a="1"/>
  <c r="A960" i="10" s="1"/>
  <c r="A2156" i="10" a="1"/>
  <c r="A2156" i="10" s="1"/>
  <c r="B1012" i="10" a="1"/>
  <c r="B1012" i="10" s="1"/>
  <c r="A1152" i="10" a="1"/>
  <c r="A1152" i="10" s="1"/>
  <c r="A2660" i="10" a="1"/>
  <c r="A2660" i="10" s="1"/>
  <c r="A612" i="10" a="1"/>
  <c r="A612" i="10" s="1"/>
  <c r="B2595" i="10" a="1"/>
  <c r="B2595" i="10" s="1"/>
  <c r="E2595" i="10" s="1"/>
  <c r="B1724" i="10" a="1"/>
  <c r="B1724" i="10" s="1"/>
  <c r="A1956" i="10" a="1"/>
  <c r="A1956" i="10" s="1"/>
  <c r="A61" i="10" a="1"/>
  <c r="A61" i="10" s="1"/>
  <c r="B1554" i="10" a="1"/>
  <c r="B1554" i="10" s="1"/>
  <c r="B89" i="10" a="1"/>
  <c r="B89" i="10" s="1"/>
  <c r="B1696" i="10" a="1"/>
  <c r="B1696" i="10" s="1"/>
  <c r="B1762" i="10" a="1"/>
  <c r="B1762" i="10" s="1"/>
  <c r="A2601" i="10" a="1"/>
  <c r="A2601" i="10" s="1"/>
  <c r="A2568" i="10" a="1"/>
  <c r="A2568" i="10" s="1"/>
  <c r="B436" i="10" a="1"/>
  <c r="B436" i="10" s="1"/>
  <c r="B1202" i="10" a="1"/>
  <c r="B1202" i="10" s="1"/>
  <c r="B1652" i="10" a="1"/>
  <c r="B1652" i="10" s="1"/>
  <c r="B744" i="10" a="1"/>
  <c r="B744" i="10" s="1"/>
  <c r="A2726" i="10" a="1"/>
  <c r="A2726" i="10" s="1"/>
  <c r="B1748" i="10" a="1"/>
  <c r="B1748" i="10" s="1"/>
  <c r="B2660" i="10" a="1"/>
  <c r="B2660" i="10" s="1"/>
  <c r="B2028" i="10" a="1"/>
  <c r="B2028" i="10" s="1"/>
  <c r="B782" i="10" a="1"/>
  <c r="B782" i="10" s="1"/>
  <c r="A408" i="10" a="1"/>
  <c r="A408" i="10" s="1"/>
  <c r="A2528" i="10" a="1"/>
  <c r="A2528" i="10" s="1"/>
  <c r="B1252" i="10" a="1"/>
  <c r="B1252" i="10" s="1"/>
  <c r="A2100" i="10" a="1"/>
  <c r="A2100" i="10" s="1"/>
  <c r="A1832" i="10" a="1"/>
  <c r="A1832" i="10" s="1"/>
  <c r="B2674" i="10" a="1"/>
  <c r="B2674" i="10" s="1"/>
  <c r="A2374" i="10" a="1"/>
  <c r="A2374" i="10" s="1"/>
  <c r="A2028" i="10" a="1"/>
  <c r="A2028" i="10" s="1"/>
  <c r="F31" i="5"/>
  <c r="B1422" i="10" a="1"/>
  <c r="B1422" i="10" s="1"/>
  <c r="B2542" i="10" a="1"/>
  <c r="B2542" i="10" s="1"/>
  <c r="B1436" i="10" a="1"/>
  <c r="B1436" i="10" s="1"/>
  <c r="A2250" i="10" a="1"/>
  <c r="A2250" i="10" s="1"/>
  <c r="B1474" i="10" a="1"/>
  <c r="B1474" i="10" s="1"/>
  <c r="B702" i="10" a="1"/>
  <c r="B702" i="10" s="1"/>
  <c r="B1790" i="10" a="1"/>
  <c r="B1790" i="10" s="1"/>
  <c r="A2598" i="10" a="1"/>
  <c r="A2598" i="10" s="1"/>
  <c r="B772" i="10" a="1"/>
  <c r="B772" i="10" s="1"/>
  <c r="A203" i="10" a="1"/>
  <c r="A203" i="10" s="1"/>
  <c r="B61" i="10" a="1"/>
  <c r="B61" i="10" s="1"/>
  <c r="A1676" i="10" a="1"/>
  <c r="A1676" i="10" s="1"/>
  <c r="A932" i="10" a="1"/>
  <c r="A932" i="10" s="1"/>
  <c r="B2274" i="10" a="1"/>
  <c r="B2274" i="10" s="1"/>
  <c r="B422" i="10" a="1"/>
  <c r="B422" i="10" s="1"/>
  <c r="B688" i="10" a="1"/>
  <c r="B688" i="10" s="1"/>
  <c r="B165" i="10" a="1"/>
  <c r="B165" i="10" s="1"/>
  <c r="A339" i="10" a="1"/>
  <c r="A339" i="10" s="1"/>
  <c r="B1394" i="10" a="1"/>
  <c r="B1394" i="10" s="1"/>
  <c r="B2198" i="10" a="1"/>
  <c r="B2198" i="10" s="1"/>
  <c r="A636" i="10" a="1"/>
  <c r="A636" i="10" s="1"/>
  <c r="B1874" i="10" a="1"/>
  <c r="B1874" i="10" s="1"/>
  <c r="A876" i="10" a="1"/>
  <c r="A876" i="10" s="1"/>
  <c r="A1568" i="10" a="1"/>
  <c r="A1568" i="10" s="1"/>
  <c r="A2076" i="10" a="1"/>
  <c r="A2076" i="10" s="1"/>
  <c r="B75" i="10" a="1"/>
  <c r="B75" i="10" s="1"/>
  <c r="B33" i="10" a="1"/>
  <c r="B33" i="10" s="1"/>
  <c r="F28" i="5"/>
  <c r="R28" i="5" s="1"/>
  <c r="P28" i="5" s="1"/>
  <c r="B1582" i="10" a="1"/>
  <c r="B1582" i="10" s="1"/>
  <c r="A273" i="10" a="1"/>
  <c r="A273" i="10" s="1"/>
  <c r="B810" i="10" a="1"/>
  <c r="B810" i="10" s="1"/>
  <c r="A1942" i="10" a="1"/>
  <c r="A1942" i="10" s="1"/>
  <c r="B796" i="10" a="1"/>
  <c r="B796" i="10" s="1"/>
  <c r="B2100" i="10" a="1"/>
  <c r="B2100" i="10" s="1"/>
  <c r="A1450" i="10" a="1"/>
  <c r="A1450" i="10" s="1"/>
  <c r="B2052" i="10" a="1"/>
  <c r="B2052" i="10" s="1"/>
  <c r="A1652" i="10" a="1"/>
  <c r="A1652" i="10" s="1"/>
  <c r="B2586" i="10" a="1"/>
  <c r="B2586" i="10" s="1"/>
  <c r="C2586" i="10" s="1"/>
  <c r="B824" i="10" a="1"/>
  <c r="B824" i="10" s="1"/>
  <c r="B2388" i="10" a="1"/>
  <c r="B2388" i="10" s="1"/>
  <c r="A89" i="10" a="1"/>
  <c r="A89" i="10" s="1"/>
  <c r="B2086" i="10" a="1"/>
  <c r="B2086" i="10" s="1"/>
  <c r="A366" i="10" a="1"/>
  <c r="A366" i="10" s="1"/>
  <c r="A2402" i="10" a="1"/>
  <c r="A2402" i="10" s="1"/>
  <c r="B1342" i="10" a="1"/>
  <c r="B1342" i="10" s="1"/>
  <c r="A2617" i="10" a="1"/>
  <c r="A2617" i="10" s="1"/>
  <c r="B1676" i="10" a="1"/>
  <c r="B1676" i="10" s="1"/>
  <c r="A1666" i="10" a="1"/>
  <c r="A1666" i="10" s="1"/>
  <c r="A598" i="10" a="1"/>
  <c r="A598" i="10" s="1"/>
  <c r="B1152" i="10" a="1"/>
  <c r="B1152" i="10" s="1"/>
  <c r="B1166" i="10" a="1"/>
  <c r="B1166" i="10" s="1"/>
  <c r="B1846" i="10" a="1"/>
  <c r="B1846" i="10" s="1"/>
  <c r="A1696" i="10" a="1"/>
  <c r="A1696" i="10" s="1"/>
  <c r="B1408" i="10" a="1"/>
  <c r="B1408" i="10" s="1"/>
  <c r="A464" i="10" a="1"/>
  <c r="A464" i="10" s="1"/>
  <c r="B1530" i="10" a="1"/>
  <c r="B1530" i="10" s="1"/>
  <c r="B325" i="10" a="1"/>
  <c r="B325" i="10" s="1"/>
  <c r="B2422" i="10" a="1"/>
  <c r="B2422" i="10" s="1"/>
  <c r="A1286" i="10" a="1"/>
  <c r="A1286" i="10" s="1"/>
  <c r="B2726" i="10" a="1"/>
  <c r="B2726" i="10" s="1"/>
  <c r="B918" i="10" a="1"/>
  <c r="B918" i="10" s="1"/>
  <c r="B2014" i="10"/>
  <c r="B1300" i="10"/>
  <c r="C2598" i="10" l="1"/>
  <c r="D2598" i="10"/>
  <c r="C2592" i="10"/>
  <c r="C2589" i="10"/>
  <c r="D2592" i="10"/>
  <c r="E2589" i="10"/>
  <c r="D2631" i="10"/>
  <c r="E2631" i="10"/>
  <c r="C2595" i="10"/>
  <c r="D2595" i="10"/>
  <c r="D2586" i="10"/>
  <c r="E2586" i="10"/>
  <c r="AO3" i="2" a="1"/>
  <c r="E3" i="2" a="1"/>
  <c r="AO3" i="2" l="1"/>
  <c r="AT6" i="3" a="1"/>
  <c r="AT6" i="3" s="1"/>
  <c r="AR6" i="3" s="1" a="1"/>
  <c r="AR6" i="3" s="1"/>
  <c r="AX6" i="3" a="1"/>
  <c r="AX6" i="3" s="1"/>
  <c r="V6" i="3" a="1"/>
  <c r="V6" i="3" s="1"/>
  <c r="T6" i="3" s="1" a="1"/>
  <c r="T6" i="3" s="1"/>
  <c r="BW6" i="3" a="1"/>
  <c r="BW6" i="3" s="1"/>
  <c r="BU6" i="3" s="1" a="1"/>
  <c r="BU6" i="3" s="1"/>
  <c r="C9" i="1" a="1"/>
  <c r="C9" i="1" s="1"/>
  <c r="B9" i="1" s="1" a="1"/>
  <c r="B9" i="1" s="1"/>
  <c r="BQ6" i="3" a="1"/>
  <c r="BQ6" i="3" s="1"/>
  <c r="BI6" i="3" a="1"/>
  <c r="BI6" i="3" s="1"/>
  <c r="BM6" i="3" a="1"/>
  <c r="BM6" i="3" s="1"/>
  <c r="BK6" i="3" s="1" a="1"/>
  <c r="BK6" i="3" s="1"/>
  <c r="BE6" i="3" a="1"/>
  <c r="BE6" i="3" s="1"/>
  <c r="W6" i="3" a="1"/>
  <c r="W6" i="3" s="1"/>
  <c r="D9" i="1" a="1"/>
  <c r="D9" i="1" s="1"/>
  <c r="Z6" i="3" a="1"/>
  <c r="Z6" i="3" s="1"/>
  <c r="AL6" i="3" a="1"/>
  <c r="AL6" i="3" s="1"/>
  <c r="BX6" i="3" a="1"/>
  <c r="BX6" i="3" s="1"/>
  <c r="AN6" i="3" a="1"/>
  <c r="AN6" i="3" s="1"/>
  <c r="BD6" i="3" a="1"/>
  <c r="BD6" i="3" s="1"/>
  <c r="BB6" i="3" s="1" a="1"/>
  <c r="BB6" i="3" s="1"/>
  <c r="AU6" i="3" a="1"/>
  <c r="AU6" i="3" s="1"/>
  <c r="AB6" i="3" a="1"/>
  <c r="AB6" i="3" s="1"/>
  <c r="AJ6" i="3" a="1"/>
  <c r="AJ6" i="3" s="1"/>
  <c r="BL6" i="3" a="1"/>
  <c r="BL6" i="3" s="1"/>
  <c r="BH6" i="3" a="1"/>
  <c r="BH6" i="3" s="1"/>
  <c r="BF6" i="3" s="1" a="1"/>
  <c r="BF6" i="3" s="1"/>
  <c r="BR6" i="3" a="1"/>
  <c r="BR6" i="3" s="1"/>
  <c r="BP6" i="3" s="1" a="1"/>
  <c r="BP6" i="3" s="1"/>
  <c r="AA6" i="3" a="1"/>
  <c r="AA6" i="3" s="1"/>
  <c r="Y6" i="3" s="1" a="1"/>
  <c r="Y6" i="3" s="1"/>
  <c r="BS6" i="3" a="1"/>
  <c r="BS6" i="3" s="1"/>
  <c r="AG6" i="3" a="1"/>
  <c r="AG6" i="3" s="1"/>
  <c r="AY6" i="3" a="1"/>
  <c r="AY6" i="3" s="1"/>
  <c r="AW6" i="3" s="1" a="1"/>
  <c r="AW6" i="3" s="1"/>
  <c r="BV6" i="3" a="1"/>
  <c r="BV6" i="3" s="1"/>
  <c r="AP6" i="3" a="1"/>
  <c r="AP6" i="3" s="1"/>
  <c r="BC6" i="3" a="1"/>
  <c r="BC6" i="3" s="1"/>
  <c r="AF6" i="3" a="1"/>
  <c r="AF6" i="3" s="1"/>
  <c r="AD6" i="3" s="1" a="1"/>
  <c r="AD6" i="3" s="1"/>
  <c r="U6" i="3" a="1"/>
  <c r="U6" i="3" s="1"/>
  <c r="AK6" i="3" a="1"/>
  <c r="AK6" i="3" s="1"/>
  <c r="AI6" i="3" s="1" a="1"/>
  <c r="AI6" i="3" s="1"/>
  <c r="AE6" i="3" a="1"/>
  <c r="AE6" i="3" s="1"/>
  <c r="BN6" i="3" a="1"/>
  <c r="BN6" i="3" s="1"/>
  <c r="AS6" i="3" a="1"/>
  <c r="AS6" i="3" s="1"/>
  <c r="AO6" i="3" a="1"/>
  <c r="AO6" i="3" s="1"/>
  <c r="AM6" i="3" s="1" a="1"/>
  <c r="AM6" i="3" s="1"/>
  <c r="BG6" i="3" a="1"/>
  <c r="BG6" i="3" s="1"/>
  <c r="AZ6" i="3" a="1"/>
  <c r="AZ6" i="3" s="1"/>
  <c r="E3" i="2"/>
  <c r="R6" i="3" s="1" a="1"/>
  <c r="R6" i="3" s="1"/>
  <c r="P6" i="3" s="1" a="1"/>
  <c r="P6" i="3" s="1"/>
  <c r="A2" i="3" a="1"/>
  <c r="A2" i="3" s="1"/>
  <c r="BF2" i="3" a="1"/>
  <c r="BF2" i="3" s="1"/>
  <c r="AM2" i="3" a="1"/>
  <c r="AM2" i="3" s="1"/>
  <c r="T2" i="3" a="1"/>
  <c r="T2" i="3" s="1"/>
  <c r="N6" i="3" l="1" a="1"/>
  <c r="N6" i="3" s="1"/>
  <c r="M6" i="3" a="1"/>
  <c r="M6" i="3" s="1"/>
  <c r="K6" i="3" s="1" a="1"/>
  <c r="K6" i="3" s="1"/>
  <c r="B6" i="3" a="1"/>
  <c r="B6" i="3" s="1"/>
  <c r="Z4" i="5"/>
  <c r="M5" i="5"/>
  <c r="X5" i="5" s="1"/>
  <c r="L6" i="3" a="1"/>
  <c r="L6" i="3" s="1"/>
  <c r="H6" i="3" a="1"/>
  <c r="H6" i="3" s="1"/>
  <c r="F6" i="3" s="1" a="1"/>
  <c r="F6" i="3" s="1"/>
  <c r="Q6" i="3" a="1"/>
  <c r="Q6" i="3" s="1"/>
  <c r="I6" i="3" a="1"/>
  <c r="I6" i="3" s="1"/>
  <c r="D6" i="3" a="1"/>
  <c r="D6" i="3" s="1"/>
  <c r="S6" i="3" a="1"/>
  <c r="S6" i="3" s="1"/>
  <c r="C6" i="3" a="1"/>
  <c r="C6" i="3" s="1"/>
  <c r="A6" i="3" s="1" a="1"/>
  <c r="A6" i="3" s="1"/>
  <c r="G6" i="3" a="1"/>
  <c r="G6" i="3" s="1"/>
  <c r="D1425" i="10"/>
  <c r="E1432" i="10"/>
  <c r="C1428" i="10"/>
  <c r="C1426" i="10"/>
  <c r="C2015" i="10"/>
  <c r="E2023" i="10"/>
  <c r="D2020" i="10"/>
  <c r="D2025" i="10"/>
  <c r="C551" i="10"/>
  <c r="C553" i="10"/>
  <c r="E549" i="10"/>
  <c r="C2621" i="10"/>
  <c r="C2624" i="10"/>
  <c r="D2624" i="10"/>
  <c r="D2627" i="10"/>
  <c r="D1716" i="10"/>
  <c r="E1714" i="10"/>
  <c r="C1712" i="10"/>
  <c r="C1717" i="10"/>
  <c r="D2556" i="10"/>
  <c r="E2543" i="10"/>
  <c r="D2547" i="10"/>
  <c r="E2561" i="10"/>
  <c r="C2560" i="10"/>
  <c r="D2545" i="10"/>
  <c r="C2552" i="10"/>
  <c r="E2552" i="10"/>
  <c r="D292" i="10"/>
  <c r="C288" i="10"/>
  <c r="C290" i="10"/>
  <c r="D294" i="10"/>
  <c r="E523" i="10"/>
  <c r="E521" i="10"/>
  <c r="C527" i="10"/>
  <c r="E531" i="10"/>
  <c r="D1442" i="10"/>
  <c r="C1432" i="10"/>
  <c r="D1428" i="10"/>
  <c r="E1433" i="10"/>
  <c r="E1427" i="10"/>
  <c r="D2021" i="10"/>
  <c r="D2022" i="10"/>
  <c r="E2017" i="10"/>
  <c r="D2016" i="10"/>
  <c r="E550" i="10"/>
  <c r="E555" i="10"/>
  <c r="C550" i="10"/>
  <c r="C2626" i="10"/>
  <c r="C2618" i="10"/>
  <c r="E2625" i="10"/>
  <c r="C2628" i="10"/>
  <c r="C1720" i="10"/>
  <c r="C1433" i="10"/>
  <c r="D1432" i="10"/>
  <c r="E1426" i="10"/>
  <c r="C1429" i="10"/>
  <c r="C2022" i="10"/>
  <c r="D2017" i="10"/>
  <c r="C2021" i="10"/>
  <c r="C2020" i="10"/>
  <c r="D552" i="10"/>
  <c r="D549" i="10"/>
  <c r="D553" i="10"/>
  <c r="E2626" i="10"/>
  <c r="D2625" i="10"/>
  <c r="D2620" i="10"/>
  <c r="E2622" i="10"/>
  <c r="E1711" i="10"/>
  <c r="E1718" i="10"/>
  <c r="D1712" i="10"/>
  <c r="C1711" i="10"/>
  <c r="E2546" i="10"/>
  <c r="E2544" i="10"/>
  <c r="E2553" i="10"/>
  <c r="D2564" i="10"/>
  <c r="C2558" i="10"/>
  <c r="C2556" i="10"/>
  <c r="E2565" i="10"/>
  <c r="E2564" i="10"/>
  <c r="C2550" i="10"/>
  <c r="D289" i="10"/>
  <c r="E290" i="10"/>
  <c r="C291" i="10"/>
  <c r="E294" i="10"/>
  <c r="E529" i="10"/>
  <c r="D529" i="10"/>
  <c r="D530" i="10"/>
  <c r="D526" i="10"/>
  <c r="E1444" i="10"/>
  <c r="E1441" i="10"/>
  <c r="C1438" i="10"/>
  <c r="D1444" i="10"/>
  <c r="D2648" i="10"/>
  <c r="C2657" i="10"/>
  <c r="C2642" i="10"/>
  <c r="E2645" i="10"/>
  <c r="C2638" i="10"/>
  <c r="C2654" i="10"/>
  <c r="E2652" i="10"/>
  <c r="D2654" i="10"/>
  <c r="E2650" i="10"/>
  <c r="D2285" i="10"/>
  <c r="D2291" i="10"/>
  <c r="C2281" i="10"/>
  <c r="E2282" i="10"/>
  <c r="E1519" i="10"/>
  <c r="D1524" i="10"/>
  <c r="D1517" i="10"/>
  <c r="E1527" i="10"/>
  <c r="D1740" i="10"/>
  <c r="D1742" i="10"/>
  <c r="C1742" i="10"/>
  <c r="D1478" i="10"/>
  <c r="E1480" i="10"/>
  <c r="C1477" i="10"/>
  <c r="D1476" i="10"/>
  <c r="C1427" i="10"/>
  <c r="C1424" i="10"/>
  <c r="E1428" i="10"/>
  <c r="D1427" i="10"/>
  <c r="C1423" i="10"/>
  <c r="C2024" i="10"/>
  <c r="E2019" i="10"/>
  <c r="C2019" i="10"/>
  <c r="D2018" i="10"/>
  <c r="E552" i="10"/>
  <c r="C555" i="10"/>
  <c r="E554" i="10"/>
  <c r="E2619" i="10"/>
  <c r="C2622" i="10"/>
  <c r="D2628" i="10"/>
  <c r="C2619" i="10"/>
  <c r="D1713" i="10"/>
  <c r="C1716" i="10"/>
  <c r="C1713" i="10"/>
  <c r="E1715" i="10"/>
  <c r="E2558" i="10"/>
  <c r="C2561" i="10"/>
  <c r="C2547" i="10"/>
  <c r="C2565" i="10"/>
  <c r="D2563" i="10"/>
  <c r="D2553" i="10"/>
  <c r="D2560" i="10"/>
  <c r="C2546" i="10"/>
  <c r="D2549" i="10"/>
  <c r="C285" i="10"/>
  <c r="E284" i="10"/>
  <c r="E287" i="10"/>
  <c r="C292" i="10"/>
  <c r="D527" i="10"/>
  <c r="D528" i="10"/>
  <c r="C528" i="10"/>
  <c r="D531" i="10"/>
  <c r="C1440" i="10"/>
  <c r="E1429" i="10"/>
  <c r="E1423" i="10"/>
  <c r="D1433" i="10"/>
  <c r="D1429" i="10"/>
  <c r="C2018" i="10"/>
  <c r="E2015" i="10"/>
  <c r="E2021" i="10"/>
  <c r="E2018" i="10"/>
  <c r="C552" i="10"/>
  <c r="C549" i="10"/>
  <c r="D2621" i="10"/>
  <c r="E2621" i="10"/>
  <c r="C2627" i="10"/>
  <c r="E2620" i="10"/>
  <c r="C1715" i="10"/>
  <c r="C1719" i="10"/>
  <c r="E1717" i="10"/>
  <c r="D1718" i="10"/>
  <c r="D2558" i="10"/>
  <c r="C2557" i="10"/>
  <c r="C2545" i="10"/>
  <c r="E2551" i="10"/>
  <c r="C2562" i="10"/>
  <c r="C2554" i="10"/>
  <c r="D2554" i="10"/>
  <c r="D2546" i="10"/>
  <c r="C2548" i="10"/>
  <c r="E292" i="10"/>
  <c r="C294" i="10"/>
  <c r="D291" i="10"/>
  <c r="C286" i="10"/>
  <c r="C526" i="10"/>
  <c r="C530" i="10"/>
  <c r="D522" i="10"/>
  <c r="E526" i="10"/>
  <c r="C1439" i="10"/>
  <c r="C1437" i="10"/>
  <c r="C1431" i="10"/>
  <c r="E1431" i="10"/>
  <c r="D1423" i="10"/>
  <c r="D1424" i="10"/>
  <c r="D2019" i="10"/>
  <c r="C2023" i="10"/>
  <c r="C2016" i="10"/>
  <c r="E2016" i="10"/>
  <c r="E2022" i="10"/>
  <c r="D551" i="10"/>
  <c r="D554" i="10"/>
  <c r="D2622" i="10"/>
  <c r="C2620" i="10"/>
  <c r="D2626" i="10"/>
  <c r="C2623" i="10"/>
  <c r="D2619" i="10"/>
  <c r="D1431" i="10"/>
  <c r="E1424" i="10"/>
  <c r="D1430" i="10"/>
  <c r="C1430" i="10"/>
  <c r="C2025" i="10"/>
  <c r="E2024" i="10"/>
  <c r="D2015" i="10"/>
  <c r="C2017" i="10"/>
  <c r="D550" i="10"/>
  <c r="E553" i="10"/>
  <c r="E2628" i="10"/>
  <c r="E2627" i="10"/>
  <c r="E2618" i="10"/>
  <c r="E2624" i="10"/>
  <c r="C1718" i="10"/>
  <c r="D1717" i="10"/>
  <c r="E1716" i="10"/>
  <c r="E1713" i="10"/>
  <c r="C2555" i="10"/>
  <c r="D2548" i="10"/>
  <c r="D2565" i="10"/>
  <c r="E2549" i="10"/>
  <c r="C2559" i="10"/>
  <c r="D2555" i="10"/>
  <c r="E2554" i="10"/>
  <c r="D2551" i="10"/>
  <c r="E286" i="10"/>
  <c r="D286" i="10"/>
  <c r="C287" i="10"/>
  <c r="E285" i="10"/>
  <c r="C524" i="10"/>
  <c r="E525" i="10"/>
  <c r="E524" i="10"/>
  <c r="E522" i="10"/>
  <c r="D1443" i="10"/>
  <c r="D1446" i="10"/>
  <c r="E1439" i="10"/>
  <c r="E1447" i="10"/>
  <c r="E2639" i="10"/>
  <c r="D2650" i="10"/>
  <c r="E2637" i="10"/>
  <c r="C2646" i="10"/>
  <c r="E2657" i="10"/>
  <c r="D2641" i="10"/>
  <c r="E2649" i="10"/>
  <c r="E2641" i="10"/>
  <c r="D2283" i="10"/>
  <c r="E2283" i="10"/>
  <c r="E2284" i="10"/>
  <c r="E2288" i="10"/>
  <c r="D1518" i="10"/>
  <c r="D1522" i="10"/>
  <c r="C1518" i="10"/>
  <c r="D1523" i="10"/>
  <c r="D1741" i="10"/>
  <c r="C1740" i="10"/>
  <c r="C1484" i="10"/>
  <c r="E1481" i="10"/>
  <c r="C1480" i="10"/>
  <c r="C1475" i="10"/>
  <c r="C2048" i="10"/>
  <c r="D2047" i="10"/>
  <c r="E2045" i="10"/>
  <c r="D711" i="10"/>
  <c r="C713" i="10"/>
  <c r="E711" i="10"/>
  <c r="D705" i="10"/>
  <c r="D454" i="10"/>
  <c r="C452" i="10"/>
  <c r="E454" i="10"/>
  <c r="C459" i="10"/>
  <c r="C1033" i="10"/>
  <c r="D1029" i="10"/>
  <c r="D1032" i="10"/>
  <c r="E1030" i="10"/>
  <c r="E1032" i="10"/>
  <c r="E2302" i="10"/>
  <c r="C2305" i="10"/>
  <c r="E2295" i="10"/>
  <c r="E2298" i="10"/>
  <c r="C977" i="10"/>
  <c r="D975" i="10"/>
  <c r="C975" i="10"/>
  <c r="D2023" i="10"/>
  <c r="E2623" i="10"/>
  <c r="D1714" i="10"/>
  <c r="D2557" i="10"/>
  <c r="E2545" i="10"/>
  <c r="D2544" i="10"/>
  <c r="D288" i="10"/>
  <c r="C284" i="10"/>
  <c r="D524" i="10"/>
  <c r="E1437" i="10"/>
  <c r="C1443" i="10"/>
  <c r="C1446" i="10"/>
  <c r="E2644" i="10"/>
  <c r="D2655" i="10"/>
  <c r="D2638" i="10"/>
  <c r="C2636" i="10"/>
  <c r="E2642" i="10"/>
  <c r="E2654" i="10"/>
  <c r="C2644" i="10"/>
  <c r="D2288" i="10"/>
  <c r="E2291" i="10"/>
  <c r="C2287" i="10"/>
  <c r="C1522" i="10"/>
  <c r="E1524" i="10"/>
  <c r="E1517" i="10"/>
  <c r="E1739" i="10"/>
  <c r="D1744" i="10"/>
  <c r="C1476" i="10"/>
  <c r="E1478" i="10"/>
  <c r="D1485" i="10"/>
  <c r="E2047" i="10"/>
  <c r="E2049" i="10"/>
  <c r="E2048" i="10"/>
  <c r="E708" i="10"/>
  <c r="D708" i="10"/>
  <c r="C706" i="10"/>
  <c r="E460" i="10"/>
  <c r="E451" i="10"/>
  <c r="E452" i="10"/>
  <c r="D455" i="10"/>
  <c r="C1030" i="10"/>
  <c r="D1027" i="10"/>
  <c r="C1027" i="10"/>
  <c r="C1031" i="10"/>
  <c r="E2296" i="10"/>
  <c r="C2296" i="10"/>
  <c r="E2300" i="10"/>
  <c r="E975" i="10"/>
  <c r="D978" i="10"/>
  <c r="D1504" i="10"/>
  <c r="D1508" i="10"/>
  <c r="E1509" i="10"/>
  <c r="E1510" i="10"/>
  <c r="E2178" i="10"/>
  <c r="E2171" i="10"/>
  <c r="D2179" i="10"/>
  <c r="C2173" i="10"/>
  <c r="D2136" i="10"/>
  <c r="C2137" i="10"/>
  <c r="D2129" i="10"/>
  <c r="D2138" i="10"/>
  <c r="E2130" i="10"/>
  <c r="C574" i="10"/>
  <c r="C569" i="10"/>
  <c r="D577" i="10"/>
  <c r="D573" i="10"/>
  <c r="D560" i="10"/>
  <c r="C563" i="10"/>
  <c r="E570" i="10"/>
  <c r="C567" i="10"/>
  <c r="E569" i="10"/>
  <c r="E2211" i="10"/>
  <c r="D2216" i="10"/>
  <c r="D2217" i="10"/>
  <c r="D2210" i="10"/>
  <c r="D1607" i="10"/>
  <c r="D1601" i="10"/>
  <c r="C1598" i="10"/>
  <c r="C1601" i="10"/>
  <c r="D107" i="10"/>
  <c r="D113" i="10"/>
  <c r="E111" i="10"/>
  <c r="E109" i="10"/>
  <c r="E1367" i="10"/>
  <c r="C1368" i="10"/>
  <c r="E1377" i="10"/>
  <c r="D1376" i="10"/>
  <c r="D1952" i="10"/>
  <c r="D1946" i="10"/>
  <c r="D1948" i="10"/>
  <c r="C1945" i="10"/>
  <c r="E1305" i="10"/>
  <c r="C1307" i="10"/>
  <c r="C1303" i="10"/>
  <c r="C1306" i="10"/>
  <c r="D656" i="10"/>
  <c r="D653" i="10"/>
  <c r="C657" i="10"/>
  <c r="E652" i="10"/>
  <c r="E1833" i="10"/>
  <c r="C1839" i="10"/>
  <c r="D1839" i="10"/>
  <c r="C1843" i="10"/>
  <c r="E124" i="10"/>
  <c r="E122" i="10"/>
  <c r="C122" i="10"/>
  <c r="D844" i="10"/>
  <c r="E1425" i="10"/>
  <c r="D2024" i="10"/>
  <c r="D2623" i="10"/>
  <c r="E1721" i="10"/>
  <c r="C2551" i="10"/>
  <c r="E2557" i="10"/>
  <c r="E2562" i="10"/>
  <c r="C2563" i="10"/>
  <c r="C293" i="10"/>
  <c r="C529" i="10"/>
  <c r="E1438" i="10"/>
  <c r="D1440" i="10"/>
  <c r="E1443" i="10"/>
  <c r="D2642" i="10"/>
  <c r="D2657" i="10"/>
  <c r="C2648" i="10"/>
  <c r="D2644" i="10"/>
  <c r="D2637" i="10"/>
  <c r="E2656" i="10"/>
  <c r="E2638" i="10"/>
  <c r="E2290" i="10"/>
  <c r="E2285" i="10"/>
  <c r="D2286" i="10"/>
  <c r="C1517" i="10"/>
  <c r="C1520" i="10"/>
  <c r="E1522" i="10"/>
  <c r="E1744" i="10"/>
  <c r="E1745" i="10"/>
  <c r="C1482" i="10"/>
  <c r="C1483" i="10"/>
  <c r="C1478" i="10"/>
  <c r="D2044" i="10"/>
  <c r="E2043" i="10"/>
  <c r="D707" i="10"/>
  <c r="E710" i="10"/>
  <c r="D713" i="10"/>
  <c r="C455" i="10"/>
  <c r="E457" i="10"/>
  <c r="C458" i="10"/>
  <c r="D460" i="10"/>
  <c r="D1035" i="10"/>
  <c r="C1028" i="10"/>
  <c r="D1037" i="10"/>
  <c r="E1037" i="10"/>
  <c r="D2299" i="10"/>
  <c r="E2299" i="10"/>
  <c r="D2298" i="10"/>
  <c r="C981" i="10"/>
  <c r="C978" i="10"/>
  <c r="D979" i="10"/>
  <c r="D1507" i="10"/>
  <c r="D1513" i="10"/>
  <c r="D1503" i="10"/>
  <c r="C1511" i="10"/>
  <c r="D2178" i="10"/>
  <c r="E2174" i="10"/>
  <c r="E2177" i="10"/>
  <c r="D2174" i="10"/>
  <c r="D2130" i="10"/>
  <c r="D2135" i="10"/>
  <c r="E2137" i="10"/>
  <c r="C2130" i="10"/>
  <c r="G19" i="5"/>
  <c r="E581" i="10"/>
  <c r="E580" i="10"/>
  <c r="C573" i="10"/>
  <c r="E559" i="10"/>
  <c r="E561" i="10"/>
  <c r="D580" i="10"/>
  <c r="C566" i="10"/>
  <c r="D581" i="10"/>
  <c r="E2212" i="10"/>
  <c r="D2219" i="10"/>
  <c r="E2219" i="10"/>
  <c r="D2211" i="10"/>
  <c r="C1603" i="10"/>
  <c r="D1606" i="10"/>
  <c r="C1607" i="10"/>
  <c r="C1600" i="10"/>
  <c r="E112" i="10"/>
  <c r="D106" i="10"/>
  <c r="D110" i="10"/>
  <c r="C110" i="10"/>
  <c r="C108" i="10"/>
  <c r="C1375" i="10"/>
  <c r="C1376" i="10"/>
  <c r="C1373" i="10"/>
  <c r="E1370" i="10"/>
  <c r="D1943" i="10"/>
  <c r="C1947" i="10"/>
  <c r="E1946" i="10"/>
  <c r="E1952" i="10"/>
  <c r="D1302" i="10"/>
  <c r="E1311" i="10"/>
  <c r="E1302" i="10"/>
  <c r="C1304" i="10"/>
  <c r="E655" i="10"/>
  <c r="D657" i="10"/>
  <c r="E656" i="10"/>
  <c r="E650" i="10"/>
  <c r="E657" i="10"/>
  <c r="E1843" i="10"/>
  <c r="D1835" i="10"/>
  <c r="D1842" i="10"/>
  <c r="E1839" i="10"/>
  <c r="D121" i="10"/>
  <c r="C121" i="10"/>
  <c r="C119" i="10"/>
  <c r="E843" i="10"/>
  <c r="D1426" i="10"/>
  <c r="C2625" i="10"/>
  <c r="D1711" i="10"/>
  <c r="E2556" i="10"/>
  <c r="C2544" i="10"/>
  <c r="E2560" i="10"/>
  <c r="D2559" i="10"/>
  <c r="D285" i="10"/>
  <c r="E530" i="10"/>
  <c r="C523" i="10"/>
  <c r="C1445" i="10"/>
  <c r="C1444" i="10"/>
  <c r="C1447" i="10"/>
  <c r="E2635" i="10"/>
  <c r="C2652" i="10"/>
  <c r="D2639" i="10"/>
  <c r="C2639" i="10"/>
  <c r="D2645" i="10"/>
  <c r="C2651" i="10"/>
  <c r="E2655" i="10"/>
  <c r="C2286" i="10"/>
  <c r="E2289" i="10"/>
  <c r="D2287" i="10"/>
  <c r="C1527" i="10"/>
  <c r="D1527" i="10"/>
  <c r="D1525" i="10"/>
  <c r="E1743" i="10"/>
  <c r="C1743" i="10"/>
  <c r="E1476" i="10"/>
  <c r="D1483" i="10"/>
  <c r="D1477" i="10"/>
  <c r="E1485" i="10"/>
  <c r="C2049" i="10"/>
  <c r="E2046" i="10"/>
  <c r="E712" i="10"/>
  <c r="C708" i="10"/>
  <c r="E704" i="10"/>
  <c r="E713" i="10"/>
  <c r="D453" i="10"/>
  <c r="C456" i="10"/>
  <c r="D456" i="10"/>
  <c r="D451" i="10"/>
  <c r="D1036" i="10"/>
  <c r="D1031" i="10"/>
  <c r="E1029" i="10"/>
  <c r="D2301" i="10"/>
  <c r="D2300" i="10"/>
  <c r="C2302" i="10"/>
  <c r="D976" i="10"/>
  <c r="C980" i="10"/>
  <c r="E979" i="10"/>
  <c r="E1506" i="10"/>
  <c r="C1503" i="10"/>
  <c r="D1505" i="10"/>
  <c r="C1509" i="10"/>
  <c r="C2178" i="10"/>
  <c r="C2175" i="10"/>
  <c r="E2181" i="10"/>
  <c r="C2177" i="10"/>
  <c r="D2133" i="10"/>
  <c r="C2129" i="10"/>
  <c r="E2133" i="10"/>
  <c r="C2136" i="10"/>
  <c r="J19" i="5"/>
  <c r="C565" i="10"/>
  <c r="D570" i="10"/>
  <c r="D561" i="10"/>
  <c r="C578" i="10"/>
  <c r="D579" i="10"/>
  <c r="D576" i="10"/>
  <c r="D564" i="10"/>
  <c r="C571" i="10"/>
  <c r="C2214" i="10"/>
  <c r="C2210" i="10"/>
  <c r="C2212" i="10"/>
  <c r="C2217" i="10"/>
  <c r="C2211" i="10"/>
  <c r="D1605" i="10"/>
  <c r="C1605" i="10"/>
  <c r="E1604" i="10"/>
  <c r="E1600" i="10"/>
  <c r="E105" i="10"/>
  <c r="D112" i="10"/>
  <c r="C104" i="10"/>
  <c r="E108" i="10"/>
  <c r="E1368" i="10"/>
  <c r="D1367" i="10"/>
  <c r="D1369" i="10"/>
  <c r="C1367" i="10"/>
  <c r="C1944" i="10"/>
  <c r="C1949" i="10"/>
  <c r="C1943" i="10"/>
  <c r="C1952" i="10"/>
  <c r="E1306" i="10"/>
  <c r="D1304" i="10"/>
  <c r="D1310" i="10"/>
  <c r="D1306" i="10"/>
  <c r="D649" i="10"/>
  <c r="D655" i="10"/>
  <c r="E649" i="10"/>
  <c r="D654" i="10"/>
  <c r="E1840" i="10"/>
  <c r="D1838" i="10"/>
  <c r="C1833" i="10"/>
  <c r="C1841" i="10"/>
  <c r="D118" i="10"/>
  <c r="E121" i="10"/>
  <c r="C840" i="10"/>
  <c r="C845" i="10"/>
  <c r="D2603" i="10"/>
  <c r="E1430" i="10"/>
  <c r="C554" i="10"/>
  <c r="C1721" i="10"/>
  <c r="E2548" i="10"/>
  <c r="D2562" i="10"/>
  <c r="D2543" i="10"/>
  <c r="D284" i="10"/>
  <c r="C525" i="10"/>
  <c r="D521" i="10"/>
  <c r="D1438" i="10"/>
  <c r="C1441" i="10"/>
  <c r="D1437" i="10"/>
  <c r="D2646" i="10"/>
  <c r="D2649" i="10"/>
  <c r="D2643" i="10"/>
  <c r="D2653" i="10"/>
  <c r="D2635" i="10"/>
  <c r="E2651" i="10"/>
  <c r="E2648" i="10"/>
  <c r="E2286" i="10"/>
  <c r="D2289" i="10"/>
  <c r="D2284" i="10"/>
  <c r="C1524" i="10"/>
  <c r="C1519" i="10"/>
  <c r="D1521" i="10"/>
  <c r="E1741" i="10"/>
  <c r="C1745" i="10"/>
  <c r="D1482" i="10"/>
  <c r="D1484" i="10"/>
  <c r="D1475" i="10"/>
  <c r="C2045" i="10"/>
  <c r="D2048" i="10"/>
  <c r="C704" i="10"/>
  <c r="C710" i="10"/>
  <c r="E703" i="10"/>
  <c r="E707" i="10"/>
  <c r="D457" i="10"/>
  <c r="C454" i="10"/>
  <c r="C460" i="10"/>
  <c r="E453" i="10"/>
  <c r="D1028" i="10"/>
  <c r="C1037" i="10"/>
  <c r="D1033" i="10"/>
  <c r="D2297" i="10"/>
  <c r="C2303" i="10"/>
  <c r="C2295" i="10"/>
  <c r="D2304" i="10"/>
  <c r="D980" i="10"/>
  <c r="E981" i="10"/>
  <c r="D1509" i="10"/>
  <c r="C1513" i="10"/>
  <c r="E1511" i="10"/>
  <c r="C1506" i="10"/>
  <c r="D2180" i="10"/>
  <c r="D2177" i="10"/>
  <c r="C2176" i="10"/>
  <c r="D2172" i="10"/>
  <c r="D2131" i="10"/>
  <c r="E2136" i="10"/>
  <c r="C2131" i="10"/>
  <c r="C2132" i="10"/>
  <c r="C560" i="10"/>
  <c r="D578" i="10"/>
  <c r="D571" i="10"/>
  <c r="E564" i="10"/>
  <c r="E577" i="10"/>
  <c r="C579" i="10"/>
  <c r="E565" i="10"/>
  <c r="D572" i="10"/>
  <c r="E2209" i="10"/>
  <c r="E2217" i="10"/>
  <c r="E2215" i="10"/>
  <c r="E2214" i="10"/>
  <c r="E1602" i="10"/>
  <c r="D1603" i="10"/>
  <c r="E1603" i="10"/>
  <c r="E1606" i="10"/>
  <c r="D111" i="10"/>
  <c r="C112" i="10"/>
  <c r="D105" i="10"/>
  <c r="E104" i="10"/>
  <c r="D1375" i="10"/>
  <c r="C1369" i="10"/>
  <c r="C1377" i="10"/>
  <c r="E1375" i="10"/>
  <c r="C1374" i="10"/>
  <c r="E1947" i="10"/>
  <c r="D1950" i="10"/>
  <c r="E1949" i="10"/>
  <c r="E1953" i="10"/>
  <c r="D1309" i="10"/>
  <c r="C1302" i="10"/>
  <c r="D1303" i="10"/>
  <c r="C1305" i="10"/>
  <c r="D648" i="10"/>
  <c r="C656" i="10"/>
  <c r="E651" i="10"/>
  <c r="C647" i="10"/>
  <c r="D1840" i="10"/>
  <c r="E1841" i="10"/>
  <c r="C1835" i="10"/>
  <c r="E1842" i="10"/>
  <c r="D1837" i="10"/>
  <c r="D119" i="10"/>
  <c r="D123" i="10"/>
  <c r="E842" i="10"/>
  <c r="E841" i="10"/>
  <c r="D845" i="10"/>
  <c r="C2603" i="10"/>
  <c r="D914" i="10"/>
  <c r="C907" i="10"/>
  <c r="D911" i="10"/>
  <c r="D912" i="10"/>
  <c r="C912" i="10"/>
  <c r="E628" i="10"/>
  <c r="C631" i="10"/>
  <c r="E632" i="10"/>
  <c r="C628" i="10"/>
  <c r="C2698" i="10"/>
  <c r="C2723" i="10"/>
  <c r="D2705" i="10"/>
  <c r="C2705" i="10"/>
  <c r="D2706" i="10"/>
  <c r="C2713" i="10"/>
  <c r="C2709" i="10"/>
  <c r="E2707" i="10"/>
  <c r="D2722" i="10"/>
  <c r="C2717" i="10"/>
  <c r="E859" i="10"/>
  <c r="E852" i="10"/>
  <c r="C859" i="10"/>
  <c r="C858" i="10"/>
  <c r="C377" i="10"/>
  <c r="E367" i="10"/>
  <c r="E374" i="10"/>
  <c r="C374" i="10"/>
  <c r="C371" i="10"/>
  <c r="C1976" i="10"/>
  <c r="D1974" i="10"/>
  <c r="D1980" i="10"/>
  <c r="E1981" i="10"/>
  <c r="D2516" i="10"/>
  <c r="D2515" i="10"/>
  <c r="C2522" i="10"/>
  <c r="C2524" i="10"/>
  <c r="C638" i="10"/>
  <c r="C639" i="10"/>
  <c r="E640" i="10"/>
  <c r="E1003" i="10"/>
  <c r="C1009" i="10"/>
  <c r="E999" i="10"/>
  <c r="E1006" i="10"/>
  <c r="D2356" i="10"/>
  <c r="C2355" i="10"/>
  <c r="C2353" i="10"/>
  <c r="D2350" i="10"/>
  <c r="D1813" i="10"/>
  <c r="E1815" i="10"/>
  <c r="E1812" i="10"/>
  <c r="C1806" i="10"/>
  <c r="C1808" i="10"/>
  <c r="D1456" i="10"/>
  <c r="E1459" i="10"/>
  <c r="D1453" i="10"/>
  <c r="C1458" i="10"/>
  <c r="C1324" i="10"/>
  <c r="D1316" i="10"/>
  <c r="C1425" i="10"/>
  <c r="D555" i="10"/>
  <c r="E1719" i="10"/>
  <c r="D1721" i="10"/>
  <c r="C2549" i="10"/>
  <c r="D2552" i="10"/>
  <c r="C2564" i="10"/>
  <c r="E293" i="10"/>
  <c r="D290" i="10"/>
  <c r="C522" i="10"/>
  <c r="E528" i="10"/>
  <c r="D1439" i="10"/>
  <c r="E1442" i="10"/>
  <c r="D1447" i="10"/>
  <c r="D2636" i="10"/>
  <c r="C2649" i="10"/>
  <c r="C2647" i="10"/>
  <c r="C2635" i="10"/>
  <c r="C2640" i="10"/>
  <c r="C2645" i="10"/>
  <c r="C2282" i="10"/>
  <c r="D2282" i="10"/>
  <c r="C2283" i="10"/>
  <c r="E1523" i="10"/>
  <c r="D1520" i="10"/>
  <c r="C1523" i="10"/>
  <c r="E1742" i="10"/>
  <c r="C1744" i="10"/>
  <c r="C1479" i="10"/>
  <c r="E1484" i="10"/>
  <c r="D1480" i="10"/>
  <c r="D2045" i="10"/>
  <c r="C2043" i="10"/>
  <c r="C707" i="10"/>
  <c r="D709" i="10"/>
  <c r="D712" i="10"/>
  <c r="D703" i="10"/>
  <c r="E456" i="10"/>
  <c r="C451" i="10"/>
  <c r="D458" i="10"/>
  <c r="C453" i="10"/>
  <c r="C1035" i="10"/>
  <c r="C1036" i="10"/>
  <c r="E1028" i="10"/>
  <c r="E2304" i="10"/>
  <c r="D2302" i="10"/>
  <c r="C2299" i="10"/>
  <c r="D2305" i="10"/>
  <c r="C976" i="10"/>
  <c r="E980" i="10"/>
  <c r="E1503" i="10"/>
  <c r="C1512" i="10"/>
  <c r="E1512" i="10"/>
  <c r="D1510" i="10"/>
  <c r="D1512" i="10"/>
  <c r="C2180" i="10"/>
  <c r="E2173" i="10"/>
  <c r="C2181" i="10"/>
  <c r="D2175" i="10"/>
  <c r="D2137" i="10"/>
  <c r="E2134" i="10"/>
  <c r="E2132" i="10"/>
  <c r="C2135" i="10"/>
  <c r="C577" i="10"/>
  <c r="E562" i="10"/>
  <c r="C564" i="10"/>
  <c r="C562" i="10"/>
  <c r="C572" i="10"/>
  <c r="E575" i="10"/>
  <c r="E574" i="10"/>
  <c r="E573" i="10"/>
  <c r="D575" i="10"/>
  <c r="C2216" i="10"/>
  <c r="C2219" i="10"/>
  <c r="E2210" i="10"/>
  <c r="C2213" i="10"/>
  <c r="E1597" i="10"/>
  <c r="C1602" i="10"/>
  <c r="E1599" i="10"/>
  <c r="D1600" i="10"/>
  <c r="E1607" i="10"/>
  <c r="C105" i="10"/>
  <c r="C111" i="10"/>
  <c r="C109" i="10"/>
  <c r="E107" i="10"/>
  <c r="D1370" i="10"/>
  <c r="D1373" i="10"/>
  <c r="E1373" i="10"/>
  <c r="D1371" i="10"/>
  <c r="D1947" i="10"/>
  <c r="C1946" i="10"/>
  <c r="E1950" i="10"/>
  <c r="E551" i="10"/>
  <c r="E1720" i="10"/>
  <c r="E1712" i="10"/>
  <c r="C2543" i="10"/>
  <c r="D2550" i="10"/>
  <c r="D2561" i="10"/>
  <c r="D293" i="10"/>
  <c r="D287" i="10"/>
  <c r="C531" i="10"/>
  <c r="D525" i="10"/>
  <c r="E1445" i="10"/>
  <c r="E1446" i="10"/>
  <c r="D2651" i="10"/>
  <c r="E2636" i="10"/>
  <c r="C2650" i="10"/>
  <c r="E2653" i="10"/>
  <c r="C2655" i="10"/>
  <c r="E2646" i="10"/>
  <c r="E2287" i="10"/>
  <c r="D2281" i="10"/>
  <c r="C2290" i="10"/>
  <c r="D2290" i="10"/>
  <c r="D1526" i="10"/>
  <c r="E1525" i="10"/>
  <c r="E1520" i="10"/>
  <c r="D1743" i="10"/>
  <c r="D1745" i="10"/>
  <c r="C1485" i="10"/>
  <c r="E1475" i="10"/>
  <c r="E1483" i="10"/>
  <c r="D2043" i="10"/>
  <c r="E2044" i="10"/>
  <c r="C705" i="10"/>
  <c r="D704" i="10"/>
  <c r="C703" i="10"/>
  <c r="E705" i="10"/>
  <c r="C461" i="10"/>
  <c r="C457" i="10"/>
  <c r="D452" i="10"/>
  <c r="C1034" i="10"/>
  <c r="E1034" i="10"/>
  <c r="E1035" i="10"/>
  <c r="C2297" i="10"/>
  <c r="C2300" i="10"/>
  <c r="D2296" i="10"/>
  <c r="E2297" i="10"/>
  <c r="E977" i="10"/>
  <c r="D981" i="10"/>
  <c r="D1506" i="10"/>
  <c r="C1505" i="10"/>
  <c r="E1508" i="10"/>
  <c r="C1507" i="10"/>
  <c r="E2172" i="10"/>
  <c r="E2175" i="10"/>
  <c r="C2174" i="10"/>
  <c r="E2176" i="10"/>
  <c r="E2129" i="10"/>
  <c r="C2133" i="10"/>
  <c r="D2139" i="10"/>
  <c r="E2139" i="10"/>
  <c r="D559" i="10"/>
  <c r="D569" i="10"/>
  <c r="D568" i="10"/>
  <c r="C568" i="10"/>
  <c r="E572" i="10"/>
  <c r="D565" i="10"/>
  <c r="C581" i="10"/>
  <c r="C580" i="10"/>
  <c r="E568" i="10"/>
  <c r="D2212" i="10"/>
  <c r="D2214" i="10"/>
  <c r="E2218" i="10"/>
  <c r="E2213" i="10"/>
  <c r="E1598" i="10"/>
  <c r="D1598" i="10"/>
  <c r="E1601" i="10"/>
  <c r="E1605" i="10"/>
  <c r="D109" i="10"/>
  <c r="D114" i="10"/>
  <c r="C114" i="10"/>
  <c r="E106" i="10"/>
  <c r="E1374" i="10"/>
  <c r="C1371" i="10"/>
  <c r="D1377" i="10"/>
  <c r="D1374" i="10"/>
  <c r="C1951" i="10"/>
  <c r="D1945" i="10"/>
  <c r="D1951" i="10"/>
  <c r="D1953" i="10"/>
  <c r="E1944" i="10"/>
  <c r="C1311" i="10"/>
  <c r="E1309" i="10"/>
  <c r="C1310" i="10"/>
  <c r="E1303" i="10"/>
  <c r="E653" i="10"/>
  <c r="E654" i="10"/>
  <c r="D650" i="10"/>
  <c r="D647" i="10"/>
  <c r="E1838" i="10"/>
  <c r="D1841" i="10"/>
  <c r="D1834" i="10"/>
  <c r="E1837" i="10"/>
  <c r="E2020" i="10"/>
  <c r="D1720" i="10"/>
  <c r="D1715" i="10"/>
  <c r="E2555" i="10"/>
  <c r="E2547" i="10"/>
  <c r="E2559" i="10"/>
  <c r="E289" i="10"/>
  <c r="E291" i="10"/>
  <c r="D523" i="10"/>
  <c r="C521" i="10"/>
  <c r="C1442" i="10"/>
  <c r="E1440" i="10"/>
  <c r="E2647" i="10"/>
  <c r="D2652" i="10"/>
  <c r="D2647" i="10"/>
  <c r="C2643" i="10"/>
  <c r="C2653" i="10"/>
  <c r="E2643" i="10"/>
  <c r="C2291" i="10"/>
  <c r="C2284" i="10"/>
  <c r="C2285" i="10"/>
  <c r="D1519" i="10"/>
  <c r="C1526" i="10"/>
  <c r="E1521" i="10"/>
  <c r="C1741" i="10"/>
  <c r="D1739" i="10"/>
  <c r="E1477" i="10"/>
  <c r="D1481" i="10"/>
  <c r="D1479" i="10"/>
  <c r="C2044" i="10"/>
  <c r="D2049" i="10"/>
  <c r="E706" i="10"/>
  <c r="D710" i="10"/>
  <c r="C711" i="10"/>
  <c r="D706" i="10"/>
  <c r="E459" i="10"/>
  <c r="D459" i="10"/>
  <c r="E455" i="10"/>
  <c r="E1033" i="10"/>
  <c r="C1029" i="10"/>
  <c r="C1032" i="10"/>
  <c r="E1036" i="10"/>
  <c r="C2298" i="10"/>
  <c r="D2303" i="10"/>
  <c r="C2301" i="10"/>
  <c r="D2295" i="10"/>
  <c r="E978" i="10"/>
  <c r="D977" i="10"/>
  <c r="E1504" i="10"/>
  <c r="C1510" i="10"/>
  <c r="C1504" i="10"/>
  <c r="E1505" i="10"/>
  <c r="D2173" i="10"/>
  <c r="C2179" i="10"/>
  <c r="E2180" i="10"/>
  <c r="E2179" i="10"/>
  <c r="C2172" i="10"/>
  <c r="E2138" i="10"/>
  <c r="C2134" i="10"/>
  <c r="E2131" i="10"/>
  <c r="D2134" i="10"/>
  <c r="C576" i="10"/>
  <c r="C559" i="10"/>
  <c r="E563" i="10"/>
  <c r="C570" i="10"/>
  <c r="E566" i="10"/>
  <c r="E578" i="10"/>
  <c r="C575" i="10"/>
  <c r="D566" i="10"/>
  <c r="C561" i="10"/>
  <c r="C2218" i="10"/>
  <c r="D2209" i="10"/>
  <c r="D2213" i="10"/>
  <c r="E2216" i="10"/>
  <c r="C1606" i="10"/>
  <c r="D1597" i="10"/>
  <c r="C1599" i="10"/>
  <c r="C1597" i="10"/>
  <c r="C106" i="10"/>
  <c r="E114" i="10"/>
  <c r="E110" i="10"/>
  <c r="C113" i="10"/>
  <c r="E1376" i="10"/>
  <c r="D1368" i="10"/>
  <c r="C1370" i="10"/>
  <c r="D1372" i="10"/>
  <c r="E1945" i="10"/>
  <c r="E1943" i="10"/>
  <c r="D1949" i="10"/>
  <c r="C1948" i="10"/>
  <c r="E1301" i="10"/>
  <c r="D1308" i="10"/>
  <c r="E1310" i="10"/>
  <c r="C1308" i="10"/>
  <c r="C652" i="10"/>
  <c r="C650" i="10"/>
  <c r="C653" i="10"/>
  <c r="E647" i="10"/>
  <c r="C1840" i="10"/>
  <c r="C1837" i="10"/>
  <c r="C1836" i="10"/>
  <c r="C1834" i="10"/>
  <c r="C124" i="10"/>
  <c r="D122" i="10"/>
  <c r="E123" i="10"/>
  <c r="D840" i="10"/>
  <c r="E844" i="10"/>
  <c r="E2025" i="10"/>
  <c r="D2618" i="10"/>
  <c r="D1719" i="10"/>
  <c r="C1714" i="10"/>
  <c r="E2550" i="10"/>
  <c r="E2563" i="10"/>
  <c r="C2553" i="10"/>
  <c r="E288" i="10"/>
  <c r="C289" i="10"/>
  <c r="E527" i="10"/>
  <c r="D1441" i="10"/>
  <c r="D1445" i="10"/>
  <c r="C2656" i="10"/>
  <c r="C2641" i="10"/>
  <c r="D2640" i="10"/>
  <c r="C2637" i="10"/>
  <c r="D2656" i="10"/>
  <c r="E2640" i="10"/>
  <c r="C2288" i="10"/>
  <c r="C2289" i="10"/>
  <c r="E2281" i="10"/>
  <c r="C1521" i="10"/>
  <c r="C1525" i="10"/>
  <c r="E1518" i="10"/>
  <c r="E1526" i="10"/>
  <c r="E1740" i="10"/>
  <c r="C1739" i="10"/>
  <c r="E1479" i="10"/>
  <c r="E1482" i="10"/>
  <c r="C1481" i="10"/>
  <c r="C2047" i="10"/>
  <c r="D2046" i="10"/>
  <c r="C2046" i="10"/>
  <c r="C709" i="10"/>
  <c r="E709" i="10"/>
  <c r="C712" i="10"/>
  <c r="E461" i="10"/>
  <c r="D461" i="10"/>
  <c r="E458" i="10"/>
  <c r="E1031" i="10"/>
  <c r="E1027" i="10"/>
  <c r="D1034" i="10"/>
  <c r="D1030" i="10"/>
  <c r="E2305" i="10"/>
  <c r="C2304" i="10"/>
  <c r="E2301" i="10"/>
  <c r="E2303" i="10"/>
  <c r="E976" i="10"/>
  <c r="C979" i="10"/>
  <c r="D1511" i="10"/>
  <c r="C1508" i="10"/>
  <c r="E1507" i="10"/>
  <c r="E1513" i="10"/>
  <c r="D2181" i="10"/>
  <c r="D2171" i="10"/>
  <c r="C2171" i="10"/>
  <c r="D2176" i="10"/>
  <c r="C2139" i="10"/>
  <c r="C2138" i="10"/>
  <c r="D2132" i="10"/>
  <c r="E2135" i="10"/>
  <c r="D574" i="10"/>
  <c r="E567" i="10"/>
  <c r="E579" i="10"/>
  <c r="E571" i="10"/>
  <c r="D567" i="10"/>
  <c r="E576" i="10"/>
  <c r="E560" i="10"/>
  <c r="D563" i="10"/>
  <c r="D562" i="10"/>
  <c r="D2218" i="10"/>
  <c r="D2215" i="10"/>
  <c r="C2209" i="10"/>
  <c r="C2215" i="10"/>
  <c r="D1604" i="10"/>
  <c r="D1602" i="10"/>
  <c r="C1604" i="10"/>
  <c r="D1599" i="10"/>
  <c r="E113" i="10"/>
  <c r="D108" i="10"/>
  <c r="D104" i="10"/>
  <c r="C107" i="10"/>
  <c r="E1369" i="10"/>
  <c r="E1372" i="10"/>
  <c r="C1372" i="10"/>
  <c r="E1371" i="10"/>
  <c r="E1951" i="10"/>
  <c r="E1948" i="10"/>
  <c r="C1953" i="10"/>
  <c r="C1950" i="10"/>
  <c r="C1301" i="10"/>
  <c r="E1307" i="10"/>
  <c r="E1308" i="10"/>
  <c r="D1307" i="10"/>
  <c r="C1309" i="10"/>
  <c r="D652" i="10"/>
  <c r="E648" i="10"/>
  <c r="C655" i="10"/>
  <c r="C649" i="10"/>
  <c r="D1836" i="10"/>
  <c r="D1843" i="10"/>
  <c r="D1833" i="10"/>
  <c r="E1836" i="10"/>
  <c r="C120" i="10"/>
  <c r="E119" i="10"/>
  <c r="E118" i="10"/>
  <c r="D839" i="10"/>
  <c r="C844" i="10"/>
  <c r="D841" i="10"/>
  <c r="D2602" i="10"/>
  <c r="D908" i="10"/>
  <c r="E905" i="10"/>
  <c r="D910" i="10"/>
  <c r="E913" i="10"/>
  <c r="E625" i="10"/>
  <c r="E630" i="10"/>
  <c r="C626" i="10"/>
  <c r="E629" i="10"/>
  <c r="D2704" i="10"/>
  <c r="E2698" i="10"/>
  <c r="E2705" i="10"/>
  <c r="E2723" i="10"/>
  <c r="E2704" i="10"/>
  <c r="E2722" i="10"/>
  <c r="E2712" i="10"/>
  <c r="D2701" i="10"/>
  <c r="C2715" i="10"/>
  <c r="C2700" i="10"/>
  <c r="C2718" i="10"/>
  <c r="C851" i="10"/>
  <c r="E851" i="10"/>
  <c r="E857" i="10"/>
  <c r="D850" i="10"/>
  <c r="D369" i="10"/>
  <c r="E377" i="10"/>
  <c r="E369" i="10"/>
  <c r="C367" i="10"/>
  <c r="E1973" i="10"/>
  <c r="C1981" i="10"/>
  <c r="C1980" i="10"/>
  <c r="C1978" i="10"/>
  <c r="E2517" i="10"/>
  <c r="E2516" i="10"/>
  <c r="D2520" i="10"/>
  <c r="E2522" i="10"/>
  <c r="D2522" i="10"/>
  <c r="E642" i="10"/>
  <c r="C641" i="10"/>
  <c r="C1000" i="10"/>
  <c r="C1007" i="10"/>
  <c r="E1005" i="10"/>
  <c r="E1001" i="10"/>
  <c r="C1002" i="10"/>
  <c r="C2351" i="10"/>
  <c r="C2356" i="10"/>
  <c r="E2349" i="10"/>
  <c r="E2356" i="10"/>
  <c r="C1815" i="10"/>
  <c r="E1805" i="10"/>
  <c r="C1813" i="10"/>
  <c r="E1809" i="10"/>
  <c r="E1460" i="10"/>
  <c r="E1456" i="10"/>
  <c r="D1459" i="10"/>
  <c r="C1452" i="10"/>
  <c r="G23" i="5"/>
  <c r="E1316" i="10"/>
  <c r="C1318" i="10"/>
  <c r="E1323" i="10"/>
  <c r="D651" i="10"/>
  <c r="E1835" i="10"/>
  <c r="E839" i="10"/>
  <c r="E840" i="10"/>
  <c r="D905" i="10"/>
  <c r="C913" i="10"/>
  <c r="C910" i="10"/>
  <c r="D624" i="10"/>
  <c r="E623" i="10"/>
  <c r="E631" i="10"/>
  <c r="D2714" i="10"/>
  <c r="E2720" i="10"/>
  <c r="E2700" i="10"/>
  <c r="C2712" i="10"/>
  <c r="E2702" i="10"/>
  <c r="C2704" i="10"/>
  <c r="E2699" i="10"/>
  <c r="C853" i="10"/>
  <c r="D859" i="10"/>
  <c r="E853" i="10"/>
  <c r="D368" i="10"/>
  <c r="C369" i="10"/>
  <c r="D372" i="10"/>
  <c r="E1971" i="10"/>
  <c r="E1977" i="10"/>
  <c r="C1971" i="10"/>
  <c r="C2518" i="10"/>
  <c r="C2520" i="10"/>
  <c r="C2521" i="10"/>
  <c r="D640" i="10"/>
  <c r="C642" i="10"/>
  <c r="D999" i="10"/>
  <c r="C1008" i="10"/>
  <c r="D1003" i="10"/>
  <c r="D2352" i="10"/>
  <c r="C2357" i="10"/>
  <c r="C2354" i="10"/>
  <c r="E1813" i="10"/>
  <c r="E1814" i="10"/>
  <c r="D1810" i="10"/>
  <c r="C1459" i="10"/>
  <c r="C1457" i="10"/>
  <c r="D1455" i="10"/>
  <c r="C1322" i="10"/>
  <c r="C1319" i="10"/>
  <c r="E1325" i="10"/>
  <c r="C1316" i="10"/>
  <c r="E895" i="10"/>
  <c r="C892" i="10"/>
  <c r="E893" i="10"/>
  <c r="E900" i="10"/>
  <c r="J25" i="5"/>
  <c r="E1181" i="10"/>
  <c r="E1188" i="10"/>
  <c r="D1192" i="10"/>
  <c r="C1198" i="10"/>
  <c r="D1193" i="10"/>
  <c r="C1194" i="10"/>
  <c r="D1186" i="10"/>
  <c r="D723" i="10"/>
  <c r="D722" i="10"/>
  <c r="E720" i="10"/>
  <c r="D717" i="10"/>
  <c r="C301" i="10"/>
  <c r="D304" i="10"/>
  <c r="E304" i="10"/>
  <c r="E307" i="10"/>
  <c r="D1929" i="10"/>
  <c r="E1926" i="10"/>
  <c r="E1917" i="10"/>
  <c r="C1927" i="10"/>
  <c r="E1939" i="10"/>
  <c r="C1930" i="10"/>
  <c r="E1929" i="10"/>
  <c r="D1927" i="10"/>
  <c r="C1936" i="10"/>
  <c r="E1058" i="10"/>
  <c r="C1060" i="10"/>
  <c r="C1057" i="10"/>
  <c r="E1061" i="10"/>
  <c r="C146" i="10"/>
  <c r="C143" i="10"/>
  <c r="E152" i="10"/>
  <c r="C149" i="10"/>
  <c r="E146" i="10"/>
  <c r="D1777" i="10"/>
  <c r="D1787" i="10"/>
  <c r="C1786" i="10"/>
  <c r="D1786" i="10"/>
  <c r="E613" i="10"/>
  <c r="E615" i="10"/>
  <c r="D614" i="10"/>
  <c r="C1098" i="10"/>
  <c r="D1106" i="10"/>
  <c r="E1106" i="10"/>
  <c r="E1098" i="10"/>
  <c r="D10" i="10"/>
  <c r="C13" i="10"/>
  <c r="C14" i="10"/>
  <c r="E15" i="10"/>
  <c r="J29" i="5"/>
  <c r="E878" i="10"/>
  <c r="D886" i="10"/>
  <c r="D885" i="10"/>
  <c r="C883" i="10"/>
  <c r="C1693" i="10"/>
  <c r="E1689" i="10"/>
  <c r="C1692" i="10"/>
  <c r="D1353" i="10"/>
  <c r="D1360" i="10"/>
  <c r="E1360" i="10"/>
  <c r="D1361" i="10"/>
  <c r="C134" i="10"/>
  <c r="D137" i="10"/>
  <c r="D136" i="10"/>
  <c r="D134" i="10"/>
  <c r="E362" i="10"/>
  <c r="C361" i="10"/>
  <c r="C362" i="10"/>
  <c r="C354" i="10"/>
  <c r="E469" i="10"/>
  <c r="E467" i="10"/>
  <c r="D473" i="10"/>
  <c r="E465" i="10"/>
  <c r="E1118" i="10"/>
  <c r="C1114" i="10"/>
  <c r="D1113" i="10"/>
  <c r="D1120" i="10"/>
  <c r="E1115" i="10"/>
  <c r="E405" i="10"/>
  <c r="E400" i="10"/>
  <c r="D403" i="10"/>
  <c r="D399" i="10"/>
  <c r="C2491" i="10"/>
  <c r="C2488" i="10"/>
  <c r="C2495" i="10"/>
  <c r="E2496" i="10"/>
  <c r="E939" i="10"/>
  <c r="D934" i="10"/>
  <c r="E935" i="10"/>
  <c r="E941" i="10"/>
  <c r="E2612" i="10"/>
  <c r="C2612" i="10"/>
  <c r="E2469" i="10"/>
  <c r="E2468" i="10"/>
  <c r="E26" i="10"/>
  <c r="C20" i="10"/>
  <c r="E24" i="10"/>
  <c r="E20" i="10"/>
  <c r="E2454" i="10"/>
  <c r="C2454" i="10"/>
  <c r="C1246" i="10"/>
  <c r="D1244" i="10"/>
  <c r="C181" i="10"/>
  <c r="E186" i="10"/>
  <c r="C485" i="10"/>
  <c r="C481" i="10"/>
  <c r="D489" i="10"/>
  <c r="C489" i="10"/>
  <c r="C255" i="10"/>
  <c r="D250" i="10"/>
  <c r="E249" i="10"/>
  <c r="D252" i="10"/>
  <c r="E1041" i="10"/>
  <c r="C1044" i="10"/>
  <c r="D1044" i="10"/>
  <c r="D1049" i="10"/>
  <c r="E1992" i="10"/>
  <c r="C1996" i="10"/>
  <c r="C1992" i="10"/>
  <c r="E2008" i="10"/>
  <c r="E2009" i="10"/>
  <c r="C2004" i="10"/>
  <c r="D2010" i="10"/>
  <c r="E988" i="10"/>
  <c r="D991" i="10"/>
  <c r="D985" i="10"/>
  <c r="E989" i="10"/>
  <c r="D157" i="10"/>
  <c r="E158" i="10"/>
  <c r="D162" i="10"/>
  <c r="D1912" i="10"/>
  <c r="C1908" i="10"/>
  <c r="D1910" i="10"/>
  <c r="E55" i="10"/>
  <c r="C57" i="10"/>
  <c r="D57" i="10"/>
  <c r="E51" i="10"/>
  <c r="E1612" i="10"/>
  <c r="C1621" i="10"/>
  <c r="E1615" i="10"/>
  <c r="E1611" i="10"/>
  <c r="D517" i="10"/>
  <c r="E510" i="10"/>
  <c r="E515" i="10"/>
  <c r="C511" i="10"/>
  <c r="C2503" i="10"/>
  <c r="C2506" i="10"/>
  <c r="D2508" i="10"/>
  <c r="D2507" i="10"/>
  <c r="D1631" i="10"/>
  <c r="D1630" i="10"/>
  <c r="C1627" i="10"/>
  <c r="C1626" i="10"/>
  <c r="D233" i="10"/>
  <c r="D236" i="10"/>
  <c r="D234" i="10"/>
  <c r="D240" i="10"/>
  <c r="G26" i="5"/>
  <c r="D1647" i="10"/>
  <c r="D1646" i="10"/>
  <c r="D1642" i="10"/>
  <c r="C1639" i="10"/>
  <c r="C970" i="10"/>
  <c r="C967" i="10"/>
  <c r="D969" i="10"/>
  <c r="C971" i="10"/>
  <c r="C2229" i="10"/>
  <c r="D2231" i="10"/>
  <c r="D2224" i="10"/>
  <c r="E2232" i="10"/>
  <c r="J22" i="5"/>
  <c r="E2151" i="10"/>
  <c r="C2149" i="10"/>
  <c r="D2153" i="10"/>
  <c r="E2147" i="10"/>
  <c r="E1088" i="10"/>
  <c r="E1087" i="10"/>
  <c r="C1092" i="10"/>
  <c r="E1089" i="10"/>
  <c r="E350" i="10"/>
  <c r="C341" i="10"/>
  <c r="C345" i="10"/>
  <c r="D350" i="10"/>
  <c r="E2082" i="10"/>
  <c r="E2083" i="10"/>
  <c r="E1333" i="10"/>
  <c r="C1333" i="10"/>
  <c r="C1336" i="10"/>
  <c r="E1331" i="10"/>
  <c r="D1233" i="10"/>
  <c r="C1230" i="10"/>
  <c r="D1236" i="10"/>
  <c r="D1229" i="10"/>
  <c r="D2481" i="10"/>
  <c r="D2480" i="10"/>
  <c r="C603" i="10"/>
  <c r="E599" i="10"/>
  <c r="C604" i="10"/>
  <c r="E605" i="10"/>
  <c r="D2463" i="10"/>
  <c r="C1551" i="10"/>
  <c r="C1547" i="10"/>
  <c r="E1550" i="10"/>
  <c r="D1551" i="10"/>
  <c r="E1551" i="10"/>
  <c r="D1292" i="10"/>
  <c r="D1290" i="10"/>
  <c r="D1293" i="10"/>
  <c r="E1292" i="10"/>
  <c r="C737" i="10"/>
  <c r="C736" i="10"/>
  <c r="C731" i="10"/>
  <c r="E741" i="10"/>
  <c r="D539" i="10"/>
  <c r="E543" i="10"/>
  <c r="C544" i="10"/>
  <c r="C536" i="10"/>
  <c r="C2320" i="10"/>
  <c r="E2328" i="10"/>
  <c r="D2326" i="10"/>
  <c r="D2321" i="10"/>
  <c r="E2320" i="10"/>
  <c r="E494" i="10"/>
  <c r="D503" i="10"/>
  <c r="E498" i="10"/>
  <c r="E501" i="10"/>
  <c r="E2380" i="10"/>
  <c r="C2380" i="10"/>
  <c r="D2377" i="10"/>
  <c r="E2378" i="10"/>
  <c r="C2123" i="10"/>
  <c r="E2123" i="10"/>
  <c r="D2119" i="10"/>
  <c r="E2125" i="10"/>
  <c r="D2418" i="10"/>
  <c r="C2417" i="10"/>
  <c r="D2414" i="10"/>
  <c r="D1944" i="10"/>
  <c r="C651" i="10"/>
  <c r="D843" i="10"/>
  <c r="C914" i="10"/>
  <c r="C908" i="10"/>
  <c r="E908" i="10"/>
  <c r="D628" i="10"/>
  <c r="E633" i="10"/>
  <c r="C627" i="10"/>
  <c r="E2721" i="10"/>
  <c r="C2716" i="10"/>
  <c r="D2717" i="10"/>
  <c r="C2699" i="10"/>
  <c r="D2713" i="10"/>
  <c r="D2699" i="10"/>
  <c r="C2703" i="10"/>
  <c r="E854" i="10"/>
  <c r="C857" i="10"/>
  <c r="C855" i="10"/>
  <c r="C856" i="10"/>
  <c r="D370" i="10"/>
  <c r="E368" i="10"/>
  <c r="E370" i="10"/>
  <c r="D1973" i="10"/>
  <c r="D1977" i="10"/>
  <c r="E1978" i="10"/>
  <c r="E2518" i="10"/>
  <c r="D2521" i="10"/>
  <c r="D2523" i="10"/>
  <c r="E637" i="10"/>
  <c r="D638" i="10"/>
  <c r="E1004" i="10"/>
  <c r="D1006" i="10"/>
  <c r="C1005" i="10"/>
  <c r="D2357" i="10"/>
  <c r="D2347" i="10"/>
  <c r="E2351" i="10"/>
  <c r="D2349" i="10"/>
  <c r="C1811" i="10"/>
  <c r="D1812" i="10"/>
  <c r="D1809" i="10"/>
  <c r="E1452" i="10"/>
  <c r="E1455" i="10"/>
  <c r="C1454" i="10"/>
  <c r="D1320" i="10"/>
  <c r="D1315" i="10"/>
  <c r="D1319" i="10"/>
  <c r="C1320" i="10"/>
  <c r="D894" i="10"/>
  <c r="E896" i="10"/>
  <c r="D892" i="10"/>
  <c r="D893" i="10"/>
  <c r="E1182" i="10"/>
  <c r="D1187" i="10"/>
  <c r="E1184" i="10"/>
  <c r="E1199" i="10"/>
  <c r="C1197" i="10"/>
  <c r="D1195" i="10"/>
  <c r="C1182" i="10"/>
  <c r="E717" i="10"/>
  <c r="E725" i="10"/>
  <c r="C717" i="10"/>
  <c r="D720" i="10"/>
  <c r="E305" i="10"/>
  <c r="D305" i="10"/>
  <c r="C307" i="10"/>
  <c r="D298" i="10"/>
  <c r="C1935" i="10"/>
  <c r="C1918" i="10"/>
  <c r="D1923" i="10"/>
  <c r="C1921" i="10"/>
  <c r="C1924" i="10"/>
  <c r="E1934" i="10"/>
  <c r="E1937" i="10"/>
  <c r="E1938" i="10"/>
  <c r="E1930" i="10"/>
  <c r="E1055" i="10"/>
  <c r="E1065" i="10"/>
  <c r="D1061" i="10"/>
  <c r="D1062" i="10"/>
  <c r="E144" i="10"/>
  <c r="E148" i="10"/>
  <c r="E149" i="10"/>
  <c r="D144" i="10"/>
  <c r="E1780" i="10"/>
  <c r="C1777" i="10"/>
  <c r="C1783" i="10"/>
  <c r="D1779" i="10"/>
  <c r="C617" i="10"/>
  <c r="D619" i="10"/>
  <c r="C1105" i="10"/>
  <c r="D1097" i="10"/>
  <c r="E1102" i="10"/>
  <c r="E1100" i="10"/>
  <c r="E9" i="10"/>
  <c r="D8" i="10"/>
  <c r="E8" i="10"/>
  <c r="D11" i="10"/>
  <c r="G29" i="5"/>
  <c r="C887" i="10"/>
  <c r="D877" i="10"/>
  <c r="E877" i="10"/>
  <c r="C884" i="10"/>
  <c r="D1690" i="10"/>
  <c r="D1692" i="10"/>
  <c r="E1692" i="10"/>
  <c r="C1357" i="10"/>
  <c r="D1355" i="10"/>
  <c r="E1357" i="10"/>
  <c r="E1362" i="10"/>
  <c r="C131" i="10"/>
  <c r="C133" i="10"/>
  <c r="E134" i="10"/>
  <c r="C135" i="10"/>
  <c r="E363" i="10"/>
  <c r="C356" i="10"/>
  <c r="C363" i="10"/>
  <c r="D354" i="10"/>
  <c r="C474" i="10"/>
  <c r="D469" i="10"/>
  <c r="E474" i="10"/>
  <c r="E466" i="10"/>
  <c r="D1114" i="10"/>
  <c r="D1118" i="10"/>
  <c r="E1120" i="10"/>
  <c r="E1114" i="10"/>
  <c r="D397" i="10"/>
  <c r="E401" i="10"/>
  <c r="E398" i="10"/>
  <c r="D400" i="10"/>
  <c r="D2490" i="10"/>
  <c r="E2493" i="10"/>
  <c r="E2488" i="10"/>
  <c r="E2490" i="10"/>
  <c r="C942" i="10"/>
  <c r="D941" i="10"/>
  <c r="C943" i="10"/>
  <c r="D940" i="10"/>
  <c r="D935" i="10"/>
  <c r="E2613" i="10"/>
  <c r="E2608" i="10"/>
  <c r="C2468" i="10"/>
  <c r="E2467" i="10"/>
  <c r="E2472" i="10"/>
  <c r="E29" i="10"/>
  <c r="E22" i="10"/>
  <c r="D26" i="10"/>
  <c r="E28" i="10"/>
  <c r="D23" i="10"/>
  <c r="E2451" i="10"/>
  <c r="D2452" i="10"/>
  <c r="E1248" i="10"/>
  <c r="D1245" i="10"/>
  <c r="C1244" i="10"/>
  <c r="D182" i="10"/>
  <c r="D183" i="10"/>
  <c r="E182" i="10"/>
  <c r="D485" i="10"/>
  <c r="E489" i="10"/>
  <c r="E485" i="10"/>
  <c r="C483" i="10"/>
  <c r="C251" i="10"/>
  <c r="E254" i="10"/>
  <c r="E248" i="10"/>
  <c r="C247" i="10"/>
  <c r="E252" i="10"/>
  <c r="D1047" i="10"/>
  <c r="C1051" i="10"/>
  <c r="D1046" i="10"/>
  <c r="C1050" i="10"/>
  <c r="E1991" i="10"/>
  <c r="D1996" i="10"/>
  <c r="E1995" i="10"/>
  <c r="D2009" i="10"/>
  <c r="E2005" i="10"/>
  <c r="E2002" i="10"/>
  <c r="D2003" i="10"/>
  <c r="E987" i="10"/>
  <c r="D990" i="10"/>
  <c r="E985" i="10"/>
  <c r="D992" i="10"/>
  <c r="E160" i="10"/>
  <c r="C159" i="10"/>
  <c r="E159" i="10"/>
  <c r="D1911" i="10"/>
  <c r="E1907" i="10"/>
  <c r="E1908" i="10"/>
  <c r="D58" i="10"/>
  <c r="E54" i="10"/>
  <c r="E58" i="10"/>
  <c r="C49" i="10"/>
  <c r="D1619" i="10"/>
  <c r="C1611" i="10"/>
  <c r="E1617" i="10"/>
  <c r="E1621" i="10"/>
  <c r="E512" i="10"/>
  <c r="C510" i="10"/>
  <c r="D508" i="10"/>
  <c r="D513" i="10"/>
  <c r="D512" i="10"/>
  <c r="E2504" i="10"/>
  <c r="D2506" i="10"/>
  <c r="D2502" i="10"/>
  <c r="E2502" i="10"/>
  <c r="D1625" i="10"/>
  <c r="E1632" i="10"/>
  <c r="E1633" i="10"/>
  <c r="C1629" i="10"/>
  <c r="E234" i="10"/>
  <c r="E240" i="10"/>
  <c r="C235" i="10"/>
  <c r="C240" i="10"/>
  <c r="J26" i="5"/>
  <c r="C1646" i="10"/>
  <c r="C1641" i="10"/>
  <c r="C1648" i="10"/>
  <c r="D1649" i="10"/>
  <c r="D970" i="10"/>
  <c r="C965" i="10"/>
  <c r="D967" i="10"/>
  <c r="E962" i="10"/>
  <c r="C2231" i="10"/>
  <c r="E2226" i="10"/>
  <c r="D2230" i="10"/>
  <c r="D2229" i="10"/>
  <c r="G22" i="5"/>
  <c r="E2150" i="10"/>
  <c r="E2145" i="10"/>
  <c r="D2146" i="10"/>
  <c r="E2143" i="10"/>
  <c r="E1091" i="10"/>
  <c r="E1093" i="10"/>
  <c r="E1084" i="10"/>
  <c r="C1089" i="10"/>
  <c r="E349" i="10"/>
  <c r="D344" i="10"/>
  <c r="C350" i="10"/>
  <c r="E348" i="10"/>
  <c r="D2083" i="10"/>
  <c r="C2079" i="10"/>
  <c r="C2077" i="10"/>
  <c r="D1339" i="10"/>
  <c r="D1333" i="10"/>
  <c r="C1334" i="10"/>
  <c r="D1330" i="10"/>
  <c r="D1231" i="10"/>
  <c r="E1239" i="10"/>
  <c r="C1233" i="10"/>
  <c r="D1230" i="10"/>
  <c r="E1229" i="10"/>
  <c r="E2478" i="10"/>
  <c r="E2477" i="10"/>
  <c r="C601" i="10"/>
  <c r="D606" i="10"/>
  <c r="C602" i="10"/>
  <c r="E604" i="10"/>
  <c r="D600" i="10"/>
  <c r="C2461" i="10"/>
  <c r="E1542" i="10"/>
  <c r="D1546" i="10"/>
  <c r="E1548" i="10"/>
  <c r="E1546" i="10"/>
  <c r="D1287" i="10"/>
  <c r="C1296" i="10"/>
  <c r="E1290" i="10"/>
  <c r="E1287" i="10"/>
  <c r="D740" i="10"/>
  <c r="C741" i="10"/>
  <c r="E732" i="10"/>
  <c r="D736" i="10"/>
  <c r="C545" i="10"/>
  <c r="E538" i="10"/>
  <c r="D541" i="10"/>
  <c r="D542" i="10"/>
  <c r="E2329" i="10"/>
  <c r="C2322" i="10"/>
  <c r="D2320" i="10"/>
  <c r="C2319" i="10"/>
  <c r="C497" i="10"/>
  <c r="D500" i="10"/>
  <c r="C502" i="10"/>
  <c r="C500" i="10"/>
  <c r="E2381" i="10"/>
  <c r="D2375" i="10"/>
  <c r="C2382" i="10"/>
  <c r="D2378" i="10"/>
  <c r="D2123" i="10"/>
  <c r="C2122" i="10"/>
  <c r="D2124" i="10"/>
  <c r="D2118" i="10"/>
  <c r="C2416" i="10"/>
  <c r="E2413" i="10"/>
  <c r="D2415" i="10"/>
  <c r="C654" i="10"/>
  <c r="E120" i="10"/>
  <c r="C841" i="10"/>
  <c r="E2603" i="10"/>
  <c r="C915" i="10"/>
  <c r="E906" i="10"/>
  <c r="E915" i="10"/>
  <c r="D633" i="10"/>
  <c r="D630" i="10"/>
  <c r="D629" i="10"/>
  <c r="D625" i="10"/>
  <c r="C2719" i="10"/>
  <c r="C2722" i="10"/>
  <c r="C2702" i="10"/>
  <c r="C2720" i="10"/>
  <c r="D2698" i="10"/>
  <c r="E2701" i="10"/>
  <c r="D2707" i="10"/>
  <c r="E850" i="10"/>
  <c r="C852" i="10"/>
  <c r="C849" i="10"/>
  <c r="D375" i="10"/>
  <c r="C370" i="10"/>
  <c r="D377" i="10"/>
  <c r="C1977" i="10"/>
  <c r="C1972" i="10"/>
  <c r="C1979" i="10"/>
  <c r="D2517" i="10"/>
  <c r="C2523" i="10"/>
  <c r="D2519" i="10"/>
  <c r="C643" i="10"/>
  <c r="D641" i="10"/>
  <c r="C1001" i="10"/>
  <c r="C1006" i="10"/>
  <c r="E1002" i="10"/>
  <c r="D2348" i="10"/>
  <c r="C2352" i="10"/>
  <c r="C2347" i="10"/>
  <c r="C1805" i="10"/>
  <c r="E1808" i="10"/>
  <c r="C1812" i="10"/>
  <c r="C1460" i="10"/>
  <c r="E1457" i="10"/>
  <c r="C1455" i="10"/>
  <c r="E1317" i="10"/>
  <c r="E1321" i="10"/>
  <c r="E1319" i="10"/>
  <c r="C1321" i="10"/>
  <c r="E894" i="10"/>
  <c r="E892" i="10"/>
  <c r="E897" i="10"/>
  <c r="C900" i="10"/>
  <c r="C1186" i="10"/>
  <c r="D1182" i="10"/>
  <c r="D1198" i="10"/>
  <c r="E1193" i="10"/>
  <c r="C1189" i="10"/>
  <c r="C1191" i="10"/>
  <c r="E1190" i="10"/>
  <c r="C1185" i="10"/>
  <c r="E726" i="10"/>
  <c r="C722" i="10"/>
  <c r="E718" i="10"/>
  <c r="D727" i="10"/>
  <c r="C304" i="10"/>
  <c r="D302" i="10"/>
  <c r="E298" i="10"/>
  <c r="D308" i="10"/>
  <c r="D1924" i="10"/>
  <c r="E1932" i="10"/>
  <c r="E1927" i="10"/>
  <c r="E1933" i="10"/>
  <c r="E1931" i="10"/>
  <c r="E1918" i="10"/>
  <c r="C1923" i="10"/>
  <c r="E1922" i="10"/>
  <c r="E1935" i="10"/>
  <c r="D1058" i="10"/>
  <c r="D1065" i="10"/>
  <c r="E1062" i="10"/>
  <c r="E1064" i="10"/>
  <c r="D142" i="10"/>
  <c r="C144" i="10"/>
  <c r="D143" i="10"/>
  <c r="D145" i="10"/>
  <c r="C1780" i="10"/>
  <c r="D1778" i="10"/>
  <c r="D1785" i="10"/>
  <c r="C1782" i="10"/>
  <c r="E1785" i="10"/>
  <c r="C614" i="10"/>
  <c r="D618" i="10"/>
  <c r="D1103" i="10"/>
  <c r="C1104" i="10"/>
  <c r="C1107" i="10"/>
  <c r="C1106" i="10"/>
  <c r="E1105" i="10"/>
  <c r="C8" i="10"/>
  <c r="E6" i="10"/>
  <c r="D13" i="10"/>
  <c r="E7" i="10"/>
  <c r="D883" i="10"/>
  <c r="C877" i="10"/>
  <c r="C879" i="10"/>
  <c r="D887" i="10"/>
  <c r="D1688" i="10"/>
  <c r="D1691" i="10"/>
  <c r="E1356" i="10"/>
  <c r="D1354" i="10"/>
  <c r="E1359" i="10"/>
  <c r="D1362" i="10"/>
  <c r="E129" i="10"/>
  <c r="D130" i="10"/>
  <c r="D138" i="10"/>
  <c r="E137" i="10"/>
  <c r="D359" i="10"/>
  <c r="E355" i="10"/>
  <c r="D357" i="10"/>
  <c r="C359" i="10"/>
  <c r="C465" i="10"/>
  <c r="E472" i="10"/>
  <c r="C466" i="10"/>
  <c r="E471" i="10"/>
  <c r="C1113" i="10"/>
  <c r="C1112" i="10"/>
  <c r="C1119" i="10"/>
  <c r="E1112" i="10"/>
  <c r="D401" i="10"/>
  <c r="C403" i="10"/>
  <c r="E399" i="10"/>
  <c r="C397" i="10"/>
  <c r="E396" i="10"/>
  <c r="C2490" i="10"/>
  <c r="C2494" i="10"/>
  <c r="C2493" i="10"/>
  <c r="D2494" i="10"/>
  <c r="D939" i="10"/>
  <c r="C938" i="10"/>
  <c r="C940" i="10"/>
  <c r="D942" i="10"/>
  <c r="E2610" i="10"/>
  <c r="E2611" i="10"/>
  <c r="C2472" i="10"/>
  <c r="E2471" i="10"/>
  <c r="D2472" i="10"/>
  <c r="C28" i="10"/>
  <c r="C23" i="10"/>
  <c r="C24" i="10"/>
  <c r="C29" i="10"/>
  <c r="D2454" i="10"/>
  <c r="E2455" i="10"/>
  <c r="D1243" i="10"/>
  <c r="D1246" i="10"/>
  <c r="C1243" i="10"/>
  <c r="C183" i="10"/>
  <c r="E181" i="10"/>
  <c r="C185" i="10"/>
  <c r="E487" i="10"/>
  <c r="D483" i="10"/>
  <c r="E484" i="10"/>
  <c r="D480" i="10"/>
  <c r="C249" i="10"/>
  <c r="E250" i="10"/>
  <c r="E256" i="10"/>
  <c r="D255" i="10"/>
  <c r="D1050" i="10"/>
  <c r="E1043" i="10"/>
  <c r="C1048" i="10"/>
  <c r="D1048" i="10"/>
  <c r="E1996" i="10"/>
  <c r="D1993" i="10"/>
  <c r="E2006" i="10"/>
  <c r="D2011" i="10"/>
  <c r="D2001" i="10"/>
  <c r="C2003" i="10"/>
  <c r="C994" i="10"/>
  <c r="D988" i="10"/>
  <c r="D986" i="10"/>
  <c r="C990" i="10"/>
  <c r="C156" i="10"/>
  <c r="E157" i="10"/>
  <c r="E161" i="10"/>
  <c r="D1907" i="10"/>
  <c r="C1909" i="10"/>
  <c r="C54" i="10"/>
  <c r="E53" i="10"/>
  <c r="D52" i="10"/>
  <c r="D51" i="10"/>
  <c r="D1618" i="10"/>
  <c r="D1620" i="10"/>
  <c r="C1616" i="10"/>
  <c r="C1619" i="10"/>
  <c r="E517" i="10"/>
  <c r="D514" i="10"/>
  <c r="D509" i="10"/>
  <c r="D511" i="10"/>
  <c r="C2502" i="10"/>
  <c r="C2501" i="10"/>
  <c r="D2510" i="10"/>
  <c r="D2511" i="10"/>
  <c r="E1631" i="10"/>
  <c r="E1629" i="10"/>
  <c r="E1626" i="10"/>
  <c r="D1629" i="10"/>
  <c r="D239" i="10"/>
  <c r="C236" i="10"/>
  <c r="C238" i="10"/>
  <c r="E242" i="10"/>
  <c r="D1648" i="10"/>
  <c r="D1644" i="10"/>
  <c r="E1649" i="10"/>
  <c r="C1647" i="10"/>
  <c r="C961" i="10"/>
  <c r="E966" i="10"/>
  <c r="C962" i="10"/>
  <c r="E970" i="10"/>
  <c r="E2225" i="10"/>
  <c r="D2226" i="10"/>
  <c r="C2223" i="10"/>
  <c r="C2230" i="10"/>
  <c r="D2150" i="10"/>
  <c r="D2151" i="10"/>
  <c r="E2152" i="10"/>
  <c r="E2149" i="10"/>
  <c r="C1091" i="10"/>
  <c r="C1087" i="10"/>
  <c r="C1088" i="10"/>
  <c r="E1090" i="10"/>
  <c r="E345" i="10"/>
  <c r="C349" i="10"/>
  <c r="E344" i="10"/>
  <c r="D347" i="10"/>
  <c r="C2080" i="10"/>
  <c r="C2082" i="10"/>
  <c r="E2077" i="10"/>
  <c r="D1336" i="10"/>
  <c r="C1339" i="10"/>
  <c r="D1331" i="10"/>
  <c r="C1329" i="10"/>
  <c r="C1234" i="10"/>
  <c r="E1231" i="10"/>
  <c r="C1229" i="10"/>
  <c r="D1232" i="10"/>
  <c r="C2478" i="10"/>
  <c r="D2477" i="10"/>
  <c r="E609" i="10"/>
  <c r="E600" i="10"/>
  <c r="E606" i="10"/>
  <c r="C608" i="10"/>
  <c r="D2461" i="10"/>
  <c r="C1544" i="10"/>
  <c r="C1546" i="10"/>
  <c r="C1548" i="10"/>
  <c r="C1542" i="10"/>
  <c r="D1289" i="10"/>
  <c r="D1294" i="10"/>
  <c r="E1291" i="10"/>
  <c r="C1294" i="10"/>
  <c r="C1295" i="10"/>
  <c r="E731" i="10"/>
  <c r="E738" i="10"/>
  <c r="D738" i="10"/>
  <c r="C734" i="10"/>
  <c r="D545" i="10"/>
  <c r="C541" i="10"/>
  <c r="E537" i="10"/>
  <c r="D536" i="10"/>
  <c r="D2327" i="10"/>
  <c r="C2325" i="10"/>
  <c r="C2327" i="10"/>
  <c r="D2324" i="10"/>
  <c r="E500" i="10"/>
  <c r="C499" i="10"/>
  <c r="D497" i="10"/>
  <c r="C496" i="10"/>
  <c r="C498" i="10"/>
  <c r="D2380" i="10"/>
  <c r="E2385" i="10"/>
  <c r="E2383" i="10"/>
  <c r="D2385" i="10"/>
  <c r="C2119" i="10"/>
  <c r="D2122" i="10"/>
  <c r="D2120" i="10"/>
  <c r="D2117" i="10"/>
  <c r="C2414" i="10"/>
  <c r="E2417" i="10"/>
  <c r="E1304" i="10"/>
  <c r="C648" i="10"/>
  <c r="D124" i="10"/>
  <c r="C843" i="10"/>
  <c r="C2602" i="10"/>
  <c r="C909" i="10"/>
  <c r="D915" i="10"/>
  <c r="D913" i="10"/>
  <c r="C632" i="10"/>
  <c r="C623" i="10"/>
  <c r="D626" i="10"/>
  <c r="C2701" i="10"/>
  <c r="D2709" i="10"/>
  <c r="C2721" i="10"/>
  <c r="D2710" i="10"/>
  <c r="D2721" i="10"/>
  <c r="D2720" i="10"/>
  <c r="D2712" i="10"/>
  <c r="D855" i="10"/>
  <c r="D851" i="10"/>
  <c r="E855" i="10"/>
  <c r="C375" i="10"/>
  <c r="D376" i="10"/>
  <c r="E373" i="10"/>
  <c r="D1975" i="10"/>
  <c r="E1972" i="10"/>
  <c r="D1971" i="10"/>
  <c r="E2521" i="10"/>
  <c r="E2515" i="10"/>
  <c r="E2520" i="10"/>
  <c r="E643" i="10"/>
  <c r="E641" i="10"/>
  <c r="D1002" i="10"/>
  <c r="D1007" i="10"/>
  <c r="C1003" i="10"/>
  <c r="E2357" i="10"/>
  <c r="D2354" i="10"/>
  <c r="C2350" i="10"/>
  <c r="E1806" i="10"/>
  <c r="E1811" i="10"/>
  <c r="D1806" i="10"/>
  <c r="D1460" i="10"/>
  <c r="C1453" i="10"/>
  <c r="D1452" i="10"/>
  <c r="D1322" i="10"/>
  <c r="D1325" i="10"/>
  <c r="C1325" i="10"/>
  <c r="D1324" i="10"/>
  <c r="D891" i="10"/>
  <c r="C895" i="10"/>
  <c r="C901" i="10"/>
  <c r="C894" i="10"/>
  <c r="D1185" i="10"/>
  <c r="C1181" i="10"/>
  <c r="C1193" i="10"/>
  <c r="E1196" i="10"/>
  <c r="E1185" i="10"/>
  <c r="C1195" i="10"/>
  <c r="C1196" i="10"/>
  <c r="C724" i="10"/>
  <c r="C726" i="10"/>
  <c r="D721" i="10"/>
  <c r="D726" i="10"/>
  <c r="C306" i="10"/>
  <c r="D300" i="10"/>
  <c r="D301" i="10"/>
  <c r="D307" i="10"/>
  <c r="C1931" i="10"/>
  <c r="E1936" i="10"/>
  <c r="C1917" i="10"/>
  <c r="D1935" i="10"/>
  <c r="D1932" i="10"/>
  <c r="D1928" i="10"/>
  <c r="C1938" i="10"/>
  <c r="C1932" i="10"/>
  <c r="C1937" i="10"/>
  <c r="C1064" i="10"/>
  <c r="D1063" i="10"/>
  <c r="D1059" i="10"/>
  <c r="D1060" i="10"/>
  <c r="C148" i="10"/>
  <c r="C142" i="10"/>
  <c r="C151" i="10"/>
  <c r="D150" i="10"/>
  <c r="D1783" i="10"/>
  <c r="C1778" i="10"/>
  <c r="E1786" i="10"/>
  <c r="D1782" i="10"/>
  <c r="C613" i="10"/>
  <c r="C615" i="10"/>
  <c r="C1099" i="10"/>
  <c r="E1107" i="10"/>
  <c r="C1102" i="10"/>
  <c r="D1102" i="10"/>
  <c r="D12" i="10"/>
  <c r="C9" i="10"/>
  <c r="C7" i="10"/>
  <c r="D7" i="10"/>
  <c r="E884" i="10"/>
  <c r="C878" i="10"/>
  <c r="D879" i="10"/>
  <c r="E883" i="10"/>
  <c r="C886" i="10"/>
  <c r="D1693" i="10"/>
  <c r="E1688" i="10"/>
  <c r="C1354" i="10"/>
  <c r="E1355" i="10"/>
  <c r="C1361" i="10"/>
  <c r="C1355" i="10"/>
  <c r="C1360" i="10"/>
  <c r="E136" i="10"/>
  <c r="E131" i="10"/>
  <c r="D131" i="10"/>
  <c r="E128" i="10"/>
  <c r="D356" i="10"/>
  <c r="C355" i="10"/>
  <c r="C357" i="10"/>
  <c r="D363" i="10"/>
  <c r="E475" i="10"/>
  <c r="D472" i="10"/>
  <c r="E468" i="10"/>
  <c r="E473" i="10"/>
  <c r="C1120" i="10"/>
  <c r="C1116" i="10"/>
  <c r="E1111" i="10"/>
  <c r="C1118" i="10"/>
  <c r="C399" i="10"/>
  <c r="E404" i="10"/>
  <c r="C400" i="10"/>
  <c r="C395" i="10"/>
  <c r="E2495" i="10"/>
  <c r="D2489" i="10"/>
  <c r="C2489" i="10"/>
  <c r="C2487" i="10"/>
  <c r="D936" i="10"/>
  <c r="C935" i="10"/>
  <c r="E934" i="10"/>
  <c r="C941" i="10"/>
  <c r="D2609" i="10"/>
  <c r="C2609" i="10"/>
  <c r="E2609" i="10"/>
  <c r="C2470" i="10"/>
  <c r="E2470" i="10"/>
  <c r="D2468" i="10"/>
  <c r="D21" i="10"/>
  <c r="D28" i="10"/>
  <c r="E21" i="10"/>
  <c r="D24" i="10"/>
  <c r="C2456" i="10"/>
  <c r="D2456" i="10"/>
  <c r="D2451" i="10"/>
  <c r="E1245" i="10"/>
  <c r="E1249" i="10"/>
  <c r="E1244" i="10"/>
  <c r="E183" i="10"/>
  <c r="E184" i="10"/>
  <c r="E185" i="10"/>
  <c r="E480" i="10"/>
  <c r="D481" i="10"/>
  <c r="C488" i="10"/>
  <c r="C487" i="10"/>
  <c r="C254" i="10"/>
  <c r="C252" i="10"/>
  <c r="D253" i="10"/>
  <c r="E251" i="10"/>
  <c r="E1051" i="10"/>
  <c r="E1050" i="10"/>
  <c r="D1051" i="10"/>
  <c r="E1048" i="10"/>
  <c r="C1049" i="10"/>
  <c r="D1995" i="10"/>
  <c r="E1997" i="10"/>
  <c r="C2001" i="10"/>
  <c r="E2010" i="10"/>
  <c r="C2002" i="10"/>
  <c r="E2001" i="10"/>
  <c r="C2009" i="10"/>
  <c r="C992" i="10"/>
  <c r="D987" i="10"/>
  <c r="E992" i="10"/>
  <c r="D993" i="10"/>
  <c r="E162" i="10"/>
  <c r="C157" i="10"/>
  <c r="D158" i="10"/>
  <c r="D1909" i="10"/>
  <c r="E1909" i="10"/>
  <c r="E56" i="10"/>
  <c r="C48" i="10"/>
  <c r="C56" i="10"/>
  <c r="C51" i="10"/>
  <c r="D1613" i="10"/>
  <c r="C1615" i="10"/>
  <c r="D1617" i="10"/>
  <c r="C1614" i="10"/>
  <c r="C515" i="10"/>
  <c r="E513" i="10"/>
  <c r="E511" i="10"/>
  <c r="C509" i="10"/>
  <c r="D2504" i="10"/>
  <c r="E2508" i="10"/>
  <c r="E2506" i="10"/>
  <c r="C2510" i="10"/>
  <c r="D2505" i="10"/>
  <c r="E1627" i="10"/>
  <c r="D1626" i="10"/>
  <c r="C1628" i="10"/>
  <c r="D1628" i="10"/>
  <c r="E232" i="10"/>
  <c r="D237" i="10"/>
  <c r="C242" i="10"/>
  <c r="C239" i="10"/>
  <c r="D1643" i="10"/>
  <c r="D1640" i="10"/>
  <c r="C1640" i="10"/>
  <c r="E1647" i="10"/>
  <c r="C1643" i="10"/>
  <c r="C968" i="10"/>
  <c r="E971" i="10"/>
  <c r="C966" i="10"/>
  <c r="E961" i="10"/>
  <c r="C2233" i="10"/>
  <c r="C2225" i="10"/>
  <c r="E2223" i="10"/>
  <c r="E2233" i="10"/>
  <c r="E2144" i="10"/>
  <c r="C2144" i="10"/>
  <c r="C2148" i="10"/>
  <c r="C2147" i="10"/>
  <c r="E2146" i="10"/>
  <c r="D1091" i="10"/>
  <c r="D1086" i="10"/>
  <c r="E1092" i="10"/>
  <c r="D1084" i="10"/>
  <c r="E343" i="10"/>
  <c r="D342" i="10"/>
  <c r="E340" i="10"/>
  <c r="D340" i="10"/>
  <c r="C2083" i="10"/>
  <c r="D2081" i="10"/>
  <c r="C2081" i="10"/>
  <c r="C1335" i="10"/>
  <c r="E1335" i="10"/>
  <c r="E1339" i="10"/>
  <c r="C1331" i="10"/>
  <c r="C1238" i="10"/>
  <c r="C1235" i="10"/>
  <c r="E1237" i="10"/>
  <c r="C1231" i="10"/>
  <c r="C2483" i="10"/>
  <c r="E2479" i="10"/>
  <c r="C2480" i="10"/>
  <c r="D599" i="10"/>
  <c r="C600" i="10"/>
  <c r="D604" i="10"/>
  <c r="C609" i="10"/>
  <c r="E2463" i="10"/>
  <c r="C2462" i="10"/>
  <c r="D1549" i="10"/>
  <c r="D1541" i="10"/>
  <c r="D1545" i="10"/>
  <c r="E1547" i="10"/>
  <c r="E1296" i="10"/>
  <c r="E1295" i="10"/>
  <c r="E1293" i="10"/>
  <c r="D1295" i="10"/>
  <c r="C740" i="10"/>
  <c r="D737" i="10"/>
  <c r="E733" i="10"/>
  <c r="E737" i="10"/>
  <c r="D543" i="10"/>
  <c r="D538" i="10"/>
  <c r="E540" i="10"/>
  <c r="E535" i="10"/>
  <c r="C2329" i="10"/>
  <c r="E2325" i="10"/>
  <c r="D2319" i="10"/>
  <c r="E2326" i="10"/>
  <c r="E496" i="10"/>
  <c r="D496" i="10"/>
  <c r="E493" i="10"/>
  <c r="E495" i="10"/>
  <c r="D2381" i="10"/>
  <c r="C2383" i="10"/>
  <c r="D2384" i="10"/>
  <c r="E2375" i="10"/>
  <c r="E2117" i="10"/>
  <c r="C2118" i="10"/>
  <c r="D2121" i="10"/>
  <c r="C2125" i="10"/>
  <c r="C2418" i="10"/>
  <c r="E2414" i="10"/>
  <c r="C2413" i="10"/>
  <c r="E2271" i="10"/>
  <c r="C2269" i="10"/>
  <c r="E2268" i="10"/>
  <c r="D213" i="10"/>
  <c r="C205" i="10"/>
  <c r="D208" i="10"/>
  <c r="C211" i="10"/>
  <c r="D2167" i="10"/>
  <c r="C2166" i="10"/>
  <c r="C2163" i="10"/>
  <c r="D2164" i="10"/>
  <c r="C2309" i="10"/>
  <c r="D2314" i="10"/>
  <c r="C2310" i="10"/>
  <c r="C1384" i="10"/>
  <c r="C1386" i="10"/>
  <c r="C1389" i="10"/>
  <c r="E1382" i="10"/>
  <c r="C2343" i="10"/>
  <c r="D2341" i="10"/>
  <c r="D2338" i="10"/>
  <c r="D2337" i="10"/>
  <c r="E663" i="10"/>
  <c r="D671" i="10"/>
  <c r="C669" i="10"/>
  <c r="D667" i="10"/>
  <c r="D1965" i="10"/>
  <c r="C1962" i="10"/>
  <c r="C1964" i="10"/>
  <c r="E1960" i="10"/>
  <c r="C1826" i="10"/>
  <c r="D1822" i="10"/>
  <c r="E1829" i="10"/>
  <c r="D1824" i="10"/>
  <c r="C762" i="10"/>
  <c r="D769" i="10"/>
  <c r="D762" i="10"/>
  <c r="C763" i="10"/>
  <c r="D1861" i="10"/>
  <c r="C1864" i="10"/>
  <c r="D1868" i="10"/>
  <c r="E1869" i="10"/>
  <c r="E1903" i="10"/>
  <c r="E1895" i="10"/>
  <c r="D1890" i="10"/>
  <c r="E1897" i="10"/>
  <c r="D1899" i="10"/>
  <c r="D1888" i="10"/>
  <c r="D1894" i="10"/>
  <c r="D1311" i="10"/>
  <c r="C118" i="10"/>
  <c r="C839" i="10"/>
  <c r="E2602" i="10"/>
  <c r="C906" i="10"/>
  <c r="E907" i="10"/>
  <c r="C911" i="10"/>
  <c r="E627" i="10"/>
  <c r="D632" i="10"/>
  <c r="E624" i="10"/>
  <c r="C2697" i="10"/>
  <c r="D2708" i="10"/>
  <c r="E2718" i="10"/>
  <c r="D2700" i="10"/>
  <c r="E2708" i="10"/>
  <c r="D2711" i="10"/>
  <c r="C2707" i="10"/>
  <c r="E2717" i="10"/>
  <c r="E856" i="10"/>
  <c r="D858" i="10"/>
  <c r="E849" i="10"/>
  <c r="D371" i="10"/>
  <c r="D367" i="10"/>
  <c r="E376" i="10"/>
  <c r="C1973" i="10"/>
  <c r="E1979" i="10"/>
  <c r="D1972" i="10"/>
  <c r="E1980" i="10"/>
  <c r="C2519" i="10"/>
  <c r="C2515" i="10"/>
  <c r="C2516" i="10"/>
  <c r="E639" i="10"/>
  <c r="C640" i="10"/>
  <c r="D1005" i="10"/>
  <c r="D1001" i="10"/>
  <c r="C1004" i="10"/>
  <c r="C2348" i="10"/>
  <c r="D2353" i="10"/>
  <c r="D2355" i="10"/>
  <c r="C1814" i="10"/>
  <c r="C1807" i="10"/>
  <c r="D1814" i="10"/>
  <c r="E1453" i="10"/>
  <c r="D1461" i="10"/>
  <c r="E1458" i="10"/>
  <c r="D1457" i="10"/>
  <c r="E1322" i="10"/>
  <c r="E1320" i="10"/>
  <c r="C1323" i="10"/>
  <c r="E891" i="10"/>
  <c r="C896" i="10"/>
  <c r="D899" i="10"/>
  <c r="E898" i="10"/>
  <c r="E1189" i="10"/>
  <c r="E1195" i="10"/>
  <c r="C1183" i="10"/>
  <c r="D1190" i="10"/>
  <c r="E1183" i="10"/>
  <c r="C1188" i="10"/>
  <c r="E1186" i="10"/>
  <c r="C719" i="10"/>
  <c r="C718" i="10"/>
  <c r="E722" i="10"/>
  <c r="E721" i="10"/>
  <c r="C723" i="10"/>
  <c r="C299" i="10"/>
  <c r="E300" i="10"/>
  <c r="D306" i="10"/>
  <c r="E301" i="10"/>
  <c r="E1925" i="10"/>
  <c r="D1937" i="10"/>
  <c r="D1921" i="10"/>
  <c r="C1934" i="10"/>
  <c r="D1930" i="10"/>
  <c r="C1926" i="10"/>
  <c r="D1926" i="10"/>
  <c r="D1919" i="10"/>
  <c r="D1917" i="10"/>
  <c r="C1055" i="10"/>
  <c r="E1063" i="10"/>
  <c r="C1065" i="10"/>
  <c r="E1060" i="10"/>
  <c r="D148" i="10"/>
  <c r="E145" i="10"/>
  <c r="E151" i="10"/>
  <c r="D146" i="10"/>
  <c r="C1787" i="10"/>
  <c r="E1779" i="10"/>
  <c r="E1783" i="10"/>
  <c r="C1785" i="10"/>
  <c r="C616" i="10"/>
  <c r="D615" i="10"/>
  <c r="C619" i="10"/>
  <c r="D1107" i="10"/>
  <c r="C1103" i="10"/>
  <c r="D1104" i="10"/>
  <c r="D1101" i="10"/>
  <c r="D6" i="10"/>
  <c r="E10" i="10"/>
  <c r="C6" i="10"/>
  <c r="C12" i="10"/>
  <c r="C16" i="10"/>
  <c r="C880" i="10"/>
  <c r="E881" i="10"/>
  <c r="E880" i="10"/>
  <c r="E886" i="10"/>
  <c r="D1687" i="10"/>
  <c r="D1689" i="10"/>
  <c r="E1361" i="10"/>
  <c r="E1354" i="10"/>
  <c r="C1356" i="10"/>
  <c r="D1356" i="10"/>
  <c r="D133" i="10"/>
  <c r="C129" i="10"/>
  <c r="C132" i="10"/>
  <c r="C138" i="10"/>
  <c r="E359" i="10"/>
  <c r="C360" i="10"/>
  <c r="E360" i="10"/>
  <c r="E354" i="10"/>
  <c r="C471" i="10"/>
  <c r="D471" i="10"/>
  <c r="C475" i="10"/>
  <c r="D467" i="10"/>
  <c r="D1119" i="10"/>
  <c r="E1113" i="10"/>
  <c r="C1115" i="10"/>
  <c r="E1121" i="10"/>
  <c r="D395" i="10"/>
  <c r="C404" i="10"/>
  <c r="C398" i="10"/>
  <c r="C401" i="10"/>
  <c r="J27" i="5"/>
  <c r="D2488" i="10"/>
  <c r="D2491" i="10"/>
  <c r="D2497" i="10"/>
  <c r="D2495" i="10"/>
  <c r="E937" i="10"/>
  <c r="D937" i="10"/>
  <c r="D938" i="10"/>
  <c r="C934" i="10"/>
  <c r="C2611" i="10"/>
  <c r="C2608" i="10"/>
  <c r="D2608" i="10"/>
  <c r="D2473" i="10"/>
  <c r="D2471" i="10"/>
  <c r="C2471" i="10"/>
  <c r="D20" i="10"/>
  <c r="C25" i="10"/>
  <c r="D30" i="10"/>
  <c r="D25" i="10"/>
  <c r="C2452" i="10"/>
  <c r="E2456" i="10"/>
  <c r="E2452" i="10"/>
  <c r="E1246" i="10"/>
  <c r="E1247" i="10"/>
  <c r="C1249" i="10"/>
  <c r="D181" i="10"/>
  <c r="E180" i="10"/>
  <c r="C186" i="10"/>
  <c r="D479" i="10"/>
  <c r="C482" i="10"/>
  <c r="E482" i="10"/>
  <c r="E479" i="10"/>
  <c r="D248" i="10"/>
  <c r="C256" i="10"/>
  <c r="D251" i="10"/>
  <c r="E246" i="10"/>
  <c r="C1045" i="10"/>
  <c r="E1042" i="10"/>
  <c r="C1043" i="10"/>
  <c r="E1046" i="10"/>
  <c r="D1992" i="10"/>
  <c r="C1995" i="10"/>
  <c r="D2005" i="10"/>
  <c r="D2004" i="10"/>
  <c r="E2004" i="10"/>
  <c r="D2002" i="10"/>
  <c r="C993" i="10"/>
  <c r="C988" i="10"/>
  <c r="C986" i="10"/>
  <c r="C991" i="10"/>
  <c r="C160" i="10"/>
  <c r="C162" i="10"/>
  <c r="E1913" i="10"/>
  <c r="E1911" i="10"/>
  <c r="C50" i="10"/>
  <c r="C53" i="10"/>
  <c r="E52" i="10"/>
  <c r="C58" i="10"/>
  <c r="C1612" i="10"/>
  <c r="D1615" i="10"/>
  <c r="E1620" i="10"/>
  <c r="D1621" i="10"/>
  <c r="D515" i="10"/>
  <c r="E508" i="10"/>
  <c r="E507" i="10"/>
  <c r="C507" i="10"/>
  <c r="E2511" i="10"/>
  <c r="C2505" i="10"/>
  <c r="E2503" i="10"/>
  <c r="C2509" i="10"/>
  <c r="C1635" i="10"/>
  <c r="E1635" i="10"/>
  <c r="C1632" i="10"/>
  <c r="E1634" i="10"/>
  <c r="C241" i="10"/>
  <c r="E239" i="10"/>
  <c r="E237" i="10"/>
  <c r="C234" i="10"/>
  <c r="E1643" i="10"/>
  <c r="E1644" i="10"/>
  <c r="E1645" i="10"/>
  <c r="D1639" i="10"/>
  <c r="E968" i="10"/>
  <c r="D971" i="10"/>
  <c r="C963" i="10"/>
  <c r="E964" i="10"/>
  <c r="D2223" i="10"/>
  <c r="E2230" i="10"/>
  <c r="C2226" i="10"/>
  <c r="D2232" i="10"/>
  <c r="D2143" i="10"/>
  <c r="C2143" i="10"/>
  <c r="D2148" i="10"/>
  <c r="D2147" i="10"/>
  <c r="C1090" i="10"/>
  <c r="C1083" i="10"/>
  <c r="E1086" i="10"/>
  <c r="C1084" i="10"/>
  <c r="D343" i="10"/>
  <c r="C346" i="10"/>
  <c r="C347" i="10"/>
  <c r="E341" i="10"/>
  <c r="D2078" i="10"/>
  <c r="E2081" i="10"/>
  <c r="E2079" i="10"/>
  <c r="D1337" i="10"/>
  <c r="D1338" i="10"/>
  <c r="C1330" i="10"/>
  <c r="D1329" i="10"/>
  <c r="E1232" i="10"/>
  <c r="E1238" i="10"/>
  <c r="D1238" i="10"/>
  <c r="C1239" i="10"/>
  <c r="D2483" i="10"/>
  <c r="D2479" i="10"/>
  <c r="E2482" i="10"/>
  <c r="C607" i="10"/>
  <c r="D602" i="10"/>
  <c r="D605" i="10"/>
  <c r="C606" i="10"/>
  <c r="E2461" i="10"/>
  <c r="D1543" i="10"/>
  <c r="C1550" i="10"/>
  <c r="C1541" i="10"/>
  <c r="E1544" i="10"/>
  <c r="C1288" i="10"/>
  <c r="C1293" i="10"/>
  <c r="E1297" i="10"/>
  <c r="C1289" i="10"/>
  <c r="C732" i="10"/>
  <c r="C735" i="10"/>
  <c r="D733" i="10"/>
  <c r="D734" i="10"/>
  <c r="D732" i="10"/>
  <c r="D537" i="10"/>
  <c r="D544" i="10"/>
  <c r="C542" i="10"/>
  <c r="C537" i="10"/>
  <c r="C2323" i="10"/>
  <c r="D2325" i="10"/>
  <c r="E2324" i="10"/>
  <c r="E2323" i="10"/>
  <c r="D498" i="10"/>
  <c r="C501" i="10"/>
  <c r="D501" i="10"/>
  <c r="D499" i="10"/>
  <c r="C2375" i="10"/>
  <c r="C2385" i="10"/>
  <c r="D2376" i="10"/>
  <c r="D1301" i="10"/>
  <c r="E1834" i="10"/>
  <c r="D120" i="10"/>
  <c r="D842" i="10"/>
  <c r="D2604" i="10"/>
  <c r="E911" i="10"/>
  <c r="D909" i="10"/>
  <c r="E914" i="10"/>
  <c r="C629" i="10"/>
  <c r="D631" i="10"/>
  <c r="D627" i="10"/>
  <c r="E2709" i="10"/>
  <c r="E2697" i="10"/>
  <c r="E2719" i="10"/>
  <c r="D2715" i="10"/>
  <c r="C2706" i="10"/>
  <c r="D2703" i="10"/>
  <c r="E2713" i="10"/>
  <c r="C2714" i="10"/>
  <c r="D849" i="10"/>
  <c r="D853" i="10"/>
  <c r="C854" i="10"/>
  <c r="C376" i="10"/>
  <c r="C368" i="10"/>
  <c r="D373" i="10"/>
  <c r="C1974" i="10"/>
  <c r="E1975" i="10"/>
  <c r="E1974" i="10"/>
  <c r="C2525" i="10"/>
  <c r="E2525" i="10"/>
  <c r="D2524" i="10"/>
  <c r="D637" i="10"/>
  <c r="E638" i="10"/>
  <c r="D1008" i="10"/>
  <c r="D1004" i="10"/>
  <c r="E1008" i="10"/>
  <c r="C2349" i="10"/>
  <c r="E2350" i="10"/>
  <c r="D2351" i="10"/>
  <c r="D1815" i="10"/>
  <c r="D1811" i="10"/>
  <c r="C1810" i="10"/>
  <c r="C1461" i="10"/>
  <c r="E1451" i="10"/>
  <c r="D1454" i="10"/>
  <c r="E1318" i="10"/>
  <c r="D1318" i="10"/>
  <c r="E1324" i="10"/>
  <c r="C891" i="10"/>
  <c r="C899" i="10"/>
  <c r="E899" i="10"/>
  <c r="D900" i="10"/>
  <c r="C898" i="10"/>
  <c r="C1199" i="10"/>
  <c r="D1196" i="10"/>
  <c r="D1197" i="10"/>
  <c r="E1191" i="10"/>
  <c r="E1187" i="10"/>
  <c r="E1192" i="10"/>
  <c r="E1194" i="10"/>
  <c r="D725" i="10"/>
  <c r="C725" i="10"/>
  <c r="C727" i="10"/>
  <c r="C720" i="10"/>
  <c r="E308" i="10"/>
  <c r="E299" i="10"/>
  <c r="D299" i="10"/>
  <c r="E306" i="10"/>
  <c r="E1919" i="10"/>
  <c r="C1929" i="10"/>
  <c r="D1938" i="10"/>
  <c r="C1922" i="10"/>
  <c r="D1931" i="10"/>
  <c r="C1919" i="10"/>
  <c r="D1920" i="10"/>
  <c r="D1933" i="10"/>
  <c r="C1056" i="10"/>
  <c r="E1056" i="10"/>
  <c r="C1063" i="10"/>
  <c r="D1064" i="10"/>
  <c r="E142" i="10"/>
  <c r="E150" i="10"/>
  <c r="E147" i="10"/>
  <c r="E143" i="10"/>
  <c r="E1782" i="10"/>
  <c r="C1779" i="10"/>
  <c r="E1777" i="10"/>
  <c r="D1784" i="10"/>
  <c r="D613" i="10"/>
  <c r="C618" i="10"/>
  <c r="E614" i="10"/>
  <c r="D1105" i="10"/>
  <c r="E1104" i="10"/>
  <c r="D1100" i="10"/>
  <c r="C1100" i="10"/>
  <c r="C11" i="10"/>
  <c r="D9" i="10"/>
  <c r="C15" i="10"/>
  <c r="D14" i="10"/>
  <c r="G32" i="5"/>
  <c r="E885" i="10"/>
  <c r="D881" i="10"/>
  <c r="D880" i="10"/>
  <c r="C882" i="10"/>
  <c r="E1687" i="10"/>
  <c r="E1690" i="10"/>
  <c r="C1690" i="10"/>
  <c r="D1358" i="10"/>
  <c r="D1363" i="10"/>
  <c r="C1363" i="10"/>
  <c r="E1353" i="10"/>
  <c r="C136" i="10"/>
  <c r="E130" i="10"/>
  <c r="E133" i="10"/>
  <c r="C137" i="10"/>
  <c r="E138" i="10"/>
  <c r="D362" i="10"/>
  <c r="E357" i="10"/>
  <c r="D358" i="10"/>
  <c r="D465" i="10"/>
  <c r="C473" i="10"/>
  <c r="E470" i="10"/>
  <c r="D475" i="10"/>
  <c r="E1119" i="10"/>
  <c r="C1111" i="10"/>
  <c r="D1117" i="10"/>
  <c r="E1117" i="10"/>
  <c r="E403" i="10"/>
  <c r="D402" i="10"/>
  <c r="D398" i="10"/>
  <c r="C405" i="10"/>
  <c r="G27" i="5"/>
  <c r="D2496" i="10"/>
  <c r="E2489" i="10"/>
  <c r="E2497" i="10"/>
  <c r="E2494" i="10"/>
  <c r="C933" i="10"/>
  <c r="E938" i="10"/>
  <c r="D933" i="10"/>
  <c r="E933" i="10"/>
  <c r="D2613" i="10"/>
  <c r="D2610" i="10"/>
  <c r="D2614" i="10"/>
  <c r="C2473" i="10"/>
  <c r="C2469" i="10"/>
  <c r="D2470" i="10"/>
  <c r="C27" i="10"/>
  <c r="E25" i="10"/>
  <c r="E30" i="10"/>
  <c r="E27" i="10"/>
  <c r="E2457" i="10"/>
  <c r="D2455" i="10"/>
  <c r="D2453" i="10"/>
  <c r="C1245" i="10"/>
  <c r="C1247" i="10"/>
  <c r="E1243" i="10"/>
  <c r="D185" i="10"/>
  <c r="C180" i="10"/>
  <c r="C182" i="10"/>
  <c r="D482" i="10"/>
  <c r="C480" i="10"/>
  <c r="E483" i="10"/>
  <c r="D484" i="10"/>
  <c r="E247" i="10"/>
  <c r="C246" i="10"/>
  <c r="C253" i="10"/>
  <c r="D254" i="10"/>
  <c r="D1043" i="10"/>
  <c r="C1042" i="10"/>
  <c r="C1047" i="10"/>
  <c r="E1045" i="10"/>
  <c r="C1997" i="10"/>
  <c r="D1994" i="10"/>
  <c r="E1994" i="10"/>
  <c r="D2008" i="10"/>
  <c r="C2005" i="10"/>
  <c r="C2010" i="10"/>
  <c r="C2008" i="10"/>
  <c r="E994" i="10"/>
  <c r="D994" i="10"/>
  <c r="E993" i="10"/>
  <c r="D995" i="10"/>
  <c r="E991" i="10"/>
  <c r="D159" i="10"/>
  <c r="C161" i="10"/>
  <c r="C1911" i="10"/>
  <c r="D1913" i="10"/>
  <c r="C1913" i="10"/>
  <c r="E49" i="10"/>
  <c r="D55" i="10"/>
  <c r="C55" i="10"/>
  <c r="D49" i="10"/>
  <c r="C52" i="10"/>
  <c r="E1614" i="10"/>
  <c r="E1618" i="10"/>
  <c r="D1616" i="10"/>
  <c r="E1619" i="10"/>
  <c r="C517" i="10"/>
  <c r="C514" i="10"/>
  <c r="E516" i="10"/>
  <c r="E514" i="10"/>
  <c r="C2508" i="10"/>
  <c r="E2510" i="10"/>
  <c r="C2507" i="10"/>
  <c r="E2509" i="10"/>
  <c r="C1631" i="10"/>
  <c r="E1630" i="10"/>
  <c r="D1634" i="10"/>
  <c r="C1625" i="10"/>
  <c r="E1625" i="10"/>
  <c r="D232" i="10"/>
  <c r="E233" i="10"/>
  <c r="E238" i="10"/>
  <c r="C237" i="10"/>
  <c r="D1645" i="10"/>
  <c r="E1642" i="10"/>
  <c r="C1644" i="10"/>
  <c r="C1645" i="10"/>
  <c r="D961" i="10"/>
  <c r="E967" i="10"/>
  <c r="C964" i="10"/>
  <c r="D963" i="10"/>
  <c r="D964" i="10"/>
  <c r="D2227" i="10"/>
  <c r="C2228" i="10"/>
  <c r="C2227" i="10"/>
  <c r="D2228" i="10"/>
  <c r="D2152" i="10"/>
  <c r="C2153" i="10"/>
  <c r="D2144" i="10"/>
  <c r="E2153" i="10"/>
  <c r="D1089" i="10"/>
  <c r="C1085" i="10"/>
  <c r="D1090" i="10"/>
  <c r="D1087" i="10"/>
  <c r="D1088" i="10"/>
  <c r="D346" i="10"/>
  <c r="C348" i="10"/>
  <c r="E346" i="10"/>
  <c r="D341" i="10"/>
  <c r="E2078" i="10"/>
  <c r="C2078" i="10"/>
  <c r="D2077" i="10"/>
  <c r="D1332" i="10"/>
  <c r="E1336" i="10"/>
  <c r="D1334" i="10"/>
  <c r="C1338" i="10"/>
  <c r="D1235" i="10"/>
  <c r="D1239" i="10"/>
  <c r="C1237" i="10"/>
  <c r="E1235" i="10"/>
  <c r="C2481" i="10"/>
  <c r="C2482" i="10"/>
  <c r="E2483" i="10"/>
  <c r="E603" i="10"/>
  <c r="D603" i="10"/>
  <c r="D609" i="10"/>
  <c r="E607" i="10"/>
  <c r="E2462" i="10"/>
  <c r="C1549" i="10"/>
  <c r="D1550" i="10"/>
  <c r="D1548" i="10"/>
  <c r="C1545" i="10"/>
  <c r="C1290" i="10"/>
  <c r="C1287" i="10"/>
  <c r="C1291" i="10"/>
  <c r="C1292" i="10"/>
  <c r="E736" i="10"/>
  <c r="C738" i="10"/>
  <c r="E740" i="10"/>
  <c r="D741" i="10"/>
  <c r="C540" i="10"/>
  <c r="C543" i="10"/>
  <c r="C535" i="10"/>
  <c r="E539" i="10"/>
  <c r="D2323" i="10"/>
  <c r="D2322" i="10"/>
  <c r="C2321" i="10"/>
  <c r="D2329" i="10"/>
  <c r="C495" i="10"/>
  <c r="C494" i="10"/>
  <c r="D494" i="10"/>
  <c r="E502" i="10"/>
  <c r="C2381" i="10"/>
  <c r="D2383" i="10"/>
  <c r="D2382" i="10"/>
  <c r="E2377" i="10"/>
  <c r="C2120" i="10"/>
  <c r="E2122" i="10"/>
  <c r="E2124" i="10"/>
  <c r="E2119" i="10"/>
  <c r="D2416" i="10"/>
  <c r="E2418" i="10"/>
  <c r="G21" i="5"/>
  <c r="D1305" i="10"/>
  <c r="C1842" i="10"/>
  <c r="C123" i="10"/>
  <c r="E845" i="10"/>
  <c r="E2604" i="10"/>
  <c r="D906" i="10"/>
  <c r="E909" i="10"/>
  <c r="C905" i="10"/>
  <c r="D623" i="10"/>
  <c r="E626" i="10"/>
  <c r="C624" i="10"/>
  <c r="C2710" i="10"/>
  <c r="E2710" i="10"/>
  <c r="E2716" i="10"/>
  <c r="E2715" i="10"/>
  <c r="D2719" i="10"/>
  <c r="D2723" i="10"/>
  <c r="C2708" i="10"/>
  <c r="D2702" i="10"/>
  <c r="D852" i="10"/>
  <c r="D857" i="10"/>
  <c r="D854" i="10"/>
  <c r="C373" i="10"/>
  <c r="E375" i="10"/>
  <c r="C372" i="10"/>
  <c r="D1979" i="10"/>
  <c r="D1976" i="10"/>
  <c r="E1976" i="10"/>
  <c r="E2523" i="10"/>
  <c r="C2517" i="10"/>
  <c r="D2525" i="10"/>
  <c r="D639" i="10"/>
  <c r="D642" i="10"/>
  <c r="D1000" i="10"/>
  <c r="E1007" i="10"/>
  <c r="E1000" i="10"/>
  <c r="E2347" i="10"/>
  <c r="E2353" i="10"/>
  <c r="E2348" i="10"/>
  <c r="E1810" i="10"/>
  <c r="D1805" i="10"/>
  <c r="E1807" i="10"/>
  <c r="D1451" i="10"/>
  <c r="D1458" i="10"/>
  <c r="C1456" i="10"/>
  <c r="J23" i="5"/>
  <c r="D1323" i="10"/>
  <c r="D1317" i="10"/>
  <c r="C1317" i="10"/>
  <c r="D895" i="10"/>
  <c r="E901" i="10"/>
  <c r="C897" i="10"/>
  <c r="C893" i="10"/>
  <c r="D1181" i="10"/>
  <c r="C1190" i="10"/>
  <c r="C1192" i="10"/>
  <c r="D1194" i="10"/>
  <c r="C1184" i="10"/>
  <c r="D1184" i="10"/>
  <c r="D1188" i="10"/>
  <c r="E727" i="10"/>
  <c r="D719" i="10"/>
  <c r="E719" i="10"/>
  <c r="E724" i="10"/>
  <c r="E302" i="10"/>
  <c r="C298" i="10"/>
  <c r="C305" i="10"/>
  <c r="C302" i="10"/>
  <c r="E303" i="10"/>
  <c r="D1922" i="10"/>
  <c r="E1920" i="10"/>
  <c r="C1928" i="10"/>
  <c r="E1924" i="10"/>
  <c r="D1918" i="10"/>
  <c r="D1934" i="10"/>
  <c r="D1936" i="10"/>
  <c r="C1925" i="10"/>
  <c r="D1056" i="10"/>
  <c r="C1062" i="10"/>
  <c r="E1059" i="10"/>
  <c r="C1058" i="10"/>
  <c r="C1059" i="10"/>
  <c r="C147" i="10"/>
  <c r="D151" i="10"/>
  <c r="D147" i="10"/>
  <c r="C145" i="10"/>
  <c r="E1787" i="10"/>
  <c r="E1778" i="10"/>
  <c r="E1781" i="10"/>
  <c r="C1781" i="10"/>
  <c r="E617" i="10"/>
  <c r="D616" i="10"/>
  <c r="E618" i="10"/>
  <c r="E1103" i="10"/>
  <c r="E1101" i="10"/>
  <c r="E1099" i="10"/>
  <c r="D1098" i="10"/>
  <c r="E13" i="10"/>
  <c r="C10" i="10"/>
  <c r="D16" i="10"/>
  <c r="E11" i="10"/>
  <c r="J32" i="5"/>
  <c r="C881" i="10"/>
  <c r="E882" i="10"/>
  <c r="E887" i="10"/>
  <c r="E879" i="10"/>
  <c r="C1688" i="10"/>
  <c r="E1691" i="10"/>
  <c r="C1691" i="10"/>
  <c r="C1359" i="10"/>
  <c r="E1358" i="10"/>
  <c r="C1362" i="10"/>
  <c r="E1363" i="10"/>
  <c r="C128" i="10"/>
  <c r="D128" i="10"/>
  <c r="D132" i="10"/>
  <c r="E132" i="10"/>
  <c r="D360" i="10"/>
  <c r="E358" i="10"/>
  <c r="D361" i="10"/>
  <c r="C468" i="10"/>
  <c r="D466" i="10"/>
  <c r="D470" i="10"/>
  <c r="C469" i="10"/>
  <c r="D474" i="10"/>
  <c r="C1117" i="10"/>
  <c r="C1121" i="10"/>
  <c r="D1116" i="10"/>
  <c r="D1115" i="10"/>
  <c r="C396" i="10"/>
  <c r="E395" i="10"/>
  <c r="D405" i="10"/>
  <c r="D396" i="10"/>
  <c r="D2493" i="10"/>
  <c r="E2487" i="10"/>
  <c r="C2497" i="10"/>
  <c r="E2492" i="10"/>
  <c r="E942" i="10"/>
  <c r="D943" i="10"/>
  <c r="C936" i="10"/>
  <c r="E936" i="10"/>
  <c r="C2610" i="10"/>
  <c r="D2612" i="10"/>
  <c r="C2614" i="10"/>
  <c r="D2467" i="10"/>
  <c r="D2469" i="10"/>
  <c r="J24" i="5"/>
  <c r="D29" i="10"/>
  <c r="E23" i="10"/>
  <c r="D22" i="10"/>
  <c r="C21" i="10"/>
  <c r="C2457" i="10"/>
  <c r="C2453" i="10"/>
  <c r="C2451" i="10"/>
  <c r="D1249" i="10"/>
  <c r="C1248" i="10"/>
  <c r="J20" i="5"/>
  <c r="D180" i="10"/>
  <c r="C184" i="10"/>
  <c r="D487" i="10"/>
  <c r="D486" i="10"/>
  <c r="C486" i="10"/>
  <c r="E486" i="10"/>
  <c r="D256" i="10"/>
  <c r="E253" i="10"/>
  <c r="C250" i="10"/>
  <c r="C248" i="10"/>
  <c r="C1041" i="10"/>
  <c r="D1045" i="10"/>
  <c r="D1042" i="10"/>
  <c r="D1041" i="10"/>
  <c r="C1994" i="10"/>
  <c r="D1991" i="10"/>
  <c r="C1991" i="10"/>
  <c r="C2007" i="10"/>
  <c r="C2006" i="10"/>
  <c r="D2006" i="10"/>
  <c r="E2007" i="10"/>
  <c r="C989" i="10"/>
  <c r="E990" i="10"/>
  <c r="C995" i="10"/>
  <c r="C985" i="10"/>
  <c r="D161" i="10"/>
  <c r="E156" i="10"/>
  <c r="E1910" i="10"/>
  <c r="D1908" i="10"/>
  <c r="E1912" i="10"/>
  <c r="D50" i="10"/>
  <c r="D54" i="10"/>
  <c r="D53" i="10"/>
  <c r="D48" i="10"/>
  <c r="D1611" i="10"/>
  <c r="D1614" i="10"/>
  <c r="C1613" i="10"/>
  <c r="E1616" i="10"/>
  <c r="E509" i="10"/>
  <c r="D516" i="10"/>
  <c r="C512" i="10"/>
  <c r="D507" i="10"/>
  <c r="E2501" i="10"/>
  <c r="D2503" i="10"/>
  <c r="D2501" i="10"/>
  <c r="E2505" i="10"/>
  <c r="E1628" i="10"/>
  <c r="D1633" i="10"/>
  <c r="C1630" i="10"/>
  <c r="C1633" i="10"/>
  <c r="E236" i="10"/>
  <c r="D242" i="10"/>
  <c r="D235" i="10"/>
  <c r="C232" i="10"/>
  <c r="C1649" i="10"/>
  <c r="C1642" i="10"/>
  <c r="E1640" i="10"/>
  <c r="E1646" i="10"/>
  <c r="C969" i="10"/>
  <c r="E969" i="10"/>
  <c r="D968" i="10"/>
  <c r="E963" i="10"/>
  <c r="E2224" i="10"/>
  <c r="E2229" i="10"/>
  <c r="E2231" i="10"/>
  <c r="E2228" i="10"/>
  <c r="C2150" i="10"/>
  <c r="C2151" i="10"/>
  <c r="C2145" i="10"/>
  <c r="C2146" i="10"/>
  <c r="D1083" i="10"/>
  <c r="E1085" i="10"/>
  <c r="E1083" i="10"/>
  <c r="D1092" i="10"/>
  <c r="C343" i="10"/>
  <c r="C340" i="10"/>
  <c r="C344" i="10"/>
  <c r="E347" i="10"/>
  <c r="D2079" i="10"/>
  <c r="E2080" i="10"/>
  <c r="C1337" i="10"/>
  <c r="E1338" i="10"/>
  <c r="E1332" i="10"/>
  <c r="E1334" i="10"/>
  <c r="D1237" i="10"/>
  <c r="E1233" i="10"/>
  <c r="C1232" i="10"/>
  <c r="E1234" i="10"/>
  <c r="E2480" i="10"/>
  <c r="C2479" i="10"/>
  <c r="C2477" i="10"/>
  <c r="E608" i="10"/>
  <c r="C599" i="10"/>
  <c r="C605" i="10"/>
  <c r="D601" i="10"/>
  <c r="D2462" i="10"/>
  <c r="E1545" i="10"/>
  <c r="C1543" i="10"/>
  <c r="D1547" i="10"/>
  <c r="E1541" i="10"/>
  <c r="D1297" i="10"/>
  <c r="C1297" i="10"/>
  <c r="E1289" i="10"/>
  <c r="D1296" i="10"/>
  <c r="E734" i="10"/>
  <c r="D735" i="10"/>
  <c r="E739" i="10"/>
  <c r="C733" i="10"/>
  <c r="E541" i="10"/>
  <c r="E542" i="10"/>
  <c r="C539" i="10"/>
  <c r="E536" i="10"/>
  <c r="E545" i="10"/>
  <c r="C2326" i="10"/>
  <c r="E2321" i="10"/>
  <c r="E2322" i="10"/>
  <c r="E2327" i="10"/>
  <c r="D502" i="10"/>
  <c r="C493" i="10"/>
  <c r="E503" i="10"/>
  <c r="C1838" i="10"/>
  <c r="C842" i="10"/>
  <c r="C2604" i="10"/>
  <c r="E910" i="10"/>
  <c r="D907" i="10"/>
  <c r="E912" i="10"/>
  <c r="C633" i="10"/>
  <c r="C625" i="10"/>
  <c r="C630" i="10"/>
  <c r="D2716" i="10"/>
  <c r="E2706" i="10"/>
  <c r="E2714" i="10"/>
  <c r="E2711" i="10"/>
  <c r="D2697" i="10"/>
  <c r="E2703" i="10"/>
  <c r="D2718" i="10"/>
  <c r="C2711" i="10"/>
  <c r="E858" i="10"/>
  <c r="C850" i="10"/>
  <c r="D856" i="10"/>
  <c r="E372" i="10"/>
  <c r="D374" i="10"/>
  <c r="E371" i="10"/>
  <c r="D1981" i="10"/>
  <c r="C1975" i="10"/>
  <c r="D1978" i="10"/>
  <c r="D2518" i="10"/>
  <c r="E2524" i="10"/>
  <c r="E2519" i="10"/>
  <c r="D643" i="10"/>
  <c r="C637" i="10"/>
  <c r="E1009" i="10"/>
  <c r="D1009" i="10"/>
  <c r="C999" i="10"/>
  <c r="E2352" i="10"/>
  <c r="E2355" i="10"/>
  <c r="E2354" i="10"/>
  <c r="D1807" i="10"/>
  <c r="C1809" i="10"/>
  <c r="D1808" i="10"/>
  <c r="E1454" i="10"/>
  <c r="C1451" i="10"/>
  <c r="E1461" i="10"/>
  <c r="E1315" i="10"/>
  <c r="D1321" i="10"/>
  <c r="C1315" i="10"/>
  <c r="D897" i="10"/>
  <c r="D901" i="10"/>
  <c r="D896" i="10"/>
  <c r="D898" i="10"/>
  <c r="G25" i="5"/>
  <c r="D1189" i="10"/>
  <c r="E1197" i="10"/>
  <c r="D1183" i="10"/>
  <c r="D1199" i="10"/>
  <c r="D1191" i="10"/>
  <c r="E1198" i="10"/>
  <c r="C1187" i="10"/>
  <c r="E723" i="10"/>
  <c r="C721" i="10"/>
  <c r="D724" i="10"/>
  <c r="D718" i="10"/>
  <c r="C303" i="10"/>
  <c r="C300" i="10"/>
  <c r="D303" i="10"/>
  <c r="C308" i="10"/>
  <c r="E1928" i="10"/>
  <c r="D1939" i="10"/>
  <c r="D1925" i="10"/>
  <c r="C1939" i="10"/>
  <c r="C1933" i="10"/>
  <c r="E1923" i="10"/>
  <c r="C1920" i="10"/>
  <c r="E1921" i="10"/>
  <c r="D1057" i="10"/>
  <c r="C1061" i="10"/>
  <c r="D1055" i="10"/>
  <c r="E1057" i="10"/>
  <c r="D152" i="10"/>
  <c r="D149" i="10"/>
  <c r="C150" i="10"/>
  <c r="C152" i="10"/>
  <c r="E1784" i="10"/>
  <c r="D1780" i="10"/>
  <c r="D1781" i="10"/>
  <c r="C1784" i="10"/>
  <c r="E619" i="10"/>
  <c r="D617" i="10"/>
  <c r="E616" i="10"/>
  <c r="E1097" i="10"/>
  <c r="C1101" i="10"/>
  <c r="D1099" i="10"/>
  <c r="C1097" i="10"/>
  <c r="E12" i="10"/>
  <c r="E16" i="10"/>
  <c r="E14" i="10"/>
  <c r="D15" i="10"/>
  <c r="D878" i="10"/>
  <c r="C885" i="10"/>
  <c r="D884" i="10"/>
  <c r="D882" i="10"/>
  <c r="C1689" i="10"/>
  <c r="C1687" i="10"/>
  <c r="E1693" i="10"/>
  <c r="C1353" i="10"/>
  <c r="D1359" i="10"/>
  <c r="D1357" i="10"/>
  <c r="C1358" i="10"/>
  <c r="D129" i="10"/>
  <c r="C130" i="10"/>
  <c r="E135" i="10"/>
  <c r="D135" i="10"/>
  <c r="C358" i="10"/>
  <c r="E356" i="10"/>
  <c r="D355" i="10"/>
  <c r="E361" i="10"/>
  <c r="C472" i="10"/>
  <c r="C467" i="10"/>
  <c r="D468" i="10"/>
  <c r="C470" i="10"/>
  <c r="D1112" i="10"/>
  <c r="D1111" i="10"/>
  <c r="D1121" i="10"/>
  <c r="E1116" i="10"/>
  <c r="D404" i="10"/>
  <c r="E402" i="10"/>
  <c r="C402" i="10"/>
  <c r="E397" i="10"/>
  <c r="D2487" i="10"/>
  <c r="C2492" i="10"/>
  <c r="C2496" i="10"/>
  <c r="E2491" i="10"/>
  <c r="D2492" i="10"/>
  <c r="C939" i="10"/>
  <c r="E943" i="10"/>
  <c r="E940" i="10"/>
  <c r="C937" i="10"/>
  <c r="C2613" i="10"/>
  <c r="D2611" i="10"/>
  <c r="E2614" i="10"/>
  <c r="E2473" i="10"/>
  <c r="C2467" i="10"/>
  <c r="G24" i="5"/>
  <c r="C26" i="10"/>
  <c r="C22" i="10"/>
  <c r="C30" i="10"/>
  <c r="D27" i="10"/>
  <c r="E2453" i="10"/>
  <c r="D2457" i="10"/>
  <c r="C2455" i="10"/>
  <c r="D1248" i="10"/>
  <c r="D1247" i="10"/>
  <c r="G20" i="5"/>
  <c r="D184" i="10"/>
  <c r="D186" i="10"/>
  <c r="C479" i="10"/>
  <c r="D488" i="10"/>
  <c r="E488" i="10"/>
  <c r="C484" i="10"/>
  <c r="E481" i="10"/>
  <c r="D247" i="10"/>
  <c r="E255" i="10"/>
  <c r="D249" i="10"/>
  <c r="D246" i="10"/>
  <c r="E1044" i="10"/>
  <c r="E1049" i="10"/>
  <c r="C1046" i="10"/>
  <c r="E1047" i="10"/>
  <c r="C1993" i="10"/>
  <c r="E1993" i="10"/>
  <c r="D1997" i="10"/>
  <c r="E2011" i="10"/>
  <c r="D2007" i="10"/>
  <c r="C2011" i="10"/>
  <c r="E2003" i="10"/>
  <c r="E986" i="10"/>
  <c r="D989" i="10"/>
  <c r="C987" i="10"/>
  <c r="E995" i="10"/>
  <c r="D156" i="10"/>
  <c r="D160" i="10"/>
  <c r="C158" i="10"/>
  <c r="C1912" i="10"/>
  <c r="C1910" i="10"/>
  <c r="C1907" i="10"/>
  <c r="E57" i="10"/>
  <c r="D56" i="10"/>
  <c r="E50" i="10"/>
  <c r="E48" i="10"/>
  <c r="E1613" i="10"/>
  <c r="D1612" i="10"/>
  <c r="C1618" i="10"/>
  <c r="C1620" i="10"/>
  <c r="C1617" i="10"/>
  <c r="D510" i="10"/>
  <c r="C508" i="10"/>
  <c r="C516" i="10"/>
  <c r="C513" i="10"/>
  <c r="C2511" i="10"/>
  <c r="C2504" i="10"/>
  <c r="D2509" i="10"/>
  <c r="E2507" i="10"/>
  <c r="D1627" i="10"/>
  <c r="D1635" i="10"/>
  <c r="D1632" i="10"/>
  <c r="C1634" i="10"/>
  <c r="E241" i="10"/>
  <c r="C233" i="10"/>
  <c r="D241" i="10"/>
  <c r="E235" i="10"/>
  <c r="D238" i="10"/>
  <c r="E1641" i="10"/>
  <c r="D1641" i="10"/>
  <c r="E1639" i="10"/>
  <c r="E1648" i="10"/>
  <c r="D962" i="10"/>
  <c r="D966" i="10"/>
  <c r="E965" i="10"/>
  <c r="D965" i="10"/>
  <c r="D2225" i="10"/>
  <c r="E2227" i="10"/>
  <c r="C2224" i="10"/>
  <c r="D2233" i="10"/>
  <c r="C2232" i="10"/>
  <c r="D2149" i="10"/>
  <c r="C2152" i="10"/>
  <c r="E2148" i="10"/>
  <c r="D2145" i="10"/>
  <c r="C1086" i="10"/>
  <c r="D1085" i="10"/>
  <c r="C1093" i="10"/>
  <c r="D1093" i="10"/>
  <c r="D348" i="10"/>
  <c r="E342" i="10"/>
  <c r="D345" i="10"/>
  <c r="C342" i="10"/>
  <c r="D349" i="10"/>
  <c r="D2080" i="10"/>
  <c r="D2082" i="10"/>
  <c r="D1335" i="10"/>
  <c r="E1329" i="10"/>
  <c r="E1330" i="10"/>
  <c r="C1332" i="10"/>
  <c r="E1337" i="10"/>
  <c r="C1236" i="10"/>
  <c r="E1236" i="10"/>
  <c r="E1230" i="10"/>
  <c r="D1234" i="10"/>
  <c r="E2481" i="10"/>
  <c r="D2482" i="10"/>
  <c r="D2478" i="10"/>
  <c r="D608" i="10"/>
  <c r="D607" i="10"/>
  <c r="E602" i="10"/>
  <c r="E601" i="10"/>
  <c r="C2463" i="10"/>
  <c r="D1542" i="10"/>
  <c r="E1543" i="10"/>
  <c r="D1544" i="10"/>
  <c r="E1549" i="10"/>
  <c r="D1288" i="10"/>
  <c r="D1291" i="10"/>
  <c r="E1294" i="10"/>
  <c r="E1288" i="10"/>
  <c r="E735" i="10"/>
  <c r="D731" i="10"/>
  <c r="C739" i="10"/>
  <c r="D739" i="10"/>
  <c r="E544" i="10"/>
  <c r="C538" i="10"/>
  <c r="D540" i="10"/>
  <c r="D535" i="10"/>
  <c r="C2328" i="10"/>
  <c r="C2324" i="10"/>
  <c r="D2328" i="10"/>
  <c r="E2319" i="10"/>
  <c r="E497" i="10"/>
  <c r="C503" i="10"/>
  <c r="D493" i="10"/>
  <c r="E499" i="10"/>
  <c r="C2384" i="10"/>
  <c r="C2376" i="10"/>
  <c r="E2379" i="10"/>
  <c r="E2376" i="10"/>
  <c r="C2115" i="10"/>
  <c r="C2124" i="10"/>
  <c r="E2116" i="10"/>
  <c r="E2115" i="10"/>
  <c r="E2416" i="10"/>
  <c r="D2419" i="10"/>
  <c r="D2267" i="10"/>
  <c r="D2270" i="10"/>
  <c r="C210" i="10"/>
  <c r="E209" i="10"/>
  <c r="C207" i="10"/>
  <c r="C213" i="10"/>
  <c r="E2162" i="10"/>
  <c r="E2159" i="10"/>
  <c r="D2161" i="10"/>
  <c r="D2165" i="10"/>
  <c r="D2311" i="10"/>
  <c r="E2310" i="10"/>
  <c r="E1385" i="10"/>
  <c r="E1381" i="10"/>
  <c r="D1388" i="10"/>
  <c r="E1383" i="10"/>
  <c r="E2335" i="10"/>
  <c r="D2343" i="10"/>
  <c r="E2342" i="10"/>
  <c r="D2339" i="10"/>
  <c r="E671" i="10"/>
  <c r="D661" i="10"/>
  <c r="C664" i="10"/>
  <c r="C666" i="10"/>
  <c r="C1965" i="10"/>
  <c r="D1959" i="10"/>
  <c r="C1961" i="10"/>
  <c r="E1957" i="10"/>
  <c r="D1829" i="10"/>
  <c r="D1828" i="10"/>
  <c r="C1821" i="10"/>
  <c r="D1826" i="10"/>
  <c r="C766" i="10"/>
  <c r="D766" i="10"/>
  <c r="C769" i="10"/>
  <c r="C759" i="10"/>
  <c r="E1864" i="10"/>
  <c r="C1869" i="10"/>
  <c r="D1867" i="10"/>
  <c r="D1863" i="10"/>
  <c r="E1902" i="10"/>
  <c r="C1895" i="10"/>
  <c r="E1900" i="10"/>
  <c r="E1899" i="10"/>
  <c r="E1885" i="10"/>
  <c r="C1901" i="10"/>
  <c r="E2384" i="10"/>
  <c r="C2117" i="10"/>
  <c r="D2413" i="10"/>
  <c r="D2265" i="10"/>
  <c r="C2266" i="10"/>
  <c r="D209" i="10"/>
  <c r="D211" i="10"/>
  <c r="D210" i="10"/>
  <c r="E212" i="10"/>
  <c r="C2164" i="10"/>
  <c r="C2165" i="10"/>
  <c r="E2165" i="10"/>
  <c r="E2315" i="10"/>
  <c r="D2310" i="10"/>
  <c r="D1390" i="10"/>
  <c r="D1386" i="10"/>
  <c r="E1387" i="10"/>
  <c r="E2338" i="10"/>
  <c r="D2342" i="10"/>
  <c r="C2334" i="10"/>
  <c r="E667" i="10"/>
  <c r="D665" i="10"/>
  <c r="E670" i="10"/>
  <c r="E1959" i="10"/>
  <c r="D1964" i="10"/>
  <c r="D1960" i="10"/>
  <c r="E1824" i="10"/>
  <c r="C1827" i="10"/>
  <c r="D1827" i="10"/>
  <c r="C764" i="10"/>
  <c r="C767" i="10"/>
  <c r="D768" i="10"/>
  <c r="C760" i="10"/>
  <c r="D1864" i="10"/>
  <c r="C1862" i="10"/>
  <c r="C1861" i="10"/>
  <c r="D1895" i="10"/>
  <c r="E1890" i="10"/>
  <c r="C1890" i="10"/>
  <c r="E1893" i="10"/>
  <c r="D1893" i="10"/>
  <c r="E2185" i="10"/>
  <c r="D2191" i="10"/>
  <c r="D2192" i="10"/>
  <c r="E2192" i="10"/>
  <c r="C2535" i="10"/>
  <c r="C2533" i="10"/>
  <c r="D2532" i="10"/>
  <c r="C2531" i="10"/>
  <c r="D1273" i="10"/>
  <c r="D1268" i="10"/>
  <c r="C1271" i="10"/>
  <c r="C1263" i="10"/>
  <c r="E1273" i="10"/>
  <c r="E221" i="10"/>
  <c r="D221" i="10"/>
  <c r="C227" i="10"/>
  <c r="D224" i="10"/>
  <c r="E197" i="10"/>
  <c r="C193" i="10"/>
  <c r="D196" i="10"/>
  <c r="D191" i="10"/>
  <c r="D386" i="10"/>
  <c r="E381" i="10"/>
  <c r="E382" i="10"/>
  <c r="C385" i="10"/>
  <c r="D2571" i="10"/>
  <c r="C2573" i="10"/>
  <c r="C2571" i="10"/>
  <c r="C2581" i="10"/>
  <c r="E2578" i="10"/>
  <c r="C262" i="10"/>
  <c r="D260" i="10"/>
  <c r="D270" i="10"/>
  <c r="C264" i="10"/>
  <c r="C2406" i="10"/>
  <c r="C2408" i="10"/>
  <c r="C1148" i="10"/>
  <c r="D1149" i="10"/>
  <c r="C1146" i="10"/>
  <c r="C1139" i="10"/>
  <c r="C2242" i="10"/>
  <c r="C2240" i="10"/>
  <c r="E2245" i="10"/>
  <c r="D2245" i="10"/>
  <c r="C2071" i="10"/>
  <c r="E2067" i="10"/>
  <c r="E2072" i="10"/>
  <c r="C2439" i="10"/>
  <c r="D2440" i="10"/>
  <c r="C2444" i="10"/>
  <c r="D2437" i="10"/>
  <c r="D678" i="10"/>
  <c r="E676" i="10"/>
  <c r="E678" i="10"/>
  <c r="E681" i="10"/>
  <c r="E1578" i="10"/>
  <c r="D1578" i="10"/>
  <c r="C1573" i="10"/>
  <c r="E1577" i="10"/>
  <c r="D413" i="10"/>
  <c r="D414" i="10"/>
  <c r="E417" i="10"/>
  <c r="E413" i="10"/>
  <c r="E1667" i="10"/>
  <c r="D1672" i="10"/>
  <c r="D1470" i="10"/>
  <c r="C1467" i="10"/>
  <c r="D318" i="10"/>
  <c r="D312" i="10"/>
  <c r="D322" i="10"/>
  <c r="E318" i="10"/>
  <c r="C1496" i="10"/>
  <c r="E1494" i="10"/>
  <c r="E1491" i="10"/>
  <c r="C1495" i="10"/>
  <c r="E1079" i="10"/>
  <c r="D1075" i="10"/>
  <c r="D1074" i="10"/>
  <c r="C1078" i="10"/>
  <c r="D1987" i="10"/>
  <c r="C1986" i="10"/>
  <c r="E1281" i="10"/>
  <c r="E1282" i="10"/>
  <c r="D864" i="10"/>
  <c r="D873" i="10"/>
  <c r="E864" i="10"/>
  <c r="C869" i="10"/>
  <c r="C864" i="10"/>
  <c r="E277" i="10"/>
  <c r="C274" i="10"/>
  <c r="C276" i="10"/>
  <c r="E1126" i="10"/>
  <c r="C1135" i="10"/>
  <c r="D1130" i="10"/>
  <c r="C1132" i="10"/>
  <c r="E2251" i="10"/>
  <c r="D2252" i="10"/>
  <c r="D2254" i="10"/>
  <c r="D2258" i="10"/>
  <c r="C2260" i="10"/>
  <c r="E2363" i="10"/>
  <c r="E2368" i="10"/>
  <c r="C2363" i="10"/>
  <c r="C2366" i="10"/>
  <c r="C590" i="10"/>
  <c r="C586" i="10"/>
  <c r="E595" i="10"/>
  <c r="C591" i="10"/>
  <c r="E951" i="10"/>
  <c r="D953" i="10"/>
  <c r="D948" i="10"/>
  <c r="C956" i="10"/>
  <c r="D1016" i="10"/>
  <c r="C1018" i="10"/>
  <c r="E1021" i="10"/>
  <c r="E1020" i="10"/>
  <c r="E1016" i="10"/>
  <c r="C1729" i="10"/>
  <c r="C1727" i="10"/>
  <c r="C1728" i="10"/>
  <c r="D1729" i="10"/>
  <c r="C1559" i="10"/>
  <c r="D1559" i="10"/>
  <c r="D1557" i="10"/>
  <c r="E1556" i="10"/>
  <c r="D94" i="10"/>
  <c r="D96" i="10"/>
  <c r="E95" i="10"/>
  <c r="E98" i="10"/>
  <c r="D1701" i="10"/>
  <c r="E1702" i="10"/>
  <c r="E1705" i="10"/>
  <c r="E1699" i="10"/>
  <c r="C1766" i="10"/>
  <c r="D1764" i="10"/>
  <c r="C1765" i="10"/>
  <c r="C1763" i="10"/>
  <c r="E445" i="10"/>
  <c r="E444" i="10"/>
  <c r="C440" i="10"/>
  <c r="E438" i="10"/>
  <c r="E1211" i="10"/>
  <c r="E1206" i="10"/>
  <c r="E1221" i="10"/>
  <c r="E1224" i="10"/>
  <c r="E1223" i="10"/>
  <c r="D1212" i="10"/>
  <c r="C1212" i="10"/>
  <c r="D1223" i="10"/>
  <c r="E1659" i="10"/>
  <c r="D1660" i="10"/>
  <c r="E1660" i="10"/>
  <c r="C1663" i="10"/>
  <c r="E754" i="10"/>
  <c r="E745" i="10"/>
  <c r="E747" i="10"/>
  <c r="C752" i="10"/>
  <c r="D1751" i="10"/>
  <c r="D1754" i="10"/>
  <c r="C1749" i="10"/>
  <c r="D1755" i="10"/>
  <c r="D2669" i="10"/>
  <c r="E2666" i="10"/>
  <c r="D2666" i="10"/>
  <c r="D2661" i="10"/>
  <c r="C2037" i="10"/>
  <c r="E2029" i="10"/>
  <c r="D2034" i="10"/>
  <c r="C2031" i="10"/>
  <c r="D788" i="10"/>
  <c r="E789" i="10"/>
  <c r="E783" i="10"/>
  <c r="D790" i="10"/>
  <c r="E1258" i="10"/>
  <c r="D1254" i="10"/>
  <c r="E2689" i="10"/>
  <c r="C2682" i="10"/>
  <c r="D2680" i="10"/>
  <c r="D2682" i="10"/>
  <c r="E2690" i="10"/>
  <c r="D2690" i="10"/>
  <c r="C2693" i="10"/>
  <c r="C1801" i="10"/>
  <c r="E1793" i="10"/>
  <c r="C1800" i="10"/>
  <c r="C1796" i="10"/>
  <c r="D776" i="10"/>
  <c r="C773" i="10"/>
  <c r="D62" i="10"/>
  <c r="C66" i="10"/>
  <c r="E63" i="10"/>
  <c r="D71" i="10"/>
  <c r="D2276" i="10"/>
  <c r="D429" i="10"/>
  <c r="C429" i="10"/>
  <c r="E428" i="10"/>
  <c r="D433" i="10"/>
  <c r="C690" i="10"/>
  <c r="D692" i="10"/>
  <c r="E697" i="10"/>
  <c r="C689" i="10"/>
  <c r="E173" i="10"/>
  <c r="E166" i="10"/>
  <c r="D171" i="10"/>
  <c r="D167" i="10"/>
  <c r="E1403" i="10"/>
  <c r="E1396" i="10"/>
  <c r="D1403" i="10"/>
  <c r="C1397" i="10"/>
  <c r="D2203" i="10"/>
  <c r="D2204" i="10"/>
  <c r="E1880" i="10"/>
  <c r="C1878" i="10"/>
  <c r="E86" i="10"/>
  <c r="C78" i="10"/>
  <c r="C76" i="10"/>
  <c r="E78" i="10"/>
  <c r="C35" i="10"/>
  <c r="E42" i="10"/>
  <c r="C39" i="10"/>
  <c r="E39" i="10"/>
  <c r="C1583" i="10"/>
  <c r="D1585" i="10"/>
  <c r="D1589" i="10"/>
  <c r="E1583" i="10"/>
  <c r="C816" i="10"/>
  <c r="D812" i="10"/>
  <c r="E816" i="10"/>
  <c r="D813" i="10"/>
  <c r="E818" i="10"/>
  <c r="D799" i="10"/>
  <c r="D800" i="10"/>
  <c r="C805" i="10"/>
  <c r="E807" i="10"/>
  <c r="D2109" i="10"/>
  <c r="E2103" i="10"/>
  <c r="C2105" i="10"/>
  <c r="C2104" i="10"/>
  <c r="E2061" i="10"/>
  <c r="E2063" i="10"/>
  <c r="E2053" i="10"/>
  <c r="D2054" i="10"/>
  <c r="C827" i="10"/>
  <c r="E830" i="10"/>
  <c r="E829" i="10"/>
  <c r="C835" i="10"/>
  <c r="C2398" i="10"/>
  <c r="C2390" i="10"/>
  <c r="D2395" i="10"/>
  <c r="E2390" i="10"/>
  <c r="C2092" i="10"/>
  <c r="E2088" i="10"/>
  <c r="D2091" i="10"/>
  <c r="E2097" i="10"/>
  <c r="D1348" i="10"/>
  <c r="E1348" i="10"/>
  <c r="D1683" i="10"/>
  <c r="D1681" i="10"/>
  <c r="E1678" i="10"/>
  <c r="C1161" i="10"/>
  <c r="C1160" i="10"/>
  <c r="D1162" i="10"/>
  <c r="D1160" i="10"/>
  <c r="C1167" i="10"/>
  <c r="D1174" i="10"/>
  <c r="C1174" i="10"/>
  <c r="C1168" i="10"/>
  <c r="D1849" i="10"/>
  <c r="D1847" i="10"/>
  <c r="D1852" i="10"/>
  <c r="E1849" i="10"/>
  <c r="C1410" i="10"/>
  <c r="E1415" i="10"/>
  <c r="D1419" i="10"/>
  <c r="E1413" i="10"/>
  <c r="D1537" i="10"/>
  <c r="E1534" i="10"/>
  <c r="D1534" i="10"/>
  <c r="E334" i="10"/>
  <c r="D326" i="10"/>
  <c r="D334" i="10"/>
  <c r="E329" i="10"/>
  <c r="D2433" i="10"/>
  <c r="D2427" i="10"/>
  <c r="D2424" i="10"/>
  <c r="C2425" i="10"/>
  <c r="E2736" i="10"/>
  <c r="D2735" i="10"/>
  <c r="C2733" i="10"/>
  <c r="D2729" i="10"/>
  <c r="D920" i="10"/>
  <c r="C924" i="10"/>
  <c r="D919" i="10"/>
  <c r="E925" i="10"/>
  <c r="E2382" i="10"/>
  <c r="D2125" i="10"/>
  <c r="D2417" i="10"/>
  <c r="C2268" i="10"/>
  <c r="D2268" i="10"/>
  <c r="D205" i="10"/>
  <c r="C204" i="10"/>
  <c r="D214" i="10"/>
  <c r="D2158" i="10"/>
  <c r="E2167" i="10"/>
  <c r="D2160" i="10"/>
  <c r="D2313" i="10"/>
  <c r="E2309" i="10"/>
  <c r="D1389" i="10"/>
  <c r="C1387" i="10"/>
  <c r="D1383" i="10"/>
  <c r="C2333" i="10"/>
  <c r="E2339" i="10"/>
  <c r="C2337" i="10"/>
  <c r="D662" i="10"/>
  <c r="D663" i="10"/>
  <c r="E669" i="10"/>
  <c r="C663" i="10"/>
  <c r="C1963" i="10"/>
  <c r="E1963" i="10"/>
  <c r="C1960" i="10"/>
  <c r="E1828" i="10"/>
  <c r="E1821" i="10"/>
  <c r="D1821" i="10"/>
  <c r="D767" i="10"/>
  <c r="D765" i="10"/>
  <c r="E759" i="10"/>
  <c r="E1866" i="10"/>
  <c r="C1866" i="10"/>
  <c r="E1862" i="10"/>
  <c r="C1898" i="10"/>
  <c r="D1892" i="10"/>
  <c r="E1898" i="10"/>
  <c r="E1887" i="10"/>
  <c r="E1889" i="10"/>
  <c r="D2186" i="10"/>
  <c r="C2192" i="10"/>
  <c r="E2191" i="10"/>
  <c r="E2186" i="10"/>
  <c r="E2534" i="10"/>
  <c r="C2532" i="10"/>
  <c r="C2537" i="10"/>
  <c r="D2529" i="10"/>
  <c r="C1270" i="10"/>
  <c r="D1271" i="10"/>
  <c r="E1263" i="10"/>
  <c r="D1266" i="10"/>
  <c r="D222" i="10"/>
  <c r="C225" i="10"/>
  <c r="D223" i="10"/>
  <c r="D220" i="10"/>
  <c r="D199" i="10"/>
  <c r="E191" i="10"/>
  <c r="E193" i="10"/>
  <c r="D200" i="10"/>
  <c r="E384" i="10"/>
  <c r="D382" i="10"/>
  <c r="D388" i="10"/>
  <c r="C389" i="10"/>
  <c r="E385" i="10"/>
  <c r="D2569" i="10"/>
  <c r="C2583" i="10"/>
  <c r="D2578" i="10"/>
  <c r="E2572" i="10"/>
  <c r="E2575" i="10"/>
  <c r="D267" i="10"/>
  <c r="E267" i="10"/>
  <c r="E270" i="10"/>
  <c r="D264" i="10"/>
  <c r="C267" i="10"/>
  <c r="D2403" i="10"/>
  <c r="E2408" i="10"/>
  <c r="E1141" i="10"/>
  <c r="C1143" i="10"/>
  <c r="C1145" i="10"/>
  <c r="D1140" i="10"/>
  <c r="D1147" i="10"/>
  <c r="C2241" i="10"/>
  <c r="E2246" i="10"/>
  <c r="E2242" i="10"/>
  <c r="E2238" i="10"/>
  <c r="D2067" i="10"/>
  <c r="E2071" i="10"/>
  <c r="C2069" i="10"/>
  <c r="E2440" i="10"/>
  <c r="C2446" i="10"/>
  <c r="C2442" i="10"/>
  <c r="E2441" i="10"/>
  <c r="C677" i="10"/>
  <c r="E675" i="10"/>
  <c r="D679" i="10"/>
  <c r="E684" i="10"/>
  <c r="C1569" i="10"/>
  <c r="C1572" i="10"/>
  <c r="D1572" i="10"/>
  <c r="C1574" i="10"/>
  <c r="D418" i="10"/>
  <c r="E415" i="10"/>
  <c r="D410" i="10"/>
  <c r="C417" i="10"/>
  <c r="E410" i="10"/>
  <c r="D1671" i="10"/>
  <c r="D1667" i="10"/>
  <c r="D1466" i="10"/>
  <c r="E1468" i="10"/>
  <c r="C1471" i="10"/>
  <c r="D321" i="10"/>
  <c r="E321" i="10"/>
  <c r="C319" i="10"/>
  <c r="E317" i="10"/>
  <c r="C1489" i="10"/>
  <c r="D1496" i="10"/>
  <c r="E1493" i="10"/>
  <c r="D1489" i="10"/>
  <c r="D1071" i="10"/>
  <c r="E1071" i="10"/>
  <c r="E1074" i="10"/>
  <c r="C1072" i="10"/>
  <c r="E1985" i="10"/>
  <c r="E1277" i="10"/>
  <c r="E1283" i="10"/>
  <c r="D865" i="10"/>
  <c r="D871" i="10"/>
  <c r="D872" i="10"/>
  <c r="E870" i="10"/>
  <c r="E274" i="10"/>
  <c r="D279" i="10"/>
  <c r="C279" i="10"/>
  <c r="D1125" i="10"/>
  <c r="C1133" i="10"/>
  <c r="D1131" i="10"/>
  <c r="D1133" i="10"/>
  <c r="D2256" i="10"/>
  <c r="D2251" i="10"/>
  <c r="D2257" i="10"/>
  <c r="C2256" i="10"/>
  <c r="D2361" i="10"/>
  <c r="E2369" i="10"/>
  <c r="D2370" i="10"/>
  <c r="C2361" i="10"/>
  <c r="D593" i="10"/>
  <c r="D591" i="10"/>
  <c r="C594" i="10"/>
  <c r="D590" i="10"/>
  <c r="E953" i="10"/>
  <c r="D956" i="10"/>
  <c r="D950" i="10"/>
  <c r="C957" i="10"/>
  <c r="E1018" i="10"/>
  <c r="E1023" i="10"/>
  <c r="C1022" i="10"/>
  <c r="C1020" i="10"/>
  <c r="C1734" i="10"/>
  <c r="C1731" i="10"/>
  <c r="C1730" i="10"/>
  <c r="D1735" i="10"/>
  <c r="D1561" i="10"/>
  <c r="D1560" i="10"/>
  <c r="C1555" i="10"/>
  <c r="C1564" i="10"/>
  <c r="C92" i="10"/>
  <c r="E90" i="10"/>
  <c r="E91" i="10"/>
  <c r="C99" i="10"/>
  <c r="D95" i="10"/>
  <c r="E1697" i="10"/>
  <c r="C1707" i="10"/>
  <c r="C1704" i="10"/>
  <c r="E1707" i="10"/>
  <c r="C1772" i="10"/>
  <c r="E1773" i="10"/>
  <c r="C1769" i="10"/>
  <c r="E1767" i="10"/>
  <c r="C446" i="10"/>
  <c r="D440" i="10"/>
  <c r="C444" i="10"/>
  <c r="E442" i="10"/>
  <c r="E1204" i="10"/>
  <c r="E1212" i="10"/>
  <c r="D1204" i="10"/>
  <c r="E1213" i="10"/>
  <c r="C1214" i="10"/>
  <c r="D1210" i="10"/>
  <c r="E1208" i="10"/>
  <c r="D1220" i="10"/>
  <c r="E1207" i="10"/>
  <c r="C1662" i="10"/>
  <c r="C1661" i="10"/>
  <c r="C1653" i="10"/>
  <c r="E1661" i="10"/>
  <c r="D754" i="10"/>
  <c r="E748" i="10"/>
  <c r="D745" i="10"/>
  <c r="E749" i="10"/>
  <c r="C747" i="10"/>
  <c r="E1750" i="10"/>
  <c r="D1759" i="10"/>
  <c r="E1749" i="10"/>
  <c r="C1752" i="10"/>
  <c r="C2669" i="10"/>
  <c r="E2670" i="10"/>
  <c r="D2671" i="10"/>
  <c r="D2664" i="10"/>
  <c r="C2032" i="10"/>
  <c r="D2039" i="10"/>
  <c r="D2038" i="10"/>
  <c r="E2033" i="10"/>
  <c r="E791" i="10"/>
  <c r="D786" i="10"/>
  <c r="C793" i="10"/>
  <c r="C788" i="10"/>
  <c r="C791" i="10"/>
  <c r="C1257" i="10"/>
  <c r="E1256" i="10"/>
  <c r="E2678" i="10"/>
  <c r="D2678" i="10"/>
  <c r="D2684" i="10"/>
  <c r="E2682" i="10"/>
  <c r="E2687" i="10"/>
  <c r="D2691" i="10"/>
  <c r="C2676" i="10"/>
  <c r="C2683" i="10"/>
  <c r="D1792" i="10"/>
  <c r="D1798" i="10"/>
  <c r="E1801" i="10"/>
  <c r="E1795" i="10"/>
  <c r="E774" i="10"/>
  <c r="E778" i="10"/>
  <c r="E777" i="10"/>
  <c r="E71" i="10"/>
  <c r="E66" i="10"/>
  <c r="D66" i="10"/>
  <c r="C62" i="10"/>
  <c r="E2276" i="10"/>
  <c r="C2276" i="10"/>
  <c r="C433" i="10"/>
  <c r="D426" i="10"/>
  <c r="E433" i="10"/>
  <c r="D432" i="10"/>
  <c r="E689" i="10"/>
  <c r="D691" i="10"/>
  <c r="D699" i="10"/>
  <c r="E693" i="10"/>
  <c r="D172" i="10"/>
  <c r="E176" i="10"/>
  <c r="C176" i="10"/>
  <c r="D166" i="10"/>
  <c r="C1400" i="10"/>
  <c r="C1404" i="10"/>
  <c r="D1398" i="10"/>
  <c r="E1402" i="10"/>
  <c r="C1401" i="10"/>
  <c r="E2202" i="10"/>
  <c r="E2203" i="10"/>
  <c r="D1879" i="10"/>
  <c r="D1880" i="10"/>
  <c r="D1878" i="10"/>
  <c r="D84" i="10"/>
  <c r="C77" i="10"/>
  <c r="D80" i="10"/>
  <c r="C80" i="10"/>
  <c r="C38" i="10"/>
  <c r="D44" i="10"/>
  <c r="E41" i="10"/>
  <c r="C44" i="10"/>
  <c r="E37" i="10"/>
  <c r="D1586" i="10"/>
  <c r="E1589" i="10"/>
  <c r="E1584" i="10"/>
  <c r="E1588" i="10"/>
  <c r="C814" i="10"/>
  <c r="D814" i="10"/>
  <c r="C819" i="10"/>
  <c r="D816" i="10"/>
  <c r="E805" i="10"/>
  <c r="E800" i="10"/>
  <c r="E799" i="10"/>
  <c r="D804" i="10"/>
  <c r="D2105" i="10"/>
  <c r="E2109" i="10"/>
  <c r="E2108" i="10"/>
  <c r="D2110" i="10"/>
  <c r="E2062" i="10"/>
  <c r="D2060" i="10"/>
  <c r="D2055" i="10"/>
  <c r="C2055" i="10"/>
  <c r="C833" i="10"/>
  <c r="C830" i="10"/>
  <c r="C825" i="10"/>
  <c r="E826" i="10"/>
  <c r="E2397" i="10"/>
  <c r="C2399" i="10"/>
  <c r="C2391" i="10"/>
  <c r="D2399" i="10"/>
  <c r="C2095" i="10"/>
  <c r="D2094" i="10"/>
  <c r="E2090" i="10"/>
  <c r="C2088" i="10"/>
  <c r="C1349" i="10"/>
  <c r="D1343" i="10"/>
  <c r="E1345" i="10"/>
  <c r="D1679" i="10"/>
  <c r="E1677" i="10"/>
  <c r="E1681" i="10"/>
  <c r="E1154" i="10"/>
  <c r="C1157" i="10"/>
  <c r="C1153" i="10"/>
  <c r="E1163" i="10"/>
  <c r="D1171" i="10"/>
  <c r="E1171" i="10"/>
  <c r="E1173" i="10"/>
  <c r="E1167" i="10"/>
  <c r="C1855" i="10"/>
  <c r="C1850" i="10"/>
  <c r="D1857" i="10"/>
  <c r="D1850" i="10"/>
  <c r="D1854" i="10"/>
  <c r="C1414" i="10"/>
  <c r="C1409" i="10"/>
  <c r="C1415" i="10"/>
  <c r="E1416" i="10"/>
  <c r="C1536" i="10"/>
  <c r="D1531" i="10"/>
  <c r="E1533" i="10"/>
  <c r="D332" i="10"/>
  <c r="C336" i="10"/>
  <c r="E330" i="10"/>
  <c r="E333" i="10"/>
  <c r="C2427" i="10"/>
  <c r="E2428" i="10"/>
  <c r="E2430" i="10"/>
  <c r="C2428" i="10"/>
  <c r="D2728" i="10"/>
  <c r="E2731" i="10"/>
  <c r="E2730" i="10"/>
  <c r="E2734" i="10"/>
  <c r="E929" i="10"/>
  <c r="D926" i="10"/>
  <c r="E921" i="10"/>
  <c r="C920" i="10"/>
  <c r="D925" i="10"/>
  <c r="C2379" i="10"/>
  <c r="E2120" i="10"/>
  <c r="E2419" i="10"/>
  <c r="E2267" i="10"/>
  <c r="C2267" i="10"/>
  <c r="E208" i="10"/>
  <c r="C208" i="10"/>
  <c r="E204" i="10"/>
  <c r="E2166" i="10"/>
  <c r="D2159" i="10"/>
  <c r="D2166" i="10"/>
  <c r="D2163" i="10"/>
  <c r="C2312" i="10"/>
  <c r="D2309" i="10"/>
  <c r="E1388" i="10"/>
  <c r="D1384" i="10"/>
  <c r="E1384" i="10"/>
  <c r="C2336" i="10"/>
  <c r="E2343" i="10"/>
  <c r="D2335" i="10"/>
  <c r="E666" i="10"/>
  <c r="E664" i="10"/>
  <c r="E668" i="10"/>
  <c r="C1957" i="10"/>
  <c r="D1961" i="10"/>
  <c r="E1958" i="10"/>
  <c r="C1829" i="10"/>
  <c r="C1825" i="10"/>
  <c r="E1822" i="10"/>
  <c r="D760" i="10"/>
  <c r="E765" i="10"/>
  <c r="E766" i="10"/>
  <c r="D1870" i="10"/>
  <c r="D1866" i="10"/>
  <c r="D1869" i="10"/>
  <c r="E1867" i="10"/>
  <c r="E1888" i="10"/>
  <c r="D1901" i="10"/>
  <c r="D1885" i="10"/>
  <c r="C1893" i="10"/>
  <c r="D1897" i="10"/>
  <c r="E2193" i="10"/>
  <c r="C2189" i="10"/>
  <c r="D2189" i="10"/>
  <c r="E2190" i="10"/>
  <c r="D2535" i="10"/>
  <c r="D2530" i="10"/>
  <c r="E2531" i="10"/>
  <c r="C2530" i="10"/>
  <c r="D1272" i="10"/>
  <c r="E1269" i="10"/>
  <c r="D1270" i="10"/>
  <c r="E1268" i="10"/>
  <c r="C228" i="10"/>
  <c r="D218" i="10"/>
  <c r="E225" i="10"/>
  <c r="C223" i="10"/>
  <c r="E218" i="10"/>
  <c r="D194" i="10"/>
  <c r="D192" i="10"/>
  <c r="C200" i="10"/>
  <c r="E200" i="10"/>
  <c r="D384" i="10"/>
  <c r="C383" i="10"/>
  <c r="C386" i="10"/>
  <c r="D383" i="10"/>
  <c r="D2579" i="10"/>
  <c r="D2582" i="10"/>
  <c r="E2581" i="10"/>
  <c r="D2581" i="10"/>
  <c r="E2573" i="10"/>
  <c r="E260" i="10"/>
  <c r="E268" i="10"/>
  <c r="D263" i="10"/>
  <c r="C268" i="10"/>
  <c r="D2404" i="10"/>
  <c r="E2407" i="10"/>
  <c r="C1149" i="10"/>
  <c r="C1140" i="10"/>
  <c r="D1148" i="10"/>
  <c r="E1147" i="10"/>
  <c r="D2238" i="10"/>
  <c r="E2239" i="10"/>
  <c r="D2243" i="10"/>
  <c r="C2244" i="10"/>
  <c r="E2069" i="10"/>
  <c r="C2073" i="10"/>
  <c r="C2447" i="10"/>
  <c r="E2447" i="10"/>
  <c r="E2445" i="10"/>
  <c r="D2444" i="10"/>
  <c r="D685" i="10"/>
  <c r="E680" i="10"/>
  <c r="D681" i="10"/>
  <c r="D682" i="10"/>
  <c r="E1575" i="10"/>
  <c r="C1579" i="10"/>
  <c r="C1570" i="10"/>
  <c r="C1577" i="10"/>
  <c r="C415" i="10"/>
  <c r="C416" i="10"/>
  <c r="C419" i="10"/>
  <c r="E416" i="10"/>
  <c r="D1668" i="10"/>
  <c r="E1671" i="10"/>
  <c r="D1469" i="10"/>
  <c r="E1467" i="10"/>
  <c r="C1465" i="10"/>
  <c r="D315" i="10"/>
  <c r="E315" i="10"/>
  <c r="C317" i="10"/>
  <c r="C312" i="10"/>
  <c r="E1490" i="10"/>
  <c r="E1492" i="10"/>
  <c r="D1497" i="10"/>
  <c r="E1499" i="10"/>
  <c r="C1075" i="10"/>
  <c r="C1076" i="10"/>
  <c r="D1073" i="10"/>
  <c r="E1069" i="10"/>
  <c r="C1985" i="10"/>
  <c r="D1278" i="10"/>
  <c r="C1277" i="10"/>
  <c r="C1279" i="10"/>
  <c r="D863" i="10"/>
  <c r="C871" i="10"/>
  <c r="E871" i="10"/>
  <c r="E873" i="10"/>
  <c r="D275" i="10"/>
  <c r="D274" i="10"/>
  <c r="D1128" i="10"/>
  <c r="E1131" i="10"/>
  <c r="D1129" i="10"/>
  <c r="E1130" i="10"/>
  <c r="E2256" i="10"/>
  <c r="E2261" i="10"/>
  <c r="E2252" i="10"/>
  <c r="C2261" i="10"/>
  <c r="C2371" i="10"/>
  <c r="E2367" i="10"/>
  <c r="D2362" i="10"/>
  <c r="E2370" i="10"/>
  <c r="E2365" i="10"/>
  <c r="C587" i="10"/>
  <c r="E594" i="10"/>
  <c r="C588" i="10"/>
  <c r="C595" i="10"/>
  <c r="C950" i="10"/>
  <c r="C949" i="10"/>
  <c r="C953" i="10"/>
  <c r="C952" i="10"/>
  <c r="D1014" i="10"/>
  <c r="E1013" i="10"/>
  <c r="D1018" i="10"/>
  <c r="D1023" i="10"/>
  <c r="E1732" i="10"/>
  <c r="E1731" i="10"/>
  <c r="C1726" i="10"/>
  <c r="C1735" i="10"/>
  <c r="D1563" i="10"/>
  <c r="E1565" i="10"/>
  <c r="C1565" i="10"/>
  <c r="E1559" i="10"/>
  <c r="C90" i="10"/>
  <c r="E96" i="10"/>
  <c r="C98" i="10"/>
  <c r="E97" i="10"/>
  <c r="C1706" i="10"/>
  <c r="D1705" i="10"/>
  <c r="D1700" i="10"/>
  <c r="D1703" i="10"/>
  <c r="D1770" i="10"/>
  <c r="C1764" i="10"/>
  <c r="D1763" i="10"/>
  <c r="E1770" i="10"/>
  <c r="D439" i="10"/>
  <c r="C445" i="10"/>
  <c r="C437" i="10"/>
  <c r="E443" i="10"/>
  <c r="C1215" i="10"/>
  <c r="C1205" i="10"/>
  <c r="E1214" i="10"/>
  <c r="E1222" i="10"/>
  <c r="E1218" i="10"/>
  <c r="D1218" i="10"/>
  <c r="C1207" i="10"/>
  <c r="E1215" i="10"/>
  <c r="D1216" i="10"/>
  <c r="C1657" i="10"/>
  <c r="E1662" i="10"/>
  <c r="C1655" i="10"/>
  <c r="C1654" i="10"/>
  <c r="E746" i="10"/>
  <c r="D753" i="10"/>
  <c r="C755" i="10"/>
  <c r="C748" i="10"/>
  <c r="E1754" i="10"/>
  <c r="C1757" i="10"/>
  <c r="E1756" i="10"/>
  <c r="E1759" i="10"/>
  <c r="E2671" i="10"/>
  <c r="E2668" i="10"/>
  <c r="D2662" i="10"/>
  <c r="E2669" i="10"/>
  <c r="E2031" i="10"/>
  <c r="C2030" i="10"/>
  <c r="E2030" i="10"/>
  <c r="E2036" i="10"/>
  <c r="C785" i="10"/>
  <c r="E792" i="10"/>
  <c r="D793" i="10"/>
  <c r="C787" i="10"/>
  <c r="C1258" i="10"/>
  <c r="C1254" i="10"/>
  <c r="D2679" i="10"/>
  <c r="E2683" i="10"/>
  <c r="C2678" i="10"/>
  <c r="C2680" i="10"/>
  <c r="E2693" i="10"/>
  <c r="C2684" i="10"/>
  <c r="D2683" i="10"/>
  <c r="G31" i="5"/>
  <c r="D1793" i="10"/>
  <c r="D1801" i="10"/>
  <c r="C1798" i="10"/>
  <c r="D1795" i="10"/>
  <c r="D777" i="10"/>
  <c r="C778" i="10"/>
  <c r="D775" i="10"/>
  <c r="C69" i="10"/>
  <c r="C70" i="10"/>
  <c r="D64" i="10"/>
  <c r="C72" i="10"/>
  <c r="E2275" i="10"/>
  <c r="C430" i="10"/>
  <c r="D424" i="10"/>
  <c r="E429" i="10"/>
  <c r="C428" i="10"/>
  <c r="D697" i="10"/>
  <c r="E699" i="10"/>
  <c r="C692" i="10"/>
  <c r="C691" i="10"/>
  <c r="C170" i="10"/>
  <c r="E169" i="10"/>
  <c r="E168" i="10"/>
  <c r="C174" i="10"/>
  <c r="E1401" i="10"/>
  <c r="C1398" i="10"/>
  <c r="D1402" i="10"/>
  <c r="D1405" i="10"/>
  <c r="E2204" i="10"/>
  <c r="D2200" i="10"/>
  <c r="D1877" i="10"/>
  <c r="E1878" i="10"/>
  <c r="C1880" i="10"/>
  <c r="D79" i="10"/>
  <c r="D78" i="10"/>
  <c r="E83" i="10"/>
  <c r="C83" i="10"/>
  <c r="E35" i="10"/>
  <c r="E36" i="10"/>
  <c r="D35" i="10"/>
  <c r="D34" i="10"/>
  <c r="C1588" i="10"/>
  <c r="E1592" i="10"/>
  <c r="D1590" i="10"/>
  <c r="E1585" i="10"/>
  <c r="E817" i="10"/>
  <c r="C818" i="10"/>
  <c r="C812" i="10"/>
  <c r="D811" i="10"/>
  <c r="D797" i="10"/>
  <c r="C801" i="10"/>
  <c r="D803" i="10"/>
  <c r="C799" i="10"/>
  <c r="D806" i="10"/>
  <c r="D2104" i="10"/>
  <c r="C2103" i="10"/>
  <c r="E2104" i="10"/>
  <c r="D2102" i="10"/>
  <c r="E2057" i="10"/>
  <c r="C2060" i="10"/>
  <c r="E2054" i="10"/>
  <c r="C2061" i="10"/>
  <c r="D825" i="10"/>
  <c r="C832" i="10"/>
  <c r="D833" i="10"/>
  <c r="E831" i="10"/>
  <c r="E2393" i="10"/>
  <c r="C2397" i="10"/>
  <c r="E2392" i="10"/>
  <c r="E2396" i="10"/>
  <c r="C2089" i="10"/>
  <c r="C2090" i="10"/>
  <c r="E2093" i="10"/>
  <c r="E2089" i="10"/>
  <c r="C1343" i="10"/>
  <c r="D1347" i="10"/>
  <c r="C1345" i="10"/>
  <c r="C1679" i="10"/>
  <c r="E1680" i="10"/>
  <c r="C1681" i="10"/>
  <c r="D1154" i="10"/>
  <c r="E1157" i="10"/>
  <c r="C1155" i="10"/>
  <c r="D1157" i="10"/>
  <c r="D1177" i="10"/>
  <c r="C1175" i="10"/>
  <c r="D1169" i="10"/>
  <c r="E1170" i="10"/>
  <c r="C1853" i="10"/>
  <c r="E1848" i="10"/>
  <c r="C1857" i="10"/>
  <c r="E1857" i="10"/>
  <c r="C1419" i="10"/>
  <c r="D1414" i="10"/>
  <c r="C1412" i="10"/>
  <c r="D1411" i="10"/>
  <c r="D1532" i="10"/>
  <c r="D1536" i="10"/>
  <c r="D336" i="10"/>
  <c r="C334" i="10"/>
  <c r="C328" i="10"/>
  <c r="E331" i="10"/>
  <c r="D2425" i="10"/>
  <c r="C2430" i="10"/>
  <c r="E2423" i="10"/>
  <c r="E2424" i="10"/>
  <c r="C2730" i="10"/>
  <c r="E2733" i="10"/>
  <c r="C2735" i="10"/>
  <c r="E2729" i="10"/>
  <c r="D928" i="10"/>
  <c r="C919" i="10"/>
  <c r="C923" i="10"/>
  <c r="D922" i="10"/>
  <c r="D2379" i="10"/>
  <c r="E2118" i="10"/>
  <c r="E2415" i="10"/>
  <c r="C2265" i="10"/>
  <c r="C2271" i="10"/>
  <c r="C212" i="10"/>
  <c r="C209" i="10"/>
  <c r="E207" i="10"/>
  <c r="D2162" i="10"/>
  <c r="C2160" i="10"/>
  <c r="C2157" i="10"/>
  <c r="E2312" i="10"/>
  <c r="C2313" i="10"/>
  <c r="C1390" i="10"/>
  <c r="C1391" i="10"/>
  <c r="E1390" i="10"/>
  <c r="C2339" i="10"/>
  <c r="C2340" i="10"/>
  <c r="E2334" i="10"/>
  <c r="C661" i="10"/>
  <c r="D670" i="10"/>
  <c r="D669" i="10"/>
  <c r="C1958" i="10"/>
  <c r="C1967" i="10"/>
  <c r="E1967" i="10"/>
  <c r="D1963" i="10"/>
  <c r="C1828" i="10"/>
  <c r="D1825" i="10"/>
  <c r="C1823" i="10"/>
  <c r="E769" i="10"/>
  <c r="E764" i="10"/>
  <c r="E762" i="10"/>
  <c r="E1863" i="10"/>
  <c r="E1861" i="10"/>
  <c r="D1871" i="10"/>
  <c r="D1903" i="10"/>
  <c r="E1891" i="10"/>
  <c r="E1894" i="10"/>
  <c r="E1886" i="10"/>
  <c r="C1887" i="10"/>
  <c r="E2194" i="10"/>
  <c r="C2191" i="10"/>
  <c r="D2185" i="10"/>
  <c r="D2193" i="10"/>
  <c r="E2536" i="10"/>
  <c r="E2530" i="10"/>
  <c r="C2538" i="10"/>
  <c r="E2539" i="10"/>
  <c r="E1265" i="10"/>
  <c r="D1265" i="10"/>
  <c r="C1265" i="10"/>
  <c r="C1266" i="10"/>
  <c r="C219" i="10"/>
  <c r="E220" i="10"/>
  <c r="C220" i="10"/>
  <c r="E224" i="10"/>
  <c r="C199" i="10"/>
  <c r="D195" i="10"/>
  <c r="D193" i="10"/>
  <c r="E194" i="10"/>
  <c r="C382" i="10"/>
  <c r="E391" i="10"/>
  <c r="E389" i="10"/>
  <c r="D381" i="10"/>
  <c r="C2574" i="10"/>
  <c r="D2572" i="10"/>
  <c r="C2570" i="10"/>
  <c r="E2576" i="10"/>
  <c r="C2582" i="10"/>
  <c r="E2582" i="10"/>
  <c r="C270" i="10"/>
  <c r="E263" i="10"/>
  <c r="C261" i="10"/>
  <c r="E265" i="10"/>
  <c r="C2404" i="10"/>
  <c r="E2405" i="10"/>
  <c r="D2408" i="10"/>
  <c r="D1144" i="10"/>
  <c r="E1144" i="10"/>
  <c r="E1140" i="10"/>
  <c r="E1145" i="10"/>
  <c r="D2239" i="10"/>
  <c r="E2240" i="10"/>
  <c r="D2240" i="10"/>
  <c r="D2242" i="10"/>
  <c r="D2246" i="10"/>
  <c r="E2073" i="10"/>
  <c r="D2073" i="10"/>
  <c r="E2444" i="10"/>
  <c r="D2446" i="10"/>
  <c r="E2439" i="10"/>
  <c r="E2442" i="10"/>
  <c r="D2438" i="10"/>
  <c r="D684" i="10"/>
  <c r="E677" i="10"/>
  <c r="C685" i="10"/>
  <c r="E683" i="10"/>
  <c r="C1571" i="10"/>
  <c r="D1577" i="10"/>
  <c r="D1570" i="10"/>
  <c r="D1579" i="10"/>
  <c r="E411" i="10"/>
  <c r="D419" i="10"/>
  <c r="D417" i="10"/>
  <c r="E409" i="10"/>
  <c r="E1668" i="10"/>
  <c r="C1668" i="10"/>
  <c r="E1669" i="10"/>
  <c r="C1470" i="10"/>
  <c r="D1465" i="10"/>
  <c r="E1470" i="10"/>
  <c r="C322" i="10"/>
  <c r="E320" i="10"/>
  <c r="C318" i="10"/>
  <c r="D314" i="10"/>
  <c r="D1492" i="10"/>
  <c r="D1499" i="10"/>
  <c r="E1498" i="10"/>
  <c r="D1493" i="10"/>
  <c r="D1078" i="10"/>
  <c r="E1076" i="10"/>
  <c r="E1078" i="10"/>
  <c r="C1073" i="10"/>
  <c r="E1986" i="10"/>
  <c r="C1283" i="10"/>
  <c r="D1283" i="10"/>
  <c r="E1280" i="10"/>
  <c r="E867" i="10"/>
  <c r="D870" i="10"/>
  <c r="D867" i="10"/>
  <c r="C866" i="10"/>
  <c r="E276" i="10"/>
  <c r="E280" i="10"/>
  <c r="D1134" i="10"/>
  <c r="E1128" i="10"/>
  <c r="E1135" i="10"/>
  <c r="E1125" i="10"/>
  <c r="C2255" i="10"/>
  <c r="D2261" i="10"/>
  <c r="E2255" i="10"/>
  <c r="C2258" i="10"/>
  <c r="C2365" i="10"/>
  <c r="E2366" i="10"/>
  <c r="D2371" i="10"/>
  <c r="D2365" i="10"/>
  <c r="D586" i="10"/>
  <c r="E592" i="10"/>
  <c r="C585" i="10"/>
  <c r="E591" i="10"/>
  <c r="C955" i="10"/>
  <c r="C954" i="10"/>
  <c r="D951" i="10"/>
  <c r="E957" i="10"/>
  <c r="E1014" i="10"/>
  <c r="D1019" i="10"/>
  <c r="E1019" i="10"/>
  <c r="C1021" i="10"/>
  <c r="E1726" i="10"/>
  <c r="E1728" i="10"/>
  <c r="C1725" i="10"/>
  <c r="D1728" i="10"/>
  <c r="C1558" i="10"/>
  <c r="D1555" i="10"/>
  <c r="D1562" i="10"/>
  <c r="E1561" i="10"/>
  <c r="C94" i="10"/>
  <c r="C97" i="10"/>
  <c r="E93" i="10"/>
  <c r="C91" i="10"/>
  <c r="D1706" i="10"/>
  <c r="E1698" i="10"/>
  <c r="C1705" i="10"/>
  <c r="C1703" i="10"/>
  <c r="D1707" i="10"/>
  <c r="D1766" i="10"/>
  <c r="E1766" i="10"/>
  <c r="E1771" i="10"/>
  <c r="E1764" i="10"/>
  <c r="C442" i="10"/>
  <c r="C443" i="10"/>
  <c r="D437" i="10"/>
  <c r="E439" i="10"/>
  <c r="E1219" i="10"/>
  <c r="C1209" i="10"/>
  <c r="D1225" i="10"/>
  <c r="C1218" i="10"/>
  <c r="C1217" i="10"/>
  <c r="E1205" i="10"/>
  <c r="C1221" i="10"/>
  <c r="E1209" i="10"/>
  <c r="E1203" i="10"/>
  <c r="E1657" i="10"/>
  <c r="E1658" i="10"/>
  <c r="E1656" i="10"/>
  <c r="C1658" i="10"/>
  <c r="C753" i="10"/>
  <c r="D747" i="10"/>
  <c r="C751" i="10"/>
  <c r="E751" i="10"/>
  <c r="D1753" i="10"/>
  <c r="D1749" i="10"/>
  <c r="E1757" i="10"/>
  <c r="E1753" i="10"/>
  <c r="D1757" i="10"/>
  <c r="C2667" i="10"/>
  <c r="C2671" i="10"/>
  <c r="E2663" i="10"/>
  <c r="D2665" i="10"/>
  <c r="E2037" i="10"/>
  <c r="E2035" i="10"/>
  <c r="E2034" i="10"/>
  <c r="E2038" i="10"/>
  <c r="D783" i="10"/>
  <c r="E784" i="10"/>
  <c r="E790" i="10"/>
  <c r="C783" i="10"/>
  <c r="D1259" i="10"/>
  <c r="E1254" i="10"/>
  <c r="D1256" i="10"/>
  <c r="D2677" i="10"/>
  <c r="E2679" i="10"/>
  <c r="E2686" i="10"/>
  <c r="D2688" i="10"/>
  <c r="C2681" i="10"/>
  <c r="E2688" i="10"/>
  <c r="D2687" i="10"/>
  <c r="J31" i="5"/>
  <c r="E1800" i="10"/>
  <c r="C1791" i="10"/>
  <c r="E1799" i="10"/>
  <c r="D1794" i="10"/>
  <c r="D774" i="10"/>
  <c r="D778" i="10"/>
  <c r="C774" i="10"/>
  <c r="E65" i="10"/>
  <c r="D65" i="10"/>
  <c r="E72" i="10"/>
  <c r="C67" i="10"/>
  <c r="D2275" i="10"/>
  <c r="C426" i="10"/>
  <c r="E424" i="10"/>
  <c r="C432" i="10"/>
  <c r="E425" i="10"/>
  <c r="D431" i="10"/>
  <c r="E698" i="10"/>
  <c r="D696" i="10"/>
  <c r="E696" i="10"/>
  <c r="C699" i="10"/>
  <c r="C168" i="10"/>
  <c r="E167" i="10"/>
  <c r="D169" i="10"/>
  <c r="E175" i="10"/>
  <c r="E1405" i="10"/>
  <c r="D1396" i="10"/>
  <c r="E1399" i="10"/>
  <c r="C1402" i="10"/>
  <c r="D2205" i="10"/>
  <c r="C2202" i="10"/>
  <c r="C2200" i="10"/>
  <c r="E1881" i="10"/>
  <c r="C1879" i="10"/>
  <c r="E1875" i="10"/>
  <c r="D82" i="10"/>
  <c r="E79" i="10"/>
  <c r="D86" i="10"/>
  <c r="D85" i="10"/>
  <c r="D39" i="10"/>
  <c r="E43" i="10"/>
  <c r="C36" i="10"/>
  <c r="D40" i="10"/>
  <c r="G28" i="5"/>
  <c r="E1587" i="10"/>
  <c r="C1590" i="10"/>
  <c r="C1593" i="10"/>
  <c r="C1584" i="10"/>
  <c r="E814" i="10"/>
  <c r="D817" i="10"/>
  <c r="D818" i="10"/>
  <c r="D819" i="10"/>
  <c r="E803" i="10"/>
  <c r="C807" i="10"/>
  <c r="C798" i="10"/>
  <c r="D807" i="10"/>
  <c r="E2102" i="10"/>
  <c r="D2101" i="10"/>
  <c r="D2107" i="10"/>
  <c r="E2107" i="10"/>
  <c r="D2057" i="10"/>
  <c r="C2053" i="10"/>
  <c r="E2059" i="10"/>
  <c r="D2053" i="10"/>
  <c r="D830" i="10"/>
  <c r="C828" i="10"/>
  <c r="E835" i="10"/>
  <c r="D828" i="10"/>
  <c r="E828" i="10"/>
  <c r="C2392" i="10"/>
  <c r="E2398" i="10"/>
  <c r="E2399" i="10"/>
  <c r="C2389" i="10"/>
  <c r="D2095" i="10"/>
  <c r="C2087" i="10"/>
  <c r="C2097" i="10"/>
  <c r="D2087" i="10"/>
  <c r="C1347" i="10"/>
  <c r="E1346" i="10"/>
  <c r="C1344" i="10"/>
  <c r="C1677" i="10"/>
  <c r="D1677" i="10"/>
  <c r="D1678" i="10"/>
  <c r="C1163" i="10"/>
  <c r="D1158" i="10"/>
  <c r="C1154" i="10"/>
  <c r="E1161" i="10"/>
  <c r="C1173" i="10"/>
  <c r="D1173" i="10"/>
  <c r="C1177" i="10"/>
  <c r="D1168" i="10"/>
  <c r="C1851" i="10"/>
  <c r="C1847" i="10"/>
  <c r="D1855" i="10"/>
  <c r="C1848" i="10"/>
  <c r="D1418" i="10"/>
  <c r="D1413" i="10"/>
  <c r="D1410" i="10"/>
  <c r="D1415" i="10"/>
  <c r="E1409" i="10"/>
  <c r="D1535" i="10"/>
  <c r="C1531" i="10"/>
  <c r="C327" i="10"/>
  <c r="E332" i="10"/>
  <c r="E336" i="10"/>
  <c r="E327" i="10"/>
  <c r="D328" i="10"/>
  <c r="E2433" i="10"/>
  <c r="E2425" i="10"/>
  <c r="C2431" i="10"/>
  <c r="E2427" i="10"/>
  <c r="C2736" i="10"/>
  <c r="E2735" i="10"/>
  <c r="C2731" i="10"/>
  <c r="E2728" i="10"/>
  <c r="C927" i="10"/>
  <c r="C925" i="10"/>
  <c r="D929" i="10"/>
  <c r="E928" i="10"/>
  <c r="D495" i="10"/>
  <c r="D2116" i="10"/>
  <c r="C2419" i="10"/>
  <c r="E2265" i="10"/>
  <c r="E2266" i="10"/>
  <c r="D207" i="10"/>
  <c r="E213" i="10"/>
  <c r="D212" i="10"/>
  <c r="C2162" i="10"/>
  <c r="E2163" i="10"/>
  <c r="C2167" i="10"/>
  <c r="D2315" i="10"/>
  <c r="C2311" i="10"/>
  <c r="C1382" i="10"/>
  <c r="D1391" i="10"/>
  <c r="D1382" i="10"/>
  <c r="D2333" i="10"/>
  <c r="D2340" i="10"/>
  <c r="D2336" i="10"/>
  <c r="D668" i="10"/>
  <c r="E662" i="10"/>
  <c r="C671" i="10"/>
  <c r="E1964" i="10"/>
  <c r="D1966" i="10"/>
  <c r="E1966" i="10"/>
  <c r="C1822" i="10"/>
  <c r="E1823" i="10"/>
  <c r="E1826" i="10"/>
  <c r="D763" i="10"/>
  <c r="C761" i="10"/>
  <c r="E763" i="10"/>
  <c r="D1862" i="10"/>
  <c r="C1871" i="10"/>
  <c r="E1868" i="10"/>
  <c r="D1896" i="10"/>
  <c r="D1889" i="10"/>
  <c r="D1902" i="10"/>
  <c r="C1902" i="10"/>
  <c r="C1891" i="10"/>
  <c r="C1903" i="10"/>
  <c r="E2195" i="10"/>
  <c r="C2185" i="10"/>
  <c r="C2195" i="10"/>
  <c r="E2189" i="10"/>
  <c r="D2194" i="10"/>
  <c r="E2538" i="10"/>
  <c r="D2531" i="10"/>
  <c r="E2535" i="10"/>
  <c r="E2533" i="10"/>
  <c r="C1269" i="10"/>
  <c r="C1267" i="10"/>
  <c r="D1267" i="10"/>
  <c r="E1272" i="10"/>
  <c r="C218" i="10"/>
  <c r="E226" i="10"/>
  <c r="D226" i="10"/>
  <c r="D225" i="10"/>
  <c r="E195" i="10"/>
  <c r="C197" i="10"/>
  <c r="C192" i="10"/>
  <c r="D190" i="10"/>
  <c r="C191" i="10"/>
  <c r="E387" i="10"/>
  <c r="C390" i="10"/>
  <c r="C381" i="10"/>
  <c r="E388" i="10"/>
  <c r="D2576" i="10"/>
  <c r="C2572" i="10"/>
  <c r="E2579" i="10"/>
  <c r="C2579" i="10"/>
  <c r="D2580" i="10"/>
  <c r="D2574" i="10"/>
  <c r="C263" i="10"/>
  <c r="C260" i="10"/>
  <c r="E264" i="10"/>
  <c r="C265" i="10"/>
  <c r="D2409" i="10"/>
  <c r="C2407" i="10"/>
  <c r="C2403" i="10"/>
  <c r="C1147" i="10"/>
  <c r="C1144" i="10"/>
  <c r="D1139" i="10"/>
  <c r="E1143" i="10"/>
  <c r="E2243" i="10"/>
  <c r="D2247" i="10"/>
  <c r="E2241" i="10"/>
  <c r="D2237" i="10"/>
  <c r="D2069" i="10"/>
  <c r="D2070" i="10"/>
  <c r="E2438" i="10"/>
  <c r="C2445" i="10"/>
  <c r="C2443" i="10"/>
  <c r="E2446" i="10"/>
  <c r="E682" i="10"/>
  <c r="E685" i="10"/>
  <c r="D683" i="10"/>
  <c r="D677" i="10"/>
  <c r="D1571" i="10"/>
  <c r="C1575" i="10"/>
  <c r="E1574" i="10"/>
  <c r="D1573" i="10"/>
  <c r="C409" i="10"/>
  <c r="C411" i="10"/>
  <c r="E414" i="10"/>
  <c r="E419" i="10"/>
  <c r="E1672" i="10"/>
  <c r="C1669" i="10"/>
  <c r="C1671" i="10"/>
  <c r="E1465" i="10"/>
  <c r="C1469" i="10"/>
  <c r="D1468" i="10"/>
  <c r="E319" i="10"/>
  <c r="E314" i="10"/>
  <c r="E322" i="10"/>
  <c r="D319" i="10"/>
  <c r="D1494" i="10"/>
  <c r="C1493" i="10"/>
  <c r="E1496" i="10"/>
  <c r="E1489" i="10"/>
  <c r="C1498" i="10"/>
  <c r="D1070" i="10"/>
  <c r="D1072" i="10"/>
  <c r="E1077" i="10"/>
  <c r="D1079" i="10"/>
  <c r="C1987" i="10"/>
  <c r="E1279" i="10"/>
  <c r="D1281" i="10"/>
  <c r="D1277" i="10"/>
  <c r="C865" i="10"/>
  <c r="E868" i="10"/>
  <c r="E865" i="10"/>
  <c r="E869" i="10"/>
  <c r="C280" i="10"/>
  <c r="E278" i="10"/>
  <c r="D1126" i="10"/>
  <c r="C1127" i="10"/>
  <c r="E1129" i="10"/>
  <c r="C1125" i="10"/>
  <c r="E2257" i="10"/>
  <c r="C2254" i="10"/>
  <c r="D2255" i="10"/>
  <c r="C2252" i="10"/>
  <c r="E2364" i="10"/>
  <c r="E2371" i="10"/>
  <c r="D2367" i="10"/>
  <c r="C2368" i="10"/>
  <c r="E588" i="10"/>
  <c r="C589" i="10"/>
  <c r="C593" i="10"/>
  <c r="D588" i="10"/>
  <c r="E586" i="10"/>
  <c r="E948" i="10"/>
  <c r="D952" i="10"/>
  <c r="E955" i="10"/>
  <c r="D947" i="10"/>
  <c r="C1016" i="10"/>
  <c r="D1021" i="10"/>
  <c r="D1015" i="10"/>
  <c r="D1017" i="10"/>
  <c r="E1727" i="10"/>
  <c r="D1726" i="10"/>
  <c r="D1731" i="10"/>
  <c r="D1732" i="10"/>
  <c r="C1561" i="10"/>
  <c r="C1562" i="10"/>
  <c r="D1558" i="10"/>
  <c r="E1564" i="10"/>
  <c r="D92" i="10"/>
  <c r="D99" i="10"/>
  <c r="E100" i="10"/>
  <c r="D90" i="10"/>
  <c r="E1704" i="10"/>
  <c r="D1697" i="10"/>
  <c r="E1703" i="10"/>
  <c r="D1704" i="10"/>
  <c r="E1769" i="10"/>
  <c r="D1773" i="10"/>
  <c r="D1771" i="10"/>
  <c r="D1767" i="10"/>
  <c r="D446" i="10"/>
  <c r="E440" i="10"/>
  <c r="D443" i="10"/>
  <c r="C441" i="10"/>
  <c r="C1203" i="10"/>
  <c r="E1217" i="10"/>
  <c r="D1207" i="10"/>
  <c r="C1223" i="10"/>
  <c r="D1206" i="10"/>
  <c r="D1208" i="10"/>
  <c r="D1221" i="10"/>
  <c r="C1206" i="10"/>
  <c r="C1208" i="10"/>
  <c r="C1660" i="10"/>
  <c r="D1655" i="10"/>
  <c r="D1656" i="10"/>
  <c r="D1658" i="10"/>
  <c r="C749" i="10"/>
  <c r="D748" i="10"/>
  <c r="C750" i="10"/>
  <c r="C746" i="10"/>
  <c r="E1758" i="10"/>
  <c r="D1756" i="10"/>
  <c r="C1759" i="10"/>
  <c r="C1754" i="10"/>
  <c r="C2670" i="10"/>
  <c r="E2667" i="10"/>
  <c r="C2661" i="10"/>
  <c r="E2662" i="10"/>
  <c r="D2030" i="10"/>
  <c r="D2031" i="10"/>
  <c r="C2039" i="10"/>
  <c r="D2029" i="10"/>
  <c r="D792" i="10"/>
  <c r="E786" i="10"/>
  <c r="D785" i="10"/>
  <c r="C789" i="10"/>
  <c r="C1256" i="10"/>
  <c r="C1253" i="10"/>
  <c r="E1259" i="10"/>
  <c r="C2679" i="10"/>
  <c r="D2681" i="10"/>
  <c r="D2689" i="10"/>
  <c r="E2677" i="10"/>
  <c r="C2689" i="10"/>
  <c r="C2692" i="10"/>
  <c r="D2685" i="10"/>
  <c r="C1794" i="10"/>
  <c r="D1799" i="10"/>
  <c r="C1792" i="10"/>
  <c r="C1799" i="10"/>
  <c r="D779" i="10"/>
  <c r="C775" i="10"/>
  <c r="C776" i="10"/>
  <c r="D68" i="10"/>
  <c r="D72" i="10"/>
  <c r="C71" i="10"/>
  <c r="D67" i="10"/>
  <c r="C2277" i="10"/>
  <c r="E431" i="10"/>
  <c r="E427" i="10"/>
  <c r="E432" i="10"/>
  <c r="D425" i="10"/>
  <c r="E695" i="10"/>
  <c r="D690" i="10"/>
  <c r="E692" i="10"/>
  <c r="D689" i="10"/>
  <c r="D173" i="10"/>
  <c r="C175" i="10"/>
  <c r="C169" i="10"/>
  <c r="E170" i="10"/>
  <c r="D1399" i="10"/>
  <c r="D1397" i="10"/>
  <c r="D1400" i="10"/>
  <c r="C1403" i="10"/>
  <c r="C2203" i="10"/>
  <c r="C2201" i="10"/>
  <c r="D2202" i="10"/>
  <c r="C1881" i="10"/>
  <c r="C1877" i="10"/>
  <c r="E1877" i="10"/>
  <c r="C79" i="10"/>
  <c r="D83" i="10"/>
  <c r="D77" i="10"/>
  <c r="D76" i="10"/>
  <c r="E38" i="10"/>
  <c r="D43" i="10"/>
  <c r="E34" i="10"/>
  <c r="D38" i="10"/>
  <c r="J28" i="5"/>
  <c r="D1588" i="10"/>
  <c r="D1593" i="10"/>
  <c r="C1587" i="10"/>
  <c r="E1591" i="10"/>
  <c r="C820" i="10"/>
  <c r="D821" i="10"/>
  <c r="E813" i="10"/>
  <c r="D815" i="10"/>
  <c r="E797" i="10"/>
  <c r="C803" i="10"/>
  <c r="D801" i="10"/>
  <c r="D805" i="10"/>
  <c r="D2108" i="10"/>
  <c r="C2102" i="10"/>
  <c r="E2105" i="10"/>
  <c r="E2111" i="10"/>
  <c r="C2111" i="10"/>
  <c r="C2059" i="10"/>
  <c r="D2056" i="10"/>
  <c r="E2056" i="10"/>
  <c r="C2058" i="10"/>
  <c r="D834" i="10"/>
  <c r="C826" i="10"/>
  <c r="C829" i="10"/>
  <c r="D827" i="10"/>
  <c r="C2396" i="10"/>
  <c r="D2394" i="10"/>
  <c r="D2396" i="10"/>
  <c r="D2397" i="10"/>
  <c r="D2088" i="10"/>
  <c r="D2089" i="10"/>
  <c r="E2091" i="10"/>
  <c r="E2092" i="10"/>
  <c r="D1344" i="10"/>
  <c r="D1345" i="10"/>
  <c r="E1343" i="10"/>
  <c r="C1680" i="10"/>
  <c r="D1682" i="10"/>
  <c r="D1153" i="10"/>
  <c r="D1163" i="10"/>
  <c r="C1158" i="10"/>
  <c r="E1155" i="10"/>
  <c r="D1176" i="10"/>
  <c r="D1170" i="10"/>
  <c r="D1167" i="10"/>
  <c r="E1175" i="10"/>
  <c r="C1852" i="10"/>
  <c r="E1847" i="10"/>
  <c r="D1851" i="10"/>
  <c r="D1848" i="10"/>
  <c r="D1417" i="10"/>
  <c r="E1414" i="10"/>
  <c r="E1412" i="10"/>
  <c r="C1417" i="10"/>
  <c r="C1533" i="10"/>
  <c r="D1533" i="10"/>
  <c r="D330" i="10"/>
  <c r="C332" i="10"/>
  <c r="C329" i="10"/>
  <c r="C331" i="10"/>
  <c r="E2432" i="10"/>
  <c r="C2429" i="10"/>
  <c r="C2423" i="10"/>
  <c r="E2426" i="10"/>
  <c r="E2737" i="10"/>
  <c r="D2730" i="10"/>
  <c r="E2727" i="10"/>
  <c r="D2733" i="10"/>
  <c r="E920" i="10"/>
  <c r="C926" i="10"/>
  <c r="C921" i="10"/>
  <c r="C929" i="10"/>
  <c r="E2121" i="10"/>
  <c r="C2116" i="10"/>
  <c r="J21" i="5"/>
  <c r="E2270" i="10"/>
  <c r="D2271" i="10"/>
  <c r="E211" i="10"/>
  <c r="E206" i="10"/>
  <c r="E210" i="10"/>
  <c r="E2157" i="10"/>
  <c r="C2159" i="10"/>
  <c r="E2161" i="10"/>
  <c r="D2312" i="10"/>
  <c r="E2314" i="10"/>
  <c r="D1381" i="10"/>
  <c r="D1387" i="10"/>
  <c r="C1385" i="10"/>
  <c r="D1385" i="10"/>
  <c r="C2342" i="10"/>
  <c r="E2336" i="10"/>
  <c r="C2341" i="10"/>
  <c r="E665" i="10"/>
  <c r="D666" i="10"/>
  <c r="C668" i="10"/>
  <c r="E1962" i="10"/>
  <c r="D1967" i="10"/>
  <c r="D1962" i="10"/>
  <c r="E1827" i="10"/>
  <c r="E1820" i="10"/>
  <c r="C1819" i="10"/>
  <c r="D764" i="10"/>
  <c r="C765" i="10"/>
  <c r="D759" i="10"/>
  <c r="D1865" i="10"/>
  <c r="C1868" i="10"/>
  <c r="E1870" i="10"/>
  <c r="C1897" i="10"/>
  <c r="C1900" i="10"/>
  <c r="D1900" i="10"/>
  <c r="D1887" i="10"/>
  <c r="E1896" i="10"/>
  <c r="D1898" i="10"/>
  <c r="D2188" i="10"/>
  <c r="D2187" i="10"/>
  <c r="D2190" i="10"/>
  <c r="E2187" i="10"/>
  <c r="D2533" i="10"/>
  <c r="C2536" i="10"/>
  <c r="E2532" i="10"/>
  <c r="D2539" i="10"/>
  <c r="D1269" i="10"/>
  <c r="D1264" i="10"/>
  <c r="D1263" i="10"/>
  <c r="C1268" i="10"/>
  <c r="E227" i="10"/>
  <c r="E223" i="10"/>
  <c r="C226" i="10"/>
  <c r="E222" i="10"/>
  <c r="C195" i="10"/>
  <c r="E196" i="10"/>
  <c r="C190" i="10"/>
  <c r="E198" i="10"/>
  <c r="E390" i="10"/>
  <c r="C388" i="10"/>
  <c r="E383" i="10"/>
  <c r="D389" i="10"/>
  <c r="C2569" i="10"/>
  <c r="E2570" i="10"/>
  <c r="D2577" i="10"/>
  <c r="C2575" i="10"/>
  <c r="E2580" i="10"/>
  <c r="D2575" i="10"/>
  <c r="E262" i="10"/>
  <c r="E269" i="10"/>
  <c r="D261" i="10"/>
  <c r="C266" i="10"/>
  <c r="C2409" i="10"/>
  <c r="E2409" i="10"/>
  <c r="E2404" i="10"/>
  <c r="E1142" i="10"/>
  <c r="D1146" i="10"/>
  <c r="D1142" i="10"/>
  <c r="E1146" i="10"/>
  <c r="E2237" i="10"/>
  <c r="C2237" i="10"/>
  <c r="D2241" i="10"/>
  <c r="D2244" i="10"/>
  <c r="C2068" i="10"/>
  <c r="C2067" i="10"/>
  <c r="D2071" i="10"/>
  <c r="C2440" i="10"/>
  <c r="D2443" i="10"/>
  <c r="D2447" i="10"/>
  <c r="D2439" i="10"/>
  <c r="D680" i="10"/>
  <c r="C679" i="10"/>
  <c r="C680" i="10"/>
  <c r="C684" i="10"/>
  <c r="C678" i="10"/>
  <c r="E1576" i="10"/>
  <c r="D1574" i="10"/>
  <c r="E1569" i="10"/>
  <c r="D1576" i="10"/>
  <c r="C413" i="10"/>
  <c r="C418" i="10"/>
  <c r="D409" i="10"/>
  <c r="C414" i="10"/>
  <c r="D1673" i="10"/>
  <c r="D1670" i="10"/>
  <c r="C1672" i="10"/>
  <c r="E1469" i="10"/>
  <c r="D1467" i="10"/>
  <c r="C1468" i="10"/>
  <c r="D316" i="10"/>
  <c r="C320" i="10"/>
  <c r="E313" i="10"/>
  <c r="D313" i="10"/>
  <c r="C1490" i="10"/>
  <c r="D1495" i="10"/>
  <c r="C1494" i="10"/>
  <c r="D1498" i="10"/>
  <c r="D1076" i="10"/>
  <c r="C1069" i="10"/>
  <c r="D1077" i="10"/>
  <c r="C1070" i="10"/>
  <c r="E1987" i="10"/>
  <c r="D1282" i="10"/>
  <c r="D1280" i="10"/>
  <c r="C1282" i="10"/>
  <c r="C868" i="10"/>
  <c r="C870" i="10"/>
  <c r="C867" i="10"/>
  <c r="C873" i="10"/>
  <c r="D276" i="10"/>
  <c r="C278" i="10"/>
  <c r="D278" i="10"/>
  <c r="E1127" i="10"/>
  <c r="C1129" i="10"/>
  <c r="C1131" i="10"/>
  <c r="C1134" i="10"/>
  <c r="E2259" i="10"/>
  <c r="C2257" i="10"/>
  <c r="D2259" i="10"/>
  <c r="D2260" i="10"/>
  <c r="C2370" i="10"/>
  <c r="D2366" i="10"/>
  <c r="C2369" i="10"/>
  <c r="E2361" i="10"/>
  <c r="E593" i="10"/>
  <c r="E590" i="10"/>
  <c r="D587" i="10"/>
  <c r="D595" i="10"/>
  <c r="D955" i="10"/>
  <c r="D957" i="10"/>
  <c r="E952" i="10"/>
  <c r="E954" i="10"/>
  <c r="C1015" i="10"/>
  <c r="C1017" i="10"/>
  <c r="E1022" i="10"/>
  <c r="E1015" i="10"/>
  <c r="D1727" i="10"/>
  <c r="D1730" i="10"/>
  <c r="E1734" i="10"/>
  <c r="E1725" i="10"/>
  <c r="C1733" i="10"/>
  <c r="D1556" i="10"/>
  <c r="E1558" i="10"/>
  <c r="E1562" i="10"/>
  <c r="C1563" i="10"/>
  <c r="D97" i="10"/>
  <c r="C93" i="10"/>
  <c r="D91" i="10"/>
  <c r="E94" i="10"/>
  <c r="D1699" i="10"/>
  <c r="C1702" i="10"/>
  <c r="D1702" i="10"/>
  <c r="C1701" i="10"/>
  <c r="D1769" i="10"/>
  <c r="E1763" i="10"/>
  <c r="D1765" i="10"/>
  <c r="D1772" i="10"/>
  <c r="C1770" i="10"/>
  <c r="E446" i="10"/>
  <c r="C439" i="10"/>
  <c r="C438" i="10"/>
  <c r="D442" i="10"/>
  <c r="C1211" i="10"/>
  <c r="C1216" i="10"/>
  <c r="C1204" i="10"/>
  <c r="D1205" i="10"/>
  <c r="D1222" i="10"/>
  <c r="E1225" i="10"/>
  <c r="D1224" i="10"/>
  <c r="D1211" i="10"/>
  <c r="E1210" i="10"/>
  <c r="E1654" i="10"/>
  <c r="D1659" i="10"/>
  <c r="C1659" i="10"/>
  <c r="D1662" i="10"/>
  <c r="D746" i="10"/>
  <c r="C745" i="10"/>
  <c r="E755" i="10"/>
  <c r="D749" i="10"/>
  <c r="C1750" i="10"/>
  <c r="C1753" i="10"/>
  <c r="E1751" i="10"/>
  <c r="C1751" i="10"/>
  <c r="D2670" i="10"/>
  <c r="E2664" i="10"/>
  <c r="E2665" i="10"/>
  <c r="C2664" i="10"/>
  <c r="C2668" i="10"/>
  <c r="D2036" i="10"/>
  <c r="C2035" i="10"/>
  <c r="C2036" i="10"/>
  <c r="E2032" i="10"/>
  <c r="D789" i="10"/>
  <c r="C786" i="10"/>
  <c r="D787" i="10"/>
  <c r="E785" i="10"/>
  <c r="E1255" i="10"/>
  <c r="C1259" i="10"/>
  <c r="E1257" i="10"/>
  <c r="D2692" i="10"/>
  <c r="E2685" i="10"/>
  <c r="C2675" i="10"/>
  <c r="E2684" i="10"/>
  <c r="E2691" i="10"/>
  <c r="C2690" i="10"/>
  <c r="D2675" i="10"/>
  <c r="E1794" i="10"/>
  <c r="D1796" i="10"/>
  <c r="E1797" i="10"/>
  <c r="C1797" i="10"/>
  <c r="D1800" i="10"/>
  <c r="E776" i="10"/>
  <c r="E773" i="10"/>
  <c r="D773" i="10"/>
  <c r="D70" i="10"/>
  <c r="E64" i="10"/>
  <c r="C65" i="10"/>
  <c r="C68" i="10"/>
  <c r="D2277" i="10"/>
  <c r="C431" i="10"/>
  <c r="C423" i="10"/>
  <c r="C425" i="10"/>
  <c r="D428" i="10"/>
  <c r="D698" i="10"/>
  <c r="D693" i="10"/>
  <c r="E690" i="10"/>
  <c r="D694" i="10"/>
  <c r="C697" i="10"/>
  <c r="D175" i="10"/>
  <c r="E171" i="10"/>
  <c r="D168" i="10"/>
  <c r="E172" i="10"/>
  <c r="C1399" i="10"/>
  <c r="E1404" i="10"/>
  <c r="E1398" i="10"/>
  <c r="E1400" i="10"/>
  <c r="E2200" i="10"/>
  <c r="C2199" i="10"/>
  <c r="C2204" i="10"/>
  <c r="E1876" i="10"/>
  <c r="D1876" i="10"/>
  <c r="D1875" i="10"/>
  <c r="C84" i="10"/>
  <c r="C85" i="10"/>
  <c r="E80" i="10"/>
  <c r="C86" i="10"/>
  <c r="C40" i="10"/>
  <c r="C37" i="10"/>
  <c r="C42" i="10"/>
  <c r="D37" i="10"/>
  <c r="C1592" i="10"/>
  <c r="C1586" i="10"/>
  <c r="C1591" i="10"/>
  <c r="C1589" i="10"/>
  <c r="E820" i="10"/>
  <c r="E812" i="10"/>
  <c r="C817" i="10"/>
  <c r="D820" i="10"/>
  <c r="C804" i="10"/>
  <c r="D802" i="10"/>
  <c r="C800" i="10"/>
  <c r="E798" i="10"/>
  <c r="D2103" i="10"/>
  <c r="D2111" i="10"/>
  <c r="C2106" i="10"/>
  <c r="C2109" i="10"/>
  <c r="D2061" i="10"/>
  <c r="C2054" i="10"/>
  <c r="D2063" i="10"/>
  <c r="C2056" i="10"/>
  <c r="E832" i="10"/>
  <c r="E827" i="10"/>
  <c r="D832" i="10"/>
  <c r="D831" i="10"/>
  <c r="E2389" i="10"/>
  <c r="C2395" i="10"/>
  <c r="D2398" i="10"/>
  <c r="E2391" i="10"/>
  <c r="E2395" i="10"/>
  <c r="D2090" i="10"/>
  <c r="E2094" i="10"/>
  <c r="E2087" i="10"/>
  <c r="D2097" i="10"/>
  <c r="C1346" i="10"/>
  <c r="C1348" i="10"/>
  <c r="E1347" i="10"/>
  <c r="C1678" i="10"/>
  <c r="E1683" i="10"/>
  <c r="C1162" i="10"/>
  <c r="C1159" i="10"/>
  <c r="E1153" i="10"/>
  <c r="E1158" i="10"/>
  <c r="E1162" i="10"/>
  <c r="C1176" i="10"/>
  <c r="E1169" i="10"/>
  <c r="E1177" i="10"/>
  <c r="C1172" i="10"/>
  <c r="D1856" i="10"/>
  <c r="E1850" i="10"/>
  <c r="E1852" i="10"/>
  <c r="E1853" i="10"/>
  <c r="E1418" i="10"/>
  <c r="D1412" i="10"/>
  <c r="D1409" i="10"/>
  <c r="E1411" i="10"/>
  <c r="E1535" i="10"/>
  <c r="C1535" i="10"/>
  <c r="E1531" i="10"/>
  <c r="D327" i="10"/>
  <c r="E328" i="10"/>
  <c r="D331" i="10"/>
  <c r="D335" i="10"/>
  <c r="E2429" i="10"/>
  <c r="E2431" i="10"/>
  <c r="C2424" i="10"/>
  <c r="D2429" i="10"/>
  <c r="D2430" i="10"/>
  <c r="E2732" i="10"/>
  <c r="C2732" i="10"/>
  <c r="D2736" i="10"/>
  <c r="D2732" i="10"/>
  <c r="D924" i="10"/>
  <c r="C922" i="10"/>
  <c r="E924" i="10"/>
  <c r="E919" i="10"/>
  <c r="C2377" i="10"/>
  <c r="D2115" i="10"/>
  <c r="E2269" i="10"/>
  <c r="D2266" i="10"/>
  <c r="D204" i="10"/>
  <c r="E205" i="10"/>
  <c r="E214" i="10"/>
  <c r="D2157" i="10"/>
  <c r="C2158" i="10"/>
  <c r="E2164" i="10"/>
  <c r="E2311" i="10"/>
  <c r="C2314" i="10"/>
  <c r="E1391" i="10"/>
  <c r="C1383" i="10"/>
  <c r="E1389" i="10"/>
  <c r="C2335" i="10"/>
  <c r="E2340" i="10"/>
  <c r="E2337" i="10"/>
  <c r="C670" i="10"/>
  <c r="C662" i="10"/>
  <c r="C665" i="10"/>
  <c r="D1958" i="10"/>
  <c r="E1965" i="10"/>
  <c r="C1966" i="10"/>
  <c r="C1820" i="10"/>
  <c r="D1819" i="10"/>
  <c r="E1825" i="10"/>
  <c r="E1819" i="10"/>
  <c r="E761" i="10"/>
  <c r="D761" i="10"/>
  <c r="C768" i="10"/>
  <c r="C1863" i="10"/>
  <c r="C1870" i="10"/>
  <c r="C1867" i="10"/>
  <c r="E1892" i="10"/>
  <c r="C1886" i="10"/>
  <c r="D1891" i="10"/>
  <c r="C1888" i="10"/>
  <c r="C1894" i="10"/>
  <c r="C1885" i="10"/>
  <c r="E2188" i="10"/>
  <c r="C2194" i="10"/>
  <c r="C2190" i="10"/>
  <c r="C2193" i="10"/>
  <c r="C2529" i="10"/>
  <c r="D2537" i="10"/>
  <c r="D2536" i="10"/>
  <c r="D2534" i="10"/>
  <c r="E2529" i="10"/>
  <c r="E1270" i="10"/>
  <c r="C1272" i="10"/>
  <c r="C1264" i="10"/>
  <c r="C1273" i="10"/>
  <c r="C221" i="10"/>
  <c r="E228" i="10"/>
  <c r="C224" i="10"/>
  <c r="D227" i="10"/>
  <c r="E192" i="10"/>
  <c r="E199" i="10"/>
  <c r="C198" i="10"/>
  <c r="C194" i="10"/>
  <c r="G30" i="5"/>
  <c r="E386" i="10"/>
  <c r="D391" i="10"/>
  <c r="D390" i="10"/>
  <c r="C384" i="10"/>
  <c r="D2583" i="10"/>
  <c r="D2573" i="10"/>
  <c r="C2577" i="10"/>
  <c r="E2571" i="10"/>
  <c r="E2577" i="10"/>
  <c r="E2569" i="10"/>
  <c r="D269" i="10"/>
  <c r="D265" i="10"/>
  <c r="C269" i="10"/>
  <c r="D268" i="10"/>
  <c r="D2406" i="10"/>
  <c r="E2403" i="10"/>
  <c r="C2405" i="10"/>
  <c r="C1141" i="10"/>
  <c r="E1148" i="10"/>
  <c r="C1142" i="10"/>
  <c r="D1143" i="10"/>
  <c r="C2246" i="10"/>
  <c r="C2247" i="10"/>
  <c r="E2244" i="10"/>
  <c r="C2245" i="10"/>
  <c r="D2068" i="10"/>
  <c r="C2072" i="10"/>
  <c r="C2070" i="10"/>
  <c r="E2437" i="10"/>
  <c r="C2441" i="10"/>
  <c r="D2442" i="10"/>
  <c r="D2445" i="10"/>
  <c r="C681" i="10"/>
  <c r="D675" i="10"/>
  <c r="D676" i="10"/>
  <c r="C676" i="10"/>
  <c r="E1570" i="10"/>
  <c r="E1579" i="10"/>
  <c r="D1569" i="10"/>
  <c r="C1578" i="10"/>
  <c r="C412" i="10"/>
  <c r="D416" i="10"/>
  <c r="D412" i="10"/>
  <c r="D415" i="10"/>
  <c r="C1667" i="10"/>
  <c r="C1673" i="10"/>
  <c r="E1673" i="10"/>
  <c r="E1471" i="10"/>
  <c r="D1471" i="10"/>
  <c r="D320" i="10"/>
  <c r="D317" i="10"/>
  <c r="C316" i="10"/>
  <c r="E316" i="10"/>
  <c r="D1490" i="10"/>
  <c r="C1491" i="10"/>
  <c r="C1499" i="10"/>
  <c r="C1497" i="10"/>
  <c r="E1075" i="10"/>
  <c r="E1073" i="10"/>
  <c r="D1069" i="10"/>
  <c r="C1079" i="10"/>
  <c r="E1070" i="10"/>
  <c r="D1986" i="10"/>
  <c r="E1278" i="10"/>
  <c r="C1281" i="10"/>
  <c r="C1278" i="10"/>
  <c r="D869" i="10"/>
  <c r="C863" i="10"/>
  <c r="D866" i="10"/>
  <c r="E866" i="10"/>
  <c r="C275" i="10"/>
  <c r="D277" i="10"/>
  <c r="C277" i="10"/>
  <c r="C1126" i="10"/>
  <c r="D1132" i="10"/>
  <c r="E1134" i="10"/>
  <c r="C1130" i="10"/>
  <c r="C1128" i="10"/>
  <c r="E2253" i="10"/>
  <c r="D2253" i="10"/>
  <c r="E2260" i="10"/>
  <c r="C2259" i="10"/>
  <c r="D2368" i="10"/>
  <c r="E2362" i="10"/>
  <c r="D2363" i="10"/>
  <c r="C2362" i="10"/>
  <c r="D594" i="10"/>
  <c r="D592" i="10"/>
  <c r="C592" i="10"/>
  <c r="D585" i="10"/>
  <c r="E950" i="10"/>
  <c r="C948" i="10"/>
  <c r="E947" i="10"/>
  <c r="E956" i="10"/>
  <c r="E949" i="10"/>
  <c r="C1014" i="10"/>
  <c r="C1023" i="10"/>
  <c r="C1013" i="10"/>
  <c r="C1019" i="10"/>
  <c r="D1734" i="10"/>
  <c r="E1733" i="10"/>
  <c r="D1725" i="10"/>
  <c r="E1729" i="10"/>
  <c r="C1556" i="10"/>
  <c r="C1557" i="10"/>
  <c r="E1560" i="10"/>
  <c r="E1557" i="10"/>
  <c r="D98" i="10"/>
  <c r="C100" i="10"/>
  <c r="C96" i="10"/>
  <c r="E92" i="10"/>
  <c r="C1699" i="10"/>
  <c r="C1698" i="10"/>
  <c r="C1697" i="10"/>
  <c r="D1698" i="10"/>
  <c r="C1767" i="10"/>
  <c r="C1771" i="10"/>
  <c r="D1768" i="10"/>
  <c r="E1768" i="10"/>
  <c r="D444" i="10"/>
  <c r="D447" i="10"/>
  <c r="D438" i="10"/>
  <c r="C447" i="10"/>
  <c r="D1203" i="10"/>
  <c r="C1219" i="10"/>
  <c r="D1215" i="10"/>
  <c r="D1217" i="10"/>
  <c r="C1222" i="10"/>
  <c r="D1209" i="10"/>
  <c r="E1220" i="10"/>
  <c r="D1214" i="10"/>
  <c r="D1653" i="10"/>
  <c r="C1656" i="10"/>
  <c r="E1655" i="10"/>
  <c r="D1663" i="10"/>
  <c r="E752" i="10"/>
  <c r="D750" i="10"/>
  <c r="D751" i="10"/>
  <c r="D755" i="10"/>
  <c r="E1752" i="10"/>
  <c r="D1750" i="10"/>
  <c r="E1755" i="10"/>
  <c r="C1755" i="10"/>
  <c r="C2663" i="10"/>
  <c r="E2661" i="10"/>
  <c r="D2668" i="10"/>
  <c r="D2667" i="10"/>
  <c r="D2037" i="10"/>
  <c r="C2029" i="10"/>
  <c r="C2033" i="10"/>
  <c r="D2035" i="10"/>
  <c r="E793" i="10"/>
  <c r="C784" i="10"/>
  <c r="E788" i="10"/>
  <c r="D791" i="10"/>
  <c r="D1253" i="10"/>
  <c r="C1255" i="10"/>
  <c r="D1257" i="10"/>
  <c r="C2685" i="10"/>
  <c r="E2692" i="10"/>
  <c r="E2676" i="10"/>
  <c r="D2676" i="10"/>
  <c r="C2691" i="10"/>
  <c r="C2686" i="10"/>
  <c r="C2687" i="10"/>
  <c r="C1795" i="10"/>
  <c r="D1797" i="10"/>
  <c r="C1793" i="10"/>
  <c r="E1792" i="10"/>
  <c r="E779" i="10"/>
  <c r="C779" i="10"/>
  <c r="D69" i="10"/>
  <c r="E67" i="10"/>
  <c r="E70" i="10"/>
  <c r="D63" i="10"/>
  <c r="C2275" i="10"/>
  <c r="D430" i="10"/>
  <c r="D427" i="10"/>
  <c r="C427" i="10"/>
  <c r="C424" i="10"/>
  <c r="E694" i="10"/>
  <c r="C694" i="10"/>
  <c r="C695" i="10"/>
  <c r="C696" i="10"/>
  <c r="D174" i="10"/>
  <c r="C173" i="10"/>
  <c r="C167" i="10"/>
  <c r="D170" i="10"/>
  <c r="E1395" i="10"/>
  <c r="D1404" i="10"/>
  <c r="D1395" i="10"/>
  <c r="C1396" i="10"/>
  <c r="E2201" i="10"/>
  <c r="C2205" i="10"/>
  <c r="D2199" i="10"/>
  <c r="E1879" i="10"/>
  <c r="D1881" i="10"/>
  <c r="E85" i="10"/>
  <c r="C81" i="10"/>
  <c r="D81" i="10"/>
  <c r="E81" i="10"/>
  <c r="D42" i="10"/>
  <c r="C43" i="10"/>
  <c r="D41" i="10"/>
  <c r="E44" i="10"/>
  <c r="D1587" i="10"/>
  <c r="E1593" i="10"/>
  <c r="D1592" i="10"/>
  <c r="D1591" i="10"/>
  <c r="E1586" i="10"/>
  <c r="C813" i="10"/>
  <c r="E819" i="10"/>
  <c r="E821" i="10"/>
  <c r="C811" i="10"/>
  <c r="E802" i="10"/>
  <c r="C797" i="10"/>
  <c r="E804" i="10"/>
  <c r="C806" i="10"/>
  <c r="E2101" i="10"/>
  <c r="D2106" i="10"/>
  <c r="C2101" i="10"/>
  <c r="C2110" i="10"/>
  <c r="D2059" i="10"/>
  <c r="C2063" i="10"/>
  <c r="D2058" i="10"/>
  <c r="E2055" i="10"/>
  <c r="E2058" i="10"/>
  <c r="C834" i="10"/>
  <c r="D835" i="10"/>
  <c r="E825" i="10"/>
  <c r="E834" i="10"/>
  <c r="D2389" i="10"/>
  <c r="D2393" i="10"/>
  <c r="D2392" i="10"/>
  <c r="E2394" i="10"/>
  <c r="C2093" i="10"/>
  <c r="D2092" i="10"/>
  <c r="D2093" i="10"/>
  <c r="D2096" i="10"/>
  <c r="D1349" i="10"/>
  <c r="E1344" i="10"/>
  <c r="C1682" i="10"/>
  <c r="C1683" i="10"/>
  <c r="D1161" i="10"/>
  <c r="D1156" i="10"/>
  <c r="D1155" i="10"/>
  <c r="E1159" i="10"/>
  <c r="E1174" i="10"/>
  <c r="C1171" i="10"/>
  <c r="E1176" i="10"/>
  <c r="E1172" i="10"/>
  <c r="C1849" i="10"/>
  <c r="E1854" i="10"/>
  <c r="E1855" i="10"/>
  <c r="E1856" i="10"/>
  <c r="E1417" i="10"/>
  <c r="C1411" i="10"/>
  <c r="E1419" i="10"/>
  <c r="C1416" i="10"/>
  <c r="C1537" i="10"/>
  <c r="E1537" i="10"/>
  <c r="C1532" i="10"/>
  <c r="C335" i="10"/>
  <c r="D329" i="10"/>
  <c r="D333" i="10"/>
  <c r="E326" i="10"/>
  <c r="C2426" i="10"/>
  <c r="D2431" i="10"/>
  <c r="D2426" i="10"/>
  <c r="D2423" i="10"/>
  <c r="C2729" i="10"/>
  <c r="C2727" i="10"/>
  <c r="C2737" i="10"/>
  <c r="C2734" i="10"/>
  <c r="C928" i="10"/>
  <c r="E926" i="10"/>
  <c r="E922" i="10"/>
  <c r="E923" i="10"/>
  <c r="C2378" i="10"/>
  <c r="C2121" i="10"/>
  <c r="C2415" i="10"/>
  <c r="C2270" i="10"/>
  <c r="D2269" i="10"/>
  <c r="C214" i="10"/>
  <c r="C206" i="10"/>
  <c r="D206" i="10"/>
  <c r="E2160" i="10"/>
  <c r="C2161" i="10"/>
  <c r="E2158" i="10"/>
  <c r="E2313" i="10"/>
  <c r="C2315" i="10"/>
  <c r="C1381" i="10"/>
  <c r="E1386" i="10"/>
  <c r="C1388" i="10"/>
  <c r="E2341" i="10"/>
  <c r="C2338" i="10"/>
  <c r="E2333" i="10"/>
  <c r="D2334" i="10"/>
  <c r="D664" i="10"/>
  <c r="E661" i="10"/>
  <c r="C667" i="10"/>
  <c r="C1959" i="10"/>
  <c r="E1961" i="10"/>
  <c r="D1957" i="10"/>
  <c r="D1820" i="10"/>
  <c r="D1823" i="10"/>
  <c r="C1824" i="10"/>
  <c r="E760" i="10"/>
  <c r="E768" i="10"/>
  <c r="E767" i="10"/>
  <c r="C1865" i="10"/>
  <c r="E1871" i="10"/>
  <c r="E1865" i="10"/>
  <c r="D1886" i="10"/>
  <c r="E1901" i="10"/>
  <c r="C1892" i="10"/>
  <c r="C1889" i="10"/>
  <c r="C1899" i="10"/>
  <c r="C1896" i="10"/>
  <c r="C2186" i="10"/>
  <c r="C2187" i="10"/>
  <c r="D2195" i="10"/>
  <c r="C2188" i="10"/>
  <c r="E2537" i="10"/>
  <c r="D2538" i="10"/>
  <c r="C2534" i="10"/>
  <c r="C2539" i="10"/>
  <c r="E1266" i="10"/>
  <c r="E1264" i="10"/>
  <c r="E1267" i="10"/>
  <c r="E1271" i="10"/>
  <c r="D219" i="10"/>
  <c r="C222" i="10"/>
  <c r="E219" i="10"/>
  <c r="D228" i="10"/>
  <c r="E190" i="10"/>
  <c r="C196" i="10"/>
  <c r="D198" i="10"/>
  <c r="D197" i="10"/>
  <c r="J30" i="5"/>
  <c r="C387" i="10"/>
  <c r="D385" i="10"/>
  <c r="D387" i="10"/>
  <c r="C391" i="10"/>
  <c r="E2574" i="10"/>
  <c r="C2576" i="10"/>
  <c r="C2578" i="10"/>
  <c r="D2570" i="10"/>
  <c r="C2580" i="10"/>
  <c r="E2583" i="10"/>
  <c r="E266" i="10"/>
  <c r="E261" i="10"/>
  <c r="D266" i="10"/>
  <c r="D262" i="10"/>
  <c r="D2407" i="10"/>
  <c r="E2406" i="10"/>
  <c r="D2405" i="10"/>
  <c r="D1141" i="10"/>
  <c r="D1145" i="10"/>
  <c r="E1149" i="10"/>
  <c r="E1139" i="10"/>
  <c r="C2239" i="10"/>
  <c r="C2238" i="10"/>
  <c r="C2243" i="10"/>
  <c r="E2247" i="10"/>
  <c r="E2070" i="10"/>
  <c r="E2068" i="10"/>
  <c r="D2072" i="10"/>
  <c r="E2443" i="10"/>
  <c r="C2437" i="10"/>
  <c r="D2441" i="10"/>
  <c r="C2438" i="10"/>
  <c r="C675" i="10"/>
  <c r="E679" i="10"/>
  <c r="C683" i="10"/>
  <c r="C682" i="10"/>
  <c r="D1575" i="10"/>
  <c r="E1571" i="10"/>
  <c r="E1572" i="10"/>
  <c r="C1576" i="10"/>
  <c r="E1573" i="10"/>
  <c r="D411" i="10"/>
  <c r="C410" i="10"/>
  <c r="E418" i="10"/>
  <c r="E412" i="10"/>
  <c r="D1669" i="10"/>
  <c r="E1670" i="10"/>
  <c r="C1670" i="10"/>
  <c r="E1466" i="10"/>
  <c r="C1466" i="10"/>
  <c r="C313" i="10"/>
  <c r="C315" i="10"/>
  <c r="E312" i="10"/>
  <c r="C321" i="10"/>
  <c r="C314" i="10"/>
  <c r="E1495" i="10"/>
  <c r="D1491" i="10"/>
  <c r="C1492" i="10"/>
  <c r="E1497" i="10"/>
  <c r="E1072" i="10"/>
  <c r="C1074" i="10"/>
  <c r="C1071" i="10"/>
  <c r="C1077" i="10"/>
  <c r="D1985" i="10"/>
  <c r="C1280" i="10"/>
  <c r="D1279" i="10"/>
  <c r="C872" i="10"/>
  <c r="E863" i="10"/>
  <c r="E872" i="10"/>
  <c r="D868" i="10"/>
  <c r="E275" i="10"/>
  <c r="D280" i="10"/>
  <c r="E279" i="10"/>
  <c r="D1135" i="10"/>
  <c r="E1132" i="10"/>
  <c r="D1127" i="10"/>
  <c r="E1133" i="10"/>
  <c r="E2254" i="10"/>
  <c r="C2253" i="10"/>
  <c r="E2258" i="10"/>
  <c r="C2251" i="10"/>
  <c r="C2367" i="10"/>
  <c r="C2364" i="10"/>
  <c r="D2364" i="10"/>
  <c r="D2369" i="10"/>
  <c r="E587" i="10"/>
  <c r="E585" i="10"/>
  <c r="D589" i="10"/>
  <c r="E589" i="10"/>
  <c r="C951" i="10"/>
  <c r="D954" i="10"/>
  <c r="D949" i="10"/>
  <c r="C947" i="10"/>
  <c r="D1013" i="10"/>
  <c r="D1022" i="10"/>
  <c r="D1020" i="10"/>
  <c r="E1017" i="10"/>
  <c r="C1732" i="10"/>
  <c r="E1735" i="10"/>
  <c r="D1733" i="10"/>
  <c r="E1730" i="10"/>
  <c r="D1564" i="10"/>
  <c r="E1563" i="10"/>
  <c r="E1555" i="10"/>
  <c r="D1565" i="10"/>
  <c r="C1560" i="10"/>
  <c r="D93" i="10"/>
  <c r="E99" i="10"/>
  <c r="D100" i="10"/>
  <c r="C95" i="10"/>
  <c r="E1706" i="10"/>
  <c r="C1700" i="10"/>
  <c r="E1701" i="10"/>
  <c r="E1700" i="10"/>
  <c r="E1765" i="10"/>
  <c r="C1768" i="10"/>
  <c r="E1772" i="10"/>
  <c r="C1773" i="10"/>
  <c r="D441" i="10"/>
  <c r="D445" i="10"/>
  <c r="E441" i="10"/>
  <c r="E447" i="10"/>
  <c r="E437" i="10"/>
  <c r="C1213" i="10"/>
  <c r="C1210" i="10"/>
  <c r="C1220" i="10"/>
  <c r="E1216" i="10"/>
  <c r="C1224" i="10"/>
  <c r="D1219" i="10"/>
  <c r="C1225" i="10"/>
  <c r="D1213" i="10"/>
  <c r="D1661" i="10"/>
  <c r="D1657" i="10"/>
  <c r="D1654" i="10"/>
  <c r="E1653" i="10"/>
  <c r="E1663" i="10"/>
  <c r="E750" i="10"/>
  <c r="E753" i="10"/>
  <c r="C754" i="10"/>
  <c r="D752" i="10"/>
  <c r="D1752" i="10"/>
  <c r="C1758" i="10"/>
  <c r="D1758" i="10"/>
  <c r="C1756" i="10"/>
  <c r="C2665" i="10"/>
  <c r="C2662" i="10"/>
  <c r="D2663" i="10"/>
  <c r="C2666" i="10"/>
  <c r="C2034" i="10"/>
  <c r="C2038" i="10"/>
  <c r="E2039" i="10"/>
  <c r="D2032" i="10"/>
  <c r="D2033" i="10"/>
  <c r="E787" i="10"/>
  <c r="D784" i="10"/>
  <c r="C790" i="10"/>
  <c r="C792" i="10"/>
  <c r="D1255" i="10"/>
  <c r="D1258" i="10"/>
  <c r="E1253" i="10"/>
  <c r="E2680" i="10"/>
  <c r="C2677" i="10"/>
  <c r="D2693" i="10"/>
  <c r="E2675" i="10"/>
  <c r="C2688" i="10"/>
  <c r="D2686" i="10"/>
  <c r="E2681" i="10"/>
  <c r="E1796" i="10"/>
  <c r="E1791" i="10"/>
  <c r="D1791" i="10"/>
  <c r="E1798" i="10"/>
  <c r="E775" i="10"/>
  <c r="C777" i="10"/>
  <c r="E69" i="10"/>
  <c r="C64" i="10"/>
  <c r="E62" i="10"/>
  <c r="E68" i="10"/>
  <c r="C63" i="10"/>
  <c r="E2277" i="10"/>
  <c r="E423" i="10"/>
  <c r="D423" i="10"/>
  <c r="E426" i="10"/>
  <c r="E430" i="10"/>
  <c r="C693" i="10"/>
  <c r="D695" i="10"/>
  <c r="E691" i="10"/>
  <c r="C698" i="10"/>
  <c r="E174" i="10"/>
  <c r="D176" i="10"/>
  <c r="C171" i="10"/>
  <c r="C172" i="10"/>
  <c r="C166" i="10"/>
  <c r="D1401" i="10"/>
  <c r="C1395" i="10"/>
  <c r="C1405" i="10"/>
  <c r="E1397" i="10"/>
  <c r="D2201" i="10"/>
  <c r="E2205" i="10"/>
  <c r="E2199" i="10"/>
  <c r="C1875" i="10"/>
  <c r="C1876" i="10"/>
  <c r="E77" i="10"/>
  <c r="E76" i="10"/>
  <c r="C82" i="10"/>
  <c r="E84" i="10"/>
  <c r="E82" i="10"/>
  <c r="C41" i="10"/>
  <c r="D36" i="10"/>
  <c r="C34" i="10"/>
  <c r="E40" i="10"/>
  <c r="D1583" i="10"/>
  <c r="C1585" i="10"/>
  <c r="D1584" i="10"/>
  <c r="E1590" i="10"/>
  <c r="E815" i="10"/>
  <c r="C821" i="10"/>
  <c r="E811" i="10"/>
  <c r="C815" i="10"/>
  <c r="E801" i="10"/>
  <c r="E806" i="10"/>
  <c r="C802" i="10"/>
  <c r="D798" i="10"/>
  <c r="E2106" i="10"/>
  <c r="C2108" i="10"/>
  <c r="E2110" i="10"/>
  <c r="C2107" i="10"/>
  <c r="D2062" i="10"/>
  <c r="C2057" i="10"/>
  <c r="E2060" i="10"/>
  <c r="C2062" i="10"/>
  <c r="C831" i="10"/>
  <c r="D829" i="10"/>
  <c r="D826" i="10"/>
  <c r="E833" i="10"/>
  <c r="C2393" i="10"/>
  <c r="D2390" i="10"/>
  <c r="C2394" i="10"/>
  <c r="D2391" i="10"/>
  <c r="E2096" i="10"/>
  <c r="C2094" i="10"/>
  <c r="C2096" i="10"/>
  <c r="C2091" i="10"/>
  <c r="E2095" i="10"/>
  <c r="D1346" i="10"/>
  <c r="E1349" i="10"/>
  <c r="E1682" i="10"/>
  <c r="D1680" i="10"/>
  <c r="E1679" i="10"/>
  <c r="E1156" i="10"/>
  <c r="E1160" i="10"/>
  <c r="D1159" i="10"/>
  <c r="C1156" i="10"/>
  <c r="C1170" i="10"/>
  <c r="D1175" i="10"/>
  <c r="E1168" i="10"/>
  <c r="C1169" i="10"/>
  <c r="D1172" i="10"/>
  <c r="D1853" i="10"/>
  <c r="E1851" i="10"/>
  <c r="C1854" i="10"/>
  <c r="C1856" i="10"/>
  <c r="C1413" i="10"/>
  <c r="D1416" i="10"/>
  <c r="E1410" i="10"/>
  <c r="C1418" i="10"/>
  <c r="E1532" i="10"/>
  <c r="C1534" i="10"/>
  <c r="E1536" i="10"/>
  <c r="C330" i="10"/>
  <c r="C326" i="10"/>
  <c r="E335" i="10"/>
  <c r="C333" i="10"/>
  <c r="C2433" i="10"/>
  <c r="C2432" i="10"/>
  <c r="D2428" i="10"/>
  <c r="D2432" i="10"/>
  <c r="C2728" i="10"/>
  <c r="D2731" i="10"/>
  <c r="D2737" i="10"/>
  <c r="D2727" i="10"/>
  <c r="D2734" i="10"/>
  <c r="D927" i="10"/>
  <c r="D923" i="10"/>
  <c r="E927" i="10"/>
  <c r="D921" i="10"/>
  <c r="C810" i="10"/>
  <c r="D2250" i="10"/>
  <c r="E1262" i="10"/>
  <c r="D2726" i="10"/>
  <c r="D2086" i="10"/>
  <c r="C61" i="10"/>
  <c r="D1652" i="10"/>
  <c r="E311" i="10"/>
  <c r="D2052" i="10"/>
  <c r="E946" i="10"/>
  <c r="C2528" i="10"/>
  <c r="E1530" i="10"/>
  <c r="C2388" i="10"/>
  <c r="C2660" i="10"/>
  <c r="D273" i="10"/>
  <c r="E2066" i="10"/>
  <c r="D1488" i="10"/>
  <c r="E2308" i="10"/>
  <c r="C1408" i="10"/>
  <c r="C2198" i="10"/>
  <c r="D1748" i="10"/>
  <c r="D2436" i="10"/>
  <c r="E2402" i="10"/>
  <c r="E796" i="10"/>
  <c r="E217" i="10"/>
  <c r="D918" i="10"/>
  <c r="E33" i="10"/>
  <c r="D2274" i="10"/>
  <c r="C1202" i="10"/>
  <c r="E408" i="10"/>
  <c r="E259" i="10"/>
  <c r="E2412" i="10"/>
  <c r="E1328" i="10"/>
  <c r="E353" i="10"/>
  <c r="D1082" i="10"/>
  <c r="C758" i="10"/>
  <c r="D1970" i="10"/>
  <c r="E1040" i="10"/>
  <c r="C1286" i="10"/>
  <c r="D598" i="10"/>
  <c r="D2466" i="10"/>
  <c r="C2042" i="10"/>
  <c r="E838" i="10"/>
  <c r="C974" i="10"/>
  <c r="D2617" i="10"/>
  <c r="E2450" i="10"/>
  <c r="C366" i="10"/>
  <c r="E1776" i="10"/>
  <c r="E1228" i="10"/>
  <c r="D1242" i="10"/>
  <c r="E932" i="10"/>
  <c r="E450" i="10"/>
  <c r="E2170" i="10"/>
  <c r="C558" i="10"/>
  <c r="D2294" i="10"/>
  <c r="D646" i="10"/>
  <c r="E1516" i="10"/>
  <c r="D2014" i="10"/>
  <c r="E2014" i="10"/>
  <c r="E2280" i="10"/>
  <c r="C1474" i="10"/>
  <c r="E1676" i="10"/>
  <c r="E584" i="10"/>
  <c r="C2236" i="10"/>
  <c r="C1394" i="10"/>
  <c r="C1884" i="10"/>
  <c r="D339" i="10"/>
  <c r="D2514" i="10"/>
  <c r="D2374" i="10"/>
  <c r="C2000" i="10"/>
  <c r="E622" i="10"/>
  <c r="E2128" i="10"/>
  <c r="E103" i="10"/>
  <c r="D810" i="10"/>
  <c r="D862" i="10"/>
  <c r="C1262" i="10"/>
  <c r="D1166" i="10"/>
  <c r="E2086" i="10"/>
  <c r="D61" i="10"/>
  <c r="E436" i="10"/>
  <c r="C311" i="10"/>
  <c r="C2052" i="10"/>
  <c r="E1124" i="10"/>
  <c r="D2528" i="10"/>
  <c r="D1530" i="10"/>
  <c r="C688" i="10"/>
  <c r="D2660" i="10"/>
  <c r="E273" i="10"/>
  <c r="C2100" i="10"/>
  <c r="C1488" i="10"/>
  <c r="C2308" i="10"/>
  <c r="D1408" i="10"/>
  <c r="C422" i="10"/>
  <c r="C1748" i="10"/>
  <c r="C2436" i="10"/>
  <c r="D2568" i="10"/>
  <c r="C796" i="10"/>
  <c r="C217" i="10"/>
  <c r="C1846" i="10"/>
  <c r="D33" i="10"/>
  <c r="E2274" i="10"/>
  <c r="D782" i="10"/>
  <c r="D1202" i="10"/>
  <c r="D408" i="10"/>
  <c r="E380" i="10"/>
  <c r="E1380" i="10"/>
  <c r="C2412" i="10"/>
  <c r="E1110" i="10"/>
  <c r="D1916" i="10"/>
  <c r="C1328" i="10"/>
  <c r="E231" i="10"/>
  <c r="D155" i="10"/>
  <c r="C353" i="10"/>
  <c r="D534" i="10"/>
  <c r="C1054" i="10"/>
  <c r="E1082" i="10"/>
  <c r="C47" i="10"/>
  <c r="C984" i="10"/>
  <c r="D1686" i="10"/>
  <c r="E660" i="10"/>
  <c r="E730" i="10"/>
  <c r="D716" i="10"/>
  <c r="E2696" i="10"/>
  <c r="D2476" i="10"/>
  <c r="D2500" i="10"/>
  <c r="C1352" i="10"/>
  <c r="E394" i="10"/>
  <c r="D2601" i="10"/>
  <c r="D506" i="10"/>
  <c r="E848" i="10"/>
  <c r="E1942" i="10"/>
  <c r="D1832" i="10"/>
  <c r="E1738" i="10"/>
  <c r="D1710" i="10"/>
  <c r="D1422" i="10"/>
  <c r="D1228" i="10"/>
  <c r="D932" i="10"/>
  <c r="D450" i="10"/>
  <c r="E558" i="10"/>
  <c r="D2208" i="10"/>
  <c r="E2634" i="10"/>
  <c r="E810" i="10"/>
  <c r="E862" i="10"/>
  <c r="E203" i="10"/>
  <c r="E1166" i="10"/>
  <c r="C75" i="10"/>
  <c r="E61" i="10"/>
  <c r="C436" i="10"/>
  <c r="C1568" i="10"/>
  <c r="E2052" i="10"/>
  <c r="D1124" i="10"/>
  <c r="D1818" i="10"/>
  <c r="C1530" i="10"/>
  <c r="E688" i="10"/>
  <c r="E1762" i="10"/>
  <c r="C273" i="10"/>
  <c r="E2100" i="10"/>
  <c r="C189" i="10"/>
  <c r="D2308" i="10"/>
  <c r="E1408" i="10"/>
  <c r="E422" i="10"/>
  <c r="C1696" i="10"/>
  <c r="E2436" i="10"/>
  <c r="E2568" i="10"/>
  <c r="E2360" i="10"/>
  <c r="D217" i="10"/>
  <c r="E1846" i="10"/>
  <c r="C1874" i="10"/>
  <c r="C2274" i="10"/>
  <c r="C782" i="10"/>
  <c r="E89" i="10"/>
  <c r="C408" i="10"/>
  <c r="D380" i="10"/>
  <c r="E2156" i="10"/>
  <c r="D2412" i="10"/>
  <c r="C1110" i="10"/>
  <c r="C1314" i="10"/>
  <c r="D1328" i="10"/>
  <c r="D231" i="10"/>
  <c r="C478" i="10"/>
  <c r="D353" i="10"/>
  <c r="E534" i="10"/>
  <c r="D297" i="10"/>
  <c r="C1082" i="10"/>
  <c r="D47" i="10"/>
  <c r="C1990" i="10"/>
  <c r="C1686" i="10"/>
  <c r="C660" i="10"/>
  <c r="C5" i="10"/>
  <c r="C716" i="10"/>
  <c r="D2696" i="10"/>
  <c r="C2142" i="10"/>
  <c r="E2500" i="10"/>
  <c r="C2450" i="10"/>
  <c r="D876" i="10"/>
  <c r="E366" i="10"/>
  <c r="C394" i="10"/>
  <c r="D1180" i="10"/>
  <c r="C245" i="10"/>
  <c r="E1242" i="10"/>
  <c r="D904" i="10"/>
  <c r="C2170" i="10"/>
  <c r="E1832" i="10"/>
  <c r="C1738" i="10"/>
  <c r="D1026" i="10"/>
  <c r="E1366" i="10"/>
  <c r="D2634" i="10"/>
  <c r="D165" i="10"/>
  <c r="E2332" i="10"/>
  <c r="D1068" i="10"/>
  <c r="D2422" i="10"/>
  <c r="C1152" i="10"/>
  <c r="D1724" i="10"/>
  <c r="C2184" i="10"/>
  <c r="E1666" i="10"/>
  <c r="E1342" i="10"/>
  <c r="C1464" i="10"/>
  <c r="E141" i="10"/>
  <c r="E464" i="10"/>
  <c r="D127" i="10"/>
  <c r="C2460" i="10"/>
  <c r="E492" i="10"/>
  <c r="D19" i="10"/>
  <c r="E1596" i="10"/>
  <c r="E1474" i="10"/>
  <c r="E2542" i="10"/>
  <c r="D1012" i="10"/>
  <c r="C862" i="10"/>
  <c r="C203" i="10"/>
  <c r="C1166" i="10"/>
  <c r="D75" i="10"/>
  <c r="D2028" i="10"/>
  <c r="D436" i="10"/>
  <c r="E1568" i="10"/>
  <c r="E1582" i="10"/>
  <c r="C1124" i="10"/>
  <c r="E1818" i="10"/>
  <c r="E1152" i="10"/>
  <c r="D688" i="10"/>
  <c r="D1762" i="10"/>
  <c r="C674" i="10"/>
  <c r="D2100" i="10"/>
  <c r="E189" i="10"/>
  <c r="D824" i="10"/>
  <c r="D422" i="10"/>
  <c r="D1696" i="10"/>
  <c r="D2236" i="10"/>
  <c r="C2568" i="10"/>
  <c r="D2360" i="10"/>
  <c r="C1860" i="10"/>
  <c r="D1846" i="10"/>
  <c r="E1874" i="10"/>
  <c r="D772" i="10"/>
  <c r="E782" i="10"/>
  <c r="C89" i="10"/>
  <c r="C1138" i="10"/>
  <c r="C380" i="10"/>
  <c r="C2156" i="10"/>
  <c r="C2318" i="10"/>
  <c r="D1110" i="10"/>
  <c r="E1314" i="10"/>
  <c r="E339" i="10"/>
  <c r="C231" i="10"/>
  <c r="D478" i="10"/>
  <c r="C636" i="10"/>
  <c r="C534" i="10"/>
  <c r="C297" i="10"/>
  <c r="D960" i="10"/>
  <c r="E47" i="10"/>
  <c r="D1990" i="10"/>
  <c r="C890" i="10"/>
  <c r="D660" i="10"/>
  <c r="D5" i="10"/>
  <c r="D1450" i="10"/>
  <c r="C2696" i="10"/>
  <c r="D2142" i="10"/>
  <c r="D2000" i="10"/>
  <c r="D2450" i="10"/>
  <c r="C876" i="10"/>
  <c r="C492" i="10"/>
  <c r="D394" i="10"/>
  <c r="E1180" i="10"/>
  <c r="E117" i="10"/>
  <c r="C1228" i="10"/>
  <c r="E245" i="10"/>
  <c r="E19" i="10"/>
  <c r="C932" i="10"/>
  <c r="E904" i="10"/>
  <c r="D1300" i="10"/>
  <c r="D2170" i="10"/>
  <c r="C2280" i="10"/>
  <c r="E1502" i="10"/>
  <c r="C1832" i="10"/>
  <c r="C2208" i="10"/>
  <c r="D103" i="10"/>
  <c r="D1738" i="10"/>
  <c r="C2634" i="10"/>
  <c r="C548" i="10"/>
  <c r="C2014" i="10"/>
  <c r="C520" i="10"/>
  <c r="E824" i="10"/>
  <c r="D1252" i="10"/>
  <c r="E1696" i="10"/>
  <c r="E2236" i="10"/>
  <c r="C1956" i="10"/>
  <c r="C2360" i="10"/>
  <c r="D1860" i="10"/>
  <c r="D1342" i="10"/>
  <c r="D1874" i="10"/>
  <c r="C772" i="10"/>
  <c r="D744" i="10"/>
  <c r="D89" i="10"/>
  <c r="D1138" i="10"/>
  <c r="E1884" i="10"/>
  <c r="D2156" i="10"/>
  <c r="D2318" i="10"/>
  <c r="D141" i="10"/>
  <c r="D1314" i="10"/>
  <c r="C339" i="10"/>
  <c r="E1610" i="10"/>
  <c r="E478" i="10"/>
  <c r="E636" i="10"/>
  <c r="C464" i="10"/>
  <c r="E297" i="10"/>
  <c r="C960" i="10"/>
  <c r="E1906" i="10"/>
  <c r="E1990" i="10"/>
  <c r="E890" i="10"/>
  <c r="C2374" i="10"/>
  <c r="E5" i="10"/>
  <c r="C1450" i="10"/>
  <c r="D2460" i="10"/>
  <c r="E2142" i="10"/>
  <c r="E2000" i="10"/>
  <c r="E2607" i="10"/>
  <c r="E876" i="10"/>
  <c r="D492" i="10"/>
  <c r="D1096" i="10"/>
  <c r="C1180" i="10"/>
  <c r="C117" i="10"/>
  <c r="C2076" i="10"/>
  <c r="D245" i="10"/>
  <c r="C19" i="10"/>
  <c r="D2346" i="10"/>
  <c r="C904" i="10"/>
  <c r="D1502" i="10"/>
  <c r="E2208" i="10"/>
  <c r="D548" i="10"/>
  <c r="D520" i="10"/>
  <c r="E1554" i="10"/>
  <c r="E1790" i="10"/>
  <c r="D325" i="10"/>
  <c r="D1956" i="10"/>
  <c r="E772" i="10"/>
  <c r="C2264" i="10"/>
  <c r="D2486" i="10"/>
  <c r="D1906" i="10"/>
  <c r="E1450" i="10"/>
  <c r="C2607" i="10"/>
  <c r="D2076" i="10"/>
  <c r="E1300" i="10"/>
  <c r="C1366" i="10"/>
  <c r="E1436" i="10"/>
  <c r="E1012" i="10"/>
  <c r="D1984" i="10"/>
  <c r="D203" i="10"/>
  <c r="C1676" i="10"/>
  <c r="E75" i="10"/>
  <c r="E2028" i="10"/>
  <c r="C1554" i="10"/>
  <c r="D1568" i="10"/>
  <c r="C1582" i="10"/>
  <c r="E1068" i="10"/>
  <c r="C1818" i="10"/>
  <c r="D1152" i="10"/>
  <c r="C1790" i="10"/>
  <c r="C1762" i="10"/>
  <c r="D674" i="10"/>
  <c r="C584" i="10"/>
  <c r="D189" i="10"/>
  <c r="C1012" i="10"/>
  <c r="C1984" i="10"/>
  <c r="C2250" i="10"/>
  <c r="E1984" i="10"/>
  <c r="E2726" i="10"/>
  <c r="D1676" i="10"/>
  <c r="C165" i="10"/>
  <c r="E1652" i="10"/>
  <c r="D1554" i="10"/>
  <c r="D2332" i="10"/>
  <c r="C946" i="10"/>
  <c r="C1068" i="10"/>
  <c r="E2422" i="10"/>
  <c r="E2388" i="10"/>
  <c r="D1790" i="10"/>
  <c r="C1724" i="10"/>
  <c r="D2066" i="10"/>
  <c r="D584" i="10"/>
  <c r="E2184" i="10"/>
  <c r="E325" i="10"/>
  <c r="E2198" i="10"/>
  <c r="C1252" i="10"/>
  <c r="D1666" i="10"/>
  <c r="D2402" i="10"/>
  <c r="E1956" i="10"/>
  <c r="C1276" i="10"/>
  <c r="E918" i="10"/>
  <c r="C1342" i="10"/>
  <c r="E1394" i="10"/>
  <c r="C2674" i="10"/>
  <c r="E744" i="10"/>
  <c r="E1464" i="10"/>
  <c r="C259" i="10"/>
  <c r="D1884" i="10"/>
  <c r="E2264" i="10"/>
  <c r="E1540" i="10"/>
  <c r="C141" i="10"/>
  <c r="D998" i="10"/>
  <c r="C2222" i="10"/>
  <c r="D1610" i="10"/>
  <c r="C2486" i="10"/>
  <c r="D2114" i="10"/>
  <c r="D464" i="10"/>
  <c r="E2514" i="10"/>
  <c r="C1624" i="10"/>
  <c r="C1906" i="10"/>
  <c r="E127" i="10"/>
  <c r="D758" i="10"/>
  <c r="E2374" i="10"/>
  <c r="D612" i="10"/>
  <c r="E1970" i="10"/>
  <c r="E2460" i="10"/>
  <c r="E1638" i="10"/>
  <c r="C1040" i="10"/>
  <c r="D2607" i="10"/>
  <c r="C1804" i="10"/>
  <c r="E1286" i="10"/>
  <c r="E1096" i="10"/>
  <c r="C622" i="10"/>
  <c r="C598" i="10"/>
  <c r="E2076" i="10"/>
  <c r="D179" i="10"/>
  <c r="C2466" i="10"/>
  <c r="E2346" i="10"/>
  <c r="D2128" i="10"/>
  <c r="E2042" i="10"/>
  <c r="E1026" i="10"/>
  <c r="C1596" i="10"/>
  <c r="D838" i="10"/>
  <c r="D1366" i="10"/>
  <c r="E702" i="10"/>
  <c r="D974" i="10"/>
  <c r="D1474" i="10"/>
  <c r="D283" i="10"/>
  <c r="C2617" i="10"/>
  <c r="C1436" i="10"/>
  <c r="D2542" i="10"/>
  <c r="D1582" i="10"/>
  <c r="E1252" i="10"/>
  <c r="E1860" i="10"/>
  <c r="E1138" i="10"/>
  <c r="C998" i="10"/>
  <c r="D636" i="10"/>
  <c r="D890" i="10"/>
  <c r="C1638" i="10"/>
  <c r="C1096" i="10"/>
  <c r="C179" i="10"/>
  <c r="C1026" i="10"/>
  <c r="D702" i="10"/>
  <c r="E548" i="10"/>
  <c r="E2250" i="10"/>
  <c r="D1262" i="10"/>
  <c r="C2726" i="10"/>
  <c r="C2086" i="10"/>
  <c r="E165" i="10"/>
  <c r="C1652" i="10"/>
  <c r="D311" i="10"/>
  <c r="C2332" i="10"/>
  <c r="D946" i="10"/>
  <c r="E2528" i="10"/>
  <c r="C2422" i="10"/>
  <c r="D2388" i="10"/>
  <c r="E2660" i="10"/>
  <c r="E1724" i="10"/>
  <c r="C2066" i="10"/>
  <c r="E1488" i="10"/>
  <c r="D2184" i="10"/>
  <c r="C325" i="10"/>
  <c r="D2198" i="10"/>
  <c r="E1748" i="10"/>
  <c r="C1666" i="10"/>
  <c r="C2402" i="10"/>
  <c r="D796" i="10"/>
  <c r="E1276" i="10"/>
  <c r="C918" i="10"/>
  <c r="C33" i="10"/>
  <c r="D1394" i="10"/>
  <c r="E2674" i="10"/>
  <c r="E1202" i="10"/>
  <c r="D1464" i="10"/>
  <c r="D259" i="10"/>
  <c r="C1380" i="10"/>
  <c r="D2264" i="10"/>
  <c r="C1540" i="10"/>
  <c r="C1916" i="10"/>
  <c r="E998" i="10"/>
  <c r="D2222" i="10"/>
  <c r="E155" i="10"/>
  <c r="E2486" i="10"/>
  <c r="E2114" i="10"/>
  <c r="D1054" i="10"/>
  <c r="C2514" i="10"/>
  <c r="D1624" i="10"/>
  <c r="E984" i="10"/>
  <c r="C127" i="10"/>
  <c r="E758" i="10"/>
  <c r="D730" i="10"/>
  <c r="C612" i="10"/>
  <c r="C1970" i="10"/>
  <c r="E2476" i="10"/>
  <c r="D1638" i="10"/>
  <c r="D1040" i="10"/>
  <c r="E1352" i="10"/>
  <c r="E1804" i="10"/>
  <c r="D1286" i="10"/>
  <c r="D1776" i="10"/>
  <c r="D622" i="10"/>
  <c r="E598" i="10"/>
  <c r="E506" i="10"/>
  <c r="E179" i="10"/>
  <c r="E2466" i="10"/>
  <c r="C848" i="10"/>
  <c r="C2128" i="10"/>
  <c r="D2042" i="10"/>
  <c r="C1942" i="10"/>
  <c r="D1596" i="10"/>
  <c r="C838" i="10"/>
  <c r="C2294" i="10"/>
  <c r="C702" i="10"/>
  <c r="E974" i="10"/>
  <c r="C1516" i="10"/>
  <c r="C283" i="10"/>
  <c r="E2617" i="10"/>
  <c r="C1422" i="10"/>
  <c r="C2542" i="10"/>
  <c r="D2674" i="10"/>
  <c r="D1380" i="10"/>
  <c r="D1540" i="10"/>
  <c r="E1916" i="10"/>
  <c r="E2222" i="10"/>
  <c r="C155" i="10"/>
  <c r="C2114" i="10"/>
  <c r="E1054" i="10"/>
  <c r="E1624" i="10"/>
  <c r="D984" i="10"/>
  <c r="E1686" i="10"/>
  <c r="C730" i="10"/>
  <c r="E716" i="10"/>
  <c r="C2476" i="10"/>
  <c r="C2500" i="10"/>
  <c r="D1352" i="10"/>
  <c r="D366" i="10"/>
  <c r="C1776" i="10"/>
  <c r="E2601" i="10"/>
  <c r="C506" i="10"/>
  <c r="C1242" i="10"/>
  <c r="D848" i="10"/>
  <c r="C450" i="10"/>
  <c r="D1942" i="10"/>
  <c r="D558" i="10"/>
  <c r="E2294" i="10"/>
  <c r="E646" i="10"/>
  <c r="D1516" i="10"/>
  <c r="C1710" i="10"/>
  <c r="E1422" i="10"/>
  <c r="C2601" i="10"/>
  <c r="D2280" i="10"/>
  <c r="C646" i="10"/>
  <c r="E1710" i="10"/>
  <c r="E520" i="10"/>
  <c r="C1300" i="10"/>
  <c r="C103" i="10"/>
  <c r="D1436" i="10"/>
  <c r="C2028" i="10"/>
  <c r="E674" i="10"/>
  <c r="C824" i="10"/>
  <c r="D1276" i="10"/>
  <c r="C744" i="10"/>
  <c r="E2318" i="10"/>
  <c r="C1610" i="10"/>
  <c r="E960" i="10"/>
  <c r="E612" i="10"/>
  <c r="D1804" i="10"/>
  <c r="D117" i="10"/>
  <c r="C2346" i="10"/>
  <c r="C1502" i="10"/>
  <c r="E283" i="10"/>
  <c r="D7" i="5" a="1"/>
  <c r="C17" i="5" l="1"/>
  <c r="C15" i="5"/>
  <c r="C16" i="5"/>
  <c r="C18" i="5"/>
  <c r="E8" i="5"/>
  <c r="F8" i="5" s="1"/>
  <c r="G8" i="5" s="1"/>
  <c r="E9" i="5"/>
  <c r="F9" i="5" s="1"/>
  <c r="R9" i="5" s="1"/>
  <c r="C10" i="5"/>
  <c r="D7" i="5"/>
  <c r="C7" i="5" s="1"/>
  <c r="C13" i="5"/>
  <c r="H14" i="5"/>
  <c r="H18" i="5" s="1"/>
  <c r="E18" i="5" s="1"/>
  <c r="F18" i="5" s="1"/>
  <c r="J18" i="5" s="1"/>
  <c r="C12" i="5"/>
  <c r="C9" i="5"/>
  <c r="H13" i="5"/>
  <c r="H17" i="5" s="1"/>
  <c r="E17" i="5" s="1"/>
  <c r="F17" i="5" s="1"/>
  <c r="J17" i="5" s="1"/>
  <c r="C8" i="5"/>
  <c r="C11" i="5"/>
  <c r="H11" i="5"/>
  <c r="H15" i="5" s="1"/>
  <c r="E15" i="5" s="1"/>
  <c r="F15" i="5" s="1"/>
  <c r="G15" i="5" s="1"/>
  <c r="E10" i="5"/>
  <c r="F10" i="5" s="1"/>
  <c r="G10" i="5" s="1"/>
  <c r="H12" i="5"/>
  <c r="H16" i="5" s="1"/>
  <c r="E16" i="5" s="1"/>
  <c r="F16" i="5" s="1"/>
  <c r="G16" i="5" s="1"/>
  <c r="C14" i="5"/>
  <c r="P9" i="5" l="1"/>
  <c r="E7" i="5"/>
  <c r="F7" i="5" s="1"/>
  <c r="R7" i="5" s="1"/>
  <c r="P7" i="5" s="1"/>
  <c r="R10" i="5"/>
  <c r="P10" i="5" s="1"/>
  <c r="E11" i="5"/>
  <c r="F11" i="5" s="1"/>
  <c r="G11" i="5" s="1"/>
  <c r="J8" i="5"/>
  <c r="E13" i="5"/>
  <c r="F13" i="5" s="1"/>
  <c r="R13" i="5" s="1"/>
  <c r="P13" i="5" s="1"/>
  <c r="E12" i="5"/>
  <c r="F12" i="5" s="1"/>
  <c r="R12" i="5" s="1"/>
  <c r="P12" i="5" s="1"/>
  <c r="J9" i="5"/>
  <c r="R15" i="5"/>
  <c r="P15" i="5" s="1"/>
  <c r="R17" i="5"/>
  <c r="P17" i="5" s="1"/>
  <c r="J16" i="5"/>
  <c r="R8" i="5"/>
  <c r="P8" i="5" s="1"/>
  <c r="R16" i="5"/>
  <c r="P16" i="5" s="1"/>
  <c r="J10" i="5"/>
  <c r="E14" i="5"/>
  <c r="F14" i="5" s="1"/>
  <c r="R14" i="5" s="1"/>
  <c r="P14" i="5" s="1"/>
  <c r="G9" i="5"/>
  <c r="G18" i="5"/>
  <c r="R18" i="5"/>
  <c r="P18" i="5" s="1"/>
  <c r="J15" i="5"/>
  <c r="G17" i="5"/>
  <c r="J11" i="5" l="1"/>
  <c r="J7" i="5"/>
  <c r="G7" i="5"/>
  <c r="R11" i="5"/>
  <c r="P11" i="5" s="1"/>
  <c r="G13" i="5"/>
  <c r="J13" i="5"/>
  <c r="J12" i="5"/>
  <c r="G12" i="5"/>
  <c r="J14" i="5"/>
  <c r="G14"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D04FC8-2EF9-44E5-87D6-4DD7E71A3082}" keepAlive="1" name="Query - tbl_programList" description="Connection to the 'tbl_programList' query in the workbook." type="5" refreshedVersion="8" background="1" saveData="1">
    <dbPr connection="Provider=Microsoft.Mashup.OleDb.1;Data Source=$Workbook$;Location=tbl_programList;Extended Properties=&quot;&quot;" command="SELECT * FROM [tbl_programLi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<sst xmlns="http://schemas.openxmlformats.org/spreadsheetml/2006/main" count="4730" uniqueCount="792">
  <si>
    <t>BASICS</t>
  </si>
  <si>
    <t>SECTIONS</t>
  </si>
  <si>
    <t>TEAMS</t>
  </si>
  <si>
    <t>CANDIDATES</t>
  </si>
  <si>
    <t>PROGRAMS</t>
  </si>
  <si>
    <t>FEST NAME 👇🏿</t>
  </si>
  <si>
    <t>Team:</t>
  </si>
  <si>
    <t xml:space="preserve">Section: </t>
  </si>
  <si>
    <t>SUPER SENIOR</t>
  </si>
  <si>
    <t>Stage/Non-Stage:</t>
  </si>
  <si>
    <t>PROGRAM NAME</t>
  </si>
  <si>
    <t>PR CODE</t>
  </si>
  <si>
    <t>Sl. No.</t>
  </si>
  <si>
    <t>Ad. No./Chest No.</t>
  </si>
  <si>
    <t>Student's Name</t>
  </si>
  <si>
    <t>COUNT</t>
  </si>
  <si>
    <t>Sl.</t>
  </si>
  <si>
    <t>Ch. No.</t>
  </si>
  <si>
    <t>Name</t>
  </si>
  <si>
    <t>Class</t>
  </si>
  <si>
    <t>Leader</t>
  </si>
  <si>
    <t>Asst. Leader</t>
  </si>
  <si>
    <t>2nd Asst.</t>
  </si>
  <si>
    <t>PROGRAM CANDIDATES</t>
  </si>
  <si>
    <t>JUDGEMENT SHEET</t>
  </si>
  <si>
    <t>P.CODE</t>
  </si>
  <si>
    <t>PROGRAM NAME:</t>
  </si>
  <si>
    <t>Sl</t>
  </si>
  <si>
    <t>Chest 
No.</t>
  </si>
  <si>
    <t>House</t>
  </si>
  <si>
    <t>CLASS</t>
  </si>
  <si>
    <t>Remarks</t>
  </si>
  <si>
    <t>REMARKS</t>
  </si>
  <si>
    <t>A</t>
  </si>
  <si>
    <t>B</t>
  </si>
  <si>
    <t>C</t>
  </si>
  <si>
    <t>D</t>
  </si>
  <si>
    <t>E</t>
  </si>
  <si>
    <t>F</t>
  </si>
  <si>
    <t>G</t>
  </si>
  <si>
    <t>H</t>
  </si>
  <si>
    <t>I</t>
  </si>
  <si>
    <t>J</t>
  </si>
  <si>
    <t>K</t>
  </si>
  <si>
    <t>L</t>
  </si>
  <si>
    <t>M</t>
  </si>
  <si>
    <t>N</t>
  </si>
  <si>
    <t>O</t>
  </si>
  <si>
    <t>P</t>
  </si>
  <si>
    <t>Q</t>
  </si>
  <si>
    <t>R</t>
  </si>
  <si>
    <t>S</t>
  </si>
  <si>
    <t>T</t>
  </si>
  <si>
    <t>V</t>
  </si>
  <si>
    <t>W</t>
  </si>
  <si>
    <t>SJ10</t>
  </si>
  <si>
    <t>* Grade A=80 % and above , Grade B = 70-79 % , Grade C= 60-69 %</t>
  </si>
  <si>
    <t>MOHAMMED ANFAHUDEEN T.A</t>
  </si>
  <si>
    <t>MUHAMMED AKBAR NP</t>
  </si>
  <si>
    <t>ABDUL YOUNUS</t>
  </si>
  <si>
    <t>ABDUL KHADER</t>
  </si>
  <si>
    <t>MUHAMMED ASBAQUE</t>
  </si>
  <si>
    <t>AYAZ RAHMAN T</t>
  </si>
  <si>
    <t>MOHAMMED AFSAL</t>
  </si>
  <si>
    <t>MUHAMMAD MUSTHAFA P.K</t>
  </si>
  <si>
    <t>AHMED BK</t>
  </si>
  <si>
    <t>MOHAMMAD KHALANDAR ZIYAD</t>
  </si>
  <si>
    <t>SHAMEEM ABDULLA P.S</t>
  </si>
  <si>
    <t>AMEEN ABDULLA</t>
  </si>
  <si>
    <t>NON-STG</t>
  </si>
  <si>
    <t>JARF</t>
  </si>
  <si>
    <t>FANT</t>
  </si>
  <si>
    <t>DAHF</t>
  </si>
  <si>
    <t>BADF</t>
  </si>
  <si>
    <t>Pr. Code</t>
  </si>
  <si>
    <t>Pr. Name</t>
  </si>
  <si>
    <t>Section</t>
  </si>
  <si>
    <t>Single/Group</t>
  </si>
  <si>
    <t>Stage/Non-stage</t>
  </si>
  <si>
    <t>Candi. Limit</t>
  </si>
  <si>
    <t>Position</t>
  </si>
  <si>
    <t>Grade</t>
  </si>
  <si>
    <t>Time limit</t>
  </si>
  <si>
    <t>Date</t>
  </si>
  <si>
    <t>Start</t>
  </si>
  <si>
    <t>End</t>
  </si>
  <si>
    <t>Concept Note</t>
  </si>
  <si>
    <t>SJ01</t>
  </si>
  <si>
    <t>ADHĀN</t>
  </si>
  <si>
    <t>SUB JUNIOR</t>
  </si>
  <si>
    <t>Single</t>
  </si>
  <si>
    <t>Non-Stg</t>
  </si>
  <si>
    <t>Individual</t>
  </si>
  <si>
    <t>SJ02</t>
  </si>
  <si>
    <t>DICTIONARY MAKING ARB</t>
  </si>
  <si>
    <t>30 min</t>
  </si>
  <si>
    <t>SJ03</t>
  </si>
  <si>
    <t>DICTIONARY MAKING ENG</t>
  </si>
  <si>
    <t>SJ04</t>
  </si>
  <si>
    <t>ESSAY WRITING MLM</t>
  </si>
  <si>
    <t>45 min</t>
  </si>
  <si>
    <t>SJ05</t>
  </si>
  <si>
    <t>GK QUIZ</t>
  </si>
  <si>
    <t>Master</t>
  </si>
  <si>
    <t>SJ06</t>
  </si>
  <si>
    <t>ḤIFẒ</t>
  </si>
  <si>
    <t>SJ07</t>
  </si>
  <si>
    <t>MATH TALENT</t>
  </si>
  <si>
    <t>SJ08</t>
  </si>
  <si>
    <t>MEMORY TEST</t>
  </si>
  <si>
    <t>SJ09</t>
  </si>
  <si>
    <t>MS PAINT</t>
  </si>
  <si>
    <t>MULTI LING HAND WRITING</t>
  </si>
  <si>
    <t>SJ11</t>
  </si>
  <si>
    <t>NEWS WRITING MLM</t>
  </si>
  <si>
    <t>SJ12</t>
  </si>
  <si>
    <t>PENCIL DRAWING</t>
  </si>
  <si>
    <t>SJ13</t>
  </si>
  <si>
    <t>POEM WRITING MLM</t>
  </si>
  <si>
    <t>SJ14</t>
  </si>
  <si>
    <t>POSTER DESIGNING (non digital)</t>
  </si>
  <si>
    <t>SJ15</t>
  </si>
  <si>
    <t>QIRĀʾAH</t>
  </si>
  <si>
    <t>SJ16</t>
  </si>
  <si>
    <t>SHORT STORY MLM</t>
  </si>
  <si>
    <t>SJ17</t>
  </si>
  <si>
    <t>STORY COMPLETION MLM</t>
  </si>
  <si>
    <t>SJ18</t>
  </si>
  <si>
    <t>SUDOKU</t>
  </si>
  <si>
    <t>SJ19</t>
  </si>
  <si>
    <t>TYPING ENG</t>
  </si>
  <si>
    <t>SJ20</t>
  </si>
  <si>
    <t>VOCABULARY</t>
  </si>
  <si>
    <t>SJ21</t>
  </si>
  <si>
    <t>WATER PAINTING</t>
  </si>
  <si>
    <t>60 min</t>
  </si>
  <si>
    <t>SJ22</t>
  </si>
  <si>
    <t>GEO GIANT</t>
  </si>
  <si>
    <t>Stage</t>
  </si>
  <si>
    <t>SJ23</t>
  </si>
  <si>
    <t>KADHAKADHANAM MLM</t>
  </si>
  <si>
    <t>SJ24</t>
  </si>
  <si>
    <t>NJAN MALAYALI</t>
  </si>
  <si>
    <t>SJ25</t>
  </si>
  <si>
    <t>POEM RECITATION</t>
  </si>
  <si>
    <t>SJ26</t>
  </si>
  <si>
    <t>READING ARB</t>
  </si>
  <si>
    <t>SJ27</t>
  </si>
  <si>
    <t>READING ENG</t>
  </si>
  <si>
    <t>SJ28</t>
  </si>
  <si>
    <t>READING HINDI</t>
  </si>
  <si>
    <t>SJ29</t>
  </si>
  <si>
    <t>READING MLM</t>
  </si>
  <si>
    <t>SJ30</t>
  </si>
  <si>
    <t>READING URD</t>
  </si>
  <si>
    <t>SJ31</t>
  </si>
  <si>
    <t>SONG ARB</t>
  </si>
  <si>
    <t>SJ32</t>
  </si>
  <si>
    <t>SONG MLM</t>
  </si>
  <si>
    <t>SJ33</t>
  </si>
  <si>
    <t>SONG URD</t>
  </si>
  <si>
    <t>SJ34</t>
  </si>
  <si>
    <t>SPEECH ARB</t>
  </si>
  <si>
    <t>SJ35</t>
  </si>
  <si>
    <t>SPEECH ENG</t>
  </si>
  <si>
    <t>SJ36</t>
  </si>
  <si>
    <t>SPEECH MLM</t>
  </si>
  <si>
    <t>SJ37</t>
  </si>
  <si>
    <t>SPEECH URD</t>
  </si>
  <si>
    <t>SJ38</t>
  </si>
  <si>
    <t>STORRY NARRATION ENG</t>
  </si>
  <si>
    <t>SJ39</t>
  </si>
  <si>
    <t>WAʿẒ</t>
  </si>
  <si>
    <t>SJ40</t>
  </si>
  <si>
    <t>WORD WIZARD</t>
  </si>
  <si>
    <t>SJ41</t>
  </si>
  <si>
    <t>CONVERSATION MLM</t>
  </si>
  <si>
    <t>GROUP</t>
  </si>
  <si>
    <t>SJ42</t>
  </si>
  <si>
    <t>MASH UP</t>
  </si>
  <si>
    <t>Group</t>
  </si>
  <si>
    <t>SJ43</t>
  </si>
  <si>
    <t>SPEECH &amp; SONG MLM</t>
  </si>
  <si>
    <t>JN01</t>
  </si>
  <si>
    <t>ACRYLIC PAINTING</t>
  </si>
  <si>
    <t>JUNIOR</t>
  </si>
  <si>
    <t>JN02</t>
  </si>
  <si>
    <t>CALLIGRAPHY</t>
  </si>
  <si>
    <t>JN03</t>
  </si>
  <si>
    <t>CAPTION MAKING</t>
  </si>
  <si>
    <t>JN04</t>
  </si>
  <si>
    <t>CARTOON</t>
  </si>
  <si>
    <t>JN05</t>
  </si>
  <si>
    <t>ESSAY ARB</t>
  </si>
  <si>
    <t>JN06</t>
  </si>
  <si>
    <t>ESSAY ENG</t>
  </si>
  <si>
    <t>JN07</t>
  </si>
  <si>
    <t>ESSAY MLM</t>
  </si>
  <si>
    <t>JN08</t>
  </si>
  <si>
    <t>ESSAY URD</t>
  </si>
  <si>
    <t>JN09</t>
  </si>
  <si>
    <t>JN10</t>
  </si>
  <si>
    <t>JN11</t>
  </si>
  <si>
    <t>JN12</t>
  </si>
  <si>
    <t>JN13</t>
  </si>
  <si>
    <t>JN14</t>
  </si>
  <si>
    <t>PAINTING</t>
  </si>
  <si>
    <t>JN15</t>
  </si>
  <si>
    <t>POEM ARB</t>
  </si>
  <si>
    <t>JN16</t>
  </si>
  <si>
    <t>POEM ENG</t>
  </si>
  <si>
    <t>JN17</t>
  </si>
  <si>
    <t>POEM MLM</t>
  </si>
  <si>
    <t>JN18</t>
  </si>
  <si>
    <t>POEM URD</t>
  </si>
  <si>
    <t>JN19</t>
  </si>
  <si>
    <t>POSTER DESIGNING DIGITAL</t>
  </si>
  <si>
    <t>45min</t>
  </si>
  <si>
    <t>JN20</t>
  </si>
  <si>
    <t>JN21</t>
  </si>
  <si>
    <t>SCIENCE MASTER</t>
  </si>
  <si>
    <t>JN22</t>
  </si>
  <si>
    <t>SENTENCE TRANSLATION</t>
  </si>
  <si>
    <t>JN23</t>
  </si>
  <si>
    <t>SHORT STORY ARB</t>
  </si>
  <si>
    <t>JN24</t>
  </si>
  <si>
    <t>SHORT STORY ENG</t>
  </si>
  <si>
    <t>JN25</t>
  </si>
  <si>
    <t>JN26</t>
  </si>
  <si>
    <t>SPELLING BEE</t>
  </si>
  <si>
    <t>JN27</t>
  </si>
  <si>
    <t>SWARF IQ</t>
  </si>
  <si>
    <t>JN28</t>
  </si>
  <si>
    <t>TYPING MASTER ENG</t>
  </si>
  <si>
    <t>JN29</t>
  </si>
  <si>
    <t>TYPING MASTER MLM</t>
  </si>
  <si>
    <t>JN30</t>
  </si>
  <si>
    <t>JN31</t>
  </si>
  <si>
    <t>JUST A MINUTE</t>
  </si>
  <si>
    <t>JN32</t>
  </si>
  <si>
    <t>MADH GANAM MLM</t>
  </si>
  <si>
    <t>JN33</t>
  </si>
  <si>
    <t>MULAFADHA</t>
  </si>
  <si>
    <t>JN34</t>
  </si>
  <si>
    <t>PADHYAPARAYANAM</t>
  </si>
  <si>
    <t>JN35</t>
  </si>
  <si>
    <t>JN36</t>
  </si>
  <si>
    <t>SONG ENG</t>
  </si>
  <si>
    <t>JN37</t>
  </si>
  <si>
    <t>JN38</t>
  </si>
  <si>
    <t>JN39</t>
  </si>
  <si>
    <t>JN40</t>
  </si>
  <si>
    <t>JN41</t>
  </si>
  <si>
    <t>JN42</t>
  </si>
  <si>
    <t>JN43</t>
  </si>
  <si>
    <t>WORD FIGHT ENG</t>
  </si>
  <si>
    <t>JN44</t>
  </si>
  <si>
    <t>INSTANT MAGAZINE MLM</t>
  </si>
  <si>
    <t>JN45</t>
  </si>
  <si>
    <t>JN46</t>
  </si>
  <si>
    <t>SN01</t>
  </si>
  <si>
    <t>ALFIYA CONTEST</t>
  </si>
  <si>
    <t>SENIOR</t>
  </si>
  <si>
    <t>SN02</t>
  </si>
  <si>
    <t>SN03</t>
  </si>
  <si>
    <t>CAPTION WRITIING URD</t>
  </si>
  <si>
    <t>SN04</t>
  </si>
  <si>
    <t>SN05</t>
  </si>
  <si>
    <t>SN06</t>
  </si>
  <si>
    <t>SN07</t>
  </si>
  <si>
    <t>SN08</t>
  </si>
  <si>
    <t>SN09</t>
  </si>
  <si>
    <t>EXCEL EXPERT</t>
  </si>
  <si>
    <t>SN10</t>
  </si>
  <si>
    <t>FEATURE ENG</t>
  </si>
  <si>
    <t>SN11</t>
  </si>
  <si>
    <t>FEATURE MLM</t>
  </si>
  <si>
    <t>SN12</t>
  </si>
  <si>
    <t>GK TALENT</t>
  </si>
  <si>
    <t>SN13</t>
  </si>
  <si>
    <t>GRAMMAR QUIZ QUADRILINGUAL</t>
  </si>
  <si>
    <t>SN14</t>
  </si>
  <si>
    <t>SN15</t>
  </si>
  <si>
    <t>SN16</t>
  </si>
  <si>
    <t>NEWS WRITING ENG</t>
  </si>
  <si>
    <t>SN17</t>
  </si>
  <si>
    <t>NEWS WRITING URD</t>
  </si>
  <si>
    <t>SN18</t>
  </si>
  <si>
    <t>PHOTOGRAPHY</t>
  </si>
  <si>
    <t>SN19</t>
  </si>
  <si>
    <t>SN20</t>
  </si>
  <si>
    <t>SN21</t>
  </si>
  <si>
    <t>SN22</t>
  </si>
  <si>
    <t>SN23</t>
  </si>
  <si>
    <t>SN24</t>
  </si>
  <si>
    <t>SN25</t>
  </si>
  <si>
    <t>SN26</t>
  </si>
  <si>
    <t>SN27</t>
  </si>
  <si>
    <t>SN28</t>
  </si>
  <si>
    <t>SLOGAN MAKING</t>
  </si>
  <si>
    <t>SN29</t>
  </si>
  <si>
    <t>TAḤLĪL AL-ʿIBĀRAH</t>
  </si>
  <si>
    <t>SN30</t>
  </si>
  <si>
    <t>ANNOUNCEMENT</t>
  </si>
  <si>
    <t>SN31</t>
  </si>
  <si>
    <t>EXTEMPORE SPEECH MLM</t>
  </si>
  <si>
    <t>SN32</t>
  </si>
  <si>
    <t>GD MLM</t>
  </si>
  <si>
    <t>SN33</t>
  </si>
  <si>
    <t>HISTORY TALK ENG</t>
  </si>
  <si>
    <t>SN34</t>
  </si>
  <si>
    <t>KAVIYARANG</t>
  </si>
  <si>
    <t>SN35</t>
  </si>
  <si>
    <t>MOTIVATIONAL SPEECH ENG</t>
  </si>
  <si>
    <t>SN36</t>
  </si>
  <si>
    <t>NASHEED ARB</t>
  </si>
  <si>
    <t>SN37</t>
  </si>
  <si>
    <t>NEWS WRITING AND READING ENG</t>
  </si>
  <si>
    <t>SN38</t>
  </si>
  <si>
    <t>RAP SONG</t>
  </si>
  <si>
    <t>SN39</t>
  </si>
  <si>
    <t>REVERSE QUIZ</t>
  </si>
  <si>
    <t>SN40</t>
  </si>
  <si>
    <t>SN41</t>
  </si>
  <si>
    <t>SN42</t>
  </si>
  <si>
    <t>SN43</t>
  </si>
  <si>
    <t>SN44</t>
  </si>
  <si>
    <t xml:space="preserve">SPEECH ENG </t>
  </si>
  <si>
    <t>SN45</t>
  </si>
  <si>
    <t>SN46</t>
  </si>
  <si>
    <t>TEACHING</t>
  </si>
  <si>
    <t>SN47</t>
  </si>
  <si>
    <t>SN48</t>
  </si>
  <si>
    <t>WORD FIGHT URD</t>
  </si>
  <si>
    <t>SN49</t>
  </si>
  <si>
    <t>FACE TO FACE ENG</t>
  </si>
  <si>
    <t>SN50</t>
  </si>
  <si>
    <t>INSTANT MAGAZINE ENG</t>
  </si>
  <si>
    <t>SN51</t>
  </si>
  <si>
    <t>MALA COMPOSITION</t>
  </si>
  <si>
    <t>SN52</t>
  </si>
  <si>
    <t>MASHUP</t>
  </si>
  <si>
    <t>SN53</t>
  </si>
  <si>
    <t>SPEECH &amp; SONG ARB</t>
  </si>
  <si>
    <t>SS01</t>
  </si>
  <si>
    <t>ABSTRACT WRITING ENG</t>
  </si>
  <si>
    <t>SS02</t>
  </si>
  <si>
    <t>ACADEMIC ESSAY ENG</t>
  </si>
  <si>
    <t>SS03</t>
  </si>
  <si>
    <t>ARTICLE SUBMISSION</t>
  </si>
  <si>
    <t>SS04</t>
  </si>
  <si>
    <t>SS05</t>
  </si>
  <si>
    <t>SS06</t>
  </si>
  <si>
    <t>SS07</t>
  </si>
  <si>
    <t>SS08</t>
  </si>
  <si>
    <t>SS09</t>
  </si>
  <si>
    <t>SS10</t>
  </si>
  <si>
    <t>HIFZ AND THAJWEED</t>
  </si>
  <si>
    <t>SS11</t>
  </si>
  <si>
    <t>SS12</t>
  </si>
  <si>
    <t>SS13</t>
  </si>
  <si>
    <t>SS14</t>
  </si>
  <si>
    <t>SS15</t>
  </si>
  <si>
    <t>SS16</t>
  </si>
  <si>
    <t>PROOF READING ARB</t>
  </si>
  <si>
    <t>SS17</t>
  </si>
  <si>
    <t>PROOF READING ENG</t>
  </si>
  <si>
    <t>SS18</t>
  </si>
  <si>
    <t>PROOF READING MLM</t>
  </si>
  <si>
    <t>SS19</t>
  </si>
  <si>
    <t>PROOF READING URD</t>
  </si>
  <si>
    <t>SS20</t>
  </si>
  <si>
    <t>SCREENPLAY WRITING MLM</t>
  </si>
  <si>
    <t>SS21</t>
  </si>
  <si>
    <t>SS22</t>
  </si>
  <si>
    <t>SS23</t>
  </si>
  <si>
    <t>SS24</t>
  </si>
  <si>
    <t>SHORT STORY URD</t>
  </si>
  <si>
    <t>SS25</t>
  </si>
  <si>
    <t>TYPING QUADRILINGUAL</t>
  </si>
  <si>
    <t>SS26</t>
  </si>
  <si>
    <t>WEB DESIGNING</t>
  </si>
  <si>
    <t>SS27</t>
  </si>
  <si>
    <t>ACADEMIC TALK ENG</t>
  </si>
  <si>
    <t>SS28</t>
  </si>
  <si>
    <t>SS29</t>
  </si>
  <si>
    <t>DOCUMENTARY NARRATION ARB</t>
  </si>
  <si>
    <t>SS30</t>
  </si>
  <si>
    <t>EXTEMPORE SPEECH ARB</t>
  </si>
  <si>
    <t>SS31</t>
  </si>
  <si>
    <t>GD ENG</t>
  </si>
  <si>
    <t>SS32</t>
  </si>
  <si>
    <t>GD URD</t>
  </si>
  <si>
    <t>SS33</t>
  </si>
  <si>
    <t>GENERAL SPEECH MLM</t>
  </si>
  <si>
    <t>SS34</t>
  </si>
  <si>
    <t>SS35</t>
  </si>
  <si>
    <t>KHUṬBAH</t>
  </si>
  <si>
    <t>SS36</t>
  </si>
  <si>
    <t>MAPPILAPPATT</t>
  </si>
  <si>
    <t>SS37</t>
  </si>
  <si>
    <t>MOCK INTERVIEW ENG</t>
  </si>
  <si>
    <t>SS38</t>
  </si>
  <si>
    <t>SS39</t>
  </si>
  <si>
    <t>NEWS WRITING &amp; READING ARB</t>
  </si>
  <si>
    <t>SS40</t>
  </si>
  <si>
    <t>POLITICAL SATIRE MLM</t>
  </si>
  <si>
    <t>SS41</t>
  </si>
  <si>
    <t>PROJECT PRESENTATION ENG</t>
  </si>
  <si>
    <t>SS42</t>
  </si>
  <si>
    <t>SS43</t>
  </si>
  <si>
    <t>SIYASI THAQREER URD</t>
  </si>
  <si>
    <t>SS44</t>
  </si>
  <si>
    <t>SS45</t>
  </si>
  <si>
    <t>TADRĪS</t>
  </si>
  <si>
    <t>SS46</t>
  </si>
  <si>
    <t>SS47</t>
  </si>
  <si>
    <t>INSTANT DIGITAL TABLOID ARB</t>
  </si>
  <si>
    <t>SS48</t>
  </si>
  <si>
    <t>SS49</t>
  </si>
  <si>
    <t>SPOT TRANSLATION</t>
  </si>
  <si>
    <t>GN01</t>
  </si>
  <si>
    <t>COLLAGE</t>
  </si>
  <si>
    <t>GENERAL</t>
  </si>
  <si>
    <t>General</t>
  </si>
  <si>
    <t>GN02</t>
  </si>
  <si>
    <t>DIGITAL MAGAZINE</t>
  </si>
  <si>
    <t>GN03</t>
  </si>
  <si>
    <t>DOCUMENTARY</t>
  </si>
  <si>
    <t>GN04</t>
  </si>
  <si>
    <t>PROJECT BRANDING</t>
  </si>
  <si>
    <t>GN05</t>
  </si>
  <si>
    <t>WALL PAINTING</t>
  </si>
  <si>
    <t>GN06</t>
  </si>
  <si>
    <t>CAMPUS BRAIN</t>
  </si>
  <si>
    <t>STARRED</t>
  </si>
  <si>
    <t>GN07</t>
  </si>
  <si>
    <t>DEBATE ENGLISH</t>
  </si>
  <si>
    <t>GN08</t>
  </si>
  <si>
    <t>FATWA COUNCIL</t>
  </si>
  <si>
    <t>GN09</t>
  </si>
  <si>
    <t>FIQHI DEMO</t>
  </si>
  <si>
    <t>GN10</t>
  </si>
  <si>
    <t>ISHQE RASOOL</t>
  </si>
  <si>
    <t>GN11</t>
  </si>
  <si>
    <t>MUNĀẒARAH</t>
  </si>
  <si>
    <t>GN12</t>
  </si>
  <si>
    <t>MUSHĀʿARAH</t>
  </si>
  <si>
    <t>GN13</t>
  </si>
  <si>
    <t>QAWWALI URD</t>
  </si>
  <si>
    <t>GN14</t>
  </si>
  <si>
    <t>SUFI SANGEEDAM</t>
  </si>
  <si>
    <t>PRINTED JUDGE SHEET</t>
  </si>
  <si>
    <t>Name of Judge:………………………………………………………………………………………….</t>
  </si>
  <si>
    <t>Sign of checked &amp;completion _________</t>
  </si>
  <si>
    <t xml:space="preserve">Printed on: </t>
  </si>
  <si>
    <t>Grd.</t>
  </si>
  <si>
    <t>Pos.</t>
  </si>
  <si>
    <t>U</t>
  </si>
  <si>
    <t>X</t>
  </si>
  <si>
    <t>Y</t>
  </si>
  <si>
    <t>Z</t>
  </si>
  <si>
    <t xml:space="preserve">Candi:  </t>
  </si>
  <si>
    <t>Code 
Let.</t>
  </si>
  <si>
    <t>Posi.</t>
  </si>
  <si>
    <t>Sign ___________</t>
  </si>
  <si>
    <t>Date &amp; Time ____/_________/_____ | ____ : _____ ____</t>
  </si>
  <si>
    <t>cand-2</t>
  </si>
  <si>
    <t>cand-3</t>
  </si>
  <si>
    <t>2t (3)</t>
  </si>
  <si>
    <t>Cand-2</t>
  </si>
  <si>
    <t>Cand-3</t>
  </si>
  <si>
    <t>Limit</t>
  </si>
  <si>
    <t>* Fill with chest numbers, To be submitted with tick list</t>
  </si>
  <si>
    <t>Team 2</t>
  </si>
  <si>
    <t>Cand-4</t>
  </si>
  <si>
    <t>Cand-5</t>
  </si>
  <si>
    <t>Cand-6</t>
  </si>
  <si>
    <t>Cand-7</t>
  </si>
  <si>
    <t>JARFATHAN</t>
  </si>
  <si>
    <t>Chest</t>
  </si>
  <si>
    <t>Team</t>
  </si>
  <si>
    <t>Pos</t>
  </si>
  <si>
    <t>Grd (opt.)</t>
  </si>
  <si>
    <t>Score (Opt.)</t>
  </si>
  <si>
    <t>3x 4 =12</t>
  </si>
  <si>
    <t>2x 4 =8</t>
  </si>
  <si>
    <t>*Press "Q" to stop</t>
  </si>
  <si>
    <t>Scoring</t>
  </si>
  <si>
    <t>Group/Single</t>
  </si>
  <si>
    <t>Stage/Non</t>
  </si>
  <si>
    <t>HOUSE NAME</t>
  </si>
  <si>
    <t>DONE</t>
  </si>
  <si>
    <t>Subject</t>
  </si>
  <si>
    <t>Problems and questions based on fundamental Mathematics (Addition, Subtraction, Multiplication, Division and basic geometry) along with mathematical tests apt for a Darul Huda secondary first year student. Candidate may prepare reading books about easy Math and Math plays.</t>
  </si>
  <si>
    <t>To memorize read, shown or heard things within a given period of time. Judges can arrange any possible way to check memory capacity of the candidates.</t>
  </si>
  <si>
    <t>To create a digital picture using MS Paint drawing tools within the given period of time.</t>
  </si>
  <si>
    <t>Sub’h azan is prescribed</t>
  </si>
  <si>
    <t xml:space="preserve">To arrange the given words in alphabetic order along with meaning. </t>
  </si>
  <si>
    <t>To write an essay on a given topic. Language, presentation, ordering, analyzing and content are considered.</t>
  </si>
  <si>
    <t>40% Islamic and 40% General questions would be asked. 20% questions can be expected based on life of Prophet Muhammed (PBUH)</t>
  </si>
  <si>
    <t>To recite suggested verses on the spot with Tajwīd. Portion: يس، الضحى-الناس</t>
  </si>
  <si>
    <t>Completion of given matter in four languages (MLM, ENG, URD, ARB) along with all other features of hand writing skill is considered.</t>
  </si>
  <si>
    <t xml:space="preserve"> മൂന്നാം ദിവസവും ട്രെയിനിന് നേരെ കല്ലേറ്</t>
  </si>
  <si>
    <t xml:space="preserve">To prepare news report on given topics. Different features of news reporting are considered. </t>
  </si>
  <si>
    <t>To draw the picture of a shown object using pencil.</t>
  </si>
  <si>
    <t>മഴ</t>
  </si>
  <si>
    <t>To write a poem on a given topic. Language, presentation, creativity and content are considered</t>
  </si>
  <si>
    <t>To prepare a poster of a given subject or Program using poster tools given below. The features of a poster like matter arrangement, color adjustment, layout and design are considered. The candidate can only use normal pencil, blue or black ink pen and marker.</t>
  </si>
  <si>
    <t xml:space="preserve">To recite a given portion of Qur’an with Tajwīd. </t>
  </si>
  <si>
    <t xml:space="preserve">To write a short story on a given topic on time. Language, content and variation should be considered. </t>
  </si>
  <si>
    <t>To complete a given uncompleted story. Language, content and variations are considered.</t>
  </si>
  <si>
    <t>To complete the puzzle first, then the time taken is important.</t>
  </si>
  <si>
    <t>To type the given paragraphs in English within the permitted time. Completion, lack of mistakes and the time taken are considered. The PCs for each candidate will be selected by lotting.</t>
  </si>
  <si>
    <t>To translate words from any of the four languages, namely English, Malayalam, Arabic and Urdu into the other three. Expected areas: Human body, Animal, Bird, Daily routines, Campus, House.</t>
  </si>
  <si>
    <t>To paint a theme on a topic given on time. Tools for the painting kid’s waterpainting should be carried by the candidate.</t>
  </si>
  <si>
    <t xml:space="preserve">To examine geographical ability to spot or identify any suggested country, place or area on the Map. Candidates may expect general questions relating geography. Expected Areas: Major water bodies, Mountains, Grasslands, Deserts are also prescribed. </t>
  </si>
  <si>
    <t>To narrate a moral story registered and approved earlier. The style of narration and the content should be morally and ethically suitable.</t>
  </si>
  <si>
    <t>To talk continuously on a picked topic for 3 minutes using Malayalam language only. Fluency of presentation is considered. The topic will be given before 6 minutes.</t>
  </si>
  <si>
    <t>To recite a moral Malayalam poem registered and approved earlier.</t>
  </si>
  <si>
    <t xml:space="preserve">To read any spot suggested in that language. Fluency, clarity, Pronunciation and voice modulation are considered. </t>
  </si>
  <si>
    <t>To sing any Islamic song registered and approved earlier. Performance, vocal techniques (pitch, harmonies, tempo and beat) and diction are considered.</t>
  </si>
  <si>
    <t>To sing any ‘Madhunnabi’ Malayalam Song, registered and approved earlier.</t>
  </si>
  <si>
    <t>To deliver a speech on a given subject. The Fluency, Clarity in ideas, Body language, vocal variations corresponding to emotional changes along with all other features of Speech are considered.</t>
  </si>
  <si>
    <t>To deliver a speech on any of three subjects. Any one subject should be selected by the candidate and verfied at the time of reporting.</t>
  </si>
  <si>
    <t xml:space="preserve">Moral stories should be chosen. The style of narration and the content should be morally and ethically suitable.  </t>
  </si>
  <si>
    <t>To deliver wa’z on chosen subject from suggested two topics given earlier. Fluency, Clarity in ideas, Body language, and vocal variation according to emotional changes are considered. Any one subject should be selected by the candidate and verfied at the time of reporting.</t>
  </si>
  <si>
    <t>To examine student’s ability in English with wide range of tests like word puzzle, correcting the jumbled sentence, word quiz, spelling tests and related items.</t>
  </si>
  <si>
    <t>Two candidates do converse on subjects given earlier. All features of a healthy and non-arranged conversation should be considered.</t>
  </si>
  <si>
    <t>A group of three candidates can sing chain of Islamic songs. Mutual agreement among singers and collaboration in tone, rhythm and gestures along with different features of song are considered. The songs should be registered and approved earlier.</t>
  </si>
  <si>
    <t>A group of an orator and two singers (mandatory) has to present any Islamic story. The Orator has the choice to sing with singer. Presentation skill, collaboration, linking between Speech &amp; Song along with different features of speech and song are valuated. The story should be registered and approved earlier.</t>
  </si>
  <si>
    <t>To paint a theme on the given topic on the spot using acrylic paint (paste) on given paper [300 GSM]. Tools for the painting should be carried by the candidates.</t>
  </si>
  <si>
    <t>To draw a calligraphy on glossy calligraphy paper from given Arabic sentence using calligraphy pen or marker.</t>
  </si>
  <si>
    <t>To make a caption for the given picture.</t>
  </si>
  <si>
    <t>To draw a cartoon on a given subject using pencil. Drawing and creative thinking are considered. Candidates must carry tools.</t>
  </si>
  <si>
    <t xml:space="preserve">البيئة في الإسلام/الأخوة والصداقة </t>
  </si>
  <si>
    <t xml:space="preserve">drug addiction: a risky challenge in the contemporary society </t>
  </si>
  <si>
    <t>പ്രകൃതി നമ്മുടേത്; അത് നാം സംരക്ഷിക്കണം</t>
  </si>
  <si>
    <t>والدین کی خدمت اور ادب و احترام</t>
  </si>
  <si>
    <t>To examine geographical ability to spot or identify any suggested country, place or area on the Map. Candidates may expect general questions relating geography. Expected Areas: Major water bodies, Mountains, Grasslands, Deserts are also prescribed.</t>
  </si>
  <si>
    <t>(50%) Islamic and (50%) General questions could be expected.</t>
  </si>
  <si>
    <t>To recite the spot suggested verses with Tajwīd. Portion: واقعة، الرحمان، الملك</t>
  </si>
  <si>
    <t>Problems and questions based on fundamental Mathematics (Addition, Subtraction, Multiplication, Division, Decimal, Fraction, Integer, and basic geometry) along with mathematical tests apt for a Darul Huda secondary 3rd year student. Candidate may prepare by reading books about easy Math and Math plays.</t>
  </si>
  <si>
    <t>To prepare a news report on given topic. Language and matter arrangement are considered.</t>
  </si>
  <si>
    <t>To paint a theme on a topic given on time. Tools for the painting should be carried by the candidate.</t>
  </si>
  <si>
    <t>To write a poem on a given topic. Language, presentation, creativity and content are considered.</t>
  </si>
  <si>
    <t>To prepare a poster of a given subject. The features of a poster like matter arrangement, color adjustment, layout and design are considered. Network facility isn’t allowed. The assets will be available in folder</t>
  </si>
  <si>
    <t>To recite given portion of Qur’an with Tajwīd.</t>
  </si>
  <si>
    <t>To test the knowledge of the student in major fields of science. The key three branches, namely physics, chemistry and biology are equally considered. The questions may be expected from NCERT 6, 7, and 8 texts.</t>
  </si>
  <si>
    <t>To translate given sentences of any of the three languages, namely English, Arabic and Urdu into other two.</t>
  </si>
  <si>
    <t>To write a short story on a given topic. Language, content and variation are considered.</t>
  </si>
  <si>
    <t>To examine the expertise of the candidate in the dictation of English words.</t>
  </si>
  <si>
    <t>To examine the fundamental morphological knowledge apt for Darul Huda secondary 3rd year student in Arabic language.</t>
  </si>
  <si>
    <t>To type the given paragraphs in English, and Malayalam within the permitted time. Completion, lack of mistakes and the time taken are considered.</t>
  </si>
  <si>
    <t>To translate words from any of the four languages, namely English, Malayalam, Arabic and Urdu into other three.</t>
  </si>
  <si>
    <t>To talk continuously on the given topic for 1 minute. Candidates are not supposed to stop talking during the time. Fluency, and punctuality are considered. Judges reserve the right to take any decision on time.</t>
  </si>
  <si>
    <t>To sing any Madhu-nnabi song registered and approved earlier. Performance, vocal techniques (pitch, harmonies, tempo and beat) and diction are considered.</t>
  </si>
  <si>
    <t>Only Ism Jamid, Thulasi and Ruba’i Mujarrad Fi’l and Manthooq (i.e, هوى = واو ) are considered. The candidate should prove meaning first, then source if needed. The appellant’s failure in proving carry minus marks. Only candidates can make appeals. Judges reserve their right to arrange any decision on time.</t>
  </si>
  <si>
    <t>To recite a moral Malayalam poem registered and approved earlier. That are inappropriate to community guidelines would be rejected.</t>
  </si>
  <si>
    <t>Only verbs (prefixes and suffixes are excluded). The candidate should prove meaning first, then source if needed. The appellant’s failure in proving carry minus marks. Only candidates can make appeals. Judges reserve their right to arrange any decision on time.</t>
  </si>
  <si>
    <t>7.00PM</t>
  </si>
  <si>
    <t>To prepare an A5 sized magazine within 2 hr, containing stories, moral stories, picture stories, parts of serial episodes, kids’ activities etc. A group of 5 students is permitted.</t>
  </si>
  <si>
    <t>To examine the knowledge of candidate relating Sharah ibn Aqeel of Alfiya and General questions relating Alfiya; including history, other commentaries of Alfiya, baiths, grammatical rules and discussions etc…. Portion: DH Secondary First Year first semester.</t>
  </si>
  <si>
    <t>To make a caption for the given picture in URD</t>
  </si>
  <si>
    <t>To draw a cartoon on a given subject using pencil.</t>
  </si>
  <si>
    <t>أثر علماء سمست في نهضة المجتمع</t>
  </si>
  <si>
    <t>The Significance of Islamic Law in the World Today</t>
  </si>
  <si>
    <t>മത സൗഹാർദത്തിന്റെ കേരളീയ മാതൃക</t>
  </si>
  <si>
    <t>To transform given data into an Excel sheet. Arrangement of data, attractive designing and other features considered in the excel making are considered.</t>
  </si>
  <si>
    <t>To write a feature on a given topic. Language, content and style of writing are considered.</t>
  </si>
  <si>
    <t>To examine the expertise of the student in General awareness other than Mathematics, language and Science. Students should concern following areas * Central Asia, Middle East, North Africa Geography (Medieval and Modern) * History of major three Muslim empires Umayyad, Abbasid and Ottoman * Islamic studies and related science * General awareness: it covers all fields appropriate for a general awareness quizzing.</t>
  </si>
  <si>
    <t>To test expertise in four different languages, namely English, Arabic, Urdu and Malayalam. Expected Areas: Grammar, Word Puzzle and Word game.</t>
  </si>
  <si>
    <t>Problems and questions based on fundamental Mathematics (Addition, Subtraction, Multiplication, Division, Decimal, Fraction, Integer, and basic geometry) along with mathematical tests apt for a Darul Huda secondary 5th year student. Candidate may prepare by reading books about easy Math and Math plays.</t>
  </si>
  <si>
    <t xml:space="preserve"> 9.55 PM</t>
  </si>
  <si>
    <t>To prepare a poster in any Adobe Photoshop, Adobe Illustrator and Corel Draw of a given topic in English in an allotted computer. The features of a poster like Matter arrangement, Color adjustment, Layout, Design are considered.</t>
  </si>
  <si>
    <t>To recite the suggested verses with Tartīl. 20% marks will be given with Tajwīd questions.</t>
  </si>
  <si>
    <t>To test the knowledge of the student in major fields of science. Contestant should concern all science related areas including famous theories, inventions, scientists, new developments and additionally, the contributions of Muslims to Science etc and scientific contents under 10th standard (including)</t>
  </si>
  <si>
    <t>To write creative and effective slogans on a given topic.</t>
  </si>
  <si>
    <t>To explain the given part from any Arabic classical text and clarify I’rab and Tharkeeb of underlined words.</t>
  </si>
  <si>
    <t>To write an announcement on given topic within 25 minutes and announce it on stage. Both writing &amp; announcement quality will be regarded. The written copy will be return before 6 minutes of reading.</t>
  </si>
  <si>
    <t>To deliver an extempore speech on a subject given before 10 minutes before the Program. The Fluency, Clarity in ideas, Body language and vocal variations are considered.</t>
  </si>
  <si>
    <t>A group of two contestants will talk over an issue given before 10 minutes in English in an interview mode (both of them will have to keep their mock position as suggested in the topic). One will question and other will defend. Scores are individual.</t>
  </si>
  <si>
    <t>To prepare a PPT and present it on a topic (personality) given earlier. Prepared PPT should be white in background and images in format, no animations are allowed. The candidate shall answer the questions related the topic from jury panel. Presentation skill and depth of knowledge are considered. The candidate shall answer 3-5 question related to topic. No special consideration for PPT.</t>
  </si>
  <si>
    <t>To Write a poem on a given topic within 40 minutes before the Program and present it on the stage. The quality of both writing and presentation will be examined. The written copy will be return before 6 minutes of reading.</t>
  </si>
  <si>
    <t>To deliver a speech on spot suggested subject from 3 given earlier. The Fluency, Clarity in ideas, Body language and vocal variations are considered. Any one subject should be selected by the candidate and verfied at the time of reporting.</t>
  </si>
  <si>
    <t>To sing any authentic Arabic Nasheed. Performance, vocal techniques (pitch, harmonies, tempo and beat) and diction are considered.</t>
  </si>
  <si>
    <t>To write a news report on the given topics by 30 minutes before stage Program and present it on the stage. The quality of both writing and presentation will be examined. The radio style of news reading is considered.</t>
  </si>
  <si>
    <t>To perform the written work on the early given topic in the form of rap song. All the features of rap song including rapid and rhythmic ways are considered. Lyrics must be submitted before 4 days of program.</t>
  </si>
  <si>
    <t>To find out a person, picked by candidate from pot, through 15 questions. Lesser questions, then time taken to ask questions are considered to decide the winner.</t>
  </si>
  <si>
    <t xml:space="preserve">To sing an Islamic song registered and approved earlier. Performance, vocal techniques (pitch, harmonies, tempo and beat) and diction are considered. </t>
  </si>
  <si>
    <t xml:space="preserve">To sing an Islamic devotional song registered and approved earlier. Performance, vocal techniques (pitch, harmonies, tempo and beat) and diction are considered. </t>
  </si>
  <si>
    <t>To deliver a speech on spot fixed subject from the 3 topics given earlier. The fluency, clarity in ideas, body language, and vocal variation according to emotional changes are considered. Any one subject should be selected by the candidate and verfied at the time of reporting.</t>
  </si>
  <si>
    <t>To teach pre-registered and approved part of ALFIYA of DH secondary final year first semester portion. At the competition venue, candidate must keep at least four copies of the text.</t>
  </si>
  <si>
    <t>To deliver a waʿẓ on subject suggested on time among the 3 given earlier. Fluency, Clarity in ideas, Body language and vocal variation are considered. Any one subject should be selected by the candidate and verfied at the time of reporting.</t>
  </si>
  <si>
    <t>Only verbs will be regarded. The candidate should prove meaning first, then source if needed. The appellant’s failure in proving carry minus marks. Only candidates can make appeals. Judges reserve their right to arrange any decision on time.</t>
  </si>
  <si>
    <t>A group of two contestants will talk over an issue given before 10 minutes in English in an interview mode (both of them will have to keep their mock position as suggested in the topic). One will question and other will defend.</t>
  </si>
  <si>
    <t>To compose MALA on given topic within 30 minutes and recite it on stage should done by a group of two member both composition and recitation. Written copy can be carried by candidates after writing.</t>
  </si>
  <si>
    <t>A group of an orator and two singers (mandatory) has to present a registered and approved Islamic story. The Orator has the choice to sing with singer (no special consideration). Presentation skill, collaboration, linking between speech &amp; Song are valuated.</t>
  </si>
  <si>
    <t>To write an abstract on a given topic. Structure, Academic language and presentation of arguments are considered.</t>
  </si>
  <si>
    <t>To write an academic essay analyzing the given data or charts. Structure, Academic language and presentation of arguments are considered.</t>
  </si>
  <si>
    <t xml:space="preserve">To submit a journal article on given subject earlier for each candidate. The printout copy of article not exceeding five pages with the style of 12pt (Times New Roman) font and normal margin, should be submitted along with soft copy (to be mailed) to chief controller’s office before the scheduled deadline. </t>
  </si>
  <si>
    <t>The advanced excel knowledges including Charts, Tables, Conditional Formatting, Data Validation, Pivot Table and etc. may be examined.</t>
  </si>
  <si>
    <t>To recite suggested verses on the spot with Tajwīd. Portion: الكهف، انسان، الحاقة</t>
  </si>
  <si>
    <t>To write a poem on a topic given on time. Language, presentation, creativity and content are considered.</t>
  </si>
  <si>
    <t>To examine the given text carefully to find out and correct typographical errors and mistakes in language, grammar, style and spelling.</t>
  </si>
  <si>
    <t>To write a screen play on a topic given on time with a fully developed theme. Structure, movements, expressions, and dialogues along with all other features of screen play are considered.</t>
  </si>
  <si>
    <t>To write a short story on a topic given on time. Language, content and variation are considered.</t>
  </si>
  <si>
    <t>To type the given paragraphs in English, Malayalam, Arabic and Urdu within the permitted time. Completion, lack of mistakes and the time taken are considered. The PCs for each candidate will be selected by lotting.</t>
  </si>
  <si>
    <t>To design a website on a given theme in VS code. The candidate can use only HTML, JS and CSS to develop. Internet facilities are not allowed.</t>
  </si>
  <si>
    <t>To present an academic talk on an early given subject. The candidate shall defend the questions from the jury. Academic language, structured content and clarity in ideas are considered.</t>
  </si>
  <si>
    <t>To perform Arabic narration on a shown video 5 minute before. Fluency, language, clarity, vocal variations and narration skills are considered.</t>
  </si>
  <si>
    <t xml:space="preserve">To deliver an extempore speech on a subject given before 10 minutes before the Program by lotting. The Fluency, Clarity in ideas, Body language and vocal variations are considered. </t>
  </si>
  <si>
    <t>To discuss on given topic early, the language, involvement, depth of arguments and expression will be regarded. Scores are individual</t>
  </si>
  <si>
    <t>To deliver a speech on the spot given theme. It would consist of speeches like inauguration, felicitation, commemoration talks etc… clarity in ideas, body language, and vocal variations corresponding to emotional changes are considered. Scores are individual</t>
  </si>
  <si>
    <t>All the laws of jumua khuṭbah should be followed. The contestant has to present registered and approved khuṭbah.</t>
  </si>
  <si>
    <t>To sing any Mappilappatt song registered and approved earlier. Sruthilayam, bhavam, language and literary clarity are evaluated. Candidates are directed to select the Padappat songs of keralite Mappila poets .</t>
  </si>
  <si>
    <t>To deliver a sarcastic and entertaining talk on spot fixed subject from the two political issues given earlier. Content, presentation, appearance and body language are considered. No video cuttings or external facilities are allowed.</t>
  </si>
  <si>
    <t>To prepare an ideal project on an already given topic and present with help of PPT. Fluency, body language, clarity and presentation are considered.</t>
  </si>
  <si>
    <t>To deliver a speech on a subject related to politics given 2 hours before program. General awareness in politics, fluency, clarity in ideas, body language and vocal variations corresponding to emotional changes are considered.</t>
  </si>
  <si>
    <t>To sing any Islamic related English song registered and approved earlier. Performance, vocal techniques (pitch, harmonies, tempo and beat) and diction are considered.</t>
  </si>
  <si>
    <t>To teach pre-registered and approved part from FATHHUL MUEEN. PPT is not allowed.</t>
  </si>
  <si>
    <t>To deliver a waʿẓ on spot fixed topic from two topics given before 24 hours, and the topic will be confirmed 5 minute before the program. Fluency, Clarity in ideas, Body language, and vocal variation according to emotional changes are considered.</t>
  </si>
  <si>
    <t xml:space="preserve">To prepare the first page of an A3 sized Digital Tabloid having news on some on the spot given issues in a permitted computer system. All features of a newspaper like contents, title, news arrangement, colour adjustment, layout and design are considered. </t>
  </si>
  <si>
    <t>To present one of four candidate on a subject (lotted 5 minutes before the program) in Malayalam within 3 minutes and the remaining three candidates translate it to the other three languages in 3 minutes each.</t>
  </si>
  <si>
    <t>To be prepared on the given theme using pictures and cuttings. No printout cuttings are used.</t>
  </si>
  <si>
    <t>To prepare an A4 sized Campus Magazine in Malayalam language. The number of pages is limited between 40-50. Teams should submit printout copy of magazine along with soft copy (to be mailed) to chief controller’s office before the scheduled deadline.</t>
  </si>
  <si>
    <t>To produce a Documentary in Malayalam based on the given theme not exceeding five minutes. Any gestures or presentation method including acting that do not go with Islamic terms should be avoided and lead to negative marks if any.</t>
  </si>
  <si>
    <t>To prepare and brand an ideal project on MDIA @ 2030 using various techniques of branding. Each candidate is required to send an abstract of six pages constituting 2 pages of concept note, 3 pages of process note and final page of organized structure. The prepared project have to be presented with the help of ppt in malayalam.</t>
  </si>
  <si>
    <t>To do a wall painting on a given surface in the given theme. Clarity, creativity, cleanliness and idea are considered.</t>
  </si>
  <si>
    <t xml:space="preserve">The talent of the candidate in all areas including General Knowledge, Islamic knowledge, Grammer, reasoning, writing, presentation, mathematics, person / voice identification skills are checked. </t>
  </si>
  <si>
    <t>The British Parliamentary (BP) format will be followed.</t>
  </si>
  <si>
    <t>To present on given fiqhi mas’alah within 10 minutes; when a team presents other teams can ask questions within next 20 minutes. The presentation, replying and questions are considered.</t>
  </si>
  <si>
    <t>To educate a fiqhi portion through demonstration. Any non Islamic practices are not allowed.</t>
  </si>
  <si>
    <t>A group of five candidates represents a team. The competition is on knockout method.</t>
  </si>
  <si>
    <t>A team of 7 candidates presents a Qawwali in its formal style within the given time limit. Any costumes, gestures or presentation method that do not go with Islamic terms should be avoided and lead to negative marks if any. Synchronisation among singers and collaboration along with performance, vocal techniques (pitch, harmonies, tempo and beat) and diction are considered. Narration and daff is allowed. New composition and tones are highly recommended.</t>
  </si>
  <si>
    <t>A group of three [1 for performing daff] members perform, song and narration, sufi writings or new composed lyrics about sufis. Synchronisation among singers and collaboration along with performance, vocal techniques (pitch, harmonies, tempo and beat) and diction are considered. New composition and tone are highly recommended.</t>
  </si>
  <si>
    <t>6x 4 =24</t>
  </si>
  <si>
    <t>5x 4 =20</t>
  </si>
  <si>
    <t>1x 4 =4</t>
  </si>
  <si>
    <t>4x 4 =16</t>
  </si>
  <si>
    <t>0x 4 =0</t>
  </si>
  <si>
    <t>7x 4 =28</t>
  </si>
  <si>
    <t>Venue</t>
  </si>
  <si>
    <t>മാലിക് ദീനാർ ഇസ്ലാമിക് അക്കാദമി സിൽവർ ജൂബിലി സമ്മേളനം. 2026 April 10,11,12</t>
  </si>
  <si>
    <t xml:space="preserve">Malik Deenar mosque: a charming landmark of eternal legacy </t>
  </si>
  <si>
    <t>വൃദ്ധസദനം</t>
  </si>
  <si>
    <t xml:space="preserve"> یونیفارم سول کوڈ</t>
  </si>
  <si>
    <t>എന്റെ ഇന്ത്യ</t>
  </si>
  <si>
    <t>Given puzzle</t>
  </si>
  <si>
    <t>To capture a photo on a specific topic with permitted ANDROID device. Any kind of malpractice like editing, candidate changing and using external camera app would disqualify the candidates.</t>
  </si>
  <si>
    <t>To prepare a 20 page A4 sized written magazine in English language dealing with some spot given theme. All tools except the paper should be carried. No paper/photo cuttings are allowed. All features of a written magazine like Content, Arrangement, Pictures, Titles, Layout and Designing are considered.</t>
  </si>
  <si>
    <t>To attend a NGO model (Working for Muslim empowerment in North India) mock interview indoor by a panel of juries. Appearance, body language, intelligence, communication, presentation, decision making skills are considered. Candidate should submit Curriculum Vitae.</t>
  </si>
  <si>
    <t>FEATURE WRITING MLM</t>
  </si>
  <si>
    <t xml:space="preserve"> കാസർകോട് നിപ ഭീതിയിൽ, രണ്ടു മരണം</t>
  </si>
  <si>
    <t>കറുപ്പിനഴകെ</t>
  </si>
  <si>
    <t>زیر تعمیر عمارت کی چھت گرنے سے دو مزدور ہلاک</t>
  </si>
  <si>
    <t>The impact of artificial intelligence on society</t>
  </si>
  <si>
    <t>إحياء السنة النبوية ملاذ الأمة المحمدية</t>
  </si>
  <si>
    <t xml:space="preserve"> الأستاذ</t>
  </si>
  <si>
    <t>MHD</t>
  </si>
  <si>
    <t>ANS</t>
  </si>
  <si>
    <t>ആധുനിക ശാസ്ത്രത്തിന്റെ കുതിപ്പ്</t>
  </si>
  <si>
    <t>SIR</t>
  </si>
  <si>
    <t>പരാഷ്രയത്വം</t>
  </si>
  <si>
    <t>Given test</t>
  </si>
  <si>
    <t>Freedom</t>
  </si>
  <si>
    <t>نور على نور</t>
  </si>
  <si>
    <t>أحلام المسافر</t>
  </si>
  <si>
    <t>സ്വപ്നം</t>
  </si>
  <si>
    <t>نفرت کا ماحول ایوان تک پہنچ گیا</t>
  </si>
  <si>
    <t>NFL</t>
  </si>
  <si>
    <t>الضحية</t>
  </si>
  <si>
    <t xml:space="preserve">Memories </t>
  </si>
  <si>
    <t xml:space="preserve">അറിവാണ് പ്രധാനം... </t>
  </si>
  <si>
    <t>Malik DEENAR പള്ളിയും പരിസരവും</t>
  </si>
  <si>
    <t>Sun set</t>
  </si>
  <si>
    <t xml:space="preserve">میرا باپ </t>
  </si>
  <si>
    <t>privacy</t>
  </si>
  <si>
    <t>കലാങ്കം 2023 സമാപന സമ്മേളനം</t>
  </si>
  <si>
    <t>اعتراف</t>
  </si>
  <si>
    <t>Hamas -Israel War kills 1500</t>
  </si>
  <si>
    <t>ഇന്ത്യ മുന്നണി: ഫാസിസ്റ്റ് ഭരണത്തിന് അന്ത്യമാകുമോ?</t>
  </si>
  <si>
    <t xml:space="preserve">മഴ </t>
  </si>
  <si>
    <t>മാലിക് ദീനാർ ഇസ്‌ലാമിക് അക്കാദമി ഗോള്ഡന് ജൂബിലി</t>
  </si>
  <si>
    <t>يتيم</t>
  </si>
  <si>
    <t xml:space="preserve">മതിഭ്രമം </t>
  </si>
  <si>
    <t>Identity</t>
  </si>
  <si>
    <t>Only team:</t>
  </si>
  <si>
    <t>.</t>
  </si>
  <si>
    <t>കാട്ടിലെ ആന</t>
  </si>
  <si>
    <t>page no :85  والمسكين :من قدر  على مال أو كسب</t>
  </si>
  <si>
    <t>IBR</t>
  </si>
  <si>
    <t>RAES</t>
  </si>
  <si>
    <t>ABD</t>
  </si>
  <si>
    <t>മസ്ലക് നടത്തുന്ന ഫലസ്തീന് ഐക്യ ദാർഢ്യ റാലി</t>
  </si>
  <si>
    <t>SDQ</t>
  </si>
  <si>
    <t>The Influence of Social Media in the Modern Era</t>
  </si>
  <si>
    <t>URD</t>
  </si>
  <si>
    <t>A painting room</t>
  </si>
  <si>
    <t>قناعت</t>
  </si>
  <si>
    <t>الله نور السماوات والأرض</t>
  </si>
  <si>
    <t>The scarfed girl</t>
  </si>
  <si>
    <t>ഇസ്രയേല് അധിനിവേശം</t>
  </si>
  <si>
    <t>പ്രണയത്തിന് ദാരുണാന്ത്യം</t>
  </si>
  <si>
    <t xml:space="preserve">മധുരചൂരൽ </t>
  </si>
  <si>
    <t xml:space="preserve">حسبنا الله ونعم الوكيل </t>
  </si>
  <si>
    <t>CANDIDATE LIST OF ALL TEAMS</t>
  </si>
  <si>
    <t>JUDGE 1</t>
  </si>
  <si>
    <t>JUDGE 2</t>
  </si>
  <si>
    <t>JUDGE 3</t>
  </si>
  <si>
    <t>وقت</t>
  </si>
  <si>
    <t>MUNĀẒARAH FIRST ROUND</t>
  </si>
  <si>
    <t>MUNĀẒARAH FINAL</t>
  </si>
  <si>
    <t xml:space="preserve">MUNĀẒARAH LOOSERS </t>
  </si>
  <si>
    <t>പിണറായിയെ കണ്ടുമുട്ടിയപ്പോൾ</t>
  </si>
  <si>
    <t>1. عزل دروبادي مورمو
2. الحرب الإسرائيلية الفلسطينية: روسيا تعلن دعمها لفلسطين
3. الغارات الجوية الإسرائلية تقصف غزة مع ارتفاع عدد القتلى
4. أدى اشتباك سيارة ودراجة في بلدة تالانجارا إلى مقتل شخصين
5. الهند تفوز بكأس العالم للكريكيت</t>
  </si>
  <si>
    <t>JUDGE 4</t>
  </si>
  <si>
    <t>GN11-1</t>
  </si>
  <si>
    <t>SAMAD</t>
  </si>
  <si>
    <t>ARSHAD</t>
  </si>
  <si>
    <t>SAIFU</t>
  </si>
  <si>
    <t>SDQL</t>
  </si>
  <si>
    <t>VM</t>
  </si>
  <si>
    <t>SALAM</t>
  </si>
  <si>
    <t>THA</t>
  </si>
  <si>
    <t>BARI</t>
  </si>
  <si>
    <t>LUQ</t>
  </si>
  <si>
    <t>HASAN</t>
  </si>
  <si>
    <t>SMD</t>
  </si>
  <si>
    <t>SAB</t>
  </si>
  <si>
    <t>FAZAL</t>
  </si>
  <si>
    <t>BAD</t>
  </si>
  <si>
    <t>SUHAIL</t>
  </si>
  <si>
    <t>MUS</t>
  </si>
  <si>
    <t>SULLIYA</t>
  </si>
  <si>
    <t>BATHISHA</t>
  </si>
  <si>
    <t>BASITH</t>
  </si>
  <si>
    <t>YASEEN</t>
  </si>
  <si>
    <t>ASHFAQ</t>
  </si>
  <si>
    <t>GN11-F</t>
  </si>
  <si>
    <t xml:space="preserve">Qatar Style of Munazara should be followed. </t>
  </si>
  <si>
    <t>A team of 6 candidates presents a Ishqe Rasool - mixture of Madh songs in any language and narration within the given time limit.  Synchronisation among singers and collaboration along with performance, vocal techniques (pitch, harmonies, tempo and beat) and diction are considered. Narration and daff is allowed. New composition and tones are highly recommended.</t>
  </si>
  <si>
    <t>SKSSF 30 വാർഷിക സമ്മേളനം</t>
  </si>
  <si>
    <t>ZAINU</t>
  </si>
  <si>
    <t>സ്കൂൾ, പുഴ, മഴ, പൂന്തോട്ടം, മൈക്ക്, ടേബിൾ, ഭക്ഷണം, മുഖം, മൊബൈൽ ഫോൺ, കലാങ്കം, മലയാളം, പേന</t>
  </si>
  <si>
    <t>ALTERNATIVE TO DEVELOPMENT: THE ISLAMIC PARDIGM OF PROGRESS, Harmony of hierarchy: how islamic ethics engaged with postmodernism</t>
  </si>
  <si>
    <t>UNAIS WAFI</t>
  </si>
  <si>
    <t>വീണ്ടും പൗരത്വ നിയമം?, ഫലസ്തീനി ശാന്തി ഉണ്ടാകുമോ, ജാതി സെൻസസ് അനിവാര്യമോ, സ്ത്രീയും സമൂഹവും, വിദ്യാധനം സർവ്വധനാൽ പ്രധാനം, വേലി തന്നെ വിളവ് തിന്നുമ്പോൾ</t>
  </si>
  <si>
    <t>WHEN MET OLD FRIEND - MLM</t>
  </si>
  <si>
    <t>BADF- കാട്ടുപൂവ് കണ്ണട നെല്ലിക്ക
DAHF- അമ്മ സഖാവ് ബാല്യം
FANT- ജവാൻ പക അമ്മക്കൊരു താരാട്ട് 
JARF- സ്നേഹപൂർവ്വം അമ്മക്ക് സൗന്ദര്യലഹരി മരണം</t>
  </si>
  <si>
    <t>BADF- സുബഹ് ബാങ്കിൻ നേരത്ത്, കാരുണ്യകനിമരം റസൂലുള്ളാഹി, പണ്ടേ മദീനയെ പാടി
DAHF- എനിക്കെന്റെ താഹന്റെ ഭൂവദനം കാണണം, ഹൃദയവാതിലിൽ അമൃത് തേടി, അന്നു മക്ക കുടിലിനുള്ളിൽ
FANT- ഇതിഹാസ പൂവ്, നെഞ്ചിൽ താഹാന്റെ, വരികളിലൊഴുകിയ 
JARF-b സലാം സലാം നബീന, മദീനത്തെ മലർ മണ്ണിൽ,  സ്നേഹലോകം</t>
  </si>
  <si>
    <t>اج کی دنیا میں اسلامی سیاست کی اہمیت، محبت اور دشمنی صرف اللہ کے لیے ہونے چاہیے</t>
  </si>
  <si>
    <t>TOLERANCE IN ISLAM, IMPACT OF SOCIAL MEDIA ON PEOPLE</t>
  </si>
  <si>
    <t>قمة الخليج تدعم فلسطين: العالم إلى حرب خليجية أخرى،   الزلزال في أفغانستان: ارتفاع معدل الوفيات،    كأس العالم للكريكيت الهند تخسر نصف النهائي،    أكاديمية مالك دينار الإسلامية تحتفل بالذكرى السنوية الخامسة والعشرين لتأسيسها،     هطول أمطار غزيرة في ولاية كيرالا: خبراء المناخ يحذرون من فيضان آخر</t>
  </si>
  <si>
    <t>BDF- يا ودود نصرك، رحمن يا رحمن، الله الله نشكو دوما 
DAHF- سبيل الهدى، لا لا نحتاج المال، انا طالب انا طالب
FANT- سندي يا طه، بسم الله هو الرحمن، يا من في قلبك
JARF- على الفرح، من اصلاح شطانه، شافعا للأمة</t>
  </si>
  <si>
    <t xml:space="preserve">Islamic model Village </t>
  </si>
  <si>
    <t>interview with Rahul Gandhi / DY Chandrachood / Dr bahahuddeen vc of darul huda / Hamza yousuf</t>
  </si>
  <si>
    <t>BADF- ഹൃദയവാതിലിൽ, നടക്കുമ്പോൾ ഓർക്കില്ല, നാഥാ വേദനകൾ
DAHF- എല്ലാം പടയ്ത്തുള്ള, നിലയില്ലാത്തൊരു അനേകമിൽ  നിറഞ്ഞുനിൽക്കും
FANT- അധിപൻ അഹദേ , കണ്ണീരിൽ മുങ്ങി ഞാൻ, കാരുണ്യനാഥ
JARF- നാഥാ നീ വരച്ചുള്ള, ജലജലാലം,  മനസ്സിൻ അകം കേഴുന്നതാ</t>
  </si>
  <si>
    <t>[reg]</t>
  </si>
  <si>
    <t>ഡൈനിങ് ഹാൾ, ഹോട്ടൽ, സ്കൂൾ, ടൗൺ, സ്വിച്ച്, ഹോസ്പിറ്റൽ, കിതാബ്, ഷെൽഫ്, ബോംബ്, സ്പോർട്സ്, പേപ്പർ, മാപ്പ്</t>
  </si>
  <si>
    <t>ذاتی مردم شماری۔۔۔۔
اقتصادی بہران اور ہندوستانی غریب
اعلی تعلیم اور تشدد پسندی
بی جے پی سرکار میں مڈل کلاس کی‌کثرت</t>
  </si>
  <si>
    <t>دور النسوه في ترقيه الامه، هل يكون الذكاء الاصطناعي تحديا للموارد البشريه</t>
  </si>
  <si>
    <t>BADF- ബഹറിന്റെ അക്കരെ, മദീനത്ത് മദർ മണ്ണിൽ, അഹദിൻ്റെ നൂറായി
DAHF- അനുരാഗി മടങ്ങി, ഇതിഹാസ പൂവ്, അന്ന് മക്ക കുടിലിനുള്ളിൽ
FANT- സ്നേഹലോകം, പണ്ടേ മദീന, റോസാ റോസാ പ്പൂവ് 
JARF- താജ ഹുസൂർ, കാത്തിരുന്ന ദിനം, മലരാം കുലം നിർത്തി</t>
  </si>
  <si>
    <t>ഏക സിവിൽ കോഡ്, ജി എസ് ടി: ജനദ്രോഹ നികുതി നയം, ഇന്ത്യ എങ്ങോട്ട്, നിർമ്മിത ബുദ്ധി: പുരോഗതിയോ</t>
  </si>
  <si>
    <t>നിർമ്മിത ബുദ്ധി (Al) മനുഷ്യ വിഭവശേഷിക്ക് പാരയാകുമോ ?</t>
  </si>
  <si>
    <t>BADF- جمال الوجود، لا لا تحسب، رحمن يا رحمن
DAHF- يا سيدي يا رسول الله ، يا رسول الله وقدوتنا ، كن انت
FANT- يا حمانة،  يا من صليت ، سبيل الدموع
JARF- صلاه سلام على المصطفى، أشرقت نفسي، فزت حميدا</t>
  </si>
  <si>
    <t>الإيمان اعظم الدواء وطريق النجاة/
الصبر الصبر فإن الأيام دول/
المعروف تقي مصارع السوء/
أطفئ نار العداوة قبل أن تضطرم/
الإحسان إلى الغير /
ابعث عن السعادة في نفسك/ 
لا تعجب من الأشرار وكثرتهم/
لا تحزن إن الله معنا /
الأقلية في الهند/
دور الديانة في مواجهة التحديات/
تعزيز المساواة والعدالة الإجتماعية/ 
مفهوم العدالة الإجتماعية وضرورتها/
الحفاظ على اللغة والثقافة الأصلية للأقليات/
التعصب والكراهية العنصرية والدينية /
معالجة الجرائم التي ترتكب ضد الأقليات/
أهمية قانون الشخصي في الهند وتطورها/
دور الأقليات في الإغاثة الإنسانية/</t>
  </si>
  <si>
    <t>ഫലസ്തീൻ ജനതയ്ക്ക് ഐക്യദാർഢ്യം, മുസ്ലിം ലീഗ് സംഘടിപ്പിക്കുന്ന മനുഷ്യാവകാശ മഹാ റാലി</t>
  </si>
  <si>
    <t>BADF-lمن اصلاح شطانا, سبيل الهدى، الله الله نشكو دوما
DAHF-   يا قلبي عشق، رحمن يا رحمان
FANT- الله الله لا يوفقهم، شافعا للأمة، انا طالب انا طالب
JARF- قمر، انت هادينا</t>
  </si>
  <si>
    <t>മണ്ണുമാന്തിയന്ത്രം</t>
  </si>
  <si>
    <t>https://youtu.be/jAa58N4Jlos?si=rFjwOdO8MqQxD-t-</t>
  </si>
  <si>
    <t>BADF- باب علم واسما أتى وكنية	معرب مبني  وفعل أمر ومضي بني 	وارفع بواو وانصبن بالالف
DAHF- المعرب والمبني وارفع بواو وبيا اجرر وانصب	نكرة ومعرفة	 الكلام وما يتألّف منه بتا فعلت
FANT- KALAMUNA LAFLUN MUFEEDUN	BAB-KALAM, SIVAHUMAL HARFU KAHAL, ISM ISHARA
JARF- المعرب والمبني وارفع بواو وبيا اجرر وانصب	نكرة ومعرفة	 الكلام وما يتألّف منه بتا فع ,59, 58</t>
  </si>
  <si>
    <t>لقد كان لكم في رسول الله اسوه حسنة، ان الصلاه تنهى عن الفحشاء والمنكر</t>
  </si>
  <si>
    <t>👉 ലിറ്ററേച്ചർ ഫെസ്റ്റ് ഉദ്ഘാടനം ചെയ്ത് സംസാരിക്കുക.
👉 എപിജെ അനുസ്മരണം
👉  ചന്ദ്രയാൻ ദൗത്യത്തിന്റെ ഭാഗമായ കാസർകോടുകാരന് അനുമോദനം
👉 പത്മഭൂഷൺ ലഭിച്ച ശേഷം മറുപടി പ്രസംഗം നടത്തുക
👉 പുസ്തക പ്രകാശന ചടങ്ങ് പുസ്തകം പരിചയപ്പെടുത്തുക
( സയ്യിദ് ഫദ്ൽ - book plus)</t>
  </si>
  <si>
    <t>حب الاولياء للنبي صلى الله عليه وسلم، اهتمام في السياسه</t>
  </si>
  <si>
    <t>[any/spot reg.]</t>
  </si>
  <si>
    <t>കൃത്യനിഷ്ഠത വിദ്യാർത്ഥിയുടെ കൈമുതൽ, തിരുനബിയാണ് പരിഹാരം</t>
  </si>
  <si>
    <t>അനുഗ്രഹങ്ങളിൽ നന്ദിയുള്ളവരാവുക, ആശിഖീങ്ങളുടെ മുത്ത് റസൂൽ</t>
  </si>
  <si>
    <t>اولیاء کرام کی محبت رسول، سیاست میں عدل و انصاف کی اہمیت</t>
  </si>
  <si>
    <t>BADF- ബീവി ഫാത്തിമ – വിശപ്പ്, വിസ്മയിപ്പിച്ച മാതൃ പുത്രൻ, വിസ്മയം തീർത്ത വിരുന്ന് സൽക്കാരം
DAHF-  ഈമാന്റെ ശക്തി, ആത്മാർത്ഥതയുടെ വില, ഇതാ വീണ്ടും ഒരു ദീർബൽ കഥ
FANT- മൂന്ന് ദുആക്ക് ഉത്തരം, ലൈല, വാര്യം കുന്നത്ത് കുഞ്ഞഹമ്മദ് ഹാജി
JARF- ഡിസംബർ 6, ഇമാം റിയാസ് മറികടന്ന ദിനം, നഷ്ടപ്പെട്ടത് നഷ്ടപ്പെട്ടത് തന്നെ</t>
  </si>
  <si>
    <t>BADF- inshallah, I found away, I am so lonely broken Angel
DAHF- I have been waiting, Jannah, barakalla
FANT- you might have a mom, oh Mohammed, assalamu alaikum
JARF- I love you, worth it, your beauty</t>
  </si>
  <si>
    <t xml:space="preserve">BADF- രക്തസാക്ഷി, , ഉമ്മുക്കുലുസു കാട്ടുപൂവ്
DAHF- അമ്മ, സഖാവ് , ബാല്യം
FANT- അച്ഛൻ വരുന്നുണ്ട്, പക, അമ്മയ്ക്കൊരു താരാട്ട്
JARF- സൗന്ദര്യലഹരി, മരണം, സ്നേഹപൂർവ്വം അമ്മയ്ക്ക് </t>
  </si>
  <si>
    <t>BADF- Hara Gumbad, Kya shan theri, Allah ke karam
DAHF- Wo Mera nabi, Choote na kabhi, Thamanna
FANT- Sarbaze Hussain, Idlaale Dil, Idam apne musthafa 
JARF- Dare Nabi par, Chalo diayare, Madine vale se</t>
  </si>
  <si>
    <t>BADF- Hara Gumbad، Dare Nabi par, Nabi ka Lab par
DAHF- Hamno Ankhon se dekha, Mary Mushkil kusha, Wo Mera nabi he
FANT- Savbaze Hussain, Madine vale se mera salam, Thamanna
JARF- Ham apne musthafa, Me thera Faqeer, Thi kuja Man kuja</t>
  </si>
  <si>
    <t>BADF- മദ്ഹിശൽ
DAHF- പ്രണയ റാന്തൽ
FANT- ഫഹദത്തിലെ അലിഫ്
JARF- സ്വരമുകരിതം</t>
  </si>
  <si>
    <t>BADF- ജാഫർ ബിൻ അബീത്വാലി
DAHF- വഹ്ശിയുടെ ചാട്ടോളി
FANT- കുരിശിന്റെ പതനം ഖുദ്സിന്റെ ഗർജനം
JARF- സിന്ധിന്റെ പടനായകൻ</t>
  </si>
  <si>
    <t>BADF- Madhishal, Labbaika
DAHF- കാത്തിമുൽ അമ്പിയ
FANT- അഹദത്തിലെ അലി
JARF-അലിഫുന് antha</t>
  </si>
  <si>
    <t>BADF- inshallah, you might have a mom, you might have a mom
DAHF- it is way too late,  all blessing on best,  Raleetu Billahi Rabba
FANT- Rabbi love it , don't fight the feeling,   heat waves
JARF- barakallah, assalamu alaikum, come on come on</t>
  </si>
  <si>
    <t>BADF- ജാഫർ ബിനു അബീത്വാലിബ് 
DAHF- വഹ്ശിയുടെ ചാട്ടളി
FANT- കുരിശിന്റെ പതനം കുതുസിന്റെ ഗർജ്ജനം
JARF- സിൻഡിൻ്റെ പടനായകൻ</t>
  </si>
  <si>
    <t>BADF- Madine Wale se mera, Allah Tera shukar hai, main to ummati hun
DAHF- Tushahe khuba, bolo madina, karam ke Badal Baras
FANT- Hamne Ankhon, Dare Nabi par, Kaabe ki Rounnak
JARF- Hey sitam gar, Mere Mushkil kusha, Musthafa muathafa</t>
  </si>
  <si>
    <t>BADF- ഇബാദു റഹ്മാനി , സ്നേഹലോകം
DAHF- സ്വലാത്തുള്ള സലാമുള്ള, താജ് ഹബീബി
FANT- ആകലോക കാരണമത്തൊളി സെബീലു ദുമു 
JARF- യാ നബി സലാം, അമ്പിയ രാജ യാ നബിയള്ള…</t>
  </si>
  <si>
    <t>To recite suggested verses on the spot with Tajwīd. Portion:  كهف, سجدة , يس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</si>
</sst>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
    <numFmt numFmtId="165" formatCode="[$-F400]h:mm:ss\ AM/PM"/>
    <numFmt numFmtId="166" formatCode="dd\-mmm\-yyyy\ h:mm:ss\ AM/PM"/>
  </numFmts>
  <fonts count="29" x14ac:knownFonts="1">
    <font>
      <sz val="11"/>
      <color theme="1"/>
      <name val="Calibri"/>
      <family val="2"/>
      <scheme val="minor"/>
    </font>
    <font>
      <b/>
      <sz val="20"/>
      <color theme="1"/>
      <name val="Calibri"/>
      <family val="2"/>
      <scheme val="minor"/>
    </font>
    <font>
      <b/>
      <sz val="11"/>
      <color theme="1"/>
      <name val="Calibri"/>
      <family val="2"/>
      <scheme val="minor"/>
    </font>
    <font>
      <sz val="14"/>
      <color theme="1"/>
      <name val="Calibri"/>
      <family val="2"/>
      <scheme val="minor"/>
    </font>
    <font>
      <b/>
      <sz val="9"/>
      <color theme="1"/>
      <name val="Calibri"/>
      <family val="2"/>
      <scheme val="minor"/>
    </font>
    <font>
      <b/>
      <sz val="11"/>
      <color theme="0"/>
      <name val="Calibri"/>
      <family val="2"/>
      <scheme val="minor"/>
    </font>
    <font>
      <sz val="22"/>
      <color theme="0"/>
      <name val="Calibri"/>
      <family val="2"/>
      <scheme val="minor"/>
    </font>
    <font>
      <sz val="10"/>
      <color theme="0" tint="-0.499984740745262"/>
      <name val="Calibri"/>
      <family val="2"/>
      <scheme val="minor"/>
    </font>
    <font>
      <b/>
      <sz val="10"/>
      <color theme="0"/>
      <name val="Calibri"/>
      <family val="2"/>
      <scheme val="minor"/>
    </font>
    <font>
      <sz val="10"/>
      <color theme="1"/>
      <name val="Calibri"/>
      <family val="2"/>
      <scheme val="minor"/>
    </font>
    <font>
      <sz val="10"/>
      <color theme="0"/>
      <name val="Calibri"/>
      <family val="2"/>
      <scheme val="minor"/>
    </font>
    <font>
      <sz val="11"/>
      <color theme="0"/>
      <name val="Calibri"/>
      <family val="2"/>
      <scheme val="minor"/>
    </font>
    <font>
      <sz val="11"/>
      <color rgb="FF000000"/>
      <name val="Calibri"/>
      <family val="2"/>
      <scheme val="minor"/>
    </font>
    <font>
      <sz val="8"/>
      <name val="Calibri"/>
      <family val="2"/>
      <scheme val="minor"/>
    </font>
    <font>
      <b/>
      <sz val="16"/>
      <color theme="1"/>
      <name val="Calibri"/>
      <family val="2"/>
      <scheme val="minor"/>
    </font>
    <font>
      <sz val="8"/>
      <color theme="0"/>
      <name val="Calibri"/>
      <family val="2"/>
      <scheme val="minor"/>
    </font>
    <font>
      <b/>
      <sz val="16"/>
      <color rgb="FF000000"/>
      <name val="Calibri"/>
      <family val="2"/>
      <scheme val="minor"/>
    </font>
    <font>
      <b/>
      <sz val="12"/>
      <color rgb="FF000000"/>
      <name val="Calibri"/>
      <family val="2"/>
      <scheme val="minor"/>
    </font>
    <font>
      <b/>
      <sz val="10"/>
      <color rgb="FF000000"/>
      <name val="Calibri"/>
      <family val="2"/>
      <scheme val="minor"/>
    </font>
    <font>
      <b/>
      <sz val="11"/>
      <color rgb="FF000000"/>
      <name val="Calibri"/>
      <family val="2"/>
      <scheme val="minor"/>
    </font>
    <font>
      <sz val="9"/>
      <color rgb="FF000000"/>
      <name val="Calibri"/>
      <family val="2"/>
      <scheme val="minor"/>
    </font>
    <font>
      <sz val="10"/>
      <color rgb="FF000000"/>
      <name val="Calibri"/>
      <family val="2"/>
      <scheme val="minor"/>
    </font>
    <font>
      <b/>
      <sz val="9"/>
      <color rgb="FF000000"/>
      <name val="Calibri"/>
      <family val="2"/>
      <scheme val="minor"/>
    </font>
    <font>
      <sz val="12"/>
      <color rgb="FF000000"/>
      <name val="Calibri"/>
      <family val="2"/>
      <scheme val="minor"/>
    </font>
    <font>
      <b/>
      <sz val="8"/>
      <color rgb="FF000000"/>
      <name val="Calibri"/>
      <family val="2"/>
      <scheme val="minor"/>
    </font>
    <font>
      <b/>
      <sz val="14"/>
      <color theme="0"/>
      <name val="Calibri"/>
      <family val="2"/>
      <scheme val="minor"/>
    </font>
    <font>
      <b/>
      <sz val="14"/>
      <color theme="1"/>
      <name val="Calibri"/>
      <family val="2"/>
      <scheme val="minor"/>
    </font>
    <font>
      <sz val="11"/>
      <color rgb="FF000000"/>
      <name val="Calibri"/>
      <family val="2"/>
    </font>
    <font>
      <sz val="9"/>
      <color theme="0"/>
      <name val="Calibri"/>
      <family val="2"/>
      <scheme val="minor"/>
    </font>
  </fonts>
  <fills count="10">
    <fill>
      <patternFill patternType="none"/>
    </fill>
    <fill>
      <patternFill patternType="gray125"/>
    </fill>
    <fill>
      <patternFill patternType="solid">
        <fgColor theme="5" tint="-0.499984740745262"/>
        <bgColor indexed="64"/>
      </patternFill>
    </fill>
    <fill>
      <patternFill patternType="solid">
        <fgColor theme="1" tint="0.499984740745262"/>
        <bgColor indexed="64"/>
      </patternFill>
    </fill>
    <fill>
      <patternFill patternType="solid">
        <fgColor theme="1" tint="4.9989318521683403E-2"/>
        <bgColor indexed="64"/>
      </patternFill>
    </fill>
    <fill>
      <patternFill patternType="solid">
        <fgColor theme="1" tint="0.34998626667073579"/>
        <bgColor indexed="64"/>
      </patternFill>
    </fill>
    <fill>
      <patternFill patternType="solid">
        <fgColor theme="1"/>
        <bgColor indexed="64"/>
      </patternFill>
    </fill>
    <fill>
      <patternFill patternType="solid">
        <fgColor theme="1" tint="0.14999847407452621"/>
        <bgColor indexed="64"/>
      </patternFill>
    </fill>
    <fill>
      <patternFill patternType="solid">
        <fgColor theme="2" tint="-0.749992370372631"/>
        <bgColor indexed="64"/>
      </patternFill>
    </fill>
    <fill>
      <patternFill patternType="solid">
        <fgColor theme="0"/>
        <bgColor indexed="64"/>
      </patternFill>
    </fill>
  </fills>
  <borders count="43">
    <border>
      <left/>
      <right/>
      <top/>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dotted">
        <color indexed="64"/>
      </right>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auto="1"/>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right style="thin">
        <color indexed="64"/>
      </right>
      <top/>
      <bottom style="thin">
        <color indexed="64"/>
      </bottom>
      <diagonal/>
    </border>
    <border>
      <left/>
      <right/>
      <top style="thin">
        <color indexed="64"/>
      </top>
      <bottom/>
      <diagonal/>
    </border>
    <border>
      <left/>
      <right/>
      <top style="thin">
        <color indexed="64"/>
      </top>
      <bottom style="medium">
        <color indexed="64"/>
      </bottom>
      <diagonal/>
    </border>
    <border>
      <left style="thin">
        <color indexed="64"/>
      </left>
      <right/>
      <top/>
      <bottom/>
      <diagonal/>
    </border>
    <border>
      <left/>
      <right style="thin">
        <color auto="1"/>
      </right>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dotted">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theme="2" tint="-0.749992370372631"/>
      </left>
      <right style="medium">
        <color theme="2" tint="-0.749992370372631"/>
      </right>
      <top style="medium">
        <color theme="2" tint="-0.749992370372631"/>
      </top>
      <bottom style="medium">
        <color theme="2" tint="-0.749992370372631"/>
      </bottom>
      <diagonal/>
    </border>
  </borders>
  <cellStyleXfs count="1">
    <xf numFmtId="0" fontId="0" fillId="0" borderId="0"/>
  </cellStyleXfs>
  <cellXfs count="172">
    <xf numFmtId="0" fontId="0" fillId="0" borderId="0" xfId="0"/>
    <xf numFmtId="0" fontId="0" fillId="0" borderId="0" xfId="0" applyAlignment="1">
      <alignment vertical="center"/>
    </xf>
    <xf numFmtId="0" fontId="1" fillId="0" borderId="0" xfId="0" applyFont="1" applyAlignment="1">
      <alignment horizontal="center" vertical="center"/>
    </xf>
    <xf numFmtId="0" fontId="1" fillId="0" borderId="0" xfId="0" applyFont="1" applyAlignment="1">
      <alignment vertical="center"/>
    </xf>
    <xf numFmtId="0" fontId="1" fillId="2" borderId="0" xfId="0" applyFont="1" applyFill="1" applyAlignment="1">
      <alignment vertical="center"/>
    </xf>
    <xf numFmtId="0" fontId="0" fillId="2" borderId="0" xfId="0" applyFill="1"/>
    <xf numFmtId="0" fontId="0" fillId="0" borderId="2" xfId="0" applyBorder="1"/>
    <xf numFmtId="0" fontId="0" fillId="0" borderId="0" xfId="0" applyAlignment="1">
      <alignment horizontal="left"/>
    </xf>
    <xf numFmtId="0" fontId="0" fillId="0" borderId="0" xfId="0" applyAlignment="1">
      <alignment horizontal="left" vertical="center"/>
    </xf>
    <xf numFmtId="0" fontId="0" fillId="0" borderId="0" xfId="0" applyAlignment="1">
      <alignment horizontal="center"/>
    </xf>
    <xf numFmtId="0" fontId="0" fillId="0" borderId="0" xfId="0" applyAlignment="1">
      <alignment horizontal="center" textRotation="90" wrapText="1"/>
    </xf>
    <xf numFmtId="0" fontId="3" fillId="0" borderId="0" xfId="0" applyFont="1" applyAlignment="1">
      <alignment horizontal="center" vertical="center"/>
    </xf>
    <xf numFmtId="0" fontId="0" fillId="3" borderId="0" xfId="0" applyFill="1"/>
    <xf numFmtId="0" fontId="0" fillId="0" borderId="3" xfId="0" applyBorder="1"/>
    <xf numFmtId="0" fontId="6" fillId="4" borderId="0" xfId="0" applyFont="1" applyFill="1"/>
    <xf numFmtId="0" fontId="6" fillId="4" borderId="0" xfId="0" applyFont="1" applyFill="1" applyAlignment="1">
      <alignment horizontal="left"/>
    </xf>
    <xf numFmtId="164" fontId="0" fillId="0" borderId="0" xfId="0" applyNumberFormat="1"/>
    <xf numFmtId="164" fontId="0" fillId="0" borderId="0" xfId="0" applyNumberFormat="1" applyAlignment="1">
      <alignment horizontal="left"/>
    </xf>
    <xf numFmtId="0" fontId="4" fillId="0" borderId="2" xfId="0" applyFont="1" applyBorder="1" applyAlignment="1">
      <alignment horizontal="center" textRotation="90"/>
    </xf>
    <xf numFmtId="0" fontId="0" fillId="0" borderId="2" xfId="0" applyBorder="1" applyAlignment="1">
      <alignment horizontal="center" textRotation="90" wrapText="1"/>
    </xf>
    <xf numFmtId="0" fontId="0" fillId="0" borderId="2" xfId="0" applyBorder="1" applyAlignment="1">
      <alignment horizontal="center" textRotation="90"/>
    </xf>
    <xf numFmtId="0" fontId="2" fillId="0" borderId="2" xfId="0" applyFont="1" applyBorder="1"/>
    <xf numFmtId="0" fontId="3" fillId="0" borderId="2" xfId="0" applyFont="1" applyBorder="1" applyAlignment="1">
      <alignment horizontal="center" vertical="center" textRotation="90"/>
    </xf>
    <xf numFmtId="0" fontId="7" fillId="0" borderId="0" xfId="0" applyFont="1" applyAlignment="1">
      <alignment horizontal="right"/>
    </xf>
    <xf numFmtId="0" fontId="7" fillId="0" borderId="0" xfId="0" applyFont="1"/>
    <xf numFmtId="0" fontId="7" fillId="0" borderId="0" xfId="0" applyFont="1" applyAlignment="1">
      <alignment horizontal="center"/>
    </xf>
    <xf numFmtId="0" fontId="9" fillId="0" borderId="2" xfId="0" applyFont="1" applyBorder="1"/>
    <xf numFmtId="0" fontId="8" fillId="7" borderId="2" xfId="0" applyFont="1" applyFill="1" applyBorder="1" applyAlignment="1">
      <alignment horizontal="center" vertical="center"/>
    </xf>
    <xf numFmtId="0" fontId="8" fillId="7" borderId="2" xfId="0" applyFont="1" applyFill="1" applyBorder="1" applyAlignment="1">
      <alignment vertical="center"/>
    </xf>
    <xf numFmtId="0" fontId="9" fillId="3" borderId="2" xfId="0" applyFont="1" applyFill="1" applyBorder="1"/>
    <xf numFmtId="0" fontId="8" fillId="5" borderId="2" xfId="0" applyFont="1" applyFill="1" applyBorder="1" applyAlignment="1">
      <alignment horizontal="left"/>
    </xf>
    <xf numFmtId="0" fontId="9" fillId="0" borderId="2" xfId="0" applyFont="1" applyBorder="1" applyAlignment="1">
      <alignment horizontal="right"/>
    </xf>
    <xf numFmtId="0" fontId="9" fillId="0" borderId="2" xfId="0" applyFont="1" applyBorder="1" applyAlignment="1">
      <alignment horizontal="center"/>
    </xf>
    <xf numFmtId="0" fontId="9" fillId="5" borderId="2" xfId="0" applyFont="1" applyFill="1" applyBorder="1"/>
    <xf numFmtId="164" fontId="0" fillId="0" borderId="14" xfId="0" applyNumberFormat="1" applyBorder="1" applyAlignment="1">
      <alignment horizontal="center" textRotation="90" wrapText="1"/>
    </xf>
    <xf numFmtId="164" fontId="0" fillId="0" borderId="19" xfId="0" applyNumberFormat="1" applyBorder="1" applyAlignment="1">
      <alignment horizontal="center" textRotation="90" wrapText="1"/>
    </xf>
    <xf numFmtId="164" fontId="2" fillId="0" borderId="20" xfId="0" applyNumberFormat="1" applyFont="1" applyBorder="1"/>
    <xf numFmtId="164" fontId="0" fillId="0" borderId="22" xfId="0" applyNumberFormat="1" applyBorder="1" applyAlignment="1">
      <alignment horizontal="center" textRotation="90" wrapText="1"/>
    </xf>
    <xf numFmtId="164" fontId="2" fillId="0" borderId="21" xfId="0" applyNumberFormat="1" applyFont="1" applyBorder="1"/>
    <xf numFmtId="164" fontId="2" fillId="0" borderId="1" xfId="0" applyNumberFormat="1" applyFont="1" applyBorder="1" applyAlignment="1">
      <alignment textRotation="90"/>
    </xf>
    <xf numFmtId="14" fontId="0" fillId="0" borderId="0" xfId="0" applyNumberFormat="1"/>
    <xf numFmtId="165" fontId="0" fillId="0" borderId="0" xfId="0" applyNumberFormat="1"/>
    <xf numFmtId="0" fontId="0" fillId="0" borderId="30" xfId="0" applyBorder="1"/>
    <xf numFmtId="0" fontId="0" fillId="0" borderId="30" xfId="0" applyBorder="1" applyAlignment="1">
      <alignment horizontal="right"/>
    </xf>
    <xf numFmtId="0" fontId="5" fillId="6" borderId="30" xfId="0" applyFont="1" applyFill="1" applyBorder="1"/>
    <xf numFmtId="0" fontId="16" fillId="0" borderId="18" xfId="0" applyFont="1" applyBorder="1" applyAlignment="1">
      <alignment vertical="center"/>
    </xf>
    <xf numFmtId="0" fontId="16" fillId="0" borderId="0" xfId="0" applyFont="1" applyAlignment="1">
      <alignment vertical="center"/>
    </xf>
    <xf numFmtId="0" fontId="16" fillId="0" borderId="12" xfId="0" applyFont="1" applyBorder="1" applyAlignment="1">
      <alignment horizontal="center" vertical="center" wrapText="1"/>
    </xf>
    <xf numFmtId="0" fontId="0" fillId="0" borderId="0" xfId="0" applyAlignment="1">
      <alignment horizontal="left" vertical="top"/>
    </xf>
    <xf numFmtId="0" fontId="18" fillId="0" borderId="1" xfId="0" applyFont="1" applyBorder="1"/>
    <xf numFmtId="0" fontId="19" fillId="0" borderId="5" xfId="0" applyFont="1" applyBorder="1" applyAlignment="1">
      <alignment vertical="center"/>
    </xf>
    <xf numFmtId="0" fontId="21" fillId="0" borderId="27" xfId="0" applyFont="1" applyBorder="1" applyAlignment="1">
      <alignment horizontal="center" vertical="center"/>
    </xf>
    <xf numFmtId="0" fontId="22" fillId="0" borderId="13" xfId="0" applyFont="1" applyBorder="1" applyAlignment="1">
      <alignment vertical="center"/>
    </xf>
    <xf numFmtId="0" fontId="23" fillId="0" borderId="16" xfId="0" applyFont="1" applyBorder="1" applyAlignment="1">
      <alignment horizontal="left" vertical="center"/>
    </xf>
    <xf numFmtId="0" fontId="23" fillId="0" borderId="16" xfId="0" applyFont="1" applyBorder="1" applyAlignment="1">
      <alignment horizontal="right" vertical="center"/>
    </xf>
    <xf numFmtId="0" fontId="12" fillId="0" borderId="17" xfId="0" applyFont="1" applyBorder="1" applyAlignment="1">
      <alignment horizontal="right" vertical="center"/>
    </xf>
    <xf numFmtId="0" fontId="19" fillId="0" borderId="12" xfId="0" applyFont="1" applyBorder="1" applyAlignment="1">
      <alignment vertical="center"/>
    </xf>
    <xf numFmtId="0" fontId="0" fillId="0" borderId="29" xfId="0" applyBorder="1" applyAlignment="1">
      <alignment horizontal="left" vertical="top"/>
    </xf>
    <xf numFmtId="0" fontId="19" fillId="0" borderId="17" xfId="0" applyFont="1" applyBorder="1" applyAlignment="1">
      <alignment horizontal="right" vertical="center"/>
    </xf>
    <xf numFmtId="0" fontId="19" fillId="0" borderId="2" xfId="0" applyFont="1" applyBorder="1" applyAlignment="1">
      <alignment horizontal="center" vertical="center"/>
    </xf>
    <xf numFmtId="0" fontId="19" fillId="0" borderId="13" xfId="0" applyFont="1" applyBorder="1" applyAlignment="1">
      <alignment horizontal="center" vertical="center"/>
    </xf>
    <xf numFmtId="0" fontId="24" fillId="0" borderId="2" xfId="0" applyFont="1" applyBorder="1" applyAlignment="1">
      <alignment horizontal="center" vertical="center" wrapText="1"/>
    </xf>
    <xf numFmtId="0" fontId="19" fillId="0" borderId="2" xfId="0" applyFont="1" applyBorder="1" applyAlignment="1">
      <alignment horizontal="left" vertical="center"/>
    </xf>
    <xf numFmtId="0" fontId="19" fillId="0" borderId="2" xfId="0" applyFont="1" applyBorder="1" applyAlignment="1">
      <alignment vertical="center"/>
    </xf>
    <xf numFmtId="0" fontId="19" fillId="0" borderId="18" xfId="0" applyFont="1" applyBorder="1" applyAlignment="1">
      <alignment vertical="center"/>
    </xf>
    <xf numFmtId="0" fontId="22" fillId="0" borderId="8" xfId="0" applyFont="1" applyBorder="1" applyAlignment="1">
      <alignment horizontal="center" vertical="center"/>
    </xf>
    <xf numFmtId="0" fontId="22" fillId="0" borderId="12" xfId="0" applyFont="1" applyBorder="1" applyAlignment="1">
      <alignment horizontal="center" vertical="center"/>
    </xf>
    <xf numFmtId="0" fontId="24" fillId="0" borderId="13" xfId="0" applyFont="1" applyBorder="1" applyAlignment="1">
      <alignment horizontal="center" vertical="center" wrapText="1"/>
    </xf>
    <xf numFmtId="0" fontId="24" fillId="0" borderId="2" xfId="0" applyFont="1" applyBorder="1" applyAlignment="1">
      <alignment horizontal="center" vertical="center"/>
    </xf>
    <xf numFmtId="0" fontId="24" fillId="0" borderId="8" xfId="0" applyFont="1" applyBorder="1" applyAlignment="1">
      <alignment horizontal="center" vertical="center"/>
    </xf>
    <xf numFmtId="0" fontId="12" fillId="0" borderId="2" xfId="0" applyFont="1" applyBorder="1" applyAlignment="1">
      <alignment horizontal="center" vertical="center"/>
    </xf>
    <xf numFmtId="0" fontId="12" fillId="0" borderId="13" xfId="0" applyFont="1" applyBorder="1" applyAlignment="1">
      <alignment horizontal="center" vertical="center"/>
    </xf>
    <xf numFmtId="0" fontId="20" fillId="0" borderId="2" xfId="0" applyFont="1" applyBorder="1" applyAlignment="1">
      <alignment horizontal="left" vertical="center"/>
    </xf>
    <xf numFmtId="0" fontId="12" fillId="0" borderId="18" xfId="0" applyFont="1" applyBorder="1" applyAlignment="1">
      <alignment horizontal="center" vertical="center"/>
    </xf>
    <xf numFmtId="0" fontId="12" fillId="0" borderId="8" xfId="0" applyFont="1" applyBorder="1" applyAlignment="1">
      <alignment horizontal="left"/>
    </xf>
    <xf numFmtId="0" fontId="12" fillId="0" borderId="12" xfId="0" applyFont="1" applyBorder="1" applyAlignment="1">
      <alignment horizontal="left"/>
    </xf>
    <xf numFmtId="0" fontId="12" fillId="0" borderId="2" xfId="0" applyFont="1" applyBorder="1" applyAlignment="1">
      <alignment horizontal="left"/>
    </xf>
    <xf numFmtId="0" fontId="0" fillId="0" borderId="2" xfId="0" applyBorder="1" applyAlignment="1">
      <alignment horizontal="left" vertical="top"/>
    </xf>
    <xf numFmtId="0" fontId="0" fillId="0" borderId="8" xfId="0" applyBorder="1" applyAlignment="1">
      <alignment horizontal="left" vertical="top"/>
    </xf>
    <xf numFmtId="0" fontId="0" fillId="0" borderId="8" xfId="0" applyBorder="1" applyAlignment="1">
      <alignment horizontal="left" wrapText="1"/>
    </xf>
    <xf numFmtId="0" fontId="0" fillId="0" borderId="12" xfId="0" applyBorder="1" applyAlignment="1">
      <alignment wrapText="1"/>
    </xf>
    <xf numFmtId="0" fontId="12" fillId="0" borderId="22" xfId="0" applyFont="1" applyBorder="1" applyAlignment="1">
      <alignment horizontal="center" vertical="center"/>
    </xf>
    <xf numFmtId="0" fontId="0" fillId="0" borderId="12" xfId="0" applyBorder="1"/>
    <xf numFmtId="166" fontId="0" fillId="0" borderId="23" xfId="0" applyNumberFormat="1" applyBorder="1"/>
    <xf numFmtId="0" fontId="11" fillId="8" borderId="42" xfId="0" applyFont="1" applyFill="1" applyBorder="1"/>
    <xf numFmtId="0" fontId="2" fillId="0" borderId="42" xfId="0" applyFont="1" applyBorder="1"/>
    <xf numFmtId="0" fontId="0" fillId="0" borderId="42" xfId="0" applyBorder="1"/>
    <xf numFmtId="0" fontId="11" fillId="9" borderId="0" xfId="0" applyFont="1" applyFill="1"/>
    <xf numFmtId="0" fontId="11" fillId="4" borderId="2" xfId="0" applyFont="1" applyFill="1" applyBorder="1"/>
    <xf numFmtId="0" fontId="11" fillId="4" borderId="2" xfId="0" applyFont="1" applyFill="1" applyBorder="1" applyAlignment="1">
      <alignment horizontal="center"/>
    </xf>
    <xf numFmtId="0" fontId="25" fillId="4" borderId="2" xfId="0" applyFont="1" applyFill="1" applyBorder="1"/>
    <xf numFmtId="0" fontId="25" fillId="4" borderId="2" xfId="0" applyFont="1" applyFill="1" applyBorder="1" applyAlignment="1">
      <alignment horizontal="center"/>
    </xf>
    <xf numFmtId="0" fontId="26" fillId="0" borderId="0" xfId="0" applyFont="1"/>
    <xf numFmtId="164" fontId="2" fillId="9" borderId="0" xfId="0" applyNumberFormat="1" applyFont="1" applyFill="1"/>
    <xf numFmtId="164" fontId="26" fillId="9" borderId="0" xfId="0" applyNumberFormat="1" applyFont="1" applyFill="1" applyAlignment="1">
      <alignment horizontal="right" vertical="center"/>
    </xf>
    <xf numFmtId="164" fontId="12" fillId="0" borderId="2" xfId="0" applyNumberFormat="1" applyFont="1" applyBorder="1" applyAlignment="1">
      <alignment horizontal="center" vertical="center"/>
    </xf>
    <xf numFmtId="0" fontId="1" fillId="0" borderId="1" xfId="0" applyFont="1" applyBorder="1" applyAlignment="1">
      <alignment horizontal="center" vertical="center"/>
    </xf>
    <xf numFmtId="0" fontId="1" fillId="0" borderId="0" xfId="0" applyFont="1" applyAlignment="1">
      <alignment horizontal="center" vertical="center"/>
    </xf>
    <xf numFmtId="0" fontId="5" fillId="5" borderId="0" xfId="0" applyFont="1" applyFill="1" applyAlignment="1">
      <alignment horizontal="center" vertical="center"/>
    </xf>
    <xf numFmtId="0" fontId="6" fillId="4" borderId="0" xfId="0" applyFont="1" applyFill="1" applyAlignment="1">
      <alignment horizontal="center" vertical="center"/>
    </xf>
    <xf numFmtId="0" fontId="0" fillId="0" borderId="0" xfId="0" applyAlignment="1">
      <alignment horizontal="right" vertical="center"/>
    </xf>
    <xf numFmtId="0" fontId="8" fillId="6" borderId="2" xfId="0" applyFont="1" applyFill="1" applyBorder="1" applyAlignment="1">
      <alignment horizontal="center" vertical="center"/>
    </xf>
    <xf numFmtId="0" fontId="10" fillId="6" borderId="2" xfId="0" applyFont="1" applyFill="1" applyBorder="1" applyAlignment="1">
      <alignment horizontal="center"/>
    </xf>
    <xf numFmtId="0" fontId="8" fillId="7" borderId="2" xfId="0" applyFont="1" applyFill="1" applyBorder="1" applyAlignment="1">
      <alignment horizontal="center" vertical="center"/>
    </xf>
    <xf numFmtId="0" fontId="8" fillId="7" borderId="2" xfId="0" applyFont="1" applyFill="1" applyBorder="1" applyAlignment="1">
      <alignment horizontal="left" vertical="center"/>
    </xf>
    <xf numFmtId="0" fontId="8" fillId="7" borderId="18" xfId="0" applyFont="1" applyFill="1" applyBorder="1" applyAlignment="1">
      <alignment vertical="center"/>
    </xf>
    <xf numFmtId="0" fontId="8" fillId="7" borderId="16" xfId="0" applyFont="1" applyFill="1" applyBorder="1" applyAlignment="1">
      <alignment vertical="center"/>
    </xf>
    <xf numFmtId="0" fontId="8" fillId="7" borderId="13" xfId="0" applyFont="1" applyFill="1" applyBorder="1" applyAlignment="1">
      <alignment vertical="center"/>
    </xf>
    <xf numFmtId="166" fontId="0" fillId="0" borderId="23" xfId="0" applyNumberFormat="1" applyBorder="1" applyAlignment="1">
      <alignment horizontal="left"/>
    </xf>
    <xf numFmtId="0" fontId="12" fillId="0" borderId="15" xfId="0" applyFont="1" applyBorder="1" applyAlignment="1">
      <alignment horizontal="center" vertical="center"/>
    </xf>
    <xf numFmtId="0" fontId="12" fillId="0" borderId="16" xfId="0" applyFont="1" applyBorder="1" applyAlignment="1">
      <alignment horizontal="center" vertical="center"/>
    </xf>
    <xf numFmtId="0" fontId="12" fillId="0" borderId="17" xfId="0" applyFont="1" applyBorder="1" applyAlignment="1">
      <alignment horizontal="center" vertical="center"/>
    </xf>
    <xf numFmtId="0" fontId="16" fillId="0" borderId="5" xfId="0" applyFont="1" applyBorder="1" applyAlignment="1">
      <alignment horizontal="center" vertical="center" wrapText="1"/>
    </xf>
    <xf numFmtId="0" fontId="16" fillId="0" borderId="26" xfId="0" applyFont="1" applyBorder="1" applyAlignment="1">
      <alignment horizontal="center" vertical="center" wrapText="1"/>
    </xf>
    <xf numFmtId="0" fontId="16" fillId="0" borderId="6"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18"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4" xfId="0" applyFont="1" applyBorder="1" applyAlignment="1">
      <alignment horizontal="center" vertical="center"/>
    </xf>
    <xf numFmtId="0" fontId="16" fillId="0" borderId="5" xfId="0" applyFont="1" applyBorder="1" applyAlignment="1">
      <alignment horizontal="center" vertical="center"/>
    </xf>
    <xf numFmtId="0" fontId="16" fillId="0" borderId="7" xfId="0" applyFont="1" applyBorder="1" applyAlignment="1">
      <alignment horizontal="center" vertical="center"/>
    </xf>
    <xf numFmtId="0" fontId="16" fillId="0" borderId="2" xfId="0" applyFont="1" applyBorder="1" applyAlignment="1">
      <alignment horizontal="center" vertical="center"/>
    </xf>
    <xf numFmtId="0" fontId="16" fillId="0" borderId="9" xfId="0" applyFont="1" applyBorder="1" applyAlignment="1">
      <alignment horizontal="center" vertical="center"/>
    </xf>
    <xf numFmtId="0" fontId="16" fillId="0" borderId="10" xfId="0" applyFont="1" applyBorder="1" applyAlignment="1">
      <alignment horizontal="center" vertical="center"/>
    </xf>
    <xf numFmtId="0" fontId="17" fillId="0" borderId="5" xfId="0" applyFont="1" applyBorder="1" applyAlignment="1">
      <alignment horizontal="center" vertical="center" wrapText="1"/>
    </xf>
    <xf numFmtId="0" fontId="17" fillId="0" borderId="6" xfId="0" applyFont="1" applyBorder="1" applyAlignment="1">
      <alignment horizontal="center" vertical="center" wrapText="1"/>
    </xf>
    <xf numFmtId="0" fontId="17" fillId="0" borderId="2" xfId="0" applyFont="1" applyBorder="1" applyAlignment="1">
      <alignment horizontal="center" vertical="center" wrapText="1"/>
    </xf>
    <xf numFmtId="0" fontId="17" fillId="0" borderId="8" xfId="0" applyFont="1" applyBorder="1" applyAlignment="1">
      <alignment horizontal="center" vertical="center" wrapText="1"/>
    </xf>
    <xf numFmtId="0" fontId="5" fillId="6" borderId="10" xfId="0" applyFont="1" applyFill="1" applyBorder="1" applyAlignment="1">
      <alignment horizontal="center" vertical="center"/>
    </xf>
    <xf numFmtId="0" fontId="5" fillId="6" borderId="19" xfId="0" applyFont="1" applyFill="1" applyBorder="1" applyAlignment="1">
      <alignment horizontal="center" vertical="center"/>
    </xf>
    <xf numFmtId="0" fontId="5" fillId="6" borderId="11" xfId="0" applyFont="1" applyFill="1" applyBorder="1" applyAlignment="1">
      <alignment horizontal="center" vertical="center"/>
    </xf>
    <xf numFmtId="0" fontId="18" fillId="0" borderId="4" xfId="0" applyFont="1" applyBorder="1" applyAlignment="1">
      <alignment horizontal="right"/>
    </xf>
    <xf numFmtId="0" fontId="18" fillId="0" borderId="5" xfId="0" applyFont="1" applyBorder="1" applyAlignment="1">
      <alignment horizontal="right"/>
    </xf>
    <xf numFmtId="0" fontId="19" fillId="0" borderId="5" xfId="0" applyFont="1" applyBorder="1" applyAlignment="1">
      <alignment horizontal="left" vertical="center"/>
    </xf>
    <xf numFmtId="0" fontId="19" fillId="0" borderId="6" xfId="0" applyFont="1" applyBorder="1" applyAlignment="1">
      <alignment horizontal="left" vertical="center"/>
    </xf>
    <xf numFmtId="0" fontId="17" fillId="0" borderId="2" xfId="0" applyFont="1" applyBorder="1" applyAlignment="1">
      <alignment horizontal="left" vertical="center"/>
    </xf>
    <xf numFmtId="0" fontId="17" fillId="0" borderId="18" xfId="0" applyFont="1" applyBorder="1" applyAlignment="1">
      <alignment horizontal="left" vertical="center"/>
    </xf>
    <xf numFmtId="0" fontId="24" fillId="0" borderId="13" xfId="0" applyFont="1" applyBorder="1" applyAlignment="1">
      <alignment horizontal="right" vertical="center"/>
    </xf>
    <xf numFmtId="0" fontId="24" fillId="0" borderId="2" xfId="0" applyFont="1" applyBorder="1" applyAlignment="1">
      <alignment horizontal="right" vertical="center"/>
    </xf>
    <xf numFmtId="0" fontId="20" fillId="0" borderId="26" xfId="0" applyFont="1" applyBorder="1" applyAlignment="1">
      <alignment horizontal="center" vertical="center"/>
    </xf>
    <xf numFmtId="0" fontId="20" fillId="0" borderId="28" xfId="0" applyFont="1" applyBorder="1" applyAlignment="1">
      <alignment horizontal="center" vertical="center"/>
    </xf>
    <xf numFmtId="0" fontId="0" fillId="0" borderId="31" xfId="0" applyBorder="1" applyAlignment="1">
      <alignment horizontal="center" vertical="center"/>
    </xf>
    <xf numFmtId="0" fontId="0" fillId="0" borderId="0" xfId="0" applyAlignment="1">
      <alignment horizontal="center" vertical="center"/>
    </xf>
    <xf numFmtId="0" fontId="16" fillId="0" borderId="19" xfId="0" applyFont="1" applyBorder="1" applyAlignment="1">
      <alignment horizontal="center" vertical="center"/>
    </xf>
    <xf numFmtId="0" fontId="16" fillId="0" borderId="22" xfId="0" applyFont="1" applyBorder="1" applyAlignment="1">
      <alignment horizontal="center" vertical="center"/>
    </xf>
    <xf numFmtId="0" fontId="16" fillId="0" borderId="14" xfId="0" applyFont="1" applyBorder="1" applyAlignment="1">
      <alignment horizontal="center" vertical="center"/>
    </xf>
    <xf numFmtId="0" fontId="16" fillId="0" borderId="24" xfId="0" applyFont="1" applyBorder="1" applyAlignment="1">
      <alignment horizontal="center" vertical="center"/>
    </xf>
    <xf numFmtId="0" fontId="16" fillId="0" borderId="0" xfId="0" applyFont="1" applyAlignment="1">
      <alignment horizontal="center" vertical="center"/>
    </xf>
    <xf numFmtId="0" fontId="16" fillId="0" borderId="25" xfId="0" applyFont="1" applyBorder="1" applyAlignment="1">
      <alignment horizontal="center" vertical="center"/>
    </xf>
    <xf numFmtId="0" fontId="16" fillId="0" borderId="20" xfId="0" applyFont="1" applyBorder="1" applyAlignment="1">
      <alignment horizontal="center" vertical="center"/>
    </xf>
    <xf numFmtId="0" fontId="16" fillId="0" borderId="1" xfId="0" applyFont="1" applyBorder="1" applyAlignment="1">
      <alignment horizontal="center" vertical="center"/>
    </xf>
    <xf numFmtId="0" fontId="16" fillId="0" borderId="21" xfId="0" applyFont="1" applyBorder="1" applyAlignment="1">
      <alignment horizontal="center" vertical="center"/>
    </xf>
    <xf numFmtId="0" fontId="22" fillId="0" borderId="18" xfId="0" applyFont="1" applyBorder="1" applyAlignment="1">
      <alignment horizontal="right" vertical="center"/>
    </xf>
    <xf numFmtId="0" fontId="22" fillId="0" borderId="16" xfId="0" applyFont="1" applyBorder="1" applyAlignment="1">
      <alignment horizontal="right" vertical="center"/>
    </xf>
    <xf numFmtId="0" fontId="22" fillId="0" borderId="13" xfId="0" applyFont="1" applyBorder="1" applyAlignment="1">
      <alignment horizontal="right" vertical="center"/>
    </xf>
    <xf numFmtId="0" fontId="18" fillId="0" borderId="18" xfId="0" applyFont="1" applyBorder="1" applyAlignment="1">
      <alignment horizontal="right"/>
    </xf>
    <xf numFmtId="0" fontId="18" fillId="0" borderId="16" xfId="0" applyFont="1" applyBorder="1" applyAlignment="1">
      <alignment horizontal="right"/>
    </xf>
    <xf numFmtId="0" fontId="18" fillId="0" borderId="13" xfId="0" applyFont="1" applyBorder="1" applyAlignment="1">
      <alignment horizontal="right"/>
    </xf>
    <xf numFmtId="0" fontId="28" fillId="0" borderId="28" xfId="0" applyFont="1" applyBorder="1" applyAlignment="1">
      <alignment horizontal="center" vertical="center"/>
    </xf>
    <xf numFmtId="0" fontId="0" fillId="0" borderId="30" xfId="0" applyBorder="1" applyAlignment="1">
      <alignment horizontal="center"/>
    </xf>
    <xf numFmtId="0" fontId="14" fillId="0" borderId="38" xfId="0" applyFont="1" applyBorder="1" applyAlignment="1">
      <alignment horizontal="center" vertical="center"/>
    </xf>
    <xf numFmtId="0" fontId="14" fillId="0" borderId="31" xfId="0" applyFont="1" applyBorder="1" applyAlignment="1">
      <alignment horizontal="center" vertical="center"/>
    </xf>
    <xf numFmtId="0" fontId="14" fillId="0" borderId="39" xfId="0" applyFont="1" applyBorder="1" applyAlignment="1">
      <alignment horizontal="center" vertical="center"/>
    </xf>
    <xf numFmtId="0" fontId="0" fillId="0" borderId="33" xfId="0" applyBorder="1"/>
    <xf numFmtId="0" fontId="0" fillId="0" borderId="34" xfId="0" applyBorder="1"/>
    <xf numFmtId="0" fontId="9" fillId="0" borderId="40" xfId="0" applyFont="1" applyBorder="1" applyAlignment="1">
      <alignment horizontal="center" vertical="top"/>
    </xf>
    <xf numFmtId="0" fontId="9" fillId="0" borderId="32" xfId="0" applyFont="1" applyBorder="1" applyAlignment="1">
      <alignment horizontal="center" vertical="top"/>
    </xf>
    <xf numFmtId="0" fontId="9" fillId="0" borderId="41" xfId="0" applyFont="1" applyBorder="1" applyAlignment="1">
      <alignment horizontal="center" vertical="top"/>
    </xf>
    <xf numFmtId="0" fontId="15" fillId="8" borderId="35" xfId="0" applyFont="1" applyFill="1" applyBorder="1" applyAlignment="1">
      <alignment horizontal="center" vertical="center" textRotation="90"/>
    </xf>
    <xf numFmtId="0" fontId="15" fillId="8" borderId="36" xfId="0" applyFont="1" applyFill="1" applyBorder="1" applyAlignment="1">
      <alignment horizontal="center" vertical="center" textRotation="90"/>
    </xf>
    <xf numFmtId="0" fontId="15" fillId="8" borderId="37" xfId="0" applyFont="1" applyFill="1" applyBorder="1" applyAlignment="1">
      <alignment horizontal="center" vertical="center" textRotation="90"/>
    </xf>
    <xf numFmtId="0" fontId="11" fillId="9" borderId="0" xfId="0" applyFont="1" applyFill="1" applyAlignment="1">
      <alignment horizontal="center"/>
    </xf>
  </cellXfs>
  <cellStyles count="1">
    <cellStyle name="Normal" xfId="0" builtinId="0"/>
  </cellStyles>
  <dxfs count="20">
    <dxf>
      <numFmt numFmtId="0" formatCode="General"/>
    </dxf>
    <dxf>
      <numFmt numFmtId="0" formatCode="General"/>
    </dxf>
    <dxf>
      <numFmt numFmtId="165" formatCode="[$-F400]h:mm:ss\ AM/PM"/>
    </dxf>
    <dxf>
      <numFmt numFmtId="165" formatCode="[$-F400]h:mm:ss\ AM/P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FF0000"/>
        </patternFill>
      </fill>
    </dxf>
    <dxf>
      <font>
        <color rgb="FF9C0006"/>
      </font>
      <fill>
        <patternFill>
          <bgColor rgb="FFFFC7CE"/>
        </patternFill>
      </fill>
    </dxf>
    <dxf>
      <numFmt numFmtId="164" formatCode="&quot;&quot;"/>
    </dxf>
    <dxf>
      <numFmt numFmtId="164" formatCode="&quot;&quot;"/>
    </dxf>
    <dxf>
      <border>
        <left style="thin">
          <color auto="1"/>
        </left>
        <right style="thin">
          <color auto="1"/>
        </right>
        <top style="thin">
          <color auto="1"/>
        </top>
        <bottom style="thin">
          <color auto="1"/>
        </bottom>
        <vertical/>
        <horizontal/>
      </border>
    </dxf>
  </dxfs>
  <tableStyles count="1" defaultTableStyle="TableStyleMedium2" defaultPivotStyle="PivotStyleLight16">
    <tableStyle name="Invisible" pivot="0" table="0" count="0" xr9:uid="{C909CD08-64F4-4EC4-802D-2AD9CF0044A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1.xml"/><Relationship Id="rId10" Type="http://schemas.microsoft.com/office/2007/relationships/slicerCache" Target="slicerCaches/slicerCache1.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theme" Target="theme/theme1.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accent0_1">
  <dgm:title val=""/>
  <dgm:desc val=""/>
  <dgm:catLst>
    <dgm:cat type="mainScheme" pri="10100"/>
  </dgm:catLst>
  <dgm:styleLbl name="node0">
    <dgm:fillClrLst meth="repeat">
      <a:schemeClr val="lt1"/>
    </dgm:fillClrLst>
    <dgm:linClrLst meth="repeat">
      <a:schemeClr val="dk1">
        <a:shade val="80000"/>
      </a:schemeClr>
    </dgm:linClrLst>
    <dgm:effectClrLst/>
    <dgm:txLinClrLst/>
    <dgm:txFillClrLst meth="repeat">
      <a:schemeClr val="dk1"/>
    </dgm:txFillClrLst>
    <dgm:txEffectClrLst/>
  </dgm:styleLbl>
  <dgm:styleLbl name="node1">
    <dgm:fillClrLst meth="repeat">
      <a:schemeClr val="lt1"/>
    </dgm:fillClrLst>
    <dgm:linClrLst meth="repeat">
      <a:schemeClr val="dk1">
        <a:shade val="80000"/>
      </a:schemeClr>
    </dgm:linClrLst>
    <dgm:effectClrLst/>
    <dgm:txLinClrLst/>
    <dgm:txFillClrLst meth="repeat">
      <a:schemeClr val="dk1"/>
    </dgm:txFillClrLst>
    <dgm:txEffectClrLst/>
  </dgm:styleLbl>
  <dgm:styleLbl name="alignNode1">
    <dgm:fillClrLst meth="repeat">
      <a:schemeClr val="lt1"/>
    </dgm:fillClrLst>
    <dgm:linClrLst meth="repeat">
      <a:schemeClr val="dk1">
        <a:shade val="80000"/>
      </a:schemeClr>
    </dgm:linClrLst>
    <dgm:effectClrLst/>
    <dgm:txLinClrLst/>
    <dgm:txFillClrLst meth="repeat">
      <a:schemeClr val="dk1"/>
    </dgm:txFillClrLst>
    <dgm:txEffectClrLst/>
  </dgm:styleLbl>
  <dgm:styleLbl name="lnNode1">
    <dgm:fillClrLst meth="repeat">
      <a:schemeClr val="lt1"/>
    </dgm:fillClrLst>
    <dgm:linClrLst meth="repeat">
      <a:schemeClr val="dk1">
        <a:shade val="80000"/>
      </a:schemeClr>
    </dgm:linClrLst>
    <dgm:effectClrLst/>
    <dgm:txLinClrLst/>
    <dgm:txFillClrLst meth="repeat">
      <a:schemeClr val="dk1"/>
    </dgm:txFillClrLst>
    <dgm:txEffectClrLst/>
  </dgm:styleLbl>
  <dgm:styleLbl name="vennNode1">
    <dgm:fillClrLst meth="repeat">
      <a:schemeClr val="lt1">
        <a:alpha val="50000"/>
      </a:schemeClr>
    </dgm:fillClrLst>
    <dgm:linClrLst meth="repeat">
      <a:schemeClr val="dk1">
        <a:shade val="80000"/>
      </a:schemeClr>
    </dgm:linClrLst>
    <dgm:effectClrLst/>
    <dgm:txLinClrLst/>
    <dgm:txFillClrLst/>
    <dgm:txEffectClrLst/>
  </dgm:styleLbl>
  <dgm:styleLbl name="node2">
    <dgm:fillClrLst meth="repeat">
      <a:schemeClr val="lt1"/>
    </dgm:fillClrLst>
    <dgm:linClrLst meth="repeat">
      <a:schemeClr val="dk1">
        <a:shade val="80000"/>
      </a:schemeClr>
    </dgm:linClrLst>
    <dgm:effectClrLst/>
    <dgm:txLinClrLst/>
    <dgm:txFillClrLst meth="repeat">
      <a:schemeClr val="dk1"/>
    </dgm:txFillClrLst>
    <dgm:txEffectClrLst/>
  </dgm:styleLbl>
  <dgm:styleLbl name="node3">
    <dgm:fillClrLst meth="repeat">
      <a:schemeClr val="lt1"/>
    </dgm:fillClrLst>
    <dgm:linClrLst meth="repeat">
      <a:schemeClr val="dk1">
        <a:shade val="80000"/>
      </a:schemeClr>
    </dgm:linClrLst>
    <dgm:effectClrLst/>
    <dgm:txLinClrLst/>
    <dgm:txFillClrLst meth="repeat">
      <a:schemeClr val="dk1"/>
    </dgm:txFillClrLst>
    <dgm:txEffectClrLst/>
  </dgm:styleLbl>
  <dgm:styleLbl name="node4">
    <dgm:fillClrLst meth="repeat">
      <a:schemeClr val="lt1"/>
    </dgm:fillClrLst>
    <dgm:linClrLst meth="repeat">
      <a:schemeClr val="dk1">
        <a:shade val="80000"/>
      </a:schemeClr>
    </dgm:linClrLst>
    <dgm:effectClrLst/>
    <dgm:txLinClrLst/>
    <dgm:txFillClrLst meth="repeat">
      <a:schemeClr val="dk1"/>
    </dgm:txFillClrLst>
    <dgm:txEffectClrLst/>
  </dgm:styleLbl>
  <dgm:styleLbl name="fgImgPlace1">
    <dgm:fillClrLst meth="repeat">
      <a:schemeClr val="dk1">
        <a:tint val="40000"/>
      </a:schemeClr>
    </dgm:fillClrLst>
    <dgm:linClrLst meth="repeat">
      <a:schemeClr val="dk1">
        <a:shade val="80000"/>
      </a:schemeClr>
    </dgm:linClrLst>
    <dgm:effectClrLst/>
    <dgm:txLinClrLst/>
    <dgm:txFillClrLst meth="repeat">
      <a:schemeClr val="lt1"/>
    </dgm:txFillClrLst>
    <dgm:txEffectClrLst/>
  </dgm:styleLbl>
  <dgm:styleLbl name="alignImgPlace1">
    <dgm:fillClrLst meth="repeat">
      <a:schemeClr val="dk1">
        <a:tint val="40000"/>
      </a:schemeClr>
    </dgm:fillClrLst>
    <dgm:linClrLst meth="repeat">
      <a:schemeClr val="dk1">
        <a:shade val="80000"/>
      </a:schemeClr>
    </dgm:linClrLst>
    <dgm:effectClrLst/>
    <dgm:txLinClrLst/>
    <dgm:txFillClrLst meth="repeat">
      <a:schemeClr val="lt1"/>
    </dgm:txFillClrLst>
    <dgm:txEffectClrLst/>
  </dgm:styleLbl>
  <dgm:styleLbl name="bgImgPlace1">
    <dgm:fillClrLst meth="repeat">
      <a:schemeClr val="dk1">
        <a:tint val="40000"/>
      </a:schemeClr>
    </dgm:fillClrLst>
    <dgm:linClrLst meth="repeat">
      <a:schemeClr val="dk1">
        <a:shade val="80000"/>
      </a:schemeClr>
    </dgm:linClrLst>
    <dgm:effectClrLst/>
    <dgm:txLinClrLst/>
    <dgm:txFillClrLst meth="repeat">
      <a:schemeClr val="lt1"/>
    </dgm:txFillClrLst>
    <dgm:txEffectClrLst/>
  </dgm:styleLbl>
  <dgm:styleLbl name="sibTrans2D1">
    <dgm:fillClrLst meth="repeat">
      <a:schemeClr val="dk1">
        <a:tint val="60000"/>
      </a:schemeClr>
    </dgm:fillClrLst>
    <dgm:linClrLst meth="repeat">
      <a:schemeClr val="dk1">
        <a:tint val="60000"/>
      </a:schemeClr>
    </dgm:linClrLst>
    <dgm:effectClrLst/>
    <dgm:txLinClrLst/>
    <dgm:txFillClrLst meth="repeat">
      <a:schemeClr val="dk1"/>
    </dgm:txFillClrLst>
    <dgm:txEffectClrLst/>
  </dgm:styleLbl>
  <dgm:styleLbl name="fgSibTrans2D1">
    <dgm:fillClrLst meth="repeat">
      <a:schemeClr val="dk1">
        <a:tint val="60000"/>
      </a:schemeClr>
    </dgm:fillClrLst>
    <dgm:linClrLst meth="repeat">
      <a:schemeClr val="dk1">
        <a:tint val="60000"/>
      </a:schemeClr>
    </dgm:linClrLst>
    <dgm:effectClrLst/>
    <dgm:txLinClrLst/>
    <dgm:txFillClrLst meth="repeat">
      <a:schemeClr val="dk1"/>
    </dgm:txFillClrLst>
    <dgm:txEffectClrLst/>
  </dgm:styleLbl>
  <dgm:styleLbl name="bgSibTrans2D1">
    <dgm:fillClrLst meth="repeat">
      <a:schemeClr val="dk1">
        <a:tint val="60000"/>
      </a:schemeClr>
    </dgm:fillClrLst>
    <dgm:linClrLst meth="repeat">
      <a:schemeClr val="dk1">
        <a:tint val="60000"/>
      </a:schemeClr>
    </dgm:linClrLst>
    <dgm:effectClrLst/>
    <dgm:txLinClrLst/>
    <dgm:txFillClrLst meth="repeat">
      <a:schemeClr val="dk1"/>
    </dgm:txFillClrLst>
    <dgm:txEffectClrLst/>
  </dgm:styleLbl>
  <dgm:styleLbl name="sibTrans1D1">
    <dgm:fillClrLst meth="repeat">
      <a:schemeClr val="dk1"/>
    </dgm:fillClrLst>
    <dgm:linClrLst meth="repeat">
      <a:schemeClr val="dk1"/>
    </dgm:linClrLst>
    <dgm:effectClrLst/>
    <dgm:txLinClrLst/>
    <dgm:txFillClrLst meth="repeat">
      <a:schemeClr val="tx1"/>
    </dgm:txFillClrLst>
    <dgm:txEffectClrLst/>
  </dgm:styleLbl>
  <dgm:styleLbl name="callout">
    <dgm:fillClrLst meth="repeat">
      <a:schemeClr val="dk1"/>
    </dgm:fillClrLst>
    <dgm:linClrLst meth="repeat">
      <a:schemeClr val="dk1"/>
    </dgm:linClrLst>
    <dgm:effectClrLst/>
    <dgm:txLinClrLst/>
    <dgm:txFillClrLst meth="repeat">
      <a:schemeClr val="tx1"/>
    </dgm:txFillClrLst>
    <dgm:txEffectClrLst/>
  </dgm:styleLbl>
  <dgm:styleLbl name="asst0">
    <dgm:fillClrLst meth="repeat">
      <a:schemeClr val="lt1"/>
    </dgm:fillClrLst>
    <dgm:linClrLst meth="repeat">
      <a:schemeClr val="dk1">
        <a:shade val="80000"/>
      </a:schemeClr>
    </dgm:linClrLst>
    <dgm:effectClrLst/>
    <dgm:txLinClrLst/>
    <dgm:txFillClrLst meth="repeat">
      <a:schemeClr val="dk1"/>
    </dgm:txFillClrLst>
    <dgm:txEffectClrLst/>
  </dgm:styleLbl>
  <dgm:styleLbl name="asst1">
    <dgm:fillClrLst meth="repeat">
      <a:schemeClr val="lt1"/>
    </dgm:fillClrLst>
    <dgm:linClrLst meth="repeat">
      <a:schemeClr val="dk1">
        <a:shade val="80000"/>
      </a:schemeClr>
    </dgm:linClrLst>
    <dgm:effectClrLst/>
    <dgm:txLinClrLst/>
    <dgm:txFillClrLst meth="repeat">
      <a:schemeClr val="dk1"/>
    </dgm:txFillClrLst>
    <dgm:txEffectClrLst/>
  </dgm:styleLbl>
  <dgm:styleLbl name="asst2">
    <dgm:fillClrLst meth="repeat">
      <a:schemeClr val="lt1"/>
    </dgm:fillClrLst>
    <dgm:linClrLst meth="repeat">
      <a:schemeClr val="dk1">
        <a:shade val="80000"/>
      </a:schemeClr>
    </dgm:linClrLst>
    <dgm:effectClrLst/>
    <dgm:txLinClrLst/>
    <dgm:txFillClrLst meth="repeat">
      <a:schemeClr val="dk1"/>
    </dgm:txFillClrLst>
    <dgm:txEffectClrLst/>
  </dgm:styleLbl>
  <dgm:styleLbl name="asst3">
    <dgm:fillClrLst meth="repeat">
      <a:schemeClr val="lt1"/>
    </dgm:fillClrLst>
    <dgm:linClrLst meth="repeat">
      <a:schemeClr val="dk1">
        <a:shade val="80000"/>
      </a:schemeClr>
    </dgm:linClrLst>
    <dgm:effectClrLst/>
    <dgm:txLinClrLst/>
    <dgm:txFillClrLst meth="repeat">
      <a:schemeClr val="dk1"/>
    </dgm:txFillClrLst>
    <dgm:txEffectClrLst/>
  </dgm:styleLbl>
  <dgm:styleLbl name="asst4">
    <dgm:fillClrLst meth="repeat">
      <a:schemeClr val="lt1"/>
    </dgm:fillClrLst>
    <dgm:linClrLst meth="repeat">
      <a:schemeClr val="dk1">
        <a:shade val="80000"/>
      </a:schemeClr>
    </dgm:linClrLst>
    <dgm:effectClrLst/>
    <dgm:txLinClrLst/>
    <dgm:txFillClrLst meth="repeat">
      <a:schemeClr val="dk1"/>
    </dgm:txFillClrLst>
    <dgm:txEffectClrLst/>
  </dgm:styleLbl>
  <dgm:styleLbl name="parChTrans2D1">
    <dgm:fillClrLst meth="repeat">
      <a:schemeClr val="dk1">
        <a:tint val="60000"/>
      </a:schemeClr>
    </dgm:fillClrLst>
    <dgm:linClrLst meth="repeat">
      <a:schemeClr val="dk1">
        <a:tint val="60000"/>
      </a:schemeClr>
    </dgm:linClrLst>
    <dgm:effectClrLst/>
    <dgm:txLinClrLst/>
    <dgm:txFillClrLst/>
    <dgm:txEffectClrLst/>
  </dgm:styleLbl>
  <dgm:styleLbl name="parChTrans2D2">
    <dgm:fillClrLst meth="repeat">
      <a:schemeClr val="dk1"/>
    </dgm:fillClrLst>
    <dgm:linClrLst meth="repeat">
      <a:schemeClr val="dk1"/>
    </dgm:linClrLst>
    <dgm:effectClrLst/>
    <dgm:txLinClrLst/>
    <dgm:txFillClrLst/>
    <dgm:txEffectClrLst/>
  </dgm:styleLbl>
  <dgm:styleLbl name="parChTrans2D3">
    <dgm:fillClrLst meth="repeat">
      <a:schemeClr val="dk1"/>
    </dgm:fillClrLst>
    <dgm:linClrLst meth="repeat">
      <a:schemeClr val="dk1"/>
    </dgm:linClrLst>
    <dgm:effectClrLst/>
    <dgm:txLinClrLst/>
    <dgm:txFillClrLst/>
    <dgm:txEffectClrLst/>
  </dgm:styleLbl>
  <dgm:styleLbl name="parChTrans2D4">
    <dgm:fillClrLst meth="repeat">
      <a:schemeClr val="dk1"/>
    </dgm:fillClrLst>
    <dgm:linClrLst meth="repeat">
      <a:schemeClr val="dk1"/>
    </dgm:linClrLst>
    <dgm:effectClrLst/>
    <dgm:txLinClrLst/>
    <dgm:txFillClrLst meth="repeat">
      <a:schemeClr val="lt1"/>
    </dgm:txFillClrLst>
    <dgm:txEffectClrLst/>
  </dgm:styleLbl>
  <dgm:styleLbl name="parChTrans1D1">
    <dgm:fillClrLst meth="repeat">
      <a:schemeClr val="dk1"/>
    </dgm:fillClrLst>
    <dgm:linClrLst meth="repeat">
      <a:schemeClr val="dk1">
        <a:shade val="60000"/>
      </a:schemeClr>
    </dgm:linClrLst>
    <dgm:effectClrLst/>
    <dgm:txLinClrLst/>
    <dgm:txFillClrLst meth="repeat">
      <a:schemeClr val="tx1"/>
    </dgm:txFillClrLst>
    <dgm:txEffectClrLst/>
  </dgm:styleLbl>
  <dgm:styleLbl name="parChTrans1D2">
    <dgm:fillClrLst meth="repeat">
      <a:schemeClr val="dk1"/>
    </dgm:fillClrLst>
    <dgm:linClrLst meth="repeat">
      <a:schemeClr val="dk1">
        <a:shade val="60000"/>
      </a:schemeClr>
    </dgm:linClrLst>
    <dgm:effectClrLst/>
    <dgm:txLinClrLst/>
    <dgm:txFillClrLst meth="repeat">
      <a:schemeClr val="tx1"/>
    </dgm:txFillClrLst>
    <dgm:txEffectClrLst/>
  </dgm:styleLbl>
  <dgm:styleLbl name="parChTrans1D3">
    <dgm:fillClrLst meth="repeat">
      <a:schemeClr val="dk1"/>
    </dgm:fillClrLst>
    <dgm:linClrLst meth="repeat">
      <a:schemeClr val="dk1">
        <a:shade val="80000"/>
      </a:schemeClr>
    </dgm:linClrLst>
    <dgm:effectClrLst/>
    <dgm:txLinClrLst/>
    <dgm:txFillClrLst meth="repeat">
      <a:schemeClr val="tx1"/>
    </dgm:txFillClrLst>
    <dgm:txEffectClrLst/>
  </dgm:styleLbl>
  <dgm:styleLbl name="parChTrans1D4">
    <dgm:fillClrLst meth="repeat">
      <a:schemeClr val="dk1"/>
    </dgm:fillClrLst>
    <dgm:linClrLst meth="repeat">
      <a:schemeClr val="dk1">
        <a:shade val="80000"/>
      </a:schemeClr>
    </dgm:linClrLst>
    <dgm:effectClrLst/>
    <dgm:txLinClrLst/>
    <dgm:txFillClrLst meth="repeat">
      <a:schemeClr val="tx1"/>
    </dgm:txFillClrLst>
    <dgm:txEffectClrLst/>
  </dgm:styleLbl>
  <dgm:styleLbl name="fgAcc1">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conFgAcc1">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alignAcc1">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trAlignAcc1">
    <dgm:fillClrLst meth="repeat">
      <a:schemeClr val="dk1">
        <a:alpha val="40000"/>
        <a:tint val="40000"/>
      </a:schemeClr>
    </dgm:fillClrLst>
    <dgm:linClrLst meth="repeat">
      <a:schemeClr val="dk1"/>
    </dgm:linClrLst>
    <dgm:effectClrLst/>
    <dgm:txLinClrLst/>
    <dgm:txFillClrLst meth="repeat">
      <a:schemeClr val="dk1"/>
    </dgm:txFillClrLst>
    <dgm:txEffectClrLst/>
  </dgm:styleLbl>
  <dgm:styleLbl name="bgAcc1">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solidFgAcc1">
    <dgm:fillClrLst meth="repeat">
      <a:schemeClr val="lt1"/>
    </dgm:fillClrLst>
    <dgm:linClrLst meth="repeat">
      <a:schemeClr val="dk1"/>
    </dgm:linClrLst>
    <dgm:effectClrLst/>
    <dgm:txLinClrLst/>
    <dgm:txFillClrLst meth="repeat">
      <a:schemeClr val="dk1"/>
    </dgm:txFillClrLst>
    <dgm:txEffectClrLst/>
  </dgm:styleLbl>
  <dgm:styleLbl name="solidAlignAcc1">
    <dgm:fillClrLst meth="repeat">
      <a:schemeClr val="lt1"/>
    </dgm:fillClrLst>
    <dgm:linClrLst meth="repeat">
      <a:schemeClr val="dk1"/>
    </dgm:linClrLst>
    <dgm:effectClrLst/>
    <dgm:txLinClrLst/>
    <dgm:txFillClrLst meth="repeat">
      <a:schemeClr val="dk1"/>
    </dgm:txFillClrLst>
    <dgm:txEffectClrLst/>
  </dgm:styleLbl>
  <dgm:styleLbl name="solidBgAcc1">
    <dgm:fillClrLst meth="repeat">
      <a:schemeClr val="lt1"/>
    </dgm:fillClrLst>
    <dgm:linClrLst meth="repeat">
      <a:schemeClr val="dk1"/>
    </dgm:linClrLst>
    <dgm:effectClrLst/>
    <dgm:txLinClrLst/>
    <dgm:txFillClrLst meth="repeat">
      <a:schemeClr val="dk1"/>
    </dgm:txFillClrLst>
    <dgm:txEffectClrLst/>
  </dgm:styleLbl>
  <dgm:styleLbl name="fgAccFollowNode1">
    <dgm:fillClrLst meth="repeat">
      <a:schemeClr val="lt1">
        <a:alpha val="90000"/>
        <a:tint val="40000"/>
      </a:schemeClr>
    </dgm:fillClrLst>
    <dgm:linClrLst meth="repeat">
      <a:schemeClr val="dk1">
        <a:alpha val="90000"/>
      </a:schemeClr>
    </dgm:linClrLst>
    <dgm:effectClrLst/>
    <dgm:txLinClrLst/>
    <dgm:txFillClrLst meth="repeat">
      <a:schemeClr val="dk1"/>
    </dgm:txFillClrLst>
    <dgm:txEffectClrLst/>
  </dgm:styleLbl>
  <dgm:styleLbl name="alignAccFollowNode1">
    <dgm:fillClrLst meth="repeat">
      <a:schemeClr val="lt1">
        <a:alpha val="90000"/>
        <a:tint val="40000"/>
      </a:schemeClr>
    </dgm:fillClrLst>
    <dgm:linClrLst meth="repeat">
      <a:schemeClr val="dk1">
        <a:alpha val="90000"/>
      </a:schemeClr>
    </dgm:linClrLst>
    <dgm:effectClrLst/>
    <dgm:txLinClrLst/>
    <dgm:txFillClrLst meth="repeat">
      <a:schemeClr val="dk1"/>
    </dgm:txFillClrLst>
    <dgm:txEffectClrLst/>
  </dgm:styleLbl>
  <dgm:styleLbl name="bgAccFollowNode1">
    <dgm:fillClrLst meth="repeat">
      <a:schemeClr val="lt1">
        <a:alpha val="90000"/>
        <a:tint val="40000"/>
      </a:schemeClr>
    </dgm:fillClrLst>
    <dgm:linClrLst meth="repeat">
      <a:schemeClr val="dk1">
        <a:alpha val="90000"/>
      </a:schemeClr>
    </dgm:linClrLst>
    <dgm:effectClrLst/>
    <dgm:txLinClrLst/>
    <dgm:txFillClrLst meth="repeat">
      <a:schemeClr val="dk1"/>
    </dgm:txFillClrLst>
    <dgm:txEffectClrLst/>
  </dgm:styleLbl>
  <dgm:styleLbl name="fgAcc0">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fgAcc2">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fgAcc3">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fgAcc4">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bgShp">
    <dgm:fillClrLst meth="repeat">
      <a:schemeClr val="dk1">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dk1">
        <a:shade val="80000"/>
      </a:schemeClr>
    </dgm:fillClrLst>
    <dgm:linClrLst meth="repeat">
      <a:schemeClr val="dk1"/>
    </dgm:linClrLst>
    <dgm:effectClrLst/>
    <dgm:txLinClrLst/>
    <dgm:txFillClrLst meth="repeat">
      <a:schemeClr val="lt1"/>
    </dgm:txFillClrLst>
    <dgm:txEffectClrLst/>
  </dgm:styleLbl>
  <dgm:styleLbl name="trBgShp">
    <dgm:fillClrLst meth="repeat">
      <a:schemeClr val="dk1">
        <a:tint val="50000"/>
        <a:alpha val="40000"/>
      </a:schemeClr>
    </dgm:fillClrLst>
    <dgm:linClrLst meth="repeat">
      <a:schemeClr val="dk1"/>
    </dgm:linClrLst>
    <dgm:effectClrLst/>
    <dgm:txLinClrLst/>
    <dgm:txFillClrLst meth="repeat">
      <a:schemeClr val="lt1"/>
    </dgm:txFillClrLst>
    <dgm:txEffectClrLst/>
  </dgm:styleLbl>
  <dgm:styleLbl name="fgShp">
    <dgm:fillClrLst meth="repeat">
      <a:schemeClr val="dk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4DB533BC-4DC2-4D31-BDF5-9BACD1E8F9C9}" type="doc">
      <dgm:prSet loTypeId="urn:microsoft.com/office/officeart/2005/8/layout/hChevron3" loCatId="process" qsTypeId="urn:microsoft.com/office/officeart/2005/8/quickstyle/simple1" qsCatId="simple" csTypeId="urn:microsoft.com/office/officeart/2005/8/colors/accent0_1" csCatId="mainScheme" phldr="1"/>
      <dgm:spPr/>
    </dgm:pt>
    <dgm:pt modelId="{E60E1236-E2CE-4652-BC01-A800D2DF0679}">
      <dgm:prSet phldrT="[Text]" custT="1"/>
      <dgm:spPr/>
      <dgm:t>
        <a:bodyPr/>
        <a:lstStyle/>
        <a:p>
          <a:r>
            <a:rPr lang="en-US" sz="700"/>
            <a:t>ENTERED IN THIS</a:t>
          </a:r>
        </a:p>
      </dgm:t>
    </dgm:pt>
    <dgm:pt modelId="{6EC79FD0-9A66-47B8-9BE6-DDC4AF92E6AF}" type="parTrans" cxnId="{61925D2A-6C91-4A5F-9586-DFDA1445EF8A}">
      <dgm:prSet/>
      <dgm:spPr/>
      <dgm:t>
        <a:bodyPr/>
        <a:lstStyle/>
        <a:p>
          <a:endParaRPr lang="en-US"/>
        </a:p>
      </dgm:t>
    </dgm:pt>
    <dgm:pt modelId="{F4405FAD-1022-4EE0-9E1A-F34961AE4057}" type="sibTrans" cxnId="{61925D2A-6C91-4A5F-9586-DFDA1445EF8A}">
      <dgm:prSet/>
      <dgm:spPr/>
      <dgm:t>
        <a:bodyPr/>
        <a:lstStyle/>
        <a:p>
          <a:endParaRPr lang="en-US"/>
        </a:p>
      </dgm:t>
    </dgm:pt>
    <dgm:pt modelId="{09A001A3-0AA5-4468-AA79-7F228EFEC0B4}">
      <dgm:prSet phldrT="[Text]" custT="1"/>
      <dgm:spPr/>
      <dgm:t>
        <a:bodyPr/>
        <a:lstStyle/>
        <a:p>
          <a:pPr algn="l"/>
          <a:r>
            <a:rPr lang="en-US" sz="700"/>
            <a:t>WRITTEN ENTRY</a:t>
          </a:r>
        </a:p>
      </dgm:t>
    </dgm:pt>
    <dgm:pt modelId="{C67E1E1E-8609-449D-A4AB-4388F55F543C}" type="parTrans" cxnId="{C36EFC20-AD82-4E0C-8295-FE886332AD14}">
      <dgm:prSet/>
      <dgm:spPr/>
      <dgm:t>
        <a:bodyPr/>
        <a:lstStyle/>
        <a:p>
          <a:endParaRPr lang="en-US"/>
        </a:p>
      </dgm:t>
    </dgm:pt>
    <dgm:pt modelId="{0802F518-9B05-40EB-8E1D-539B2823B720}" type="sibTrans" cxnId="{C36EFC20-AD82-4E0C-8295-FE886332AD14}">
      <dgm:prSet/>
      <dgm:spPr/>
      <dgm:t>
        <a:bodyPr/>
        <a:lstStyle/>
        <a:p>
          <a:endParaRPr lang="en-US"/>
        </a:p>
      </dgm:t>
    </dgm:pt>
    <dgm:pt modelId="{B2FD5966-DC69-464E-83E5-F49D040D64D2}">
      <dgm:prSet phldrT="[Text]" custT="1"/>
      <dgm:spPr/>
      <dgm:t>
        <a:bodyPr/>
        <a:lstStyle/>
        <a:p>
          <a:pPr algn="l"/>
          <a:r>
            <a:rPr lang="en-US" sz="700"/>
            <a:t>DIGITAL ENTRY</a:t>
          </a:r>
        </a:p>
      </dgm:t>
    </dgm:pt>
    <dgm:pt modelId="{CB9C00DE-4B7C-4639-80E5-A50EBBB32808}" type="parTrans" cxnId="{6BDD5269-C049-42B7-AF66-EEBB5989C91E}">
      <dgm:prSet/>
      <dgm:spPr/>
      <dgm:t>
        <a:bodyPr/>
        <a:lstStyle/>
        <a:p>
          <a:endParaRPr lang="en-US"/>
        </a:p>
      </dgm:t>
    </dgm:pt>
    <dgm:pt modelId="{3FD6E817-3376-4E8F-ADE0-85DEB8F66B40}" type="sibTrans" cxnId="{6BDD5269-C049-42B7-AF66-EEBB5989C91E}">
      <dgm:prSet/>
      <dgm:spPr/>
      <dgm:t>
        <a:bodyPr/>
        <a:lstStyle/>
        <a:p>
          <a:endParaRPr lang="en-US"/>
        </a:p>
      </dgm:t>
    </dgm:pt>
    <dgm:pt modelId="{E5344794-A739-4E3B-9F16-5E689163ABB7}" type="pres">
      <dgm:prSet presAssocID="{4DB533BC-4DC2-4D31-BDF5-9BACD1E8F9C9}" presName="Name0" presStyleCnt="0">
        <dgm:presLayoutVars>
          <dgm:dir/>
          <dgm:resizeHandles val="exact"/>
        </dgm:presLayoutVars>
      </dgm:prSet>
      <dgm:spPr/>
    </dgm:pt>
    <dgm:pt modelId="{F1D77557-EF4A-4F35-8742-25CE49C0FF09}" type="pres">
      <dgm:prSet presAssocID="{E60E1236-E2CE-4652-BC01-A800D2DF0679}" presName="parTxOnly" presStyleLbl="node1" presStyleIdx="0" presStyleCnt="3" custScaleX="142223" custLinFactNeighborY="-4266">
        <dgm:presLayoutVars>
          <dgm:bulletEnabled val="1"/>
        </dgm:presLayoutVars>
      </dgm:prSet>
      <dgm:spPr/>
    </dgm:pt>
    <dgm:pt modelId="{DE421F69-26F8-48B5-BC60-B2BA3730F18A}" type="pres">
      <dgm:prSet presAssocID="{F4405FAD-1022-4EE0-9E1A-F34961AE4057}" presName="parSpace" presStyleCnt="0"/>
      <dgm:spPr/>
    </dgm:pt>
    <dgm:pt modelId="{F63D302E-E300-48D2-80BA-D09027CF288D}" type="pres">
      <dgm:prSet presAssocID="{09A001A3-0AA5-4468-AA79-7F228EFEC0B4}" presName="parTxOnly" presStyleLbl="node1" presStyleIdx="1" presStyleCnt="3" custScaleX="148852">
        <dgm:presLayoutVars>
          <dgm:bulletEnabled val="1"/>
        </dgm:presLayoutVars>
      </dgm:prSet>
      <dgm:spPr/>
    </dgm:pt>
    <dgm:pt modelId="{73AD2ABA-4B9B-434C-AA31-485AD641E81A}" type="pres">
      <dgm:prSet presAssocID="{0802F518-9B05-40EB-8E1D-539B2823B720}" presName="parSpace" presStyleCnt="0"/>
      <dgm:spPr/>
    </dgm:pt>
    <dgm:pt modelId="{C25D24BD-4B3D-4916-8BCB-1B5C678DF78D}" type="pres">
      <dgm:prSet presAssocID="{B2FD5966-DC69-464E-83E5-F49D040D64D2}" presName="parTxOnly" presStyleLbl="node1" presStyleIdx="2" presStyleCnt="3" custScaleX="169674">
        <dgm:presLayoutVars>
          <dgm:bulletEnabled val="1"/>
        </dgm:presLayoutVars>
      </dgm:prSet>
      <dgm:spPr/>
    </dgm:pt>
  </dgm:ptLst>
  <dgm:cxnLst>
    <dgm:cxn modelId="{4F03940D-3F11-4328-B1F5-7FE0DFD489C3}" type="presOf" srcId="{B2FD5966-DC69-464E-83E5-F49D040D64D2}" destId="{C25D24BD-4B3D-4916-8BCB-1B5C678DF78D}" srcOrd="0" destOrd="0" presId="urn:microsoft.com/office/officeart/2005/8/layout/hChevron3"/>
    <dgm:cxn modelId="{C36EFC20-AD82-4E0C-8295-FE886332AD14}" srcId="{4DB533BC-4DC2-4D31-BDF5-9BACD1E8F9C9}" destId="{09A001A3-0AA5-4468-AA79-7F228EFEC0B4}" srcOrd="1" destOrd="0" parTransId="{C67E1E1E-8609-449D-A4AB-4388F55F543C}" sibTransId="{0802F518-9B05-40EB-8E1D-539B2823B720}"/>
    <dgm:cxn modelId="{61925D2A-6C91-4A5F-9586-DFDA1445EF8A}" srcId="{4DB533BC-4DC2-4D31-BDF5-9BACD1E8F9C9}" destId="{E60E1236-E2CE-4652-BC01-A800D2DF0679}" srcOrd="0" destOrd="0" parTransId="{6EC79FD0-9A66-47B8-9BE6-DDC4AF92E6AF}" sibTransId="{F4405FAD-1022-4EE0-9E1A-F34961AE4057}"/>
    <dgm:cxn modelId="{6BDD5269-C049-42B7-AF66-EEBB5989C91E}" srcId="{4DB533BC-4DC2-4D31-BDF5-9BACD1E8F9C9}" destId="{B2FD5966-DC69-464E-83E5-F49D040D64D2}" srcOrd="2" destOrd="0" parTransId="{CB9C00DE-4B7C-4639-80E5-A50EBBB32808}" sibTransId="{3FD6E817-3376-4E8F-ADE0-85DEB8F66B40}"/>
    <dgm:cxn modelId="{663391DC-3F0B-4DCD-9102-81CBCEFAEED4}" type="presOf" srcId="{4DB533BC-4DC2-4D31-BDF5-9BACD1E8F9C9}" destId="{E5344794-A739-4E3B-9F16-5E689163ABB7}" srcOrd="0" destOrd="0" presId="urn:microsoft.com/office/officeart/2005/8/layout/hChevron3"/>
    <dgm:cxn modelId="{B90430DE-0646-4E44-9A6C-803EED852B05}" type="presOf" srcId="{E60E1236-E2CE-4652-BC01-A800D2DF0679}" destId="{F1D77557-EF4A-4F35-8742-25CE49C0FF09}" srcOrd="0" destOrd="0" presId="urn:microsoft.com/office/officeart/2005/8/layout/hChevron3"/>
    <dgm:cxn modelId="{200BFEFD-B135-422A-8803-AF45B8C7DEDC}" type="presOf" srcId="{09A001A3-0AA5-4468-AA79-7F228EFEC0B4}" destId="{F63D302E-E300-48D2-80BA-D09027CF288D}" srcOrd="0" destOrd="0" presId="urn:microsoft.com/office/officeart/2005/8/layout/hChevron3"/>
    <dgm:cxn modelId="{3B18B9D9-D7BD-4315-BE9D-2C5ABE402B8E}" type="presParOf" srcId="{E5344794-A739-4E3B-9F16-5E689163ABB7}" destId="{F1D77557-EF4A-4F35-8742-25CE49C0FF09}" srcOrd="0" destOrd="0" presId="urn:microsoft.com/office/officeart/2005/8/layout/hChevron3"/>
    <dgm:cxn modelId="{75BBD6CD-0CD8-4D4E-BD88-C9D6743F2137}" type="presParOf" srcId="{E5344794-A739-4E3B-9F16-5E689163ABB7}" destId="{DE421F69-26F8-48B5-BC60-B2BA3730F18A}" srcOrd="1" destOrd="0" presId="urn:microsoft.com/office/officeart/2005/8/layout/hChevron3"/>
    <dgm:cxn modelId="{728FC0FF-05F9-4DD5-A585-01F91D4D1055}" type="presParOf" srcId="{E5344794-A739-4E3B-9F16-5E689163ABB7}" destId="{F63D302E-E300-48D2-80BA-D09027CF288D}" srcOrd="2" destOrd="0" presId="urn:microsoft.com/office/officeart/2005/8/layout/hChevron3"/>
    <dgm:cxn modelId="{3D6C4DBE-0D91-4E8B-AE3E-99FF9629DCFA}" type="presParOf" srcId="{E5344794-A739-4E3B-9F16-5E689163ABB7}" destId="{73AD2ABA-4B9B-434C-AA31-485AD641E81A}" srcOrd="3" destOrd="0" presId="urn:microsoft.com/office/officeart/2005/8/layout/hChevron3"/>
    <dgm:cxn modelId="{6F9915DE-1A8B-4B79-AEC9-CAAFFD238993}" type="presParOf" srcId="{E5344794-A739-4E3B-9F16-5E689163ABB7}" destId="{C25D24BD-4B3D-4916-8BCB-1B5C678DF78D}" srcOrd="4" destOrd="0" presId="urn:microsoft.com/office/officeart/2005/8/layout/hChevron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1D77557-EF4A-4F35-8742-25CE49C0FF09}">
      <dsp:nvSpPr>
        <dsp:cNvPr id="0" name=""/>
        <dsp:cNvSpPr/>
      </dsp:nvSpPr>
      <dsp:spPr>
        <a:xfrm>
          <a:off x="706" y="68511"/>
          <a:ext cx="925520" cy="260301"/>
        </a:xfrm>
        <a:prstGeom prst="homePlate">
          <a:avLst/>
        </a:prstGeom>
        <a:solidFill>
          <a:schemeClr val="lt1">
            <a:hueOff val="0"/>
            <a:satOff val="0"/>
            <a:lumOff val="0"/>
            <a:alphaOff val="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7338" tIns="18669" rIns="9335" bIns="18669" numCol="1" spcCol="1270" anchor="ctr" anchorCtr="0">
          <a:noAutofit/>
        </a:bodyPr>
        <a:lstStyle/>
        <a:p>
          <a:pPr marL="0" lvl="0" indent="0" algn="ctr" defTabSz="311150">
            <a:lnSpc>
              <a:spcPct val="90000"/>
            </a:lnSpc>
            <a:spcBef>
              <a:spcPct val="0"/>
            </a:spcBef>
            <a:spcAft>
              <a:spcPct val="35000"/>
            </a:spcAft>
            <a:buNone/>
          </a:pPr>
          <a:r>
            <a:rPr lang="en-US" sz="700" kern="1200"/>
            <a:t>ENTERED IN THIS</a:t>
          </a:r>
        </a:p>
      </dsp:txBody>
      <dsp:txXfrm>
        <a:off x="706" y="68511"/>
        <a:ext cx="860445" cy="260301"/>
      </dsp:txXfrm>
    </dsp:sp>
    <dsp:sp modelId="{F63D302E-E300-48D2-80BA-D09027CF288D}">
      <dsp:nvSpPr>
        <dsp:cNvPr id="0" name=""/>
        <dsp:cNvSpPr/>
      </dsp:nvSpPr>
      <dsp:spPr>
        <a:xfrm>
          <a:off x="796076" y="79616"/>
          <a:ext cx="968658" cy="260301"/>
        </a:xfrm>
        <a:prstGeom prst="chevron">
          <a:avLst/>
        </a:prstGeom>
        <a:solidFill>
          <a:schemeClr val="lt1">
            <a:hueOff val="0"/>
            <a:satOff val="0"/>
            <a:lumOff val="0"/>
            <a:alphaOff val="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004" tIns="18669" rIns="9335" bIns="18669" numCol="1" spcCol="1270" anchor="ctr" anchorCtr="0">
          <a:noAutofit/>
        </a:bodyPr>
        <a:lstStyle/>
        <a:p>
          <a:pPr marL="0" lvl="0" indent="0" algn="l" defTabSz="311150">
            <a:lnSpc>
              <a:spcPct val="90000"/>
            </a:lnSpc>
            <a:spcBef>
              <a:spcPct val="0"/>
            </a:spcBef>
            <a:spcAft>
              <a:spcPct val="35000"/>
            </a:spcAft>
            <a:buNone/>
          </a:pPr>
          <a:r>
            <a:rPr lang="en-US" sz="700" kern="1200"/>
            <a:t>WRITTEN ENTRY</a:t>
          </a:r>
        </a:p>
      </dsp:txBody>
      <dsp:txXfrm>
        <a:off x="926227" y="79616"/>
        <a:ext cx="708357" cy="260301"/>
      </dsp:txXfrm>
    </dsp:sp>
    <dsp:sp modelId="{C25D24BD-4B3D-4916-8BCB-1B5C678DF78D}">
      <dsp:nvSpPr>
        <dsp:cNvPr id="0" name=""/>
        <dsp:cNvSpPr/>
      </dsp:nvSpPr>
      <dsp:spPr>
        <a:xfrm>
          <a:off x="1634584" y="79616"/>
          <a:ext cx="1104158" cy="260301"/>
        </a:xfrm>
        <a:prstGeom prst="chevron">
          <a:avLst/>
        </a:prstGeom>
        <a:solidFill>
          <a:schemeClr val="lt1">
            <a:hueOff val="0"/>
            <a:satOff val="0"/>
            <a:lumOff val="0"/>
            <a:alphaOff val="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004" tIns="18669" rIns="9335" bIns="18669" numCol="1" spcCol="1270" anchor="ctr" anchorCtr="0">
          <a:noAutofit/>
        </a:bodyPr>
        <a:lstStyle/>
        <a:p>
          <a:pPr marL="0" lvl="0" indent="0" algn="l" defTabSz="311150">
            <a:lnSpc>
              <a:spcPct val="90000"/>
            </a:lnSpc>
            <a:spcBef>
              <a:spcPct val="0"/>
            </a:spcBef>
            <a:spcAft>
              <a:spcPct val="35000"/>
            </a:spcAft>
            <a:buNone/>
          </a:pPr>
          <a:r>
            <a:rPr lang="en-US" sz="700" kern="1200"/>
            <a:t>DIGITAL ENTRY</a:t>
          </a:r>
        </a:p>
      </dsp:txBody>
      <dsp:txXfrm>
        <a:off x="1764735" y="79616"/>
        <a:ext cx="843857" cy="260301"/>
      </dsp:txXfrm>
    </dsp:sp>
  </dsp:spTree>
</dsp:drawing>
</file>

<file path=xl/diagrams/layout1.xml><?xml version="1.0" encoding="utf-8"?>
<dgm:layoutDef xmlns:dgm="http://schemas.openxmlformats.org/drawingml/2006/diagram" xmlns:a="http://schemas.openxmlformats.org/drawingml/2006/main" uniqueId="urn:microsoft.com/office/officeart/2005/8/layout/hChevron3">
  <dgm:title val=""/>
  <dgm:desc val=""/>
  <dgm:catLst>
    <dgm:cat type="process" pri="10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hoose name="Name4">
      <dgm:if name="Name5" axis="root des" func="maxDepth" op="gte" val="2">
        <dgm:constrLst>
          <dgm:constr type="w" for="ch" forName="parAndChTx" refType="w"/>
          <dgm:constr type="primFontSz" for="ch" ptType="node" op="equ"/>
          <dgm:constr type="w" for="ch" forName="parAndChSpace" refType="w" refFor="ch" refForName="parAndChTx" fact="-0.2"/>
          <dgm:constr type="w" for="ch" ptType="sibTrans" op="equ"/>
        </dgm:constrLst>
        <dgm:ruleLst/>
        <dgm:forEach name="Name6" axis="ch" ptType="node">
          <dgm:layoutNode name="parAndChTx">
            <dgm:varLst>
              <dgm:bulletEnabled val="1"/>
            </dgm:varLst>
            <dgm:alg type="tx"/>
            <dgm:choose name="Name7">
              <dgm:if name="Name8" func="var" arg="dir" op="equ" val="norm">
                <dgm:choose name="Name9">
                  <dgm:if name="Name10" axis="self" ptType="node" func="pos" op="equ" val="1">
                    <dgm:shape xmlns:r="http://schemas.openxmlformats.org/officeDocument/2006/relationships"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4"/>
                    </dgm:constrLst>
                  </dgm:if>
                  <dgm:else name="Name11">
                    <dgm:shape xmlns:r="http://schemas.openxmlformats.org/officeDocument/2006/relationships"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if>
              <dgm:else name="Name12">
                <dgm:choose name="Name13">
                  <dgm:if name="Name14" axis="self" ptType="node" func="pos" op="equ" val="1">
                    <dgm:shape xmlns:r="http://schemas.openxmlformats.org/officeDocument/2006/relationships" rot="180"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4"/>
                      <dgm:constr type="rMarg" refType="w" fact="0.1"/>
                    </dgm:constrLst>
                  </dgm:if>
                  <dgm:else name="Name15">
                    <dgm:shape xmlns:r="http://schemas.openxmlformats.org/officeDocument/2006/relationships" rot="180"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else>
            </dgm:choose>
            <dgm:ruleLst>
              <dgm:rule type="primFontSz" val="5" fact="NaN" max="NaN"/>
            </dgm:ruleLst>
          </dgm:layoutNode>
          <dgm:forEach name="Name16" axis="followSib" ptType="sibTrans" cnt="1">
            <dgm:layoutNode name="parAndChSpace">
              <dgm:alg type="sp"/>
              <dgm:shape xmlns:r="http://schemas.openxmlformats.org/officeDocument/2006/relationships" r:blip="">
                <dgm:adjLst/>
              </dgm:shape>
              <dgm:presOf/>
              <dgm:constrLst/>
              <dgm:ruleLst/>
            </dgm:layoutNode>
          </dgm:forEach>
        </dgm:forEach>
      </dgm:if>
      <dgm:else name="Name17">
        <dgm:constrLst>
          <dgm:constr type="w" for="ch" forName="parTxOnly" refType="w"/>
          <dgm:constr type="primFontSz" for="ch" ptType="node" op="equ"/>
          <dgm:constr type="w" for="ch" forName="parSpace" refType="w" refFor="ch" refForName="parTxOnly" fact="-0.2"/>
          <dgm:constr type="w" for="ch" ptType="sibTrans" op="equ"/>
        </dgm:constrLst>
        <dgm:ruleLst/>
        <dgm:forEach name="Name18" axis="ch" ptType="node">
          <dgm:layoutNode name="parTxOnly">
            <dgm:varLst>
              <dgm:bulletEnabled val="1"/>
            </dgm:varLst>
            <dgm:alg type="tx"/>
            <dgm:presOf axis="desOrSelf" ptType="node"/>
            <dgm:choose name="Name19">
              <dgm:if name="Name20" func="var" arg="dir" op="equ" val="norm">
                <dgm:choose name="Name21">
                  <dgm:if name="Name22" axis="self" ptType="node" func="pos" op="equ" val="1">
                    <dgm:shape xmlns:r="http://schemas.openxmlformats.org/officeDocument/2006/relationships" type="homePlate" r:blip="">
                      <dgm:adjLst/>
                    </dgm:shape>
                    <dgm:constrLst>
                      <dgm:constr type="h" refType="w" op="equ" fact="0.4"/>
                      <dgm:constr type="primFontSz" val="65"/>
                      <dgm:constr type="tMarg" refType="primFontSz" fact="0.21"/>
                      <dgm:constr type="bMarg" refType="primFontSz" fact="0.21"/>
                      <dgm:constr type="lMarg" refType="primFontSz" fact="0.42"/>
                      <dgm:constr type="rMarg" refType="primFontSz" fact="0.105"/>
                    </dgm:constrLst>
                  </dgm:if>
                  <dgm:else name="Name23">
                    <dgm:shape xmlns:r="http://schemas.openxmlformats.org/officeDocument/2006/relationships" type="chevron" r:blip="">
                      <dgm:adjLst/>
                    </dgm:shape>
                    <dgm:constrLst>
                      <dgm:constr type="h" refType="w" op="equ" fact="0.4"/>
                      <dgm:constr type="primFontSz" val="65"/>
                      <dgm:constr type="tMarg" refType="primFontSz" fact="0.21"/>
                      <dgm:constr type="bMarg" refType="primFontSz" fact="0.21"/>
                      <dgm:constr type="lMarg" refType="primFontSz" fact="0.315"/>
                      <dgm:constr type="rMarg" refType="primFontSz" fact="0.105"/>
                    </dgm:constrLst>
                  </dgm:else>
                </dgm:choose>
              </dgm:if>
              <dgm:else name="Name24">
                <dgm:choose name="Name25">
                  <dgm:if name="Name26" axis="self" ptType="node" func="pos" op="equ" val="1">
                    <dgm:shape xmlns:r="http://schemas.openxmlformats.org/officeDocument/2006/relationships" rot="180" type="homePlate"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42"/>
                    </dgm:constrLst>
                  </dgm:if>
                  <dgm:else name="Name27">
                    <dgm:shape xmlns:r="http://schemas.openxmlformats.org/officeDocument/2006/relationships" rot="180" type="chevron"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315"/>
                    </dgm:constrLst>
                  </dgm:else>
                </dgm:choose>
              </dgm:else>
            </dgm:choose>
            <dgm:ruleLst>
              <dgm:rule type="primFontSz" val="5" fact="NaN" max="NaN"/>
            </dgm:ruleLst>
          </dgm:layoutNode>
          <dgm:forEach name="Name28" axis="followSib" ptType="sibTrans" cnt="1">
            <dgm:layoutNode name="parSpace">
              <dgm:alg type="sp"/>
              <dgm:shape xmlns:r="http://schemas.openxmlformats.org/officeDocument/2006/relationships" r:blip="">
                <dgm:adjLst/>
              </dgm:shape>
              <dgm:presOf/>
              <dgm:constrLst/>
              <dgm:ruleLst/>
            </dgm:layoutNode>
          </dgm:forEach>
        </dgm:forEach>
      </dgm:else>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image" Target="../media/image1.png"/><Relationship Id="rId5" Type="http://schemas.microsoft.com/office/2007/relationships/diagramDrawing" Target="../diagrams/drawing1.xml"/><Relationship Id="rId4" Type="http://schemas.openxmlformats.org/officeDocument/2006/relationships/diagramColors" Target="../diagrams/colors1.xml"/></Relationships>
</file>

<file path=xl/drawings/drawing1.xml><?xml version="1.0" encoding="utf-8"?>
<xdr:wsDr xmlns:xdr="http://schemas.openxmlformats.org/drawingml/2006/spreadsheetDrawing" xmlns:a="http://schemas.openxmlformats.org/drawingml/2006/main">
  <xdr:twoCellAnchor>
    <xdr:from>
      <xdr:col>0</xdr:col>
      <xdr:colOff>63827</xdr:colOff>
      <xdr:row>5</xdr:row>
      <xdr:rowOff>77034</xdr:rowOff>
    </xdr:from>
    <xdr:to>
      <xdr:col>0</xdr:col>
      <xdr:colOff>559716</xdr:colOff>
      <xdr:row>5</xdr:row>
      <xdr:rowOff>574446</xdr:rowOff>
    </xdr:to>
    <xdr:sp macro="[0]!PrintShowingTickList" textlink="">
      <xdr:nvSpPr>
        <xdr:cNvPr id="3" name="btnPrint">
          <a:extLst>
            <a:ext uri="{FF2B5EF4-FFF2-40B4-BE49-F238E27FC236}">
              <a16:creationId xmlns:a16="http://schemas.microsoft.com/office/drawing/2014/main" id="{00000000-0008-0000-0100-000003000000}"/>
            </a:ext>
          </a:extLst>
        </xdr:cNvPr>
        <xdr:cNvSpPr/>
      </xdr:nvSpPr>
      <xdr:spPr>
        <a:xfrm>
          <a:off x="63827" y="1176828"/>
          <a:ext cx="495889" cy="497412"/>
        </a:xfrm>
        <a:prstGeom prst="rec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2000"/>
            <a:t>🖨️</a:t>
          </a:r>
        </a:p>
      </xdr:txBody>
    </xdr:sp>
    <xdr:clientData/>
  </xdr:twoCellAnchor>
  <xdr:twoCellAnchor>
    <xdr:from>
      <xdr:col>0</xdr:col>
      <xdr:colOff>58918</xdr:colOff>
      <xdr:row>5</xdr:row>
      <xdr:rowOff>641658</xdr:rowOff>
    </xdr:from>
    <xdr:to>
      <xdr:col>0</xdr:col>
      <xdr:colOff>554807</xdr:colOff>
      <xdr:row>5</xdr:row>
      <xdr:rowOff>1423839</xdr:rowOff>
    </xdr:to>
    <xdr:sp macro="[0]!PrintAll" textlink="">
      <xdr:nvSpPr>
        <xdr:cNvPr id="4" name="btnPrint">
          <a:extLst>
            <a:ext uri="{FF2B5EF4-FFF2-40B4-BE49-F238E27FC236}">
              <a16:creationId xmlns:a16="http://schemas.microsoft.com/office/drawing/2014/main" id="{00000000-0008-0000-0100-000004000000}"/>
            </a:ext>
          </a:extLst>
        </xdr:cNvPr>
        <xdr:cNvSpPr/>
      </xdr:nvSpPr>
      <xdr:spPr>
        <a:xfrm>
          <a:off x="58918" y="1741452"/>
          <a:ext cx="495889" cy="782181"/>
        </a:xfrm>
        <a:prstGeom prst="rec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400"/>
            <a:t>🖨️</a:t>
          </a:r>
        </a:p>
        <a:p>
          <a:pPr algn="ctr"/>
          <a:r>
            <a:rPr lang="en-US" sz="1400">
              <a:solidFill>
                <a:sysClr val="windowText" lastClr="000000"/>
              </a:solidFill>
            </a:rPr>
            <a:t>ALL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20</xdr:col>
      <xdr:colOff>5014</xdr:colOff>
      <xdr:row>3</xdr:row>
      <xdr:rowOff>5013</xdr:rowOff>
    </xdr:from>
    <xdr:to>
      <xdr:col>21</xdr:col>
      <xdr:colOff>365960</xdr:colOff>
      <xdr:row>4</xdr:row>
      <xdr:rowOff>5013</xdr:rowOff>
    </xdr:to>
    <xdr:sp macro="[0]!RandomSortJudgementSheet" textlink="">
      <xdr:nvSpPr>
        <xdr:cNvPr id="2" name="Rectangle 1">
          <a:extLst>
            <a:ext uri="{FF2B5EF4-FFF2-40B4-BE49-F238E27FC236}">
              <a16:creationId xmlns:a16="http://schemas.microsoft.com/office/drawing/2014/main" id="{00000000-0008-0000-0300-000002000000}"/>
            </a:ext>
          </a:extLst>
        </xdr:cNvPr>
        <xdr:cNvSpPr/>
      </xdr:nvSpPr>
      <xdr:spPr>
        <a:xfrm>
          <a:off x="8417093" y="762000"/>
          <a:ext cx="977565" cy="25065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a:solidFill>
                <a:schemeClr val="lt1"/>
              </a:solidFill>
              <a:effectLst/>
              <a:latin typeface="+mn-lt"/>
              <a:ea typeface="+mn-ea"/>
              <a:cs typeface="+mn-cs"/>
            </a:rPr>
            <a:t>📃Rand. SORT </a:t>
          </a:r>
          <a:endParaRPr lang="en-US" sz="1000"/>
        </a:p>
      </xdr:txBody>
    </xdr:sp>
    <xdr:clientData fPrintsWithSheet="0"/>
  </xdr:twoCellAnchor>
  <xdr:twoCellAnchor>
    <xdr:from>
      <xdr:col>2</xdr:col>
      <xdr:colOff>9416</xdr:colOff>
      <xdr:row>33</xdr:row>
      <xdr:rowOff>2701</xdr:rowOff>
    </xdr:from>
    <xdr:to>
      <xdr:col>7</xdr:col>
      <xdr:colOff>72340</xdr:colOff>
      <xdr:row>35</xdr:row>
      <xdr:rowOff>60285</xdr:rowOff>
    </xdr:to>
    <xdr:graphicFrame macro="">
      <xdr:nvGraphicFramePr>
        <xdr:cNvPr id="4" name="Diagram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18</xdr:col>
      <xdr:colOff>519113</xdr:colOff>
      <xdr:row>3</xdr:row>
      <xdr:rowOff>2003</xdr:rowOff>
    </xdr:from>
    <xdr:to>
      <xdr:col>19</xdr:col>
      <xdr:colOff>601578</xdr:colOff>
      <xdr:row>4</xdr:row>
      <xdr:rowOff>2003</xdr:rowOff>
    </xdr:to>
    <xdr:sp macro="[0]!PrintThisJudgeSheet" textlink="">
      <xdr:nvSpPr>
        <xdr:cNvPr id="3" name="Rectangle 2">
          <a:extLst>
            <a:ext uri="{FF2B5EF4-FFF2-40B4-BE49-F238E27FC236}">
              <a16:creationId xmlns:a16="http://schemas.microsoft.com/office/drawing/2014/main" id="{00000000-0008-0000-0300-000003000000}"/>
            </a:ext>
          </a:extLst>
        </xdr:cNvPr>
        <xdr:cNvSpPr/>
      </xdr:nvSpPr>
      <xdr:spPr>
        <a:xfrm>
          <a:off x="7697955" y="758990"/>
          <a:ext cx="699084" cy="25065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a:solidFill>
                <a:schemeClr val="lt1"/>
              </a:solidFill>
              <a:effectLst/>
              <a:latin typeface="+mn-lt"/>
              <a:ea typeface="+mn-ea"/>
              <a:cs typeface="+mn-cs"/>
            </a:rPr>
            <a:t>🖨️ PRINT</a:t>
          </a:r>
          <a:r>
            <a:rPr lang="en-US" sz="1000" baseline="0">
              <a:solidFill>
                <a:schemeClr val="lt1"/>
              </a:solidFill>
              <a:effectLst/>
              <a:latin typeface="+mn-lt"/>
              <a:ea typeface="+mn-ea"/>
              <a:cs typeface="+mn-cs"/>
            </a:rPr>
            <a:t> </a:t>
          </a:r>
          <a:endParaRPr lang="en-US" sz="1000"/>
        </a:p>
      </xdr:txBody>
    </xdr:sp>
    <xdr:clientData fPrintsWithSheet="0"/>
  </xdr:twoCellAnchor>
  <xdr:twoCellAnchor>
    <xdr:from>
      <xdr:col>21</xdr:col>
      <xdr:colOff>390775</xdr:colOff>
      <xdr:row>3</xdr:row>
      <xdr:rowOff>9023</xdr:rowOff>
    </xdr:from>
    <xdr:to>
      <xdr:col>24</xdr:col>
      <xdr:colOff>0</xdr:colOff>
      <xdr:row>4</xdr:row>
      <xdr:rowOff>9023</xdr:rowOff>
    </xdr:to>
    <xdr:sp macro="[0]!RandomizeAndPrint" textlink="">
      <xdr:nvSpPr>
        <xdr:cNvPr id="5" name="Rectangle 4">
          <a:extLst>
            <a:ext uri="{FF2B5EF4-FFF2-40B4-BE49-F238E27FC236}">
              <a16:creationId xmlns:a16="http://schemas.microsoft.com/office/drawing/2014/main" id="{00000000-0008-0000-0300-000005000000}"/>
            </a:ext>
          </a:extLst>
        </xdr:cNvPr>
        <xdr:cNvSpPr/>
      </xdr:nvSpPr>
      <xdr:spPr>
        <a:xfrm>
          <a:off x="9419473" y="766010"/>
          <a:ext cx="1208422" cy="25065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a:solidFill>
                <a:schemeClr val="lt1"/>
              </a:solidFill>
              <a:effectLst/>
              <a:latin typeface="+mn-lt"/>
              <a:ea typeface="+mn-ea"/>
              <a:cs typeface="+mn-cs"/>
            </a:rPr>
            <a:t>🖨️ Rand.</a:t>
          </a:r>
          <a:r>
            <a:rPr lang="en-US" sz="800" baseline="0">
              <a:solidFill>
                <a:schemeClr val="lt1"/>
              </a:solidFill>
              <a:effectLst/>
              <a:latin typeface="+mn-lt"/>
              <a:ea typeface="+mn-ea"/>
              <a:cs typeface="+mn-cs"/>
            </a:rPr>
            <a:t> Sort &amp; PRINT </a:t>
          </a:r>
          <a:endParaRPr lang="en-US" sz="800"/>
        </a:p>
      </xdr:txBody>
    </xdr:sp>
    <xdr:clientData fPrintsWithSheet="0"/>
  </xdr:twoCellAnchor>
  <xdr:twoCellAnchor editAs="oneCell">
    <xdr:from>
      <xdr:col>15</xdr:col>
      <xdr:colOff>332339</xdr:colOff>
      <xdr:row>0</xdr:row>
      <xdr:rowOff>58836</xdr:rowOff>
    </xdr:from>
    <xdr:to>
      <xdr:col>17</xdr:col>
      <xdr:colOff>435429</xdr:colOff>
      <xdr:row>2</xdr:row>
      <xdr:rowOff>172931</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451018" y="58836"/>
          <a:ext cx="642840" cy="481488"/>
        </a:xfrm>
        <a:prstGeom prst="rect">
          <a:avLst/>
        </a:prstGeom>
      </xdr:spPr>
    </xdr:pic>
    <xdr:clientData/>
  </xdr:twoCellAnchor>
  <xdr:twoCellAnchor editAs="oneCell">
    <xdr:from>
      <xdr:col>2</xdr:col>
      <xdr:colOff>259768</xdr:colOff>
      <xdr:row>0</xdr:row>
      <xdr:rowOff>58836</xdr:rowOff>
    </xdr:from>
    <xdr:to>
      <xdr:col>5</xdr:col>
      <xdr:colOff>362858</xdr:colOff>
      <xdr:row>2</xdr:row>
      <xdr:rowOff>172931</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59768" y="58836"/>
          <a:ext cx="642840" cy="4814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21</xdr:col>
      <xdr:colOff>901984</xdr:colOff>
      <xdr:row>219</xdr:row>
      <xdr:rowOff>47626</xdr:rowOff>
    </xdr:from>
    <xdr:to>
      <xdr:col>21</xdr:col>
      <xdr:colOff>2731849</xdr:colOff>
      <xdr:row>233</xdr:row>
      <xdr:rowOff>38100</xdr:rowOff>
    </xdr:to>
    <mc:AlternateContent xmlns:mc="http://schemas.openxmlformats.org/markup-compatibility/2006" xmlns:sle15="http://schemas.microsoft.com/office/drawing/2012/slicer">
      <mc:Choice Requires="sle15">
        <xdr:graphicFrame macro="">
          <xdr:nvGraphicFramePr>
            <xdr:cNvPr id="3" name="Section">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ection"/>
            </a:graphicData>
          </a:graphic>
        </xdr:graphicFrame>
      </mc:Choice>
      <mc:Fallback xmlns="">
        <xdr:sp macro="" textlink="">
          <xdr:nvSpPr>
            <xdr:cNvPr id="0" name=""/>
            <xdr:cNvSpPr>
              <a:spLocks noTextEdit="1"/>
            </xdr:cNvSpPr>
          </xdr:nvSpPr>
          <xdr:spPr>
            <a:xfrm>
              <a:off x="25043831" y="3174701"/>
              <a:ext cx="1828351" cy="250651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128587</xdr:colOff>
      <xdr:row>0</xdr:row>
      <xdr:rowOff>57150</xdr:rowOff>
    </xdr:from>
    <xdr:to>
      <xdr:col>7</xdr:col>
      <xdr:colOff>609600</xdr:colOff>
      <xdr:row>0</xdr:row>
      <xdr:rowOff>347663</xdr:rowOff>
    </xdr:to>
    <xdr:sp macro="[0]!PrintJudgeSheetForSelected" textlink="">
      <xdr:nvSpPr>
        <xdr:cNvPr id="4" name="Rectangle 3">
          <a:extLst>
            <a:ext uri="{FF2B5EF4-FFF2-40B4-BE49-F238E27FC236}">
              <a16:creationId xmlns:a16="http://schemas.microsoft.com/office/drawing/2014/main" id="{00000000-0008-0000-0400-000004000000}"/>
            </a:ext>
          </a:extLst>
        </xdr:cNvPr>
        <xdr:cNvSpPr/>
      </xdr:nvSpPr>
      <xdr:spPr>
        <a:xfrm>
          <a:off x="128587" y="57150"/>
          <a:ext cx="5986463" cy="29051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PRINT</a:t>
          </a:r>
          <a:r>
            <a:rPr lang="en-US" sz="1100" baseline="0"/>
            <a:t> JUDGE. SHEET FOR SELECTED PROGRAMS</a:t>
          </a:r>
          <a:endParaRPr lang="en-US" sz="1100"/>
        </a:p>
      </xdr:txBody>
    </xdr:sp>
    <xdr:clientData/>
  </xdr:twoCellAnchor>
  <xdr:twoCellAnchor editAs="absolute">
    <xdr:from>
      <xdr:col>21</xdr:col>
      <xdr:colOff>964974</xdr:colOff>
      <xdr:row>233</xdr:row>
      <xdr:rowOff>110616</xdr:rowOff>
    </xdr:from>
    <xdr:to>
      <xdr:col>21</xdr:col>
      <xdr:colOff>2795288</xdr:colOff>
      <xdr:row>247</xdr:row>
      <xdr:rowOff>101090</xdr:rowOff>
    </xdr:to>
    <mc:AlternateContent xmlns:mc="http://schemas.openxmlformats.org/markup-compatibility/2006" xmlns:sle15="http://schemas.microsoft.com/office/drawing/2012/slicer">
      <mc:Choice Requires="sle15">
        <xdr:graphicFrame macro="">
          <xdr:nvGraphicFramePr>
            <xdr:cNvPr id="5" name="Single/Group">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Single/Group"/>
            </a:graphicData>
          </a:graphic>
        </xdr:graphicFrame>
      </mc:Choice>
      <mc:Fallback xmlns="">
        <xdr:sp macro="" textlink="">
          <xdr:nvSpPr>
            <xdr:cNvPr id="0" name=""/>
            <xdr:cNvSpPr>
              <a:spLocks noTextEdit="1"/>
            </xdr:cNvSpPr>
          </xdr:nvSpPr>
          <xdr:spPr>
            <a:xfrm>
              <a:off x="25106821" y="5753729"/>
              <a:ext cx="1828800" cy="250651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345832</xdr:colOff>
      <xdr:row>209</xdr:row>
      <xdr:rowOff>113275</xdr:rowOff>
    </xdr:from>
    <xdr:to>
      <xdr:col>17</xdr:col>
      <xdr:colOff>731688</xdr:colOff>
      <xdr:row>232</xdr:row>
      <xdr:rowOff>38064</xdr:rowOff>
    </xdr:to>
    <mc:AlternateContent xmlns:mc="http://schemas.openxmlformats.org/markup-compatibility/2006" xmlns:sle15="http://schemas.microsoft.com/office/drawing/2012/slicer">
      <mc:Choice Requires="sle15">
        <xdr:graphicFrame macro="">
          <xdr:nvGraphicFramePr>
            <xdr:cNvPr id="6" name="Date">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11893557" y="1451056"/>
              <a:ext cx="5030631" cy="410936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740596</xdr:colOff>
      <xdr:row>211</xdr:row>
      <xdr:rowOff>135276</xdr:rowOff>
    </xdr:from>
    <xdr:to>
      <xdr:col>9</xdr:col>
      <xdr:colOff>637639</xdr:colOff>
      <xdr:row>225</xdr:row>
      <xdr:rowOff>112266</xdr:rowOff>
    </xdr:to>
    <mc:AlternateContent xmlns:mc="http://schemas.openxmlformats.org/markup-compatibility/2006" xmlns:sle15="http://schemas.microsoft.com/office/drawing/2012/slicer">
      <mc:Choice Requires="sle15">
        <xdr:graphicFrame macro="">
          <xdr:nvGraphicFramePr>
            <xdr:cNvPr id="7" name="Stage/Non-stage">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microsoft.com/office/drawing/2010/slicer">
              <sle:slicer xmlns:sle="http://schemas.microsoft.com/office/drawing/2010/slicer" name="Stage/Non-stage"/>
            </a:graphicData>
          </a:graphic>
        </xdr:graphicFrame>
      </mc:Choice>
      <mc:Fallback xmlns="">
        <xdr:sp macro="" textlink="">
          <xdr:nvSpPr>
            <xdr:cNvPr id="0" name=""/>
            <xdr:cNvSpPr>
              <a:spLocks noTextEdit="1"/>
            </xdr:cNvSpPr>
          </xdr:nvSpPr>
          <xdr:spPr>
            <a:xfrm>
              <a:off x="9634163" y="183693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12</xdr:col>
      <xdr:colOff>195263</xdr:colOff>
      <xdr:row>1</xdr:row>
      <xdr:rowOff>14288</xdr:rowOff>
    </xdr:from>
    <xdr:to>
      <xdr:col>12</xdr:col>
      <xdr:colOff>1338263</xdr:colOff>
      <xdr:row>1</xdr:row>
      <xdr:rowOff>271463</xdr:rowOff>
    </xdr:to>
    <xdr:sp macro="[0]!btnHideOthers_Click" textlink="">
      <xdr:nvSpPr>
        <xdr:cNvPr id="3" name="btnHideOthers">
          <a:extLst>
            <a:ext uri="{FF2B5EF4-FFF2-40B4-BE49-F238E27FC236}">
              <a16:creationId xmlns:a16="http://schemas.microsoft.com/office/drawing/2014/main" id="{00000000-0008-0000-0600-000003000000}"/>
            </a:ext>
          </a:extLst>
        </xdr:cNvPr>
        <xdr:cNvSpPr/>
      </xdr:nvSpPr>
      <xdr:spPr>
        <a:xfrm>
          <a:off x="9672638" y="195263"/>
          <a:ext cx="1143000" cy="2571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HIDE</a:t>
          </a:r>
          <a:r>
            <a:rPr lang="en-US" sz="1100" baseline="0"/>
            <a:t> OTHERS</a:t>
          </a:r>
          <a:endParaRPr lang="en-US" sz="1100"/>
        </a:p>
      </xdr:txBody>
    </xdr:sp>
    <xdr:clientData/>
  </xdr:twoCellAnchor>
  <xdr:twoCellAnchor>
    <xdr:from>
      <xdr:col>0</xdr:col>
      <xdr:colOff>33338</xdr:colOff>
      <xdr:row>0</xdr:row>
      <xdr:rowOff>38099</xdr:rowOff>
    </xdr:from>
    <xdr:to>
      <xdr:col>7</xdr:col>
      <xdr:colOff>747712</xdr:colOff>
      <xdr:row>1</xdr:row>
      <xdr:rowOff>204787</xdr:rowOff>
    </xdr:to>
    <xdr:sp macro="[0]!FillProgramCandidatesSheet" textlink="">
      <xdr:nvSpPr>
        <xdr:cNvPr id="2" name="Rectangle 1">
          <a:extLst>
            <a:ext uri="{FF2B5EF4-FFF2-40B4-BE49-F238E27FC236}">
              <a16:creationId xmlns:a16="http://schemas.microsoft.com/office/drawing/2014/main" id="{00000000-0008-0000-0600-000002000000}"/>
            </a:ext>
          </a:extLst>
        </xdr:cNvPr>
        <xdr:cNvSpPr/>
      </xdr:nvSpPr>
      <xdr:spPr>
        <a:xfrm>
          <a:off x="33338" y="38099"/>
          <a:ext cx="6700837" cy="34766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FILL</a:t>
          </a:r>
          <a:r>
            <a:rPr lang="en-US" sz="1400" b="1" baseline="0"/>
            <a:t> THE LIST</a:t>
          </a:r>
          <a:endParaRPr lang="en-US" sz="1400" b="1"/>
        </a:p>
      </xdr:txBody>
    </xdr:sp>
    <xdr:clientData fPrintsWithSheet="0"/>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500063</xdr:colOff>
          <xdr:row>2</xdr:row>
          <xdr:rowOff>61913</xdr:rowOff>
        </xdr:from>
        <xdr:to>
          <xdr:col>8</xdr:col>
          <xdr:colOff>414338</xdr:colOff>
          <xdr:row>4</xdr:row>
          <xdr:rowOff>161925</xdr:rowOff>
        </xdr:to>
        <xdr:sp macro="" textlink="">
          <xdr:nvSpPr>
            <xdr:cNvPr id="8193" name="btnFillProgramsOfCandidates"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79c2bead5a87975f/Documents/MDIA%20FEST%202023/ARTS/FMS_RESULT_MANAGER.xlsm" TargetMode="External"/><Relationship Id="rId1" Type="http://schemas.openxmlformats.org/officeDocument/2006/relationships/externalLinkPath" Target="FMS_RESULT_MANAG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79c2bead5a87975f" itemId="79c2bead5a87975f!30178">
      <xxl21:absoluteUrl r:id="rId2"/>
    </xxl21:alternateUrls>
    <sheetNames>
      <sheetName val="SETTINGS"/>
      <sheetName val="I AM ASHRAF HUDAWI"/>
      <sheetName val="🏠MENU"/>
      <sheetName val="BASIC"/>
      <sheetName val="TEAMS"/>
      <sheetName val="CANDIDATES"/>
      <sheetName val="PROGRAMS"/>
      <sheetName val="PROGRAM STATUS"/>
      <sheetName val="PROGRAM REGI. LIMITS"/>
      <sheetName val="PROGRAM REGI."/>
      <sheetName val="CHECK REGI. LIMITS"/>
      <sheetName val="SEARCH"/>
      <sheetName val="ADD RESULT"/>
      <sheetName val="RESULT SEARCH"/>
      <sheetName val="MINUS AND PLUS"/>
      <sheetName val="lists for dropdown in filter"/>
    </sheetNames>
    <definedNames>
      <definedName name="detailsof_candidates" refersTo="='CANDIDATES'!$C$7:$M$506"/>
      <definedName name="detailsof_programs" refersTo="='PROGRAMS'!$C$7:$L$506"/>
      <definedName name="detailsof_teams" refersTo="='TEAMS'!$C$7:$AL$66"/>
      <definedName name="listof_sections" refersTo="='BASIC'!$E$7:$E$16"/>
      <definedName name="str_festname" refersTo="='BASIC'!$H$4"/>
    </definedNames>
    <sheetDataSet>
      <sheetData sheetId="0"/>
      <sheetData sheetId="1"/>
      <sheetData sheetId="2"/>
      <sheetData sheetId="3">
        <row r="4">
          <cell r="H4" t="str">
            <v>KALANKAM '23</v>
          </cell>
        </row>
        <row r="7">
          <cell r="D7">
            <v>1</v>
          </cell>
          <cell r="E7" t="str">
            <v>SUB JUNIOR</v>
          </cell>
        </row>
        <row r="8">
          <cell r="D8">
            <v>2</v>
          </cell>
          <cell r="E8" t="str">
            <v>JUNIOR</v>
          </cell>
          <cell r="N8" t="str">
            <v>All Entered &amp; Outed</v>
          </cell>
          <cell r="S8">
            <v>205</v>
          </cell>
          <cell r="V8">
            <v>100</v>
          </cell>
        </row>
        <row r="9">
          <cell r="D9">
            <v>3</v>
          </cell>
          <cell r="E9" t="str">
            <v>SENIOR</v>
          </cell>
          <cell r="N9" t="str">
            <v>Checked to publish</v>
          </cell>
          <cell r="S9">
            <v>0</v>
          </cell>
          <cell r="V9">
            <v>0</v>
          </cell>
        </row>
        <row r="10">
          <cell r="D10">
            <v>4</v>
          </cell>
          <cell r="E10" t="str">
            <v>SUPER SENIOR</v>
          </cell>
          <cell r="N10" t="str">
            <v>Published</v>
          </cell>
          <cell r="S10">
            <v>205</v>
          </cell>
          <cell r="V10">
            <v>100</v>
          </cell>
        </row>
        <row r="11">
          <cell r="D11">
            <v>5</v>
          </cell>
          <cell r="E11" t="str">
            <v>GENERAL</v>
          </cell>
          <cell r="N11" t="str">
            <v>Locked</v>
          </cell>
          <cell r="S11">
            <v>0</v>
          </cell>
          <cell r="V11">
            <v>0</v>
          </cell>
        </row>
        <row r="12">
          <cell r="D12">
            <v>6</v>
          </cell>
          <cell r="N12" t="str">
            <v>Not even entered</v>
          </cell>
          <cell r="S12">
            <v>1</v>
          </cell>
          <cell r="V12">
            <v>0.48780487804878048</v>
          </cell>
        </row>
        <row r="13">
          <cell r="D13">
            <v>7</v>
          </cell>
          <cell r="N13" t="str">
            <v>Published + To publish</v>
          </cell>
          <cell r="S13">
            <v>205</v>
          </cell>
          <cell r="V13">
            <v>100</v>
          </cell>
        </row>
        <row r="14">
          <cell r="D14">
            <v>8</v>
          </cell>
          <cell r="N14" t="str">
            <v>Total</v>
          </cell>
          <cell r="S14">
            <v>205</v>
          </cell>
          <cell r="V14">
            <v>100</v>
          </cell>
        </row>
        <row r="15">
          <cell r="D15">
            <v>9</v>
          </cell>
          <cell r="N15" t="str">
            <v>Status</v>
          </cell>
        </row>
        <row r="16">
          <cell r="D16">
            <v>10</v>
          </cell>
        </row>
        <row r="18">
          <cell r="D18" t="str">
            <v>Position Score Scale</v>
          </cell>
          <cell r="N18" t="str">
            <v>Grade Score Scale</v>
          </cell>
        </row>
        <row r="19">
          <cell r="D19" t="str">
            <v>SL</v>
          </cell>
          <cell r="F19" t="str">
            <v>Type</v>
          </cell>
          <cell r="J19" t="str">
            <v>1st</v>
          </cell>
          <cell r="K19" t="str">
            <v>2nd</v>
          </cell>
          <cell r="L19" t="str">
            <v>3rd</v>
          </cell>
          <cell r="N19" t="str">
            <v>SL</v>
          </cell>
          <cell r="O19" t="str">
            <v>Type</v>
          </cell>
          <cell r="S19" t="str">
            <v>A</v>
          </cell>
          <cell r="T19" t="str">
            <v>B</v>
          </cell>
          <cell r="U19" t="str">
            <v>C</v>
          </cell>
          <cell r="V19" t="str">
            <v>D</v>
          </cell>
        </row>
        <row r="20">
          <cell r="D20">
            <v>1</v>
          </cell>
          <cell r="E20" t="str">
            <v>Counted as
PERSONAL SCORE</v>
          </cell>
          <cell r="F20" t="str">
            <v>Individual</v>
          </cell>
          <cell r="J20">
            <v>5</v>
          </cell>
          <cell r="K20">
            <v>3</v>
          </cell>
          <cell r="L20">
            <v>1</v>
          </cell>
          <cell r="N20">
            <v>1</v>
          </cell>
          <cell r="O20" t="str">
            <v>Individual</v>
          </cell>
          <cell r="S20">
            <v>5</v>
          </cell>
          <cell r="T20">
            <v>3</v>
          </cell>
          <cell r="U20">
            <v>1</v>
          </cell>
        </row>
        <row r="21">
          <cell r="D21">
            <v>2</v>
          </cell>
          <cell r="F21" t="str">
            <v>Master</v>
          </cell>
          <cell r="J21">
            <v>6</v>
          </cell>
          <cell r="K21">
            <v>4</v>
          </cell>
          <cell r="L21">
            <v>2</v>
          </cell>
          <cell r="N21">
            <v>2</v>
          </cell>
          <cell r="O21" t="str">
            <v>Master</v>
          </cell>
          <cell r="S21">
            <v>6</v>
          </cell>
          <cell r="T21">
            <v>4</v>
          </cell>
          <cell r="U21">
            <v>2</v>
          </cell>
        </row>
        <row r="22">
          <cell r="D22">
            <v>3</v>
          </cell>
          <cell r="N22">
            <v>3</v>
          </cell>
          <cell r="O22" t="str">
            <v>GROUP</v>
          </cell>
          <cell r="S22">
            <v>5</v>
          </cell>
          <cell r="T22">
            <v>3</v>
          </cell>
          <cell r="U22">
            <v>1</v>
          </cell>
        </row>
        <row r="23">
          <cell r="D23">
            <v>4</v>
          </cell>
          <cell r="N23">
            <v>4</v>
          </cell>
          <cell r="O23" t="str">
            <v>GENERAL</v>
          </cell>
          <cell r="S23">
            <v>5</v>
          </cell>
          <cell r="T23">
            <v>3</v>
          </cell>
          <cell r="U23">
            <v>1</v>
          </cell>
        </row>
        <row r="24">
          <cell r="D24">
            <v>5</v>
          </cell>
          <cell r="E24" t="str">
            <v>NOT counted as 
PERSONAL SCORE</v>
          </cell>
          <cell r="F24" t="str">
            <v>GROUP</v>
          </cell>
          <cell r="J24">
            <v>7</v>
          </cell>
          <cell r="K24">
            <v>5</v>
          </cell>
          <cell r="L24">
            <v>3</v>
          </cell>
          <cell r="N24">
            <v>5</v>
          </cell>
          <cell r="O24" t="str">
            <v>STARRED</v>
          </cell>
          <cell r="S24">
            <v>7</v>
          </cell>
          <cell r="T24">
            <v>5</v>
          </cell>
          <cell r="U24">
            <v>3</v>
          </cell>
        </row>
        <row r="25">
          <cell r="D25">
            <v>6</v>
          </cell>
          <cell r="F25" t="str">
            <v>GENERAL</v>
          </cell>
          <cell r="J25">
            <v>10</v>
          </cell>
          <cell r="K25">
            <v>7</v>
          </cell>
          <cell r="L25">
            <v>5</v>
          </cell>
          <cell r="N25">
            <v>6</v>
          </cell>
        </row>
        <row r="26">
          <cell r="D26">
            <v>7</v>
          </cell>
          <cell r="F26" t="str">
            <v>STARRED</v>
          </cell>
          <cell r="J26">
            <v>15</v>
          </cell>
          <cell r="K26">
            <v>10</v>
          </cell>
          <cell r="L26">
            <v>5</v>
          </cell>
          <cell r="N26">
            <v>7</v>
          </cell>
        </row>
        <row r="27">
          <cell r="D27">
            <v>8</v>
          </cell>
          <cell r="N27">
            <v>8</v>
          </cell>
        </row>
        <row r="28">
          <cell r="D28">
            <v>9</v>
          </cell>
          <cell r="N28">
            <v>9</v>
          </cell>
        </row>
        <row r="29">
          <cell r="D29">
            <v>10</v>
          </cell>
          <cell r="N29">
            <v>10</v>
          </cell>
        </row>
        <row r="49">
          <cell r="E49" t="str">
            <v>SAVED VARIABLES LIST</v>
          </cell>
        </row>
        <row r="50">
          <cell r="E50" t="str">
            <v>isBasicsConfirmed</v>
          </cell>
          <cell r="G50" t="b">
            <v>1</v>
          </cell>
        </row>
        <row r="51">
          <cell r="E51" t="str">
            <v>isTeamsConfirmed</v>
          </cell>
          <cell r="G51" t="b">
            <v>0</v>
          </cell>
        </row>
        <row r="52">
          <cell r="E52" t="str">
            <v>isCandidatesConfirmed</v>
          </cell>
          <cell r="G52" t="b">
            <v>1</v>
          </cell>
        </row>
        <row r="53">
          <cell r="E53" t="str">
            <v>isProgramsConfirmed</v>
          </cell>
          <cell r="G53" t="b">
            <v>0</v>
          </cell>
        </row>
        <row r="58">
          <cell r="S58">
            <v>1</v>
          </cell>
        </row>
        <row r="59">
          <cell r="S59">
            <v>1</v>
          </cell>
        </row>
        <row r="60">
          <cell r="S60">
            <v>6</v>
          </cell>
        </row>
      </sheetData>
      <sheetData sheetId="4">
        <row r="7">
          <cell r="C7" t="str">
            <v>FANT</v>
          </cell>
          <cell r="D7" t="str">
            <v>FANTHALAYAN</v>
          </cell>
          <cell r="E7">
            <v>1265</v>
          </cell>
          <cell r="F7">
            <v>1265</v>
          </cell>
          <cell r="G7">
            <v>1265</v>
          </cell>
          <cell r="H7">
            <v>0</v>
          </cell>
          <cell r="I7">
            <v>-3</v>
          </cell>
          <cell r="J7">
            <v>1262</v>
          </cell>
          <cell r="K7">
            <v>1262</v>
          </cell>
          <cell r="L7">
            <v>1262</v>
          </cell>
          <cell r="M7">
            <v>2</v>
          </cell>
          <cell r="N7">
            <v>2</v>
          </cell>
          <cell r="O7">
            <v>2</v>
          </cell>
          <cell r="P7">
            <v>2</v>
          </cell>
          <cell r="Q7">
            <v>2</v>
          </cell>
          <cell r="R7">
            <v>2</v>
          </cell>
          <cell r="S7">
            <v>279.5</v>
          </cell>
          <cell r="T7">
            <v>238</v>
          </cell>
          <cell r="U7">
            <v>281</v>
          </cell>
          <cell r="V7">
            <v>342.5</v>
          </cell>
          <cell r="W7">
            <v>124</v>
          </cell>
          <cell r="X7">
            <v>0</v>
          </cell>
          <cell r="Y7">
            <v>0</v>
          </cell>
          <cell r="Z7">
            <v>0</v>
          </cell>
          <cell r="AA7">
            <v>0</v>
          </cell>
          <cell r="AB7">
            <v>0</v>
          </cell>
          <cell r="AC7">
            <v>279.5</v>
          </cell>
          <cell r="AD7">
            <v>238</v>
          </cell>
          <cell r="AE7">
            <v>281</v>
          </cell>
          <cell r="AF7">
            <v>342.5</v>
          </cell>
          <cell r="AG7">
            <v>124</v>
          </cell>
          <cell r="AH7">
            <v>0</v>
          </cell>
          <cell r="AI7">
            <v>0</v>
          </cell>
          <cell r="AJ7">
            <v>0</v>
          </cell>
          <cell r="AK7">
            <v>0</v>
          </cell>
          <cell r="AL7">
            <v>0</v>
          </cell>
        </row>
        <row r="8">
          <cell r="C8" t="str">
            <v>DAHF</v>
          </cell>
          <cell r="D8" t="str">
            <v>DAHFATHAN</v>
          </cell>
          <cell r="E8">
            <v>1242.5</v>
          </cell>
          <cell r="F8">
            <v>1242.5</v>
          </cell>
          <cell r="G8">
            <v>1242.5</v>
          </cell>
          <cell r="H8">
            <v>0</v>
          </cell>
          <cell r="I8">
            <v>-4</v>
          </cell>
          <cell r="J8">
            <v>1238.5</v>
          </cell>
          <cell r="K8">
            <v>1238.5</v>
          </cell>
          <cell r="L8">
            <v>1238.5</v>
          </cell>
          <cell r="M8">
            <v>3</v>
          </cell>
          <cell r="N8">
            <v>3</v>
          </cell>
          <cell r="O8">
            <v>3</v>
          </cell>
          <cell r="P8">
            <v>3</v>
          </cell>
          <cell r="Q8">
            <v>3</v>
          </cell>
          <cell r="R8">
            <v>3</v>
          </cell>
          <cell r="S8">
            <v>304</v>
          </cell>
          <cell r="T8">
            <v>229.5</v>
          </cell>
          <cell r="U8">
            <v>287.5</v>
          </cell>
          <cell r="V8">
            <v>286</v>
          </cell>
          <cell r="W8">
            <v>135.5</v>
          </cell>
          <cell r="X8">
            <v>0</v>
          </cell>
          <cell r="Y8">
            <v>0</v>
          </cell>
          <cell r="Z8">
            <v>0</v>
          </cell>
          <cell r="AA8">
            <v>0</v>
          </cell>
          <cell r="AB8">
            <v>0</v>
          </cell>
          <cell r="AC8">
            <v>304</v>
          </cell>
          <cell r="AD8">
            <v>229.5</v>
          </cell>
          <cell r="AE8">
            <v>287.5</v>
          </cell>
          <cell r="AF8">
            <v>286</v>
          </cell>
          <cell r="AG8">
            <v>135.5</v>
          </cell>
          <cell r="AH8">
            <v>0</v>
          </cell>
          <cell r="AI8">
            <v>0</v>
          </cell>
          <cell r="AJ8">
            <v>0</v>
          </cell>
          <cell r="AK8">
            <v>0</v>
          </cell>
          <cell r="AL8">
            <v>0</v>
          </cell>
        </row>
        <row r="9">
          <cell r="C9" t="str">
            <v>BADF</v>
          </cell>
          <cell r="D9" t="str">
            <v>BADFATHAN</v>
          </cell>
          <cell r="E9">
            <v>1275</v>
          </cell>
          <cell r="F9">
            <v>1275</v>
          </cell>
          <cell r="G9">
            <v>1275</v>
          </cell>
          <cell r="H9">
            <v>0</v>
          </cell>
          <cell r="I9">
            <v>-2</v>
          </cell>
          <cell r="J9">
            <v>1273</v>
          </cell>
          <cell r="K9">
            <v>1273</v>
          </cell>
          <cell r="L9">
            <v>1273</v>
          </cell>
          <cell r="M9">
            <v>1</v>
          </cell>
          <cell r="N9">
            <v>1</v>
          </cell>
          <cell r="O9">
            <v>1</v>
          </cell>
          <cell r="P9">
            <v>1</v>
          </cell>
          <cell r="Q9">
            <v>1</v>
          </cell>
          <cell r="R9">
            <v>1</v>
          </cell>
          <cell r="S9">
            <v>304</v>
          </cell>
          <cell r="T9">
            <v>256</v>
          </cell>
          <cell r="U9">
            <v>295.5</v>
          </cell>
          <cell r="V9">
            <v>279</v>
          </cell>
          <cell r="W9">
            <v>140.5</v>
          </cell>
          <cell r="X9">
            <v>0</v>
          </cell>
          <cell r="Y9">
            <v>0</v>
          </cell>
          <cell r="Z9">
            <v>0</v>
          </cell>
          <cell r="AA9">
            <v>0</v>
          </cell>
          <cell r="AB9">
            <v>0</v>
          </cell>
          <cell r="AC9">
            <v>304</v>
          </cell>
          <cell r="AD9">
            <v>256</v>
          </cell>
          <cell r="AE9">
            <v>295.5</v>
          </cell>
          <cell r="AF9">
            <v>279</v>
          </cell>
          <cell r="AG9">
            <v>140.5</v>
          </cell>
          <cell r="AH9">
            <v>0</v>
          </cell>
          <cell r="AI9">
            <v>0</v>
          </cell>
          <cell r="AJ9">
            <v>0</v>
          </cell>
          <cell r="AK9">
            <v>0</v>
          </cell>
          <cell r="AL9">
            <v>0</v>
          </cell>
        </row>
        <row r="10">
          <cell r="C10" t="str">
            <v>JARF</v>
          </cell>
          <cell r="D10" t="str">
            <v>JARFATHAN</v>
          </cell>
          <cell r="E10">
            <v>1241.5</v>
          </cell>
          <cell r="F10">
            <v>1241.5</v>
          </cell>
          <cell r="G10">
            <v>1241.5</v>
          </cell>
          <cell r="H10">
            <v>0</v>
          </cell>
          <cell r="I10">
            <v>-4</v>
          </cell>
          <cell r="J10">
            <v>1237.5</v>
          </cell>
          <cell r="K10">
            <v>1237.5</v>
          </cell>
          <cell r="L10">
            <v>1237.5</v>
          </cell>
          <cell r="M10">
            <v>4</v>
          </cell>
          <cell r="N10">
            <v>4</v>
          </cell>
          <cell r="O10">
            <v>4</v>
          </cell>
          <cell r="P10">
            <v>4</v>
          </cell>
          <cell r="Q10">
            <v>4</v>
          </cell>
          <cell r="R10">
            <v>4</v>
          </cell>
          <cell r="S10">
            <v>271.5</v>
          </cell>
          <cell r="T10">
            <v>265.5</v>
          </cell>
          <cell r="U10">
            <v>306</v>
          </cell>
          <cell r="V10">
            <v>245.5</v>
          </cell>
          <cell r="W10">
            <v>153</v>
          </cell>
          <cell r="X10">
            <v>0</v>
          </cell>
          <cell r="Y10">
            <v>0</v>
          </cell>
          <cell r="Z10">
            <v>0</v>
          </cell>
          <cell r="AA10">
            <v>0</v>
          </cell>
          <cell r="AB10">
            <v>0</v>
          </cell>
          <cell r="AC10">
            <v>271.5</v>
          </cell>
          <cell r="AD10">
            <v>265.5</v>
          </cell>
          <cell r="AE10">
            <v>306</v>
          </cell>
          <cell r="AF10">
            <v>245.5</v>
          </cell>
          <cell r="AG10">
            <v>153</v>
          </cell>
          <cell r="AH10">
            <v>0</v>
          </cell>
          <cell r="AI10">
            <v>0</v>
          </cell>
          <cell r="AJ10">
            <v>0</v>
          </cell>
          <cell r="AK10">
            <v>0</v>
          </cell>
          <cell r="AL10">
            <v>0</v>
          </cell>
        </row>
        <row r="11">
          <cell r="C11"/>
          <cell r="D11"/>
          <cell r="E11">
            <v>0</v>
          </cell>
          <cell r="F11">
            <v>0</v>
          </cell>
          <cell r="G11">
            <v>0</v>
          </cell>
          <cell r="H11">
            <v>0</v>
          </cell>
          <cell r="I11">
            <v>0</v>
          </cell>
          <cell r="J11">
            <v>0</v>
          </cell>
          <cell r="K11">
            <v>0</v>
          </cell>
          <cell r="L11" t="str">
            <v/>
          </cell>
          <cell r="M11" t="str">
            <v/>
          </cell>
          <cell r="N11" t="str">
            <v/>
          </cell>
          <cell r="O11" t="str">
            <v/>
          </cell>
          <cell r="P11" t="str">
            <v/>
          </cell>
          <cell r="Q11" t="str">
            <v/>
          </cell>
          <cell r="R11" t="str">
            <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row>
        <row r="12">
          <cell r="C12"/>
          <cell r="D12"/>
          <cell r="E12">
            <v>0</v>
          </cell>
          <cell r="F12">
            <v>0</v>
          </cell>
          <cell r="G12">
            <v>0</v>
          </cell>
          <cell r="H12">
            <v>0</v>
          </cell>
          <cell r="I12">
            <v>0</v>
          </cell>
          <cell r="J12">
            <v>0</v>
          </cell>
          <cell r="K12">
            <v>0</v>
          </cell>
          <cell r="L12" t="str">
            <v/>
          </cell>
          <cell r="M12" t="str">
            <v/>
          </cell>
          <cell r="N12" t="str">
            <v/>
          </cell>
          <cell r="O12" t="str">
            <v/>
          </cell>
          <cell r="P12" t="str">
            <v/>
          </cell>
          <cell r="Q12" t="str">
            <v/>
          </cell>
          <cell r="R12" t="str">
            <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row>
        <row r="13">
          <cell r="C13"/>
          <cell r="D13"/>
          <cell r="E13">
            <v>0</v>
          </cell>
          <cell r="F13">
            <v>0</v>
          </cell>
          <cell r="G13">
            <v>0</v>
          </cell>
          <cell r="H13">
            <v>0</v>
          </cell>
          <cell r="I13">
            <v>0</v>
          </cell>
          <cell r="J13">
            <v>0</v>
          </cell>
          <cell r="K13">
            <v>0</v>
          </cell>
          <cell r="L13" t="str">
            <v/>
          </cell>
          <cell r="M13" t="str">
            <v/>
          </cell>
          <cell r="N13" t="str">
            <v/>
          </cell>
          <cell r="O13" t="str">
            <v/>
          </cell>
          <cell r="P13" t="str">
            <v/>
          </cell>
          <cell r="Q13" t="str">
            <v/>
          </cell>
          <cell r="R13" t="str">
            <v/>
          </cell>
          <cell r="S13">
            <v>0</v>
          </cell>
          <cell r="T13">
            <v>0</v>
          </cell>
          <cell r="U13">
            <v>0</v>
          </cell>
          <cell r="V13">
            <v>0</v>
          </cell>
          <cell r="W13">
            <v>0</v>
          </cell>
          <cell r="X13">
            <v>0</v>
          </cell>
          <cell r="Y13">
            <v>0</v>
          </cell>
          <cell r="Z13">
            <v>0</v>
          </cell>
          <cell r="AA13">
            <v>0</v>
          </cell>
          <cell r="AB13">
            <v>0</v>
          </cell>
          <cell r="AC13">
            <v>0</v>
          </cell>
          <cell r="AD13"/>
          <cell r="AE13">
            <v>0</v>
          </cell>
          <cell r="AF13">
            <v>0</v>
          </cell>
          <cell r="AG13">
            <v>0</v>
          </cell>
          <cell r="AH13">
            <v>0</v>
          </cell>
          <cell r="AI13">
            <v>0</v>
          </cell>
          <cell r="AJ13">
            <v>0</v>
          </cell>
          <cell r="AK13">
            <v>0</v>
          </cell>
          <cell r="AL13">
            <v>0</v>
          </cell>
        </row>
        <row r="14">
          <cell r="C14"/>
          <cell r="D14"/>
          <cell r="E14">
            <v>0</v>
          </cell>
          <cell r="F14">
            <v>0</v>
          </cell>
          <cell r="G14">
            <v>0</v>
          </cell>
          <cell r="H14">
            <v>0</v>
          </cell>
          <cell r="I14">
            <v>0</v>
          </cell>
          <cell r="J14">
            <v>0</v>
          </cell>
          <cell r="K14">
            <v>0</v>
          </cell>
          <cell r="L14" t="str">
            <v/>
          </cell>
          <cell r="M14" t="str">
            <v/>
          </cell>
          <cell r="N14" t="str">
            <v/>
          </cell>
          <cell r="O14" t="str">
            <v/>
          </cell>
          <cell r="P14" t="str">
            <v/>
          </cell>
          <cell r="Q14" t="str">
            <v/>
          </cell>
          <cell r="R14" t="str">
            <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row>
        <row r="15">
          <cell r="C15"/>
          <cell r="D15"/>
          <cell r="E15">
            <v>0</v>
          </cell>
          <cell r="F15">
            <v>0</v>
          </cell>
          <cell r="G15">
            <v>0</v>
          </cell>
          <cell r="H15">
            <v>0</v>
          </cell>
          <cell r="I15">
            <v>0</v>
          </cell>
          <cell r="J15">
            <v>0</v>
          </cell>
          <cell r="K15">
            <v>0</v>
          </cell>
          <cell r="L15" t="str">
            <v/>
          </cell>
          <cell r="M15" t="str">
            <v/>
          </cell>
          <cell r="N15" t="str">
            <v/>
          </cell>
          <cell r="O15" t="str">
            <v/>
          </cell>
          <cell r="P15" t="str">
            <v/>
          </cell>
          <cell r="Q15" t="str">
            <v/>
          </cell>
          <cell r="R15" t="str">
            <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row>
        <row r="16">
          <cell r="C16"/>
          <cell r="D16"/>
          <cell r="E16">
            <v>0</v>
          </cell>
          <cell r="F16">
            <v>0</v>
          </cell>
          <cell r="G16">
            <v>0</v>
          </cell>
          <cell r="H16">
            <v>0</v>
          </cell>
          <cell r="I16">
            <v>0</v>
          </cell>
          <cell r="J16">
            <v>0</v>
          </cell>
          <cell r="K16">
            <v>0</v>
          </cell>
          <cell r="L16" t="str">
            <v/>
          </cell>
          <cell r="M16" t="str">
            <v/>
          </cell>
          <cell r="N16" t="str">
            <v/>
          </cell>
          <cell r="O16" t="str">
            <v/>
          </cell>
          <cell r="P16" t="str">
            <v/>
          </cell>
          <cell r="Q16" t="str">
            <v/>
          </cell>
          <cell r="R16" t="str">
            <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row>
        <row r="17">
          <cell r="C17"/>
          <cell r="D17"/>
          <cell r="E17">
            <v>0</v>
          </cell>
          <cell r="F17">
            <v>0</v>
          </cell>
          <cell r="G17">
            <v>0</v>
          </cell>
          <cell r="H17">
            <v>0</v>
          </cell>
          <cell r="I17">
            <v>0</v>
          </cell>
          <cell r="J17">
            <v>0</v>
          </cell>
          <cell r="K17">
            <v>0</v>
          </cell>
          <cell r="L17" t="str">
            <v/>
          </cell>
          <cell r="M17" t="str">
            <v/>
          </cell>
          <cell r="N17" t="str">
            <v/>
          </cell>
          <cell r="O17" t="str">
            <v/>
          </cell>
          <cell r="P17" t="str">
            <v/>
          </cell>
          <cell r="Q17" t="str">
            <v/>
          </cell>
          <cell r="R17" t="str">
            <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row>
        <row r="18">
          <cell r="C18"/>
          <cell r="D18"/>
          <cell r="E18">
            <v>0</v>
          </cell>
          <cell r="F18">
            <v>0</v>
          </cell>
          <cell r="G18">
            <v>0</v>
          </cell>
          <cell r="H18">
            <v>0</v>
          </cell>
          <cell r="I18">
            <v>0</v>
          </cell>
          <cell r="J18">
            <v>0</v>
          </cell>
          <cell r="K18">
            <v>0</v>
          </cell>
          <cell r="L18" t="str">
            <v/>
          </cell>
          <cell r="M18" t="str">
            <v/>
          </cell>
          <cell r="N18" t="str">
            <v/>
          </cell>
          <cell r="O18" t="str">
            <v/>
          </cell>
          <cell r="P18" t="str">
            <v/>
          </cell>
          <cell r="Q18" t="str">
            <v/>
          </cell>
          <cell r="R18" t="str">
            <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row>
        <row r="19">
          <cell r="C19"/>
          <cell r="D19"/>
          <cell r="E19">
            <v>0</v>
          </cell>
          <cell r="F19">
            <v>0</v>
          </cell>
          <cell r="G19">
            <v>0</v>
          </cell>
          <cell r="H19">
            <v>0</v>
          </cell>
          <cell r="I19">
            <v>0</v>
          </cell>
          <cell r="J19">
            <v>0</v>
          </cell>
          <cell r="K19">
            <v>0</v>
          </cell>
          <cell r="L19" t="str">
            <v/>
          </cell>
          <cell r="M19" t="str">
            <v/>
          </cell>
          <cell r="N19" t="str">
            <v/>
          </cell>
          <cell r="O19" t="str">
            <v/>
          </cell>
          <cell r="P19" t="str">
            <v/>
          </cell>
          <cell r="Q19" t="str">
            <v/>
          </cell>
          <cell r="R19" t="str">
            <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row>
        <row r="20">
          <cell r="C20"/>
          <cell r="D20"/>
          <cell r="E20">
            <v>0</v>
          </cell>
          <cell r="F20">
            <v>0</v>
          </cell>
          <cell r="G20">
            <v>0</v>
          </cell>
          <cell r="H20">
            <v>0</v>
          </cell>
          <cell r="I20">
            <v>0</v>
          </cell>
          <cell r="J20">
            <v>0</v>
          </cell>
          <cell r="K20">
            <v>0</v>
          </cell>
          <cell r="L20" t="str">
            <v/>
          </cell>
          <cell r="M20" t="str">
            <v/>
          </cell>
          <cell r="N20" t="str">
            <v/>
          </cell>
          <cell r="O20" t="str">
            <v/>
          </cell>
          <cell r="P20" t="str">
            <v/>
          </cell>
          <cell r="Q20" t="str">
            <v/>
          </cell>
          <cell r="R20" t="str">
            <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row>
        <row r="21">
          <cell r="C21"/>
          <cell r="D21"/>
          <cell r="E21">
            <v>0</v>
          </cell>
          <cell r="F21">
            <v>0</v>
          </cell>
          <cell r="G21">
            <v>0</v>
          </cell>
          <cell r="H21">
            <v>0</v>
          </cell>
          <cell r="I21">
            <v>0</v>
          </cell>
          <cell r="J21">
            <v>0</v>
          </cell>
          <cell r="K21">
            <v>0</v>
          </cell>
          <cell r="L21" t="str">
            <v/>
          </cell>
          <cell r="M21" t="str">
            <v/>
          </cell>
          <cell r="N21" t="str">
            <v/>
          </cell>
          <cell r="O21" t="str">
            <v/>
          </cell>
          <cell r="P21" t="str">
            <v/>
          </cell>
          <cell r="Q21" t="str">
            <v/>
          </cell>
          <cell r="R21" t="str">
            <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row>
        <row r="22">
          <cell r="C22"/>
          <cell r="D22"/>
          <cell r="E22">
            <v>0</v>
          </cell>
          <cell r="F22">
            <v>0</v>
          </cell>
          <cell r="G22">
            <v>0</v>
          </cell>
          <cell r="H22">
            <v>0</v>
          </cell>
          <cell r="I22">
            <v>0</v>
          </cell>
          <cell r="J22">
            <v>0</v>
          </cell>
          <cell r="K22">
            <v>0</v>
          </cell>
          <cell r="L22" t="str">
            <v/>
          </cell>
          <cell r="M22" t="str">
            <v/>
          </cell>
          <cell r="N22" t="str">
            <v/>
          </cell>
          <cell r="O22" t="str">
            <v/>
          </cell>
          <cell r="P22" t="str">
            <v/>
          </cell>
          <cell r="Q22" t="str">
            <v/>
          </cell>
          <cell r="R22" t="str">
            <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row>
        <row r="23">
          <cell r="C23"/>
          <cell r="D23"/>
          <cell r="E23">
            <v>0</v>
          </cell>
          <cell r="F23">
            <v>0</v>
          </cell>
          <cell r="G23">
            <v>0</v>
          </cell>
          <cell r="H23">
            <v>0</v>
          </cell>
          <cell r="I23">
            <v>0</v>
          </cell>
          <cell r="J23">
            <v>0</v>
          </cell>
          <cell r="K23">
            <v>0</v>
          </cell>
          <cell r="L23" t="str">
            <v/>
          </cell>
          <cell r="M23" t="str">
            <v/>
          </cell>
          <cell r="N23" t="str">
            <v/>
          </cell>
          <cell r="O23" t="str">
            <v/>
          </cell>
          <cell r="P23" t="str">
            <v/>
          </cell>
          <cell r="Q23" t="str">
            <v/>
          </cell>
          <cell r="R23" t="str">
            <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row>
        <row r="24">
          <cell r="C24"/>
          <cell r="D24"/>
          <cell r="E24">
            <v>0</v>
          </cell>
          <cell r="F24">
            <v>0</v>
          </cell>
          <cell r="G24">
            <v>0</v>
          </cell>
          <cell r="H24">
            <v>0</v>
          </cell>
          <cell r="I24">
            <v>0</v>
          </cell>
          <cell r="J24">
            <v>0</v>
          </cell>
          <cell r="K24">
            <v>0</v>
          </cell>
          <cell r="L24" t="str">
            <v/>
          </cell>
          <cell r="M24" t="str">
            <v/>
          </cell>
          <cell r="N24" t="str">
            <v/>
          </cell>
          <cell r="O24" t="str">
            <v/>
          </cell>
          <cell r="P24" t="str">
            <v/>
          </cell>
          <cell r="Q24" t="str">
            <v/>
          </cell>
          <cell r="R24" t="str">
            <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row>
        <row r="25">
          <cell r="C25"/>
          <cell r="D25"/>
          <cell r="E25">
            <v>0</v>
          </cell>
          <cell r="F25">
            <v>0</v>
          </cell>
          <cell r="G25">
            <v>0</v>
          </cell>
          <cell r="H25">
            <v>0</v>
          </cell>
          <cell r="I25">
            <v>0</v>
          </cell>
          <cell r="J25">
            <v>0</v>
          </cell>
          <cell r="K25">
            <v>0</v>
          </cell>
          <cell r="L25" t="str">
            <v/>
          </cell>
          <cell r="M25" t="str">
            <v/>
          </cell>
          <cell r="N25" t="str">
            <v/>
          </cell>
          <cell r="O25" t="str">
            <v/>
          </cell>
          <cell r="P25" t="str">
            <v/>
          </cell>
          <cell r="Q25" t="str">
            <v/>
          </cell>
          <cell r="R25" t="str">
            <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row>
        <row r="26">
          <cell r="C26"/>
          <cell r="D26"/>
          <cell r="E26">
            <v>0</v>
          </cell>
          <cell r="F26">
            <v>0</v>
          </cell>
          <cell r="G26">
            <v>0</v>
          </cell>
          <cell r="H26">
            <v>0</v>
          </cell>
          <cell r="I26">
            <v>0</v>
          </cell>
          <cell r="J26">
            <v>0</v>
          </cell>
          <cell r="K26">
            <v>0</v>
          </cell>
          <cell r="L26" t="str">
            <v/>
          </cell>
          <cell r="M26" t="str">
            <v/>
          </cell>
          <cell r="N26" t="str">
            <v/>
          </cell>
          <cell r="O26" t="str">
            <v/>
          </cell>
          <cell r="P26" t="str">
            <v/>
          </cell>
          <cell r="Q26" t="str">
            <v/>
          </cell>
          <cell r="R26" t="str">
            <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row>
        <row r="27">
          <cell r="C27"/>
          <cell r="D27"/>
          <cell r="E27">
            <v>0</v>
          </cell>
          <cell r="F27">
            <v>0</v>
          </cell>
          <cell r="G27">
            <v>0</v>
          </cell>
          <cell r="H27">
            <v>0</v>
          </cell>
          <cell r="I27">
            <v>0</v>
          </cell>
          <cell r="J27">
            <v>0</v>
          </cell>
          <cell r="K27">
            <v>0</v>
          </cell>
          <cell r="L27" t="str">
            <v/>
          </cell>
          <cell r="M27" t="str">
            <v/>
          </cell>
          <cell r="N27" t="str">
            <v/>
          </cell>
          <cell r="O27" t="str">
            <v/>
          </cell>
          <cell r="P27" t="str">
            <v/>
          </cell>
          <cell r="Q27" t="str">
            <v/>
          </cell>
          <cell r="R27" t="str">
            <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row>
        <row r="28">
          <cell r="C28"/>
          <cell r="D28"/>
          <cell r="E28">
            <v>0</v>
          </cell>
          <cell r="F28">
            <v>0</v>
          </cell>
          <cell r="G28">
            <v>0</v>
          </cell>
          <cell r="H28">
            <v>0</v>
          </cell>
          <cell r="I28">
            <v>0</v>
          </cell>
          <cell r="J28">
            <v>0</v>
          </cell>
          <cell r="K28">
            <v>0</v>
          </cell>
          <cell r="L28" t="str">
            <v/>
          </cell>
          <cell r="M28" t="str">
            <v/>
          </cell>
          <cell r="N28" t="str">
            <v/>
          </cell>
          <cell r="O28" t="str">
            <v/>
          </cell>
          <cell r="P28" t="str">
            <v/>
          </cell>
          <cell r="Q28" t="str">
            <v/>
          </cell>
          <cell r="R28" t="str">
            <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row>
        <row r="29">
          <cell r="C29"/>
          <cell r="D29"/>
          <cell r="E29">
            <v>0</v>
          </cell>
          <cell r="F29">
            <v>0</v>
          </cell>
          <cell r="G29">
            <v>0</v>
          </cell>
          <cell r="H29">
            <v>0</v>
          </cell>
          <cell r="I29">
            <v>0</v>
          </cell>
          <cell r="J29">
            <v>0</v>
          </cell>
          <cell r="K29">
            <v>0</v>
          </cell>
          <cell r="L29" t="str">
            <v/>
          </cell>
          <cell r="M29" t="str">
            <v/>
          </cell>
          <cell r="N29" t="str">
            <v/>
          </cell>
          <cell r="O29" t="str">
            <v/>
          </cell>
          <cell r="P29" t="str">
            <v/>
          </cell>
          <cell r="Q29" t="str">
            <v/>
          </cell>
          <cell r="R29" t="str">
            <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row>
        <row r="30">
          <cell r="C30"/>
          <cell r="D30"/>
          <cell r="E30">
            <v>0</v>
          </cell>
          <cell r="F30">
            <v>0</v>
          </cell>
          <cell r="G30">
            <v>0</v>
          </cell>
          <cell r="H30">
            <v>0</v>
          </cell>
          <cell r="I30">
            <v>0</v>
          </cell>
          <cell r="J30">
            <v>0</v>
          </cell>
          <cell r="K30">
            <v>0</v>
          </cell>
          <cell r="L30" t="str">
            <v/>
          </cell>
          <cell r="M30" t="str">
            <v/>
          </cell>
          <cell r="N30" t="str">
            <v/>
          </cell>
          <cell r="O30" t="str">
            <v/>
          </cell>
          <cell r="P30" t="str">
            <v/>
          </cell>
          <cell r="Q30" t="str">
            <v/>
          </cell>
          <cell r="R30" t="str">
            <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row>
        <row r="31">
          <cell r="C31"/>
          <cell r="D31"/>
          <cell r="E31">
            <v>0</v>
          </cell>
          <cell r="F31">
            <v>0</v>
          </cell>
          <cell r="G31">
            <v>0</v>
          </cell>
          <cell r="H31">
            <v>0</v>
          </cell>
          <cell r="I31">
            <v>0</v>
          </cell>
          <cell r="J31">
            <v>0</v>
          </cell>
          <cell r="K31">
            <v>0</v>
          </cell>
          <cell r="L31" t="str">
            <v/>
          </cell>
          <cell r="M31" t="str">
            <v/>
          </cell>
          <cell r="N31" t="str">
            <v/>
          </cell>
          <cell r="O31" t="str">
            <v/>
          </cell>
          <cell r="P31" t="str">
            <v/>
          </cell>
          <cell r="Q31" t="str">
            <v/>
          </cell>
          <cell r="R31" t="str">
            <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row>
        <row r="32">
          <cell r="C32"/>
          <cell r="D32"/>
          <cell r="E32">
            <v>0</v>
          </cell>
          <cell r="F32">
            <v>0</v>
          </cell>
          <cell r="G32">
            <v>0</v>
          </cell>
          <cell r="H32">
            <v>0</v>
          </cell>
          <cell r="I32">
            <v>0</v>
          </cell>
          <cell r="J32">
            <v>0</v>
          </cell>
          <cell r="K32">
            <v>0</v>
          </cell>
          <cell r="L32" t="str">
            <v/>
          </cell>
          <cell r="M32" t="str">
            <v/>
          </cell>
          <cell r="N32" t="str">
            <v/>
          </cell>
          <cell r="O32" t="str">
            <v/>
          </cell>
          <cell r="P32" t="str">
            <v/>
          </cell>
          <cell r="Q32" t="str">
            <v/>
          </cell>
          <cell r="R32" t="str">
            <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row>
        <row r="33">
          <cell r="C33"/>
          <cell r="D33"/>
          <cell r="E33">
            <v>0</v>
          </cell>
          <cell r="F33">
            <v>0</v>
          </cell>
          <cell r="G33">
            <v>0</v>
          </cell>
          <cell r="H33">
            <v>0</v>
          </cell>
          <cell r="I33">
            <v>0</v>
          </cell>
          <cell r="J33">
            <v>0</v>
          </cell>
          <cell r="K33">
            <v>0</v>
          </cell>
          <cell r="L33" t="str">
            <v/>
          </cell>
          <cell r="M33" t="str">
            <v/>
          </cell>
          <cell r="N33" t="str">
            <v/>
          </cell>
          <cell r="O33" t="str">
            <v/>
          </cell>
          <cell r="P33" t="str">
            <v/>
          </cell>
          <cell r="Q33" t="str">
            <v/>
          </cell>
          <cell r="R33" t="str">
            <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row>
        <row r="34">
          <cell r="C34"/>
          <cell r="D34"/>
          <cell r="E34">
            <v>0</v>
          </cell>
          <cell r="F34">
            <v>0</v>
          </cell>
          <cell r="G34">
            <v>0</v>
          </cell>
          <cell r="H34">
            <v>0</v>
          </cell>
          <cell r="I34">
            <v>0</v>
          </cell>
          <cell r="J34">
            <v>0</v>
          </cell>
          <cell r="K34">
            <v>0</v>
          </cell>
          <cell r="L34" t="str">
            <v/>
          </cell>
          <cell r="M34" t="str">
            <v/>
          </cell>
          <cell r="N34" t="str">
            <v/>
          </cell>
          <cell r="O34" t="str">
            <v/>
          </cell>
          <cell r="P34" t="str">
            <v/>
          </cell>
          <cell r="Q34" t="str">
            <v/>
          </cell>
          <cell r="R34" t="str">
            <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row>
        <row r="35">
          <cell r="C35"/>
          <cell r="D35"/>
          <cell r="E35">
            <v>0</v>
          </cell>
          <cell r="F35">
            <v>0</v>
          </cell>
          <cell r="G35">
            <v>0</v>
          </cell>
          <cell r="H35">
            <v>0</v>
          </cell>
          <cell r="I35">
            <v>0</v>
          </cell>
          <cell r="J35">
            <v>0</v>
          </cell>
          <cell r="K35">
            <v>0</v>
          </cell>
          <cell r="L35" t="str">
            <v/>
          </cell>
          <cell r="M35" t="str">
            <v/>
          </cell>
          <cell r="N35" t="str">
            <v/>
          </cell>
          <cell r="O35" t="str">
            <v/>
          </cell>
          <cell r="P35" t="str">
            <v/>
          </cell>
          <cell r="Q35" t="str">
            <v/>
          </cell>
          <cell r="R35" t="str">
            <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row>
        <row r="36">
          <cell r="C36"/>
          <cell r="D36"/>
          <cell r="E36">
            <v>0</v>
          </cell>
          <cell r="F36">
            <v>0</v>
          </cell>
          <cell r="G36">
            <v>0</v>
          </cell>
          <cell r="H36">
            <v>0</v>
          </cell>
          <cell r="I36">
            <v>0</v>
          </cell>
          <cell r="J36">
            <v>0</v>
          </cell>
          <cell r="K36">
            <v>0</v>
          </cell>
          <cell r="L36" t="str">
            <v/>
          </cell>
          <cell r="M36" t="str">
            <v/>
          </cell>
          <cell r="N36" t="str">
            <v/>
          </cell>
          <cell r="O36" t="str">
            <v/>
          </cell>
          <cell r="P36" t="str">
            <v/>
          </cell>
          <cell r="Q36" t="str">
            <v/>
          </cell>
          <cell r="R36" t="str">
            <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row>
        <row r="37">
          <cell r="C37"/>
          <cell r="D37"/>
          <cell r="E37">
            <v>0</v>
          </cell>
          <cell r="F37">
            <v>0</v>
          </cell>
          <cell r="G37">
            <v>0</v>
          </cell>
          <cell r="H37">
            <v>0</v>
          </cell>
          <cell r="I37">
            <v>0</v>
          </cell>
          <cell r="J37">
            <v>0</v>
          </cell>
          <cell r="K37">
            <v>0</v>
          </cell>
          <cell r="L37" t="str">
            <v/>
          </cell>
          <cell r="M37" t="str">
            <v/>
          </cell>
          <cell r="N37" t="str">
            <v/>
          </cell>
          <cell r="O37" t="str">
            <v/>
          </cell>
          <cell r="P37" t="str">
            <v/>
          </cell>
          <cell r="Q37" t="str">
            <v/>
          </cell>
          <cell r="R37" t="str">
            <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row>
        <row r="38">
          <cell r="C38"/>
          <cell r="D38"/>
          <cell r="E38">
            <v>0</v>
          </cell>
          <cell r="F38">
            <v>0</v>
          </cell>
          <cell r="G38">
            <v>0</v>
          </cell>
          <cell r="H38">
            <v>0</v>
          </cell>
          <cell r="I38">
            <v>0</v>
          </cell>
          <cell r="J38">
            <v>0</v>
          </cell>
          <cell r="K38">
            <v>0</v>
          </cell>
          <cell r="L38" t="str">
            <v/>
          </cell>
          <cell r="M38" t="str">
            <v/>
          </cell>
          <cell r="N38" t="str">
            <v/>
          </cell>
          <cell r="O38" t="str">
            <v/>
          </cell>
          <cell r="P38" t="str">
            <v/>
          </cell>
          <cell r="Q38" t="str">
            <v/>
          </cell>
          <cell r="R38" t="str">
            <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row>
        <row r="39">
          <cell r="C39"/>
          <cell r="D39"/>
          <cell r="E39">
            <v>0</v>
          </cell>
          <cell r="F39">
            <v>0</v>
          </cell>
          <cell r="G39">
            <v>0</v>
          </cell>
          <cell r="H39">
            <v>0</v>
          </cell>
          <cell r="I39">
            <v>0</v>
          </cell>
          <cell r="J39">
            <v>0</v>
          </cell>
          <cell r="K39">
            <v>0</v>
          </cell>
          <cell r="L39" t="str">
            <v/>
          </cell>
          <cell r="M39" t="str">
            <v/>
          </cell>
          <cell r="N39" t="str">
            <v/>
          </cell>
          <cell r="O39" t="str">
            <v/>
          </cell>
          <cell r="P39" t="str">
            <v/>
          </cell>
          <cell r="Q39" t="str">
            <v/>
          </cell>
          <cell r="R39" t="str">
            <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row>
        <row r="40">
          <cell r="C40"/>
          <cell r="D40"/>
          <cell r="E40">
            <v>0</v>
          </cell>
          <cell r="F40">
            <v>0</v>
          </cell>
          <cell r="G40">
            <v>0</v>
          </cell>
          <cell r="H40">
            <v>0</v>
          </cell>
          <cell r="I40">
            <v>0</v>
          </cell>
          <cell r="J40">
            <v>0</v>
          </cell>
          <cell r="K40">
            <v>0</v>
          </cell>
          <cell r="L40" t="str">
            <v/>
          </cell>
          <cell r="M40" t="str">
            <v/>
          </cell>
          <cell r="N40" t="str">
            <v/>
          </cell>
          <cell r="O40" t="str">
            <v/>
          </cell>
          <cell r="P40" t="str">
            <v/>
          </cell>
          <cell r="Q40" t="str">
            <v/>
          </cell>
          <cell r="R40" t="str">
            <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row>
        <row r="41">
          <cell r="C41"/>
          <cell r="D41"/>
          <cell r="E41">
            <v>0</v>
          </cell>
          <cell r="F41">
            <v>0</v>
          </cell>
          <cell r="G41">
            <v>0</v>
          </cell>
          <cell r="H41">
            <v>0</v>
          </cell>
          <cell r="I41">
            <v>0</v>
          </cell>
          <cell r="J41">
            <v>0</v>
          </cell>
          <cell r="K41">
            <v>0</v>
          </cell>
          <cell r="L41" t="str">
            <v/>
          </cell>
          <cell r="M41" t="str">
            <v/>
          </cell>
          <cell r="N41" t="str">
            <v/>
          </cell>
          <cell r="O41" t="str">
            <v/>
          </cell>
          <cell r="P41" t="str">
            <v/>
          </cell>
          <cell r="Q41" t="str">
            <v/>
          </cell>
          <cell r="R41" t="str">
            <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row>
        <row r="42">
          <cell r="C42"/>
          <cell r="D42"/>
          <cell r="E42">
            <v>0</v>
          </cell>
          <cell r="F42">
            <v>0</v>
          </cell>
          <cell r="G42">
            <v>0</v>
          </cell>
          <cell r="H42">
            <v>0</v>
          </cell>
          <cell r="I42">
            <v>0</v>
          </cell>
          <cell r="J42">
            <v>0</v>
          </cell>
          <cell r="K42">
            <v>0</v>
          </cell>
          <cell r="L42" t="str">
            <v/>
          </cell>
          <cell r="M42" t="str">
            <v/>
          </cell>
          <cell r="N42" t="str">
            <v/>
          </cell>
          <cell r="O42" t="str">
            <v/>
          </cell>
          <cell r="P42" t="str">
            <v/>
          </cell>
          <cell r="Q42" t="str">
            <v/>
          </cell>
          <cell r="R42" t="str">
            <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row>
        <row r="43">
          <cell r="C43"/>
          <cell r="D43"/>
          <cell r="E43">
            <v>0</v>
          </cell>
          <cell r="F43">
            <v>0</v>
          </cell>
          <cell r="G43">
            <v>0</v>
          </cell>
          <cell r="H43">
            <v>0</v>
          </cell>
          <cell r="I43">
            <v>0</v>
          </cell>
          <cell r="J43">
            <v>0</v>
          </cell>
          <cell r="K43">
            <v>0</v>
          </cell>
          <cell r="L43" t="str">
            <v/>
          </cell>
          <cell r="M43" t="str">
            <v/>
          </cell>
          <cell r="N43" t="str">
            <v/>
          </cell>
          <cell r="O43" t="str">
            <v/>
          </cell>
          <cell r="P43" t="str">
            <v/>
          </cell>
          <cell r="Q43" t="str">
            <v/>
          </cell>
          <cell r="R43" t="str">
            <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row>
        <row r="44">
          <cell r="C44"/>
          <cell r="D44"/>
          <cell r="E44">
            <v>0</v>
          </cell>
          <cell r="F44">
            <v>0</v>
          </cell>
          <cell r="G44">
            <v>0</v>
          </cell>
          <cell r="H44">
            <v>0</v>
          </cell>
          <cell r="I44">
            <v>0</v>
          </cell>
          <cell r="J44">
            <v>0</v>
          </cell>
          <cell r="K44">
            <v>0</v>
          </cell>
          <cell r="L44" t="str">
            <v/>
          </cell>
          <cell r="M44" t="str">
            <v/>
          </cell>
          <cell r="N44" t="str">
            <v/>
          </cell>
          <cell r="O44" t="str">
            <v/>
          </cell>
          <cell r="P44" t="str">
            <v/>
          </cell>
          <cell r="Q44" t="str">
            <v/>
          </cell>
          <cell r="R44" t="str">
            <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row>
        <row r="45">
          <cell r="C45"/>
          <cell r="D45"/>
          <cell r="E45">
            <v>0</v>
          </cell>
          <cell r="F45">
            <v>0</v>
          </cell>
          <cell r="G45">
            <v>0</v>
          </cell>
          <cell r="H45">
            <v>0</v>
          </cell>
          <cell r="I45">
            <v>0</v>
          </cell>
          <cell r="J45">
            <v>0</v>
          </cell>
          <cell r="K45">
            <v>0</v>
          </cell>
          <cell r="L45" t="str">
            <v/>
          </cell>
          <cell r="M45" t="str">
            <v/>
          </cell>
          <cell r="N45" t="str">
            <v/>
          </cell>
          <cell r="O45" t="str">
            <v/>
          </cell>
          <cell r="P45" t="str">
            <v/>
          </cell>
          <cell r="Q45" t="str">
            <v/>
          </cell>
          <cell r="R45" t="str">
            <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row>
        <row r="46">
          <cell r="C46"/>
          <cell r="D46"/>
          <cell r="E46">
            <v>0</v>
          </cell>
          <cell r="F46">
            <v>0</v>
          </cell>
          <cell r="G46">
            <v>0</v>
          </cell>
          <cell r="H46">
            <v>0</v>
          </cell>
          <cell r="I46">
            <v>0</v>
          </cell>
          <cell r="J46">
            <v>0</v>
          </cell>
          <cell r="K46">
            <v>0</v>
          </cell>
          <cell r="L46" t="str">
            <v/>
          </cell>
          <cell r="M46" t="str">
            <v/>
          </cell>
          <cell r="N46" t="str">
            <v/>
          </cell>
          <cell r="O46" t="str">
            <v/>
          </cell>
          <cell r="P46" t="str">
            <v/>
          </cell>
          <cell r="Q46" t="str">
            <v/>
          </cell>
          <cell r="R46" t="str">
            <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row>
        <row r="47">
          <cell r="C47"/>
          <cell r="D47"/>
          <cell r="E47">
            <v>0</v>
          </cell>
          <cell r="F47">
            <v>0</v>
          </cell>
          <cell r="G47">
            <v>0</v>
          </cell>
          <cell r="H47">
            <v>0</v>
          </cell>
          <cell r="I47">
            <v>0</v>
          </cell>
          <cell r="J47">
            <v>0</v>
          </cell>
          <cell r="K47">
            <v>0</v>
          </cell>
          <cell r="L47" t="str">
            <v/>
          </cell>
          <cell r="M47" t="str">
            <v/>
          </cell>
          <cell r="N47" t="str">
            <v/>
          </cell>
          <cell r="O47" t="str">
            <v/>
          </cell>
          <cell r="P47" t="str">
            <v/>
          </cell>
          <cell r="Q47" t="str">
            <v/>
          </cell>
          <cell r="R47" t="str">
            <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row>
        <row r="48">
          <cell r="C48"/>
          <cell r="D48"/>
          <cell r="E48">
            <v>0</v>
          </cell>
          <cell r="F48">
            <v>0</v>
          </cell>
          <cell r="G48">
            <v>0</v>
          </cell>
          <cell r="H48">
            <v>0</v>
          </cell>
          <cell r="I48">
            <v>0</v>
          </cell>
          <cell r="J48">
            <v>0</v>
          </cell>
          <cell r="K48">
            <v>0</v>
          </cell>
          <cell r="L48" t="str">
            <v/>
          </cell>
          <cell r="M48" t="str">
            <v/>
          </cell>
          <cell r="N48" t="str">
            <v/>
          </cell>
          <cell r="O48" t="str">
            <v/>
          </cell>
          <cell r="P48" t="str">
            <v/>
          </cell>
          <cell r="Q48" t="str">
            <v/>
          </cell>
          <cell r="R48" t="str">
            <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row>
        <row r="49">
          <cell r="C49"/>
          <cell r="D49"/>
          <cell r="E49">
            <v>0</v>
          </cell>
          <cell r="F49">
            <v>0</v>
          </cell>
          <cell r="G49">
            <v>0</v>
          </cell>
          <cell r="H49">
            <v>0</v>
          </cell>
          <cell r="I49">
            <v>0</v>
          </cell>
          <cell r="J49">
            <v>0</v>
          </cell>
          <cell r="K49">
            <v>0</v>
          </cell>
          <cell r="L49" t="str">
            <v/>
          </cell>
          <cell r="M49" t="str">
            <v/>
          </cell>
          <cell r="N49" t="str">
            <v/>
          </cell>
          <cell r="O49" t="str">
            <v/>
          </cell>
          <cell r="P49" t="str">
            <v/>
          </cell>
          <cell r="Q49" t="str">
            <v/>
          </cell>
          <cell r="R49" t="str">
            <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row>
        <row r="50">
          <cell r="C50"/>
          <cell r="D50"/>
          <cell r="E50">
            <v>0</v>
          </cell>
          <cell r="F50">
            <v>0</v>
          </cell>
          <cell r="G50">
            <v>0</v>
          </cell>
          <cell r="H50">
            <v>0</v>
          </cell>
          <cell r="I50">
            <v>0</v>
          </cell>
          <cell r="J50">
            <v>0</v>
          </cell>
          <cell r="K50">
            <v>0</v>
          </cell>
          <cell r="L50" t="str">
            <v/>
          </cell>
          <cell r="M50" t="str">
            <v/>
          </cell>
          <cell r="N50" t="str">
            <v/>
          </cell>
          <cell r="O50" t="str">
            <v/>
          </cell>
          <cell r="P50" t="str">
            <v/>
          </cell>
          <cell r="Q50" t="str">
            <v/>
          </cell>
          <cell r="R50" t="str">
            <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row>
        <row r="51">
          <cell r="C51"/>
          <cell r="D51"/>
          <cell r="E51">
            <v>0</v>
          </cell>
          <cell r="F51">
            <v>0</v>
          </cell>
          <cell r="G51">
            <v>0</v>
          </cell>
          <cell r="H51">
            <v>0</v>
          </cell>
          <cell r="I51">
            <v>0</v>
          </cell>
          <cell r="J51">
            <v>0</v>
          </cell>
          <cell r="K51">
            <v>0</v>
          </cell>
          <cell r="L51" t="str">
            <v/>
          </cell>
          <cell r="M51" t="str">
            <v/>
          </cell>
          <cell r="N51" t="str">
            <v/>
          </cell>
          <cell r="O51" t="str">
            <v/>
          </cell>
          <cell r="P51" t="str">
            <v/>
          </cell>
          <cell r="Q51" t="str">
            <v/>
          </cell>
          <cell r="R51" t="str">
            <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row>
        <row r="52">
          <cell r="C52"/>
          <cell r="D52"/>
          <cell r="E52">
            <v>0</v>
          </cell>
          <cell r="F52">
            <v>0</v>
          </cell>
          <cell r="G52">
            <v>0</v>
          </cell>
          <cell r="H52">
            <v>0</v>
          </cell>
          <cell r="I52">
            <v>0</v>
          </cell>
          <cell r="J52">
            <v>0</v>
          </cell>
          <cell r="K52">
            <v>0</v>
          </cell>
          <cell r="L52" t="str">
            <v/>
          </cell>
          <cell r="M52" t="str">
            <v/>
          </cell>
          <cell r="N52" t="str">
            <v/>
          </cell>
          <cell r="O52" t="str">
            <v/>
          </cell>
          <cell r="P52" t="str">
            <v/>
          </cell>
          <cell r="Q52" t="str">
            <v/>
          </cell>
          <cell r="R52" t="str">
            <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row>
        <row r="53">
          <cell r="C53"/>
          <cell r="D53"/>
          <cell r="E53">
            <v>0</v>
          </cell>
          <cell r="F53">
            <v>0</v>
          </cell>
          <cell r="G53">
            <v>0</v>
          </cell>
          <cell r="H53">
            <v>0</v>
          </cell>
          <cell r="I53">
            <v>0</v>
          </cell>
          <cell r="J53">
            <v>0</v>
          </cell>
          <cell r="K53">
            <v>0</v>
          </cell>
          <cell r="L53" t="str">
            <v/>
          </cell>
          <cell r="M53" t="str">
            <v/>
          </cell>
          <cell r="N53" t="str">
            <v/>
          </cell>
          <cell r="O53" t="str">
            <v/>
          </cell>
          <cell r="P53" t="str">
            <v/>
          </cell>
          <cell r="Q53" t="str">
            <v/>
          </cell>
          <cell r="R53" t="str">
            <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row>
        <row r="54">
          <cell r="C54"/>
          <cell r="D54"/>
          <cell r="E54">
            <v>0</v>
          </cell>
          <cell r="F54">
            <v>0</v>
          </cell>
          <cell r="G54">
            <v>0</v>
          </cell>
          <cell r="H54">
            <v>0</v>
          </cell>
          <cell r="I54">
            <v>0</v>
          </cell>
          <cell r="J54">
            <v>0</v>
          </cell>
          <cell r="K54">
            <v>0</v>
          </cell>
          <cell r="L54" t="str">
            <v/>
          </cell>
          <cell r="M54" t="str">
            <v/>
          </cell>
          <cell r="N54" t="str">
            <v/>
          </cell>
          <cell r="O54" t="str">
            <v/>
          </cell>
          <cell r="P54" t="str">
            <v/>
          </cell>
          <cell r="Q54" t="str">
            <v/>
          </cell>
          <cell r="R54" t="str">
            <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row>
        <row r="55">
          <cell r="C55"/>
          <cell r="D55"/>
          <cell r="E55">
            <v>0</v>
          </cell>
          <cell r="F55">
            <v>0</v>
          </cell>
          <cell r="G55">
            <v>0</v>
          </cell>
          <cell r="H55">
            <v>0</v>
          </cell>
          <cell r="I55">
            <v>0</v>
          </cell>
          <cell r="J55">
            <v>0</v>
          </cell>
          <cell r="K55">
            <v>0</v>
          </cell>
          <cell r="L55" t="str">
            <v/>
          </cell>
          <cell r="M55" t="str">
            <v/>
          </cell>
          <cell r="N55" t="str">
            <v/>
          </cell>
          <cell r="O55" t="str">
            <v/>
          </cell>
          <cell r="P55" t="str">
            <v/>
          </cell>
          <cell r="Q55" t="str">
            <v/>
          </cell>
          <cell r="R55" t="str">
            <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row>
        <row r="56">
          <cell r="C56"/>
          <cell r="D56"/>
          <cell r="E56">
            <v>0</v>
          </cell>
          <cell r="F56">
            <v>0</v>
          </cell>
          <cell r="G56">
            <v>0</v>
          </cell>
          <cell r="H56">
            <v>0</v>
          </cell>
          <cell r="I56">
            <v>0</v>
          </cell>
          <cell r="J56">
            <v>0</v>
          </cell>
          <cell r="K56">
            <v>0</v>
          </cell>
          <cell r="L56" t="str">
            <v/>
          </cell>
          <cell r="M56" t="str">
            <v/>
          </cell>
          <cell r="N56" t="str">
            <v/>
          </cell>
          <cell r="O56" t="str">
            <v/>
          </cell>
          <cell r="P56" t="str">
            <v/>
          </cell>
          <cell r="Q56" t="str">
            <v/>
          </cell>
          <cell r="R56" t="str">
            <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row>
        <row r="57">
          <cell r="C57"/>
          <cell r="D57"/>
          <cell r="E57">
            <v>0</v>
          </cell>
          <cell r="F57">
            <v>0</v>
          </cell>
          <cell r="G57">
            <v>0</v>
          </cell>
          <cell r="H57">
            <v>0</v>
          </cell>
          <cell r="I57">
            <v>0</v>
          </cell>
          <cell r="J57">
            <v>0</v>
          </cell>
          <cell r="K57">
            <v>0</v>
          </cell>
          <cell r="L57" t="str">
            <v/>
          </cell>
          <cell r="M57" t="str">
            <v/>
          </cell>
          <cell r="N57" t="str">
            <v/>
          </cell>
          <cell r="O57" t="str">
            <v/>
          </cell>
          <cell r="P57" t="str">
            <v/>
          </cell>
          <cell r="Q57" t="str">
            <v/>
          </cell>
          <cell r="R57" t="str">
            <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row>
        <row r="58">
          <cell r="C58"/>
          <cell r="D58"/>
          <cell r="E58">
            <v>0</v>
          </cell>
          <cell r="F58">
            <v>0</v>
          </cell>
          <cell r="G58">
            <v>0</v>
          </cell>
          <cell r="H58">
            <v>0</v>
          </cell>
          <cell r="I58">
            <v>0</v>
          </cell>
          <cell r="J58">
            <v>0</v>
          </cell>
          <cell r="K58">
            <v>0</v>
          </cell>
          <cell r="L58" t="str">
            <v/>
          </cell>
          <cell r="M58" t="str">
            <v/>
          </cell>
          <cell r="N58" t="str">
            <v/>
          </cell>
          <cell r="O58" t="str">
            <v/>
          </cell>
          <cell r="P58" t="str">
            <v/>
          </cell>
          <cell r="Q58" t="str">
            <v/>
          </cell>
          <cell r="R58" t="str">
            <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row>
        <row r="59">
          <cell r="C59"/>
          <cell r="D59"/>
          <cell r="E59">
            <v>0</v>
          </cell>
          <cell r="F59">
            <v>0</v>
          </cell>
          <cell r="G59">
            <v>0</v>
          </cell>
          <cell r="H59">
            <v>0</v>
          </cell>
          <cell r="I59">
            <v>0</v>
          </cell>
          <cell r="J59">
            <v>0</v>
          </cell>
          <cell r="K59">
            <v>0</v>
          </cell>
          <cell r="L59" t="str">
            <v/>
          </cell>
          <cell r="M59" t="str">
            <v/>
          </cell>
          <cell r="N59" t="str">
            <v/>
          </cell>
          <cell r="O59" t="str">
            <v/>
          </cell>
          <cell r="P59" t="str">
            <v/>
          </cell>
          <cell r="Q59" t="str">
            <v/>
          </cell>
          <cell r="R59" t="str">
            <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row>
        <row r="60">
          <cell r="C60"/>
          <cell r="D60"/>
          <cell r="E60">
            <v>0</v>
          </cell>
          <cell r="F60">
            <v>0</v>
          </cell>
          <cell r="G60">
            <v>0</v>
          </cell>
          <cell r="H60">
            <v>0</v>
          </cell>
          <cell r="I60">
            <v>0</v>
          </cell>
          <cell r="J60">
            <v>0</v>
          </cell>
          <cell r="K60">
            <v>0</v>
          </cell>
          <cell r="L60" t="str">
            <v/>
          </cell>
          <cell r="M60" t="str">
            <v/>
          </cell>
          <cell r="N60" t="str">
            <v/>
          </cell>
          <cell r="O60" t="str">
            <v/>
          </cell>
          <cell r="P60" t="str">
            <v/>
          </cell>
          <cell r="Q60" t="str">
            <v/>
          </cell>
          <cell r="R60" t="str">
            <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row>
        <row r="61">
          <cell r="C61"/>
          <cell r="D61"/>
          <cell r="E61">
            <v>0</v>
          </cell>
          <cell r="F61">
            <v>0</v>
          </cell>
          <cell r="G61">
            <v>0</v>
          </cell>
          <cell r="H61">
            <v>0</v>
          </cell>
          <cell r="I61">
            <v>0</v>
          </cell>
          <cell r="J61">
            <v>0</v>
          </cell>
          <cell r="K61">
            <v>0</v>
          </cell>
          <cell r="L61" t="str">
            <v/>
          </cell>
          <cell r="M61" t="str">
            <v/>
          </cell>
          <cell r="N61" t="str">
            <v/>
          </cell>
          <cell r="O61" t="str">
            <v/>
          </cell>
          <cell r="P61" t="str">
            <v/>
          </cell>
          <cell r="Q61" t="str">
            <v/>
          </cell>
          <cell r="R61" t="str">
            <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row>
        <row r="62">
          <cell r="C62"/>
          <cell r="D62"/>
          <cell r="E62">
            <v>0</v>
          </cell>
          <cell r="F62">
            <v>0</v>
          </cell>
          <cell r="G62">
            <v>0</v>
          </cell>
          <cell r="H62">
            <v>0</v>
          </cell>
          <cell r="I62">
            <v>0</v>
          </cell>
          <cell r="J62">
            <v>0</v>
          </cell>
          <cell r="K62">
            <v>0</v>
          </cell>
          <cell r="L62" t="str">
            <v/>
          </cell>
          <cell r="M62" t="str">
            <v/>
          </cell>
          <cell r="N62" t="str">
            <v/>
          </cell>
          <cell r="O62" t="str">
            <v/>
          </cell>
          <cell r="P62" t="str">
            <v/>
          </cell>
          <cell r="Q62" t="str">
            <v/>
          </cell>
          <cell r="R62" t="str">
            <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row>
        <row r="63">
          <cell r="C63"/>
          <cell r="D63"/>
          <cell r="E63">
            <v>0</v>
          </cell>
          <cell r="F63">
            <v>0</v>
          </cell>
          <cell r="G63">
            <v>0</v>
          </cell>
          <cell r="H63">
            <v>0</v>
          </cell>
          <cell r="I63">
            <v>0</v>
          </cell>
          <cell r="J63">
            <v>0</v>
          </cell>
          <cell r="K63">
            <v>0</v>
          </cell>
          <cell r="L63" t="str">
            <v/>
          </cell>
          <cell r="M63" t="str">
            <v/>
          </cell>
          <cell r="N63" t="str">
            <v/>
          </cell>
          <cell r="O63" t="str">
            <v/>
          </cell>
          <cell r="P63" t="str">
            <v/>
          </cell>
          <cell r="Q63" t="str">
            <v/>
          </cell>
          <cell r="R63" t="str">
            <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row>
        <row r="64">
          <cell r="C64"/>
          <cell r="D64"/>
          <cell r="E64">
            <v>0</v>
          </cell>
          <cell r="F64">
            <v>0</v>
          </cell>
          <cell r="G64">
            <v>0</v>
          </cell>
          <cell r="H64">
            <v>0</v>
          </cell>
          <cell r="I64">
            <v>0</v>
          </cell>
          <cell r="J64">
            <v>0</v>
          </cell>
          <cell r="K64">
            <v>0</v>
          </cell>
          <cell r="L64" t="str">
            <v/>
          </cell>
          <cell r="M64" t="str">
            <v/>
          </cell>
          <cell r="N64" t="str">
            <v/>
          </cell>
          <cell r="O64" t="str">
            <v/>
          </cell>
          <cell r="P64" t="str">
            <v/>
          </cell>
          <cell r="Q64" t="str">
            <v/>
          </cell>
          <cell r="R64" t="str">
            <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row>
        <row r="65">
          <cell r="C65"/>
          <cell r="D65"/>
          <cell r="E65">
            <v>0</v>
          </cell>
          <cell r="F65">
            <v>0</v>
          </cell>
          <cell r="G65">
            <v>0</v>
          </cell>
          <cell r="H65">
            <v>0</v>
          </cell>
          <cell r="I65">
            <v>0</v>
          </cell>
          <cell r="J65">
            <v>0</v>
          </cell>
          <cell r="K65">
            <v>0</v>
          </cell>
          <cell r="L65" t="str">
            <v/>
          </cell>
          <cell r="M65" t="str">
            <v/>
          </cell>
          <cell r="N65" t="str">
            <v/>
          </cell>
          <cell r="O65" t="str">
            <v/>
          </cell>
          <cell r="P65" t="str">
            <v/>
          </cell>
          <cell r="Q65" t="str">
            <v/>
          </cell>
          <cell r="R65" t="str">
            <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row>
        <row r="66">
          <cell r="C66"/>
          <cell r="D66"/>
          <cell r="E66">
            <v>0</v>
          </cell>
          <cell r="F66">
            <v>0</v>
          </cell>
          <cell r="G66">
            <v>0</v>
          </cell>
          <cell r="H66">
            <v>0</v>
          </cell>
          <cell r="I66">
            <v>0</v>
          </cell>
          <cell r="J66">
            <v>0</v>
          </cell>
          <cell r="K66">
            <v>0</v>
          </cell>
          <cell r="L66" t="str">
            <v/>
          </cell>
          <cell r="M66" t="str">
            <v/>
          </cell>
          <cell r="N66" t="str">
            <v/>
          </cell>
          <cell r="O66" t="str">
            <v/>
          </cell>
          <cell r="P66" t="str">
            <v/>
          </cell>
          <cell r="Q66" t="str">
            <v/>
          </cell>
          <cell r="R66" t="str">
            <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row>
      </sheetData>
      <sheetData sheetId="5">
        <row r="7">
          <cell r="C7" t="str">
            <v>A100</v>
          </cell>
          <cell r="D7" t="str">
            <v>ADINAN ABOOBACKER K</v>
          </cell>
          <cell r="E7" t="str">
            <v>FANT</v>
          </cell>
          <cell r="F7" t="str">
            <v>SUB JUNIOR</v>
          </cell>
          <cell r="G7">
            <v>1</v>
          </cell>
          <cell r="H7">
            <v>0</v>
          </cell>
          <cell r="I7">
            <v>0</v>
          </cell>
          <cell r="J7">
            <v>0</v>
          </cell>
          <cell r="K7">
            <v>0</v>
          </cell>
          <cell r="L7">
            <v>255</v>
          </cell>
          <cell r="M7">
            <v>255</v>
          </cell>
        </row>
        <row r="8">
          <cell r="C8" t="str">
            <v>A101</v>
          </cell>
          <cell r="D8" t="str">
            <v>MUHAMMED TAMEEM</v>
          </cell>
          <cell r="E8" t="str">
            <v>JARF</v>
          </cell>
          <cell r="F8" t="str">
            <v>SUB JUNIOR</v>
          </cell>
          <cell r="G8">
            <v>1</v>
          </cell>
          <cell r="H8">
            <v>6</v>
          </cell>
          <cell r="I8">
            <v>0</v>
          </cell>
          <cell r="J8">
            <v>6</v>
          </cell>
          <cell r="K8">
            <v>6</v>
          </cell>
          <cell r="L8">
            <v>171</v>
          </cell>
          <cell r="M8">
            <v>171</v>
          </cell>
        </row>
        <row r="9">
          <cell r="C9" t="str">
            <v>A102</v>
          </cell>
          <cell r="D9" t="str">
            <v>AJZAL ASHRAF OV</v>
          </cell>
          <cell r="E9" t="str">
            <v>JARF</v>
          </cell>
          <cell r="F9" t="str">
            <v>SUB JUNIOR</v>
          </cell>
          <cell r="G9">
            <v>1</v>
          </cell>
          <cell r="H9">
            <v>14</v>
          </cell>
          <cell r="I9">
            <v>0</v>
          </cell>
          <cell r="J9">
            <v>14</v>
          </cell>
          <cell r="K9">
            <v>14</v>
          </cell>
          <cell r="L9">
            <v>104</v>
          </cell>
          <cell r="M9">
            <v>104</v>
          </cell>
        </row>
        <row r="10">
          <cell r="C10" t="str">
            <v>A103</v>
          </cell>
          <cell r="D10" t="str">
            <v>MUHAMMED RIZIN AMAN</v>
          </cell>
          <cell r="E10" t="str">
            <v>JARF</v>
          </cell>
          <cell r="F10" t="str">
            <v>SUB JUNIOR</v>
          </cell>
          <cell r="G10">
            <v>1</v>
          </cell>
          <cell r="H10">
            <v>26.5</v>
          </cell>
          <cell r="I10">
            <v>0</v>
          </cell>
          <cell r="J10">
            <v>26.5</v>
          </cell>
          <cell r="K10">
            <v>26.5</v>
          </cell>
          <cell r="L10">
            <v>56</v>
          </cell>
          <cell r="M10">
            <v>56</v>
          </cell>
        </row>
        <row r="11">
          <cell r="C11" t="str">
            <v>A104</v>
          </cell>
          <cell r="D11" t="str">
            <v>MUHAMMAD AZEEM</v>
          </cell>
          <cell r="E11" t="str">
            <v>BADF</v>
          </cell>
          <cell r="F11" t="str">
            <v>SUB JUNIOR</v>
          </cell>
          <cell r="G11">
            <v>1</v>
          </cell>
          <cell r="H11">
            <v>25.5</v>
          </cell>
          <cell r="I11">
            <v>0</v>
          </cell>
          <cell r="J11">
            <v>25.5</v>
          </cell>
          <cell r="K11">
            <v>25.5</v>
          </cell>
          <cell r="L11">
            <v>59</v>
          </cell>
          <cell r="M11">
            <v>59</v>
          </cell>
        </row>
        <row r="12">
          <cell r="C12" t="str">
            <v>A105</v>
          </cell>
          <cell r="D12" t="str">
            <v>MUHAMMED HAFIZ S T</v>
          </cell>
          <cell r="E12" t="str">
            <v>FANT</v>
          </cell>
          <cell r="F12" t="str">
            <v>SUB JUNIOR</v>
          </cell>
          <cell r="G12">
            <v>1</v>
          </cell>
          <cell r="H12">
            <v>15</v>
          </cell>
          <cell r="I12">
            <v>0</v>
          </cell>
          <cell r="J12">
            <v>15</v>
          </cell>
          <cell r="K12">
            <v>15</v>
          </cell>
          <cell r="L12">
            <v>100</v>
          </cell>
          <cell r="M12">
            <v>100</v>
          </cell>
        </row>
        <row r="13">
          <cell r="C13" t="str">
            <v>A106</v>
          </cell>
          <cell r="D13" t="str">
            <v>Abdul Khader Uvais K A</v>
          </cell>
          <cell r="E13" t="str">
            <v>BADF</v>
          </cell>
          <cell r="F13" t="str">
            <v>SUB JUNIOR</v>
          </cell>
          <cell r="G13">
            <v>1</v>
          </cell>
          <cell r="H13">
            <v>8</v>
          </cell>
          <cell r="I13">
            <v>0</v>
          </cell>
          <cell r="J13">
            <v>8</v>
          </cell>
          <cell r="K13">
            <v>8</v>
          </cell>
          <cell r="L13">
            <v>147</v>
          </cell>
          <cell r="M13">
            <v>147</v>
          </cell>
        </row>
        <row r="14">
          <cell r="C14" t="str">
            <v>A107</v>
          </cell>
          <cell r="D14" t="str">
            <v>MUHAMMED ADHIL C H</v>
          </cell>
          <cell r="E14" t="str">
            <v>FANT</v>
          </cell>
          <cell r="F14" t="str">
            <v>SUB JUNIOR</v>
          </cell>
          <cell r="G14">
            <v>1</v>
          </cell>
          <cell r="H14">
            <v>0</v>
          </cell>
          <cell r="I14">
            <v>0</v>
          </cell>
          <cell r="J14">
            <v>0</v>
          </cell>
          <cell r="K14">
            <v>0</v>
          </cell>
          <cell r="L14">
            <v>255</v>
          </cell>
          <cell r="M14">
            <v>255</v>
          </cell>
        </row>
        <row r="15">
          <cell r="C15" t="str">
            <v>A108</v>
          </cell>
          <cell r="D15" t="str">
            <v>Mohammed Sinan N.A</v>
          </cell>
          <cell r="E15" t="str">
            <v>BADF</v>
          </cell>
          <cell r="F15" t="str">
            <v>SUB JUNIOR</v>
          </cell>
          <cell r="G15">
            <v>1</v>
          </cell>
          <cell r="H15">
            <v>3</v>
          </cell>
          <cell r="I15">
            <v>0</v>
          </cell>
          <cell r="J15">
            <v>3</v>
          </cell>
          <cell r="K15">
            <v>3</v>
          </cell>
          <cell r="L15">
            <v>209</v>
          </cell>
          <cell r="M15">
            <v>209</v>
          </cell>
        </row>
        <row r="16">
          <cell r="C16" t="str">
            <v>A109</v>
          </cell>
          <cell r="D16" t="str">
            <v>AHMED RAZI MR</v>
          </cell>
          <cell r="E16" t="str">
            <v>BADF</v>
          </cell>
          <cell r="F16" t="str">
            <v>SUB JUNIOR</v>
          </cell>
          <cell r="G16">
            <v>1</v>
          </cell>
          <cell r="H16">
            <v>38</v>
          </cell>
          <cell r="I16">
            <v>0</v>
          </cell>
          <cell r="J16">
            <v>38</v>
          </cell>
          <cell r="K16">
            <v>38</v>
          </cell>
          <cell r="L16">
            <v>26</v>
          </cell>
          <cell r="M16">
            <v>26</v>
          </cell>
        </row>
        <row r="17">
          <cell r="C17" t="str">
            <v>A110</v>
          </cell>
          <cell r="D17" t="str">
            <v>Muhammed Hisham K M</v>
          </cell>
          <cell r="E17" t="str">
            <v>FANT</v>
          </cell>
          <cell r="F17" t="str">
            <v>SUB JUNIOR</v>
          </cell>
          <cell r="G17">
            <v>1</v>
          </cell>
          <cell r="H17">
            <v>9</v>
          </cell>
          <cell r="I17">
            <v>0</v>
          </cell>
          <cell r="J17">
            <v>9</v>
          </cell>
          <cell r="K17">
            <v>9</v>
          </cell>
          <cell r="L17">
            <v>139</v>
          </cell>
          <cell r="M17">
            <v>139</v>
          </cell>
        </row>
        <row r="18">
          <cell r="C18" t="str">
            <v>A111</v>
          </cell>
          <cell r="D18" t="str">
            <v>HUSSAIN MUHAVIZ B A</v>
          </cell>
          <cell r="E18" t="str">
            <v>FANT</v>
          </cell>
          <cell r="F18" t="str">
            <v>SUB JUNIOR</v>
          </cell>
          <cell r="G18">
            <v>1</v>
          </cell>
          <cell r="H18">
            <v>10</v>
          </cell>
          <cell r="I18">
            <v>0</v>
          </cell>
          <cell r="J18">
            <v>10</v>
          </cell>
          <cell r="K18">
            <v>10</v>
          </cell>
          <cell r="L18">
            <v>131</v>
          </cell>
          <cell r="M18">
            <v>131</v>
          </cell>
        </row>
        <row r="19">
          <cell r="C19" t="str">
            <v>A112</v>
          </cell>
          <cell r="D19" t="str">
            <v>HILAL ABDULLA C H</v>
          </cell>
          <cell r="E19" t="str">
            <v>DAHF</v>
          </cell>
          <cell r="F19" t="str">
            <v>SUB JUNIOR</v>
          </cell>
          <cell r="G19">
            <v>1</v>
          </cell>
          <cell r="H19">
            <v>20</v>
          </cell>
          <cell r="I19">
            <v>0</v>
          </cell>
          <cell r="J19">
            <v>20</v>
          </cell>
          <cell r="K19">
            <v>20</v>
          </cell>
          <cell r="L19">
            <v>74</v>
          </cell>
          <cell r="M19">
            <v>74</v>
          </cell>
        </row>
        <row r="20">
          <cell r="C20" t="str">
            <v>A113</v>
          </cell>
          <cell r="D20" t="str">
            <v>MOIDEEN KAIS</v>
          </cell>
          <cell r="E20" t="str">
            <v>DAHF</v>
          </cell>
          <cell r="F20" t="str">
            <v>SUB JUNIOR</v>
          </cell>
          <cell r="G20">
            <v>1</v>
          </cell>
          <cell r="H20">
            <v>17</v>
          </cell>
          <cell r="I20">
            <v>0</v>
          </cell>
          <cell r="J20">
            <v>17</v>
          </cell>
          <cell r="K20">
            <v>17</v>
          </cell>
          <cell r="L20">
            <v>87</v>
          </cell>
          <cell r="M20">
            <v>87</v>
          </cell>
        </row>
        <row r="21">
          <cell r="C21" t="str">
            <v>A114</v>
          </cell>
          <cell r="D21" t="str">
            <v>MUHAMMED SHAHID K A</v>
          </cell>
          <cell r="E21" t="str">
            <v>BADF</v>
          </cell>
          <cell r="F21" t="str">
            <v>SUB JUNIOR</v>
          </cell>
          <cell r="G21">
            <v>1</v>
          </cell>
          <cell r="H21">
            <v>8</v>
          </cell>
          <cell r="I21">
            <v>0</v>
          </cell>
          <cell r="J21">
            <v>8</v>
          </cell>
          <cell r="K21">
            <v>8</v>
          </cell>
          <cell r="L21">
            <v>147</v>
          </cell>
          <cell r="M21">
            <v>147</v>
          </cell>
        </row>
        <row r="22">
          <cell r="C22" t="str">
            <v>A115</v>
          </cell>
          <cell r="D22" t="str">
            <v>K MUHAMMAD JALAL</v>
          </cell>
          <cell r="E22" t="str">
            <v>DAHF</v>
          </cell>
          <cell r="F22" t="str">
            <v>SUB JUNIOR</v>
          </cell>
          <cell r="G22">
            <v>1</v>
          </cell>
          <cell r="H22">
            <v>3.5</v>
          </cell>
          <cell r="I22">
            <v>0</v>
          </cell>
          <cell r="J22">
            <v>3.5</v>
          </cell>
          <cell r="K22">
            <v>3.5</v>
          </cell>
          <cell r="L22">
            <v>208</v>
          </cell>
          <cell r="M22">
            <v>208</v>
          </cell>
        </row>
        <row r="23">
          <cell r="C23" t="str">
            <v>A116</v>
          </cell>
          <cell r="D23" t="str">
            <v>MUHAMMED T K</v>
          </cell>
          <cell r="E23"/>
          <cell r="F23" t="str">
            <v>SUB JUNIOR</v>
          </cell>
          <cell r="G23">
            <v>1</v>
          </cell>
          <cell r="H23">
            <v>0</v>
          </cell>
          <cell r="I23">
            <v>0</v>
          </cell>
          <cell r="J23">
            <v>0</v>
          </cell>
          <cell r="K23">
            <v>0</v>
          </cell>
          <cell r="L23">
            <v>255</v>
          </cell>
          <cell r="M23">
            <v>255</v>
          </cell>
        </row>
        <row r="24">
          <cell r="C24" t="str">
            <v>A117</v>
          </cell>
          <cell r="D24" t="str">
            <v>Muhammed Waheed R K</v>
          </cell>
          <cell r="E24" t="str">
            <v>JARF</v>
          </cell>
          <cell r="F24" t="str">
            <v>SUB JUNIOR</v>
          </cell>
          <cell r="G24">
            <v>1</v>
          </cell>
          <cell r="H24">
            <v>0</v>
          </cell>
          <cell r="I24">
            <v>0</v>
          </cell>
          <cell r="J24">
            <v>0</v>
          </cell>
          <cell r="K24">
            <v>0</v>
          </cell>
          <cell r="L24">
            <v>255</v>
          </cell>
          <cell r="M24">
            <v>255</v>
          </cell>
        </row>
        <row r="25">
          <cell r="C25" t="str">
            <v>A118</v>
          </cell>
          <cell r="D25" t="str">
            <v>ABOOBACKER SAFWAN C B</v>
          </cell>
          <cell r="E25"/>
          <cell r="F25" t="str">
            <v>SUB JUNIOR</v>
          </cell>
          <cell r="G25">
            <v>1</v>
          </cell>
          <cell r="H25">
            <v>0</v>
          </cell>
          <cell r="I25">
            <v>0</v>
          </cell>
          <cell r="J25">
            <v>0</v>
          </cell>
          <cell r="K25">
            <v>0</v>
          </cell>
          <cell r="L25">
            <v>255</v>
          </cell>
          <cell r="M25">
            <v>255</v>
          </cell>
        </row>
        <row r="26">
          <cell r="C26" t="str">
            <v>A119</v>
          </cell>
          <cell r="D26" t="str">
            <v>MUHAMMED HASHIR A K</v>
          </cell>
          <cell r="E26" t="str">
            <v>JARF</v>
          </cell>
          <cell r="F26" t="str">
            <v>SUB JUNIOR</v>
          </cell>
          <cell r="G26">
            <v>1</v>
          </cell>
          <cell r="H26">
            <v>0</v>
          </cell>
          <cell r="I26">
            <v>0</v>
          </cell>
          <cell r="J26">
            <v>0</v>
          </cell>
          <cell r="K26">
            <v>0</v>
          </cell>
          <cell r="L26">
            <v>255</v>
          </cell>
          <cell r="M26">
            <v>255</v>
          </cell>
        </row>
        <row r="27">
          <cell r="C27" t="str">
            <v>A120</v>
          </cell>
          <cell r="D27" t="str">
            <v>MOHAMMED NAFIH</v>
          </cell>
          <cell r="E27" t="str">
            <v>DAHF</v>
          </cell>
          <cell r="F27" t="str">
            <v>SUB JUNIOR</v>
          </cell>
          <cell r="G27">
            <v>1</v>
          </cell>
          <cell r="H27">
            <v>5</v>
          </cell>
          <cell r="I27">
            <v>0</v>
          </cell>
          <cell r="J27">
            <v>5</v>
          </cell>
          <cell r="K27">
            <v>5</v>
          </cell>
          <cell r="L27">
            <v>190</v>
          </cell>
          <cell r="M27">
            <v>190</v>
          </cell>
        </row>
        <row r="28">
          <cell r="C28" t="str">
            <v>A121</v>
          </cell>
          <cell r="D28" t="str">
            <v>BEERAN MUEENUDHEEN MH</v>
          </cell>
          <cell r="E28" t="str">
            <v>JARF</v>
          </cell>
          <cell r="F28" t="str">
            <v>SUB JUNIOR</v>
          </cell>
          <cell r="G28">
            <v>1</v>
          </cell>
          <cell r="H28">
            <v>19</v>
          </cell>
          <cell r="I28">
            <v>0</v>
          </cell>
          <cell r="J28">
            <v>19</v>
          </cell>
          <cell r="K28">
            <v>19</v>
          </cell>
          <cell r="L28">
            <v>79</v>
          </cell>
          <cell r="M28">
            <v>79</v>
          </cell>
        </row>
        <row r="29">
          <cell r="C29" t="str">
            <v>A122</v>
          </cell>
          <cell r="D29" t="str">
            <v>MOHAMMAD K A</v>
          </cell>
          <cell r="E29" t="str">
            <v>FANT</v>
          </cell>
          <cell r="F29" t="str">
            <v>SUB JUNIOR</v>
          </cell>
          <cell r="G29">
            <v>1</v>
          </cell>
          <cell r="H29">
            <v>11</v>
          </cell>
          <cell r="I29">
            <v>0</v>
          </cell>
          <cell r="J29">
            <v>11</v>
          </cell>
          <cell r="K29">
            <v>11</v>
          </cell>
          <cell r="L29">
            <v>123</v>
          </cell>
          <cell r="M29">
            <v>123</v>
          </cell>
        </row>
        <row r="30">
          <cell r="C30" t="str">
            <v>A123</v>
          </cell>
          <cell r="D30" t="str">
            <v>IBRAHIM KALEEL</v>
          </cell>
          <cell r="E30" t="str">
            <v>JARF</v>
          </cell>
          <cell r="F30" t="str">
            <v>SUB JUNIOR</v>
          </cell>
          <cell r="G30">
            <v>1</v>
          </cell>
          <cell r="H30">
            <v>6</v>
          </cell>
          <cell r="I30">
            <v>0</v>
          </cell>
          <cell r="J30">
            <v>6</v>
          </cell>
          <cell r="K30">
            <v>6</v>
          </cell>
          <cell r="L30">
            <v>171</v>
          </cell>
          <cell r="M30">
            <v>171</v>
          </cell>
        </row>
        <row r="31">
          <cell r="C31" t="str">
            <v>A124</v>
          </cell>
          <cell r="D31" t="str">
            <v>MOHAMMED JASEEM</v>
          </cell>
          <cell r="E31" t="str">
            <v>BADF</v>
          </cell>
          <cell r="F31" t="str">
            <v>SUB JUNIOR</v>
          </cell>
          <cell r="G31">
            <v>1</v>
          </cell>
          <cell r="H31">
            <v>0</v>
          </cell>
          <cell r="I31">
            <v>0</v>
          </cell>
          <cell r="J31">
            <v>0</v>
          </cell>
          <cell r="K31">
            <v>0</v>
          </cell>
          <cell r="L31">
            <v>255</v>
          </cell>
          <cell r="M31">
            <v>255</v>
          </cell>
        </row>
        <row r="32">
          <cell r="C32" t="str">
            <v>A125</v>
          </cell>
          <cell r="D32" t="str">
            <v>MUHAMMED RAZI A T</v>
          </cell>
          <cell r="E32" t="str">
            <v>DAHF</v>
          </cell>
          <cell r="F32" t="str">
            <v>SUB JUNIOR</v>
          </cell>
          <cell r="G32">
            <v>1</v>
          </cell>
          <cell r="H32">
            <v>9</v>
          </cell>
          <cell r="I32">
            <v>0</v>
          </cell>
          <cell r="J32">
            <v>9</v>
          </cell>
          <cell r="K32">
            <v>9</v>
          </cell>
          <cell r="L32">
            <v>139</v>
          </cell>
          <cell r="M32">
            <v>139</v>
          </cell>
        </row>
        <row r="33">
          <cell r="C33" t="str">
            <v>A126</v>
          </cell>
          <cell r="D33" t="str">
            <v>MUHAMMED ZAID</v>
          </cell>
          <cell r="E33" t="str">
            <v>JARF</v>
          </cell>
          <cell r="F33" t="str">
            <v>SUB JUNIOR</v>
          </cell>
          <cell r="G33">
            <v>1</v>
          </cell>
          <cell r="H33">
            <v>0</v>
          </cell>
          <cell r="I33">
            <v>0</v>
          </cell>
          <cell r="J33">
            <v>0</v>
          </cell>
          <cell r="K33">
            <v>0</v>
          </cell>
          <cell r="L33">
            <v>255</v>
          </cell>
          <cell r="M33">
            <v>255</v>
          </cell>
        </row>
        <row r="34">
          <cell r="C34" t="str">
            <v>A127</v>
          </cell>
          <cell r="D34" t="str">
            <v>MUHAMMED HAFEEZ P</v>
          </cell>
          <cell r="E34" t="str">
            <v>BADF</v>
          </cell>
          <cell r="F34" t="str">
            <v>SUB JUNIOR</v>
          </cell>
          <cell r="G34">
            <v>1</v>
          </cell>
          <cell r="H34">
            <v>1</v>
          </cell>
          <cell r="I34">
            <v>0</v>
          </cell>
          <cell r="J34">
            <v>1</v>
          </cell>
          <cell r="K34">
            <v>1</v>
          </cell>
          <cell r="L34">
            <v>231</v>
          </cell>
          <cell r="M34">
            <v>231</v>
          </cell>
        </row>
        <row r="35">
          <cell r="C35" t="str">
            <v>A128</v>
          </cell>
          <cell r="D35" t="str">
            <v>MOHAMMED HAFEEZ B</v>
          </cell>
          <cell r="E35" t="str">
            <v>DAHF</v>
          </cell>
          <cell r="F35" t="str">
            <v>SUB JUNIOR</v>
          </cell>
          <cell r="G35">
            <v>1</v>
          </cell>
          <cell r="H35">
            <v>0</v>
          </cell>
          <cell r="I35">
            <v>0</v>
          </cell>
          <cell r="J35">
            <v>0</v>
          </cell>
          <cell r="K35">
            <v>0</v>
          </cell>
          <cell r="L35">
            <v>255</v>
          </cell>
          <cell r="M35">
            <v>255</v>
          </cell>
        </row>
        <row r="36">
          <cell r="C36" t="str">
            <v>A129</v>
          </cell>
          <cell r="D36" t="str">
            <v>MUHAMMED BIN JAFAR</v>
          </cell>
          <cell r="E36" t="str">
            <v>FANT</v>
          </cell>
          <cell r="F36" t="str">
            <v>SUB JUNIOR</v>
          </cell>
          <cell r="G36">
            <v>1</v>
          </cell>
          <cell r="H36">
            <v>3</v>
          </cell>
          <cell r="I36">
            <v>0</v>
          </cell>
          <cell r="J36">
            <v>3</v>
          </cell>
          <cell r="K36">
            <v>3</v>
          </cell>
          <cell r="L36">
            <v>209</v>
          </cell>
          <cell r="M36">
            <v>209</v>
          </cell>
        </row>
        <row r="37">
          <cell r="C37" t="str">
            <v>A130</v>
          </cell>
          <cell r="D37" t="str">
            <v>MOHAMMAD AJWAD</v>
          </cell>
          <cell r="E37" t="str">
            <v>JARF</v>
          </cell>
          <cell r="F37" t="str">
            <v>SUB JUNIOR</v>
          </cell>
          <cell r="G37">
            <v>1</v>
          </cell>
          <cell r="H37">
            <v>5</v>
          </cell>
          <cell r="I37">
            <v>0</v>
          </cell>
          <cell r="J37">
            <v>5</v>
          </cell>
          <cell r="K37">
            <v>5</v>
          </cell>
          <cell r="L37">
            <v>190</v>
          </cell>
          <cell r="M37">
            <v>190</v>
          </cell>
        </row>
        <row r="38">
          <cell r="C38" t="str">
            <v>A131</v>
          </cell>
          <cell r="D38" t="str">
            <v>FAZIL ABDULLA</v>
          </cell>
          <cell r="E38" t="str">
            <v>DAHF</v>
          </cell>
          <cell r="F38" t="str">
            <v>SUB JUNIOR</v>
          </cell>
          <cell r="G38">
            <v>1</v>
          </cell>
          <cell r="H38">
            <v>1</v>
          </cell>
          <cell r="I38">
            <v>0</v>
          </cell>
          <cell r="J38">
            <v>1</v>
          </cell>
          <cell r="K38">
            <v>1</v>
          </cell>
          <cell r="L38">
            <v>231</v>
          </cell>
          <cell r="M38">
            <v>231</v>
          </cell>
        </row>
        <row r="39">
          <cell r="C39" t="str">
            <v>A132</v>
          </cell>
          <cell r="D39" t="str">
            <v>MUHAMMED SHIRAZ ISHAQUE</v>
          </cell>
          <cell r="E39" t="str">
            <v>FANT</v>
          </cell>
          <cell r="F39" t="str">
            <v>SUB JUNIOR</v>
          </cell>
          <cell r="G39">
            <v>1</v>
          </cell>
          <cell r="H39">
            <v>0</v>
          </cell>
          <cell r="I39">
            <v>0</v>
          </cell>
          <cell r="J39">
            <v>0</v>
          </cell>
          <cell r="K39">
            <v>0</v>
          </cell>
          <cell r="L39">
            <v>255</v>
          </cell>
          <cell r="M39">
            <v>255</v>
          </cell>
        </row>
        <row r="40">
          <cell r="C40" t="str">
            <v>A133</v>
          </cell>
          <cell r="D40" t="str">
            <v>JAUHAR ASHFAQUE MUHSIN</v>
          </cell>
          <cell r="E40" t="str">
            <v>JARF</v>
          </cell>
          <cell r="F40" t="str">
            <v>SUB JUNIOR</v>
          </cell>
          <cell r="G40">
            <v>1</v>
          </cell>
          <cell r="H40">
            <v>0</v>
          </cell>
          <cell r="I40">
            <v>0</v>
          </cell>
          <cell r="J40">
            <v>0</v>
          </cell>
          <cell r="K40">
            <v>0</v>
          </cell>
          <cell r="L40">
            <v>255</v>
          </cell>
          <cell r="M40">
            <v>255</v>
          </cell>
        </row>
        <row r="41">
          <cell r="C41" t="str">
            <v>A134</v>
          </cell>
          <cell r="D41" t="str">
            <v>YASEEN MUHAMMED</v>
          </cell>
          <cell r="E41" t="str">
            <v>DAHF</v>
          </cell>
          <cell r="F41" t="str">
            <v>SUB JUNIOR</v>
          </cell>
          <cell r="G41">
            <v>1</v>
          </cell>
          <cell r="H41">
            <v>8</v>
          </cell>
          <cell r="I41">
            <v>0</v>
          </cell>
          <cell r="J41">
            <v>8</v>
          </cell>
          <cell r="K41">
            <v>8</v>
          </cell>
          <cell r="L41">
            <v>147</v>
          </cell>
          <cell r="M41">
            <v>147</v>
          </cell>
        </row>
        <row r="42">
          <cell r="C42" t="str">
            <v>A135</v>
          </cell>
          <cell r="D42" t="str">
            <v>MOHAMMED RAFAN A</v>
          </cell>
          <cell r="E42" t="str">
            <v>BADF</v>
          </cell>
          <cell r="F42" t="str">
            <v>SUB JUNIOR</v>
          </cell>
          <cell r="G42">
            <v>1</v>
          </cell>
          <cell r="H42">
            <v>1</v>
          </cell>
          <cell r="I42">
            <v>0</v>
          </cell>
          <cell r="J42">
            <v>1</v>
          </cell>
          <cell r="K42">
            <v>1</v>
          </cell>
          <cell r="L42">
            <v>231</v>
          </cell>
          <cell r="M42">
            <v>231</v>
          </cell>
        </row>
        <row r="43">
          <cell r="C43" t="str">
            <v>A136</v>
          </cell>
          <cell r="D43" t="str">
            <v>MUHAMMED UVAIS.P. S</v>
          </cell>
          <cell r="E43" t="str">
            <v>BADF</v>
          </cell>
          <cell r="F43" t="str">
            <v>SUB JUNIOR</v>
          </cell>
          <cell r="G43">
            <v>1</v>
          </cell>
          <cell r="H43">
            <v>3</v>
          </cell>
          <cell r="I43">
            <v>0</v>
          </cell>
          <cell r="J43">
            <v>3</v>
          </cell>
          <cell r="K43">
            <v>3</v>
          </cell>
          <cell r="L43">
            <v>209</v>
          </cell>
          <cell r="M43">
            <v>209</v>
          </cell>
        </row>
        <row r="44">
          <cell r="C44" t="str">
            <v>A137</v>
          </cell>
          <cell r="D44" t="str">
            <v>MOHAMMED SHUAIB K M</v>
          </cell>
          <cell r="E44" t="str">
            <v>DAHF</v>
          </cell>
          <cell r="F44" t="str">
            <v>SUB JUNIOR</v>
          </cell>
          <cell r="G44">
            <v>1</v>
          </cell>
          <cell r="H44">
            <v>1</v>
          </cell>
          <cell r="I44">
            <v>0</v>
          </cell>
          <cell r="J44">
            <v>1</v>
          </cell>
          <cell r="K44">
            <v>1</v>
          </cell>
          <cell r="L44">
            <v>231</v>
          </cell>
          <cell r="M44">
            <v>231</v>
          </cell>
        </row>
        <row r="45">
          <cell r="C45" t="str">
            <v>A138</v>
          </cell>
          <cell r="D45" t="str">
            <v>ziyad. K. M. C</v>
          </cell>
          <cell r="E45"/>
          <cell r="F45" t="str">
            <v>SUB JUNIOR</v>
          </cell>
          <cell r="G45">
            <v>1</v>
          </cell>
          <cell r="H45">
            <v>0</v>
          </cell>
          <cell r="I45">
            <v>0</v>
          </cell>
          <cell r="J45">
            <v>0</v>
          </cell>
          <cell r="K45">
            <v>0</v>
          </cell>
          <cell r="L45">
            <v>255</v>
          </cell>
          <cell r="M45">
            <v>255</v>
          </cell>
        </row>
        <row r="46">
          <cell r="C46" t="str">
            <v>A139</v>
          </cell>
          <cell r="D46" t="str">
            <v>MUHAMMED MOIDEEN KUNHI</v>
          </cell>
          <cell r="E46" t="str">
            <v>FANT</v>
          </cell>
          <cell r="F46" t="str">
            <v>SUB JUNIOR</v>
          </cell>
          <cell r="G46">
            <v>1</v>
          </cell>
          <cell r="H46">
            <v>3</v>
          </cell>
          <cell r="I46">
            <v>0</v>
          </cell>
          <cell r="J46">
            <v>3</v>
          </cell>
          <cell r="K46">
            <v>3</v>
          </cell>
          <cell r="L46">
            <v>209</v>
          </cell>
          <cell r="M46">
            <v>209</v>
          </cell>
        </row>
        <row r="47">
          <cell r="C47" t="str">
            <v>A140</v>
          </cell>
          <cell r="D47" t="str">
            <v>MUHAMMED AFLAH.MK</v>
          </cell>
          <cell r="E47" t="str">
            <v>FANT</v>
          </cell>
          <cell r="F47" t="str">
            <v>SUB JUNIOR</v>
          </cell>
          <cell r="G47">
            <v>2</v>
          </cell>
          <cell r="H47">
            <v>11</v>
          </cell>
          <cell r="I47">
            <v>0</v>
          </cell>
          <cell r="J47">
            <v>11</v>
          </cell>
          <cell r="K47">
            <v>11</v>
          </cell>
          <cell r="L47">
            <v>123</v>
          </cell>
          <cell r="M47">
            <v>123</v>
          </cell>
        </row>
        <row r="48">
          <cell r="C48" t="str">
            <v>A141</v>
          </cell>
          <cell r="D48" t="str">
            <v>MUHAMMED SHUHAIR</v>
          </cell>
          <cell r="E48" t="str">
            <v>JARF</v>
          </cell>
          <cell r="F48" t="str">
            <v>SUB JUNIOR</v>
          </cell>
          <cell r="G48">
            <v>2</v>
          </cell>
          <cell r="H48">
            <v>23</v>
          </cell>
          <cell r="I48">
            <v>0</v>
          </cell>
          <cell r="J48">
            <v>23</v>
          </cell>
          <cell r="K48">
            <v>23</v>
          </cell>
          <cell r="L48">
            <v>68</v>
          </cell>
          <cell r="M48">
            <v>68</v>
          </cell>
        </row>
        <row r="49">
          <cell r="C49" t="str">
            <v>A142</v>
          </cell>
          <cell r="D49" t="str">
            <v>Muhammed Anshad A</v>
          </cell>
          <cell r="E49" t="str">
            <v>BADF</v>
          </cell>
          <cell r="F49" t="str">
            <v>SUB JUNIOR</v>
          </cell>
          <cell r="G49">
            <v>2</v>
          </cell>
          <cell r="H49">
            <v>24</v>
          </cell>
          <cell r="I49">
            <v>0</v>
          </cell>
          <cell r="J49">
            <v>24</v>
          </cell>
          <cell r="K49">
            <v>24</v>
          </cell>
          <cell r="L49">
            <v>64</v>
          </cell>
          <cell r="M49">
            <v>64</v>
          </cell>
        </row>
        <row r="50">
          <cell r="C50" t="str">
            <v>A143</v>
          </cell>
          <cell r="D50" t="str">
            <v>ABDUL AFEEZ C.F</v>
          </cell>
          <cell r="E50" t="str">
            <v>FANT</v>
          </cell>
          <cell r="F50" t="str">
            <v>SUB JUNIOR</v>
          </cell>
          <cell r="G50">
            <v>2</v>
          </cell>
          <cell r="H50">
            <v>13</v>
          </cell>
          <cell r="I50">
            <v>0</v>
          </cell>
          <cell r="J50">
            <v>13</v>
          </cell>
          <cell r="K50">
            <v>13</v>
          </cell>
          <cell r="L50">
            <v>114</v>
          </cell>
          <cell r="M50">
            <v>114</v>
          </cell>
        </row>
        <row r="51">
          <cell r="C51" t="str">
            <v>A144</v>
          </cell>
          <cell r="D51" t="str">
            <v>ABDULLA</v>
          </cell>
          <cell r="E51" t="str">
            <v>JARF</v>
          </cell>
          <cell r="F51" t="str">
            <v>SUB JUNIOR</v>
          </cell>
          <cell r="G51">
            <v>2</v>
          </cell>
          <cell r="H51">
            <v>40</v>
          </cell>
          <cell r="I51">
            <v>0</v>
          </cell>
          <cell r="J51">
            <v>40</v>
          </cell>
          <cell r="K51">
            <v>40</v>
          </cell>
          <cell r="L51">
            <v>23</v>
          </cell>
          <cell r="M51">
            <v>23</v>
          </cell>
        </row>
        <row r="52">
          <cell r="C52" t="str">
            <v>A145</v>
          </cell>
          <cell r="D52" t="str">
            <v>ABDULLAH A P</v>
          </cell>
          <cell r="E52" t="str">
            <v>BADF</v>
          </cell>
          <cell r="F52" t="str">
            <v>SUB JUNIOR</v>
          </cell>
          <cell r="G52">
            <v>2</v>
          </cell>
          <cell r="H52">
            <v>3</v>
          </cell>
          <cell r="I52">
            <v>0</v>
          </cell>
          <cell r="J52">
            <v>3</v>
          </cell>
          <cell r="K52">
            <v>3</v>
          </cell>
          <cell r="L52">
            <v>209</v>
          </cell>
          <cell r="M52">
            <v>209</v>
          </cell>
        </row>
        <row r="53">
          <cell r="C53" t="str">
            <v>A146</v>
          </cell>
          <cell r="D53" t="str">
            <v>AHAMED ADIL. A</v>
          </cell>
          <cell r="E53" t="str">
            <v>BADF</v>
          </cell>
          <cell r="F53" t="str">
            <v>SUB JUNIOR</v>
          </cell>
          <cell r="G53">
            <v>2</v>
          </cell>
          <cell r="H53">
            <v>35</v>
          </cell>
          <cell r="I53">
            <v>0</v>
          </cell>
          <cell r="J53">
            <v>35</v>
          </cell>
          <cell r="K53">
            <v>35</v>
          </cell>
          <cell r="L53">
            <v>32</v>
          </cell>
          <cell r="M53">
            <v>32</v>
          </cell>
        </row>
        <row r="54">
          <cell r="C54" t="str">
            <v>A147</v>
          </cell>
          <cell r="D54" t="str">
            <v>AHMED WALEED K A</v>
          </cell>
          <cell r="E54" t="str">
            <v>DAHF</v>
          </cell>
          <cell r="F54" t="str">
            <v>SUB JUNIOR</v>
          </cell>
          <cell r="G54">
            <v>2</v>
          </cell>
          <cell r="H54">
            <v>22</v>
          </cell>
          <cell r="I54">
            <v>0</v>
          </cell>
          <cell r="J54">
            <v>22</v>
          </cell>
          <cell r="K54">
            <v>22</v>
          </cell>
          <cell r="L54">
            <v>72</v>
          </cell>
          <cell r="M54">
            <v>72</v>
          </cell>
        </row>
        <row r="55">
          <cell r="C55" t="str">
            <v>A148</v>
          </cell>
          <cell r="D55" t="str">
            <v>AYAAN ABOOBAKAR</v>
          </cell>
          <cell r="E55" t="str">
            <v>BADF</v>
          </cell>
          <cell r="F55" t="str">
            <v>SUB JUNIOR</v>
          </cell>
          <cell r="G55">
            <v>2</v>
          </cell>
          <cell r="H55">
            <v>12.5</v>
          </cell>
          <cell r="I55">
            <v>0</v>
          </cell>
          <cell r="J55">
            <v>12.5</v>
          </cell>
          <cell r="K55">
            <v>12.5</v>
          </cell>
          <cell r="L55">
            <v>118</v>
          </cell>
          <cell r="M55">
            <v>118</v>
          </cell>
        </row>
        <row r="56">
          <cell r="C56" t="str">
            <v>A149</v>
          </cell>
          <cell r="D56" t="str">
            <v>FADIL AMEEN ABDULLA</v>
          </cell>
          <cell r="E56" t="str">
            <v>JARF</v>
          </cell>
          <cell r="F56" t="str">
            <v>SUB JUNIOR</v>
          </cell>
          <cell r="G56">
            <v>2</v>
          </cell>
          <cell r="H56">
            <v>24</v>
          </cell>
          <cell r="I56">
            <v>0</v>
          </cell>
          <cell r="J56">
            <v>24</v>
          </cell>
          <cell r="K56">
            <v>24</v>
          </cell>
          <cell r="L56">
            <v>64</v>
          </cell>
          <cell r="M56">
            <v>64</v>
          </cell>
        </row>
        <row r="57">
          <cell r="C57" t="str">
            <v>A150</v>
          </cell>
          <cell r="D57" t="str">
            <v>MOHAMED JAWHAR J A</v>
          </cell>
          <cell r="E57" t="str">
            <v>FANT</v>
          </cell>
          <cell r="F57" t="str">
            <v>SUB JUNIOR</v>
          </cell>
          <cell r="G57">
            <v>2</v>
          </cell>
          <cell r="H57">
            <v>61</v>
          </cell>
          <cell r="I57">
            <v>0</v>
          </cell>
          <cell r="J57">
            <v>61</v>
          </cell>
          <cell r="K57">
            <v>61</v>
          </cell>
          <cell r="L57">
            <v>5</v>
          </cell>
          <cell r="M57">
            <v>5</v>
          </cell>
        </row>
        <row r="58">
          <cell r="C58" t="str">
            <v>A151</v>
          </cell>
          <cell r="D58" t="str">
            <v>Mohammad Yaseen</v>
          </cell>
          <cell r="E58" t="str">
            <v>FANT</v>
          </cell>
          <cell r="F58" t="str">
            <v>SUB JUNIOR</v>
          </cell>
          <cell r="G58">
            <v>2</v>
          </cell>
          <cell r="H58">
            <v>4</v>
          </cell>
          <cell r="I58">
            <v>0</v>
          </cell>
          <cell r="J58">
            <v>4</v>
          </cell>
          <cell r="K58">
            <v>4</v>
          </cell>
          <cell r="L58">
            <v>197</v>
          </cell>
          <cell r="M58">
            <v>197</v>
          </cell>
        </row>
        <row r="59">
          <cell r="C59" t="str">
            <v>A152</v>
          </cell>
          <cell r="D59" t="str">
            <v>MOHAMMED QUBAIB A H</v>
          </cell>
          <cell r="E59" t="str">
            <v>BADF</v>
          </cell>
          <cell r="F59" t="str">
            <v>SUB JUNIOR</v>
          </cell>
          <cell r="G59">
            <v>2</v>
          </cell>
          <cell r="H59">
            <v>13</v>
          </cell>
          <cell r="I59">
            <v>0</v>
          </cell>
          <cell r="J59">
            <v>13</v>
          </cell>
          <cell r="K59">
            <v>13</v>
          </cell>
          <cell r="L59">
            <v>114</v>
          </cell>
          <cell r="M59">
            <v>114</v>
          </cell>
        </row>
        <row r="60">
          <cell r="C60" t="str">
            <v>A153</v>
          </cell>
          <cell r="D60" t="str">
            <v>MOHAMMED SAWA T A</v>
          </cell>
          <cell r="E60" t="str">
            <v>FANT</v>
          </cell>
          <cell r="F60" t="str">
            <v>SUB JUNIOR</v>
          </cell>
          <cell r="G60">
            <v>2</v>
          </cell>
          <cell r="H60">
            <v>30</v>
          </cell>
          <cell r="I60">
            <v>0</v>
          </cell>
          <cell r="J60">
            <v>30</v>
          </cell>
          <cell r="K60">
            <v>30</v>
          </cell>
          <cell r="L60">
            <v>48</v>
          </cell>
          <cell r="M60">
            <v>48</v>
          </cell>
        </row>
        <row r="61">
          <cell r="C61" t="str">
            <v>A154</v>
          </cell>
          <cell r="D61" t="str">
            <v>MOHAMMED WASIM SHAHAD SM</v>
          </cell>
          <cell r="E61" t="str">
            <v>JARF</v>
          </cell>
          <cell r="F61" t="str">
            <v>SUB JUNIOR</v>
          </cell>
          <cell r="G61">
            <v>2</v>
          </cell>
          <cell r="H61">
            <v>45</v>
          </cell>
          <cell r="I61">
            <v>0</v>
          </cell>
          <cell r="J61">
            <v>45</v>
          </cell>
          <cell r="K61">
            <v>45</v>
          </cell>
          <cell r="L61">
            <v>18</v>
          </cell>
          <cell r="M61">
            <v>18</v>
          </cell>
        </row>
        <row r="62">
          <cell r="C62" t="str">
            <v>A155</v>
          </cell>
          <cell r="D62" t="str">
            <v>Muhammad M</v>
          </cell>
          <cell r="E62" t="str">
            <v>JARF</v>
          </cell>
          <cell r="F62" t="str">
            <v>SUB JUNIOR</v>
          </cell>
          <cell r="G62">
            <v>2</v>
          </cell>
          <cell r="H62">
            <v>0</v>
          </cell>
          <cell r="I62">
            <v>0</v>
          </cell>
          <cell r="J62">
            <v>0</v>
          </cell>
          <cell r="K62">
            <v>0</v>
          </cell>
          <cell r="L62">
            <v>255</v>
          </cell>
          <cell r="M62">
            <v>255</v>
          </cell>
        </row>
        <row r="63">
          <cell r="C63" t="str">
            <v>A156</v>
          </cell>
          <cell r="D63" t="str">
            <v>MUHAMMAD SHAHSAD HASAN</v>
          </cell>
          <cell r="E63" t="str">
            <v>JARF</v>
          </cell>
          <cell r="F63" t="str">
            <v>SUB JUNIOR</v>
          </cell>
          <cell r="G63">
            <v>2</v>
          </cell>
          <cell r="H63">
            <v>20</v>
          </cell>
          <cell r="I63">
            <v>0</v>
          </cell>
          <cell r="J63">
            <v>20</v>
          </cell>
          <cell r="K63">
            <v>20</v>
          </cell>
          <cell r="L63">
            <v>74</v>
          </cell>
          <cell r="M63">
            <v>74</v>
          </cell>
        </row>
        <row r="64">
          <cell r="C64" t="str">
            <v>A157</v>
          </cell>
          <cell r="D64" t="str">
            <v>MUHAMMED ADNAN K.A</v>
          </cell>
          <cell r="E64" t="str">
            <v>FANT</v>
          </cell>
          <cell r="F64" t="str">
            <v>SUB JUNIOR</v>
          </cell>
          <cell r="G64">
            <v>2</v>
          </cell>
          <cell r="H64">
            <v>3</v>
          </cell>
          <cell r="I64">
            <v>0</v>
          </cell>
          <cell r="J64">
            <v>3</v>
          </cell>
          <cell r="K64">
            <v>3</v>
          </cell>
          <cell r="L64">
            <v>209</v>
          </cell>
          <cell r="M64">
            <v>209</v>
          </cell>
        </row>
        <row r="65">
          <cell r="C65" t="str">
            <v>A158</v>
          </cell>
          <cell r="D65" t="str">
            <v>Muhammed Anas</v>
          </cell>
          <cell r="E65" t="str">
            <v>DAHF</v>
          </cell>
          <cell r="F65" t="str">
            <v>SUB JUNIOR</v>
          </cell>
          <cell r="G65">
            <v>2</v>
          </cell>
          <cell r="H65">
            <v>53.5</v>
          </cell>
          <cell r="I65">
            <v>0</v>
          </cell>
          <cell r="J65">
            <v>53.5</v>
          </cell>
          <cell r="K65">
            <v>53.5</v>
          </cell>
          <cell r="L65">
            <v>10</v>
          </cell>
          <cell r="M65">
            <v>10</v>
          </cell>
        </row>
        <row r="66">
          <cell r="C66" t="str">
            <v>A159</v>
          </cell>
          <cell r="D66" t="str">
            <v>MUHAMMED ASHIR M</v>
          </cell>
          <cell r="E66" t="str">
            <v>JARF</v>
          </cell>
          <cell r="F66" t="str">
            <v>SUB JUNIOR</v>
          </cell>
          <cell r="G66">
            <v>2</v>
          </cell>
          <cell r="H66">
            <v>17</v>
          </cell>
          <cell r="I66">
            <v>0</v>
          </cell>
          <cell r="J66">
            <v>17</v>
          </cell>
          <cell r="K66">
            <v>17</v>
          </cell>
          <cell r="L66">
            <v>87</v>
          </cell>
          <cell r="M66">
            <v>87</v>
          </cell>
        </row>
        <row r="67">
          <cell r="C67" t="str">
            <v>A160</v>
          </cell>
          <cell r="D67" t="str">
            <v>MUHAMMED AYAAN</v>
          </cell>
          <cell r="E67" t="str">
            <v>JARF</v>
          </cell>
          <cell r="F67" t="str">
            <v>SUB JUNIOR</v>
          </cell>
          <cell r="G67">
            <v>2</v>
          </cell>
          <cell r="H67">
            <v>10</v>
          </cell>
          <cell r="I67">
            <v>0</v>
          </cell>
          <cell r="J67">
            <v>10</v>
          </cell>
          <cell r="K67">
            <v>10</v>
          </cell>
          <cell r="L67">
            <v>131</v>
          </cell>
          <cell r="M67">
            <v>131</v>
          </cell>
        </row>
        <row r="68">
          <cell r="C68" t="str">
            <v>A161</v>
          </cell>
          <cell r="D68" t="str">
            <v>MUHAMMED FAHAD</v>
          </cell>
          <cell r="E68" t="str">
            <v>FANT</v>
          </cell>
          <cell r="F68" t="str">
            <v>SUB JUNIOR</v>
          </cell>
          <cell r="G68">
            <v>2</v>
          </cell>
          <cell r="H68">
            <v>55.5</v>
          </cell>
          <cell r="I68">
            <v>0</v>
          </cell>
          <cell r="J68">
            <v>55.5</v>
          </cell>
          <cell r="K68">
            <v>55.5</v>
          </cell>
          <cell r="L68">
            <v>7</v>
          </cell>
          <cell r="M68">
            <v>7</v>
          </cell>
        </row>
        <row r="69">
          <cell r="C69" t="str">
            <v>A162</v>
          </cell>
          <cell r="D69" t="str">
            <v>MUHAMMED FAREED A S</v>
          </cell>
          <cell r="E69" t="str">
            <v>FANT</v>
          </cell>
          <cell r="F69" t="str">
            <v>SUB JUNIOR</v>
          </cell>
          <cell r="G69">
            <v>2</v>
          </cell>
          <cell r="H69">
            <v>20</v>
          </cell>
          <cell r="I69">
            <v>0</v>
          </cell>
          <cell r="J69">
            <v>20</v>
          </cell>
          <cell r="K69">
            <v>20</v>
          </cell>
          <cell r="L69">
            <v>74</v>
          </cell>
          <cell r="M69">
            <v>74</v>
          </cell>
        </row>
        <row r="70">
          <cell r="C70" t="str">
            <v>A163</v>
          </cell>
          <cell r="D70" t="str">
            <v>MUHAMMED LUQMAN TD</v>
          </cell>
          <cell r="E70" t="str">
            <v>BADF</v>
          </cell>
          <cell r="F70" t="str">
            <v>SUB JUNIOR</v>
          </cell>
          <cell r="G70">
            <v>2</v>
          </cell>
          <cell r="H70">
            <v>28</v>
          </cell>
          <cell r="I70">
            <v>0</v>
          </cell>
          <cell r="J70">
            <v>28</v>
          </cell>
          <cell r="K70">
            <v>28</v>
          </cell>
          <cell r="L70">
            <v>51</v>
          </cell>
          <cell r="M70">
            <v>51</v>
          </cell>
        </row>
        <row r="71">
          <cell r="C71" t="str">
            <v>A164</v>
          </cell>
          <cell r="D71" t="str">
            <v>MUHAMMED MICDAD RAMEES A H</v>
          </cell>
          <cell r="E71" t="str">
            <v>DAHF</v>
          </cell>
          <cell r="F71" t="str">
            <v>SUB JUNIOR</v>
          </cell>
          <cell r="G71">
            <v>2</v>
          </cell>
          <cell r="H71">
            <v>55.5</v>
          </cell>
          <cell r="I71">
            <v>0</v>
          </cell>
          <cell r="J71">
            <v>55.5</v>
          </cell>
          <cell r="K71">
            <v>55.5</v>
          </cell>
          <cell r="L71">
            <v>7</v>
          </cell>
          <cell r="M71">
            <v>7</v>
          </cell>
        </row>
        <row r="72">
          <cell r="C72" t="str">
            <v>A165</v>
          </cell>
          <cell r="D72" t="str">
            <v>MUHAMMED MIDLAJ</v>
          </cell>
          <cell r="E72" t="str">
            <v>DAHF</v>
          </cell>
          <cell r="F72" t="str">
            <v>SUB JUNIOR</v>
          </cell>
          <cell r="G72">
            <v>2</v>
          </cell>
          <cell r="H72">
            <v>25</v>
          </cell>
          <cell r="I72">
            <v>0</v>
          </cell>
          <cell r="J72">
            <v>25</v>
          </cell>
          <cell r="K72">
            <v>25</v>
          </cell>
          <cell r="L72">
            <v>60</v>
          </cell>
          <cell r="M72">
            <v>60</v>
          </cell>
        </row>
        <row r="73">
          <cell r="C73" t="str">
            <v>A166</v>
          </cell>
          <cell r="D73" t="str">
            <v>Muhammed Naieem</v>
          </cell>
          <cell r="E73" t="str">
            <v>BADF</v>
          </cell>
          <cell r="F73" t="str">
            <v>SUB JUNIOR</v>
          </cell>
          <cell r="G73">
            <v>2</v>
          </cell>
          <cell r="H73">
            <v>31</v>
          </cell>
          <cell r="I73">
            <v>0</v>
          </cell>
          <cell r="J73">
            <v>31</v>
          </cell>
          <cell r="K73">
            <v>31</v>
          </cell>
          <cell r="L73">
            <v>42</v>
          </cell>
          <cell r="M73">
            <v>42</v>
          </cell>
        </row>
        <row r="74">
          <cell r="C74" t="str">
            <v>A167</v>
          </cell>
          <cell r="D74" t="str">
            <v>MUHAMMED RAEES C A</v>
          </cell>
          <cell r="E74" t="str">
            <v>BADF</v>
          </cell>
          <cell r="F74" t="str">
            <v>SUB JUNIOR</v>
          </cell>
          <cell r="G74">
            <v>2</v>
          </cell>
          <cell r="H74">
            <v>40</v>
          </cell>
          <cell r="I74">
            <v>0</v>
          </cell>
          <cell r="J74">
            <v>40</v>
          </cell>
          <cell r="K74">
            <v>40</v>
          </cell>
          <cell r="L74">
            <v>23</v>
          </cell>
          <cell r="M74">
            <v>23</v>
          </cell>
        </row>
        <row r="75">
          <cell r="C75" t="str">
            <v>A168</v>
          </cell>
          <cell r="D75" t="str">
            <v>Muhammed Sinan D A</v>
          </cell>
          <cell r="E75" t="str">
            <v>JARF</v>
          </cell>
          <cell r="F75" t="str">
            <v>SUB JUNIOR</v>
          </cell>
          <cell r="G75">
            <v>2</v>
          </cell>
          <cell r="H75">
            <v>0</v>
          </cell>
          <cell r="I75">
            <v>0</v>
          </cell>
          <cell r="J75">
            <v>0</v>
          </cell>
          <cell r="K75">
            <v>0</v>
          </cell>
          <cell r="L75">
            <v>255</v>
          </cell>
          <cell r="M75">
            <v>255</v>
          </cell>
        </row>
        <row r="76">
          <cell r="C76" t="str">
            <v>A169</v>
          </cell>
          <cell r="D76" t="str">
            <v>NAZWAN MOHAMMED</v>
          </cell>
          <cell r="E76" t="str">
            <v>FANT</v>
          </cell>
          <cell r="F76" t="str">
            <v>SUB JUNIOR</v>
          </cell>
          <cell r="G76">
            <v>2</v>
          </cell>
          <cell r="H76">
            <v>18</v>
          </cell>
          <cell r="I76">
            <v>0</v>
          </cell>
          <cell r="J76">
            <v>18</v>
          </cell>
          <cell r="K76">
            <v>18</v>
          </cell>
          <cell r="L76">
            <v>81</v>
          </cell>
          <cell r="M76">
            <v>81</v>
          </cell>
        </row>
        <row r="77">
          <cell r="C77" t="str">
            <v>A170</v>
          </cell>
          <cell r="D77" t="str">
            <v>P.V.AHMAD ANAS</v>
          </cell>
          <cell r="E77" t="str">
            <v>DAHF</v>
          </cell>
          <cell r="F77" t="str">
            <v>SUB JUNIOR</v>
          </cell>
          <cell r="G77">
            <v>2</v>
          </cell>
          <cell r="H77">
            <v>16</v>
          </cell>
          <cell r="I77">
            <v>0</v>
          </cell>
          <cell r="J77">
            <v>16</v>
          </cell>
          <cell r="K77">
            <v>16</v>
          </cell>
          <cell r="L77">
            <v>94</v>
          </cell>
          <cell r="M77">
            <v>94</v>
          </cell>
        </row>
        <row r="78">
          <cell r="C78" t="str">
            <v>A171</v>
          </cell>
          <cell r="D78" t="str">
            <v>SAYYED MOHAMMED SINAN AM</v>
          </cell>
          <cell r="E78" t="str">
            <v>DAHF</v>
          </cell>
          <cell r="F78" t="str">
            <v>SUB JUNIOR</v>
          </cell>
          <cell r="G78">
            <v>2</v>
          </cell>
          <cell r="H78">
            <v>6</v>
          </cell>
          <cell r="I78">
            <v>0</v>
          </cell>
          <cell r="J78">
            <v>6</v>
          </cell>
          <cell r="K78">
            <v>6</v>
          </cell>
          <cell r="L78">
            <v>171</v>
          </cell>
          <cell r="M78">
            <v>171</v>
          </cell>
        </row>
        <row r="79">
          <cell r="C79" t="str">
            <v>A172</v>
          </cell>
          <cell r="D79" t="str">
            <v>SAYYED MUHAMMED ABOOBACKER</v>
          </cell>
          <cell r="E79" t="str">
            <v>DAHF</v>
          </cell>
          <cell r="F79" t="str">
            <v>SUB JUNIOR</v>
          </cell>
          <cell r="G79">
            <v>2</v>
          </cell>
          <cell r="H79">
            <v>17</v>
          </cell>
          <cell r="I79">
            <v>0</v>
          </cell>
          <cell r="J79">
            <v>17</v>
          </cell>
          <cell r="K79">
            <v>17</v>
          </cell>
          <cell r="L79">
            <v>87</v>
          </cell>
          <cell r="M79">
            <v>87</v>
          </cell>
        </row>
        <row r="80">
          <cell r="C80" t="str">
            <v>A173</v>
          </cell>
          <cell r="D80" t="str">
            <v>SHAHUL HAMEED B.I</v>
          </cell>
          <cell r="E80" t="str">
            <v>BADF</v>
          </cell>
          <cell r="F80" t="str">
            <v>SUB JUNIOR</v>
          </cell>
          <cell r="G80">
            <v>2</v>
          </cell>
          <cell r="H80">
            <v>6</v>
          </cell>
          <cell r="I80">
            <v>0</v>
          </cell>
          <cell r="J80">
            <v>6</v>
          </cell>
          <cell r="K80">
            <v>6</v>
          </cell>
          <cell r="L80">
            <v>171</v>
          </cell>
          <cell r="M80">
            <v>171</v>
          </cell>
        </row>
        <row r="81">
          <cell r="C81" t="str">
            <v>A174</v>
          </cell>
          <cell r="D81" t="str">
            <v>THUFAIL</v>
          </cell>
          <cell r="E81" t="str">
            <v>DAHF</v>
          </cell>
          <cell r="F81" t="str">
            <v>SUB JUNIOR</v>
          </cell>
          <cell r="G81">
            <v>2</v>
          </cell>
          <cell r="H81">
            <v>20.5</v>
          </cell>
          <cell r="I81">
            <v>0</v>
          </cell>
          <cell r="J81">
            <v>20.5</v>
          </cell>
          <cell r="K81">
            <v>20.5</v>
          </cell>
          <cell r="L81">
            <v>73</v>
          </cell>
          <cell r="M81">
            <v>73</v>
          </cell>
        </row>
        <row r="82">
          <cell r="C82" t="str">
            <v>A175</v>
          </cell>
          <cell r="D82" t="str">
            <v>YOUSUF FAHEEM P</v>
          </cell>
          <cell r="E82" t="str">
            <v>DAHF</v>
          </cell>
          <cell r="F82" t="str">
            <v>SUB JUNIOR</v>
          </cell>
          <cell r="G82">
            <v>2</v>
          </cell>
          <cell r="H82">
            <v>6</v>
          </cell>
          <cell r="I82">
            <v>0</v>
          </cell>
          <cell r="J82">
            <v>6</v>
          </cell>
          <cell r="K82">
            <v>6</v>
          </cell>
          <cell r="L82">
            <v>171</v>
          </cell>
          <cell r="M82">
            <v>171</v>
          </cell>
        </row>
        <row r="83">
          <cell r="C83" t="str">
            <v>B100</v>
          </cell>
          <cell r="D83" t="str">
            <v>ZAINUL ABID K</v>
          </cell>
          <cell r="E83" t="str">
            <v>BADF</v>
          </cell>
          <cell r="F83" t="str">
            <v>JUNIOR</v>
          </cell>
          <cell r="G83">
            <v>3</v>
          </cell>
          <cell r="H83">
            <v>5</v>
          </cell>
          <cell r="I83">
            <v>0</v>
          </cell>
          <cell r="J83">
            <v>5</v>
          </cell>
          <cell r="K83">
            <v>5</v>
          </cell>
          <cell r="L83">
            <v>190</v>
          </cell>
          <cell r="M83">
            <v>190</v>
          </cell>
        </row>
        <row r="84">
          <cell r="C84" t="str">
            <v>B101</v>
          </cell>
          <cell r="D84" t="str">
            <v>AHMED AFRAZ MB</v>
          </cell>
          <cell r="E84" t="str">
            <v>DAHF</v>
          </cell>
          <cell r="F84" t="str">
            <v>JUNIOR</v>
          </cell>
          <cell r="G84">
            <v>3</v>
          </cell>
          <cell r="H84">
            <v>0</v>
          </cell>
          <cell r="I84">
            <v>0</v>
          </cell>
          <cell r="J84">
            <v>0</v>
          </cell>
          <cell r="K84">
            <v>0</v>
          </cell>
          <cell r="L84">
            <v>255</v>
          </cell>
          <cell r="M84">
            <v>255</v>
          </cell>
        </row>
        <row r="85">
          <cell r="C85" t="str">
            <v>B102</v>
          </cell>
          <cell r="D85" t="str">
            <v>AHMAD MUBASHAR</v>
          </cell>
          <cell r="E85" t="str">
            <v>FANT</v>
          </cell>
          <cell r="F85" t="str">
            <v>JUNIOR</v>
          </cell>
          <cell r="G85">
            <v>3</v>
          </cell>
          <cell r="H85">
            <v>5</v>
          </cell>
          <cell r="I85">
            <v>0</v>
          </cell>
          <cell r="J85">
            <v>5</v>
          </cell>
          <cell r="K85">
            <v>5</v>
          </cell>
          <cell r="L85">
            <v>190</v>
          </cell>
          <cell r="M85">
            <v>190</v>
          </cell>
        </row>
        <row r="86">
          <cell r="C86" t="str">
            <v>B103</v>
          </cell>
          <cell r="D86" t="str">
            <v>MOHAMMED NAFIH BA</v>
          </cell>
          <cell r="E86" t="str">
            <v>BADF</v>
          </cell>
          <cell r="F86" t="str">
            <v>JUNIOR</v>
          </cell>
          <cell r="G86">
            <v>3</v>
          </cell>
          <cell r="H86">
            <v>9</v>
          </cell>
          <cell r="I86">
            <v>0</v>
          </cell>
          <cell r="J86">
            <v>9</v>
          </cell>
          <cell r="K86">
            <v>9</v>
          </cell>
          <cell r="L86">
            <v>139</v>
          </cell>
          <cell r="M86">
            <v>139</v>
          </cell>
        </row>
        <row r="87">
          <cell r="C87" t="str">
            <v>B104</v>
          </cell>
          <cell r="D87" t="str">
            <v>FAKRUDDIN NAFIL</v>
          </cell>
          <cell r="E87" t="str">
            <v>FANT</v>
          </cell>
          <cell r="F87" t="str">
            <v>JUNIOR</v>
          </cell>
          <cell r="G87">
            <v>3</v>
          </cell>
          <cell r="H87">
            <v>0</v>
          </cell>
          <cell r="I87">
            <v>0</v>
          </cell>
          <cell r="J87">
            <v>0</v>
          </cell>
          <cell r="K87">
            <v>0</v>
          </cell>
          <cell r="L87">
            <v>255</v>
          </cell>
          <cell r="M87">
            <v>255</v>
          </cell>
        </row>
        <row r="88">
          <cell r="C88" t="str">
            <v>B105</v>
          </cell>
          <cell r="D88" t="str">
            <v>HASAN THAMMEEM</v>
          </cell>
          <cell r="E88" t="str">
            <v>JARF</v>
          </cell>
          <cell r="F88" t="str">
            <v>JUNIOR</v>
          </cell>
          <cell r="G88">
            <v>3</v>
          </cell>
          <cell r="H88">
            <v>14</v>
          </cell>
          <cell r="I88">
            <v>0</v>
          </cell>
          <cell r="J88">
            <v>14</v>
          </cell>
          <cell r="K88">
            <v>14</v>
          </cell>
          <cell r="L88">
            <v>104</v>
          </cell>
          <cell r="M88">
            <v>104</v>
          </cell>
        </row>
        <row r="89">
          <cell r="C89" t="str">
            <v>B106</v>
          </cell>
          <cell r="D89" t="str">
            <v>MUHAMMED ROUHAN M.K</v>
          </cell>
          <cell r="E89" t="str">
            <v>BADF</v>
          </cell>
          <cell r="F89" t="str">
            <v>JUNIOR</v>
          </cell>
          <cell r="G89">
            <v>3</v>
          </cell>
          <cell r="H89">
            <v>27</v>
          </cell>
          <cell r="I89">
            <v>0</v>
          </cell>
          <cell r="J89">
            <v>27</v>
          </cell>
          <cell r="K89">
            <v>27</v>
          </cell>
          <cell r="L89">
            <v>55</v>
          </cell>
          <cell r="M89">
            <v>55</v>
          </cell>
        </row>
        <row r="90">
          <cell r="C90" t="str">
            <v>B107</v>
          </cell>
          <cell r="D90" t="str">
            <v>MUHAMMED ZAMIL</v>
          </cell>
          <cell r="E90" t="str">
            <v>JARF</v>
          </cell>
          <cell r="F90" t="str">
            <v>JUNIOR</v>
          </cell>
          <cell r="G90">
            <v>3</v>
          </cell>
          <cell r="H90">
            <v>25</v>
          </cell>
          <cell r="I90">
            <v>0</v>
          </cell>
          <cell r="J90">
            <v>25</v>
          </cell>
          <cell r="K90">
            <v>25</v>
          </cell>
          <cell r="L90">
            <v>60</v>
          </cell>
          <cell r="M90">
            <v>60</v>
          </cell>
        </row>
        <row r="91">
          <cell r="C91" t="str">
            <v>B108</v>
          </cell>
          <cell r="D91" t="str">
            <v>ABDUL RAHIMAN FAIZ T A</v>
          </cell>
          <cell r="E91" t="str">
            <v>JARF</v>
          </cell>
          <cell r="F91" t="str">
            <v>JUNIOR</v>
          </cell>
          <cell r="G91">
            <v>3</v>
          </cell>
          <cell r="H91">
            <v>15</v>
          </cell>
          <cell r="I91">
            <v>0</v>
          </cell>
          <cell r="J91">
            <v>15</v>
          </cell>
          <cell r="K91">
            <v>15</v>
          </cell>
          <cell r="L91">
            <v>100</v>
          </cell>
          <cell r="M91">
            <v>100</v>
          </cell>
        </row>
        <row r="92">
          <cell r="C92" t="str">
            <v>B109</v>
          </cell>
          <cell r="D92" t="str">
            <v>AHAMMED SAFAR ZAKARIYA</v>
          </cell>
          <cell r="E92" t="str">
            <v>DAHF</v>
          </cell>
          <cell r="F92" t="str">
            <v>JUNIOR</v>
          </cell>
          <cell r="G92">
            <v>3</v>
          </cell>
          <cell r="H92">
            <v>41</v>
          </cell>
          <cell r="I92">
            <v>0</v>
          </cell>
          <cell r="J92">
            <v>41</v>
          </cell>
          <cell r="K92">
            <v>41</v>
          </cell>
          <cell r="L92">
            <v>21</v>
          </cell>
          <cell r="M92">
            <v>21</v>
          </cell>
        </row>
        <row r="93">
          <cell r="C93" t="str">
            <v>B110</v>
          </cell>
          <cell r="D93" t="str">
            <v>MUHAMMED MUHAZ P A</v>
          </cell>
          <cell r="E93" t="str">
            <v>DAHF</v>
          </cell>
          <cell r="F93" t="str">
            <v>JUNIOR</v>
          </cell>
          <cell r="G93">
            <v>3</v>
          </cell>
          <cell r="H93">
            <v>17</v>
          </cell>
          <cell r="I93">
            <v>0</v>
          </cell>
          <cell r="J93">
            <v>17</v>
          </cell>
          <cell r="K93">
            <v>17</v>
          </cell>
          <cell r="L93">
            <v>87</v>
          </cell>
          <cell r="M93">
            <v>87</v>
          </cell>
        </row>
        <row r="94">
          <cell r="C94" t="str">
            <v>B111</v>
          </cell>
          <cell r="D94" t="str">
            <v>MUHAMMED SAHEEM ASHRAF</v>
          </cell>
          <cell r="E94" t="str">
            <v>FANT</v>
          </cell>
          <cell r="F94" t="str">
            <v>JUNIOR</v>
          </cell>
          <cell r="G94">
            <v>3</v>
          </cell>
          <cell r="H94">
            <v>1</v>
          </cell>
          <cell r="I94">
            <v>0</v>
          </cell>
          <cell r="J94">
            <v>1</v>
          </cell>
          <cell r="K94">
            <v>1</v>
          </cell>
          <cell r="L94">
            <v>231</v>
          </cell>
          <cell r="M94">
            <v>231</v>
          </cell>
        </row>
        <row r="95">
          <cell r="C95" t="str">
            <v>B112</v>
          </cell>
          <cell r="D95" t="str">
            <v>SHARAZ AHAMMED</v>
          </cell>
          <cell r="E95" t="str">
            <v>FANT</v>
          </cell>
          <cell r="F95" t="str">
            <v>JUNIOR</v>
          </cell>
          <cell r="G95">
            <v>3</v>
          </cell>
          <cell r="H95">
            <v>0</v>
          </cell>
          <cell r="I95">
            <v>0</v>
          </cell>
          <cell r="J95">
            <v>0</v>
          </cell>
          <cell r="K95">
            <v>0</v>
          </cell>
          <cell r="L95">
            <v>255</v>
          </cell>
          <cell r="M95">
            <v>255</v>
          </cell>
        </row>
        <row r="96">
          <cell r="C96" t="str">
            <v>B113</v>
          </cell>
          <cell r="D96" t="str">
            <v>MUHAMMED IHTHISHAM P I</v>
          </cell>
          <cell r="E96" t="str">
            <v>BADF</v>
          </cell>
          <cell r="F96" t="str">
            <v>JUNIOR</v>
          </cell>
          <cell r="G96">
            <v>3</v>
          </cell>
          <cell r="H96">
            <v>18</v>
          </cell>
          <cell r="I96">
            <v>0</v>
          </cell>
          <cell r="J96">
            <v>18</v>
          </cell>
          <cell r="K96">
            <v>18</v>
          </cell>
          <cell r="L96">
            <v>81</v>
          </cell>
          <cell r="M96">
            <v>81</v>
          </cell>
        </row>
        <row r="97">
          <cell r="C97" t="str">
            <v>B114</v>
          </cell>
          <cell r="D97" t="str">
            <v>AMEEN RAHMAN MTP</v>
          </cell>
          <cell r="E97" t="str">
            <v>DAHF</v>
          </cell>
          <cell r="F97" t="str">
            <v>JUNIOR</v>
          </cell>
          <cell r="G97">
            <v>3</v>
          </cell>
          <cell r="H97">
            <v>6</v>
          </cell>
          <cell r="I97">
            <v>0</v>
          </cell>
          <cell r="J97">
            <v>6</v>
          </cell>
          <cell r="K97">
            <v>6</v>
          </cell>
          <cell r="L97">
            <v>171</v>
          </cell>
          <cell r="M97">
            <v>171</v>
          </cell>
        </row>
        <row r="98">
          <cell r="C98" t="str">
            <v>B115</v>
          </cell>
          <cell r="D98" t="str">
            <v>HASSAN SAHAL N A</v>
          </cell>
          <cell r="E98" t="str">
            <v>FANT</v>
          </cell>
          <cell r="F98" t="str">
            <v>JUNIOR</v>
          </cell>
          <cell r="G98">
            <v>3</v>
          </cell>
          <cell r="H98">
            <v>9</v>
          </cell>
          <cell r="I98">
            <v>0</v>
          </cell>
          <cell r="J98">
            <v>9</v>
          </cell>
          <cell r="K98">
            <v>9</v>
          </cell>
          <cell r="L98">
            <v>139</v>
          </cell>
          <cell r="M98">
            <v>139</v>
          </cell>
        </row>
        <row r="99">
          <cell r="C99" t="str">
            <v>B116</v>
          </cell>
          <cell r="D99" t="str">
            <v>MOHAMMED SABIK BM</v>
          </cell>
          <cell r="E99" t="str">
            <v>JARF</v>
          </cell>
          <cell r="F99" t="str">
            <v>JUNIOR</v>
          </cell>
          <cell r="G99">
            <v>3</v>
          </cell>
          <cell r="H99">
            <v>1</v>
          </cell>
          <cell r="I99">
            <v>0</v>
          </cell>
          <cell r="J99">
            <v>1</v>
          </cell>
          <cell r="K99">
            <v>1</v>
          </cell>
          <cell r="L99">
            <v>231</v>
          </cell>
          <cell r="M99">
            <v>231</v>
          </cell>
        </row>
        <row r="100">
          <cell r="C100" t="str">
            <v>B117</v>
          </cell>
          <cell r="D100" t="str">
            <v>MUHAMMAD SABITH V K P</v>
          </cell>
          <cell r="E100" t="str">
            <v>BADF</v>
          </cell>
          <cell r="F100" t="str">
            <v>JUNIOR</v>
          </cell>
          <cell r="G100">
            <v>3</v>
          </cell>
          <cell r="H100">
            <v>13</v>
          </cell>
          <cell r="I100">
            <v>0</v>
          </cell>
          <cell r="J100">
            <v>13</v>
          </cell>
          <cell r="K100">
            <v>13</v>
          </cell>
          <cell r="L100">
            <v>114</v>
          </cell>
          <cell r="M100">
            <v>114</v>
          </cell>
        </row>
        <row r="101">
          <cell r="C101" t="str">
            <v>B118</v>
          </cell>
          <cell r="D101" t="str">
            <v>Muhammad Muaaz</v>
          </cell>
          <cell r="E101" t="str">
            <v>JARF</v>
          </cell>
          <cell r="F101" t="str">
            <v>JUNIOR</v>
          </cell>
          <cell r="G101">
            <v>3</v>
          </cell>
          <cell r="H101">
            <v>40</v>
          </cell>
          <cell r="I101">
            <v>0</v>
          </cell>
          <cell r="J101">
            <v>40</v>
          </cell>
          <cell r="K101">
            <v>40</v>
          </cell>
          <cell r="L101">
            <v>23</v>
          </cell>
          <cell r="M101">
            <v>23</v>
          </cell>
        </row>
        <row r="102">
          <cell r="C102" t="str">
            <v>B119</v>
          </cell>
          <cell r="D102" t="str">
            <v>ABDUL SA-AD</v>
          </cell>
          <cell r="E102" t="str">
            <v>JARF</v>
          </cell>
          <cell r="F102" t="str">
            <v>JUNIOR</v>
          </cell>
          <cell r="G102">
            <v>3</v>
          </cell>
          <cell r="H102">
            <v>1</v>
          </cell>
          <cell r="I102">
            <v>0</v>
          </cell>
          <cell r="J102">
            <v>1</v>
          </cell>
          <cell r="K102">
            <v>1</v>
          </cell>
          <cell r="L102">
            <v>231</v>
          </cell>
          <cell r="M102">
            <v>231</v>
          </cell>
        </row>
        <row r="103">
          <cell r="C103" t="str">
            <v>B120</v>
          </cell>
          <cell r="D103" t="str">
            <v>MOHAMMED RIYAN</v>
          </cell>
          <cell r="E103" t="str">
            <v>FANT</v>
          </cell>
          <cell r="F103" t="str">
            <v>JUNIOR</v>
          </cell>
          <cell r="G103">
            <v>3</v>
          </cell>
          <cell r="H103">
            <v>10</v>
          </cell>
          <cell r="I103">
            <v>0</v>
          </cell>
          <cell r="J103">
            <v>10</v>
          </cell>
          <cell r="K103">
            <v>10</v>
          </cell>
          <cell r="L103">
            <v>131</v>
          </cell>
          <cell r="M103">
            <v>131</v>
          </cell>
        </row>
        <row r="104">
          <cell r="C104" t="str">
            <v>B121</v>
          </cell>
          <cell r="D104" t="str">
            <v>MOHIDDEEN SHAHSHAD</v>
          </cell>
          <cell r="E104" t="str">
            <v>BADF</v>
          </cell>
          <cell r="F104" t="str">
            <v>JUNIOR</v>
          </cell>
          <cell r="G104">
            <v>3</v>
          </cell>
          <cell r="H104">
            <v>15</v>
          </cell>
          <cell r="I104">
            <v>0</v>
          </cell>
          <cell r="J104">
            <v>15</v>
          </cell>
          <cell r="K104">
            <v>15</v>
          </cell>
          <cell r="L104">
            <v>100</v>
          </cell>
          <cell r="M104">
            <v>100</v>
          </cell>
        </row>
        <row r="105">
          <cell r="C105" t="str">
            <v>B122</v>
          </cell>
          <cell r="D105" t="str">
            <v>MUHAMMAD FAYIZ B</v>
          </cell>
          <cell r="E105" t="str">
            <v>DAHF</v>
          </cell>
          <cell r="F105" t="str">
            <v>JUNIOR</v>
          </cell>
          <cell r="G105">
            <v>3</v>
          </cell>
          <cell r="H105">
            <v>15</v>
          </cell>
          <cell r="I105">
            <v>0</v>
          </cell>
          <cell r="J105">
            <v>15</v>
          </cell>
          <cell r="K105">
            <v>15</v>
          </cell>
          <cell r="L105">
            <v>100</v>
          </cell>
          <cell r="M105">
            <v>100</v>
          </cell>
        </row>
        <row r="106">
          <cell r="C106" t="str">
            <v>B123</v>
          </cell>
          <cell r="D106" t="str">
            <v>MUHAMMED YASEEN</v>
          </cell>
          <cell r="E106" t="str">
            <v>FANT</v>
          </cell>
          <cell r="F106" t="str">
            <v>JUNIOR</v>
          </cell>
          <cell r="G106">
            <v>3</v>
          </cell>
          <cell r="H106">
            <v>16</v>
          </cell>
          <cell r="I106">
            <v>0</v>
          </cell>
          <cell r="J106">
            <v>16</v>
          </cell>
          <cell r="K106">
            <v>16</v>
          </cell>
          <cell r="L106">
            <v>94</v>
          </cell>
          <cell r="M106">
            <v>94</v>
          </cell>
        </row>
        <row r="107">
          <cell r="C107" t="str">
            <v>B124</v>
          </cell>
          <cell r="D107" t="str">
            <v>MOHAMMED RAED. UA</v>
          </cell>
          <cell r="E107" t="str">
            <v>DAHF</v>
          </cell>
          <cell r="F107" t="str">
            <v>JUNIOR</v>
          </cell>
          <cell r="G107">
            <v>3</v>
          </cell>
          <cell r="H107">
            <v>1</v>
          </cell>
          <cell r="I107">
            <v>0</v>
          </cell>
          <cell r="J107">
            <v>1</v>
          </cell>
          <cell r="K107">
            <v>1</v>
          </cell>
          <cell r="L107">
            <v>231</v>
          </cell>
          <cell r="M107">
            <v>231</v>
          </cell>
        </row>
        <row r="108">
          <cell r="C108" t="str">
            <v>B125</v>
          </cell>
          <cell r="D108" t="str">
            <v>MUHAMMED SHANIFM P</v>
          </cell>
          <cell r="E108" t="str">
            <v>DAHF</v>
          </cell>
          <cell r="F108" t="str">
            <v>JUNIOR</v>
          </cell>
          <cell r="G108">
            <v>3</v>
          </cell>
          <cell r="H108">
            <v>0</v>
          </cell>
          <cell r="I108">
            <v>0</v>
          </cell>
          <cell r="J108">
            <v>0</v>
          </cell>
          <cell r="K108">
            <v>0</v>
          </cell>
          <cell r="L108">
            <v>255</v>
          </cell>
          <cell r="M108">
            <v>255</v>
          </cell>
        </row>
        <row r="109">
          <cell r="C109" t="str">
            <v>B126</v>
          </cell>
          <cell r="D109" t="str">
            <v>AHAMMED JABIR K H</v>
          </cell>
          <cell r="E109" t="str">
            <v>JARF</v>
          </cell>
          <cell r="F109" t="str">
            <v>JUNIOR</v>
          </cell>
          <cell r="G109">
            <v>3</v>
          </cell>
          <cell r="H109">
            <v>6</v>
          </cell>
          <cell r="I109">
            <v>0</v>
          </cell>
          <cell r="J109">
            <v>6</v>
          </cell>
          <cell r="K109">
            <v>6</v>
          </cell>
          <cell r="L109">
            <v>171</v>
          </cell>
          <cell r="M109">
            <v>171</v>
          </cell>
        </row>
        <row r="110">
          <cell r="C110" t="str">
            <v>B127</v>
          </cell>
          <cell r="D110" t="str">
            <v>THANSEEHU RAHMAN</v>
          </cell>
          <cell r="E110" t="str">
            <v>DAHF</v>
          </cell>
          <cell r="F110" t="str">
            <v>JUNIOR</v>
          </cell>
          <cell r="G110">
            <v>3</v>
          </cell>
          <cell r="H110">
            <v>1</v>
          </cell>
          <cell r="I110">
            <v>0</v>
          </cell>
          <cell r="J110">
            <v>1</v>
          </cell>
          <cell r="K110">
            <v>1</v>
          </cell>
          <cell r="L110">
            <v>231</v>
          </cell>
          <cell r="M110">
            <v>231</v>
          </cell>
        </row>
        <row r="111">
          <cell r="C111" t="str">
            <v>B128</v>
          </cell>
          <cell r="D111" t="str">
            <v>MOHAMMED AFNAN</v>
          </cell>
          <cell r="E111" t="str">
            <v>BADF</v>
          </cell>
          <cell r="F111" t="str">
            <v>JUNIOR</v>
          </cell>
          <cell r="G111">
            <v>3</v>
          </cell>
          <cell r="H111">
            <v>11</v>
          </cell>
          <cell r="I111">
            <v>0</v>
          </cell>
          <cell r="J111">
            <v>11</v>
          </cell>
          <cell r="K111">
            <v>11</v>
          </cell>
          <cell r="L111">
            <v>123</v>
          </cell>
          <cell r="M111">
            <v>123</v>
          </cell>
        </row>
        <row r="112">
          <cell r="C112" t="str">
            <v>B129</v>
          </cell>
          <cell r="D112" t="str">
            <v>MOHAMMED SABITH KU</v>
          </cell>
          <cell r="E112" t="str">
            <v>FANT</v>
          </cell>
          <cell r="F112" t="str">
            <v>JUNIOR</v>
          </cell>
          <cell r="G112">
            <v>3</v>
          </cell>
          <cell r="H112">
            <v>47</v>
          </cell>
          <cell r="I112">
            <v>0</v>
          </cell>
          <cell r="J112">
            <v>47</v>
          </cell>
          <cell r="K112">
            <v>47</v>
          </cell>
          <cell r="L112">
            <v>16</v>
          </cell>
          <cell r="M112">
            <v>16</v>
          </cell>
        </row>
        <row r="113">
          <cell r="C113" t="str">
            <v>B130</v>
          </cell>
          <cell r="D113" t="str">
            <v>HAFIL ADIL AMANULLAH K K</v>
          </cell>
          <cell r="E113" t="str">
            <v>FANT</v>
          </cell>
          <cell r="F113" t="str">
            <v>JUNIOR</v>
          </cell>
          <cell r="G113">
            <v>3</v>
          </cell>
          <cell r="H113">
            <v>20</v>
          </cell>
          <cell r="I113">
            <v>0</v>
          </cell>
          <cell r="J113">
            <v>20</v>
          </cell>
          <cell r="K113">
            <v>20</v>
          </cell>
          <cell r="L113">
            <v>74</v>
          </cell>
          <cell r="M113">
            <v>74</v>
          </cell>
        </row>
        <row r="114">
          <cell r="C114" t="str">
            <v>B131</v>
          </cell>
          <cell r="D114" t="str">
            <v>MUHAMMED BASSIM. E</v>
          </cell>
          <cell r="E114" t="str">
            <v>JARF</v>
          </cell>
          <cell r="F114" t="str">
            <v>JUNIOR</v>
          </cell>
          <cell r="G114">
            <v>3</v>
          </cell>
          <cell r="H114">
            <v>1</v>
          </cell>
          <cell r="I114">
            <v>0</v>
          </cell>
          <cell r="J114">
            <v>1</v>
          </cell>
          <cell r="K114">
            <v>1</v>
          </cell>
          <cell r="L114">
            <v>231</v>
          </cell>
          <cell r="M114">
            <v>231</v>
          </cell>
        </row>
        <row r="115">
          <cell r="C115" t="str">
            <v>B132</v>
          </cell>
          <cell r="D115" t="str">
            <v>MUHAMMED SAEED THUFAIL</v>
          </cell>
          <cell r="E115" t="str">
            <v>DAHF</v>
          </cell>
          <cell r="F115" t="str">
            <v>JUNIOR</v>
          </cell>
          <cell r="G115">
            <v>3</v>
          </cell>
          <cell r="H115">
            <v>14</v>
          </cell>
          <cell r="I115">
            <v>0</v>
          </cell>
          <cell r="J115">
            <v>14</v>
          </cell>
          <cell r="K115">
            <v>14</v>
          </cell>
          <cell r="L115">
            <v>104</v>
          </cell>
          <cell r="M115">
            <v>104</v>
          </cell>
        </row>
        <row r="116">
          <cell r="C116" t="str">
            <v>B133</v>
          </cell>
          <cell r="D116" t="str">
            <v>MEERAN MOHIUDHEEN RAFIH</v>
          </cell>
          <cell r="E116" t="str">
            <v>JARF</v>
          </cell>
          <cell r="F116" t="str">
            <v>JUNIOR</v>
          </cell>
          <cell r="G116">
            <v>3</v>
          </cell>
          <cell r="H116">
            <v>6</v>
          </cell>
          <cell r="I116">
            <v>0</v>
          </cell>
          <cell r="J116">
            <v>6</v>
          </cell>
          <cell r="K116">
            <v>6</v>
          </cell>
          <cell r="L116">
            <v>171</v>
          </cell>
          <cell r="M116">
            <v>171</v>
          </cell>
        </row>
        <row r="117">
          <cell r="C117" t="str">
            <v>B134</v>
          </cell>
          <cell r="D117" t="str">
            <v>ABDUL RAHIMAN AZAAN</v>
          </cell>
          <cell r="E117" t="str">
            <v>JARF</v>
          </cell>
          <cell r="F117" t="str">
            <v>JUNIOR</v>
          </cell>
          <cell r="G117">
            <v>3</v>
          </cell>
          <cell r="H117">
            <v>35</v>
          </cell>
          <cell r="I117">
            <v>0</v>
          </cell>
          <cell r="J117">
            <v>35</v>
          </cell>
          <cell r="K117">
            <v>35</v>
          </cell>
          <cell r="L117">
            <v>32</v>
          </cell>
          <cell r="M117">
            <v>32</v>
          </cell>
        </row>
        <row r="118">
          <cell r="C118" t="str">
            <v>B135</v>
          </cell>
          <cell r="D118" t="str">
            <v>MOHAMMED RAFIH M R</v>
          </cell>
          <cell r="E118" t="str">
            <v>FANT</v>
          </cell>
          <cell r="F118" t="str">
            <v>JUNIOR</v>
          </cell>
          <cell r="G118">
            <v>3</v>
          </cell>
          <cell r="H118">
            <v>28</v>
          </cell>
          <cell r="I118">
            <v>0</v>
          </cell>
          <cell r="J118">
            <v>28</v>
          </cell>
          <cell r="K118">
            <v>28</v>
          </cell>
          <cell r="L118">
            <v>51</v>
          </cell>
          <cell r="M118">
            <v>51</v>
          </cell>
        </row>
        <row r="119">
          <cell r="C119" t="str">
            <v>B136</v>
          </cell>
          <cell r="D119" t="str">
            <v>MUHAMMAD MIJVAD K</v>
          </cell>
          <cell r="E119" t="str">
            <v>BADF</v>
          </cell>
          <cell r="F119" t="str">
            <v>JUNIOR</v>
          </cell>
          <cell r="G119">
            <v>3</v>
          </cell>
          <cell r="H119">
            <v>12</v>
          </cell>
          <cell r="I119">
            <v>0</v>
          </cell>
          <cell r="J119">
            <v>12</v>
          </cell>
          <cell r="K119">
            <v>12</v>
          </cell>
          <cell r="L119">
            <v>119</v>
          </cell>
          <cell r="M119">
            <v>119</v>
          </cell>
        </row>
        <row r="120">
          <cell r="C120" t="str">
            <v>B137</v>
          </cell>
          <cell r="D120" t="str">
            <v>MOHAMMAD IJAN</v>
          </cell>
          <cell r="E120" t="str">
            <v>BADF</v>
          </cell>
          <cell r="F120" t="str">
            <v>JUNIOR</v>
          </cell>
          <cell r="G120">
            <v>3</v>
          </cell>
          <cell r="H120">
            <v>6</v>
          </cell>
          <cell r="I120">
            <v>0</v>
          </cell>
          <cell r="J120">
            <v>6</v>
          </cell>
          <cell r="K120">
            <v>6</v>
          </cell>
          <cell r="L120">
            <v>171</v>
          </cell>
          <cell r="M120">
            <v>171</v>
          </cell>
        </row>
        <row r="121">
          <cell r="C121" t="str">
            <v>B138</v>
          </cell>
          <cell r="D121" t="str">
            <v>HABEEB RAHMAN CA</v>
          </cell>
          <cell r="E121" t="str">
            <v>BADF</v>
          </cell>
          <cell r="F121" t="str">
            <v>JUNIOR</v>
          </cell>
          <cell r="G121">
            <v>3</v>
          </cell>
          <cell r="H121">
            <v>2</v>
          </cell>
          <cell r="I121">
            <v>0</v>
          </cell>
          <cell r="J121">
            <v>2</v>
          </cell>
          <cell r="K121">
            <v>2</v>
          </cell>
          <cell r="L121">
            <v>224</v>
          </cell>
          <cell r="M121">
            <v>224</v>
          </cell>
        </row>
        <row r="122">
          <cell r="C122" t="str">
            <v>B139</v>
          </cell>
          <cell r="D122" t="str">
            <v>Muhammad</v>
          </cell>
          <cell r="E122" t="str">
            <v>DAHF</v>
          </cell>
          <cell r="F122" t="str">
            <v>JUNIOR</v>
          </cell>
          <cell r="G122">
            <v>3</v>
          </cell>
          <cell r="H122">
            <v>8</v>
          </cell>
          <cell r="I122">
            <v>0</v>
          </cell>
          <cell r="J122">
            <v>8</v>
          </cell>
          <cell r="K122">
            <v>8</v>
          </cell>
          <cell r="L122">
            <v>147</v>
          </cell>
          <cell r="M122">
            <v>147</v>
          </cell>
        </row>
        <row r="123">
          <cell r="C123" t="str">
            <v>B140</v>
          </cell>
          <cell r="D123" t="str">
            <v>MOHAMMED SHAHID</v>
          </cell>
          <cell r="E123" t="str">
            <v>BADF</v>
          </cell>
          <cell r="F123" t="str">
            <v>JUNIOR</v>
          </cell>
          <cell r="G123">
            <v>4</v>
          </cell>
          <cell r="H123">
            <v>7</v>
          </cell>
          <cell r="I123">
            <v>0</v>
          </cell>
          <cell r="J123">
            <v>7</v>
          </cell>
          <cell r="K123">
            <v>7</v>
          </cell>
          <cell r="L123">
            <v>167</v>
          </cell>
          <cell r="M123">
            <v>167</v>
          </cell>
        </row>
        <row r="124">
          <cell r="C124" t="str">
            <v>B141</v>
          </cell>
          <cell r="D124" t="str">
            <v>RAFNAS P</v>
          </cell>
          <cell r="E124" t="str">
            <v>FANT</v>
          </cell>
          <cell r="F124" t="str">
            <v>JUNIOR</v>
          </cell>
          <cell r="G124">
            <v>4</v>
          </cell>
          <cell r="H124">
            <v>1</v>
          </cell>
          <cell r="I124">
            <v>0</v>
          </cell>
          <cell r="J124">
            <v>1</v>
          </cell>
          <cell r="K124">
            <v>1</v>
          </cell>
          <cell r="L124">
            <v>231</v>
          </cell>
          <cell r="M124">
            <v>231</v>
          </cell>
        </row>
        <row r="125">
          <cell r="C125" t="str">
            <v>B142</v>
          </cell>
          <cell r="D125" t="str">
            <v>MUHAMMED HAMDAN A.P</v>
          </cell>
          <cell r="E125" t="str">
            <v>BADF</v>
          </cell>
          <cell r="F125" t="str">
            <v>JUNIOR</v>
          </cell>
          <cell r="G125">
            <v>4</v>
          </cell>
          <cell r="H125">
            <v>33</v>
          </cell>
          <cell r="I125">
            <v>0</v>
          </cell>
          <cell r="J125">
            <v>33</v>
          </cell>
          <cell r="K125">
            <v>33</v>
          </cell>
          <cell r="L125">
            <v>37</v>
          </cell>
          <cell r="M125">
            <v>37</v>
          </cell>
        </row>
        <row r="126">
          <cell r="C126" t="str">
            <v>B143</v>
          </cell>
          <cell r="D126" t="str">
            <v>MOHAMMED SHADIL AP</v>
          </cell>
          <cell r="E126" t="str">
            <v>FANT</v>
          </cell>
          <cell r="F126" t="str">
            <v>JUNIOR</v>
          </cell>
          <cell r="G126">
            <v>4</v>
          </cell>
          <cell r="H126">
            <v>29</v>
          </cell>
          <cell r="I126">
            <v>0</v>
          </cell>
          <cell r="J126">
            <v>29</v>
          </cell>
          <cell r="K126">
            <v>29</v>
          </cell>
          <cell r="L126">
            <v>50</v>
          </cell>
          <cell r="M126">
            <v>50</v>
          </cell>
        </row>
        <row r="127">
          <cell r="C127" t="str">
            <v>B144</v>
          </cell>
          <cell r="D127" t="str">
            <v>MUHAMMED NAFIH CI</v>
          </cell>
          <cell r="E127" t="str">
            <v>FANT</v>
          </cell>
          <cell r="F127" t="str">
            <v>JUNIOR</v>
          </cell>
          <cell r="G127">
            <v>4</v>
          </cell>
          <cell r="H127">
            <v>28</v>
          </cell>
          <cell r="I127">
            <v>0</v>
          </cell>
          <cell r="J127">
            <v>28</v>
          </cell>
          <cell r="K127">
            <v>28</v>
          </cell>
          <cell r="L127">
            <v>51</v>
          </cell>
          <cell r="M127">
            <v>51</v>
          </cell>
        </row>
        <row r="128">
          <cell r="C128" t="str">
            <v>B145</v>
          </cell>
          <cell r="D128" t="str">
            <v>YASEEN NOORULLA PH</v>
          </cell>
          <cell r="E128" t="str">
            <v>FANT</v>
          </cell>
          <cell r="F128" t="str">
            <v>JUNIOR</v>
          </cell>
          <cell r="G128">
            <v>4</v>
          </cell>
          <cell r="H128">
            <v>17</v>
          </cell>
          <cell r="I128">
            <v>0</v>
          </cell>
          <cell r="J128">
            <v>17</v>
          </cell>
          <cell r="K128">
            <v>17</v>
          </cell>
          <cell r="L128">
            <v>87</v>
          </cell>
          <cell r="M128">
            <v>87</v>
          </cell>
        </row>
        <row r="129">
          <cell r="C129" t="str">
            <v>B146</v>
          </cell>
          <cell r="D129" t="str">
            <v>WASEEM NIHAD A M</v>
          </cell>
          <cell r="E129" t="str">
            <v>BADF</v>
          </cell>
          <cell r="F129" t="str">
            <v>JUNIOR</v>
          </cell>
          <cell r="G129">
            <v>4</v>
          </cell>
          <cell r="H129">
            <v>34</v>
          </cell>
          <cell r="I129">
            <v>0</v>
          </cell>
          <cell r="J129">
            <v>34</v>
          </cell>
          <cell r="K129">
            <v>34</v>
          </cell>
          <cell r="L129">
            <v>34</v>
          </cell>
          <cell r="M129">
            <v>34</v>
          </cell>
        </row>
        <row r="130">
          <cell r="C130" t="str">
            <v>B147</v>
          </cell>
          <cell r="D130" t="str">
            <v>MOHAMMED SHAMEEM B K</v>
          </cell>
          <cell r="E130" t="str">
            <v>JARF</v>
          </cell>
          <cell r="F130" t="str">
            <v>JUNIOR</v>
          </cell>
          <cell r="G130">
            <v>4</v>
          </cell>
          <cell r="H130">
            <v>8</v>
          </cell>
          <cell r="I130">
            <v>0</v>
          </cell>
          <cell r="J130">
            <v>8</v>
          </cell>
          <cell r="K130">
            <v>8</v>
          </cell>
          <cell r="L130">
            <v>147</v>
          </cell>
          <cell r="M130">
            <v>147</v>
          </cell>
        </row>
        <row r="131">
          <cell r="C131" t="str">
            <v>B148</v>
          </cell>
          <cell r="D131" t="str">
            <v>MOHAMMED BAQIR TS</v>
          </cell>
          <cell r="E131" t="str">
            <v>JARF</v>
          </cell>
          <cell r="F131" t="str">
            <v>JUNIOR</v>
          </cell>
          <cell r="G131">
            <v>4</v>
          </cell>
          <cell r="H131">
            <v>3</v>
          </cell>
          <cell r="I131">
            <v>0</v>
          </cell>
          <cell r="J131">
            <v>3</v>
          </cell>
          <cell r="K131">
            <v>3</v>
          </cell>
          <cell r="L131">
            <v>209</v>
          </cell>
          <cell r="M131">
            <v>209</v>
          </cell>
        </row>
        <row r="132">
          <cell r="C132" t="str">
            <v>B149</v>
          </cell>
          <cell r="D132" t="str">
            <v>MUHAMMED FARHAN PH</v>
          </cell>
          <cell r="E132" t="str">
            <v>DAHF</v>
          </cell>
          <cell r="F132" t="str">
            <v>JUNIOR</v>
          </cell>
          <cell r="G132">
            <v>4</v>
          </cell>
          <cell r="H132">
            <v>22.5</v>
          </cell>
          <cell r="I132">
            <v>0</v>
          </cell>
          <cell r="J132">
            <v>22.5</v>
          </cell>
          <cell r="K132">
            <v>22.5</v>
          </cell>
          <cell r="L132">
            <v>71</v>
          </cell>
          <cell r="M132">
            <v>71</v>
          </cell>
        </row>
        <row r="133">
          <cell r="C133" t="str">
            <v>B150</v>
          </cell>
          <cell r="D133" t="str">
            <v>ABDULLA FAHAD T.U</v>
          </cell>
          <cell r="E133" t="str">
            <v>FANT</v>
          </cell>
          <cell r="F133" t="str">
            <v>JUNIOR</v>
          </cell>
          <cell r="G133">
            <v>4</v>
          </cell>
          <cell r="H133">
            <v>3</v>
          </cell>
          <cell r="I133">
            <v>0</v>
          </cell>
          <cell r="J133">
            <v>3</v>
          </cell>
          <cell r="K133">
            <v>3</v>
          </cell>
          <cell r="L133">
            <v>209</v>
          </cell>
          <cell r="M133">
            <v>209</v>
          </cell>
        </row>
        <row r="134">
          <cell r="C134" t="str">
            <v>B151</v>
          </cell>
          <cell r="D134" t="str">
            <v>ABDUL GAFOOR</v>
          </cell>
          <cell r="E134" t="str">
            <v>BADF</v>
          </cell>
          <cell r="F134" t="str">
            <v>JUNIOR</v>
          </cell>
          <cell r="G134">
            <v>4</v>
          </cell>
          <cell r="H134">
            <v>3</v>
          </cell>
          <cell r="I134">
            <v>0</v>
          </cell>
          <cell r="J134">
            <v>3</v>
          </cell>
          <cell r="K134">
            <v>3</v>
          </cell>
          <cell r="L134">
            <v>209</v>
          </cell>
          <cell r="M134">
            <v>209</v>
          </cell>
        </row>
        <row r="135">
          <cell r="C135" t="str">
            <v>B152</v>
          </cell>
          <cell r="D135" t="str">
            <v>MUHAMMED MUNAZIR MM</v>
          </cell>
          <cell r="E135" t="str">
            <v>JARF</v>
          </cell>
          <cell r="F135" t="str">
            <v>JUNIOR</v>
          </cell>
          <cell r="G135">
            <v>4</v>
          </cell>
          <cell r="H135">
            <v>18.5</v>
          </cell>
          <cell r="I135">
            <v>0</v>
          </cell>
          <cell r="J135">
            <v>18.5</v>
          </cell>
          <cell r="K135">
            <v>18.5</v>
          </cell>
          <cell r="L135">
            <v>80</v>
          </cell>
          <cell r="M135">
            <v>80</v>
          </cell>
        </row>
        <row r="136">
          <cell r="C136" t="str">
            <v>B153</v>
          </cell>
          <cell r="D136" t="str">
            <v>ABDUL KHADER ISHAQUE</v>
          </cell>
          <cell r="E136" t="str">
            <v>BADF</v>
          </cell>
          <cell r="F136" t="str">
            <v>JUNIOR</v>
          </cell>
          <cell r="G136">
            <v>4</v>
          </cell>
          <cell r="H136">
            <v>14</v>
          </cell>
          <cell r="I136">
            <v>0</v>
          </cell>
          <cell r="J136">
            <v>14</v>
          </cell>
          <cell r="K136">
            <v>14</v>
          </cell>
          <cell r="L136">
            <v>104</v>
          </cell>
          <cell r="M136">
            <v>104</v>
          </cell>
        </row>
        <row r="137">
          <cell r="C137" t="str">
            <v>B154</v>
          </cell>
          <cell r="D137" t="str">
            <v>ABDULLA ALBAS</v>
          </cell>
          <cell r="E137" t="str">
            <v>DAHF</v>
          </cell>
          <cell r="F137" t="str">
            <v>JUNIOR</v>
          </cell>
          <cell r="G137">
            <v>4</v>
          </cell>
          <cell r="H137">
            <v>31</v>
          </cell>
          <cell r="I137">
            <v>0</v>
          </cell>
          <cell r="J137">
            <v>31</v>
          </cell>
          <cell r="K137">
            <v>31</v>
          </cell>
          <cell r="L137">
            <v>42</v>
          </cell>
          <cell r="M137">
            <v>42</v>
          </cell>
        </row>
        <row r="138">
          <cell r="C138" t="str">
            <v>B155</v>
          </cell>
          <cell r="D138" t="str">
            <v>MUHAMMED A</v>
          </cell>
          <cell r="E138" t="str">
            <v>DAHF</v>
          </cell>
          <cell r="F138" t="str">
            <v>JUNIOR</v>
          </cell>
          <cell r="G138">
            <v>4</v>
          </cell>
          <cell r="H138">
            <v>8</v>
          </cell>
          <cell r="I138">
            <v>0</v>
          </cell>
          <cell r="J138">
            <v>8</v>
          </cell>
          <cell r="K138">
            <v>8</v>
          </cell>
          <cell r="L138">
            <v>147</v>
          </cell>
          <cell r="M138">
            <v>147</v>
          </cell>
        </row>
        <row r="139">
          <cell r="C139" t="str">
            <v>B156</v>
          </cell>
          <cell r="D139" t="str">
            <v>MOHAMMED ANAS A.A</v>
          </cell>
          <cell r="E139" t="str">
            <v>JARF</v>
          </cell>
          <cell r="F139" t="str">
            <v>JUNIOR</v>
          </cell>
          <cell r="G139">
            <v>4</v>
          </cell>
          <cell r="H139">
            <v>0</v>
          </cell>
          <cell r="I139">
            <v>0</v>
          </cell>
          <cell r="J139">
            <v>0</v>
          </cell>
          <cell r="K139">
            <v>0</v>
          </cell>
          <cell r="L139">
            <v>255</v>
          </cell>
          <cell r="M139">
            <v>255</v>
          </cell>
        </row>
        <row r="140">
          <cell r="C140" t="str">
            <v>B157</v>
          </cell>
          <cell r="D140" t="str">
            <v>MUHAMMED MIHRAZ</v>
          </cell>
          <cell r="E140" t="str">
            <v>FANT</v>
          </cell>
          <cell r="F140" t="str">
            <v>JUNIOR</v>
          </cell>
          <cell r="G140">
            <v>4</v>
          </cell>
          <cell r="H140">
            <v>14</v>
          </cell>
          <cell r="I140">
            <v>0</v>
          </cell>
          <cell r="J140">
            <v>14</v>
          </cell>
          <cell r="K140">
            <v>14</v>
          </cell>
          <cell r="L140">
            <v>104</v>
          </cell>
          <cell r="M140">
            <v>104</v>
          </cell>
        </row>
        <row r="141">
          <cell r="C141" t="str">
            <v>B158</v>
          </cell>
          <cell r="D141" t="str">
            <v>FADIL MOHAMMED K M</v>
          </cell>
          <cell r="E141" t="str">
            <v>DAHF</v>
          </cell>
          <cell r="F141" t="str">
            <v>JUNIOR</v>
          </cell>
          <cell r="G141">
            <v>4</v>
          </cell>
          <cell r="H141">
            <v>24</v>
          </cell>
          <cell r="I141">
            <v>0</v>
          </cell>
          <cell r="J141">
            <v>24</v>
          </cell>
          <cell r="K141">
            <v>24</v>
          </cell>
          <cell r="L141">
            <v>64</v>
          </cell>
          <cell r="M141">
            <v>64</v>
          </cell>
        </row>
        <row r="142">
          <cell r="C142" t="str">
            <v>B159</v>
          </cell>
          <cell r="D142" t="str">
            <v>AJMAL AHMED MT</v>
          </cell>
          <cell r="E142" t="str">
            <v>DAHF</v>
          </cell>
          <cell r="F142" t="str">
            <v>JUNIOR</v>
          </cell>
          <cell r="G142">
            <v>4</v>
          </cell>
          <cell r="H142">
            <v>12</v>
          </cell>
          <cell r="I142">
            <v>0</v>
          </cell>
          <cell r="J142">
            <v>12</v>
          </cell>
          <cell r="K142">
            <v>12</v>
          </cell>
          <cell r="L142">
            <v>119</v>
          </cell>
          <cell r="M142">
            <v>119</v>
          </cell>
        </row>
        <row r="143">
          <cell r="C143" t="str">
            <v>B160</v>
          </cell>
          <cell r="D143" t="str">
            <v>MOHAMMED DAWOOD K</v>
          </cell>
          <cell r="E143" t="str">
            <v>JARF</v>
          </cell>
          <cell r="F143" t="str">
            <v>JUNIOR</v>
          </cell>
          <cell r="G143">
            <v>4</v>
          </cell>
          <cell r="H143">
            <v>9</v>
          </cell>
          <cell r="I143">
            <v>0</v>
          </cell>
          <cell r="J143">
            <v>9</v>
          </cell>
          <cell r="K143">
            <v>9</v>
          </cell>
          <cell r="L143">
            <v>139</v>
          </cell>
          <cell r="M143">
            <v>139</v>
          </cell>
        </row>
        <row r="144">
          <cell r="C144" t="str">
            <v>B161</v>
          </cell>
          <cell r="D144" t="str">
            <v>MUHAMMED RAZI TM</v>
          </cell>
          <cell r="E144" t="str">
            <v>DAHF</v>
          </cell>
          <cell r="F144" t="str">
            <v>JUNIOR</v>
          </cell>
          <cell r="G144">
            <v>4</v>
          </cell>
          <cell r="H144">
            <v>8</v>
          </cell>
          <cell r="I144">
            <v>0</v>
          </cell>
          <cell r="J144">
            <v>8</v>
          </cell>
          <cell r="K144">
            <v>8</v>
          </cell>
          <cell r="L144">
            <v>147</v>
          </cell>
          <cell r="M144">
            <v>147</v>
          </cell>
        </row>
        <row r="145">
          <cell r="C145" t="str">
            <v>B162</v>
          </cell>
          <cell r="D145" t="str">
            <v>RAYHAN PH</v>
          </cell>
          <cell r="E145" t="str">
            <v>JARF</v>
          </cell>
          <cell r="F145" t="str">
            <v>JUNIOR</v>
          </cell>
          <cell r="G145">
            <v>4</v>
          </cell>
          <cell r="H145">
            <v>17</v>
          </cell>
          <cell r="I145">
            <v>0</v>
          </cell>
          <cell r="J145">
            <v>17</v>
          </cell>
          <cell r="K145">
            <v>17</v>
          </cell>
          <cell r="L145">
            <v>87</v>
          </cell>
          <cell r="M145">
            <v>87</v>
          </cell>
        </row>
        <row r="146">
          <cell r="C146" t="str">
            <v>B163</v>
          </cell>
          <cell r="D146" t="str">
            <v>MOHAMMED YOUNUS</v>
          </cell>
          <cell r="E146" t="str">
            <v>JARF</v>
          </cell>
          <cell r="F146" t="str">
            <v>JUNIOR</v>
          </cell>
          <cell r="G146">
            <v>4</v>
          </cell>
          <cell r="H146">
            <v>38</v>
          </cell>
          <cell r="I146">
            <v>0</v>
          </cell>
          <cell r="J146">
            <v>38</v>
          </cell>
          <cell r="K146">
            <v>38</v>
          </cell>
          <cell r="L146">
            <v>26</v>
          </cell>
          <cell r="M146">
            <v>26</v>
          </cell>
        </row>
        <row r="147">
          <cell r="C147" t="str">
            <v>B164</v>
          </cell>
          <cell r="D147" t="str">
            <v>RASALUL AMEEN T</v>
          </cell>
          <cell r="E147" t="str">
            <v>BADF</v>
          </cell>
          <cell r="F147" t="str">
            <v>JUNIOR</v>
          </cell>
          <cell r="G147">
            <v>4</v>
          </cell>
          <cell r="H147">
            <v>33</v>
          </cell>
          <cell r="I147">
            <v>0</v>
          </cell>
          <cell r="J147">
            <v>33</v>
          </cell>
          <cell r="K147">
            <v>33</v>
          </cell>
          <cell r="L147">
            <v>37</v>
          </cell>
          <cell r="M147">
            <v>37</v>
          </cell>
        </row>
        <row r="148">
          <cell r="C148" t="str">
            <v>C100</v>
          </cell>
          <cell r="D148" t="str">
            <v>IBRAHIM AFIL</v>
          </cell>
          <cell r="E148" t="str">
            <v>DAHF</v>
          </cell>
          <cell r="F148" t="str">
            <v>SENIOR</v>
          </cell>
          <cell r="G148">
            <v>5</v>
          </cell>
          <cell r="H148">
            <v>0</v>
          </cell>
          <cell r="I148">
            <v>0</v>
          </cell>
          <cell r="J148">
            <v>0</v>
          </cell>
          <cell r="K148">
            <v>0</v>
          </cell>
          <cell r="L148">
            <v>255</v>
          </cell>
          <cell r="M148">
            <v>255</v>
          </cell>
        </row>
        <row r="149">
          <cell r="C149" t="str">
            <v>C101</v>
          </cell>
          <cell r="D149" t="str">
            <v>MUHAMMED KASHIF</v>
          </cell>
          <cell r="E149" t="str">
            <v>FANT</v>
          </cell>
          <cell r="F149" t="str">
            <v>SENIOR</v>
          </cell>
          <cell r="G149">
            <v>5</v>
          </cell>
          <cell r="H149">
            <v>2</v>
          </cell>
          <cell r="I149">
            <v>0</v>
          </cell>
          <cell r="J149">
            <v>2</v>
          </cell>
          <cell r="K149">
            <v>2</v>
          </cell>
          <cell r="L149">
            <v>224</v>
          </cell>
          <cell r="M149">
            <v>224</v>
          </cell>
        </row>
        <row r="150">
          <cell r="C150" t="str">
            <v>C102</v>
          </cell>
          <cell r="D150" t="str">
            <v>AHAMMED MAHSHOOK M.B</v>
          </cell>
          <cell r="E150" t="str">
            <v>DAHF</v>
          </cell>
          <cell r="F150" t="str">
            <v>SENIOR</v>
          </cell>
          <cell r="G150">
            <v>5</v>
          </cell>
          <cell r="H150">
            <v>9</v>
          </cell>
          <cell r="I150">
            <v>0</v>
          </cell>
          <cell r="J150">
            <v>9</v>
          </cell>
          <cell r="K150">
            <v>9</v>
          </cell>
          <cell r="L150">
            <v>139</v>
          </cell>
          <cell r="M150">
            <v>139</v>
          </cell>
        </row>
        <row r="151">
          <cell r="C151" t="str">
            <v>C103</v>
          </cell>
          <cell r="D151" t="str">
            <v>MUHAMMED ABDUL KADER</v>
          </cell>
          <cell r="E151" t="str">
            <v>BADF</v>
          </cell>
          <cell r="F151" t="str">
            <v>SENIOR</v>
          </cell>
          <cell r="G151">
            <v>5</v>
          </cell>
          <cell r="H151">
            <v>30</v>
          </cell>
          <cell r="I151">
            <v>0</v>
          </cell>
          <cell r="J151">
            <v>30</v>
          </cell>
          <cell r="K151">
            <v>30</v>
          </cell>
          <cell r="L151">
            <v>48</v>
          </cell>
          <cell r="M151">
            <v>48</v>
          </cell>
        </row>
        <row r="152">
          <cell r="C152" t="str">
            <v>C104</v>
          </cell>
          <cell r="D152" t="str">
            <v>HADIL RIJAS</v>
          </cell>
          <cell r="E152" t="str">
            <v>BADF</v>
          </cell>
          <cell r="F152" t="str">
            <v>SENIOR</v>
          </cell>
          <cell r="G152">
            <v>5</v>
          </cell>
          <cell r="H152">
            <v>23</v>
          </cell>
          <cell r="I152">
            <v>0</v>
          </cell>
          <cell r="J152">
            <v>23</v>
          </cell>
          <cell r="K152">
            <v>23</v>
          </cell>
          <cell r="L152">
            <v>68</v>
          </cell>
          <cell r="M152">
            <v>68</v>
          </cell>
        </row>
        <row r="153">
          <cell r="C153" t="str">
            <v>C105</v>
          </cell>
          <cell r="D153" t="str">
            <v>AHMAD MANAL KUDINGILA</v>
          </cell>
          <cell r="E153" t="str">
            <v>JARF</v>
          </cell>
          <cell r="F153" t="str">
            <v>SENIOR</v>
          </cell>
          <cell r="G153">
            <v>5</v>
          </cell>
          <cell r="H153">
            <v>0</v>
          </cell>
          <cell r="I153">
            <v>0</v>
          </cell>
          <cell r="J153">
            <v>0</v>
          </cell>
          <cell r="K153">
            <v>0</v>
          </cell>
          <cell r="L153">
            <v>255</v>
          </cell>
          <cell r="M153">
            <v>255</v>
          </cell>
        </row>
        <row r="154">
          <cell r="C154" t="str">
            <v>C106</v>
          </cell>
          <cell r="D154" t="str">
            <v>ABDUL RAHMAN ANFHAL M I</v>
          </cell>
          <cell r="E154" t="str">
            <v>BADF</v>
          </cell>
          <cell r="F154" t="str">
            <v>SENIOR</v>
          </cell>
          <cell r="G154">
            <v>5</v>
          </cell>
          <cell r="H154">
            <v>5</v>
          </cell>
          <cell r="I154">
            <v>0</v>
          </cell>
          <cell r="J154">
            <v>5</v>
          </cell>
          <cell r="K154">
            <v>5</v>
          </cell>
          <cell r="L154">
            <v>190</v>
          </cell>
          <cell r="M154">
            <v>190</v>
          </cell>
        </row>
        <row r="155">
          <cell r="C155" t="str">
            <v>C107</v>
          </cell>
          <cell r="D155" t="str">
            <v>ADIL ABDULLA A</v>
          </cell>
          <cell r="E155" t="str">
            <v>DAHF</v>
          </cell>
          <cell r="F155" t="str">
            <v>SENIOR</v>
          </cell>
          <cell r="G155">
            <v>5</v>
          </cell>
          <cell r="H155">
            <v>31</v>
          </cell>
          <cell r="I155">
            <v>0</v>
          </cell>
          <cell r="J155">
            <v>31</v>
          </cell>
          <cell r="K155">
            <v>31</v>
          </cell>
          <cell r="L155">
            <v>42</v>
          </cell>
          <cell r="M155">
            <v>42</v>
          </cell>
        </row>
        <row r="156">
          <cell r="C156" t="str">
            <v>C108</v>
          </cell>
          <cell r="D156" t="str">
            <v>ABDULLA SALMAN FARIS M</v>
          </cell>
          <cell r="E156" t="str">
            <v>FANT</v>
          </cell>
          <cell r="F156" t="str">
            <v>SENIOR</v>
          </cell>
          <cell r="G156">
            <v>5</v>
          </cell>
          <cell r="H156">
            <v>5</v>
          </cell>
          <cell r="I156">
            <v>0</v>
          </cell>
          <cell r="J156">
            <v>5</v>
          </cell>
          <cell r="K156">
            <v>5</v>
          </cell>
          <cell r="L156">
            <v>190</v>
          </cell>
          <cell r="M156">
            <v>190</v>
          </cell>
        </row>
        <row r="157">
          <cell r="C157" t="str">
            <v>C109</v>
          </cell>
          <cell r="D157" t="str">
            <v>ABDULLA FARHAN M</v>
          </cell>
          <cell r="E157" t="str">
            <v>BADF</v>
          </cell>
          <cell r="F157" t="str">
            <v>SENIOR</v>
          </cell>
          <cell r="G157">
            <v>5</v>
          </cell>
          <cell r="H157">
            <v>8</v>
          </cell>
          <cell r="I157">
            <v>0</v>
          </cell>
          <cell r="J157">
            <v>8</v>
          </cell>
          <cell r="K157">
            <v>8</v>
          </cell>
          <cell r="L157">
            <v>147</v>
          </cell>
          <cell r="M157">
            <v>147</v>
          </cell>
        </row>
        <row r="158">
          <cell r="C158" t="str">
            <v>C110</v>
          </cell>
          <cell r="D158" t="str">
            <v>SHADIL AHAMED</v>
          </cell>
          <cell r="E158" t="str">
            <v>DAHF</v>
          </cell>
          <cell r="F158" t="str">
            <v>SENIOR</v>
          </cell>
          <cell r="G158">
            <v>5</v>
          </cell>
          <cell r="H158">
            <v>3</v>
          </cell>
          <cell r="I158">
            <v>0</v>
          </cell>
          <cell r="J158">
            <v>3</v>
          </cell>
          <cell r="K158">
            <v>3</v>
          </cell>
          <cell r="L158">
            <v>209</v>
          </cell>
          <cell r="M158">
            <v>209</v>
          </cell>
        </row>
        <row r="159">
          <cell r="C159" t="str">
            <v>C111</v>
          </cell>
          <cell r="D159" t="str">
            <v>MUHAMMAD ISMAIL HAMDULLA V K</v>
          </cell>
          <cell r="E159" t="str">
            <v>JARF</v>
          </cell>
          <cell r="F159" t="str">
            <v>SENIOR</v>
          </cell>
          <cell r="G159">
            <v>5</v>
          </cell>
          <cell r="H159">
            <v>34</v>
          </cell>
          <cell r="I159">
            <v>0</v>
          </cell>
          <cell r="J159">
            <v>34</v>
          </cell>
          <cell r="K159">
            <v>34</v>
          </cell>
          <cell r="L159">
            <v>34</v>
          </cell>
          <cell r="M159">
            <v>34</v>
          </cell>
        </row>
        <row r="160">
          <cell r="C160" t="str">
            <v>C112</v>
          </cell>
          <cell r="D160" t="str">
            <v>MOHAMMED SA'DUDDEEN K</v>
          </cell>
          <cell r="E160" t="str">
            <v>FANT</v>
          </cell>
          <cell r="F160" t="str">
            <v>SENIOR</v>
          </cell>
          <cell r="G160">
            <v>5</v>
          </cell>
          <cell r="H160">
            <v>31</v>
          </cell>
          <cell r="I160">
            <v>0</v>
          </cell>
          <cell r="J160">
            <v>31</v>
          </cell>
          <cell r="K160">
            <v>31</v>
          </cell>
          <cell r="L160">
            <v>42</v>
          </cell>
          <cell r="M160">
            <v>42</v>
          </cell>
        </row>
        <row r="161">
          <cell r="C161" t="str">
            <v>C113</v>
          </cell>
          <cell r="D161" t="str">
            <v>SEYYAD MUHAMMED FAHMAN</v>
          </cell>
          <cell r="E161" t="str">
            <v>JARF</v>
          </cell>
          <cell r="F161" t="str">
            <v>SENIOR</v>
          </cell>
          <cell r="G161">
            <v>5</v>
          </cell>
          <cell r="H161">
            <v>4</v>
          </cell>
          <cell r="I161">
            <v>0</v>
          </cell>
          <cell r="J161">
            <v>4</v>
          </cell>
          <cell r="K161">
            <v>4</v>
          </cell>
          <cell r="L161">
            <v>197</v>
          </cell>
          <cell r="M161">
            <v>197</v>
          </cell>
        </row>
        <row r="162">
          <cell r="C162" t="str">
            <v>C114</v>
          </cell>
          <cell r="D162" t="str">
            <v>AJMAL RUWAIS</v>
          </cell>
          <cell r="E162" t="str">
            <v>BADF</v>
          </cell>
          <cell r="F162" t="str">
            <v>SENIOR</v>
          </cell>
          <cell r="G162">
            <v>5</v>
          </cell>
          <cell r="H162">
            <v>10.5</v>
          </cell>
          <cell r="I162">
            <v>0</v>
          </cell>
          <cell r="J162">
            <v>10.5</v>
          </cell>
          <cell r="K162">
            <v>10.5</v>
          </cell>
          <cell r="L162">
            <v>130</v>
          </cell>
          <cell r="M162">
            <v>130</v>
          </cell>
        </row>
        <row r="163">
          <cell r="C163" t="str">
            <v>C115</v>
          </cell>
          <cell r="D163" t="str">
            <v>MOHAMMED ABDUL KHADER K</v>
          </cell>
          <cell r="E163" t="str">
            <v>FANT</v>
          </cell>
          <cell r="F163" t="str">
            <v>SENIOR</v>
          </cell>
          <cell r="G163">
            <v>5</v>
          </cell>
          <cell r="H163">
            <v>0</v>
          </cell>
          <cell r="I163">
            <v>0</v>
          </cell>
          <cell r="J163">
            <v>0</v>
          </cell>
          <cell r="K163">
            <v>0</v>
          </cell>
          <cell r="L163">
            <v>255</v>
          </cell>
          <cell r="M163">
            <v>255</v>
          </cell>
        </row>
        <row r="164">
          <cell r="C164" t="str">
            <v>C116</v>
          </cell>
          <cell r="D164" t="str">
            <v>MUAHMMED ANAS P A</v>
          </cell>
          <cell r="E164" t="str">
            <v>JARF</v>
          </cell>
          <cell r="F164" t="str">
            <v>SENIOR</v>
          </cell>
          <cell r="G164">
            <v>5</v>
          </cell>
          <cell r="H164">
            <v>1</v>
          </cell>
          <cell r="I164">
            <v>0</v>
          </cell>
          <cell r="J164">
            <v>1</v>
          </cell>
          <cell r="K164">
            <v>1</v>
          </cell>
          <cell r="L164">
            <v>231</v>
          </cell>
          <cell r="M164">
            <v>231</v>
          </cell>
        </row>
        <row r="165">
          <cell r="C165" t="str">
            <v>C117</v>
          </cell>
          <cell r="D165" t="str">
            <v>Muhammed fahiz A K</v>
          </cell>
          <cell r="E165" t="str">
            <v>DAHF</v>
          </cell>
          <cell r="F165" t="str">
            <v>SENIOR</v>
          </cell>
          <cell r="G165">
            <v>5</v>
          </cell>
          <cell r="H165">
            <v>0</v>
          </cell>
          <cell r="I165">
            <v>0</v>
          </cell>
          <cell r="J165">
            <v>0</v>
          </cell>
          <cell r="K165">
            <v>0</v>
          </cell>
          <cell r="L165">
            <v>255</v>
          </cell>
          <cell r="M165">
            <v>255</v>
          </cell>
        </row>
        <row r="166">
          <cell r="C166" t="str">
            <v>C118</v>
          </cell>
          <cell r="D166" t="str">
            <v>MUHAMMAD SHAMMAS</v>
          </cell>
          <cell r="E166" t="str">
            <v>FANT</v>
          </cell>
          <cell r="F166" t="str">
            <v>SENIOR</v>
          </cell>
          <cell r="G166">
            <v>5</v>
          </cell>
          <cell r="H166">
            <v>8</v>
          </cell>
          <cell r="I166">
            <v>0</v>
          </cell>
          <cell r="J166">
            <v>8</v>
          </cell>
          <cell r="K166">
            <v>8</v>
          </cell>
          <cell r="L166">
            <v>147</v>
          </cell>
          <cell r="M166">
            <v>147</v>
          </cell>
        </row>
        <row r="167">
          <cell r="C167" t="str">
            <v>C119</v>
          </cell>
          <cell r="D167" t="str">
            <v>ARIFUDEEN ABBAS A</v>
          </cell>
          <cell r="E167" t="str">
            <v>JARF</v>
          </cell>
          <cell r="F167" t="str">
            <v>SENIOR</v>
          </cell>
          <cell r="G167">
            <v>5</v>
          </cell>
          <cell r="H167">
            <v>1</v>
          </cell>
          <cell r="I167">
            <v>0</v>
          </cell>
          <cell r="J167">
            <v>1</v>
          </cell>
          <cell r="K167">
            <v>1</v>
          </cell>
          <cell r="L167">
            <v>231</v>
          </cell>
          <cell r="M167">
            <v>231</v>
          </cell>
        </row>
        <row r="168">
          <cell r="C168" t="str">
            <v>C120</v>
          </cell>
          <cell r="D168" t="str">
            <v>MAJID MUHAMMED M</v>
          </cell>
          <cell r="E168" t="str">
            <v>DAHF</v>
          </cell>
          <cell r="F168" t="str">
            <v>SENIOR</v>
          </cell>
          <cell r="G168">
            <v>5</v>
          </cell>
          <cell r="H168">
            <v>26</v>
          </cell>
          <cell r="I168">
            <v>0</v>
          </cell>
          <cell r="J168">
            <v>26</v>
          </cell>
          <cell r="K168">
            <v>26</v>
          </cell>
          <cell r="L168">
            <v>58</v>
          </cell>
          <cell r="M168">
            <v>58</v>
          </cell>
        </row>
        <row r="169">
          <cell r="C169" t="str">
            <v>C121</v>
          </cell>
          <cell r="D169" t="str">
            <v>ABDUL SALAM ARIF</v>
          </cell>
          <cell r="E169" t="str">
            <v>JARF</v>
          </cell>
          <cell r="F169" t="str">
            <v>SENIOR</v>
          </cell>
          <cell r="G169">
            <v>5</v>
          </cell>
          <cell r="H169">
            <v>4</v>
          </cell>
          <cell r="I169">
            <v>0</v>
          </cell>
          <cell r="J169">
            <v>4</v>
          </cell>
          <cell r="K169">
            <v>4</v>
          </cell>
          <cell r="L169">
            <v>197</v>
          </cell>
          <cell r="M169">
            <v>197</v>
          </cell>
        </row>
        <row r="170">
          <cell r="C170" t="str">
            <v>C122</v>
          </cell>
          <cell r="D170" t="str">
            <v>MOHAMMED K H</v>
          </cell>
          <cell r="E170" t="str">
            <v>BADF</v>
          </cell>
          <cell r="F170" t="str">
            <v>SENIOR</v>
          </cell>
          <cell r="G170">
            <v>5</v>
          </cell>
          <cell r="H170">
            <v>0</v>
          </cell>
          <cell r="I170">
            <v>0</v>
          </cell>
          <cell r="J170">
            <v>0</v>
          </cell>
          <cell r="K170">
            <v>0</v>
          </cell>
          <cell r="L170">
            <v>255</v>
          </cell>
          <cell r="M170">
            <v>255</v>
          </cell>
        </row>
        <row r="171">
          <cell r="C171" t="str">
            <v>C123</v>
          </cell>
          <cell r="D171" t="str">
            <v>MOHAMMED FAQRUDDEEN RAZI</v>
          </cell>
          <cell r="E171" t="str">
            <v>BADF</v>
          </cell>
          <cell r="F171" t="str">
            <v>SENIOR</v>
          </cell>
          <cell r="G171">
            <v>5</v>
          </cell>
          <cell r="H171">
            <v>1</v>
          </cell>
          <cell r="I171">
            <v>0</v>
          </cell>
          <cell r="J171">
            <v>1</v>
          </cell>
          <cell r="K171">
            <v>1</v>
          </cell>
          <cell r="L171">
            <v>231</v>
          </cell>
          <cell r="M171">
            <v>231</v>
          </cell>
        </row>
        <row r="172">
          <cell r="C172" t="str">
            <v>C124</v>
          </cell>
          <cell r="D172" t="str">
            <v>MOHAMMED MUBASHIR</v>
          </cell>
          <cell r="E172" t="str">
            <v>BADF</v>
          </cell>
          <cell r="F172" t="str">
            <v>SENIOR</v>
          </cell>
          <cell r="G172">
            <v>5</v>
          </cell>
          <cell r="H172">
            <v>2</v>
          </cell>
          <cell r="I172">
            <v>0</v>
          </cell>
          <cell r="J172">
            <v>2</v>
          </cell>
          <cell r="K172">
            <v>2</v>
          </cell>
          <cell r="L172">
            <v>224</v>
          </cell>
          <cell r="M172">
            <v>224</v>
          </cell>
        </row>
        <row r="173">
          <cell r="C173" t="str">
            <v>C125</v>
          </cell>
          <cell r="D173" t="str">
            <v>AHAMMED MINHAJ E M</v>
          </cell>
          <cell r="E173" t="str">
            <v>FANT</v>
          </cell>
          <cell r="F173" t="str">
            <v>SENIOR</v>
          </cell>
          <cell r="G173">
            <v>5</v>
          </cell>
          <cell r="H173">
            <v>14</v>
          </cell>
          <cell r="I173">
            <v>0</v>
          </cell>
          <cell r="J173">
            <v>14</v>
          </cell>
          <cell r="K173">
            <v>14</v>
          </cell>
          <cell r="L173">
            <v>104</v>
          </cell>
          <cell r="M173">
            <v>104</v>
          </cell>
        </row>
        <row r="174">
          <cell r="C174" t="str">
            <v>C126</v>
          </cell>
          <cell r="D174" t="str">
            <v>ADNAN ABDULLAH B A</v>
          </cell>
          <cell r="E174" t="str">
            <v>JARF</v>
          </cell>
          <cell r="F174" t="str">
            <v>SENIOR</v>
          </cell>
          <cell r="G174">
            <v>5</v>
          </cell>
          <cell r="H174">
            <v>1</v>
          </cell>
          <cell r="I174">
            <v>0</v>
          </cell>
          <cell r="J174">
            <v>1</v>
          </cell>
          <cell r="K174">
            <v>1</v>
          </cell>
          <cell r="L174">
            <v>231</v>
          </cell>
          <cell r="M174">
            <v>231</v>
          </cell>
        </row>
        <row r="175">
          <cell r="C175" t="str">
            <v>C127</v>
          </cell>
          <cell r="D175" t="str">
            <v>SHAMMAZ P A</v>
          </cell>
          <cell r="E175" t="str">
            <v>FANT</v>
          </cell>
          <cell r="F175" t="str">
            <v>SENIOR</v>
          </cell>
          <cell r="G175">
            <v>5</v>
          </cell>
          <cell r="H175">
            <v>13</v>
          </cell>
          <cell r="I175">
            <v>0</v>
          </cell>
          <cell r="J175">
            <v>13</v>
          </cell>
          <cell r="K175">
            <v>13</v>
          </cell>
          <cell r="L175">
            <v>114</v>
          </cell>
          <cell r="M175">
            <v>114</v>
          </cell>
        </row>
        <row r="176">
          <cell r="C176" t="str">
            <v>C128</v>
          </cell>
          <cell r="D176" t="str">
            <v>MAHIN SINAN</v>
          </cell>
          <cell r="E176" t="str">
            <v>DAHF</v>
          </cell>
          <cell r="F176" t="str">
            <v>SENIOR</v>
          </cell>
          <cell r="G176">
            <v>5</v>
          </cell>
          <cell r="H176">
            <v>0</v>
          </cell>
          <cell r="I176">
            <v>0</v>
          </cell>
          <cell r="J176">
            <v>0</v>
          </cell>
          <cell r="K176">
            <v>0</v>
          </cell>
          <cell r="L176">
            <v>255</v>
          </cell>
          <cell r="M176">
            <v>255</v>
          </cell>
        </row>
        <row r="177">
          <cell r="C177" t="str">
            <v>C129</v>
          </cell>
          <cell r="D177" t="str">
            <v>P K ZAMEEL AHMED</v>
          </cell>
          <cell r="E177" t="str">
            <v>BADF</v>
          </cell>
          <cell r="F177" t="str">
            <v>SENIOR</v>
          </cell>
          <cell r="G177">
            <v>5</v>
          </cell>
          <cell r="H177">
            <v>6</v>
          </cell>
          <cell r="I177">
            <v>0</v>
          </cell>
          <cell r="J177">
            <v>6</v>
          </cell>
          <cell r="K177">
            <v>6</v>
          </cell>
          <cell r="L177">
            <v>171</v>
          </cell>
          <cell r="M177">
            <v>171</v>
          </cell>
        </row>
        <row r="178">
          <cell r="C178" t="str">
            <v>C130</v>
          </cell>
          <cell r="D178" t="str">
            <v>MOHAMMED HISHAM</v>
          </cell>
          <cell r="E178" t="str">
            <v>DAHF</v>
          </cell>
          <cell r="F178" t="str">
            <v>SENIOR</v>
          </cell>
          <cell r="G178">
            <v>5</v>
          </cell>
          <cell r="H178">
            <v>0</v>
          </cell>
          <cell r="I178">
            <v>0</v>
          </cell>
          <cell r="J178">
            <v>0</v>
          </cell>
          <cell r="K178">
            <v>0</v>
          </cell>
          <cell r="L178">
            <v>255</v>
          </cell>
          <cell r="M178">
            <v>255</v>
          </cell>
        </row>
        <row r="179">
          <cell r="C179" t="str">
            <v>C131</v>
          </cell>
          <cell r="D179" t="str">
            <v>IBRAHIM AHRAZ</v>
          </cell>
          <cell r="E179" t="str">
            <v>FANT</v>
          </cell>
          <cell r="F179" t="str">
            <v>SENIOR</v>
          </cell>
          <cell r="G179">
            <v>6</v>
          </cell>
          <cell r="H179">
            <v>6</v>
          </cell>
          <cell r="I179">
            <v>0</v>
          </cell>
          <cell r="J179">
            <v>6</v>
          </cell>
          <cell r="K179">
            <v>6</v>
          </cell>
          <cell r="L179">
            <v>171</v>
          </cell>
          <cell r="M179">
            <v>171</v>
          </cell>
        </row>
        <row r="180">
          <cell r="C180" t="str">
            <v>C132</v>
          </cell>
          <cell r="D180" t="str">
            <v>MUHAMMAD SHAZIN</v>
          </cell>
          <cell r="E180" t="str">
            <v>BADF</v>
          </cell>
          <cell r="F180" t="str">
            <v>SENIOR</v>
          </cell>
          <cell r="G180">
            <v>6</v>
          </cell>
          <cell r="H180">
            <v>1</v>
          </cell>
          <cell r="I180">
            <v>0</v>
          </cell>
          <cell r="J180">
            <v>1</v>
          </cell>
          <cell r="K180">
            <v>1</v>
          </cell>
          <cell r="L180">
            <v>231</v>
          </cell>
          <cell r="M180">
            <v>231</v>
          </cell>
        </row>
        <row r="181">
          <cell r="C181" t="str">
            <v>C133</v>
          </cell>
          <cell r="D181" t="str">
            <v>SALMANUL FARIS</v>
          </cell>
          <cell r="E181" t="str">
            <v>DAHF</v>
          </cell>
          <cell r="F181" t="str">
            <v>SENIOR</v>
          </cell>
          <cell r="G181">
            <v>6</v>
          </cell>
          <cell r="H181">
            <v>51</v>
          </cell>
          <cell r="I181">
            <v>0</v>
          </cell>
          <cell r="J181">
            <v>51</v>
          </cell>
          <cell r="K181">
            <v>51</v>
          </cell>
          <cell r="L181">
            <v>13</v>
          </cell>
          <cell r="M181">
            <v>13</v>
          </cell>
        </row>
        <row r="182">
          <cell r="C182" t="str">
            <v>C134</v>
          </cell>
          <cell r="D182" t="str">
            <v>MUHAMMED ABDUL NASIF P.A</v>
          </cell>
          <cell r="E182" t="str">
            <v>FANT</v>
          </cell>
          <cell r="F182" t="str">
            <v>SENIOR</v>
          </cell>
          <cell r="G182">
            <v>6</v>
          </cell>
          <cell r="H182">
            <v>0</v>
          </cell>
          <cell r="I182">
            <v>0</v>
          </cell>
          <cell r="J182">
            <v>0</v>
          </cell>
          <cell r="K182">
            <v>0</v>
          </cell>
          <cell r="L182">
            <v>255</v>
          </cell>
          <cell r="M182">
            <v>255</v>
          </cell>
        </row>
        <row r="183">
          <cell r="C183" t="str">
            <v>C135</v>
          </cell>
          <cell r="D183" t="str">
            <v>AHAMAD SHABAB P A</v>
          </cell>
          <cell r="E183" t="str">
            <v>JARF</v>
          </cell>
          <cell r="F183" t="str">
            <v>SENIOR</v>
          </cell>
          <cell r="G183">
            <v>6</v>
          </cell>
          <cell r="H183">
            <v>73</v>
          </cell>
          <cell r="I183">
            <v>0</v>
          </cell>
          <cell r="J183">
            <v>73</v>
          </cell>
          <cell r="K183">
            <v>73</v>
          </cell>
          <cell r="L183">
            <v>2</v>
          </cell>
          <cell r="M183">
            <v>2</v>
          </cell>
        </row>
        <row r="184">
          <cell r="C184" t="str">
            <v>C136</v>
          </cell>
          <cell r="D184" t="str">
            <v>MOHAMMED SHAKIR HUSSAIN K.Y</v>
          </cell>
          <cell r="E184" t="str">
            <v>DAHF</v>
          </cell>
          <cell r="F184" t="str">
            <v>SENIOR</v>
          </cell>
          <cell r="G184">
            <v>6</v>
          </cell>
          <cell r="H184">
            <v>72</v>
          </cell>
          <cell r="I184">
            <v>0</v>
          </cell>
          <cell r="J184">
            <v>72</v>
          </cell>
          <cell r="K184">
            <v>72</v>
          </cell>
          <cell r="L184">
            <v>3</v>
          </cell>
          <cell r="M184">
            <v>3</v>
          </cell>
        </row>
        <row r="185">
          <cell r="C185" t="str">
            <v>C137</v>
          </cell>
          <cell r="D185" t="str">
            <v>MUHAMMED SHUHAIB S</v>
          </cell>
          <cell r="E185" t="str">
            <v>FANT</v>
          </cell>
          <cell r="F185" t="str">
            <v>SENIOR</v>
          </cell>
          <cell r="G185">
            <v>6</v>
          </cell>
          <cell r="H185">
            <v>0</v>
          </cell>
          <cell r="I185">
            <v>0</v>
          </cell>
          <cell r="J185">
            <v>0</v>
          </cell>
          <cell r="K185">
            <v>0</v>
          </cell>
          <cell r="L185">
            <v>255</v>
          </cell>
          <cell r="M185">
            <v>255</v>
          </cell>
        </row>
        <row r="186">
          <cell r="C186" t="str">
            <v>C138</v>
          </cell>
          <cell r="D186" t="str">
            <v>MOHAMMED MOINUDDEEN CHISTY</v>
          </cell>
          <cell r="E186" t="str">
            <v>FANT</v>
          </cell>
          <cell r="F186" t="str">
            <v>SENIOR</v>
          </cell>
          <cell r="G186">
            <v>6</v>
          </cell>
          <cell r="H186">
            <v>8</v>
          </cell>
          <cell r="I186">
            <v>0</v>
          </cell>
          <cell r="J186">
            <v>8</v>
          </cell>
          <cell r="K186">
            <v>8</v>
          </cell>
          <cell r="L186">
            <v>147</v>
          </cell>
          <cell r="M186">
            <v>147</v>
          </cell>
        </row>
        <row r="187">
          <cell r="C187" t="str">
            <v>C139</v>
          </cell>
          <cell r="D187" t="str">
            <v>SULAIMAN FAHAD AP</v>
          </cell>
          <cell r="E187" t="str">
            <v>BADF</v>
          </cell>
          <cell r="F187" t="str">
            <v>SENIOR</v>
          </cell>
          <cell r="G187">
            <v>6</v>
          </cell>
          <cell r="H187">
            <v>1</v>
          </cell>
          <cell r="I187">
            <v>0</v>
          </cell>
          <cell r="J187">
            <v>1</v>
          </cell>
          <cell r="K187">
            <v>1</v>
          </cell>
          <cell r="L187">
            <v>231</v>
          </cell>
          <cell r="M187">
            <v>231</v>
          </cell>
        </row>
        <row r="188">
          <cell r="C188" t="str">
            <v>C140</v>
          </cell>
          <cell r="D188" t="str">
            <v>IJAS EBRAHIM</v>
          </cell>
          <cell r="E188" t="str">
            <v>JARF</v>
          </cell>
          <cell r="F188" t="str">
            <v>SENIOR</v>
          </cell>
          <cell r="G188">
            <v>6</v>
          </cell>
          <cell r="H188">
            <v>7</v>
          </cell>
          <cell r="I188">
            <v>0</v>
          </cell>
          <cell r="J188">
            <v>7</v>
          </cell>
          <cell r="K188">
            <v>7</v>
          </cell>
          <cell r="L188">
            <v>167</v>
          </cell>
          <cell r="M188">
            <v>167</v>
          </cell>
        </row>
        <row r="189">
          <cell r="C189" t="str">
            <v>C141</v>
          </cell>
          <cell r="D189" t="str">
            <v>AHMAD MINHAJ</v>
          </cell>
          <cell r="E189" t="str">
            <v>BADF</v>
          </cell>
          <cell r="F189" t="str">
            <v>SENIOR</v>
          </cell>
          <cell r="G189">
            <v>6</v>
          </cell>
          <cell r="H189">
            <v>8</v>
          </cell>
          <cell r="I189">
            <v>0</v>
          </cell>
          <cell r="J189">
            <v>8</v>
          </cell>
          <cell r="K189">
            <v>8</v>
          </cell>
          <cell r="L189">
            <v>147</v>
          </cell>
          <cell r="M189">
            <v>147</v>
          </cell>
        </row>
        <row r="190">
          <cell r="C190" t="str">
            <v>C142</v>
          </cell>
          <cell r="D190" t="str">
            <v>AHMAD AMEEN T S</v>
          </cell>
          <cell r="E190" t="str">
            <v>FANT</v>
          </cell>
          <cell r="F190" t="str">
            <v>SENIOR</v>
          </cell>
          <cell r="G190">
            <v>6</v>
          </cell>
          <cell r="H190">
            <v>4</v>
          </cell>
          <cell r="I190">
            <v>0</v>
          </cell>
          <cell r="J190">
            <v>4</v>
          </cell>
          <cell r="K190">
            <v>4</v>
          </cell>
          <cell r="L190">
            <v>197</v>
          </cell>
          <cell r="M190">
            <v>197</v>
          </cell>
        </row>
        <row r="191">
          <cell r="C191" t="str">
            <v>C143</v>
          </cell>
          <cell r="D191" t="str">
            <v>MUHAMMED SINAN M</v>
          </cell>
          <cell r="E191" t="str">
            <v>JARF</v>
          </cell>
          <cell r="F191" t="str">
            <v>SENIOR</v>
          </cell>
          <cell r="G191">
            <v>6</v>
          </cell>
          <cell r="H191">
            <v>10</v>
          </cell>
          <cell r="I191">
            <v>0</v>
          </cell>
          <cell r="J191">
            <v>10</v>
          </cell>
          <cell r="K191">
            <v>10</v>
          </cell>
          <cell r="L191">
            <v>131</v>
          </cell>
          <cell r="M191">
            <v>131</v>
          </cell>
        </row>
        <row r="192">
          <cell r="C192" t="str">
            <v>C144</v>
          </cell>
          <cell r="D192" t="str">
            <v>MUHAMMED ASHKKAR ALI</v>
          </cell>
          <cell r="E192" t="str">
            <v>DAHF</v>
          </cell>
          <cell r="F192" t="str">
            <v>SENIOR</v>
          </cell>
          <cell r="G192">
            <v>6</v>
          </cell>
          <cell r="H192">
            <v>2</v>
          </cell>
          <cell r="I192">
            <v>0</v>
          </cell>
          <cell r="J192">
            <v>2</v>
          </cell>
          <cell r="K192">
            <v>2</v>
          </cell>
          <cell r="L192">
            <v>224</v>
          </cell>
          <cell r="M192">
            <v>224</v>
          </cell>
        </row>
        <row r="193">
          <cell r="C193" t="str">
            <v>C145</v>
          </cell>
          <cell r="D193" t="str">
            <v>SHAMEEL AHAMMED P</v>
          </cell>
          <cell r="E193" t="str">
            <v>BADF</v>
          </cell>
          <cell r="F193" t="str">
            <v>SENIOR</v>
          </cell>
          <cell r="G193">
            <v>6</v>
          </cell>
          <cell r="H193">
            <v>38</v>
          </cell>
          <cell r="I193">
            <v>0</v>
          </cell>
          <cell r="J193">
            <v>38</v>
          </cell>
          <cell r="K193">
            <v>38</v>
          </cell>
          <cell r="L193">
            <v>26</v>
          </cell>
          <cell r="M193">
            <v>26</v>
          </cell>
        </row>
        <row r="194">
          <cell r="C194" t="str">
            <v>C146</v>
          </cell>
          <cell r="D194" t="str">
            <v>IMRAN HUSSAIN TI</v>
          </cell>
          <cell r="E194" t="str">
            <v>JARF</v>
          </cell>
          <cell r="F194" t="str">
            <v>SENIOR</v>
          </cell>
          <cell r="G194">
            <v>6</v>
          </cell>
          <cell r="H194">
            <v>2</v>
          </cell>
          <cell r="I194">
            <v>0</v>
          </cell>
          <cell r="J194">
            <v>2</v>
          </cell>
          <cell r="K194">
            <v>2</v>
          </cell>
          <cell r="L194">
            <v>224</v>
          </cell>
          <cell r="M194">
            <v>224</v>
          </cell>
        </row>
        <row r="195">
          <cell r="C195" t="str">
            <v>C147</v>
          </cell>
          <cell r="D195" t="str">
            <v>AHAMED ZAKI FOUZAN T.Z</v>
          </cell>
          <cell r="E195" t="str">
            <v>JARF</v>
          </cell>
          <cell r="F195" t="str">
            <v>SENIOR</v>
          </cell>
          <cell r="G195">
            <v>6</v>
          </cell>
          <cell r="H195">
            <v>11</v>
          </cell>
          <cell r="I195">
            <v>0</v>
          </cell>
          <cell r="J195">
            <v>11</v>
          </cell>
          <cell r="K195">
            <v>11</v>
          </cell>
          <cell r="L195">
            <v>123</v>
          </cell>
          <cell r="M195">
            <v>123</v>
          </cell>
        </row>
        <row r="196">
          <cell r="C196" t="str">
            <v>C148</v>
          </cell>
          <cell r="D196" t="str">
            <v>MUHAMMED SHABEEB</v>
          </cell>
          <cell r="E196" t="str">
            <v>BADF</v>
          </cell>
          <cell r="F196" t="str">
            <v>SENIOR</v>
          </cell>
          <cell r="G196">
            <v>6</v>
          </cell>
          <cell r="H196">
            <v>20</v>
          </cell>
          <cell r="I196">
            <v>0</v>
          </cell>
          <cell r="J196">
            <v>20</v>
          </cell>
          <cell r="K196">
            <v>20</v>
          </cell>
          <cell r="L196">
            <v>74</v>
          </cell>
          <cell r="M196">
            <v>74</v>
          </cell>
        </row>
        <row r="197">
          <cell r="C197" t="str">
            <v>C149</v>
          </cell>
          <cell r="D197" t="str">
            <v>ABDUL BAAIS N.A</v>
          </cell>
          <cell r="E197" t="str">
            <v>FANT</v>
          </cell>
          <cell r="F197" t="str">
            <v>SENIOR</v>
          </cell>
          <cell r="G197">
            <v>6</v>
          </cell>
          <cell r="H197">
            <v>6</v>
          </cell>
          <cell r="I197">
            <v>0</v>
          </cell>
          <cell r="J197">
            <v>6</v>
          </cell>
          <cell r="K197">
            <v>6</v>
          </cell>
          <cell r="L197">
            <v>171</v>
          </cell>
          <cell r="M197">
            <v>171</v>
          </cell>
        </row>
        <row r="198">
          <cell r="C198" t="str">
            <v>C150</v>
          </cell>
          <cell r="D198" t="str">
            <v>MUHAMMED PK</v>
          </cell>
          <cell r="E198" t="str">
            <v>DAHF</v>
          </cell>
          <cell r="F198" t="str">
            <v>SENIOR</v>
          </cell>
          <cell r="G198">
            <v>6</v>
          </cell>
          <cell r="H198">
            <v>14</v>
          </cell>
          <cell r="I198">
            <v>0</v>
          </cell>
          <cell r="J198">
            <v>14</v>
          </cell>
          <cell r="K198">
            <v>14</v>
          </cell>
          <cell r="L198">
            <v>104</v>
          </cell>
          <cell r="M198">
            <v>104</v>
          </cell>
        </row>
        <row r="199">
          <cell r="C199" t="str">
            <v>C151</v>
          </cell>
          <cell r="D199" t="str">
            <v>MOHAMMED ASHMIL K A</v>
          </cell>
          <cell r="E199" t="str">
            <v>JARF</v>
          </cell>
          <cell r="F199" t="str">
            <v>SENIOR</v>
          </cell>
          <cell r="G199">
            <v>6</v>
          </cell>
          <cell r="H199">
            <v>6</v>
          </cell>
          <cell r="I199">
            <v>0</v>
          </cell>
          <cell r="J199">
            <v>6</v>
          </cell>
          <cell r="K199">
            <v>6</v>
          </cell>
          <cell r="L199">
            <v>171</v>
          </cell>
          <cell r="M199">
            <v>171</v>
          </cell>
        </row>
        <row r="200">
          <cell r="C200" t="str">
            <v>C152</v>
          </cell>
          <cell r="D200" t="str">
            <v>MUHAMMED SABITH ALI TM</v>
          </cell>
          <cell r="E200" t="str">
            <v>JARF</v>
          </cell>
          <cell r="F200" t="str">
            <v>SENIOR</v>
          </cell>
          <cell r="G200">
            <v>6</v>
          </cell>
          <cell r="H200">
            <v>6</v>
          </cell>
          <cell r="I200">
            <v>0</v>
          </cell>
          <cell r="J200">
            <v>6</v>
          </cell>
          <cell r="K200">
            <v>6</v>
          </cell>
          <cell r="L200">
            <v>171</v>
          </cell>
          <cell r="M200">
            <v>171</v>
          </cell>
        </row>
        <row r="201">
          <cell r="C201" t="str">
            <v>C153</v>
          </cell>
          <cell r="D201" t="str">
            <v>MUHAMMED AHMASH K</v>
          </cell>
          <cell r="E201" t="str">
            <v>DAHF</v>
          </cell>
          <cell r="F201" t="str">
            <v>SENIOR</v>
          </cell>
          <cell r="G201">
            <v>6</v>
          </cell>
          <cell r="H201">
            <v>4</v>
          </cell>
          <cell r="I201">
            <v>0</v>
          </cell>
          <cell r="J201">
            <v>4</v>
          </cell>
          <cell r="K201">
            <v>4</v>
          </cell>
          <cell r="L201">
            <v>197</v>
          </cell>
          <cell r="M201">
            <v>197</v>
          </cell>
        </row>
        <row r="202">
          <cell r="C202" t="str">
            <v>C154</v>
          </cell>
          <cell r="D202" t="str">
            <v>MOHAMMED RAZEEN S.P</v>
          </cell>
          <cell r="E202" t="str">
            <v>DAHF</v>
          </cell>
          <cell r="F202" t="str">
            <v>SENIOR</v>
          </cell>
          <cell r="G202">
            <v>6</v>
          </cell>
          <cell r="H202">
            <v>26.5</v>
          </cell>
          <cell r="I202">
            <v>0</v>
          </cell>
          <cell r="J202">
            <v>26.5</v>
          </cell>
          <cell r="K202">
            <v>26.5</v>
          </cell>
          <cell r="L202">
            <v>56</v>
          </cell>
          <cell r="M202">
            <v>56</v>
          </cell>
        </row>
        <row r="203">
          <cell r="C203" t="str">
            <v>C155</v>
          </cell>
          <cell r="D203" t="str">
            <v>HASSAN ZARKASH</v>
          </cell>
          <cell r="E203" t="str">
            <v>FANT</v>
          </cell>
          <cell r="F203" t="str">
            <v>SENIOR</v>
          </cell>
          <cell r="G203">
            <v>6</v>
          </cell>
          <cell r="H203">
            <v>33</v>
          </cell>
          <cell r="I203">
            <v>0</v>
          </cell>
          <cell r="J203">
            <v>33</v>
          </cell>
          <cell r="K203">
            <v>33</v>
          </cell>
          <cell r="L203">
            <v>37</v>
          </cell>
          <cell r="M203">
            <v>37</v>
          </cell>
        </row>
        <row r="204">
          <cell r="C204" t="str">
            <v>C156</v>
          </cell>
          <cell r="D204" t="str">
            <v>ABDULLA RAMSHAD</v>
          </cell>
          <cell r="E204" t="str">
            <v>FANT</v>
          </cell>
          <cell r="F204" t="str">
            <v>SENIOR</v>
          </cell>
          <cell r="G204">
            <v>6</v>
          </cell>
          <cell r="H204">
            <v>14</v>
          </cell>
          <cell r="I204">
            <v>0</v>
          </cell>
          <cell r="J204">
            <v>14</v>
          </cell>
          <cell r="K204">
            <v>14</v>
          </cell>
          <cell r="L204">
            <v>104</v>
          </cell>
          <cell r="M204">
            <v>104</v>
          </cell>
        </row>
        <row r="205">
          <cell r="C205" t="str">
            <v>C157</v>
          </cell>
          <cell r="D205" t="str">
            <v>HASAN YASIR</v>
          </cell>
          <cell r="E205" t="str">
            <v>BADF</v>
          </cell>
          <cell r="F205" t="str">
            <v>SENIOR</v>
          </cell>
          <cell r="G205">
            <v>6</v>
          </cell>
          <cell r="H205">
            <v>1</v>
          </cell>
          <cell r="I205">
            <v>0</v>
          </cell>
          <cell r="J205">
            <v>1</v>
          </cell>
          <cell r="K205">
            <v>1</v>
          </cell>
          <cell r="L205">
            <v>231</v>
          </cell>
          <cell r="M205">
            <v>231</v>
          </cell>
        </row>
        <row r="206">
          <cell r="C206" t="str">
            <v>C158</v>
          </cell>
          <cell r="D206" t="str">
            <v>ABDUL FATHAH AHAMMED C</v>
          </cell>
          <cell r="E206" t="str">
            <v>DAHF</v>
          </cell>
          <cell r="F206" t="str">
            <v>SENIOR</v>
          </cell>
          <cell r="G206">
            <v>6</v>
          </cell>
          <cell r="H206">
            <v>6</v>
          </cell>
          <cell r="I206">
            <v>0</v>
          </cell>
          <cell r="J206">
            <v>6</v>
          </cell>
          <cell r="K206">
            <v>6</v>
          </cell>
          <cell r="L206">
            <v>171</v>
          </cell>
          <cell r="M206">
            <v>171</v>
          </cell>
        </row>
        <row r="207">
          <cell r="C207" t="str">
            <v>C159</v>
          </cell>
          <cell r="D207" t="str">
            <v>MUHAMMED KAIF BS</v>
          </cell>
          <cell r="E207" t="str">
            <v>BADF</v>
          </cell>
          <cell r="F207" t="str">
            <v>SENIOR</v>
          </cell>
          <cell r="G207">
            <v>6</v>
          </cell>
          <cell r="H207">
            <v>12</v>
          </cell>
          <cell r="I207">
            <v>0</v>
          </cell>
          <cell r="J207">
            <v>12</v>
          </cell>
          <cell r="K207">
            <v>12</v>
          </cell>
          <cell r="L207">
            <v>119</v>
          </cell>
          <cell r="M207">
            <v>119</v>
          </cell>
        </row>
        <row r="208">
          <cell r="C208" t="str">
            <v>C160</v>
          </cell>
          <cell r="D208" t="str">
            <v>AJMAL AM</v>
          </cell>
          <cell r="E208" t="str">
            <v>BADF</v>
          </cell>
          <cell r="F208" t="str">
            <v>SENIOR</v>
          </cell>
          <cell r="G208">
            <v>7</v>
          </cell>
          <cell r="H208">
            <v>3</v>
          </cell>
          <cell r="I208">
            <v>0</v>
          </cell>
          <cell r="J208">
            <v>3</v>
          </cell>
          <cell r="K208">
            <v>3</v>
          </cell>
          <cell r="L208">
            <v>209</v>
          </cell>
          <cell r="M208">
            <v>209</v>
          </cell>
        </row>
        <row r="209">
          <cell r="C209" t="str">
            <v>C161</v>
          </cell>
          <cell r="D209" t="str">
            <v>MOHAMMED ABDUL KHADER NABAVI E A</v>
          </cell>
          <cell r="E209" t="str">
            <v>DAHF</v>
          </cell>
          <cell r="F209" t="str">
            <v>SENIOR</v>
          </cell>
          <cell r="G209">
            <v>7</v>
          </cell>
          <cell r="H209">
            <v>0</v>
          </cell>
          <cell r="I209">
            <v>0</v>
          </cell>
          <cell r="J209">
            <v>0</v>
          </cell>
          <cell r="K209">
            <v>0</v>
          </cell>
          <cell r="L209">
            <v>255</v>
          </cell>
          <cell r="M209">
            <v>255</v>
          </cell>
        </row>
        <row r="210">
          <cell r="C210" t="str">
            <v>C162</v>
          </cell>
          <cell r="D210" t="str">
            <v>MUHAMMAD K.A</v>
          </cell>
          <cell r="E210" t="str">
            <v>FANT</v>
          </cell>
          <cell r="F210" t="str">
            <v>SENIOR</v>
          </cell>
          <cell r="G210">
            <v>7</v>
          </cell>
          <cell r="H210">
            <v>11</v>
          </cell>
          <cell r="I210">
            <v>0</v>
          </cell>
          <cell r="J210">
            <v>11</v>
          </cell>
          <cell r="K210">
            <v>11</v>
          </cell>
          <cell r="L210">
            <v>123</v>
          </cell>
          <cell r="M210">
            <v>123</v>
          </cell>
        </row>
        <row r="211">
          <cell r="C211" t="str">
            <v>C163</v>
          </cell>
          <cell r="D211" t="str">
            <v>MOHAMMED SAHEED A.K</v>
          </cell>
          <cell r="E211" t="str">
            <v>JARF</v>
          </cell>
          <cell r="F211" t="str">
            <v>SENIOR</v>
          </cell>
          <cell r="G211">
            <v>7</v>
          </cell>
          <cell r="H211">
            <v>12</v>
          </cell>
          <cell r="I211">
            <v>0</v>
          </cell>
          <cell r="J211">
            <v>12</v>
          </cell>
          <cell r="K211">
            <v>12</v>
          </cell>
          <cell r="L211">
            <v>119</v>
          </cell>
          <cell r="M211">
            <v>119</v>
          </cell>
        </row>
        <row r="212">
          <cell r="C212" t="str">
            <v>C164</v>
          </cell>
          <cell r="D212" t="str">
            <v>AHMED FAHEEM MA</v>
          </cell>
          <cell r="E212" t="str">
            <v>FANT</v>
          </cell>
          <cell r="F212" t="str">
            <v>SENIOR</v>
          </cell>
          <cell r="G212">
            <v>7</v>
          </cell>
          <cell r="H212">
            <v>9</v>
          </cell>
          <cell r="I212">
            <v>0</v>
          </cell>
          <cell r="J212">
            <v>9</v>
          </cell>
          <cell r="K212">
            <v>9</v>
          </cell>
          <cell r="L212">
            <v>139</v>
          </cell>
          <cell r="M212">
            <v>139</v>
          </cell>
        </row>
        <row r="213">
          <cell r="C213" t="str">
            <v>C165</v>
          </cell>
          <cell r="D213" t="str">
            <v>MUHAMMAD IBN AHMAD</v>
          </cell>
          <cell r="E213" t="str">
            <v>JARF</v>
          </cell>
          <cell r="F213" t="str">
            <v>SENIOR</v>
          </cell>
          <cell r="G213">
            <v>7</v>
          </cell>
          <cell r="H213">
            <v>52</v>
          </cell>
          <cell r="I213">
            <v>0</v>
          </cell>
          <cell r="J213">
            <v>52</v>
          </cell>
          <cell r="K213">
            <v>52</v>
          </cell>
          <cell r="L213">
            <v>11</v>
          </cell>
          <cell r="M213">
            <v>11</v>
          </cell>
        </row>
        <row r="214">
          <cell r="C214" t="str">
            <v>C166</v>
          </cell>
          <cell r="D214" t="str">
            <v>RESWAN</v>
          </cell>
          <cell r="E214" t="str">
            <v>DAHF</v>
          </cell>
          <cell r="F214" t="str">
            <v>SENIOR</v>
          </cell>
          <cell r="G214">
            <v>7</v>
          </cell>
          <cell r="H214">
            <v>14</v>
          </cell>
          <cell r="I214">
            <v>0</v>
          </cell>
          <cell r="J214">
            <v>14</v>
          </cell>
          <cell r="K214">
            <v>14</v>
          </cell>
          <cell r="L214">
            <v>104</v>
          </cell>
          <cell r="M214">
            <v>104</v>
          </cell>
        </row>
        <row r="215">
          <cell r="C215" t="str">
            <v>C167</v>
          </cell>
          <cell r="D215" t="str">
            <v>MUHAMMED MUJTHABA MK</v>
          </cell>
          <cell r="E215" t="str">
            <v>JARF</v>
          </cell>
          <cell r="F215" t="str">
            <v>SENIOR</v>
          </cell>
          <cell r="G215">
            <v>7</v>
          </cell>
          <cell r="H215">
            <v>18</v>
          </cell>
          <cell r="I215">
            <v>0</v>
          </cell>
          <cell r="J215">
            <v>18</v>
          </cell>
          <cell r="K215">
            <v>18</v>
          </cell>
          <cell r="L215">
            <v>81</v>
          </cell>
          <cell r="M215">
            <v>81</v>
          </cell>
        </row>
        <row r="216">
          <cell r="C216" t="str">
            <v>C168</v>
          </cell>
          <cell r="D216" t="str">
            <v>MUHAMMED SHAHAN P.S</v>
          </cell>
          <cell r="E216" t="str">
            <v>FANT</v>
          </cell>
          <cell r="F216" t="str">
            <v>SENIOR</v>
          </cell>
          <cell r="G216">
            <v>7</v>
          </cell>
          <cell r="H216">
            <v>41</v>
          </cell>
          <cell r="I216">
            <v>0</v>
          </cell>
          <cell r="J216">
            <v>41</v>
          </cell>
          <cell r="K216">
            <v>41</v>
          </cell>
          <cell r="L216">
            <v>21</v>
          </cell>
          <cell r="M216">
            <v>21</v>
          </cell>
        </row>
        <row r="217">
          <cell r="C217" t="str">
            <v>C169</v>
          </cell>
          <cell r="D217" t="str">
            <v>MOHAMMED THAJUDDEEN A R P</v>
          </cell>
          <cell r="E217" t="str">
            <v>BADF</v>
          </cell>
          <cell r="F217" t="str">
            <v>SENIOR</v>
          </cell>
          <cell r="G217">
            <v>7</v>
          </cell>
          <cell r="H217">
            <v>0</v>
          </cell>
          <cell r="I217">
            <v>0</v>
          </cell>
          <cell r="J217">
            <v>0</v>
          </cell>
          <cell r="K217">
            <v>0</v>
          </cell>
          <cell r="L217">
            <v>255</v>
          </cell>
          <cell r="M217">
            <v>255</v>
          </cell>
        </row>
        <row r="218">
          <cell r="C218" t="str">
            <v>C170</v>
          </cell>
          <cell r="D218" t="str">
            <v>RUMAIZALI R IBRAHIM</v>
          </cell>
          <cell r="E218" t="str">
            <v>BADF</v>
          </cell>
          <cell r="F218" t="str">
            <v>SENIOR</v>
          </cell>
          <cell r="G218">
            <v>7</v>
          </cell>
          <cell r="H218">
            <v>52</v>
          </cell>
          <cell r="I218">
            <v>0</v>
          </cell>
          <cell r="J218">
            <v>52</v>
          </cell>
          <cell r="K218">
            <v>52</v>
          </cell>
          <cell r="L218">
            <v>11</v>
          </cell>
          <cell r="M218">
            <v>11</v>
          </cell>
        </row>
        <row r="219">
          <cell r="C219" t="str">
            <v>C171</v>
          </cell>
          <cell r="D219" t="str">
            <v>MUHAMMED THASLEEM</v>
          </cell>
          <cell r="E219" t="str">
            <v>BADF</v>
          </cell>
          <cell r="F219" t="str">
            <v>SENIOR</v>
          </cell>
          <cell r="G219">
            <v>7</v>
          </cell>
          <cell r="H219">
            <v>23</v>
          </cell>
          <cell r="I219">
            <v>0</v>
          </cell>
          <cell r="J219">
            <v>23</v>
          </cell>
          <cell r="K219">
            <v>23</v>
          </cell>
          <cell r="L219">
            <v>68</v>
          </cell>
          <cell r="M219">
            <v>68</v>
          </cell>
        </row>
        <row r="220">
          <cell r="C220" t="str">
            <v>C172</v>
          </cell>
          <cell r="D220" t="str">
            <v>AHAMED SHAMMAS C.M</v>
          </cell>
          <cell r="E220" t="str">
            <v>DAHF</v>
          </cell>
          <cell r="F220" t="str">
            <v>SENIOR</v>
          </cell>
          <cell r="G220">
            <v>7</v>
          </cell>
          <cell r="H220">
            <v>11</v>
          </cell>
          <cell r="I220">
            <v>0</v>
          </cell>
          <cell r="J220">
            <v>11</v>
          </cell>
          <cell r="K220">
            <v>11</v>
          </cell>
          <cell r="L220">
            <v>123</v>
          </cell>
          <cell r="M220">
            <v>123</v>
          </cell>
        </row>
        <row r="221">
          <cell r="C221" t="str">
            <v>C173</v>
          </cell>
          <cell r="D221" t="str">
            <v>ABDUL HADIL P.M</v>
          </cell>
          <cell r="E221" t="str">
            <v>FANT</v>
          </cell>
          <cell r="F221" t="str">
            <v>SENIOR</v>
          </cell>
          <cell r="G221">
            <v>7</v>
          </cell>
          <cell r="H221">
            <v>32</v>
          </cell>
          <cell r="I221">
            <v>0</v>
          </cell>
          <cell r="J221">
            <v>32</v>
          </cell>
          <cell r="K221">
            <v>32</v>
          </cell>
          <cell r="L221">
            <v>40</v>
          </cell>
          <cell r="M221">
            <v>40</v>
          </cell>
        </row>
        <row r="222">
          <cell r="C222" t="str">
            <v>C174</v>
          </cell>
          <cell r="D222" t="str">
            <v>MUHAMMAD MUSTHAFA K.M</v>
          </cell>
          <cell r="E222" t="str">
            <v>BADF</v>
          </cell>
          <cell r="F222" t="str">
            <v>SENIOR</v>
          </cell>
          <cell r="G222">
            <v>7</v>
          </cell>
          <cell r="H222">
            <v>34</v>
          </cell>
          <cell r="I222">
            <v>0</v>
          </cell>
          <cell r="J222">
            <v>34</v>
          </cell>
          <cell r="K222">
            <v>34</v>
          </cell>
          <cell r="L222">
            <v>34</v>
          </cell>
          <cell r="M222">
            <v>34</v>
          </cell>
        </row>
        <row r="223">
          <cell r="C223" t="str">
            <v>C175</v>
          </cell>
          <cell r="D223" t="str">
            <v>ABDULLAH MAZIN</v>
          </cell>
          <cell r="E223" t="str">
            <v>JARF</v>
          </cell>
          <cell r="F223" t="str">
            <v>SENIOR</v>
          </cell>
          <cell r="G223">
            <v>7</v>
          </cell>
          <cell r="H223">
            <v>8</v>
          </cell>
          <cell r="I223">
            <v>0</v>
          </cell>
          <cell r="J223">
            <v>8</v>
          </cell>
          <cell r="K223">
            <v>8</v>
          </cell>
          <cell r="L223">
            <v>147</v>
          </cell>
          <cell r="M223">
            <v>147</v>
          </cell>
        </row>
        <row r="224">
          <cell r="C224" t="str">
            <v>C176</v>
          </cell>
          <cell r="D224" t="str">
            <v>MUHAMMED T A</v>
          </cell>
          <cell r="E224" t="str">
            <v>FANT</v>
          </cell>
          <cell r="F224" t="str">
            <v>SENIOR</v>
          </cell>
          <cell r="G224">
            <v>7</v>
          </cell>
          <cell r="H224">
            <v>17</v>
          </cell>
          <cell r="I224">
            <v>0</v>
          </cell>
          <cell r="J224">
            <v>17</v>
          </cell>
          <cell r="K224">
            <v>17</v>
          </cell>
          <cell r="L224">
            <v>87</v>
          </cell>
          <cell r="M224">
            <v>87</v>
          </cell>
        </row>
        <row r="225">
          <cell r="C225" t="str">
            <v>C177</v>
          </cell>
          <cell r="D225" t="str">
            <v>MOHAMMED HUSSAIN</v>
          </cell>
          <cell r="E225" t="str">
            <v>DAHF</v>
          </cell>
          <cell r="F225" t="str">
            <v>SENIOR</v>
          </cell>
          <cell r="G225">
            <v>7</v>
          </cell>
          <cell r="H225">
            <v>0</v>
          </cell>
          <cell r="I225">
            <v>0</v>
          </cell>
          <cell r="J225">
            <v>0</v>
          </cell>
          <cell r="K225">
            <v>0</v>
          </cell>
          <cell r="L225">
            <v>255</v>
          </cell>
          <cell r="M225">
            <v>255</v>
          </cell>
        </row>
        <row r="226">
          <cell r="C226" t="str">
            <v>C178</v>
          </cell>
          <cell r="D226" t="str">
            <v>MUHAMMED ZAYAN N.S</v>
          </cell>
          <cell r="E226" t="str">
            <v>JARF</v>
          </cell>
          <cell r="F226" t="str">
            <v>SENIOR</v>
          </cell>
          <cell r="G226">
            <v>7</v>
          </cell>
          <cell r="H226">
            <v>8</v>
          </cell>
          <cell r="I226">
            <v>0</v>
          </cell>
          <cell r="J226">
            <v>8</v>
          </cell>
          <cell r="K226">
            <v>8</v>
          </cell>
          <cell r="L226">
            <v>147</v>
          </cell>
          <cell r="M226">
            <v>147</v>
          </cell>
        </row>
        <row r="227">
          <cell r="C227" t="str">
            <v>C179</v>
          </cell>
          <cell r="D227" t="str">
            <v>MUHAMMED FARHAN</v>
          </cell>
          <cell r="E227" t="str">
            <v>DAHF</v>
          </cell>
          <cell r="F227" t="str">
            <v>SENIOR</v>
          </cell>
          <cell r="G227">
            <v>7</v>
          </cell>
          <cell r="H227">
            <v>16</v>
          </cell>
          <cell r="I227">
            <v>0</v>
          </cell>
          <cell r="J227">
            <v>16</v>
          </cell>
          <cell r="K227">
            <v>16</v>
          </cell>
          <cell r="L227">
            <v>94</v>
          </cell>
          <cell r="M227">
            <v>94</v>
          </cell>
        </row>
        <row r="228">
          <cell r="C228" t="str">
            <v>D100</v>
          </cell>
          <cell r="D228" t="str">
            <v>MOHAMMED RAZI</v>
          </cell>
          <cell r="E228" t="str">
            <v>JARF</v>
          </cell>
          <cell r="F228" t="str">
            <v>SUPER SENIOR</v>
          </cell>
          <cell r="G228">
            <v>8</v>
          </cell>
          <cell r="H228">
            <v>4</v>
          </cell>
          <cell r="I228">
            <v>0</v>
          </cell>
          <cell r="J228">
            <v>4</v>
          </cell>
          <cell r="K228">
            <v>4</v>
          </cell>
          <cell r="L228">
            <v>197</v>
          </cell>
          <cell r="M228">
            <v>197</v>
          </cell>
        </row>
        <row r="229">
          <cell r="C229" t="str">
            <v>D101</v>
          </cell>
          <cell r="D229" t="str">
            <v>MOHAMMED AFSAL</v>
          </cell>
          <cell r="E229" t="str">
            <v>JARF</v>
          </cell>
          <cell r="F229" t="str">
            <v>SUPER SENIOR</v>
          </cell>
          <cell r="G229">
            <v>8</v>
          </cell>
          <cell r="H229">
            <v>8</v>
          </cell>
          <cell r="I229">
            <v>0</v>
          </cell>
          <cell r="J229">
            <v>8</v>
          </cell>
          <cell r="K229">
            <v>8</v>
          </cell>
          <cell r="L229">
            <v>147</v>
          </cell>
          <cell r="M229">
            <v>147</v>
          </cell>
        </row>
        <row r="230">
          <cell r="C230" t="str">
            <v>D102</v>
          </cell>
          <cell r="D230" t="str">
            <v>JALALUDHEEN K</v>
          </cell>
          <cell r="E230" t="str">
            <v>DAHF</v>
          </cell>
          <cell r="F230" t="str">
            <v>SUPER SENIOR</v>
          </cell>
          <cell r="G230">
            <v>8</v>
          </cell>
          <cell r="H230">
            <v>4</v>
          </cell>
          <cell r="I230">
            <v>0</v>
          </cell>
          <cell r="J230">
            <v>4</v>
          </cell>
          <cell r="K230">
            <v>4</v>
          </cell>
          <cell r="L230">
            <v>197</v>
          </cell>
          <cell r="M230">
            <v>197</v>
          </cell>
        </row>
        <row r="231">
          <cell r="C231" t="str">
            <v>D103</v>
          </cell>
          <cell r="D231" t="str">
            <v>MUHAMMAD RAZI</v>
          </cell>
          <cell r="E231" t="str">
            <v>DAHF</v>
          </cell>
          <cell r="F231" t="str">
            <v>SUPER SENIOR</v>
          </cell>
          <cell r="G231">
            <v>8</v>
          </cell>
          <cell r="H231">
            <v>0</v>
          </cell>
          <cell r="I231">
            <v>0</v>
          </cell>
          <cell r="J231">
            <v>0</v>
          </cell>
          <cell r="K231">
            <v>0</v>
          </cell>
          <cell r="L231">
            <v>255</v>
          </cell>
          <cell r="M231">
            <v>255</v>
          </cell>
        </row>
        <row r="232">
          <cell r="C232" t="str">
            <v>D104</v>
          </cell>
          <cell r="D232" t="str">
            <v>MUHAMMAD SHANEED.</v>
          </cell>
          <cell r="E232" t="str">
            <v>JARF</v>
          </cell>
          <cell r="F232" t="str">
            <v>SUPER SENIOR</v>
          </cell>
          <cell r="G232">
            <v>8</v>
          </cell>
          <cell r="H232">
            <v>3</v>
          </cell>
          <cell r="I232">
            <v>0</v>
          </cell>
          <cell r="J232">
            <v>3</v>
          </cell>
          <cell r="K232">
            <v>3</v>
          </cell>
          <cell r="L232">
            <v>209</v>
          </cell>
          <cell r="M232">
            <v>209</v>
          </cell>
        </row>
        <row r="233">
          <cell r="C233" t="str">
            <v>D105</v>
          </cell>
          <cell r="D233" t="str">
            <v>ABDUL WADHOOD</v>
          </cell>
          <cell r="E233" t="str">
            <v>FANT</v>
          </cell>
          <cell r="F233" t="str">
            <v>SUPER SENIOR</v>
          </cell>
          <cell r="G233">
            <v>8</v>
          </cell>
          <cell r="H233">
            <v>8</v>
          </cell>
          <cell r="I233">
            <v>0</v>
          </cell>
          <cell r="J233">
            <v>8</v>
          </cell>
          <cell r="K233">
            <v>8</v>
          </cell>
          <cell r="L233">
            <v>147</v>
          </cell>
          <cell r="M233">
            <v>147</v>
          </cell>
        </row>
        <row r="234">
          <cell r="C234" t="str">
            <v>D106</v>
          </cell>
          <cell r="D234" t="str">
            <v>MOHAMMED SHAMMAS S.I</v>
          </cell>
          <cell r="E234" t="str">
            <v>DAHF</v>
          </cell>
          <cell r="F234" t="str">
            <v>SUPER SENIOR</v>
          </cell>
          <cell r="G234">
            <v>8</v>
          </cell>
          <cell r="H234">
            <v>0</v>
          </cell>
          <cell r="I234">
            <v>0</v>
          </cell>
          <cell r="J234">
            <v>0</v>
          </cell>
          <cell r="K234">
            <v>0</v>
          </cell>
          <cell r="L234">
            <v>255</v>
          </cell>
          <cell r="M234">
            <v>255</v>
          </cell>
        </row>
        <row r="235">
          <cell r="C235" t="str">
            <v>D107</v>
          </cell>
          <cell r="D235" t="str">
            <v>AHMMED HASHIM M</v>
          </cell>
          <cell r="E235" t="str">
            <v>DAHF</v>
          </cell>
          <cell r="F235" t="str">
            <v>SUPER SENIOR</v>
          </cell>
          <cell r="G235">
            <v>8</v>
          </cell>
          <cell r="H235">
            <v>1</v>
          </cell>
          <cell r="I235">
            <v>0</v>
          </cell>
          <cell r="J235">
            <v>1</v>
          </cell>
          <cell r="K235">
            <v>1</v>
          </cell>
          <cell r="L235">
            <v>231</v>
          </cell>
          <cell r="M235">
            <v>231</v>
          </cell>
        </row>
        <row r="236">
          <cell r="C236" t="str">
            <v>D108</v>
          </cell>
          <cell r="D236" t="str">
            <v>MOHAMMED HASHIR</v>
          </cell>
          <cell r="E236" t="str">
            <v>DAHF</v>
          </cell>
          <cell r="F236" t="str">
            <v>SUPER SENIOR</v>
          </cell>
          <cell r="G236">
            <v>8</v>
          </cell>
          <cell r="H236">
            <v>46</v>
          </cell>
          <cell r="I236">
            <v>0</v>
          </cell>
          <cell r="J236">
            <v>46</v>
          </cell>
          <cell r="K236">
            <v>46</v>
          </cell>
          <cell r="L236">
            <v>17</v>
          </cell>
          <cell r="M236">
            <v>17</v>
          </cell>
        </row>
        <row r="237">
          <cell r="C237" t="str">
            <v>D109</v>
          </cell>
          <cell r="D237" t="str">
            <v>AHAMMED AJEER</v>
          </cell>
          <cell r="E237" t="str">
            <v>BADF</v>
          </cell>
          <cell r="F237" t="str">
            <v>SUPER SENIOR</v>
          </cell>
          <cell r="G237">
            <v>8</v>
          </cell>
          <cell r="H237">
            <v>0</v>
          </cell>
          <cell r="I237">
            <v>0</v>
          </cell>
          <cell r="J237">
            <v>0</v>
          </cell>
          <cell r="K237">
            <v>0</v>
          </cell>
          <cell r="L237">
            <v>255</v>
          </cell>
          <cell r="M237">
            <v>255</v>
          </cell>
        </row>
        <row r="238">
          <cell r="C238" t="str">
            <v>D110</v>
          </cell>
          <cell r="D238" t="str">
            <v>ABBAS AZNAB M.A</v>
          </cell>
          <cell r="E238" t="str">
            <v>BADF</v>
          </cell>
          <cell r="F238" t="str">
            <v>SUPER SENIOR</v>
          </cell>
          <cell r="G238">
            <v>8</v>
          </cell>
          <cell r="H238">
            <v>8</v>
          </cell>
          <cell r="I238">
            <v>0</v>
          </cell>
          <cell r="J238">
            <v>8</v>
          </cell>
          <cell r="K238">
            <v>8</v>
          </cell>
          <cell r="L238">
            <v>147</v>
          </cell>
          <cell r="M238">
            <v>147</v>
          </cell>
        </row>
        <row r="239">
          <cell r="C239" t="str">
            <v>D111</v>
          </cell>
          <cell r="D239" t="str">
            <v>MAHAMMED SHAMEEL</v>
          </cell>
          <cell r="E239" t="str">
            <v>JARF</v>
          </cell>
          <cell r="F239" t="str">
            <v>SUPER SENIOR</v>
          </cell>
          <cell r="G239">
            <v>8</v>
          </cell>
          <cell r="H239">
            <v>70.5</v>
          </cell>
          <cell r="I239">
            <v>0</v>
          </cell>
          <cell r="J239">
            <v>70.5</v>
          </cell>
          <cell r="K239">
            <v>70.5</v>
          </cell>
          <cell r="L239">
            <v>4</v>
          </cell>
          <cell r="M239">
            <v>4</v>
          </cell>
        </row>
        <row r="240">
          <cell r="C240" t="str">
            <v>D112</v>
          </cell>
          <cell r="D240" t="str">
            <v>AMEEN ABDULLA</v>
          </cell>
          <cell r="E240" t="str">
            <v>FANT</v>
          </cell>
          <cell r="F240" t="str">
            <v>SUPER SENIOR</v>
          </cell>
          <cell r="G240">
            <v>8</v>
          </cell>
          <cell r="H240">
            <v>16</v>
          </cell>
          <cell r="I240">
            <v>0</v>
          </cell>
          <cell r="J240">
            <v>16</v>
          </cell>
          <cell r="K240">
            <v>16</v>
          </cell>
          <cell r="L240">
            <v>94</v>
          </cell>
          <cell r="M240">
            <v>94</v>
          </cell>
        </row>
        <row r="241">
          <cell r="C241" t="str">
            <v>D113</v>
          </cell>
          <cell r="D241" t="str">
            <v>ZULFIKARALI</v>
          </cell>
          <cell r="E241" t="str">
            <v>JARF</v>
          </cell>
          <cell r="F241" t="str">
            <v>SUPER SENIOR</v>
          </cell>
          <cell r="G241">
            <v>8</v>
          </cell>
          <cell r="H241">
            <v>4</v>
          </cell>
          <cell r="I241">
            <v>0</v>
          </cell>
          <cell r="J241">
            <v>4</v>
          </cell>
          <cell r="K241">
            <v>4</v>
          </cell>
          <cell r="L241">
            <v>197</v>
          </cell>
          <cell r="M241">
            <v>197</v>
          </cell>
        </row>
        <row r="242">
          <cell r="C242" t="str">
            <v>D114</v>
          </cell>
          <cell r="D242" t="str">
            <v>MUHAMMED ANAS M.N</v>
          </cell>
          <cell r="E242" t="str">
            <v>FANT</v>
          </cell>
          <cell r="F242" t="str">
            <v>SUPER SENIOR</v>
          </cell>
          <cell r="G242">
            <v>8</v>
          </cell>
          <cell r="H242">
            <v>1</v>
          </cell>
          <cell r="I242">
            <v>0</v>
          </cell>
          <cell r="J242">
            <v>1</v>
          </cell>
          <cell r="K242">
            <v>1</v>
          </cell>
          <cell r="L242">
            <v>231</v>
          </cell>
          <cell r="M242">
            <v>231</v>
          </cell>
        </row>
        <row r="243">
          <cell r="C243" t="str">
            <v>D115</v>
          </cell>
          <cell r="D243" t="str">
            <v>ABDULLA M HAKEEM</v>
          </cell>
          <cell r="E243" t="str">
            <v>DAHF</v>
          </cell>
          <cell r="F243" t="str">
            <v>SUPER SENIOR</v>
          </cell>
          <cell r="G243">
            <v>8</v>
          </cell>
          <cell r="H243">
            <v>4</v>
          </cell>
          <cell r="I243">
            <v>0</v>
          </cell>
          <cell r="J243">
            <v>4</v>
          </cell>
          <cell r="K243">
            <v>4</v>
          </cell>
          <cell r="L243">
            <v>197</v>
          </cell>
          <cell r="M243">
            <v>197</v>
          </cell>
        </row>
        <row r="244">
          <cell r="C244" t="str">
            <v>D116</v>
          </cell>
          <cell r="D244" t="str">
            <v>HASSAN SHADDAD UM</v>
          </cell>
          <cell r="E244" t="str">
            <v>JARF</v>
          </cell>
          <cell r="F244" t="str">
            <v>SUPER SENIOR</v>
          </cell>
          <cell r="G244">
            <v>8</v>
          </cell>
          <cell r="H244">
            <v>1</v>
          </cell>
          <cell r="I244">
            <v>0</v>
          </cell>
          <cell r="J244">
            <v>1</v>
          </cell>
          <cell r="K244">
            <v>1</v>
          </cell>
          <cell r="L244">
            <v>231</v>
          </cell>
          <cell r="M244">
            <v>231</v>
          </cell>
        </row>
        <row r="245">
          <cell r="C245" t="str">
            <v>D117</v>
          </cell>
          <cell r="D245" t="str">
            <v>MOHAMMED SAHL CS</v>
          </cell>
          <cell r="E245" t="str">
            <v>FANT</v>
          </cell>
          <cell r="F245" t="str">
            <v>SUPER SENIOR</v>
          </cell>
          <cell r="G245">
            <v>8</v>
          </cell>
          <cell r="H245">
            <v>16</v>
          </cell>
          <cell r="I245">
            <v>0</v>
          </cell>
          <cell r="J245">
            <v>16</v>
          </cell>
          <cell r="K245">
            <v>16</v>
          </cell>
          <cell r="L245">
            <v>94</v>
          </cell>
          <cell r="M245">
            <v>94</v>
          </cell>
        </row>
        <row r="246">
          <cell r="C246" t="str">
            <v>D118</v>
          </cell>
          <cell r="D246" t="str">
            <v>MOHAMMAD KHALANDAR ZIYAD</v>
          </cell>
          <cell r="E246" t="str">
            <v>BADF</v>
          </cell>
          <cell r="F246" t="str">
            <v>SUPER SENIOR</v>
          </cell>
          <cell r="G246">
            <v>8</v>
          </cell>
          <cell r="H246">
            <v>31</v>
          </cell>
          <cell r="I246">
            <v>0</v>
          </cell>
          <cell r="J246">
            <v>31</v>
          </cell>
          <cell r="K246">
            <v>31</v>
          </cell>
          <cell r="L246">
            <v>42</v>
          </cell>
          <cell r="M246">
            <v>42</v>
          </cell>
        </row>
        <row r="247">
          <cell r="C247" t="str">
            <v>D119</v>
          </cell>
          <cell r="D247" t="str">
            <v>ABU THAHIR</v>
          </cell>
          <cell r="E247" t="str">
            <v>BADF</v>
          </cell>
          <cell r="F247" t="str">
            <v>SUPER SENIOR</v>
          </cell>
          <cell r="G247">
            <v>8</v>
          </cell>
          <cell r="H247">
            <v>10</v>
          </cell>
          <cell r="I247">
            <v>0</v>
          </cell>
          <cell r="J247">
            <v>10</v>
          </cell>
          <cell r="K247">
            <v>10</v>
          </cell>
          <cell r="L247">
            <v>131</v>
          </cell>
          <cell r="M247">
            <v>131</v>
          </cell>
        </row>
        <row r="248">
          <cell r="C248" t="str">
            <v>D120</v>
          </cell>
          <cell r="D248" t="str">
            <v>MUHAMMAD SINAN NP</v>
          </cell>
          <cell r="E248" t="str">
            <v>FANT</v>
          </cell>
          <cell r="F248" t="str">
            <v>SUPER SENIOR</v>
          </cell>
          <cell r="G248">
            <v>8</v>
          </cell>
          <cell r="H248">
            <v>0</v>
          </cell>
          <cell r="I248">
            <v>0</v>
          </cell>
          <cell r="J248">
            <v>0</v>
          </cell>
          <cell r="K248">
            <v>0</v>
          </cell>
          <cell r="L248">
            <v>255</v>
          </cell>
          <cell r="M248">
            <v>255</v>
          </cell>
        </row>
        <row r="249">
          <cell r="C249" t="str">
            <v>D121</v>
          </cell>
          <cell r="D249" t="str">
            <v>ABDUL RAHMAN MUNZIR</v>
          </cell>
          <cell r="E249" t="str">
            <v>DAHF</v>
          </cell>
          <cell r="F249" t="str">
            <v>SUPER SENIOR</v>
          </cell>
          <cell r="G249">
            <v>8</v>
          </cell>
          <cell r="H249">
            <v>0</v>
          </cell>
          <cell r="I249">
            <v>0</v>
          </cell>
          <cell r="J249">
            <v>0</v>
          </cell>
          <cell r="K249">
            <v>0</v>
          </cell>
          <cell r="L249">
            <v>255</v>
          </cell>
          <cell r="M249">
            <v>255</v>
          </cell>
        </row>
        <row r="250">
          <cell r="C250" t="str">
            <v>D122</v>
          </cell>
          <cell r="D250" t="str">
            <v>MUHAMMED MUZAMMIL P.M</v>
          </cell>
          <cell r="E250"/>
          <cell r="F250" t="str">
            <v>SUPER SENIOR</v>
          </cell>
          <cell r="G250">
            <v>8</v>
          </cell>
          <cell r="H250">
            <v>0</v>
          </cell>
          <cell r="I250">
            <v>0</v>
          </cell>
          <cell r="J250">
            <v>0</v>
          </cell>
          <cell r="K250">
            <v>0</v>
          </cell>
          <cell r="L250">
            <v>255</v>
          </cell>
          <cell r="M250">
            <v>255</v>
          </cell>
        </row>
        <row r="251">
          <cell r="C251" t="str">
            <v>D123</v>
          </cell>
          <cell r="D251" t="str">
            <v>MOHAMMED SALIH</v>
          </cell>
          <cell r="E251" t="str">
            <v>JARF</v>
          </cell>
          <cell r="F251" t="str">
            <v>SUPER SENIOR</v>
          </cell>
          <cell r="G251">
            <v>8</v>
          </cell>
          <cell r="H251">
            <v>8</v>
          </cell>
          <cell r="I251">
            <v>0</v>
          </cell>
          <cell r="J251">
            <v>8</v>
          </cell>
          <cell r="K251">
            <v>8</v>
          </cell>
          <cell r="L251">
            <v>147</v>
          </cell>
          <cell r="M251">
            <v>147</v>
          </cell>
        </row>
        <row r="252">
          <cell r="C252" t="str">
            <v>D124</v>
          </cell>
          <cell r="D252" t="str">
            <v>MUHAMMED SUFAZ P</v>
          </cell>
          <cell r="E252" t="str">
            <v>BADF</v>
          </cell>
          <cell r="F252" t="str">
            <v>SUPER SENIOR</v>
          </cell>
          <cell r="G252">
            <v>8</v>
          </cell>
          <cell r="H252">
            <v>0</v>
          </cell>
          <cell r="I252">
            <v>0</v>
          </cell>
          <cell r="J252">
            <v>0</v>
          </cell>
          <cell r="K252">
            <v>0</v>
          </cell>
          <cell r="L252">
            <v>255</v>
          </cell>
          <cell r="M252">
            <v>255</v>
          </cell>
        </row>
        <row r="253">
          <cell r="C253" t="str">
            <v>D125</v>
          </cell>
          <cell r="D253" t="str">
            <v>SAYYAD MOHAMMED VASIL</v>
          </cell>
          <cell r="E253" t="str">
            <v>DAHF</v>
          </cell>
          <cell r="F253" t="str">
            <v>SUPER SENIOR</v>
          </cell>
          <cell r="G253">
            <v>8</v>
          </cell>
          <cell r="H253">
            <v>0</v>
          </cell>
          <cell r="I253">
            <v>0</v>
          </cell>
          <cell r="J253">
            <v>0</v>
          </cell>
          <cell r="K253">
            <v>0</v>
          </cell>
          <cell r="L253">
            <v>255</v>
          </cell>
          <cell r="M253">
            <v>255</v>
          </cell>
        </row>
        <row r="254">
          <cell r="C254" t="str">
            <v>D126</v>
          </cell>
          <cell r="D254" t="str">
            <v>MUHAMMED MIDHLAJ KK</v>
          </cell>
          <cell r="E254" t="str">
            <v>BADF</v>
          </cell>
          <cell r="F254" t="str">
            <v>SUPER SENIOR</v>
          </cell>
          <cell r="G254">
            <v>8</v>
          </cell>
          <cell r="H254">
            <v>10</v>
          </cell>
          <cell r="I254">
            <v>0</v>
          </cell>
          <cell r="J254">
            <v>10</v>
          </cell>
          <cell r="K254">
            <v>10</v>
          </cell>
          <cell r="L254">
            <v>131</v>
          </cell>
          <cell r="M254">
            <v>131</v>
          </cell>
        </row>
        <row r="255">
          <cell r="C255" t="str">
            <v>D127</v>
          </cell>
          <cell r="D255" t="str">
            <v>SHADIN G</v>
          </cell>
          <cell r="E255" t="str">
            <v>FANT</v>
          </cell>
          <cell r="F255" t="str">
            <v>SUPER SENIOR</v>
          </cell>
          <cell r="G255">
            <v>8</v>
          </cell>
          <cell r="H255">
            <v>50</v>
          </cell>
          <cell r="I255">
            <v>0</v>
          </cell>
          <cell r="J255">
            <v>50</v>
          </cell>
          <cell r="K255">
            <v>50</v>
          </cell>
          <cell r="L255">
            <v>15</v>
          </cell>
          <cell r="M255">
            <v>15</v>
          </cell>
        </row>
        <row r="256">
          <cell r="C256" t="str">
            <v>D128</v>
          </cell>
          <cell r="D256" t="str">
            <v>MEHAZIN AMAN T</v>
          </cell>
          <cell r="E256" t="str">
            <v>FANT</v>
          </cell>
          <cell r="F256" t="str">
            <v>SUPER SENIOR</v>
          </cell>
          <cell r="G256">
            <v>8</v>
          </cell>
          <cell r="H256">
            <v>28</v>
          </cell>
          <cell r="I256">
            <v>0</v>
          </cell>
          <cell r="J256">
            <v>28</v>
          </cell>
          <cell r="K256">
            <v>28</v>
          </cell>
          <cell r="L256">
            <v>51</v>
          </cell>
          <cell r="M256">
            <v>51</v>
          </cell>
        </row>
        <row r="257">
          <cell r="C257" t="str">
            <v>D129</v>
          </cell>
          <cell r="D257" t="str">
            <v>MUHAMMED UNAIS CK</v>
          </cell>
          <cell r="E257" t="str">
            <v>BADF</v>
          </cell>
          <cell r="F257" t="str">
            <v>SUPER SENIOR</v>
          </cell>
          <cell r="G257">
            <v>8</v>
          </cell>
          <cell r="H257">
            <v>25</v>
          </cell>
          <cell r="I257">
            <v>0</v>
          </cell>
          <cell r="J257">
            <v>25</v>
          </cell>
          <cell r="K257">
            <v>25</v>
          </cell>
          <cell r="L257">
            <v>60</v>
          </cell>
          <cell r="M257">
            <v>60</v>
          </cell>
        </row>
        <row r="258">
          <cell r="C258" t="str">
            <v>D130</v>
          </cell>
          <cell r="D258" t="str">
            <v>ZAINUDEEN</v>
          </cell>
          <cell r="E258" t="str">
            <v>DAHF</v>
          </cell>
          <cell r="F258" t="str">
            <v>SUPER SENIOR</v>
          </cell>
          <cell r="G258">
            <v>9</v>
          </cell>
          <cell r="H258">
            <v>0</v>
          </cell>
          <cell r="I258">
            <v>0</v>
          </cell>
          <cell r="J258">
            <v>0</v>
          </cell>
          <cell r="K258">
            <v>0</v>
          </cell>
          <cell r="L258">
            <v>255</v>
          </cell>
          <cell r="M258">
            <v>255</v>
          </cell>
        </row>
        <row r="259">
          <cell r="C259" t="str">
            <v>D131</v>
          </cell>
          <cell r="D259" t="str">
            <v>MAHAMMAD RIYAZ</v>
          </cell>
          <cell r="E259" t="str">
            <v>DAHF</v>
          </cell>
          <cell r="F259" t="str">
            <v>SUPER SENIOR</v>
          </cell>
          <cell r="G259">
            <v>9</v>
          </cell>
          <cell r="H259">
            <v>6</v>
          </cell>
          <cell r="I259">
            <v>0</v>
          </cell>
          <cell r="J259">
            <v>6</v>
          </cell>
          <cell r="K259">
            <v>6</v>
          </cell>
          <cell r="L259">
            <v>171</v>
          </cell>
          <cell r="M259">
            <v>171</v>
          </cell>
        </row>
        <row r="260">
          <cell r="C260" t="str">
            <v>D132</v>
          </cell>
          <cell r="D260" t="str">
            <v>ABOOBAKR MA'ROOF</v>
          </cell>
          <cell r="E260" t="str">
            <v>FANT</v>
          </cell>
          <cell r="F260" t="str">
            <v>SUPER SENIOR</v>
          </cell>
          <cell r="G260">
            <v>9</v>
          </cell>
          <cell r="H260">
            <v>7</v>
          </cell>
          <cell r="I260">
            <v>0</v>
          </cell>
          <cell r="J260">
            <v>7</v>
          </cell>
          <cell r="K260">
            <v>7</v>
          </cell>
          <cell r="L260">
            <v>167</v>
          </cell>
          <cell r="M260">
            <v>167</v>
          </cell>
        </row>
        <row r="261">
          <cell r="C261" t="str">
            <v>D133</v>
          </cell>
          <cell r="D261" t="str">
            <v>MOHAMMED SHAMSHEER</v>
          </cell>
          <cell r="E261" t="str">
            <v>FANT</v>
          </cell>
          <cell r="F261" t="str">
            <v>SUPER SENIOR</v>
          </cell>
          <cell r="G261">
            <v>9</v>
          </cell>
          <cell r="H261">
            <v>25</v>
          </cell>
          <cell r="I261">
            <v>0</v>
          </cell>
          <cell r="J261">
            <v>25</v>
          </cell>
          <cell r="K261">
            <v>25</v>
          </cell>
          <cell r="L261">
            <v>60</v>
          </cell>
          <cell r="M261">
            <v>60</v>
          </cell>
        </row>
        <row r="262">
          <cell r="C262" t="str">
            <v>D134</v>
          </cell>
          <cell r="D262" t="str">
            <v>AJMAL ANEES</v>
          </cell>
          <cell r="E262" t="str">
            <v>FANT</v>
          </cell>
          <cell r="F262" t="str">
            <v>SUPER SENIOR</v>
          </cell>
          <cell r="G262">
            <v>9</v>
          </cell>
          <cell r="H262">
            <v>0</v>
          </cell>
          <cell r="I262">
            <v>0</v>
          </cell>
          <cell r="J262">
            <v>0</v>
          </cell>
          <cell r="K262">
            <v>0</v>
          </cell>
          <cell r="L262">
            <v>255</v>
          </cell>
          <cell r="M262">
            <v>255</v>
          </cell>
        </row>
        <row r="263">
          <cell r="C263" t="str">
            <v>D135</v>
          </cell>
          <cell r="D263" t="str">
            <v>HASHIR HUSSAIN IK</v>
          </cell>
          <cell r="E263" t="str">
            <v>DAHF</v>
          </cell>
          <cell r="F263" t="str">
            <v>SUPER SENIOR</v>
          </cell>
          <cell r="G263">
            <v>9</v>
          </cell>
          <cell r="H263">
            <v>10</v>
          </cell>
          <cell r="I263">
            <v>0</v>
          </cell>
          <cell r="J263">
            <v>10</v>
          </cell>
          <cell r="K263">
            <v>10</v>
          </cell>
          <cell r="L263">
            <v>131</v>
          </cell>
          <cell r="M263">
            <v>131</v>
          </cell>
        </row>
        <row r="264">
          <cell r="C264" t="str">
            <v>D136</v>
          </cell>
          <cell r="D264" t="str">
            <v>MUHAMMED ASBAQUE</v>
          </cell>
          <cell r="E264" t="str">
            <v>JARF</v>
          </cell>
          <cell r="F264" t="str">
            <v>SUPER SENIOR</v>
          </cell>
          <cell r="G264">
            <v>9</v>
          </cell>
          <cell r="H264">
            <v>0</v>
          </cell>
          <cell r="I264">
            <v>0</v>
          </cell>
          <cell r="J264">
            <v>0</v>
          </cell>
          <cell r="K264">
            <v>0</v>
          </cell>
          <cell r="L264">
            <v>255</v>
          </cell>
          <cell r="M264">
            <v>255</v>
          </cell>
        </row>
        <row r="265">
          <cell r="C265" t="str">
            <v>D137</v>
          </cell>
          <cell r="D265" t="str">
            <v>AYYOOB V.N</v>
          </cell>
          <cell r="E265" t="str">
            <v>BADF</v>
          </cell>
          <cell r="F265" t="str">
            <v>SUPER SENIOR</v>
          </cell>
          <cell r="G265">
            <v>9</v>
          </cell>
          <cell r="H265">
            <v>9</v>
          </cell>
          <cell r="I265">
            <v>0</v>
          </cell>
          <cell r="J265">
            <v>9</v>
          </cell>
          <cell r="K265">
            <v>9</v>
          </cell>
          <cell r="L265">
            <v>139</v>
          </cell>
          <cell r="M265">
            <v>139</v>
          </cell>
        </row>
        <row r="266">
          <cell r="C266" t="str">
            <v>D138</v>
          </cell>
          <cell r="D266" t="str">
            <v>MOHAMMED JAWAD A</v>
          </cell>
          <cell r="E266" t="str">
            <v>FANT</v>
          </cell>
          <cell r="F266" t="str">
            <v>SUPER SENIOR</v>
          </cell>
          <cell r="G266">
            <v>9</v>
          </cell>
          <cell r="H266">
            <v>0</v>
          </cell>
          <cell r="I266">
            <v>0</v>
          </cell>
          <cell r="J266">
            <v>0</v>
          </cell>
          <cell r="K266">
            <v>0</v>
          </cell>
          <cell r="L266">
            <v>255</v>
          </cell>
          <cell r="M266">
            <v>255</v>
          </cell>
        </row>
        <row r="267">
          <cell r="C267" t="str">
            <v>D139</v>
          </cell>
          <cell r="D267" t="str">
            <v>AHAMMED MUBARAK KA</v>
          </cell>
          <cell r="E267" t="str">
            <v>JARF</v>
          </cell>
          <cell r="F267" t="str">
            <v>SUPER SENIOR</v>
          </cell>
          <cell r="G267">
            <v>9</v>
          </cell>
          <cell r="H267">
            <v>0</v>
          </cell>
          <cell r="I267">
            <v>0</v>
          </cell>
          <cell r="J267">
            <v>0</v>
          </cell>
          <cell r="K267">
            <v>0</v>
          </cell>
          <cell r="L267">
            <v>255</v>
          </cell>
          <cell r="M267">
            <v>255</v>
          </cell>
        </row>
        <row r="268">
          <cell r="C268" t="str">
            <v>D140</v>
          </cell>
          <cell r="D268" t="str">
            <v>MUHAMMED FAISAL A K</v>
          </cell>
          <cell r="E268" t="str">
            <v>DAHF</v>
          </cell>
          <cell r="F268" t="str">
            <v>SUPER SENIOR</v>
          </cell>
          <cell r="G268">
            <v>9</v>
          </cell>
          <cell r="H268">
            <v>75</v>
          </cell>
          <cell r="I268">
            <v>0</v>
          </cell>
          <cell r="J268">
            <v>75</v>
          </cell>
          <cell r="K268">
            <v>75</v>
          </cell>
          <cell r="L268">
            <v>1</v>
          </cell>
          <cell r="M268">
            <v>1</v>
          </cell>
        </row>
        <row r="269">
          <cell r="C269" t="str">
            <v>D141</v>
          </cell>
          <cell r="D269" t="str">
            <v>MUHAMMAD MUSTHAFA P.K</v>
          </cell>
          <cell r="E269" t="str">
            <v>BADF</v>
          </cell>
          <cell r="F269" t="str">
            <v>SUPER SENIOR</v>
          </cell>
          <cell r="G269">
            <v>9</v>
          </cell>
          <cell r="H269">
            <v>14</v>
          </cell>
          <cell r="I269">
            <v>0</v>
          </cell>
          <cell r="J269">
            <v>14</v>
          </cell>
          <cell r="K269">
            <v>14</v>
          </cell>
          <cell r="L269">
            <v>104</v>
          </cell>
          <cell r="M269">
            <v>104</v>
          </cell>
        </row>
        <row r="270">
          <cell r="C270" t="str">
            <v>D142</v>
          </cell>
          <cell r="D270" t="str">
            <v>ISHAM V.K</v>
          </cell>
          <cell r="E270" t="str">
            <v>FANT</v>
          </cell>
          <cell r="F270" t="str">
            <v>SUPER SENIOR</v>
          </cell>
          <cell r="G270">
            <v>9</v>
          </cell>
          <cell r="H270">
            <v>0</v>
          </cell>
          <cell r="I270">
            <v>0</v>
          </cell>
          <cell r="J270">
            <v>0</v>
          </cell>
          <cell r="K270">
            <v>0</v>
          </cell>
          <cell r="L270">
            <v>255</v>
          </cell>
          <cell r="M270">
            <v>255</v>
          </cell>
        </row>
        <row r="271">
          <cell r="C271" t="str">
            <v>D143</v>
          </cell>
          <cell r="D271" t="str">
            <v>MUHAMMED MA</v>
          </cell>
          <cell r="E271" t="str">
            <v>BADF</v>
          </cell>
          <cell r="F271" t="str">
            <v>SUPER SENIOR</v>
          </cell>
          <cell r="G271">
            <v>9</v>
          </cell>
          <cell r="H271">
            <v>6</v>
          </cell>
          <cell r="I271">
            <v>0</v>
          </cell>
          <cell r="J271">
            <v>6</v>
          </cell>
          <cell r="K271">
            <v>6</v>
          </cell>
          <cell r="L271">
            <v>171</v>
          </cell>
          <cell r="M271">
            <v>171</v>
          </cell>
        </row>
        <row r="272">
          <cell r="C272" t="str">
            <v>D144</v>
          </cell>
          <cell r="D272" t="str">
            <v>MUHAMMED RASHAD KA</v>
          </cell>
          <cell r="E272" t="str">
            <v>JARF</v>
          </cell>
          <cell r="F272" t="str">
            <v>SUPER SENIOR</v>
          </cell>
          <cell r="G272">
            <v>9</v>
          </cell>
          <cell r="H272">
            <v>0</v>
          </cell>
          <cell r="I272">
            <v>0</v>
          </cell>
          <cell r="J272">
            <v>0</v>
          </cell>
          <cell r="K272">
            <v>0</v>
          </cell>
          <cell r="L272">
            <v>255</v>
          </cell>
          <cell r="M272">
            <v>255</v>
          </cell>
        </row>
        <row r="273">
          <cell r="C273" t="str">
            <v>D145</v>
          </cell>
          <cell r="D273" t="str">
            <v>ABBAS ARFAS O.R</v>
          </cell>
          <cell r="E273" t="str">
            <v>BADF</v>
          </cell>
          <cell r="F273" t="str">
            <v>SUPER SENIOR</v>
          </cell>
          <cell r="G273">
            <v>9</v>
          </cell>
          <cell r="H273">
            <v>10</v>
          </cell>
          <cell r="I273">
            <v>0</v>
          </cell>
          <cell r="J273">
            <v>10</v>
          </cell>
          <cell r="K273">
            <v>10</v>
          </cell>
          <cell r="L273">
            <v>131</v>
          </cell>
          <cell r="M273">
            <v>131</v>
          </cell>
        </row>
        <row r="274">
          <cell r="C274" t="str">
            <v>D146</v>
          </cell>
          <cell r="D274" t="str">
            <v>ABDUL YOUNUS</v>
          </cell>
          <cell r="E274" t="str">
            <v>DAHF</v>
          </cell>
          <cell r="F274" t="str">
            <v>SUPER SENIOR</v>
          </cell>
          <cell r="G274">
            <v>9</v>
          </cell>
          <cell r="H274">
            <v>6</v>
          </cell>
          <cell r="I274">
            <v>0</v>
          </cell>
          <cell r="J274">
            <v>6</v>
          </cell>
          <cell r="K274">
            <v>6</v>
          </cell>
          <cell r="L274">
            <v>171</v>
          </cell>
          <cell r="M274">
            <v>171</v>
          </cell>
        </row>
        <row r="275">
          <cell r="C275" t="str">
            <v>D147</v>
          </cell>
          <cell r="D275" t="str">
            <v>MOHAMMED SHAHZAN T.K</v>
          </cell>
          <cell r="E275" t="str">
            <v>FANT</v>
          </cell>
          <cell r="F275" t="str">
            <v>SUPER SENIOR</v>
          </cell>
          <cell r="G275">
            <v>9</v>
          </cell>
          <cell r="H275">
            <v>54</v>
          </cell>
          <cell r="I275">
            <v>0</v>
          </cell>
          <cell r="J275">
            <v>54</v>
          </cell>
          <cell r="K275">
            <v>54</v>
          </cell>
          <cell r="L275">
            <v>9</v>
          </cell>
          <cell r="M275">
            <v>9</v>
          </cell>
        </row>
        <row r="276">
          <cell r="C276" t="str">
            <v>D148</v>
          </cell>
          <cell r="D276" t="str">
            <v>UMARUL FAROOK K .K</v>
          </cell>
          <cell r="E276" t="str">
            <v>DAHF</v>
          </cell>
          <cell r="F276" t="str">
            <v>SUPER SENIOR</v>
          </cell>
          <cell r="G276">
            <v>9</v>
          </cell>
          <cell r="H276">
            <v>0</v>
          </cell>
          <cell r="I276">
            <v>0</v>
          </cell>
          <cell r="J276">
            <v>0</v>
          </cell>
          <cell r="K276">
            <v>0</v>
          </cell>
          <cell r="L276">
            <v>255</v>
          </cell>
          <cell r="M276">
            <v>255</v>
          </cell>
        </row>
        <row r="277">
          <cell r="C277" t="str">
            <v>D149</v>
          </cell>
          <cell r="D277" t="str">
            <v>MOHAMMED MARZOOK AM</v>
          </cell>
          <cell r="E277" t="str">
            <v>JARF</v>
          </cell>
          <cell r="F277" t="str">
            <v>SUPER SENIOR</v>
          </cell>
          <cell r="G277">
            <v>9</v>
          </cell>
          <cell r="H277">
            <v>8</v>
          </cell>
          <cell r="I277">
            <v>0</v>
          </cell>
          <cell r="J277">
            <v>8</v>
          </cell>
          <cell r="K277">
            <v>8</v>
          </cell>
          <cell r="L277">
            <v>147</v>
          </cell>
          <cell r="M277">
            <v>147</v>
          </cell>
        </row>
        <row r="278">
          <cell r="C278" t="str">
            <v>D150</v>
          </cell>
          <cell r="D278" t="str">
            <v>ABDUL KHADER</v>
          </cell>
          <cell r="E278" t="str">
            <v>DAHF</v>
          </cell>
          <cell r="F278" t="str">
            <v>SUPER SENIOR</v>
          </cell>
          <cell r="G278">
            <v>9</v>
          </cell>
          <cell r="H278">
            <v>44</v>
          </cell>
          <cell r="I278">
            <v>0</v>
          </cell>
          <cell r="J278">
            <v>44</v>
          </cell>
          <cell r="K278">
            <v>44</v>
          </cell>
          <cell r="L278">
            <v>19</v>
          </cell>
          <cell r="M278">
            <v>19</v>
          </cell>
        </row>
        <row r="279">
          <cell r="C279" t="str">
            <v>D151</v>
          </cell>
          <cell r="D279" t="str">
            <v>MUHAMMED SHANAVAS M.A</v>
          </cell>
          <cell r="E279" t="str">
            <v>JARF</v>
          </cell>
          <cell r="F279" t="str">
            <v>SUPER SENIOR</v>
          </cell>
          <cell r="G279">
            <v>9</v>
          </cell>
          <cell r="H279">
            <v>3</v>
          </cell>
          <cell r="I279">
            <v>0</v>
          </cell>
          <cell r="J279">
            <v>3</v>
          </cell>
          <cell r="K279">
            <v>3</v>
          </cell>
          <cell r="L279">
            <v>209</v>
          </cell>
          <cell r="M279">
            <v>209</v>
          </cell>
        </row>
        <row r="280">
          <cell r="C280" t="str">
            <v>D152</v>
          </cell>
          <cell r="D280" t="str">
            <v>MOHAMMAD ISMAIL SINAN KM</v>
          </cell>
          <cell r="E280" t="str">
            <v>DAHF</v>
          </cell>
          <cell r="F280" t="str">
            <v>SUPER SENIOR</v>
          </cell>
          <cell r="G280">
            <v>9</v>
          </cell>
          <cell r="H280">
            <v>4</v>
          </cell>
          <cell r="I280">
            <v>0</v>
          </cell>
          <cell r="J280">
            <v>4</v>
          </cell>
          <cell r="K280">
            <v>4</v>
          </cell>
          <cell r="L280">
            <v>197</v>
          </cell>
          <cell r="M280">
            <v>197</v>
          </cell>
        </row>
        <row r="281">
          <cell r="C281" t="str">
            <v>D153</v>
          </cell>
          <cell r="D281" t="str">
            <v>MUHAMMED UNAIS PT</v>
          </cell>
          <cell r="E281" t="str">
            <v>JARF</v>
          </cell>
          <cell r="F281" t="str">
            <v>SUPER SENIOR</v>
          </cell>
          <cell r="G281">
            <v>9</v>
          </cell>
          <cell r="H281">
            <v>11</v>
          </cell>
          <cell r="I281">
            <v>0</v>
          </cell>
          <cell r="J281">
            <v>11</v>
          </cell>
          <cell r="K281">
            <v>11</v>
          </cell>
          <cell r="L281">
            <v>123</v>
          </cell>
          <cell r="M281">
            <v>123</v>
          </cell>
        </row>
        <row r="282">
          <cell r="C282" t="str">
            <v>D154</v>
          </cell>
          <cell r="D282" t="str">
            <v>ASHIKK.I</v>
          </cell>
          <cell r="E282" t="str">
            <v>JARF</v>
          </cell>
          <cell r="F282" t="str">
            <v>SUPER SENIOR</v>
          </cell>
          <cell r="G282">
            <v>9</v>
          </cell>
          <cell r="H282">
            <v>0</v>
          </cell>
          <cell r="I282">
            <v>0</v>
          </cell>
          <cell r="J282">
            <v>0</v>
          </cell>
          <cell r="K282">
            <v>0</v>
          </cell>
          <cell r="L282">
            <v>255</v>
          </cell>
          <cell r="M282">
            <v>255</v>
          </cell>
        </row>
        <row r="283">
          <cell r="C283" t="str">
            <v>D155</v>
          </cell>
          <cell r="D283" t="str">
            <v>MUHAMMED YASIR K</v>
          </cell>
          <cell r="E283" t="str">
            <v>BADF</v>
          </cell>
          <cell r="F283" t="str">
            <v>SUPER SENIOR</v>
          </cell>
          <cell r="G283">
            <v>9</v>
          </cell>
          <cell r="H283">
            <v>24</v>
          </cell>
          <cell r="I283">
            <v>0</v>
          </cell>
          <cell r="J283">
            <v>24</v>
          </cell>
          <cell r="K283">
            <v>24</v>
          </cell>
          <cell r="L283">
            <v>64</v>
          </cell>
          <cell r="M283">
            <v>64</v>
          </cell>
        </row>
        <row r="284">
          <cell r="C284" t="str">
            <v>D156</v>
          </cell>
          <cell r="D284" t="str">
            <v>MUHAMMED BIN ABDUL KADHAR</v>
          </cell>
          <cell r="E284"/>
          <cell r="F284" t="str">
            <v>SUPER SENIOR</v>
          </cell>
          <cell r="G284">
            <v>9</v>
          </cell>
          <cell r="H284">
            <v>0</v>
          </cell>
          <cell r="I284">
            <v>0</v>
          </cell>
          <cell r="J284">
            <v>0</v>
          </cell>
          <cell r="K284">
            <v>0</v>
          </cell>
          <cell r="L284">
            <v>255</v>
          </cell>
          <cell r="M284">
            <v>255</v>
          </cell>
        </row>
        <row r="285">
          <cell r="C285" t="str">
            <v>D157</v>
          </cell>
          <cell r="D285" t="str">
            <v>MUHAMMAD MUZAMMIL E.A</v>
          </cell>
          <cell r="E285" t="str">
            <v>BADF</v>
          </cell>
          <cell r="F285" t="str">
            <v>SUPER SENIOR</v>
          </cell>
          <cell r="G285">
            <v>9</v>
          </cell>
          <cell r="H285">
            <v>8</v>
          </cell>
          <cell r="I285">
            <v>0</v>
          </cell>
          <cell r="J285">
            <v>8</v>
          </cell>
          <cell r="K285">
            <v>8</v>
          </cell>
          <cell r="L285">
            <v>147</v>
          </cell>
          <cell r="M285">
            <v>147</v>
          </cell>
        </row>
        <row r="286">
          <cell r="C286" t="str">
            <v>D158</v>
          </cell>
          <cell r="D286" t="str">
            <v>MUHAMMED UNAIS</v>
          </cell>
          <cell r="E286"/>
          <cell r="F286" t="str">
            <v>SUPER SENIOR</v>
          </cell>
          <cell r="G286">
            <v>9</v>
          </cell>
          <cell r="H286">
            <v>0</v>
          </cell>
          <cell r="I286">
            <v>0</v>
          </cell>
          <cell r="J286">
            <v>0</v>
          </cell>
          <cell r="K286">
            <v>0</v>
          </cell>
          <cell r="L286">
            <v>255</v>
          </cell>
          <cell r="M286">
            <v>255</v>
          </cell>
        </row>
        <row r="287">
          <cell r="C287" t="str">
            <v>D159</v>
          </cell>
          <cell r="D287" t="str">
            <v>MUHAMMED MUZAMMIL</v>
          </cell>
          <cell r="E287" t="str">
            <v>FANT</v>
          </cell>
          <cell r="F287" t="str">
            <v>SUPER SENIOR</v>
          </cell>
          <cell r="G287">
            <v>9</v>
          </cell>
          <cell r="H287">
            <v>1</v>
          </cell>
          <cell r="I287">
            <v>0</v>
          </cell>
          <cell r="J287">
            <v>1</v>
          </cell>
          <cell r="K287">
            <v>1</v>
          </cell>
          <cell r="L287">
            <v>231</v>
          </cell>
          <cell r="M287">
            <v>231</v>
          </cell>
        </row>
        <row r="288">
          <cell r="C288" t="str">
            <v>D160</v>
          </cell>
          <cell r="D288" t="str">
            <v>SALMAN FARIS</v>
          </cell>
          <cell r="E288" t="str">
            <v>JARF</v>
          </cell>
          <cell r="F288" t="str">
            <v>SUPER SENIOR</v>
          </cell>
          <cell r="G288">
            <v>9</v>
          </cell>
          <cell r="H288">
            <v>1</v>
          </cell>
          <cell r="I288">
            <v>0</v>
          </cell>
          <cell r="J288">
            <v>1</v>
          </cell>
          <cell r="K288">
            <v>1</v>
          </cell>
          <cell r="L288">
            <v>231</v>
          </cell>
          <cell r="M288">
            <v>231</v>
          </cell>
        </row>
        <row r="289">
          <cell r="C289" t="str">
            <v>D161</v>
          </cell>
          <cell r="D289" t="str">
            <v>MOHAMMED ATHHAR THAYYIB MS</v>
          </cell>
          <cell r="E289" t="str">
            <v>BADF</v>
          </cell>
          <cell r="F289" t="str">
            <v>SUPER SENIOR</v>
          </cell>
          <cell r="G289">
            <v>9</v>
          </cell>
          <cell r="H289">
            <v>3</v>
          </cell>
          <cell r="I289">
            <v>0</v>
          </cell>
          <cell r="J289">
            <v>3</v>
          </cell>
          <cell r="K289">
            <v>3</v>
          </cell>
          <cell r="L289">
            <v>209</v>
          </cell>
          <cell r="M289">
            <v>209</v>
          </cell>
        </row>
        <row r="290">
          <cell r="C290" t="str">
            <v>D162</v>
          </cell>
          <cell r="D290" t="str">
            <v>ABDURAHMAN P.H</v>
          </cell>
          <cell r="E290" t="str">
            <v>BADF</v>
          </cell>
          <cell r="F290" t="str">
            <v>SUPER SENIOR</v>
          </cell>
          <cell r="G290">
            <v>9</v>
          </cell>
          <cell r="H290">
            <v>38</v>
          </cell>
          <cell r="I290">
            <v>0</v>
          </cell>
          <cell r="J290">
            <v>38</v>
          </cell>
          <cell r="K290">
            <v>38</v>
          </cell>
          <cell r="L290">
            <v>26</v>
          </cell>
          <cell r="M290">
            <v>26</v>
          </cell>
        </row>
        <row r="291">
          <cell r="C291" t="str">
            <v>D163</v>
          </cell>
          <cell r="D291" t="str">
            <v>ABDUL JANIS</v>
          </cell>
          <cell r="E291" t="str">
            <v>FANT</v>
          </cell>
          <cell r="F291" t="str">
            <v>SUPER SENIOR</v>
          </cell>
          <cell r="G291">
            <v>9</v>
          </cell>
          <cell r="H291">
            <v>0</v>
          </cell>
          <cell r="I291">
            <v>0</v>
          </cell>
          <cell r="J291">
            <v>0</v>
          </cell>
          <cell r="K291">
            <v>0</v>
          </cell>
          <cell r="L291">
            <v>255</v>
          </cell>
          <cell r="M291">
            <v>255</v>
          </cell>
        </row>
        <row r="292">
          <cell r="C292" t="str">
            <v>D164</v>
          </cell>
          <cell r="D292" t="str">
            <v>AHMED SULTHAN</v>
          </cell>
          <cell r="E292" t="str">
            <v>JARF</v>
          </cell>
          <cell r="F292" t="str">
            <v>SUPER SENIOR</v>
          </cell>
          <cell r="G292">
            <v>9</v>
          </cell>
          <cell r="H292">
            <v>37</v>
          </cell>
          <cell r="I292">
            <v>0</v>
          </cell>
          <cell r="J292">
            <v>37</v>
          </cell>
          <cell r="K292">
            <v>37</v>
          </cell>
          <cell r="L292">
            <v>30</v>
          </cell>
          <cell r="M292">
            <v>30</v>
          </cell>
        </row>
        <row r="293">
          <cell r="C293" t="str">
            <v>D165</v>
          </cell>
          <cell r="D293" t="str">
            <v>AJMAL KI</v>
          </cell>
          <cell r="E293" t="str">
            <v>FANT</v>
          </cell>
          <cell r="F293" t="str">
            <v>SUPER SENIOR</v>
          </cell>
          <cell r="G293">
            <v>9</v>
          </cell>
          <cell r="H293">
            <v>42.5</v>
          </cell>
          <cell r="I293">
            <v>0</v>
          </cell>
          <cell r="J293">
            <v>42.5</v>
          </cell>
          <cell r="K293">
            <v>42.5</v>
          </cell>
          <cell r="L293">
            <v>20</v>
          </cell>
          <cell r="M293">
            <v>20</v>
          </cell>
        </row>
        <row r="294">
          <cell r="C294" t="str">
            <v>D166</v>
          </cell>
          <cell r="D294" t="str">
            <v>MOHAMMED IRFAN C</v>
          </cell>
          <cell r="E294" t="str">
            <v>DAHF</v>
          </cell>
          <cell r="F294" t="str">
            <v>SUPER SENIOR</v>
          </cell>
          <cell r="G294">
            <v>9</v>
          </cell>
          <cell r="H294">
            <v>32</v>
          </cell>
          <cell r="I294">
            <v>0</v>
          </cell>
          <cell r="J294">
            <v>32</v>
          </cell>
          <cell r="K294">
            <v>32</v>
          </cell>
          <cell r="L294">
            <v>40</v>
          </cell>
          <cell r="M294">
            <v>40</v>
          </cell>
        </row>
        <row r="295">
          <cell r="C295" t="str">
            <v>D167</v>
          </cell>
          <cell r="D295" t="str">
            <v>AHMAD BINYAMUL ASHIQUE</v>
          </cell>
          <cell r="E295" t="str">
            <v>JARF</v>
          </cell>
          <cell r="F295" t="str">
            <v>SUPER SENIOR</v>
          </cell>
          <cell r="G295">
            <v>10</v>
          </cell>
          <cell r="H295">
            <v>0</v>
          </cell>
          <cell r="I295">
            <v>0</v>
          </cell>
          <cell r="J295">
            <v>0</v>
          </cell>
          <cell r="K295">
            <v>0</v>
          </cell>
          <cell r="L295">
            <v>255</v>
          </cell>
          <cell r="M295">
            <v>255</v>
          </cell>
        </row>
        <row r="296">
          <cell r="C296" t="str">
            <v>D168</v>
          </cell>
          <cell r="D296" t="str">
            <v>MOHAMMED NAFIH KA</v>
          </cell>
          <cell r="E296" t="str">
            <v>FANT</v>
          </cell>
          <cell r="F296" t="str">
            <v>SUPER SENIOR</v>
          </cell>
          <cell r="G296">
            <v>10</v>
          </cell>
          <cell r="H296">
            <v>0</v>
          </cell>
          <cell r="I296">
            <v>0</v>
          </cell>
          <cell r="J296">
            <v>0</v>
          </cell>
          <cell r="K296">
            <v>0</v>
          </cell>
          <cell r="L296">
            <v>255</v>
          </cell>
          <cell r="M296">
            <v>255</v>
          </cell>
        </row>
        <row r="297">
          <cell r="C297" t="str">
            <v>D169</v>
          </cell>
          <cell r="D297" t="str">
            <v>MUHAMMED AYIZ</v>
          </cell>
          <cell r="E297" t="str">
            <v>BADF</v>
          </cell>
          <cell r="F297" t="str">
            <v>SUPER SENIOR</v>
          </cell>
          <cell r="G297">
            <v>10</v>
          </cell>
          <cell r="H297">
            <v>0</v>
          </cell>
          <cell r="I297">
            <v>0</v>
          </cell>
          <cell r="J297">
            <v>0</v>
          </cell>
          <cell r="K297">
            <v>0</v>
          </cell>
          <cell r="L297">
            <v>255</v>
          </cell>
          <cell r="M297">
            <v>255</v>
          </cell>
        </row>
        <row r="298">
          <cell r="C298" t="str">
            <v>D170</v>
          </cell>
          <cell r="D298" t="str">
            <v>AHMED ADIL B.K</v>
          </cell>
          <cell r="E298" t="str">
            <v>JARF</v>
          </cell>
          <cell r="F298" t="str">
            <v>SUPER SENIOR</v>
          </cell>
          <cell r="G298">
            <v>10</v>
          </cell>
          <cell r="H298">
            <v>18</v>
          </cell>
          <cell r="I298">
            <v>0</v>
          </cell>
          <cell r="J298">
            <v>18</v>
          </cell>
          <cell r="K298">
            <v>18</v>
          </cell>
          <cell r="L298">
            <v>81</v>
          </cell>
          <cell r="M298">
            <v>81</v>
          </cell>
        </row>
        <row r="299">
          <cell r="C299" t="str">
            <v>D171</v>
          </cell>
          <cell r="D299" t="str">
            <v>MOHAMMED ANFAHUDEEN T.A</v>
          </cell>
          <cell r="E299" t="str">
            <v>FANT</v>
          </cell>
          <cell r="F299" t="str">
            <v>SUPER SENIOR</v>
          </cell>
          <cell r="G299">
            <v>10</v>
          </cell>
          <cell r="H299">
            <v>2</v>
          </cell>
          <cell r="I299">
            <v>0</v>
          </cell>
          <cell r="J299">
            <v>2</v>
          </cell>
          <cell r="K299">
            <v>2</v>
          </cell>
          <cell r="L299">
            <v>224</v>
          </cell>
          <cell r="M299">
            <v>224</v>
          </cell>
        </row>
        <row r="300">
          <cell r="C300" t="str">
            <v>D172</v>
          </cell>
          <cell r="D300" t="str">
            <v>MUHAMMED MUFEED</v>
          </cell>
          <cell r="E300" t="str">
            <v>DAHF</v>
          </cell>
          <cell r="F300" t="str">
            <v>SUPER SENIOR</v>
          </cell>
          <cell r="G300">
            <v>10</v>
          </cell>
          <cell r="H300">
            <v>2</v>
          </cell>
          <cell r="I300">
            <v>0</v>
          </cell>
          <cell r="J300">
            <v>2</v>
          </cell>
          <cell r="K300">
            <v>2</v>
          </cell>
          <cell r="L300">
            <v>224</v>
          </cell>
          <cell r="M300">
            <v>224</v>
          </cell>
        </row>
        <row r="301">
          <cell r="C301" t="str">
            <v>D173</v>
          </cell>
          <cell r="D301" t="str">
            <v>ABOOBACKER SIDDIK</v>
          </cell>
          <cell r="E301" t="str">
            <v>BADF</v>
          </cell>
          <cell r="F301" t="str">
            <v>SUPER SENIOR</v>
          </cell>
          <cell r="G301">
            <v>10</v>
          </cell>
          <cell r="H301">
            <v>5</v>
          </cell>
          <cell r="I301">
            <v>0</v>
          </cell>
          <cell r="J301">
            <v>5</v>
          </cell>
          <cell r="K301">
            <v>5</v>
          </cell>
          <cell r="L301">
            <v>190</v>
          </cell>
          <cell r="M301">
            <v>190</v>
          </cell>
        </row>
        <row r="302">
          <cell r="C302" t="str">
            <v>D174</v>
          </cell>
          <cell r="D302" t="str">
            <v>BADRUDHIN A</v>
          </cell>
          <cell r="E302" t="str">
            <v>BADF</v>
          </cell>
          <cell r="F302" t="str">
            <v>SUPER SENIOR</v>
          </cell>
          <cell r="G302">
            <v>10</v>
          </cell>
          <cell r="H302">
            <v>0</v>
          </cell>
          <cell r="I302">
            <v>0</v>
          </cell>
          <cell r="J302">
            <v>0</v>
          </cell>
          <cell r="K302">
            <v>0</v>
          </cell>
          <cell r="L302">
            <v>255</v>
          </cell>
          <cell r="M302">
            <v>255</v>
          </cell>
        </row>
        <row r="303">
          <cell r="C303" t="str">
            <v>D175</v>
          </cell>
          <cell r="D303" t="str">
            <v>AKBAR P</v>
          </cell>
          <cell r="E303" t="str">
            <v>FANT</v>
          </cell>
          <cell r="F303" t="str">
            <v>SUPER SENIOR</v>
          </cell>
          <cell r="G303">
            <v>10</v>
          </cell>
          <cell r="H303">
            <v>18</v>
          </cell>
          <cell r="I303">
            <v>0</v>
          </cell>
          <cell r="J303">
            <v>18</v>
          </cell>
          <cell r="K303">
            <v>18</v>
          </cell>
          <cell r="L303">
            <v>81</v>
          </cell>
          <cell r="M303">
            <v>81</v>
          </cell>
        </row>
        <row r="304">
          <cell r="C304" t="str">
            <v>D176</v>
          </cell>
          <cell r="D304" t="str">
            <v>MOHAMMED NASFAR AFNAN H</v>
          </cell>
          <cell r="E304" t="str">
            <v>JARF</v>
          </cell>
          <cell r="F304" t="str">
            <v>SUPER SENIOR</v>
          </cell>
          <cell r="G304">
            <v>10</v>
          </cell>
          <cell r="H304">
            <v>0</v>
          </cell>
          <cell r="I304">
            <v>0</v>
          </cell>
          <cell r="J304">
            <v>0</v>
          </cell>
          <cell r="K304">
            <v>0</v>
          </cell>
          <cell r="L304">
            <v>255</v>
          </cell>
          <cell r="M304">
            <v>255</v>
          </cell>
        </row>
        <row r="305">
          <cell r="C305" t="str">
            <v>D177</v>
          </cell>
          <cell r="D305" t="str">
            <v>SHAMEEM ABDULLA P.S</v>
          </cell>
          <cell r="E305" t="str">
            <v>FANT</v>
          </cell>
          <cell r="F305" t="str">
            <v>SUPER SENIOR</v>
          </cell>
          <cell r="G305">
            <v>10</v>
          </cell>
          <cell r="H305">
            <v>51</v>
          </cell>
          <cell r="I305">
            <v>0</v>
          </cell>
          <cell r="J305">
            <v>51</v>
          </cell>
          <cell r="K305">
            <v>51</v>
          </cell>
          <cell r="L305">
            <v>13</v>
          </cell>
          <cell r="M305">
            <v>13</v>
          </cell>
        </row>
        <row r="306">
          <cell r="C306" t="str">
            <v>D178</v>
          </cell>
          <cell r="D306" t="str">
            <v>AHMED BK</v>
          </cell>
          <cell r="E306" t="str">
            <v>BADF</v>
          </cell>
          <cell r="F306" t="str">
            <v>SUPER SENIOR</v>
          </cell>
          <cell r="G306">
            <v>10</v>
          </cell>
          <cell r="H306">
            <v>31</v>
          </cell>
          <cell r="I306">
            <v>0</v>
          </cell>
          <cell r="J306">
            <v>31</v>
          </cell>
          <cell r="K306">
            <v>31</v>
          </cell>
          <cell r="L306">
            <v>42</v>
          </cell>
          <cell r="M306">
            <v>42</v>
          </cell>
        </row>
        <row r="307">
          <cell r="C307" t="str">
            <v>D179</v>
          </cell>
          <cell r="D307" t="str">
            <v>MUHAMMED AKBAR NP</v>
          </cell>
          <cell r="E307" t="str">
            <v>DAHF</v>
          </cell>
          <cell r="F307" t="str">
            <v>SUPER SENIOR</v>
          </cell>
          <cell r="G307">
            <v>10</v>
          </cell>
          <cell r="H307">
            <v>0</v>
          </cell>
          <cell r="I307">
            <v>0</v>
          </cell>
          <cell r="J307">
            <v>0</v>
          </cell>
          <cell r="K307">
            <v>0</v>
          </cell>
          <cell r="L307">
            <v>255</v>
          </cell>
          <cell r="M307">
            <v>255</v>
          </cell>
        </row>
        <row r="308">
          <cell r="C308" t="str">
            <v>D180</v>
          </cell>
          <cell r="D308" t="str">
            <v>ATHIF ABDULKHADER</v>
          </cell>
          <cell r="E308" t="str">
            <v>FANT</v>
          </cell>
          <cell r="F308" t="str">
            <v>SUPER SENIOR</v>
          </cell>
          <cell r="G308">
            <v>10</v>
          </cell>
          <cell r="H308">
            <v>0</v>
          </cell>
          <cell r="I308">
            <v>0</v>
          </cell>
          <cell r="J308">
            <v>0</v>
          </cell>
          <cell r="K308">
            <v>0</v>
          </cell>
          <cell r="L308">
            <v>255</v>
          </cell>
          <cell r="M308">
            <v>255</v>
          </cell>
        </row>
        <row r="309">
          <cell r="C309" t="str">
            <v>D181</v>
          </cell>
          <cell r="D309" t="str">
            <v>MUHAMMED SAJJAD</v>
          </cell>
          <cell r="E309" t="str">
            <v>DAHF</v>
          </cell>
          <cell r="F309" t="str">
            <v>SUPER SENIOR</v>
          </cell>
          <cell r="G309">
            <v>10</v>
          </cell>
          <cell r="H309">
            <v>1</v>
          </cell>
          <cell r="I309">
            <v>0</v>
          </cell>
          <cell r="J309">
            <v>1</v>
          </cell>
          <cell r="K309">
            <v>1</v>
          </cell>
          <cell r="L309">
            <v>231</v>
          </cell>
          <cell r="M309">
            <v>231</v>
          </cell>
        </row>
        <row r="310">
          <cell r="C310" t="str">
            <v>D182</v>
          </cell>
          <cell r="D310" t="str">
            <v>AHAMED ASIF M</v>
          </cell>
          <cell r="E310" t="str">
            <v>JARF</v>
          </cell>
          <cell r="F310" t="str">
            <v>SUPER SENIOR</v>
          </cell>
          <cell r="G310">
            <v>10</v>
          </cell>
          <cell r="H310">
            <v>0</v>
          </cell>
          <cell r="I310">
            <v>0</v>
          </cell>
          <cell r="J310">
            <v>0</v>
          </cell>
          <cell r="K310">
            <v>0</v>
          </cell>
          <cell r="L310">
            <v>255</v>
          </cell>
          <cell r="M310">
            <v>255</v>
          </cell>
        </row>
        <row r="311">
          <cell r="C311" t="str">
            <v>D183</v>
          </cell>
          <cell r="D311" t="str">
            <v>MOHAMMAD SWALIH K</v>
          </cell>
          <cell r="E311" t="str">
            <v>DAHF</v>
          </cell>
          <cell r="F311" t="str">
            <v>SUPER SENIOR</v>
          </cell>
          <cell r="G311">
            <v>10</v>
          </cell>
          <cell r="H311">
            <v>16</v>
          </cell>
          <cell r="I311">
            <v>0</v>
          </cell>
          <cell r="J311">
            <v>16</v>
          </cell>
          <cell r="K311">
            <v>16</v>
          </cell>
          <cell r="L311">
            <v>94</v>
          </cell>
          <cell r="M311">
            <v>94</v>
          </cell>
        </row>
        <row r="312">
          <cell r="C312" t="str">
            <v>D184</v>
          </cell>
          <cell r="D312" t="str">
            <v>YASEEN</v>
          </cell>
          <cell r="E312" t="str">
            <v>FANT</v>
          </cell>
          <cell r="F312" t="str">
            <v>SUPER SENIOR</v>
          </cell>
          <cell r="G312">
            <v>10</v>
          </cell>
          <cell r="H312">
            <v>0</v>
          </cell>
          <cell r="I312">
            <v>0</v>
          </cell>
          <cell r="J312">
            <v>0</v>
          </cell>
          <cell r="K312">
            <v>0</v>
          </cell>
          <cell r="L312">
            <v>255</v>
          </cell>
          <cell r="M312">
            <v>255</v>
          </cell>
        </row>
        <row r="313">
          <cell r="C313" t="str">
            <v>D185</v>
          </cell>
          <cell r="D313" t="str">
            <v>MAHAMMED ASHIK</v>
          </cell>
          <cell r="E313"/>
          <cell r="F313" t="str">
            <v>SUPER SENIOR</v>
          </cell>
          <cell r="G313">
            <v>10</v>
          </cell>
          <cell r="H313">
            <v>0</v>
          </cell>
          <cell r="I313">
            <v>0</v>
          </cell>
          <cell r="J313">
            <v>0</v>
          </cell>
          <cell r="K313">
            <v>0</v>
          </cell>
          <cell r="L313">
            <v>255</v>
          </cell>
          <cell r="M313">
            <v>255</v>
          </cell>
        </row>
        <row r="314">
          <cell r="C314" t="str">
            <v>D186</v>
          </cell>
          <cell r="D314" t="str">
            <v>SALAHUDDEEN AYYOOBI KM</v>
          </cell>
          <cell r="E314" t="str">
            <v>FANT</v>
          </cell>
          <cell r="F314" t="str">
            <v>SUPER SENIOR</v>
          </cell>
          <cell r="G314">
            <v>10</v>
          </cell>
          <cell r="H314">
            <v>8</v>
          </cell>
          <cell r="I314">
            <v>0</v>
          </cell>
          <cell r="J314">
            <v>8</v>
          </cell>
          <cell r="K314">
            <v>8</v>
          </cell>
          <cell r="L314">
            <v>147</v>
          </cell>
          <cell r="M314">
            <v>147</v>
          </cell>
        </row>
        <row r="315">
          <cell r="C315" t="str">
            <v>D187</v>
          </cell>
          <cell r="D315" t="str">
            <v>ABDUL RAHMAN</v>
          </cell>
          <cell r="E315" t="str">
            <v>DAHF</v>
          </cell>
          <cell r="F315" t="str">
            <v>SUPER SENIOR</v>
          </cell>
          <cell r="G315">
            <v>10</v>
          </cell>
          <cell r="H315">
            <v>0</v>
          </cell>
          <cell r="I315">
            <v>0</v>
          </cell>
          <cell r="J315">
            <v>0</v>
          </cell>
          <cell r="K315">
            <v>0</v>
          </cell>
          <cell r="L315">
            <v>255</v>
          </cell>
          <cell r="M315">
            <v>255</v>
          </cell>
        </row>
        <row r="316">
          <cell r="C316" t="str">
            <v>D188</v>
          </cell>
          <cell r="D316" t="str">
            <v>AHMED MANHAL HUSSAIN</v>
          </cell>
          <cell r="E316" t="str">
            <v>FANT</v>
          </cell>
          <cell r="F316" t="str">
            <v>SUPER SENIOR</v>
          </cell>
          <cell r="G316">
            <v>10</v>
          </cell>
          <cell r="H316">
            <v>0</v>
          </cell>
          <cell r="I316">
            <v>0</v>
          </cell>
          <cell r="J316">
            <v>0</v>
          </cell>
          <cell r="K316">
            <v>0</v>
          </cell>
          <cell r="L316">
            <v>255</v>
          </cell>
          <cell r="M316">
            <v>255</v>
          </cell>
        </row>
        <row r="317">
          <cell r="C317" t="str">
            <v>D189</v>
          </cell>
          <cell r="D317" t="str">
            <v>ASGAR ALI</v>
          </cell>
          <cell r="E317" t="str">
            <v>BADF</v>
          </cell>
          <cell r="F317" t="str">
            <v>SUPER SENIOR</v>
          </cell>
          <cell r="G317">
            <v>10</v>
          </cell>
          <cell r="H317">
            <v>4</v>
          </cell>
          <cell r="I317">
            <v>0</v>
          </cell>
          <cell r="J317">
            <v>4</v>
          </cell>
          <cell r="K317">
            <v>4</v>
          </cell>
          <cell r="L317">
            <v>197</v>
          </cell>
          <cell r="M317">
            <v>197</v>
          </cell>
        </row>
        <row r="318">
          <cell r="C318" t="str">
            <v>D190</v>
          </cell>
          <cell r="D318" t="str">
            <v>MOHAMMED AMEEN B.A</v>
          </cell>
          <cell r="E318" t="str">
            <v>BADF</v>
          </cell>
          <cell r="F318" t="str">
            <v>SUPER SENIOR</v>
          </cell>
          <cell r="G318">
            <v>10</v>
          </cell>
          <cell r="H318">
            <v>0</v>
          </cell>
          <cell r="I318">
            <v>0</v>
          </cell>
          <cell r="J318">
            <v>0</v>
          </cell>
          <cell r="K318">
            <v>0</v>
          </cell>
          <cell r="L318">
            <v>255</v>
          </cell>
          <cell r="M318">
            <v>255</v>
          </cell>
        </row>
        <row r="319">
          <cell r="C319" t="str">
            <v>D191</v>
          </cell>
          <cell r="D319" t="str">
            <v>THAMJEED TM</v>
          </cell>
          <cell r="E319" t="str">
            <v>JARF</v>
          </cell>
          <cell r="F319" t="str">
            <v>SUPER SENIOR</v>
          </cell>
          <cell r="G319">
            <v>10</v>
          </cell>
          <cell r="H319">
            <v>6</v>
          </cell>
          <cell r="I319">
            <v>0</v>
          </cell>
          <cell r="J319">
            <v>6</v>
          </cell>
          <cell r="K319">
            <v>6</v>
          </cell>
          <cell r="L319">
            <v>171</v>
          </cell>
          <cell r="M319">
            <v>171</v>
          </cell>
        </row>
        <row r="320">
          <cell r="C320" t="str">
            <v>D192</v>
          </cell>
          <cell r="D320" t="str">
            <v>MUHAMMED SIFARATH T A</v>
          </cell>
          <cell r="E320" t="str">
            <v>DAHF</v>
          </cell>
          <cell r="F320" t="str">
            <v>SUPER SENIOR</v>
          </cell>
          <cell r="G320">
            <v>10</v>
          </cell>
          <cell r="H320">
            <v>3</v>
          </cell>
          <cell r="I320">
            <v>0</v>
          </cell>
          <cell r="J320">
            <v>3</v>
          </cell>
          <cell r="K320">
            <v>3</v>
          </cell>
          <cell r="L320">
            <v>209</v>
          </cell>
          <cell r="M320">
            <v>209</v>
          </cell>
        </row>
        <row r="321">
          <cell r="C321" t="str">
            <v>D193</v>
          </cell>
          <cell r="D321" t="str">
            <v>MUHAMMED ABDUL GHANI M.A</v>
          </cell>
          <cell r="E321" t="str">
            <v>JARF</v>
          </cell>
          <cell r="F321" t="str">
            <v>SUPER SENIOR</v>
          </cell>
          <cell r="G321">
            <v>10</v>
          </cell>
          <cell r="H321">
            <v>0</v>
          </cell>
          <cell r="I321">
            <v>0</v>
          </cell>
          <cell r="J321">
            <v>0</v>
          </cell>
          <cell r="K321">
            <v>0</v>
          </cell>
          <cell r="L321">
            <v>255</v>
          </cell>
          <cell r="M321">
            <v>255</v>
          </cell>
        </row>
        <row r="322">
          <cell r="C322" t="str">
            <v>D194</v>
          </cell>
          <cell r="D322" t="str">
            <v>AYAZ RAHMAN T</v>
          </cell>
          <cell r="E322" t="str">
            <v>JARF</v>
          </cell>
          <cell r="F322" t="str">
            <v>SUPER SENIOR</v>
          </cell>
          <cell r="G322">
            <v>10</v>
          </cell>
          <cell r="H322">
            <v>58</v>
          </cell>
          <cell r="I322">
            <v>0</v>
          </cell>
          <cell r="J322">
            <v>58</v>
          </cell>
          <cell r="K322">
            <v>58</v>
          </cell>
          <cell r="L322">
            <v>6</v>
          </cell>
          <cell r="M322">
            <v>6</v>
          </cell>
        </row>
        <row r="323">
          <cell r="C323" t="str">
            <v>D195</v>
          </cell>
          <cell r="D323" t="str">
            <v>AHMED SWALAHUDHEEN PI</v>
          </cell>
          <cell r="E323" t="str">
            <v>BADF</v>
          </cell>
          <cell r="F323" t="str">
            <v>SUPER SENIOR</v>
          </cell>
          <cell r="G323">
            <v>10</v>
          </cell>
          <cell r="H323">
            <v>36</v>
          </cell>
          <cell r="I323">
            <v>0</v>
          </cell>
          <cell r="J323">
            <v>36</v>
          </cell>
          <cell r="K323">
            <v>36</v>
          </cell>
          <cell r="L323">
            <v>31</v>
          </cell>
          <cell r="M323">
            <v>31</v>
          </cell>
        </row>
        <row r="324">
          <cell r="C324" t="str">
            <v>D196</v>
          </cell>
          <cell r="D324" t="str">
            <v>ABDUL VAJID K</v>
          </cell>
          <cell r="E324" t="str">
            <v>DAHF</v>
          </cell>
          <cell r="F324" t="str">
            <v>SUPER SENIOR</v>
          </cell>
          <cell r="G324">
            <v>10</v>
          </cell>
          <cell r="H324">
            <v>18</v>
          </cell>
          <cell r="I324">
            <v>0</v>
          </cell>
          <cell r="J324">
            <v>18</v>
          </cell>
          <cell r="K324">
            <v>18</v>
          </cell>
          <cell r="L324">
            <v>81</v>
          </cell>
          <cell r="M324">
            <v>81</v>
          </cell>
        </row>
        <row r="325">
          <cell r="C325" t="str">
            <v>D197</v>
          </cell>
          <cell r="D325" t="str">
            <v>MUHAMMED ASHFAK K</v>
          </cell>
          <cell r="E325" t="str">
            <v>DAHF</v>
          </cell>
          <cell r="F325" t="str">
            <v>SUPER SENIOR</v>
          </cell>
          <cell r="G325">
            <v>10</v>
          </cell>
          <cell r="H325">
            <v>0</v>
          </cell>
          <cell r="I325">
            <v>0</v>
          </cell>
          <cell r="J325">
            <v>0</v>
          </cell>
          <cell r="K325">
            <v>0</v>
          </cell>
          <cell r="L325">
            <v>255</v>
          </cell>
          <cell r="M325">
            <v>255</v>
          </cell>
        </row>
        <row r="326">
          <cell r="C326" t="str">
            <v>D198</v>
          </cell>
          <cell r="D326" t="str">
            <v>MUHAMMED SAFWAN</v>
          </cell>
          <cell r="E326" t="str">
            <v>FANT</v>
          </cell>
          <cell r="F326" t="str">
            <v>SUPER SENIOR</v>
          </cell>
          <cell r="G326">
            <v>10</v>
          </cell>
          <cell r="H326">
            <v>7</v>
          </cell>
          <cell r="I326">
            <v>0</v>
          </cell>
          <cell r="J326">
            <v>7</v>
          </cell>
          <cell r="K326">
            <v>7</v>
          </cell>
          <cell r="L326">
            <v>167</v>
          </cell>
          <cell r="M326">
            <v>167</v>
          </cell>
        </row>
        <row r="327">
          <cell r="C327" t="str">
            <v>D199</v>
          </cell>
          <cell r="D327" t="str">
            <v>Simsarul Haq VPM</v>
          </cell>
          <cell r="E327" t="str">
            <v>BADF</v>
          </cell>
          <cell r="F327" t="str">
            <v>SUPER SENIOR</v>
          </cell>
          <cell r="G327">
            <v>10</v>
          </cell>
          <cell r="H327">
            <v>0</v>
          </cell>
          <cell r="I327">
            <v>0</v>
          </cell>
          <cell r="J327">
            <v>0</v>
          </cell>
          <cell r="K327">
            <v>0</v>
          </cell>
          <cell r="L327">
            <v>255</v>
          </cell>
          <cell r="M327">
            <v>255</v>
          </cell>
        </row>
        <row r="328">
          <cell r="C328"/>
          <cell r="D328"/>
          <cell r="E328"/>
          <cell r="F328"/>
          <cell r="G328"/>
          <cell r="H328">
            <v>0</v>
          </cell>
          <cell r="I328">
            <v>0</v>
          </cell>
          <cell r="J328">
            <v>0</v>
          </cell>
          <cell r="K328" t="str">
            <v/>
          </cell>
          <cell r="L328">
            <v>255</v>
          </cell>
          <cell r="M328" t="str">
            <v/>
          </cell>
        </row>
        <row r="329">
          <cell r="C329"/>
          <cell r="D329"/>
          <cell r="E329"/>
          <cell r="F329"/>
          <cell r="G329"/>
          <cell r="H329">
            <v>0</v>
          </cell>
          <cell r="I329">
            <v>0</v>
          </cell>
          <cell r="J329">
            <v>0</v>
          </cell>
          <cell r="K329" t="str">
            <v/>
          </cell>
          <cell r="L329">
            <v>255</v>
          </cell>
          <cell r="M329" t="str">
            <v/>
          </cell>
        </row>
        <row r="330">
          <cell r="C330"/>
          <cell r="D330"/>
          <cell r="E330"/>
          <cell r="F330"/>
          <cell r="G330"/>
          <cell r="H330">
            <v>0</v>
          </cell>
          <cell r="I330">
            <v>0</v>
          </cell>
          <cell r="J330">
            <v>0</v>
          </cell>
          <cell r="K330" t="str">
            <v/>
          </cell>
          <cell r="L330">
            <v>255</v>
          </cell>
          <cell r="M330" t="str">
            <v/>
          </cell>
        </row>
        <row r="331">
          <cell r="C331"/>
          <cell r="D331"/>
          <cell r="E331"/>
          <cell r="F331"/>
          <cell r="G331"/>
          <cell r="H331">
            <v>0</v>
          </cell>
          <cell r="I331">
            <v>0</v>
          </cell>
          <cell r="J331">
            <v>0</v>
          </cell>
          <cell r="K331" t="str">
            <v/>
          </cell>
          <cell r="L331">
            <v>255</v>
          </cell>
          <cell r="M331" t="str">
            <v/>
          </cell>
        </row>
        <row r="332">
          <cell r="C332"/>
          <cell r="D332"/>
          <cell r="E332"/>
          <cell r="F332"/>
          <cell r="G332"/>
          <cell r="H332">
            <v>0</v>
          </cell>
          <cell r="I332">
            <v>0</v>
          </cell>
          <cell r="J332">
            <v>0</v>
          </cell>
          <cell r="K332" t="str">
            <v/>
          </cell>
          <cell r="L332">
            <v>255</v>
          </cell>
          <cell r="M332" t="str">
            <v/>
          </cell>
        </row>
        <row r="333">
          <cell r="C333"/>
          <cell r="D333"/>
          <cell r="E333"/>
          <cell r="F333"/>
          <cell r="G333"/>
          <cell r="H333">
            <v>0</v>
          </cell>
          <cell r="I333">
            <v>0</v>
          </cell>
          <cell r="J333">
            <v>0</v>
          </cell>
          <cell r="K333" t="str">
            <v/>
          </cell>
          <cell r="L333">
            <v>255</v>
          </cell>
          <cell r="M333" t="str">
            <v/>
          </cell>
        </row>
        <row r="334">
          <cell r="C334"/>
          <cell r="D334"/>
          <cell r="E334"/>
          <cell r="F334"/>
          <cell r="G334"/>
          <cell r="H334">
            <v>0</v>
          </cell>
          <cell r="I334">
            <v>0</v>
          </cell>
          <cell r="J334">
            <v>0</v>
          </cell>
          <cell r="K334" t="str">
            <v/>
          </cell>
          <cell r="L334">
            <v>255</v>
          </cell>
          <cell r="M334" t="str">
            <v/>
          </cell>
        </row>
        <row r="335">
          <cell r="C335"/>
          <cell r="D335"/>
          <cell r="E335"/>
          <cell r="F335"/>
          <cell r="G335"/>
          <cell r="H335">
            <v>0</v>
          </cell>
          <cell r="I335">
            <v>0</v>
          </cell>
          <cell r="J335">
            <v>0</v>
          </cell>
          <cell r="K335" t="str">
            <v/>
          </cell>
          <cell r="L335">
            <v>255</v>
          </cell>
          <cell r="M335" t="str">
            <v/>
          </cell>
        </row>
        <row r="336">
          <cell r="C336"/>
          <cell r="D336"/>
          <cell r="E336"/>
          <cell r="F336"/>
          <cell r="G336"/>
          <cell r="H336">
            <v>0</v>
          </cell>
          <cell r="I336">
            <v>0</v>
          </cell>
          <cell r="J336">
            <v>0</v>
          </cell>
          <cell r="K336" t="str">
            <v/>
          </cell>
          <cell r="L336">
            <v>255</v>
          </cell>
          <cell r="M336" t="str">
            <v/>
          </cell>
        </row>
        <row r="337">
          <cell r="C337"/>
          <cell r="D337"/>
          <cell r="E337"/>
          <cell r="F337"/>
          <cell r="G337"/>
          <cell r="H337">
            <v>0</v>
          </cell>
          <cell r="I337">
            <v>0</v>
          </cell>
          <cell r="J337">
            <v>0</v>
          </cell>
          <cell r="K337" t="str">
            <v/>
          </cell>
          <cell r="L337">
            <v>255</v>
          </cell>
          <cell r="M337" t="str">
            <v/>
          </cell>
        </row>
        <row r="338">
          <cell r="C338"/>
          <cell r="D338"/>
          <cell r="E338"/>
          <cell r="F338"/>
          <cell r="G338"/>
          <cell r="H338">
            <v>0</v>
          </cell>
          <cell r="I338">
            <v>0</v>
          </cell>
          <cell r="J338">
            <v>0</v>
          </cell>
          <cell r="K338" t="str">
            <v/>
          </cell>
          <cell r="L338">
            <v>255</v>
          </cell>
          <cell r="M338" t="str">
            <v/>
          </cell>
        </row>
        <row r="339">
          <cell r="C339"/>
          <cell r="D339"/>
          <cell r="E339"/>
          <cell r="F339"/>
          <cell r="G339"/>
          <cell r="H339">
            <v>0</v>
          </cell>
          <cell r="I339">
            <v>0</v>
          </cell>
          <cell r="J339">
            <v>0</v>
          </cell>
          <cell r="K339" t="str">
            <v/>
          </cell>
          <cell r="L339">
            <v>255</v>
          </cell>
          <cell r="M339" t="str">
            <v/>
          </cell>
        </row>
        <row r="340">
          <cell r="C340"/>
          <cell r="D340"/>
          <cell r="E340"/>
          <cell r="F340"/>
          <cell r="G340"/>
          <cell r="H340">
            <v>0</v>
          </cell>
          <cell r="I340">
            <v>0</v>
          </cell>
          <cell r="J340">
            <v>0</v>
          </cell>
          <cell r="K340" t="str">
            <v/>
          </cell>
          <cell r="L340">
            <v>255</v>
          </cell>
          <cell r="M340" t="str">
            <v/>
          </cell>
        </row>
        <row r="341">
          <cell r="C341"/>
          <cell r="D341"/>
          <cell r="E341"/>
          <cell r="F341"/>
          <cell r="G341"/>
          <cell r="H341">
            <v>0</v>
          </cell>
          <cell r="I341">
            <v>0</v>
          </cell>
          <cell r="J341">
            <v>0</v>
          </cell>
          <cell r="K341" t="str">
            <v/>
          </cell>
          <cell r="L341">
            <v>255</v>
          </cell>
          <cell r="M341" t="str">
            <v/>
          </cell>
        </row>
        <row r="342">
          <cell r="C342"/>
          <cell r="D342"/>
          <cell r="E342"/>
          <cell r="F342"/>
          <cell r="G342"/>
          <cell r="H342">
            <v>0</v>
          </cell>
          <cell r="I342">
            <v>0</v>
          </cell>
          <cell r="J342">
            <v>0</v>
          </cell>
          <cell r="K342" t="str">
            <v/>
          </cell>
          <cell r="L342">
            <v>255</v>
          </cell>
          <cell r="M342" t="str">
            <v/>
          </cell>
        </row>
        <row r="343">
          <cell r="C343"/>
          <cell r="D343"/>
          <cell r="E343"/>
          <cell r="F343"/>
          <cell r="G343"/>
          <cell r="H343">
            <v>0</v>
          </cell>
          <cell r="I343">
            <v>0</v>
          </cell>
          <cell r="J343">
            <v>0</v>
          </cell>
          <cell r="K343" t="str">
            <v/>
          </cell>
          <cell r="L343">
            <v>255</v>
          </cell>
          <cell r="M343" t="str">
            <v/>
          </cell>
        </row>
        <row r="344">
          <cell r="C344"/>
          <cell r="D344"/>
          <cell r="E344"/>
          <cell r="F344"/>
          <cell r="G344"/>
          <cell r="H344">
            <v>0</v>
          </cell>
          <cell r="I344">
            <v>0</v>
          </cell>
          <cell r="J344">
            <v>0</v>
          </cell>
          <cell r="K344" t="str">
            <v/>
          </cell>
          <cell r="L344">
            <v>255</v>
          </cell>
          <cell r="M344" t="str">
            <v/>
          </cell>
        </row>
        <row r="345">
          <cell r="C345"/>
          <cell r="D345"/>
          <cell r="E345"/>
          <cell r="F345"/>
          <cell r="G345"/>
          <cell r="H345">
            <v>0</v>
          </cell>
          <cell r="I345">
            <v>0</v>
          </cell>
          <cell r="J345">
            <v>0</v>
          </cell>
          <cell r="K345" t="str">
            <v/>
          </cell>
          <cell r="L345">
            <v>255</v>
          </cell>
          <cell r="M345" t="str">
            <v/>
          </cell>
        </row>
        <row r="346">
          <cell r="C346"/>
          <cell r="D346"/>
          <cell r="E346"/>
          <cell r="F346"/>
          <cell r="G346"/>
          <cell r="H346">
            <v>0</v>
          </cell>
          <cell r="I346">
            <v>0</v>
          </cell>
          <cell r="J346">
            <v>0</v>
          </cell>
          <cell r="K346" t="str">
            <v/>
          </cell>
          <cell r="L346">
            <v>255</v>
          </cell>
          <cell r="M346" t="str">
            <v/>
          </cell>
        </row>
        <row r="347">
          <cell r="C347"/>
          <cell r="D347"/>
          <cell r="E347"/>
          <cell r="F347"/>
          <cell r="G347"/>
          <cell r="H347">
            <v>0</v>
          </cell>
          <cell r="I347">
            <v>0</v>
          </cell>
          <cell r="J347">
            <v>0</v>
          </cell>
          <cell r="K347" t="str">
            <v/>
          </cell>
          <cell r="L347">
            <v>255</v>
          </cell>
          <cell r="M347" t="str">
            <v/>
          </cell>
        </row>
        <row r="348">
          <cell r="C348"/>
          <cell r="D348"/>
          <cell r="E348"/>
          <cell r="F348"/>
          <cell r="G348"/>
          <cell r="H348">
            <v>0</v>
          </cell>
          <cell r="I348">
            <v>0</v>
          </cell>
          <cell r="J348">
            <v>0</v>
          </cell>
          <cell r="K348" t="str">
            <v/>
          </cell>
          <cell r="L348">
            <v>255</v>
          </cell>
          <cell r="M348" t="str">
            <v/>
          </cell>
        </row>
        <row r="349">
          <cell r="C349"/>
          <cell r="D349"/>
          <cell r="E349"/>
          <cell r="F349"/>
          <cell r="G349"/>
          <cell r="H349">
            <v>0</v>
          </cell>
          <cell r="I349">
            <v>0</v>
          </cell>
          <cell r="J349">
            <v>0</v>
          </cell>
          <cell r="K349" t="str">
            <v/>
          </cell>
          <cell r="L349">
            <v>255</v>
          </cell>
          <cell r="M349" t="str">
            <v/>
          </cell>
        </row>
        <row r="350">
          <cell r="C350"/>
          <cell r="D350"/>
          <cell r="E350"/>
          <cell r="F350"/>
          <cell r="G350"/>
          <cell r="H350">
            <v>0</v>
          </cell>
          <cell r="I350">
            <v>0</v>
          </cell>
          <cell r="J350">
            <v>0</v>
          </cell>
          <cell r="K350" t="str">
            <v/>
          </cell>
          <cell r="L350">
            <v>255</v>
          </cell>
          <cell r="M350" t="str">
            <v/>
          </cell>
        </row>
        <row r="351">
          <cell r="C351"/>
          <cell r="D351"/>
          <cell r="E351"/>
          <cell r="F351"/>
          <cell r="G351"/>
          <cell r="H351">
            <v>0</v>
          </cell>
          <cell r="I351">
            <v>0</v>
          </cell>
          <cell r="J351">
            <v>0</v>
          </cell>
          <cell r="K351" t="str">
            <v/>
          </cell>
          <cell r="L351">
            <v>255</v>
          </cell>
          <cell r="M351" t="str">
            <v/>
          </cell>
        </row>
        <row r="352">
          <cell r="C352"/>
          <cell r="D352"/>
          <cell r="E352"/>
          <cell r="F352"/>
          <cell r="G352"/>
          <cell r="H352">
            <v>0</v>
          </cell>
          <cell r="I352">
            <v>0</v>
          </cell>
          <cell r="J352">
            <v>0</v>
          </cell>
          <cell r="K352" t="str">
            <v/>
          </cell>
          <cell r="L352">
            <v>255</v>
          </cell>
          <cell r="M352" t="str">
            <v/>
          </cell>
        </row>
        <row r="353">
          <cell r="C353"/>
          <cell r="D353"/>
          <cell r="E353"/>
          <cell r="F353"/>
          <cell r="G353"/>
          <cell r="H353">
            <v>0</v>
          </cell>
          <cell r="I353">
            <v>0</v>
          </cell>
          <cell r="J353">
            <v>0</v>
          </cell>
          <cell r="K353" t="str">
            <v/>
          </cell>
          <cell r="L353">
            <v>255</v>
          </cell>
          <cell r="M353" t="str">
            <v/>
          </cell>
        </row>
        <row r="354">
          <cell r="C354"/>
          <cell r="D354"/>
          <cell r="E354"/>
          <cell r="F354"/>
          <cell r="G354"/>
          <cell r="H354">
            <v>0</v>
          </cell>
          <cell r="I354">
            <v>0</v>
          </cell>
          <cell r="J354">
            <v>0</v>
          </cell>
          <cell r="K354" t="str">
            <v/>
          </cell>
          <cell r="L354">
            <v>255</v>
          </cell>
          <cell r="M354" t="str">
            <v/>
          </cell>
        </row>
        <row r="355">
          <cell r="C355"/>
          <cell r="D355"/>
          <cell r="E355"/>
          <cell r="F355"/>
          <cell r="G355"/>
          <cell r="H355">
            <v>0</v>
          </cell>
          <cell r="I355">
            <v>0</v>
          </cell>
          <cell r="J355">
            <v>0</v>
          </cell>
          <cell r="K355" t="str">
            <v/>
          </cell>
          <cell r="L355">
            <v>255</v>
          </cell>
          <cell r="M355" t="str">
            <v/>
          </cell>
        </row>
        <row r="356">
          <cell r="C356"/>
          <cell r="D356"/>
          <cell r="E356"/>
          <cell r="F356"/>
          <cell r="G356"/>
          <cell r="H356">
            <v>0</v>
          </cell>
          <cell r="I356">
            <v>0</v>
          </cell>
          <cell r="J356">
            <v>0</v>
          </cell>
          <cell r="K356" t="str">
            <v/>
          </cell>
          <cell r="L356">
            <v>255</v>
          </cell>
          <cell r="M356" t="str">
            <v/>
          </cell>
        </row>
        <row r="357">
          <cell r="C357"/>
          <cell r="D357"/>
          <cell r="E357"/>
          <cell r="F357"/>
          <cell r="G357"/>
          <cell r="H357">
            <v>0</v>
          </cell>
          <cell r="I357">
            <v>0</v>
          </cell>
          <cell r="J357">
            <v>0</v>
          </cell>
          <cell r="K357" t="str">
            <v/>
          </cell>
          <cell r="L357">
            <v>255</v>
          </cell>
          <cell r="M357" t="str">
            <v/>
          </cell>
        </row>
        <row r="358">
          <cell r="C358"/>
          <cell r="D358"/>
          <cell r="E358"/>
          <cell r="F358"/>
          <cell r="G358"/>
          <cell r="H358">
            <v>0</v>
          </cell>
          <cell r="I358">
            <v>0</v>
          </cell>
          <cell r="J358">
            <v>0</v>
          </cell>
          <cell r="K358" t="str">
            <v/>
          </cell>
          <cell r="L358">
            <v>255</v>
          </cell>
          <cell r="M358" t="str">
            <v/>
          </cell>
        </row>
        <row r="359">
          <cell r="C359"/>
          <cell r="D359"/>
          <cell r="E359"/>
          <cell r="F359"/>
          <cell r="G359"/>
          <cell r="H359">
            <v>0</v>
          </cell>
          <cell r="I359">
            <v>0</v>
          </cell>
          <cell r="J359">
            <v>0</v>
          </cell>
          <cell r="K359" t="str">
            <v/>
          </cell>
          <cell r="L359">
            <v>255</v>
          </cell>
          <cell r="M359" t="str">
            <v/>
          </cell>
        </row>
        <row r="360">
          <cell r="C360"/>
          <cell r="D360"/>
          <cell r="E360"/>
          <cell r="F360"/>
          <cell r="G360"/>
          <cell r="H360">
            <v>0</v>
          </cell>
          <cell r="I360">
            <v>0</v>
          </cell>
          <cell r="J360">
            <v>0</v>
          </cell>
          <cell r="K360" t="str">
            <v/>
          </cell>
          <cell r="L360">
            <v>255</v>
          </cell>
          <cell r="M360" t="str">
            <v/>
          </cell>
        </row>
        <row r="361">
          <cell r="C361"/>
          <cell r="D361"/>
          <cell r="E361"/>
          <cell r="F361"/>
          <cell r="G361"/>
          <cell r="H361">
            <v>0</v>
          </cell>
          <cell r="I361">
            <v>0</v>
          </cell>
          <cell r="J361">
            <v>0</v>
          </cell>
          <cell r="K361" t="str">
            <v/>
          </cell>
          <cell r="L361">
            <v>255</v>
          </cell>
          <cell r="M361" t="str">
            <v/>
          </cell>
        </row>
        <row r="362">
          <cell r="C362"/>
          <cell r="D362"/>
          <cell r="E362"/>
          <cell r="F362"/>
          <cell r="G362"/>
          <cell r="H362">
            <v>0</v>
          </cell>
          <cell r="I362">
            <v>0</v>
          </cell>
          <cell r="J362">
            <v>0</v>
          </cell>
          <cell r="K362" t="str">
            <v/>
          </cell>
          <cell r="L362">
            <v>255</v>
          </cell>
          <cell r="M362" t="str">
            <v/>
          </cell>
        </row>
        <row r="363">
          <cell r="C363"/>
          <cell r="D363"/>
          <cell r="E363"/>
          <cell r="F363"/>
          <cell r="G363"/>
          <cell r="H363">
            <v>0</v>
          </cell>
          <cell r="I363">
            <v>0</v>
          </cell>
          <cell r="J363">
            <v>0</v>
          </cell>
          <cell r="K363" t="str">
            <v/>
          </cell>
          <cell r="L363">
            <v>255</v>
          </cell>
          <cell r="M363" t="str">
            <v/>
          </cell>
        </row>
        <row r="364">
          <cell r="C364"/>
          <cell r="D364"/>
          <cell r="E364"/>
          <cell r="F364"/>
          <cell r="G364"/>
          <cell r="H364">
            <v>0</v>
          </cell>
          <cell r="I364">
            <v>0</v>
          </cell>
          <cell r="J364">
            <v>0</v>
          </cell>
          <cell r="K364" t="str">
            <v/>
          </cell>
          <cell r="L364">
            <v>255</v>
          </cell>
          <cell r="M364" t="str">
            <v/>
          </cell>
        </row>
        <row r="365">
          <cell r="C365"/>
          <cell r="D365"/>
          <cell r="E365"/>
          <cell r="F365"/>
          <cell r="G365"/>
          <cell r="H365">
            <v>0</v>
          </cell>
          <cell r="I365">
            <v>0</v>
          </cell>
          <cell r="J365">
            <v>0</v>
          </cell>
          <cell r="K365" t="str">
            <v/>
          </cell>
          <cell r="L365">
            <v>255</v>
          </cell>
          <cell r="M365" t="str">
            <v/>
          </cell>
        </row>
        <row r="366">
          <cell r="C366"/>
          <cell r="D366"/>
          <cell r="E366"/>
          <cell r="F366"/>
          <cell r="G366"/>
          <cell r="H366">
            <v>0</v>
          </cell>
          <cell r="I366">
            <v>0</v>
          </cell>
          <cell r="J366">
            <v>0</v>
          </cell>
          <cell r="K366" t="str">
            <v/>
          </cell>
          <cell r="L366">
            <v>255</v>
          </cell>
          <cell r="M366" t="str">
            <v/>
          </cell>
        </row>
        <row r="367">
          <cell r="C367"/>
          <cell r="D367"/>
          <cell r="E367"/>
          <cell r="F367"/>
          <cell r="G367"/>
          <cell r="H367">
            <v>0</v>
          </cell>
          <cell r="I367">
            <v>0</v>
          </cell>
          <cell r="J367">
            <v>0</v>
          </cell>
          <cell r="K367" t="str">
            <v/>
          </cell>
          <cell r="L367">
            <v>255</v>
          </cell>
          <cell r="M367" t="str">
            <v/>
          </cell>
        </row>
        <row r="368">
          <cell r="C368"/>
          <cell r="D368"/>
          <cell r="E368"/>
          <cell r="F368"/>
          <cell r="G368"/>
          <cell r="H368">
            <v>0</v>
          </cell>
          <cell r="I368">
            <v>0</v>
          </cell>
          <cell r="J368">
            <v>0</v>
          </cell>
          <cell r="K368" t="str">
            <v/>
          </cell>
          <cell r="L368">
            <v>255</v>
          </cell>
          <cell r="M368" t="str">
            <v/>
          </cell>
        </row>
        <row r="369">
          <cell r="C369"/>
          <cell r="D369"/>
          <cell r="E369"/>
          <cell r="F369"/>
          <cell r="G369"/>
          <cell r="H369">
            <v>0</v>
          </cell>
          <cell r="I369">
            <v>0</v>
          </cell>
          <cell r="J369">
            <v>0</v>
          </cell>
          <cell r="K369" t="str">
            <v/>
          </cell>
          <cell r="L369">
            <v>255</v>
          </cell>
          <cell r="M369" t="str">
            <v/>
          </cell>
        </row>
        <row r="370">
          <cell r="C370"/>
          <cell r="D370"/>
          <cell r="E370"/>
          <cell r="F370"/>
          <cell r="G370"/>
          <cell r="H370">
            <v>0</v>
          </cell>
          <cell r="I370">
            <v>0</v>
          </cell>
          <cell r="J370">
            <v>0</v>
          </cell>
          <cell r="K370" t="str">
            <v/>
          </cell>
          <cell r="L370">
            <v>255</v>
          </cell>
          <cell r="M370" t="str">
            <v/>
          </cell>
        </row>
        <row r="371">
          <cell r="C371"/>
          <cell r="D371"/>
          <cell r="E371"/>
          <cell r="F371"/>
          <cell r="G371"/>
          <cell r="H371">
            <v>0</v>
          </cell>
          <cell r="I371">
            <v>0</v>
          </cell>
          <cell r="J371">
            <v>0</v>
          </cell>
          <cell r="K371" t="str">
            <v/>
          </cell>
          <cell r="L371">
            <v>255</v>
          </cell>
          <cell r="M371" t="str">
            <v/>
          </cell>
        </row>
        <row r="372">
          <cell r="C372"/>
          <cell r="D372"/>
          <cell r="E372"/>
          <cell r="F372"/>
          <cell r="G372"/>
          <cell r="H372">
            <v>0</v>
          </cell>
          <cell r="I372">
            <v>0</v>
          </cell>
          <cell r="J372">
            <v>0</v>
          </cell>
          <cell r="K372" t="str">
            <v/>
          </cell>
          <cell r="L372">
            <v>255</v>
          </cell>
          <cell r="M372" t="str">
            <v/>
          </cell>
        </row>
        <row r="373">
          <cell r="C373"/>
          <cell r="D373"/>
          <cell r="E373"/>
          <cell r="F373"/>
          <cell r="G373"/>
          <cell r="H373">
            <v>0</v>
          </cell>
          <cell r="I373">
            <v>0</v>
          </cell>
          <cell r="J373">
            <v>0</v>
          </cell>
          <cell r="K373" t="str">
            <v/>
          </cell>
          <cell r="L373">
            <v>255</v>
          </cell>
          <cell r="M373" t="str">
            <v/>
          </cell>
        </row>
        <row r="374">
          <cell r="C374"/>
          <cell r="D374"/>
          <cell r="E374"/>
          <cell r="F374"/>
          <cell r="G374"/>
          <cell r="H374">
            <v>0</v>
          </cell>
          <cell r="I374">
            <v>0</v>
          </cell>
          <cell r="J374">
            <v>0</v>
          </cell>
          <cell r="K374" t="str">
            <v/>
          </cell>
          <cell r="L374">
            <v>255</v>
          </cell>
          <cell r="M374" t="str">
            <v/>
          </cell>
        </row>
        <row r="375">
          <cell r="C375"/>
          <cell r="D375"/>
          <cell r="E375"/>
          <cell r="F375"/>
          <cell r="G375"/>
          <cell r="H375">
            <v>0</v>
          </cell>
          <cell r="I375">
            <v>0</v>
          </cell>
          <cell r="J375">
            <v>0</v>
          </cell>
          <cell r="K375" t="str">
            <v/>
          </cell>
          <cell r="L375">
            <v>255</v>
          </cell>
          <cell r="M375" t="str">
            <v/>
          </cell>
        </row>
        <row r="376">
          <cell r="C376"/>
          <cell r="D376"/>
          <cell r="E376"/>
          <cell r="F376"/>
          <cell r="G376"/>
          <cell r="H376">
            <v>0</v>
          </cell>
          <cell r="I376">
            <v>0</v>
          </cell>
          <cell r="J376">
            <v>0</v>
          </cell>
          <cell r="K376" t="str">
            <v/>
          </cell>
          <cell r="L376">
            <v>255</v>
          </cell>
          <cell r="M376" t="str">
            <v/>
          </cell>
        </row>
        <row r="377">
          <cell r="C377"/>
          <cell r="D377"/>
          <cell r="E377"/>
          <cell r="F377"/>
          <cell r="G377"/>
          <cell r="H377">
            <v>0</v>
          </cell>
          <cell r="I377">
            <v>0</v>
          </cell>
          <cell r="J377">
            <v>0</v>
          </cell>
          <cell r="K377" t="str">
            <v/>
          </cell>
          <cell r="L377">
            <v>255</v>
          </cell>
          <cell r="M377" t="str">
            <v/>
          </cell>
        </row>
        <row r="378">
          <cell r="C378"/>
          <cell r="D378"/>
          <cell r="E378"/>
          <cell r="F378"/>
          <cell r="G378"/>
          <cell r="H378">
            <v>0</v>
          </cell>
          <cell r="I378">
            <v>0</v>
          </cell>
          <cell r="J378">
            <v>0</v>
          </cell>
          <cell r="K378" t="str">
            <v/>
          </cell>
          <cell r="L378">
            <v>255</v>
          </cell>
          <cell r="M378" t="str">
            <v/>
          </cell>
        </row>
        <row r="379">
          <cell r="C379"/>
          <cell r="D379"/>
          <cell r="E379"/>
          <cell r="F379"/>
          <cell r="G379"/>
          <cell r="H379">
            <v>0</v>
          </cell>
          <cell r="I379">
            <v>0</v>
          </cell>
          <cell r="J379">
            <v>0</v>
          </cell>
          <cell r="K379" t="str">
            <v/>
          </cell>
          <cell r="L379">
            <v>255</v>
          </cell>
          <cell r="M379" t="str">
            <v/>
          </cell>
        </row>
        <row r="380">
          <cell r="C380"/>
          <cell r="D380"/>
          <cell r="E380"/>
          <cell r="F380"/>
          <cell r="G380"/>
          <cell r="H380">
            <v>0</v>
          </cell>
          <cell r="I380">
            <v>0</v>
          </cell>
          <cell r="J380">
            <v>0</v>
          </cell>
          <cell r="K380" t="str">
            <v/>
          </cell>
          <cell r="L380">
            <v>255</v>
          </cell>
          <cell r="M380" t="str">
            <v/>
          </cell>
        </row>
        <row r="381">
          <cell r="C381"/>
          <cell r="D381"/>
          <cell r="E381"/>
          <cell r="F381"/>
          <cell r="G381"/>
          <cell r="H381">
            <v>0</v>
          </cell>
          <cell r="I381">
            <v>0</v>
          </cell>
          <cell r="J381">
            <v>0</v>
          </cell>
          <cell r="K381" t="str">
            <v/>
          </cell>
          <cell r="L381">
            <v>255</v>
          </cell>
          <cell r="M381" t="str">
            <v/>
          </cell>
        </row>
        <row r="382">
          <cell r="C382"/>
          <cell r="D382"/>
          <cell r="E382"/>
          <cell r="F382"/>
          <cell r="G382"/>
          <cell r="H382">
            <v>0</v>
          </cell>
          <cell r="I382">
            <v>0</v>
          </cell>
          <cell r="J382">
            <v>0</v>
          </cell>
          <cell r="K382" t="str">
            <v/>
          </cell>
          <cell r="L382">
            <v>255</v>
          </cell>
          <cell r="M382" t="str">
            <v/>
          </cell>
        </row>
        <row r="383">
          <cell r="C383"/>
          <cell r="D383"/>
          <cell r="E383"/>
          <cell r="F383"/>
          <cell r="G383"/>
          <cell r="H383">
            <v>0</v>
          </cell>
          <cell r="I383">
            <v>0</v>
          </cell>
          <cell r="J383">
            <v>0</v>
          </cell>
          <cell r="K383" t="str">
            <v/>
          </cell>
          <cell r="L383">
            <v>255</v>
          </cell>
          <cell r="M383" t="str">
            <v/>
          </cell>
        </row>
        <row r="384">
          <cell r="C384"/>
          <cell r="D384"/>
          <cell r="E384"/>
          <cell r="F384"/>
          <cell r="G384"/>
          <cell r="H384">
            <v>0</v>
          </cell>
          <cell r="I384">
            <v>0</v>
          </cell>
          <cell r="J384">
            <v>0</v>
          </cell>
          <cell r="K384" t="str">
            <v/>
          </cell>
          <cell r="L384">
            <v>255</v>
          </cell>
          <cell r="M384" t="str">
            <v/>
          </cell>
        </row>
        <row r="385">
          <cell r="C385"/>
          <cell r="D385"/>
          <cell r="E385"/>
          <cell r="F385"/>
          <cell r="G385"/>
          <cell r="H385">
            <v>0</v>
          </cell>
          <cell r="I385">
            <v>0</v>
          </cell>
          <cell r="J385">
            <v>0</v>
          </cell>
          <cell r="K385" t="str">
            <v/>
          </cell>
          <cell r="L385">
            <v>255</v>
          </cell>
          <cell r="M385" t="str">
            <v/>
          </cell>
        </row>
        <row r="386">
          <cell r="C386"/>
          <cell r="D386"/>
          <cell r="E386"/>
          <cell r="F386"/>
          <cell r="G386"/>
          <cell r="H386">
            <v>0</v>
          </cell>
          <cell r="I386">
            <v>0</v>
          </cell>
          <cell r="J386">
            <v>0</v>
          </cell>
          <cell r="K386" t="str">
            <v/>
          </cell>
          <cell r="L386">
            <v>255</v>
          </cell>
          <cell r="M386" t="str">
            <v/>
          </cell>
        </row>
        <row r="387">
          <cell r="C387"/>
          <cell r="D387"/>
          <cell r="E387"/>
          <cell r="F387"/>
          <cell r="G387"/>
          <cell r="H387">
            <v>0</v>
          </cell>
          <cell r="I387">
            <v>0</v>
          </cell>
          <cell r="J387">
            <v>0</v>
          </cell>
          <cell r="K387" t="str">
            <v/>
          </cell>
          <cell r="L387">
            <v>255</v>
          </cell>
          <cell r="M387" t="str">
            <v/>
          </cell>
        </row>
        <row r="388">
          <cell r="C388"/>
          <cell r="D388"/>
          <cell r="E388"/>
          <cell r="F388"/>
          <cell r="G388"/>
          <cell r="H388">
            <v>0</v>
          </cell>
          <cell r="I388">
            <v>0</v>
          </cell>
          <cell r="J388">
            <v>0</v>
          </cell>
          <cell r="K388" t="str">
            <v/>
          </cell>
          <cell r="L388">
            <v>255</v>
          </cell>
          <cell r="M388" t="str">
            <v/>
          </cell>
        </row>
        <row r="389">
          <cell r="C389"/>
          <cell r="D389"/>
          <cell r="E389"/>
          <cell r="F389"/>
          <cell r="G389"/>
          <cell r="H389">
            <v>0</v>
          </cell>
          <cell r="I389">
            <v>0</v>
          </cell>
          <cell r="J389">
            <v>0</v>
          </cell>
          <cell r="K389" t="str">
            <v/>
          </cell>
          <cell r="L389">
            <v>255</v>
          </cell>
          <cell r="M389" t="str">
            <v/>
          </cell>
        </row>
        <row r="390">
          <cell r="C390"/>
          <cell r="D390"/>
          <cell r="E390"/>
          <cell r="F390"/>
          <cell r="G390"/>
          <cell r="H390">
            <v>0</v>
          </cell>
          <cell r="I390">
            <v>0</v>
          </cell>
          <cell r="J390">
            <v>0</v>
          </cell>
          <cell r="K390" t="str">
            <v/>
          </cell>
          <cell r="L390">
            <v>255</v>
          </cell>
          <cell r="M390" t="str">
            <v/>
          </cell>
        </row>
        <row r="391">
          <cell r="C391"/>
          <cell r="D391"/>
          <cell r="E391"/>
          <cell r="F391"/>
          <cell r="G391"/>
          <cell r="H391">
            <v>0</v>
          </cell>
          <cell r="I391">
            <v>0</v>
          </cell>
          <cell r="J391">
            <v>0</v>
          </cell>
          <cell r="K391" t="str">
            <v/>
          </cell>
          <cell r="L391">
            <v>255</v>
          </cell>
          <cell r="M391" t="str">
            <v/>
          </cell>
        </row>
        <row r="392">
          <cell r="C392"/>
          <cell r="D392"/>
          <cell r="E392"/>
          <cell r="F392"/>
          <cell r="G392"/>
          <cell r="H392">
            <v>0</v>
          </cell>
          <cell r="I392">
            <v>0</v>
          </cell>
          <cell r="J392">
            <v>0</v>
          </cell>
          <cell r="K392" t="str">
            <v/>
          </cell>
          <cell r="L392">
            <v>255</v>
          </cell>
          <cell r="M392" t="str">
            <v/>
          </cell>
        </row>
        <row r="393">
          <cell r="C393"/>
          <cell r="D393"/>
          <cell r="E393"/>
          <cell r="F393"/>
          <cell r="G393"/>
          <cell r="H393">
            <v>0</v>
          </cell>
          <cell r="I393">
            <v>0</v>
          </cell>
          <cell r="J393">
            <v>0</v>
          </cell>
          <cell r="K393" t="str">
            <v/>
          </cell>
          <cell r="L393">
            <v>255</v>
          </cell>
          <cell r="M393" t="str">
            <v/>
          </cell>
        </row>
        <row r="394">
          <cell r="C394"/>
          <cell r="D394"/>
          <cell r="E394"/>
          <cell r="F394"/>
          <cell r="G394"/>
          <cell r="H394">
            <v>0</v>
          </cell>
          <cell r="I394">
            <v>0</v>
          </cell>
          <cell r="J394">
            <v>0</v>
          </cell>
          <cell r="K394" t="str">
            <v/>
          </cell>
          <cell r="L394">
            <v>255</v>
          </cell>
          <cell r="M394" t="str">
            <v/>
          </cell>
        </row>
        <row r="395">
          <cell r="C395"/>
          <cell r="D395"/>
          <cell r="E395"/>
          <cell r="F395"/>
          <cell r="G395"/>
          <cell r="H395">
            <v>0</v>
          </cell>
          <cell r="I395">
            <v>0</v>
          </cell>
          <cell r="J395">
            <v>0</v>
          </cell>
          <cell r="K395" t="str">
            <v/>
          </cell>
          <cell r="L395">
            <v>255</v>
          </cell>
          <cell r="M395" t="str">
            <v/>
          </cell>
        </row>
        <row r="396">
          <cell r="C396"/>
          <cell r="D396"/>
          <cell r="E396"/>
          <cell r="F396"/>
          <cell r="G396"/>
          <cell r="H396">
            <v>0</v>
          </cell>
          <cell r="I396">
            <v>0</v>
          </cell>
          <cell r="J396">
            <v>0</v>
          </cell>
          <cell r="K396" t="str">
            <v/>
          </cell>
          <cell r="L396">
            <v>255</v>
          </cell>
          <cell r="M396" t="str">
            <v/>
          </cell>
        </row>
        <row r="397">
          <cell r="C397"/>
          <cell r="D397"/>
          <cell r="E397"/>
          <cell r="F397"/>
          <cell r="G397"/>
          <cell r="H397">
            <v>0</v>
          </cell>
          <cell r="I397">
            <v>0</v>
          </cell>
          <cell r="J397">
            <v>0</v>
          </cell>
          <cell r="K397" t="str">
            <v/>
          </cell>
          <cell r="L397">
            <v>255</v>
          </cell>
          <cell r="M397" t="str">
            <v/>
          </cell>
        </row>
        <row r="398">
          <cell r="C398"/>
          <cell r="D398"/>
          <cell r="E398"/>
          <cell r="F398"/>
          <cell r="G398"/>
          <cell r="H398">
            <v>0</v>
          </cell>
          <cell r="I398">
            <v>0</v>
          </cell>
          <cell r="J398">
            <v>0</v>
          </cell>
          <cell r="K398" t="str">
            <v/>
          </cell>
          <cell r="L398">
            <v>255</v>
          </cell>
          <cell r="M398" t="str">
            <v/>
          </cell>
        </row>
        <row r="399">
          <cell r="C399"/>
          <cell r="D399"/>
          <cell r="E399"/>
          <cell r="F399"/>
          <cell r="G399"/>
          <cell r="H399">
            <v>0</v>
          </cell>
          <cell r="I399">
            <v>0</v>
          </cell>
          <cell r="J399">
            <v>0</v>
          </cell>
          <cell r="K399" t="str">
            <v/>
          </cell>
          <cell r="L399">
            <v>255</v>
          </cell>
          <cell r="M399" t="str">
            <v/>
          </cell>
        </row>
        <row r="400">
          <cell r="C400"/>
          <cell r="D400"/>
          <cell r="E400"/>
          <cell r="F400"/>
          <cell r="G400"/>
          <cell r="H400">
            <v>0</v>
          </cell>
          <cell r="I400">
            <v>0</v>
          </cell>
          <cell r="J400">
            <v>0</v>
          </cell>
          <cell r="K400" t="str">
            <v/>
          </cell>
          <cell r="L400">
            <v>255</v>
          </cell>
          <cell r="M400" t="str">
            <v/>
          </cell>
        </row>
        <row r="401">
          <cell r="C401"/>
          <cell r="D401"/>
          <cell r="E401"/>
          <cell r="F401"/>
          <cell r="G401"/>
          <cell r="H401">
            <v>0</v>
          </cell>
          <cell r="I401">
            <v>0</v>
          </cell>
          <cell r="J401">
            <v>0</v>
          </cell>
          <cell r="K401" t="str">
            <v/>
          </cell>
          <cell r="L401">
            <v>255</v>
          </cell>
          <cell r="M401" t="str">
            <v/>
          </cell>
        </row>
        <row r="402">
          <cell r="C402"/>
          <cell r="D402"/>
          <cell r="E402"/>
          <cell r="F402"/>
          <cell r="G402"/>
          <cell r="H402">
            <v>0</v>
          </cell>
          <cell r="I402">
            <v>0</v>
          </cell>
          <cell r="J402">
            <v>0</v>
          </cell>
          <cell r="K402" t="str">
            <v/>
          </cell>
          <cell r="L402">
            <v>255</v>
          </cell>
          <cell r="M402" t="str">
            <v/>
          </cell>
        </row>
        <row r="403">
          <cell r="C403"/>
          <cell r="D403"/>
          <cell r="E403"/>
          <cell r="F403"/>
          <cell r="G403"/>
          <cell r="H403">
            <v>0</v>
          </cell>
          <cell r="I403">
            <v>0</v>
          </cell>
          <cell r="J403">
            <v>0</v>
          </cell>
          <cell r="K403" t="str">
            <v/>
          </cell>
          <cell r="L403">
            <v>255</v>
          </cell>
          <cell r="M403" t="str">
            <v/>
          </cell>
        </row>
        <row r="404">
          <cell r="C404"/>
          <cell r="D404"/>
          <cell r="E404"/>
          <cell r="F404"/>
          <cell r="G404"/>
          <cell r="H404">
            <v>0</v>
          </cell>
          <cell r="I404">
            <v>0</v>
          </cell>
          <cell r="J404">
            <v>0</v>
          </cell>
          <cell r="K404" t="str">
            <v/>
          </cell>
          <cell r="L404">
            <v>255</v>
          </cell>
          <cell r="M404" t="str">
            <v/>
          </cell>
        </row>
        <row r="405">
          <cell r="C405"/>
          <cell r="D405"/>
          <cell r="E405"/>
          <cell r="F405"/>
          <cell r="G405"/>
          <cell r="H405">
            <v>0</v>
          </cell>
          <cell r="I405">
            <v>0</v>
          </cell>
          <cell r="J405">
            <v>0</v>
          </cell>
          <cell r="K405" t="str">
            <v/>
          </cell>
          <cell r="L405">
            <v>255</v>
          </cell>
          <cell r="M405" t="str">
            <v/>
          </cell>
        </row>
        <row r="406">
          <cell r="C406"/>
          <cell r="D406"/>
          <cell r="E406"/>
          <cell r="F406"/>
          <cell r="G406"/>
          <cell r="H406">
            <v>0</v>
          </cell>
          <cell r="I406">
            <v>0</v>
          </cell>
          <cell r="J406">
            <v>0</v>
          </cell>
          <cell r="K406" t="str">
            <v/>
          </cell>
          <cell r="L406">
            <v>255</v>
          </cell>
          <cell r="M406" t="str">
            <v/>
          </cell>
        </row>
        <row r="407">
          <cell r="C407"/>
          <cell r="D407"/>
          <cell r="E407"/>
          <cell r="F407"/>
          <cell r="G407"/>
          <cell r="H407">
            <v>0</v>
          </cell>
          <cell r="I407">
            <v>0</v>
          </cell>
          <cell r="J407">
            <v>0</v>
          </cell>
          <cell r="K407" t="str">
            <v/>
          </cell>
          <cell r="L407">
            <v>255</v>
          </cell>
          <cell r="M407" t="str">
            <v/>
          </cell>
        </row>
        <row r="408">
          <cell r="C408"/>
          <cell r="D408"/>
          <cell r="E408"/>
          <cell r="F408"/>
          <cell r="G408"/>
          <cell r="H408">
            <v>0</v>
          </cell>
          <cell r="I408">
            <v>0</v>
          </cell>
          <cell r="J408">
            <v>0</v>
          </cell>
          <cell r="K408" t="str">
            <v/>
          </cell>
          <cell r="L408">
            <v>255</v>
          </cell>
          <cell r="M408" t="str">
            <v/>
          </cell>
        </row>
        <row r="409">
          <cell r="C409"/>
          <cell r="D409"/>
          <cell r="E409"/>
          <cell r="F409"/>
          <cell r="G409"/>
          <cell r="H409">
            <v>0</v>
          </cell>
          <cell r="I409">
            <v>0</v>
          </cell>
          <cell r="J409">
            <v>0</v>
          </cell>
          <cell r="K409" t="str">
            <v/>
          </cell>
          <cell r="L409">
            <v>255</v>
          </cell>
          <cell r="M409" t="str">
            <v/>
          </cell>
        </row>
        <row r="410">
          <cell r="C410"/>
          <cell r="D410"/>
          <cell r="E410"/>
          <cell r="F410"/>
          <cell r="G410"/>
          <cell r="H410">
            <v>0</v>
          </cell>
          <cell r="I410">
            <v>0</v>
          </cell>
          <cell r="J410">
            <v>0</v>
          </cell>
          <cell r="K410" t="str">
            <v/>
          </cell>
          <cell r="L410">
            <v>255</v>
          </cell>
          <cell r="M410" t="str">
            <v/>
          </cell>
        </row>
        <row r="411">
          <cell r="C411"/>
          <cell r="D411"/>
          <cell r="E411"/>
          <cell r="F411"/>
          <cell r="G411"/>
          <cell r="H411">
            <v>0</v>
          </cell>
          <cell r="I411">
            <v>0</v>
          </cell>
          <cell r="J411">
            <v>0</v>
          </cell>
          <cell r="K411" t="str">
            <v/>
          </cell>
          <cell r="L411">
            <v>255</v>
          </cell>
          <cell r="M411" t="str">
            <v/>
          </cell>
        </row>
        <row r="412">
          <cell r="C412"/>
          <cell r="D412"/>
          <cell r="E412"/>
          <cell r="F412"/>
          <cell r="G412"/>
          <cell r="H412">
            <v>0</v>
          </cell>
          <cell r="I412">
            <v>0</v>
          </cell>
          <cell r="J412">
            <v>0</v>
          </cell>
          <cell r="K412" t="str">
            <v/>
          </cell>
          <cell r="L412">
            <v>255</v>
          </cell>
          <cell r="M412" t="str">
            <v/>
          </cell>
        </row>
        <row r="413">
          <cell r="C413"/>
          <cell r="D413"/>
          <cell r="E413"/>
          <cell r="F413"/>
          <cell r="G413"/>
          <cell r="H413">
            <v>0</v>
          </cell>
          <cell r="I413">
            <v>0</v>
          </cell>
          <cell r="J413">
            <v>0</v>
          </cell>
          <cell r="K413" t="str">
            <v/>
          </cell>
          <cell r="L413">
            <v>255</v>
          </cell>
          <cell r="M413" t="str">
            <v/>
          </cell>
        </row>
        <row r="414">
          <cell r="C414"/>
          <cell r="D414"/>
          <cell r="E414"/>
          <cell r="F414"/>
          <cell r="G414"/>
          <cell r="H414">
            <v>0</v>
          </cell>
          <cell r="I414">
            <v>0</v>
          </cell>
          <cell r="J414">
            <v>0</v>
          </cell>
          <cell r="K414" t="str">
            <v/>
          </cell>
          <cell r="L414">
            <v>255</v>
          </cell>
          <cell r="M414" t="str">
            <v/>
          </cell>
        </row>
        <row r="415">
          <cell r="C415"/>
          <cell r="D415"/>
          <cell r="E415"/>
          <cell r="F415"/>
          <cell r="G415"/>
          <cell r="H415">
            <v>0</v>
          </cell>
          <cell r="I415">
            <v>0</v>
          </cell>
          <cell r="J415">
            <v>0</v>
          </cell>
          <cell r="K415" t="str">
            <v/>
          </cell>
          <cell r="L415">
            <v>255</v>
          </cell>
          <cell r="M415" t="str">
            <v/>
          </cell>
        </row>
        <row r="416">
          <cell r="C416"/>
          <cell r="D416"/>
          <cell r="E416"/>
          <cell r="F416"/>
          <cell r="G416"/>
          <cell r="H416">
            <v>0</v>
          </cell>
          <cell r="I416">
            <v>0</v>
          </cell>
          <cell r="J416">
            <v>0</v>
          </cell>
          <cell r="K416" t="str">
            <v/>
          </cell>
          <cell r="L416">
            <v>255</v>
          </cell>
          <cell r="M416" t="str">
            <v/>
          </cell>
        </row>
        <row r="417">
          <cell r="C417"/>
          <cell r="D417"/>
          <cell r="E417"/>
          <cell r="F417"/>
          <cell r="G417"/>
          <cell r="H417">
            <v>0</v>
          </cell>
          <cell r="I417">
            <v>0</v>
          </cell>
          <cell r="J417">
            <v>0</v>
          </cell>
          <cell r="K417" t="str">
            <v/>
          </cell>
          <cell r="L417">
            <v>255</v>
          </cell>
          <cell r="M417" t="str">
            <v/>
          </cell>
        </row>
        <row r="418">
          <cell r="C418"/>
          <cell r="D418"/>
          <cell r="E418"/>
          <cell r="F418"/>
          <cell r="G418"/>
          <cell r="H418">
            <v>0</v>
          </cell>
          <cell r="I418">
            <v>0</v>
          </cell>
          <cell r="J418">
            <v>0</v>
          </cell>
          <cell r="K418" t="str">
            <v/>
          </cell>
          <cell r="L418">
            <v>255</v>
          </cell>
          <cell r="M418" t="str">
            <v/>
          </cell>
        </row>
        <row r="419">
          <cell r="C419"/>
          <cell r="D419"/>
          <cell r="E419"/>
          <cell r="F419"/>
          <cell r="G419"/>
          <cell r="H419">
            <v>0</v>
          </cell>
          <cell r="I419">
            <v>0</v>
          </cell>
          <cell r="J419">
            <v>0</v>
          </cell>
          <cell r="K419" t="str">
            <v/>
          </cell>
          <cell r="L419">
            <v>255</v>
          </cell>
          <cell r="M419" t="str">
            <v/>
          </cell>
        </row>
        <row r="420">
          <cell r="C420"/>
          <cell r="D420"/>
          <cell r="E420"/>
          <cell r="F420"/>
          <cell r="G420"/>
          <cell r="H420">
            <v>0</v>
          </cell>
          <cell r="I420">
            <v>0</v>
          </cell>
          <cell r="J420">
            <v>0</v>
          </cell>
          <cell r="K420" t="str">
            <v/>
          </cell>
          <cell r="L420">
            <v>255</v>
          </cell>
          <cell r="M420" t="str">
            <v/>
          </cell>
        </row>
        <row r="421">
          <cell r="C421"/>
          <cell r="D421"/>
          <cell r="E421"/>
          <cell r="F421"/>
          <cell r="G421"/>
          <cell r="H421">
            <v>0</v>
          </cell>
          <cell r="I421">
            <v>0</v>
          </cell>
          <cell r="J421">
            <v>0</v>
          </cell>
          <cell r="K421" t="str">
            <v/>
          </cell>
          <cell r="L421">
            <v>255</v>
          </cell>
          <cell r="M421" t="str">
            <v/>
          </cell>
        </row>
        <row r="422">
          <cell r="C422"/>
          <cell r="D422"/>
          <cell r="E422"/>
          <cell r="F422"/>
          <cell r="G422"/>
          <cell r="H422">
            <v>0</v>
          </cell>
          <cell r="I422">
            <v>0</v>
          </cell>
          <cell r="J422">
            <v>0</v>
          </cell>
          <cell r="K422" t="str">
            <v/>
          </cell>
          <cell r="L422">
            <v>255</v>
          </cell>
          <cell r="M422" t="str">
            <v/>
          </cell>
        </row>
        <row r="423">
          <cell r="C423"/>
          <cell r="D423"/>
          <cell r="E423"/>
          <cell r="F423"/>
          <cell r="G423"/>
          <cell r="H423">
            <v>0</v>
          </cell>
          <cell r="I423">
            <v>0</v>
          </cell>
          <cell r="J423">
            <v>0</v>
          </cell>
          <cell r="K423" t="str">
            <v/>
          </cell>
          <cell r="L423">
            <v>255</v>
          </cell>
          <cell r="M423" t="str">
            <v/>
          </cell>
        </row>
        <row r="424">
          <cell r="C424"/>
          <cell r="D424"/>
          <cell r="E424"/>
          <cell r="F424"/>
          <cell r="G424"/>
          <cell r="H424">
            <v>0</v>
          </cell>
          <cell r="I424">
            <v>0</v>
          </cell>
          <cell r="J424">
            <v>0</v>
          </cell>
          <cell r="K424" t="str">
            <v/>
          </cell>
          <cell r="L424">
            <v>255</v>
          </cell>
          <cell r="M424" t="str">
            <v/>
          </cell>
        </row>
        <row r="425">
          <cell r="C425"/>
          <cell r="D425"/>
          <cell r="E425"/>
          <cell r="F425"/>
          <cell r="G425"/>
          <cell r="H425">
            <v>0</v>
          </cell>
          <cell r="I425">
            <v>0</v>
          </cell>
          <cell r="J425">
            <v>0</v>
          </cell>
          <cell r="K425" t="str">
            <v/>
          </cell>
          <cell r="L425">
            <v>255</v>
          </cell>
          <cell r="M425" t="str">
            <v/>
          </cell>
        </row>
        <row r="426">
          <cell r="C426"/>
          <cell r="D426"/>
          <cell r="E426"/>
          <cell r="F426"/>
          <cell r="G426"/>
          <cell r="H426">
            <v>0</v>
          </cell>
          <cell r="I426">
            <v>0</v>
          </cell>
          <cell r="J426">
            <v>0</v>
          </cell>
          <cell r="K426" t="str">
            <v/>
          </cell>
          <cell r="L426">
            <v>255</v>
          </cell>
          <cell r="M426" t="str">
            <v/>
          </cell>
        </row>
        <row r="427">
          <cell r="C427"/>
          <cell r="D427"/>
          <cell r="E427"/>
          <cell r="F427"/>
          <cell r="G427"/>
          <cell r="H427">
            <v>0</v>
          </cell>
          <cell r="I427">
            <v>0</v>
          </cell>
          <cell r="J427">
            <v>0</v>
          </cell>
          <cell r="K427" t="str">
            <v/>
          </cell>
          <cell r="L427">
            <v>255</v>
          </cell>
          <cell r="M427" t="str">
            <v/>
          </cell>
        </row>
        <row r="428">
          <cell r="C428"/>
          <cell r="D428"/>
          <cell r="E428"/>
          <cell r="F428"/>
          <cell r="G428"/>
          <cell r="H428">
            <v>0</v>
          </cell>
          <cell r="I428">
            <v>0</v>
          </cell>
          <cell r="J428">
            <v>0</v>
          </cell>
          <cell r="K428" t="str">
            <v/>
          </cell>
          <cell r="L428">
            <v>255</v>
          </cell>
          <cell r="M428" t="str">
            <v/>
          </cell>
        </row>
        <row r="429">
          <cell r="C429"/>
          <cell r="D429"/>
          <cell r="E429"/>
          <cell r="F429"/>
          <cell r="G429"/>
          <cell r="H429">
            <v>0</v>
          </cell>
          <cell r="I429">
            <v>0</v>
          </cell>
          <cell r="J429">
            <v>0</v>
          </cell>
          <cell r="K429" t="str">
            <v/>
          </cell>
          <cell r="L429">
            <v>255</v>
          </cell>
          <cell r="M429" t="str">
            <v/>
          </cell>
        </row>
        <row r="430">
          <cell r="C430"/>
          <cell r="D430"/>
          <cell r="E430"/>
          <cell r="F430"/>
          <cell r="G430"/>
          <cell r="H430">
            <v>0</v>
          </cell>
          <cell r="I430">
            <v>0</v>
          </cell>
          <cell r="J430">
            <v>0</v>
          </cell>
          <cell r="K430" t="str">
            <v/>
          </cell>
          <cell r="L430">
            <v>255</v>
          </cell>
          <cell r="M430" t="str">
            <v/>
          </cell>
        </row>
        <row r="431">
          <cell r="C431"/>
          <cell r="D431"/>
          <cell r="E431"/>
          <cell r="F431"/>
          <cell r="G431"/>
          <cell r="H431">
            <v>0</v>
          </cell>
          <cell r="I431">
            <v>0</v>
          </cell>
          <cell r="J431">
            <v>0</v>
          </cell>
          <cell r="K431" t="str">
            <v/>
          </cell>
          <cell r="L431">
            <v>255</v>
          </cell>
          <cell r="M431" t="str">
            <v/>
          </cell>
        </row>
        <row r="432">
          <cell r="C432"/>
          <cell r="D432"/>
          <cell r="E432"/>
          <cell r="F432"/>
          <cell r="G432"/>
          <cell r="H432">
            <v>0</v>
          </cell>
          <cell r="I432">
            <v>0</v>
          </cell>
          <cell r="J432">
            <v>0</v>
          </cell>
          <cell r="K432" t="str">
            <v/>
          </cell>
          <cell r="L432">
            <v>255</v>
          </cell>
          <cell r="M432" t="str">
            <v/>
          </cell>
        </row>
        <row r="433">
          <cell r="C433"/>
          <cell r="D433"/>
          <cell r="E433"/>
          <cell r="F433"/>
          <cell r="G433"/>
          <cell r="H433">
            <v>0</v>
          </cell>
          <cell r="I433">
            <v>0</v>
          </cell>
          <cell r="J433">
            <v>0</v>
          </cell>
          <cell r="K433" t="str">
            <v/>
          </cell>
          <cell r="L433">
            <v>255</v>
          </cell>
          <cell r="M433" t="str">
            <v/>
          </cell>
        </row>
        <row r="434">
          <cell r="C434"/>
          <cell r="D434"/>
          <cell r="E434"/>
          <cell r="F434"/>
          <cell r="G434"/>
          <cell r="H434">
            <v>0</v>
          </cell>
          <cell r="I434">
            <v>0</v>
          </cell>
          <cell r="J434">
            <v>0</v>
          </cell>
          <cell r="K434" t="str">
            <v/>
          </cell>
          <cell r="L434">
            <v>255</v>
          </cell>
          <cell r="M434" t="str">
            <v/>
          </cell>
        </row>
        <row r="435">
          <cell r="C435"/>
          <cell r="D435"/>
          <cell r="E435"/>
          <cell r="F435"/>
          <cell r="G435"/>
          <cell r="H435">
            <v>0</v>
          </cell>
          <cell r="I435">
            <v>0</v>
          </cell>
          <cell r="J435">
            <v>0</v>
          </cell>
          <cell r="K435" t="str">
            <v/>
          </cell>
          <cell r="L435">
            <v>255</v>
          </cell>
          <cell r="M435" t="str">
            <v/>
          </cell>
        </row>
        <row r="436">
          <cell r="C436"/>
          <cell r="D436"/>
          <cell r="E436"/>
          <cell r="F436"/>
          <cell r="G436"/>
          <cell r="H436">
            <v>0</v>
          </cell>
          <cell r="I436">
            <v>0</v>
          </cell>
          <cell r="J436">
            <v>0</v>
          </cell>
          <cell r="K436" t="str">
            <v/>
          </cell>
          <cell r="L436">
            <v>255</v>
          </cell>
          <cell r="M436" t="str">
            <v/>
          </cell>
        </row>
        <row r="437">
          <cell r="C437"/>
          <cell r="D437"/>
          <cell r="E437"/>
          <cell r="F437"/>
          <cell r="G437"/>
          <cell r="H437">
            <v>0</v>
          </cell>
          <cell r="I437">
            <v>0</v>
          </cell>
          <cell r="J437">
            <v>0</v>
          </cell>
          <cell r="K437" t="str">
            <v/>
          </cell>
          <cell r="L437">
            <v>255</v>
          </cell>
          <cell r="M437" t="str">
            <v/>
          </cell>
        </row>
        <row r="438">
          <cell r="C438"/>
          <cell r="D438"/>
          <cell r="E438"/>
          <cell r="F438"/>
          <cell r="G438"/>
          <cell r="H438">
            <v>0</v>
          </cell>
          <cell r="I438">
            <v>0</v>
          </cell>
          <cell r="J438">
            <v>0</v>
          </cell>
          <cell r="K438" t="str">
            <v/>
          </cell>
          <cell r="L438">
            <v>255</v>
          </cell>
          <cell r="M438" t="str">
            <v/>
          </cell>
        </row>
        <row r="439">
          <cell r="C439"/>
          <cell r="D439"/>
          <cell r="E439"/>
          <cell r="F439"/>
          <cell r="G439"/>
          <cell r="H439">
            <v>0</v>
          </cell>
          <cell r="I439">
            <v>0</v>
          </cell>
          <cell r="J439">
            <v>0</v>
          </cell>
          <cell r="K439" t="str">
            <v/>
          </cell>
          <cell r="L439">
            <v>255</v>
          </cell>
          <cell r="M439" t="str">
            <v/>
          </cell>
        </row>
        <row r="440">
          <cell r="C440"/>
          <cell r="D440"/>
          <cell r="E440"/>
          <cell r="F440"/>
          <cell r="G440"/>
          <cell r="H440">
            <v>0</v>
          </cell>
          <cell r="I440">
            <v>0</v>
          </cell>
          <cell r="J440">
            <v>0</v>
          </cell>
          <cell r="K440" t="str">
            <v/>
          </cell>
          <cell r="L440">
            <v>255</v>
          </cell>
          <cell r="M440" t="str">
            <v/>
          </cell>
        </row>
        <row r="441">
          <cell r="C441"/>
          <cell r="D441"/>
          <cell r="E441"/>
          <cell r="F441"/>
          <cell r="G441"/>
          <cell r="H441">
            <v>0</v>
          </cell>
          <cell r="I441">
            <v>0</v>
          </cell>
          <cell r="J441">
            <v>0</v>
          </cell>
          <cell r="K441" t="str">
            <v/>
          </cell>
          <cell r="L441">
            <v>255</v>
          </cell>
          <cell r="M441" t="str">
            <v/>
          </cell>
        </row>
        <row r="442">
          <cell r="C442"/>
          <cell r="D442"/>
          <cell r="E442"/>
          <cell r="F442"/>
          <cell r="G442"/>
          <cell r="H442">
            <v>0</v>
          </cell>
          <cell r="I442">
            <v>0</v>
          </cell>
          <cell r="J442">
            <v>0</v>
          </cell>
          <cell r="K442" t="str">
            <v/>
          </cell>
          <cell r="L442">
            <v>255</v>
          </cell>
          <cell r="M442" t="str">
            <v/>
          </cell>
        </row>
        <row r="443">
          <cell r="C443"/>
          <cell r="D443"/>
          <cell r="E443"/>
          <cell r="F443"/>
          <cell r="G443"/>
          <cell r="H443">
            <v>0</v>
          </cell>
          <cell r="I443">
            <v>0</v>
          </cell>
          <cell r="J443">
            <v>0</v>
          </cell>
          <cell r="K443" t="str">
            <v/>
          </cell>
          <cell r="L443">
            <v>255</v>
          </cell>
          <cell r="M443" t="str">
            <v/>
          </cell>
        </row>
        <row r="444">
          <cell r="C444"/>
          <cell r="D444"/>
          <cell r="E444"/>
          <cell r="F444"/>
          <cell r="G444"/>
          <cell r="H444">
            <v>0</v>
          </cell>
          <cell r="I444">
            <v>0</v>
          </cell>
          <cell r="J444">
            <v>0</v>
          </cell>
          <cell r="K444" t="str">
            <v/>
          </cell>
          <cell r="L444">
            <v>255</v>
          </cell>
          <cell r="M444" t="str">
            <v/>
          </cell>
        </row>
        <row r="445">
          <cell r="C445"/>
          <cell r="D445"/>
          <cell r="E445"/>
          <cell r="F445"/>
          <cell r="G445"/>
          <cell r="H445">
            <v>0</v>
          </cell>
          <cell r="I445">
            <v>0</v>
          </cell>
          <cell r="J445">
            <v>0</v>
          </cell>
          <cell r="K445" t="str">
            <v/>
          </cell>
          <cell r="L445">
            <v>255</v>
          </cell>
          <cell r="M445" t="str">
            <v/>
          </cell>
        </row>
        <row r="446">
          <cell r="C446"/>
          <cell r="D446"/>
          <cell r="E446"/>
          <cell r="F446"/>
          <cell r="G446"/>
          <cell r="H446">
            <v>0</v>
          </cell>
          <cell r="I446">
            <v>0</v>
          </cell>
          <cell r="J446">
            <v>0</v>
          </cell>
          <cell r="K446" t="str">
            <v/>
          </cell>
          <cell r="L446">
            <v>255</v>
          </cell>
          <cell r="M446" t="str">
            <v/>
          </cell>
        </row>
        <row r="447">
          <cell r="C447"/>
          <cell r="D447"/>
          <cell r="E447"/>
          <cell r="F447"/>
          <cell r="G447"/>
          <cell r="H447">
            <v>0</v>
          </cell>
          <cell r="I447">
            <v>0</v>
          </cell>
          <cell r="J447">
            <v>0</v>
          </cell>
          <cell r="K447" t="str">
            <v/>
          </cell>
          <cell r="L447">
            <v>255</v>
          </cell>
          <cell r="M447" t="str">
            <v/>
          </cell>
        </row>
        <row r="448">
          <cell r="C448"/>
          <cell r="D448"/>
          <cell r="E448"/>
          <cell r="F448"/>
          <cell r="G448"/>
          <cell r="H448">
            <v>0</v>
          </cell>
          <cell r="I448">
            <v>0</v>
          </cell>
          <cell r="J448">
            <v>0</v>
          </cell>
          <cell r="K448" t="str">
            <v/>
          </cell>
          <cell r="L448">
            <v>255</v>
          </cell>
          <cell r="M448" t="str">
            <v/>
          </cell>
        </row>
        <row r="449">
          <cell r="C449"/>
          <cell r="D449"/>
          <cell r="E449"/>
          <cell r="F449"/>
          <cell r="G449"/>
          <cell r="H449">
            <v>0</v>
          </cell>
          <cell r="I449">
            <v>0</v>
          </cell>
          <cell r="J449">
            <v>0</v>
          </cell>
          <cell r="K449" t="str">
            <v/>
          </cell>
          <cell r="L449">
            <v>255</v>
          </cell>
          <cell r="M449" t="str">
            <v/>
          </cell>
        </row>
        <row r="450">
          <cell r="C450"/>
          <cell r="D450"/>
          <cell r="E450"/>
          <cell r="F450"/>
          <cell r="G450"/>
          <cell r="H450">
            <v>0</v>
          </cell>
          <cell r="I450">
            <v>0</v>
          </cell>
          <cell r="J450">
            <v>0</v>
          </cell>
          <cell r="K450" t="str">
            <v/>
          </cell>
          <cell r="L450">
            <v>255</v>
          </cell>
          <cell r="M450" t="str">
            <v/>
          </cell>
        </row>
        <row r="451">
          <cell r="C451"/>
          <cell r="D451"/>
          <cell r="E451"/>
          <cell r="F451"/>
          <cell r="G451"/>
          <cell r="H451">
            <v>0</v>
          </cell>
          <cell r="I451">
            <v>0</v>
          </cell>
          <cell r="J451">
            <v>0</v>
          </cell>
          <cell r="K451" t="str">
            <v/>
          </cell>
          <cell r="L451">
            <v>255</v>
          </cell>
          <cell r="M451" t="str">
            <v/>
          </cell>
        </row>
        <row r="452">
          <cell r="C452"/>
          <cell r="D452"/>
          <cell r="E452"/>
          <cell r="F452"/>
          <cell r="G452"/>
          <cell r="H452">
            <v>0</v>
          </cell>
          <cell r="I452">
            <v>0</v>
          </cell>
          <cell r="J452">
            <v>0</v>
          </cell>
          <cell r="K452" t="str">
            <v/>
          </cell>
          <cell r="L452">
            <v>255</v>
          </cell>
          <cell r="M452" t="str">
            <v/>
          </cell>
        </row>
        <row r="453">
          <cell r="C453"/>
          <cell r="D453"/>
          <cell r="E453"/>
          <cell r="F453"/>
          <cell r="G453"/>
          <cell r="H453">
            <v>0</v>
          </cell>
          <cell r="I453">
            <v>0</v>
          </cell>
          <cell r="J453">
            <v>0</v>
          </cell>
          <cell r="K453" t="str">
            <v/>
          </cell>
          <cell r="L453">
            <v>255</v>
          </cell>
          <cell r="M453" t="str">
            <v/>
          </cell>
        </row>
        <row r="454">
          <cell r="C454"/>
          <cell r="D454"/>
          <cell r="E454"/>
          <cell r="F454"/>
          <cell r="G454"/>
          <cell r="H454">
            <v>0</v>
          </cell>
          <cell r="I454">
            <v>0</v>
          </cell>
          <cell r="J454">
            <v>0</v>
          </cell>
          <cell r="K454" t="str">
            <v/>
          </cell>
          <cell r="L454">
            <v>255</v>
          </cell>
          <cell r="M454" t="str">
            <v/>
          </cell>
        </row>
        <row r="455">
          <cell r="C455"/>
          <cell r="D455"/>
          <cell r="E455"/>
          <cell r="F455"/>
          <cell r="G455"/>
          <cell r="H455">
            <v>0</v>
          </cell>
          <cell r="I455">
            <v>0</v>
          </cell>
          <cell r="J455">
            <v>0</v>
          </cell>
          <cell r="K455" t="str">
            <v/>
          </cell>
          <cell r="L455">
            <v>255</v>
          </cell>
          <cell r="M455" t="str">
            <v/>
          </cell>
        </row>
        <row r="456">
          <cell r="C456"/>
          <cell r="D456"/>
          <cell r="E456"/>
          <cell r="F456"/>
          <cell r="G456"/>
          <cell r="H456">
            <v>0</v>
          </cell>
          <cell r="I456">
            <v>0</v>
          </cell>
          <cell r="J456">
            <v>0</v>
          </cell>
          <cell r="K456" t="str">
            <v/>
          </cell>
          <cell r="L456">
            <v>255</v>
          </cell>
          <cell r="M456" t="str">
            <v/>
          </cell>
        </row>
        <row r="457">
          <cell r="C457"/>
          <cell r="D457"/>
          <cell r="E457"/>
          <cell r="F457"/>
          <cell r="G457"/>
          <cell r="H457">
            <v>0</v>
          </cell>
          <cell r="I457">
            <v>0</v>
          </cell>
          <cell r="J457">
            <v>0</v>
          </cell>
          <cell r="K457" t="str">
            <v/>
          </cell>
          <cell r="L457">
            <v>255</v>
          </cell>
          <cell r="M457" t="str">
            <v/>
          </cell>
        </row>
        <row r="458">
          <cell r="C458"/>
          <cell r="D458"/>
          <cell r="E458"/>
          <cell r="F458"/>
          <cell r="G458"/>
          <cell r="H458">
            <v>0</v>
          </cell>
          <cell r="I458">
            <v>0</v>
          </cell>
          <cell r="J458">
            <v>0</v>
          </cell>
          <cell r="K458" t="str">
            <v/>
          </cell>
          <cell r="L458">
            <v>255</v>
          </cell>
          <cell r="M458" t="str">
            <v/>
          </cell>
        </row>
        <row r="459">
          <cell r="C459"/>
          <cell r="D459"/>
          <cell r="E459"/>
          <cell r="F459"/>
          <cell r="G459"/>
          <cell r="H459">
            <v>0</v>
          </cell>
          <cell r="I459">
            <v>0</v>
          </cell>
          <cell r="J459">
            <v>0</v>
          </cell>
          <cell r="K459" t="str">
            <v/>
          </cell>
          <cell r="L459">
            <v>255</v>
          </cell>
          <cell r="M459" t="str">
            <v/>
          </cell>
        </row>
        <row r="460">
          <cell r="C460"/>
          <cell r="D460"/>
          <cell r="E460"/>
          <cell r="F460"/>
          <cell r="G460"/>
          <cell r="H460">
            <v>0</v>
          </cell>
          <cell r="I460">
            <v>0</v>
          </cell>
          <cell r="J460">
            <v>0</v>
          </cell>
          <cell r="K460" t="str">
            <v/>
          </cell>
          <cell r="L460">
            <v>255</v>
          </cell>
          <cell r="M460" t="str">
            <v/>
          </cell>
        </row>
        <row r="461">
          <cell r="C461"/>
          <cell r="D461"/>
          <cell r="E461"/>
          <cell r="F461"/>
          <cell r="G461"/>
          <cell r="H461">
            <v>0</v>
          </cell>
          <cell r="I461">
            <v>0</v>
          </cell>
          <cell r="J461">
            <v>0</v>
          </cell>
          <cell r="K461" t="str">
            <v/>
          </cell>
          <cell r="L461">
            <v>255</v>
          </cell>
          <cell r="M461" t="str">
            <v/>
          </cell>
        </row>
        <row r="462">
          <cell r="C462"/>
          <cell r="D462"/>
          <cell r="E462"/>
          <cell r="F462"/>
          <cell r="G462"/>
          <cell r="H462">
            <v>0</v>
          </cell>
          <cell r="I462">
            <v>0</v>
          </cell>
          <cell r="J462">
            <v>0</v>
          </cell>
          <cell r="K462" t="str">
            <v/>
          </cell>
          <cell r="L462">
            <v>255</v>
          </cell>
          <cell r="M462" t="str">
            <v/>
          </cell>
        </row>
        <row r="463">
          <cell r="C463"/>
          <cell r="D463"/>
          <cell r="E463"/>
          <cell r="F463"/>
          <cell r="G463"/>
          <cell r="H463">
            <v>0</v>
          </cell>
          <cell r="I463">
            <v>0</v>
          </cell>
          <cell r="J463">
            <v>0</v>
          </cell>
          <cell r="K463" t="str">
            <v/>
          </cell>
          <cell r="L463">
            <v>255</v>
          </cell>
          <cell r="M463" t="str">
            <v/>
          </cell>
        </row>
        <row r="464">
          <cell r="C464"/>
          <cell r="D464"/>
          <cell r="E464"/>
          <cell r="F464"/>
          <cell r="G464"/>
          <cell r="H464">
            <v>0</v>
          </cell>
          <cell r="I464">
            <v>0</v>
          </cell>
          <cell r="J464">
            <v>0</v>
          </cell>
          <cell r="K464" t="str">
            <v/>
          </cell>
          <cell r="L464">
            <v>255</v>
          </cell>
          <cell r="M464" t="str">
            <v/>
          </cell>
        </row>
        <row r="465">
          <cell r="C465"/>
          <cell r="D465"/>
          <cell r="E465"/>
          <cell r="F465"/>
          <cell r="G465"/>
          <cell r="H465">
            <v>0</v>
          </cell>
          <cell r="I465">
            <v>0</v>
          </cell>
          <cell r="J465">
            <v>0</v>
          </cell>
          <cell r="K465" t="str">
            <v/>
          </cell>
          <cell r="L465">
            <v>255</v>
          </cell>
          <cell r="M465" t="str">
            <v/>
          </cell>
        </row>
        <row r="466">
          <cell r="C466"/>
          <cell r="D466"/>
          <cell r="E466"/>
          <cell r="F466"/>
          <cell r="G466"/>
          <cell r="H466">
            <v>0</v>
          </cell>
          <cell r="I466">
            <v>0</v>
          </cell>
          <cell r="J466">
            <v>0</v>
          </cell>
          <cell r="K466" t="str">
            <v/>
          </cell>
          <cell r="L466">
            <v>255</v>
          </cell>
          <cell r="M466" t="str">
            <v/>
          </cell>
        </row>
        <row r="467">
          <cell r="C467"/>
          <cell r="D467"/>
          <cell r="E467"/>
          <cell r="F467"/>
          <cell r="G467"/>
          <cell r="H467">
            <v>0</v>
          </cell>
          <cell r="I467">
            <v>0</v>
          </cell>
          <cell r="J467">
            <v>0</v>
          </cell>
          <cell r="K467" t="str">
            <v/>
          </cell>
          <cell r="L467">
            <v>255</v>
          </cell>
          <cell r="M467" t="str">
            <v/>
          </cell>
        </row>
        <row r="468">
          <cell r="C468"/>
          <cell r="D468"/>
          <cell r="E468"/>
          <cell r="F468"/>
          <cell r="G468"/>
          <cell r="H468">
            <v>0</v>
          </cell>
          <cell r="I468">
            <v>0</v>
          </cell>
          <cell r="J468">
            <v>0</v>
          </cell>
          <cell r="K468" t="str">
            <v/>
          </cell>
          <cell r="L468">
            <v>255</v>
          </cell>
          <cell r="M468" t="str">
            <v/>
          </cell>
        </row>
        <row r="469">
          <cell r="C469"/>
          <cell r="D469"/>
          <cell r="E469"/>
          <cell r="F469"/>
          <cell r="G469"/>
          <cell r="H469">
            <v>0</v>
          </cell>
          <cell r="I469">
            <v>0</v>
          </cell>
          <cell r="J469">
            <v>0</v>
          </cell>
          <cell r="K469" t="str">
            <v/>
          </cell>
          <cell r="L469">
            <v>255</v>
          </cell>
          <cell r="M469" t="str">
            <v/>
          </cell>
        </row>
        <row r="470">
          <cell r="C470"/>
          <cell r="D470"/>
          <cell r="E470"/>
          <cell r="F470"/>
          <cell r="G470"/>
          <cell r="H470">
            <v>0</v>
          </cell>
          <cell r="I470">
            <v>0</v>
          </cell>
          <cell r="J470">
            <v>0</v>
          </cell>
          <cell r="K470" t="str">
            <v/>
          </cell>
          <cell r="L470">
            <v>255</v>
          </cell>
          <cell r="M470" t="str">
            <v/>
          </cell>
        </row>
        <row r="471">
          <cell r="C471"/>
          <cell r="D471"/>
          <cell r="E471"/>
          <cell r="F471"/>
          <cell r="G471"/>
          <cell r="H471">
            <v>0</v>
          </cell>
          <cell r="I471">
            <v>0</v>
          </cell>
          <cell r="J471">
            <v>0</v>
          </cell>
          <cell r="K471" t="str">
            <v/>
          </cell>
          <cell r="L471">
            <v>255</v>
          </cell>
          <cell r="M471" t="str">
            <v/>
          </cell>
        </row>
        <row r="472">
          <cell r="C472"/>
          <cell r="D472"/>
          <cell r="E472"/>
          <cell r="F472"/>
          <cell r="G472"/>
          <cell r="H472">
            <v>0</v>
          </cell>
          <cell r="I472">
            <v>0</v>
          </cell>
          <cell r="J472">
            <v>0</v>
          </cell>
          <cell r="K472" t="str">
            <v/>
          </cell>
          <cell r="L472">
            <v>255</v>
          </cell>
          <cell r="M472" t="str">
            <v/>
          </cell>
        </row>
        <row r="473">
          <cell r="C473"/>
          <cell r="D473"/>
          <cell r="E473"/>
          <cell r="F473"/>
          <cell r="G473"/>
          <cell r="H473">
            <v>0</v>
          </cell>
          <cell r="I473">
            <v>0</v>
          </cell>
          <cell r="J473">
            <v>0</v>
          </cell>
          <cell r="K473" t="str">
            <v/>
          </cell>
          <cell r="L473">
            <v>255</v>
          </cell>
          <cell r="M473" t="str">
            <v/>
          </cell>
        </row>
        <row r="474">
          <cell r="C474"/>
          <cell r="D474"/>
          <cell r="E474"/>
          <cell r="F474"/>
          <cell r="G474"/>
          <cell r="H474">
            <v>0</v>
          </cell>
          <cell r="I474">
            <v>0</v>
          </cell>
          <cell r="J474">
            <v>0</v>
          </cell>
          <cell r="K474" t="str">
            <v/>
          </cell>
          <cell r="L474">
            <v>255</v>
          </cell>
          <cell r="M474" t="str">
            <v/>
          </cell>
        </row>
        <row r="475">
          <cell r="C475"/>
          <cell r="D475"/>
          <cell r="E475"/>
          <cell r="F475"/>
          <cell r="G475"/>
          <cell r="H475">
            <v>0</v>
          </cell>
          <cell r="I475">
            <v>0</v>
          </cell>
          <cell r="J475">
            <v>0</v>
          </cell>
          <cell r="K475" t="str">
            <v/>
          </cell>
          <cell r="L475">
            <v>255</v>
          </cell>
          <cell r="M475" t="str">
            <v/>
          </cell>
        </row>
        <row r="476">
          <cell r="C476"/>
          <cell r="D476"/>
          <cell r="E476"/>
          <cell r="F476"/>
          <cell r="G476"/>
          <cell r="H476">
            <v>0</v>
          </cell>
          <cell r="I476">
            <v>0</v>
          </cell>
          <cell r="J476">
            <v>0</v>
          </cell>
          <cell r="K476" t="str">
            <v/>
          </cell>
          <cell r="L476">
            <v>255</v>
          </cell>
          <cell r="M476" t="str">
            <v/>
          </cell>
        </row>
        <row r="477">
          <cell r="C477"/>
          <cell r="D477"/>
          <cell r="E477"/>
          <cell r="F477"/>
          <cell r="G477"/>
          <cell r="H477">
            <v>0</v>
          </cell>
          <cell r="I477">
            <v>0</v>
          </cell>
          <cell r="J477">
            <v>0</v>
          </cell>
          <cell r="K477" t="str">
            <v/>
          </cell>
          <cell r="L477">
            <v>255</v>
          </cell>
          <cell r="M477" t="str">
            <v/>
          </cell>
        </row>
        <row r="478">
          <cell r="C478"/>
          <cell r="D478"/>
          <cell r="E478"/>
          <cell r="F478"/>
          <cell r="G478"/>
          <cell r="H478">
            <v>0</v>
          </cell>
          <cell r="I478">
            <v>0</v>
          </cell>
          <cell r="J478">
            <v>0</v>
          </cell>
          <cell r="K478" t="str">
            <v/>
          </cell>
          <cell r="L478">
            <v>255</v>
          </cell>
          <cell r="M478" t="str">
            <v/>
          </cell>
        </row>
        <row r="479">
          <cell r="C479"/>
          <cell r="D479"/>
          <cell r="E479"/>
          <cell r="F479"/>
          <cell r="G479"/>
          <cell r="H479">
            <v>0</v>
          </cell>
          <cell r="I479">
            <v>0</v>
          </cell>
          <cell r="J479">
            <v>0</v>
          </cell>
          <cell r="K479" t="str">
            <v/>
          </cell>
          <cell r="L479">
            <v>255</v>
          </cell>
          <cell r="M479" t="str">
            <v/>
          </cell>
        </row>
        <row r="480">
          <cell r="C480"/>
          <cell r="D480"/>
          <cell r="E480"/>
          <cell r="F480"/>
          <cell r="G480"/>
          <cell r="H480">
            <v>0</v>
          </cell>
          <cell r="I480">
            <v>0</v>
          </cell>
          <cell r="J480">
            <v>0</v>
          </cell>
          <cell r="K480" t="str">
            <v/>
          </cell>
          <cell r="L480">
            <v>255</v>
          </cell>
          <cell r="M480" t="str">
            <v/>
          </cell>
        </row>
        <row r="481">
          <cell r="C481"/>
          <cell r="D481"/>
          <cell r="E481"/>
          <cell r="F481"/>
          <cell r="G481"/>
          <cell r="H481">
            <v>0</v>
          </cell>
          <cell r="I481">
            <v>0</v>
          </cell>
          <cell r="J481">
            <v>0</v>
          </cell>
          <cell r="K481" t="str">
            <v/>
          </cell>
          <cell r="L481">
            <v>255</v>
          </cell>
          <cell r="M481" t="str">
            <v/>
          </cell>
        </row>
        <row r="482">
          <cell r="C482"/>
          <cell r="D482"/>
          <cell r="E482"/>
          <cell r="F482"/>
          <cell r="G482"/>
          <cell r="H482">
            <v>0</v>
          </cell>
          <cell r="I482">
            <v>0</v>
          </cell>
          <cell r="J482">
            <v>0</v>
          </cell>
          <cell r="K482" t="str">
            <v/>
          </cell>
          <cell r="L482">
            <v>255</v>
          </cell>
          <cell r="M482" t="str">
            <v/>
          </cell>
        </row>
        <row r="483">
          <cell r="C483"/>
          <cell r="D483"/>
          <cell r="E483"/>
          <cell r="F483"/>
          <cell r="G483"/>
          <cell r="H483">
            <v>0</v>
          </cell>
          <cell r="I483">
            <v>0</v>
          </cell>
          <cell r="J483">
            <v>0</v>
          </cell>
          <cell r="K483" t="str">
            <v/>
          </cell>
          <cell r="L483">
            <v>255</v>
          </cell>
          <cell r="M483" t="str">
            <v/>
          </cell>
        </row>
        <row r="484">
          <cell r="C484"/>
          <cell r="D484"/>
          <cell r="E484"/>
          <cell r="F484"/>
          <cell r="G484"/>
          <cell r="H484">
            <v>0</v>
          </cell>
          <cell r="I484">
            <v>0</v>
          </cell>
          <cell r="J484">
            <v>0</v>
          </cell>
          <cell r="K484" t="str">
            <v/>
          </cell>
          <cell r="L484">
            <v>255</v>
          </cell>
          <cell r="M484" t="str">
            <v/>
          </cell>
        </row>
        <row r="485">
          <cell r="C485"/>
          <cell r="D485"/>
          <cell r="E485"/>
          <cell r="F485"/>
          <cell r="G485"/>
          <cell r="H485">
            <v>0</v>
          </cell>
          <cell r="I485">
            <v>0</v>
          </cell>
          <cell r="J485">
            <v>0</v>
          </cell>
          <cell r="K485" t="str">
            <v/>
          </cell>
          <cell r="L485">
            <v>255</v>
          </cell>
          <cell r="M485" t="str">
            <v/>
          </cell>
        </row>
        <row r="486">
          <cell r="C486"/>
          <cell r="D486"/>
          <cell r="E486"/>
          <cell r="F486"/>
          <cell r="G486"/>
          <cell r="H486">
            <v>0</v>
          </cell>
          <cell r="I486">
            <v>0</v>
          </cell>
          <cell r="J486">
            <v>0</v>
          </cell>
          <cell r="K486" t="str">
            <v/>
          </cell>
          <cell r="L486">
            <v>255</v>
          </cell>
          <cell r="M486" t="str">
            <v/>
          </cell>
        </row>
        <row r="487">
          <cell r="C487"/>
          <cell r="D487"/>
          <cell r="E487"/>
          <cell r="F487"/>
          <cell r="G487"/>
          <cell r="H487">
            <v>0</v>
          </cell>
          <cell r="I487">
            <v>0</v>
          </cell>
          <cell r="J487">
            <v>0</v>
          </cell>
          <cell r="K487" t="str">
            <v/>
          </cell>
          <cell r="L487">
            <v>255</v>
          </cell>
          <cell r="M487" t="str">
            <v/>
          </cell>
        </row>
        <row r="488">
          <cell r="C488"/>
          <cell r="D488"/>
          <cell r="E488"/>
          <cell r="F488"/>
          <cell r="G488"/>
          <cell r="H488">
            <v>0</v>
          </cell>
          <cell r="I488">
            <v>0</v>
          </cell>
          <cell r="J488">
            <v>0</v>
          </cell>
          <cell r="K488" t="str">
            <v/>
          </cell>
          <cell r="L488">
            <v>255</v>
          </cell>
          <cell r="M488" t="str">
            <v/>
          </cell>
        </row>
        <row r="489">
          <cell r="C489"/>
          <cell r="D489"/>
          <cell r="E489"/>
          <cell r="F489"/>
          <cell r="G489"/>
          <cell r="H489">
            <v>0</v>
          </cell>
          <cell r="I489">
            <v>0</v>
          </cell>
          <cell r="J489">
            <v>0</v>
          </cell>
          <cell r="K489" t="str">
            <v/>
          </cell>
          <cell r="L489">
            <v>255</v>
          </cell>
          <cell r="M489" t="str">
            <v/>
          </cell>
        </row>
        <row r="490">
          <cell r="C490"/>
          <cell r="D490"/>
          <cell r="E490"/>
          <cell r="F490"/>
          <cell r="G490"/>
          <cell r="H490">
            <v>0</v>
          </cell>
          <cell r="I490">
            <v>0</v>
          </cell>
          <cell r="J490">
            <v>0</v>
          </cell>
          <cell r="K490" t="str">
            <v/>
          </cell>
          <cell r="L490">
            <v>255</v>
          </cell>
          <cell r="M490" t="str">
            <v/>
          </cell>
        </row>
        <row r="491">
          <cell r="C491"/>
          <cell r="D491"/>
          <cell r="E491"/>
          <cell r="F491"/>
          <cell r="G491"/>
          <cell r="H491">
            <v>0</v>
          </cell>
          <cell r="I491">
            <v>0</v>
          </cell>
          <cell r="J491">
            <v>0</v>
          </cell>
          <cell r="K491" t="str">
            <v/>
          </cell>
          <cell r="L491">
            <v>255</v>
          </cell>
          <cell r="M491" t="str">
            <v/>
          </cell>
        </row>
        <row r="492">
          <cell r="C492"/>
          <cell r="D492"/>
          <cell r="E492"/>
          <cell r="F492"/>
          <cell r="G492"/>
          <cell r="H492">
            <v>0</v>
          </cell>
          <cell r="I492">
            <v>0</v>
          </cell>
          <cell r="J492">
            <v>0</v>
          </cell>
          <cell r="K492" t="str">
            <v/>
          </cell>
          <cell r="L492">
            <v>255</v>
          </cell>
          <cell r="M492" t="str">
            <v/>
          </cell>
        </row>
        <row r="493">
          <cell r="C493"/>
          <cell r="D493"/>
          <cell r="E493"/>
          <cell r="F493"/>
          <cell r="G493"/>
          <cell r="H493">
            <v>0</v>
          </cell>
          <cell r="I493">
            <v>0</v>
          </cell>
          <cell r="J493">
            <v>0</v>
          </cell>
          <cell r="K493" t="str">
            <v/>
          </cell>
          <cell r="L493">
            <v>255</v>
          </cell>
          <cell r="M493" t="str">
            <v/>
          </cell>
        </row>
        <row r="494">
          <cell r="C494"/>
          <cell r="D494"/>
          <cell r="E494"/>
          <cell r="F494"/>
          <cell r="G494"/>
          <cell r="H494">
            <v>0</v>
          </cell>
          <cell r="I494">
            <v>0</v>
          </cell>
          <cell r="J494">
            <v>0</v>
          </cell>
          <cell r="K494" t="str">
            <v/>
          </cell>
          <cell r="L494">
            <v>255</v>
          </cell>
          <cell r="M494" t="str">
            <v/>
          </cell>
        </row>
        <row r="495">
          <cell r="C495"/>
          <cell r="D495"/>
          <cell r="E495"/>
          <cell r="F495"/>
          <cell r="G495"/>
          <cell r="H495">
            <v>0</v>
          </cell>
          <cell r="I495">
            <v>0</v>
          </cell>
          <cell r="J495">
            <v>0</v>
          </cell>
          <cell r="K495" t="str">
            <v/>
          </cell>
          <cell r="L495">
            <v>255</v>
          </cell>
          <cell r="M495" t="str">
            <v/>
          </cell>
        </row>
        <row r="496">
          <cell r="C496"/>
          <cell r="D496"/>
          <cell r="E496"/>
          <cell r="F496"/>
          <cell r="G496"/>
          <cell r="H496">
            <v>0</v>
          </cell>
          <cell r="I496">
            <v>0</v>
          </cell>
          <cell r="J496">
            <v>0</v>
          </cell>
          <cell r="K496" t="str">
            <v/>
          </cell>
          <cell r="L496">
            <v>255</v>
          </cell>
          <cell r="M496" t="str">
            <v/>
          </cell>
        </row>
        <row r="497">
          <cell r="C497"/>
          <cell r="D497"/>
          <cell r="E497"/>
          <cell r="F497"/>
          <cell r="G497"/>
          <cell r="H497">
            <v>0</v>
          </cell>
          <cell r="I497">
            <v>0</v>
          </cell>
          <cell r="J497">
            <v>0</v>
          </cell>
          <cell r="K497" t="str">
            <v/>
          </cell>
          <cell r="L497">
            <v>255</v>
          </cell>
          <cell r="M497" t="str">
            <v/>
          </cell>
        </row>
        <row r="498">
          <cell r="C498"/>
          <cell r="D498"/>
          <cell r="E498"/>
          <cell r="F498"/>
          <cell r="G498"/>
          <cell r="H498">
            <v>0</v>
          </cell>
          <cell r="I498">
            <v>0</v>
          </cell>
          <cell r="J498">
            <v>0</v>
          </cell>
          <cell r="K498" t="str">
            <v/>
          </cell>
          <cell r="L498">
            <v>255</v>
          </cell>
          <cell r="M498" t="str">
            <v/>
          </cell>
        </row>
        <row r="499">
          <cell r="C499"/>
          <cell r="D499"/>
          <cell r="E499"/>
          <cell r="F499"/>
          <cell r="G499"/>
          <cell r="H499">
            <v>0</v>
          </cell>
          <cell r="I499">
            <v>0</v>
          </cell>
          <cell r="J499">
            <v>0</v>
          </cell>
          <cell r="K499" t="str">
            <v/>
          </cell>
          <cell r="L499">
            <v>255</v>
          </cell>
          <cell r="M499" t="str">
            <v/>
          </cell>
        </row>
        <row r="500">
          <cell r="C500"/>
          <cell r="D500"/>
          <cell r="E500"/>
          <cell r="F500"/>
          <cell r="G500"/>
          <cell r="H500">
            <v>0</v>
          </cell>
          <cell r="I500">
            <v>0</v>
          </cell>
          <cell r="J500">
            <v>0</v>
          </cell>
          <cell r="K500" t="str">
            <v/>
          </cell>
          <cell r="L500">
            <v>255</v>
          </cell>
          <cell r="M500" t="str">
            <v/>
          </cell>
        </row>
        <row r="501">
          <cell r="C501"/>
          <cell r="D501"/>
          <cell r="E501"/>
          <cell r="F501"/>
          <cell r="G501"/>
          <cell r="H501">
            <v>0</v>
          </cell>
          <cell r="I501">
            <v>0</v>
          </cell>
          <cell r="J501">
            <v>0</v>
          </cell>
          <cell r="K501" t="str">
            <v/>
          </cell>
          <cell r="L501">
            <v>255</v>
          </cell>
          <cell r="M501" t="str">
            <v/>
          </cell>
        </row>
        <row r="502">
          <cell r="C502"/>
          <cell r="D502"/>
          <cell r="E502"/>
          <cell r="F502"/>
          <cell r="G502"/>
          <cell r="H502">
            <v>0</v>
          </cell>
          <cell r="I502">
            <v>0</v>
          </cell>
          <cell r="J502">
            <v>0</v>
          </cell>
          <cell r="K502" t="str">
            <v/>
          </cell>
          <cell r="L502">
            <v>255</v>
          </cell>
          <cell r="M502" t="str">
            <v/>
          </cell>
        </row>
        <row r="503">
          <cell r="C503"/>
          <cell r="D503"/>
          <cell r="E503"/>
          <cell r="F503"/>
          <cell r="G503"/>
          <cell r="H503">
            <v>0</v>
          </cell>
          <cell r="I503">
            <v>0</v>
          </cell>
          <cell r="J503">
            <v>0</v>
          </cell>
          <cell r="K503" t="str">
            <v/>
          </cell>
          <cell r="L503">
            <v>255</v>
          </cell>
          <cell r="M503" t="str">
            <v/>
          </cell>
        </row>
        <row r="504">
          <cell r="C504"/>
          <cell r="D504"/>
          <cell r="E504"/>
          <cell r="F504"/>
          <cell r="G504"/>
          <cell r="H504">
            <v>0</v>
          </cell>
          <cell r="I504">
            <v>0</v>
          </cell>
          <cell r="J504">
            <v>0</v>
          </cell>
          <cell r="K504" t="str">
            <v/>
          </cell>
          <cell r="L504">
            <v>255</v>
          </cell>
          <cell r="M504" t="str">
            <v/>
          </cell>
        </row>
        <row r="505">
          <cell r="C505"/>
          <cell r="D505"/>
          <cell r="E505"/>
          <cell r="F505"/>
          <cell r="G505"/>
          <cell r="H505">
            <v>0</v>
          </cell>
          <cell r="I505">
            <v>0</v>
          </cell>
          <cell r="J505">
            <v>0</v>
          </cell>
          <cell r="K505" t="str">
            <v/>
          </cell>
          <cell r="L505">
            <v>255</v>
          </cell>
          <cell r="M505" t="str">
            <v/>
          </cell>
        </row>
        <row r="506">
          <cell r="C506"/>
          <cell r="D506"/>
          <cell r="E506"/>
          <cell r="F506"/>
          <cell r="G506"/>
          <cell r="H506">
            <v>0</v>
          </cell>
          <cell r="I506">
            <v>0</v>
          </cell>
          <cell r="J506">
            <v>0</v>
          </cell>
          <cell r="K506" t="str">
            <v/>
          </cell>
          <cell r="L506">
            <v>255</v>
          </cell>
          <cell r="M506" t="str">
            <v/>
          </cell>
        </row>
      </sheetData>
      <sheetData sheetId="6">
        <row r="7">
          <cell r="C7" t="str">
            <v>SJ01</v>
          </cell>
          <cell r="D7" t="str">
            <v>ADHĀN</v>
          </cell>
          <cell r="E7" t="str">
            <v>SUB JUNIOR</v>
          </cell>
          <cell r="F7" t="str">
            <v>Single</v>
          </cell>
          <cell r="G7" t="str">
            <v>Non-Stg</v>
          </cell>
          <cell r="H7">
            <v>3</v>
          </cell>
          <cell r="I7" t="str">
            <v>Individual</v>
          </cell>
          <cell r="J7" t="str">
            <v>Individual</v>
          </cell>
          <cell r="K7" t="str">
            <v>P</v>
          </cell>
          <cell r="L7" t="str">
            <v>PUBLISHED</v>
          </cell>
        </row>
        <row r="8">
          <cell r="C8" t="str">
            <v>SJ02</v>
          </cell>
          <cell r="D8" t="str">
            <v>DICTIONARY MAKING ARB</v>
          </cell>
          <cell r="E8" t="str">
            <v>SUB JUNIOR</v>
          </cell>
          <cell r="F8" t="str">
            <v>Single</v>
          </cell>
          <cell r="G8" t="str">
            <v>Non-Stg</v>
          </cell>
          <cell r="H8">
            <v>3</v>
          </cell>
          <cell r="I8" t="str">
            <v>Individual</v>
          </cell>
          <cell r="J8" t="str">
            <v>Individual</v>
          </cell>
          <cell r="K8" t="str">
            <v>P</v>
          </cell>
          <cell r="L8" t="str">
            <v>PUBLISHED</v>
          </cell>
        </row>
        <row r="9">
          <cell r="C9" t="str">
            <v>SJ03</v>
          </cell>
          <cell r="D9" t="str">
            <v>DICTIONARY MAKING ENG</v>
          </cell>
          <cell r="E9" t="str">
            <v>SUB JUNIOR</v>
          </cell>
          <cell r="F9" t="str">
            <v>Single</v>
          </cell>
          <cell r="G9" t="str">
            <v>Non-Stg</v>
          </cell>
          <cell r="H9">
            <v>3</v>
          </cell>
          <cell r="I9" t="str">
            <v>Individual</v>
          </cell>
          <cell r="J9" t="str">
            <v>Individual</v>
          </cell>
          <cell r="K9" t="str">
            <v>P</v>
          </cell>
          <cell r="L9" t="str">
            <v>PUBLISHED</v>
          </cell>
        </row>
        <row r="10">
          <cell r="C10" t="str">
            <v>SJ04</v>
          </cell>
          <cell r="D10" t="str">
            <v>ESSAY WRITING MLM</v>
          </cell>
          <cell r="E10" t="str">
            <v>SUB JUNIOR</v>
          </cell>
          <cell r="F10" t="str">
            <v>Single</v>
          </cell>
          <cell r="G10" t="str">
            <v>Non-Stg</v>
          </cell>
          <cell r="H10">
            <v>3</v>
          </cell>
          <cell r="I10" t="str">
            <v>Individual</v>
          </cell>
          <cell r="J10" t="str">
            <v>Individual</v>
          </cell>
          <cell r="K10" t="str">
            <v>P</v>
          </cell>
          <cell r="L10" t="str">
            <v>PUBLISHED</v>
          </cell>
        </row>
        <row r="11">
          <cell r="C11" t="str">
            <v>SJ05</v>
          </cell>
          <cell r="D11" t="str">
            <v>GK QUIZ</v>
          </cell>
          <cell r="E11" t="str">
            <v>SUB JUNIOR</v>
          </cell>
          <cell r="F11" t="str">
            <v>Single</v>
          </cell>
          <cell r="G11" t="str">
            <v>Non-Stg</v>
          </cell>
          <cell r="H11">
            <v>3</v>
          </cell>
          <cell r="I11" t="str">
            <v>Master</v>
          </cell>
          <cell r="J11" t="str">
            <v>Master</v>
          </cell>
          <cell r="K11" t="str">
            <v>P</v>
          </cell>
          <cell r="L11" t="str">
            <v>PUBLISHED</v>
          </cell>
        </row>
        <row r="12">
          <cell r="C12" t="str">
            <v>SJ06</v>
          </cell>
          <cell r="D12" t="str">
            <v>ḤIFẒ</v>
          </cell>
          <cell r="E12" t="str">
            <v>SUB JUNIOR</v>
          </cell>
          <cell r="F12" t="str">
            <v>Single</v>
          </cell>
          <cell r="G12" t="str">
            <v>Non-Stg</v>
          </cell>
          <cell r="H12">
            <v>3</v>
          </cell>
          <cell r="I12" t="str">
            <v>Individual</v>
          </cell>
          <cell r="J12" t="str">
            <v>Individual</v>
          </cell>
          <cell r="K12" t="str">
            <v>P</v>
          </cell>
          <cell r="L12" t="str">
            <v>PUBLISHED</v>
          </cell>
        </row>
        <row r="13">
          <cell r="C13" t="str">
            <v>SJ07</v>
          </cell>
          <cell r="D13" t="str">
            <v>MATH TALENT</v>
          </cell>
          <cell r="E13" t="str">
            <v>SUB JUNIOR</v>
          </cell>
          <cell r="F13" t="str">
            <v>Single</v>
          </cell>
          <cell r="G13" t="str">
            <v>Non-Stg</v>
          </cell>
          <cell r="H13">
            <v>3</v>
          </cell>
          <cell r="I13" t="str">
            <v>Master</v>
          </cell>
          <cell r="J13" t="str">
            <v>Master</v>
          </cell>
          <cell r="K13" t="str">
            <v>P</v>
          </cell>
          <cell r="L13" t="str">
            <v>PUBLISHED</v>
          </cell>
        </row>
        <row r="14">
          <cell r="C14" t="str">
            <v>SJ08</v>
          </cell>
          <cell r="D14" t="str">
            <v>MEMORY TEST</v>
          </cell>
          <cell r="E14" t="str">
            <v>SUB JUNIOR</v>
          </cell>
          <cell r="F14" t="str">
            <v>Single</v>
          </cell>
          <cell r="G14" t="str">
            <v>Non-Stg</v>
          </cell>
          <cell r="H14">
            <v>3</v>
          </cell>
          <cell r="I14" t="str">
            <v>Individual</v>
          </cell>
          <cell r="J14" t="str">
            <v>Individual</v>
          </cell>
          <cell r="K14" t="str">
            <v>P</v>
          </cell>
          <cell r="L14" t="str">
            <v>PUBLISHED</v>
          </cell>
        </row>
        <row r="15">
          <cell r="C15" t="str">
            <v>SJ09</v>
          </cell>
          <cell r="D15" t="str">
            <v>MS PAINT</v>
          </cell>
          <cell r="E15" t="str">
            <v>SUB JUNIOR</v>
          </cell>
          <cell r="F15" t="str">
            <v>Single</v>
          </cell>
          <cell r="G15" t="str">
            <v>Non-Stg</v>
          </cell>
          <cell r="H15">
            <v>2</v>
          </cell>
          <cell r="I15" t="str">
            <v>Individual</v>
          </cell>
          <cell r="J15" t="str">
            <v>Individual</v>
          </cell>
          <cell r="K15" t="str">
            <v>P</v>
          </cell>
          <cell r="L15" t="str">
            <v>PUBLISHED</v>
          </cell>
        </row>
        <row r="16">
          <cell r="C16" t="str">
            <v>SJ10</v>
          </cell>
          <cell r="D16" t="str">
            <v>MULTI LING HAND WRITING</v>
          </cell>
          <cell r="E16" t="str">
            <v>SUB JUNIOR</v>
          </cell>
          <cell r="F16" t="str">
            <v>Single</v>
          </cell>
          <cell r="G16" t="str">
            <v>Non-Stg</v>
          </cell>
          <cell r="H16">
            <v>3</v>
          </cell>
          <cell r="I16" t="str">
            <v>Individual</v>
          </cell>
          <cell r="J16" t="str">
            <v>Individual</v>
          </cell>
          <cell r="K16" t="str">
            <v>P</v>
          </cell>
          <cell r="L16" t="str">
            <v>PUBLISHED</v>
          </cell>
        </row>
        <row r="17">
          <cell r="C17" t="str">
            <v>SJ11</v>
          </cell>
          <cell r="D17" t="str">
            <v>NEWS WRITING MLM</v>
          </cell>
          <cell r="E17" t="str">
            <v>SUB JUNIOR</v>
          </cell>
          <cell r="F17" t="str">
            <v>Single</v>
          </cell>
          <cell r="G17" t="str">
            <v>Non-Stg</v>
          </cell>
          <cell r="H17">
            <v>3</v>
          </cell>
          <cell r="I17" t="str">
            <v>Individual</v>
          </cell>
          <cell r="J17" t="str">
            <v>Individual</v>
          </cell>
          <cell r="K17" t="str">
            <v>P</v>
          </cell>
          <cell r="L17" t="str">
            <v>PUBLISHED</v>
          </cell>
        </row>
        <row r="18">
          <cell r="C18" t="str">
            <v>SJ12</v>
          </cell>
          <cell r="D18" t="str">
            <v>PENCIL DRAWING</v>
          </cell>
          <cell r="E18" t="str">
            <v>SUB JUNIOR</v>
          </cell>
          <cell r="F18" t="str">
            <v>Single</v>
          </cell>
          <cell r="G18" t="str">
            <v>Non-Stg</v>
          </cell>
          <cell r="H18">
            <v>2</v>
          </cell>
          <cell r="I18" t="str">
            <v>Individual</v>
          </cell>
          <cell r="J18" t="str">
            <v>Individual</v>
          </cell>
          <cell r="K18" t="str">
            <v>P</v>
          </cell>
          <cell r="L18" t="str">
            <v>PUBLISHED</v>
          </cell>
        </row>
        <row r="19">
          <cell r="C19" t="str">
            <v>SJ13</v>
          </cell>
          <cell r="D19" t="str">
            <v>POEM WRITING MLM</v>
          </cell>
          <cell r="E19" t="str">
            <v>SUB JUNIOR</v>
          </cell>
          <cell r="F19" t="str">
            <v>Single</v>
          </cell>
          <cell r="G19" t="str">
            <v>Non-Stg</v>
          </cell>
          <cell r="H19">
            <v>3</v>
          </cell>
          <cell r="I19" t="str">
            <v>Individual</v>
          </cell>
          <cell r="J19" t="str">
            <v>Individual</v>
          </cell>
          <cell r="K19" t="str">
            <v>P</v>
          </cell>
          <cell r="L19" t="str">
            <v>PUBLISHED</v>
          </cell>
        </row>
        <row r="20">
          <cell r="C20" t="str">
            <v>SJ14</v>
          </cell>
          <cell r="D20" t="str">
            <v>POSTER DESIGNING (non digital)</v>
          </cell>
          <cell r="E20" t="str">
            <v>SUB JUNIOR</v>
          </cell>
          <cell r="F20" t="str">
            <v>Single</v>
          </cell>
          <cell r="G20" t="str">
            <v>Non-Stg</v>
          </cell>
          <cell r="H20">
            <v>2</v>
          </cell>
          <cell r="I20" t="str">
            <v>Individual</v>
          </cell>
          <cell r="J20" t="str">
            <v>Individual</v>
          </cell>
          <cell r="K20" t="str">
            <v>P</v>
          </cell>
          <cell r="L20" t="str">
            <v>PUBLISHED</v>
          </cell>
        </row>
        <row r="21">
          <cell r="C21" t="str">
            <v>SJ15</v>
          </cell>
          <cell r="D21" t="str">
            <v>QIRĀʾAH</v>
          </cell>
          <cell r="E21" t="str">
            <v>SUB JUNIOR</v>
          </cell>
          <cell r="F21" t="str">
            <v>Single</v>
          </cell>
          <cell r="G21" t="str">
            <v>Non-Stg</v>
          </cell>
          <cell r="H21">
            <v>3</v>
          </cell>
          <cell r="I21" t="str">
            <v>Individual</v>
          </cell>
          <cell r="J21" t="str">
            <v>Individual</v>
          </cell>
          <cell r="K21" t="str">
            <v>P</v>
          </cell>
          <cell r="L21" t="str">
            <v>PUBLISHED</v>
          </cell>
        </row>
        <row r="22">
          <cell r="C22" t="str">
            <v>SJ16</v>
          </cell>
          <cell r="D22" t="str">
            <v>SHORT STORY MLM</v>
          </cell>
          <cell r="E22" t="str">
            <v>SUB JUNIOR</v>
          </cell>
          <cell r="F22" t="str">
            <v>Single</v>
          </cell>
          <cell r="G22" t="str">
            <v>Non-Stg</v>
          </cell>
          <cell r="H22">
            <v>3</v>
          </cell>
          <cell r="I22" t="str">
            <v>Individual</v>
          </cell>
          <cell r="J22" t="str">
            <v>Individual</v>
          </cell>
          <cell r="K22" t="str">
            <v>P</v>
          </cell>
          <cell r="L22" t="str">
            <v>PUBLISHED</v>
          </cell>
        </row>
        <row r="23">
          <cell r="C23" t="str">
            <v>SJ17</v>
          </cell>
          <cell r="D23" t="str">
            <v>STORY COMPLETION MLM</v>
          </cell>
          <cell r="E23" t="str">
            <v>SUB JUNIOR</v>
          </cell>
          <cell r="F23" t="str">
            <v>Single</v>
          </cell>
          <cell r="G23" t="str">
            <v>Non-Stg</v>
          </cell>
          <cell r="H23">
            <v>3</v>
          </cell>
          <cell r="I23" t="str">
            <v>Individual</v>
          </cell>
          <cell r="J23" t="str">
            <v>Individual</v>
          </cell>
          <cell r="K23" t="str">
            <v>P</v>
          </cell>
          <cell r="L23" t="str">
            <v>PUBLISHED</v>
          </cell>
        </row>
        <row r="24">
          <cell r="C24" t="str">
            <v>SJ18</v>
          </cell>
          <cell r="D24" t="str">
            <v>SUDOKU</v>
          </cell>
          <cell r="E24" t="str">
            <v>SUB JUNIOR</v>
          </cell>
          <cell r="F24" t="str">
            <v>Single</v>
          </cell>
          <cell r="G24" t="str">
            <v>Non-Stg</v>
          </cell>
          <cell r="H24">
            <v>3</v>
          </cell>
          <cell r="I24" t="str">
            <v>Individual</v>
          </cell>
          <cell r="J24" t="str">
            <v>Individual</v>
          </cell>
          <cell r="K24" t="str">
            <v>P</v>
          </cell>
          <cell r="L24" t="str">
            <v>PUBLISHED</v>
          </cell>
        </row>
        <row r="25">
          <cell r="C25" t="str">
            <v>SJ19</v>
          </cell>
          <cell r="D25" t="str">
            <v>TYPING ENG</v>
          </cell>
          <cell r="E25" t="str">
            <v>SUB JUNIOR</v>
          </cell>
          <cell r="F25" t="str">
            <v>Single</v>
          </cell>
          <cell r="G25" t="str">
            <v>Non-Stg</v>
          </cell>
          <cell r="H25">
            <v>3</v>
          </cell>
          <cell r="I25" t="str">
            <v>Individual</v>
          </cell>
          <cell r="J25" t="str">
            <v>Individual</v>
          </cell>
          <cell r="K25" t="str">
            <v>P</v>
          </cell>
          <cell r="L25" t="str">
            <v>PUBLISHED</v>
          </cell>
        </row>
        <row r="26">
          <cell r="C26" t="str">
            <v>SJ20</v>
          </cell>
          <cell r="D26" t="str">
            <v>VOCABULARY</v>
          </cell>
          <cell r="E26" t="str">
            <v>SUB JUNIOR</v>
          </cell>
          <cell r="F26" t="str">
            <v>Single</v>
          </cell>
          <cell r="G26" t="str">
            <v>Non-Stg</v>
          </cell>
          <cell r="H26">
            <v>3</v>
          </cell>
          <cell r="I26" t="str">
            <v>Individual</v>
          </cell>
          <cell r="J26" t="str">
            <v>Individual</v>
          </cell>
          <cell r="K26" t="str">
            <v>P</v>
          </cell>
          <cell r="L26" t="str">
            <v>PUBLISHED</v>
          </cell>
        </row>
        <row r="27">
          <cell r="C27" t="str">
            <v>SJ21</v>
          </cell>
          <cell r="D27" t="str">
            <v>WATER PAINTING</v>
          </cell>
          <cell r="E27" t="str">
            <v>SUB JUNIOR</v>
          </cell>
          <cell r="F27" t="str">
            <v>Single</v>
          </cell>
          <cell r="G27" t="str">
            <v>Non-Stg</v>
          </cell>
          <cell r="H27">
            <v>2</v>
          </cell>
          <cell r="I27" t="str">
            <v>Individual</v>
          </cell>
          <cell r="J27" t="str">
            <v>Individual</v>
          </cell>
          <cell r="K27" t="str">
            <v>P</v>
          </cell>
          <cell r="L27" t="str">
            <v>PUBLISHED</v>
          </cell>
        </row>
        <row r="28">
          <cell r="C28" t="str">
            <v>SJ22</v>
          </cell>
          <cell r="D28" t="str">
            <v>GEO GIANT</v>
          </cell>
          <cell r="E28" t="str">
            <v>SUB JUNIOR</v>
          </cell>
          <cell r="F28" t="str">
            <v>Single</v>
          </cell>
          <cell r="G28" t="str">
            <v>Stage</v>
          </cell>
          <cell r="H28">
            <v>3</v>
          </cell>
          <cell r="I28" t="str">
            <v>Master</v>
          </cell>
          <cell r="J28" t="str">
            <v>Master</v>
          </cell>
          <cell r="K28" t="str">
            <v>P</v>
          </cell>
          <cell r="L28" t="str">
            <v>PUBLISHED</v>
          </cell>
        </row>
        <row r="29">
          <cell r="C29" t="str">
            <v>SJ23</v>
          </cell>
          <cell r="D29" t="str">
            <v>KADHAKADHANAM MLM</v>
          </cell>
          <cell r="E29" t="str">
            <v>SUB JUNIOR</v>
          </cell>
          <cell r="F29" t="str">
            <v>Single</v>
          </cell>
          <cell r="G29" t="str">
            <v>Stage</v>
          </cell>
          <cell r="H29">
            <v>3</v>
          </cell>
          <cell r="I29" t="str">
            <v>Individual</v>
          </cell>
          <cell r="J29" t="str">
            <v>Individual</v>
          </cell>
          <cell r="K29" t="str">
            <v>P</v>
          </cell>
          <cell r="L29" t="str">
            <v>PUBLISHED</v>
          </cell>
        </row>
        <row r="30">
          <cell r="C30" t="str">
            <v>SJ24</v>
          </cell>
          <cell r="D30" t="str">
            <v>NJAN MALAYALI</v>
          </cell>
          <cell r="E30" t="str">
            <v>SUB JUNIOR</v>
          </cell>
          <cell r="F30" t="str">
            <v>Single</v>
          </cell>
          <cell r="G30" t="str">
            <v>Stage</v>
          </cell>
          <cell r="H30">
            <v>3</v>
          </cell>
          <cell r="I30" t="str">
            <v>Individual</v>
          </cell>
          <cell r="J30" t="str">
            <v>Individual</v>
          </cell>
          <cell r="K30" t="str">
            <v>P</v>
          </cell>
          <cell r="L30" t="str">
            <v>PUBLISHED</v>
          </cell>
        </row>
        <row r="31">
          <cell r="C31" t="str">
            <v>SJ25</v>
          </cell>
          <cell r="D31" t="str">
            <v>POEM RECITATION</v>
          </cell>
          <cell r="E31" t="str">
            <v>SUB JUNIOR</v>
          </cell>
          <cell r="F31" t="str">
            <v>Single</v>
          </cell>
          <cell r="G31" t="str">
            <v>Stage</v>
          </cell>
          <cell r="H31">
            <v>3</v>
          </cell>
          <cell r="I31" t="str">
            <v>Individual</v>
          </cell>
          <cell r="J31" t="str">
            <v>Individual</v>
          </cell>
          <cell r="K31" t="str">
            <v>P</v>
          </cell>
          <cell r="L31" t="str">
            <v>PUBLISHED</v>
          </cell>
        </row>
        <row r="32">
          <cell r="C32" t="str">
            <v>SJ26</v>
          </cell>
          <cell r="D32" t="str">
            <v>READING ARB</v>
          </cell>
          <cell r="E32" t="str">
            <v>SUB JUNIOR</v>
          </cell>
          <cell r="F32" t="str">
            <v>Single</v>
          </cell>
          <cell r="G32" t="str">
            <v>Stage</v>
          </cell>
          <cell r="H32">
            <v>3</v>
          </cell>
          <cell r="I32" t="str">
            <v>Individual</v>
          </cell>
          <cell r="J32" t="str">
            <v>Individual</v>
          </cell>
          <cell r="K32" t="str">
            <v>P</v>
          </cell>
          <cell r="L32" t="str">
            <v>PUBLISHED</v>
          </cell>
        </row>
        <row r="33">
          <cell r="C33" t="str">
            <v>SJ27</v>
          </cell>
          <cell r="D33" t="str">
            <v>READING ENG</v>
          </cell>
          <cell r="E33" t="str">
            <v>SUB JUNIOR</v>
          </cell>
          <cell r="F33" t="str">
            <v>Single</v>
          </cell>
          <cell r="G33" t="str">
            <v>Stage</v>
          </cell>
          <cell r="H33">
            <v>3</v>
          </cell>
          <cell r="I33" t="str">
            <v>Individual</v>
          </cell>
          <cell r="J33" t="str">
            <v>Individual</v>
          </cell>
          <cell r="K33" t="str">
            <v>P</v>
          </cell>
          <cell r="L33" t="str">
            <v>PUBLISHED</v>
          </cell>
        </row>
        <row r="34">
          <cell r="C34" t="str">
            <v>SJ28</v>
          </cell>
          <cell r="D34" t="str">
            <v>READING HINDI</v>
          </cell>
          <cell r="E34" t="str">
            <v>SUB JUNIOR</v>
          </cell>
          <cell r="F34" t="str">
            <v>Single</v>
          </cell>
          <cell r="G34" t="str">
            <v>Stage</v>
          </cell>
          <cell r="H34">
            <v>3</v>
          </cell>
          <cell r="I34" t="str">
            <v>Individual</v>
          </cell>
          <cell r="J34" t="str">
            <v>Individual</v>
          </cell>
          <cell r="K34" t="str">
            <v>P</v>
          </cell>
          <cell r="L34" t="str">
            <v>PUBLISHED</v>
          </cell>
        </row>
        <row r="35">
          <cell r="C35" t="str">
            <v>SJ29</v>
          </cell>
          <cell r="D35" t="str">
            <v>READING MLM</v>
          </cell>
          <cell r="E35" t="str">
            <v>SUB JUNIOR</v>
          </cell>
          <cell r="F35" t="str">
            <v>Single</v>
          </cell>
          <cell r="G35" t="str">
            <v>Stage</v>
          </cell>
          <cell r="H35">
            <v>3</v>
          </cell>
          <cell r="I35" t="str">
            <v>Individual</v>
          </cell>
          <cell r="J35" t="str">
            <v>Individual</v>
          </cell>
          <cell r="K35" t="str">
            <v>P</v>
          </cell>
          <cell r="L35" t="str">
            <v>PUBLISHED</v>
          </cell>
        </row>
        <row r="36">
          <cell r="C36" t="str">
            <v>SJ30</v>
          </cell>
          <cell r="D36" t="str">
            <v>READING URD</v>
          </cell>
          <cell r="E36" t="str">
            <v>SUB JUNIOR</v>
          </cell>
          <cell r="F36" t="str">
            <v>Single</v>
          </cell>
          <cell r="G36" t="str">
            <v>Stage</v>
          </cell>
          <cell r="H36">
            <v>3</v>
          </cell>
          <cell r="I36" t="str">
            <v>Individual</v>
          </cell>
          <cell r="J36" t="str">
            <v>Individual</v>
          </cell>
          <cell r="K36" t="str">
            <v>P</v>
          </cell>
          <cell r="L36" t="str">
            <v>PUBLISHED</v>
          </cell>
        </row>
        <row r="37">
          <cell r="C37" t="str">
            <v>SJ31</v>
          </cell>
          <cell r="D37" t="str">
            <v>SONG ARB</v>
          </cell>
          <cell r="E37" t="str">
            <v>SUB JUNIOR</v>
          </cell>
          <cell r="F37" t="str">
            <v>Single</v>
          </cell>
          <cell r="G37" t="str">
            <v>Stage</v>
          </cell>
          <cell r="H37">
            <v>3</v>
          </cell>
          <cell r="I37" t="str">
            <v>Individual</v>
          </cell>
          <cell r="J37" t="str">
            <v>Individual</v>
          </cell>
          <cell r="K37" t="str">
            <v>P</v>
          </cell>
          <cell r="L37" t="str">
            <v>PUBLISHED</v>
          </cell>
        </row>
        <row r="38">
          <cell r="C38" t="str">
            <v>SJ32</v>
          </cell>
          <cell r="D38" t="str">
            <v>SONG MLM</v>
          </cell>
          <cell r="E38" t="str">
            <v>SUB JUNIOR</v>
          </cell>
          <cell r="F38" t="str">
            <v>Single</v>
          </cell>
          <cell r="G38" t="str">
            <v>Stage</v>
          </cell>
          <cell r="H38">
            <v>3</v>
          </cell>
          <cell r="I38" t="str">
            <v>Individual</v>
          </cell>
          <cell r="J38" t="str">
            <v>Individual</v>
          </cell>
          <cell r="K38" t="str">
            <v>P</v>
          </cell>
          <cell r="L38" t="str">
            <v>PUBLISHED</v>
          </cell>
        </row>
        <row r="39">
          <cell r="C39" t="str">
            <v>SJ33</v>
          </cell>
          <cell r="D39" t="str">
            <v>SONG URD</v>
          </cell>
          <cell r="E39" t="str">
            <v>SUB JUNIOR</v>
          </cell>
          <cell r="F39" t="str">
            <v>Single</v>
          </cell>
          <cell r="G39" t="str">
            <v>Stage</v>
          </cell>
          <cell r="H39">
            <v>3</v>
          </cell>
          <cell r="I39" t="str">
            <v>Individual</v>
          </cell>
          <cell r="J39" t="str">
            <v>Individual</v>
          </cell>
          <cell r="K39" t="str">
            <v>P</v>
          </cell>
          <cell r="L39" t="str">
            <v>PUBLISHED</v>
          </cell>
        </row>
        <row r="40">
          <cell r="C40" t="str">
            <v>SJ34</v>
          </cell>
          <cell r="D40" t="str">
            <v>SPEECH ARB</v>
          </cell>
          <cell r="E40" t="str">
            <v>SUB JUNIOR</v>
          </cell>
          <cell r="F40" t="str">
            <v>Single</v>
          </cell>
          <cell r="G40" t="str">
            <v>Stage</v>
          </cell>
          <cell r="H40">
            <v>3</v>
          </cell>
          <cell r="I40" t="str">
            <v>Individual</v>
          </cell>
          <cell r="J40" t="str">
            <v>Individual</v>
          </cell>
          <cell r="K40" t="str">
            <v>P</v>
          </cell>
          <cell r="L40" t="str">
            <v>PUBLISHED</v>
          </cell>
        </row>
        <row r="41">
          <cell r="C41" t="str">
            <v>SJ35</v>
          </cell>
          <cell r="D41" t="str">
            <v>SPEECH ENG</v>
          </cell>
          <cell r="E41" t="str">
            <v>SUB JUNIOR</v>
          </cell>
          <cell r="F41" t="str">
            <v>Single</v>
          </cell>
          <cell r="G41" t="str">
            <v>Stage</v>
          </cell>
          <cell r="H41">
            <v>3</v>
          </cell>
          <cell r="I41" t="str">
            <v>Individual</v>
          </cell>
          <cell r="J41" t="str">
            <v>Individual</v>
          </cell>
          <cell r="K41" t="str">
            <v>P</v>
          </cell>
          <cell r="L41" t="str">
            <v>PUBLISHED</v>
          </cell>
        </row>
        <row r="42">
          <cell r="C42" t="str">
            <v>SJ36</v>
          </cell>
          <cell r="D42" t="str">
            <v>SPEECH MLM</v>
          </cell>
          <cell r="E42" t="str">
            <v>SUB JUNIOR</v>
          </cell>
          <cell r="F42" t="str">
            <v>Single</v>
          </cell>
          <cell r="G42" t="str">
            <v>Stage</v>
          </cell>
          <cell r="H42">
            <v>3</v>
          </cell>
          <cell r="I42" t="str">
            <v>Individual</v>
          </cell>
          <cell r="J42" t="str">
            <v>Individual</v>
          </cell>
          <cell r="K42" t="str">
            <v>P</v>
          </cell>
          <cell r="L42" t="str">
            <v>PUBLISHED</v>
          </cell>
        </row>
        <row r="43">
          <cell r="C43" t="str">
            <v>SJ37</v>
          </cell>
          <cell r="D43" t="str">
            <v>SPEECH URD</v>
          </cell>
          <cell r="E43" t="str">
            <v>SUB JUNIOR</v>
          </cell>
          <cell r="F43" t="str">
            <v>Single</v>
          </cell>
          <cell r="G43" t="str">
            <v>Stage</v>
          </cell>
          <cell r="H43">
            <v>3</v>
          </cell>
          <cell r="I43" t="str">
            <v>Individual</v>
          </cell>
          <cell r="J43" t="str">
            <v>Individual</v>
          </cell>
          <cell r="K43" t="str">
            <v>P</v>
          </cell>
          <cell r="L43" t="str">
            <v>PUBLISHED</v>
          </cell>
        </row>
        <row r="44">
          <cell r="C44" t="str">
            <v>SJ38</v>
          </cell>
          <cell r="D44" t="str">
            <v>STORRY NARRATION ENG</v>
          </cell>
          <cell r="E44" t="str">
            <v>SUB JUNIOR</v>
          </cell>
          <cell r="F44" t="str">
            <v>Single</v>
          </cell>
          <cell r="G44" t="str">
            <v>Stage</v>
          </cell>
          <cell r="H44">
            <v>3</v>
          </cell>
          <cell r="I44" t="str">
            <v>Individual</v>
          </cell>
          <cell r="J44" t="str">
            <v>Individual</v>
          </cell>
          <cell r="K44" t="str">
            <v>P</v>
          </cell>
          <cell r="L44" t="str">
            <v>PUBLISHED</v>
          </cell>
        </row>
        <row r="45">
          <cell r="C45" t="str">
            <v>SJ39</v>
          </cell>
          <cell r="D45" t="str">
            <v>WAʿẒ</v>
          </cell>
          <cell r="E45" t="str">
            <v>SUB JUNIOR</v>
          </cell>
          <cell r="F45" t="str">
            <v>Single</v>
          </cell>
          <cell r="G45" t="str">
            <v>Stage</v>
          </cell>
          <cell r="H45">
            <v>3</v>
          </cell>
          <cell r="I45" t="str">
            <v>Individual</v>
          </cell>
          <cell r="J45" t="str">
            <v>Individual</v>
          </cell>
          <cell r="K45" t="str">
            <v>P</v>
          </cell>
          <cell r="L45" t="str">
            <v>PUBLISHED</v>
          </cell>
        </row>
        <row r="46">
          <cell r="C46" t="str">
            <v>SJ40</v>
          </cell>
          <cell r="D46" t="str">
            <v>WORD WIZARD</v>
          </cell>
          <cell r="E46" t="str">
            <v>SUB JUNIOR</v>
          </cell>
          <cell r="F46" t="str">
            <v>Single</v>
          </cell>
          <cell r="G46" t="str">
            <v>Stage</v>
          </cell>
          <cell r="H46">
            <v>3</v>
          </cell>
          <cell r="I46" t="str">
            <v>Individual</v>
          </cell>
          <cell r="J46" t="str">
            <v>Individual</v>
          </cell>
          <cell r="K46" t="str">
            <v>P</v>
          </cell>
          <cell r="L46" t="str">
            <v>PUBLISHED</v>
          </cell>
        </row>
        <row r="47">
          <cell r="C47" t="str">
            <v>SJ41</v>
          </cell>
          <cell r="D47" t="str">
            <v>CONVERSATION MLM</v>
          </cell>
          <cell r="E47" t="str">
            <v>SUB JUNIOR</v>
          </cell>
          <cell r="F47" t="str">
            <v>Group</v>
          </cell>
          <cell r="G47" t="str">
            <v>Stage</v>
          </cell>
          <cell r="H47">
            <v>2</v>
          </cell>
          <cell r="I47" t="str">
            <v>GROUP</v>
          </cell>
          <cell r="J47" t="str">
            <v>GROUP</v>
          </cell>
          <cell r="K47" t="str">
            <v>P</v>
          </cell>
          <cell r="L47" t="str">
            <v>PUBLISHED</v>
          </cell>
        </row>
        <row r="48">
          <cell r="C48" t="str">
            <v>SJ42</v>
          </cell>
          <cell r="D48" t="str">
            <v>MASH UP</v>
          </cell>
          <cell r="E48" t="str">
            <v>SUB JUNIOR</v>
          </cell>
          <cell r="F48" t="str">
            <v>Group</v>
          </cell>
          <cell r="G48" t="str">
            <v>Stage</v>
          </cell>
          <cell r="H48">
            <v>6</v>
          </cell>
          <cell r="I48" t="str">
            <v>GROUP</v>
          </cell>
          <cell r="J48" t="str">
            <v>GROUP</v>
          </cell>
          <cell r="K48" t="str">
            <v>P</v>
          </cell>
          <cell r="L48" t="str">
            <v>PUBLISHED</v>
          </cell>
        </row>
        <row r="49">
          <cell r="C49" t="str">
            <v>SJ43</v>
          </cell>
          <cell r="D49" t="str">
            <v>SPEECH &amp; SONG MLM</v>
          </cell>
          <cell r="E49" t="str">
            <v>SUB JUNIOR</v>
          </cell>
          <cell r="F49" t="str">
            <v>Group</v>
          </cell>
          <cell r="G49" t="str">
            <v>Stage</v>
          </cell>
          <cell r="H49">
            <v>3</v>
          </cell>
          <cell r="I49" t="str">
            <v>GROUP</v>
          </cell>
          <cell r="J49" t="str">
            <v>GROUP</v>
          </cell>
          <cell r="K49" t="str">
            <v>P</v>
          </cell>
          <cell r="L49" t="str">
            <v>PUBLISHED</v>
          </cell>
        </row>
        <row r="50">
          <cell r="C50" t="str">
            <v>JN01</v>
          </cell>
          <cell r="D50" t="str">
            <v>ACRYLIC PAINTING</v>
          </cell>
          <cell r="E50" t="str">
            <v>JUNIOR</v>
          </cell>
          <cell r="F50" t="str">
            <v>Single</v>
          </cell>
          <cell r="G50" t="str">
            <v>Non-Stg</v>
          </cell>
          <cell r="H50">
            <v>3</v>
          </cell>
          <cell r="I50" t="str">
            <v>Individual</v>
          </cell>
          <cell r="J50" t="str">
            <v>Individual</v>
          </cell>
          <cell r="K50" t="str">
            <v>P</v>
          </cell>
          <cell r="L50" t="str">
            <v>PUBLISHED</v>
          </cell>
        </row>
        <row r="51">
          <cell r="C51" t="str">
            <v>JN02</v>
          </cell>
          <cell r="D51" t="str">
            <v>CALLIGRAPHY</v>
          </cell>
          <cell r="E51" t="str">
            <v>JUNIOR</v>
          </cell>
          <cell r="F51" t="str">
            <v>Single</v>
          </cell>
          <cell r="G51" t="str">
            <v>Non-Stg</v>
          </cell>
          <cell r="H51">
            <v>2</v>
          </cell>
          <cell r="I51" t="str">
            <v>Individual</v>
          </cell>
          <cell r="J51" t="str">
            <v>Individual</v>
          </cell>
          <cell r="K51" t="str">
            <v>P</v>
          </cell>
          <cell r="L51" t="str">
            <v>PUBLISHED</v>
          </cell>
        </row>
        <row r="52">
          <cell r="C52" t="str">
            <v>JN03</v>
          </cell>
          <cell r="D52" t="str">
            <v>CAPTION MAKING</v>
          </cell>
          <cell r="E52" t="str">
            <v>JUNIOR</v>
          </cell>
          <cell r="F52" t="str">
            <v>Single</v>
          </cell>
          <cell r="G52" t="str">
            <v>Non-Stg</v>
          </cell>
          <cell r="H52">
            <v>3</v>
          </cell>
          <cell r="I52" t="str">
            <v>Individual</v>
          </cell>
          <cell r="J52" t="str">
            <v>Individual</v>
          </cell>
          <cell r="K52" t="str">
            <v>P</v>
          </cell>
          <cell r="L52" t="str">
            <v>PUBLISHED</v>
          </cell>
        </row>
        <row r="53">
          <cell r="C53" t="str">
            <v>JN04</v>
          </cell>
          <cell r="D53" t="str">
            <v>CARTOON</v>
          </cell>
          <cell r="E53" t="str">
            <v>JUNIOR</v>
          </cell>
          <cell r="F53" t="str">
            <v>Single</v>
          </cell>
          <cell r="G53" t="str">
            <v>Non-Stg</v>
          </cell>
          <cell r="H53">
            <v>2</v>
          </cell>
          <cell r="I53" t="str">
            <v>Individual</v>
          </cell>
          <cell r="J53" t="str">
            <v>Individual</v>
          </cell>
          <cell r="K53" t="str">
            <v>P</v>
          </cell>
          <cell r="L53" t="str">
            <v>PUBLISHED</v>
          </cell>
        </row>
        <row r="54">
          <cell r="C54" t="str">
            <v>JN05</v>
          </cell>
          <cell r="D54" t="str">
            <v>ESSAY ARB</v>
          </cell>
          <cell r="E54" t="str">
            <v>JUNIOR</v>
          </cell>
          <cell r="F54" t="str">
            <v>Single</v>
          </cell>
          <cell r="G54" t="str">
            <v>Non-Stg</v>
          </cell>
          <cell r="H54">
            <v>3</v>
          </cell>
          <cell r="I54" t="str">
            <v>Individual</v>
          </cell>
          <cell r="J54" t="str">
            <v>Individual</v>
          </cell>
          <cell r="K54" t="str">
            <v>P</v>
          </cell>
          <cell r="L54" t="str">
            <v>PUBLISHED</v>
          </cell>
        </row>
        <row r="55">
          <cell r="C55" t="str">
            <v>JN06</v>
          </cell>
          <cell r="D55" t="str">
            <v>ESSAY ENG</v>
          </cell>
          <cell r="E55" t="str">
            <v>JUNIOR</v>
          </cell>
          <cell r="F55" t="str">
            <v>Single</v>
          </cell>
          <cell r="G55" t="str">
            <v>Non-Stg</v>
          </cell>
          <cell r="H55">
            <v>3</v>
          </cell>
          <cell r="I55" t="str">
            <v>Individual</v>
          </cell>
          <cell r="J55" t="str">
            <v>Individual</v>
          </cell>
          <cell r="K55" t="str">
            <v>P</v>
          </cell>
          <cell r="L55" t="str">
            <v>PUBLISHED</v>
          </cell>
        </row>
        <row r="56">
          <cell r="C56" t="str">
            <v>JN07</v>
          </cell>
          <cell r="D56" t="str">
            <v>ESSAY MLM</v>
          </cell>
          <cell r="E56" t="str">
            <v>JUNIOR</v>
          </cell>
          <cell r="F56" t="str">
            <v>Single</v>
          </cell>
          <cell r="G56" t="str">
            <v>Non-Stg</v>
          </cell>
          <cell r="H56">
            <v>3</v>
          </cell>
          <cell r="I56" t="str">
            <v>Individual</v>
          </cell>
          <cell r="J56" t="str">
            <v>Individual</v>
          </cell>
          <cell r="K56" t="str">
            <v>P</v>
          </cell>
          <cell r="L56" t="str">
            <v>PUBLISHED</v>
          </cell>
        </row>
        <row r="57">
          <cell r="C57" t="str">
            <v>JN08</v>
          </cell>
          <cell r="D57" t="str">
            <v>ESSAY URD</v>
          </cell>
          <cell r="E57" t="str">
            <v>JUNIOR</v>
          </cell>
          <cell r="F57" t="str">
            <v>Single</v>
          </cell>
          <cell r="G57" t="str">
            <v>Non-Stg</v>
          </cell>
          <cell r="H57">
            <v>3</v>
          </cell>
          <cell r="I57" t="str">
            <v>Individual</v>
          </cell>
          <cell r="J57" t="str">
            <v>Individual</v>
          </cell>
          <cell r="K57" t="str">
            <v>P</v>
          </cell>
          <cell r="L57" t="str">
            <v>PUBLISHED</v>
          </cell>
        </row>
        <row r="58">
          <cell r="C58" t="str">
            <v>JN09</v>
          </cell>
          <cell r="D58" t="str">
            <v>GEO GIANT</v>
          </cell>
          <cell r="E58" t="str">
            <v>JUNIOR</v>
          </cell>
          <cell r="F58" t="str">
            <v>Single</v>
          </cell>
          <cell r="G58" t="str">
            <v>Non-Stg</v>
          </cell>
          <cell r="H58">
            <v>3</v>
          </cell>
          <cell r="I58" t="str">
            <v>Master</v>
          </cell>
          <cell r="J58" t="str">
            <v>Master</v>
          </cell>
          <cell r="K58" t="str">
            <v>P</v>
          </cell>
          <cell r="L58" t="str">
            <v>PUBLISHED</v>
          </cell>
        </row>
        <row r="59">
          <cell r="C59" t="str">
            <v>JN10</v>
          </cell>
          <cell r="D59" t="str">
            <v>GK QUIZ</v>
          </cell>
          <cell r="E59" t="str">
            <v>JUNIOR</v>
          </cell>
          <cell r="F59" t="str">
            <v>Single</v>
          </cell>
          <cell r="G59" t="str">
            <v>Non-Stg</v>
          </cell>
          <cell r="H59">
            <v>3</v>
          </cell>
          <cell r="I59" t="str">
            <v>Master</v>
          </cell>
          <cell r="J59" t="str">
            <v>Master</v>
          </cell>
          <cell r="K59" t="str">
            <v>P</v>
          </cell>
          <cell r="L59" t="str">
            <v>PUBLISHED</v>
          </cell>
        </row>
        <row r="60">
          <cell r="C60" t="str">
            <v>JN11</v>
          </cell>
          <cell r="D60" t="str">
            <v>ḤIFẒ</v>
          </cell>
          <cell r="E60" t="str">
            <v>JUNIOR</v>
          </cell>
          <cell r="F60" t="str">
            <v>Single</v>
          </cell>
          <cell r="G60" t="str">
            <v>Non-Stg</v>
          </cell>
          <cell r="H60">
            <v>3</v>
          </cell>
          <cell r="I60" t="str">
            <v>Individual</v>
          </cell>
          <cell r="J60" t="str">
            <v>Individual</v>
          </cell>
          <cell r="K60" t="str">
            <v>P</v>
          </cell>
          <cell r="L60" t="str">
            <v>PUBLISHED</v>
          </cell>
        </row>
        <row r="61">
          <cell r="C61" t="str">
            <v>JN12</v>
          </cell>
          <cell r="D61" t="str">
            <v>MATH TALENT</v>
          </cell>
          <cell r="E61" t="str">
            <v>JUNIOR</v>
          </cell>
          <cell r="F61" t="str">
            <v>Single</v>
          </cell>
          <cell r="G61" t="str">
            <v>Non-Stg</v>
          </cell>
          <cell r="H61">
            <v>3</v>
          </cell>
          <cell r="I61" t="str">
            <v>Master</v>
          </cell>
          <cell r="J61" t="str">
            <v>Master</v>
          </cell>
          <cell r="K61" t="str">
            <v>P</v>
          </cell>
          <cell r="L61" t="str">
            <v>PUBLISHED</v>
          </cell>
        </row>
        <row r="62">
          <cell r="C62" t="str">
            <v>JN13</v>
          </cell>
          <cell r="D62" t="str">
            <v>NEWS WRITING MLM</v>
          </cell>
          <cell r="E62" t="str">
            <v>JUNIOR</v>
          </cell>
          <cell r="F62" t="str">
            <v>Single</v>
          </cell>
          <cell r="G62" t="str">
            <v>Non-Stg</v>
          </cell>
          <cell r="H62">
            <v>3</v>
          </cell>
          <cell r="I62" t="str">
            <v>Individual</v>
          </cell>
          <cell r="J62" t="str">
            <v>Individual</v>
          </cell>
          <cell r="K62" t="str">
            <v>P</v>
          </cell>
          <cell r="L62" t="str">
            <v>PUBLISHED</v>
          </cell>
        </row>
        <row r="63">
          <cell r="C63" t="str">
            <v>JN14</v>
          </cell>
          <cell r="D63" t="str">
            <v>PAINTING</v>
          </cell>
          <cell r="E63" t="str">
            <v>JUNIOR</v>
          </cell>
          <cell r="F63" t="str">
            <v>Single</v>
          </cell>
          <cell r="G63" t="str">
            <v>Non-Stg</v>
          </cell>
          <cell r="H63">
            <v>2</v>
          </cell>
          <cell r="I63" t="str">
            <v>Individual</v>
          </cell>
          <cell r="J63" t="str">
            <v>Individual</v>
          </cell>
          <cell r="K63" t="str">
            <v>P</v>
          </cell>
          <cell r="L63" t="str">
            <v>PUBLISHED</v>
          </cell>
        </row>
        <row r="64">
          <cell r="C64" t="str">
            <v>JN15</v>
          </cell>
          <cell r="D64" t="str">
            <v>POEM ARB</v>
          </cell>
          <cell r="E64" t="str">
            <v>JUNIOR</v>
          </cell>
          <cell r="F64" t="str">
            <v>Single</v>
          </cell>
          <cell r="G64" t="str">
            <v>Non-Stg</v>
          </cell>
          <cell r="H64">
            <v>3</v>
          </cell>
          <cell r="I64" t="str">
            <v>Individual</v>
          </cell>
          <cell r="J64" t="str">
            <v>Individual</v>
          </cell>
          <cell r="K64" t="str">
            <v>P</v>
          </cell>
          <cell r="L64" t="str">
            <v>PUBLISHED</v>
          </cell>
        </row>
        <row r="65">
          <cell r="C65" t="str">
            <v>JN16</v>
          </cell>
          <cell r="D65" t="str">
            <v>POEM ENG</v>
          </cell>
          <cell r="E65" t="str">
            <v>JUNIOR</v>
          </cell>
          <cell r="F65" t="str">
            <v>Single</v>
          </cell>
          <cell r="G65" t="str">
            <v>Non-Stg</v>
          </cell>
          <cell r="H65">
            <v>3</v>
          </cell>
          <cell r="I65" t="str">
            <v>Individual</v>
          </cell>
          <cell r="J65" t="str">
            <v>Individual</v>
          </cell>
          <cell r="K65" t="str">
            <v>P</v>
          </cell>
          <cell r="L65" t="str">
            <v>PUBLISHED</v>
          </cell>
        </row>
        <row r="66">
          <cell r="C66" t="str">
            <v>JN17</v>
          </cell>
          <cell r="D66" t="str">
            <v>POEM MLM</v>
          </cell>
          <cell r="E66" t="str">
            <v>JUNIOR</v>
          </cell>
          <cell r="F66" t="str">
            <v>Single</v>
          </cell>
          <cell r="G66" t="str">
            <v>Non-Stg</v>
          </cell>
          <cell r="H66">
            <v>3</v>
          </cell>
          <cell r="I66" t="str">
            <v>Individual</v>
          </cell>
          <cell r="J66" t="str">
            <v>Individual</v>
          </cell>
          <cell r="K66" t="str">
            <v>P</v>
          </cell>
          <cell r="L66" t="str">
            <v>PUBLISHED</v>
          </cell>
        </row>
        <row r="67">
          <cell r="C67" t="str">
            <v>JN18</v>
          </cell>
          <cell r="D67" t="str">
            <v>POEM URD</v>
          </cell>
          <cell r="E67" t="str">
            <v>JUNIOR</v>
          </cell>
          <cell r="F67" t="str">
            <v>Single</v>
          </cell>
          <cell r="G67" t="str">
            <v>Non-Stg</v>
          </cell>
          <cell r="H67">
            <v>3</v>
          </cell>
          <cell r="I67" t="str">
            <v>Individual</v>
          </cell>
          <cell r="J67" t="str">
            <v>Individual</v>
          </cell>
          <cell r="K67" t="str">
            <v>P</v>
          </cell>
          <cell r="L67" t="str">
            <v>PUBLISHED</v>
          </cell>
        </row>
        <row r="68">
          <cell r="C68" t="str">
            <v>JN19</v>
          </cell>
          <cell r="D68" t="str">
            <v>POSTER DESIGNING DIGITAL</v>
          </cell>
          <cell r="E68" t="str">
            <v>JUNIOR</v>
          </cell>
          <cell r="F68" t="str">
            <v>Single</v>
          </cell>
          <cell r="G68" t="str">
            <v>Non-Stg</v>
          </cell>
          <cell r="H68">
            <v>2</v>
          </cell>
          <cell r="I68" t="str">
            <v>Individual</v>
          </cell>
          <cell r="J68" t="str">
            <v>Individual</v>
          </cell>
          <cell r="K68" t="str">
            <v>P</v>
          </cell>
          <cell r="L68" t="str">
            <v>PUBLISHED</v>
          </cell>
        </row>
        <row r="69">
          <cell r="C69" t="str">
            <v>JN20</v>
          </cell>
          <cell r="D69" t="str">
            <v>QIRĀʾAH</v>
          </cell>
          <cell r="E69" t="str">
            <v>JUNIOR</v>
          </cell>
          <cell r="F69" t="str">
            <v>Single</v>
          </cell>
          <cell r="G69" t="str">
            <v>Non-Stg</v>
          </cell>
          <cell r="H69">
            <v>3</v>
          </cell>
          <cell r="I69" t="str">
            <v>Individual</v>
          </cell>
          <cell r="J69" t="str">
            <v>Individual</v>
          </cell>
          <cell r="K69" t="str">
            <v>P</v>
          </cell>
          <cell r="L69" t="str">
            <v>PUBLISHED</v>
          </cell>
        </row>
        <row r="70">
          <cell r="C70" t="str">
            <v>JN21</v>
          </cell>
          <cell r="D70" t="str">
            <v>SCIENCE MASTER</v>
          </cell>
          <cell r="E70" t="str">
            <v>JUNIOR</v>
          </cell>
          <cell r="F70" t="str">
            <v>Single</v>
          </cell>
          <cell r="G70" t="str">
            <v>Non-Stg</v>
          </cell>
          <cell r="H70">
            <v>3</v>
          </cell>
          <cell r="I70" t="str">
            <v>Master</v>
          </cell>
          <cell r="J70" t="str">
            <v>Master</v>
          </cell>
          <cell r="K70" t="str">
            <v>P</v>
          </cell>
          <cell r="L70" t="str">
            <v>PUBLISHED</v>
          </cell>
        </row>
        <row r="71">
          <cell r="C71" t="str">
            <v>JN22</v>
          </cell>
          <cell r="D71" t="str">
            <v>SENTENCE TRANSLATION</v>
          </cell>
          <cell r="E71" t="str">
            <v>JUNIOR</v>
          </cell>
          <cell r="F71" t="str">
            <v>Single</v>
          </cell>
          <cell r="G71" t="str">
            <v>Non-Stg</v>
          </cell>
          <cell r="H71">
            <v>3</v>
          </cell>
          <cell r="I71" t="str">
            <v>Individual</v>
          </cell>
          <cell r="J71" t="str">
            <v>Individual</v>
          </cell>
          <cell r="K71" t="str">
            <v>P</v>
          </cell>
          <cell r="L71" t="str">
            <v>PUBLISHED</v>
          </cell>
        </row>
        <row r="72">
          <cell r="C72" t="str">
            <v>JN23</v>
          </cell>
          <cell r="D72" t="str">
            <v>SHORT STORY ARB</v>
          </cell>
          <cell r="E72" t="str">
            <v>JUNIOR</v>
          </cell>
          <cell r="F72" t="str">
            <v>Single</v>
          </cell>
          <cell r="G72" t="str">
            <v>Non-Stg</v>
          </cell>
          <cell r="H72">
            <v>3</v>
          </cell>
          <cell r="I72" t="str">
            <v>Individual</v>
          </cell>
          <cell r="J72" t="str">
            <v>Individual</v>
          </cell>
          <cell r="K72" t="str">
            <v>P</v>
          </cell>
          <cell r="L72" t="str">
            <v>PUBLISHED</v>
          </cell>
        </row>
        <row r="73">
          <cell r="C73" t="str">
            <v>JN24</v>
          </cell>
          <cell r="D73" t="str">
            <v>SHORT STORY ENG</v>
          </cell>
          <cell r="E73" t="str">
            <v>JUNIOR</v>
          </cell>
          <cell r="F73" t="str">
            <v>Single</v>
          </cell>
          <cell r="G73" t="str">
            <v>Non-Stg</v>
          </cell>
          <cell r="H73">
            <v>3</v>
          </cell>
          <cell r="I73" t="str">
            <v>Individual</v>
          </cell>
          <cell r="J73" t="str">
            <v>Individual</v>
          </cell>
          <cell r="K73" t="str">
            <v>P</v>
          </cell>
          <cell r="L73" t="str">
            <v>PUBLISHED</v>
          </cell>
        </row>
        <row r="74">
          <cell r="C74" t="str">
            <v>JN25</v>
          </cell>
          <cell r="D74" t="str">
            <v>SHORT STORY MLM</v>
          </cell>
          <cell r="E74" t="str">
            <v>JUNIOR</v>
          </cell>
          <cell r="F74" t="str">
            <v>Single</v>
          </cell>
          <cell r="G74" t="str">
            <v>Non-Stg</v>
          </cell>
          <cell r="H74">
            <v>3</v>
          </cell>
          <cell r="I74" t="str">
            <v>Individual</v>
          </cell>
          <cell r="J74" t="str">
            <v>Individual</v>
          </cell>
          <cell r="K74" t="str">
            <v>P</v>
          </cell>
          <cell r="L74" t="str">
            <v>PUBLISHED</v>
          </cell>
        </row>
        <row r="75">
          <cell r="C75" t="str">
            <v>JN26</v>
          </cell>
          <cell r="D75" t="str">
            <v>SPELLING BEE</v>
          </cell>
          <cell r="E75" t="str">
            <v>JUNIOR</v>
          </cell>
          <cell r="F75" t="str">
            <v>Single</v>
          </cell>
          <cell r="G75" t="str">
            <v>Non-Stg</v>
          </cell>
          <cell r="H75">
            <v>3</v>
          </cell>
          <cell r="I75" t="str">
            <v>Individual</v>
          </cell>
          <cell r="J75" t="str">
            <v>Individual</v>
          </cell>
          <cell r="K75" t="str">
            <v>P</v>
          </cell>
          <cell r="L75" t="str">
            <v>PUBLISHED</v>
          </cell>
        </row>
        <row r="76">
          <cell r="C76" t="str">
            <v>JN27</v>
          </cell>
          <cell r="D76" t="str">
            <v>SWARF IQ</v>
          </cell>
          <cell r="E76" t="str">
            <v>JUNIOR</v>
          </cell>
          <cell r="F76" t="str">
            <v>Single</v>
          </cell>
          <cell r="G76" t="str">
            <v>Non-Stg</v>
          </cell>
          <cell r="H76">
            <v>3</v>
          </cell>
          <cell r="I76" t="str">
            <v>Master</v>
          </cell>
          <cell r="J76" t="str">
            <v>Master</v>
          </cell>
          <cell r="K76" t="str">
            <v>P</v>
          </cell>
          <cell r="L76" t="str">
            <v>PUBLISHED</v>
          </cell>
        </row>
        <row r="77">
          <cell r="C77" t="str">
            <v>JN28</v>
          </cell>
          <cell r="D77" t="str">
            <v>TYPING MASTER ENG</v>
          </cell>
          <cell r="E77" t="str">
            <v>JUNIOR</v>
          </cell>
          <cell r="F77" t="str">
            <v>Single</v>
          </cell>
          <cell r="G77" t="str">
            <v>Non-Stg</v>
          </cell>
          <cell r="H77">
            <v>3</v>
          </cell>
          <cell r="I77" t="str">
            <v>Individual</v>
          </cell>
          <cell r="J77" t="str">
            <v>Individual</v>
          </cell>
          <cell r="K77" t="str">
            <v>P</v>
          </cell>
          <cell r="L77" t="str">
            <v>PUBLISHED</v>
          </cell>
        </row>
        <row r="78">
          <cell r="C78" t="str">
            <v>JN29</v>
          </cell>
          <cell r="D78" t="str">
            <v>TYPING MASTER MLM</v>
          </cell>
          <cell r="E78" t="str">
            <v>JUNIOR</v>
          </cell>
          <cell r="F78" t="str">
            <v>Single</v>
          </cell>
          <cell r="G78" t="str">
            <v>Non-Stg</v>
          </cell>
          <cell r="H78">
            <v>2</v>
          </cell>
          <cell r="I78" t="str">
            <v>Individual</v>
          </cell>
          <cell r="J78" t="str">
            <v>Individual</v>
          </cell>
          <cell r="K78" t="str">
            <v>P</v>
          </cell>
          <cell r="L78" t="str">
            <v>PUBLISHED</v>
          </cell>
        </row>
        <row r="79">
          <cell r="C79" t="str">
            <v>JN30</v>
          </cell>
          <cell r="D79" t="str">
            <v>VOCABULARY</v>
          </cell>
          <cell r="E79" t="str">
            <v>JUNIOR</v>
          </cell>
          <cell r="F79" t="str">
            <v>Single</v>
          </cell>
          <cell r="G79" t="str">
            <v>Non-Stg</v>
          </cell>
          <cell r="H79">
            <v>3</v>
          </cell>
          <cell r="I79" t="str">
            <v>Individual</v>
          </cell>
          <cell r="J79" t="str">
            <v>Individual</v>
          </cell>
          <cell r="K79" t="str">
            <v>P</v>
          </cell>
          <cell r="L79" t="str">
            <v>PUBLISHED</v>
          </cell>
        </row>
        <row r="80">
          <cell r="C80" t="str">
            <v>JN31</v>
          </cell>
          <cell r="D80" t="str">
            <v>JUST A MINUTE</v>
          </cell>
          <cell r="E80" t="str">
            <v>JUNIOR</v>
          </cell>
          <cell r="F80" t="str">
            <v>Single</v>
          </cell>
          <cell r="G80" t="str">
            <v>Stage</v>
          </cell>
          <cell r="H80">
            <v>3</v>
          </cell>
          <cell r="I80" t="str">
            <v>Individual</v>
          </cell>
          <cell r="J80" t="str">
            <v>Individual</v>
          </cell>
          <cell r="K80" t="str">
            <v>P</v>
          </cell>
          <cell r="L80" t="str">
            <v>PUBLISHED</v>
          </cell>
        </row>
        <row r="81">
          <cell r="C81" t="str">
            <v>JN32</v>
          </cell>
          <cell r="D81" t="str">
            <v>MADH GANAM MLM</v>
          </cell>
          <cell r="E81" t="str">
            <v>JUNIOR</v>
          </cell>
          <cell r="F81" t="str">
            <v>Single</v>
          </cell>
          <cell r="G81" t="str">
            <v>Stage</v>
          </cell>
          <cell r="H81">
            <v>3</v>
          </cell>
          <cell r="I81" t="str">
            <v>Individual</v>
          </cell>
          <cell r="J81" t="str">
            <v>Individual</v>
          </cell>
          <cell r="K81" t="str">
            <v>P</v>
          </cell>
          <cell r="L81" t="str">
            <v>PUBLISHED</v>
          </cell>
        </row>
        <row r="82">
          <cell r="C82" t="str">
            <v>JN33</v>
          </cell>
          <cell r="D82" t="str">
            <v>MULAFADHA</v>
          </cell>
          <cell r="E82" t="str">
            <v>JUNIOR</v>
          </cell>
          <cell r="F82" t="str">
            <v>Single</v>
          </cell>
          <cell r="G82" t="str">
            <v>Stage</v>
          </cell>
          <cell r="H82">
            <v>3</v>
          </cell>
          <cell r="I82" t="str">
            <v>Individual</v>
          </cell>
          <cell r="J82" t="str">
            <v>Individual</v>
          </cell>
          <cell r="K82" t="str">
            <v>P</v>
          </cell>
          <cell r="L82" t="str">
            <v>PUBLISHED</v>
          </cell>
        </row>
        <row r="83">
          <cell r="C83" t="str">
            <v>JN34</v>
          </cell>
          <cell r="D83" t="str">
            <v>PADHYAPARAYANAM</v>
          </cell>
          <cell r="E83" t="str">
            <v>JUNIOR</v>
          </cell>
          <cell r="F83" t="str">
            <v>Single</v>
          </cell>
          <cell r="G83" t="str">
            <v>Stage</v>
          </cell>
          <cell r="H83">
            <v>3</v>
          </cell>
          <cell r="I83" t="str">
            <v>Individual</v>
          </cell>
          <cell r="J83" t="str">
            <v>Individual</v>
          </cell>
          <cell r="K83" t="str">
            <v>P</v>
          </cell>
          <cell r="L83" t="str">
            <v>PUBLISHED</v>
          </cell>
        </row>
        <row r="84">
          <cell r="C84" t="str">
            <v>JN35</v>
          </cell>
          <cell r="D84" t="str">
            <v>SONG ARB</v>
          </cell>
          <cell r="E84" t="str">
            <v>JUNIOR</v>
          </cell>
          <cell r="F84" t="str">
            <v>Single</v>
          </cell>
          <cell r="G84" t="str">
            <v>Stage</v>
          </cell>
          <cell r="H84">
            <v>3</v>
          </cell>
          <cell r="I84" t="str">
            <v>Individual</v>
          </cell>
          <cell r="J84" t="str">
            <v>Individual</v>
          </cell>
          <cell r="K84" t="str">
            <v>P</v>
          </cell>
          <cell r="L84" t="str">
            <v>PUBLISHED</v>
          </cell>
        </row>
        <row r="85">
          <cell r="C85" t="str">
            <v>JN36</v>
          </cell>
          <cell r="D85" t="str">
            <v>SONG ENG</v>
          </cell>
          <cell r="E85" t="str">
            <v>JUNIOR</v>
          </cell>
          <cell r="F85" t="str">
            <v>Single</v>
          </cell>
          <cell r="G85" t="str">
            <v>Stage</v>
          </cell>
          <cell r="H85">
            <v>3</v>
          </cell>
          <cell r="I85" t="str">
            <v>Individual</v>
          </cell>
          <cell r="J85" t="str">
            <v>Individual</v>
          </cell>
          <cell r="K85" t="str">
            <v>P</v>
          </cell>
          <cell r="L85" t="str">
            <v>PUBLISHED</v>
          </cell>
        </row>
        <row r="86">
          <cell r="C86" t="str">
            <v>JN37</v>
          </cell>
          <cell r="D86" t="str">
            <v>SONG URD</v>
          </cell>
          <cell r="E86" t="str">
            <v>JUNIOR</v>
          </cell>
          <cell r="F86" t="str">
            <v>Single</v>
          </cell>
          <cell r="G86" t="str">
            <v>Stage</v>
          </cell>
          <cell r="H86">
            <v>3</v>
          </cell>
          <cell r="I86" t="str">
            <v>Individual</v>
          </cell>
          <cell r="J86" t="str">
            <v>Individual</v>
          </cell>
          <cell r="K86" t="str">
            <v>P</v>
          </cell>
          <cell r="L86" t="str">
            <v>PUBLISHED</v>
          </cell>
        </row>
        <row r="87">
          <cell r="C87" t="str">
            <v>JN38</v>
          </cell>
          <cell r="D87" t="str">
            <v>SPEECH ARB</v>
          </cell>
          <cell r="E87" t="str">
            <v>JUNIOR</v>
          </cell>
          <cell r="F87" t="str">
            <v>Single</v>
          </cell>
          <cell r="G87" t="str">
            <v>Stage</v>
          </cell>
          <cell r="H87">
            <v>3</v>
          </cell>
          <cell r="I87" t="str">
            <v>Individual</v>
          </cell>
          <cell r="J87" t="str">
            <v>Individual</v>
          </cell>
          <cell r="K87" t="str">
            <v>P</v>
          </cell>
          <cell r="L87" t="str">
            <v>PUBLISHED</v>
          </cell>
        </row>
        <row r="88">
          <cell r="C88" t="str">
            <v>JN39</v>
          </cell>
          <cell r="D88" t="str">
            <v>SPEECH ENG</v>
          </cell>
          <cell r="E88" t="str">
            <v>JUNIOR</v>
          </cell>
          <cell r="F88" t="str">
            <v>Single</v>
          </cell>
          <cell r="G88" t="str">
            <v>Stage</v>
          </cell>
          <cell r="H88">
            <v>3</v>
          </cell>
          <cell r="I88" t="str">
            <v>Individual</v>
          </cell>
          <cell r="J88" t="str">
            <v>Individual</v>
          </cell>
          <cell r="K88" t="str">
            <v>P</v>
          </cell>
          <cell r="L88" t="str">
            <v>PUBLISHED</v>
          </cell>
        </row>
        <row r="89">
          <cell r="C89" t="str">
            <v>JN40</v>
          </cell>
          <cell r="D89" t="str">
            <v>SPEECH MLM</v>
          </cell>
          <cell r="E89" t="str">
            <v>JUNIOR</v>
          </cell>
          <cell r="F89" t="str">
            <v>Single</v>
          </cell>
          <cell r="G89" t="str">
            <v>Stage</v>
          </cell>
          <cell r="H89">
            <v>3</v>
          </cell>
          <cell r="I89" t="str">
            <v>Individual</v>
          </cell>
          <cell r="J89" t="str">
            <v>Individual</v>
          </cell>
          <cell r="K89" t="str">
            <v>P</v>
          </cell>
          <cell r="L89" t="str">
            <v>PUBLISHED</v>
          </cell>
        </row>
        <row r="90">
          <cell r="C90" t="str">
            <v>JN41</v>
          </cell>
          <cell r="D90" t="str">
            <v>SPEECH URD</v>
          </cell>
          <cell r="E90" t="str">
            <v>JUNIOR</v>
          </cell>
          <cell r="F90" t="str">
            <v>Single</v>
          </cell>
          <cell r="G90" t="str">
            <v>Stage</v>
          </cell>
          <cell r="H90">
            <v>3</v>
          </cell>
          <cell r="I90" t="str">
            <v>Individual</v>
          </cell>
          <cell r="J90" t="str">
            <v>Individual</v>
          </cell>
          <cell r="K90" t="str">
            <v>P</v>
          </cell>
          <cell r="L90" t="str">
            <v>PUBLISHED</v>
          </cell>
        </row>
        <row r="91">
          <cell r="C91" t="str">
            <v>JN42</v>
          </cell>
          <cell r="D91" t="str">
            <v>WAʿẒ</v>
          </cell>
          <cell r="E91" t="str">
            <v>JUNIOR</v>
          </cell>
          <cell r="F91" t="str">
            <v>Single</v>
          </cell>
          <cell r="G91" t="str">
            <v>Stage</v>
          </cell>
          <cell r="H91">
            <v>3</v>
          </cell>
          <cell r="I91" t="str">
            <v>Individual</v>
          </cell>
          <cell r="J91" t="str">
            <v>Individual</v>
          </cell>
          <cell r="K91" t="str">
            <v>P</v>
          </cell>
          <cell r="L91" t="str">
            <v>PUBLISHED</v>
          </cell>
        </row>
        <row r="92">
          <cell r="C92" t="str">
            <v>JN43</v>
          </cell>
          <cell r="D92" t="str">
            <v>WORD FIGHT ENG</v>
          </cell>
          <cell r="E92" t="str">
            <v>JUNIOR</v>
          </cell>
          <cell r="F92" t="str">
            <v>Single</v>
          </cell>
          <cell r="G92" t="str">
            <v>Stage</v>
          </cell>
          <cell r="H92">
            <v>3</v>
          </cell>
          <cell r="I92" t="str">
            <v>Individual</v>
          </cell>
          <cell r="J92" t="str">
            <v>Individual</v>
          </cell>
          <cell r="K92" t="str">
            <v>P</v>
          </cell>
          <cell r="L92" t="str">
            <v>PUBLISHED</v>
          </cell>
        </row>
        <row r="93">
          <cell r="C93" t="str">
            <v>JN44</v>
          </cell>
          <cell r="D93" t="str">
            <v>INSTANT MAGAZINE MLM</v>
          </cell>
          <cell r="E93" t="str">
            <v>JUNIOR</v>
          </cell>
          <cell r="F93" t="str">
            <v>Group</v>
          </cell>
          <cell r="G93" t="str">
            <v>Non-Stg</v>
          </cell>
          <cell r="H93">
            <v>5</v>
          </cell>
          <cell r="I93" t="str">
            <v>GROUP</v>
          </cell>
          <cell r="J93" t="str">
            <v>GROUP</v>
          </cell>
          <cell r="K93" t="str">
            <v>P</v>
          </cell>
          <cell r="L93" t="str">
            <v>PUBLISHED</v>
          </cell>
        </row>
        <row r="94">
          <cell r="C94" t="str">
            <v>JN45</v>
          </cell>
          <cell r="D94" t="str">
            <v>MASH UP</v>
          </cell>
          <cell r="E94" t="str">
            <v>JUNIOR</v>
          </cell>
          <cell r="F94" t="str">
            <v>Group</v>
          </cell>
          <cell r="G94" t="str">
            <v>Stage</v>
          </cell>
          <cell r="H94">
            <v>6</v>
          </cell>
          <cell r="I94" t="str">
            <v>GROUP</v>
          </cell>
          <cell r="J94" t="str">
            <v>GROUP</v>
          </cell>
          <cell r="K94" t="str">
            <v>P</v>
          </cell>
          <cell r="L94" t="str">
            <v>PUBLISHED</v>
          </cell>
        </row>
        <row r="95">
          <cell r="C95" t="str">
            <v>JN46</v>
          </cell>
          <cell r="D95" t="str">
            <v>SPEECH &amp; SONG MLM</v>
          </cell>
          <cell r="E95" t="str">
            <v>JUNIOR</v>
          </cell>
          <cell r="F95" t="str">
            <v>Group</v>
          </cell>
          <cell r="G95" t="str">
            <v>Stage</v>
          </cell>
          <cell r="H95">
            <v>3</v>
          </cell>
          <cell r="I95" t="str">
            <v>GROUP</v>
          </cell>
          <cell r="J95" t="str">
            <v>GROUP</v>
          </cell>
          <cell r="K95" t="str">
            <v>P</v>
          </cell>
          <cell r="L95" t="str">
            <v>PUBLISHED</v>
          </cell>
        </row>
        <row r="96">
          <cell r="C96" t="str">
            <v>SN01</v>
          </cell>
          <cell r="D96" t="str">
            <v>ALFIYA CONTEST</v>
          </cell>
          <cell r="E96" t="str">
            <v>SENIOR</v>
          </cell>
          <cell r="F96" t="str">
            <v>Single</v>
          </cell>
          <cell r="G96" t="str">
            <v>Non-Stg</v>
          </cell>
          <cell r="H96">
            <v>2</v>
          </cell>
          <cell r="I96" t="str">
            <v>Individual</v>
          </cell>
          <cell r="J96" t="str">
            <v>Individual</v>
          </cell>
          <cell r="K96" t="str">
            <v>P</v>
          </cell>
          <cell r="L96" t="str">
            <v>PUBLISHED</v>
          </cell>
        </row>
        <row r="97">
          <cell r="C97" t="str">
            <v>SN02</v>
          </cell>
          <cell r="D97" t="str">
            <v>CALLIGRAPHY</v>
          </cell>
          <cell r="E97" t="str">
            <v>SENIOR</v>
          </cell>
          <cell r="F97" t="str">
            <v>Single</v>
          </cell>
          <cell r="G97" t="str">
            <v>Non-Stg</v>
          </cell>
          <cell r="H97">
            <v>2</v>
          </cell>
          <cell r="I97" t="str">
            <v>Individual</v>
          </cell>
          <cell r="J97" t="str">
            <v>Individual</v>
          </cell>
          <cell r="K97" t="str">
            <v>P</v>
          </cell>
          <cell r="L97" t="str">
            <v>PUBLISHED</v>
          </cell>
        </row>
        <row r="98">
          <cell r="C98" t="str">
            <v>SN03</v>
          </cell>
          <cell r="D98" t="str">
            <v>CAPTION WRITIING URD</v>
          </cell>
          <cell r="E98" t="str">
            <v>SENIOR</v>
          </cell>
          <cell r="F98" t="str">
            <v>Single</v>
          </cell>
          <cell r="G98" t="str">
            <v>Non-Stg</v>
          </cell>
          <cell r="H98">
            <v>3</v>
          </cell>
          <cell r="I98" t="str">
            <v>Individual</v>
          </cell>
          <cell r="J98" t="str">
            <v>Individual</v>
          </cell>
          <cell r="K98" t="str">
            <v>P</v>
          </cell>
          <cell r="L98" t="str">
            <v>PUBLISHED</v>
          </cell>
        </row>
        <row r="99">
          <cell r="C99" t="str">
            <v>SN04</v>
          </cell>
          <cell r="D99" t="str">
            <v>CARTOON</v>
          </cell>
          <cell r="E99" t="str">
            <v>SENIOR</v>
          </cell>
          <cell r="F99" t="str">
            <v>Single</v>
          </cell>
          <cell r="G99" t="str">
            <v>Non-Stg</v>
          </cell>
          <cell r="H99">
            <v>2</v>
          </cell>
          <cell r="I99" t="str">
            <v>Individual</v>
          </cell>
          <cell r="J99" t="str">
            <v>Individual</v>
          </cell>
          <cell r="K99" t="str">
            <v>P</v>
          </cell>
          <cell r="L99" t="str">
            <v>PUBLISHED</v>
          </cell>
        </row>
        <row r="100">
          <cell r="C100" t="str">
            <v>SN05</v>
          </cell>
          <cell r="D100" t="str">
            <v>ESSAY ARB</v>
          </cell>
          <cell r="E100" t="str">
            <v>SENIOR</v>
          </cell>
          <cell r="F100" t="str">
            <v>Single</v>
          </cell>
          <cell r="G100" t="str">
            <v>Non-Stg</v>
          </cell>
          <cell r="H100">
            <v>3</v>
          </cell>
          <cell r="I100" t="str">
            <v>Individual</v>
          </cell>
          <cell r="J100" t="str">
            <v>Individual</v>
          </cell>
          <cell r="K100" t="str">
            <v>P</v>
          </cell>
          <cell r="L100" t="str">
            <v>PUBLISHED</v>
          </cell>
        </row>
        <row r="101">
          <cell r="C101" t="str">
            <v>SN06</v>
          </cell>
          <cell r="D101" t="str">
            <v>ESSAY ENG</v>
          </cell>
          <cell r="E101" t="str">
            <v>SENIOR</v>
          </cell>
          <cell r="F101" t="str">
            <v>Single</v>
          </cell>
          <cell r="G101" t="str">
            <v>Non-Stg</v>
          </cell>
          <cell r="H101">
            <v>3</v>
          </cell>
          <cell r="I101" t="str">
            <v>Individual</v>
          </cell>
          <cell r="J101" t="str">
            <v>Individual</v>
          </cell>
          <cell r="K101" t="str">
            <v>P</v>
          </cell>
          <cell r="L101" t="str">
            <v>PUBLISHED</v>
          </cell>
        </row>
        <row r="102">
          <cell r="C102" t="str">
            <v>SN07</v>
          </cell>
          <cell r="D102" t="str">
            <v>ESSAY MLM</v>
          </cell>
          <cell r="E102" t="str">
            <v>SENIOR</v>
          </cell>
          <cell r="F102" t="str">
            <v>Single</v>
          </cell>
          <cell r="G102" t="str">
            <v>Non-Stg</v>
          </cell>
          <cell r="H102">
            <v>3</v>
          </cell>
          <cell r="I102" t="str">
            <v>Individual</v>
          </cell>
          <cell r="J102" t="str">
            <v>Individual</v>
          </cell>
          <cell r="K102" t="str">
            <v>P</v>
          </cell>
          <cell r="L102" t="str">
            <v>PUBLISHED</v>
          </cell>
        </row>
        <row r="103">
          <cell r="C103" t="str">
            <v>SN08</v>
          </cell>
          <cell r="D103" t="str">
            <v>ESSAY URD</v>
          </cell>
          <cell r="E103" t="str">
            <v>SENIOR</v>
          </cell>
          <cell r="F103" t="str">
            <v>Single</v>
          </cell>
          <cell r="G103" t="str">
            <v>Non-Stg</v>
          </cell>
          <cell r="H103">
            <v>3</v>
          </cell>
          <cell r="I103" t="str">
            <v>Individual</v>
          </cell>
          <cell r="J103" t="str">
            <v>Individual</v>
          </cell>
          <cell r="K103" t="str">
            <v>P</v>
          </cell>
          <cell r="L103" t="str">
            <v>PUBLISHED</v>
          </cell>
        </row>
        <row r="104">
          <cell r="C104" t="str">
            <v>SN09</v>
          </cell>
          <cell r="D104" t="str">
            <v>EXCEL EXPERT</v>
          </cell>
          <cell r="E104" t="str">
            <v>SENIOR</v>
          </cell>
          <cell r="F104" t="str">
            <v>Single</v>
          </cell>
          <cell r="G104" t="str">
            <v>Non-Stg</v>
          </cell>
          <cell r="H104">
            <v>2</v>
          </cell>
          <cell r="I104" t="str">
            <v>Individual</v>
          </cell>
          <cell r="J104" t="str">
            <v>Individual</v>
          </cell>
          <cell r="K104" t="str">
            <v>P</v>
          </cell>
          <cell r="L104" t="str">
            <v>PUBLISHED</v>
          </cell>
        </row>
        <row r="105">
          <cell r="C105" t="str">
            <v>SN10</v>
          </cell>
          <cell r="D105" t="str">
            <v>FEATURE ENG</v>
          </cell>
          <cell r="E105" t="str">
            <v>SENIOR</v>
          </cell>
          <cell r="F105" t="str">
            <v>Single</v>
          </cell>
          <cell r="G105" t="str">
            <v>Non-Stg</v>
          </cell>
          <cell r="H105">
            <v>3</v>
          </cell>
          <cell r="I105" t="str">
            <v>Individual</v>
          </cell>
          <cell r="J105" t="str">
            <v>Individual</v>
          </cell>
          <cell r="K105" t="str">
            <v>P</v>
          </cell>
          <cell r="L105" t="str">
            <v>PUBLISHED</v>
          </cell>
        </row>
        <row r="106">
          <cell r="C106" t="str">
            <v>SN11</v>
          </cell>
          <cell r="D106" t="str">
            <v>FEATURE MLM</v>
          </cell>
          <cell r="E106" t="str">
            <v>SENIOR</v>
          </cell>
          <cell r="F106" t="str">
            <v>Single</v>
          </cell>
          <cell r="G106" t="str">
            <v>Non-Stg</v>
          </cell>
          <cell r="H106">
            <v>3</v>
          </cell>
          <cell r="I106" t="str">
            <v>Individual</v>
          </cell>
          <cell r="J106" t="str">
            <v>Individual</v>
          </cell>
          <cell r="K106" t="str">
            <v>P</v>
          </cell>
          <cell r="L106" t="str">
            <v>PUBLISHED</v>
          </cell>
        </row>
        <row r="107">
          <cell r="C107" t="str">
            <v>SN12</v>
          </cell>
          <cell r="D107" t="str">
            <v>GK TALENT</v>
          </cell>
          <cell r="E107" t="str">
            <v>SENIOR</v>
          </cell>
          <cell r="F107" t="str">
            <v>Single</v>
          </cell>
          <cell r="G107" t="str">
            <v>Non-Stg</v>
          </cell>
          <cell r="H107">
            <v>3</v>
          </cell>
          <cell r="I107" t="str">
            <v>Master</v>
          </cell>
          <cell r="J107" t="str">
            <v>Master</v>
          </cell>
          <cell r="K107" t="str">
            <v>P</v>
          </cell>
          <cell r="L107" t="str">
            <v>PUBLISHED</v>
          </cell>
        </row>
        <row r="108">
          <cell r="C108" t="str">
            <v>SN13</v>
          </cell>
          <cell r="D108" t="str">
            <v>GRAMMAR QUIZ QUADRILINGUAL</v>
          </cell>
          <cell r="E108" t="str">
            <v>SENIOR</v>
          </cell>
          <cell r="F108" t="str">
            <v>Single</v>
          </cell>
          <cell r="G108" t="str">
            <v>Non-Stg</v>
          </cell>
          <cell r="H108">
            <v>3</v>
          </cell>
          <cell r="I108" t="str">
            <v>Master</v>
          </cell>
          <cell r="J108" t="str">
            <v>Master</v>
          </cell>
          <cell r="K108" t="str">
            <v>P</v>
          </cell>
          <cell r="L108" t="str">
            <v>PUBLISHED</v>
          </cell>
        </row>
        <row r="109">
          <cell r="C109" t="str">
            <v>SN14</v>
          </cell>
          <cell r="D109" t="str">
            <v>ḤIFẒ</v>
          </cell>
          <cell r="E109" t="str">
            <v>SENIOR</v>
          </cell>
          <cell r="F109" t="str">
            <v>Single</v>
          </cell>
          <cell r="G109" t="str">
            <v>Non-Stg</v>
          </cell>
          <cell r="H109">
            <v>3</v>
          </cell>
          <cell r="I109" t="str">
            <v>Individual</v>
          </cell>
          <cell r="J109" t="str">
            <v>Individual</v>
          </cell>
          <cell r="K109" t="str">
            <v>P</v>
          </cell>
          <cell r="L109" t="str">
            <v>PUBLISHED</v>
          </cell>
        </row>
        <row r="110">
          <cell r="C110" t="str">
            <v>SN15</v>
          </cell>
          <cell r="D110" t="str">
            <v>MATH TALENT</v>
          </cell>
          <cell r="E110" t="str">
            <v>SENIOR</v>
          </cell>
          <cell r="F110" t="str">
            <v>Single</v>
          </cell>
          <cell r="G110" t="str">
            <v>Non-Stg</v>
          </cell>
          <cell r="H110">
            <v>3</v>
          </cell>
          <cell r="I110" t="str">
            <v>Master</v>
          </cell>
          <cell r="J110" t="str">
            <v>Master</v>
          </cell>
          <cell r="K110" t="str">
            <v>P</v>
          </cell>
          <cell r="L110" t="str">
            <v>PUBLISHED</v>
          </cell>
        </row>
        <row r="111">
          <cell r="C111" t="str">
            <v>SN16</v>
          </cell>
          <cell r="D111" t="str">
            <v>NEWS WRITING ENG</v>
          </cell>
          <cell r="E111" t="str">
            <v>SENIOR</v>
          </cell>
          <cell r="F111" t="str">
            <v>Single</v>
          </cell>
          <cell r="G111" t="str">
            <v>Non-Stg</v>
          </cell>
          <cell r="H111">
            <v>3</v>
          </cell>
          <cell r="I111" t="str">
            <v>Individual</v>
          </cell>
          <cell r="J111" t="str">
            <v>Individual</v>
          </cell>
          <cell r="K111" t="str">
            <v>P</v>
          </cell>
          <cell r="L111" t="str">
            <v>PUBLISHED</v>
          </cell>
        </row>
        <row r="112">
          <cell r="C112" t="str">
            <v>SN17</v>
          </cell>
          <cell r="D112" t="str">
            <v>NEWS WRITING URD</v>
          </cell>
          <cell r="E112" t="str">
            <v>SENIOR</v>
          </cell>
          <cell r="F112" t="str">
            <v>Single</v>
          </cell>
          <cell r="G112" t="str">
            <v>Non-Stg</v>
          </cell>
          <cell r="H112">
            <v>3</v>
          </cell>
          <cell r="I112" t="str">
            <v>Individual</v>
          </cell>
          <cell r="J112" t="str">
            <v>Individual</v>
          </cell>
          <cell r="K112" t="str">
            <v>P</v>
          </cell>
          <cell r="L112" t="str">
            <v>PUBLISHED</v>
          </cell>
        </row>
        <row r="113">
          <cell r="C113" t="str">
            <v>SN18</v>
          </cell>
          <cell r="D113" t="str">
            <v>PHOTOGRAPHY</v>
          </cell>
          <cell r="E113" t="str">
            <v>SENIOR</v>
          </cell>
          <cell r="F113" t="str">
            <v>Single</v>
          </cell>
          <cell r="G113" t="str">
            <v>Non-Stg</v>
          </cell>
          <cell r="H113">
            <v>2</v>
          </cell>
          <cell r="I113" t="str">
            <v>Individual</v>
          </cell>
          <cell r="J113" t="str">
            <v>Individual</v>
          </cell>
          <cell r="K113" t="str">
            <v>P</v>
          </cell>
          <cell r="L113" t="str">
            <v>PUBLISHED</v>
          </cell>
        </row>
        <row r="114">
          <cell r="C114" t="str">
            <v>SN19</v>
          </cell>
          <cell r="D114" t="str">
            <v>POEM ARB</v>
          </cell>
          <cell r="E114" t="str">
            <v>SENIOR</v>
          </cell>
          <cell r="F114" t="str">
            <v>Single</v>
          </cell>
          <cell r="G114" t="str">
            <v>Non-Stg</v>
          </cell>
          <cell r="H114">
            <v>3</v>
          </cell>
          <cell r="I114" t="str">
            <v>Individual</v>
          </cell>
          <cell r="J114" t="str">
            <v>Individual</v>
          </cell>
          <cell r="K114" t="str">
            <v>P</v>
          </cell>
          <cell r="L114" t="str">
            <v>PUBLISHED</v>
          </cell>
        </row>
        <row r="115">
          <cell r="C115" t="str">
            <v>SN20</v>
          </cell>
          <cell r="D115" t="str">
            <v>POEM ENG</v>
          </cell>
          <cell r="E115" t="str">
            <v>SENIOR</v>
          </cell>
          <cell r="F115" t="str">
            <v>Single</v>
          </cell>
          <cell r="G115" t="str">
            <v>Non-Stg</v>
          </cell>
          <cell r="H115">
            <v>3</v>
          </cell>
          <cell r="I115" t="str">
            <v>Individual</v>
          </cell>
          <cell r="J115" t="str">
            <v>Individual</v>
          </cell>
          <cell r="K115" t="str">
            <v>P</v>
          </cell>
          <cell r="L115" t="str">
            <v>PUBLISHED</v>
          </cell>
        </row>
        <row r="116">
          <cell r="C116" t="str">
            <v>SN21</v>
          </cell>
          <cell r="D116" t="str">
            <v>POEM MLM</v>
          </cell>
          <cell r="E116" t="str">
            <v>SENIOR</v>
          </cell>
          <cell r="F116" t="str">
            <v>Single</v>
          </cell>
          <cell r="G116" t="str">
            <v>Non-Stg</v>
          </cell>
          <cell r="H116">
            <v>3</v>
          </cell>
          <cell r="I116" t="str">
            <v>Individual</v>
          </cell>
          <cell r="J116" t="str">
            <v>Individual</v>
          </cell>
          <cell r="K116" t="str">
            <v>P</v>
          </cell>
          <cell r="L116" t="str">
            <v>PUBLISHED</v>
          </cell>
        </row>
        <row r="117">
          <cell r="C117" t="str">
            <v>SN22</v>
          </cell>
          <cell r="D117" t="str">
            <v>POEM URD</v>
          </cell>
          <cell r="E117" t="str">
            <v>SENIOR</v>
          </cell>
          <cell r="F117" t="str">
            <v>Single</v>
          </cell>
          <cell r="G117" t="str">
            <v>Non-Stg</v>
          </cell>
          <cell r="H117">
            <v>3</v>
          </cell>
          <cell r="I117" t="str">
            <v>Individual</v>
          </cell>
          <cell r="J117" t="str">
            <v>Individual</v>
          </cell>
          <cell r="K117" t="str">
            <v>P</v>
          </cell>
          <cell r="L117" t="str">
            <v>PUBLISHED</v>
          </cell>
        </row>
        <row r="118">
          <cell r="C118" t="str">
            <v>SN23</v>
          </cell>
          <cell r="D118" t="str">
            <v>POSTER DESIGNING DIGITAL</v>
          </cell>
          <cell r="E118" t="str">
            <v>SENIOR</v>
          </cell>
          <cell r="F118" t="str">
            <v>Single</v>
          </cell>
          <cell r="G118" t="str">
            <v>Non-Stg</v>
          </cell>
          <cell r="H118">
            <v>2</v>
          </cell>
          <cell r="I118" t="str">
            <v>Individual</v>
          </cell>
          <cell r="J118" t="str">
            <v>Individual</v>
          </cell>
          <cell r="K118" t="str">
            <v>P</v>
          </cell>
          <cell r="L118" t="str">
            <v>PUBLISHED</v>
          </cell>
        </row>
        <row r="119">
          <cell r="C119" t="str">
            <v>SN24</v>
          </cell>
          <cell r="D119" t="str">
            <v>QIRĀʾAH</v>
          </cell>
          <cell r="E119" t="str">
            <v>SENIOR</v>
          </cell>
          <cell r="F119" t="str">
            <v>Single</v>
          </cell>
          <cell r="G119" t="str">
            <v>Non-Stg</v>
          </cell>
          <cell r="H119">
            <v>3</v>
          </cell>
          <cell r="I119" t="str">
            <v>Individual</v>
          </cell>
          <cell r="J119" t="str">
            <v>Individual</v>
          </cell>
          <cell r="K119" t="str">
            <v>P</v>
          </cell>
          <cell r="L119" t="str">
            <v>PUBLISHED</v>
          </cell>
        </row>
        <row r="120">
          <cell r="C120" t="str">
            <v>SN25</v>
          </cell>
          <cell r="D120" t="str">
            <v>SCIENCE MASTER</v>
          </cell>
          <cell r="E120" t="str">
            <v>SENIOR</v>
          </cell>
          <cell r="F120" t="str">
            <v>Single</v>
          </cell>
          <cell r="G120" t="str">
            <v>Non-Stg</v>
          </cell>
          <cell r="H120">
            <v>3</v>
          </cell>
          <cell r="I120" t="str">
            <v>Master</v>
          </cell>
          <cell r="J120" t="str">
            <v>Master</v>
          </cell>
          <cell r="K120" t="str">
            <v>P</v>
          </cell>
          <cell r="L120" t="str">
            <v>PUBLISHED</v>
          </cell>
        </row>
        <row r="121">
          <cell r="C121" t="str">
            <v>SN26</v>
          </cell>
          <cell r="D121" t="str">
            <v>SHORT STORY ARB</v>
          </cell>
          <cell r="E121" t="str">
            <v>SENIOR</v>
          </cell>
          <cell r="F121" t="str">
            <v>Single</v>
          </cell>
          <cell r="G121" t="str">
            <v>Non-Stg</v>
          </cell>
          <cell r="H121">
            <v>3</v>
          </cell>
          <cell r="I121" t="str">
            <v>Individual</v>
          </cell>
          <cell r="J121" t="str">
            <v>Individual</v>
          </cell>
          <cell r="K121" t="str">
            <v>P</v>
          </cell>
          <cell r="L121" t="str">
            <v>PUBLISHED</v>
          </cell>
        </row>
        <row r="122">
          <cell r="C122" t="str">
            <v>SN27</v>
          </cell>
          <cell r="D122" t="str">
            <v>SHORT STORY ENG</v>
          </cell>
          <cell r="E122" t="str">
            <v>SENIOR</v>
          </cell>
          <cell r="F122" t="str">
            <v>Single</v>
          </cell>
          <cell r="G122" t="str">
            <v>Non-Stg</v>
          </cell>
          <cell r="H122">
            <v>3</v>
          </cell>
          <cell r="I122" t="str">
            <v>Individual</v>
          </cell>
          <cell r="J122" t="str">
            <v>Individual</v>
          </cell>
          <cell r="K122" t="str">
            <v>P</v>
          </cell>
          <cell r="L122" t="str">
            <v>PUBLISHED</v>
          </cell>
        </row>
        <row r="123">
          <cell r="C123" t="str">
            <v>SN28</v>
          </cell>
          <cell r="D123" t="str">
            <v>SLOGAN MAKING</v>
          </cell>
          <cell r="E123" t="str">
            <v>SENIOR</v>
          </cell>
          <cell r="F123" t="str">
            <v>Single</v>
          </cell>
          <cell r="G123" t="str">
            <v>Non-Stg</v>
          </cell>
          <cell r="H123">
            <v>3</v>
          </cell>
          <cell r="I123" t="str">
            <v>Individual</v>
          </cell>
          <cell r="J123" t="str">
            <v>Individual</v>
          </cell>
          <cell r="K123" t="str">
            <v>P</v>
          </cell>
          <cell r="L123" t="str">
            <v>PUBLISHED</v>
          </cell>
        </row>
        <row r="124">
          <cell r="C124" t="str">
            <v>SN29</v>
          </cell>
          <cell r="D124" t="str">
            <v>TAḤLĪL AL-ʿIBĀRAH</v>
          </cell>
          <cell r="E124" t="str">
            <v>SENIOR</v>
          </cell>
          <cell r="F124" t="str">
            <v>Single</v>
          </cell>
          <cell r="G124" t="str">
            <v>Non-Stg</v>
          </cell>
          <cell r="H124">
            <v>3</v>
          </cell>
          <cell r="I124" t="str">
            <v>Individual</v>
          </cell>
          <cell r="J124" t="str">
            <v>Individual</v>
          </cell>
          <cell r="K124" t="str">
            <v>P</v>
          </cell>
          <cell r="L124" t="str">
            <v>PUBLISHED</v>
          </cell>
        </row>
        <row r="125">
          <cell r="C125" t="str">
            <v>SN30</v>
          </cell>
          <cell r="D125" t="str">
            <v>ANNOUNCEMENT</v>
          </cell>
          <cell r="E125" t="str">
            <v>SENIOR</v>
          </cell>
          <cell r="F125" t="str">
            <v>Single</v>
          </cell>
          <cell r="G125" t="str">
            <v>Stage</v>
          </cell>
          <cell r="H125">
            <v>3</v>
          </cell>
          <cell r="I125" t="str">
            <v>Individual</v>
          </cell>
          <cell r="J125" t="str">
            <v>Individual</v>
          </cell>
          <cell r="K125" t="str">
            <v>P</v>
          </cell>
          <cell r="L125" t="str">
            <v>PUBLISHED</v>
          </cell>
        </row>
        <row r="126">
          <cell r="C126" t="str">
            <v>SN31</v>
          </cell>
          <cell r="D126" t="str">
            <v>EXTEMPORE SPEECH MLM</v>
          </cell>
          <cell r="E126" t="str">
            <v>SENIOR</v>
          </cell>
          <cell r="F126" t="str">
            <v>Single</v>
          </cell>
          <cell r="G126" t="str">
            <v>Stage</v>
          </cell>
          <cell r="H126">
            <v>3</v>
          </cell>
          <cell r="I126" t="str">
            <v>Individual</v>
          </cell>
          <cell r="J126" t="str">
            <v>Individual</v>
          </cell>
          <cell r="K126" t="str">
            <v>P</v>
          </cell>
          <cell r="L126" t="str">
            <v>PUBLISHED</v>
          </cell>
        </row>
        <row r="127">
          <cell r="C127" t="str">
            <v>SN32</v>
          </cell>
          <cell r="D127" t="str">
            <v>GD MLM</v>
          </cell>
          <cell r="E127" t="str">
            <v>SENIOR</v>
          </cell>
          <cell r="F127" t="str">
            <v>Single</v>
          </cell>
          <cell r="G127" t="str">
            <v>Stage</v>
          </cell>
          <cell r="H127">
            <v>3</v>
          </cell>
          <cell r="I127" t="str">
            <v>Individual</v>
          </cell>
          <cell r="J127" t="str">
            <v>Individual</v>
          </cell>
          <cell r="K127" t="str">
            <v>P</v>
          </cell>
          <cell r="L127" t="str">
            <v>PUBLISHED</v>
          </cell>
        </row>
        <row r="128">
          <cell r="C128" t="str">
            <v>SN33</v>
          </cell>
          <cell r="D128" t="str">
            <v>HISTORY TALK ENG</v>
          </cell>
          <cell r="E128" t="str">
            <v>SENIOR</v>
          </cell>
          <cell r="F128" t="str">
            <v>Single</v>
          </cell>
          <cell r="G128" t="str">
            <v>Stage</v>
          </cell>
          <cell r="H128">
            <v>2</v>
          </cell>
          <cell r="I128" t="str">
            <v>Individual</v>
          </cell>
          <cell r="J128" t="str">
            <v>Individual</v>
          </cell>
          <cell r="K128" t="str">
            <v>P</v>
          </cell>
          <cell r="L128" t="str">
            <v>PUBLISHED</v>
          </cell>
        </row>
        <row r="129">
          <cell r="C129" t="str">
            <v>SN34</v>
          </cell>
          <cell r="D129" t="str">
            <v>KAVIYARANG</v>
          </cell>
          <cell r="E129" t="str">
            <v>SENIOR</v>
          </cell>
          <cell r="F129" t="str">
            <v>Single</v>
          </cell>
          <cell r="G129" t="str">
            <v>Stage</v>
          </cell>
          <cell r="H129">
            <v>2</v>
          </cell>
          <cell r="I129" t="str">
            <v>Individual</v>
          </cell>
          <cell r="J129" t="str">
            <v>Individual</v>
          </cell>
          <cell r="K129" t="str">
            <v>P</v>
          </cell>
          <cell r="L129" t="str">
            <v>PUBLISHED</v>
          </cell>
        </row>
        <row r="130">
          <cell r="C130" t="str">
            <v>SN35</v>
          </cell>
          <cell r="D130" t="str">
            <v>MOTIVATIONAL SPEECH ENG</v>
          </cell>
          <cell r="E130" t="str">
            <v>SENIOR</v>
          </cell>
          <cell r="F130" t="str">
            <v>Single</v>
          </cell>
          <cell r="G130" t="str">
            <v>Stage</v>
          </cell>
          <cell r="H130">
            <v>2</v>
          </cell>
          <cell r="I130" t="str">
            <v>Individual</v>
          </cell>
          <cell r="J130" t="str">
            <v>Individual</v>
          </cell>
          <cell r="K130" t="str">
            <v>P</v>
          </cell>
          <cell r="L130" t="str">
            <v>PUBLISHED</v>
          </cell>
        </row>
        <row r="131">
          <cell r="C131" t="str">
            <v>SN36</v>
          </cell>
          <cell r="D131" t="str">
            <v>NASHEED ARB</v>
          </cell>
          <cell r="E131" t="str">
            <v>SENIOR</v>
          </cell>
          <cell r="F131" t="str">
            <v>Single</v>
          </cell>
          <cell r="G131" t="str">
            <v>Stage</v>
          </cell>
          <cell r="H131">
            <v>3</v>
          </cell>
          <cell r="I131" t="str">
            <v>Individual</v>
          </cell>
          <cell r="J131" t="str">
            <v>Individual</v>
          </cell>
          <cell r="K131" t="str">
            <v>P</v>
          </cell>
          <cell r="L131" t="str">
            <v>PUBLISHED</v>
          </cell>
        </row>
        <row r="132">
          <cell r="C132" t="str">
            <v>SN37</v>
          </cell>
          <cell r="D132" t="str">
            <v>NEWS WRITING AND READING ENG</v>
          </cell>
          <cell r="E132" t="str">
            <v>SENIOR</v>
          </cell>
          <cell r="F132" t="str">
            <v>Single</v>
          </cell>
          <cell r="G132" t="str">
            <v>Stage</v>
          </cell>
          <cell r="H132">
            <v>3</v>
          </cell>
          <cell r="I132" t="str">
            <v>Individual</v>
          </cell>
          <cell r="J132" t="str">
            <v>Individual</v>
          </cell>
          <cell r="K132" t="str">
            <v>P</v>
          </cell>
          <cell r="L132" t="str">
            <v>PUBLISHED</v>
          </cell>
        </row>
        <row r="133">
          <cell r="C133" t="str">
            <v>SN38</v>
          </cell>
          <cell r="D133" t="str">
            <v>RAP SONG</v>
          </cell>
          <cell r="E133" t="str">
            <v>SENIOR</v>
          </cell>
          <cell r="F133" t="str">
            <v>Single</v>
          </cell>
          <cell r="G133" t="str">
            <v>Stage</v>
          </cell>
          <cell r="H133">
            <v>3</v>
          </cell>
          <cell r="I133" t="str">
            <v>Individual</v>
          </cell>
          <cell r="J133" t="str">
            <v>Individual</v>
          </cell>
          <cell r="K133" t="str">
            <v>P</v>
          </cell>
          <cell r="L133" t="str">
            <v>PUBLISHED</v>
          </cell>
        </row>
        <row r="134">
          <cell r="C134" t="str">
            <v>SN39</v>
          </cell>
          <cell r="D134" t="str">
            <v>REVERSE QUIZ</v>
          </cell>
          <cell r="E134" t="str">
            <v>SENIOR</v>
          </cell>
          <cell r="F134" t="str">
            <v>Single</v>
          </cell>
          <cell r="G134" t="str">
            <v>Stage</v>
          </cell>
          <cell r="H134">
            <v>2</v>
          </cell>
          <cell r="I134" t="str">
            <v>Master</v>
          </cell>
          <cell r="J134" t="str">
            <v>Master</v>
          </cell>
          <cell r="K134" t="str">
            <v>P</v>
          </cell>
          <cell r="L134" t="str">
            <v>PUBLISHED</v>
          </cell>
        </row>
        <row r="135">
          <cell r="C135" t="str">
            <v>SN40</v>
          </cell>
          <cell r="D135" t="str">
            <v>SONG ENG</v>
          </cell>
          <cell r="E135" t="str">
            <v>SENIOR</v>
          </cell>
          <cell r="F135" t="str">
            <v>Single</v>
          </cell>
          <cell r="G135" t="str">
            <v>Stage</v>
          </cell>
          <cell r="H135">
            <v>3</v>
          </cell>
          <cell r="I135" t="str">
            <v>Individual</v>
          </cell>
          <cell r="J135" t="str">
            <v>Individual</v>
          </cell>
          <cell r="K135" t="str">
            <v>P</v>
          </cell>
          <cell r="L135" t="str">
            <v>PUBLISHED</v>
          </cell>
        </row>
        <row r="136">
          <cell r="C136" t="str">
            <v>SN41</v>
          </cell>
          <cell r="D136" t="str">
            <v>SONG MLM</v>
          </cell>
          <cell r="E136" t="str">
            <v>SENIOR</v>
          </cell>
          <cell r="F136" t="str">
            <v>Single</v>
          </cell>
          <cell r="G136" t="str">
            <v>Stage</v>
          </cell>
          <cell r="H136">
            <v>3</v>
          </cell>
          <cell r="I136" t="str">
            <v>Individual</v>
          </cell>
          <cell r="J136" t="str">
            <v>Individual</v>
          </cell>
          <cell r="K136" t="str">
            <v>P</v>
          </cell>
          <cell r="L136" t="str">
            <v>PUBLISHED</v>
          </cell>
        </row>
        <row r="137">
          <cell r="C137" t="str">
            <v>SN42</v>
          </cell>
          <cell r="D137" t="str">
            <v>SONG URD</v>
          </cell>
          <cell r="E137" t="str">
            <v>SENIOR</v>
          </cell>
          <cell r="F137" t="str">
            <v>Single</v>
          </cell>
          <cell r="G137" t="str">
            <v>Stage</v>
          </cell>
          <cell r="H137">
            <v>3</v>
          </cell>
          <cell r="I137" t="str">
            <v>Individual</v>
          </cell>
          <cell r="J137" t="str">
            <v>Individual</v>
          </cell>
          <cell r="K137" t="str">
            <v>P</v>
          </cell>
          <cell r="L137" t="str">
            <v>PUBLISHED</v>
          </cell>
        </row>
        <row r="138">
          <cell r="C138" t="str">
            <v>SN43</v>
          </cell>
          <cell r="D138" t="str">
            <v>SPEECH ARB</v>
          </cell>
          <cell r="E138" t="str">
            <v>SENIOR</v>
          </cell>
          <cell r="F138" t="str">
            <v>Single</v>
          </cell>
          <cell r="G138" t="str">
            <v>Stage</v>
          </cell>
          <cell r="H138">
            <v>3</v>
          </cell>
          <cell r="I138" t="str">
            <v>Individual</v>
          </cell>
          <cell r="J138" t="str">
            <v>Individual</v>
          </cell>
          <cell r="K138" t="str">
            <v>P</v>
          </cell>
          <cell r="L138" t="str">
            <v>PUBLISHED</v>
          </cell>
        </row>
        <row r="139">
          <cell r="C139" t="str">
            <v>SN44</v>
          </cell>
          <cell r="D139" t="str">
            <v xml:space="preserve">SPEECH ENG </v>
          </cell>
          <cell r="E139" t="str">
            <v>SENIOR</v>
          </cell>
          <cell r="F139" t="str">
            <v>Single</v>
          </cell>
          <cell r="G139" t="str">
            <v>Stage</v>
          </cell>
          <cell r="H139">
            <v>3</v>
          </cell>
          <cell r="I139" t="str">
            <v>Individual</v>
          </cell>
          <cell r="J139" t="str">
            <v>Individual</v>
          </cell>
          <cell r="K139" t="str">
            <v>P</v>
          </cell>
          <cell r="L139" t="str">
            <v>PUBLISHED</v>
          </cell>
        </row>
        <row r="140">
          <cell r="C140" t="str">
            <v>SN45</v>
          </cell>
          <cell r="D140" t="str">
            <v>SPEECH URD</v>
          </cell>
          <cell r="E140" t="str">
            <v>SENIOR</v>
          </cell>
          <cell r="F140" t="str">
            <v>Single</v>
          </cell>
          <cell r="G140" t="str">
            <v>Stage</v>
          </cell>
          <cell r="H140">
            <v>3</v>
          </cell>
          <cell r="I140" t="str">
            <v>Individual</v>
          </cell>
          <cell r="J140" t="str">
            <v>Individual</v>
          </cell>
          <cell r="K140" t="str">
            <v>P</v>
          </cell>
          <cell r="L140" t="str">
            <v>PUBLISHED</v>
          </cell>
        </row>
        <row r="141">
          <cell r="C141" t="str">
            <v>SN46</v>
          </cell>
          <cell r="D141" t="str">
            <v>TEACHING</v>
          </cell>
          <cell r="E141" t="str">
            <v>SENIOR</v>
          </cell>
          <cell r="F141" t="str">
            <v>Single</v>
          </cell>
          <cell r="G141" t="str">
            <v>Stage</v>
          </cell>
          <cell r="H141">
            <v>3</v>
          </cell>
          <cell r="I141" t="str">
            <v>Individual</v>
          </cell>
          <cell r="J141" t="str">
            <v>Individual</v>
          </cell>
          <cell r="K141" t="str">
            <v>P</v>
          </cell>
          <cell r="L141" t="str">
            <v>PUBLISHED</v>
          </cell>
        </row>
        <row r="142">
          <cell r="C142" t="str">
            <v>SN47</v>
          </cell>
          <cell r="D142" t="str">
            <v>WAʿẒ</v>
          </cell>
          <cell r="E142" t="str">
            <v>SENIOR</v>
          </cell>
          <cell r="F142" t="str">
            <v>Single</v>
          </cell>
          <cell r="G142" t="str">
            <v>Stage</v>
          </cell>
          <cell r="H142">
            <v>3</v>
          </cell>
          <cell r="I142" t="str">
            <v>Individual</v>
          </cell>
          <cell r="J142" t="str">
            <v>Individual</v>
          </cell>
          <cell r="K142" t="str">
            <v>P</v>
          </cell>
          <cell r="L142" t="str">
            <v>PUBLISHED</v>
          </cell>
        </row>
        <row r="143">
          <cell r="C143" t="str">
            <v>SN48</v>
          </cell>
          <cell r="D143" t="str">
            <v>WORD FIGHT URD</v>
          </cell>
          <cell r="E143" t="str">
            <v>SENIOR</v>
          </cell>
          <cell r="F143" t="str">
            <v>Single</v>
          </cell>
          <cell r="G143" t="str">
            <v>Stage</v>
          </cell>
          <cell r="H143">
            <v>3</v>
          </cell>
          <cell r="I143" t="str">
            <v>Individual</v>
          </cell>
          <cell r="J143" t="str">
            <v>Individual</v>
          </cell>
          <cell r="K143" t="str">
            <v>P</v>
          </cell>
          <cell r="L143" t="str">
            <v>PUBLISHED</v>
          </cell>
        </row>
        <row r="144">
          <cell r="C144" t="str">
            <v>SN49</v>
          </cell>
          <cell r="D144" t="str">
            <v>FACE TO FACE ENG</v>
          </cell>
          <cell r="E144" t="str">
            <v>SENIOR</v>
          </cell>
          <cell r="F144" t="str">
            <v>Group</v>
          </cell>
          <cell r="G144" t="str">
            <v>Stage</v>
          </cell>
          <cell r="H144">
            <v>2</v>
          </cell>
          <cell r="I144" t="str">
            <v>GROUP</v>
          </cell>
          <cell r="J144" t="str">
            <v>GROUP</v>
          </cell>
          <cell r="K144" t="str">
            <v>P</v>
          </cell>
          <cell r="L144" t="str">
            <v>PUBLISHED</v>
          </cell>
        </row>
        <row r="145">
          <cell r="C145" t="str">
            <v>SN50</v>
          </cell>
          <cell r="D145" t="str">
            <v>INSTANT MAGAZINE ENG</v>
          </cell>
          <cell r="E145" t="str">
            <v>SENIOR</v>
          </cell>
          <cell r="F145" t="str">
            <v>Group</v>
          </cell>
          <cell r="G145" t="str">
            <v>Non-Stg</v>
          </cell>
          <cell r="H145">
            <v>5</v>
          </cell>
          <cell r="I145" t="str">
            <v>GROUP</v>
          </cell>
          <cell r="J145" t="str">
            <v>GROUP</v>
          </cell>
          <cell r="K145" t="str">
            <v>P</v>
          </cell>
          <cell r="L145" t="str">
            <v>PUBLISHED</v>
          </cell>
        </row>
        <row r="146">
          <cell r="C146" t="str">
            <v>SN51</v>
          </cell>
          <cell r="D146" t="str">
            <v>MALA COMPOSITION</v>
          </cell>
          <cell r="E146" t="str">
            <v>SENIOR</v>
          </cell>
          <cell r="F146" t="str">
            <v>Group</v>
          </cell>
          <cell r="G146" t="str">
            <v>Stage</v>
          </cell>
          <cell r="H146">
            <v>2</v>
          </cell>
          <cell r="I146" t="str">
            <v>GROUP</v>
          </cell>
          <cell r="J146" t="str">
            <v>GROUP</v>
          </cell>
          <cell r="K146" t="str">
            <v>P</v>
          </cell>
          <cell r="L146" t="str">
            <v>PUBLISHED</v>
          </cell>
        </row>
        <row r="147">
          <cell r="C147" t="str">
            <v>SN52</v>
          </cell>
          <cell r="D147" t="str">
            <v>MASHUP</v>
          </cell>
          <cell r="E147" t="str">
            <v>SENIOR</v>
          </cell>
          <cell r="F147" t="str">
            <v>Group</v>
          </cell>
          <cell r="G147" t="str">
            <v>Stage</v>
          </cell>
          <cell r="H147">
            <v>6</v>
          </cell>
          <cell r="I147" t="str">
            <v>GROUP</v>
          </cell>
          <cell r="J147" t="str">
            <v>GROUP</v>
          </cell>
          <cell r="K147" t="str">
            <v>P</v>
          </cell>
          <cell r="L147" t="str">
            <v>PUBLISHED</v>
          </cell>
        </row>
        <row r="148">
          <cell r="C148" t="str">
            <v>SN53</v>
          </cell>
          <cell r="D148" t="str">
            <v>SPEECH &amp; SONG ARB</v>
          </cell>
          <cell r="E148" t="str">
            <v>SENIOR</v>
          </cell>
          <cell r="F148" t="str">
            <v>Group</v>
          </cell>
          <cell r="G148" t="str">
            <v>Stage</v>
          </cell>
          <cell r="H148">
            <v>3</v>
          </cell>
          <cell r="I148" t="str">
            <v>GROUP</v>
          </cell>
          <cell r="J148" t="str">
            <v>GROUP</v>
          </cell>
          <cell r="K148" t="str">
            <v>P</v>
          </cell>
          <cell r="L148" t="str">
            <v>PUBLISHED</v>
          </cell>
        </row>
        <row r="149">
          <cell r="C149" t="str">
            <v>SS01</v>
          </cell>
          <cell r="D149" t="str">
            <v>ABSTRACT WRITING ENG</v>
          </cell>
          <cell r="E149" t="str">
            <v>SUPER SENIOR</v>
          </cell>
          <cell r="F149" t="str">
            <v>Single</v>
          </cell>
          <cell r="G149" t="str">
            <v>Non-Stg</v>
          </cell>
          <cell r="H149">
            <v>3</v>
          </cell>
          <cell r="I149" t="str">
            <v>Individual</v>
          </cell>
          <cell r="J149" t="str">
            <v>Individual</v>
          </cell>
          <cell r="K149" t="str">
            <v>P</v>
          </cell>
          <cell r="L149" t="str">
            <v>PUBLISHED</v>
          </cell>
        </row>
        <row r="150">
          <cell r="C150" t="str">
            <v>SS02</v>
          </cell>
          <cell r="D150" t="str">
            <v>ACADEMIC ESSAY ENG</v>
          </cell>
          <cell r="E150" t="str">
            <v>SUPER SENIOR</v>
          </cell>
          <cell r="F150" t="str">
            <v>Single</v>
          </cell>
          <cell r="G150" t="str">
            <v>Non-Stg</v>
          </cell>
          <cell r="H150">
            <v>3</v>
          </cell>
          <cell r="I150" t="str">
            <v>Individual</v>
          </cell>
          <cell r="J150" t="str">
            <v>Individual</v>
          </cell>
          <cell r="K150" t="str">
            <v>P</v>
          </cell>
          <cell r="L150" t="str">
            <v>PUBLISHED</v>
          </cell>
        </row>
        <row r="151">
          <cell r="C151" t="str">
            <v>SS03</v>
          </cell>
          <cell r="D151" t="str">
            <v>ARTICLE SUBMISSION</v>
          </cell>
          <cell r="E151" t="str">
            <v>SUPER SENIOR</v>
          </cell>
          <cell r="F151" t="str">
            <v>Single</v>
          </cell>
          <cell r="G151" t="str">
            <v>Non-Stg</v>
          </cell>
          <cell r="H151">
            <v>1</v>
          </cell>
          <cell r="I151" t="str">
            <v>Master</v>
          </cell>
          <cell r="J151" t="str">
            <v>Master</v>
          </cell>
          <cell r="K151" t="str">
            <v>P</v>
          </cell>
          <cell r="L151" t="str">
            <v>PUBLISHED</v>
          </cell>
        </row>
        <row r="152">
          <cell r="C152" t="str">
            <v>SS04</v>
          </cell>
          <cell r="D152" t="str">
            <v>CARTOON</v>
          </cell>
          <cell r="E152" t="str">
            <v>SUPER SENIOR</v>
          </cell>
          <cell r="F152" t="str">
            <v>Single</v>
          </cell>
          <cell r="G152" t="str">
            <v>Non-Stg</v>
          </cell>
          <cell r="H152">
            <v>2</v>
          </cell>
          <cell r="I152" t="str">
            <v>Individual</v>
          </cell>
          <cell r="J152" t="str">
            <v>Individual</v>
          </cell>
          <cell r="K152" t="str">
            <v>P</v>
          </cell>
          <cell r="L152" t="str">
            <v>PUBLISHED</v>
          </cell>
        </row>
        <row r="153">
          <cell r="C153" t="str">
            <v>SS05</v>
          </cell>
          <cell r="D153" t="str">
            <v>ESSAY ARB</v>
          </cell>
          <cell r="E153" t="str">
            <v>SUPER SENIOR</v>
          </cell>
          <cell r="F153" t="str">
            <v>Single</v>
          </cell>
          <cell r="G153" t="str">
            <v>Non-Stg</v>
          </cell>
          <cell r="H153">
            <v>3</v>
          </cell>
          <cell r="I153" t="str">
            <v>Individual</v>
          </cell>
          <cell r="J153" t="str">
            <v>Individual</v>
          </cell>
          <cell r="K153" t="str">
            <v>P</v>
          </cell>
          <cell r="L153" t="str">
            <v>PUBLISHED</v>
          </cell>
        </row>
        <row r="154">
          <cell r="C154" t="str">
            <v>SS06</v>
          </cell>
          <cell r="D154" t="str">
            <v>ESSAY MLM</v>
          </cell>
          <cell r="E154" t="str">
            <v>SUPER SENIOR</v>
          </cell>
          <cell r="F154" t="str">
            <v>Single</v>
          </cell>
          <cell r="G154" t="str">
            <v>Non-Stg</v>
          </cell>
          <cell r="H154">
            <v>3</v>
          </cell>
          <cell r="I154" t="str">
            <v>Individual</v>
          </cell>
          <cell r="J154" t="str">
            <v>Individual</v>
          </cell>
          <cell r="K154" t="str">
            <v>P</v>
          </cell>
          <cell r="L154" t="str">
            <v>PUBLISHED</v>
          </cell>
        </row>
        <row r="155">
          <cell r="C155" t="str">
            <v>SS07</v>
          </cell>
          <cell r="D155" t="str">
            <v>ESSAY URD</v>
          </cell>
          <cell r="E155" t="str">
            <v>SUPER SENIOR</v>
          </cell>
          <cell r="F155" t="str">
            <v>Single</v>
          </cell>
          <cell r="G155" t="str">
            <v>Non-Stg</v>
          </cell>
          <cell r="H155">
            <v>3</v>
          </cell>
          <cell r="I155" t="str">
            <v>Individual</v>
          </cell>
          <cell r="J155" t="str">
            <v>Individual</v>
          </cell>
          <cell r="K155" t="str">
            <v>P</v>
          </cell>
          <cell r="L155" t="str">
            <v>PUBLISHED</v>
          </cell>
        </row>
        <row r="156">
          <cell r="C156" t="str">
            <v>SS08</v>
          </cell>
          <cell r="D156" t="str">
            <v>EXCEL EXPERT</v>
          </cell>
          <cell r="E156" t="str">
            <v>SUPER SENIOR</v>
          </cell>
          <cell r="F156" t="str">
            <v>Single</v>
          </cell>
          <cell r="G156" t="str">
            <v>Non-Stg</v>
          </cell>
          <cell r="H156">
            <v>2</v>
          </cell>
          <cell r="I156" t="str">
            <v>Individual</v>
          </cell>
          <cell r="J156" t="str">
            <v>Individual</v>
          </cell>
          <cell r="K156" t="str">
            <v>P</v>
          </cell>
          <cell r="L156" t="str">
            <v>PUBLISHED</v>
          </cell>
        </row>
        <row r="157">
          <cell r="C157" t="str">
            <v>SS09</v>
          </cell>
          <cell r="D157" t="str">
            <v>FEATURE WRITING MLM</v>
          </cell>
          <cell r="E157" t="str">
            <v>SUPER SENIOR</v>
          </cell>
          <cell r="F157" t="str">
            <v>Single</v>
          </cell>
          <cell r="G157" t="str">
            <v>Non-Stg</v>
          </cell>
          <cell r="H157">
            <v>3</v>
          </cell>
          <cell r="I157" t="str">
            <v>Individual</v>
          </cell>
          <cell r="J157" t="str">
            <v>Individual</v>
          </cell>
          <cell r="K157" t="str">
            <v>P</v>
          </cell>
          <cell r="L157" t="str">
            <v>PUBLISHED</v>
          </cell>
        </row>
        <row r="158">
          <cell r="C158" t="str">
            <v>SS10</v>
          </cell>
          <cell r="D158" t="str">
            <v>HIFZ AND THAJWEED</v>
          </cell>
          <cell r="E158" t="str">
            <v>SUPER SENIOR</v>
          </cell>
          <cell r="F158" t="str">
            <v>Single</v>
          </cell>
          <cell r="G158" t="str">
            <v>Non-Stg</v>
          </cell>
          <cell r="H158">
            <v>2</v>
          </cell>
          <cell r="I158" t="str">
            <v>Individual</v>
          </cell>
          <cell r="J158" t="str">
            <v>Individual</v>
          </cell>
          <cell r="K158" t="str">
            <v>P</v>
          </cell>
          <cell r="L158" t="str">
            <v>PUBLISHED</v>
          </cell>
        </row>
        <row r="159">
          <cell r="C159" t="str">
            <v>SS11</v>
          </cell>
          <cell r="D159" t="str">
            <v>PHOTOGRAPHY</v>
          </cell>
          <cell r="E159" t="str">
            <v>SUPER SENIOR</v>
          </cell>
          <cell r="F159" t="str">
            <v>Single</v>
          </cell>
          <cell r="G159" t="str">
            <v>Non-Stg</v>
          </cell>
          <cell r="H159">
            <v>2</v>
          </cell>
          <cell r="I159" t="str">
            <v>Individual</v>
          </cell>
          <cell r="J159" t="str">
            <v>Individual</v>
          </cell>
          <cell r="K159" t="str">
            <v>P</v>
          </cell>
          <cell r="L159" t="str">
            <v>PUBLISHED</v>
          </cell>
        </row>
        <row r="160">
          <cell r="C160" t="str">
            <v>SS12</v>
          </cell>
          <cell r="D160" t="str">
            <v>POEM ARB</v>
          </cell>
          <cell r="E160" t="str">
            <v>SUPER SENIOR</v>
          </cell>
          <cell r="F160" t="str">
            <v>Single</v>
          </cell>
          <cell r="G160" t="str">
            <v>Non-Stg</v>
          </cell>
          <cell r="H160">
            <v>3</v>
          </cell>
          <cell r="I160" t="str">
            <v>Individual</v>
          </cell>
          <cell r="J160" t="str">
            <v>Individual</v>
          </cell>
          <cell r="K160" t="str">
            <v>P</v>
          </cell>
          <cell r="L160" t="str">
            <v>PUBLISHED</v>
          </cell>
        </row>
        <row r="161">
          <cell r="C161" t="str">
            <v>SS13</v>
          </cell>
          <cell r="D161" t="str">
            <v>POEM ENG</v>
          </cell>
          <cell r="E161" t="str">
            <v>SUPER SENIOR</v>
          </cell>
          <cell r="F161" t="str">
            <v>Single</v>
          </cell>
          <cell r="G161" t="str">
            <v>Non-Stg</v>
          </cell>
          <cell r="H161">
            <v>3</v>
          </cell>
          <cell r="I161" t="str">
            <v>Individual</v>
          </cell>
          <cell r="J161" t="str">
            <v>Individual</v>
          </cell>
          <cell r="K161" t="str">
            <v>P</v>
          </cell>
          <cell r="L161" t="str">
            <v>PUBLISHED</v>
          </cell>
        </row>
        <row r="162">
          <cell r="C162" t="str">
            <v>SS14</v>
          </cell>
          <cell r="D162" t="str">
            <v>POEM MLM</v>
          </cell>
          <cell r="E162" t="str">
            <v>SUPER SENIOR</v>
          </cell>
          <cell r="F162" t="str">
            <v>Single</v>
          </cell>
          <cell r="G162" t="str">
            <v>Non-Stg</v>
          </cell>
          <cell r="H162">
            <v>3</v>
          </cell>
          <cell r="I162" t="str">
            <v>Individual</v>
          </cell>
          <cell r="J162" t="str">
            <v>Individual</v>
          </cell>
          <cell r="K162" t="str">
            <v>P</v>
          </cell>
          <cell r="L162" t="str">
            <v>PUBLISHED</v>
          </cell>
        </row>
        <row r="163">
          <cell r="C163" t="str">
            <v>SS15</v>
          </cell>
          <cell r="D163" t="str">
            <v>POEM URD</v>
          </cell>
          <cell r="E163" t="str">
            <v>SUPER SENIOR</v>
          </cell>
          <cell r="F163" t="str">
            <v>Single</v>
          </cell>
          <cell r="G163" t="str">
            <v>Non-Stg</v>
          </cell>
          <cell r="H163">
            <v>3</v>
          </cell>
          <cell r="I163" t="str">
            <v>Individual</v>
          </cell>
          <cell r="J163" t="str">
            <v>Individual</v>
          </cell>
          <cell r="K163" t="str">
            <v>P</v>
          </cell>
          <cell r="L163" t="str">
            <v>PUBLISHED</v>
          </cell>
        </row>
        <row r="164">
          <cell r="C164" t="str">
            <v>SS16</v>
          </cell>
          <cell r="D164" t="str">
            <v>PROOF READING ARB</v>
          </cell>
          <cell r="E164" t="str">
            <v>SUPER SENIOR</v>
          </cell>
          <cell r="F164" t="str">
            <v>Single</v>
          </cell>
          <cell r="G164" t="str">
            <v>Non-Stg</v>
          </cell>
          <cell r="H164">
            <v>3</v>
          </cell>
          <cell r="I164" t="str">
            <v>Individual</v>
          </cell>
          <cell r="J164" t="str">
            <v>Individual</v>
          </cell>
          <cell r="K164" t="str">
            <v>P</v>
          </cell>
          <cell r="L164" t="str">
            <v>PUBLISHED</v>
          </cell>
        </row>
        <row r="165">
          <cell r="C165" t="str">
            <v>SS17</v>
          </cell>
          <cell r="D165" t="str">
            <v>PROOF READING ENG</v>
          </cell>
          <cell r="E165" t="str">
            <v>SUPER SENIOR</v>
          </cell>
          <cell r="F165" t="str">
            <v>Single</v>
          </cell>
          <cell r="G165" t="str">
            <v>Non-Stg</v>
          </cell>
          <cell r="H165">
            <v>3</v>
          </cell>
          <cell r="I165" t="str">
            <v>Individual</v>
          </cell>
          <cell r="J165" t="str">
            <v>Individual</v>
          </cell>
          <cell r="K165" t="str">
            <v>P</v>
          </cell>
          <cell r="L165" t="str">
            <v>PUBLISHED</v>
          </cell>
        </row>
        <row r="166">
          <cell r="C166" t="str">
            <v>SS18</v>
          </cell>
          <cell r="D166" t="str">
            <v>PROOF READING MLM</v>
          </cell>
          <cell r="E166" t="str">
            <v>SUPER SENIOR</v>
          </cell>
          <cell r="F166" t="str">
            <v>Single</v>
          </cell>
          <cell r="G166" t="str">
            <v>Non-Stg</v>
          </cell>
          <cell r="H166">
            <v>3</v>
          </cell>
          <cell r="I166" t="str">
            <v>Individual</v>
          </cell>
          <cell r="J166" t="str">
            <v>Individual</v>
          </cell>
          <cell r="K166" t="str">
            <v>P</v>
          </cell>
          <cell r="L166" t="str">
            <v>PUBLISHED</v>
          </cell>
        </row>
        <row r="167">
          <cell r="C167" t="str">
            <v>SS19</v>
          </cell>
          <cell r="D167" t="str">
            <v>PROOF READING URD</v>
          </cell>
          <cell r="E167" t="str">
            <v>SUPER SENIOR</v>
          </cell>
          <cell r="F167" t="str">
            <v>Single</v>
          </cell>
          <cell r="G167" t="str">
            <v>Non-Stg</v>
          </cell>
          <cell r="H167">
            <v>3</v>
          </cell>
          <cell r="I167" t="str">
            <v>Individual</v>
          </cell>
          <cell r="J167" t="str">
            <v>Individual</v>
          </cell>
          <cell r="K167" t="str">
            <v>P</v>
          </cell>
          <cell r="L167" t="str">
            <v>PUBLISHED</v>
          </cell>
        </row>
        <row r="168">
          <cell r="C168" t="str">
            <v>SS20</v>
          </cell>
          <cell r="D168" t="str">
            <v>SCREENPLAY WRITING MLM</v>
          </cell>
          <cell r="E168" t="str">
            <v>SUPER SENIOR</v>
          </cell>
          <cell r="F168" t="str">
            <v>Single</v>
          </cell>
          <cell r="G168" t="str">
            <v>Non-Stg</v>
          </cell>
          <cell r="H168">
            <v>2</v>
          </cell>
          <cell r="I168" t="str">
            <v>Individual</v>
          </cell>
          <cell r="J168" t="str">
            <v>Individual</v>
          </cell>
          <cell r="K168" t="str">
            <v>P</v>
          </cell>
          <cell r="L168" t="str">
            <v>PUBLISHED</v>
          </cell>
        </row>
        <row r="169">
          <cell r="C169" t="str">
            <v>SS21</v>
          </cell>
          <cell r="D169" t="str">
            <v>SHORT STORY ARB</v>
          </cell>
          <cell r="E169" t="str">
            <v>SUPER SENIOR</v>
          </cell>
          <cell r="F169" t="str">
            <v>Single</v>
          </cell>
          <cell r="G169" t="str">
            <v>Non-Stg</v>
          </cell>
          <cell r="H169">
            <v>3</v>
          </cell>
          <cell r="I169" t="str">
            <v>Individual</v>
          </cell>
          <cell r="J169" t="str">
            <v>Individual</v>
          </cell>
          <cell r="K169" t="str">
            <v>P</v>
          </cell>
          <cell r="L169" t="str">
            <v>PUBLISHED</v>
          </cell>
        </row>
        <row r="170">
          <cell r="C170" t="str">
            <v>SS22</v>
          </cell>
          <cell r="D170" t="str">
            <v>SHORT STORY ENG</v>
          </cell>
          <cell r="E170" t="str">
            <v>SUPER SENIOR</v>
          </cell>
          <cell r="F170" t="str">
            <v>Single</v>
          </cell>
          <cell r="G170" t="str">
            <v>Non-Stg</v>
          </cell>
          <cell r="H170">
            <v>3</v>
          </cell>
          <cell r="I170" t="str">
            <v>Individual</v>
          </cell>
          <cell r="J170" t="str">
            <v>Individual</v>
          </cell>
          <cell r="K170" t="str">
            <v>P</v>
          </cell>
          <cell r="L170" t="str">
            <v>PUBLISHED</v>
          </cell>
        </row>
        <row r="171">
          <cell r="C171" t="str">
            <v>SS23</v>
          </cell>
          <cell r="D171" t="str">
            <v>SHORT STORY MLM</v>
          </cell>
          <cell r="E171" t="str">
            <v>SUPER SENIOR</v>
          </cell>
          <cell r="F171" t="str">
            <v>Single</v>
          </cell>
          <cell r="G171" t="str">
            <v>Non-Stg</v>
          </cell>
          <cell r="H171">
            <v>3</v>
          </cell>
          <cell r="I171" t="str">
            <v>Individual</v>
          </cell>
          <cell r="J171" t="str">
            <v>Individual</v>
          </cell>
          <cell r="K171" t="str">
            <v>P</v>
          </cell>
          <cell r="L171" t="str">
            <v>PUBLISHED</v>
          </cell>
        </row>
        <row r="172">
          <cell r="C172" t="str">
            <v>SS24</v>
          </cell>
          <cell r="D172" t="str">
            <v>SHORT STORY URD</v>
          </cell>
          <cell r="E172" t="str">
            <v>SUPER SENIOR</v>
          </cell>
          <cell r="F172" t="str">
            <v>Single</v>
          </cell>
          <cell r="G172" t="str">
            <v>Non-Stg</v>
          </cell>
          <cell r="H172">
            <v>3</v>
          </cell>
          <cell r="I172" t="str">
            <v>Individual</v>
          </cell>
          <cell r="J172" t="str">
            <v>Individual</v>
          </cell>
          <cell r="K172" t="str">
            <v>P</v>
          </cell>
          <cell r="L172" t="str">
            <v>PUBLISHED</v>
          </cell>
        </row>
        <row r="173">
          <cell r="C173" t="str">
            <v>SS25</v>
          </cell>
          <cell r="D173" t="str">
            <v>TYPING QUADRILINGUAL</v>
          </cell>
          <cell r="E173" t="str">
            <v>SUPER SENIOR</v>
          </cell>
          <cell r="F173" t="str">
            <v>Single</v>
          </cell>
          <cell r="G173" t="str">
            <v>Non-Stg</v>
          </cell>
          <cell r="H173">
            <v>2</v>
          </cell>
          <cell r="I173" t="str">
            <v>Individual</v>
          </cell>
          <cell r="J173" t="str">
            <v>Individual</v>
          </cell>
          <cell r="K173" t="str">
            <v>P</v>
          </cell>
          <cell r="L173" t="str">
            <v>PUBLISHED</v>
          </cell>
        </row>
        <row r="174">
          <cell r="C174" t="str">
            <v>SS26</v>
          </cell>
          <cell r="D174" t="str">
            <v>WEB DESIGNING</v>
          </cell>
          <cell r="E174" t="str">
            <v>SUPER SENIOR</v>
          </cell>
          <cell r="F174" t="str">
            <v>Single</v>
          </cell>
          <cell r="G174" t="str">
            <v>Non-Stg</v>
          </cell>
          <cell r="H174">
            <v>1</v>
          </cell>
          <cell r="I174" t="str">
            <v>Individual</v>
          </cell>
          <cell r="J174" t="str">
            <v>Individual</v>
          </cell>
          <cell r="K174" t="str">
            <v>P</v>
          </cell>
          <cell r="L174" t="str">
            <v>PUBLISHED</v>
          </cell>
        </row>
        <row r="175">
          <cell r="C175" t="str">
            <v>SS27</v>
          </cell>
          <cell r="D175" t="str">
            <v>ACADEMIC TALK ENG</v>
          </cell>
          <cell r="E175" t="str">
            <v>SUPER SENIOR</v>
          </cell>
          <cell r="F175" t="str">
            <v>Single</v>
          </cell>
          <cell r="G175" t="str">
            <v>Stage</v>
          </cell>
          <cell r="H175">
            <v>3</v>
          </cell>
          <cell r="I175" t="str">
            <v>Individual</v>
          </cell>
          <cell r="J175" t="str">
            <v>Individual</v>
          </cell>
          <cell r="K175" t="str">
            <v>P</v>
          </cell>
          <cell r="L175" t="str">
            <v>PUBLISHED</v>
          </cell>
        </row>
        <row r="176">
          <cell r="C176" t="str">
            <v>SS28</v>
          </cell>
          <cell r="D176" t="str">
            <v>ANNOUNCEMENT</v>
          </cell>
          <cell r="E176" t="str">
            <v>SUPER SENIOR</v>
          </cell>
          <cell r="F176" t="str">
            <v>Single</v>
          </cell>
          <cell r="G176" t="str">
            <v>Stage</v>
          </cell>
          <cell r="H176">
            <v>3</v>
          </cell>
          <cell r="I176" t="str">
            <v>Individual</v>
          </cell>
          <cell r="J176" t="str">
            <v>Individual</v>
          </cell>
          <cell r="K176" t="str">
            <v>P</v>
          </cell>
          <cell r="L176" t="str">
            <v>PUBLISHED</v>
          </cell>
        </row>
        <row r="177">
          <cell r="C177" t="str">
            <v>SS29</v>
          </cell>
          <cell r="D177" t="str">
            <v>DOCUMENTARY NARRATION ARB</v>
          </cell>
          <cell r="E177" t="str">
            <v>SUPER SENIOR</v>
          </cell>
          <cell r="F177" t="str">
            <v>Single</v>
          </cell>
          <cell r="G177" t="str">
            <v>Stage</v>
          </cell>
          <cell r="H177">
            <v>2</v>
          </cell>
          <cell r="I177" t="str">
            <v>Master</v>
          </cell>
          <cell r="J177" t="str">
            <v>Master</v>
          </cell>
          <cell r="K177" t="str">
            <v>P</v>
          </cell>
          <cell r="L177" t="str">
            <v>PUBLISHED</v>
          </cell>
        </row>
        <row r="178">
          <cell r="C178" t="str">
            <v>SS30</v>
          </cell>
          <cell r="D178" t="str">
            <v>EXTEMPORE SPEECH ARB</v>
          </cell>
          <cell r="E178" t="str">
            <v>SUPER SENIOR</v>
          </cell>
          <cell r="F178" t="str">
            <v>Single</v>
          </cell>
          <cell r="G178" t="str">
            <v>Stage</v>
          </cell>
          <cell r="H178">
            <v>3</v>
          </cell>
          <cell r="I178" t="str">
            <v>Individual</v>
          </cell>
          <cell r="J178" t="str">
            <v>Individual</v>
          </cell>
          <cell r="K178" t="str">
            <v>P</v>
          </cell>
          <cell r="L178" t="str">
            <v>PUBLISHED</v>
          </cell>
        </row>
        <row r="179">
          <cell r="C179" t="str">
            <v>SS31</v>
          </cell>
          <cell r="D179" t="str">
            <v>GD ENG</v>
          </cell>
          <cell r="E179" t="str">
            <v>SUPER SENIOR</v>
          </cell>
          <cell r="F179" t="str">
            <v>Single</v>
          </cell>
          <cell r="G179" t="str">
            <v>Stage</v>
          </cell>
          <cell r="H179">
            <v>3</v>
          </cell>
          <cell r="I179" t="str">
            <v>Individual</v>
          </cell>
          <cell r="J179" t="str">
            <v>Individual</v>
          </cell>
          <cell r="K179" t="str">
            <v>P</v>
          </cell>
          <cell r="L179" t="str">
            <v>PUBLISHED</v>
          </cell>
        </row>
        <row r="180">
          <cell r="C180" t="str">
            <v>SS32</v>
          </cell>
          <cell r="D180" t="str">
            <v>GD URD</v>
          </cell>
          <cell r="E180" t="str">
            <v>SUPER SENIOR</v>
          </cell>
          <cell r="F180" t="str">
            <v>Single</v>
          </cell>
          <cell r="G180" t="str">
            <v>Stage</v>
          </cell>
          <cell r="H180">
            <v>3</v>
          </cell>
          <cell r="I180" t="str">
            <v>Individual</v>
          </cell>
          <cell r="J180" t="str">
            <v>Individual</v>
          </cell>
          <cell r="K180" t="str">
            <v>P</v>
          </cell>
          <cell r="L180" t="str">
            <v>PUBLISHED</v>
          </cell>
        </row>
        <row r="181">
          <cell r="C181" t="str">
            <v>SS33</v>
          </cell>
          <cell r="D181" t="str">
            <v>GENERAL SPEECH MLM</v>
          </cell>
          <cell r="E181" t="str">
            <v>SUPER SENIOR</v>
          </cell>
          <cell r="F181" t="str">
            <v>Single</v>
          </cell>
          <cell r="G181" t="str">
            <v>Stage</v>
          </cell>
          <cell r="H181">
            <v>3</v>
          </cell>
          <cell r="I181" t="str">
            <v>Individual</v>
          </cell>
          <cell r="J181" t="str">
            <v>Individual</v>
          </cell>
          <cell r="K181" t="str">
            <v>P</v>
          </cell>
          <cell r="L181" t="str">
            <v>PUBLISHED</v>
          </cell>
        </row>
        <row r="182">
          <cell r="C182" t="str">
            <v>SS34</v>
          </cell>
          <cell r="D182" t="str">
            <v>KAVIYARANG</v>
          </cell>
          <cell r="E182" t="str">
            <v>SUPER SENIOR</v>
          </cell>
          <cell r="F182" t="str">
            <v>Single</v>
          </cell>
          <cell r="G182" t="str">
            <v>Stage</v>
          </cell>
          <cell r="H182">
            <v>3</v>
          </cell>
          <cell r="I182" t="str">
            <v>Individual</v>
          </cell>
          <cell r="J182" t="str">
            <v>Individual</v>
          </cell>
          <cell r="K182" t="str">
            <v>P</v>
          </cell>
          <cell r="L182" t="str">
            <v>PUBLISHED</v>
          </cell>
        </row>
        <row r="183">
          <cell r="C183" t="str">
            <v>SS35</v>
          </cell>
          <cell r="D183" t="str">
            <v>KHUṬBAH</v>
          </cell>
          <cell r="E183" t="str">
            <v>SUPER SENIOR</v>
          </cell>
          <cell r="F183" t="str">
            <v>Single</v>
          </cell>
          <cell r="G183" t="str">
            <v>Stage</v>
          </cell>
          <cell r="H183">
            <v>3</v>
          </cell>
          <cell r="I183" t="str">
            <v>Individual</v>
          </cell>
          <cell r="J183" t="str">
            <v>Individual</v>
          </cell>
          <cell r="K183" t="str">
            <v>P</v>
          </cell>
          <cell r="L183" t="str">
            <v>PUBLISHED</v>
          </cell>
        </row>
        <row r="184">
          <cell r="C184" t="str">
            <v>SS36</v>
          </cell>
          <cell r="D184" t="str">
            <v>MAPPILAPPATT</v>
          </cell>
          <cell r="E184" t="str">
            <v>SUPER SENIOR</v>
          </cell>
          <cell r="F184" t="str">
            <v>Single</v>
          </cell>
          <cell r="G184" t="str">
            <v>Stage</v>
          </cell>
          <cell r="H184">
            <v>2</v>
          </cell>
          <cell r="I184" t="str">
            <v>Individual</v>
          </cell>
          <cell r="J184" t="str">
            <v>Individual</v>
          </cell>
          <cell r="K184" t="str">
            <v>P</v>
          </cell>
          <cell r="L184" t="str">
            <v>PUBLISHED</v>
          </cell>
        </row>
        <row r="185">
          <cell r="C185" t="str">
            <v>SS37</v>
          </cell>
          <cell r="D185" t="str">
            <v>MOCK INTERVIEW ENG</v>
          </cell>
          <cell r="E185" t="str">
            <v>SUPER SENIOR</v>
          </cell>
          <cell r="F185" t="str">
            <v>Single</v>
          </cell>
          <cell r="G185" t="str">
            <v>Stage</v>
          </cell>
          <cell r="H185">
            <v>2</v>
          </cell>
          <cell r="I185" t="str">
            <v>Master</v>
          </cell>
          <cell r="J185" t="str">
            <v>Master</v>
          </cell>
          <cell r="K185" t="str">
            <v>P</v>
          </cell>
          <cell r="L185" t="str">
            <v>PUBLISHED</v>
          </cell>
        </row>
        <row r="186">
          <cell r="C186" t="str">
            <v>SS38</v>
          </cell>
          <cell r="D186" t="str">
            <v>NASHEED ARB</v>
          </cell>
          <cell r="E186" t="str">
            <v>SUPER SENIOR</v>
          </cell>
          <cell r="F186" t="str">
            <v>Single</v>
          </cell>
          <cell r="G186" t="str">
            <v>Stage</v>
          </cell>
          <cell r="H186">
            <v>3</v>
          </cell>
          <cell r="I186" t="str">
            <v>Individual</v>
          </cell>
          <cell r="J186" t="str">
            <v>Individual</v>
          </cell>
          <cell r="K186" t="str">
            <v>P</v>
          </cell>
          <cell r="L186" t="str">
            <v>PUBLISHED</v>
          </cell>
        </row>
        <row r="187">
          <cell r="C187" t="str">
            <v>SS39</v>
          </cell>
          <cell r="D187" t="str">
            <v>NEWS WRITING &amp; READING ARB</v>
          </cell>
          <cell r="E187" t="str">
            <v>SUPER SENIOR</v>
          </cell>
          <cell r="F187" t="str">
            <v>Single</v>
          </cell>
          <cell r="G187" t="str">
            <v>Stage</v>
          </cell>
          <cell r="H187">
            <v>3</v>
          </cell>
          <cell r="I187" t="str">
            <v>Individual</v>
          </cell>
          <cell r="J187" t="str">
            <v>Individual</v>
          </cell>
          <cell r="K187" t="str">
            <v>P</v>
          </cell>
          <cell r="L187" t="str">
            <v>PUBLISHED</v>
          </cell>
        </row>
        <row r="188">
          <cell r="C188" t="str">
            <v>SS40</v>
          </cell>
          <cell r="D188" t="str">
            <v>POLITICAL SATIRE MLM</v>
          </cell>
          <cell r="E188" t="str">
            <v>SUPER SENIOR</v>
          </cell>
          <cell r="F188" t="str">
            <v>Single</v>
          </cell>
          <cell r="G188" t="str">
            <v>Stage</v>
          </cell>
          <cell r="H188">
            <v>2</v>
          </cell>
          <cell r="I188" t="str">
            <v>Individual</v>
          </cell>
          <cell r="J188" t="str">
            <v>Individual</v>
          </cell>
          <cell r="K188" t="str">
            <v>P</v>
          </cell>
          <cell r="L188" t="str">
            <v>PUBLISHED</v>
          </cell>
        </row>
        <row r="189">
          <cell r="C189" t="str">
            <v>SS41</v>
          </cell>
          <cell r="D189" t="str">
            <v>PROJECT PRESENTATION ENG</v>
          </cell>
          <cell r="E189" t="str">
            <v>SUPER SENIOR</v>
          </cell>
          <cell r="F189" t="str">
            <v>Single</v>
          </cell>
          <cell r="G189" t="str">
            <v>Stage</v>
          </cell>
          <cell r="H189">
            <v>1</v>
          </cell>
          <cell r="I189" t="str">
            <v>Master</v>
          </cell>
          <cell r="J189" t="str">
            <v>Master</v>
          </cell>
          <cell r="K189" t="str">
            <v>P</v>
          </cell>
          <cell r="L189" t="str">
            <v>PUBLISHED</v>
          </cell>
        </row>
        <row r="190">
          <cell r="C190" t="str">
            <v>SS42</v>
          </cell>
          <cell r="D190" t="str">
            <v>REVERSE QUIZ</v>
          </cell>
          <cell r="E190" t="str">
            <v>SUPER SENIOR</v>
          </cell>
          <cell r="F190" t="str">
            <v>Single</v>
          </cell>
          <cell r="G190" t="str">
            <v>Stage</v>
          </cell>
          <cell r="H190">
            <v>2</v>
          </cell>
          <cell r="I190" t="str">
            <v>Master</v>
          </cell>
          <cell r="J190" t="str">
            <v>Master</v>
          </cell>
          <cell r="K190" t="str">
            <v>P</v>
          </cell>
          <cell r="L190" t="str">
            <v>PUBLISHED</v>
          </cell>
        </row>
        <row r="191">
          <cell r="C191" t="str">
            <v>SS43</v>
          </cell>
          <cell r="D191" t="str">
            <v>SIYASI THAQREER URD</v>
          </cell>
          <cell r="E191" t="str">
            <v>SUPER SENIOR</v>
          </cell>
          <cell r="F191" t="str">
            <v>Single</v>
          </cell>
          <cell r="G191" t="str">
            <v>Stage</v>
          </cell>
          <cell r="H191">
            <v>2</v>
          </cell>
          <cell r="I191" t="str">
            <v>Individual</v>
          </cell>
          <cell r="J191" t="str">
            <v>Individual</v>
          </cell>
          <cell r="K191" t="str">
            <v>P</v>
          </cell>
          <cell r="L191" t="str">
            <v>PUBLISHED</v>
          </cell>
        </row>
        <row r="192">
          <cell r="C192" t="str">
            <v>SS44</v>
          </cell>
          <cell r="D192" t="str">
            <v>SONG ENG</v>
          </cell>
          <cell r="E192" t="str">
            <v>SUPER SENIOR</v>
          </cell>
          <cell r="F192" t="str">
            <v>Single</v>
          </cell>
          <cell r="G192" t="str">
            <v>Stage</v>
          </cell>
          <cell r="H192">
            <v>3</v>
          </cell>
          <cell r="I192" t="str">
            <v>Individual</v>
          </cell>
          <cell r="J192" t="str">
            <v>Individual</v>
          </cell>
          <cell r="K192" t="str">
            <v>P</v>
          </cell>
          <cell r="L192" t="str">
            <v>PUBLISHED</v>
          </cell>
        </row>
        <row r="193">
          <cell r="C193" t="str">
            <v>SS45</v>
          </cell>
          <cell r="D193" t="str">
            <v>TADRĪS</v>
          </cell>
          <cell r="E193" t="str">
            <v>SUPER SENIOR</v>
          </cell>
          <cell r="F193" t="str">
            <v>Single</v>
          </cell>
          <cell r="G193" t="str">
            <v>Stage</v>
          </cell>
          <cell r="H193">
            <v>3</v>
          </cell>
          <cell r="I193" t="str">
            <v>Individual</v>
          </cell>
          <cell r="J193" t="str">
            <v>Individual</v>
          </cell>
          <cell r="K193" t="str">
            <v>P</v>
          </cell>
          <cell r="L193" t="str">
            <v>PUBLISHED</v>
          </cell>
        </row>
        <row r="194">
          <cell r="C194" t="str">
            <v>SS46</v>
          </cell>
          <cell r="D194" t="str">
            <v>WAʿẒ</v>
          </cell>
          <cell r="E194" t="str">
            <v>SUPER SENIOR</v>
          </cell>
          <cell r="F194" t="str">
            <v>Single</v>
          </cell>
          <cell r="G194" t="str">
            <v>Stage</v>
          </cell>
          <cell r="H194">
            <v>3</v>
          </cell>
          <cell r="I194" t="str">
            <v>Individual</v>
          </cell>
          <cell r="J194" t="str">
            <v>Individual</v>
          </cell>
          <cell r="K194" t="str">
            <v>P</v>
          </cell>
          <cell r="L194" t="str">
            <v>PUBLISHED</v>
          </cell>
        </row>
        <row r="195">
          <cell r="C195" t="str">
            <v>SS47</v>
          </cell>
          <cell r="D195" t="str">
            <v>INSTANT DIGITAL TABLOID ARB</v>
          </cell>
          <cell r="E195" t="str">
            <v>SUPER SENIOR</v>
          </cell>
          <cell r="F195" t="str">
            <v>Group</v>
          </cell>
          <cell r="G195" t="str">
            <v>Non-Stg</v>
          </cell>
          <cell r="H195">
            <v>3</v>
          </cell>
          <cell r="I195" t="str">
            <v>GROUP</v>
          </cell>
          <cell r="J195" t="str">
            <v>GROUP</v>
          </cell>
          <cell r="K195" t="str">
            <v>P</v>
          </cell>
          <cell r="L195" t="str">
            <v>PUBLISHED</v>
          </cell>
        </row>
        <row r="196">
          <cell r="C196" t="str">
            <v>SS48</v>
          </cell>
          <cell r="D196" t="str">
            <v>MASHUP</v>
          </cell>
          <cell r="E196" t="str">
            <v>SUPER SENIOR</v>
          </cell>
          <cell r="F196" t="str">
            <v>Group</v>
          </cell>
          <cell r="G196" t="str">
            <v>Stage</v>
          </cell>
          <cell r="H196">
            <v>6</v>
          </cell>
          <cell r="I196" t="str">
            <v>GROUP</v>
          </cell>
          <cell r="J196" t="str">
            <v>GROUP</v>
          </cell>
          <cell r="K196" t="str">
            <v>P</v>
          </cell>
          <cell r="L196" t="str">
            <v>PUBLISHED</v>
          </cell>
        </row>
        <row r="197">
          <cell r="C197" t="str">
            <v>SS49</v>
          </cell>
          <cell r="D197" t="str">
            <v>SPOT TRANSLATION</v>
          </cell>
          <cell r="E197" t="str">
            <v>SUPER SENIOR</v>
          </cell>
          <cell r="F197" t="str">
            <v>Group</v>
          </cell>
          <cell r="G197" t="str">
            <v>Stage</v>
          </cell>
          <cell r="H197">
            <v>4</v>
          </cell>
          <cell r="I197" t="str">
            <v>GROUP</v>
          </cell>
          <cell r="J197" t="str">
            <v>GROUP</v>
          </cell>
          <cell r="K197" t="str">
            <v>P</v>
          </cell>
          <cell r="L197" t="str">
            <v>PUBLISHED</v>
          </cell>
        </row>
        <row r="198">
          <cell r="C198" t="str">
            <v>GN01</v>
          </cell>
          <cell r="D198" t="str">
            <v>COLLAGE</v>
          </cell>
          <cell r="E198" t="str">
            <v>GENERAL</v>
          </cell>
          <cell r="F198" t="str">
            <v>Group</v>
          </cell>
          <cell r="G198" t="str">
            <v>Non-Stg</v>
          </cell>
          <cell r="H198"/>
          <cell r="I198" t="str">
            <v>General</v>
          </cell>
          <cell r="J198" t="str">
            <v>General</v>
          </cell>
          <cell r="K198" t="str">
            <v>P</v>
          </cell>
          <cell r="L198" t="str">
            <v>PUBLISHED</v>
          </cell>
        </row>
        <row r="199">
          <cell r="C199" t="str">
            <v>GN02</v>
          </cell>
          <cell r="D199" t="str">
            <v>DIGITAL MAGAZINE</v>
          </cell>
          <cell r="E199" t="str">
            <v>GENERAL</v>
          </cell>
          <cell r="F199" t="str">
            <v>Group</v>
          </cell>
          <cell r="G199" t="str">
            <v>Non-Stg</v>
          </cell>
          <cell r="H199"/>
          <cell r="I199" t="str">
            <v>General</v>
          </cell>
          <cell r="J199" t="str">
            <v>General</v>
          </cell>
          <cell r="K199" t="str">
            <v>P</v>
          </cell>
          <cell r="L199" t="str">
            <v>PUBLISHED</v>
          </cell>
        </row>
        <row r="200">
          <cell r="C200" t="str">
            <v>GN03</v>
          </cell>
          <cell r="D200" t="str">
            <v>DOCUMENTARY</v>
          </cell>
          <cell r="E200" t="str">
            <v>GENERAL</v>
          </cell>
          <cell r="F200" t="str">
            <v>Group</v>
          </cell>
          <cell r="G200" t="str">
            <v>Non-Stg</v>
          </cell>
          <cell r="H200"/>
          <cell r="I200" t="str">
            <v>General</v>
          </cell>
          <cell r="J200" t="str">
            <v>General</v>
          </cell>
          <cell r="K200" t="str">
            <v>P</v>
          </cell>
          <cell r="L200" t="str">
            <v>PUBLISHED</v>
          </cell>
        </row>
        <row r="201">
          <cell r="C201" t="str">
            <v>GN04</v>
          </cell>
          <cell r="D201" t="str">
            <v>PROJECT BRANDING</v>
          </cell>
          <cell r="E201" t="str">
            <v>GENERAL</v>
          </cell>
          <cell r="F201" t="str">
            <v>Group</v>
          </cell>
          <cell r="G201" t="str">
            <v>Non-Stg</v>
          </cell>
          <cell r="H201"/>
          <cell r="I201" t="str">
            <v>General</v>
          </cell>
          <cell r="J201" t="str">
            <v>General</v>
          </cell>
          <cell r="K201" t="str">
            <v>P</v>
          </cell>
          <cell r="L201" t="str">
            <v>PUBLISHED</v>
          </cell>
        </row>
        <row r="202">
          <cell r="C202" t="str">
            <v>GN05</v>
          </cell>
          <cell r="D202" t="str">
            <v>WALL PAINTING</v>
          </cell>
          <cell r="E202" t="str">
            <v>GENERAL</v>
          </cell>
          <cell r="F202" t="str">
            <v>Group</v>
          </cell>
          <cell r="G202" t="str">
            <v>Non-Stg</v>
          </cell>
          <cell r="H202"/>
          <cell r="I202" t="str">
            <v>General</v>
          </cell>
          <cell r="J202" t="str">
            <v>General</v>
          </cell>
          <cell r="K202" t="str">
            <v>P</v>
          </cell>
          <cell r="L202" t="str">
            <v>PUBLISHED</v>
          </cell>
        </row>
        <row r="203">
          <cell r="C203" t="str">
            <v>GN06</v>
          </cell>
          <cell r="D203" t="str">
            <v>CAMPUS BRAIN</v>
          </cell>
          <cell r="E203" t="str">
            <v>GENERAL</v>
          </cell>
          <cell r="F203" t="str">
            <v>Group</v>
          </cell>
          <cell r="G203" t="str">
            <v>Stage</v>
          </cell>
          <cell r="H203">
            <v>1</v>
          </cell>
          <cell r="I203" t="str">
            <v>STARRED</v>
          </cell>
          <cell r="J203" t="str">
            <v>STARRED</v>
          </cell>
          <cell r="K203" t="str">
            <v>P</v>
          </cell>
          <cell r="L203" t="str">
            <v>PUBLISHED</v>
          </cell>
        </row>
        <row r="204">
          <cell r="C204" t="str">
            <v>GN07</v>
          </cell>
          <cell r="D204" t="str">
            <v>DEBATE ENGLISH</v>
          </cell>
          <cell r="E204" t="str">
            <v>GENERAL</v>
          </cell>
          <cell r="F204" t="str">
            <v>Group</v>
          </cell>
          <cell r="G204" t="str">
            <v>Stage</v>
          </cell>
          <cell r="H204">
            <v>2</v>
          </cell>
          <cell r="I204" t="str">
            <v>General</v>
          </cell>
          <cell r="J204" t="str">
            <v>General</v>
          </cell>
          <cell r="K204" t="str">
            <v>P</v>
          </cell>
          <cell r="L204" t="str">
            <v>PUBLISHED</v>
          </cell>
        </row>
        <row r="205">
          <cell r="C205" t="str">
            <v>GN08</v>
          </cell>
          <cell r="D205" t="str">
            <v>FATWA COUNCIL</v>
          </cell>
          <cell r="E205" t="str">
            <v>GENERAL</v>
          </cell>
          <cell r="F205" t="str">
            <v>Group</v>
          </cell>
          <cell r="G205" t="str">
            <v>Stage</v>
          </cell>
          <cell r="H205">
            <v>3</v>
          </cell>
          <cell r="I205" t="str">
            <v>STARRED</v>
          </cell>
          <cell r="J205" t="str">
            <v>STARRED</v>
          </cell>
          <cell r="K205" t="str">
            <v>P</v>
          </cell>
          <cell r="L205" t="str">
            <v>PUBLISHED</v>
          </cell>
        </row>
        <row r="206">
          <cell r="C206" t="str">
            <v>GN09</v>
          </cell>
          <cell r="D206" t="str">
            <v>FIQHI DEMO</v>
          </cell>
          <cell r="E206" t="str">
            <v>GENERAL</v>
          </cell>
          <cell r="F206" t="str">
            <v>Group</v>
          </cell>
          <cell r="G206" t="str">
            <v>Stage</v>
          </cell>
          <cell r="H206"/>
          <cell r="I206" t="str">
            <v>STARRED</v>
          </cell>
          <cell r="J206" t="str">
            <v>STARRED</v>
          </cell>
          <cell r="K206" t="str">
            <v>P</v>
          </cell>
          <cell r="L206" t="str">
            <v>PUBLISHED</v>
          </cell>
        </row>
        <row r="207">
          <cell r="C207" t="str">
            <v>GN10</v>
          </cell>
          <cell r="D207" t="str">
            <v>ISHQE RASOOL</v>
          </cell>
          <cell r="E207" t="str">
            <v>GENERAL</v>
          </cell>
          <cell r="F207" t="str">
            <v>Group</v>
          </cell>
          <cell r="G207" t="str">
            <v>Stage</v>
          </cell>
          <cell r="H207">
            <v>6</v>
          </cell>
          <cell r="I207" t="str">
            <v>General</v>
          </cell>
          <cell r="J207" t="str">
            <v>General</v>
          </cell>
          <cell r="K207" t="str">
            <v>P</v>
          </cell>
          <cell r="L207" t="str">
            <v>PUBLISHED</v>
          </cell>
        </row>
        <row r="208">
          <cell r="C208" t="str">
            <v>GN11</v>
          </cell>
          <cell r="D208" t="str">
            <v>MUNĀẒARAH</v>
          </cell>
          <cell r="E208" t="str">
            <v>GENERAL</v>
          </cell>
          <cell r="F208" t="str">
            <v>Group</v>
          </cell>
          <cell r="G208" t="str">
            <v>Stage</v>
          </cell>
          <cell r="H208">
            <v>3</v>
          </cell>
          <cell r="I208" t="str">
            <v>General</v>
          </cell>
          <cell r="J208" t="str">
            <v>General</v>
          </cell>
          <cell r="K208" t="str">
            <v>P</v>
          </cell>
          <cell r="L208" t="str">
            <v>PUBLISHED</v>
          </cell>
        </row>
        <row r="209">
          <cell r="C209" t="str">
            <v>GN12</v>
          </cell>
          <cell r="D209" t="str">
            <v>MUSHĀʿARAH</v>
          </cell>
          <cell r="E209" t="str">
            <v>GENERAL</v>
          </cell>
          <cell r="F209" t="str">
            <v>Group</v>
          </cell>
          <cell r="G209" t="str">
            <v>Stage</v>
          </cell>
          <cell r="H209">
            <v>5</v>
          </cell>
          <cell r="I209" t="str">
            <v>STARRED</v>
          </cell>
          <cell r="J209" t="str">
            <v>STARRED</v>
          </cell>
          <cell r="K209" t="str">
            <v>P</v>
          </cell>
          <cell r="L209" t="str">
            <v>PUBLISHED</v>
          </cell>
        </row>
        <row r="210">
          <cell r="C210" t="str">
            <v>GN13</v>
          </cell>
          <cell r="D210" t="str">
            <v>QAWWALI URD</v>
          </cell>
          <cell r="E210" t="str">
            <v>GENERAL</v>
          </cell>
          <cell r="F210" t="str">
            <v>Group</v>
          </cell>
          <cell r="G210" t="str">
            <v>Stage</v>
          </cell>
          <cell r="H210">
            <v>7</v>
          </cell>
          <cell r="I210" t="str">
            <v>General</v>
          </cell>
          <cell r="J210" t="str">
            <v>General</v>
          </cell>
          <cell r="K210" t="str">
            <v>P</v>
          </cell>
          <cell r="L210" t="str">
            <v>PUBLISHED</v>
          </cell>
        </row>
        <row r="211">
          <cell r="C211" t="str">
            <v>GN14</v>
          </cell>
          <cell r="D211" t="str">
            <v>SUFI SANGEEDAM</v>
          </cell>
          <cell r="E211" t="str">
            <v>GENERAL</v>
          </cell>
          <cell r="F211" t="str">
            <v>Group</v>
          </cell>
          <cell r="G211" t="str">
            <v>Stage</v>
          </cell>
          <cell r="H211">
            <v>3</v>
          </cell>
          <cell r="I211" t="str">
            <v>General</v>
          </cell>
          <cell r="J211" t="str">
            <v>General</v>
          </cell>
          <cell r="K211" t="str">
            <v>P</v>
          </cell>
          <cell r="L211" t="str">
            <v>PUBLISHED</v>
          </cell>
        </row>
        <row r="212">
          <cell r="C212"/>
          <cell r="D212"/>
          <cell r="E212"/>
          <cell r="F212"/>
          <cell r="G212"/>
          <cell r="H212"/>
          <cell r="I212"/>
          <cell r="J212"/>
          <cell r="K212"/>
          <cell r="L212" t="str">
            <v/>
          </cell>
        </row>
        <row r="213">
          <cell r="C213"/>
          <cell r="D213"/>
          <cell r="E213"/>
          <cell r="F213"/>
          <cell r="G213"/>
          <cell r="H213"/>
          <cell r="I213"/>
          <cell r="J213"/>
          <cell r="K213"/>
          <cell r="L213" t="str">
            <v/>
          </cell>
        </row>
        <row r="214">
          <cell r="C214"/>
          <cell r="D214"/>
          <cell r="E214"/>
          <cell r="F214"/>
          <cell r="G214"/>
          <cell r="H214"/>
          <cell r="I214"/>
          <cell r="J214"/>
          <cell r="K214"/>
          <cell r="L214" t="str">
            <v/>
          </cell>
        </row>
        <row r="215">
          <cell r="C215"/>
          <cell r="D215"/>
          <cell r="E215"/>
          <cell r="F215"/>
          <cell r="G215"/>
          <cell r="H215"/>
          <cell r="I215"/>
          <cell r="J215"/>
          <cell r="K215"/>
          <cell r="L215" t="str">
            <v/>
          </cell>
        </row>
        <row r="216">
          <cell r="C216"/>
          <cell r="D216"/>
          <cell r="E216"/>
          <cell r="F216"/>
          <cell r="G216"/>
          <cell r="H216"/>
          <cell r="I216"/>
          <cell r="J216"/>
          <cell r="K216"/>
          <cell r="L216" t="str">
            <v/>
          </cell>
        </row>
        <row r="217">
          <cell r="C217"/>
          <cell r="D217"/>
          <cell r="E217"/>
          <cell r="F217"/>
          <cell r="G217"/>
          <cell r="H217"/>
          <cell r="I217"/>
          <cell r="J217"/>
          <cell r="K217"/>
          <cell r="L217" t="str">
            <v/>
          </cell>
        </row>
        <row r="218">
          <cell r="C218"/>
          <cell r="D218"/>
          <cell r="E218"/>
          <cell r="F218"/>
          <cell r="G218"/>
          <cell r="H218"/>
          <cell r="I218"/>
          <cell r="J218"/>
          <cell r="K218"/>
          <cell r="L218" t="str">
            <v/>
          </cell>
        </row>
        <row r="219">
          <cell r="C219"/>
          <cell r="D219"/>
          <cell r="E219"/>
          <cell r="F219"/>
          <cell r="G219"/>
          <cell r="H219"/>
          <cell r="I219"/>
          <cell r="J219"/>
          <cell r="K219"/>
          <cell r="L219" t="str">
            <v/>
          </cell>
        </row>
        <row r="220">
          <cell r="C220"/>
          <cell r="D220"/>
          <cell r="E220"/>
          <cell r="F220"/>
          <cell r="G220"/>
          <cell r="H220"/>
          <cell r="I220"/>
          <cell r="J220"/>
          <cell r="K220"/>
          <cell r="L220" t="str">
            <v/>
          </cell>
        </row>
        <row r="221">
          <cell r="C221"/>
          <cell r="D221"/>
          <cell r="E221"/>
          <cell r="F221"/>
          <cell r="G221"/>
          <cell r="H221"/>
          <cell r="I221"/>
          <cell r="J221"/>
          <cell r="K221"/>
          <cell r="L221" t="str">
            <v/>
          </cell>
        </row>
        <row r="222">
          <cell r="C222"/>
          <cell r="D222"/>
          <cell r="E222"/>
          <cell r="F222"/>
          <cell r="G222"/>
          <cell r="H222"/>
          <cell r="I222"/>
          <cell r="J222"/>
          <cell r="K222"/>
          <cell r="L222" t="str">
            <v/>
          </cell>
        </row>
        <row r="223">
          <cell r="C223"/>
          <cell r="D223"/>
          <cell r="E223"/>
          <cell r="F223"/>
          <cell r="G223"/>
          <cell r="H223"/>
          <cell r="I223"/>
          <cell r="J223"/>
          <cell r="K223"/>
          <cell r="L223" t="str">
            <v/>
          </cell>
        </row>
        <row r="224">
          <cell r="C224"/>
          <cell r="D224"/>
          <cell r="E224"/>
          <cell r="F224"/>
          <cell r="G224"/>
          <cell r="H224"/>
          <cell r="I224"/>
          <cell r="J224"/>
          <cell r="K224"/>
          <cell r="L224" t="str">
            <v/>
          </cell>
        </row>
        <row r="225">
          <cell r="C225"/>
          <cell r="D225"/>
          <cell r="E225"/>
          <cell r="F225"/>
          <cell r="G225"/>
          <cell r="H225"/>
          <cell r="I225"/>
          <cell r="J225"/>
          <cell r="K225"/>
          <cell r="L225" t="str">
            <v/>
          </cell>
        </row>
        <row r="226">
          <cell r="C226"/>
          <cell r="D226"/>
          <cell r="E226"/>
          <cell r="F226"/>
          <cell r="G226"/>
          <cell r="H226"/>
          <cell r="I226"/>
          <cell r="J226"/>
          <cell r="K226"/>
          <cell r="L226" t="str">
            <v/>
          </cell>
        </row>
        <row r="227">
          <cell r="C227"/>
          <cell r="D227"/>
          <cell r="E227"/>
          <cell r="F227"/>
          <cell r="G227"/>
          <cell r="H227"/>
          <cell r="I227"/>
          <cell r="J227"/>
          <cell r="K227"/>
          <cell r="L227" t="str">
            <v/>
          </cell>
        </row>
        <row r="228">
          <cell r="C228"/>
          <cell r="D228"/>
          <cell r="E228"/>
          <cell r="F228"/>
          <cell r="G228"/>
          <cell r="H228"/>
          <cell r="I228"/>
          <cell r="J228"/>
          <cell r="K228"/>
          <cell r="L228" t="str">
            <v/>
          </cell>
        </row>
        <row r="229">
          <cell r="C229"/>
          <cell r="D229"/>
          <cell r="E229"/>
          <cell r="F229"/>
          <cell r="G229"/>
          <cell r="H229"/>
          <cell r="I229"/>
          <cell r="J229"/>
          <cell r="K229"/>
          <cell r="L229" t="str">
            <v/>
          </cell>
        </row>
        <row r="230">
          <cell r="C230"/>
          <cell r="D230"/>
          <cell r="E230"/>
          <cell r="F230"/>
          <cell r="G230"/>
          <cell r="H230"/>
          <cell r="I230"/>
          <cell r="J230"/>
          <cell r="K230"/>
          <cell r="L230" t="str">
            <v/>
          </cell>
        </row>
        <row r="231">
          <cell r="C231"/>
          <cell r="D231"/>
          <cell r="E231"/>
          <cell r="F231"/>
          <cell r="G231"/>
          <cell r="H231"/>
          <cell r="I231"/>
          <cell r="J231"/>
          <cell r="K231"/>
          <cell r="L231" t="str">
            <v/>
          </cell>
        </row>
        <row r="232">
          <cell r="C232"/>
          <cell r="D232"/>
          <cell r="E232"/>
          <cell r="F232"/>
          <cell r="G232"/>
          <cell r="H232"/>
          <cell r="I232"/>
          <cell r="J232"/>
          <cell r="K232"/>
          <cell r="L232" t="str">
            <v/>
          </cell>
        </row>
        <row r="233">
          <cell r="C233"/>
          <cell r="D233"/>
          <cell r="E233"/>
          <cell r="F233"/>
          <cell r="G233"/>
          <cell r="H233"/>
          <cell r="I233"/>
          <cell r="J233"/>
          <cell r="K233"/>
          <cell r="L233" t="str">
            <v/>
          </cell>
        </row>
        <row r="234">
          <cell r="C234"/>
          <cell r="D234"/>
          <cell r="E234"/>
          <cell r="F234"/>
          <cell r="G234"/>
          <cell r="H234"/>
          <cell r="I234"/>
          <cell r="J234"/>
          <cell r="K234"/>
          <cell r="L234" t="str">
            <v/>
          </cell>
        </row>
        <row r="235">
          <cell r="C235"/>
          <cell r="D235"/>
          <cell r="E235"/>
          <cell r="F235"/>
          <cell r="G235"/>
          <cell r="H235"/>
          <cell r="I235"/>
          <cell r="J235"/>
          <cell r="K235"/>
          <cell r="L235" t="str">
            <v/>
          </cell>
        </row>
        <row r="236">
          <cell r="C236"/>
          <cell r="D236"/>
          <cell r="E236"/>
          <cell r="F236"/>
          <cell r="G236"/>
          <cell r="H236"/>
          <cell r="I236"/>
          <cell r="J236"/>
          <cell r="K236"/>
          <cell r="L236" t="str">
            <v/>
          </cell>
        </row>
        <row r="237">
          <cell r="C237"/>
          <cell r="D237"/>
          <cell r="E237"/>
          <cell r="F237"/>
          <cell r="G237"/>
          <cell r="H237"/>
          <cell r="I237"/>
          <cell r="J237"/>
          <cell r="K237"/>
          <cell r="L237" t="str">
            <v/>
          </cell>
        </row>
        <row r="238">
          <cell r="C238"/>
          <cell r="D238"/>
          <cell r="E238"/>
          <cell r="F238"/>
          <cell r="G238"/>
          <cell r="H238"/>
          <cell r="I238"/>
          <cell r="J238"/>
          <cell r="K238"/>
          <cell r="L238" t="str">
            <v/>
          </cell>
        </row>
        <row r="239">
          <cell r="C239"/>
          <cell r="D239"/>
          <cell r="E239"/>
          <cell r="F239"/>
          <cell r="G239"/>
          <cell r="H239"/>
          <cell r="I239"/>
          <cell r="J239"/>
          <cell r="K239"/>
          <cell r="L239" t="str">
            <v/>
          </cell>
        </row>
        <row r="240">
          <cell r="C240"/>
          <cell r="D240"/>
          <cell r="E240"/>
          <cell r="F240"/>
          <cell r="G240"/>
          <cell r="H240"/>
          <cell r="I240"/>
          <cell r="J240"/>
          <cell r="K240"/>
          <cell r="L240" t="str">
            <v/>
          </cell>
        </row>
        <row r="241">
          <cell r="C241"/>
          <cell r="D241"/>
          <cell r="E241"/>
          <cell r="F241"/>
          <cell r="G241"/>
          <cell r="H241"/>
          <cell r="I241"/>
          <cell r="J241"/>
          <cell r="K241"/>
          <cell r="L241" t="str">
            <v/>
          </cell>
        </row>
        <row r="242">
          <cell r="C242"/>
          <cell r="D242"/>
          <cell r="E242"/>
          <cell r="F242"/>
          <cell r="G242"/>
          <cell r="H242"/>
          <cell r="I242"/>
          <cell r="J242"/>
          <cell r="K242"/>
          <cell r="L242" t="str">
            <v/>
          </cell>
        </row>
        <row r="243">
          <cell r="C243"/>
          <cell r="D243"/>
          <cell r="E243"/>
          <cell r="F243"/>
          <cell r="G243"/>
          <cell r="H243"/>
          <cell r="I243"/>
          <cell r="J243"/>
          <cell r="K243"/>
          <cell r="L243" t="str">
            <v/>
          </cell>
        </row>
        <row r="244">
          <cell r="C244"/>
          <cell r="D244"/>
          <cell r="E244"/>
          <cell r="F244"/>
          <cell r="G244"/>
          <cell r="H244"/>
          <cell r="I244"/>
          <cell r="J244"/>
          <cell r="K244"/>
          <cell r="L244" t="str">
            <v/>
          </cell>
        </row>
        <row r="245">
          <cell r="C245"/>
          <cell r="D245"/>
          <cell r="E245"/>
          <cell r="F245"/>
          <cell r="G245"/>
          <cell r="H245"/>
          <cell r="I245"/>
          <cell r="J245"/>
          <cell r="K245"/>
          <cell r="L245" t="str">
            <v/>
          </cell>
        </row>
        <row r="246">
          <cell r="C246"/>
          <cell r="D246"/>
          <cell r="E246"/>
          <cell r="F246"/>
          <cell r="G246"/>
          <cell r="H246"/>
          <cell r="I246"/>
          <cell r="J246"/>
          <cell r="K246"/>
          <cell r="L246" t="str">
            <v/>
          </cell>
        </row>
        <row r="247">
          <cell r="C247"/>
          <cell r="D247"/>
          <cell r="E247"/>
          <cell r="F247"/>
          <cell r="G247"/>
          <cell r="H247"/>
          <cell r="I247"/>
          <cell r="J247"/>
          <cell r="K247"/>
          <cell r="L247" t="str">
            <v/>
          </cell>
        </row>
        <row r="248">
          <cell r="C248"/>
          <cell r="D248"/>
          <cell r="E248"/>
          <cell r="F248"/>
          <cell r="G248"/>
          <cell r="H248"/>
          <cell r="I248"/>
          <cell r="J248"/>
          <cell r="K248"/>
          <cell r="L248" t="str">
            <v/>
          </cell>
        </row>
        <row r="249">
          <cell r="C249"/>
          <cell r="D249"/>
          <cell r="E249"/>
          <cell r="F249"/>
          <cell r="G249"/>
          <cell r="H249"/>
          <cell r="I249"/>
          <cell r="J249"/>
          <cell r="K249"/>
          <cell r="L249" t="str">
            <v/>
          </cell>
        </row>
        <row r="250">
          <cell r="C250"/>
          <cell r="D250"/>
          <cell r="E250"/>
          <cell r="F250"/>
          <cell r="G250"/>
          <cell r="H250"/>
          <cell r="I250"/>
          <cell r="J250"/>
          <cell r="K250"/>
          <cell r="L250" t="str">
            <v/>
          </cell>
        </row>
        <row r="251">
          <cell r="C251"/>
          <cell r="D251"/>
          <cell r="E251"/>
          <cell r="F251"/>
          <cell r="G251"/>
          <cell r="H251"/>
          <cell r="I251"/>
          <cell r="J251"/>
          <cell r="K251"/>
          <cell r="L251" t="str">
            <v/>
          </cell>
        </row>
        <row r="252">
          <cell r="C252"/>
          <cell r="D252"/>
          <cell r="E252"/>
          <cell r="F252"/>
          <cell r="G252"/>
          <cell r="H252"/>
          <cell r="I252"/>
          <cell r="J252"/>
          <cell r="K252"/>
          <cell r="L252" t="str">
            <v/>
          </cell>
        </row>
        <row r="253">
          <cell r="C253"/>
          <cell r="D253"/>
          <cell r="E253"/>
          <cell r="F253"/>
          <cell r="G253"/>
          <cell r="H253"/>
          <cell r="I253"/>
          <cell r="J253"/>
          <cell r="K253"/>
          <cell r="L253" t="str">
            <v/>
          </cell>
        </row>
        <row r="254">
          <cell r="C254"/>
          <cell r="D254"/>
          <cell r="E254"/>
          <cell r="F254"/>
          <cell r="G254"/>
          <cell r="H254"/>
          <cell r="I254"/>
          <cell r="J254"/>
          <cell r="K254"/>
          <cell r="L254" t="str">
            <v/>
          </cell>
        </row>
        <row r="255">
          <cell r="C255"/>
          <cell r="D255"/>
          <cell r="E255"/>
          <cell r="F255"/>
          <cell r="G255"/>
          <cell r="H255"/>
          <cell r="I255"/>
          <cell r="J255"/>
          <cell r="K255"/>
          <cell r="L255" t="str">
            <v/>
          </cell>
        </row>
        <row r="256">
          <cell r="C256"/>
          <cell r="D256"/>
          <cell r="E256"/>
          <cell r="F256"/>
          <cell r="G256"/>
          <cell r="H256"/>
          <cell r="I256"/>
          <cell r="J256"/>
          <cell r="K256"/>
          <cell r="L256" t="str">
            <v/>
          </cell>
        </row>
        <row r="257">
          <cell r="C257"/>
          <cell r="D257"/>
          <cell r="E257"/>
          <cell r="F257"/>
          <cell r="G257"/>
          <cell r="H257"/>
          <cell r="I257"/>
          <cell r="J257"/>
          <cell r="K257"/>
          <cell r="L257" t="str">
            <v/>
          </cell>
        </row>
        <row r="258">
          <cell r="C258"/>
          <cell r="D258"/>
          <cell r="E258"/>
          <cell r="F258"/>
          <cell r="G258"/>
          <cell r="H258"/>
          <cell r="I258"/>
          <cell r="J258"/>
          <cell r="K258"/>
          <cell r="L258" t="str">
            <v/>
          </cell>
        </row>
        <row r="259">
          <cell r="C259"/>
          <cell r="D259"/>
          <cell r="E259"/>
          <cell r="F259"/>
          <cell r="G259"/>
          <cell r="H259"/>
          <cell r="I259"/>
          <cell r="J259"/>
          <cell r="K259"/>
          <cell r="L259" t="str">
            <v/>
          </cell>
        </row>
        <row r="260">
          <cell r="C260"/>
          <cell r="D260"/>
          <cell r="E260"/>
          <cell r="F260"/>
          <cell r="G260"/>
          <cell r="H260"/>
          <cell r="I260"/>
          <cell r="J260"/>
          <cell r="K260"/>
          <cell r="L260" t="str">
            <v/>
          </cell>
        </row>
        <row r="261">
          <cell r="C261"/>
          <cell r="D261"/>
          <cell r="E261"/>
          <cell r="F261"/>
          <cell r="G261"/>
          <cell r="H261"/>
          <cell r="I261"/>
          <cell r="J261"/>
          <cell r="K261"/>
          <cell r="L261" t="str">
            <v/>
          </cell>
        </row>
        <row r="262">
          <cell r="C262"/>
          <cell r="D262"/>
          <cell r="E262"/>
          <cell r="F262"/>
          <cell r="G262"/>
          <cell r="H262"/>
          <cell r="I262"/>
          <cell r="J262"/>
          <cell r="K262"/>
          <cell r="L262" t="str">
            <v/>
          </cell>
        </row>
        <row r="263">
          <cell r="C263"/>
          <cell r="D263"/>
          <cell r="E263"/>
          <cell r="F263"/>
          <cell r="G263"/>
          <cell r="H263"/>
          <cell r="I263"/>
          <cell r="J263"/>
          <cell r="K263"/>
          <cell r="L263" t="str">
            <v/>
          </cell>
        </row>
        <row r="264">
          <cell r="C264"/>
          <cell r="D264"/>
          <cell r="E264"/>
          <cell r="F264"/>
          <cell r="G264"/>
          <cell r="H264"/>
          <cell r="I264"/>
          <cell r="J264"/>
          <cell r="K264"/>
          <cell r="L264" t="str">
            <v/>
          </cell>
        </row>
        <row r="265">
          <cell r="C265"/>
          <cell r="D265"/>
          <cell r="E265"/>
          <cell r="F265"/>
          <cell r="G265"/>
          <cell r="H265"/>
          <cell r="I265"/>
          <cell r="J265"/>
          <cell r="K265"/>
          <cell r="L265" t="str">
            <v/>
          </cell>
        </row>
        <row r="266">
          <cell r="C266"/>
          <cell r="D266"/>
          <cell r="E266"/>
          <cell r="F266"/>
          <cell r="G266"/>
          <cell r="H266"/>
          <cell r="I266"/>
          <cell r="J266"/>
          <cell r="K266"/>
          <cell r="L266" t="str">
            <v/>
          </cell>
        </row>
        <row r="267">
          <cell r="C267"/>
          <cell r="D267"/>
          <cell r="E267"/>
          <cell r="F267"/>
          <cell r="G267"/>
          <cell r="H267"/>
          <cell r="I267"/>
          <cell r="J267"/>
          <cell r="K267"/>
          <cell r="L267" t="str">
            <v/>
          </cell>
        </row>
        <row r="268">
          <cell r="C268"/>
          <cell r="D268"/>
          <cell r="E268"/>
          <cell r="F268"/>
          <cell r="G268"/>
          <cell r="H268"/>
          <cell r="I268"/>
          <cell r="J268"/>
          <cell r="K268"/>
          <cell r="L268" t="str">
            <v/>
          </cell>
        </row>
        <row r="269">
          <cell r="C269"/>
          <cell r="D269"/>
          <cell r="E269"/>
          <cell r="F269"/>
          <cell r="G269"/>
          <cell r="H269"/>
          <cell r="I269"/>
          <cell r="J269"/>
          <cell r="K269"/>
          <cell r="L269" t="str">
            <v/>
          </cell>
        </row>
        <row r="270">
          <cell r="C270"/>
          <cell r="D270"/>
          <cell r="E270"/>
          <cell r="F270"/>
          <cell r="G270"/>
          <cell r="H270"/>
          <cell r="I270"/>
          <cell r="J270"/>
          <cell r="K270"/>
          <cell r="L270" t="str">
            <v/>
          </cell>
        </row>
        <row r="271">
          <cell r="C271"/>
          <cell r="D271"/>
          <cell r="E271"/>
          <cell r="F271"/>
          <cell r="G271"/>
          <cell r="H271"/>
          <cell r="I271"/>
          <cell r="J271"/>
          <cell r="K271"/>
          <cell r="L271" t="str">
            <v/>
          </cell>
        </row>
        <row r="272">
          <cell r="C272"/>
          <cell r="D272"/>
          <cell r="E272"/>
          <cell r="F272"/>
          <cell r="G272"/>
          <cell r="H272"/>
          <cell r="I272"/>
          <cell r="J272"/>
          <cell r="K272"/>
          <cell r="L272" t="str">
            <v/>
          </cell>
        </row>
        <row r="273">
          <cell r="C273"/>
          <cell r="D273"/>
          <cell r="E273"/>
          <cell r="F273"/>
          <cell r="G273"/>
          <cell r="H273"/>
          <cell r="I273"/>
          <cell r="J273"/>
          <cell r="K273"/>
          <cell r="L273" t="str">
            <v/>
          </cell>
        </row>
        <row r="274">
          <cell r="C274"/>
          <cell r="D274"/>
          <cell r="E274"/>
          <cell r="F274"/>
          <cell r="G274"/>
          <cell r="H274"/>
          <cell r="I274"/>
          <cell r="J274"/>
          <cell r="K274"/>
          <cell r="L274" t="str">
            <v/>
          </cell>
        </row>
        <row r="275">
          <cell r="C275"/>
          <cell r="D275"/>
          <cell r="E275"/>
          <cell r="F275"/>
          <cell r="G275"/>
          <cell r="H275"/>
          <cell r="I275"/>
          <cell r="J275"/>
          <cell r="K275"/>
          <cell r="L275" t="str">
            <v/>
          </cell>
        </row>
        <row r="276">
          <cell r="C276"/>
          <cell r="D276"/>
          <cell r="E276"/>
          <cell r="F276"/>
          <cell r="G276"/>
          <cell r="H276"/>
          <cell r="I276"/>
          <cell r="J276"/>
          <cell r="K276"/>
          <cell r="L276" t="str">
            <v/>
          </cell>
        </row>
        <row r="277">
          <cell r="C277"/>
          <cell r="D277"/>
          <cell r="E277"/>
          <cell r="F277"/>
          <cell r="G277"/>
          <cell r="H277"/>
          <cell r="I277"/>
          <cell r="J277"/>
          <cell r="K277"/>
          <cell r="L277" t="str">
            <v/>
          </cell>
        </row>
        <row r="278">
          <cell r="C278"/>
          <cell r="D278"/>
          <cell r="E278"/>
          <cell r="F278"/>
          <cell r="G278"/>
          <cell r="H278"/>
          <cell r="I278"/>
          <cell r="J278"/>
          <cell r="K278"/>
          <cell r="L278" t="str">
            <v/>
          </cell>
        </row>
        <row r="279">
          <cell r="C279"/>
          <cell r="D279"/>
          <cell r="E279"/>
          <cell r="F279"/>
          <cell r="G279"/>
          <cell r="H279"/>
          <cell r="I279"/>
          <cell r="J279"/>
          <cell r="K279"/>
          <cell r="L279" t="str">
            <v/>
          </cell>
        </row>
        <row r="280">
          <cell r="C280"/>
          <cell r="D280"/>
          <cell r="E280"/>
          <cell r="F280"/>
          <cell r="G280"/>
          <cell r="H280"/>
          <cell r="I280"/>
          <cell r="J280"/>
          <cell r="K280"/>
          <cell r="L280" t="str">
            <v/>
          </cell>
        </row>
        <row r="281">
          <cell r="C281"/>
          <cell r="D281"/>
          <cell r="E281"/>
          <cell r="F281"/>
          <cell r="G281"/>
          <cell r="H281"/>
          <cell r="I281"/>
          <cell r="J281"/>
          <cell r="K281"/>
          <cell r="L281" t="str">
            <v/>
          </cell>
        </row>
        <row r="282">
          <cell r="C282"/>
          <cell r="D282"/>
          <cell r="E282"/>
          <cell r="F282"/>
          <cell r="G282"/>
          <cell r="H282"/>
          <cell r="I282"/>
          <cell r="J282"/>
          <cell r="K282"/>
          <cell r="L282" t="str">
            <v/>
          </cell>
        </row>
        <row r="283">
          <cell r="C283"/>
          <cell r="D283"/>
          <cell r="E283"/>
          <cell r="F283"/>
          <cell r="G283"/>
          <cell r="H283"/>
          <cell r="I283"/>
          <cell r="J283"/>
          <cell r="K283"/>
          <cell r="L283" t="str">
            <v/>
          </cell>
        </row>
        <row r="284">
          <cell r="C284"/>
          <cell r="D284"/>
          <cell r="E284"/>
          <cell r="F284"/>
          <cell r="G284"/>
          <cell r="H284"/>
          <cell r="I284"/>
          <cell r="J284"/>
          <cell r="K284"/>
          <cell r="L284" t="str">
            <v/>
          </cell>
        </row>
        <row r="285">
          <cell r="C285"/>
          <cell r="D285"/>
          <cell r="E285"/>
          <cell r="F285"/>
          <cell r="G285"/>
          <cell r="H285"/>
          <cell r="I285"/>
          <cell r="J285"/>
          <cell r="K285"/>
          <cell r="L285" t="str">
            <v/>
          </cell>
        </row>
        <row r="286">
          <cell r="C286"/>
          <cell r="D286"/>
          <cell r="E286"/>
          <cell r="F286"/>
          <cell r="G286"/>
          <cell r="H286"/>
          <cell r="I286"/>
          <cell r="J286"/>
          <cell r="K286"/>
          <cell r="L286" t="str">
            <v/>
          </cell>
        </row>
        <row r="287">
          <cell r="C287"/>
          <cell r="D287"/>
          <cell r="E287"/>
          <cell r="F287"/>
          <cell r="G287"/>
          <cell r="H287"/>
          <cell r="I287"/>
          <cell r="J287"/>
          <cell r="K287"/>
          <cell r="L287" t="str">
            <v/>
          </cell>
        </row>
        <row r="288">
          <cell r="C288"/>
          <cell r="D288"/>
          <cell r="E288"/>
          <cell r="F288"/>
          <cell r="G288"/>
          <cell r="H288"/>
          <cell r="I288"/>
          <cell r="J288"/>
          <cell r="K288"/>
          <cell r="L288" t="str">
            <v/>
          </cell>
        </row>
        <row r="289">
          <cell r="C289"/>
          <cell r="D289"/>
          <cell r="E289"/>
          <cell r="F289"/>
          <cell r="G289"/>
          <cell r="H289"/>
          <cell r="I289"/>
          <cell r="J289"/>
          <cell r="K289"/>
          <cell r="L289" t="str">
            <v/>
          </cell>
        </row>
        <row r="290">
          <cell r="C290"/>
          <cell r="D290"/>
          <cell r="E290"/>
          <cell r="F290"/>
          <cell r="G290"/>
          <cell r="H290"/>
          <cell r="I290"/>
          <cell r="J290"/>
          <cell r="K290"/>
          <cell r="L290" t="str">
            <v/>
          </cell>
        </row>
        <row r="291">
          <cell r="C291"/>
          <cell r="D291"/>
          <cell r="E291"/>
          <cell r="F291"/>
          <cell r="G291"/>
          <cell r="H291"/>
          <cell r="I291"/>
          <cell r="J291"/>
          <cell r="K291"/>
          <cell r="L291" t="str">
            <v/>
          </cell>
        </row>
        <row r="292">
          <cell r="C292"/>
          <cell r="D292"/>
          <cell r="E292"/>
          <cell r="F292"/>
          <cell r="G292"/>
          <cell r="H292"/>
          <cell r="I292"/>
          <cell r="J292"/>
          <cell r="K292"/>
          <cell r="L292" t="str">
            <v/>
          </cell>
        </row>
        <row r="293">
          <cell r="C293"/>
          <cell r="D293"/>
          <cell r="E293"/>
          <cell r="F293"/>
          <cell r="G293"/>
          <cell r="H293"/>
          <cell r="I293"/>
          <cell r="J293"/>
          <cell r="K293"/>
          <cell r="L293" t="str">
            <v/>
          </cell>
        </row>
        <row r="294">
          <cell r="C294"/>
          <cell r="D294"/>
          <cell r="E294"/>
          <cell r="F294"/>
          <cell r="G294"/>
          <cell r="H294"/>
          <cell r="I294"/>
          <cell r="J294"/>
          <cell r="K294"/>
          <cell r="L294" t="str">
            <v/>
          </cell>
        </row>
        <row r="295">
          <cell r="C295"/>
          <cell r="D295"/>
          <cell r="E295"/>
          <cell r="F295"/>
          <cell r="G295"/>
          <cell r="H295"/>
          <cell r="I295"/>
          <cell r="J295"/>
          <cell r="K295"/>
          <cell r="L295" t="str">
            <v/>
          </cell>
        </row>
        <row r="296">
          <cell r="C296"/>
          <cell r="D296"/>
          <cell r="E296"/>
          <cell r="F296"/>
          <cell r="G296"/>
          <cell r="H296"/>
          <cell r="I296"/>
          <cell r="J296"/>
          <cell r="K296"/>
          <cell r="L296" t="str">
            <v/>
          </cell>
        </row>
        <row r="297">
          <cell r="C297"/>
          <cell r="D297"/>
          <cell r="E297"/>
          <cell r="F297"/>
          <cell r="G297"/>
          <cell r="H297"/>
          <cell r="I297"/>
          <cell r="J297"/>
          <cell r="K297"/>
          <cell r="L297" t="str">
            <v/>
          </cell>
        </row>
        <row r="298">
          <cell r="C298"/>
          <cell r="D298"/>
          <cell r="E298"/>
          <cell r="F298"/>
          <cell r="G298"/>
          <cell r="H298"/>
          <cell r="I298"/>
          <cell r="J298"/>
          <cell r="K298"/>
          <cell r="L298" t="str">
            <v/>
          </cell>
        </row>
        <row r="299">
          <cell r="C299"/>
          <cell r="D299"/>
          <cell r="E299"/>
          <cell r="F299"/>
          <cell r="G299"/>
          <cell r="H299"/>
          <cell r="I299"/>
          <cell r="J299"/>
          <cell r="K299"/>
          <cell r="L299" t="str">
            <v/>
          </cell>
        </row>
        <row r="300">
          <cell r="C300"/>
          <cell r="D300"/>
          <cell r="E300"/>
          <cell r="F300"/>
          <cell r="G300"/>
          <cell r="H300"/>
          <cell r="I300"/>
          <cell r="J300"/>
          <cell r="K300"/>
          <cell r="L300" t="str">
            <v/>
          </cell>
        </row>
        <row r="301">
          <cell r="C301"/>
          <cell r="D301"/>
          <cell r="E301"/>
          <cell r="F301"/>
          <cell r="G301"/>
          <cell r="H301"/>
          <cell r="I301"/>
          <cell r="J301"/>
          <cell r="K301"/>
          <cell r="L301" t="str">
            <v/>
          </cell>
        </row>
        <row r="302">
          <cell r="C302"/>
          <cell r="D302"/>
          <cell r="E302"/>
          <cell r="F302"/>
          <cell r="G302"/>
          <cell r="H302"/>
          <cell r="I302"/>
          <cell r="J302"/>
          <cell r="K302"/>
          <cell r="L302" t="str">
            <v/>
          </cell>
        </row>
        <row r="303">
          <cell r="C303"/>
          <cell r="D303"/>
          <cell r="E303"/>
          <cell r="F303"/>
          <cell r="G303"/>
          <cell r="H303"/>
          <cell r="I303"/>
          <cell r="J303"/>
          <cell r="K303"/>
          <cell r="L303" t="str">
            <v/>
          </cell>
        </row>
        <row r="304">
          <cell r="C304"/>
          <cell r="D304"/>
          <cell r="E304"/>
          <cell r="F304"/>
          <cell r="G304"/>
          <cell r="H304"/>
          <cell r="I304"/>
          <cell r="J304"/>
          <cell r="K304"/>
          <cell r="L304" t="str">
            <v/>
          </cell>
        </row>
        <row r="305">
          <cell r="C305"/>
          <cell r="D305"/>
          <cell r="E305"/>
          <cell r="F305"/>
          <cell r="G305"/>
          <cell r="H305"/>
          <cell r="I305"/>
          <cell r="J305"/>
          <cell r="K305"/>
          <cell r="L305" t="str">
            <v/>
          </cell>
        </row>
        <row r="306">
          <cell r="C306"/>
          <cell r="D306"/>
          <cell r="E306"/>
          <cell r="F306"/>
          <cell r="G306"/>
          <cell r="H306"/>
          <cell r="I306"/>
          <cell r="J306"/>
          <cell r="K306"/>
          <cell r="L306" t="str">
            <v/>
          </cell>
        </row>
        <row r="307">
          <cell r="C307"/>
          <cell r="D307"/>
          <cell r="E307"/>
          <cell r="F307"/>
          <cell r="G307"/>
          <cell r="H307"/>
          <cell r="I307"/>
          <cell r="J307"/>
          <cell r="K307"/>
          <cell r="L307" t="str">
            <v/>
          </cell>
        </row>
        <row r="308">
          <cell r="C308"/>
          <cell r="D308"/>
          <cell r="E308"/>
          <cell r="F308"/>
          <cell r="G308"/>
          <cell r="H308"/>
          <cell r="I308"/>
          <cell r="J308"/>
          <cell r="K308"/>
          <cell r="L308" t="str">
            <v/>
          </cell>
        </row>
        <row r="309">
          <cell r="C309"/>
          <cell r="D309"/>
          <cell r="E309"/>
          <cell r="F309"/>
          <cell r="G309"/>
          <cell r="H309"/>
          <cell r="I309"/>
          <cell r="J309"/>
          <cell r="K309"/>
          <cell r="L309" t="str">
            <v/>
          </cell>
        </row>
        <row r="310">
          <cell r="C310"/>
          <cell r="D310"/>
          <cell r="E310"/>
          <cell r="F310"/>
          <cell r="G310"/>
          <cell r="H310"/>
          <cell r="I310"/>
          <cell r="J310"/>
          <cell r="K310"/>
          <cell r="L310" t="str">
            <v/>
          </cell>
        </row>
        <row r="311">
          <cell r="C311"/>
          <cell r="D311"/>
          <cell r="E311"/>
          <cell r="F311"/>
          <cell r="G311"/>
          <cell r="H311"/>
          <cell r="I311"/>
          <cell r="J311"/>
          <cell r="K311"/>
          <cell r="L311" t="str">
            <v/>
          </cell>
        </row>
        <row r="312">
          <cell r="C312"/>
          <cell r="D312"/>
          <cell r="E312"/>
          <cell r="F312"/>
          <cell r="G312"/>
          <cell r="H312"/>
          <cell r="I312"/>
          <cell r="J312"/>
          <cell r="K312"/>
          <cell r="L312" t="str">
            <v/>
          </cell>
        </row>
        <row r="313">
          <cell r="C313"/>
          <cell r="D313"/>
          <cell r="E313"/>
          <cell r="F313"/>
          <cell r="G313"/>
          <cell r="H313"/>
          <cell r="I313"/>
          <cell r="J313"/>
          <cell r="K313"/>
          <cell r="L313" t="str">
            <v/>
          </cell>
        </row>
        <row r="314">
          <cell r="C314"/>
          <cell r="D314"/>
          <cell r="E314"/>
          <cell r="F314"/>
          <cell r="G314"/>
          <cell r="H314"/>
          <cell r="I314"/>
          <cell r="J314"/>
          <cell r="K314"/>
          <cell r="L314" t="str">
            <v/>
          </cell>
        </row>
        <row r="315">
          <cell r="C315"/>
          <cell r="D315"/>
          <cell r="E315"/>
          <cell r="F315"/>
          <cell r="G315"/>
          <cell r="H315"/>
          <cell r="I315"/>
          <cell r="J315"/>
          <cell r="K315"/>
          <cell r="L315" t="str">
            <v/>
          </cell>
        </row>
        <row r="316">
          <cell r="C316"/>
          <cell r="D316"/>
          <cell r="E316"/>
          <cell r="F316"/>
          <cell r="G316"/>
          <cell r="H316"/>
          <cell r="I316"/>
          <cell r="J316"/>
          <cell r="K316"/>
          <cell r="L316" t="str">
            <v/>
          </cell>
        </row>
        <row r="317">
          <cell r="C317"/>
          <cell r="D317"/>
          <cell r="E317"/>
          <cell r="F317"/>
          <cell r="G317"/>
          <cell r="H317"/>
          <cell r="I317"/>
          <cell r="J317"/>
          <cell r="K317"/>
          <cell r="L317" t="str">
            <v/>
          </cell>
        </row>
        <row r="318">
          <cell r="C318"/>
          <cell r="D318"/>
          <cell r="E318"/>
          <cell r="F318"/>
          <cell r="G318"/>
          <cell r="H318"/>
          <cell r="I318"/>
          <cell r="J318"/>
          <cell r="K318"/>
          <cell r="L318" t="str">
            <v/>
          </cell>
        </row>
        <row r="319">
          <cell r="C319"/>
          <cell r="D319"/>
          <cell r="E319"/>
          <cell r="F319"/>
          <cell r="G319"/>
          <cell r="H319"/>
          <cell r="I319"/>
          <cell r="J319"/>
          <cell r="K319"/>
          <cell r="L319" t="str">
            <v/>
          </cell>
        </row>
        <row r="320">
          <cell r="C320"/>
          <cell r="D320"/>
          <cell r="E320"/>
          <cell r="F320"/>
          <cell r="G320"/>
          <cell r="H320"/>
          <cell r="I320"/>
          <cell r="J320"/>
          <cell r="K320"/>
          <cell r="L320" t="str">
            <v/>
          </cell>
        </row>
        <row r="321">
          <cell r="C321"/>
          <cell r="D321"/>
          <cell r="E321"/>
          <cell r="F321"/>
          <cell r="G321"/>
          <cell r="H321"/>
          <cell r="I321"/>
          <cell r="J321"/>
          <cell r="K321"/>
          <cell r="L321" t="str">
            <v/>
          </cell>
        </row>
        <row r="322">
          <cell r="C322"/>
          <cell r="D322"/>
          <cell r="E322"/>
          <cell r="F322"/>
          <cell r="G322"/>
          <cell r="H322"/>
          <cell r="I322"/>
          <cell r="J322"/>
          <cell r="K322"/>
          <cell r="L322" t="str">
            <v/>
          </cell>
        </row>
        <row r="323">
          <cell r="C323"/>
          <cell r="D323"/>
          <cell r="E323"/>
          <cell r="F323"/>
          <cell r="G323"/>
          <cell r="H323"/>
          <cell r="I323"/>
          <cell r="J323"/>
          <cell r="K323"/>
          <cell r="L323" t="str">
            <v/>
          </cell>
        </row>
        <row r="324">
          <cell r="C324"/>
          <cell r="D324"/>
          <cell r="E324"/>
          <cell r="F324"/>
          <cell r="G324"/>
          <cell r="H324"/>
          <cell r="I324"/>
          <cell r="J324"/>
          <cell r="K324"/>
          <cell r="L324" t="str">
            <v/>
          </cell>
        </row>
        <row r="325">
          <cell r="C325"/>
          <cell r="D325"/>
          <cell r="E325"/>
          <cell r="F325"/>
          <cell r="G325"/>
          <cell r="H325"/>
          <cell r="I325"/>
          <cell r="J325"/>
          <cell r="K325"/>
          <cell r="L325" t="str">
            <v/>
          </cell>
        </row>
        <row r="326">
          <cell r="C326"/>
          <cell r="D326"/>
          <cell r="E326"/>
          <cell r="F326"/>
          <cell r="G326"/>
          <cell r="H326"/>
          <cell r="I326"/>
          <cell r="J326"/>
          <cell r="K326"/>
          <cell r="L326" t="str">
            <v/>
          </cell>
        </row>
        <row r="327">
          <cell r="C327"/>
          <cell r="D327"/>
          <cell r="E327"/>
          <cell r="F327"/>
          <cell r="G327"/>
          <cell r="H327"/>
          <cell r="I327"/>
          <cell r="J327"/>
          <cell r="K327"/>
          <cell r="L327" t="str">
            <v/>
          </cell>
        </row>
        <row r="328">
          <cell r="C328"/>
          <cell r="D328"/>
          <cell r="E328"/>
          <cell r="F328"/>
          <cell r="G328"/>
          <cell r="H328"/>
          <cell r="I328"/>
          <cell r="J328"/>
          <cell r="K328"/>
          <cell r="L328" t="str">
            <v/>
          </cell>
        </row>
        <row r="329">
          <cell r="C329"/>
          <cell r="D329"/>
          <cell r="E329"/>
          <cell r="F329"/>
          <cell r="G329"/>
          <cell r="H329"/>
          <cell r="I329"/>
          <cell r="J329"/>
          <cell r="K329"/>
          <cell r="L329" t="str">
            <v/>
          </cell>
        </row>
        <row r="330">
          <cell r="C330"/>
          <cell r="D330"/>
          <cell r="E330"/>
          <cell r="F330"/>
          <cell r="G330"/>
          <cell r="H330"/>
          <cell r="I330"/>
          <cell r="J330"/>
          <cell r="K330"/>
          <cell r="L330" t="str">
            <v/>
          </cell>
        </row>
        <row r="331">
          <cell r="C331"/>
          <cell r="D331"/>
          <cell r="E331"/>
          <cell r="F331"/>
          <cell r="G331"/>
          <cell r="H331"/>
          <cell r="I331"/>
          <cell r="J331"/>
          <cell r="K331"/>
          <cell r="L331" t="str">
            <v/>
          </cell>
        </row>
        <row r="332">
          <cell r="C332"/>
          <cell r="D332"/>
          <cell r="E332"/>
          <cell r="F332"/>
          <cell r="G332"/>
          <cell r="H332"/>
          <cell r="I332"/>
          <cell r="J332"/>
          <cell r="K332"/>
          <cell r="L332" t="str">
            <v/>
          </cell>
        </row>
        <row r="333">
          <cell r="C333"/>
          <cell r="D333"/>
          <cell r="E333"/>
          <cell r="F333"/>
          <cell r="G333"/>
          <cell r="H333"/>
          <cell r="I333"/>
          <cell r="J333"/>
          <cell r="K333"/>
          <cell r="L333" t="str">
            <v/>
          </cell>
        </row>
        <row r="334">
          <cell r="C334"/>
          <cell r="D334"/>
          <cell r="E334"/>
          <cell r="F334"/>
          <cell r="G334"/>
          <cell r="H334"/>
          <cell r="I334"/>
          <cell r="J334"/>
          <cell r="K334"/>
          <cell r="L334" t="str">
            <v/>
          </cell>
        </row>
        <row r="335">
          <cell r="C335"/>
          <cell r="D335"/>
          <cell r="E335"/>
          <cell r="F335"/>
          <cell r="G335"/>
          <cell r="H335"/>
          <cell r="I335"/>
          <cell r="J335"/>
          <cell r="K335"/>
          <cell r="L335" t="str">
            <v/>
          </cell>
        </row>
        <row r="336">
          <cell r="C336"/>
          <cell r="D336"/>
          <cell r="E336"/>
          <cell r="F336"/>
          <cell r="G336"/>
          <cell r="H336"/>
          <cell r="I336"/>
          <cell r="J336"/>
          <cell r="K336"/>
          <cell r="L336" t="str">
            <v/>
          </cell>
        </row>
        <row r="337">
          <cell r="C337"/>
          <cell r="D337"/>
          <cell r="E337"/>
          <cell r="F337"/>
          <cell r="G337"/>
          <cell r="H337"/>
          <cell r="I337"/>
          <cell r="J337"/>
          <cell r="K337"/>
          <cell r="L337" t="str">
            <v/>
          </cell>
        </row>
        <row r="338">
          <cell r="C338"/>
          <cell r="D338"/>
          <cell r="E338"/>
          <cell r="F338"/>
          <cell r="G338"/>
          <cell r="H338"/>
          <cell r="I338"/>
          <cell r="J338"/>
          <cell r="K338"/>
          <cell r="L338" t="str">
            <v/>
          </cell>
        </row>
        <row r="339">
          <cell r="C339"/>
          <cell r="D339"/>
          <cell r="E339"/>
          <cell r="F339"/>
          <cell r="G339"/>
          <cell r="H339"/>
          <cell r="I339"/>
          <cell r="J339"/>
          <cell r="K339"/>
          <cell r="L339" t="str">
            <v/>
          </cell>
        </row>
        <row r="340">
          <cell r="C340"/>
          <cell r="D340"/>
          <cell r="E340"/>
          <cell r="F340"/>
          <cell r="G340"/>
          <cell r="H340"/>
          <cell r="I340"/>
          <cell r="J340"/>
          <cell r="K340"/>
          <cell r="L340" t="str">
            <v/>
          </cell>
        </row>
        <row r="341">
          <cell r="C341"/>
          <cell r="D341"/>
          <cell r="E341"/>
          <cell r="F341"/>
          <cell r="G341"/>
          <cell r="H341"/>
          <cell r="I341"/>
          <cell r="J341"/>
          <cell r="K341"/>
          <cell r="L341" t="str">
            <v/>
          </cell>
        </row>
        <row r="342">
          <cell r="C342"/>
          <cell r="D342"/>
          <cell r="E342"/>
          <cell r="F342"/>
          <cell r="G342"/>
          <cell r="H342"/>
          <cell r="I342"/>
          <cell r="J342"/>
          <cell r="K342"/>
          <cell r="L342" t="str">
            <v/>
          </cell>
        </row>
        <row r="343">
          <cell r="C343"/>
          <cell r="D343"/>
          <cell r="E343"/>
          <cell r="F343"/>
          <cell r="G343"/>
          <cell r="H343"/>
          <cell r="I343"/>
          <cell r="J343"/>
          <cell r="K343"/>
          <cell r="L343" t="str">
            <v/>
          </cell>
        </row>
        <row r="344">
          <cell r="C344"/>
          <cell r="D344"/>
          <cell r="E344"/>
          <cell r="F344"/>
          <cell r="G344"/>
          <cell r="H344"/>
          <cell r="I344"/>
          <cell r="J344"/>
          <cell r="K344"/>
          <cell r="L344" t="str">
            <v/>
          </cell>
        </row>
        <row r="345">
          <cell r="C345"/>
          <cell r="D345"/>
          <cell r="E345"/>
          <cell r="F345"/>
          <cell r="G345"/>
          <cell r="H345"/>
          <cell r="I345"/>
          <cell r="J345"/>
          <cell r="K345"/>
          <cell r="L345" t="str">
            <v/>
          </cell>
        </row>
        <row r="346">
          <cell r="C346"/>
          <cell r="D346"/>
          <cell r="E346"/>
          <cell r="F346"/>
          <cell r="G346"/>
          <cell r="H346"/>
          <cell r="I346"/>
          <cell r="J346"/>
          <cell r="K346"/>
          <cell r="L346" t="str">
            <v/>
          </cell>
        </row>
        <row r="347">
          <cell r="C347"/>
          <cell r="D347"/>
          <cell r="E347"/>
          <cell r="F347"/>
          <cell r="G347"/>
          <cell r="H347"/>
          <cell r="I347"/>
          <cell r="J347"/>
          <cell r="K347"/>
          <cell r="L347" t="str">
            <v/>
          </cell>
        </row>
        <row r="348">
          <cell r="C348"/>
          <cell r="D348"/>
          <cell r="E348"/>
          <cell r="F348"/>
          <cell r="G348"/>
          <cell r="H348"/>
          <cell r="I348"/>
          <cell r="J348"/>
          <cell r="K348"/>
          <cell r="L348" t="str">
            <v/>
          </cell>
        </row>
        <row r="349">
          <cell r="C349"/>
          <cell r="D349"/>
          <cell r="E349"/>
          <cell r="F349"/>
          <cell r="G349"/>
          <cell r="H349"/>
          <cell r="I349"/>
          <cell r="J349"/>
          <cell r="K349"/>
          <cell r="L349" t="str">
            <v/>
          </cell>
        </row>
        <row r="350">
          <cell r="C350"/>
          <cell r="D350"/>
          <cell r="E350"/>
          <cell r="F350"/>
          <cell r="G350"/>
          <cell r="H350"/>
          <cell r="I350"/>
          <cell r="J350"/>
          <cell r="K350"/>
          <cell r="L350" t="str">
            <v/>
          </cell>
        </row>
        <row r="351">
          <cell r="C351"/>
          <cell r="D351"/>
          <cell r="E351"/>
          <cell r="F351"/>
          <cell r="G351"/>
          <cell r="H351"/>
          <cell r="I351"/>
          <cell r="J351"/>
          <cell r="K351"/>
          <cell r="L351" t="str">
            <v/>
          </cell>
        </row>
        <row r="352">
          <cell r="C352"/>
          <cell r="D352"/>
          <cell r="E352"/>
          <cell r="F352"/>
          <cell r="G352"/>
          <cell r="H352"/>
          <cell r="I352"/>
          <cell r="J352"/>
          <cell r="K352"/>
          <cell r="L352" t="str">
            <v/>
          </cell>
        </row>
        <row r="353">
          <cell r="C353"/>
          <cell r="D353"/>
          <cell r="E353"/>
          <cell r="F353"/>
          <cell r="G353"/>
          <cell r="H353"/>
          <cell r="I353"/>
          <cell r="J353"/>
          <cell r="K353"/>
          <cell r="L353" t="str">
            <v/>
          </cell>
        </row>
        <row r="354">
          <cell r="C354"/>
          <cell r="D354"/>
          <cell r="E354"/>
          <cell r="F354"/>
          <cell r="G354"/>
          <cell r="H354"/>
          <cell r="I354"/>
          <cell r="J354"/>
          <cell r="K354"/>
          <cell r="L354" t="str">
            <v/>
          </cell>
        </row>
        <row r="355">
          <cell r="C355"/>
          <cell r="D355"/>
          <cell r="E355"/>
          <cell r="F355"/>
          <cell r="G355"/>
          <cell r="H355"/>
          <cell r="I355"/>
          <cell r="J355"/>
          <cell r="K355"/>
          <cell r="L355" t="str">
            <v/>
          </cell>
        </row>
        <row r="356">
          <cell r="C356"/>
          <cell r="D356"/>
          <cell r="E356"/>
          <cell r="F356"/>
          <cell r="G356"/>
          <cell r="H356"/>
          <cell r="I356"/>
          <cell r="J356"/>
          <cell r="K356"/>
          <cell r="L356" t="str">
            <v/>
          </cell>
        </row>
        <row r="357">
          <cell r="C357"/>
          <cell r="D357"/>
          <cell r="E357"/>
          <cell r="F357"/>
          <cell r="G357"/>
          <cell r="H357"/>
          <cell r="I357"/>
          <cell r="J357"/>
          <cell r="K357"/>
          <cell r="L357" t="str">
            <v/>
          </cell>
        </row>
        <row r="358">
          <cell r="C358"/>
          <cell r="D358"/>
          <cell r="E358"/>
          <cell r="F358"/>
          <cell r="G358"/>
          <cell r="H358"/>
          <cell r="I358"/>
          <cell r="J358"/>
          <cell r="K358"/>
          <cell r="L358" t="str">
            <v/>
          </cell>
        </row>
        <row r="359">
          <cell r="C359"/>
          <cell r="D359"/>
          <cell r="E359"/>
          <cell r="F359"/>
          <cell r="G359"/>
          <cell r="H359"/>
          <cell r="I359"/>
          <cell r="J359"/>
          <cell r="K359"/>
          <cell r="L359" t="str">
            <v/>
          </cell>
        </row>
        <row r="360">
          <cell r="C360"/>
          <cell r="D360"/>
          <cell r="E360"/>
          <cell r="F360"/>
          <cell r="G360"/>
          <cell r="H360"/>
          <cell r="I360"/>
          <cell r="J360"/>
          <cell r="K360"/>
          <cell r="L360" t="str">
            <v/>
          </cell>
        </row>
        <row r="361">
          <cell r="C361"/>
          <cell r="D361"/>
          <cell r="E361"/>
          <cell r="F361"/>
          <cell r="G361"/>
          <cell r="H361"/>
          <cell r="I361"/>
          <cell r="J361"/>
          <cell r="K361"/>
          <cell r="L361" t="str">
            <v/>
          </cell>
        </row>
        <row r="362">
          <cell r="C362"/>
          <cell r="D362"/>
          <cell r="E362"/>
          <cell r="F362"/>
          <cell r="G362"/>
          <cell r="H362"/>
          <cell r="I362"/>
          <cell r="J362"/>
          <cell r="K362"/>
          <cell r="L362" t="str">
            <v/>
          </cell>
        </row>
        <row r="363">
          <cell r="C363"/>
          <cell r="D363"/>
          <cell r="E363"/>
          <cell r="F363"/>
          <cell r="G363"/>
          <cell r="H363"/>
          <cell r="I363"/>
          <cell r="J363"/>
          <cell r="K363"/>
          <cell r="L363" t="str">
            <v/>
          </cell>
        </row>
        <row r="364">
          <cell r="C364"/>
          <cell r="D364"/>
          <cell r="E364"/>
          <cell r="F364"/>
          <cell r="G364"/>
          <cell r="H364"/>
          <cell r="I364"/>
          <cell r="J364"/>
          <cell r="K364"/>
          <cell r="L364" t="str">
            <v/>
          </cell>
        </row>
        <row r="365">
          <cell r="C365"/>
          <cell r="D365"/>
          <cell r="E365"/>
          <cell r="F365"/>
          <cell r="G365"/>
          <cell r="H365"/>
          <cell r="I365"/>
          <cell r="J365"/>
          <cell r="K365"/>
          <cell r="L365" t="str">
            <v/>
          </cell>
        </row>
        <row r="366">
          <cell r="C366"/>
          <cell r="D366"/>
          <cell r="E366"/>
          <cell r="F366"/>
          <cell r="G366"/>
          <cell r="H366"/>
          <cell r="I366"/>
          <cell r="J366"/>
          <cell r="K366"/>
          <cell r="L366" t="str">
            <v/>
          </cell>
        </row>
        <row r="367">
          <cell r="C367"/>
          <cell r="D367"/>
          <cell r="E367"/>
          <cell r="F367"/>
          <cell r="G367"/>
          <cell r="H367"/>
          <cell r="I367"/>
          <cell r="J367"/>
          <cell r="K367"/>
          <cell r="L367" t="str">
            <v/>
          </cell>
        </row>
        <row r="368">
          <cell r="C368"/>
          <cell r="D368"/>
          <cell r="E368"/>
          <cell r="F368"/>
          <cell r="G368"/>
          <cell r="H368"/>
          <cell r="I368"/>
          <cell r="J368"/>
          <cell r="K368"/>
          <cell r="L368" t="str">
            <v/>
          </cell>
        </row>
        <row r="369">
          <cell r="C369"/>
          <cell r="D369"/>
          <cell r="E369"/>
          <cell r="F369"/>
          <cell r="G369"/>
          <cell r="H369"/>
          <cell r="I369"/>
          <cell r="J369"/>
          <cell r="K369"/>
          <cell r="L369" t="str">
            <v/>
          </cell>
        </row>
        <row r="370">
          <cell r="C370"/>
          <cell r="D370"/>
          <cell r="E370"/>
          <cell r="F370"/>
          <cell r="G370"/>
          <cell r="H370"/>
          <cell r="I370"/>
          <cell r="J370"/>
          <cell r="K370"/>
          <cell r="L370" t="str">
            <v/>
          </cell>
        </row>
        <row r="371">
          <cell r="C371"/>
          <cell r="D371"/>
          <cell r="E371"/>
          <cell r="F371"/>
          <cell r="G371"/>
          <cell r="H371"/>
          <cell r="I371"/>
          <cell r="J371"/>
          <cell r="K371"/>
          <cell r="L371" t="str">
            <v/>
          </cell>
        </row>
        <row r="372">
          <cell r="C372"/>
          <cell r="D372"/>
          <cell r="E372"/>
          <cell r="F372"/>
          <cell r="G372"/>
          <cell r="H372"/>
          <cell r="I372"/>
          <cell r="J372"/>
          <cell r="K372"/>
          <cell r="L372" t="str">
            <v/>
          </cell>
        </row>
        <row r="373">
          <cell r="C373"/>
          <cell r="D373"/>
          <cell r="E373"/>
          <cell r="F373"/>
          <cell r="G373"/>
          <cell r="H373"/>
          <cell r="I373"/>
          <cell r="J373"/>
          <cell r="K373"/>
          <cell r="L373" t="str">
            <v/>
          </cell>
        </row>
        <row r="374">
          <cell r="C374"/>
          <cell r="D374"/>
          <cell r="E374"/>
          <cell r="F374"/>
          <cell r="G374"/>
          <cell r="H374"/>
          <cell r="I374"/>
          <cell r="J374"/>
          <cell r="K374"/>
          <cell r="L374" t="str">
            <v/>
          </cell>
        </row>
        <row r="375">
          <cell r="C375"/>
          <cell r="D375"/>
          <cell r="E375"/>
          <cell r="F375"/>
          <cell r="G375"/>
          <cell r="H375"/>
          <cell r="I375"/>
          <cell r="J375"/>
          <cell r="K375"/>
          <cell r="L375" t="str">
            <v/>
          </cell>
        </row>
        <row r="376">
          <cell r="C376"/>
          <cell r="D376"/>
          <cell r="E376"/>
          <cell r="F376"/>
          <cell r="G376"/>
          <cell r="H376"/>
          <cell r="I376"/>
          <cell r="J376"/>
          <cell r="K376"/>
          <cell r="L376" t="str">
            <v/>
          </cell>
        </row>
        <row r="377">
          <cell r="C377"/>
          <cell r="D377"/>
          <cell r="E377"/>
          <cell r="F377"/>
          <cell r="G377"/>
          <cell r="H377"/>
          <cell r="I377"/>
          <cell r="J377"/>
          <cell r="K377"/>
          <cell r="L377" t="str">
            <v/>
          </cell>
        </row>
        <row r="378">
          <cell r="C378"/>
          <cell r="D378"/>
          <cell r="E378"/>
          <cell r="F378"/>
          <cell r="G378"/>
          <cell r="H378"/>
          <cell r="I378"/>
          <cell r="J378"/>
          <cell r="K378"/>
          <cell r="L378" t="str">
            <v/>
          </cell>
        </row>
        <row r="379">
          <cell r="C379"/>
          <cell r="D379"/>
          <cell r="E379"/>
          <cell r="F379"/>
          <cell r="G379"/>
          <cell r="H379"/>
          <cell r="I379"/>
          <cell r="J379"/>
          <cell r="K379"/>
          <cell r="L379" t="str">
            <v/>
          </cell>
        </row>
        <row r="380">
          <cell r="C380"/>
          <cell r="D380"/>
          <cell r="E380"/>
          <cell r="F380"/>
          <cell r="G380"/>
          <cell r="H380"/>
          <cell r="I380"/>
          <cell r="J380"/>
          <cell r="K380"/>
          <cell r="L380" t="str">
            <v/>
          </cell>
        </row>
        <row r="381">
          <cell r="C381"/>
          <cell r="D381"/>
          <cell r="E381"/>
          <cell r="F381"/>
          <cell r="G381"/>
          <cell r="H381"/>
          <cell r="I381"/>
          <cell r="J381"/>
          <cell r="K381"/>
          <cell r="L381" t="str">
            <v/>
          </cell>
        </row>
        <row r="382">
          <cell r="C382"/>
          <cell r="D382"/>
          <cell r="E382"/>
          <cell r="F382"/>
          <cell r="G382"/>
          <cell r="H382"/>
          <cell r="I382"/>
          <cell r="J382"/>
          <cell r="K382"/>
          <cell r="L382" t="str">
            <v/>
          </cell>
        </row>
        <row r="383">
          <cell r="C383"/>
          <cell r="D383"/>
          <cell r="E383"/>
          <cell r="F383"/>
          <cell r="G383"/>
          <cell r="H383"/>
          <cell r="I383"/>
          <cell r="J383"/>
          <cell r="K383"/>
          <cell r="L383" t="str">
            <v/>
          </cell>
        </row>
        <row r="384">
          <cell r="C384"/>
          <cell r="D384"/>
          <cell r="E384"/>
          <cell r="F384"/>
          <cell r="G384"/>
          <cell r="H384"/>
          <cell r="I384"/>
          <cell r="J384"/>
          <cell r="K384"/>
          <cell r="L384" t="str">
            <v/>
          </cell>
        </row>
        <row r="385">
          <cell r="C385"/>
          <cell r="D385"/>
          <cell r="E385"/>
          <cell r="F385"/>
          <cell r="G385"/>
          <cell r="H385"/>
          <cell r="I385"/>
          <cell r="J385"/>
          <cell r="K385"/>
          <cell r="L385" t="str">
            <v/>
          </cell>
        </row>
        <row r="386">
          <cell r="C386"/>
          <cell r="D386"/>
          <cell r="E386"/>
          <cell r="F386"/>
          <cell r="G386"/>
          <cell r="H386"/>
          <cell r="I386"/>
          <cell r="J386"/>
          <cell r="K386"/>
          <cell r="L386" t="str">
            <v/>
          </cell>
        </row>
        <row r="387">
          <cell r="C387"/>
          <cell r="D387"/>
          <cell r="E387"/>
          <cell r="F387"/>
          <cell r="G387"/>
          <cell r="H387"/>
          <cell r="I387"/>
          <cell r="J387"/>
          <cell r="K387"/>
          <cell r="L387" t="str">
            <v/>
          </cell>
        </row>
        <row r="388">
          <cell r="C388"/>
          <cell r="D388"/>
          <cell r="E388"/>
          <cell r="F388"/>
          <cell r="G388"/>
          <cell r="H388"/>
          <cell r="I388"/>
          <cell r="J388"/>
          <cell r="K388"/>
          <cell r="L388" t="str">
            <v/>
          </cell>
        </row>
        <row r="389">
          <cell r="C389"/>
          <cell r="D389"/>
          <cell r="E389"/>
          <cell r="F389"/>
          <cell r="G389"/>
          <cell r="H389"/>
          <cell r="I389"/>
          <cell r="J389"/>
          <cell r="K389"/>
          <cell r="L389" t="str">
            <v/>
          </cell>
        </row>
        <row r="390">
          <cell r="C390"/>
          <cell r="D390"/>
          <cell r="E390"/>
          <cell r="F390"/>
          <cell r="G390"/>
          <cell r="H390"/>
          <cell r="I390"/>
          <cell r="J390"/>
          <cell r="K390"/>
          <cell r="L390" t="str">
            <v/>
          </cell>
        </row>
        <row r="391">
          <cell r="C391"/>
          <cell r="D391"/>
          <cell r="E391"/>
          <cell r="F391"/>
          <cell r="G391"/>
          <cell r="H391"/>
          <cell r="I391"/>
          <cell r="J391"/>
          <cell r="K391"/>
          <cell r="L391" t="str">
            <v/>
          </cell>
        </row>
        <row r="392">
          <cell r="C392"/>
          <cell r="D392"/>
          <cell r="E392"/>
          <cell r="F392"/>
          <cell r="G392"/>
          <cell r="H392"/>
          <cell r="I392"/>
          <cell r="J392"/>
          <cell r="K392"/>
          <cell r="L392" t="str">
            <v/>
          </cell>
        </row>
        <row r="393">
          <cell r="C393"/>
          <cell r="D393"/>
          <cell r="E393"/>
          <cell r="F393"/>
          <cell r="G393"/>
          <cell r="H393"/>
          <cell r="I393"/>
          <cell r="J393"/>
          <cell r="K393"/>
          <cell r="L393" t="str">
            <v/>
          </cell>
        </row>
        <row r="394">
          <cell r="C394"/>
          <cell r="D394"/>
          <cell r="E394"/>
          <cell r="F394"/>
          <cell r="G394"/>
          <cell r="H394"/>
          <cell r="I394"/>
          <cell r="J394"/>
          <cell r="K394"/>
          <cell r="L394" t="str">
            <v/>
          </cell>
        </row>
        <row r="395">
          <cell r="C395"/>
          <cell r="D395"/>
          <cell r="E395"/>
          <cell r="F395"/>
          <cell r="G395"/>
          <cell r="H395"/>
          <cell r="I395"/>
          <cell r="J395"/>
          <cell r="K395"/>
          <cell r="L395" t="str">
            <v/>
          </cell>
        </row>
        <row r="396">
          <cell r="C396"/>
          <cell r="D396"/>
          <cell r="E396"/>
          <cell r="F396"/>
          <cell r="G396"/>
          <cell r="H396"/>
          <cell r="I396"/>
          <cell r="J396"/>
          <cell r="K396"/>
          <cell r="L396" t="str">
            <v/>
          </cell>
        </row>
        <row r="397">
          <cell r="C397"/>
          <cell r="D397"/>
          <cell r="E397"/>
          <cell r="F397"/>
          <cell r="G397"/>
          <cell r="H397"/>
          <cell r="I397"/>
          <cell r="J397"/>
          <cell r="K397"/>
          <cell r="L397" t="str">
            <v/>
          </cell>
        </row>
        <row r="398">
          <cell r="C398"/>
          <cell r="D398"/>
          <cell r="E398"/>
          <cell r="F398"/>
          <cell r="G398"/>
          <cell r="H398"/>
          <cell r="I398"/>
          <cell r="J398"/>
          <cell r="K398"/>
          <cell r="L398" t="str">
            <v/>
          </cell>
        </row>
        <row r="399">
          <cell r="C399"/>
          <cell r="D399"/>
          <cell r="E399"/>
          <cell r="F399"/>
          <cell r="G399"/>
          <cell r="H399"/>
          <cell r="I399"/>
          <cell r="J399"/>
          <cell r="K399"/>
          <cell r="L399" t="str">
            <v/>
          </cell>
        </row>
        <row r="400">
          <cell r="C400"/>
          <cell r="D400"/>
          <cell r="E400"/>
          <cell r="F400"/>
          <cell r="G400"/>
          <cell r="H400"/>
          <cell r="I400"/>
          <cell r="J400"/>
          <cell r="K400"/>
          <cell r="L400" t="str">
            <v/>
          </cell>
        </row>
        <row r="401">
          <cell r="C401"/>
          <cell r="D401"/>
          <cell r="E401"/>
          <cell r="F401"/>
          <cell r="G401"/>
          <cell r="H401"/>
          <cell r="I401"/>
          <cell r="J401"/>
          <cell r="K401"/>
          <cell r="L401" t="str">
            <v/>
          </cell>
        </row>
        <row r="402">
          <cell r="C402"/>
          <cell r="D402"/>
          <cell r="E402"/>
          <cell r="F402"/>
          <cell r="G402"/>
          <cell r="H402"/>
          <cell r="I402"/>
          <cell r="J402"/>
          <cell r="K402"/>
          <cell r="L402" t="str">
            <v/>
          </cell>
        </row>
        <row r="403">
          <cell r="C403"/>
          <cell r="D403"/>
          <cell r="E403"/>
          <cell r="F403"/>
          <cell r="G403"/>
          <cell r="H403"/>
          <cell r="I403"/>
          <cell r="J403"/>
          <cell r="K403"/>
          <cell r="L403" t="str">
            <v/>
          </cell>
        </row>
        <row r="404">
          <cell r="C404"/>
          <cell r="D404"/>
          <cell r="E404"/>
          <cell r="F404"/>
          <cell r="G404"/>
          <cell r="H404"/>
          <cell r="I404"/>
          <cell r="J404"/>
          <cell r="K404"/>
          <cell r="L404" t="str">
            <v/>
          </cell>
        </row>
        <row r="405">
          <cell r="C405"/>
          <cell r="D405"/>
          <cell r="E405"/>
          <cell r="F405"/>
          <cell r="G405"/>
          <cell r="H405"/>
          <cell r="I405"/>
          <cell r="J405"/>
          <cell r="K405"/>
          <cell r="L405" t="str">
            <v/>
          </cell>
        </row>
        <row r="406">
          <cell r="C406"/>
          <cell r="D406"/>
          <cell r="E406"/>
          <cell r="F406"/>
          <cell r="G406"/>
          <cell r="H406"/>
          <cell r="I406"/>
          <cell r="J406"/>
          <cell r="K406"/>
          <cell r="L406" t="str">
            <v/>
          </cell>
        </row>
        <row r="407">
          <cell r="C407"/>
          <cell r="D407"/>
          <cell r="E407"/>
          <cell r="F407"/>
          <cell r="G407"/>
          <cell r="H407"/>
          <cell r="I407"/>
          <cell r="J407"/>
          <cell r="K407"/>
          <cell r="L407" t="str">
            <v/>
          </cell>
        </row>
        <row r="408">
          <cell r="C408"/>
          <cell r="D408"/>
          <cell r="E408"/>
          <cell r="F408"/>
          <cell r="G408"/>
          <cell r="H408"/>
          <cell r="I408"/>
          <cell r="J408"/>
          <cell r="K408"/>
          <cell r="L408" t="str">
            <v/>
          </cell>
        </row>
        <row r="409">
          <cell r="C409"/>
          <cell r="D409"/>
          <cell r="E409"/>
          <cell r="F409"/>
          <cell r="G409"/>
          <cell r="H409"/>
          <cell r="I409"/>
          <cell r="J409"/>
          <cell r="K409"/>
          <cell r="L409" t="str">
            <v/>
          </cell>
        </row>
        <row r="410">
          <cell r="C410"/>
          <cell r="D410"/>
          <cell r="E410"/>
          <cell r="F410"/>
          <cell r="G410"/>
          <cell r="H410"/>
          <cell r="I410"/>
          <cell r="J410"/>
          <cell r="K410"/>
          <cell r="L410" t="str">
            <v/>
          </cell>
        </row>
        <row r="411">
          <cell r="C411"/>
          <cell r="D411"/>
          <cell r="E411"/>
          <cell r="F411"/>
          <cell r="G411"/>
          <cell r="H411"/>
          <cell r="I411"/>
          <cell r="J411"/>
          <cell r="K411"/>
          <cell r="L411" t="str">
            <v/>
          </cell>
        </row>
        <row r="412">
          <cell r="C412"/>
          <cell r="D412"/>
          <cell r="E412"/>
          <cell r="F412"/>
          <cell r="G412"/>
          <cell r="H412"/>
          <cell r="I412"/>
          <cell r="J412"/>
          <cell r="K412"/>
          <cell r="L412" t="str">
            <v/>
          </cell>
        </row>
        <row r="413">
          <cell r="C413"/>
          <cell r="D413"/>
          <cell r="E413"/>
          <cell r="F413"/>
          <cell r="G413"/>
          <cell r="H413"/>
          <cell r="I413"/>
          <cell r="J413"/>
          <cell r="K413"/>
          <cell r="L413" t="str">
            <v/>
          </cell>
        </row>
        <row r="414">
          <cell r="C414"/>
          <cell r="D414"/>
          <cell r="E414"/>
          <cell r="F414"/>
          <cell r="G414"/>
          <cell r="H414"/>
          <cell r="I414"/>
          <cell r="J414"/>
          <cell r="K414"/>
          <cell r="L414" t="str">
            <v/>
          </cell>
        </row>
        <row r="415">
          <cell r="C415"/>
          <cell r="D415"/>
          <cell r="E415"/>
          <cell r="F415"/>
          <cell r="G415"/>
          <cell r="H415"/>
          <cell r="I415"/>
          <cell r="J415"/>
          <cell r="K415"/>
          <cell r="L415" t="str">
            <v/>
          </cell>
        </row>
        <row r="416">
          <cell r="C416"/>
          <cell r="D416"/>
          <cell r="E416"/>
          <cell r="F416"/>
          <cell r="G416"/>
          <cell r="H416"/>
          <cell r="I416"/>
          <cell r="J416"/>
          <cell r="K416"/>
          <cell r="L416" t="str">
            <v/>
          </cell>
        </row>
        <row r="417">
          <cell r="C417"/>
          <cell r="D417"/>
          <cell r="E417"/>
          <cell r="F417"/>
          <cell r="G417"/>
          <cell r="H417"/>
          <cell r="I417"/>
          <cell r="J417"/>
          <cell r="K417"/>
          <cell r="L417" t="str">
            <v/>
          </cell>
        </row>
        <row r="418">
          <cell r="C418"/>
          <cell r="D418"/>
          <cell r="E418"/>
          <cell r="F418"/>
          <cell r="G418"/>
          <cell r="H418"/>
          <cell r="I418"/>
          <cell r="J418"/>
          <cell r="K418"/>
          <cell r="L418" t="str">
            <v/>
          </cell>
        </row>
        <row r="419">
          <cell r="C419"/>
          <cell r="D419"/>
          <cell r="E419"/>
          <cell r="F419"/>
          <cell r="G419"/>
          <cell r="H419"/>
          <cell r="I419"/>
          <cell r="J419"/>
          <cell r="K419"/>
          <cell r="L419" t="str">
            <v/>
          </cell>
        </row>
        <row r="420">
          <cell r="C420"/>
          <cell r="D420"/>
          <cell r="E420"/>
          <cell r="F420"/>
          <cell r="G420"/>
          <cell r="H420"/>
          <cell r="I420"/>
          <cell r="J420"/>
          <cell r="K420"/>
          <cell r="L420" t="str">
            <v/>
          </cell>
        </row>
        <row r="421">
          <cell r="C421"/>
          <cell r="D421"/>
          <cell r="E421"/>
          <cell r="F421"/>
          <cell r="G421"/>
          <cell r="H421"/>
          <cell r="I421"/>
          <cell r="J421"/>
          <cell r="K421"/>
          <cell r="L421" t="str">
            <v/>
          </cell>
        </row>
        <row r="422">
          <cell r="C422"/>
          <cell r="D422"/>
          <cell r="E422"/>
          <cell r="F422"/>
          <cell r="G422"/>
          <cell r="H422"/>
          <cell r="I422"/>
          <cell r="J422"/>
          <cell r="K422"/>
          <cell r="L422" t="str">
            <v/>
          </cell>
        </row>
        <row r="423">
          <cell r="C423"/>
          <cell r="D423"/>
          <cell r="E423"/>
          <cell r="F423"/>
          <cell r="G423"/>
          <cell r="H423"/>
          <cell r="I423"/>
          <cell r="J423"/>
          <cell r="K423"/>
          <cell r="L423" t="str">
            <v/>
          </cell>
        </row>
        <row r="424">
          <cell r="C424"/>
          <cell r="D424"/>
          <cell r="E424"/>
          <cell r="F424"/>
          <cell r="G424"/>
          <cell r="H424"/>
          <cell r="I424"/>
          <cell r="J424"/>
          <cell r="K424"/>
          <cell r="L424" t="str">
            <v/>
          </cell>
        </row>
        <row r="425">
          <cell r="C425"/>
          <cell r="D425"/>
          <cell r="E425"/>
          <cell r="F425"/>
          <cell r="G425"/>
          <cell r="H425"/>
          <cell r="I425"/>
          <cell r="J425"/>
          <cell r="K425"/>
          <cell r="L425" t="str">
            <v/>
          </cell>
        </row>
        <row r="426">
          <cell r="C426"/>
          <cell r="D426"/>
          <cell r="E426"/>
          <cell r="F426"/>
          <cell r="G426"/>
          <cell r="H426"/>
          <cell r="I426"/>
          <cell r="J426"/>
          <cell r="K426"/>
          <cell r="L426" t="str">
            <v/>
          </cell>
        </row>
        <row r="427">
          <cell r="C427"/>
          <cell r="D427"/>
          <cell r="E427"/>
          <cell r="F427"/>
          <cell r="G427"/>
          <cell r="H427"/>
          <cell r="I427"/>
          <cell r="J427"/>
          <cell r="K427"/>
          <cell r="L427" t="str">
            <v/>
          </cell>
        </row>
        <row r="428">
          <cell r="C428"/>
          <cell r="D428"/>
          <cell r="E428"/>
          <cell r="F428"/>
          <cell r="G428"/>
          <cell r="H428"/>
          <cell r="I428"/>
          <cell r="J428"/>
          <cell r="K428"/>
          <cell r="L428" t="str">
            <v/>
          </cell>
        </row>
        <row r="429">
          <cell r="C429"/>
          <cell r="D429"/>
          <cell r="E429"/>
          <cell r="F429"/>
          <cell r="G429"/>
          <cell r="H429"/>
          <cell r="I429"/>
          <cell r="J429"/>
          <cell r="K429"/>
          <cell r="L429" t="str">
            <v/>
          </cell>
        </row>
        <row r="430">
          <cell r="C430"/>
          <cell r="D430"/>
          <cell r="E430"/>
          <cell r="F430"/>
          <cell r="G430"/>
          <cell r="H430"/>
          <cell r="I430"/>
          <cell r="J430"/>
          <cell r="K430"/>
          <cell r="L430" t="str">
            <v/>
          </cell>
        </row>
        <row r="431">
          <cell r="C431"/>
          <cell r="D431"/>
          <cell r="E431"/>
          <cell r="F431"/>
          <cell r="G431"/>
          <cell r="H431"/>
          <cell r="I431"/>
          <cell r="J431"/>
          <cell r="K431"/>
          <cell r="L431" t="str">
            <v/>
          </cell>
        </row>
        <row r="432">
          <cell r="C432"/>
          <cell r="D432"/>
          <cell r="E432"/>
          <cell r="F432"/>
          <cell r="G432"/>
          <cell r="H432"/>
          <cell r="I432"/>
          <cell r="J432"/>
          <cell r="K432"/>
          <cell r="L432" t="str">
            <v/>
          </cell>
        </row>
        <row r="433">
          <cell r="C433"/>
          <cell r="D433"/>
          <cell r="E433"/>
          <cell r="F433"/>
          <cell r="G433"/>
          <cell r="H433"/>
          <cell r="I433"/>
          <cell r="J433"/>
          <cell r="K433"/>
          <cell r="L433" t="str">
            <v/>
          </cell>
        </row>
        <row r="434">
          <cell r="C434"/>
          <cell r="D434"/>
          <cell r="E434"/>
          <cell r="F434"/>
          <cell r="G434"/>
          <cell r="H434"/>
          <cell r="I434"/>
          <cell r="J434"/>
          <cell r="K434"/>
          <cell r="L434" t="str">
            <v/>
          </cell>
        </row>
        <row r="435">
          <cell r="C435"/>
          <cell r="D435"/>
          <cell r="E435"/>
          <cell r="F435"/>
          <cell r="G435"/>
          <cell r="H435"/>
          <cell r="I435"/>
          <cell r="J435"/>
          <cell r="K435"/>
          <cell r="L435" t="str">
            <v/>
          </cell>
        </row>
        <row r="436">
          <cell r="C436"/>
          <cell r="D436"/>
          <cell r="E436"/>
          <cell r="F436"/>
          <cell r="G436"/>
          <cell r="H436"/>
          <cell r="I436"/>
          <cell r="J436"/>
          <cell r="K436"/>
          <cell r="L436" t="str">
            <v/>
          </cell>
        </row>
        <row r="437">
          <cell r="C437"/>
          <cell r="D437"/>
          <cell r="E437"/>
          <cell r="F437"/>
          <cell r="G437"/>
          <cell r="H437"/>
          <cell r="I437"/>
          <cell r="J437"/>
          <cell r="K437"/>
          <cell r="L437" t="str">
            <v/>
          </cell>
        </row>
        <row r="438">
          <cell r="C438"/>
          <cell r="D438"/>
          <cell r="E438"/>
          <cell r="F438"/>
          <cell r="G438"/>
          <cell r="H438"/>
          <cell r="I438"/>
          <cell r="J438"/>
          <cell r="K438"/>
          <cell r="L438" t="str">
            <v/>
          </cell>
        </row>
        <row r="439">
          <cell r="C439"/>
          <cell r="D439"/>
          <cell r="E439"/>
          <cell r="F439"/>
          <cell r="G439"/>
          <cell r="H439"/>
          <cell r="I439"/>
          <cell r="J439"/>
          <cell r="K439"/>
          <cell r="L439" t="str">
            <v/>
          </cell>
        </row>
        <row r="440">
          <cell r="C440"/>
          <cell r="D440"/>
          <cell r="E440"/>
          <cell r="F440"/>
          <cell r="G440"/>
          <cell r="H440"/>
          <cell r="I440"/>
          <cell r="J440"/>
          <cell r="K440"/>
          <cell r="L440" t="str">
            <v/>
          </cell>
        </row>
        <row r="441">
          <cell r="C441"/>
          <cell r="D441"/>
          <cell r="E441"/>
          <cell r="F441"/>
          <cell r="G441"/>
          <cell r="H441"/>
          <cell r="I441"/>
          <cell r="J441"/>
          <cell r="K441"/>
          <cell r="L441" t="str">
            <v/>
          </cell>
        </row>
        <row r="442">
          <cell r="C442"/>
          <cell r="D442"/>
          <cell r="E442"/>
          <cell r="F442"/>
          <cell r="G442"/>
          <cell r="H442"/>
          <cell r="I442"/>
          <cell r="J442"/>
          <cell r="K442"/>
          <cell r="L442" t="str">
            <v/>
          </cell>
        </row>
        <row r="443">
          <cell r="C443"/>
          <cell r="D443"/>
          <cell r="E443"/>
          <cell r="F443"/>
          <cell r="G443"/>
          <cell r="H443"/>
          <cell r="I443"/>
          <cell r="J443"/>
          <cell r="K443"/>
          <cell r="L443" t="str">
            <v/>
          </cell>
        </row>
        <row r="444">
          <cell r="C444"/>
          <cell r="D444"/>
          <cell r="E444"/>
          <cell r="F444"/>
          <cell r="G444"/>
          <cell r="H444"/>
          <cell r="I444"/>
          <cell r="J444"/>
          <cell r="K444"/>
          <cell r="L444" t="str">
            <v/>
          </cell>
        </row>
        <row r="445">
          <cell r="C445"/>
          <cell r="D445"/>
          <cell r="E445"/>
          <cell r="F445"/>
          <cell r="G445"/>
          <cell r="H445"/>
          <cell r="I445"/>
          <cell r="J445"/>
          <cell r="K445"/>
          <cell r="L445" t="str">
            <v/>
          </cell>
        </row>
        <row r="446">
          <cell r="C446"/>
          <cell r="D446"/>
          <cell r="E446"/>
          <cell r="F446"/>
          <cell r="G446"/>
          <cell r="H446"/>
          <cell r="I446"/>
          <cell r="J446"/>
          <cell r="K446"/>
          <cell r="L446" t="str">
            <v/>
          </cell>
        </row>
        <row r="447">
          <cell r="C447"/>
          <cell r="D447"/>
          <cell r="E447"/>
          <cell r="F447"/>
          <cell r="G447"/>
          <cell r="H447"/>
          <cell r="I447"/>
          <cell r="J447"/>
          <cell r="K447"/>
          <cell r="L447" t="str">
            <v/>
          </cell>
        </row>
        <row r="448">
          <cell r="C448"/>
          <cell r="D448"/>
          <cell r="E448"/>
          <cell r="F448"/>
          <cell r="G448"/>
          <cell r="H448"/>
          <cell r="I448"/>
          <cell r="J448"/>
          <cell r="K448"/>
          <cell r="L448" t="str">
            <v/>
          </cell>
        </row>
        <row r="449">
          <cell r="C449"/>
          <cell r="D449"/>
          <cell r="E449"/>
          <cell r="F449"/>
          <cell r="G449"/>
          <cell r="H449"/>
          <cell r="I449"/>
          <cell r="J449"/>
          <cell r="K449"/>
          <cell r="L449" t="str">
            <v/>
          </cell>
        </row>
        <row r="450">
          <cell r="C450"/>
          <cell r="D450"/>
          <cell r="E450"/>
          <cell r="F450"/>
          <cell r="G450"/>
          <cell r="H450"/>
          <cell r="I450"/>
          <cell r="J450"/>
          <cell r="K450"/>
          <cell r="L450" t="str">
            <v/>
          </cell>
        </row>
        <row r="451">
          <cell r="C451"/>
          <cell r="D451"/>
          <cell r="E451"/>
          <cell r="F451"/>
          <cell r="G451"/>
          <cell r="H451"/>
          <cell r="I451"/>
          <cell r="J451"/>
          <cell r="K451"/>
          <cell r="L451" t="str">
            <v/>
          </cell>
        </row>
        <row r="452">
          <cell r="C452"/>
          <cell r="D452"/>
          <cell r="E452"/>
          <cell r="F452"/>
          <cell r="G452"/>
          <cell r="H452"/>
          <cell r="I452"/>
          <cell r="J452"/>
          <cell r="K452"/>
          <cell r="L452" t="str">
            <v/>
          </cell>
        </row>
        <row r="453">
          <cell r="C453"/>
          <cell r="D453"/>
          <cell r="E453"/>
          <cell r="F453"/>
          <cell r="G453"/>
          <cell r="H453"/>
          <cell r="I453"/>
          <cell r="J453"/>
          <cell r="K453"/>
          <cell r="L453" t="str">
            <v/>
          </cell>
        </row>
        <row r="454">
          <cell r="C454"/>
          <cell r="D454"/>
          <cell r="E454"/>
          <cell r="F454"/>
          <cell r="G454"/>
          <cell r="H454"/>
          <cell r="I454"/>
          <cell r="J454"/>
          <cell r="K454"/>
          <cell r="L454" t="str">
            <v/>
          </cell>
        </row>
        <row r="455">
          <cell r="C455"/>
          <cell r="D455"/>
          <cell r="E455"/>
          <cell r="F455"/>
          <cell r="G455"/>
          <cell r="H455"/>
          <cell r="I455"/>
          <cell r="J455"/>
          <cell r="K455"/>
          <cell r="L455" t="str">
            <v/>
          </cell>
        </row>
        <row r="456">
          <cell r="C456"/>
          <cell r="D456"/>
          <cell r="E456"/>
          <cell r="F456"/>
          <cell r="G456"/>
          <cell r="H456"/>
          <cell r="I456"/>
          <cell r="J456"/>
          <cell r="K456"/>
          <cell r="L456" t="str">
            <v/>
          </cell>
        </row>
        <row r="457">
          <cell r="C457"/>
          <cell r="D457"/>
          <cell r="E457"/>
          <cell r="F457"/>
          <cell r="G457"/>
          <cell r="H457"/>
          <cell r="I457"/>
          <cell r="J457"/>
          <cell r="K457"/>
          <cell r="L457" t="str">
            <v/>
          </cell>
        </row>
        <row r="458">
          <cell r="C458"/>
          <cell r="D458"/>
          <cell r="E458"/>
          <cell r="F458"/>
          <cell r="G458"/>
          <cell r="H458"/>
          <cell r="I458"/>
          <cell r="J458"/>
          <cell r="K458"/>
          <cell r="L458" t="str">
            <v/>
          </cell>
        </row>
        <row r="459">
          <cell r="C459"/>
          <cell r="D459"/>
          <cell r="E459"/>
          <cell r="F459"/>
          <cell r="G459"/>
          <cell r="H459"/>
          <cell r="I459"/>
          <cell r="J459"/>
          <cell r="K459"/>
          <cell r="L459" t="str">
            <v/>
          </cell>
        </row>
        <row r="460">
          <cell r="C460"/>
          <cell r="D460"/>
          <cell r="E460"/>
          <cell r="F460"/>
          <cell r="G460"/>
          <cell r="H460"/>
          <cell r="I460"/>
          <cell r="J460"/>
          <cell r="K460"/>
          <cell r="L460" t="str">
            <v/>
          </cell>
        </row>
        <row r="461">
          <cell r="C461"/>
          <cell r="D461"/>
          <cell r="E461"/>
          <cell r="F461"/>
          <cell r="G461"/>
          <cell r="H461"/>
          <cell r="I461"/>
          <cell r="J461"/>
          <cell r="K461"/>
          <cell r="L461" t="str">
            <v/>
          </cell>
        </row>
        <row r="462">
          <cell r="C462"/>
          <cell r="D462"/>
          <cell r="E462"/>
          <cell r="F462"/>
          <cell r="G462"/>
          <cell r="H462"/>
          <cell r="I462"/>
          <cell r="J462"/>
          <cell r="K462"/>
          <cell r="L462" t="str">
            <v/>
          </cell>
        </row>
        <row r="463">
          <cell r="C463"/>
          <cell r="D463"/>
          <cell r="E463"/>
          <cell r="F463"/>
          <cell r="G463"/>
          <cell r="H463"/>
          <cell r="I463"/>
          <cell r="J463"/>
          <cell r="K463"/>
          <cell r="L463" t="str">
            <v/>
          </cell>
        </row>
        <row r="464">
          <cell r="C464"/>
          <cell r="D464"/>
          <cell r="E464"/>
          <cell r="F464"/>
          <cell r="G464"/>
          <cell r="H464"/>
          <cell r="I464"/>
          <cell r="J464"/>
          <cell r="K464"/>
          <cell r="L464" t="str">
            <v/>
          </cell>
        </row>
        <row r="465">
          <cell r="C465"/>
          <cell r="D465"/>
          <cell r="E465"/>
          <cell r="F465"/>
          <cell r="G465"/>
          <cell r="H465"/>
          <cell r="I465"/>
          <cell r="J465"/>
          <cell r="K465"/>
          <cell r="L465" t="str">
            <v/>
          </cell>
        </row>
        <row r="466">
          <cell r="C466"/>
          <cell r="D466"/>
          <cell r="E466"/>
          <cell r="F466"/>
          <cell r="G466"/>
          <cell r="H466"/>
          <cell r="I466"/>
          <cell r="J466"/>
          <cell r="K466"/>
          <cell r="L466" t="str">
            <v/>
          </cell>
        </row>
        <row r="467">
          <cell r="C467"/>
          <cell r="D467"/>
          <cell r="E467"/>
          <cell r="F467"/>
          <cell r="G467"/>
          <cell r="H467"/>
          <cell r="I467"/>
          <cell r="J467"/>
          <cell r="K467"/>
          <cell r="L467" t="str">
            <v/>
          </cell>
        </row>
        <row r="468">
          <cell r="C468"/>
          <cell r="D468"/>
          <cell r="E468"/>
          <cell r="F468"/>
          <cell r="G468"/>
          <cell r="H468"/>
          <cell r="I468"/>
          <cell r="J468"/>
          <cell r="K468"/>
          <cell r="L468" t="str">
            <v/>
          </cell>
        </row>
        <row r="469">
          <cell r="C469"/>
          <cell r="D469"/>
          <cell r="E469"/>
          <cell r="F469"/>
          <cell r="G469"/>
          <cell r="H469"/>
          <cell r="I469"/>
          <cell r="J469"/>
          <cell r="K469"/>
          <cell r="L469" t="str">
            <v/>
          </cell>
        </row>
        <row r="470">
          <cell r="C470"/>
          <cell r="D470"/>
          <cell r="E470"/>
          <cell r="F470"/>
          <cell r="G470"/>
          <cell r="H470"/>
          <cell r="I470"/>
          <cell r="J470"/>
          <cell r="K470"/>
          <cell r="L470" t="str">
            <v/>
          </cell>
        </row>
        <row r="471">
          <cell r="C471"/>
          <cell r="D471"/>
          <cell r="E471"/>
          <cell r="F471"/>
          <cell r="G471"/>
          <cell r="H471"/>
          <cell r="I471"/>
          <cell r="J471"/>
          <cell r="K471"/>
          <cell r="L471" t="str">
            <v/>
          </cell>
        </row>
        <row r="472">
          <cell r="C472"/>
          <cell r="D472"/>
          <cell r="E472"/>
          <cell r="F472"/>
          <cell r="G472"/>
          <cell r="H472"/>
          <cell r="I472"/>
          <cell r="J472"/>
          <cell r="K472"/>
          <cell r="L472" t="str">
            <v/>
          </cell>
        </row>
        <row r="473">
          <cell r="C473"/>
          <cell r="D473"/>
          <cell r="E473"/>
          <cell r="F473"/>
          <cell r="G473"/>
          <cell r="H473"/>
          <cell r="I473"/>
          <cell r="J473"/>
          <cell r="K473"/>
          <cell r="L473" t="str">
            <v/>
          </cell>
        </row>
        <row r="474">
          <cell r="C474"/>
          <cell r="D474"/>
          <cell r="E474"/>
          <cell r="F474"/>
          <cell r="G474"/>
          <cell r="H474"/>
          <cell r="I474"/>
          <cell r="J474"/>
          <cell r="K474"/>
          <cell r="L474" t="str">
            <v/>
          </cell>
        </row>
        <row r="475">
          <cell r="C475"/>
          <cell r="D475"/>
          <cell r="E475"/>
          <cell r="F475"/>
          <cell r="G475"/>
          <cell r="H475"/>
          <cell r="I475"/>
          <cell r="J475"/>
          <cell r="K475"/>
          <cell r="L475" t="str">
            <v/>
          </cell>
        </row>
        <row r="476">
          <cell r="C476"/>
          <cell r="D476"/>
          <cell r="E476"/>
          <cell r="F476"/>
          <cell r="G476"/>
          <cell r="H476"/>
          <cell r="I476"/>
          <cell r="J476"/>
          <cell r="K476"/>
          <cell r="L476" t="str">
            <v/>
          </cell>
        </row>
        <row r="477">
          <cell r="C477"/>
          <cell r="D477"/>
          <cell r="E477"/>
          <cell r="F477"/>
          <cell r="G477"/>
          <cell r="H477"/>
          <cell r="I477"/>
          <cell r="J477"/>
          <cell r="K477"/>
          <cell r="L477" t="str">
            <v/>
          </cell>
        </row>
        <row r="478">
          <cell r="C478"/>
          <cell r="D478"/>
          <cell r="E478"/>
          <cell r="F478"/>
          <cell r="G478"/>
          <cell r="H478"/>
          <cell r="I478"/>
          <cell r="J478"/>
          <cell r="K478"/>
          <cell r="L478" t="str">
            <v/>
          </cell>
        </row>
        <row r="479">
          <cell r="C479"/>
          <cell r="D479"/>
          <cell r="E479"/>
          <cell r="F479"/>
          <cell r="G479"/>
          <cell r="H479"/>
          <cell r="I479"/>
          <cell r="J479"/>
          <cell r="K479"/>
          <cell r="L479" t="str">
            <v/>
          </cell>
        </row>
        <row r="480">
          <cell r="C480"/>
          <cell r="D480"/>
          <cell r="E480"/>
          <cell r="F480"/>
          <cell r="G480"/>
          <cell r="H480"/>
          <cell r="I480"/>
          <cell r="J480"/>
          <cell r="K480"/>
          <cell r="L480" t="str">
            <v/>
          </cell>
        </row>
        <row r="481">
          <cell r="C481"/>
          <cell r="D481"/>
          <cell r="E481"/>
          <cell r="F481"/>
          <cell r="G481"/>
          <cell r="H481"/>
          <cell r="I481"/>
          <cell r="J481"/>
          <cell r="K481"/>
          <cell r="L481" t="str">
            <v/>
          </cell>
        </row>
        <row r="482">
          <cell r="C482"/>
          <cell r="D482"/>
          <cell r="E482"/>
          <cell r="F482"/>
          <cell r="G482"/>
          <cell r="H482"/>
          <cell r="I482"/>
          <cell r="J482"/>
          <cell r="K482"/>
          <cell r="L482" t="str">
            <v/>
          </cell>
        </row>
        <row r="483">
          <cell r="C483"/>
          <cell r="D483"/>
          <cell r="E483"/>
          <cell r="F483"/>
          <cell r="G483"/>
          <cell r="H483"/>
          <cell r="I483"/>
          <cell r="J483"/>
          <cell r="K483"/>
          <cell r="L483" t="str">
            <v/>
          </cell>
        </row>
        <row r="484">
          <cell r="C484"/>
          <cell r="D484"/>
          <cell r="E484"/>
          <cell r="F484"/>
          <cell r="G484"/>
          <cell r="H484"/>
          <cell r="I484"/>
          <cell r="J484"/>
          <cell r="K484"/>
          <cell r="L484" t="str">
            <v/>
          </cell>
        </row>
        <row r="485">
          <cell r="C485"/>
          <cell r="D485"/>
          <cell r="E485"/>
          <cell r="F485"/>
          <cell r="G485"/>
          <cell r="H485"/>
          <cell r="I485"/>
          <cell r="J485"/>
          <cell r="K485"/>
          <cell r="L485" t="str">
            <v/>
          </cell>
        </row>
        <row r="486">
          <cell r="C486"/>
          <cell r="D486"/>
          <cell r="E486"/>
          <cell r="F486"/>
          <cell r="G486"/>
          <cell r="H486"/>
          <cell r="I486"/>
          <cell r="J486"/>
          <cell r="K486"/>
          <cell r="L486" t="str">
            <v/>
          </cell>
        </row>
        <row r="487">
          <cell r="C487"/>
          <cell r="D487"/>
          <cell r="E487"/>
          <cell r="F487"/>
          <cell r="G487"/>
          <cell r="H487"/>
          <cell r="I487"/>
          <cell r="J487"/>
          <cell r="K487"/>
          <cell r="L487" t="str">
            <v/>
          </cell>
        </row>
        <row r="488">
          <cell r="C488"/>
          <cell r="D488"/>
          <cell r="E488"/>
          <cell r="F488"/>
          <cell r="G488"/>
          <cell r="H488"/>
          <cell r="I488"/>
          <cell r="J488"/>
          <cell r="K488"/>
          <cell r="L488" t="str">
            <v/>
          </cell>
        </row>
        <row r="489">
          <cell r="C489"/>
          <cell r="D489"/>
          <cell r="E489"/>
          <cell r="F489"/>
          <cell r="G489"/>
          <cell r="H489"/>
          <cell r="I489"/>
          <cell r="J489"/>
          <cell r="K489"/>
          <cell r="L489" t="str">
            <v/>
          </cell>
        </row>
        <row r="490">
          <cell r="C490"/>
          <cell r="D490"/>
          <cell r="E490"/>
          <cell r="F490"/>
          <cell r="G490"/>
          <cell r="H490"/>
          <cell r="I490"/>
          <cell r="J490"/>
          <cell r="K490"/>
          <cell r="L490" t="str">
            <v/>
          </cell>
        </row>
        <row r="491">
          <cell r="C491"/>
          <cell r="D491"/>
          <cell r="E491"/>
          <cell r="F491"/>
          <cell r="G491"/>
          <cell r="H491"/>
          <cell r="I491"/>
          <cell r="J491"/>
          <cell r="K491"/>
          <cell r="L491" t="str">
            <v/>
          </cell>
        </row>
        <row r="492">
          <cell r="C492"/>
          <cell r="D492"/>
          <cell r="E492"/>
          <cell r="F492"/>
          <cell r="G492"/>
          <cell r="H492"/>
          <cell r="I492"/>
          <cell r="J492"/>
          <cell r="K492"/>
          <cell r="L492" t="str">
            <v/>
          </cell>
        </row>
        <row r="493">
          <cell r="C493"/>
          <cell r="D493"/>
          <cell r="E493"/>
          <cell r="F493"/>
          <cell r="G493"/>
          <cell r="H493"/>
          <cell r="I493"/>
          <cell r="J493"/>
          <cell r="K493"/>
          <cell r="L493" t="str">
            <v/>
          </cell>
        </row>
        <row r="494">
          <cell r="C494"/>
          <cell r="D494"/>
          <cell r="E494"/>
          <cell r="F494"/>
          <cell r="G494"/>
          <cell r="H494"/>
          <cell r="I494"/>
          <cell r="J494"/>
          <cell r="K494"/>
          <cell r="L494" t="str">
            <v/>
          </cell>
        </row>
        <row r="495">
          <cell r="C495"/>
          <cell r="D495"/>
          <cell r="E495"/>
          <cell r="F495"/>
          <cell r="G495"/>
          <cell r="H495"/>
          <cell r="I495"/>
          <cell r="J495"/>
          <cell r="K495"/>
          <cell r="L495" t="str">
            <v/>
          </cell>
        </row>
        <row r="496">
          <cell r="C496"/>
          <cell r="D496"/>
          <cell r="E496"/>
          <cell r="F496"/>
          <cell r="G496"/>
          <cell r="H496"/>
          <cell r="I496"/>
          <cell r="J496"/>
          <cell r="K496"/>
          <cell r="L496" t="str">
            <v/>
          </cell>
        </row>
        <row r="497">
          <cell r="C497"/>
          <cell r="D497"/>
          <cell r="E497"/>
          <cell r="F497"/>
          <cell r="G497"/>
          <cell r="H497"/>
          <cell r="I497"/>
          <cell r="J497"/>
          <cell r="K497"/>
          <cell r="L497" t="str">
            <v/>
          </cell>
        </row>
        <row r="498">
          <cell r="C498"/>
          <cell r="D498"/>
          <cell r="E498"/>
          <cell r="F498"/>
          <cell r="G498"/>
          <cell r="H498"/>
          <cell r="I498"/>
          <cell r="J498"/>
          <cell r="K498"/>
          <cell r="L498" t="str">
            <v/>
          </cell>
        </row>
        <row r="499">
          <cell r="C499"/>
          <cell r="D499"/>
          <cell r="E499"/>
          <cell r="F499"/>
          <cell r="G499"/>
          <cell r="H499"/>
          <cell r="I499"/>
          <cell r="J499"/>
          <cell r="K499"/>
          <cell r="L499" t="str">
            <v/>
          </cell>
        </row>
        <row r="500">
          <cell r="C500"/>
          <cell r="D500"/>
          <cell r="E500"/>
          <cell r="F500"/>
          <cell r="G500"/>
          <cell r="H500"/>
          <cell r="I500"/>
          <cell r="J500"/>
          <cell r="K500"/>
          <cell r="L500" t="str">
            <v/>
          </cell>
        </row>
        <row r="501">
          <cell r="C501"/>
          <cell r="D501"/>
          <cell r="E501"/>
          <cell r="F501"/>
          <cell r="G501"/>
          <cell r="H501"/>
          <cell r="I501"/>
          <cell r="J501"/>
          <cell r="K501"/>
          <cell r="L501" t="str">
            <v/>
          </cell>
        </row>
        <row r="502">
          <cell r="C502"/>
          <cell r="D502"/>
          <cell r="E502"/>
          <cell r="F502"/>
          <cell r="G502"/>
          <cell r="H502"/>
          <cell r="I502"/>
          <cell r="J502"/>
          <cell r="K502"/>
          <cell r="L502" t="str">
            <v/>
          </cell>
        </row>
        <row r="503">
          <cell r="C503"/>
          <cell r="D503"/>
          <cell r="E503"/>
          <cell r="F503"/>
          <cell r="G503"/>
          <cell r="H503"/>
          <cell r="I503"/>
          <cell r="J503"/>
          <cell r="K503"/>
          <cell r="L503" t="str">
            <v/>
          </cell>
        </row>
        <row r="504">
          <cell r="C504"/>
          <cell r="D504"/>
          <cell r="E504"/>
          <cell r="F504"/>
          <cell r="G504"/>
          <cell r="H504"/>
          <cell r="I504"/>
          <cell r="J504"/>
          <cell r="K504"/>
          <cell r="L504" t="str">
            <v/>
          </cell>
        </row>
        <row r="505">
          <cell r="C505"/>
          <cell r="D505"/>
          <cell r="E505"/>
          <cell r="F505"/>
          <cell r="G505"/>
          <cell r="H505"/>
          <cell r="I505"/>
          <cell r="J505"/>
          <cell r="K505"/>
          <cell r="L505" t="str">
            <v/>
          </cell>
        </row>
        <row r="506">
          <cell r="C506"/>
          <cell r="D506"/>
          <cell r="E506"/>
          <cell r="F506"/>
          <cell r="G506"/>
          <cell r="H506"/>
          <cell r="I506"/>
          <cell r="J506"/>
          <cell r="K506"/>
          <cell r="L506" t="str">
            <v/>
          </cell>
        </row>
      </sheetData>
      <sheetData sheetId="7"/>
      <sheetData sheetId="8"/>
      <sheetData sheetId="9">
        <row r="2">
          <cell r="B2" t="str">
            <v>🔓</v>
          </cell>
          <cell r="C2" t="str">
            <v>Program</v>
          </cell>
          <cell r="I2">
            <v>1</v>
          </cell>
          <cell r="J2">
            <v>2</v>
          </cell>
          <cell r="K2">
            <v>3</v>
          </cell>
          <cell r="L2">
            <v>4</v>
          </cell>
          <cell r="M2">
            <v>5</v>
          </cell>
          <cell r="N2">
            <v>6</v>
          </cell>
          <cell r="O2">
            <v>7</v>
          </cell>
          <cell r="P2">
            <v>1</v>
          </cell>
          <cell r="Q2">
            <v>2</v>
          </cell>
          <cell r="R2">
            <v>3</v>
          </cell>
          <cell r="S2">
            <v>4</v>
          </cell>
          <cell r="T2">
            <v>5</v>
          </cell>
          <cell r="U2">
            <v>6</v>
          </cell>
          <cell r="V2">
            <v>7</v>
          </cell>
          <cell r="W2">
            <v>1</v>
          </cell>
          <cell r="X2">
            <v>2</v>
          </cell>
          <cell r="Y2">
            <v>3</v>
          </cell>
          <cell r="Z2">
            <v>4</v>
          </cell>
          <cell r="AA2">
            <v>5</v>
          </cell>
          <cell r="AB2">
            <v>6</v>
          </cell>
          <cell r="AC2">
            <v>7</v>
          </cell>
          <cell r="AD2">
            <v>1</v>
          </cell>
          <cell r="AE2">
            <v>2</v>
          </cell>
          <cell r="AF2">
            <v>3</v>
          </cell>
          <cell r="AG2">
            <v>4</v>
          </cell>
          <cell r="AH2">
            <v>5</v>
          </cell>
          <cell r="AI2">
            <v>6</v>
          </cell>
          <cell r="AJ2">
            <v>7</v>
          </cell>
          <cell r="AK2" t="e">
            <v>#REF!</v>
          </cell>
          <cell r="AL2" t="e">
            <v>#REF!</v>
          </cell>
          <cell r="AM2" t="e">
            <v>#REF!</v>
          </cell>
          <cell r="AN2" t="e">
            <v>#REF!</v>
          </cell>
          <cell r="AO2" t="e">
            <v>#REF!</v>
          </cell>
          <cell r="AP2" t="e">
            <v>#REF!</v>
          </cell>
          <cell r="AQ2" t="e">
            <v>#REF!</v>
          </cell>
          <cell r="AR2" t="e">
            <v>#REF!</v>
          </cell>
          <cell r="AS2" t="e">
            <v>#REF!</v>
          </cell>
          <cell r="AT2" t="e">
            <v>#REF!</v>
          </cell>
          <cell r="AU2" t="e">
            <v>#REF!</v>
          </cell>
          <cell r="AV2" t="e">
            <v>#REF!</v>
          </cell>
          <cell r="AW2" t="e">
            <v>#REF!</v>
          </cell>
          <cell r="AX2" t="e">
            <v>#REF!</v>
          </cell>
          <cell r="AY2" t="e">
            <v>#REF!</v>
          </cell>
          <cell r="AZ2" t="e">
            <v>#REF!</v>
          </cell>
          <cell r="BA2" t="e">
            <v>#REF!</v>
          </cell>
          <cell r="BB2" t="e">
            <v>#REF!</v>
          </cell>
          <cell r="BC2" t="e">
            <v>#REF!</v>
          </cell>
          <cell r="BD2" t="e">
            <v>#REF!</v>
          </cell>
          <cell r="BE2" t="e">
            <v>#REF!</v>
          </cell>
          <cell r="BF2" t="e">
            <v>#REF!</v>
          </cell>
          <cell r="BG2" t="e">
            <v>#REF!</v>
          </cell>
          <cell r="BH2" t="e">
            <v>#REF!</v>
          </cell>
          <cell r="BI2" t="e">
            <v>#REF!</v>
          </cell>
          <cell r="BJ2" t="e">
            <v>#REF!</v>
          </cell>
          <cell r="BK2" t="e">
            <v>#REF!</v>
          </cell>
          <cell r="BL2" t="e">
            <v>#REF!</v>
          </cell>
          <cell r="BM2" t="e">
            <v>#REF!</v>
          </cell>
          <cell r="BN2" t="e">
            <v>#REF!</v>
          </cell>
          <cell r="BO2" t="e">
            <v>#REF!</v>
          </cell>
          <cell r="BP2" t="e">
            <v>#REF!</v>
          </cell>
          <cell r="BQ2" t="e">
            <v>#REF!</v>
          </cell>
          <cell r="BR2" t="e">
            <v>#REF!</v>
          </cell>
          <cell r="BS2" t="e">
            <v>#REF!</v>
          </cell>
          <cell r="BT2" t="e">
            <v>#REF!</v>
          </cell>
          <cell r="BU2" t="e">
            <v>#REF!</v>
          </cell>
          <cell r="BV2" t="e">
            <v>#REF!</v>
          </cell>
          <cell r="BW2" t="e">
            <v>#REF!</v>
          </cell>
          <cell r="BX2" t="e">
            <v>#REF!</v>
          </cell>
          <cell r="BY2" t="e">
            <v>#REF!</v>
          </cell>
          <cell r="BZ2" t="e">
            <v>#REF!</v>
          </cell>
          <cell r="CA2" t="e">
            <v>#REF!</v>
          </cell>
          <cell r="CB2" t="e">
            <v>#REF!</v>
          </cell>
          <cell r="CC2" t="e">
            <v>#REF!</v>
          </cell>
          <cell r="CD2" t="e">
            <v>#REF!</v>
          </cell>
          <cell r="CE2" t="e">
            <v>#REF!</v>
          </cell>
          <cell r="CF2" t="e">
            <v>#REF!</v>
          </cell>
          <cell r="CG2" t="e">
            <v>#REF!</v>
          </cell>
          <cell r="CH2" t="e">
            <v>#REF!</v>
          </cell>
          <cell r="CI2" t="e">
            <v>#REF!</v>
          </cell>
          <cell r="CJ2" t="e">
            <v>#REF!</v>
          </cell>
          <cell r="CK2" t="e">
            <v>#REF!</v>
          </cell>
          <cell r="CL2" t="e">
            <v>#REF!</v>
          </cell>
          <cell r="CM2" t="e">
            <v>#REF!</v>
          </cell>
          <cell r="CN2" t="e">
            <v>#REF!</v>
          </cell>
          <cell r="CO2" t="e">
            <v>#REF!</v>
          </cell>
          <cell r="CP2" t="e">
            <v>#REF!</v>
          </cell>
          <cell r="CQ2" t="e">
            <v>#REF!</v>
          </cell>
          <cell r="CR2" t="e">
            <v>#REF!</v>
          </cell>
          <cell r="CS2" t="e">
            <v>#REF!</v>
          </cell>
          <cell r="CT2" t="e">
            <v>#REF!</v>
          </cell>
          <cell r="CU2" t="e">
            <v>#REF!</v>
          </cell>
          <cell r="CV2" t="e">
            <v>#REF!</v>
          </cell>
          <cell r="CW2" t="e">
            <v>#REF!</v>
          </cell>
          <cell r="CX2" t="e">
            <v>#REF!</v>
          </cell>
          <cell r="CY2" t="e">
            <v>#REF!</v>
          </cell>
          <cell r="CZ2" t="e">
            <v>#REF!</v>
          </cell>
          <cell r="DA2" t="e">
            <v>#REF!</v>
          </cell>
          <cell r="DB2" t="e">
            <v>#REF!</v>
          </cell>
          <cell r="DC2" t="e">
            <v>#REF!</v>
          </cell>
          <cell r="DD2" t="e">
            <v>#REF!</v>
          </cell>
          <cell r="DE2" t="e">
            <v>#REF!</v>
          </cell>
          <cell r="DF2" t="e">
            <v>#REF!</v>
          </cell>
          <cell r="DG2" t="e">
            <v>#REF!</v>
          </cell>
          <cell r="DH2" t="e">
            <v>#REF!</v>
          </cell>
          <cell r="DI2" t="e">
            <v>#REF!</v>
          </cell>
          <cell r="DJ2" t="e">
            <v>#REF!</v>
          </cell>
          <cell r="DK2" t="e">
            <v>#REF!</v>
          </cell>
          <cell r="DL2" t="e">
            <v>#REF!</v>
          </cell>
          <cell r="DM2" t="e">
            <v>#REF!</v>
          </cell>
          <cell r="DN2" t="e">
            <v>#REF!</v>
          </cell>
          <cell r="DO2" t="e">
            <v>#REF!</v>
          </cell>
          <cell r="DP2" t="e">
            <v>#REF!</v>
          </cell>
          <cell r="DQ2" t="e">
            <v>#REF!</v>
          </cell>
          <cell r="DR2" t="e">
            <v>#REF!</v>
          </cell>
          <cell r="DS2" t="e">
            <v>#REF!</v>
          </cell>
          <cell r="DT2" t="e">
            <v>#REF!</v>
          </cell>
          <cell r="DU2" t="e">
            <v>#REF!</v>
          </cell>
          <cell r="DV2" t="e">
            <v>#REF!</v>
          </cell>
          <cell r="DW2" t="e">
            <v>#REF!</v>
          </cell>
          <cell r="DX2" t="e">
            <v>#REF!</v>
          </cell>
          <cell r="DY2" t="e">
            <v>#REF!</v>
          </cell>
          <cell r="DZ2" t="e">
            <v>#REF!</v>
          </cell>
          <cell r="EA2" t="e">
            <v>#REF!</v>
          </cell>
          <cell r="EB2" t="e">
            <v>#REF!</v>
          </cell>
          <cell r="EC2" t="e">
            <v>#REF!</v>
          </cell>
          <cell r="ED2" t="e">
            <v>#REF!</v>
          </cell>
          <cell r="EE2" t="e">
            <v>#REF!</v>
          </cell>
          <cell r="EF2" t="e">
            <v>#REF!</v>
          </cell>
          <cell r="EG2" t="e">
            <v>#REF!</v>
          </cell>
          <cell r="EH2" t="e">
            <v>#REF!</v>
          </cell>
          <cell r="EI2" t="e">
            <v>#REF!</v>
          </cell>
          <cell r="EJ2" t="e">
            <v>#REF!</v>
          </cell>
          <cell r="EK2" t="e">
            <v>#REF!</v>
          </cell>
          <cell r="EL2" t="e">
            <v>#REF!</v>
          </cell>
          <cell r="EM2" t="e">
            <v>#REF!</v>
          </cell>
          <cell r="EN2" t="e">
            <v>#REF!</v>
          </cell>
          <cell r="EO2" t="e">
            <v>#REF!</v>
          </cell>
          <cell r="EP2" t="e">
            <v>#REF!</v>
          </cell>
          <cell r="EQ2" t="e">
            <v>#REF!</v>
          </cell>
          <cell r="ER2" t="e">
            <v>#REF!</v>
          </cell>
          <cell r="ES2" t="e">
            <v>#REF!</v>
          </cell>
          <cell r="ET2" t="e">
            <v>#REF!</v>
          </cell>
          <cell r="EU2" t="e">
            <v>#REF!</v>
          </cell>
          <cell r="EV2" t="e">
            <v>#REF!</v>
          </cell>
          <cell r="EW2" t="e">
            <v>#REF!</v>
          </cell>
          <cell r="EX2" t="e">
            <v>#REF!</v>
          </cell>
          <cell r="EY2" t="e">
            <v>#REF!</v>
          </cell>
          <cell r="EZ2" t="e">
            <v>#REF!</v>
          </cell>
          <cell r="FA2" t="e">
            <v>#REF!</v>
          </cell>
          <cell r="FB2" t="e">
            <v>#REF!</v>
          </cell>
          <cell r="FC2" t="e">
            <v>#REF!</v>
          </cell>
          <cell r="FD2" t="e">
            <v>#REF!</v>
          </cell>
          <cell r="FE2" t="e">
            <v>#REF!</v>
          </cell>
          <cell r="FF2" t="e">
            <v>#REF!</v>
          </cell>
          <cell r="FG2" t="e">
            <v>#REF!</v>
          </cell>
          <cell r="FH2" t="e">
            <v>#REF!</v>
          </cell>
          <cell r="FI2" t="e">
            <v>#REF!</v>
          </cell>
          <cell r="FJ2" t="e">
            <v>#REF!</v>
          </cell>
          <cell r="FK2" t="e">
            <v>#REF!</v>
          </cell>
          <cell r="FL2" t="e">
            <v>#REF!</v>
          </cell>
          <cell r="FM2" t="e">
            <v>#REF!</v>
          </cell>
          <cell r="FN2" t="e">
            <v>#REF!</v>
          </cell>
          <cell r="FO2" t="e">
            <v>#REF!</v>
          </cell>
          <cell r="FP2" t="e">
            <v>#REF!</v>
          </cell>
          <cell r="FQ2" t="e">
            <v>#REF!</v>
          </cell>
          <cell r="FR2" t="e">
            <v>#REF!</v>
          </cell>
          <cell r="FS2" t="e">
            <v>#REF!</v>
          </cell>
          <cell r="FT2" t="e">
            <v>#REF!</v>
          </cell>
          <cell r="FU2" t="e">
            <v>#REF!</v>
          </cell>
          <cell r="FV2" t="e">
            <v>#REF!</v>
          </cell>
          <cell r="FW2" t="e">
            <v>#REF!</v>
          </cell>
          <cell r="FX2" t="e">
            <v>#REF!</v>
          </cell>
          <cell r="FY2" t="e">
            <v>#REF!</v>
          </cell>
          <cell r="FZ2" t="e">
            <v>#REF!</v>
          </cell>
          <cell r="GA2" t="e">
            <v>#REF!</v>
          </cell>
          <cell r="GB2" t="e">
            <v>#REF!</v>
          </cell>
          <cell r="GC2" t="e">
            <v>#REF!</v>
          </cell>
          <cell r="GD2" t="e">
            <v>#REF!</v>
          </cell>
          <cell r="GE2" t="e">
            <v>#REF!</v>
          </cell>
          <cell r="GF2" t="e">
            <v>#REF!</v>
          </cell>
          <cell r="GG2" t="e">
            <v>#REF!</v>
          </cell>
          <cell r="GH2" t="e">
            <v>#REF!</v>
          </cell>
          <cell r="GI2" t="e">
            <v>#REF!</v>
          </cell>
          <cell r="GJ2" t="e">
            <v>#REF!</v>
          </cell>
          <cell r="GK2" t="e">
            <v>#REF!</v>
          </cell>
          <cell r="GL2" t="e">
            <v>#REF!</v>
          </cell>
          <cell r="GM2" t="e">
            <v>#REF!</v>
          </cell>
          <cell r="GN2" t="e">
            <v>#REF!</v>
          </cell>
          <cell r="GO2" t="e">
            <v>#REF!</v>
          </cell>
          <cell r="GP2" t="e">
            <v>#REF!</v>
          </cell>
          <cell r="GQ2" t="e">
            <v>#REF!</v>
          </cell>
          <cell r="GR2" t="e">
            <v>#REF!</v>
          </cell>
          <cell r="GS2" t="e">
            <v>#REF!</v>
          </cell>
          <cell r="GT2" t="e">
            <v>#REF!</v>
          </cell>
          <cell r="GU2" t="e">
            <v>#REF!</v>
          </cell>
          <cell r="GV2" t="e">
            <v>#REF!</v>
          </cell>
          <cell r="GW2" t="e">
            <v>#REF!</v>
          </cell>
          <cell r="GX2" t="e">
            <v>#REF!</v>
          </cell>
          <cell r="GY2" t="e">
            <v>#REF!</v>
          </cell>
          <cell r="GZ2" t="e">
            <v>#REF!</v>
          </cell>
          <cell r="HA2" t="e">
            <v>#REF!</v>
          </cell>
          <cell r="HB2" t="e">
            <v>#REF!</v>
          </cell>
          <cell r="HC2" t="e">
            <v>#REF!</v>
          </cell>
          <cell r="HD2" t="e">
            <v>#REF!</v>
          </cell>
          <cell r="HE2" t="e">
            <v>#REF!</v>
          </cell>
          <cell r="HF2" t="e">
            <v>#REF!</v>
          </cell>
          <cell r="HG2" t="e">
            <v>#REF!</v>
          </cell>
          <cell r="HH2" t="e">
            <v>#REF!</v>
          </cell>
          <cell r="HI2" t="e">
            <v>#REF!</v>
          </cell>
          <cell r="HJ2" t="e">
            <v>#REF!</v>
          </cell>
          <cell r="HK2" t="e">
            <v>#REF!</v>
          </cell>
          <cell r="HL2" t="e">
            <v>#REF!</v>
          </cell>
          <cell r="HM2" t="e">
            <v>#REF!</v>
          </cell>
          <cell r="HN2" t="e">
            <v>#REF!</v>
          </cell>
          <cell r="HO2" t="e">
            <v>#REF!</v>
          </cell>
          <cell r="HP2" t="e">
            <v>#REF!</v>
          </cell>
          <cell r="HQ2" t="e">
            <v>#REF!</v>
          </cell>
          <cell r="HR2" t="e">
            <v>#REF!</v>
          </cell>
          <cell r="HS2" t="e">
            <v>#REF!</v>
          </cell>
          <cell r="HT2" t="e">
            <v>#REF!</v>
          </cell>
          <cell r="HU2" t="e">
            <v>#REF!</v>
          </cell>
          <cell r="HV2" t="e">
            <v>#REF!</v>
          </cell>
          <cell r="HW2" t="e">
            <v>#REF!</v>
          </cell>
          <cell r="HX2" t="e">
            <v>#REF!</v>
          </cell>
          <cell r="HY2" t="e">
            <v>#REF!</v>
          </cell>
          <cell r="HZ2" t="e">
            <v>#REF!</v>
          </cell>
          <cell r="IA2" t="e">
            <v>#REF!</v>
          </cell>
          <cell r="IB2" t="e">
            <v>#REF!</v>
          </cell>
          <cell r="IC2" t="e">
            <v>#REF!</v>
          </cell>
          <cell r="ID2" t="e">
            <v>#REF!</v>
          </cell>
          <cell r="IE2" t="e">
            <v>#REF!</v>
          </cell>
          <cell r="IF2" t="e">
            <v>#REF!</v>
          </cell>
          <cell r="IG2" t="e">
            <v>#REF!</v>
          </cell>
          <cell r="IH2" t="e">
            <v>#REF!</v>
          </cell>
          <cell r="II2" t="e">
            <v>#REF!</v>
          </cell>
          <cell r="IJ2" t="e">
            <v>#REF!</v>
          </cell>
          <cell r="IK2" t="e">
            <v>#REF!</v>
          </cell>
          <cell r="IL2" t="e">
            <v>#REF!</v>
          </cell>
          <cell r="IM2" t="e">
            <v>#REF!</v>
          </cell>
          <cell r="IN2" t="e">
            <v>#REF!</v>
          </cell>
          <cell r="IO2" t="e">
            <v>#REF!</v>
          </cell>
          <cell r="IP2" t="e">
            <v>#REF!</v>
          </cell>
          <cell r="IQ2" t="e">
            <v>#REF!</v>
          </cell>
          <cell r="IR2" t="e">
            <v>#REF!</v>
          </cell>
          <cell r="IS2" t="e">
            <v>#REF!</v>
          </cell>
          <cell r="IT2" t="e">
            <v>#REF!</v>
          </cell>
          <cell r="IU2" t="e">
            <v>#REF!</v>
          </cell>
          <cell r="IV2" t="e">
            <v>#REF!</v>
          </cell>
          <cell r="IW2" t="e">
            <v>#REF!</v>
          </cell>
          <cell r="IX2" t="e">
            <v>#REF!</v>
          </cell>
          <cell r="IY2" t="e">
            <v>#REF!</v>
          </cell>
          <cell r="IZ2" t="e">
            <v>#REF!</v>
          </cell>
          <cell r="JA2" t="e">
            <v>#REF!</v>
          </cell>
          <cell r="JB2" t="e">
            <v>#REF!</v>
          </cell>
          <cell r="JC2" t="e">
            <v>#REF!</v>
          </cell>
          <cell r="JD2" t="e">
            <v>#REF!</v>
          </cell>
          <cell r="JE2" t="e">
            <v>#REF!</v>
          </cell>
          <cell r="JF2" t="e">
            <v>#REF!</v>
          </cell>
          <cell r="JG2" t="e">
            <v>#REF!</v>
          </cell>
          <cell r="JH2" t="e">
            <v>#REF!</v>
          </cell>
          <cell r="JI2" t="e">
            <v>#REF!</v>
          </cell>
          <cell r="JJ2" t="e">
            <v>#REF!</v>
          </cell>
          <cell r="JK2" t="e">
            <v>#REF!</v>
          </cell>
          <cell r="JL2" t="e">
            <v>#REF!</v>
          </cell>
          <cell r="JM2" t="e">
            <v>#REF!</v>
          </cell>
          <cell r="JN2" t="e">
            <v>#REF!</v>
          </cell>
          <cell r="JO2" t="e">
            <v>#REF!</v>
          </cell>
          <cell r="JP2" t="e">
            <v>#REF!</v>
          </cell>
          <cell r="JQ2" t="e">
            <v>#REF!</v>
          </cell>
          <cell r="JR2" t="e">
            <v>#REF!</v>
          </cell>
          <cell r="JS2" t="e">
            <v>#REF!</v>
          </cell>
          <cell r="JT2" t="e">
            <v>#REF!</v>
          </cell>
          <cell r="JU2" t="e">
            <v>#REF!</v>
          </cell>
          <cell r="JV2" t="e">
            <v>#REF!</v>
          </cell>
          <cell r="JW2" t="e">
            <v>#REF!</v>
          </cell>
          <cell r="JX2" t="e">
            <v>#REF!</v>
          </cell>
          <cell r="JY2" t="e">
            <v>#REF!</v>
          </cell>
          <cell r="JZ2" t="e">
            <v>#REF!</v>
          </cell>
          <cell r="KA2" t="e">
            <v>#REF!</v>
          </cell>
          <cell r="KB2" t="e">
            <v>#REF!</v>
          </cell>
          <cell r="KC2" t="e">
            <v>#REF!</v>
          </cell>
          <cell r="KD2" t="e">
            <v>#REF!</v>
          </cell>
          <cell r="KE2" t="e">
            <v>#REF!</v>
          </cell>
          <cell r="KF2" t="e">
            <v>#REF!</v>
          </cell>
          <cell r="KG2" t="e">
            <v>#REF!</v>
          </cell>
          <cell r="KH2" t="e">
            <v>#REF!</v>
          </cell>
          <cell r="KI2" t="e">
            <v>#REF!</v>
          </cell>
          <cell r="KJ2" t="e">
            <v>#REF!</v>
          </cell>
          <cell r="KK2" t="e">
            <v>#REF!</v>
          </cell>
          <cell r="KL2" t="e">
            <v>#REF!</v>
          </cell>
          <cell r="KM2" t="e">
            <v>#REF!</v>
          </cell>
          <cell r="KN2" t="e">
            <v>#REF!</v>
          </cell>
          <cell r="KO2" t="e">
            <v>#REF!</v>
          </cell>
          <cell r="KP2" t="e">
            <v>#REF!</v>
          </cell>
          <cell r="KQ2" t="e">
            <v>#REF!</v>
          </cell>
          <cell r="KR2" t="e">
            <v>#REF!</v>
          </cell>
          <cell r="KS2" t="e">
            <v>#REF!</v>
          </cell>
          <cell r="KT2" t="e">
            <v>#REF!</v>
          </cell>
          <cell r="KU2" t="e">
            <v>#REF!</v>
          </cell>
          <cell r="KV2" t="e">
            <v>#REF!</v>
          </cell>
        </row>
        <row r="3">
          <cell r="B3" t="str">
            <v>Sl. No.</v>
          </cell>
          <cell r="C3" t="str">
            <v>Code</v>
          </cell>
          <cell r="D3" t="str">
            <v>Name</v>
          </cell>
          <cell r="E3" t="str">
            <v>Count</v>
          </cell>
          <cell r="F3" t="str">
            <v>Single/
Group</v>
          </cell>
          <cell r="G3" t="str">
            <v>Stage/
Non-stg</v>
          </cell>
          <cell r="H3" t="str">
            <v>Section</v>
          </cell>
          <cell r="I3" t="str">
            <v>FANT</v>
          </cell>
          <cell r="J3" t="str">
            <v>FANT</v>
          </cell>
          <cell r="K3" t="str">
            <v>FANT</v>
          </cell>
          <cell r="L3" t="str">
            <v>FANT</v>
          </cell>
          <cell r="M3" t="str">
            <v>FANT</v>
          </cell>
          <cell r="N3" t="str">
            <v>FANT</v>
          </cell>
          <cell r="O3" t="str">
            <v>FANT</v>
          </cell>
          <cell r="P3" t="str">
            <v>DAHF</v>
          </cell>
          <cell r="Q3" t="str">
            <v>DAHF</v>
          </cell>
          <cell r="R3" t="str">
            <v>DAHF</v>
          </cell>
          <cell r="S3" t="str">
            <v>DAHF</v>
          </cell>
          <cell r="T3" t="str">
            <v>DAHF</v>
          </cell>
          <cell r="U3" t="str">
            <v>DAHF</v>
          </cell>
          <cell r="V3" t="str">
            <v>DAHF</v>
          </cell>
          <cell r="W3" t="str">
            <v>BADF</v>
          </cell>
          <cell r="X3" t="str">
            <v>BADF</v>
          </cell>
          <cell r="Y3" t="str">
            <v>BADF</v>
          </cell>
          <cell r="Z3" t="str">
            <v>BADF</v>
          </cell>
          <cell r="AA3" t="str">
            <v>BADF</v>
          </cell>
          <cell r="AB3" t="str">
            <v>BADF</v>
          </cell>
          <cell r="AC3" t="str">
            <v>BADF</v>
          </cell>
          <cell r="AD3" t="str">
            <v>JARF</v>
          </cell>
          <cell r="AE3" t="str">
            <v>JARF</v>
          </cell>
          <cell r="AF3" t="str">
            <v>JARF</v>
          </cell>
          <cell r="AG3" t="str">
            <v>JARF</v>
          </cell>
          <cell r="AH3" t="str">
            <v>JARF</v>
          </cell>
          <cell r="AI3" t="str">
            <v>JARF</v>
          </cell>
          <cell r="AJ3" t="str">
            <v>JARF</v>
          </cell>
          <cell r="AK3" t="e">
            <v>#REF!</v>
          </cell>
          <cell r="AL3" t="e">
            <v>#REF!</v>
          </cell>
          <cell r="AM3" t="e">
            <v>#REF!</v>
          </cell>
          <cell r="AN3" t="e">
            <v>#REF!</v>
          </cell>
          <cell r="AO3" t="e">
            <v>#REF!</v>
          </cell>
          <cell r="AP3" t="e">
            <v>#REF!</v>
          </cell>
          <cell r="AQ3" t="e">
            <v>#REF!</v>
          </cell>
          <cell r="AR3" t="e">
            <v>#REF!</v>
          </cell>
          <cell r="AS3" t="e">
            <v>#REF!</v>
          </cell>
          <cell r="AT3" t="e">
            <v>#REF!</v>
          </cell>
          <cell r="AU3" t="e">
            <v>#REF!</v>
          </cell>
          <cell r="AV3" t="e">
            <v>#REF!</v>
          </cell>
          <cell r="AW3" t="e">
            <v>#REF!</v>
          </cell>
          <cell r="AX3" t="e">
            <v>#REF!</v>
          </cell>
          <cell r="AY3" t="e">
            <v>#REF!</v>
          </cell>
          <cell r="AZ3" t="e">
            <v>#REF!</v>
          </cell>
          <cell r="BA3" t="e">
            <v>#REF!</v>
          </cell>
          <cell r="BB3" t="e">
            <v>#REF!</v>
          </cell>
          <cell r="BC3" t="e">
            <v>#REF!</v>
          </cell>
          <cell r="BD3" t="e">
            <v>#REF!</v>
          </cell>
          <cell r="BE3" t="e">
            <v>#REF!</v>
          </cell>
          <cell r="BF3" t="e">
            <v>#REF!</v>
          </cell>
          <cell r="BG3" t="e">
            <v>#REF!</v>
          </cell>
          <cell r="BH3" t="e">
            <v>#REF!</v>
          </cell>
          <cell r="BI3" t="e">
            <v>#REF!</v>
          </cell>
          <cell r="BJ3" t="e">
            <v>#REF!</v>
          </cell>
          <cell r="BK3" t="e">
            <v>#REF!</v>
          </cell>
          <cell r="BL3" t="e">
            <v>#REF!</v>
          </cell>
          <cell r="BM3" t="e">
            <v>#REF!</v>
          </cell>
          <cell r="BN3" t="e">
            <v>#REF!</v>
          </cell>
          <cell r="BO3" t="e">
            <v>#REF!</v>
          </cell>
          <cell r="BP3" t="e">
            <v>#REF!</v>
          </cell>
          <cell r="BQ3" t="e">
            <v>#REF!</v>
          </cell>
          <cell r="BR3" t="e">
            <v>#REF!</v>
          </cell>
          <cell r="BS3" t="e">
            <v>#REF!</v>
          </cell>
          <cell r="BT3" t="e">
            <v>#REF!</v>
          </cell>
          <cell r="BU3" t="e">
            <v>#REF!</v>
          </cell>
          <cell r="BV3" t="e">
            <v>#REF!</v>
          </cell>
          <cell r="BW3" t="e">
            <v>#REF!</v>
          </cell>
          <cell r="BX3" t="e">
            <v>#REF!</v>
          </cell>
          <cell r="BY3" t="e">
            <v>#REF!</v>
          </cell>
          <cell r="BZ3" t="e">
            <v>#REF!</v>
          </cell>
          <cell r="CA3" t="e">
            <v>#REF!</v>
          </cell>
          <cell r="CB3" t="e">
            <v>#REF!</v>
          </cell>
          <cell r="CC3" t="e">
            <v>#REF!</v>
          </cell>
          <cell r="CD3" t="e">
            <v>#REF!</v>
          </cell>
          <cell r="CE3" t="e">
            <v>#REF!</v>
          </cell>
          <cell r="CF3" t="e">
            <v>#REF!</v>
          </cell>
          <cell r="CG3" t="e">
            <v>#REF!</v>
          </cell>
          <cell r="CH3" t="e">
            <v>#REF!</v>
          </cell>
          <cell r="CI3" t="e">
            <v>#REF!</v>
          </cell>
          <cell r="CJ3" t="e">
            <v>#REF!</v>
          </cell>
          <cell r="CK3" t="e">
            <v>#REF!</v>
          </cell>
          <cell r="CL3" t="e">
            <v>#REF!</v>
          </cell>
          <cell r="CM3" t="e">
            <v>#REF!</v>
          </cell>
          <cell r="CN3" t="e">
            <v>#REF!</v>
          </cell>
          <cell r="CO3" t="e">
            <v>#REF!</v>
          </cell>
          <cell r="CP3" t="e">
            <v>#REF!</v>
          </cell>
          <cell r="CQ3" t="e">
            <v>#REF!</v>
          </cell>
          <cell r="CR3" t="e">
            <v>#REF!</v>
          </cell>
          <cell r="CS3" t="e">
            <v>#REF!</v>
          </cell>
          <cell r="CT3" t="e">
            <v>#REF!</v>
          </cell>
          <cell r="CU3" t="e">
            <v>#REF!</v>
          </cell>
          <cell r="CV3" t="e">
            <v>#REF!</v>
          </cell>
          <cell r="CW3" t="e">
            <v>#REF!</v>
          </cell>
          <cell r="CX3" t="e">
            <v>#REF!</v>
          </cell>
          <cell r="CY3" t="e">
            <v>#REF!</v>
          </cell>
          <cell r="CZ3" t="e">
            <v>#REF!</v>
          </cell>
          <cell r="DA3" t="e">
            <v>#REF!</v>
          </cell>
          <cell r="DB3" t="e">
            <v>#REF!</v>
          </cell>
          <cell r="DC3" t="e">
            <v>#REF!</v>
          </cell>
          <cell r="DD3" t="e">
            <v>#REF!</v>
          </cell>
          <cell r="DE3" t="e">
            <v>#REF!</v>
          </cell>
          <cell r="DF3" t="e">
            <v>#REF!</v>
          </cell>
          <cell r="DG3" t="e">
            <v>#REF!</v>
          </cell>
          <cell r="DH3" t="e">
            <v>#REF!</v>
          </cell>
          <cell r="DI3" t="e">
            <v>#REF!</v>
          </cell>
          <cell r="DJ3" t="e">
            <v>#REF!</v>
          </cell>
          <cell r="DK3" t="e">
            <v>#REF!</v>
          </cell>
          <cell r="DL3" t="e">
            <v>#REF!</v>
          </cell>
          <cell r="DM3" t="e">
            <v>#REF!</v>
          </cell>
          <cell r="DN3" t="e">
            <v>#REF!</v>
          </cell>
          <cell r="DO3" t="e">
            <v>#REF!</v>
          </cell>
          <cell r="DP3" t="e">
            <v>#REF!</v>
          </cell>
          <cell r="DQ3" t="e">
            <v>#REF!</v>
          </cell>
          <cell r="DR3" t="e">
            <v>#REF!</v>
          </cell>
          <cell r="DS3" t="e">
            <v>#REF!</v>
          </cell>
          <cell r="DT3" t="e">
            <v>#REF!</v>
          </cell>
          <cell r="DU3" t="e">
            <v>#REF!</v>
          </cell>
          <cell r="DV3" t="e">
            <v>#REF!</v>
          </cell>
          <cell r="DW3" t="e">
            <v>#REF!</v>
          </cell>
          <cell r="DX3" t="e">
            <v>#REF!</v>
          </cell>
          <cell r="DY3" t="e">
            <v>#REF!</v>
          </cell>
          <cell r="DZ3" t="e">
            <v>#REF!</v>
          </cell>
          <cell r="EA3" t="e">
            <v>#REF!</v>
          </cell>
          <cell r="EB3" t="e">
            <v>#REF!</v>
          </cell>
          <cell r="EC3" t="e">
            <v>#REF!</v>
          </cell>
          <cell r="ED3" t="e">
            <v>#REF!</v>
          </cell>
          <cell r="EE3" t="e">
            <v>#REF!</v>
          </cell>
          <cell r="EF3" t="e">
            <v>#REF!</v>
          </cell>
          <cell r="EG3" t="e">
            <v>#REF!</v>
          </cell>
          <cell r="EH3" t="e">
            <v>#REF!</v>
          </cell>
          <cell r="EI3" t="e">
            <v>#REF!</v>
          </cell>
          <cell r="EJ3" t="e">
            <v>#REF!</v>
          </cell>
          <cell r="EK3" t="e">
            <v>#REF!</v>
          </cell>
          <cell r="EL3" t="e">
            <v>#REF!</v>
          </cell>
          <cell r="EM3" t="e">
            <v>#REF!</v>
          </cell>
          <cell r="EN3" t="e">
            <v>#REF!</v>
          </cell>
          <cell r="EO3" t="e">
            <v>#REF!</v>
          </cell>
          <cell r="EP3" t="e">
            <v>#REF!</v>
          </cell>
          <cell r="EQ3" t="e">
            <v>#REF!</v>
          </cell>
          <cell r="ER3" t="e">
            <v>#REF!</v>
          </cell>
          <cell r="ES3" t="e">
            <v>#REF!</v>
          </cell>
          <cell r="ET3" t="e">
            <v>#REF!</v>
          </cell>
          <cell r="EU3" t="e">
            <v>#REF!</v>
          </cell>
          <cell r="EV3" t="e">
            <v>#REF!</v>
          </cell>
          <cell r="EW3" t="e">
            <v>#REF!</v>
          </cell>
          <cell r="EX3" t="e">
            <v>#REF!</v>
          </cell>
          <cell r="EY3" t="e">
            <v>#REF!</v>
          </cell>
          <cell r="EZ3" t="e">
            <v>#REF!</v>
          </cell>
          <cell r="FA3" t="e">
            <v>#REF!</v>
          </cell>
          <cell r="FB3" t="e">
            <v>#REF!</v>
          </cell>
          <cell r="FC3" t="e">
            <v>#REF!</v>
          </cell>
          <cell r="FD3" t="e">
            <v>#REF!</v>
          </cell>
          <cell r="FE3" t="e">
            <v>#REF!</v>
          </cell>
          <cell r="FF3" t="e">
            <v>#REF!</v>
          </cell>
          <cell r="FG3" t="e">
            <v>#REF!</v>
          </cell>
          <cell r="FH3" t="e">
            <v>#REF!</v>
          </cell>
          <cell r="FI3" t="e">
            <v>#REF!</v>
          </cell>
          <cell r="FJ3" t="e">
            <v>#REF!</v>
          </cell>
          <cell r="FK3" t="e">
            <v>#REF!</v>
          </cell>
          <cell r="FL3" t="e">
            <v>#REF!</v>
          </cell>
          <cell r="FM3" t="e">
            <v>#REF!</v>
          </cell>
          <cell r="FN3" t="e">
            <v>#REF!</v>
          </cell>
          <cell r="FO3" t="e">
            <v>#REF!</v>
          </cell>
          <cell r="FP3" t="e">
            <v>#REF!</v>
          </cell>
          <cell r="FQ3" t="e">
            <v>#REF!</v>
          </cell>
          <cell r="FR3" t="e">
            <v>#REF!</v>
          </cell>
          <cell r="FS3" t="e">
            <v>#REF!</v>
          </cell>
          <cell r="FT3" t="e">
            <v>#REF!</v>
          </cell>
          <cell r="FU3" t="e">
            <v>#REF!</v>
          </cell>
          <cell r="FV3" t="e">
            <v>#REF!</v>
          </cell>
          <cell r="FW3" t="e">
            <v>#REF!</v>
          </cell>
          <cell r="FX3" t="e">
            <v>#REF!</v>
          </cell>
          <cell r="FY3" t="e">
            <v>#REF!</v>
          </cell>
          <cell r="FZ3" t="e">
            <v>#REF!</v>
          </cell>
          <cell r="GA3" t="e">
            <v>#REF!</v>
          </cell>
          <cell r="GB3" t="e">
            <v>#REF!</v>
          </cell>
          <cell r="GC3" t="e">
            <v>#REF!</v>
          </cell>
          <cell r="GD3" t="e">
            <v>#REF!</v>
          </cell>
          <cell r="GE3" t="e">
            <v>#REF!</v>
          </cell>
          <cell r="GF3" t="e">
            <v>#REF!</v>
          </cell>
          <cell r="GG3" t="e">
            <v>#REF!</v>
          </cell>
          <cell r="GH3" t="e">
            <v>#REF!</v>
          </cell>
          <cell r="GI3" t="e">
            <v>#REF!</v>
          </cell>
          <cell r="GJ3" t="e">
            <v>#REF!</v>
          </cell>
          <cell r="GK3" t="e">
            <v>#REF!</v>
          </cell>
          <cell r="GL3" t="e">
            <v>#REF!</v>
          </cell>
          <cell r="GM3" t="e">
            <v>#REF!</v>
          </cell>
          <cell r="GN3" t="e">
            <v>#REF!</v>
          </cell>
          <cell r="GO3" t="e">
            <v>#REF!</v>
          </cell>
          <cell r="GP3" t="e">
            <v>#REF!</v>
          </cell>
          <cell r="GQ3" t="e">
            <v>#REF!</v>
          </cell>
          <cell r="GR3" t="e">
            <v>#REF!</v>
          </cell>
          <cell r="GS3" t="e">
            <v>#REF!</v>
          </cell>
          <cell r="GT3" t="e">
            <v>#REF!</v>
          </cell>
          <cell r="GU3" t="e">
            <v>#REF!</v>
          </cell>
          <cell r="GV3" t="e">
            <v>#REF!</v>
          </cell>
          <cell r="GW3" t="e">
            <v>#REF!</v>
          </cell>
          <cell r="GX3" t="e">
            <v>#REF!</v>
          </cell>
          <cell r="GY3" t="e">
            <v>#REF!</v>
          </cell>
          <cell r="GZ3" t="e">
            <v>#REF!</v>
          </cell>
          <cell r="HA3" t="e">
            <v>#REF!</v>
          </cell>
          <cell r="HB3" t="e">
            <v>#REF!</v>
          </cell>
          <cell r="HC3" t="e">
            <v>#REF!</v>
          </cell>
          <cell r="HD3" t="e">
            <v>#REF!</v>
          </cell>
          <cell r="HE3" t="e">
            <v>#REF!</v>
          </cell>
          <cell r="HF3" t="e">
            <v>#REF!</v>
          </cell>
          <cell r="HG3" t="e">
            <v>#REF!</v>
          </cell>
          <cell r="HH3" t="e">
            <v>#REF!</v>
          </cell>
          <cell r="HI3" t="e">
            <v>#REF!</v>
          </cell>
          <cell r="HJ3" t="e">
            <v>#REF!</v>
          </cell>
          <cell r="HK3" t="e">
            <v>#REF!</v>
          </cell>
          <cell r="HL3" t="e">
            <v>#REF!</v>
          </cell>
          <cell r="HM3" t="e">
            <v>#REF!</v>
          </cell>
          <cell r="HN3" t="e">
            <v>#REF!</v>
          </cell>
          <cell r="HO3" t="e">
            <v>#REF!</v>
          </cell>
          <cell r="HP3" t="e">
            <v>#REF!</v>
          </cell>
          <cell r="HQ3" t="e">
            <v>#REF!</v>
          </cell>
          <cell r="HR3" t="e">
            <v>#REF!</v>
          </cell>
          <cell r="HS3" t="e">
            <v>#REF!</v>
          </cell>
          <cell r="HT3" t="e">
            <v>#REF!</v>
          </cell>
          <cell r="HU3" t="e">
            <v>#REF!</v>
          </cell>
          <cell r="HV3" t="e">
            <v>#REF!</v>
          </cell>
          <cell r="HW3" t="e">
            <v>#REF!</v>
          </cell>
          <cell r="HX3" t="e">
            <v>#REF!</v>
          </cell>
          <cell r="HY3" t="e">
            <v>#REF!</v>
          </cell>
          <cell r="HZ3" t="e">
            <v>#REF!</v>
          </cell>
          <cell r="IA3" t="e">
            <v>#REF!</v>
          </cell>
          <cell r="IB3" t="e">
            <v>#REF!</v>
          </cell>
          <cell r="IC3" t="e">
            <v>#REF!</v>
          </cell>
          <cell r="ID3" t="e">
            <v>#REF!</v>
          </cell>
          <cell r="IE3" t="e">
            <v>#REF!</v>
          </cell>
          <cell r="IF3" t="e">
            <v>#REF!</v>
          </cell>
          <cell r="IG3" t="e">
            <v>#REF!</v>
          </cell>
          <cell r="IH3" t="e">
            <v>#REF!</v>
          </cell>
          <cell r="II3" t="e">
            <v>#REF!</v>
          </cell>
          <cell r="IJ3" t="e">
            <v>#REF!</v>
          </cell>
          <cell r="IK3" t="e">
            <v>#REF!</v>
          </cell>
          <cell r="IL3" t="e">
            <v>#REF!</v>
          </cell>
          <cell r="IM3" t="e">
            <v>#REF!</v>
          </cell>
          <cell r="IN3" t="e">
            <v>#REF!</v>
          </cell>
          <cell r="IO3" t="e">
            <v>#REF!</v>
          </cell>
          <cell r="IP3" t="e">
            <v>#REF!</v>
          </cell>
          <cell r="IQ3" t="e">
            <v>#REF!</v>
          </cell>
          <cell r="IR3" t="e">
            <v>#REF!</v>
          </cell>
          <cell r="IS3" t="e">
            <v>#REF!</v>
          </cell>
          <cell r="IT3" t="e">
            <v>#REF!</v>
          </cell>
          <cell r="IU3" t="e">
            <v>#REF!</v>
          </cell>
          <cell r="IV3" t="e">
            <v>#REF!</v>
          </cell>
          <cell r="IW3" t="e">
            <v>#REF!</v>
          </cell>
          <cell r="IX3" t="e">
            <v>#REF!</v>
          </cell>
          <cell r="IY3" t="e">
            <v>#REF!</v>
          </cell>
          <cell r="IZ3" t="e">
            <v>#REF!</v>
          </cell>
          <cell r="JA3" t="e">
            <v>#REF!</v>
          </cell>
          <cell r="JB3" t="e">
            <v>#REF!</v>
          </cell>
          <cell r="JC3" t="e">
            <v>#REF!</v>
          </cell>
          <cell r="JD3" t="e">
            <v>#REF!</v>
          </cell>
          <cell r="JE3" t="e">
            <v>#REF!</v>
          </cell>
          <cell r="JF3" t="e">
            <v>#REF!</v>
          </cell>
          <cell r="JG3" t="e">
            <v>#REF!</v>
          </cell>
          <cell r="JH3" t="e">
            <v>#REF!</v>
          </cell>
          <cell r="JI3" t="e">
            <v>#REF!</v>
          </cell>
          <cell r="JJ3" t="e">
            <v>#REF!</v>
          </cell>
          <cell r="JK3" t="e">
            <v>#REF!</v>
          </cell>
          <cell r="JL3" t="e">
            <v>#REF!</v>
          </cell>
          <cell r="JM3" t="e">
            <v>#REF!</v>
          </cell>
          <cell r="JN3" t="e">
            <v>#REF!</v>
          </cell>
          <cell r="JO3" t="e">
            <v>#REF!</v>
          </cell>
          <cell r="JP3" t="e">
            <v>#REF!</v>
          </cell>
          <cell r="JQ3" t="e">
            <v>#REF!</v>
          </cell>
          <cell r="JR3" t="e">
            <v>#REF!</v>
          </cell>
          <cell r="JS3" t="e">
            <v>#REF!</v>
          </cell>
          <cell r="JT3" t="e">
            <v>#REF!</v>
          </cell>
          <cell r="JU3" t="e">
            <v>#REF!</v>
          </cell>
          <cell r="JV3" t="e">
            <v>#REF!</v>
          </cell>
          <cell r="JW3" t="e">
            <v>#REF!</v>
          </cell>
          <cell r="JX3" t="e">
            <v>#REF!</v>
          </cell>
          <cell r="JY3" t="e">
            <v>#REF!</v>
          </cell>
          <cell r="JZ3" t="e">
            <v>#REF!</v>
          </cell>
          <cell r="KA3" t="e">
            <v>#REF!</v>
          </cell>
          <cell r="KB3" t="e">
            <v>#REF!</v>
          </cell>
          <cell r="KC3" t="e">
            <v>#REF!</v>
          </cell>
          <cell r="KD3" t="e">
            <v>#REF!</v>
          </cell>
          <cell r="KE3" t="e">
            <v>#REF!</v>
          </cell>
          <cell r="KF3" t="e">
            <v>#REF!</v>
          </cell>
          <cell r="KG3" t="e">
            <v>#REF!</v>
          </cell>
          <cell r="KH3" t="e">
            <v>#REF!</v>
          </cell>
          <cell r="KI3" t="e">
            <v>#REF!</v>
          </cell>
          <cell r="KJ3" t="e">
            <v>#REF!</v>
          </cell>
          <cell r="KK3" t="e">
            <v>#REF!</v>
          </cell>
          <cell r="KL3" t="e">
            <v>#REF!</v>
          </cell>
          <cell r="KM3" t="e">
            <v>#REF!</v>
          </cell>
          <cell r="KN3" t="e">
            <v>#REF!</v>
          </cell>
          <cell r="KO3" t="e">
            <v>#REF!</v>
          </cell>
          <cell r="KP3" t="e">
            <v>#REF!</v>
          </cell>
          <cell r="KQ3" t="e">
            <v>#REF!</v>
          </cell>
          <cell r="KR3" t="e">
            <v>#REF!</v>
          </cell>
          <cell r="KS3" t="e">
            <v>#REF!</v>
          </cell>
          <cell r="KT3" t="e">
            <v>#REF!</v>
          </cell>
          <cell r="KU3" t="e">
            <v>#REF!</v>
          </cell>
          <cell r="KV3" t="e">
            <v>#REF!</v>
          </cell>
        </row>
        <row r="4">
          <cell r="I4" t="str">
            <v>FANT_1</v>
          </cell>
          <cell r="J4" t="str">
            <v>FANT_2</v>
          </cell>
          <cell r="K4" t="str">
            <v>FANT_3</v>
          </cell>
          <cell r="L4" t="str">
            <v>FANT_4</v>
          </cell>
          <cell r="M4" t="str">
            <v>FANT_5</v>
          </cell>
          <cell r="N4" t="str">
            <v>FANT_6</v>
          </cell>
          <cell r="O4" t="str">
            <v>FANT_7</v>
          </cell>
          <cell r="P4" t="str">
            <v>DAHF_1</v>
          </cell>
          <cell r="Q4" t="str">
            <v>DAHF_2</v>
          </cell>
          <cell r="R4" t="str">
            <v>DAHF_3</v>
          </cell>
          <cell r="S4" t="str">
            <v>DAHF_4</v>
          </cell>
          <cell r="T4" t="str">
            <v>DAHF_5</v>
          </cell>
          <cell r="U4" t="str">
            <v>DAHF_6</v>
          </cell>
          <cell r="V4" t="str">
            <v>DAHF_7</v>
          </cell>
          <cell r="W4" t="str">
            <v>BADF_1</v>
          </cell>
          <cell r="X4" t="str">
            <v>BADF_2</v>
          </cell>
          <cell r="Y4" t="str">
            <v>BADF_3</v>
          </cell>
          <cell r="Z4" t="str">
            <v>BADF_4</v>
          </cell>
          <cell r="AA4" t="str">
            <v>BADF_5</v>
          </cell>
          <cell r="AB4" t="str">
            <v>BADF_6</v>
          </cell>
          <cell r="AC4" t="str">
            <v>BADF_7</v>
          </cell>
          <cell r="AD4" t="str">
            <v>JARF_1</v>
          </cell>
          <cell r="AE4" t="str">
            <v>JARF_2</v>
          </cell>
          <cell r="AF4" t="str">
            <v>JARF_3</v>
          </cell>
          <cell r="AG4" t="str">
            <v>JARF_4</v>
          </cell>
          <cell r="AH4" t="str">
            <v>JARF_5</v>
          </cell>
          <cell r="AI4" t="str">
            <v>JARF_6</v>
          </cell>
          <cell r="AJ4" t="str">
            <v>JARF_7</v>
          </cell>
          <cell r="AK4" t="e">
            <v>#REF!</v>
          </cell>
          <cell r="AL4" t="e">
            <v>#REF!</v>
          </cell>
          <cell r="AM4" t="e">
            <v>#REF!</v>
          </cell>
          <cell r="AN4" t="e">
            <v>#REF!</v>
          </cell>
          <cell r="AO4" t="e">
            <v>#REF!</v>
          </cell>
          <cell r="AP4" t="e">
            <v>#REF!</v>
          </cell>
          <cell r="AQ4" t="e">
            <v>#REF!</v>
          </cell>
          <cell r="AR4" t="e">
            <v>#REF!</v>
          </cell>
          <cell r="AS4" t="e">
            <v>#REF!</v>
          </cell>
          <cell r="AT4" t="e">
            <v>#REF!</v>
          </cell>
          <cell r="AU4" t="e">
            <v>#REF!</v>
          </cell>
          <cell r="AV4" t="e">
            <v>#REF!</v>
          </cell>
          <cell r="AW4" t="e">
            <v>#REF!</v>
          </cell>
          <cell r="AX4" t="e">
            <v>#REF!</v>
          </cell>
          <cell r="AY4" t="e">
            <v>#REF!</v>
          </cell>
          <cell r="AZ4" t="e">
            <v>#REF!</v>
          </cell>
          <cell r="BA4" t="e">
            <v>#REF!</v>
          </cell>
          <cell r="BB4" t="e">
            <v>#REF!</v>
          </cell>
          <cell r="BC4" t="e">
            <v>#REF!</v>
          </cell>
          <cell r="BD4" t="e">
            <v>#REF!</v>
          </cell>
          <cell r="BE4" t="e">
            <v>#REF!</v>
          </cell>
          <cell r="BF4" t="e">
            <v>#REF!</v>
          </cell>
          <cell r="BG4" t="e">
            <v>#REF!</v>
          </cell>
          <cell r="BH4" t="e">
            <v>#REF!</v>
          </cell>
          <cell r="BI4" t="e">
            <v>#REF!</v>
          </cell>
          <cell r="BJ4" t="e">
            <v>#REF!</v>
          </cell>
          <cell r="BK4" t="e">
            <v>#REF!</v>
          </cell>
          <cell r="BL4" t="e">
            <v>#REF!</v>
          </cell>
          <cell r="BM4" t="e">
            <v>#REF!</v>
          </cell>
          <cell r="BN4" t="e">
            <v>#REF!</v>
          </cell>
          <cell r="BO4" t="e">
            <v>#REF!</v>
          </cell>
          <cell r="BP4" t="e">
            <v>#REF!</v>
          </cell>
          <cell r="BQ4" t="e">
            <v>#REF!</v>
          </cell>
          <cell r="BR4" t="e">
            <v>#REF!</v>
          </cell>
          <cell r="BS4" t="e">
            <v>#REF!</v>
          </cell>
          <cell r="BT4" t="e">
            <v>#REF!</v>
          </cell>
          <cell r="BU4" t="e">
            <v>#REF!</v>
          </cell>
          <cell r="BV4" t="e">
            <v>#REF!</v>
          </cell>
          <cell r="BW4" t="e">
            <v>#REF!</v>
          </cell>
          <cell r="BX4" t="e">
            <v>#REF!</v>
          </cell>
          <cell r="BY4" t="e">
            <v>#REF!</v>
          </cell>
          <cell r="BZ4" t="e">
            <v>#REF!</v>
          </cell>
          <cell r="CA4" t="e">
            <v>#REF!</v>
          </cell>
          <cell r="CB4" t="e">
            <v>#REF!</v>
          </cell>
          <cell r="CC4" t="e">
            <v>#REF!</v>
          </cell>
          <cell r="CD4" t="e">
            <v>#REF!</v>
          </cell>
          <cell r="CE4" t="e">
            <v>#REF!</v>
          </cell>
          <cell r="CF4" t="e">
            <v>#REF!</v>
          </cell>
          <cell r="CG4" t="e">
            <v>#REF!</v>
          </cell>
          <cell r="CH4" t="e">
            <v>#REF!</v>
          </cell>
          <cell r="CI4" t="e">
            <v>#REF!</v>
          </cell>
          <cell r="CJ4" t="e">
            <v>#REF!</v>
          </cell>
          <cell r="CK4" t="e">
            <v>#REF!</v>
          </cell>
          <cell r="CL4" t="e">
            <v>#REF!</v>
          </cell>
          <cell r="CM4" t="e">
            <v>#REF!</v>
          </cell>
          <cell r="CN4" t="e">
            <v>#REF!</v>
          </cell>
          <cell r="CO4" t="e">
            <v>#REF!</v>
          </cell>
          <cell r="CP4" t="e">
            <v>#REF!</v>
          </cell>
          <cell r="CQ4" t="e">
            <v>#REF!</v>
          </cell>
          <cell r="CR4" t="e">
            <v>#REF!</v>
          </cell>
          <cell r="CS4" t="e">
            <v>#REF!</v>
          </cell>
          <cell r="CT4" t="e">
            <v>#REF!</v>
          </cell>
          <cell r="CU4" t="e">
            <v>#REF!</v>
          </cell>
          <cell r="CV4" t="e">
            <v>#REF!</v>
          </cell>
          <cell r="CW4" t="e">
            <v>#REF!</v>
          </cell>
          <cell r="CX4" t="e">
            <v>#REF!</v>
          </cell>
          <cell r="CY4" t="e">
            <v>#REF!</v>
          </cell>
          <cell r="CZ4" t="e">
            <v>#REF!</v>
          </cell>
          <cell r="DA4" t="e">
            <v>#REF!</v>
          </cell>
          <cell r="DB4" t="e">
            <v>#REF!</v>
          </cell>
          <cell r="DC4" t="e">
            <v>#REF!</v>
          </cell>
          <cell r="DD4" t="e">
            <v>#REF!</v>
          </cell>
          <cell r="DE4" t="e">
            <v>#REF!</v>
          </cell>
          <cell r="DF4" t="e">
            <v>#REF!</v>
          </cell>
          <cell r="DG4" t="e">
            <v>#REF!</v>
          </cell>
          <cell r="DH4" t="e">
            <v>#REF!</v>
          </cell>
          <cell r="DI4" t="e">
            <v>#REF!</v>
          </cell>
          <cell r="DJ4" t="e">
            <v>#REF!</v>
          </cell>
          <cell r="DK4" t="e">
            <v>#REF!</v>
          </cell>
          <cell r="DL4" t="e">
            <v>#REF!</v>
          </cell>
          <cell r="DM4" t="e">
            <v>#REF!</v>
          </cell>
          <cell r="DN4" t="e">
            <v>#REF!</v>
          </cell>
          <cell r="DO4" t="e">
            <v>#REF!</v>
          </cell>
          <cell r="DP4" t="e">
            <v>#REF!</v>
          </cell>
          <cell r="DQ4" t="e">
            <v>#REF!</v>
          </cell>
          <cell r="DR4" t="e">
            <v>#REF!</v>
          </cell>
          <cell r="DS4" t="e">
            <v>#REF!</v>
          </cell>
          <cell r="DT4" t="e">
            <v>#REF!</v>
          </cell>
          <cell r="DU4" t="e">
            <v>#REF!</v>
          </cell>
          <cell r="DV4" t="e">
            <v>#REF!</v>
          </cell>
          <cell r="DW4" t="e">
            <v>#REF!</v>
          </cell>
          <cell r="DX4" t="e">
            <v>#REF!</v>
          </cell>
          <cell r="DY4" t="e">
            <v>#REF!</v>
          </cell>
          <cell r="DZ4" t="e">
            <v>#REF!</v>
          </cell>
          <cell r="EA4" t="e">
            <v>#REF!</v>
          </cell>
          <cell r="EB4" t="e">
            <v>#REF!</v>
          </cell>
          <cell r="EC4" t="e">
            <v>#REF!</v>
          </cell>
          <cell r="ED4" t="e">
            <v>#REF!</v>
          </cell>
          <cell r="EE4" t="e">
            <v>#REF!</v>
          </cell>
          <cell r="EF4" t="e">
            <v>#REF!</v>
          </cell>
          <cell r="EG4" t="e">
            <v>#REF!</v>
          </cell>
          <cell r="EH4" t="e">
            <v>#REF!</v>
          </cell>
          <cell r="EI4" t="e">
            <v>#REF!</v>
          </cell>
          <cell r="EJ4" t="e">
            <v>#REF!</v>
          </cell>
          <cell r="EK4" t="e">
            <v>#REF!</v>
          </cell>
          <cell r="EL4" t="e">
            <v>#REF!</v>
          </cell>
          <cell r="EM4" t="e">
            <v>#REF!</v>
          </cell>
          <cell r="EN4" t="e">
            <v>#REF!</v>
          </cell>
          <cell r="EO4" t="e">
            <v>#REF!</v>
          </cell>
          <cell r="EP4" t="e">
            <v>#REF!</v>
          </cell>
          <cell r="EQ4" t="e">
            <v>#REF!</v>
          </cell>
          <cell r="ER4" t="e">
            <v>#REF!</v>
          </cell>
          <cell r="ES4" t="e">
            <v>#REF!</v>
          </cell>
          <cell r="ET4" t="e">
            <v>#REF!</v>
          </cell>
          <cell r="EU4" t="e">
            <v>#REF!</v>
          </cell>
          <cell r="EV4" t="e">
            <v>#REF!</v>
          </cell>
          <cell r="EW4" t="e">
            <v>#REF!</v>
          </cell>
          <cell r="EX4" t="e">
            <v>#REF!</v>
          </cell>
          <cell r="EY4" t="e">
            <v>#REF!</v>
          </cell>
          <cell r="EZ4" t="e">
            <v>#REF!</v>
          </cell>
          <cell r="FA4" t="e">
            <v>#REF!</v>
          </cell>
          <cell r="FB4" t="e">
            <v>#REF!</v>
          </cell>
          <cell r="FC4" t="e">
            <v>#REF!</v>
          </cell>
          <cell r="FD4" t="e">
            <v>#REF!</v>
          </cell>
          <cell r="FE4" t="e">
            <v>#REF!</v>
          </cell>
          <cell r="FF4" t="e">
            <v>#REF!</v>
          </cell>
          <cell r="FG4" t="e">
            <v>#REF!</v>
          </cell>
          <cell r="FH4" t="e">
            <v>#REF!</v>
          </cell>
          <cell r="FI4" t="e">
            <v>#REF!</v>
          </cell>
          <cell r="FJ4" t="e">
            <v>#REF!</v>
          </cell>
          <cell r="FK4" t="e">
            <v>#REF!</v>
          </cell>
          <cell r="FL4" t="e">
            <v>#REF!</v>
          </cell>
          <cell r="FM4" t="e">
            <v>#REF!</v>
          </cell>
          <cell r="FN4" t="e">
            <v>#REF!</v>
          </cell>
          <cell r="FO4" t="e">
            <v>#REF!</v>
          </cell>
          <cell r="FP4" t="e">
            <v>#REF!</v>
          </cell>
          <cell r="FQ4" t="e">
            <v>#REF!</v>
          </cell>
          <cell r="FR4" t="e">
            <v>#REF!</v>
          </cell>
          <cell r="FS4" t="e">
            <v>#REF!</v>
          </cell>
          <cell r="FT4" t="e">
            <v>#REF!</v>
          </cell>
          <cell r="FU4" t="e">
            <v>#REF!</v>
          </cell>
          <cell r="FV4" t="e">
            <v>#REF!</v>
          </cell>
          <cell r="FW4" t="e">
            <v>#REF!</v>
          </cell>
          <cell r="FX4" t="e">
            <v>#REF!</v>
          </cell>
          <cell r="FY4" t="e">
            <v>#REF!</v>
          </cell>
          <cell r="FZ4" t="e">
            <v>#REF!</v>
          </cell>
          <cell r="GA4" t="e">
            <v>#REF!</v>
          </cell>
          <cell r="GB4" t="e">
            <v>#REF!</v>
          </cell>
          <cell r="GC4" t="e">
            <v>#REF!</v>
          </cell>
          <cell r="GD4" t="e">
            <v>#REF!</v>
          </cell>
          <cell r="GE4" t="e">
            <v>#REF!</v>
          </cell>
          <cell r="GF4" t="e">
            <v>#REF!</v>
          </cell>
          <cell r="GG4" t="e">
            <v>#REF!</v>
          </cell>
          <cell r="GH4" t="e">
            <v>#REF!</v>
          </cell>
          <cell r="GI4" t="e">
            <v>#REF!</v>
          </cell>
          <cell r="GJ4" t="e">
            <v>#REF!</v>
          </cell>
          <cell r="GK4" t="e">
            <v>#REF!</v>
          </cell>
          <cell r="GL4" t="e">
            <v>#REF!</v>
          </cell>
          <cell r="GM4" t="e">
            <v>#REF!</v>
          </cell>
          <cell r="GN4" t="e">
            <v>#REF!</v>
          </cell>
          <cell r="GO4" t="e">
            <v>#REF!</v>
          </cell>
          <cell r="GP4" t="e">
            <v>#REF!</v>
          </cell>
          <cell r="GQ4" t="e">
            <v>#REF!</v>
          </cell>
          <cell r="GR4" t="e">
            <v>#REF!</v>
          </cell>
          <cell r="GS4" t="e">
            <v>#REF!</v>
          </cell>
          <cell r="GT4" t="e">
            <v>#REF!</v>
          </cell>
          <cell r="GU4" t="e">
            <v>#REF!</v>
          </cell>
          <cell r="GV4" t="e">
            <v>#REF!</v>
          </cell>
          <cell r="GW4" t="e">
            <v>#REF!</v>
          </cell>
          <cell r="GX4" t="e">
            <v>#REF!</v>
          </cell>
          <cell r="GY4" t="e">
            <v>#REF!</v>
          </cell>
          <cell r="GZ4" t="e">
            <v>#REF!</v>
          </cell>
          <cell r="HA4" t="e">
            <v>#REF!</v>
          </cell>
          <cell r="HB4" t="e">
            <v>#REF!</v>
          </cell>
          <cell r="HC4" t="e">
            <v>#REF!</v>
          </cell>
          <cell r="HD4" t="e">
            <v>#REF!</v>
          </cell>
          <cell r="HE4" t="e">
            <v>#REF!</v>
          </cell>
          <cell r="HF4" t="e">
            <v>#REF!</v>
          </cell>
          <cell r="HG4" t="e">
            <v>#REF!</v>
          </cell>
          <cell r="HH4" t="e">
            <v>#REF!</v>
          </cell>
          <cell r="HI4" t="e">
            <v>#REF!</v>
          </cell>
          <cell r="HJ4" t="e">
            <v>#REF!</v>
          </cell>
          <cell r="HK4" t="e">
            <v>#REF!</v>
          </cell>
          <cell r="HL4" t="e">
            <v>#REF!</v>
          </cell>
          <cell r="HM4" t="e">
            <v>#REF!</v>
          </cell>
          <cell r="HN4" t="e">
            <v>#REF!</v>
          </cell>
          <cell r="HO4" t="e">
            <v>#REF!</v>
          </cell>
          <cell r="HP4" t="e">
            <v>#REF!</v>
          </cell>
          <cell r="HQ4" t="e">
            <v>#REF!</v>
          </cell>
          <cell r="HR4" t="e">
            <v>#REF!</v>
          </cell>
          <cell r="HS4" t="e">
            <v>#REF!</v>
          </cell>
          <cell r="HT4" t="e">
            <v>#REF!</v>
          </cell>
          <cell r="HU4" t="e">
            <v>#REF!</v>
          </cell>
          <cell r="HV4" t="e">
            <v>#REF!</v>
          </cell>
          <cell r="HW4" t="e">
            <v>#REF!</v>
          </cell>
          <cell r="HX4" t="e">
            <v>#REF!</v>
          </cell>
          <cell r="HY4" t="e">
            <v>#REF!</v>
          </cell>
          <cell r="HZ4" t="e">
            <v>#REF!</v>
          </cell>
          <cell r="IA4" t="e">
            <v>#REF!</v>
          </cell>
          <cell r="IB4" t="e">
            <v>#REF!</v>
          </cell>
          <cell r="IC4" t="e">
            <v>#REF!</v>
          </cell>
          <cell r="ID4" t="e">
            <v>#REF!</v>
          </cell>
          <cell r="IE4" t="e">
            <v>#REF!</v>
          </cell>
          <cell r="IF4" t="e">
            <v>#REF!</v>
          </cell>
          <cell r="IG4" t="e">
            <v>#REF!</v>
          </cell>
          <cell r="IH4" t="e">
            <v>#REF!</v>
          </cell>
          <cell r="II4" t="e">
            <v>#REF!</v>
          </cell>
          <cell r="IJ4" t="e">
            <v>#REF!</v>
          </cell>
          <cell r="IK4" t="e">
            <v>#REF!</v>
          </cell>
          <cell r="IL4" t="e">
            <v>#REF!</v>
          </cell>
          <cell r="IM4" t="e">
            <v>#REF!</v>
          </cell>
          <cell r="IN4" t="e">
            <v>#REF!</v>
          </cell>
          <cell r="IO4" t="e">
            <v>#REF!</v>
          </cell>
          <cell r="IP4" t="e">
            <v>#REF!</v>
          </cell>
          <cell r="IQ4" t="e">
            <v>#REF!</v>
          </cell>
          <cell r="IR4" t="e">
            <v>#REF!</v>
          </cell>
          <cell r="IS4" t="e">
            <v>#REF!</v>
          </cell>
          <cell r="IT4" t="e">
            <v>#REF!</v>
          </cell>
          <cell r="IU4" t="e">
            <v>#REF!</v>
          </cell>
          <cell r="IV4" t="e">
            <v>#REF!</v>
          </cell>
          <cell r="IW4" t="e">
            <v>#REF!</v>
          </cell>
          <cell r="IX4" t="e">
            <v>#REF!</v>
          </cell>
          <cell r="IY4" t="e">
            <v>#REF!</v>
          </cell>
          <cell r="IZ4" t="e">
            <v>#REF!</v>
          </cell>
          <cell r="JA4" t="e">
            <v>#REF!</v>
          </cell>
          <cell r="JB4" t="e">
            <v>#REF!</v>
          </cell>
          <cell r="JC4" t="e">
            <v>#REF!</v>
          </cell>
          <cell r="JD4" t="e">
            <v>#REF!</v>
          </cell>
          <cell r="JE4" t="e">
            <v>#REF!</v>
          </cell>
          <cell r="JF4" t="e">
            <v>#REF!</v>
          </cell>
          <cell r="JG4" t="e">
            <v>#REF!</v>
          </cell>
          <cell r="JH4" t="e">
            <v>#REF!</v>
          </cell>
          <cell r="JI4" t="e">
            <v>#REF!</v>
          </cell>
          <cell r="JJ4" t="e">
            <v>#REF!</v>
          </cell>
          <cell r="JK4" t="e">
            <v>#REF!</v>
          </cell>
          <cell r="JL4" t="e">
            <v>#REF!</v>
          </cell>
          <cell r="JM4" t="e">
            <v>#REF!</v>
          </cell>
          <cell r="JN4" t="e">
            <v>#REF!</v>
          </cell>
          <cell r="JO4" t="e">
            <v>#REF!</v>
          </cell>
          <cell r="JP4" t="e">
            <v>#REF!</v>
          </cell>
          <cell r="JQ4" t="e">
            <v>#REF!</v>
          </cell>
          <cell r="JR4" t="e">
            <v>#REF!</v>
          </cell>
          <cell r="JS4" t="e">
            <v>#REF!</v>
          </cell>
          <cell r="JT4" t="e">
            <v>#REF!</v>
          </cell>
          <cell r="JU4" t="e">
            <v>#REF!</v>
          </cell>
          <cell r="JV4" t="e">
            <v>#REF!</v>
          </cell>
          <cell r="JW4" t="e">
            <v>#REF!</v>
          </cell>
          <cell r="JX4" t="e">
            <v>#REF!</v>
          </cell>
          <cell r="JY4" t="e">
            <v>#REF!</v>
          </cell>
          <cell r="JZ4" t="e">
            <v>#REF!</v>
          </cell>
          <cell r="KA4" t="e">
            <v>#REF!</v>
          </cell>
          <cell r="KB4" t="e">
            <v>#REF!</v>
          </cell>
          <cell r="KC4" t="e">
            <v>#REF!</v>
          </cell>
          <cell r="KD4" t="e">
            <v>#REF!</v>
          </cell>
          <cell r="KE4" t="e">
            <v>#REF!</v>
          </cell>
          <cell r="KF4" t="e">
            <v>#REF!</v>
          </cell>
          <cell r="KG4" t="e">
            <v>#REF!</v>
          </cell>
          <cell r="KH4" t="e">
            <v>#REF!</v>
          </cell>
          <cell r="KI4" t="e">
            <v>#REF!</v>
          </cell>
          <cell r="KJ4" t="e">
            <v>#REF!</v>
          </cell>
          <cell r="KK4" t="e">
            <v>#REF!</v>
          </cell>
          <cell r="KL4" t="e">
            <v>#REF!</v>
          </cell>
          <cell r="KM4" t="e">
            <v>#REF!</v>
          </cell>
          <cell r="KN4" t="e">
            <v>#REF!</v>
          </cell>
          <cell r="KO4" t="e">
            <v>#REF!</v>
          </cell>
          <cell r="KP4" t="e">
            <v>#REF!</v>
          </cell>
          <cell r="KQ4" t="e">
            <v>#REF!</v>
          </cell>
          <cell r="KR4" t="e">
            <v>#REF!</v>
          </cell>
          <cell r="KS4" t="e">
            <v>#REF!</v>
          </cell>
          <cell r="KT4" t="e">
            <v>#REF!</v>
          </cell>
          <cell r="KU4" t="e">
            <v>#REF!</v>
          </cell>
          <cell r="KV4" t="e">
            <v>#REF!</v>
          </cell>
        </row>
        <row r="5">
          <cell r="B5" t="str">
            <v>🔍</v>
          </cell>
          <cell r="C5" t="str">
            <v>SJ02</v>
          </cell>
          <cell r="D5" t="str">
            <v>DICTIONARY MAKING ARB</v>
          </cell>
          <cell r="E5">
            <v>3</v>
          </cell>
          <cell r="F5" t="str">
            <v>Single</v>
          </cell>
          <cell r="G5" t="str">
            <v>Non-Stg</v>
          </cell>
          <cell r="H5" t="str">
            <v>SUB JUNIOR</v>
          </cell>
        </row>
        <row r="7">
          <cell r="B7">
            <v>1</v>
          </cell>
          <cell r="C7" t="str">
            <v>SJ01</v>
          </cell>
          <cell r="D7" t="str">
            <v>ADHĀN</v>
          </cell>
          <cell r="E7">
            <v>3</v>
          </cell>
          <cell r="F7" t="str">
            <v>Single</v>
          </cell>
          <cell r="G7" t="str">
            <v>Non-Stg</v>
          </cell>
          <cell r="H7" t="str">
            <v>SUB JUNIOR</v>
          </cell>
          <cell r="I7" t="str">
            <v>A111</v>
          </cell>
          <cell r="J7" t="str">
            <v>A140</v>
          </cell>
          <cell r="K7" t="str">
            <v>A153</v>
          </cell>
          <cell r="P7" t="str">
            <v>A174</v>
          </cell>
          <cell r="Q7" t="str">
            <v>A125</v>
          </cell>
          <cell r="R7" t="str">
            <v>A128</v>
          </cell>
          <cell r="W7" t="str">
            <v>A127</v>
          </cell>
          <cell r="X7" t="str">
            <v>A135</v>
          </cell>
          <cell r="Y7" t="str">
            <v>A152</v>
          </cell>
          <cell r="AD7" t="str">
            <v>A141</v>
          </cell>
          <cell r="AE7" t="str">
            <v>A154</v>
          </cell>
          <cell r="AF7" t="str">
            <v>A156</v>
          </cell>
        </row>
        <row r="8">
          <cell r="B8">
            <v>2</v>
          </cell>
          <cell r="C8" t="str">
            <v>SJ02</v>
          </cell>
          <cell r="D8" t="str">
            <v>DICTIONARY MAKING ARB</v>
          </cell>
          <cell r="E8">
            <v>3</v>
          </cell>
          <cell r="F8" t="str">
            <v>Single</v>
          </cell>
          <cell r="G8" t="str">
            <v>Non-Stg</v>
          </cell>
          <cell r="H8" t="str">
            <v>SUB JUNIOR</v>
          </cell>
          <cell r="I8" t="str">
            <v>A110</v>
          </cell>
          <cell r="J8" t="str">
            <v>A161</v>
          </cell>
          <cell r="K8" t="str">
            <v>A162</v>
          </cell>
          <cell r="P8" t="str">
            <v>A172</v>
          </cell>
          <cell r="Q8" t="str">
            <v>A147</v>
          </cell>
          <cell r="R8" t="str">
            <v>A131</v>
          </cell>
          <cell r="W8" t="str">
            <v>A109</v>
          </cell>
          <cell r="X8" t="str">
            <v>A146</v>
          </cell>
          <cell r="Y8" t="str">
            <v>A163</v>
          </cell>
          <cell r="AD8" t="str">
            <v>A102</v>
          </cell>
          <cell r="AE8" t="str">
            <v>A149</v>
          </cell>
          <cell r="AF8" t="str">
            <v>A154</v>
          </cell>
        </row>
        <row r="9">
          <cell r="B9">
            <v>3</v>
          </cell>
          <cell r="C9" t="str">
            <v>SJ03</v>
          </cell>
          <cell r="D9" t="str">
            <v>DICTIONARY MAKING ENG</v>
          </cell>
          <cell r="E9">
            <v>3</v>
          </cell>
          <cell r="F9" t="str">
            <v>Group</v>
          </cell>
          <cell r="G9" t="str">
            <v>Non-Stg</v>
          </cell>
          <cell r="H9" t="str">
            <v>SUB JUNIOR</v>
          </cell>
          <cell r="I9" t="str">
            <v>A129</v>
          </cell>
          <cell r="J9" t="str">
            <v>A143</v>
          </cell>
          <cell r="K9" t="str">
            <v>A150</v>
          </cell>
          <cell r="P9" t="str">
            <v>A164</v>
          </cell>
          <cell r="Q9" t="str">
            <v>A147</v>
          </cell>
          <cell r="R9" t="str">
            <v>A158</v>
          </cell>
          <cell r="W9" t="str">
            <v>A104</v>
          </cell>
          <cell r="X9" t="str">
            <v>A108</v>
          </cell>
          <cell r="Y9" t="str">
            <v>A166</v>
          </cell>
          <cell r="AD9" t="str">
            <v>A103</v>
          </cell>
          <cell r="AE9" t="str">
            <v>A149</v>
          </cell>
          <cell r="AF9" t="str">
            <v>A154</v>
          </cell>
        </row>
        <row r="10">
          <cell r="B10">
            <v>4</v>
          </cell>
          <cell r="C10" t="str">
            <v>SJ04</v>
          </cell>
          <cell r="D10" t="str">
            <v>ESSAY WRITING MLM</v>
          </cell>
          <cell r="E10">
            <v>3</v>
          </cell>
          <cell r="F10" t="str">
            <v>Single</v>
          </cell>
          <cell r="G10" t="str">
            <v>Non-Stg</v>
          </cell>
          <cell r="H10" t="str">
            <v>SUB JUNIOR</v>
          </cell>
          <cell r="I10" t="str">
            <v>A107</v>
          </cell>
          <cell r="J10" t="str">
            <v>A129</v>
          </cell>
          <cell r="K10" t="str">
            <v>A161</v>
          </cell>
          <cell r="P10" t="str">
            <v>A170</v>
          </cell>
          <cell r="Q10" t="str">
            <v>A165</v>
          </cell>
          <cell r="R10" t="str">
            <v>A134</v>
          </cell>
          <cell r="W10" t="str">
            <v>A145</v>
          </cell>
          <cell r="X10" t="str">
            <v>A146</v>
          </cell>
          <cell r="Y10" t="str">
            <v>A163</v>
          </cell>
          <cell r="AD10" t="str">
            <v>A130</v>
          </cell>
          <cell r="AE10" t="str">
            <v>A155</v>
          </cell>
          <cell r="AF10" t="str">
            <v>A159</v>
          </cell>
        </row>
        <row r="11">
          <cell r="B11">
            <v>5</v>
          </cell>
          <cell r="C11" t="str">
            <v>SJ05</v>
          </cell>
          <cell r="D11" t="str">
            <v>GK QUIZ</v>
          </cell>
          <cell r="E11">
            <v>3</v>
          </cell>
          <cell r="F11" t="str">
            <v>Single</v>
          </cell>
          <cell r="G11" t="str">
            <v>Non-Stg</v>
          </cell>
          <cell r="H11" t="str">
            <v>SUB JUNIOR</v>
          </cell>
          <cell r="I11" t="str">
            <v>A105</v>
          </cell>
          <cell r="J11" t="str">
            <v>A143</v>
          </cell>
          <cell r="K11" t="str">
            <v>A150</v>
          </cell>
          <cell r="P11" t="str">
            <v>A164</v>
          </cell>
          <cell r="Q11" t="str">
            <v>A115</v>
          </cell>
          <cell r="R11" t="str">
            <v>A175</v>
          </cell>
          <cell r="W11" t="str">
            <v>A104</v>
          </cell>
          <cell r="X11" t="str">
            <v>A106</v>
          </cell>
          <cell r="Y11" t="str">
            <v>A166</v>
          </cell>
          <cell r="AD11" t="str">
            <v>A103</v>
          </cell>
          <cell r="AE11" t="str">
            <v>A144</v>
          </cell>
          <cell r="AF11" t="str">
            <v>A168</v>
          </cell>
        </row>
        <row r="12">
          <cell r="B12">
            <v>6</v>
          </cell>
          <cell r="C12" t="str">
            <v>SJ06</v>
          </cell>
          <cell r="D12" t="str">
            <v>ḤIFẒ</v>
          </cell>
          <cell r="E12">
            <v>3</v>
          </cell>
          <cell r="F12" t="str">
            <v>Single</v>
          </cell>
          <cell r="G12" t="str">
            <v>Non-Stg</v>
          </cell>
          <cell r="H12" t="str">
            <v>SUB JUNIOR</v>
          </cell>
          <cell r="I12" t="str">
            <v>A161</v>
          </cell>
          <cell r="J12" t="str">
            <v>A162</v>
          </cell>
          <cell r="K12" t="str">
            <v>A169</v>
          </cell>
          <cell r="P12" t="str">
            <v>A113</v>
          </cell>
          <cell r="Q12" t="str">
            <v>A158</v>
          </cell>
          <cell r="R12" t="str">
            <v>A174</v>
          </cell>
          <cell r="W12" t="str">
            <v>A109</v>
          </cell>
          <cell r="X12" t="str">
            <v>A146</v>
          </cell>
          <cell r="Y12" t="str">
            <v>A163</v>
          </cell>
          <cell r="AD12" t="str">
            <v>A121</v>
          </cell>
          <cell r="AE12" t="str">
            <v>A154</v>
          </cell>
          <cell r="AF12" t="str">
            <v>A133</v>
          </cell>
        </row>
        <row r="13">
          <cell r="B13">
            <v>7</v>
          </cell>
          <cell r="C13" t="str">
            <v>SJ07</v>
          </cell>
          <cell r="D13" t="str">
            <v>MATH TALENT</v>
          </cell>
          <cell r="E13">
            <v>3</v>
          </cell>
          <cell r="F13" t="str">
            <v>Single</v>
          </cell>
          <cell r="G13" t="str">
            <v>Non-Stg</v>
          </cell>
          <cell r="H13" t="str">
            <v>SUB JUNIOR</v>
          </cell>
          <cell r="I13" t="str">
            <v>A100</v>
          </cell>
          <cell r="J13" t="str">
            <v>A107</v>
          </cell>
          <cell r="K13" t="str">
            <v>A150</v>
          </cell>
          <cell r="P13" t="str">
            <v>A164</v>
          </cell>
          <cell r="Q13" t="str">
            <v>A147</v>
          </cell>
          <cell r="R13" t="str">
            <v>A120</v>
          </cell>
          <cell r="W13" t="str">
            <v>A104</v>
          </cell>
          <cell r="X13" t="str">
            <v>A106</v>
          </cell>
          <cell r="Y13" t="str">
            <v>A145</v>
          </cell>
          <cell r="AD13" t="str">
            <v>A103</v>
          </cell>
          <cell r="AE13" t="str">
            <v>A123</v>
          </cell>
          <cell r="AF13" t="str">
            <v>A149</v>
          </cell>
        </row>
        <row r="14">
          <cell r="B14">
            <v>8</v>
          </cell>
          <cell r="C14" t="str">
            <v>SJ08</v>
          </cell>
          <cell r="D14" t="str">
            <v>MEMORY TEST</v>
          </cell>
          <cell r="E14">
            <v>3</v>
          </cell>
          <cell r="F14" t="str">
            <v>Single</v>
          </cell>
          <cell r="G14" t="str">
            <v>Non-Stg</v>
          </cell>
          <cell r="H14" t="str">
            <v>SUB JUNIOR</v>
          </cell>
          <cell r="I14" t="str">
            <v>A143</v>
          </cell>
          <cell r="J14" t="str">
            <v>A150</v>
          </cell>
          <cell r="K14" t="str">
            <v>A161</v>
          </cell>
          <cell r="P14" t="str">
            <v>A164</v>
          </cell>
          <cell r="Q14" t="str">
            <v>A171</v>
          </cell>
          <cell r="R14" t="str">
            <v>A172</v>
          </cell>
          <cell r="W14" t="str">
            <v>A104</v>
          </cell>
          <cell r="X14" t="str">
            <v>A136</v>
          </cell>
          <cell r="Y14" t="str">
            <v>A148</v>
          </cell>
          <cell r="AD14" t="str">
            <v>A141</v>
          </cell>
          <cell r="AE14" t="str">
            <v>A149</v>
          </cell>
          <cell r="AF14" t="str">
            <v>A154</v>
          </cell>
        </row>
        <row r="15">
          <cell r="B15">
            <v>9</v>
          </cell>
          <cell r="C15" t="str">
            <v>SJ09</v>
          </cell>
          <cell r="D15" t="str">
            <v>MS PAINT</v>
          </cell>
          <cell r="E15">
            <v>2</v>
          </cell>
          <cell r="F15" t="str">
            <v>Single</v>
          </cell>
          <cell r="G15" t="str">
            <v>Non-Stg</v>
          </cell>
          <cell r="H15" t="str">
            <v>SUB JUNIOR</v>
          </cell>
          <cell r="I15" t="str">
            <v>A107</v>
          </cell>
          <cell r="J15" t="str">
            <v>A132</v>
          </cell>
          <cell r="P15" t="str">
            <v>A115</v>
          </cell>
          <cell r="Q15" t="str">
            <v>A112</v>
          </cell>
          <cell r="W15" t="str">
            <v>A124</v>
          </cell>
          <cell r="X15" t="str">
            <v>A145</v>
          </cell>
          <cell r="AD15" t="str">
            <v>A101</v>
          </cell>
          <cell r="AE15" t="str">
            <v>A159</v>
          </cell>
        </row>
        <row r="16">
          <cell r="B16">
            <v>10</v>
          </cell>
          <cell r="C16" t="str">
            <v>SJ10</v>
          </cell>
          <cell r="D16" t="str">
            <v>MULTI LING HAND WRITING</v>
          </cell>
          <cell r="E16">
            <v>3</v>
          </cell>
          <cell r="F16" t="str">
            <v>Single</v>
          </cell>
          <cell r="G16" t="str">
            <v>Non-Stg</v>
          </cell>
          <cell r="H16" t="str">
            <v>SUB JUNIOR</v>
          </cell>
          <cell r="I16" t="str">
            <v>A110</v>
          </cell>
          <cell r="J16" t="str">
            <v>A151</v>
          </cell>
          <cell r="K16" t="str">
            <v>A153</v>
          </cell>
          <cell r="P16" t="str">
            <v>A158</v>
          </cell>
          <cell r="Q16" t="str">
            <v>A171</v>
          </cell>
          <cell r="R16" t="str">
            <v>A165</v>
          </cell>
          <cell r="W16" t="str">
            <v>A108</v>
          </cell>
          <cell r="X16" t="str">
            <v>A135</v>
          </cell>
          <cell r="Y16" t="str">
            <v>A146</v>
          </cell>
          <cell r="AD16" t="str">
            <v>A141</v>
          </cell>
          <cell r="AE16" t="str">
            <v>A144</v>
          </cell>
          <cell r="AF16" t="str">
            <v>A149</v>
          </cell>
        </row>
        <row r="17">
          <cell r="B17">
            <v>11</v>
          </cell>
          <cell r="C17" t="str">
            <v>SJ11</v>
          </cell>
          <cell r="D17" t="str">
            <v>NEWS WRITING MLM</v>
          </cell>
          <cell r="E17">
            <v>3</v>
          </cell>
          <cell r="F17" t="str">
            <v>Single</v>
          </cell>
          <cell r="G17" t="str">
            <v>Non-Stg</v>
          </cell>
          <cell r="H17" t="str">
            <v>SUB JUNIOR</v>
          </cell>
          <cell r="I17" t="str">
            <v>A105</v>
          </cell>
          <cell r="J17" t="str">
            <v>A111</v>
          </cell>
          <cell r="K17" t="str">
            <v>A162</v>
          </cell>
          <cell r="P17" t="str">
            <v>A165</v>
          </cell>
          <cell r="Q17" t="str">
            <v>A170</v>
          </cell>
          <cell r="R17" t="str">
            <v>A137</v>
          </cell>
          <cell r="W17" t="str">
            <v>A106</v>
          </cell>
          <cell r="X17" t="str">
            <v>A146</v>
          </cell>
          <cell r="Y17" t="str">
            <v>A167</v>
          </cell>
          <cell r="AD17" t="str">
            <v>A119</v>
          </cell>
          <cell r="AE17" t="str">
            <v>A130</v>
          </cell>
          <cell r="AF17" t="str">
            <v>A155</v>
          </cell>
        </row>
        <row r="18">
          <cell r="B18">
            <v>12</v>
          </cell>
          <cell r="C18" t="str">
            <v>SJ12</v>
          </cell>
          <cell r="D18" t="str">
            <v>PENCIL DRAWING</v>
          </cell>
          <cell r="E18">
            <v>2</v>
          </cell>
          <cell r="F18" t="str">
            <v>Single</v>
          </cell>
          <cell r="G18" t="str">
            <v>Non-Stg</v>
          </cell>
          <cell r="H18" t="str">
            <v>SUB JUNIOR</v>
          </cell>
          <cell r="I18" t="str">
            <v>A110</v>
          </cell>
          <cell r="J18" t="str">
            <v>A157</v>
          </cell>
          <cell r="P18" t="str">
            <v>A115</v>
          </cell>
          <cell r="Q18" t="str">
            <v>A172</v>
          </cell>
          <cell r="W18" t="str">
            <v>A142</v>
          </cell>
          <cell r="X18" t="str">
            <v>A167</v>
          </cell>
          <cell r="AD18" t="str">
            <v>A101</v>
          </cell>
          <cell r="AE18" t="str">
            <v>A160</v>
          </cell>
        </row>
        <row r="19">
          <cell r="B19">
            <v>13</v>
          </cell>
          <cell r="C19" t="str">
            <v>SJ13</v>
          </cell>
          <cell r="D19" t="str">
            <v>POEM WRITING MLM</v>
          </cell>
          <cell r="E19">
            <v>3</v>
          </cell>
          <cell r="F19" t="str">
            <v>Single</v>
          </cell>
          <cell r="G19" t="str">
            <v>Non-Stg</v>
          </cell>
          <cell r="H19" t="str">
            <v>SUB JUNIOR</v>
          </cell>
          <cell r="I19" t="str">
            <v>A105</v>
          </cell>
          <cell r="J19" t="str">
            <v>A111</v>
          </cell>
          <cell r="K19" t="str">
            <v>A140</v>
          </cell>
          <cell r="P19" t="str">
            <v>A165</v>
          </cell>
          <cell r="Q19" t="str">
            <v>A170</v>
          </cell>
          <cell r="R19" t="str">
            <v>A128</v>
          </cell>
          <cell r="W19" t="str">
            <v>A142</v>
          </cell>
          <cell r="X19" t="str">
            <v>A145</v>
          </cell>
          <cell r="Y19" t="str">
            <v>A167</v>
          </cell>
          <cell r="AD19" t="str">
            <v>A141</v>
          </cell>
          <cell r="AE19" t="str">
            <v>A155</v>
          </cell>
          <cell r="AF19" t="str">
            <v>A159</v>
          </cell>
        </row>
        <row r="20">
          <cell r="B20">
            <v>14</v>
          </cell>
          <cell r="C20" t="str">
            <v>SJ14</v>
          </cell>
          <cell r="D20" t="str">
            <v>POSTER DESIGNING (non digital)</v>
          </cell>
          <cell r="E20">
            <v>2</v>
          </cell>
          <cell r="F20" t="str">
            <v>Single</v>
          </cell>
          <cell r="G20" t="str">
            <v>Non-Stg</v>
          </cell>
          <cell r="H20" t="str">
            <v>SUB JUNIOR</v>
          </cell>
          <cell r="I20" t="str">
            <v>A151</v>
          </cell>
          <cell r="J20" t="str">
            <v>A157</v>
          </cell>
          <cell r="P20" t="str">
            <v>A165</v>
          </cell>
          <cell r="Q20" t="str">
            <v>A172</v>
          </cell>
          <cell r="W20" t="str">
            <v>A142</v>
          </cell>
          <cell r="X20" t="str">
            <v>A167</v>
          </cell>
          <cell r="AD20" t="str">
            <v>A159</v>
          </cell>
          <cell r="AE20" t="str">
            <v>A160</v>
          </cell>
        </row>
        <row r="21">
          <cell r="B21">
            <v>15</v>
          </cell>
          <cell r="C21" t="str">
            <v>SJ15</v>
          </cell>
          <cell r="D21" t="str">
            <v>QIRĀʾAH</v>
          </cell>
          <cell r="E21">
            <v>3</v>
          </cell>
          <cell r="F21" t="str">
            <v>Single</v>
          </cell>
          <cell r="G21" t="str">
            <v>Non-Stg</v>
          </cell>
          <cell r="H21" t="str">
            <v>SUB JUNIOR</v>
          </cell>
          <cell r="I21" t="str">
            <v>A111</v>
          </cell>
          <cell r="J21" t="str">
            <v>A122</v>
          </cell>
          <cell r="K21" t="str">
            <v>A140</v>
          </cell>
          <cell r="P21" t="str">
            <v>A158</v>
          </cell>
          <cell r="Q21" t="str">
            <v>A174</v>
          </cell>
          <cell r="R21" t="str">
            <v>A115</v>
          </cell>
          <cell r="W21" t="str">
            <v>A109</v>
          </cell>
          <cell r="X21" t="str">
            <v>A152</v>
          </cell>
          <cell r="Y21" t="str">
            <v>A163</v>
          </cell>
          <cell r="AD21" t="str">
            <v>A121</v>
          </cell>
          <cell r="AE21" t="str">
            <v>A154</v>
          </cell>
          <cell r="AF21" t="str">
            <v>A156</v>
          </cell>
        </row>
        <row r="22">
          <cell r="B22">
            <v>16</v>
          </cell>
          <cell r="C22" t="str">
            <v>SJ16</v>
          </cell>
          <cell r="D22" t="str">
            <v>SHORT STORY MLM</v>
          </cell>
          <cell r="E22">
            <v>3</v>
          </cell>
          <cell r="F22" t="str">
            <v>Single</v>
          </cell>
          <cell r="G22" t="str">
            <v>Non-Stg</v>
          </cell>
          <cell r="H22" t="str">
            <v>SUB JUNIOR</v>
          </cell>
          <cell r="I22" t="str">
            <v>A105</v>
          </cell>
          <cell r="J22" t="str">
            <v>A111</v>
          </cell>
          <cell r="K22" t="str">
            <v>A153</v>
          </cell>
          <cell r="P22" t="str">
            <v>A112</v>
          </cell>
          <cell r="Q22" t="str">
            <v>A147</v>
          </cell>
          <cell r="R22" t="str">
            <v>A134</v>
          </cell>
          <cell r="W22" t="str">
            <v>A145</v>
          </cell>
          <cell r="X22" t="str">
            <v>A146</v>
          </cell>
          <cell r="Y22" t="str">
            <v>A167</v>
          </cell>
          <cell r="AD22" t="str">
            <v>A154</v>
          </cell>
          <cell r="AE22" t="str">
            <v>A155</v>
          </cell>
          <cell r="AF22" t="str">
            <v>A159</v>
          </cell>
        </row>
        <row r="23">
          <cell r="B23">
            <v>17</v>
          </cell>
          <cell r="C23" t="str">
            <v>SJ17</v>
          </cell>
          <cell r="D23" t="str">
            <v>STORY COMPLETION MLM</v>
          </cell>
          <cell r="E23">
            <v>3</v>
          </cell>
          <cell r="F23" t="str">
            <v>Single</v>
          </cell>
          <cell r="G23" t="str">
            <v>Non-Stg</v>
          </cell>
          <cell r="H23" t="str">
            <v>SUB JUNIOR</v>
          </cell>
          <cell r="I23" t="str">
            <v>A122</v>
          </cell>
          <cell r="J23" t="str">
            <v>A139</v>
          </cell>
          <cell r="K23" t="str">
            <v>A153</v>
          </cell>
          <cell r="P23" t="str">
            <v>A147</v>
          </cell>
          <cell r="Q23" t="str">
            <v>A125</v>
          </cell>
          <cell r="R23" t="str">
            <v>A137</v>
          </cell>
          <cell r="W23" t="str">
            <v>A142</v>
          </cell>
          <cell r="X23" t="str">
            <v>A163</v>
          </cell>
          <cell r="Y23" t="str">
            <v>A167</v>
          </cell>
          <cell r="AD23" t="str">
            <v>A101</v>
          </cell>
          <cell r="AE23" t="str">
            <v>A155</v>
          </cell>
          <cell r="AF23" t="str">
            <v>A159</v>
          </cell>
        </row>
        <row r="24">
          <cell r="B24">
            <v>18</v>
          </cell>
          <cell r="C24" t="str">
            <v>SJ18</v>
          </cell>
          <cell r="D24" t="str">
            <v>SUDOKU</v>
          </cell>
          <cell r="E24">
            <v>3</v>
          </cell>
          <cell r="F24" t="str">
            <v>Single</v>
          </cell>
          <cell r="G24" t="str">
            <v>Non-Stg</v>
          </cell>
          <cell r="H24" t="str">
            <v>SUB JUNIOR</v>
          </cell>
          <cell r="I24" t="str">
            <v>A107</v>
          </cell>
          <cell r="J24" t="str">
            <v>A129</v>
          </cell>
          <cell r="K24" t="str">
            <v>A139</v>
          </cell>
          <cell r="P24" t="str">
            <v>A147</v>
          </cell>
          <cell r="Q24" t="str">
            <v>A164</v>
          </cell>
          <cell r="R24" t="str">
            <v>A113</v>
          </cell>
          <cell r="W24" t="str">
            <v>A148</v>
          </cell>
          <cell r="X24" t="str">
            <v>A163</v>
          </cell>
          <cell r="Y24" t="str">
            <v>A173</v>
          </cell>
          <cell r="AD24" t="str">
            <v>A123</v>
          </cell>
          <cell r="AE24" t="str">
            <v>A149</v>
          </cell>
          <cell r="AF24" t="str">
            <v>A155</v>
          </cell>
        </row>
        <row r="25">
          <cell r="B25">
            <v>19</v>
          </cell>
          <cell r="C25" t="str">
            <v>SJ19</v>
          </cell>
          <cell r="D25" t="str">
            <v>TYPING ENG</v>
          </cell>
          <cell r="E25">
            <v>3</v>
          </cell>
          <cell r="F25" t="str">
            <v>Single</v>
          </cell>
          <cell r="G25" t="str">
            <v>Non-Stg</v>
          </cell>
          <cell r="H25" t="str">
            <v>SUB JUNIOR</v>
          </cell>
          <cell r="I25" t="str">
            <v>A143</v>
          </cell>
          <cell r="J25" t="str">
            <v>A157</v>
          </cell>
          <cell r="K25" t="str">
            <v>A169</v>
          </cell>
          <cell r="P25" t="str">
            <v>A158</v>
          </cell>
          <cell r="Q25" t="str">
            <v>A128</v>
          </cell>
          <cell r="R25" t="str">
            <v>A137</v>
          </cell>
          <cell r="W25" t="str">
            <v>A114</v>
          </cell>
          <cell r="X25" t="str">
            <v>A145</v>
          </cell>
          <cell r="Y25" t="str">
            <v>A148</v>
          </cell>
          <cell r="AD25" t="str">
            <v>A103</v>
          </cell>
          <cell r="AE25" t="str">
            <v>A144</v>
          </cell>
          <cell r="AF25" t="str">
            <v>A149</v>
          </cell>
        </row>
        <row r="26">
          <cell r="B26">
            <v>20</v>
          </cell>
          <cell r="C26" t="str">
            <v>SJ20</v>
          </cell>
          <cell r="D26" t="str">
            <v>VOCABULARY</v>
          </cell>
          <cell r="E26">
            <v>3</v>
          </cell>
          <cell r="F26" t="str">
            <v>Single</v>
          </cell>
          <cell r="G26" t="str">
            <v>Non-Stg</v>
          </cell>
          <cell r="H26" t="str">
            <v>SUB JUNIOR</v>
          </cell>
          <cell r="I26" t="str">
            <v>A110</v>
          </cell>
          <cell r="J26" t="str">
            <v>A161</v>
          </cell>
          <cell r="K26" t="str">
            <v>A162</v>
          </cell>
          <cell r="P26" t="str">
            <v>A164</v>
          </cell>
          <cell r="Q26" t="str">
            <v>A171</v>
          </cell>
          <cell r="R26" t="str">
            <v>A175</v>
          </cell>
          <cell r="W26" t="str">
            <v>A104</v>
          </cell>
          <cell r="X26" t="str">
            <v>A146</v>
          </cell>
          <cell r="Y26" t="str">
            <v>A167</v>
          </cell>
          <cell r="AD26" t="str">
            <v>A117</v>
          </cell>
          <cell r="AE26" t="str">
            <v>A126</v>
          </cell>
          <cell r="AF26" t="str">
            <v>A141</v>
          </cell>
        </row>
        <row r="27">
          <cell r="B27">
            <v>21</v>
          </cell>
          <cell r="C27" t="str">
            <v>SJ21</v>
          </cell>
          <cell r="D27" t="str">
            <v>WATER PAINTING</v>
          </cell>
          <cell r="E27">
            <v>2</v>
          </cell>
          <cell r="F27" t="str">
            <v>Single</v>
          </cell>
          <cell r="G27" t="str">
            <v>Non-Stg</v>
          </cell>
          <cell r="H27" t="str">
            <v>SUB JUNIOR</v>
          </cell>
          <cell r="I27" t="str">
            <v>A110</v>
          </cell>
          <cell r="J27" t="str">
            <v>A151</v>
          </cell>
          <cell r="P27" t="str">
            <v>A115</v>
          </cell>
          <cell r="Q27" t="str">
            <v>A172</v>
          </cell>
          <cell r="W27" t="str">
            <v>A142</v>
          </cell>
          <cell r="X27" t="str">
            <v>A152</v>
          </cell>
          <cell r="AD27" t="str">
            <v>A130</v>
          </cell>
          <cell r="AE27" t="str">
            <v>A159</v>
          </cell>
        </row>
        <row r="28">
          <cell r="B28">
            <v>22</v>
          </cell>
          <cell r="C28" t="str">
            <v>SJ22</v>
          </cell>
          <cell r="D28" t="str">
            <v>GEO GIANT</v>
          </cell>
          <cell r="E28">
            <v>3</v>
          </cell>
          <cell r="F28" t="str">
            <v>Single</v>
          </cell>
          <cell r="G28" t="str">
            <v>Stage</v>
          </cell>
          <cell r="H28" t="str">
            <v>SUB JUNIOR</v>
          </cell>
          <cell r="I28" t="str">
            <v>A139</v>
          </cell>
          <cell r="J28" t="str">
            <v>A150</v>
          </cell>
          <cell r="K28" t="str">
            <v>A157</v>
          </cell>
          <cell r="P28" t="str">
            <v>A147</v>
          </cell>
          <cell r="Q28" t="str">
            <v>A164</v>
          </cell>
          <cell r="R28" t="str">
            <v>A175</v>
          </cell>
          <cell r="W28" t="str">
            <v>A104</v>
          </cell>
          <cell r="X28" t="str">
            <v>A145</v>
          </cell>
          <cell r="Y28" t="str">
            <v>A152</v>
          </cell>
          <cell r="AD28" t="str">
            <v>A103</v>
          </cell>
          <cell r="AE28" t="str">
            <v>A123</v>
          </cell>
          <cell r="AF28" t="str">
            <v>A149</v>
          </cell>
        </row>
        <row r="29">
          <cell r="B29">
            <v>23</v>
          </cell>
          <cell r="C29" t="str">
            <v>SJ23</v>
          </cell>
          <cell r="D29" t="str">
            <v>KADHAKADHANAM MLM</v>
          </cell>
          <cell r="E29">
            <v>3</v>
          </cell>
          <cell r="F29" t="str">
            <v>Single</v>
          </cell>
          <cell r="G29" t="str">
            <v>Stage</v>
          </cell>
          <cell r="H29" t="str">
            <v>SUB JUNIOR</v>
          </cell>
          <cell r="I29" t="str">
            <v>A107</v>
          </cell>
          <cell r="J29" t="str">
            <v>A129</v>
          </cell>
          <cell r="K29" t="str">
            <v>A140</v>
          </cell>
          <cell r="P29" t="str">
            <v>A113</v>
          </cell>
          <cell r="Q29" t="str">
            <v>A134</v>
          </cell>
          <cell r="R29" t="str">
            <v>A165</v>
          </cell>
          <cell r="W29" t="str">
            <v>A109</v>
          </cell>
          <cell r="X29" t="str">
            <v>A114</v>
          </cell>
          <cell r="Y29" t="str">
            <v>A135</v>
          </cell>
          <cell r="AD29" t="str">
            <v>A121</v>
          </cell>
          <cell r="AE29" t="str">
            <v>A155</v>
          </cell>
          <cell r="AF29" t="str">
            <v>A168</v>
          </cell>
        </row>
        <row r="30">
          <cell r="B30">
            <v>24</v>
          </cell>
          <cell r="C30" t="str">
            <v>SJ24</v>
          </cell>
          <cell r="D30" t="str">
            <v>NJAN MALAYALI</v>
          </cell>
          <cell r="E30">
            <v>3</v>
          </cell>
          <cell r="F30" t="str">
            <v>Single</v>
          </cell>
          <cell r="G30" t="str">
            <v>Stage</v>
          </cell>
          <cell r="H30" t="str">
            <v>SUB JUNIOR</v>
          </cell>
          <cell r="I30" t="str">
            <v>A100</v>
          </cell>
          <cell r="J30" t="str">
            <v>A140</v>
          </cell>
          <cell r="K30" t="str">
            <v>A143</v>
          </cell>
          <cell r="P30" t="str">
            <v>A165</v>
          </cell>
          <cell r="Q30" t="str">
            <v>A170</v>
          </cell>
          <cell r="R30" t="str">
            <v>A172</v>
          </cell>
          <cell r="W30" t="str">
            <v>A114</v>
          </cell>
          <cell r="X30" t="str">
            <v>A136</v>
          </cell>
          <cell r="Y30" t="str">
            <v>A142</v>
          </cell>
          <cell r="AD30" t="str">
            <v>A102</v>
          </cell>
          <cell r="AE30" t="str">
            <v>A126</v>
          </cell>
          <cell r="AF30" t="str">
            <v>A155</v>
          </cell>
        </row>
        <row r="31">
          <cell r="B31">
            <v>25</v>
          </cell>
          <cell r="C31" t="str">
            <v>SJ25</v>
          </cell>
          <cell r="D31" t="str">
            <v>POEM RECITATION</v>
          </cell>
          <cell r="E31">
            <v>3</v>
          </cell>
          <cell r="F31" t="str">
            <v>Single</v>
          </cell>
          <cell r="G31" t="str">
            <v>Stage</v>
          </cell>
          <cell r="H31" t="str">
            <v>SUB JUNIOR</v>
          </cell>
          <cell r="I31" t="str">
            <v>A110</v>
          </cell>
          <cell r="J31" t="str">
            <v>A153</v>
          </cell>
          <cell r="K31" t="str">
            <v>A169</v>
          </cell>
          <cell r="P31" t="str">
            <v>A112</v>
          </cell>
          <cell r="Q31" t="str">
            <v>A165</v>
          </cell>
          <cell r="R31" t="str">
            <v>A170</v>
          </cell>
          <cell r="W31" t="str">
            <v>A124</v>
          </cell>
          <cell r="X31" t="str">
            <v>A136</v>
          </cell>
          <cell r="Y31" t="str">
            <v>A167</v>
          </cell>
          <cell r="AD31" t="str">
            <v>A101</v>
          </cell>
          <cell r="AE31" t="str">
            <v>A141</v>
          </cell>
          <cell r="AF31" t="str">
            <v>A159</v>
          </cell>
        </row>
        <row r="32">
          <cell r="B32">
            <v>26</v>
          </cell>
          <cell r="C32" t="str">
            <v>SJ26</v>
          </cell>
          <cell r="D32" t="str">
            <v>READING ARB</v>
          </cell>
          <cell r="E32">
            <v>3</v>
          </cell>
          <cell r="F32" t="str">
            <v>Single</v>
          </cell>
          <cell r="G32" t="str">
            <v>Stage</v>
          </cell>
          <cell r="H32" t="str">
            <v>SUB JUNIOR</v>
          </cell>
          <cell r="I32" t="str">
            <v>A132</v>
          </cell>
          <cell r="J32" t="str">
            <v>A161</v>
          </cell>
          <cell r="K32" t="str">
            <v>A162</v>
          </cell>
          <cell r="P32" t="str">
            <v>A158</v>
          </cell>
          <cell r="Q32" t="str">
            <v>A174</v>
          </cell>
          <cell r="R32" t="str">
            <v>A175</v>
          </cell>
          <cell r="W32" t="str">
            <v>A109</v>
          </cell>
          <cell r="X32" t="str">
            <v>A136</v>
          </cell>
          <cell r="Y32" t="str">
            <v>A146</v>
          </cell>
          <cell r="AD32" t="str">
            <v>A103</v>
          </cell>
          <cell r="AE32" t="str">
            <v>A121</v>
          </cell>
          <cell r="AF32" t="str">
            <v>A126</v>
          </cell>
        </row>
        <row r="33">
          <cell r="B33">
            <v>27</v>
          </cell>
          <cell r="C33" t="str">
            <v>SJ27</v>
          </cell>
          <cell r="D33" t="str">
            <v>READING ENG</v>
          </cell>
          <cell r="E33">
            <v>3</v>
          </cell>
          <cell r="F33" t="str">
            <v>Single</v>
          </cell>
          <cell r="G33" t="str">
            <v>Stage</v>
          </cell>
          <cell r="H33" t="str">
            <v>SUB JUNIOR</v>
          </cell>
          <cell r="I33" t="str">
            <v>A105</v>
          </cell>
          <cell r="J33" t="str">
            <v>A143</v>
          </cell>
          <cell r="K33" t="str">
            <v>A150</v>
          </cell>
          <cell r="P33" t="str">
            <v>A113</v>
          </cell>
          <cell r="Q33" t="str">
            <v>A120</v>
          </cell>
          <cell r="R33" t="str">
            <v>A171</v>
          </cell>
          <cell r="W33" t="str">
            <v>A104</v>
          </cell>
          <cell r="X33" t="str">
            <v>A166</v>
          </cell>
          <cell r="Y33" t="str">
            <v>A173</v>
          </cell>
          <cell r="AD33" t="str">
            <v>A103</v>
          </cell>
          <cell r="AE33" t="str">
            <v>A144</v>
          </cell>
        </row>
        <row r="34">
          <cell r="B34">
            <v>28</v>
          </cell>
          <cell r="C34" t="str">
            <v>SJ28</v>
          </cell>
          <cell r="D34" t="str">
            <v>READING HINDI</v>
          </cell>
          <cell r="E34">
            <v>3</v>
          </cell>
          <cell r="F34" t="str">
            <v>Single</v>
          </cell>
          <cell r="G34" t="str">
            <v>Stage</v>
          </cell>
          <cell r="H34" t="str">
            <v>SUB JUNIOR</v>
          </cell>
          <cell r="I34" t="str">
            <v>A100</v>
          </cell>
          <cell r="J34" t="str">
            <v>A150</v>
          </cell>
          <cell r="K34" t="str">
            <v>A161</v>
          </cell>
          <cell r="P34" t="str">
            <v>A147</v>
          </cell>
          <cell r="Q34" t="str">
            <v>A164</v>
          </cell>
          <cell r="R34" t="str">
            <v>A171</v>
          </cell>
          <cell r="W34" t="str">
            <v>A145</v>
          </cell>
          <cell r="X34" t="str">
            <v>A148</v>
          </cell>
          <cell r="Y34" t="str">
            <v>A173</v>
          </cell>
          <cell r="AD34" t="str">
            <v>A141</v>
          </cell>
          <cell r="AE34" t="str">
            <v>A144</v>
          </cell>
          <cell r="AF34" t="str">
            <v>A149</v>
          </cell>
        </row>
        <row r="35">
          <cell r="B35">
            <v>29</v>
          </cell>
          <cell r="C35" t="str">
            <v>SJ29</v>
          </cell>
          <cell r="D35" t="str">
            <v>READING MLM</v>
          </cell>
          <cell r="E35">
            <v>3</v>
          </cell>
          <cell r="F35" t="str">
            <v>Single</v>
          </cell>
          <cell r="G35" t="str">
            <v>Stage</v>
          </cell>
          <cell r="H35" t="str">
            <v>SUB JUNIOR</v>
          </cell>
          <cell r="I35" t="str">
            <v>A111</v>
          </cell>
          <cell r="J35" t="str">
            <v>A122</v>
          </cell>
          <cell r="K35" t="str">
            <v>A169</v>
          </cell>
          <cell r="P35" t="str">
            <v>A112</v>
          </cell>
          <cell r="Q35" t="str">
            <v>A125</v>
          </cell>
          <cell r="R35" t="str">
            <v>A174</v>
          </cell>
          <cell r="W35" t="str">
            <v>A106</v>
          </cell>
          <cell r="X35" t="str">
            <v>A114</v>
          </cell>
          <cell r="Y35" t="str">
            <v>A152</v>
          </cell>
          <cell r="AD35" t="str">
            <v>A141</v>
          </cell>
          <cell r="AE35" t="str">
            <v>A159</v>
          </cell>
          <cell r="AF35" t="str">
            <v>A168</v>
          </cell>
        </row>
        <row r="36">
          <cell r="B36">
            <v>30</v>
          </cell>
          <cell r="C36" t="str">
            <v>SJ30</v>
          </cell>
          <cell r="D36" t="str">
            <v>READING URD</v>
          </cell>
          <cell r="E36">
            <v>3</v>
          </cell>
          <cell r="F36" t="str">
            <v>Single</v>
          </cell>
          <cell r="G36" t="str">
            <v>Stage</v>
          </cell>
          <cell r="H36" t="str">
            <v>SUB JUNIOR</v>
          </cell>
          <cell r="I36" t="str">
            <v>A100</v>
          </cell>
          <cell r="J36" t="str">
            <v>A139</v>
          </cell>
          <cell r="K36" t="str">
            <v>A151</v>
          </cell>
          <cell r="P36" t="str">
            <v>A115</v>
          </cell>
          <cell r="Q36" t="str">
            <v>A164</v>
          </cell>
          <cell r="R36" t="str">
            <v>A172</v>
          </cell>
          <cell r="W36" t="str">
            <v>A135</v>
          </cell>
          <cell r="X36" t="str">
            <v>A145</v>
          </cell>
          <cell r="Y36" t="str">
            <v>A148</v>
          </cell>
          <cell r="AD36" t="str">
            <v>A123</v>
          </cell>
          <cell r="AE36" t="str">
            <v>A141</v>
          </cell>
          <cell r="AF36" t="str">
            <v>A144</v>
          </cell>
        </row>
        <row r="37">
          <cell r="B37">
            <v>31</v>
          </cell>
          <cell r="C37" t="str">
            <v>SJ31</v>
          </cell>
          <cell r="D37" t="str">
            <v>SONG ARB</v>
          </cell>
          <cell r="E37">
            <v>3</v>
          </cell>
          <cell r="F37" t="str">
            <v>Single</v>
          </cell>
          <cell r="G37" t="str">
            <v>Stage</v>
          </cell>
          <cell r="H37" t="str">
            <v>SUB JUNIOR</v>
          </cell>
          <cell r="I37" t="str">
            <v>A110</v>
          </cell>
          <cell r="J37" t="str">
            <v>A139</v>
          </cell>
          <cell r="K37" t="str">
            <v>A151</v>
          </cell>
          <cell r="P37" t="str">
            <v>A115</v>
          </cell>
          <cell r="Q37" t="str">
            <v>A158</v>
          </cell>
          <cell r="R37" t="str">
            <v>A174</v>
          </cell>
          <cell r="W37" t="str">
            <v>A108</v>
          </cell>
          <cell r="X37" t="str">
            <v>A142</v>
          </cell>
          <cell r="Y37" t="str">
            <v>A163</v>
          </cell>
          <cell r="AD37" t="str">
            <v>A102</v>
          </cell>
          <cell r="AE37" t="str">
            <v>A121</v>
          </cell>
          <cell r="AF37" t="str">
            <v>A154</v>
          </cell>
        </row>
        <row r="38">
          <cell r="B38">
            <v>32</v>
          </cell>
          <cell r="C38" t="str">
            <v>SJ32</v>
          </cell>
          <cell r="D38" t="str">
            <v>SONG MLM</v>
          </cell>
          <cell r="E38">
            <v>3</v>
          </cell>
          <cell r="F38" t="str">
            <v>Single</v>
          </cell>
          <cell r="G38" t="str">
            <v>Stage</v>
          </cell>
          <cell r="H38" t="str">
            <v>SUB JUNIOR</v>
          </cell>
          <cell r="I38" t="str">
            <v>A110</v>
          </cell>
          <cell r="J38" t="str">
            <v>A111</v>
          </cell>
          <cell r="K38" t="str">
            <v>A153</v>
          </cell>
          <cell r="P38" t="str">
            <v>A115</v>
          </cell>
          <cell r="Q38" t="str">
            <v>A131</v>
          </cell>
          <cell r="R38" t="str">
            <v>A174</v>
          </cell>
          <cell r="W38" t="str">
            <v>A127</v>
          </cell>
          <cell r="X38" t="str">
            <v>A152</v>
          </cell>
          <cell r="Y38" t="str">
            <v>A163</v>
          </cell>
          <cell r="AD38" t="str">
            <v>A102</v>
          </cell>
          <cell r="AE38" t="str">
            <v>A154</v>
          </cell>
          <cell r="AF38" t="str">
            <v>A160</v>
          </cell>
        </row>
        <row r="39">
          <cell r="B39">
            <v>33</v>
          </cell>
          <cell r="C39" t="str">
            <v>SJ33</v>
          </cell>
          <cell r="D39" t="str">
            <v>SONG URD</v>
          </cell>
          <cell r="E39">
            <v>3</v>
          </cell>
          <cell r="F39" t="str">
            <v>Single</v>
          </cell>
          <cell r="G39" t="str">
            <v>Stage</v>
          </cell>
          <cell r="H39" t="str">
            <v>SUB JUNIOR</v>
          </cell>
          <cell r="I39" t="str">
            <v>A140</v>
          </cell>
          <cell r="J39" t="str">
            <v>A153</v>
          </cell>
          <cell r="K39" t="str">
            <v>A122</v>
          </cell>
          <cell r="P39" t="str">
            <v>A125</v>
          </cell>
          <cell r="Q39" t="str">
            <v>A131</v>
          </cell>
          <cell r="R39" t="str">
            <v>A158</v>
          </cell>
          <cell r="W39" t="str">
            <v>A152</v>
          </cell>
          <cell r="X39" t="str">
            <v>A166</v>
          </cell>
          <cell r="Y39" t="str">
            <v>A167</v>
          </cell>
          <cell r="AD39" t="str">
            <v>A121</v>
          </cell>
          <cell r="AE39" t="str">
            <v>A123</v>
          </cell>
          <cell r="AF39" t="str">
            <v>A144</v>
          </cell>
        </row>
        <row r="40">
          <cell r="B40">
            <v>34</v>
          </cell>
          <cell r="C40" t="str">
            <v>SJ34</v>
          </cell>
          <cell r="D40" t="str">
            <v>SPEECH ARB</v>
          </cell>
          <cell r="E40">
            <v>3</v>
          </cell>
          <cell r="F40" t="str">
            <v>Single</v>
          </cell>
          <cell r="G40" t="str">
            <v>Stage</v>
          </cell>
          <cell r="H40" t="str">
            <v>SUB JUNIOR</v>
          </cell>
          <cell r="I40" t="str">
            <v>A157</v>
          </cell>
          <cell r="J40" t="str">
            <v>A161</v>
          </cell>
          <cell r="K40" t="str">
            <v>A162</v>
          </cell>
          <cell r="P40" t="str">
            <v>A125</v>
          </cell>
          <cell r="Q40" t="str">
            <v>A171</v>
          </cell>
          <cell r="R40" t="str">
            <v>A172</v>
          </cell>
          <cell r="W40" t="str">
            <v>A109</v>
          </cell>
          <cell r="X40" t="str">
            <v>A136</v>
          </cell>
          <cell r="Y40" t="str">
            <v>A146</v>
          </cell>
          <cell r="AD40" t="str">
            <v>A121</v>
          </cell>
          <cell r="AE40" t="str">
            <v>A126</v>
          </cell>
          <cell r="AF40" t="str">
            <v>A154</v>
          </cell>
        </row>
        <row r="41">
          <cell r="B41">
            <v>35</v>
          </cell>
          <cell r="C41" t="str">
            <v>SJ35</v>
          </cell>
          <cell r="D41" t="str">
            <v>SPEECH ENG</v>
          </cell>
          <cell r="E41">
            <v>3</v>
          </cell>
          <cell r="F41" t="str">
            <v>Single</v>
          </cell>
          <cell r="G41" t="str">
            <v>Stage</v>
          </cell>
          <cell r="H41" t="str">
            <v>SUB JUNIOR</v>
          </cell>
          <cell r="I41" t="str">
            <v>A105</v>
          </cell>
          <cell r="J41" t="str">
            <v>A143</v>
          </cell>
          <cell r="K41" t="str">
            <v>A150</v>
          </cell>
          <cell r="P41" t="str">
            <v>A113</v>
          </cell>
          <cell r="Q41" t="str">
            <v>A131</v>
          </cell>
          <cell r="R41" t="str">
            <v>A158</v>
          </cell>
          <cell r="W41" t="str">
            <v>A127</v>
          </cell>
          <cell r="X41" t="str">
            <v>A166</v>
          </cell>
          <cell r="Y41" t="str">
            <v>A173</v>
          </cell>
          <cell r="AD41" t="str">
            <v>A103</v>
          </cell>
          <cell r="AE41" t="str">
            <v>A119</v>
          </cell>
          <cell r="AF41" t="str">
            <v>A130</v>
          </cell>
        </row>
        <row r="42">
          <cell r="B42">
            <v>36</v>
          </cell>
          <cell r="C42" t="str">
            <v>SJ36</v>
          </cell>
          <cell r="D42" t="str">
            <v>SPEECH MLM</v>
          </cell>
          <cell r="E42">
            <v>3</v>
          </cell>
          <cell r="F42" t="str">
            <v>Single</v>
          </cell>
          <cell r="G42" t="str">
            <v>Stage</v>
          </cell>
          <cell r="H42" t="str">
            <v>SUB JUNIOR</v>
          </cell>
          <cell r="I42" t="str">
            <v>A111</v>
          </cell>
          <cell r="J42" t="str">
            <v>A129</v>
          </cell>
          <cell r="K42" t="str">
            <v>A140</v>
          </cell>
          <cell r="P42" t="str">
            <v>A112</v>
          </cell>
          <cell r="Q42" t="str">
            <v>A165</v>
          </cell>
          <cell r="R42" t="str">
            <v>A170</v>
          </cell>
          <cell r="W42" t="str">
            <v>A108</v>
          </cell>
          <cell r="X42" t="str">
            <v>A109</v>
          </cell>
          <cell r="Y42" t="str">
            <v>A114</v>
          </cell>
          <cell r="AD42" t="str">
            <v>A155</v>
          </cell>
          <cell r="AE42" t="str">
            <v>A159</v>
          </cell>
          <cell r="AF42" t="str">
            <v>A168</v>
          </cell>
        </row>
        <row r="43">
          <cell r="B43">
            <v>37</v>
          </cell>
          <cell r="C43" t="str">
            <v>SJ37</v>
          </cell>
          <cell r="D43" t="str">
            <v>SPEECH URD</v>
          </cell>
          <cell r="E43">
            <v>3</v>
          </cell>
          <cell r="F43" t="str">
            <v>Single</v>
          </cell>
          <cell r="G43" t="str">
            <v>Stage</v>
          </cell>
          <cell r="H43" t="str">
            <v>SUB JUNIOR</v>
          </cell>
          <cell r="I43" t="str">
            <v>A107</v>
          </cell>
          <cell r="J43" t="str">
            <v>A139</v>
          </cell>
          <cell r="K43" t="str">
            <v>A151</v>
          </cell>
          <cell r="P43" t="str">
            <v>A128</v>
          </cell>
          <cell r="Q43" t="str">
            <v>A137</v>
          </cell>
          <cell r="R43" t="str">
            <v>A147</v>
          </cell>
          <cell r="W43" t="str">
            <v>A104</v>
          </cell>
          <cell r="X43" t="str">
            <v>A124</v>
          </cell>
          <cell r="Y43" t="str">
            <v>A148</v>
          </cell>
          <cell r="AD43" t="str">
            <v>A121</v>
          </cell>
          <cell r="AE43" t="str">
            <v>A144</v>
          </cell>
          <cell r="AF43" t="str">
            <v>A149</v>
          </cell>
        </row>
        <row r="44">
          <cell r="B44">
            <v>38</v>
          </cell>
          <cell r="C44" t="str">
            <v>SJ38</v>
          </cell>
          <cell r="D44" t="str">
            <v>STORRY NARRATION ENG</v>
          </cell>
          <cell r="E44">
            <v>3</v>
          </cell>
          <cell r="F44" t="str">
            <v>Single</v>
          </cell>
          <cell r="G44" t="str">
            <v>Stage</v>
          </cell>
          <cell r="H44" t="str">
            <v>SUB JUNIOR</v>
          </cell>
          <cell r="I44" t="str">
            <v>A143</v>
          </cell>
          <cell r="J44" t="str">
            <v>A150</v>
          </cell>
          <cell r="K44" t="str">
            <v>A161</v>
          </cell>
          <cell r="P44" t="str">
            <v>A113</v>
          </cell>
          <cell r="Q44" t="str">
            <v>A120</v>
          </cell>
          <cell r="R44" t="str">
            <v>A131</v>
          </cell>
          <cell r="W44" t="str">
            <v>A108</v>
          </cell>
          <cell r="X44" t="str">
            <v>A127</v>
          </cell>
          <cell r="Y44" t="str">
            <v>A166</v>
          </cell>
          <cell r="AD44" t="str">
            <v>A119</v>
          </cell>
          <cell r="AE44" t="str">
            <v>A130</v>
          </cell>
          <cell r="AF44" t="str">
            <v>A117</v>
          </cell>
        </row>
        <row r="45">
          <cell r="B45">
            <v>39</v>
          </cell>
          <cell r="C45" t="str">
            <v>SJ39</v>
          </cell>
          <cell r="D45" t="str">
            <v>WAʿẒ</v>
          </cell>
          <cell r="E45">
            <v>3</v>
          </cell>
          <cell r="F45" t="str">
            <v>Single</v>
          </cell>
          <cell r="G45" t="str">
            <v>Stage</v>
          </cell>
          <cell r="H45" t="str">
            <v>SUB JUNIOR</v>
          </cell>
          <cell r="I45" t="str">
            <v>A140</v>
          </cell>
          <cell r="J45" t="str">
            <v>A157</v>
          </cell>
          <cell r="K45" t="str">
            <v>A162</v>
          </cell>
          <cell r="P45" t="str">
            <v>A113</v>
          </cell>
          <cell r="Q45" t="str">
            <v>A170</v>
          </cell>
          <cell r="R45" t="str">
            <v>A174</v>
          </cell>
          <cell r="W45" t="str">
            <v>A146</v>
          </cell>
          <cell r="X45" t="str">
            <v>A163</v>
          </cell>
          <cell r="Y45" t="str">
            <v>A166</v>
          </cell>
          <cell r="AD45" t="str">
            <v>A130</v>
          </cell>
          <cell r="AE45" t="str">
            <v>A156</v>
          </cell>
          <cell r="AF45" t="str">
            <v>A168</v>
          </cell>
        </row>
        <row r="46">
          <cell r="B46">
            <v>40</v>
          </cell>
          <cell r="C46" t="str">
            <v>SJ40</v>
          </cell>
          <cell r="D46" t="str">
            <v>WORD WIZARD</v>
          </cell>
          <cell r="E46">
            <v>3</v>
          </cell>
          <cell r="F46" t="str">
            <v>Single</v>
          </cell>
          <cell r="G46" t="str">
            <v>Stage</v>
          </cell>
          <cell r="H46" t="str">
            <v>SUB JUNIOR</v>
          </cell>
          <cell r="I46" t="str">
            <v>A143</v>
          </cell>
          <cell r="J46" t="str">
            <v>A150</v>
          </cell>
          <cell r="K46" t="str">
            <v>A161</v>
          </cell>
          <cell r="P46" t="str">
            <v>A147</v>
          </cell>
          <cell r="Q46" t="str">
            <v>A158</v>
          </cell>
          <cell r="R46" t="str">
            <v>A164</v>
          </cell>
          <cell r="W46" t="str">
            <v>A104</v>
          </cell>
          <cell r="X46" t="str">
            <v>A145</v>
          </cell>
          <cell r="Y46" t="str">
            <v>A166</v>
          </cell>
          <cell r="AD46" t="str">
            <v>A103</v>
          </cell>
          <cell r="AE46" t="str">
            <v>A126</v>
          </cell>
          <cell r="AF46" t="str">
            <v>A141</v>
          </cell>
        </row>
        <row r="47">
          <cell r="B47">
            <v>41</v>
          </cell>
          <cell r="C47" t="str">
            <v>SJ41</v>
          </cell>
          <cell r="D47" t="str">
            <v>CONVERSATION MLM</v>
          </cell>
          <cell r="E47">
            <v>2</v>
          </cell>
          <cell r="F47" t="str">
            <v>Group</v>
          </cell>
          <cell r="G47" t="str">
            <v>Stage</v>
          </cell>
          <cell r="H47" t="str">
            <v>SUB JUNIOR</v>
          </cell>
          <cell r="I47" t="str">
            <v>A105</v>
          </cell>
          <cell r="J47" t="str">
            <v>A129</v>
          </cell>
          <cell r="P47" t="str">
            <v>A131</v>
          </cell>
          <cell r="Q47" t="str">
            <v>A134</v>
          </cell>
          <cell r="W47" t="str">
            <v>A127</v>
          </cell>
          <cell r="X47" t="str">
            <v>A166</v>
          </cell>
          <cell r="AD47" t="str">
            <v>A155</v>
          </cell>
          <cell r="AE47" t="str">
            <v>A156</v>
          </cell>
        </row>
        <row r="48">
          <cell r="B48">
            <v>42</v>
          </cell>
          <cell r="C48" t="str">
            <v>SJ42</v>
          </cell>
          <cell r="D48" t="str">
            <v>MASH UP</v>
          </cell>
          <cell r="E48">
            <v>6</v>
          </cell>
          <cell r="F48" t="str">
            <v>Group</v>
          </cell>
          <cell r="G48" t="str">
            <v>Stage</v>
          </cell>
          <cell r="H48" t="str">
            <v>SUB JUNIOR</v>
          </cell>
          <cell r="I48" t="str">
            <v>A110</v>
          </cell>
          <cell r="J48" t="str">
            <v>A111</v>
          </cell>
          <cell r="K48" t="str">
            <v>A140</v>
          </cell>
          <cell r="L48" t="str">
            <v>A143</v>
          </cell>
          <cell r="M48" t="str">
            <v>A151</v>
          </cell>
          <cell r="N48" t="str">
            <v>A153</v>
          </cell>
          <cell r="P48" t="str">
            <v>A115</v>
          </cell>
          <cell r="Q48" t="str">
            <v>A158</v>
          </cell>
          <cell r="R48" t="str">
            <v>A174</v>
          </cell>
          <cell r="S48" t="str">
            <v>A113</v>
          </cell>
          <cell r="T48" t="str">
            <v>A125</v>
          </cell>
          <cell r="U48" t="str">
            <v>A131</v>
          </cell>
          <cell r="W48" t="str">
            <v>A127</v>
          </cell>
          <cell r="X48" t="str">
            <v>A142</v>
          </cell>
          <cell r="Y48" t="str">
            <v>A167</v>
          </cell>
          <cell r="Z48" t="str">
            <v>A152</v>
          </cell>
          <cell r="AA48" t="str">
            <v>A163</v>
          </cell>
          <cell r="AB48" t="str">
            <v>A166</v>
          </cell>
          <cell r="AD48" t="str">
            <v>A102</v>
          </cell>
          <cell r="AE48" t="str">
            <v>A121</v>
          </cell>
          <cell r="AF48" t="str">
            <v>A144</v>
          </cell>
          <cell r="AG48" t="str">
            <v>A154</v>
          </cell>
          <cell r="AH48" t="str">
            <v>A159</v>
          </cell>
          <cell r="AI48" t="str">
            <v>A160</v>
          </cell>
        </row>
        <row r="49">
          <cell r="B49">
            <v>43</v>
          </cell>
          <cell r="C49" t="str">
            <v>SJ43</v>
          </cell>
          <cell r="D49" t="str">
            <v>SPEECH &amp; SONG MLM</v>
          </cell>
          <cell r="E49">
            <v>3</v>
          </cell>
          <cell r="F49" t="str">
            <v>Group</v>
          </cell>
          <cell r="G49" t="str">
            <v>Stage</v>
          </cell>
          <cell r="H49" t="str">
            <v>SUB JUNIOR</v>
          </cell>
          <cell r="I49" t="str">
            <v>A111</v>
          </cell>
          <cell r="J49" t="str">
            <v>A140</v>
          </cell>
          <cell r="K49" t="str">
            <v>A153</v>
          </cell>
          <cell r="P49" t="str">
            <v>A158</v>
          </cell>
          <cell r="Q49" t="str">
            <v>A165</v>
          </cell>
          <cell r="R49" t="str">
            <v>A174</v>
          </cell>
          <cell r="W49" t="str">
            <v>A152</v>
          </cell>
          <cell r="X49" t="str">
            <v>A163</v>
          </cell>
          <cell r="Y49" t="str">
            <v>A166</v>
          </cell>
          <cell r="AD49" t="str">
            <v>A154</v>
          </cell>
          <cell r="AE49" t="str">
            <v>A155</v>
          </cell>
          <cell r="AF49" t="str">
            <v>A160</v>
          </cell>
        </row>
        <row r="50">
          <cell r="B50">
            <v>44</v>
          </cell>
          <cell r="C50" t="str">
            <v>JN01</v>
          </cell>
          <cell r="D50" t="str">
            <v>ACRYLIC PAINTING</v>
          </cell>
          <cell r="E50">
            <v>3</v>
          </cell>
          <cell r="F50" t="str">
            <v>Single</v>
          </cell>
          <cell r="G50" t="str">
            <v>Non-Stg</v>
          </cell>
          <cell r="H50" t="str">
            <v>JUNIOR</v>
          </cell>
          <cell r="I50" t="str">
            <v>B111</v>
          </cell>
          <cell r="J50" t="str">
            <v>B115</v>
          </cell>
          <cell r="K50" t="str">
            <v>B145</v>
          </cell>
          <cell r="P50" t="str">
            <v>B124</v>
          </cell>
          <cell r="Q50" t="str">
            <v>B154</v>
          </cell>
          <cell r="R50" t="str">
            <v>B161</v>
          </cell>
          <cell r="W50" t="str">
            <v>B106</v>
          </cell>
          <cell r="X50" t="str">
            <v>B137</v>
          </cell>
          <cell r="Y50" t="str">
            <v>B151</v>
          </cell>
          <cell r="AD50" t="str">
            <v>B119</v>
          </cell>
          <cell r="AE50" t="str">
            <v>B131</v>
          </cell>
          <cell r="AF50" t="str">
            <v>B107</v>
          </cell>
        </row>
        <row r="51">
          <cell r="B51">
            <v>45</v>
          </cell>
          <cell r="C51" t="str">
            <v>JN02</v>
          </cell>
          <cell r="D51" t="str">
            <v>CALLIGRAPHY</v>
          </cell>
          <cell r="E51">
            <v>2</v>
          </cell>
          <cell r="F51" t="str">
            <v>Single</v>
          </cell>
          <cell r="G51" t="str">
            <v>Non-Stg</v>
          </cell>
          <cell r="H51" t="str">
            <v>JUNIOR</v>
          </cell>
          <cell r="I51" t="str">
            <v>B115</v>
          </cell>
          <cell r="J51" t="str">
            <v>B145</v>
          </cell>
          <cell r="P51" t="str">
            <v>B154</v>
          </cell>
          <cell r="Q51" t="str">
            <v>B161</v>
          </cell>
          <cell r="W51" t="str">
            <v>B106</v>
          </cell>
          <cell r="X51" t="str">
            <v>B164</v>
          </cell>
          <cell r="AD51" t="str">
            <v>B131</v>
          </cell>
          <cell r="AE51" t="str">
            <v>B134</v>
          </cell>
        </row>
        <row r="52">
          <cell r="B52">
            <v>46</v>
          </cell>
          <cell r="C52" t="str">
            <v>JN03</v>
          </cell>
          <cell r="D52" t="str">
            <v>CAPTION MAKING</v>
          </cell>
          <cell r="E52">
            <v>3</v>
          </cell>
          <cell r="F52" t="str">
            <v>Single</v>
          </cell>
          <cell r="G52" t="str">
            <v>Non-Stg</v>
          </cell>
          <cell r="H52" t="str">
            <v>JUNIOR</v>
          </cell>
          <cell r="I52" t="str">
            <v>B104</v>
          </cell>
          <cell r="J52" t="str">
            <v>B129</v>
          </cell>
          <cell r="K52" t="str">
            <v>B150</v>
          </cell>
          <cell r="P52" t="str">
            <v>B109</v>
          </cell>
          <cell r="Q52" t="str">
            <v>B114</v>
          </cell>
          <cell r="R52" t="str">
            <v>B122</v>
          </cell>
          <cell r="W52" t="str">
            <v>B138</v>
          </cell>
          <cell r="X52" t="str">
            <v>B146</v>
          </cell>
          <cell r="Y52" t="str">
            <v>B164</v>
          </cell>
          <cell r="AD52" t="str">
            <v>B108</v>
          </cell>
          <cell r="AE52" t="str">
            <v>B133</v>
          </cell>
          <cell r="AF52" t="str">
            <v>B147</v>
          </cell>
        </row>
        <row r="53">
          <cell r="B53">
            <v>47</v>
          </cell>
          <cell r="C53" t="str">
            <v>JN04</v>
          </cell>
          <cell r="D53" t="str">
            <v>CARTOON</v>
          </cell>
          <cell r="E53">
            <v>2</v>
          </cell>
          <cell r="F53" t="str">
            <v>Single</v>
          </cell>
          <cell r="G53" t="str">
            <v>Non-Stg</v>
          </cell>
          <cell r="H53" t="str">
            <v>JUNIOR</v>
          </cell>
          <cell r="I53" t="str">
            <v>B120</v>
          </cell>
          <cell r="J53" t="str">
            <v>B129</v>
          </cell>
          <cell r="P53" t="str">
            <v>B132</v>
          </cell>
          <cell r="Q53" t="str">
            <v>B161</v>
          </cell>
          <cell r="W53" t="str">
            <v>B106</v>
          </cell>
          <cell r="X53" t="str">
            <v>B137</v>
          </cell>
          <cell r="AD53" t="str">
            <v>B107</v>
          </cell>
          <cell r="AE53" t="str">
            <v>B119</v>
          </cell>
        </row>
        <row r="54">
          <cell r="B54">
            <v>48</v>
          </cell>
          <cell r="C54" t="str">
            <v>JN05</v>
          </cell>
          <cell r="D54" t="str">
            <v>ESSAY ARB</v>
          </cell>
          <cell r="E54">
            <v>3</v>
          </cell>
          <cell r="F54" t="str">
            <v>Single</v>
          </cell>
          <cell r="G54" t="str">
            <v>Non-Stg</v>
          </cell>
          <cell r="H54" t="str">
            <v>JUNIOR</v>
          </cell>
          <cell r="I54" t="str">
            <v>B102</v>
          </cell>
          <cell r="J54" t="str">
            <v>B130</v>
          </cell>
          <cell r="K54" t="str">
            <v>B135</v>
          </cell>
          <cell r="P54" t="str">
            <v>B124</v>
          </cell>
          <cell r="Q54" t="str">
            <v>B149</v>
          </cell>
          <cell r="R54" t="str">
            <v>B158</v>
          </cell>
          <cell r="W54" t="str">
            <v>B100</v>
          </cell>
          <cell r="X54" t="str">
            <v>B121</v>
          </cell>
          <cell r="Y54" t="str">
            <v>B146</v>
          </cell>
          <cell r="AD54" t="str">
            <v>B118</v>
          </cell>
          <cell r="AE54" t="str">
            <v>B162</v>
          </cell>
          <cell r="AF54" t="str">
            <v>B163</v>
          </cell>
        </row>
        <row r="55">
          <cell r="B55">
            <v>49</v>
          </cell>
          <cell r="C55" t="str">
            <v>JN06</v>
          </cell>
          <cell r="D55" t="str">
            <v>ESSAY ENG</v>
          </cell>
          <cell r="E55">
            <v>3</v>
          </cell>
          <cell r="F55" t="str">
            <v>Single</v>
          </cell>
          <cell r="G55" t="str">
            <v>Non-Stg</v>
          </cell>
          <cell r="H55" t="str">
            <v>JUNIOR</v>
          </cell>
          <cell r="I55" t="str">
            <v>B123</v>
          </cell>
          <cell r="J55" t="str">
            <v>B157</v>
          </cell>
          <cell r="K55" t="str">
            <v>B135</v>
          </cell>
          <cell r="P55" t="str">
            <v>B127</v>
          </cell>
          <cell r="Q55" t="str">
            <v>B158</v>
          </cell>
          <cell r="R55" t="str">
            <v>B159</v>
          </cell>
          <cell r="W55" t="str">
            <v>B140</v>
          </cell>
          <cell r="X55" t="str">
            <v>B142</v>
          </cell>
          <cell r="Y55" t="str">
            <v>B153</v>
          </cell>
          <cell r="AD55" t="str">
            <v>B107</v>
          </cell>
          <cell r="AE55" t="str">
            <v>B108</v>
          </cell>
          <cell r="AF55" t="str">
            <v>B134</v>
          </cell>
        </row>
        <row r="56">
          <cell r="B56">
            <v>50</v>
          </cell>
          <cell r="C56" t="str">
            <v>JN07</v>
          </cell>
          <cell r="D56" t="str">
            <v>ESSAY MLM</v>
          </cell>
          <cell r="E56">
            <v>3</v>
          </cell>
          <cell r="F56" t="str">
            <v>Single</v>
          </cell>
          <cell r="G56" t="str">
            <v>Non-Stg</v>
          </cell>
          <cell r="H56" t="str">
            <v>JUNIOR</v>
          </cell>
          <cell r="I56" t="str">
            <v>B111</v>
          </cell>
          <cell r="J56" t="str">
            <v>B150</v>
          </cell>
          <cell r="K56" t="str">
            <v>B157</v>
          </cell>
          <cell r="P56" t="str">
            <v>B109</v>
          </cell>
          <cell r="Q56" t="str">
            <v>B114</v>
          </cell>
          <cell r="R56" t="str">
            <v>B155</v>
          </cell>
          <cell r="W56" t="str">
            <v>B138</v>
          </cell>
          <cell r="X56" t="str">
            <v>B146</v>
          </cell>
          <cell r="Y56" t="str">
            <v>B164</v>
          </cell>
          <cell r="AD56" t="str">
            <v>B147</v>
          </cell>
          <cell r="AE56" t="str">
            <v>B152</v>
          </cell>
          <cell r="AF56" t="str">
            <v>B163</v>
          </cell>
        </row>
        <row r="57">
          <cell r="B57">
            <v>51</v>
          </cell>
          <cell r="C57" t="str">
            <v>JN08</v>
          </cell>
          <cell r="D57" t="str">
            <v>ESSAY URD</v>
          </cell>
          <cell r="E57">
            <v>3</v>
          </cell>
          <cell r="F57" t="str">
            <v>Single</v>
          </cell>
          <cell r="G57" t="str">
            <v>Non-Stg</v>
          </cell>
          <cell r="H57" t="str">
            <v>JUNIOR</v>
          </cell>
          <cell r="I57" t="str">
            <v>B120</v>
          </cell>
          <cell r="J57" t="str">
            <v>B141</v>
          </cell>
          <cell r="K57" t="str">
            <v>B150</v>
          </cell>
          <cell r="P57" t="str">
            <v>B132</v>
          </cell>
          <cell r="Q57" t="str">
            <v>B139</v>
          </cell>
          <cell r="R57" t="str">
            <v>B154</v>
          </cell>
          <cell r="W57" t="str">
            <v>B103</v>
          </cell>
          <cell r="X57" t="str">
            <v>B137</v>
          </cell>
          <cell r="Y57" t="str">
            <v>B140</v>
          </cell>
          <cell r="AD57" t="str">
            <v>B118</v>
          </cell>
          <cell r="AE57" t="str">
            <v>B147</v>
          </cell>
          <cell r="AF57" t="str">
            <v>B152</v>
          </cell>
        </row>
        <row r="58">
          <cell r="B58">
            <v>52</v>
          </cell>
          <cell r="C58" t="str">
            <v>JN09</v>
          </cell>
          <cell r="D58" t="str">
            <v>GEO GIANT</v>
          </cell>
          <cell r="E58">
            <v>3</v>
          </cell>
          <cell r="F58" t="str">
            <v>Single</v>
          </cell>
          <cell r="G58" t="str">
            <v>Non-Stg</v>
          </cell>
          <cell r="H58" t="str">
            <v>JUNIOR</v>
          </cell>
          <cell r="I58" t="str">
            <v>B104</v>
          </cell>
          <cell r="J58" t="str">
            <v>B123</v>
          </cell>
          <cell r="K58" t="str">
            <v>B144</v>
          </cell>
          <cell r="P58" t="str">
            <v>B122</v>
          </cell>
          <cell r="Q58" t="str">
            <v>B110</v>
          </cell>
          <cell r="R58" t="str">
            <v>B158</v>
          </cell>
          <cell r="W58" t="str">
            <v>B113</v>
          </cell>
          <cell r="X58" t="str">
            <v>B136</v>
          </cell>
          <cell r="Y58" t="str">
            <v>B137</v>
          </cell>
          <cell r="AD58" t="str">
            <v>B131</v>
          </cell>
          <cell r="AE58" t="str">
            <v>B147</v>
          </cell>
          <cell r="AF58" t="str">
            <v>B152</v>
          </cell>
        </row>
        <row r="59">
          <cell r="B59">
            <v>53</v>
          </cell>
          <cell r="C59" t="str">
            <v>JN10</v>
          </cell>
          <cell r="D59" t="str">
            <v>GK QUIZ</v>
          </cell>
          <cell r="E59">
            <v>3</v>
          </cell>
          <cell r="F59" t="str">
            <v>Single</v>
          </cell>
          <cell r="G59" t="str">
            <v>Non-Stg</v>
          </cell>
          <cell r="H59" t="str">
            <v>JUNIOR</v>
          </cell>
          <cell r="I59" t="str">
            <v>B111</v>
          </cell>
          <cell r="J59" t="str">
            <v>B143</v>
          </cell>
          <cell r="K59" t="str">
            <v>B144</v>
          </cell>
          <cell r="P59" t="str">
            <v>B110</v>
          </cell>
          <cell r="Q59" t="str">
            <v>B122</v>
          </cell>
          <cell r="R59" t="str">
            <v>B127</v>
          </cell>
          <cell r="W59" t="str">
            <v>B113</v>
          </cell>
          <cell r="X59" t="str">
            <v>B136</v>
          </cell>
          <cell r="Y59" t="str">
            <v>B146</v>
          </cell>
          <cell r="AD59" t="str">
            <v>B108</v>
          </cell>
          <cell r="AE59" t="str">
            <v>B147</v>
          </cell>
          <cell r="AF59" t="str">
            <v>B152</v>
          </cell>
        </row>
        <row r="60">
          <cell r="B60">
            <v>54</v>
          </cell>
          <cell r="C60" t="str">
            <v>JN11</v>
          </cell>
          <cell r="D60" t="str">
            <v>ḤIFẒ</v>
          </cell>
          <cell r="E60">
            <v>3</v>
          </cell>
          <cell r="F60" t="str">
            <v>Single</v>
          </cell>
          <cell r="G60" t="str">
            <v>Non-Stg</v>
          </cell>
          <cell r="H60" t="str">
            <v>JUNIOR</v>
          </cell>
          <cell r="I60" t="str">
            <v>B102</v>
          </cell>
          <cell r="J60" t="str">
            <v>B123</v>
          </cell>
          <cell r="K60" t="str">
            <v>B130</v>
          </cell>
          <cell r="P60" t="str">
            <v>B125</v>
          </cell>
          <cell r="Q60" t="str">
            <v>B139</v>
          </cell>
          <cell r="R60" t="str">
            <v>B161</v>
          </cell>
          <cell r="W60" t="str">
            <v>B103</v>
          </cell>
          <cell r="X60" t="str">
            <v>B121</v>
          </cell>
          <cell r="Y60" t="str">
            <v>B128</v>
          </cell>
          <cell r="AD60" t="str">
            <v>B118</v>
          </cell>
          <cell r="AE60" t="str">
            <v>B133</v>
          </cell>
          <cell r="AF60" t="str">
            <v>B162</v>
          </cell>
        </row>
        <row r="61">
          <cell r="B61">
            <v>55</v>
          </cell>
          <cell r="C61" t="str">
            <v>JN12</v>
          </cell>
          <cell r="D61" t="str">
            <v>MATH TALENT</v>
          </cell>
          <cell r="E61">
            <v>3</v>
          </cell>
          <cell r="F61" t="str">
            <v>Single</v>
          </cell>
          <cell r="G61" t="str">
            <v>Non-Stg</v>
          </cell>
          <cell r="H61" t="str">
            <v>JUNIOR</v>
          </cell>
          <cell r="I61" t="str">
            <v>B104</v>
          </cell>
          <cell r="J61" t="str">
            <v>B120</v>
          </cell>
          <cell r="K61" t="str">
            <v>B144</v>
          </cell>
          <cell r="P61" t="str">
            <v>B110</v>
          </cell>
          <cell r="Q61" t="str">
            <v>B122</v>
          </cell>
          <cell r="R61" t="str">
            <v>B127</v>
          </cell>
          <cell r="W61" t="str">
            <v>B138</v>
          </cell>
          <cell r="X61" t="str">
            <v>B140</v>
          </cell>
          <cell r="Y61" t="str">
            <v>B142</v>
          </cell>
          <cell r="AD61" t="str">
            <v>B116</v>
          </cell>
          <cell r="AE61" t="str">
            <v>B148</v>
          </cell>
          <cell r="AF61" t="str">
            <v>B152</v>
          </cell>
        </row>
        <row r="62">
          <cell r="B62">
            <v>56</v>
          </cell>
          <cell r="C62" t="str">
            <v>JN13</v>
          </cell>
          <cell r="D62" t="str">
            <v>NEWS WRITING MLM</v>
          </cell>
          <cell r="E62">
            <v>3</v>
          </cell>
          <cell r="F62" t="str">
            <v>Single</v>
          </cell>
          <cell r="G62" t="str">
            <v>Non-Stg</v>
          </cell>
          <cell r="H62" t="str">
            <v>JUNIOR</v>
          </cell>
          <cell r="I62" t="str">
            <v>B115</v>
          </cell>
          <cell r="J62" t="str">
            <v>B129</v>
          </cell>
          <cell r="K62" t="str">
            <v>B143</v>
          </cell>
          <cell r="P62" t="str">
            <v>B122</v>
          </cell>
          <cell r="Q62" t="str">
            <v>B124</v>
          </cell>
          <cell r="R62" t="str">
            <v>B155</v>
          </cell>
          <cell r="W62" t="str">
            <v>B137</v>
          </cell>
          <cell r="X62" t="str">
            <v>B142</v>
          </cell>
          <cell r="Y62" t="str">
            <v>B146</v>
          </cell>
          <cell r="AD62" t="str">
            <v>B116</v>
          </cell>
          <cell r="AE62" t="str">
            <v>B133</v>
          </cell>
          <cell r="AF62" t="str">
            <v>B147</v>
          </cell>
        </row>
        <row r="63">
          <cell r="B63">
            <v>57</v>
          </cell>
          <cell r="C63" t="str">
            <v>JN14</v>
          </cell>
          <cell r="D63" t="str">
            <v>PAINTING</v>
          </cell>
          <cell r="E63">
            <v>2</v>
          </cell>
          <cell r="F63" t="str">
            <v>Single</v>
          </cell>
          <cell r="G63" t="str">
            <v>Non-Stg</v>
          </cell>
          <cell r="H63" t="str">
            <v>JUNIOR</v>
          </cell>
          <cell r="I63" t="str">
            <v>B115</v>
          </cell>
          <cell r="J63" t="str">
            <v>B145</v>
          </cell>
          <cell r="P63" t="str">
            <v>B132</v>
          </cell>
          <cell r="Q63" t="str">
            <v>B161</v>
          </cell>
          <cell r="W63" t="str">
            <v>B106</v>
          </cell>
          <cell r="X63" t="str">
            <v>B164</v>
          </cell>
          <cell r="AD63" t="str">
            <v>B107</v>
          </cell>
          <cell r="AE63" t="str">
            <v>B148</v>
          </cell>
        </row>
        <row r="64">
          <cell r="B64">
            <v>58</v>
          </cell>
          <cell r="C64" t="str">
            <v>JN15</v>
          </cell>
          <cell r="D64" t="str">
            <v>POEM ARB</v>
          </cell>
          <cell r="E64">
            <v>3</v>
          </cell>
          <cell r="F64" t="str">
            <v>Single</v>
          </cell>
          <cell r="G64" t="str">
            <v>Non-Stg</v>
          </cell>
          <cell r="H64" t="str">
            <v>JUNIOR</v>
          </cell>
          <cell r="I64" t="str">
            <v>B102</v>
          </cell>
          <cell r="J64" t="str">
            <v>B135</v>
          </cell>
          <cell r="K64" t="str">
            <v>B145</v>
          </cell>
          <cell r="P64" t="str">
            <v>B125</v>
          </cell>
          <cell r="Q64" t="str">
            <v>B149</v>
          </cell>
          <cell r="R64" t="str">
            <v>B155</v>
          </cell>
          <cell r="W64" t="str">
            <v>B100</v>
          </cell>
          <cell r="X64" t="str">
            <v>B121</v>
          </cell>
          <cell r="Y64" t="str">
            <v>B128</v>
          </cell>
          <cell r="AD64" t="str">
            <v>B126</v>
          </cell>
          <cell r="AE64" t="str">
            <v>B160</v>
          </cell>
          <cell r="AF64" t="str">
            <v>B163</v>
          </cell>
        </row>
        <row r="65">
          <cell r="B65">
            <v>59</v>
          </cell>
          <cell r="C65" t="str">
            <v>JN16</v>
          </cell>
          <cell r="D65" t="str">
            <v>POEM ENG</v>
          </cell>
          <cell r="E65">
            <v>3</v>
          </cell>
          <cell r="F65" t="str">
            <v>Single</v>
          </cell>
          <cell r="G65" t="str">
            <v>Non-Stg</v>
          </cell>
          <cell r="H65" t="str">
            <v>JUNIOR</v>
          </cell>
          <cell r="I65" t="str">
            <v>B112</v>
          </cell>
          <cell r="J65" t="str">
            <v>B157</v>
          </cell>
          <cell r="K65" t="str">
            <v>B115</v>
          </cell>
          <cell r="P65" t="str">
            <v>B127</v>
          </cell>
          <cell r="Q65" t="str">
            <v>B139</v>
          </cell>
          <cell r="R65" t="str">
            <v>B159</v>
          </cell>
          <cell r="W65" t="str">
            <v>B113</v>
          </cell>
          <cell r="X65" t="str">
            <v>B140</v>
          </cell>
          <cell r="Y65" t="str">
            <v>B151</v>
          </cell>
          <cell r="AD65" t="str">
            <v>B107</v>
          </cell>
          <cell r="AE65" t="str">
            <v>B118</v>
          </cell>
          <cell r="AF65" t="str">
            <v>B156</v>
          </cell>
        </row>
        <row r="66">
          <cell r="B66">
            <v>60</v>
          </cell>
          <cell r="C66" t="str">
            <v>JN17</v>
          </cell>
          <cell r="D66" t="str">
            <v>POEM MLM</v>
          </cell>
          <cell r="E66">
            <v>3</v>
          </cell>
          <cell r="F66" t="str">
            <v>Single</v>
          </cell>
          <cell r="G66" t="str">
            <v>Non-Stg</v>
          </cell>
          <cell r="H66" t="str">
            <v>JUNIOR</v>
          </cell>
          <cell r="I66" t="str">
            <v>B112</v>
          </cell>
          <cell r="J66" t="str">
            <v>B129</v>
          </cell>
          <cell r="K66" t="str">
            <v>B150</v>
          </cell>
          <cell r="P66" t="str">
            <v>B109</v>
          </cell>
          <cell r="Q66" t="str">
            <v>B114</v>
          </cell>
          <cell r="R66" t="str">
            <v>B155</v>
          </cell>
          <cell r="W66" t="str">
            <v>B136</v>
          </cell>
          <cell r="X66" t="str">
            <v>B151</v>
          </cell>
          <cell r="Y66" t="str">
            <v>B164</v>
          </cell>
          <cell r="AD66" t="str">
            <v>B108</v>
          </cell>
          <cell r="AE66" t="str">
            <v>B126</v>
          </cell>
          <cell r="AF66" t="str">
            <v>B152</v>
          </cell>
        </row>
        <row r="67">
          <cell r="B67">
            <v>61</v>
          </cell>
          <cell r="C67" t="str">
            <v>JN18</v>
          </cell>
          <cell r="D67" t="str">
            <v>POEM URD</v>
          </cell>
          <cell r="E67">
            <v>3</v>
          </cell>
          <cell r="F67" t="str">
            <v>Single</v>
          </cell>
          <cell r="G67" t="str">
            <v>Non-Stg</v>
          </cell>
          <cell r="H67" t="str">
            <v>JUNIOR</v>
          </cell>
          <cell r="I67" t="str">
            <v>B120</v>
          </cell>
          <cell r="J67" t="str">
            <v>B141</v>
          </cell>
          <cell r="K67" t="str">
            <v>B150</v>
          </cell>
          <cell r="P67" t="str">
            <v>B154</v>
          </cell>
          <cell r="Q67" t="str">
            <v>B132</v>
          </cell>
          <cell r="R67" t="str">
            <v>B124</v>
          </cell>
          <cell r="W67" t="str">
            <v>B103</v>
          </cell>
          <cell r="X67" t="str">
            <v>B137</v>
          </cell>
          <cell r="Y67" t="str">
            <v>B140</v>
          </cell>
          <cell r="AD67" t="str">
            <v>B105</v>
          </cell>
          <cell r="AE67" t="str">
            <v>B118</v>
          </cell>
          <cell r="AF67" t="str">
            <v>B147</v>
          </cell>
        </row>
        <row r="68">
          <cell r="B68">
            <v>62</v>
          </cell>
          <cell r="C68" t="str">
            <v>JN19</v>
          </cell>
          <cell r="D68" t="str">
            <v>POSTER DESIGNING DIGITAL</v>
          </cell>
          <cell r="E68">
            <v>2</v>
          </cell>
          <cell r="F68" t="str">
            <v>Single</v>
          </cell>
          <cell r="G68" t="str">
            <v>Non-Stg</v>
          </cell>
          <cell r="H68" t="str">
            <v>JUNIOR</v>
          </cell>
          <cell r="I68" t="str">
            <v>B141</v>
          </cell>
          <cell r="J68" t="str">
            <v>B145</v>
          </cell>
          <cell r="P68" t="str">
            <v>B139</v>
          </cell>
          <cell r="Q68" t="str">
            <v>B154</v>
          </cell>
          <cell r="W68" t="str">
            <v>B113</v>
          </cell>
          <cell r="X68" t="str">
            <v>B164</v>
          </cell>
          <cell r="AD68" t="str">
            <v>B108</v>
          </cell>
          <cell r="AE68" t="str">
            <v>B119</v>
          </cell>
        </row>
        <row r="69">
          <cell r="B69">
            <v>63</v>
          </cell>
          <cell r="C69" t="str">
            <v>JN20</v>
          </cell>
          <cell r="D69" t="str">
            <v>QIRĀʾAH</v>
          </cell>
          <cell r="E69">
            <v>3</v>
          </cell>
          <cell r="F69" t="str">
            <v>Single</v>
          </cell>
          <cell r="G69" t="str">
            <v>Non-Stg</v>
          </cell>
          <cell r="H69" t="str">
            <v>JUNIOR</v>
          </cell>
          <cell r="I69" t="str">
            <v>B130</v>
          </cell>
          <cell r="J69" t="str">
            <v>B135</v>
          </cell>
          <cell r="K69" t="str">
            <v>B143</v>
          </cell>
          <cell r="P69" t="str">
            <v>B132</v>
          </cell>
          <cell r="Q69" t="str">
            <v>B139</v>
          </cell>
          <cell r="R69" t="str">
            <v>B159</v>
          </cell>
          <cell r="W69" t="str">
            <v>B103</v>
          </cell>
          <cell r="X69" t="str">
            <v>B117</v>
          </cell>
          <cell r="Y69" t="str">
            <v>B153</v>
          </cell>
          <cell r="AD69" t="str">
            <v>B105</v>
          </cell>
          <cell r="AE69" t="str">
            <v>B152</v>
          </cell>
          <cell r="AF69" t="str">
            <v>B160</v>
          </cell>
        </row>
        <row r="70">
          <cell r="B70">
            <v>64</v>
          </cell>
          <cell r="C70" t="str">
            <v>JN21</v>
          </cell>
          <cell r="D70" t="str">
            <v>SCIENCE MASTER</v>
          </cell>
          <cell r="E70">
            <v>3</v>
          </cell>
          <cell r="F70" t="str">
            <v>Single</v>
          </cell>
          <cell r="G70" t="str">
            <v>Non-Stg</v>
          </cell>
          <cell r="H70" t="str">
            <v>JUNIOR</v>
          </cell>
          <cell r="I70" t="str">
            <v>B104</v>
          </cell>
          <cell r="J70" t="str">
            <v>B123</v>
          </cell>
          <cell r="K70" t="str">
            <v>B144</v>
          </cell>
          <cell r="P70" t="str">
            <v>B110</v>
          </cell>
          <cell r="Q70" t="str">
            <v>B122</v>
          </cell>
          <cell r="R70" t="str">
            <v>B127</v>
          </cell>
          <cell r="W70" t="str">
            <v>B137</v>
          </cell>
          <cell r="X70" t="str">
            <v>B142</v>
          </cell>
          <cell r="Y70" t="str">
            <v>B151</v>
          </cell>
          <cell r="AD70" t="str">
            <v>B131</v>
          </cell>
          <cell r="AE70" t="str">
            <v>B148</v>
          </cell>
          <cell r="AF70" t="str">
            <v>B156</v>
          </cell>
        </row>
        <row r="71">
          <cell r="B71">
            <v>65</v>
          </cell>
          <cell r="C71" t="str">
            <v>JN22</v>
          </cell>
          <cell r="D71" t="str">
            <v>SENTENCE TRANSLATION</v>
          </cell>
          <cell r="E71">
            <v>3</v>
          </cell>
          <cell r="F71" t="str">
            <v>Single</v>
          </cell>
          <cell r="G71" t="str">
            <v>Non-Stg</v>
          </cell>
          <cell r="H71" t="str">
            <v>JUNIOR</v>
          </cell>
          <cell r="I71" t="str">
            <v>B102</v>
          </cell>
          <cell r="J71" t="str">
            <v>B120</v>
          </cell>
          <cell r="K71" t="str">
            <v>B157</v>
          </cell>
          <cell r="P71" t="str">
            <v>B149</v>
          </cell>
          <cell r="Q71" t="str">
            <v>B154</v>
          </cell>
          <cell r="R71" t="str">
            <v>B158</v>
          </cell>
          <cell r="W71" t="str">
            <v>B121</v>
          </cell>
          <cell r="X71" t="str">
            <v>B128</v>
          </cell>
          <cell r="Y71" t="str">
            <v>B138</v>
          </cell>
          <cell r="AD71" t="str">
            <v>B118</v>
          </cell>
          <cell r="AE71" t="str">
            <v>B134</v>
          </cell>
          <cell r="AF71" t="str">
            <v>B163</v>
          </cell>
        </row>
        <row r="72">
          <cell r="B72">
            <v>66</v>
          </cell>
          <cell r="C72" t="str">
            <v>JN23</v>
          </cell>
          <cell r="D72" t="str">
            <v>SHORT STORY ARB</v>
          </cell>
          <cell r="E72">
            <v>3</v>
          </cell>
          <cell r="F72" t="str">
            <v>Single</v>
          </cell>
          <cell r="G72" t="str">
            <v>Non-Stg</v>
          </cell>
          <cell r="H72" t="str">
            <v>JUNIOR</v>
          </cell>
          <cell r="I72" t="str">
            <v>B135</v>
          </cell>
          <cell r="J72" t="str">
            <v>B144</v>
          </cell>
          <cell r="K72" t="str">
            <v>B145</v>
          </cell>
          <cell r="P72" t="str">
            <v>B125</v>
          </cell>
          <cell r="Q72" t="str">
            <v>B139</v>
          </cell>
          <cell r="R72" t="str">
            <v>B149</v>
          </cell>
          <cell r="W72" t="str">
            <v>B100</v>
          </cell>
          <cell r="X72" t="str">
            <v>B128</v>
          </cell>
          <cell r="Y72" t="str">
            <v>B121</v>
          </cell>
          <cell r="AD72" t="str">
            <v>B160</v>
          </cell>
          <cell r="AE72" t="str">
            <v>B107</v>
          </cell>
          <cell r="AF72" t="str">
            <v>B163</v>
          </cell>
        </row>
        <row r="73">
          <cell r="B73">
            <v>67</v>
          </cell>
          <cell r="C73" t="str">
            <v>JN24</v>
          </cell>
          <cell r="D73" t="str">
            <v>SHORT STORY ENG</v>
          </cell>
          <cell r="E73">
            <v>3</v>
          </cell>
          <cell r="F73" t="str">
            <v>Single</v>
          </cell>
          <cell r="G73" t="str">
            <v>Non-Stg</v>
          </cell>
          <cell r="H73" t="str">
            <v>JUNIOR</v>
          </cell>
          <cell r="I73" t="str">
            <v>B111</v>
          </cell>
          <cell r="J73" t="str">
            <v>B112</v>
          </cell>
          <cell r="K73" t="str">
            <v>B123</v>
          </cell>
          <cell r="P73" t="str">
            <v>B161</v>
          </cell>
          <cell r="Q73" t="str">
            <v>B127</v>
          </cell>
          <cell r="R73" t="str">
            <v>B159</v>
          </cell>
          <cell r="W73" t="str">
            <v>B100</v>
          </cell>
          <cell r="X73" t="str">
            <v>B140</v>
          </cell>
          <cell r="Y73" t="str">
            <v>B142</v>
          </cell>
          <cell r="AD73" t="str">
            <v>B107</v>
          </cell>
          <cell r="AE73" t="str">
            <v>B133</v>
          </cell>
          <cell r="AF73" t="str">
            <v>B134</v>
          </cell>
        </row>
        <row r="74">
          <cell r="B74">
            <v>68</v>
          </cell>
          <cell r="C74" t="str">
            <v>JN25</v>
          </cell>
          <cell r="D74" t="str">
            <v>SHORT STORY MLM</v>
          </cell>
          <cell r="E74">
            <v>3</v>
          </cell>
          <cell r="F74" t="str">
            <v>Single</v>
          </cell>
          <cell r="G74" t="str">
            <v>Non-Stg</v>
          </cell>
          <cell r="H74" t="str">
            <v>JUNIOR</v>
          </cell>
          <cell r="I74" t="str">
            <v>B115</v>
          </cell>
          <cell r="J74" t="str">
            <v>B143</v>
          </cell>
          <cell r="K74" t="str">
            <v>B150</v>
          </cell>
          <cell r="P74" t="str">
            <v>B109</v>
          </cell>
          <cell r="Q74" t="str">
            <v>B114</v>
          </cell>
          <cell r="R74" t="str">
            <v>B132</v>
          </cell>
          <cell r="W74" t="str">
            <v>B138</v>
          </cell>
          <cell r="X74" t="str">
            <v>B146</v>
          </cell>
          <cell r="Y74" t="str">
            <v>B164</v>
          </cell>
          <cell r="AD74" t="str">
            <v>B108</v>
          </cell>
          <cell r="AE74" t="str">
            <v>B116</v>
          </cell>
          <cell r="AF74" t="str">
            <v>B148</v>
          </cell>
        </row>
        <row r="75">
          <cell r="B75">
            <v>69</v>
          </cell>
          <cell r="C75" t="str">
            <v>JN26</v>
          </cell>
          <cell r="D75" t="str">
            <v>SPELLING BEE</v>
          </cell>
          <cell r="E75">
            <v>3</v>
          </cell>
          <cell r="F75" t="str">
            <v>Single</v>
          </cell>
          <cell r="G75" t="str">
            <v>Non-Stg</v>
          </cell>
          <cell r="H75" t="str">
            <v>JUNIOR</v>
          </cell>
          <cell r="I75" t="str">
            <v>B112</v>
          </cell>
          <cell r="J75" t="str">
            <v>B123</v>
          </cell>
          <cell r="K75" t="str">
            <v>B157</v>
          </cell>
          <cell r="P75" t="str">
            <v>B124</v>
          </cell>
          <cell r="Q75" t="str">
            <v>B110</v>
          </cell>
          <cell r="R75" t="str">
            <v>B158</v>
          </cell>
          <cell r="W75" t="str">
            <v>B100</v>
          </cell>
          <cell r="X75" t="str">
            <v>B142</v>
          </cell>
          <cell r="Y75" t="str">
            <v>B113</v>
          </cell>
          <cell r="AD75" t="str">
            <v>B126</v>
          </cell>
          <cell r="AE75" t="str">
            <v>B116</v>
          </cell>
          <cell r="AF75" t="str">
            <v>B156</v>
          </cell>
        </row>
        <row r="76">
          <cell r="B76">
            <v>70</v>
          </cell>
          <cell r="C76" t="str">
            <v>JN27</v>
          </cell>
          <cell r="D76" t="str">
            <v>SWARF IQ</v>
          </cell>
          <cell r="E76">
            <v>3</v>
          </cell>
          <cell r="F76" t="str">
            <v>Single</v>
          </cell>
          <cell r="G76" t="str">
            <v>Non-Stg</v>
          </cell>
          <cell r="H76" t="str">
            <v>JUNIOR</v>
          </cell>
          <cell r="I76" t="str">
            <v>B144</v>
          </cell>
          <cell r="J76" t="str">
            <v>B141</v>
          </cell>
          <cell r="K76" t="str">
            <v>B143</v>
          </cell>
          <cell r="P76" t="str">
            <v>B124</v>
          </cell>
          <cell r="Q76" t="str">
            <v>B125</v>
          </cell>
          <cell r="R76" t="str">
            <v>B159</v>
          </cell>
          <cell r="W76" t="str">
            <v>B100</v>
          </cell>
          <cell r="X76" t="str">
            <v>B121</v>
          </cell>
          <cell r="Y76" t="str">
            <v>B128</v>
          </cell>
          <cell r="AD76" t="str">
            <v>B148</v>
          </cell>
          <cell r="AE76" t="str">
            <v>B108</v>
          </cell>
          <cell r="AF76" t="str">
            <v>B163</v>
          </cell>
        </row>
        <row r="77">
          <cell r="B77">
            <v>71</v>
          </cell>
          <cell r="C77" t="str">
            <v>JN28</v>
          </cell>
          <cell r="D77" t="str">
            <v>TYPING MASTER ENG</v>
          </cell>
          <cell r="E77">
            <v>3</v>
          </cell>
          <cell r="F77" t="str">
            <v>Single</v>
          </cell>
          <cell r="G77" t="str">
            <v>Non-Stg</v>
          </cell>
          <cell r="H77" t="str">
            <v>JUNIOR</v>
          </cell>
          <cell r="I77" t="str">
            <v>B130</v>
          </cell>
          <cell r="J77" t="str">
            <v>B143</v>
          </cell>
          <cell r="K77" t="str">
            <v>B141</v>
          </cell>
          <cell r="P77" t="str">
            <v>B114</v>
          </cell>
          <cell r="Q77" t="str">
            <v>B139</v>
          </cell>
          <cell r="R77" t="str">
            <v>B158</v>
          </cell>
          <cell r="W77" t="str">
            <v>B103</v>
          </cell>
          <cell r="X77" t="str">
            <v>B113</v>
          </cell>
          <cell r="Y77" t="str">
            <v>B140</v>
          </cell>
          <cell r="AD77" t="str">
            <v>B119</v>
          </cell>
          <cell r="AE77" t="str">
            <v>B160</v>
          </cell>
          <cell r="AF77" t="str">
            <v>B163</v>
          </cell>
        </row>
        <row r="78">
          <cell r="B78">
            <v>72</v>
          </cell>
          <cell r="C78" t="str">
            <v>JN29</v>
          </cell>
          <cell r="D78" t="str">
            <v>TYPING MASTER MLM</v>
          </cell>
          <cell r="E78">
            <v>2</v>
          </cell>
          <cell r="F78" t="str">
            <v>Single</v>
          </cell>
          <cell r="G78" t="str">
            <v>Non-Stg</v>
          </cell>
          <cell r="H78" t="str">
            <v>JUNIOR</v>
          </cell>
          <cell r="I78" t="str">
            <v>B144</v>
          </cell>
          <cell r="J78" t="str">
            <v>B111</v>
          </cell>
          <cell r="P78" t="str">
            <v>B114</v>
          </cell>
          <cell r="Q78" t="str">
            <v>B155</v>
          </cell>
          <cell r="W78" t="str">
            <v>B100</v>
          </cell>
          <cell r="X78" t="str">
            <v>B103</v>
          </cell>
          <cell r="AD78" t="str">
            <v>B126</v>
          </cell>
          <cell r="AE78" t="str">
            <v>B156</v>
          </cell>
        </row>
        <row r="79">
          <cell r="B79">
            <v>73</v>
          </cell>
          <cell r="C79" t="str">
            <v>JN30</v>
          </cell>
          <cell r="D79" t="str">
            <v>VOCABULARY</v>
          </cell>
          <cell r="E79">
            <v>3</v>
          </cell>
          <cell r="F79" t="str">
            <v>Single</v>
          </cell>
          <cell r="G79" t="str">
            <v>Non-Stg</v>
          </cell>
          <cell r="H79" t="str">
            <v>JUNIOR</v>
          </cell>
          <cell r="I79" t="str">
            <v>B120</v>
          </cell>
          <cell r="J79" t="str">
            <v>B135</v>
          </cell>
          <cell r="K79" t="str">
            <v>B145</v>
          </cell>
          <cell r="P79" t="str">
            <v>B159</v>
          </cell>
          <cell r="Q79" t="str">
            <v>B132</v>
          </cell>
          <cell r="R79" t="str">
            <v>B158</v>
          </cell>
          <cell r="W79" t="str">
            <v>B121</v>
          </cell>
          <cell r="X79" t="str">
            <v>B142</v>
          </cell>
          <cell r="Y79" t="str">
            <v>B146</v>
          </cell>
          <cell r="AD79" t="str">
            <v>B133</v>
          </cell>
          <cell r="AE79" t="str">
            <v>B160</v>
          </cell>
          <cell r="AF79" t="str">
            <v>B134</v>
          </cell>
        </row>
        <row r="80">
          <cell r="B80">
            <v>74</v>
          </cell>
          <cell r="C80" t="str">
            <v>JN31</v>
          </cell>
          <cell r="D80" t="str">
            <v>JUST A MINUTE</v>
          </cell>
          <cell r="E80">
            <v>3</v>
          </cell>
          <cell r="F80" t="str">
            <v>Single</v>
          </cell>
          <cell r="G80" t="str">
            <v>Stage</v>
          </cell>
          <cell r="H80" t="str">
            <v>JUNIOR</v>
          </cell>
          <cell r="I80" t="str">
            <v>B111</v>
          </cell>
          <cell r="J80" t="str">
            <v>B129</v>
          </cell>
          <cell r="K80" t="str">
            <v>B144</v>
          </cell>
          <cell r="P80" t="str">
            <v>B109</v>
          </cell>
          <cell r="Q80" t="str">
            <v>B114</v>
          </cell>
          <cell r="R80" t="str">
            <v>B161</v>
          </cell>
          <cell r="W80" t="str">
            <v>B106</v>
          </cell>
          <cell r="X80" t="str">
            <v>B138</v>
          </cell>
          <cell r="Y80" t="str">
            <v>B164</v>
          </cell>
          <cell r="AD80" t="str">
            <v>B108</v>
          </cell>
          <cell r="AE80" t="str">
            <v>B116</v>
          </cell>
          <cell r="AF80" t="str">
            <v>B148</v>
          </cell>
        </row>
        <row r="81">
          <cell r="B81">
            <v>75</v>
          </cell>
          <cell r="C81" t="str">
            <v>JN32</v>
          </cell>
          <cell r="D81" t="str">
            <v>MADH GANAM MLM</v>
          </cell>
          <cell r="E81">
            <v>3</v>
          </cell>
          <cell r="F81" t="str">
            <v>Single</v>
          </cell>
          <cell r="G81" t="str">
            <v>Stage</v>
          </cell>
          <cell r="H81" t="str">
            <v>JUNIOR</v>
          </cell>
          <cell r="I81" t="str">
            <v>B120</v>
          </cell>
          <cell r="J81" t="str">
            <v>B129</v>
          </cell>
          <cell r="K81" t="str">
            <v>B130</v>
          </cell>
          <cell r="P81" t="str">
            <v>B109</v>
          </cell>
          <cell r="Q81" t="str">
            <v>B139</v>
          </cell>
          <cell r="R81" t="str">
            <v>B159</v>
          </cell>
          <cell r="W81" t="str">
            <v>B117</v>
          </cell>
          <cell r="X81" t="str">
            <v>B146</v>
          </cell>
          <cell r="Y81" t="str">
            <v>B153</v>
          </cell>
          <cell r="AD81" t="str">
            <v>B105</v>
          </cell>
          <cell r="AE81" t="str">
            <v>B134</v>
          </cell>
          <cell r="AF81" t="str">
            <v>B152</v>
          </cell>
        </row>
        <row r="82">
          <cell r="B82">
            <v>76</v>
          </cell>
          <cell r="C82" t="str">
            <v>JN33</v>
          </cell>
          <cell r="D82" t="str">
            <v>MULAFADHA</v>
          </cell>
          <cell r="E82">
            <v>3</v>
          </cell>
          <cell r="F82" t="str">
            <v>Single</v>
          </cell>
          <cell r="G82" t="str">
            <v>Stage</v>
          </cell>
          <cell r="H82" t="str">
            <v>JUNIOR</v>
          </cell>
          <cell r="I82" t="str">
            <v>B102</v>
          </cell>
          <cell r="J82" t="str">
            <v>B135</v>
          </cell>
          <cell r="K82" t="str">
            <v>B145</v>
          </cell>
          <cell r="P82" t="str">
            <v>B124</v>
          </cell>
          <cell r="Q82" t="str">
            <v>B149</v>
          </cell>
          <cell r="R82" t="str">
            <v>B158</v>
          </cell>
          <cell r="W82" t="str">
            <v>B121</v>
          </cell>
          <cell r="X82" t="str">
            <v>B137</v>
          </cell>
          <cell r="Y82" t="str">
            <v>B142</v>
          </cell>
          <cell r="AD82" t="str">
            <v>B108</v>
          </cell>
          <cell r="AE82" t="str">
            <v>B134</v>
          </cell>
          <cell r="AF82" t="str">
            <v>B163</v>
          </cell>
        </row>
        <row r="83">
          <cell r="B83">
            <v>77</v>
          </cell>
          <cell r="C83" t="str">
            <v>JN34</v>
          </cell>
          <cell r="D83" t="str">
            <v>PADHYAPARAYANAM</v>
          </cell>
          <cell r="E83">
            <v>3</v>
          </cell>
          <cell r="F83" t="str">
            <v>Single</v>
          </cell>
          <cell r="G83" t="str">
            <v>Stage</v>
          </cell>
          <cell r="H83" t="str">
            <v>JUNIOR</v>
          </cell>
          <cell r="I83" t="str">
            <v>B104</v>
          </cell>
          <cell r="J83" t="str">
            <v>B115</v>
          </cell>
          <cell r="K83" t="str">
            <v>B129</v>
          </cell>
          <cell r="P83" t="str">
            <v>B109</v>
          </cell>
          <cell r="Q83" t="str">
            <v>B124</v>
          </cell>
          <cell r="R83" t="str">
            <v>B159</v>
          </cell>
          <cell r="W83" t="str">
            <v>B137</v>
          </cell>
          <cell r="X83" t="str">
            <v>B146</v>
          </cell>
          <cell r="Y83" t="str">
            <v>B153</v>
          </cell>
          <cell r="AD83" t="str">
            <v>B133</v>
          </cell>
          <cell r="AE83" t="str">
            <v>B152</v>
          </cell>
          <cell r="AF83" t="str">
            <v>B162</v>
          </cell>
        </row>
        <row r="84">
          <cell r="B84">
            <v>78</v>
          </cell>
          <cell r="C84" t="str">
            <v>JN35</v>
          </cell>
          <cell r="D84" t="str">
            <v>SONG ARB</v>
          </cell>
          <cell r="E84">
            <v>3</v>
          </cell>
          <cell r="F84" t="str">
            <v>Single</v>
          </cell>
          <cell r="G84" t="str">
            <v>Stage</v>
          </cell>
          <cell r="H84" t="str">
            <v>JUNIOR</v>
          </cell>
          <cell r="I84" t="str">
            <v>B129</v>
          </cell>
          <cell r="J84" t="str">
            <v>B141</v>
          </cell>
          <cell r="K84" t="str">
            <v>B143</v>
          </cell>
          <cell r="P84" t="str">
            <v>B132</v>
          </cell>
          <cell r="Q84" t="str">
            <v>B139</v>
          </cell>
          <cell r="R84" t="str">
            <v>B127</v>
          </cell>
          <cell r="W84" t="str">
            <v>B103</v>
          </cell>
          <cell r="X84" t="str">
            <v>B121</v>
          </cell>
          <cell r="Y84" t="str">
            <v>B146</v>
          </cell>
          <cell r="AD84" t="str">
            <v>B118</v>
          </cell>
          <cell r="AE84" t="str">
            <v>B126</v>
          </cell>
          <cell r="AF84" t="str">
            <v>B160</v>
          </cell>
        </row>
        <row r="85">
          <cell r="B85">
            <v>79</v>
          </cell>
          <cell r="C85" t="str">
            <v>JN36</v>
          </cell>
          <cell r="D85" t="str">
            <v>SONG ENG</v>
          </cell>
          <cell r="E85">
            <v>3</v>
          </cell>
          <cell r="F85" t="str">
            <v>Single</v>
          </cell>
          <cell r="G85" t="str">
            <v>Stage</v>
          </cell>
          <cell r="H85" t="str">
            <v>JUNIOR</v>
          </cell>
          <cell r="I85" t="str">
            <v>B123</v>
          </cell>
          <cell r="J85" t="str">
            <v>B135</v>
          </cell>
          <cell r="K85" t="str">
            <v>B150</v>
          </cell>
          <cell r="P85" t="str">
            <v>B125</v>
          </cell>
          <cell r="Q85" t="str">
            <v>B159</v>
          </cell>
          <cell r="R85" t="str">
            <v>B161</v>
          </cell>
          <cell r="W85" t="str">
            <v>B100</v>
          </cell>
          <cell r="X85" t="str">
            <v>B136</v>
          </cell>
          <cell r="Y85" t="str">
            <v>B151</v>
          </cell>
          <cell r="AD85" t="str">
            <v>B116</v>
          </cell>
          <cell r="AE85" t="str">
            <v>B134</v>
          </cell>
          <cell r="AF85" t="str">
            <v>B148</v>
          </cell>
        </row>
        <row r="86">
          <cell r="B86">
            <v>80</v>
          </cell>
          <cell r="C86" t="str">
            <v>JN37</v>
          </cell>
          <cell r="D86" t="str">
            <v>SONG URD</v>
          </cell>
          <cell r="E86">
            <v>3</v>
          </cell>
          <cell r="F86" t="str">
            <v>Single</v>
          </cell>
          <cell r="G86" t="str">
            <v>Stage</v>
          </cell>
          <cell r="H86" t="str">
            <v>JUNIOR</v>
          </cell>
          <cell r="I86" t="str">
            <v>B120</v>
          </cell>
          <cell r="J86" t="str">
            <v>B141</v>
          </cell>
          <cell r="K86" t="str">
            <v>B143</v>
          </cell>
          <cell r="P86" t="str">
            <v>B109</v>
          </cell>
          <cell r="Q86" t="str">
            <v>B132</v>
          </cell>
          <cell r="R86" t="str">
            <v>B154</v>
          </cell>
          <cell r="W86" t="str">
            <v>B117</v>
          </cell>
          <cell r="X86" t="str">
            <v>B128</v>
          </cell>
          <cell r="Y86" t="str">
            <v>B153</v>
          </cell>
          <cell r="AD86" t="str">
            <v>B105</v>
          </cell>
          <cell r="AE86" t="str">
            <v>B118</v>
          </cell>
          <cell r="AF86" t="str">
            <v>B152</v>
          </cell>
        </row>
        <row r="87">
          <cell r="B87">
            <v>81</v>
          </cell>
          <cell r="C87" t="str">
            <v>JN38</v>
          </cell>
          <cell r="D87" t="str">
            <v>SPEECH ARB</v>
          </cell>
          <cell r="E87">
            <v>3</v>
          </cell>
          <cell r="F87" t="str">
            <v>Single</v>
          </cell>
          <cell r="G87" t="str">
            <v>Stage</v>
          </cell>
          <cell r="H87" t="str">
            <v>JUNIOR</v>
          </cell>
          <cell r="I87" t="str">
            <v>B135</v>
          </cell>
          <cell r="J87" t="str">
            <v>B144</v>
          </cell>
          <cell r="K87" t="str">
            <v>B145</v>
          </cell>
          <cell r="P87" t="str">
            <v>B149</v>
          </cell>
          <cell r="Q87" t="str">
            <v>B155</v>
          </cell>
          <cell r="R87" t="str">
            <v>B158</v>
          </cell>
          <cell r="W87" t="str">
            <v>B121</v>
          </cell>
          <cell r="X87" t="str">
            <v>B128</v>
          </cell>
          <cell r="Y87" t="str">
            <v>B138</v>
          </cell>
          <cell r="AD87" t="str">
            <v>B116</v>
          </cell>
          <cell r="AE87" t="str">
            <v>B162</v>
          </cell>
          <cell r="AF87" t="str">
            <v>B163</v>
          </cell>
        </row>
        <row r="88">
          <cell r="B88">
            <v>82</v>
          </cell>
          <cell r="C88" t="str">
            <v>JN39</v>
          </cell>
          <cell r="D88" t="str">
            <v>SPEECH ENG</v>
          </cell>
          <cell r="E88">
            <v>3</v>
          </cell>
          <cell r="F88" t="str">
            <v>Single</v>
          </cell>
          <cell r="G88" t="str">
            <v>Stage</v>
          </cell>
          <cell r="H88" t="str">
            <v>JUNIOR</v>
          </cell>
          <cell r="I88" t="str">
            <v>B123</v>
          </cell>
          <cell r="J88" t="str">
            <v>B135</v>
          </cell>
          <cell r="K88" t="str">
            <v>B157</v>
          </cell>
          <cell r="P88" t="str">
            <v>B110</v>
          </cell>
          <cell r="Q88" t="str">
            <v>B122</v>
          </cell>
          <cell r="R88" t="str">
            <v>B127</v>
          </cell>
          <cell r="W88" t="str">
            <v>B113</v>
          </cell>
          <cell r="X88" t="str">
            <v>B142</v>
          </cell>
          <cell r="Y88" t="str">
            <v>B151</v>
          </cell>
          <cell r="AD88" t="str">
            <v>B108</v>
          </cell>
          <cell r="AE88" t="str">
            <v>B134</v>
          </cell>
          <cell r="AF88" t="str">
            <v>B147</v>
          </cell>
        </row>
        <row r="89">
          <cell r="B89">
            <v>83</v>
          </cell>
          <cell r="C89" t="str">
            <v>JN40</v>
          </cell>
          <cell r="D89" t="str">
            <v>SPEECH MLM</v>
          </cell>
          <cell r="E89">
            <v>3</v>
          </cell>
          <cell r="F89" t="str">
            <v>Single</v>
          </cell>
          <cell r="G89" t="str">
            <v>Stage</v>
          </cell>
          <cell r="H89" t="str">
            <v>JUNIOR</v>
          </cell>
          <cell r="I89" t="str">
            <v>B129</v>
          </cell>
          <cell r="J89" t="str">
            <v>B150</v>
          </cell>
          <cell r="K89" t="str">
            <v>B104</v>
          </cell>
          <cell r="P89" t="str">
            <v>B109</v>
          </cell>
          <cell r="Q89" t="str">
            <v>B149</v>
          </cell>
          <cell r="R89" t="str">
            <v>B161</v>
          </cell>
          <cell r="W89" t="str">
            <v>B106</v>
          </cell>
          <cell r="X89" t="str">
            <v>B117</v>
          </cell>
          <cell r="Y89" t="str">
            <v>B138</v>
          </cell>
          <cell r="AD89" t="str">
            <v>B108</v>
          </cell>
          <cell r="AE89" t="str">
            <v>B162</v>
          </cell>
          <cell r="AF89" t="str">
            <v>B163</v>
          </cell>
        </row>
        <row r="90">
          <cell r="B90">
            <v>84</v>
          </cell>
          <cell r="C90" t="str">
            <v>JN41</v>
          </cell>
          <cell r="D90" t="str">
            <v>SPEECH URD</v>
          </cell>
          <cell r="E90">
            <v>3</v>
          </cell>
          <cell r="F90" t="str">
            <v>Single</v>
          </cell>
          <cell r="G90" t="str">
            <v>Stage</v>
          </cell>
          <cell r="H90" t="str">
            <v>JUNIOR</v>
          </cell>
          <cell r="I90" t="str">
            <v>B112</v>
          </cell>
          <cell r="J90" t="str">
            <v>B120</v>
          </cell>
          <cell r="K90" t="str">
            <v>B144</v>
          </cell>
          <cell r="P90" t="str">
            <v>B114</v>
          </cell>
          <cell r="Q90" t="str">
            <v>B139</v>
          </cell>
          <cell r="R90" t="str">
            <v>B154</v>
          </cell>
          <cell r="W90" t="str">
            <v>B103</v>
          </cell>
          <cell r="X90" t="str">
            <v>B137</v>
          </cell>
          <cell r="Y90" t="str">
            <v>B140</v>
          </cell>
          <cell r="AD90" t="str">
            <v>B118</v>
          </cell>
          <cell r="AE90" t="str">
            <v>B119</v>
          </cell>
          <cell r="AF90" t="str">
            <v>B147</v>
          </cell>
        </row>
        <row r="91">
          <cell r="B91">
            <v>85</v>
          </cell>
          <cell r="C91" t="str">
            <v>JN42</v>
          </cell>
          <cell r="D91" t="str">
            <v>WAʿẒ</v>
          </cell>
          <cell r="E91">
            <v>3</v>
          </cell>
          <cell r="F91" t="str">
            <v>Single</v>
          </cell>
          <cell r="G91" t="str">
            <v>Stage</v>
          </cell>
          <cell r="H91" t="str">
            <v>JUNIOR</v>
          </cell>
          <cell r="I91" t="str">
            <v>B130</v>
          </cell>
          <cell r="J91" t="str">
            <v>B135</v>
          </cell>
          <cell r="K91" t="str">
            <v>B143</v>
          </cell>
          <cell r="P91" t="str">
            <v>B109</v>
          </cell>
          <cell r="Q91" t="str">
            <v>B149</v>
          </cell>
          <cell r="R91" t="str">
            <v>B159</v>
          </cell>
          <cell r="W91" t="str">
            <v>B117</v>
          </cell>
          <cell r="X91" t="str">
            <v>B137</v>
          </cell>
          <cell r="Y91" t="str">
            <v>B153</v>
          </cell>
          <cell r="AD91" t="str">
            <v>B105</v>
          </cell>
          <cell r="AE91" t="str">
            <v>B118</v>
          </cell>
          <cell r="AF91" t="str">
            <v>B152</v>
          </cell>
        </row>
        <row r="92">
          <cell r="B92">
            <v>86</v>
          </cell>
          <cell r="C92" t="str">
            <v>JN43</v>
          </cell>
          <cell r="D92" t="str">
            <v>WORD FIGHT ENG</v>
          </cell>
          <cell r="E92">
            <v>3</v>
          </cell>
          <cell r="F92" t="str">
            <v>Single</v>
          </cell>
          <cell r="G92" t="str">
            <v>Stage</v>
          </cell>
          <cell r="H92" t="str">
            <v>JUNIOR</v>
          </cell>
          <cell r="I92" t="str">
            <v>B111</v>
          </cell>
          <cell r="J92" t="str">
            <v>B123</v>
          </cell>
          <cell r="K92" t="str">
            <v>B157</v>
          </cell>
          <cell r="P92" t="str">
            <v>B110</v>
          </cell>
          <cell r="Q92" t="str">
            <v>B122</v>
          </cell>
          <cell r="R92" t="str">
            <v>B158</v>
          </cell>
          <cell r="W92" t="str">
            <v>B113</v>
          </cell>
          <cell r="X92" t="str">
            <v>B142</v>
          </cell>
          <cell r="Y92" t="str">
            <v>B164</v>
          </cell>
          <cell r="AD92" t="str">
            <v>B107</v>
          </cell>
          <cell r="AE92" t="str">
            <v>B131</v>
          </cell>
          <cell r="AF92" t="str">
            <v>B156</v>
          </cell>
        </row>
        <row r="93">
          <cell r="B93">
            <v>87</v>
          </cell>
          <cell r="C93" t="str">
            <v>JN44</v>
          </cell>
          <cell r="D93" t="str">
            <v>INSTANT MAGAZINE MLM</v>
          </cell>
          <cell r="E93">
            <v>5</v>
          </cell>
          <cell r="F93" t="str">
            <v>Group</v>
          </cell>
          <cell r="G93" t="str">
            <v>Non-Stg</v>
          </cell>
          <cell r="H93" t="str">
            <v>JUNIOR</v>
          </cell>
          <cell r="I93" t="str">
            <v>B145</v>
          </cell>
          <cell r="J93" t="str">
            <v>B129</v>
          </cell>
          <cell r="K93" t="str">
            <v>B143</v>
          </cell>
          <cell r="L93" t="str">
            <v>B144</v>
          </cell>
          <cell r="M93" t="str">
            <v>B115</v>
          </cell>
          <cell r="P93" t="str">
            <v>B109</v>
          </cell>
          <cell r="Q93" t="str">
            <v>B114</v>
          </cell>
          <cell r="R93" t="str">
            <v>B139</v>
          </cell>
          <cell r="S93" t="str">
            <v>B155</v>
          </cell>
          <cell r="T93" t="str">
            <v>B161</v>
          </cell>
          <cell r="W93" t="str">
            <v>B106</v>
          </cell>
          <cell r="X93" t="str">
            <v>B138</v>
          </cell>
          <cell r="Y93" t="str">
            <v>B142</v>
          </cell>
          <cell r="Z93" t="str">
            <v>B146</v>
          </cell>
          <cell r="AA93" t="str">
            <v>B164</v>
          </cell>
          <cell r="AD93" t="str">
            <v>B107</v>
          </cell>
          <cell r="AE93" t="str">
            <v>B108</v>
          </cell>
          <cell r="AF93" t="str">
            <v>B147</v>
          </cell>
          <cell r="AG93" t="str">
            <v>B152</v>
          </cell>
          <cell r="AH93" t="str">
            <v>B162</v>
          </cell>
        </row>
        <row r="94">
          <cell r="B94">
            <v>88</v>
          </cell>
          <cell r="C94" t="str">
            <v>JN45</v>
          </cell>
          <cell r="D94" t="str">
            <v>MASH UP</v>
          </cell>
          <cell r="E94">
            <v>6</v>
          </cell>
          <cell r="F94" t="str">
            <v>Group</v>
          </cell>
          <cell r="G94" t="str">
            <v>Stage</v>
          </cell>
          <cell r="H94" t="str">
            <v>JUNIOR</v>
          </cell>
          <cell r="I94" t="str">
            <v>B115</v>
          </cell>
          <cell r="J94" t="str">
            <v>B120</v>
          </cell>
          <cell r="K94" t="str">
            <v>B129</v>
          </cell>
          <cell r="L94" t="str">
            <v>B130</v>
          </cell>
          <cell r="M94" t="str">
            <v>B143</v>
          </cell>
          <cell r="N94" t="str">
            <v>B111</v>
          </cell>
          <cell r="P94" t="str">
            <v>B109</v>
          </cell>
          <cell r="Q94" t="str">
            <v>B132</v>
          </cell>
          <cell r="R94" t="str">
            <v>B139</v>
          </cell>
          <cell r="S94" t="str">
            <v>B154</v>
          </cell>
          <cell r="T94" t="str">
            <v>B155</v>
          </cell>
          <cell r="U94" t="str">
            <v>B159</v>
          </cell>
          <cell r="W94" t="str">
            <v>B146</v>
          </cell>
          <cell r="X94" t="str">
            <v>B153</v>
          </cell>
          <cell r="Y94" t="str">
            <v>B117</v>
          </cell>
          <cell r="Z94" t="str">
            <v>B121</v>
          </cell>
          <cell r="AA94" t="str">
            <v>B128</v>
          </cell>
          <cell r="AB94" t="str">
            <v>B103</v>
          </cell>
          <cell r="AD94" t="str">
            <v>B105</v>
          </cell>
          <cell r="AE94" t="str">
            <v>B118</v>
          </cell>
          <cell r="AF94" t="str">
            <v>B126</v>
          </cell>
          <cell r="AG94" t="str">
            <v>B134</v>
          </cell>
          <cell r="AH94" t="str">
            <v>B152</v>
          </cell>
          <cell r="AI94" t="str">
            <v>B160</v>
          </cell>
        </row>
        <row r="95">
          <cell r="B95">
            <v>89</v>
          </cell>
          <cell r="C95" t="str">
            <v>JN46</v>
          </cell>
          <cell r="D95" t="str">
            <v>SPEECH &amp; SONG MLM</v>
          </cell>
          <cell r="E95">
            <v>3</v>
          </cell>
          <cell r="F95" t="str">
            <v>Group</v>
          </cell>
          <cell r="G95" t="str">
            <v>Stage</v>
          </cell>
          <cell r="H95" t="str">
            <v>JUNIOR</v>
          </cell>
          <cell r="I95" t="str">
            <v>B129</v>
          </cell>
          <cell r="J95" t="str">
            <v>B143</v>
          </cell>
          <cell r="K95" t="str">
            <v>B157</v>
          </cell>
          <cell r="P95" t="str">
            <v>B109</v>
          </cell>
          <cell r="Q95" t="str">
            <v>B132</v>
          </cell>
          <cell r="R95" t="str">
            <v>B159</v>
          </cell>
          <cell r="W95" t="str">
            <v>B117</v>
          </cell>
          <cell r="X95" t="str">
            <v>B146</v>
          </cell>
          <cell r="Y95" t="str">
            <v>B153</v>
          </cell>
          <cell r="AD95" t="str">
            <v>B105</v>
          </cell>
          <cell r="AE95" t="str">
            <v>B118</v>
          </cell>
          <cell r="AF95" t="str">
            <v>B162</v>
          </cell>
        </row>
        <row r="96">
          <cell r="B96">
            <v>90</v>
          </cell>
          <cell r="C96" t="str">
            <v>SN01</v>
          </cell>
          <cell r="D96" t="str">
            <v>ALFIYA CONTEST</v>
          </cell>
          <cell r="E96">
            <v>2</v>
          </cell>
          <cell r="F96" t="str">
            <v>Single</v>
          </cell>
          <cell r="G96" t="str">
            <v>Non-Stg</v>
          </cell>
          <cell r="H96" t="str">
            <v>SENIOR</v>
          </cell>
          <cell r="I96" t="str">
            <v>C112</v>
          </cell>
          <cell r="J96" t="str">
            <v>C149</v>
          </cell>
          <cell r="P96" t="str">
            <v>C133</v>
          </cell>
          <cell r="Q96" t="str">
            <v>C136</v>
          </cell>
          <cell r="W96" t="str">
            <v>C109</v>
          </cell>
          <cell r="X96" t="str">
            <v>C148</v>
          </cell>
          <cell r="AD96" t="str">
            <v>C111</v>
          </cell>
          <cell r="AE96" t="str">
            <v>C175</v>
          </cell>
        </row>
        <row r="97">
          <cell r="B97">
            <v>91</v>
          </cell>
          <cell r="C97" t="str">
            <v>SN02</v>
          </cell>
          <cell r="D97" t="str">
            <v>CALLIGRAPHY</v>
          </cell>
          <cell r="E97">
            <v>2</v>
          </cell>
          <cell r="F97" t="str">
            <v>Single</v>
          </cell>
          <cell r="G97" t="str">
            <v>Non-Stg</v>
          </cell>
          <cell r="H97" t="str">
            <v>SENIOR</v>
          </cell>
          <cell r="I97" t="str">
            <v>C115</v>
          </cell>
          <cell r="J97" t="str">
            <v>C176</v>
          </cell>
          <cell r="P97" t="str">
            <v>C154</v>
          </cell>
          <cell r="Q97" t="str">
            <v>C172</v>
          </cell>
          <cell r="W97" t="str">
            <v>C104</v>
          </cell>
          <cell r="X97" t="str">
            <v>C123</v>
          </cell>
          <cell r="AD97" t="str">
            <v>C140</v>
          </cell>
          <cell r="AE97" t="str">
            <v>C165</v>
          </cell>
        </row>
        <row r="98">
          <cell r="B98">
            <v>92</v>
          </cell>
          <cell r="C98" t="str">
            <v>SN03</v>
          </cell>
          <cell r="D98" t="str">
            <v>CAPTION WRITIING URD</v>
          </cell>
          <cell r="E98">
            <v>3</v>
          </cell>
          <cell r="F98" t="str">
            <v>Single</v>
          </cell>
          <cell r="G98" t="str">
            <v>Non-Stg</v>
          </cell>
          <cell r="H98" t="str">
            <v>SENIOR</v>
          </cell>
          <cell r="I98" t="str">
            <v>C108</v>
          </cell>
          <cell r="J98" t="str">
            <v>C118</v>
          </cell>
          <cell r="K98" t="str">
            <v>C125</v>
          </cell>
          <cell r="P98" t="str">
            <v>C100</v>
          </cell>
          <cell r="Q98" t="str">
            <v>C158</v>
          </cell>
          <cell r="R98" t="str">
            <v>C177</v>
          </cell>
          <cell r="W98" t="str">
            <v>C129</v>
          </cell>
          <cell r="X98" t="str">
            <v>C157</v>
          </cell>
          <cell r="Y98" t="str">
            <v>C170</v>
          </cell>
          <cell r="AD98" t="str">
            <v>C105</v>
          </cell>
          <cell r="AE98" t="str">
            <v>C116</v>
          </cell>
          <cell r="AF98" t="str">
            <v>C121</v>
          </cell>
        </row>
        <row r="99">
          <cell r="B99">
            <v>93</v>
          </cell>
          <cell r="C99" t="str">
            <v>SN04</v>
          </cell>
          <cell r="D99" t="str">
            <v>CARTOON</v>
          </cell>
          <cell r="E99">
            <v>2</v>
          </cell>
          <cell r="F99" t="str">
            <v>Single</v>
          </cell>
          <cell r="G99" t="str">
            <v>Non-Stg</v>
          </cell>
          <cell r="H99" t="str">
            <v>SENIOR</v>
          </cell>
          <cell r="I99" t="str">
            <v>C142</v>
          </cell>
          <cell r="J99" t="str">
            <v>C176</v>
          </cell>
          <cell r="P99" t="str">
            <v>C154</v>
          </cell>
          <cell r="Q99" t="str">
            <v>C172</v>
          </cell>
          <cell r="W99" t="str">
            <v>C104</v>
          </cell>
          <cell r="X99" t="str">
            <v>C171</v>
          </cell>
          <cell r="AD99" t="str">
            <v>C140</v>
          </cell>
          <cell r="AE99" t="str">
            <v>C143</v>
          </cell>
        </row>
        <row r="100">
          <cell r="B100">
            <v>94</v>
          </cell>
          <cell r="C100" t="str">
            <v>SN05</v>
          </cell>
          <cell r="D100" t="str">
            <v>ESSAY ARB</v>
          </cell>
          <cell r="E100">
            <v>3</v>
          </cell>
          <cell r="F100" t="str">
            <v>Single</v>
          </cell>
          <cell r="G100" t="str">
            <v>Non-Stg</v>
          </cell>
          <cell r="H100" t="str">
            <v>SENIOR</v>
          </cell>
          <cell r="I100" t="str">
            <v>C101</v>
          </cell>
          <cell r="J100" t="str">
            <v>C118</v>
          </cell>
          <cell r="K100" t="str">
            <v>C149</v>
          </cell>
          <cell r="P100" t="str">
            <v>C120</v>
          </cell>
          <cell r="Q100" t="str">
            <v>C153</v>
          </cell>
          <cell r="R100" t="str">
            <v>C166</v>
          </cell>
          <cell r="W100" t="str">
            <v>C159</v>
          </cell>
          <cell r="X100" t="str">
            <v>C148</v>
          </cell>
          <cell r="Y100" t="str">
            <v>C169</v>
          </cell>
          <cell r="AD100" t="str">
            <v>C111</v>
          </cell>
          <cell r="AE100" t="str">
            <v>C135</v>
          </cell>
          <cell r="AF100" t="str">
            <v>C175</v>
          </cell>
        </row>
        <row r="101">
          <cell r="B101">
            <v>95</v>
          </cell>
          <cell r="C101" t="str">
            <v>SN06</v>
          </cell>
          <cell r="D101" t="str">
            <v>ESSAY ENG</v>
          </cell>
          <cell r="E101">
            <v>3</v>
          </cell>
          <cell r="F101" t="str">
            <v>Single</v>
          </cell>
          <cell r="G101" t="str">
            <v>Non-Stg</v>
          </cell>
          <cell r="H101" t="str">
            <v>SENIOR</v>
          </cell>
          <cell r="I101" t="str">
            <v>C108</v>
          </cell>
          <cell r="J101" t="str">
            <v>C155</v>
          </cell>
          <cell r="K101" t="str">
            <v>C168</v>
          </cell>
          <cell r="P101" t="str">
            <v>C107</v>
          </cell>
          <cell r="Q101" t="str">
            <v>C110</v>
          </cell>
          <cell r="R101" t="str">
            <v>C133</v>
          </cell>
          <cell r="W101" t="str">
            <v>C123</v>
          </cell>
          <cell r="X101" t="str">
            <v>C132</v>
          </cell>
          <cell r="Y101" t="str">
            <v>C170</v>
          </cell>
          <cell r="AD101" t="str">
            <v>C113</v>
          </cell>
          <cell r="AE101" t="str">
            <v>C135</v>
          </cell>
          <cell r="AF101" t="str">
            <v>C140</v>
          </cell>
        </row>
        <row r="102">
          <cell r="B102">
            <v>96</v>
          </cell>
          <cell r="C102" t="str">
            <v>SN07</v>
          </cell>
          <cell r="D102" t="str">
            <v>ESSAY MLM</v>
          </cell>
          <cell r="E102">
            <v>3</v>
          </cell>
          <cell r="F102" t="str">
            <v>Single</v>
          </cell>
          <cell r="G102" t="str">
            <v>Non-Stg</v>
          </cell>
          <cell r="H102" t="str">
            <v>SENIOR</v>
          </cell>
          <cell r="I102" t="str">
            <v>C101</v>
          </cell>
          <cell r="J102" t="str">
            <v>C162</v>
          </cell>
          <cell r="K102" t="str">
            <v>C173</v>
          </cell>
          <cell r="P102" t="str">
            <v>C128</v>
          </cell>
          <cell r="Q102" t="str">
            <v>C154</v>
          </cell>
          <cell r="R102" t="str">
            <v>C161</v>
          </cell>
          <cell r="W102" t="str">
            <v>C103</v>
          </cell>
          <cell r="X102" t="str">
            <v>C145</v>
          </cell>
          <cell r="Y102" t="str">
            <v>C157</v>
          </cell>
          <cell r="AD102" t="str">
            <v>C119</v>
          </cell>
          <cell r="AE102" t="str">
            <v>C152</v>
          </cell>
          <cell r="AF102" t="str">
            <v>C163</v>
          </cell>
        </row>
        <row r="103">
          <cell r="B103">
            <v>97</v>
          </cell>
          <cell r="C103" t="str">
            <v>SN08</v>
          </cell>
          <cell r="D103" t="str">
            <v>ESSAY URD</v>
          </cell>
          <cell r="E103">
            <v>3</v>
          </cell>
          <cell r="F103" t="str">
            <v>Single</v>
          </cell>
          <cell r="G103" t="str">
            <v>Non-Stg</v>
          </cell>
          <cell r="H103" t="str">
            <v>SENIOR</v>
          </cell>
          <cell r="I103" t="str">
            <v>C134</v>
          </cell>
          <cell r="J103" t="str">
            <v>C138</v>
          </cell>
          <cell r="K103" t="str">
            <v>C156</v>
          </cell>
          <cell r="P103" t="str">
            <v>C136</v>
          </cell>
          <cell r="Q103" t="str">
            <v>C150</v>
          </cell>
          <cell r="R103" t="str">
            <v>C158</v>
          </cell>
          <cell r="W103" t="str">
            <v>C129</v>
          </cell>
          <cell r="X103" t="str">
            <v>C148</v>
          </cell>
          <cell r="Y103" t="str">
            <v>C174</v>
          </cell>
          <cell r="AD103" t="str">
            <v>C116</v>
          </cell>
          <cell r="AE103" t="str">
            <v>C147</v>
          </cell>
          <cell r="AF103" t="str">
            <v>C165</v>
          </cell>
        </row>
        <row r="104">
          <cell r="B104">
            <v>98</v>
          </cell>
          <cell r="C104" t="str">
            <v>SN09</v>
          </cell>
          <cell r="D104" t="str">
            <v>EXCEL EXPERT</v>
          </cell>
          <cell r="E104">
            <v>2</v>
          </cell>
          <cell r="F104" t="str">
            <v>Single</v>
          </cell>
          <cell r="G104" t="str">
            <v>Non-Stg</v>
          </cell>
          <cell r="H104" t="str">
            <v>SENIOR</v>
          </cell>
          <cell r="I104" t="str">
            <v>C168</v>
          </cell>
          <cell r="J104" t="str">
            <v>C149</v>
          </cell>
          <cell r="P104" t="str">
            <v>C110</v>
          </cell>
          <cell r="Q104" t="str">
            <v>C179</v>
          </cell>
          <cell r="W104" t="str">
            <v>C123</v>
          </cell>
          <cell r="X104" t="str">
            <v>C141</v>
          </cell>
          <cell r="AD104" t="str">
            <v>C143</v>
          </cell>
          <cell r="AE104" t="str">
            <v>C146</v>
          </cell>
        </row>
        <row r="105">
          <cell r="B105">
            <v>99</v>
          </cell>
          <cell r="C105" t="str">
            <v>SN10</v>
          </cell>
          <cell r="D105" t="str">
            <v>FEATURE ENG</v>
          </cell>
          <cell r="E105">
            <v>3</v>
          </cell>
          <cell r="F105" t="str">
            <v>Single</v>
          </cell>
          <cell r="G105" t="str">
            <v>Non-Stg</v>
          </cell>
          <cell r="H105" t="str">
            <v>SENIOR</v>
          </cell>
          <cell r="I105" t="str">
            <v>C155</v>
          </cell>
          <cell r="J105" t="str">
            <v>C164</v>
          </cell>
          <cell r="K105" t="str">
            <v>C168</v>
          </cell>
          <cell r="P105" t="str">
            <v>C110</v>
          </cell>
          <cell r="Q105" t="str">
            <v>C130</v>
          </cell>
          <cell r="R105" t="str">
            <v>C133</v>
          </cell>
          <cell r="W105" t="str">
            <v>C122</v>
          </cell>
          <cell r="X105" t="str">
            <v>C123</v>
          </cell>
          <cell r="Y105" t="str">
            <v>C170</v>
          </cell>
          <cell r="AD105" t="str">
            <v>C135</v>
          </cell>
          <cell r="AE105" t="str">
            <v>C140</v>
          </cell>
          <cell r="AF105" t="str">
            <v>C151</v>
          </cell>
        </row>
        <row r="106">
          <cell r="B106">
            <v>100</v>
          </cell>
          <cell r="C106" t="str">
            <v>SN11</v>
          </cell>
          <cell r="D106" t="str">
            <v>FEATURE MLM</v>
          </cell>
          <cell r="E106">
            <v>3</v>
          </cell>
          <cell r="F106" t="str">
            <v>Single</v>
          </cell>
          <cell r="G106" t="str">
            <v>Non-Stg</v>
          </cell>
          <cell r="H106" t="str">
            <v>SENIOR</v>
          </cell>
          <cell r="I106" t="str">
            <v>C101</v>
          </cell>
          <cell r="J106" t="str">
            <v>C137</v>
          </cell>
          <cell r="K106" t="str">
            <v>C173</v>
          </cell>
          <cell r="P106" t="str">
            <v>C128</v>
          </cell>
          <cell r="Q106" t="str">
            <v>C154</v>
          </cell>
          <cell r="R106" t="str">
            <v>C161</v>
          </cell>
          <cell r="W106" t="str">
            <v>C103</v>
          </cell>
          <cell r="X106" t="str">
            <v>C157</v>
          </cell>
          <cell r="Y106" t="str">
            <v>C171</v>
          </cell>
          <cell r="AD106" t="str">
            <v>C116</v>
          </cell>
          <cell r="AE106" t="str">
            <v>C119</v>
          </cell>
          <cell r="AF106" t="str">
            <v>C163</v>
          </cell>
        </row>
        <row r="107">
          <cell r="B107">
            <v>101</v>
          </cell>
          <cell r="C107" t="str">
            <v>SN12</v>
          </cell>
          <cell r="D107" t="str">
            <v>GK TALENT</v>
          </cell>
          <cell r="E107">
            <v>3</v>
          </cell>
          <cell r="F107" t="str">
            <v>Single</v>
          </cell>
          <cell r="G107" t="str">
            <v>Non-Stg</v>
          </cell>
          <cell r="H107" t="str">
            <v>SENIOR</v>
          </cell>
          <cell r="I107" t="str">
            <v>C115</v>
          </cell>
          <cell r="J107" t="str">
            <v>C162</v>
          </cell>
          <cell r="K107" t="str">
            <v>C168</v>
          </cell>
          <cell r="P107" t="str">
            <v>C166</v>
          </cell>
          <cell r="Q107" t="str">
            <v>C133</v>
          </cell>
          <cell r="R107" t="str">
            <v>C144</v>
          </cell>
          <cell r="W107" t="str">
            <v>C103</v>
          </cell>
          <cell r="X107" t="str">
            <v>C148</v>
          </cell>
          <cell r="Y107" t="str">
            <v>C160</v>
          </cell>
          <cell r="AD107" t="str">
            <v>C119</v>
          </cell>
          <cell r="AE107" t="str">
            <v>C140</v>
          </cell>
          <cell r="AF107" t="str">
            <v>C163</v>
          </cell>
        </row>
        <row r="108">
          <cell r="B108">
            <v>102</v>
          </cell>
          <cell r="C108" t="str">
            <v>SN13</v>
          </cell>
          <cell r="D108" t="str">
            <v>GRAMMAR QUIZ QUADRILINGUAL</v>
          </cell>
          <cell r="E108">
            <v>3</v>
          </cell>
          <cell r="F108" t="str">
            <v>Single</v>
          </cell>
          <cell r="G108" t="str">
            <v>Non-Stg</v>
          </cell>
          <cell r="H108" t="str">
            <v>SENIOR</v>
          </cell>
          <cell r="I108" t="str">
            <v>C149</v>
          </cell>
          <cell r="J108" t="str">
            <v>C155</v>
          </cell>
          <cell r="K108" t="str">
            <v>C168</v>
          </cell>
          <cell r="P108" t="str">
            <v>C117</v>
          </cell>
          <cell r="Q108" t="str">
            <v>C150</v>
          </cell>
          <cell r="R108" t="str">
            <v>C166</v>
          </cell>
          <cell r="W108" t="str">
            <v>C139</v>
          </cell>
          <cell r="X108" t="str">
            <v>C148</v>
          </cell>
          <cell r="Y108" t="str">
            <v>C174</v>
          </cell>
          <cell r="AD108" t="str">
            <v>C111</v>
          </cell>
          <cell r="AE108" t="str">
            <v>C175</v>
          </cell>
          <cell r="AF108" t="str">
            <v>C178</v>
          </cell>
        </row>
        <row r="109">
          <cell r="B109">
            <v>103</v>
          </cell>
          <cell r="C109" t="str">
            <v>SN14</v>
          </cell>
          <cell r="D109" t="str">
            <v>ḤIFẒ</v>
          </cell>
          <cell r="E109">
            <v>3</v>
          </cell>
          <cell r="F109" t="str">
            <v>Single</v>
          </cell>
          <cell r="G109" t="str">
            <v>Non-Stg</v>
          </cell>
          <cell r="H109" t="str">
            <v>SENIOR</v>
          </cell>
          <cell r="I109" t="str">
            <v>C112</v>
          </cell>
          <cell r="J109" t="str">
            <v>C118</v>
          </cell>
          <cell r="K109" t="str">
            <v>C142</v>
          </cell>
          <cell r="P109" t="str">
            <v>C120</v>
          </cell>
          <cell r="Q109" t="str">
            <v>C150</v>
          </cell>
          <cell r="R109" t="str">
            <v>C172</v>
          </cell>
          <cell r="W109" t="str">
            <v>C139</v>
          </cell>
          <cell r="X109" t="str">
            <v>C159</v>
          </cell>
          <cell r="Y109" t="str">
            <v>C171</v>
          </cell>
          <cell r="AD109" t="str">
            <v>C111</v>
          </cell>
          <cell r="AE109" t="str">
            <v>C116</v>
          </cell>
          <cell r="AF109" t="str">
            <v>C165</v>
          </cell>
        </row>
        <row r="110">
          <cell r="B110">
            <v>104</v>
          </cell>
          <cell r="C110" t="str">
            <v>SN15</v>
          </cell>
          <cell r="D110" t="str">
            <v>MATH TALENT</v>
          </cell>
          <cell r="E110">
            <v>3</v>
          </cell>
          <cell r="F110" t="str">
            <v>Single</v>
          </cell>
          <cell r="G110" t="str">
            <v>Non-Stg</v>
          </cell>
          <cell r="H110" t="str">
            <v>SENIOR</v>
          </cell>
          <cell r="I110" t="str">
            <v>C115</v>
          </cell>
          <cell r="J110" t="str">
            <v>C118</v>
          </cell>
          <cell r="K110" t="str">
            <v>C155</v>
          </cell>
          <cell r="P110" t="str">
            <v>C100</v>
          </cell>
          <cell r="Q110" t="str">
            <v>C117</v>
          </cell>
          <cell r="R110" t="str">
            <v>C144</v>
          </cell>
          <cell r="W110" t="str">
            <v>C122</v>
          </cell>
          <cell r="X110" t="str">
            <v>C148</v>
          </cell>
          <cell r="Y110" t="str">
            <v>C174</v>
          </cell>
          <cell r="AD110" t="str">
            <v>C126</v>
          </cell>
          <cell r="AE110" t="str">
            <v>C143</v>
          </cell>
          <cell r="AF110" t="str">
            <v>C163</v>
          </cell>
        </row>
        <row r="111">
          <cell r="B111">
            <v>105</v>
          </cell>
          <cell r="C111" t="str">
            <v>SN16</v>
          </cell>
          <cell r="D111" t="str">
            <v>NEWS WRITING ENG</v>
          </cell>
          <cell r="E111">
            <v>3</v>
          </cell>
          <cell r="F111" t="str">
            <v>Single</v>
          </cell>
          <cell r="G111" t="str">
            <v>Non-Stg</v>
          </cell>
          <cell r="H111" t="str">
            <v>SENIOR</v>
          </cell>
          <cell r="I111" t="str">
            <v>C108</v>
          </cell>
          <cell r="J111" t="str">
            <v>C127</v>
          </cell>
          <cell r="K111" t="str">
            <v>C164</v>
          </cell>
          <cell r="P111" t="str">
            <v>C102</v>
          </cell>
          <cell r="Q111" t="str">
            <v>C117</v>
          </cell>
          <cell r="R111" t="str">
            <v>C133</v>
          </cell>
          <cell r="W111" t="str">
            <v>C106</v>
          </cell>
          <cell r="X111" t="str">
            <v>C114</v>
          </cell>
          <cell r="Y111" t="str">
            <v>C145</v>
          </cell>
          <cell r="AD111" t="str">
            <v>C121</v>
          </cell>
          <cell r="AE111" t="str">
            <v>C126</v>
          </cell>
          <cell r="AF111" t="str">
            <v>C135</v>
          </cell>
        </row>
        <row r="112">
          <cell r="B112">
            <v>106</v>
          </cell>
          <cell r="C112" t="str">
            <v>SN17</v>
          </cell>
          <cell r="D112" t="str">
            <v>NEWS WRITING URD</v>
          </cell>
          <cell r="E112">
            <v>3</v>
          </cell>
          <cell r="F112" t="str">
            <v>Single</v>
          </cell>
          <cell r="G112" t="str">
            <v>Non-Stg</v>
          </cell>
          <cell r="H112" t="str">
            <v>SENIOR</v>
          </cell>
          <cell r="I112" t="str">
            <v>C125</v>
          </cell>
          <cell r="J112" t="str">
            <v>C134</v>
          </cell>
          <cell r="K112" t="str">
            <v>C138</v>
          </cell>
          <cell r="P112" t="str">
            <v>C136</v>
          </cell>
          <cell r="Q112" t="str">
            <v>C166</v>
          </cell>
          <cell r="R112" t="str">
            <v>C177</v>
          </cell>
          <cell r="W112" t="str">
            <v>C139</v>
          </cell>
          <cell r="X112" t="str">
            <v>C104</v>
          </cell>
          <cell r="Y112" t="str">
            <v>C174</v>
          </cell>
          <cell r="AD112" t="str">
            <v>C116</v>
          </cell>
          <cell r="AE112" t="str">
            <v>C126</v>
          </cell>
          <cell r="AF112" t="str">
            <v>C152</v>
          </cell>
        </row>
        <row r="113">
          <cell r="B113">
            <v>107</v>
          </cell>
          <cell r="C113" t="str">
            <v>SN18</v>
          </cell>
          <cell r="D113" t="str">
            <v>PHOTOGRAPHY</v>
          </cell>
          <cell r="E113">
            <v>2</v>
          </cell>
          <cell r="F113" t="str">
            <v>Single</v>
          </cell>
          <cell r="G113" t="str">
            <v>Non-Stg</v>
          </cell>
          <cell r="H113" t="str">
            <v>SENIOR</v>
          </cell>
          <cell r="I113" t="str">
            <v>C115</v>
          </cell>
          <cell r="J113" t="str">
            <v>C176</v>
          </cell>
          <cell r="P113" t="str">
            <v>C179</v>
          </cell>
          <cell r="Q113" t="str">
            <v>C107</v>
          </cell>
          <cell r="W113" t="str">
            <v>C124</v>
          </cell>
          <cell r="X113" t="str">
            <v>C132</v>
          </cell>
          <cell r="AD113" t="str">
            <v>C105</v>
          </cell>
          <cell r="AE113" t="str">
            <v>C147</v>
          </cell>
        </row>
        <row r="114">
          <cell r="B114">
            <v>108</v>
          </cell>
          <cell r="C114" t="str">
            <v>SN19</v>
          </cell>
          <cell r="D114" t="str">
            <v>POEM ARB</v>
          </cell>
          <cell r="E114">
            <v>3</v>
          </cell>
          <cell r="F114" t="str">
            <v>Single</v>
          </cell>
          <cell r="G114" t="str">
            <v>Non-Stg</v>
          </cell>
          <cell r="H114" t="str">
            <v>SENIOR</v>
          </cell>
          <cell r="I114" t="str">
            <v>C101</v>
          </cell>
          <cell r="J114" t="str">
            <v>C112</v>
          </cell>
          <cell r="K114" t="str">
            <v>C118</v>
          </cell>
          <cell r="P114" t="str">
            <v>C120</v>
          </cell>
          <cell r="Q114" t="str">
            <v>C136</v>
          </cell>
          <cell r="R114" t="str">
            <v>C166</v>
          </cell>
          <cell r="W114" t="str">
            <v>C124</v>
          </cell>
          <cell r="X114" t="str">
            <v>C174</v>
          </cell>
          <cell r="Y114" t="str">
            <v>C169</v>
          </cell>
          <cell r="AD114" t="str">
            <v>C111</v>
          </cell>
          <cell r="AE114" t="str">
            <v>C167</v>
          </cell>
          <cell r="AF114" t="str">
            <v>C175</v>
          </cell>
        </row>
        <row r="115">
          <cell r="B115">
            <v>109</v>
          </cell>
          <cell r="C115" t="str">
            <v>SN20</v>
          </cell>
          <cell r="D115" t="str">
            <v>POEM ENG</v>
          </cell>
          <cell r="E115">
            <v>3</v>
          </cell>
          <cell r="F115" t="str">
            <v>Single</v>
          </cell>
          <cell r="G115" t="str">
            <v>Non-Stg</v>
          </cell>
          <cell r="H115" t="str">
            <v>SENIOR</v>
          </cell>
          <cell r="I115" t="str">
            <v>C127</v>
          </cell>
          <cell r="J115" t="str">
            <v>C155</v>
          </cell>
          <cell r="K115" t="str">
            <v>C168</v>
          </cell>
          <cell r="P115" t="str">
            <v>C107</v>
          </cell>
          <cell r="Q115" t="str">
            <v>C130</v>
          </cell>
          <cell r="R115" t="str">
            <v>C158</v>
          </cell>
          <cell r="W115" t="str">
            <v>C114</v>
          </cell>
          <cell r="X115" t="str">
            <v>C145</v>
          </cell>
          <cell r="Y115" t="str">
            <v>C122</v>
          </cell>
          <cell r="AD115" t="str">
            <v>C116</v>
          </cell>
          <cell r="AE115" t="str">
            <v>C121</v>
          </cell>
          <cell r="AF115" t="str">
            <v>C140</v>
          </cell>
        </row>
        <row r="116">
          <cell r="B116">
            <v>110</v>
          </cell>
          <cell r="C116" t="str">
            <v>SN21</v>
          </cell>
          <cell r="D116" t="str">
            <v>POEM MLM</v>
          </cell>
          <cell r="E116">
            <v>3</v>
          </cell>
          <cell r="F116" t="str">
            <v>Single</v>
          </cell>
          <cell r="G116" t="str">
            <v>Non-Stg</v>
          </cell>
          <cell r="H116" t="str">
            <v>SENIOR</v>
          </cell>
          <cell r="I116" t="str">
            <v>C101</v>
          </cell>
          <cell r="J116" t="str">
            <v>C162</v>
          </cell>
          <cell r="K116" t="str">
            <v>C173</v>
          </cell>
          <cell r="P116" t="str">
            <v>C153</v>
          </cell>
          <cell r="Q116" t="str">
            <v>C154</v>
          </cell>
          <cell r="R116" t="str">
            <v>C161</v>
          </cell>
          <cell r="W116" t="str">
            <v>C109</v>
          </cell>
          <cell r="X116" t="str">
            <v>C145</v>
          </cell>
          <cell r="Y116" t="str">
            <v>C157</v>
          </cell>
          <cell r="AD116" t="str">
            <v>C119</v>
          </cell>
          <cell r="AE116" t="str">
            <v>C152</v>
          </cell>
          <cell r="AF116" t="str">
            <v>C163</v>
          </cell>
        </row>
        <row r="117">
          <cell r="B117">
            <v>111</v>
          </cell>
          <cell r="C117" t="str">
            <v>SN22</v>
          </cell>
          <cell r="D117" t="str">
            <v>POEM URD</v>
          </cell>
          <cell r="E117">
            <v>3</v>
          </cell>
          <cell r="F117" t="str">
            <v>Single</v>
          </cell>
          <cell r="G117" t="str">
            <v>Non-Stg</v>
          </cell>
          <cell r="H117" t="str">
            <v>SENIOR</v>
          </cell>
          <cell r="I117" t="str">
            <v>C125</v>
          </cell>
          <cell r="J117" t="str">
            <v>C134</v>
          </cell>
          <cell r="K117" t="str">
            <v>C138</v>
          </cell>
          <cell r="P117" t="str">
            <v>C136</v>
          </cell>
          <cell r="Q117" t="str">
            <v>C158</v>
          </cell>
          <cell r="R117" t="str">
            <v>C177</v>
          </cell>
          <cell r="W117" t="str">
            <v>C129</v>
          </cell>
          <cell r="X117" t="str">
            <v>C170</v>
          </cell>
          <cell r="Y117" t="str">
            <v>C174</v>
          </cell>
          <cell r="AD117" t="str">
            <v>C105</v>
          </cell>
          <cell r="AE117" t="str">
            <v>C147</v>
          </cell>
          <cell r="AF117" t="str">
            <v>C165</v>
          </cell>
        </row>
        <row r="118">
          <cell r="B118">
            <v>112</v>
          </cell>
          <cell r="C118" t="str">
            <v>SN23</v>
          </cell>
          <cell r="D118" t="str">
            <v>POSTER DESIGNING DIGITAL</v>
          </cell>
          <cell r="E118">
            <v>2</v>
          </cell>
          <cell r="F118" t="str">
            <v>Single</v>
          </cell>
          <cell r="G118" t="str">
            <v>Non-Stg</v>
          </cell>
          <cell r="H118" t="str">
            <v>SENIOR</v>
          </cell>
          <cell r="I118" t="str">
            <v>C168</v>
          </cell>
          <cell r="J118" t="str">
            <v>C176</v>
          </cell>
          <cell r="P118" t="str">
            <v>C102</v>
          </cell>
          <cell r="Q118" t="str">
            <v>C179</v>
          </cell>
          <cell r="W118" t="str">
            <v>C124</v>
          </cell>
          <cell r="X118" t="str">
            <v>C141</v>
          </cell>
          <cell r="AD118" t="str">
            <v>C146</v>
          </cell>
          <cell r="AE118" t="str">
            <v>C165</v>
          </cell>
        </row>
        <row r="119">
          <cell r="B119">
            <v>113</v>
          </cell>
          <cell r="C119" t="str">
            <v>SN24</v>
          </cell>
          <cell r="D119" t="str">
            <v>QIRĀʾAH</v>
          </cell>
          <cell r="E119">
            <v>3</v>
          </cell>
          <cell r="F119" t="str">
            <v>Single</v>
          </cell>
          <cell r="G119" t="str">
            <v>Non-Stg</v>
          </cell>
          <cell r="H119" t="str">
            <v>SENIOR</v>
          </cell>
          <cell r="I119" t="str">
            <v>C112</v>
          </cell>
          <cell r="J119" t="str">
            <v>C131</v>
          </cell>
          <cell r="K119" t="str">
            <v>C142</v>
          </cell>
          <cell r="P119" t="str">
            <v>C120</v>
          </cell>
          <cell r="Q119" t="str">
            <v>C136</v>
          </cell>
          <cell r="R119" t="str">
            <v>C150</v>
          </cell>
          <cell r="W119" t="str">
            <v>C109</v>
          </cell>
          <cell r="X119" t="str">
            <v>C129</v>
          </cell>
          <cell r="Y119" t="str">
            <v>C159</v>
          </cell>
          <cell r="AD119" t="str">
            <v>C111</v>
          </cell>
          <cell r="AE119" t="str">
            <v>C121</v>
          </cell>
          <cell r="AF119" t="str">
            <v>C165</v>
          </cell>
        </row>
        <row r="120">
          <cell r="B120">
            <v>114</v>
          </cell>
          <cell r="C120" t="str">
            <v>SN25</v>
          </cell>
          <cell r="D120" t="str">
            <v>SCIENCE MASTER</v>
          </cell>
          <cell r="E120">
            <v>3</v>
          </cell>
          <cell r="F120" t="str">
            <v>Single</v>
          </cell>
          <cell r="G120" t="str">
            <v>Non-Stg</v>
          </cell>
          <cell r="H120" t="str">
            <v>SENIOR</v>
          </cell>
          <cell r="I120" t="str">
            <v>C108</v>
          </cell>
          <cell r="J120" t="str">
            <v>C115</v>
          </cell>
          <cell r="K120" t="str">
            <v>C156</v>
          </cell>
          <cell r="P120" t="str">
            <v>C133</v>
          </cell>
          <cell r="Q120" t="str">
            <v>C144</v>
          </cell>
          <cell r="R120" t="str">
            <v>C166</v>
          </cell>
          <cell r="W120" t="str">
            <v>C103</v>
          </cell>
          <cell r="X120" t="str">
            <v>C114</v>
          </cell>
          <cell r="Y120" t="str">
            <v>C170</v>
          </cell>
          <cell r="AD120" t="str">
            <v>C140</v>
          </cell>
          <cell r="AE120" t="str">
            <v>C143</v>
          </cell>
          <cell r="AF120" t="str">
            <v>C151</v>
          </cell>
        </row>
        <row r="121">
          <cell r="B121">
            <v>115</v>
          </cell>
          <cell r="C121" t="str">
            <v>SN26</v>
          </cell>
          <cell r="D121" t="str">
            <v>SHORT STORY ARB</v>
          </cell>
          <cell r="E121">
            <v>3</v>
          </cell>
          <cell r="F121" t="str">
            <v>Single</v>
          </cell>
          <cell r="G121" t="str">
            <v>Non-Stg</v>
          </cell>
          <cell r="H121" t="str">
            <v>SENIOR</v>
          </cell>
          <cell r="I121" t="str">
            <v>C112</v>
          </cell>
          <cell r="J121" t="str">
            <v>C118</v>
          </cell>
          <cell r="K121" t="str">
            <v>C149</v>
          </cell>
          <cell r="P121" t="str">
            <v>C153</v>
          </cell>
          <cell r="Q121" t="str">
            <v>C172</v>
          </cell>
          <cell r="R121" t="str">
            <v>C177</v>
          </cell>
          <cell r="W121" t="str">
            <v>C109</v>
          </cell>
          <cell r="X121" t="str">
            <v>C169</v>
          </cell>
          <cell r="Y121" t="str">
            <v>C174</v>
          </cell>
          <cell r="AD121" t="str">
            <v>C111</v>
          </cell>
          <cell r="AE121" t="str">
            <v>C135</v>
          </cell>
          <cell r="AF121" t="str">
            <v>C167</v>
          </cell>
        </row>
        <row r="122">
          <cell r="B122">
            <v>116</v>
          </cell>
          <cell r="C122" t="str">
            <v>SN27</v>
          </cell>
          <cell r="D122" t="str">
            <v>SHORT STORY ENG</v>
          </cell>
          <cell r="E122">
            <v>3</v>
          </cell>
          <cell r="F122" t="str">
            <v>Single</v>
          </cell>
          <cell r="G122" t="str">
            <v>Non-Stg</v>
          </cell>
          <cell r="H122" t="str">
            <v>SENIOR</v>
          </cell>
          <cell r="I122" t="str">
            <v>C127</v>
          </cell>
          <cell r="J122" t="str">
            <v>C131</v>
          </cell>
          <cell r="K122" t="str">
            <v>C164</v>
          </cell>
          <cell r="P122" t="str">
            <v>C102</v>
          </cell>
          <cell r="Q122" t="str">
            <v>C107</v>
          </cell>
          <cell r="R122" t="str">
            <v>C110</v>
          </cell>
          <cell r="W122" t="str">
            <v>C122</v>
          </cell>
          <cell r="X122" t="str">
            <v>C145</v>
          </cell>
          <cell r="Y122" t="str">
            <v>C170</v>
          </cell>
          <cell r="AD122" t="str">
            <v>C113</v>
          </cell>
          <cell r="AE122" t="str">
            <v>C146</v>
          </cell>
          <cell r="AF122" t="str">
            <v>C151</v>
          </cell>
        </row>
        <row r="123">
          <cell r="B123">
            <v>117</v>
          </cell>
          <cell r="C123" t="str">
            <v>SN28</v>
          </cell>
          <cell r="D123" t="str">
            <v>SLOGAN MAKING</v>
          </cell>
          <cell r="E123">
            <v>3</v>
          </cell>
          <cell r="F123" t="str">
            <v>Single</v>
          </cell>
          <cell r="G123" t="str">
            <v>Non-Stg</v>
          </cell>
          <cell r="H123" t="str">
            <v>SENIOR</v>
          </cell>
          <cell r="I123" t="str">
            <v>C156</v>
          </cell>
          <cell r="J123" t="str">
            <v>C162</v>
          </cell>
          <cell r="K123" t="str">
            <v>C131</v>
          </cell>
          <cell r="P123" t="str">
            <v>C153</v>
          </cell>
          <cell r="Q123" t="str">
            <v>C154</v>
          </cell>
          <cell r="R123" t="str">
            <v>C161</v>
          </cell>
          <cell r="W123" t="str">
            <v>C103</v>
          </cell>
          <cell r="X123" t="str">
            <v>C106</v>
          </cell>
          <cell r="Y123" t="str">
            <v>C145</v>
          </cell>
          <cell r="AD123" t="str">
            <v>C119</v>
          </cell>
          <cell r="AE123" t="str">
            <v>C152</v>
          </cell>
          <cell r="AF123" t="str">
            <v>C163</v>
          </cell>
        </row>
        <row r="124">
          <cell r="B124">
            <v>118</v>
          </cell>
          <cell r="C124" t="str">
            <v>SN29</v>
          </cell>
          <cell r="D124" t="str">
            <v>TAḤLĪL AL-ʿIBĀRAH</v>
          </cell>
          <cell r="E124">
            <v>3</v>
          </cell>
          <cell r="F124" t="str">
            <v>Single</v>
          </cell>
          <cell r="G124" t="str">
            <v>Non-Stg</v>
          </cell>
          <cell r="H124" t="str">
            <v>SENIOR</v>
          </cell>
          <cell r="I124" t="str">
            <v>C112</v>
          </cell>
          <cell r="J124" t="str">
            <v>C138</v>
          </cell>
          <cell r="K124" t="str">
            <v>C149</v>
          </cell>
          <cell r="P124" t="str">
            <v>C120</v>
          </cell>
          <cell r="Q124" t="str">
            <v>C136</v>
          </cell>
          <cell r="R124" t="str">
            <v>C166</v>
          </cell>
          <cell r="W124" t="str">
            <v>C109</v>
          </cell>
          <cell r="X124" t="str">
            <v>C148</v>
          </cell>
          <cell r="Y124" t="str">
            <v>C171</v>
          </cell>
          <cell r="AD124" t="str">
            <v>C143</v>
          </cell>
          <cell r="AE124" t="str">
            <v>C175</v>
          </cell>
          <cell r="AF124" t="str">
            <v>C163</v>
          </cell>
        </row>
        <row r="125">
          <cell r="B125">
            <v>119</v>
          </cell>
          <cell r="C125" t="str">
            <v>SN30</v>
          </cell>
          <cell r="D125" t="str">
            <v>ANNOUNCEMENT</v>
          </cell>
          <cell r="E125">
            <v>3</v>
          </cell>
          <cell r="F125" t="str">
            <v>Single</v>
          </cell>
          <cell r="G125" t="str">
            <v>Stage</v>
          </cell>
          <cell r="H125" t="str">
            <v>SENIOR</v>
          </cell>
          <cell r="I125" t="str">
            <v>C162</v>
          </cell>
          <cell r="J125" t="str">
            <v>C131</v>
          </cell>
          <cell r="K125" t="str">
            <v>C156</v>
          </cell>
          <cell r="P125" t="str">
            <v>C153</v>
          </cell>
          <cell r="Q125" t="str">
            <v>C166</v>
          </cell>
          <cell r="R125" t="str">
            <v>C161</v>
          </cell>
          <cell r="W125" t="str">
            <v>C103</v>
          </cell>
          <cell r="X125" t="str">
            <v>C159</v>
          </cell>
          <cell r="Y125" t="str">
            <v>C141</v>
          </cell>
          <cell r="AD125" t="str">
            <v>C121</v>
          </cell>
          <cell r="AE125" t="str">
            <v>C163</v>
          </cell>
          <cell r="AF125" t="str">
            <v>C165</v>
          </cell>
        </row>
        <row r="126">
          <cell r="B126">
            <v>120</v>
          </cell>
          <cell r="C126" t="str">
            <v>SN31</v>
          </cell>
          <cell r="D126" t="str">
            <v>EXTEMPORE SPEECH MLM</v>
          </cell>
          <cell r="E126">
            <v>3</v>
          </cell>
          <cell r="F126" t="str">
            <v>Single</v>
          </cell>
          <cell r="G126" t="str">
            <v>Stage</v>
          </cell>
          <cell r="H126" t="str">
            <v>SENIOR</v>
          </cell>
          <cell r="I126" t="str">
            <v>C101</v>
          </cell>
          <cell r="J126" t="str">
            <v>C162</v>
          </cell>
          <cell r="K126" t="str">
            <v>C173</v>
          </cell>
          <cell r="P126" t="str">
            <v>C133</v>
          </cell>
          <cell r="Q126" t="str">
            <v>C161</v>
          </cell>
          <cell r="R126" t="str">
            <v>C166</v>
          </cell>
          <cell r="W126" t="str">
            <v>C103</v>
          </cell>
          <cell r="X126" t="str">
            <v>C141</v>
          </cell>
          <cell r="Y126" t="str">
            <v>C171</v>
          </cell>
          <cell r="AD126" t="str">
            <v>C111</v>
          </cell>
          <cell r="AE126" t="str">
            <v>C113</v>
          </cell>
          <cell r="AF126" t="str">
            <v>C163</v>
          </cell>
        </row>
        <row r="127">
          <cell r="B127">
            <v>121</v>
          </cell>
          <cell r="C127" t="str">
            <v>SN32</v>
          </cell>
          <cell r="D127" t="str">
            <v>GD MLM</v>
          </cell>
          <cell r="E127">
            <v>3</v>
          </cell>
          <cell r="F127" t="str">
            <v>Single</v>
          </cell>
          <cell r="G127" t="str">
            <v>Stage</v>
          </cell>
          <cell r="H127" t="str">
            <v>SENIOR</v>
          </cell>
          <cell r="I127" t="str">
            <v>C162</v>
          </cell>
          <cell r="J127" t="str">
            <v>C168</v>
          </cell>
          <cell r="K127" t="str">
            <v>C173</v>
          </cell>
          <cell r="P127" t="str">
            <v>C133</v>
          </cell>
          <cell r="Q127" t="str">
            <v>C158</v>
          </cell>
          <cell r="R127" t="str">
            <v>C161</v>
          </cell>
          <cell r="W127" t="str">
            <v>C103</v>
          </cell>
          <cell r="X127" t="str">
            <v>C145</v>
          </cell>
          <cell r="Y127" t="str">
            <v>C157</v>
          </cell>
          <cell r="AD127" t="str">
            <v>C119</v>
          </cell>
          <cell r="AE127" t="str">
            <v>C105</v>
          </cell>
          <cell r="AF127" t="str">
            <v>C163</v>
          </cell>
        </row>
        <row r="128">
          <cell r="B128">
            <v>122</v>
          </cell>
          <cell r="C128" t="str">
            <v>SN33</v>
          </cell>
          <cell r="D128" t="str">
            <v>HISTORY TALK ENG</v>
          </cell>
          <cell r="E128">
            <v>2</v>
          </cell>
          <cell r="F128" t="str">
            <v>Single</v>
          </cell>
          <cell r="G128" t="str">
            <v>Stage</v>
          </cell>
          <cell r="H128" t="str">
            <v>SENIOR</v>
          </cell>
          <cell r="I128" t="str">
            <v>C168</v>
          </cell>
          <cell r="J128" t="str">
            <v>C155</v>
          </cell>
          <cell r="P128" t="str">
            <v>C107</v>
          </cell>
          <cell r="Q128" t="str">
            <v>C110</v>
          </cell>
          <cell r="W128" t="str">
            <v>C114</v>
          </cell>
          <cell r="X128" t="str">
            <v>C170</v>
          </cell>
          <cell r="AD128" t="str">
            <v>C113</v>
          </cell>
          <cell r="AE128" t="str">
            <v>C135</v>
          </cell>
        </row>
        <row r="129">
          <cell r="B129">
            <v>123</v>
          </cell>
          <cell r="C129" t="str">
            <v>SN34</v>
          </cell>
          <cell r="D129" t="str">
            <v>KAVIYARANG</v>
          </cell>
          <cell r="E129">
            <v>2</v>
          </cell>
          <cell r="F129" t="str">
            <v>Single</v>
          </cell>
          <cell r="G129" t="str">
            <v>Stage</v>
          </cell>
          <cell r="H129" t="str">
            <v>SENIOR</v>
          </cell>
          <cell r="I129" t="str">
            <v>C173</v>
          </cell>
          <cell r="J129" t="str">
            <v>C176</v>
          </cell>
          <cell r="P129" t="str">
            <v>C153</v>
          </cell>
          <cell r="Q129" t="str">
            <v>C161</v>
          </cell>
          <cell r="W129" t="str">
            <v>C109</v>
          </cell>
          <cell r="X129" t="str">
            <v>C171</v>
          </cell>
          <cell r="AD129" t="str">
            <v>C121</v>
          </cell>
          <cell r="AE129" t="str">
            <v>C152</v>
          </cell>
        </row>
        <row r="130">
          <cell r="B130">
            <v>124</v>
          </cell>
          <cell r="C130" t="str">
            <v>SN35</v>
          </cell>
          <cell r="D130" t="str">
            <v>MOTIVATIONAL SPEECH ENG</v>
          </cell>
          <cell r="E130">
            <v>2</v>
          </cell>
          <cell r="F130" t="str">
            <v>Single</v>
          </cell>
          <cell r="G130" t="str">
            <v>Stage</v>
          </cell>
          <cell r="H130" t="str">
            <v>SENIOR</v>
          </cell>
          <cell r="I130" t="str">
            <v>C155</v>
          </cell>
          <cell r="J130" t="str">
            <v>C108</v>
          </cell>
          <cell r="P130" t="str">
            <v>C107</v>
          </cell>
          <cell r="Q130" t="str">
            <v>C158</v>
          </cell>
          <cell r="W130" t="str">
            <v>C132</v>
          </cell>
          <cell r="X130" t="str">
            <v>C170</v>
          </cell>
          <cell r="AD130" t="str">
            <v>C135</v>
          </cell>
          <cell r="AE130" t="str">
            <v>C140</v>
          </cell>
        </row>
        <row r="131">
          <cell r="B131">
            <v>125</v>
          </cell>
          <cell r="C131" t="str">
            <v>SN36</v>
          </cell>
          <cell r="D131" t="str">
            <v>NASHEED ARB</v>
          </cell>
          <cell r="E131">
            <v>3</v>
          </cell>
          <cell r="F131" t="str">
            <v>Single</v>
          </cell>
          <cell r="G131" t="str">
            <v>Stage</v>
          </cell>
          <cell r="H131" t="str">
            <v>SENIOR</v>
          </cell>
          <cell r="I131" t="str">
            <v>C112</v>
          </cell>
          <cell r="J131" t="str">
            <v>C142</v>
          </cell>
          <cell r="K131" t="str">
            <v>C176</v>
          </cell>
          <cell r="P131" t="str">
            <v>C120</v>
          </cell>
          <cell r="Q131" t="str">
            <v>C136</v>
          </cell>
          <cell r="R131" t="str">
            <v>C150</v>
          </cell>
          <cell r="W131" t="str">
            <v>C103</v>
          </cell>
          <cell r="X131" t="str">
            <v>C109</v>
          </cell>
          <cell r="Y131" t="str">
            <v>C124</v>
          </cell>
          <cell r="AD131" t="str">
            <v>C147</v>
          </cell>
          <cell r="AE131" t="str">
            <v>C165</v>
          </cell>
          <cell r="AF131" t="str">
            <v>C167</v>
          </cell>
        </row>
        <row r="132">
          <cell r="B132">
            <v>126</v>
          </cell>
          <cell r="C132" t="str">
            <v>SN37</v>
          </cell>
          <cell r="D132" t="str">
            <v>NEWS WRITING AND READING ENG</v>
          </cell>
          <cell r="E132">
            <v>3</v>
          </cell>
          <cell r="F132" t="str">
            <v>Single</v>
          </cell>
          <cell r="G132" t="str">
            <v>Stage</v>
          </cell>
          <cell r="H132" t="str">
            <v>SENIOR</v>
          </cell>
          <cell r="I132" t="str">
            <v>C168</v>
          </cell>
          <cell r="J132" t="str">
            <v>C155</v>
          </cell>
          <cell r="K132" t="str">
            <v>C108</v>
          </cell>
          <cell r="P132" t="str">
            <v>C102</v>
          </cell>
          <cell r="Q132" t="str">
            <v>C110</v>
          </cell>
          <cell r="R132" t="str">
            <v>C133</v>
          </cell>
          <cell r="W132" t="str">
            <v>C123</v>
          </cell>
          <cell r="X132" t="str">
            <v>C145</v>
          </cell>
          <cell r="Y132" t="str">
            <v>C170</v>
          </cell>
          <cell r="AD132" t="str">
            <v>C113</v>
          </cell>
          <cell r="AE132" t="str">
            <v>C135</v>
          </cell>
          <cell r="AF132" t="str">
            <v>C111</v>
          </cell>
        </row>
        <row r="133">
          <cell r="B133">
            <v>127</v>
          </cell>
          <cell r="C133" t="str">
            <v>SN38</v>
          </cell>
          <cell r="D133" t="str">
            <v>RAP SONG</v>
          </cell>
          <cell r="E133">
            <v>3</v>
          </cell>
          <cell r="F133" t="str">
            <v>Single</v>
          </cell>
          <cell r="G133" t="str">
            <v>Stage</v>
          </cell>
          <cell r="H133" t="str">
            <v>SENIOR</v>
          </cell>
          <cell r="I133" t="str">
            <v>C176</v>
          </cell>
          <cell r="J133" t="str">
            <v>C162</v>
          </cell>
          <cell r="K133" t="str">
            <v>C156</v>
          </cell>
          <cell r="P133" t="str">
            <v>C158</v>
          </cell>
          <cell r="Q133" t="str">
            <v>C161</v>
          </cell>
          <cell r="R133" t="str">
            <v>C166</v>
          </cell>
          <cell r="W133" t="str">
            <v>C104</v>
          </cell>
          <cell r="X133" t="str">
            <v>C106</v>
          </cell>
          <cell r="Y133" t="str">
            <v>C114</v>
          </cell>
          <cell r="AD133" t="str">
            <v>C121</v>
          </cell>
          <cell r="AE133" t="str">
            <v>C152</v>
          </cell>
          <cell r="AF133" t="str">
            <v>C175</v>
          </cell>
        </row>
        <row r="134">
          <cell r="B134">
            <v>128</v>
          </cell>
          <cell r="C134" t="str">
            <v>SN39</v>
          </cell>
          <cell r="D134" t="str">
            <v>REVERSE QUIZ</v>
          </cell>
          <cell r="E134">
            <v>2</v>
          </cell>
          <cell r="F134" t="str">
            <v>Single</v>
          </cell>
          <cell r="G134" t="str">
            <v>Stage</v>
          </cell>
          <cell r="H134" t="str">
            <v>SENIOR</v>
          </cell>
          <cell r="I134" t="str">
            <v>C115</v>
          </cell>
          <cell r="J134" t="str">
            <v>C162</v>
          </cell>
          <cell r="P134" t="str">
            <v>C133</v>
          </cell>
          <cell r="Q134" t="str">
            <v>C144</v>
          </cell>
          <cell r="W134" t="str">
            <v>C103</v>
          </cell>
          <cell r="X134" t="str">
            <v>C148</v>
          </cell>
          <cell r="AD134" t="str">
            <v>C140</v>
          </cell>
          <cell r="AE134" t="str">
            <v>C143</v>
          </cell>
        </row>
        <row r="135">
          <cell r="B135">
            <v>129</v>
          </cell>
          <cell r="C135" t="str">
            <v>SN40</v>
          </cell>
          <cell r="D135" t="str">
            <v>SONG ENG</v>
          </cell>
          <cell r="E135">
            <v>3</v>
          </cell>
          <cell r="F135" t="str">
            <v>Single</v>
          </cell>
          <cell r="G135" t="str">
            <v>Stage</v>
          </cell>
          <cell r="H135" t="str">
            <v>SENIOR</v>
          </cell>
          <cell r="I135" t="str">
            <v>C164</v>
          </cell>
          <cell r="J135" t="str">
            <v>C176</v>
          </cell>
          <cell r="K135" t="str">
            <v>C155</v>
          </cell>
          <cell r="P135" t="str">
            <v>C107</v>
          </cell>
          <cell r="Q135" t="str">
            <v>C158</v>
          </cell>
          <cell r="R135" t="str">
            <v>C179</v>
          </cell>
          <cell r="W135" t="str">
            <v>C129</v>
          </cell>
          <cell r="X135" t="str">
            <v>C145</v>
          </cell>
          <cell r="Y135" t="str">
            <v>C170</v>
          </cell>
          <cell r="AD135" t="str">
            <v>C121</v>
          </cell>
          <cell r="AE135" t="str">
            <v>C126</v>
          </cell>
          <cell r="AF135" t="str">
            <v>C178</v>
          </cell>
        </row>
        <row r="136">
          <cell r="B136">
            <v>130</v>
          </cell>
          <cell r="C136" t="str">
            <v>SN41</v>
          </cell>
          <cell r="D136" t="str">
            <v>SONG MLM</v>
          </cell>
          <cell r="E136">
            <v>3</v>
          </cell>
          <cell r="F136" t="str">
            <v>Single</v>
          </cell>
          <cell r="G136" t="str">
            <v>Stage</v>
          </cell>
          <cell r="H136" t="str">
            <v>SENIOR</v>
          </cell>
          <cell r="I136" t="str">
            <v>C127</v>
          </cell>
          <cell r="J136" t="str">
            <v>C131</v>
          </cell>
          <cell r="K136" t="str">
            <v>C142</v>
          </cell>
          <cell r="P136" t="str">
            <v>C120</v>
          </cell>
          <cell r="Q136" t="str">
            <v>C136</v>
          </cell>
          <cell r="R136" t="str">
            <v>C150</v>
          </cell>
          <cell r="W136" t="str">
            <v>C124</v>
          </cell>
          <cell r="X136" t="str">
            <v>C160</v>
          </cell>
          <cell r="Y136" t="str">
            <v>C171</v>
          </cell>
          <cell r="AD136" t="str">
            <v>C126</v>
          </cell>
          <cell r="AE136" t="str">
            <v>C146</v>
          </cell>
          <cell r="AF136" t="str">
            <v>C167</v>
          </cell>
        </row>
        <row r="137">
          <cell r="B137">
            <v>131</v>
          </cell>
          <cell r="C137" t="str">
            <v>SN42</v>
          </cell>
          <cell r="D137" t="str">
            <v>SONG URD</v>
          </cell>
          <cell r="E137">
            <v>3</v>
          </cell>
          <cell r="F137" t="str">
            <v>Single</v>
          </cell>
          <cell r="G137" t="str">
            <v>Stage</v>
          </cell>
          <cell r="H137" t="str">
            <v>SENIOR</v>
          </cell>
          <cell r="I137" t="str">
            <v>C118</v>
          </cell>
          <cell r="J137" t="str">
            <v>C127</v>
          </cell>
          <cell r="K137" t="str">
            <v>C131</v>
          </cell>
          <cell r="P137" t="str">
            <v>C100</v>
          </cell>
          <cell r="Q137" t="str">
            <v>C117</v>
          </cell>
          <cell r="R137" t="str">
            <v>C172</v>
          </cell>
          <cell r="W137" t="str">
            <v>C104</v>
          </cell>
          <cell r="X137" t="str">
            <v>C129</v>
          </cell>
          <cell r="Y137" t="str">
            <v>C171</v>
          </cell>
          <cell r="AD137" t="str">
            <v>C121</v>
          </cell>
          <cell r="AE137" t="str">
            <v>C147</v>
          </cell>
          <cell r="AF137" t="str">
            <v>C165</v>
          </cell>
        </row>
        <row r="138">
          <cell r="B138">
            <v>132</v>
          </cell>
          <cell r="C138" t="str">
            <v>SN43</v>
          </cell>
          <cell r="D138" t="str">
            <v>SPEECH ARB</v>
          </cell>
          <cell r="E138">
            <v>3</v>
          </cell>
          <cell r="F138" t="str">
            <v>Single</v>
          </cell>
          <cell r="G138" t="str">
            <v>Stage</v>
          </cell>
          <cell r="H138" t="str">
            <v>SENIOR</v>
          </cell>
          <cell r="I138" t="str">
            <v>C156</v>
          </cell>
          <cell r="J138" t="str">
            <v>C112</v>
          </cell>
          <cell r="K138" t="str">
            <v>C149</v>
          </cell>
          <cell r="P138" t="str">
            <v>C130</v>
          </cell>
          <cell r="Q138" t="str">
            <v>C153</v>
          </cell>
          <cell r="R138" t="str">
            <v>C177</v>
          </cell>
          <cell r="W138" t="str">
            <v>C103</v>
          </cell>
          <cell r="X138" t="str">
            <v>C139</v>
          </cell>
          <cell r="Y138" t="str">
            <v>C141</v>
          </cell>
          <cell r="AD138" t="str">
            <v>C111</v>
          </cell>
          <cell r="AE138" t="str">
            <v>C175</v>
          </cell>
          <cell r="AF138" t="str">
            <v>C178</v>
          </cell>
        </row>
        <row r="139">
          <cell r="B139">
            <v>133</v>
          </cell>
          <cell r="C139" t="str">
            <v>SN44</v>
          </cell>
          <cell r="D139" t="str">
            <v xml:space="preserve">SPEECH ENG </v>
          </cell>
          <cell r="E139">
            <v>3</v>
          </cell>
          <cell r="F139" t="str">
            <v>Single</v>
          </cell>
          <cell r="G139" t="str">
            <v>Stage</v>
          </cell>
          <cell r="H139" t="str">
            <v>SENIOR</v>
          </cell>
          <cell r="I139" t="str">
            <v>C155</v>
          </cell>
          <cell r="J139" t="str">
            <v>C108</v>
          </cell>
          <cell r="K139" t="str">
            <v>C168</v>
          </cell>
          <cell r="P139" t="str">
            <v>C110</v>
          </cell>
          <cell r="Q139" t="str">
            <v>C107</v>
          </cell>
          <cell r="R139" t="str">
            <v>C154</v>
          </cell>
          <cell r="W139" t="str">
            <v>C114</v>
          </cell>
          <cell r="X139" t="str">
            <v>C123</v>
          </cell>
          <cell r="Y139" t="str">
            <v>C145</v>
          </cell>
          <cell r="AD139" t="str">
            <v>C113</v>
          </cell>
          <cell r="AE139" t="str">
            <v>C135</v>
          </cell>
          <cell r="AF139" t="str">
            <v>C151</v>
          </cell>
        </row>
        <row r="140">
          <cell r="B140">
            <v>134</v>
          </cell>
          <cell r="C140" t="str">
            <v>SN45</v>
          </cell>
          <cell r="D140" t="str">
            <v>SPEECH URD</v>
          </cell>
          <cell r="E140">
            <v>3</v>
          </cell>
          <cell r="F140" t="str">
            <v>Single</v>
          </cell>
          <cell r="G140" t="str">
            <v>Stage</v>
          </cell>
          <cell r="H140" t="str">
            <v>SENIOR</v>
          </cell>
          <cell r="I140" t="str">
            <v>C125</v>
          </cell>
          <cell r="J140" t="str">
            <v>C138</v>
          </cell>
          <cell r="K140" t="str">
            <v>C118</v>
          </cell>
          <cell r="P140" t="str">
            <v>C128</v>
          </cell>
          <cell r="Q140" t="str">
            <v>C133</v>
          </cell>
          <cell r="R140" t="str">
            <v>C158</v>
          </cell>
          <cell r="W140" t="str">
            <v>C104</v>
          </cell>
          <cell r="X140" t="str">
            <v>C129</v>
          </cell>
          <cell r="Y140" t="str">
            <v>C174</v>
          </cell>
          <cell r="AD140" t="str">
            <v>C116</v>
          </cell>
          <cell r="AE140" t="str">
            <v>C135</v>
          </cell>
          <cell r="AF140" t="str">
            <v>C165</v>
          </cell>
        </row>
        <row r="141">
          <cell r="B141">
            <v>135</v>
          </cell>
          <cell r="C141" t="str">
            <v>SN46</v>
          </cell>
          <cell r="D141" t="str">
            <v>TEACHING</v>
          </cell>
          <cell r="E141">
            <v>3</v>
          </cell>
          <cell r="F141" t="str">
            <v>Single</v>
          </cell>
          <cell r="G141" t="str">
            <v>Stage</v>
          </cell>
          <cell r="H141" t="str">
            <v>SENIOR</v>
          </cell>
          <cell r="I141" t="str">
            <v>C112</v>
          </cell>
          <cell r="J141" t="str">
            <v>C137</v>
          </cell>
          <cell r="K141" t="str">
            <v>C176</v>
          </cell>
          <cell r="P141" t="str">
            <v>C120</v>
          </cell>
          <cell r="Q141" t="str">
            <v>C136</v>
          </cell>
          <cell r="R141" t="str">
            <v>C166</v>
          </cell>
          <cell r="W141" t="str">
            <v>C109</v>
          </cell>
          <cell r="X141" t="str">
            <v>C141</v>
          </cell>
          <cell r="Y141" t="str">
            <v>C174</v>
          </cell>
          <cell r="AD141" t="str">
            <v>C113</v>
          </cell>
          <cell r="AE141" t="str">
            <v>C135</v>
          </cell>
          <cell r="AF141" t="str">
            <v>C175</v>
          </cell>
        </row>
        <row r="142">
          <cell r="B142">
            <v>136</v>
          </cell>
          <cell r="C142" t="str">
            <v>SN47</v>
          </cell>
          <cell r="D142" t="str">
            <v>WAʿẒ</v>
          </cell>
          <cell r="E142">
            <v>3</v>
          </cell>
          <cell r="F142" t="str">
            <v>Single</v>
          </cell>
          <cell r="G142" t="str">
            <v>Stage</v>
          </cell>
          <cell r="H142" t="str">
            <v>SENIOR</v>
          </cell>
          <cell r="I142" t="str">
            <v>C112</v>
          </cell>
          <cell r="J142" t="str">
            <v>C156</v>
          </cell>
          <cell r="K142" t="str">
            <v>C176</v>
          </cell>
          <cell r="P142" t="str">
            <v>C120</v>
          </cell>
          <cell r="Q142" t="str">
            <v>C136</v>
          </cell>
          <cell r="R142" t="str">
            <v>C166</v>
          </cell>
          <cell r="W142" t="str">
            <v>C106</v>
          </cell>
          <cell r="X142" t="str">
            <v>C159</v>
          </cell>
          <cell r="Y142" t="str">
            <v>C171</v>
          </cell>
          <cell r="AD142" t="str">
            <v>C111</v>
          </cell>
          <cell r="AE142" t="str">
            <v>C147</v>
          </cell>
          <cell r="AF142" t="str">
            <v>C167</v>
          </cell>
        </row>
        <row r="143">
          <cell r="B143">
            <v>137</v>
          </cell>
          <cell r="C143" t="str">
            <v>SN48</v>
          </cell>
          <cell r="D143" t="str">
            <v>WORD FIGHT URD</v>
          </cell>
          <cell r="E143">
            <v>3</v>
          </cell>
          <cell r="F143" t="str">
            <v>Single</v>
          </cell>
          <cell r="G143" t="str">
            <v>Stage</v>
          </cell>
          <cell r="H143" t="str">
            <v>SENIOR</v>
          </cell>
          <cell r="I143" t="str">
            <v>C125</v>
          </cell>
          <cell r="J143" t="str">
            <v>C138</v>
          </cell>
          <cell r="K143" t="str">
            <v>C134</v>
          </cell>
          <cell r="P143" t="str">
            <v>C130</v>
          </cell>
          <cell r="Q143" t="str">
            <v>C158</v>
          </cell>
          <cell r="R143" t="str">
            <v>C177</v>
          </cell>
          <cell r="W143" t="str">
            <v>C148</v>
          </cell>
          <cell r="X143" t="str">
            <v>C169</v>
          </cell>
          <cell r="Y143" t="str">
            <v>C174</v>
          </cell>
          <cell r="AD143" t="str">
            <v>C116</v>
          </cell>
          <cell r="AE143" t="str">
            <v>C126</v>
          </cell>
          <cell r="AF143" t="str">
            <v>C165</v>
          </cell>
        </row>
        <row r="144">
          <cell r="B144">
            <v>138</v>
          </cell>
          <cell r="C144" t="str">
            <v>SN49</v>
          </cell>
          <cell r="D144" t="str">
            <v>FACE TO FACE ENG</v>
          </cell>
          <cell r="E144">
            <v>2</v>
          </cell>
          <cell r="F144" t="str">
            <v>Group</v>
          </cell>
          <cell r="G144" t="str">
            <v>Stage</v>
          </cell>
          <cell r="H144" t="str">
            <v>SENIOR</v>
          </cell>
          <cell r="I144" t="str">
            <v>C155</v>
          </cell>
          <cell r="J144" t="str">
            <v>C168</v>
          </cell>
          <cell r="P144" t="str">
            <v>C102</v>
          </cell>
          <cell r="Q144" t="str">
            <v>C107</v>
          </cell>
          <cell r="W144" t="str">
            <v>C145</v>
          </cell>
          <cell r="X144" t="str">
            <v>C170</v>
          </cell>
          <cell r="AD144" t="str">
            <v>C105</v>
          </cell>
          <cell r="AE144" t="str">
            <v>C121</v>
          </cell>
        </row>
        <row r="145">
          <cell r="B145">
            <v>139</v>
          </cell>
          <cell r="C145" t="str">
            <v>SN50</v>
          </cell>
          <cell r="D145" t="str">
            <v>INSTANT MAGAZINE ENG</v>
          </cell>
          <cell r="E145">
            <v>5</v>
          </cell>
          <cell r="F145" t="str">
            <v>Group</v>
          </cell>
          <cell r="G145" t="str">
            <v>Non-Stg</v>
          </cell>
          <cell r="H145" t="str">
            <v>SENIOR</v>
          </cell>
          <cell r="I145" t="str">
            <v>C115</v>
          </cell>
          <cell r="J145" t="str">
            <v>C155</v>
          </cell>
          <cell r="K145" t="str">
            <v>C164</v>
          </cell>
          <cell r="L145" t="str">
            <v>C168</v>
          </cell>
          <cell r="M145" t="str">
            <v>C176</v>
          </cell>
          <cell r="P145" t="str">
            <v>C107</v>
          </cell>
          <cell r="Q145" t="str">
            <v>C133</v>
          </cell>
          <cell r="R145" t="str">
            <v>C136</v>
          </cell>
          <cell r="S145" t="str">
            <v>C154</v>
          </cell>
          <cell r="T145" t="str">
            <v>C172</v>
          </cell>
          <cell r="W145" t="str">
            <v>C104</v>
          </cell>
          <cell r="X145" t="str">
            <v>C114</v>
          </cell>
          <cell r="Y145" t="str">
            <v>C171</v>
          </cell>
          <cell r="Z145" t="str">
            <v>C145</v>
          </cell>
          <cell r="AA145" t="str">
            <v>C170</v>
          </cell>
          <cell r="AD145" t="str">
            <v>C111</v>
          </cell>
          <cell r="AE145" t="str">
            <v>C135</v>
          </cell>
          <cell r="AF145" t="str">
            <v>C140</v>
          </cell>
          <cell r="AG145" t="str">
            <v>C165</v>
          </cell>
          <cell r="AH145" t="str">
            <v>C167</v>
          </cell>
        </row>
        <row r="146">
          <cell r="B146">
            <v>140</v>
          </cell>
          <cell r="C146" t="str">
            <v>SN51</v>
          </cell>
          <cell r="D146" t="str">
            <v>MALA COMPOSITION</v>
          </cell>
          <cell r="E146">
            <v>2</v>
          </cell>
          <cell r="F146" t="str">
            <v>Group</v>
          </cell>
          <cell r="G146" t="str">
            <v>Stage</v>
          </cell>
          <cell r="H146" t="str">
            <v>SENIOR</v>
          </cell>
          <cell r="I146" t="str">
            <v>C162</v>
          </cell>
          <cell r="J146" t="str">
            <v>C101</v>
          </cell>
          <cell r="P146" t="str">
            <v>C166</v>
          </cell>
          <cell r="Q146" t="str">
            <v>C150</v>
          </cell>
          <cell r="W146" t="str">
            <v>C109</v>
          </cell>
          <cell r="X146" t="str">
            <v>C171</v>
          </cell>
          <cell r="AD146" t="str">
            <v>C167</v>
          </cell>
          <cell r="AE146" t="str">
            <v>C165</v>
          </cell>
        </row>
        <row r="147">
          <cell r="B147">
            <v>141</v>
          </cell>
          <cell r="C147" t="str">
            <v>SN52</v>
          </cell>
          <cell r="D147" t="str">
            <v>MASHUP</v>
          </cell>
          <cell r="E147">
            <v>6</v>
          </cell>
          <cell r="F147" t="str">
            <v>Group</v>
          </cell>
          <cell r="G147" t="str">
            <v>Stage</v>
          </cell>
          <cell r="H147" t="str">
            <v>SENIOR</v>
          </cell>
          <cell r="I147" t="str">
            <v>C168</v>
          </cell>
          <cell r="J147" t="str">
            <v>C164</v>
          </cell>
          <cell r="K147" t="str">
            <v>C162</v>
          </cell>
          <cell r="L147" t="str">
            <v>C156</v>
          </cell>
          <cell r="M147" t="str">
            <v>C142</v>
          </cell>
          <cell r="N147" t="str">
            <v>C131</v>
          </cell>
          <cell r="P147" t="str">
            <v>C120</v>
          </cell>
          <cell r="Q147" t="str">
            <v>C136</v>
          </cell>
          <cell r="R147" t="str">
            <v>C150</v>
          </cell>
          <cell r="S147" t="str">
            <v>C158</v>
          </cell>
          <cell r="T147" t="str">
            <v>C161</v>
          </cell>
          <cell r="U147" t="str">
            <v>C166</v>
          </cell>
          <cell r="W147" t="str">
            <v>C103</v>
          </cell>
          <cell r="X147" t="str">
            <v>C104</v>
          </cell>
          <cell r="Y147" t="str">
            <v>C106</v>
          </cell>
          <cell r="Z147" t="str">
            <v>C160</v>
          </cell>
          <cell r="AA147" t="str">
            <v>C170</v>
          </cell>
          <cell r="AB147" t="str">
            <v>C171</v>
          </cell>
          <cell r="AD147" t="str">
            <v>C105</v>
          </cell>
          <cell r="AE147" t="str">
            <v>C146</v>
          </cell>
          <cell r="AF147" t="str">
            <v>C147</v>
          </cell>
          <cell r="AG147" t="str">
            <v>C165</v>
          </cell>
          <cell r="AH147" t="str">
            <v>C167</v>
          </cell>
          <cell r="AI147" t="str">
            <v>C152</v>
          </cell>
        </row>
        <row r="148">
          <cell r="B148">
            <v>142</v>
          </cell>
          <cell r="C148" t="str">
            <v>SN53</v>
          </cell>
          <cell r="D148" t="str">
            <v>SPEECH &amp; SONG ARB</v>
          </cell>
          <cell r="E148">
            <v>3</v>
          </cell>
          <cell r="F148" t="str">
            <v>Group</v>
          </cell>
          <cell r="G148" t="str">
            <v>Stage</v>
          </cell>
          <cell r="H148" t="str">
            <v>SENIOR</v>
          </cell>
          <cell r="I148" t="str">
            <v>C156</v>
          </cell>
          <cell r="J148" t="str">
            <v>C127</v>
          </cell>
          <cell r="K148" t="str">
            <v>C131</v>
          </cell>
          <cell r="P148" t="str">
            <v>C120</v>
          </cell>
          <cell r="Q148" t="str">
            <v>C150</v>
          </cell>
          <cell r="R148" t="str">
            <v>C153</v>
          </cell>
          <cell r="W148" t="str">
            <v>C103</v>
          </cell>
          <cell r="X148" t="str">
            <v>C109</v>
          </cell>
          <cell r="Y148" t="str">
            <v>C124</v>
          </cell>
          <cell r="AD148" t="str">
            <v>C111</v>
          </cell>
          <cell r="AE148" t="str">
            <v>C165</v>
          </cell>
          <cell r="AF148" t="str">
            <v>C167</v>
          </cell>
        </row>
        <row r="149">
          <cell r="B149">
            <v>143</v>
          </cell>
          <cell r="C149" t="str">
            <v>SS01</v>
          </cell>
          <cell r="D149" t="str">
            <v>ABSTRACT WRITING ENG</v>
          </cell>
          <cell r="E149">
            <v>3</v>
          </cell>
          <cell r="F149" t="str">
            <v>Single</v>
          </cell>
          <cell r="G149" t="str">
            <v>Non-Stg</v>
          </cell>
          <cell r="H149" t="str">
            <v>SUPER SENIOR</v>
          </cell>
          <cell r="I149" t="str">
            <v>D128</v>
          </cell>
          <cell r="J149" t="str">
            <v>D132</v>
          </cell>
          <cell r="K149" t="str">
            <v>D165</v>
          </cell>
          <cell r="P149" t="str">
            <v>D107</v>
          </cell>
          <cell r="Q149" t="str">
            <v>D150</v>
          </cell>
          <cell r="R149" t="str">
            <v>D196</v>
          </cell>
          <cell r="W149" t="str">
            <v>D118</v>
          </cell>
          <cell r="X149" t="str">
            <v>D129</v>
          </cell>
          <cell r="Y149" t="str">
            <v>D195</v>
          </cell>
          <cell r="AD149" t="str">
            <v>D111</v>
          </cell>
          <cell r="AE149" t="str">
            <v>D144</v>
          </cell>
          <cell r="AF149" t="str">
            <v>D193</v>
          </cell>
        </row>
        <row r="150">
          <cell r="B150">
            <v>144</v>
          </cell>
          <cell r="C150" t="str">
            <v>SS02</v>
          </cell>
          <cell r="D150" t="str">
            <v>ACADEMIC ESSAY ENG</v>
          </cell>
          <cell r="E150">
            <v>3</v>
          </cell>
          <cell r="F150" t="str">
            <v>Single</v>
          </cell>
          <cell r="G150" t="str">
            <v>Non-Stg</v>
          </cell>
          <cell r="H150" t="str">
            <v>SUPER SENIOR</v>
          </cell>
          <cell r="I150" t="str">
            <v>D132</v>
          </cell>
          <cell r="J150" t="str">
            <v>D133</v>
          </cell>
          <cell r="K150" t="str">
            <v>D165</v>
          </cell>
          <cell r="P150" t="str">
            <v>D196</v>
          </cell>
          <cell r="Q150" t="str">
            <v>D150</v>
          </cell>
          <cell r="R150" t="str">
            <v>D108</v>
          </cell>
          <cell r="W150" t="str">
            <v>D118</v>
          </cell>
          <cell r="X150" t="str">
            <v>D141</v>
          </cell>
          <cell r="Y150" t="str">
            <v>D195</v>
          </cell>
          <cell r="AD150" t="str">
            <v>D111</v>
          </cell>
          <cell r="AE150" t="str">
            <v>D116</v>
          </cell>
          <cell r="AF150" t="str">
            <v>D164</v>
          </cell>
        </row>
        <row r="151">
          <cell r="B151">
            <v>145</v>
          </cell>
          <cell r="C151" t="str">
            <v>SS03</v>
          </cell>
          <cell r="D151" t="str">
            <v>ARTICLE SUBMISSION</v>
          </cell>
          <cell r="E151">
            <v>1</v>
          </cell>
          <cell r="F151" t="str">
            <v>Single</v>
          </cell>
          <cell r="G151" t="str">
            <v>Non-Stg</v>
          </cell>
          <cell r="H151" t="str">
            <v>SUPER SENIOR</v>
          </cell>
          <cell r="I151" t="str">
            <v>D128</v>
          </cell>
          <cell r="P151" t="str">
            <v>D108</v>
          </cell>
          <cell r="W151" t="str">
            <v>D141</v>
          </cell>
          <cell r="AD151" t="str">
            <v>D111</v>
          </cell>
        </row>
        <row r="152">
          <cell r="B152">
            <v>146</v>
          </cell>
          <cell r="C152" t="str">
            <v>SS04</v>
          </cell>
          <cell r="D152" t="str">
            <v>CARTOON</v>
          </cell>
          <cell r="E152">
            <v>2</v>
          </cell>
          <cell r="F152" t="str">
            <v>Single</v>
          </cell>
          <cell r="G152" t="str">
            <v>Non-Stg</v>
          </cell>
          <cell r="H152" t="str">
            <v>SUPER SENIOR</v>
          </cell>
          <cell r="I152" t="str">
            <v>D105</v>
          </cell>
          <cell r="J152" t="str">
            <v>D117</v>
          </cell>
          <cell r="P152" t="str">
            <v>D102</v>
          </cell>
          <cell r="Q152" t="str">
            <v>D183</v>
          </cell>
          <cell r="W152" t="str">
            <v>D129</v>
          </cell>
          <cell r="X152" t="str">
            <v>D173</v>
          </cell>
          <cell r="AD152" t="str">
            <v>D123</v>
          </cell>
          <cell r="AE152" t="str">
            <v>D153</v>
          </cell>
        </row>
        <row r="153">
          <cell r="B153">
            <v>147</v>
          </cell>
          <cell r="C153" t="str">
            <v>SS05</v>
          </cell>
          <cell r="D153" t="str">
            <v>ESSAY ARB</v>
          </cell>
          <cell r="E153">
            <v>3</v>
          </cell>
          <cell r="F153" t="str">
            <v>Single</v>
          </cell>
          <cell r="G153" t="str">
            <v>Non-Stg</v>
          </cell>
          <cell r="H153" t="str">
            <v>SUPER SENIOR</v>
          </cell>
          <cell r="I153" t="str">
            <v>D142</v>
          </cell>
          <cell r="J153" t="str">
            <v>D177</v>
          </cell>
          <cell r="K153" t="str">
            <v>D198</v>
          </cell>
          <cell r="P153" t="str">
            <v>D140</v>
          </cell>
          <cell r="Q153" t="str">
            <v>D148</v>
          </cell>
          <cell r="R153" t="str">
            <v>D166</v>
          </cell>
          <cell r="W153" t="str">
            <v>D119</v>
          </cell>
          <cell r="X153" t="str">
            <v>D162</v>
          </cell>
          <cell r="Y153" t="str">
            <v>D178</v>
          </cell>
          <cell r="AD153" t="str">
            <v>D104</v>
          </cell>
          <cell r="AE153" t="str">
            <v>D113</v>
          </cell>
          <cell r="AF153" t="str">
            <v>D149</v>
          </cell>
        </row>
        <row r="154">
          <cell r="B154">
            <v>148</v>
          </cell>
          <cell r="C154" t="str">
            <v>SS06</v>
          </cell>
          <cell r="D154" t="str">
            <v>ESSAY MLM</v>
          </cell>
          <cell r="E154">
            <v>3</v>
          </cell>
          <cell r="F154" t="str">
            <v>Single</v>
          </cell>
          <cell r="G154" t="str">
            <v>Non-Stg</v>
          </cell>
          <cell r="H154" t="str">
            <v>SUPER SENIOR</v>
          </cell>
          <cell r="I154" t="str">
            <v>D127</v>
          </cell>
          <cell r="J154" t="str">
            <v>D133</v>
          </cell>
          <cell r="K154" t="str">
            <v>D147</v>
          </cell>
          <cell r="P154" t="str">
            <v>D146</v>
          </cell>
          <cell r="Q154" t="str">
            <v>D187</v>
          </cell>
          <cell r="R154" t="str">
            <v>D196</v>
          </cell>
          <cell r="W154" t="str">
            <v>D137</v>
          </cell>
          <cell r="X154" t="str">
            <v>D157</v>
          </cell>
          <cell r="Y154" t="str">
            <v>D195</v>
          </cell>
          <cell r="AD154" t="str">
            <v>D136</v>
          </cell>
          <cell r="AE154" t="str">
            <v>D151</v>
          </cell>
          <cell r="AF154" t="str">
            <v>D194</v>
          </cell>
        </row>
        <row r="155">
          <cell r="B155">
            <v>149</v>
          </cell>
          <cell r="C155" t="str">
            <v>SS07</v>
          </cell>
          <cell r="D155" t="str">
            <v>ESSAY URD</v>
          </cell>
          <cell r="E155">
            <v>3</v>
          </cell>
          <cell r="F155" t="str">
            <v>Single</v>
          </cell>
          <cell r="G155" t="str">
            <v>Non-Stg</v>
          </cell>
          <cell r="H155" t="str">
            <v>SUPER SENIOR</v>
          </cell>
          <cell r="I155" t="str">
            <v>D128</v>
          </cell>
          <cell r="J155" t="str">
            <v>D147</v>
          </cell>
          <cell r="K155" t="str">
            <v>D184</v>
          </cell>
          <cell r="P155" t="str">
            <v>D131</v>
          </cell>
          <cell r="Q155" t="str">
            <v>D166</v>
          </cell>
          <cell r="R155" t="str">
            <v>D187</v>
          </cell>
          <cell r="W155" t="str">
            <v>D118</v>
          </cell>
          <cell r="X155" t="str">
            <v>D161</v>
          </cell>
          <cell r="Y155" t="str">
            <v>D162</v>
          </cell>
          <cell r="AD155" t="str">
            <v>D111</v>
          </cell>
          <cell r="AE155" t="str">
            <v>D116</v>
          </cell>
          <cell r="AF155" t="str">
            <v>D164</v>
          </cell>
        </row>
        <row r="156">
          <cell r="B156">
            <v>150</v>
          </cell>
          <cell r="C156" t="str">
            <v>SS08</v>
          </cell>
          <cell r="D156" t="str">
            <v>EXCEL EXPERT</v>
          </cell>
          <cell r="E156">
            <v>2</v>
          </cell>
          <cell r="F156" t="str">
            <v>Single</v>
          </cell>
          <cell r="G156" t="str">
            <v>Non-Stg</v>
          </cell>
          <cell r="H156" t="str">
            <v>SUPER SENIOR</v>
          </cell>
          <cell r="I156" t="str">
            <v>D134</v>
          </cell>
          <cell r="J156" t="str">
            <v>D177</v>
          </cell>
          <cell r="P156" t="str">
            <v>D108</v>
          </cell>
          <cell r="Q156" t="str">
            <v>D148</v>
          </cell>
          <cell r="W156" t="str">
            <v>D124</v>
          </cell>
          <cell r="X156" t="str">
            <v>D126</v>
          </cell>
          <cell r="AD156" t="str">
            <v>D101</v>
          </cell>
          <cell r="AE156" t="str">
            <v>D164</v>
          </cell>
        </row>
        <row r="157">
          <cell r="B157">
            <v>151</v>
          </cell>
          <cell r="C157" t="str">
            <v>SS09</v>
          </cell>
          <cell r="D157" t="str">
            <v>FEATURE WRITING MLM</v>
          </cell>
          <cell r="E157">
            <v>3</v>
          </cell>
          <cell r="F157" t="str">
            <v>Single</v>
          </cell>
          <cell r="G157" t="str">
            <v>Non-Stg</v>
          </cell>
          <cell r="H157" t="str">
            <v>SUPER SENIOR</v>
          </cell>
          <cell r="I157" t="str">
            <v>D105</v>
          </cell>
          <cell r="J157" t="str">
            <v>D127</v>
          </cell>
          <cell r="K157" t="str">
            <v>D128</v>
          </cell>
          <cell r="P157" t="str">
            <v>D121</v>
          </cell>
          <cell r="Q157" t="str">
            <v>D146</v>
          </cell>
          <cell r="R157" t="str">
            <v>D196</v>
          </cell>
          <cell r="W157" t="str">
            <v>D126</v>
          </cell>
          <cell r="X157" t="str">
            <v>D173</v>
          </cell>
          <cell r="Y157" t="str">
            <v>D195</v>
          </cell>
          <cell r="AD157" t="str">
            <v>D151</v>
          </cell>
          <cell r="AE157" t="str">
            <v>D170</v>
          </cell>
          <cell r="AF157" t="str">
            <v>D194</v>
          </cell>
        </row>
        <row r="158">
          <cell r="B158">
            <v>152</v>
          </cell>
          <cell r="C158" t="str">
            <v>SS10</v>
          </cell>
          <cell r="D158" t="str">
            <v>HIFZ AND THAJWEED</v>
          </cell>
          <cell r="E158">
            <v>2</v>
          </cell>
          <cell r="F158" t="str">
            <v>Single</v>
          </cell>
          <cell r="G158" t="str">
            <v>Non-Stg</v>
          </cell>
          <cell r="H158" t="str">
            <v>SUPER SENIOR</v>
          </cell>
          <cell r="I158" t="str">
            <v>D175</v>
          </cell>
          <cell r="J158" t="str">
            <v>D180</v>
          </cell>
          <cell r="P158" t="str">
            <v>D166</v>
          </cell>
          <cell r="Q158" t="str">
            <v>D172</v>
          </cell>
          <cell r="W158" t="str">
            <v>D110</v>
          </cell>
          <cell r="X158" t="str">
            <v>D137</v>
          </cell>
          <cell r="AD158" t="str">
            <v>D104</v>
          </cell>
          <cell r="AE158" t="str">
            <v>D191</v>
          </cell>
        </row>
        <row r="159">
          <cell r="B159">
            <v>153</v>
          </cell>
          <cell r="C159" t="str">
            <v>SS11</v>
          </cell>
          <cell r="D159" t="str">
            <v>PHOTOGRAPHY</v>
          </cell>
          <cell r="E159">
            <v>2</v>
          </cell>
          <cell r="F159" t="str">
            <v>Single</v>
          </cell>
          <cell r="G159" t="str">
            <v>Non-Stg</v>
          </cell>
          <cell r="H159" t="str">
            <v>SUPER SENIOR</v>
          </cell>
          <cell r="I159" t="str">
            <v>D112</v>
          </cell>
          <cell r="J159" t="str">
            <v>D120</v>
          </cell>
          <cell r="P159" t="str">
            <v>D115</v>
          </cell>
          <cell r="Q159" t="str">
            <v>D181</v>
          </cell>
          <cell r="W159" t="str">
            <v>D126</v>
          </cell>
          <cell r="X159" t="str">
            <v>D141</v>
          </cell>
          <cell r="AD159" t="str">
            <v>D123</v>
          </cell>
          <cell r="AE159" t="str">
            <v>D153</v>
          </cell>
        </row>
        <row r="160">
          <cell r="B160">
            <v>154</v>
          </cell>
          <cell r="C160" t="str">
            <v>SS12</v>
          </cell>
          <cell r="D160" t="str">
            <v>POEM ARB</v>
          </cell>
          <cell r="E160">
            <v>3</v>
          </cell>
          <cell r="F160" t="str">
            <v>Single</v>
          </cell>
          <cell r="G160" t="str">
            <v>Non-Stg</v>
          </cell>
          <cell r="H160" t="str">
            <v>SUPER SENIOR</v>
          </cell>
          <cell r="I160" t="str">
            <v>D142</v>
          </cell>
          <cell r="J160" t="str">
            <v>D147</v>
          </cell>
          <cell r="K160" t="str">
            <v>D198</v>
          </cell>
          <cell r="P160" t="str">
            <v>D106</v>
          </cell>
          <cell r="Q160" t="str">
            <v>D166</v>
          </cell>
          <cell r="R160" t="str">
            <v>D140</v>
          </cell>
          <cell r="W160" t="str">
            <v>D110</v>
          </cell>
          <cell r="X160" t="str">
            <v>D143</v>
          </cell>
          <cell r="Y160" t="str">
            <v>D178</v>
          </cell>
          <cell r="AD160" t="str">
            <v>D104</v>
          </cell>
          <cell r="AE160" t="str">
            <v>D160</v>
          </cell>
          <cell r="AF160" t="str">
            <v>D193</v>
          </cell>
        </row>
        <row r="161">
          <cell r="B161">
            <v>155</v>
          </cell>
          <cell r="C161" t="str">
            <v>SS13</v>
          </cell>
          <cell r="D161" t="str">
            <v>POEM ENG</v>
          </cell>
          <cell r="E161">
            <v>3</v>
          </cell>
          <cell r="F161" t="str">
            <v>Single</v>
          </cell>
          <cell r="G161" t="str">
            <v>Non-Stg</v>
          </cell>
          <cell r="H161" t="str">
            <v>SUPER SENIOR</v>
          </cell>
          <cell r="I161" t="str">
            <v>D114</v>
          </cell>
          <cell r="J161" t="str">
            <v>D138</v>
          </cell>
          <cell r="K161" t="str">
            <v>D165</v>
          </cell>
          <cell r="P161" t="str">
            <v>D108</v>
          </cell>
          <cell r="Q161" t="str">
            <v>D181</v>
          </cell>
          <cell r="R161" t="str">
            <v>D196</v>
          </cell>
          <cell r="W161" t="str">
            <v>D141</v>
          </cell>
          <cell r="X161" t="str">
            <v>D145</v>
          </cell>
          <cell r="Y161" t="str">
            <v>D174</v>
          </cell>
          <cell r="AD161" t="str">
            <v>D154</v>
          </cell>
          <cell r="AE161" t="str">
            <v>D144</v>
          </cell>
          <cell r="AF161" t="str">
            <v>D123</v>
          </cell>
        </row>
        <row r="162">
          <cell r="B162">
            <v>156</v>
          </cell>
          <cell r="C162" t="str">
            <v>SS14</v>
          </cell>
          <cell r="D162" t="str">
            <v>POEM MLM</v>
          </cell>
          <cell r="E162">
            <v>3</v>
          </cell>
          <cell r="F162" t="str">
            <v>Single</v>
          </cell>
          <cell r="G162" t="str">
            <v>Non-Stg</v>
          </cell>
          <cell r="H162" t="str">
            <v>SUPER SENIOR</v>
          </cell>
          <cell r="I162" t="str">
            <v>D105</v>
          </cell>
          <cell r="J162" t="str">
            <v>D117</v>
          </cell>
          <cell r="K162" t="str">
            <v>D186</v>
          </cell>
          <cell r="P162" t="str">
            <v>D107</v>
          </cell>
          <cell r="Q162" t="str">
            <v>D179</v>
          </cell>
          <cell r="R162" t="str">
            <v>D152</v>
          </cell>
          <cell r="W162" t="str">
            <v>D126</v>
          </cell>
          <cell r="X162" t="str">
            <v>D137</v>
          </cell>
          <cell r="Y162" t="str">
            <v>D173</v>
          </cell>
          <cell r="AD162" t="str">
            <v>D136</v>
          </cell>
          <cell r="AE162" t="str">
            <v>D151</v>
          </cell>
          <cell r="AF162" t="str">
            <v>D194</v>
          </cell>
        </row>
        <row r="163">
          <cell r="B163">
            <v>157</v>
          </cell>
          <cell r="C163" t="str">
            <v>SS15</v>
          </cell>
          <cell r="D163" t="str">
            <v>POEM URD</v>
          </cell>
          <cell r="E163">
            <v>3</v>
          </cell>
          <cell r="F163" t="str">
            <v>Single</v>
          </cell>
          <cell r="G163" t="str">
            <v>Non-Stg</v>
          </cell>
          <cell r="H163" t="str">
            <v>SUPER SENIOR</v>
          </cell>
          <cell r="I163" t="str">
            <v>D128</v>
          </cell>
          <cell r="J163" t="str">
            <v>D184</v>
          </cell>
          <cell r="K163" t="str">
            <v>D198</v>
          </cell>
          <cell r="P163" t="str">
            <v>D131</v>
          </cell>
          <cell r="Q163" t="str">
            <v>D125</v>
          </cell>
          <cell r="R163" t="str">
            <v>D130</v>
          </cell>
          <cell r="W163" t="str">
            <v>D118</v>
          </cell>
          <cell r="X163" t="str">
            <v>D189</v>
          </cell>
          <cell r="Y163" t="str">
            <v>D162</v>
          </cell>
          <cell r="AD163" t="str">
            <v>D101</v>
          </cell>
          <cell r="AE163" t="str">
            <v>D164</v>
          </cell>
          <cell r="AF163" t="str">
            <v>D182</v>
          </cell>
        </row>
        <row r="164">
          <cell r="B164">
            <v>158</v>
          </cell>
          <cell r="C164" t="str">
            <v>SS16</v>
          </cell>
          <cell r="D164" t="str">
            <v>PROOF READING ARB</v>
          </cell>
          <cell r="E164">
            <v>3</v>
          </cell>
          <cell r="F164" t="str">
            <v>Single</v>
          </cell>
          <cell r="G164" t="str">
            <v>Non-Stg</v>
          </cell>
          <cell r="H164" t="str">
            <v>SUPER SENIOR</v>
          </cell>
          <cell r="I164" t="str">
            <v>D163</v>
          </cell>
          <cell r="J164" t="str">
            <v>D177</v>
          </cell>
          <cell r="K164" t="str">
            <v>D180</v>
          </cell>
          <cell r="P164" t="str">
            <v>D106</v>
          </cell>
          <cell r="Q164" t="str">
            <v>D166</v>
          </cell>
          <cell r="R164" t="str">
            <v>D192</v>
          </cell>
          <cell r="W164" t="str">
            <v>D119</v>
          </cell>
          <cell r="X164" t="str">
            <v>D143</v>
          </cell>
          <cell r="Y164" t="str">
            <v>D195</v>
          </cell>
          <cell r="AD164" t="str">
            <v>D104</v>
          </cell>
          <cell r="AE164" t="str">
            <v>D113</v>
          </cell>
          <cell r="AF164" t="str">
            <v>D139</v>
          </cell>
        </row>
        <row r="165">
          <cell r="B165">
            <v>159</v>
          </cell>
          <cell r="C165" t="str">
            <v>SS17</v>
          </cell>
          <cell r="D165" t="str">
            <v>PROOF READING ENG</v>
          </cell>
          <cell r="E165">
            <v>3</v>
          </cell>
          <cell r="F165" t="str">
            <v>Single</v>
          </cell>
          <cell r="G165" t="str">
            <v>Non-Stg</v>
          </cell>
          <cell r="H165" t="str">
            <v>SUPER SENIOR</v>
          </cell>
          <cell r="I165" t="str">
            <v>D133</v>
          </cell>
          <cell r="J165" t="str">
            <v>D171</v>
          </cell>
          <cell r="K165" t="str">
            <v>D177</v>
          </cell>
          <cell r="P165" t="str">
            <v>D135</v>
          </cell>
          <cell r="Q165" t="str">
            <v>D150</v>
          </cell>
          <cell r="R165" t="str">
            <v>D108</v>
          </cell>
          <cell r="W165" t="str">
            <v>D110</v>
          </cell>
          <cell r="X165" t="str">
            <v>D118</v>
          </cell>
          <cell r="Y165" t="str">
            <v>D190</v>
          </cell>
          <cell r="AD165" t="str">
            <v>D101</v>
          </cell>
          <cell r="AE165" t="str">
            <v>D116</v>
          </cell>
          <cell r="AF165" t="str">
            <v>D154</v>
          </cell>
        </row>
        <row r="166">
          <cell r="B166">
            <v>160</v>
          </cell>
          <cell r="C166" t="str">
            <v>SS18</v>
          </cell>
          <cell r="D166" t="str">
            <v>PROOF READING MLM</v>
          </cell>
          <cell r="E166">
            <v>3</v>
          </cell>
          <cell r="F166" t="str">
            <v>Single</v>
          </cell>
          <cell r="G166" t="str">
            <v>Non-Stg</v>
          </cell>
          <cell r="H166" t="str">
            <v>SUPER SENIOR</v>
          </cell>
          <cell r="I166" t="str">
            <v>D105</v>
          </cell>
          <cell r="J166" t="str">
            <v>D147</v>
          </cell>
          <cell r="K166" t="str">
            <v>D171</v>
          </cell>
          <cell r="P166" t="str">
            <v>D103</v>
          </cell>
          <cell r="Q166" t="str">
            <v>D172</v>
          </cell>
          <cell r="R166" t="str">
            <v>D146</v>
          </cell>
          <cell r="W166" t="str">
            <v>D155</v>
          </cell>
          <cell r="X166" t="str">
            <v>D157</v>
          </cell>
          <cell r="Y166" t="str">
            <v>D195</v>
          </cell>
          <cell r="AD166" t="str">
            <v>D136</v>
          </cell>
          <cell r="AE166" t="str">
            <v>D170</v>
          </cell>
          <cell r="AF166" t="str">
            <v>D194</v>
          </cell>
        </row>
        <row r="167">
          <cell r="B167">
            <v>161</v>
          </cell>
          <cell r="C167" t="str">
            <v>SS19</v>
          </cell>
          <cell r="D167" t="str">
            <v>PROOF READING URD</v>
          </cell>
          <cell r="E167">
            <v>3</v>
          </cell>
          <cell r="F167" t="str">
            <v>Single</v>
          </cell>
          <cell r="G167" t="str">
            <v>Non-Stg</v>
          </cell>
          <cell r="H167" t="str">
            <v>SUPER SENIOR</v>
          </cell>
          <cell r="I167" t="str">
            <v>D138</v>
          </cell>
          <cell r="J167" t="str">
            <v>D168</v>
          </cell>
          <cell r="K167" t="str">
            <v>D184</v>
          </cell>
          <cell r="P167" t="str">
            <v>D179</v>
          </cell>
          <cell r="Q167" t="str">
            <v>D187</v>
          </cell>
          <cell r="R167" t="str">
            <v>D192</v>
          </cell>
          <cell r="W167" t="str">
            <v>D141</v>
          </cell>
          <cell r="X167" t="str">
            <v>D145</v>
          </cell>
          <cell r="Y167" t="str">
            <v>D189</v>
          </cell>
          <cell r="AD167" t="str">
            <v>D101</v>
          </cell>
          <cell r="AE167" t="str">
            <v>D139</v>
          </cell>
          <cell r="AF167" t="str">
            <v>D164</v>
          </cell>
        </row>
        <row r="168">
          <cell r="B168">
            <v>162</v>
          </cell>
          <cell r="C168" t="str">
            <v>SS20</v>
          </cell>
          <cell r="D168" t="str">
            <v>SCREENPLAY WRITING MLM</v>
          </cell>
          <cell r="E168">
            <v>2</v>
          </cell>
          <cell r="F168" t="str">
            <v>Single</v>
          </cell>
          <cell r="G168" t="str">
            <v>Non-Stg</v>
          </cell>
          <cell r="H168" t="str">
            <v>SUPER SENIOR</v>
          </cell>
          <cell r="I168" t="str">
            <v>D105</v>
          </cell>
          <cell r="J168" t="str">
            <v>D128</v>
          </cell>
          <cell r="P168" t="str">
            <v>D107</v>
          </cell>
          <cell r="Q168" t="str">
            <v>D152</v>
          </cell>
          <cell r="W168" t="str">
            <v>D141</v>
          </cell>
          <cell r="X168" t="str">
            <v>D157</v>
          </cell>
          <cell r="AD168" t="str">
            <v>D153</v>
          </cell>
          <cell r="AE168" t="str">
            <v>D170</v>
          </cell>
        </row>
        <row r="169">
          <cell r="B169">
            <v>163</v>
          </cell>
          <cell r="C169" t="str">
            <v>SS21</v>
          </cell>
          <cell r="D169" t="str">
            <v>SHORT STORY ARB</v>
          </cell>
          <cell r="E169">
            <v>3</v>
          </cell>
          <cell r="F169" t="str">
            <v>Single</v>
          </cell>
          <cell r="G169" t="str">
            <v>Non-Stg</v>
          </cell>
          <cell r="H169" t="str">
            <v>SUPER SENIOR</v>
          </cell>
          <cell r="I169" t="str">
            <v>D142</v>
          </cell>
          <cell r="J169" t="str">
            <v>D177</v>
          </cell>
          <cell r="K169" t="str">
            <v>D198</v>
          </cell>
          <cell r="P169" t="str">
            <v>D140</v>
          </cell>
          <cell r="Q169" t="str">
            <v>D148</v>
          </cell>
          <cell r="R169" t="str">
            <v>D152</v>
          </cell>
          <cell r="W169" t="str">
            <v>D143</v>
          </cell>
          <cell r="X169" t="str">
            <v>D162</v>
          </cell>
          <cell r="Y169" t="str">
            <v>D178</v>
          </cell>
          <cell r="AD169" t="str">
            <v>D113</v>
          </cell>
          <cell r="AE169" t="str">
            <v>D149</v>
          </cell>
          <cell r="AF169" t="str">
            <v>D160</v>
          </cell>
        </row>
        <row r="170">
          <cell r="B170">
            <v>164</v>
          </cell>
          <cell r="C170" t="str">
            <v>SS22</v>
          </cell>
          <cell r="D170" t="str">
            <v>SHORT STORY ENG</v>
          </cell>
          <cell r="E170">
            <v>3</v>
          </cell>
          <cell r="F170" t="str">
            <v>Single</v>
          </cell>
          <cell r="G170" t="str">
            <v>Non-Stg</v>
          </cell>
          <cell r="H170" t="str">
            <v>SUPER SENIOR</v>
          </cell>
          <cell r="I170" t="str">
            <v>D114</v>
          </cell>
          <cell r="J170" t="str">
            <v>D165</v>
          </cell>
          <cell r="K170" t="str">
            <v>D177</v>
          </cell>
          <cell r="P170" t="str">
            <v>D131</v>
          </cell>
          <cell r="Q170" t="str">
            <v>D150</v>
          </cell>
          <cell r="R170" t="str">
            <v>D108</v>
          </cell>
          <cell r="W170" t="str">
            <v>D126</v>
          </cell>
          <cell r="X170" t="str">
            <v>D141</v>
          </cell>
          <cell r="Y170" t="str">
            <v>D145</v>
          </cell>
          <cell r="AD170" t="str">
            <v>D111</v>
          </cell>
          <cell r="AE170" t="str">
            <v>D164</v>
          </cell>
          <cell r="AF170" t="str">
            <v>D176</v>
          </cell>
        </row>
        <row r="171">
          <cell r="B171">
            <v>165</v>
          </cell>
          <cell r="C171" t="str">
            <v>SS23</v>
          </cell>
          <cell r="D171" t="str">
            <v>SHORT STORY MLM</v>
          </cell>
          <cell r="E171">
            <v>3</v>
          </cell>
          <cell r="F171" t="str">
            <v>Single</v>
          </cell>
          <cell r="G171" t="str">
            <v>Non-Stg</v>
          </cell>
          <cell r="H171" t="str">
            <v>SUPER SENIOR</v>
          </cell>
          <cell r="I171" t="str">
            <v>D147</v>
          </cell>
          <cell r="J171" t="str">
            <v>D112</v>
          </cell>
          <cell r="K171" t="str">
            <v>D188</v>
          </cell>
          <cell r="P171" t="str">
            <v>D103</v>
          </cell>
          <cell r="Q171" t="str">
            <v>D146</v>
          </cell>
          <cell r="R171" t="str">
            <v>D196</v>
          </cell>
          <cell r="W171" t="str">
            <v>D109</v>
          </cell>
          <cell r="X171" t="str">
            <v>D129</v>
          </cell>
          <cell r="Y171" t="str">
            <v>D157</v>
          </cell>
          <cell r="AD171" t="str">
            <v>D116</v>
          </cell>
          <cell r="AE171" t="str">
            <v>D136</v>
          </cell>
          <cell r="AF171" t="str">
            <v>D151</v>
          </cell>
        </row>
        <row r="172">
          <cell r="B172">
            <v>166</v>
          </cell>
          <cell r="C172" t="str">
            <v>SS24</v>
          </cell>
          <cell r="D172" t="str">
            <v>SHORT STORY URD</v>
          </cell>
          <cell r="E172">
            <v>3</v>
          </cell>
          <cell r="F172" t="str">
            <v>Single</v>
          </cell>
          <cell r="G172" t="str">
            <v>Non-Stg</v>
          </cell>
          <cell r="H172" t="str">
            <v>SUPER SENIOR</v>
          </cell>
          <cell r="I172" t="str">
            <v>D128</v>
          </cell>
          <cell r="J172" t="str">
            <v>D138</v>
          </cell>
          <cell r="K172" t="str">
            <v>D147</v>
          </cell>
          <cell r="P172" t="str">
            <v>D152</v>
          </cell>
          <cell r="Q172" t="str">
            <v>D140</v>
          </cell>
          <cell r="R172" t="str">
            <v>D187</v>
          </cell>
          <cell r="W172" t="str">
            <v>D118</v>
          </cell>
          <cell r="X172" t="str">
            <v>D162</v>
          </cell>
          <cell r="Y172" t="str">
            <v>D189</v>
          </cell>
          <cell r="AD172" t="str">
            <v>D100</v>
          </cell>
          <cell r="AE172" t="str">
            <v>D116</v>
          </cell>
          <cell r="AF172" t="str">
            <v>D194</v>
          </cell>
        </row>
        <row r="173">
          <cell r="B173">
            <v>167</v>
          </cell>
          <cell r="C173" t="str">
            <v>SS25</v>
          </cell>
          <cell r="D173" t="str">
            <v>TYPING QUADRILINGUAL</v>
          </cell>
          <cell r="E173">
            <v>2</v>
          </cell>
          <cell r="F173" t="str">
            <v>Single</v>
          </cell>
          <cell r="G173" t="str">
            <v>Non-Stg</v>
          </cell>
          <cell r="H173" t="str">
            <v>SUPER SENIOR</v>
          </cell>
          <cell r="I173" t="str">
            <v>D112</v>
          </cell>
          <cell r="J173" t="str">
            <v>D159</v>
          </cell>
          <cell r="P173" t="str">
            <v>D135</v>
          </cell>
          <cell r="Q173" t="str">
            <v>D148</v>
          </cell>
          <cell r="W173" t="str">
            <v>D126</v>
          </cell>
          <cell r="X173" t="str">
            <v>D161</v>
          </cell>
          <cell r="AD173" t="str">
            <v>D113</v>
          </cell>
          <cell r="AE173" t="str">
            <v>D193</v>
          </cell>
        </row>
        <row r="174">
          <cell r="B174">
            <v>168</v>
          </cell>
          <cell r="C174" t="str">
            <v>SS26</v>
          </cell>
          <cell r="D174" t="str">
            <v>WEB DESIGNING</v>
          </cell>
          <cell r="E174">
            <v>1</v>
          </cell>
          <cell r="F174" t="str">
            <v>Single</v>
          </cell>
          <cell r="G174" t="str">
            <v>Non-Stg</v>
          </cell>
          <cell r="H174" t="str">
            <v>SUPER SENIOR</v>
          </cell>
          <cell r="I174" t="str">
            <v>D177</v>
          </cell>
          <cell r="P174" t="str">
            <v>D108</v>
          </cell>
          <cell r="W174" t="str">
            <v>D124</v>
          </cell>
          <cell r="AD174" t="str">
            <v>D101</v>
          </cell>
        </row>
        <row r="175">
          <cell r="B175">
            <v>169</v>
          </cell>
          <cell r="C175" t="str">
            <v>SS27</v>
          </cell>
          <cell r="D175" t="str">
            <v>ACADEMIC TALK ENG</v>
          </cell>
          <cell r="E175">
            <v>3</v>
          </cell>
          <cell r="F175" t="str">
            <v>Single</v>
          </cell>
          <cell r="G175" t="str">
            <v>Stage</v>
          </cell>
          <cell r="H175" t="str">
            <v>SUPER SENIOR</v>
          </cell>
          <cell r="I175" t="str">
            <v>D114</v>
          </cell>
          <cell r="J175" t="str">
            <v>D133</v>
          </cell>
          <cell r="K175" t="str">
            <v>D165</v>
          </cell>
          <cell r="P175" t="str">
            <v>D108</v>
          </cell>
          <cell r="Q175" t="str">
            <v>D150</v>
          </cell>
          <cell r="R175" t="str">
            <v>D196</v>
          </cell>
          <cell r="W175" t="str">
            <v>D110</v>
          </cell>
          <cell r="X175" t="str">
            <v>D118</v>
          </cell>
          <cell r="Y175" t="str">
            <v>D145</v>
          </cell>
          <cell r="AD175" t="str">
            <v>D123</v>
          </cell>
          <cell r="AE175" t="str">
            <v>D111</v>
          </cell>
          <cell r="AF175" t="str">
            <v>D144</v>
          </cell>
        </row>
        <row r="176">
          <cell r="B176">
            <v>170</v>
          </cell>
          <cell r="C176" t="str">
            <v>SS28</v>
          </cell>
          <cell r="D176" t="str">
            <v>ANNOUNCEMENT</v>
          </cell>
          <cell r="E176">
            <v>3</v>
          </cell>
          <cell r="F176" t="str">
            <v>Single</v>
          </cell>
          <cell r="G176" t="str">
            <v>Stage</v>
          </cell>
          <cell r="H176" t="str">
            <v>SUPER SENIOR</v>
          </cell>
          <cell r="I176" t="str">
            <v>D127</v>
          </cell>
          <cell r="J176" t="str">
            <v>D171</v>
          </cell>
          <cell r="K176" t="str">
            <v>D184</v>
          </cell>
          <cell r="P176" t="str">
            <v>D115</v>
          </cell>
          <cell r="Q176" t="str">
            <v>D181</v>
          </cell>
          <cell r="R176" t="str">
            <v>D196</v>
          </cell>
          <cell r="W176" t="str">
            <v>D126</v>
          </cell>
          <cell r="X176" t="str">
            <v>D129</v>
          </cell>
          <cell r="Y176" t="str">
            <v>D173</v>
          </cell>
          <cell r="AD176" t="str">
            <v>D113</v>
          </cell>
          <cell r="AE176" t="str">
            <v>D136</v>
          </cell>
          <cell r="AF176" t="str">
            <v>D170</v>
          </cell>
        </row>
        <row r="177">
          <cell r="B177">
            <v>171</v>
          </cell>
          <cell r="C177" t="str">
            <v>SS29</v>
          </cell>
          <cell r="D177" t="str">
            <v>DOCUMENTARY NARRATION ARB</v>
          </cell>
          <cell r="E177">
            <v>2</v>
          </cell>
          <cell r="F177" t="str">
            <v>Single</v>
          </cell>
          <cell r="G177" t="str">
            <v>Stage</v>
          </cell>
          <cell r="H177" t="str">
            <v>SUPER SENIOR</v>
          </cell>
          <cell r="I177" t="str">
            <v>D177</v>
          </cell>
          <cell r="J177" t="str">
            <v>D180</v>
          </cell>
          <cell r="P177" t="str">
            <v>D140</v>
          </cell>
          <cell r="Q177" t="str">
            <v>D166</v>
          </cell>
          <cell r="W177" t="str">
            <v>D110</v>
          </cell>
          <cell r="X177" t="str">
            <v>D178</v>
          </cell>
          <cell r="AD177" t="str">
            <v>D104</v>
          </cell>
          <cell r="AE177" t="str">
            <v>D149</v>
          </cell>
        </row>
        <row r="178">
          <cell r="B178">
            <v>172</v>
          </cell>
          <cell r="C178" t="str">
            <v>SS30</v>
          </cell>
          <cell r="D178" t="str">
            <v>EXTEMPORE SPEECH ARB</v>
          </cell>
          <cell r="E178">
            <v>3</v>
          </cell>
          <cell r="F178" t="str">
            <v>Single</v>
          </cell>
          <cell r="G178" t="str">
            <v>Stage</v>
          </cell>
          <cell r="H178" t="str">
            <v>SUPER SENIOR</v>
          </cell>
          <cell r="I178" t="str">
            <v>D177</v>
          </cell>
          <cell r="J178" t="str">
            <v>D142</v>
          </cell>
          <cell r="K178" t="str">
            <v>D198</v>
          </cell>
          <cell r="P178" t="str">
            <v>D106</v>
          </cell>
          <cell r="Q178" t="str">
            <v>D107</v>
          </cell>
          <cell r="R178" t="str">
            <v>D140</v>
          </cell>
          <cell r="W178" t="str">
            <v>D119</v>
          </cell>
          <cell r="X178" t="str">
            <v>D162</v>
          </cell>
          <cell r="Y178" t="str">
            <v>D178</v>
          </cell>
          <cell r="AD178" t="str">
            <v>D104</v>
          </cell>
          <cell r="AE178" t="str">
            <v>D149</v>
          </cell>
          <cell r="AF178" t="str">
            <v>D193</v>
          </cell>
        </row>
        <row r="179">
          <cell r="B179">
            <v>173</v>
          </cell>
          <cell r="C179" t="str">
            <v>SS31</v>
          </cell>
          <cell r="D179" t="str">
            <v>GD ENG</v>
          </cell>
          <cell r="E179">
            <v>3</v>
          </cell>
          <cell r="F179" t="str">
            <v>Single</v>
          </cell>
          <cell r="G179" t="str">
            <v>Stage</v>
          </cell>
          <cell r="H179" t="str">
            <v>SUPER SENIOR</v>
          </cell>
          <cell r="I179" t="str">
            <v>D132</v>
          </cell>
          <cell r="J179" t="str">
            <v>D165</v>
          </cell>
          <cell r="K179" t="str">
            <v>D177</v>
          </cell>
          <cell r="P179" t="str">
            <v>D125</v>
          </cell>
          <cell r="Q179" t="str">
            <v>D150</v>
          </cell>
          <cell r="R179" t="str">
            <v>D108</v>
          </cell>
          <cell r="W179" t="str">
            <v>D118</v>
          </cell>
          <cell r="X179" t="str">
            <v>D109</v>
          </cell>
          <cell r="Y179" t="str">
            <v>D195</v>
          </cell>
          <cell r="AD179" t="str">
            <v>D111</v>
          </cell>
          <cell r="AE179" t="str">
            <v>D116</v>
          </cell>
          <cell r="AF179" t="str">
            <v>D144</v>
          </cell>
        </row>
        <row r="180">
          <cell r="B180">
            <v>174</v>
          </cell>
          <cell r="C180" t="str">
            <v>SS32</v>
          </cell>
          <cell r="D180" t="str">
            <v>GD URD</v>
          </cell>
          <cell r="E180">
            <v>3</v>
          </cell>
          <cell r="F180" t="str">
            <v>Single</v>
          </cell>
          <cell r="G180" t="str">
            <v>Stage</v>
          </cell>
          <cell r="H180" t="str">
            <v>SUPER SENIOR</v>
          </cell>
          <cell r="I180" t="str">
            <v>D112</v>
          </cell>
          <cell r="J180" t="str">
            <v>D128</v>
          </cell>
          <cell r="K180" t="str">
            <v>D147</v>
          </cell>
          <cell r="P180" t="str">
            <v>D107</v>
          </cell>
          <cell r="Q180" t="str">
            <v>D187</v>
          </cell>
          <cell r="R180" t="str">
            <v>D102</v>
          </cell>
          <cell r="W180" t="str">
            <v>D118</v>
          </cell>
          <cell r="X180" t="str">
            <v>D126</v>
          </cell>
          <cell r="Y180" t="str">
            <v>D162</v>
          </cell>
          <cell r="AD180" t="str">
            <v>D104</v>
          </cell>
          <cell r="AE180" t="str">
            <v>D111</v>
          </cell>
          <cell r="AF180" t="str">
            <v>D164</v>
          </cell>
        </row>
        <row r="181">
          <cell r="B181">
            <v>175</v>
          </cell>
          <cell r="C181" t="str">
            <v>SS33</v>
          </cell>
          <cell r="D181" t="str">
            <v>GENERAL SPEECH MLM</v>
          </cell>
          <cell r="E181">
            <v>3</v>
          </cell>
          <cell r="F181" t="str">
            <v>Single</v>
          </cell>
          <cell r="G181" t="str">
            <v>Stage</v>
          </cell>
          <cell r="H181" t="str">
            <v>SUPER SENIOR</v>
          </cell>
          <cell r="I181" t="str">
            <v>D127</v>
          </cell>
          <cell r="J181" t="str">
            <v>D168</v>
          </cell>
          <cell r="K181" t="str">
            <v>D171</v>
          </cell>
          <cell r="P181" t="str">
            <v>D146</v>
          </cell>
          <cell r="Q181" t="str">
            <v>D183</v>
          </cell>
          <cell r="R181" t="str">
            <v>D196</v>
          </cell>
          <cell r="W181" t="str">
            <v>D129</v>
          </cell>
          <cell r="X181" t="str">
            <v>D141</v>
          </cell>
          <cell r="Y181" t="str">
            <v>D195</v>
          </cell>
          <cell r="AD181" t="str">
            <v>D151</v>
          </cell>
          <cell r="AE181" t="str">
            <v>D170</v>
          </cell>
          <cell r="AF181" t="str">
            <v>D194</v>
          </cell>
        </row>
        <row r="182">
          <cell r="B182">
            <v>176</v>
          </cell>
          <cell r="C182" t="str">
            <v>SS34</v>
          </cell>
          <cell r="D182" t="str">
            <v>KAVIYARANG</v>
          </cell>
          <cell r="E182">
            <v>3</v>
          </cell>
          <cell r="F182" t="str">
            <v>Single</v>
          </cell>
          <cell r="G182" t="str">
            <v>Stage</v>
          </cell>
          <cell r="H182" t="str">
            <v>SUPER SENIOR</v>
          </cell>
          <cell r="I182" t="str">
            <v>D127</v>
          </cell>
          <cell r="J182" t="str">
            <v>D147</v>
          </cell>
          <cell r="K182" t="str">
            <v>D186</v>
          </cell>
          <cell r="P182" t="str">
            <v>D107</v>
          </cell>
          <cell r="Q182" t="str">
            <v>D146</v>
          </cell>
          <cell r="R182" t="str">
            <v>D152</v>
          </cell>
          <cell r="W182" t="str">
            <v>D129</v>
          </cell>
          <cell r="X182" t="str">
            <v>D155</v>
          </cell>
          <cell r="Y182" t="str">
            <v>D189</v>
          </cell>
          <cell r="AD182" t="str">
            <v>D113</v>
          </cell>
          <cell r="AE182" t="str">
            <v>D154</v>
          </cell>
          <cell r="AF182" t="str">
            <v>D194</v>
          </cell>
        </row>
        <row r="183">
          <cell r="B183">
            <v>177</v>
          </cell>
          <cell r="C183" t="str">
            <v>SS35</v>
          </cell>
          <cell r="D183" t="str">
            <v>KHUṬBAH</v>
          </cell>
          <cell r="E183">
            <v>3</v>
          </cell>
          <cell r="F183" t="str">
            <v>Single</v>
          </cell>
          <cell r="G183" t="str">
            <v>Stage</v>
          </cell>
          <cell r="H183" t="str">
            <v>SUPER SENIOR</v>
          </cell>
          <cell r="I183" t="str">
            <v>D127</v>
          </cell>
          <cell r="J183" t="str">
            <v>D159</v>
          </cell>
          <cell r="K183" t="str">
            <v>D198</v>
          </cell>
          <cell r="P183" t="str">
            <v>D150</v>
          </cell>
          <cell r="Q183" t="str">
            <v>D103</v>
          </cell>
          <cell r="R183" t="str">
            <v>D166</v>
          </cell>
          <cell r="W183" t="str">
            <v>D129</v>
          </cell>
          <cell r="X183" t="str">
            <v>D137</v>
          </cell>
          <cell r="Y183" t="str">
            <v>D143</v>
          </cell>
          <cell r="AD183" t="str">
            <v>D160</v>
          </cell>
          <cell r="AE183" t="str">
            <v>D149</v>
          </cell>
          <cell r="AF183" t="str">
            <v>D194</v>
          </cell>
        </row>
        <row r="184">
          <cell r="B184">
            <v>178</v>
          </cell>
          <cell r="C184" t="str">
            <v>SS36</v>
          </cell>
          <cell r="D184" t="str">
            <v>MAPPILAPPATT</v>
          </cell>
          <cell r="E184">
            <v>2</v>
          </cell>
          <cell r="F184" t="str">
            <v>Single</v>
          </cell>
          <cell r="G184" t="str">
            <v>Stage</v>
          </cell>
          <cell r="H184" t="str">
            <v>SUPER SENIOR</v>
          </cell>
          <cell r="I184" t="str">
            <v>D175</v>
          </cell>
          <cell r="J184" t="str">
            <v>D186</v>
          </cell>
          <cell r="P184" t="str">
            <v>D121</v>
          </cell>
          <cell r="Q184" t="str">
            <v>D192</v>
          </cell>
          <cell r="W184" t="str">
            <v>D155</v>
          </cell>
          <cell r="X184" t="str">
            <v>D189</v>
          </cell>
          <cell r="AD184" t="str">
            <v>D154</v>
          </cell>
          <cell r="AE184" t="str">
            <v>D194</v>
          </cell>
        </row>
        <row r="185">
          <cell r="B185">
            <v>179</v>
          </cell>
          <cell r="C185" t="str">
            <v>SS37</v>
          </cell>
          <cell r="D185" t="str">
            <v>MOCK INTERVIEW ENG</v>
          </cell>
          <cell r="E185">
            <v>2</v>
          </cell>
          <cell r="F185" t="str">
            <v>Single</v>
          </cell>
          <cell r="G185" t="str">
            <v>Stage</v>
          </cell>
          <cell r="H185" t="str">
            <v>SUPER SENIOR</v>
          </cell>
          <cell r="I185" t="str">
            <v>D133</v>
          </cell>
          <cell r="J185" t="str">
            <v>D165</v>
          </cell>
          <cell r="P185" t="str">
            <v>D108</v>
          </cell>
          <cell r="Q185" t="str">
            <v>D196</v>
          </cell>
          <cell r="W185" t="str">
            <v>D145</v>
          </cell>
          <cell r="X185" t="str">
            <v>D195</v>
          </cell>
          <cell r="AD185" t="str">
            <v>D111</v>
          </cell>
          <cell r="AE185" t="str">
            <v>D164</v>
          </cell>
        </row>
        <row r="186">
          <cell r="B186">
            <v>180</v>
          </cell>
          <cell r="C186" t="str">
            <v>SS38</v>
          </cell>
          <cell r="D186" t="str">
            <v>NASHEED ARB</v>
          </cell>
          <cell r="E186">
            <v>3</v>
          </cell>
          <cell r="F186" t="str">
            <v>Single</v>
          </cell>
          <cell r="G186" t="str">
            <v>Stage</v>
          </cell>
          <cell r="H186" t="str">
            <v>SUPER SENIOR</v>
          </cell>
          <cell r="I186" t="str">
            <v>D147</v>
          </cell>
          <cell r="J186" t="str">
            <v>D175</v>
          </cell>
          <cell r="K186" t="str">
            <v>D186</v>
          </cell>
          <cell r="P186" t="str">
            <v>D121</v>
          </cell>
          <cell r="Q186" t="str">
            <v>D131</v>
          </cell>
          <cell r="R186" t="str">
            <v>D179</v>
          </cell>
          <cell r="W186" t="str">
            <v>D137</v>
          </cell>
          <cell r="X186" t="str">
            <v>D161</v>
          </cell>
          <cell r="Y186" t="str">
            <v>D143</v>
          </cell>
          <cell r="AD186" t="str">
            <v>D113</v>
          </cell>
          <cell r="AE186" t="str">
            <v>D176</v>
          </cell>
          <cell r="AF186" t="str">
            <v>D194</v>
          </cell>
        </row>
        <row r="187">
          <cell r="B187">
            <v>181</v>
          </cell>
          <cell r="C187" t="str">
            <v>SS39</v>
          </cell>
          <cell r="D187" t="str">
            <v>NEWS WRITING &amp; READING ARB</v>
          </cell>
          <cell r="E187">
            <v>3</v>
          </cell>
          <cell r="F187" t="str">
            <v>Single</v>
          </cell>
          <cell r="G187" t="str">
            <v>Stage</v>
          </cell>
          <cell r="H187" t="str">
            <v>SUPER SENIOR</v>
          </cell>
          <cell r="I187" t="str">
            <v>D142</v>
          </cell>
          <cell r="J187" t="str">
            <v>D177</v>
          </cell>
          <cell r="K187" t="str">
            <v>D188</v>
          </cell>
          <cell r="P187" t="str">
            <v>D140</v>
          </cell>
          <cell r="Q187" t="str">
            <v>D166</v>
          </cell>
          <cell r="R187" t="str">
            <v>D148</v>
          </cell>
          <cell r="W187" t="str">
            <v>D143</v>
          </cell>
          <cell r="X187" t="str">
            <v>D162</v>
          </cell>
          <cell r="Y187" t="str">
            <v>D178</v>
          </cell>
          <cell r="AD187" t="str">
            <v>D104</v>
          </cell>
          <cell r="AE187" t="str">
            <v>D139</v>
          </cell>
          <cell r="AF187" t="str">
            <v>D149</v>
          </cell>
        </row>
        <row r="188">
          <cell r="B188">
            <v>182</v>
          </cell>
          <cell r="C188" t="str">
            <v>SS40</v>
          </cell>
          <cell r="D188" t="str">
            <v>POLITICAL SATIRE MLM</v>
          </cell>
          <cell r="E188">
            <v>2</v>
          </cell>
          <cell r="F188" t="str">
            <v>Single</v>
          </cell>
          <cell r="G188" t="str">
            <v>Stage</v>
          </cell>
          <cell r="H188" t="str">
            <v>SUPER SENIOR</v>
          </cell>
          <cell r="I188" t="str">
            <v>D127</v>
          </cell>
          <cell r="J188" t="str">
            <v>D128</v>
          </cell>
          <cell r="P188" t="str">
            <v>D140</v>
          </cell>
          <cell r="Q188" t="str">
            <v>D152</v>
          </cell>
          <cell r="W188" t="str">
            <v>D141</v>
          </cell>
          <cell r="X188" t="str">
            <v>D195</v>
          </cell>
          <cell r="AD188" t="str">
            <v>D113</v>
          </cell>
          <cell r="AE188" t="str">
            <v>D170</v>
          </cell>
        </row>
        <row r="189">
          <cell r="B189">
            <v>183</v>
          </cell>
          <cell r="C189" t="str">
            <v>SS41</v>
          </cell>
          <cell r="D189" t="str">
            <v>PROJECT PRESENTATION ENG</v>
          </cell>
          <cell r="E189">
            <v>1</v>
          </cell>
          <cell r="F189" t="str">
            <v>Single</v>
          </cell>
          <cell r="G189" t="str">
            <v>Stage</v>
          </cell>
          <cell r="H189" t="str">
            <v>SUPER SENIOR</v>
          </cell>
          <cell r="I189" t="str">
            <v>D165</v>
          </cell>
          <cell r="P189" t="str">
            <v>D150</v>
          </cell>
          <cell r="W189" t="str">
            <v>D118</v>
          </cell>
          <cell r="AD189" t="str">
            <v>D111</v>
          </cell>
        </row>
        <row r="190">
          <cell r="B190">
            <v>184</v>
          </cell>
          <cell r="C190" t="str">
            <v>SS42</v>
          </cell>
          <cell r="D190" t="str">
            <v>REVERSE QUIZ</v>
          </cell>
          <cell r="E190">
            <v>2</v>
          </cell>
          <cell r="F190" t="str">
            <v>Single</v>
          </cell>
          <cell r="G190" t="str">
            <v>Stage</v>
          </cell>
          <cell r="H190" t="str">
            <v>SUPER SENIOR</v>
          </cell>
          <cell r="I190" t="str">
            <v>D133</v>
          </cell>
          <cell r="J190" t="str">
            <v>D117</v>
          </cell>
          <cell r="P190" t="str">
            <v>D172</v>
          </cell>
          <cell r="Q190" t="str">
            <v>D183</v>
          </cell>
          <cell r="W190" t="str">
            <v>D157</v>
          </cell>
          <cell r="X190" t="str">
            <v>D174</v>
          </cell>
          <cell r="AD190" t="str">
            <v>D153</v>
          </cell>
          <cell r="AE190" t="str">
            <v>D170</v>
          </cell>
        </row>
        <row r="191">
          <cell r="B191">
            <v>185</v>
          </cell>
          <cell r="C191" t="str">
            <v>SS43</v>
          </cell>
          <cell r="D191" t="str">
            <v>SIYASI THAQREER URD</v>
          </cell>
          <cell r="E191">
            <v>2</v>
          </cell>
          <cell r="F191" t="str">
            <v>Single</v>
          </cell>
          <cell r="G191" t="str">
            <v>Stage</v>
          </cell>
          <cell r="H191" t="str">
            <v>SUPER SENIOR</v>
          </cell>
          <cell r="I191" t="str">
            <v>D128</v>
          </cell>
          <cell r="J191" t="str">
            <v>D198</v>
          </cell>
          <cell r="P191" t="str">
            <v>D183</v>
          </cell>
          <cell r="Q191" t="str">
            <v>D187</v>
          </cell>
          <cell r="W191" t="str">
            <v>D118</v>
          </cell>
          <cell r="X191" t="str">
            <v>D145</v>
          </cell>
          <cell r="AD191" t="str">
            <v>D111</v>
          </cell>
          <cell r="AE191" t="str">
            <v>D164</v>
          </cell>
        </row>
        <row r="192">
          <cell r="B192">
            <v>186</v>
          </cell>
          <cell r="C192" t="str">
            <v>SS44</v>
          </cell>
          <cell r="D192" t="str">
            <v>SONG ENG</v>
          </cell>
          <cell r="E192">
            <v>3</v>
          </cell>
          <cell r="F192" t="str">
            <v>Single</v>
          </cell>
          <cell r="G192" t="str">
            <v>Stage</v>
          </cell>
          <cell r="H192" t="str">
            <v>SUPER SENIOR</v>
          </cell>
          <cell r="I192" t="str">
            <v>D105</v>
          </cell>
          <cell r="J192" t="str">
            <v>D138</v>
          </cell>
          <cell r="K192" t="str">
            <v>D147</v>
          </cell>
          <cell r="P192" t="str">
            <v>D135</v>
          </cell>
          <cell r="Q192" t="str">
            <v>D140</v>
          </cell>
          <cell r="R192" t="str">
            <v>D152</v>
          </cell>
          <cell r="W192" t="str">
            <v>D124</v>
          </cell>
          <cell r="X192" t="str">
            <v>D141</v>
          </cell>
          <cell r="Y192" t="str">
            <v>D145</v>
          </cell>
          <cell r="AD192" t="str">
            <v>D100</v>
          </cell>
          <cell r="AE192" t="str">
            <v>D191</v>
          </cell>
          <cell r="AF192" t="str">
            <v>D144</v>
          </cell>
        </row>
        <row r="193">
          <cell r="B193">
            <v>187</v>
          </cell>
          <cell r="C193" t="str">
            <v>SS45</v>
          </cell>
          <cell r="D193" t="str">
            <v>TADRĪS</v>
          </cell>
          <cell r="E193">
            <v>3</v>
          </cell>
          <cell r="F193" t="str">
            <v>Single</v>
          </cell>
          <cell r="G193" t="str">
            <v>Stage</v>
          </cell>
          <cell r="H193" t="str">
            <v>SUPER SENIOR</v>
          </cell>
          <cell r="I193" t="str">
            <v>D128</v>
          </cell>
          <cell r="J193" t="str">
            <v>D147</v>
          </cell>
          <cell r="K193" t="str">
            <v>D198</v>
          </cell>
          <cell r="P193" t="str">
            <v>D140</v>
          </cell>
          <cell r="Q193" t="str">
            <v>D150</v>
          </cell>
          <cell r="R193" t="str">
            <v>D166</v>
          </cell>
          <cell r="W193" t="str">
            <v>D129</v>
          </cell>
          <cell r="X193" t="str">
            <v>D173</v>
          </cell>
          <cell r="Y193" t="str">
            <v>D195</v>
          </cell>
          <cell r="AD193" t="str">
            <v>D101</v>
          </cell>
          <cell r="AE193" t="str">
            <v>D113</v>
          </cell>
          <cell r="AF193" t="str">
            <v>D182</v>
          </cell>
        </row>
        <row r="194">
          <cell r="B194">
            <v>188</v>
          </cell>
          <cell r="C194" t="str">
            <v>SS46</v>
          </cell>
          <cell r="D194" t="str">
            <v>WAʿẒ</v>
          </cell>
          <cell r="E194">
            <v>3</v>
          </cell>
          <cell r="F194" t="str">
            <v>Single</v>
          </cell>
          <cell r="G194" t="str">
            <v>Stage</v>
          </cell>
          <cell r="H194" t="str">
            <v>SUPER SENIOR</v>
          </cell>
          <cell r="I194" t="str">
            <v>D127</v>
          </cell>
          <cell r="J194" t="str">
            <v>D175</v>
          </cell>
          <cell r="K194" t="str">
            <v>D186</v>
          </cell>
          <cell r="P194" t="str">
            <v>D131</v>
          </cell>
          <cell r="Q194" t="str">
            <v>D150</v>
          </cell>
          <cell r="R194" t="str">
            <v>D181</v>
          </cell>
          <cell r="W194" t="str">
            <v>D129</v>
          </cell>
          <cell r="X194" t="str">
            <v>D155</v>
          </cell>
          <cell r="Y194" t="str">
            <v>D137</v>
          </cell>
          <cell r="AD194" t="str">
            <v>D154</v>
          </cell>
          <cell r="AE194" t="str">
            <v>D104</v>
          </cell>
          <cell r="AF194" t="str">
            <v>D194</v>
          </cell>
        </row>
        <row r="195">
          <cell r="B195">
            <v>189</v>
          </cell>
          <cell r="C195" t="str">
            <v>SS47</v>
          </cell>
          <cell r="D195" t="str">
            <v>INSTANT DIGITAL TABLOID ARB</v>
          </cell>
          <cell r="E195">
            <v>3</v>
          </cell>
          <cell r="F195" t="str">
            <v>Group</v>
          </cell>
          <cell r="G195" t="str">
            <v>Non-Stg</v>
          </cell>
          <cell r="H195" t="str">
            <v>SUPER SENIOR</v>
          </cell>
          <cell r="I195" t="str">
            <v>D112</v>
          </cell>
          <cell r="J195" t="str">
            <v>D128</v>
          </cell>
          <cell r="K195" t="str">
            <v>D177</v>
          </cell>
          <cell r="P195" t="str">
            <v>D107</v>
          </cell>
          <cell r="Q195" t="str">
            <v>D135</v>
          </cell>
          <cell r="R195" t="str">
            <v>D140</v>
          </cell>
          <cell r="W195" t="str">
            <v>D126</v>
          </cell>
          <cell r="X195" t="str">
            <v>D162</v>
          </cell>
          <cell r="Y195" t="str">
            <v>D178</v>
          </cell>
          <cell r="AD195" t="str">
            <v>D104</v>
          </cell>
          <cell r="AE195" t="str">
            <v>D149</v>
          </cell>
          <cell r="AF195" t="str">
            <v>D193</v>
          </cell>
        </row>
        <row r="196">
          <cell r="B196">
            <v>190</v>
          </cell>
          <cell r="C196" t="str">
            <v>SS48</v>
          </cell>
          <cell r="D196" t="str">
            <v>MASHUP</v>
          </cell>
          <cell r="E196">
            <v>6</v>
          </cell>
          <cell r="F196" t="str">
            <v>Group</v>
          </cell>
          <cell r="G196" t="str">
            <v>Stage</v>
          </cell>
          <cell r="H196" t="str">
            <v>SUPER SENIOR</v>
          </cell>
          <cell r="I196" t="str">
            <v>D120</v>
          </cell>
          <cell r="J196" t="str">
            <v>D134</v>
          </cell>
          <cell r="K196" t="str">
            <v>D147</v>
          </cell>
          <cell r="L196" t="str">
            <v>D163</v>
          </cell>
          <cell r="M196" t="str">
            <v>D175</v>
          </cell>
          <cell r="N196" t="str">
            <v>D186</v>
          </cell>
          <cell r="P196" t="str">
            <v>D121</v>
          </cell>
          <cell r="Q196" t="str">
            <v>D131</v>
          </cell>
          <cell r="R196" t="str">
            <v>D179</v>
          </cell>
          <cell r="S196" t="str">
            <v>D130</v>
          </cell>
          <cell r="T196" t="str">
            <v>D152</v>
          </cell>
          <cell r="U196" t="str">
            <v>D166</v>
          </cell>
          <cell r="W196" t="str">
            <v>D137</v>
          </cell>
          <cell r="X196" t="str">
            <v>D141</v>
          </cell>
          <cell r="Y196" t="str">
            <v>D155</v>
          </cell>
          <cell r="Z196" t="str">
            <v>D173</v>
          </cell>
          <cell r="AA196" t="str">
            <v>D189</v>
          </cell>
          <cell r="AB196" t="str">
            <v>D190</v>
          </cell>
          <cell r="AD196" t="str">
            <v>D113</v>
          </cell>
          <cell r="AE196" t="str">
            <v>D144</v>
          </cell>
          <cell r="AF196" t="str">
            <v>D154</v>
          </cell>
          <cell r="AG196" t="str">
            <v>D176</v>
          </cell>
          <cell r="AH196" t="str">
            <v>D191</v>
          </cell>
          <cell r="AI196" t="str">
            <v>D194</v>
          </cell>
        </row>
        <row r="197">
          <cell r="B197">
            <v>191</v>
          </cell>
          <cell r="C197" t="str">
            <v>SS49</v>
          </cell>
          <cell r="D197" t="str">
            <v>SPOT TRANSLATION</v>
          </cell>
          <cell r="E197">
            <v>4</v>
          </cell>
          <cell r="F197" t="str">
            <v>Group</v>
          </cell>
          <cell r="G197" t="str">
            <v>Stage</v>
          </cell>
          <cell r="H197" t="str">
            <v>SUPER SENIOR</v>
          </cell>
          <cell r="I197" t="str">
            <v>D128</v>
          </cell>
          <cell r="J197" t="str">
            <v>D127</v>
          </cell>
          <cell r="K197" t="str">
            <v>D177</v>
          </cell>
          <cell r="L197" t="str">
            <v>D165</v>
          </cell>
          <cell r="P197" t="str">
            <v>D140</v>
          </cell>
          <cell r="Q197" t="str">
            <v>D150</v>
          </cell>
          <cell r="R197" t="str">
            <v>D166</v>
          </cell>
          <cell r="S197" t="str">
            <v>D196</v>
          </cell>
          <cell r="W197" t="str">
            <v>D145</v>
          </cell>
          <cell r="X197" t="str">
            <v>D162</v>
          </cell>
          <cell r="Y197" t="str">
            <v>D178</v>
          </cell>
          <cell r="Z197" t="str">
            <v>D195</v>
          </cell>
          <cell r="AD197" t="str">
            <v>D104</v>
          </cell>
          <cell r="AE197" t="str">
            <v>D111</v>
          </cell>
          <cell r="AF197" t="str">
            <v>D164</v>
          </cell>
          <cell r="AG197" t="str">
            <v>D170</v>
          </cell>
        </row>
        <row r="198">
          <cell r="B198">
            <v>192</v>
          </cell>
          <cell r="C198" t="str">
            <v>GN01</v>
          </cell>
          <cell r="D198" t="str">
            <v>COLLAGE</v>
          </cell>
          <cell r="E198">
            <v>0</v>
          </cell>
          <cell r="F198" t="str">
            <v>Group</v>
          </cell>
          <cell r="G198" t="str">
            <v>Non-Stg</v>
          </cell>
          <cell r="H198" t="str">
            <v>GENERAL</v>
          </cell>
        </row>
        <row r="199">
          <cell r="B199">
            <v>193</v>
          </cell>
          <cell r="C199" t="str">
            <v>GN02</v>
          </cell>
          <cell r="D199" t="str">
            <v>DIGITAL MAGAZINE</v>
          </cell>
          <cell r="E199">
            <v>0</v>
          </cell>
          <cell r="F199" t="str">
            <v>Group</v>
          </cell>
          <cell r="G199" t="str">
            <v>Non-Stg</v>
          </cell>
          <cell r="H199" t="str">
            <v>GENERAL</v>
          </cell>
        </row>
        <row r="200">
          <cell r="B200">
            <v>194</v>
          </cell>
          <cell r="C200" t="str">
            <v>GN03</v>
          </cell>
          <cell r="D200" t="str">
            <v>DOCUMENTARY</v>
          </cell>
          <cell r="E200">
            <v>0</v>
          </cell>
          <cell r="F200" t="str">
            <v>Group</v>
          </cell>
          <cell r="G200" t="str">
            <v>Non-Stg</v>
          </cell>
          <cell r="H200" t="str">
            <v>GENERAL</v>
          </cell>
        </row>
        <row r="201">
          <cell r="B201">
            <v>195</v>
          </cell>
          <cell r="C201" t="str">
            <v>GN04</v>
          </cell>
          <cell r="D201" t="str">
            <v>PROJECT BRANDING</v>
          </cell>
          <cell r="E201">
            <v>0</v>
          </cell>
          <cell r="F201" t="str">
            <v>Group</v>
          </cell>
          <cell r="G201" t="str">
            <v>Non-Stg</v>
          </cell>
          <cell r="H201" t="str">
            <v>GENERAL</v>
          </cell>
        </row>
        <row r="202">
          <cell r="B202">
            <v>196</v>
          </cell>
          <cell r="C202" t="str">
            <v>GN05</v>
          </cell>
          <cell r="D202" t="str">
            <v>WALL PAINTING</v>
          </cell>
          <cell r="E202">
            <v>0</v>
          </cell>
          <cell r="F202" t="str">
            <v>Group</v>
          </cell>
          <cell r="G202" t="str">
            <v>Non-Stg</v>
          </cell>
          <cell r="H202" t="str">
            <v>GENERAL</v>
          </cell>
        </row>
        <row r="203">
          <cell r="B203">
            <v>197</v>
          </cell>
          <cell r="C203" t="str">
            <v>GN06</v>
          </cell>
          <cell r="D203" t="str">
            <v>CAMPUS BRAIN</v>
          </cell>
          <cell r="E203">
            <v>1</v>
          </cell>
          <cell r="F203" t="str">
            <v>Group</v>
          </cell>
          <cell r="G203" t="str">
            <v>Stage</v>
          </cell>
          <cell r="H203" t="str">
            <v>GENERAL</v>
          </cell>
          <cell r="I203" t="str">
            <v>D133</v>
          </cell>
          <cell r="P203" t="str">
            <v>C133</v>
          </cell>
          <cell r="W203" t="str">
            <v>D110</v>
          </cell>
          <cell r="AD203" t="str">
            <v>D194</v>
          </cell>
        </row>
        <row r="204">
          <cell r="B204">
            <v>198</v>
          </cell>
          <cell r="C204" t="str">
            <v>GN07</v>
          </cell>
          <cell r="D204" t="str">
            <v>DEBATE ENGLISH</v>
          </cell>
          <cell r="E204">
            <v>2</v>
          </cell>
          <cell r="F204" t="str">
            <v>Group</v>
          </cell>
          <cell r="G204" t="str">
            <v>Stage</v>
          </cell>
          <cell r="H204" t="str">
            <v>GENERAL</v>
          </cell>
          <cell r="I204" t="str">
            <v>D165</v>
          </cell>
          <cell r="J204" t="str">
            <v>C168</v>
          </cell>
          <cell r="P204" t="str">
            <v>D150</v>
          </cell>
          <cell r="Q204" t="str">
            <v>D196</v>
          </cell>
          <cell r="W204" t="str">
            <v>D118</v>
          </cell>
          <cell r="X204" t="str">
            <v>C170</v>
          </cell>
          <cell r="AD204" t="str">
            <v>D111</v>
          </cell>
          <cell r="AE204" t="str">
            <v>C135</v>
          </cell>
        </row>
        <row r="205">
          <cell r="B205">
            <v>199</v>
          </cell>
          <cell r="C205" t="str">
            <v>GN08</v>
          </cell>
          <cell r="D205" t="str">
            <v>FATWA COUNCIL</v>
          </cell>
          <cell r="E205">
            <v>3</v>
          </cell>
          <cell r="F205" t="str">
            <v>Group</v>
          </cell>
          <cell r="G205" t="str">
            <v>Stage</v>
          </cell>
          <cell r="H205" t="str">
            <v>GENERAL</v>
          </cell>
          <cell r="I205" t="str">
            <v>D133</v>
          </cell>
          <cell r="J205" t="str">
            <v>D128</v>
          </cell>
          <cell r="K205" t="str">
            <v>D177</v>
          </cell>
          <cell r="P205" t="str">
            <v>D140</v>
          </cell>
          <cell r="Q205" t="str">
            <v>D150</v>
          </cell>
          <cell r="R205" t="str">
            <v>D166</v>
          </cell>
          <cell r="W205" t="str">
            <v>D162</v>
          </cell>
          <cell r="X205" t="str">
            <v>D195</v>
          </cell>
          <cell r="Y205" t="str">
            <v>D137</v>
          </cell>
          <cell r="AD205" t="str">
            <v>D104</v>
          </cell>
          <cell r="AE205" t="str">
            <v>D164</v>
          </cell>
          <cell r="AF205" t="str">
            <v>D170</v>
          </cell>
        </row>
        <row r="206">
          <cell r="B206">
            <v>200</v>
          </cell>
          <cell r="C206" t="str">
            <v>GN09</v>
          </cell>
          <cell r="D206" t="str">
            <v>FIQHI DEMO</v>
          </cell>
          <cell r="E206">
            <v>0</v>
          </cell>
          <cell r="F206" t="str">
            <v>Group</v>
          </cell>
          <cell r="G206" t="str">
            <v>Stage</v>
          </cell>
          <cell r="H206" t="str">
            <v>GENERAL</v>
          </cell>
        </row>
        <row r="207">
          <cell r="B207">
            <v>201</v>
          </cell>
          <cell r="C207" t="str">
            <v>GN10</v>
          </cell>
          <cell r="D207" t="str">
            <v>ISHQE RASOOL</v>
          </cell>
          <cell r="E207">
            <v>6</v>
          </cell>
          <cell r="F207" t="str">
            <v>Group</v>
          </cell>
          <cell r="G207" t="str">
            <v>Stage</v>
          </cell>
          <cell r="H207" t="str">
            <v>GENERAL</v>
          </cell>
          <cell r="I207" t="str">
            <v>D186</v>
          </cell>
          <cell r="J207" t="str">
            <v>D175</v>
          </cell>
          <cell r="K207" t="str">
            <v>C134</v>
          </cell>
          <cell r="L207" t="str">
            <v>D147</v>
          </cell>
          <cell r="M207" t="str">
            <v>B143</v>
          </cell>
          <cell r="N207" t="str">
            <v>B129</v>
          </cell>
          <cell r="P207" t="str">
            <v>C120</v>
          </cell>
          <cell r="Q207" t="str">
            <v>D121</v>
          </cell>
          <cell r="R207" t="str">
            <v>D131</v>
          </cell>
          <cell r="S207" t="str">
            <v>D140</v>
          </cell>
          <cell r="T207" t="str">
            <v>D166</v>
          </cell>
          <cell r="U207" t="str">
            <v>D179</v>
          </cell>
          <cell r="W207" t="str">
            <v>D155</v>
          </cell>
          <cell r="X207" t="str">
            <v>D137</v>
          </cell>
          <cell r="Y207" t="str">
            <v>D124</v>
          </cell>
          <cell r="Z207" t="str">
            <v>B153</v>
          </cell>
          <cell r="AA207" t="str">
            <v>D178</v>
          </cell>
          <cell r="AB207" t="str">
            <v>D161</v>
          </cell>
          <cell r="AD207" t="str">
            <v>D194</v>
          </cell>
          <cell r="AE207" t="str">
            <v>D176</v>
          </cell>
          <cell r="AF207" t="str">
            <v>C165</v>
          </cell>
          <cell r="AG207" t="str">
            <v>C167</v>
          </cell>
          <cell r="AH207" t="str">
            <v>D136</v>
          </cell>
          <cell r="AI207" t="str">
            <v>C147</v>
          </cell>
        </row>
        <row r="208">
          <cell r="B208">
            <v>202</v>
          </cell>
          <cell r="C208" t="str">
            <v>GN11</v>
          </cell>
          <cell r="D208" t="str">
            <v>MUNĀẒARAH</v>
          </cell>
          <cell r="E208">
            <v>3</v>
          </cell>
          <cell r="F208" t="str">
            <v>Group</v>
          </cell>
          <cell r="G208" t="str">
            <v>Stage</v>
          </cell>
          <cell r="H208" t="str">
            <v>GENERAL</v>
          </cell>
          <cell r="I208" t="str">
            <v>D177</v>
          </cell>
          <cell r="J208" t="str">
            <v>D128</v>
          </cell>
          <cell r="K208" t="str">
            <v>D142</v>
          </cell>
          <cell r="P208" t="str">
            <v>D140</v>
          </cell>
          <cell r="Q208" t="str">
            <v>D107</v>
          </cell>
          <cell r="R208" t="str">
            <v>C136</v>
          </cell>
          <cell r="W208" t="str">
            <v>D178</v>
          </cell>
          <cell r="X208" t="str">
            <v>D162</v>
          </cell>
          <cell r="Y208" t="str">
            <v>D195</v>
          </cell>
          <cell r="AD208" t="str">
            <v>D149</v>
          </cell>
          <cell r="AE208" t="str">
            <v>D104</v>
          </cell>
          <cell r="AF208" t="str">
            <v>C175</v>
          </cell>
        </row>
        <row r="209">
          <cell r="B209">
            <v>203</v>
          </cell>
          <cell r="C209" t="str">
            <v>GN12</v>
          </cell>
          <cell r="D209" t="str">
            <v>MUSHĀʿARAH</v>
          </cell>
          <cell r="E209">
            <v>5</v>
          </cell>
          <cell r="F209" t="str">
            <v>Group</v>
          </cell>
          <cell r="G209" t="str">
            <v>Stage</v>
          </cell>
          <cell r="H209" t="str">
            <v>GENERAL</v>
          </cell>
          <cell r="I209" t="str">
            <v>C112</v>
          </cell>
          <cell r="J209" t="str">
            <v>C162</v>
          </cell>
          <cell r="K209" t="str">
            <v>B123</v>
          </cell>
          <cell r="L209" t="str">
            <v>B130</v>
          </cell>
          <cell r="M209" t="str">
            <v>C142</v>
          </cell>
          <cell r="P209" t="str">
            <v>C136</v>
          </cell>
          <cell r="Q209" t="str">
            <v>D106</v>
          </cell>
          <cell r="R209" t="str">
            <v>D107</v>
          </cell>
          <cell r="S209" t="str">
            <v>D150</v>
          </cell>
          <cell r="T209" t="str">
            <v>D183</v>
          </cell>
          <cell r="W209" t="str">
            <v>D162</v>
          </cell>
          <cell r="X209" t="str">
            <v>D178</v>
          </cell>
          <cell r="Y209" t="str">
            <v>D137</v>
          </cell>
          <cell r="Z209" t="str">
            <v>D110</v>
          </cell>
          <cell r="AA209" t="str">
            <v>C148</v>
          </cell>
          <cell r="AD209" t="str">
            <v>D193</v>
          </cell>
          <cell r="AE209" t="str">
            <v>D104</v>
          </cell>
          <cell r="AF209" t="str">
            <v>C175</v>
          </cell>
          <cell r="AG209" t="str">
            <v>C111</v>
          </cell>
          <cell r="AH209" t="str">
            <v>C135</v>
          </cell>
        </row>
        <row r="210">
          <cell r="B210">
            <v>204</v>
          </cell>
          <cell r="C210" t="str">
            <v>GN13</v>
          </cell>
          <cell r="D210" t="str">
            <v>QAWWALI URD</v>
          </cell>
          <cell r="E210">
            <v>7</v>
          </cell>
          <cell r="F210" t="str">
            <v>Group</v>
          </cell>
          <cell r="G210" t="str">
            <v>Stage</v>
          </cell>
          <cell r="H210" t="str">
            <v>GENERAL</v>
          </cell>
          <cell r="I210" t="str">
            <v>D186</v>
          </cell>
          <cell r="J210" t="str">
            <v>D175</v>
          </cell>
          <cell r="K210" t="str">
            <v>C134</v>
          </cell>
          <cell r="L210" t="str">
            <v>D147</v>
          </cell>
          <cell r="M210" t="str">
            <v>D120</v>
          </cell>
          <cell r="N210" t="str">
            <v>C127</v>
          </cell>
          <cell r="O210" t="str">
            <v>B143</v>
          </cell>
          <cell r="P210" t="str">
            <v>D140</v>
          </cell>
          <cell r="Q210" t="str">
            <v>D179</v>
          </cell>
          <cell r="R210" t="str">
            <v>C150</v>
          </cell>
          <cell r="S210" t="str">
            <v>D192</v>
          </cell>
          <cell r="T210" t="str">
            <v>D131</v>
          </cell>
          <cell r="U210" t="str">
            <v>D121</v>
          </cell>
          <cell r="V210" t="str">
            <v>D166</v>
          </cell>
          <cell r="W210" t="str">
            <v>D155</v>
          </cell>
          <cell r="X210" t="str">
            <v>D137</v>
          </cell>
          <cell r="Y210" t="str">
            <v>D124</v>
          </cell>
          <cell r="Z210" t="str">
            <v>D141</v>
          </cell>
          <cell r="AA210" t="str">
            <v>D178</v>
          </cell>
          <cell r="AB210" t="str">
            <v>D161</v>
          </cell>
          <cell r="AC210" t="str">
            <v>D189</v>
          </cell>
          <cell r="AD210" t="str">
            <v>D194</v>
          </cell>
          <cell r="AE210" t="str">
            <v>D176</v>
          </cell>
          <cell r="AF210" t="str">
            <v>C165</v>
          </cell>
          <cell r="AG210" t="str">
            <v>C167</v>
          </cell>
          <cell r="AH210" t="str">
            <v>D136</v>
          </cell>
          <cell r="AI210" t="str">
            <v>C147</v>
          </cell>
          <cell r="AJ210" t="str">
            <v>D113</v>
          </cell>
        </row>
        <row r="211">
          <cell r="B211">
            <v>205</v>
          </cell>
          <cell r="C211" t="str">
            <v>GN14</v>
          </cell>
          <cell r="D211" t="str">
            <v>SUFI SANGEEDAM</v>
          </cell>
          <cell r="E211">
            <v>3</v>
          </cell>
          <cell r="F211" t="str">
            <v>Group</v>
          </cell>
          <cell r="G211" t="str">
            <v>Stage</v>
          </cell>
          <cell r="H211" t="str">
            <v>GENERAL</v>
          </cell>
          <cell r="I211" t="str">
            <v>D186</v>
          </cell>
          <cell r="J211" t="str">
            <v>D175</v>
          </cell>
          <cell r="K211" t="str">
            <v>C134</v>
          </cell>
          <cell r="P211" t="str">
            <v>D140</v>
          </cell>
          <cell r="Q211" t="str">
            <v>D179</v>
          </cell>
          <cell r="R211" t="str">
            <v>D131</v>
          </cell>
          <cell r="W211" t="str">
            <v>D124</v>
          </cell>
          <cell r="X211" t="str">
            <v>D155</v>
          </cell>
          <cell r="Y211" t="str">
            <v>D137</v>
          </cell>
          <cell r="AD211" t="str">
            <v>D194</v>
          </cell>
          <cell r="AE211" t="str">
            <v>C165</v>
          </cell>
          <cell r="AF211" t="str">
            <v>D176</v>
          </cell>
        </row>
        <row r="212">
          <cell r="B212">
            <v>206</v>
          </cell>
          <cell r="D212"/>
          <cell r="E212"/>
          <cell r="F212"/>
          <cell r="G212"/>
          <cell r="H212"/>
        </row>
        <row r="213">
          <cell r="B213">
            <v>207</v>
          </cell>
          <cell r="D213"/>
          <cell r="E213"/>
          <cell r="F213"/>
          <cell r="G213"/>
          <cell r="H213"/>
        </row>
        <row r="214">
          <cell r="B214">
            <v>208</v>
          </cell>
          <cell r="D214"/>
          <cell r="E214"/>
          <cell r="F214"/>
          <cell r="G214"/>
          <cell r="H214"/>
        </row>
        <row r="215">
          <cell r="B215">
            <v>209</v>
          </cell>
          <cell r="D215"/>
          <cell r="E215"/>
          <cell r="F215"/>
          <cell r="G215"/>
          <cell r="H215"/>
        </row>
        <row r="216">
          <cell r="B216">
            <v>210</v>
          </cell>
          <cell r="D216"/>
          <cell r="E216"/>
          <cell r="F216"/>
          <cell r="G216"/>
          <cell r="H216"/>
        </row>
        <row r="217">
          <cell r="B217">
            <v>211</v>
          </cell>
          <cell r="D217"/>
          <cell r="E217"/>
          <cell r="F217"/>
          <cell r="G217"/>
          <cell r="H217"/>
        </row>
        <row r="218">
          <cell r="B218">
            <v>212</v>
          </cell>
          <cell r="D218"/>
          <cell r="E218"/>
          <cell r="F218"/>
          <cell r="G218"/>
          <cell r="H218"/>
        </row>
        <row r="219">
          <cell r="B219">
            <v>213</v>
          </cell>
          <cell r="D219"/>
          <cell r="E219"/>
          <cell r="F219"/>
          <cell r="G219"/>
          <cell r="H219"/>
        </row>
        <row r="220">
          <cell r="B220">
            <v>214</v>
          </cell>
          <cell r="D220"/>
          <cell r="E220"/>
          <cell r="F220"/>
          <cell r="G220"/>
          <cell r="H220"/>
        </row>
        <row r="221">
          <cell r="B221">
            <v>215</v>
          </cell>
          <cell r="D221"/>
          <cell r="E221"/>
          <cell r="F221"/>
          <cell r="G221"/>
          <cell r="H221"/>
        </row>
        <row r="222">
          <cell r="B222">
            <v>216</v>
          </cell>
          <cell r="D222"/>
          <cell r="E222"/>
          <cell r="F222"/>
          <cell r="G222"/>
          <cell r="H222"/>
        </row>
        <row r="223">
          <cell r="B223">
            <v>217</v>
          </cell>
          <cell r="D223"/>
          <cell r="E223"/>
          <cell r="F223"/>
          <cell r="G223"/>
          <cell r="H223"/>
        </row>
        <row r="224">
          <cell r="B224">
            <v>218</v>
          </cell>
          <cell r="D224"/>
          <cell r="E224"/>
          <cell r="F224"/>
          <cell r="G224"/>
          <cell r="H224"/>
        </row>
        <row r="225">
          <cell r="B225">
            <v>219</v>
          </cell>
          <cell r="D225"/>
          <cell r="E225"/>
          <cell r="F225"/>
          <cell r="G225"/>
          <cell r="H225"/>
        </row>
        <row r="226">
          <cell r="B226">
            <v>220</v>
          </cell>
          <cell r="D226"/>
          <cell r="E226"/>
          <cell r="F226"/>
          <cell r="G226"/>
          <cell r="H226"/>
        </row>
        <row r="227">
          <cell r="B227">
            <v>221</v>
          </cell>
          <cell r="D227"/>
          <cell r="E227"/>
          <cell r="F227"/>
          <cell r="G227"/>
        </row>
        <row r="228">
          <cell r="B228">
            <v>222</v>
          </cell>
          <cell r="D228"/>
          <cell r="E228"/>
          <cell r="F228"/>
          <cell r="G228"/>
          <cell r="H228"/>
        </row>
        <row r="229">
          <cell r="B229">
            <v>223</v>
          </cell>
          <cell r="E229"/>
          <cell r="F229"/>
          <cell r="G229"/>
        </row>
        <row r="230">
          <cell r="B230">
            <v>224</v>
          </cell>
          <cell r="E230"/>
          <cell r="F230"/>
          <cell r="G230"/>
        </row>
        <row r="231">
          <cell r="B231">
            <v>225</v>
          </cell>
          <cell r="D231"/>
          <cell r="E231"/>
          <cell r="F231"/>
          <cell r="G231"/>
          <cell r="H231"/>
        </row>
        <row r="232">
          <cell r="B232">
            <v>226</v>
          </cell>
          <cell r="D232"/>
          <cell r="E232"/>
          <cell r="F232"/>
          <cell r="G232"/>
          <cell r="H232"/>
        </row>
        <row r="233">
          <cell r="B233">
            <v>227</v>
          </cell>
          <cell r="D233"/>
          <cell r="E233"/>
          <cell r="F233"/>
          <cell r="G233"/>
          <cell r="H233"/>
        </row>
        <row r="234">
          <cell r="B234">
            <v>228</v>
          </cell>
          <cell r="D234"/>
          <cell r="E234"/>
          <cell r="F234"/>
          <cell r="G234"/>
          <cell r="H234"/>
        </row>
        <row r="235">
          <cell r="B235">
            <v>229</v>
          </cell>
          <cell r="D235"/>
          <cell r="E235"/>
          <cell r="F235"/>
          <cell r="G235"/>
          <cell r="H235"/>
        </row>
        <row r="236">
          <cell r="B236">
            <v>230</v>
          </cell>
          <cell r="D236"/>
          <cell r="E236"/>
          <cell r="F236"/>
          <cell r="G236"/>
          <cell r="H236"/>
        </row>
        <row r="237">
          <cell r="B237">
            <v>231</v>
          </cell>
          <cell r="D237"/>
          <cell r="E237"/>
          <cell r="F237"/>
          <cell r="G237"/>
          <cell r="H237"/>
        </row>
        <row r="238">
          <cell r="B238">
            <v>232</v>
          </cell>
          <cell r="D238"/>
          <cell r="E238"/>
          <cell r="F238"/>
          <cell r="G238"/>
          <cell r="H238"/>
        </row>
        <row r="239">
          <cell r="B239">
            <v>233</v>
          </cell>
          <cell r="D239"/>
          <cell r="E239"/>
          <cell r="F239"/>
          <cell r="G239"/>
          <cell r="H239"/>
        </row>
        <row r="240">
          <cell r="B240">
            <v>234</v>
          </cell>
          <cell r="D240"/>
          <cell r="E240"/>
          <cell r="F240"/>
          <cell r="G240"/>
          <cell r="H240"/>
        </row>
        <row r="241">
          <cell r="B241">
            <v>235</v>
          </cell>
          <cell r="D241"/>
          <cell r="E241"/>
          <cell r="F241"/>
          <cell r="G241"/>
          <cell r="H241"/>
        </row>
        <row r="242">
          <cell r="B242">
            <v>236</v>
          </cell>
          <cell r="D242"/>
          <cell r="E242"/>
          <cell r="F242"/>
          <cell r="G242"/>
          <cell r="H242"/>
        </row>
        <row r="243">
          <cell r="B243">
            <v>237</v>
          </cell>
          <cell r="D243"/>
          <cell r="E243"/>
          <cell r="F243"/>
          <cell r="G243"/>
          <cell r="H243"/>
        </row>
        <row r="244">
          <cell r="B244">
            <v>238</v>
          </cell>
          <cell r="D244"/>
          <cell r="E244"/>
          <cell r="F244"/>
          <cell r="G244"/>
          <cell r="H244"/>
        </row>
        <row r="245">
          <cell r="B245">
            <v>239</v>
          </cell>
          <cell r="D245"/>
          <cell r="E245"/>
          <cell r="F245"/>
          <cell r="G245"/>
          <cell r="H245"/>
        </row>
        <row r="246">
          <cell r="B246">
            <v>240</v>
          </cell>
          <cell r="D246"/>
          <cell r="E246"/>
          <cell r="F246"/>
          <cell r="G246"/>
          <cell r="H246"/>
        </row>
        <row r="247">
          <cell r="B247">
            <v>241</v>
          </cell>
          <cell r="D247"/>
          <cell r="E247"/>
          <cell r="F247"/>
          <cell r="G247"/>
          <cell r="H247"/>
        </row>
        <row r="248">
          <cell r="B248">
            <v>242</v>
          </cell>
          <cell r="D248"/>
          <cell r="E248"/>
          <cell r="F248"/>
          <cell r="G248"/>
          <cell r="H248"/>
        </row>
        <row r="249">
          <cell r="B249">
            <v>243</v>
          </cell>
          <cell r="D249"/>
          <cell r="E249"/>
          <cell r="F249"/>
          <cell r="G249"/>
          <cell r="H249"/>
        </row>
        <row r="250">
          <cell r="B250">
            <v>244</v>
          </cell>
          <cell r="D250"/>
          <cell r="E250"/>
          <cell r="F250"/>
          <cell r="G250"/>
          <cell r="H250"/>
        </row>
        <row r="251">
          <cell r="B251">
            <v>245</v>
          </cell>
          <cell r="D251"/>
          <cell r="E251"/>
          <cell r="F251"/>
          <cell r="G251"/>
          <cell r="H251"/>
        </row>
        <row r="252">
          <cell r="B252">
            <v>246</v>
          </cell>
          <cell r="D252"/>
          <cell r="E252"/>
          <cell r="F252"/>
          <cell r="G252"/>
          <cell r="H252"/>
        </row>
        <row r="253">
          <cell r="B253">
            <v>247</v>
          </cell>
          <cell r="D253"/>
          <cell r="E253"/>
          <cell r="F253"/>
          <cell r="G253"/>
          <cell r="H253"/>
        </row>
        <row r="254">
          <cell r="B254">
            <v>248</v>
          </cell>
          <cell r="D254"/>
          <cell r="E254"/>
          <cell r="F254"/>
          <cell r="G254"/>
          <cell r="H254"/>
        </row>
        <row r="255">
          <cell r="B255">
            <v>249</v>
          </cell>
          <cell r="D255"/>
          <cell r="E255"/>
          <cell r="F255"/>
          <cell r="G255"/>
          <cell r="H255"/>
        </row>
        <row r="256">
          <cell r="B256">
            <v>250</v>
          </cell>
          <cell r="D256"/>
          <cell r="E256"/>
          <cell r="F256"/>
          <cell r="G256"/>
          <cell r="H256"/>
        </row>
        <row r="257">
          <cell r="B257">
            <v>251</v>
          </cell>
          <cell r="D257"/>
          <cell r="E257"/>
          <cell r="F257"/>
          <cell r="G257"/>
          <cell r="H257"/>
        </row>
        <row r="258">
          <cell r="B258">
            <v>252</v>
          </cell>
          <cell r="D258"/>
          <cell r="E258"/>
          <cell r="F258"/>
          <cell r="G258"/>
          <cell r="H258"/>
        </row>
        <row r="259">
          <cell r="B259">
            <v>253</v>
          </cell>
          <cell r="D259"/>
          <cell r="E259"/>
          <cell r="F259"/>
          <cell r="G259"/>
          <cell r="H259"/>
        </row>
        <row r="260">
          <cell r="B260">
            <v>254</v>
          </cell>
          <cell r="D260"/>
          <cell r="E260"/>
          <cell r="F260"/>
          <cell r="G260"/>
          <cell r="H260"/>
        </row>
        <row r="261">
          <cell r="B261">
            <v>255</v>
          </cell>
          <cell r="D261"/>
          <cell r="E261"/>
          <cell r="F261"/>
          <cell r="G261"/>
          <cell r="H261"/>
        </row>
        <row r="262">
          <cell r="B262">
            <v>256</v>
          </cell>
          <cell r="D262"/>
          <cell r="E262"/>
          <cell r="F262"/>
          <cell r="G262"/>
          <cell r="H262"/>
        </row>
        <row r="263">
          <cell r="B263">
            <v>257</v>
          </cell>
          <cell r="D263"/>
          <cell r="E263"/>
          <cell r="F263"/>
          <cell r="G263"/>
          <cell r="H263"/>
        </row>
        <row r="264">
          <cell r="B264">
            <v>258</v>
          </cell>
          <cell r="D264"/>
          <cell r="E264"/>
          <cell r="F264"/>
          <cell r="G264"/>
          <cell r="H264"/>
        </row>
        <row r="265">
          <cell r="B265">
            <v>259</v>
          </cell>
          <cell r="D265"/>
          <cell r="E265"/>
          <cell r="F265"/>
          <cell r="G265"/>
          <cell r="H265"/>
        </row>
        <row r="266">
          <cell r="B266">
            <v>260</v>
          </cell>
          <cell r="D266"/>
          <cell r="E266"/>
          <cell r="F266"/>
          <cell r="G266"/>
          <cell r="H266"/>
        </row>
        <row r="267">
          <cell r="B267">
            <v>261</v>
          </cell>
          <cell r="D267"/>
          <cell r="E267"/>
          <cell r="F267"/>
          <cell r="G267"/>
          <cell r="H267"/>
        </row>
        <row r="268">
          <cell r="B268">
            <v>262</v>
          </cell>
          <cell r="D268"/>
          <cell r="E268"/>
          <cell r="F268"/>
          <cell r="G268"/>
          <cell r="H268"/>
        </row>
        <row r="269">
          <cell r="B269">
            <v>263</v>
          </cell>
          <cell r="D269"/>
          <cell r="E269"/>
          <cell r="F269"/>
          <cell r="G269"/>
          <cell r="H269"/>
        </row>
        <row r="270">
          <cell r="B270">
            <v>264</v>
          </cell>
          <cell r="D270"/>
          <cell r="E270"/>
          <cell r="F270"/>
          <cell r="G270"/>
          <cell r="H270"/>
        </row>
        <row r="271">
          <cell r="B271">
            <v>265</v>
          </cell>
          <cell r="D271"/>
          <cell r="E271"/>
          <cell r="F271"/>
          <cell r="G271"/>
          <cell r="H271"/>
        </row>
        <row r="272">
          <cell r="B272">
            <v>266</v>
          </cell>
          <cell r="D272"/>
          <cell r="E272"/>
          <cell r="F272"/>
          <cell r="G272"/>
          <cell r="H272"/>
        </row>
        <row r="273">
          <cell r="B273">
            <v>267</v>
          </cell>
          <cell r="D273"/>
          <cell r="E273"/>
          <cell r="F273"/>
          <cell r="G273"/>
          <cell r="H273"/>
        </row>
        <row r="274">
          <cell r="B274">
            <v>268</v>
          </cell>
          <cell r="D274"/>
          <cell r="E274"/>
          <cell r="F274"/>
          <cell r="G274"/>
          <cell r="H274"/>
        </row>
        <row r="275">
          <cell r="B275">
            <v>269</v>
          </cell>
          <cell r="D275"/>
          <cell r="E275"/>
          <cell r="F275"/>
          <cell r="G275"/>
          <cell r="H275"/>
        </row>
        <row r="276">
          <cell r="B276">
            <v>270</v>
          </cell>
          <cell r="D276"/>
          <cell r="E276"/>
          <cell r="F276"/>
          <cell r="G276"/>
          <cell r="H276"/>
        </row>
        <row r="277">
          <cell r="B277">
            <v>271</v>
          </cell>
          <cell r="D277"/>
          <cell r="E277"/>
          <cell r="F277"/>
          <cell r="G277"/>
          <cell r="H277"/>
        </row>
        <row r="278">
          <cell r="B278">
            <v>272</v>
          </cell>
          <cell r="D278"/>
          <cell r="E278"/>
          <cell r="F278"/>
          <cell r="G278"/>
          <cell r="H278"/>
        </row>
        <row r="279">
          <cell r="B279">
            <v>273</v>
          </cell>
          <cell r="D279"/>
          <cell r="E279"/>
          <cell r="F279"/>
          <cell r="G279"/>
          <cell r="H279"/>
        </row>
        <row r="280">
          <cell r="B280">
            <v>274</v>
          </cell>
          <cell r="D280"/>
          <cell r="E280"/>
          <cell r="F280"/>
          <cell r="G280"/>
          <cell r="H280"/>
        </row>
        <row r="281">
          <cell r="B281">
            <v>275</v>
          </cell>
          <cell r="D281"/>
          <cell r="E281"/>
          <cell r="F281"/>
          <cell r="G281"/>
          <cell r="H281"/>
        </row>
        <row r="282">
          <cell r="B282">
            <v>276</v>
          </cell>
          <cell r="D282"/>
          <cell r="E282"/>
          <cell r="F282"/>
          <cell r="G282"/>
          <cell r="H282"/>
        </row>
        <row r="283">
          <cell r="B283">
            <v>277</v>
          </cell>
          <cell r="D283"/>
          <cell r="E283"/>
          <cell r="F283"/>
          <cell r="G283"/>
          <cell r="H283"/>
        </row>
        <row r="284">
          <cell r="B284">
            <v>278</v>
          </cell>
          <cell r="D284"/>
          <cell r="E284"/>
          <cell r="F284"/>
          <cell r="G284"/>
          <cell r="H284"/>
        </row>
        <row r="285">
          <cell r="B285">
            <v>279</v>
          </cell>
          <cell r="D285"/>
          <cell r="E285"/>
          <cell r="F285"/>
          <cell r="G285"/>
          <cell r="H285"/>
        </row>
        <row r="286">
          <cell r="B286">
            <v>280</v>
          </cell>
          <cell r="D286"/>
          <cell r="E286"/>
          <cell r="F286"/>
          <cell r="G286"/>
          <cell r="H286"/>
        </row>
        <row r="287">
          <cell r="B287">
            <v>281</v>
          </cell>
          <cell r="D287"/>
          <cell r="E287"/>
          <cell r="F287"/>
          <cell r="G287"/>
          <cell r="H287"/>
        </row>
        <row r="288">
          <cell r="B288">
            <v>282</v>
          </cell>
          <cell r="D288"/>
          <cell r="E288"/>
          <cell r="F288"/>
          <cell r="G288"/>
          <cell r="H288"/>
        </row>
        <row r="289">
          <cell r="B289">
            <v>283</v>
          </cell>
          <cell r="D289"/>
          <cell r="E289"/>
          <cell r="F289"/>
          <cell r="G289"/>
          <cell r="H289"/>
        </row>
        <row r="290">
          <cell r="B290">
            <v>284</v>
          </cell>
          <cell r="D290"/>
          <cell r="E290"/>
          <cell r="F290"/>
          <cell r="G290"/>
          <cell r="H290"/>
        </row>
        <row r="291">
          <cell r="B291">
            <v>285</v>
          </cell>
          <cell r="D291"/>
          <cell r="E291"/>
          <cell r="F291"/>
          <cell r="G291"/>
          <cell r="H291"/>
        </row>
        <row r="292">
          <cell r="B292">
            <v>286</v>
          </cell>
          <cell r="D292"/>
          <cell r="E292"/>
          <cell r="F292"/>
          <cell r="G292"/>
          <cell r="H292"/>
        </row>
        <row r="293">
          <cell r="B293">
            <v>287</v>
          </cell>
          <cell r="D293"/>
          <cell r="E293"/>
          <cell r="F293"/>
          <cell r="G293"/>
          <cell r="H293"/>
        </row>
        <row r="294">
          <cell r="B294">
            <v>288</v>
          </cell>
          <cell r="D294"/>
          <cell r="E294"/>
          <cell r="F294"/>
          <cell r="G294"/>
          <cell r="H294"/>
        </row>
        <row r="295">
          <cell r="B295">
            <v>289</v>
          </cell>
          <cell r="D295"/>
          <cell r="E295"/>
          <cell r="F295"/>
          <cell r="G295"/>
          <cell r="H295"/>
        </row>
        <row r="296">
          <cell r="B296">
            <v>290</v>
          </cell>
          <cell r="D296"/>
          <cell r="E296"/>
          <cell r="F296"/>
          <cell r="G296"/>
          <cell r="H296"/>
        </row>
        <row r="297">
          <cell r="B297">
            <v>291</v>
          </cell>
          <cell r="D297"/>
          <cell r="E297"/>
          <cell r="F297"/>
          <cell r="G297"/>
          <cell r="H297"/>
        </row>
        <row r="298">
          <cell r="B298">
            <v>292</v>
          </cell>
          <cell r="D298"/>
          <cell r="E298"/>
          <cell r="F298"/>
          <cell r="G298"/>
          <cell r="H298"/>
        </row>
        <row r="299">
          <cell r="B299">
            <v>293</v>
          </cell>
          <cell r="D299"/>
          <cell r="E299"/>
          <cell r="F299"/>
          <cell r="G299"/>
          <cell r="H299"/>
        </row>
        <row r="300">
          <cell r="B300">
            <v>294</v>
          </cell>
          <cell r="D300"/>
          <cell r="E300"/>
          <cell r="F300"/>
          <cell r="G300"/>
          <cell r="H300"/>
        </row>
        <row r="301">
          <cell r="B301">
            <v>295</v>
          </cell>
          <cell r="D301"/>
          <cell r="E301"/>
          <cell r="F301"/>
          <cell r="G301"/>
          <cell r="H301"/>
        </row>
        <row r="302">
          <cell r="B302">
            <v>296</v>
          </cell>
          <cell r="D302"/>
          <cell r="E302"/>
          <cell r="F302"/>
          <cell r="G302"/>
          <cell r="H302"/>
        </row>
        <row r="303">
          <cell r="B303">
            <v>297</v>
          </cell>
          <cell r="D303"/>
          <cell r="E303"/>
          <cell r="F303"/>
          <cell r="G303"/>
          <cell r="H303"/>
        </row>
        <row r="304">
          <cell r="B304">
            <v>298</v>
          </cell>
          <cell r="D304"/>
          <cell r="E304"/>
          <cell r="F304"/>
          <cell r="G304"/>
          <cell r="H304"/>
        </row>
        <row r="305">
          <cell r="B305">
            <v>299</v>
          </cell>
          <cell r="D305"/>
          <cell r="E305"/>
          <cell r="F305"/>
          <cell r="G305"/>
          <cell r="H305"/>
        </row>
        <row r="306">
          <cell r="B306">
            <v>300</v>
          </cell>
          <cell r="D306"/>
          <cell r="E306"/>
          <cell r="F306"/>
          <cell r="G306"/>
          <cell r="H306"/>
        </row>
        <row r="307">
          <cell r="B307">
            <v>301</v>
          </cell>
          <cell r="D307"/>
          <cell r="E307"/>
          <cell r="F307"/>
          <cell r="G307"/>
          <cell r="H307"/>
        </row>
        <row r="308">
          <cell r="B308">
            <v>302</v>
          </cell>
          <cell r="D308"/>
          <cell r="E308"/>
          <cell r="F308"/>
          <cell r="G308"/>
          <cell r="H308"/>
        </row>
        <row r="309">
          <cell r="B309">
            <v>303</v>
          </cell>
          <cell r="D309"/>
          <cell r="E309"/>
          <cell r="F309"/>
          <cell r="G309"/>
          <cell r="H309"/>
        </row>
        <row r="310">
          <cell r="B310">
            <v>304</v>
          </cell>
          <cell r="D310"/>
          <cell r="E310"/>
          <cell r="F310"/>
          <cell r="G310"/>
          <cell r="H310"/>
        </row>
        <row r="311">
          <cell r="B311">
            <v>305</v>
          </cell>
          <cell r="D311"/>
          <cell r="E311"/>
          <cell r="F311"/>
          <cell r="G311"/>
          <cell r="H311"/>
        </row>
        <row r="312">
          <cell r="B312">
            <v>306</v>
          </cell>
          <cell r="D312"/>
          <cell r="E312"/>
          <cell r="F312"/>
          <cell r="G312"/>
          <cell r="H312"/>
        </row>
        <row r="313">
          <cell r="B313">
            <v>307</v>
          </cell>
          <cell r="D313"/>
          <cell r="E313"/>
          <cell r="F313"/>
          <cell r="G313"/>
          <cell r="H313"/>
        </row>
        <row r="314">
          <cell r="B314">
            <v>308</v>
          </cell>
          <cell r="D314"/>
          <cell r="E314"/>
          <cell r="F314"/>
          <cell r="G314"/>
          <cell r="H314"/>
        </row>
        <row r="315">
          <cell r="B315">
            <v>309</v>
          </cell>
          <cell r="D315"/>
          <cell r="E315"/>
          <cell r="F315"/>
          <cell r="G315"/>
          <cell r="H315"/>
        </row>
        <row r="316">
          <cell r="B316">
            <v>310</v>
          </cell>
          <cell r="D316"/>
          <cell r="E316"/>
          <cell r="F316"/>
          <cell r="G316"/>
          <cell r="H316"/>
        </row>
        <row r="317">
          <cell r="B317">
            <v>311</v>
          </cell>
          <cell r="D317"/>
          <cell r="E317"/>
          <cell r="F317"/>
          <cell r="G317"/>
          <cell r="H317"/>
        </row>
        <row r="318">
          <cell r="B318">
            <v>312</v>
          </cell>
          <cell r="D318"/>
          <cell r="E318"/>
          <cell r="F318"/>
          <cell r="G318"/>
          <cell r="H318"/>
        </row>
        <row r="319">
          <cell r="B319">
            <v>313</v>
          </cell>
          <cell r="D319"/>
          <cell r="E319"/>
          <cell r="F319"/>
          <cell r="G319"/>
          <cell r="H319"/>
        </row>
        <row r="320">
          <cell r="B320">
            <v>314</v>
          </cell>
          <cell r="D320"/>
          <cell r="E320"/>
          <cell r="F320"/>
          <cell r="G320"/>
          <cell r="H320"/>
        </row>
        <row r="321">
          <cell r="B321">
            <v>315</v>
          </cell>
          <cell r="D321"/>
          <cell r="E321"/>
          <cell r="F321"/>
          <cell r="G321"/>
          <cell r="H321"/>
        </row>
        <row r="322">
          <cell r="B322">
            <v>316</v>
          </cell>
          <cell r="D322"/>
          <cell r="E322"/>
          <cell r="F322"/>
          <cell r="G322"/>
          <cell r="H322"/>
        </row>
        <row r="323">
          <cell r="B323">
            <v>317</v>
          </cell>
          <cell r="D323"/>
          <cell r="E323"/>
          <cell r="F323"/>
          <cell r="G323"/>
          <cell r="H323"/>
        </row>
        <row r="324">
          <cell r="B324">
            <v>318</v>
          </cell>
          <cell r="D324"/>
          <cell r="E324"/>
          <cell r="F324"/>
          <cell r="G324"/>
          <cell r="H324"/>
        </row>
        <row r="325">
          <cell r="B325">
            <v>319</v>
          </cell>
          <cell r="D325"/>
          <cell r="E325"/>
          <cell r="F325"/>
          <cell r="G325"/>
          <cell r="H325"/>
        </row>
        <row r="326">
          <cell r="B326">
            <v>320</v>
          </cell>
          <cell r="D326"/>
          <cell r="E326"/>
          <cell r="F326"/>
          <cell r="G326"/>
          <cell r="H326"/>
        </row>
        <row r="327">
          <cell r="B327">
            <v>321</v>
          </cell>
          <cell r="D327"/>
          <cell r="E327"/>
          <cell r="F327"/>
          <cell r="G327"/>
          <cell r="H327"/>
        </row>
        <row r="328">
          <cell r="B328">
            <v>322</v>
          </cell>
          <cell r="D328"/>
          <cell r="E328"/>
          <cell r="F328"/>
          <cell r="G328"/>
          <cell r="H328"/>
        </row>
        <row r="329">
          <cell r="B329">
            <v>323</v>
          </cell>
          <cell r="D329"/>
          <cell r="E329"/>
          <cell r="F329"/>
          <cell r="G329"/>
          <cell r="H329"/>
        </row>
        <row r="330">
          <cell r="B330">
            <v>324</v>
          </cell>
          <cell r="D330"/>
          <cell r="E330"/>
          <cell r="F330"/>
          <cell r="G330"/>
          <cell r="H330"/>
        </row>
        <row r="331">
          <cell r="B331">
            <v>325</v>
          </cell>
          <cell r="D331"/>
          <cell r="E331"/>
          <cell r="F331"/>
          <cell r="G331"/>
          <cell r="H331"/>
        </row>
        <row r="332">
          <cell r="B332">
            <v>326</v>
          </cell>
          <cell r="D332"/>
          <cell r="E332"/>
          <cell r="F332"/>
          <cell r="G332"/>
          <cell r="H332"/>
        </row>
        <row r="333">
          <cell r="B333">
            <v>327</v>
          </cell>
          <cell r="D333"/>
          <cell r="E333"/>
          <cell r="F333"/>
          <cell r="G333"/>
          <cell r="H333"/>
        </row>
        <row r="334">
          <cell r="B334">
            <v>328</v>
          </cell>
          <cell r="D334"/>
          <cell r="E334"/>
          <cell r="F334"/>
          <cell r="G334"/>
          <cell r="H334"/>
        </row>
        <row r="335">
          <cell r="B335">
            <v>329</v>
          </cell>
          <cell r="D335"/>
          <cell r="E335"/>
          <cell r="F335"/>
          <cell r="G335"/>
          <cell r="H335"/>
        </row>
        <row r="336">
          <cell r="B336">
            <v>330</v>
          </cell>
          <cell r="D336"/>
          <cell r="E336"/>
          <cell r="F336"/>
          <cell r="G336"/>
          <cell r="H336"/>
        </row>
        <row r="337">
          <cell r="B337">
            <v>331</v>
          </cell>
          <cell r="D337"/>
          <cell r="E337"/>
          <cell r="F337"/>
          <cell r="G337"/>
          <cell r="H337"/>
        </row>
        <row r="338">
          <cell r="B338">
            <v>332</v>
          </cell>
          <cell r="D338"/>
          <cell r="E338"/>
          <cell r="F338"/>
          <cell r="G338"/>
          <cell r="H338"/>
        </row>
        <row r="339">
          <cell r="B339">
            <v>333</v>
          </cell>
          <cell r="D339"/>
          <cell r="E339"/>
          <cell r="F339"/>
          <cell r="G339"/>
          <cell r="H339"/>
        </row>
        <row r="340">
          <cell r="B340">
            <v>334</v>
          </cell>
          <cell r="D340"/>
          <cell r="E340"/>
          <cell r="F340"/>
          <cell r="G340"/>
          <cell r="H340"/>
        </row>
        <row r="341">
          <cell r="B341">
            <v>335</v>
          </cell>
          <cell r="D341"/>
          <cell r="E341"/>
          <cell r="F341"/>
          <cell r="G341"/>
          <cell r="H341"/>
        </row>
        <row r="342">
          <cell r="B342">
            <v>336</v>
          </cell>
          <cell r="D342"/>
          <cell r="E342"/>
          <cell r="F342"/>
          <cell r="G342"/>
          <cell r="H342"/>
        </row>
        <row r="343">
          <cell r="B343">
            <v>337</v>
          </cell>
          <cell r="D343"/>
          <cell r="E343"/>
          <cell r="F343"/>
          <cell r="G343"/>
          <cell r="H343"/>
        </row>
        <row r="344">
          <cell r="B344">
            <v>338</v>
          </cell>
          <cell r="D344"/>
          <cell r="E344"/>
          <cell r="F344"/>
          <cell r="G344"/>
          <cell r="H344"/>
        </row>
        <row r="345">
          <cell r="B345">
            <v>339</v>
          </cell>
          <cell r="D345"/>
          <cell r="E345"/>
          <cell r="F345"/>
          <cell r="G345"/>
          <cell r="H345"/>
        </row>
        <row r="346">
          <cell r="B346">
            <v>340</v>
          </cell>
          <cell r="D346"/>
          <cell r="E346"/>
          <cell r="F346"/>
          <cell r="G346"/>
          <cell r="H346"/>
        </row>
        <row r="347">
          <cell r="B347">
            <v>341</v>
          </cell>
          <cell r="D347"/>
          <cell r="E347"/>
          <cell r="F347"/>
          <cell r="G347"/>
          <cell r="H347"/>
        </row>
        <row r="348">
          <cell r="B348">
            <v>342</v>
          </cell>
          <cell r="D348"/>
          <cell r="E348"/>
          <cell r="F348"/>
          <cell r="G348"/>
          <cell r="H348"/>
        </row>
        <row r="349">
          <cell r="B349">
            <v>343</v>
          </cell>
          <cell r="D349"/>
          <cell r="E349"/>
          <cell r="F349"/>
          <cell r="G349"/>
          <cell r="H349"/>
        </row>
        <row r="350">
          <cell r="B350">
            <v>344</v>
          </cell>
          <cell r="D350"/>
          <cell r="E350"/>
          <cell r="F350"/>
          <cell r="G350"/>
          <cell r="H350"/>
        </row>
        <row r="351">
          <cell r="B351">
            <v>345</v>
          </cell>
          <cell r="D351"/>
          <cell r="E351"/>
          <cell r="F351"/>
          <cell r="G351"/>
          <cell r="H351"/>
        </row>
        <row r="352">
          <cell r="B352">
            <v>346</v>
          </cell>
          <cell r="D352"/>
          <cell r="E352"/>
          <cell r="F352"/>
          <cell r="G352"/>
          <cell r="H352"/>
        </row>
        <row r="353">
          <cell r="B353">
            <v>347</v>
          </cell>
          <cell r="D353"/>
          <cell r="E353"/>
          <cell r="F353"/>
          <cell r="G353"/>
          <cell r="H353"/>
        </row>
        <row r="354">
          <cell r="B354">
            <v>348</v>
          </cell>
          <cell r="D354"/>
          <cell r="E354"/>
          <cell r="F354"/>
          <cell r="G354"/>
          <cell r="H354"/>
        </row>
        <row r="355">
          <cell r="B355">
            <v>349</v>
          </cell>
          <cell r="D355"/>
          <cell r="E355"/>
          <cell r="F355"/>
          <cell r="G355"/>
          <cell r="H355"/>
        </row>
        <row r="356">
          <cell r="B356">
            <v>350</v>
          </cell>
          <cell r="D356"/>
          <cell r="E356"/>
          <cell r="F356"/>
          <cell r="G356"/>
          <cell r="H356"/>
        </row>
        <row r="357">
          <cell r="B357">
            <v>351</v>
          </cell>
          <cell r="D357"/>
          <cell r="E357"/>
          <cell r="F357"/>
          <cell r="G357"/>
          <cell r="H357"/>
        </row>
        <row r="358">
          <cell r="B358">
            <v>352</v>
          </cell>
          <cell r="D358"/>
          <cell r="E358"/>
          <cell r="F358"/>
          <cell r="G358"/>
          <cell r="H358"/>
        </row>
        <row r="359">
          <cell r="B359">
            <v>353</v>
          </cell>
          <cell r="D359"/>
          <cell r="E359"/>
          <cell r="F359"/>
          <cell r="G359"/>
          <cell r="H359"/>
        </row>
        <row r="360">
          <cell r="B360">
            <v>354</v>
          </cell>
          <cell r="D360"/>
          <cell r="E360"/>
          <cell r="F360"/>
          <cell r="G360"/>
          <cell r="H360"/>
        </row>
        <row r="361">
          <cell r="B361">
            <v>355</v>
          </cell>
          <cell r="D361"/>
          <cell r="E361"/>
          <cell r="F361"/>
          <cell r="G361"/>
          <cell r="H361"/>
        </row>
        <row r="362">
          <cell r="B362">
            <v>356</v>
          </cell>
          <cell r="D362"/>
          <cell r="E362"/>
          <cell r="F362"/>
          <cell r="G362"/>
          <cell r="H362"/>
        </row>
        <row r="363">
          <cell r="B363">
            <v>357</v>
          </cell>
          <cell r="D363"/>
          <cell r="E363"/>
          <cell r="F363"/>
          <cell r="G363"/>
          <cell r="H363"/>
        </row>
        <row r="364">
          <cell r="B364">
            <v>358</v>
          </cell>
          <cell r="D364"/>
          <cell r="E364"/>
          <cell r="F364"/>
          <cell r="G364"/>
          <cell r="H364"/>
        </row>
        <row r="365">
          <cell r="B365">
            <v>359</v>
          </cell>
          <cell r="D365"/>
          <cell r="E365"/>
          <cell r="F365"/>
          <cell r="G365"/>
          <cell r="H365"/>
        </row>
        <row r="366">
          <cell r="B366">
            <v>360</v>
          </cell>
          <cell r="D366"/>
          <cell r="E366"/>
          <cell r="F366"/>
          <cell r="G366"/>
          <cell r="H366"/>
        </row>
        <row r="367">
          <cell r="B367">
            <v>361</v>
          </cell>
          <cell r="D367"/>
          <cell r="E367"/>
          <cell r="F367"/>
          <cell r="G367"/>
          <cell r="H367"/>
        </row>
        <row r="368">
          <cell r="B368">
            <v>362</v>
          </cell>
          <cell r="D368"/>
          <cell r="E368"/>
          <cell r="F368"/>
          <cell r="G368"/>
          <cell r="H368"/>
        </row>
        <row r="369">
          <cell r="B369">
            <v>363</v>
          </cell>
          <cell r="D369"/>
          <cell r="E369"/>
          <cell r="F369"/>
          <cell r="G369"/>
          <cell r="H369"/>
        </row>
        <row r="370">
          <cell r="B370">
            <v>364</v>
          </cell>
          <cell r="D370"/>
          <cell r="E370"/>
          <cell r="F370"/>
          <cell r="G370"/>
          <cell r="H370"/>
        </row>
        <row r="371">
          <cell r="B371">
            <v>365</v>
          </cell>
          <cell r="D371"/>
          <cell r="E371"/>
          <cell r="F371"/>
          <cell r="G371"/>
          <cell r="H371"/>
        </row>
        <row r="372">
          <cell r="B372">
            <v>366</v>
          </cell>
          <cell r="D372"/>
          <cell r="E372"/>
          <cell r="F372"/>
          <cell r="G372"/>
          <cell r="H372"/>
        </row>
        <row r="373">
          <cell r="B373">
            <v>367</v>
          </cell>
          <cell r="D373"/>
          <cell r="E373"/>
          <cell r="F373"/>
          <cell r="G373"/>
          <cell r="H373"/>
        </row>
        <row r="374">
          <cell r="B374">
            <v>368</v>
          </cell>
          <cell r="D374"/>
          <cell r="E374"/>
          <cell r="F374"/>
          <cell r="G374"/>
          <cell r="H374"/>
        </row>
        <row r="375">
          <cell r="B375">
            <v>369</v>
          </cell>
          <cell r="D375"/>
          <cell r="E375"/>
          <cell r="F375"/>
          <cell r="G375"/>
          <cell r="H375"/>
        </row>
        <row r="376">
          <cell r="B376">
            <v>370</v>
          </cell>
          <cell r="D376"/>
          <cell r="E376"/>
          <cell r="F376"/>
          <cell r="G376"/>
          <cell r="H376"/>
        </row>
        <row r="377">
          <cell r="B377">
            <v>371</v>
          </cell>
          <cell r="D377"/>
          <cell r="E377"/>
          <cell r="F377"/>
          <cell r="G377"/>
          <cell r="H377"/>
        </row>
        <row r="378">
          <cell r="B378">
            <v>372</v>
          </cell>
          <cell r="D378"/>
          <cell r="E378"/>
          <cell r="F378"/>
          <cell r="G378"/>
          <cell r="H378"/>
        </row>
        <row r="379">
          <cell r="B379">
            <v>373</v>
          </cell>
          <cell r="D379"/>
          <cell r="E379"/>
          <cell r="F379"/>
          <cell r="G379"/>
          <cell r="H379"/>
        </row>
        <row r="380">
          <cell r="B380">
            <v>374</v>
          </cell>
          <cell r="D380"/>
          <cell r="E380"/>
          <cell r="F380"/>
          <cell r="G380"/>
          <cell r="H380"/>
        </row>
        <row r="381">
          <cell r="B381">
            <v>375</v>
          </cell>
          <cell r="D381"/>
          <cell r="E381"/>
          <cell r="F381"/>
          <cell r="G381"/>
          <cell r="H381"/>
        </row>
        <row r="382">
          <cell r="B382">
            <v>376</v>
          </cell>
          <cell r="D382"/>
          <cell r="E382"/>
          <cell r="F382"/>
          <cell r="G382"/>
          <cell r="H382"/>
        </row>
        <row r="383">
          <cell r="B383">
            <v>377</v>
          </cell>
          <cell r="D383"/>
          <cell r="E383"/>
          <cell r="F383"/>
          <cell r="G383"/>
          <cell r="H383"/>
        </row>
        <row r="384">
          <cell r="B384">
            <v>378</v>
          </cell>
          <cell r="D384"/>
          <cell r="E384"/>
          <cell r="F384"/>
          <cell r="G384"/>
          <cell r="H384"/>
        </row>
        <row r="385">
          <cell r="B385">
            <v>379</v>
          </cell>
          <cell r="D385"/>
          <cell r="E385"/>
          <cell r="F385"/>
          <cell r="G385"/>
          <cell r="H385"/>
        </row>
        <row r="386">
          <cell r="B386">
            <v>380</v>
          </cell>
          <cell r="D386"/>
          <cell r="E386"/>
          <cell r="F386"/>
          <cell r="G386"/>
          <cell r="H386"/>
        </row>
        <row r="387">
          <cell r="B387">
            <v>381</v>
          </cell>
          <cell r="D387"/>
          <cell r="E387"/>
          <cell r="F387"/>
          <cell r="G387"/>
          <cell r="H387"/>
        </row>
        <row r="388">
          <cell r="B388">
            <v>382</v>
          </cell>
          <cell r="D388"/>
          <cell r="E388"/>
          <cell r="F388"/>
          <cell r="G388"/>
          <cell r="H388"/>
        </row>
        <row r="389">
          <cell r="B389">
            <v>383</v>
          </cell>
          <cell r="D389"/>
          <cell r="E389"/>
          <cell r="F389"/>
          <cell r="G389"/>
          <cell r="H389"/>
        </row>
        <row r="390">
          <cell r="B390">
            <v>384</v>
          </cell>
          <cell r="D390"/>
          <cell r="E390"/>
          <cell r="F390"/>
          <cell r="G390"/>
          <cell r="H390"/>
        </row>
        <row r="391">
          <cell r="B391">
            <v>385</v>
          </cell>
          <cell r="D391"/>
          <cell r="E391"/>
          <cell r="F391"/>
          <cell r="G391"/>
          <cell r="H391"/>
        </row>
        <row r="392">
          <cell r="B392">
            <v>386</v>
          </cell>
          <cell r="D392"/>
          <cell r="E392"/>
          <cell r="F392"/>
          <cell r="G392"/>
          <cell r="H392"/>
        </row>
        <row r="393">
          <cell r="B393">
            <v>387</v>
          </cell>
          <cell r="D393"/>
          <cell r="E393"/>
          <cell r="F393"/>
          <cell r="G393"/>
          <cell r="H393"/>
        </row>
        <row r="394">
          <cell r="B394">
            <v>388</v>
          </cell>
          <cell r="D394"/>
          <cell r="E394"/>
          <cell r="F394"/>
          <cell r="G394"/>
          <cell r="H394"/>
        </row>
        <row r="395">
          <cell r="B395">
            <v>389</v>
          </cell>
          <cell r="D395"/>
          <cell r="E395"/>
          <cell r="F395"/>
          <cell r="G395"/>
          <cell r="H395"/>
        </row>
        <row r="396">
          <cell r="B396">
            <v>390</v>
          </cell>
          <cell r="D396"/>
          <cell r="E396"/>
          <cell r="F396"/>
          <cell r="G396"/>
          <cell r="H396"/>
        </row>
        <row r="397">
          <cell r="B397">
            <v>391</v>
          </cell>
          <cell r="D397"/>
          <cell r="E397"/>
          <cell r="F397"/>
          <cell r="G397"/>
          <cell r="H397"/>
        </row>
        <row r="398">
          <cell r="B398">
            <v>392</v>
          </cell>
          <cell r="D398"/>
          <cell r="E398"/>
          <cell r="F398"/>
          <cell r="G398"/>
          <cell r="H398"/>
        </row>
        <row r="399">
          <cell r="B399">
            <v>393</v>
          </cell>
          <cell r="D399"/>
          <cell r="E399"/>
          <cell r="F399"/>
          <cell r="G399"/>
          <cell r="H399"/>
        </row>
        <row r="400">
          <cell r="B400">
            <v>394</v>
          </cell>
          <cell r="D400"/>
          <cell r="E400"/>
          <cell r="F400"/>
          <cell r="G400"/>
          <cell r="H400"/>
        </row>
        <row r="401">
          <cell r="B401">
            <v>395</v>
          </cell>
          <cell r="D401"/>
          <cell r="E401"/>
          <cell r="F401"/>
          <cell r="G401"/>
          <cell r="H401"/>
        </row>
        <row r="402">
          <cell r="B402">
            <v>396</v>
          </cell>
          <cell r="D402"/>
          <cell r="E402"/>
          <cell r="F402"/>
          <cell r="G402"/>
          <cell r="H402"/>
        </row>
        <row r="403">
          <cell r="B403">
            <v>397</v>
          </cell>
          <cell r="D403"/>
          <cell r="E403"/>
          <cell r="F403"/>
          <cell r="G403"/>
          <cell r="H403"/>
        </row>
        <row r="404">
          <cell r="B404">
            <v>398</v>
          </cell>
          <cell r="D404"/>
          <cell r="E404"/>
          <cell r="F404"/>
          <cell r="G404"/>
          <cell r="H404"/>
        </row>
        <row r="405">
          <cell r="B405">
            <v>399</v>
          </cell>
          <cell r="D405"/>
          <cell r="E405"/>
          <cell r="F405"/>
          <cell r="G405"/>
          <cell r="H405"/>
        </row>
        <row r="406">
          <cell r="B406">
            <v>400</v>
          </cell>
          <cell r="D406"/>
          <cell r="E406"/>
          <cell r="F406"/>
          <cell r="G406"/>
          <cell r="H406"/>
        </row>
        <row r="407">
          <cell r="B407">
            <v>401</v>
          </cell>
          <cell r="D407"/>
          <cell r="E407"/>
          <cell r="F407"/>
          <cell r="G407"/>
          <cell r="H407"/>
        </row>
        <row r="408">
          <cell r="B408">
            <v>402</v>
          </cell>
          <cell r="D408"/>
          <cell r="E408"/>
          <cell r="F408"/>
          <cell r="G408"/>
          <cell r="H408"/>
        </row>
        <row r="409">
          <cell r="B409">
            <v>403</v>
          </cell>
          <cell r="D409"/>
          <cell r="E409"/>
          <cell r="F409"/>
          <cell r="G409"/>
          <cell r="H409"/>
        </row>
        <row r="410">
          <cell r="B410">
            <v>404</v>
          </cell>
          <cell r="D410"/>
          <cell r="E410"/>
          <cell r="F410"/>
          <cell r="G410"/>
          <cell r="H410"/>
        </row>
        <row r="411">
          <cell r="B411">
            <v>405</v>
          </cell>
          <cell r="D411"/>
          <cell r="E411"/>
          <cell r="F411"/>
          <cell r="G411"/>
          <cell r="H411"/>
        </row>
        <row r="412">
          <cell r="B412">
            <v>406</v>
          </cell>
          <cell r="D412"/>
          <cell r="E412"/>
          <cell r="F412"/>
          <cell r="G412"/>
          <cell r="H412"/>
        </row>
        <row r="413">
          <cell r="B413">
            <v>407</v>
          </cell>
          <cell r="D413"/>
          <cell r="E413"/>
          <cell r="F413"/>
          <cell r="G413"/>
          <cell r="H413"/>
        </row>
        <row r="414">
          <cell r="B414">
            <v>408</v>
          </cell>
          <cell r="D414"/>
          <cell r="E414"/>
          <cell r="F414"/>
          <cell r="G414"/>
          <cell r="H414"/>
        </row>
        <row r="415">
          <cell r="B415">
            <v>409</v>
          </cell>
          <cell r="D415"/>
          <cell r="E415"/>
          <cell r="F415"/>
          <cell r="G415"/>
          <cell r="H415"/>
        </row>
        <row r="416">
          <cell r="B416">
            <v>410</v>
          </cell>
          <cell r="D416"/>
          <cell r="E416"/>
          <cell r="F416"/>
          <cell r="G416"/>
          <cell r="H416"/>
        </row>
        <row r="417">
          <cell r="B417">
            <v>411</v>
          </cell>
          <cell r="D417"/>
          <cell r="E417"/>
          <cell r="F417"/>
          <cell r="G417"/>
          <cell r="H417"/>
        </row>
        <row r="418">
          <cell r="B418">
            <v>412</v>
          </cell>
          <cell r="D418"/>
          <cell r="E418"/>
          <cell r="F418"/>
          <cell r="G418"/>
          <cell r="H418"/>
        </row>
        <row r="419">
          <cell r="B419">
            <v>413</v>
          </cell>
          <cell r="D419"/>
          <cell r="E419"/>
          <cell r="F419"/>
          <cell r="G419"/>
          <cell r="H419"/>
        </row>
        <row r="420">
          <cell r="B420">
            <v>414</v>
          </cell>
          <cell r="D420"/>
          <cell r="E420"/>
          <cell r="F420"/>
          <cell r="G420"/>
          <cell r="H420"/>
        </row>
        <row r="421">
          <cell r="B421">
            <v>415</v>
          </cell>
          <cell r="D421"/>
          <cell r="E421"/>
          <cell r="F421"/>
          <cell r="G421"/>
          <cell r="H421"/>
        </row>
        <row r="422">
          <cell r="B422">
            <v>416</v>
          </cell>
          <cell r="D422"/>
          <cell r="E422"/>
          <cell r="F422"/>
          <cell r="G422"/>
          <cell r="H422"/>
        </row>
        <row r="423">
          <cell r="B423">
            <v>417</v>
          </cell>
          <cell r="D423"/>
          <cell r="E423"/>
          <cell r="F423"/>
          <cell r="G423"/>
          <cell r="H423"/>
        </row>
        <row r="424">
          <cell r="B424">
            <v>418</v>
          </cell>
          <cell r="D424"/>
          <cell r="E424"/>
          <cell r="F424"/>
          <cell r="G424"/>
          <cell r="H424"/>
        </row>
        <row r="425">
          <cell r="B425">
            <v>419</v>
          </cell>
          <cell r="D425"/>
          <cell r="E425"/>
          <cell r="F425"/>
          <cell r="G425"/>
          <cell r="H425"/>
        </row>
        <row r="426">
          <cell r="B426">
            <v>420</v>
          </cell>
          <cell r="D426"/>
          <cell r="E426"/>
          <cell r="F426"/>
          <cell r="G426"/>
          <cell r="H426"/>
        </row>
        <row r="427">
          <cell r="B427">
            <v>421</v>
          </cell>
          <cell r="D427"/>
          <cell r="E427"/>
          <cell r="F427"/>
          <cell r="G427"/>
          <cell r="H427"/>
        </row>
        <row r="428">
          <cell r="B428">
            <v>422</v>
          </cell>
          <cell r="D428"/>
          <cell r="E428"/>
          <cell r="F428"/>
          <cell r="G428"/>
          <cell r="H428"/>
        </row>
        <row r="429">
          <cell r="B429">
            <v>423</v>
          </cell>
          <cell r="D429"/>
          <cell r="E429"/>
          <cell r="F429"/>
          <cell r="G429"/>
          <cell r="H429"/>
        </row>
        <row r="430">
          <cell r="B430">
            <v>424</v>
          </cell>
          <cell r="D430"/>
          <cell r="E430"/>
          <cell r="F430"/>
          <cell r="G430"/>
          <cell r="H430"/>
        </row>
        <row r="431">
          <cell r="B431">
            <v>425</v>
          </cell>
          <cell r="D431"/>
          <cell r="E431"/>
          <cell r="F431"/>
          <cell r="G431"/>
          <cell r="H431"/>
        </row>
        <row r="432">
          <cell r="B432">
            <v>426</v>
          </cell>
          <cell r="D432"/>
          <cell r="E432"/>
          <cell r="F432"/>
          <cell r="G432"/>
          <cell r="H432"/>
        </row>
        <row r="433">
          <cell r="B433">
            <v>427</v>
          </cell>
          <cell r="D433"/>
          <cell r="E433"/>
          <cell r="F433"/>
          <cell r="G433"/>
          <cell r="H433"/>
        </row>
        <row r="434">
          <cell r="B434">
            <v>428</v>
          </cell>
          <cell r="D434"/>
          <cell r="E434"/>
          <cell r="F434"/>
          <cell r="G434"/>
          <cell r="H434"/>
        </row>
        <row r="435">
          <cell r="B435">
            <v>429</v>
          </cell>
          <cell r="D435"/>
          <cell r="E435"/>
          <cell r="F435"/>
          <cell r="G435"/>
          <cell r="H435"/>
        </row>
        <row r="436">
          <cell r="B436">
            <v>430</v>
          </cell>
          <cell r="D436"/>
          <cell r="E436"/>
          <cell r="F436"/>
          <cell r="G436"/>
          <cell r="H436"/>
        </row>
        <row r="437">
          <cell r="B437">
            <v>431</v>
          </cell>
          <cell r="D437"/>
          <cell r="E437"/>
          <cell r="F437"/>
          <cell r="G437"/>
          <cell r="H437"/>
        </row>
        <row r="438">
          <cell r="B438">
            <v>432</v>
          </cell>
          <cell r="D438"/>
          <cell r="E438"/>
          <cell r="F438"/>
          <cell r="G438"/>
          <cell r="H438"/>
        </row>
        <row r="439">
          <cell r="B439">
            <v>433</v>
          </cell>
          <cell r="D439"/>
          <cell r="E439"/>
          <cell r="F439"/>
          <cell r="G439"/>
          <cell r="H439"/>
        </row>
        <row r="440">
          <cell r="B440">
            <v>434</v>
          </cell>
          <cell r="D440"/>
          <cell r="E440"/>
          <cell r="F440"/>
          <cell r="G440"/>
          <cell r="H440"/>
        </row>
        <row r="441">
          <cell r="B441">
            <v>435</v>
          </cell>
          <cell r="D441"/>
          <cell r="E441"/>
          <cell r="F441"/>
          <cell r="G441"/>
          <cell r="H441"/>
        </row>
        <row r="442">
          <cell r="B442">
            <v>436</v>
          </cell>
          <cell r="D442"/>
          <cell r="E442"/>
          <cell r="F442"/>
          <cell r="G442"/>
          <cell r="H442"/>
        </row>
        <row r="443">
          <cell r="B443">
            <v>437</v>
          </cell>
          <cell r="D443"/>
          <cell r="E443"/>
          <cell r="F443"/>
          <cell r="G443"/>
          <cell r="H443"/>
        </row>
        <row r="444">
          <cell r="B444">
            <v>438</v>
          </cell>
          <cell r="D444"/>
          <cell r="E444"/>
          <cell r="F444"/>
          <cell r="G444"/>
          <cell r="H444"/>
        </row>
        <row r="445">
          <cell r="B445">
            <v>439</v>
          </cell>
          <cell r="D445"/>
          <cell r="E445"/>
          <cell r="F445"/>
          <cell r="G445"/>
          <cell r="H445"/>
        </row>
        <row r="446">
          <cell r="B446">
            <v>440</v>
          </cell>
          <cell r="D446"/>
          <cell r="E446"/>
          <cell r="F446"/>
          <cell r="G446"/>
          <cell r="H446"/>
        </row>
        <row r="447">
          <cell r="B447">
            <v>441</v>
          </cell>
          <cell r="D447"/>
          <cell r="E447"/>
          <cell r="F447"/>
          <cell r="G447"/>
          <cell r="H447"/>
        </row>
        <row r="448">
          <cell r="B448">
            <v>442</v>
          </cell>
          <cell r="D448"/>
          <cell r="E448"/>
          <cell r="F448"/>
          <cell r="G448"/>
          <cell r="H448"/>
        </row>
        <row r="449">
          <cell r="B449">
            <v>443</v>
          </cell>
          <cell r="D449"/>
          <cell r="E449"/>
          <cell r="F449"/>
          <cell r="G449"/>
          <cell r="H449"/>
        </row>
        <row r="450">
          <cell r="B450">
            <v>444</v>
          </cell>
          <cell r="D450"/>
          <cell r="E450"/>
          <cell r="F450"/>
          <cell r="G450"/>
          <cell r="H450"/>
        </row>
        <row r="451">
          <cell r="B451">
            <v>445</v>
          </cell>
          <cell r="D451"/>
          <cell r="E451"/>
          <cell r="F451"/>
          <cell r="G451"/>
          <cell r="H451"/>
        </row>
        <row r="452">
          <cell r="B452">
            <v>446</v>
          </cell>
          <cell r="D452"/>
          <cell r="E452"/>
          <cell r="F452"/>
          <cell r="G452"/>
          <cell r="H452"/>
        </row>
        <row r="453">
          <cell r="B453">
            <v>447</v>
          </cell>
          <cell r="D453"/>
          <cell r="E453"/>
          <cell r="F453"/>
          <cell r="G453"/>
          <cell r="H453"/>
        </row>
        <row r="454">
          <cell r="B454">
            <v>448</v>
          </cell>
          <cell r="D454"/>
          <cell r="E454"/>
          <cell r="F454"/>
          <cell r="G454"/>
          <cell r="H454"/>
        </row>
        <row r="455">
          <cell r="B455">
            <v>449</v>
          </cell>
          <cell r="D455"/>
          <cell r="E455"/>
          <cell r="F455"/>
          <cell r="G455"/>
          <cell r="H455"/>
        </row>
        <row r="456">
          <cell r="B456">
            <v>450</v>
          </cell>
          <cell r="D456"/>
          <cell r="E456"/>
          <cell r="F456"/>
          <cell r="G456"/>
          <cell r="H456"/>
        </row>
        <row r="457">
          <cell r="B457">
            <v>451</v>
          </cell>
          <cell r="D457"/>
          <cell r="E457"/>
          <cell r="F457"/>
          <cell r="G457"/>
          <cell r="H457"/>
        </row>
        <row r="458">
          <cell r="B458">
            <v>452</v>
          </cell>
          <cell r="D458"/>
          <cell r="E458"/>
          <cell r="F458"/>
          <cell r="G458"/>
          <cell r="H458"/>
        </row>
        <row r="459">
          <cell r="B459">
            <v>453</v>
          </cell>
          <cell r="D459"/>
          <cell r="E459"/>
          <cell r="F459"/>
          <cell r="G459"/>
          <cell r="H459"/>
        </row>
        <row r="460">
          <cell r="B460">
            <v>454</v>
          </cell>
          <cell r="D460"/>
          <cell r="E460"/>
          <cell r="F460"/>
          <cell r="G460"/>
          <cell r="H460"/>
        </row>
        <row r="461">
          <cell r="B461">
            <v>455</v>
          </cell>
          <cell r="D461"/>
          <cell r="E461"/>
          <cell r="F461"/>
          <cell r="G461"/>
          <cell r="H461"/>
        </row>
        <row r="462">
          <cell r="B462">
            <v>456</v>
          </cell>
          <cell r="D462"/>
          <cell r="E462"/>
          <cell r="F462"/>
          <cell r="G462"/>
          <cell r="H462"/>
        </row>
        <row r="463">
          <cell r="B463">
            <v>457</v>
          </cell>
          <cell r="D463"/>
          <cell r="E463"/>
          <cell r="F463"/>
          <cell r="G463"/>
          <cell r="H463"/>
        </row>
        <row r="464">
          <cell r="B464">
            <v>458</v>
          </cell>
          <cell r="D464"/>
          <cell r="E464"/>
          <cell r="F464"/>
          <cell r="G464"/>
          <cell r="H464"/>
        </row>
        <row r="465">
          <cell r="B465">
            <v>459</v>
          </cell>
          <cell r="D465"/>
          <cell r="E465"/>
          <cell r="F465"/>
          <cell r="G465"/>
          <cell r="H465"/>
        </row>
        <row r="466">
          <cell r="B466">
            <v>460</v>
          </cell>
          <cell r="D466"/>
          <cell r="E466"/>
          <cell r="F466"/>
          <cell r="G466"/>
          <cell r="H466"/>
        </row>
        <row r="467">
          <cell r="B467">
            <v>461</v>
          </cell>
          <cell r="D467"/>
          <cell r="E467"/>
          <cell r="F467"/>
          <cell r="G467"/>
          <cell r="H467"/>
        </row>
        <row r="468">
          <cell r="B468">
            <v>462</v>
          </cell>
          <cell r="D468"/>
          <cell r="E468"/>
          <cell r="F468"/>
          <cell r="G468"/>
          <cell r="H468"/>
        </row>
        <row r="469">
          <cell r="B469">
            <v>463</v>
          </cell>
          <cell r="D469"/>
          <cell r="E469"/>
          <cell r="F469"/>
          <cell r="G469"/>
          <cell r="H469"/>
        </row>
        <row r="470">
          <cell r="B470">
            <v>464</v>
          </cell>
          <cell r="D470"/>
          <cell r="E470"/>
          <cell r="F470"/>
          <cell r="G470"/>
          <cell r="H470"/>
        </row>
        <row r="471">
          <cell r="B471">
            <v>465</v>
          </cell>
          <cell r="D471"/>
          <cell r="E471"/>
          <cell r="F471"/>
          <cell r="G471"/>
          <cell r="H471"/>
        </row>
        <row r="472">
          <cell r="B472">
            <v>466</v>
          </cell>
          <cell r="D472"/>
          <cell r="E472"/>
          <cell r="F472"/>
          <cell r="G472"/>
          <cell r="H472"/>
        </row>
        <row r="473">
          <cell r="B473">
            <v>467</v>
          </cell>
          <cell r="D473"/>
          <cell r="E473"/>
          <cell r="F473"/>
          <cell r="G473"/>
          <cell r="H473"/>
        </row>
        <row r="474">
          <cell r="B474">
            <v>468</v>
          </cell>
          <cell r="D474"/>
          <cell r="E474"/>
          <cell r="F474"/>
          <cell r="G474"/>
          <cell r="H474"/>
        </row>
        <row r="475">
          <cell r="B475">
            <v>469</v>
          </cell>
          <cell r="D475"/>
          <cell r="E475"/>
          <cell r="F475"/>
          <cell r="G475"/>
          <cell r="H475"/>
        </row>
        <row r="476">
          <cell r="B476">
            <v>470</v>
          </cell>
          <cell r="D476"/>
          <cell r="E476"/>
          <cell r="F476"/>
          <cell r="G476"/>
          <cell r="H476"/>
        </row>
        <row r="477">
          <cell r="B477">
            <v>471</v>
          </cell>
          <cell r="D477"/>
          <cell r="E477"/>
          <cell r="F477"/>
          <cell r="G477"/>
          <cell r="H477"/>
        </row>
        <row r="478">
          <cell r="B478">
            <v>472</v>
          </cell>
          <cell r="D478"/>
          <cell r="E478"/>
          <cell r="F478"/>
          <cell r="G478"/>
          <cell r="H478"/>
        </row>
        <row r="479">
          <cell r="B479">
            <v>473</v>
          </cell>
          <cell r="D479"/>
          <cell r="E479"/>
          <cell r="F479"/>
          <cell r="G479"/>
          <cell r="H479"/>
        </row>
        <row r="480">
          <cell r="B480">
            <v>474</v>
          </cell>
          <cell r="D480"/>
          <cell r="E480"/>
          <cell r="F480"/>
          <cell r="G480"/>
          <cell r="H480"/>
        </row>
        <row r="481">
          <cell r="B481">
            <v>475</v>
          </cell>
          <cell r="D481"/>
          <cell r="E481"/>
          <cell r="F481"/>
          <cell r="G481"/>
          <cell r="H481"/>
        </row>
        <row r="482">
          <cell r="B482">
            <v>476</v>
          </cell>
          <cell r="D482"/>
          <cell r="E482"/>
          <cell r="F482"/>
          <cell r="G482"/>
          <cell r="H482"/>
        </row>
        <row r="483">
          <cell r="B483">
            <v>477</v>
          </cell>
          <cell r="D483"/>
          <cell r="E483"/>
          <cell r="F483"/>
          <cell r="G483"/>
          <cell r="H483"/>
        </row>
        <row r="484">
          <cell r="B484">
            <v>478</v>
          </cell>
          <cell r="D484"/>
          <cell r="E484"/>
          <cell r="F484"/>
          <cell r="G484"/>
          <cell r="H484"/>
        </row>
        <row r="485">
          <cell r="B485">
            <v>479</v>
          </cell>
          <cell r="D485"/>
          <cell r="E485"/>
          <cell r="F485"/>
          <cell r="G485"/>
          <cell r="H485"/>
        </row>
        <row r="486">
          <cell r="B486">
            <v>480</v>
          </cell>
          <cell r="D486"/>
          <cell r="E486"/>
          <cell r="F486"/>
          <cell r="G486"/>
          <cell r="H486"/>
        </row>
        <row r="487">
          <cell r="B487">
            <v>481</v>
          </cell>
          <cell r="D487"/>
          <cell r="E487"/>
          <cell r="F487"/>
          <cell r="G487"/>
          <cell r="H487"/>
        </row>
        <row r="488">
          <cell r="B488">
            <v>482</v>
          </cell>
          <cell r="D488"/>
          <cell r="E488"/>
          <cell r="F488"/>
          <cell r="G488"/>
          <cell r="H488"/>
        </row>
        <row r="489">
          <cell r="B489">
            <v>483</v>
          </cell>
          <cell r="D489"/>
          <cell r="E489"/>
          <cell r="F489"/>
          <cell r="G489"/>
          <cell r="H489"/>
        </row>
        <row r="490">
          <cell r="B490">
            <v>484</v>
          </cell>
          <cell r="D490"/>
          <cell r="E490"/>
          <cell r="F490"/>
          <cell r="G490"/>
          <cell r="H490"/>
        </row>
        <row r="491">
          <cell r="B491">
            <v>485</v>
          </cell>
          <cell r="D491"/>
          <cell r="E491"/>
          <cell r="F491"/>
          <cell r="G491"/>
          <cell r="H491"/>
        </row>
        <row r="492">
          <cell r="B492">
            <v>486</v>
          </cell>
          <cell r="D492"/>
          <cell r="E492"/>
          <cell r="F492"/>
          <cell r="G492"/>
          <cell r="H492"/>
        </row>
        <row r="493">
          <cell r="B493">
            <v>487</v>
          </cell>
          <cell r="D493"/>
          <cell r="E493"/>
          <cell r="F493"/>
          <cell r="G493"/>
          <cell r="H493"/>
        </row>
        <row r="494">
          <cell r="B494">
            <v>488</v>
          </cell>
          <cell r="D494"/>
          <cell r="E494"/>
          <cell r="F494"/>
          <cell r="G494"/>
          <cell r="H494"/>
        </row>
        <row r="495">
          <cell r="B495">
            <v>489</v>
          </cell>
          <cell r="D495"/>
          <cell r="E495"/>
          <cell r="F495"/>
          <cell r="G495"/>
          <cell r="H495"/>
        </row>
        <row r="496">
          <cell r="B496">
            <v>490</v>
          </cell>
          <cell r="D496"/>
          <cell r="E496"/>
          <cell r="F496"/>
          <cell r="G496"/>
          <cell r="H496"/>
        </row>
        <row r="497">
          <cell r="B497">
            <v>491</v>
          </cell>
          <cell r="D497"/>
          <cell r="E497"/>
          <cell r="F497"/>
          <cell r="G497"/>
          <cell r="H497"/>
        </row>
        <row r="498">
          <cell r="B498">
            <v>492</v>
          </cell>
          <cell r="D498"/>
          <cell r="E498"/>
          <cell r="F498"/>
          <cell r="G498"/>
          <cell r="H498"/>
        </row>
        <row r="499">
          <cell r="B499">
            <v>493</v>
          </cell>
          <cell r="D499"/>
          <cell r="E499"/>
          <cell r="F499"/>
          <cell r="G499"/>
          <cell r="H499"/>
        </row>
        <row r="500">
          <cell r="B500">
            <v>494</v>
          </cell>
          <cell r="D500"/>
          <cell r="E500"/>
          <cell r="F500"/>
          <cell r="G500"/>
          <cell r="H500"/>
        </row>
        <row r="501">
          <cell r="B501">
            <v>495</v>
          </cell>
          <cell r="D501"/>
          <cell r="E501"/>
          <cell r="F501"/>
          <cell r="G501"/>
          <cell r="H501"/>
        </row>
        <row r="502">
          <cell r="B502">
            <v>496</v>
          </cell>
          <cell r="D502"/>
          <cell r="E502"/>
          <cell r="F502"/>
          <cell r="G502"/>
          <cell r="H502"/>
        </row>
        <row r="503">
          <cell r="B503">
            <v>497</v>
          </cell>
          <cell r="D503"/>
          <cell r="E503"/>
          <cell r="F503"/>
          <cell r="G503"/>
          <cell r="H503"/>
        </row>
        <row r="504">
          <cell r="B504">
            <v>498</v>
          </cell>
          <cell r="D504"/>
          <cell r="E504"/>
          <cell r="F504"/>
          <cell r="G504"/>
          <cell r="H504"/>
        </row>
        <row r="505">
          <cell r="B505">
            <v>499</v>
          </cell>
          <cell r="D505"/>
          <cell r="E505"/>
          <cell r="F505"/>
          <cell r="G505"/>
          <cell r="H505"/>
        </row>
        <row r="506">
          <cell r="B506">
            <v>500</v>
          </cell>
          <cell r="D506"/>
          <cell r="E506"/>
          <cell r="F506"/>
          <cell r="G506"/>
          <cell r="H506"/>
        </row>
      </sheetData>
      <sheetData sheetId="10"/>
      <sheetData sheetId="11"/>
      <sheetData sheetId="12"/>
      <sheetData sheetId="13"/>
      <sheetData sheetId="14"/>
      <sheetData sheetId="15"/>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F099B96-CD6D-45CB-B349-229E3CC20922}" autoFormatId="16" applyNumberFormats="0" applyBorderFormats="0" applyFontFormats="0" applyPatternFormats="0" applyAlignmentFormats="0" applyWidthHeightFormats="0">
  <queryTableRefresh nextId="36">
    <queryTableFields count="21">
      <queryTableField id="1" name="Sl." tableColumnId="1"/>
      <queryTableField id="2" name="Pr. Code" tableColumnId="2"/>
      <queryTableField id="3" name="Pr. Name" tableColumnId="3"/>
      <queryTableField id="15" dataBound="0" tableColumnId="15"/>
      <queryTableField id="4" name="Section" tableColumnId="4"/>
      <queryTableField id="5" name="Single/Group" tableColumnId="5"/>
      <queryTableField id="6" name="Stage/Non-stage" tableColumnId="6"/>
      <queryTableField id="7" name="Candi. Limit" tableColumnId="7"/>
      <queryTableField id="8" name="Position" tableColumnId="8"/>
      <queryTableField id="9" name="Grade" tableColumnId="9"/>
      <queryTableField id="10" name="Time limit" tableColumnId="10"/>
      <queryTableField id="11" name="Date" tableColumnId="11"/>
      <queryTableField id="12" name="Start" tableColumnId="12"/>
      <queryTableField id="13" name="End" tableColumnId="13"/>
      <queryTableField id="20" name="Venue" tableColumnId="17"/>
      <queryTableField id="17" name="Subject" tableColumnId="16"/>
      <queryTableField id="24" name="JUDGE 1" tableColumnId="18"/>
      <queryTableField id="25" name="JUDGE 2" tableColumnId="19"/>
      <queryTableField id="26" name="JUDGE 3" tableColumnId="20"/>
      <queryTableField id="32" name="JUDGE 4" tableColumnId="23"/>
      <queryTableField id="14" name="Concept Note" tableColumnId="1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 xr10:uid="{ABE5CD66-4DDF-423A-A324-5C6717211F3F}" sourceName="Section">
  <extLst>
    <x:ext xmlns:x15="http://schemas.microsoft.com/office/spreadsheetml/2010/11/main" uri="{2F2917AC-EB37-4324-AD4E-5DD8C200BD13}">
      <x15:tableSlicerCache tableId="2"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ngle_Group" xr10:uid="{BE9F4792-6CF0-4D78-95D8-D9F84375DC58}" sourceName="Single/Group">
  <extLst>
    <x:ext xmlns:x15="http://schemas.microsoft.com/office/spreadsheetml/2010/11/main" uri="{2F2917AC-EB37-4324-AD4E-5DD8C200BD13}">
      <x15:tableSlicerCache tableId="2" column="5"/>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5F51C33-0BF1-4E6C-8D76-E1C29B4D8876}" sourceName="Date">
  <extLst>
    <x:ext xmlns:x15="http://schemas.microsoft.com/office/spreadsheetml/2010/11/main" uri="{2F2917AC-EB37-4324-AD4E-5DD8C200BD13}">
      <x15:tableSlicerCache tableId="2" column="1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_Non_stage" xr10:uid="{50314C12-F1FB-458C-9FC9-797C4720B547}" sourceName="Stage/Non-stage">
  <extLst>
    <x:ext xmlns:x15="http://schemas.microsoft.com/office/spreadsheetml/2010/11/main" uri="{2F2917AC-EB37-4324-AD4E-5DD8C200BD13}">
      <x15:tableSlicerCache tableId="2"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xr10:uid="{8DEB7F77-C419-4112-9E25-4EE67BCD1AFD}" cache="Slicer_Section" caption="Section" rowHeight="241300"/>
  <slicer name="Single/Group" xr10:uid="{5EF594D3-6D94-4E64-B98D-26F3C5549F03}" cache="Slicer_Single_Group" caption="Single/Group" rowHeight="241300"/>
  <slicer name="Date" xr10:uid="{DA986D89-EF11-4949-8DAF-C7FE183DFEF4}" cache="Slicer_Date" caption="Date" columnCount="2" rowHeight="241300"/>
  <slicer name="Stage/Non-stage" xr10:uid="{59006CB1-C1D1-4386-88CF-543CCDA324B4}" cache="Slicer_Stage_Non_stage" caption="Stage/Non-stag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30F56CF-BE58-4BC6-9B49-2AD4A98FC8CA}" name="tbl_programList" displayName="tbl_programList" ref="A2:U209" tableType="queryTable" totalsRowShown="0">
  <autoFilter ref="A2:U209" xr:uid="{A30F56CF-BE58-4BC6-9B49-2AD4A98FC8CA}">
    <filterColumn colId="6">
      <filters>
        <filter val="Stage"/>
      </filters>
    </filterColumn>
    <filterColumn colId="11">
      <filters>
        <dateGroupItem year="2023" month="10" day="28" dateTimeGrouping="day"/>
      </filters>
    </filterColumn>
  </autoFilter>
  <sortState xmlns:xlrd2="http://schemas.microsoft.com/office/spreadsheetml/2017/richdata2" ref="A3:U209">
    <sortCondition ref="M2:M209"/>
  </sortState>
  <tableColumns count="21">
    <tableColumn id="1" xr3:uid="{CACF03B1-6B10-4243-852B-C3CCB0AD5E5A}" uniqueName="1" name="Sl." queryTableFieldId="1"/>
    <tableColumn id="2" xr3:uid="{B472A2A0-A2E8-46C7-8B34-4C4B2D55E817}" uniqueName="2" name="Pr. Code" queryTableFieldId="2" dataDxfId="13"/>
    <tableColumn id="3" xr3:uid="{38ECB048-5258-4F9C-9DA2-116A2A9D773B}" uniqueName="3" name="Pr. Name" queryTableFieldId="3" dataDxfId="12"/>
    <tableColumn id="15" xr3:uid="{5039B6CE-96C3-40BA-B302-65C6DA2D076D}" uniqueName="15" name="PRINTED JUDGE SHEET" queryTableFieldId="15" dataDxfId="11"/>
    <tableColumn id="4" xr3:uid="{E943518A-32C7-4BE9-A5F9-B68CBEF81F4F}" uniqueName="4" name="Section" queryTableFieldId="4" dataDxfId="10"/>
    <tableColumn id="5" xr3:uid="{9C8074D1-BBAF-4F8A-92B0-A2B04F84DD4E}" uniqueName="5" name="Single/Group" queryTableFieldId="5" dataDxfId="9"/>
    <tableColumn id="6" xr3:uid="{3E14C05E-2880-4799-9195-4C7CCCB22290}" uniqueName="6" name="Stage/Non-stage" queryTableFieldId="6" dataDxfId="8"/>
    <tableColumn id="7" xr3:uid="{458CD5AE-2248-4562-8BF4-A2E7F87C5C31}" uniqueName="7" name="Candi. Limit" queryTableFieldId="7"/>
    <tableColumn id="8" xr3:uid="{A0E8737A-1565-4842-8009-04D7EF889DC7}" uniqueName="8" name="Position" queryTableFieldId="8" dataDxfId="7"/>
    <tableColumn id="9" xr3:uid="{442F4194-1862-4278-A310-1564B18D48CD}" uniqueName="9" name="Grade" queryTableFieldId="9" dataDxfId="6"/>
    <tableColumn id="10" xr3:uid="{7FE17A79-E1A4-44A7-83CE-F24601EA8AE9}" uniqueName="10" name="Time limit" queryTableFieldId="10" dataDxfId="5"/>
    <tableColumn id="11" xr3:uid="{02C2C9D6-7043-4030-A521-03145E2FA3FA}" uniqueName="11" name="Date" queryTableFieldId="11" dataDxfId="4"/>
    <tableColumn id="12" xr3:uid="{0F8A987A-E6ED-4A8D-BF31-BF0D2ACC27E8}" uniqueName="12" name="Start" queryTableFieldId="12" dataDxfId="3"/>
    <tableColumn id="13" xr3:uid="{59BBF2A0-9B3D-4528-B729-01D272F41AAE}" uniqueName="13" name="End" queryTableFieldId="13" dataDxfId="2"/>
    <tableColumn id="17" xr3:uid="{36421870-6E66-4838-8CDF-69EF0EB451ED}" uniqueName="17" name="Venue" queryTableFieldId="20" dataDxfId="1"/>
    <tableColumn id="16" xr3:uid="{BDAD51E9-BA9A-41A2-8188-84E968A685A3}" uniqueName="16" name="Subject" queryTableFieldId="17" dataDxfId="0"/>
    <tableColumn id="18" xr3:uid="{865988C6-4AAA-4883-AC71-3F569DEFF72C}" uniqueName="18" name="JUDGE 1" queryTableFieldId="24"/>
    <tableColumn id="19" xr3:uid="{58EC3CFB-A79E-4870-8A60-029F67D1A775}" uniqueName="19" name="JUDGE 2" queryTableFieldId="25"/>
    <tableColumn id="20" xr3:uid="{8952F4DB-AA47-4A48-909C-3E52799569A5}" uniqueName="20" name="JUDGE 3" queryTableFieldId="26"/>
    <tableColumn id="23" xr3:uid="{5F4F75AE-65AA-430E-911F-EC419383AA34}" uniqueName="23" name="JUDGE 4" queryTableFieldId="32"/>
    <tableColumn id="14" xr3:uid="{143088F5-70F7-42CB-B254-222D41313625}" uniqueName="14" name="Concept Note" queryTableField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0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3EE74E1-DFB8-4F8D-914B-E5BC4DAF9592}">
  <we:reference id="wa200001584" version="2.8.1.5" store="en-US" storeType="OMEX"/>
  <we:alternateReferences>
    <we:reference id="wa200001584" version="2.8.1.5" store="WA200001584"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EB535-DB4C-4218-90AF-124F9B1F62B5}">
  <sheetPr codeName="Sheet1"/>
  <dimension ref="A1:NG506"/>
  <sheetViews>
    <sheetView zoomScale="70" zoomScaleNormal="70" workbookViewId="0">
      <selection activeCell="E3" sqref="E3:E62"/>
    </sheetView>
  </sheetViews>
  <sheetFormatPr defaultRowHeight="25.5" x14ac:dyDescent="0.45"/>
  <cols>
    <col min="1" max="1" width="39.59765625" customWidth="1"/>
    <col min="2" max="2" width="3.59765625" style="4" customWidth="1"/>
    <col min="3" max="3" width="20" customWidth="1"/>
    <col min="4" max="4" width="3.59765625" style="5" customWidth="1"/>
    <col min="5" max="38" width="12" customWidth="1"/>
    <col min="39" max="39" width="11.1328125" customWidth="1"/>
    <col min="40" max="40" width="4.265625" style="5" customWidth="1"/>
    <col min="42" max="42" width="34.3984375" bestFit="1" customWidth="1"/>
    <col min="44" max="44" width="12.1328125" bestFit="1" customWidth="1"/>
    <col min="51" max="51" width="4" style="5" customWidth="1"/>
    <col min="53" max="53" width="26" bestFit="1" customWidth="1"/>
    <col min="54" max="54" width="12.1328125" bestFit="1" customWidth="1"/>
    <col min="58" max="58" width="10.86328125" customWidth="1"/>
    <col min="59" max="59" width="10" customWidth="1"/>
    <col min="61" max="61" width="15.265625" customWidth="1"/>
    <col min="62" max="62" width="4" style="5" customWidth="1"/>
    <col min="64" max="64" width="27" bestFit="1" customWidth="1"/>
    <col min="370" max="370" width="4.265625" style="5" customWidth="1"/>
    <col min="373" max="373" width="30.1328125" bestFit="1" customWidth="1"/>
  </cols>
  <sheetData>
    <row r="1" spans="1:371" s="3" customFormat="1" ht="69.400000000000006" customHeight="1" x14ac:dyDescent="0.45">
      <c r="A1" s="3" t="s">
        <v>0</v>
      </c>
      <c r="B1" s="4"/>
      <c r="C1" s="2" t="s">
        <v>1</v>
      </c>
      <c r="D1" s="4"/>
      <c r="E1" s="97" t="s">
        <v>2</v>
      </c>
      <c r="F1" s="97"/>
      <c r="G1" s="97"/>
      <c r="H1" s="97"/>
      <c r="I1" s="97"/>
      <c r="J1" s="97"/>
      <c r="K1" s="97"/>
      <c r="L1" s="97"/>
      <c r="M1" s="97"/>
      <c r="N1" s="97"/>
      <c r="O1" s="97"/>
      <c r="P1" s="97"/>
      <c r="Q1" s="97"/>
      <c r="R1" s="97"/>
      <c r="S1" s="97"/>
      <c r="T1" s="97"/>
      <c r="U1" s="97"/>
      <c r="V1" s="97"/>
      <c r="W1" s="97"/>
      <c r="X1" s="2"/>
      <c r="Y1" s="2"/>
      <c r="Z1" s="2"/>
      <c r="AA1" s="2"/>
      <c r="AB1" s="2"/>
      <c r="AC1" s="2"/>
      <c r="AD1" s="2"/>
      <c r="AE1" s="2"/>
      <c r="AF1" s="2"/>
      <c r="AG1" s="2"/>
      <c r="AH1" s="2"/>
      <c r="AI1" s="2"/>
      <c r="AN1" s="4"/>
      <c r="AO1" s="96" t="s">
        <v>3</v>
      </c>
      <c r="AP1" s="96"/>
      <c r="AQ1" s="96"/>
      <c r="AR1" s="96"/>
      <c r="AS1" s="96"/>
      <c r="AT1" s="96"/>
      <c r="AU1" s="96"/>
      <c r="AV1" s="96"/>
      <c r="AW1" s="96"/>
      <c r="AX1" s="96"/>
      <c r="AY1" s="4"/>
      <c r="AZ1" s="96" t="s">
        <v>4</v>
      </c>
      <c r="BA1" s="96"/>
      <c r="BB1" s="96"/>
      <c r="BC1" s="96"/>
      <c r="BD1" s="96"/>
      <c r="BE1" s="96"/>
      <c r="BF1" s="96"/>
      <c r="BG1" s="96"/>
      <c r="BH1" s="96"/>
      <c r="BI1" s="96"/>
      <c r="BJ1" s="4"/>
      <c r="BK1" s="97" t="str">
        <f>REPT("-----                            CANDIDATE PROGRAMS                              ------",50)</f>
        <v>-----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v>
      </c>
      <c r="BL1" s="97"/>
      <c r="BM1" s="97"/>
      <c r="BN1" s="97"/>
      <c r="BO1" s="97"/>
      <c r="BP1" s="97"/>
      <c r="BQ1" s="97"/>
      <c r="BR1" s="97"/>
      <c r="BS1" s="97"/>
      <c r="BT1" s="97"/>
      <c r="BU1" s="97"/>
      <c r="BV1" s="97"/>
      <c r="BW1" s="97"/>
      <c r="BX1" s="97"/>
      <c r="BY1" s="97"/>
      <c r="BZ1" s="97"/>
      <c r="CA1" s="97"/>
      <c r="CB1" s="97"/>
      <c r="CC1" s="97"/>
      <c r="CD1" s="97"/>
      <c r="CE1" s="97"/>
      <c r="CF1" s="97"/>
      <c r="CG1" s="97"/>
      <c r="CH1" s="97"/>
      <c r="CI1" s="97"/>
      <c r="CJ1" s="97"/>
      <c r="CK1" s="97"/>
      <c r="CL1" s="97"/>
      <c r="CM1" s="97"/>
      <c r="CN1" s="97"/>
      <c r="CO1" s="97"/>
      <c r="CP1" s="97"/>
      <c r="CQ1" s="97"/>
      <c r="CR1" s="97"/>
      <c r="CS1" s="97"/>
      <c r="CT1" s="97"/>
      <c r="CU1" s="97"/>
      <c r="CV1" s="97"/>
      <c r="CW1" s="97"/>
      <c r="CX1" s="97"/>
      <c r="CY1" s="97"/>
      <c r="CZ1" s="97"/>
      <c r="DA1" s="97"/>
      <c r="DB1" s="97"/>
      <c r="DC1" s="97"/>
      <c r="DD1" s="97"/>
      <c r="DE1" s="97"/>
      <c r="DF1" s="97"/>
      <c r="DG1" s="97"/>
      <c r="DH1" s="97"/>
      <c r="DI1" s="97"/>
      <c r="DJ1" s="97"/>
      <c r="DK1" s="97"/>
      <c r="DL1" s="97"/>
      <c r="DM1" s="97"/>
      <c r="DN1" s="97"/>
      <c r="DO1" s="97"/>
      <c r="DP1" s="97"/>
      <c r="DQ1" s="97"/>
      <c r="DR1" s="97"/>
      <c r="DS1" s="97"/>
      <c r="DT1" s="97"/>
      <c r="DU1" s="97"/>
      <c r="DV1" s="97"/>
      <c r="DW1" s="97"/>
      <c r="DX1" s="97"/>
      <c r="DY1" s="97"/>
      <c r="DZ1" s="97"/>
      <c r="EA1" s="97"/>
      <c r="EB1" s="97"/>
      <c r="EC1" s="97"/>
      <c r="ED1" s="97"/>
      <c r="EE1" s="97"/>
      <c r="EF1" s="97"/>
      <c r="EG1" s="97"/>
      <c r="EH1" s="97"/>
      <c r="EI1" s="97"/>
      <c r="EJ1" s="97"/>
      <c r="EK1" s="97"/>
      <c r="EL1" s="97"/>
      <c r="EM1" s="97"/>
      <c r="EN1" s="97"/>
      <c r="EO1" s="97"/>
      <c r="EP1" s="97"/>
      <c r="EQ1" s="97"/>
      <c r="ER1" s="97"/>
      <c r="ES1" s="97"/>
      <c r="ET1" s="97"/>
      <c r="EU1" s="97"/>
      <c r="EV1" s="97"/>
      <c r="EW1" s="97"/>
      <c r="EX1" s="97"/>
      <c r="EY1" s="97"/>
      <c r="EZ1" s="97"/>
      <c r="FA1" s="97"/>
      <c r="FB1" s="97"/>
      <c r="FC1" s="97"/>
      <c r="FD1" s="97"/>
      <c r="FE1" s="97"/>
      <c r="FF1" s="97"/>
      <c r="FG1" s="97"/>
      <c r="FH1" s="97"/>
      <c r="FI1" s="97"/>
      <c r="FJ1" s="97"/>
      <c r="FK1" s="97"/>
      <c r="FL1" s="97"/>
      <c r="FM1" s="97"/>
      <c r="FN1" s="97"/>
      <c r="FO1" s="97"/>
      <c r="FP1" s="97"/>
      <c r="FQ1" s="97"/>
      <c r="FR1" s="97"/>
      <c r="FS1" s="97"/>
      <c r="FT1" s="97"/>
      <c r="FU1" s="97"/>
      <c r="FV1" s="97"/>
      <c r="FW1" s="97"/>
      <c r="FX1" s="97"/>
      <c r="FY1" s="97"/>
      <c r="FZ1" s="97"/>
      <c r="GA1" s="97"/>
      <c r="GB1" s="97"/>
      <c r="GC1" s="97"/>
      <c r="GD1" s="97"/>
      <c r="GE1" s="97"/>
      <c r="GF1" s="97"/>
      <c r="GG1" s="97"/>
      <c r="GH1" s="97"/>
      <c r="GI1" s="97"/>
      <c r="GJ1" s="97"/>
      <c r="GK1" s="97"/>
      <c r="GL1" s="97"/>
      <c r="GM1" s="97"/>
      <c r="GN1" s="97"/>
      <c r="GO1" s="97"/>
      <c r="GP1" s="97"/>
      <c r="GQ1" s="97"/>
      <c r="GR1" s="97"/>
      <c r="GS1" s="97"/>
      <c r="GT1" s="97"/>
      <c r="GU1" s="97"/>
      <c r="GV1" s="97"/>
      <c r="GW1" s="97"/>
      <c r="GX1" s="97"/>
      <c r="GY1" s="97"/>
      <c r="GZ1" s="97"/>
      <c r="HA1" s="97"/>
      <c r="HB1" s="97"/>
      <c r="HC1" s="97"/>
      <c r="HD1" s="97"/>
      <c r="HE1" s="97"/>
      <c r="HF1" s="97"/>
      <c r="HG1" s="97"/>
      <c r="HH1" s="97"/>
      <c r="HI1" s="97"/>
      <c r="HJ1" s="97"/>
      <c r="HK1" s="97"/>
      <c r="HL1" s="97"/>
      <c r="HM1" s="97"/>
      <c r="HN1" s="97"/>
      <c r="HO1" s="97"/>
      <c r="HP1" s="97"/>
      <c r="HQ1" s="97"/>
      <c r="HR1" s="97"/>
      <c r="HS1" s="97"/>
      <c r="HT1" s="97"/>
      <c r="HU1" s="97"/>
      <c r="HV1" s="97"/>
      <c r="HW1" s="97"/>
      <c r="HX1" s="97"/>
      <c r="HY1" s="97"/>
      <c r="HZ1" s="97"/>
      <c r="IA1" s="97"/>
      <c r="IB1" s="97"/>
      <c r="IC1" s="97"/>
      <c r="ID1" s="97"/>
      <c r="IE1" s="97"/>
      <c r="IF1" s="97"/>
      <c r="IG1" s="97"/>
      <c r="IH1" s="97"/>
      <c r="II1" s="97"/>
      <c r="IJ1" s="97"/>
      <c r="IK1" s="97"/>
      <c r="IL1" s="97"/>
      <c r="IM1" s="97"/>
      <c r="IN1" s="97"/>
      <c r="IO1" s="97"/>
      <c r="IP1" s="97"/>
      <c r="IQ1" s="97"/>
      <c r="IR1" s="97"/>
      <c r="IS1" s="97"/>
      <c r="IT1" s="97"/>
      <c r="IU1" s="97"/>
      <c r="IV1" s="97"/>
      <c r="IW1" s="97"/>
      <c r="IX1" s="97"/>
      <c r="IY1" s="97"/>
      <c r="IZ1" s="97"/>
      <c r="JA1" s="97"/>
      <c r="JB1" s="97"/>
      <c r="JC1" s="97"/>
      <c r="JD1" s="97"/>
      <c r="JE1" s="97"/>
      <c r="JF1" s="97"/>
      <c r="JG1" s="97"/>
      <c r="JH1" s="97"/>
      <c r="JI1" s="97"/>
      <c r="JJ1" s="97"/>
      <c r="JK1" s="97"/>
      <c r="JL1" s="97"/>
      <c r="JM1" s="97"/>
      <c r="JN1" s="97"/>
      <c r="JO1" s="97"/>
      <c r="JP1" s="97"/>
      <c r="JQ1" s="97"/>
      <c r="JR1" s="97"/>
      <c r="JS1" s="97"/>
      <c r="JT1" s="97"/>
      <c r="JU1" s="97"/>
      <c r="JV1" s="97"/>
      <c r="JW1" s="97"/>
      <c r="JX1" s="97"/>
      <c r="JY1" s="97"/>
      <c r="JZ1" s="97"/>
      <c r="KA1" s="97"/>
      <c r="KB1" s="97"/>
      <c r="KC1" s="97"/>
      <c r="KD1" s="97"/>
      <c r="KE1" s="97"/>
      <c r="KF1" s="97"/>
      <c r="KG1" s="97"/>
      <c r="KH1" s="97"/>
      <c r="KI1" s="97"/>
      <c r="KJ1" s="97"/>
      <c r="KK1" s="97"/>
      <c r="KL1" s="97"/>
      <c r="KM1" s="97"/>
      <c r="KN1" s="97"/>
      <c r="KO1" s="97"/>
      <c r="KP1" s="97"/>
      <c r="KQ1" s="97"/>
      <c r="KR1" s="97"/>
      <c r="KS1" s="97"/>
      <c r="KT1" s="97"/>
      <c r="KU1" s="97"/>
      <c r="KV1" s="97"/>
      <c r="KW1" s="97"/>
      <c r="KX1" s="97"/>
      <c r="KY1" s="97"/>
      <c r="KZ1" s="97"/>
      <c r="LA1" s="97"/>
      <c r="LB1" s="97"/>
      <c r="LC1" s="97"/>
      <c r="LD1" s="97"/>
      <c r="LE1" s="97"/>
      <c r="LF1" s="97"/>
      <c r="LG1" s="97"/>
      <c r="LH1" s="97"/>
      <c r="LI1" s="97"/>
      <c r="LJ1" s="97"/>
      <c r="LK1" s="97"/>
      <c r="LL1" s="97"/>
      <c r="LM1" s="97"/>
      <c r="LN1" s="97"/>
      <c r="LO1" s="97"/>
      <c r="LP1" s="97"/>
      <c r="LQ1" s="97"/>
      <c r="LR1" s="97"/>
      <c r="LS1" s="97"/>
      <c r="LT1" s="97"/>
      <c r="LU1" s="97"/>
      <c r="LV1" s="97"/>
      <c r="LW1" s="97"/>
      <c r="LX1" s="97"/>
      <c r="LY1" s="97"/>
      <c r="LZ1" s="97"/>
      <c r="MA1" s="97"/>
      <c r="MB1" s="97"/>
      <c r="MC1" s="97"/>
      <c r="MD1" s="97"/>
      <c r="ME1" s="97"/>
      <c r="MF1" s="97"/>
      <c r="MG1" s="97"/>
      <c r="MH1" s="97"/>
      <c r="MI1" s="97"/>
      <c r="MJ1" s="97"/>
      <c r="MK1" s="97"/>
      <c r="ML1" s="97"/>
      <c r="MM1" s="97"/>
      <c r="MN1" s="97"/>
      <c r="MO1" s="97"/>
      <c r="MP1" s="97"/>
      <c r="MQ1" s="97"/>
      <c r="MR1" s="97"/>
      <c r="MS1" s="97"/>
      <c r="MT1" s="97"/>
      <c r="MU1" s="97"/>
      <c r="MV1" s="97"/>
      <c r="MW1" s="97"/>
      <c r="MX1" s="97"/>
      <c r="MY1" s="97"/>
      <c r="MZ1" s="97"/>
      <c r="NA1" s="97"/>
      <c r="NB1" s="97"/>
      <c r="NC1" s="97"/>
      <c r="ND1" s="97"/>
      <c r="NF1" s="4"/>
    </row>
    <row r="2" spans="1:371" s="3" customFormat="1" ht="39.75" customHeight="1" x14ac:dyDescent="0.45">
      <c r="A2" s="3" t="s">
        <v>5</v>
      </c>
      <c r="B2" s="4"/>
      <c r="C2" s="2"/>
      <c r="D2" s="4"/>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N2" s="4"/>
      <c r="AO2" s="2"/>
      <c r="AP2" s="2"/>
      <c r="AQ2" s="2"/>
      <c r="AR2" s="2"/>
      <c r="AS2" s="2"/>
      <c r="AT2" s="2"/>
      <c r="AU2" s="2"/>
      <c r="AV2" s="2"/>
      <c r="AW2" s="2"/>
      <c r="AX2" s="2"/>
      <c r="AY2" s="4"/>
      <c r="AZ2" s="2"/>
      <c r="BA2" s="2"/>
      <c r="BB2" s="2"/>
      <c r="BC2" s="2"/>
      <c r="BD2" s="2"/>
      <c r="BE2" s="2"/>
      <c r="BF2" s="2"/>
      <c r="BG2" s="2"/>
      <c r="BH2" s="2"/>
      <c r="BI2" s="2"/>
      <c r="BJ2" s="4"/>
      <c r="BK2" t="str" cm="1">
        <f t="array" ref="BK2:NE506">'[1]PROGRAM REGI.'!$B$2:$KV$506</f>
        <v>🔓</v>
      </c>
      <c r="BL2" s="3" t="str">
        <v>Program</v>
      </c>
      <c r="BM2" s="3">
        <v>0</v>
      </c>
      <c r="BN2" s="3">
        <v>0</v>
      </c>
      <c r="BO2" s="3">
        <v>0</v>
      </c>
      <c r="BP2" s="3">
        <v>0</v>
      </c>
      <c r="BQ2" s="3">
        <v>0</v>
      </c>
      <c r="BR2" s="3">
        <v>1</v>
      </c>
      <c r="BS2" s="3">
        <v>2</v>
      </c>
      <c r="BT2" s="3">
        <v>3</v>
      </c>
      <c r="BU2" s="3">
        <v>4</v>
      </c>
      <c r="BV2" s="3">
        <v>5</v>
      </c>
      <c r="BW2" s="3">
        <v>6</v>
      </c>
      <c r="BX2" s="3">
        <v>7</v>
      </c>
      <c r="BY2" s="3">
        <v>1</v>
      </c>
      <c r="BZ2" s="3">
        <v>2</v>
      </c>
      <c r="CA2" s="3">
        <v>3</v>
      </c>
      <c r="CB2" s="3">
        <v>4</v>
      </c>
      <c r="CC2" s="3">
        <v>5</v>
      </c>
      <c r="CD2" s="3">
        <v>6</v>
      </c>
      <c r="CE2" s="3">
        <v>7</v>
      </c>
      <c r="CF2" s="3">
        <v>1</v>
      </c>
      <c r="CG2" s="3">
        <v>2</v>
      </c>
      <c r="CH2" s="3">
        <v>3</v>
      </c>
      <c r="CI2" s="3">
        <v>4</v>
      </c>
      <c r="CJ2" s="3">
        <v>5</v>
      </c>
      <c r="CK2" s="3">
        <v>6</v>
      </c>
      <c r="CL2" s="3">
        <v>7</v>
      </c>
      <c r="CM2" s="3">
        <v>1</v>
      </c>
      <c r="CN2" s="3">
        <v>2</v>
      </c>
      <c r="CO2" s="3">
        <v>3</v>
      </c>
      <c r="CP2" s="3">
        <v>4</v>
      </c>
      <c r="CQ2" s="3">
        <v>5</v>
      </c>
      <c r="CR2" s="3">
        <v>6</v>
      </c>
      <c r="CS2" s="3">
        <v>7</v>
      </c>
      <c r="CT2" s="3" t="e">
        <v>#REF!</v>
      </c>
      <c r="CU2" s="3" t="e">
        <v>#REF!</v>
      </c>
      <c r="CV2" s="3" t="e">
        <v>#REF!</v>
      </c>
      <c r="CW2" s="3" t="e">
        <v>#REF!</v>
      </c>
      <c r="CX2" s="3" t="e">
        <v>#REF!</v>
      </c>
      <c r="CY2" s="3" t="e">
        <v>#REF!</v>
      </c>
      <c r="CZ2" s="3" t="e">
        <v>#REF!</v>
      </c>
      <c r="DA2" s="3" t="e">
        <v>#REF!</v>
      </c>
      <c r="DB2" s="3" t="e">
        <v>#REF!</v>
      </c>
      <c r="DC2" s="3" t="e">
        <v>#REF!</v>
      </c>
      <c r="DD2" s="3" t="e">
        <v>#REF!</v>
      </c>
      <c r="DE2" s="3" t="e">
        <v>#REF!</v>
      </c>
      <c r="DF2" s="3" t="e">
        <v>#REF!</v>
      </c>
      <c r="DG2" s="3" t="e">
        <v>#REF!</v>
      </c>
      <c r="DH2" s="3" t="e">
        <v>#REF!</v>
      </c>
      <c r="DI2" s="3" t="e">
        <v>#REF!</v>
      </c>
      <c r="DJ2" s="3" t="e">
        <v>#REF!</v>
      </c>
      <c r="DK2" s="3" t="e">
        <v>#REF!</v>
      </c>
      <c r="DL2" s="3" t="e">
        <v>#REF!</v>
      </c>
      <c r="DM2" s="3" t="e">
        <v>#REF!</v>
      </c>
      <c r="DN2" s="3" t="e">
        <v>#REF!</v>
      </c>
      <c r="DO2" s="3" t="e">
        <v>#REF!</v>
      </c>
      <c r="DP2" s="3" t="e">
        <v>#REF!</v>
      </c>
      <c r="DQ2" s="3" t="e">
        <v>#REF!</v>
      </c>
      <c r="DR2" s="3" t="e">
        <v>#REF!</v>
      </c>
      <c r="DS2" s="3" t="e">
        <v>#REF!</v>
      </c>
      <c r="DT2" s="3" t="e">
        <v>#REF!</v>
      </c>
      <c r="DU2" s="3" t="e">
        <v>#REF!</v>
      </c>
      <c r="DV2" s="3" t="e">
        <v>#REF!</v>
      </c>
      <c r="DW2" s="3" t="e">
        <v>#REF!</v>
      </c>
      <c r="DX2" s="3" t="e">
        <v>#REF!</v>
      </c>
      <c r="DY2" s="3" t="e">
        <v>#REF!</v>
      </c>
      <c r="DZ2" s="3" t="e">
        <v>#REF!</v>
      </c>
      <c r="EA2" s="3" t="e">
        <v>#REF!</v>
      </c>
      <c r="EB2" s="3" t="e">
        <v>#REF!</v>
      </c>
      <c r="EC2" s="3" t="e">
        <v>#REF!</v>
      </c>
      <c r="ED2" s="3" t="e">
        <v>#REF!</v>
      </c>
      <c r="EE2" s="3" t="e">
        <v>#REF!</v>
      </c>
      <c r="EF2" s="3" t="e">
        <v>#REF!</v>
      </c>
      <c r="EG2" s="3" t="e">
        <v>#REF!</v>
      </c>
      <c r="EH2" s="3" t="e">
        <v>#REF!</v>
      </c>
      <c r="EI2" s="3" t="e">
        <v>#REF!</v>
      </c>
      <c r="EJ2" s="3" t="e">
        <v>#REF!</v>
      </c>
      <c r="EK2" s="3" t="e">
        <v>#REF!</v>
      </c>
      <c r="EL2" s="3" t="e">
        <v>#REF!</v>
      </c>
      <c r="EM2" s="3" t="e">
        <v>#REF!</v>
      </c>
      <c r="EN2" s="3" t="e">
        <v>#REF!</v>
      </c>
      <c r="EO2" s="3" t="e">
        <v>#REF!</v>
      </c>
      <c r="EP2" s="3" t="e">
        <v>#REF!</v>
      </c>
      <c r="EQ2" s="3" t="e">
        <v>#REF!</v>
      </c>
      <c r="ER2" s="3" t="e">
        <v>#REF!</v>
      </c>
      <c r="ES2" s="3" t="e">
        <v>#REF!</v>
      </c>
      <c r="ET2" s="3" t="e">
        <v>#REF!</v>
      </c>
      <c r="EU2" s="3" t="e">
        <v>#REF!</v>
      </c>
      <c r="EV2" s="3" t="e">
        <v>#REF!</v>
      </c>
      <c r="EW2" s="3" t="e">
        <v>#REF!</v>
      </c>
      <c r="EX2" s="3" t="e">
        <v>#REF!</v>
      </c>
      <c r="EY2" s="3" t="e">
        <v>#REF!</v>
      </c>
      <c r="EZ2" s="3" t="e">
        <v>#REF!</v>
      </c>
      <c r="FA2" s="3" t="e">
        <v>#REF!</v>
      </c>
      <c r="FB2" s="3" t="e">
        <v>#REF!</v>
      </c>
      <c r="FC2" s="3" t="e">
        <v>#REF!</v>
      </c>
      <c r="FD2" s="3" t="e">
        <v>#REF!</v>
      </c>
      <c r="FE2" s="3" t="e">
        <v>#REF!</v>
      </c>
      <c r="FF2" s="3" t="e">
        <v>#REF!</v>
      </c>
      <c r="FG2" s="3" t="e">
        <v>#REF!</v>
      </c>
      <c r="FH2" s="3" t="e">
        <v>#REF!</v>
      </c>
      <c r="FI2" s="3" t="e">
        <v>#REF!</v>
      </c>
      <c r="FJ2" s="3" t="e">
        <v>#REF!</v>
      </c>
      <c r="FK2" s="3" t="e">
        <v>#REF!</v>
      </c>
      <c r="FL2" s="3" t="e">
        <v>#REF!</v>
      </c>
      <c r="FM2" s="3" t="e">
        <v>#REF!</v>
      </c>
      <c r="FN2" s="3" t="e">
        <v>#REF!</v>
      </c>
      <c r="FO2" s="3" t="e">
        <v>#REF!</v>
      </c>
      <c r="FP2" s="3" t="e">
        <v>#REF!</v>
      </c>
      <c r="FQ2" s="3" t="e">
        <v>#REF!</v>
      </c>
      <c r="FR2" s="3" t="e">
        <v>#REF!</v>
      </c>
      <c r="FS2" s="3" t="e">
        <v>#REF!</v>
      </c>
      <c r="FT2" s="3" t="e">
        <v>#REF!</v>
      </c>
      <c r="FU2" s="3" t="e">
        <v>#REF!</v>
      </c>
      <c r="FV2" s="3" t="e">
        <v>#REF!</v>
      </c>
      <c r="FW2" s="3" t="e">
        <v>#REF!</v>
      </c>
      <c r="FX2" s="3" t="e">
        <v>#REF!</v>
      </c>
      <c r="FY2" s="3" t="e">
        <v>#REF!</v>
      </c>
      <c r="FZ2" s="3" t="e">
        <v>#REF!</v>
      </c>
      <c r="GA2" s="3" t="e">
        <v>#REF!</v>
      </c>
      <c r="GB2" s="3" t="e">
        <v>#REF!</v>
      </c>
      <c r="GC2" s="3" t="e">
        <v>#REF!</v>
      </c>
      <c r="GD2" s="3" t="e">
        <v>#REF!</v>
      </c>
      <c r="GE2" s="3" t="e">
        <v>#REF!</v>
      </c>
      <c r="GF2" s="3" t="e">
        <v>#REF!</v>
      </c>
      <c r="GG2" s="3" t="e">
        <v>#REF!</v>
      </c>
      <c r="GH2" s="3" t="e">
        <v>#REF!</v>
      </c>
      <c r="GI2" s="3" t="e">
        <v>#REF!</v>
      </c>
      <c r="GJ2" s="3" t="e">
        <v>#REF!</v>
      </c>
      <c r="GK2" s="3" t="e">
        <v>#REF!</v>
      </c>
      <c r="GL2" s="3" t="e">
        <v>#REF!</v>
      </c>
      <c r="GM2" s="3" t="e">
        <v>#REF!</v>
      </c>
      <c r="GN2" s="3" t="e">
        <v>#REF!</v>
      </c>
      <c r="GO2" s="3" t="e">
        <v>#REF!</v>
      </c>
      <c r="GP2" s="3" t="e">
        <v>#REF!</v>
      </c>
      <c r="GQ2" s="3" t="e">
        <v>#REF!</v>
      </c>
      <c r="GR2" s="3" t="e">
        <v>#REF!</v>
      </c>
      <c r="GS2" s="3" t="e">
        <v>#REF!</v>
      </c>
      <c r="GT2" s="3" t="e">
        <v>#REF!</v>
      </c>
      <c r="GU2" s="3" t="e">
        <v>#REF!</v>
      </c>
      <c r="GV2" s="3" t="e">
        <v>#REF!</v>
      </c>
      <c r="GW2" s="3" t="e">
        <v>#REF!</v>
      </c>
      <c r="GX2" s="3" t="e">
        <v>#REF!</v>
      </c>
      <c r="GY2" s="3" t="e">
        <v>#REF!</v>
      </c>
      <c r="GZ2" s="3" t="e">
        <v>#REF!</v>
      </c>
      <c r="HA2" s="3" t="e">
        <v>#REF!</v>
      </c>
      <c r="HB2" s="3" t="e">
        <v>#REF!</v>
      </c>
      <c r="HC2" s="3" t="e">
        <v>#REF!</v>
      </c>
      <c r="HD2" s="3" t="e">
        <v>#REF!</v>
      </c>
      <c r="HE2" s="3" t="e">
        <v>#REF!</v>
      </c>
      <c r="HF2" s="3" t="e">
        <v>#REF!</v>
      </c>
      <c r="HG2" s="3" t="e">
        <v>#REF!</v>
      </c>
      <c r="HH2" s="3" t="e">
        <v>#REF!</v>
      </c>
      <c r="HI2" s="3" t="e">
        <v>#REF!</v>
      </c>
      <c r="HJ2" s="3" t="e">
        <v>#REF!</v>
      </c>
      <c r="HK2" s="3" t="e">
        <v>#REF!</v>
      </c>
      <c r="HL2" s="3" t="e">
        <v>#REF!</v>
      </c>
      <c r="HM2" s="3" t="e">
        <v>#REF!</v>
      </c>
      <c r="HN2" s="3" t="e">
        <v>#REF!</v>
      </c>
      <c r="HO2" s="3" t="e">
        <v>#REF!</v>
      </c>
      <c r="HP2" s="3" t="e">
        <v>#REF!</v>
      </c>
      <c r="HQ2" s="3" t="e">
        <v>#REF!</v>
      </c>
      <c r="HR2" s="3" t="e">
        <v>#REF!</v>
      </c>
      <c r="HS2" s="3" t="e">
        <v>#REF!</v>
      </c>
      <c r="HT2" s="3" t="e">
        <v>#REF!</v>
      </c>
      <c r="HU2" s="3" t="e">
        <v>#REF!</v>
      </c>
      <c r="HV2" s="3" t="e">
        <v>#REF!</v>
      </c>
      <c r="HW2" s="3" t="e">
        <v>#REF!</v>
      </c>
      <c r="HX2" s="3" t="e">
        <v>#REF!</v>
      </c>
      <c r="HY2" s="3" t="e">
        <v>#REF!</v>
      </c>
      <c r="HZ2" s="3" t="e">
        <v>#REF!</v>
      </c>
      <c r="IA2" s="3" t="e">
        <v>#REF!</v>
      </c>
      <c r="IB2" s="3" t="e">
        <v>#REF!</v>
      </c>
      <c r="IC2" s="3" t="e">
        <v>#REF!</v>
      </c>
      <c r="ID2" s="3" t="e">
        <v>#REF!</v>
      </c>
      <c r="IE2" s="3" t="e">
        <v>#REF!</v>
      </c>
      <c r="IF2" s="3" t="e">
        <v>#REF!</v>
      </c>
      <c r="IG2" s="3" t="e">
        <v>#REF!</v>
      </c>
      <c r="IH2" s="3" t="e">
        <v>#REF!</v>
      </c>
      <c r="II2" s="3" t="e">
        <v>#REF!</v>
      </c>
      <c r="IJ2" s="3" t="e">
        <v>#REF!</v>
      </c>
      <c r="IK2" s="3" t="e">
        <v>#REF!</v>
      </c>
      <c r="IL2" s="3" t="e">
        <v>#REF!</v>
      </c>
      <c r="IM2" s="3" t="e">
        <v>#REF!</v>
      </c>
      <c r="IN2" s="3" t="e">
        <v>#REF!</v>
      </c>
      <c r="IO2" s="3" t="e">
        <v>#REF!</v>
      </c>
      <c r="IP2" s="3" t="e">
        <v>#REF!</v>
      </c>
      <c r="IQ2" s="3" t="e">
        <v>#REF!</v>
      </c>
      <c r="IR2" s="3" t="e">
        <v>#REF!</v>
      </c>
      <c r="IS2" s="3" t="e">
        <v>#REF!</v>
      </c>
      <c r="IT2" s="3" t="e">
        <v>#REF!</v>
      </c>
      <c r="IU2" s="3" t="e">
        <v>#REF!</v>
      </c>
      <c r="IV2" s="3" t="e">
        <v>#REF!</v>
      </c>
      <c r="IW2" s="3" t="e">
        <v>#REF!</v>
      </c>
      <c r="IX2" s="3" t="e">
        <v>#REF!</v>
      </c>
      <c r="IY2" s="3" t="e">
        <v>#REF!</v>
      </c>
      <c r="IZ2" s="3" t="e">
        <v>#REF!</v>
      </c>
      <c r="JA2" s="3" t="e">
        <v>#REF!</v>
      </c>
      <c r="JB2" s="3" t="e">
        <v>#REF!</v>
      </c>
      <c r="JC2" s="3" t="e">
        <v>#REF!</v>
      </c>
      <c r="JD2" s="3" t="e">
        <v>#REF!</v>
      </c>
      <c r="JE2" s="3" t="e">
        <v>#REF!</v>
      </c>
      <c r="JF2" s="3" t="e">
        <v>#REF!</v>
      </c>
      <c r="JG2" s="3" t="e">
        <v>#REF!</v>
      </c>
      <c r="JH2" s="3" t="e">
        <v>#REF!</v>
      </c>
      <c r="JI2" s="3" t="e">
        <v>#REF!</v>
      </c>
      <c r="JJ2" s="3" t="e">
        <v>#REF!</v>
      </c>
      <c r="JK2" s="3" t="e">
        <v>#REF!</v>
      </c>
      <c r="JL2" s="3" t="e">
        <v>#REF!</v>
      </c>
      <c r="JM2" s="3" t="e">
        <v>#REF!</v>
      </c>
      <c r="JN2" s="3" t="e">
        <v>#REF!</v>
      </c>
      <c r="JO2" s="3" t="e">
        <v>#REF!</v>
      </c>
      <c r="JP2" s="3" t="e">
        <v>#REF!</v>
      </c>
      <c r="JQ2" s="3" t="e">
        <v>#REF!</v>
      </c>
      <c r="JR2" s="3" t="e">
        <v>#REF!</v>
      </c>
      <c r="JS2" s="3" t="e">
        <v>#REF!</v>
      </c>
      <c r="JT2" s="3" t="e">
        <v>#REF!</v>
      </c>
      <c r="JU2" s="3" t="e">
        <v>#REF!</v>
      </c>
      <c r="JV2" s="3" t="e">
        <v>#REF!</v>
      </c>
      <c r="JW2" s="3" t="e">
        <v>#REF!</v>
      </c>
      <c r="JX2" s="3" t="e">
        <v>#REF!</v>
      </c>
      <c r="JY2" s="3" t="e">
        <v>#REF!</v>
      </c>
      <c r="JZ2" s="3" t="e">
        <v>#REF!</v>
      </c>
      <c r="KA2" s="3" t="e">
        <v>#REF!</v>
      </c>
      <c r="KB2" s="3" t="e">
        <v>#REF!</v>
      </c>
      <c r="KC2" s="3" t="e">
        <v>#REF!</v>
      </c>
      <c r="KD2" s="3" t="e">
        <v>#REF!</v>
      </c>
      <c r="KE2" s="3" t="e">
        <v>#REF!</v>
      </c>
      <c r="KF2" s="3" t="e">
        <v>#REF!</v>
      </c>
      <c r="KG2" s="3" t="e">
        <v>#REF!</v>
      </c>
      <c r="KH2" s="3" t="e">
        <v>#REF!</v>
      </c>
      <c r="KI2" s="3" t="e">
        <v>#REF!</v>
      </c>
      <c r="KJ2" s="3" t="e">
        <v>#REF!</v>
      </c>
      <c r="KK2" s="3" t="e">
        <v>#REF!</v>
      </c>
      <c r="KL2" s="3" t="e">
        <v>#REF!</v>
      </c>
      <c r="KM2" s="3" t="e">
        <v>#REF!</v>
      </c>
      <c r="KN2" s="3" t="e">
        <v>#REF!</v>
      </c>
      <c r="KO2" s="3" t="e">
        <v>#REF!</v>
      </c>
      <c r="KP2" s="3" t="e">
        <v>#REF!</v>
      </c>
      <c r="KQ2" s="3" t="e">
        <v>#REF!</v>
      </c>
      <c r="KR2" s="3" t="e">
        <v>#REF!</v>
      </c>
      <c r="KS2" s="3" t="e">
        <v>#REF!</v>
      </c>
      <c r="KT2" s="3" t="e">
        <v>#REF!</v>
      </c>
      <c r="KU2" s="3" t="e">
        <v>#REF!</v>
      </c>
      <c r="KV2" s="3" t="e">
        <v>#REF!</v>
      </c>
      <c r="KW2" s="3" t="e">
        <v>#REF!</v>
      </c>
      <c r="KX2" s="3" t="e">
        <v>#REF!</v>
      </c>
      <c r="KY2" s="3" t="e">
        <v>#REF!</v>
      </c>
      <c r="KZ2" s="3" t="e">
        <v>#REF!</v>
      </c>
      <c r="LA2" s="3" t="e">
        <v>#REF!</v>
      </c>
      <c r="LB2" s="3" t="e">
        <v>#REF!</v>
      </c>
      <c r="LC2" s="3" t="e">
        <v>#REF!</v>
      </c>
      <c r="LD2" s="3" t="e">
        <v>#REF!</v>
      </c>
      <c r="LE2" s="3" t="e">
        <v>#REF!</v>
      </c>
      <c r="LF2" s="3" t="e">
        <v>#REF!</v>
      </c>
      <c r="LG2" s="3" t="e">
        <v>#REF!</v>
      </c>
      <c r="LH2" s="3" t="e">
        <v>#REF!</v>
      </c>
      <c r="LI2" s="3" t="e">
        <v>#REF!</v>
      </c>
      <c r="LJ2" s="3" t="e">
        <v>#REF!</v>
      </c>
      <c r="LK2" s="3" t="e">
        <v>#REF!</v>
      </c>
      <c r="LL2" s="3" t="e">
        <v>#REF!</v>
      </c>
      <c r="LM2" s="3" t="e">
        <v>#REF!</v>
      </c>
      <c r="LN2" s="3" t="e">
        <v>#REF!</v>
      </c>
      <c r="LO2" s="3" t="e">
        <v>#REF!</v>
      </c>
      <c r="LP2" s="3" t="e">
        <v>#REF!</v>
      </c>
      <c r="LQ2" s="3" t="e">
        <v>#REF!</v>
      </c>
      <c r="LR2" s="3" t="e">
        <v>#REF!</v>
      </c>
      <c r="LS2" s="3" t="e">
        <v>#REF!</v>
      </c>
      <c r="LT2" s="3" t="e">
        <v>#REF!</v>
      </c>
      <c r="LU2" s="3" t="e">
        <v>#REF!</v>
      </c>
      <c r="LV2" s="3" t="e">
        <v>#REF!</v>
      </c>
      <c r="LW2" s="3" t="e">
        <v>#REF!</v>
      </c>
      <c r="LX2" s="3" t="e">
        <v>#REF!</v>
      </c>
      <c r="LY2" s="3" t="e">
        <v>#REF!</v>
      </c>
      <c r="LZ2" s="3" t="e">
        <v>#REF!</v>
      </c>
      <c r="MA2" s="3" t="e">
        <v>#REF!</v>
      </c>
      <c r="MB2" s="3" t="e">
        <v>#REF!</v>
      </c>
      <c r="MC2" s="3" t="e">
        <v>#REF!</v>
      </c>
      <c r="MD2" s="3" t="e">
        <v>#REF!</v>
      </c>
      <c r="ME2" s="3" t="e">
        <v>#REF!</v>
      </c>
      <c r="MF2" s="3" t="e">
        <v>#REF!</v>
      </c>
      <c r="MG2" s="3" t="e">
        <v>#REF!</v>
      </c>
      <c r="MH2" s="3" t="e">
        <v>#REF!</v>
      </c>
      <c r="MI2" s="3" t="e">
        <v>#REF!</v>
      </c>
      <c r="MJ2" s="3" t="e">
        <v>#REF!</v>
      </c>
      <c r="MK2" s="3" t="e">
        <v>#REF!</v>
      </c>
      <c r="ML2" s="3" t="e">
        <v>#REF!</v>
      </c>
      <c r="MM2" s="3" t="e">
        <v>#REF!</v>
      </c>
      <c r="MN2" s="3" t="e">
        <v>#REF!</v>
      </c>
      <c r="MO2" s="3" t="e">
        <v>#REF!</v>
      </c>
      <c r="MP2" s="3" t="e">
        <v>#REF!</v>
      </c>
      <c r="MQ2" s="3" t="e">
        <v>#REF!</v>
      </c>
      <c r="MR2" s="3" t="e">
        <v>#REF!</v>
      </c>
      <c r="MS2" s="3" t="e">
        <v>#REF!</v>
      </c>
      <c r="MT2" s="3" t="e">
        <v>#REF!</v>
      </c>
      <c r="MU2" s="3" t="e">
        <v>#REF!</v>
      </c>
      <c r="MV2" s="3" t="e">
        <v>#REF!</v>
      </c>
      <c r="MW2" s="3" t="e">
        <v>#REF!</v>
      </c>
      <c r="MX2" s="3" t="e">
        <v>#REF!</v>
      </c>
      <c r="MY2" s="3" t="e">
        <v>#REF!</v>
      </c>
      <c r="MZ2" s="3" t="e">
        <v>#REF!</v>
      </c>
      <c r="NA2" s="3" t="e">
        <v>#REF!</v>
      </c>
      <c r="NB2" s="3" t="e">
        <v>#REF!</v>
      </c>
      <c r="NC2" s="3" t="e">
        <v>#REF!</v>
      </c>
      <c r="ND2" s="3" t="e">
        <v>#REF!</v>
      </c>
      <c r="NE2" s="3" t="e">
        <v>#REF!</v>
      </c>
      <c r="NF2" s="4"/>
    </row>
    <row r="3" spans="1:371" x14ac:dyDescent="0.45">
      <c r="A3" t="str" cm="1">
        <f t="array" ref="A3">[1]!str_festname</f>
        <v>KALANKAM '23</v>
      </c>
      <c r="C3" t="str" cm="1">
        <f t="array" ref="C3:C12">[1]!listof_sections</f>
        <v>SUB JUNIOR</v>
      </c>
      <c r="E3" t="str" cm="1">
        <f t="array" ref="E3:AN62">[1]!detailsof_teams</f>
        <v>FANT</v>
      </c>
      <c r="F3" t="str">
        <v>FANTHALAYAN</v>
      </c>
      <c r="G3">
        <v>1265</v>
      </c>
      <c r="H3">
        <v>1265</v>
      </c>
      <c r="I3">
        <v>1265</v>
      </c>
      <c r="J3">
        <v>0</v>
      </c>
      <c r="K3">
        <v>-3</v>
      </c>
      <c r="L3">
        <v>1262</v>
      </c>
      <c r="M3">
        <v>1262</v>
      </c>
      <c r="N3">
        <v>1262</v>
      </c>
      <c r="O3">
        <v>2</v>
      </c>
      <c r="P3">
        <v>2</v>
      </c>
      <c r="Q3">
        <v>2</v>
      </c>
      <c r="R3">
        <v>2</v>
      </c>
      <c r="S3">
        <v>2</v>
      </c>
      <c r="T3">
        <v>2</v>
      </c>
      <c r="U3">
        <v>279.5</v>
      </c>
      <c r="V3">
        <v>238</v>
      </c>
      <c r="W3">
        <v>281</v>
      </c>
      <c r="X3">
        <v>342.5</v>
      </c>
      <c r="Y3">
        <v>124</v>
      </c>
      <c r="Z3">
        <v>0</v>
      </c>
      <c r="AA3">
        <v>0</v>
      </c>
      <c r="AB3">
        <v>0</v>
      </c>
      <c r="AC3">
        <v>0</v>
      </c>
      <c r="AD3">
        <v>0</v>
      </c>
      <c r="AE3">
        <v>279.5</v>
      </c>
      <c r="AF3">
        <v>238</v>
      </c>
      <c r="AG3">
        <v>281</v>
      </c>
      <c r="AH3">
        <v>342.5</v>
      </c>
      <c r="AI3">
        <v>124</v>
      </c>
      <c r="AJ3">
        <v>0</v>
      </c>
      <c r="AK3">
        <v>0</v>
      </c>
      <c r="AL3">
        <v>0</v>
      </c>
      <c r="AM3">
        <v>0</v>
      </c>
      <c r="AN3" s="5">
        <v>0</v>
      </c>
      <c r="AO3" t="str" cm="1">
        <f t="array" ref="AO3:AY502">[1]!detailsof_candidates</f>
        <v>A100</v>
      </c>
      <c r="AP3" t="str">
        <v>ADINAN ABOOBACKER K</v>
      </c>
      <c r="AQ3" t="str">
        <v>FANT</v>
      </c>
      <c r="AR3" t="str">
        <v>SUB JUNIOR</v>
      </c>
      <c r="AS3">
        <v>1</v>
      </c>
      <c r="AT3">
        <v>0</v>
      </c>
      <c r="AU3">
        <v>0</v>
      </c>
      <c r="AV3">
        <v>0</v>
      </c>
      <c r="AW3">
        <v>0</v>
      </c>
      <c r="AX3">
        <v>255</v>
      </c>
      <c r="AY3" s="5">
        <v>255</v>
      </c>
      <c r="AZ3" t="str" cm="1">
        <f t="array" ref="AZ3:BI502">[1]!detailsof_programs</f>
        <v>SJ01</v>
      </c>
      <c r="BA3" t="str">
        <v>ADHĀN</v>
      </c>
      <c r="BB3" t="str">
        <v>SUB JUNIOR</v>
      </c>
      <c r="BC3" t="str">
        <v>Single</v>
      </c>
      <c r="BD3" t="str">
        <v>Non-Stg</v>
      </c>
      <c r="BE3">
        <v>3</v>
      </c>
      <c r="BF3" t="str">
        <v>Individual</v>
      </c>
      <c r="BG3" t="str">
        <v>Individual</v>
      </c>
      <c r="BH3" t="str">
        <v>P</v>
      </c>
      <c r="BI3" t="str">
        <v>PUBLISHED</v>
      </c>
      <c r="BK3" t="str">
        <v>Sl. No.</v>
      </c>
      <c r="BL3" t="str">
        <v>Code</v>
      </c>
      <c r="BM3" t="str">
        <v>Name</v>
      </c>
      <c r="BN3" t="str">
        <v>Count</v>
      </c>
      <c r="BO3" t="str">
        <v>Single/
Group</v>
      </c>
      <c r="BP3" t="str">
        <v>Stage/
Non-stg</v>
      </c>
      <c r="BQ3" t="str">
        <v>Section</v>
      </c>
      <c r="BR3" t="str">
        <v>FANT</v>
      </c>
      <c r="BS3" t="str">
        <v>FANT</v>
      </c>
      <c r="BT3" t="str">
        <v>FANT</v>
      </c>
      <c r="BU3" t="str">
        <v>FANT</v>
      </c>
      <c r="BV3" t="str">
        <v>FANT</v>
      </c>
      <c r="BW3" t="str">
        <v>FANT</v>
      </c>
      <c r="BX3" t="str">
        <v>FANT</v>
      </c>
      <c r="BY3" t="str">
        <v>DAHF</v>
      </c>
      <c r="BZ3" t="str">
        <v>DAHF</v>
      </c>
      <c r="CA3" t="str">
        <v>DAHF</v>
      </c>
      <c r="CB3" t="str">
        <v>DAHF</v>
      </c>
      <c r="CC3" t="str">
        <v>DAHF</v>
      </c>
      <c r="CD3" t="str">
        <v>DAHF</v>
      </c>
      <c r="CE3" t="str">
        <v>DAHF</v>
      </c>
      <c r="CF3" t="str">
        <v>BADF</v>
      </c>
      <c r="CG3" t="str">
        <v>BADF</v>
      </c>
      <c r="CH3" t="str">
        <v>BADF</v>
      </c>
      <c r="CI3" t="str">
        <v>BADF</v>
      </c>
      <c r="CJ3" t="str">
        <v>BADF</v>
      </c>
      <c r="CK3" t="str">
        <v>BADF</v>
      </c>
      <c r="CL3" t="str">
        <v>BADF</v>
      </c>
      <c r="CM3" t="str">
        <v>JARF</v>
      </c>
      <c r="CN3" t="str">
        <v>JARF</v>
      </c>
      <c r="CO3" t="str">
        <v>JARF</v>
      </c>
      <c r="CP3" t="str">
        <v>JARF</v>
      </c>
      <c r="CQ3" t="str">
        <v>JARF</v>
      </c>
      <c r="CR3" t="str">
        <v>JARF</v>
      </c>
      <c r="CS3" t="str">
        <v>JARF</v>
      </c>
      <c r="CT3" t="e">
        <v>#REF!</v>
      </c>
      <c r="CU3" t="e">
        <v>#REF!</v>
      </c>
      <c r="CV3" t="e">
        <v>#REF!</v>
      </c>
      <c r="CW3" t="e">
        <v>#REF!</v>
      </c>
      <c r="CX3" t="e">
        <v>#REF!</v>
      </c>
      <c r="CY3" t="e">
        <v>#REF!</v>
      </c>
      <c r="CZ3" t="e">
        <v>#REF!</v>
      </c>
      <c r="DA3" t="e">
        <v>#REF!</v>
      </c>
      <c r="DB3" t="e">
        <v>#REF!</v>
      </c>
      <c r="DC3" t="e">
        <v>#REF!</v>
      </c>
      <c r="DD3" t="e">
        <v>#REF!</v>
      </c>
      <c r="DE3" t="e">
        <v>#REF!</v>
      </c>
      <c r="DF3" t="e">
        <v>#REF!</v>
      </c>
      <c r="DG3" t="e">
        <v>#REF!</v>
      </c>
      <c r="DH3" t="e">
        <v>#REF!</v>
      </c>
      <c r="DI3" t="e">
        <v>#REF!</v>
      </c>
      <c r="DJ3" t="e">
        <v>#REF!</v>
      </c>
      <c r="DK3" t="e">
        <v>#REF!</v>
      </c>
      <c r="DL3" t="e">
        <v>#REF!</v>
      </c>
      <c r="DM3" t="e">
        <v>#REF!</v>
      </c>
      <c r="DN3" t="e">
        <v>#REF!</v>
      </c>
      <c r="DO3" t="e">
        <v>#REF!</v>
      </c>
      <c r="DP3" t="e">
        <v>#REF!</v>
      </c>
      <c r="DQ3" t="e">
        <v>#REF!</v>
      </c>
      <c r="DR3" t="e">
        <v>#REF!</v>
      </c>
      <c r="DS3" t="e">
        <v>#REF!</v>
      </c>
      <c r="DT3" t="e">
        <v>#REF!</v>
      </c>
      <c r="DU3" t="e">
        <v>#REF!</v>
      </c>
      <c r="DV3" t="e">
        <v>#REF!</v>
      </c>
      <c r="DW3" t="e">
        <v>#REF!</v>
      </c>
      <c r="DX3" t="e">
        <v>#REF!</v>
      </c>
      <c r="DY3" t="e">
        <v>#REF!</v>
      </c>
      <c r="DZ3" t="e">
        <v>#REF!</v>
      </c>
      <c r="EA3" t="e">
        <v>#REF!</v>
      </c>
      <c r="EB3" t="e">
        <v>#REF!</v>
      </c>
      <c r="EC3" t="e">
        <v>#REF!</v>
      </c>
      <c r="ED3" t="e">
        <v>#REF!</v>
      </c>
      <c r="EE3" t="e">
        <v>#REF!</v>
      </c>
      <c r="EF3" t="e">
        <v>#REF!</v>
      </c>
      <c r="EG3" t="e">
        <v>#REF!</v>
      </c>
      <c r="EH3" t="e">
        <v>#REF!</v>
      </c>
      <c r="EI3" t="e">
        <v>#REF!</v>
      </c>
      <c r="EJ3" t="e">
        <v>#REF!</v>
      </c>
      <c r="EK3" t="e">
        <v>#REF!</v>
      </c>
      <c r="EL3" t="e">
        <v>#REF!</v>
      </c>
      <c r="EM3" t="e">
        <v>#REF!</v>
      </c>
      <c r="EN3" t="e">
        <v>#REF!</v>
      </c>
      <c r="EO3" t="e">
        <v>#REF!</v>
      </c>
      <c r="EP3" t="e">
        <v>#REF!</v>
      </c>
      <c r="EQ3" t="e">
        <v>#REF!</v>
      </c>
      <c r="ER3" t="e">
        <v>#REF!</v>
      </c>
      <c r="ES3" t="e">
        <v>#REF!</v>
      </c>
      <c r="ET3" t="e">
        <v>#REF!</v>
      </c>
      <c r="EU3" t="e">
        <v>#REF!</v>
      </c>
      <c r="EV3" t="e">
        <v>#REF!</v>
      </c>
      <c r="EW3" t="e">
        <v>#REF!</v>
      </c>
      <c r="EX3" t="e">
        <v>#REF!</v>
      </c>
      <c r="EY3" t="e">
        <v>#REF!</v>
      </c>
      <c r="EZ3" t="e">
        <v>#REF!</v>
      </c>
      <c r="FA3" t="e">
        <v>#REF!</v>
      </c>
      <c r="FB3" t="e">
        <v>#REF!</v>
      </c>
      <c r="FC3" t="e">
        <v>#REF!</v>
      </c>
      <c r="FD3" t="e">
        <v>#REF!</v>
      </c>
      <c r="FE3" t="e">
        <v>#REF!</v>
      </c>
      <c r="FF3" t="e">
        <v>#REF!</v>
      </c>
      <c r="FG3" t="e">
        <v>#REF!</v>
      </c>
      <c r="FH3" t="e">
        <v>#REF!</v>
      </c>
      <c r="FI3" t="e">
        <v>#REF!</v>
      </c>
      <c r="FJ3" t="e">
        <v>#REF!</v>
      </c>
      <c r="FK3" t="e">
        <v>#REF!</v>
      </c>
      <c r="FL3" t="e">
        <v>#REF!</v>
      </c>
      <c r="FM3" t="e">
        <v>#REF!</v>
      </c>
      <c r="FN3" t="e">
        <v>#REF!</v>
      </c>
      <c r="FO3" t="e">
        <v>#REF!</v>
      </c>
      <c r="FP3" t="e">
        <v>#REF!</v>
      </c>
      <c r="FQ3" t="e">
        <v>#REF!</v>
      </c>
      <c r="FR3" t="e">
        <v>#REF!</v>
      </c>
      <c r="FS3" t="e">
        <v>#REF!</v>
      </c>
      <c r="FT3" t="e">
        <v>#REF!</v>
      </c>
      <c r="FU3" t="e">
        <v>#REF!</v>
      </c>
      <c r="FV3" t="e">
        <v>#REF!</v>
      </c>
      <c r="FW3" t="e">
        <v>#REF!</v>
      </c>
      <c r="FX3" t="e">
        <v>#REF!</v>
      </c>
      <c r="FY3" t="e">
        <v>#REF!</v>
      </c>
      <c r="FZ3" t="e">
        <v>#REF!</v>
      </c>
      <c r="GA3" t="e">
        <v>#REF!</v>
      </c>
      <c r="GB3" t="e">
        <v>#REF!</v>
      </c>
      <c r="GC3" t="e">
        <v>#REF!</v>
      </c>
      <c r="GD3" t="e">
        <v>#REF!</v>
      </c>
      <c r="GE3" t="e">
        <v>#REF!</v>
      </c>
      <c r="GF3" t="e">
        <v>#REF!</v>
      </c>
      <c r="GG3" t="e">
        <v>#REF!</v>
      </c>
      <c r="GH3" t="e">
        <v>#REF!</v>
      </c>
      <c r="GI3" t="e">
        <v>#REF!</v>
      </c>
      <c r="GJ3" t="e">
        <v>#REF!</v>
      </c>
      <c r="GK3" t="e">
        <v>#REF!</v>
      </c>
      <c r="GL3" t="e">
        <v>#REF!</v>
      </c>
      <c r="GM3" t="e">
        <v>#REF!</v>
      </c>
      <c r="GN3" t="e">
        <v>#REF!</v>
      </c>
      <c r="GO3" t="e">
        <v>#REF!</v>
      </c>
      <c r="GP3" t="e">
        <v>#REF!</v>
      </c>
      <c r="GQ3" t="e">
        <v>#REF!</v>
      </c>
      <c r="GR3" t="e">
        <v>#REF!</v>
      </c>
      <c r="GS3" t="e">
        <v>#REF!</v>
      </c>
      <c r="GT3" t="e">
        <v>#REF!</v>
      </c>
      <c r="GU3" t="e">
        <v>#REF!</v>
      </c>
      <c r="GV3" t="e">
        <v>#REF!</v>
      </c>
      <c r="GW3" t="e">
        <v>#REF!</v>
      </c>
      <c r="GX3" t="e">
        <v>#REF!</v>
      </c>
      <c r="GY3" t="e">
        <v>#REF!</v>
      </c>
      <c r="GZ3" t="e">
        <v>#REF!</v>
      </c>
      <c r="HA3" t="e">
        <v>#REF!</v>
      </c>
      <c r="HB3" t="e">
        <v>#REF!</v>
      </c>
      <c r="HC3" t="e">
        <v>#REF!</v>
      </c>
      <c r="HD3" t="e">
        <v>#REF!</v>
      </c>
      <c r="HE3" t="e">
        <v>#REF!</v>
      </c>
      <c r="HF3" t="e">
        <v>#REF!</v>
      </c>
      <c r="HG3" t="e">
        <v>#REF!</v>
      </c>
      <c r="HH3" t="e">
        <v>#REF!</v>
      </c>
      <c r="HI3" t="e">
        <v>#REF!</v>
      </c>
      <c r="HJ3" t="e">
        <v>#REF!</v>
      </c>
      <c r="HK3" t="e">
        <v>#REF!</v>
      </c>
      <c r="HL3" t="e">
        <v>#REF!</v>
      </c>
      <c r="HM3" t="e">
        <v>#REF!</v>
      </c>
      <c r="HN3" t="e">
        <v>#REF!</v>
      </c>
      <c r="HO3" t="e">
        <v>#REF!</v>
      </c>
      <c r="HP3" t="e">
        <v>#REF!</v>
      </c>
      <c r="HQ3" t="e">
        <v>#REF!</v>
      </c>
      <c r="HR3" t="e">
        <v>#REF!</v>
      </c>
      <c r="HS3" t="e">
        <v>#REF!</v>
      </c>
      <c r="HT3" t="e">
        <v>#REF!</v>
      </c>
      <c r="HU3" t="e">
        <v>#REF!</v>
      </c>
      <c r="HV3" t="e">
        <v>#REF!</v>
      </c>
      <c r="HW3" t="e">
        <v>#REF!</v>
      </c>
      <c r="HX3" t="e">
        <v>#REF!</v>
      </c>
      <c r="HY3" t="e">
        <v>#REF!</v>
      </c>
      <c r="HZ3" t="e">
        <v>#REF!</v>
      </c>
      <c r="IA3" t="e">
        <v>#REF!</v>
      </c>
      <c r="IB3" t="e">
        <v>#REF!</v>
      </c>
      <c r="IC3" t="e">
        <v>#REF!</v>
      </c>
      <c r="ID3" t="e">
        <v>#REF!</v>
      </c>
      <c r="IE3" t="e">
        <v>#REF!</v>
      </c>
      <c r="IF3" t="e">
        <v>#REF!</v>
      </c>
      <c r="IG3" t="e">
        <v>#REF!</v>
      </c>
      <c r="IH3" t="e">
        <v>#REF!</v>
      </c>
      <c r="II3" t="e">
        <v>#REF!</v>
      </c>
      <c r="IJ3" t="e">
        <v>#REF!</v>
      </c>
      <c r="IK3" t="e">
        <v>#REF!</v>
      </c>
      <c r="IL3" t="e">
        <v>#REF!</v>
      </c>
      <c r="IM3" t="e">
        <v>#REF!</v>
      </c>
      <c r="IN3" t="e">
        <v>#REF!</v>
      </c>
      <c r="IO3" t="e">
        <v>#REF!</v>
      </c>
      <c r="IP3" t="e">
        <v>#REF!</v>
      </c>
      <c r="IQ3" t="e">
        <v>#REF!</v>
      </c>
      <c r="IR3" t="e">
        <v>#REF!</v>
      </c>
      <c r="IS3" t="e">
        <v>#REF!</v>
      </c>
      <c r="IT3" t="e">
        <v>#REF!</v>
      </c>
      <c r="IU3" t="e">
        <v>#REF!</v>
      </c>
      <c r="IV3" t="e">
        <v>#REF!</v>
      </c>
      <c r="IW3" t="e">
        <v>#REF!</v>
      </c>
      <c r="IX3" t="e">
        <v>#REF!</v>
      </c>
      <c r="IY3" t="e">
        <v>#REF!</v>
      </c>
      <c r="IZ3" t="e">
        <v>#REF!</v>
      </c>
      <c r="JA3" t="e">
        <v>#REF!</v>
      </c>
      <c r="JB3" t="e">
        <v>#REF!</v>
      </c>
      <c r="JC3" t="e">
        <v>#REF!</v>
      </c>
      <c r="JD3" t="e">
        <v>#REF!</v>
      </c>
      <c r="JE3" t="e">
        <v>#REF!</v>
      </c>
      <c r="JF3" t="e">
        <v>#REF!</v>
      </c>
      <c r="JG3" t="e">
        <v>#REF!</v>
      </c>
      <c r="JH3" t="e">
        <v>#REF!</v>
      </c>
      <c r="JI3" t="e">
        <v>#REF!</v>
      </c>
      <c r="JJ3" t="e">
        <v>#REF!</v>
      </c>
      <c r="JK3" t="e">
        <v>#REF!</v>
      </c>
      <c r="JL3" t="e">
        <v>#REF!</v>
      </c>
      <c r="JM3" t="e">
        <v>#REF!</v>
      </c>
      <c r="JN3" t="e">
        <v>#REF!</v>
      </c>
      <c r="JO3" t="e">
        <v>#REF!</v>
      </c>
      <c r="JP3" t="e">
        <v>#REF!</v>
      </c>
      <c r="JQ3" t="e">
        <v>#REF!</v>
      </c>
      <c r="JR3" t="e">
        <v>#REF!</v>
      </c>
      <c r="JS3" t="e">
        <v>#REF!</v>
      </c>
      <c r="JT3" t="e">
        <v>#REF!</v>
      </c>
      <c r="JU3" t="e">
        <v>#REF!</v>
      </c>
      <c r="JV3" t="e">
        <v>#REF!</v>
      </c>
      <c r="JW3" t="e">
        <v>#REF!</v>
      </c>
      <c r="JX3" t="e">
        <v>#REF!</v>
      </c>
      <c r="JY3" t="e">
        <v>#REF!</v>
      </c>
      <c r="JZ3" t="e">
        <v>#REF!</v>
      </c>
      <c r="KA3" t="e">
        <v>#REF!</v>
      </c>
      <c r="KB3" t="e">
        <v>#REF!</v>
      </c>
      <c r="KC3" t="e">
        <v>#REF!</v>
      </c>
      <c r="KD3" t="e">
        <v>#REF!</v>
      </c>
      <c r="KE3" t="e">
        <v>#REF!</v>
      </c>
      <c r="KF3" t="e">
        <v>#REF!</v>
      </c>
      <c r="KG3" t="e">
        <v>#REF!</v>
      </c>
      <c r="KH3" t="e">
        <v>#REF!</v>
      </c>
      <c r="KI3" t="e">
        <v>#REF!</v>
      </c>
      <c r="KJ3" t="e">
        <v>#REF!</v>
      </c>
      <c r="KK3" t="e">
        <v>#REF!</v>
      </c>
      <c r="KL3" t="e">
        <v>#REF!</v>
      </c>
      <c r="KM3" t="e">
        <v>#REF!</v>
      </c>
      <c r="KN3" t="e">
        <v>#REF!</v>
      </c>
      <c r="KO3" t="e">
        <v>#REF!</v>
      </c>
      <c r="KP3" t="e">
        <v>#REF!</v>
      </c>
      <c r="KQ3" t="e">
        <v>#REF!</v>
      </c>
      <c r="KR3" t="e">
        <v>#REF!</v>
      </c>
      <c r="KS3" t="e">
        <v>#REF!</v>
      </c>
      <c r="KT3" t="e">
        <v>#REF!</v>
      </c>
      <c r="KU3" t="e">
        <v>#REF!</v>
      </c>
      <c r="KV3" t="e">
        <v>#REF!</v>
      </c>
      <c r="KW3" t="e">
        <v>#REF!</v>
      </c>
      <c r="KX3" t="e">
        <v>#REF!</v>
      </c>
      <c r="KY3" t="e">
        <v>#REF!</v>
      </c>
      <c r="KZ3" t="e">
        <v>#REF!</v>
      </c>
      <c r="LA3" t="e">
        <v>#REF!</v>
      </c>
      <c r="LB3" t="e">
        <v>#REF!</v>
      </c>
      <c r="LC3" t="e">
        <v>#REF!</v>
      </c>
      <c r="LD3" t="e">
        <v>#REF!</v>
      </c>
      <c r="LE3" t="e">
        <v>#REF!</v>
      </c>
      <c r="LF3" t="e">
        <v>#REF!</v>
      </c>
      <c r="LG3" t="e">
        <v>#REF!</v>
      </c>
      <c r="LH3" t="e">
        <v>#REF!</v>
      </c>
      <c r="LI3" t="e">
        <v>#REF!</v>
      </c>
      <c r="LJ3" t="e">
        <v>#REF!</v>
      </c>
      <c r="LK3" t="e">
        <v>#REF!</v>
      </c>
      <c r="LL3" t="e">
        <v>#REF!</v>
      </c>
      <c r="LM3" t="e">
        <v>#REF!</v>
      </c>
      <c r="LN3" t="e">
        <v>#REF!</v>
      </c>
      <c r="LO3" t="e">
        <v>#REF!</v>
      </c>
      <c r="LP3" t="e">
        <v>#REF!</v>
      </c>
      <c r="LQ3" t="e">
        <v>#REF!</v>
      </c>
      <c r="LR3" t="e">
        <v>#REF!</v>
      </c>
      <c r="LS3" t="e">
        <v>#REF!</v>
      </c>
      <c r="LT3" t="e">
        <v>#REF!</v>
      </c>
      <c r="LU3" t="e">
        <v>#REF!</v>
      </c>
      <c r="LV3" t="e">
        <v>#REF!</v>
      </c>
      <c r="LW3" t="e">
        <v>#REF!</v>
      </c>
      <c r="LX3" t="e">
        <v>#REF!</v>
      </c>
      <c r="LY3" t="e">
        <v>#REF!</v>
      </c>
      <c r="LZ3" t="e">
        <v>#REF!</v>
      </c>
      <c r="MA3" t="e">
        <v>#REF!</v>
      </c>
      <c r="MB3" t="e">
        <v>#REF!</v>
      </c>
      <c r="MC3" t="e">
        <v>#REF!</v>
      </c>
      <c r="MD3" t="e">
        <v>#REF!</v>
      </c>
      <c r="ME3" t="e">
        <v>#REF!</v>
      </c>
      <c r="MF3" t="e">
        <v>#REF!</v>
      </c>
      <c r="MG3" t="e">
        <v>#REF!</v>
      </c>
      <c r="MH3" t="e">
        <v>#REF!</v>
      </c>
      <c r="MI3" t="e">
        <v>#REF!</v>
      </c>
      <c r="MJ3" t="e">
        <v>#REF!</v>
      </c>
      <c r="MK3" t="e">
        <v>#REF!</v>
      </c>
      <c r="ML3" t="e">
        <v>#REF!</v>
      </c>
      <c r="MM3" t="e">
        <v>#REF!</v>
      </c>
      <c r="MN3" t="e">
        <v>#REF!</v>
      </c>
      <c r="MO3" t="e">
        <v>#REF!</v>
      </c>
      <c r="MP3" t="e">
        <v>#REF!</v>
      </c>
      <c r="MQ3" t="e">
        <v>#REF!</v>
      </c>
      <c r="MR3" t="e">
        <v>#REF!</v>
      </c>
      <c r="MS3" t="e">
        <v>#REF!</v>
      </c>
      <c r="MT3" t="e">
        <v>#REF!</v>
      </c>
      <c r="MU3" t="e">
        <v>#REF!</v>
      </c>
      <c r="MV3" t="e">
        <v>#REF!</v>
      </c>
      <c r="MW3" t="e">
        <v>#REF!</v>
      </c>
      <c r="MX3" t="e">
        <v>#REF!</v>
      </c>
      <c r="MY3" t="e">
        <v>#REF!</v>
      </c>
      <c r="MZ3" t="e">
        <v>#REF!</v>
      </c>
      <c r="NA3" t="e">
        <v>#REF!</v>
      </c>
      <c r="NB3" t="e">
        <v>#REF!</v>
      </c>
      <c r="NC3" t="e">
        <v>#REF!</v>
      </c>
      <c r="ND3" t="e">
        <v>#REF!</v>
      </c>
      <c r="NE3" t="e">
        <v>#REF!</v>
      </c>
      <c r="NG3" s="3" t="e" cm="1">
        <v>#REF!</v>
      </c>
    </row>
    <row r="4" spans="1:371" x14ac:dyDescent="0.45">
      <c r="C4" t="str">
        <v>JUNIOR</v>
      </c>
      <c r="E4" t="str">
        <v>DAHF</v>
      </c>
      <c r="F4" t="str">
        <v>DAHFATHAN</v>
      </c>
      <c r="G4">
        <v>1242.5</v>
      </c>
      <c r="H4">
        <v>1242.5</v>
      </c>
      <c r="I4">
        <v>1242.5</v>
      </c>
      <c r="J4">
        <v>0</v>
      </c>
      <c r="K4">
        <v>-4</v>
      </c>
      <c r="L4">
        <v>1238.5</v>
      </c>
      <c r="M4">
        <v>1238.5</v>
      </c>
      <c r="N4">
        <v>1238.5</v>
      </c>
      <c r="O4">
        <v>3</v>
      </c>
      <c r="P4">
        <v>3</v>
      </c>
      <c r="Q4">
        <v>3</v>
      </c>
      <c r="R4">
        <v>3</v>
      </c>
      <c r="S4">
        <v>3</v>
      </c>
      <c r="T4">
        <v>3</v>
      </c>
      <c r="U4">
        <v>304</v>
      </c>
      <c r="V4">
        <v>229.5</v>
      </c>
      <c r="W4">
        <v>287.5</v>
      </c>
      <c r="X4">
        <v>286</v>
      </c>
      <c r="Y4">
        <v>135.5</v>
      </c>
      <c r="Z4">
        <v>0</v>
      </c>
      <c r="AA4">
        <v>0</v>
      </c>
      <c r="AB4">
        <v>0</v>
      </c>
      <c r="AC4">
        <v>0</v>
      </c>
      <c r="AD4">
        <v>0</v>
      </c>
      <c r="AE4">
        <v>304</v>
      </c>
      <c r="AF4">
        <v>229.5</v>
      </c>
      <c r="AG4">
        <v>287.5</v>
      </c>
      <c r="AH4">
        <v>286</v>
      </c>
      <c r="AI4">
        <v>135.5</v>
      </c>
      <c r="AJ4">
        <v>0</v>
      </c>
      <c r="AK4">
        <v>0</v>
      </c>
      <c r="AL4">
        <v>0</v>
      </c>
      <c r="AM4">
        <v>0</v>
      </c>
      <c r="AN4" s="5">
        <v>0</v>
      </c>
      <c r="AO4" t="str">
        <v>A101</v>
      </c>
      <c r="AP4" t="str">
        <v>MUHAMMED TAMEEM</v>
      </c>
      <c r="AQ4" t="str">
        <v>JARF</v>
      </c>
      <c r="AR4" t="str">
        <v>SUB JUNIOR</v>
      </c>
      <c r="AS4">
        <v>1</v>
      </c>
      <c r="AT4">
        <v>6</v>
      </c>
      <c r="AU4">
        <v>0</v>
      </c>
      <c r="AV4">
        <v>6</v>
      </c>
      <c r="AW4">
        <v>6</v>
      </c>
      <c r="AX4">
        <v>171</v>
      </c>
      <c r="AY4" s="5">
        <v>171</v>
      </c>
      <c r="AZ4" t="str">
        <v>SJ02</v>
      </c>
      <c r="BA4" t="str">
        <v>DICTIONARY MAKING ARB</v>
      </c>
      <c r="BB4" t="str">
        <v>SUB JUNIOR</v>
      </c>
      <c r="BC4" t="str">
        <v>Single</v>
      </c>
      <c r="BD4" t="str">
        <v>Non-Stg</v>
      </c>
      <c r="BE4">
        <v>3</v>
      </c>
      <c r="BF4" t="str">
        <v>Individual</v>
      </c>
      <c r="BG4" t="str">
        <v>Individual</v>
      </c>
      <c r="BH4" t="str">
        <v>P</v>
      </c>
      <c r="BI4" t="str">
        <v>PUBLISHED</v>
      </c>
      <c r="BK4">
        <v>0</v>
      </c>
      <c r="BL4">
        <v>0</v>
      </c>
      <c r="BM4">
        <v>0</v>
      </c>
      <c r="BN4">
        <v>0</v>
      </c>
      <c r="BO4">
        <v>0</v>
      </c>
      <c r="BP4">
        <v>0</v>
      </c>
      <c r="BQ4">
        <v>0</v>
      </c>
      <c r="BR4" t="str">
        <v>FANT_1</v>
      </c>
      <c r="BS4" t="str">
        <v>FANT_2</v>
      </c>
      <c r="BT4" t="str">
        <v>FANT_3</v>
      </c>
      <c r="BU4" t="str">
        <v>FANT_4</v>
      </c>
      <c r="BV4" t="str">
        <v>FANT_5</v>
      </c>
      <c r="BW4" t="str">
        <v>FANT_6</v>
      </c>
      <c r="BX4" t="str">
        <v>FANT_7</v>
      </c>
      <c r="BY4" t="str">
        <v>DAHF_1</v>
      </c>
      <c r="BZ4" t="str">
        <v>DAHF_2</v>
      </c>
      <c r="CA4" t="str">
        <v>DAHF_3</v>
      </c>
      <c r="CB4" t="str">
        <v>DAHF_4</v>
      </c>
      <c r="CC4" t="str">
        <v>DAHF_5</v>
      </c>
      <c r="CD4" t="str">
        <v>DAHF_6</v>
      </c>
      <c r="CE4" t="str">
        <v>DAHF_7</v>
      </c>
      <c r="CF4" t="str">
        <v>BADF_1</v>
      </c>
      <c r="CG4" t="str">
        <v>BADF_2</v>
      </c>
      <c r="CH4" t="str">
        <v>BADF_3</v>
      </c>
      <c r="CI4" t="str">
        <v>BADF_4</v>
      </c>
      <c r="CJ4" t="str">
        <v>BADF_5</v>
      </c>
      <c r="CK4" t="str">
        <v>BADF_6</v>
      </c>
      <c r="CL4" t="str">
        <v>BADF_7</v>
      </c>
      <c r="CM4" t="str">
        <v>JARF_1</v>
      </c>
      <c r="CN4" t="str">
        <v>JARF_2</v>
      </c>
      <c r="CO4" t="str">
        <v>JARF_3</v>
      </c>
      <c r="CP4" t="str">
        <v>JARF_4</v>
      </c>
      <c r="CQ4" t="str">
        <v>JARF_5</v>
      </c>
      <c r="CR4" t="str">
        <v>JARF_6</v>
      </c>
      <c r="CS4" t="str">
        <v>JARF_7</v>
      </c>
      <c r="CT4" t="e">
        <v>#REF!</v>
      </c>
      <c r="CU4" t="e">
        <v>#REF!</v>
      </c>
      <c r="CV4" t="e">
        <v>#REF!</v>
      </c>
      <c r="CW4" t="e">
        <v>#REF!</v>
      </c>
      <c r="CX4" t="e">
        <v>#REF!</v>
      </c>
      <c r="CY4" t="e">
        <v>#REF!</v>
      </c>
      <c r="CZ4" t="e">
        <v>#REF!</v>
      </c>
      <c r="DA4" t="e">
        <v>#REF!</v>
      </c>
      <c r="DB4" t="e">
        <v>#REF!</v>
      </c>
      <c r="DC4" t="e">
        <v>#REF!</v>
      </c>
      <c r="DD4" t="e">
        <v>#REF!</v>
      </c>
      <c r="DE4" t="e">
        <v>#REF!</v>
      </c>
      <c r="DF4" t="e">
        <v>#REF!</v>
      </c>
      <c r="DG4" t="e">
        <v>#REF!</v>
      </c>
      <c r="DH4" t="e">
        <v>#REF!</v>
      </c>
      <c r="DI4" t="e">
        <v>#REF!</v>
      </c>
      <c r="DJ4" t="e">
        <v>#REF!</v>
      </c>
      <c r="DK4" t="e">
        <v>#REF!</v>
      </c>
      <c r="DL4" t="e">
        <v>#REF!</v>
      </c>
      <c r="DM4" t="e">
        <v>#REF!</v>
      </c>
      <c r="DN4" t="e">
        <v>#REF!</v>
      </c>
      <c r="DO4" t="e">
        <v>#REF!</v>
      </c>
      <c r="DP4" t="e">
        <v>#REF!</v>
      </c>
      <c r="DQ4" t="e">
        <v>#REF!</v>
      </c>
      <c r="DR4" t="e">
        <v>#REF!</v>
      </c>
      <c r="DS4" t="e">
        <v>#REF!</v>
      </c>
      <c r="DT4" t="e">
        <v>#REF!</v>
      </c>
      <c r="DU4" t="e">
        <v>#REF!</v>
      </c>
      <c r="DV4" t="e">
        <v>#REF!</v>
      </c>
      <c r="DW4" t="e">
        <v>#REF!</v>
      </c>
      <c r="DX4" t="e">
        <v>#REF!</v>
      </c>
      <c r="DY4" t="e">
        <v>#REF!</v>
      </c>
      <c r="DZ4" t="e">
        <v>#REF!</v>
      </c>
      <c r="EA4" t="e">
        <v>#REF!</v>
      </c>
      <c r="EB4" t="e">
        <v>#REF!</v>
      </c>
      <c r="EC4" t="e">
        <v>#REF!</v>
      </c>
      <c r="ED4" t="e">
        <v>#REF!</v>
      </c>
      <c r="EE4" t="e">
        <v>#REF!</v>
      </c>
      <c r="EF4" t="e">
        <v>#REF!</v>
      </c>
      <c r="EG4" t="e">
        <v>#REF!</v>
      </c>
      <c r="EH4" t="e">
        <v>#REF!</v>
      </c>
      <c r="EI4" t="e">
        <v>#REF!</v>
      </c>
      <c r="EJ4" t="e">
        <v>#REF!</v>
      </c>
      <c r="EK4" t="e">
        <v>#REF!</v>
      </c>
      <c r="EL4" t="e">
        <v>#REF!</v>
      </c>
      <c r="EM4" t="e">
        <v>#REF!</v>
      </c>
      <c r="EN4" t="e">
        <v>#REF!</v>
      </c>
      <c r="EO4" t="e">
        <v>#REF!</v>
      </c>
      <c r="EP4" t="e">
        <v>#REF!</v>
      </c>
      <c r="EQ4" t="e">
        <v>#REF!</v>
      </c>
      <c r="ER4" t="e">
        <v>#REF!</v>
      </c>
      <c r="ES4" t="e">
        <v>#REF!</v>
      </c>
      <c r="ET4" t="e">
        <v>#REF!</v>
      </c>
      <c r="EU4" t="e">
        <v>#REF!</v>
      </c>
      <c r="EV4" t="e">
        <v>#REF!</v>
      </c>
      <c r="EW4" t="e">
        <v>#REF!</v>
      </c>
      <c r="EX4" t="e">
        <v>#REF!</v>
      </c>
      <c r="EY4" t="e">
        <v>#REF!</v>
      </c>
      <c r="EZ4" t="e">
        <v>#REF!</v>
      </c>
      <c r="FA4" t="e">
        <v>#REF!</v>
      </c>
      <c r="FB4" t="e">
        <v>#REF!</v>
      </c>
      <c r="FC4" t="e">
        <v>#REF!</v>
      </c>
      <c r="FD4" t="e">
        <v>#REF!</v>
      </c>
      <c r="FE4" t="e">
        <v>#REF!</v>
      </c>
      <c r="FF4" t="e">
        <v>#REF!</v>
      </c>
      <c r="FG4" t="e">
        <v>#REF!</v>
      </c>
      <c r="FH4" t="e">
        <v>#REF!</v>
      </c>
      <c r="FI4" t="e">
        <v>#REF!</v>
      </c>
      <c r="FJ4" t="e">
        <v>#REF!</v>
      </c>
      <c r="FK4" t="e">
        <v>#REF!</v>
      </c>
      <c r="FL4" t="e">
        <v>#REF!</v>
      </c>
      <c r="FM4" t="e">
        <v>#REF!</v>
      </c>
      <c r="FN4" t="e">
        <v>#REF!</v>
      </c>
      <c r="FO4" t="e">
        <v>#REF!</v>
      </c>
      <c r="FP4" t="e">
        <v>#REF!</v>
      </c>
      <c r="FQ4" t="e">
        <v>#REF!</v>
      </c>
      <c r="FR4" t="e">
        <v>#REF!</v>
      </c>
      <c r="FS4" t="e">
        <v>#REF!</v>
      </c>
      <c r="FT4" t="e">
        <v>#REF!</v>
      </c>
      <c r="FU4" t="e">
        <v>#REF!</v>
      </c>
      <c r="FV4" t="e">
        <v>#REF!</v>
      </c>
      <c r="FW4" t="e">
        <v>#REF!</v>
      </c>
      <c r="FX4" t="e">
        <v>#REF!</v>
      </c>
      <c r="FY4" t="e">
        <v>#REF!</v>
      </c>
      <c r="FZ4" t="e">
        <v>#REF!</v>
      </c>
      <c r="GA4" t="e">
        <v>#REF!</v>
      </c>
      <c r="GB4" t="e">
        <v>#REF!</v>
      </c>
      <c r="GC4" t="e">
        <v>#REF!</v>
      </c>
      <c r="GD4" t="e">
        <v>#REF!</v>
      </c>
      <c r="GE4" t="e">
        <v>#REF!</v>
      </c>
      <c r="GF4" t="e">
        <v>#REF!</v>
      </c>
      <c r="GG4" t="e">
        <v>#REF!</v>
      </c>
      <c r="GH4" t="e">
        <v>#REF!</v>
      </c>
      <c r="GI4" t="e">
        <v>#REF!</v>
      </c>
      <c r="GJ4" t="e">
        <v>#REF!</v>
      </c>
      <c r="GK4" t="e">
        <v>#REF!</v>
      </c>
      <c r="GL4" t="e">
        <v>#REF!</v>
      </c>
      <c r="GM4" t="e">
        <v>#REF!</v>
      </c>
      <c r="GN4" t="e">
        <v>#REF!</v>
      </c>
      <c r="GO4" t="e">
        <v>#REF!</v>
      </c>
      <c r="GP4" t="e">
        <v>#REF!</v>
      </c>
      <c r="GQ4" t="e">
        <v>#REF!</v>
      </c>
      <c r="GR4" t="e">
        <v>#REF!</v>
      </c>
      <c r="GS4" t="e">
        <v>#REF!</v>
      </c>
      <c r="GT4" t="e">
        <v>#REF!</v>
      </c>
      <c r="GU4" t="e">
        <v>#REF!</v>
      </c>
      <c r="GV4" t="e">
        <v>#REF!</v>
      </c>
      <c r="GW4" t="e">
        <v>#REF!</v>
      </c>
      <c r="GX4" t="e">
        <v>#REF!</v>
      </c>
      <c r="GY4" t="e">
        <v>#REF!</v>
      </c>
      <c r="GZ4" t="e">
        <v>#REF!</v>
      </c>
      <c r="HA4" t="e">
        <v>#REF!</v>
      </c>
      <c r="HB4" t="e">
        <v>#REF!</v>
      </c>
      <c r="HC4" t="e">
        <v>#REF!</v>
      </c>
      <c r="HD4" t="e">
        <v>#REF!</v>
      </c>
      <c r="HE4" t="e">
        <v>#REF!</v>
      </c>
      <c r="HF4" t="e">
        <v>#REF!</v>
      </c>
      <c r="HG4" t="e">
        <v>#REF!</v>
      </c>
      <c r="HH4" t="e">
        <v>#REF!</v>
      </c>
      <c r="HI4" t="e">
        <v>#REF!</v>
      </c>
      <c r="HJ4" t="e">
        <v>#REF!</v>
      </c>
      <c r="HK4" t="e">
        <v>#REF!</v>
      </c>
      <c r="HL4" t="e">
        <v>#REF!</v>
      </c>
      <c r="HM4" t="e">
        <v>#REF!</v>
      </c>
      <c r="HN4" t="e">
        <v>#REF!</v>
      </c>
      <c r="HO4" t="e">
        <v>#REF!</v>
      </c>
      <c r="HP4" t="e">
        <v>#REF!</v>
      </c>
      <c r="HQ4" t="e">
        <v>#REF!</v>
      </c>
      <c r="HR4" t="e">
        <v>#REF!</v>
      </c>
      <c r="HS4" t="e">
        <v>#REF!</v>
      </c>
      <c r="HT4" t="e">
        <v>#REF!</v>
      </c>
      <c r="HU4" t="e">
        <v>#REF!</v>
      </c>
      <c r="HV4" t="e">
        <v>#REF!</v>
      </c>
      <c r="HW4" t="e">
        <v>#REF!</v>
      </c>
      <c r="HX4" t="e">
        <v>#REF!</v>
      </c>
      <c r="HY4" t="e">
        <v>#REF!</v>
      </c>
      <c r="HZ4" t="e">
        <v>#REF!</v>
      </c>
      <c r="IA4" t="e">
        <v>#REF!</v>
      </c>
      <c r="IB4" t="e">
        <v>#REF!</v>
      </c>
      <c r="IC4" t="e">
        <v>#REF!</v>
      </c>
      <c r="ID4" t="e">
        <v>#REF!</v>
      </c>
      <c r="IE4" t="e">
        <v>#REF!</v>
      </c>
      <c r="IF4" t="e">
        <v>#REF!</v>
      </c>
      <c r="IG4" t="e">
        <v>#REF!</v>
      </c>
      <c r="IH4" t="e">
        <v>#REF!</v>
      </c>
      <c r="II4" t="e">
        <v>#REF!</v>
      </c>
      <c r="IJ4" t="e">
        <v>#REF!</v>
      </c>
      <c r="IK4" t="e">
        <v>#REF!</v>
      </c>
      <c r="IL4" t="e">
        <v>#REF!</v>
      </c>
      <c r="IM4" t="e">
        <v>#REF!</v>
      </c>
      <c r="IN4" t="e">
        <v>#REF!</v>
      </c>
      <c r="IO4" t="e">
        <v>#REF!</v>
      </c>
      <c r="IP4" t="e">
        <v>#REF!</v>
      </c>
      <c r="IQ4" t="e">
        <v>#REF!</v>
      </c>
      <c r="IR4" t="e">
        <v>#REF!</v>
      </c>
      <c r="IS4" t="e">
        <v>#REF!</v>
      </c>
      <c r="IT4" t="e">
        <v>#REF!</v>
      </c>
      <c r="IU4" t="e">
        <v>#REF!</v>
      </c>
      <c r="IV4" t="e">
        <v>#REF!</v>
      </c>
      <c r="IW4" t="e">
        <v>#REF!</v>
      </c>
      <c r="IX4" t="e">
        <v>#REF!</v>
      </c>
      <c r="IY4" t="e">
        <v>#REF!</v>
      </c>
      <c r="IZ4" t="e">
        <v>#REF!</v>
      </c>
      <c r="JA4" t="e">
        <v>#REF!</v>
      </c>
      <c r="JB4" t="e">
        <v>#REF!</v>
      </c>
      <c r="JC4" t="e">
        <v>#REF!</v>
      </c>
      <c r="JD4" t="e">
        <v>#REF!</v>
      </c>
      <c r="JE4" t="e">
        <v>#REF!</v>
      </c>
      <c r="JF4" t="e">
        <v>#REF!</v>
      </c>
      <c r="JG4" t="e">
        <v>#REF!</v>
      </c>
      <c r="JH4" t="e">
        <v>#REF!</v>
      </c>
      <c r="JI4" t="e">
        <v>#REF!</v>
      </c>
      <c r="JJ4" t="e">
        <v>#REF!</v>
      </c>
      <c r="JK4" t="e">
        <v>#REF!</v>
      </c>
      <c r="JL4" t="e">
        <v>#REF!</v>
      </c>
      <c r="JM4" t="e">
        <v>#REF!</v>
      </c>
      <c r="JN4" t="e">
        <v>#REF!</v>
      </c>
      <c r="JO4" t="e">
        <v>#REF!</v>
      </c>
      <c r="JP4" t="e">
        <v>#REF!</v>
      </c>
      <c r="JQ4" t="e">
        <v>#REF!</v>
      </c>
      <c r="JR4" t="e">
        <v>#REF!</v>
      </c>
      <c r="JS4" t="e">
        <v>#REF!</v>
      </c>
      <c r="JT4" t="e">
        <v>#REF!</v>
      </c>
      <c r="JU4" t="e">
        <v>#REF!</v>
      </c>
      <c r="JV4" t="e">
        <v>#REF!</v>
      </c>
      <c r="JW4" t="e">
        <v>#REF!</v>
      </c>
      <c r="JX4" t="e">
        <v>#REF!</v>
      </c>
      <c r="JY4" t="e">
        <v>#REF!</v>
      </c>
      <c r="JZ4" t="e">
        <v>#REF!</v>
      </c>
      <c r="KA4" t="e">
        <v>#REF!</v>
      </c>
      <c r="KB4" t="e">
        <v>#REF!</v>
      </c>
      <c r="KC4" t="e">
        <v>#REF!</v>
      </c>
      <c r="KD4" t="e">
        <v>#REF!</v>
      </c>
      <c r="KE4" t="e">
        <v>#REF!</v>
      </c>
      <c r="KF4" t="e">
        <v>#REF!</v>
      </c>
      <c r="KG4" t="e">
        <v>#REF!</v>
      </c>
      <c r="KH4" t="e">
        <v>#REF!</v>
      </c>
      <c r="KI4" t="e">
        <v>#REF!</v>
      </c>
      <c r="KJ4" t="e">
        <v>#REF!</v>
      </c>
      <c r="KK4" t="e">
        <v>#REF!</v>
      </c>
      <c r="KL4" t="e">
        <v>#REF!</v>
      </c>
      <c r="KM4" t="e">
        <v>#REF!</v>
      </c>
      <c r="KN4" t="e">
        <v>#REF!</v>
      </c>
      <c r="KO4" t="e">
        <v>#REF!</v>
      </c>
      <c r="KP4" t="e">
        <v>#REF!</v>
      </c>
      <c r="KQ4" t="e">
        <v>#REF!</v>
      </c>
      <c r="KR4" t="e">
        <v>#REF!</v>
      </c>
      <c r="KS4" t="e">
        <v>#REF!</v>
      </c>
      <c r="KT4" t="e">
        <v>#REF!</v>
      </c>
      <c r="KU4" t="e">
        <v>#REF!</v>
      </c>
      <c r="KV4" t="e">
        <v>#REF!</v>
      </c>
      <c r="KW4" t="e">
        <v>#REF!</v>
      </c>
      <c r="KX4" t="e">
        <v>#REF!</v>
      </c>
      <c r="KY4" t="e">
        <v>#REF!</v>
      </c>
      <c r="KZ4" t="e">
        <v>#REF!</v>
      </c>
      <c r="LA4" t="e">
        <v>#REF!</v>
      </c>
      <c r="LB4" t="e">
        <v>#REF!</v>
      </c>
      <c r="LC4" t="e">
        <v>#REF!</v>
      </c>
      <c r="LD4" t="e">
        <v>#REF!</v>
      </c>
      <c r="LE4" t="e">
        <v>#REF!</v>
      </c>
      <c r="LF4" t="e">
        <v>#REF!</v>
      </c>
      <c r="LG4" t="e">
        <v>#REF!</v>
      </c>
      <c r="LH4" t="e">
        <v>#REF!</v>
      </c>
      <c r="LI4" t="e">
        <v>#REF!</v>
      </c>
      <c r="LJ4" t="e">
        <v>#REF!</v>
      </c>
      <c r="LK4" t="e">
        <v>#REF!</v>
      </c>
      <c r="LL4" t="e">
        <v>#REF!</v>
      </c>
      <c r="LM4" t="e">
        <v>#REF!</v>
      </c>
      <c r="LN4" t="e">
        <v>#REF!</v>
      </c>
      <c r="LO4" t="e">
        <v>#REF!</v>
      </c>
      <c r="LP4" t="e">
        <v>#REF!</v>
      </c>
      <c r="LQ4" t="e">
        <v>#REF!</v>
      </c>
      <c r="LR4" t="e">
        <v>#REF!</v>
      </c>
      <c r="LS4" t="e">
        <v>#REF!</v>
      </c>
      <c r="LT4" t="e">
        <v>#REF!</v>
      </c>
      <c r="LU4" t="e">
        <v>#REF!</v>
      </c>
      <c r="LV4" t="e">
        <v>#REF!</v>
      </c>
      <c r="LW4" t="e">
        <v>#REF!</v>
      </c>
      <c r="LX4" t="e">
        <v>#REF!</v>
      </c>
      <c r="LY4" t="e">
        <v>#REF!</v>
      </c>
      <c r="LZ4" t="e">
        <v>#REF!</v>
      </c>
      <c r="MA4" t="e">
        <v>#REF!</v>
      </c>
      <c r="MB4" t="e">
        <v>#REF!</v>
      </c>
      <c r="MC4" t="e">
        <v>#REF!</v>
      </c>
      <c r="MD4" t="e">
        <v>#REF!</v>
      </c>
      <c r="ME4" t="e">
        <v>#REF!</v>
      </c>
      <c r="MF4" t="e">
        <v>#REF!</v>
      </c>
      <c r="MG4" t="e">
        <v>#REF!</v>
      </c>
      <c r="MH4" t="e">
        <v>#REF!</v>
      </c>
      <c r="MI4" t="e">
        <v>#REF!</v>
      </c>
      <c r="MJ4" t="e">
        <v>#REF!</v>
      </c>
      <c r="MK4" t="e">
        <v>#REF!</v>
      </c>
      <c r="ML4" t="e">
        <v>#REF!</v>
      </c>
      <c r="MM4" t="e">
        <v>#REF!</v>
      </c>
      <c r="MN4" t="e">
        <v>#REF!</v>
      </c>
      <c r="MO4" t="e">
        <v>#REF!</v>
      </c>
      <c r="MP4" t="e">
        <v>#REF!</v>
      </c>
      <c r="MQ4" t="e">
        <v>#REF!</v>
      </c>
      <c r="MR4" t="e">
        <v>#REF!</v>
      </c>
      <c r="MS4" t="e">
        <v>#REF!</v>
      </c>
      <c r="MT4" t="e">
        <v>#REF!</v>
      </c>
      <c r="MU4" t="e">
        <v>#REF!</v>
      </c>
      <c r="MV4" t="e">
        <v>#REF!</v>
      </c>
      <c r="MW4" t="e">
        <v>#REF!</v>
      </c>
      <c r="MX4" t="e">
        <v>#REF!</v>
      </c>
      <c r="MY4" t="e">
        <v>#REF!</v>
      </c>
      <c r="MZ4" t="e">
        <v>#REF!</v>
      </c>
      <c r="NA4" t="e">
        <v>#REF!</v>
      </c>
      <c r="NB4" t="e">
        <v>#REF!</v>
      </c>
      <c r="NC4" t="e">
        <v>#REF!</v>
      </c>
      <c r="ND4" t="e">
        <v>#REF!</v>
      </c>
      <c r="NE4" t="e">
        <v>#REF!</v>
      </c>
    </row>
    <row r="5" spans="1:371" x14ac:dyDescent="0.45">
      <c r="C5" t="str">
        <v>SENIOR</v>
      </c>
      <c r="E5" t="str">
        <v>BADF</v>
      </c>
      <c r="F5" t="str">
        <v>BADFATHAN</v>
      </c>
      <c r="G5">
        <v>1275</v>
      </c>
      <c r="H5">
        <v>1275</v>
      </c>
      <c r="I5">
        <v>1275</v>
      </c>
      <c r="J5">
        <v>0</v>
      </c>
      <c r="K5">
        <v>-2</v>
      </c>
      <c r="L5">
        <v>1273</v>
      </c>
      <c r="M5">
        <v>1273</v>
      </c>
      <c r="N5">
        <v>1273</v>
      </c>
      <c r="O5">
        <v>1</v>
      </c>
      <c r="P5">
        <v>1</v>
      </c>
      <c r="Q5">
        <v>1</v>
      </c>
      <c r="R5">
        <v>1</v>
      </c>
      <c r="S5">
        <v>1</v>
      </c>
      <c r="T5">
        <v>1</v>
      </c>
      <c r="U5">
        <v>304</v>
      </c>
      <c r="V5">
        <v>256</v>
      </c>
      <c r="W5">
        <v>295.5</v>
      </c>
      <c r="X5">
        <v>279</v>
      </c>
      <c r="Y5">
        <v>140.5</v>
      </c>
      <c r="Z5">
        <v>0</v>
      </c>
      <c r="AA5">
        <v>0</v>
      </c>
      <c r="AB5">
        <v>0</v>
      </c>
      <c r="AC5">
        <v>0</v>
      </c>
      <c r="AD5">
        <v>0</v>
      </c>
      <c r="AE5">
        <v>304</v>
      </c>
      <c r="AF5">
        <v>256</v>
      </c>
      <c r="AG5">
        <v>295.5</v>
      </c>
      <c r="AH5">
        <v>279</v>
      </c>
      <c r="AI5">
        <v>140.5</v>
      </c>
      <c r="AJ5">
        <v>0</v>
      </c>
      <c r="AK5">
        <v>0</v>
      </c>
      <c r="AL5">
        <v>0</v>
      </c>
      <c r="AM5">
        <v>0</v>
      </c>
      <c r="AN5" s="5">
        <v>0</v>
      </c>
      <c r="AO5" t="str">
        <v>A102</v>
      </c>
      <c r="AP5" t="str">
        <v>AJZAL ASHRAF OV</v>
      </c>
      <c r="AQ5" t="str">
        <v>JARF</v>
      </c>
      <c r="AR5" t="str">
        <v>SUB JUNIOR</v>
      </c>
      <c r="AS5">
        <v>1</v>
      </c>
      <c r="AT5">
        <v>14</v>
      </c>
      <c r="AU5">
        <v>0</v>
      </c>
      <c r="AV5">
        <v>14</v>
      </c>
      <c r="AW5">
        <v>14</v>
      </c>
      <c r="AX5">
        <v>104</v>
      </c>
      <c r="AY5" s="5">
        <v>104</v>
      </c>
      <c r="AZ5" t="str">
        <v>SJ03</v>
      </c>
      <c r="BA5" t="str">
        <v>DICTIONARY MAKING ENG</v>
      </c>
      <c r="BB5" t="str">
        <v>SUB JUNIOR</v>
      </c>
      <c r="BC5" t="str">
        <v>Single</v>
      </c>
      <c r="BD5" t="str">
        <v>Non-Stg</v>
      </c>
      <c r="BE5">
        <v>3</v>
      </c>
      <c r="BF5" t="str">
        <v>Individual</v>
      </c>
      <c r="BG5" t="str">
        <v>Individual</v>
      </c>
      <c r="BH5" t="str">
        <v>P</v>
      </c>
      <c r="BI5" t="str">
        <v>PUBLISHED</v>
      </c>
      <c r="BK5" t="str">
        <v>🔍</v>
      </c>
      <c r="BL5" t="str">
        <v>SJ02</v>
      </c>
      <c r="BM5" t="str">
        <v>DICTIONARY MAKING ARB</v>
      </c>
      <c r="BN5">
        <v>3</v>
      </c>
      <c r="BO5" t="str">
        <v>Single</v>
      </c>
      <c r="BP5" t="str">
        <v>Non-Stg</v>
      </c>
      <c r="BQ5" t="str">
        <v>SUB JUNIOR</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c r="CT5">
        <v>0</v>
      </c>
      <c r="CU5">
        <v>0</v>
      </c>
      <c r="CV5">
        <v>0</v>
      </c>
      <c r="CW5">
        <v>0</v>
      </c>
      <c r="CX5">
        <v>0</v>
      </c>
      <c r="CY5">
        <v>0</v>
      </c>
      <c r="CZ5">
        <v>0</v>
      </c>
      <c r="DA5">
        <v>0</v>
      </c>
      <c r="DB5">
        <v>0</v>
      </c>
      <c r="DC5">
        <v>0</v>
      </c>
      <c r="DD5">
        <v>0</v>
      </c>
      <c r="DE5">
        <v>0</v>
      </c>
      <c r="DF5">
        <v>0</v>
      </c>
      <c r="DG5">
        <v>0</v>
      </c>
      <c r="DH5">
        <v>0</v>
      </c>
      <c r="DI5">
        <v>0</v>
      </c>
      <c r="DJ5">
        <v>0</v>
      </c>
      <c r="DK5">
        <v>0</v>
      </c>
      <c r="DL5">
        <v>0</v>
      </c>
      <c r="DM5">
        <v>0</v>
      </c>
      <c r="DN5">
        <v>0</v>
      </c>
      <c r="DO5">
        <v>0</v>
      </c>
      <c r="DP5">
        <v>0</v>
      </c>
      <c r="DQ5">
        <v>0</v>
      </c>
      <c r="DR5">
        <v>0</v>
      </c>
      <c r="DS5">
        <v>0</v>
      </c>
      <c r="DT5">
        <v>0</v>
      </c>
      <c r="DU5">
        <v>0</v>
      </c>
      <c r="DV5">
        <v>0</v>
      </c>
      <c r="DW5">
        <v>0</v>
      </c>
      <c r="DX5">
        <v>0</v>
      </c>
      <c r="DY5">
        <v>0</v>
      </c>
      <c r="DZ5">
        <v>0</v>
      </c>
      <c r="EA5">
        <v>0</v>
      </c>
      <c r="EB5">
        <v>0</v>
      </c>
      <c r="EC5">
        <v>0</v>
      </c>
      <c r="ED5">
        <v>0</v>
      </c>
      <c r="EE5">
        <v>0</v>
      </c>
      <c r="EF5">
        <v>0</v>
      </c>
      <c r="EG5">
        <v>0</v>
      </c>
      <c r="EH5">
        <v>0</v>
      </c>
      <c r="EI5">
        <v>0</v>
      </c>
      <c r="EJ5">
        <v>0</v>
      </c>
      <c r="EK5">
        <v>0</v>
      </c>
      <c r="EL5">
        <v>0</v>
      </c>
      <c r="EM5">
        <v>0</v>
      </c>
      <c r="EN5">
        <v>0</v>
      </c>
      <c r="EO5">
        <v>0</v>
      </c>
      <c r="EP5">
        <v>0</v>
      </c>
      <c r="EQ5">
        <v>0</v>
      </c>
      <c r="ER5">
        <v>0</v>
      </c>
      <c r="ES5">
        <v>0</v>
      </c>
      <c r="ET5">
        <v>0</v>
      </c>
      <c r="EU5">
        <v>0</v>
      </c>
      <c r="EV5">
        <v>0</v>
      </c>
      <c r="EW5">
        <v>0</v>
      </c>
      <c r="EX5">
        <v>0</v>
      </c>
      <c r="EY5">
        <v>0</v>
      </c>
      <c r="EZ5">
        <v>0</v>
      </c>
      <c r="FA5">
        <v>0</v>
      </c>
      <c r="FB5">
        <v>0</v>
      </c>
      <c r="FC5">
        <v>0</v>
      </c>
      <c r="FD5">
        <v>0</v>
      </c>
      <c r="FE5">
        <v>0</v>
      </c>
      <c r="FF5">
        <v>0</v>
      </c>
      <c r="FG5">
        <v>0</v>
      </c>
      <c r="FH5">
        <v>0</v>
      </c>
      <c r="FI5">
        <v>0</v>
      </c>
      <c r="FJ5">
        <v>0</v>
      </c>
      <c r="FK5">
        <v>0</v>
      </c>
      <c r="FL5">
        <v>0</v>
      </c>
      <c r="FM5">
        <v>0</v>
      </c>
      <c r="FN5">
        <v>0</v>
      </c>
      <c r="FO5">
        <v>0</v>
      </c>
      <c r="FP5">
        <v>0</v>
      </c>
      <c r="FQ5">
        <v>0</v>
      </c>
      <c r="FR5">
        <v>0</v>
      </c>
      <c r="FS5">
        <v>0</v>
      </c>
      <c r="FT5">
        <v>0</v>
      </c>
      <c r="FU5">
        <v>0</v>
      </c>
      <c r="FV5">
        <v>0</v>
      </c>
      <c r="FW5">
        <v>0</v>
      </c>
      <c r="FX5">
        <v>0</v>
      </c>
      <c r="FY5">
        <v>0</v>
      </c>
      <c r="FZ5">
        <v>0</v>
      </c>
      <c r="GA5">
        <v>0</v>
      </c>
      <c r="GB5">
        <v>0</v>
      </c>
      <c r="GC5">
        <v>0</v>
      </c>
      <c r="GD5">
        <v>0</v>
      </c>
      <c r="GE5">
        <v>0</v>
      </c>
      <c r="GF5">
        <v>0</v>
      </c>
      <c r="GG5">
        <v>0</v>
      </c>
      <c r="GH5">
        <v>0</v>
      </c>
      <c r="GI5">
        <v>0</v>
      </c>
      <c r="GJ5">
        <v>0</v>
      </c>
      <c r="GK5">
        <v>0</v>
      </c>
      <c r="GL5">
        <v>0</v>
      </c>
      <c r="GM5">
        <v>0</v>
      </c>
      <c r="GN5">
        <v>0</v>
      </c>
      <c r="GO5">
        <v>0</v>
      </c>
      <c r="GP5">
        <v>0</v>
      </c>
      <c r="GQ5">
        <v>0</v>
      </c>
      <c r="GR5">
        <v>0</v>
      </c>
      <c r="GS5">
        <v>0</v>
      </c>
      <c r="GT5">
        <v>0</v>
      </c>
      <c r="GU5">
        <v>0</v>
      </c>
      <c r="GV5">
        <v>0</v>
      </c>
      <c r="GW5">
        <v>0</v>
      </c>
      <c r="GX5">
        <v>0</v>
      </c>
      <c r="GY5">
        <v>0</v>
      </c>
      <c r="GZ5">
        <v>0</v>
      </c>
      <c r="HA5">
        <v>0</v>
      </c>
      <c r="HB5">
        <v>0</v>
      </c>
      <c r="HC5">
        <v>0</v>
      </c>
      <c r="HD5">
        <v>0</v>
      </c>
      <c r="HE5">
        <v>0</v>
      </c>
      <c r="HF5">
        <v>0</v>
      </c>
      <c r="HG5">
        <v>0</v>
      </c>
      <c r="HH5">
        <v>0</v>
      </c>
      <c r="HI5">
        <v>0</v>
      </c>
      <c r="HJ5">
        <v>0</v>
      </c>
      <c r="HK5">
        <v>0</v>
      </c>
      <c r="HL5">
        <v>0</v>
      </c>
      <c r="HM5">
        <v>0</v>
      </c>
      <c r="HN5">
        <v>0</v>
      </c>
      <c r="HO5">
        <v>0</v>
      </c>
      <c r="HP5">
        <v>0</v>
      </c>
      <c r="HQ5">
        <v>0</v>
      </c>
      <c r="HR5">
        <v>0</v>
      </c>
      <c r="HS5">
        <v>0</v>
      </c>
      <c r="HT5">
        <v>0</v>
      </c>
      <c r="HU5">
        <v>0</v>
      </c>
      <c r="HV5">
        <v>0</v>
      </c>
      <c r="HW5">
        <v>0</v>
      </c>
      <c r="HX5">
        <v>0</v>
      </c>
      <c r="HY5">
        <v>0</v>
      </c>
      <c r="HZ5">
        <v>0</v>
      </c>
      <c r="IA5">
        <v>0</v>
      </c>
      <c r="IB5">
        <v>0</v>
      </c>
      <c r="IC5">
        <v>0</v>
      </c>
      <c r="ID5">
        <v>0</v>
      </c>
      <c r="IE5">
        <v>0</v>
      </c>
      <c r="IF5">
        <v>0</v>
      </c>
      <c r="IG5">
        <v>0</v>
      </c>
      <c r="IH5">
        <v>0</v>
      </c>
      <c r="II5">
        <v>0</v>
      </c>
      <c r="IJ5">
        <v>0</v>
      </c>
      <c r="IK5">
        <v>0</v>
      </c>
      <c r="IL5">
        <v>0</v>
      </c>
      <c r="IM5">
        <v>0</v>
      </c>
      <c r="IN5">
        <v>0</v>
      </c>
      <c r="IO5">
        <v>0</v>
      </c>
      <c r="IP5">
        <v>0</v>
      </c>
      <c r="IQ5">
        <v>0</v>
      </c>
      <c r="IR5">
        <v>0</v>
      </c>
      <c r="IS5">
        <v>0</v>
      </c>
      <c r="IT5">
        <v>0</v>
      </c>
      <c r="IU5">
        <v>0</v>
      </c>
      <c r="IV5">
        <v>0</v>
      </c>
      <c r="IW5">
        <v>0</v>
      </c>
      <c r="IX5">
        <v>0</v>
      </c>
      <c r="IY5">
        <v>0</v>
      </c>
      <c r="IZ5">
        <v>0</v>
      </c>
      <c r="JA5">
        <v>0</v>
      </c>
      <c r="JB5">
        <v>0</v>
      </c>
      <c r="JC5">
        <v>0</v>
      </c>
      <c r="JD5">
        <v>0</v>
      </c>
      <c r="JE5">
        <v>0</v>
      </c>
      <c r="JF5">
        <v>0</v>
      </c>
      <c r="JG5">
        <v>0</v>
      </c>
      <c r="JH5">
        <v>0</v>
      </c>
      <c r="JI5">
        <v>0</v>
      </c>
      <c r="JJ5">
        <v>0</v>
      </c>
      <c r="JK5">
        <v>0</v>
      </c>
      <c r="JL5">
        <v>0</v>
      </c>
      <c r="JM5">
        <v>0</v>
      </c>
      <c r="JN5">
        <v>0</v>
      </c>
      <c r="JO5">
        <v>0</v>
      </c>
      <c r="JP5">
        <v>0</v>
      </c>
      <c r="JQ5">
        <v>0</v>
      </c>
      <c r="JR5">
        <v>0</v>
      </c>
      <c r="JS5">
        <v>0</v>
      </c>
      <c r="JT5">
        <v>0</v>
      </c>
      <c r="JU5">
        <v>0</v>
      </c>
      <c r="JV5">
        <v>0</v>
      </c>
      <c r="JW5">
        <v>0</v>
      </c>
      <c r="JX5">
        <v>0</v>
      </c>
      <c r="JY5">
        <v>0</v>
      </c>
      <c r="JZ5">
        <v>0</v>
      </c>
      <c r="KA5">
        <v>0</v>
      </c>
      <c r="KB5">
        <v>0</v>
      </c>
      <c r="KC5">
        <v>0</v>
      </c>
      <c r="KD5">
        <v>0</v>
      </c>
      <c r="KE5">
        <v>0</v>
      </c>
      <c r="KF5">
        <v>0</v>
      </c>
      <c r="KG5">
        <v>0</v>
      </c>
      <c r="KH5">
        <v>0</v>
      </c>
      <c r="KI5">
        <v>0</v>
      </c>
      <c r="KJ5">
        <v>0</v>
      </c>
      <c r="KK5">
        <v>0</v>
      </c>
      <c r="KL5">
        <v>0</v>
      </c>
      <c r="KM5">
        <v>0</v>
      </c>
      <c r="KN5">
        <v>0</v>
      </c>
      <c r="KO5">
        <v>0</v>
      </c>
      <c r="KP5">
        <v>0</v>
      </c>
      <c r="KQ5">
        <v>0</v>
      </c>
      <c r="KR5">
        <v>0</v>
      </c>
      <c r="KS5">
        <v>0</v>
      </c>
      <c r="KT5">
        <v>0</v>
      </c>
      <c r="KU5">
        <v>0</v>
      </c>
      <c r="KV5">
        <v>0</v>
      </c>
      <c r="KW5">
        <v>0</v>
      </c>
      <c r="KX5">
        <v>0</v>
      </c>
      <c r="KY5">
        <v>0</v>
      </c>
      <c r="KZ5">
        <v>0</v>
      </c>
      <c r="LA5">
        <v>0</v>
      </c>
      <c r="LB5">
        <v>0</v>
      </c>
      <c r="LC5">
        <v>0</v>
      </c>
      <c r="LD5">
        <v>0</v>
      </c>
      <c r="LE5">
        <v>0</v>
      </c>
      <c r="LF5">
        <v>0</v>
      </c>
      <c r="LG5">
        <v>0</v>
      </c>
      <c r="LH5">
        <v>0</v>
      </c>
      <c r="LI5">
        <v>0</v>
      </c>
      <c r="LJ5">
        <v>0</v>
      </c>
      <c r="LK5">
        <v>0</v>
      </c>
      <c r="LL5">
        <v>0</v>
      </c>
      <c r="LM5">
        <v>0</v>
      </c>
      <c r="LN5">
        <v>0</v>
      </c>
      <c r="LO5">
        <v>0</v>
      </c>
      <c r="LP5">
        <v>0</v>
      </c>
      <c r="LQ5">
        <v>0</v>
      </c>
      <c r="LR5">
        <v>0</v>
      </c>
      <c r="LS5">
        <v>0</v>
      </c>
      <c r="LT5">
        <v>0</v>
      </c>
      <c r="LU5">
        <v>0</v>
      </c>
      <c r="LV5">
        <v>0</v>
      </c>
      <c r="LW5">
        <v>0</v>
      </c>
      <c r="LX5">
        <v>0</v>
      </c>
      <c r="LY5">
        <v>0</v>
      </c>
      <c r="LZ5">
        <v>0</v>
      </c>
      <c r="MA5">
        <v>0</v>
      </c>
      <c r="MB5">
        <v>0</v>
      </c>
      <c r="MC5">
        <v>0</v>
      </c>
      <c r="MD5">
        <v>0</v>
      </c>
      <c r="ME5">
        <v>0</v>
      </c>
      <c r="MF5">
        <v>0</v>
      </c>
      <c r="MG5">
        <v>0</v>
      </c>
      <c r="MH5">
        <v>0</v>
      </c>
      <c r="MI5">
        <v>0</v>
      </c>
      <c r="MJ5">
        <v>0</v>
      </c>
      <c r="MK5">
        <v>0</v>
      </c>
      <c r="ML5">
        <v>0</v>
      </c>
      <c r="MM5">
        <v>0</v>
      </c>
      <c r="MN5">
        <v>0</v>
      </c>
      <c r="MO5">
        <v>0</v>
      </c>
      <c r="MP5">
        <v>0</v>
      </c>
      <c r="MQ5">
        <v>0</v>
      </c>
      <c r="MR5">
        <v>0</v>
      </c>
      <c r="MS5">
        <v>0</v>
      </c>
      <c r="MT5">
        <v>0</v>
      </c>
      <c r="MU5">
        <v>0</v>
      </c>
      <c r="MV5">
        <v>0</v>
      </c>
      <c r="MW5">
        <v>0</v>
      </c>
      <c r="MX5">
        <v>0</v>
      </c>
      <c r="MY5">
        <v>0</v>
      </c>
      <c r="MZ5">
        <v>0</v>
      </c>
      <c r="NA5">
        <v>0</v>
      </c>
      <c r="NB5">
        <v>0</v>
      </c>
      <c r="NC5">
        <v>0</v>
      </c>
      <c r="ND5">
        <v>0</v>
      </c>
      <c r="NE5">
        <v>0</v>
      </c>
    </row>
    <row r="6" spans="1:371" x14ac:dyDescent="0.45">
      <c r="C6" t="str">
        <v>SUPER SENIOR</v>
      </c>
      <c r="E6" t="str">
        <v>JARF</v>
      </c>
      <c r="F6" t="str">
        <v>JARFATHAN</v>
      </c>
      <c r="G6">
        <v>1241.5</v>
      </c>
      <c r="H6">
        <v>1241.5</v>
      </c>
      <c r="I6">
        <v>1241.5</v>
      </c>
      <c r="J6">
        <v>0</v>
      </c>
      <c r="K6">
        <v>-4</v>
      </c>
      <c r="L6">
        <v>1237.5</v>
      </c>
      <c r="M6">
        <v>1237.5</v>
      </c>
      <c r="N6">
        <v>1237.5</v>
      </c>
      <c r="O6">
        <v>4</v>
      </c>
      <c r="P6">
        <v>4</v>
      </c>
      <c r="Q6">
        <v>4</v>
      </c>
      <c r="R6">
        <v>4</v>
      </c>
      <c r="S6">
        <v>4</v>
      </c>
      <c r="T6">
        <v>4</v>
      </c>
      <c r="U6">
        <v>271.5</v>
      </c>
      <c r="V6">
        <v>265.5</v>
      </c>
      <c r="W6">
        <v>306</v>
      </c>
      <c r="X6">
        <v>245.5</v>
      </c>
      <c r="Y6">
        <v>153</v>
      </c>
      <c r="Z6">
        <v>0</v>
      </c>
      <c r="AA6">
        <v>0</v>
      </c>
      <c r="AB6">
        <v>0</v>
      </c>
      <c r="AC6">
        <v>0</v>
      </c>
      <c r="AD6">
        <v>0</v>
      </c>
      <c r="AE6">
        <v>271.5</v>
      </c>
      <c r="AF6">
        <v>265.5</v>
      </c>
      <c r="AG6">
        <v>306</v>
      </c>
      <c r="AH6">
        <v>245.5</v>
      </c>
      <c r="AI6">
        <v>153</v>
      </c>
      <c r="AJ6">
        <v>0</v>
      </c>
      <c r="AK6">
        <v>0</v>
      </c>
      <c r="AL6">
        <v>0</v>
      </c>
      <c r="AM6">
        <v>0</v>
      </c>
      <c r="AN6" s="5">
        <v>0</v>
      </c>
      <c r="AO6" t="str">
        <v>A103</v>
      </c>
      <c r="AP6" t="str">
        <v>MUHAMMED RIZIN AMAN</v>
      </c>
      <c r="AQ6" t="str">
        <v>JARF</v>
      </c>
      <c r="AR6" t="str">
        <v>SUB JUNIOR</v>
      </c>
      <c r="AS6">
        <v>1</v>
      </c>
      <c r="AT6">
        <v>26.5</v>
      </c>
      <c r="AU6">
        <v>0</v>
      </c>
      <c r="AV6">
        <v>26.5</v>
      </c>
      <c r="AW6">
        <v>26.5</v>
      </c>
      <c r="AX6">
        <v>56</v>
      </c>
      <c r="AY6" s="5">
        <v>56</v>
      </c>
      <c r="AZ6" t="str">
        <v>SJ04</v>
      </c>
      <c r="BA6" t="str">
        <v>ESSAY WRITING MLM</v>
      </c>
      <c r="BB6" t="str">
        <v>SUB JUNIOR</v>
      </c>
      <c r="BC6" t="str">
        <v>Single</v>
      </c>
      <c r="BD6" t="str">
        <v>Non-Stg</v>
      </c>
      <c r="BE6">
        <v>3</v>
      </c>
      <c r="BF6" t="str">
        <v>Individual</v>
      </c>
      <c r="BG6" t="str">
        <v>Individual</v>
      </c>
      <c r="BH6" t="str">
        <v>P</v>
      </c>
      <c r="BI6" t="str">
        <v>PUBLISHED</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0</v>
      </c>
      <c r="DA6">
        <v>0</v>
      </c>
      <c r="DB6">
        <v>0</v>
      </c>
      <c r="DC6">
        <v>0</v>
      </c>
      <c r="DD6">
        <v>0</v>
      </c>
      <c r="DE6">
        <v>0</v>
      </c>
      <c r="DF6">
        <v>0</v>
      </c>
      <c r="DG6">
        <v>0</v>
      </c>
      <c r="DH6">
        <v>0</v>
      </c>
      <c r="DI6">
        <v>0</v>
      </c>
      <c r="DJ6">
        <v>0</v>
      </c>
      <c r="DK6">
        <v>0</v>
      </c>
      <c r="DL6">
        <v>0</v>
      </c>
      <c r="DM6">
        <v>0</v>
      </c>
      <c r="DN6">
        <v>0</v>
      </c>
      <c r="DO6">
        <v>0</v>
      </c>
      <c r="DP6">
        <v>0</v>
      </c>
      <c r="DQ6">
        <v>0</v>
      </c>
      <c r="DR6">
        <v>0</v>
      </c>
      <c r="DS6">
        <v>0</v>
      </c>
      <c r="DT6">
        <v>0</v>
      </c>
      <c r="DU6">
        <v>0</v>
      </c>
      <c r="DV6">
        <v>0</v>
      </c>
      <c r="DW6">
        <v>0</v>
      </c>
      <c r="DX6">
        <v>0</v>
      </c>
      <c r="DY6">
        <v>0</v>
      </c>
      <c r="DZ6">
        <v>0</v>
      </c>
      <c r="EA6">
        <v>0</v>
      </c>
      <c r="EB6">
        <v>0</v>
      </c>
      <c r="EC6">
        <v>0</v>
      </c>
      <c r="ED6">
        <v>0</v>
      </c>
      <c r="EE6">
        <v>0</v>
      </c>
      <c r="EF6">
        <v>0</v>
      </c>
      <c r="EG6">
        <v>0</v>
      </c>
      <c r="EH6">
        <v>0</v>
      </c>
      <c r="EI6">
        <v>0</v>
      </c>
      <c r="EJ6">
        <v>0</v>
      </c>
      <c r="EK6">
        <v>0</v>
      </c>
      <c r="EL6">
        <v>0</v>
      </c>
      <c r="EM6">
        <v>0</v>
      </c>
      <c r="EN6">
        <v>0</v>
      </c>
      <c r="EO6">
        <v>0</v>
      </c>
      <c r="EP6">
        <v>0</v>
      </c>
      <c r="EQ6">
        <v>0</v>
      </c>
      <c r="ER6">
        <v>0</v>
      </c>
      <c r="ES6">
        <v>0</v>
      </c>
      <c r="ET6">
        <v>0</v>
      </c>
      <c r="EU6">
        <v>0</v>
      </c>
      <c r="EV6">
        <v>0</v>
      </c>
      <c r="EW6">
        <v>0</v>
      </c>
      <c r="EX6">
        <v>0</v>
      </c>
      <c r="EY6">
        <v>0</v>
      </c>
      <c r="EZ6">
        <v>0</v>
      </c>
      <c r="FA6">
        <v>0</v>
      </c>
      <c r="FB6">
        <v>0</v>
      </c>
      <c r="FC6">
        <v>0</v>
      </c>
      <c r="FD6">
        <v>0</v>
      </c>
      <c r="FE6">
        <v>0</v>
      </c>
      <c r="FF6">
        <v>0</v>
      </c>
      <c r="FG6">
        <v>0</v>
      </c>
      <c r="FH6">
        <v>0</v>
      </c>
      <c r="FI6">
        <v>0</v>
      </c>
      <c r="FJ6">
        <v>0</v>
      </c>
      <c r="FK6">
        <v>0</v>
      </c>
      <c r="FL6">
        <v>0</v>
      </c>
      <c r="FM6">
        <v>0</v>
      </c>
      <c r="FN6">
        <v>0</v>
      </c>
      <c r="FO6">
        <v>0</v>
      </c>
      <c r="FP6">
        <v>0</v>
      </c>
      <c r="FQ6">
        <v>0</v>
      </c>
      <c r="FR6">
        <v>0</v>
      </c>
      <c r="FS6">
        <v>0</v>
      </c>
      <c r="FT6">
        <v>0</v>
      </c>
      <c r="FU6">
        <v>0</v>
      </c>
      <c r="FV6">
        <v>0</v>
      </c>
      <c r="FW6">
        <v>0</v>
      </c>
      <c r="FX6">
        <v>0</v>
      </c>
      <c r="FY6">
        <v>0</v>
      </c>
      <c r="FZ6">
        <v>0</v>
      </c>
      <c r="GA6">
        <v>0</v>
      </c>
      <c r="GB6">
        <v>0</v>
      </c>
      <c r="GC6">
        <v>0</v>
      </c>
      <c r="GD6">
        <v>0</v>
      </c>
      <c r="GE6">
        <v>0</v>
      </c>
      <c r="GF6">
        <v>0</v>
      </c>
      <c r="GG6">
        <v>0</v>
      </c>
      <c r="GH6">
        <v>0</v>
      </c>
      <c r="GI6">
        <v>0</v>
      </c>
      <c r="GJ6">
        <v>0</v>
      </c>
      <c r="GK6">
        <v>0</v>
      </c>
      <c r="GL6">
        <v>0</v>
      </c>
      <c r="GM6">
        <v>0</v>
      </c>
      <c r="GN6">
        <v>0</v>
      </c>
      <c r="GO6">
        <v>0</v>
      </c>
      <c r="GP6">
        <v>0</v>
      </c>
      <c r="GQ6">
        <v>0</v>
      </c>
      <c r="GR6">
        <v>0</v>
      </c>
      <c r="GS6">
        <v>0</v>
      </c>
      <c r="GT6">
        <v>0</v>
      </c>
      <c r="GU6">
        <v>0</v>
      </c>
      <c r="GV6">
        <v>0</v>
      </c>
      <c r="GW6">
        <v>0</v>
      </c>
      <c r="GX6">
        <v>0</v>
      </c>
      <c r="GY6">
        <v>0</v>
      </c>
      <c r="GZ6">
        <v>0</v>
      </c>
      <c r="HA6">
        <v>0</v>
      </c>
      <c r="HB6">
        <v>0</v>
      </c>
      <c r="HC6">
        <v>0</v>
      </c>
      <c r="HD6">
        <v>0</v>
      </c>
      <c r="HE6">
        <v>0</v>
      </c>
      <c r="HF6">
        <v>0</v>
      </c>
      <c r="HG6">
        <v>0</v>
      </c>
      <c r="HH6">
        <v>0</v>
      </c>
      <c r="HI6">
        <v>0</v>
      </c>
      <c r="HJ6">
        <v>0</v>
      </c>
      <c r="HK6">
        <v>0</v>
      </c>
      <c r="HL6">
        <v>0</v>
      </c>
      <c r="HM6">
        <v>0</v>
      </c>
      <c r="HN6">
        <v>0</v>
      </c>
      <c r="HO6">
        <v>0</v>
      </c>
      <c r="HP6">
        <v>0</v>
      </c>
      <c r="HQ6">
        <v>0</v>
      </c>
      <c r="HR6">
        <v>0</v>
      </c>
      <c r="HS6">
        <v>0</v>
      </c>
      <c r="HT6">
        <v>0</v>
      </c>
      <c r="HU6">
        <v>0</v>
      </c>
      <c r="HV6">
        <v>0</v>
      </c>
      <c r="HW6">
        <v>0</v>
      </c>
      <c r="HX6">
        <v>0</v>
      </c>
      <c r="HY6">
        <v>0</v>
      </c>
      <c r="HZ6">
        <v>0</v>
      </c>
      <c r="IA6">
        <v>0</v>
      </c>
      <c r="IB6">
        <v>0</v>
      </c>
      <c r="IC6">
        <v>0</v>
      </c>
      <c r="ID6">
        <v>0</v>
      </c>
      <c r="IE6">
        <v>0</v>
      </c>
      <c r="IF6">
        <v>0</v>
      </c>
      <c r="IG6">
        <v>0</v>
      </c>
      <c r="IH6">
        <v>0</v>
      </c>
      <c r="II6">
        <v>0</v>
      </c>
      <c r="IJ6">
        <v>0</v>
      </c>
      <c r="IK6">
        <v>0</v>
      </c>
      <c r="IL6">
        <v>0</v>
      </c>
      <c r="IM6">
        <v>0</v>
      </c>
      <c r="IN6">
        <v>0</v>
      </c>
      <c r="IO6">
        <v>0</v>
      </c>
      <c r="IP6">
        <v>0</v>
      </c>
      <c r="IQ6">
        <v>0</v>
      </c>
      <c r="IR6">
        <v>0</v>
      </c>
      <c r="IS6">
        <v>0</v>
      </c>
      <c r="IT6">
        <v>0</v>
      </c>
      <c r="IU6">
        <v>0</v>
      </c>
      <c r="IV6">
        <v>0</v>
      </c>
      <c r="IW6">
        <v>0</v>
      </c>
      <c r="IX6">
        <v>0</v>
      </c>
      <c r="IY6">
        <v>0</v>
      </c>
      <c r="IZ6">
        <v>0</v>
      </c>
      <c r="JA6">
        <v>0</v>
      </c>
      <c r="JB6">
        <v>0</v>
      </c>
      <c r="JC6">
        <v>0</v>
      </c>
      <c r="JD6">
        <v>0</v>
      </c>
      <c r="JE6">
        <v>0</v>
      </c>
      <c r="JF6">
        <v>0</v>
      </c>
      <c r="JG6">
        <v>0</v>
      </c>
      <c r="JH6">
        <v>0</v>
      </c>
      <c r="JI6">
        <v>0</v>
      </c>
      <c r="JJ6">
        <v>0</v>
      </c>
      <c r="JK6">
        <v>0</v>
      </c>
      <c r="JL6">
        <v>0</v>
      </c>
      <c r="JM6">
        <v>0</v>
      </c>
      <c r="JN6">
        <v>0</v>
      </c>
      <c r="JO6">
        <v>0</v>
      </c>
      <c r="JP6">
        <v>0</v>
      </c>
      <c r="JQ6">
        <v>0</v>
      </c>
      <c r="JR6">
        <v>0</v>
      </c>
      <c r="JS6">
        <v>0</v>
      </c>
      <c r="JT6">
        <v>0</v>
      </c>
      <c r="JU6">
        <v>0</v>
      </c>
      <c r="JV6">
        <v>0</v>
      </c>
      <c r="JW6">
        <v>0</v>
      </c>
      <c r="JX6">
        <v>0</v>
      </c>
      <c r="JY6">
        <v>0</v>
      </c>
      <c r="JZ6">
        <v>0</v>
      </c>
      <c r="KA6">
        <v>0</v>
      </c>
      <c r="KB6">
        <v>0</v>
      </c>
      <c r="KC6">
        <v>0</v>
      </c>
      <c r="KD6">
        <v>0</v>
      </c>
      <c r="KE6">
        <v>0</v>
      </c>
      <c r="KF6">
        <v>0</v>
      </c>
      <c r="KG6">
        <v>0</v>
      </c>
      <c r="KH6">
        <v>0</v>
      </c>
      <c r="KI6">
        <v>0</v>
      </c>
      <c r="KJ6">
        <v>0</v>
      </c>
      <c r="KK6">
        <v>0</v>
      </c>
      <c r="KL6">
        <v>0</v>
      </c>
      <c r="KM6">
        <v>0</v>
      </c>
      <c r="KN6">
        <v>0</v>
      </c>
      <c r="KO6">
        <v>0</v>
      </c>
      <c r="KP6">
        <v>0</v>
      </c>
      <c r="KQ6">
        <v>0</v>
      </c>
      <c r="KR6">
        <v>0</v>
      </c>
      <c r="KS6">
        <v>0</v>
      </c>
      <c r="KT6">
        <v>0</v>
      </c>
      <c r="KU6">
        <v>0</v>
      </c>
      <c r="KV6">
        <v>0</v>
      </c>
      <c r="KW6">
        <v>0</v>
      </c>
      <c r="KX6">
        <v>0</v>
      </c>
      <c r="KY6">
        <v>0</v>
      </c>
      <c r="KZ6">
        <v>0</v>
      </c>
      <c r="LA6">
        <v>0</v>
      </c>
      <c r="LB6">
        <v>0</v>
      </c>
      <c r="LC6">
        <v>0</v>
      </c>
      <c r="LD6">
        <v>0</v>
      </c>
      <c r="LE6">
        <v>0</v>
      </c>
      <c r="LF6">
        <v>0</v>
      </c>
      <c r="LG6">
        <v>0</v>
      </c>
      <c r="LH6">
        <v>0</v>
      </c>
      <c r="LI6">
        <v>0</v>
      </c>
      <c r="LJ6">
        <v>0</v>
      </c>
      <c r="LK6">
        <v>0</v>
      </c>
      <c r="LL6">
        <v>0</v>
      </c>
      <c r="LM6">
        <v>0</v>
      </c>
      <c r="LN6">
        <v>0</v>
      </c>
      <c r="LO6">
        <v>0</v>
      </c>
      <c r="LP6">
        <v>0</v>
      </c>
      <c r="LQ6">
        <v>0</v>
      </c>
      <c r="LR6">
        <v>0</v>
      </c>
      <c r="LS6">
        <v>0</v>
      </c>
      <c r="LT6">
        <v>0</v>
      </c>
      <c r="LU6">
        <v>0</v>
      </c>
      <c r="LV6">
        <v>0</v>
      </c>
      <c r="LW6">
        <v>0</v>
      </c>
      <c r="LX6">
        <v>0</v>
      </c>
      <c r="LY6">
        <v>0</v>
      </c>
      <c r="LZ6">
        <v>0</v>
      </c>
      <c r="MA6">
        <v>0</v>
      </c>
      <c r="MB6">
        <v>0</v>
      </c>
      <c r="MC6">
        <v>0</v>
      </c>
      <c r="MD6">
        <v>0</v>
      </c>
      <c r="ME6">
        <v>0</v>
      </c>
      <c r="MF6">
        <v>0</v>
      </c>
      <c r="MG6">
        <v>0</v>
      </c>
      <c r="MH6">
        <v>0</v>
      </c>
      <c r="MI6">
        <v>0</v>
      </c>
      <c r="MJ6">
        <v>0</v>
      </c>
      <c r="MK6">
        <v>0</v>
      </c>
      <c r="ML6">
        <v>0</v>
      </c>
      <c r="MM6">
        <v>0</v>
      </c>
      <c r="MN6">
        <v>0</v>
      </c>
      <c r="MO6">
        <v>0</v>
      </c>
      <c r="MP6">
        <v>0</v>
      </c>
      <c r="MQ6">
        <v>0</v>
      </c>
      <c r="MR6">
        <v>0</v>
      </c>
      <c r="MS6">
        <v>0</v>
      </c>
      <c r="MT6">
        <v>0</v>
      </c>
      <c r="MU6">
        <v>0</v>
      </c>
      <c r="MV6">
        <v>0</v>
      </c>
      <c r="MW6">
        <v>0</v>
      </c>
      <c r="MX6">
        <v>0</v>
      </c>
      <c r="MY6">
        <v>0</v>
      </c>
      <c r="MZ6">
        <v>0</v>
      </c>
      <c r="NA6">
        <v>0</v>
      </c>
      <c r="NB6">
        <v>0</v>
      </c>
      <c r="NC6">
        <v>0</v>
      </c>
      <c r="ND6">
        <v>0</v>
      </c>
      <c r="NE6">
        <v>0</v>
      </c>
    </row>
    <row r="7" spans="1:371" x14ac:dyDescent="0.45">
      <c r="C7" t="str">
        <v>GENERAL</v>
      </c>
      <c r="E7">
        <v>0</v>
      </c>
      <c r="F7">
        <v>0</v>
      </c>
      <c r="G7">
        <v>0</v>
      </c>
      <c r="H7">
        <v>0</v>
      </c>
      <c r="I7">
        <v>0</v>
      </c>
      <c r="J7">
        <v>0</v>
      </c>
      <c r="K7">
        <v>0</v>
      </c>
      <c r="L7">
        <v>0</v>
      </c>
      <c r="M7">
        <v>0</v>
      </c>
      <c r="N7" t="str">
        <v/>
      </c>
      <c r="O7" t="str">
        <v/>
      </c>
      <c r="P7" t="str">
        <v/>
      </c>
      <c r="Q7" t="str">
        <v/>
      </c>
      <c r="R7" t="str">
        <v/>
      </c>
      <c r="S7" t="str">
        <v/>
      </c>
      <c r="T7" t="str">
        <v/>
      </c>
      <c r="U7">
        <v>0</v>
      </c>
      <c r="V7">
        <v>0</v>
      </c>
      <c r="W7">
        <v>0</v>
      </c>
      <c r="X7">
        <v>0</v>
      </c>
      <c r="Y7">
        <v>0</v>
      </c>
      <c r="Z7">
        <v>0</v>
      </c>
      <c r="AA7">
        <v>0</v>
      </c>
      <c r="AB7">
        <v>0</v>
      </c>
      <c r="AC7">
        <v>0</v>
      </c>
      <c r="AD7">
        <v>0</v>
      </c>
      <c r="AE7">
        <v>0</v>
      </c>
      <c r="AF7">
        <v>0</v>
      </c>
      <c r="AG7">
        <v>0</v>
      </c>
      <c r="AH7">
        <v>0</v>
      </c>
      <c r="AI7">
        <v>0</v>
      </c>
      <c r="AJ7">
        <v>0</v>
      </c>
      <c r="AK7">
        <v>0</v>
      </c>
      <c r="AL7">
        <v>0</v>
      </c>
      <c r="AM7">
        <v>0</v>
      </c>
      <c r="AN7" s="5">
        <v>0</v>
      </c>
      <c r="AO7" t="str">
        <v>A104</v>
      </c>
      <c r="AP7" t="str">
        <v>MUHAMMAD AZEEM</v>
      </c>
      <c r="AQ7" t="str">
        <v>BADF</v>
      </c>
      <c r="AR7" t="str">
        <v>SUB JUNIOR</v>
      </c>
      <c r="AS7">
        <v>1</v>
      </c>
      <c r="AT7">
        <v>25.5</v>
      </c>
      <c r="AU7">
        <v>0</v>
      </c>
      <c r="AV7">
        <v>25.5</v>
      </c>
      <c r="AW7">
        <v>25.5</v>
      </c>
      <c r="AX7">
        <v>59</v>
      </c>
      <c r="AY7" s="5">
        <v>59</v>
      </c>
      <c r="AZ7" t="str">
        <v>SJ05</v>
      </c>
      <c r="BA7" t="str">
        <v>GK QUIZ</v>
      </c>
      <c r="BB7" t="str">
        <v>SUB JUNIOR</v>
      </c>
      <c r="BC7" t="str">
        <v>Single</v>
      </c>
      <c r="BD7" t="str">
        <v>Non-Stg</v>
      </c>
      <c r="BE7">
        <v>3</v>
      </c>
      <c r="BF7" t="str">
        <v>Master</v>
      </c>
      <c r="BG7" t="str">
        <v>Master</v>
      </c>
      <c r="BH7" t="str">
        <v>P</v>
      </c>
      <c r="BI7" t="str">
        <v>PUBLISHED</v>
      </c>
      <c r="BK7">
        <v>1</v>
      </c>
      <c r="BL7" t="str">
        <v>SJ01</v>
      </c>
      <c r="BM7" t="str">
        <v>ADHĀN</v>
      </c>
      <c r="BN7">
        <v>3</v>
      </c>
      <c r="BO7" t="str">
        <v>Single</v>
      </c>
      <c r="BP7" t="str">
        <v>Non-Stg</v>
      </c>
      <c r="BQ7" t="str">
        <v>SUB JUNIOR</v>
      </c>
      <c r="BR7" t="str">
        <v>A111</v>
      </c>
      <c r="BS7" t="str">
        <v>A140</v>
      </c>
      <c r="BT7" t="str">
        <v>A153</v>
      </c>
      <c r="BU7">
        <v>0</v>
      </c>
      <c r="BV7">
        <v>0</v>
      </c>
      <c r="BW7">
        <v>0</v>
      </c>
      <c r="BX7">
        <v>0</v>
      </c>
      <c r="BY7" t="str">
        <v>A174</v>
      </c>
      <c r="BZ7" t="str">
        <v>A125</v>
      </c>
      <c r="CA7" t="str">
        <v>A128</v>
      </c>
      <c r="CB7">
        <v>0</v>
      </c>
      <c r="CC7">
        <v>0</v>
      </c>
      <c r="CD7">
        <v>0</v>
      </c>
      <c r="CE7">
        <v>0</v>
      </c>
      <c r="CF7" t="str">
        <v>A127</v>
      </c>
      <c r="CG7" t="str">
        <v>A135</v>
      </c>
      <c r="CH7" t="str">
        <v>A152</v>
      </c>
      <c r="CI7">
        <v>0</v>
      </c>
      <c r="CJ7">
        <v>0</v>
      </c>
      <c r="CK7">
        <v>0</v>
      </c>
      <c r="CL7">
        <v>0</v>
      </c>
      <c r="CM7" t="str">
        <v>A141</v>
      </c>
      <c r="CN7" t="str">
        <v>A154</v>
      </c>
      <c r="CO7" t="str">
        <v>A156</v>
      </c>
      <c r="CP7">
        <v>0</v>
      </c>
      <c r="CQ7">
        <v>0</v>
      </c>
      <c r="CR7">
        <v>0</v>
      </c>
      <c r="CS7">
        <v>0</v>
      </c>
      <c r="CT7">
        <v>0</v>
      </c>
      <c r="CU7">
        <v>0</v>
      </c>
      <c r="CV7">
        <v>0</v>
      </c>
      <c r="CW7">
        <v>0</v>
      </c>
      <c r="CX7">
        <v>0</v>
      </c>
      <c r="CY7">
        <v>0</v>
      </c>
      <c r="CZ7">
        <v>0</v>
      </c>
      <c r="DA7">
        <v>0</v>
      </c>
      <c r="DB7">
        <v>0</v>
      </c>
      <c r="DC7">
        <v>0</v>
      </c>
      <c r="DD7">
        <v>0</v>
      </c>
      <c r="DE7">
        <v>0</v>
      </c>
      <c r="DF7">
        <v>0</v>
      </c>
      <c r="DG7">
        <v>0</v>
      </c>
      <c r="DH7">
        <v>0</v>
      </c>
      <c r="DI7">
        <v>0</v>
      </c>
      <c r="DJ7">
        <v>0</v>
      </c>
      <c r="DK7">
        <v>0</v>
      </c>
      <c r="DL7">
        <v>0</v>
      </c>
      <c r="DM7">
        <v>0</v>
      </c>
      <c r="DN7">
        <v>0</v>
      </c>
      <c r="DO7">
        <v>0</v>
      </c>
      <c r="DP7">
        <v>0</v>
      </c>
      <c r="DQ7">
        <v>0</v>
      </c>
      <c r="DR7">
        <v>0</v>
      </c>
      <c r="DS7">
        <v>0</v>
      </c>
      <c r="DT7">
        <v>0</v>
      </c>
      <c r="DU7">
        <v>0</v>
      </c>
      <c r="DV7">
        <v>0</v>
      </c>
      <c r="DW7">
        <v>0</v>
      </c>
      <c r="DX7">
        <v>0</v>
      </c>
      <c r="DY7">
        <v>0</v>
      </c>
      <c r="DZ7">
        <v>0</v>
      </c>
      <c r="EA7">
        <v>0</v>
      </c>
      <c r="EB7">
        <v>0</v>
      </c>
      <c r="EC7">
        <v>0</v>
      </c>
      <c r="ED7">
        <v>0</v>
      </c>
      <c r="EE7">
        <v>0</v>
      </c>
      <c r="EF7">
        <v>0</v>
      </c>
      <c r="EG7">
        <v>0</v>
      </c>
      <c r="EH7">
        <v>0</v>
      </c>
      <c r="EI7">
        <v>0</v>
      </c>
      <c r="EJ7">
        <v>0</v>
      </c>
      <c r="EK7">
        <v>0</v>
      </c>
      <c r="EL7">
        <v>0</v>
      </c>
      <c r="EM7">
        <v>0</v>
      </c>
      <c r="EN7">
        <v>0</v>
      </c>
      <c r="EO7">
        <v>0</v>
      </c>
      <c r="EP7">
        <v>0</v>
      </c>
      <c r="EQ7">
        <v>0</v>
      </c>
      <c r="ER7">
        <v>0</v>
      </c>
      <c r="ES7">
        <v>0</v>
      </c>
      <c r="ET7">
        <v>0</v>
      </c>
      <c r="EU7">
        <v>0</v>
      </c>
      <c r="EV7">
        <v>0</v>
      </c>
      <c r="EW7">
        <v>0</v>
      </c>
      <c r="EX7">
        <v>0</v>
      </c>
      <c r="EY7">
        <v>0</v>
      </c>
      <c r="EZ7">
        <v>0</v>
      </c>
      <c r="FA7">
        <v>0</v>
      </c>
      <c r="FB7">
        <v>0</v>
      </c>
      <c r="FC7">
        <v>0</v>
      </c>
      <c r="FD7">
        <v>0</v>
      </c>
      <c r="FE7">
        <v>0</v>
      </c>
      <c r="FF7">
        <v>0</v>
      </c>
      <c r="FG7">
        <v>0</v>
      </c>
      <c r="FH7">
        <v>0</v>
      </c>
      <c r="FI7">
        <v>0</v>
      </c>
      <c r="FJ7">
        <v>0</v>
      </c>
      <c r="FK7">
        <v>0</v>
      </c>
      <c r="FL7">
        <v>0</v>
      </c>
      <c r="FM7">
        <v>0</v>
      </c>
      <c r="FN7">
        <v>0</v>
      </c>
      <c r="FO7">
        <v>0</v>
      </c>
      <c r="FP7">
        <v>0</v>
      </c>
      <c r="FQ7">
        <v>0</v>
      </c>
      <c r="FR7">
        <v>0</v>
      </c>
      <c r="FS7">
        <v>0</v>
      </c>
      <c r="FT7">
        <v>0</v>
      </c>
      <c r="FU7">
        <v>0</v>
      </c>
      <c r="FV7">
        <v>0</v>
      </c>
      <c r="FW7">
        <v>0</v>
      </c>
      <c r="FX7">
        <v>0</v>
      </c>
      <c r="FY7">
        <v>0</v>
      </c>
      <c r="FZ7">
        <v>0</v>
      </c>
      <c r="GA7">
        <v>0</v>
      </c>
      <c r="GB7">
        <v>0</v>
      </c>
      <c r="GC7">
        <v>0</v>
      </c>
      <c r="GD7">
        <v>0</v>
      </c>
      <c r="GE7">
        <v>0</v>
      </c>
      <c r="GF7">
        <v>0</v>
      </c>
      <c r="GG7">
        <v>0</v>
      </c>
      <c r="GH7">
        <v>0</v>
      </c>
      <c r="GI7">
        <v>0</v>
      </c>
      <c r="GJ7">
        <v>0</v>
      </c>
      <c r="GK7">
        <v>0</v>
      </c>
      <c r="GL7">
        <v>0</v>
      </c>
      <c r="GM7">
        <v>0</v>
      </c>
      <c r="GN7">
        <v>0</v>
      </c>
      <c r="GO7">
        <v>0</v>
      </c>
      <c r="GP7">
        <v>0</v>
      </c>
      <c r="GQ7">
        <v>0</v>
      </c>
      <c r="GR7">
        <v>0</v>
      </c>
      <c r="GS7">
        <v>0</v>
      </c>
      <c r="GT7">
        <v>0</v>
      </c>
      <c r="GU7">
        <v>0</v>
      </c>
      <c r="GV7">
        <v>0</v>
      </c>
      <c r="GW7">
        <v>0</v>
      </c>
      <c r="GX7">
        <v>0</v>
      </c>
      <c r="GY7">
        <v>0</v>
      </c>
      <c r="GZ7">
        <v>0</v>
      </c>
      <c r="HA7">
        <v>0</v>
      </c>
      <c r="HB7">
        <v>0</v>
      </c>
      <c r="HC7">
        <v>0</v>
      </c>
      <c r="HD7">
        <v>0</v>
      </c>
      <c r="HE7">
        <v>0</v>
      </c>
      <c r="HF7">
        <v>0</v>
      </c>
      <c r="HG7">
        <v>0</v>
      </c>
      <c r="HH7">
        <v>0</v>
      </c>
      <c r="HI7">
        <v>0</v>
      </c>
      <c r="HJ7">
        <v>0</v>
      </c>
      <c r="HK7">
        <v>0</v>
      </c>
      <c r="HL7">
        <v>0</v>
      </c>
      <c r="HM7">
        <v>0</v>
      </c>
      <c r="HN7">
        <v>0</v>
      </c>
      <c r="HO7">
        <v>0</v>
      </c>
      <c r="HP7">
        <v>0</v>
      </c>
      <c r="HQ7">
        <v>0</v>
      </c>
      <c r="HR7">
        <v>0</v>
      </c>
      <c r="HS7">
        <v>0</v>
      </c>
      <c r="HT7">
        <v>0</v>
      </c>
      <c r="HU7">
        <v>0</v>
      </c>
      <c r="HV7">
        <v>0</v>
      </c>
      <c r="HW7">
        <v>0</v>
      </c>
      <c r="HX7">
        <v>0</v>
      </c>
      <c r="HY7">
        <v>0</v>
      </c>
      <c r="HZ7">
        <v>0</v>
      </c>
      <c r="IA7">
        <v>0</v>
      </c>
      <c r="IB7">
        <v>0</v>
      </c>
      <c r="IC7">
        <v>0</v>
      </c>
      <c r="ID7">
        <v>0</v>
      </c>
      <c r="IE7">
        <v>0</v>
      </c>
      <c r="IF7">
        <v>0</v>
      </c>
      <c r="IG7">
        <v>0</v>
      </c>
      <c r="IH7">
        <v>0</v>
      </c>
      <c r="II7">
        <v>0</v>
      </c>
      <c r="IJ7">
        <v>0</v>
      </c>
      <c r="IK7">
        <v>0</v>
      </c>
      <c r="IL7">
        <v>0</v>
      </c>
      <c r="IM7">
        <v>0</v>
      </c>
      <c r="IN7">
        <v>0</v>
      </c>
      <c r="IO7">
        <v>0</v>
      </c>
      <c r="IP7">
        <v>0</v>
      </c>
      <c r="IQ7">
        <v>0</v>
      </c>
      <c r="IR7">
        <v>0</v>
      </c>
      <c r="IS7">
        <v>0</v>
      </c>
      <c r="IT7">
        <v>0</v>
      </c>
      <c r="IU7">
        <v>0</v>
      </c>
      <c r="IV7">
        <v>0</v>
      </c>
      <c r="IW7">
        <v>0</v>
      </c>
      <c r="IX7">
        <v>0</v>
      </c>
      <c r="IY7">
        <v>0</v>
      </c>
      <c r="IZ7">
        <v>0</v>
      </c>
      <c r="JA7">
        <v>0</v>
      </c>
      <c r="JB7">
        <v>0</v>
      </c>
      <c r="JC7">
        <v>0</v>
      </c>
      <c r="JD7">
        <v>0</v>
      </c>
      <c r="JE7">
        <v>0</v>
      </c>
      <c r="JF7">
        <v>0</v>
      </c>
      <c r="JG7">
        <v>0</v>
      </c>
      <c r="JH7">
        <v>0</v>
      </c>
      <c r="JI7">
        <v>0</v>
      </c>
      <c r="JJ7">
        <v>0</v>
      </c>
      <c r="JK7">
        <v>0</v>
      </c>
      <c r="JL7">
        <v>0</v>
      </c>
      <c r="JM7">
        <v>0</v>
      </c>
      <c r="JN7">
        <v>0</v>
      </c>
      <c r="JO7">
        <v>0</v>
      </c>
      <c r="JP7">
        <v>0</v>
      </c>
      <c r="JQ7">
        <v>0</v>
      </c>
      <c r="JR7">
        <v>0</v>
      </c>
      <c r="JS7">
        <v>0</v>
      </c>
      <c r="JT7">
        <v>0</v>
      </c>
      <c r="JU7">
        <v>0</v>
      </c>
      <c r="JV7">
        <v>0</v>
      </c>
      <c r="JW7">
        <v>0</v>
      </c>
      <c r="JX7">
        <v>0</v>
      </c>
      <c r="JY7">
        <v>0</v>
      </c>
      <c r="JZ7">
        <v>0</v>
      </c>
      <c r="KA7">
        <v>0</v>
      </c>
      <c r="KB7">
        <v>0</v>
      </c>
      <c r="KC7">
        <v>0</v>
      </c>
      <c r="KD7">
        <v>0</v>
      </c>
      <c r="KE7">
        <v>0</v>
      </c>
      <c r="KF7">
        <v>0</v>
      </c>
      <c r="KG7">
        <v>0</v>
      </c>
      <c r="KH7">
        <v>0</v>
      </c>
      <c r="KI7">
        <v>0</v>
      </c>
      <c r="KJ7">
        <v>0</v>
      </c>
      <c r="KK7">
        <v>0</v>
      </c>
      <c r="KL7">
        <v>0</v>
      </c>
      <c r="KM7">
        <v>0</v>
      </c>
      <c r="KN7">
        <v>0</v>
      </c>
      <c r="KO7">
        <v>0</v>
      </c>
      <c r="KP7">
        <v>0</v>
      </c>
      <c r="KQ7">
        <v>0</v>
      </c>
      <c r="KR7">
        <v>0</v>
      </c>
      <c r="KS7">
        <v>0</v>
      </c>
      <c r="KT7">
        <v>0</v>
      </c>
      <c r="KU7">
        <v>0</v>
      </c>
      <c r="KV7">
        <v>0</v>
      </c>
      <c r="KW7">
        <v>0</v>
      </c>
      <c r="KX7">
        <v>0</v>
      </c>
      <c r="KY7">
        <v>0</v>
      </c>
      <c r="KZ7">
        <v>0</v>
      </c>
      <c r="LA7">
        <v>0</v>
      </c>
      <c r="LB7">
        <v>0</v>
      </c>
      <c r="LC7">
        <v>0</v>
      </c>
      <c r="LD7">
        <v>0</v>
      </c>
      <c r="LE7">
        <v>0</v>
      </c>
      <c r="LF7">
        <v>0</v>
      </c>
      <c r="LG7">
        <v>0</v>
      </c>
      <c r="LH7">
        <v>0</v>
      </c>
      <c r="LI7">
        <v>0</v>
      </c>
      <c r="LJ7">
        <v>0</v>
      </c>
      <c r="LK7">
        <v>0</v>
      </c>
      <c r="LL7">
        <v>0</v>
      </c>
      <c r="LM7">
        <v>0</v>
      </c>
      <c r="LN7">
        <v>0</v>
      </c>
      <c r="LO7">
        <v>0</v>
      </c>
      <c r="LP7">
        <v>0</v>
      </c>
      <c r="LQ7">
        <v>0</v>
      </c>
      <c r="LR7">
        <v>0</v>
      </c>
      <c r="LS7">
        <v>0</v>
      </c>
      <c r="LT7">
        <v>0</v>
      </c>
      <c r="LU7">
        <v>0</v>
      </c>
      <c r="LV7">
        <v>0</v>
      </c>
      <c r="LW7">
        <v>0</v>
      </c>
      <c r="LX7">
        <v>0</v>
      </c>
      <c r="LY7">
        <v>0</v>
      </c>
      <c r="LZ7">
        <v>0</v>
      </c>
      <c r="MA7">
        <v>0</v>
      </c>
      <c r="MB7">
        <v>0</v>
      </c>
      <c r="MC7">
        <v>0</v>
      </c>
      <c r="MD7">
        <v>0</v>
      </c>
      <c r="ME7">
        <v>0</v>
      </c>
      <c r="MF7">
        <v>0</v>
      </c>
      <c r="MG7">
        <v>0</v>
      </c>
      <c r="MH7">
        <v>0</v>
      </c>
      <c r="MI7">
        <v>0</v>
      </c>
      <c r="MJ7">
        <v>0</v>
      </c>
      <c r="MK7">
        <v>0</v>
      </c>
      <c r="ML7">
        <v>0</v>
      </c>
      <c r="MM7">
        <v>0</v>
      </c>
      <c r="MN7">
        <v>0</v>
      </c>
      <c r="MO7">
        <v>0</v>
      </c>
      <c r="MP7">
        <v>0</v>
      </c>
      <c r="MQ7">
        <v>0</v>
      </c>
      <c r="MR7">
        <v>0</v>
      </c>
      <c r="MS7">
        <v>0</v>
      </c>
      <c r="MT7">
        <v>0</v>
      </c>
      <c r="MU7">
        <v>0</v>
      </c>
      <c r="MV7">
        <v>0</v>
      </c>
      <c r="MW7">
        <v>0</v>
      </c>
      <c r="MX7">
        <v>0</v>
      </c>
      <c r="MY7">
        <v>0</v>
      </c>
      <c r="MZ7">
        <v>0</v>
      </c>
      <c r="NA7">
        <v>0</v>
      </c>
      <c r="NB7">
        <v>0</v>
      </c>
      <c r="NC7">
        <v>0</v>
      </c>
      <c r="ND7">
        <v>0</v>
      </c>
      <c r="NE7">
        <v>0</v>
      </c>
    </row>
    <row r="8" spans="1:371" x14ac:dyDescent="0.45">
      <c r="C8">
        <v>0</v>
      </c>
      <c r="E8">
        <v>0</v>
      </c>
      <c r="F8">
        <v>0</v>
      </c>
      <c r="G8">
        <v>0</v>
      </c>
      <c r="H8">
        <v>0</v>
      </c>
      <c r="I8">
        <v>0</v>
      </c>
      <c r="J8">
        <v>0</v>
      </c>
      <c r="K8">
        <v>0</v>
      </c>
      <c r="L8">
        <v>0</v>
      </c>
      <c r="M8">
        <v>0</v>
      </c>
      <c r="N8" t="str">
        <v/>
      </c>
      <c r="O8" t="str">
        <v/>
      </c>
      <c r="P8" t="str">
        <v/>
      </c>
      <c r="Q8" t="str">
        <v/>
      </c>
      <c r="R8" t="str">
        <v/>
      </c>
      <c r="S8" t="str">
        <v/>
      </c>
      <c r="T8" t="str">
        <v/>
      </c>
      <c r="U8">
        <v>0</v>
      </c>
      <c r="V8">
        <v>0</v>
      </c>
      <c r="W8">
        <v>0</v>
      </c>
      <c r="X8">
        <v>0</v>
      </c>
      <c r="Y8">
        <v>0</v>
      </c>
      <c r="Z8">
        <v>0</v>
      </c>
      <c r="AA8">
        <v>0</v>
      </c>
      <c r="AB8">
        <v>0</v>
      </c>
      <c r="AC8">
        <v>0</v>
      </c>
      <c r="AD8">
        <v>0</v>
      </c>
      <c r="AE8">
        <v>0</v>
      </c>
      <c r="AF8">
        <v>0</v>
      </c>
      <c r="AG8">
        <v>0</v>
      </c>
      <c r="AH8">
        <v>0</v>
      </c>
      <c r="AI8">
        <v>0</v>
      </c>
      <c r="AJ8">
        <v>0</v>
      </c>
      <c r="AK8">
        <v>0</v>
      </c>
      <c r="AL8">
        <v>0</v>
      </c>
      <c r="AM8">
        <v>0</v>
      </c>
      <c r="AN8" s="5">
        <v>0</v>
      </c>
      <c r="AO8" t="str">
        <v>A105</v>
      </c>
      <c r="AP8" t="str">
        <v>MUHAMMED HAFIZ S T</v>
      </c>
      <c r="AQ8" t="str">
        <v>FANT</v>
      </c>
      <c r="AR8" t="str">
        <v>SUB JUNIOR</v>
      </c>
      <c r="AS8">
        <v>1</v>
      </c>
      <c r="AT8">
        <v>15</v>
      </c>
      <c r="AU8">
        <v>0</v>
      </c>
      <c r="AV8">
        <v>15</v>
      </c>
      <c r="AW8">
        <v>15</v>
      </c>
      <c r="AX8">
        <v>100</v>
      </c>
      <c r="AY8" s="5">
        <v>100</v>
      </c>
      <c r="AZ8" t="str">
        <v>SJ06</v>
      </c>
      <c r="BA8" t="str">
        <v>ḤIFẒ</v>
      </c>
      <c r="BB8" t="str">
        <v>SUB JUNIOR</v>
      </c>
      <c r="BC8" t="str">
        <v>Single</v>
      </c>
      <c r="BD8" t="str">
        <v>Non-Stg</v>
      </c>
      <c r="BE8">
        <v>3</v>
      </c>
      <c r="BF8" t="str">
        <v>Individual</v>
      </c>
      <c r="BG8" t="str">
        <v>Individual</v>
      </c>
      <c r="BH8" t="str">
        <v>P</v>
      </c>
      <c r="BI8" t="str">
        <v>PUBLISHED</v>
      </c>
      <c r="BK8">
        <v>2</v>
      </c>
      <c r="BL8" t="str">
        <v>SJ02</v>
      </c>
      <c r="BM8" t="str">
        <v>DICTIONARY MAKING ARB</v>
      </c>
      <c r="BN8">
        <v>3</v>
      </c>
      <c r="BO8" t="str">
        <v>Single</v>
      </c>
      <c r="BP8" t="str">
        <v>Non-Stg</v>
      </c>
      <c r="BQ8" t="str">
        <v>SUB JUNIOR</v>
      </c>
      <c r="BR8" t="str">
        <v>A110</v>
      </c>
      <c r="BS8" t="str">
        <v>A161</v>
      </c>
      <c r="BT8" t="str">
        <v>A162</v>
      </c>
      <c r="BU8">
        <v>0</v>
      </c>
      <c r="BV8">
        <v>0</v>
      </c>
      <c r="BW8">
        <v>0</v>
      </c>
      <c r="BX8">
        <v>0</v>
      </c>
      <c r="BY8" t="str">
        <v>A172</v>
      </c>
      <c r="BZ8" t="str">
        <v>A147</v>
      </c>
      <c r="CA8" t="str">
        <v>A131</v>
      </c>
      <c r="CB8">
        <v>0</v>
      </c>
      <c r="CC8">
        <v>0</v>
      </c>
      <c r="CD8">
        <v>0</v>
      </c>
      <c r="CE8">
        <v>0</v>
      </c>
      <c r="CF8" t="str">
        <v>A109</v>
      </c>
      <c r="CG8" t="str">
        <v>A146</v>
      </c>
      <c r="CH8" t="str">
        <v>A163</v>
      </c>
      <c r="CI8">
        <v>0</v>
      </c>
      <c r="CJ8">
        <v>0</v>
      </c>
      <c r="CK8">
        <v>0</v>
      </c>
      <c r="CL8">
        <v>0</v>
      </c>
      <c r="CM8" t="str">
        <v>A102</v>
      </c>
      <c r="CN8" t="str">
        <v>A149</v>
      </c>
      <c r="CO8" t="str">
        <v>A154</v>
      </c>
      <c r="CP8">
        <v>0</v>
      </c>
      <c r="CQ8">
        <v>0</v>
      </c>
      <c r="CR8">
        <v>0</v>
      </c>
      <c r="CS8">
        <v>0</v>
      </c>
      <c r="CT8">
        <v>0</v>
      </c>
      <c r="CU8">
        <v>0</v>
      </c>
      <c r="CV8">
        <v>0</v>
      </c>
      <c r="CW8">
        <v>0</v>
      </c>
      <c r="CX8">
        <v>0</v>
      </c>
      <c r="CY8">
        <v>0</v>
      </c>
      <c r="CZ8">
        <v>0</v>
      </c>
      <c r="DA8">
        <v>0</v>
      </c>
      <c r="DB8">
        <v>0</v>
      </c>
      <c r="DC8">
        <v>0</v>
      </c>
      <c r="DD8">
        <v>0</v>
      </c>
      <c r="DE8">
        <v>0</v>
      </c>
      <c r="DF8">
        <v>0</v>
      </c>
      <c r="DG8">
        <v>0</v>
      </c>
      <c r="DH8">
        <v>0</v>
      </c>
      <c r="DI8">
        <v>0</v>
      </c>
      <c r="DJ8">
        <v>0</v>
      </c>
      <c r="DK8">
        <v>0</v>
      </c>
      <c r="DL8">
        <v>0</v>
      </c>
      <c r="DM8">
        <v>0</v>
      </c>
      <c r="DN8">
        <v>0</v>
      </c>
      <c r="DO8">
        <v>0</v>
      </c>
      <c r="DP8">
        <v>0</v>
      </c>
      <c r="DQ8">
        <v>0</v>
      </c>
      <c r="DR8">
        <v>0</v>
      </c>
      <c r="DS8">
        <v>0</v>
      </c>
      <c r="DT8">
        <v>0</v>
      </c>
      <c r="DU8">
        <v>0</v>
      </c>
      <c r="DV8">
        <v>0</v>
      </c>
      <c r="DW8">
        <v>0</v>
      </c>
      <c r="DX8">
        <v>0</v>
      </c>
      <c r="DY8">
        <v>0</v>
      </c>
      <c r="DZ8">
        <v>0</v>
      </c>
      <c r="EA8">
        <v>0</v>
      </c>
      <c r="EB8">
        <v>0</v>
      </c>
      <c r="EC8">
        <v>0</v>
      </c>
      <c r="ED8">
        <v>0</v>
      </c>
      <c r="EE8">
        <v>0</v>
      </c>
      <c r="EF8">
        <v>0</v>
      </c>
      <c r="EG8">
        <v>0</v>
      </c>
      <c r="EH8">
        <v>0</v>
      </c>
      <c r="EI8">
        <v>0</v>
      </c>
      <c r="EJ8">
        <v>0</v>
      </c>
      <c r="EK8">
        <v>0</v>
      </c>
      <c r="EL8">
        <v>0</v>
      </c>
      <c r="EM8">
        <v>0</v>
      </c>
      <c r="EN8">
        <v>0</v>
      </c>
      <c r="EO8">
        <v>0</v>
      </c>
      <c r="EP8">
        <v>0</v>
      </c>
      <c r="EQ8">
        <v>0</v>
      </c>
      <c r="ER8">
        <v>0</v>
      </c>
      <c r="ES8">
        <v>0</v>
      </c>
      <c r="ET8">
        <v>0</v>
      </c>
      <c r="EU8">
        <v>0</v>
      </c>
      <c r="EV8">
        <v>0</v>
      </c>
      <c r="EW8">
        <v>0</v>
      </c>
      <c r="EX8">
        <v>0</v>
      </c>
      <c r="EY8">
        <v>0</v>
      </c>
      <c r="EZ8">
        <v>0</v>
      </c>
      <c r="FA8">
        <v>0</v>
      </c>
      <c r="FB8">
        <v>0</v>
      </c>
      <c r="FC8">
        <v>0</v>
      </c>
      <c r="FD8">
        <v>0</v>
      </c>
      <c r="FE8">
        <v>0</v>
      </c>
      <c r="FF8">
        <v>0</v>
      </c>
      <c r="FG8">
        <v>0</v>
      </c>
      <c r="FH8">
        <v>0</v>
      </c>
      <c r="FI8">
        <v>0</v>
      </c>
      <c r="FJ8">
        <v>0</v>
      </c>
      <c r="FK8">
        <v>0</v>
      </c>
      <c r="FL8">
        <v>0</v>
      </c>
      <c r="FM8">
        <v>0</v>
      </c>
      <c r="FN8">
        <v>0</v>
      </c>
      <c r="FO8">
        <v>0</v>
      </c>
      <c r="FP8">
        <v>0</v>
      </c>
      <c r="FQ8">
        <v>0</v>
      </c>
      <c r="FR8">
        <v>0</v>
      </c>
      <c r="FS8">
        <v>0</v>
      </c>
      <c r="FT8">
        <v>0</v>
      </c>
      <c r="FU8">
        <v>0</v>
      </c>
      <c r="FV8">
        <v>0</v>
      </c>
      <c r="FW8">
        <v>0</v>
      </c>
      <c r="FX8">
        <v>0</v>
      </c>
      <c r="FY8">
        <v>0</v>
      </c>
      <c r="FZ8">
        <v>0</v>
      </c>
      <c r="GA8">
        <v>0</v>
      </c>
      <c r="GB8">
        <v>0</v>
      </c>
      <c r="GC8">
        <v>0</v>
      </c>
      <c r="GD8">
        <v>0</v>
      </c>
      <c r="GE8">
        <v>0</v>
      </c>
      <c r="GF8">
        <v>0</v>
      </c>
      <c r="GG8">
        <v>0</v>
      </c>
      <c r="GH8">
        <v>0</v>
      </c>
      <c r="GI8">
        <v>0</v>
      </c>
      <c r="GJ8">
        <v>0</v>
      </c>
      <c r="GK8">
        <v>0</v>
      </c>
      <c r="GL8">
        <v>0</v>
      </c>
      <c r="GM8">
        <v>0</v>
      </c>
      <c r="GN8">
        <v>0</v>
      </c>
      <c r="GO8">
        <v>0</v>
      </c>
      <c r="GP8">
        <v>0</v>
      </c>
      <c r="GQ8">
        <v>0</v>
      </c>
      <c r="GR8">
        <v>0</v>
      </c>
      <c r="GS8">
        <v>0</v>
      </c>
      <c r="GT8">
        <v>0</v>
      </c>
      <c r="GU8">
        <v>0</v>
      </c>
      <c r="GV8">
        <v>0</v>
      </c>
      <c r="GW8">
        <v>0</v>
      </c>
      <c r="GX8">
        <v>0</v>
      </c>
      <c r="GY8">
        <v>0</v>
      </c>
      <c r="GZ8">
        <v>0</v>
      </c>
      <c r="HA8">
        <v>0</v>
      </c>
      <c r="HB8">
        <v>0</v>
      </c>
      <c r="HC8">
        <v>0</v>
      </c>
      <c r="HD8">
        <v>0</v>
      </c>
      <c r="HE8">
        <v>0</v>
      </c>
      <c r="HF8">
        <v>0</v>
      </c>
      <c r="HG8">
        <v>0</v>
      </c>
      <c r="HH8">
        <v>0</v>
      </c>
      <c r="HI8">
        <v>0</v>
      </c>
      <c r="HJ8">
        <v>0</v>
      </c>
      <c r="HK8">
        <v>0</v>
      </c>
      <c r="HL8">
        <v>0</v>
      </c>
      <c r="HM8">
        <v>0</v>
      </c>
      <c r="HN8">
        <v>0</v>
      </c>
      <c r="HO8">
        <v>0</v>
      </c>
      <c r="HP8">
        <v>0</v>
      </c>
      <c r="HQ8">
        <v>0</v>
      </c>
      <c r="HR8">
        <v>0</v>
      </c>
      <c r="HS8">
        <v>0</v>
      </c>
      <c r="HT8">
        <v>0</v>
      </c>
      <c r="HU8">
        <v>0</v>
      </c>
      <c r="HV8">
        <v>0</v>
      </c>
      <c r="HW8">
        <v>0</v>
      </c>
      <c r="HX8">
        <v>0</v>
      </c>
      <c r="HY8">
        <v>0</v>
      </c>
      <c r="HZ8">
        <v>0</v>
      </c>
      <c r="IA8">
        <v>0</v>
      </c>
      <c r="IB8">
        <v>0</v>
      </c>
      <c r="IC8">
        <v>0</v>
      </c>
      <c r="ID8">
        <v>0</v>
      </c>
      <c r="IE8">
        <v>0</v>
      </c>
      <c r="IF8">
        <v>0</v>
      </c>
      <c r="IG8">
        <v>0</v>
      </c>
      <c r="IH8">
        <v>0</v>
      </c>
      <c r="II8">
        <v>0</v>
      </c>
      <c r="IJ8">
        <v>0</v>
      </c>
      <c r="IK8">
        <v>0</v>
      </c>
      <c r="IL8">
        <v>0</v>
      </c>
      <c r="IM8">
        <v>0</v>
      </c>
      <c r="IN8">
        <v>0</v>
      </c>
      <c r="IO8">
        <v>0</v>
      </c>
      <c r="IP8">
        <v>0</v>
      </c>
      <c r="IQ8">
        <v>0</v>
      </c>
      <c r="IR8">
        <v>0</v>
      </c>
      <c r="IS8">
        <v>0</v>
      </c>
      <c r="IT8">
        <v>0</v>
      </c>
      <c r="IU8">
        <v>0</v>
      </c>
      <c r="IV8">
        <v>0</v>
      </c>
      <c r="IW8">
        <v>0</v>
      </c>
      <c r="IX8">
        <v>0</v>
      </c>
      <c r="IY8">
        <v>0</v>
      </c>
      <c r="IZ8">
        <v>0</v>
      </c>
      <c r="JA8">
        <v>0</v>
      </c>
      <c r="JB8">
        <v>0</v>
      </c>
      <c r="JC8">
        <v>0</v>
      </c>
      <c r="JD8">
        <v>0</v>
      </c>
      <c r="JE8">
        <v>0</v>
      </c>
      <c r="JF8">
        <v>0</v>
      </c>
      <c r="JG8">
        <v>0</v>
      </c>
      <c r="JH8">
        <v>0</v>
      </c>
      <c r="JI8">
        <v>0</v>
      </c>
      <c r="JJ8">
        <v>0</v>
      </c>
      <c r="JK8">
        <v>0</v>
      </c>
      <c r="JL8">
        <v>0</v>
      </c>
      <c r="JM8">
        <v>0</v>
      </c>
      <c r="JN8">
        <v>0</v>
      </c>
      <c r="JO8">
        <v>0</v>
      </c>
      <c r="JP8">
        <v>0</v>
      </c>
      <c r="JQ8">
        <v>0</v>
      </c>
      <c r="JR8">
        <v>0</v>
      </c>
      <c r="JS8">
        <v>0</v>
      </c>
      <c r="JT8">
        <v>0</v>
      </c>
      <c r="JU8">
        <v>0</v>
      </c>
      <c r="JV8">
        <v>0</v>
      </c>
      <c r="JW8">
        <v>0</v>
      </c>
      <c r="JX8">
        <v>0</v>
      </c>
      <c r="JY8">
        <v>0</v>
      </c>
      <c r="JZ8">
        <v>0</v>
      </c>
      <c r="KA8">
        <v>0</v>
      </c>
      <c r="KB8">
        <v>0</v>
      </c>
      <c r="KC8">
        <v>0</v>
      </c>
      <c r="KD8">
        <v>0</v>
      </c>
      <c r="KE8">
        <v>0</v>
      </c>
      <c r="KF8">
        <v>0</v>
      </c>
      <c r="KG8">
        <v>0</v>
      </c>
      <c r="KH8">
        <v>0</v>
      </c>
      <c r="KI8">
        <v>0</v>
      </c>
      <c r="KJ8">
        <v>0</v>
      </c>
      <c r="KK8">
        <v>0</v>
      </c>
      <c r="KL8">
        <v>0</v>
      </c>
      <c r="KM8">
        <v>0</v>
      </c>
      <c r="KN8">
        <v>0</v>
      </c>
      <c r="KO8">
        <v>0</v>
      </c>
      <c r="KP8">
        <v>0</v>
      </c>
      <c r="KQ8">
        <v>0</v>
      </c>
      <c r="KR8">
        <v>0</v>
      </c>
      <c r="KS8">
        <v>0</v>
      </c>
      <c r="KT8">
        <v>0</v>
      </c>
      <c r="KU8">
        <v>0</v>
      </c>
      <c r="KV8">
        <v>0</v>
      </c>
      <c r="KW8">
        <v>0</v>
      </c>
      <c r="KX8">
        <v>0</v>
      </c>
      <c r="KY8">
        <v>0</v>
      </c>
      <c r="KZ8">
        <v>0</v>
      </c>
      <c r="LA8">
        <v>0</v>
      </c>
      <c r="LB8">
        <v>0</v>
      </c>
      <c r="LC8">
        <v>0</v>
      </c>
      <c r="LD8">
        <v>0</v>
      </c>
      <c r="LE8">
        <v>0</v>
      </c>
      <c r="LF8">
        <v>0</v>
      </c>
      <c r="LG8">
        <v>0</v>
      </c>
      <c r="LH8">
        <v>0</v>
      </c>
      <c r="LI8">
        <v>0</v>
      </c>
      <c r="LJ8">
        <v>0</v>
      </c>
      <c r="LK8">
        <v>0</v>
      </c>
      <c r="LL8">
        <v>0</v>
      </c>
      <c r="LM8">
        <v>0</v>
      </c>
      <c r="LN8">
        <v>0</v>
      </c>
      <c r="LO8">
        <v>0</v>
      </c>
      <c r="LP8">
        <v>0</v>
      </c>
      <c r="LQ8">
        <v>0</v>
      </c>
      <c r="LR8">
        <v>0</v>
      </c>
      <c r="LS8">
        <v>0</v>
      </c>
      <c r="LT8">
        <v>0</v>
      </c>
      <c r="LU8">
        <v>0</v>
      </c>
      <c r="LV8">
        <v>0</v>
      </c>
      <c r="LW8">
        <v>0</v>
      </c>
      <c r="LX8">
        <v>0</v>
      </c>
      <c r="LY8">
        <v>0</v>
      </c>
      <c r="LZ8">
        <v>0</v>
      </c>
      <c r="MA8">
        <v>0</v>
      </c>
      <c r="MB8">
        <v>0</v>
      </c>
      <c r="MC8">
        <v>0</v>
      </c>
      <c r="MD8">
        <v>0</v>
      </c>
      <c r="ME8">
        <v>0</v>
      </c>
      <c r="MF8">
        <v>0</v>
      </c>
      <c r="MG8">
        <v>0</v>
      </c>
      <c r="MH8">
        <v>0</v>
      </c>
      <c r="MI8">
        <v>0</v>
      </c>
      <c r="MJ8">
        <v>0</v>
      </c>
      <c r="MK8">
        <v>0</v>
      </c>
      <c r="ML8">
        <v>0</v>
      </c>
      <c r="MM8">
        <v>0</v>
      </c>
      <c r="MN8">
        <v>0</v>
      </c>
      <c r="MO8">
        <v>0</v>
      </c>
      <c r="MP8">
        <v>0</v>
      </c>
      <c r="MQ8">
        <v>0</v>
      </c>
      <c r="MR8">
        <v>0</v>
      </c>
      <c r="MS8">
        <v>0</v>
      </c>
      <c r="MT8">
        <v>0</v>
      </c>
      <c r="MU8">
        <v>0</v>
      </c>
      <c r="MV8">
        <v>0</v>
      </c>
      <c r="MW8">
        <v>0</v>
      </c>
      <c r="MX8">
        <v>0</v>
      </c>
      <c r="MY8">
        <v>0</v>
      </c>
      <c r="MZ8">
        <v>0</v>
      </c>
      <c r="NA8">
        <v>0</v>
      </c>
      <c r="NB8">
        <v>0</v>
      </c>
      <c r="NC8">
        <v>0</v>
      </c>
      <c r="ND8">
        <v>0</v>
      </c>
      <c r="NE8">
        <v>0</v>
      </c>
    </row>
    <row r="9" spans="1:371" x14ac:dyDescent="0.45">
      <c r="C9">
        <v>0</v>
      </c>
      <c r="E9">
        <v>0</v>
      </c>
      <c r="F9">
        <v>0</v>
      </c>
      <c r="G9">
        <v>0</v>
      </c>
      <c r="H9">
        <v>0</v>
      </c>
      <c r="I9">
        <v>0</v>
      </c>
      <c r="J9">
        <v>0</v>
      </c>
      <c r="K9">
        <v>0</v>
      </c>
      <c r="L9">
        <v>0</v>
      </c>
      <c r="M9">
        <v>0</v>
      </c>
      <c r="N9" t="str">
        <v/>
      </c>
      <c r="O9" t="str">
        <v/>
      </c>
      <c r="P9" t="str">
        <v/>
      </c>
      <c r="Q9" t="str">
        <v/>
      </c>
      <c r="R9" t="str">
        <v/>
      </c>
      <c r="S9" t="str">
        <v/>
      </c>
      <c r="T9" t="str">
        <v/>
      </c>
      <c r="U9">
        <v>0</v>
      </c>
      <c r="V9">
        <v>0</v>
      </c>
      <c r="W9">
        <v>0</v>
      </c>
      <c r="X9">
        <v>0</v>
      </c>
      <c r="Y9">
        <v>0</v>
      </c>
      <c r="Z9">
        <v>0</v>
      </c>
      <c r="AA9">
        <v>0</v>
      </c>
      <c r="AB9">
        <v>0</v>
      </c>
      <c r="AC9">
        <v>0</v>
      </c>
      <c r="AD9">
        <v>0</v>
      </c>
      <c r="AE9">
        <v>0</v>
      </c>
      <c r="AF9">
        <v>0</v>
      </c>
      <c r="AG9">
        <v>0</v>
      </c>
      <c r="AH9">
        <v>0</v>
      </c>
      <c r="AI9">
        <v>0</v>
      </c>
      <c r="AJ9">
        <v>0</v>
      </c>
      <c r="AK9">
        <v>0</v>
      </c>
      <c r="AL9">
        <v>0</v>
      </c>
      <c r="AM9">
        <v>0</v>
      </c>
      <c r="AN9" s="5">
        <v>0</v>
      </c>
      <c r="AO9" t="str">
        <v>A106</v>
      </c>
      <c r="AP9" t="str">
        <v>Abdul Khader Uvais K A</v>
      </c>
      <c r="AQ9" t="str">
        <v>BADF</v>
      </c>
      <c r="AR9" t="str">
        <v>SUB JUNIOR</v>
      </c>
      <c r="AS9">
        <v>1</v>
      </c>
      <c r="AT9">
        <v>8</v>
      </c>
      <c r="AU9">
        <v>0</v>
      </c>
      <c r="AV9">
        <v>8</v>
      </c>
      <c r="AW9">
        <v>8</v>
      </c>
      <c r="AX9">
        <v>147</v>
      </c>
      <c r="AY9" s="5">
        <v>147</v>
      </c>
      <c r="AZ9" t="str">
        <v>SJ07</v>
      </c>
      <c r="BA9" t="str">
        <v>MATH TALENT</v>
      </c>
      <c r="BB9" t="str">
        <v>SUB JUNIOR</v>
      </c>
      <c r="BC9" t="str">
        <v>Single</v>
      </c>
      <c r="BD9" t="str">
        <v>Non-Stg</v>
      </c>
      <c r="BE9">
        <v>3</v>
      </c>
      <c r="BF9" t="str">
        <v>Master</v>
      </c>
      <c r="BG9" t="str">
        <v>Master</v>
      </c>
      <c r="BH9" t="str">
        <v>P</v>
      </c>
      <c r="BI9" t="str">
        <v>PUBLISHED</v>
      </c>
      <c r="BK9">
        <v>3</v>
      </c>
      <c r="BL9" t="str">
        <v>SJ03</v>
      </c>
      <c r="BM9" t="str">
        <v>DICTIONARY MAKING ENG</v>
      </c>
      <c r="BN9">
        <v>3</v>
      </c>
      <c r="BO9" t="str">
        <v>Group</v>
      </c>
      <c r="BP9" t="str">
        <v>Non-Stg</v>
      </c>
      <c r="BQ9" t="str">
        <v>SUB JUNIOR</v>
      </c>
      <c r="BR9" t="str">
        <v>A129</v>
      </c>
      <c r="BS9" t="str">
        <v>A143</v>
      </c>
      <c r="BT9" t="str">
        <v>A150</v>
      </c>
      <c r="BU9">
        <v>0</v>
      </c>
      <c r="BV9">
        <v>0</v>
      </c>
      <c r="BW9">
        <v>0</v>
      </c>
      <c r="BX9">
        <v>0</v>
      </c>
      <c r="BY9" t="str">
        <v>A164</v>
      </c>
      <c r="BZ9" t="str">
        <v>A147</v>
      </c>
      <c r="CA9" t="str">
        <v>A158</v>
      </c>
      <c r="CB9">
        <v>0</v>
      </c>
      <c r="CC9">
        <v>0</v>
      </c>
      <c r="CD9">
        <v>0</v>
      </c>
      <c r="CE9">
        <v>0</v>
      </c>
      <c r="CF9" t="str">
        <v>A104</v>
      </c>
      <c r="CG9" t="str">
        <v>A108</v>
      </c>
      <c r="CH9" t="str">
        <v>A166</v>
      </c>
      <c r="CI9">
        <v>0</v>
      </c>
      <c r="CJ9">
        <v>0</v>
      </c>
      <c r="CK9">
        <v>0</v>
      </c>
      <c r="CL9">
        <v>0</v>
      </c>
      <c r="CM9" t="str">
        <v>A103</v>
      </c>
      <c r="CN9" t="str">
        <v>A149</v>
      </c>
      <c r="CO9" t="str">
        <v>A154</v>
      </c>
      <c r="CP9">
        <v>0</v>
      </c>
      <c r="CQ9">
        <v>0</v>
      </c>
      <c r="CR9">
        <v>0</v>
      </c>
      <c r="CS9">
        <v>0</v>
      </c>
      <c r="CT9">
        <v>0</v>
      </c>
      <c r="CU9">
        <v>0</v>
      </c>
      <c r="CV9">
        <v>0</v>
      </c>
      <c r="CW9">
        <v>0</v>
      </c>
      <c r="CX9">
        <v>0</v>
      </c>
      <c r="CY9">
        <v>0</v>
      </c>
      <c r="CZ9">
        <v>0</v>
      </c>
      <c r="DA9">
        <v>0</v>
      </c>
      <c r="DB9">
        <v>0</v>
      </c>
      <c r="DC9">
        <v>0</v>
      </c>
      <c r="DD9">
        <v>0</v>
      </c>
      <c r="DE9">
        <v>0</v>
      </c>
      <c r="DF9">
        <v>0</v>
      </c>
      <c r="DG9">
        <v>0</v>
      </c>
      <c r="DH9">
        <v>0</v>
      </c>
      <c r="DI9">
        <v>0</v>
      </c>
      <c r="DJ9">
        <v>0</v>
      </c>
      <c r="DK9">
        <v>0</v>
      </c>
      <c r="DL9">
        <v>0</v>
      </c>
      <c r="DM9">
        <v>0</v>
      </c>
      <c r="DN9">
        <v>0</v>
      </c>
      <c r="DO9">
        <v>0</v>
      </c>
      <c r="DP9">
        <v>0</v>
      </c>
      <c r="DQ9">
        <v>0</v>
      </c>
      <c r="DR9">
        <v>0</v>
      </c>
      <c r="DS9">
        <v>0</v>
      </c>
      <c r="DT9">
        <v>0</v>
      </c>
      <c r="DU9">
        <v>0</v>
      </c>
      <c r="DV9">
        <v>0</v>
      </c>
      <c r="DW9">
        <v>0</v>
      </c>
      <c r="DX9">
        <v>0</v>
      </c>
      <c r="DY9">
        <v>0</v>
      </c>
      <c r="DZ9">
        <v>0</v>
      </c>
      <c r="EA9">
        <v>0</v>
      </c>
      <c r="EB9">
        <v>0</v>
      </c>
      <c r="EC9">
        <v>0</v>
      </c>
      <c r="ED9">
        <v>0</v>
      </c>
      <c r="EE9">
        <v>0</v>
      </c>
      <c r="EF9">
        <v>0</v>
      </c>
      <c r="EG9">
        <v>0</v>
      </c>
      <c r="EH9">
        <v>0</v>
      </c>
      <c r="EI9">
        <v>0</v>
      </c>
      <c r="EJ9">
        <v>0</v>
      </c>
      <c r="EK9">
        <v>0</v>
      </c>
      <c r="EL9">
        <v>0</v>
      </c>
      <c r="EM9">
        <v>0</v>
      </c>
      <c r="EN9">
        <v>0</v>
      </c>
      <c r="EO9">
        <v>0</v>
      </c>
      <c r="EP9">
        <v>0</v>
      </c>
      <c r="EQ9">
        <v>0</v>
      </c>
      <c r="ER9">
        <v>0</v>
      </c>
      <c r="ES9">
        <v>0</v>
      </c>
      <c r="ET9">
        <v>0</v>
      </c>
      <c r="EU9">
        <v>0</v>
      </c>
      <c r="EV9">
        <v>0</v>
      </c>
      <c r="EW9">
        <v>0</v>
      </c>
      <c r="EX9">
        <v>0</v>
      </c>
      <c r="EY9">
        <v>0</v>
      </c>
      <c r="EZ9">
        <v>0</v>
      </c>
      <c r="FA9">
        <v>0</v>
      </c>
      <c r="FB9">
        <v>0</v>
      </c>
      <c r="FC9">
        <v>0</v>
      </c>
      <c r="FD9">
        <v>0</v>
      </c>
      <c r="FE9">
        <v>0</v>
      </c>
      <c r="FF9">
        <v>0</v>
      </c>
      <c r="FG9">
        <v>0</v>
      </c>
      <c r="FH9">
        <v>0</v>
      </c>
      <c r="FI9">
        <v>0</v>
      </c>
      <c r="FJ9">
        <v>0</v>
      </c>
      <c r="FK9">
        <v>0</v>
      </c>
      <c r="FL9">
        <v>0</v>
      </c>
      <c r="FM9">
        <v>0</v>
      </c>
      <c r="FN9">
        <v>0</v>
      </c>
      <c r="FO9">
        <v>0</v>
      </c>
      <c r="FP9">
        <v>0</v>
      </c>
      <c r="FQ9">
        <v>0</v>
      </c>
      <c r="FR9">
        <v>0</v>
      </c>
      <c r="FS9">
        <v>0</v>
      </c>
      <c r="FT9">
        <v>0</v>
      </c>
      <c r="FU9">
        <v>0</v>
      </c>
      <c r="FV9">
        <v>0</v>
      </c>
      <c r="FW9">
        <v>0</v>
      </c>
      <c r="FX9">
        <v>0</v>
      </c>
      <c r="FY9">
        <v>0</v>
      </c>
      <c r="FZ9">
        <v>0</v>
      </c>
      <c r="GA9">
        <v>0</v>
      </c>
      <c r="GB9">
        <v>0</v>
      </c>
      <c r="GC9">
        <v>0</v>
      </c>
      <c r="GD9">
        <v>0</v>
      </c>
      <c r="GE9">
        <v>0</v>
      </c>
      <c r="GF9">
        <v>0</v>
      </c>
      <c r="GG9">
        <v>0</v>
      </c>
      <c r="GH9">
        <v>0</v>
      </c>
      <c r="GI9">
        <v>0</v>
      </c>
      <c r="GJ9">
        <v>0</v>
      </c>
      <c r="GK9">
        <v>0</v>
      </c>
      <c r="GL9">
        <v>0</v>
      </c>
      <c r="GM9">
        <v>0</v>
      </c>
      <c r="GN9">
        <v>0</v>
      </c>
      <c r="GO9">
        <v>0</v>
      </c>
      <c r="GP9">
        <v>0</v>
      </c>
      <c r="GQ9">
        <v>0</v>
      </c>
      <c r="GR9">
        <v>0</v>
      </c>
      <c r="GS9">
        <v>0</v>
      </c>
      <c r="GT9">
        <v>0</v>
      </c>
      <c r="GU9">
        <v>0</v>
      </c>
      <c r="GV9">
        <v>0</v>
      </c>
      <c r="GW9">
        <v>0</v>
      </c>
      <c r="GX9">
        <v>0</v>
      </c>
      <c r="GY9">
        <v>0</v>
      </c>
      <c r="GZ9">
        <v>0</v>
      </c>
      <c r="HA9">
        <v>0</v>
      </c>
      <c r="HB9">
        <v>0</v>
      </c>
      <c r="HC9">
        <v>0</v>
      </c>
      <c r="HD9">
        <v>0</v>
      </c>
      <c r="HE9">
        <v>0</v>
      </c>
      <c r="HF9">
        <v>0</v>
      </c>
      <c r="HG9">
        <v>0</v>
      </c>
      <c r="HH9">
        <v>0</v>
      </c>
      <c r="HI9">
        <v>0</v>
      </c>
      <c r="HJ9">
        <v>0</v>
      </c>
      <c r="HK9">
        <v>0</v>
      </c>
      <c r="HL9">
        <v>0</v>
      </c>
      <c r="HM9">
        <v>0</v>
      </c>
      <c r="HN9">
        <v>0</v>
      </c>
      <c r="HO9">
        <v>0</v>
      </c>
      <c r="HP9">
        <v>0</v>
      </c>
      <c r="HQ9">
        <v>0</v>
      </c>
      <c r="HR9">
        <v>0</v>
      </c>
      <c r="HS9">
        <v>0</v>
      </c>
      <c r="HT9">
        <v>0</v>
      </c>
      <c r="HU9">
        <v>0</v>
      </c>
      <c r="HV9">
        <v>0</v>
      </c>
      <c r="HW9">
        <v>0</v>
      </c>
      <c r="HX9">
        <v>0</v>
      </c>
      <c r="HY9">
        <v>0</v>
      </c>
      <c r="HZ9">
        <v>0</v>
      </c>
      <c r="IA9">
        <v>0</v>
      </c>
      <c r="IB9">
        <v>0</v>
      </c>
      <c r="IC9">
        <v>0</v>
      </c>
      <c r="ID9">
        <v>0</v>
      </c>
      <c r="IE9">
        <v>0</v>
      </c>
      <c r="IF9">
        <v>0</v>
      </c>
      <c r="IG9">
        <v>0</v>
      </c>
      <c r="IH9">
        <v>0</v>
      </c>
      <c r="II9">
        <v>0</v>
      </c>
      <c r="IJ9">
        <v>0</v>
      </c>
      <c r="IK9">
        <v>0</v>
      </c>
      <c r="IL9">
        <v>0</v>
      </c>
      <c r="IM9">
        <v>0</v>
      </c>
      <c r="IN9">
        <v>0</v>
      </c>
      <c r="IO9">
        <v>0</v>
      </c>
      <c r="IP9">
        <v>0</v>
      </c>
      <c r="IQ9">
        <v>0</v>
      </c>
      <c r="IR9">
        <v>0</v>
      </c>
      <c r="IS9">
        <v>0</v>
      </c>
      <c r="IT9">
        <v>0</v>
      </c>
      <c r="IU9">
        <v>0</v>
      </c>
      <c r="IV9">
        <v>0</v>
      </c>
      <c r="IW9">
        <v>0</v>
      </c>
      <c r="IX9">
        <v>0</v>
      </c>
      <c r="IY9">
        <v>0</v>
      </c>
      <c r="IZ9">
        <v>0</v>
      </c>
      <c r="JA9">
        <v>0</v>
      </c>
      <c r="JB9">
        <v>0</v>
      </c>
      <c r="JC9">
        <v>0</v>
      </c>
      <c r="JD9">
        <v>0</v>
      </c>
      <c r="JE9">
        <v>0</v>
      </c>
      <c r="JF9">
        <v>0</v>
      </c>
      <c r="JG9">
        <v>0</v>
      </c>
      <c r="JH9">
        <v>0</v>
      </c>
      <c r="JI9">
        <v>0</v>
      </c>
      <c r="JJ9">
        <v>0</v>
      </c>
      <c r="JK9">
        <v>0</v>
      </c>
      <c r="JL9">
        <v>0</v>
      </c>
      <c r="JM9">
        <v>0</v>
      </c>
      <c r="JN9">
        <v>0</v>
      </c>
      <c r="JO9">
        <v>0</v>
      </c>
      <c r="JP9">
        <v>0</v>
      </c>
      <c r="JQ9">
        <v>0</v>
      </c>
      <c r="JR9">
        <v>0</v>
      </c>
      <c r="JS9">
        <v>0</v>
      </c>
      <c r="JT9">
        <v>0</v>
      </c>
      <c r="JU9">
        <v>0</v>
      </c>
      <c r="JV9">
        <v>0</v>
      </c>
      <c r="JW9">
        <v>0</v>
      </c>
      <c r="JX9">
        <v>0</v>
      </c>
      <c r="JY9">
        <v>0</v>
      </c>
      <c r="JZ9">
        <v>0</v>
      </c>
      <c r="KA9">
        <v>0</v>
      </c>
      <c r="KB9">
        <v>0</v>
      </c>
      <c r="KC9">
        <v>0</v>
      </c>
      <c r="KD9">
        <v>0</v>
      </c>
      <c r="KE9">
        <v>0</v>
      </c>
      <c r="KF9">
        <v>0</v>
      </c>
      <c r="KG9">
        <v>0</v>
      </c>
      <c r="KH9">
        <v>0</v>
      </c>
      <c r="KI9">
        <v>0</v>
      </c>
      <c r="KJ9">
        <v>0</v>
      </c>
      <c r="KK9">
        <v>0</v>
      </c>
      <c r="KL9">
        <v>0</v>
      </c>
      <c r="KM9">
        <v>0</v>
      </c>
      <c r="KN9">
        <v>0</v>
      </c>
      <c r="KO9">
        <v>0</v>
      </c>
      <c r="KP9">
        <v>0</v>
      </c>
      <c r="KQ9">
        <v>0</v>
      </c>
      <c r="KR9">
        <v>0</v>
      </c>
      <c r="KS9">
        <v>0</v>
      </c>
      <c r="KT9">
        <v>0</v>
      </c>
      <c r="KU9">
        <v>0</v>
      </c>
      <c r="KV9">
        <v>0</v>
      </c>
      <c r="KW9">
        <v>0</v>
      </c>
      <c r="KX9">
        <v>0</v>
      </c>
      <c r="KY9">
        <v>0</v>
      </c>
      <c r="KZ9">
        <v>0</v>
      </c>
      <c r="LA9">
        <v>0</v>
      </c>
      <c r="LB9">
        <v>0</v>
      </c>
      <c r="LC9">
        <v>0</v>
      </c>
      <c r="LD9">
        <v>0</v>
      </c>
      <c r="LE9">
        <v>0</v>
      </c>
      <c r="LF9">
        <v>0</v>
      </c>
      <c r="LG9">
        <v>0</v>
      </c>
      <c r="LH9">
        <v>0</v>
      </c>
      <c r="LI9">
        <v>0</v>
      </c>
      <c r="LJ9">
        <v>0</v>
      </c>
      <c r="LK9">
        <v>0</v>
      </c>
      <c r="LL9">
        <v>0</v>
      </c>
      <c r="LM9">
        <v>0</v>
      </c>
      <c r="LN9">
        <v>0</v>
      </c>
      <c r="LO9">
        <v>0</v>
      </c>
      <c r="LP9">
        <v>0</v>
      </c>
      <c r="LQ9">
        <v>0</v>
      </c>
      <c r="LR9">
        <v>0</v>
      </c>
      <c r="LS9">
        <v>0</v>
      </c>
      <c r="LT9">
        <v>0</v>
      </c>
      <c r="LU9">
        <v>0</v>
      </c>
      <c r="LV9">
        <v>0</v>
      </c>
      <c r="LW9">
        <v>0</v>
      </c>
      <c r="LX9">
        <v>0</v>
      </c>
      <c r="LY9">
        <v>0</v>
      </c>
      <c r="LZ9">
        <v>0</v>
      </c>
      <c r="MA9">
        <v>0</v>
      </c>
      <c r="MB9">
        <v>0</v>
      </c>
      <c r="MC9">
        <v>0</v>
      </c>
      <c r="MD9">
        <v>0</v>
      </c>
      <c r="ME9">
        <v>0</v>
      </c>
      <c r="MF9">
        <v>0</v>
      </c>
      <c r="MG9">
        <v>0</v>
      </c>
      <c r="MH9">
        <v>0</v>
      </c>
      <c r="MI9">
        <v>0</v>
      </c>
      <c r="MJ9">
        <v>0</v>
      </c>
      <c r="MK9">
        <v>0</v>
      </c>
      <c r="ML9">
        <v>0</v>
      </c>
      <c r="MM9">
        <v>0</v>
      </c>
      <c r="MN9">
        <v>0</v>
      </c>
      <c r="MO9">
        <v>0</v>
      </c>
      <c r="MP9">
        <v>0</v>
      </c>
      <c r="MQ9">
        <v>0</v>
      </c>
      <c r="MR9">
        <v>0</v>
      </c>
      <c r="MS9">
        <v>0</v>
      </c>
      <c r="MT9">
        <v>0</v>
      </c>
      <c r="MU9">
        <v>0</v>
      </c>
      <c r="MV9">
        <v>0</v>
      </c>
      <c r="MW9">
        <v>0</v>
      </c>
      <c r="MX9">
        <v>0</v>
      </c>
      <c r="MY9">
        <v>0</v>
      </c>
      <c r="MZ9">
        <v>0</v>
      </c>
      <c r="NA9">
        <v>0</v>
      </c>
      <c r="NB9">
        <v>0</v>
      </c>
      <c r="NC9">
        <v>0</v>
      </c>
      <c r="ND9">
        <v>0</v>
      </c>
      <c r="NE9">
        <v>0</v>
      </c>
    </row>
    <row r="10" spans="1:371" x14ac:dyDescent="0.45">
      <c r="C10">
        <v>0</v>
      </c>
      <c r="E10">
        <v>0</v>
      </c>
      <c r="F10">
        <v>0</v>
      </c>
      <c r="G10">
        <v>0</v>
      </c>
      <c r="H10">
        <v>0</v>
      </c>
      <c r="I10">
        <v>0</v>
      </c>
      <c r="J10">
        <v>0</v>
      </c>
      <c r="K10">
        <v>0</v>
      </c>
      <c r="L10">
        <v>0</v>
      </c>
      <c r="M10">
        <v>0</v>
      </c>
      <c r="N10" t="str">
        <v/>
      </c>
      <c r="O10" t="str">
        <v/>
      </c>
      <c r="P10" t="str">
        <v/>
      </c>
      <c r="Q10" t="str">
        <v/>
      </c>
      <c r="R10" t="str">
        <v/>
      </c>
      <c r="S10" t="str">
        <v/>
      </c>
      <c r="T10" t="str">
        <v/>
      </c>
      <c r="U10">
        <v>0</v>
      </c>
      <c r="V10">
        <v>0</v>
      </c>
      <c r="W10">
        <v>0</v>
      </c>
      <c r="X10">
        <v>0</v>
      </c>
      <c r="Y10">
        <v>0</v>
      </c>
      <c r="Z10">
        <v>0</v>
      </c>
      <c r="AA10">
        <v>0</v>
      </c>
      <c r="AB10">
        <v>0</v>
      </c>
      <c r="AC10">
        <v>0</v>
      </c>
      <c r="AD10">
        <v>0</v>
      </c>
      <c r="AE10">
        <v>0</v>
      </c>
      <c r="AF10">
        <v>0</v>
      </c>
      <c r="AG10">
        <v>0</v>
      </c>
      <c r="AH10">
        <v>0</v>
      </c>
      <c r="AI10">
        <v>0</v>
      </c>
      <c r="AJ10">
        <v>0</v>
      </c>
      <c r="AK10">
        <v>0</v>
      </c>
      <c r="AL10">
        <v>0</v>
      </c>
      <c r="AM10">
        <v>0</v>
      </c>
      <c r="AN10" s="5">
        <v>0</v>
      </c>
      <c r="AO10" t="str">
        <v>A107</v>
      </c>
      <c r="AP10" t="str">
        <v>MUHAMMED ADHIL C H</v>
      </c>
      <c r="AQ10" t="str">
        <v>FANT</v>
      </c>
      <c r="AR10" t="str">
        <v>SUB JUNIOR</v>
      </c>
      <c r="AS10">
        <v>1</v>
      </c>
      <c r="AT10">
        <v>0</v>
      </c>
      <c r="AU10">
        <v>0</v>
      </c>
      <c r="AV10">
        <v>0</v>
      </c>
      <c r="AW10">
        <v>0</v>
      </c>
      <c r="AX10">
        <v>255</v>
      </c>
      <c r="AY10" s="5">
        <v>255</v>
      </c>
      <c r="AZ10" t="str">
        <v>SJ08</v>
      </c>
      <c r="BA10" t="str">
        <v>MEMORY TEST</v>
      </c>
      <c r="BB10" t="str">
        <v>SUB JUNIOR</v>
      </c>
      <c r="BC10" t="str">
        <v>Single</v>
      </c>
      <c r="BD10" t="str">
        <v>Non-Stg</v>
      </c>
      <c r="BE10">
        <v>3</v>
      </c>
      <c r="BF10" t="str">
        <v>Individual</v>
      </c>
      <c r="BG10" t="str">
        <v>Individual</v>
      </c>
      <c r="BH10" t="str">
        <v>P</v>
      </c>
      <c r="BI10" t="str">
        <v>PUBLISHED</v>
      </c>
      <c r="BK10">
        <v>4</v>
      </c>
      <c r="BL10" t="str">
        <v>SJ04</v>
      </c>
      <c r="BM10" t="str">
        <v>ESSAY WRITING MLM</v>
      </c>
      <c r="BN10">
        <v>3</v>
      </c>
      <c r="BO10" t="str">
        <v>Single</v>
      </c>
      <c r="BP10" t="str">
        <v>Non-Stg</v>
      </c>
      <c r="BQ10" t="str">
        <v>SUB JUNIOR</v>
      </c>
      <c r="BR10" t="str">
        <v>A107</v>
      </c>
      <c r="BS10" t="str">
        <v>A129</v>
      </c>
      <c r="BT10" t="str">
        <v>A161</v>
      </c>
      <c r="BU10">
        <v>0</v>
      </c>
      <c r="BV10">
        <v>0</v>
      </c>
      <c r="BW10">
        <v>0</v>
      </c>
      <c r="BX10">
        <v>0</v>
      </c>
      <c r="BY10" t="str">
        <v>A170</v>
      </c>
      <c r="BZ10" t="str">
        <v>A165</v>
      </c>
      <c r="CA10" t="str">
        <v>A134</v>
      </c>
      <c r="CB10">
        <v>0</v>
      </c>
      <c r="CC10">
        <v>0</v>
      </c>
      <c r="CD10">
        <v>0</v>
      </c>
      <c r="CE10">
        <v>0</v>
      </c>
      <c r="CF10" t="str">
        <v>A145</v>
      </c>
      <c r="CG10" t="str">
        <v>A146</v>
      </c>
      <c r="CH10" t="str">
        <v>A163</v>
      </c>
      <c r="CI10">
        <v>0</v>
      </c>
      <c r="CJ10">
        <v>0</v>
      </c>
      <c r="CK10">
        <v>0</v>
      </c>
      <c r="CL10">
        <v>0</v>
      </c>
      <c r="CM10" t="str">
        <v>A130</v>
      </c>
      <c r="CN10" t="str">
        <v>A155</v>
      </c>
      <c r="CO10" t="str">
        <v>A159</v>
      </c>
      <c r="CP10">
        <v>0</v>
      </c>
      <c r="CQ10">
        <v>0</v>
      </c>
      <c r="CR10">
        <v>0</v>
      </c>
      <c r="CS10">
        <v>0</v>
      </c>
      <c r="CT10">
        <v>0</v>
      </c>
      <c r="CU10">
        <v>0</v>
      </c>
      <c r="CV10">
        <v>0</v>
      </c>
      <c r="CW10">
        <v>0</v>
      </c>
      <c r="CX10">
        <v>0</v>
      </c>
      <c r="CY10">
        <v>0</v>
      </c>
      <c r="CZ10">
        <v>0</v>
      </c>
      <c r="DA10">
        <v>0</v>
      </c>
      <c r="DB10">
        <v>0</v>
      </c>
      <c r="DC10">
        <v>0</v>
      </c>
      <c r="DD10">
        <v>0</v>
      </c>
      <c r="DE10">
        <v>0</v>
      </c>
      <c r="DF10">
        <v>0</v>
      </c>
      <c r="DG10">
        <v>0</v>
      </c>
      <c r="DH10">
        <v>0</v>
      </c>
      <c r="DI10">
        <v>0</v>
      </c>
      <c r="DJ10">
        <v>0</v>
      </c>
      <c r="DK10">
        <v>0</v>
      </c>
      <c r="DL10">
        <v>0</v>
      </c>
      <c r="DM10">
        <v>0</v>
      </c>
      <c r="DN10">
        <v>0</v>
      </c>
      <c r="DO10">
        <v>0</v>
      </c>
      <c r="DP10">
        <v>0</v>
      </c>
      <c r="DQ10">
        <v>0</v>
      </c>
      <c r="DR10">
        <v>0</v>
      </c>
      <c r="DS10">
        <v>0</v>
      </c>
      <c r="DT10">
        <v>0</v>
      </c>
      <c r="DU10">
        <v>0</v>
      </c>
      <c r="DV10">
        <v>0</v>
      </c>
      <c r="DW10">
        <v>0</v>
      </c>
      <c r="DX10">
        <v>0</v>
      </c>
      <c r="DY10">
        <v>0</v>
      </c>
      <c r="DZ10">
        <v>0</v>
      </c>
      <c r="EA10">
        <v>0</v>
      </c>
      <c r="EB10">
        <v>0</v>
      </c>
      <c r="EC10">
        <v>0</v>
      </c>
      <c r="ED10">
        <v>0</v>
      </c>
      <c r="EE10">
        <v>0</v>
      </c>
      <c r="EF10">
        <v>0</v>
      </c>
      <c r="EG10">
        <v>0</v>
      </c>
      <c r="EH10">
        <v>0</v>
      </c>
      <c r="EI10">
        <v>0</v>
      </c>
      <c r="EJ10">
        <v>0</v>
      </c>
      <c r="EK10">
        <v>0</v>
      </c>
      <c r="EL10">
        <v>0</v>
      </c>
      <c r="EM10">
        <v>0</v>
      </c>
      <c r="EN10">
        <v>0</v>
      </c>
      <c r="EO10">
        <v>0</v>
      </c>
      <c r="EP10">
        <v>0</v>
      </c>
      <c r="EQ10">
        <v>0</v>
      </c>
      <c r="ER10">
        <v>0</v>
      </c>
      <c r="ES10">
        <v>0</v>
      </c>
      <c r="ET10">
        <v>0</v>
      </c>
      <c r="EU10">
        <v>0</v>
      </c>
      <c r="EV10">
        <v>0</v>
      </c>
      <c r="EW10">
        <v>0</v>
      </c>
      <c r="EX10">
        <v>0</v>
      </c>
      <c r="EY10">
        <v>0</v>
      </c>
      <c r="EZ10">
        <v>0</v>
      </c>
      <c r="FA10">
        <v>0</v>
      </c>
      <c r="FB10">
        <v>0</v>
      </c>
      <c r="FC10">
        <v>0</v>
      </c>
      <c r="FD10">
        <v>0</v>
      </c>
      <c r="FE10">
        <v>0</v>
      </c>
      <c r="FF10">
        <v>0</v>
      </c>
      <c r="FG10">
        <v>0</v>
      </c>
      <c r="FH10">
        <v>0</v>
      </c>
      <c r="FI10">
        <v>0</v>
      </c>
      <c r="FJ10">
        <v>0</v>
      </c>
      <c r="FK10">
        <v>0</v>
      </c>
      <c r="FL10">
        <v>0</v>
      </c>
      <c r="FM10">
        <v>0</v>
      </c>
      <c r="FN10">
        <v>0</v>
      </c>
      <c r="FO10">
        <v>0</v>
      </c>
      <c r="FP10">
        <v>0</v>
      </c>
      <c r="FQ10">
        <v>0</v>
      </c>
      <c r="FR10">
        <v>0</v>
      </c>
      <c r="FS10">
        <v>0</v>
      </c>
      <c r="FT10">
        <v>0</v>
      </c>
      <c r="FU10">
        <v>0</v>
      </c>
      <c r="FV10">
        <v>0</v>
      </c>
      <c r="FW10">
        <v>0</v>
      </c>
      <c r="FX10">
        <v>0</v>
      </c>
      <c r="FY10">
        <v>0</v>
      </c>
      <c r="FZ10">
        <v>0</v>
      </c>
      <c r="GA10">
        <v>0</v>
      </c>
      <c r="GB10">
        <v>0</v>
      </c>
      <c r="GC10">
        <v>0</v>
      </c>
      <c r="GD10">
        <v>0</v>
      </c>
      <c r="GE10">
        <v>0</v>
      </c>
      <c r="GF10">
        <v>0</v>
      </c>
      <c r="GG10">
        <v>0</v>
      </c>
      <c r="GH10">
        <v>0</v>
      </c>
      <c r="GI10">
        <v>0</v>
      </c>
      <c r="GJ10">
        <v>0</v>
      </c>
      <c r="GK10">
        <v>0</v>
      </c>
      <c r="GL10">
        <v>0</v>
      </c>
      <c r="GM10">
        <v>0</v>
      </c>
      <c r="GN10">
        <v>0</v>
      </c>
      <c r="GO10">
        <v>0</v>
      </c>
      <c r="GP10">
        <v>0</v>
      </c>
      <c r="GQ10">
        <v>0</v>
      </c>
      <c r="GR10">
        <v>0</v>
      </c>
      <c r="GS10">
        <v>0</v>
      </c>
      <c r="GT10">
        <v>0</v>
      </c>
      <c r="GU10">
        <v>0</v>
      </c>
      <c r="GV10">
        <v>0</v>
      </c>
      <c r="GW10">
        <v>0</v>
      </c>
      <c r="GX10">
        <v>0</v>
      </c>
      <c r="GY10">
        <v>0</v>
      </c>
      <c r="GZ10">
        <v>0</v>
      </c>
      <c r="HA10">
        <v>0</v>
      </c>
      <c r="HB10">
        <v>0</v>
      </c>
      <c r="HC10">
        <v>0</v>
      </c>
      <c r="HD10">
        <v>0</v>
      </c>
      <c r="HE10">
        <v>0</v>
      </c>
      <c r="HF10">
        <v>0</v>
      </c>
      <c r="HG10">
        <v>0</v>
      </c>
      <c r="HH10">
        <v>0</v>
      </c>
      <c r="HI10">
        <v>0</v>
      </c>
      <c r="HJ10">
        <v>0</v>
      </c>
      <c r="HK10">
        <v>0</v>
      </c>
      <c r="HL10">
        <v>0</v>
      </c>
      <c r="HM10">
        <v>0</v>
      </c>
      <c r="HN10">
        <v>0</v>
      </c>
      <c r="HO10">
        <v>0</v>
      </c>
      <c r="HP10">
        <v>0</v>
      </c>
      <c r="HQ10">
        <v>0</v>
      </c>
      <c r="HR10">
        <v>0</v>
      </c>
      <c r="HS10">
        <v>0</v>
      </c>
      <c r="HT10">
        <v>0</v>
      </c>
      <c r="HU10">
        <v>0</v>
      </c>
      <c r="HV10">
        <v>0</v>
      </c>
      <c r="HW10">
        <v>0</v>
      </c>
      <c r="HX10">
        <v>0</v>
      </c>
      <c r="HY10">
        <v>0</v>
      </c>
      <c r="HZ10">
        <v>0</v>
      </c>
      <c r="IA10">
        <v>0</v>
      </c>
      <c r="IB10">
        <v>0</v>
      </c>
      <c r="IC10">
        <v>0</v>
      </c>
      <c r="ID10">
        <v>0</v>
      </c>
      <c r="IE10">
        <v>0</v>
      </c>
      <c r="IF10">
        <v>0</v>
      </c>
      <c r="IG10">
        <v>0</v>
      </c>
      <c r="IH10">
        <v>0</v>
      </c>
      <c r="II10">
        <v>0</v>
      </c>
      <c r="IJ10">
        <v>0</v>
      </c>
      <c r="IK10">
        <v>0</v>
      </c>
      <c r="IL10">
        <v>0</v>
      </c>
      <c r="IM10">
        <v>0</v>
      </c>
      <c r="IN10">
        <v>0</v>
      </c>
      <c r="IO10">
        <v>0</v>
      </c>
      <c r="IP10">
        <v>0</v>
      </c>
      <c r="IQ10">
        <v>0</v>
      </c>
      <c r="IR10">
        <v>0</v>
      </c>
      <c r="IS10">
        <v>0</v>
      </c>
      <c r="IT10">
        <v>0</v>
      </c>
      <c r="IU10">
        <v>0</v>
      </c>
      <c r="IV10">
        <v>0</v>
      </c>
      <c r="IW10">
        <v>0</v>
      </c>
      <c r="IX10">
        <v>0</v>
      </c>
      <c r="IY10">
        <v>0</v>
      </c>
      <c r="IZ10">
        <v>0</v>
      </c>
      <c r="JA10">
        <v>0</v>
      </c>
      <c r="JB10">
        <v>0</v>
      </c>
      <c r="JC10">
        <v>0</v>
      </c>
      <c r="JD10">
        <v>0</v>
      </c>
      <c r="JE10">
        <v>0</v>
      </c>
      <c r="JF10">
        <v>0</v>
      </c>
      <c r="JG10">
        <v>0</v>
      </c>
      <c r="JH10">
        <v>0</v>
      </c>
      <c r="JI10">
        <v>0</v>
      </c>
      <c r="JJ10">
        <v>0</v>
      </c>
      <c r="JK10">
        <v>0</v>
      </c>
      <c r="JL10">
        <v>0</v>
      </c>
      <c r="JM10">
        <v>0</v>
      </c>
      <c r="JN10">
        <v>0</v>
      </c>
      <c r="JO10">
        <v>0</v>
      </c>
      <c r="JP10">
        <v>0</v>
      </c>
      <c r="JQ10">
        <v>0</v>
      </c>
      <c r="JR10">
        <v>0</v>
      </c>
      <c r="JS10">
        <v>0</v>
      </c>
      <c r="JT10">
        <v>0</v>
      </c>
      <c r="JU10">
        <v>0</v>
      </c>
      <c r="JV10">
        <v>0</v>
      </c>
      <c r="JW10">
        <v>0</v>
      </c>
      <c r="JX10">
        <v>0</v>
      </c>
      <c r="JY10">
        <v>0</v>
      </c>
      <c r="JZ10">
        <v>0</v>
      </c>
      <c r="KA10">
        <v>0</v>
      </c>
      <c r="KB10">
        <v>0</v>
      </c>
      <c r="KC10">
        <v>0</v>
      </c>
      <c r="KD10">
        <v>0</v>
      </c>
      <c r="KE10">
        <v>0</v>
      </c>
      <c r="KF10">
        <v>0</v>
      </c>
      <c r="KG10">
        <v>0</v>
      </c>
      <c r="KH10">
        <v>0</v>
      </c>
      <c r="KI10">
        <v>0</v>
      </c>
      <c r="KJ10">
        <v>0</v>
      </c>
      <c r="KK10">
        <v>0</v>
      </c>
      <c r="KL10">
        <v>0</v>
      </c>
      <c r="KM10">
        <v>0</v>
      </c>
      <c r="KN10">
        <v>0</v>
      </c>
      <c r="KO10">
        <v>0</v>
      </c>
      <c r="KP10">
        <v>0</v>
      </c>
      <c r="KQ10">
        <v>0</v>
      </c>
      <c r="KR10">
        <v>0</v>
      </c>
      <c r="KS10">
        <v>0</v>
      </c>
      <c r="KT10">
        <v>0</v>
      </c>
      <c r="KU10">
        <v>0</v>
      </c>
      <c r="KV10">
        <v>0</v>
      </c>
      <c r="KW10">
        <v>0</v>
      </c>
      <c r="KX10">
        <v>0</v>
      </c>
      <c r="KY10">
        <v>0</v>
      </c>
      <c r="KZ10">
        <v>0</v>
      </c>
      <c r="LA10">
        <v>0</v>
      </c>
      <c r="LB10">
        <v>0</v>
      </c>
      <c r="LC10">
        <v>0</v>
      </c>
      <c r="LD10">
        <v>0</v>
      </c>
      <c r="LE10">
        <v>0</v>
      </c>
      <c r="LF10">
        <v>0</v>
      </c>
      <c r="LG10">
        <v>0</v>
      </c>
      <c r="LH10">
        <v>0</v>
      </c>
      <c r="LI10">
        <v>0</v>
      </c>
      <c r="LJ10">
        <v>0</v>
      </c>
      <c r="LK10">
        <v>0</v>
      </c>
      <c r="LL10">
        <v>0</v>
      </c>
      <c r="LM10">
        <v>0</v>
      </c>
      <c r="LN10">
        <v>0</v>
      </c>
      <c r="LO10">
        <v>0</v>
      </c>
      <c r="LP10">
        <v>0</v>
      </c>
      <c r="LQ10">
        <v>0</v>
      </c>
      <c r="LR10">
        <v>0</v>
      </c>
      <c r="LS10">
        <v>0</v>
      </c>
      <c r="LT10">
        <v>0</v>
      </c>
      <c r="LU10">
        <v>0</v>
      </c>
      <c r="LV10">
        <v>0</v>
      </c>
      <c r="LW10">
        <v>0</v>
      </c>
      <c r="LX10">
        <v>0</v>
      </c>
      <c r="LY10">
        <v>0</v>
      </c>
      <c r="LZ10">
        <v>0</v>
      </c>
      <c r="MA10">
        <v>0</v>
      </c>
      <c r="MB10">
        <v>0</v>
      </c>
      <c r="MC10">
        <v>0</v>
      </c>
      <c r="MD10">
        <v>0</v>
      </c>
      <c r="ME10">
        <v>0</v>
      </c>
      <c r="MF10">
        <v>0</v>
      </c>
      <c r="MG10">
        <v>0</v>
      </c>
      <c r="MH10">
        <v>0</v>
      </c>
      <c r="MI10">
        <v>0</v>
      </c>
      <c r="MJ10">
        <v>0</v>
      </c>
      <c r="MK10">
        <v>0</v>
      </c>
      <c r="ML10">
        <v>0</v>
      </c>
      <c r="MM10">
        <v>0</v>
      </c>
      <c r="MN10">
        <v>0</v>
      </c>
      <c r="MO10">
        <v>0</v>
      </c>
      <c r="MP10">
        <v>0</v>
      </c>
      <c r="MQ10">
        <v>0</v>
      </c>
      <c r="MR10">
        <v>0</v>
      </c>
      <c r="MS10">
        <v>0</v>
      </c>
      <c r="MT10">
        <v>0</v>
      </c>
      <c r="MU10">
        <v>0</v>
      </c>
      <c r="MV10">
        <v>0</v>
      </c>
      <c r="MW10">
        <v>0</v>
      </c>
      <c r="MX10">
        <v>0</v>
      </c>
      <c r="MY10">
        <v>0</v>
      </c>
      <c r="MZ10">
        <v>0</v>
      </c>
      <c r="NA10">
        <v>0</v>
      </c>
      <c r="NB10">
        <v>0</v>
      </c>
      <c r="NC10">
        <v>0</v>
      </c>
      <c r="ND10">
        <v>0</v>
      </c>
      <c r="NE10">
        <v>0</v>
      </c>
    </row>
    <row r="11" spans="1:371" x14ac:dyDescent="0.45">
      <c r="C11">
        <v>0</v>
      </c>
      <c r="E11">
        <v>0</v>
      </c>
      <c r="F11">
        <v>0</v>
      </c>
      <c r="G11">
        <v>0</v>
      </c>
      <c r="H11">
        <v>0</v>
      </c>
      <c r="I11">
        <v>0</v>
      </c>
      <c r="J11">
        <v>0</v>
      </c>
      <c r="K11">
        <v>0</v>
      </c>
      <c r="L11">
        <v>0</v>
      </c>
      <c r="M11">
        <v>0</v>
      </c>
      <c r="N11" t="str">
        <v/>
      </c>
      <c r="O11" t="str">
        <v/>
      </c>
      <c r="P11" t="str">
        <v/>
      </c>
      <c r="Q11" t="str">
        <v/>
      </c>
      <c r="R11" t="str">
        <v/>
      </c>
      <c r="S11" t="str">
        <v/>
      </c>
      <c r="T11" t="str">
        <v/>
      </c>
      <c r="U11">
        <v>0</v>
      </c>
      <c r="V11">
        <v>0</v>
      </c>
      <c r="W11">
        <v>0</v>
      </c>
      <c r="X11">
        <v>0</v>
      </c>
      <c r="Y11">
        <v>0</v>
      </c>
      <c r="Z11">
        <v>0</v>
      </c>
      <c r="AA11">
        <v>0</v>
      </c>
      <c r="AB11">
        <v>0</v>
      </c>
      <c r="AC11">
        <v>0</v>
      </c>
      <c r="AD11">
        <v>0</v>
      </c>
      <c r="AE11">
        <v>0</v>
      </c>
      <c r="AF11">
        <v>0</v>
      </c>
      <c r="AG11">
        <v>0</v>
      </c>
      <c r="AH11">
        <v>0</v>
      </c>
      <c r="AI11">
        <v>0</v>
      </c>
      <c r="AJ11">
        <v>0</v>
      </c>
      <c r="AK11">
        <v>0</v>
      </c>
      <c r="AL11">
        <v>0</v>
      </c>
      <c r="AM11">
        <v>0</v>
      </c>
      <c r="AN11" s="5">
        <v>0</v>
      </c>
      <c r="AO11" t="str">
        <v>A108</v>
      </c>
      <c r="AP11" t="str">
        <v>Mohammed Sinan N.A</v>
      </c>
      <c r="AQ11" t="str">
        <v>BADF</v>
      </c>
      <c r="AR11" t="str">
        <v>SUB JUNIOR</v>
      </c>
      <c r="AS11">
        <v>1</v>
      </c>
      <c r="AT11">
        <v>3</v>
      </c>
      <c r="AU11">
        <v>0</v>
      </c>
      <c r="AV11">
        <v>3</v>
      </c>
      <c r="AW11">
        <v>3</v>
      </c>
      <c r="AX11">
        <v>209</v>
      </c>
      <c r="AY11" s="5">
        <v>209</v>
      </c>
      <c r="AZ11" t="str">
        <v>SJ09</v>
      </c>
      <c r="BA11" t="str">
        <v>MS PAINT</v>
      </c>
      <c r="BB11" t="str">
        <v>SUB JUNIOR</v>
      </c>
      <c r="BC11" t="str">
        <v>Single</v>
      </c>
      <c r="BD11" t="str">
        <v>Non-Stg</v>
      </c>
      <c r="BE11">
        <v>2</v>
      </c>
      <c r="BF11" t="str">
        <v>Individual</v>
      </c>
      <c r="BG11" t="str">
        <v>Individual</v>
      </c>
      <c r="BH11" t="str">
        <v>P</v>
      </c>
      <c r="BI11" t="str">
        <v>PUBLISHED</v>
      </c>
      <c r="BK11">
        <v>5</v>
      </c>
      <c r="BL11" t="str">
        <v>SJ05</v>
      </c>
      <c r="BM11" t="str">
        <v>GK QUIZ</v>
      </c>
      <c r="BN11">
        <v>3</v>
      </c>
      <c r="BO11" t="str">
        <v>Single</v>
      </c>
      <c r="BP11" t="str">
        <v>Non-Stg</v>
      </c>
      <c r="BQ11" t="str">
        <v>SUB JUNIOR</v>
      </c>
      <c r="BR11" t="str">
        <v>A105</v>
      </c>
      <c r="BS11" t="str">
        <v>A143</v>
      </c>
      <c r="BT11" t="str">
        <v>A150</v>
      </c>
      <c r="BU11">
        <v>0</v>
      </c>
      <c r="BV11">
        <v>0</v>
      </c>
      <c r="BW11">
        <v>0</v>
      </c>
      <c r="BX11">
        <v>0</v>
      </c>
      <c r="BY11" t="str">
        <v>A164</v>
      </c>
      <c r="BZ11" t="str">
        <v>A115</v>
      </c>
      <c r="CA11" t="str">
        <v>A175</v>
      </c>
      <c r="CB11">
        <v>0</v>
      </c>
      <c r="CC11">
        <v>0</v>
      </c>
      <c r="CD11">
        <v>0</v>
      </c>
      <c r="CE11">
        <v>0</v>
      </c>
      <c r="CF11" t="str">
        <v>A104</v>
      </c>
      <c r="CG11" t="str">
        <v>A106</v>
      </c>
      <c r="CH11" t="str">
        <v>A166</v>
      </c>
      <c r="CI11">
        <v>0</v>
      </c>
      <c r="CJ11">
        <v>0</v>
      </c>
      <c r="CK11">
        <v>0</v>
      </c>
      <c r="CL11">
        <v>0</v>
      </c>
      <c r="CM11" t="str">
        <v>A103</v>
      </c>
      <c r="CN11" t="str">
        <v>A144</v>
      </c>
      <c r="CO11" t="str">
        <v>A168</v>
      </c>
      <c r="CP11">
        <v>0</v>
      </c>
      <c r="CQ11">
        <v>0</v>
      </c>
      <c r="CR11">
        <v>0</v>
      </c>
      <c r="CS11">
        <v>0</v>
      </c>
      <c r="CT11">
        <v>0</v>
      </c>
      <c r="CU11">
        <v>0</v>
      </c>
      <c r="CV11">
        <v>0</v>
      </c>
      <c r="CW11">
        <v>0</v>
      </c>
      <c r="CX11">
        <v>0</v>
      </c>
      <c r="CY11">
        <v>0</v>
      </c>
      <c r="CZ11">
        <v>0</v>
      </c>
      <c r="DA11">
        <v>0</v>
      </c>
      <c r="DB11">
        <v>0</v>
      </c>
      <c r="DC11">
        <v>0</v>
      </c>
      <c r="DD11">
        <v>0</v>
      </c>
      <c r="DE11">
        <v>0</v>
      </c>
      <c r="DF11">
        <v>0</v>
      </c>
      <c r="DG11">
        <v>0</v>
      </c>
      <c r="DH11">
        <v>0</v>
      </c>
      <c r="DI11">
        <v>0</v>
      </c>
      <c r="DJ11">
        <v>0</v>
      </c>
      <c r="DK11">
        <v>0</v>
      </c>
      <c r="DL11">
        <v>0</v>
      </c>
      <c r="DM11">
        <v>0</v>
      </c>
      <c r="DN11">
        <v>0</v>
      </c>
      <c r="DO11">
        <v>0</v>
      </c>
      <c r="DP11">
        <v>0</v>
      </c>
      <c r="DQ11">
        <v>0</v>
      </c>
      <c r="DR11">
        <v>0</v>
      </c>
      <c r="DS11">
        <v>0</v>
      </c>
      <c r="DT11">
        <v>0</v>
      </c>
      <c r="DU11">
        <v>0</v>
      </c>
      <c r="DV11">
        <v>0</v>
      </c>
      <c r="DW11">
        <v>0</v>
      </c>
      <c r="DX11">
        <v>0</v>
      </c>
      <c r="DY11">
        <v>0</v>
      </c>
      <c r="DZ11">
        <v>0</v>
      </c>
      <c r="EA11">
        <v>0</v>
      </c>
      <c r="EB11">
        <v>0</v>
      </c>
      <c r="EC11">
        <v>0</v>
      </c>
      <c r="ED11">
        <v>0</v>
      </c>
      <c r="EE11">
        <v>0</v>
      </c>
      <c r="EF11">
        <v>0</v>
      </c>
      <c r="EG11">
        <v>0</v>
      </c>
      <c r="EH11">
        <v>0</v>
      </c>
      <c r="EI11">
        <v>0</v>
      </c>
      <c r="EJ11">
        <v>0</v>
      </c>
      <c r="EK11">
        <v>0</v>
      </c>
      <c r="EL11">
        <v>0</v>
      </c>
      <c r="EM11">
        <v>0</v>
      </c>
      <c r="EN11">
        <v>0</v>
      </c>
      <c r="EO11">
        <v>0</v>
      </c>
      <c r="EP11">
        <v>0</v>
      </c>
      <c r="EQ11">
        <v>0</v>
      </c>
      <c r="ER11">
        <v>0</v>
      </c>
      <c r="ES11">
        <v>0</v>
      </c>
      <c r="ET11">
        <v>0</v>
      </c>
      <c r="EU11">
        <v>0</v>
      </c>
      <c r="EV11">
        <v>0</v>
      </c>
      <c r="EW11">
        <v>0</v>
      </c>
      <c r="EX11">
        <v>0</v>
      </c>
      <c r="EY11">
        <v>0</v>
      </c>
      <c r="EZ11">
        <v>0</v>
      </c>
      <c r="FA11">
        <v>0</v>
      </c>
      <c r="FB11">
        <v>0</v>
      </c>
      <c r="FC11">
        <v>0</v>
      </c>
      <c r="FD11">
        <v>0</v>
      </c>
      <c r="FE11">
        <v>0</v>
      </c>
      <c r="FF11">
        <v>0</v>
      </c>
      <c r="FG11">
        <v>0</v>
      </c>
      <c r="FH11">
        <v>0</v>
      </c>
      <c r="FI11">
        <v>0</v>
      </c>
      <c r="FJ11">
        <v>0</v>
      </c>
      <c r="FK11">
        <v>0</v>
      </c>
      <c r="FL11">
        <v>0</v>
      </c>
      <c r="FM11">
        <v>0</v>
      </c>
      <c r="FN11">
        <v>0</v>
      </c>
      <c r="FO11">
        <v>0</v>
      </c>
      <c r="FP11">
        <v>0</v>
      </c>
      <c r="FQ11">
        <v>0</v>
      </c>
      <c r="FR11">
        <v>0</v>
      </c>
      <c r="FS11">
        <v>0</v>
      </c>
      <c r="FT11">
        <v>0</v>
      </c>
      <c r="FU11">
        <v>0</v>
      </c>
      <c r="FV11">
        <v>0</v>
      </c>
      <c r="FW11">
        <v>0</v>
      </c>
      <c r="FX11">
        <v>0</v>
      </c>
      <c r="FY11">
        <v>0</v>
      </c>
      <c r="FZ11">
        <v>0</v>
      </c>
      <c r="GA11">
        <v>0</v>
      </c>
      <c r="GB11">
        <v>0</v>
      </c>
      <c r="GC11">
        <v>0</v>
      </c>
      <c r="GD11">
        <v>0</v>
      </c>
      <c r="GE11">
        <v>0</v>
      </c>
      <c r="GF11">
        <v>0</v>
      </c>
      <c r="GG11">
        <v>0</v>
      </c>
      <c r="GH11">
        <v>0</v>
      </c>
      <c r="GI11">
        <v>0</v>
      </c>
      <c r="GJ11">
        <v>0</v>
      </c>
      <c r="GK11">
        <v>0</v>
      </c>
      <c r="GL11">
        <v>0</v>
      </c>
      <c r="GM11">
        <v>0</v>
      </c>
      <c r="GN11">
        <v>0</v>
      </c>
      <c r="GO11">
        <v>0</v>
      </c>
      <c r="GP11">
        <v>0</v>
      </c>
      <c r="GQ11">
        <v>0</v>
      </c>
      <c r="GR11">
        <v>0</v>
      </c>
      <c r="GS11">
        <v>0</v>
      </c>
      <c r="GT11">
        <v>0</v>
      </c>
      <c r="GU11">
        <v>0</v>
      </c>
      <c r="GV11">
        <v>0</v>
      </c>
      <c r="GW11">
        <v>0</v>
      </c>
      <c r="GX11">
        <v>0</v>
      </c>
      <c r="GY11">
        <v>0</v>
      </c>
      <c r="GZ11">
        <v>0</v>
      </c>
      <c r="HA11">
        <v>0</v>
      </c>
      <c r="HB11">
        <v>0</v>
      </c>
      <c r="HC11">
        <v>0</v>
      </c>
      <c r="HD11">
        <v>0</v>
      </c>
      <c r="HE11">
        <v>0</v>
      </c>
      <c r="HF11">
        <v>0</v>
      </c>
      <c r="HG11">
        <v>0</v>
      </c>
      <c r="HH11">
        <v>0</v>
      </c>
      <c r="HI11">
        <v>0</v>
      </c>
      <c r="HJ11">
        <v>0</v>
      </c>
      <c r="HK11">
        <v>0</v>
      </c>
      <c r="HL11">
        <v>0</v>
      </c>
      <c r="HM11">
        <v>0</v>
      </c>
      <c r="HN11">
        <v>0</v>
      </c>
      <c r="HO11">
        <v>0</v>
      </c>
      <c r="HP11">
        <v>0</v>
      </c>
      <c r="HQ11">
        <v>0</v>
      </c>
      <c r="HR11">
        <v>0</v>
      </c>
      <c r="HS11">
        <v>0</v>
      </c>
      <c r="HT11">
        <v>0</v>
      </c>
      <c r="HU11">
        <v>0</v>
      </c>
      <c r="HV11">
        <v>0</v>
      </c>
      <c r="HW11">
        <v>0</v>
      </c>
      <c r="HX11">
        <v>0</v>
      </c>
      <c r="HY11">
        <v>0</v>
      </c>
      <c r="HZ11">
        <v>0</v>
      </c>
      <c r="IA11">
        <v>0</v>
      </c>
      <c r="IB11">
        <v>0</v>
      </c>
      <c r="IC11">
        <v>0</v>
      </c>
      <c r="ID11">
        <v>0</v>
      </c>
      <c r="IE11">
        <v>0</v>
      </c>
      <c r="IF11">
        <v>0</v>
      </c>
      <c r="IG11">
        <v>0</v>
      </c>
      <c r="IH11">
        <v>0</v>
      </c>
      <c r="II11">
        <v>0</v>
      </c>
      <c r="IJ11">
        <v>0</v>
      </c>
      <c r="IK11">
        <v>0</v>
      </c>
      <c r="IL11">
        <v>0</v>
      </c>
      <c r="IM11">
        <v>0</v>
      </c>
      <c r="IN11">
        <v>0</v>
      </c>
      <c r="IO11">
        <v>0</v>
      </c>
      <c r="IP11">
        <v>0</v>
      </c>
      <c r="IQ11">
        <v>0</v>
      </c>
      <c r="IR11">
        <v>0</v>
      </c>
      <c r="IS11">
        <v>0</v>
      </c>
      <c r="IT11">
        <v>0</v>
      </c>
      <c r="IU11">
        <v>0</v>
      </c>
      <c r="IV11">
        <v>0</v>
      </c>
      <c r="IW11">
        <v>0</v>
      </c>
      <c r="IX11">
        <v>0</v>
      </c>
      <c r="IY11">
        <v>0</v>
      </c>
      <c r="IZ11">
        <v>0</v>
      </c>
      <c r="JA11">
        <v>0</v>
      </c>
      <c r="JB11">
        <v>0</v>
      </c>
      <c r="JC11">
        <v>0</v>
      </c>
      <c r="JD11">
        <v>0</v>
      </c>
      <c r="JE11">
        <v>0</v>
      </c>
      <c r="JF11">
        <v>0</v>
      </c>
      <c r="JG11">
        <v>0</v>
      </c>
      <c r="JH11">
        <v>0</v>
      </c>
      <c r="JI11">
        <v>0</v>
      </c>
      <c r="JJ11">
        <v>0</v>
      </c>
      <c r="JK11">
        <v>0</v>
      </c>
      <c r="JL11">
        <v>0</v>
      </c>
      <c r="JM11">
        <v>0</v>
      </c>
      <c r="JN11">
        <v>0</v>
      </c>
      <c r="JO11">
        <v>0</v>
      </c>
      <c r="JP11">
        <v>0</v>
      </c>
      <c r="JQ11">
        <v>0</v>
      </c>
      <c r="JR11">
        <v>0</v>
      </c>
      <c r="JS11">
        <v>0</v>
      </c>
      <c r="JT11">
        <v>0</v>
      </c>
      <c r="JU11">
        <v>0</v>
      </c>
      <c r="JV11">
        <v>0</v>
      </c>
      <c r="JW11">
        <v>0</v>
      </c>
      <c r="JX11">
        <v>0</v>
      </c>
      <c r="JY11">
        <v>0</v>
      </c>
      <c r="JZ11">
        <v>0</v>
      </c>
      <c r="KA11">
        <v>0</v>
      </c>
      <c r="KB11">
        <v>0</v>
      </c>
      <c r="KC11">
        <v>0</v>
      </c>
      <c r="KD11">
        <v>0</v>
      </c>
      <c r="KE11">
        <v>0</v>
      </c>
      <c r="KF11">
        <v>0</v>
      </c>
      <c r="KG11">
        <v>0</v>
      </c>
      <c r="KH11">
        <v>0</v>
      </c>
      <c r="KI11">
        <v>0</v>
      </c>
      <c r="KJ11">
        <v>0</v>
      </c>
      <c r="KK11">
        <v>0</v>
      </c>
      <c r="KL11">
        <v>0</v>
      </c>
      <c r="KM11">
        <v>0</v>
      </c>
      <c r="KN11">
        <v>0</v>
      </c>
      <c r="KO11">
        <v>0</v>
      </c>
      <c r="KP11">
        <v>0</v>
      </c>
      <c r="KQ11">
        <v>0</v>
      </c>
      <c r="KR11">
        <v>0</v>
      </c>
      <c r="KS11">
        <v>0</v>
      </c>
      <c r="KT11">
        <v>0</v>
      </c>
      <c r="KU11">
        <v>0</v>
      </c>
      <c r="KV11">
        <v>0</v>
      </c>
      <c r="KW11">
        <v>0</v>
      </c>
      <c r="KX11">
        <v>0</v>
      </c>
      <c r="KY11">
        <v>0</v>
      </c>
      <c r="KZ11">
        <v>0</v>
      </c>
      <c r="LA11">
        <v>0</v>
      </c>
      <c r="LB11">
        <v>0</v>
      </c>
      <c r="LC11">
        <v>0</v>
      </c>
      <c r="LD11">
        <v>0</v>
      </c>
      <c r="LE11">
        <v>0</v>
      </c>
      <c r="LF11">
        <v>0</v>
      </c>
      <c r="LG11">
        <v>0</v>
      </c>
      <c r="LH11">
        <v>0</v>
      </c>
      <c r="LI11">
        <v>0</v>
      </c>
      <c r="LJ11">
        <v>0</v>
      </c>
      <c r="LK11">
        <v>0</v>
      </c>
      <c r="LL11">
        <v>0</v>
      </c>
      <c r="LM11">
        <v>0</v>
      </c>
      <c r="LN11">
        <v>0</v>
      </c>
      <c r="LO11">
        <v>0</v>
      </c>
      <c r="LP11">
        <v>0</v>
      </c>
      <c r="LQ11">
        <v>0</v>
      </c>
      <c r="LR11">
        <v>0</v>
      </c>
      <c r="LS11">
        <v>0</v>
      </c>
      <c r="LT11">
        <v>0</v>
      </c>
      <c r="LU11">
        <v>0</v>
      </c>
      <c r="LV11">
        <v>0</v>
      </c>
      <c r="LW11">
        <v>0</v>
      </c>
      <c r="LX11">
        <v>0</v>
      </c>
      <c r="LY11">
        <v>0</v>
      </c>
      <c r="LZ11">
        <v>0</v>
      </c>
      <c r="MA11">
        <v>0</v>
      </c>
      <c r="MB11">
        <v>0</v>
      </c>
      <c r="MC11">
        <v>0</v>
      </c>
      <c r="MD11">
        <v>0</v>
      </c>
      <c r="ME11">
        <v>0</v>
      </c>
      <c r="MF11">
        <v>0</v>
      </c>
      <c r="MG11">
        <v>0</v>
      </c>
      <c r="MH11">
        <v>0</v>
      </c>
      <c r="MI11">
        <v>0</v>
      </c>
      <c r="MJ11">
        <v>0</v>
      </c>
      <c r="MK11">
        <v>0</v>
      </c>
      <c r="ML11">
        <v>0</v>
      </c>
      <c r="MM11">
        <v>0</v>
      </c>
      <c r="MN11">
        <v>0</v>
      </c>
      <c r="MO11">
        <v>0</v>
      </c>
      <c r="MP11">
        <v>0</v>
      </c>
      <c r="MQ11">
        <v>0</v>
      </c>
      <c r="MR11">
        <v>0</v>
      </c>
      <c r="MS11">
        <v>0</v>
      </c>
      <c r="MT11">
        <v>0</v>
      </c>
      <c r="MU11">
        <v>0</v>
      </c>
      <c r="MV11">
        <v>0</v>
      </c>
      <c r="MW11">
        <v>0</v>
      </c>
      <c r="MX11">
        <v>0</v>
      </c>
      <c r="MY11">
        <v>0</v>
      </c>
      <c r="MZ11">
        <v>0</v>
      </c>
      <c r="NA11">
        <v>0</v>
      </c>
      <c r="NB11">
        <v>0</v>
      </c>
      <c r="NC11">
        <v>0</v>
      </c>
      <c r="ND11">
        <v>0</v>
      </c>
      <c r="NE11">
        <v>0</v>
      </c>
    </row>
    <row r="12" spans="1:371" x14ac:dyDescent="0.45">
      <c r="C12">
        <v>0</v>
      </c>
      <c r="E12">
        <v>0</v>
      </c>
      <c r="F12">
        <v>0</v>
      </c>
      <c r="G12">
        <v>0</v>
      </c>
      <c r="H12">
        <v>0</v>
      </c>
      <c r="I12">
        <v>0</v>
      </c>
      <c r="J12">
        <v>0</v>
      </c>
      <c r="K12">
        <v>0</v>
      </c>
      <c r="L12">
        <v>0</v>
      </c>
      <c r="M12">
        <v>0</v>
      </c>
      <c r="N12" t="str">
        <v/>
      </c>
      <c r="O12" t="str">
        <v/>
      </c>
      <c r="P12" t="str">
        <v/>
      </c>
      <c r="Q12" t="str">
        <v/>
      </c>
      <c r="R12" t="str">
        <v/>
      </c>
      <c r="S12" t="str">
        <v/>
      </c>
      <c r="T12" t="str">
        <v/>
      </c>
      <c r="U12">
        <v>0</v>
      </c>
      <c r="V12">
        <v>0</v>
      </c>
      <c r="W12">
        <v>0</v>
      </c>
      <c r="X12">
        <v>0</v>
      </c>
      <c r="Y12">
        <v>0</v>
      </c>
      <c r="Z12">
        <v>0</v>
      </c>
      <c r="AA12">
        <v>0</v>
      </c>
      <c r="AB12">
        <v>0</v>
      </c>
      <c r="AC12">
        <v>0</v>
      </c>
      <c r="AD12">
        <v>0</v>
      </c>
      <c r="AE12">
        <v>0</v>
      </c>
      <c r="AF12">
        <v>0</v>
      </c>
      <c r="AG12">
        <v>0</v>
      </c>
      <c r="AH12">
        <v>0</v>
      </c>
      <c r="AI12">
        <v>0</v>
      </c>
      <c r="AJ12">
        <v>0</v>
      </c>
      <c r="AK12">
        <v>0</v>
      </c>
      <c r="AL12">
        <v>0</v>
      </c>
      <c r="AM12">
        <v>0</v>
      </c>
      <c r="AN12" s="5">
        <v>0</v>
      </c>
      <c r="AO12" t="str">
        <v>A109</v>
      </c>
      <c r="AP12" t="str">
        <v>AHMED RAZI MR</v>
      </c>
      <c r="AQ12" t="str">
        <v>BADF</v>
      </c>
      <c r="AR12" t="str">
        <v>SUB JUNIOR</v>
      </c>
      <c r="AS12">
        <v>1</v>
      </c>
      <c r="AT12">
        <v>38</v>
      </c>
      <c r="AU12">
        <v>0</v>
      </c>
      <c r="AV12">
        <v>38</v>
      </c>
      <c r="AW12">
        <v>38</v>
      </c>
      <c r="AX12">
        <v>26</v>
      </c>
      <c r="AY12" s="5">
        <v>26</v>
      </c>
      <c r="AZ12" t="str">
        <v>SJ10</v>
      </c>
      <c r="BA12" t="str">
        <v>MULTI LING HAND WRITING</v>
      </c>
      <c r="BB12" t="str">
        <v>SUB JUNIOR</v>
      </c>
      <c r="BC12" t="str">
        <v>Single</v>
      </c>
      <c r="BD12" t="str">
        <v>Non-Stg</v>
      </c>
      <c r="BE12">
        <v>3</v>
      </c>
      <c r="BF12" t="str">
        <v>Individual</v>
      </c>
      <c r="BG12" t="str">
        <v>Individual</v>
      </c>
      <c r="BH12" t="str">
        <v>P</v>
      </c>
      <c r="BI12" t="str">
        <v>PUBLISHED</v>
      </c>
      <c r="BK12">
        <v>6</v>
      </c>
      <c r="BL12" t="str">
        <v>SJ06</v>
      </c>
      <c r="BM12" t="str">
        <v>ḤIFẒ</v>
      </c>
      <c r="BN12">
        <v>3</v>
      </c>
      <c r="BO12" t="str">
        <v>Single</v>
      </c>
      <c r="BP12" t="str">
        <v>Non-Stg</v>
      </c>
      <c r="BQ12" t="str">
        <v>SUB JUNIOR</v>
      </c>
      <c r="BR12" t="str">
        <v>A161</v>
      </c>
      <c r="BS12" t="str">
        <v>A162</v>
      </c>
      <c r="BT12" t="str">
        <v>A169</v>
      </c>
      <c r="BU12">
        <v>0</v>
      </c>
      <c r="BV12">
        <v>0</v>
      </c>
      <c r="BW12">
        <v>0</v>
      </c>
      <c r="BX12">
        <v>0</v>
      </c>
      <c r="BY12" t="str">
        <v>A113</v>
      </c>
      <c r="BZ12" t="str">
        <v>A158</v>
      </c>
      <c r="CA12" t="str">
        <v>A174</v>
      </c>
      <c r="CB12">
        <v>0</v>
      </c>
      <c r="CC12">
        <v>0</v>
      </c>
      <c r="CD12">
        <v>0</v>
      </c>
      <c r="CE12">
        <v>0</v>
      </c>
      <c r="CF12" t="str">
        <v>A109</v>
      </c>
      <c r="CG12" t="str">
        <v>A146</v>
      </c>
      <c r="CH12" t="str">
        <v>A163</v>
      </c>
      <c r="CI12">
        <v>0</v>
      </c>
      <c r="CJ12">
        <v>0</v>
      </c>
      <c r="CK12">
        <v>0</v>
      </c>
      <c r="CL12">
        <v>0</v>
      </c>
      <c r="CM12" t="str">
        <v>A121</v>
      </c>
      <c r="CN12" t="str">
        <v>A154</v>
      </c>
      <c r="CO12" t="str">
        <v>A133</v>
      </c>
      <c r="CP12">
        <v>0</v>
      </c>
      <c r="CQ12">
        <v>0</v>
      </c>
      <c r="CR12">
        <v>0</v>
      </c>
      <c r="CS12">
        <v>0</v>
      </c>
      <c r="CT12">
        <v>0</v>
      </c>
      <c r="CU12">
        <v>0</v>
      </c>
      <c r="CV12">
        <v>0</v>
      </c>
      <c r="CW12">
        <v>0</v>
      </c>
      <c r="CX12">
        <v>0</v>
      </c>
      <c r="CY12">
        <v>0</v>
      </c>
      <c r="CZ12">
        <v>0</v>
      </c>
      <c r="DA12">
        <v>0</v>
      </c>
      <c r="DB12">
        <v>0</v>
      </c>
      <c r="DC12">
        <v>0</v>
      </c>
      <c r="DD12">
        <v>0</v>
      </c>
      <c r="DE12">
        <v>0</v>
      </c>
      <c r="DF12">
        <v>0</v>
      </c>
      <c r="DG12">
        <v>0</v>
      </c>
      <c r="DH12">
        <v>0</v>
      </c>
      <c r="DI12">
        <v>0</v>
      </c>
      <c r="DJ12">
        <v>0</v>
      </c>
      <c r="DK12">
        <v>0</v>
      </c>
      <c r="DL12">
        <v>0</v>
      </c>
      <c r="DM12">
        <v>0</v>
      </c>
      <c r="DN12">
        <v>0</v>
      </c>
      <c r="DO12">
        <v>0</v>
      </c>
      <c r="DP12">
        <v>0</v>
      </c>
      <c r="DQ12">
        <v>0</v>
      </c>
      <c r="DR12">
        <v>0</v>
      </c>
      <c r="DS12">
        <v>0</v>
      </c>
      <c r="DT12">
        <v>0</v>
      </c>
      <c r="DU12">
        <v>0</v>
      </c>
      <c r="DV12">
        <v>0</v>
      </c>
      <c r="DW12">
        <v>0</v>
      </c>
      <c r="DX12">
        <v>0</v>
      </c>
      <c r="DY12">
        <v>0</v>
      </c>
      <c r="DZ12">
        <v>0</v>
      </c>
      <c r="EA12">
        <v>0</v>
      </c>
      <c r="EB12">
        <v>0</v>
      </c>
      <c r="EC12">
        <v>0</v>
      </c>
      <c r="ED12">
        <v>0</v>
      </c>
      <c r="EE12">
        <v>0</v>
      </c>
      <c r="EF12">
        <v>0</v>
      </c>
      <c r="EG12">
        <v>0</v>
      </c>
      <c r="EH12">
        <v>0</v>
      </c>
      <c r="EI12">
        <v>0</v>
      </c>
      <c r="EJ12">
        <v>0</v>
      </c>
      <c r="EK12">
        <v>0</v>
      </c>
      <c r="EL12">
        <v>0</v>
      </c>
      <c r="EM12">
        <v>0</v>
      </c>
      <c r="EN12">
        <v>0</v>
      </c>
      <c r="EO12">
        <v>0</v>
      </c>
      <c r="EP12">
        <v>0</v>
      </c>
      <c r="EQ12">
        <v>0</v>
      </c>
      <c r="ER12">
        <v>0</v>
      </c>
      <c r="ES12">
        <v>0</v>
      </c>
      <c r="ET12">
        <v>0</v>
      </c>
      <c r="EU12">
        <v>0</v>
      </c>
      <c r="EV12">
        <v>0</v>
      </c>
      <c r="EW12">
        <v>0</v>
      </c>
      <c r="EX12">
        <v>0</v>
      </c>
      <c r="EY12">
        <v>0</v>
      </c>
      <c r="EZ12">
        <v>0</v>
      </c>
      <c r="FA12">
        <v>0</v>
      </c>
      <c r="FB12">
        <v>0</v>
      </c>
      <c r="FC12">
        <v>0</v>
      </c>
      <c r="FD12">
        <v>0</v>
      </c>
      <c r="FE12">
        <v>0</v>
      </c>
      <c r="FF12">
        <v>0</v>
      </c>
      <c r="FG12">
        <v>0</v>
      </c>
      <c r="FH12">
        <v>0</v>
      </c>
      <c r="FI12">
        <v>0</v>
      </c>
      <c r="FJ12">
        <v>0</v>
      </c>
      <c r="FK12">
        <v>0</v>
      </c>
      <c r="FL12">
        <v>0</v>
      </c>
      <c r="FM12">
        <v>0</v>
      </c>
      <c r="FN12">
        <v>0</v>
      </c>
      <c r="FO12">
        <v>0</v>
      </c>
      <c r="FP12">
        <v>0</v>
      </c>
      <c r="FQ12">
        <v>0</v>
      </c>
      <c r="FR12">
        <v>0</v>
      </c>
      <c r="FS12">
        <v>0</v>
      </c>
      <c r="FT12">
        <v>0</v>
      </c>
      <c r="FU12">
        <v>0</v>
      </c>
      <c r="FV12">
        <v>0</v>
      </c>
      <c r="FW12">
        <v>0</v>
      </c>
      <c r="FX12">
        <v>0</v>
      </c>
      <c r="FY12">
        <v>0</v>
      </c>
      <c r="FZ12">
        <v>0</v>
      </c>
      <c r="GA12">
        <v>0</v>
      </c>
      <c r="GB12">
        <v>0</v>
      </c>
      <c r="GC12">
        <v>0</v>
      </c>
      <c r="GD12">
        <v>0</v>
      </c>
      <c r="GE12">
        <v>0</v>
      </c>
      <c r="GF12">
        <v>0</v>
      </c>
      <c r="GG12">
        <v>0</v>
      </c>
      <c r="GH12">
        <v>0</v>
      </c>
      <c r="GI12">
        <v>0</v>
      </c>
      <c r="GJ12">
        <v>0</v>
      </c>
      <c r="GK12">
        <v>0</v>
      </c>
      <c r="GL12">
        <v>0</v>
      </c>
      <c r="GM12">
        <v>0</v>
      </c>
      <c r="GN12">
        <v>0</v>
      </c>
      <c r="GO12">
        <v>0</v>
      </c>
      <c r="GP12">
        <v>0</v>
      </c>
      <c r="GQ12">
        <v>0</v>
      </c>
      <c r="GR12">
        <v>0</v>
      </c>
      <c r="GS12">
        <v>0</v>
      </c>
      <c r="GT12">
        <v>0</v>
      </c>
      <c r="GU12">
        <v>0</v>
      </c>
      <c r="GV12">
        <v>0</v>
      </c>
      <c r="GW12">
        <v>0</v>
      </c>
      <c r="GX12">
        <v>0</v>
      </c>
      <c r="GY12">
        <v>0</v>
      </c>
      <c r="GZ12">
        <v>0</v>
      </c>
      <c r="HA12">
        <v>0</v>
      </c>
      <c r="HB12">
        <v>0</v>
      </c>
      <c r="HC12">
        <v>0</v>
      </c>
      <c r="HD12">
        <v>0</v>
      </c>
      <c r="HE12">
        <v>0</v>
      </c>
      <c r="HF12">
        <v>0</v>
      </c>
      <c r="HG12">
        <v>0</v>
      </c>
      <c r="HH12">
        <v>0</v>
      </c>
      <c r="HI12">
        <v>0</v>
      </c>
      <c r="HJ12">
        <v>0</v>
      </c>
      <c r="HK12">
        <v>0</v>
      </c>
      <c r="HL12">
        <v>0</v>
      </c>
      <c r="HM12">
        <v>0</v>
      </c>
      <c r="HN12">
        <v>0</v>
      </c>
      <c r="HO12">
        <v>0</v>
      </c>
      <c r="HP12">
        <v>0</v>
      </c>
      <c r="HQ12">
        <v>0</v>
      </c>
      <c r="HR12">
        <v>0</v>
      </c>
      <c r="HS12">
        <v>0</v>
      </c>
      <c r="HT12">
        <v>0</v>
      </c>
      <c r="HU12">
        <v>0</v>
      </c>
      <c r="HV12">
        <v>0</v>
      </c>
      <c r="HW12">
        <v>0</v>
      </c>
      <c r="HX12">
        <v>0</v>
      </c>
      <c r="HY12">
        <v>0</v>
      </c>
      <c r="HZ12">
        <v>0</v>
      </c>
      <c r="IA12">
        <v>0</v>
      </c>
      <c r="IB12">
        <v>0</v>
      </c>
      <c r="IC12">
        <v>0</v>
      </c>
      <c r="ID12">
        <v>0</v>
      </c>
      <c r="IE12">
        <v>0</v>
      </c>
      <c r="IF12">
        <v>0</v>
      </c>
      <c r="IG12">
        <v>0</v>
      </c>
      <c r="IH12">
        <v>0</v>
      </c>
      <c r="II12">
        <v>0</v>
      </c>
      <c r="IJ12">
        <v>0</v>
      </c>
      <c r="IK12">
        <v>0</v>
      </c>
      <c r="IL12">
        <v>0</v>
      </c>
      <c r="IM12">
        <v>0</v>
      </c>
      <c r="IN12">
        <v>0</v>
      </c>
      <c r="IO12">
        <v>0</v>
      </c>
      <c r="IP12">
        <v>0</v>
      </c>
      <c r="IQ12">
        <v>0</v>
      </c>
      <c r="IR12">
        <v>0</v>
      </c>
      <c r="IS12">
        <v>0</v>
      </c>
      <c r="IT12">
        <v>0</v>
      </c>
      <c r="IU12">
        <v>0</v>
      </c>
      <c r="IV12">
        <v>0</v>
      </c>
      <c r="IW12">
        <v>0</v>
      </c>
      <c r="IX12">
        <v>0</v>
      </c>
      <c r="IY12">
        <v>0</v>
      </c>
      <c r="IZ12">
        <v>0</v>
      </c>
      <c r="JA12">
        <v>0</v>
      </c>
      <c r="JB12">
        <v>0</v>
      </c>
      <c r="JC12">
        <v>0</v>
      </c>
      <c r="JD12">
        <v>0</v>
      </c>
      <c r="JE12">
        <v>0</v>
      </c>
      <c r="JF12">
        <v>0</v>
      </c>
      <c r="JG12">
        <v>0</v>
      </c>
      <c r="JH12">
        <v>0</v>
      </c>
      <c r="JI12">
        <v>0</v>
      </c>
      <c r="JJ12">
        <v>0</v>
      </c>
      <c r="JK12">
        <v>0</v>
      </c>
      <c r="JL12">
        <v>0</v>
      </c>
      <c r="JM12">
        <v>0</v>
      </c>
      <c r="JN12">
        <v>0</v>
      </c>
      <c r="JO12">
        <v>0</v>
      </c>
      <c r="JP12">
        <v>0</v>
      </c>
      <c r="JQ12">
        <v>0</v>
      </c>
      <c r="JR12">
        <v>0</v>
      </c>
      <c r="JS12">
        <v>0</v>
      </c>
      <c r="JT12">
        <v>0</v>
      </c>
      <c r="JU12">
        <v>0</v>
      </c>
      <c r="JV12">
        <v>0</v>
      </c>
      <c r="JW12">
        <v>0</v>
      </c>
      <c r="JX12">
        <v>0</v>
      </c>
      <c r="JY12">
        <v>0</v>
      </c>
      <c r="JZ12">
        <v>0</v>
      </c>
      <c r="KA12">
        <v>0</v>
      </c>
      <c r="KB12">
        <v>0</v>
      </c>
      <c r="KC12">
        <v>0</v>
      </c>
      <c r="KD12">
        <v>0</v>
      </c>
      <c r="KE12">
        <v>0</v>
      </c>
      <c r="KF12">
        <v>0</v>
      </c>
      <c r="KG12">
        <v>0</v>
      </c>
      <c r="KH12">
        <v>0</v>
      </c>
      <c r="KI12">
        <v>0</v>
      </c>
      <c r="KJ12">
        <v>0</v>
      </c>
      <c r="KK12">
        <v>0</v>
      </c>
      <c r="KL12">
        <v>0</v>
      </c>
      <c r="KM12">
        <v>0</v>
      </c>
      <c r="KN12">
        <v>0</v>
      </c>
      <c r="KO12">
        <v>0</v>
      </c>
      <c r="KP12">
        <v>0</v>
      </c>
      <c r="KQ12">
        <v>0</v>
      </c>
      <c r="KR12">
        <v>0</v>
      </c>
      <c r="KS12">
        <v>0</v>
      </c>
      <c r="KT12">
        <v>0</v>
      </c>
      <c r="KU12">
        <v>0</v>
      </c>
      <c r="KV12">
        <v>0</v>
      </c>
      <c r="KW12">
        <v>0</v>
      </c>
      <c r="KX12">
        <v>0</v>
      </c>
      <c r="KY12">
        <v>0</v>
      </c>
      <c r="KZ12">
        <v>0</v>
      </c>
      <c r="LA12">
        <v>0</v>
      </c>
      <c r="LB12">
        <v>0</v>
      </c>
      <c r="LC12">
        <v>0</v>
      </c>
      <c r="LD12">
        <v>0</v>
      </c>
      <c r="LE12">
        <v>0</v>
      </c>
      <c r="LF12">
        <v>0</v>
      </c>
      <c r="LG12">
        <v>0</v>
      </c>
      <c r="LH12">
        <v>0</v>
      </c>
      <c r="LI12">
        <v>0</v>
      </c>
      <c r="LJ12">
        <v>0</v>
      </c>
      <c r="LK12">
        <v>0</v>
      </c>
      <c r="LL12">
        <v>0</v>
      </c>
      <c r="LM12">
        <v>0</v>
      </c>
      <c r="LN12">
        <v>0</v>
      </c>
      <c r="LO12">
        <v>0</v>
      </c>
      <c r="LP12">
        <v>0</v>
      </c>
      <c r="LQ12">
        <v>0</v>
      </c>
      <c r="LR12">
        <v>0</v>
      </c>
      <c r="LS12">
        <v>0</v>
      </c>
      <c r="LT12">
        <v>0</v>
      </c>
      <c r="LU12">
        <v>0</v>
      </c>
      <c r="LV12">
        <v>0</v>
      </c>
      <c r="LW12">
        <v>0</v>
      </c>
      <c r="LX12">
        <v>0</v>
      </c>
      <c r="LY12">
        <v>0</v>
      </c>
      <c r="LZ12">
        <v>0</v>
      </c>
      <c r="MA12">
        <v>0</v>
      </c>
      <c r="MB12">
        <v>0</v>
      </c>
      <c r="MC12">
        <v>0</v>
      </c>
      <c r="MD12">
        <v>0</v>
      </c>
      <c r="ME12">
        <v>0</v>
      </c>
      <c r="MF12">
        <v>0</v>
      </c>
      <c r="MG12">
        <v>0</v>
      </c>
      <c r="MH12">
        <v>0</v>
      </c>
      <c r="MI12">
        <v>0</v>
      </c>
      <c r="MJ12">
        <v>0</v>
      </c>
      <c r="MK12">
        <v>0</v>
      </c>
      <c r="ML12">
        <v>0</v>
      </c>
      <c r="MM12">
        <v>0</v>
      </c>
      <c r="MN12">
        <v>0</v>
      </c>
      <c r="MO12">
        <v>0</v>
      </c>
      <c r="MP12">
        <v>0</v>
      </c>
      <c r="MQ12">
        <v>0</v>
      </c>
      <c r="MR12">
        <v>0</v>
      </c>
      <c r="MS12">
        <v>0</v>
      </c>
      <c r="MT12">
        <v>0</v>
      </c>
      <c r="MU12">
        <v>0</v>
      </c>
      <c r="MV12">
        <v>0</v>
      </c>
      <c r="MW12">
        <v>0</v>
      </c>
      <c r="MX12">
        <v>0</v>
      </c>
      <c r="MY12">
        <v>0</v>
      </c>
      <c r="MZ12">
        <v>0</v>
      </c>
      <c r="NA12">
        <v>0</v>
      </c>
      <c r="NB12">
        <v>0</v>
      </c>
      <c r="NC12">
        <v>0</v>
      </c>
      <c r="ND12">
        <v>0</v>
      </c>
      <c r="NE12">
        <v>0</v>
      </c>
    </row>
    <row r="13" spans="1:371" x14ac:dyDescent="0.45">
      <c r="E13">
        <v>0</v>
      </c>
      <c r="F13">
        <v>0</v>
      </c>
      <c r="G13">
        <v>0</v>
      </c>
      <c r="H13">
        <v>0</v>
      </c>
      <c r="I13">
        <v>0</v>
      </c>
      <c r="J13">
        <v>0</v>
      </c>
      <c r="K13">
        <v>0</v>
      </c>
      <c r="L13">
        <v>0</v>
      </c>
      <c r="M13">
        <v>0</v>
      </c>
      <c r="N13" t="str">
        <v/>
      </c>
      <c r="O13" t="str">
        <v/>
      </c>
      <c r="P13" t="str">
        <v/>
      </c>
      <c r="Q13" t="str">
        <v/>
      </c>
      <c r="R13" t="str">
        <v/>
      </c>
      <c r="S13" t="str">
        <v/>
      </c>
      <c r="T13" t="str">
        <v/>
      </c>
      <c r="U13">
        <v>0</v>
      </c>
      <c r="V13">
        <v>0</v>
      </c>
      <c r="W13">
        <v>0</v>
      </c>
      <c r="X13">
        <v>0</v>
      </c>
      <c r="Y13">
        <v>0</v>
      </c>
      <c r="Z13">
        <v>0</v>
      </c>
      <c r="AA13">
        <v>0</v>
      </c>
      <c r="AB13">
        <v>0</v>
      </c>
      <c r="AC13">
        <v>0</v>
      </c>
      <c r="AD13">
        <v>0</v>
      </c>
      <c r="AE13">
        <v>0</v>
      </c>
      <c r="AF13">
        <v>0</v>
      </c>
      <c r="AG13">
        <v>0</v>
      </c>
      <c r="AH13">
        <v>0</v>
      </c>
      <c r="AI13">
        <v>0</v>
      </c>
      <c r="AJ13">
        <v>0</v>
      </c>
      <c r="AK13">
        <v>0</v>
      </c>
      <c r="AL13">
        <v>0</v>
      </c>
      <c r="AM13">
        <v>0</v>
      </c>
      <c r="AN13" s="5">
        <v>0</v>
      </c>
      <c r="AO13" t="str">
        <v>A110</v>
      </c>
      <c r="AP13" t="str">
        <v>Muhammed Hisham K M</v>
      </c>
      <c r="AQ13" t="str">
        <v>FANT</v>
      </c>
      <c r="AR13" t="str">
        <v>SUB JUNIOR</v>
      </c>
      <c r="AS13">
        <v>1</v>
      </c>
      <c r="AT13">
        <v>9</v>
      </c>
      <c r="AU13">
        <v>0</v>
      </c>
      <c r="AV13">
        <v>9</v>
      </c>
      <c r="AW13">
        <v>9</v>
      </c>
      <c r="AX13">
        <v>139</v>
      </c>
      <c r="AY13" s="5">
        <v>139</v>
      </c>
      <c r="AZ13" t="str">
        <v>SJ11</v>
      </c>
      <c r="BA13" t="str">
        <v>NEWS WRITING MLM</v>
      </c>
      <c r="BB13" t="str">
        <v>SUB JUNIOR</v>
      </c>
      <c r="BC13" t="str">
        <v>Single</v>
      </c>
      <c r="BD13" t="str">
        <v>Non-Stg</v>
      </c>
      <c r="BE13">
        <v>3</v>
      </c>
      <c r="BF13" t="str">
        <v>Individual</v>
      </c>
      <c r="BG13" t="str">
        <v>Individual</v>
      </c>
      <c r="BH13" t="str">
        <v>P</v>
      </c>
      <c r="BI13" t="str">
        <v>PUBLISHED</v>
      </c>
      <c r="BK13">
        <v>7</v>
      </c>
      <c r="BL13" t="str">
        <v>SJ07</v>
      </c>
      <c r="BM13" t="str">
        <v>MATH TALENT</v>
      </c>
      <c r="BN13">
        <v>3</v>
      </c>
      <c r="BO13" t="str">
        <v>Single</v>
      </c>
      <c r="BP13" t="str">
        <v>Non-Stg</v>
      </c>
      <c r="BQ13" t="str">
        <v>SUB JUNIOR</v>
      </c>
      <c r="BR13" t="str">
        <v>A100</v>
      </c>
      <c r="BS13" t="str">
        <v>A107</v>
      </c>
      <c r="BT13" t="str">
        <v>A150</v>
      </c>
      <c r="BU13">
        <v>0</v>
      </c>
      <c r="BV13">
        <v>0</v>
      </c>
      <c r="BW13">
        <v>0</v>
      </c>
      <c r="BX13">
        <v>0</v>
      </c>
      <c r="BY13" t="str">
        <v>A164</v>
      </c>
      <c r="BZ13" t="str">
        <v>A147</v>
      </c>
      <c r="CA13" t="str">
        <v>A120</v>
      </c>
      <c r="CB13">
        <v>0</v>
      </c>
      <c r="CC13">
        <v>0</v>
      </c>
      <c r="CD13">
        <v>0</v>
      </c>
      <c r="CE13">
        <v>0</v>
      </c>
      <c r="CF13" t="str">
        <v>A104</v>
      </c>
      <c r="CG13" t="str">
        <v>A106</v>
      </c>
      <c r="CH13" t="str">
        <v>A145</v>
      </c>
      <c r="CI13">
        <v>0</v>
      </c>
      <c r="CJ13">
        <v>0</v>
      </c>
      <c r="CK13">
        <v>0</v>
      </c>
      <c r="CL13">
        <v>0</v>
      </c>
      <c r="CM13" t="str">
        <v>A103</v>
      </c>
      <c r="CN13" t="str">
        <v>A123</v>
      </c>
      <c r="CO13" t="str">
        <v>A149</v>
      </c>
      <c r="CP13">
        <v>0</v>
      </c>
      <c r="CQ13">
        <v>0</v>
      </c>
      <c r="CR13">
        <v>0</v>
      </c>
      <c r="CS13">
        <v>0</v>
      </c>
      <c r="CT13">
        <v>0</v>
      </c>
      <c r="CU13">
        <v>0</v>
      </c>
      <c r="CV13">
        <v>0</v>
      </c>
      <c r="CW13">
        <v>0</v>
      </c>
      <c r="CX13">
        <v>0</v>
      </c>
      <c r="CY13">
        <v>0</v>
      </c>
      <c r="CZ13">
        <v>0</v>
      </c>
      <c r="DA13">
        <v>0</v>
      </c>
      <c r="DB13">
        <v>0</v>
      </c>
      <c r="DC13">
        <v>0</v>
      </c>
      <c r="DD13">
        <v>0</v>
      </c>
      <c r="DE13">
        <v>0</v>
      </c>
      <c r="DF13">
        <v>0</v>
      </c>
      <c r="DG13">
        <v>0</v>
      </c>
      <c r="DH13">
        <v>0</v>
      </c>
      <c r="DI13">
        <v>0</v>
      </c>
      <c r="DJ13">
        <v>0</v>
      </c>
      <c r="DK13">
        <v>0</v>
      </c>
      <c r="DL13">
        <v>0</v>
      </c>
      <c r="DM13">
        <v>0</v>
      </c>
      <c r="DN13">
        <v>0</v>
      </c>
      <c r="DO13">
        <v>0</v>
      </c>
      <c r="DP13">
        <v>0</v>
      </c>
      <c r="DQ13">
        <v>0</v>
      </c>
      <c r="DR13">
        <v>0</v>
      </c>
      <c r="DS13">
        <v>0</v>
      </c>
      <c r="DT13">
        <v>0</v>
      </c>
      <c r="DU13">
        <v>0</v>
      </c>
      <c r="DV13">
        <v>0</v>
      </c>
      <c r="DW13">
        <v>0</v>
      </c>
      <c r="DX13">
        <v>0</v>
      </c>
      <c r="DY13">
        <v>0</v>
      </c>
      <c r="DZ13">
        <v>0</v>
      </c>
      <c r="EA13">
        <v>0</v>
      </c>
      <c r="EB13">
        <v>0</v>
      </c>
      <c r="EC13">
        <v>0</v>
      </c>
      <c r="ED13">
        <v>0</v>
      </c>
      <c r="EE13">
        <v>0</v>
      </c>
      <c r="EF13">
        <v>0</v>
      </c>
      <c r="EG13">
        <v>0</v>
      </c>
      <c r="EH13">
        <v>0</v>
      </c>
      <c r="EI13">
        <v>0</v>
      </c>
      <c r="EJ13">
        <v>0</v>
      </c>
      <c r="EK13">
        <v>0</v>
      </c>
      <c r="EL13">
        <v>0</v>
      </c>
      <c r="EM13">
        <v>0</v>
      </c>
      <c r="EN13">
        <v>0</v>
      </c>
      <c r="EO13">
        <v>0</v>
      </c>
      <c r="EP13">
        <v>0</v>
      </c>
      <c r="EQ13">
        <v>0</v>
      </c>
      <c r="ER13">
        <v>0</v>
      </c>
      <c r="ES13">
        <v>0</v>
      </c>
      <c r="ET13">
        <v>0</v>
      </c>
      <c r="EU13">
        <v>0</v>
      </c>
      <c r="EV13">
        <v>0</v>
      </c>
      <c r="EW13">
        <v>0</v>
      </c>
      <c r="EX13">
        <v>0</v>
      </c>
      <c r="EY13">
        <v>0</v>
      </c>
      <c r="EZ13">
        <v>0</v>
      </c>
      <c r="FA13">
        <v>0</v>
      </c>
      <c r="FB13">
        <v>0</v>
      </c>
      <c r="FC13">
        <v>0</v>
      </c>
      <c r="FD13">
        <v>0</v>
      </c>
      <c r="FE13">
        <v>0</v>
      </c>
      <c r="FF13">
        <v>0</v>
      </c>
      <c r="FG13">
        <v>0</v>
      </c>
      <c r="FH13">
        <v>0</v>
      </c>
      <c r="FI13">
        <v>0</v>
      </c>
      <c r="FJ13">
        <v>0</v>
      </c>
      <c r="FK13">
        <v>0</v>
      </c>
      <c r="FL13">
        <v>0</v>
      </c>
      <c r="FM13">
        <v>0</v>
      </c>
      <c r="FN13">
        <v>0</v>
      </c>
      <c r="FO13">
        <v>0</v>
      </c>
      <c r="FP13">
        <v>0</v>
      </c>
      <c r="FQ13">
        <v>0</v>
      </c>
      <c r="FR13">
        <v>0</v>
      </c>
      <c r="FS13">
        <v>0</v>
      </c>
      <c r="FT13">
        <v>0</v>
      </c>
      <c r="FU13">
        <v>0</v>
      </c>
      <c r="FV13">
        <v>0</v>
      </c>
      <c r="FW13">
        <v>0</v>
      </c>
      <c r="FX13">
        <v>0</v>
      </c>
      <c r="FY13">
        <v>0</v>
      </c>
      <c r="FZ13">
        <v>0</v>
      </c>
      <c r="GA13">
        <v>0</v>
      </c>
      <c r="GB13">
        <v>0</v>
      </c>
      <c r="GC13">
        <v>0</v>
      </c>
      <c r="GD13">
        <v>0</v>
      </c>
      <c r="GE13">
        <v>0</v>
      </c>
      <c r="GF13">
        <v>0</v>
      </c>
      <c r="GG13">
        <v>0</v>
      </c>
      <c r="GH13">
        <v>0</v>
      </c>
      <c r="GI13">
        <v>0</v>
      </c>
      <c r="GJ13">
        <v>0</v>
      </c>
      <c r="GK13">
        <v>0</v>
      </c>
      <c r="GL13">
        <v>0</v>
      </c>
      <c r="GM13">
        <v>0</v>
      </c>
      <c r="GN13">
        <v>0</v>
      </c>
      <c r="GO13">
        <v>0</v>
      </c>
      <c r="GP13">
        <v>0</v>
      </c>
      <c r="GQ13">
        <v>0</v>
      </c>
      <c r="GR13">
        <v>0</v>
      </c>
      <c r="GS13">
        <v>0</v>
      </c>
      <c r="GT13">
        <v>0</v>
      </c>
      <c r="GU13">
        <v>0</v>
      </c>
      <c r="GV13">
        <v>0</v>
      </c>
      <c r="GW13">
        <v>0</v>
      </c>
      <c r="GX13">
        <v>0</v>
      </c>
      <c r="GY13">
        <v>0</v>
      </c>
      <c r="GZ13">
        <v>0</v>
      </c>
      <c r="HA13">
        <v>0</v>
      </c>
      <c r="HB13">
        <v>0</v>
      </c>
      <c r="HC13">
        <v>0</v>
      </c>
      <c r="HD13">
        <v>0</v>
      </c>
      <c r="HE13">
        <v>0</v>
      </c>
      <c r="HF13">
        <v>0</v>
      </c>
      <c r="HG13">
        <v>0</v>
      </c>
      <c r="HH13">
        <v>0</v>
      </c>
      <c r="HI13">
        <v>0</v>
      </c>
      <c r="HJ13">
        <v>0</v>
      </c>
      <c r="HK13">
        <v>0</v>
      </c>
      <c r="HL13">
        <v>0</v>
      </c>
      <c r="HM13">
        <v>0</v>
      </c>
      <c r="HN13">
        <v>0</v>
      </c>
      <c r="HO13">
        <v>0</v>
      </c>
      <c r="HP13">
        <v>0</v>
      </c>
      <c r="HQ13">
        <v>0</v>
      </c>
      <c r="HR13">
        <v>0</v>
      </c>
      <c r="HS13">
        <v>0</v>
      </c>
      <c r="HT13">
        <v>0</v>
      </c>
      <c r="HU13">
        <v>0</v>
      </c>
      <c r="HV13">
        <v>0</v>
      </c>
      <c r="HW13">
        <v>0</v>
      </c>
      <c r="HX13">
        <v>0</v>
      </c>
      <c r="HY13">
        <v>0</v>
      </c>
      <c r="HZ13">
        <v>0</v>
      </c>
      <c r="IA13">
        <v>0</v>
      </c>
      <c r="IB13">
        <v>0</v>
      </c>
      <c r="IC13">
        <v>0</v>
      </c>
      <c r="ID13">
        <v>0</v>
      </c>
      <c r="IE13">
        <v>0</v>
      </c>
      <c r="IF13">
        <v>0</v>
      </c>
      <c r="IG13">
        <v>0</v>
      </c>
      <c r="IH13">
        <v>0</v>
      </c>
      <c r="II13">
        <v>0</v>
      </c>
      <c r="IJ13">
        <v>0</v>
      </c>
      <c r="IK13">
        <v>0</v>
      </c>
      <c r="IL13">
        <v>0</v>
      </c>
      <c r="IM13">
        <v>0</v>
      </c>
      <c r="IN13">
        <v>0</v>
      </c>
      <c r="IO13">
        <v>0</v>
      </c>
      <c r="IP13">
        <v>0</v>
      </c>
      <c r="IQ13">
        <v>0</v>
      </c>
      <c r="IR13">
        <v>0</v>
      </c>
      <c r="IS13">
        <v>0</v>
      </c>
      <c r="IT13">
        <v>0</v>
      </c>
      <c r="IU13">
        <v>0</v>
      </c>
      <c r="IV13">
        <v>0</v>
      </c>
      <c r="IW13">
        <v>0</v>
      </c>
      <c r="IX13">
        <v>0</v>
      </c>
      <c r="IY13">
        <v>0</v>
      </c>
      <c r="IZ13">
        <v>0</v>
      </c>
      <c r="JA13">
        <v>0</v>
      </c>
      <c r="JB13">
        <v>0</v>
      </c>
      <c r="JC13">
        <v>0</v>
      </c>
      <c r="JD13">
        <v>0</v>
      </c>
      <c r="JE13">
        <v>0</v>
      </c>
      <c r="JF13">
        <v>0</v>
      </c>
      <c r="JG13">
        <v>0</v>
      </c>
      <c r="JH13">
        <v>0</v>
      </c>
      <c r="JI13">
        <v>0</v>
      </c>
      <c r="JJ13">
        <v>0</v>
      </c>
      <c r="JK13">
        <v>0</v>
      </c>
      <c r="JL13">
        <v>0</v>
      </c>
      <c r="JM13">
        <v>0</v>
      </c>
      <c r="JN13">
        <v>0</v>
      </c>
      <c r="JO13">
        <v>0</v>
      </c>
      <c r="JP13">
        <v>0</v>
      </c>
      <c r="JQ13">
        <v>0</v>
      </c>
      <c r="JR13">
        <v>0</v>
      </c>
      <c r="JS13">
        <v>0</v>
      </c>
      <c r="JT13">
        <v>0</v>
      </c>
      <c r="JU13">
        <v>0</v>
      </c>
      <c r="JV13">
        <v>0</v>
      </c>
      <c r="JW13">
        <v>0</v>
      </c>
      <c r="JX13">
        <v>0</v>
      </c>
      <c r="JY13">
        <v>0</v>
      </c>
      <c r="JZ13">
        <v>0</v>
      </c>
      <c r="KA13">
        <v>0</v>
      </c>
      <c r="KB13">
        <v>0</v>
      </c>
      <c r="KC13">
        <v>0</v>
      </c>
      <c r="KD13">
        <v>0</v>
      </c>
      <c r="KE13">
        <v>0</v>
      </c>
      <c r="KF13">
        <v>0</v>
      </c>
      <c r="KG13">
        <v>0</v>
      </c>
      <c r="KH13">
        <v>0</v>
      </c>
      <c r="KI13">
        <v>0</v>
      </c>
      <c r="KJ13">
        <v>0</v>
      </c>
      <c r="KK13">
        <v>0</v>
      </c>
      <c r="KL13">
        <v>0</v>
      </c>
      <c r="KM13">
        <v>0</v>
      </c>
      <c r="KN13">
        <v>0</v>
      </c>
      <c r="KO13">
        <v>0</v>
      </c>
      <c r="KP13">
        <v>0</v>
      </c>
      <c r="KQ13">
        <v>0</v>
      </c>
      <c r="KR13">
        <v>0</v>
      </c>
      <c r="KS13">
        <v>0</v>
      </c>
      <c r="KT13">
        <v>0</v>
      </c>
      <c r="KU13">
        <v>0</v>
      </c>
      <c r="KV13">
        <v>0</v>
      </c>
      <c r="KW13">
        <v>0</v>
      </c>
      <c r="KX13">
        <v>0</v>
      </c>
      <c r="KY13">
        <v>0</v>
      </c>
      <c r="KZ13">
        <v>0</v>
      </c>
      <c r="LA13">
        <v>0</v>
      </c>
      <c r="LB13">
        <v>0</v>
      </c>
      <c r="LC13">
        <v>0</v>
      </c>
      <c r="LD13">
        <v>0</v>
      </c>
      <c r="LE13">
        <v>0</v>
      </c>
      <c r="LF13">
        <v>0</v>
      </c>
      <c r="LG13">
        <v>0</v>
      </c>
      <c r="LH13">
        <v>0</v>
      </c>
      <c r="LI13">
        <v>0</v>
      </c>
      <c r="LJ13">
        <v>0</v>
      </c>
      <c r="LK13">
        <v>0</v>
      </c>
      <c r="LL13">
        <v>0</v>
      </c>
      <c r="LM13">
        <v>0</v>
      </c>
      <c r="LN13">
        <v>0</v>
      </c>
      <c r="LO13">
        <v>0</v>
      </c>
      <c r="LP13">
        <v>0</v>
      </c>
      <c r="LQ13">
        <v>0</v>
      </c>
      <c r="LR13">
        <v>0</v>
      </c>
      <c r="LS13">
        <v>0</v>
      </c>
      <c r="LT13">
        <v>0</v>
      </c>
      <c r="LU13">
        <v>0</v>
      </c>
      <c r="LV13">
        <v>0</v>
      </c>
      <c r="LW13">
        <v>0</v>
      </c>
      <c r="LX13">
        <v>0</v>
      </c>
      <c r="LY13">
        <v>0</v>
      </c>
      <c r="LZ13">
        <v>0</v>
      </c>
      <c r="MA13">
        <v>0</v>
      </c>
      <c r="MB13">
        <v>0</v>
      </c>
      <c r="MC13">
        <v>0</v>
      </c>
      <c r="MD13">
        <v>0</v>
      </c>
      <c r="ME13">
        <v>0</v>
      </c>
      <c r="MF13">
        <v>0</v>
      </c>
      <c r="MG13">
        <v>0</v>
      </c>
      <c r="MH13">
        <v>0</v>
      </c>
      <c r="MI13">
        <v>0</v>
      </c>
      <c r="MJ13">
        <v>0</v>
      </c>
      <c r="MK13">
        <v>0</v>
      </c>
      <c r="ML13">
        <v>0</v>
      </c>
      <c r="MM13">
        <v>0</v>
      </c>
      <c r="MN13">
        <v>0</v>
      </c>
      <c r="MO13">
        <v>0</v>
      </c>
      <c r="MP13">
        <v>0</v>
      </c>
      <c r="MQ13">
        <v>0</v>
      </c>
      <c r="MR13">
        <v>0</v>
      </c>
      <c r="MS13">
        <v>0</v>
      </c>
      <c r="MT13">
        <v>0</v>
      </c>
      <c r="MU13">
        <v>0</v>
      </c>
      <c r="MV13">
        <v>0</v>
      </c>
      <c r="MW13">
        <v>0</v>
      </c>
      <c r="MX13">
        <v>0</v>
      </c>
      <c r="MY13">
        <v>0</v>
      </c>
      <c r="MZ13">
        <v>0</v>
      </c>
      <c r="NA13">
        <v>0</v>
      </c>
      <c r="NB13">
        <v>0</v>
      </c>
      <c r="NC13">
        <v>0</v>
      </c>
      <c r="ND13">
        <v>0</v>
      </c>
      <c r="NE13">
        <v>0</v>
      </c>
    </row>
    <row r="14" spans="1:371" x14ac:dyDescent="0.45">
      <c r="E14">
        <v>0</v>
      </c>
      <c r="F14">
        <v>0</v>
      </c>
      <c r="G14">
        <v>0</v>
      </c>
      <c r="H14">
        <v>0</v>
      </c>
      <c r="I14">
        <v>0</v>
      </c>
      <c r="J14">
        <v>0</v>
      </c>
      <c r="K14">
        <v>0</v>
      </c>
      <c r="L14">
        <v>0</v>
      </c>
      <c r="M14">
        <v>0</v>
      </c>
      <c r="N14" t="str">
        <v/>
      </c>
      <c r="O14" t="str">
        <v/>
      </c>
      <c r="P14" t="str">
        <v/>
      </c>
      <c r="Q14" t="str">
        <v/>
      </c>
      <c r="R14" t="str">
        <v/>
      </c>
      <c r="S14" t="str">
        <v/>
      </c>
      <c r="T14" t="str">
        <v/>
      </c>
      <c r="U14">
        <v>0</v>
      </c>
      <c r="V14">
        <v>0</v>
      </c>
      <c r="W14">
        <v>0</v>
      </c>
      <c r="X14">
        <v>0</v>
      </c>
      <c r="Y14">
        <v>0</v>
      </c>
      <c r="Z14">
        <v>0</v>
      </c>
      <c r="AA14">
        <v>0</v>
      </c>
      <c r="AB14">
        <v>0</v>
      </c>
      <c r="AC14">
        <v>0</v>
      </c>
      <c r="AD14">
        <v>0</v>
      </c>
      <c r="AE14">
        <v>0</v>
      </c>
      <c r="AF14">
        <v>0</v>
      </c>
      <c r="AG14">
        <v>0</v>
      </c>
      <c r="AH14">
        <v>0</v>
      </c>
      <c r="AI14">
        <v>0</v>
      </c>
      <c r="AJ14">
        <v>0</v>
      </c>
      <c r="AK14">
        <v>0</v>
      </c>
      <c r="AL14">
        <v>0</v>
      </c>
      <c r="AM14">
        <v>0</v>
      </c>
      <c r="AN14" s="5">
        <v>0</v>
      </c>
      <c r="AO14" t="str">
        <v>A111</v>
      </c>
      <c r="AP14" t="str">
        <v>HUSSAIN MUHAVIZ B A</v>
      </c>
      <c r="AQ14" t="str">
        <v>FANT</v>
      </c>
      <c r="AR14" t="str">
        <v>SUB JUNIOR</v>
      </c>
      <c r="AS14">
        <v>1</v>
      </c>
      <c r="AT14">
        <v>10</v>
      </c>
      <c r="AU14">
        <v>0</v>
      </c>
      <c r="AV14">
        <v>10</v>
      </c>
      <c r="AW14">
        <v>10</v>
      </c>
      <c r="AX14">
        <v>131</v>
      </c>
      <c r="AY14" s="5">
        <v>131</v>
      </c>
      <c r="AZ14" t="str">
        <v>SJ12</v>
      </c>
      <c r="BA14" t="str">
        <v>PENCIL DRAWING</v>
      </c>
      <c r="BB14" t="str">
        <v>SUB JUNIOR</v>
      </c>
      <c r="BC14" t="str">
        <v>Single</v>
      </c>
      <c r="BD14" t="str">
        <v>Non-Stg</v>
      </c>
      <c r="BE14">
        <v>2</v>
      </c>
      <c r="BF14" t="str">
        <v>Individual</v>
      </c>
      <c r="BG14" t="str">
        <v>Individual</v>
      </c>
      <c r="BH14" t="str">
        <v>P</v>
      </c>
      <c r="BI14" t="str">
        <v>PUBLISHED</v>
      </c>
      <c r="BK14">
        <v>8</v>
      </c>
      <c r="BL14" t="str">
        <v>SJ08</v>
      </c>
      <c r="BM14" t="str">
        <v>MEMORY TEST</v>
      </c>
      <c r="BN14">
        <v>3</v>
      </c>
      <c r="BO14" t="str">
        <v>Single</v>
      </c>
      <c r="BP14" t="str">
        <v>Non-Stg</v>
      </c>
      <c r="BQ14" t="str">
        <v>SUB JUNIOR</v>
      </c>
      <c r="BR14" t="str">
        <v>A143</v>
      </c>
      <c r="BS14" t="str">
        <v>A150</v>
      </c>
      <c r="BT14" t="str">
        <v>A161</v>
      </c>
      <c r="BU14">
        <v>0</v>
      </c>
      <c r="BV14">
        <v>0</v>
      </c>
      <c r="BW14">
        <v>0</v>
      </c>
      <c r="BX14">
        <v>0</v>
      </c>
      <c r="BY14" t="str">
        <v>A164</v>
      </c>
      <c r="BZ14" t="str">
        <v>A171</v>
      </c>
      <c r="CA14" t="str">
        <v>A172</v>
      </c>
      <c r="CB14">
        <v>0</v>
      </c>
      <c r="CC14">
        <v>0</v>
      </c>
      <c r="CD14">
        <v>0</v>
      </c>
      <c r="CE14">
        <v>0</v>
      </c>
      <c r="CF14" t="str">
        <v>A104</v>
      </c>
      <c r="CG14" t="str">
        <v>A136</v>
      </c>
      <c r="CH14" t="str">
        <v>A148</v>
      </c>
      <c r="CI14">
        <v>0</v>
      </c>
      <c r="CJ14">
        <v>0</v>
      </c>
      <c r="CK14">
        <v>0</v>
      </c>
      <c r="CL14">
        <v>0</v>
      </c>
      <c r="CM14" t="str">
        <v>A141</v>
      </c>
      <c r="CN14" t="str">
        <v>A149</v>
      </c>
      <c r="CO14" t="str">
        <v>A154</v>
      </c>
      <c r="CP14">
        <v>0</v>
      </c>
      <c r="CQ14">
        <v>0</v>
      </c>
      <c r="CR14">
        <v>0</v>
      </c>
      <c r="CS14">
        <v>0</v>
      </c>
      <c r="CT14">
        <v>0</v>
      </c>
      <c r="CU14">
        <v>0</v>
      </c>
      <c r="CV14">
        <v>0</v>
      </c>
      <c r="CW14">
        <v>0</v>
      </c>
      <c r="CX14">
        <v>0</v>
      </c>
      <c r="CY14">
        <v>0</v>
      </c>
      <c r="CZ14">
        <v>0</v>
      </c>
      <c r="DA14">
        <v>0</v>
      </c>
      <c r="DB14">
        <v>0</v>
      </c>
      <c r="DC14">
        <v>0</v>
      </c>
      <c r="DD14">
        <v>0</v>
      </c>
      <c r="DE14">
        <v>0</v>
      </c>
      <c r="DF14">
        <v>0</v>
      </c>
      <c r="DG14">
        <v>0</v>
      </c>
      <c r="DH14">
        <v>0</v>
      </c>
      <c r="DI14">
        <v>0</v>
      </c>
      <c r="DJ14">
        <v>0</v>
      </c>
      <c r="DK14">
        <v>0</v>
      </c>
      <c r="DL14">
        <v>0</v>
      </c>
      <c r="DM14">
        <v>0</v>
      </c>
      <c r="DN14">
        <v>0</v>
      </c>
      <c r="DO14">
        <v>0</v>
      </c>
      <c r="DP14">
        <v>0</v>
      </c>
      <c r="DQ14">
        <v>0</v>
      </c>
      <c r="DR14">
        <v>0</v>
      </c>
      <c r="DS14">
        <v>0</v>
      </c>
      <c r="DT14">
        <v>0</v>
      </c>
      <c r="DU14">
        <v>0</v>
      </c>
      <c r="DV14">
        <v>0</v>
      </c>
      <c r="DW14">
        <v>0</v>
      </c>
      <c r="DX14">
        <v>0</v>
      </c>
      <c r="DY14">
        <v>0</v>
      </c>
      <c r="DZ14">
        <v>0</v>
      </c>
      <c r="EA14">
        <v>0</v>
      </c>
      <c r="EB14">
        <v>0</v>
      </c>
      <c r="EC14">
        <v>0</v>
      </c>
      <c r="ED14">
        <v>0</v>
      </c>
      <c r="EE14">
        <v>0</v>
      </c>
      <c r="EF14">
        <v>0</v>
      </c>
      <c r="EG14">
        <v>0</v>
      </c>
      <c r="EH14">
        <v>0</v>
      </c>
      <c r="EI14">
        <v>0</v>
      </c>
      <c r="EJ14">
        <v>0</v>
      </c>
      <c r="EK14">
        <v>0</v>
      </c>
      <c r="EL14">
        <v>0</v>
      </c>
      <c r="EM14">
        <v>0</v>
      </c>
      <c r="EN14">
        <v>0</v>
      </c>
      <c r="EO14">
        <v>0</v>
      </c>
      <c r="EP14">
        <v>0</v>
      </c>
      <c r="EQ14">
        <v>0</v>
      </c>
      <c r="ER14">
        <v>0</v>
      </c>
      <c r="ES14">
        <v>0</v>
      </c>
      <c r="ET14">
        <v>0</v>
      </c>
      <c r="EU14">
        <v>0</v>
      </c>
      <c r="EV14">
        <v>0</v>
      </c>
      <c r="EW14">
        <v>0</v>
      </c>
      <c r="EX14">
        <v>0</v>
      </c>
      <c r="EY14">
        <v>0</v>
      </c>
      <c r="EZ14">
        <v>0</v>
      </c>
      <c r="FA14">
        <v>0</v>
      </c>
      <c r="FB14">
        <v>0</v>
      </c>
      <c r="FC14">
        <v>0</v>
      </c>
      <c r="FD14">
        <v>0</v>
      </c>
      <c r="FE14">
        <v>0</v>
      </c>
      <c r="FF14">
        <v>0</v>
      </c>
      <c r="FG14">
        <v>0</v>
      </c>
      <c r="FH14">
        <v>0</v>
      </c>
      <c r="FI14">
        <v>0</v>
      </c>
      <c r="FJ14">
        <v>0</v>
      </c>
      <c r="FK14">
        <v>0</v>
      </c>
      <c r="FL14">
        <v>0</v>
      </c>
      <c r="FM14">
        <v>0</v>
      </c>
      <c r="FN14">
        <v>0</v>
      </c>
      <c r="FO14">
        <v>0</v>
      </c>
      <c r="FP14">
        <v>0</v>
      </c>
      <c r="FQ14">
        <v>0</v>
      </c>
      <c r="FR14">
        <v>0</v>
      </c>
      <c r="FS14">
        <v>0</v>
      </c>
      <c r="FT14">
        <v>0</v>
      </c>
      <c r="FU14">
        <v>0</v>
      </c>
      <c r="FV14">
        <v>0</v>
      </c>
      <c r="FW14">
        <v>0</v>
      </c>
      <c r="FX14">
        <v>0</v>
      </c>
      <c r="FY14">
        <v>0</v>
      </c>
      <c r="FZ14">
        <v>0</v>
      </c>
      <c r="GA14">
        <v>0</v>
      </c>
      <c r="GB14">
        <v>0</v>
      </c>
      <c r="GC14">
        <v>0</v>
      </c>
      <c r="GD14">
        <v>0</v>
      </c>
      <c r="GE14">
        <v>0</v>
      </c>
      <c r="GF14">
        <v>0</v>
      </c>
      <c r="GG14">
        <v>0</v>
      </c>
      <c r="GH14">
        <v>0</v>
      </c>
      <c r="GI14">
        <v>0</v>
      </c>
      <c r="GJ14">
        <v>0</v>
      </c>
      <c r="GK14">
        <v>0</v>
      </c>
      <c r="GL14">
        <v>0</v>
      </c>
      <c r="GM14">
        <v>0</v>
      </c>
      <c r="GN14">
        <v>0</v>
      </c>
      <c r="GO14">
        <v>0</v>
      </c>
      <c r="GP14">
        <v>0</v>
      </c>
      <c r="GQ14">
        <v>0</v>
      </c>
      <c r="GR14">
        <v>0</v>
      </c>
      <c r="GS14">
        <v>0</v>
      </c>
      <c r="GT14">
        <v>0</v>
      </c>
      <c r="GU14">
        <v>0</v>
      </c>
      <c r="GV14">
        <v>0</v>
      </c>
      <c r="GW14">
        <v>0</v>
      </c>
      <c r="GX14">
        <v>0</v>
      </c>
      <c r="GY14">
        <v>0</v>
      </c>
      <c r="GZ14">
        <v>0</v>
      </c>
      <c r="HA14">
        <v>0</v>
      </c>
      <c r="HB14">
        <v>0</v>
      </c>
      <c r="HC14">
        <v>0</v>
      </c>
      <c r="HD14">
        <v>0</v>
      </c>
      <c r="HE14">
        <v>0</v>
      </c>
      <c r="HF14">
        <v>0</v>
      </c>
      <c r="HG14">
        <v>0</v>
      </c>
      <c r="HH14">
        <v>0</v>
      </c>
      <c r="HI14">
        <v>0</v>
      </c>
      <c r="HJ14">
        <v>0</v>
      </c>
      <c r="HK14">
        <v>0</v>
      </c>
      <c r="HL14">
        <v>0</v>
      </c>
      <c r="HM14">
        <v>0</v>
      </c>
      <c r="HN14">
        <v>0</v>
      </c>
      <c r="HO14">
        <v>0</v>
      </c>
      <c r="HP14">
        <v>0</v>
      </c>
      <c r="HQ14">
        <v>0</v>
      </c>
      <c r="HR14">
        <v>0</v>
      </c>
      <c r="HS14">
        <v>0</v>
      </c>
      <c r="HT14">
        <v>0</v>
      </c>
      <c r="HU14">
        <v>0</v>
      </c>
      <c r="HV14">
        <v>0</v>
      </c>
      <c r="HW14">
        <v>0</v>
      </c>
      <c r="HX14">
        <v>0</v>
      </c>
      <c r="HY14">
        <v>0</v>
      </c>
      <c r="HZ14">
        <v>0</v>
      </c>
      <c r="IA14">
        <v>0</v>
      </c>
      <c r="IB14">
        <v>0</v>
      </c>
      <c r="IC14">
        <v>0</v>
      </c>
      <c r="ID14">
        <v>0</v>
      </c>
      <c r="IE14">
        <v>0</v>
      </c>
      <c r="IF14">
        <v>0</v>
      </c>
      <c r="IG14">
        <v>0</v>
      </c>
      <c r="IH14">
        <v>0</v>
      </c>
      <c r="II14">
        <v>0</v>
      </c>
      <c r="IJ14">
        <v>0</v>
      </c>
      <c r="IK14">
        <v>0</v>
      </c>
      <c r="IL14">
        <v>0</v>
      </c>
      <c r="IM14">
        <v>0</v>
      </c>
      <c r="IN14">
        <v>0</v>
      </c>
      <c r="IO14">
        <v>0</v>
      </c>
      <c r="IP14">
        <v>0</v>
      </c>
      <c r="IQ14">
        <v>0</v>
      </c>
      <c r="IR14">
        <v>0</v>
      </c>
      <c r="IS14">
        <v>0</v>
      </c>
      <c r="IT14">
        <v>0</v>
      </c>
      <c r="IU14">
        <v>0</v>
      </c>
      <c r="IV14">
        <v>0</v>
      </c>
      <c r="IW14">
        <v>0</v>
      </c>
      <c r="IX14">
        <v>0</v>
      </c>
      <c r="IY14">
        <v>0</v>
      </c>
      <c r="IZ14">
        <v>0</v>
      </c>
      <c r="JA14">
        <v>0</v>
      </c>
      <c r="JB14">
        <v>0</v>
      </c>
      <c r="JC14">
        <v>0</v>
      </c>
      <c r="JD14">
        <v>0</v>
      </c>
      <c r="JE14">
        <v>0</v>
      </c>
      <c r="JF14">
        <v>0</v>
      </c>
      <c r="JG14">
        <v>0</v>
      </c>
      <c r="JH14">
        <v>0</v>
      </c>
      <c r="JI14">
        <v>0</v>
      </c>
      <c r="JJ14">
        <v>0</v>
      </c>
      <c r="JK14">
        <v>0</v>
      </c>
      <c r="JL14">
        <v>0</v>
      </c>
      <c r="JM14">
        <v>0</v>
      </c>
      <c r="JN14">
        <v>0</v>
      </c>
      <c r="JO14">
        <v>0</v>
      </c>
      <c r="JP14">
        <v>0</v>
      </c>
      <c r="JQ14">
        <v>0</v>
      </c>
      <c r="JR14">
        <v>0</v>
      </c>
      <c r="JS14">
        <v>0</v>
      </c>
      <c r="JT14">
        <v>0</v>
      </c>
      <c r="JU14">
        <v>0</v>
      </c>
      <c r="JV14">
        <v>0</v>
      </c>
      <c r="JW14">
        <v>0</v>
      </c>
      <c r="JX14">
        <v>0</v>
      </c>
      <c r="JY14">
        <v>0</v>
      </c>
      <c r="JZ14">
        <v>0</v>
      </c>
      <c r="KA14">
        <v>0</v>
      </c>
      <c r="KB14">
        <v>0</v>
      </c>
      <c r="KC14">
        <v>0</v>
      </c>
      <c r="KD14">
        <v>0</v>
      </c>
      <c r="KE14">
        <v>0</v>
      </c>
      <c r="KF14">
        <v>0</v>
      </c>
      <c r="KG14">
        <v>0</v>
      </c>
      <c r="KH14">
        <v>0</v>
      </c>
      <c r="KI14">
        <v>0</v>
      </c>
      <c r="KJ14">
        <v>0</v>
      </c>
      <c r="KK14">
        <v>0</v>
      </c>
      <c r="KL14">
        <v>0</v>
      </c>
      <c r="KM14">
        <v>0</v>
      </c>
      <c r="KN14">
        <v>0</v>
      </c>
      <c r="KO14">
        <v>0</v>
      </c>
      <c r="KP14">
        <v>0</v>
      </c>
      <c r="KQ14">
        <v>0</v>
      </c>
      <c r="KR14">
        <v>0</v>
      </c>
      <c r="KS14">
        <v>0</v>
      </c>
      <c r="KT14">
        <v>0</v>
      </c>
      <c r="KU14">
        <v>0</v>
      </c>
      <c r="KV14">
        <v>0</v>
      </c>
      <c r="KW14">
        <v>0</v>
      </c>
      <c r="KX14">
        <v>0</v>
      </c>
      <c r="KY14">
        <v>0</v>
      </c>
      <c r="KZ14">
        <v>0</v>
      </c>
      <c r="LA14">
        <v>0</v>
      </c>
      <c r="LB14">
        <v>0</v>
      </c>
      <c r="LC14">
        <v>0</v>
      </c>
      <c r="LD14">
        <v>0</v>
      </c>
      <c r="LE14">
        <v>0</v>
      </c>
      <c r="LF14">
        <v>0</v>
      </c>
      <c r="LG14">
        <v>0</v>
      </c>
      <c r="LH14">
        <v>0</v>
      </c>
      <c r="LI14">
        <v>0</v>
      </c>
      <c r="LJ14">
        <v>0</v>
      </c>
      <c r="LK14">
        <v>0</v>
      </c>
      <c r="LL14">
        <v>0</v>
      </c>
      <c r="LM14">
        <v>0</v>
      </c>
      <c r="LN14">
        <v>0</v>
      </c>
      <c r="LO14">
        <v>0</v>
      </c>
      <c r="LP14">
        <v>0</v>
      </c>
      <c r="LQ14">
        <v>0</v>
      </c>
      <c r="LR14">
        <v>0</v>
      </c>
      <c r="LS14">
        <v>0</v>
      </c>
      <c r="LT14">
        <v>0</v>
      </c>
      <c r="LU14">
        <v>0</v>
      </c>
      <c r="LV14">
        <v>0</v>
      </c>
      <c r="LW14">
        <v>0</v>
      </c>
      <c r="LX14">
        <v>0</v>
      </c>
      <c r="LY14">
        <v>0</v>
      </c>
      <c r="LZ14">
        <v>0</v>
      </c>
      <c r="MA14">
        <v>0</v>
      </c>
      <c r="MB14">
        <v>0</v>
      </c>
      <c r="MC14">
        <v>0</v>
      </c>
      <c r="MD14">
        <v>0</v>
      </c>
      <c r="ME14">
        <v>0</v>
      </c>
      <c r="MF14">
        <v>0</v>
      </c>
      <c r="MG14">
        <v>0</v>
      </c>
      <c r="MH14">
        <v>0</v>
      </c>
      <c r="MI14">
        <v>0</v>
      </c>
      <c r="MJ14">
        <v>0</v>
      </c>
      <c r="MK14">
        <v>0</v>
      </c>
      <c r="ML14">
        <v>0</v>
      </c>
      <c r="MM14">
        <v>0</v>
      </c>
      <c r="MN14">
        <v>0</v>
      </c>
      <c r="MO14">
        <v>0</v>
      </c>
      <c r="MP14">
        <v>0</v>
      </c>
      <c r="MQ14">
        <v>0</v>
      </c>
      <c r="MR14">
        <v>0</v>
      </c>
      <c r="MS14">
        <v>0</v>
      </c>
      <c r="MT14">
        <v>0</v>
      </c>
      <c r="MU14">
        <v>0</v>
      </c>
      <c r="MV14">
        <v>0</v>
      </c>
      <c r="MW14">
        <v>0</v>
      </c>
      <c r="MX14">
        <v>0</v>
      </c>
      <c r="MY14">
        <v>0</v>
      </c>
      <c r="MZ14">
        <v>0</v>
      </c>
      <c r="NA14">
        <v>0</v>
      </c>
      <c r="NB14">
        <v>0</v>
      </c>
      <c r="NC14">
        <v>0</v>
      </c>
      <c r="ND14">
        <v>0</v>
      </c>
      <c r="NE14">
        <v>0</v>
      </c>
    </row>
    <row r="15" spans="1:371" x14ac:dyDescent="0.45">
      <c r="E15">
        <v>0</v>
      </c>
      <c r="F15">
        <v>0</v>
      </c>
      <c r="G15">
        <v>0</v>
      </c>
      <c r="H15">
        <v>0</v>
      </c>
      <c r="I15">
        <v>0</v>
      </c>
      <c r="J15">
        <v>0</v>
      </c>
      <c r="K15">
        <v>0</v>
      </c>
      <c r="L15">
        <v>0</v>
      </c>
      <c r="M15">
        <v>0</v>
      </c>
      <c r="N15" t="str">
        <v/>
      </c>
      <c r="O15" t="str">
        <v/>
      </c>
      <c r="P15" t="str">
        <v/>
      </c>
      <c r="Q15" t="str">
        <v/>
      </c>
      <c r="R15" t="str">
        <v/>
      </c>
      <c r="S15" t="str">
        <v/>
      </c>
      <c r="T15" t="str">
        <v/>
      </c>
      <c r="U15">
        <v>0</v>
      </c>
      <c r="V15">
        <v>0</v>
      </c>
      <c r="W15">
        <v>0</v>
      </c>
      <c r="X15">
        <v>0</v>
      </c>
      <c r="Y15">
        <v>0</v>
      </c>
      <c r="Z15">
        <v>0</v>
      </c>
      <c r="AA15">
        <v>0</v>
      </c>
      <c r="AB15">
        <v>0</v>
      </c>
      <c r="AC15">
        <v>0</v>
      </c>
      <c r="AD15">
        <v>0</v>
      </c>
      <c r="AE15">
        <v>0</v>
      </c>
      <c r="AF15">
        <v>0</v>
      </c>
      <c r="AG15">
        <v>0</v>
      </c>
      <c r="AH15">
        <v>0</v>
      </c>
      <c r="AI15">
        <v>0</v>
      </c>
      <c r="AJ15">
        <v>0</v>
      </c>
      <c r="AK15">
        <v>0</v>
      </c>
      <c r="AL15">
        <v>0</v>
      </c>
      <c r="AM15">
        <v>0</v>
      </c>
      <c r="AN15" s="5">
        <v>0</v>
      </c>
      <c r="AO15" t="str">
        <v>A112</v>
      </c>
      <c r="AP15" t="str">
        <v>HILAL ABDULLA C H</v>
      </c>
      <c r="AQ15" t="str">
        <v>DAHF</v>
      </c>
      <c r="AR15" t="str">
        <v>SUB JUNIOR</v>
      </c>
      <c r="AS15">
        <v>1</v>
      </c>
      <c r="AT15">
        <v>20</v>
      </c>
      <c r="AU15">
        <v>0</v>
      </c>
      <c r="AV15">
        <v>20</v>
      </c>
      <c r="AW15">
        <v>20</v>
      </c>
      <c r="AX15">
        <v>74</v>
      </c>
      <c r="AY15" s="5">
        <v>74</v>
      </c>
      <c r="AZ15" t="str">
        <v>SJ13</v>
      </c>
      <c r="BA15" t="str">
        <v>POEM WRITING MLM</v>
      </c>
      <c r="BB15" t="str">
        <v>SUB JUNIOR</v>
      </c>
      <c r="BC15" t="str">
        <v>Single</v>
      </c>
      <c r="BD15" t="str">
        <v>Non-Stg</v>
      </c>
      <c r="BE15">
        <v>3</v>
      </c>
      <c r="BF15" t="str">
        <v>Individual</v>
      </c>
      <c r="BG15" t="str">
        <v>Individual</v>
      </c>
      <c r="BH15" t="str">
        <v>P</v>
      </c>
      <c r="BI15" t="str">
        <v>PUBLISHED</v>
      </c>
      <c r="BK15">
        <v>9</v>
      </c>
      <c r="BL15" t="str">
        <v>SJ09</v>
      </c>
      <c r="BM15" t="str">
        <v>MS PAINT</v>
      </c>
      <c r="BN15">
        <v>2</v>
      </c>
      <c r="BO15" t="str">
        <v>Single</v>
      </c>
      <c r="BP15" t="str">
        <v>Non-Stg</v>
      </c>
      <c r="BQ15" t="str">
        <v>SUB JUNIOR</v>
      </c>
      <c r="BR15" t="str">
        <v>A107</v>
      </c>
      <c r="BS15" t="str">
        <v>A132</v>
      </c>
      <c r="BT15">
        <v>0</v>
      </c>
      <c r="BU15">
        <v>0</v>
      </c>
      <c r="BV15">
        <v>0</v>
      </c>
      <c r="BW15">
        <v>0</v>
      </c>
      <c r="BX15">
        <v>0</v>
      </c>
      <c r="BY15" t="str">
        <v>A115</v>
      </c>
      <c r="BZ15" t="str">
        <v>A112</v>
      </c>
      <c r="CA15">
        <v>0</v>
      </c>
      <c r="CB15">
        <v>0</v>
      </c>
      <c r="CC15">
        <v>0</v>
      </c>
      <c r="CD15">
        <v>0</v>
      </c>
      <c r="CE15">
        <v>0</v>
      </c>
      <c r="CF15" t="str">
        <v>A124</v>
      </c>
      <c r="CG15" t="str">
        <v>A145</v>
      </c>
      <c r="CH15">
        <v>0</v>
      </c>
      <c r="CI15">
        <v>0</v>
      </c>
      <c r="CJ15">
        <v>0</v>
      </c>
      <c r="CK15">
        <v>0</v>
      </c>
      <c r="CL15">
        <v>0</v>
      </c>
      <c r="CM15" t="str">
        <v>A101</v>
      </c>
      <c r="CN15" t="str">
        <v>A159</v>
      </c>
      <c r="CO15">
        <v>0</v>
      </c>
      <c r="CP15">
        <v>0</v>
      </c>
      <c r="CQ15">
        <v>0</v>
      </c>
      <c r="CR15">
        <v>0</v>
      </c>
      <c r="CS15">
        <v>0</v>
      </c>
      <c r="CT15">
        <v>0</v>
      </c>
      <c r="CU15">
        <v>0</v>
      </c>
      <c r="CV15">
        <v>0</v>
      </c>
      <c r="CW15">
        <v>0</v>
      </c>
      <c r="CX15">
        <v>0</v>
      </c>
      <c r="CY15">
        <v>0</v>
      </c>
      <c r="CZ15">
        <v>0</v>
      </c>
      <c r="DA15">
        <v>0</v>
      </c>
      <c r="DB15">
        <v>0</v>
      </c>
      <c r="DC15">
        <v>0</v>
      </c>
      <c r="DD15">
        <v>0</v>
      </c>
      <c r="DE15">
        <v>0</v>
      </c>
      <c r="DF15">
        <v>0</v>
      </c>
      <c r="DG15">
        <v>0</v>
      </c>
      <c r="DH15">
        <v>0</v>
      </c>
      <c r="DI15">
        <v>0</v>
      </c>
      <c r="DJ15">
        <v>0</v>
      </c>
      <c r="DK15">
        <v>0</v>
      </c>
      <c r="DL15">
        <v>0</v>
      </c>
      <c r="DM15">
        <v>0</v>
      </c>
      <c r="DN15">
        <v>0</v>
      </c>
      <c r="DO15">
        <v>0</v>
      </c>
      <c r="DP15">
        <v>0</v>
      </c>
      <c r="DQ15">
        <v>0</v>
      </c>
      <c r="DR15">
        <v>0</v>
      </c>
      <c r="DS15">
        <v>0</v>
      </c>
      <c r="DT15">
        <v>0</v>
      </c>
      <c r="DU15">
        <v>0</v>
      </c>
      <c r="DV15">
        <v>0</v>
      </c>
      <c r="DW15">
        <v>0</v>
      </c>
      <c r="DX15">
        <v>0</v>
      </c>
      <c r="DY15">
        <v>0</v>
      </c>
      <c r="DZ15">
        <v>0</v>
      </c>
      <c r="EA15">
        <v>0</v>
      </c>
      <c r="EB15">
        <v>0</v>
      </c>
      <c r="EC15">
        <v>0</v>
      </c>
      <c r="ED15">
        <v>0</v>
      </c>
      <c r="EE15">
        <v>0</v>
      </c>
      <c r="EF15">
        <v>0</v>
      </c>
      <c r="EG15">
        <v>0</v>
      </c>
      <c r="EH15">
        <v>0</v>
      </c>
      <c r="EI15">
        <v>0</v>
      </c>
      <c r="EJ15">
        <v>0</v>
      </c>
      <c r="EK15">
        <v>0</v>
      </c>
      <c r="EL15">
        <v>0</v>
      </c>
      <c r="EM15">
        <v>0</v>
      </c>
      <c r="EN15">
        <v>0</v>
      </c>
      <c r="EO15">
        <v>0</v>
      </c>
      <c r="EP15">
        <v>0</v>
      </c>
      <c r="EQ15">
        <v>0</v>
      </c>
      <c r="ER15">
        <v>0</v>
      </c>
      <c r="ES15">
        <v>0</v>
      </c>
      <c r="ET15">
        <v>0</v>
      </c>
      <c r="EU15">
        <v>0</v>
      </c>
      <c r="EV15">
        <v>0</v>
      </c>
      <c r="EW15">
        <v>0</v>
      </c>
      <c r="EX15">
        <v>0</v>
      </c>
      <c r="EY15">
        <v>0</v>
      </c>
      <c r="EZ15">
        <v>0</v>
      </c>
      <c r="FA15">
        <v>0</v>
      </c>
      <c r="FB15">
        <v>0</v>
      </c>
      <c r="FC15">
        <v>0</v>
      </c>
      <c r="FD15">
        <v>0</v>
      </c>
      <c r="FE15">
        <v>0</v>
      </c>
      <c r="FF15">
        <v>0</v>
      </c>
      <c r="FG15">
        <v>0</v>
      </c>
      <c r="FH15">
        <v>0</v>
      </c>
      <c r="FI15">
        <v>0</v>
      </c>
      <c r="FJ15">
        <v>0</v>
      </c>
      <c r="FK15">
        <v>0</v>
      </c>
      <c r="FL15">
        <v>0</v>
      </c>
      <c r="FM15">
        <v>0</v>
      </c>
      <c r="FN15">
        <v>0</v>
      </c>
      <c r="FO15">
        <v>0</v>
      </c>
      <c r="FP15">
        <v>0</v>
      </c>
      <c r="FQ15">
        <v>0</v>
      </c>
      <c r="FR15">
        <v>0</v>
      </c>
      <c r="FS15">
        <v>0</v>
      </c>
      <c r="FT15">
        <v>0</v>
      </c>
      <c r="FU15">
        <v>0</v>
      </c>
      <c r="FV15">
        <v>0</v>
      </c>
      <c r="FW15">
        <v>0</v>
      </c>
      <c r="FX15">
        <v>0</v>
      </c>
      <c r="FY15">
        <v>0</v>
      </c>
      <c r="FZ15">
        <v>0</v>
      </c>
      <c r="GA15">
        <v>0</v>
      </c>
      <c r="GB15">
        <v>0</v>
      </c>
      <c r="GC15">
        <v>0</v>
      </c>
      <c r="GD15">
        <v>0</v>
      </c>
      <c r="GE15">
        <v>0</v>
      </c>
      <c r="GF15">
        <v>0</v>
      </c>
      <c r="GG15">
        <v>0</v>
      </c>
      <c r="GH15">
        <v>0</v>
      </c>
      <c r="GI15">
        <v>0</v>
      </c>
      <c r="GJ15">
        <v>0</v>
      </c>
      <c r="GK15">
        <v>0</v>
      </c>
      <c r="GL15">
        <v>0</v>
      </c>
      <c r="GM15">
        <v>0</v>
      </c>
      <c r="GN15">
        <v>0</v>
      </c>
      <c r="GO15">
        <v>0</v>
      </c>
      <c r="GP15">
        <v>0</v>
      </c>
      <c r="GQ15">
        <v>0</v>
      </c>
      <c r="GR15">
        <v>0</v>
      </c>
      <c r="GS15">
        <v>0</v>
      </c>
      <c r="GT15">
        <v>0</v>
      </c>
      <c r="GU15">
        <v>0</v>
      </c>
      <c r="GV15">
        <v>0</v>
      </c>
      <c r="GW15">
        <v>0</v>
      </c>
      <c r="GX15">
        <v>0</v>
      </c>
      <c r="GY15">
        <v>0</v>
      </c>
      <c r="GZ15">
        <v>0</v>
      </c>
      <c r="HA15">
        <v>0</v>
      </c>
      <c r="HB15">
        <v>0</v>
      </c>
      <c r="HC15">
        <v>0</v>
      </c>
      <c r="HD15">
        <v>0</v>
      </c>
      <c r="HE15">
        <v>0</v>
      </c>
      <c r="HF15">
        <v>0</v>
      </c>
      <c r="HG15">
        <v>0</v>
      </c>
      <c r="HH15">
        <v>0</v>
      </c>
      <c r="HI15">
        <v>0</v>
      </c>
      <c r="HJ15">
        <v>0</v>
      </c>
      <c r="HK15">
        <v>0</v>
      </c>
      <c r="HL15">
        <v>0</v>
      </c>
      <c r="HM15">
        <v>0</v>
      </c>
      <c r="HN15">
        <v>0</v>
      </c>
      <c r="HO15">
        <v>0</v>
      </c>
      <c r="HP15">
        <v>0</v>
      </c>
      <c r="HQ15">
        <v>0</v>
      </c>
      <c r="HR15">
        <v>0</v>
      </c>
      <c r="HS15">
        <v>0</v>
      </c>
      <c r="HT15">
        <v>0</v>
      </c>
      <c r="HU15">
        <v>0</v>
      </c>
      <c r="HV15">
        <v>0</v>
      </c>
      <c r="HW15">
        <v>0</v>
      </c>
      <c r="HX15">
        <v>0</v>
      </c>
      <c r="HY15">
        <v>0</v>
      </c>
      <c r="HZ15">
        <v>0</v>
      </c>
      <c r="IA15">
        <v>0</v>
      </c>
      <c r="IB15">
        <v>0</v>
      </c>
      <c r="IC15">
        <v>0</v>
      </c>
      <c r="ID15">
        <v>0</v>
      </c>
      <c r="IE15">
        <v>0</v>
      </c>
      <c r="IF15">
        <v>0</v>
      </c>
      <c r="IG15">
        <v>0</v>
      </c>
      <c r="IH15">
        <v>0</v>
      </c>
      <c r="II15">
        <v>0</v>
      </c>
      <c r="IJ15">
        <v>0</v>
      </c>
      <c r="IK15">
        <v>0</v>
      </c>
      <c r="IL15">
        <v>0</v>
      </c>
      <c r="IM15">
        <v>0</v>
      </c>
      <c r="IN15">
        <v>0</v>
      </c>
      <c r="IO15">
        <v>0</v>
      </c>
      <c r="IP15">
        <v>0</v>
      </c>
      <c r="IQ15">
        <v>0</v>
      </c>
      <c r="IR15">
        <v>0</v>
      </c>
      <c r="IS15">
        <v>0</v>
      </c>
      <c r="IT15">
        <v>0</v>
      </c>
      <c r="IU15">
        <v>0</v>
      </c>
      <c r="IV15">
        <v>0</v>
      </c>
      <c r="IW15">
        <v>0</v>
      </c>
      <c r="IX15">
        <v>0</v>
      </c>
      <c r="IY15">
        <v>0</v>
      </c>
      <c r="IZ15">
        <v>0</v>
      </c>
      <c r="JA15">
        <v>0</v>
      </c>
      <c r="JB15">
        <v>0</v>
      </c>
      <c r="JC15">
        <v>0</v>
      </c>
      <c r="JD15">
        <v>0</v>
      </c>
      <c r="JE15">
        <v>0</v>
      </c>
      <c r="JF15">
        <v>0</v>
      </c>
      <c r="JG15">
        <v>0</v>
      </c>
      <c r="JH15">
        <v>0</v>
      </c>
      <c r="JI15">
        <v>0</v>
      </c>
      <c r="JJ15">
        <v>0</v>
      </c>
      <c r="JK15">
        <v>0</v>
      </c>
      <c r="JL15">
        <v>0</v>
      </c>
      <c r="JM15">
        <v>0</v>
      </c>
      <c r="JN15">
        <v>0</v>
      </c>
      <c r="JO15">
        <v>0</v>
      </c>
      <c r="JP15">
        <v>0</v>
      </c>
      <c r="JQ15">
        <v>0</v>
      </c>
      <c r="JR15">
        <v>0</v>
      </c>
      <c r="JS15">
        <v>0</v>
      </c>
      <c r="JT15">
        <v>0</v>
      </c>
      <c r="JU15">
        <v>0</v>
      </c>
      <c r="JV15">
        <v>0</v>
      </c>
      <c r="JW15">
        <v>0</v>
      </c>
      <c r="JX15">
        <v>0</v>
      </c>
      <c r="JY15">
        <v>0</v>
      </c>
      <c r="JZ15">
        <v>0</v>
      </c>
      <c r="KA15">
        <v>0</v>
      </c>
      <c r="KB15">
        <v>0</v>
      </c>
      <c r="KC15">
        <v>0</v>
      </c>
      <c r="KD15">
        <v>0</v>
      </c>
      <c r="KE15">
        <v>0</v>
      </c>
      <c r="KF15">
        <v>0</v>
      </c>
      <c r="KG15">
        <v>0</v>
      </c>
      <c r="KH15">
        <v>0</v>
      </c>
      <c r="KI15">
        <v>0</v>
      </c>
      <c r="KJ15">
        <v>0</v>
      </c>
      <c r="KK15">
        <v>0</v>
      </c>
      <c r="KL15">
        <v>0</v>
      </c>
      <c r="KM15">
        <v>0</v>
      </c>
      <c r="KN15">
        <v>0</v>
      </c>
      <c r="KO15">
        <v>0</v>
      </c>
      <c r="KP15">
        <v>0</v>
      </c>
      <c r="KQ15">
        <v>0</v>
      </c>
      <c r="KR15">
        <v>0</v>
      </c>
      <c r="KS15">
        <v>0</v>
      </c>
      <c r="KT15">
        <v>0</v>
      </c>
      <c r="KU15">
        <v>0</v>
      </c>
      <c r="KV15">
        <v>0</v>
      </c>
      <c r="KW15">
        <v>0</v>
      </c>
      <c r="KX15">
        <v>0</v>
      </c>
      <c r="KY15">
        <v>0</v>
      </c>
      <c r="KZ15">
        <v>0</v>
      </c>
      <c r="LA15">
        <v>0</v>
      </c>
      <c r="LB15">
        <v>0</v>
      </c>
      <c r="LC15">
        <v>0</v>
      </c>
      <c r="LD15">
        <v>0</v>
      </c>
      <c r="LE15">
        <v>0</v>
      </c>
      <c r="LF15">
        <v>0</v>
      </c>
      <c r="LG15">
        <v>0</v>
      </c>
      <c r="LH15">
        <v>0</v>
      </c>
      <c r="LI15">
        <v>0</v>
      </c>
      <c r="LJ15">
        <v>0</v>
      </c>
      <c r="LK15">
        <v>0</v>
      </c>
      <c r="LL15">
        <v>0</v>
      </c>
      <c r="LM15">
        <v>0</v>
      </c>
      <c r="LN15">
        <v>0</v>
      </c>
      <c r="LO15">
        <v>0</v>
      </c>
      <c r="LP15">
        <v>0</v>
      </c>
      <c r="LQ15">
        <v>0</v>
      </c>
      <c r="LR15">
        <v>0</v>
      </c>
      <c r="LS15">
        <v>0</v>
      </c>
      <c r="LT15">
        <v>0</v>
      </c>
      <c r="LU15">
        <v>0</v>
      </c>
      <c r="LV15">
        <v>0</v>
      </c>
      <c r="LW15">
        <v>0</v>
      </c>
      <c r="LX15">
        <v>0</v>
      </c>
      <c r="LY15">
        <v>0</v>
      </c>
      <c r="LZ15">
        <v>0</v>
      </c>
      <c r="MA15">
        <v>0</v>
      </c>
      <c r="MB15">
        <v>0</v>
      </c>
      <c r="MC15">
        <v>0</v>
      </c>
      <c r="MD15">
        <v>0</v>
      </c>
      <c r="ME15">
        <v>0</v>
      </c>
      <c r="MF15">
        <v>0</v>
      </c>
      <c r="MG15">
        <v>0</v>
      </c>
      <c r="MH15">
        <v>0</v>
      </c>
      <c r="MI15">
        <v>0</v>
      </c>
      <c r="MJ15">
        <v>0</v>
      </c>
      <c r="MK15">
        <v>0</v>
      </c>
      <c r="ML15">
        <v>0</v>
      </c>
      <c r="MM15">
        <v>0</v>
      </c>
      <c r="MN15">
        <v>0</v>
      </c>
      <c r="MO15">
        <v>0</v>
      </c>
      <c r="MP15">
        <v>0</v>
      </c>
      <c r="MQ15">
        <v>0</v>
      </c>
      <c r="MR15">
        <v>0</v>
      </c>
      <c r="MS15">
        <v>0</v>
      </c>
      <c r="MT15">
        <v>0</v>
      </c>
      <c r="MU15">
        <v>0</v>
      </c>
      <c r="MV15">
        <v>0</v>
      </c>
      <c r="MW15">
        <v>0</v>
      </c>
      <c r="MX15">
        <v>0</v>
      </c>
      <c r="MY15">
        <v>0</v>
      </c>
      <c r="MZ15">
        <v>0</v>
      </c>
      <c r="NA15">
        <v>0</v>
      </c>
      <c r="NB15">
        <v>0</v>
      </c>
      <c r="NC15">
        <v>0</v>
      </c>
      <c r="ND15">
        <v>0</v>
      </c>
      <c r="NE15">
        <v>0</v>
      </c>
    </row>
    <row r="16" spans="1:371" x14ac:dyDescent="0.45">
      <c r="E16">
        <v>0</v>
      </c>
      <c r="F16">
        <v>0</v>
      </c>
      <c r="G16">
        <v>0</v>
      </c>
      <c r="H16">
        <v>0</v>
      </c>
      <c r="I16">
        <v>0</v>
      </c>
      <c r="J16">
        <v>0</v>
      </c>
      <c r="K16">
        <v>0</v>
      </c>
      <c r="L16">
        <v>0</v>
      </c>
      <c r="M16">
        <v>0</v>
      </c>
      <c r="N16" t="str">
        <v/>
      </c>
      <c r="O16" t="str">
        <v/>
      </c>
      <c r="P16" t="str">
        <v/>
      </c>
      <c r="Q16" t="str">
        <v/>
      </c>
      <c r="R16" t="str">
        <v/>
      </c>
      <c r="S16" t="str">
        <v/>
      </c>
      <c r="T16" t="str">
        <v/>
      </c>
      <c r="U16">
        <v>0</v>
      </c>
      <c r="V16">
        <v>0</v>
      </c>
      <c r="W16">
        <v>0</v>
      </c>
      <c r="X16">
        <v>0</v>
      </c>
      <c r="Y16">
        <v>0</v>
      </c>
      <c r="Z16">
        <v>0</v>
      </c>
      <c r="AA16">
        <v>0</v>
      </c>
      <c r="AB16">
        <v>0</v>
      </c>
      <c r="AC16">
        <v>0</v>
      </c>
      <c r="AD16">
        <v>0</v>
      </c>
      <c r="AE16">
        <v>0</v>
      </c>
      <c r="AF16">
        <v>0</v>
      </c>
      <c r="AG16">
        <v>0</v>
      </c>
      <c r="AH16">
        <v>0</v>
      </c>
      <c r="AI16">
        <v>0</v>
      </c>
      <c r="AJ16">
        <v>0</v>
      </c>
      <c r="AK16">
        <v>0</v>
      </c>
      <c r="AL16">
        <v>0</v>
      </c>
      <c r="AM16">
        <v>0</v>
      </c>
      <c r="AN16" s="5">
        <v>0</v>
      </c>
      <c r="AO16" t="str">
        <v>A113</v>
      </c>
      <c r="AP16" t="str">
        <v>MOIDEEN KAIS</v>
      </c>
      <c r="AQ16" t="str">
        <v>DAHF</v>
      </c>
      <c r="AR16" t="str">
        <v>SUB JUNIOR</v>
      </c>
      <c r="AS16">
        <v>1</v>
      </c>
      <c r="AT16">
        <v>17</v>
      </c>
      <c r="AU16">
        <v>0</v>
      </c>
      <c r="AV16">
        <v>17</v>
      </c>
      <c r="AW16">
        <v>17</v>
      </c>
      <c r="AX16">
        <v>87</v>
      </c>
      <c r="AY16" s="5">
        <v>87</v>
      </c>
      <c r="AZ16" t="str">
        <v>SJ14</v>
      </c>
      <c r="BA16" t="str">
        <v>POSTER DESIGNING (non digital)</v>
      </c>
      <c r="BB16" t="str">
        <v>SUB JUNIOR</v>
      </c>
      <c r="BC16" t="str">
        <v>Single</v>
      </c>
      <c r="BD16" t="str">
        <v>Non-Stg</v>
      </c>
      <c r="BE16">
        <v>2</v>
      </c>
      <c r="BF16" t="str">
        <v>Individual</v>
      </c>
      <c r="BG16" t="str">
        <v>Individual</v>
      </c>
      <c r="BH16" t="str">
        <v>P</v>
      </c>
      <c r="BI16" t="str">
        <v>PUBLISHED</v>
      </c>
      <c r="BK16">
        <v>10</v>
      </c>
      <c r="BL16" t="str">
        <v>SJ10</v>
      </c>
      <c r="BM16" t="str">
        <v>MULTI LING HAND WRITING</v>
      </c>
      <c r="BN16">
        <v>3</v>
      </c>
      <c r="BO16" t="str">
        <v>Single</v>
      </c>
      <c r="BP16" t="str">
        <v>Non-Stg</v>
      </c>
      <c r="BQ16" t="str">
        <v>SUB JUNIOR</v>
      </c>
      <c r="BR16" t="str">
        <v>A110</v>
      </c>
      <c r="BS16" t="str">
        <v>A151</v>
      </c>
      <c r="BT16" t="str">
        <v>A153</v>
      </c>
      <c r="BU16">
        <v>0</v>
      </c>
      <c r="BV16">
        <v>0</v>
      </c>
      <c r="BW16">
        <v>0</v>
      </c>
      <c r="BX16">
        <v>0</v>
      </c>
      <c r="BY16" t="str">
        <v>A158</v>
      </c>
      <c r="BZ16" t="str">
        <v>A171</v>
      </c>
      <c r="CA16" t="str">
        <v>A165</v>
      </c>
      <c r="CB16">
        <v>0</v>
      </c>
      <c r="CC16">
        <v>0</v>
      </c>
      <c r="CD16">
        <v>0</v>
      </c>
      <c r="CE16">
        <v>0</v>
      </c>
      <c r="CF16" t="str">
        <v>A108</v>
      </c>
      <c r="CG16" t="str">
        <v>A135</v>
      </c>
      <c r="CH16" t="str">
        <v>A146</v>
      </c>
      <c r="CI16">
        <v>0</v>
      </c>
      <c r="CJ16">
        <v>0</v>
      </c>
      <c r="CK16">
        <v>0</v>
      </c>
      <c r="CL16">
        <v>0</v>
      </c>
      <c r="CM16" t="str">
        <v>A141</v>
      </c>
      <c r="CN16" t="str">
        <v>A144</v>
      </c>
      <c r="CO16" t="str">
        <v>A149</v>
      </c>
      <c r="CP16">
        <v>0</v>
      </c>
      <c r="CQ16">
        <v>0</v>
      </c>
      <c r="CR16">
        <v>0</v>
      </c>
      <c r="CS16">
        <v>0</v>
      </c>
      <c r="CT16">
        <v>0</v>
      </c>
      <c r="CU16">
        <v>0</v>
      </c>
      <c r="CV16">
        <v>0</v>
      </c>
      <c r="CW16">
        <v>0</v>
      </c>
      <c r="CX16">
        <v>0</v>
      </c>
      <c r="CY16">
        <v>0</v>
      </c>
      <c r="CZ16">
        <v>0</v>
      </c>
      <c r="DA16">
        <v>0</v>
      </c>
      <c r="DB16">
        <v>0</v>
      </c>
      <c r="DC16">
        <v>0</v>
      </c>
      <c r="DD16">
        <v>0</v>
      </c>
      <c r="DE16">
        <v>0</v>
      </c>
      <c r="DF16">
        <v>0</v>
      </c>
      <c r="DG16">
        <v>0</v>
      </c>
      <c r="DH16">
        <v>0</v>
      </c>
      <c r="DI16">
        <v>0</v>
      </c>
      <c r="DJ16">
        <v>0</v>
      </c>
      <c r="DK16">
        <v>0</v>
      </c>
      <c r="DL16">
        <v>0</v>
      </c>
      <c r="DM16">
        <v>0</v>
      </c>
      <c r="DN16">
        <v>0</v>
      </c>
      <c r="DO16">
        <v>0</v>
      </c>
      <c r="DP16">
        <v>0</v>
      </c>
      <c r="DQ16">
        <v>0</v>
      </c>
      <c r="DR16">
        <v>0</v>
      </c>
      <c r="DS16">
        <v>0</v>
      </c>
      <c r="DT16">
        <v>0</v>
      </c>
      <c r="DU16">
        <v>0</v>
      </c>
      <c r="DV16">
        <v>0</v>
      </c>
      <c r="DW16">
        <v>0</v>
      </c>
      <c r="DX16">
        <v>0</v>
      </c>
      <c r="DY16">
        <v>0</v>
      </c>
      <c r="DZ16">
        <v>0</v>
      </c>
      <c r="EA16">
        <v>0</v>
      </c>
      <c r="EB16">
        <v>0</v>
      </c>
      <c r="EC16">
        <v>0</v>
      </c>
      <c r="ED16">
        <v>0</v>
      </c>
      <c r="EE16">
        <v>0</v>
      </c>
      <c r="EF16">
        <v>0</v>
      </c>
      <c r="EG16">
        <v>0</v>
      </c>
      <c r="EH16">
        <v>0</v>
      </c>
      <c r="EI16">
        <v>0</v>
      </c>
      <c r="EJ16">
        <v>0</v>
      </c>
      <c r="EK16">
        <v>0</v>
      </c>
      <c r="EL16">
        <v>0</v>
      </c>
      <c r="EM16">
        <v>0</v>
      </c>
      <c r="EN16">
        <v>0</v>
      </c>
      <c r="EO16">
        <v>0</v>
      </c>
      <c r="EP16">
        <v>0</v>
      </c>
      <c r="EQ16">
        <v>0</v>
      </c>
      <c r="ER16">
        <v>0</v>
      </c>
      <c r="ES16">
        <v>0</v>
      </c>
      <c r="ET16">
        <v>0</v>
      </c>
      <c r="EU16">
        <v>0</v>
      </c>
      <c r="EV16">
        <v>0</v>
      </c>
      <c r="EW16">
        <v>0</v>
      </c>
      <c r="EX16">
        <v>0</v>
      </c>
      <c r="EY16">
        <v>0</v>
      </c>
      <c r="EZ16">
        <v>0</v>
      </c>
      <c r="FA16">
        <v>0</v>
      </c>
      <c r="FB16">
        <v>0</v>
      </c>
      <c r="FC16">
        <v>0</v>
      </c>
      <c r="FD16">
        <v>0</v>
      </c>
      <c r="FE16">
        <v>0</v>
      </c>
      <c r="FF16">
        <v>0</v>
      </c>
      <c r="FG16">
        <v>0</v>
      </c>
      <c r="FH16">
        <v>0</v>
      </c>
      <c r="FI16">
        <v>0</v>
      </c>
      <c r="FJ16">
        <v>0</v>
      </c>
      <c r="FK16">
        <v>0</v>
      </c>
      <c r="FL16">
        <v>0</v>
      </c>
      <c r="FM16">
        <v>0</v>
      </c>
      <c r="FN16">
        <v>0</v>
      </c>
      <c r="FO16">
        <v>0</v>
      </c>
      <c r="FP16">
        <v>0</v>
      </c>
      <c r="FQ16">
        <v>0</v>
      </c>
      <c r="FR16">
        <v>0</v>
      </c>
      <c r="FS16">
        <v>0</v>
      </c>
      <c r="FT16">
        <v>0</v>
      </c>
      <c r="FU16">
        <v>0</v>
      </c>
      <c r="FV16">
        <v>0</v>
      </c>
      <c r="FW16">
        <v>0</v>
      </c>
      <c r="FX16">
        <v>0</v>
      </c>
      <c r="FY16">
        <v>0</v>
      </c>
      <c r="FZ16">
        <v>0</v>
      </c>
      <c r="GA16">
        <v>0</v>
      </c>
      <c r="GB16">
        <v>0</v>
      </c>
      <c r="GC16">
        <v>0</v>
      </c>
      <c r="GD16">
        <v>0</v>
      </c>
      <c r="GE16">
        <v>0</v>
      </c>
      <c r="GF16">
        <v>0</v>
      </c>
      <c r="GG16">
        <v>0</v>
      </c>
      <c r="GH16">
        <v>0</v>
      </c>
      <c r="GI16">
        <v>0</v>
      </c>
      <c r="GJ16">
        <v>0</v>
      </c>
      <c r="GK16">
        <v>0</v>
      </c>
      <c r="GL16">
        <v>0</v>
      </c>
      <c r="GM16">
        <v>0</v>
      </c>
      <c r="GN16">
        <v>0</v>
      </c>
      <c r="GO16">
        <v>0</v>
      </c>
      <c r="GP16">
        <v>0</v>
      </c>
      <c r="GQ16">
        <v>0</v>
      </c>
      <c r="GR16">
        <v>0</v>
      </c>
      <c r="GS16">
        <v>0</v>
      </c>
      <c r="GT16">
        <v>0</v>
      </c>
      <c r="GU16">
        <v>0</v>
      </c>
      <c r="GV16">
        <v>0</v>
      </c>
      <c r="GW16">
        <v>0</v>
      </c>
      <c r="GX16">
        <v>0</v>
      </c>
      <c r="GY16">
        <v>0</v>
      </c>
      <c r="GZ16">
        <v>0</v>
      </c>
      <c r="HA16">
        <v>0</v>
      </c>
      <c r="HB16">
        <v>0</v>
      </c>
      <c r="HC16">
        <v>0</v>
      </c>
      <c r="HD16">
        <v>0</v>
      </c>
      <c r="HE16">
        <v>0</v>
      </c>
      <c r="HF16">
        <v>0</v>
      </c>
      <c r="HG16">
        <v>0</v>
      </c>
      <c r="HH16">
        <v>0</v>
      </c>
      <c r="HI16">
        <v>0</v>
      </c>
      <c r="HJ16">
        <v>0</v>
      </c>
      <c r="HK16">
        <v>0</v>
      </c>
      <c r="HL16">
        <v>0</v>
      </c>
      <c r="HM16">
        <v>0</v>
      </c>
      <c r="HN16">
        <v>0</v>
      </c>
      <c r="HO16">
        <v>0</v>
      </c>
      <c r="HP16">
        <v>0</v>
      </c>
      <c r="HQ16">
        <v>0</v>
      </c>
      <c r="HR16">
        <v>0</v>
      </c>
      <c r="HS16">
        <v>0</v>
      </c>
      <c r="HT16">
        <v>0</v>
      </c>
      <c r="HU16">
        <v>0</v>
      </c>
      <c r="HV16">
        <v>0</v>
      </c>
      <c r="HW16">
        <v>0</v>
      </c>
      <c r="HX16">
        <v>0</v>
      </c>
      <c r="HY16">
        <v>0</v>
      </c>
      <c r="HZ16">
        <v>0</v>
      </c>
      <c r="IA16">
        <v>0</v>
      </c>
      <c r="IB16">
        <v>0</v>
      </c>
      <c r="IC16">
        <v>0</v>
      </c>
      <c r="ID16">
        <v>0</v>
      </c>
      <c r="IE16">
        <v>0</v>
      </c>
      <c r="IF16">
        <v>0</v>
      </c>
      <c r="IG16">
        <v>0</v>
      </c>
      <c r="IH16">
        <v>0</v>
      </c>
      <c r="II16">
        <v>0</v>
      </c>
      <c r="IJ16">
        <v>0</v>
      </c>
      <c r="IK16">
        <v>0</v>
      </c>
      <c r="IL16">
        <v>0</v>
      </c>
      <c r="IM16">
        <v>0</v>
      </c>
      <c r="IN16">
        <v>0</v>
      </c>
      <c r="IO16">
        <v>0</v>
      </c>
      <c r="IP16">
        <v>0</v>
      </c>
      <c r="IQ16">
        <v>0</v>
      </c>
      <c r="IR16">
        <v>0</v>
      </c>
      <c r="IS16">
        <v>0</v>
      </c>
      <c r="IT16">
        <v>0</v>
      </c>
      <c r="IU16">
        <v>0</v>
      </c>
      <c r="IV16">
        <v>0</v>
      </c>
      <c r="IW16">
        <v>0</v>
      </c>
      <c r="IX16">
        <v>0</v>
      </c>
      <c r="IY16">
        <v>0</v>
      </c>
      <c r="IZ16">
        <v>0</v>
      </c>
      <c r="JA16">
        <v>0</v>
      </c>
      <c r="JB16">
        <v>0</v>
      </c>
      <c r="JC16">
        <v>0</v>
      </c>
      <c r="JD16">
        <v>0</v>
      </c>
      <c r="JE16">
        <v>0</v>
      </c>
      <c r="JF16">
        <v>0</v>
      </c>
      <c r="JG16">
        <v>0</v>
      </c>
      <c r="JH16">
        <v>0</v>
      </c>
      <c r="JI16">
        <v>0</v>
      </c>
      <c r="JJ16">
        <v>0</v>
      </c>
      <c r="JK16">
        <v>0</v>
      </c>
      <c r="JL16">
        <v>0</v>
      </c>
      <c r="JM16">
        <v>0</v>
      </c>
      <c r="JN16">
        <v>0</v>
      </c>
      <c r="JO16">
        <v>0</v>
      </c>
      <c r="JP16">
        <v>0</v>
      </c>
      <c r="JQ16">
        <v>0</v>
      </c>
      <c r="JR16">
        <v>0</v>
      </c>
      <c r="JS16">
        <v>0</v>
      </c>
      <c r="JT16">
        <v>0</v>
      </c>
      <c r="JU16">
        <v>0</v>
      </c>
      <c r="JV16">
        <v>0</v>
      </c>
      <c r="JW16">
        <v>0</v>
      </c>
      <c r="JX16">
        <v>0</v>
      </c>
      <c r="JY16">
        <v>0</v>
      </c>
      <c r="JZ16">
        <v>0</v>
      </c>
      <c r="KA16">
        <v>0</v>
      </c>
      <c r="KB16">
        <v>0</v>
      </c>
      <c r="KC16">
        <v>0</v>
      </c>
      <c r="KD16">
        <v>0</v>
      </c>
      <c r="KE16">
        <v>0</v>
      </c>
      <c r="KF16">
        <v>0</v>
      </c>
      <c r="KG16">
        <v>0</v>
      </c>
      <c r="KH16">
        <v>0</v>
      </c>
      <c r="KI16">
        <v>0</v>
      </c>
      <c r="KJ16">
        <v>0</v>
      </c>
      <c r="KK16">
        <v>0</v>
      </c>
      <c r="KL16">
        <v>0</v>
      </c>
      <c r="KM16">
        <v>0</v>
      </c>
      <c r="KN16">
        <v>0</v>
      </c>
      <c r="KO16">
        <v>0</v>
      </c>
      <c r="KP16">
        <v>0</v>
      </c>
      <c r="KQ16">
        <v>0</v>
      </c>
      <c r="KR16">
        <v>0</v>
      </c>
      <c r="KS16">
        <v>0</v>
      </c>
      <c r="KT16">
        <v>0</v>
      </c>
      <c r="KU16">
        <v>0</v>
      </c>
      <c r="KV16">
        <v>0</v>
      </c>
      <c r="KW16">
        <v>0</v>
      </c>
      <c r="KX16">
        <v>0</v>
      </c>
      <c r="KY16">
        <v>0</v>
      </c>
      <c r="KZ16">
        <v>0</v>
      </c>
      <c r="LA16">
        <v>0</v>
      </c>
      <c r="LB16">
        <v>0</v>
      </c>
      <c r="LC16">
        <v>0</v>
      </c>
      <c r="LD16">
        <v>0</v>
      </c>
      <c r="LE16">
        <v>0</v>
      </c>
      <c r="LF16">
        <v>0</v>
      </c>
      <c r="LG16">
        <v>0</v>
      </c>
      <c r="LH16">
        <v>0</v>
      </c>
      <c r="LI16">
        <v>0</v>
      </c>
      <c r="LJ16">
        <v>0</v>
      </c>
      <c r="LK16">
        <v>0</v>
      </c>
      <c r="LL16">
        <v>0</v>
      </c>
      <c r="LM16">
        <v>0</v>
      </c>
      <c r="LN16">
        <v>0</v>
      </c>
      <c r="LO16">
        <v>0</v>
      </c>
      <c r="LP16">
        <v>0</v>
      </c>
      <c r="LQ16">
        <v>0</v>
      </c>
      <c r="LR16">
        <v>0</v>
      </c>
      <c r="LS16">
        <v>0</v>
      </c>
      <c r="LT16">
        <v>0</v>
      </c>
      <c r="LU16">
        <v>0</v>
      </c>
      <c r="LV16">
        <v>0</v>
      </c>
      <c r="LW16">
        <v>0</v>
      </c>
      <c r="LX16">
        <v>0</v>
      </c>
      <c r="LY16">
        <v>0</v>
      </c>
      <c r="LZ16">
        <v>0</v>
      </c>
      <c r="MA16">
        <v>0</v>
      </c>
      <c r="MB16">
        <v>0</v>
      </c>
      <c r="MC16">
        <v>0</v>
      </c>
      <c r="MD16">
        <v>0</v>
      </c>
      <c r="ME16">
        <v>0</v>
      </c>
      <c r="MF16">
        <v>0</v>
      </c>
      <c r="MG16">
        <v>0</v>
      </c>
      <c r="MH16">
        <v>0</v>
      </c>
      <c r="MI16">
        <v>0</v>
      </c>
      <c r="MJ16">
        <v>0</v>
      </c>
      <c r="MK16">
        <v>0</v>
      </c>
      <c r="ML16">
        <v>0</v>
      </c>
      <c r="MM16">
        <v>0</v>
      </c>
      <c r="MN16">
        <v>0</v>
      </c>
      <c r="MO16">
        <v>0</v>
      </c>
      <c r="MP16">
        <v>0</v>
      </c>
      <c r="MQ16">
        <v>0</v>
      </c>
      <c r="MR16">
        <v>0</v>
      </c>
      <c r="MS16">
        <v>0</v>
      </c>
      <c r="MT16">
        <v>0</v>
      </c>
      <c r="MU16">
        <v>0</v>
      </c>
      <c r="MV16">
        <v>0</v>
      </c>
      <c r="MW16">
        <v>0</v>
      </c>
      <c r="MX16">
        <v>0</v>
      </c>
      <c r="MY16">
        <v>0</v>
      </c>
      <c r="MZ16">
        <v>0</v>
      </c>
      <c r="NA16">
        <v>0</v>
      </c>
      <c r="NB16">
        <v>0</v>
      </c>
      <c r="NC16">
        <v>0</v>
      </c>
      <c r="ND16">
        <v>0</v>
      </c>
      <c r="NE16">
        <v>0</v>
      </c>
    </row>
    <row r="17" spans="5:369" x14ac:dyDescent="0.45">
      <c r="E17">
        <v>0</v>
      </c>
      <c r="F17">
        <v>0</v>
      </c>
      <c r="G17">
        <v>0</v>
      </c>
      <c r="H17">
        <v>0</v>
      </c>
      <c r="I17">
        <v>0</v>
      </c>
      <c r="J17">
        <v>0</v>
      </c>
      <c r="K17">
        <v>0</v>
      </c>
      <c r="L17">
        <v>0</v>
      </c>
      <c r="M17">
        <v>0</v>
      </c>
      <c r="N17" t="str">
        <v/>
      </c>
      <c r="O17" t="str">
        <v/>
      </c>
      <c r="P17" t="str">
        <v/>
      </c>
      <c r="Q17" t="str">
        <v/>
      </c>
      <c r="R17" t="str">
        <v/>
      </c>
      <c r="S17" t="str">
        <v/>
      </c>
      <c r="T17" t="str">
        <v/>
      </c>
      <c r="U17">
        <v>0</v>
      </c>
      <c r="V17">
        <v>0</v>
      </c>
      <c r="W17">
        <v>0</v>
      </c>
      <c r="X17">
        <v>0</v>
      </c>
      <c r="Y17">
        <v>0</v>
      </c>
      <c r="Z17">
        <v>0</v>
      </c>
      <c r="AA17">
        <v>0</v>
      </c>
      <c r="AB17">
        <v>0</v>
      </c>
      <c r="AC17">
        <v>0</v>
      </c>
      <c r="AD17">
        <v>0</v>
      </c>
      <c r="AE17">
        <v>0</v>
      </c>
      <c r="AF17">
        <v>0</v>
      </c>
      <c r="AG17">
        <v>0</v>
      </c>
      <c r="AH17">
        <v>0</v>
      </c>
      <c r="AI17">
        <v>0</v>
      </c>
      <c r="AJ17">
        <v>0</v>
      </c>
      <c r="AK17">
        <v>0</v>
      </c>
      <c r="AL17">
        <v>0</v>
      </c>
      <c r="AM17">
        <v>0</v>
      </c>
      <c r="AN17" s="5">
        <v>0</v>
      </c>
      <c r="AO17" t="str">
        <v>A114</v>
      </c>
      <c r="AP17" t="str">
        <v>MUHAMMED SHAHID K A</v>
      </c>
      <c r="AQ17" t="str">
        <v>BADF</v>
      </c>
      <c r="AR17" t="str">
        <v>SUB JUNIOR</v>
      </c>
      <c r="AS17">
        <v>1</v>
      </c>
      <c r="AT17">
        <v>8</v>
      </c>
      <c r="AU17">
        <v>0</v>
      </c>
      <c r="AV17">
        <v>8</v>
      </c>
      <c r="AW17">
        <v>8</v>
      </c>
      <c r="AX17">
        <v>147</v>
      </c>
      <c r="AY17" s="5">
        <v>147</v>
      </c>
      <c r="AZ17" t="str">
        <v>SJ15</v>
      </c>
      <c r="BA17" t="str">
        <v>QIRĀʾAH</v>
      </c>
      <c r="BB17" t="str">
        <v>SUB JUNIOR</v>
      </c>
      <c r="BC17" t="str">
        <v>Single</v>
      </c>
      <c r="BD17" t="str">
        <v>Non-Stg</v>
      </c>
      <c r="BE17">
        <v>3</v>
      </c>
      <c r="BF17" t="str">
        <v>Individual</v>
      </c>
      <c r="BG17" t="str">
        <v>Individual</v>
      </c>
      <c r="BH17" t="str">
        <v>P</v>
      </c>
      <c r="BI17" t="str">
        <v>PUBLISHED</v>
      </c>
      <c r="BK17">
        <v>11</v>
      </c>
      <c r="BL17" t="str">
        <v>SJ11</v>
      </c>
      <c r="BM17" t="str">
        <v>NEWS WRITING MLM</v>
      </c>
      <c r="BN17">
        <v>3</v>
      </c>
      <c r="BO17" t="str">
        <v>Single</v>
      </c>
      <c r="BP17" t="str">
        <v>Non-Stg</v>
      </c>
      <c r="BQ17" t="str">
        <v>SUB JUNIOR</v>
      </c>
      <c r="BR17" t="str">
        <v>A105</v>
      </c>
      <c r="BS17" t="str">
        <v>A111</v>
      </c>
      <c r="BT17" t="str">
        <v>A162</v>
      </c>
      <c r="BU17">
        <v>0</v>
      </c>
      <c r="BV17">
        <v>0</v>
      </c>
      <c r="BW17">
        <v>0</v>
      </c>
      <c r="BX17">
        <v>0</v>
      </c>
      <c r="BY17" t="str">
        <v>A165</v>
      </c>
      <c r="BZ17" t="str">
        <v>A170</v>
      </c>
      <c r="CA17" t="str">
        <v>A137</v>
      </c>
      <c r="CB17">
        <v>0</v>
      </c>
      <c r="CC17">
        <v>0</v>
      </c>
      <c r="CD17">
        <v>0</v>
      </c>
      <c r="CE17">
        <v>0</v>
      </c>
      <c r="CF17" t="str">
        <v>A106</v>
      </c>
      <c r="CG17" t="str">
        <v>A146</v>
      </c>
      <c r="CH17" t="str">
        <v>A167</v>
      </c>
      <c r="CI17">
        <v>0</v>
      </c>
      <c r="CJ17">
        <v>0</v>
      </c>
      <c r="CK17">
        <v>0</v>
      </c>
      <c r="CL17">
        <v>0</v>
      </c>
      <c r="CM17" t="str">
        <v>A119</v>
      </c>
      <c r="CN17" t="str">
        <v>A130</v>
      </c>
      <c r="CO17" t="str">
        <v>A155</v>
      </c>
      <c r="CP17">
        <v>0</v>
      </c>
      <c r="CQ17">
        <v>0</v>
      </c>
      <c r="CR17">
        <v>0</v>
      </c>
      <c r="CS17">
        <v>0</v>
      </c>
      <c r="CT17">
        <v>0</v>
      </c>
      <c r="CU17">
        <v>0</v>
      </c>
      <c r="CV17">
        <v>0</v>
      </c>
      <c r="CW17">
        <v>0</v>
      </c>
      <c r="CX17">
        <v>0</v>
      </c>
      <c r="CY17">
        <v>0</v>
      </c>
      <c r="CZ17">
        <v>0</v>
      </c>
      <c r="DA17">
        <v>0</v>
      </c>
      <c r="DB17">
        <v>0</v>
      </c>
      <c r="DC17">
        <v>0</v>
      </c>
      <c r="DD17">
        <v>0</v>
      </c>
      <c r="DE17">
        <v>0</v>
      </c>
      <c r="DF17">
        <v>0</v>
      </c>
      <c r="DG17">
        <v>0</v>
      </c>
      <c r="DH17">
        <v>0</v>
      </c>
      <c r="DI17">
        <v>0</v>
      </c>
      <c r="DJ17">
        <v>0</v>
      </c>
      <c r="DK17">
        <v>0</v>
      </c>
      <c r="DL17">
        <v>0</v>
      </c>
      <c r="DM17">
        <v>0</v>
      </c>
      <c r="DN17">
        <v>0</v>
      </c>
      <c r="DO17">
        <v>0</v>
      </c>
      <c r="DP17">
        <v>0</v>
      </c>
      <c r="DQ17">
        <v>0</v>
      </c>
      <c r="DR17">
        <v>0</v>
      </c>
      <c r="DS17">
        <v>0</v>
      </c>
      <c r="DT17">
        <v>0</v>
      </c>
      <c r="DU17">
        <v>0</v>
      </c>
      <c r="DV17">
        <v>0</v>
      </c>
      <c r="DW17">
        <v>0</v>
      </c>
      <c r="DX17">
        <v>0</v>
      </c>
      <c r="DY17">
        <v>0</v>
      </c>
      <c r="DZ17">
        <v>0</v>
      </c>
      <c r="EA17">
        <v>0</v>
      </c>
      <c r="EB17">
        <v>0</v>
      </c>
      <c r="EC17">
        <v>0</v>
      </c>
      <c r="ED17">
        <v>0</v>
      </c>
      <c r="EE17">
        <v>0</v>
      </c>
      <c r="EF17">
        <v>0</v>
      </c>
      <c r="EG17">
        <v>0</v>
      </c>
      <c r="EH17">
        <v>0</v>
      </c>
      <c r="EI17">
        <v>0</v>
      </c>
      <c r="EJ17">
        <v>0</v>
      </c>
      <c r="EK17">
        <v>0</v>
      </c>
      <c r="EL17">
        <v>0</v>
      </c>
      <c r="EM17">
        <v>0</v>
      </c>
      <c r="EN17">
        <v>0</v>
      </c>
      <c r="EO17">
        <v>0</v>
      </c>
      <c r="EP17">
        <v>0</v>
      </c>
      <c r="EQ17">
        <v>0</v>
      </c>
      <c r="ER17">
        <v>0</v>
      </c>
      <c r="ES17">
        <v>0</v>
      </c>
      <c r="ET17">
        <v>0</v>
      </c>
      <c r="EU17">
        <v>0</v>
      </c>
      <c r="EV17">
        <v>0</v>
      </c>
      <c r="EW17">
        <v>0</v>
      </c>
      <c r="EX17">
        <v>0</v>
      </c>
      <c r="EY17">
        <v>0</v>
      </c>
      <c r="EZ17">
        <v>0</v>
      </c>
      <c r="FA17">
        <v>0</v>
      </c>
      <c r="FB17">
        <v>0</v>
      </c>
      <c r="FC17">
        <v>0</v>
      </c>
      <c r="FD17">
        <v>0</v>
      </c>
      <c r="FE17">
        <v>0</v>
      </c>
      <c r="FF17">
        <v>0</v>
      </c>
      <c r="FG17">
        <v>0</v>
      </c>
      <c r="FH17">
        <v>0</v>
      </c>
      <c r="FI17">
        <v>0</v>
      </c>
      <c r="FJ17">
        <v>0</v>
      </c>
      <c r="FK17">
        <v>0</v>
      </c>
      <c r="FL17">
        <v>0</v>
      </c>
      <c r="FM17">
        <v>0</v>
      </c>
      <c r="FN17">
        <v>0</v>
      </c>
      <c r="FO17">
        <v>0</v>
      </c>
      <c r="FP17">
        <v>0</v>
      </c>
      <c r="FQ17">
        <v>0</v>
      </c>
      <c r="FR17">
        <v>0</v>
      </c>
      <c r="FS17">
        <v>0</v>
      </c>
      <c r="FT17">
        <v>0</v>
      </c>
      <c r="FU17">
        <v>0</v>
      </c>
      <c r="FV17">
        <v>0</v>
      </c>
      <c r="FW17">
        <v>0</v>
      </c>
      <c r="FX17">
        <v>0</v>
      </c>
      <c r="FY17">
        <v>0</v>
      </c>
      <c r="FZ17">
        <v>0</v>
      </c>
      <c r="GA17">
        <v>0</v>
      </c>
      <c r="GB17">
        <v>0</v>
      </c>
      <c r="GC17">
        <v>0</v>
      </c>
      <c r="GD17">
        <v>0</v>
      </c>
      <c r="GE17">
        <v>0</v>
      </c>
      <c r="GF17">
        <v>0</v>
      </c>
      <c r="GG17">
        <v>0</v>
      </c>
      <c r="GH17">
        <v>0</v>
      </c>
      <c r="GI17">
        <v>0</v>
      </c>
      <c r="GJ17">
        <v>0</v>
      </c>
      <c r="GK17">
        <v>0</v>
      </c>
      <c r="GL17">
        <v>0</v>
      </c>
      <c r="GM17">
        <v>0</v>
      </c>
      <c r="GN17">
        <v>0</v>
      </c>
      <c r="GO17">
        <v>0</v>
      </c>
      <c r="GP17">
        <v>0</v>
      </c>
      <c r="GQ17">
        <v>0</v>
      </c>
      <c r="GR17">
        <v>0</v>
      </c>
      <c r="GS17">
        <v>0</v>
      </c>
      <c r="GT17">
        <v>0</v>
      </c>
      <c r="GU17">
        <v>0</v>
      </c>
      <c r="GV17">
        <v>0</v>
      </c>
      <c r="GW17">
        <v>0</v>
      </c>
      <c r="GX17">
        <v>0</v>
      </c>
      <c r="GY17">
        <v>0</v>
      </c>
      <c r="GZ17">
        <v>0</v>
      </c>
      <c r="HA17">
        <v>0</v>
      </c>
      <c r="HB17">
        <v>0</v>
      </c>
      <c r="HC17">
        <v>0</v>
      </c>
      <c r="HD17">
        <v>0</v>
      </c>
      <c r="HE17">
        <v>0</v>
      </c>
      <c r="HF17">
        <v>0</v>
      </c>
      <c r="HG17">
        <v>0</v>
      </c>
      <c r="HH17">
        <v>0</v>
      </c>
      <c r="HI17">
        <v>0</v>
      </c>
      <c r="HJ17">
        <v>0</v>
      </c>
      <c r="HK17">
        <v>0</v>
      </c>
      <c r="HL17">
        <v>0</v>
      </c>
      <c r="HM17">
        <v>0</v>
      </c>
      <c r="HN17">
        <v>0</v>
      </c>
      <c r="HO17">
        <v>0</v>
      </c>
      <c r="HP17">
        <v>0</v>
      </c>
      <c r="HQ17">
        <v>0</v>
      </c>
      <c r="HR17">
        <v>0</v>
      </c>
      <c r="HS17">
        <v>0</v>
      </c>
      <c r="HT17">
        <v>0</v>
      </c>
      <c r="HU17">
        <v>0</v>
      </c>
      <c r="HV17">
        <v>0</v>
      </c>
      <c r="HW17">
        <v>0</v>
      </c>
      <c r="HX17">
        <v>0</v>
      </c>
      <c r="HY17">
        <v>0</v>
      </c>
      <c r="HZ17">
        <v>0</v>
      </c>
      <c r="IA17">
        <v>0</v>
      </c>
      <c r="IB17">
        <v>0</v>
      </c>
      <c r="IC17">
        <v>0</v>
      </c>
      <c r="ID17">
        <v>0</v>
      </c>
      <c r="IE17">
        <v>0</v>
      </c>
      <c r="IF17">
        <v>0</v>
      </c>
      <c r="IG17">
        <v>0</v>
      </c>
      <c r="IH17">
        <v>0</v>
      </c>
      <c r="II17">
        <v>0</v>
      </c>
      <c r="IJ17">
        <v>0</v>
      </c>
      <c r="IK17">
        <v>0</v>
      </c>
      <c r="IL17">
        <v>0</v>
      </c>
      <c r="IM17">
        <v>0</v>
      </c>
      <c r="IN17">
        <v>0</v>
      </c>
      <c r="IO17">
        <v>0</v>
      </c>
      <c r="IP17">
        <v>0</v>
      </c>
      <c r="IQ17">
        <v>0</v>
      </c>
      <c r="IR17">
        <v>0</v>
      </c>
      <c r="IS17">
        <v>0</v>
      </c>
      <c r="IT17">
        <v>0</v>
      </c>
      <c r="IU17">
        <v>0</v>
      </c>
      <c r="IV17">
        <v>0</v>
      </c>
      <c r="IW17">
        <v>0</v>
      </c>
      <c r="IX17">
        <v>0</v>
      </c>
      <c r="IY17">
        <v>0</v>
      </c>
      <c r="IZ17">
        <v>0</v>
      </c>
      <c r="JA17">
        <v>0</v>
      </c>
      <c r="JB17">
        <v>0</v>
      </c>
      <c r="JC17">
        <v>0</v>
      </c>
      <c r="JD17">
        <v>0</v>
      </c>
      <c r="JE17">
        <v>0</v>
      </c>
      <c r="JF17">
        <v>0</v>
      </c>
      <c r="JG17">
        <v>0</v>
      </c>
      <c r="JH17">
        <v>0</v>
      </c>
      <c r="JI17">
        <v>0</v>
      </c>
      <c r="JJ17">
        <v>0</v>
      </c>
      <c r="JK17">
        <v>0</v>
      </c>
      <c r="JL17">
        <v>0</v>
      </c>
      <c r="JM17">
        <v>0</v>
      </c>
      <c r="JN17">
        <v>0</v>
      </c>
      <c r="JO17">
        <v>0</v>
      </c>
      <c r="JP17">
        <v>0</v>
      </c>
      <c r="JQ17">
        <v>0</v>
      </c>
      <c r="JR17">
        <v>0</v>
      </c>
      <c r="JS17">
        <v>0</v>
      </c>
      <c r="JT17">
        <v>0</v>
      </c>
      <c r="JU17">
        <v>0</v>
      </c>
      <c r="JV17">
        <v>0</v>
      </c>
      <c r="JW17">
        <v>0</v>
      </c>
      <c r="JX17">
        <v>0</v>
      </c>
      <c r="JY17">
        <v>0</v>
      </c>
      <c r="JZ17">
        <v>0</v>
      </c>
      <c r="KA17">
        <v>0</v>
      </c>
      <c r="KB17">
        <v>0</v>
      </c>
      <c r="KC17">
        <v>0</v>
      </c>
      <c r="KD17">
        <v>0</v>
      </c>
      <c r="KE17">
        <v>0</v>
      </c>
      <c r="KF17">
        <v>0</v>
      </c>
      <c r="KG17">
        <v>0</v>
      </c>
      <c r="KH17">
        <v>0</v>
      </c>
      <c r="KI17">
        <v>0</v>
      </c>
      <c r="KJ17">
        <v>0</v>
      </c>
      <c r="KK17">
        <v>0</v>
      </c>
      <c r="KL17">
        <v>0</v>
      </c>
      <c r="KM17">
        <v>0</v>
      </c>
      <c r="KN17">
        <v>0</v>
      </c>
      <c r="KO17">
        <v>0</v>
      </c>
      <c r="KP17">
        <v>0</v>
      </c>
      <c r="KQ17">
        <v>0</v>
      </c>
      <c r="KR17">
        <v>0</v>
      </c>
      <c r="KS17">
        <v>0</v>
      </c>
      <c r="KT17">
        <v>0</v>
      </c>
      <c r="KU17">
        <v>0</v>
      </c>
      <c r="KV17">
        <v>0</v>
      </c>
      <c r="KW17">
        <v>0</v>
      </c>
      <c r="KX17">
        <v>0</v>
      </c>
      <c r="KY17">
        <v>0</v>
      </c>
      <c r="KZ17">
        <v>0</v>
      </c>
      <c r="LA17">
        <v>0</v>
      </c>
      <c r="LB17">
        <v>0</v>
      </c>
      <c r="LC17">
        <v>0</v>
      </c>
      <c r="LD17">
        <v>0</v>
      </c>
      <c r="LE17">
        <v>0</v>
      </c>
      <c r="LF17">
        <v>0</v>
      </c>
      <c r="LG17">
        <v>0</v>
      </c>
      <c r="LH17">
        <v>0</v>
      </c>
      <c r="LI17">
        <v>0</v>
      </c>
      <c r="LJ17">
        <v>0</v>
      </c>
      <c r="LK17">
        <v>0</v>
      </c>
      <c r="LL17">
        <v>0</v>
      </c>
      <c r="LM17">
        <v>0</v>
      </c>
      <c r="LN17">
        <v>0</v>
      </c>
      <c r="LO17">
        <v>0</v>
      </c>
      <c r="LP17">
        <v>0</v>
      </c>
      <c r="LQ17">
        <v>0</v>
      </c>
      <c r="LR17">
        <v>0</v>
      </c>
      <c r="LS17">
        <v>0</v>
      </c>
      <c r="LT17">
        <v>0</v>
      </c>
      <c r="LU17">
        <v>0</v>
      </c>
      <c r="LV17">
        <v>0</v>
      </c>
      <c r="LW17">
        <v>0</v>
      </c>
      <c r="LX17">
        <v>0</v>
      </c>
      <c r="LY17">
        <v>0</v>
      </c>
      <c r="LZ17">
        <v>0</v>
      </c>
      <c r="MA17">
        <v>0</v>
      </c>
      <c r="MB17">
        <v>0</v>
      </c>
      <c r="MC17">
        <v>0</v>
      </c>
      <c r="MD17">
        <v>0</v>
      </c>
      <c r="ME17">
        <v>0</v>
      </c>
      <c r="MF17">
        <v>0</v>
      </c>
      <c r="MG17">
        <v>0</v>
      </c>
      <c r="MH17">
        <v>0</v>
      </c>
      <c r="MI17">
        <v>0</v>
      </c>
      <c r="MJ17">
        <v>0</v>
      </c>
      <c r="MK17">
        <v>0</v>
      </c>
      <c r="ML17">
        <v>0</v>
      </c>
      <c r="MM17">
        <v>0</v>
      </c>
      <c r="MN17">
        <v>0</v>
      </c>
      <c r="MO17">
        <v>0</v>
      </c>
      <c r="MP17">
        <v>0</v>
      </c>
      <c r="MQ17">
        <v>0</v>
      </c>
      <c r="MR17">
        <v>0</v>
      </c>
      <c r="MS17">
        <v>0</v>
      </c>
      <c r="MT17">
        <v>0</v>
      </c>
      <c r="MU17">
        <v>0</v>
      </c>
      <c r="MV17">
        <v>0</v>
      </c>
      <c r="MW17">
        <v>0</v>
      </c>
      <c r="MX17">
        <v>0</v>
      </c>
      <c r="MY17">
        <v>0</v>
      </c>
      <c r="MZ17">
        <v>0</v>
      </c>
      <c r="NA17">
        <v>0</v>
      </c>
      <c r="NB17">
        <v>0</v>
      </c>
      <c r="NC17">
        <v>0</v>
      </c>
      <c r="ND17">
        <v>0</v>
      </c>
      <c r="NE17">
        <v>0</v>
      </c>
    </row>
    <row r="18" spans="5:369" x14ac:dyDescent="0.45">
      <c r="E18">
        <v>0</v>
      </c>
      <c r="F18">
        <v>0</v>
      </c>
      <c r="G18">
        <v>0</v>
      </c>
      <c r="H18">
        <v>0</v>
      </c>
      <c r="I18">
        <v>0</v>
      </c>
      <c r="J18">
        <v>0</v>
      </c>
      <c r="K18">
        <v>0</v>
      </c>
      <c r="L18">
        <v>0</v>
      </c>
      <c r="M18">
        <v>0</v>
      </c>
      <c r="N18" t="str">
        <v/>
      </c>
      <c r="O18" t="str">
        <v/>
      </c>
      <c r="P18" t="str">
        <v/>
      </c>
      <c r="Q18" t="str">
        <v/>
      </c>
      <c r="R18" t="str">
        <v/>
      </c>
      <c r="S18" t="str">
        <v/>
      </c>
      <c r="T18" t="str">
        <v/>
      </c>
      <c r="U18">
        <v>0</v>
      </c>
      <c r="V18">
        <v>0</v>
      </c>
      <c r="W18">
        <v>0</v>
      </c>
      <c r="X18">
        <v>0</v>
      </c>
      <c r="Y18">
        <v>0</v>
      </c>
      <c r="Z18">
        <v>0</v>
      </c>
      <c r="AA18">
        <v>0</v>
      </c>
      <c r="AB18">
        <v>0</v>
      </c>
      <c r="AC18">
        <v>0</v>
      </c>
      <c r="AD18">
        <v>0</v>
      </c>
      <c r="AE18">
        <v>0</v>
      </c>
      <c r="AF18">
        <v>0</v>
      </c>
      <c r="AG18">
        <v>0</v>
      </c>
      <c r="AH18">
        <v>0</v>
      </c>
      <c r="AI18">
        <v>0</v>
      </c>
      <c r="AJ18">
        <v>0</v>
      </c>
      <c r="AK18">
        <v>0</v>
      </c>
      <c r="AL18">
        <v>0</v>
      </c>
      <c r="AM18">
        <v>0</v>
      </c>
      <c r="AN18" s="5">
        <v>0</v>
      </c>
      <c r="AO18" t="str">
        <v>A115</v>
      </c>
      <c r="AP18" t="str">
        <v>K MUHAMMAD JALAL</v>
      </c>
      <c r="AQ18" t="str">
        <v>DAHF</v>
      </c>
      <c r="AR18" t="str">
        <v>SUB JUNIOR</v>
      </c>
      <c r="AS18">
        <v>1</v>
      </c>
      <c r="AT18">
        <v>3.5</v>
      </c>
      <c r="AU18">
        <v>0</v>
      </c>
      <c r="AV18">
        <v>3.5</v>
      </c>
      <c r="AW18">
        <v>3.5</v>
      </c>
      <c r="AX18">
        <v>208</v>
      </c>
      <c r="AY18" s="5">
        <v>208</v>
      </c>
      <c r="AZ18" t="str">
        <v>SJ16</v>
      </c>
      <c r="BA18" t="str">
        <v>SHORT STORY MLM</v>
      </c>
      <c r="BB18" t="str">
        <v>SUB JUNIOR</v>
      </c>
      <c r="BC18" t="str">
        <v>Single</v>
      </c>
      <c r="BD18" t="str">
        <v>Non-Stg</v>
      </c>
      <c r="BE18">
        <v>3</v>
      </c>
      <c r="BF18" t="str">
        <v>Individual</v>
      </c>
      <c r="BG18" t="str">
        <v>Individual</v>
      </c>
      <c r="BH18" t="str">
        <v>P</v>
      </c>
      <c r="BI18" t="str">
        <v>PUBLISHED</v>
      </c>
      <c r="BK18">
        <v>12</v>
      </c>
      <c r="BL18" t="str">
        <v>SJ12</v>
      </c>
      <c r="BM18" t="str">
        <v>PENCIL DRAWING</v>
      </c>
      <c r="BN18">
        <v>2</v>
      </c>
      <c r="BO18" t="str">
        <v>Single</v>
      </c>
      <c r="BP18" t="str">
        <v>Non-Stg</v>
      </c>
      <c r="BQ18" t="str">
        <v>SUB JUNIOR</v>
      </c>
      <c r="BR18" t="str">
        <v>A110</v>
      </c>
      <c r="BS18" t="str">
        <v>A157</v>
      </c>
      <c r="BT18">
        <v>0</v>
      </c>
      <c r="BU18">
        <v>0</v>
      </c>
      <c r="BV18">
        <v>0</v>
      </c>
      <c r="BW18">
        <v>0</v>
      </c>
      <c r="BX18">
        <v>0</v>
      </c>
      <c r="BY18" t="str">
        <v>A115</v>
      </c>
      <c r="BZ18" t="str">
        <v>A172</v>
      </c>
      <c r="CA18">
        <v>0</v>
      </c>
      <c r="CB18">
        <v>0</v>
      </c>
      <c r="CC18">
        <v>0</v>
      </c>
      <c r="CD18">
        <v>0</v>
      </c>
      <c r="CE18">
        <v>0</v>
      </c>
      <c r="CF18" t="str">
        <v>A142</v>
      </c>
      <c r="CG18" t="str">
        <v>A167</v>
      </c>
      <c r="CH18">
        <v>0</v>
      </c>
      <c r="CI18">
        <v>0</v>
      </c>
      <c r="CJ18">
        <v>0</v>
      </c>
      <c r="CK18">
        <v>0</v>
      </c>
      <c r="CL18">
        <v>0</v>
      </c>
      <c r="CM18" t="str">
        <v>A101</v>
      </c>
      <c r="CN18" t="str">
        <v>A160</v>
      </c>
      <c r="CO18">
        <v>0</v>
      </c>
      <c r="CP18">
        <v>0</v>
      </c>
      <c r="CQ18">
        <v>0</v>
      </c>
      <c r="CR18">
        <v>0</v>
      </c>
      <c r="CS18">
        <v>0</v>
      </c>
      <c r="CT18">
        <v>0</v>
      </c>
      <c r="CU18">
        <v>0</v>
      </c>
      <c r="CV18">
        <v>0</v>
      </c>
      <c r="CW18">
        <v>0</v>
      </c>
      <c r="CX18">
        <v>0</v>
      </c>
      <c r="CY18">
        <v>0</v>
      </c>
      <c r="CZ18">
        <v>0</v>
      </c>
      <c r="DA18">
        <v>0</v>
      </c>
      <c r="DB18">
        <v>0</v>
      </c>
      <c r="DC18">
        <v>0</v>
      </c>
      <c r="DD18">
        <v>0</v>
      </c>
      <c r="DE18">
        <v>0</v>
      </c>
      <c r="DF18">
        <v>0</v>
      </c>
      <c r="DG18">
        <v>0</v>
      </c>
      <c r="DH18">
        <v>0</v>
      </c>
      <c r="DI18">
        <v>0</v>
      </c>
      <c r="DJ18">
        <v>0</v>
      </c>
      <c r="DK18">
        <v>0</v>
      </c>
      <c r="DL18">
        <v>0</v>
      </c>
      <c r="DM18">
        <v>0</v>
      </c>
      <c r="DN18">
        <v>0</v>
      </c>
      <c r="DO18">
        <v>0</v>
      </c>
      <c r="DP18">
        <v>0</v>
      </c>
      <c r="DQ18">
        <v>0</v>
      </c>
      <c r="DR18">
        <v>0</v>
      </c>
      <c r="DS18">
        <v>0</v>
      </c>
      <c r="DT18">
        <v>0</v>
      </c>
      <c r="DU18">
        <v>0</v>
      </c>
      <c r="DV18">
        <v>0</v>
      </c>
      <c r="DW18">
        <v>0</v>
      </c>
      <c r="DX18">
        <v>0</v>
      </c>
      <c r="DY18">
        <v>0</v>
      </c>
      <c r="DZ18">
        <v>0</v>
      </c>
      <c r="EA18">
        <v>0</v>
      </c>
      <c r="EB18">
        <v>0</v>
      </c>
      <c r="EC18">
        <v>0</v>
      </c>
      <c r="ED18">
        <v>0</v>
      </c>
      <c r="EE18">
        <v>0</v>
      </c>
      <c r="EF18">
        <v>0</v>
      </c>
      <c r="EG18">
        <v>0</v>
      </c>
      <c r="EH18">
        <v>0</v>
      </c>
      <c r="EI18">
        <v>0</v>
      </c>
      <c r="EJ18">
        <v>0</v>
      </c>
      <c r="EK18">
        <v>0</v>
      </c>
      <c r="EL18">
        <v>0</v>
      </c>
      <c r="EM18">
        <v>0</v>
      </c>
      <c r="EN18">
        <v>0</v>
      </c>
      <c r="EO18">
        <v>0</v>
      </c>
      <c r="EP18">
        <v>0</v>
      </c>
      <c r="EQ18">
        <v>0</v>
      </c>
      <c r="ER18">
        <v>0</v>
      </c>
      <c r="ES18">
        <v>0</v>
      </c>
      <c r="ET18">
        <v>0</v>
      </c>
      <c r="EU18">
        <v>0</v>
      </c>
      <c r="EV18">
        <v>0</v>
      </c>
      <c r="EW18">
        <v>0</v>
      </c>
      <c r="EX18">
        <v>0</v>
      </c>
      <c r="EY18">
        <v>0</v>
      </c>
      <c r="EZ18">
        <v>0</v>
      </c>
      <c r="FA18">
        <v>0</v>
      </c>
      <c r="FB18">
        <v>0</v>
      </c>
      <c r="FC18">
        <v>0</v>
      </c>
      <c r="FD18">
        <v>0</v>
      </c>
      <c r="FE18">
        <v>0</v>
      </c>
      <c r="FF18">
        <v>0</v>
      </c>
      <c r="FG18">
        <v>0</v>
      </c>
      <c r="FH18">
        <v>0</v>
      </c>
      <c r="FI18">
        <v>0</v>
      </c>
      <c r="FJ18">
        <v>0</v>
      </c>
      <c r="FK18">
        <v>0</v>
      </c>
      <c r="FL18">
        <v>0</v>
      </c>
      <c r="FM18">
        <v>0</v>
      </c>
      <c r="FN18">
        <v>0</v>
      </c>
      <c r="FO18">
        <v>0</v>
      </c>
      <c r="FP18">
        <v>0</v>
      </c>
      <c r="FQ18">
        <v>0</v>
      </c>
      <c r="FR18">
        <v>0</v>
      </c>
      <c r="FS18">
        <v>0</v>
      </c>
      <c r="FT18">
        <v>0</v>
      </c>
      <c r="FU18">
        <v>0</v>
      </c>
      <c r="FV18">
        <v>0</v>
      </c>
      <c r="FW18">
        <v>0</v>
      </c>
      <c r="FX18">
        <v>0</v>
      </c>
      <c r="FY18">
        <v>0</v>
      </c>
      <c r="FZ18">
        <v>0</v>
      </c>
      <c r="GA18">
        <v>0</v>
      </c>
      <c r="GB18">
        <v>0</v>
      </c>
      <c r="GC18">
        <v>0</v>
      </c>
      <c r="GD18">
        <v>0</v>
      </c>
      <c r="GE18">
        <v>0</v>
      </c>
      <c r="GF18">
        <v>0</v>
      </c>
      <c r="GG18">
        <v>0</v>
      </c>
      <c r="GH18">
        <v>0</v>
      </c>
      <c r="GI18">
        <v>0</v>
      </c>
      <c r="GJ18">
        <v>0</v>
      </c>
      <c r="GK18">
        <v>0</v>
      </c>
      <c r="GL18">
        <v>0</v>
      </c>
      <c r="GM18">
        <v>0</v>
      </c>
      <c r="GN18">
        <v>0</v>
      </c>
      <c r="GO18">
        <v>0</v>
      </c>
      <c r="GP18">
        <v>0</v>
      </c>
      <c r="GQ18">
        <v>0</v>
      </c>
      <c r="GR18">
        <v>0</v>
      </c>
      <c r="GS18">
        <v>0</v>
      </c>
      <c r="GT18">
        <v>0</v>
      </c>
      <c r="GU18">
        <v>0</v>
      </c>
      <c r="GV18">
        <v>0</v>
      </c>
      <c r="GW18">
        <v>0</v>
      </c>
      <c r="GX18">
        <v>0</v>
      </c>
      <c r="GY18">
        <v>0</v>
      </c>
      <c r="GZ18">
        <v>0</v>
      </c>
      <c r="HA18">
        <v>0</v>
      </c>
      <c r="HB18">
        <v>0</v>
      </c>
      <c r="HC18">
        <v>0</v>
      </c>
      <c r="HD18">
        <v>0</v>
      </c>
      <c r="HE18">
        <v>0</v>
      </c>
      <c r="HF18">
        <v>0</v>
      </c>
      <c r="HG18">
        <v>0</v>
      </c>
      <c r="HH18">
        <v>0</v>
      </c>
      <c r="HI18">
        <v>0</v>
      </c>
      <c r="HJ18">
        <v>0</v>
      </c>
      <c r="HK18">
        <v>0</v>
      </c>
      <c r="HL18">
        <v>0</v>
      </c>
      <c r="HM18">
        <v>0</v>
      </c>
      <c r="HN18">
        <v>0</v>
      </c>
      <c r="HO18">
        <v>0</v>
      </c>
      <c r="HP18">
        <v>0</v>
      </c>
      <c r="HQ18">
        <v>0</v>
      </c>
      <c r="HR18">
        <v>0</v>
      </c>
      <c r="HS18">
        <v>0</v>
      </c>
      <c r="HT18">
        <v>0</v>
      </c>
      <c r="HU18">
        <v>0</v>
      </c>
      <c r="HV18">
        <v>0</v>
      </c>
      <c r="HW18">
        <v>0</v>
      </c>
      <c r="HX18">
        <v>0</v>
      </c>
      <c r="HY18">
        <v>0</v>
      </c>
      <c r="HZ18">
        <v>0</v>
      </c>
      <c r="IA18">
        <v>0</v>
      </c>
      <c r="IB18">
        <v>0</v>
      </c>
      <c r="IC18">
        <v>0</v>
      </c>
      <c r="ID18">
        <v>0</v>
      </c>
      <c r="IE18">
        <v>0</v>
      </c>
      <c r="IF18">
        <v>0</v>
      </c>
      <c r="IG18">
        <v>0</v>
      </c>
      <c r="IH18">
        <v>0</v>
      </c>
      <c r="II18">
        <v>0</v>
      </c>
      <c r="IJ18">
        <v>0</v>
      </c>
      <c r="IK18">
        <v>0</v>
      </c>
      <c r="IL18">
        <v>0</v>
      </c>
      <c r="IM18">
        <v>0</v>
      </c>
      <c r="IN18">
        <v>0</v>
      </c>
      <c r="IO18">
        <v>0</v>
      </c>
      <c r="IP18">
        <v>0</v>
      </c>
      <c r="IQ18">
        <v>0</v>
      </c>
      <c r="IR18">
        <v>0</v>
      </c>
      <c r="IS18">
        <v>0</v>
      </c>
      <c r="IT18">
        <v>0</v>
      </c>
      <c r="IU18">
        <v>0</v>
      </c>
      <c r="IV18">
        <v>0</v>
      </c>
      <c r="IW18">
        <v>0</v>
      </c>
      <c r="IX18">
        <v>0</v>
      </c>
      <c r="IY18">
        <v>0</v>
      </c>
      <c r="IZ18">
        <v>0</v>
      </c>
      <c r="JA18">
        <v>0</v>
      </c>
      <c r="JB18">
        <v>0</v>
      </c>
      <c r="JC18">
        <v>0</v>
      </c>
      <c r="JD18">
        <v>0</v>
      </c>
      <c r="JE18">
        <v>0</v>
      </c>
      <c r="JF18">
        <v>0</v>
      </c>
      <c r="JG18">
        <v>0</v>
      </c>
      <c r="JH18">
        <v>0</v>
      </c>
      <c r="JI18">
        <v>0</v>
      </c>
      <c r="JJ18">
        <v>0</v>
      </c>
      <c r="JK18">
        <v>0</v>
      </c>
      <c r="JL18">
        <v>0</v>
      </c>
      <c r="JM18">
        <v>0</v>
      </c>
      <c r="JN18">
        <v>0</v>
      </c>
      <c r="JO18">
        <v>0</v>
      </c>
      <c r="JP18">
        <v>0</v>
      </c>
      <c r="JQ18">
        <v>0</v>
      </c>
      <c r="JR18">
        <v>0</v>
      </c>
      <c r="JS18">
        <v>0</v>
      </c>
      <c r="JT18">
        <v>0</v>
      </c>
      <c r="JU18">
        <v>0</v>
      </c>
      <c r="JV18">
        <v>0</v>
      </c>
      <c r="JW18">
        <v>0</v>
      </c>
      <c r="JX18">
        <v>0</v>
      </c>
      <c r="JY18">
        <v>0</v>
      </c>
      <c r="JZ18">
        <v>0</v>
      </c>
      <c r="KA18">
        <v>0</v>
      </c>
      <c r="KB18">
        <v>0</v>
      </c>
      <c r="KC18">
        <v>0</v>
      </c>
      <c r="KD18">
        <v>0</v>
      </c>
      <c r="KE18">
        <v>0</v>
      </c>
      <c r="KF18">
        <v>0</v>
      </c>
      <c r="KG18">
        <v>0</v>
      </c>
      <c r="KH18">
        <v>0</v>
      </c>
      <c r="KI18">
        <v>0</v>
      </c>
      <c r="KJ18">
        <v>0</v>
      </c>
      <c r="KK18">
        <v>0</v>
      </c>
      <c r="KL18">
        <v>0</v>
      </c>
      <c r="KM18">
        <v>0</v>
      </c>
      <c r="KN18">
        <v>0</v>
      </c>
      <c r="KO18">
        <v>0</v>
      </c>
      <c r="KP18">
        <v>0</v>
      </c>
      <c r="KQ18">
        <v>0</v>
      </c>
      <c r="KR18">
        <v>0</v>
      </c>
      <c r="KS18">
        <v>0</v>
      </c>
      <c r="KT18">
        <v>0</v>
      </c>
      <c r="KU18">
        <v>0</v>
      </c>
      <c r="KV18">
        <v>0</v>
      </c>
      <c r="KW18">
        <v>0</v>
      </c>
      <c r="KX18">
        <v>0</v>
      </c>
      <c r="KY18">
        <v>0</v>
      </c>
      <c r="KZ18">
        <v>0</v>
      </c>
      <c r="LA18">
        <v>0</v>
      </c>
      <c r="LB18">
        <v>0</v>
      </c>
      <c r="LC18">
        <v>0</v>
      </c>
      <c r="LD18">
        <v>0</v>
      </c>
      <c r="LE18">
        <v>0</v>
      </c>
      <c r="LF18">
        <v>0</v>
      </c>
      <c r="LG18">
        <v>0</v>
      </c>
      <c r="LH18">
        <v>0</v>
      </c>
      <c r="LI18">
        <v>0</v>
      </c>
      <c r="LJ18">
        <v>0</v>
      </c>
      <c r="LK18">
        <v>0</v>
      </c>
      <c r="LL18">
        <v>0</v>
      </c>
      <c r="LM18">
        <v>0</v>
      </c>
      <c r="LN18">
        <v>0</v>
      </c>
      <c r="LO18">
        <v>0</v>
      </c>
      <c r="LP18">
        <v>0</v>
      </c>
      <c r="LQ18">
        <v>0</v>
      </c>
      <c r="LR18">
        <v>0</v>
      </c>
      <c r="LS18">
        <v>0</v>
      </c>
      <c r="LT18">
        <v>0</v>
      </c>
      <c r="LU18">
        <v>0</v>
      </c>
      <c r="LV18">
        <v>0</v>
      </c>
      <c r="LW18">
        <v>0</v>
      </c>
      <c r="LX18">
        <v>0</v>
      </c>
      <c r="LY18">
        <v>0</v>
      </c>
      <c r="LZ18">
        <v>0</v>
      </c>
      <c r="MA18">
        <v>0</v>
      </c>
      <c r="MB18">
        <v>0</v>
      </c>
      <c r="MC18">
        <v>0</v>
      </c>
      <c r="MD18">
        <v>0</v>
      </c>
      <c r="ME18">
        <v>0</v>
      </c>
      <c r="MF18">
        <v>0</v>
      </c>
      <c r="MG18">
        <v>0</v>
      </c>
      <c r="MH18">
        <v>0</v>
      </c>
      <c r="MI18">
        <v>0</v>
      </c>
      <c r="MJ18">
        <v>0</v>
      </c>
      <c r="MK18">
        <v>0</v>
      </c>
      <c r="ML18">
        <v>0</v>
      </c>
      <c r="MM18">
        <v>0</v>
      </c>
      <c r="MN18">
        <v>0</v>
      </c>
      <c r="MO18">
        <v>0</v>
      </c>
      <c r="MP18">
        <v>0</v>
      </c>
      <c r="MQ18">
        <v>0</v>
      </c>
      <c r="MR18">
        <v>0</v>
      </c>
      <c r="MS18">
        <v>0</v>
      </c>
      <c r="MT18">
        <v>0</v>
      </c>
      <c r="MU18">
        <v>0</v>
      </c>
      <c r="MV18">
        <v>0</v>
      </c>
      <c r="MW18">
        <v>0</v>
      </c>
      <c r="MX18">
        <v>0</v>
      </c>
      <c r="MY18">
        <v>0</v>
      </c>
      <c r="MZ18">
        <v>0</v>
      </c>
      <c r="NA18">
        <v>0</v>
      </c>
      <c r="NB18">
        <v>0</v>
      </c>
      <c r="NC18">
        <v>0</v>
      </c>
      <c r="ND18">
        <v>0</v>
      </c>
      <c r="NE18">
        <v>0</v>
      </c>
    </row>
    <row r="19" spans="5:369" x14ac:dyDescent="0.45">
      <c r="E19">
        <v>0</v>
      </c>
      <c r="F19">
        <v>0</v>
      </c>
      <c r="G19">
        <v>0</v>
      </c>
      <c r="H19">
        <v>0</v>
      </c>
      <c r="I19">
        <v>0</v>
      </c>
      <c r="J19">
        <v>0</v>
      </c>
      <c r="K19">
        <v>0</v>
      </c>
      <c r="L19">
        <v>0</v>
      </c>
      <c r="M19">
        <v>0</v>
      </c>
      <c r="N19" t="str">
        <v/>
      </c>
      <c r="O19" t="str">
        <v/>
      </c>
      <c r="P19" t="str">
        <v/>
      </c>
      <c r="Q19" t="str">
        <v/>
      </c>
      <c r="R19" t="str">
        <v/>
      </c>
      <c r="S19" t="str">
        <v/>
      </c>
      <c r="T19" t="str">
        <v/>
      </c>
      <c r="U19">
        <v>0</v>
      </c>
      <c r="V19">
        <v>0</v>
      </c>
      <c r="W19">
        <v>0</v>
      </c>
      <c r="X19">
        <v>0</v>
      </c>
      <c r="Y19">
        <v>0</v>
      </c>
      <c r="Z19">
        <v>0</v>
      </c>
      <c r="AA19">
        <v>0</v>
      </c>
      <c r="AB19">
        <v>0</v>
      </c>
      <c r="AC19">
        <v>0</v>
      </c>
      <c r="AD19">
        <v>0</v>
      </c>
      <c r="AE19">
        <v>0</v>
      </c>
      <c r="AF19">
        <v>0</v>
      </c>
      <c r="AG19">
        <v>0</v>
      </c>
      <c r="AH19">
        <v>0</v>
      </c>
      <c r="AI19">
        <v>0</v>
      </c>
      <c r="AJ19">
        <v>0</v>
      </c>
      <c r="AK19">
        <v>0</v>
      </c>
      <c r="AL19">
        <v>0</v>
      </c>
      <c r="AM19">
        <v>0</v>
      </c>
      <c r="AN19" s="5">
        <v>0</v>
      </c>
      <c r="AO19" t="str">
        <v>A116</v>
      </c>
      <c r="AP19" t="str">
        <v>MUHAMMED T K</v>
      </c>
      <c r="AQ19">
        <v>0</v>
      </c>
      <c r="AR19" t="str">
        <v>SUB JUNIOR</v>
      </c>
      <c r="AS19">
        <v>1</v>
      </c>
      <c r="AT19">
        <v>0</v>
      </c>
      <c r="AU19">
        <v>0</v>
      </c>
      <c r="AV19">
        <v>0</v>
      </c>
      <c r="AW19">
        <v>0</v>
      </c>
      <c r="AX19">
        <v>255</v>
      </c>
      <c r="AY19" s="5">
        <v>255</v>
      </c>
      <c r="AZ19" t="str">
        <v>SJ17</v>
      </c>
      <c r="BA19" t="str">
        <v>STORY COMPLETION MLM</v>
      </c>
      <c r="BB19" t="str">
        <v>SUB JUNIOR</v>
      </c>
      <c r="BC19" t="str">
        <v>Single</v>
      </c>
      <c r="BD19" t="str">
        <v>Non-Stg</v>
      </c>
      <c r="BE19">
        <v>3</v>
      </c>
      <c r="BF19" t="str">
        <v>Individual</v>
      </c>
      <c r="BG19" t="str">
        <v>Individual</v>
      </c>
      <c r="BH19" t="str">
        <v>P</v>
      </c>
      <c r="BI19" t="str">
        <v>PUBLISHED</v>
      </c>
      <c r="BK19">
        <v>13</v>
      </c>
      <c r="BL19" t="str">
        <v>SJ13</v>
      </c>
      <c r="BM19" t="str">
        <v>POEM WRITING MLM</v>
      </c>
      <c r="BN19">
        <v>3</v>
      </c>
      <c r="BO19" t="str">
        <v>Single</v>
      </c>
      <c r="BP19" t="str">
        <v>Non-Stg</v>
      </c>
      <c r="BQ19" t="str">
        <v>SUB JUNIOR</v>
      </c>
      <c r="BR19" t="str">
        <v>A105</v>
      </c>
      <c r="BS19" t="str">
        <v>A111</v>
      </c>
      <c r="BT19" t="str">
        <v>A140</v>
      </c>
      <c r="BU19">
        <v>0</v>
      </c>
      <c r="BV19">
        <v>0</v>
      </c>
      <c r="BW19">
        <v>0</v>
      </c>
      <c r="BX19">
        <v>0</v>
      </c>
      <c r="BY19" t="str">
        <v>A165</v>
      </c>
      <c r="BZ19" t="str">
        <v>A170</v>
      </c>
      <c r="CA19" t="str">
        <v>A128</v>
      </c>
      <c r="CB19">
        <v>0</v>
      </c>
      <c r="CC19">
        <v>0</v>
      </c>
      <c r="CD19">
        <v>0</v>
      </c>
      <c r="CE19">
        <v>0</v>
      </c>
      <c r="CF19" t="str">
        <v>A142</v>
      </c>
      <c r="CG19" t="str">
        <v>A145</v>
      </c>
      <c r="CH19" t="str">
        <v>A167</v>
      </c>
      <c r="CI19">
        <v>0</v>
      </c>
      <c r="CJ19">
        <v>0</v>
      </c>
      <c r="CK19">
        <v>0</v>
      </c>
      <c r="CL19">
        <v>0</v>
      </c>
      <c r="CM19" t="str">
        <v>A141</v>
      </c>
      <c r="CN19" t="str">
        <v>A155</v>
      </c>
      <c r="CO19" t="str">
        <v>A159</v>
      </c>
      <c r="CP19">
        <v>0</v>
      </c>
      <c r="CQ19">
        <v>0</v>
      </c>
      <c r="CR19">
        <v>0</v>
      </c>
      <c r="CS19">
        <v>0</v>
      </c>
      <c r="CT19">
        <v>0</v>
      </c>
      <c r="CU19">
        <v>0</v>
      </c>
      <c r="CV19">
        <v>0</v>
      </c>
      <c r="CW19">
        <v>0</v>
      </c>
      <c r="CX19">
        <v>0</v>
      </c>
      <c r="CY19">
        <v>0</v>
      </c>
      <c r="CZ19">
        <v>0</v>
      </c>
      <c r="DA19">
        <v>0</v>
      </c>
      <c r="DB19">
        <v>0</v>
      </c>
      <c r="DC19">
        <v>0</v>
      </c>
      <c r="DD19">
        <v>0</v>
      </c>
      <c r="DE19">
        <v>0</v>
      </c>
      <c r="DF19">
        <v>0</v>
      </c>
      <c r="DG19">
        <v>0</v>
      </c>
      <c r="DH19">
        <v>0</v>
      </c>
      <c r="DI19">
        <v>0</v>
      </c>
      <c r="DJ19">
        <v>0</v>
      </c>
      <c r="DK19">
        <v>0</v>
      </c>
      <c r="DL19">
        <v>0</v>
      </c>
      <c r="DM19">
        <v>0</v>
      </c>
      <c r="DN19">
        <v>0</v>
      </c>
      <c r="DO19">
        <v>0</v>
      </c>
      <c r="DP19">
        <v>0</v>
      </c>
      <c r="DQ19">
        <v>0</v>
      </c>
      <c r="DR19">
        <v>0</v>
      </c>
      <c r="DS19">
        <v>0</v>
      </c>
      <c r="DT19">
        <v>0</v>
      </c>
      <c r="DU19">
        <v>0</v>
      </c>
      <c r="DV19">
        <v>0</v>
      </c>
      <c r="DW19">
        <v>0</v>
      </c>
      <c r="DX19">
        <v>0</v>
      </c>
      <c r="DY19">
        <v>0</v>
      </c>
      <c r="DZ19">
        <v>0</v>
      </c>
      <c r="EA19">
        <v>0</v>
      </c>
      <c r="EB19">
        <v>0</v>
      </c>
      <c r="EC19">
        <v>0</v>
      </c>
      <c r="ED19">
        <v>0</v>
      </c>
      <c r="EE19">
        <v>0</v>
      </c>
      <c r="EF19">
        <v>0</v>
      </c>
      <c r="EG19">
        <v>0</v>
      </c>
      <c r="EH19">
        <v>0</v>
      </c>
      <c r="EI19">
        <v>0</v>
      </c>
      <c r="EJ19">
        <v>0</v>
      </c>
      <c r="EK19">
        <v>0</v>
      </c>
      <c r="EL19">
        <v>0</v>
      </c>
      <c r="EM19">
        <v>0</v>
      </c>
      <c r="EN19">
        <v>0</v>
      </c>
      <c r="EO19">
        <v>0</v>
      </c>
      <c r="EP19">
        <v>0</v>
      </c>
      <c r="EQ19">
        <v>0</v>
      </c>
      <c r="ER19">
        <v>0</v>
      </c>
      <c r="ES19">
        <v>0</v>
      </c>
      <c r="ET19">
        <v>0</v>
      </c>
      <c r="EU19">
        <v>0</v>
      </c>
      <c r="EV19">
        <v>0</v>
      </c>
      <c r="EW19">
        <v>0</v>
      </c>
      <c r="EX19">
        <v>0</v>
      </c>
      <c r="EY19">
        <v>0</v>
      </c>
      <c r="EZ19">
        <v>0</v>
      </c>
      <c r="FA19">
        <v>0</v>
      </c>
      <c r="FB19">
        <v>0</v>
      </c>
      <c r="FC19">
        <v>0</v>
      </c>
      <c r="FD19">
        <v>0</v>
      </c>
      <c r="FE19">
        <v>0</v>
      </c>
      <c r="FF19">
        <v>0</v>
      </c>
      <c r="FG19">
        <v>0</v>
      </c>
      <c r="FH19">
        <v>0</v>
      </c>
      <c r="FI19">
        <v>0</v>
      </c>
      <c r="FJ19">
        <v>0</v>
      </c>
      <c r="FK19">
        <v>0</v>
      </c>
      <c r="FL19">
        <v>0</v>
      </c>
      <c r="FM19">
        <v>0</v>
      </c>
      <c r="FN19">
        <v>0</v>
      </c>
      <c r="FO19">
        <v>0</v>
      </c>
      <c r="FP19">
        <v>0</v>
      </c>
      <c r="FQ19">
        <v>0</v>
      </c>
      <c r="FR19">
        <v>0</v>
      </c>
      <c r="FS19">
        <v>0</v>
      </c>
      <c r="FT19">
        <v>0</v>
      </c>
      <c r="FU19">
        <v>0</v>
      </c>
      <c r="FV19">
        <v>0</v>
      </c>
      <c r="FW19">
        <v>0</v>
      </c>
      <c r="FX19">
        <v>0</v>
      </c>
      <c r="FY19">
        <v>0</v>
      </c>
      <c r="FZ19">
        <v>0</v>
      </c>
      <c r="GA19">
        <v>0</v>
      </c>
      <c r="GB19">
        <v>0</v>
      </c>
      <c r="GC19">
        <v>0</v>
      </c>
      <c r="GD19">
        <v>0</v>
      </c>
      <c r="GE19">
        <v>0</v>
      </c>
      <c r="GF19">
        <v>0</v>
      </c>
      <c r="GG19">
        <v>0</v>
      </c>
      <c r="GH19">
        <v>0</v>
      </c>
      <c r="GI19">
        <v>0</v>
      </c>
      <c r="GJ19">
        <v>0</v>
      </c>
      <c r="GK19">
        <v>0</v>
      </c>
      <c r="GL19">
        <v>0</v>
      </c>
      <c r="GM19">
        <v>0</v>
      </c>
      <c r="GN19">
        <v>0</v>
      </c>
      <c r="GO19">
        <v>0</v>
      </c>
      <c r="GP19">
        <v>0</v>
      </c>
      <c r="GQ19">
        <v>0</v>
      </c>
      <c r="GR19">
        <v>0</v>
      </c>
      <c r="GS19">
        <v>0</v>
      </c>
      <c r="GT19">
        <v>0</v>
      </c>
      <c r="GU19">
        <v>0</v>
      </c>
      <c r="GV19">
        <v>0</v>
      </c>
      <c r="GW19">
        <v>0</v>
      </c>
      <c r="GX19">
        <v>0</v>
      </c>
      <c r="GY19">
        <v>0</v>
      </c>
      <c r="GZ19">
        <v>0</v>
      </c>
      <c r="HA19">
        <v>0</v>
      </c>
      <c r="HB19">
        <v>0</v>
      </c>
      <c r="HC19">
        <v>0</v>
      </c>
      <c r="HD19">
        <v>0</v>
      </c>
      <c r="HE19">
        <v>0</v>
      </c>
      <c r="HF19">
        <v>0</v>
      </c>
      <c r="HG19">
        <v>0</v>
      </c>
      <c r="HH19">
        <v>0</v>
      </c>
      <c r="HI19">
        <v>0</v>
      </c>
      <c r="HJ19">
        <v>0</v>
      </c>
      <c r="HK19">
        <v>0</v>
      </c>
      <c r="HL19">
        <v>0</v>
      </c>
      <c r="HM19">
        <v>0</v>
      </c>
      <c r="HN19">
        <v>0</v>
      </c>
      <c r="HO19">
        <v>0</v>
      </c>
      <c r="HP19">
        <v>0</v>
      </c>
      <c r="HQ19">
        <v>0</v>
      </c>
      <c r="HR19">
        <v>0</v>
      </c>
      <c r="HS19">
        <v>0</v>
      </c>
      <c r="HT19">
        <v>0</v>
      </c>
      <c r="HU19">
        <v>0</v>
      </c>
      <c r="HV19">
        <v>0</v>
      </c>
      <c r="HW19">
        <v>0</v>
      </c>
      <c r="HX19">
        <v>0</v>
      </c>
      <c r="HY19">
        <v>0</v>
      </c>
      <c r="HZ19">
        <v>0</v>
      </c>
      <c r="IA19">
        <v>0</v>
      </c>
      <c r="IB19">
        <v>0</v>
      </c>
      <c r="IC19">
        <v>0</v>
      </c>
      <c r="ID19">
        <v>0</v>
      </c>
      <c r="IE19">
        <v>0</v>
      </c>
      <c r="IF19">
        <v>0</v>
      </c>
      <c r="IG19">
        <v>0</v>
      </c>
      <c r="IH19">
        <v>0</v>
      </c>
      <c r="II19">
        <v>0</v>
      </c>
      <c r="IJ19">
        <v>0</v>
      </c>
      <c r="IK19">
        <v>0</v>
      </c>
      <c r="IL19">
        <v>0</v>
      </c>
      <c r="IM19">
        <v>0</v>
      </c>
      <c r="IN19">
        <v>0</v>
      </c>
      <c r="IO19">
        <v>0</v>
      </c>
      <c r="IP19">
        <v>0</v>
      </c>
      <c r="IQ19">
        <v>0</v>
      </c>
      <c r="IR19">
        <v>0</v>
      </c>
      <c r="IS19">
        <v>0</v>
      </c>
      <c r="IT19">
        <v>0</v>
      </c>
      <c r="IU19">
        <v>0</v>
      </c>
      <c r="IV19">
        <v>0</v>
      </c>
      <c r="IW19">
        <v>0</v>
      </c>
      <c r="IX19">
        <v>0</v>
      </c>
      <c r="IY19">
        <v>0</v>
      </c>
      <c r="IZ19">
        <v>0</v>
      </c>
      <c r="JA19">
        <v>0</v>
      </c>
      <c r="JB19">
        <v>0</v>
      </c>
      <c r="JC19">
        <v>0</v>
      </c>
      <c r="JD19">
        <v>0</v>
      </c>
      <c r="JE19">
        <v>0</v>
      </c>
      <c r="JF19">
        <v>0</v>
      </c>
      <c r="JG19">
        <v>0</v>
      </c>
      <c r="JH19">
        <v>0</v>
      </c>
      <c r="JI19">
        <v>0</v>
      </c>
      <c r="JJ19">
        <v>0</v>
      </c>
      <c r="JK19">
        <v>0</v>
      </c>
      <c r="JL19">
        <v>0</v>
      </c>
      <c r="JM19">
        <v>0</v>
      </c>
      <c r="JN19">
        <v>0</v>
      </c>
      <c r="JO19">
        <v>0</v>
      </c>
      <c r="JP19">
        <v>0</v>
      </c>
      <c r="JQ19">
        <v>0</v>
      </c>
      <c r="JR19">
        <v>0</v>
      </c>
      <c r="JS19">
        <v>0</v>
      </c>
      <c r="JT19">
        <v>0</v>
      </c>
      <c r="JU19">
        <v>0</v>
      </c>
      <c r="JV19">
        <v>0</v>
      </c>
      <c r="JW19">
        <v>0</v>
      </c>
      <c r="JX19">
        <v>0</v>
      </c>
      <c r="JY19">
        <v>0</v>
      </c>
      <c r="JZ19">
        <v>0</v>
      </c>
      <c r="KA19">
        <v>0</v>
      </c>
      <c r="KB19">
        <v>0</v>
      </c>
      <c r="KC19">
        <v>0</v>
      </c>
      <c r="KD19">
        <v>0</v>
      </c>
      <c r="KE19">
        <v>0</v>
      </c>
      <c r="KF19">
        <v>0</v>
      </c>
      <c r="KG19">
        <v>0</v>
      </c>
      <c r="KH19">
        <v>0</v>
      </c>
      <c r="KI19">
        <v>0</v>
      </c>
      <c r="KJ19">
        <v>0</v>
      </c>
      <c r="KK19">
        <v>0</v>
      </c>
      <c r="KL19">
        <v>0</v>
      </c>
      <c r="KM19">
        <v>0</v>
      </c>
      <c r="KN19">
        <v>0</v>
      </c>
      <c r="KO19">
        <v>0</v>
      </c>
      <c r="KP19">
        <v>0</v>
      </c>
      <c r="KQ19">
        <v>0</v>
      </c>
      <c r="KR19">
        <v>0</v>
      </c>
      <c r="KS19">
        <v>0</v>
      </c>
      <c r="KT19">
        <v>0</v>
      </c>
      <c r="KU19">
        <v>0</v>
      </c>
      <c r="KV19">
        <v>0</v>
      </c>
      <c r="KW19">
        <v>0</v>
      </c>
      <c r="KX19">
        <v>0</v>
      </c>
      <c r="KY19">
        <v>0</v>
      </c>
      <c r="KZ19">
        <v>0</v>
      </c>
      <c r="LA19">
        <v>0</v>
      </c>
      <c r="LB19">
        <v>0</v>
      </c>
      <c r="LC19">
        <v>0</v>
      </c>
      <c r="LD19">
        <v>0</v>
      </c>
      <c r="LE19">
        <v>0</v>
      </c>
      <c r="LF19">
        <v>0</v>
      </c>
      <c r="LG19">
        <v>0</v>
      </c>
      <c r="LH19">
        <v>0</v>
      </c>
      <c r="LI19">
        <v>0</v>
      </c>
      <c r="LJ19">
        <v>0</v>
      </c>
      <c r="LK19">
        <v>0</v>
      </c>
      <c r="LL19">
        <v>0</v>
      </c>
      <c r="LM19">
        <v>0</v>
      </c>
      <c r="LN19">
        <v>0</v>
      </c>
      <c r="LO19">
        <v>0</v>
      </c>
      <c r="LP19">
        <v>0</v>
      </c>
      <c r="LQ19">
        <v>0</v>
      </c>
      <c r="LR19">
        <v>0</v>
      </c>
      <c r="LS19">
        <v>0</v>
      </c>
      <c r="LT19">
        <v>0</v>
      </c>
      <c r="LU19">
        <v>0</v>
      </c>
      <c r="LV19">
        <v>0</v>
      </c>
      <c r="LW19">
        <v>0</v>
      </c>
      <c r="LX19">
        <v>0</v>
      </c>
      <c r="LY19">
        <v>0</v>
      </c>
      <c r="LZ19">
        <v>0</v>
      </c>
      <c r="MA19">
        <v>0</v>
      </c>
      <c r="MB19">
        <v>0</v>
      </c>
      <c r="MC19">
        <v>0</v>
      </c>
      <c r="MD19">
        <v>0</v>
      </c>
      <c r="ME19">
        <v>0</v>
      </c>
      <c r="MF19">
        <v>0</v>
      </c>
      <c r="MG19">
        <v>0</v>
      </c>
      <c r="MH19">
        <v>0</v>
      </c>
      <c r="MI19">
        <v>0</v>
      </c>
      <c r="MJ19">
        <v>0</v>
      </c>
      <c r="MK19">
        <v>0</v>
      </c>
      <c r="ML19">
        <v>0</v>
      </c>
      <c r="MM19">
        <v>0</v>
      </c>
      <c r="MN19">
        <v>0</v>
      </c>
      <c r="MO19">
        <v>0</v>
      </c>
      <c r="MP19">
        <v>0</v>
      </c>
      <c r="MQ19">
        <v>0</v>
      </c>
      <c r="MR19">
        <v>0</v>
      </c>
      <c r="MS19">
        <v>0</v>
      </c>
      <c r="MT19">
        <v>0</v>
      </c>
      <c r="MU19">
        <v>0</v>
      </c>
      <c r="MV19">
        <v>0</v>
      </c>
      <c r="MW19">
        <v>0</v>
      </c>
      <c r="MX19">
        <v>0</v>
      </c>
      <c r="MY19">
        <v>0</v>
      </c>
      <c r="MZ19">
        <v>0</v>
      </c>
      <c r="NA19">
        <v>0</v>
      </c>
      <c r="NB19">
        <v>0</v>
      </c>
      <c r="NC19">
        <v>0</v>
      </c>
      <c r="ND19">
        <v>0</v>
      </c>
      <c r="NE19">
        <v>0</v>
      </c>
    </row>
    <row r="20" spans="5:369" x14ac:dyDescent="0.45">
      <c r="E20">
        <v>0</v>
      </c>
      <c r="F20">
        <v>0</v>
      </c>
      <c r="G20">
        <v>0</v>
      </c>
      <c r="H20">
        <v>0</v>
      </c>
      <c r="I20">
        <v>0</v>
      </c>
      <c r="J20">
        <v>0</v>
      </c>
      <c r="K20">
        <v>0</v>
      </c>
      <c r="L20">
        <v>0</v>
      </c>
      <c r="M20">
        <v>0</v>
      </c>
      <c r="N20" t="str">
        <v/>
      </c>
      <c r="O20" t="str">
        <v/>
      </c>
      <c r="P20" t="str">
        <v/>
      </c>
      <c r="Q20" t="str">
        <v/>
      </c>
      <c r="R20" t="str">
        <v/>
      </c>
      <c r="S20" t="str">
        <v/>
      </c>
      <c r="T20" t="str">
        <v/>
      </c>
      <c r="U20">
        <v>0</v>
      </c>
      <c r="V20">
        <v>0</v>
      </c>
      <c r="W20">
        <v>0</v>
      </c>
      <c r="X20">
        <v>0</v>
      </c>
      <c r="Y20">
        <v>0</v>
      </c>
      <c r="Z20">
        <v>0</v>
      </c>
      <c r="AA20">
        <v>0</v>
      </c>
      <c r="AB20">
        <v>0</v>
      </c>
      <c r="AC20">
        <v>0</v>
      </c>
      <c r="AD20">
        <v>0</v>
      </c>
      <c r="AE20">
        <v>0</v>
      </c>
      <c r="AF20">
        <v>0</v>
      </c>
      <c r="AG20">
        <v>0</v>
      </c>
      <c r="AH20">
        <v>0</v>
      </c>
      <c r="AI20">
        <v>0</v>
      </c>
      <c r="AJ20">
        <v>0</v>
      </c>
      <c r="AK20">
        <v>0</v>
      </c>
      <c r="AL20">
        <v>0</v>
      </c>
      <c r="AM20">
        <v>0</v>
      </c>
      <c r="AN20" s="5">
        <v>0</v>
      </c>
      <c r="AO20" t="str">
        <v>A117</v>
      </c>
      <c r="AP20" t="str">
        <v>Muhammed Waheed R K</v>
      </c>
      <c r="AQ20" t="str">
        <v>JARF</v>
      </c>
      <c r="AR20" t="str">
        <v>SUB JUNIOR</v>
      </c>
      <c r="AS20">
        <v>1</v>
      </c>
      <c r="AT20">
        <v>0</v>
      </c>
      <c r="AU20">
        <v>0</v>
      </c>
      <c r="AV20">
        <v>0</v>
      </c>
      <c r="AW20">
        <v>0</v>
      </c>
      <c r="AX20">
        <v>255</v>
      </c>
      <c r="AY20" s="5">
        <v>255</v>
      </c>
      <c r="AZ20" t="str">
        <v>SJ18</v>
      </c>
      <c r="BA20" t="str">
        <v>SUDOKU</v>
      </c>
      <c r="BB20" t="str">
        <v>SUB JUNIOR</v>
      </c>
      <c r="BC20" t="str">
        <v>Single</v>
      </c>
      <c r="BD20" t="str">
        <v>Non-Stg</v>
      </c>
      <c r="BE20">
        <v>3</v>
      </c>
      <c r="BF20" t="str">
        <v>Individual</v>
      </c>
      <c r="BG20" t="str">
        <v>Individual</v>
      </c>
      <c r="BH20" t="str">
        <v>P</v>
      </c>
      <c r="BI20" t="str">
        <v>PUBLISHED</v>
      </c>
      <c r="BK20">
        <v>14</v>
      </c>
      <c r="BL20" t="str">
        <v>SJ14</v>
      </c>
      <c r="BM20" t="str">
        <v>POSTER DESIGNING (non digital)</v>
      </c>
      <c r="BN20">
        <v>2</v>
      </c>
      <c r="BO20" t="str">
        <v>Single</v>
      </c>
      <c r="BP20" t="str">
        <v>Non-Stg</v>
      </c>
      <c r="BQ20" t="str">
        <v>SUB JUNIOR</v>
      </c>
      <c r="BR20" t="str">
        <v>A151</v>
      </c>
      <c r="BS20" t="str">
        <v>A157</v>
      </c>
      <c r="BT20">
        <v>0</v>
      </c>
      <c r="BU20">
        <v>0</v>
      </c>
      <c r="BV20">
        <v>0</v>
      </c>
      <c r="BW20">
        <v>0</v>
      </c>
      <c r="BX20">
        <v>0</v>
      </c>
      <c r="BY20" t="str">
        <v>A165</v>
      </c>
      <c r="BZ20" t="str">
        <v>A172</v>
      </c>
      <c r="CA20">
        <v>0</v>
      </c>
      <c r="CB20">
        <v>0</v>
      </c>
      <c r="CC20">
        <v>0</v>
      </c>
      <c r="CD20">
        <v>0</v>
      </c>
      <c r="CE20">
        <v>0</v>
      </c>
      <c r="CF20" t="str">
        <v>A142</v>
      </c>
      <c r="CG20" t="str">
        <v>A167</v>
      </c>
      <c r="CH20">
        <v>0</v>
      </c>
      <c r="CI20">
        <v>0</v>
      </c>
      <c r="CJ20">
        <v>0</v>
      </c>
      <c r="CK20">
        <v>0</v>
      </c>
      <c r="CL20">
        <v>0</v>
      </c>
      <c r="CM20" t="str">
        <v>A159</v>
      </c>
      <c r="CN20" t="str">
        <v>A160</v>
      </c>
      <c r="CO20">
        <v>0</v>
      </c>
      <c r="CP20">
        <v>0</v>
      </c>
      <c r="CQ20">
        <v>0</v>
      </c>
      <c r="CR20">
        <v>0</v>
      </c>
      <c r="CS20">
        <v>0</v>
      </c>
      <c r="CT20">
        <v>0</v>
      </c>
      <c r="CU20">
        <v>0</v>
      </c>
      <c r="CV20">
        <v>0</v>
      </c>
      <c r="CW20">
        <v>0</v>
      </c>
      <c r="CX20">
        <v>0</v>
      </c>
      <c r="CY20">
        <v>0</v>
      </c>
      <c r="CZ20">
        <v>0</v>
      </c>
      <c r="DA20">
        <v>0</v>
      </c>
      <c r="DB20">
        <v>0</v>
      </c>
      <c r="DC20">
        <v>0</v>
      </c>
      <c r="DD20">
        <v>0</v>
      </c>
      <c r="DE20">
        <v>0</v>
      </c>
      <c r="DF20">
        <v>0</v>
      </c>
      <c r="DG20">
        <v>0</v>
      </c>
      <c r="DH20">
        <v>0</v>
      </c>
      <c r="DI20">
        <v>0</v>
      </c>
      <c r="DJ20">
        <v>0</v>
      </c>
      <c r="DK20">
        <v>0</v>
      </c>
      <c r="DL20">
        <v>0</v>
      </c>
      <c r="DM20">
        <v>0</v>
      </c>
      <c r="DN20">
        <v>0</v>
      </c>
      <c r="DO20">
        <v>0</v>
      </c>
      <c r="DP20">
        <v>0</v>
      </c>
      <c r="DQ20">
        <v>0</v>
      </c>
      <c r="DR20">
        <v>0</v>
      </c>
      <c r="DS20">
        <v>0</v>
      </c>
      <c r="DT20">
        <v>0</v>
      </c>
      <c r="DU20">
        <v>0</v>
      </c>
      <c r="DV20">
        <v>0</v>
      </c>
      <c r="DW20">
        <v>0</v>
      </c>
      <c r="DX20">
        <v>0</v>
      </c>
      <c r="DY20">
        <v>0</v>
      </c>
      <c r="DZ20">
        <v>0</v>
      </c>
      <c r="EA20">
        <v>0</v>
      </c>
      <c r="EB20">
        <v>0</v>
      </c>
      <c r="EC20">
        <v>0</v>
      </c>
      <c r="ED20">
        <v>0</v>
      </c>
      <c r="EE20">
        <v>0</v>
      </c>
      <c r="EF20">
        <v>0</v>
      </c>
      <c r="EG20">
        <v>0</v>
      </c>
      <c r="EH20">
        <v>0</v>
      </c>
      <c r="EI20">
        <v>0</v>
      </c>
      <c r="EJ20">
        <v>0</v>
      </c>
      <c r="EK20">
        <v>0</v>
      </c>
      <c r="EL20">
        <v>0</v>
      </c>
      <c r="EM20">
        <v>0</v>
      </c>
      <c r="EN20">
        <v>0</v>
      </c>
      <c r="EO20">
        <v>0</v>
      </c>
      <c r="EP20">
        <v>0</v>
      </c>
      <c r="EQ20">
        <v>0</v>
      </c>
      <c r="ER20">
        <v>0</v>
      </c>
      <c r="ES20">
        <v>0</v>
      </c>
      <c r="ET20">
        <v>0</v>
      </c>
      <c r="EU20">
        <v>0</v>
      </c>
      <c r="EV20">
        <v>0</v>
      </c>
      <c r="EW20">
        <v>0</v>
      </c>
      <c r="EX20">
        <v>0</v>
      </c>
      <c r="EY20">
        <v>0</v>
      </c>
      <c r="EZ20">
        <v>0</v>
      </c>
      <c r="FA20">
        <v>0</v>
      </c>
      <c r="FB20">
        <v>0</v>
      </c>
      <c r="FC20">
        <v>0</v>
      </c>
      <c r="FD20">
        <v>0</v>
      </c>
      <c r="FE20">
        <v>0</v>
      </c>
      <c r="FF20">
        <v>0</v>
      </c>
      <c r="FG20">
        <v>0</v>
      </c>
      <c r="FH20">
        <v>0</v>
      </c>
      <c r="FI20">
        <v>0</v>
      </c>
      <c r="FJ20">
        <v>0</v>
      </c>
      <c r="FK20">
        <v>0</v>
      </c>
      <c r="FL20">
        <v>0</v>
      </c>
      <c r="FM20">
        <v>0</v>
      </c>
      <c r="FN20">
        <v>0</v>
      </c>
      <c r="FO20">
        <v>0</v>
      </c>
      <c r="FP20">
        <v>0</v>
      </c>
      <c r="FQ20">
        <v>0</v>
      </c>
      <c r="FR20">
        <v>0</v>
      </c>
      <c r="FS20">
        <v>0</v>
      </c>
      <c r="FT20">
        <v>0</v>
      </c>
      <c r="FU20">
        <v>0</v>
      </c>
      <c r="FV20">
        <v>0</v>
      </c>
      <c r="FW20">
        <v>0</v>
      </c>
      <c r="FX20">
        <v>0</v>
      </c>
      <c r="FY20">
        <v>0</v>
      </c>
      <c r="FZ20">
        <v>0</v>
      </c>
      <c r="GA20">
        <v>0</v>
      </c>
      <c r="GB20">
        <v>0</v>
      </c>
      <c r="GC20">
        <v>0</v>
      </c>
      <c r="GD20">
        <v>0</v>
      </c>
      <c r="GE20">
        <v>0</v>
      </c>
      <c r="GF20">
        <v>0</v>
      </c>
      <c r="GG20">
        <v>0</v>
      </c>
      <c r="GH20">
        <v>0</v>
      </c>
      <c r="GI20">
        <v>0</v>
      </c>
      <c r="GJ20">
        <v>0</v>
      </c>
      <c r="GK20">
        <v>0</v>
      </c>
      <c r="GL20">
        <v>0</v>
      </c>
      <c r="GM20">
        <v>0</v>
      </c>
      <c r="GN20">
        <v>0</v>
      </c>
      <c r="GO20">
        <v>0</v>
      </c>
      <c r="GP20">
        <v>0</v>
      </c>
      <c r="GQ20">
        <v>0</v>
      </c>
      <c r="GR20">
        <v>0</v>
      </c>
      <c r="GS20">
        <v>0</v>
      </c>
      <c r="GT20">
        <v>0</v>
      </c>
      <c r="GU20">
        <v>0</v>
      </c>
      <c r="GV20">
        <v>0</v>
      </c>
      <c r="GW20">
        <v>0</v>
      </c>
      <c r="GX20">
        <v>0</v>
      </c>
      <c r="GY20">
        <v>0</v>
      </c>
      <c r="GZ20">
        <v>0</v>
      </c>
      <c r="HA20">
        <v>0</v>
      </c>
      <c r="HB20">
        <v>0</v>
      </c>
      <c r="HC20">
        <v>0</v>
      </c>
      <c r="HD20">
        <v>0</v>
      </c>
      <c r="HE20">
        <v>0</v>
      </c>
      <c r="HF20">
        <v>0</v>
      </c>
      <c r="HG20">
        <v>0</v>
      </c>
      <c r="HH20">
        <v>0</v>
      </c>
      <c r="HI20">
        <v>0</v>
      </c>
      <c r="HJ20">
        <v>0</v>
      </c>
      <c r="HK20">
        <v>0</v>
      </c>
      <c r="HL20">
        <v>0</v>
      </c>
      <c r="HM20">
        <v>0</v>
      </c>
      <c r="HN20">
        <v>0</v>
      </c>
      <c r="HO20">
        <v>0</v>
      </c>
      <c r="HP20">
        <v>0</v>
      </c>
      <c r="HQ20">
        <v>0</v>
      </c>
      <c r="HR20">
        <v>0</v>
      </c>
      <c r="HS20">
        <v>0</v>
      </c>
      <c r="HT20">
        <v>0</v>
      </c>
      <c r="HU20">
        <v>0</v>
      </c>
      <c r="HV20">
        <v>0</v>
      </c>
      <c r="HW20">
        <v>0</v>
      </c>
      <c r="HX20">
        <v>0</v>
      </c>
      <c r="HY20">
        <v>0</v>
      </c>
      <c r="HZ20">
        <v>0</v>
      </c>
      <c r="IA20">
        <v>0</v>
      </c>
      <c r="IB20">
        <v>0</v>
      </c>
      <c r="IC20">
        <v>0</v>
      </c>
      <c r="ID20">
        <v>0</v>
      </c>
      <c r="IE20">
        <v>0</v>
      </c>
      <c r="IF20">
        <v>0</v>
      </c>
      <c r="IG20">
        <v>0</v>
      </c>
      <c r="IH20">
        <v>0</v>
      </c>
      <c r="II20">
        <v>0</v>
      </c>
      <c r="IJ20">
        <v>0</v>
      </c>
      <c r="IK20">
        <v>0</v>
      </c>
      <c r="IL20">
        <v>0</v>
      </c>
      <c r="IM20">
        <v>0</v>
      </c>
      <c r="IN20">
        <v>0</v>
      </c>
      <c r="IO20">
        <v>0</v>
      </c>
      <c r="IP20">
        <v>0</v>
      </c>
      <c r="IQ20">
        <v>0</v>
      </c>
      <c r="IR20">
        <v>0</v>
      </c>
      <c r="IS20">
        <v>0</v>
      </c>
      <c r="IT20">
        <v>0</v>
      </c>
      <c r="IU20">
        <v>0</v>
      </c>
      <c r="IV20">
        <v>0</v>
      </c>
      <c r="IW20">
        <v>0</v>
      </c>
      <c r="IX20">
        <v>0</v>
      </c>
      <c r="IY20">
        <v>0</v>
      </c>
      <c r="IZ20">
        <v>0</v>
      </c>
      <c r="JA20">
        <v>0</v>
      </c>
      <c r="JB20">
        <v>0</v>
      </c>
      <c r="JC20">
        <v>0</v>
      </c>
      <c r="JD20">
        <v>0</v>
      </c>
      <c r="JE20">
        <v>0</v>
      </c>
      <c r="JF20">
        <v>0</v>
      </c>
      <c r="JG20">
        <v>0</v>
      </c>
      <c r="JH20">
        <v>0</v>
      </c>
      <c r="JI20">
        <v>0</v>
      </c>
      <c r="JJ20">
        <v>0</v>
      </c>
      <c r="JK20">
        <v>0</v>
      </c>
      <c r="JL20">
        <v>0</v>
      </c>
      <c r="JM20">
        <v>0</v>
      </c>
      <c r="JN20">
        <v>0</v>
      </c>
      <c r="JO20">
        <v>0</v>
      </c>
      <c r="JP20">
        <v>0</v>
      </c>
      <c r="JQ20">
        <v>0</v>
      </c>
      <c r="JR20">
        <v>0</v>
      </c>
      <c r="JS20">
        <v>0</v>
      </c>
      <c r="JT20">
        <v>0</v>
      </c>
      <c r="JU20">
        <v>0</v>
      </c>
      <c r="JV20">
        <v>0</v>
      </c>
      <c r="JW20">
        <v>0</v>
      </c>
      <c r="JX20">
        <v>0</v>
      </c>
      <c r="JY20">
        <v>0</v>
      </c>
      <c r="JZ20">
        <v>0</v>
      </c>
      <c r="KA20">
        <v>0</v>
      </c>
      <c r="KB20">
        <v>0</v>
      </c>
      <c r="KC20">
        <v>0</v>
      </c>
      <c r="KD20">
        <v>0</v>
      </c>
      <c r="KE20">
        <v>0</v>
      </c>
      <c r="KF20">
        <v>0</v>
      </c>
      <c r="KG20">
        <v>0</v>
      </c>
      <c r="KH20">
        <v>0</v>
      </c>
      <c r="KI20">
        <v>0</v>
      </c>
      <c r="KJ20">
        <v>0</v>
      </c>
      <c r="KK20">
        <v>0</v>
      </c>
      <c r="KL20">
        <v>0</v>
      </c>
      <c r="KM20">
        <v>0</v>
      </c>
      <c r="KN20">
        <v>0</v>
      </c>
      <c r="KO20">
        <v>0</v>
      </c>
      <c r="KP20">
        <v>0</v>
      </c>
      <c r="KQ20">
        <v>0</v>
      </c>
      <c r="KR20">
        <v>0</v>
      </c>
      <c r="KS20">
        <v>0</v>
      </c>
      <c r="KT20">
        <v>0</v>
      </c>
      <c r="KU20">
        <v>0</v>
      </c>
      <c r="KV20">
        <v>0</v>
      </c>
      <c r="KW20">
        <v>0</v>
      </c>
      <c r="KX20">
        <v>0</v>
      </c>
      <c r="KY20">
        <v>0</v>
      </c>
      <c r="KZ20">
        <v>0</v>
      </c>
      <c r="LA20">
        <v>0</v>
      </c>
      <c r="LB20">
        <v>0</v>
      </c>
      <c r="LC20">
        <v>0</v>
      </c>
      <c r="LD20">
        <v>0</v>
      </c>
      <c r="LE20">
        <v>0</v>
      </c>
      <c r="LF20">
        <v>0</v>
      </c>
      <c r="LG20">
        <v>0</v>
      </c>
      <c r="LH20">
        <v>0</v>
      </c>
      <c r="LI20">
        <v>0</v>
      </c>
      <c r="LJ20">
        <v>0</v>
      </c>
      <c r="LK20">
        <v>0</v>
      </c>
      <c r="LL20">
        <v>0</v>
      </c>
      <c r="LM20">
        <v>0</v>
      </c>
      <c r="LN20">
        <v>0</v>
      </c>
      <c r="LO20">
        <v>0</v>
      </c>
      <c r="LP20">
        <v>0</v>
      </c>
      <c r="LQ20">
        <v>0</v>
      </c>
      <c r="LR20">
        <v>0</v>
      </c>
      <c r="LS20">
        <v>0</v>
      </c>
      <c r="LT20">
        <v>0</v>
      </c>
      <c r="LU20">
        <v>0</v>
      </c>
      <c r="LV20">
        <v>0</v>
      </c>
      <c r="LW20">
        <v>0</v>
      </c>
      <c r="LX20">
        <v>0</v>
      </c>
      <c r="LY20">
        <v>0</v>
      </c>
      <c r="LZ20">
        <v>0</v>
      </c>
      <c r="MA20">
        <v>0</v>
      </c>
      <c r="MB20">
        <v>0</v>
      </c>
      <c r="MC20">
        <v>0</v>
      </c>
      <c r="MD20">
        <v>0</v>
      </c>
      <c r="ME20">
        <v>0</v>
      </c>
      <c r="MF20">
        <v>0</v>
      </c>
      <c r="MG20">
        <v>0</v>
      </c>
      <c r="MH20">
        <v>0</v>
      </c>
      <c r="MI20">
        <v>0</v>
      </c>
      <c r="MJ20">
        <v>0</v>
      </c>
      <c r="MK20">
        <v>0</v>
      </c>
      <c r="ML20">
        <v>0</v>
      </c>
      <c r="MM20">
        <v>0</v>
      </c>
      <c r="MN20">
        <v>0</v>
      </c>
      <c r="MO20">
        <v>0</v>
      </c>
      <c r="MP20">
        <v>0</v>
      </c>
      <c r="MQ20">
        <v>0</v>
      </c>
      <c r="MR20">
        <v>0</v>
      </c>
      <c r="MS20">
        <v>0</v>
      </c>
      <c r="MT20">
        <v>0</v>
      </c>
      <c r="MU20">
        <v>0</v>
      </c>
      <c r="MV20">
        <v>0</v>
      </c>
      <c r="MW20">
        <v>0</v>
      </c>
      <c r="MX20">
        <v>0</v>
      </c>
      <c r="MY20">
        <v>0</v>
      </c>
      <c r="MZ20">
        <v>0</v>
      </c>
      <c r="NA20">
        <v>0</v>
      </c>
      <c r="NB20">
        <v>0</v>
      </c>
      <c r="NC20">
        <v>0</v>
      </c>
      <c r="ND20">
        <v>0</v>
      </c>
      <c r="NE20">
        <v>0</v>
      </c>
    </row>
    <row r="21" spans="5:369" x14ac:dyDescent="0.45">
      <c r="E21">
        <v>0</v>
      </c>
      <c r="F21">
        <v>0</v>
      </c>
      <c r="G21">
        <v>0</v>
      </c>
      <c r="H21">
        <v>0</v>
      </c>
      <c r="I21">
        <v>0</v>
      </c>
      <c r="J21">
        <v>0</v>
      </c>
      <c r="K21">
        <v>0</v>
      </c>
      <c r="L21">
        <v>0</v>
      </c>
      <c r="M21">
        <v>0</v>
      </c>
      <c r="N21" t="str">
        <v/>
      </c>
      <c r="O21" t="str">
        <v/>
      </c>
      <c r="P21" t="str">
        <v/>
      </c>
      <c r="Q21" t="str">
        <v/>
      </c>
      <c r="R21" t="str">
        <v/>
      </c>
      <c r="S21" t="str">
        <v/>
      </c>
      <c r="T21" t="str">
        <v/>
      </c>
      <c r="U21">
        <v>0</v>
      </c>
      <c r="V21">
        <v>0</v>
      </c>
      <c r="W21">
        <v>0</v>
      </c>
      <c r="X21">
        <v>0</v>
      </c>
      <c r="Y21">
        <v>0</v>
      </c>
      <c r="Z21">
        <v>0</v>
      </c>
      <c r="AA21">
        <v>0</v>
      </c>
      <c r="AB21">
        <v>0</v>
      </c>
      <c r="AC21">
        <v>0</v>
      </c>
      <c r="AD21">
        <v>0</v>
      </c>
      <c r="AE21">
        <v>0</v>
      </c>
      <c r="AF21">
        <v>0</v>
      </c>
      <c r="AG21">
        <v>0</v>
      </c>
      <c r="AH21">
        <v>0</v>
      </c>
      <c r="AI21">
        <v>0</v>
      </c>
      <c r="AJ21">
        <v>0</v>
      </c>
      <c r="AK21">
        <v>0</v>
      </c>
      <c r="AL21">
        <v>0</v>
      </c>
      <c r="AM21">
        <v>0</v>
      </c>
      <c r="AN21" s="5">
        <v>0</v>
      </c>
      <c r="AO21" t="str">
        <v>A118</v>
      </c>
      <c r="AP21" t="str">
        <v>ABOOBACKER SAFWAN C B</v>
      </c>
      <c r="AQ21">
        <v>0</v>
      </c>
      <c r="AR21" t="str">
        <v>SUB JUNIOR</v>
      </c>
      <c r="AS21">
        <v>1</v>
      </c>
      <c r="AT21">
        <v>0</v>
      </c>
      <c r="AU21">
        <v>0</v>
      </c>
      <c r="AV21">
        <v>0</v>
      </c>
      <c r="AW21">
        <v>0</v>
      </c>
      <c r="AX21">
        <v>255</v>
      </c>
      <c r="AY21" s="5">
        <v>255</v>
      </c>
      <c r="AZ21" t="str">
        <v>SJ19</v>
      </c>
      <c r="BA21" t="str">
        <v>TYPING ENG</v>
      </c>
      <c r="BB21" t="str">
        <v>SUB JUNIOR</v>
      </c>
      <c r="BC21" t="str">
        <v>Single</v>
      </c>
      <c r="BD21" t="str">
        <v>Non-Stg</v>
      </c>
      <c r="BE21">
        <v>3</v>
      </c>
      <c r="BF21" t="str">
        <v>Individual</v>
      </c>
      <c r="BG21" t="str">
        <v>Individual</v>
      </c>
      <c r="BH21" t="str">
        <v>P</v>
      </c>
      <c r="BI21" t="str">
        <v>PUBLISHED</v>
      </c>
      <c r="BK21">
        <v>15</v>
      </c>
      <c r="BL21" t="str">
        <v>SJ15</v>
      </c>
      <c r="BM21" t="str">
        <v>QIRĀʾAH</v>
      </c>
      <c r="BN21">
        <v>3</v>
      </c>
      <c r="BO21" t="str">
        <v>Single</v>
      </c>
      <c r="BP21" t="str">
        <v>Non-Stg</v>
      </c>
      <c r="BQ21" t="str">
        <v>SUB JUNIOR</v>
      </c>
      <c r="BR21" t="str">
        <v>A111</v>
      </c>
      <c r="BS21" t="str">
        <v>A122</v>
      </c>
      <c r="BT21" t="str">
        <v>A140</v>
      </c>
      <c r="BU21">
        <v>0</v>
      </c>
      <c r="BV21">
        <v>0</v>
      </c>
      <c r="BW21">
        <v>0</v>
      </c>
      <c r="BX21">
        <v>0</v>
      </c>
      <c r="BY21" t="str">
        <v>A158</v>
      </c>
      <c r="BZ21" t="str">
        <v>A174</v>
      </c>
      <c r="CA21" t="str">
        <v>A115</v>
      </c>
      <c r="CB21">
        <v>0</v>
      </c>
      <c r="CC21">
        <v>0</v>
      </c>
      <c r="CD21">
        <v>0</v>
      </c>
      <c r="CE21">
        <v>0</v>
      </c>
      <c r="CF21" t="str">
        <v>A109</v>
      </c>
      <c r="CG21" t="str">
        <v>A152</v>
      </c>
      <c r="CH21" t="str">
        <v>A163</v>
      </c>
      <c r="CI21">
        <v>0</v>
      </c>
      <c r="CJ21">
        <v>0</v>
      </c>
      <c r="CK21">
        <v>0</v>
      </c>
      <c r="CL21">
        <v>0</v>
      </c>
      <c r="CM21" t="str">
        <v>A121</v>
      </c>
      <c r="CN21" t="str">
        <v>A154</v>
      </c>
      <c r="CO21" t="str">
        <v>A156</v>
      </c>
      <c r="CP21">
        <v>0</v>
      </c>
      <c r="CQ21">
        <v>0</v>
      </c>
      <c r="CR21">
        <v>0</v>
      </c>
      <c r="CS21">
        <v>0</v>
      </c>
      <c r="CT21">
        <v>0</v>
      </c>
      <c r="CU21">
        <v>0</v>
      </c>
      <c r="CV21">
        <v>0</v>
      </c>
      <c r="CW21">
        <v>0</v>
      </c>
      <c r="CX21">
        <v>0</v>
      </c>
      <c r="CY21">
        <v>0</v>
      </c>
      <c r="CZ21">
        <v>0</v>
      </c>
      <c r="DA21">
        <v>0</v>
      </c>
      <c r="DB21">
        <v>0</v>
      </c>
      <c r="DC21">
        <v>0</v>
      </c>
      <c r="DD21">
        <v>0</v>
      </c>
      <c r="DE21">
        <v>0</v>
      </c>
      <c r="DF21">
        <v>0</v>
      </c>
      <c r="DG21">
        <v>0</v>
      </c>
      <c r="DH21">
        <v>0</v>
      </c>
      <c r="DI21">
        <v>0</v>
      </c>
      <c r="DJ21">
        <v>0</v>
      </c>
      <c r="DK21">
        <v>0</v>
      </c>
      <c r="DL21">
        <v>0</v>
      </c>
      <c r="DM21">
        <v>0</v>
      </c>
      <c r="DN21">
        <v>0</v>
      </c>
      <c r="DO21">
        <v>0</v>
      </c>
      <c r="DP21">
        <v>0</v>
      </c>
      <c r="DQ21">
        <v>0</v>
      </c>
      <c r="DR21">
        <v>0</v>
      </c>
      <c r="DS21">
        <v>0</v>
      </c>
      <c r="DT21">
        <v>0</v>
      </c>
      <c r="DU21">
        <v>0</v>
      </c>
      <c r="DV21">
        <v>0</v>
      </c>
      <c r="DW21">
        <v>0</v>
      </c>
      <c r="DX21">
        <v>0</v>
      </c>
      <c r="DY21">
        <v>0</v>
      </c>
      <c r="DZ21">
        <v>0</v>
      </c>
      <c r="EA21">
        <v>0</v>
      </c>
      <c r="EB21">
        <v>0</v>
      </c>
      <c r="EC21">
        <v>0</v>
      </c>
      <c r="ED21">
        <v>0</v>
      </c>
      <c r="EE21">
        <v>0</v>
      </c>
      <c r="EF21">
        <v>0</v>
      </c>
      <c r="EG21">
        <v>0</v>
      </c>
      <c r="EH21">
        <v>0</v>
      </c>
      <c r="EI21">
        <v>0</v>
      </c>
      <c r="EJ21">
        <v>0</v>
      </c>
      <c r="EK21">
        <v>0</v>
      </c>
      <c r="EL21">
        <v>0</v>
      </c>
      <c r="EM21">
        <v>0</v>
      </c>
      <c r="EN21">
        <v>0</v>
      </c>
      <c r="EO21">
        <v>0</v>
      </c>
      <c r="EP21">
        <v>0</v>
      </c>
      <c r="EQ21">
        <v>0</v>
      </c>
      <c r="ER21">
        <v>0</v>
      </c>
      <c r="ES21">
        <v>0</v>
      </c>
      <c r="ET21">
        <v>0</v>
      </c>
      <c r="EU21">
        <v>0</v>
      </c>
      <c r="EV21">
        <v>0</v>
      </c>
      <c r="EW21">
        <v>0</v>
      </c>
      <c r="EX21">
        <v>0</v>
      </c>
      <c r="EY21">
        <v>0</v>
      </c>
      <c r="EZ21">
        <v>0</v>
      </c>
      <c r="FA21">
        <v>0</v>
      </c>
      <c r="FB21">
        <v>0</v>
      </c>
      <c r="FC21">
        <v>0</v>
      </c>
      <c r="FD21">
        <v>0</v>
      </c>
      <c r="FE21">
        <v>0</v>
      </c>
      <c r="FF21">
        <v>0</v>
      </c>
      <c r="FG21">
        <v>0</v>
      </c>
      <c r="FH21">
        <v>0</v>
      </c>
      <c r="FI21">
        <v>0</v>
      </c>
      <c r="FJ21">
        <v>0</v>
      </c>
      <c r="FK21">
        <v>0</v>
      </c>
      <c r="FL21">
        <v>0</v>
      </c>
      <c r="FM21">
        <v>0</v>
      </c>
      <c r="FN21">
        <v>0</v>
      </c>
      <c r="FO21">
        <v>0</v>
      </c>
      <c r="FP21">
        <v>0</v>
      </c>
      <c r="FQ21">
        <v>0</v>
      </c>
      <c r="FR21">
        <v>0</v>
      </c>
      <c r="FS21">
        <v>0</v>
      </c>
      <c r="FT21">
        <v>0</v>
      </c>
      <c r="FU21">
        <v>0</v>
      </c>
      <c r="FV21">
        <v>0</v>
      </c>
      <c r="FW21">
        <v>0</v>
      </c>
      <c r="FX21">
        <v>0</v>
      </c>
      <c r="FY21">
        <v>0</v>
      </c>
      <c r="FZ21">
        <v>0</v>
      </c>
      <c r="GA21">
        <v>0</v>
      </c>
      <c r="GB21">
        <v>0</v>
      </c>
      <c r="GC21">
        <v>0</v>
      </c>
      <c r="GD21">
        <v>0</v>
      </c>
      <c r="GE21">
        <v>0</v>
      </c>
      <c r="GF21">
        <v>0</v>
      </c>
      <c r="GG21">
        <v>0</v>
      </c>
      <c r="GH21">
        <v>0</v>
      </c>
      <c r="GI21">
        <v>0</v>
      </c>
      <c r="GJ21">
        <v>0</v>
      </c>
      <c r="GK21">
        <v>0</v>
      </c>
      <c r="GL21">
        <v>0</v>
      </c>
      <c r="GM21">
        <v>0</v>
      </c>
      <c r="GN21">
        <v>0</v>
      </c>
      <c r="GO21">
        <v>0</v>
      </c>
      <c r="GP21">
        <v>0</v>
      </c>
      <c r="GQ21">
        <v>0</v>
      </c>
      <c r="GR21">
        <v>0</v>
      </c>
      <c r="GS21">
        <v>0</v>
      </c>
      <c r="GT21">
        <v>0</v>
      </c>
      <c r="GU21">
        <v>0</v>
      </c>
      <c r="GV21">
        <v>0</v>
      </c>
      <c r="GW21">
        <v>0</v>
      </c>
      <c r="GX21">
        <v>0</v>
      </c>
      <c r="GY21">
        <v>0</v>
      </c>
      <c r="GZ21">
        <v>0</v>
      </c>
      <c r="HA21">
        <v>0</v>
      </c>
      <c r="HB21">
        <v>0</v>
      </c>
      <c r="HC21">
        <v>0</v>
      </c>
      <c r="HD21">
        <v>0</v>
      </c>
      <c r="HE21">
        <v>0</v>
      </c>
      <c r="HF21">
        <v>0</v>
      </c>
      <c r="HG21">
        <v>0</v>
      </c>
      <c r="HH21">
        <v>0</v>
      </c>
      <c r="HI21">
        <v>0</v>
      </c>
      <c r="HJ21">
        <v>0</v>
      </c>
      <c r="HK21">
        <v>0</v>
      </c>
      <c r="HL21">
        <v>0</v>
      </c>
      <c r="HM21">
        <v>0</v>
      </c>
      <c r="HN21">
        <v>0</v>
      </c>
      <c r="HO21">
        <v>0</v>
      </c>
      <c r="HP21">
        <v>0</v>
      </c>
      <c r="HQ21">
        <v>0</v>
      </c>
      <c r="HR21">
        <v>0</v>
      </c>
      <c r="HS21">
        <v>0</v>
      </c>
      <c r="HT21">
        <v>0</v>
      </c>
      <c r="HU21">
        <v>0</v>
      </c>
      <c r="HV21">
        <v>0</v>
      </c>
      <c r="HW21">
        <v>0</v>
      </c>
      <c r="HX21">
        <v>0</v>
      </c>
      <c r="HY21">
        <v>0</v>
      </c>
      <c r="HZ21">
        <v>0</v>
      </c>
      <c r="IA21">
        <v>0</v>
      </c>
      <c r="IB21">
        <v>0</v>
      </c>
      <c r="IC21">
        <v>0</v>
      </c>
      <c r="ID21">
        <v>0</v>
      </c>
      <c r="IE21">
        <v>0</v>
      </c>
      <c r="IF21">
        <v>0</v>
      </c>
      <c r="IG21">
        <v>0</v>
      </c>
      <c r="IH21">
        <v>0</v>
      </c>
      <c r="II21">
        <v>0</v>
      </c>
      <c r="IJ21">
        <v>0</v>
      </c>
      <c r="IK21">
        <v>0</v>
      </c>
      <c r="IL21">
        <v>0</v>
      </c>
      <c r="IM21">
        <v>0</v>
      </c>
      <c r="IN21">
        <v>0</v>
      </c>
      <c r="IO21">
        <v>0</v>
      </c>
      <c r="IP21">
        <v>0</v>
      </c>
      <c r="IQ21">
        <v>0</v>
      </c>
      <c r="IR21">
        <v>0</v>
      </c>
      <c r="IS21">
        <v>0</v>
      </c>
      <c r="IT21">
        <v>0</v>
      </c>
      <c r="IU21">
        <v>0</v>
      </c>
      <c r="IV21">
        <v>0</v>
      </c>
      <c r="IW21">
        <v>0</v>
      </c>
      <c r="IX21">
        <v>0</v>
      </c>
      <c r="IY21">
        <v>0</v>
      </c>
      <c r="IZ21">
        <v>0</v>
      </c>
      <c r="JA21">
        <v>0</v>
      </c>
      <c r="JB21">
        <v>0</v>
      </c>
      <c r="JC21">
        <v>0</v>
      </c>
      <c r="JD21">
        <v>0</v>
      </c>
      <c r="JE21">
        <v>0</v>
      </c>
      <c r="JF21">
        <v>0</v>
      </c>
      <c r="JG21">
        <v>0</v>
      </c>
      <c r="JH21">
        <v>0</v>
      </c>
      <c r="JI21">
        <v>0</v>
      </c>
      <c r="JJ21">
        <v>0</v>
      </c>
      <c r="JK21">
        <v>0</v>
      </c>
      <c r="JL21">
        <v>0</v>
      </c>
      <c r="JM21">
        <v>0</v>
      </c>
      <c r="JN21">
        <v>0</v>
      </c>
      <c r="JO21">
        <v>0</v>
      </c>
      <c r="JP21">
        <v>0</v>
      </c>
      <c r="JQ21">
        <v>0</v>
      </c>
      <c r="JR21">
        <v>0</v>
      </c>
      <c r="JS21">
        <v>0</v>
      </c>
      <c r="JT21">
        <v>0</v>
      </c>
      <c r="JU21">
        <v>0</v>
      </c>
      <c r="JV21">
        <v>0</v>
      </c>
      <c r="JW21">
        <v>0</v>
      </c>
      <c r="JX21">
        <v>0</v>
      </c>
      <c r="JY21">
        <v>0</v>
      </c>
      <c r="JZ21">
        <v>0</v>
      </c>
      <c r="KA21">
        <v>0</v>
      </c>
      <c r="KB21">
        <v>0</v>
      </c>
      <c r="KC21">
        <v>0</v>
      </c>
      <c r="KD21">
        <v>0</v>
      </c>
      <c r="KE21">
        <v>0</v>
      </c>
      <c r="KF21">
        <v>0</v>
      </c>
      <c r="KG21">
        <v>0</v>
      </c>
      <c r="KH21">
        <v>0</v>
      </c>
      <c r="KI21">
        <v>0</v>
      </c>
      <c r="KJ21">
        <v>0</v>
      </c>
      <c r="KK21">
        <v>0</v>
      </c>
      <c r="KL21">
        <v>0</v>
      </c>
      <c r="KM21">
        <v>0</v>
      </c>
      <c r="KN21">
        <v>0</v>
      </c>
      <c r="KO21">
        <v>0</v>
      </c>
      <c r="KP21">
        <v>0</v>
      </c>
      <c r="KQ21">
        <v>0</v>
      </c>
      <c r="KR21">
        <v>0</v>
      </c>
      <c r="KS21">
        <v>0</v>
      </c>
      <c r="KT21">
        <v>0</v>
      </c>
      <c r="KU21">
        <v>0</v>
      </c>
      <c r="KV21">
        <v>0</v>
      </c>
      <c r="KW21">
        <v>0</v>
      </c>
      <c r="KX21">
        <v>0</v>
      </c>
      <c r="KY21">
        <v>0</v>
      </c>
      <c r="KZ21">
        <v>0</v>
      </c>
      <c r="LA21">
        <v>0</v>
      </c>
      <c r="LB21">
        <v>0</v>
      </c>
      <c r="LC21">
        <v>0</v>
      </c>
      <c r="LD21">
        <v>0</v>
      </c>
      <c r="LE21">
        <v>0</v>
      </c>
      <c r="LF21">
        <v>0</v>
      </c>
      <c r="LG21">
        <v>0</v>
      </c>
      <c r="LH21">
        <v>0</v>
      </c>
      <c r="LI21">
        <v>0</v>
      </c>
      <c r="LJ21">
        <v>0</v>
      </c>
      <c r="LK21">
        <v>0</v>
      </c>
      <c r="LL21">
        <v>0</v>
      </c>
      <c r="LM21">
        <v>0</v>
      </c>
      <c r="LN21">
        <v>0</v>
      </c>
      <c r="LO21">
        <v>0</v>
      </c>
      <c r="LP21">
        <v>0</v>
      </c>
      <c r="LQ21">
        <v>0</v>
      </c>
      <c r="LR21">
        <v>0</v>
      </c>
      <c r="LS21">
        <v>0</v>
      </c>
      <c r="LT21">
        <v>0</v>
      </c>
      <c r="LU21">
        <v>0</v>
      </c>
      <c r="LV21">
        <v>0</v>
      </c>
      <c r="LW21">
        <v>0</v>
      </c>
      <c r="LX21">
        <v>0</v>
      </c>
      <c r="LY21">
        <v>0</v>
      </c>
      <c r="LZ21">
        <v>0</v>
      </c>
      <c r="MA21">
        <v>0</v>
      </c>
      <c r="MB21">
        <v>0</v>
      </c>
      <c r="MC21">
        <v>0</v>
      </c>
      <c r="MD21">
        <v>0</v>
      </c>
      <c r="ME21">
        <v>0</v>
      </c>
      <c r="MF21">
        <v>0</v>
      </c>
      <c r="MG21">
        <v>0</v>
      </c>
      <c r="MH21">
        <v>0</v>
      </c>
      <c r="MI21">
        <v>0</v>
      </c>
      <c r="MJ21">
        <v>0</v>
      </c>
      <c r="MK21">
        <v>0</v>
      </c>
      <c r="ML21">
        <v>0</v>
      </c>
      <c r="MM21">
        <v>0</v>
      </c>
      <c r="MN21">
        <v>0</v>
      </c>
      <c r="MO21">
        <v>0</v>
      </c>
      <c r="MP21">
        <v>0</v>
      </c>
      <c r="MQ21">
        <v>0</v>
      </c>
      <c r="MR21">
        <v>0</v>
      </c>
      <c r="MS21">
        <v>0</v>
      </c>
      <c r="MT21">
        <v>0</v>
      </c>
      <c r="MU21">
        <v>0</v>
      </c>
      <c r="MV21">
        <v>0</v>
      </c>
      <c r="MW21">
        <v>0</v>
      </c>
      <c r="MX21">
        <v>0</v>
      </c>
      <c r="MY21">
        <v>0</v>
      </c>
      <c r="MZ21">
        <v>0</v>
      </c>
      <c r="NA21">
        <v>0</v>
      </c>
      <c r="NB21">
        <v>0</v>
      </c>
      <c r="NC21">
        <v>0</v>
      </c>
      <c r="ND21">
        <v>0</v>
      </c>
      <c r="NE21">
        <v>0</v>
      </c>
    </row>
    <row r="22" spans="5:369" x14ac:dyDescent="0.45">
      <c r="E22">
        <v>0</v>
      </c>
      <c r="F22">
        <v>0</v>
      </c>
      <c r="G22">
        <v>0</v>
      </c>
      <c r="H22">
        <v>0</v>
      </c>
      <c r="I22">
        <v>0</v>
      </c>
      <c r="J22">
        <v>0</v>
      </c>
      <c r="K22">
        <v>0</v>
      </c>
      <c r="L22">
        <v>0</v>
      </c>
      <c r="M22">
        <v>0</v>
      </c>
      <c r="N22" t="str">
        <v/>
      </c>
      <c r="O22" t="str">
        <v/>
      </c>
      <c r="P22" t="str">
        <v/>
      </c>
      <c r="Q22" t="str">
        <v/>
      </c>
      <c r="R22" t="str">
        <v/>
      </c>
      <c r="S22" t="str">
        <v/>
      </c>
      <c r="T22" t="str">
        <v/>
      </c>
      <c r="U22">
        <v>0</v>
      </c>
      <c r="V22">
        <v>0</v>
      </c>
      <c r="W22">
        <v>0</v>
      </c>
      <c r="X22">
        <v>0</v>
      </c>
      <c r="Y22">
        <v>0</v>
      </c>
      <c r="Z22">
        <v>0</v>
      </c>
      <c r="AA22">
        <v>0</v>
      </c>
      <c r="AB22">
        <v>0</v>
      </c>
      <c r="AC22">
        <v>0</v>
      </c>
      <c r="AD22">
        <v>0</v>
      </c>
      <c r="AE22">
        <v>0</v>
      </c>
      <c r="AF22">
        <v>0</v>
      </c>
      <c r="AG22">
        <v>0</v>
      </c>
      <c r="AH22">
        <v>0</v>
      </c>
      <c r="AI22">
        <v>0</v>
      </c>
      <c r="AJ22">
        <v>0</v>
      </c>
      <c r="AK22">
        <v>0</v>
      </c>
      <c r="AL22">
        <v>0</v>
      </c>
      <c r="AM22">
        <v>0</v>
      </c>
      <c r="AN22" s="5">
        <v>0</v>
      </c>
      <c r="AO22" t="str">
        <v>A119</v>
      </c>
      <c r="AP22" t="str">
        <v>MUHAMMED HASHIR A K</v>
      </c>
      <c r="AQ22" t="str">
        <v>JARF</v>
      </c>
      <c r="AR22" t="str">
        <v>SUB JUNIOR</v>
      </c>
      <c r="AS22">
        <v>1</v>
      </c>
      <c r="AT22">
        <v>0</v>
      </c>
      <c r="AU22">
        <v>0</v>
      </c>
      <c r="AV22">
        <v>0</v>
      </c>
      <c r="AW22">
        <v>0</v>
      </c>
      <c r="AX22">
        <v>255</v>
      </c>
      <c r="AY22" s="5">
        <v>255</v>
      </c>
      <c r="AZ22" t="str">
        <v>SJ20</v>
      </c>
      <c r="BA22" t="str">
        <v>VOCABULARY</v>
      </c>
      <c r="BB22" t="str">
        <v>SUB JUNIOR</v>
      </c>
      <c r="BC22" t="str">
        <v>Single</v>
      </c>
      <c r="BD22" t="str">
        <v>Non-Stg</v>
      </c>
      <c r="BE22">
        <v>3</v>
      </c>
      <c r="BF22" t="str">
        <v>Individual</v>
      </c>
      <c r="BG22" t="str">
        <v>Individual</v>
      </c>
      <c r="BH22" t="str">
        <v>P</v>
      </c>
      <c r="BI22" t="str">
        <v>PUBLISHED</v>
      </c>
      <c r="BK22">
        <v>16</v>
      </c>
      <c r="BL22" t="str">
        <v>SJ16</v>
      </c>
      <c r="BM22" t="str">
        <v>SHORT STORY MLM</v>
      </c>
      <c r="BN22">
        <v>3</v>
      </c>
      <c r="BO22" t="str">
        <v>Single</v>
      </c>
      <c r="BP22" t="str">
        <v>Non-Stg</v>
      </c>
      <c r="BQ22" t="str">
        <v>SUB JUNIOR</v>
      </c>
      <c r="BR22" t="str">
        <v>A105</v>
      </c>
      <c r="BS22" t="str">
        <v>A111</v>
      </c>
      <c r="BT22" t="str">
        <v>A153</v>
      </c>
      <c r="BU22">
        <v>0</v>
      </c>
      <c r="BV22">
        <v>0</v>
      </c>
      <c r="BW22">
        <v>0</v>
      </c>
      <c r="BX22">
        <v>0</v>
      </c>
      <c r="BY22" t="str">
        <v>A112</v>
      </c>
      <c r="BZ22" t="str">
        <v>A147</v>
      </c>
      <c r="CA22" t="str">
        <v>A134</v>
      </c>
      <c r="CB22">
        <v>0</v>
      </c>
      <c r="CC22">
        <v>0</v>
      </c>
      <c r="CD22">
        <v>0</v>
      </c>
      <c r="CE22">
        <v>0</v>
      </c>
      <c r="CF22" t="str">
        <v>A145</v>
      </c>
      <c r="CG22" t="str">
        <v>A146</v>
      </c>
      <c r="CH22" t="str">
        <v>A167</v>
      </c>
      <c r="CI22">
        <v>0</v>
      </c>
      <c r="CJ22">
        <v>0</v>
      </c>
      <c r="CK22">
        <v>0</v>
      </c>
      <c r="CL22">
        <v>0</v>
      </c>
      <c r="CM22" t="str">
        <v>A154</v>
      </c>
      <c r="CN22" t="str">
        <v>A155</v>
      </c>
      <c r="CO22" t="str">
        <v>A159</v>
      </c>
      <c r="CP22">
        <v>0</v>
      </c>
      <c r="CQ22">
        <v>0</v>
      </c>
      <c r="CR22">
        <v>0</v>
      </c>
      <c r="CS22">
        <v>0</v>
      </c>
      <c r="CT22">
        <v>0</v>
      </c>
      <c r="CU22">
        <v>0</v>
      </c>
      <c r="CV22">
        <v>0</v>
      </c>
      <c r="CW22">
        <v>0</v>
      </c>
      <c r="CX22">
        <v>0</v>
      </c>
      <c r="CY22">
        <v>0</v>
      </c>
      <c r="CZ22">
        <v>0</v>
      </c>
      <c r="DA22">
        <v>0</v>
      </c>
      <c r="DB22">
        <v>0</v>
      </c>
      <c r="DC22">
        <v>0</v>
      </c>
      <c r="DD22">
        <v>0</v>
      </c>
      <c r="DE22">
        <v>0</v>
      </c>
      <c r="DF22">
        <v>0</v>
      </c>
      <c r="DG22">
        <v>0</v>
      </c>
      <c r="DH22">
        <v>0</v>
      </c>
      <c r="DI22">
        <v>0</v>
      </c>
      <c r="DJ22">
        <v>0</v>
      </c>
      <c r="DK22">
        <v>0</v>
      </c>
      <c r="DL22">
        <v>0</v>
      </c>
      <c r="DM22">
        <v>0</v>
      </c>
      <c r="DN22">
        <v>0</v>
      </c>
      <c r="DO22">
        <v>0</v>
      </c>
      <c r="DP22">
        <v>0</v>
      </c>
      <c r="DQ22">
        <v>0</v>
      </c>
      <c r="DR22">
        <v>0</v>
      </c>
      <c r="DS22">
        <v>0</v>
      </c>
      <c r="DT22">
        <v>0</v>
      </c>
      <c r="DU22">
        <v>0</v>
      </c>
      <c r="DV22">
        <v>0</v>
      </c>
      <c r="DW22">
        <v>0</v>
      </c>
      <c r="DX22">
        <v>0</v>
      </c>
      <c r="DY22">
        <v>0</v>
      </c>
      <c r="DZ22">
        <v>0</v>
      </c>
      <c r="EA22">
        <v>0</v>
      </c>
      <c r="EB22">
        <v>0</v>
      </c>
      <c r="EC22">
        <v>0</v>
      </c>
      <c r="ED22">
        <v>0</v>
      </c>
      <c r="EE22">
        <v>0</v>
      </c>
      <c r="EF22">
        <v>0</v>
      </c>
      <c r="EG22">
        <v>0</v>
      </c>
      <c r="EH22">
        <v>0</v>
      </c>
      <c r="EI22">
        <v>0</v>
      </c>
      <c r="EJ22">
        <v>0</v>
      </c>
      <c r="EK22">
        <v>0</v>
      </c>
      <c r="EL22">
        <v>0</v>
      </c>
      <c r="EM22">
        <v>0</v>
      </c>
      <c r="EN22">
        <v>0</v>
      </c>
      <c r="EO22">
        <v>0</v>
      </c>
      <c r="EP22">
        <v>0</v>
      </c>
      <c r="EQ22">
        <v>0</v>
      </c>
      <c r="ER22">
        <v>0</v>
      </c>
      <c r="ES22">
        <v>0</v>
      </c>
      <c r="ET22">
        <v>0</v>
      </c>
      <c r="EU22">
        <v>0</v>
      </c>
      <c r="EV22">
        <v>0</v>
      </c>
      <c r="EW22">
        <v>0</v>
      </c>
      <c r="EX22">
        <v>0</v>
      </c>
      <c r="EY22">
        <v>0</v>
      </c>
      <c r="EZ22">
        <v>0</v>
      </c>
      <c r="FA22">
        <v>0</v>
      </c>
      <c r="FB22">
        <v>0</v>
      </c>
      <c r="FC22">
        <v>0</v>
      </c>
      <c r="FD22">
        <v>0</v>
      </c>
      <c r="FE22">
        <v>0</v>
      </c>
      <c r="FF22">
        <v>0</v>
      </c>
      <c r="FG22">
        <v>0</v>
      </c>
      <c r="FH22">
        <v>0</v>
      </c>
      <c r="FI22">
        <v>0</v>
      </c>
      <c r="FJ22">
        <v>0</v>
      </c>
      <c r="FK22">
        <v>0</v>
      </c>
      <c r="FL22">
        <v>0</v>
      </c>
      <c r="FM22">
        <v>0</v>
      </c>
      <c r="FN22">
        <v>0</v>
      </c>
      <c r="FO22">
        <v>0</v>
      </c>
      <c r="FP22">
        <v>0</v>
      </c>
      <c r="FQ22">
        <v>0</v>
      </c>
      <c r="FR22">
        <v>0</v>
      </c>
      <c r="FS22">
        <v>0</v>
      </c>
      <c r="FT22">
        <v>0</v>
      </c>
      <c r="FU22">
        <v>0</v>
      </c>
      <c r="FV22">
        <v>0</v>
      </c>
      <c r="FW22">
        <v>0</v>
      </c>
      <c r="FX22">
        <v>0</v>
      </c>
      <c r="FY22">
        <v>0</v>
      </c>
      <c r="FZ22">
        <v>0</v>
      </c>
      <c r="GA22">
        <v>0</v>
      </c>
      <c r="GB22">
        <v>0</v>
      </c>
      <c r="GC22">
        <v>0</v>
      </c>
      <c r="GD22">
        <v>0</v>
      </c>
      <c r="GE22">
        <v>0</v>
      </c>
      <c r="GF22">
        <v>0</v>
      </c>
      <c r="GG22">
        <v>0</v>
      </c>
      <c r="GH22">
        <v>0</v>
      </c>
      <c r="GI22">
        <v>0</v>
      </c>
      <c r="GJ22">
        <v>0</v>
      </c>
      <c r="GK22">
        <v>0</v>
      </c>
      <c r="GL22">
        <v>0</v>
      </c>
      <c r="GM22">
        <v>0</v>
      </c>
      <c r="GN22">
        <v>0</v>
      </c>
      <c r="GO22">
        <v>0</v>
      </c>
      <c r="GP22">
        <v>0</v>
      </c>
      <c r="GQ22">
        <v>0</v>
      </c>
      <c r="GR22">
        <v>0</v>
      </c>
      <c r="GS22">
        <v>0</v>
      </c>
      <c r="GT22">
        <v>0</v>
      </c>
      <c r="GU22">
        <v>0</v>
      </c>
      <c r="GV22">
        <v>0</v>
      </c>
      <c r="GW22">
        <v>0</v>
      </c>
      <c r="GX22">
        <v>0</v>
      </c>
      <c r="GY22">
        <v>0</v>
      </c>
      <c r="GZ22">
        <v>0</v>
      </c>
      <c r="HA22">
        <v>0</v>
      </c>
      <c r="HB22">
        <v>0</v>
      </c>
      <c r="HC22">
        <v>0</v>
      </c>
      <c r="HD22">
        <v>0</v>
      </c>
      <c r="HE22">
        <v>0</v>
      </c>
      <c r="HF22">
        <v>0</v>
      </c>
      <c r="HG22">
        <v>0</v>
      </c>
      <c r="HH22">
        <v>0</v>
      </c>
      <c r="HI22">
        <v>0</v>
      </c>
      <c r="HJ22">
        <v>0</v>
      </c>
      <c r="HK22">
        <v>0</v>
      </c>
      <c r="HL22">
        <v>0</v>
      </c>
      <c r="HM22">
        <v>0</v>
      </c>
      <c r="HN22">
        <v>0</v>
      </c>
      <c r="HO22">
        <v>0</v>
      </c>
      <c r="HP22">
        <v>0</v>
      </c>
      <c r="HQ22">
        <v>0</v>
      </c>
      <c r="HR22">
        <v>0</v>
      </c>
      <c r="HS22">
        <v>0</v>
      </c>
      <c r="HT22">
        <v>0</v>
      </c>
      <c r="HU22">
        <v>0</v>
      </c>
      <c r="HV22">
        <v>0</v>
      </c>
      <c r="HW22">
        <v>0</v>
      </c>
      <c r="HX22">
        <v>0</v>
      </c>
      <c r="HY22">
        <v>0</v>
      </c>
      <c r="HZ22">
        <v>0</v>
      </c>
      <c r="IA22">
        <v>0</v>
      </c>
      <c r="IB22">
        <v>0</v>
      </c>
      <c r="IC22">
        <v>0</v>
      </c>
      <c r="ID22">
        <v>0</v>
      </c>
      <c r="IE22">
        <v>0</v>
      </c>
      <c r="IF22">
        <v>0</v>
      </c>
      <c r="IG22">
        <v>0</v>
      </c>
      <c r="IH22">
        <v>0</v>
      </c>
      <c r="II22">
        <v>0</v>
      </c>
      <c r="IJ22">
        <v>0</v>
      </c>
      <c r="IK22">
        <v>0</v>
      </c>
      <c r="IL22">
        <v>0</v>
      </c>
      <c r="IM22">
        <v>0</v>
      </c>
      <c r="IN22">
        <v>0</v>
      </c>
      <c r="IO22">
        <v>0</v>
      </c>
      <c r="IP22">
        <v>0</v>
      </c>
      <c r="IQ22">
        <v>0</v>
      </c>
      <c r="IR22">
        <v>0</v>
      </c>
      <c r="IS22">
        <v>0</v>
      </c>
      <c r="IT22">
        <v>0</v>
      </c>
      <c r="IU22">
        <v>0</v>
      </c>
      <c r="IV22">
        <v>0</v>
      </c>
      <c r="IW22">
        <v>0</v>
      </c>
      <c r="IX22">
        <v>0</v>
      </c>
      <c r="IY22">
        <v>0</v>
      </c>
      <c r="IZ22">
        <v>0</v>
      </c>
      <c r="JA22">
        <v>0</v>
      </c>
      <c r="JB22">
        <v>0</v>
      </c>
      <c r="JC22">
        <v>0</v>
      </c>
      <c r="JD22">
        <v>0</v>
      </c>
      <c r="JE22">
        <v>0</v>
      </c>
      <c r="JF22">
        <v>0</v>
      </c>
      <c r="JG22">
        <v>0</v>
      </c>
      <c r="JH22">
        <v>0</v>
      </c>
      <c r="JI22">
        <v>0</v>
      </c>
      <c r="JJ22">
        <v>0</v>
      </c>
      <c r="JK22">
        <v>0</v>
      </c>
      <c r="JL22">
        <v>0</v>
      </c>
      <c r="JM22">
        <v>0</v>
      </c>
      <c r="JN22">
        <v>0</v>
      </c>
      <c r="JO22">
        <v>0</v>
      </c>
      <c r="JP22">
        <v>0</v>
      </c>
      <c r="JQ22">
        <v>0</v>
      </c>
      <c r="JR22">
        <v>0</v>
      </c>
      <c r="JS22">
        <v>0</v>
      </c>
      <c r="JT22">
        <v>0</v>
      </c>
      <c r="JU22">
        <v>0</v>
      </c>
      <c r="JV22">
        <v>0</v>
      </c>
      <c r="JW22">
        <v>0</v>
      </c>
      <c r="JX22">
        <v>0</v>
      </c>
      <c r="JY22">
        <v>0</v>
      </c>
      <c r="JZ22">
        <v>0</v>
      </c>
      <c r="KA22">
        <v>0</v>
      </c>
      <c r="KB22">
        <v>0</v>
      </c>
      <c r="KC22">
        <v>0</v>
      </c>
      <c r="KD22">
        <v>0</v>
      </c>
      <c r="KE22">
        <v>0</v>
      </c>
      <c r="KF22">
        <v>0</v>
      </c>
      <c r="KG22">
        <v>0</v>
      </c>
      <c r="KH22">
        <v>0</v>
      </c>
      <c r="KI22">
        <v>0</v>
      </c>
      <c r="KJ22">
        <v>0</v>
      </c>
      <c r="KK22">
        <v>0</v>
      </c>
      <c r="KL22">
        <v>0</v>
      </c>
      <c r="KM22">
        <v>0</v>
      </c>
      <c r="KN22">
        <v>0</v>
      </c>
      <c r="KO22">
        <v>0</v>
      </c>
      <c r="KP22">
        <v>0</v>
      </c>
      <c r="KQ22">
        <v>0</v>
      </c>
      <c r="KR22">
        <v>0</v>
      </c>
      <c r="KS22">
        <v>0</v>
      </c>
      <c r="KT22">
        <v>0</v>
      </c>
      <c r="KU22">
        <v>0</v>
      </c>
      <c r="KV22">
        <v>0</v>
      </c>
      <c r="KW22">
        <v>0</v>
      </c>
      <c r="KX22">
        <v>0</v>
      </c>
      <c r="KY22">
        <v>0</v>
      </c>
      <c r="KZ22">
        <v>0</v>
      </c>
      <c r="LA22">
        <v>0</v>
      </c>
      <c r="LB22">
        <v>0</v>
      </c>
      <c r="LC22">
        <v>0</v>
      </c>
      <c r="LD22">
        <v>0</v>
      </c>
      <c r="LE22">
        <v>0</v>
      </c>
      <c r="LF22">
        <v>0</v>
      </c>
      <c r="LG22">
        <v>0</v>
      </c>
      <c r="LH22">
        <v>0</v>
      </c>
      <c r="LI22">
        <v>0</v>
      </c>
      <c r="LJ22">
        <v>0</v>
      </c>
      <c r="LK22">
        <v>0</v>
      </c>
      <c r="LL22">
        <v>0</v>
      </c>
      <c r="LM22">
        <v>0</v>
      </c>
      <c r="LN22">
        <v>0</v>
      </c>
      <c r="LO22">
        <v>0</v>
      </c>
      <c r="LP22">
        <v>0</v>
      </c>
      <c r="LQ22">
        <v>0</v>
      </c>
      <c r="LR22">
        <v>0</v>
      </c>
      <c r="LS22">
        <v>0</v>
      </c>
      <c r="LT22">
        <v>0</v>
      </c>
      <c r="LU22">
        <v>0</v>
      </c>
      <c r="LV22">
        <v>0</v>
      </c>
      <c r="LW22">
        <v>0</v>
      </c>
      <c r="LX22">
        <v>0</v>
      </c>
      <c r="LY22">
        <v>0</v>
      </c>
      <c r="LZ22">
        <v>0</v>
      </c>
      <c r="MA22">
        <v>0</v>
      </c>
      <c r="MB22">
        <v>0</v>
      </c>
      <c r="MC22">
        <v>0</v>
      </c>
      <c r="MD22">
        <v>0</v>
      </c>
      <c r="ME22">
        <v>0</v>
      </c>
      <c r="MF22">
        <v>0</v>
      </c>
      <c r="MG22">
        <v>0</v>
      </c>
      <c r="MH22">
        <v>0</v>
      </c>
      <c r="MI22">
        <v>0</v>
      </c>
      <c r="MJ22">
        <v>0</v>
      </c>
      <c r="MK22">
        <v>0</v>
      </c>
      <c r="ML22">
        <v>0</v>
      </c>
      <c r="MM22">
        <v>0</v>
      </c>
      <c r="MN22">
        <v>0</v>
      </c>
      <c r="MO22">
        <v>0</v>
      </c>
      <c r="MP22">
        <v>0</v>
      </c>
      <c r="MQ22">
        <v>0</v>
      </c>
      <c r="MR22">
        <v>0</v>
      </c>
      <c r="MS22">
        <v>0</v>
      </c>
      <c r="MT22">
        <v>0</v>
      </c>
      <c r="MU22">
        <v>0</v>
      </c>
      <c r="MV22">
        <v>0</v>
      </c>
      <c r="MW22">
        <v>0</v>
      </c>
      <c r="MX22">
        <v>0</v>
      </c>
      <c r="MY22">
        <v>0</v>
      </c>
      <c r="MZ22">
        <v>0</v>
      </c>
      <c r="NA22">
        <v>0</v>
      </c>
      <c r="NB22">
        <v>0</v>
      </c>
      <c r="NC22">
        <v>0</v>
      </c>
      <c r="ND22">
        <v>0</v>
      </c>
      <c r="NE22">
        <v>0</v>
      </c>
    </row>
    <row r="23" spans="5:369" x14ac:dyDescent="0.45">
      <c r="E23">
        <v>0</v>
      </c>
      <c r="F23">
        <v>0</v>
      </c>
      <c r="G23">
        <v>0</v>
      </c>
      <c r="H23">
        <v>0</v>
      </c>
      <c r="I23">
        <v>0</v>
      </c>
      <c r="J23">
        <v>0</v>
      </c>
      <c r="K23">
        <v>0</v>
      </c>
      <c r="L23">
        <v>0</v>
      </c>
      <c r="M23">
        <v>0</v>
      </c>
      <c r="N23" t="str">
        <v/>
      </c>
      <c r="O23" t="str">
        <v/>
      </c>
      <c r="P23" t="str">
        <v/>
      </c>
      <c r="Q23" t="str">
        <v/>
      </c>
      <c r="R23" t="str">
        <v/>
      </c>
      <c r="S23" t="str">
        <v/>
      </c>
      <c r="T23" t="str">
        <v/>
      </c>
      <c r="U23">
        <v>0</v>
      </c>
      <c r="V23">
        <v>0</v>
      </c>
      <c r="W23">
        <v>0</v>
      </c>
      <c r="X23">
        <v>0</v>
      </c>
      <c r="Y23">
        <v>0</v>
      </c>
      <c r="Z23">
        <v>0</v>
      </c>
      <c r="AA23">
        <v>0</v>
      </c>
      <c r="AB23">
        <v>0</v>
      </c>
      <c r="AC23">
        <v>0</v>
      </c>
      <c r="AD23">
        <v>0</v>
      </c>
      <c r="AE23">
        <v>0</v>
      </c>
      <c r="AF23">
        <v>0</v>
      </c>
      <c r="AG23">
        <v>0</v>
      </c>
      <c r="AH23">
        <v>0</v>
      </c>
      <c r="AI23">
        <v>0</v>
      </c>
      <c r="AJ23">
        <v>0</v>
      </c>
      <c r="AK23">
        <v>0</v>
      </c>
      <c r="AL23">
        <v>0</v>
      </c>
      <c r="AM23">
        <v>0</v>
      </c>
      <c r="AN23" s="5">
        <v>0</v>
      </c>
      <c r="AO23" t="str">
        <v>A120</v>
      </c>
      <c r="AP23" t="str">
        <v>MOHAMMED NAFIH</v>
      </c>
      <c r="AQ23" t="str">
        <v>DAHF</v>
      </c>
      <c r="AR23" t="str">
        <v>SUB JUNIOR</v>
      </c>
      <c r="AS23">
        <v>1</v>
      </c>
      <c r="AT23">
        <v>5</v>
      </c>
      <c r="AU23">
        <v>0</v>
      </c>
      <c r="AV23">
        <v>5</v>
      </c>
      <c r="AW23">
        <v>5</v>
      </c>
      <c r="AX23">
        <v>190</v>
      </c>
      <c r="AY23" s="5">
        <v>190</v>
      </c>
      <c r="AZ23" t="str">
        <v>SJ21</v>
      </c>
      <c r="BA23" t="str">
        <v>WATER PAINTING</v>
      </c>
      <c r="BB23" t="str">
        <v>SUB JUNIOR</v>
      </c>
      <c r="BC23" t="str">
        <v>Single</v>
      </c>
      <c r="BD23" t="str">
        <v>Non-Stg</v>
      </c>
      <c r="BE23">
        <v>2</v>
      </c>
      <c r="BF23" t="str">
        <v>Individual</v>
      </c>
      <c r="BG23" t="str">
        <v>Individual</v>
      </c>
      <c r="BH23" t="str">
        <v>P</v>
      </c>
      <c r="BI23" t="str">
        <v>PUBLISHED</v>
      </c>
      <c r="BK23">
        <v>17</v>
      </c>
      <c r="BL23" t="str">
        <v>SJ17</v>
      </c>
      <c r="BM23" t="str">
        <v>STORY COMPLETION MLM</v>
      </c>
      <c r="BN23">
        <v>3</v>
      </c>
      <c r="BO23" t="str">
        <v>Single</v>
      </c>
      <c r="BP23" t="str">
        <v>Non-Stg</v>
      </c>
      <c r="BQ23" t="str">
        <v>SUB JUNIOR</v>
      </c>
      <c r="BR23" t="str">
        <v>A122</v>
      </c>
      <c r="BS23" t="str">
        <v>A139</v>
      </c>
      <c r="BT23" t="str">
        <v>A153</v>
      </c>
      <c r="BU23">
        <v>0</v>
      </c>
      <c r="BV23">
        <v>0</v>
      </c>
      <c r="BW23">
        <v>0</v>
      </c>
      <c r="BX23">
        <v>0</v>
      </c>
      <c r="BY23" t="str">
        <v>A147</v>
      </c>
      <c r="BZ23" t="str">
        <v>A125</v>
      </c>
      <c r="CA23" t="str">
        <v>A137</v>
      </c>
      <c r="CB23">
        <v>0</v>
      </c>
      <c r="CC23">
        <v>0</v>
      </c>
      <c r="CD23">
        <v>0</v>
      </c>
      <c r="CE23">
        <v>0</v>
      </c>
      <c r="CF23" t="str">
        <v>A142</v>
      </c>
      <c r="CG23" t="str">
        <v>A163</v>
      </c>
      <c r="CH23" t="str">
        <v>A167</v>
      </c>
      <c r="CI23">
        <v>0</v>
      </c>
      <c r="CJ23">
        <v>0</v>
      </c>
      <c r="CK23">
        <v>0</v>
      </c>
      <c r="CL23">
        <v>0</v>
      </c>
      <c r="CM23" t="str">
        <v>A101</v>
      </c>
      <c r="CN23" t="str">
        <v>A155</v>
      </c>
      <c r="CO23" t="str">
        <v>A159</v>
      </c>
      <c r="CP23">
        <v>0</v>
      </c>
      <c r="CQ23">
        <v>0</v>
      </c>
      <c r="CR23">
        <v>0</v>
      </c>
      <c r="CS23">
        <v>0</v>
      </c>
      <c r="CT23">
        <v>0</v>
      </c>
      <c r="CU23">
        <v>0</v>
      </c>
      <c r="CV23">
        <v>0</v>
      </c>
      <c r="CW23">
        <v>0</v>
      </c>
      <c r="CX23">
        <v>0</v>
      </c>
      <c r="CY23">
        <v>0</v>
      </c>
      <c r="CZ23">
        <v>0</v>
      </c>
      <c r="DA23">
        <v>0</v>
      </c>
      <c r="DB23">
        <v>0</v>
      </c>
      <c r="DC23">
        <v>0</v>
      </c>
      <c r="DD23">
        <v>0</v>
      </c>
      <c r="DE23">
        <v>0</v>
      </c>
      <c r="DF23">
        <v>0</v>
      </c>
      <c r="DG23">
        <v>0</v>
      </c>
      <c r="DH23">
        <v>0</v>
      </c>
      <c r="DI23">
        <v>0</v>
      </c>
      <c r="DJ23">
        <v>0</v>
      </c>
      <c r="DK23">
        <v>0</v>
      </c>
      <c r="DL23">
        <v>0</v>
      </c>
      <c r="DM23">
        <v>0</v>
      </c>
      <c r="DN23">
        <v>0</v>
      </c>
      <c r="DO23">
        <v>0</v>
      </c>
      <c r="DP23">
        <v>0</v>
      </c>
      <c r="DQ23">
        <v>0</v>
      </c>
      <c r="DR23">
        <v>0</v>
      </c>
      <c r="DS23">
        <v>0</v>
      </c>
      <c r="DT23">
        <v>0</v>
      </c>
      <c r="DU23">
        <v>0</v>
      </c>
      <c r="DV23">
        <v>0</v>
      </c>
      <c r="DW23">
        <v>0</v>
      </c>
      <c r="DX23">
        <v>0</v>
      </c>
      <c r="DY23">
        <v>0</v>
      </c>
      <c r="DZ23">
        <v>0</v>
      </c>
      <c r="EA23">
        <v>0</v>
      </c>
      <c r="EB23">
        <v>0</v>
      </c>
      <c r="EC23">
        <v>0</v>
      </c>
      <c r="ED23">
        <v>0</v>
      </c>
      <c r="EE23">
        <v>0</v>
      </c>
      <c r="EF23">
        <v>0</v>
      </c>
      <c r="EG23">
        <v>0</v>
      </c>
      <c r="EH23">
        <v>0</v>
      </c>
      <c r="EI23">
        <v>0</v>
      </c>
      <c r="EJ23">
        <v>0</v>
      </c>
      <c r="EK23">
        <v>0</v>
      </c>
      <c r="EL23">
        <v>0</v>
      </c>
      <c r="EM23">
        <v>0</v>
      </c>
      <c r="EN23">
        <v>0</v>
      </c>
      <c r="EO23">
        <v>0</v>
      </c>
      <c r="EP23">
        <v>0</v>
      </c>
      <c r="EQ23">
        <v>0</v>
      </c>
      <c r="ER23">
        <v>0</v>
      </c>
      <c r="ES23">
        <v>0</v>
      </c>
      <c r="ET23">
        <v>0</v>
      </c>
      <c r="EU23">
        <v>0</v>
      </c>
      <c r="EV23">
        <v>0</v>
      </c>
      <c r="EW23">
        <v>0</v>
      </c>
      <c r="EX23">
        <v>0</v>
      </c>
      <c r="EY23">
        <v>0</v>
      </c>
      <c r="EZ23">
        <v>0</v>
      </c>
      <c r="FA23">
        <v>0</v>
      </c>
      <c r="FB23">
        <v>0</v>
      </c>
      <c r="FC23">
        <v>0</v>
      </c>
      <c r="FD23">
        <v>0</v>
      </c>
      <c r="FE23">
        <v>0</v>
      </c>
      <c r="FF23">
        <v>0</v>
      </c>
      <c r="FG23">
        <v>0</v>
      </c>
      <c r="FH23">
        <v>0</v>
      </c>
      <c r="FI23">
        <v>0</v>
      </c>
      <c r="FJ23">
        <v>0</v>
      </c>
      <c r="FK23">
        <v>0</v>
      </c>
      <c r="FL23">
        <v>0</v>
      </c>
      <c r="FM23">
        <v>0</v>
      </c>
      <c r="FN23">
        <v>0</v>
      </c>
      <c r="FO23">
        <v>0</v>
      </c>
      <c r="FP23">
        <v>0</v>
      </c>
      <c r="FQ23">
        <v>0</v>
      </c>
      <c r="FR23">
        <v>0</v>
      </c>
      <c r="FS23">
        <v>0</v>
      </c>
      <c r="FT23">
        <v>0</v>
      </c>
      <c r="FU23">
        <v>0</v>
      </c>
      <c r="FV23">
        <v>0</v>
      </c>
      <c r="FW23">
        <v>0</v>
      </c>
      <c r="FX23">
        <v>0</v>
      </c>
      <c r="FY23">
        <v>0</v>
      </c>
      <c r="FZ23">
        <v>0</v>
      </c>
      <c r="GA23">
        <v>0</v>
      </c>
      <c r="GB23">
        <v>0</v>
      </c>
      <c r="GC23">
        <v>0</v>
      </c>
      <c r="GD23">
        <v>0</v>
      </c>
      <c r="GE23">
        <v>0</v>
      </c>
      <c r="GF23">
        <v>0</v>
      </c>
      <c r="GG23">
        <v>0</v>
      </c>
      <c r="GH23">
        <v>0</v>
      </c>
      <c r="GI23">
        <v>0</v>
      </c>
      <c r="GJ23">
        <v>0</v>
      </c>
      <c r="GK23">
        <v>0</v>
      </c>
      <c r="GL23">
        <v>0</v>
      </c>
      <c r="GM23">
        <v>0</v>
      </c>
      <c r="GN23">
        <v>0</v>
      </c>
      <c r="GO23">
        <v>0</v>
      </c>
      <c r="GP23">
        <v>0</v>
      </c>
      <c r="GQ23">
        <v>0</v>
      </c>
      <c r="GR23">
        <v>0</v>
      </c>
      <c r="GS23">
        <v>0</v>
      </c>
      <c r="GT23">
        <v>0</v>
      </c>
      <c r="GU23">
        <v>0</v>
      </c>
      <c r="GV23">
        <v>0</v>
      </c>
      <c r="GW23">
        <v>0</v>
      </c>
      <c r="GX23">
        <v>0</v>
      </c>
      <c r="GY23">
        <v>0</v>
      </c>
      <c r="GZ23">
        <v>0</v>
      </c>
      <c r="HA23">
        <v>0</v>
      </c>
      <c r="HB23">
        <v>0</v>
      </c>
      <c r="HC23">
        <v>0</v>
      </c>
      <c r="HD23">
        <v>0</v>
      </c>
      <c r="HE23">
        <v>0</v>
      </c>
      <c r="HF23">
        <v>0</v>
      </c>
      <c r="HG23">
        <v>0</v>
      </c>
      <c r="HH23">
        <v>0</v>
      </c>
      <c r="HI23">
        <v>0</v>
      </c>
      <c r="HJ23">
        <v>0</v>
      </c>
      <c r="HK23">
        <v>0</v>
      </c>
      <c r="HL23">
        <v>0</v>
      </c>
      <c r="HM23">
        <v>0</v>
      </c>
      <c r="HN23">
        <v>0</v>
      </c>
      <c r="HO23">
        <v>0</v>
      </c>
      <c r="HP23">
        <v>0</v>
      </c>
      <c r="HQ23">
        <v>0</v>
      </c>
      <c r="HR23">
        <v>0</v>
      </c>
      <c r="HS23">
        <v>0</v>
      </c>
      <c r="HT23">
        <v>0</v>
      </c>
      <c r="HU23">
        <v>0</v>
      </c>
      <c r="HV23">
        <v>0</v>
      </c>
      <c r="HW23">
        <v>0</v>
      </c>
      <c r="HX23">
        <v>0</v>
      </c>
      <c r="HY23">
        <v>0</v>
      </c>
      <c r="HZ23">
        <v>0</v>
      </c>
      <c r="IA23">
        <v>0</v>
      </c>
      <c r="IB23">
        <v>0</v>
      </c>
      <c r="IC23">
        <v>0</v>
      </c>
      <c r="ID23">
        <v>0</v>
      </c>
      <c r="IE23">
        <v>0</v>
      </c>
      <c r="IF23">
        <v>0</v>
      </c>
      <c r="IG23">
        <v>0</v>
      </c>
      <c r="IH23">
        <v>0</v>
      </c>
      <c r="II23">
        <v>0</v>
      </c>
      <c r="IJ23">
        <v>0</v>
      </c>
      <c r="IK23">
        <v>0</v>
      </c>
      <c r="IL23">
        <v>0</v>
      </c>
      <c r="IM23">
        <v>0</v>
      </c>
      <c r="IN23">
        <v>0</v>
      </c>
      <c r="IO23">
        <v>0</v>
      </c>
      <c r="IP23">
        <v>0</v>
      </c>
      <c r="IQ23">
        <v>0</v>
      </c>
      <c r="IR23">
        <v>0</v>
      </c>
      <c r="IS23">
        <v>0</v>
      </c>
      <c r="IT23">
        <v>0</v>
      </c>
      <c r="IU23">
        <v>0</v>
      </c>
      <c r="IV23">
        <v>0</v>
      </c>
      <c r="IW23">
        <v>0</v>
      </c>
      <c r="IX23">
        <v>0</v>
      </c>
      <c r="IY23">
        <v>0</v>
      </c>
      <c r="IZ23">
        <v>0</v>
      </c>
      <c r="JA23">
        <v>0</v>
      </c>
      <c r="JB23">
        <v>0</v>
      </c>
      <c r="JC23">
        <v>0</v>
      </c>
      <c r="JD23">
        <v>0</v>
      </c>
      <c r="JE23">
        <v>0</v>
      </c>
      <c r="JF23">
        <v>0</v>
      </c>
      <c r="JG23">
        <v>0</v>
      </c>
      <c r="JH23">
        <v>0</v>
      </c>
      <c r="JI23">
        <v>0</v>
      </c>
      <c r="JJ23">
        <v>0</v>
      </c>
      <c r="JK23">
        <v>0</v>
      </c>
      <c r="JL23">
        <v>0</v>
      </c>
      <c r="JM23">
        <v>0</v>
      </c>
      <c r="JN23">
        <v>0</v>
      </c>
      <c r="JO23">
        <v>0</v>
      </c>
      <c r="JP23">
        <v>0</v>
      </c>
      <c r="JQ23">
        <v>0</v>
      </c>
      <c r="JR23">
        <v>0</v>
      </c>
      <c r="JS23">
        <v>0</v>
      </c>
      <c r="JT23">
        <v>0</v>
      </c>
      <c r="JU23">
        <v>0</v>
      </c>
      <c r="JV23">
        <v>0</v>
      </c>
      <c r="JW23">
        <v>0</v>
      </c>
      <c r="JX23">
        <v>0</v>
      </c>
      <c r="JY23">
        <v>0</v>
      </c>
      <c r="JZ23">
        <v>0</v>
      </c>
      <c r="KA23">
        <v>0</v>
      </c>
      <c r="KB23">
        <v>0</v>
      </c>
      <c r="KC23">
        <v>0</v>
      </c>
      <c r="KD23">
        <v>0</v>
      </c>
      <c r="KE23">
        <v>0</v>
      </c>
      <c r="KF23">
        <v>0</v>
      </c>
      <c r="KG23">
        <v>0</v>
      </c>
      <c r="KH23">
        <v>0</v>
      </c>
      <c r="KI23">
        <v>0</v>
      </c>
      <c r="KJ23">
        <v>0</v>
      </c>
      <c r="KK23">
        <v>0</v>
      </c>
      <c r="KL23">
        <v>0</v>
      </c>
      <c r="KM23">
        <v>0</v>
      </c>
      <c r="KN23">
        <v>0</v>
      </c>
      <c r="KO23">
        <v>0</v>
      </c>
      <c r="KP23">
        <v>0</v>
      </c>
      <c r="KQ23">
        <v>0</v>
      </c>
      <c r="KR23">
        <v>0</v>
      </c>
      <c r="KS23">
        <v>0</v>
      </c>
      <c r="KT23">
        <v>0</v>
      </c>
      <c r="KU23">
        <v>0</v>
      </c>
      <c r="KV23">
        <v>0</v>
      </c>
      <c r="KW23">
        <v>0</v>
      </c>
      <c r="KX23">
        <v>0</v>
      </c>
      <c r="KY23">
        <v>0</v>
      </c>
      <c r="KZ23">
        <v>0</v>
      </c>
      <c r="LA23">
        <v>0</v>
      </c>
      <c r="LB23">
        <v>0</v>
      </c>
      <c r="LC23">
        <v>0</v>
      </c>
      <c r="LD23">
        <v>0</v>
      </c>
      <c r="LE23">
        <v>0</v>
      </c>
      <c r="LF23">
        <v>0</v>
      </c>
      <c r="LG23">
        <v>0</v>
      </c>
      <c r="LH23">
        <v>0</v>
      </c>
      <c r="LI23">
        <v>0</v>
      </c>
      <c r="LJ23">
        <v>0</v>
      </c>
      <c r="LK23">
        <v>0</v>
      </c>
      <c r="LL23">
        <v>0</v>
      </c>
      <c r="LM23">
        <v>0</v>
      </c>
      <c r="LN23">
        <v>0</v>
      </c>
      <c r="LO23">
        <v>0</v>
      </c>
      <c r="LP23">
        <v>0</v>
      </c>
      <c r="LQ23">
        <v>0</v>
      </c>
      <c r="LR23">
        <v>0</v>
      </c>
      <c r="LS23">
        <v>0</v>
      </c>
      <c r="LT23">
        <v>0</v>
      </c>
      <c r="LU23">
        <v>0</v>
      </c>
      <c r="LV23">
        <v>0</v>
      </c>
      <c r="LW23">
        <v>0</v>
      </c>
      <c r="LX23">
        <v>0</v>
      </c>
      <c r="LY23">
        <v>0</v>
      </c>
      <c r="LZ23">
        <v>0</v>
      </c>
      <c r="MA23">
        <v>0</v>
      </c>
      <c r="MB23">
        <v>0</v>
      </c>
      <c r="MC23">
        <v>0</v>
      </c>
      <c r="MD23">
        <v>0</v>
      </c>
      <c r="ME23">
        <v>0</v>
      </c>
      <c r="MF23">
        <v>0</v>
      </c>
      <c r="MG23">
        <v>0</v>
      </c>
      <c r="MH23">
        <v>0</v>
      </c>
      <c r="MI23">
        <v>0</v>
      </c>
      <c r="MJ23">
        <v>0</v>
      </c>
      <c r="MK23">
        <v>0</v>
      </c>
      <c r="ML23">
        <v>0</v>
      </c>
      <c r="MM23">
        <v>0</v>
      </c>
      <c r="MN23">
        <v>0</v>
      </c>
      <c r="MO23">
        <v>0</v>
      </c>
      <c r="MP23">
        <v>0</v>
      </c>
      <c r="MQ23">
        <v>0</v>
      </c>
      <c r="MR23">
        <v>0</v>
      </c>
      <c r="MS23">
        <v>0</v>
      </c>
      <c r="MT23">
        <v>0</v>
      </c>
      <c r="MU23">
        <v>0</v>
      </c>
      <c r="MV23">
        <v>0</v>
      </c>
      <c r="MW23">
        <v>0</v>
      </c>
      <c r="MX23">
        <v>0</v>
      </c>
      <c r="MY23">
        <v>0</v>
      </c>
      <c r="MZ23">
        <v>0</v>
      </c>
      <c r="NA23">
        <v>0</v>
      </c>
      <c r="NB23">
        <v>0</v>
      </c>
      <c r="NC23">
        <v>0</v>
      </c>
      <c r="ND23">
        <v>0</v>
      </c>
      <c r="NE23">
        <v>0</v>
      </c>
    </row>
    <row r="24" spans="5:369" x14ac:dyDescent="0.45">
      <c r="E24">
        <v>0</v>
      </c>
      <c r="F24">
        <v>0</v>
      </c>
      <c r="G24">
        <v>0</v>
      </c>
      <c r="H24">
        <v>0</v>
      </c>
      <c r="I24">
        <v>0</v>
      </c>
      <c r="J24">
        <v>0</v>
      </c>
      <c r="K24">
        <v>0</v>
      </c>
      <c r="L24">
        <v>0</v>
      </c>
      <c r="M24">
        <v>0</v>
      </c>
      <c r="N24" t="str">
        <v/>
      </c>
      <c r="O24" t="str">
        <v/>
      </c>
      <c r="P24" t="str">
        <v/>
      </c>
      <c r="Q24" t="str">
        <v/>
      </c>
      <c r="R24" t="str">
        <v/>
      </c>
      <c r="S24" t="str">
        <v/>
      </c>
      <c r="T24" t="str">
        <v/>
      </c>
      <c r="U24">
        <v>0</v>
      </c>
      <c r="V24">
        <v>0</v>
      </c>
      <c r="W24">
        <v>0</v>
      </c>
      <c r="X24">
        <v>0</v>
      </c>
      <c r="Y24">
        <v>0</v>
      </c>
      <c r="Z24">
        <v>0</v>
      </c>
      <c r="AA24">
        <v>0</v>
      </c>
      <c r="AB24">
        <v>0</v>
      </c>
      <c r="AC24">
        <v>0</v>
      </c>
      <c r="AD24">
        <v>0</v>
      </c>
      <c r="AE24">
        <v>0</v>
      </c>
      <c r="AF24">
        <v>0</v>
      </c>
      <c r="AG24">
        <v>0</v>
      </c>
      <c r="AH24">
        <v>0</v>
      </c>
      <c r="AI24">
        <v>0</v>
      </c>
      <c r="AJ24">
        <v>0</v>
      </c>
      <c r="AK24">
        <v>0</v>
      </c>
      <c r="AL24">
        <v>0</v>
      </c>
      <c r="AM24">
        <v>0</v>
      </c>
      <c r="AN24" s="5">
        <v>0</v>
      </c>
      <c r="AO24" t="str">
        <v>A121</v>
      </c>
      <c r="AP24" t="str">
        <v>BEERAN MUEENUDHEEN MH</v>
      </c>
      <c r="AQ24" t="str">
        <v>JARF</v>
      </c>
      <c r="AR24" t="str">
        <v>SUB JUNIOR</v>
      </c>
      <c r="AS24">
        <v>1</v>
      </c>
      <c r="AT24">
        <v>19</v>
      </c>
      <c r="AU24">
        <v>0</v>
      </c>
      <c r="AV24">
        <v>19</v>
      </c>
      <c r="AW24">
        <v>19</v>
      </c>
      <c r="AX24">
        <v>79</v>
      </c>
      <c r="AY24" s="5">
        <v>79</v>
      </c>
      <c r="AZ24" t="str">
        <v>SJ22</v>
      </c>
      <c r="BA24" t="str">
        <v>GEO GIANT</v>
      </c>
      <c r="BB24" t="str">
        <v>SUB JUNIOR</v>
      </c>
      <c r="BC24" t="str">
        <v>Single</v>
      </c>
      <c r="BD24" t="str">
        <v>Stage</v>
      </c>
      <c r="BE24">
        <v>3</v>
      </c>
      <c r="BF24" t="str">
        <v>Master</v>
      </c>
      <c r="BG24" t="str">
        <v>Master</v>
      </c>
      <c r="BH24" t="str">
        <v>P</v>
      </c>
      <c r="BI24" t="str">
        <v>PUBLISHED</v>
      </c>
      <c r="BK24">
        <v>18</v>
      </c>
      <c r="BL24" t="str">
        <v>SJ18</v>
      </c>
      <c r="BM24" t="str">
        <v>SUDOKU</v>
      </c>
      <c r="BN24">
        <v>3</v>
      </c>
      <c r="BO24" t="str">
        <v>Single</v>
      </c>
      <c r="BP24" t="str">
        <v>Non-Stg</v>
      </c>
      <c r="BQ24" t="str">
        <v>SUB JUNIOR</v>
      </c>
      <c r="BR24" t="str">
        <v>A107</v>
      </c>
      <c r="BS24" t="str">
        <v>A129</v>
      </c>
      <c r="BT24" t="str">
        <v>A139</v>
      </c>
      <c r="BU24">
        <v>0</v>
      </c>
      <c r="BV24">
        <v>0</v>
      </c>
      <c r="BW24">
        <v>0</v>
      </c>
      <c r="BX24">
        <v>0</v>
      </c>
      <c r="BY24" t="str">
        <v>A147</v>
      </c>
      <c r="BZ24" t="str">
        <v>A164</v>
      </c>
      <c r="CA24" t="str">
        <v>A113</v>
      </c>
      <c r="CB24">
        <v>0</v>
      </c>
      <c r="CC24">
        <v>0</v>
      </c>
      <c r="CD24">
        <v>0</v>
      </c>
      <c r="CE24">
        <v>0</v>
      </c>
      <c r="CF24" t="str">
        <v>A148</v>
      </c>
      <c r="CG24" t="str">
        <v>A163</v>
      </c>
      <c r="CH24" t="str">
        <v>A173</v>
      </c>
      <c r="CI24">
        <v>0</v>
      </c>
      <c r="CJ24">
        <v>0</v>
      </c>
      <c r="CK24">
        <v>0</v>
      </c>
      <c r="CL24">
        <v>0</v>
      </c>
      <c r="CM24" t="str">
        <v>A123</v>
      </c>
      <c r="CN24" t="str">
        <v>A149</v>
      </c>
      <c r="CO24" t="str">
        <v>A155</v>
      </c>
      <c r="CP24">
        <v>0</v>
      </c>
      <c r="CQ24">
        <v>0</v>
      </c>
      <c r="CR24">
        <v>0</v>
      </c>
      <c r="CS24">
        <v>0</v>
      </c>
      <c r="CT24">
        <v>0</v>
      </c>
      <c r="CU24">
        <v>0</v>
      </c>
      <c r="CV24">
        <v>0</v>
      </c>
      <c r="CW24">
        <v>0</v>
      </c>
      <c r="CX24">
        <v>0</v>
      </c>
      <c r="CY24">
        <v>0</v>
      </c>
      <c r="CZ24">
        <v>0</v>
      </c>
      <c r="DA24">
        <v>0</v>
      </c>
      <c r="DB24">
        <v>0</v>
      </c>
      <c r="DC24">
        <v>0</v>
      </c>
      <c r="DD24">
        <v>0</v>
      </c>
      <c r="DE24">
        <v>0</v>
      </c>
      <c r="DF24">
        <v>0</v>
      </c>
      <c r="DG24">
        <v>0</v>
      </c>
      <c r="DH24">
        <v>0</v>
      </c>
      <c r="DI24">
        <v>0</v>
      </c>
      <c r="DJ24">
        <v>0</v>
      </c>
      <c r="DK24">
        <v>0</v>
      </c>
      <c r="DL24">
        <v>0</v>
      </c>
      <c r="DM24">
        <v>0</v>
      </c>
      <c r="DN24">
        <v>0</v>
      </c>
      <c r="DO24">
        <v>0</v>
      </c>
      <c r="DP24">
        <v>0</v>
      </c>
      <c r="DQ24">
        <v>0</v>
      </c>
      <c r="DR24">
        <v>0</v>
      </c>
      <c r="DS24">
        <v>0</v>
      </c>
      <c r="DT24">
        <v>0</v>
      </c>
      <c r="DU24">
        <v>0</v>
      </c>
      <c r="DV24">
        <v>0</v>
      </c>
      <c r="DW24">
        <v>0</v>
      </c>
      <c r="DX24">
        <v>0</v>
      </c>
      <c r="DY24">
        <v>0</v>
      </c>
      <c r="DZ24">
        <v>0</v>
      </c>
      <c r="EA24">
        <v>0</v>
      </c>
      <c r="EB24">
        <v>0</v>
      </c>
      <c r="EC24">
        <v>0</v>
      </c>
      <c r="ED24">
        <v>0</v>
      </c>
      <c r="EE24">
        <v>0</v>
      </c>
      <c r="EF24">
        <v>0</v>
      </c>
      <c r="EG24">
        <v>0</v>
      </c>
      <c r="EH24">
        <v>0</v>
      </c>
      <c r="EI24">
        <v>0</v>
      </c>
      <c r="EJ24">
        <v>0</v>
      </c>
      <c r="EK24">
        <v>0</v>
      </c>
      <c r="EL24">
        <v>0</v>
      </c>
      <c r="EM24">
        <v>0</v>
      </c>
      <c r="EN24">
        <v>0</v>
      </c>
      <c r="EO24">
        <v>0</v>
      </c>
      <c r="EP24">
        <v>0</v>
      </c>
      <c r="EQ24">
        <v>0</v>
      </c>
      <c r="ER24">
        <v>0</v>
      </c>
      <c r="ES24">
        <v>0</v>
      </c>
      <c r="ET24">
        <v>0</v>
      </c>
      <c r="EU24">
        <v>0</v>
      </c>
      <c r="EV24">
        <v>0</v>
      </c>
      <c r="EW24">
        <v>0</v>
      </c>
      <c r="EX24">
        <v>0</v>
      </c>
      <c r="EY24">
        <v>0</v>
      </c>
      <c r="EZ24">
        <v>0</v>
      </c>
      <c r="FA24">
        <v>0</v>
      </c>
      <c r="FB24">
        <v>0</v>
      </c>
      <c r="FC24">
        <v>0</v>
      </c>
      <c r="FD24">
        <v>0</v>
      </c>
      <c r="FE24">
        <v>0</v>
      </c>
      <c r="FF24">
        <v>0</v>
      </c>
      <c r="FG24">
        <v>0</v>
      </c>
      <c r="FH24">
        <v>0</v>
      </c>
      <c r="FI24">
        <v>0</v>
      </c>
      <c r="FJ24">
        <v>0</v>
      </c>
      <c r="FK24">
        <v>0</v>
      </c>
      <c r="FL24">
        <v>0</v>
      </c>
      <c r="FM24">
        <v>0</v>
      </c>
      <c r="FN24">
        <v>0</v>
      </c>
      <c r="FO24">
        <v>0</v>
      </c>
      <c r="FP24">
        <v>0</v>
      </c>
      <c r="FQ24">
        <v>0</v>
      </c>
      <c r="FR24">
        <v>0</v>
      </c>
      <c r="FS24">
        <v>0</v>
      </c>
      <c r="FT24">
        <v>0</v>
      </c>
      <c r="FU24">
        <v>0</v>
      </c>
      <c r="FV24">
        <v>0</v>
      </c>
      <c r="FW24">
        <v>0</v>
      </c>
      <c r="FX24">
        <v>0</v>
      </c>
      <c r="FY24">
        <v>0</v>
      </c>
      <c r="FZ24">
        <v>0</v>
      </c>
      <c r="GA24">
        <v>0</v>
      </c>
      <c r="GB24">
        <v>0</v>
      </c>
      <c r="GC24">
        <v>0</v>
      </c>
      <c r="GD24">
        <v>0</v>
      </c>
      <c r="GE24">
        <v>0</v>
      </c>
      <c r="GF24">
        <v>0</v>
      </c>
      <c r="GG24">
        <v>0</v>
      </c>
      <c r="GH24">
        <v>0</v>
      </c>
      <c r="GI24">
        <v>0</v>
      </c>
      <c r="GJ24">
        <v>0</v>
      </c>
      <c r="GK24">
        <v>0</v>
      </c>
      <c r="GL24">
        <v>0</v>
      </c>
      <c r="GM24">
        <v>0</v>
      </c>
      <c r="GN24">
        <v>0</v>
      </c>
      <c r="GO24">
        <v>0</v>
      </c>
      <c r="GP24">
        <v>0</v>
      </c>
      <c r="GQ24">
        <v>0</v>
      </c>
      <c r="GR24">
        <v>0</v>
      </c>
      <c r="GS24">
        <v>0</v>
      </c>
      <c r="GT24">
        <v>0</v>
      </c>
      <c r="GU24">
        <v>0</v>
      </c>
      <c r="GV24">
        <v>0</v>
      </c>
      <c r="GW24">
        <v>0</v>
      </c>
      <c r="GX24">
        <v>0</v>
      </c>
      <c r="GY24">
        <v>0</v>
      </c>
      <c r="GZ24">
        <v>0</v>
      </c>
      <c r="HA24">
        <v>0</v>
      </c>
      <c r="HB24">
        <v>0</v>
      </c>
      <c r="HC24">
        <v>0</v>
      </c>
      <c r="HD24">
        <v>0</v>
      </c>
      <c r="HE24">
        <v>0</v>
      </c>
      <c r="HF24">
        <v>0</v>
      </c>
      <c r="HG24">
        <v>0</v>
      </c>
      <c r="HH24">
        <v>0</v>
      </c>
      <c r="HI24">
        <v>0</v>
      </c>
      <c r="HJ24">
        <v>0</v>
      </c>
      <c r="HK24">
        <v>0</v>
      </c>
      <c r="HL24">
        <v>0</v>
      </c>
      <c r="HM24">
        <v>0</v>
      </c>
      <c r="HN24">
        <v>0</v>
      </c>
      <c r="HO24">
        <v>0</v>
      </c>
      <c r="HP24">
        <v>0</v>
      </c>
      <c r="HQ24">
        <v>0</v>
      </c>
      <c r="HR24">
        <v>0</v>
      </c>
      <c r="HS24">
        <v>0</v>
      </c>
      <c r="HT24">
        <v>0</v>
      </c>
      <c r="HU24">
        <v>0</v>
      </c>
      <c r="HV24">
        <v>0</v>
      </c>
      <c r="HW24">
        <v>0</v>
      </c>
      <c r="HX24">
        <v>0</v>
      </c>
      <c r="HY24">
        <v>0</v>
      </c>
      <c r="HZ24">
        <v>0</v>
      </c>
      <c r="IA24">
        <v>0</v>
      </c>
      <c r="IB24">
        <v>0</v>
      </c>
      <c r="IC24">
        <v>0</v>
      </c>
      <c r="ID24">
        <v>0</v>
      </c>
      <c r="IE24">
        <v>0</v>
      </c>
      <c r="IF24">
        <v>0</v>
      </c>
      <c r="IG24">
        <v>0</v>
      </c>
      <c r="IH24">
        <v>0</v>
      </c>
      <c r="II24">
        <v>0</v>
      </c>
      <c r="IJ24">
        <v>0</v>
      </c>
      <c r="IK24">
        <v>0</v>
      </c>
      <c r="IL24">
        <v>0</v>
      </c>
      <c r="IM24">
        <v>0</v>
      </c>
      <c r="IN24">
        <v>0</v>
      </c>
      <c r="IO24">
        <v>0</v>
      </c>
      <c r="IP24">
        <v>0</v>
      </c>
      <c r="IQ24">
        <v>0</v>
      </c>
      <c r="IR24">
        <v>0</v>
      </c>
      <c r="IS24">
        <v>0</v>
      </c>
      <c r="IT24">
        <v>0</v>
      </c>
      <c r="IU24">
        <v>0</v>
      </c>
      <c r="IV24">
        <v>0</v>
      </c>
      <c r="IW24">
        <v>0</v>
      </c>
      <c r="IX24">
        <v>0</v>
      </c>
      <c r="IY24">
        <v>0</v>
      </c>
      <c r="IZ24">
        <v>0</v>
      </c>
      <c r="JA24">
        <v>0</v>
      </c>
      <c r="JB24">
        <v>0</v>
      </c>
      <c r="JC24">
        <v>0</v>
      </c>
      <c r="JD24">
        <v>0</v>
      </c>
      <c r="JE24">
        <v>0</v>
      </c>
      <c r="JF24">
        <v>0</v>
      </c>
      <c r="JG24">
        <v>0</v>
      </c>
      <c r="JH24">
        <v>0</v>
      </c>
      <c r="JI24">
        <v>0</v>
      </c>
      <c r="JJ24">
        <v>0</v>
      </c>
      <c r="JK24">
        <v>0</v>
      </c>
      <c r="JL24">
        <v>0</v>
      </c>
      <c r="JM24">
        <v>0</v>
      </c>
      <c r="JN24">
        <v>0</v>
      </c>
      <c r="JO24">
        <v>0</v>
      </c>
      <c r="JP24">
        <v>0</v>
      </c>
      <c r="JQ24">
        <v>0</v>
      </c>
      <c r="JR24">
        <v>0</v>
      </c>
      <c r="JS24">
        <v>0</v>
      </c>
      <c r="JT24">
        <v>0</v>
      </c>
      <c r="JU24">
        <v>0</v>
      </c>
      <c r="JV24">
        <v>0</v>
      </c>
      <c r="JW24">
        <v>0</v>
      </c>
      <c r="JX24">
        <v>0</v>
      </c>
      <c r="JY24">
        <v>0</v>
      </c>
      <c r="JZ24">
        <v>0</v>
      </c>
      <c r="KA24">
        <v>0</v>
      </c>
      <c r="KB24">
        <v>0</v>
      </c>
      <c r="KC24">
        <v>0</v>
      </c>
      <c r="KD24">
        <v>0</v>
      </c>
      <c r="KE24">
        <v>0</v>
      </c>
      <c r="KF24">
        <v>0</v>
      </c>
      <c r="KG24">
        <v>0</v>
      </c>
      <c r="KH24">
        <v>0</v>
      </c>
      <c r="KI24">
        <v>0</v>
      </c>
      <c r="KJ24">
        <v>0</v>
      </c>
      <c r="KK24">
        <v>0</v>
      </c>
      <c r="KL24">
        <v>0</v>
      </c>
      <c r="KM24">
        <v>0</v>
      </c>
      <c r="KN24">
        <v>0</v>
      </c>
      <c r="KO24">
        <v>0</v>
      </c>
      <c r="KP24">
        <v>0</v>
      </c>
      <c r="KQ24">
        <v>0</v>
      </c>
      <c r="KR24">
        <v>0</v>
      </c>
      <c r="KS24">
        <v>0</v>
      </c>
      <c r="KT24">
        <v>0</v>
      </c>
      <c r="KU24">
        <v>0</v>
      </c>
      <c r="KV24">
        <v>0</v>
      </c>
      <c r="KW24">
        <v>0</v>
      </c>
      <c r="KX24">
        <v>0</v>
      </c>
      <c r="KY24">
        <v>0</v>
      </c>
      <c r="KZ24">
        <v>0</v>
      </c>
      <c r="LA24">
        <v>0</v>
      </c>
      <c r="LB24">
        <v>0</v>
      </c>
      <c r="LC24">
        <v>0</v>
      </c>
      <c r="LD24">
        <v>0</v>
      </c>
      <c r="LE24">
        <v>0</v>
      </c>
      <c r="LF24">
        <v>0</v>
      </c>
      <c r="LG24">
        <v>0</v>
      </c>
      <c r="LH24">
        <v>0</v>
      </c>
      <c r="LI24">
        <v>0</v>
      </c>
      <c r="LJ24">
        <v>0</v>
      </c>
      <c r="LK24">
        <v>0</v>
      </c>
      <c r="LL24">
        <v>0</v>
      </c>
      <c r="LM24">
        <v>0</v>
      </c>
      <c r="LN24">
        <v>0</v>
      </c>
      <c r="LO24">
        <v>0</v>
      </c>
      <c r="LP24">
        <v>0</v>
      </c>
      <c r="LQ24">
        <v>0</v>
      </c>
      <c r="LR24">
        <v>0</v>
      </c>
      <c r="LS24">
        <v>0</v>
      </c>
      <c r="LT24">
        <v>0</v>
      </c>
      <c r="LU24">
        <v>0</v>
      </c>
      <c r="LV24">
        <v>0</v>
      </c>
      <c r="LW24">
        <v>0</v>
      </c>
      <c r="LX24">
        <v>0</v>
      </c>
      <c r="LY24">
        <v>0</v>
      </c>
      <c r="LZ24">
        <v>0</v>
      </c>
      <c r="MA24">
        <v>0</v>
      </c>
      <c r="MB24">
        <v>0</v>
      </c>
      <c r="MC24">
        <v>0</v>
      </c>
      <c r="MD24">
        <v>0</v>
      </c>
      <c r="ME24">
        <v>0</v>
      </c>
      <c r="MF24">
        <v>0</v>
      </c>
      <c r="MG24">
        <v>0</v>
      </c>
      <c r="MH24">
        <v>0</v>
      </c>
      <c r="MI24">
        <v>0</v>
      </c>
      <c r="MJ24">
        <v>0</v>
      </c>
      <c r="MK24">
        <v>0</v>
      </c>
      <c r="ML24">
        <v>0</v>
      </c>
      <c r="MM24">
        <v>0</v>
      </c>
      <c r="MN24">
        <v>0</v>
      </c>
      <c r="MO24">
        <v>0</v>
      </c>
      <c r="MP24">
        <v>0</v>
      </c>
      <c r="MQ24">
        <v>0</v>
      </c>
      <c r="MR24">
        <v>0</v>
      </c>
      <c r="MS24">
        <v>0</v>
      </c>
      <c r="MT24">
        <v>0</v>
      </c>
      <c r="MU24">
        <v>0</v>
      </c>
      <c r="MV24">
        <v>0</v>
      </c>
      <c r="MW24">
        <v>0</v>
      </c>
      <c r="MX24">
        <v>0</v>
      </c>
      <c r="MY24">
        <v>0</v>
      </c>
      <c r="MZ24">
        <v>0</v>
      </c>
      <c r="NA24">
        <v>0</v>
      </c>
      <c r="NB24">
        <v>0</v>
      </c>
      <c r="NC24">
        <v>0</v>
      </c>
      <c r="ND24">
        <v>0</v>
      </c>
      <c r="NE24">
        <v>0</v>
      </c>
    </row>
    <row r="25" spans="5:369" x14ac:dyDescent="0.45">
      <c r="E25">
        <v>0</v>
      </c>
      <c r="F25">
        <v>0</v>
      </c>
      <c r="G25">
        <v>0</v>
      </c>
      <c r="H25">
        <v>0</v>
      </c>
      <c r="I25">
        <v>0</v>
      </c>
      <c r="J25">
        <v>0</v>
      </c>
      <c r="K25">
        <v>0</v>
      </c>
      <c r="L25">
        <v>0</v>
      </c>
      <c r="M25">
        <v>0</v>
      </c>
      <c r="N25" t="str">
        <v/>
      </c>
      <c r="O25" t="str">
        <v/>
      </c>
      <c r="P25" t="str">
        <v/>
      </c>
      <c r="Q25" t="str">
        <v/>
      </c>
      <c r="R25" t="str">
        <v/>
      </c>
      <c r="S25" t="str">
        <v/>
      </c>
      <c r="T25" t="str">
        <v/>
      </c>
      <c r="U25">
        <v>0</v>
      </c>
      <c r="V25">
        <v>0</v>
      </c>
      <c r="W25">
        <v>0</v>
      </c>
      <c r="X25">
        <v>0</v>
      </c>
      <c r="Y25">
        <v>0</v>
      </c>
      <c r="Z25">
        <v>0</v>
      </c>
      <c r="AA25">
        <v>0</v>
      </c>
      <c r="AB25">
        <v>0</v>
      </c>
      <c r="AC25">
        <v>0</v>
      </c>
      <c r="AD25">
        <v>0</v>
      </c>
      <c r="AE25">
        <v>0</v>
      </c>
      <c r="AF25">
        <v>0</v>
      </c>
      <c r="AG25">
        <v>0</v>
      </c>
      <c r="AH25">
        <v>0</v>
      </c>
      <c r="AI25">
        <v>0</v>
      </c>
      <c r="AJ25">
        <v>0</v>
      </c>
      <c r="AK25">
        <v>0</v>
      </c>
      <c r="AL25">
        <v>0</v>
      </c>
      <c r="AM25">
        <v>0</v>
      </c>
      <c r="AN25" s="5">
        <v>0</v>
      </c>
      <c r="AO25" t="str">
        <v>A122</v>
      </c>
      <c r="AP25" t="str">
        <v>MOHAMMAD K A</v>
      </c>
      <c r="AQ25" t="str">
        <v>FANT</v>
      </c>
      <c r="AR25" t="str">
        <v>SUB JUNIOR</v>
      </c>
      <c r="AS25">
        <v>1</v>
      </c>
      <c r="AT25">
        <v>11</v>
      </c>
      <c r="AU25">
        <v>0</v>
      </c>
      <c r="AV25">
        <v>11</v>
      </c>
      <c r="AW25">
        <v>11</v>
      </c>
      <c r="AX25">
        <v>123</v>
      </c>
      <c r="AY25" s="5">
        <v>123</v>
      </c>
      <c r="AZ25" t="str">
        <v>SJ23</v>
      </c>
      <c r="BA25" t="str">
        <v>KADHAKADHANAM MLM</v>
      </c>
      <c r="BB25" t="str">
        <v>SUB JUNIOR</v>
      </c>
      <c r="BC25" t="str">
        <v>Single</v>
      </c>
      <c r="BD25" t="str">
        <v>Stage</v>
      </c>
      <c r="BE25">
        <v>3</v>
      </c>
      <c r="BF25" t="str">
        <v>Individual</v>
      </c>
      <c r="BG25" t="str">
        <v>Individual</v>
      </c>
      <c r="BH25" t="str">
        <v>P</v>
      </c>
      <c r="BI25" t="str">
        <v>PUBLISHED</v>
      </c>
      <c r="BK25">
        <v>19</v>
      </c>
      <c r="BL25" t="str">
        <v>SJ19</v>
      </c>
      <c r="BM25" t="str">
        <v>TYPING ENG</v>
      </c>
      <c r="BN25">
        <v>3</v>
      </c>
      <c r="BO25" t="str">
        <v>Single</v>
      </c>
      <c r="BP25" t="str">
        <v>Non-Stg</v>
      </c>
      <c r="BQ25" t="str">
        <v>SUB JUNIOR</v>
      </c>
      <c r="BR25" t="str">
        <v>A143</v>
      </c>
      <c r="BS25" t="str">
        <v>A157</v>
      </c>
      <c r="BT25" t="str">
        <v>A169</v>
      </c>
      <c r="BU25">
        <v>0</v>
      </c>
      <c r="BV25">
        <v>0</v>
      </c>
      <c r="BW25">
        <v>0</v>
      </c>
      <c r="BX25">
        <v>0</v>
      </c>
      <c r="BY25" t="str">
        <v>A158</v>
      </c>
      <c r="BZ25" t="str">
        <v>A128</v>
      </c>
      <c r="CA25" t="str">
        <v>A137</v>
      </c>
      <c r="CB25">
        <v>0</v>
      </c>
      <c r="CC25">
        <v>0</v>
      </c>
      <c r="CD25">
        <v>0</v>
      </c>
      <c r="CE25">
        <v>0</v>
      </c>
      <c r="CF25" t="str">
        <v>A114</v>
      </c>
      <c r="CG25" t="str">
        <v>A145</v>
      </c>
      <c r="CH25" t="str">
        <v>A148</v>
      </c>
      <c r="CI25">
        <v>0</v>
      </c>
      <c r="CJ25">
        <v>0</v>
      </c>
      <c r="CK25">
        <v>0</v>
      </c>
      <c r="CL25">
        <v>0</v>
      </c>
      <c r="CM25" t="str">
        <v>A103</v>
      </c>
      <c r="CN25" t="str">
        <v>A144</v>
      </c>
      <c r="CO25" t="str">
        <v>A149</v>
      </c>
      <c r="CP25">
        <v>0</v>
      </c>
      <c r="CQ25">
        <v>0</v>
      </c>
      <c r="CR25">
        <v>0</v>
      </c>
      <c r="CS25">
        <v>0</v>
      </c>
      <c r="CT25">
        <v>0</v>
      </c>
      <c r="CU25">
        <v>0</v>
      </c>
      <c r="CV25">
        <v>0</v>
      </c>
      <c r="CW25">
        <v>0</v>
      </c>
      <c r="CX25">
        <v>0</v>
      </c>
      <c r="CY25">
        <v>0</v>
      </c>
      <c r="CZ25">
        <v>0</v>
      </c>
      <c r="DA25">
        <v>0</v>
      </c>
      <c r="DB25">
        <v>0</v>
      </c>
      <c r="DC25">
        <v>0</v>
      </c>
      <c r="DD25">
        <v>0</v>
      </c>
      <c r="DE25">
        <v>0</v>
      </c>
      <c r="DF25">
        <v>0</v>
      </c>
      <c r="DG25">
        <v>0</v>
      </c>
      <c r="DH25">
        <v>0</v>
      </c>
      <c r="DI25">
        <v>0</v>
      </c>
      <c r="DJ25">
        <v>0</v>
      </c>
      <c r="DK25">
        <v>0</v>
      </c>
      <c r="DL25">
        <v>0</v>
      </c>
      <c r="DM25">
        <v>0</v>
      </c>
      <c r="DN25">
        <v>0</v>
      </c>
      <c r="DO25">
        <v>0</v>
      </c>
      <c r="DP25">
        <v>0</v>
      </c>
      <c r="DQ25">
        <v>0</v>
      </c>
      <c r="DR25">
        <v>0</v>
      </c>
      <c r="DS25">
        <v>0</v>
      </c>
      <c r="DT25">
        <v>0</v>
      </c>
      <c r="DU25">
        <v>0</v>
      </c>
      <c r="DV25">
        <v>0</v>
      </c>
      <c r="DW25">
        <v>0</v>
      </c>
      <c r="DX25">
        <v>0</v>
      </c>
      <c r="DY25">
        <v>0</v>
      </c>
      <c r="DZ25">
        <v>0</v>
      </c>
      <c r="EA25">
        <v>0</v>
      </c>
      <c r="EB25">
        <v>0</v>
      </c>
      <c r="EC25">
        <v>0</v>
      </c>
      <c r="ED25">
        <v>0</v>
      </c>
      <c r="EE25">
        <v>0</v>
      </c>
      <c r="EF25">
        <v>0</v>
      </c>
      <c r="EG25">
        <v>0</v>
      </c>
      <c r="EH25">
        <v>0</v>
      </c>
      <c r="EI25">
        <v>0</v>
      </c>
      <c r="EJ25">
        <v>0</v>
      </c>
      <c r="EK25">
        <v>0</v>
      </c>
      <c r="EL25">
        <v>0</v>
      </c>
      <c r="EM25">
        <v>0</v>
      </c>
      <c r="EN25">
        <v>0</v>
      </c>
      <c r="EO25">
        <v>0</v>
      </c>
      <c r="EP25">
        <v>0</v>
      </c>
      <c r="EQ25">
        <v>0</v>
      </c>
      <c r="ER25">
        <v>0</v>
      </c>
      <c r="ES25">
        <v>0</v>
      </c>
      <c r="ET25">
        <v>0</v>
      </c>
      <c r="EU25">
        <v>0</v>
      </c>
      <c r="EV25">
        <v>0</v>
      </c>
      <c r="EW25">
        <v>0</v>
      </c>
      <c r="EX25">
        <v>0</v>
      </c>
      <c r="EY25">
        <v>0</v>
      </c>
      <c r="EZ25">
        <v>0</v>
      </c>
      <c r="FA25">
        <v>0</v>
      </c>
      <c r="FB25">
        <v>0</v>
      </c>
      <c r="FC25">
        <v>0</v>
      </c>
      <c r="FD25">
        <v>0</v>
      </c>
      <c r="FE25">
        <v>0</v>
      </c>
      <c r="FF25">
        <v>0</v>
      </c>
      <c r="FG25">
        <v>0</v>
      </c>
      <c r="FH25">
        <v>0</v>
      </c>
      <c r="FI25">
        <v>0</v>
      </c>
      <c r="FJ25">
        <v>0</v>
      </c>
      <c r="FK25">
        <v>0</v>
      </c>
      <c r="FL25">
        <v>0</v>
      </c>
      <c r="FM25">
        <v>0</v>
      </c>
      <c r="FN25">
        <v>0</v>
      </c>
      <c r="FO25">
        <v>0</v>
      </c>
      <c r="FP25">
        <v>0</v>
      </c>
      <c r="FQ25">
        <v>0</v>
      </c>
      <c r="FR25">
        <v>0</v>
      </c>
      <c r="FS25">
        <v>0</v>
      </c>
      <c r="FT25">
        <v>0</v>
      </c>
      <c r="FU25">
        <v>0</v>
      </c>
      <c r="FV25">
        <v>0</v>
      </c>
      <c r="FW25">
        <v>0</v>
      </c>
      <c r="FX25">
        <v>0</v>
      </c>
      <c r="FY25">
        <v>0</v>
      </c>
      <c r="FZ25">
        <v>0</v>
      </c>
      <c r="GA25">
        <v>0</v>
      </c>
      <c r="GB25">
        <v>0</v>
      </c>
      <c r="GC25">
        <v>0</v>
      </c>
      <c r="GD25">
        <v>0</v>
      </c>
      <c r="GE25">
        <v>0</v>
      </c>
      <c r="GF25">
        <v>0</v>
      </c>
      <c r="GG25">
        <v>0</v>
      </c>
      <c r="GH25">
        <v>0</v>
      </c>
      <c r="GI25">
        <v>0</v>
      </c>
      <c r="GJ25">
        <v>0</v>
      </c>
      <c r="GK25">
        <v>0</v>
      </c>
      <c r="GL25">
        <v>0</v>
      </c>
      <c r="GM25">
        <v>0</v>
      </c>
      <c r="GN25">
        <v>0</v>
      </c>
      <c r="GO25">
        <v>0</v>
      </c>
      <c r="GP25">
        <v>0</v>
      </c>
      <c r="GQ25">
        <v>0</v>
      </c>
      <c r="GR25">
        <v>0</v>
      </c>
      <c r="GS25">
        <v>0</v>
      </c>
      <c r="GT25">
        <v>0</v>
      </c>
      <c r="GU25">
        <v>0</v>
      </c>
      <c r="GV25">
        <v>0</v>
      </c>
      <c r="GW25">
        <v>0</v>
      </c>
      <c r="GX25">
        <v>0</v>
      </c>
      <c r="GY25">
        <v>0</v>
      </c>
      <c r="GZ25">
        <v>0</v>
      </c>
      <c r="HA25">
        <v>0</v>
      </c>
      <c r="HB25">
        <v>0</v>
      </c>
      <c r="HC25">
        <v>0</v>
      </c>
      <c r="HD25">
        <v>0</v>
      </c>
      <c r="HE25">
        <v>0</v>
      </c>
      <c r="HF25">
        <v>0</v>
      </c>
      <c r="HG25">
        <v>0</v>
      </c>
      <c r="HH25">
        <v>0</v>
      </c>
      <c r="HI25">
        <v>0</v>
      </c>
      <c r="HJ25">
        <v>0</v>
      </c>
      <c r="HK25">
        <v>0</v>
      </c>
      <c r="HL25">
        <v>0</v>
      </c>
      <c r="HM25">
        <v>0</v>
      </c>
      <c r="HN25">
        <v>0</v>
      </c>
      <c r="HO25">
        <v>0</v>
      </c>
      <c r="HP25">
        <v>0</v>
      </c>
      <c r="HQ25">
        <v>0</v>
      </c>
      <c r="HR25">
        <v>0</v>
      </c>
      <c r="HS25">
        <v>0</v>
      </c>
      <c r="HT25">
        <v>0</v>
      </c>
      <c r="HU25">
        <v>0</v>
      </c>
      <c r="HV25">
        <v>0</v>
      </c>
      <c r="HW25">
        <v>0</v>
      </c>
      <c r="HX25">
        <v>0</v>
      </c>
      <c r="HY25">
        <v>0</v>
      </c>
      <c r="HZ25">
        <v>0</v>
      </c>
      <c r="IA25">
        <v>0</v>
      </c>
      <c r="IB25">
        <v>0</v>
      </c>
      <c r="IC25">
        <v>0</v>
      </c>
      <c r="ID25">
        <v>0</v>
      </c>
      <c r="IE25">
        <v>0</v>
      </c>
      <c r="IF25">
        <v>0</v>
      </c>
      <c r="IG25">
        <v>0</v>
      </c>
      <c r="IH25">
        <v>0</v>
      </c>
      <c r="II25">
        <v>0</v>
      </c>
      <c r="IJ25">
        <v>0</v>
      </c>
      <c r="IK25">
        <v>0</v>
      </c>
      <c r="IL25">
        <v>0</v>
      </c>
      <c r="IM25">
        <v>0</v>
      </c>
      <c r="IN25">
        <v>0</v>
      </c>
      <c r="IO25">
        <v>0</v>
      </c>
      <c r="IP25">
        <v>0</v>
      </c>
      <c r="IQ25">
        <v>0</v>
      </c>
      <c r="IR25">
        <v>0</v>
      </c>
      <c r="IS25">
        <v>0</v>
      </c>
      <c r="IT25">
        <v>0</v>
      </c>
      <c r="IU25">
        <v>0</v>
      </c>
      <c r="IV25">
        <v>0</v>
      </c>
      <c r="IW25">
        <v>0</v>
      </c>
      <c r="IX25">
        <v>0</v>
      </c>
      <c r="IY25">
        <v>0</v>
      </c>
      <c r="IZ25">
        <v>0</v>
      </c>
      <c r="JA25">
        <v>0</v>
      </c>
      <c r="JB25">
        <v>0</v>
      </c>
      <c r="JC25">
        <v>0</v>
      </c>
      <c r="JD25">
        <v>0</v>
      </c>
      <c r="JE25">
        <v>0</v>
      </c>
      <c r="JF25">
        <v>0</v>
      </c>
      <c r="JG25">
        <v>0</v>
      </c>
      <c r="JH25">
        <v>0</v>
      </c>
      <c r="JI25">
        <v>0</v>
      </c>
      <c r="JJ25">
        <v>0</v>
      </c>
      <c r="JK25">
        <v>0</v>
      </c>
      <c r="JL25">
        <v>0</v>
      </c>
      <c r="JM25">
        <v>0</v>
      </c>
      <c r="JN25">
        <v>0</v>
      </c>
      <c r="JO25">
        <v>0</v>
      </c>
      <c r="JP25">
        <v>0</v>
      </c>
      <c r="JQ25">
        <v>0</v>
      </c>
      <c r="JR25">
        <v>0</v>
      </c>
      <c r="JS25">
        <v>0</v>
      </c>
      <c r="JT25">
        <v>0</v>
      </c>
      <c r="JU25">
        <v>0</v>
      </c>
      <c r="JV25">
        <v>0</v>
      </c>
      <c r="JW25">
        <v>0</v>
      </c>
      <c r="JX25">
        <v>0</v>
      </c>
      <c r="JY25">
        <v>0</v>
      </c>
      <c r="JZ25">
        <v>0</v>
      </c>
      <c r="KA25">
        <v>0</v>
      </c>
      <c r="KB25">
        <v>0</v>
      </c>
      <c r="KC25">
        <v>0</v>
      </c>
      <c r="KD25">
        <v>0</v>
      </c>
      <c r="KE25">
        <v>0</v>
      </c>
      <c r="KF25">
        <v>0</v>
      </c>
      <c r="KG25">
        <v>0</v>
      </c>
      <c r="KH25">
        <v>0</v>
      </c>
      <c r="KI25">
        <v>0</v>
      </c>
      <c r="KJ25">
        <v>0</v>
      </c>
      <c r="KK25">
        <v>0</v>
      </c>
      <c r="KL25">
        <v>0</v>
      </c>
      <c r="KM25">
        <v>0</v>
      </c>
      <c r="KN25">
        <v>0</v>
      </c>
      <c r="KO25">
        <v>0</v>
      </c>
      <c r="KP25">
        <v>0</v>
      </c>
      <c r="KQ25">
        <v>0</v>
      </c>
      <c r="KR25">
        <v>0</v>
      </c>
      <c r="KS25">
        <v>0</v>
      </c>
      <c r="KT25">
        <v>0</v>
      </c>
      <c r="KU25">
        <v>0</v>
      </c>
      <c r="KV25">
        <v>0</v>
      </c>
      <c r="KW25">
        <v>0</v>
      </c>
      <c r="KX25">
        <v>0</v>
      </c>
      <c r="KY25">
        <v>0</v>
      </c>
      <c r="KZ25">
        <v>0</v>
      </c>
      <c r="LA25">
        <v>0</v>
      </c>
      <c r="LB25">
        <v>0</v>
      </c>
      <c r="LC25">
        <v>0</v>
      </c>
      <c r="LD25">
        <v>0</v>
      </c>
      <c r="LE25">
        <v>0</v>
      </c>
      <c r="LF25">
        <v>0</v>
      </c>
      <c r="LG25">
        <v>0</v>
      </c>
      <c r="LH25">
        <v>0</v>
      </c>
      <c r="LI25">
        <v>0</v>
      </c>
      <c r="LJ25">
        <v>0</v>
      </c>
      <c r="LK25">
        <v>0</v>
      </c>
      <c r="LL25">
        <v>0</v>
      </c>
      <c r="LM25">
        <v>0</v>
      </c>
      <c r="LN25">
        <v>0</v>
      </c>
      <c r="LO25">
        <v>0</v>
      </c>
      <c r="LP25">
        <v>0</v>
      </c>
      <c r="LQ25">
        <v>0</v>
      </c>
      <c r="LR25">
        <v>0</v>
      </c>
      <c r="LS25">
        <v>0</v>
      </c>
      <c r="LT25">
        <v>0</v>
      </c>
      <c r="LU25">
        <v>0</v>
      </c>
      <c r="LV25">
        <v>0</v>
      </c>
      <c r="LW25">
        <v>0</v>
      </c>
      <c r="LX25">
        <v>0</v>
      </c>
      <c r="LY25">
        <v>0</v>
      </c>
      <c r="LZ25">
        <v>0</v>
      </c>
      <c r="MA25">
        <v>0</v>
      </c>
      <c r="MB25">
        <v>0</v>
      </c>
      <c r="MC25">
        <v>0</v>
      </c>
      <c r="MD25">
        <v>0</v>
      </c>
      <c r="ME25">
        <v>0</v>
      </c>
      <c r="MF25">
        <v>0</v>
      </c>
      <c r="MG25">
        <v>0</v>
      </c>
      <c r="MH25">
        <v>0</v>
      </c>
      <c r="MI25">
        <v>0</v>
      </c>
      <c r="MJ25">
        <v>0</v>
      </c>
      <c r="MK25">
        <v>0</v>
      </c>
      <c r="ML25">
        <v>0</v>
      </c>
      <c r="MM25">
        <v>0</v>
      </c>
      <c r="MN25">
        <v>0</v>
      </c>
      <c r="MO25">
        <v>0</v>
      </c>
      <c r="MP25">
        <v>0</v>
      </c>
      <c r="MQ25">
        <v>0</v>
      </c>
      <c r="MR25">
        <v>0</v>
      </c>
      <c r="MS25">
        <v>0</v>
      </c>
      <c r="MT25">
        <v>0</v>
      </c>
      <c r="MU25">
        <v>0</v>
      </c>
      <c r="MV25">
        <v>0</v>
      </c>
      <c r="MW25">
        <v>0</v>
      </c>
      <c r="MX25">
        <v>0</v>
      </c>
      <c r="MY25">
        <v>0</v>
      </c>
      <c r="MZ25">
        <v>0</v>
      </c>
      <c r="NA25">
        <v>0</v>
      </c>
      <c r="NB25">
        <v>0</v>
      </c>
      <c r="NC25">
        <v>0</v>
      </c>
      <c r="ND25">
        <v>0</v>
      </c>
      <c r="NE25">
        <v>0</v>
      </c>
    </row>
    <row r="26" spans="5:369" x14ac:dyDescent="0.45">
      <c r="E26">
        <v>0</v>
      </c>
      <c r="F26">
        <v>0</v>
      </c>
      <c r="G26">
        <v>0</v>
      </c>
      <c r="H26">
        <v>0</v>
      </c>
      <c r="I26">
        <v>0</v>
      </c>
      <c r="J26">
        <v>0</v>
      </c>
      <c r="K26">
        <v>0</v>
      </c>
      <c r="L26">
        <v>0</v>
      </c>
      <c r="M26">
        <v>0</v>
      </c>
      <c r="N26" t="str">
        <v/>
      </c>
      <c r="O26" t="str">
        <v/>
      </c>
      <c r="P26" t="str">
        <v/>
      </c>
      <c r="Q26" t="str">
        <v/>
      </c>
      <c r="R26" t="str">
        <v/>
      </c>
      <c r="S26" t="str">
        <v/>
      </c>
      <c r="T26" t="str">
        <v/>
      </c>
      <c r="U26">
        <v>0</v>
      </c>
      <c r="V26">
        <v>0</v>
      </c>
      <c r="W26">
        <v>0</v>
      </c>
      <c r="X26">
        <v>0</v>
      </c>
      <c r="Y26">
        <v>0</v>
      </c>
      <c r="Z26">
        <v>0</v>
      </c>
      <c r="AA26">
        <v>0</v>
      </c>
      <c r="AB26">
        <v>0</v>
      </c>
      <c r="AC26">
        <v>0</v>
      </c>
      <c r="AD26">
        <v>0</v>
      </c>
      <c r="AE26">
        <v>0</v>
      </c>
      <c r="AF26">
        <v>0</v>
      </c>
      <c r="AG26">
        <v>0</v>
      </c>
      <c r="AH26">
        <v>0</v>
      </c>
      <c r="AI26">
        <v>0</v>
      </c>
      <c r="AJ26">
        <v>0</v>
      </c>
      <c r="AK26">
        <v>0</v>
      </c>
      <c r="AL26">
        <v>0</v>
      </c>
      <c r="AM26">
        <v>0</v>
      </c>
      <c r="AN26" s="5">
        <v>0</v>
      </c>
      <c r="AO26" t="str">
        <v>A123</v>
      </c>
      <c r="AP26" t="str">
        <v>IBRAHIM KALEEL</v>
      </c>
      <c r="AQ26" t="str">
        <v>JARF</v>
      </c>
      <c r="AR26" t="str">
        <v>SUB JUNIOR</v>
      </c>
      <c r="AS26">
        <v>1</v>
      </c>
      <c r="AT26">
        <v>6</v>
      </c>
      <c r="AU26">
        <v>0</v>
      </c>
      <c r="AV26">
        <v>6</v>
      </c>
      <c r="AW26">
        <v>6</v>
      </c>
      <c r="AX26">
        <v>171</v>
      </c>
      <c r="AY26" s="5">
        <v>171</v>
      </c>
      <c r="AZ26" t="str">
        <v>SJ24</v>
      </c>
      <c r="BA26" t="str">
        <v>NJAN MALAYALI</v>
      </c>
      <c r="BB26" t="str">
        <v>SUB JUNIOR</v>
      </c>
      <c r="BC26" t="str">
        <v>Single</v>
      </c>
      <c r="BD26" t="str">
        <v>Stage</v>
      </c>
      <c r="BE26">
        <v>3</v>
      </c>
      <c r="BF26" t="str">
        <v>Individual</v>
      </c>
      <c r="BG26" t="str">
        <v>Individual</v>
      </c>
      <c r="BH26" t="str">
        <v>P</v>
      </c>
      <c r="BI26" t="str">
        <v>PUBLISHED</v>
      </c>
      <c r="BK26">
        <v>20</v>
      </c>
      <c r="BL26" t="str">
        <v>SJ20</v>
      </c>
      <c r="BM26" t="str">
        <v>VOCABULARY</v>
      </c>
      <c r="BN26">
        <v>3</v>
      </c>
      <c r="BO26" t="str">
        <v>Single</v>
      </c>
      <c r="BP26" t="str">
        <v>Non-Stg</v>
      </c>
      <c r="BQ26" t="str">
        <v>SUB JUNIOR</v>
      </c>
      <c r="BR26" t="str">
        <v>A110</v>
      </c>
      <c r="BS26" t="str">
        <v>A161</v>
      </c>
      <c r="BT26" t="str">
        <v>A162</v>
      </c>
      <c r="BU26">
        <v>0</v>
      </c>
      <c r="BV26">
        <v>0</v>
      </c>
      <c r="BW26">
        <v>0</v>
      </c>
      <c r="BX26">
        <v>0</v>
      </c>
      <c r="BY26" t="str">
        <v>A164</v>
      </c>
      <c r="BZ26" t="str">
        <v>A171</v>
      </c>
      <c r="CA26" t="str">
        <v>A175</v>
      </c>
      <c r="CB26">
        <v>0</v>
      </c>
      <c r="CC26">
        <v>0</v>
      </c>
      <c r="CD26">
        <v>0</v>
      </c>
      <c r="CE26">
        <v>0</v>
      </c>
      <c r="CF26" t="str">
        <v>A104</v>
      </c>
      <c r="CG26" t="str">
        <v>A146</v>
      </c>
      <c r="CH26" t="str">
        <v>A167</v>
      </c>
      <c r="CI26">
        <v>0</v>
      </c>
      <c r="CJ26">
        <v>0</v>
      </c>
      <c r="CK26">
        <v>0</v>
      </c>
      <c r="CL26">
        <v>0</v>
      </c>
      <c r="CM26" t="str">
        <v>A117</v>
      </c>
      <c r="CN26" t="str">
        <v>A126</v>
      </c>
      <c r="CO26" t="str">
        <v>A141</v>
      </c>
      <c r="CP26">
        <v>0</v>
      </c>
      <c r="CQ26">
        <v>0</v>
      </c>
      <c r="CR26">
        <v>0</v>
      </c>
      <c r="CS26">
        <v>0</v>
      </c>
      <c r="CT26">
        <v>0</v>
      </c>
      <c r="CU26">
        <v>0</v>
      </c>
      <c r="CV26">
        <v>0</v>
      </c>
      <c r="CW26">
        <v>0</v>
      </c>
      <c r="CX26">
        <v>0</v>
      </c>
      <c r="CY26">
        <v>0</v>
      </c>
      <c r="CZ26">
        <v>0</v>
      </c>
      <c r="DA26">
        <v>0</v>
      </c>
      <c r="DB26">
        <v>0</v>
      </c>
      <c r="DC26">
        <v>0</v>
      </c>
      <c r="DD26">
        <v>0</v>
      </c>
      <c r="DE26">
        <v>0</v>
      </c>
      <c r="DF26">
        <v>0</v>
      </c>
      <c r="DG26">
        <v>0</v>
      </c>
      <c r="DH26">
        <v>0</v>
      </c>
      <c r="DI26">
        <v>0</v>
      </c>
      <c r="DJ26">
        <v>0</v>
      </c>
      <c r="DK26">
        <v>0</v>
      </c>
      <c r="DL26">
        <v>0</v>
      </c>
      <c r="DM26">
        <v>0</v>
      </c>
      <c r="DN26">
        <v>0</v>
      </c>
      <c r="DO26">
        <v>0</v>
      </c>
      <c r="DP26">
        <v>0</v>
      </c>
      <c r="DQ26">
        <v>0</v>
      </c>
      <c r="DR26">
        <v>0</v>
      </c>
      <c r="DS26">
        <v>0</v>
      </c>
      <c r="DT26">
        <v>0</v>
      </c>
      <c r="DU26">
        <v>0</v>
      </c>
      <c r="DV26">
        <v>0</v>
      </c>
      <c r="DW26">
        <v>0</v>
      </c>
      <c r="DX26">
        <v>0</v>
      </c>
      <c r="DY26">
        <v>0</v>
      </c>
      <c r="DZ26">
        <v>0</v>
      </c>
      <c r="EA26">
        <v>0</v>
      </c>
      <c r="EB26">
        <v>0</v>
      </c>
      <c r="EC26">
        <v>0</v>
      </c>
      <c r="ED26">
        <v>0</v>
      </c>
      <c r="EE26">
        <v>0</v>
      </c>
      <c r="EF26">
        <v>0</v>
      </c>
      <c r="EG26">
        <v>0</v>
      </c>
      <c r="EH26">
        <v>0</v>
      </c>
      <c r="EI26">
        <v>0</v>
      </c>
      <c r="EJ26">
        <v>0</v>
      </c>
      <c r="EK26">
        <v>0</v>
      </c>
      <c r="EL26">
        <v>0</v>
      </c>
      <c r="EM26">
        <v>0</v>
      </c>
      <c r="EN26">
        <v>0</v>
      </c>
      <c r="EO26">
        <v>0</v>
      </c>
      <c r="EP26">
        <v>0</v>
      </c>
      <c r="EQ26">
        <v>0</v>
      </c>
      <c r="ER26">
        <v>0</v>
      </c>
      <c r="ES26">
        <v>0</v>
      </c>
      <c r="ET26">
        <v>0</v>
      </c>
      <c r="EU26">
        <v>0</v>
      </c>
      <c r="EV26">
        <v>0</v>
      </c>
      <c r="EW26">
        <v>0</v>
      </c>
      <c r="EX26">
        <v>0</v>
      </c>
      <c r="EY26">
        <v>0</v>
      </c>
      <c r="EZ26">
        <v>0</v>
      </c>
      <c r="FA26">
        <v>0</v>
      </c>
      <c r="FB26">
        <v>0</v>
      </c>
      <c r="FC26">
        <v>0</v>
      </c>
      <c r="FD26">
        <v>0</v>
      </c>
      <c r="FE26">
        <v>0</v>
      </c>
      <c r="FF26">
        <v>0</v>
      </c>
      <c r="FG26">
        <v>0</v>
      </c>
      <c r="FH26">
        <v>0</v>
      </c>
      <c r="FI26">
        <v>0</v>
      </c>
      <c r="FJ26">
        <v>0</v>
      </c>
      <c r="FK26">
        <v>0</v>
      </c>
      <c r="FL26">
        <v>0</v>
      </c>
      <c r="FM26">
        <v>0</v>
      </c>
      <c r="FN26">
        <v>0</v>
      </c>
      <c r="FO26">
        <v>0</v>
      </c>
      <c r="FP26">
        <v>0</v>
      </c>
      <c r="FQ26">
        <v>0</v>
      </c>
      <c r="FR26">
        <v>0</v>
      </c>
      <c r="FS26">
        <v>0</v>
      </c>
      <c r="FT26">
        <v>0</v>
      </c>
      <c r="FU26">
        <v>0</v>
      </c>
      <c r="FV26">
        <v>0</v>
      </c>
      <c r="FW26">
        <v>0</v>
      </c>
      <c r="FX26">
        <v>0</v>
      </c>
      <c r="FY26">
        <v>0</v>
      </c>
      <c r="FZ26">
        <v>0</v>
      </c>
      <c r="GA26">
        <v>0</v>
      </c>
      <c r="GB26">
        <v>0</v>
      </c>
      <c r="GC26">
        <v>0</v>
      </c>
      <c r="GD26">
        <v>0</v>
      </c>
      <c r="GE26">
        <v>0</v>
      </c>
      <c r="GF26">
        <v>0</v>
      </c>
      <c r="GG26">
        <v>0</v>
      </c>
      <c r="GH26">
        <v>0</v>
      </c>
      <c r="GI26">
        <v>0</v>
      </c>
      <c r="GJ26">
        <v>0</v>
      </c>
      <c r="GK26">
        <v>0</v>
      </c>
      <c r="GL26">
        <v>0</v>
      </c>
      <c r="GM26">
        <v>0</v>
      </c>
      <c r="GN26">
        <v>0</v>
      </c>
      <c r="GO26">
        <v>0</v>
      </c>
      <c r="GP26">
        <v>0</v>
      </c>
      <c r="GQ26">
        <v>0</v>
      </c>
      <c r="GR26">
        <v>0</v>
      </c>
      <c r="GS26">
        <v>0</v>
      </c>
      <c r="GT26">
        <v>0</v>
      </c>
      <c r="GU26">
        <v>0</v>
      </c>
      <c r="GV26">
        <v>0</v>
      </c>
      <c r="GW26">
        <v>0</v>
      </c>
      <c r="GX26">
        <v>0</v>
      </c>
      <c r="GY26">
        <v>0</v>
      </c>
      <c r="GZ26">
        <v>0</v>
      </c>
      <c r="HA26">
        <v>0</v>
      </c>
      <c r="HB26">
        <v>0</v>
      </c>
      <c r="HC26">
        <v>0</v>
      </c>
      <c r="HD26">
        <v>0</v>
      </c>
      <c r="HE26">
        <v>0</v>
      </c>
      <c r="HF26">
        <v>0</v>
      </c>
      <c r="HG26">
        <v>0</v>
      </c>
      <c r="HH26">
        <v>0</v>
      </c>
      <c r="HI26">
        <v>0</v>
      </c>
      <c r="HJ26">
        <v>0</v>
      </c>
      <c r="HK26">
        <v>0</v>
      </c>
      <c r="HL26">
        <v>0</v>
      </c>
      <c r="HM26">
        <v>0</v>
      </c>
      <c r="HN26">
        <v>0</v>
      </c>
      <c r="HO26">
        <v>0</v>
      </c>
      <c r="HP26">
        <v>0</v>
      </c>
      <c r="HQ26">
        <v>0</v>
      </c>
      <c r="HR26">
        <v>0</v>
      </c>
      <c r="HS26">
        <v>0</v>
      </c>
      <c r="HT26">
        <v>0</v>
      </c>
      <c r="HU26">
        <v>0</v>
      </c>
      <c r="HV26">
        <v>0</v>
      </c>
      <c r="HW26">
        <v>0</v>
      </c>
      <c r="HX26">
        <v>0</v>
      </c>
      <c r="HY26">
        <v>0</v>
      </c>
      <c r="HZ26">
        <v>0</v>
      </c>
      <c r="IA26">
        <v>0</v>
      </c>
      <c r="IB26">
        <v>0</v>
      </c>
      <c r="IC26">
        <v>0</v>
      </c>
      <c r="ID26">
        <v>0</v>
      </c>
      <c r="IE26">
        <v>0</v>
      </c>
      <c r="IF26">
        <v>0</v>
      </c>
      <c r="IG26">
        <v>0</v>
      </c>
      <c r="IH26">
        <v>0</v>
      </c>
      <c r="II26">
        <v>0</v>
      </c>
      <c r="IJ26">
        <v>0</v>
      </c>
      <c r="IK26">
        <v>0</v>
      </c>
      <c r="IL26">
        <v>0</v>
      </c>
      <c r="IM26">
        <v>0</v>
      </c>
      <c r="IN26">
        <v>0</v>
      </c>
      <c r="IO26">
        <v>0</v>
      </c>
      <c r="IP26">
        <v>0</v>
      </c>
      <c r="IQ26">
        <v>0</v>
      </c>
      <c r="IR26">
        <v>0</v>
      </c>
      <c r="IS26">
        <v>0</v>
      </c>
      <c r="IT26">
        <v>0</v>
      </c>
      <c r="IU26">
        <v>0</v>
      </c>
      <c r="IV26">
        <v>0</v>
      </c>
      <c r="IW26">
        <v>0</v>
      </c>
      <c r="IX26">
        <v>0</v>
      </c>
      <c r="IY26">
        <v>0</v>
      </c>
      <c r="IZ26">
        <v>0</v>
      </c>
      <c r="JA26">
        <v>0</v>
      </c>
      <c r="JB26">
        <v>0</v>
      </c>
      <c r="JC26">
        <v>0</v>
      </c>
      <c r="JD26">
        <v>0</v>
      </c>
      <c r="JE26">
        <v>0</v>
      </c>
      <c r="JF26">
        <v>0</v>
      </c>
      <c r="JG26">
        <v>0</v>
      </c>
      <c r="JH26">
        <v>0</v>
      </c>
      <c r="JI26">
        <v>0</v>
      </c>
      <c r="JJ26">
        <v>0</v>
      </c>
      <c r="JK26">
        <v>0</v>
      </c>
      <c r="JL26">
        <v>0</v>
      </c>
      <c r="JM26">
        <v>0</v>
      </c>
      <c r="JN26">
        <v>0</v>
      </c>
      <c r="JO26">
        <v>0</v>
      </c>
      <c r="JP26">
        <v>0</v>
      </c>
      <c r="JQ26">
        <v>0</v>
      </c>
      <c r="JR26">
        <v>0</v>
      </c>
      <c r="JS26">
        <v>0</v>
      </c>
      <c r="JT26">
        <v>0</v>
      </c>
      <c r="JU26">
        <v>0</v>
      </c>
      <c r="JV26">
        <v>0</v>
      </c>
      <c r="JW26">
        <v>0</v>
      </c>
      <c r="JX26">
        <v>0</v>
      </c>
      <c r="JY26">
        <v>0</v>
      </c>
      <c r="JZ26">
        <v>0</v>
      </c>
      <c r="KA26">
        <v>0</v>
      </c>
      <c r="KB26">
        <v>0</v>
      </c>
      <c r="KC26">
        <v>0</v>
      </c>
      <c r="KD26">
        <v>0</v>
      </c>
      <c r="KE26">
        <v>0</v>
      </c>
      <c r="KF26">
        <v>0</v>
      </c>
      <c r="KG26">
        <v>0</v>
      </c>
      <c r="KH26">
        <v>0</v>
      </c>
      <c r="KI26">
        <v>0</v>
      </c>
      <c r="KJ26">
        <v>0</v>
      </c>
      <c r="KK26">
        <v>0</v>
      </c>
      <c r="KL26">
        <v>0</v>
      </c>
      <c r="KM26">
        <v>0</v>
      </c>
      <c r="KN26">
        <v>0</v>
      </c>
      <c r="KO26">
        <v>0</v>
      </c>
      <c r="KP26">
        <v>0</v>
      </c>
      <c r="KQ26">
        <v>0</v>
      </c>
      <c r="KR26">
        <v>0</v>
      </c>
      <c r="KS26">
        <v>0</v>
      </c>
      <c r="KT26">
        <v>0</v>
      </c>
      <c r="KU26">
        <v>0</v>
      </c>
      <c r="KV26">
        <v>0</v>
      </c>
      <c r="KW26">
        <v>0</v>
      </c>
      <c r="KX26">
        <v>0</v>
      </c>
      <c r="KY26">
        <v>0</v>
      </c>
      <c r="KZ26">
        <v>0</v>
      </c>
      <c r="LA26">
        <v>0</v>
      </c>
      <c r="LB26">
        <v>0</v>
      </c>
      <c r="LC26">
        <v>0</v>
      </c>
      <c r="LD26">
        <v>0</v>
      </c>
      <c r="LE26">
        <v>0</v>
      </c>
      <c r="LF26">
        <v>0</v>
      </c>
      <c r="LG26">
        <v>0</v>
      </c>
      <c r="LH26">
        <v>0</v>
      </c>
      <c r="LI26">
        <v>0</v>
      </c>
      <c r="LJ26">
        <v>0</v>
      </c>
      <c r="LK26">
        <v>0</v>
      </c>
      <c r="LL26">
        <v>0</v>
      </c>
      <c r="LM26">
        <v>0</v>
      </c>
      <c r="LN26">
        <v>0</v>
      </c>
      <c r="LO26">
        <v>0</v>
      </c>
      <c r="LP26">
        <v>0</v>
      </c>
      <c r="LQ26">
        <v>0</v>
      </c>
      <c r="LR26">
        <v>0</v>
      </c>
      <c r="LS26">
        <v>0</v>
      </c>
      <c r="LT26">
        <v>0</v>
      </c>
      <c r="LU26">
        <v>0</v>
      </c>
      <c r="LV26">
        <v>0</v>
      </c>
      <c r="LW26">
        <v>0</v>
      </c>
      <c r="LX26">
        <v>0</v>
      </c>
      <c r="LY26">
        <v>0</v>
      </c>
      <c r="LZ26">
        <v>0</v>
      </c>
      <c r="MA26">
        <v>0</v>
      </c>
      <c r="MB26">
        <v>0</v>
      </c>
      <c r="MC26">
        <v>0</v>
      </c>
      <c r="MD26">
        <v>0</v>
      </c>
      <c r="ME26">
        <v>0</v>
      </c>
      <c r="MF26">
        <v>0</v>
      </c>
      <c r="MG26">
        <v>0</v>
      </c>
      <c r="MH26">
        <v>0</v>
      </c>
      <c r="MI26">
        <v>0</v>
      </c>
      <c r="MJ26">
        <v>0</v>
      </c>
      <c r="MK26">
        <v>0</v>
      </c>
      <c r="ML26">
        <v>0</v>
      </c>
      <c r="MM26">
        <v>0</v>
      </c>
      <c r="MN26">
        <v>0</v>
      </c>
      <c r="MO26">
        <v>0</v>
      </c>
      <c r="MP26">
        <v>0</v>
      </c>
      <c r="MQ26">
        <v>0</v>
      </c>
      <c r="MR26">
        <v>0</v>
      </c>
      <c r="MS26">
        <v>0</v>
      </c>
      <c r="MT26">
        <v>0</v>
      </c>
      <c r="MU26">
        <v>0</v>
      </c>
      <c r="MV26">
        <v>0</v>
      </c>
      <c r="MW26">
        <v>0</v>
      </c>
      <c r="MX26">
        <v>0</v>
      </c>
      <c r="MY26">
        <v>0</v>
      </c>
      <c r="MZ26">
        <v>0</v>
      </c>
      <c r="NA26">
        <v>0</v>
      </c>
      <c r="NB26">
        <v>0</v>
      </c>
      <c r="NC26">
        <v>0</v>
      </c>
      <c r="ND26">
        <v>0</v>
      </c>
      <c r="NE26">
        <v>0</v>
      </c>
    </row>
    <row r="27" spans="5:369" x14ac:dyDescent="0.45">
      <c r="E27">
        <v>0</v>
      </c>
      <c r="F27">
        <v>0</v>
      </c>
      <c r="G27">
        <v>0</v>
      </c>
      <c r="H27">
        <v>0</v>
      </c>
      <c r="I27">
        <v>0</v>
      </c>
      <c r="J27">
        <v>0</v>
      </c>
      <c r="K27">
        <v>0</v>
      </c>
      <c r="L27">
        <v>0</v>
      </c>
      <c r="M27">
        <v>0</v>
      </c>
      <c r="N27" t="str">
        <v/>
      </c>
      <c r="O27" t="str">
        <v/>
      </c>
      <c r="P27" t="str">
        <v/>
      </c>
      <c r="Q27" t="str">
        <v/>
      </c>
      <c r="R27" t="str">
        <v/>
      </c>
      <c r="S27" t="str">
        <v/>
      </c>
      <c r="T27" t="str">
        <v/>
      </c>
      <c r="U27">
        <v>0</v>
      </c>
      <c r="V27">
        <v>0</v>
      </c>
      <c r="W27">
        <v>0</v>
      </c>
      <c r="X27">
        <v>0</v>
      </c>
      <c r="Y27">
        <v>0</v>
      </c>
      <c r="Z27">
        <v>0</v>
      </c>
      <c r="AA27">
        <v>0</v>
      </c>
      <c r="AB27">
        <v>0</v>
      </c>
      <c r="AC27">
        <v>0</v>
      </c>
      <c r="AD27">
        <v>0</v>
      </c>
      <c r="AE27">
        <v>0</v>
      </c>
      <c r="AF27">
        <v>0</v>
      </c>
      <c r="AG27">
        <v>0</v>
      </c>
      <c r="AH27">
        <v>0</v>
      </c>
      <c r="AI27">
        <v>0</v>
      </c>
      <c r="AJ27">
        <v>0</v>
      </c>
      <c r="AK27">
        <v>0</v>
      </c>
      <c r="AL27">
        <v>0</v>
      </c>
      <c r="AM27">
        <v>0</v>
      </c>
      <c r="AN27" s="5">
        <v>0</v>
      </c>
      <c r="AO27" t="str">
        <v>A124</v>
      </c>
      <c r="AP27" t="str">
        <v>MOHAMMED JASEEM</v>
      </c>
      <c r="AQ27" t="str">
        <v>BADF</v>
      </c>
      <c r="AR27" t="str">
        <v>SUB JUNIOR</v>
      </c>
      <c r="AS27">
        <v>1</v>
      </c>
      <c r="AT27">
        <v>0</v>
      </c>
      <c r="AU27">
        <v>0</v>
      </c>
      <c r="AV27">
        <v>0</v>
      </c>
      <c r="AW27">
        <v>0</v>
      </c>
      <c r="AX27">
        <v>255</v>
      </c>
      <c r="AY27" s="5">
        <v>255</v>
      </c>
      <c r="AZ27" t="str">
        <v>SJ25</v>
      </c>
      <c r="BA27" t="str">
        <v>POEM RECITATION</v>
      </c>
      <c r="BB27" t="str">
        <v>SUB JUNIOR</v>
      </c>
      <c r="BC27" t="str">
        <v>Single</v>
      </c>
      <c r="BD27" t="str">
        <v>Stage</v>
      </c>
      <c r="BE27">
        <v>3</v>
      </c>
      <c r="BF27" t="str">
        <v>Individual</v>
      </c>
      <c r="BG27" t="str">
        <v>Individual</v>
      </c>
      <c r="BH27" t="str">
        <v>P</v>
      </c>
      <c r="BI27" t="str">
        <v>PUBLISHED</v>
      </c>
      <c r="BK27">
        <v>21</v>
      </c>
      <c r="BL27" t="str">
        <v>SJ21</v>
      </c>
      <c r="BM27" t="str">
        <v>WATER PAINTING</v>
      </c>
      <c r="BN27">
        <v>2</v>
      </c>
      <c r="BO27" t="str">
        <v>Single</v>
      </c>
      <c r="BP27" t="str">
        <v>Non-Stg</v>
      </c>
      <c r="BQ27" t="str">
        <v>SUB JUNIOR</v>
      </c>
      <c r="BR27" t="str">
        <v>A110</v>
      </c>
      <c r="BS27" t="str">
        <v>A151</v>
      </c>
      <c r="BT27">
        <v>0</v>
      </c>
      <c r="BU27">
        <v>0</v>
      </c>
      <c r="BV27">
        <v>0</v>
      </c>
      <c r="BW27">
        <v>0</v>
      </c>
      <c r="BX27">
        <v>0</v>
      </c>
      <c r="BY27" t="str">
        <v>A115</v>
      </c>
      <c r="BZ27" t="str">
        <v>A172</v>
      </c>
      <c r="CA27">
        <v>0</v>
      </c>
      <c r="CB27">
        <v>0</v>
      </c>
      <c r="CC27">
        <v>0</v>
      </c>
      <c r="CD27">
        <v>0</v>
      </c>
      <c r="CE27">
        <v>0</v>
      </c>
      <c r="CF27" t="str">
        <v>A142</v>
      </c>
      <c r="CG27" t="str">
        <v>A152</v>
      </c>
      <c r="CH27">
        <v>0</v>
      </c>
      <c r="CI27">
        <v>0</v>
      </c>
      <c r="CJ27">
        <v>0</v>
      </c>
      <c r="CK27">
        <v>0</v>
      </c>
      <c r="CL27">
        <v>0</v>
      </c>
      <c r="CM27" t="str">
        <v>A130</v>
      </c>
      <c r="CN27" t="str">
        <v>A159</v>
      </c>
      <c r="CO27">
        <v>0</v>
      </c>
      <c r="CP27">
        <v>0</v>
      </c>
      <c r="CQ27">
        <v>0</v>
      </c>
      <c r="CR27">
        <v>0</v>
      </c>
      <c r="CS27">
        <v>0</v>
      </c>
      <c r="CT27">
        <v>0</v>
      </c>
      <c r="CU27">
        <v>0</v>
      </c>
      <c r="CV27">
        <v>0</v>
      </c>
      <c r="CW27">
        <v>0</v>
      </c>
      <c r="CX27">
        <v>0</v>
      </c>
      <c r="CY27">
        <v>0</v>
      </c>
      <c r="CZ27">
        <v>0</v>
      </c>
      <c r="DA27">
        <v>0</v>
      </c>
      <c r="DB27">
        <v>0</v>
      </c>
      <c r="DC27">
        <v>0</v>
      </c>
      <c r="DD27">
        <v>0</v>
      </c>
      <c r="DE27">
        <v>0</v>
      </c>
      <c r="DF27">
        <v>0</v>
      </c>
      <c r="DG27">
        <v>0</v>
      </c>
      <c r="DH27">
        <v>0</v>
      </c>
      <c r="DI27">
        <v>0</v>
      </c>
      <c r="DJ27">
        <v>0</v>
      </c>
      <c r="DK27">
        <v>0</v>
      </c>
      <c r="DL27">
        <v>0</v>
      </c>
      <c r="DM27">
        <v>0</v>
      </c>
      <c r="DN27">
        <v>0</v>
      </c>
      <c r="DO27">
        <v>0</v>
      </c>
      <c r="DP27">
        <v>0</v>
      </c>
      <c r="DQ27">
        <v>0</v>
      </c>
      <c r="DR27">
        <v>0</v>
      </c>
      <c r="DS27">
        <v>0</v>
      </c>
      <c r="DT27">
        <v>0</v>
      </c>
      <c r="DU27">
        <v>0</v>
      </c>
      <c r="DV27">
        <v>0</v>
      </c>
      <c r="DW27">
        <v>0</v>
      </c>
      <c r="DX27">
        <v>0</v>
      </c>
      <c r="DY27">
        <v>0</v>
      </c>
      <c r="DZ27">
        <v>0</v>
      </c>
      <c r="EA27">
        <v>0</v>
      </c>
      <c r="EB27">
        <v>0</v>
      </c>
      <c r="EC27">
        <v>0</v>
      </c>
      <c r="ED27">
        <v>0</v>
      </c>
      <c r="EE27">
        <v>0</v>
      </c>
      <c r="EF27">
        <v>0</v>
      </c>
      <c r="EG27">
        <v>0</v>
      </c>
      <c r="EH27">
        <v>0</v>
      </c>
      <c r="EI27">
        <v>0</v>
      </c>
      <c r="EJ27">
        <v>0</v>
      </c>
      <c r="EK27">
        <v>0</v>
      </c>
      <c r="EL27">
        <v>0</v>
      </c>
      <c r="EM27">
        <v>0</v>
      </c>
      <c r="EN27">
        <v>0</v>
      </c>
      <c r="EO27">
        <v>0</v>
      </c>
      <c r="EP27">
        <v>0</v>
      </c>
      <c r="EQ27">
        <v>0</v>
      </c>
      <c r="ER27">
        <v>0</v>
      </c>
      <c r="ES27">
        <v>0</v>
      </c>
      <c r="ET27">
        <v>0</v>
      </c>
      <c r="EU27">
        <v>0</v>
      </c>
      <c r="EV27">
        <v>0</v>
      </c>
      <c r="EW27">
        <v>0</v>
      </c>
      <c r="EX27">
        <v>0</v>
      </c>
      <c r="EY27">
        <v>0</v>
      </c>
      <c r="EZ27">
        <v>0</v>
      </c>
      <c r="FA27">
        <v>0</v>
      </c>
      <c r="FB27">
        <v>0</v>
      </c>
      <c r="FC27">
        <v>0</v>
      </c>
      <c r="FD27">
        <v>0</v>
      </c>
      <c r="FE27">
        <v>0</v>
      </c>
      <c r="FF27">
        <v>0</v>
      </c>
      <c r="FG27">
        <v>0</v>
      </c>
      <c r="FH27">
        <v>0</v>
      </c>
      <c r="FI27">
        <v>0</v>
      </c>
      <c r="FJ27">
        <v>0</v>
      </c>
      <c r="FK27">
        <v>0</v>
      </c>
      <c r="FL27">
        <v>0</v>
      </c>
      <c r="FM27">
        <v>0</v>
      </c>
      <c r="FN27">
        <v>0</v>
      </c>
      <c r="FO27">
        <v>0</v>
      </c>
      <c r="FP27">
        <v>0</v>
      </c>
      <c r="FQ27">
        <v>0</v>
      </c>
      <c r="FR27">
        <v>0</v>
      </c>
      <c r="FS27">
        <v>0</v>
      </c>
      <c r="FT27">
        <v>0</v>
      </c>
      <c r="FU27">
        <v>0</v>
      </c>
      <c r="FV27">
        <v>0</v>
      </c>
      <c r="FW27">
        <v>0</v>
      </c>
      <c r="FX27">
        <v>0</v>
      </c>
      <c r="FY27">
        <v>0</v>
      </c>
      <c r="FZ27">
        <v>0</v>
      </c>
      <c r="GA27">
        <v>0</v>
      </c>
      <c r="GB27">
        <v>0</v>
      </c>
      <c r="GC27">
        <v>0</v>
      </c>
      <c r="GD27">
        <v>0</v>
      </c>
      <c r="GE27">
        <v>0</v>
      </c>
      <c r="GF27">
        <v>0</v>
      </c>
      <c r="GG27">
        <v>0</v>
      </c>
      <c r="GH27">
        <v>0</v>
      </c>
      <c r="GI27">
        <v>0</v>
      </c>
      <c r="GJ27">
        <v>0</v>
      </c>
      <c r="GK27">
        <v>0</v>
      </c>
      <c r="GL27">
        <v>0</v>
      </c>
      <c r="GM27">
        <v>0</v>
      </c>
      <c r="GN27">
        <v>0</v>
      </c>
      <c r="GO27">
        <v>0</v>
      </c>
      <c r="GP27">
        <v>0</v>
      </c>
      <c r="GQ27">
        <v>0</v>
      </c>
      <c r="GR27">
        <v>0</v>
      </c>
      <c r="GS27">
        <v>0</v>
      </c>
      <c r="GT27">
        <v>0</v>
      </c>
      <c r="GU27">
        <v>0</v>
      </c>
      <c r="GV27">
        <v>0</v>
      </c>
      <c r="GW27">
        <v>0</v>
      </c>
      <c r="GX27">
        <v>0</v>
      </c>
      <c r="GY27">
        <v>0</v>
      </c>
      <c r="GZ27">
        <v>0</v>
      </c>
      <c r="HA27">
        <v>0</v>
      </c>
      <c r="HB27">
        <v>0</v>
      </c>
      <c r="HC27">
        <v>0</v>
      </c>
      <c r="HD27">
        <v>0</v>
      </c>
      <c r="HE27">
        <v>0</v>
      </c>
      <c r="HF27">
        <v>0</v>
      </c>
      <c r="HG27">
        <v>0</v>
      </c>
      <c r="HH27">
        <v>0</v>
      </c>
      <c r="HI27">
        <v>0</v>
      </c>
      <c r="HJ27">
        <v>0</v>
      </c>
      <c r="HK27">
        <v>0</v>
      </c>
      <c r="HL27">
        <v>0</v>
      </c>
      <c r="HM27">
        <v>0</v>
      </c>
      <c r="HN27">
        <v>0</v>
      </c>
      <c r="HO27">
        <v>0</v>
      </c>
      <c r="HP27">
        <v>0</v>
      </c>
      <c r="HQ27">
        <v>0</v>
      </c>
      <c r="HR27">
        <v>0</v>
      </c>
      <c r="HS27">
        <v>0</v>
      </c>
      <c r="HT27">
        <v>0</v>
      </c>
      <c r="HU27">
        <v>0</v>
      </c>
      <c r="HV27">
        <v>0</v>
      </c>
      <c r="HW27">
        <v>0</v>
      </c>
      <c r="HX27">
        <v>0</v>
      </c>
      <c r="HY27">
        <v>0</v>
      </c>
      <c r="HZ27">
        <v>0</v>
      </c>
      <c r="IA27">
        <v>0</v>
      </c>
      <c r="IB27">
        <v>0</v>
      </c>
      <c r="IC27">
        <v>0</v>
      </c>
      <c r="ID27">
        <v>0</v>
      </c>
      <c r="IE27">
        <v>0</v>
      </c>
      <c r="IF27">
        <v>0</v>
      </c>
      <c r="IG27">
        <v>0</v>
      </c>
      <c r="IH27">
        <v>0</v>
      </c>
      <c r="II27">
        <v>0</v>
      </c>
      <c r="IJ27">
        <v>0</v>
      </c>
      <c r="IK27">
        <v>0</v>
      </c>
      <c r="IL27">
        <v>0</v>
      </c>
      <c r="IM27">
        <v>0</v>
      </c>
      <c r="IN27">
        <v>0</v>
      </c>
      <c r="IO27">
        <v>0</v>
      </c>
      <c r="IP27">
        <v>0</v>
      </c>
      <c r="IQ27">
        <v>0</v>
      </c>
      <c r="IR27">
        <v>0</v>
      </c>
      <c r="IS27">
        <v>0</v>
      </c>
      <c r="IT27">
        <v>0</v>
      </c>
      <c r="IU27">
        <v>0</v>
      </c>
      <c r="IV27">
        <v>0</v>
      </c>
      <c r="IW27">
        <v>0</v>
      </c>
      <c r="IX27">
        <v>0</v>
      </c>
      <c r="IY27">
        <v>0</v>
      </c>
      <c r="IZ27">
        <v>0</v>
      </c>
      <c r="JA27">
        <v>0</v>
      </c>
      <c r="JB27">
        <v>0</v>
      </c>
      <c r="JC27">
        <v>0</v>
      </c>
      <c r="JD27">
        <v>0</v>
      </c>
      <c r="JE27">
        <v>0</v>
      </c>
      <c r="JF27">
        <v>0</v>
      </c>
      <c r="JG27">
        <v>0</v>
      </c>
      <c r="JH27">
        <v>0</v>
      </c>
      <c r="JI27">
        <v>0</v>
      </c>
      <c r="JJ27">
        <v>0</v>
      </c>
      <c r="JK27">
        <v>0</v>
      </c>
      <c r="JL27">
        <v>0</v>
      </c>
      <c r="JM27">
        <v>0</v>
      </c>
      <c r="JN27">
        <v>0</v>
      </c>
      <c r="JO27">
        <v>0</v>
      </c>
      <c r="JP27">
        <v>0</v>
      </c>
      <c r="JQ27">
        <v>0</v>
      </c>
      <c r="JR27">
        <v>0</v>
      </c>
      <c r="JS27">
        <v>0</v>
      </c>
      <c r="JT27">
        <v>0</v>
      </c>
      <c r="JU27">
        <v>0</v>
      </c>
      <c r="JV27">
        <v>0</v>
      </c>
      <c r="JW27">
        <v>0</v>
      </c>
      <c r="JX27">
        <v>0</v>
      </c>
      <c r="JY27">
        <v>0</v>
      </c>
      <c r="JZ27">
        <v>0</v>
      </c>
      <c r="KA27">
        <v>0</v>
      </c>
      <c r="KB27">
        <v>0</v>
      </c>
      <c r="KC27">
        <v>0</v>
      </c>
      <c r="KD27">
        <v>0</v>
      </c>
      <c r="KE27">
        <v>0</v>
      </c>
      <c r="KF27">
        <v>0</v>
      </c>
      <c r="KG27">
        <v>0</v>
      </c>
      <c r="KH27">
        <v>0</v>
      </c>
      <c r="KI27">
        <v>0</v>
      </c>
      <c r="KJ27">
        <v>0</v>
      </c>
      <c r="KK27">
        <v>0</v>
      </c>
      <c r="KL27">
        <v>0</v>
      </c>
      <c r="KM27">
        <v>0</v>
      </c>
      <c r="KN27">
        <v>0</v>
      </c>
      <c r="KO27">
        <v>0</v>
      </c>
      <c r="KP27">
        <v>0</v>
      </c>
      <c r="KQ27">
        <v>0</v>
      </c>
      <c r="KR27">
        <v>0</v>
      </c>
      <c r="KS27">
        <v>0</v>
      </c>
      <c r="KT27">
        <v>0</v>
      </c>
      <c r="KU27">
        <v>0</v>
      </c>
      <c r="KV27">
        <v>0</v>
      </c>
      <c r="KW27">
        <v>0</v>
      </c>
      <c r="KX27">
        <v>0</v>
      </c>
      <c r="KY27">
        <v>0</v>
      </c>
      <c r="KZ27">
        <v>0</v>
      </c>
      <c r="LA27">
        <v>0</v>
      </c>
      <c r="LB27">
        <v>0</v>
      </c>
      <c r="LC27">
        <v>0</v>
      </c>
      <c r="LD27">
        <v>0</v>
      </c>
      <c r="LE27">
        <v>0</v>
      </c>
      <c r="LF27">
        <v>0</v>
      </c>
      <c r="LG27">
        <v>0</v>
      </c>
      <c r="LH27">
        <v>0</v>
      </c>
      <c r="LI27">
        <v>0</v>
      </c>
      <c r="LJ27">
        <v>0</v>
      </c>
      <c r="LK27">
        <v>0</v>
      </c>
      <c r="LL27">
        <v>0</v>
      </c>
      <c r="LM27">
        <v>0</v>
      </c>
      <c r="LN27">
        <v>0</v>
      </c>
      <c r="LO27">
        <v>0</v>
      </c>
      <c r="LP27">
        <v>0</v>
      </c>
      <c r="LQ27">
        <v>0</v>
      </c>
      <c r="LR27">
        <v>0</v>
      </c>
      <c r="LS27">
        <v>0</v>
      </c>
      <c r="LT27">
        <v>0</v>
      </c>
      <c r="LU27">
        <v>0</v>
      </c>
      <c r="LV27">
        <v>0</v>
      </c>
      <c r="LW27">
        <v>0</v>
      </c>
      <c r="LX27">
        <v>0</v>
      </c>
      <c r="LY27">
        <v>0</v>
      </c>
      <c r="LZ27">
        <v>0</v>
      </c>
      <c r="MA27">
        <v>0</v>
      </c>
      <c r="MB27">
        <v>0</v>
      </c>
      <c r="MC27">
        <v>0</v>
      </c>
      <c r="MD27">
        <v>0</v>
      </c>
      <c r="ME27">
        <v>0</v>
      </c>
      <c r="MF27">
        <v>0</v>
      </c>
      <c r="MG27">
        <v>0</v>
      </c>
      <c r="MH27">
        <v>0</v>
      </c>
      <c r="MI27">
        <v>0</v>
      </c>
      <c r="MJ27">
        <v>0</v>
      </c>
      <c r="MK27">
        <v>0</v>
      </c>
      <c r="ML27">
        <v>0</v>
      </c>
      <c r="MM27">
        <v>0</v>
      </c>
      <c r="MN27">
        <v>0</v>
      </c>
      <c r="MO27">
        <v>0</v>
      </c>
      <c r="MP27">
        <v>0</v>
      </c>
      <c r="MQ27">
        <v>0</v>
      </c>
      <c r="MR27">
        <v>0</v>
      </c>
      <c r="MS27">
        <v>0</v>
      </c>
      <c r="MT27">
        <v>0</v>
      </c>
      <c r="MU27">
        <v>0</v>
      </c>
      <c r="MV27">
        <v>0</v>
      </c>
      <c r="MW27">
        <v>0</v>
      </c>
      <c r="MX27">
        <v>0</v>
      </c>
      <c r="MY27">
        <v>0</v>
      </c>
      <c r="MZ27">
        <v>0</v>
      </c>
      <c r="NA27">
        <v>0</v>
      </c>
      <c r="NB27">
        <v>0</v>
      </c>
      <c r="NC27">
        <v>0</v>
      </c>
      <c r="ND27">
        <v>0</v>
      </c>
      <c r="NE27">
        <v>0</v>
      </c>
    </row>
    <row r="28" spans="5:369" x14ac:dyDescent="0.45">
      <c r="E28">
        <v>0</v>
      </c>
      <c r="F28">
        <v>0</v>
      </c>
      <c r="G28">
        <v>0</v>
      </c>
      <c r="H28">
        <v>0</v>
      </c>
      <c r="I28">
        <v>0</v>
      </c>
      <c r="J28">
        <v>0</v>
      </c>
      <c r="K28">
        <v>0</v>
      </c>
      <c r="L28">
        <v>0</v>
      </c>
      <c r="M28">
        <v>0</v>
      </c>
      <c r="N28" t="str">
        <v/>
      </c>
      <c r="O28" t="str">
        <v/>
      </c>
      <c r="P28" t="str">
        <v/>
      </c>
      <c r="Q28" t="str">
        <v/>
      </c>
      <c r="R28" t="str">
        <v/>
      </c>
      <c r="S28" t="str">
        <v/>
      </c>
      <c r="T28" t="str">
        <v/>
      </c>
      <c r="U28">
        <v>0</v>
      </c>
      <c r="V28">
        <v>0</v>
      </c>
      <c r="W28">
        <v>0</v>
      </c>
      <c r="X28">
        <v>0</v>
      </c>
      <c r="Y28">
        <v>0</v>
      </c>
      <c r="Z28">
        <v>0</v>
      </c>
      <c r="AA28">
        <v>0</v>
      </c>
      <c r="AB28">
        <v>0</v>
      </c>
      <c r="AC28">
        <v>0</v>
      </c>
      <c r="AD28">
        <v>0</v>
      </c>
      <c r="AE28">
        <v>0</v>
      </c>
      <c r="AF28">
        <v>0</v>
      </c>
      <c r="AG28">
        <v>0</v>
      </c>
      <c r="AH28">
        <v>0</v>
      </c>
      <c r="AI28">
        <v>0</v>
      </c>
      <c r="AJ28">
        <v>0</v>
      </c>
      <c r="AK28">
        <v>0</v>
      </c>
      <c r="AL28">
        <v>0</v>
      </c>
      <c r="AM28">
        <v>0</v>
      </c>
      <c r="AN28" s="5">
        <v>0</v>
      </c>
      <c r="AO28" t="str">
        <v>A125</v>
      </c>
      <c r="AP28" t="str">
        <v>MUHAMMED RAZI A T</v>
      </c>
      <c r="AQ28" t="str">
        <v>DAHF</v>
      </c>
      <c r="AR28" t="str">
        <v>SUB JUNIOR</v>
      </c>
      <c r="AS28">
        <v>1</v>
      </c>
      <c r="AT28">
        <v>9</v>
      </c>
      <c r="AU28">
        <v>0</v>
      </c>
      <c r="AV28">
        <v>9</v>
      </c>
      <c r="AW28">
        <v>9</v>
      </c>
      <c r="AX28">
        <v>139</v>
      </c>
      <c r="AY28" s="5">
        <v>139</v>
      </c>
      <c r="AZ28" t="str">
        <v>SJ26</v>
      </c>
      <c r="BA28" t="str">
        <v>READING ARB</v>
      </c>
      <c r="BB28" t="str">
        <v>SUB JUNIOR</v>
      </c>
      <c r="BC28" t="str">
        <v>Single</v>
      </c>
      <c r="BD28" t="str">
        <v>Stage</v>
      </c>
      <c r="BE28">
        <v>3</v>
      </c>
      <c r="BF28" t="str">
        <v>Individual</v>
      </c>
      <c r="BG28" t="str">
        <v>Individual</v>
      </c>
      <c r="BH28" t="str">
        <v>P</v>
      </c>
      <c r="BI28" t="str">
        <v>PUBLISHED</v>
      </c>
      <c r="BK28">
        <v>22</v>
      </c>
      <c r="BL28" t="str">
        <v>SJ22</v>
      </c>
      <c r="BM28" t="str">
        <v>GEO GIANT</v>
      </c>
      <c r="BN28">
        <v>3</v>
      </c>
      <c r="BO28" t="str">
        <v>Single</v>
      </c>
      <c r="BP28" t="str">
        <v>Stage</v>
      </c>
      <c r="BQ28" t="str">
        <v>SUB JUNIOR</v>
      </c>
      <c r="BR28" t="str">
        <v>A139</v>
      </c>
      <c r="BS28" t="str">
        <v>A150</v>
      </c>
      <c r="BT28" t="str">
        <v>A157</v>
      </c>
      <c r="BU28">
        <v>0</v>
      </c>
      <c r="BV28">
        <v>0</v>
      </c>
      <c r="BW28">
        <v>0</v>
      </c>
      <c r="BX28">
        <v>0</v>
      </c>
      <c r="BY28" t="str">
        <v>A147</v>
      </c>
      <c r="BZ28" t="str">
        <v>A164</v>
      </c>
      <c r="CA28" t="str">
        <v>A175</v>
      </c>
      <c r="CB28">
        <v>0</v>
      </c>
      <c r="CC28">
        <v>0</v>
      </c>
      <c r="CD28">
        <v>0</v>
      </c>
      <c r="CE28">
        <v>0</v>
      </c>
      <c r="CF28" t="str">
        <v>A104</v>
      </c>
      <c r="CG28" t="str">
        <v>A145</v>
      </c>
      <c r="CH28" t="str">
        <v>A152</v>
      </c>
      <c r="CI28">
        <v>0</v>
      </c>
      <c r="CJ28">
        <v>0</v>
      </c>
      <c r="CK28">
        <v>0</v>
      </c>
      <c r="CL28">
        <v>0</v>
      </c>
      <c r="CM28" t="str">
        <v>A103</v>
      </c>
      <c r="CN28" t="str">
        <v>A123</v>
      </c>
      <c r="CO28" t="str">
        <v>A149</v>
      </c>
      <c r="CP28">
        <v>0</v>
      </c>
      <c r="CQ28">
        <v>0</v>
      </c>
      <c r="CR28">
        <v>0</v>
      </c>
      <c r="CS28">
        <v>0</v>
      </c>
      <c r="CT28">
        <v>0</v>
      </c>
      <c r="CU28">
        <v>0</v>
      </c>
      <c r="CV28">
        <v>0</v>
      </c>
      <c r="CW28">
        <v>0</v>
      </c>
      <c r="CX28">
        <v>0</v>
      </c>
      <c r="CY28">
        <v>0</v>
      </c>
      <c r="CZ28">
        <v>0</v>
      </c>
      <c r="DA28">
        <v>0</v>
      </c>
      <c r="DB28">
        <v>0</v>
      </c>
      <c r="DC28">
        <v>0</v>
      </c>
      <c r="DD28">
        <v>0</v>
      </c>
      <c r="DE28">
        <v>0</v>
      </c>
      <c r="DF28">
        <v>0</v>
      </c>
      <c r="DG28">
        <v>0</v>
      </c>
      <c r="DH28">
        <v>0</v>
      </c>
      <c r="DI28">
        <v>0</v>
      </c>
      <c r="DJ28">
        <v>0</v>
      </c>
      <c r="DK28">
        <v>0</v>
      </c>
      <c r="DL28">
        <v>0</v>
      </c>
      <c r="DM28">
        <v>0</v>
      </c>
      <c r="DN28">
        <v>0</v>
      </c>
      <c r="DO28">
        <v>0</v>
      </c>
      <c r="DP28">
        <v>0</v>
      </c>
      <c r="DQ28">
        <v>0</v>
      </c>
      <c r="DR28">
        <v>0</v>
      </c>
      <c r="DS28">
        <v>0</v>
      </c>
      <c r="DT28">
        <v>0</v>
      </c>
      <c r="DU28">
        <v>0</v>
      </c>
      <c r="DV28">
        <v>0</v>
      </c>
      <c r="DW28">
        <v>0</v>
      </c>
      <c r="DX28">
        <v>0</v>
      </c>
      <c r="DY28">
        <v>0</v>
      </c>
      <c r="DZ28">
        <v>0</v>
      </c>
      <c r="EA28">
        <v>0</v>
      </c>
      <c r="EB28">
        <v>0</v>
      </c>
      <c r="EC28">
        <v>0</v>
      </c>
      <c r="ED28">
        <v>0</v>
      </c>
      <c r="EE28">
        <v>0</v>
      </c>
      <c r="EF28">
        <v>0</v>
      </c>
      <c r="EG28">
        <v>0</v>
      </c>
      <c r="EH28">
        <v>0</v>
      </c>
      <c r="EI28">
        <v>0</v>
      </c>
      <c r="EJ28">
        <v>0</v>
      </c>
      <c r="EK28">
        <v>0</v>
      </c>
      <c r="EL28">
        <v>0</v>
      </c>
      <c r="EM28">
        <v>0</v>
      </c>
      <c r="EN28">
        <v>0</v>
      </c>
      <c r="EO28">
        <v>0</v>
      </c>
      <c r="EP28">
        <v>0</v>
      </c>
      <c r="EQ28">
        <v>0</v>
      </c>
      <c r="ER28">
        <v>0</v>
      </c>
      <c r="ES28">
        <v>0</v>
      </c>
      <c r="ET28">
        <v>0</v>
      </c>
      <c r="EU28">
        <v>0</v>
      </c>
      <c r="EV28">
        <v>0</v>
      </c>
      <c r="EW28">
        <v>0</v>
      </c>
      <c r="EX28">
        <v>0</v>
      </c>
      <c r="EY28">
        <v>0</v>
      </c>
      <c r="EZ28">
        <v>0</v>
      </c>
      <c r="FA28">
        <v>0</v>
      </c>
      <c r="FB28">
        <v>0</v>
      </c>
      <c r="FC28">
        <v>0</v>
      </c>
      <c r="FD28">
        <v>0</v>
      </c>
      <c r="FE28">
        <v>0</v>
      </c>
      <c r="FF28">
        <v>0</v>
      </c>
      <c r="FG28">
        <v>0</v>
      </c>
      <c r="FH28">
        <v>0</v>
      </c>
      <c r="FI28">
        <v>0</v>
      </c>
      <c r="FJ28">
        <v>0</v>
      </c>
      <c r="FK28">
        <v>0</v>
      </c>
      <c r="FL28">
        <v>0</v>
      </c>
      <c r="FM28">
        <v>0</v>
      </c>
      <c r="FN28">
        <v>0</v>
      </c>
      <c r="FO28">
        <v>0</v>
      </c>
      <c r="FP28">
        <v>0</v>
      </c>
      <c r="FQ28">
        <v>0</v>
      </c>
      <c r="FR28">
        <v>0</v>
      </c>
      <c r="FS28">
        <v>0</v>
      </c>
      <c r="FT28">
        <v>0</v>
      </c>
      <c r="FU28">
        <v>0</v>
      </c>
      <c r="FV28">
        <v>0</v>
      </c>
      <c r="FW28">
        <v>0</v>
      </c>
      <c r="FX28">
        <v>0</v>
      </c>
      <c r="FY28">
        <v>0</v>
      </c>
      <c r="FZ28">
        <v>0</v>
      </c>
      <c r="GA28">
        <v>0</v>
      </c>
      <c r="GB28">
        <v>0</v>
      </c>
      <c r="GC28">
        <v>0</v>
      </c>
      <c r="GD28">
        <v>0</v>
      </c>
      <c r="GE28">
        <v>0</v>
      </c>
      <c r="GF28">
        <v>0</v>
      </c>
      <c r="GG28">
        <v>0</v>
      </c>
      <c r="GH28">
        <v>0</v>
      </c>
      <c r="GI28">
        <v>0</v>
      </c>
      <c r="GJ28">
        <v>0</v>
      </c>
      <c r="GK28">
        <v>0</v>
      </c>
      <c r="GL28">
        <v>0</v>
      </c>
      <c r="GM28">
        <v>0</v>
      </c>
      <c r="GN28">
        <v>0</v>
      </c>
      <c r="GO28">
        <v>0</v>
      </c>
      <c r="GP28">
        <v>0</v>
      </c>
      <c r="GQ28">
        <v>0</v>
      </c>
      <c r="GR28">
        <v>0</v>
      </c>
      <c r="GS28">
        <v>0</v>
      </c>
      <c r="GT28">
        <v>0</v>
      </c>
      <c r="GU28">
        <v>0</v>
      </c>
      <c r="GV28">
        <v>0</v>
      </c>
      <c r="GW28">
        <v>0</v>
      </c>
      <c r="GX28">
        <v>0</v>
      </c>
      <c r="GY28">
        <v>0</v>
      </c>
      <c r="GZ28">
        <v>0</v>
      </c>
      <c r="HA28">
        <v>0</v>
      </c>
      <c r="HB28">
        <v>0</v>
      </c>
      <c r="HC28">
        <v>0</v>
      </c>
      <c r="HD28">
        <v>0</v>
      </c>
      <c r="HE28">
        <v>0</v>
      </c>
      <c r="HF28">
        <v>0</v>
      </c>
      <c r="HG28">
        <v>0</v>
      </c>
      <c r="HH28">
        <v>0</v>
      </c>
      <c r="HI28">
        <v>0</v>
      </c>
      <c r="HJ28">
        <v>0</v>
      </c>
      <c r="HK28">
        <v>0</v>
      </c>
      <c r="HL28">
        <v>0</v>
      </c>
      <c r="HM28">
        <v>0</v>
      </c>
      <c r="HN28">
        <v>0</v>
      </c>
      <c r="HO28">
        <v>0</v>
      </c>
      <c r="HP28">
        <v>0</v>
      </c>
      <c r="HQ28">
        <v>0</v>
      </c>
      <c r="HR28">
        <v>0</v>
      </c>
      <c r="HS28">
        <v>0</v>
      </c>
      <c r="HT28">
        <v>0</v>
      </c>
      <c r="HU28">
        <v>0</v>
      </c>
      <c r="HV28">
        <v>0</v>
      </c>
      <c r="HW28">
        <v>0</v>
      </c>
      <c r="HX28">
        <v>0</v>
      </c>
      <c r="HY28">
        <v>0</v>
      </c>
      <c r="HZ28">
        <v>0</v>
      </c>
      <c r="IA28">
        <v>0</v>
      </c>
      <c r="IB28">
        <v>0</v>
      </c>
      <c r="IC28">
        <v>0</v>
      </c>
      <c r="ID28">
        <v>0</v>
      </c>
      <c r="IE28">
        <v>0</v>
      </c>
      <c r="IF28">
        <v>0</v>
      </c>
      <c r="IG28">
        <v>0</v>
      </c>
      <c r="IH28">
        <v>0</v>
      </c>
      <c r="II28">
        <v>0</v>
      </c>
      <c r="IJ28">
        <v>0</v>
      </c>
      <c r="IK28">
        <v>0</v>
      </c>
      <c r="IL28">
        <v>0</v>
      </c>
      <c r="IM28">
        <v>0</v>
      </c>
      <c r="IN28">
        <v>0</v>
      </c>
      <c r="IO28">
        <v>0</v>
      </c>
      <c r="IP28">
        <v>0</v>
      </c>
      <c r="IQ28">
        <v>0</v>
      </c>
      <c r="IR28">
        <v>0</v>
      </c>
      <c r="IS28">
        <v>0</v>
      </c>
      <c r="IT28">
        <v>0</v>
      </c>
      <c r="IU28">
        <v>0</v>
      </c>
      <c r="IV28">
        <v>0</v>
      </c>
      <c r="IW28">
        <v>0</v>
      </c>
      <c r="IX28">
        <v>0</v>
      </c>
      <c r="IY28">
        <v>0</v>
      </c>
      <c r="IZ28">
        <v>0</v>
      </c>
      <c r="JA28">
        <v>0</v>
      </c>
      <c r="JB28">
        <v>0</v>
      </c>
      <c r="JC28">
        <v>0</v>
      </c>
      <c r="JD28">
        <v>0</v>
      </c>
      <c r="JE28">
        <v>0</v>
      </c>
      <c r="JF28">
        <v>0</v>
      </c>
      <c r="JG28">
        <v>0</v>
      </c>
      <c r="JH28">
        <v>0</v>
      </c>
      <c r="JI28">
        <v>0</v>
      </c>
      <c r="JJ28">
        <v>0</v>
      </c>
      <c r="JK28">
        <v>0</v>
      </c>
      <c r="JL28">
        <v>0</v>
      </c>
      <c r="JM28">
        <v>0</v>
      </c>
      <c r="JN28">
        <v>0</v>
      </c>
      <c r="JO28">
        <v>0</v>
      </c>
      <c r="JP28">
        <v>0</v>
      </c>
      <c r="JQ28">
        <v>0</v>
      </c>
      <c r="JR28">
        <v>0</v>
      </c>
      <c r="JS28">
        <v>0</v>
      </c>
      <c r="JT28">
        <v>0</v>
      </c>
      <c r="JU28">
        <v>0</v>
      </c>
      <c r="JV28">
        <v>0</v>
      </c>
      <c r="JW28">
        <v>0</v>
      </c>
      <c r="JX28">
        <v>0</v>
      </c>
      <c r="JY28">
        <v>0</v>
      </c>
      <c r="JZ28">
        <v>0</v>
      </c>
      <c r="KA28">
        <v>0</v>
      </c>
      <c r="KB28">
        <v>0</v>
      </c>
      <c r="KC28">
        <v>0</v>
      </c>
      <c r="KD28">
        <v>0</v>
      </c>
      <c r="KE28">
        <v>0</v>
      </c>
      <c r="KF28">
        <v>0</v>
      </c>
      <c r="KG28">
        <v>0</v>
      </c>
      <c r="KH28">
        <v>0</v>
      </c>
      <c r="KI28">
        <v>0</v>
      </c>
      <c r="KJ28">
        <v>0</v>
      </c>
      <c r="KK28">
        <v>0</v>
      </c>
      <c r="KL28">
        <v>0</v>
      </c>
      <c r="KM28">
        <v>0</v>
      </c>
      <c r="KN28">
        <v>0</v>
      </c>
      <c r="KO28">
        <v>0</v>
      </c>
      <c r="KP28">
        <v>0</v>
      </c>
      <c r="KQ28">
        <v>0</v>
      </c>
      <c r="KR28">
        <v>0</v>
      </c>
      <c r="KS28">
        <v>0</v>
      </c>
      <c r="KT28">
        <v>0</v>
      </c>
      <c r="KU28">
        <v>0</v>
      </c>
      <c r="KV28">
        <v>0</v>
      </c>
      <c r="KW28">
        <v>0</v>
      </c>
      <c r="KX28">
        <v>0</v>
      </c>
      <c r="KY28">
        <v>0</v>
      </c>
      <c r="KZ28">
        <v>0</v>
      </c>
      <c r="LA28">
        <v>0</v>
      </c>
      <c r="LB28">
        <v>0</v>
      </c>
      <c r="LC28">
        <v>0</v>
      </c>
      <c r="LD28">
        <v>0</v>
      </c>
      <c r="LE28">
        <v>0</v>
      </c>
      <c r="LF28">
        <v>0</v>
      </c>
      <c r="LG28">
        <v>0</v>
      </c>
      <c r="LH28">
        <v>0</v>
      </c>
      <c r="LI28">
        <v>0</v>
      </c>
      <c r="LJ28">
        <v>0</v>
      </c>
      <c r="LK28">
        <v>0</v>
      </c>
      <c r="LL28">
        <v>0</v>
      </c>
      <c r="LM28">
        <v>0</v>
      </c>
      <c r="LN28">
        <v>0</v>
      </c>
      <c r="LO28">
        <v>0</v>
      </c>
      <c r="LP28">
        <v>0</v>
      </c>
      <c r="LQ28">
        <v>0</v>
      </c>
      <c r="LR28">
        <v>0</v>
      </c>
      <c r="LS28">
        <v>0</v>
      </c>
      <c r="LT28">
        <v>0</v>
      </c>
      <c r="LU28">
        <v>0</v>
      </c>
      <c r="LV28">
        <v>0</v>
      </c>
      <c r="LW28">
        <v>0</v>
      </c>
      <c r="LX28">
        <v>0</v>
      </c>
      <c r="LY28">
        <v>0</v>
      </c>
      <c r="LZ28">
        <v>0</v>
      </c>
      <c r="MA28">
        <v>0</v>
      </c>
      <c r="MB28">
        <v>0</v>
      </c>
      <c r="MC28">
        <v>0</v>
      </c>
      <c r="MD28">
        <v>0</v>
      </c>
      <c r="ME28">
        <v>0</v>
      </c>
      <c r="MF28">
        <v>0</v>
      </c>
      <c r="MG28">
        <v>0</v>
      </c>
      <c r="MH28">
        <v>0</v>
      </c>
      <c r="MI28">
        <v>0</v>
      </c>
      <c r="MJ28">
        <v>0</v>
      </c>
      <c r="MK28">
        <v>0</v>
      </c>
      <c r="ML28">
        <v>0</v>
      </c>
      <c r="MM28">
        <v>0</v>
      </c>
      <c r="MN28">
        <v>0</v>
      </c>
      <c r="MO28">
        <v>0</v>
      </c>
      <c r="MP28">
        <v>0</v>
      </c>
      <c r="MQ28">
        <v>0</v>
      </c>
      <c r="MR28">
        <v>0</v>
      </c>
      <c r="MS28">
        <v>0</v>
      </c>
      <c r="MT28">
        <v>0</v>
      </c>
      <c r="MU28">
        <v>0</v>
      </c>
      <c r="MV28">
        <v>0</v>
      </c>
      <c r="MW28">
        <v>0</v>
      </c>
      <c r="MX28">
        <v>0</v>
      </c>
      <c r="MY28">
        <v>0</v>
      </c>
      <c r="MZ28">
        <v>0</v>
      </c>
      <c r="NA28">
        <v>0</v>
      </c>
      <c r="NB28">
        <v>0</v>
      </c>
      <c r="NC28">
        <v>0</v>
      </c>
      <c r="ND28">
        <v>0</v>
      </c>
      <c r="NE28">
        <v>0</v>
      </c>
    </row>
    <row r="29" spans="5:369" x14ac:dyDescent="0.45">
      <c r="E29">
        <v>0</v>
      </c>
      <c r="F29">
        <v>0</v>
      </c>
      <c r="G29">
        <v>0</v>
      </c>
      <c r="H29">
        <v>0</v>
      </c>
      <c r="I29">
        <v>0</v>
      </c>
      <c r="J29">
        <v>0</v>
      </c>
      <c r="K29">
        <v>0</v>
      </c>
      <c r="L29">
        <v>0</v>
      </c>
      <c r="M29">
        <v>0</v>
      </c>
      <c r="N29" t="str">
        <v/>
      </c>
      <c r="O29" t="str">
        <v/>
      </c>
      <c r="P29" t="str">
        <v/>
      </c>
      <c r="Q29" t="str">
        <v/>
      </c>
      <c r="R29" t="str">
        <v/>
      </c>
      <c r="S29" t="str">
        <v/>
      </c>
      <c r="T29" t="str">
        <v/>
      </c>
      <c r="U29">
        <v>0</v>
      </c>
      <c r="V29">
        <v>0</v>
      </c>
      <c r="W29">
        <v>0</v>
      </c>
      <c r="X29">
        <v>0</v>
      </c>
      <c r="Y29">
        <v>0</v>
      </c>
      <c r="Z29">
        <v>0</v>
      </c>
      <c r="AA29">
        <v>0</v>
      </c>
      <c r="AB29">
        <v>0</v>
      </c>
      <c r="AC29">
        <v>0</v>
      </c>
      <c r="AD29">
        <v>0</v>
      </c>
      <c r="AE29">
        <v>0</v>
      </c>
      <c r="AF29">
        <v>0</v>
      </c>
      <c r="AG29">
        <v>0</v>
      </c>
      <c r="AH29">
        <v>0</v>
      </c>
      <c r="AI29">
        <v>0</v>
      </c>
      <c r="AJ29">
        <v>0</v>
      </c>
      <c r="AK29">
        <v>0</v>
      </c>
      <c r="AL29">
        <v>0</v>
      </c>
      <c r="AM29">
        <v>0</v>
      </c>
      <c r="AN29" s="5">
        <v>0</v>
      </c>
      <c r="AO29" t="str">
        <v>A126</v>
      </c>
      <c r="AP29" t="str">
        <v>MUHAMMED ZAID</v>
      </c>
      <c r="AQ29" t="str">
        <v>JARF</v>
      </c>
      <c r="AR29" t="str">
        <v>SUB JUNIOR</v>
      </c>
      <c r="AS29">
        <v>1</v>
      </c>
      <c r="AT29">
        <v>0</v>
      </c>
      <c r="AU29">
        <v>0</v>
      </c>
      <c r="AV29">
        <v>0</v>
      </c>
      <c r="AW29">
        <v>0</v>
      </c>
      <c r="AX29">
        <v>255</v>
      </c>
      <c r="AY29" s="5">
        <v>255</v>
      </c>
      <c r="AZ29" t="str">
        <v>SJ27</v>
      </c>
      <c r="BA29" t="str">
        <v>READING ENG</v>
      </c>
      <c r="BB29" t="str">
        <v>SUB JUNIOR</v>
      </c>
      <c r="BC29" t="str">
        <v>Single</v>
      </c>
      <c r="BD29" t="str">
        <v>Stage</v>
      </c>
      <c r="BE29">
        <v>3</v>
      </c>
      <c r="BF29" t="str">
        <v>Individual</v>
      </c>
      <c r="BG29" t="str">
        <v>Individual</v>
      </c>
      <c r="BH29" t="str">
        <v>P</v>
      </c>
      <c r="BI29" t="str">
        <v>PUBLISHED</v>
      </c>
      <c r="BK29">
        <v>23</v>
      </c>
      <c r="BL29" t="str">
        <v>SJ23</v>
      </c>
      <c r="BM29" t="str">
        <v>KADHAKADHANAM MLM</v>
      </c>
      <c r="BN29">
        <v>3</v>
      </c>
      <c r="BO29" t="str">
        <v>Single</v>
      </c>
      <c r="BP29" t="str">
        <v>Stage</v>
      </c>
      <c r="BQ29" t="str">
        <v>SUB JUNIOR</v>
      </c>
      <c r="BR29" t="str">
        <v>A107</v>
      </c>
      <c r="BS29" t="str">
        <v>A129</v>
      </c>
      <c r="BT29" t="str">
        <v>A140</v>
      </c>
      <c r="BU29">
        <v>0</v>
      </c>
      <c r="BV29">
        <v>0</v>
      </c>
      <c r="BW29">
        <v>0</v>
      </c>
      <c r="BX29">
        <v>0</v>
      </c>
      <c r="BY29" t="str">
        <v>A113</v>
      </c>
      <c r="BZ29" t="str">
        <v>A134</v>
      </c>
      <c r="CA29" t="str">
        <v>A165</v>
      </c>
      <c r="CB29">
        <v>0</v>
      </c>
      <c r="CC29">
        <v>0</v>
      </c>
      <c r="CD29">
        <v>0</v>
      </c>
      <c r="CE29">
        <v>0</v>
      </c>
      <c r="CF29" t="str">
        <v>A109</v>
      </c>
      <c r="CG29" t="str">
        <v>A114</v>
      </c>
      <c r="CH29" t="str">
        <v>A135</v>
      </c>
      <c r="CI29">
        <v>0</v>
      </c>
      <c r="CJ29">
        <v>0</v>
      </c>
      <c r="CK29">
        <v>0</v>
      </c>
      <c r="CL29">
        <v>0</v>
      </c>
      <c r="CM29" t="str">
        <v>A121</v>
      </c>
      <c r="CN29" t="str">
        <v>A155</v>
      </c>
      <c r="CO29" t="str">
        <v>A168</v>
      </c>
      <c r="CP29">
        <v>0</v>
      </c>
      <c r="CQ29">
        <v>0</v>
      </c>
      <c r="CR29">
        <v>0</v>
      </c>
      <c r="CS29">
        <v>0</v>
      </c>
      <c r="CT29">
        <v>0</v>
      </c>
      <c r="CU29">
        <v>0</v>
      </c>
      <c r="CV29">
        <v>0</v>
      </c>
      <c r="CW29">
        <v>0</v>
      </c>
      <c r="CX29">
        <v>0</v>
      </c>
      <c r="CY29">
        <v>0</v>
      </c>
      <c r="CZ29">
        <v>0</v>
      </c>
      <c r="DA29">
        <v>0</v>
      </c>
      <c r="DB29">
        <v>0</v>
      </c>
      <c r="DC29">
        <v>0</v>
      </c>
      <c r="DD29">
        <v>0</v>
      </c>
      <c r="DE29">
        <v>0</v>
      </c>
      <c r="DF29">
        <v>0</v>
      </c>
      <c r="DG29">
        <v>0</v>
      </c>
      <c r="DH29">
        <v>0</v>
      </c>
      <c r="DI29">
        <v>0</v>
      </c>
      <c r="DJ29">
        <v>0</v>
      </c>
      <c r="DK29">
        <v>0</v>
      </c>
      <c r="DL29">
        <v>0</v>
      </c>
      <c r="DM29">
        <v>0</v>
      </c>
      <c r="DN29">
        <v>0</v>
      </c>
      <c r="DO29">
        <v>0</v>
      </c>
      <c r="DP29">
        <v>0</v>
      </c>
      <c r="DQ29">
        <v>0</v>
      </c>
      <c r="DR29">
        <v>0</v>
      </c>
      <c r="DS29">
        <v>0</v>
      </c>
      <c r="DT29">
        <v>0</v>
      </c>
      <c r="DU29">
        <v>0</v>
      </c>
      <c r="DV29">
        <v>0</v>
      </c>
      <c r="DW29">
        <v>0</v>
      </c>
      <c r="DX29">
        <v>0</v>
      </c>
      <c r="DY29">
        <v>0</v>
      </c>
      <c r="DZ29">
        <v>0</v>
      </c>
      <c r="EA29">
        <v>0</v>
      </c>
      <c r="EB29">
        <v>0</v>
      </c>
      <c r="EC29">
        <v>0</v>
      </c>
      <c r="ED29">
        <v>0</v>
      </c>
      <c r="EE29">
        <v>0</v>
      </c>
      <c r="EF29">
        <v>0</v>
      </c>
      <c r="EG29">
        <v>0</v>
      </c>
      <c r="EH29">
        <v>0</v>
      </c>
      <c r="EI29">
        <v>0</v>
      </c>
      <c r="EJ29">
        <v>0</v>
      </c>
      <c r="EK29">
        <v>0</v>
      </c>
      <c r="EL29">
        <v>0</v>
      </c>
      <c r="EM29">
        <v>0</v>
      </c>
      <c r="EN29">
        <v>0</v>
      </c>
      <c r="EO29">
        <v>0</v>
      </c>
      <c r="EP29">
        <v>0</v>
      </c>
      <c r="EQ29">
        <v>0</v>
      </c>
      <c r="ER29">
        <v>0</v>
      </c>
      <c r="ES29">
        <v>0</v>
      </c>
      <c r="ET29">
        <v>0</v>
      </c>
      <c r="EU29">
        <v>0</v>
      </c>
      <c r="EV29">
        <v>0</v>
      </c>
      <c r="EW29">
        <v>0</v>
      </c>
      <c r="EX29">
        <v>0</v>
      </c>
      <c r="EY29">
        <v>0</v>
      </c>
      <c r="EZ29">
        <v>0</v>
      </c>
      <c r="FA29">
        <v>0</v>
      </c>
      <c r="FB29">
        <v>0</v>
      </c>
      <c r="FC29">
        <v>0</v>
      </c>
      <c r="FD29">
        <v>0</v>
      </c>
      <c r="FE29">
        <v>0</v>
      </c>
      <c r="FF29">
        <v>0</v>
      </c>
      <c r="FG29">
        <v>0</v>
      </c>
      <c r="FH29">
        <v>0</v>
      </c>
      <c r="FI29">
        <v>0</v>
      </c>
      <c r="FJ29">
        <v>0</v>
      </c>
      <c r="FK29">
        <v>0</v>
      </c>
      <c r="FL29">
        <v>0</v>
      </c>
      <c r="FM29">
        <v>0</v>
      </c>
      <c r="FN29">
        <v>0</v>
      </c>
      <c r="FO29">
        <v>0</v>
      </c>
      <c r="FP29">
        <v>0</v>
      </c>
      <c r="FQ29">
        <v>0</v>
      </c>
      <c r="FR29">
        <v>0</v>
      </c>
      <c r="FS29">
        <v>0</v>
      </c>
      <c r="FT29">
        <v>0</v>
      </c>
      <c r="FU29">
        <v>0</v>
      </c>
      <c r="FV29">
        <v>0</v>
      </c>
      <c r="FW29">
        <v>0</v>
      </c>
      <c r="FX29">
        <v>0</v>
      </c>
      <c r="FY29">
        <v>0</v>
      </c>
      <c r="FZ29">
        <v>0</v>
      </c>
      <c r="GA29">
        <v>0</v>
      </c>
      <c r="GB29">
        <v>0</v>
      </c>
      <c r="GC29">
        <v>0</v>
      </c>
      <c r="GD29">
        <v>0</v>
      </c>
      <c r="GE29">
        <v>0</v>
      </c>
      <c r="GF29">
        <v>0</v>
      </c>
      <c r="GG29">
        <v>0</v>
      </c>
      <c r="GH29">
        <v>0</v>
      </c>
      <c r="GI29">
        <v>0</v>
      </c>
      <c r="GJ29">
        <v>0</v>
      </c>
      <c r="GK29">
        <v>0</v>
      </c>
      <c r="GL29">
        <v>0</v>
      </c>
      <c r="GM29">
        <v>0</v>
      </c>
      <c r="GN29">
        <v>0</v>
      </c>
      <c r="GO29">
        <v>0</v>
      </c>
      <c r="GP29">
        <v>0</v>
      </c>
      <c r="GQ29">
        <v>0</v>
      </c>
      <c r="GR29">
        <v>0</v>
      </c>
      <c r="GS29">
        <v>0</v>
      </c>
      <c r="GT29">
        <v>0</v>
      </c>
      <c r="GU29">
        <v>0</v>
      </c>
      <c r="GV29">
        <v>0</v>
      </c>
      <c r="GW29">
        <v>0</v>
      </c>
      <c r="GX29">
        <v>0</v>
      </c>
      <c r="GY29">
        <v>0</v>
      </c>
      <c r="GZ29">
        <v>0</v>
      </c>
      <c r="HA29">
        <v>0</v>
      </c>
      <c r="HB29">
        <v>0</v>
      </c>
      <c r="HC29">
        <v>0</v>
      </c>
      <c r="HD29">
        <v>0</v>
      </c>
      <c r="HE29">
        <v>0</v>
      </c>
      <c r="HF29">
        <v>0</v>
      </c>
      <c r="HG29">
        <v>0</v>
      </c>
      <c r="HH29">
        <v>0</v>
      </c>
      <c r="HI29">
        <v>0</v>
      </c>
      <c r="HJ29">
        <v>0</v>
      </c>
      <c r="HK29">
        <v>0</v>
      </c>
      <c r="HL29">
        <v>0</v>
      </c>
      <c r="HM29">
        <v>0</v>
      </c>
      <c r="HN29">
        <v>0</v>
      </c>
      <c r="HO29">
        <v>0</v>
      </c>
      <c r="HP29">
        <v>0</v>
      </c>
      <c r="HQ29">
        <v>0</v>
      </c>
      <c r="HR29">
        <v>0</v>
      </c>
      <c r="HS29">
        <v>0</v>
      </c>
      <c r="HT29">
        <v>0</v>
      </c>
      <c r="HU29">
        <v>0</v>
      </c>
      <c r="HV29">
        <v>0</v>
      </c>
      <c r="HW29">
        <v>0</v>
      </c>
      <c r="HX29">
        <v>0</v>
      </c>
      <c r="HY29">
        <v>0</v>
      </c>
      <c r="HZ29">
        <v>0</v>
      </c>
      <c r="IA29">
        <v>0</v>
      </c>
      <c r="IB29">
        <v>0</v>
      </c>
      <c r="IC29">
        <v>0</v>
      </c>
      <c r="ID29">
        <v>0</v>
      </c>
      <c r="IE29">
        <v>0</v>
      </c>
      <c r="IF29">
        <v>0</v>
      </c>
      <c r="IG29">
        <v>0</v>
      </c>
      <c r="IH29">
        <v>0</v>
      </c>
      <c r="II29">
        <v>0</v>
      </c>
      <c r="IJ29">
        <v>0</v>
      </c>
      <c r="IK29">
        <v>0</v>
      </c>
      <c r="IL29">
        <v>0</v>
      </c>
      <c r="IM29">
        <v>0</v>
      </c>
      <c r="IN29">
        <v>0</v>
      </c>
      <c r="IO29">
        <v>0</v>
      </c>
      <c r="IP29">
        <v>0</v>
      </c>
      <c r="IQ29">
        <v>0</v>
      </c>
      <c r="IR29">
        <v>0</v>
      </c>
      <c r="IS29">
        <v>0</v>
      </c>
      <c r="IT29">
        <v>0</v>
      </c>
      <c r="IU29">
        <v>0</v>
      </c>
      <c r="IV29">
        <v>0</v>
      </c>
      <c r="IW29">
        <v>0</v>
      </c>
      <c r="IX29">
        <v>0</v>
      </c>
      <c r="IY29">
        <v>0</v>
      </c>
      <c r="IZ29">
        <v>0</v>
      </c>
      <c r="JA29">
        <v>0</v>
      </c>
      <c r="JB29">
        <v>0</v>
      </c>
      <c r="JC29">
        <v>0</v>
      </c>
      <c r="JD29">
        <v>0</v>
      </c>
      <c r="JE29">
        <v>0</v>
      </c>
      <c r="JF29">
        <v>0</v>
      </c>
      <c r="JG29">
        <v>0</v>
      </c>
      <c r="JH29">
        <v>0</v>
      </c>
      <c r="JI29">
        <v>0</v>
      </c>
      <c r="JJ29">
        <v>0</v>
      </c>
      <c r="JK29">
        <v>0</v>
      </c>
      <c r="JL29">
        <v>0</v>
      </c>
      <c r="JM29">
        <v>0</v>
      </c>
      <c r="JN29">
        <v>0</v>
      </c>
      <c r="JO29">
        <v>0</v>
      </c>
      <c r="JP29">
        <v>0</v>
      </c>
      <c r="JQ29">
        <v>0</v>
      </c>
      <c r="JR29">
        <v>0</v>
      </c>
      <c r="JS29">
        <v>0</v>
      </c>
      <c r="JT29">
        <v>0</v>
      </c>
      <c r="JU29">
        <v>0</v>
      </c>
      <c r="JV29">
        <v>0</v>
      </c>
      <c r="JW29">
        <v>0</v>
      </c>
      <c r="JX29">
        <v>0</v>
      </c>
      <c r="JY29">
        <v>0</v>
      </c>
      <c r="JZ29">
        <v>0</v>
      </c>
      <c r="KA29">
        <v>0</v>
      </c>
      <c r="KB29">
        <v>0</v>
      </c>
      <c r="KC29">
        <v>0</v>
      </c>
      <c r="KD29">
        <v>0</v>
      </c>
      <c r="KE29">
        <v>0</v>
      </c>
      <c r="KF29">
        <v>0</v>
      </c>
      <c r="KG29">
        <v>0</v>
      </c>
      <c r="KH29">
        <v>0</v>
      </c>
      <c r="KI29">
        <v>0</v>
      </c>
      <c r="KJ29">
        <v>0</v>
      </c>
      <c r="KK29">
        <v>0</v>
      </c>
      <c r="KL29">
        <v>0</v>
      </c>
      <c r="KM29">
        <v>0</v>
      </c>
      <c r="KN29">
        <v>0</v>
      </c>
      <c r="KO29">
        <v>0</v>
      </c>
      <c r="KP29">
        <v>0</v>
      </c>
      <c r="KQ29">
        <v>0</v>
      </c>
      <c r="KR29">
        <v>0</v>
      </c>
      <c r="KS29">
        <v>0</v>
      </c>
      <c r="KT29">
        <v>0</v>
      </c>
      <c r="KU29">
        <v>0</v>
      </c>
      <c r="KV29">
        <v>0</v>
      </c>
      <c r="KW29">
        <v>0</v>
      </c>
      <c r="KX29">
        <v>0</v>
      </c>
      <c r="KY29">
        <v>0</v>
      </c>
      <c r="KZ29">
        <v>0</v>
      </c>
      <c r="LA29">
        <v>0</v>
      </c>
      <c r="LB29">
        <v>0</v>
      </c>
      <c r="LC29">
        <v>0</v>
      </c>
      <c r="LD29">
        <v>0</v>
      </c>
      <c r="LE29">
        <v>0</v>
      </c>
      <c r="LF29">
        <v>0</v>
      </c>
      <c r="LG29">
        <v>0</v>
      </c>
      <c r="LH29">
        <v>0</v>
      </c>
      <c r="LI29">
        <v>0</v>
      </c>
      <c r="LJ29">
        <v>0</v>
      </c>
      <c r="LK29">
        <v>0</v>
      </c>
      <c r="LL29">
        <v>0</v>
      </c>
      <c r="LM29">
        <v>0</v>
      </c>
      <c r="LN29">
        <v>0</v>
      </c>
      <c r="LO29">
        <v>0</v>
      </c>
      <c r="LP29">
        <v>0</v>
      </c>
      <c r="LQ29">
        <v>0</v>
      </c>
      <c r="LR29">
        <v>0</v>
      </c>
      <c r="LS29">
        <v>0</v>
      </c>
      <c r="LT29">
        <v>0</v>
      </c>
      <c r="LU29">
        <v>0</v>
      </c>
      <c r="LV29">
        <v>0</v>
      </c>
      <c r="LW29">
        <v>0</v>
      </c>
      <c r="LX29">
        <v>0</v>
      </c>
      <c r="LY29">
        <v>0</v>
      </c>
      <c r="LZ29">
        <v>0</v>
      </c>
      <c r="MA29">
        <v>0</v>
      </c>
      <c r="MB29">
        <v>0</v>
      </c>
      <c r="MC29">
        <v>0</v>
      </c>
      <c r="MD29">
        <v>0</v>
      </c>
      <c r="ME29">
        <v>0</v>
      </c>
      <c r="MF29">
        <v>0</v>
      </c>
      <c r="MG29">
        <v>0</v>
      </c>
      <c r="MH29">
        <v>0</v>
      </c>
      <c r="MI29">
        <v>0</v>
      </c>
      <c r="MJ29">
        <v>0</v>
      </c>
      <c r="MK29">
        <v>0</v>
      </c>
      <c r="ML29">
        <v>0</v>
      </c>
      <c r="MM29">
        <v>0</v>
      </c>
      <c r="MN29">
        <v>0</v>
      </c>
      <c r="MO29">
        <v>0</v>
      </c>
      <c r="MP29">
        <v>0</v>
      </c>
      <c r="MQ29">
        <v>0</v>
      </c>
      <c r="MR29">
        <v>0</v>
      </c>
      <c r="MS29">
        <v>0</v>
      </c>
      <c r="MT29">
        <v>0</v>
      </c>
      <c r="MU29">
        <v>0</v>
      </c>
      <c r="MV29">
        <v>0</v>
      </c>
      <c r="MW29">
        <v>0</v>
      </c>
      <c r="MX29">
        <v>0</v>
      </c>
      <c r="MY29">
        <v>0</v>
      </c>
      <c r="MZ29">
        <v>0</v>
      </c>
      <c r="NA29">
        <v>0</v>
      </c>
      <c r="NB29">
        <v>0</v>
      </c>
      <c r="NC29">
        <v>0</v>
      </c>
      <c r="ND29">
        <v>0</v>
      </c>
      <c r="NE29">
        <v>0</v>
      </c>
    </row>
    <row r="30" spans="5:369" x14ac:dyDescent="0.45">
      <c r="E30">
        <v>0</v>
      </c>
      <c r="F30">
        <v>0</v>
      </c>
      <c r="G30">
        <v>0</v>
      </c>
      <c r="H30">
        <v>0</v>
      </c>
      <c r="I30">
        <v>0</v>
      </c>
      <c r="J30">
        <v>0</v>
      </c>
      <c r="K30">
        <v>0</v>
      </c>
      <c r="L30">
        <v>0</v>
      </c>
      <c r="M30">
        <v>0</v>
      </c>
      <c r="N30" t="str">
        <v/>
      </c>
      <c r="O30" t="str">
        <v/>
      </c>
      <c r="P30" t="str">
        <v/>
      </c>
      <c r="Q30" t="str">
        <v/>
      </c>
      <c r="R30" t="str">
        <v/>
      </c>
      <c r="S30" t="str">
        <v/>
      </c>
      <c r="T30" t="str">
        <v/>
      </c>
      <c r="U30">
        <v>0</v>
      </c>
      <c r="V30">
        <v>0</v>
      </c>
      <c r="W30">
        <v>0</v>
      </c>
      <c r="X30">
        <v>0</v>
      </c>
      <c r="Y30">
        <v>0</v>
      </c>
      <c r="Z30">
        <v>0</v>
      </c>
      <c r="AA30">
        <v>0</v>
      </c>
      <c r="AB30">
        <v>0</v>
      </c>
      <c r="AC30">
        <v>0</v>
      </c>
      <c r="AD30">
        <v>0</v>
      </c>
      <c r="AE30">
        <v>0</v>
      </c>
      <c r="AF30">
        <v>0</v>
      </c>
      <c r="AG30">
        <v>0</v>
      </c>
      <c r="AH30">
        <v>0</v>
      </c>
      <c r="AI30">
        <v>0</v>
      </c>
      <c r="AJ30">
        <v>0</v>
      </c>
      <c r="AK30">
        <v>0</v>
      </c>
      <c r="AL30">
        <v>0</v>
      </c>
      <c r="AM30">
        <v>0</v>
      </c>
      <c r="AN30" s="5">
        <v>0</v>
      </c>
      <c r="AO30" t="str">
        <v>A127</v>
      </c>
      <c r="AP30" t="str">
        <v>MUHAMMED HAFEEZ P</v>
      </c>
      <c r="AQ30" t="str">
        <v>BADF</v>
      </c>
      <c r="AR30" t="str">
        <v>SUB JUNIOR</v>
      </c>
      <c r="AS30">
        <v>1</v>
      </c>
      <c r="AT30">
        <v>1</v>
      </c>
      <c r="AU30">
        <v>0</v>
      </c>
      <c r="AV30">
        <v>1</v>
      </c>
      <c r="AW30">
        <v>1</v>
      </c>
      <c r="AX30">
        <v>231</v>
      </c>
      <c r="AY30" s="5">
        <v>231</v>
      </c>
      <c r="AZ30" t="str">
        <v>SJ28</v>
      </c>
      <c r="BA30" t="str">
        <v>READING HINDI</v>
      </c>
      <c r="BB30" t="str">
        <v>SUB JUNIOR</v>
      </c>
      <c r="BC30" t="str">
        <v>Single</v>
      </c>
      <c r="BD30" t="str">
        <v>Stage</v>
      </c>
      <c r="BE30">
        <v>3</v>
      </c>
      <c r="BF30" t="str">
        <v>Individual</v>
      </c>
      <c r="BG30" t="str">
        <v>Individual</v>
      </c>
      <c r="BH30" t="str">
        <v>P</v>
      </c>
      <c r="BI30" t="str">
        <v>PUBLISHED</v>
      </c>
      <c r="BK30">
        <v>24</v>
      </c>
      <c r="BL30" t="str">
        <v>SJ24</v>
      </c>
      <c r="BM30" t="str">
        <v>NJAN MALAYALI</v>
      </c>
      <c r="BN30">
        <v>3</v>
      </c>
      <c r="BO30" t="str">
        <v>Single</v>
      </c>
      <c r="BP30" t="str">
        <v>Stage</v>
      </c>
      <c r="BQ30" t="str">
        <v>SUB JUNIOR</v>
      </c>
      <c r="BR30" t="str">
        <v>A100</v>
      </c>
      <c r="BS30" t="str">
        <v>A140</v>
      </c>
      <c r="BT30" t="str">
        <v>A143</v>
      </c>
      <c r="BU30">
        <v>0</v>
      </c>
      <c r="BV30">
        <v>0</v>
      </c>
      <c r="BW30">
        <v>0</v>
      </c>
      <c r="BX30">
        <v>0</v>
      </c>
      <c r="BY30" t="str">
        <v>A165</v>
      </c>
      <c r="BZ30" t="str">
        <v>A170</v>
      </c>
      <c r="CA30" t="str">
        <v>A172</v>
      </c>
      <c r="CB30">
        <v>0</v>
      </c>
      <c r="CC30">
        <v>0</v>
      </c>
      <c r="CD30">
        <v>0</v>
      </c>
      <c r="CE30">
        <v>0</v>
      </c>
      <c r="CF30" t="str">
        <v>A114</v>
      </c>
      <c r="CG30" t="str">
        <v>A136</v>
      </c>
      <c r="CH30" t="str">
        <v>A142</v>
      </c>
      <c r="CI30">
        <v>0</v>
      </c>
      <c r="CJ30">
        <v>0</v>
      </c>
      <c r="CK30">
        <v>0</v>
      </c>
      <c r="CL30">
        <v>0</v>
      </c>
      <c r="CM30" t="str">
        <v>A102</v>
      </c>
      <c r="CN30" t="str">
        <v>A126</v>
      </c>
      <c r="CO30" t="str">
        <v>A155</v>
      </c>
      <c r="CP30">
        <v>0</v>
      </c>
      <c r="CQ30">
        <v>0</v>
      </c>
      <c r="CR30">
        <v>0</v>
      </c>
      <c r="CS30">
        <v>0</v>
      </c>
      <c r="CT30">
        <v>0</v>
      </c>
      <c r="CU30">
        <v>0</v>
      </c>
      <c r="CV30">
        <v>0</v>
      </c>
      <c r="CW30">
        <v>0</v>
      </c>
      <c r="CX30">
        <v>0</v>
      </c>
      <c r="CY30">
        <v>0</v>
      </c>
      <c r="CZ30">
        <v>0</v>
      </c>
      <c r="DA30">
        <v>0</v>
      </c>
      <c r="DB30">
        <v>0</v>
      </c>
      <c r="DC30">
        <v>0</v>
      </c>
      <c r="DD30">
        <v>0</v>
      </c>
      <c r="DE30">
        <v>0</v>
      </c>
      <c r="DF30">
        <v>0</v>
      </c>
      <c r="DG30">
        <v>0</v>
      </c>
      <c r="DH30">
        <v>0</v>
      </c>
      <c r="DI30">
        <v>0</v>
      </c>
      <c r="DJ30">
        <v>0</v>
      </c>
      <c r="DK30">
        <v>0</v>
      </c>
      <c r="DL30">
        <v>0</v>
      </c>
      <c r="DM30">
        <v>0</v>
      </c>
      <c r="DN30">
        <v>0</v>
      </c>
      <c r="DO30">
        <v>0</v>
      </c>
      <c r="DP30">
        <v>0</v>
      </c>
      <c r="DQ30">
        <v>0</v>
      </c>
      <c r="DR30">
        <v>0</v>
      </c>
      <c r="DS30">
        <v>0</v>
      </c>
      <c r="DT30">
        <v>0</v>
      </c>
      <c r="DU30">
        <v>0</v>
      </c>
      <c r="DV30">
        <v>0</v>
      </c>
      <c r="DW30">
        <v>0</v>
      </c>
      <c r="DX30">
        <v>0</v>
      </c>
      <c r="DY30">
        <v>0</v>
      </c>
      <c r="DZ30">
        <v>0</v>
      </c>
      <c r="EA30">
        <v>0</v>
      </c>
      <c r="EB30">
        <v>0</v>
      </c>
      <c r="EC30">
        <v>0</v>
      </c>
      <c r="ED30">
        <v>0</v>
      </c>
      <c r="EE30">
        <v>0</v>
      </c>
      <c r="EF30">
        <v>0</v>
      </c>
      <c r="EG30">
        <v>0</v>
      </c>
      <c r="EH30">
        <v>0</v>
      </c>
      <c r="EI30">
        <v>0</v>
      </c>
      <c r="EJ30">
        <v>0</v>
      </c>
      <c r="EK30">
        <v>0</v>
      </c>
      <c r="EL30">
        <v>0</v>
      </c>
      <c r="EM30">
        <v>0</v>
      </c>
      <c r="EN30">
        <v>0</v>
      </c>
      <c r="EO30">
        <v>0</v>
      </c>
      <c r="EP30">
        <v>0</v>
      </c>
      <c r="EQ30">
        <v>0</v>
      </c>
      <c r="ER30">
        <v>0</v>
      </c>
      <c r="ES30">
        <v>0</v>
      </c>
      <c r="ET30">
        <v>0</v>
      </c>
      <c r="EU30">
        <v>0</v>
      </c>
      <c r="EV30">
        <v>0</v>
      </c>
      <c r="EW30">
        <v>0</v>
      </c>
      <c r="EX30">
        <v>0</v>
      </c>
      <c r="EY30">
        <v>0</v>
      </c>
      <c r="EZ30">
        <v>0</v>
      </c>
      <c r="FA30">
        <v>0</v>
      </c>
      <c r="FB30">
        <v>0</v>
      </c>
      <c r="FC30">
        <v>0</v>
      </c>
      <c r="FD30">
        <v>0</v>
      </c>
      <c r="FE30">
        <v>0</v>
      </c>
      <c r="FF30">
        <v>0</v>
      </c>
      <c r="FG30">
        <v>0</v>
      </c>
      <c r="FH30">
        <v>0</v>
      </c>
      <c r="FI30">
        <v>0</v>
      </c>
      <c r="FJ30">
        <v>0</v>
      </c>
      <c r="FK30">
        <v>0</v>
      </c>
      <c r="FL30">
        <v>0</v>
      </c>
      <c r="FM30">
        <v>0</v>
      </c>
      <c r="FN30">
        <v>0</v>
      </c>
      <c r="FO30">
        <v>0</v>
      </c>
      <c r="FP30">
        <v>0</v>
      </c>
      <c r="FQ30">
        <v>0</v>
      </c>
      <c r="FR30">
        <v>0</v>
      </c>
      <c r="FS30">
        <v>0</v>
      </c>
      <c r="FT30">
        <v>0</v>
      </c>
      <c r="FU30">
        <v>0</v>
      </c>
      <c r="FV30">
        <v>0</v>
      </c>
      <c r="FW30">
        <v>0</v>
      </c>
      <c r="FX30">
        <v>0</v>
      </c>
      <c r="FY30">
        <v>0</v>
      </c>
      <c r="FZ30">
        <v>0</v>
      </c>
      <c r="GA30">
        <v>0</v>
      </c>
      <c r="GB30">
        <v>0</v>
      </c>
      <c r="GC30">
        <v>0</v>
      </c>
      <c r="GD30">
        <v>0</v>
      </c>
      <c r="GE30">
        <v>0</v>
      </c>
      <c r="GF30">
        <v>0</v>
      </c>
      <c r="GG30">
        <v>0</v>
      </c>
      <c r="GH30">
        <v>0</v>
      </c>
      <c r="GI30">
        <v>0</v>
      </c>
      <c r="GJ30">
        <v>0</v>
      </c>
      <c r="GK30">
        <v>0</v>
      </c>
      <c r="GL30">
        <v>0</v>
      </c>
      <c r="GM30">
        <v>0</v>
      </c>
      <c r="GN30">
        <v>0</v>
      </c>
      <c r="GO30">
        <v>0</v>
      </c>
      <c r="GP30">
        <v>0</v>
      </c>
      <c r="GQ30">
        <v>0</v>
      </c>
      <c r="GR30">
        <v>0</v>
      </c>
      <c r="GS30">
        <v>0</v>
      </c>
      <c r="GT30">
        <v>0</v>
      </c>
      <c r="GU30">
        <v>0</v>
      </c>
      <c r="GV30">
        <v>0</v>
      </c>
      <c r="GW30">
        <v>0</v>
      </c>
      <c r="GX30">
        <v>0</v>
      </c>
      <c r="GY30">
        <v>0</v>
      </c>
      <c r="GZ30">
        <v>0</v>
      </c>
      <c r="HA30">
        <v>0</v>
      </c>
      <c r="HB30">
        <v>0</v>
      </c>
      <c r="HC30">
        <v>0</v>
      </c>
      <c r="HD30">
        <v>0</v>
      </c>
      <c r="HE30">
        <v>0</v>
      </c>
      <c r="HF30">
        <v>0</v>
      </c>
      <c r="HG30">
        <v>0</v>
      </c>
      <c r="HH30">
        <v>0</v>
      </c>
      <c r="HI30">
        <v>0</v>
      </c>
      <c r="HJ30">
        <v>0</v>
      </c>
      <c r="HK30">
        <v>0</v>
      </c>
      <c r="HL30">
        <v>0</v>
      </c>
      <c r="HM30">
        <v>0</v>
      </c>
      <c r="HN30">
        <v>0</v>
      </c>
      <c r="HO30">
        <v>0</v>
      </c>
      <c r="HP30">
        <v>0</v>
      </c>
      <c r="HQ30">
        <v>0</v>
      </c>
      <c r="HR30">
        <v>0</v>
      </c>
      <c r="HS30">
        <v>0</v>
      </c>
      <c r="HT30">
        <v>0</v>
      </c>
      <c r="HU30">
        <v>0</v>
      </c>
      <c r="HV30">
        <v>0</v>
      </c>
      <c r="HW30">
        <v>0</v>
      </c>
      <c r="HX30">
        <v>0</v>
      </c>
      <c r="HY30">
        <v>0</v>
      </c>
      <c r="HZ30">
        <v>0</v>
      </c>
      <c r="IA30">
        <v>0</v>
      </c>
      <c r="IB30">
        <v>0</v>
      </c>
      <c r="IC30">
        <v>0</v>
      </c>
      <c r="ID30">
        <v>0</v>
      </c>
      <c r="IE30">
        <v>0</v>
      </c>
      <c r="IF30">
        <v>0</v>
      </c>
      <c r="IG30">
        <v>0</v>
      </c>
      <c r="IH30">
        <v>0</v>
      </c>
      <c r="II30">
        <v>0</v>
      </c>
      <c r="IJ30">
        <v>0</v>
      </c>
      <c r="IK30">
        <v>0</v>
      </c>
      <c r="IL30">
        <v>0</v>
      </c>
      <c r="IM30">
        <v>0</v>
      </c>
      <c r="IN30">
        <v>0</v>
      </c>
      <c r="IO30">
        <v>0</v>
      </c>
      <c r="IP30">
        <v>0</v>
      </c>
      <c r="IQ30">
        <v>0</v>
      </c>
      <c r="IR30">
        <v>0</v>
      </c>
      <c r="IS30">
        <v>0</v>
      </c>
      <c r="IT30">
        <v>0</v>
      </c>
      <c r="IU30">
        <v>0</v>
      </c>
      <c r="IV30">
        <v>0</v>
      </c>
      <c r="IW30">
        <v>0</v>
      </c>
      <c r="IX30">
        <v>0</v>
      </c>
      <c r="IY30">
        <v>0</v>
      </c>
      <c r="IZ30">
        <v>0</v>
      </c>
      <c r="JA30">
        <v>0</v>
      </c>
      <c r="JB30">
        <v>0</v>
      </c>
      <c r="JC30">
        <v>0</v>
      </c>
      <c r="JD30">
        <v>0</v>
      </c>
      <c r="JE30">
        <v>0</v>
      </c>
      <c r="JF30">
        <v>0</v>
      </c>
      <c r="JG30">
        <v>0</v>
      </c>
      <c r="JH30">
        <v>0</v>
      </c>
      <c r="JI30">
        <v>0</v>
      </c>
      <c r="JJ30">
        <v>0</v>
      </c>
      <c r="JK30">
        <v>0</v>
      </c>
      <c r="JL30">
        <v>0</v>
      </c>
      <c r="JM30">
        <v>0</v>
      </c>
      <c r="JN30">
        <v>0</v>
      </c>
      <c r="JO30">
        <v>0</v>
      </c>
      <c r="JP30">
        <v>0</v>
      </c>
      <c r="JQ30">
        <v>0</v>
      </c>
      <c r="JR30">
        <v>0</v>
      </c>
      <c r="JS30">
        <v>0</v>
      </c>
      <c r="JT30">
        <v>0</v>
      </c>
      <c r="JU30">
        <v>0</v>
      </c>
      <c r="JV30">
        <v>0</v>
      </c>
      <c r="JW30">
        <v>0</v>
      </c>
      <c r="JX30">
        <v>0</v>
      </c>
      <c r="JY30">
        <v>0</v>
      </c>
      <c r="JZ30">
        <v>0</v>
      </c>
      <c r="KA30">
        <v>0</v>
      </c>
      <c r="KB30">
        <v>0</v>
      </c>
      <c r="KC30">
        <v>0</v>
      </c>
      <c r="KD30">
        <v>0</v>
      </c>
      <c r="KE30">
        <v>0</v>
      </c>
      <c r="KF30">
        <v>0</v>
      </c>
      <c r="KG30">
        <v>0</v>
      </c>
      <c r="KH30">
        <v>0</v>
      </c>
      <c r="KI30">
        <v>0</v>
      </c>
      <c r="KJ30">
        <v>0</v>
      </c>
      <c r="KK30">
        <v>0</v>
      </c>
      <c r="KL30">
        <v>0</v>
      </c>
      <c r="KM30">
        <v>0</v>
      </c>
      <c r="KN30">
        <v>0</v>
      </c>
      <c r="KO30">
        <v>0</v>
      </c>
      <c r="KP30">
        <v>0</v>
      </c>
      <c r="KQ30">
        <v>0</v>
      </c>
      <c r="KR30">
        <v>0</v>
      </c>
      <c r="KS30">
        <v>0</v>
      </c>
      <c r="KT30">
        <v>0</v>
      </c>
      <c r="KU30">
        <v>0</v>
      </c>
      <c r="KV30">
        <v>0</v>
      </c>
      <c r="KW30">
        <v>0</v>
      </c>
      <c r="KX30">
        <v>0</v>
      </c>
      <c r="KY30">
        <v>0</v>
      </c>
      <c r="KZ30">
        <v>0</v>
      </c>
      <c r="LA30">
        <v>0</v>
      </c>
      <c r="LB30">
        <v>0</v>
      </c>
      <c r="LC30">
        <v>0</v>
      </c>
      <c r="LD30">
        <v>0</v>
      </c>
      <c r="LE30">
        <v>0</v>
      </c>
      <c r="LF30">
        <v>0</v>
      </c>
      <c r="LG30">
        <v>0</v>
      </c>
      <c r="LH30">
        <v>0</v>
      </c>
      <c r="LI30">
        <v>0</v>
      </c>
      <c r="LJ30">
        <v>0</v>
      </c>
      <c r="LK30">
        <v>0</v>
      </c>
      <c r="LL30">
        <v>0</v>
      </c>
      <c r="LM30">
        <v>0</v>
      </c>
      <c r="LN30">
        <v>0</v>
      </c>
      <c r="LO30">
        <v>0</v>
      </c>
      <c r="LP30">
        <v>0</v>
      </c>
      <c r="LQ30">
        <v>0</v>
      </c>
      <c r="LR30">
        <v>0</v>
      </c>
      <c r="LS30">
        <v>0</v>
      </c>
      <c r="LT30">
        <v>0</v>
      </c>
      <c r="LU30">
        <v>0</v>
      </c>
      <c r="LV30">
        <v>0</v>
      </c>
      <c r="LW30">
        <v>0</v>
      </c>
      <c r="LX30">
        <v>0</v>
      </c>
      <c r="LY30">
        <v>0</v>
      </c>
      <c r="LZ30">
        <v>0</v>
      </c>
      <c r="MA30">
        <v>0</v>
      </c>
      <c r="MB30">
        <v>0</v>
      </c>
      <c r="MC30">
        <v>0</v>
      </c>
      <c r="MD30">
        <v>0</v>
      </c>
      <c r="ME30">
        <v>0</v>
      </c>
      <c r="MF30">
        <v>0</v>
      </c>
      <c r="MG30">
        <v>0</v>
      </c>
      <c r="MH30">
        <v>0</v>
      </c>
      <c r="MI30">
        <v>0</v>
      </c>
      <c r="MJ30">
        <v>0</v>
      </c>
      <c r="MK30">
        <v>0</v>
      </c>
      <c r="ML30">
        <v>0</v>
      </c>
      <c r="MM30">
        <v>0</v>
      </c>
      <c r="MN30">
        <v>0</v>
      </c>
      <c r="MO30">
        <v>0</v>
      </c>
      <c r="MP30">
        <v>0</v>
      </c>
      <c r="MQ30">
        <v>0</v>
      </c>
      <c r="MR30">
        <v>0</v>
      </c>
      <c r="MS30">
        <v>0</v>
      </c>
      <c r="MT30">
        <v>0</v>
      </c>
      <c r="MU30">
        <v>0</v>
      </c>
      <c r="MV30">
        <v>0</v>
      </c>
      <c r="MW30">
        <v>0</v>
      </c>
      <c r="MX30">
        <v>0</v>
      </c>
      <c r="MY30">
        <v>0</v>
      </c>
      <c r="MZ30">
        <v>0</v>
      </c>
      <c r="NA30">
        <v>0</v>
      </c>
      <c r="NB30">
        <v>0</v>
      </c>
      <c r="NC30">
        <v>0</v>
      </c>
      <c r="ND30">
        <v>0</v>
      </c>
      <c r="NE30">
        <v>0</v>
      </c>
    </row>
    <row r="31" spans="5:369" x14ac:dyDescent="0.45">
      <c r="E31">
        <v>0</v>
      </c>
      <c r="F31">
        <v>0</v>
      </c>
      <c r="G31">
        <v>0</v>
      </c>
      <c r="H31">
        <v>0</v>
      </c>
      <c r="I31">
        <v>0</v>
      </c>
      <c r="J31">
        <v>0</v>
      </c>
      <c r="K31">
        <v>0</v>
      </c>
      <c r="L31">
        <v>0</v>
      </c>
      <c r="M31">
        <v>0</v>
      </c>
      <c r="N31" t="str">
        <v/>
      </c>
      <c r="O31" t="str">
        <v/>
      </c>
      <c r="P31" t="str">
        <v/>
      </c>
      <c r="Q31" t="str">
        <v/>
      </c>
      <c r="R31" t="str">
        <v/>
      </c>
      <c r="S31" t="str">
        <v/>
      </c>
      <c r="T31" t="str">
        <v/>
      </c>
      <c r="U31">
        <v>0</v>
      </c>
      <c r="V31">
        <v>0</v>
      </c>
      <c r="W31">
        <v>0</v>
      </c>
      <c r="X31">
        <v>0</v>
      </c>
      <c r="Y31">
        <v>0</v>
      </c>
      <c r="Z31">
        <v>0</v>
      </c>
      <c r="AA31">
        <v>0</v>
      </c>
      <c r="AB31">
        <v>0</v>
      </c>
      <c r="AC31">
        <v>0</v>
      </c>
      <c r="AD31">
        <v>0</v>
      </c>
      <c r="AE31">
        <v>0</v>
      </c>
      <c r="AF31">
        <v>0</v>
      </c>
      <c r="AG31">
        <v>0</v>
      </c>
      <c r="AH31">
        <v>0</v>
      </c>
      <c r="AI31">
        <v>0</v>
      </c>
      <c r="AJ31">
        <v>0</v>
      </c>
      <c r="AK31">
        <v>0</v>
      </c>
      <c r="AL31">
        <v>0</v>
      </c>
      <c r="AM31">
        <v>0</v>
      </c>
      <c r="AN31" s="5">
        <v>0</v>
      </c>
      <c r="AO31" t="str">
        <v>A128</v>
      </c>
      <c r="AP31" t="str">
        <v>MOHAMMED HAFEEZ B</v>
      </c>
      <c r="AQ31" t="str">
        <v>DAHF</v>
      </c>
      <c r="AR31" t="str">
        <v>SUB JUNIOR</v>
      </c>
      <c r="AS31">
        <v>1</v>
      </c>
      <c r="AT31">
        <v>0</v>
      </c>
      <c r="AU31">
        <v>0</v>
      </c>
      <c r="AV31">
        <v>0</v>
      </c>
      <c r="AW31">
        <v>0</v>
      </c>
      <c r="AX31">
        <v>255</v>
      </c>
      <c r="AY31" s="5">
        <v>255</v>
      </c>
      <c r="AZ31" t="str">
        <v>SJ29</v>
      </c>
      <c r="BA31" t="str">
        <v>READING MLM</v>
      </c>
      <c r="BB31" t="str">
        <v>SUB JUNIOR</v>
      </c>
      <c r="BC31" t="str">
        <v>Single</v>
      </c>
      <c r="BD31" t="str">
        <v>Stage</v>
      </c>
      <c r="BE31">
        <v>3</v>
      </c>
      <c r="BF31" t="str">
        <v>Individual</v>
      </c>
      <c r="BG31" t="str">
        <v>Individual</v>
      </c>
      <c r="BH31" t="str">
        <v>P</v>
      </c>
      <c r="BI31" t="str">
        <v>PUBLISHED</v>
      </c>
      <c r="BK31">
        <v>25</v>
      </c>
      <c r="BL31" t="str">
        <v>SJ25</v>
      </c>
      <c r="BM31" t="str">
        <v>POEM RECITATION</v>
      </c>
      <c r="BN31">
        <v>3</v>
      </c>
      <c r="BO31" t="str">
        <v>Single</v>
      </c>
      <c r="BP31" t="str">
        <v>Stage</v>
      </c>
      <c r="BQ31" t="str">
        <v>SUB JUNIOR</v>
      </c>
      <c r="BR31" t="str">
        <v>A110</v>
      </c>
      <c r="BS31" t="str">
        <v>A153</v>
      </c>
      <c r="BT31" t="str">
        <v>A169</v>
      </c>
      <c r="BU31">
        <v>0</v>
      </c>
      <c r="BV31">
        <v>0</v>
      </c>
      <c r="BW31">
        <v>0</v>
      </c>
      <c r="BX31">
        <v>0</v>
      </c>
      <c r="BY31" t="str">
        <v>A112</v>
      </c>
      <c r="BZ31" t="str">
        <v>A165</v>
      </c>
      <c r="CA31" t="str">
        <v>A170</v>
      </c>
      <c r="CB31">
        <v>0</v>
      </c>
      <c r="CC31">
        <v>0</v>
      </c>
      <c r="CD31">
        <v>0</v>
      </c>
      <c r="CE31">
        <v>0</v>
      </c>
      <c r="CF31" t="str">
        <v>A124</v>
      </c>
      <c r="CG31" t="str">
        <v>A136</v>
      </c>
      <c r="CH31" t="str">
        <v>A167</v>
      </c>
      <c r="CI31">
        <v>0</v>
      </c>
      <c r="CJ31">
        <v>0</v>
      </c>
      <c r="CK31">
        <v>0</v>
      </c>
      <c r="CL31">
        <v>0</v>
      </c>
      <c r="CM31" t="str">
        <v>A101</v>
      </c>
      <c r="CN31" t="str">
        <v>A141</v>
      </c>
      <c r="CO31" t="str">
        <v>A159</v>
      </c>
      <c r="CP31">
        <v>0</v>
      </c>
      <c r="CQ31">
        <v>0</v>
      </c>
      <c r="CR31">
        <v>0</v>
      </c>
      <c r="CS31">
        <v>0</v>
      </c>
      <c r="CT31">
        <v>0</v>
      </c>
      <c r="CU31">
        <v>0</v>
      </c>
      <c r="CV31">
        <v>0</v>
      </c>
      <c r="CW31">
        <v>0</v>
      </c>
      <c r="CX31">
        <v>0</v>
      </c>
      <c r="CY31">
        <v>0</v>
      </c>
      <c r="CZ31">
        <v>0</v>
      </c>
      <c r="DA31">
        <v>0</v>
      </c>
      <c r="DB31">
        <v>0</v>
      </c>
      <c r="DC31">
        <v>0</v>
      </c>
      <c r="DD31">
        <v>0</v>
      </c>
      <c r="DE31">
        <v>0</v>
      </c>
      <c r="DF31">
        <v>0</v>
      </c>
      <c r="DG31">
        <v>0</v>
      </c>
      <c r="DH31">
        <v>0</v>
      </c>
      <c r="DI31">
        <v>0</v>
      </c>
      <c r="DJ31">
        <v>0</v>
      </c>
      <c r="DK31">
        <v>0</v>
      </c>
      <c r="DL31">
        <v>0</v>
      </c>
      <c r="DM31">
        <v>0</v>
      </c>
      <c r="DN31">
        <v>0</v>
      </c>
      <c r="DO31">
        <v>0</v>
      </c>
      <c r="DP31">
        <v>0</v>
      </c>
      <c r="DQ31">
        <v>0</v>
      </c>
      <c r="DR31">
        <v>0</v>
      </c>
      <c r="DS31">
        <v>0</v>
      </c>
      <c r="DT31">
        <v>0</v>
      </c>
      <c r="DU31">
        <v>0</v>
      </c>
      <c r="DV31">
        <v>0</v>
      </c>
      <c r="DW31">
        <v>0</v>
      </c>
      <c r="DX31">
        <v>0</v>
      </c>
      <c r="DY31">
        <v>0</v>
      </c>
      <c r="DZ31">
        <v>0</v>
      </c>
      <c r="EA31">
        <v>0</v>
      </c>
      <c r="EB31">
        <v>0</v>
      </c>
      <c r="EC31">
        <v>0</v>
      </c>
      <c r="ED31">
        <v>0</v>
      </c>
      <c r="EE31">
        <v>0</v>
      </c>
      <c r="EF31">
        <v>0</v>
      </c>
      <c r="EG31">
        <v>0</v>
      </c>
      <c r="EH31">
        <v>0</v>
      </c>
      <c r="EI31">
        <v>0</v>
      </c>
      <c r="EJ31">
        <v>0</v>
      </c>
      <c r="EK31">
        <v>0</v>
      </c>
      <c r="EL31">
        <v>0</v>
      </c>
      <c r="EM31">
        <v>0</v>
      </c>
      <c r="EN31">
        <v>0</v>
      </c>
      <c r="EO31">
        <v>0</v>
      </c>
      <c r="EP31">
        <v>0</v>
      </c>
      <c r="EQ31">
        <v>0</v>
      </c>
      <c r="ER31">
        <v>0</v>
      </c>
      <c r="ES31">
        <v>0</v>
      </c>
      <c r="ET31">
        <v>0</v>
      </c>
      <c r="EU31">
        <v>0</v>
      </c>
      <c r="EV31">
        <v>0</v>
      </c>
      <c r="EW31">
        <v>0</v>
      </c>
      <c r="EX31">
        <v>0</v>
      </c>
      <c r="EY31">
        <v>0</v>
      </c>
      <c r="EZ31">
        <v>0</v>
      </c>
      <c r="FA31">
        <v>0</v>
      </c>
      <c r="FB31">
        <v>0</v>
      </c>
      <c r="FC31">
        <v>0</v>
      </c>
      <c r="FD31">
        <v>0</v>
      </c>
      <c r="FE31">
        <v>0</v>
      </c>
      <c r="FF31">
        <v>0</v>
      </c>
      <c r="FG31">
        <v>0</v>
      </c>
      <c r="FH31">
        <v>0</v>
      </c>
      <c r="FI31">
        <v>0</v>
      </c>
      <c r="FJ31">
        <v>0</v>
      </c>
      <c r="FK31">
        <v>0</v>
      </c>
      <c r="FL31">
        <v>0</v>
      </c>
      <c r="FM31">
        <v>0</v>
      </c>
      <c r="FN31">
        <v>0</v>
      </c>
      <c r="FO31">
        <v>0</v>
      </c>
      <c r="FP31">
        <v>0</v>
      </c>
      <c r="FQ31">
        <v>0</v>
      </c>
      <c r="FR31">
        <v>0</v>
      </c>
      <c r="FS31">
        <v>0</v>
      </c>
      <c r="FT31">
        <v>0</v>
      </c>
      <c r="FU31">
        <v>0</v>
      </c>
      <c r="FV31">
        <v>0</v>
      </c>
      <c r="FW31">
        <v>0</v>
      </c>
      <c r="FX31">
        <v>0</v>
      </c>
      <c r="FY31">
        <v>0</v>
      </c>
      <c r="FZ31">
        <v>0</v>
      </c>
      <c r="GA31">
        <v>0</v>
      </c>
      <c r="GB31">
        <v>0</v>
      </c>
      <c r="GC31">
        <v>0</v>
      </c>
      <c r="GD31">
        <v>0</v>
      </c>
      <c r="GE31">
        <v>0</v>
      </c>
      <c r="GF31">
        <v>0</v>
      </c>
      <c r="GG31">
        <v>0</v>
      </c>
      <c r="GH31">
        <v>0</v>
      </c>
      <c r="GI31">
        <v>0</v>
      </c>
      <c r="GJ31">
        <v>0</v>
      </c>
      <c r="GK31">
        <v>0</v>
      </c>
      <c r="GL31">
        <v>0</v>
      </c>
      <c r="GM31">
        <v>0</v>
      </c>
      <c r="GN31">
        <v>0</v>
      </c>
      <c r="GO31">
        <v>0</v>
      </c>
      <c r="GP31">
        <v>0</v>
      </c>
      <c r="GQ31">
        <v>0</v>
      </c>
      <c r="GR31">
        <v>0</v>
      </c>
      <c r="GS31">
        <v>0</v>
      </c>
      <c r="GT31">
        <v>0</v>
      </c>
      <c r="GU31">
        <v>0</v>
      </c>
      <c r="GV31">
        <v>0</v>
      </c>
      <c r="GW31">
        <v>0</v>
      </c>
      <c r="GX31">
        <v>0</v>
      </c>
      <c r="GY31">
        <v>0</v>
      </c>
      <c r="GZ31">
        <v>0</v>
      </c>
      <c r="HA31">
        <v>0</v>
      </c>
      <c r="HB31">
        <v>0</v>
      </c>
      <c r="HC31">
        <v>0</v>
      </c>
      <c r="HD31">
        <v>0</v>
      </c>
      <c r="HE31">
        <v>0</v>
      </c>
      <c r="HF31">
        <v>0</v>
      </c>
      <c r="HG31">
        <v>0</v>
      </c>
      <c r="HH31">
        <v>0</v>
      </c>
      <c r="HI31">
        <v>0</v>
      </c>
      <c r="HJ31">
        <v>0</v>
      </c>
      <c r="HK31">
        <v>0</v>
      </c>
      <c r="HL31">
        <v>0</v>
      </c>
      <c r="HM31">
        <v>0</v>
      </c>
      <c r="HN31">
        <v>0</v>
      </c>
      <c r="HO31">
        <v>0</v>
      </c>
      <c r="HP31">
        <v>0</v>
      </c>
      <c r="HQ31">
        <v>0</v>
      </c>
      <c r="HR31">
        <v>0</v>
      </c>
      <c r="HS31">
        <v>0</v>
      </c>
      <c r="HT31">
        <v>0</v>
      </c>
      <c r="HU31">
        <v>0</v>
      </c>
      <c r="HV31">
        <v>0</v>
      </c>
      <c r="HW31">
        <v>0</v>
      </c>
      <c r="HX31">
        <v>0</v>
      </c>
      <c r="HY31">
        <v>0</v>
      </c>
      <c r="HZ31">
        <v>0</v>
      </c>
      <c r="IA31">
        <v>0</v>
      </c>
      <c r="IB31">
        <v>0</v>
      </c>
      <c r="IC31">
        <v>0</v>
      </c>
      <c r="ID31">
        <v>0</v>
      </c>
      <c r="IE31">
        <v>0</v>
      </c>
      <c r="IF31">
        <v>0</v>
      </c>
      <c r="IG31">
        <v>0</v>
      </c>
      <c r="IH31">
        <v>0</v>
      </c>
      <c r="II31">
        <v>0</v>
      </c>
      <c r="IJ31">
        <v>0</v>
      </c>
      <c r="IK31">
        <v>0</v>
      </c>
      <c r="IL31">
        <v>0</v>
      </c>
      <c r="IM31">
        <v>0</v>
      </c>
      <c r="IN31">
        <v>0</v>
      </c>
      <c r="IO31">
        <v>0</v>
      </c>
      <c r="IP31">
        <v>0</v>
      </c>
      <c r="IQ31">
        <v>0</v>
      </c>
      <c r="IR31">
        <v>0</v>
      </c>
      <c r="IS31">
        <v>0</v>
      </c>
      <c r="IT31">
        <v>0</v>
      </c>
      <c r="IU31">
        <v>0</v>
      </c>
      <c r="IV31">
        <v>0</v>
      </c>
      <c r="IW31">
        <v>0</v>
      </c>
      <c r="IX31">
        <v>0</v>
      </c>
      <c r="IY31">
        <v>0</v>
      </c>
      <c r="IZ31">
        <v>0</v>
      </c>
      <c r="JA31">
        <v>0</v>
      </c>
      <c r="JB31">
        <v>0</v>
      </c>
      <c r="JC31">
        <v>0</v>
      </c>
      <c r="JD31">
        <v>0</v>
      </c>
      <c r="JE31">
        <v>0</v>
      </c>
      <c r="JF31">
        <v>0</v>
      </c>
      <c r="JG31">
        <v>0</v>
      </c>
      <c r="JH31">
        <v>0</v>
      </c>
      <c r="JI31">
        <v>0</v>
      </c>
      <c r="JJ31">
        <v>0</v>
      </c>
      <c r="JK31">
        <v>0</v>
      </c>
      <c r="JL31">
        <v>0</v>
      </c>
      <c r="JM31">
        <v>0</v>
      </c>
      <c r="JN31">
        <v>0</v>
      </c>
      <c r="JO31">
        <v>0</v>
      </c>
      <c r="JP31">
        <v>0</v>
      </c>
      <c r="JQ31">
        <v>0</v>
      </c>
      <c r="JR31">
        <v>0</v>
      </c>
      <c r="JS31">
        <v>0</v>
      </c>
      <c r="JT31">
        <v>0</v>
      </c>
      <c r="JU31">
        <v>0</v>
      </c>
      <c r="JV31">
        <v>0</v>
      </c>
      <c r="JW31">
        <v>0</v>
      </c>
      <c r="JX31">
        <v>0</v>
      </c>
      <c r="JY31">
        <v>0</v>
      </c>
      <c r="JZ31">
        <v>0</v>
      </c>
      <c r="KA31">
        <v>0</v>
      </c>
      <c r="KB31">
        <v>0</v>
      </c>
      <c r="KC31">
        <v>0</v>
      </c>
      <c r="KD31">
        <v>0</v>
      </c>
      <c r="KE31">
        <v>0</v>
      </c>
      <c r="KF31">
        <v>0</v>
      </c>
      <c r="KG31">
        <v>0</v>
      </c>
      <c r="KH31">
        <v>0</v>
      </c>
      <c r="KI31">
        <v>0</v>
      </c>
      <c r="KJ31">
        <v>0</v>
      </c>
      <c r="KK31">
        <v>0</v>
      </c>
      <c r="KL31">
        <v>0</v>
      </c>
      <c r="KM31">
        <v>0</v>
      </c>
      <c r="KN31">
        <v>0</v>
      </c>
      <c r="KO31">
        <v>0</v>
      </c>
      <c r="KP31">
        <v>0</v>
      </c>
      <c r="KQ31">
        <v>0</v>
      </c>
      <c r="KR31">
        <v>0</v>
      </c>
      <c r="KS31">
        <v>0</v>
      </c>
      <c r="KT31">
        <v>0</v>
      </c>
      <c r="KU31">
        <v>0</v>
      </c>
      <c r="KV31">
        <v>0</v>
      </c>
      <c r="KW31">
        <v>0</v>
      </c>
      <c r="KX31">
        <v>0</v>
      </c>
      <c r="KY31">
        <v>0</v>
      </c>
      <c r="KZ31">
        <v>0</v>
      </c>
      <c r="LA31">
        <v>0</v>
      </c>
      <c r="LB31">
        <v>0</v>
      </c>
      <c r="LC31">
        <v>0</v>
      </c>
      <c r="LD31">
        <v>0</v>
      </c>
      <c r="LE31">
        <v>0</v>
      </c>
      <c r="LF31">
        <v>0</v>
      </c>
      <c r="LG31">
        <v>0</v>
      </c>
      <c r="LH31">
        <v>0</v>
      </c>
      <c r="LI31">
        <v>0</v>
      </c>
      <c r="LJ31">
        <v>0</v>
      </c>
      <c r="LK31">
        <v>0</v>
      </c>
      <c r="LL31">
        <v>0</v>
      </c>
      <c r="LM31">
        <v>0</v>
      </c>
      <c r="LN31">
        <v>0</v>
      </c>
      <c r="LO31">
        <v>0</v>
      </c>
      <c r="LP31">
        <v>0</v>
      </c>
      <c r="LQ31">
        <v>0</v>
      </c>
      <c r="LR31">
        <v>0</v>
      </c>
      <c r="LS31">
        <v>0</v>
      </c>
      <c r="LT31">
        <v>0</v>
      </c>
      <c r="LU31">
        <v>0</v>
      </c>
      <c r="LV31">
        <v>0</v>
      </c>
      <c r="LW31">
        <v>0</v>
      </c>
      <c r="LX31">
        <v>0</v>
      </c>
      <c r="LY31">
        <v>0</v>
      </c>
      <c r="LZ31">
        <v>0</v>
      </c>
      <c r="MA31">
        <v>0</v>
      </c>
      <c r="MB31">
        <v>0</v>
      </c>
      <c r="MC31">
        <v>0</v>
      </c>
      <c r="MD31">
        <v>0</v>
      </c>
      <c r="ME31">
        <v>0</v>
      </c>
      <c r="MF31">
        <v>0</v>
      </c>
      <c r="MG31">
        <v>0</v>
      </c>
      <c r="MH31">
        <v>0</v>
      </c>
      <c r="MI31">
        <v>0</v>
      </c>
      <c r="MJ31">
        <v>0</v>
      </c>
      <c r="MK31">
        <v>0</v>
      </c>
      <c r="ML31">
        <v>0</v>
      </c>
      <c r="MM31">
        <v>0</v>
      </c>
      <c r="MN31">
        <v>0</v>
      </c>
      <c r="MO31">
        <v>0</v>
      </c>
      <c r="MP31">
        <v>0</v>
      </c>
      <c r="MQ31">
        <v>0</v>
      </c>
      <c r="MR31">
        <v>0</v>
      </c>
      <c r="MS31">
        <v>0</v>
      </c>
      <c r="MT31">
        <v>0</v>
      </c>
      <c r="MU31">
        <v>0</v>
      </c>
      <c r="MV31">
        <v>0</v>
      </c>
      <c r="MW31">
        <v>0</v>
      </c>
      <c r="MX31">
        <v>0</v>
      </c>
      <c r="MY31">
        <v>0</v>
      </c>
      <c r="MZ31">
        <v>0</v>
      </c>
      <c r="NA31">
        <v>0</v>
      </c>
      <c r="NB31">
        <v>0</v>
      </c>
      <c r="NC31">
        <v>0</v>
      </c>
      <c r="ND31">
        <v>0</v>
      </c>
      <c r="NE31">
        <v>0</v>
      </c>
    </row>
    <row r="32" spans="5:369" x14ac:dyDescent="0.45">
      <c r="E32">
        <v>0</v>
      </c>
      <c r="F32">
        <v>0</v>
      </c>
      <c r="G32">
        <v>0</v>
      </c>
      <c r="H32">
        <v>0</v>
      </c>
      <c r="I32">
        <v>0</v>
      </c>
      <c r="J32">
        <v>0</v>
      </c>
      <c r="K32">
        <v>0</v>
      </c>
      <c r="L32">
        <v>0</v>
      </c>
      <c r="M32">
        <v>0</v>
      </c>
      <c r="N32" t="str">
        <v/>
      </c>
      <c r="O32" t="str">
        <v/>
      </c>
      <c r="P32" t="str">
        <v/>
      </c>
      <c r="Q32" t="str">
        <v/>
      </c>
      <c r="R32" t="str">
        <v/>
      </c>
      <c r="S32" t="str">
        <v/>
      </c>
      <c r="T32" t="str">
        <v/>
      </c>
      <c r="U32">
        <v>0</v>
      </c>
      <c r="V32">
        <v>0</v>
      </c>
      <c r="W32">
        <v>0</v>
      </c>
      <c r="X32">
        <v>0</v>
      </c>
      <c r="Y32">
        <v>0</v>
      </c>
      <c r="Z32">
        <v>0</v>
      </c>
      <c r="AA32">
        <v>0</v>
      </c>
      <c r="AB32">
        <v>0</v>
      </c>
      <c r="AC32">
        <v>0</v>
      </c>
      <c r="AD32">
        <v>0</v>
      </c>
      <c r="AE32">
        <v>0</v>
      </c>
      <c r="AF32">
        <v>0</v>
      </c>
      <c r="AG32">
        <v>0</v>
      </c>
      <c r="AH32">
        <v>0</v>
      </c>
      <c r="AI32">
        <v>0</v>
      </c>
      <c r="AJ32">
        <v>0</v>
      </c>
      <c r="AK32">
        <v>0</v>
      </c>
      <c r="AL32">
        <v>0</v>
      </c>
      <c r="AM32">
        <v>0</v>
      </c>
      <c r="AN32" s="5">
        <v>0</v>
      </c>
      <c r="AO32" t="str">
        <v>A129</v>
      </c>
      <c r="AP32" t="str">
        <v>MUHAMMED BIN JAFAR</v>
      </c>
      <c r="AQ32" t="str">
        <v>FANT</v>
      </c>
      <c r="AR32" t="str">
        <v>SUB JUNIOR</v>
      </c>
      <c r="AS32">
        <v>1</v>
      </c>
      <c r="AT32">
        <v>3</v>
      </c>
      <c r="AU32">
        <v>0</v>
      </c>
      <c r="AV32">
        <v>3</v>
      </c>
      <c r="AW32">
        <v>3</v>
      </c>
      <c r="AX32">
        <v>209</v>
      </c>
      <c r="AY32" s="5">
        <v>209</v>
      </c>
      <c r="AZ32" t="str">
        <v>SJ30</v>
      </c>
      <c r="BA32" t="str">
        <v>READING URD</v>
      </c>
      <c r="BB32" t="str">
        <v>SUB JUNIOR</v>
      </c>
      <c r="BC32" t="str">
        <v>Single</v>
      </c>
      <c r="BD32" t="str">
        <v>Stage</v>
      </c>
      <c r="BE32">
        <v>3</v>
      </c>
      <c r="BF32" t="str">
        <v>Individual</v>
      </c>
      <c r="BG32" t="str">
        <v>Individual</v>
      </c>
      <c r="BH32" t="str">
        <v>P</v>
      </c>
      <c r="BI32" t="str">
        <v>PUBLISHED</v>
      </c>
      <c r="BK32">
        <v>26</v>
      </c>
      <c r="BL32" t="str">
        <v>SJ26</v>
      </c>
      <c r="BM32" t="str">
        <v>READING ARB</v>
      </c>
      <c r="BN32">
        <v>3</v>
      </c>
      <c r="BO32" t="str">
        <v>Single</v>
      </c>
      <c r="BP32" t="str">
        <v>Stage</v>
      </c>
      <c r="BQ32" t="str">
        <v>SUB JUNIOR</v>
      </c>
      <c r="BR32" t="str">
        <v>A132</v>
      </c>
      <c r="BS32" t="str">
        <v>A161</v>
      </c>
      <c r="BT32" t="str">
        <v>A162</v>
      </c>
      <c r="BU32">
        <v>0</v>
      </c>
      <c r="BV32">
        <v>0</v>
      </c>
      <c r="BW32">
        <v>0</v>
      </c>
      <c r="BX32">
        <v>0</v>
      </c>
      <c r="BY32" t="str">
        <v>A158</v>
      </c>
      <c r="BZ32" t="str">
        <v>A174</v>
      </c>
      <c r="CA32" t="str">
        <v>A175</v>
      </c>
      <c r="CB32">
        <v>0</v>
      </c>
      <c r="CC32">
        <v>0</v>
      </c>
      <c r="CD32">
        <v>0</v>
      </c>
      <c r="CE32">
        <v>0</v>
      </c>
      <c r="CF32" t="str">
        <v>A109</v>
      </c>
      <c r="CG32" t="str">
        <v>A136</v>
      </c>
      <c r="CH32" t="str">
        <v>A146</v>
      </c>
      <c r="CI32">
        <v>0</v>
      </c>
      <c r="CJ32">
        <v>0</v>
      </c>
      <c r="CK32">
        <v>0</v>
      </c>
      <c r="CL32">
        <v>0</v>
      </c>
      <c r="CM32" t="str">
        <v>A103</v>
      </c>
      <c r="CN32" t="str">
        <v>A121</v>
      </c>
      <c r="CO32" t="str">
        <v>A126</v>
      </c>
      <c r="CP32">
        <v>0</v>
      </c>
      <c r="CQ32">
        <v>0</v>
      </c>
      <c r="CR32">
        <v>0</v>
      </c>
      <c r="CS32">
        <v>0</v>
      </c>
      <c r="CT32">
        <v>0</v>
      </c>
      <c r="CU32">
        <v>0</v>
      </c>
      <c r="CV32">
        <v>0</v>
      </c>
      <c r="CW32">
        <v>0</v>
      </c>
      <c r="CX32">
        <v>0</v>
      </c>
      <c r="CY32">
        <v>0</v>
      </c>
      <c r="CZ32">
        <v>0</v>
      </c>
      <c r="DA32">
        <v>0</v>
      </c>
      <c r="DB32">
        <v>0</v>
      </c>
      <c r="DC32">
        <v>0</v>
      </c>
      <c r="DD32">
        <v>0</v>
      </c>
      <c r="DE32">
        <v>0</v>
      </c>
      <c r="DF32">
        <v>0</v>
      </c>
      <c r="DG32">
        <v>0</v>
      </c>
      <c r="DH32">
        <v>0</v>
      </c>
      <c r="DI32">
        <v>0</v>
      </c>
      <c r="DJ32">
        <v>0</v>
      </c>
      <c r="DK32">
        <v>0</v>
      </c>
      <c r="DL32">
        <v>0</v>
      </c>
      <c r="DM32">
        <v>0</v>
      </c>
      <c r="DN32">
        <v>0</v>
      </c>
      <c r="DO32">
        <v>0</v>
      </c>
      <c r="DP32">
        <v>0</v>
      </c>
      <c r="DQ32">
        <v>0</v>
      </c>
      <c r="DR32">
        <v>0</v>
      </c>
      <c r="DS32">
        <v>0</v>
      </c>
      <c r="DT32">
        <v>0</v>
      </c>
      <c r="DU32">
        <v>0</v>
      </c>
      <c r="DV32">
        <v>0</v>
      </c>
      <c r="DW32">
        <v>0</v>
      </c>
      <c r="DX32">
        <v>0</v>
      </c>
      <c r="DY32">
        <v>0</v>
      </c>
      <c r="DZ32">
        <v>0</v>
      </c>
      <c r="EA32">
        <v>0</v>
      </c>
      <c r="EB32">
        <v>0</v>
      </c>
      <c r="EC32">
        <v>0</v>
      </c>
      <c r="ED32">
        <v>0</v>
      </c>
      <c r="EE32">
        <v>0</v>
      </c>
      <c r="EF32">
        <v>0</v>
      </c>
      <c r="EG32">
        <v>0</v>
      </c>
      <c r="EH32">
        <v>0</v>
      </c>
      <c r="EI32">
        <v>0</v>
      </c>
      <c r="EJ32">
        <v>0</v>
      </c>
      <c r="EK32">
        <v>0</v>
      </c>
      <c r="EL32">
        <v>0</v>
      </c>
      <c r="EM32">
        <v>0</v>
      </c>
      <c r="EN32">
        <v>0</v>
      </c>
      <c r="EO32">
        <v>0</v>
      </c>
      <c r="EP32">
        <v>0</v>
      </c>
      <c r="EQ32">
        <v>0</v>
      </c>
      <c r="ER32">
        <v>0</v>
      </c>
      <c r="ES32">
        <v>0</v>
      </c>
      <c r="ET32">
        <v>0</v>
      </c>
      <c r="EU32">
        <v>0</v>
      </c>
      <c r="EV32">
        <v>0</v>
      </c>
      <c r="EW32">
        <v>0</v>
      </c>
      <c r="EX32">
        <v>0</v>
      </c>
      <c r="EY32">
        <v>0</v>
      </c>
      <c r="EZ32">
        <v>0</v>
      </c>
      <c r="FA32">
        <v>0</v>
      </c>
      <c r="FB32">
        <v>0</v>
      </c>
      <c r="FC32">
        <v>0</v>
      </c>
      <c r="FD32">
        <v>0</v>
      </c>
      <c r="FE32">
        <v>0</v>
      </c>
      <c r="FF32">
        <v>0</v>
      </c>
      <c r="FG32">
        <v>0</v>
      </c>
      <c r="FH32">
        <v>0</v>
      </c>
      <c r="FI32">
        <v>0</v>
      </c>
      <c r="FJ32">
        <v>0</v>
      </c>
      <c r="FK32">
        <v>0</v>
      </c>
      <c r="FL32">
        <v>0</v>
      </c>
      <c r="FM32">
        <v>0</v>
      </c>
      <c r="FN32">
        <v>0</v>
      </c>
      <c r="FO32">
        <v>0</v>
      </c>
      <c r="FP32">
        <v>0</v>
      </c>
      <c r="FQ32">
        <v>0</v>
      </c>
      <c r="FR32">
        <v>0</v>
      </c>
      <c r="FS32">
        <v>0</v>
      </c>
      <c r="FT32">
        <v>0</v>
      </c>
      <c r="FU32">
        <v>0</v>
      </c>
      <c r="FV32">
        <v>0</v>
      </c>
      <c r="FW32">
        <v>0</v>
      </c>
      <c r="FX32">
        <v>0</v>
      </c>
      <c r="FY32">
        <v>0</v>
      </c>
      <c r="FZ32">
        <v>0</v>
      </c>
      <c r="GA32">
        <v>0</v>
      </c>
      <c r="GB32">
        <v>0</v>
      </c>
      <c r="GC32">
        <v>0</v>
      </c>
      <c r="GD32">
        <v>0</v>
      </c>
      <c r="GE32">
        <v>0</v>
      </c>
      <c r="GF32">
        <v>0</v>
      </c>
      <c r="GG32">
        <v>0</v>
      </c>
      <c r="GH32">
        <v>0</v>
      </c>
      <c r="GI32">
        <v>0</v>
      </c>
      <c r="GJ32">
        <v>0</v>
      </c>
      <c r="GK32">
        <v>0</v>
      </c>
      <c r="GL32">
        <v>0</v>
      </c>
      <c r="GM32">
        <v>0</v>
      </c>
      <c r="GN32">
        <v>0</v>
      </c>
      <c r="GO32">
        <v>0</v>
      </c>
      <c r="GP32">
        <v>0</v>
      </c>
      <c r="GQ32">
        <v>0</v>
      </c>
      <c r="GR32">
        <v>0</v>
      </c>
      <c r="GS32">
        <v>0</v>
      </c>
      <c r="GT32">
        <v>0</v>
      </c>
      <c r="GU32">
        <v>0</v>
      </c>
      <c r="GV32">
        <v>0</v>
      </c>
      <c r="GW32">
        <v>0</v>
      </c>
      <c r="GX32">
        <v>0</v>
      </c>
      <c r="GY32">
        <v>0</v>
      </c>
      <c r="GZ32">
        <v>0</v>
      </c>
      <c r="HA32">
        <v>0</v>
      </c>
      <c r="HB32">
        <v>0</v>
      </c>
      <c r="HC32">
        <v>0</v>
      </c>
      <c r="HD32">
        <v>0</v>
      </c>
      <c r="HE32">
        <v>0</v>
      </c>
      <c r="HF32">
        <v>0</v>
      </c>
      <c r="HG32">
        <v>0</v>
      </c>
      <c r="HH32">
        <v>0</v>
      </c>
      <c r="HI32">
        <v>0</v>
      </c>
      <c r="HJ32">
        <v>0</v>
      </c>
      <c r="HK32">
        <v>0</v>
      </c>
      <c r="HL32">
        <v>0</v>
      </c>
      <c r="HM32">
        <v>0</v>
      </c>
      <c r="HN32">
        <v>0</v>
      </c>
      <c r="HO32">
        <v>0</v>
      </c>
      <c r="HP32">
        <v>0</v>
      </c>
      <c r="HQ32">
        <v>0</v>
      </c>
      <c r="HR32">
        <v>0</v>
      </c>
      <c r="HS32">
        <v>0</v>
      </c>
      <c r="HT32">
        <v>0</v>
      </c>
      <c r="HU32">
        <v>0</v>
      </c>
      <c r="HV32">
        <v>0</v>
      </c>
      <c r="HW32">
        <v>0</v>
      </c>
      <c r="HX32">
        <v>0</v>
      </c>
      <c r="HY32">
        <v>0</v>
      </c>
      <c r="HZ32">
        <v>0</v>
      </c>
      <c r="IA32">
        <v>0</v>
      </c>
      <c r="IB32">
        <v>0</v>
      </c>
      <c r="IC32">
        <v>0</v>
      </c>
      <c r="ID32">
        <v>0</v>
      </c>
      <c r="IE32">
        <v>0</v>
      </c>
      <c r="IF32">
        <v>0</v>
      </c>
      <c r="IG32">
        <v>0</v>
      </c>
      <c r="IH32">
        <v>0</v>
      </c>
      <c r="II32">
        <v>0</v>
      </c>
      <c r="IJ32">
        <v>0</v>
      </c>
      <c r="IK32">
        <v>0</v>
      </c>
      <c r="IL32">
        <v>0</v>
      </c>
      <c r="IM32">
        <v>0</v>
      </c>
      <c r="IN32">
        <v>0</v>
      </c>
      <c r="IO32">
        <v>0</v>
      </c>
      <c r="IP32">
        <v>0</v>
      </c>
      <c r="IQ32">
        <v>0</v>
      </c>
      <c r="IR32">
        <v>0</v>
      </c>
      <c r="IS32">
        <v>0</v>
      </c>
      <c r="IT32">
        <v>0</v>
      </c>
      <c r="IU32">
        <v>0</v>
      </c>
      <c r="IV32">
        <v>0</v>
      </c>
      <c r="IW32">
        <v>0</v>
      </c>
      <c r="IX32">
        <v>0</v>
      </c>
      <c r="IY32">
        <v>0</v>
      </c>
      <c r="IZ32">
        <v>0</v>
      </c>
      <c r="JA32">
        <v>0</v>
      </c>
      <c r="JB32">
        <v>0</v>
      </c>
      <c r="JC32">
        <v>0</v>
      </c>
      <c r="JD32">
        <v>0</v>
      </c>
      <c r="JE32">
        <v>0</v>
      </c>
      <c r="JF32">
        <v>0</v>
      </c>
      <c r="JG32">
        <v>0</v>
      </c>
      <c r="JH32">
        <v>0</v>
      </c>
      <c r="JI32">
        <v>0</v>
      </c>
      <c r="JJ32">
        <v>0</v>
      </c>
      <c r="JK32">
        <v>0</v>
      </c>
      <c r="JL32">
        <v>0</v>
      </c>
      <c r="JM32">
        <v>0</v>
      </c>
      <c r="JN32">
        <v>0</v>
      </c>
      <c r="JO32">
        <v>0</v>
      </c>
      <c r="JP32">
        <v>0</v>
      </c>
      <c r="JQ32">
        <v>0</v>
      </c>
      <c r="JR32">
        <v>0</v>
      </c>
      <c r="JS32">
        <v>0</v>
      </c>
      <c r="JT32">
        <v>0</v>
      </c>
      <c r="JU32">
        <v>0</v>
      </c>
      <c r="JV32">
        <v>0</v>
      </c>
      <c r="JW32">
        <v>0</v>
      </c>
      <c r="JX32">
        <v>0</v>
      </c>
      <c r="JY32">
        <v>0</v>
      </c>
      <c r="JZ32">
        <v>0</v>
      </c>
      <c r="KA32">
        <v>0</v>
      </c>
      <c r="KB32">
        <v>0</v>
      </c>
      <c r="KC32">
        <v>0</v>
      </c>
      <c r="KD32">
        <v>0</v>
      </c>
      <c r="KE32">
        <v>0</v>
      </c>
      <c r="KF32">
        <v>0</v>
      </c>
      <c r="KG32">
        <v>0</v>
      </c>
      <c r="KH32">
        <v>0</v>
      </c>
      <c r="KI32">
        <v>0</v>
      </c>
      <c r="KJ32">
        <v>0</v>
      </c>
      <c r="KK32">
        <v>0</v>
      </c>
      <c r="KL32">
        <v>0</v>
      </c>
      <c r="KM32">
        <v>0</v>
      </c>
      <c r="KN32">
        <v>0</v>
      </c>
      <c r="KO32">
        <v>0</v>
      </c>
      <c r="KP32">
        <v>0</v>
      </c>
      <c r="KQ32">
        <v>0</v>
      </c>
      <c r="KR32">
        <v>0</v>
      </c>
      <c r="KS32">
        <v>0</v>
      </c>
      <c r="KT32">
        <v>0</v>
      </c>
      <c r="KU32">
        <v>0</v>
      </c>
      <c r="KV32">
        <v>0</v>
      </c>
      <c r="KW32">
        <v>0</v>
      </c>
      <c r="KX32">
        <v>0</v>
      </c>
      <c r="KY32">
        <v>0</v>
      </c>
      <c r="KZ32">
        <v>0</v>
      </c>
      <c r="LA32">
        <v>0</v>
      </c>
      <c r="LB32">
        <v>0</v>
      </c>
      <c r="LC32">
        <v>0</v>
      </c>
      <c r="LD32">
        <v>0</v>
      </c>
      <c r="LE32">
        <v>0</v>
      </c>
      <c r="LF32">
        <v>0</v>
      </c>
      <c r="LG32">
        <v>0</v>
      </c>
      <c r="LH32">
        <v>0</v>
      </c>
      <c r="LI32">
        <v>0</v>
      </c>
      <c r="LJ32">
        <v>0</v>
      </c>
      <c r="LK32">
        <v>0</v>
      </c>
      <c r="LL32">
        <v>0</v>
      </c>
      <c r="LM32">
        <v>0</v>
      </c>
      <c r="LN32">
        <v>0</v>
      </c>
      <c r="LO32">
        <v>0</v>
      </c>
      <c r="LP32">
        <v>0</v>
      </c>
      <c r="LQ32">
        <v>0</v>
      </c>
      <c r="LR32">
        <v>0</v>
      </c>
      <c r="LS32">
        <v>0</v>
      </c>
      <c r="LT32">
        <v>0</v>
      </c>
      <c r="LU32">
        <v>0</v>
      </c>
      <c r="LV32">
        <v>0</v>
      </c>
      <c r="LW32">
        <v>0</v>
      </c>
      <c r="LX32">
        <v>0</v>
      </c>
      <c r="LY32">
        <v>0</v>
      </c>
      <c r="LZ32">
        <v>0</v>
      </c>
      <c r="MA32">
        <v>0</v>
      </c>
      <c r="MB32">
        <v>0</v>
      </c>
      <c r="MC32">
        <v>0</v>
      </c>
      <c r="MD32">
        <v>0</v>
      </c>
      <c r="ME32">
        <v>0</v>
      </c>
      <c r="MF32">
        <v>0</v>
      </c>
      <c r="MG32">
        <v>0</v>
      </c>
      <c r="MH32">
        <v>0</v>
      </c>
      <c r="MI32">
        <v>0</v>
      </c>
      <c r="MJ32">
        <v>0</v>
      </c>
      <c r="MK32">
        <v>0</v>
      </c>
      <c r="ML32">
        <v>0</v>
      </c>
      <c r="MM32">
        <v>0</v>
      </c>
      <c r="MN32">
        <v>0</v>
      </c>
      <c r="MO32">
        <v>0</v>
      </c>
      <c r="MP32">
        <v>0</v>
      </c>
      <c r="MQ32">
        <v>0</v>
      </c>
      <c r="MR32">
        <v>0</v>
      </c>
      <c r="MS32">
        <v>0</v>
      </c>
      <c r="MT32">
        <v>0</v>
      </c>
      <c r="MU32">
        <v>0</v>
      </c>
      <c r="MV32">
        <v>0</v>
      </c>
      <c r="MW32">
        <v>0</v>
      </c>
      <c r="MX32">
        <v>0</v>
      </c>
      <c r="MY32">
        <v>0</v>
      </c>
      <c r="MZ32">
        <v>0</v>
      </c>
      <c r="NA32">
        <v>0</v>
      </c>
      <c r="NB32">
        <v>0</v>
      </c>
      <c r="NC32">
        <v>0</v>
      </c>
      <c r="ND32">
        <v>0</v>
      </c>
      <c r="NE32">
        <v>0</v>
      </c>
    </row>
    <row r="33" spans="5:369" x14ac:dyDescent="0.45">
      <c r="E33">
        <v>0</v>
      </c>
      <c r="F33">
        <v>0</v>
      </c>
      <c r="G33">
        <v>0</v>
      </c>
      <c r="H33">
        <v>0</v>
      </c>
      <c r="I33">
        <v>0</v>
      </c>
      <c r="J33">
        <v>0</v>
      </c>
      <c r="K33">
        <v>0</v>
      </c>
      <c r="L33">
        <v>0</v>
      </c>
      <c r="M33">
        <v>0</v>
      </c>
      <c r="N33" t="str">
        <v/>
      </c>
      <c r="O33" t="str">
        <v/>
      </c>
      <c r="P33" t="str">
        <v/>
      </c>
      <c r="Q33" t="str">
        <v/>
      </c>
      <c r="R33" t="str">
        <v/>
      </c>
      <c r="S33" t="str">
        <v/>
      </c>
      <c r="T33" t="str">
        <v/>
      </c>
      <c r="U33">
        <v>0</v>
      </c>
      <c r="V33">
        <v>0</v>
      </c>
      <c r="W33">
        <v>0</v>
      </c>
      <c r="X33">
        <v>0</v>
      </c>
      <c r="Y33">
        <v>0</v>
      </c>
      <c r="Z33">
        <v>0</v>
      </c>
      <c r="AA33">
        <v>0</v>
      </c>
      <c r="AB33">
        <v>0</v>
      </c>
      <c r="AC33">
        <v>0</v>
      </c>
      <c r="AD33">
        <v>0</v>
      </c>
      <c r="AE33">
        <v>0</v>
      </c>
      <c r="AF33">
        <v>0</v>
      </c>
      <c r="AG33">
        <v>0</v>
      </c>
      <c r="AH33">
        <v>0</v>
      </c>
      <c r="AI33">
        <v>0</v>
      </c>
      <c r="AJ33">
        <v>0</v>
      </c>
      <c r="AK33">
        <v>0</v>
      </c>
      <c r="AL33">
        <v>0</v>
      </c>
      <c r="AM33">
        <v>0</v>
      </c>
      <c r="AN33" s="5">
        <v>0</v>
      </c>
      <c r="AO33" t="str">
        <v>A130</v>
      </c>
      <c r="AP33" t="str">
        <v>MOHAMMAD AJWAD</v>
      </c>
      <c r="AQ33" t="str">
        <v>JARF</v>
      </c>
      <c r="AR33" t="str">
        <v>SUB JUNIOR</v>
      </c>
      <c r="AS33">
        <v>1</v>
      </c>
      <c r="AT33">
        <v>5</v>
      </c>
      <c r="AU33">
        <v>0</v>
      </c>
      <c r="AV33">
        <v>5</v>
      </c>
      <c r="AW33">
        <v>5</v>
      </c>
      <c r="AX33">
        <v>190</v>
      </c>
      <c r="AY33" s="5">
        <v>190</v>
      </c>
      <c r="AZ33" t="str">
        <v>SJ31</v>
      </c>
      <c r="BA33" t="str">
        <v>SONG ARB</v>
      </c>
      <c r="BB33" t="str">
        <v>SUB JUNIOR</v>
      </c>
      <c r="BC33" t="str">
        <v>Single</v>
      </c>
      <c r="BD33" t="str">
        <v>Stage</v>
      </c>
      <c r="BE33">
        <v>3</v>
      </c>
      <c r="BF33" t="str">
        <v>Individual</v>
      </c>
      <c r="BG33" t="str">
        <v>Individual</v>
      </c>
      <c r="BH33" t="str">
        <v>P</v>
      </c>
      <c r="BI33" t="str">
        <v>PUBLISHED</v>
      </c>
      <c r="BK33">
        <v>27</v>
      </c>
      <c r="BL33" t="str">
        <v>SJ27</v>
      </c>
      <c r="BM33" t="str">
        <v>READING ENG</v>
      </c>
      <c r="BN33">
        <v>3</v>
      </c>
      <c r="BO33" t="str">
        <v>Single</v>
      </c>
      <c r="BP33" t="str">
        <v>Stage</v>
      </c>
      <c r="BQ33" t="str">
        <v>SUB JUNIOR</v>
      </c>
      <c r="BR33" t="str">
        <v>A105</v>
      </c>
      <c r="BS33" t="str">
        <v>A143</v>
      </c>
      <c r="BT33" t="str">
        <v>A150</v>
      </c>
      <c r="BU33">
        <v>0</v>
      </c>
      <c r="BV33">
        <v>0</v>
      </c>
      <c r="BW33">
        <v>0</v>
      </c>
      <c r="BX33">
        <v>0</v>
      </c>
      <c r="BY33" t="str">
        <v>A113</v>
      </c>
      <c r="BZ33" t="str">
        <v>A120</v>
      </c>
      <c r="CA33" t="str">
        <v>A171</v>
      </c>
      <c r="CB33">
        <v>0</v>
      </c>
      <c r="CC33">
        <v>0</v>
      </c>
      <c r="CD33">
        <v>0</v>
      </c>
      <c r="CE33">
        <v>0</v>
      </c>
      <c r="CF33" t="str">
        <v>A104</v>
      </c>
      <c r="CG33" t="str">
        <v>A166</v>
      </c>
      <c r="CH33" t="str">
        <v>A173</v>
      </c>
      <c r="CI33">
        <v>0</v>
      </c>
      <c r="CJ33">
        <v>0</v>
      </c>
      <c r="CK33">
        <v>0</v>
      </c>
      <c r="CL33">
        <v>0</v>
      </c>
      <c r="CM33" t="str">
        <v>A103</v>
      </c>
      <c r="CN33" t="str">
        <v>A144</v>
      </c>
      <c r="CO33">
        <v>0</v>
      </c>
      <c r="CP33">
        <v>0</v>
      </c>
      <c r="CQ33">
        <v>0</v>
      </c>
      <c r="CR33">
        <v>0</v>
      </c>
      <c r="CS33">
        <v>0</v>
      </c>
      <c r="CT33">
        <v>0</v>
      </c>
      <c r="CU33">
        <v>0</v>
      </c>
      <c r="CV33">
        <v>0</v>
      </c>
      <c r="CW33">
        <v>0</v>
      </c>
      <c r="CX33">
        <v>0</v>
      </c>
      <c r="CY33">
        <v>0</v>
      </c>
      <c r="CZ33">
        <v>0</v>
      </c>
      <c r="DA33">
        <v>0</v>
      </c>
      <c r="DB33">
        <v>0</v>
      </c>
      <c r="DC33">
        <v>0</v>
      </c>
      <c r="DD33">
        <v>0</v>
      </c>
      <c r="DE33">
        <v>0</v>
      </c>
      <c r="DF33">
        <v>0</v>
      </c>
      <c r="DG33">
        <v>0</v>
      </c>
      <c r="DH33">
        <v>0</v>
      </c>
      <c r="DI33">
        <v>0</v>
      </c>
      <c r="DJ33">
        <v>0</v>
      </c>
      <c r="DK33">
        <v>0</v>
      </c>
      <c r="DL33">
        <v>0</v>
      </c>
      <c r="DM33">
        <v>0</v>
      </c>
      <c r="DN33">
        <v>0</v>
      </c>
      <c r="DO33">
        <v>0</v>
      </c>
      <c r="DP33">
        <v>0</v>
      </c>
      <c r="DQ33">
        <v>0</v>
      </c>
      <c r="DR33">
        <v>0</v>
      </c>
      <c r="DS33">
        <v>0</v>
      </c>
      <c r="DT33">
        <v>0</v>
      </c>
      <c r="DU33">
        <v>0</v>
      </c>
      <c r="DV33">
        <v>0</v>
      </c>
      <c r="DW33">
        <v>0</v>
      </c>
      <c r="DX33">
        <v>0</v>
      </c>
      <c r="DY33">
        <v>0</v>
      </c>
      <c r="DZ33">
        <v>0</v>
      </c>
      <c r="EA33">
        <v>0</v>
      </c>
      <c r="EB33">
        <v>0</v>
      </c>
      <c r="EC33">
        <v>0</v>
      </c>
      <c r="ED33">
        <v>0</v>
      </c>
      <c r="EE33">
        <v>0</v>
      </c>
      <c r="EF33">
        <v>0</v>
      </c>
      <c r="EG33">
        <v>0</v>
      </c>
      <c r="EH33">
        <v>0</v>
      </c>
      <c r="EI33">
        <v>0</v>
      </c>
      <c r="EJ33">
        <v>0</v>
      </c>
      <c r="EK33">
        <v>0</v>
      </c>
      <c r="EL33">
        <v>0</v>
      </c>
      <c r="EM33">
        <v>0</v>
      </c>
      <c r="EN33">
        <v>0</v>
      </c>
      <c r="EO33">
        <v>0</v>
      </c>
      <c r="EP33">
        <v>0</v>
      </c>
      <c r="EQ33">
        <v>0</v>
      </c>
      <c r="ER33">
        <v>0</v>
      </c>
      <c r="ES33">
        <v>0</v>
      </c>
      <c r="ET33">
        <v>0</v>
      </c>
      <c r="EU33">
        <v>0</v>
      </c>
      <c r="EV33">
        <v>0</v>
      </c>
      <c r="EW33">
        <v>0</v>
      </c>
      <c r="EX33">
        <v>0</v>
      </c>
      <c r="EY33">
        <v>0</v>
      </c>
      <c r="EZ33">
        <v>0</v>
      </c>
      <c r="FA33">
        <v>0</v>
      </c>
      <c r="FB33">
        <v>0</v>
      </c>
      <c r="FC33">
        <v>0</v>
      </c>
      <c r="FD33">
        <v>0</v>
      </c>
      <c r="FE33">
        <v>0</v>
      </c>
      <c r="FF33">
        <v>0</v>
      </c>
      <c r="FG33">
        <v>0</v>
      </c>
      <c r="FH33">
        <v>0</v>
      </c>
      <c r="FI33">
        <v>0</v>
      </c>
      <c r="FJ33">
        <v>0</v>
      </c>
      <c r="FK33">
        <v>0</v>
      </c>
      <c r="FL33">
        <v>0</v>
      </c>
      <c r="FM33">
        <v>0</v>
      </c>
      <c r="FN33">
        <v>0</v>
      </c>
      <c r="FO33">
        <v>0</v>
      </c>
      <c r="FP33">
        <v>0</v>
      </c>
      <c r="FQ33">
        <v>0</v>
      </c>
      <c r="FR33">
        <v>0</v>
      </c>
      <c r="FS33">
        <v>0</v>
      </c>
      <c r="FT33">
        <v>0</v>
      </c>
      <c r="FU33">
        <v>0</v>
      </c>
      <c r="FV33">
        <v>0</v>
      </c>
      <c r="FW33">
        <v>0</v>
      </c>
      <c r="FX33">
        <v>0</v>
      </c>
      <c r="FY33">
        <v>0</v>
      </c>
      <c r="FZ33">
        <v>0</v>
      </c>
      <c r="GA33">
        <v>0</v>
      </c>
      <c r="GB33">
        <v>0</v>
      </c>
      <c r="GC33">
        <v>0</v>
      </c>
      <c r="GD33">
        <v>0</v>
      </c>
      <c r="GE33">
        <v>0</v>
      </c>
      <c r="GF33">
        <v>0</v>
      </c>
      <c r="GG33">
        <v>0</v>
      </c>
      <c r="GH33">
        <v>0</v>
      </c>
      <c r="GI33">
        <v>0</v>
      </c>
      <c r="GJ33">
        <v>0</v>
      </c>
      <c r="GK33">
        <v>0</v>
      </c>
      <c r="GL33">
        <v>0</v>
      </c>
      <c r="GM33">
        <v>0</v>
      </c>
      <c r="GN33">
        <v>0</v>
      </c>
      <c r="GO33">
        <v>0</v>
      </c>
      <c r="GP33">
        <v>0</v>
      </c>
      <c r="GQ33">
        <v>0</v>
      </c>
      <c r="GR33">
        <v>0</v>
      </c>
      <c r="GS33">
        <v>0</v>
      </c>
      <c r="GT33">
        <v>0</v>
      </c>
      <c r="GU33">
        <v>0</v>
      </c>
      <c r="GV33">
        <v>0</v>
      </c>
      <c r="GW33">
        <v>0</v>
      </c>
      <c r="GX33">
        <v>0</v>
      </c>
      <c r="GY33">
        <v>0</v>
      </c>
      <c r="GZ33">
        <v>0</v>
      </c>
      <c r="HA33">
        <v>0</v>
      </c>
      <c r="HB33">
        <v>0</v>
      </c>
      <c r="HC33">
        <v>0</v>
      </c>
      <c r="HD33">
        <v>0</v>
      </c>
      <c r="HE33">
        <v>0</v>
      </c>
      <c r="HF33">
        <v>0</v>
      </c>
      <c r="HG33">
        <v>0</v>
      </c>
      <c r="HH33">
        <v>0</v>
      </c>
      <c r="HI33">
        <v>0</v>
      </c>
      <c r="HJ33">
        <v>0</v>
      </c>
      <c r="HK33">
        <v>0</v>
      </c>
      <c r="HL33">
        <v>0</v>
      </c>
      <c r="HM33">
        <v>0</v>
      </c>
      <c r="HN33">
        <v>0</v>
      </c>
      <c r="HO33">
        <v>0</v>
      </c>
      <c r="HP33">
        <v>0</v>
      </c>
      <c r="HQ33">
        <v>0</v>
      </c>
      <c r="HR33">
        <v>0</v>
      </c>
      <c r="HS33">
        <v>0</v>
      </c>
      <c r="HT33">
        <v>0</v>
      </c>
      <c r="HU33">
        <v>0</v>
      </c>
      <c r="HV33">
        <v>0</v>
      </c>
      <c r="HW33">
        <v>0</v>
      </c>
      <c r="HX33">
        <v>0</v>
      </c>
      <c r="HY33">
        <v>0</v>
      </c>
      <c r="HZ33">
        <v>0</v>
      </c>
      <c r="IA33">
        <v>0</v>
      </c>
      <c r="IB33">
        <v>0</v>
      </c>
      <c r="IC33">
        <v>0</v>
      </c>
      <c r="ID33">
        <v>0</v>
      </c>
      <c r="IE33">
        <v>0</v>
      </c>
      <c r="IF33">
        <v>0</v>
      </c>
      <c r="IG33">
        <v>0</v>
      </c>
      <c r="IH33">
        <v>0</v>
      </c>
      <c r="II33">
        <v>0</v>
      </c>
      <c r="IJ33">
        <v>0</v>
      </c>
      <c r="IK33">
        <v>0</v>
      </c>
      <c r="IL33">
        <v>0</v>
      </c>
      <c r="IM33">
        <v>0</v>
      </c>
      <c r="IN33">
        <v>0</v>
      </c>
      <c r="IO33">
        <v>0</v>
      </c>
      <c r="IP33">
        <v>0</v>
      </c>
      <c r="IQ33">
        <v>0</v>
      </c>
      <c r="IR33">
        <v>0</v>
      </c>
      <c r="IS33">
        <v>0</v>
      </c>
      <c r="IT33">
        <v>0</v>
      </c>
      <c r="IU33">
        <v>0</v>
      </c>
      <c r="IV33">
        <v>0</v>
      </c>
      <c r="IW33">
        <v>0</v>
      </c>
      <c r="IX33">
        <v>0</v>
      </c>
      <c r="IY33">
        <v>0</v>
      </c>
      <c r="IZ33">
        <v>0</v>
      </c>
      <c r="JA33">
        <v>0</v>
      </c>
      <c r="JB33">
        <v>0</v>
      </c>
      <c r="JC33">
        <v>0</v>
      </c>
      <c r="JD33">
        <v>0</v>
      </c>
      <c r="JE33">
        <v>0</v>
      </c>
      <c r="JF33">
        <v>0</v>
      </c>
      <c r="JG33">
        <v>0</v>
      </c>
      <c r="JH33">
        <v>0</v>
      </c>
      <c r="JI33">
        <v>0</v>
      </c>
      <c r="JJ33">
        <v>0</v>
      </c>
      <c r="JK33">
        <v>0</v>
      </c>
      <c r="JL33">
        <v>0</v>
      </c>
      <c r="JM33">
        <v>0</v>
      </c>
      <c r="JN33">
        <v>0</v>
      </c>
      <c r="JO33">
        <v>0</v>
      </c>
      <c r="JP33">
        <v>0</v>
      </c>
      <c r="JQ33">
        <v>0</v>
      </c>
      <c r="JR33">
        <v>0</v>
      </c>
      <c r="JS33">
        <v>0</v>
      </c>
      <c r="JT33">
        <v>0</v>
      </c>
      <c r="JU33">
        <v>0</v>
      </c>
      <c r="JV33">
        <v>0</v>
      </c>
      <c r="JW33">
        <v>0</v>
      </c>
      <c r="JX33">
        <v>0</v>
      </c>
      <c r="JY33">
        <v>0</v>
      </c>
      <c r="JZ33">
        <v>0</v>
      </c>
      <c r="KA33">
        <v>0</v>
      </c>
      <c r="KB33">
        <v>0</v>
      </c>
      <c r="KC33">
        <v>0</v>
      </c>
      <c r="KD33">
        <v>0</v>
      </c>
      <c r="KE33">
        <v>0</v>
      </c>
      <c r="KF33">
        <v>0</v>
      </c>
      <c r="KG33">
        <v>0</v>
      </c>
      <c r="KH33">
        <v>0</v>
      </c>
      <c r="KI33">
        <v>0</v>
      </c>
      <c r="KJ33">
        <v>0</v>
      </c>
      <c r="KK33">
        <v>0</v>
      </c>
      <c r="KL33">
        <v>0</v>
      </c>
      <c r="KM33">
        <v>0</v>
      </c>
      <c r="KN33">
        <v>0</v>
      </c>
      <c r="KO33">
        <v>0</v>
      </c>
      <c r="KP33">
        <v>0</v>
      </c>
      <c r="KQ33">
        <v>0</v>
      </c>
      <c r="KR33">
        <v>0</v>
      </c>
      <c r="KS33">
        <v>0</v>
      </c>
      <c r="KT33">
        <v>0</v>
      </c>
      <c r="KU33">
        <v>0</v>
      </c>
      <c r="KV33">
        <v>0</v>
      </c>
      <c r="KW33">
        <v>0</v>
      </c>
      <c r="KX33">
        <v>0</v>
      </c>
      <c r="KY33">
        <v>0</v>
      </c>
      <c r="KZ33">
        <v>0</v>
      </c>
      <c r="LA33">
        <v>0</v>
      </c>
      <c r="LB33">
        <v>0</v>
      </c>
      <c r="LC33">
        <v>0</v>
      </c>
      <c r="LD33">
        <v>0</v>
      </c>
      <c r="LE33">
        <v>0</v>
      </c>
      <c r="LF33">
        <v>0</v>
      </c>
      <c r="LG33">
        <v>0</v>
      </c>
      <c r="LH33">
        <v>0</v>
      </c>
      <c r="LI33">
        <v>0</v>
      </c>
      <c r="LJ33">
        <v>0</v>
      </c>
      <c r="LK33">
        <v>0</v>
      </c>
      <c r="LL33">
        <v>0</v>
      </c>
      <c r="LM33">
        <v>0</v>
      </c>
      <c r="LN33">
        <v>0</v>
      </c>
      <c r="LO33">
        <v>0</v>
      </c>
      <c r="LP33">
        <v>0</v>
      </c>
      <c r="LQ33">
        <v>0</v>
      </c>
      <c r="LR33">
        <v>0</v>
      </c>
      <c r="LS33">
        <v>0</v>
      </c>
      <c r="LT33">
        <v>0</v>
      </c>
      <c r="LU33">
        <v>0</v>
      </c>
      <c r="LV33">
        <v>0</v>
      </c>
      <c r="LW33">
        <v>0</v>
      </c>
      <c r="LX33">
        <v>0</v>
      </c>
      <c r="LY33">
        <v>0</v>
      </c>
      <c r="LZ33">
        <v>0</v>
      </c>
      <c r="MA33">
        <v>0</v>
      </c>
      <c r="MB33">
        <v>0</v>
      </c>
      <c r="MC33">
        <v>0</v>
      </c>
      <c r="MD33">
        <v>0</v>
      </c>
      <c r="ME33">
        <v>0</v>
      </c>
      <c r="MF33">
        <v>0</v>
      </c>
      <c r="MG33">
        <v>0</v>
      </c>
      <c r="MH33">
        <v>0</v>
      </c>
      <c r="MI33">
        <v>0</v>
      </c>
      <c r="MJ33">
        <v>0</v>
      </c>
      <c r="MK33">
        <v>0</v>
      </c>
      <c r="ML33">
        <v>0</v>
      </c>
      <c r="MM33">
        <v>0</v>
      </c>
      <c r="MN33">
        <v>0</v>
      </c>
      <c r="MO33">
        <v>0</v>
      </c>
      <c r="MP33">
        <v>0</v>
      </c>
      <c r="MQ33">
        <v>0</v>
      </c>
      <c r="MR33">
        <v>0</v>
      </c>
      <c r="MS33">
        <v>0</v>
      </c>
      <c r="MT33">
        <v>0</v>
      </c>
      <c r="MU33">
        <v>0</v>
      </c>
      <c r="MV33">
        <v>0</v>
      </c>
      <c r="MW33">
        <v>0</v>
      </c>
      <c r="MX33">
        <v>0</v>
      </c>
      <c r="MY33">
        <v>0</v>
      </c>
      <c r="MZ33">
        <v>0</v>
      </c>
      <c r="NA33">
        <v>0</v>
      </c>
      <c r="NB33">
        <v>0</v>
      </c>
      <c r="NC33">
        <v>0</v>
      </c>
      <c r="ND33">
        <v>0</v>
      </c>
      <c r="NE33">
        <v>0</v>
      </c>
    </row>
    <row r="34" spans="5:369" x14ac:dyDescent="0.45">
      <c r="E34">
        <v>0</v>
      </c>
      <c r="F34">
        <v>0</v>
      </c>
      <c r="G34">
        <v>0</v>
      </c>
      <c r="H34">
        <v>0</v>
      </c>
      <c r="I34">
        <v>0</v>
      </c>
      <c r="J34">
        <v>0</v>
      </c>
      <c r="K34">
        <v>0</v>
      </c>
      <c r="L34">
        <v>0</v>
      </c>
      <c r="M34">
        <v>0</v>
      </c>
      <c r="N34" t="str">
        <v/>
      </c>
      <c r="O34" t="str">
        <v/>
      </c>
      <c r="P34" t="str">
        <v/>
      </c>
      <c r="Q34" t="str">
        <v/>
      </c>
      <c r="R34" t="str">
        <v/>
      </c>
      <c r="S34" t="str">
        <v/>
      </c>
      <c r="T34" t="str">
        <v/>
      </c>
      <c r="U34">
        <v>0</v>
      </c>
      <c r="V34">
        <v>0</v>
      </c>
      <c r="W34">
        <v>0</v>
      </c>
      <c r="X34">
        <v>0</v>
      </c>
      <c r="Y34">
        <v>0</v>
      </c>
      <c r="Z34">
        <v>0</v>
      </c>
      <c r="AA34">
        <v>0</v>
      </c>
      <c r="AB34">
        <v>0</v>
      </c>
      <c r="AC34">
        <v>0</v>
      </c>
      <c r="AD34">
        <v>0</v>
      </c>
      <c r="AE34">
        <v>0</v>
      </c>
      <c r="AF34">
        <v>0</v>
      </c>
      <c r="AG34">
        <v>0</v>
      </c>
      <c r="AH34">
        <v>0</v>
      </c>
      <c r="AI34">
        <v>0</v>
      </c>
      <c r="AJ34">
        <v>0</v>
      </c>
      <c r="AK34">
        <v>0</v>
      </c>
      <c r="AL34">
        <v>0</v>
      </c>
      <c r="AM34">
        <v>0</v>
      </c>
      <c r="AN34" s="5">
        <v>0</v>
      </c>
      <c r="AO34" t="str">
        <v>A131</v>
      </c>
      <c r="AP34" t="str">
        <v>FAZIL ABDULLA</v>
      </c>
      <c r="AQ34" t="str">
        <v>DAHF</v>
      </c>
      <c r="AR34" t="str">
        <v>SUB JUNIOR</v>
      </c>
      <c r="AS34">
        <v>1</v>
      </c>
      <c r="AT34">
        <v>1</v>
      </c>
      <c r="AU34">
        <v>0</v>
      </c>
      <c r="AV34">
        <v>1</v>
      </c>
      <c r="AW34">
        <v>1</v>
      </c>
      <c r="AX34">
        <v>231</v>
      </c>
      <c r="AY34" s="5">
        <v>231</v>
      </c>
      <c r="AZ34" t="str">
        <v>SJ32</v>
      </c>
      <c r="BA34" t="str">
        <v>SONG MLM</v>
      </c>
      <c r="BB34" t="str">
        <v>SUB JUNIOR</v>
      </c>
      <c r="BC34" t="str">
        <v>Single</v>
      </c>
      <c r="BD34" t="str">
        <v>Stage</v>
      </c>
      <c r="BE34">
        <v>3</v>
      </c>
      <c r="BF34" t="str">
        <v>Individual</v>
      </c>
      <c r="BG34" t="str">
        <v>Individual</v>
      </c>
      <c r="BH34" t="str">
        <v>P</v>
      </c>
      <c r="BI34" t="str">
        <v>PUBLISHED</v>
      </c>
      <c r="BK34">
        <v>28</v>
      </c>
      <c r="BL34" t="str">
        <v>SJ28</v>
      </c>
      <c r="BM34" t="str">
        <v>READING HINDI</v>
      </c>
      <c r="BN34">
        <v>3</v>
      </c>
      <c r="BO34" t="str">
        <v>Single</v>
      </c>
      <c r="BP34" t="str">
        <v>Stage</v>
      </c>
      <c r="BQ34" t="str">
        <v>SUB JUNIOR</v>
      </c>
      <c r="BR34" t="str">
        <v>A100</v>
      </c>
      <c r="BS34" t="str">
        <v>A150</v>
      </c>
      <c r="BT34" t="str">
        <v>A161</v>
      </c>
      <c r="BU34">
        <v>0</v>
      </c>
      <c r="BV34">
        <v>0</v>
      </c>
      <c r="BW34">
        <v>0</v>
      </c>
      <c r="BX34">
        <v>0</v>
      </c>
      <c r="BY34" t="str">
        <v>A147</v>
      </c>
      <c r="BZ34" t="str">
        <v>A164</v>
      </c>
      <c r="CA34" t="str">
        <v>A171</v>
      </c>
      <c r="CB34">
        <v>0</v>
      </c>
      <c r="CC34">
        <v>0</v>
      </c>
      <c r="CD34">
        <v>0</v>
      </c>
      <c r="CE34">
        <v>0</v>
      </c>
      <c r="CF34" t="str">
        <v>A145</v>
      </c>
      <c r="CG34" t="str">
        <v>A148</v>
      </c>
      <c r="CH34" t="str">
        <v>A173</v>
      </c>
      <c r="CI34">
        <v>0</v>
      </c>
      <c r="CJ34">
        <v>0</v>
      </c>
      <c r="CK34">
        <v>0</v>
      </c>
      <c r="CL34">
        <v>0</v>
      </c>
      <c r="CM34" t="str">
        <v>A141</v>
      </c>
      <c r="CN34" t="str">
        <v>A144</v>
      </c>
      <c r="CO34" t="str">
        <v>A149</v>
      </c>
      <c r="CP34">
        <v>0</v>
      </c>
      <c r="CQ34">
        <v>0</v>
      </c>
      <c r="CR34">
        <v>0</v>
      </c>
      <c r="CS34">
        <v>0</v>
      </c>
      <c r="CT34">
        <v>0</v>
      </c>
      <c r="CU34">
        <v>0</v>
      </c>
      <c r="CV34">
        <v>0</v>
      </c>
      <c r="CW34">
        <v>0</v>
      </c>
      <c r="CX34">
        <v>0</v>
      </c>
      <c r="CY34">
        <v>0</v>
      </c>
      <c r="CZ34">
        <v>0</v>
      </c>
      <c r="DA34">
        <v>0</v>
      </c>
      <c r="DB34">
        <v>0</v>
      </c>
      <c r="DC34">
        <v>0</v>
      </c>
      <c r="DD34">
        <v>0</v>
      </c>
      <c r="DE34">
        <v>0</v>
      </c>
      <c r="DF34">
        <v>0</v>
      </c>
      <c r="DG34">
        <v>0</v>
      </c>
      <c r="DH34">
        <v>0</v>
      </c>
      <c r="DI34">
        <v>0</v>
      </c>
      <c r="DJ34">
        <v>0</v>
      </c>
      <c r="DK34">
        <v>0</v>
      </c>
      <c r="DL34">
        <v>0</v>
      </c>
      <c r="DM34">
        <v>0</v>
      </c>
      <c r="DN34">
        <v>0</v>
      </c>
      <c r="DO34">
        <v>0</v>
      </c>
      <c r="DP34">
        <v>0</v>
      </c>
      <c r="DQ34">
        <v>0</v>
      </c>
      <c r="DR34">
        <v>0</v>
      </c>
      <c r="DS34">
        <v>0</v>
      </c>
      <c r="DT34">
        <v>0</v>
      </c>
      <c r="DU34">
        <v>0</v>
      </c>
      <c r="DV34">
        <v>0</v>
      </c>
      <c r="DW34">
        <v>0</v>
      </c>
      <c r="DX34">
        <v>0</v>
      </c>
      <c r="DY34">
        <v>0</v>
      </c>
      <c r="DZ34">
        <v>0</v>
      </c>
      <c r="EA34">
        <v>0</v>
      </c>
      <c r="EB34">
        <v>0</v>
      </c>
      <c r="EC34">
        <v>0</v>
      </c>
      <c r="ED34">
        <v>0</v>
      </c>
      <c r="EE34">
        <v>0</v>
      </c>
      <c r="EF34">
        <v>0</v>
      </c>
      <c r="EG34">
        <v>0</v>
      </c>
      <c r="EH34">
        <v>0</v>
      </c>
      <c r="EI34">
        <v>0</v>
      </c>
      <c r="EJ34">
        <v>0</v>
      </c>
      <c r="EK34">
        <v>0</v>
      </c>
      <c r="EL34">
        <v>0</v>
      </c>
      <c r="EM34">
        <v>0</v>
      </c>
      <c r="EN34">
        <v>0</v>
      </c>
      <c r="EO34">
        <v>0</v>
      </c>
      <c r="EP34">
        <v>0</v>
      </c>
      <c r="EQ34">
        <v>0</v>
      </c>
      <c r="ER34">
        <v>0</v>
      </c>
      <c r="ES34">
        <v>0</v>
      </c>
      <c r="ET34">
        <v>0</v>
      </c>
      <c r="EU34">
        <v>0</v>
      </c>
      <c r="EV34">
        <v>0</v>
      </c>
      <c r="EW34">
        <v>0</v>
      </c>
      <c r="EX34">
        <v>0</v>
      </c>
      <c r="EY34">
        <v>0</v>
      </c>
      <c r="EZ34">
        <v>0</v>
      </c>
      <c r="FA34">
        <v>0</v>
      </c>
      <c r="FB34">
        <v>0</v>
      </c>
      <c r="FC34">
        <v>0</v>
      </c>
      <c r="FD34">
        <v>0</v>
      </c>
      <c r="FE34">
        <v>0</v>
      </c>
      <c r="FF34">
        <v>0</v>
      </c>
      <c r="FG34">
        <v>0</v>
      </c>
      <c r="FH34">
        <v>0</v>
      </c>
      <c r="FI34">
        <v>0</v>
      </c>
      <c r="FJ34">
        <v>0</v>
      </c>
      <c r="FK34">
        <v>0</v>
      </c>
      <c r="FL34">
        <v>0</v>
      </c>
      <c r="FM34">
        <v>0</v>
      </c>
      <c r="FN34">
        <v>0</v>
      </c>
      <c r="FO34">
        <v>0</v>
      </c>
      <c r="FP34">
        <v>0</v>
      </c>
      <c r="FQ34">
        <v>0</v>
      </c>
      <c r="FR34">
        <v>0</v>
      </c>
      <c r="FS34">
        <v>0</v>
      </c>
      <c r="FT34">
        <v>0</v>
      </c>
      <c r="FU34">
        <v>0</v>
      </c>
      <c r="FV34">
        <v>0</v>
      </c>
      <c r="FW34">
        <v>0</v>
      </c>
      <c r="FX34">
        <v>0</v>
      </c>
      <c r="FY34">
        <v>0</v>
      </c>
      <c r="FZ34">
        <v>0</v>
      </c>
      <c r="GA34">
        <v>0</v>
      </c>
      <c r="GB34">
        <v>0</v>
      </c>
      <c r="GC34">
        <v>0</v>
      </c>
      <c r="GD34">
        <v>0</v>
      </c>
      <c r="GE34">
        <v>0</v>
      </c>
      <c r="GF34">
        <v>0</v>
      </c>
      <c r="GG34">
        <v>0</v>
      </c>
      <c r="GH34">
        <v>0</v>
      </c>
      <c r="GI34">
        <v>0</v>
      </c>
      <c r="GJ34">
        <v>0</v>
      </c>
      <c r="GK34">
        <v>0</v>
      </c>
      <c r="GL34">
        <v>0</v>
      </c>
      <c r="GM34">
        <v>0</v>
      </c>
      <c r="GN34">
        <v>0</v>
      </c>
      <c r="GO34">
        <v>0</v>
      </c>
      <c r="GP34">
        <v>0</v>
      </c>
      <c r="GQ34">
        <v>0</v>
      </c>
      <c r="GR34">
        <v>0</v>
      </c>
      <c r="GS34">
        <v>0</v>
      </c>
      <c r="GT34">
        <v>0</v>
      </c>
      <c r="GU34">
        <v>0</v>
      </c>
      <c r="GV34">
        <v>0</v>
      </c>
      <c r="GW34">
        <v>0</v>
      </c>
      <c r="GX34">
        <v>0</v>
      </c>
      <c r="GY34">
        <v>0</v>
      </c>
      <c r="GZ34">
        <v>0</v>
      </c>
      <c r="HA34">
        <v>0</v>
      </c>
      <c r="HB34">
        <v>0</v>
      </c>
      <c r="HC34">
        <v>0</v>
      </c>
      <c r="HD34">
        <v>0</v>
      </c>
      <c r="HE34">
        <v>0</v>
      </c>
      <c r="HF34">
        <v>0</v>
      </c>
      <c r="HG34">
        <v>0</v>
      </c>
      <c r="HH34">
        <v>0</v>
      </c>
      <c r="HI34">
        <v>0</v>
      </c>
      <c r="HJ34">
        <v>0</v>
      </c>
      <c r="HK34">
        <v>0</v>
      </c>
      <c r="HL34">
        <v>0</v>
      </c>
      <c r="HM34">
        <v>0</v>
      </c>
      <c r="HN34">
        <v>0</v>
      </c>
      <c r="HO34">
        <v>0</v>
      </c>
      <c r="HP34">
        <v>0</v>
      </c>
      <c r="HQ34">
        <v>0</v>
      </c>
      <c r="HR34">
        <v>0</v>
      </c>
      <c r="HS34">
        <v>0</v>
      </c>
      <c r="HT34">
        <v>0</v>
      </c>
      <c r="HU34">
        <v>0</v>
      </c>
      <c r="HV34">
        <v>0</v>
      </c>
      <c r="HW34">
        <v>0</v>
      </c>
      <c r="HX34">
        <v>0</v>
      </c>
      <c r="HY34">
        <v>0</v>
      </c>
      <c r="HZ34">
        <v>0</v>
      </c>
      <c r="IA34">
        <v>0</v>
      </c>
      <c r="IB34">
        <v>0</v>
      </c>
      <c r="IC34">
        <v>0</v>
      </c>
      <c r="ID34">
        <v>0</v>
      </c>
      <c r="IE34">
        <v>0</v>
      </c>
      <c r="IF34">
        <v>0</v>
      </c>
      <c r="IG34">
        <v>0</v>
      </c>
      <c r="IH34">
        <v>0</v>
      </c>
      <c r="II34">
        <v>0</v>
      </c>
      <c r="IJ34">
        <v>0</v>
      </c>
      <c r="IK34">
        <v>0</v>
      </c>
      <c r="IL34">
        <v>0</v>
      </c>
      <c r="IM34">
        <v>0</v>
      </c>
      <c r="IN34">
        <v>0</v>
      </c>
      <c r="IO34">
        <v>0</v>
      </c>
      <c r="IP34">
        <v>0</v>
      </c>
      <c r="IQ34">
        <v>0</v>
      </c>
      <c r="IR34">
        <v>0</v>
      </c>
      <c r="IS34">
        <v>0</v>
      </c>
      <c r="IT34">
        <v>0</v>
      </c>
      <c r="IU34">
        <v>0</v>
      </c>
      <c r="IV34">
        <v>0</v>
      </c>
      <c r="IW34">
        <v>0</v>
      </c>
      <c r="IX34">
        <v>0</v>
      </c>
      <c r="IY34">
        <v>0</v>
      </c>
      <c r="IZ34">
        <v>0</v>
      </c>
      <c r="JA34">
        <v>0</v>
      </c>
      <c r="JB34">
        <v>0</v>
      </c>
      <c r="JC34">
        <v>0</v>
      </c>
      <c r="JD34">
        <v>0</v>
      </c>
      <c r="JE34">
        <v>0</v>
      </c>
      <c r="JF34">
        <v>0</v>
      </c>
      <c r="JG34">
        <v>0</v>
      </c>
      <c r="JH34">
        <v>0</v>
      </c>
      <c r="JI34">
        <v>0</v>
      </c>
      <c r="JJ34">
        <v>0</v>
      </c>
      <c r="JK34">
        <v>0</v>
      </c>
      <c r="JL34">
        <v>0</v>
      </c>
      <c r="JM34">
        <v>0</v>
      </c>
      <c r="JN34">
        <v>0</v>
      </c>
      <c r="JO34">
        <v>0</v>
      </c>
      <c r="JP34">
        <v>0</v>
      </c>
      <c r="JQ34">
        <v>0</v>
      </c>
      <c r="JR34">
        <v>0</v>
      </c>
      <c r="JS34">
        <v>0</v>
      </c>
      <c r="JT34">
        <v>0</v>
      </c>
      <c r="JU34">
        <v>0</v>
      </c>
      <c r="JV34">
        <v>0</v>
      </c>
      <c r="JW34">
        <v>0</v>
      </c>
      <c r="JX34">
        <v>0</v>
      </c>
      <c r="JY34">
        <v>0</v>
      </c>
      <c r="JZ34">
        <v>0</v>
      </c>
      <c r="KA34">
        <v>0</v>
      </c>
      <c r="KB34">
        <v>0</v>
      </c>
      <c r="KC34">
        <v>0</v>
      </c>
      <c r="KD34">
        <v>0</v>
      </c>
      <c r="KE34">
        <v>0</v>
      </c>
      <c r="KF34">
        <v>0</v>
      </c>
      <c r="KG34">
        <v>0</v>
      </c>
      <c r="KH34">
        <v>0</v>
      </c>
      <c r="KI34">
        <v>0</v>
      </c>
      <c r="KJ34">
        <v>0</v>
      </c>
      <c r="KK34">
        <v>0</v>
      </c>
      <c r="KL34">
        <v>0</v>
      </c>
      <c r="KM34">
        <v>0</v>
      </c>
      <c r="KN34">
        <v>0</v>
      </c>
      <c r="KO34">
        <v>0</v>
      </c>
      <c r="KP34">
        <v>0</v>
      </c>
      <c r="KQ34">
        <v>0</v>
      </c>
      <c r="KR34">
        <v>0</v>
      </c>
      <c r="KS34">
        <v>0</v>
      </c>
      <c r="KT34">
        <v>0</v>
      </c>
      <c r="KU34">
        <v>0</v>
      </c>
      <c r="KV34">
        <v>0</v>
      </c>
      <c r="KW34">
        <v>0</v>
      </c>
      <c r="KX34">
        <v>0</v>
      </c>
      <c r="KY34">
        <v>0</v>
      </c>
      <c r="KZ34">
        <v>0</v>
      </c>
      <c r="LA34">
        <v>0</v>
      </c>
      <c r="LB34">
        <v>0</v>
      </c>
      <c r="LC34">
        <v>0</v>
      </c>
      <c r="LD34">
        <v>0</v>
      </c>
      <c r="LE34">
        <v>0</v>
      </c>
      <c r="LF34">
        <v>0</v>
      </c>
      <c r="LG34">
        <v>0</v>
      </c>
      <c r="LH34">
        <v>0</v>
      </c>
      <c r="LI34">
        <v>0</v>
      </c>
      <c r="LJ34">
        <v>0</v>
      </c>
      <c r="LK34">
        <v>0</v>
      </c>
      <c r="LL34">
        <v>0</v>
      </c>
      <c r="LM34">
        <v>0</v>
      </c>
      <c r="LN34">
        <v>0</v>
      </c>
      <c r="LO34">
        <v>0</v>
      </c>
      <c r="LP34">
        <v>0</v>
      </c>
      <c r="LQ34">
        <v>0</v>
      </c>
      <c r="LR34">
        <v>0</v>
      </c>
      <c r="LS34">
        <v>0</v>
      </c>
      <c r="LT34">
        <v>0</v>
      </c>
      <c r="LU34">
        <v>0</v>
      </c>
      <c r="LV34">
        <v>0</v>
      </c>
      <c r="LW34">
        <v>0</v>
      </c>
      <c r="LX34">
        <v>0</v>
      </c>
      <c r="LY34">
        <v>0</v>
      </c>
      <c r="LZ34">
        <v>0</v>
      </c>
      <c r="MA34">
        <v>0</v>
      </c>
      <c r="MB34">
        <v>0</v>
      </c>
      <c r="MC34">
        <v>0</v>
      </c>
      <c r="MD34">
        <v>0</v>
      </c>
      <c r="ME34">
        <v>0</v>
      </c>
      <c r="MF34">
        <v>0</v>
      </c>
      <c r="MG34">
        <v>0</v>
      </c>
      <c r="MH34">
        <v>0</v>
      </c>
      <c r="MI34">
        <v>0</v>
      </c>
      <c r="MJ34">
        <v>0</v>
      </c>
      <c r="MK34">
        <v>0</v>
      </c>
      <c r="ML34">
        <v>0</v>
      </c>
      <c r="MM34">
        <v>0</v>
      </c>
      <c r="MN34">
        <v>0</v>
      </c>
      <c r="MO34">
        <v>0</v>
      </c>
      <c r="MP34">
        <v>0</v>
      </c>
      <c r="MQ34">
        <v>0</v>
      </c>
      <c r="MR34">
        <v>0</v>
      </c>
      <c r="MS34">
        <v>0</v>
      </c>
      <c r="MT34">
        <v>0</v>
      </c>
      <c r="MU34">
        <v>0</v>
      </c>
      <c r="MV34">
        <v>0</v>
      </c>
      <c r="MW34">
        <v>0</v>
      </c>
      <c r="MX34">
        <v>0</v>
      </c>
      <c r="MY34">
        <v>0</v>
      </c>
      <c r="MZ34">
        <v>0</v>
      </c>
      <c r="NA34">
        <v>0</v>
      </c>
      <c r="NB34">
        <v>0</v>
      </c>
      <c r="NC34">
        <v>0</v>
      </c>
      <c r="ND34">
        <v>0</v>
      </c>
      <c r="NE34">
        <v>0</v>
      </c>
    </row>
    <row r="35" spans="5:369" x14ac:dyDescent="0.45">
      <c r="E35">
        <v>0</v>
      </c>
      <c r="F35">
        <v>0</v>
      </c>
      <c r="G35">
        <v>0</v>
      </c>
      <c r="H35">
        <v>0</v>
      </c>
      <c r="I35">
        <v>0</v>
      </c>
      <c r="J35">
        <v>0</v>
      </c>
      <c r="K35">
        <v>0</v>
      </c>
      <c r="L35">
        <v>0</v>
      </c>
      <c r="M35">
        <v>0</v>
      </c>
      <c r="N35" t="str">
        <v/>
      </c>
      <c r="O35" t="str">
        <v/>
      </c>
      <c r="P35" t="str">
        <v/>
      </c>
      <c r="Q35" t="str">
        <v/>
      </c>
      <c r="R35" t="str">
        <v/>
      </c>
      <c r="S35" t="str">
        <v/>
      </c>
      <c r="T35" t="str">
        <v/>
      </c>
      <c r="U35">
        <v>0</v>
      </c>
      <c r="V35">
        <v>0</v>
      </c>
      <c r="W35">
        <v>0</v>
      </c>
      <c r="X35">
        <v>0</v>
      </c>
      <c r="Y35">
        <v>0</v>
      </c>
      <c r="Z35">
        <v>0</v>
      </c>
      <c r="AA35">
        <v>0</v>
      </c>
      <c r="AB35">
        <v>0</v>
      </c>
      <c r="AC35">
        <v>0</v>
      </c>
      <c r="AD35">
        <v>0</v>
      </c>
      <c r="AE35">
        <v>0</v>
      </c>
      <c r="AF35">
        <v>0</v>
      </c>
      <c r="AG35">
        <v>0</v>
      </c>
      <c r="AH35">
        <v>0</v>
      </c>
      <c r="AI35">
        <v>0</v>
      </c>
      <c r="AJ35">
        <v>0</v>
      </c>
      <c r="AK35">
        <v>0</v>
      </c>
      <c r="AL35">
        <v>0</v>
      </c>
      <c r="AM35">
        <v>0</v>
      </c>
      <c r="AN35" s="5">
        <v>0</v>
      </c>
      <c r="AO35" t="str">
        <v>A132</v>
      </c>
      <c r="AP35" t="str">
        <v>MUHAMMED SHIRAZ ISHAQUE</v>
      </c>
      <c r="AQ35" t="str">
        <v>FANT</v>
      </c>
      <c r="AR35" t="str">
        <v>SUB JUNIOR</v>
      </c>
      <c r="AS35">
        <v>1</v>
      </c>
      <c r="AT35">
        <v>0</v>
      </c>
      <c r="AU35">
        <v>0</v>
      </c>
      <c r="AV35">
        <v>0</v>
      </c>
      <c r="AW35">
        <v>0</v>
      </c>
      <c r="AX35">
        <v>255</v>
      </c>
      <c r="AY35" s="5">
        <v>255</v>
      </c>
      <c r="AZ35" t="str">
        <v>SJ33</v>
      </c>
      <c r="BA35" t="str">
        <v>SONG URD</v>
      </c>
      <c r="BB35" t="str">
        <v>SUB JUNIOR</v>
      </c>
      <c r="BC35" t="str">
        <v>Single</v>
      </c>
      <c r="BD35" t="str">
        <v>Stage</v>
      </c>
      <c r="BE35">
        <v>3</v>
      </c>
      <c r="BF35" t="str">
        <v>Individual</v>
      </c>
      <c r="BG35" t="str">
        <v>Individual</v>
      </c>
      <c r="BH35" t="str">
        <v>P</v>
      </c>
      <c r="BI35" t="str">
        <v>PUBLISHED</v>
      </c>
      <c r="BK35">
        <v>29</v>
      </c>
      <c r="BL35" t="str">
        <v>SJ29</v>
      </c>
      <c r="BM35" t="str">
        <v>READING MLM</v>
      </c>
      <c r="BN35">
        <v>3</v>
      </c>
      <c r="BO35" t="str">
        <v>Single</v>
      </c>
      <c r="BP35" t="str">
        <v>Stage</v>
      </c>
      <c r="BQ35" t="str">
        <v>SUB JUNIOR</v>
      </c>
      <c r="BR35" t="str">
        <v>A111</v>
      </c>
      <c r="BS35" t="str">
        <v>A122</v>
      </c>
      <c r="BT35" t="str">
        <v>A169</v>
      </c>
      <c r="BU35">
        <v>0</v>
      </c>
      <c r="BV35">
        <v>0</v>
      </c>
      <c r="BW35">
        <v>0</v>
      </c>
      <c r="BX35">
        <v>0</v>
      </c>
      <c r="BY35" t="str">
        <v>A112</v>
      </c>
      <c r="BZ35" t="str">
        <v>A125</v>
      </c>
      <c r="CA35" t="str">
        <v>A174</v>
      </c>
      <c r="CB35">
        <v>0</v>
      </c>
      <c r="CC35">
        <v>0</v>
      </c>
      <c r="CD35">
        <v>0</v>
      </c>
      <c r="CE35">
        <v>0</v>
      </c>
      <c r="CF35" t="str">
        <v>A106</v>
      </c>
      <c r="CG35" t="str">
        <v>A114</v>
      </c>
      <c r="CH35" t="str">
        <v>A152</v>
      </c>
      <c r="CI35">
        <v>0</v>
      </c>
      <c r="CJ35">
        <v>0</v>
      </c>
      <c r="CK35">
        <v>0</v>
      </c>
      <c r="CL35">
        <v>0</v>
      </c>
      <c r="CM35" t="str">
        <v>A141</v>
      </c>
      <c r="CN35" t="str">
        <v>A159</v>
      </c>
      <c r="CO35" t="str">
        <v>A168</v>
      </c>
      <c r="CP35">
        <v>0</v>
      </c>
      <c r="CQ35">
        <v>0</v>
      </c>
      <c r="CR35">
        <v>0</v>
      </c>
      <c r="CS35">
        <v>0</v>
      </c>
      <c r="CT35">
        <v>0</v>
      </c>
      <c r="CU35">
        <v>0</v>
      </c>
      <c r="CV35">
        <v>0</v>
      </c>
      <c r="CW35">
        <v>0</v>
      </c>
      <c r="CX35">
        <v>0</v>
      </c>
      <c r="CY35">
        <v>0</v>
      </c>
      <c r="CZ35">
        <v>0</v>
      </c>
      <c r="DA35">
        <v>0</v>
      </c>
      <c r="DB35">
        <v>0</v>
      </c>
      <c r="DC35">
        <v>0</v>
      </c>
      <c r="DD35">
        <v>0</v>
      </c>
      <c r="DE35">
        <v>0</v>
      </c>
      <c r="DF35">
        <v>0</v>
      </c>
      <c r="DG35">
        <v>0</v>
      </c>
      <c r="DH35">
        <v>0</v>
      </c>
      <c r="DI35">
        <v>0</v>
      </c>
      <c r="DJ35">
        <v>0</v>
      </c>
      <c r="DK35">
        <v>0</v>
      </c>
      <c r="DL35">
        <v>0</v>
      </c>
      <c r="DM35">
        <v>0</v>
      </c>
      <c r="DN35">
        <v>0</v>
      </c>
      <c r="DO35">
        <v>0</v>
      </c>
      <c r="DP35">
        <v>0</v>
      </c>
      <c r="DQ35">
        <v>0</v>
      </c>
      <c r="DR35">
        <v>0</v>
      </c>
      <c r="DS35">
        <v>0</v>
      </c>
      <c r="DT35">
        <v>0</v>
      </c>
      <c r="DU35">
        <v>0</v>
      </c>
      <c r="DV35">
        <v>0</v>
      </c>
      <c r="DW35">
        <v>0</v>
      </c>
      <c r="DX35">
        <v>0</v>
      </c>
      <c r="DY35">
        <v>0</v>
      </c>
      <c r="DZ35">
        <v>0</v>
      </c>
      <c r="EA35">
        <v>0</v>
      </c>
      <c r="EB35">
        <v>0</v>
      </c>
      <c r="EC35">
        <v>0</v>
      </c>
      <c r="ED35">
        <v>0</v>
      </c>
      <c r="EE35">
        <v>0</v>
      </c>
      <c r="EF35">
        <v>0</v>
      </c>
      <c r="EG35">
        <v>0</v>
      </c>
      <c r="EH35">
        <v>0</v>
      </c>
      <c r="EI35">
        <v>0</v>
      </c>
      <c r="EJ35">
        <v>0</v>
      </c>
      <c r="EK35">
        <v>0</v>
      </c>
      <c r="EL35">
        <v>0</v>
      </c>
      <c r="EM35">
        <v>0</v>
      </c>
      <c r="EN35">
        <v>0</v>
      </c>
      <c r="EO35">
        <v>0</v>
      </c>
      <c r="EP35">
        <v>0</v>
      </c>
      <c r="EQ35">
        <v>0</v>
      </c>
      <c r="ER35">
        <v>0</v>
      </c>
      <c r="ES35">
        <v>0</v>
      </c>
      <c r="ET35">
        <v>0</v>
      </c>
      <c r="EU35">
        <v>0</v>
      </c>
      <c r="EV35">
        <v>0</v>
      </c>
      <c r="EW35">
        <v>0</v>
      </c>
      <c r="EX35">
        <v>0</v>
      </c>
      <c r="EY35">
        <v>0</v>
      </c>
      <c r="EZ35">
        <v>0</v>
      </c>
      <c r="FA35">
        <v>0</v>
      </c>
      <c r="FB35">
        <v>0</v>
      </c>
      <c r="FC35">
        <v>0</v>
      </c>
      <c r="FD35">
        <v>0</v>
      </c>
      <c r="FE35">
        <v>0</v>
      </c>
      <c r="FF35">
        <v>0</v>
      </c>
      <c r="FG35">
        <v>0</v>
      </c>
      <c r="FH35">
        <v>0</v>
      </c>
      <c r="FI35">
        <v>0</v>
      </c>
      <c r="FJ35">
        <v>0</v>
      </c>
      <c r="FK35">
        <v>0</v>
      </c>
      <c r="FL35">
        <v>0</v>
      </c>
      <c r="FM35">
        <v>0</v>
      </c>
      <c r="FN35">
        <v>0</v>
      </c>
      <c r="FO35">
        <v>0</v>
      </c>
      <c r="FP35">
        <v>0</v>
      </c>
      <c r="FQ35">
        <v>0</v>
      </c>
      <c r="FR35">
        <v>0</v>
      </c>
      <c r="FS35">
        <v>0</v>
      </c>
      <c r="FT35">
        <v>0</v>
      </c>
      <c r="FU35">
        <v>0</v>
      </c>
      <c r="FV35">
        <v>0</v>
      </c>
      <c r="FW35">
        <v>0</v>
      </c>
      <c r="FX35">
        <v>0</v>
      </c>
      <c r="FY35">
        <v>0</v>
      </c>
      <c r="FZ35">
        <v>0</v>
      </c>
      <c r="GA35">
        <v>0</v>
      </c>
      <c r="GB35">
        <v>0</v>
      </c>
      <c r="GC35">
        <v>0</v>
      </c>
      <c r="GD35">
        <v>0</v>
      </c>
      <c r="GE35">
        <v>0</v>
      </c>
      <c r="GF35">
        <v>0</v>
      </c>
      <c r="GG35">
        <v>0</v>
      </c>
      <c r="GH35">
        <v>0</v>
      </c>
      <c r="GI35">
        <v>0</v>
      </c>
      <c r="GJ35">
        <v>0</v>
      </c>
      <c r="GK35">
        <v>0</v>
      </c>
      <c r="GL35">
        <v>0</v>
      </c>
      <c r="GM35">
        <v>0</v>
      </c>
      <c r="GN35">
        <v>0</v>
      </c>
      <c r="GO35">
        <v>0</v>
      </c>
      <c r="GP35">
        <v>0</v>
      </c>
      <c r="GQ35">
        <v>0</v>
      </c>
      <c r="GR35">
        <v>0</v>
      </c>
      <c r="GS35">
        <v>0</v>
      </c>
      <c r="GT35">
        <v>0</v>
      </c>
      <c r="GU35">
        <v>0</v>
      </c>
      <c r="GV35">
        <v>0</v>
      </c>
      <c r="GW35">
        <v>0</v>
      </c>
      <c r="GX35">
        <v>0</v>
      </c>
      <c r="GY35">
        <v>0</v>
      </c>
      <c r="GZ35">
        <v>0</v>
      </c>
      <c r="HA35">
        <v>0</v>
      </c>
      <c r="HB35">
        <v>0</v>
      </c>
      <c r="HC35">
        <v>0</v>
      </c>
      <c r="HD35">
        <v>0</v>
      </c>
      <c r="HE35">
        <v>0</v>
      </c>
      <c r="HF35">
        <v>0</v>
      </c>
      <c r="HG35">
        <v>0</v>
      </c>
      <c r="HH35">
        <v>0</v>
      </c>
      <c r="HI35">
        <v>0</v>
      </c>
      <c r="HJ35">
        <v>0</v>
      </c>
      <c r="HK35">
        <v>0</v>
      </c>
      <c r="HL35">
        <v>0</v>
      </c>
      <c r="HM35">
        <v>0</v>
      </c>
      <c r="HN35">
        <v>0</v>
      </c>
      <c r="HO35">
        <v>0</v>
      </c>
      <c r="HP35">
        <v>0</v>
      </c>
      <c r="HQ35">
        <v>0</v>
      </c>
      <c r="HR35">
        <v>0</v>
      </c>
      <c r="HS35">
        <v>0</v>
      </c>
      <c r="HT35">
        <v>0</v>
      </c>
      <c r="HU35">
        <v>0</v>
      </c>
      <c r="HV35">
        <v>0</v>
      </c>
      <c r="HW35">
        <v>0</v>
      </c>
      <c r="HX35">
        <v>0</v>
      </c>
      <c r="HY35">
        <v>0</v>
      </c>
      <c r="HZ35">
        <v>0</v>
      </c>
      <c r="IA35">
        <v>0</v>
      </c>
      <c r="IB35">
        <v>0</v>
      </c>
      <c r="IC35">
        <v>0</v>
      </c>
      <c r="ID35">
        <v>0</v>
      </c>
      <c r="IE35">
        <v>0</v>
      </c>
      <c r="IF35">
        <v>0</v>
      </c>
      <c r="IG35">
        <v>0</v>
      </c>
      <c r="IH35">
        <v>0</v>
      </c>
      <c r="II35">
        <v>0</v>
      </c>
      <c r="IJ35">
        <v>0</v>
      </c>
      <c r="IK35">
        <v>0</v>
      </c>
      <c r="IL35">
        <v>0</v>
      </c>
      <c r="IM35">
        <v>0</v>
      </c>
      <c r="IN35">
        <v>0</v>
      </c>
      <c r="IO35">
        <v>0</v>
      </c>
      <c r="IP35">
        <v>0</v>
      </c>
      <c r="IQ35">
        <v>0</v>
      </c>
      <c r="IR35">
        <v>0</v>
      </c>
      <c r="IS35">
        <v>0</v>
      </c>
      <c r="IT35">
        <v>0</v>
      </c>
      <c r="IU35">
        <v>0</v>
      </c>
      <c r="IV35">
        <v>0</v>
      </c>
      <c r="IW35">
        <v>0</v>
      </c>
      <c r="IX35">
        <v>0</v>
      </c>
      <c r="IY35">
        <v>0</v>
      </c>
      <c r="IZ35">
        <v>0</v>
      </c>
      <c r="JA35">
        <v>0</v>
      </c>
      <c r="JB35">
        <v>0</v>
      </c>
      <c r="JC35">
        <v>0</v>
      </c>
      <c r="JD35">
        <v>0</v>
      </c>
      <c r="JE35">
        <v>0</v>
      </c>
      <c r="JF35">
        <v>0</v>
      </c>
      <c r="JG35">
        <v>0</v>
      </c>
      <c r="JH35">
        <v>0</v>
      </c>
      <c r="JI35">
        <v>0</v>
      </c>
      <c r="JJ35">
        <v>0</v>
      </c>
      <c r="JK35">
        <v>0</v>
      </c>
      <c r="JL35">
        <v>0</v>
      </c>
      <c r="JM35">
        <v>0</v>
      </c>
      <c r="JN35">
        <v>0</v>
      </c>
      <c r="JO35">
        <v>0</v>
      </c>
      <c r="JP35">
        <v>0</v>
      </c>
      <c r="JQ35">
        <v>0</v>
      </c>
      <c r="JR35">
        <v>0</v>
      </c>
      <c r="JS35">
        <v>0</v>
      </c>
      <c r="JT35">
        <v>0</v>
      </c>
      <c r="JU35">
        <v>0</v>
      </c>
      <c r="JV35">
        <v>0</v>
      </c>
      <c r="JW35">
        <v>0</v>
      </c>
      <c r="JX35">
        <v>0</v>
      </c>
      <c r="JY35">
        <v>0</v>
      </c>
      <c r="JZ35">
        <v>0</v>
      </c>
      <c r="KA35">
        <v>0</v>
      </c>
      <c r="KB35">
        <v>0</v>
      </c>
      <c r="KC35">
        <v>0</v>
      </c>
      <c r="KD35">
        <v>0</v>
      </c>
      <c r="KE35">
        <v>0</v>
      </c>
      <c r="KF35">
        <v>0</v>
      </c>
      <c r="KG35">
        <v>0</v>
      </c>
      <c r="KH35">
        <v>0</v>
      </c>
      <c r="KI35">
        <v>0</v>
      </c>
      <c r="KJ35">
        <v>0</v>
      </c>
      <c r="KK35">
        <v>0</v>
      </c>
      <c r="KL35">
        <v>0</v>
      </c>
      <c r="KM35">
        <v>0</v>
      </c>
      <c r="KN35">
        <v>0</v>
      </c>
      <c r="KO35">
        <v>0</v>
      </c>
      <c r="KP35">
        <v>0</v>
      </c>
      <c r="KQ35">
        <v>0</v>
      </c>
      <c r="KR35">
        <v>0</v>
      </c>
      <c r="KS35">
        <v>0</v>
      </c>
      <c r="KT35">
        <v>0</v>
      </c>
      <c r="KU35">
        <v>0</v>
      </c>
      <c r="KV35">
        <v>0</v>
      </c>
      <c r="KW35">
        <v>0</v>
      </c>
      <c r="KX35">
        <v>0</v>
      </c>
      <c r="KY35">
        <v>0</v>
      </c>
      <c r="KZ35">
        <v>0</v>
      </c>
      <c r="LA35">
        <v>0</v>
      </c>
      <c r="LB35">
        <v>0</v>
      </c>
      <c r="LC35">
        <v>0</v>
      </c>
      <c r="LD35">
        <v>0</v>
      </c>
      <c r="LE35">
        <v>0</v>
      </c>
      <c r="LF35">
        <v>0</v>
      </c>
      <c r="LG35">
        <v>0</v>
      </c>
      <c r="LH35">
        <v>0</v>
      </c>
      <c r="LI35">
        <v>0</v>
      </c>
      <c r="LJ35">
        <v>0</v>
      </c>
      <c r="LK35">
        <v>0</v>
      </c>
      <c r="LL35">
        <v>0</v>
      </c>
      <c r="LM35">
        <v>0</v>
      </c>
      <c r="LN35">
        <v>0</v>
      </c>
      <c r="LO35">
        <v>0</v>
      </c>
      <c r="LP35">
        <v>0</v>
      </c>
      <c r="LQ35">
        <v>0</v>
      </c>
      <c r="LR35">
        <v>0</v>
      </c>
      <c r="LS35">
        <v>0</v>
      </c>
      <c r="LT35">
        <v>0</v>
      </c>
      <c r="LU35">
        <v>0</v>
      </c>
      <c r="LV35">
        <v>0</v>
      </c>
      <c r="LW35">
        <v>0</v>
      </c>
      <c r="LX35">
        <v>0</v>
      </c>
      <c r="LY35">
        <v>0</v>
      </c>
      <c r="LZ35">
        <v>0</v>
      </c>
      <c r="MA35">
        <v>0</v>
      </c>
      <c r="MB35">
        <v>0</v>
      </c>
      <c r="MC35">
        <v>0</v>
      </c>
      <c r="MD35">
        <v>0</v>
      </c>
      <c r="ME35">
        <v>0</v>
      </c>
      <c r="MF35">
        <v>0</v>
      </c>
      <c r="MG35">
        <v>0</v>
      </c>
      <c r="MH35">
        <v>0</v>
      </c>
      <c r="MI35">
        <v>0</v>
      </c>
      <c r="MJ35">
        <v>0</v>
      </c>
      <c r="MK35">
        <v>0</v>
      </c>
      <c r="ML35">
        <v>0</v>
      </c>
      <c r="MM35">
        <v>0</v>
      </c>
      <c r="MN35">
        <v>0</v>
      </c>
      <c r="MO35">
        <v>0</v>
      </c>
      <c r="MP35">
        <v>0</v>
      </c>
      <c r="MQ35">
        <v>0</v>
      </c>
      <c r="MR35">
        <v>0</v>
      </c>
      <c r="MS35">
        <v>0</v>
      </c>
      <c r="MT35">
        <v>0</v>
      </c>
      <c r="MU35">
        <v>0</v>
      </c>
      <c r="MV35">
        <v>0</v>
      </c>
      <c r="MW35">
        <v>0</v>
      </c>
      <c r="MX35">
        <v>0</v>
      </c>
      <c r="MY35">
        <v>0</v>
      </c>
      <c r="MZ35">
        <v>0</v>
      </c>
      <c r="NA35">
        <v>0</v>
      </c>
      <c r="NB35">
        <v>0</v>
      </c>
      <c r="NC35">
        <v>0</v>
      </c>
      <c r="ND35">
        <v>0</v>
      </c>
      <c r="NE35">
        <v>0</v>
      </c>
    </row>
    <row r="36" spans="5:369" x14ac:dyDescent="0.45">
      <c r="E36">
        <v>0</v>
      </c>
      <c r="F36">
        <v>0</v>
      </c>
      <c r="G36">
        <v>0</v>
      </c>
      <c r="H36">
        <v>0</v>
      </c>
      <c r="I36">
        <v>0</v>
      </c>
      <c r="J36">
        <v>0</v>
      </c>
      <c r="K36">
        <v>0</v>
      </c>
      <c r="L36">
        <v>0</v>
      </c>
      <c r="M36">
        <v>0</v>
      </c>
      <c r="N36" t="str">
        <v/>
      </c>
      <c r="O36" t="str">
        <v/>
      </c>
      <c r="P36" t="str">
        <v/>
      </c>
      <c r="Q36" t="str">
        <v/>
      </c>
      <c r="R36" t="str">
        <v/>
      </c>
      <c r="S36" t="str">
        <v/>
      </c>
      <c r="T36" t="str">
        <v/>
      </c>
      <c r="U36">
        <v>0</v>
      </c>
      <c r="V36">
        <v>0</v>
      </c>
      <c r="W36">
        <v>0</v>
      </c>
      <c r="X36">
        <v>0</v>
      </c>
      <c r="Y36">
        <v>0</v>
      </c>
      <c r="Z36">
        <v>0</v>
      </c>
      <c r="AA36">
        <v>0</v>
      </c>
      <c r="AB36">
        <v>0</v>
      </c>
      <c r="AC36">
        <v>0</v>
      </c>
      <c r="AD36">
        <v>0</v>
      </c>
      <c r="AE36">
        <v>0</v>
      </c>
      <c r="AF36">
        <v>0</v>
      </c>
      <c r="AG36">
        <v>0</v>
      </c>
      <c r="AH36">
        <v>0</v>
      </c>
      <c r="AI36">
        <v>0</v>
      </c>
      <c r="AJ36">
        <v>0</v>
      </c>
      <c r="AK36">
        <v>0</v>
      </c>
      <c r="AL36">
        <v>0</v>
      </c>
      <c r="AM36">
        <v>0</v>
      </c>
      <c r="AN36" s="5">
        <v>0</v>
      </c>
      <c r="AO36" t="str">
        <v>A133</v>
      </c>
      <c r="AP36" t="str">
        <v>JAUHAR ASHFAQUE MUHSIN</v>
      </c>
      <c r="AQ36" t="str">
        <v>JARF</v>
      </c>
      <c r="AR36" t="str">
        <v>SUB JUNIOR</v>
      </c>
      <c r="AS36">
        <v>1</v>
      </c>
      <c r="AT36">
        <v>0</v>
      </c>
      <c r="AU36">
        <v>0</v>
      </c>
      <c r="AV36">
        <v>0</v>
      </c>
      <c r="AW36">
        <v>0</v>
      </c>
      <c r="AX36">
        <v>255</v>
      </c>
      <c r="AY36" s="5">
        <v>255</v>
      </c>
      <c r="AZ36" t="str">
        <v>SJ34</v>
      </c>
      <c r="BA36" t="str">
        <v>SPEECH ARB</v>
      </c>
      <c r="BB36" t="str">
        <v>SUB JUNIOR</v>
      </c>
      <c r="BC36" t="str">
        <v>Single</v>
      </c>
      <c r="BD36" t="str">
        <v>Stage</v>
      </c>
      <c r="BE36">
        <v>3</v>
      </c>
      <c r="BF36" t="str">
        <v>Individual</v>
      </c>
      <c r="BG36" t="str">
        <v>Individual</v>
      </c>
      <c r="BH36" t="str">
        <v>P</v>
      </c>
      <c r="BI36" t="str">
        <v>PUBLISHED</v>
      </c>
      <c r="BK36">
        <v>30</v>
      </c>
      <c r="BL36" t="str">
        <v>SJ30</v>
      </c>
      <c r="BM36" t="str">
        <v>READING URD</v>
      </c>
      <c r="BN36">
        <v>3</v>
      </c>
      <c r="BO36" t="str">
        <v>Single</v>
      </c>
      <c r="BP36" t="str">
        <v>Stage</v>
      </c>
      <c r="BQ36" t="str">
        <v>SUB JUNIOR</v>
      </c>
      <c r="BR36" t="str">
        <v>A100</v>
      </c>
      <c r="BS36" t="str">
        <v>A139</v>
      </c>
      <c r="BT36" t="str">
        <v>A151</v>
      </c>
      <c r="BU36">
        <v>0</v>
      </c>
      <c r="BV36">
        <v>0</v>
      </c>
      <c r="BW36">
        <v>0</v>
      </c>
      <c r="BX36">
        <v>0</v>
      </c>
      <c r="BY36" t="str">
        <v>A115</v>
      </c>
      <c r="BZ36" t="str">
        <v>A164</v>
      </c>
      <c r="CA36" t="str">
        <v>A172</v>
      </c>
      <c r="CB36">
        <v>0</v>
      </c>
      <c r="CC36">
        <v>0</v>
      </c>
      <c r="CD36">
        <v>0</v>
      </c>
      <c r="CE36">
        <v>0</v>
      </c>
      <c r="CF36" t="str">
        <v>A135</v>
      </c>
      <c r="CG36" t="str">
        <v>A145</v>
      </c>
      <c r="CH36" t="str">
        <v>A148</v>
      </c>
      <c r="CI36">
        <v>0</v>
      </c>
      <c r="CJ36">
        <v>0</v>
      </c>
      <c r="CK36">
        <v>0</v>
      </c>
      <c r="CL36">
        <v>0</v>
      </c>
      <c r="CM36" t="str">
        <v>A123</v>
      </c>
      <c r="CN36" t="str">
        <v>A141</v>
      </c>
      <c r="CO36" t="str">
        <v>A144</v>
      </c>
      <c r="CP36">
        <v>0</v>
      </c>
      <c r="CQ36">
        <v>0</v>
      </c>
      <c r="CR36">
        <v>0</v>
      </c>
      <c r="CS36">
        <v>0</v>
      </c>
      <c r="CT36">
        <v>0</v>
      </c>
      <c r="CU36">
        <v>0</v>
      </c>
      <c r="CV36">
        <v>0</v>
      </c>
      <c r="CW36">
        <v>0</v>
      </c>
      <c r="CX36">
        <v>0</v>
      </c>
      <c r="CY36">
        <v>0</v>
      </c>
      <c r="CZ36">
        <v>0</v>
      </c>
      <c r="DA36">
        <v>0</v>
      </c>
      <c r="DB36">
        <v>0</v>
      </c>
      <c r="DC36">
        <v>0</v>
      </c>
      <c r="DD36">
        <v>0</v>
      </c>
      <c r="DE36">
        <v>0</v>
      </c>
      <c r="DF36">
        <v>0</v>
      </c>
      <c r="DG36">
        <v>0</v>
      </c>
      <c r="DH36">
        <v>0</v>
      </c>
      <c r="DI36">
        <v>0</v>
      </c>
      <c r="DJ36">
        <v>0</v>
      </c>
      <c r="DK36">
        <v>0</v>
      </c>
      <c r="DL36">
        <v>0</v>
      </c>
      <c r="DM36">
        <v>0</v>
      </c>
      <c r="DN36">
        <v>0</v>
      </c>
      <c r="DO36">
        <v>0</v>
      </c>
      <c r="DP36">
        <v>0</v>
      </c>
      <c r="DQ36">
        <v>0</v>
      </c>
      <c r="DR36">
        <v>0</v>
      </c>
      <c r="DS36">
        <v>0</v>
      </c>
      <c r="DT36">
        <v>0</v>
      </c>
      <c r="DU36">
        <v>0</v>
      </c>
      <c r="DV36">
        <v>0</v>
      </c>
      <c r="DW36">
        <v>0</v>
      </c>
      <c r="DX36">
        <v>0</v>
      </c>
      <c r="DY36">
        <v>0</v>
      </c>
      <c r="DZ36">
        <v>0</v>
      </c>
      <c r="EA36">
        <v>0</v>
      </c>
      <c r="EB36">
        <v>0</v>
      </c>
      <c r="EC36">
        <v>0</v>
      </c>
      <c r="ED36">
        <v>0</v>
      </c>
      <c r="EE36">
        <v>0</v>
      </c>
      <c r="EF36">
        <v>0</v>
      </c>
      <c r="EG36">
        <v>0</v>
      </c>
      <c r="EH36">
        <v>0</v>
      </c>
      <c r="EI36">
        <v>0</v>
      </c>
      <c r="EJ36">
        <v>0</v>
      </c>
      <c r="EK36">
        <v>0</v>
      </c>
      <c r="EL36">
        <v>0</v>
      </c>
      <c r="EM36">
        <v>0</v>
      </c>
      <c r="EN36">
        <v>0</v>
      </c>
      <c r="EO36">
        <v>0</v>
      </c>
      <c r="EP36">
        <v>0</v>
      </c>
      <c r="EQ36">
        <v>0</v>
      </c>
      <c r="ER36">
        <v>0</v>
      </c>
      <c r="ES36">
        <v>0</v>
      </c>
      <c r="ET36">
        <v>0</v>
      </c>
      <c r="EU36">
        <v>0</v>
      </c>
      <c r="EV36">
        <v>0</v>
      </c>
      <c r="EW36">
        <v>0</v>
      </c>
      <c r="EX36">
        <v>0</v>
      </c>
      <c r="EY36">
        <v>0</v>
      </c>
      <c r="EZ36">
        <v>0</v>
      </c>
      <c r="FA36">
        <v>0</v>
      </c>
      <c r="FB36">
        <v>0</v>
      </c>
      <c r="FC36">
        <v>0</v>
      </c>
      <c r="FD36">
        <v>0</v>
      </c>
      <c r="FE36">
        <v>0</v>
      </c>
      <c r="FF36">
        <v>0</v>
      </c>
      <c r="FG36">
        <v>0</v>
      </c>
      <c r="FH36">
        <v>0</v>
      </c>
      <c r="FI36">
        <v>0</v>
      </c>
      <c r="FJ36">
        <v>0</v>
      </c>
      <c r="FK36">
        <v>0</v>
      </c>
      <c r="FL36">
        <v>0</v>
      </c>
      <c r="FM36">
        <v>0</v>
      </c>
      <c r="FN36">
        <v>0</v>
      </c>
      <c r="FO36">
        <v>0</v>
      </c>
      <c r="FP36">
        <v>0</v>
      </c>
      <c r="FQ36">
        <v>0</v>
      </c>
      <c r="FR36">
        <v>0</v>
      </c>
      <c r="FS36">
        <v>0</v>
      </c>
      <c r="FT36">
        <v>0</v>
      </c>
      <c r="FU36">
        <v>0</v>
      </c>
      <c r="FV36">
        <v>0</v>
      </c>
      <c r="FW36">
        <v>0</v>
      </c>
      <c r="FX36">
        <v>0</v>
      </c>
      <c r="FY36">
        <v>0</v>
      </c>
      <c r="FZ36">
        <v>0</v>
      </c>
      <c r="GA36">
        <v>0</v>
      </c>
      <c r="GB36">
        <v>0</v>
      </c>
      <c r="GC36">
        <v>0</v>
      </c>
      <c r="GD36">
        <v>0</v>
      </c>
      <c r="GE36">
        <v>0</v>
      </c>
      <c r="GF36">
        <v>0</v>
      </c>
      <c r="GG36">
        <v>0</v>
      </c>
      <c r="GH36">
        <v>0</v>
      </c>
      <c r="GI36">
        <v>0</v>
      </c>
      <c r="GJ36">
        <v>0</v>
      </c>
      <c r="GK36">
        <v>0</v>
      </c>
      <c r="GL36">
        <v>0</v>
      </c>
      <c r="GM36">
        <v>0</v>
      </c>
      <c r="GN36">
        <v>0</v>
      </c>
      <c r="GO36">
        <v>0</v>
      </c>
      <c r="GP36">
        <v>0</v>
      </c>
      <c r="GQ36">
        <v>0</v>
      </c>
      <c r="GR36">
        <v>0</v>
      </c>
      <c r="GS36">
        <v>0</v>
      </c>
      <c r="GT36">
        <v>0</v>
      </c>
      <c r="GU36">
        <v>0</v>
      </c>
      <c r="GV36">
        <v>0</v>
      </c>
      <c r="GW36">
        <v>0</v>
      </c>
      <c r="GX36">
        <v>0</v>
      </c>
      <c r="GY36">
        <v>0</v>
      </c>
      <c r="GZ36">
        <v>0</v>
      </c>
      <c r="HA36">
        <v>0</v>
      </c>
      <c r="HB36">
        <v>0</v>
      </c>
      <c r="HC36">
        <v>0</v>
      </c>
      <c r="HD36">
        <v>0</v>
      </c>
      <c r="HE36">
        <v>0</v>
      </c>
      <c r="HF36">
        <v>0</v>
      </c>
      <c r="HG36">
        <v>0</v>
      </c>
      <c r="HH36">
        <v>0</v>
      </c>
      <c r="HI36">
        <v>0</v>
      </c>
      <c r="HJ36">
        <v>0</v>
      </c>
      <c r="HK36">
        <v>0</v>
      </c>
      <c r="HL36">
        <v>0</v>
      </c>
      <c r="HM36">
        <v>0</v>
      </c>
      <c r="HN36">
        <v>0</v>
      </c>
      <c r="HO36">
        <v>0</v>
      </c>
      <c r="HP36">
        <v>0</v>
      </c>
      <c r="HQ36">
        <v>0</v>
      </c>
      <c r="HR36">
        <v>0</v>
      </c>
      <c r="HS36">
        <v>0</v>
      </c>
      <c r="HT36">
        <v>0</v>
      </c>
      <c r="HU36">
        <v>0</v>
      </c>
      <c r="HV36">
        <v>0</v>
      </c>
      <c r="HW36">
        <v>0</v>
      </c>
      <c r="HX36">
        <v>0</v>
      </c>
      <c r="HY36">
        <v>0</v>
      </c>
      <c r="HZ36">
        <v>0</v>
      </c>
      <c r="IA36">
        <v>0</v>
      </c>
      <c r="IB36">
        <v>0</v>
      </c>
      <c r="IC36">
        <v>0</v>
      </c>
      <c r="ID36">
        <v>0</v>
      </c>
      <c r="IE36">
        <v>0</v>
      </c>
      <c r="IF36">
        <v>0</v>
      </c>
      <c r="IG36">
        <v>0</v>
      </c>
      <c r="IH36">
        <v>0</v>
      </c>
      <c r="II36">
        <v>0</v>
      </c>
      <c r="IJ36">
        <v>0</v>
      </c>
      <c r="IK36">
        <v>0</v>
      </c>
      <c r="IL36">
        <v>0</v>
      </c>
      <c r="IM36">
        <v>0</v>
      </c>
      <c r="IN36">
        <v>0</v>
      </c>
      <c r="IO36">
        <v>0</v>
      </c>
      <c r="IP36">
        <v>0</v>
      </c>
      <c r="IQ36">
        <v>0</v>
      </c>
      <c r="IR36">
        <v>0</v>
      </c>
      <c r="IS36">
        <v>0</v>
      </c>
      <c r="IT36">
        <v>0</v>
      </c>
      <c r="IU36">
        <v>0</v>
      </c>
      <c r="IV36">
        <v>0</v>
      </c>
      <c r="IW36">
        <v>0</v>
      </c>
      <c r="IX36">
        <v>0</v>
      </c>
      <c r="IY36">
        <v>0</v>
      </c>
      <c r="IZ36">
        <v>0</v>
      </c>
      <c r="JA36">
        <v>0</v>
      </c>
      <c r="JB36">
        <v>0</v>
      </c>
      <c r="JC36">
        <v>0</v>
      </c>
      <c r="JD36">
        <v>0</v>
      </c>
      <c r="JE36">
        <v>0</v>
      </c>
      <c r="JF36">
        <v>0</v>
      </c>
      <c r="JG36">
        <v>0</v>
      </c>
      <c r="JH36">
        <v>0</v>
      </c>
      <c r="JI36">
        <v>0</v>
      </c>
      <c r="JJ36">
        <v>0</v>
      </c>
      <c r="JK36">
        <v>0</v>
      </c>
      <c r="JL36">
        <v>0</v>
      </c>
      <c r="JM36">
        <v>0</v>
      </c>
      <c r="JN36">
        <v>0</v>
      </c>
      <c r="JO36">
        <v>0</v>
      </c>
      <c r="JP36">
        <v>0</v>
      </c>
      <c r="JQ36">
        <v>0</v>
      </c>
      <c r="JR36">
        <v>0</v>
      </c>
      <c r="JS36">
        <v>0</v>
      </c>
      <c r="JT36">
        <v>0</v>
      </c>
      <c r="JU36">
        <v>0</v>
      </c>
      <c r="JV36">
        <v>0</v>
      </c>
      <c r="JW36">
        <v>0</v>
      </c>
      <c r="JX36">
        <v>0</v>
      </c>
      <c r="JY36">
        <v>0</v>
      </c>
      <c r="JZ36">
        <v>0</v>
      </c>
      <c r="KA36">
        <v>0</v>
      </c>
      <c r="KB36">
        <v>0</v>
      </c>
      <c r="KC36">
        <v>0</v>
      </c>
      <c r="KD36">
        <v>0</v>
      </c>
      <c r="KE36">
        <v>0</v>
      </c>
      <c r="KF36">
        <v>0</v>
      </c>
      <c r="KG36">
        <v>0</v>
      </c>
      <c r="KH36">
        <v>0</v>
      </c>
      <c r="KI36">
        <v>0</v>
      </c>
      <c r="KJ36">
        <v>0</v>
      </c>
      <c r="KK36">
        <v>0</v>
      </c>
      <c r="KL36">
        <v>0</v>
      </c>
      <c r="KM36">
        <v>0</v>
      </c>
      <c r="KN36">
        <v>0</v>
      </c>
      <c r="KO36">
        <v>0</v>
      </c>
      <c r="KP36">
        <v>0</v>
      </c>
      <c r="KQ36">
        <v>0</v>
      </c>
      <c r="KR36">
        <v>0</v>
      </c>
      <c r="KS36">
        <v>0</v>
      </c>
      <c r="KT36">
        <v>0</v>
      </c>
      <c r="KU36">
        <v>0</v>
      </c>
      <c r="KV36">
        <v>0</v>
      </c>
      <c r="KW36">
        <v>0</v>
      </c>
      <c r="KX36">
        <v>0</v>
      </c>
      <c r="KY36">
        <v>0</v>
      </c>
      <c r="KZ36">
        <v>0</v>
      </c>
      <c r="LA36">
        <v>0</v>
      </c>
      <c r="LB36">
        <v>0</v>
      </c>
      <c r="LC36">
        <v>0</v>
      </c>
      <c r="LD36">
        <v>0</v>
      </c>
      <c r="LE36">
        <v>0</v>
      </c>
      <c r="LF36">
        <v>0</v>
      </c>
      <c r="LG36">
        <v>0</v>
      </c>
      <c r="LH36">
        <v>0</v>
      </c>
      <c r="LI36">
        <v>0</v>
      </c>
      <c r="LJ36">
        <v>0</v>
      </c>
      <c r="LK36">
        <v>0</v>
      </c>
      <c r="LL36">
        <v>0</v>
      </c>
      <c r="LM36">
        <v>0</v>
      </c>
      <c r="LN36">
        <v>0</v>
      </c>
      <c r="LO36">
        <v>0</v>
      </c>
      <c r="LP36">
        <v>0</v>
      </c>
      <c r="LQ36">
        <v>0</v>
      </c>
      <c r="LR36">
        <v>0</v>
      </c>
      <c r="LS36">
        <v>0</v>
      </c>
      <c r="LT36">
        <v>0</v>
      </c>
      <c r="LU36">
        <v>0</v>
      </c>
      <c r="LV36">
        <v>0</v>
      </c>
      <c r="LW36">
        <v>0</v>
      </c>
      <c r="LX36">
        <v>0</v>
      </c>
      <c r="LY36">
        <v>0</v>
      </c>
      <c r="LZ36">
        <v>0</v>
      </c>
      <c r="MA36">
        <v>0</v>
      </c>
      <c r="MB36">
        <v>0</v>
      </c>
      <c r="MC36">
        <v>0</v>
      </c>
      <c r="MD36">
        <v>0</v>
      </c>
      <c r="ME36">
        <v>0</v>
      </c>
      <c r="MF36">
        <v>0</v>
      </c>
      <c r="MG36">
        <v>0</v>
      </c>
      <c r="MH36">
        <v>0</v>
      </c>
      <c r="MI36">
        <v>0</v>
      </c>
      <c r="MJ36">
        <v>0</v>
      </c>
      <c r="MK36">
        <v>0</v>
      </c>
      <c r="ML36">
        <v>0</v>
      </c>
      <c r="MM36">
        <v>0</v>
      </c>
      <c r="MN36">
        <v>0</v>
      </c>
      <c r="MO36">
        <v>0</v>
      </c>
      <c r="MP36">
        <v>0</v>
      </c>
      <c r="MQ36">
        <v>0</v>
      </c>
      <c r="MR36">
        <v>0</v>
      </c>
      <c r="MS36">
        <v>0</v>
      </c>
      <c r="MT36">
        <v>0</v>
      </c>
      <c r="MU36">
        <v>0</v>
      </c>
      <c r="MV36">
        <v>0</v>
      </c>
      <c r="MW36">
        <v>0</v>
      </c>
      <c r="MX36">
        <v>0</v>
      </c>
      <c r="MY36">
        <v>0</v>
      </c>
      <c r="MZ36">
        <v>0</v>
      </c>
      <c r="NA36">
        <v>0</v>
      </c>
      <c r="NB36">
        <v>0</v>
      </c>
      <c r="NC36">
        <v>0</v>
      </c>
      <c r="ND36">
        <v>0</v>
      </c>
      <c r="NE36">
        <v>0</v>
      </c>
    </row>
    <row r="37" spans="5:369" x14ac:dyDescent="0.45">
      <c r="E37">
        <v>0</v>
      </c>
      <c r="F37">
        <v>0</v>
      </c>
      <c r="G37">
        <v>0</v>
      </c>
      <c r="H37">
        <v>0</v>
      </c>
      <c r="I37">
        <v>0</v>
      </c>
      <c r="J37">
        <v>0</v>
      </c>
      <c r="K37">
        <v>0</v>
      </c>
      <c r="L37">
        <v>0</v>
      </c>
      <c r="M37">
        <v>0</v>
      </c>
      <c r="N37" t="str">
        <v/>
      </c>
      <c r="O37" t="str">
        <v/>
      </c>
      <c r="P37" t="str">
        <v/>
      </c>
      <c r="Q37" t="str">
        <v/>
      </c>
      <c r="R37" t="str">
        <v/>
      </c>
      <c r="S37" t="str">
        <v/>
      </c>
      <c r="T37" t="str">
        <v/>
      </c>
      <c r="U37">
        <v>0</v>
      </c>
      <c r="V37">
        <v>0</v>
      </c>
      <c r="W37">
        <v>0</v>
      </c>
      <c r="X37">
        <v>0</v>
      </c>
      <c r="Y37">
        <v>0</v>
      </c>
      <c r="Z37">
        <v>0</v>
      </c>
      <c r="AA37">
        <v>0</v>
      </c>
      <c r="AB37">
        <v>0</v>
      </c>
      <c r="AC37">
        <v>0</v>
      </c>
      <c r="AD37">
        <v>0</v>
      </c>
      <c r="AE37">
        <v>0</v>
      </c>
      <c r="AF37">
        <v>0</v>
      </c>
      <c r="AG37">
        <v>0</v>
      </c>
      <c r="AH37">
        <v>0</v>
      </c>
      <c r="AI37">
        <v>0</v>
      </c>
      <c r="AJ37">
        <v>0</v>
      </c>
      <c r="AK37">
        <v>0</v>
      </c>
      <c r="AL37">
        <v>0</v>
      </c>
      <c r="AM37">
        <v>0</v>
      </c>
      <c r="AN37" s="5">
        <v>0</v>
      </c>
      <c r="AO37" t="str">
        <v>A134</v>
      </c>
      <c r="AP37" t="str">
        <v>YASEEN MUHAMMED</v>
      </c>
      <c r="AQ37" t="str">
        <v>DAHF</v>
      </c>
      <c r="AR37" t="str">
        <v>SUB JUNIOR</v>
      </c>
      <c r="AS37">
        <v>1</v>
      </c>
      <c r="AT37">
        <v>8</v>
      </c>
      <c r="AU37">
        <v>0</v>
      </c>
      <c r="AV37">
        <v>8</v>
      </c>
      <c r="AW37">
        <v>8</v>
      </c>
      <c r="AX37">
        <v>147</v>
      </c>
      <c r="AY37" s="5">
        <v>147</v>
      </c>
      <c r="AZ37" t="str">
        <v>SJ35</v>
      </c>
      <c r="BA37" t="str">
        <v>SPEECH ENG</v>
      </c>
      <c r="BB37" t="str">
        <v>SUB JUNIOR</v>
      </c>
      <c r="BC37" t="str">
        <v>Single</v>
      </c>
      <c r="BD37" t="str">
        <v>Stage</v>
      </c>
      <c r="BE37">
        <v>3</v>
      </c>
      <c r="BF37" t="str">
        <v>Individual</v>
      </c>
      <c r="BG37" t="str">
        <v>Individual</v>
      </c>
      <c r="BH37" t="str">
        <v>P</v>
      </c>
      <c r="BI37" t="str">
        <v>PUBLISHED</v>
      </c>
      <c r="BK37">
        <v>31</v>
      </c>
      <c r="BL37" t="str">
        <v>SJ31</v>
      </c>
      <c r="BM37" t="str">
        <v>SONG ARB</v>
      </c>
      <c r="BN37">
        <v>3</v>
      </c>
      <c r="BO37" t="str">
        <v>Single</v>
      </c>
      <c r="BP37" t="str">
        <v>Stage</v>
      </c>
      <c r="BQ37" t="str">
        <v>SUB JUNIOR</v>
      </c>
      <c r="BR37" t="str">
        <v>A110</v>
      </c>
      <c r="BS37" t="str">
        <v>A139</v>
      </c>
      <c r="BT37" t="str">
        <v>A151</v>
      </c>
      <c r="BU37">
        <v>0</v>
      </c>
      <c r="BV37">
        <v>0</v>
      </c>
      <c r="BW37">
        <v>0</v>
      </c>
      <c r="BX37">
        <v>0</v>
      </c>
      <c r="BY37" t="str">
        <v>A115</v>
      </c>
      <c r="BZ37" t="str">
        <v>A158</v>
      </c>
      <c r="CA37" t="str">
        <v>A174</v>
      </c>
      <c r="CB37">
        <v>0</v>
      </c>
      <c r="CC37">
        <v>0</v>
      </c>
      <c r="CD37">
        <v>0</v>
      </c>
      <c r="CE37">
        <v>0</v>
      </c>
      <c r="CF37" t="str">
        <v>A108</v>
      </c>
      <c r="CG37" t="str">
        <v>A142</v>
      </c>
      <c r="CH37" t="str">
        <v>A163</v>
      </c>
      <c r="CI37">
        <v>0</v>
      </c>
      <c r="CJ37">
        <v>0</v>
      </c>
      <c r="CK37">
        <v>0</v>
      </c>
      <c r="CL37">
        <v>0</v>
      </c>
      <c r="CM37" t="str">
        <v>A102</v>
      </c>
      <c r="CN37" t="str">
        <v>A121</v>
      </c>
      <c r="CO37" t="str">
        <v>A154</v>
      </c>
      <c r="CP37">
        <v>0</v>
      </c>
      <c r="CQ37">
        <v>0</v>
      </c>
      <c r="CR37">
        <v>0</v>
      </c>
      <c r="CS37">
        <v>0</v>
      </c>
      <c r="CT37">
        <v>0</v>
      </c>
      <c r="CU37">
        <v>0</v>
      </c>
      <c r="CV37">
        <v>0</v>
      </c>
      <c r="CW37">
        <v>0</v>
      </c>
      <c r="CX37">
        <v>0</v>
      </c>
      <c r="CY37">
        <v>0</v>
      </c>
      <c r="CZ37">
        <v>0</v>
      </c>
      <c r="DA37">
        <v>0</v>
      </c>
      <c r="DB37">
        <v>0</v>
      </c>
      <c r="DC37">
        <v>0</v>
      </c>
      <c r="DD37">
        <v>0</v>
      </c>
      <c r="DE37">
        <v>0</v>
      </c>
      <c r="DF37">
        <v>0</v>
      </c>
      <c r="DG37">
        <v>0</v>
      </c>
      <c r="DH37">
        <v>0</v>
      </c>
      <c r="DI37">
        <v>0</v>
      </c>
      <c r="DJ37">
        <v>0</v>
      </c>
      <c r="DK37">
        <v>0</v>
      </c>
      <c r="DL37">
        <v>0</v>
      </c>
      <c r="DM37">
        <v>0</v>
      </c>
      <c r="DN37">
        <v>0</v>
      </c>
      <c r="DO37">
        <v>0</v>
      </c>
      <c r="DP37">
        <v>0</v>
      </c>
      <c r="DQ37">
        <v>0</v>
      </c>
      <c r="DR37">
        <v>0</v>
      </c>
      <c r="DS37">
        <v>0</v>
      </c>
      <c r="DT37">
        <v>0</v>
      </c>
      <c r="DU37">
        <v>0</v>
      </c>
      <c r="DV37">
        <v>0</v>
      </c>
      <c r="DW37">
        <v>0</v>
      </c>
      <c r="DX37">
        <v>0</v>
      </c>
      <c r="DY37">
        <v>0</v>
      </c>
      <c r="DZ37">
        <v>0</v>
      </c>
      <c r="EA37">
        <v>0</v>
      </c>
      <c r="EB37">
        <v>0</v>
      </c>
      <c r="EC37">
        <v>0</v>
      </c>
      <c r="ED37">
        <v>0</v>
      </c>
      <c r="EE37">
        <v>0</v>
      </c>
      <c r="EF37">
        <v>0</v>
      </c>
      <c r="EG37">
        <v>0</v>
      </c>
      <c r="EH37">
        <v>0</v>
      </c>
      <c r="EI37">
        <v>0</v>
      </c>
      <c r="EJ37">
        <v>0</v>
      </c>
      <c r="EK37">
        <v>0</v>
      </c>
      <c r="EL37">
        <v>0</v>
      </c>
      <c r="EM37">
        <v>0</v>
      </c>
      <c r="EN37">
        <v>0</v>
      </c>
      <c r="EO37">
        <v>0</v>
      </c>
      <c r="EP37">
        <v>0</v>
      </c>
      <c r="EQ37">
        <v>0</v>
      </c>
      <c r="ER37">
        <v>0</v>
      </c>
      <c r="ES37">
        <v>0</v>
      </c>
      <c r="ET37">
        <v>0</v>
      </c>
      <c r="EU37">
        <v>0</v>
      </c>
      <c r="EV37">
        <v>0</v>
      </c>
      <c r="EW37">
        <v>0</v>
      </c>
      <c r="EX37">
        <v>0</v>
      </c>
      <c r="EY37">
        <v>0</v>
      </c>
      <c r="EZ37">
        <v>0</v>
      </c>
      <c r="FA37">
        <v>0</v>
      </c>
      <c r="FB37">
        <v>0</v>
      </c>
      <c r="FC37">
        <v>0</v>
      </c>
      <c r="FD37">
        <v>0</v>
      </c>
      <c r="FE37">
        <v>0</v>
      </c>
      <c r="FF37">
        <v>0</v>
      </c>
      <c r="FG37">
        <v>0</v>
      </c>
      <c r="FH37">
        <v>0</v>
      </c>
      <c r="FI37">
        <v>0</v>
      </c>
      <c r="FJ37">
        <v>0</v>
      </c>
      <c r="FK37">
        <v>0</v>
      </c>
      <c r="FL37">
        <v>0</v>
      </c>
      <c r="FM37">
        <v>0</v>
      </c>
      <c r="FN37">
        <v>0</v>
      </c>
      <c r="FO37">
        <v>0</v>
      </c>
      <c r="FP37">
        <v>0</v>
      </c>
      <c r="FQ37">
        <v>0</v>
      </c>
      <c r="FR37">
        <v>0</v>
      </c>
      <c r="FS37">
        <v>0</v>
      </c>
      <c r="FT37">
        <v>0</v>
      </c>
      <c r="FU37">
        <v>0</v>
      </c>
      <c r="FV37">
        <v>0</v>
      </c>
      <c r="FW37">
        <v>0</v>
      </c>
      <c r="FX37">
        <v>0</v>
      </c>
      <c r="FY37">
        <v>0</v>
      </c>
      <c r="FZ37">
        <v>0</v>
      </c>
      <c r="GA37">
        <v>0</v>
      </c>
      <c r="GB37">
        <v>0</v>
      </c>
      <c r="GC37">
        <v>0</v>
      </c>
      <c r="GD37">
        <v>0</v>
      </c>
      <c r="GE37">
        <v>0</v>
      </c>
      <c r="GF37">
        <v>0</v>
      </c>
      <c r="GG37">
        <v>0</v>
      </c>
      <c r="GH37">
        <v>0</v>
      </c>
      <c r="GI37">
        <v>0</v>
      </c>
      <c r="GJ37">
        <v>0</v>
      </c>
      <c r="GK37">
        <v>0</v>
      </c>
      <c r="GL37">
        <v>0</v>
      </c>
      <c r="GM37">
        <v>0</v>
      </c>
      <c r="GN37">
        <v>0</v>
      </c>
      <c r="GO37">
        <v>0</v>
      </c>
      <c r="GP37">
        <v>0</v>
      </c>
      <c r="GQ37">
        <v>0</v>
      </c>
      <c r="GR37">
        <v>0</v>
      </c>
      <c r="GS37">
        <v>0</v>
      </c>
      <c r="GT37">
        <v>0</v>
      </c>
      <c r="GU37">
        <v>0</v>
      </c>
      <c r="GV37">
        <v>0</v>
      </c>
      <c r="GW37">
        <v>0</v>
      </c>
      <c r="GX37">
        <v>0</v>
      </c>
      <c r="GY37">
        <v>0</v>
      </c>
      <c r="GZ37">
        <v>0</v>
      </c>
      <c r="HA37">
        <v>0</v>
      </c>
      <c r="HB37">
        <v>0</v>
      </c>
      <c r="HC37">
        <v>0</v>
      </c>
      <c r="HD37">
        <v>0</v>
      </c>
      <c r="HE37">
        <v>0</v>
      </c>
      <c r="HF37">
        <v>0</v>
      </c>
      <c r="HG37">
        <v>0</v>
      </c>
      <c r="HH37">
        <v>0</v>
      </c>
      <c r="HI37">
        <v>0</v>
      </c>
      <c r="HJ37">
        <v>0</v>
      </c>
      <c r="HK37">
        <v>0</v>
      </c>
      <c r="HL37">
        <v>0</v>
      </c>
      <c r="HM37">
        <v>0</v>
      </c>
      <c r="HN37">
        <v>0</v>
      </c>
      <c r="HO37">
        <v>0</v>
      </c>
      <c r="HP37">
        <v>0</v>
      </c>
      <c r="HQ37">
        <v>0</v>
      </c>
      <c r="HR37">
        <v>0</v>
      </c>
      <c r="HS37">
        <v>0</v>
      </c>
      <c r="HT37">
        <v>0</v>
      </c>
      <c r="HU37">
        <v>0</v>
      </c>
      <c r="HV37">
        <v>0</v>
      </c>
      <c r="HW37">
        <v>0</v>
      </c>
      <c r="HX37">
        <v>0</v>
      </c>
      <c r="HY37">
        <v>0</v>
      </c>
      <c r="HZ37">
        <v>0</v>
      </c>
      <c r="IA37">
        <v>0</v>
      </c>
      <c r="IB37">
        <v>0</v>
      </c>
      <c r="IC37">
        <v>0</v>
      </c>
      <c r="ID37">
        <v>0</v>
      </c>
      <c r="IE37">
        <v>0</v>
      </c>
      <c r="IF37">
        <v>0</v>
      </c>
      <c r="IG37">
        <v>0</v>
      </c>
      <c r="IH37">
        <v>0</v>
      </c>
      <c r="II37">
        <v>0</v>
      </c>
      <c r="IJ37">
        <v>0</v>
      </c>
      <c r="IK37">
        <v>0</v>
      </c>
      <c r="IL37">
        <v>0</v>
      </c>
      <c r="IM37">
        <v>0</v>
      </c>
      <c r="IN37">
        <v>0</v>
      </c>
      <c r="IO37">
        <v>0</v>
      </c>
      <c r="IP37">
        <v>0</v>
      </c>
      <c r="IQ37">
        <v>0</v>
      </c>
      <c r="IR37">
        <v>0</v>
      </c>
      <c r="IS37">
        <v>0</v>
      </c>
      <c r="IT37">
        <v>0</v>
      </c>
      <c r="IU37">
        <v>0</v>
      </c>
      <c r="IV37">
        <v>0</v>
      </c>
      <c r="IW37">
        <v>0</v>
      </c>
      <c r="IX37">
        <v>0</v>
      </c>
      <c r="IY37">
        <v>0</v>
      </c>
      <c r="IZ37">
        <v>0</v>
      </c>
      <c r="JA37">
        <v>0</v>
      </c>
      <c r="JB37">
        <v>0</v>
      </c>
      <c r="JC37">
        <v>0</v>
      </c>
      <c r="JD37">
        <v>0</v>
      </c>
      <c r="JE37">
        <v>0</v>
      </c>
      <c r="JF37">
        <v>0</v>
      </c>
      <c r="JG37">
        <v>0</v>
      </c>
      <c r="JH37">
        <v>0</v>
      </c>
      <c r="JI37">
        <v>0</v>
      </c>
      <c r="JJ37">
        <v>0</v>
      </c>
      <c r="JK37">
        <v>0</v>
      </c>
      <c r="JL37">
        <v>0</v>
      </c>
      <c r="JM37">
        <v>0</v>
      </c>
      <c r="JN37">
        <v>0</v>
      </c>
      <c r="JO37">
        <v>0</v>
      </c>
      <c r="JP37">
        <v>0</v>
      </c>
      <c r="JQ37">
        <v>0</v>
      </c>
      <c r="JR37">
        <v>0</v>
      </c>
      <c r="JS37">
        <v>0</v>
      </c>
      <c r="JT37">
        <v>0</v>
      </c>
      <c r="JU37">
        <v>0</v>
      </c>
      <c r="JV37">
        <v>0</v>
      </c>
      <c r="JW37">
        <v>0</v>
      </c>
      <c r="JX37">
        <v>0</v>
      </c>
      <c r="JY37">
        <v>0</v>
      </c>
      <c r="JZ37">
        <v>0</v>
      </c>
      <c r="KA37">
        <v>0</v>
      </c>
      <c r="KB37">
        <v>0</v>
      </c>
      <c r="KC37">
        <v>0</v>
      </c>
      <c r="KD37">
        <v>0</v>
      </c>
      <c r="KE37">
        <v>0</v>
      </c>
      <c r="KF37">
        <v>0</v>
      </c>
      <c r="KG37">
        <v>0</v>
      </c>
      <c r="KH37">
        <v>0</v>
      </c>
      <c r="KI37">
        <v>0</v>
      </c>
      <c r="KJ37">
        <v>0</v>
      </c>
      <c r="KK37">
        <v>0</v>
      </c>
      <c r="KL37">
        <v>0</v>
      </c>
      <c r="KM37">
        <v>0</v>
      </c>
      <c r="KN37">
        <v>0</v>
      </c>
      <c r="KO37">
        <v>0</v>
      </c>
      <c r="KP37">
        <v>0</v>
      </c>
      <c r="KQ37">
        <v>0</v>
      </c>
      <c r="KR37">
        <v>0</v>
      </c>
      <c r="KS37">
        <v>0</v>
      </c>
      <c r="KT37">
        <v>0</v>
      </c>
      <c r="KU37">
        <v>0</v>
      </c>
      <c r="KV37">
        <v>0</v>
      </c>
      <c r="KW37">
        <v>0</v>
      </c>
      <c r="KX37">
        <v>0</v>
      </c>
      <c r="KY37">
        <v>0</v>
      </c>
      <c r="KZ37">
        <v>0</v>
      </c>
      <c r="LA37">
        <v>0</v>
      </c>
      <c r="LB37">
        <v>0</v>
      </c>
      <c r="LC37">
        <v>0</v>
      </c>
      <c r="LD37">
        <v>0</v>
      </c>
      <c r="LE37">
        <v>0</v>
      </c>
      <c r="LF37">
        <v>0</v>
      </c>
      <c r="LG37">
        <v>0</v>
      </c>
      <c r="LH37">
        <v>0</v>
      </c>
      <c r="LI37">
        <v>0</v>
      </c>
      <c r="LJ37">
        <v>0</v>
      </c>
      <c r="LK37">
        <v>0</v>
      </c>
      <c r="LL37">
        <v>0</v>
      </c>
      <c r="LM37">
        <v>0</v>
      </c>
      <c r="LN37">
        <v>0</v>
      </c>
      <c r="LO37">
        <v>0</v>
      </c>
      <c r="LP37">
        <v>0</v>
      </c>
      <c r="LQ37">
        <v>0</v>
      </c>
      <c r="LR37">
        <v>0</v>
      </c>
      <c r="LS37">
        <v>0</v>
      </c>
      <c r="LT37">
        <v>0</v>
      </c>
      <c r="LU37">
        <v>0</v>
      </c>
      <c r="LV37">
        <v>0</v>
      </c>
      <c r="LW37">
        <v>0</v>
      </c>
      <c r="LX37">
        <v>0</v>
      </c>
      <c r="LY37">
        <v>0</v>
      </c>
      <c r="LZ37">
        <v>0</v>
      </c>
      <c r="MA37">
        <v>0</v>
      </c>
      <c r="MB37">
        <v>0</v>
      </c>
      <c r="MC37">
        <v>0</v>
      </c>
      <c r="MD37">
        <v>0</v>
      </c>
      <c r="ME37">
        <v>0</v>
      </c>
      <c r="MF37">
        <v>0</v>
      </c>
      <c r="MG37">
        <v>0</v>
      </c>
      <c r="MH37">
        <v>0</v>
      </c>
      <c r="MI37">
        <v>0</v>
      </c>
      <c r="MJ37">
        <v>0</v>
      </c>
      <c r="MK37">
        <v>0</v>
      </c>
      <c r="ML37">
        <v>0</v>
      </c>
      <c r="MM37">
        <v>0</v>
      </c>
      <c r="MN37">
        <v>0</v>
      </c>
      <c r="MO37">
        <v>0</v>
      </c>
      <c r="MP37">
        <v>0</v>
      </c>
      <c r="MQ37">
        <v>0</v>
      </c>
      <c r="MR37">
        <v>0</v>
      </c>
      <c r="MS37">
        <v>0</v>
      </c>
      <c r="MT37">
        <v>0</v>
      </c>
      <c r="MU37">
        <v>0</v>
      </c>
      <c r="MV37">
        <v>0</v>
      </c>
      <c r="MW37">
        <v>0</v>
      </c>
      <c r="MX37">
        <v>0</v>
      </c>
      <c r="MY37">
        <v>0</v>
      </c>
      <c r="MZ37">
        <v>0</v>
      </c>
      <c r="NA37">
        <v>0</v>
      </c>
      <c r="NB37">
        <v>0</v>
      </c>
      <c r="NC37">
        <v>0</v>
      </c>
      <c r="ND37">
        <v>0</v>
      </c>
      <c r="NE37">
        <v>0</v>
      </c>
    </row>
    <row r="38" spans="5:369" x14ac:dyDescent="0.45">
      <c r="E38">
        <v>0</v>
      </c>
      <c r="F38">
        <v>0</v>
      </c>
      <c r="G38">
        <v>0</v>
      </c>
      <c r="H38">
        <v>0</v>
      </c>
      <c r="I38">
        <v>0</v>
      </c>
      <c r="J38">
        <v>0</v>
      </c>
      <c r="K38">
        <v>0</v>
      </c>
      <c r="L38">
        <v>0</v>
      </c>
      <c r="M38">
        <v>0</v>
      </c>
      <c r="N38" t="str">
        <v/>
      </c>
      <c r="O38" t="str">
        <v/>
      </c>
      <c r="P38" t="str">
        <v/>
      </c>
      <c r="Q38" t="str">
        <v/>
      </c>
      <c r="R38" t="str">
        <v/>
      </c>
      <c r="S38" t="str">
        <v/>
      </c>
      <c r="T38" t="str">
        <v/>
      </c>
      <c r="U38">
        <v>0</v>
      </c>
      <c r="V38">
        <v>0</v>
      </c>
      <c r="W38">
        <v>0</v>
      </c>
      <c r="X38">
        <v>0</v>
      </c>
      <c r="Y38">
        <v>0</v>
      </c>
      <c r="Z38">
        <v>0</v>
      </c>
      <c r="AA38">
        <v>0</v>
      </c>
      <c r="AB38">
        <v>0</v>
      </c>
      <c r="AC38">
        <v>0</v>
      </c>
      <c r="AD38">
        <v>0</v>
      </c>
      <c r="AE38">
        <v>0</v>
      </c>
      <c r="AF38">
        <v>0</v>
      </c>
      <c r="AG38">
        <v>0</v>
      </c>
      <c r="AH38">
        <v>0</v>
      </c>
      <c r="AI38">
        <v>0</v>
      </c>
      <c r="AJ38">
        <v>0</v>
      </c>
      <c r="AK38">
        <v>0</v>
      </c>
      <c r="AL38">
        <v>0</v>
      </c>
      <c r="AM38">
        <v>0</v>
      </c>
      <c r="AN38" s="5">
        <v>0</v>
      </c>
      <c r="AO38" t="str">
        <v>A135</v>
      </c>
      <c r="AP38" t="str">
        <v>MOHAMMED RAFAN A</v>
      </c>
      <c r="AQ38" t="str">
        <v>BADF</v>
      </c>
      <c r="AR38" t="str">
        <v>SUB JUNIOR</v>
      </c>
      <c r="AS38">
        <v>1</v>
      </c>
      <c r="AT38">
        <v>1</v>
      </c>
      <c r="AU38">
        <v>0</v>
      </c>
      <c r="AV38">
        <v>1</v>
      </c>
      <c r="AW38">
        <v>1</v>
      </c>
      <c r="AX38">
        <v>231</v>
      </c>
      <c r="AY38" s="5">
        <v>231</v>
      </c>
      <c r="AZ38" t="str">
        <v>SJ36</v>
      </c>
      <c r="BA38" t="str">
        <v>SPEECH MLM</v>
      </c>
      <c r="BB38" t="str">
        <v>SUB JUNIOR</v>
      </c>
      <c r="BC38" t="str">
        <v>Single</v>
      </c>
      <c r="BD38" t="str">
        <v>Stage</v>
      </c>
      <c r="BE38">
        <v>3</v>
      </c>
      <c r="BF38" t="str">
        <v>Individual</v>
      </c>
      <c r="BG38" t="str">
        <v>Individual</v>
      </c>
      <c r="BH38" t="str">
        <v>P</v>
      </c>
      <c r="BI38" t="str">
        <v>PUBLISHED</v>
      </c>
      <c r="BK38">
        <v>32</v>
      </c>
      <c r="BL38" t="str">
        <v>SJ32</v>
      </c>
      <c r="BM38" t="str">
        <v>SONG MLM</v>
      </c>
      <c r="BN38">
        <v>3</v>
      </c>
      <c r="BO38" t="str">
        <v>Single</v>
      </c>
      <c r="BP38" t="str">
        <v>Stage</v>
      </c>
      <c r="BQ38" t="str">
        <v>SUB JUNIOR</v>
      </c>
      <c r="BR38" t="str">
        <v>A110</v>
      </c>
      <c r="BS38" t="str">
        <v>A111</v>
      </c>
      <c r="BT38" t="str">
        <v>A153</v>
      </c>
      <c r="BU38">
        <v>0</v>
      </c>
      <c r="BV38">
        <v>0</v>
      </c>
      <c r="BW38">
        <v>0</v>
      </c>
      <c r="BX38">
        <v>0</v>
      </c>
      <c r="BY38" t="str">
        <v>A115</v>
      </c>
      <c r="BZ38" t="str">
        <v>A131</v>
      </c>
      <c r="CA38" t="str">
        <v>A174</v>
      </c>
      <c r="CB38">
        <v>0</v>
      </c>
      <c r="CC38">
        <v>0</v>
      </c>
      <c r="CD38">
        <v>0</v>
      </c>
      <c r="CE38">
        <v>0</v>
      </c>
      <c r="CF38" t="str">
        <v>A127</v>
      </c>
      <c r="CG38" t="str">
        <v>A152</v>
      </c>
      <c r="CH38" t="str">
        <v>A163</v>
      </c>
      <c r="CI38">
        <v>0</v>
      </c>
      <c r="CJ38">
        <v>0</v>
      </c>
      <c r="CK38">
        <v>0</v>
      </c>
      <c r="CL38">
        <v>0</v>
      </c>
      <c r="CM38" t="str">
        <v>A102</v>
      </c>
      <c r="CN38" t="str">
        <v>A154</v>
      </c>
      <c r="CO38" t="str">
        <v>A160</v>
      </c>
      <c r="CP38">
        <v>0</v>
      </c>
      <c r="CQ38">
        <v>0</v>
      </c>
      <c r="CR38">
        <v>0</v>
      </c>
      <c r="CS38">
        <v>0</v>
      </c>
      <c r="CT38">
        <v>0</v>
      </c>
      <c r="CU38">
        <v>0</v>
      </c>
      <c r="CV38">
        <v>0</v>
      </c>
      <c r="CW38">
        <v>0</v>
      </c>
      <c r="CX38">
        <v>0</v>
      </c>
      <c r="CY38">
        <v>0</v>
      </c>
      <c r="CZ38">
        <v>0</v>
      </c>
      <c r="DA38">
        <v>0</v>
      </c>
      <c r="DB38">
        <v>0</v>
      </c>
      <c r="DC38">
        <v>0</v>
      </c>
      <c r="DD38">
        <v>0</v>
      </c>
      <c r="DE38">
        <v>0</v>
      </c>
      <c r="DF38">
        <v>0</v>
      </c>
      <c r="DG38">
        <v>0</v>
      </c>
      <c r="DH38">
        <v>0</v>
      </c>
      <c r="DI38">
        <v>0</v>
      </c>
      <c r="DJ38">
        <v>0</v>
      </c>
      <c r="DK38">
        <v>0</v>
      </c>
      <c r="DL38">
        <v>0</v>
      </c>
      <c r="DM38">
        <v>0</v>
      </c>
      <c r="DN38">
        <v>0</v>
      </c>
      <c r="DO38">
        <v>0</v>
      </c>
      <c r="DP38">
        <v>0</v>
      </c>
      <c r="DQ38">
        <v>0</v>
      </c>
      <c r="DR38">
        <v>0</v>
      </c>
      <c r="DS38">
        <v>0</v>
      </c>
      <c r="DT38">
        <v>0</v>
      </c>
      <c r="DU38">
        <v>0</v>
      </c>
      <c r="DV38">
        <v>0</v>
      </c>
      <c r="DW38">
        <v>0</v>
      </c>
      <c r="DX38">
        <v>0</v>
      </c>
      <c r="DY38">
        <v>0</v>
      </c>
      <c r="DZ38">
        <v>0</v>
      </c>
      <c r="EA38">
        <v>0</v>
      </c>
      <c r="EB38">
        <v>0</v>
      </c>
      <c r="EC38">
        <v>0</v>
      </c>
      <c r="ED38">
        <v>0</v>
      </c>
      <c r="EE38">
        <v>0</v>
      </c>
      <c r="EF38">
        <v>0</v>
      </c>
      <c r="EG38">
        <v>0</v>
      </c>
      <c r="EH38">
        <v>0</v>
      </c>
      <c r="EI38">
        <v>0</v>
      </c>
      <c r="EJ38">
        <v>0</v>
      </c>
      <c r="EK38">
        <v>0</v>
      </c>
      <c r="EL38">
        <v>0</v>
      </c>
      <c r="EM38">
        <v>0</v>
      </c>
      <c r="EN38">
        <v>0</v>
      </c>
      <c r="EO38">
        <v>0</v>
      </c>
      <c r="EP38">
        <v>0</v>
      </c>
      <c r="EQ38">
        <v>0</v>
      </c>
      <c r="ER38">
        <v>0</v>
      </c>
      <c r="ES38">
        <v>0</v>
      </c>
      <c r="ET38">
        <v>0</v>
      </c>
      <c r="EU38">
        <v>0</v>
      </c>
      <c r="EV38">
        <v>0</v>
      </c>
      <c r="EW38">
        <v>0</v>
      </c>
      <c r="EX38">
        <v>0</v>
      </c>
      <c r="EY38">
        <v>0</v>
      </c>
      <c r="EZ38">
        <v>0</v>
      </c>
      <c r="FA38">
        <v>0</v>
      </c>
      <c r="FB38">
        <v>0</v>
      </c>
      <c r="FC38">
        <v>0</v>
      </c>
      <c r="FD38">
        <v>0</v>
      </c>
      <c r="FE38">
        <v>0</v>
      </c>
      <c r="FF38">
        <v>0</v>
      </c>
      <c r="FG38">
        <v>0</v>
      </c>
      <c r="FH38">
        <v>0</v>
      </c>
      <c r="FI38">
        <v>0</v>
      </c>
      <c r="FJ38">
        <v>0</v>
      </c>
      <c r="FK38">
        <v>0</v>
      </c>
      <c r="FL38">
        <v>0</v>
      </c>
      <c r="FM38">
        <v>0</v>
      </c>
      <c r="FN38">
        <v>0</v>
      </c>
      <c r="FO38">
        <v>0</v>
      </c>
      <c r="FP38">
        <v>0</v>
      </c>
      <c r="FQ38">
        <v>0</v>
      </c>
      <c r="FR38">
        <v>0</v>
      </c>
      <c r="FS38">
        <v>0</v>
      </c>
      <c r="FT38">
        <v>0</v>
      </c>
      <c r="FU38">
        <v>0</v>
      </c>
      <c r="FV38">
        <v>0</v>
      </c>
      <c r="FW38">
        <v>0</v>
      </c>
      <c r="FX38">
        <v>0</v>
      </c>
      <c r="FY38">
        <v>0</v>
      </c>
      <c r="FZ38">
        <v>0</v>
      </c>
      <c r="GA38">
        <v>0</v>
      </c>
      <c r="GB38">
        <v>0</v>
      </c>
      <c r="GC38">
        <v>0</v>
      </c>
      <c r="GD38">
        <v>0</v>
      </c>
      <c r="GE38">
        <v>0</v>
      </c>
      <c r="GF38">
        <v>0</v>
      </c>
      <c r="GG38">
        <v>0</v>
      </c>
      <c r="GH38">
        <v>0</v>
      </c>
      <c r="GI38">
        <v>0</v>
      </c>
      <c r="GJ38">
        <v>0</v>
      </c>
      <c r="GK38">
        <v>0</v>
      </c>
      <c r="GL38">
        <v>0</v>
      </c>
      <c r="GM38">
        <v>0</v>
      </c>
      <c r="GN38">
        <v>0</v>
      </c>
      <c r="GO38">
        <v>0</v>
      </c>
      <c r="GP38">
        <v>0</v>
      </c>
      <c r="GQ38">
        <v>0</v>
      </c>
      <c r="GR38">
        <v>0</v>
      </c>
      <c r="GS38">
        <v>0</v>
      </c>
      <c r="GT38">
        <v>0</v>
      </c>
      <c r="GU38">
        <v>0</v>
      </c>
      <c r="GV38">
        <v>0</v>
      </c>
      <c r="GW38">
        <v>0</v>
      </c>
      <c r="GX38">
        <v>0</v>
      </c>
      <c r="GY38">
        <v>0</v>
      </c>
      <c r="GZ38">
        <v>0</v>
      </c>
      <c r="HA38">
        <v>0</v>
      </c>
      <c r="HB38">
        <v>0</v>
      </c>
      <c r="HC38">
        <v>0</v>
      </c>
      <c r="HD38">
        <v>0</v>
      </c>
      <c r="HE38">
        <v>0</v>
      </c>
      <c r="HF38">
        <v>0</v>
      </c>
      <c r="HG38">
        <v>0</v>
      </c>
      <c r="HH38">
        <v>0</v>
      </c>
      <c r="HI38">
        <v>0</v>
      </c>
      <c r="HJ38">
        <v>0</v>
      </c>
      <c r="HK38">
        <v>0</v>
      </c>
      <c r="HL38">
        <v>0</v>
      </c>
      <c r="HM38">
        <v>0</v>
      </c>
      <c r="HN38">
        <v>0</v>
      </c>
      <c r="HO38">
        <v>0</v>
      </c>
      <c r="HP38">
        <v>0</v>
      </c>
      <c r="HQ38">
        <v>0</v>
      </c>
      <c r="HR38">
        <v>0</v>
      </c>
      <c r="HS38">
        <v>0</v>
      </c>
      <c r="HT38">
        <v>0</v>
      </c>
      <c r="HU38">
        <v>0</v>
      </c>
      <c r="HV38">
        <v>0</v>
      </c>
      <c r="HW38">
        <v>0</v>
      </c>
      <c r="HX38">
        <v>0</v>
      </c>
      <c r="HY38">
        <v>0</v>
      </c>
      <c r="HZ38">
        <v>0</v>
      </c>
      <c r="IA38">
        <v>0</v>
      </c>
      <c r="IB38">
        <v>0</v>
      </c>
      <c r="IC38">
        <v>0</v>
      </c>
      <c r="ID38">
        <v>0</v>
      </c>
      <c r="IE38">
        <v>0</v>
      </c>
      <c r="IF38">
        <v>0</v>
      </c>
      <c r="IG38">
        <v>0</v>
      </c>
      <c r="IH38">
        <v>0</v>
      </c>
      <c r="II38">
        <v>0</v>
      </c>
      <c r="IJ38">
        <v>0</v>
      </c>
      <c r="IK38">
        <v>0</v>
      </c>
      <c r="IL38">
        <v>0</v>
      </c>
      <c r="IM38">
        <v>0</v>
      </c>
      <c r="IN38">
        <v>0</v>
      </c>
      <c r="IO38">
        <v>0</v>
      </c>
      <c r="IP38">
        <v>0</v>
      </c>
      <c r="IQ38">
        <v>0</v>
      </c>
      <c r="IR38">
        <v>0</v>
      </c>
      <c r="IS38">
        <v>0</v>
      </c>
      <c r="IT38">
        <v>0</v>
      </c>
      <c r="IU38">
        <v>0</v>
      </c>
      <c r="IV38">
        <v>0</v>
      </c>
      <c r="IW38">
        <v>0</v>
      </c>
      <c r="IX38">
        <v>0</v>
      </c>
      <c r="IY38">
        <v>0</v>
      </c>
      <c r="IZ38">
        <v>0</v>
      </c>
      <c r="JA38">
        <v>0</v>
      </c>
      <c r="JB38">
        <v>0</v>
      </c>
      <c r="JC38">
        <v>0</v>
      </c>
      <c r="JD38">
        <v>0</v>
      </c>
      <c r="JE38">
        <v>0</v>
      </c>
      <c r="JF38">
        <v>0</v>
      </c>
      <c r="JG38">
        <v>0</v>
      </c>
      <c r="JH38">
        <v>0</v>
      </c>
      <c r="JI38">
        <v>0</v>
      </c>
      <c r="JJ38">
        <v>0</v>
      </c>
      <c r="JK38">
        <v>0</v>
      </c>
      <c r="JL38">
        <v>0</v>
      </c>
      <c r="JM38">
        <v>0</v>
      </c>
      <c r="JN38">
        <v>0</v>
      </c>
      <c r="JO38">
        <v>0</v>
      </c>
      <c r="JP38">
        <v>0</v>
      </c>
      <c r="JQ38">
        <v>0</v>
      </c>
      <c r="JR38">
        <v>0</v>
      </c>
      <c r="JS38">
        <v>0</v>
      </c>
      <c r="JT38">
        <v>0</v>
      </c>
      <c r="JU38">
        <v>0</v>
      </c>
      <c r="JV38">
        <v>0</v>
      </c>
      <c r="JW38">
        <v>0</v>
      </c>
      <c r="JX38">
        <v>0</v>
      </c>
      <c r="JY38">
        <v>0</v>
      </c>
      <c r="JZ38">
        <v>0</v>
      </c>
      <c r="KA38">
        <v>0</v>
      </c>
      <c r="KB38">
        <v>0</v>
      </c>
      <c r="KC38">
        <v>0</v>
      </c>
      <c r="KD38">
        <v>0</v>
      </c>
      <c r="KE38">
        <v>0</v>
      </c>
      <c r="KF38">
        <v>0</v>
      </c>
      <c r="KG38">
        <v>0</v>
      </c>
      <c r="KH38">
        <v>0</v>
      </c>
      <c r="KI38">
        <v>0</v>
      </c>
      <c r="KJ38">
        <v>0</v>
      </c>
      <c r="KK38">
        <v>0</v>
      </c>
      <c r="KL38">
        <v>0</v>
      </c>
      <c r="KM38">
        <v>0</v>
      </c>
      <c r="KN38">
        <v>0</v>
      </c>
      <c r="KO38">
        <v>0</v>
      </c>
      <c r="KP38">
        <v>0</v>
      </c>
      <c r="KQ38">
        <v>0</v>
      </c>
      <c r="KR38">
        <v>0</v>
      </c>
      <c r="KS38">
        <v>0</v>
      </c>
      <c r="KT38">
        <v>0</v>
      </c>
      <c r="KU38">
        <v>0</v>
      </c>
      <c r="KV38">
        <v>0</v>
      </c>
      <c r="KW38">
        <v>0</v>
      </c>
      <c r="KX38">
        <v>0</v>
      </c>
      <c r="KY38">
        <v>0</v>
      </c>
      <c r="KZ38">
        <v>0</v>
      </c>
      <c r="LA38">
        <v>0</v>
      </c>
      <c r="LB38">
        <v>0</v>
      </c>
      <c r="LC38">
        <v>0</v>
      </c>
      <c r="LD38">
        <v>0</v>
      </c>
      <c r="LE38">
        <v>0</v>
      </c>
      <c r="LF38">
        <v>0</v>
      </c>
      <c r="LG38">
        <v>0</v>
      </c>
      <c r="LH38">
        <v>0</v>
      </c>
      <c r="LI38">
        <v>0</v>
      </c>
      <c r="LJ38">
        <v>0</v>
      </c>
      <c r="LK38">
        <v>0</v>
      </c>
      <c r="LL38">
        <v>0</v>
      </c>
      <c r="LM38">
        <v>0</v>
      </c>
      <c r="LN38">
        <v>0</v>
      </c>
      <c r="LO38">
        <v>0</v>
      </c>
      <c r="LP38">
        <v>0</v>
      </c>
      <c r="LQ38">
        <v>0</v>
      </c>
      <c r="LR38">
        <v>0</v>
      </c>
      <c r="LS38">
        <v>0</v>
      </c>
      <c r="LT38">
        <v>0</v>
      </c>
      <c r="LU38">
        <v>0</v>
      </c>
      <c r="LV38">
        <v>0</v>
      </c>
      <c r="LW38">
        <v>0</v>
      </c>
      <c r="LX38">
        <v>0</v>
      </c>
      <c r="LY38">
        <v>0</v>
      </c>
      <c r="LZ38">
        <v>0</v>
      </c>
      <c r="MA38">
        <v>0</v>
      </c>
      <c r="MB38">
        <v>0</v>
      </c>
      <c r="MC38">
        <v>0</v>
      </c>
      <c r="MD38">
        <v>0</v>
      </c>
      <c r="ME38">
        <v>0</v>
      </c>
      <c r="MF38">
        <v>0</v>
      </c>
      <c r="MG38">
        <v>0</v>
      </c>
      <c r="MH38">
        <v>0</v>
      </c>
      <c r="MI38">
        <v>0</v>
      </c>
      <c r="MJ38">
        <v>0</v>
      </c>
      <c r="MK38">
        <v>0</v>
      </c>
      <c r="ML38">
        <v>0</v>
      </c>
      <c r="MM38">
        <v>0</v>
      </c>
      <c r="MN38">
        <v>0</v>
      </c>
      <c r="MO38">
        <v>0</v>
      </c>
      <c r="MP38">
        <v>0</v>
      </c>
      <c r="MQ38">
        <v>0</v>
      </c>
      <c r="MR38">
        <v>0</v>
      </c>
      <c r="MS38">
        <v>0</v>
      </c>
      <c r="MT38">
        <v>0</v>
      </c>
      <c r="MU38">
        <v>0</v>
      </c>
      <c r="MV38">
        <v>0</v>
      </c>
      <c r="MW38">
        <v>0</v>
      </c>
      <c r="MX38">
        <v>0</v>
      </c>
      <c r="MY38">
        <v>0</v>
      </c>
      <c r="MZ38">
        <v>0</v>
      </c>
      <c r="NA38">
        <v>0</v>
      </c>
      <c r="NB38">
        <v>0</v>
      </c>
      <c r="NC38">
        <v>0</v>
      </c>
      <c r="ND38">
        <v>0</v>
      </c>
      <c r="NE38">
        <v>0</v>
      </c>
    </row>
    <row r="39" spans="5:369" x14ac:dyDescent="0.45">
      <c r="E39">
        <v>0</v>
      </c>
      <c r="F39">
        <v>0</v>
      </c>
      <c r="G39">
        <v>0</v>
      </c>
      <c r="H39">
        <v>0</v>
      </c>
      <c r="I39">
        <v>0</v>
      </c>
      <c r="J39">
        <v>0</v>
      </c>
      <c r="K39">
        <v>0</v>
      </c>
      <c r="L39">
        <v>0</v>
      </c>
      <c r="M39">
        <v>0</v>
      </c>
      <c r="N39" t="str">
        <v/>
      </c>
      <c r="O39" t="str">
        <v/>
      </c>
      <c r="P39" t="str">
        <v/>
      </c>
      <c r="Q39" t="str">
        <v/>
      </c>
      <c r="R39" t="str">
        <v/>
      </c>
      <c r="S39" t="str">
        <v/>
      </c>
      <c r="T39" t="str">
        <v/>
      </c>
      <c r="U39">
        <v>0</v>
      </c>
      <c r="V39">
        <v>0</v>
      </c>
      <c r="W39">
        <v>0</v>
      </c>
      <c r="X39">
        <v>0</v>
      </c>
      <c r="Y39">
        <v>0</v>
      </c>
      <c r="Z39">
        <v>0</v>
      </c>
      <c r="AA39">
        <v>0</v>
      </c>
      <c r="AB39">
        <v>0</v>
      </c>
      <c r="AC39">
        <v>0</v>
      </c>
      <c r="AD39">
        <v>0</v>
      </c>
      <c r="AE39">
        <v>0</v>
      </c>
      <c r="AF39">
        <v>0</v>
      </c>
      <c r="AG39">
        <v>0</v>
      </c>
      <c r="AH39">
        <v>0</v>
      </c>
      <c r="AI39">
        <v>0</v>
      </c>
      <c r="AJ39">
        <v>0</v>
      </c>
      <c r="AK39">
        <v>0</v>
      </c>
      <c r="AL39">
        <v>0</v>
      </c>
      <c r="AM39">
        <v>0</v>
      </c>
      <c r="AN39" s="5">
        <v>0</v>
      </c>
      <c r="AO39" t="str">
        <v>A136</v>
      </c>
      <c r="AP39" t="str">
        <v>MUHAMMED UVAIS.P. S</v>
      </c>
      <c r="AQ39" t="str">
        <v>BADF</v>
      </c>
      <c r="AR39" t="str">
        <v>SUB JUNIOR</v>
      </c>
      <c r="AS39">
        <v>1</v>
      </c>
      <c r="AT39">
        <v>3</v>
      </c>
      <c r="AU39">
        <v>0</v>
      </c>
      <c r="AV39">
        <v>3</v>
      </c>
      <c r="AW39">
        <v>3</v>
      </c>
      <c r="AX39">
        <v>209</v>
      </c>
      <c r="AY39" s="5">
        <v>209</v>
      </c>
      <c r="AZ39" t="str">
        <v>SJ37</v>
      </c>
      <c r="BA39" t="str">
        <v>SPEECH URD</v>
      </c>
      <c r="BB39" t="str">
        <v>SUB JUNIOR</v>
      </c>
      <c r="BC39" t="str">
        <v>Single</v>
      </c>
      <c r="BD39" t="str">
        <v>Stage</v>
      </c>
      <c r="BE39">
        <v>3</v>
      </c>
      <c r="BF39" t="str">
        <v>Individual</v>
      </c>
      <c r="BG39" t="str">
        <v>Individual</v>
      </c>
      <c r="BH39" t="str">
        <v>P</v>
      </c>
      <c r="BI39" t="str">
        <v>PUBLISHED</v>
      </c>
      <c r="BK39">
        <v>33</v>
      </c>
      <c r="BL39" t="str">
        <v>SJ33</v>
      </c>
      <c r="BM39" t="str">
        <v>SONG URD</v>
      </c>
      <c r="BN39">
        <v>3</v>
      </c>
      <c r="BO39" t="str">
        <v>Single</v>
      </c>
      <c r="BP39" t="str">
        <v>Stage</v>
      </c>
      <c r="BQ39" t="str">
        <v>SUB JUNIOR</v>
      </c>
      <c r="BR39" t="str">
        <v>A140</v>
      </c>
      <c r="BS39" t="str">
        <v>A153</v>
      </c>
      <c r="BT39" t="str">
        <v>A122</v>
      </c>
      <c r="BU39">
        <v>0</v>
      </c>
      <c r="BV39">
        <v>0</v>
      </c>
      <c r="BW39">
        <v>0</v>
      </c>
      <c r="BX39">
        <v>0</v>
      </c>
      <c r="BY39" t="str">
        <v>A125</v>
      </c>
      <c r="BZ39" t="str">
        <v>A131</v>
      </c>
      <c r="CA39" t="str">
        <v>A158</v>
      </c>
      <c r="CB39">
        <v>0</v>
      </c>
      <c r="CC39">
        <v>0</v>
      </c>
      <c r="CD39">
        <v>0</v>
      </c>
      <c r="CE39">
        <v>0</v>
      </c>
      <c r="CF39" t="str">
        <v>A152</v>
      </c>
      <c r="CG39" t="str">
        <v>A166</v>
      </c>
      <c r="CH39" t="str">
        <v>A167</v>
      </c>
      <c r="CI39">
        <v>0</v>
      </c>
      <c r="CJ39">
        <v>0</v>
      </c>
      <c r="CK39">
        <v>0</v>
      </c>
      <c r="CL39">
        <v>0</v>
      </c>
      <c r="CM39" t="str">
        <v>A121</v>
      </c>
      <c r="CN39" t="str">
        <v>A123</v>
      </c>
      <c r="CO39" t="str">
        <v>A144</v>
      </c>
      <c r="CP39">
        <v>0</v>
      </c>
      <c r="CQ39">
        <v>0</v>
      </c>
      <c r="CR39">
        <v>0</v>
      </c>
      <c r="CS39">
        <v>0</v>
      </c>
      <c r="CT39">
        <v>0</v>
      </c>
      <c r="CU39">
        <v>0</v>
      </c>
      <c r="CV39">
        <v>0</v>
      </c>
      <c r="CW39">
        <v>0</v>
      </c>
      <c r="CX39">
        <v>0</v>
      </c>
      <c r="CY39">
        <v>0</v>
      </c>
      <c r="CZ39">
        <v>0</v>
      </c>
      <c r="DA39">
        <v>0</v>
      </c>
      <c r="DB39">
        <v>0</v>
      </c>
      <c r="DC39">
        <v>0</v>
      </c>
      <c r="DD39">
        <v>0</v>
      </c>
      <c r="DE39">
        <v>0</v>
      </c>
      <c r="DF39">
        <v>0</v>
      </c>
      <c r="DG39">
        <v>0</v>
      </c>
      <c r="DH39">
        <v>0</v>
      </c>
      <c r="DI39">
        <v>0</v>
      </c>
      <c r="DJ39">
        <v>0</v>
      </c>
      <c r="DK39">
        <v>0</v>
      </c>
      <c r="DL39">
        <v>0</v>
      </c>
      <c r="DM39">
        <v>0</v>
      </c>
      <c r="DN39">
        <v>0</v>
      </c>
      <c r="DO39">
        <v>0</v>
      </c>
      <c r="DP39">
        <v>0</v>
      </c>
      <c r="DQ39">
        <v>0</v>
      </c>
      <c r="DR39">
        <v>0</v>
      </c>
      <c r="DS39">
        <v>0</v>
      </c>
      <c r="DT39">
        <v>0</v>
      </c>
      <c r="DU39">
        <v>0</v>
      </c>
      <c r="DV39">
        <v>0</v>
      </c>
      <c r="DW39">
        <v>0</v>
      </c>
      <c r="DX39">
        <v>0</v>
      </c>
      <c r="DY39">
        <v>0</v>
      </c>
      <c r="DZ39">
        <v>0</v>
      </c>
      <c r="EA39">
        <v>0</v>
      </c>
      <c r="EB39">
        <v>0</v>
      </c>
      <c r="EC39">
        <v>0</v>
      </c>
      <c r="ED39">
        <v>0</v>
      </c>
      <c r="EE39">
        <v>0</v>
      </c>
      <c r="EF39">
        <v>0</v>
      </c>
      <c r="EG39">
        <v>0</v>
      </c>
      <c r="EH39">
        <v>0</v>
      </c>
      <c r="EI39">
        <v>0</v>
      </c>
      <c r="EJ39">
        <v>0</v>
      </c>
      <c r="EK39">
        <v>0</v>
      </c>
      <c r="EL39">
        <v>0</v>
      </c>
      <c r="EM39">
        <v>0</v>
      </c>
      <c r="EN39">
        <v>0</v>
      </c>
      <c r="EO39">
        <v>0</v>
      </c>
      <c r="EP39">
        <v>0</v>
      </c>
      <c r="EQ39">
        <v>0</v>
      </c>
      <c r="ER39">
        <v>0</v>
      </c>
      <c r="ES39">
        <v>0</v>
      </c>
      <c r="ET39">
        <v>0</v>
      </c>
      <c r="EU39">
        <v>0</v>
      </c>
      <c r="EV39">
        <v>0</v>
      </c>
      <c r="EW39">
        <v>0</v>
      </c>
      <c r="EX39">
        <v>0</v>
      </c>
      <c r="EY39">
        <v>0</v>
      </c>
      <c r="EZ39">
        <v>0</v>
      </c>
      <c r="FA39">
        <v>0</v>
      </c>
      <c r="FB39">
        <v>0</v>
      </c>
      <c r="FC39">
        <v>0</v>
      </c>
      <c r="FD39">
        <v>0</v>
      </c>
      <c r="FE39">
        <v>0</v>
      </c>
      <c r="FF39">
        <v>0</v>
      </c>
      <c r="FG39">
        <v>0</v>
      </c>
      <c r="FH39">
        <v>0</v>
      </c>
      <c r="FI39">
        <v>0</v>
      </c>
      <c r="FJ39">
        <v>0</v>
      </c>
      <c r="FK39">
        <v>0</v>
      </c>
      <c r="FL39">
        <v>0</v>
      </c>
      <c r="FM39">
        <v>0</v>
      </c>
      <c r="FN39">
        <v>0</v>
      </c>
      <c r="FO39">
        <v>0</v>
      </c>
      <c r="FP39">
        <v>0</v>
      </c>
      <c r="FQ39">
        <v>0</v>
      </c>
      <c r="FR39">
        <v>0</v>
      </c>
      <c r="FS39">
        <v>0</v>
      </c>
      <c r="FT39">
        <v>0</v>
      </c>
      <c r="FU39">
        <v>0</v>
      </c>
      <c r="FV39">
        <v>0</v>
      </c>
      <c r="FW39">
        <v>0</v>
      </c>
      <c r="FX39">
        <v>0</v>
      </c>
      <c r="FY39">
        <v>0</v>
      </c>
      <c r="FZ39">
        <v>0</v>
      </c>
      <c r="GA39">
        <v>0</v>
      </c>
      <c r="GB39">
        <v>0</v>
      </c>
      <c r="GC39">
        <v>0</v>
      </c>
      <c r="GD39">
        <v>0</v>
      </c>
      <c r="GE39">
        <v>0</v>
      </c>
      <c r="GF39">
        <v>0</v>
      </c>
      <c r="GG39">
        <v>0</v>
      </c>
      <c r="GH39">
        <v>0</v>
      </c>
      <c r="GI39">
        <v>0</v>
      </c>
      <c r="GJ39">
        <v>0</v>
      </c>
      <c r="GK39">
        <v>0</v>
      </c>
      <c r="GL39">
        <v>0</v>
      </c>
      <c r="GM39">
        <v>0</v>
      </c>
      <c r="GN39">
        <v>0</v>
      </c>
      <c r="GO39">
        <v>0</v>
      </c>
      <c r="GP39">
        <v>0</v>
      </c>
      <c r="GQ39">
        <v>0</v>
      </c>
      <c r="GR39">
        <v>0</v>
      </c>
      <c r="GS39">
        <v>0</v>
      </c>
      <c r="GT39">
        <v>0</v>
      </c>
      <c r="GU39">
        <v>0</v>
      </c>
      <c r="GV39">
        <v>0</v>
      </c>
      <c r="GW39">
        <v>0</v>
      </c>
      <c r="GX39">
        <v>0</v>
      </c>
      <c r="GY39">
        <v>0</v>
      </c>
      <c r="GZ39">
        <v>0</v>
      </c>
      <c r="HA39">
        <v>0</v>
      </c>
      <c r="HB39">
        <v>0</v>
      </c>
      <c r="HC39">
        <v>0</v>
      </c>
      <c r="HD39">
        <v>0</v>
      </c>
      <c r="HE39">
        <v>0</v>
      </c>
      <c r="HF39">
        <v>0</v>
      </c>
      <c r="HG39">
        <v>0</v>
      </c>
      <c r="HH39">
        <v>0</v>
      </c>
      <c r="HI39">
        <v>0</v>
      </c>
      <c r="HJ39">
        <v>0</v>
      </c>
      <c r="HK39">
        <v>0</v>
      </c>
      <c r="HL39">
        <v>0</v>
      </c>
      <c r="HM39">
        <v>0</v>
      </c>
      <c r="HN39">
        <v>0</v>
      </c>
      <c r="HO39">
        <v>0</v>
      </c>
      <c r="HP39">
        <v>0</v>
      </c>
      <c r="HQ39">
        <v>0</v>
      </c>
      <c r="HR39">
        <v>0</v>
      </c>
      <c r="HS39">
        <v>0</v>
      </c>
      <c r="HT39">
        <v>0</v>
      </c>
      <c r="HU39">
        <v>0</v>
      </c>
      <c r="HV39">
        <v>0</v>
      </c>
      <c r="HW39">
        <v>0</v>
      </c>
      <c r="HX39">
        <v>0</v>
      </c>
      <c r="HY39">
        <v>0</v>
      </c>
      <c r="HZ39">
        <v>0</v>
      </c>
      <c r="IA39">
        <v>0</v>
      </c>
      <c r="IB39">
        <v>0</v>
      </c>
      <c r="IC39">
        <v>0</v>
      </c>
      <c r="ID39">
        <v>0</v>
      </c>
      <c r="IE39">
        <v>0</v>
      </c>
      <c r="IF39">
        <v>0</v>
      </c>
      <c r="IG39">
        <v>0</v>
      </c>
      <c r="IH39">
        <v>0</v>
      </c>
      <c r="II39">
        <v>0</v>
      </c>
      <c r="IJ39">
        <v>0</v>
      </c>
      <c r="IK39">
        <v>0</v>
      </c>
      <c r="IL39">
        <v>0</v>
      </c>
      <c r="IM39">
        <v>0</v>
      </c>
      <c r="IN39">
        <v>0</v>
      </c>
      <c r="IO39">
        <v>0</v>
      </c>
      <c r="IP39">
        <v>0</v>
      </c>
      <c r="IQ39">
        <v>0</v>
      </c>
      <c r="IR39">
        <v>0</v>
      </c>
      <c r="IS39">
        <v>0</v>
      </c>
      <c r="IT39">
        <v>0</v>
      </c>
      <c r="IU39">
        <v>0</v>
      </c>
      <c r="IV39">
        <v>0</v>
      </c>
      <c r="IW39">
        <v>0</v>
      </c>
      <c r="IX39">
        <v>0</v>
      </c>
      <c r="IY39">
        <v>0</v>
      </c>
      <c r="IZ39">
        <v>0</v>
      </c>
      <c r="JA39">
        <v>0</v>
      </c>
      <c r="JB39">
        <v>0</v>
      </c>
      <c r="JC39">
        <v>0</v>
      </c>
      <c r="JD39">
        <v>0</v>
      </c>
      <c r="JE39">
        <v>0</v>
      </c>
      <c r="JF39">
        <v>0</v>
      </c>
      <c r="JG39">
        <v>0</v>
      </c>
      <c r="JH39">
        <v>0</v>
      </c>
      <c r="JI39">
        <v>0</v>
      </c>
      <c r="JJ39">
        <v>0</v>
      </c>
      <c r="JK39">
        <v>0</v>
      </c>
      <c r="JL39">
        <v>0</v>
      </c>
      <c r="JM39">
        <v>0</v>
      </c>
      <c r="JN39">
        <v>0</v>
      </c>
      <c r="JO39">
        <v>0</v>
      </c>
      <c r="JP39">
        <v>0</v>
      </c>
      <c r="JQ39">
        <v>0</v>
      </c>
      <c r="JR39">
        <v>0</v>
      </c>
      <c r="JS39">
        <v>0</v>
      </c>
      <c r="JT39">
        <v>0</v>
      </c>
      <c r="JU39">
        <v>0</v>
      </c>
      <c r="JV39">
        <v>0</v>
      </c>
      <c r="JW39">
        <v>0</v>
      </c>
      <c r="JX39">
        <v>0</v>
      </c>
      <c r="JY39">
        <v>0</v>
      </c>
      <c r="JZ39">
        <v>0</v>
      </c>
      <c r="KA39">
        <v>0</v>
      </c>
      <c r="KB39">
        <v>0</v>
      </c>
      <c r="KC39">
        <v>0</v>
      </c>
      <c r="KD39">
        <v>0</v>
      </c>
      <c r="KE39">
        <v>0</v>
      </c>
      <c r="KF39">
        <v>0</v>
      </c>
      <c r="KG39">
        <v>0</v>
      </c>
      <c r="KH39">
        <v>0</v>
      </c>
      <c r="KI39">
        <v>0</v>
      </c>
      <c r="KJ39">
        <v>0</v>
      </c>
      <c r="KK39">
        <v>0</v>
      </c>
      <c r="KL39">
        <v>0</v>
      </c>
      <c r="KM39">
        <v>0</v>
      </c>
      <c r="KN39">
        <v>0</v>
      </c>
      <c r="KO39">
        <v>0</v>
      </c>
      <c r="KP39">
        <v>0</v>
      </c>
      <c r="KQ39">
        <v>0</v>
      </c>
      <c r="KR39">
        <v>0</v>
      </c>
      <c r="KS39">
        <v>0</v>
      </c>
      <c r="KT39">
        <v>0</v>
      </c>
      <c r="KU39">
        <v>0</v>
      </c>
      <c r="KV39">
        <v>0</v>
      </c>
      <c r="KW39">
        <v>0</v>
      </c>
      <c r="KX39">
        <v>0</v>
      </c>
      <c r="KY39">
        <v>0</v>
      </c>
      <c r="KZ39">
        <v>0</v>
      </c>
      <c r="LA39">
        <v>0</v>
      </c>
      <c r="LB39">
        <v>0</v>
      </c>
      <c r="LC39">
        <v>0</v>
      </c>
      <c r="LD39">
        <v>0</v>
      </c>
      <c r="LE39">
        <v>0</v>
      </c>
      <c r="LF39">
        <v>0</v>
      </c>
      <c r="LG39">
        <v>0</v>
      </c>
      <c r="LH39">
        <v>0</v>
      </c>
      <c r="LI39">
        <v>0</v>
      </c>
      <c r="LJ39">
        <v>0</v>
      </c>
      <c r="LK39">
        <v>0</v>
      </c>
      <c r="LL39">
        <v>0</v>
      </c>
      <c r="LM39">
        <v>0</v>
      </c>
      <c r="LN39">
        <v>0</v>
      </c>
      <c r="LO39">
        <v>0</v>
      </c>
      <c r="LP39">
        <v>0</v>
      </c>
      <c r="LQ39">
        <v>0</v>
      </c>
      <c r="LR39">
        <v>0</v>
      </c>
      <c r="LS39">
        <v>0</v>
      </c>
      <c r="LT39">
        <v>0</v>
      </c>
      <c r="LU39">
        <v>0</v>
      </c>
      <c r="LV39">
        <v>0</v>
      </c>
      <c r="LW39">
        <v>0</v>
      </c>
      <c r="LX39">
        <v>0</v>
      </c>
      <c r="LY39">
        <v>0</v>
      </c>
      <c r="LZ39">
        <v>0</v>
      </c>
      <c r="MA39">
        <v>0</v>
      </c>
      <c r="MB39">
        <v>0</v>
      </c>
      <c r="MC39">
        <v>0</v>
      </c>
      <c r="MD39">
        <v>0</v>
      </c>
      <c r="ME39">
        <v>0</v>
      </c>
      <c r="MF39">
        <v>0</v>
      </c>
      <c r="MG39">
        <v>0</v>
      </c>
      <c r="MH39">
        <v>0</v>
      </c>
      <c r="MI39">
        <v>0</v>
      </c>
      <c r="MJ39">
        <v>0</v>
      </c>
      <c r="MK39">
        <v>0</v>
      </c>
      <c r="ML39">
        <v>0</v>
      </c>
      <c r="MM39">
        <v>0</v>
      </c>
      <c r="MN39">
        <v>0</v>
      </c>
      <c r="MO39">
        <v>0</v>
      </c>
      <c r="MP39">
        <v>0</v>
      </c>
      <c r="MQ39">
        <v>0</v>
      </c>
      <c r="MR39">
        <v>0</v>
      </c>
      <c r="MS39">
        <v>0</v>
      </c>
      <c r="MT39">
        <v>0</v>
      </c>
      <c r="MU39">
        <v>0</v>
      </c>
      <c r="MV39">
        <v>0</v>
      </c>
      <c r="MW39">
        <v>0</v>
      </c>
      <c r="MX39">
        <v>0</v>
      </c>
      <c r="MY39">
        <v>0</v>
      </c>
      <c r="MZ39">
        <v>0</v>
      </c>
      <c r="NA39">
        <v>0</v>
      </c>
      <c r="NB39">
        <v>0</v>
      </c>
      <c r="NC39">
        <v>0</v>
      </c>
      <c r="ND39">
        <v>0</v>
      </c>
      <c r="NE39">
        <v>0</v>
      </c>
    </row>
    <row r="40" spans="5:369" x14ac:dyDescent="0.45">
      <c r="E40">
        <v>0</v>
      </c>
      <c r="F40">
        <v>0</v>
      </c>
      <c r="G40">
        <v>0</v>
      </c>
      <c r="H40">
        <v>0</v>
      </c>
      <c r="I40">
        <v>0</v>
      </c>
      <c r="J40">
        <v>0</v>
      </c>
      <c r="K40">
        <v>0</v>
      </c>
      <c r="L40">
        <v>0</v>
      </c>
      <c r="M40">
        <v>0</v>
      </c>
      <c r="N40" t="str">
        <v/>
      </c>
      <c r="O40" t="str">
        <v/>
      </c>
      <c r="P40" t="str">
        <v/>
      </c>
      <c r="Q40" t="str">
        <v/>
      </c>
      <c r="R40" t="str">
        <v/>
      </c>
      <c r="S40" t="str">
        <v/>
      </c>
      <c r="T40" t="str">
        <v/>
      </c>
      <c r="U40">
        <v>0</v>
      </c>
      <c r="V40">
        <v>0</v>
      </c>
      <c r="W40">
        <v>0</v>
      </c>
      <c r="X40">
        <v>0</v>
      </c>
      <c r="Y40">
        <v>0</v>
      </c>
      <c r="Z40">
        <v>0</v>
      </c>
      <c r="AA40">
        <v>0</v>
      </c>
      <c r="AB40">
        <v>0</v>
      </c>
      <c r="AC40">
        <v>0</v>
      </c>
      <c r="AD40">
        <v>0</v>
      </c>
      <c r="AE40">
        <v>0</v>
      </c>
      <c r="AF40">
        <v>0</v>
      </c>
      <c r="AG40">
        <v>0</v>
      </c>
      <c r="AH40">
        <v>0</v>
      </c>
      <c r="AI40">
        <v>0</v>
      </c>
      <c r="AJ40">
        <v>0</v>
      </c>
      <c r="AK40">
        <v>0</v>
      </c>
      <c r="AL40">
        <v>0</v>
      </c>
      <c r="AM40">
        <v>0</v>
      </c>
      <c r="AN40" s="5">
        <v>0</v>
      </c>
      <c r="AO40" t="str">
        <v>A137</v>
      </c>
      <c r="AP40" t="str">
        <v>MOHAMMED SHUAIB K M</v>
      </c>
      <c r="AQ40" t="str">
        <v>DAHF</v>
      </c>
      <c r="AR40" t="str">
        <v>SUB JUNIOR</v>
      </c>
      <c r="AS40">
        <v>1</v>
      </c>
      <c r="AT40">
        <v>1</v>
      </c>
      <c r="AU40">
        <v>0</v>
      </c>
      <c r="AV40">
        <v>1</v>
      </c>
      <c r="AW40">
        <v>1</v>
      </c>
      <c r="AX40">
        <v>231</v>
      </c>
      <c r="AY40" s="5">
        <v>231</v>
      </c>
      <c r="AZ40" t="str">
        <v>SJ38</v>
      </c>
      <c r="BA40" t="str">
        <v>STORRY NARRATION ENG</v>
      </c>
      <c r="BB40" t="str">
        <v>SUB JUNIOR</v>
      </c>
      <c r="BC40" t="str">
        <v>Single</v>
      </c>
      <c r="BD40" t="str">
        <v>Stage</v>
      </c>
      <c r="BE40">
        <v>3</v>
      </c>
      <c r="BF40" t="str">
        <v>Individual</v>
      </c>
      <c r="BG40" t="str">
        <v>Individual</v>
      </c>
      <c r="BH40" t="str">
        <v>P</v>
      </c>
      <c r="BI40" t="str">
        <v>PUBLISHED</v>
      </c>
      <c r="BK40">
        <v>34</v>
      </c>
      <c r="BL40" t="str">
        <v>SJ34</v>
      </c>
      <c r="BM40" t="str">
        <v>SPEECH ARB</v>
      </c>
      <c r="BN40">
        <v>3</v>
      </c>
      <c r="BO40" t="str">
        <v>Single</v>
      </c>
      <c r="BP40" t="str">
        <v>Stage</v>
      </c>
      <c r="BQ40" t="str">
        <v>SUB JUNIOR</v>
      </c>
      <c r="BR40" t="str">
        <v>A157</v>
      </c>
      <c r="BS40" t="str">
        <v>A161</v>
      </c>
      <c r="BT40" t="str">
        <v>A162</v>
      </c>
      <c r="BU40">
        <v>0</v>
      </c>
      <c r="BV40">
        <v>0</v>
      </c>
      <c r="BW40">
        <v>0</v>
      </c>
      <c r="BX40">
        <v>0</v>
      </c>
      <c r="BY40" t="str">
        <v>A125</v>
      </c>
      <c r="BZ40" t="str">
        <v>A171</v>
      </c>
      <c r="CA40" t="str">
        <v>A172</v>
      </c>
      <c r="CB40">
        <v>0</v>
      </c>
      <c r="CC40">
        <v>0</v>
      </c>
      <c r="CD40">
        <v>0</v>
      </c>
      <c r="CE40">
        <v>0</v>
      </c>
      <c r="CF40" t="str">
        <v>A109</v>
      </c>
      <c r="CG40" t="str">
        <v>A136</v>
      </c>
      <c r="CH40" t="str">
        <v>A146</v>
      </c>
      <c r="CI40">
        <v>0</v>
      </c>
      <c r="CJ40">
        <v>0</v>
      </c>
      <c r="CK40">
        <v>0</v>
      </c>
      <c r="CL40">
        <v>0</v>
      </c>
      <c r="CM40" t="str">
        <v>A121</v>
      </c>
      <c r="CN40" t="str">
        <v>A126</v>
      </c>
      <c r="CO40" t="str">
        <v>A154</v>
      </c>
      <c r="CP40">
        <v>0</v>
      </c>
      <c r="CQ40">
        <v>0</v>
      </c>
      <c r="CR40">
        <v>0</v>
      </c>
      <c r="CS40">
        <v>0</v>
      </c>
      <c r="CT40">
        <v>0</v>
      </c>
      <c r="CU40">
        <v>0</v>
      </c>
      <c r="CV40">
        <v>0</v>
      </c>
      <c r="CW40">
        <v>0</v>
      </c>
      <c r="CX40">
        <v>0</v>
      </c>
      <c r="CY40">
        <v>0</v>
      </c>
      <c r="CZ40">
        <v>0</v>
      </c>
      <c r="DA40">
        <v>0</v>
      </c>
      <c r="DB40">
        <v>0</v>
      </c>
      <c r="DC40">
        <v>0</v>
      </c>
      <c r="DD40">
        <v>0</v>
      </c>
      <c r="DE40">
        <v>0</v>
      </c>
      <c r="DF40">
        <v>0</v>
      </c>
      <c r="DG40">
        <v>0</v>
      </c>
      <c r="DH40">
        <v>0</v>
      </c>
      <c r="DI40">
        <v>0</v>
      </c>
      <c r="DJ40">
        <v>0</v>
      </c>
      <c r="DK40">
        <v>0</v>
      </c>
      <c r="DL40">
        <v>0</v>
      </c>
      <c r="DM40">
        <v>0</v>
      </c>
      <c r="DN40">
        <v>0</v>
      </c>
      <c r="DO40">
        <v>0</v>
      </c>
      <c r="DP40">
        <v>0</v>
      </c>
      <c r="DQ40">
        <v>0</v>
      </c>
      <c r="DR40">
        <v>0</v>
      </c>
      <c r="DS40">
        <v>0</v>
      </c>
      <c r="DT40">
        <v>0</v>
      </c>
      <c r="DU40">
        <v>0</v>
      </c>
      <c r="DV40">
        <v>0</v>
      </c>
      <c r="DW40">
        <v>0</v>
      </c>
      <c r="DX40">
        <v>0</v>
      </c>
      <c r="DY40">
        <v>0</v>
      </c>
      <c r="DZ40">
        <v>0</v>
      </c>
      <c r="EA40">
        <v>0</v>
      </c>
      <c r="EB40">
        <v>0</v>
      </c>
      <c r="EC40">
        <v>0</v>
      </c>
      <c r="ED40">
        <v>0</v>
      </c>
      <c r="EE40">
        <v>0</v>
      </c>
      <c r="EF40">
        <v>0</v>
      </c>
      <c r="EG40">
        <v>0</v>
      </c>
      <c r="EH40">
        <v>0</v>
      </c>
      <c r="EI40">
        <v>0</v>
      </c>
      <c r="EJ40">
        <v>0</v>
      </c>
      <c r="EK40">
        <v>0</v>
      </c>
      <c r="EL40">
        <v>0</v>
      </c>
      <c r="EM40">
        <v>0</v>
      </c>
      <c r="EN40">
        <v>0</v>
      </c>
      <c r="EO40">
        <v>0</v>
      </c>
      <c r="EP40">
        <v>0</v>
      </c>
      <c r="EQ40">
        <v>0</v>
      </c>
      <c r="ER40">
        <v>0</v>
      </c>
      <c r="ES40">
        <v>0</v>
      </c>
      <c r="ET40">
        <v>0</v>
      </c>
      <c r="EU40">
        <v>0</v>
      </c>
      <c r="EV40">
        <v>0</v>
      </c>
      <c r="EW40">
        <v>0</v>
      </c>
      <c r="EX40">
        <v>0</v>
      </c>
      <c r="EY40">
        <v>0</v>
      </c>
      <c r="EZ40">
        <v>0</v>
      </c>
      <c r="FA40">
        <v>0</v>
      </c>
      <c r="FB40">
        <v>0</v>
      </c>
      <c r="FC40">
        <v>0</v>
      </c>
      <c r="FD40">
        <v>0</v>
      </c>
      <c r="FE40">
        <v>0</v>
      </c>
      <c r="FF40">
        <v>0</v>
      </c>
      <c r="FG40">
        <v>0</v>
      </c>
      <c r="FH40">
        <v>0</v>
      </c>
      <c r="FI40">
        <v>0</v>
      </c>
      <c r="FJ40">
        <v>0</v>
      </c>
      <c r="FK40">
        <v>0</v>
      </c>
      <c r="FL40">
        <v>0</v>
      </c>
      <c r="FM40">
        <v>0</v>
      </c>
      <c r="FN40">
        <v>0</v>
      </c>
      <c r="FO40">
        <v>0</v>
      </c>
      <c r="FP40">
        <v>0</v>
      </c>
      <c r="FQ40">
        <v>0</v>
      </c>
      <c r="FR40">
        <v>0</v>
      </c>
      <c r="FS40">
        <v>0</v>
      </c>
      <c r="FT40">
        <v>0</v>
      </c>
      <c r="FU40">
        <v>0</v>
      </c>
      <c r="FV40">
        <v>0</v>
      </c>
      <c r="FW40">
        <v>0</v>
      </c>
      <c r="FX40">
        <v>0</v>
      </c>
      <c r="FY40">
        <v>0</v>
      </c>
      <c r="FZ40">
        <v>0</v>
      </c>
      <c r="GA40">
        <v>0</v>
      </c>
      <c r="GB40">
        <v>0</v>
      </c>
      <c r="GC40">
        <v>0</v>
      </c>
      <c r="GD40">
        <v>0</v>
      </c>
      <c r="GE40">
        <v>0</v>
      </c>
      <c r="GF40">
        <v>0</v>
      </c>
      <c r="GG40">
        <v>0</v>
      </c>
      <c r="GH40">
        <v>0</v>
      </c>
      <c r="GI40">
        <v>0</v>
      </c>
      <c r="GJ40">
        <v>0</v>
      </c>
      <c r="GK40">
        <v>0</v>
      </c>
      <c r="GL40">
        <v>0</v>
      </c>
      <c r="GM40">
        <v>0</v>
      </c>
      <c r="GN40">
        <v>0</v>
      </c>
      <c r="GO40">
        <v>0</v>
      </c>
      <c r="GP40">
        <v>0</v>
      </c>
      <c r="GQ40">
        <v>0</v>
      </c>
      <c r="GR40">
        <v>0</v>
      </c>
      <c r="GS40">
        <v>0</v>
      </c>
      <c r="GT40">
        <v>0</v>
      </c>
      <c r="GU40">
        <v>0</v>
      </c>
      <c r="GV40">
        <v>0</v>
      </c>
      <c r="GW40">
        <v>0</v>
      </c>
      <c r="GX40">
        <v>0</v>
      </c>
      <c r="GY40">
        <v>0</v>
      </c>
      <c r="GZ40">
        <v>0</v>
      </c>
      <c r="HA40">
        <v>0</v>
      </c>
      <c r="HB40">
        <v>0</v>
      </c>
      <c r="HC40">
        <v>0</v>
      </c>
      <c r="HD40">
        <v>0</v>
      </c>
      <c r="HE40">
        <v>0</v>
      </c>
      <c r="HF40">
        <v>0</v>
      </c>
      <c r="HG40">
        <v>0</v>
      </c>
      <c r="HH40">
        <v>0</v>
      </c>
      <c r="HI40">
        <v>0</v>
      </c>
      <c r="HJ40">
        <v>0</v>
      </c>
      <c r="HK40">
        <v>0</v>
      </c>
      <c r="HL40">
        <v>0</v>
      </c>
      <c r="HM40">
        <v>0</v>
      </c>
      <c r="HN40">
        <v>0</v>
      </c>
      <c r="HO40">
        <v>0</v>
      </c>
      <c r="HP40">
        <v>0</v>
      </c>
      <c r="HQ40">
        <v>0</v>
      </c>
      <c r="HR40">
        <v>0</v>
      </c>
      <c r="HS40">
        <v>0</v>
      </c>
      <c r="HT40">
        <v>0</v>
      </c>
      <c r="HU40">
        <v>0</v>
      </c>
      <c r="HV40">
        <v>0</v>
      </c>
      <c r="HW40">
        <v>0</v>
      </c>
      <c r="HX40">
        <v>0</v>
      </c>
      <c r="HY40">
        <v>0</v>
      </c>
      <c r="HZ40">
        <v>0</v>
      </c>
      <c r="IA40">
        <v>0</v>
      </c>
      <c r="IB40">
        <v>0</v>
      </c>
      <c r="IC40">
        <v>0</v>
      </c>
      <c r="ID40">
        <v>0</v>
      </c>
      <c r="IE40">
        <v>0</v>
      </c>
      <c r="IF40">
        <v>0</v>
      </c>
      <c r="IG40">
        <v>0</v>
      </c>
      <c r="IH40">
        <v>0</v>
      </c>
      <c r="II40">
        <v>0</v>
      </c>
      <c r="IJ40">
        <v>0</v>
      </c>
      <c r="IK40">
        <v>0</v>
      </c>
      <c r="IL40">
        <v>0</v>
      </c>
      <c r="IM40">
        <v>0</v>
      </c>
      <c r="IN40">
        <v>0</v>
      </c>
      <c r="IO40">
        <v>0</v>
      </c>
      <c r="IP40">
        <v>0</v>
      </c>
      <c r="IQ40">
        <v>0</v>
      </c>
      <c r="IR40">
        <v>0</v>
      </c>
      <c r="IS40">
        <v>0</v>
      </c>
      <c r="IT40">
        <v>0</v>
      </c>
      <c r="IU40">
        <v>0</v>
      </c>
      <c r="IV40">
        <v>0</v>
      </c>
      <c r="IW40">
        <v>0</v>
      </c>
      <c r="IX40">
        <v>0</v>
      </c>
      <c r="IY40">
        <v>0</v>
      </c>
      <c r="IZ40">
        <v>0</v>
      </c>
      <c r="JA40">
        <v>0</v>
      </c>
      <c r="JB40">
        <v>0</v>
      </c>
      <c r="JC40">
        <v>0</v>
      </c>
      <c r="JD40">
        <v>0</v>
      </c>
      <c r="JE40">
        <v>0</v>
      </c>
      <c r="JF40">
        <v>0</v>
      </c>
      <c r="JG40">
        <v>0</v>
      </c>
      <c r="JH40">
        <v>0</v>
      </c>
      <c r="JI40">
        <v>0</v>
      </c>
      <c r="JJ40">
        <v>0</v>
      </c>
      <c r="JK40">
        <v>0</v>
      </c>
      <c r="JL40">
        <v>0</v>
      </c>
      <c r="JM40">
        <v>0</v>
      </c>
      <c r="JN40">
        <v>0</v>
      </c>
      <c r="JO40">
        <v>0</v>
      </c>
      <c r="JP40">
        <v>0</v>
      </c>
      <c r="JQ40">
        <v>0</v>
      </c>
      <c r="JR40">
        <v>0</v>
      </c>
      <c r="JS40">
        <v>0</v>
      </c>
      <c r="JT40">
        <v>0</v>
      </c>
      <c r="JU40">
        <v>0</v>
      </c>
      <c r="JV40">
        <v>0</v>
      </c>
      <c r="JW40">
        <v>0</v>
      </c>
      <c r="JX40">
        <v>0</v>
      </c>
      <c r="JY40">
        <v>0</v>
      </c>
      <c r="JZ40">
        <v>0</v>
      </c>
      <c r="KA40">
        <v>0</v>
      </c>
      <c r="KB40">
        <v>0</v>
      </c>
      <c r="KC40">
        <v>0</v>
      </c>
      <c r="KD40">
        <v>0</v>
      </c>
      <c r="KE40">
        <v>0</v>
      </c>
      <c r="KF40">
        <v>0</v>
      </c>
      <c r="KG40">
        <v>0</v>
      </c>
      <c r="KH40">
        <v>0</v>
      </c>
      <c r="KI40">
        <v>0</v>
      </c>
      <c r="KJ40">
        <v>0</v>
      </c>
      <c r="KK40">
        <v>0</v>
      </c>
      <c r="KL40">
        <v>0</v>
      </c>
      <c r="KM40">
        <v>0</v>
      </c>
      <c r="KN40">
        <v>0</v>
      </c>
      <c r="KO40">
        <v>0</v>
      </c>
      <c r="KP40">
        <v>0</v>
      </c>
      <c r="KQ40">
        <v>0</v>
      </c>
      <c r="KR40">
        <v>0</v>
      </c>
      <c r="KS40">
        <v>0</v>
      </c>
      <c r="KT40">
        <v>0</v>
      </c>
      <c r="KU40">
        <v>0</v>
      </c>
      <c r="KV40">
        <v>0</v>
      </c>
      <c r="KW40">
        <v>0</v>
      </c>
      <c r="KX40">
        <v>0</v>
      </c>
      <c r="KY40">
        <v>0</v>
      </c>
      <c r="KZ40">
        <v>0</v>
      </c>
      <c r="LA40">
        <v>0</v>
      </c>
      <c r="LB40">
        <v>0</v>
      </c>
      <c r="LC40">
        <v>0</v>
      </c>
      <c r="LD40">
        <v>0</v>
      </c>
      <c r="LE40">
        <v>0</v>
      </c>
      <c r="LF40">
        <v>0</v>
      </c>
      <c r="LG40">
        <v>0</v>
      </c>
      <c r="LH40">
        <v>0</v>
      </c>
      <c r="LI40">
        <v>0</v>
      </c>
      <c r="LJ40">
        <v>0</v>
      </c>
      <c r="LK40">
        <v>0</v>
      </c>
      <c r="LL40">
        <v>0</v>
      </c>
      <c r="LM40">
        <v>0</v>
      </c>
      <c r="LN40">
        <v>0</v>
      </c>
      <c r="LO40">
        <v>0</v>
      </c>
      <c r="LP40">
        <v>0</v>
      </c>
      <c r="LQ40">
        <v>0</v>
      </c>
      <c r="LR40">
        <v>0</v>
      </c>
      <c r="LS40">
        <v>0</v>
      </c>
      <c r="LT40">
        <v>0</v>
      </c>
      <c r="LU40">
        <v>0</v>
      </c>
      <c r="LV40">
        <v>0</v>
      </c>
      <c r="LW40">
        <v>0</v>
      </c>
      <c r="LX40">
        <v>0</v>
      </c>
      <c r="LY40">
        <v>0</v>
      </c>
      <c r="LZ40">
        <v>0</v>
      </c>
      <c r="MA40">
        <v>0</v>
      </c>
      <c r="MB40">
        <v>0</v>
      </c>
      <c r="MC40">
        <v>0</v>
      </c>
      <c r="MD40">
        <v>0</v>
      </c>
      <c r="ME40">
        <v>0</v>
      </c>
      <c r="MF40">
        <v>0</v>
      </c>
      <c r="MG40">
        <v>0</v>
      </c>
      <c r="MH40">
        <v>0</v>
      </c>
      <c r="MI40">
        <v>0</v>
      </c>
      <c r="MJ40">
        <v>0</v>
      </c>
      <c r="MK40">
        <v>0</v>
      </c>
      <c r="ML40">
        <v>0</v>
      </c>
      <c r="MM40">
        <v>0</v>
      </c>
      <c r="MN40">
        <v>0</v>
      </c>
      <c r="MO40">
        <v>0</v>
      </c>
      <c r="MP40">
        <v>0</v>
      </c>
      <c r="MQ40">
        <v>0</v>
      </c>
      <c r="MR40">
        <v>0</v>
      </c>
      <c r="MS40">
        <v>0</v>
      </c>
      <c r="MT40">
        <v>0</v>
      </c>
      <c r="MU40">
        <v>0</v>
      </c>
      <c r="MV40">
        <v>0</v>
      </c>
      <c r="MW40">
        <v>0</v>
      </c>
      <c r="MX40">
        <v>0</v>
      </c>
      <c r="MY40">
        <v>0</v>
      </c>
      <c r="MZ40">
        <v>0</v>
      </c>
      <c r="NA40">
        <v>0</v>
      </c>
      <c r="NB40">
        <v>0</v>
      </c>
      <c r="NC40">
        <v>0</v>
      </c>
      <c r="ND40">
        <v>0</v>
      </c>
      <c r="NE40">
        <v>0</v>
      </c>
    </row>
    <row r="41" spans="5:369" x14ac:dyDescent="0.45">
      <c r="E41">
        <v>0</v>
      </c>
      <c r="F41">
        <v>0</v>
      </c>
      <c r="G41">
        <v>0</v>
      </c>
      <c r="H41">
        <v>0</v>
      </c>
      <c r="I41">
        <v>0</v>
      </c>
      <c r="J41">
        <v>0</v>
      </c>
      <c r="K41">
        <v>0</v>
      </c>
      <c r="L41">
        <v>0</v>
      </c>
      <c r="M41">
        <v>0</v>
      </c>
      <c r="N41" t="str">
        <v/>
      </c>
      <c r="O41" t="str">
        <v/>
      </c>
      <c r="P41" t="str">
        <v/>
      </c>
      <c r="Q41" t="str">
        <v/>
      </c>
      <c r="R41" t="str">
        <v/>
      </c>
      <c r="S41" t="str">
        <v/>
      </c>
      <c r="T41" t="str">
        <v/>
      </c>
      <c r="U41">
        <v>0</v>
      </c>
      <c r="V41">
        <v>0</v>
      </c>
      <c r="W41">
        <v>0</v>
      </c>
      <c r="X41">
        <v>0</v>
      </c>
      <c r="Y41">
        <v>0</v>
      </c>
      <c r="Z41">
        <v>0</v>
      </c>
      <c r="AA41">
        <v>0</v>
      </c>
      <c r="AB41">
        <v>0</v>
      </c>
      <c r="AC41">
        <v>0</v>
      </c>
      <c r="AD41">
        <v>0</v>
      </c>
      <c r="AE41">
        <v>0</v>
      </c>
      <c r="AF41">
        <v>0</v>
      </c>
      <c r="AG41">
        <v>0</v>
      </c>
      <c r="AH41">
        <v>0</v>
      </c>
      <c r="AI41">
        <v>0</v>
      </c>
      <c r="AJ41">
        <v>0</v>
      </c>
      <c r="AK41">
        <v>0</v>
      </c>
      <c r="AL41">
        <v>0</v>
      </c>
      <c r="AM41">
        <v>0</v>
      </c>
      <c r="AN41" s="5">
        <v>0</v>
      </c>
      <c r="AO41" t="str">
        <v>A138</v>
      </c>
      <c r="AP41" t="str">
        <v>ziyad. K. M. C</v>
      </c>
      <c r="AQ41">
        <v>0</v>
      </c>
      <c r="AR41" t="str">
        <v>SUB JUNIOR</v>
      </c>
      <c r="AS41">
        <v>1</v>
      </c>
      <c r="AT41">
        <v>0</v>
      </c>
      <c r="AU41">
        <v>0</v>
      </c>
      <c r="AV41">
        <v>0</v>
      </c>
      <c r="AW41">
        <v>0</v>
      </c>
      <c r="AX41">
        <v>255</v>
      </c>
      <c r="AY41" s="5">
        <v>255</v>
      </c>
      <c r="AZ41" t="str">
        <v>SJ39</v>
      </c>
      <c r="BA41" t="str">
        <v>WAʿẒ</v>
      </c>
      <c r="BB41" t="str">
        <v>SUB JUNIOR</v>
      </c>
      <c r="BC41" t="str">
        <v>Single</v>
      </c>
      <c r="BD41" t="str">
        <v>Stage</v>
      </c>
      <c r="BE41">
        <v>3</v>
      </c>
      <c r="BF41" t="str">
        <v>Individual</v>
      </c>
      <c r="BG41" t="str">
        <v>Individual</v>
      </c>
      <c r="BH41" t="str">
        <v>P</v>
      </c>
      <c r="BI41" t="str">
        <v>PUBLISHED</v>
      </c>
      <c r="BK41">
        <v>35</v>
      </c>
      <c r="BL41" t="str">
        <v>SJ35</v>
      </c>
      <c r="BM41" t="str">
        <v>SPEECH ENG</v>
      </c>
      <c r="BN41">
        <v>3</v>
      </c>
      <c r="BO41" t="str">
        <v>Single</v>
      </c>
      <c r="BP41" t="str">
        <v>Stage</v>
      </c>
      <c r="BQ41" t="str">
        <v>SUB JUNIOR</v>
      </c>
      <c r="BR41" t="str">
        <v>A105</v>
      </c>
      <c r="BS41" t="str">
        <v>A143</v>
      </c>
      <c r="BT41" t="str">
        <v>A150</v>
      </c>
      <c r="BU41">
        <v>0</v>
      </c>
      <c r="BV41">
        <v>0</v>
      </c>
      <c r="BW41">
        <v>0</v>
      </c>
      <c r="BX41">
        <v>0</v>
      </c>
      <c r="BY41" t="str">
        <v>A113</v>
      </c>
      <c r="BZ41" t="str">
        <v>A131</v>
      </c>
      <c r="CA41" t="str">
        <v>A158</v>
      </c>
      <c r="CB41">
        <v>0</v>
      </c>
      <c r="CC41">
        <v>0</v>
      </c>
      <c r="CD41">
        <v>0</v>
      </c>
      <c r="CE41">
        <v>0</v>
      </c>
      <c r="CF41" t="str">
        <v>A127</v>
      </c>
      <c r="CG41" t="str">
        <v>A166</v>
      </c>
      <c r="CH41" t="str">
        <v>A173</v>
      </c>
      <c r="CI41">
        <v>0</v>
      </c>
      <c r="CJ41">
        <v>0</v>
      </c>
      <c r="CK41">
        <v>0</v>
      </c>
      <c r="CL41">
        <v>0</v>
      </c>
      <c r="CM41" t="str">
        <v>A103</v>
      </c>
      <c r="CN41" t="str">
        <v>A119</v>
      </c>
      <c r="CO41" t="str">
        <v>A130</v>
      </c>
      <c r="CP41">
        <v>0</v>
      </c>
      <c r="CQ41">
        <v>0</v>
      </c>
      <c r="CR41">
        <v>0</v>
      </c>
      <c r="CS41">
        <v>0</v>
      </c>
      <c r="CT41">
        <v>0</v>
      </c>
      <c r="CU41">
        <v>0</v>
      </c>
      <c r="CV41">
        <v>0</v>
      </c>
      <c r="CW41">
        <v>0</v>
      </c>
      <c r="CX41">
        <v>0</v>
      </c>
      <c r="CY41">
        <v>0</v>
      </c>
      <c r="CZ41">
        <v>0</v>
      </c>
      <c r="DA41">
        <v>0</v>
      </c>
      <c r="DB41">
        <v>0</v>
      </c>
      <c r="DC41">
        <v>0</v>
      </c>
      <c r="DD41">
        <v>0</v>
      </c>
      <c r="DE41">
        <v>0</v>
      </c>
      <c r="DF41">
        <v>0</v>
      </c>
      <c r="DG41">
        <v>0</v>
      </c>
      <c r="DH41">
        <v>0</v>
      </c>
      <c r="DI41">
        <v>0</v>
      </c>
      <c r="DJ41">
        <v>0</v>
      </c>
      <c r="DK41">
        <v>0</v>
      </c>
      <c r="DL41">
        <v>0</v>
      </c>
      <c r="DM41">
        <v>0</v>
      </c>
      <c r="DN41">
        <v>0</v>
      </c>
      <c r="DO41">
        <v>0</v>
      </c>
      <c r="DP41">
        <v>0</v>
      </c>
      <c r="DQ41">
        <v>0</v>
      </c>
      <c r="DR41">
        <v>0</v>
      </c>
      <c r="DS41">
        <v>0</v>
      </c>
      <c r="DT41">
        <v>0</v>
      </c>
      <c r="DU41">
        <v>0</v>
      </c>
      <c r="DV41">
        <v>0</v>
      </c>
      <c r="DW41">
        <v>0</v>
      </c>
      <c r="DX41">
        <v>0</v>
      </c>
      <c r="DY41">
        <v>0</v>
      </c>
      <c r="DZ41">
        <v>0</v>
      </c>
      <c r="EA41">
        <v>0</v>
      </c>
      <c r="EB41">
        <v>0</v>
      </c>
      <c r="EC41">
        <v>0</v>
      </c>
      <c r="ED41">
        <v>0</v>
      </c>
      <c r="EE41">
        <v>0</v>
      </c>
      <c r="EF41">
        <v>0</v>
      </c>
      <c r="EG41">
        <v>0</v>
      </c>
      <c r="EH41">
        <v>0</v>
      </c>
      <c r="EI41">
        <v>0</v>
      </c>
      <c r="EJ41">
        <v>0</v>
      </c>
      <c r="EK41">
        <v>0</v>
      </c>
      <c r="EL41">
        <v>0</v>
      </c>
      <c r="EM41">
        <v>0</v>
      </c>
      <c r="EN41">
        <v>0</v>
      </c>
      <c r="EO41">
        <v>0</v>
      </c>
      <c r="EP41">
        <v>0</v>
      </c>
      <c r="EQ41">
        <v>0</v>
      </c>
      <c r="ER41">
        <v>0</v>
      </c>
      <c r="ES41">
        <v>0</v>
      </c>
      <c r="ET41">
        <v>0</v>
      </c>
      <c r="EU41">
        <v>0</v>
      </c>
      <c r="EV41">
        <v>0</v>
      </c>
      <c r="EW41">
        <v>0</v>
      </c>
      <c r="EX41">
        <v>0</v>
      </c>
      <c r="EY41">
        <v>0</v>
      </c>
      <c r="EZ41">
        <v>0</v>
      </c>
      <c r="FA41">
        <v>0</v>
      </c>
      <c r="FB41">
        <v>0</v>
      </c>
      <c r="FC41">
        <v>0</v>
      </c>
      <c r="FD41">
        <v>0</v>
      </c>
      <c r="FE41">
        <v>0</v>
      </c>
      <c r="FF41">
        <v>0</v>
      </c>
      <c r="FG41">
        <v>0</v>
      </c>
      <c r="FH41">
        <v>0</v>
      </c>
      <c r="FI41">
        <v>0</v>
      </c>
      <c r="FJ41">
        <v>0</v>
      </c>
      <c r="FK41">
        <v>0</v>
      </c>
      <c r="FL41">
        <v>0</v>
      </c>
      <c r="FM41">
        <v>0</v>
      </c>
      <c r="FN41">
        <v>0</v>
      </c>
      <c r="FO41">
        <v>0</v>
      </c>
      <c r="FP41">
        <v>0</v>
      </c>
      <c r="FQ41">
        <v>0</v>
      </c>
      <c r="FR41">
        <v>0</v>
      </c>
      <c r="FS41">
        <v>0</v>
      </c>
      <c r="FT41">
        <v>0</v>
      </c>
      <c r="FU41">
        <v>0</v>
      </c>
      <c r="FV41">
        <v>0</v>
      </c>
      <c r="FW41">
        <v>0</v>
      </c>
      <c r="FX41">
        <v>0</v>
      </c>
      <c r="FY41">
        <v>0</v>
      </c>
      <c r="FZ41">
        <v>0</v>
      </c>
      <c r="GA41">
        <v>0</v>
      </c>
      <c r="GB41">
        <v>0</v>
      </c>
      <c r="GC41">
        <v>0</v>
      </c>
      <c r="GD41">
        <v>0</v>
      </c>
      <c r="GE41">
        <v>0</v>
      </c>
      <c r="GF41">
        <v>0</v>
      </c>
      <c r="GG41">
        <v>0</v>
      </c>
      <c r="GH41">
        <v>0</v>
      </c>
      <c r="GI41">
        <v>0</v>
      </c>
      <c r="GJ41">
        <v>0</v>
      </c>
      <c r="GK41">
        <v>0</v>
      </c>
      <c r="GL41">
        <v>0</v>
      </c>
      <c r="GM41">
        <v>0</v>
      </c>
      <c r="GN41">
        <v>0</v>
      </c>
      <c r="GO41">
        <v>0</v>
      </c>
      <c r="GP41">
        <v>0</v>
      </c>
      <c r="GQ41">
        <v>0</v>
      </c>
      <c r="GR41">
        <v>0</v>
      </c>
      <c r="GS41">
        <v>0</v>
      </c>
      <c r="GT41">
        <v>0</v>
      </c>
      <c r="GU41">
        <v>0</v>
      </c>
      <c r="GV41">
        <v>0</v>
      </c>
      <c r="GW41">
        <v>0</v>
      </c>
      <c r="GX41">
        <v>0</v>
      </c>
      <c r="GY41">
        <v>0</v>
      </c>
      <c r="GZ41">
        <v>0</v>
      </c>
      <c r="HA41">
        <v>0</v>
      </c>
      <c r="HB41">
        <v>0</v>
      </c>
      <c r="HC41">
        <v>0</v>
      </c>
      <c r="HD41">
        <v>0</v>
      </c>
      <c r="HE41">
        <v>0</v>
      </c>
      <c r="HF41">
        <v>0</v>
      </c>
      <c r="HG41">
        <v>0</v>
      </c>
      <c r="HH41">
        <v>0</v>
      </c>
      <c r="HI41">
        <v>0</v>
      </c>
      <c r="HJ41">
        <v>0</v>
      </c>
      <c r="HK41">
        <v>0</v>
      </c>
      <c r="HL41">
        <v>0</v>
      </c>
      <c r="HM41">
        <v>0</v>
      </c>
      <c r="HN41">
        <v>0</v>
      </c>
      <c r="HO41">
        <v>0</v>
      </c>
      <c r="HP41">
        <v>0</v>
      </c>
      <c r="HQ41">
        <v>0</v>
      </c>
      <c r="HR41">
        <v>0</v>
      </c>
      <c r="HS41">
        <v>0</v>
      </c>
      <c r="HT41">
        <v>0</v>
      </c>
      <c r="HU41">
        <v>0</v>
      </c>
      <c r="HV41">
        <v>0</v>
      </c>
      <c r="HW41">
        <v>0</v>
      </c>
      <c r="HX41">
        <v>0</v>
      </c>
      <c r="HY41">
        <v>0</v>
      </c>
      <c r="HZ41">
        <v>0</v>
      </c>
      <c r="IA41">
        <v>0</v>
      </c>
      <c r="IB41">
        <v>0</v>
      </c>
      <c r="IC41">
        <v>0</v>
      </c>
      <c r="ID41">
        <v>0</v>
      </c>
      <c r="IE41">
        <v>0</v>
      </c>
      <c r="IF41">
        <v>0</v>
      </c>
      <c r="IG41">
        <v>0</v>
      </c>
      <c r="IH41">
        <v>0</v>
      </c>
      <c r="II41">
        <v>0</v>
      </c>
      <c r="IJ41">
        <v>0</v>
      </c>
      <c r="IK41">
        <v>0</v>
      </c>
      <c r="IL41">
        <v>0</v>
      </c>
      <c r="IM41">
        <v>0</v>
      </c>
      <c r="IN41">
        <v>0</v>
      </c>
      <c r="IO41">
        <v>0</v>
      </c>
      <c r="IP41">
        <v>0</v>
      </c>
      <c r="IQ41">
        <v>0</v>
      </c>
      <c r="IR41">
        <v>0</v>
      </c>
      <c r="IS41">
        <v>0</v>
      </c>
      <c r="IT41">
        <v>0</v>
      </c>
      <c r="IU41">
        <v>0</v>
      </c>
      <c r="IV41">
        <v>0</v>
      </c>
      <c r="IW41">
        <v>0</v>
      </c>
      <c r="IX41">
        <v>0</v>
      </c>
      <c r="IY41">
        <v>0</v>
      </c>
      <c r="IZ41">
        <v>0</v>
      </c>
      <c r="JA41">
        <v>0</v>
      </c>
      <c r="JB41">
        <v>0</v>
      </c>
      <c r="JC41">
        <v>0</v>
      </c>
      <c r="JD41">
        <v>0</v>
      </c>
      <c r="JE41">
        <v>0</v>
      </c>
      <c r="JF41">
        <v>0</v>
      </c>
      <c r="JG41">
        <v>0</v>
      </c>
      <c r="JH41">
        <v>0</v>
      </c>
      <c r="JI41">
        <v>0</v>
      </c>
      <c r="JJ41">
        <v>0</v>
      </c>
      <c r="JK41">
        <v>0</v>
      </c>
      <c r="JL41">
        <v>0</v>
      </c>
      <c r="JM41">
        <v>0</v>
      </c>
      <c r="JN41">
        <v>0</v>
      </c>
      <c r="JO41">
        <v>0</v>
      </c>
      <c r="JP41">
        <v>0</v>
      </c>
      <c r="JQ41">
        <v>0</v>
      </c>
      <c r="JR41">
        <v>0</v>
      </c>
      <c r="JS41">
        <v>0</v>
      </c>
      <c r="JT41">
        <v>0</v>
      </c>
      <c r="JU41">
        <v>0</v>
      </c>
      <c r="JV41">
        <v>0</v>
      </c>
      <c r="JW41">
        <v>0</v>
      </c>
      <c r="JX41">
        <v>0</v>
      </c>
      <c r="JY41">
        <v>0</v>
      </c>
      <c r="JZ41">
        <v>0</v>
      </c>
      <c r="KA41">
        <v>0</v>
      </c>
      <c r="KB41">
        <v>0</v>
      </c>
      <c r="KC41">
        <v>0</v>
      </c>
      <c r="KD41">
        <v>0</v>
      </c>
      <c r="KE41">
        <v>0</v>
      </c>
      <c r="KF41">
        <v>0</v>
      </c>
      <c r="KG41">
        <v>0</v>
      </c>
      <c r="KH41">
        <v>0</v>
      </c>
      <c r="KI41">
        <v>0</v>
      </c>
      <c r="KJ41">
        <v>0</v>
      </c>
      <c r="KK41">
        <v>0</v>
      </c>
      <c r="KL41">
        <v>0</v>
      </c>
      <c r="KM41">
        <v>0</v>
      </c>
      <c r="KN41">
        <v>0</v>
      </c>
      <c r="KO41">
        <v>0</v>
      </c>
      <c r="KP41">
        <v>0</v>
      </c>
      <c r="KQ41">
        <v>0</v>
      </c>
      <c r="KR41">
        <v>0</v>
      </c>
      <c r="KS41">
        <v>0</v>
      </c>
      <c r="KT41">
        <v>0</v>
      </c>
      <c r="KU41">
        <v>0</v>
      </c>
      <c r="KV41">
        <v>0</v>
      </c>
      <c r="KW41">
        <v>0</v>
      </c>
      <c r="KX41">
        <v>0</v>
      </c>
      <c r="KY41">
        <v>0</v>
      </c>
      <c r="KZ41">
        <v>0</v>
      </c>
      <c r="LA41">
        <v>0</v>
      </c>
      <c r="LB41">
        <v>0</v>
      </c>
      <c r="LC41">
        <v>0</v>
      </c>
      <c r="LD41">
        <v>0</v>
      </c>
      <c r="LE41">
        <v>0</v>
      </c>
      <c r="LF41">
        <v>0</v>
      </c>
      <c r="LG41">
        <v>0</v>
      </c>
      <c r="LH41">
        <v>0</v>
      </c>
      <c r="LI41">
        <v>0</v>
      </c>
      <c r="LJ41">
        <v>0</v>
      </c>
      <c r="LK41">
        <v>0</v>
      </c>
      <c r="LL41">
        <v>0</v>
      </c>
      <c r="LM41">
        <v>0</v>
      </c>
      <c r="LN41">
        <v>0</v>
      </c>
      <c r="LO41">
        <v>0</v>
      </c>
      <c r="LP41">
        <v>0</v>
      </c>
      <c r="LQ41">
        <v>0</v>
      </c>
      <c r="LR41">
        <v>0</v>
      </c>
      <c r="LS41">
        <v>0</v>
      </c>
      <c r="LT41">
        <v>0</v>
      </c>
      <c r="LU41">
        <v>0</v>
      </c>
      <c r="LV41">
        <v>0</v>
      </c>
      <c r="LW41">
        <v>0</v>
      </c>
      <c r="LX41">
        <v>0</v>
      </c>
      <c r="LY41">
        <v>0</v>
      </c>
      <c r="LZ41">
        <v>0</v>
      </c>
      <c r="MA41">
        <v>0</v>
      </c>
      <c r="MB41">
        <v>0</v>
      </c>
      <c r="MC41">
        <v>0</v>
      </c>
      <c r="MD41">
        <v>0</v>
      </c>
      <c r="ME41">
        <v>0</v>
      </c>
      <c r="MF41">
        <v>0</v>
      </c>
      <c r="MG41">
        <v>0</v>
      </c>
      <c r="MH41">
        <v>0</v>
      </c>
      <c r="MI41">
        <v>0</v>
      </c>
      <c r="MJ41">
        <v>0</v>
      </c>
      <c r="MK41">
        <v>0</v>
      </c>
      <c r="ML41">
        <v>0</v>
      </c>
      <c r="MM41">
        <v>0</v>
      </c>
      <c r="MN41">
        <v>0</v>
      </c>
      <c r="MO41">
        <v>0</v>
      </c>
      <c r="MP41">
        <v>0</v>
      </c>
      <c r="MQ41">
        <v>0</v>
      </c>
      <c r="MR41">
        <v>0</v>
      </c>
      <c r="MS41">
        <v>0</v>
      </c>
      <c r="MT41">
        <v>0</v>
      </c>
      <c r="MU41">
        <v>0</v>
      </c>
      <c r="MV41">
        <v>0</v>
      </c>
      <c r="MW41">
        <v>0</v>
      </c>
      <c r="MX41">
        <v>0</v>
      </c>
      <c r="MY41">
        <v>0</v>
      </c>
      <c r="MZ41">
        <v>0</v>
      </c>
      <c r="NA41">
        <v>0</v>
      </c>
      <c r="NB41">
        <v>0</v>
      </c>
      <c r="NC41">
        <v>0</v>
      </c>
      <c r="ND41">
        <v>0</v>
      </c>
      <c r="NE41">
        <v>0</v>
      </c>
    </row>
    <row r="42" spans="5:369" x14ac:dyDescent="0.45">
      <c r="E42">
        <v>0</v>
      </c>
      <c r="F42">
        <v>0</v>
      </c>
      <c r="G42">
        <v>0</v>
      </c>
      <c r="H42">
        <v>0</v>
      </c>
      <c r="I42">
        <v>0</v>
      </c>
      <c r="J42">
        <v>0</v>
      </c>
      <c r="K42">
        <v>0</v>
      </c>
      <c r="L42">
        <v>0</v>
      </c>
      <c r="M42">
        <v>0</v>
      </c>
      <c r="N42" t="str">
        <v/>
      </c>
      <c r="O42" t="str">
        <v/>
      </c>
      <c r="P42" t="str">
        <v/>
      </c>
      <c r="Q42" t="str">
        <v/>
      </c>
      <c r="R42" t="str">
        <v/>
      </c>
      <c r="S42" t="str">
        <v/>
      </c>
      <c r="T42" t="str">
        <v/>
      </c>
      <c r="U42">
        <v>0</v>
      </c>
      <c r="V42">
        <v>0</v>
      </c>
      <c r="W42">
        <v>0</v>
      </c>
      <c r="X42">
        <v>0</v>
      </c>
      <c r="Y42">
        <v>0</v>
      </c>
      <c r="Z42">
        <v>0</v>
      </c>
      <c r="AA42">
        <v>0</v>
      </c>
      <c r="AB42">
        <v>0</v>
      </c>
      <c r="AC42">
        <v>0</v>
      </c>
      <c r="AD42">
        <v>0</v>
      </c>
      <c r="AE42">
        <v>0</v>
      </c>
      <c r="AF42">
        <v>0</v>
      </c>
      <c r="AG42">
        <v>0</v>
      </c>
      <c r="AH42">
        <v>0</v>
      </c>
      <c r="AI42">
        <v>0</v>
      </c>
      <c r="AJ42">
        <v>0</v>
      </c>
      <c r="AK42">
        <v>0</v>
      </c>
      <c r="AL42">
        <v>0</v>
      </c>
      <c r="AM42">
        <v>0</v>
      </c>
      <c r="AN42" s="5">
        <v>0</v>
      </c>
      <c r="AO42" t="str">
        <v>A139</v>
      </c>
      <c r="AP42" t="str">
        <v>MUHAMMED MOIDEEN KUNHI</v>
      </c>
      <c r="AQ42" t="str">
        <v>FANT</v>
      </c>
      <c r="AR42" t="str">
        <v>SUB JUNIOR</v>
      </c>
      <c r="AS42">
        <v>1</v>
      </c>
      <c r="AT42">
        <v>3</v>
      </c>
      <c r="AU42">
        <v>0</v>
      </c>
      <c r="AV42">
        <v>3</v>
      </c>
      <c r="AW42">
        <v>3</v>
      </c>
      <c r="AX42">
        <v>209</v>
      </c>
      <c r="AY42" s="5">
        <v>209</v>
      </c>
      <c r="AZ42" t="str">
        <v>SJ40</v>
      </c>
      <c r="BA42" t="str">
        <v>WORD WIZARD</v>
      </c>
      <c r="BB42" t="str">
        <v>SUB JUNIOR</v>
      </c>
      <c r="BC42" t="str">
        <v>Single</v>
      </c>
      <c r="BD42" t="str">
        <v>Stage</v>
      </c>
      <c r="BE42">
        <v>3</v>
      </c>
      <c r="BF42" t="str">
        <v>Individual</v>
      </c>
      <c r="BG42" t="str">
        <v>Individual</v>
      </c>
      <c r="BH42" t="str">
        <v>P</v>
      </c>
      <c r="BI42" t="str">
        <v>PUBLISHED</v>
      </c>
      <c r="BK42">
        <v>36</v>
      </c>
      <c r="BL42" t="str">
        <v>SJ36</v>
      </c>
      <c r="BM42" t="str">
        <v>SPEECH MLM</v>
      </c>
      <c r="BN42">
        <v>3</v>
      </c>
      <c r="BO42" t="str">
        <v>Single</v>
      </c>
      <c r="BP42" t="str">
        <v>Stage</v>
      </c>
      <c r="BQ42" t="str">
        <v>SUB JUNIOR</v>
      </c>
      <c r="BR42" t="str">
        <v>A111</v>
      </c>
      <c r="BS42" t="str">
        <v>A129</v>
      </c>
      <c r="BT42" t="str">
        <v>A140</v>
      </c>
      <c r="BU42">
        <v>0</v>
      </c>
      <c r="BV42">
        <v>0</v>
      </c>
      <c r="BW42">
        <v>0</v>
      </c>
      <c r="BX42">
        <v>0</v>
      </c>
      <c r="BY42" t="str">
        <v>A112</v>
      </c>
      <c r="BZ42" t="str">
        <v>A165</v>
      </c>
      <c r="CA42" t="str">
        <v>A170</v>
      </c>
      <c r="CB42">
        <v>0</v>
      </c>
      <c r="CC42">
        <v>0</v>
      </c>
      <c r="CD42">
        <v>0</v>
      </c>
      <c r="CE42">
        <v>0</v>
      </c>
      <c r="CF42" t="str">
        <v>A108</v>
      </c>
      <c r="CG42" t="str">
        <v>A109</v>
      </c>
      <c r="CH42" t="str">
        <v>A114</v>
      </c>
      <c r="CI42">
        <v>0</v>
      </c>
      <c r="CJ42">
        <v>0</v>
      </c>
      <c r="CK42">
        <v>0</v>
      </c>
      <c r="CL42">
        <v>0</v>
      </c>
      <c r="CM42" t="str">
        <v>A155</v>
      </c>
      <c r="CN42" t="str">
        <v>A159</v>
      </c>
      <c r="CO42" t="str">
        <v>A168</v>
      </c>
      <c r="CP42">
        <v>0</v>
      </c>
      <c r="CQ42">
        <v>0</v>
      </c>
      <c r="CR42">
        <v>0</v>
      </c>
      <c r="CS42">
        <v>0</v>
      </c>
      <c r="CT42">
        <v>0</v>
      </c>
      <c r="CU42">
        <v>0</v>
      </c>
      <c r="CV42">
        <v>0</v>
      </c>
      <c r="CW42">
        <v>0</v>
      </c>
      <c r="CX42">
        <v>0</v>
      </c>
      <c r="CY42">
        <v>0</v>
      </c>
      <c r="CZ42">
        <v>0</v>
      </c>
      <c r="DA42">
        <v>0</v>
      </c>
      <c r="DB42">
        <v>0</v>
      </c>
      <c r="DC42">
        <v>0</v>
      </c>
      <c r="DD42">
        <v>0</v>
      </c>
      <c r="DE42">
        <v>0</v>
      </c>
      <c r="DF42">
        <v>0</v>
      </c>
      <c r="DG42">
        <v>0</v>
      </c>
      <c r="DH42">
        <v>0</v>
      </c>
      <c r="DI42">
        <v>0</v>
      </c>
      <c r="DJ42">
        <v>0</v>
      </c>
      <c r="DK42">
        <v>0</v>
      </c>
      <c r="DL42">
        <v>0</v>
      </c>
      <c r="DM42">
        <v>0</v>
      </c>
      <c r="DN42">
        <v>0</v>
      </c>
      <c r="DO42">
        <v>0</v>
      </c>
      <c r="DP42">
        <v>0</v>
      </c>
      <c r="DQ42">
        <v>0</v>
      </c>
      <c r="DR42">
        <v>0</v>
      </c>
      <c r="DS42">
        <v>0</v>
      </c>
      <c r="DT42">
        <v>0</v>
      </c>
      <c r="DU42">
        <v>0</v>
      </c>
      <c r="DV42">
        <v>0</v>
      </c>
      <c r="DW42">
        <v>0</v>
      </c>
      <c r="DX42">
        <v>0</v>
      </c>
      <c r="DY42">
        <v>0</v>
      </c>
      <c r="DZ42">
        <v>0</v>
      </c>
      <c r="EA42">
        <v>0</v>
      </c>
      <c r="EB42">
        <v>0</v>
      </c>
      <c r="EC42">
        <v>0</v>
      </c>
      <c r="ED42">
        <v>0</v>
      </c>
      <c r="EE42">
        <v>0</v>
      </c>
      <c r="EF42">
        <v>0</v>
      </c>
      <c r="EG42">
        <v>0</v>
      </c>
      <c r="EH42">
        <v>0</v>
      </c>
      <c r="EI42">
        <v>0</v>
      </c>
      <c r="EJ42">
        <v>0</v>
      </c>
      <c r="EK42">
        <v>0</v>
      </c>
      <c r="EL42">
        <v>0</v>
      </c>
      <c r="EM42">
        <v>0</v>
      </c>
      <c r="EN42">
        <v>0</v>
      </c>
      <c r="EO42">
        <v>0</v>
      </c>
      <c r="EP42">
        <v>0</v>
      </c>
      <c r="EQ42">
        <v>0</v>
      </c>
      <c r="ER42">
        <v>0</v>
      </c>
      <c r="ES42">
        <v>0</v>
      </c>
      <c r="ET42">
        <v>0</v>
      </c>
      <c r="EU42">
        <v>0</v>
      </c>
      <c r="EV42">
        <v>0</v>
      </c>
      <c r="EW42">
        <v>0</v>
      </c>
      <c r="EX42">
        <v>0</v>
      </c>
      <c r="EY42">
        <v>0</v>
      </c>
      <c r="EZ42">
        <v>0</v>
      </c>
      <c r="FA42">
        <v>0</v>
      </c>
      <c r="FB42">
        <v>0</v>
      </c>
      <c r="FC42">
        <v>0</v>
      </c>
      <c r="FD42">
        <v>0</v>
      </c>
      <c r="FE42">
        <v>0</v>
      </c>
      <c r="FF42">
        <v>0</v>
      </c>
      <c r="FG42">
        <v>0</v>
      </c>
      <c r="FH42">
        <v>0</v>
      </c>
      <c r="FI42">
        <v>0</v>
      </c>
      <c r="FJ42">
        <v>0</v>
      </c>
      <c r="FK42">
        <v>0</v>
      </c>
      <c r="FL42">
        <v>0</v>
      </c>
      <c r="FM42">
        <v>0</v>
      </c>
      <c r="FN42">
        <v>0</v>
      </c>
      <c r="FO42">
        <v>0</v>
      </c>
      <c r="FP42">
        <v>0</v>
      </c>
      <c r="FQ42">
        <v>0</v>
      </c>
      <c r="FR42">
        <v>0</v>
      </c>
      <c r="FS42">
        <v>0</v>
      </c>
      <c r="FT42">
        <v>0</v>
      </c>
      <c r="FU42">
        <v>0</v>
      </c>
      <c r="FV42">
        <v>0</v>
      </c>
      <c r="FW42">
        <v>0</v>
      </c>
      <c r="FX42">
        <v>0</v>
      </c>
      <c r="FY42">
        <v>0</v>
      </c>
      <c r="FZ42">
        <v>0</v>
      </c>
      <c r="GA42">
        <v>0</v>
      </c>
      <c r="GB42">
        <v>0</v>
      </c>
      <c r="GC42">
        <v>0</v>
      </c>
      <c r="GD42">
        <v>0</v>
      </c>
      <c r="GE42">
        <v>0</v>
      </c>
      <c r="GF42">
        <v>0</v>
      </c>
      <c r="GG42">
        <v>0</v>
      </c>
      <c r="GH42">
        <v>0</v>
      </c>
      <c r="GI42">
        <v>0</v>
      </c>
      <c r="GJ42">
        <v>0</v>
      </c>
      <c r="GK42">
        <v>0</v>
      </c>
      <c r="GL42">
        <v>0</v>
      </c>
      <c r="GM42">
        <v>0</v>
      </c>
      <c r="GN42">
        <v>0</v>
      </c>
      <c r="GO42">
        <v>0</v>
      </c>
      <c r="GP42">
        <v>0</v>
      </c>
      <c r="GQ42">
        <v>0</v>
      </c>
      <c r="GR42">
        <v>0</v>
      </c>
      <c r="GS42">
        <v>0</v>
      </c>
      <c r="GT42">
        <v>0</v>
      </c>
      <c r="GU42">
        <v>0</v>
      </c>
      <c r="GV42">
        <v>0</v>
      </c>
      <c r="GW42">
        <v>0</v>
      </c>
      <c r="GX42">
        <v>0</v>
      </c>
      <c r="GY42">
        <v>0</v>
      </c>
      <c r="GZ42">
        <v>0</v>
      </c>
      <c r="HA42">
        <v>0</v>
      </c>
      <c r="HB42">
        <v>0</v>
      </c>
      <c r="HC42">
        <v>0</v>
      </c>
      <c r="HD42">
        <v>0</v>
      </c>
      <c r="HE42">
        <v>0</v>
      </c>
      <c r="HF42">
        <v>0</v>
      </c>
      <c r="HG42">
        <v>0</v>
      </c>
      <c r="HH42">
        <v>0</v>
      </c>
      <c r="HI42">
        <v>0</v>
      </c>
      <c r="HJ42">
        <v>0</v>
      </c>
      <c r="HK42">
        <v>0</v>
      </c>
      <c r="HL42">
        <v>0</v>
      </c>
      <c r="HM42">
        <v>0</v>
      </c>
      <c r="HN42">
        <v>0</v>
      </c>
      <c r="HO42">
        <v>0</v>
      </c>
      <c r="HP42">
        <v>0</v>
      </c>
      <c r="HQ42">
        <v>0</v>
      </c>
      <c r="HR42">
        <v>0</v>
      </c>
      <c r="HS42">
        <v>0</v>
      </c>
      <c r="HT42">
        <v>0</v>
      </c>
      <c r="HU42">
        <v>0</v>
      </c>
      <c r="HV42">
        <v>0</v>
      </c>
      <c r="HW42">
        <v>0</v>
      </c>
      <c r="HX42">
        <v>0</v>
      </c>
      <c r="HY42">
        <v>0</v>
      </c>
      <c r="HZ42">
        <v>0</v>
      </c>
      <c r="IA42">
        <v>0</v>
      </c>
      <c r="IB42">
        <v>0</v>
      </c>
      <c r="IC42">
        <v>0</v>
      </c>
      <c r="ID42">
        <v>0</v>
      </c>
      <c r="IE42">
        <v>0</v>
      </c>
      <c r="IF42">
        <v>0</v>
      </c>
      <c r="IG42">
        <v>0</v>
      </c>
      <c r="IH42">
        <v>0</v>
      </c>
      <c r="II42">
        <v>0</v>
      </c>
      <c r="IJ42">
        <v>0</v>
      </c>
      <c r="IK42">
        <v>0</v>
      </c>
      <c r="IL42">
        <v>0</v>
      </c>
      <c r="IM42">
        <v>0</v>
      </c>
      <c r="IN42">
        <v>0</v>
      </c>
      <c r="IO42">
        <v>0</v>
      </c>
      <c r="IP42">
        <v>0</v>
      </c>
      <c r="IQ42">
        <v>0</v>
      </c>
      <c r="IR42">
        <v>0</v>
      </c>
      <c r="IS42">
        <v>0</v>
      </c>
      <c r="IT42">
        <v>0</v>
      </c>
      <c r="IU42">
        <v>0</v>
      </c>
      <c r="IV42">
        <v>0</v>
      </c>
      <c r="IW42">
        <v>0</v>
      </c>
      <c r="IX42">
        <v>0</v>
      </c>
      <c r="IY42">
        <v>0</v>
      </c>
      <c r="IZ42">
        <v>0</v>
      </c>
      <c r="JA42">
        <v>0</v>
      </c>
      <c r="JB42">
        <v>0</v>
      </c>
      <c r="JC42">
        <v>0</v>
      </c>
      <c r="JD42">
        <v>0</v>
      </c>
      <c r="JE42">
        <v>0</v>
      </c>
      <c r="JF42">
        <v>0</v>
      </c>
      <c r="JG42">
        <v>0</v>
      </c>
      <c r="JH42">
        <v>0</v>
      </c>
      <c r="JI42">
        <v>0</v>
      </c>
      <c r="JJ42">
        <v>0</v>
      </c>
      <c r="JK42">
        <v>0</v>
      </c>
      <c r="JL42">
        <v>0</v>
      </c>
      <c r="JM42">
        <v>0</v>
      </c>
      <c r="JN42">
        <v>0</v>
      </c>
      <c r="JO42">
        <v>0</v>
      </c>
      <c r="JP42">
        <v>0</v>
      </c>
      <c r="JQ42">
        <v>0</v>
      </c>
      <c r="JR42">
        <v>0</v>
      </c>
      <c r="JS42">
        <v>0</v>
      </c>
      <c r="JT42">
        <v>0</v>
      </c>
      <c r="JU42">
        <v>0</v>
      </c>
      <c r="JV42">
        <v>0</v>
      </c>
      <c r="JW42">
        <v>0</v>
      </c>
      <c r="JX42">
        <v>0</v>
      </c>
      <c r="JY42">
        <v>0</v>
      </c>
      <c r="JZ42">
        <v>0</v>
      </c>
      <c r="KA42">
        <v>0</v>
      </c>
      <c r="KB42">
        <v>0</v>
      </c>
      <c r="KC42">
        <v>0</v>
      </c>
      <c r="KD42">
        <v>0</v>
      </c>
      <c r="KE42">
        <v>0</v>
      </c>
      <c r="KF42">
        <v>0</v>
      </c>
      <c r="KG42">
        <v>0</v>
      </c>
      <c r="KH42">
        <v>0</v>
      </c>
      <c r="KI42">
        <v>0</v>
      </c>
      <c r="KJ42">
        <v>0</v>
      </c>
      <c r="KK42">
        <v>0</v>
      </c>
      <c r="KL42">
        <v>0</v>
      </c>
      <c r="KM42">
        <v>0</v>
      </c>
      <c r="KN42">
        <v>0</v>
      </c>
      <c r="KO42">
        <v>0</v>
      </c>
      <c r="KP42">
        <v>0</v>
      </c>
      <c r="KQ42">
        <v>0</v>
      </c>
      <c r="KR42">
        <v>0</v>
      </c>
      <c r="KS42">
        <v>0</v>
      </c>
      <c r="KT42">
        <v>0</v>
      </c>
      <c r="KU42">
        <v>0</v>
      </c>
      <c r="KV42">
        <v>0</v>
      </c>
      <c r="KW42">
        <v>0</v>
      </c>
      <c r="KX42">
        <v>0</v>
      </c>
      <c r="KY42">
        <v>0</v>
      </c>
      <c r="KZ42">
        <v>0</v>
      </c>
      <c r="LA42">
        <v>0</v>
      </c>
      <c r="LB42">
        <v>0</v>
      </c>
      <c r="LC42">
        <v>0</v>
      </c>
      <c r="LD42">
        <v>0</v>
      </c>
      <c r="LE42">
        <v>0</v>
      </c>
      <c r="LF42">
        <v>0</v>
      </c>
      <c r="LG42">
        <v>0</v>
      </c>
      <c r="LH42">
        <v>0</v>
      </c>
      <c r="LI42">
        <v>0</v>
      </c>
      <c r="LJ42">
        <v>0</v>
      </c>
      <c r="LK42">
        <v>0</v>
      </c>
      <c r="LL42">
        <v>0</v>
      </c>
      <c r="LM42">
        <v>0</v>
      </c>
      <c r="LN42">
        <v>0</v>
      </c>
      <c r="LO42">
        <v>0</v>
      </c>
      <c r="LP42">
        <v>0</v>
      </c>
      <c r="LQ42">
        <v>0</v>
      </c>
      <c r="LR42">
        <v>0</v>
      </c>
      <c r="LS42">
        <v>0</v>
      </c>
      <c r="LT42">
        <v>0</v>
      </c>
      <c r="LU42">
        <v>0</v>
      </c>
      <c r="LV42">
        <v>0</v>
      </c>
      <c r="LW42">
        <v>0</v>
      </c>
      <c r="LX42">
        <v>0</v>
      </c>
      <c r="LY42">
        <v>0</v>
      </c>
      <c r="LZ42">
        <v>0</v>
      </c>
      <c r="MA42">
        <v>0</v>
      </c>
      <c r="MB42">
        <v>0</v>
      </c>
      <c r="MC42">
        <v>0</v>
      </c>
      <c r="MD42">
        <v>0</v>
      </c>
      <c r="ME42">
        <v>0</v>
      </c>
      <c r="MF42">
        <v>0</v>
      </c>
      <c r="MG42">
        <v>0</v>
      </c>
      <c r="MH42">
        <v>0</v>
      </c>
      <c r="MI42">
        <v>0</v>
      </c>
      <c r="MJ42">
        <v>0</v>
      </c>
      <c r="MK42">
        <v>0</v>
      </c>
      <c r="ML42">
        <v>0</v>
      </c>
      <c r="MM42">
        <v>0</v>
      </c>
      <c r="MN42">
        <v>0</v>
      </c>
      <c r="MO42">
        <v>0</v>
      </c>
      <c r="MP42">
        <v>0</v>
      </c>
      <c r="MQ42">
        <v>0</v>
      </c>
      <c r="MR42">
        <v>0</v>
      </c>
      <c r="MS42">
        <v>0</v>
      </c>
      <c r="MT42">
        <v>0</v>
      </c>
      <c r="MU42">
        <v>0</v>
      </c>
      <c r="MV42">
        <v>0</v>
      </c>
      <c r="MW42">
        <v>0</v>
      </c>
      <c r="MX42">
        <v>0</v>
      </c>
      <c r="MY42">
        <v>0</v>
      </c>
      <c r="MZ42">
        <v>0</v>
      </c>
      <c r="NA42">
        <v>0</v>
      </c>
      <c r="NB42">
        <v>0</v>
      </c>
      <c r="NC42">
        <v>0</v>
      </c>
      <c r="ND42">
        <v>0</v>
      </c>
      <c r="NE42">
        <v>0</v>
      </c>
    </row>
    <row r="43" spans="5:369" x14ac:dyDescent="0.45">
      <c r="E43">
        <v>0</v>
      </c>
      <c r="F43">
        <v>0</v>
      </c>
      <c r="G43">
        <v>0</v>
      </c>
      <c r="H43">
        <v>0</v>
      </c>
      <c r="I43">
        <v>0</v>
      </c>
      <c r="J43">
        <v>0</v>
      </c>
      <c r="K43">
        <v>0</v>
      </c>
      <c r="L43">
        <v>0</v>
      </c>
      <c r="M43">
        <v>0</v>
      </c>
      <c r="N43" t="str">
        <v/>
      </c>
      <c r="O43" t="str">
        <v/>
      </c>
      <c r="P43" t="str">
        <v/>
      </c>
      <c r="Q43" t="str">
        <v/>
      </c>
      <c r="R43" t="str">
        <v/>
      </c>
      <c r="S43" t="str">
        <v/>
      </c>
      <c r="T43" t="str">
        <v/>
      </c>
      <c r="U43">
        <v>0</v>
      </c>
      <c r="V43">
        <v>0</v>
      </c>
      <c r="W43">
        <v>0</v>
      </c>
      <c r="X43">
        <v>0</v>
      </c>
      <c r="Y43">
        <v>0</v>
      </c>
      <c r="Z43">
        <v>0</v>
      </c>
      <c r="AA43">
        <v>0</v>
      </c>
      <c r="AB43">
        <v>0</v>
      </c>
      <c r="AC43">
        <v>0</v>
      </c>
      <c r="AD43">
        <v>0</v>
      </c>
      <c r="AE43">
        <v>0</v>
      </c>
      <c r="AF43">
        <v>0</v>
      </c>
      <c r="AG43">
        <v>0</v>
      </c>
      <c r="AH43">
        <v>0</v>
      </c>
      <c r="AI43">
        <v>0</v>
      </c>
      <c r="AJ43">
        <v>0</v>
      </c>
      <c r="AK43">
        <v>0</v>
      </c>
      <c r="AL43">
        <v>0</v>
      </c>
      <c r="AM43">
        <v>0</v>
      </c>
      <c r="AN43" s="5">
        <v>0</v>
      </c>
      <c r="AO43" t="str">
        <v>A140</v>
      </c>
      <c r="AP43" t="str">
        <v>MUHAMMED AFLAH.MK</v>
      </c>
      <c r="AQ43" t="str">
        <v>FANT</v>
      </c>
      <c r="AR43" t="str">
        <v>SUB JUNIOR</v>
      </c>
      <c r="AS43">
        <v>2</v>
      </c>
      <c r="AT43">
        <v>11</v>
      </c>
      <c r="AU43">
        <v>0</v>
      </c>
      <c r="AV43">
        <v>11</v>
      </c>
      <c r="AW43">
        <v>11</v>
      </c>
      <c r="AX43">
        <v>123</v>
      </c>
      <c r="AY43" s="5">
        <v>123</v>
      </c>
      <c r="AZ43" t="str">
        <v>SJ41</v>
      </c>
      <c r="BA43" t="str">
        <v>CONVERSATION MLM</v>
      </c>
      <c r="BB43" t="str">
        <v>SUB JUNIOR</v>
      </c>
      <c r="BC43" t="str">
        <v>Group</v>
      </c>
      <c r="BD43" t="str">
        <v>Stage</v>
      </c>
      <c r="BE43">
        <v>2</v>
      </c>
      <c r="BF43" t="str">
        <v>GROUP</v>
      </c>
      <c r="BG43" t="str">
        <v>GROUP</v>
      </c>
      <c r="BH43" t="str">
        <v>P</v>
      </c>
      <c r="BI43" t="str">
        <v>PUBLISHED</v>
      </c>
      <c r="BK43">
        <v>37</v>
      </c>
      <c r="BL43" t="str">
        <v>SJ37</v>
      </c>
      <c r="BM43" t="str">
        <v>SPEECH URD</v>
      </c>
      <c r="BN43">
        <v>3</v>
      </c>
      <c r="BO43" t="str">
        <v>Single</v>
      </c>
      <c r="BP43" t="str">
        <v>Stage</v>
      </c>
      <c r="BQ43" t="str">
        <v>SUB JUNIOR</v>
      </c>
      <c r="BR43" t="str">
        <v>A107</v>
      </c>
      <c r="BS43" t="str">
        <v>A139</v>
      </c>
      <c r="BT43" t="str">
        <v>A151</v>
      </c>
      <c r="BU43">
        <v>0</v>
      </c>
      <c r="BV43">
        <v>0</v>
      </c>
      <c r="BW43">
        <v>0</v>
      </c>
      <c r="BX43">
        <v>0</v>
      </c>
      <c r="BY43" t="str">
        <v>A128</v>
      </c>
      <c r="BZ43" t="str">
        <v>A137</v>
      </c>
      <c r="CA43" t="str">
        <v>A147</v>
      </c>
      <c r="CB43">
        <v>0</v>
      </c>
      <c r="CC43">
        <v>0</v>
      </c>
      <c r="CD43">
        <v>0</v>
      </c>
      <c r="CE43">
        <v>0</v>
      </c>
      <c r="CF43" t="str">
        <v>A104</v>
      </c>
      <c r="CG43" t="str">
        <v>A124</v>
      </c>
      <c r="CH43" t="str">
        <v>A148</v>
      </c>
      <c r="CI43">
        <v>0</v>
      </c>
      <c r="CJ43">
        <v>0</v>
      </c>
      <c r="CK43">
        <v>0</v>
      </c>
      <c r="CL43">
        <v>0</v>
      </c>
      <c r="CM43" t="str">
        <v>A121</v>
      </c>
      <c r="CN43" t="str">
        <v>A144</v>
      </c>
      <c r="CO43" t="str">
        <v>A149</v>
      </c>
      <c r="CP43">
        <v>0</v>
      </c>
      <c r="CQ43">
        <v>0</v>
      </c>
      <c r="CR43">
        <v>0</v>
      </c>
      <c r="CS43">
        <v>0</v>
      </c>
      <c r="CT43">
        <v>0</v>
      </c>
      <c r="CU43">
        <v>0</v>
      </c>
      <c r="CV43">
        <v>0</v>
      </c>
      <c r="CW43">
        <v>0</v>
      </c>
      <c r="CX43">
        <v>0</v>
      </c>
      <c r="CY43">
        <v>0</v>
      </c>
      <c r="CZ43">
        <v>0</v>
      </c>
      <c r="DA43">
        <v>0</v>
      </c>
      <c r="DB43">
        <v>0</v>
      </c>
      <c r="DC43">
        <v>0</v>
      </c>
      <c r="DD43">
        <v>0</v>
      </c>
      <c r="DE43">
        <v>0</v>
      </c>
      <c r="DF43">
        <v>0</v>
      </c>
      <c r="DG43">
        <v>0</v>
      </c>
      <c r="DH43">
        <v>0</v>
      </c>
      <c r="DI43">
        <v>0</v>
      </c>
      <c r="DJ43">
        <v>0</v>
      </c>
      <c r="DK43">
        <v>0</v>
      </c>
      <c r="DL43">
        <v>0</v>
      </c>
      <c r="DM43">
        <v>0</v>
      </c>
      <c r="DN43">
        <v>0</v>
      </c>
      <c r="DO43">
        <v>0</v>
      </c>
      <c r="DP43">
        <v>0</v>
      </c>
      <c r="DQ43">
        <v>0</v>
      </c>
      <c r="DR43">
        <v>0</v>
      </c>
      <c r="DS43">
        <v>0</v>
      </c>
      <c r="DT43">
        <v>0</v>
      </c>
      <c r="DU43">
        <v>0</v>
      </c>
      <c r="DV43">
        <v>0</v>
      </c>
      <c r="DW43">
        <v>0</v>
      </c>
      <c r="DX43">
        <v>0</v>
      </c>
      <c r="DY43">
        <v>0</v>
      </c>
      <c r="DZ43">
        <v>0</v>
      </c>
      <c r="EA43">
        <v>0</v>
      </c>
      <c r="EB43">
        <v>0</v>
      </c>
      <c r="EC43">
        <v>0</v>
      </c>
      <c r="ED43">
        <v>0</v>
      </c>
      <c r="EE43">
        <v>0</v>
      </c>
      <c r="EF43">
        <v>0</v>
      </c>
      <c r="EG43">
        <v>0</v>
      </c>
      <c r="EH43">
        <v>0</v>
      </c>
      <c r="EI43">
        <v>0</v>
      </c>
      <c r="EJ43">
        <v>0</v>
      </c>
      <c r="EK43">
        <v>0</v>
      </c>
      <c r="EL43">
        <v>0</v>
      </c>
      <c r="EM43">
        <v>0</v>
      </c>
      <c r="EN43">
        <v>0</v>
      </c>
      <c r="EO43">
        <v>0</v>
      </c>
      <c r="EP43">
        <v>0</v>
      </c>
      <c r="EQ43">
        <v>0</v>
      </c>
      <c r="ER43">
        <v>0</v>
      </c>
      <c r="ES43">
        <v>0</v>
      </c>
      <c r="ET43">
        <v>0</v>
      </c>
      <c r="EU43">
        <v>0</v>
      </c>
      <c r="EV43">
        <v>0</v>
      </c>
      <c r="EW43">
        <v>0</v>
      </c>
      <c r="EX43">
        <v>0</v>
      </c>
      <c r="EY43">
        <v>0</v>
      </c>
      <c r="EZ43">
        <v>0</v>
      </c>
      <c r="FA43">
        <v>0</v>
      </c>
      <c r="FB43">
        <v>0</v>
      </c>
      <c r="FC43">
        <v>0</v>
      </c>
      <c r="FD43">
        <v>0</v>
      </c>
      <c r="FE43">
        <v>0</v>
      </c>
      <c r="FF43">
        <v>0</v>
      </c>
      <c r="FG43">
        <v>0</v>
      </c>
      <c r="FH43">
        <v>0</v>
      </c>
      <c r="FI43">
        <v>0</v>
      </c>
      <c r="FJ43">
        <v>0</v>
      </c>
      <c r="FK43">
        <v>0</v>
      </c>
      <c r="FL43">
        <v>0</v>
      </c>
      <c r="FM43">
        <v>0</v>
      </c>
      <c r="FN43">
        <v>0</v>
      </c>
      <c r="FO43">
        <v>0</v>
      </c>
      <c r="FP43">
        <v>0</v>
      </c>
      <c r="FQ43">
        <v>0</v>
      </c>
      <c r="FR43">
        <v>0</v>
      </c>
      <c r="FS43">
        <v>0</v>
      </c>
      <c r="FT43">
        <v>0</v>
      </c>
      <c r="FU43">
        <v>0</v>
      </c>
      <c r="FV43">
        <v>0</v>
      </c>
      <c r="FW43">
        <v>0</v>
      </c>
      <c r="FX43">
        <v>0</v>
      </c>
      <c r="FY43">
        <v>0</v>
      </c>
      <c r="FZ43">
        <v>0</v>
      </c>
      <c r="GA43">
        <v>0</v>
      </c>
      <c r="GB43">
        <v>0</v>
      </c>
      <c r="GC43">
        <v>0</v>
      </c>
      <c r="GD43">
        <v>0</v>
      </c>
      <c r="GE43">
        <v>0</v>
      </c>
      <c r="GF43">
        <v>0</v>
      </c>
      <c r="GG43">
        <v>0</v>
      </c>
      <c r="GH43">
        <v>0</v>
      </c>
      <c r="GI43">
        <v>0</v>
      </c>
      <c r="GJ43">
        <v>0</v>
      </c>
      <c r="GK43">
        <v>0</v>
      </c>
      <c r="GL43">
        <v>0</v>
      </c>
      <c r="GM43">
        <v>0</v>
      </c>
      <c r="GN43">
        <v>0</v>
      </c>
      <c r="GO43">
        <v>0</v>
      </c>
      <c r="GP43">
        <v>0</v>
      </c>
      <c r="GQ43">
        <v>0</v>
      </c>
      <c r="GR43">
        <v>0</v>
      </c>
      <c r="GS43">
        <v>0</v>
      </c>
      <c r="GT43">
        <v>0</v>
      </c>
      <c r="GU43">
        <v>0</v>
      </c>
      <c r="GV43">
        <v>0</v>
      </c>
      <c r="GW43">
        <v>0</v>
      </c>
      <c r="GX43">
        <v>0</v>
      </c>
      <c r="GY43">
        <v>0</v>
      </c>
      <c r="GZ43">
        <v>0</v>
      </c>
      <c r="HA43">
        <v>0</v>
      </c>
      <c r="HB43">
        <v>0</v>
      </c>
      <c r="HC43">
        <v>0</v>
      </c>
      <c r="HD43">
        <v>0</v>
      </c>
      <c r="HE43">
        <v>0</v>
      </c>
      <c r="HF43">
        <v>0</v>
      </c>
      <c r="HG43">
        <v>0</v>
      </c>
      <c r="HH43">
        <v>0</v>
      </c>
      <c r="HI43">
        <v>0</v>
      </c>
      <c r="HJ43">
        <v>0</v>
      </c>
      <c r="HK43">
        <v>0</v>
      </c>
      <c r="HL43">
        <v>0</v>
      </c>
      <c r="HM43">
        <v>0</v>
      </c>
      <c r="HN43">
        <v>0</v>
      </c>
      <c r="HO43">
        <v>0</v>
      </c>
      <c r="HP43">
        <v>0</v>
      </c>
      <c r="HQ43">
        <v>0</v>
      </c>
      <c r="HR43">
        <v>0</v>
      </c>
      <c r="HS43">
        <v>0</v>
      </c>
      <c r="HT43">
        <v>0</v>
      </c>
      <c r="HU43">
        <v>0</v>
      </c>
      <c r="HV43">
        <v>0</v>
      </c>
      <c r="HW43">
        <v>0</v>
      </c>
      <c r="HX43">
        <v>0</v>
      </c>
      <c r="HY43">
        <v>0</v>
      </c>
      <c r="HZ43">
        <v>0</v>
      </c>
      <c r="IA43">
        <v>0</v>
      </c>
      <c r="IB43">
        <v>0</v>
      </c>
      <c r="IC43">
        <v>0</v>
      </c>
      <c r="ID43">
        <v>0</v>
      </c>
      <c r="IE43">
        <v>0</v>
      </c>
      <c r="IF43">
        <v>0</v>
      </c>
      <c r="IG43">
        <v>0</v>
      </c>
      <c r="IH43">
        <v>0</v>
      </c>
      <c r="II43">
        <v>0</v>
      </c>
      <c r="IJ43">
        <v>0</v>
      </c>
      <c r="IK43">
        <v>0</v>
      </c>
      <c r="IL43">
        <v>0</v>
      </c>
      <c r="IM43">
        <v>0</v>
      </c>
      <c r="IN43">
        <v>0</v>
      </c>
      <c r="IO43">
        <v>0</v>
      </c>
      <c r="IP43">
        <v>0</v>
      </c>
      <c r="IQ43">
        <v>0</v>
      </c>
      <c r="IR43">
        <v>0</v>
      </c>
      <c r="IS43">
        <v>0</v>
      </c>
      <c r="IT43">
        <v>0</v>
      </c>
      <c r="IU43">
        <v>0</v>
      </c>
      <c r="IV43">
        <v>0</v>
      </c>
      <c r="IW43">
        <v>0</v>
      </c>
      <c r="IX43">
        <v>0</v>
      </c>
      <c r="IY43">
        <v>0</v>
      </c>
      <c r="IZ43">
        <v>0</v>
      </c>
      <c r="JA43">
        <v>0</v>
      </c>
      <c r="JB43">
        <v>0</v>
      </c>
      <c r="JC43">
        <v>0</v>
      </c>
      <c r="JD43">
        <v>0</v>
      </c>
      <c r="JE43">
        <v>0</v>
      </c>
      <c r="JF43">
        <v>0</v>
      </c>
      <c r="JG43">
        <v>0</v>
      </c>
      <c r="JH43">
        <v>0</v>
      </c>
      <c r="JI43">
        <v>0</v>
      </c>
      <c r="JJ43">
        <v>0</v>
      </c>
      <c r="JK43">
        <v>0</v>
      </c>
      <c r="JL43">
        <v>0</v>
      </c>
      <c r="JM43">
        <v>0</v>
      </c>
      <c r="JN43">
        <v>0</v>
      </c>
      <c r="JO43">
        <v>0</v>
      </c>
      <c r="JP43">
        <v>0</v>
      </c>
      <c r="JQ43">
        <v>0</v>
      </c>
      <c r="JR43">
        <v>0</v>
      </c>
      <c r="JS43">
        <v>0</v>
      </c>
      <c r="JT43">
        <v>0</v>
      </c>
      <c r="JU43">
        <v>0</v>
      </c>
      <c r="JV43">
        <v>0</v>
      </c>
      <c r="JW43">
        <v>0</v>
      </c>
      <c r="JX43">
        <v>0</v>
      </c>
      <c r="JY43">
        <v>0</v>
      </c>
      <c r="JZ43">
        <v>0</v>
      </c>
      <c r="KA43">
        <v>0</v>
      </c>
      <c r="KB43">
        <v>0</v>
      </c>
      <c r="KC43">
        <v>0</v>
      </c>
      <c r="KD43">
        <v>0</v>
      </c>
      <c r="KE43">
        <v>0</v>
      </c>
      <c r="KF43">
        <v>0</v>
      </c>
      <c r="KG43">
        <v>0</v>
      </c>
      <c r="KH43">
        <v>0</v>
      </c>
      <c r="KI43">
        <v>0</v>
      </c>
      <c r="KJ43">
        <v>0</v>
      </c>
      <c r="KK43">
        <v>0</v>
      </c>
      <c r="KL43">
        <v>0</v>
      </c>
      <c r="KM43">
        <v>0</v>
      </c>
      <c r="KN43">
        <v>0</v>
      </c>
      <c r="KO43">
        <v>0</v>
      </c>
      <c r="KP43">
        <v>0</v>
      </c>
      <c r="KQ43">
        <v>0</v>
      </c>
      <c r="KR43">
        <v>0</v>
      </c>
      <c r="KS43">
        <v>0</v>
      </c>
      <c r="KT43">
        <v>0</v>
      </c>
      <c r="KU43">
        <v>0</v>
      </c>
      <c r="KV43">
        <v>0</v>
      </c>
      <c r="KW43">
        <v>0</v>
      </c>
      <c r="KX43">
        <v>0</v>
      </c>
      <c r="KY43">
        <v>0</v>
      </c>
      <c r="KZ43">
        <v>0</v>
      </c>
      <c r="LA43">
        <v>0</v>
      </c>
      <c r="LB43">
        <v>0</v>
      </c>
      <c r="LC43">
        <v>0</v>
      </c>
      <c r="LD43">
        <v>0</v>
      </c>
      <c r="LE43">
        <v>0</v>
      </c>
      <c r="LF43">
        <v>0</v>
      </c>
      <c r="LG43">
        <v>0</v>
      </c>
      <c r="LH43">
        <v>0</v>
      </c>
      <c r="LI43">
        <v>0</v>
      </c>
      <c r="LJ43">
        <v>0</v>
      </c>
      <c r="LK43">
        <v>0</v>
      </c>
      <c r="LL43">
        <v>0</v>
      </c>
      <c r="LM43">
        <v>0</v>
      </c>
      <c r="LN43">
        <v>0</v>
      </c>
      <c r="LO43">
        <v>0</v>
      </c>
      <c r="LP43">
        <v>0</v>
      </c>
      <c r="LQ43">
        <v>0</v>
      </c>
      <c r="LR43">
        <v>0</v>
      </c>
      <c r="LS43">
        <v>0</v>
      </c>
      <c r="LT43">
        <v>0</v>
      </c>
      <c r="LU43">
        <v>0</v>
      </c>
      <c r="LV43">
        <v>0</v>
      </c>
      <c r="LW43">
        <v>0</v>
      </c>
      <c r="LX43">
        <v>0</v>
      </c>
      <c r="LY43">
        <v>0</v>
      </c>
      <c r="LZ43">
        <v>0</v>
      </c>
      <c r="MA43">
        <v>0</v>
      </c>
      <c r="MB43">
        <v>0</v>
      </c>
      <c r="MC43">
        <v>0</v>
      </c>
      <c r="MD43">
        <v>0</v>
      </c>
      <c r="ME43">
        <v>0</v>
      </c>
      <c r="MF43">
        <v>0</v>
      </c>
      <c r="MG43">
        <v>0</v>
      </c>
      <c r="MH43">
        <v>0</v>
      </c>
      <c r="MI43">
        <v>0</v>
      </c>
      <c r="MJ43">
        <v>0</v>
      </c>
      <c r="MK43">
        <v>0</v>
      </c>
      <c r="ML43">
        <v>0</v>
      </c>
      <c r="MM43">
        <v>0</v>
      </c>
      <c r="MN43">
        <v>0</v>
      </c>
      <c r="MO43">
        <v>0</v>
      </c>
      <c r="MP43">
        <v>0</v>
      </c>
      <c r="MQ43">
        <v>0</v>
      </c>
      <c r="MR43">
        <v>0</v>
      </c>
      <c r="MS43">
        <v>0</v>
      </c>
      <c r="MT43">
        <v>0</v>
      </c>
      <c r="MU43">
        <v>0</v>
      </c>
      <c r="MV43">
        <v>0</v>
      </c>
      <c r="MW43">
        <v>0</v>
      </c>
      <c r="MX43">
        <v>0</v>
      </c>
      <c r="MY43">
        <v>0</v>
      </c>
      <c r="MZ43">
        <v>0</v>
      </c>
      <c r="NA43">
        <v>0</v>
      </c>
      <c r="NB43">
        <v>0</v>
      </c>
      <c r="NC43">
        <v>0</v>
      </c>
      <c r="ND43">
        <v>0</v>
      </c>
      <c r="NE43">
        <v>0</v>
      </c>
    </row>
    <row r="44" spans="5:369" x14ac:dyDescent="0.45">
      <c r="E44">
        <v>0</v>
      </c>
      <c r="F44">
        <v>0</v>
      </c>
      <c r="G44">
        <v>0</v>
      </c>
      <c r="H44">
        <v>0</v>
      </c>
      <c r="I44">
        <v>0</v>
      </c>
      <c r="J44">
        <v>0</v>
      </c>
      <c r="K44">
        <v>0</v>
      </c>
      <c r="L44">
        <v>0</v>
      </c>
      <c r="M44">
        <v>0</v>
      </c>
      <c r="N44" t="str">
        <v/>
      </c>
      <c r="O44" t="str">
        <v/>
      </c>
      <c r="P44" t="str">
        <v/>
      </c>
      <c r="Q44" t="str">
        <v/>
      </c>
      <c r="R44" t="str">
        <v/>
      </c>
      <c r="S44" t="str">
        <v/>
      </c>
      <c r="T44" t="str">
        <v/>
      </c>
      <c r="U44">
        <v>0</v>
      </c>
      <c r="V44">
        <v>0</v>
      </c>
      <c r="W44">
        <v>0</v>
      </c>
      <c r="X44">
        <v>0</v>
      </c>
      <c r="Y44">
        <v>0</v>
      </c>
      <c r="Z44">
        <v>0</v>
      </c>
      <c r="AA44">
        <v>0</v>
      </c>
      <c r="AB44">
        <v>0</v>
      </c>
      <c r="AC44">
        <v>0</v>
      </c>
      <c r="AD44">
        <v>0</v>
      </c>
      <c r="AE44">
        <v>0</v>
      </c>
      <c r="AF44">
        <v>0</v>
      </c>
      <c r="AG44">
        <v>0</v>
      </c>
      <c r="AH44">
        <v>0</v>
      </c>
      <c r="AI44">
        <v>0</v>
      </c>
      <c r="AJ44">
        <v>0</v>
      </c>
      <c r="AK44">
        <v>0</v>
      </c>
      <c r="AL44">
        <v>0</v>
      </c>
      <c r="AM44">
        <v>0</v>
      </c>
      <c r="AN44" s="5">
        <v>0</v>
      </c>
      <c r="AO44" t="str">
        <v>A141</v>
      </c>
      <c r="AP44" t="str">
        <v>MUHAMMED SHUHAIR</v>
      </c>
      <c r="AQ44" t="str">
        <v>JARF</v>
      </c>
      <c r="AR44" t="str">
        <v>SUB JUNIOR</v>
      </c>
      <c r="AS44">
        <v>2</v>
      </c>
      <c r="AT44">
        <v>23</v>
      </c>
      <c r="AU44">
        <v>0</v>
      </c>
      <c r="AV44">
        <v>23</v>
      </c>
      <c r="AW44">
        <v>23</v>
      </c>
      <c r="AX44">
        <v>68</v>
      </c>
      <c r="AY44" s="5">
        <v>68</v>
      </c>
      <c r="AZ44" t="str">
        <v>SJ42</v>
      </c>
      <c r="BA44" t="str">
        <v>MASH UP</v>
      </c>
      <c r="BB44" t="str">
        <v>SUB JUNIOR</v>
      </c>
      <c r="BC44" t="str">
        <v>Group</v>
      </c>
      <c r="BD44" t="str">
        <v>Stage</v>
      </c>
      <c r="BE44">
        <v>6</v>
      </c>
      <c r="BF44" t="str">
        <v>GROUP</v>
      </c>
      <c r="BG44" t="str">
        <v>GROUP</v>
      </c>
      <c r="BH44" t="str">
        <v>P</v>
      </c>
      <c r="BI44" t="str">
        <v>PUBLISHED</v>
      </c>
      <c r="BK44">
        <v>38</v>
      </c>
      <c r="BL44" t="str">
        <v>SJ38</v>
      </c>
      <c r="BM44" t="str">
        <v>STORRY NARRATION ENG</v>
      </c>
      <c r="BN44">
        <v>3</v>
      </c>
      <c r="BO44" t="str">
        <v>Single</v>
      </c>
      <c r="BP44" t="str">
        <v>Stage</v>
      </c>
      <c r="BQ44" t="str">
        <v>SUB JUNIOR</v>
      </c>
      <c r="BR44" t="str">
        <v>A143</v>
      </c>
      <c r="BS44" t="str">
        <v>A150</v>
      </c>
      <c r="BT44" t="str">
        <v>A161</v>
      </c>
      <c r="BU44">
        <v>0</v>
      </c>
      <c r="BV44">
        <v>0</v>
      </c>
      <c r="BW44">
        <v>0</v>
      </c>
      <c r="BX44">
        <v>0</v>
      </c>
      <c r="BY44" t="str">
        <v>A113</v>
      </c>
      <c r="BZ44" t="str">
        <v>A120</v>
      </c>
      <c r="CA44" t="str">
        <v>A131</v>
      </c>
      <c r="CB44">
        <v>0</v>
      </c>
      <c r="CC44">
        <v>0</v>
      </c>
      <c r="CD44">
        <v>0</v>
      </c>
      <c r="CE44">
        <v>0</v>
      </c>
      <c r="CF44" t="str">
        <v>A108</v>
      </c>
      <c r="CG44" t="str">
        <v>A127</v>
      </c>
      <c r="CH44" t="str">
        <v>A166</v>
      </c>
      <c r="CI44">
        <v>0</v>
      </c>
      <c r="CJ44">
        <v>0</v>
      </c>
      <c r="CK44">
        <v>0</v>
      </c>
      <c r="CL44">
        <v>0</v>
      </c>
      <c r="CM44" t="str">
        <v>A119</v>
      </c>
      <c r="CN44" t="str">
        <v>A130</v>
      </c>
      <c r="CO44" t="str">
        <v>A117</v>
      </c>
      <c r="CP44">
        <v>0</v>
      </c>
      <c r="CQ44">
        <v>0</v>
      </c>
      <c r="CR44">
        <v>0</v>
      </c>
      <c r="CS44">
        <v>0</v>
      </c>
      <c r="CT44">
        <v>0</v>
      </c>
      <c r="CU44">
        <v>0</v>
      </c>
      <c r="CV44">
        <v>0</v>
      </c>
      <c r="CW44">
        <v>0</v>
      </c>
      <c r="CX44">
        <v>0</v>
      </c>
      <c r="CY44">
        <v>0</v>
      </c>
      <c r="CZ44">
        <v>0</v>
      </c>
      <c r="DA44">
        <v>0</v>
      </c>
      <c r="DB44">
        <v>0</v>
      </c>
      <c r="DC44">
        <v>0</v>
      </c>
      <c r="DD44">
        <v>0</v>
      </c>
      <c r="DE44">
        <v>0</v>
      </c>
      <c r="DF44">
        <v>0</v>
      </c>
      <c r="DG44">
        <v>0</v>
      </c>
      <c r="DH44">
        <v>0</v>
      </c>
      <c r="DI44">
        <v>0</v>
      </c>
      <c r="DJ44">
        <v>0</v>
      </c>
      <c r="DK44">
        <v>0</v>
      </c>
      <c r="DL44">
        <v>0</v>
      </c>
      <c r="DM44">
        <v>0</v>
      </c>
      <c r="DN44">
        <v>0</v>
      </c>
      <c r="DO44">
        <v>0</v>
      </c>
      <c r="DP44">
        <v>0</v>
      </c>
      <c r="DQ44">
        <v>0</v>
      </c>
      <c r="DR44">
        <v>0</v>
      </c>
      <c r="DS44">
        <v>0</v>
      </c>
      <c r="DT44">
        <v>0</v>
      </c>
      <c r="DU44">
        <v>0</v>
      </c>
      <c r="DV44">
        <v>0</v>
      </c>
      <c r="DW44">
        <v>0</v>
      </c>
      <c r="DX44">
        <v>0</v>
      </c>
      <c r="DY44">
        <v>0</v>
      </c>
      <c r="DZ44">
        <v>0</v>
      </c>
      <c r="EA44">
        <v>0</v>
      </c>
      <c r="EB44">
        <v>0</v>
      </c>
      <c r="EC44">
        <v>0</v>
      </c>
      <c r="ED44">
        <v>0</v>
      </c>
      <c r="EE44">
        <v>0</v>
      </c>
      <c r="EF44">
        <v>0</v>
      </c>
      <c r="EG44">
        <v>0</v>
      </c>
      <c r="EH44">
        <v>0</v>
      </c>
      <c r="EI44">
        <v>0</v>
      </c>
      <c r="EJ44">
        <v>0</v>
      </c>
      <c r="EK44">
        <v>0</v>
      </c>
      <c r="EL44">
        <v>0</v>
      </c>
      <c r="EM44">
        <v>0</v>
      </c>
      <c r="EN44">
        <v>0</v>
      </c>
      <c r="EO44">
        <v>0</v>
      </c>
      <c r="EP44">
        <v>0</v>
      </c>
      <c r="EQ44">
        <v>0</v>
      </c>
      <c r="ER44">
        <v>0</v>
      </c>
      <c r="ES44">
        <v>0</v>
      </c>
      <c r="ET44">
        <v>0</v>
      </c>
      <c r="EU44">
        <v>0</v>
      </c>
      <c r="EV44">
        <v>0</v>
      </c>
      <c r="EW44">
        <v>0</v>
      </c>
      <c r="EX44">
        <v>0</v>
      </c>
      <c r="EY44">
        <v>0</v>
      </c>
      <c r="EZ44">
        <v>0</v>
      </c>
      <c r="FA44">
        <v>0</v>
      </c>
      <c r="FB44">
        <v>0</v>
      </c>
      <c r="FC44">
        <v>0</v>
      </c>
      <c r="FD44">
        <v>0</v>
      </c>
      <c r="FE44">
        <v>0</v>
      </c>
      <c r="FF44">
        <v>0</v>
      </c>
      <c r="FG44">
        <v>0</v>
      </c>
      <c r="FH44">
        <v>0</v>
      </c>
      <c r="FI44">
        <v>0</v>
      </c>
      <c r="FJ44">
        <v>0</v>
      </c>
      <c r="FK44">
        <v>0</v>
      </c>
      <c r="FL44">
        <v>0</v>
      </c>
      <c r="FM44">
        <v>0</v>
      </c>
      <c r="FN44">
        <v>0</v>
      </c>
      <c r="FO44">
        <v>0</v>
      </c>
      <c r="FP44">
        <v>0</v>
      </c>
      <c r="FQ44">
        <v>0</v>
      </c>
      <c r="FR44">
        <v>0</v>
      </c>
      <c r="FS44">
        <v>0</v>
      </c>
      <c r="FT44">
        <v>0</v>
      </c>
      <c r="FU44">
        <v>0</v>
      </c>
      <c r="FV44">
        <v>0</v>
      </c>
      <c r="FW44">
        <v>0</v>
      </c>
      <c r="FX44">
        <v>0</v>
      </c>
      <c r="FY44">
        <v>0</v>
      </c>
      <c r="FZ44">
        <v>0</v>
      </c>
      <c r="GA44">
        <v>0</v>
      </c>
      <c r="GB44">
        <v>0</v>
      </c>
      <c r="GC44">
        <v>0</v>
      </c>
      <c r="GD44">
        <v>0</v>
      </c>
      <c r="GE44">
        <v>0</v>
      </c>
      <c r="GF44">
        <v>0</v>
      </c>
      <c r="GG44">
        <v>0</v>
      </c>
      <c r="GH44">
        <v>0</v>
      </c>
      <c r="GI44">
        <v>0</v>
      </c>
      <c r="GJ44">
        <v>0</v>
      </c>
      <c r="GK44">
        <v>0</v>
      </c>
      <c r="GL44">
        <v>0</v>
      </c>
      <c r="GM44">
        <v>0</v>
      </c>
      <c r="GN44">
        <v>0</v>
      </c>
      <c r="GO44">
        <v>0</v>
      </c>
      <c r="GP44">
        <v>0</v>
      </c>
      <c r="GQ44">
        <v>0</v>
      </c>
      <c r="GR44">
        <v>0</v>
      </c>
      <c r="GS44">
        <v>0</v>
      </c>
      <c r="GT44">
        <v>0</v>
      </c>
      <c r="GU44">
        <v>0</v>
      </c>
      <c r="GV44">
        <v>0</v>
      </c>
      <c r="GW44">
        <v>0</v>
      </c>
      <c r="GX44">
        <v>0</v>
      </c>
      <c r="GY44">
        <v>0</v>
      </c>
      <c r="GZ44">
        <v>0</v>
      </c>
      <c r="HA44">
        <v>0</v>
      </c>
      <c r="HB44">
        <v>0</v>
      </c>
      <c r="HC44">
        <v>0</v>
      </c>
      <c r="HD44">
        <v>0</v>
      </c>
      <c r="HE44">
        <v>0</v>
      </c>
      <c r="HF44">
        <v>0</v>
      </c>
      <c r="HG44">
        <v>0</v>
      </c>
      <c r="HH44">
        <v>0</v>
      </c>
      <c r="HI44">
        <v>0</v>
      </c>
      <c r="HJ44">
        <v>0</v>
      </c>
      <c r="HK44">
        <v>0</v>
      </c>
      <c r="HL44">
        <v>0</v>
      </c>
      <c r="HM44">
        <v>0</v>
      </c>
      <c r="HN44">
        <v>0</v>
      </c>
      <c r="HO44">
        <v>0</v>
      </c>
      <c r="HP44">
        <v>0</v>
      </c>
      <c r="HQ44">
        <v>0</v>
      </c>
      <c r="HR44">
        <v>0</v>
      </c>
      <c r="HS44">
        <v>0</v>
      </c>
      <c r="HT44">
        <v>0</v>
      </c>
      <c r="HU44">
        <v>0</v>
      </c>
      <c r="HV44">
        <v>0</v>
      </c>
      <c r="HW44">
        <v>0</v>
      </c>
      <c r="HX44">
        <v>0</v>
      </c>
      <c r="HY44">
        <v>0</v>
      </c>
      <c r="HZ44">
        <v>0</v>
      </c>
      <c r="IA44">
        <v>0</v>
      </c>
      <c r="IB44">
        <v>0</v>
      </c>
      <c r="IC44">
        <v>0</v>
      </c>
      <c r="ID44">
        <v>0</v>
      </c>
      <c r="IE44">
        <v>0</v>
      </c>
      <c r="IF44">
        <v>0</v>
      </c>
      <c r="IG44">
        <v>0</v>
      </c>
      <c r="IH44">
        <v>0</v>
      </c>
      <c r="II44">
        <v>0</v>
      </c>
      <c r="IJ44">
        <v>0</v>
      </c>
      <c r="IK44">
        <v>0</v>
      </c>
      <c r="IL44">
        <v>0</v>
      </c>
      <c r="IM44">
        <v>0</v>
      </c>
      <c r="IN44">
        <v>0</v>
      </c>
      <c r="IO44">
        <v>0</v>
      </c>
      <c r="IP44">
        <v>0</v>
      </c>
      <c r="IQ44">
        <v>0</v>
      </c>
      <c r="IR44">
        <v>0</v>
      </c>
      <c r="IS44">
        <v>0</v>
      </c>
      <c r="IT44">
        <v>0</v>
      </c>
      <c r="IU44">
        <v>0</v>
      </c>
      <c r="IV44">
        <v>0</v>
      </c>
      <c r="IW44">
        <v>0</v>
      </c>
      <c r="IX44">
        <v>0</v>
      </c>
      <c r="IY44">
        <v>0</v>
      </c>
      <c r="IZ44">
        <v>0</v>
      </c>
      <c r="JA44">
        <v>0</v>
      </c>
      <c r="JB44">
        <v>0</v>
      </c>
      <c r="JC44">
        <v>0</v>
      </c>
      <c r="JD44">
        <v>0</v>
      </c>
      <c r="JE44">
        <v>0</v>
      </c>
      <c r="JF44">
        <v>0</v>
      </c>
      <c r="JG44">
        <v>0</v>
      </c>
      <c r="JH44">
        <v>0</v>
      </c>
      <c r="JI44">
        <v>0</v>
      </c>
      <c r="JJ44">
        <v>0</v>
      </c>
      <c r="JK44">
        <v>0</v>
      </c>
      <c r="JL44">
        <v>0</v>
      </c>
      <c r="JM44">
        <v>0</v>
      </c>
      <c r="JN44">
        <v>0</v>
      </c>
      <c r="JO44">
        <v>0</v>
      </c>
      <c r="JP44">
        <v>0</v>
      </c>
      <c r="JQ44">
        <v>0</v>
      </c>
      <c r="JR44">
        <v>0</v>
      </c>
      <c r="JS44">
        <v>0</v>
      </c>
      <c r="JT44">
        <v>0</v>
      </c>
      <c r="JU44">
        <v>0</v>
      </c>
      <c r="JV44">
        <v>0</v>
      </c>
      <c r="JW44">
        <v>0</v>
      </c>
      <c r="JX44">
        <v>0</v>
      </c>
      <c r="JY44">
        <v>0</v>
      </c>
      <c r="JZ44">
        <v>0</v>
      </c>
      <c r="KA44">
        <v>0</v>
      </c>
      <c r="KB44">
        <v>0</v>
      </c>
      <c r="KC44">
        <v>0</v>
      </c>
      <c r="KD44">
        <v>0</v>
      </c>
      <c r="KE44">
        <v>0</v>
      </c>
      <c r="KF44">
        <v>0</v>
      </c>
      <c r="KG44">
        <v>0</v>
      </c>
      <c r="KH44">
        <v>0</v>
      </c>
      <c r="KI44">
        <v>0</v>
      </c>
      <c r="KJ44">
        <v>0</v>
      </c>
      <c r="KK44">
        <v>0</v>
      </c>
      <c r="KL44">
        <v>0</v>
      </c>
      <c r="KM44">
        <v>0</v>
      </c>
      <c r="KN44">
        <v>0</v>
      </c>
      <c r="KO44">
        <v>0</v>
      </c>
      <c r="KP44">
        <v>0</v>
      </c>
      <c r="KQ44">
        <v>0</v>
      </c>
      <c r="KR44">
        <v>0</v>
      </c>
      <c r="KS44">
        <v>0</v>
      </c>
      <c r="KT44">
        <v>0</v>
      </c>
      <c r="KU44">
        <v>0</v>
      </c>
      <c r="KV44">
        <v>0</v>
      </c>
      <c r="KW44">
        <v>0</v>
      </c>
      <c r="KX44">
        <v>0</v>
      </c>
      <c r="KY44">
        <v>0</v>
      </c>
      <c r="KZ44">
        <v>0</v>
      </c>
      <c r="LA44">
        <v>0</v>
      </c>
      <c r="LB44">
        <v>0</v>
      </c>
      <c r="LC44">
        <v>0</v>
      </c>
      <c r="LD44">
        <v>0</v>
      </c>
      <c r="LE44">
        <v>0</v>
      </c>
      <c r="LF44">
        <v>0</v>
      </c>
      <c r="LG44">
        <v>0</v>
      </c>
      <c r="LH44">
        <v>0</v>
      </c>
      <c r="LI44">
        <v>0</v>
      </c>
      <c r="LJ44">
        <v>0</v>
      </c>
      <c r="LK44">
        <v>0</v>
      </c>
      <c r="LL44">
        <v>0</v>
      </c>
      <c r="LM44">
        <v>0</v>
      </c>
      <c r="LN44">
        <v>0</v>
      </c>
      <c r="LO44">
        <v>0</v>
      </c>
      <c r="LP44">
        <v>0</v>
      </c>
      <c r="LQ44">
        <v>0</v>
      </c>
      <c r="LR44">
        <v>0</v>
      </c>
      <c r="LS44">
        <v>0</v>
      </c>
      <c r="LT44">
        <v>0</v>
      </c>
      <c r="LU44">
        <v>0</v>
      </c>
      <c r="LV44">
        <v>0</v>
      </c>
      <c r="LW44">
        <v>0</v>
      </c>
      <c r="LX44">
        <v>0</v>
      </c>
      <c r="LY44">
        <v>0</v>
      </c>
      <c r="LZ44">
        <v>0</v>
      </c>
      <c r="MA44">
        <v>0</v>
      </c>
      <c r="MB44">
        <v>0</v>
      </c>
      <c r="MC44">
        <v>0</v>
      </c>
      <c r="MD44">
        <v>0</v>
      </c>
      <c r="ME44">
        <v>0</v>
      </c>
      <c r="MF44">
        <v>0</v>
      </c>
      <c r="MG44">
        <v>0</v>
      </c>
      <c r="MH44">
        <v>0</v>
      </c>
      <c r="MI44">
        <v>0</v>
      </c>
      <c r="MJ44">
        <v>0</v>
      </c>
      <c r="MK44">
        <v>0</v>
      </c>
      <c r="ML44">
        <v>0</v>
      </c>
      <c r="MM44">
        <v>0</v>
      </c>
      <c r="MN44">
        <v>0</v>
      </c>
      <c r="MO44">
        <v>0</v>
      </c>
      <c r="MP44">
        <v>0</v>
      </c>
      <c r="MQ44">
        <v>0</v>
      </c>
      <c r="MR44">
        <v>0</v>
      </c>
      <c r="MS44">
        <v>0</v>
      </c>
      <c r="MT44">
        <v>0</v>
      </c>
      <c r="MU44">
        <v>0</v>
      </c>
      <c r="MV44">
        <v>0</v>
      </c>
      <c r="MW44">
        <v>0</v>
      </c>
      <c r="MX44">
        <v>0</v>
      </c>
      <c r="MY44">
        <v>0</v>
      </c>
      <c r="MZ44">
        <v>0</v>
      </c>
      <c r="NA44">
        <v>0</v>
      </c>
      <c r="NB44">
        <v>0</v>
      </c>
      <c r="NC44">
        <v>0</v>
      </c>
      <c r="ND44">
        <v>0</v>
      </c>
      <c r="NE44">
        <v>0</v>
      </c>
    </row>
    <row r="45" spans="5:369" x14ac:dyDescent="0.45">
      <c r="E45">
        <v>0</v>
      </c>
      <c r="F45">
        <v>0</v>
      </c>
      <c r="G45">
        <v>0</v>
      </c>
      <c r="H45">
        <v>0</v>
      </c>
      <c r="I45">
        <v>0</v>
      </c>
      <c r="J45">
        <v>0</v>
      </c>
      <c r="K45">
        <v>0</v>
      </c>
      <c r="L45">
        <v>0</v>
      </c>
      <c r="M45">
        <v>0</v>
      </c>
      <c r="N45" t="str">
        <v/>
      </c>
      <c r="O45" t="str">
        <v/>
      </c>
      <c r="P45" t="str">
        <v/>
      </c>
      <c r="Q45" t="str">
        <v/>
      </c>
      <c r="R45" t="str">
        <v/>
      </c>
      <c r="S45" t="str">
        <v/>
      </c>
      <c r="T45" t="str">
        <v/>
      </c>
      <c r="U45">
        <v>0</v>
      </c>
      <c r="V45">
        <v>0</v>
      </c>
      <c r="W45">
        <v>0</v>
      </c>
      <c r="X45">
        <v>0</v>
      </c>
      <c r="Y45">
        <v>0</v>
      </c>
      <c r="Z45">
        <v>0</v>
      </c>
      <c r="AA45">
        <v>0</v>
      </c>
      <c r="AB45">
        <v>0</v>
      </c>
      <c r="AC45">
        <v>0</v>
      </c>
      <c r="AD45">
        <v>0</v>
      </c>
      <c r="AE45">
        <v>0</v>
      </c>
      <c r="AF45">
        <v>0</v>
      </c>
      <c r="AG45">
        <v>0</v>
      </c>
      <c r="AH45">
        <v>0</v>
      </c>
      <c r="AI45">
        <v>0</v>
      </c>
      <c r="AJ45">
        <v>0</v>
      </c>
      <c r="AK45">
        <v>0</v>
      </c>
      <c r="AL45">
        <v>0</v>
      </c>
      <c r="AM45">
        <v>0</v>
      </c>
      <c r="AN45" s="5">
        <v>0</v>
      </c>
      <c r="AO45" t="str">
        <v>A142</v>
      </c>
      <c r="AP45" t="str">
        <v>Muhammed Anshad A</v>
      </c>
      <c r="AQ45" t="str">
        <v>BADF</v>
      </c>
      <c r="AR45" t="str">
        <v>SUB JUNIOR</v>
      </c>
      <c r="AS45">
        <v>2</v>
      </c>
      <c r="AT45">
        <v>24</v>
      </c>
      <c r="AU45">
        <v>0</v>
      </c>
      <c r="AV45">
        <v>24</v>
      </c>
      <c r="AW45">
        <v>24</v>
      </c>
      <c r="AX45">
        <v>64</v>
      </c>
      <c r="AY45" s="5">
        <v>64</v>
      </c>
      <c r="AZ45" t="str">
        <v>SJ43</v>
      </c>
      <c r="BA45" t="str">
        <v>SPEECH &amp; SONG MLM</v>
      </c>
      <c r="BB45" t="str">
        <v>SUB JUNIOR</v>
      </c>
      <c r="BC45" t="str">
        <v>Group</v>
      </c>
      <c r="BD45" t="str">
        <v>Stage</v>
      </c>
      <c r="BE45">
        <v>3</v>
      </c>
      <c r="BF45" t="str">
        <v>GROUP</v>
      </c>
      <c r="BG45" t="str">
        <v>GROUP</v>
      </c>
      <c r="BH45" t="str">
        <v>P</v>
      </c>
      <c r="BI45" t="str">
        <v>PUBLISHED</v>
      </c>
      <c r="BK45">
        <v>39</v>
      </c>
      <c r="BL45" t="str">
        <v>SJ39</v>
      </c>
      <c r="BM45" t="str">
        <v>WAʿẒ</v>
      </c>
      <c r="BN45">
        <v>3</v>
      </c>
      <c r="BO45" t="str">
        <v>Single</v>
      </c>
      <c r="BP45" t="str">
        <v>Stage</v>
      </c>
      <c r="BQ45" t="str">
        <v>SUB JUNIOR</v>
      </c>
      <c r="BR45" t="str">
        <v>A140</v>
      </c>
      <c r="BS45" t="str">
        <v>A157</v>
      </c>
      <c r="BT45" t="str">
        <v>A162</v>
      </c>
      <c r="BU45">
        <v>0</v>
      </c>
      <c r="BV45">
        <v>0</v>
      </c>
      <c r="BW45">
        <v>0</v>
      </c>
      <c r="BX45">
        <v>0</v>
      </c>
      <c r="BY45" t="str">
        <v>A113</v>
      </c>
      <c r="BZ45" t="str">
        <v>A170</v>
      </c>
      <c r="CA45" t="str">
        <v>A174</v>
      </c>
      <c r="CB45">
        <v>0</v>
      </c>
      <c r="CC45">
        <v>0</v>
      </c>
      <c r="CD45">
        <v>0</v>
      </c>
      <c r="CE45">
        <v>0</v>
      </c>
      <c r="CF45" t="str">
        <v>A146</v>
      </c>
      <c r="CG45" t="str">
        <v>A163</v>
      </c>
      <c r="CH45" t="str">
        <v>A166</v>
      </c>
      <c r="CI45">
        <v>0</v>
      </c>
      <c r="CJ45">
        <v>0</v>
      </c>
      <c r="CK45">
        <v>0</v>
      </c>
      <c r="CL45">
        <v>0</v>
      </c>
      <c r="CM45" t="str">
        <v>A130</v>
      </c>
      <c r="CN45" t="str">
        <v>A156</v>
      </c>
      <c r="CO45" t="str">
        <v>A168</v>
      </c>
      <c r="CP45">
        <v>0</v>
      </c>
      <c r="CQ45">
        <v>0</v>
      </c>
      <c r="CR45">
        <v>0</v>
      </c>
      <c r="CS45">
        <v>0</v>
      </c>
      <c r="CT45">
        <v>0</v>
      </c>
      <c r="CU45">
        <v>0</v>
      </c>
      <c r="CV45">
        <v>0</v>
      </c>
      <c r="CW45">
        <v>0</v>
      </c>
      <c r="CX45">
        <v>0</v>
      </c>
      <c r="CY45">
        <v>0</v>
      </c>
      <c r="CZ45">
        <v>0</v>
      </c>
      <c r="DA45">
        <v>0</v>
      </c>
      <c r="DB45">
        <v>0</v>
      </c>
      <c r="DC45">
        <v>0</v>
      </c>
      <c r="DD45">
        <v>0</v>
      </c>
      <c r="DE45">
        <v>0</v>
      </c>
      <c r="DF45">
        <v>0</v>
      </c>
      <c r="DG45">
        <v>0</v>
      </c>
      <c r="DH45">
        <v>0</v>
      </c>
      <c r="DI45">
        <v>0</v>
      </c>
      <c r="DJ45">
        <v>0</v>
      </c>
      <c r="DK45">
        <v>0</v>
      </c>
      <c r="DL45">
        <v>0</v>
      </c>
      <c r="DM45">
        <v>0</v>
      </c>
      <c r="DN45">
        <v>0</v>
      </c>
      <c r="DO45">
        <v>0</v>
      </c>
      <c r="DP45">
        <v>0</v>
      </c>
      <c r="DQ45">
        <v>0</v>
      </c>
      <c r="DR45">
        <v>0</v>
      </c>
      <c r="DS45">
        <v>0</v>
      </c>
      <c r="DT45">
        <v>0</v>
      </c>
      <c r="DU45">
        <v>0</v>
      </c>
      <c r="DV45">
        <v>0</v>
      </c>
      <c r="DW45">
        <v>0</v>
      </c>
      <c r="DX45">
        <v>0</v>
      </c>
      <c r="DY45">
        <v>0</v>
      </c>
      <c r="DZ45">
        <v>0</v>
      </c>
      <c r="EA45">
        <v>0</v>
      </c>
      <c r="EB45">
        <v>0</v>
      </c>
      <c r="EC45">
        <v>0</v>
      </c>
      <c r="ED45">
        <v>0</v>
      </c>
      <c r="EE45">
        <v>0</v>
      </c>
      <c r="EF45">
        <v>0</v>
      </c>
      <c r="EG45">
        <v>0</v>
      </c>
      <c r="EH45">
        <v>0</v>
      </c>
      <c r="EI45">
        <v>0</v>
      </c>
      <c r="EJ45">
        <v>0</v>
      </c>
      <c r="EK45">
        <v>0</v>
      </c>
      <c r="EL45">
        <v>0</v>
      </c>
      <c r="EM45">
        <v>0</v>
      </c>
      <c r="EN45">
        <v>0</v>
      </c>
      <c r="EO45">
        <v>0</v>
      </c>
      <c r="EP45">
        <v>0</v>
      </c>
      <c r="EQ45">
        <v>0</v>
      </c>
      <c r="ER45">
        <v>0</v>
      </c>
      <c r="ES45">
        <v>0</v>
      </c>
      <c r="ET45">
        <v>0</v>
      </c>
      <c r="EU45">
        <v>0</v>
      </c>
      <c r="EV45">
        <v>0</v>
      </c>
      <c r="EW45">
        <v>0</v>
      </c>
      <c r="EX45">
        <v>0</v>
      </c>
      <c r="EY45">
        <v>0</v>
      </c>
      <c r="EZ45">
        <v>0</v>
      </c>
      <c r="FA45">
        <v>0</v>
      </c>
      <c r="FB45">
        <v>0</v>
      </c>
      <c r="FC45">
        <v>0</v>
      </c>
      <c r="FD45">
        <v>0</v>
      </c>
      <c r="FE45">
        <v>0</v>
      </c>
      <c r="FF45">
        <v>0</v>
      </c>
      <c r="FG45">
        <v>0</v>
      </c>
      <c r="FH45">
        <v>0</v>
      </c>
      <c r="FI45">
        <v>0</v>
      </c>
      <c r="FJ45">
        <v>0</v>
      </c>
      <c r="FK45">
        <v>0</v>
      </c>
      <c r="FL45">
        <v>0</v>
      </c>
      <c r="FM45">
        <v>0</v>
      </c>
      <c r="FN45">
        <v>0</v>
      </c>
      <c r="FO45">
        <v>0</v>
      </c>
      <c r="FP45">
        <v>0</v>
      </c>
      <c r="FQ45">
        <v>0</v>
      </c>
      <c r="FR45">
        <v>0</v>
      </c>
      <c r="FS45">
        <v>0</v>
      </c>
      <c r="FT45">
        <v>0</v>
      </c>
      <c r="FU45">
        <v>0</v>
      </c>
      <c r="FV45">
        <v>0</v>
      </c>
      <c r="FW45">
        <v>0</v>
      </c>
      <c r="FX45">
        <v>0</v>
      </c>
      <c r="FY45">
        <v>0</v>
      </c>
      <c r="FZ45">
        <v>0</v>
      </c>
      <c r="GA45">
        <v>0</v>
      </c>
      <c r="GB45">
        <v>0</v>
      </c>
      <c r="GC45">
        <v>0</v>
      </c>
      <c r="GD45">
        <v>0</v>
      </c>
      <c r="GE45">
        <v>0</v>
      </c>
      <c r="GF45">
        <v>0</v>
      </c>
      <c r="GG45">
        <v>0</v>
      </c>
      <c r="GH45">
        <v>0</v>
      </c>
      <c r="GI45">
        <v>0</v>
      </c>
      <c r="GJ45">
        <v>0</v>
      </c>
      <c r="GK45">
        <v>0</v>
      </c>
      <c r="GL45">
        <v>0</v>
      </c>
      <c r="GM45">
        <v>0</v>
      </c>
      <c r="GN45">
        <v>0</v>
      </c>
      <c r="GO45">
        <v>0</v>
      </c>
      <c r="GP45">
        <v>0</v>
      </c>
      <c r="GQ45">
        <v>0</v>
      </c>
      <c r="GR45">
        <v>0</v>
      </c>
      <c r="GS45">
        <v>0</v>
      </c>
      <c r="GT45">
        <v>0</v>
      </c>
      <c r="GU45">
        <v>0</v>
      </c>
      <c r="GV45">
        <v>0</v>
      </c>
      <c r="GW45">
        <v>0</v>
      </c>
      <c r="GX45">
        <v>0</v>
      </c>
      <c r="GY45">
        <v>0</v>
      </c>
      <c r="GZ45">
        <v>0</v>
      </c>
      <c r="HA45">
        <v>0</v>
      </c>
      <c r="HB45">
        <v>0</v>
      </c>
      <c r="HC45">
        <v>0</v>
      </c>
      <c r="HD45">
        <v>0</v>
      </c>
      <c r="HE45">
        <v>0</v>
      </c>
      <c r="HF45">
        <v>0</v>
      </c>
      <c r="HG45">
        <v>0</v>
      </c>
      <c r="HH45">
        <v>0</v>
      </c>
      <c r="HI45">
        <v>0</v>
      </c>
      <c r="HJ45">
        <v>0</v>
      </c>
      <c r="HK45">
        <v>0</v>
      </c>
      <c r="HL45">
        <v>0</v>
      </c>
      <c r="HM45">
        <v>0</v>
      </c>
      <c r="HN45">
        <v>0</v>
      </c>
      <c r="HO45">
        <v>0</v>
      </c>
      <c r="HP45">
        <v>0</v>
      </c>
      <c r="HQ45">
        <v>0</v>
      </c>
      <c r="HR45">
        <v>0</v>
      </c>
      <c r="HS45">
        <v>0</v>
      </c>
      <c r="HT45">
        <v>0</v>
      </c>
      <c r="HU45">
        <v>0</v>
      </c>
      <c r="HV45">
        <v>0</v>
      </c>
      <c r="HW45">
        <v>0</v>
      </c>
      <c r="HX45">
        <v>0</v>
      </c>
      <c r="HY45">
        <v>0</v>
      </c>
      <c r="HZ45">
        <v>0</v>
      </c>
      <c r="IA45">
        <v>0</v>
      </c>
      <c r="IB45">
        <v>0</v>
      </c>
      <c r="IC45">
        <v>0</v>
      </c>
      <c r="ID45">
        <v>0</v>
      </c>
      <c r="IE45">
        <v>0</v>
      </c>
      <c r="IF45">
        <v>0</v>
      </c>
      <c r="IG45">
        <v>0</v>
      </c>
      <c r="IH45">
        <v>0</v>
      </c>
      <c r="II45">
        <v>0</v>
      </c>
      <c r="IJ45">
        <v>0</v>
      </c>
      <c r="IK45">
        <v>0</v>
      </c>
      <c r="IL45">
        <v>0</v>
      </c>
      <c r="IM45">
        <v>0</v>
      </c>
      <c r="IN45">
        <v>0</v>
      </c>
      <c r="IO45">
        <v>0</v>
      </c>
      <c r="IP45">
        <v>0</v>
      </c>
      <c r="IQ45">
        <v>0</v>
      </c>
      <c r="IR45">
        <v>0</v>
      </c>
      <c r="IS45">
        <v>0</v>
      </c>
      <c r="IT45">
        <v>0</v>
      </c>
      <c r="IU45">
        <v>0</v>
      </c>
      <c r="IV45">
        <v>0</v>
      </c>
      <c r="IW45">
        <v>0</v>
      </c>
      <c r="IX45">
        <v>0</v>
      </c>
      <c r="IY45">
        <v>0</v>
      </c>
      <c r="IZ45">
        <v>0</v>
      </c>
      <c r="JA45">
        <v>0</v>
      </c>
      <c r="JB45">
        <v>0</v>
      </c>
      <c r="JC45">
        <v>0</v>
      </c>
      <c r="JD45">
        <v>0</v>
      </c>
      <c r="JE45">
        <v>0</v>
      </c>
      <c r="JF45">
        <v>0</v>
      </c>
      <c r="JG45">
        <v>0</v>
      </c>
      <c r="JH45">
        <v>0</v>
      </c>
      <c r="JI45">
        <v>0</v>
      </c>
      <c r="JJ45">
        <v>0</v>
      </c>
      <c r="JK45">
        <v>0</v>
      </c>
      <c r="JL45">
        <v>0</v>
      </c>
      <c r="JM45">
        <v>0</v>
      </c>
      <c r="JN45">
        <v>0</v>
      </c>
      <c r="JO45">
        <v>0</v>
      </c>
      <c r="JP45">
        <v>0</v>
      </c>
      <c r="JQ45">
        <v>0</v>
      </c>
      <c r="JR45">
        <v>0</v>
      </c>
      <c r="JS45">
        <v>0</v>
      </c>
      <c r="JT45">
        <v>0</v>
      </c>
      <c r="JU45">
        <v>0</v>
      </c>
      <c r="JV45">
        <v>0</v>
      </c>
      <c r="JW45">
        <v>0</v>
      </c>
      <c r="JX45">
        <v>0</v>
      </c>
      <c r="JY45">
        <v>0</v>
      </c>
      <c r="JZ45">
        <v>0</v>
      </c>
      <c r="KA45">
        <v>0</v>
      </c>
      <c r="KB45">
        <v>0</v>
      </c>
      <c r="KC45">
        <v>0</v>
      </c>
      <c r="KD45">
        <v>0</v>
      </c>
      <c r="KE45">
        <v>0</v>
      </c>
      <c r="KF45">
        <v>0</v>
      </c>
      <c r="KG45">
        <v>0</v>
      </c>
      <c r="KH45">
        <v>0</v>
      </c>
      <c r="KI45">
        <v>0</v>
      </c>
      <c r="KJ45">
        <v>0</v>
      </c>
      <c r="KK45">
        <v>0</v>
      </c>
      <c r="KL45">
        <v>0</v>
      </c>
      <c r="KM45">
        <v>0</v>
      </c>
      <c r="KN45">
        <v>0</v>
      </c>
      <c r="KO45">
        <v>0</v>
      </c>
      <c r="KP45">
        <v>0</v>
      </c>
      <c r="KQ45">
        <v>0</v>
      </c>
      <c r="KR45">
        <v>0</v>
      </c>
      <c r="KS45">
        <v>0</v>
      </c>
      <c r="KT45">
        <v>0</v>
      </c>
      <c r="KU45">
        <v>0</v>
      </c>
      <c r="KV45">
        <v>0</v>
      </c>
      <c r="KW45">
        <v>0</v>
      </c>
      <c r="KX45">
        <v>0</v>
      </c>
      <c r="KY45">
        <v>0</v>
      </c>
      <c r="KZ45">
        <v>0</v>
      </c>
      <c r="LA45">
        <v>0</v>
      </c>
      <c r="LB45">
        <v>0</v>
      </c>
      <c r="LC45">
        <v>0</v>
      </c>
      <c r="LD45">
        <v>0</v>
      </c>
      <c r="LE45">
        <v>0</v>
      </c>
      <c r="LF45">
        <v>0</v>
      </c>
      <c r="LG45">
        <v>0</v>
      </c>
      <c r="LH45">
        <v>0</v>
      </c>
      <c r="LI45">
        <v>0</v>
      </c>
      <c r="LJ45">
        <v>0</v>
      </c>
      <c r="LK45">
        <v>0</v>
      </c>
      <c r="LL45">
        <v>0</v>
      </c>
      <c r="LM45">
        <v>0</v>
      </c>
      <c r="LN45">
        <v>0</v>
      </c>
      <c r="LO45">
        <v>0</v>
      </c>
      <c r="LP45">
        <v>0</v>
      </c>
      <c r="LQ45">
        <v>0</v>
      </c>
      <c r="LR45">
        <v>0</v>
      </c>
      <c r="LS45">
        <v>0</v>
      </c>
      <c r="LT45">
        <v>0</v>
      </c>
      <c r="LU45">
        <v>0</v>
      </c>
      <c r="LV45">
        <v>0</v>
      </c>
      <c r="LW45">
        <v>0</v>
      </c>
      <c r="LX45">
        <v>0</v>
      </c>
      <c r="LY45">
        <v>0</v>
      </c>
      <c r="LZ45">
        <v>0</v>
      </c>
      <c r="MA45">
        <v>0</v>
      </c>
      <c r="MB45">
        <v>0</v>
      </c>
      <c r="MC45">
        <v>0</v>
      </c>
      <c r="MD45">
        <v>0</v>
      </c>
      <c r="ME45">
        <v>0</v>
      </c>
      <c r="MF45">
        <v>0</v>
      </c>
      <c r="MG45">
        <v>0</v>
      </c>
      <c r="MH45">
        <v>0</v>
      </c>
      <c r="MI45">
        <v>0</v>
      </c>
      <c r="MJ45">
        <v>0</v>
      </c>
      <c r="MK45">
        <v>0</v>
      </c>
      <c r="ML45">
        <v>0</v>
      </c>
      <c r="MM45">
        <v>0</v>
      </c>
      <c r="MN45">
        <v>0</v>
      </c>
      <c r="MO45">
        <v>0</v>
      </c>
      <c r="MP45">
        <v>0</v>
      </c>
      <c r="MQ45">
        <v>0</v>
      </c>
      <c r="MR45">
        <v>0</v>
      </c>
      <c r="MS45">
        <v>0</v>
      </c>
      <c r="MT45">
        <v>0</v>
      </c>
      <c r="MU45">
        <v>0</v>
      </c>
      <c r="MV45">
        <v>0</v>
      </c>
      <c r="MW45">
        <v>0</v>
      </c>
      <c r="MX45">
        <v>0</v>
      </c>
      <c r="MY45">
        <v>0</v>
      </c>
      <c r="MZ45">
        <v>0</v>
      </c>
      <c r="NA45">
        <v>0</v>
      </c>
      <c r="NB45">
        <v>0</v>
      </c>
      <c r="NC45">
        <v>0</v>
      </c>
      <c r="ND45">
        <v>0</v>
      </c>
      <c r="NE45">
        <v>0</v>
      </c>
    </row>
    <row r="46" spans="5:369" x14ac:dyDescent="0.45">
      <c r="E46">
        <v>0</v>
      </c>
      <c r="F46">
        <v>0</v>
      </c>
      <c r="G46">
        <v>0</v>
      </c>
      <c r="H46">
        <v>0</v>
      </c>
      <c r="I46">
        <v>0</v>
      </c>
      <c r="J46">
        <v>0</v>
      </c>
      <c r="K46">
        <v>0</v>
      </c>
      <c r="L46">
        <v>0</v>
      </c>
      <c r="M46">
        <v>0</v>
      </c>
      <c r="N46" t="str">
        <v/>
      </c>
      <c r="O46" t="str">
        <v/>
      </c>
      <c r="P46" t="str">
        <v/>
      </c>
      <c r="Q46" t="str">
        <v/>
      </c>
      <c r="R46" t="str">
        <v/>
      </c>
      <c r="S46" t="str">
        <v/>
      </c>
      <c r="T46" t="str">
        <v/>
      </c>
      <c r="U46">
        <v>0</v>
      </c>
      <c r="V46">
        <v>0</v>
      </c>
      <c r="W46">
        <v>0</v>
      </c>
      <c r="X46">
        <v>0</v>
      </c>
      <c r="Y46">
        <v>0</v>
      </c>
      <c r="Z46">
        <v>0</v>
      </c>
      <c r="AA46">
        <v>0</v>
      </c>
      <c r="AB46">
        <v>0</v>
      </c>
      <c r="AC46">
        <v>0</v>
      </c>
      <c r="AD46">
        <v>0</v>
      </c>
      <c r="AE46">
        <v>0</v>
      </c>
      <c r="AF46">
        <v>0</v>
      </c>
      <c r="AG46">
        <v>0</v>
      </c>
      <c r="AH46">
        <v>0</v>
      </c>
      <c r="AI46">
        <v>0</v>
      </c>
      <c r="AJ46">
        <v>0</v>
      </c>
      <c r="AK46">
        <v>0</v>
      </c>
      <c r="AL46">
        <v>0</v>
      </c>
      <c r="AM46">
        <v>0</v>
      </c>
      <c r="AN46" s="5">
        <v>0</v>
      </c>
      <c r="AO46" t="str">
        <v>A143</v>
      </c>
      <c r="AP46" t="str">
        <v>ABDUL AFEEZ C.F</v>
      </c>
      <c r="AQ46" t="str">
        <v>FANT</v>
      </c>
      <c r="AR46" t="str">
        <v>SUB JUNIOR</v>
      </c>
      <c r="AS46">
        <v>2</v>
      </c>
      <c r="AT46">
        <v>13</v>
      </c>
      <c r="AU46">
        <v>0</v>
      </c>
      <c r="AV46">
        <v>13</v>
      </c>
      <c r="AW46">
        <v>13</v>
      </c>
      <c r="AX46">
        <v>114</v>
      </c>
      <c r="AY46" s="5">
        <v>114</v>
      </c>
      <c r="AZ46" t="str">
        <v>JN01</v>
      </c>
      <c r="BA46" t="str">
        <v>ACRYLIC PAINTING</v>
      </c>
      <c r="BB46" t="str">
        <v>JUNIOR</v>
      </c>
      <c r="BC46" t="str">
        <v>Single</v>
      </c>
      <c r="BD46" t="str">
        <v>Non-Stg</v>
      </c>
      <c r="BE46">
        <v>3</v>
      </c>
      <c r="BF46" t="str">
        <v>Individual</v>
      </c>
      <c r="BG46" t="str">
        <v>Individual</v>
      </c>
      <c r="BH46" t="str">
        <v>P</v>
      </c>
      <c r="BI46" t="str">
        <v>PUBLISHED</v>
      </c>
      <c r="BK46">
        <v>40</v>
      </c>
      <c r="BL46" t="str">
        <v>SJ40</v>
      </c>
      <c r="BM46" t="str">
        <v>WORD WIZARD</v>
      </c>
      <c r="BN46">
        <v>3</v>
      </c>
      <c r="BO46" t="str">
        <v>Single</v>
      </c>
      <c r="BP46" t="str">
        <v>Stage</v>
      </c>
      <c r="BQ46" t="str">
        <v>SUB JUNIOR</v>
      </c>
      <c r="BR46" t="str">
        <v>A143</v>
      </c>
      <c r="BS46" t="str">
        <v>A150</v>
      </c>
      <c r="BT46" t="str">
        <v>A161</v>
      </c>
      <c r="BU46">
        <v>0</v>
      </c>
      <c r="BV46">
        <v>0</v>
      </c>
      <c r="BW46">
        <v>0</v>
      </c>
      <c r="BX46">
        <v>0</v>
      </c>
      <c r="BY46" t="str">
        <v>A147</v>
      </c>
      <c r="BZ46" t="str">
        <v>A158</v>
      </c>
      <c r="CA46" t="str">
        <v>A164</v>
      </c>
      <c r="CB46">
        <v>0</v>
      </c>
      <c r="CC46">
        <v>0</v>
      </c>
      <c r="CD46">
        <v>0</v>
      </c>
      <c r="CE46">
        <v>0</v>
      </c>
      <c r="CF46" t="str">
        <v>A104</v>
      </c>
      <c r="CG46" t="str">
        <v>A145</v>
      </c>
      <c r="CH46" t="str">
        <v>A166</v>
      </c>
      <c r="CI46">
        <v>0</v>
      </c>
      <c r="CJ46">
        <v>0</v>
      </c>
      <c r="CK46">
        <v>0</v>
      </c>
      <c r="CL46">
        <v>0</v>
      </c>
      <c r="CM46" t="str">
        <v>A103</v>
      </c>
      <c r="CN46" t="str">
        <v>A126</v>
      </c>
      <c r="CO46" t="str">
        <v>A141</v>
      </c>
      <c r="CP46">
        <v>0</v>
      </c>
      <c r="CQ46">
        <v>0</v>
      </c>
      <c r="CR46">
        <v>0</v>
      </c>
      <c r="CS46">
        <v>0</v>
      </c>
      <c r="CT46">
        <v>0</v>
      </c>
      <c r="CU46">
        <v>0</v>
      </c>
      <c r="CV46">
        <v>0</v>
      </c>
      <c r="CW46">
        <v>0</v>
      </c>
      <c r="CX46">
        <v>0</v>
      </c>
      <c r="CY46">
        <v>0</v>
      </c>
      <c r="CZ46">
        <v>0</v>
      </c>
      <c r="DA46">
        <v>0</v>
      </c>
      <c r="DB46">
        <v>0</v>
      </c>
      <c r="DC46">
        <v>0</v>
      </c>
      <c r="DD46">
        <v>0</v>
      </c>
      <c r="DE46">
        <v>0</v>
      </c>
      <c r="DF46">
        <v>0</v>
      </c>
      <c r="DG46">
        <v>0</v>
      </c>
      <c r="DH46">
        <v>0</v>
      </c>
      <c r="DI46">
        <v>0</v>
      </c>
      <c r="DJ46">
        <v>0</v>
      </c>
      <c r="DK46">
        <v>0</v>
      </c>
      <c r="DL46">
        <v>0</v>
      </c>
      <c r="DM46">
        <v>0</v>
      </c>
      <c r="DN46">
        <v>0</v>
      </c>
      <c r="DO46">
        <v>0</v>
      </c>
      <c r="DP46">
        <v>0</v>
      </c>
      <c r="DQ46">
        <v>0</v>
      </c>
      <c r="DR46">
        <v>0</v>
      </c>
      <c r="DS46">
        <v>0</v>
      </c>
      <c r="DT46">
        <v>0</v>
      </c>
      <c r="DU46">
        <v>0</v>
      </c>
      <c r="DV46">
        <v>0</v>
      </c>
      <c r="DW46">
        <v>0</v>
      </c>
      <c r="DX46">
        <v>0</v>
      </c>
      <c r="DY46">
        <v>0</v>
      </c>
      <c r="DZ46">
        <v>0</v>
      </c>
      <c r="EA46">
        <v>0</v>
      </c>
      <c r="EB46">
        <v>0</v>
      </c>
      <c r="EC46">
        <v>0</v>
      </c>
      <c r="ED46">
        <v>0</v>
      </c>
      <c r="EE46">
        <v>0</v>
      </c>
      <c r="EF46">
        <v>0</v>
      </c>
      <c r="EG46">
        <v>0</v>
      </c>
      <c r="EH46">
        <v>0</v>
      </c>
      <c r="EI46">
        <v>0</v>
      </c>
      <c r="EJ46">
        <v>0</v>
      </c>
      <c r="EK46">
        <v>0</v>
      </c>
      <c r="EL46">
        <v>0</v>
      </c>
      <c r="EM46">
        <v>0</v>
      </c>
      <c r="EN46">
        <v>0</v>
      </c>
      <c r="EO46">
        <v>0</v>
      </c>
      <c r="EP46">
        <v>0</v>
      </c>
      <c r="EQ46">
        <v>0</v>
      </c>
      <c r="ER46">
        <v>0</v>
      </c>
      <c r="ES46">
        <v>0</v>
      </c>
      <c r="ET46">
        <v>0</v>
      </c>
      <c r="EU46">
        <v>0</v>
      </c>
      <c r="EV46">
        <v>0</v>
      </c>
      <c r="EW46">
        <v>0</v>
      </c>
      <c r="EX46">
        <v>0</v>
      </c>
      <c r="EY46">
        <v>0</v>
      </c>
      <c r="EZ46">
        <v>0</v>
      </c>
      <c r="FA46">
        <v>0</v>
      </c>
      <c r="FB46">
        <v>0</v>
      </c>
      <c r="FC46">
        <v>0</v>
      </c>
      <c r="FD46">
        <v>0</v>
      </c>
      <c r="FE46">
        <v>0</v>
      </c>
      <c r="FF46">
        <v>0</v>
      </c>
      <c r="FG46">
        <v>0</v>
      </c>
      <c r="FH46">
        <v>0</v>
      </c>
      <c r="FI46">
        <v>0</v>
      </c>
      <c r="FJ46">
        <v>0</v>
      </c>
      <c r="FK46">
        <v>0</v>
      </c>
      <c r="FL46">
        <v>0</v>
      </c>
      <c r="FM46">
        <v>0</v>
      </c>
      <c r="FN46">
        <v>0</v>
      </c>
      <c r="FO46">
        <v>0</v>
      </c>
      <c r="FP46">
        <v>0</v>
      </c>
      <c r="FQ46">
        <v>0</v>
      </c>
      <c r="FR46">
        <v>0</v>
      </c>
      <c r="FS46">
        <v>0</v>
      </c>
      <c r="FT46">
        <v>0</v>
      </c>
      <c r="FU46">
        <v>0</v>
      </c>
      <c r="FV46">
        <v>0</v>
      </c>
      <c r="FW46">
        <v>0</v>
      </c>
      <c r="FX46">
        <v>0</v>
      </c>
      <c r="FY46">
        <v>0</v>
      </c>
      <c r="FZ46">
        <v>0</v>
      </c>
      <c r="GA46">
        <v>0</v>
      </c>
      <c r="GB46">
        <v>0</v>
      </c>
      <c r="GC46">
        <v>0</v>
      </c>
      <c r="GD46">
        <v>0</v>
      </c>
      <c r="GE46">
        <v>0</v>
      </c>
      <c r="GF46">
        <v>0</v>
      </c>
      <c r="GG46">
        <v>0</v>
      </c>
      <c r="GH46">
        <v>0</v>
      </c>
      <c r="GI46">
        <v>0</v>
      </c>
      <c r="GJ46">
        <v>0</v>
      </c>
      <c r="GK46">
        <v>0</v>
      </c>
      <c r="GL46">
        <v>0</v>
      </c>
      <c r="GM46">
        <v>0</v>
      </c>
      <c r="GN46">
        <v>0</v>
      </c>
      <c r="GO46">
        <v>0</v>
      </c>
      <c r="GP46">
        <v>0</v>
      </c>
      <c r="GQ46">
        <v>0</v>
      </c>
      <c r="GR46">
        <v>0</v>
      </c>
      <c r="GS46">
        <v>0</v>
      </c>
      <c r="GT46">
        <v>0</v>
      </c>
      <c r="GU46">
        <v>0</v>
      </c>
      <c r="GV46">
        <v>0</v>
      </c>
      <c r="GW46">
        <v>0</v>
      </c>
      <c r="GX46">
        <v>0</v>
      </c>
      <c r="GY46">
        <v>0</v>
      </c>
      <c r="GZ46">
        <v>0</v>
      </c>
      <c r="HA46">
        <v>0</v>
      </c>
      <c r="HB46">
        <v>0</v>
      </c>
      <c r="HC46">
        <v>0</v>
      </c>
      <c r="HD46">
        <v>0</v>
      </c>
      <c r="HE46">
        <v>0</v>
      </c>
      <c r="HF46">
        <v>0</v>
      </c>
      <c r="HG46">
        <v>0</v>
      </c>
      <c r="HH46">
        <v>0</v>
      </c>
      <c r="HI46">
        <v>0</v>
      </c>
      <c r="HJ46">
        <v>0</v>
      </c>
      <c r="HK46">
        <v>0</v>
      </c>
      <c r="HL46">
        <v>0</v>
      </c>
      <c r="HM46">
        <v>0</v>
      </c>
      <c r="HN46">
        <v>0</v>
      </c>
      <c r="HO46">
        <v>0</v>
      </c>
      <c r="HP46">
        <v>0</v>
      </c>
      <c r="HQ46">
        <v>0</v>
      </c>
      <c r="HR46">
        <v>0</v>
      </c>
      <c r="HS46">
        <v>0</v>
      </c>
      <c r="HT46">
        <v>0</v>
      </c>
      <c r="HU46">
        <v>0</v>
      </c>
      <c r="HV46">
        <v>0</v>
      </c>
      <c r="HW46">
        <v>0</v>
      </c>
      <c r="HX46">
        <v>0</v>
      </c>
      <c r="HY46">
        <v>0</v>
      </c>
      <c r="HZ46">
        <v>0</v>
      </c>
      <c r="IA46">
        <v>0</v>
      </c>
      <c r="IB46">
        <v>0</v>
      </c>
      <c r="IC46">
        <v>0</v>
      </c>
      <c r="ID46">
        <v>0</v>
      </c>
      <c r="IE46">
        <v>0</v>
      </c>
      <c r="IF46">
        <v>0</v>
      </c>
      <c r="IG46">
        <v>0</v>
      </c>
      <c r="IH46">
        <v>0</v>
      </c>
      <c r="II46">
        <v>0</v>
      </c>
      <c r="IJ46">
        <v>0</v>
      </c>
      <c r="IK46">
        <v>0</v>
      </c>
      <c r="IL46">
        <v>0</v>
      </c>
      <c r="IM46">
        <v>0</v>
      </c>
      <c r="IN46">
        <v>0</v>
      </c>
      <c r="IO46">
        <v>0</v>
      </c>
      <c r="IP46">
        <v>0</v>
      </c>
      <c r="IQ46">
        <v>0</v>
      </c>
      <c r="IR46">
        <v>0</v>
      </c>
      <c r="IS46">
        <v>0</v>
      </c>
      <c r="IT46">
        <v>0</v>
      </c>
      <c r="IU46">
        <v>0</v>
      </c>
      <c r="IV46">
        <v>0</v>
      </c>
      <c r="IW46">
        <v>0</v>
      </c>
      <c r="IX46">
        <v>0</v>
      </c>
      <c r="IY46">
        <v>0</v>
      </c>
      <c r="IZ46">
        <v>0</v>
      </c>
      <c r="JA46">
        <v>0</v>
      </c>
      <c r="JB46">
        <v>0</v>
      </c>
      <c r="JC46">
        <v>0</v>
      </c>
      <c r="JD46">
        <v>0</v>
      </c>
      <c r="JE46">
        <v>0</v>
      </c>
      <c r="JF46">
        <v>0</v>
      </c>
      <c r="JG46">
        <v>0</v>
      </c>
      <c r="JH46">
        <v>0</v>
      </c>
      <c r="JI46">
        <v>0</v>
      </c>
      <c r="JJ46">
        <v>0</v>
      </c>
      <c r="JK46">
        <v>0</v>
      </c>
      <c r="JL46">
        <v>0</v>
      </c>
      <c r="JM46">
        <v>0</v>
      </c>
      <c r="JN46">
        <v>0</v>
      </c>
      <c r="JO46">
        <v>0</v>
      </c>
      <c r="JP46">
        <v>0</v>
      </c>
      <c r="JQ46">
        <v>0</v>
      </c>
      <c r="JR46">
        <v>0</v>
      </c>
      <c r="JS46">
        <v>0</v>
      </c>
      <c r="JT46">
        <v>0</v>
      </c>
      <c r="JU46">
        <v>0</v>
      </c>
      <c r="JV46">
        <v>0</v>
      </c>
      <c r="JW46">
        <v>0</v>
      </c>
      <c r="JX46">
        <v>0</v>
      </c>
      <c r="JY46">
        <v>0</v>
      </c>
      <c r="JZ46">
        <v>0</v>
      </c>
      <c r="KA46">
        <v>0</v>
      </c>
      <c r="KB46">
        <v>0</v>
      </c>
      <c r="KC46">
        <v>0</v>
      </c>
      <c r="KD46">
        <v>0</v>
      </c>
      <c r="KE46">
        <v>0</v>
      </c>
      <c r="KF46">
        <v>0</v>
      </c>
      <c r="KG46">
        <v>0</v>
      </c>
      <c r="KH46">
        <v>0</v>
      </c>
      <c r="KI46">
        <v>0</v>
      </c>
      <c r="KJ46">
        <v>0</v>
      </c>
      <c r="KK46">
        <v>0</v>
      </c>
      <c r="KL46">
        <v>0</v>
      </c>
      <c r="KM46">
        <v>0</v>
      </c>
      <c r="KN46">
        <v>0</v>
      </c>
      <c r="KO46">
        <v>0</v>
      </c>
      <c r="KP46">
        <v>0</v>
      </c>
      <c r="KQ46">
        <v>0</v>
      </c>
      <c r="KR46">
        <v>0</v>
      </c>
      <c r="KS46">
        <v>0</v>
      </c>
      <c r="KT46">
        <v>0</v>
      </c>
      <c r="KU46">
        <v>0</v>
      </c>
      <c r="KV46">
        <v>0</v>
      </c>
      <c r="KW46">
        <v>0</v>
      </c>
      <c r="KX46">
        <v>0</v>
      </c>
      <c r="KY46">
        <v>0</v>
      </c>
      <c r="KZ46">
        <v>0</v>
      </c>
      <c r="LA46">
        <v>0</v>
      </c>
      <c r="LB46">
        <v>0</v>
      </c>
      <c r="LC46">
        <v>0</v>
      </c>
      <c r="LD46">
        <v>0</v>
      </c>
      <c r="LE46">
        <v>0</v>
      </c>
      <c r="LF46">
        <v>0</v>
      </c>
      <c r="LG46">
        <v>0</v>
      </c>
      <c r="LH46">
        <v>0</v>
      </c>
      <c r="LI46">
        <v>0</v>
      </c>
      <c r="LJ46">
        <v>0</v>
      </c>
      <c r="LK46">
        <v>0</v>
      </c>
      <c r="LL46">
        <v>0</v>
      </c>
      <c r="LM46">
        <v>0</v>
      </c>
      <c r="LN46">
        <v>0</v>
      </c>
      <c r="LO46">
        <v>0</v>
      </c>
      <c r="LP46">
        <v>0</v>
      </c>
      <c r="LQ46">
        <v>0</v>
      </c>
      <c r="LR46">
        <v>0</v>
      </c>
      <c r="LS46">
        <v>0</v>
      </c>
      <c r="LT46">
        <v>0</v>
      </c>
      <c r="LU46">
        <v>0</v>
      </c>
      <c r="LV46">
        <v>0</v>
      </c>
      <c r="LW46">
        <v>0</v>
      </c>
      <c r="LX46">
        <v>0</v>
      </c>
      <c r="LY46">
        <v>0</v>
      </c>
      <c r="LZ46">
        <v>0</v>
      </c>
      <c r="MA46">
        <v>0</v>
      </c>
      <c r="MB46">
        <v>0</v>
      </c>
      <c r="MC46">
        <v>0</v>
      </c>
      <c r="MD46">
        <v>0</v>
      </c>
      <c r="ME46">
        <v>0</v>
      </c>
      <c r="MF46">
        <v>0</v>
      </c>
      <c r="MG46">
        <v>0</v>
      </c>
      <c r="MH46">
        <v>0</v>
      </c>
      <c r="MI46">
        <v>0</v>
      </c>
      <c r="MJ46">
        <v>0</v>
      </c>
      <c r="MK46">
        <v>0</v>
      </c>
      <c r="ML46">
        <v>0</v>
      </c>
      <c r="MM46">
        <v>0</v>
      </c>
      <c r="MN46">
        <v>0</v>
      </c>
      <c r="MO46">
        <v>0</v>
      </c>
      <c r="MP46">
        <v>0</v>
      </c>
      <c r="MQ46">
        <v>0</v>
      </c>
      <c r="MR46">
        <v>0</v>
      </c>
      <c r="MS46">
        <v>0</v>
      </c>
      <c r="MT46">
        <v>0</v>
      </c>
      <c r="MU46">
        <v>0</v>
      </c>
      <c r="MV46">
        <v>0</v>
      </c>
      <c r="MW46">
        <v>0</v>
      </c>
      <c r="MX46">
        <v>0</v>
      </c>
      <c r="MY46">
        <v>0</v>
      </c>
      <c r="MZ46">
        <v>0</v>
      </c>
      <c r="NA46">
        <v>0</v>
      </c>
      <c r="NB46">
        <v>0</v>
      </c>
      <c r="NC46">
        <v>0</v>
      </c>
      <c r="ND46">
        <v>0</v>
      </c>
      <c r="NE46">
        <v>0</v>
      </c>
    </row>
    <row r="47" spans="5:369" x14ac:dyDescent="0.45">
      <c r="E47">
        <v>0</v>
      </c>
      <c r="F47">
        <v>0</v>
      </c>
      <c r="G47">
        <v>0</v>
      </c>
      <c r="H47">
        <v>0</v>
      </c>
      <c r="I47">
        <v>0</v>
      </c>
      <c r="J47">
        <v>0</v>
      </c>
      <c r="K47">
        <v>0</v>
      </c>
      <c r="L47">
        <v>0</v>
      </c>
      <c r="M47">
        <v>0</v>
      </c>
      <c r="N47" t="str">
        <v/>
      </c>
      <c r="O47" t="str">
        <v/>
      </c>
      <c r="P47" t="str">
        <v/>
      </c>
      <c r="Q47" t="str">
        <v/>
      </c>
      <c r="R47" t="str">
        <v/>
      </c>
      <c r="S47" t="str">
        <v/>
      </c>
      <c r="T47" t="str">
        <v/>
      </c>
      <c r="U47">
        <v>0</v>
      </c>
      <c r="V47">
        <v>0</v>
      </c>
      <c r="W47">
        <v>0</v>
      </c>
      <c r="X47">
        <v>0</v>
      </c>
      <c r="Y47">
        <v>0</v>
      </c>
      <c r="Z47">
        <v>0</v>
      </c>
      <c r="AA47">
        <v>0</v>
      </c>
      <c r="AB47">
        <v>0</v>
      </c>
      <c r="AC47">
        <v>0</v>
      </c>
      <c r="AD47">
        <v>0</v>
      </c>
      <c r="AE47">
        <v>0</v>
      </c>
      <c r="AF47">
        <v>0</v>
      </c>
      <c r="AG47">
        <v>0</v>
      </c>
      <c r="AH47">
        <v>0</v>
      </c>
      <c r="AI47">
        <v>0</v>
      </c>
      <c r="AJ47">
        <v>0</v>
      </c>
      <c r="AK47">
        <v>0</v>
      </c>
      <c r="AL47">
        <v>0</v>
      </c>
      <c r="AM47">
        <v>0</v>
      </c>
      <c r="AN47" s="5">
        <v>0</v>
      </c>
      <c r="AO47" t="str">
        <v>A144</v>
      </c>
      <c r="AP47" t="str">
        <v>ABDULLA</v>
      </c>
      <c r="AQ47" t="str">
        <v>JARF</v>
      </c>
      <c r="AR47" t="str">
        <v>SUB JUNIOR</v>
      </c>
      <c r="AS47">
        <v>2</v>
      </c>
      <c r="AT47">
        <v>40</v>
      </c>
      <c r="AU47">
        <v>0</v>
      </c>
      <c r="AV47">
        <v>40</v>
      </c>
      <c r="AW47">
        <v>40</v>
      </c>
      <c r="AX47">
        <v>23</v>
      </c>
      <c r="AY47" s="5">
        <v>23</v>
      </c>
      <c r="AZ47" t="str">
        <v>JN02</v>
      </c>
      <c r="BA47" t="str">
        <v>CALLIGRAPHY</v>
      </c>
      <c r="BB47" t="str">
        <v>JUNIOR</v>
      </c>
      <c r="BC47" t="str">
        <v>Single</v>
      </c>
      <c r="BD47" t="str">
        <v>Non-Stg</v>
      </c>
      <c r="BE47">
        <v>2</v>
      </c>
      <c r="BF47" t="str">
        <v>Individual</v>
      </c>
      <c r="BG47" t="str">
        <v>Individual</v>
      </c>
      <c r="BH47" t="str">
        <v>P</v>
      </c>
      <c r="BI47" t="str">
        <v>PUBLISHED</v>
      </c>
      <c r="BK47">
        <v>41</v>
      </c>
      <c r="BL47" t="str">
        <v>SJ41</v>
      </c>
      <c r="BM47" t="str">
        <v>CONVERSATION MLM</v>
      </c>
      <c r="BN47">
        <v>2</v>
      </c>
      <c r="BO47" t="str">
        <v>Group</v>
      </c>
      <c r="BP47" t="str">
        <v>Stage</v>
      </c>
      <c r="BQ47" t="str">
        <v>SUB JUNIOR</v>
      </c>
      <c r="BR47" t="str">
        <v>A105</v>
      </c>
      <c r="BS47" t="str">
        <v>A129</v>
      </c>
      <c r="BT47">
        <v>0</v>
      </c>
      <c r="BU47">
        <v>0</v>
      </c>
      <c r="BV47">
        <v>0</v>
      </c>
      <c r="BW47">
        <v>0</v>
      </c>
      <c r="BX47">
        <v>0</v>
      </c>
      <c r="BY47" t="str">
        <v>A131</v>
      </c>
      <c r="BZ47" t="str">
        <v>A134</v>
      </c>
      <c r="CA47">
        <v>0</v>
      </c>
      <c r="CB47">
        <v>0</v>
      </c>
      <c r="CC47">
        <v>0</v>
      </c>
      <c r="CD47">
        <v>0</v>
      </c>
      <c r="CE47">
        <v>0</v>
      </c>
      <c r="CF47" t="str">
        <v>A127</v>
      </c>
      <c r="CG47" t="str">
        <v>A166</v>
      </c>
      <c r="CH47">
        <v>0</v>
      </c>
      <c r="CI47">
        <v>0</v>
      </c>
      <c r="CJ47">
        <v>0</v>
      </c>
      <c r="CK47">
        <v>0</v>
      </c>
      <c r="CL47">
        <v>0</v>
      </c>
      <c r="CM47" t="str">
        <v>A155</v>
      </c>
      <c r="CN47" t="str">
        <v>A156</v>
      </c>
      <c r="CO47">
        <v>0</v>
      </c>
      <c r="CP47">
        <v>0</v>
      </c>
      <c r="CQ47">
        <v>0</v>
      </c>
      <c r="CR47">
        <v>0</v>
      </c>
      <c r="CS47">
        <v>0</v>
      </c>
      <c r="CT47">
        <v>0</v>
      </c>
      <c r="CU47">
        <v>0</v>
      </c>
      <c r="CV47">
        <v>0</v>
      </c>
      <c r="CW47">
        <v>0</v>
      </c>
      <c r="CX47">
        <v>0</v>
      </c>
      <c r="CY47">
        <v>0</v>
      </c>
      <c r="CZ47">
        <v>0</v>
      </c>
      <c r="DA47">
        <v>0</v>
      </c>
      <c r="DB47">
        <v>0</v>
      </c>
      <c r="DC47">
        <v>0</v>
      </c>
      <c r="DD47">
        <v>0</v>
      </c>
      <c r="DE47">
        <v>0</v>
      </c>
      <c r="DF47">
        <v>0</v>
      </c>
      <c r="DG47">
        <v>0</v>
      </c>
      <c r="DH47">
        <v>0</v>
      </c>
      <c r="DI47">
        <v>0</v>
      </c>
      <c r="DJ47">
        <v>0</v>
      </c>
      <c r="DK47">
        <v>0</v>
      </c>
      <c r="DL47">
        <v>0</v>
      </c>
      <c r="DM47">
        <v>0</v>
      </c>
      <c r="DN47">
        <v>0</v>
      </c>
      <c r="DO47">
        <v>0</v>
      </c>
      <c r="DP47">
        <v>0</v>
      </c>
      <c r="DQ47">
        <v>0</v>
      </c>
      <c r="DR47">
        <v>0</v>
      </c>
      <c r="DS47">
        <v>0</v>
      </c>
      <c r="DT47">
        <v>0</v>
      </c>
      <c r="DU47">
        <v>0</v>
      </c>
      <c r="DV47">
        <v>0</v>
      </c>
      <c r="DW47">
        <v>0</v>
      </c>
      <c r="DX47">
        <v>0</v>
      </c>
      <c r="DY47">
        <v>0</v>
      </c>
      <c r="DZ47">
        <v>0</v>
      </c>
      <c r="EA47">
        <v>0</v>
      </c>
      <c r="EB47">
        <v>0</v>
      </c>
      <c r="EC47">
        <v>0</v>
      </c>
      <c r="ED47">
        <v>0</v>
      </c>
      <c r="EE47">
        <v>0</v>
      </c>
      <c r="EF47">
        <v>0</v>
      </c>
      <c r="EG47">
        <v>0</v>
      </c>
      <c r="EH47">
        <v>0</v>
      </c>
      <c r="EI47">
        <v>0</v>
      </c>
      <c r="EJ47">
        <v>0</v>
      </c>
      <c r="EK47">
        <v>0</v>
      </c>
      <c r="EL47">
        <v>0</v>
      </c>
      <c r="EM47">
        <v>0</v>
      </c>
      <c r="EN47">
        <v>0</v>
      </c>
      <c r="EO47">
        <v>0</v>
      </c>
      <c r="EP47">
        <v>0</v>
      </c>
      <c r="EQ47">
        <v>0</v>
      </c>
      <c r="ER47">
        <v>0</v>
      </c>
      <c r="ES47">
        <v>0</v>
      </c>
      <c r="ET47">
        <v>0</v>
      </c>
      <c r="EU47">
        <v>0</v>
      </c>
      <c r="EV47">
        <v>0</v>
      </c>
      <c r="EW47">
        <v>0</v>
      </c>
      <c r="EX47">
        <v>0</v>
      </c>
      <c r="EY47">
        <v>0</v>
      </c>
      <c r="EZ47">
        <v>0</v>
      </c>
      <c r="FA47">
        <v>0</v>
      </c>
      <c r="FB47">
        <v>0</v>
      </c>
      <c r="FC47">
        <v>0</v>
      </c>
      <c r="FD47">
        <v>0</v>
      </c>
      <c r="FE47">
        <v>0</v>
      </c>
      <c r="FF47">
        <v>0</v>
      </c>
      <c r="FG47">
        <v>0</v>
      </c>
      <c r="FH47">
        <v>0</v>
      </c>
      <c r="FI47">
        <v>0</v>
      </c>
      <c r="FJ47">
        <v>0</v>
      </c>
      <c r="FK47">
        <v>0</v>
      </c>
      <c r="FL47">
        <v>0</v>
      </c>
      <c r="FM47">
        <v>0</v>
      </c>
      <c r="FN47">
        <v>0</v>
      </c>
      <c r="FO47">
        <v>0</v>
      </c>
      <c r="FP47">
        <v>0</v>
      </c>
      <c r="FQ47">
        <v>0</v>
      </c>
      <c r="FR47">
        <v>0</v>
      </c>
      <c r="FS47">
        <v>0</v>
      </c>
      <c r="FT47">
        <v>0</v>
      </c>
      <c r="FU47">
        <v>0</v>
      </c>
      <c r="FV47">
        <v>0</v>
      </c>
      <c r="FW47">
        <v>0</v>
      </c>
      <c r="FX47">
        <v>0</v>
      </c>
      <c r="FY47">
        <v>0</v>
      </c>
      <c r="FZ47">
        <v>0</v>
      </c>
      <c r="GA47">
        <v>0</v>
      </c>
      <c r="GB47">
        <v>0</v>
      </c>
      <c r="GC47">
        <v>0</v>
      </c>
      <c r="GD47">
        <v>0</v>
      </c>
      <c r="GE47">
        <v>0</v>
      </c>
      <c r="GF47">
        <v>0</v>
      </c>
      <c r="GG47">
        <v>0</v>
      </c>
      <c r="GH47">
        <v>0</v>
      </c>
      <c r="GI47">
        <v>0</v>
      </c>
      <c r="GJ47">
        <v>0</v>
      </c>
      <c r="GK47">
        <v>0</v>
      </c>
      <c r="GL47">
        <v>0</v>
      </c>
      <c r="GM47">
        <v>0</v>
      </c>
      <c r="GN47">
        <v>0</v>
      </c>
      <c r="GO47">
        <v>0</v>
      </c>
      <c r="GP47">
        <v>0</v>
      </c>
      <c r="GQ47">
        <v>0</v>
      </c>
      <c r="GR47">
        <v>0</v>
      </c>
      <c r="GS47">
        <v>0</v>
      </c>
      <c r="GT47">
        <v>0</v>
      </c>
      <c r="GU47">
        <v>0</v>
      </c>
      <c r="GV47">
        <v>0</v>
      </c>
      <c r="GW47">
        <v>0</v>
      </c>
      <c r="GX47">
        <v>0</v>
      </c>
      <c r="GY47">
        <v>0</v>
      </c>
      <c r="GZ47">
        <v>0</v>
      </c>
      <c r="HA47">
        <v>0</v>
      </c>
      <c r="HB47">
        <v>0</v>
      </c>
      <c r="HC47">
        <v>0</v>
      </c>
      <c r="HD47">
        <v>0</v>
      </c>
      <c r="HE47">
        <v>0</v>
      </c>
      <c r="HF47">
        <v>0</v>
      </c>
      <c r="HG47">
        <v>0</v>
      </c>
      <c r="HH47">
        <v>0</v>
      </c>
      <c r="HI47">
        <v>0</v>
      </c>
      <c r="HJ47">
        <v>0</v>
      </c>
      <c r="HK47">
        <v>0</v>
      </c>
      <c r="HL47">
        <v>0</v>
      </c>
      <c r="HM47">
        <v>0</v>
      </c>
      <c r="HN47">
        <v>0</v>
      </c>
      <c r="HO47">
        <v>0</v>
      </c>
      <c r="HP47">
        <v>0</v>
      </c>
      <c r="HQ47">
        <v>0</v>
      </c>
      <c r="HR47">
        <v>0</v>
      </c>
      <c r="HS47">
        <v>0</v>
      </c>
      <c r="HT47">
        <v>0</v>
      </c>
      <c r="HU47">
        <v>0</v>
      </c>
      <c r="HV47">
        <v>0</v>
      </c>
      <c r="HW47">
        <v>0</v>
      </c>
      <c r="HX47">
        <v>0</v>
      </c>
      <c r="HY47">
        <v>0</v>
      </c>
      <c r="HZ47">
        <v>0</v>
      </c>
      <c r="IA47">
        <v>0</v>
      </c>
      <c r="IB47">
        <v>0</v>
      </c>
      <c r="IC47">
        <v>0</v>
      </c>
      <c r="ID47">
        <v>0</v>
      </c>
      <c r="IE47">
        <v>0</v>
      </c>
      <c r="IF47">
        <v>0</v>
      </c>
      <c r="IG47">
        <v>0</v>
      </c>
      <c r="IH47">
        <v>0</v>
      </c>
      <c r="II47">
        <v>0</v>
      </c>
      <c r="IJ47">
        <v>0</v>
      </c>
      <c r="IK47">
        <v>0</v>
      </c>
      <c r="IL47">
        <v>0</v>
      </c>
      <c r="IM47">
        <v>0</v>
      </c>
      <c r="IN47">
        <v>0</v>
      </c>
      <c r="IO47">
        <v>0</v>
      </c>
      <c r="IP47">
        <v>0</v>
      </c>
      <c r="IQ47">
        <v>0</v>
      </c>
      <c r="IR47">
        <v>0</v>
      </c>
      <c r="IS47">
        <v>0</v>
      </c>
      <c r="IT47">
        <v>0</v>
      </c>
      <c r="IU47">
        <v>0</v>
      </c>
      <c r="IV47">
        <v>0</v>
      </c>
      <c r="IW47">
        <v>0</v>
      </c>
      <c r="IX47">
        <v>0</v>
      </c>
      <c r="IY47">
        <v>0</v>
      </c>
      <c r="IZ47">
        <v>0</v>
      </c>
      <c r="JA47">
        <v>0</v>
      </c>
      <c r="JB47">
        <v>0</v>
      </c>
      <c r="JC47">
        <v>0</v>
      </c>
      <c r="JD47">
        <v>0</v>
      </c>
      <c r="JE47">
        <v>0</v>
      </c>
      <c r="JF47">
        <v>0</v>
      </c>
      <c r="JG47">
        <v>0</v>
      </c>
      <c r="JH47">
        <v>0</v>
      </c>
      <c r="JI47">
        <v>0</v>
      </c>
      <c r="JJ47">
        <v>0</v>
      </c>
      <c r="JK47">
        <v>0</v>
      </c>
      <c r="JL47">
        <v>0</v>
      </c>
      <c r="JM47">
        <v>0</v>
      </c>
      <c r="JN47">
        <v>0</v>
      </c>
      <c r="JO47">
        <v>0</v>
      </c>
      <c r="JP47">
        <v>0</v>
      </c>
      <c r="JQ47">
        <v>0</v>
      </c>
      <c r="JR47">
        <v>0</v>
      </c>
      <c r="JS47">
        <v>0</v>
      </c>
      <c r="JT47">
        <v>0</v>
      </c>
      <c r="JU47">
        <v>0</v>
      </c>
      <c r="JV47">
        <v>0</v>
      </c>
      <c r="JW47">
        <v>0</v>
      </c>
      <c r="JX47">
        <v>0</v>
      </c>
      <c r="JY47">
        <v>0</v>
      </c>
      <c r="JZ47">
        <v>0</v>
      </c>
      <c r="KA47">
        <v>0</v>
      </c>
      <c r="KB47">
        <v>0</v>
      </c>
      <c r="KC47">
        <v>0</v>
      </c>
      <c r="KD47">
        <v>0</v>
      </c>
      <c r="KE47">
        <v>0</v>
      </c>
      <c r="KF47">
        <v>0</v>
      </c>
      <c r="KG47">
        <v>0</v>
      </c>
      <c r="KH47">
        <v>0</v>
      </c>
      <c r="KI47">
        <v>0</v>
      </c>
      <c r="KJ47">
        <v>0</v>
      </c>
      <c r="KK47">
        <v>0</v>
      </c>
      <c r="KL47">
        <v>0</v>
      </c>
      <c r="KM47">
        <v>0</v>
      </c>
      <c r="KN47">
        <v>0</v>
      </c>
      <c r="KO47">
        <v>0</v>
      </c>
      <c r="KP47">
        <v>0</v>
      </c>
      <c r="KQ47">
        <v>0</v>
      </c>
      <c r="KR47">
        <v>0</v>
      </c>
      <c r="KS47">
        <v>0</v>
      </c>
      <c r="KT47">
        <v>0</v>
      </c>
      <c r="KU47">
        <v>0</v>
      </c>
      <c r="KV47">
        <v>0</v>
      </c>
      <c r="KW47">
        <v>0</v>
      </c>
      <c r="KX47">
        <v>0</v>
      </c>
      <c r="KY47">
        <v>0</v>
      </c>
      <c r="KZ47">
        <v>0</v>
      </c>
      <c r="LA47">
        <v>0</v>
      </c>
      <c r="LB47">
        <v>0</v>
      </c>
      <c r="LC47">
        <v>0</v>
      </c>
      <c r="LD47">
        <v>0</v>
      </c>
      <c r="LE47">
        <v>0</v>
      </c>
      <c r="LF47">
        <v>0</v>
      </c>
      <c r="LG47">
        <v>0</v>
      </c>
      <c r="LH47">
        <v>0</v>
      </c>
      <c r="LI47">
        <v>0</v>
      </c>
      <c r="LJ47">
        <v>0</v>
      </c>
      <c r="LK47">
        <v>0</v>
      </c>
      <c r="LL47">
        <v>0</v>
      </c>
      <c r="LM47">
        <v>0</v>
      </c>
      <c r="LN47">
        <v>0</v>
      </c>
      <c r="LO47">
        <v>0</v>
      </c>
      <c r="LP47">
        <v>0</v>
      </c>
      <c r="LQ47">
        <v>0</v>
      </c>
      <c r="LR47">
        <v>0</v>
      </c>
      <c r="LS47">
        <v>0</v>
      </c>
      <c r="LT47">
        <v>0</v>
      </c>
      <c r="LU47">
        <v>0</v>
      </c>
      <c r="LV47">
        <v>0</v>
      </c>
      <c r="LW47">
        <v>0</v>
      </c>
      <c r="LX47">
        <v>0</v>
      </c>
      <c r="LY47">
        <v>0</v>
      </c>
      <c r="LZ47">
        <v>0</v>
      </c>
      <c r="MA47">
        <v>0</v>
      </c>
      <c r="MB47">
        <v>0</v>
      </c>
      <c r="MC47">
        <v>0</v>
      </c>
      <c r="MD47">
        <v>0</v>
      </c>
      <c r="ME47">
        <v>0</v>
      </c>
      <c r="MF47">
        <v>0</v>
      </c>
      <c r="MG47">
        <v>0</v>
      </c>
      <c r="MH47">
        <v>0</v>
      </c>
      <c r="MI47">
        <v>0</v>
      </c>
      <c r="MJ47">
        <v>0</v>
      </c>
      <c r="MK47">
        <v>0</v>
      </c>
      <c r="ML47">
        <v>0</v>
      </c>
      <c r="MM47">
        <v>0</v>
      </c>
      <c r="MN47">
        <v>0</v>
      </c>
      <c r="MO47">
        <v>0</v>
      </c>
      <c r="MP47">
        <v>0</v>
      </c>
      <c r="MQ47">
        <v>0</v>
      </c>
      <c r="MR47">
        <v>0</v>
      </c>
      <c r="MS47">
        <v>0</v>
      </c>
      <c r="MT47">
        <v>0</v>
      </c>
      <c r="MU47">
        <v>0</v>
      </c>
      <c r="MV47">
        <v>0</v>
      </c>
      <c r="MW47">
        <v>0</v>
      </c>
      <c r="MX47">
        <v>0</v>
      </c>
      <c r="MY47">
        <v>0</v>
      </c>
      <c r="MZ47">
        <v>0</v>
      </c>
      <c r="NA47">
        <v>0</v>
      </c>
      <c r="NB47">
        <v>0</v>
      </c>
      <c r="NC47">
        <v>0</v>
      </c>
      <c r="ND47">
        <v>0</v>
      </c>
      <c r="NE47">
        <v>0</v>
      </c>
    </row>
    <row r="48" spans="5:369" x14ac:dyDescent="0.45">
      <c r="E48">
        <v>0</v>
      </c>
      <c r="F48">
        <v>0</v>
      </c>
      <c r="G48">
        <v>0</v>
      </c>
      <c r="H48">
        <v>0</v>
      </c>
      <c r="I48">
        <v>0</v>
      </c>
      <c r="J48">
        <v>0</v>
      </c>
      <c r="K48">
        <v>0</v>
      </c>
      <c r="L48">
        <v>0</v>
      </c>
      <c r="M48">
        <v>0</v>
      </c>
      <c r="N48" t="str">
        <v/>
      </c>
      <c r="O48" t="str">
        <v/>
      </c>
      <c r="P48" t="str">
        <v/>
      </c>
      <c r="Q48" t="str">
        <v/>
      </c>
      <c r="R48" t="str">
        <v/>
      </c>
      <c r="S48" t="str">
        <v/>
      </c>
      <c r="T48" t="str">
        <v/>
      </c>
      <c r="U48">
        <v>0</v>
      </c>
      <c r="V48">
        <v>0</v>
      </c>
      <c r="W48">
        <v>0</v>
      </c>
      <c r="X48">
        <v>0</v>
      </c>
      <c r="Y48">
        <v>0</v>
      </c>
      <c r="Z48">
        <v>0</v>
      </c>
      <c r="AA48">
        <v>0</v>
      </c>
      <c r="AB48">
        <v>0</v>
      </c>
      <c r="AC48">
        <v>0</v>
      </c>
      <c r="AD48">
        <v>0</v>
      </c>
      <c r="AE48">
        <v>0</v>
      </c>
      <c r="AF48">
        <v>0</v>
      </c>
      <c r="AG48">
        <v>0</v>
      </c>
      <c r="AH48">
        <v>0</v>
      </c>
      <c r="AI48">
        <v>0</v>
      </c>
      <c r="AJ48">
        <v>0</v>
      </c>
      <c r="AK48">
        <v>0</v>
      </c>
      <c r="AL48">
        <v>0</v>
      </c>
      <c r="AM48">
        <v>0</v>
      </c>
      <c r="AN48" s="5">
        <v>0</v>
      </c>
      <c r="AO48" t="str">
        <v>A145</v>
      </c>
      <c r="AP48" t="str">
        <v>ABDULLAH A P</v>
      </c>
      <c r="AQ48" t="str">
        <v>BADF</v>
      </c>
      <c r="AR48" t="str">
        <v>SUB JUNIOR</v>
      </c>
      <c r="AS48">
        <v>2</v>
      </c>
      <c r="AT48">
        <v>3</v>
      </c>
      <c r="AU48">
        <v>0</v>
      </c>
      <c r="AV48">
        <v>3</v>
      </c>
      <c r="AW48">
        <v>3</v>
      </c>
      <c r="AX48">
        <v>209</v>
      </c>
      <c r="AY48" s="5">
        <v>209</v>
      </c>
      <c r="AZ48" t="str">
        <v>JN03</v>
      </c>
      <c r="BA48" t="str">
        <v>CAPTION MAKING</v>
      </c>
      <c r="BB48" t="str">
        <v>JUNIOR</v>
      </c>
      <c r="BC48" t="str">
        <v>Single</v>
      </c>
      <c r="BD48" t="str">
        <v>Non-Stg</v>
      </c>
      <c r="BE48">
        <v>3</v>
      </c>
      <c r="BF48" t="str">
        <v>Individual</v>
      </c>
      <c r="BG48" t="str">
        <v>Individual</v>
      </c>
      <c r="BH48" t="str">
        <v>P</v>
      </c>
      <c r="BI48" t="str">
        <v>PUBLISHED</v>
      </c>
      <c r="BK48">
        <v>42</v>
      </c>
      <c r="BL48" t="str">
        <v>SJ42</v>
      </c>
      <c r="BM48" t="str">
        <v>MASH UP</v>
      </c>
      <c r="BN48">
        <v>6</v>
      </c>
      <c r="BO48" t="str">
        <v>Group</v>
      </c>
      <c r="BP48" t="str">
        <v>Stage</v>
      </c>
      <c r="BQ48" t="str">
        <v>SUB JUNIOR</v>
      </c>
      <c r="BR48" t="str">
        <v>A110</v>
      </c>
      <c r="BS48" t="str">
        <v>A111</v>
      </c>
      <c r="BT48" t="str">
        <v>A140</v>
      </c>
      <c r="BU48" t="str">
        <v>A143</v>
      </c>
      <c r="BV48" t="str">
        <v>A151</v>
      </c>
      <c r="BW48" t="str">
        <v>A153</v>
      </c>
      <c r="BX48">
        <v>0</v>
      </c>
      <c r="BY48" t="str">
        <v>A115</v>
      </c>
      <c r="BZ48" t="str">
        <v>A158</v>
      </c>
      <c r="CA48" t="str">
        <v>A174</v>
      </c>
      <c r="CB48" t="str">
        <v>A113</v>
      </c>
      <c r="CC48" t="str">
        <v>A125</v>
      </c>
      <c r="CD48" t="str">
        <v>A131</v>
      </c>
      <c r="CE48">
        <v>0</v>
      </c>
      <c r="CF48" t="str">
        <v>A127</v>
      </c>
      <c r="CG48" t="str">
        <v>A142</v>
      </c>
      <c r="CH48" t="str">
        <v>A167</v>
      </c>
      <c r="CI48" t="str">
        <v>A152</v>
      </c>
      <c r="CJ48" t="str">
        <v>A163</v>
      </c>
      <c r="CK48" t="str">
        <v>A166</v>
      </c>
      <c r="CL48">
        <v>0</v>
      </c>
      <c r="CM48" t="str">
        <v>A102</v>
      </c>
      <c r="CN48" t="str">
        <v>A121</v>
      </c>
      <c r="CO48" t="str">
        <v>A144</v>
      </c>
      <c r="CP48" t="str">
        <v>A154</v>
      </c>
      <c r="CQ48" t="str">
        <v>A159</v>
      </c>
      <c r="CR48" t="str">
        <v>A160</v>
      </c>
      <c r="CS48">
        <v>0</v>
      </c>
      <c r="CT48">
        <v>0</v>
      </c>
      <c r="CU48">
        <v>0</v>
      </c>
      <c r="CV48">
        <v>0</v>
      </c>
      <c r="CW48">
        <v>0</v>
      </c>
      <c r="CX48">
        <v>0</v>
      </c>
      <c r="CY48">
        <v>0</v>
      </c>
      <c r="CZ48">
        <v>0</v>
      </c>
      <c r="DA48">
        <v>0</v>
      </c>
      <c r="DB48">
        <v>0</v>
      </c>
      <c r="DC48">
        <v>0</v>
      </c>
      <c r="DD48">
        <v>0</v>
      </c>
      <c r="DE48">
        <v>0</v>
      </c>
      <c r="DF48">
        <v>0</v>
      </c>
      <c r="DG48">
        <v>0</v>
      </c>
      <c r="DH48">
        <v>0</v>
      </c>
      <c r="DI48">
        <v>0</v>
      </c>
      <c r="DJ48">
        <v>0</v>
      </c>
      <c r="DK48">
        <v>0</v>
      </c>
      <c r="DL48">
        <v>0</v>
      </c>
      <c r="DM48">
        <v>0</v>
      </c>
      <c r="DN48">
        <v>0</v>
      </c>
      <c r="DO48">
        <v>0</v>
      </c>
      <c r="DP48">
        <v>0</v>
      </c>
      <c r="DQ48">
        <v>0</v>
      </c>
      <c r="DR48">
        <v>0</v>
      </c>
      <c r="DS48">
        <v>0</v>
      </c>
      <c r="DT48">
        <v>0</v>
      </c>
      <c r="DU48">
        <v>0</v>
      </c>
      <c r="DV48">
        <v>0</v>
      </c>
      <c r="DW48">
        <v>0</v>
      </c>
      <c r="DX48">
        <v>0</v>
      </c>
      <c r="DY48">
        <v>0</v>
      </c>
      <c r="DZ48">
        <v>0</v>
      </c>
      <c r="EA48">
        <v>0</v>
      </c>
      <c r="EB48">
        <v>0</v>
      </c>
      <c r="EC48">
        <v>0</v>
      </c>
      <c r="ED48">
        <v>0</v>
      </c>
      <c r="EE48">
        <v>0</v>
      </c>
      <c r="EF48">
        <v>0</v>
      </c>
      <c r="EG48">
        <v>0</v>
      </c>
      <c r="EH48">
        <v>0</v>
      </c>
      <c r="EI48">
        <v>0</v>
      </c>
      <c r="EJ48">
        <v>0</v>
      </c>
      <c r="EK48">
        <v>0</v>
      </c>
      <c r="EL48">
        <v>0</v>
      </c>
      <c r="EM48">
        <v>0</v>
      </c>
      <c r="EN48">
        <v>0</v>
      </c>
      <c r="EO48">
        <v>0</v>
      </c>
      <c r="EP48">
        <v>0</v>
      </c>
      <c r="EQ48">
        <v>0</v>
      </c>
      <c r="ER48">
        <v>0</v>
      </c>
      <c r="ES48">
        <v>0</v>
      </c>
      <c r="ET48">
        <v>0</v>
      </c>
      <c r="EU48">
        <v>0</v>
      </c>
      <c r="EV48">
        <v>0</v>
      </c>
      <c r="EW48">
        <v>0</v>
      </c>
      <c r="EX48">
        <v>0</v>
      </c>
      <c r="EY48">
        <v>0</v>
      </c>
      <c r="EZ48">
        <v>0</v>
      </c>
      <c r="FA48">
        <v>0</v>
      </c>
      <c r="FB48">
        <v>0</v>
      </c>
      <c r="FC48">
        <v>0</v>
      </c>
      <c r="FD48">
        <v>0</v>
      </c>
      <c r="FE48">
        <v>0</v>
      </c>
      <c r="FF48">
        <v>0</v>
      </c>
      <c r="FG48">
        <v>0</v>
      </c>
      <c r="FH48">
        <v>0</v>
      </c>
      <c r="FI48">
        <v>0</v>
      </c>
      <c r="FJ48">
        <v>0</v>
      </c>
      <c r="FK48">
        <v>0</v>
      </c>
      <c r="FL48">
        <v>0</v>
      </c>
      <c r="FM48">
        <v>0</v>
      </c>
      <c r="FN48">
        <v>0</v>
      </c>
      <c r="FO48">
        <v>0</v>
      </c>
      <c r="FP48">
        <v>0</v>
      </c>
      <c r="FQ48">
        <v>0</v>
      </c>
      <c r="FR48">
        <v>0</v>
      </c>
      <c r="FS48">
        <v>0</v>
      </c>
      <c r="FT48">
        <v>0</v>
      </c>
      <c r="FU48">
        <v>0</v>
      </c>
      <c r="FV48">
        <v>0</v>
      </c>
      <c r="FW48">
        <v>0</v>
      </c>
      <c r="FX48">
        <v>0</v>
      </c>
      <c r="FY48">
        <v>0</v>
      </c>
      <c r="FZ48">
        <v>0</v>
      </c>
      <c r="GA48">
        <v>0</v>
      </c>
      <c r="GB48">
        <v>0</v>
      </c>
      <c r="GC48">
        <v>0</v>
      </c>
      <c r="GD48">
        <v>0</v>
      </c>
      <c r="GE48">
        <v>0</v>
      </c>
      <c r="GF48">
        <v>0</v>
      </c>
      <c r="GG48">
        <v>0</v>
      </c>
      <c r="GH48">
        <v>0</v>
      </c>
      <c r="GI48">
        <v>0</v>
      </c>
      <c r="GJ48">
        <v>0</v>
      </c>
      <c r="GK48">
        <v>0</v>
      </c>
      <c r="GL48">
        <v>0</v>
      </c>
      <c r="GM48">
        <v>0</v>
      </c>
      <c r="GN48">
        <v>0</v>
      </c>
      <c r="GO48">
        <v>0</v>
      </c>
      <c r="GP48">
        <v>0</v>
      </c>
      <c r="GQ48">
        <v>0</v>
      </c>
      <c r="GR48">
        <v>0</v>
      </c>
      <c r="GS48">
        <v>0</v>
      </c>
      <c r="GT48">
        <v>0</v>
      </c>
      <c r="GU48">
        <v>0</v>
      </c>
      <c r="GV48">
        <v>0</v>
      </c>
      <c r="GW48">
        <v>0</v>
      </c>
      <c r="GX48">
        <v>0</v>
      </c>
      <c r="GY48">
        <v>0</v>
      </c>
      <c r="GZ48">
        <v>0</v>
      </c>
      <c r="HA48">
        <v>0</v>
      </c>
      <c r="HB48">
        <v>0</v>
      </c>
      <c r="HC48">
        <v>0</v>
      </c>
      <c r="HD48">
        <v>0</v>
      </c>
      <c r="HE48">
        <v>0</v>
      </c>
      <c r="HF48">
        <v>0</v>
      </c>
      <c r="HG48">
        <v>0</v>
      </c>
      <c r="HH48">
        <v>0</v>
      </c>
      <c r="HI48">
        <v>0</v>
      </c>
      <c r="HJ48">
        <v>0</v>
      </c>
      <c r="HK48">
        <v>0</v>
      </c>
      <c r="HL48">
        <v>0</v>
      </c>
      <c r="HM48">
        <v>0</v>
      </c>
      <c r="HN48">
        <v>0</v>
      </c>
      <c r="HO48">
        <v>0</v>
      </c>
      <c r="HP48">
        <v>0</v>
      </c>
      <c r="HQ48">
        <v>0</v>
      </c>
      <c r="HR48">
        <v>0</v>
      </c>
      <c r="HS48">
        <v>0</v>
      </c>
      <c r="HT48">
        <v>0</v>
      </c>
      <c r="HU48">
        <v>0</v>
      </c>
      <c r="HV48">
        <v>0</v>
      </c>
      <c r="HW48">
        <v>0</v>
      </c>
      <c r="HX48">
        <v>0</v>
      </c>
      <c r="HY48">
        <v>0</v>
      </c>
      <c r="HZ48">
        <v>0</v>
      </c>
      <c r="IA48">
        <v>0</v>
      </c>
      <c r="IB48">
        <v>0</v>
      </c>
      <c r="IC48">
        <v>0</v>
      </c>
      <c r="ID48">
        <v>0</v>
      </c>
      <c r="IE48">
        <v>0</v>
      </c>
      <c r="IF48">
        <v>0</v>
      </c>
      <c r="IG48">
        <v>0</v>
      </c>
      <c r="IH48">
        <v>0</v>
      </c>
      <c r="II48">
        <v>0</v>
      </c>
      <c r="IJ48">
        <v>0</v>
      </c>
      <c r="IK48">
        <v>0</v>
      </c>
      <c r="IL48">
        <v>0</v>
      </c>
      <c r="IM48">
        <v>0</v>
      </c>
      <c r="IN48">
        <v>0</v>
      </c>
      <c r="IO48">
        <v>0</v>
      </c>
      <c r="IP48">
        <v>0</v>
      </c>
      <c r="IQ48">
        <v>0</v>
      </c>
      <c r="IR48">
        <v>0</v>
      </c>
      <c r="IS48">
        <v>0</v>
      </c>
      <c r="IT48">
        <v>0</v>
      </c>
      <c r="IU48">
        <v>0</v>
      </c>
      <c r="IV48">
        <v>0</v>
      </c>
      <c r="IW48">
        <v>0</v>
      </c>
      <c r="IX48">
        <v>0</v>
      </c>
      <c r="IY48">
        <v>0</v>
      </c>
      <c r="IZ48">
        <v>0</v>
      </c>
      <c r="JA48">
        <v>0</v>
      </c>
      <c r="JB48">
        <v>0</v>
      </c>
      <c r="JC48">
        <v>0</v>
      </c>
      <c r="JD48">
        <v>0</v>
      </c>
      <c r="JE48">
        <v>0</v>
      </c>
      <c r="JF48">
        <v>0</v>
      </c>
      <c r="JG48">
        <v>0</v>
      </c>
      <c r="JH48">
        <v>0</v>
      </c>
      <c r="JI48">
        <v>0</v>
      </c>
      <c r="JJ48">
        <v>0</v>
      </c>
      <c r="JK48">
        <v>0</v>
      </c>
      <c r="JL48">
        <v>0</v>
      </c>
      <c r="JM48">
        <v>0</v>
      </c>
      <c r="JN48">
        <v>0</v>
      </c>
      <c r="JO48">
        <v>0</v>
      </c>
      <c r="JP48">
        <v>0</v>
      </c>
      <c r="JQ48">
        <v>0</v>
      </c>
      <c r="JR48">
        <v>0</v>
      </c>
      <c r="JS48">
        <v>0</v>
      </c>
      <c r="JT48">
        <v>0</v>
      </c>
      <c r="JU48">
        <v>0</v>
      </c>
      <c r="JV48">
        <v>0</v>
      </c>
      <c r="JW48">
        <v>0</v>
      </c>
      <c r="JX48">
        <v>0</v>
      </c>
      <c r="JY48">
        <v>0</v>
      </c>
      <c r="JZ48">
        <v>0</v>
      </c>
      <c r="KA48">
        <v>0</v>
      </c>
      <c r="KB48">
        <v>0</v>
      </c>
      <c r="KC48">
        <v>0</v>
      </c>
      <c r="KD48">
        <v>0</v>
      </c>
      <c r="KE48">
        <v>0</v>
      </c>
      <c r="KF48">
        <v>0</v>
      </c>
      <c r="KG48">
        <v>0</v>
      </c>
      <c r="KH48">
        <v>0</v>
      </c>
      <c r="KI48">
        <v>0</v>
      </c>
      <c r="KJ48">
        <v>0</v>
      </c>
      <c r="KK48">
        <v>0</v>
      </c>
      <c r="KL48">
        <v>0</v>
      </c>
      <c r="KM48">
        <v>0</v>
      </c>
      <c r="KN48">
        <v>0</v>
      </c>
      <c r="KO48">
        <v>0</v>
      </c>
      <c r="KP48">
        <v>0</v>
      </c>
      <c r="KQ48">
        <v>0</v>
      </c>
      <c r="KR48">
        <v>0</v>
      </c>
      <c r="KS48">
        <v>0</v>
      </c>
      <c r="KT48">
        <v>0</v>
      </c>
      <c r="KU48">
        <v>0</v>
      </c>
      <c r="KV48">
        <v>0</v>
      </c>
      <c r="KW48">
        <v>0</v>
      </c>
      <c r="KX48">
        <v>0</v>
      </c>
      <c r="KY48">
        <v>0</v>
      </c>
      <c r="KZ48">
        <v>0</v>
      </c>
      <c r="LA48">
        <v>0</v>
      </c>
      <c r="LB48">
        <v>0</v>
      </c>
      <c r="LC48">
        <v>0</v>
      </c>
      <c r="LD48">
        <v>0</v>
      </c>
      <c r="LE48">
        <v>0</v>
      </c>
      <c r="LF48">
        <v>0</v>
      </c>
      <c r="LG48">
        <v>0</v>
      </c>
      <c r="LH48">
        <v>0</v>
      </c>
      <c r="LI48">
        <v>0</v>
      </c>
      <c r="LJ48">
        <v>0</v>
      </c>
      <c r="LK48">
        <v>0</v>
      </c>
      <c r="LL48">
        <v>0</v>
      </c>
      <c r="LM48">
        <v>0</v>
      </c>
      <c r="LN48">
        <v>0</v>
      </c>
      <c r="LO48">
        <v>0</v>
      </c>
      <c r="LP48">
        <v>0</v>
      </c>
      <c r="LQ48">
        <v>0</v>
      </c>
      <c r="LR48">
        <v>0</v>
      </c>
      <c r="LS48">
        <v>0</v>
      </c>
      <c r="LT48">
        <v>0</v>
      </c>
      <c r="LU48">
        <v>0</v>
      </c>
      <c r="LV48">
        <v>0</v>
      </c>
      <c r="LW48">
        <v>0</v>
      </c>
      <c r="LX48">
        <v>0</v>
      </c>
      <c r="LY48">
        <v>0</v>
      </c>
      <c r="LZ48">
        <v>0</v>
      </c>
      <c r="MA48">
        <v>0</v>
      </c>
      <c r="MB48">
        <v>0</v>
      </c>
      <c r="MC48">
        <v>0</v>
      </c>
      <c r="MD48">
        <v>0</v>
      </c>
      <c r="ME48">
        <v>0</v>
      </c>
      <c r="MF48">
        <v>0</v>
      </c>
      <c r="MG48">
        <v>0</v>
      </c>
      <c r="MH48">
        <v>0</v>
      </c>
      <c r="MI48">
        <v>0</v>
      </c>
      <c r="MJ48">
        <v>0</v>
      </c>
      <c r="MK48">
        <v>0</v>
      </c>
      <c r="ML48">
        <v>0</v>
      </c>
      <c r="MM48">
        <v>0</v>
      </c>
      <c r="MN48">
        <v>0</v>
      </c>
      <c r="MO48">
        <v>0</v>
      </c>
      <c r="MP48">
        <v>0</v>
      </c>
      <c r="MQ48">
        <v>0</v>
      </c>
      <c r="MR48">
        <v>0</v>
      </c>
      <c r="MS48">
        <v>0</v>
      </c>
      <c r="MT48">
        <v>0</v>
      </c>
      <c r="MU48">
        <v>0</v>
      </c>
      <c r="MV48">
        <v>0</v>
      </c>
      <c r="MW48">
        <v>0</v>
      </c>
      <c r="MX48">
        <v>0</v>
      </c>
      <c r="MY48">
        <v>0</v>
      </c>
      <c r="MZ48">
        <v>0</v>
      </c>
      <c r="NA48">
        <v>0</v>
      </c>
      <c r="NB48">
        <v>0</v>
      </c>
      <c r="NC48">
        <v>0</v>
      </c>
      <c r="ND48">
        <v>0</v>
      </c>
      <c r="NE48">
        <v>0</v>
      </c>
    </row>
    <row r="49" spans="5:369" x14ac:dyDescent="0.45">
      <c r="E49">
        <v>0</v>
      </c>
      <c r="F49">
        <v>0</v>
      </c>
      <c r="G49">
        <v>0</v>
      </c>
      <c r="H49">
        <v>0</v>
      </c>
      <c r="I49">
        <v>0</v>
      </c>
      <c r="J49">
        <v>0</v>
      </c>
      <c r="K49">
        <v>0</v>
      </c>
      <c r="L49">
        <v>0</v>
      </c>
      <c r="M49">
        <v>0</v>
      </c>
      <c r="N49" t="str">
        <v/>
      </c>
      <c r="O49" t="str">
        <v/>
      </c>
      <c r="P49" t="str">
        <v/>
      </c>
      <c r="Q49" t="str">
        <v/>
      </c>
      <c r="R49" t="str">
        <v/>
      </c>
      <c r="S49" t="str">
        <v/>
      </c>
      <c r="T49" t="str">
        <v/>
      </c>
      <c r="U49">
        <v>0</v>
      </c>
      <c r="V49">
        <v>0</v>
      </c>
      <c r="W49">
        <v>0</v>
      </c>
      <c r="X49">
        <v>0</v>
      </c>
      <c r="Y49">
        <v>0</v>
      </c>
      <c r="Z49">
        <v>0</v>
      </c>
      <c r="AA49">
        <v>0</v>
      </c>
      <c r="AB49">
        <v>0</v>
      </c>
      <c r="AC49">
        <v>0</v>
      </c>
      <c r="AD49">
        <v>0</v>
      </c>
      <c r="AE49">
        <v>0</v>
      </c>
      <c r="AF49">
        <v>0</v>
      </c>
      <c r="AG49">
        <v>0</v>
      </c>
      <c r="AH49">
        <v>0</v>
      </c>
      <c r="AI49">
        <v>0</v>
      </c>
      <c r="AJ49">
        <v>0</v>
      </c>
      <c r="AK49">
        <v>0</v>
      </c>
      <c r="AL49">
        <v>0</v>
      </c>
      <c r="AM49">
        <v>0</v>
      </c>
      <c r="AN49" s="5">
        <v>0</v>
      </c>
      <c r="AO49" t="str">
        <v>A146</v>
      </c>
      <c r="AP49" t="str">
        <v>AHAMED ADIL. A</v>
      </c>
      <c r="AQ49" t="str">
        <v>BADF</v>
      </c>
      <c r="AR49" t="str">
        <v>SUB JUNIOR</v>
      </c>
      <c r="AS49">
        <v>2</v>
      </c>
      <c r="AT49">
        <v>35</v>
      </c>
      <c r="AU49">
        <v>0</v>
      </c>
      <c r="AV49">
        <v>35</v>
      </c>
      <c r="AW49">
        <v>35</v>
      </c>
      <c r="AX49">
        <v>32</v>
      </c>
      <c r="AY49" s="5">
        <v>32</v>
      </c>
      <c r="AZ49" t="str">
        <v>JN04</v>
      </c>
      <c r="BA49" t="str">
        <v>CARTOON</v>
      </c>
      <c r="BB49" t="str">
        <v>JUNIOR</v>
      </c>
      <c r="BC49" t="str">
        <v>Single</v>
      </c>
      <c r="BD49" t="str">
        <v>Non-Stg</v>
      </c>
      <c r="BE49">
        <v>2</v>
      </c>
      <c r="BF49" t="str">
        <v>Individual</v>
      </c>
      <c r="BG49" t="str">
        <v>Individual</v>
      </c>
      <c r="BH49" t="str">
        <v>P</v>
      </c>
      <c r="BI49" t="str">
        <v>PUBLISHED</v>
      </c>
      <c r="BK49">
        <v>43</v>
      </c>
      <c r="BL49" t="str">
        <v>SJ43</v>
      </c>
      <c r="BM49" t="str">
        <v>SPEECH &amp; SONG MLM</v>
      </c>
      <c r="BN49">
        <v>3</v>
      </c>
      <c r="BO49" t="str">
        <v>Group</v>
      </c>
      <c r="BP49" t="str">
        <v>Stage</v>
      </c>
      <c r="BQ49" t="str">
        <v>SUB JUNIOR</v>
      </c>
      <c r="BR49" t="str">
        <v>A111</v>
      </c>
      <c r="BS49" t="str">
        <v>A140</v>
      </c>
      <c r="BT49" t="str">
        <v>A153</v>
      </c>
      <c r="BU49">
        <v>0</v>
      </c>
      <c r="BV49">
        <v>0</v>
      </c>
      <c r="BW49">
        <v>0</v>
      </c>
      <c r="BX49">
        <v>0</v>
      </c>
      <c r="BY49" t="str">
        <v>A158</v>
      </c>
      <c r="BZ49" t="str">
        <v>A165</v>
      </c>
      <c r="CA49" t="str">
        <v>A174</v>
      </c>
      <c r="CB49">
        <v>0</v>
      </c>
      <c r="CC49">
        <v>0</v>
      </c>
      <c r="CD49">
        <v>0</v>
      </c>
      <c r="CE49">
        <v>0</v>
      </c>
      <c r="CF49" t="str">
        <v>A152</v>
      </c>
      <c r="CG49" t="str">
        <v>A163</v>
      </c>
      <c r="CH49" t="str">
        <v>A166</v>
      </c>
      <c r="CI49">
        <v>0</v>
      </c>
      <c r="CJ49">
        <v>0</v>
      </c>
      <c r="CK49">
        <v>0</v>
      </c>
      <c r="CL49">
        <v>0</v>
      </c>
      <c r="CM49" t="str">
        <v>A154</v>
      </c>
      <c r="CN49" t="str">
        <v>A155</v>
      </c>
      <c r="CO49" t="str">
        <v>A160</v>
      </c>
      <c r="CP49">
        <v>0</v>
      </c>
      <c r="CQ49">
        <v>0</v>
      </c>
      <c r="CR49">
        <v>0</v>
      </c>
      <c r="CS49">
        <v>0</v>
      </c>
      <c r="CT49">
        <v>0</v>
      </c>
      <c r="CU49">
        <v>0</v>
      </c>
      <c r="CV49">
        <v>0</v>
      </c>
      <c r="CW49">
        <v>0</v>
      </c>
      <c r="CX49">
        <v>0</v>
      </c>
      <c r="CY49">
        <v>0</v>
      </c>
      <c r="CZ49">
        <v>0</v>
      </c>
      <c r="DA49">
        <v>0</v>
      </c>
      <c r="DB49">
        <v>0</v>
      </c>
      <c r="DC49">
        <v>0</v>
      </c>
      <c r="DD49">
        <v>0</v>
      </c>
      <c r="DE49">
        <v>0</v>
      </c>
      <c r="DF49">
        <v>0</v>
      </c>
      <c r="DG49">
        <v>0</v>
      </c>
      <c r="DH49">
        <v>0</v>
      </c>
      <c r="DI49">
        <v>0</v>
      </c>
      <c r="DJ49">
        <v>0</v>
      </c>
      <c r="DK49">
        <v>0</v>
      </c>
      <c r="DL49">
        <v>0</v>
      </c>
      <c r="DM49">
        <v>0</v>
      </c>
      <c r="DN49">
        <v>0</v>
      </c>
      <c r="DO49">
        <v>0</v>
      </c>
      <c r="DP49">
        <v>0</v>
      </c>
      <c r="DQ49">
        <v>0</v>
      </c>
      <c r="DR49">
        <v>0</v>
      </c>
      <c r="DS49">
        <v>0</v>
      </c>
      <c r="DT49">
        <v>0</v>
      </c>
      <c r="DU49">
        <v>0</v>
      </c>
      <c r="DV49">
        <v>0</v>
      </c>
      <c r="DW49">
        <v>0</v>
      </c>
      <c r="DX49">
        <v>0</v>
      </c>
      <c r="DY49">
        <v>0</v>
      </c>
      <c r="DZ49">
        <v>0</v>
      </c>
      <c r="EA49">
        <v>0</v>
      </c>
      <c r="EB49">
        <v>0</v>
      </c>
      <c r="EC49">
        <v>0</v>
      </c>
      <c r="ED49">
        <v>0</v>
      </c>
      <c r="EE49">
        <v>0</v>
      </c>
      <c r="EF49">
        <v>0</v>
      </c>
      <c r="EG49">
        <v>0</v>
      </c>
      <c r="EH49">
        <v>0</v>
      </c>
      <c r="EI49">
        <v>0</v>
      </c>
      <c r="EJ49">
        <v>0</v>
      </c>
      <c r="EK49">
        <v>0</v>
      </c>
      <c r="EL49">
        <v>0</v>
      </c>
      <c r="EM49">
        <v>0</v>
      </c>
      <c r="EN49">
        <v>0</v>
      </c>
      <c r="EO49">
        <v>0</v>
      </c>
      <c r="EP49">
        <v>0</v>
      </c>
      <c r="EQ49">
        <v>0</v>
      </c>
      <c r="ER49">
        <v>0</v>
      </c>
      <c r="ES49">
        <v>0</v>
      </c>
      <c r="ET49">
        <v>0</v>
      </c>
      <c r="EU49">
        <v>0</v>
      </c>
      <c r="EV49">
        <v>0</v>
      </c>
      <c r="EW49">
        <v>0</v>
      </c>
      <c r="EX49">
        <v>0</v>
      </c>
      <c r="EY49">
        <v>0</v>
      </c>
      <c r="EZ49">
        <v>0</v>
      </c>
      <c r="FA49">
        <v>0</v>
      </c>
      <c r="FB49">
        <v>0</v>
      </c>
      <c r="FC49">
        <v>0</v>
      </c>
      <c r="FD49">
        <v>0</v>
      </c>
      <c r="FE49">
        <v>0</v>
      </c>
      <c r="FF49">
        <v>0</v>
      </c>
      <c r="FG49">
        <v>0</v>
      </c>
      <c r="FH49">
        <v>0</v>
      </c>
      <c r="FI49">
        <v>0</v>
      </c>
      <c r="FJ49">
        <v>0</v>
      </c>
      <c r="FK49">
        <v>0</v>
      </c>
      <c r="FL49">
        <v>0</v>
      </c>
      <c r="FM49">
        <v>0</v>
      </c>
      <c r="FN49">
        <v>0</v>
      </c>
      <c r="FO49">
        <v>0</v>
      </c>
      <c r="FP49">
        <v>0</v>
      </c>
      <c r="FQ49">
        <v>0</v>
      </c>
      <c r="FR49">
        <v>0</v>
      </c>
      <c r="FS49">
        <v>0</v>
      </c>
      <c r="FT49">
        <v>0</v>
      </c>
      <c r="FU49">
        <v>0</v>
      </c>
      <c r="FV49">
        <v>0</v>
      </c>
      <c r="FW49">
        <v>0</v>
      </c>
      <c r="FX49">
        <v>0</v>
      </c>
      <c r="FY49">
        <v>0</v>
      </c>
      <c r="FZ49">
        <v>0</v>
      </c>
      <c r="GA49">
        <v>0</v>
      </c>
      <c r="GB49">
        <v>0</v>
      </c>
      <c r="GC49">
        <v>0</v>
      </c>
      <c r="GD49">
        <v>0</v>
      </c>
      <c r="GE49">
        <v>0</v>
      </c>
      <c r="GF49">
        <v>0</v>
      </c>
      <c r="GG49">
        <v>0</v>
      </c>
      <c r="GH49">
        <v>0</v>
      </c>
      <c r="GI49">
        <v>0</v>
      </c>
      <c r="GJ49">
        <v>0</v>
      </c>
      <c r="GK49">
        <v>0</v>
      </c>
      <c r="GL49">
        <v>0</v>
      </c>
      <c r="GM49">
        <v>0</v>
      </c>
      <c r="GN49">
        <v>0</v>
      </c>
      <c r="GO49">
        <v>0</v>
      </c>
      <c r="GP49">
        <v>0</v>
      </c>
      <c r="GQ49">
        <v>0</v>
      </c>
      <c r="GR49">
        <v>0</v>
      </c>
      <c r="GS49">
        <v>0</v>
      </c>
      <c r="GT49">
        <v>0</v>
      </c>
      <c r="GU49">
        <v>0</v>
      </c>
      <c r="GV49">
        <v>0</v>
      </c>
      <c r="GW49">
        <v>0</v>
      </c>
      <c r="GX49">
        <v>0</v>
      </c>
      <c r="GY49">
        <v>0</v>
      </c>
      <c r="GZ49">
        <v>0</v>
      </c>
      <c r="HA49">
        <v>0</v>
      </c>
      <c r="HB49">
        <v>0</v>
      </c>
      <c r="HC49">
        <v>0</v>
      </c>
      <c r="HD49">
        <v>0</v>
      </c>
      <c r="HE49">
        <v>0</v>
      </c>
      <c r="HF49">
        <v>0</v>
      </c>
      <c r="HG49">
        <v>0</v>
      </c>
      <c r="HH49">
        <v>0</v>
      </c>
      <c r="HI49">
        <v>0</v>
      </c>
      <c r="HJ49">
        <v>0</v>
      </c>
      <c r="HK49">
        <v>0</v>
      </c>
      <c r="HL49">
        <v>0</v>
      </c>
      <c r="HM49">
        <v>0</v>
      </c>
      <c r="HN49">
        <v>0</v>
      </c>
      <c r="HO49">
        <v>0</v>
      </c>
      <c r="HP49">
        <v>0</v>
      </c>
      <c r="HQ49">
        <v>0</v>
      </c>
      <c r="HR49">
        <v>0</v>
      </c>
      <c r="HS49">
        <v>0</v>
      </c>
      <c r="HT49">
        <v>0</v>
      </c>
      <c r="HU49">
        <v>0</v>
      </c>
      <c r="HV49">
        <v>0</v>
      </c>
      <c r="HW49">
        <v>0</v>
      </c>
      <c r="HX49">
        <v>0</v>
      </c>
      <c r="HY49">
        <v>0</v>
      </c>
      <c r="HZ49">
        <v>0</v>
      </c>
      <c r="IA49">
        <v>0</v>
      </c>
      <c r="IB49">
        <v>0</v>
      </c>
      <c r="IC49">
        <v>0</v>
      </c>
      <c r="ID49">
        <v>0</v>
      </c>
      <c r="IE49">
        <v>0</v>
      </c>
      <c r="IF49">
        <v>0</v>
      </c>
      <c r="IG49">
        <v>0</v>
      </c>
      <c r="IH49">
        <v>0</v>
      </c>
      <c r="II49">
        <v>0</v>
      </c>
      <c r="IJ49">
        <v>0</v>
      </c>
      <c r="IK49">
        <v>0</v>
      </c>
      <c r="IL49">
        <v>0</v>
      </c>
      <c r="IM49">
        <v>0</v>
      </c>
      <c r="IN49">
        <v>0</v>
      </c>
      <c r="IO49">
        <v>0</v>
      </c>
      <c r="IP49">
        <v>0</v>
      </c>
      <c r="IQ49">
        <v>0</v>
      </c>
      <c r="IR49">
        <v>0</v>
      </c>
      <c r="IS49">
        <v>0</v>
      </c>
      <c r="IT49">
        <v>0</v>
      </c>
      <c r="IU49">
        <v>0</v>
      </c>
      <c r="IV49">
        <v>0</v>
      </c>
      <c r="IW49">
        <v>0</v>
      </c>
      <c r="IX49">
        <v>0</v>
      </c>
      <c r="IY49">
        <v>0</v>
      </c>
      <c r="IZ49">
        <v>0</v>
      </c>
      <c r="JA49">
        <v>0</v>
      </c>
      <c r="JB49">
        <v>0</v>
      </c>
      <c r="JC49">
        <v>0</v>
      </c>
      <c r="JD49">
        <v>0</v>
      </c>
      <c r="JE49">
        <v>0</v>
      </c>
      <c r="JF49">
        <v>0</v>
      </c>
      <c r="JG49">
        <v>0</v>
      </c>
      <c r="JH49">
        <v>0</v>
      </c>
      <c r="JI49">
        <v>0</v>
      </c>
      <c r="JJ49">
        <v>0</v>
      </c>
      <c r="JK49">
        <v>0</v>
      </c>
      <c r="JL49">
        <v>0</v>
      </c>
      <c r="JM49">
        <v>0</v>
      </c>
      <c r="JN49">
        <v>0</v>
      </c>
      <c r="JO49">
        <v>0</v>
      </c>
      <c r="JP49">
        <v>0</v>
      </c>
      <c r="JQ49">
        <v>0</v>
      </c>
      <c r="JR49">
        <v>0</v>
      </c>
      <c r="JS49">
        <v>0</v>
      </c>
      <c r="JT49">
        <v>0</v>
      </c>
      <c r="JU49">
        <v>0</v>
      </c>
      <c r="JV49">
        <v>0</v>
      </c>
      <c r="JW49">
        <v>0</v>
      </c>
      <c r="JX49">
        <v>0</v>
      </c>
      <c r="JY49">
        <v>0</v>
      </c>
      <c r="JZ49">
        <v>0</v>
      </c>
      <c r="KA49">
        <v>0</v>
      </c>
      <c r="KB49">
        <v>0</v>
      </c>
      <c r="KC49">
        <v>0</v>
      </c>
      <c r="KD49">
        <v>0</v>
      </c>
      <c r="KE49">
        <v>0</v>
      </c>
      <c r="KF49">
        <v>0</v>
      </c>
      <c r="KG49">
        <v>0</v>
      </c>
      <c r="KH49">
        <v>0</v>
      </c>
      <c r="KI49">
        <v>0</v>
      </c>
      <c r="KJ49">
        <v>0</v>
      </c>
      <c r="KK49">
        <v>0</v>
      </c>
      <c r="KL49">
        <v>0</v>
      </c>
      <c r="KM49">
        <v>0</v>
      </c>
      <c r="KN49">
        <v>0</v>
      </c>
      <c r="KO49">
        <v>0</v>
      </c>
      <c r="KP49">
        <v>0</v>
      </c>
      <c r="KQ49">
        <v>0</v>
      </c>
      <c r="KR49">
        <v>0</v>
      </c>
      <c r="KS49">
        <v>0</v>
      </c>
      <c r="KT49">
        <v>0</v>
      </c>
      <c r="KU49">
        <v>0</v>
      </c>
      <c r="KV49">
        <v>0</v>
      </c>
      <c r="KW49">
        <v>0</v>
      </c>
      <c r="KX49">
        <v>0</v>
      </c>
      <c r="KY49">
        <v>0</v>
      </c>
      <c r="KZ49">
        <v>0</v>
      </c>
      <c r="LA49">
        <v>0</v>
      </c>
      <c r="LB49">
        <v>0</v>
      </c>
      <c r="LC49">
        <v>0</v>
      </c>
      <c r="LD49">
        <v>0</v>
      </c>
      <c r="LE49">
        <v>0</v>
      </c>
      <c r="LF49">
        <v>0</v>
      </c>
      <c r="LG49">
        <v>0</v>
      </c>
      <c r="LH49">
        <v>0</v>
      </c>
      <c r="LI49">
        <v>0</v>
      </c>
      <c r="LJ49">
        <v>0</v>
      </c>
      <c r="LK49">
        <v>0</v>
      </c>
      <c r="LL49">
        <v>0</v>
      </c>
      <c r="LM49">
        <v>0</v>
      </c>
      <c r="LN49">
        <v>0</v>
      </c>
      <c r="LO49">
        <v>0</v>
      </c>
      <c r="LP49">
        <v>0</v>
      </c>
      <c r="LQ49">
        <v>0</v>
      </c>
      <c r="LR49">
        <v>0</v>
      </c>
      <c r="LS49">
        <v>0</v>
      </c>
      <c r="LT49">
        <v>0</v>
      </c>
      <c r="LU49">
        <v>0</v>
      </c>
      <c r="LV49">
        <v>0</v>
      </c>
      <c r="LW49">
        <v>0</v>
      </c>
      <c r="LX49">
        <v>0</v>
      </c>
      <c r="LY49">
        <v>0</v>
      </c>
      <c r="LZ49">
        <v>0</v>
      </c>
      <c r="MA49">
        <v>0</v>
      </c>
      <c r="MB49">
        <v>0</v>
      </c>
      <c r="MC49">
        <v>0</v>
      </c>
      <c r="MD49">
        <v>0</v>
      </c>
      <c r="ME49">
        <v>0</v>
      </c>
      <c r="MF49">
        <v>0</v>
      </c>
      <c r="MG49">
        <v>0</v>
      </c>
      <c r="MH49">
        <v>0</v>
      </c>
      <c r="MI49">
        <v>0</v>
      </c>
      <c r="MJ49">
        <v>0</v>
      </c>
      <c r="MK49">
        <v>0</v>
      </c>
      <c r="ML49">
        <v>0</v>
      </c>
      <c r="MM49">
        <v>0</v>
      </c>
      <c r="MN49">
        <v>0</v>
      </c>
      <c r="MO49">
        <v>0</v>
      </c>
      <c r="MP49">
        <v>0</v>
      </c>
      <c r="MQ49">
        <v>0</v>
      </c>
      <c r="MR49">
        <v>0</v>
      </c>
      <c r="MS49">
        <v>0</v>
      </c>
      <c r="MT49">
        <v>0</v>
      </c>
      <c r="MU49">
        <v>0</v>
      </c>
      <c r="MV49">
        <v>0</v>
      </c>
      <c r="MW49">
        <v>0</v>
      </c>
      <c r="MX49">
        <v>0</v>
      </c>
      <c r="MY49">
        <v>0</v>
      </c>
      <c r="MZ49">
        <v>0</v>
      </c>
      <c r="NA49">
        <v>0</v>
      </c>
      <c r="NB49">
        <v>0</v>
      </c>
      <c r="NC49">
        <v>0</v>
      </c>
      <c r="ND49">
        <v>0</v>
      </c>
      <c r="NE49">
        <v>0</v>
      </c>
    </row>
    <row r="50" spans="5:369" x14ac:dyDescent="0.45">
      <c r="E50">
        <v>0</v>
      </c>
      <c r="F50">
        <v>0</v>
      </c>
      <c r="G50">
        <v>0</v>
      </c>
      <c r="H50">
        <v>0</v>
      </c>
      <c r="I50">
        <v>0</v>
      </c>
      <c r="J50">
        <v>0</v>
      </c>
      <c r="K50">
        <v>0</v>
      </c>
      <c r="L50">
        <v>0</v>
      </c>
      <c r="M50">
        <v>0</v>
      </c>
      <c r="N50" t="str">
        <v/>
      </c>
      <c r="O50" t="str">
        <v/>
      </c>
      <c r="P50" t="str">
        <v/>
      </c>
      <c r="Q50" t="str">
        <v/>
      </c>
      <c r="R50" t="str">
        <v/>
      </c>
      <c r="S50" t="str">
        <v/>
      </c>
      <c r="T50" t="str">
        <v/>
      </c>
      <c r="U50">
        <v>0</v>
      </c>
      <c r="V50">
        <v>0</v>
      </c>
      <c r="W50">
        <v>0</v>
      </c>
      <c r="X50">
        <v>0</v>
      </c>
      <c r="Y50">
        <v>0</v>
      </c>
      <c r="Z50">
        <v>0</v>
      </c>
      <c r="AA50">
        <v>0</v>
      </c>
      <c r="AB50">
        <v>0</v>
      </c>
      <c r="AC50">
        <v>0</v>
      </c>
      <c r="AD50">
        <v>0</v>
      </c>
      <c r="AE50">
        <v>0</v>
      </c>
      <c r="AF50">
        <v>0</v>
      </c>
      <c r="AG50">
        <v>0</v>
      </c>
      <c r="AH50">
        <v>0</v>
      </c>
      <c r="AI50">
        <v>0</v>
      </c>
      <c r="AJ50">
        <v>0</v>
      </c>
      <c r="AK50">
        <v>0</v>
      </c>
      <c r="AL50">
        <v>0</v>
      </c>
      <c r="AM50">
        <v>0</v>
      </c>
      <c r="AN50" s="5">
        <v>0</v>
      </c>
      <c r="AO50" t="str">
        <v>A147</v>
      </c>
      <c r="AP50" t="str">
        <v>AHMED WALEED K A</v>
      </c>
      <c r="AQ50" t="str">
        <v>DAHF</v>
      </c>
      <c r="AR50" t="str">
        <v>SUB JUNIOR</v>
      </c>
      <c r="AS50">
        <v>2</v>
      </c>
      <c r="AT50">
        <v>22</v>
      </c>
      <c r="AU50">
        <v>0</v>
      </c>
      <c r="AV50">
        <v>22</v>
      </c>
      <c r="AW50">
        <v>22</v>
      </c>
      <c r="AX50">
        <v>72</v>
      </c>
      <c r="AY50" s="5">
        <v>72</v>
      </c>
      <c r="AZ50" t="str">
        <v>JN05</v>
      </c>
      <c r="BA50" t="str">
        <v>ESSAY ARB</v>
      </c>
      <c r="BB50" t="str">
        <v>JUNIOR</v>
      </c>
      <c r="BC50" t="str">
        <v>Single</v>
      </c>
      <c r="BD50" t="str">
        <v>Non-Stg</v>
      </c>
      <c r="BE50">
        <v>3</v>
      </c>
      <c r="BF50" t="str">
        <v>Individual</v>
      </c>
      <c r="BG50" t="str">
        <v>Individual</v>
      </c>
      <c r="BH50" t="str">
        <v>P</v>
      </c>
      <c r="BI50" t="str">
        <v>PUBLISHED</v>
      </c>
      <c r="BK50">
        <v>44</v>
      </c>
      <c r="BL50" t="str">
        <v>JN01</v>
      </c>
      <c r="BM50" t="str">
        <v>ACRYLIC PAINTING</v>
      </c>
      <c r="BN50">
        <v>3</v>
      </c>
      <c r="BO50" t="str">
        <v>Single</v>
      </c>
      <c r="BP50" t="str">
        <v>Non-Stg</v>
      </c>
      <c r="BQ50" t="str">
        <v>JUNIOR</v>
      </c>
      <c r="BR50" t="str">
        <v>B111</v>
      </c>
      <c r="BS50" t="str">
        <v>B115</v>
      </c>
      <c r="BT50" t="str">
        <v>B145</v>
      </c>
      <c r="BU50">
        <v>0</v>
      </c>
      <c r="BV50">
        <v>0</v>
      </c>
      <c r="BW50">
        <v>0</v>
      </c>
      <c r="BX50">
        <v>0</v>
      </c>
      <c r="BY50" t="str">
        <v>B124</v>
      </c>
      <c r="BZ50" t="str">
        <v>B154</v>
      </c>
      <c r="CA50" t="str">
        <v>B161</v>
      </c>
      <c r="CB50">
        <v>0</v>
      </c>
      <c r="CC50">
        <v>0</v>
      </c>
      <c r="CD50">
        <v>0</v>
      </c>
      <c r="CE50">
        <v>0</v>
      </c>
      <c r="CF50" t="str">
        <v>B106</v>
      </c>
      <c r="CG50" t="str">
        <v>B137</v>
      </c>
      <c r="CH50" t="str">
        <v>B151</v>
      </c>
      <c r="CI50">
        <v>0</v>
      </c>
      <c r="CJ50">
        <v>0</v>
      </c>
      <c r="CK50">
        <v>0</v>
      </c>
      <c r="CL50">
        <v>0</v>
      </c>
      <c r="CM50" t="str">
        <v>B119</v>
      </c>
      <c r="CN50" t="str">
        <v>B131</v>
      </c>
      <c r="CO50" t="str">
        <v>B107</v>
      </c>
      <c r="CP50">
        <v>0</v>
      </c>
      <c r="CQ50">
        <v>0</v>
      </c>
      <c r="CR50">
        <v>0</v>
      </c>
      <c r="CS50">
        <v>0</v>
      </c>
      <c r="CT50">
        <v>0</v>
      </c>
      <c r="CU50">
        <v>0</v>
      </c>
      <c r="CV50">
        <v>0</v>
      </c>
      <c r="CW50">
        <v>0</v>
      </c>
      <c r="CX50">
        <v>0</v>
      </c>
      <c r="CY50">
        <v>0</v>
      </c>
      <c r="CZ50">
        <v>0</v>
      </c>
      <c r="DA50">
        <v>0</v>
      </c>
      <c r="DB50">
        <v>0</v>
      </c>
      <c r="DC50">
        <v>0</v>
      </c>
      <c r="DD50">
        <v>0</v>
      </c>
      <c r="DE50">
        <v>0</v>
      </c>
      <c r="DF50">
        <v>0</v>
      </c>
      <c r="DG50">
        <v>0</v>
      </c>
      <c r="DH50">
        <v>0</v>
      </c>
      <c r="DI50">
        <v>0</v>
      </c>
      <c r="DJ50">
        <v>0</v>
      </c>
      <c r="DK50">
        <v>0</v>
      </c>
      <c r="DL50">
        <v>0</v>
      </c>
      <c r="DM50">
        <v>0</v>
      </c>
      <c r="DN50">
        <v>0</v>
      </c>
      <c r="DO50">
        <v>0</v>
      </c>
      <c r="DP50">
        <v>0</v>
      </c>
      <c r="DQ50">
        <v>0</v>
      </c>
      <c r="DR50">
        <v>0</v>
      </c>
      <c r="DS50">
        <v>0</v>
      </c>
      <c r="DT50">
        <v>0</v>
      </c>
      <c r="DU50">
        <v>0</v>
      </c>
      <c r="DV50">
        <v>0</v>
      </c>
      <c r="DW50">
        <v>0</v>
      </c>
      <c r="DX50">
        <v>0</v>
      </c>
      <c r="DY50">
        <v>0</v>
      </c>
      <c r="DZ50">
        <v>0</v>
      </c>
      <c r="EA50">
        <v>0</v>
      </c>
      <c r="EB50">
        <v>0</v>
      </c>
      <c r="EC50">
        <v>0</v>
      </c>
      <c r="ED50">
        <v>0</v>
      </c>
      <c r="EE50">
        <v>0</v>
      </c>
      <c r="EF50">
        <v>0</v>
      </c>
      <c r="EG50">
        <v>0</v>
      </c>
      <c r="EH50">
        <v>0</v>
      </c>
      <c r="EI50">
        <v>0</v>
      </c>
      <c r="EJ50">
        <v>0</v>
      </c>
      <c r="EK50">
        <v>0</v>
      </c>
      <c r="EL50">
        <v>0</v>
      </c>
      <c r="EM50">
        <v>0</v>
      </c>
      <c r="EN50">
        <v>0</v>
      </c>
      <c r="EO50">
        <v>0</v>
      </c>
      <c r="EP50">
        <v>0</v>
      </c>
      <c r="EQ50">
        <v>0</v>
      </c>
      <c r="ER50">
        <v>0</v>
      </c>
      <c r="ES50">
        <v>0</v>
      </c>
      <c r="ET50">
        <v>0</v>
      </c>
      <c r="EU50">
        <v>0</v>
      </c>
      <c r="EV50">
        <v>0</v>
      </c>
      <c r="EW50">
        <v>0</v>
      </c>
      <c r="EX50">
        <v>0</v>
      </c>
      <c r="EY50">
        <v>0</v>
      </c>
      <c r="EZ50">
        <v>0</v>
      </c>
      <c r="FA50">
        <v>0</v>
      </c>
      <c r="FB50">
        <v>0</v>
      </c>
      <c r="FC50">
        <v>0</v>
      </c>
      <c r="FD50">
        <v>0</v>
      </c>
      <c r="FE50">
        <v>0</v>
      </c>
      <c r="FF50">
        <v>0</v>
      </c>
      <c r="FG50">
        <v>0</v>
      </c>
      <c r="FH50">
        <v>0</v>
      </c>
      <c r="FI50">
        <v>0</v>
      </c>
      <c r="FJ50">
        <v>0</v>
      </c>
      <c r="FK50">
        <v>0</v>
      </c>
      <c r="FL50">
        <v>0</v>
      </c>
      <c r="FM50">
        <v>0</v>
      </c>
      <c r="FN50">
        <v>0</v>
      </c>
      <c r="FO50">
        <v>0</v>
      </c>
      <c r="FP50">
        <v>0</v>
      </c>
      <c r="FQ50">
        <v>0</v>
      </c>
      <c r="FR50">
        <v>0</v>
      </c>
      <c r="FS50">
        <v>0</v>
      </c>
      <c r="FT50">
        <v>0</v>
      </c>
      <c r="FU50">
        <v>0</v>
      </c>
      <c r="FV50">
        <v>0</v>
      </c>
      <c r="FW50">
        <v>0</v>
      </c>
      <c r="FX50">
        <v>0</v>
      </c>
      <c r="FY50">
        <v>0</v>
      </c>
      <c r="FZ50">
        <v>0</v>
      </c>
      <c r="GA50">
        <v>0</v>
      </c>
      <c r="GB50">
        <v>0</v>
      </c>
      <c r="GC50">
        <v>0</v>
      </c>
      <c r="GD50">
        <v>0</v>
      </c>
      <c r="GE50">
        <v>0</v>
      </c>
      <c r="GF50">
        <v>0</v>
      </c>
      <c r="GG50">
        <v>0</v>
      </c>
      <c r="GH50">
        <v>0</v>
      </c>
      <c r="GI50">
        <v>0</v>
      </c>
      <c r="GJ50">
        <v>0</v>
      </c>
      <c r="GK50">
        <v>0</v>
      </c>
      <c r="GL50">
        <v>0</v>
      </c>
      <c r="GM50">
        <v>0</v>
      </c>
      <c r="GN50">
        <v>0</v>
      </c>
      <c r="GO50">
        <v>0</v>
      </c>
      <c r="GP50">
        <v>0</v>
      </c>
      <c r="GQ50">
        <v>0</v>
      </c>
      <c r="GR50">
        <v>0</v>
      </c>
      <c r="GS50">
        <v>0</v>
      </c>
      <c r="GT50">
        <v>0</v>
      </c>
      <c r="GU50">
        <v>0</v>
      </c>
      <c r="GV50">
        <v>0</v>
      </c>
      <c r="GW50">
        <v>0</v>
      </c>
      <c r="GX50">
        <v>0</v>
      </c>
      <c r="GY50">
        <v>0</v>
      </c>
      <c r="GZ50">
        <v>0</v>
      </c>
      <c r="HA50">
        <v>0</v>
      </c>
      <c r="HB50">
        <v>0</v>
      </c>
      <c r="HC50">
        <v>0</v>
      </c>
      <c r="HD50">
        <v>0</v>
      </c>
      <c r="HE50">
        <v>0</v>
      </c>
      <c r="HF50">
        <v>0</v>
      </c>
      <c r="HG50">
        <v>0</v>
      </c>
      <c r="HH50">
        <v>0</v>
      </c>
      <c r="HI50">
        <v>0</v>
      </c>
      <c r="HJ50">
        <v>0</v>
      </c>
      <c r="HK50">
        <v>0</v>
      </c>
      <c r="HL50">
        <v>0</v>
      </c>
      <c r="HM50">
        <v>0</v>
      </c>
      <c r="HN50">
        <v>0</v>
      </c>
      <c r="HO50">
        <v>0</v>
      </c>
      <c r="HP50">
        <v>0</v>
      </c>
      <c r="HQ50">
        <v>0</v>
      </c>
      <c r="HR50">
        <v>0</v>
      </c>
      <c r="HS50">
        <v>0</v>
      </c>
      <c r="HT50">
        <v>0</v>
      </c>
      <c r="HU50">
        <v>0</v>
      </c>
      <c r="HV50">
        <v>0</v>
      </c>
      <c r="HW50">
        <v>0</v>
      </c>
      <c r="HX50">
        <v>0</v>
      </c>
      <c r="HY50">
        <v>0</v>
      </c>
      <c r="HZ50">
        <v>0</v>
      </c>
      <c r="IA50">
        <v>0</v>
      </c>
      <c r="IB50">
        <v>0</v>
      </c>
      <c r="IC50">
        <v>0</v>
      </c>
      <c r="ID50">
        <v>0</v>
      </c>
      <c r="IE50">
        <v>0</v>
      </c>
      <c r="IF50">
        <v>0</v>
      </c>
      <c r="IG50">
        <v>0</v>
      </c>
      <c r="IH50">
        <v>0</v>
      </c>
      <c r="II50">
        <v>0</v>
      </c>
      <c r="IJ50">
        <v>0</v>
      </c>
      <c r="IK50">
        <v>0</v>
      </c>
      <c r="IL50">
        <v>0</v>
      </c>
      <c r="IM50">
        <v>0</v>
      </c>
      <c r="IN50">
        <v>0</v>
      </c>
      <c r="IO50">
        <v>0</v>
      </c>
      <c r="IP50">
        <v>0</v>
      </c>
      <c r="IQ50">
        <v>0</v>
      </c>
      <c r="IR50">
        <v>0</v>
      </c>
      <c r="IS50">
        <v>0</v>
      </c>
      <c r="IT50">
        <v>0</v>
      </c>
      <c r="IU50">
        <v>0</v>
      </c>
      <c r="IV50">
        <v>0</v>
      </c>
      <c r="IW50">
        <v>0</v>
      </c>
      <c r="IX50">
        <v>0</v>
      </c>
      <c r="IY50">
        <v>0</v>
      </c>
      <c r="IZ50">
        <v>0</v>
      </c>
      <c r="JA50">
        <v>0</v>
      </c>
      <c r="JB50">
        <v>0</v>
      </c>
      <c r="JC50">
        <v>0</v>
      </c>
      <c r="JD50">
        <v>0</v>
      </c>
      <c r="JE50">
        <v>0</v>
      </c>
      <c r="JF50">
        <v>0</v>
      </c>
      <c r="JG50">
        <v>0</v>
      </c>
      <c r="JH50">
        <v>0</v>
      </c>
      <c r="JI50">
        <v>0</v>
      </c>
      <c r="JJ50">
        <v>0</v>
      </c>
      <c r="JK50">
        <v>0</v>
      </c>
      <c r="JL50">
        <v>0</v>
      </c>
      <c r="JM50">
        <v>0</v>
      </c>
      <c r="JN50">
        <v>0</v>
      </c>
      <c r="JO50">
        <v>0</v>
      </c>
      <c r="JP50">
        <v>0</v>
      </c>
      <c r="JQ50">
        <v>0</v>
      </c>
      <c r="JR50">
        <v>0</v>
      </c>
      <c r="JS50">
        <v>0</v>
      </c>
      <c r="JT50">
        <v>0</v>
      </c>
      <c r="JU50">
        <v>0</v>
      </c>
      <c r="JV50">
        <v>0</v>
      </c>
      <c r="JW50">
        <v>0</v>
      </c>
      <c r="JX50">
        <v>0</v>
      </c>
      <c r="JY50">
        <v>0</v>
      </c>
      <c r="JZ50">
        <v>0</v>
      </c>
      <c r="KA50">
        <v>0</v>
      </c>
      <c r="KB50">
        <v>0</v>
      </c>
      <c r="KC50">
        <v>0</v>
      </c>
      <c r="KD50">
        <v>0</v>
      </c>
      <c r="KE50">
        <v>0</v>
      </c>
      <c r="KF50">
        <v>0</v>
      </c>
      <c r="KG50">
        <v>0</v>
      </c>
      <c r="KH50">
        <v>0</v>
      </c>
      <c r="KI50">
        <v>0</v>
      </c>
      <c r="KJ50">
        <v>0</v>
      </c>
      <c r="KK50">
        <v>0</v>
      </c>
      <c r="KL50">
        <v>0</v>
      </c>
      <c r="KM50">
        <v>0</v>
      </c>
      <c r="KN50">
        <v>0</v>
      </c>
      <c r="KO50">
        <v>0</v>
      </c>
      <c r="KP50">
        <v>0</v>
      </c>
      <c r="KQ50">
        <v>0</v>
      </c>
      <c r="KR50">
        <v>0</v>
      </c>
      <c r="KS50">
        <v>0</v>
      </c>
      <c r="KT50">
        <v>0</v>
      </c>
      <c r="KU50">
        <v>0</v>
      </c>
      <c r="KV50">
        <v>0</v>
      </c>
      <c r="KW50">
        <v>0</v>
      </c>
      <c r="KX50">
        <v>0</v>
      </c>
      <c r="KY50">
        <v>0</v>
      </c>
      <c r="KZ50">
        <v>0</v>
      </c>
      <c r="LA50">
        <v>0</v>
      </c>
      <c r="LB50">
        <v>0</v>
      </c>
      <c r="LC50">
        <v>0</v>
      </c>
      <c r="LD50">
        <v>0</v>
      </c>
      <c r="LE50">
        <v>0</v>
      </c>
      <c r="LF50">
        <v>0</v>
      </c>
      <c r="LG50">
        <v>0</v>
      </c>
      <c r="LH50">
        <v>0</v>
      </c>
      <c r="LI50">
        <v>0</v>
      </c>
      <c r="LJ50">
        <v>0</v>
      </c>
      <c r="LK50">
        <v>0</v>
      </c>
      <c r="LL50">
        <v>0</v>
      </c>
      <c r="LM50">
        <v>0</v>
      </c>
      <c r="LN50">
        <v>0</v>
      </c>
      <c r="LO50">
        <v>0</v>
      </c>
      <c r="LP50">
        <v>0</v>
      </c>
      <c r="LQ50">
        <v>0</v>
      </c>
      <c r="LR50">
        <v>0</v>
      </c>
      <c r="LS50">
        <v>0</v>
      </c>
      <c r="LT50">
        <v>0</v>
      </c>
      <c r="LU50">
        <v>0</v>
      </c>
      <c r="LV50">
        <v>0</v>
      </c>
      <c r="LW50">
        <v>0</v>
      </c>
      <c r="LX50">
        <v>0</v>
      </c>
      <c r="LY50">
        <v>0</v>
      </c>
      <c r="LZ50">
        <v>0</v>
      </c>
      <c r="MA50">
        <v>0</v>
      </c>
      <c r="MB50">
        <v>0</v>
      </c>
      <c r="MC50">
        <v>0</v>
      </c>
      <c r="MD50">
        <v>0</v>
      </c>
      <c r="ME50">
        <v>0</v>
      </c>
      <c r="MF50">
        <v>0</v>
      </c>
      <c r="MG50">
        <v>0</v>
      </c>
      <c r="MH50">
        <v>0</v>
      </c>
      <c r="MI50">
        <v>0</v>
      </c>
      <c r="MJ50">
        <v>0</v>
      </c>
      <c r="MK50">
        <v>0</v>
      </c>
      <c r="ML50">
        <v>0</v>
      </c>
      <c r="MM50">
        <v>0</v>
      </c>
      <c r="MN50">
        <v>0</v>
      </c>
      <c r="MO50">
        <v>0</v>
      </c>
      <c r="MP50">
        <v>0</v>
      </c>
      <c r="MQ50">
        <v>0</v>
      </c>
      <c r="MR50">
        <v>0</v>
      </c>
      <c r="MS50">
        <v>0</v>
      </c>
      <c r="MT50">
        <v>0</v>
      </c>
      <c r="MU50">
        <v>0</v>
      </c>
      <c r="MV50">
        <v>0</v>
      </c>
      <c r="MW50">
        <v>0</v>
      </c>
      <c r="MX50">
        <v>0</v>
      </c>
      <c r="MY50">
        <v>0</v>
      </c>
      <c r="MZ50">
        <v>0</v>
      </c>
      <c r="NA50">
        <v>0</v>
      </c>
      <c r="NB50">
        <v>0</v>
      </c>
      <c r="NC50">
        <v>0</v>
      </c>
      <c r="ND50">
        <v>0</v>
      </c>
      <c r="NE50">
        <v>0</v>
      </c>
    </row>
    <row r="51" spans="5:369" x14ac:dyDescent="0.45">
      <c r="E51">
        <v>0</v>
      </c>
      <c r="F51">
        <v>0</v>
      </c>
      <c r="G51">
        <v>0</v>
      </c>
      <c r="H51">
        <v>0</v>
      </c>
      <c r="I51">
        <v>0</v>
      </c>
      <c r="J51">
        <v>0</v>
      </c>
      <c r="K51">
        <v>0</v>
      </c>
      <c r="L51">
        <v>0</v>
      </c>
      <c r="M51">
        <v>0</v>
      </c>
      <c r="N51" t="str">
        <v/>
      </c>
      <c r="O51" t="str">
        <v/>
      </c>
      <c r="P51" t="str">
        <v/>
      </c>
      <c r="Q51" t="str">
        <v/>
      </c>
      <c r="R51" t="str">
        <v/>
      </c>
      <c r="S51" t="str">
        <v/>
      </c>
      <c r="T51" t="str">
        <v/>
      </c>
      <c r="U51">
        <v>0</v>
      </c>
      <c r="V51">
        <v>0</v>
      </c>
      <c r="W51">
        <v>0</v>
      </c>
      <c r="X51">
        <v>0</v>
      </c>
      <c r="Y51">
        <v>0</v>
      </c>
      <c r="Z51">
        <v>0</v>
      </c>
      <c r="AA51">
        <v>0</v>
      </c>
      <c r="AB51">
        <v>0</v>
      </c>
      <c r="AC51">
        <v>0</v>
      </c>
      <c r="AD51">
        <v>0</v>
      </c>
      <c r="AE51">
        <v>0</v>
      </c>
      <c r="AF51">
        <v>0</v>
      </c>
      <c r="AG51">
        <v>0</v>
      </c>
      <c r="AH51">
        <v>0</v>
      </c>
      <c r="AI51">
        <v>0</v>
      </c>
      <c r="AJ51">
        <v>0</v>
      </c>
      <c r="AK51">
        <v>0</v>
      </c>
      <c r="AL51">
        <v>0</v>
      </c>
      <c r="AM51">
        <v>0</v>
      </c>
      <c r="AN51" s="5">
        <v>0</v>
      </c>
      <c r="AO51" t="str">
        <v>A148</v>
      </c>
      <c r="AP51" t="str">
        <v>AYAAN ABOOBAKAR</v>
      </c>
      <c r="AQ51" t="str">
        <v>BADF</v>
      </c>
      <c r="AR51" t="str">
        <v>SUB JUNIOR</v>
      </c>
      <c r="AS51">
        <v>2</v>
      </c>
      <c r="AT51">
        <v>12.5</v>
      </c>
      <c r="AU51">
        <v>0</v>
      </c>
      <c r="AV51">
        <v>12.5</v>
      </c>
      <c r="AW51">
        <v>12.5</v>
      </c>
      <c r="AX51">
        <v>118</v>
      </c>
      <c r="AY51" s="5">
        <v>118</v>
      </c>
      <c r="AZ51" t="str">
        <v>JN06</v>
      </c>
      <c r="BA51" t="str">
        <v>ESSAY ENG</v>
      </c>
      <c r="BB51" t="str">
        <v>JUNIOR</v>
      </c>
      <c r="BC51" t="str">
        <v>Single</v>
      </c>
      <c r="BD51" t="str">
        <v>Non-Stg</v>
      </c>
      <c r="BE51">
        <v>3</v>
      </c>
      <c r="BF51" t="str">
        <v>Individual</v>
      </c>
      <c r="BG51" t="str">
        <v>Individual</v>
      </c>
      <c r="BH51" t="str">
        <v>P</v>
      </c>
      <c r="BI51" t="str">
        <v>PUBLISHED</v>
      </c>
      <c r="BK51">
        <v>45</v>
      </c>
      <c r="BL51" t="str">
        <v>JN02</v>
      </c>
      <c r="BM51" t="str">
        <v>CALLIGRAPHY</v>
      </c>
      <c r="BN51">
        <v>2</v>
      </c>
      <c r="BO51" t="str">
        <v>Single</v>
      </c>
      <c r="BP51" t="str">
        <v>Non-Stg</v>
      </c>
      <c r="BQ51" t="str">
        <v>JUNIOR</v>
      </c>
      <c r="BR51" t="str">
        <v>B115</v>
      </c>
      <c r="BS51" t="str">
        <v>B145</v>
      </c>
      <c r="BT51">
        <v>0</v>
      </c>
      <c r="BU51">
        <v>0</v>
      </c>
      <c r="BV51">
        <v>0</v>
      </c>
      <c r="BW51">
        <v>0</v>
      </c>
      <c r="BX51">
        <v>0</v>
      </c>
      <c r="BY51" t="str">
        <v>B154</v>
      </c>
      <c r="BZ51" t="str">
        <v>B161</v>
      </c>
      <c r="CA51">
        <v>0</v>
      </c>
      <c r="CB51">
        <v>0</v>
      </c>
      <c r="CC51">
        <v>0</v>
      </c>
      <c r="CD51">
        <v>0</v>
      </c>
      <c r="CE51">
        <v>0</v>
      </c>
      <c r="CF51" t="str">
        <v>B106</v>
      </c>
      <c r="CG51" t="str">
        <v>B164</v>
      </c>
      <c r="CH51">
        <v>0</v>
      </c>
      <c r="CI51">
        <v>0</v>
      </c>
      <c r="CJ51">
        <v>0</v>
      </c>
      <c r="CK51">
        <v>0</v>
      </c>
      <c r="CL51">
        <v>0</v>
      </c>
      <c r="CM51" t="str">
        <v>B131</v>
      </c>
      <c r="CN51" t="str">
        <v>B134</v>
      </c>
      <c r="CO51">
        <v>0</v>
      </c>
      <c r="CP51">
        <v>0</v>
      </c>
      <c r="CQ51">
        <v>0</v>
      </c>
      <c r="CR51">
        <v>0</v>
      </c>
      <c r="CS51">
        <v>0</v>
      </c>
      <c r="CT51">
        <v>0</v>
      </c>
      <c r="CU51">
        <v>0</v>
      </c>
      <c r="CV51">
        <v>0</v>
      </c>
      <c r="CW51">
        <v>0</v>
      </c>
      <c r="CX51">
        <v>0</v>
      </c>
      <c r="CY51">
        <v>0</v>
      </c>
      <c r="CZ51">
        <v>0</v>
      </c>
      <c r="DA51">
        <v>0</v>
      </c>
      <c r="DB51">
        <v>0</v>
      </c>
      <c r="DC51">
        <v>0</v>
      </c>
      <c r="DD51">
        <v>0</v>
      </c>
      <c r="DE51">
        <v>0</v>
      </c>
      <c r="DF51">
        <v>0</v>
      </c>
      <c r="DG51">
        <v>0</v>
      </c>
      <c r="DH51">
        <v>0</v>
      </c>
      <c r="DI51">
        <v>0</v>
      </c>
      <c r="DJ51">
        <v>0</v>
      </c>
      <c r="DK51">
        <v>0</v>
      </c>
      <c r="DL51">
        <v>0</v>
      </c>
      <c r="DM51">
        <v>0</v>
      </c>
      <c r="DN51">
        <v>0</v>
      </c>
      <c r="DO51">
        <v>0</v>
      </c>
      <c r="DP51">
        <v>0</v>
      </c>
      <c r="DQ51">
        <v>0</v>
      </c>
      <c r="DR51">
        <v>0</v>
      </c>
      <c r="DS51">
        <v>0</v>
      </c>
      <c r="DT51">
        <v>0</v>
      </c>
      <c r="DU51">
        <v>0</v>
      </c>
      <c r="DV51">
        <v>0</v>
      </c>
      <c r="DW51">
        <v>0</v>
      </c>
      <c r="DX51">
        <v>0</v>
      </c>
      <c r="DY51">
        <v>0</v>
      </c>
      <c r="DZ51">
        <v>0</v>
      </c>
      <c r="EA51">
        <v>0</v>
      </c>
      <c r="EB51">
        <v>0</v>
      </c>
      <c r="EC51">
        <v>0</v>
      </c>
      <c r="ED51">
        <v>0</v>
      </c>
      <c r="EE51">
        <v>0</v>
      </c>
      <c r="EF51">
        <v>0</v>
      </c>
      <c r="EG51">
        <v>0</v>
      </c>
      <c r="EH51">
        <v>0</v>
      </c>
      <c r="EI51">
        <v>0</v>
      </c>
      <c r="EJ51">
        <v>0</v>
      </c>
      <c r="EK51">
        <v>0</v>
      </c>
      <c r="EL51">
        <v>0</v>
      </c>
      <c r="EM51">
        <v>0</v>
      </c>
      <c r="EN51">
        <v>0</v>
      </c>
      <c r="EO51">
        <v>0</v>
      </c>
      <c r="EP51">
        <v>0</v>
      </c>
      <c r="EQ51">
        <v>0</v>
      </c>
      <c r="ER51">
        <v>0</v>
      </c>
      <c r="ES51">
        <v>0</v>
      </c>
      <c r="ET51">
        <v>0</v>
      </c>
      <c r="EU51">
        <v>0</v>
      </c>
      <c r="EV51">
        <v>0</v>
      </c>
      <c r="EW51">
        <v>0</v>
      </c>
      <c r="EX51">
        <v>0</v>
      </c>
      <c r="EY51">
        <v>0</v>
      </c>
      <c r="EZ51">
        <v>0</v>
      </c>
      <c r="FA51">
        <v>0</v>
      </c>
      <c r="FB51">
        <v>0</v>
      </c>
      <c r="FC51">
        <v>0</v>
      </c>
      <c r="FD51">
        <v>0</v>
      </c>
      <c r="FE51">
        <v>0</v>
      </c>
      <c r="FF51">
        <v>0</v>
      </c>
      <c r="FG51">
        <v>0</v>
      </c>
      <c r="FH51">
        <v>0</v>
      </c>
      <c r="FI51">
        <v>0</v>
      </c>
      <c r="FJ51">
        <v>0</v>
      </c>
      <c r="FK51">
        <v>0</v>
      </c>
      <c r="FL51">
        <v>0</v>
      </c>
      <c r="FM51">
        <v>0</v>
      </c>
      <c r="FN51">
        <v>0</v>
      </c>
      <c r="FO51">
        <v>0</v>
      </c>
      <c r="FP51">
        <v>0</v>
      </c>
      <c r="FQ51">
        <v>0</v>
      </c>
      <c r="FR51">
        <v>0</v>
      </c>
      <c r="FS51">
        <v>0</v>
      </c>
      <c r="FT51">
        <v>0</v>
      </c>
      <c r="FU51">
        <v>0</v>
      </c>
      <c r="FV51">
        <v>0</v>
      </c>
      <c r="FW51">
        <v>0</v>
      </c>
      <c r="FX51">
        <v>0</v>
      </c>
      <c r="FY51">
        <v>0</v>
      </c>
      <c r="FZ51">
        <v>0</v>
      </c>
      <c r="GA51">
        <v>0</v>
      </c>
      <c r="GB51">
        <v>0</v>
      </c>
      <c r="GC51">
        <v>0</v>
      </c>
      <c r="GD51">
        <v>0</v>
      </c>
      <c r="GE51">
        <v>0</v>
      </c>
      <c r="GF51">
        <v>0</v>
      </c>
      <c r="GG51">
        <v>0</v>
      </c>
      <c r="GH51">
        <v>0</v>
      </c>
      <c r="GI51">
        <v>0</v>
      </c>
      <c r="GJ51">
        <v>0</v>
      </c>
      <c r="GK51">
        <v>0</v>
      </c>
      <c r="GL51">
        <v>0</v>
      </c>
      <c r="GM51">
        <v>0</v>
      </c>
      <c r="GN51">
        <v>0</v>
      </c>
      <c r="GO51">
        <v>0</v>
      </c>
      <c r="GP51">
        <v>0</v>
      </c>
      <c r="GQ51">
        <v>0</v>
      </c>
      <c r="GR51">
        <v>0</v>
      </c>
      <c r="GS51">
        <v>0</v>
      </c>
      <c r="GT51">
        <v>0</v>
      </c>
      <c r="GU51">
        <v>0</v>
      </c>
      <c r="GV51">
        <v>0</v>
      </c>
      <c r="GW51">
        <v>0</v>
      </c>
      <c r="GX51">
        <v>0</v>
      </c>
      <c r="GY51">
        <v>0</v>
      </c>
      <c r="GZ51">
        <v>0</v>
      </c>
      <c r="HA51">
        <v>0</v>
      </c>
      <c r="HB51">
        <v>0</v>
      </c>
      <c r="HC51">
        <v>0</v>
      </c>
      <c r="HD51">
        <v>0</v>
      </c>
      <c r="HE51">
        <v>0</v>
      </c>
      <c r="HF51">
        <v>0</v>
      </c>
      <c r="HG51">
        <v>0</v>
      </c>
      <c r="HH51">
        <v>0</v>
      </c>
      <c r="HI51">
        <v>0</v>
      </c>
      <c r="HJ51">
        <v>0</v>
      </c>
      <c r="HK51">
        <v>0</v>
      </c>
      <c r="HL51">
        <v>0</v>
      </c>
      <c r="HM51">
        <v>0</v>
      </c>
      <c r="HN51">
        <v>0</v>
      </c>
      <c r="HO51">
        <v>0</v>
      </c>
      <c r="HP51">
        <v>0</v>
      </c>
      <c r="HQ51">
        <v>0</v>
      </c>
      <c r="HR51">
        <v>0</v>
      </c>
      <c r="HS51">
        <v>0</v>
      </c>
      <c r="HT51">
        <v>0</v>
      </c>
      <c r="HU51">
        <v>0</v>
      </c>
      <c r="HV51">
        <v>0</v>
      </c>
      <c r="HW51">
        <v>0</v>
      </c>
      <c r="HX51">
        <v>0</v>
      </c>
      <c r="HY51">
        <v>0</v>
      </c>
      <c r="HZ51">
        <v>0</v>
      </c>
      <c r="IA51">
        <v>0</v>
      </c>
      <c r="IB51">
        <v>0</v>
      </c>
      <c r="IC51">
        <v>0</v>
      </c>
      <c r="ID51">
        <v>0</v>
      </c>
      <c r="IE51">
        <v>0</v>
      </c>
      <c r="IF51">
        <v>0</v>
      </c>
      <c r="IG51">
        <v>0</v>
      </c>
      <c r="IH51">
        <v>0</v>
      </c>
      <c r="II51">
        <v>0</v>
      </c>
      <c r="IJ51">
        <v>0</v>
      </c>
      <c r="IK51">
        <v>0</v>
      </c>
      <c r="IL51">
        <v>0</v>
      </c>
      <c r="IM51">
        <v>0</v>
      </c>
      <c r="IN51">
        <v>0</v>
      </c>
      <c r="IO51">
        <v>0</v>
      </c>
      <c r="IP51">
        <v>0</v>
      </c>
      <c r="IQ51">
        <v>0</v>
      </c>
      <c r="IR51">
        <v>0</v>
      </c>
      <c r="IS51">
        <v>0</v>
      </c>
      <c r="IT51">
        <v>0</v>
      </c>
      <c r="IU51">
        <v>0</v>
      </c>
      <c r="IV51">
        <v>0</v>
      </c>
      <c r="IW51">
        <v>0</v>
      </c>
      <c r="IX51">
        <v>0</v>
      </c>
      <c r="IY51">
        <v>0</v>
      </c>
      <c r="IZ51">
        <v>0</v>
      </c>
      <c r="JA51">
        <v>0</v>
      </c>
      <c r="JB51">
        <v>0</v>
      </c>
      <c r="JC51">
        <v>0</v>
      </c>
      <c r="JD51">
        <v>0</v>
      </c>
      <c r="JE51">
        <v>0</v>
      </c>
      <c r="JF51">
        <v>0</v>
      </c>
      <c r="JG51">
        <v>0</v>
      </c>
      <c r="JH51">
        <v>0</v>
      </c>
      <c r="JI51">
        <v>0</v>
      </c>
      <c r="JJ51">
        <v>0</v>
      </c>
      <c r="JK51">
        <v>0</v>
      </c>
      <c r="JL51">
        <v>0</v>
      </c>
      <c r="JM51">
        <v>0</v>
      </c>
      <c r="JN51">
        <v>0</v>
      </c>
      <c r="JO51">
        <v>0</v>
      </c>
      <c r="JP51">
        <v>0</v>
      </c>
      <c r="JQ51">
        <v>0</v>
      </c>
      <c r="JR51">
        <v>0</v>
      </c>
      <c r="JS51">
        <v>0</v>
      </c>
      <c r="JT51">
        <v>0</v>
      </c>
      <c r="JU51">
        <v>0</v>
      </c>
      <c r="JV51">
        <v>0</v>
      </c>
      <c r="JW51">
        <v>0</v>
      </c>
      <c r="JX51">
        <v>0</v>
      </c>
      <c r="JY51">
        <v>0</v>
      </c>
      <c r="JZ51">
        <v>0</v>
      </c>
      <c r="KA51">
        <v>0</v>
      </c>
      <c r="KB51">
        <v>0</v>
      </c>
      <c r="KC51">
        <v>0</v>
      </c>
      <c r="KD51">
        <v>0</v>
      </c>
      <c r="KE51">
        <v>0</v>
      </c>
      <c r="KF51">
        <v>0</v>
      </c>
      <c r="KG51">
        <v>0</v>
      </c>
      <c r="KH51">
        <v>0</v>
      </c>
      <c r="KI51">
        <v>0</v>
      </c>
      <c r="KJ51">
        <v>0</v>
      </c>
      <c r="KK51">
        <v>0</v>
      </c>
      <c r="KL51">
        <v>0</v>
      </c>
      <c r="KM51">
        <v>0</v>
      </c>
      <c r="KN51">
        <v>0</v>
      </c>
      <c r="KO51">
        <v>0</v>
      </c>
      <c r="KP51">
        <v>0</v>
      </c>
      <c r="KQ51">
        <v>0</v>
      </c>
      <c r="KR51">
        <v>0</v>
      </c>
      <c r="KS51">
        <v>0</v>
      </c>
      <c r="KT51">
        <v>0</v>
      </c>
      <c r="KU51">
        <v>0</v>
      </c>
      <c r="KV51">
        <v>0</v>
      </c>
      <c r="KW51">
        <v>0</v>
      </c>
      <c r="KX51">
        <v>0</v>
      </c>
      <c r="KY51">
        <v>0</v>
      </c>
      <c r="KZ51">
        <v>0</v>
      </c>
      <c r="LA51">
        <v>0</v>
      </c>
      <c r="LB51">
        <v>0</v>
      </c>
      <c r="LC51">
        <v>0</v>
      </c>
      <c r="LD51">
        <v>0</v>
      </c>
      <c r="LE51">
        <v>0</v>
      </c>
      <c r="LF51">
        <v>0</v>
      </c>
      <c r="LG51">
        <v>0</v>
      </c>
      <c r="LH51">
        <v>0</v>
      </c>
      <c r="LI51">
        <v>0</v>
      </c>
      <c r="LJ51">
        <v>0</v>
      </c>
      <c r="LK51">
        <v>0</v>
      </c>
      <c r="LL51">
        <v>0</v>
      </c>
      <c r="LM51">
        <v>0</v>
      </c>
      <c r="LN51">
        <v>0</v>
      </c>
      <c r="LO51">
        <v>0</v>
      </c>
      <c r="LP51">
        <v>0</v>
      </c>
      <c r="LQ51">
        <v>0</v>
      </c>
      <c r="LR51">
        <v>0</v>
      </c>
      <c r="LS51">
        <v>0</v>
      </c>
      <c r="LT51">
        <v>0</v>
      </c>
      <c r="LU51">
        <v>0</v>
      </c>
      <c r="LV51">
        <v>0</v>
      </c>
      <c r="LW51">
        <v>0</v>
      </c>
      <c r="LX51">
        <v>0</v>
      </c>
      <c r="LY51">
        <v>0</v>
      </c>
      <c r="LZ51">
        <v>0</v>
      </c>
      <c r="MA51">
        <v>0</v>
      </c>
      <c r="MB51">
        <v>0</v>
      </c>
      <c r="MC51">
        <v>0</v>
      </c>
      <c r="MD51">
        <v>0</v>
      </c>
      <c r="ME51">
        <v>0</v>
      </c>
      <c r="MF51">
        <v>0</v>
      </c>
      <c r="MG51">
        <v>0</v>
      </c>
      <c r="MH51">
        <v>0</v>
      </c>
      <c r="MI51">
        <v>0</v>
      </c>
      <c r="MJ51">
        <v>0</v>
      </c>
      <c r="MK51">
        <v>0</v>
      </c>
      <c r="ML51">
        <v>0</v>
      </c>
      <c r="MM51">
        <v>0</v>
      </c>
      <c r="MN51">
        <v>0</v>
      </c>
      <c r="MO51">
        <v>0</v>
      </c>
      <c r="MP51">
        <v>0</v>
      </c>
      <c r="MQ51">
        <v>0</v>
      </c>
      <c r="MR51">
        <v>0</v>
      </c>
      <c r="MS51">
        <v>0</v>
      </c>
      <c r="MT51">
        <v>0</v>
      </c>
      <c r="MU51">
        <v>0</v>
      </c>
      <c r="MV51">
        <v>0</v>
      </c>
      <c r="MW51">
        <v>0</v>
      </c>
      <c r="MX51">
        <v>0</v>
      </c>
      <c r="MY51">
        <v>0</v>
      </c>
      <c r="MZ51">
        <v>0</v>
      </c>
      <c r="NA51">
        <v>0</v>
      </c>
      <c r="NB51">
        <v>0</v>
      </c>
      <c r="NC51">
        <v>0</v>
      </c>
      <c r="ND51">
        <v>0</v>
      </c>
      <c r="NE51">
        <v>0</v>
      </c>
    </row>
    <row r="52" spans="5:369" x14ac:dyDescent="0.45">
      <c r="E52">
        <v>0</v>
      </c>
      <c r="F52">
        <v>0</v>
      </c>
      <c r="G52">
        <v>0</v>
      </c>
      <c r="H52">
        <v>0</v>
      </c>
      <c r="I52">
        <v>0</v>
      </c>
      <c r="J52">
        <v>0</v>
      </c>
      <c r="K52">
        <v>0</v>
      </c>
      <c r="L52">
        <v>0</v>
      </c>
      <c r="M52">
        <v>0</v>
      </c>
      <c r="N52" t="str">
        <v/>
      </c>
      <c r="O52" t="str">
        <v/>
      </c>
      <c r="P52" t="str">
        <v/>
      </c>
      <c r="Q52" t="str">
        <v/>
      </c>
      <c r="R52" t="str">
        <v/>
      </c>
      <c r="S52" t="str">
        <v/>
      </c>
      <c r="T52" t="str">
        <v/>
      </c>
      <c r="U52">
        <v>0</v>
      </c>
      <c r="V52">
        <v>0</v>
      </c>
      <c r="W52">
        <v>0</v>
      </c>
      <c r="X52">
        <v>0</v>
      </c>
      <c r="Y52">
        <v>0</v>
      </c>
      <c r="Z52">
        <v>0</v>
      </c>
      <c r="AA52">
        <v>0</v>
      </c>
      <c r="AB52">
        <v>0</v>
      </c>
      <c r="AC52">
        <v>0</v>
      </c>
      <c r="AD52">
        <v>0</v>
      </c>
      <c r="AE52">
        <v>0</v>
      </c>
      <c r="AF52">
        <v>0</v>
      </c>
      <c r="AG52">
        <v>0</v>
      </c>
      <c r="AH52">
        <v>0</v>
      </c>
      <c r="AI52">
        <v>0</v>
      </c>
      <c r="AJ52">
        <v>0</v>
      </c>
      <c r="AK52">
        <v>0</v>
      </c>
      <c r="AL52">
        <v>0</v>
      </c>
      <c r="AM52">
        <v>0</v>
      </c>
      <c r="AN52" s="5">
        <v>0</v>
      </c>
      <c r="AO52" t="str">
        <v>A149</v>
      </c>
      <c r="AP52" t="str">
        <v>FADIL AMEEN ABDULLA</v>
      </c>
      <c r="AQ52" t="str">
        <v>JARF</v>
      </c>
      <c r="AR52" t="str">
        <v>SUB JUNIOR</v>
      </c>
      <c r="AS52">
        <v>2</v>
      </c>
      <c r="AT52">
        <v>24</v>
      </c>
      <c r="AU52">
        <v>0</v>
      </c>
      <c r="AV52">
        <v>24</v>
      </c>
      <c r="AW52">
        <v>24</v>
      </c>
      <c r="AX52">
        <v>64</v>
      </c>
      <c r="AY52" s="5">
        <v>64</v>
      </c>
      <c r="AZ52" t="str">
        <v>JN07</v>
      </c>
      <c r="BA52" t="str">
        <v>ESSAY MLM</v>
      </c>
      <c r="BB52" t="str">
        <v>JUNIOR</v>
      </c>
      <c r="BC52" t="str">
        <v>Single</v>
      </c>
      <c r="BD52" t="str">
        <v>Non-Stg</v>
      </c>
      <c r="BE52">
        <v>3</v>
      </c>
      <c r="BF52" t="str">
        <v>Individual</v>
      </c>
      <c r="BG52" t="str">
        <v>Individual</v>
      </c>
      <c r="BH52" t="str">
        <v>P</v>
      </c>
      <c r="BI52" t="str">
        <v>PUBLISHED</v>
      </c>
      <c r="BK52">
        <v>46</v>
      </c>
      <c r="BL52" t="str">
        <v>JN03</v>
      </c>
      <c r="BM52" t="str">
        <v>CAPTION MAKING</v>
      </c>
      <c r="BN52">
        <v>3</v>
      </c>
      <c r="BO52" t="str">
        <v>Single</v>
      </c>
      <c r="BP52" t="str">
        <v>Non-Stg</v>
      </c>
      <c r="BQ52" t="str">
        <v>JUNIOR</v>
      </c>
      <c r="BR52" t="str">
        <v>B104</v>
      </c>
      <c r="BS52" t="str">
        <v>B129</v>
      </c>
      <c r="BT52" t="str">
        <v>B150</v>
      </c>
      <c r="BU52">
        <v>0</v>
      </c>
      <c r="BV52">
        <v>0</v>
      </c>
      <c r="BW52">
        <v>0</v>
      </c>
      <c r="BX52">
        <v>0</v>
      </c>
      <c r="BY52" t="str">
        <v>B109</v>
      </c>
      <c r="BZ52" t="str">
        <v>B114</v>
      </c>
      <c r="CA52" t="str">
        <v>B122</v>
      </c>
      <c r="CB52">
        <v>0</v>
      </c>
      <c r="CC52">
        <v>0</v>
      </c>
      <c r="CD52">
        <v>0</v>
      </c>
      <c r="CE52">
        <v>0</v>
      </c>
      <c r="CF52" t="str">
        <v>B138</v>
      </c>
      <c r="CG52" t="str">
        <v>B146</v>
      </c>
      <c r="CH52" t="str">
        <v>B164</v>
      </c>
      <c r="CI52">
        <v>0</v>
      </c>
      <c r="CJ52">
        <v>0</v>
      </c>
      <c r="CK52">
        <v>0</v>
      </c>
      <c r="CL52">
        <v>0</v>
      </c>
      <c r="CM52" t="str">
        <v>B108</v>
      </c>
      <c r="CN52" t="str">
        <v>B133</v>
      </c>
      <c r="CO52" t="str">
        <v>B147</v>
      </c>
      <c r="CP52">
        <v>0</v>
      </c>
      <c r="CQ52">
        <v>0</v>
      </c>
      <c r="CR52">
        <v>0</v>
      </c>
      <c r="CS52">
        <v>0</v>
      </c>
      <c r="CT52">
        <v>0</v>
      </c>
      <c r="CU52">
        <v>0</v>
      </c>
      <c r="CV52">
        <v>0</v>
      </c>
      <c r="CW52">
        <v>0</v>
      </c>
      <c r="CX52">
        <v>0</v>
      </c>
      <c r="CY52">
        <v>0</v>
      </c>
      <c r="CZ52">
        <v>0</v>
      </c>
      <c r="DA52">
        <v>0</v>
      </c>
      <c r="DB52">
        <v>0</v>
      </c>
      <c r="DC52">
        <v>0</v>
      </c>
      <c r="DD52">
        <v>0</v>
      </c>
      <c r="DE52">
        <v>0</v>
      </c>
      <c r="DF52">
        <v>0</v>
      </c>
      <c r="DG52">
        <v>0</v>
      </c>
      <c r="DH52">
        <v>0</v>
      </c>
      <c r="DI52">
        <v>0</v>
      </c>
      <c r="DJ52">
        <v>0</v>
      </c>
      <c r="DK52">
        <v>0</v>
      </c>
      <c r="DL52">
        <v>0</v>
      </c>
      <c r="DM52">
        <v>0</v>
      </c>
      <c r="DN52">
        <v>0</v>
      </c>
      <c r="DO52">
        <v>0</v>
      </c>
      <c r="DP52">
        <v>0</v>
      </c>
      <c r="DQ52">
        <v>0</v>
      </c>
      <c r="DR52">
        <v>0</v>
      </c>
      <c r="DS52">
        <v>0</v>
      </c>
      <c r="DT52">
        <v>0</v>
      </c>
      <c r="DU52">
        <v>0</v>
      </c>
      <c r="DV52">
        <v>0</v>
      </c>
      <c r="DW52">
        <v>0</v>
      </c>
      <c r="DX52">
        <v>0</v>
      </c>
      <c r="DY52">
        <v>0</v>
      </c>
      <c r="DZ52">
        <v>0</v>
      </c>
      <c r="EA52">
        <v>0</v>
      </c>
      <c r="EB52">
        <v>0</v>
      </c>
      <c r="EC52">
        <v>0</v>
      </c>
      <c r="ED52">
        <v>0</v>
      </c>
      <c r="EE52">
        <v>0</v>
      </c>
      <c r="EF52">
        <v>0</v>
      </c>
      <c r="EG52">
        <v>0</v>
      </c>
      <c r="EH52">
        <v>0</v>
      </c>
      <c r="EI52">
        <v>0</v>
      </c>
      <c r="EJ52">
        <v>0</v>
      </c>
      <c r="EK52">
        <v>0</v>
      </c>
      <c r="EL52">
        <v>0</v>
      </c>
      <c r="EM52">
        <v>0</v>
      </c>
      <c r="EN52">
        <v>0</v>
      </c>
      <c r="EO52">
        <v>0</v>
      </c>
      <c r="EP52">
        <v>0</v>
      </c>
      <c r="EQ52">
        <v>0</v>
      </c>
      <c r="ER52">
        <v>0</v>
      </c>
      <c r="ES52">
        <v>0</v>
      </c>
      <c r="ET52">
        <v>0</v>
      </c>
      <c r="EU52">
        <v>0</v>
      </c>
      <c r="EV52">
        <v>0</v>
      </c>
      <c r="EW52">
        <v>0</v>
      </c>
      <c r="EX52">
        <v>0</v>
      </c>
      <c r="EY52">
        <v>0</v>
      </c>
      <c r="EZ52">
        <v>0</v>
      </c>
      <c r="FA52">
        <v>0</v>
      </c>
      <c r="FB52">
        <v>0</v>
      </c>
      <c r="FC52">
        <v>0</v>
      </c>
      <c r="FD52">
        <v>0</v>
      </c>
      <c r="FE52">
        <v>0</v>
      </c>
      <c r="FF52">
        <v>0</v>
      </c>
      <c r="FG52">
        <v>0</v>
      </c>
      <c r="FH52">
        <v>0</v>
      </c>
      <c r="FI52">
        <v>0</v>
      </c>
      <c r="FJ52">
        <v>0</v>
      </c>
      <c r="FK52">
        <v>0</v>
      </c>
      <c r="FL52">
        <v>0</v>
      </c>
      <c r="FM52">
        <v>0</v>
      </c>
      <c r="FN52">
        <v>0</v>
      </c>
      <c r="FO52">
        <v>0</v>
      </c>
      <c r="FP52">
        <v>0</v>
      </c>
      <c r="FQ52">
        <v>0</v>
      </c>
      <c r="FR52">
        <v>0</v>
      </c>
      <c r="FS52">
        <v>0</v>
      </c>
      <c r="FT52">
        <v>0</v>
      </c>
      <c r="FU52">
        <v>0</v>
      </c>
      <c r="FV52">
        <v>0</v>
      </c>
      <c r="FW52">
        <v>0</v>
      </c>
      <c r="FX52">
        <v>0</v>
      </c>
      <c r="FY52">
        <v>0</v>
      </c>
      <c r="FZ52">
        <v>0</v>
      </c>
      <c r="GA52">
        <v>0</v>
      </c>
      <c r="GB52">
        <v>0</v>
      </c>
      <c r="GC52">
        <v>0</v>
      </c>
      <c r="GD52">
        <v>0</v>
      </c>
      <c r="GE52">
        <v>0</v>
      </c>
      <c r="GF52">
        <v>0</v>
      </c>
      <c r="GG52">
        <v>0</v>
      </c>
      <c r="GH52">
        <v>0</v>
      </c>
      <c r="GI52">
        <v>0</v>
      </c>
      <c r="GJ52">
        <v>0</v>
      </c>
      <c r="GK52">
        <v>0</v>
      </c>
      <c r="GL52">
        <v>0</v>
      </c>
      <c r="GM52">
        <v>0</v>
      </c>
      <c r="GN52">
        <v>0</v>
      </c>
      <c r="GO52">
        <v>0</v>
      </c>
      <c r="GP52">
        <v>0</v>
      </c>
      <c r="GQ52">
        <v>0</v>
      </c>
      <c r="GR52">
        <v>0</v>
      </c>
      <c r="GS52">
        <v>0</v>
      </c>
      <c r="GT52">
        <v>0</v>
      </c>
      <c r="GU52">
        <v>0</v>
      </c>
      <c r="GV52">
        <v>0</v>
      </c>
      <c r="GW52">
        <v>0</v>
      </c>
      <c r="GX52">
        <v>0</v>
      </c>
      <c r="GY52">
        <v>0</v>
      </c>
      <c r="GZ52">
        <v>0</v>
      </c>
      <c r="HA52">
        <v>0</v>
      </c>
      <c r="HB52">
        <v>0</v>
      </c>
      <c r="HC52">
        <v>0</v>
      </c>
      <c r="HD52">
        <v>0</v>
      </c>
      <c r="HE52">
        <v>0</v>
      </c>
      <c r="HF52">
        <v>0</v>
      </c>
      <c r="HG52">
        <v>0</v>
      </c>
      <c r="HH52">
        <v>0</v>
      </c>
      <c r="HI52">
        <v>0</v>
      </c>
      <c r="HJ52">
        <v>0</v>
      </c>
      <c r="HK52">
        <v>0</v>
      </c>
      <c r="HL52">
        <v>0</v>
      </c>
      <c r="HM52">
        <v>0</v>
      </c>
      <c r="HN52">
        <v>0</v>
      </c>
      <c r="HO52">
        <v>0</v>
      </c>
      <c r="HP52">
        <v>0</v>
      </c>
      <c r="HQ52">
        <v>0</v>
      </c>
      <c r="HR52">
        <v>0</v>
      </c>
      <c r="HS52">
        <v>0</v>
      </c>
      <c r="HT52">
        <v>0</v>
      </c>
      <c r="HU52">
        <v>0</v>
      </c>
      <c r="HV52">
        <v>0</v>
      </c>
      <c r="HW52">
        <v>0</v>
      </c>
      <c r="HX52">
        <v>0</v>
      </c>
      <c r="HY52">
        <v>0</v>
      </c>
      <c r="HZ52">
        <v>0</v>
      </c>
      <c r="IA52">
        <v>0</v>
      </c>
      <c r="IB52">
        <v>0</v>
      </c>
      <c r="IC52">
        <v>0</v>
      </c>
      <c r="ID52">
        <v>0</v>
      </c>
      <c r="IE52">
        <v>0</v>
      </c>
      <c r="IF52">
        <v>0</v>
      </c>
      <c r="IG52">
        <v>0</v>
      </c>
      <c r="IH52">
        <v>0</v>
      </c>
      <c r="II52">
        <v>0</v>
      </c>
      <c r="IJ52">
        <v>0</v>
      </c>
      <c r="IK52">
        <v>0</v>
      </c>
      <c r="IL52">
        <v>0</v>
      </c>
      <c r="IM52">
        <v>0</v>
      </c>
      <c r="IN52">
        <v>0</v>
      </c>
      <c r="IO52">
        <v>0</v>
      </c>
      <c r="IP52">
        <v>0</v>
      </c>
      <c r="IQ52">
        <v>0</v>
      </c>
      <c r="IR52">
        <v>0</v>
      </c>
      <c r="IS52">
        <v>0</v>
      </c>
      <c r="IT52">
        <v>0</v>
      </c>
      <c r="IU52">
        <v>0</v>
      </c>
      <c r="IV52">
        <v>0</v>
      </c>
      <c r="IW52">
        <v>0</v>
      </c>
      <c r="IX52">
        <v>0</v>
      </c>
      <c r="IY52">
        <v>0</v>
      </c>
      <c r="IZ52">
        <v>0</v>
      </c>
      <c r="JA52">
        <v>0</v>
      </c>
      <c r="JB52">
        <v>0</v>
      </c>
      <c r="JC52">
        <v>0</v>
      </c>
      <c r="JD52">
        <v>0</v>
      </c>
      <c r="JE52">
        <v>0</v>
      </c>
      <c r="JF52">
        <v>0</v>
      </c>
      <c r="JG52">
        <v>0</v>
      </c>
      <c r="JH52">
        <v>0</v>
      </c>
      <c r="JI52">
        <v>0</v>
      </c>
      <c r="JJ52">
        <v>0</v>
      </c>
      <c r="JK52">
        <v>0</v>
      </c>
      <c r="JL52">
        <v>0</v>
      </c>
      <c r="JM52">
        <v>0</v>
      </c>
      <c r="JN52">
        <v>0</v>
      </c>
      <c r="JO52">
        <v>0</v>
      </c>
      <c r="JP52">
        <v>0</v>
      </c>
      <c r="JQ52">
        <v>0</v>
      </c>
      <c r="JR52">
        <v>0</v>
      </c>
      <c r="JS52">
        <v>0</v>
      </c>
      <c r="JT52">
        <v>0</v>
      </c>
      <c r="JU52">
        <v>0</v>
      </c>
      <c r="JV52">
        <v>0</v>
      </c>
      <c r="JW52">
        <v>0</v>
      </c>
      <c r="JX52">
        <v>0</v>
      </c>
      <c r="JY52">
        <v>0</v>
      </c>
      <c r="JZ52">
        <v>0</v>
      </c>
      <c r="KA52">
        <v>0</v>
      </c>
      <c r="KB52">
        <v>0</v>
      </c>
      <c r="KC52">
        <v>0</v>
      </c>
      <c r="KD52">
        <v>0</v>
      </c>
      <c r="KE52">
        <v>0</v>
      </c>
      <c r="KF52">
        <v>0</v>
      </c>
      <c r="KG52">
        <v>0</v>
      </c>
      <c r="KH52">
        <v>0</v>
      </c>
      <c r="KI52">
        <v>0</v>
      </c>
      <c r="KJ52">
        <v>0</v>
      </c>
      <c r="KK52">
        <v>0</v>
      </c>
      <c r="KL52">
        <v>0</v>
      </c>
      <c r="KM52">
        <v>0</v>
      </c>
      <c r="KN52">
        <v>0</v>
      </c>
      <c r="KO52">
        <v>0</v>
      </c>
      <c r="KP52">
        <v>0</v>
      </c>
      <c r="KQ52">
        <v>0</v>
      </c>
      <c r="KR52">
        <v>0</v>
      </c>
      <c r="KS52">
        <v>0</v>
      </c>
      <c r="KT52">
        <v>0</v>
      </c>
      <c r="KU52">
        <v>0</v>
      </c>
      <c r="KV52">
        <v>0</v>
      </c>
      <c r="KW52">
        <v>0</v>
      </c>
      <c r="KX52">
        <v>0</v>
      </c>
      <c r="KY52">
        <v>0</v>
      </c>
      <c r="KZ52">
        <v>0</v>
      </c>
      <c r="LA52">
        <v>0</v>
      </c>
      <c r="LB52">
        <v>0</v>
      </c>
      <c r="LC52">
        <v>0</v>
      </c>
      <c r="LD52">
        <v>0</v>
      </c>
      <c r="LE52">
        <v>0</v>
      </c>
      <c r="LF52">
        <v>0</v>
      </c>
      <c r="LG52">
        <v>0</v>
      </c>
      <c r="LH52">
        <v>0</v>
      </c>
      <c r="LI52">
        <v>0</v>
      </c>
      <c r="LJ52">
        <v>0</v>
      </c>
      <c r="LK52">
        <v>0</v>
      </c>
      <c r="LL52">
        <v>0</v>
      </c>
      <c r="LM52">
        <v>0</v>
      </c>
      <c r="LN52">
        <v>0</v>
      </c>
      <c r="LO52">
        <v>0</v>
      </c>
      <c r="LP52">
        <v>0</v>
      </c>
      <c r="LQ52">
        <v>0</v>
      </c>
      <c r="LR52">
        <v>0</v>
      </c>
      <c r="LS52">
        <v>0</v>
      </c>
      <c r="LT52">
        <v>0</v>
      </c>
      <c r="LU52">
        <v>0</v>
      </c>
      <c r="LV52">
        <v>0</v>
      </c>
      <c r="LW52">
        <v>0</v>
      </c>
      <c r="LX52">
        <v>0</v>
      </c>
      <c r="LY52">
        <v>0</v>
      </c>
      <c r="LZ52">
        <v>0</v>
      </c>
      <c r="MA52">
        <v>0</v>
      </c>
      <c r="MB52">
        <v>0</v>
      </c>
      <c r="MC52">
        <v>0</v>
      </c>
      <c r="MD52">
        <v>0</v>
      </c>
      <c r="ME52">
        <v>0</v>
      </c>
      <c r="MF52">
        <v>0</v>
      </c>
      <c r="MG52">
        <v>0</v>
      </c>
      <c r="MH52">
        <v>0</v>
      </c>
      <c r="MI52">
        <v>0</v>
      </c>
      <c r="MJ52">
        <v>0</v>
      </c>
      <c r="MK52">
        <v>0</v>
      </c>
      <c r="ML52">
        <v>0</v>
      </c>
      <c r="MM52">
        <v>0</v>
      </c>
      <c r="MN52">
        <v>0</v>
      </c>
      <c r="MO52">
        <v>0</v>
      </c>
      <c r="MP52">
        <v>0</v>
      </c>
      <c r="MQ52">
        <v>0</v>
      </c>
      <c r="MR52">
        <v>0</v>
      </c>
      <c r="MS52">
        <v>0</v>
      </c>
      <c r="MT52">
        <v>0</v>
      </c>
      <c r="MU52">
        <v>0</v>
      </c>
      <c r="MV52">
        <v>0</v>
      </c>
      <c r="MW52">
        <v>0</v>
      </c>
      <c r="MX52">
        <v>0</v>
      </c>
      <c r="MY52">
        <v>0</v>
      </c>
      <c r="MZ52">
        <v>0</v>
      </c>
      <c r="NA52">
        <v>0</v>
      </c>
      <c r="NB52">
        <v>0</v>
      </c>
      <c r="NC52">
        <v>0</v>
      </c>
      <c r="ND52">
        <v>0</v>
      </c>
      <c r="NE52">
        <v>0</v>
      </c>
    </row>
    <row r="53" spans="5:369" x14ac:dyDescent="0.45">
      <c r="E53">
        <v>0</v>
      </c>
      <c r="F53">
        <v>0</v>
      </c>
      <c r="G53">
        <v>0</v>
      </c>
      <c r="H53">
        <v>0</v>
      </c>
      <c r="I53">
        <v>0</v>
      </c>
      <c r="J53">
        <v>0</v>
      </c>
      <c r="K53">
        <v>0</v>
      </c>
      <c r="L53">
        <v>0</v>
      </c>
      <c r="M53">
        <v>0</v>
      </c>
      <c r="N53" t="str">
        <v/>
      </c>
      <c r="O53" t="str">
        <v/>
      </c>
      <c r="P53" t="str">
        <v/>
      </c>
      <c r="Q53" t="str">
        <v/>
      </c>
      <c r="R53" t="str">
        <v/>
      </c>
      <c r="S53" t="str">
        <v/>
      </c>
      <c r="T53" t="str">
        <v/>
      </c>
      <c r="U53">
        <v>0</v>
      </c>
      <c r="V53">
        <v>0</v>
      </c>
      <c r="W53">
        <v>0</v>
      </c>
      <c r="X53">
        <v>0</v>
      </c>
      <c r="Y53">
        <v>0</v>
      </c>
      <c r="Z53">
        <v>0</v>
      </c>
      <c r="AA53">
        <v>0</v>
      </c>
      <c r="AB53">
        <v>0</v>
      </c>
      <c r="AC53">
        <v>0</v>
      </c>
      <c r="AD53">
        <v>0</v>
      </c>
      <c r="AE53">
        <v>0</v>
      </c>
      <c r="AF53">
        <v>0</v>
      </c>
      <c r="AG53">
        <v>0</v>
      </c>
      <c r="AH53">
        <v>0</v>
      </c>
      <c r="AI53">
        <v>0</v>
      </c>
      <c r="AJ53">
        <v>0</v>
      </c>
      <c r="AK53">
        <v>0</v>
      </c>
      <c r="AL53">
        <v>0</v>
      </c>
      <c r="AM53">
        <v>0</v>
      </c>
      <c r="AN53" s="5">
        <v>0</v>
      </c>
      <c r="AO53" t="str">
        <v>A150</v>
      </c>
      <c r="AP53" t="str">
        <v>MOHAMED JAWHAR J A</v>
      </c>
      <c r="AQ53" t="str">
        <v>FANT</v>
      </c>
      <c r="AR53" t="str">
        <v>SUB JUNIOR</v>
      </c>
      <c r="AS53">
        <v>2</v>
      </c>
      <c r="AT53">
        <v>61</v>
      </c>
      <c r="AU53">
        <v>0</v>
      </c>
      <c r="AV53">
        <v>61</v>
      </c>
      <c r="AW53">
        <v>61</v>
      </c>
      <c r="AX53">
        <v>5</v>
      </c>
      <c r="AY53" s="5">
        <v>5</v>
      </c>
      <c r="AZ53" t="str">
        <v>JN08</v>
      </c>
      <c r="BA53" t="str">
        <v>ESSAY URD</v>
      </c>
      <c r="BB53" t="str">
        <v>JUNIOR</v>
      </c>
      <c r="BC53" t="str">
        <v>Single</v>
      </c>
      <c r="BD53" t="str">
        <v>Non-Stg</v>
      </c>
      <c r="BE53">
        <v>3</v>
      </c>
      <c r="BF53" t="str">
        <v>Individual</v>
      </c>
      <c r="BG53" t="str">
        <v>Individual</v>
      </c>
      <c r="BH53" t="str">
        <v>P</v>
      </c>
      <c r="BI53" t="str">
        <v>PUBLISHED</v>
      </c>
      <c r="BK53">
        <v>47</v>
      </c>
      <c r="BL53" t="str">
        <v>JN04</v>
      </c>
      <c r="BM53" t="str">
        <v>CARTOON</v>
      </c>
      <c r="BN53">
        <v>2</v>
      </c>
      <c r="BO53" t="str">
        <v>Single</v>
      </c>
      <c r="BP53" t="str">
        <v>Non-Stg</v>
      </c>
      <c r="BQ53" t="str">
        <v>JUNIOR</v>
      </c>
      <c r="BR53" t="str">
        <v>B120</v>
      </c>
      <c r="BS53" t="str">
        <v>B129</v>
      </c>
      <c r="BT53">
        <v>0</v>
      </c>
      <c r="BU53">
        <v>0</v>
      </c>
      <c r="BV53">
        <v>0</v>
      </c>
      <c r="BW53">
        <v>0</v>
      </c>
      <c r="BX53">
        <v>0</v>
      </c>
      <c r="BY53" t="str">
        <v>B132</v>
      </c>
      <c r="BZ53" t="str">
        <v>B161</v>
      </c>
      <c r="CA53">
        <v>0</v>
      </c>
      <c r="CB53">
        <v>0</v>
      </c>
      <c r="CC53">
        <v>0</v>
      </c>
      <c r="CD53">
        <v>0</v>
      </c>
      <c r="CE53">
        <v>0</v>
      </c>
      <c r="CF53" t="str">
        <v>B106</v>
      </c>
      <c r="CG53" t="str">
        <v>B137</v>
      </c>
      <c r="CH53">
        <v>0</v>
      </c>
      <c r="CI53">
        <v>0</v>
      </c>
      <c r="CJ53">
        <v>0</v>
      </c>
      <c r="CK53">
        <v>0</v>
      </c>
      <c r="CL53">
        <v>0</v>
      </c>
      <c r="CM53" t="str">
        <v>B107</v>
      </c>
      <c r="CN53" t="str">
        <v>B119</v>
      </c>
      <c r="CO53">
        <v>0</v>
      </c>
      <c r="CP53">
        <v>0</v>
      </c>
      <c r="CQ53">
        <v>0</v>
      </c>
      <c r="CR53">
        <v>0</v>
      </c>
      <c r="CS53">
        <v>0</v>
      </c>
      <c r="CT53">
        <v>0</v>
      </c>
      <c r="CU53">
        <v>0</v>
      </c>
      <c r="CV53">
        <v>0</v>
      </c>
      <c r="CW53">
        <v>0</v>
      </c>
      <c r="CX53">
        <v>0</v>
      </c>
      <c r="CY53">
        <v>0</v>
      </c>
      <c r="CZ53">
        <v>0</v>
      </c>
      <c r="DA53">
        <v>0</v>
      </c>
      <c r="DB53">
        <v>0</v>
      </c>
      <c r="DC53">
        <v>0</v>
      </c>
      <c r="DD53">
        <v>0</v>
      </c>
      <c r="DE53">
        <v>0</v>
      </c>
      <c r="DF53">
        <v>0</v>
      </c>
      <c r="DG53">
        <v>0</v>
      </c>
      <c r="DH53">
        <v>0</v>
      </c>
      <c r="DI53">
        <v>0</v>
      </c>
      <c r="DJ53">
        <v>0</v>
      </c>
      <c r="DK53">
        <v>0</v>
      </c>
      <c r="DL53">
        <v>0</v>
      </c>
      <c r="DM53">
        <v>0</v>
      </c>
      <c r="DN53">
        <v>0</v>
      </c>
      <c r="DO53">
        <v>0</v>
      </c>
      <c r="DP53">
        <v>0</v>
      </c>
      <c r="DQ53">
        <v>0</v>
      </c>
      <c r="DR53">
        <v>0</v>
      </c>
      <c r="DS53">
        <v>0</v>
      </c>
      <c r="DT53">
        <v>0</v>
      </c>
      <c r="DU53">
        <v>0</v>
      </c>
      <c r="DV53">
        <v>0</v>
      </c>
      <c r="DW53">
        <v>0</v>
      </c>
      <c r="DX53">
        <v>0</v>
      </c>
      <c r="DY53">
        <v>0</v>
      </c>
      <c r="DZ53">
        <v>0</v>
      </c>
      <c r="EA53">
        <v>0</v>
      </c>
      <c r="EB53">
        <v>0</v>
      </c>
      <c r="EC53">
        <v>0</v>
      </c>
      <c r="ED53">
        <v>0</v>
      </c>
      <c r="EE53">
        <v>0</v>
      </c>
      <c r="EF53">
        <v>0</v>
      </c>
      <c r="EG53">
        <v>0</v>
      </c>
      <c r="EH53">
        <v>0</v>
      </c>
      <c r="EI53">
        <v>0</v>
      </c>
      <c r="EJ53">
        <v>0</v>
      </c>
      <c r="EK53">
        <v>0</v>
      </c>
      <c r="EL53">
        <v>0</v>
      </c>
      <c r="EM53">
        <v>0</v>
      </c>
      <c r="EN53">
        <v>0</v>
      </c>
      <c r="EO53">
        <v>0</v>
      </c>
      <c r="EP53">
        <v>0</v>
      </c>
      <c r="EQ53">
        <v>0</v>
      </c>
      <c r="ER53">
        <v>0</v>
      </c>
      <c r="ES53">
        <v>0</v>
      </c>
      <c r="ET53">
        <v>0</v>
      </c>
      <c r="EU53">
        <v>0</v>
      </c>
      <c r="EV53">
        <v>0</v>
      </c>
      <c r="EW53">
        <v>0</v>
      </c>
      <c r="EX53">
        <v>0</v>
      </c>
      <c r="EY53">
        <v>0</v>
      </c>
      <c r="EZ53">
        <v>0</v>
      </c>
      <c r="FA53">
        <v>0</v>
      </c>
      <c r="FB53">
        <v>0</v>
      </c>
      <c r="FC53">
        <v>0</v>
      </c>
      <c r="FD53">
        <v>0</v>
      </c>
      <c r="FE53">
        <v>0</v>
      </c>
      <c r="FF53">
        <v>0</v>
      </c>
      <c r="FG53">
        <v>0</v>
      </c>
      <c r="FH53">
        <v>0</v>
      </c>
      <c r="FI53">
        <v>0</v>
      </c>
      <c r="FJ53">
        <v>0</v>
      </c>
      <c r="FK53">
        <v>0</v>
      </c>
      <c r="FL53">
        <v>0</v>
      </c>
      <c r="FM53">
        <v>0</v>
      </c>
      <c r="FN53">
        <v>0</v>
      </c>
      <c r="FO53">
        <v>0</v>
      </c>
      <c r="FP53">
        <v>0</v>
      </c>
      <c r="FQ53">
        <v>0</v>
      </c>
      <c r="FR53">
        <v>0</v>
      </c>
      <c r="FS53">
        <v>0</v>
      </c>
      <c r="FT53">
        <v>0</v>
      </c>
      <c r="FU53">
        <v>0</v>
      </c>
      <c r="FV53">
        <v>0</v>
      </c>
      <c r="FW53">
        <v>0</v>
      </c>
      <c r="FX53">
        <v>0</v>
      </c>
      <c r="FY53">
        <v>0</v>
      </c>
      <c r="FZ53">
        <v>0</v>
      </c>
      <c r="GA53">
        <v>0</v>
      </c>
      <c r="GB53">
        <v>0</v>
      </c>
      <c r="GC53">
        <v>0</v>
      </c>
      <c r="GD53">
        <v>0</v>
      </c>
      <c r="GE53">
        <v>0</v>
      </c>
      <c r="GF53">
        <v>0</v>
      </c>
      <c r="GG53">
        <v>0</v>
      </c>
      <c r="GH53">
        <v>0</v>
      </c>
      <c r="GI53">
        <v>0</v>
      </c>
      <c r="GJ53">
        <v>0</v>
      </c>
      <c r="GK53">
        <v>0</v>
      </c>
      <c r="GL53">
        <v>0</v>
      </c>
      <c r="GM53">
        <v>0</v>
      </c>
      <c r="GN53">
        <v>0</v>
      </c>
      <c r="GO53">
        <v>0</v>
      </c>
      <c r="GP53">
        <v>0</v>
      </c>
      <c r="GQ53">
        <v>0</v>
      </c>
      <c r="GR53">
        <v>0</v>
      </c>
      <c r="GS53">
        <v>0</v>
      </c>
      <c r="GT53">
        <v>0</v>
      </c>
      <c r="GU53">
        <v>0</v>
      </c>
      <c r="GV53">
        <v>0</v>
      </c>
      <c r="GW53">
        <v>0</v>
      </c>
      <c r="GX53">
        <v>0</v>
      </c>
      <c r="GY53">
        <v>0</v>
      </c>
      <c r="GZ53">
        <v>0</v>
      </c>
      <c r="HA53">
        <v>0</v>
      </c>
      <c r="HB53">
        <v>0</v>
      </c>
      <c r="HC53">
        <v>0</v>
      </c>
      <c r="HD53">
        <v>0</v>
      </c>
      <c r="HE53">
        <v>0</v>
      </c>
      <c r="HF53">
        <v>0</v>
      </c>
      <c r="HG53">
        <v>0</v>
      </c>
      <c r="HH53">
        <v>0</v>
      </c>
      <c r="HI53">
        <v>0</v>
      </c>
      <c r="HJ53">
        <v>0</v>
      </c>
      <c r="HK53">
        <v>0</v>
      </c>
      <c r="HL53">
        <v>0</v>
      </c>
      <c r="HM53">
        <v>0</v>
      </c>
      <c r="HN53">
        <v>0</v>
      </c>
      <c r="HO53">
        <v>0</v>
      </c>
      <c r="HP53">
        <v>0</v>
      </c>
      <c r="HQ53">
        <v>0</v>
      </c>
      <c r="HR53">
        <v>0</v>
      </c>
      <c r="HS53">
        <v>0</v>
      </c>
      <c r="HT53">
        <v>0</v>
      </c>
      <c r="HU53">
        <v>0</v>
      </c>
      <c r="HV53">
        <v>0</v>
      </c>
      <c r="HW53">
        <v>0</v>
      </c>
      <c r="HX53">
        <v>0</v>
      </c>
      <c r="HY53">
        <v>0</v>
      </c>
      <c r="HZ53">
        <v>0</v>
      </c>
      <c r="IA53">
        <v>0</v>
      </c>
      <c r="IB53">
        <v>0</v>
      </c>
      <c r="IC53">
        <v>0</v>
      </c>
      <c r="ID53">
        <v>0</v>
      </c>
      <c r="IE53">
        <v>0</v>
      </c>
      <c r="IF53">
        <v>0</v>
      </c>
      <c r="IG53">
        <v>0</v>
      </c>
      <c r="IH53">
        <v>0</v>
      </c>
      <c r="II53">
        <v>0</v>
      </c>
      <c r="IJ53">
        <v>0</v>
      </c>
      <c r="IK53">
        <v>0</v>
      </c>
      <c r="IL53">
        <v>0</v>
      </c>
      <c r="IM53">
        <v>0</v>
      </c>
      <c r="IN53">
        <v>0</v>
      </c>
      <c r="IO53">
        <v>0</v>
      </c>
      <c r="IP53">
        <v>0</v>
      </c>
      <c r="IQ53">
        <v>0</v>
      </c>
      <c r="IR53">
        <v>0</v>
      </c>
      <c r="IS53">
        <v>0</v>
      </c>
      <c r="IT53">
        <v>0</v>
      </c>
      <c r="IU53">
        <v>0</v>
      </c>
      <c r="IV53">
        <v>0</v>
      </c>
      <c r="IW53">
        <v>0</v>
      </c>
      <c r="IX53">
        <v>0</v>
      </c>
      <c r="IY53">
        <v>0</v>
      </c>
      <c r="IZ53">
        <v>0</v>
      </c>
      <c r="JA53">
        <v>0</v>
      </c>
      <c r="JB53">
        <v>0</v>
      </c>
      <c r="JC53">
        <v>0</v>
      </c>
      <c r="JD53">
        <v>0</v>
      </c>
      <c r="JE53">
        <v>0</v>
      </c>
      <c r="JF53">
        <v>0</v>
      </c>
      <c r="JG53">
        <v>0</v>
      </c>
      <c r="JH53">
        <v>0</v>
      </c>
      <c r="JI53">
        <v>0</v>
      </c>
      <c r="JJ53">
        <v>0</v>
      </c>
      <c r="JK53">
        <v>0</v>
      </c>
      <c r="JL53">
        <v>0</v>
      </c>
      <c r="JM53">
        <v>0</v>
      </c>
      <c r="JN53">
        <v>0</v>
      </c>
      <c r="JO53">
        <v>0</v>
      </c>
      <c r="JP53">
        <v>0</v>
      </c>
      <c r="JQ53">
        <v>0</v>
      </c>
      <c r="JR53">
        <v>0</v>
      </c>
      <c r="JS53">
        <v>0</v>
      </c>
      <c r="JT53">
        <v>0</v>
      </c>
      <c r="JU53">
        <v>0</v>
      </c>
      <c r="JV53">
        <v>0</v>
      </c>
      <c r="JW53">
        <v>0</v>
      </c>
      <c r="JX53">
        <v>0</v>
      </c>
      <c r="JY53">
        <v>0</v>
      </c>
      <c r="JZ53">
        <v>0</v>
      </c>
      <c r="KA53">
        <v>0</v>
      </c>
      <c r="KB53">
        <v>0</v>
      </c>
      <c r="KC53">
        <v>0</v>
      </c>
      <c r="KD53">
        <v>0</v>
      </c>
      <c r="KE53">
        <v>0</v>
      </c>
      <c r="KF53">
        <v>0</v>
      </c>
      <c r="KG53">
        <v>0</v>
      </c>
      <c r="KH53">
        <v>0</v>
      </c>
      <c r="KI53">
        <v>0</v>
      </c>
      <c r="KJ53">
        <v>0</v>
      </c>
      <c r="KK53">
        <v>0</v>
      </c>
      <c r="KL53">
        <v>0</v>
      </c>
      <c r="KM53">
        <v>0</v>
      </c>
      <c r="KN53">
        <v>0</v>
      </c>
      <c r="KO53">
        <v>0</v>
      </c>
      <c r="KP53">
        <v>0</v>
      </c>
      <c r="KQ53">
        <v>0</v>
      </c>
      <c r="KR53">
        <v>0</v>
      </c>
      <c r="KS53">
        <v>0</v>
      </c>
      <c r="KT53">
        <v>0</v>
      </c>
      <c r="KU53">
        <v>0</v>
      </c>
      <c r="KV53">
        <v>0</v>
      </c>
      <c r="KW53">
        <v>0</v>
      </c>
      <c r="KX53">
        <v>0</v>
      </c>
      <c r="KY53">
        <v>0</v>
      </c>
      <c r="KZ53">
        <v>0</v>
      </c>
      <c r="LA53">
        <v>0</v>
      </c>
      <c r="LB53">
        <v>0</v>
      </c>
      <c r="LC53">
        <v>0</v>
      </c>
      <c r="LD53">
        <v>0</v>
      </c>
      <c r="LE53">
        <v>0</v>
      </c>
      <c r="LF53">
        <v>0</v>
      </c>
      <c r="LG53">
        <v>0</v>
      </c>
      <c r="LH53">
        <v>0</v>
      </c>
      <c r="LI53">
        <v>0</v>
      </c>
      <c r="LJ53">
        <v>0</v>
      </c>
      <c r="LK53">
        <v>0</v>
      </c>
      <c r="LL53">
        <v>0</v>
      </c>
      <c r="LM53">
        <v>0</v>
      </c>
      <c r="LN53">
        <v>0</v>
      </c>
      <c r="LO53">
        <v>0</v>
      </c>
      <c r="LP53">
        <v>0</v>
      </c>
      <c r="LQ53">
        <v>0</v>
      </c>
      <c r="LR53">
        <v>0</v>
      </c>
      <c r="LS53">
        <v>0</v>
      </c>
      <c r="LT53">
        <v>0</v>
      </c>
      <c r="LU53">
        <v>0</v>
      </c>
      <c r="LV53">
        <v>0</v>
      </c>
      <c r="LW53">
        <v>0</v>
      </c>
      <c r="LX53">
        <v>0</v>
      </c>
      <c r="LY53">
        <v>0</v>
      </c>
      <c r="LZ53">
        <v>0</v>
      </c>
      <c r="MA53">
        <v>0</v>
      </c>
      <c r="MB53">
        <v>0</v>
      </c>
      <c r="MC53">
        <v>0</v>
      </c>
      <c r="MD53">
        <v>0</v>
      </c>
      <c r="ME53">
        <v>0</v>
      </c>
      <c r="MF53">
        <v>0</v>
      </c>
      <c r="MG53">
        <v>0</v>
      </c>
      <c r="MH53">
        <v>0</v>
      </c>
      <c r="MI53">
        <v>0</v>
      </c>
      <c r="MJ53">
        <v>0</v>
      </c>
      <c r="MK53">
        <v>0</v>
      </c>
      <c r="ML53">
        <v>0</v>
      </c>
      <c r="MM53">
        <v>0</v>
      </c>
      <c r="MN53">
        <v>0</v>
      </c>
      <c r="MO53">
        <v>0</v>
      </c>
      <c r="MP53">
        <v>0</v>
      </c>
      <c r="MQ53">
        <v>0</v>
      </c>
      <c r="MR53">
        <v>0</v>
      </c>
      <c r="MS53">
        <v>0</v>
      </c>
      <c r="MT53">
        <v>0</v>
      </c>
      <c r="MU53">
        <v>0</v>
      </c>
      <c r="MV53">
        <v>0</v>
      </c>
      <c r="MW53">
        <v>0</v>
      </c>
      <c r="MX53">
        <v>0</v>
      </c>
      <c r="MY53">
        <v>0</v>
      </c>
      <c r="MZ53">
        <v>0</v>
      </c>
      <c r="NA53">
        <v>0</v>
      </c>
      <c r="NB53">
        <v>0</v>
      </c>
      <c r="NC53">
        <v>0</v>
      </c>
      <c r="ND53">
        <v>0</v>
      </c>
      <c r="NE53">
        <v>0</v>
      </c>
    </row>
    <row r="54" spans="5:369" x14ac:dyDescent="0.45">
      <c r="E54">
        <v>0</v>
      </c>
      <c r="F54">
        <v>0</v>
      </c>
      <c r="G54">
        <v>0</v>
      </c>
      <c r="H54">
        <v>0</v>
      </c>
      <c r="I54">
        <v>0</v>
      </c>
      <c r="J54">
        <v>0</v>
      </c>
      <c r="K54">
        <v>0</v>
      </c>
      <c r="L54">
        <v>0</v>
      </c>
      <c r="M54">
        <v>0</v>
      </c>
      <c r="N54" t="str">
        <v/>
      </c>
      <c r="O54" t="str">
        <v/>
      </c>
      <c r="P54" t="str">
        <v/>
      </c>
      <c r="Q54" t="str">
        <v/>
      </c>
      <c r="R54" t="str">
        <v/>
      </c>
      <c r="S54" t="str">
        <v/>
      </c>
      <c r="T54" t="str">
        <v/>
      </c>
      <c r="U54">
        <v>0</v>
      </c>
      <c r="V54">
        <v>0</v>
      </c>
      <c r="W54">
        <v>0</v>
      </c>
      <c r="X54">
        <v>0</v>
      </c>
      <c r="Y54">
        <v>0</v>
      </c>
      <c r="Z54">
        <v>0</v>
      </c>
      <c r="AA54">
        <v>0</v>
      </c>
      <c r="AB54">
        <v>0</v>
      </c>
      <c r="AC54">
        <v>0</v>
      </c>
      <c r="AD54">
        <v>0</v>
      </c>
      <c r="AE54">
        <v>0</v>
      </c>
      <c r="AF54">
        <v>0</v>
      </c>
      <c r="AG54">
        <v>0</v>
      </c>
      <c r="AH54">
        <v>0</v>
      </c>
      <c r="AI54">
        <v>0</v>
      </c>
      <c r="AJ54">
        <v>0</v>
      </c>
      <c r="AK54">
        <v>0</v>
      </c>
      <c r="AL54">
        <v>0</v>
      </c>
      <c r="AM54">
        <v>0</v>
      </c>
      <c r="AN54" s="5">
        <v>0</v>
      </c>
      <c r="AO54" t="str">
        <v>A151</v>
      </c>
      <c r="AP54" t="str">
        <v>Mohammad Yaseen</v>
      </c>
      <c r="AQ54" t="str">
        <v>FANT</v>
      </c>
      <c r="AR54" t="str">
        <v>SUB JUNIOR</v>
      </c>
      <c r="AS54">
        <v>2</v>
      </c>
      <c r="AT54">
        <v>4</v>
      </c>
      <c r="AU54">
        <v>0</v>
      </c>
      <c r="AV54">
        <v>4</v>
      </c>
      <c r="AW54">
        <v>4</v>
      </c>
      <c r="AX54">
        <v>197</v>
      </c>
      <c r="AY54" s="5">
        <v>197</v>
      </c>
      <c r="AZ54" t="str">
        <v>JN09</v>
      </c>
      <c r="BA54" t="str">
        <v>GEO GIANT</v>
      </c>
      <c r="BB54" t="str">
        <v>JUNIOR</v>
      </c>
      <c r="BC54" t="str">
        <v>Single</v>
      </c>
      <c r="BD54" t="str">
        <v>Non-Stg</v>
      </c>
      <c r="BE54">
        <v>3</v>
      </c>
      <c r="BF54" t="str">
        <v>Master</v>
      </c>
      <c r="BG54" t="str">
        <v>Master</v>
      </c>
      <c r="BH54" t="str">
        <v>P</v>
      </c>
      <c r="BI54" t="str">
        <v>PUBLISHED</v>
      </c>
      <c r="BK54">
        <v>48</v>
      </c>
      <c r="BL54" t="str">
        <v>JN05</v>
      </c>
      <c r="BM54" t="str">
        <v>ESSAY ARB</v>
      </c>
      <c r="BN54">
        <v>3</v>
      </c>
      <c r="BO54" t="str">
        <v>Single</v>
      </c>
      <c r="BP54" t="str">
        <v>Non-Stg</v>
      </c>
      <c r="BQ54" t="str">
        <v>JUNIOR</v>
      </c>
      <c r="BR54" t="str">
        <v>B102</v>
      </c>
      <c r="BS54" t="str">
        <v>B130</v>
      </c>
      <c r="BT54" t="str">
        <v>B135</v>
      </c>
      <c r="BU54">
        <v>0</v>
      </c>
      <c r="BV54">
        <v>0</v>
      </c>
      <c r="BW54">
        <v>0</v>
      </c>
      <c r="BX54">
        <v>0</v>
      </c>
      <c r="BY54" t="str">
        <v>B124</v>
      </c>
      <c r="BZ54" t="str">
        <v>B149</v>
      </c>
      <c r="CA54" t="str">
        <v>B158</v>
      </c>
      <c r="CB54">
        <v>0</v>
      </c>
      <c r="CC54">
        <v>0</v>
      </c>
      <c r="CD54">
        <v>0</v>
      </c>
      <c r="CE54">
        <v>0</v>
      </c>
      <c r="CF54" t="str">
        <v>B100</v>
      </c>
      <c r="CG54" t="str">
        <v>B121</v>
      </c>
      <c r="CH54" t="str">
        <v>B146</v>
      </c>
      <c r="CI54">
        <v>0</v>
      </c>
      <c r="CJ54">
        <v>0</v>
      </c>
      <c r="CK54">
        <v>0</v>
      </c>
      <c r="CL54">
        <v>0</v>
      </c>
      <c r="CM54" t="str">
        <v>B118</v>
      </c>
      <c r="CN54" t="str">
        <v>B162</v>
      </c>
      <c r="CO54" t="str">
        <v>B163</v>
      </c>
      <c r="CP54">
        <v>0</v>
      </c>
      <c r="CQ54">
        <v>0</v>
      </c>
      <c r="CR54">
        <v>0</v>
      </c>
      <c r="CS54">
        <v>0</v>
      </c>
      <c r="CT54">
        <v>0</v>
      </c>
      <c r="CU54">
        <v>0</v>
      </c>
      <c r="CV54">
        <v>0</v>
      </c>
      <c r="CW54">
        <v>0</v>
      </c>
      <c r="CX54">
        <v>0</v>
      </c>
      <c r="CY54">
        <v>0</v>
      </c>
      <c r="CZ54">
        <v>0</v>
      </c>
      <c r="DA54">
        <v>0</v>
      </c>
      <c r="DB54">
        <v>0</v>
      </c>
      <c r="DC54">
        <v>0</v>
      </c>
      <c r="DD54">
        <v>0</v>
      </c>
      <c r="DE54">
        <v>0</v>
      </c>
      <c r="DF54">
        <v>0</v>
      </c>
      <c r="DG54">
        <v>0</v>
      </c>
      <c r="DH54">
        <v>0</v>
      </c>
      <c r="DI54">
        <v>0</v>
      </c>
      <c r="DJ54">
        <v>0</v>
      </c>
      <c r="DK54">
        <v>0</v>
      </c>
      <c r="DL54">
        <v>0</v>
      </c>
      <c r="DM54">
        <v>0</v>
      </c>
      <c r="DN54">
        <v>0</v>
      </c>
      <c r="DO54">
        <v>0</v>
      </c>
      <c r="DP54">
        <v>0</v>
      </c>
      <c r="DQ54">
        <v>0</v>
      </c>
      <c r="DR54">
        <v>0</v>
      </c>
      <c r="DS54">
        <v>0</v>
      </c>
      <c r="DT54">
        <v>0</v>
      </c>
      <c r="DU54">
        <v>0</v>
      </c>
      <c r="DV54">
        <v>0</v>
      </c>
      <c r="DW54">
        <v>0</v>
      </c>
      <c r="DX54">
        <v>0</v>
      </c>
      <c r="DY54">
        <v>0</v>
      </c>
      <c r="DZ54">
        <v>0</v>
      </c>
      <c r="EA54">
        <v>0</v>
      </c>
      <c r="EB54">
        <v>0</v>
      </c>
      <c r="EC54">
        <v>0</v>
      </c>
      <c r="ED54">
        <v>0</v>
      </c>
      <c r="EE54">
        <v>0</v>
      </c>
      <c r="EF54">
        <v>0</v>
      </c>
      <c r="EG54">
        <v>0</v>
      </c>
      <c r="EH54">
        <v>0</v>
      </c>
      <c r="EI54">
        <v>0</v>
      </c>
      <c r="EJ54">
        <v>0</v>
      </c>
      <c r="EK54">
        <v>0</v>
      </c>
      <c r="EL54">
        <v>0</v>
      </c>
      <c r="EM54">
        <v>0</v>
      </c>
      <c r="EN54">
        <v>0</v>
      </c>
      <c r="EO54">
        <v>0</v>
      </c>
      <c r="EP54">
        <v>0</v>
      </c>
      <c r="EQ54">
        <v>0</v>
      </c>
      <c r="ER54">
        <v>0</v>
      </c>
      <c r="ES54">
        <v>0</v>
      </c>
      <c r="ET54">
        <v>0</v>
      </c>
      <c r="EU54">
        <v>0</v>
      </c>
      <c r="EV54">
        <v>0</v>
      </c>
      <c r="EW54">
        <v>0</v>
      </c>
      <c r="EX54">
        <v>0</v>
      </c>
      <c r="EY54">
        <v>0</v>
      </c>
      <c r="EZ54">
        <v>0</v>
      </c>
      <c r="FA54">
        <v>0</v>
      </c>
      <c r="FB54">
        <v>0</v>
      </c>
      <c r="FC54">
        <v>0</v>
      </c>
      <c r="FD54">
        <v>0</v>
      </c>
      <c r="FE54">
        <v>0</v>
      </c>
      <c r="FF54">
        <v>0</v>
      </c>
      <c r="FG54">
        <v>0</v>
      </c>
      <c r="FH54">
        <v>0</v>
      </c>
      <c r="FI54">
        <v>0</v>
      </c>
      <c r="FJ54">
        <v>0</v>
      </c>
      <c r="FK54">
        <v>0</v>
      </c>
      <c r="FL54">
        <v>0</v>
      </c>
      <c r="FM54">
        <v>0</v>
      </c>
      <c r="FN54">
        <v>0</v>
      </c>
      <c r="FO54">
        <v>0</v>
      </c>
      <c r="FP54">
        <v>0</v>
      </c>
      <c r="FQ54">
        <v>0</v>
      </c>
      <c r="FR54">
        <v>0</v>
      </c>
      <c r="FS54">
        <v>0</v>
      </c>
      <c r="FT54">
        <v>0</v>
      </c>
      <c r="FU54">
        <v>0</v>
      </c>
      <c r="FV54">
        <v>0</v>
      </c>
      <c r="FW54">
        <v>0</v>
      </c>
      <c r="FX54">
        <v>0</v>
      </c>
      <c r="FY54">
        <v>0</v>
      </c>
      <c r="FZ54">
        <v>0</v>
      </c>
      <c r="GA54">
        <v>0</v>
      </c>
      <c r="GB54">
        <v>0</v>
      </c>
      <c r="GC54">
        <v>0</v>
      </c>
      <c r="GD54">
        <v>0</v>
      </c>
      <c r="GE54">
        <v>0</v>
      </c>
      <c r="GF54">
        <v>0</v>
      </c>
      <c r="GG54">
        <v>0</v>
      </c>
      <c r="GH54">
        <v>0</v>
      </c>
      <c r="GI54">
        <v>0</v>
      </c>
      <c r="GJ54">
        <v>0</v>
      </c>
      <c r="GK54">
        <v>0</v>
      </c>
      <c r="GL54">
        <v>0</v>
      </c>
      <c r="GM54">
        <v>0</v>
      </c>
      <c r="GN54">
        <v>0</v>
      </c>
      <c r="GO54">
        <v>0</v>
      </c>
      <c r="GP54">
        <v>0</v>
      </c>
      <c r="GQ54">
        <v>0</v>
      </c>
      <c r="GR54">
        <v>0</v>
      </c>
      <c r="GS54">
        <v>0</v>
      </c>
      <c r="GT54">
        <v>0</v>
      </c>
      <c r="GU54">
        <v>0</v>
      </c>
      <c r="GV54">
        <v>0</v>
      </c>
      <c r="GW54">
        <v>0</v>
      </c>
      <c r="GX54">
        <v>0</v>
      </c>
      <c r="GY54">
        <v>0</v>
      </c>
      <c r="GZ54">
        <v>0</v>
      </c>
      <c r="HA54">
        <v>0</v>
      </c>
      <c r="HB54">
        <v>0</v>
      </c>
      <c r="HC54">
        <v>0</v>
      </c>
      <c r="HD54">
        <v>0</v>
      </c>
      <c r="HE54">
        <v>0</v>
      </c>
      <c r="HF54">
        <v>0</v>
      </c>
      <c r="HG54">
        <v>0</v>
      </c>
      <c r="HH54">
        <v>0</v>
      </c>
      <c r="HI54">
        <v>0</v>
      </c>
      <c r="HJ54">
        <v>0</v>
      </c>
      <c r="HK54">
        <v>0</v>
      </c>
      <c r="HL54">
        <v>0</v>
      </c>
      <c r="HM54">
        <v>0</v>
      </c>
      <c r="HN54">
        <v>0</v>
      </c>
      <c r="HO54">
        <v>0</v>
      </c>
      <c r="HP54">
        <v>0</v>
      </c>
      <c r="HQ54">
        <v>0</v>
      </c>
      <c r="HR54">
        <v>0</v>
      </c>
      <c r="HS54">
        <v>0</v>
      </c>
      <c r="HT54">
        <v>0</v>
      </c>
      <c r="HU54">
        <v>0</v>
      </c>
      <c r="HV54">
        <v>0</v>
      </c>
      <c r="HW54">
        <v>0</v>
      </c>
      <c r="HX54">
        <v>0</v>
      </c>
      <c r="HY54">
        <v>0</v>
      </c>
      <c r="HZ54">
        <v>0</v>
      </c>
      <c r="IA54">
        <v>0</v>
      </c>
      <c r="IB54">
        <v>0</v>
      </c>
      <c r="IC54">
        <v>0</v>
      </c>
      <c r="ID54">
        <v>0</v>
      </c>
      <c r="IE54">
        <v>0</v>
      </c>
      <c r="IF54">
        <v>0</v>
      </c>
      <c r="IG54">
        <v>0</v>
      </c>
      <c r="IH54">
        <v>0</v>
      </c>
      <c r="II54">
        <v>0</v>
      </c>
      <c r="IJ54">
        <v>0</v>
      </c>
      <c r="IK54">
        <v>0</v>
      </c>
      <c r="IL54">
        <v>0</v>
      </c>
      <c r="IM54">
        <v>0</v>
      </c>
      <c r="IN54">
        <v>0</v>
      </c>
      <c r="IO54">
        <v>0</v>
      </c>
      <c r="IP54">
        <v>0</v>
      </c>
      <c r="IQ54">
        <v>0</v>
      </c>
      <c r="IR54">
        <v>0</v>
      </c>
      <c r="IS54">
        <v>0</v>
      </c>
      <c r="IT54">
        <v>0</v>
      </c>
      <c r="IU54">
        <v>0</v>
      </c>
      <c r="IV54">
        <v>0</v>
      </c>
      <c r="IW54">
        <v>0</v>
      </c>
      <c r="IX54">
        <v>0</v>
      </c>
      <c r="IY54">
        <v>0</v>
      </c>
      <c r="IZ54">
        <v>0</v>
      </c>
      <c r="JA54">
        <v>0</v>
      </c>
      <c r="JB54">
        <v>0</v>
      </c>
      <c r="JC54">
        <v>0</v>
      </c>
      <c r="JD54">
        <v>0</v>
      </c>
      <c r="JE54">
        <v>0</v>
      </c>
      <c r="JF54">
        <v>0</v>
      </c>
      <c r="JG54">
        <v>0</v>
      </c>
      <c r="JH54">
        <v>0</v>
      </c>
      <c r="JI54">
        <v>0</v>
      </c>
      <c r="JJ54">
        <v>0</v>
      </c>
      <c r="JK54">
        <v>0</v>
      </c>
      <c r="JL54">
        <v>0</v>
      </c>
      <c r="JM54">
        <v>0</v>
      </c>
      <c r="JN54">
        <v>0</v>
      </c>
      <c r="JO54">
        <v>0</v>
      </c>
      <c r="JP54">
        <v>0</v>
      </c>
      <c r="JQ54">
        <v>0</v>
      </c>
      <c r="JR54">
        <v>0</v>
      </c>
      <c r="JS54">
        <v>0</v>
      </c>
      <c r="JT54">
        <v>0</v>
      </c>
      <c r="JU54">
        <v>0</v>
      </c>
      <c r="JV54">
        <v>0</v>
      </c>
      <c r="JW54">
        <v>0</v>
      </c>
      <c r="JX54">
        <v>0</v>
      </c>
      <c r="JY54">
        <v>0</v>
      </c>
      <c r="JZ54">
        <v>0</v>
      </c>
      <c r="KA54">
        <v>0</v>
      </c>
      <c r="KB54">
        <v>0</v>
      </c>
      <c r="KC54">
        <v>0</v>
      </c>
      <c r="KD54">
        <v>0</v>
      </c>
      <c r="KE54">
        <v>0</v>
      </c>
      <c r="KF54">
        <v>0</v>
      </c>
      <c r="KG54">
        <v>0</v>
      </c>
      <c r="KH54">
        <v>0</v>
      </c>
      <c r="KI54">
        <v>0</v>
      </c>
      <c r="KJ54">
        <v>0</v>
      </c>
      <c r="KK54">
        <v>0</v>
      </c>
      <c r="KL54">
        <v>0</v>
      </c>
      <c r="KM54">
        <v>0</v>
      </c>
      <c r="KN54">
        <v>0</v>
      </c>
      <c r="KO54">
        <v>0</v>
      </c>
      <c r="KP54">
        <v>0</v>
      </c>
      <c r="KQ54">
        <v>0</v>
      </c>
      <c r="KR54">
        <v>0</v>
      </c>
      <c r="KS54">
        <v>0</v>
      </c>
      <c r="KT54">
        <v>0</v>
      </c>
      <c r="KU54">
        <v>0</v>
      </c>
      <c r="KV54">
        <v>0</v>
      </c>
      <c r="KW54">
        <v>0</v>
      </c>
      <c r="KX54">
        <v>0</v>
      </c>
      <c r="KY54">
        <v>0</v>
      </c>
      <c r="KZ54">
        <v>0</v>
      </c>
      <c r="LA54">
        <v>0</v>
      </c>
      <c r="LB54">
        <v>0</v>
      </c>
      <c r="LC54">
        <v>0</v>
      </c>
      <c r="LD54">
        <v>0</v>
      </c>
      <c r="LE54">
        <v>0</v>
      </c>
      <c r="LF54">
        <v>0</v>
      </c>
      <c r="LG54">
        <v>0</v>
      </c>
      <c r="LH54">
        <v>0</v>
      </c>
      <c r="LI54">
        <v>0</v>
      </c>
      <c r="LJ54">
        <v>0</v>
      </c>
      <c r="LK54">
        <v>0</v>
      </c>
      <c r="LL54">
        <v>0</v>
      </c>
      <c r="LM54">
        <v>0</v>
      </c>
      <c r="LN54">
        <v>0</v>
      </c>
      <c r="LO54">
        <v>0</v>
      </c>
      <c r="LP54">
        <v>0</v>
      </c>
      <c r="LQ54">
        <v>0</v>
      </c>
      <c r="LR54">
        <v>0</v>
      </c>
      <c r="LS54">
        <v>0</v>
      </c>
      <c r="LT54">
        <v>0</v>
      </c>
      <c r="LU54">
        <v>0</v>
      </c>
      <c r="LV54">
        <v>0</v>
      </c>
      <c r="LW54">
        <v>0</v>
      </c>
      <c r="LX54">
        <v>0</v>
      </c>
      <c r="LY54">
        <v>0</v>
      </c>
      <c r="LZ54">
        <v>0</v>
      </c>
      <c r="MA54">
        <v>0</v>
      </c>
      <c r="MB54">
        <v>0</v>
      </c>
      <c r="MC54">
        <v>0</v>
      </c>
      <c r="MD54">
        <v>0</v>
      </c>
      <c r="ME54">
        <v>0</v>
      </c>
      <c r="MF54">
        <v>0</v>
      </c>
      <c r="MG54">
        <v>0</v>
      </c>
      <c r="MH54">
        <v>0</v>
      </c>
      <c r="MI54">
        <v>0</v>
      </c>
      <c r="MJ54">
        <v>0</v>
      </c>
      <c r="MK54">
        <v>0</v>
      </c>
      <c r="ML54">
        <v>0</v>
      </c>
      <c r="MM54">
        <v>0</v>
      </c>
      <c r="MN54">
        <v>0</v>
      </c>
      <c r="MO54">
        <v>0</v>
      </c>
      <c r="MP54">
        <v>0</v>
      </c>
      <c r="MQ54">
        <v>0</v>
      </c>
      <c r="MR54">
        <v>0</v>
      </c>
      <c r="MS54">
        <v>0</v>
      </c>
      <c r="MT54">
        <v>0</v>
      </c>
      <c r="MU54">
        <v>0</v>
      </c>
      <c r="MV54">
        <v>0</v>
      </c>
      <c r="MW54">
        <v>0</v>
      </c>
      <c r="MX54">
        <v>0</v>
      </c>
      <c r="MY54">
        <v>0</v>
      </c>
      <c r="MZ54">
        <v>0</v>
      </c>
      <c r="NA54">
        <v>0</v>
      </c>
      <c r="NB54">
        <v>0</v>
      </c>
      <c r="NC54">
        <v>0</v>
      </c>
      <c r="ND54">
        <v>0</v>
      </c>
      <c r="NE54">
        <v>0</v>
      </c>
    </row>
    <row r="55" spans="5:369" x14ac:dyDescent="0.45">
      <c r="E55">
        <v>0</v>
      </c>
      <c r="F55">
        <v>0</v>
      </c>
      <c r="G55">
        <v>0</v>
      </c>
      <c r="H55">
        <v>0</v>
      </c>
      <c r="I55">
        <v>0</v>
      </c>
      <c r="J55">
        <v>0</v>
      </c>
      <c r="K55">
        <v>0</v>
      </c>
      <c r="L55">
        <v>0</v>
      </c>
      <c r="M55">
        <v>0</v>
      </c>
      <c r="N55" t="str">
        <v/>
      </c>
      <c r="O55" t="str">
        <v/>
      </c>
      <c r="P55" t="str">
        <v/>
      </c>
      <c r="Q55" t="str">
        <v/>
      </c>
      <c r="R55" t="str">
        <v/>
      </c>
      <c r="S55" t="str">
        <v/>
      </c>
      <c r="T55" t="str">
        <v/>
      </c>
      <c r="U55">
        <v>0</v>
      </c>
      <c r="V55">
        <v>0</v>
      </c>
      <c r="W55">
        <v>0</v>
      </c>
      <c r="X55">
        <v>0</v>
      </c>
      <c r="Y55">
        <v>0</v>
      </c>
      <c r="Z55">
        <v>0</v>
      </c>
      <c r="AA55">
        <v>0</v>
      </c>
      <c r="AB55">
        <v>0</v>
      </c>
      <c r="AC55">
        <v>0</v>
      </c>
      <c r="AD55">
        <v>0</v>
      </c>
      <c r="AE55">
        <v>0</v>
      </c>
      <c r="AF55">
        <v>0</v>
      </c>
      <c r="AG55">
        <v>0</v>
      </c>
      <c r="AH55">
        <v>0</v>
      </c>
      <c r="AI55">
        <v>0</v>
      </c>
      <c r="AJ55">
        <v>0</v>
      </c>
      <c r="AK55">
        <v>0</v>
      </c>
      <c r="AL55">
        <v>0</v>
      </c>
      <c r="AM55">
        <v>0</v>
      </c>
      <c r="AN55" s="5">
        <v>0</v>
      </c>
      <c r="AO55" t="str">
        <v>A152</v>
      </c>
      <c r="AP55" t="str">
        <v>MOHAMMED QUBAIB A H</v>
      </c>
      <c r="AQ55" t="str">
        <v>BADF</v>
      </c>
      <c r="AR55" t="str">
        <v>SUB JUNIOR</v>
      </c>
      <c r="AS55">
        <v>2</v>
      </c>
      <c r="AT55">
        <v>13</v>
      </c>
      <c r="AU55">
        <v>0</v>
      </c>
      <c r="AV55">
        <v>13</v>
      </c>
      <c r="AW55">
        <v>13</v>
      </c>
      <c r="AX55">
        <v>114</v>
      </c>
      <c r="AY55" s="5">
        <v>114</v>
      </c>
      <c r="AZ55" t="str">
        <v>JN10</v>
      </c>
      <c r="BA55" t="str">
        <v>GK QUIZ</v>
      </c>
      <c r="BB55" t="str">
        <v>JUNIOR</v>
      </c>
      <c r="BC55" t="str">
        <v>Single</v>
      </c>
      <c r="BD55" t="str">
        <v>Non-Stg</v>
      </c>
      <c r="BE55">
        <v>3</v>
      </c>
      <c r="BF55" t="str">
        <v>Master</v>
      </c>
      <c r="BG55" t="str">
        <v>Master</v>
      </c>
      <c r="BH55" t="str">
        <v>P</v>
      </c>
      <c r="BI55" t="str">
        <v>PUBLISHED</v>
      </c>
      <c r="BK55">
        <v>49</v>
      </c>
      <c r="BL55" t="str">
        <v>JN06</v>
      </c>
      <c r="BM55" t="str">
        <v>ESSAY ENG</v>
      </c>
      <c r="BN55">
        <v>3</v>
      </c>
      <c r="BO55" t="str">
        <v>Single</v>
      </c>
      <c r="BP55" t="str">
        <v>Non-Stg</v>
      </c>
      <c r="BQ55" t="str">
        <v>JUNIOR</v>
      </c>
      <c r="BR55" t="str">
        <v>B123</v>
      </c>
      <c r="BS55" t="str">
        <v>B157</v>
      </c>
      <c r="BT55" t="str">
        <v>B135</v>
      </c>
      <c r="BU55">
        <v>0</v>
      </c>
      <c r="BV55">
        <v>0</v>
      </c>
      <c r="BW55">
        <v>0</v>
      </c>
      <c r="BX55">
        <v>0</v>
      </c>
      <c r="BY55" t="str">
        <v>B127</v>
      </c>
      <c r="BZ55" t="str">
        <v>B158</v>
      </c>
      <c r="CA55" t="str">
        <v>B159</v>
      </c>
      <c r="CB55">
        <v>0</v>
      </c>
      <c r="CC55">
        <v>0</v>
      </c>
      <c r="CD55">
        <v>0</v>
      </c>
      <c r="CE55">
        <v>0</v>
      </c>
      <c r="CF55" t="str">
        <v>B140</v>
      </c>
      <c r="CG55" t="str">
        <v>B142</v>
      </c>
      <c r="CH55" t="str">
        <v>B153</v>
      </c>
      <c r="CI55">
        <v>0</v>
      </c>
      <c r="CJ55">
        <v>0</v>
      </c>
      <c r="CK55">
        <v>0</v>
      </c>
      <c r="CL55">
        <v>0</v>
      </c>
      <c r="CM55" t="str">
        <v>B107</v>
      </c>
      <c r="CN55" t="str">
        <v>B108</v>
      </c>
      <c r="CO55" t="str">
        <v>B134</v>
      </c>
      <c r="CP55">
        <v>0</v>
      </c>
      <c r="CQ55">
        <v>0</v>
      </c>
      <c r="CR55">
        <v>0</v>
      </c>
      <c r="CS55">
        <v>0</v>
      </c>
      <c r="CT55">
        <v>0</v>
      </c>
      <c r="CU55">
        <v>0</v>
      </c>
      <c r="CV55">
        <v>0</v>
      </c>
      <c r="CW55">
        <v>0</v>
      </c>
      <c r="CX55">
        <v>0</v>
      </c>
      <c r="CY55">
        <v>0</v>
      </c>
      <c r="CZ55">
        <v>0</v>
      </c>
      <c r="DA55">
        <v>0</v>
      </c>
      <c r="DB55">
        <v>0</v>
      </c>
      <c r="DC55">
        <v>0</v>
      </c>
      <c r="DD55">
        <v>0</v>
      </c>
      <c r="DE55">
        <v>0</v>
      </c>
      <c r="DF55">
        <v>0</v>
      </c>
      <c r="DG55">
        <v>0</v>
      </c>
      <c r="DH55">
        <v>0</v>
      </c>
      <c r="DI55">
        <v>0</v>
      </c>
      <c r="DJ55">
        <v>0</v>
      </c>
      <c r="DK55">
        <v>0</v>
      </c>
      <c r="DL55">
        <v>0</v>
      </c>
      <c r="DM55">
        <v>0</v>
      </c>
      <c r="DN55">
        <v>0</v>
      </c>
      <c r="DO55">
        <v>0</v>
      </c>
      <c r="DP55">
        <v>0</v>
      </c>
      <c r="DQ55">
        <v>0</v>
      </c>
      <c r="DR55">
        <v>0</v>
      </c>
      <c r="DS55">
        <v>0</v>
      </c>
      <c r="DT55">
        <v>0</v>
      </c>
      <c r="DU55">
        <v>0</v>
      </c>
      <c r="DV55">
        <v>0</v>
      </c>
      <c r="DW55">
        <v>0</v>
      </c>
      <c r="DX55">
        <v>0</v>
      </c>
      <c r="DY55">
        <v>0</v>
      </c>
      <c r="DZ55">
        <v>0</v>
      </c>
      <c r="EA55">
        <v>0</v>
      </c>
      <c r="EB55">
        <v>0</v>
      </c>
      <c r="EC55">
        <v>0</v>
      </c>
      <c r="ED55">
        <v>0</v>
      </c>
      <c r="EE55">
        <v>0</v>
      </c>
      <c r="EF55">
        <v>0</v>
      </c>
      <c r="EG55">
        <v>0</v>
      </c>
      <c r="EH55">
        <v>0</v>
      </c>
      <c r="EI55">
        <v>0</v>
      </c>
      <c r="EJ55">
        <v>0</v>
      </c>
      <c r="EK55">
        <v>0</v>
      </c>
      <c r="EL55">
        <v>0</v>
      </c>
      <c r="EM55">
        <v>0</v>
      </c>
      <c r="EN55">
        <v>0</v>
      </c>
      <c r="EO55">
        <v>0</v>
      </c>
      <c r="EP55">
        <v>0</v>
      </c>
      <c r="EQ55">
        <v>0</v>
      </c>
      <c r="ER55">
        <v>0</v>
      </c>
      <c r="ES55">
        <v>0</v>
      </c>
      <c r="ET55">
        <v>0</v>
      </c>
      <c r="EU55">
        <v>0</v>
      </c>
      <c r="EV55">
        <v>0</v>
      </c>
      <c r="EW55">
        <v>0</v>
      </c>
      <c r="EX55">
        <v>0</v>
      </c>
      <c r="EY55">
        <v>0</v>
      </c>
      <c r="EZ55">
        <v>0</v>
      </c>
      <c r="FA55">
        <v>0</v>
      </c>
      <c r="FB55">
        <v>0</v>
      </c>
      <c r="FC55">
        <v>0</v>
      </c>
      <c r="FD55">
        <v>0</v>
      </c>
      <c r="FE55">
        <v>0</v>
      </c>
      <c r="FF55">
        <v>0</v>
      </c>
      <c r="FG55">
        <v>0</v>
      </c>
      <c r="FH55">
        <v>0</v>
      </c>
      <c r="FI55">
        <v>0</v>
      </c>
      <c r="FJ55">
        <v>0</v>
      </c>
      <c r="FK55">
        <v>0</v>
      </c>
      <c r="FL55">
        <v>0</v>
      </c>
      <c r="FM55">
        <v>0</v>
      </c>
      <c r="FN55">
        <v>0</v>
      </c>
      <c r="FO55">
        <v>0</v>
      </c>
      <c r="FP55">
        <v>0</v>
      </c>
      <c r="FQ55">
        <v>0</v>
      </c>
      <c r="FR55">
        <v>0</v>
      </c>
      <c r="FS55">
        <v>0</v>
      </c>
      <c r="FT55">
        <v>0</v>
      </c>
      <c r="FU55">
        <v>0</v>
      </c>
      <c r="FV55">
        <v>0</v>
      </c>
      <c r="FW55">
        <v>0</v>
      </c>
      <c r="FX55">
        <v>0</v>
      </c>
      <c r="FY55">
        <v>0</v>
      </c>
      <c r="FZ55">
        <v>0</v>
      </c>
      <c r="GA55">
        <v>0</v>
      </c>
      <c r="GB55">
        <v>0</v>
      </c>
      <c r="GC55">
        <v>0</v>
      </c>
      <c r="GD55">
        <v>0</v>
      </c>
      <c r="GE55">
        <v>0</v>
      </c>
      <c r="GF55">
        <v>0</v>
      </c>
      <c r="GG55">
        <v>0</v>
      </c>
      <c r="GH55">
        <v>0</v>
      </c>
      <c r="GI55">
        <v>0</v>
      </c>
      <c r="GJ55">
        <v>0</v>
      </c>
      <c r="GK55">
        <v>0</v>
      </c>
      <c r="GL55">
        <v>0</v>
      </c>
      <c r="GM55">
        <v>0</v>
      </c>
      <c r="GN55">
        <v>0</v>
      </c>
      <c r="GO55">
        <v>0</v>
      </c>
      <c r="GP55">
        <v>0</v>
      </c>
      <c r="GQ55">
        <v>0</v>
      </c>
      <c r="GR55">
        <v>0</v>
      </c>
      <c r="GS55">
        <v>0</v>
      </c>
      <c r="GT55">
        <v>0</v>
      </c>
      <c r="GU55">
        <v>0</v>
      </c>
      <c r="GV55">
        <v>0</v>
      </c>
      <c r="GW55">
        <v>0</v>
      </c>
      <c r="GX55">
        <v>0</v>
      </c>
      <c r="GY55">
        <v>0</v>
      </c>
      <c r="GZ55">
        <v>0</v>
      </c>
      <c r="HA55">
        <v>0</v>
      </c>
      <c r="HB55">
        <v>0</v>
      </c>
      <c r="HC55">
        <v>0</v>
      </c>
      <c r="HD55">
        <v>0</v>
      </c>
      <c r="HE55">
        <v>0</v>
      </c>
      <c r="HF55">
        <v>0</v>
      </c>
      <c r="HG55">
        <v>0</v>
      </c>
      <c r="HH55">
        <v>0</v>
      </c>
      <c r="HI55">
        <v>0</v>
      </c>
      <c r="HJ55">
        <v>0</v>
      </c>
      <c r="HK55">
        <v>0</v>
      </c>
      <c r="HL55">
        <v>0</v>
      </c>
      <c r="HM55">
        <v>0</v>
      </c>
      <c r="HN55">
        <v>0</v>
      </c>
      <c r="HO55">
        <v>0</v>
      </c>
      <c r="HP55">
        <v>0</v>
      </c>
      <c r="HQ55">
        <v>0</v>
      </c>
      <c r="HR55">
        <v>0</v>
      </c>
      <c r="HS55">
        <v>0</v>
      </c>
      <c r="HT55">
        <v>0</v>
      </c>
      <c r="HU55">
        <v>0</v>
      </c>
      <c r="HV55">
        <v>0</v>
      </c>
      <c r="HW55">
        <v>0</v>
      </c>
      <c r="HX55">
        <v>0</v>
      </c>
      <c r="HY55">
        <v>0</v>
      </c>
      <c r="HZ55">
        <v>0</v>
      </c>
      <c r="IA55">
        <v>0</v>
      </c>
      <c r="IB55">
        <v>0</v>
      </c>
      <c r="IC55">
        <v>0</v>
      </c>
      <c r="ID55">
        <v>0</v>
      </c>
      <c r="IE55">
        <v>0</v>
      </c>
      <c r="IF55">
        <v>0</v>
      </c>
      <c r="IG55">
        <v>0</v>
      </c>
      <c r="IH55">
        <v>0</v>
      </c>
      <c r="II55">
        <v>0</v>
      </c>
      <c r="IJ55">
        <v>0</v>
      </c>
      <c r="IK55">
        <v>0</v>
      </c>
      <c r="IL55">
        <v>0</v>
      </c>
      <c r="IM55">
        <v>0</v>
      </c>
      <c r="IN55">
        <v>0</v>
      </c>
      <c r="IO55">
        <v>0</v>
      </c>
      <c r="IP55">
        <v>0</v>
      </c>
      <c r="IQ55">
        <v>0</v>
      </c>
      <c r="IR55">
        <v>0</v>
      </c>
      <c r="IS55">
        <v>0</v>
      </c>
      <c r="IT55">
        <v>0</v>
      </c>
      <c r="IU55">
        <v>0</v>
      </c>
      <c r="IV55">
        <v>0</v>
      </c>
      <c r="IW55">
        <v>0</v>
      </c>
      <c r="IX55">
        <v>0</v>
      </c>
      <c r="IY55">
        <v>0</v>
      </c>
      <c r="IZ55">
        <v>0</v>
      </c>
      <c r="JA55">
        <v>0</v>
      </c>
      <c r="JB55">
        <v>0</v>
      </c>
      <c r="JC55">
        <v>0</v>
      </c>
      <c r="JD55">
        <v>0</v>
      </c>
      <c r="JE55">
        <v>0</v>
      </c>
      <c r="JF55">
        <v>0</v>
      </c>
      <c r="JG55">
        <v>0</v>
      </c>
      <c r="JH55">
        <v>0</v>
      </c>
      <c r="JI55">
        <v>0</v>
      </c>
      <c r="JJ55">
        <v>0</v>
      </c>
      <c r="JK55">
        <v>0</v>
      </c>
      <c r="JL55">
        <v>0</v>
      </c>
      <c r="JM55">
        <v>0</v>
      </c>
      <c r="JN55">
        <v>0</v>
      </c>
      <c r="JO55">
        <v>0</v>
      </c>
      <c r="JP55">
        <v>0</v>
      </c>
      <c r="JQ55">
        <v>0</v>
      </c>
      <c r="JR55">
        <v>0</v>
      </c>
      <c r="JS55">
        <v>0</v>
      </c>
      <c r="JT55">
        <v>0</v>
      </c>
      <c r="JU55">
        <v>0</v>
      </c>
      <c r="JV55">
        <v>0</v>
      </c>
      <c r="JW55">
        <v>0</v>
      </c>
      <c r="JX55">
        <v>0</v>
      </c>
      <c r="JY55">
        <v>0</v>
      </c>
      <c r="JZ55">
        <v>0</v>
      </c>
      <c r="KA55">
        <v>0</v>
      </c>
      <c r="KB55">
        <v>0</v>
      </c>
      <c r="KC55">
        <v>0</v>
      </c>
      <c r="KD55">
        <v>0</v>
      </c>
      <c r="KE55">
        <v>0</v>
      </c>
      <c r="KF55">
        <v>0</v>
      </c>
      <c r="KG55">
        <v>0</v>
      </c>
      <c r="KH55">
        <v>0</v>
      </c>
      <c r="KI55">
        <v>0</v>
      </c>
      <c r="KJ55">
        <v>0</v>
      </c>
      <c r="KK55">
        <v>0</v>
      </c>
      <c r="KL55">
        <v>0</v>
      </c>
      <c r="KM55">
        <v>0</v>
      </c>
      <c r="KN55">
        <v>0</v>
      </c>
      <c r="KO55">
        <v>0</v>
      </c>
      <c r="KP55">
        <v>0</v>
      </c>
      <c r="KQ55">
        <v>0</v>
      </c>
      <c r="KR55">
        <v>0</v>
      </c>
      <c r="KS55">
        <v>0</v>
      </c>
      <c r="KT55">
        <v>0</v>
      </c>
      <c r="KU55">
        <v>0</v>
      </c>
      <c r="KV55">
        <v>0</v>
      </c>
      <c r="KW55">
        <v>0</v>
      </c>
      <c r="KX55">
        <v>0</v>
      </c>
      <c r="KY55">
        <v>0</v>
      </c>
      <c r="KZ55">
        <v>0</v>
      </c>
      <c r="LA55">
        <v>0</v>
      </c>
      <c r="LB55">
        <v>0</v>
      </c>
      <c r="LC55">
        <v>0</v>
      </c>
      <c r="LD55">
        <v>0</v>
      </c>
      <c r="LE55">
        <v>0</v>
      </c>
      <c r="LF55">
        <v>0</v>
      </c>
      <c r="LG55">
        <v>0</v>
      </c>
      <c r="LH55">
        <v>0</v>
      </c>
      <c r="LI55">
        <v>0</v>
      </c>
      <c r="LJ55">
        <v>0</v>
      </c>
      <c r="LK55">
        <v>0</v>
      </c>
      <c r="LL55">
        <v>0</v>
      </c>
      <c r="LM55">
        <v>0</v>
      </c>
      <c r="LN55">
        <v>0</v>
      </c>
      <c r="LO55">
        <v>0</v>
      </c>
      <c r="LP55">
        <v>0</v>
      </c>
      <c r="LQ55">
        <v>0</v>
      </c>
      <c r="LR55">
        <v>0</v>
      </c>
      <c r="LS55">
        <v>0</v>
      </c>
      <c r="LT55">
        <v>0</v>
      </c>
      <c r="LU55">
        <v>0</v>
      </c>
      <c r="LV55">
        <v>0</v>
      </c>
      <c r="LW55">
        <v>0</v>
      </c>
      <c r="LX55">
        <v>0</v>
      </c>
      <c r="LY55">
        <v>0</v>
      </c>
      <c r="LZ55">
        <v>0</v>
      </c>
      <c r="MA55">
        <v>0</v>
      </c>
      <c r="MB55">
        <v>0</v>
      </c>
      <c r="MC55">
        <v>0</v>
      </c>
      <c r="MD55">
        <v>0</v>
      </c>
      <c r="ME55">
        <v>0</v>
      </c>
      <c r="MF55">
        <v>0</v>
      </c>
      <c r="MG55">
        <v>0</v>
      </c>
      <c r="MH55">
        <v>0</v>
      </c>
      <c r="MI55">
        <v>0</v>
      </c>
      <c r="MJ55">
        <v>0</v>
      </c>
      <c r="MK55">
        <v>0</v>
      </c>
      <c r="ML55">
        <v>0</v>
      </c>
      <c r="MM55">
        <v>0</v>
      </c>
      <c r="MN55">
        <v>0</v>
      </c>
      <c r="MO55">
        <v>0</v>
      </c>
      <c r="MP55">
        <v>0</v>
      </c>
      <c r="MQ55">
        <v>0</v>
      </c>
      <c r="MR55">
        <v>0</v>
      </c>
      <c r="MS55">
        <v>0</v>
      </c>
      <c r="MT55">
        <v>0</v>
      </c>
      <c r="MU55">
        <v>0</v>
      </c>
      <c r="MV55">
        <v>0</v>
      </c>
      <c r="MW55">
        <v>0</v>
      </c>
      <c r="MX55">
        <v>0</v>
      </c>
      <c r="MY55">
        <v>0</v>
      </c>
      <c r="MZ55">
        <v>0</v>
      </c>
      <c r="NA55">
        <v>0</v>
      </c>
      <c r="NB55">
        <v>0</v>
      </c>
      <c r="NC55">
        <v>0</v>
      </c>
      <c r="ND55">
        <v>0</v>
      </c>
      <c r="NE55">
        <v>0</v>
      </c>
    </row>
    <row r="56" spans="5:369" x14ac:dyDescent="0.45">
      <c r="E56">
        <v>0</v>
      </c>
      <c r="F56">
        <v>0</v>
      </c>
      <c r="G56">
        <v>0</v>
      </c>
      <c r="H56">
        <v>0</v>
      </c>
      <c r="I56">
        <v>0</v>
      </c>
      <c r="J56">
        <v>0</v>
      </c>
      <c r="K56">
        <v>0</v>
      </c>
      <c r="L56">
        <v>0</v>
      </c>
      <c r="M56">
        <v>0</v>
      </c>
      <c r="N56" t="str">
        <v/>
      </c>
      <c r="O56" t="str">
        <v/>
      </c>
      <c r="P56" t="str">
        <v/>
      </c>
      <c r="Q56" t="str">
        <v/>
      </c>
      <c r="R56" t="str">
        <v/>
      </c>
      <c r="S56" t="str">
        <v/>
      </c>
      <c r="T56" t="str">
        <v/>
      </c>
      <c r="U56">
        <v>0</v>
      </c>
      <c r="V56">
        <v>0</v>
      </c>
      <c r="W56">
        <v>0</v>
      </c>
      <c r="X56">
        <v>0</v>
      </c>
      <c r="Y56">
        <v>0</v>
      </c>
      <c r="Z56">
        <v>0</v>
      </c>
      <c r="AA56">
        <v>0</v>
      </c>
      <c r="AB56">
        <v>0</v>
      </c>
      <c r="AC56">
        <v>0</v>
      </c>
      <c r="AD56">
        <v>0</v>
      </c>
      <c r="AE56">
        <v>0</v>
      </c>
      <c r="AF56">
        <v>0</v>
      </c>
      <c r="AG56">
        <v>0</v>
      </c>
      <c r="AH56">
        <v>0</v>
      </c>
      <c r="AI56">
        <v>0</v>
      </c>
      <c r="AJ56">
        <v>0</v>
      </c>
      <c r="AK56">
        <v>0</v>
      </c>
      <c r="AL56">
        <v>0</v>
      </c>
      <c r="AM56">
        <v>0</v>
      </c>
      <c r="AN56" s="5">
        <v>0</v>
      </c>
      <c r="AO56" t="str">
        <v>A153</v>
      </c>
      <c r="AP56" t="str">
        <v>MOHAMMED SAWA T A</v>
      </c>
      <c r="AQ56" t="str">
        <v>FANT</v>
      </c>
      <c r="AR56" t="str">
        <v>SUB JUNIOR</v>
      </c>
      <c r="AS56">
        <v>2</v>
      </c>
      <c r="AT56">
        <v>30</v>
      </c>
      <c r="AU56">
        <v>0</v>
      </c>
      <c r="AV56">
        <v>30</v>
      </c>
      <c r="AW56">
        <v>30</v>
      </c>
      <c r="AX56">
        <v>48</v>
      </c>
      <c r="AY56" s="5">
        <v>48</v>
      </c>
      <c r="AZ56" t="str">
        <v>JN11</v>
      </c>
      <c r="BA56" t="str">
        <v>ḤIFẒ</v>
      </c>
      <c r="BB56" t="str">
        <v>JUNIOR</v>
      </c>
      <c r="BC56" t="str">
        <v>Single</v>
      </c>
      <c r="BD56" t="str">
        <v>Non-Stg</v>
      </c>
      <c r="BE56">
        <v>3</v>
      </c>
      <c r="BF56" t="str">
        <v>Individual</v>
      </c>
      <c r="BG56" t="str">
        <v>Individual</v>
      </c>
      <c r="BH56" t="str">
        <v>P</v>
      </c>
      <c r="BI56" t="str">
        <v>PUBLISHED</v>
      </c>
      <c r="BK56">
        <v>50</v>
      </c>
      <c r="BL56" t="str">
        <v>JN07</v>
      </c>
      <c r="BM56" t="str">
        <v>ESSAY MLM</v>
      </c>
      <c r="BN56">
        <v>3</v>
      </c>
      <c r="BO56" t="str">
        <v>Single</v>
      </c>
      <c r="BP56" t="str">
        <v>Non-Stg</v>
      </c>
      <c r="BQ56" t="str">
        <v>JUNIOR</v>
      </c>
      <c r="BR56" t="str">
        <v>B111</v>
      </c>
      <c r="BS56" t="str">
        <v>B150</v>
      </c>
      <c r="BT56" t="str">
        <v>B157</v>
      </c>
      <c r="BU56">
        <v>0</v>
      </c>
      <c r="BV56">
        <v>0</v>
      </c>
      <c r="BW56">
        <v>0</v>
      </c>
      <c r="BX56">
        <v>0</v>
      </c>
      <c r="BY56" t="str">
        <v>B109</v>
      </c>
      <c r="BZ56" t="str">
        <v>B114</v>
      </c>
      <c r="CA56" t="str">
        <v>B155</v>
      </c>
      <c r="CB56">
        <v>0</v>
      </c>
      <c r="CC56">
        <v>0</v>
      </c>
      <c r="CD56">
        <v>0</v>
      </c>
      <c r="CE56">
        <v>0</v>
      </c>
      <c r="CF56" t="str">
        <v>B138</v>
      </c>
      <c r="CG56" t="str">
        <v>B146</v>
      </c>
      <c r="CH56" t="str">
        <v>B164</v>
      </c>
      <c r="CI56">
        <v>0</v>
      </c>
      <c r="CJ56">
        <v>0</v>
      </c>
      <c r="CK56">
        <v>0</v>
      </c>
      <c r="CL56">
        <v>0</v>
      </c>
      <c r="CM56" t="str">
        <v>B147</v>
      </c>
      <c r="CN56" t="str">
        <v>B152</v>
      </c>
      <c r="CO56" t="str">
        <v>B163</v>
      </c>
      <c r="CP56">
        <v>0</v>
      </c>
      <c r="CQ56">
        <v>0</v>
      </c>
      <c r="CR56">
        <v>0</v>
      </c>
      <c r="CS56">
        <v>0</v>
      </c>
      <c r="CT56">
        <v>0</v>
      </c>
      <c r="CU56">
        <v>0</v>
      </c>
      <c r="CV56">
        <v>0</v>
      </c>
      <c r="CW56">
        <v>0</v>
      </c>
      <c r="CX56">
        <v>0</v>
      </c>
      <c r="CY56">
        <v>0</v>
      </c>
      <c r="CZ56">
        <v>0</v>
      </c>
      <c r="DA56">
        <v>0</v>
      </c>
      <c r="DB56">
        <v>0</v>
      </c>
      <c r="DC56">
        <v>0</v>
      </c>
      <c r="DD56">
        <v>0</v>
      </c>
      <c r="DE56">
        <v>0</v>
      </c>
      <c r="DF56">
        <v>0</v>
      </c>
      <c r="DG56">
        <v>0</v>
      </c>
      <c r="DH56">
        <v>0</v>
      </c>
      <c r="DI56">
        <v>0</v>
      </c>
      <c r="DJ56">
        <v>0</v>
      </c>
      <c r="DK56">
        <v>0</v>
      </c>
      <c r="DL56">
        <v>0</v>
      </c>
      <c r="DM56">
        <v>0</v>
      </c>
      <c r="DN56">
        <v>0</v>
      </c>
      <c r="DO56">
        <v>0</v>
      </c>
      <c r="DP56">
        <v>0</v>
      </c>
      <c r="DQ56">
        <v>0</v>
      </c>
      <c r="DR56">
        <v>0</v>
      </c>
      <c r="DS56">
        <v>0</v>
      </c>
      <c r="DT56">
        <v>0</v>
      </c>
      <c r="DU56">
        <v>0</v>
      </c>
      <c r="DV56">
        <v>0</v>
      </c>
      <c r="DW56">
        <v>0</v>
      </c>
      <c r="DX56">
        <v>0</v>
      </c>
      <c r="DY56">
        <v>0</v>
      </c>
      <c r="DZ56">
        <v>0</v>
      </c>
      <c r="EA56">
        <v>0</v>
      </c>
      <c r="EB56">
        <v>0</v>
      </c>
      <c r="EC56">
        <v>0</v>
      </c>
      <c r="ED56">
        <v>0</v>
      </c>
      <c r="EE56">
        <v>0</v>
      </c>
      <c r="EF56">
        <v>0</v>
      </c>
      <c r="EG56">
        <v>0</v>
      </c>
      <c r="EH56">
        <v>0</v>
      </c>
      <c r="EI56">
        <v>0</v>
      </c>
      <c r="EJ56">
        <v>0</v>
      </c>
      <c r="EK56">
        <v>0</v>
      </c>
      <c r="EL56">
        <v>0</v>
      </c>
      <c r="EM56">
        <v>0</v>
      </c>
      <c r="EN56">
        <v>0</v>
      </c>
      <c r="EO56">
        <v>0</v>
      </c>
      <c r="EP56">
        <v>0</v>
      </c>
      <c r="EQ56">
        <v>0</v>
      </c>
      <c r="ER56">
        <v>0</v>
      </c>
      <c r="ES56">
        <v>0</v>
      </c>
      <c r="ET56">
        <v>0</v>
      </c>
      <c r="EU56">
        <v>0</v>
      </c>
      <c r="EV56">
        <v>0</v>
      </c>
      <c r="EW56">
        <v>0</v>
      </c>
      <c r="EX56">
        <v>0</v>
      </c>
      <c r="EY56">
        <v>0</v>
      </c>
      <c r="EZ56">
        <v>0</v>
      </c>
      <c r="FA56">
        <v>0</v>
      </c>
      <c r="FB56">
        <v>0</v>
      </c>
      <c r="FC56">
        <v>0</v>
      </c>
      <c r="FD56">
        <v>0</v>
      </c>
      <c r="FE56">
        <v>0</v>
      </c>
      <c r="FF56">
        <v>0</v>
      </c>
      <c r="FG56">
        <v>0</v>
      </c>
      <c r="FH56">
        <v>0</v>
      </c>
      <c r="FI56">
        <v>0</v>
      </c>
      <c r="FJ56">
        <v>0</v>
      </c>
      <c r="FK56">
        <v>0</v>
      </c>
      <c r="FL56">
        <v>0</v>
      </c>
      <c r="FM56">
        <v>0</v>
      </c>
      <c r="FN56">
        <v>0</v>
      </c>
      <c r="FO56">
        <v>0</v>
      </c>
      <c r="FP56">
        <v>0</v>
      </c>
      <c r="FQ56">
        <v>0</v>
      </c>
      <c r="FR56">
        <v>0</v>
      </c>
      <c r="FS56">
        <v>0</v>
      </c>
      <c r="FT56">
        <v>0</v>
      </c>
      <c r="FU56">
        <v>0</v>
      </c>
      <c r="FV56">
        <v>0</v>
      </c>
      <c r="FW56">
        <v>0</v>
      </c>
      <c r="FX56">
        <v>0</v>
      </c>
      <c r="FY56">
        <v>0</v>
      </c>
      <c r="FZ56">
        <v>0</v>
      </c>
      <c r="GA56">
        <v>0</v>
      </c>
      <c r="GB56">
        <v>0</v>
      </c>
      <c r="GC56">
        <v>0</v>
      </c>
      <c r="GD56">
        <v>0</v>
      </c>
      <c r="GE56">
        <v>0</v>
      </c>
      <c r="GF56">
        <v>0</v>
      </c>
      <c r="GG56">
        <v>0</v>
      </c>
      <c r="GH56">
        <v>0</v>
      </c>
      <c r="GI56">
        <v>0</v>
      </c>
      <c r="GJ56">
        <v>0</v>
      </c>
      <c r="GK56">
        <v>0</v>
      </c>
      <c r="GL56">
        <v>0</v>
      </c>
      <c r="GM56">
        <v>0</v>
      </c>
      <c r="GN56">
        <v>0</v>
      </c>
      <c r="GO56">
        <v>0</v>
      </c>
      <c r="GP56">
        <v>0</v>
      </c>
      <c r="GQ56">
        <v>0</v>
      </c>
      <c r="GR56">
        <v>0</v>
      </c>
      <c r="GS56">
        <v>0</v>
      </c>
      <c r="GT56">
        <v>0</v>
      </c>
      <c r="GU56">
        <v>0</v>
      </c>
      <c r="GV56">
        <v>0</v>
      </c>
      <c r="GW56">
        <v>0</v>
      </c>
      <c r="GX56">
        <v>0</v>
      </c>
      <c r="GY56">
        <v>0</v>
      </c>
      <c r="GZ56">
        <v>0</v>
      </c>
      <c r="HA56">
        <v>0</v>
      </c>
      <c r="HB56">
        <v>0</v>
      </c>
      <c r="HC56">
        <v>0</v>
      </c>
      <c r="HD56">
        <v>0</v>
      </c>
      <c r="HE56">
        <v>0</v>
      </c>
      <c r="HF56">
        <v>0</v>
      </c>
      <c r="HG56">
        <v>0</v>
      </c>
      <c r="HH56">
        <v>0</v>
      </c>
      <c r="HI56">
        <v>0</v>
      </c>
      <c r="HJ56">
        <v>0</v>
      </c>
      <c r="HK56">
        <v>0</v>
      </c>
      <c r="HL56">
        <v>0</v>
      </c>
      <c r="HM56">
        <v>0</v>
      </c>
      <c r="HN56">
        <v>0</v>
      </c>
      <c r="HO56">
        <v>0</v>
      </c>
      <c r="HP56">
        <v>0</v>
      </c>
      <c r="HQ56">
        <v>0</v>
      </c>
      <c r="HR56">
        <v>0</v>
      </c>
      <c r="HS56">
        <v>0</v>
      </c>
      <c r="HT56">
        <v>0</v>
      </c>
      <c r="HU56">
        <v>0</v>
      </c>
      <c r="HV56">
        <v>0</v>
      </c>
      <c r="HW56">
        <v>0</v>
      </c>
      <c r="HX56">
        <v>0</v>
      </c>
      <c r="HY56">
        <v>0</v>
      </c>
      <c r="HZ56">
        <v>0</v>
      </c>
      <c r="IA56">
        <v>0</v>
      </c>
      <c r="IB56">
        <v>0</v>
      </c>
      <c r="IC56">
        <v>0</v>
      </c>
      <c r="ID56">
        <v>0</v>
      </c>
      <c r="IE56">
        <v>0</v>
      </c>
      <c r="IF56">
        <v>0</v>
      </c>
      <c r="IG56">
        <v>0</v>
      </c>
      <c r="IH56">
        <v>0</v>
      </c>
      <c r="II56">
        <v>0</v>
      </c>
      <c r="IJ56">
        <v>0</v>
      </c>
      <c r="IK56">
        <v>0</v>
      </c>
      <c r="IL56">
        <v>0</v>
      </c>
      <c r="IM56">
        <v>0</v>
      </c>
      <c r="IN56">
        <v>0</v>
      </c>
      <c r="IO56">
        <v>0</v>
      </c>
      <c r="IP56">
        <v>0</v>
      </c>
      <c r="IQ56">
        <v>0</v>
      </c>
      <c r="IR56">
        <v>0</v>
      </c>
      <c r="IS56">
        <v>0</v>
      </c>
      <c r="IT56">
        <v>0</v>
      </c>
      <c r="IU56">
        <v>0</v>
      </c>
      <c r="IV56">
        <v>0</v>
      </c>
      <c r="IW56">
        <v>0</v>
      </c>
      <c r="IX56">
        <v>0</v>
      </c>
      <c r="IY56">
        <v>0</v>
      </c>
      <c r="IZ56">
        <v>0</v>
      </c>
      <c r="JA56">
        <v>0</v>
      </c>
      <c r="JB56">
        <v>0</v>
      </c>
      <c r="JC56">
        <v>0</v>
      </c>
      <c r="JD56">
        <v>0</v>
      </c>
      <c r="JE56">
        <v>0</v>
      </c>
      <c r="JF56">
        <v>0</v>
      </c>
      <c r="JG56">
        <v>0</v>
      </c>
      <c r="JH56">
        <v>0</v>
      </c>
      <c r="JI56">
        <v>0</v>
      </c>
      <c r="JJ56">
        <v>0</v>
      </c>
      <c r="JK56">
        <v>0</v>
      </c>
      <c r="JL56">
        <v>0</v>
      </c>
      <c r="JM56">
        <v>0</v>
      </c>
      <c r="JN56">
        <v>0</v>
      </c>
      <c r="JO56">
        <v>0</v>
      </c>
      <c r="JP56">
        <v>0</v>
      </c>
      <c r="JQ56">
        <v>0</v>
      </c>
      <c r="JR56">
        <v>0</v>
      </c>
      <c r="JS56">
        <v>0</v>
      </c>
      <c r="JT56">
        <v>0</v>
      </c>
      <c r="JU56">
        <v>0</v>
      </c>
      <c r="JV56">
        <v>0</v>
      </c>
      <c r="JW56">
        <v>0</v>
      </c>
      <c r="JX56">
        <v>0</v>
      </c>
      <c r="JY56">
        <v>0</v>
      </c>
      <c r="JZ56">
        <v>0</v>
      </c>
      <c r="KA56">
        <v>0</v>
      </c>
      <c r="KB56">
        <v>0</v>
      </c>
      <c r="KC56">
        <v>0</v>
      </c>
      <c r="KD56">
        <v>0</v>
      </c>
      <c r="KE56">
        <v>0</v>
      </c>
      <c r="KF56">
        <v>0</v>
      </c>
      <c r="KG56">
        <v>0</v>
      </c>
      <c r="KH56">
        <v>0</v>
      </c>
      <c r="KI56">
        <v>0</v>
      </c>
      <c r="KJ56">
        <v>0</v>
      </c>
      <c r="KK56">
        <v>0</v>
      </c>
      <c r="KL56">
        <v>0</v>
      </c>
      <c r="KM56">
        <v>0</v>
      </c>
      <c r="KN56">
        <v>0</v>
      </c>
      <c r="KO56">
        <v>0</v>
      </c>
      <c r="KP56">
        <v>0</v>
      </c>
      <c r="KQ56">
        <v>0</v>
      </c>
      <c r="KR56">
        <v>0</v>
      </c>
      <c r="KS56">
        <v>0</v>
      </c>
      <c r="KT56">
        <v>0</v>
      </c>
      <c r="KU56">
        <v>0</v>
      </c>
      <c r="KV56">
        <v>0</v>
      </c>
      <c r="KW56">
        <v>0</v>
      </c>
      <c r="KX56">
        <v>0</v>
      </c>
      <c r="KY56">
        <v>0</v>
      </c>
      <c r="KZ56">
        <v>0</v>
      </c>
      <c r="LA56">
        <v>0</v>
      </c>
      <c r="LB56">
        <v>0</v>
      </c>
      <c r="LC56">
        <v>0</v>
      </c>
      <c r="LD56">
        <v>0</v>
      </c>
      <c r="LE56">
        <v>0</v>
      </c>
      <c r="LF56">
        <v>0</v>
      </c>
      <c r="LG56">
        <v>0</v>
      </c>
      <c r="LH56">
        <v>0</v>
      </c>
      <c r="LI56">
        <v>0</v>
      </c>
      <c r="LJ56">
        <v>0</v>
      </c>
      <c r="LK56">
        <v>0</v>
      </c>
      <c r="LL56">
        <v>0</v>
      </c>
      <c r="LM56">
        <v>0</v>
      </c>
      <c r="LN56">
        <v>0</v>
      </c>
      <c r="LO56">
        <v>0</v>
      </c>
      <c r="LP56">
        <v>0</v>
      </c>
      <c r="LQ56">
        <v>0</v>
      </c>
      <c r="LR56">
        <v>0</v>
      </c>
      <c r="LS56">
        <v>0</v>
      </c>
      <c r="LT56">
        <v>0</v>
      </c>
      <c r="LU56">
        <v>0</v>
      </c>
      <c r="LV56">
        <v>0</v>
      </c>
      <c r="LW56">
        <v>0</v>
      </c>
      <c r="LX56">
        <v>0</v>
      </c>
      <c r="LY56">
        <v>0</v>
      </c>
      <c r="LZ56">
        <v>0</v>
      </c>
      <c r="MA56">
        <v>0</v>
      </c>
      <c r="MB56">
        <v>0</v>
      </c>
      <c r="MC56">
        <v>0</v>
      </c>
      <c r="MD56">
        <v>0</v>
      </c>
      <c r="ME56">
        <v>0</v>
      </c>
      <c r="MF56">
        <v>0</v>
      </c>
      <c r="MG56">
        <v>0</v>
      </c>
      <c r="MH56">
        <v>0</v>
      </c>
      <c r="MI56">
        <v>0</v>
      </c>
      <c r="MJ56">
        <v>0</v>
      </c>
      <c r="MK56">
        <v>0</v>
      </c>
      <c r="ML56">
        <v>0</v>
      </c>
      <c r="MM56">
        <v>0</v>
      </c>
      <c r="MN56">
        <v>0</v>
      </c>
      <c r="MO56">
        <v>0</v>
      </c>
      <c r="MP56">
        <v>0</v>
      </c>
      <c r="MQ56">
        <v>0</v>
      </c>
      <c r="MR56">
        <v>0</v>
      </c>
      <c r="MS56">
        <v>0</v>
      </c>
      <c r="MT56">
        <v>0</v>
      </c>
      <c r="MU56">
        <v>0</v>
      </c>
      <c r="MV56">
        <v>0</v>
      </c>
      <c r="MW56">
        <v>0</v>
      </c>
      <c r="MX56">
        <v>0</v>
      </c>
      <c r="MY56">
        <v>0</v>
      </c>
      <c r="MZ56">
        <v>0</v>
      </c>
      <c r="NA56">
        <v>0</v>
      </c>
      <c r="NB56">
        <v>0</v>
      </c>
      <c r="NC56">
        <v>0</v>
      </c>
      <c r="ND56">
        <v>0</v>
      </c>
      <c r="NE56">
        <v>0</v>
      </c>
    </row>
    <row r="57" spans="5:369" x14ac:dyDescent="0.45">
      <c r="E57">
        <v>0</v>
      </c>
      <c r="F57">
        <v>0</v>
      </c>
      <c r="G57">
        <v>0</v>
      </c>
      <c r="H57">
        <v>0</v>
      </c>
      <c r="I57">
        <v>0</v>
      </c>
      <c r="J57">
        <v>0</v>
      </c>
      <c r="K57">
        <v>0</v>
      </c>
      <c r="L57">
        <v>0</v>
      </c>
      <c r="M57">
        <v>0</v>
      </c>
      <c r="N57" t="str">
        <v/>
      </c>
      <c r="O57" t="str">
        <v/>
      </c>
      <c r="P57" t="str">
        <v/>
      </c>
      <c r="Q57" t="str">
        <v/>
      </c>
      <c r="R57" t="str">
        <v/>
      </c>
      <c r="S57" t="str">
        <v/>
      </c>
      <c r="T57" t="str">
        <v/>
      </c>
      <c r="U57">
        <v>0</v>
      </c>
      <c r="V57">
        <v>0</v>
      </c>
      <c r="W57">
        <v>0</v>
      </c>
      <c r="X57">
        <v>0</v>
      </c>
      <c r="Y57">
        <v>0</v>
      </c>
      <c r="Z57">
        <v>0</v>
      </c>
      <c r="AA57">
        <v>0</v>
      </c>
      <c r="AB57">
        <v>0</v>
      </c>
      <c r="AC57">
        <v>0</v>
      </c>
      <c r="AD57">
        <v>0</v>
      </c>
      <c r="AE57">
        <v>0</v>
      </c>
      <c r="AF57">
        <v>0</v>
      </c>
      <c r="AG57">
        <v>0</v>
      </c>
      <c r="AH57">
        <v>0</v>
      </c>
      <c r="AI57">
        <v>0</v>
      </c>
      <c r="AJ57">
        <v>0</v>
      </c>
      <c r="AK57">
        <v>0</v>
      </c>
      <c r="AL57">
        <v>0</v>
      </c>
      <c r="AM57">
        <v>0</v>
      </c>
      <c r="AN57" s="5">
        <v>0</v>
      </c>
      <c r="AO57" t="str">
        <v>A154</v>
      </c>
      <c r="AP57" t="str">
        <v>MOHAMMED WASIM SHAHAD SM</v>
      </c>
      <c r="AQ57" t="str">
        <v>JARF</v>
      </c>
      <c r="AR57" t="str">
        <v>SUB JUNIOR</v>
      </c>
      <c r="AS57">
        <v>2</v>
      </c>
      <c r="AT57">
        <v>45</v>
      </c>
      <c r="AU57">
        <v>0</v>
      </c>
      <c r="AV57">
        <v>45</v>
      </c>
      <c r="AW57">
        <v>45</v>
      </c>
      <c r="AX57">
        <v>18</v>
      </c>
      <c r="AY57" s="5">
        <v>18</v>
      </c>
      <c r="AZ57" t="str">
        <v>JN12</v>
      </c>
      <c r="BA57" t="str">
        <v>MATH TALENT</v>
      </c>
      <c r="BB57" t="str">
        <v>JUNIOR</v>
      </c>
      <c r="BC57" t="str">
        <v>Single</v>
      </c>
      <c r="BD57" t="str">
        <v>Non-Stg</v>
      </c>
      <c r="BE57">
        <v>3</v>
      </c>
      <c r="BF57" t="str">
        <v>Master</v>
      </c>
      <c r="BG57" t="str">
        <v>Master</v>
      </c>
      <c r="BH57" t="str">
        <v>P</v>
      </c>
      <c r="BI57" t="str">
        <v>PUBLISHED</v>
      </c>
      <c r="BK57">
        <v>51</v>
      </c>
      <c r="BL57" t="str">
        <v>JN08</v>
      </c>
      <c r="BM57" t="str">
        <v>ESSAY URD</v>
      </c>
      <c r="BN57">
        <v>3</v>
      </c>
      <c r="BO57" t="str">
        <v>Single</v>
      </c>
      <c r="BP57" t="str">
        <v>Non-Stg</v>
      </c>
      <c r="BQ57" t="str">
        <v>JUNIOR</v>
      </c>
      <c r="BR57" t="str">
        <v>B120</v>
      </c>
      <c r="BS57" t="str">
        <v>B141</v>
      </c>
      <c r="BT57" t="str">
        <v>B150</v>
      </c>
      <c r="BU57">
        <v>0</v>
      </c>
      <c r="BV57">
        <v>0</v>
      </c>
      <c r="BW57">
        <v>0</v>
      </c>
      <c r="BX57">
        <v>0</v>
      </c>
      <c r="BY57" t="str">
        <v>B132</v>
      </c>
      <c r="BZ57" t="str">
        <v>B139</v>
      </c>
      <c r="CA57" t="str">
        <v>B154</v>
      </c>
      <c r="CB57">
        <v>0</v>
      </c>
      <c r="CC57">
        <v>0</v>
      </c>
      <c r="CD57">
        <v>0</v>
      </c>
      <c r="CE57">
        <v>0</v>
      </c>
      <c r="CF57" t="str">
        <v>B103</v>
      </c>
      <c r="CG57" t="str">
        <v>B137</v>
      </c>
      <c r="CH57" t="str">
        <v>B140</v>
      </c>
      <c r="CI57">
        <v>0</v>
      </c>
      <c r="CJ57">
        <v>0</v>
      </c>
      <c r="CK57">
        <v>0</v>
      </c>
      <c r="CL57">
        <v>0</v>
      </c>
      <c r="CM57" t="str">
        <v>B118</v>
      </c>
      <c r="CN57" t="str">
        <v>B147</v>
      </c>
      <c r="CO57" t="str">
        <v>B152</v>
      </c>
      <c r="CP57">
        <v>0</v>
      </c>
      <c r="CQ57">
        <v>0</v>
      </c>
      <c r="CR57">
        <v>0</v>
      </c>
      <c r="CS57">
        <v>0</v>
      </c>
      <c r="CT57">
        <v>0</v>
      </c>
      <c r="CU57">
        <v>0</v>
      </c>
      <c r="CV57">
        <v>0</v>
      </c>
      <c r="CW57">
        <v>0</v>
      </c>
      <c r="CX57">
        <v>0</v>
      </c>
      <c r="CY57">
        <v>0</v>
      </c>
      <c r="CZ57">
        <v>0</v>
      </c>
      <c r="DA57">
        <v>0</v>
      </c>
      <c r="DB57">
        <v>0</v>
      </c>
      <c r="DC57">
        <v>0</v>
      </c>
      <c r="DD57">
        <v>0</v>
      </c>
      <c r="DE57">
        <v>0</v>
      </c>
      <c r="DF57">
        <v>0</v>
      </c>
      <c r="DG57">
        <v>0</v>
      </c>
      <c r="DH57">
        <v>0</v>
      </c>
      <c r="DI57">
        <v>0</v>
      </c>
      <c r="DJ57">
        <v>0</v>
      </c>
      <c r="DK57">
        <v>0</v>
      </c>
      <c r="DL57">
        <v>0</v>
      </c>
      <c r="DM57">
        <v>0</v>
      </c>
      <c r="DN57">
        <v>0</v>
      </c>
      <c r="DO57">
        <v>0</v>
      </c>
      <c r="DP57">
        <v>0</v>
      </c>
      <c r="DQ57">
        <v>0</v>
      </c>
      <c r="DR57">
        <v>0</v>
      </c>
      <c r="DS57">
        <v>0</v>
      </c>
      <c r="DT57">
        <v>0</v>
      </c>
      <c r="DU57">
        <v>0</v>
      </c>
      <c r="DV57">
        <v>0</v>
      </c>
      <c r="DW57">
        <v>0</v>
      </c>
      <c r="DX57">
        <v>0</v>
      </c>
      <c r="DY57">
        <v>0</v>
      </c>
      <c r="DZ57">
        <v>0</v>
      </c>
      <c r="EA57">
        <v>0</v>
      </c>
      <c r="EB57">
        <v>0</v>
      </c>
      <c r="EC57">
        <v>0</v>
      </c>
      <c r="ED57">
        <v>0</v>
      </c>
      <c r="EE57">
        <v>0</v>
      </c>
      <c r="EF57">
        <v>0</v>
      </c>
      <c r="EG57">
        <v>0</v>
      </c>
      <c r="EH57">
        <v>0</v>
      </c>
      <c r="EI57">
        <v>0</v>
      </c>
      <c r="EJ57">
        <v>0</v>
      </c>
      <c r="EK57">
        <v>0</v>
      </c>
      <c r="EL57">
        <v>0</v>
      </c>
      <c r="EM57">
        <v>0</v>
      </c>
      <c r="EN57">
        <v>0</v>
      </c>
      <c r="EO57">
        <v>0</v>
      </c>
      <c r="EP57">
        <v>0</v>
      </c>
      <c r="EQ57">
        <v>0</v>
      </c>
      <c r="ER57">
        <v>0</v>
      </c>
      <c r="ES57">
        <v>0</v>
      </c>
      <c r="ET57">
        <v>0</v>
      </c>
      <c r="EU57">
        <v>0</v>
      </c>
      <c r="EV57">
        <v>0</v>
      </c>
      <c r="EW57">
        <v>0</v>
      </c>
      <c r="EX57">
        <v>0</v>
      </c>
      <c r="EY57">
        <v>0</v>
      </c>
      <c r="EZ57">
        <v>0</v>
      </c>
      <c r="FA57">
        <v>0</v>
      </c>
      <c r="FB57">
        <v>0</v>
      </c>
      <c r="FC57">
        <v>0</v>
      </c>
      <c r="FD57">
        <v>0</v>
      </c>
      <c r="FE57">
        <v>0</v>
      </c>
      <c r="FF57">
        <v>0</v>
      </c>
      <c r="FG57">
        <v>0</v>
      </c>
      <c r="FH57">
        <v>0</v>
      </c>
      <c r="FI57">
        <v>0</v>
      </c>
      <c r="FJ57">
        <v>0</v>
      </c>
      <c r="FK57">
        <v>0</v>
      </c>
      <c r="FL57">
        <v>0</v>
      </c>
      <c r="FM57">
        <v>0</v>
      </c>
      <c r="FN57">
        <v>0</v>
      </c>
      <c r="FO57">
        <v>0</v>
      </c>
      <c r="FP57">
        <v>0</v>
      </c>
      <c r="FQ57">
        <v>0</v>
      </c>
      <c r="FR57">
        <v>0</v>
      </c>
      <c r="FS57">
        <v>0</v>
      </c>
      <c r="FT57">
        <v>0</v>
      </c>
      <c r="FU57">
        <v>0</v>
      </c>
      <c r="FV57">
        <v>0</v>
      </c>
      <c r="FW57">
        <v>0</v>
      </c>
      <c r="FX57">
        <v>0</v>
      </c>
      <c r="FY57">
        <v>0</v>
      </c>
      <c r="FZ57">
        <v>0</v>
      </c>
      <c r="GA57">
        <v>0</v>
      </c>
      <c r="GB57">
        <v>0</v>
      </c>
      <c r="GC57">
        <v>0</v>
      </c>
      <c r="GD57">
        <v>0</v>
      </c>
      <c r="GE57">
        <v>0</v>
      </c>
      <c r="GF57">
        <v>0</v>
      </c>
      <c r="GG57">
        <v>0</v>
      </c>
      <c r="GH57">
        <v>0</v>
      </c>
      <c r="GI57">
        <v>0</v>
      </c>
      <c r="GJ57">
        <v>0</v>
      </c>
      <c r="GK57">
        <v>0</v>
      </c>
      <c r="GL57">
        <v>0</v>
      </c>
      <c r="GM57">
        <v>0</v>
      </c>
      <c r="GN57">
        <v>0</v>
      </c>
      <c r="GO57">
        <v>0</v>
      </c>
      <c r="GP57">
        <v>0</v>
      </c>
      <c r="GQ57">
        <v>0</v>
      </c>
      <c r="GR57">
        <v>0</v>
      </c>
      <c r="GS57">
        <v>0</v>
      </c>
      <c r="GT57">
        <v>0</v>
      </c>
      <c r="GU57">
        <v>0</v>
      </c>
      <c r="GV57">
        <v>0</v>
      </c>
      <c r="GW57">
        <v>0</v>
      </c>
      <c r="GX57">
        <v>0</v>
      </c>
      <c r="GY57">
        <v>0</v>
      </c>
      <c r="GZ57">
        <v>0</v>
      </c>
      <c r="HA57">
        <v>0</v>
      </c>
      <c r="HB57">
        <v>0</v>
      </c>
      <c r="HC57">
        <v>0</v>
      </c>
      <c r="HD57">
        <v>0</v>
      </c>
      <c r="HE57">
        <v>0</v>
      </c>
      <c r="HF57">
        <v>0</v>
      </c>
      <c r="HG57">
        <v>0</v>
      </c>
      <c r="HH57">
        <v>0</v>
      </c>
      <c r="HI57">
        <v>0</v>
      </c>
      <c r="HJ57">
        <v>0</v>
      </c>
      <c r="HK57">
        <v>0</v>
      </c>
      <c r="HL57">
        <v>0</v>
      </c>
      <c r="HM57">
        <v>0</v>
      </c>
      <c r="HN57">
        <v>0</v>
      </c>
      <c r="HO57">
        <v>0</v>
      </c>
      <c r="HP57">
        <v>0</v>
      </c>
      <c r="HQ57">
        <v>0</v>
      </c>
      <c r="HR57">
        <v>0</v>
      </c>
      <c r="HS57">
        <v>0</v>
      </c>
      <c r="HT57">
        <v>0</v>
      </c>
      <c r="HU57">
        <v>0</v>
      </c>
      <c r="HV57">
        <v>0</v>
      </c>
      <c r="HW57">
        <v>0</v>
      </c>
      <c r="HX57">
        <v>0</v>
      </c>
      <c r="HY57">
        <v>0</v>
      </c>
      <c r="HZ57">
        <v>0</v>
      </c>
      <c r="IA57">
        <v>0</v>
      </c>
      <c r="IB57">
        <v>0</v>
      </c>
      <c r="IC57">
        <v>0</v>
      </c>
      <c r="ID57">
        <v>0</v>
      </c>
      <c r="IE57">
        <v>0</v>
      </c>
      <c r="IF57">
        <v>0</v>
      </c>
      <c r="IG57">
        <v>0</v>
      </c>
      <c r="IH57">
        <v>0</v>
      </c>
      <c r="II57">
        <v>0</v>
      </c>
      <c r="IJ57">
        <v>0</v>
      </c>
      <c r="IK57">
        <v>0</v>
      </c>
      <c r="IL57">
        <v>0</v>
      </c>
      <c r="IM57">
        <v>0</v>
      </c>
      <c r="IN57">
        <v>0</v>
      </c>
      <c r="IO57">
        <v>0</v>
      </c>
      <c r="IP57">
        <v>0</v>
      </c>
      <c r="IQ57">
        <v>0</v>
      </c>
      <c r="IR57">
        <v>0</v>
      </c>
      <c r="IS57">
        <v>0</v>
      </c>
      <c r="IT57">
        <v>0</v>
      </c>
      <c r="IU57">
        <v>0</v>
      </c>
      <c r="IV57">
        <v>0</v>
      </c>
      <c r="IW57">
        <v>0</v>
      </c>
      <c r="IX57">
        <v>0</v>
      </c>
      <c r="IY57">
        <v>0</v>
      </c>
      <c r="IZ57">
        <v>0</v>
      </c>
      <c r="JA57">
        <v>0</v>
      </c>
      <c r="JB57">
        <v>0</v>
      </c>
      <c r="JC57">
        <v>0</v>
      </c>
      <c r="JD57">
        <v>0</v>
      </c>
      <c r="JE57">
        <v>0</v>
      </c>
      <c r="JF57">
        <v>0</v>
      </c>
      <c r="JG57">
        <v>0</v>
      </c>
      <c r="JH57">
        <v>0</v>
      </c>
      <c r="JI57">
        <v>0</v>
      </c>
      <c r="JJ57">
        <v>0</v>
      </c>
      <c r="JK57">
        <v>0</v>
      </c>
      <c r="JL57">
        <v>0</v>
      </c>
      <c r="JM57">
        <v>0</v>
      </c>
      <c r="JN57">
        <v>0</v>
      </c>
      <c r="JO57">
        <v>0</v>
      </c>
      <c r="JP57">
        <v>0</v>
      </c>
      <c r="JQ57">
        <v>0</v>
      </c>
      <c r="JR57">
        <v>0</v>
      </c>
      <c r="JS57">
        <v>0</v>
      </c>
      <c r="JT57">
        <v>0</v>
      </c>
      <c r="JU57">
        <v>0</v>
      </c>
      <c r="JV57">
        <v>0</v>
      </c>
      <c r="JW57">
        <v>0</v>
      </c>
      <c r="JX57">
        <v>0</v>
      </c>
      <c r="JY57">
        <v>0</v>
      </c>
      <c r="JZ57">
        <v>0</v>
      </c>
      <c r="KA57">
        <v>0</v>
      </c>
      <c r="KB57">
        <v>0</v>
      </c>
      <c r="KC57">
        <v>0</v>
      </c>
      <c r="KD57">
        <v>0</v>
      </c>
      <c r="KE57">
        <v>0</v>
      </c>
      <c r="KF57">
        <v>0</v>
      </c>
      <c r="KG57">
        <v>0</v>
      </c>
      <c r="KH57">
        <v>0</v>
      </c>
      <c r="KI57">
        <v>0</v>
      </c>
      <c r="KJ57">
        <v>0</v>
      </c>
      <c r="KK57">
        <v>0</v>
      </c>
      <c r="KL57">
        <v>0</v>
      </c>
      <c r="KM57">
        <v>0</v>
      </c>
      <c r="KN57">
        <v>0</v>
      </c>
      <c r="KO57">
        <v>0</v>
      </c>
      <c r="KP57">
        <v>0</v>
      </c>
      <c r="KQ57">
        <v>0</v>
      </c>
      <c r="KR57">
        <v>0</v>
      </c>
      <c r="KS57">
        <v>0</v>
      </c>
      <c r="KT57">
        <v>0</v>
      </c>
      <c r="KU57">
        <v>0</v>
      </c>
      <c r="KV57">
        <v>0</v>
      </c>
      <c r="KW57">
        <v>0</v>
      </c>
      <c r="KX57">
        <v>0</v>
      </c>
      <c r="KY57">
        <v>0</v>
      </c>
      <c r="KZ57">
        <v>0</v>
      </c>
      <c r="LA57">
        <v>0</v>
      </c>
      <c r="LB57">
        <v>0</v>
      </c>
      <c r="LC57">
        <v>0</v>
      </c>
      <c r="LD57">
        <v>0</v>
      </c>
      <c r="LE57">
        <v>0</v>
      </c>
      <c r="LF57">
        <v>0</v>
      </c>
      <c r="LG57">
        <v>0</v>
      </c>
      <c r="LH57">
        <v>0</v>
      </c>
      <c r="LI57">
        <v>0</v>
      </c>
      <c r="LJ57">
        <v>0</v>
      </c>
      <c r="LK57">
        <v>0</v>
      </c>
      <c r="LL57">
        <v>0</v>
      </c>
      <c r="LM57">
        <v>0</v>
      </c>
      <c r="LN57">
        <v>0</v>
      </c>
      <c r="LO57">
        <v>0</v>
      </c>
      <c r="LP57">
        <v>0</v>
      </c>
      <c r="LQ57">
        <v>0</v>
      </c>
      <c r="LR57">
        <v>0</v>
      </c>
      <c r="LS57">
        <v>0</v>
      </c>
      <c r="LT57">
        <v>0</v>
      </c>
      <c r="LU57">
        <v>0</v>
      </c>
      <c r="LV57">
        <v>0</v>
      </c>
      <c r="LW57">
        <v>0</v>
      </c>
      <c r="LX57">
        <v>0</v>
      </c>
      <c r="LY57">
        <v>0</v>
      </c>
      <c r="LZ57">
        <v>0</v>
      </c>
      <c r="MA57">
        <v>0</v>
      </c>
      <c r="MB57">
        <v>0</v>
      </c>
      <c r="MC57">
        <v>0</v>
      </c>
      <c r="MD57">
        <v>0</v>
      </c>
      <c r="ME57">
        <v>0</v>
      </c>
      <c r="MF57">
        <v>0</v>
      </c>
      <c r="MG57">
        <v>0</v>
      </c>
      <c r="MH57">
        <v>0</v>
      </c>
      <c r="MI57">
        <v>0</v>
      </c>
      <c r="MJ57">
        <v>0</v>
      </c>
      <c r="MK57">
        <v>0</v>
      </c>
      <c r="ML57">
        <v>0</v>
      </c>
      <c r="MM57">
        <v>0</v>
      </c>
      <c r="MN57">
        <v>0</v>
      </c>
      <c r="MO57">
        <v>0</v>
      </c>
      <c r="MP57">
        <v>0</v>
      </c>
      <c r="MQ57">
        <v>0</v>
      </c>
      <c r="MR57">
        <v>0</v>
      </c>
      <c r="MS57">
        <v>0</v>
      </c>
      <c r="MT57">
        <v>0</v>
      </c>
      <c r="MU57">
        <v>0</v>
      </c>
      <c r="MV57">
        <v>0</v>
      </c>
      <c r="MW57">
        <v>0</v>
      </c>
      <c r="MX57">
        <v>0</v>
      </c>
      <c r="MY57">
        <v>0</v>
      </c>
      <c r="MZ57">
        <v>0</v>
      </c>
      <c r="NA57">
        <v>0</v>
      </c>
      <c r="NB57">
        <v>0</v>
      </c>
      <c r="NC57">
        <v>0</v>
      </c>
      <c r="ND57">
        <v>0</v>
      </c>
      <c r="NE57">
        <v>0</v>
      </c>
    </row>
    <row r="58" spans="5:369" x14ac:dyDescent="0.45">
      <c r="E58">
        <v>0</v>
      </c>
      <c r="F58">
        <v>0</v>
      </c>
      <c r="G58">
        <v>0</v>
      </c>
      <c r="H58">
        <v>0</v>
      </c>
      <c r="I58">
        <v>0</v>
      </c>
      <c r="J58">
        <v>0</v>
      </c>
      <c r="K58">
        <v>0</v>
      </c>
      <c r="L58">
        <v>0</v>
      </c>
      <c r="M58">
        <v>0</v>
      </c>
      <c r="N58" t="str">
        <v/>
      </c>
      <c r="O58" t="str">
        <v/>
      </c>
      <c r="P58" t="str">
        <v/>
      </c>
      <c r="Q58" t="str">
        <v/>
      </c>
      <c r="R58" t="str">
        <v/>
      </c>
      <c r="S58" t="str">
        <v/>
      </c>
      <c r="T58" t="str">
        <v/>
      </c>
      <c r="U58">
        <v>0</v>
      </c>
      <c r="V58">
        <v>0</v>
      </c>
      <c r="W58">
        <v>0</v>
      </c>
      <c r="X58">
        <v>0</v>
      </c>
      <c r="Y58">
        <v>0</v>
      </c>
      <c r="Z58">
        <v>0</v>
      </c>
      <c r="AA58">
        <v>0</v>
      </c>
      <c r="AB58">
        <v>0</v>
      </c>
      <c r="AC58">
        <v>0</v>
      </c>
      <c r="AD58">
        <v>0</v>
      </c>
      <c r="AE58">
        <v>0</v>
      </c>
      <c r="AF58">
        <v>0</v>
      </c>
      <c r="AG58">
        <v>0</v>
      </c>
      <c r="AH58">
        <v>0</v>
      </c>
      <c r="AI58">
        <v>0</v>
      </c>
      <c r="AJ58">
        <v>0</v>
      </c>
      <c r="AK58">
        <v>0</v>
      </c>
      <c r="AL58">
        <v>0</v>
      </c>
      <c r="AM58">
        <v>0</v>
      </c>
      <c r="AN58" s="5">
        <v>0</v>
      </c>
      <c r="AO58" t="str">
        <v>A155</v>
      </c>
      <c r="AP58" t="str">
        <v>Muhammad M</v>
      </c>
      <c r="AQ58" t="str">
        <v>JARF</v>
      </c>
      <c r="AR58" t="str">
        <v>SUB JUNIOR</v>
      </c>
      <c r="AS58">
        <v>2</v>
      </c>
      <c r="AT58">
        <v>0</v>
      </c>
      <c r="AU58">
        <v>0</v>
      </c>
      <c r="AV58">
        <v>0</v>
      </c>
      <c r="AW58">
        <v>0</v>
      </c>
      <c r="AX58">
        <v>255</v>
      </c>
      <c r="AY58" s="5">
        <v>255</v>
      </c>
      <c r="AZ58" t="str">
        <v>JN13</v>
      </c>
      <c r="BA58" t="str">
        <v>NEWS WRITING MLM</v>
      </c>
      <c r="BB58" t="str">
        <v>JUNIOR</v>
      </c>
      <c r="BC58" t="str">
        <v>Single</v>
      </c>
      <c r="BD58" t="str">
        <v>Non-Stg</v>
      </c>
      <c r="BE58">
        <v>3</v>
      </c>
      <c r="BF58" t="str">
        <v>Individual</v>
      </c>
      <c r="BG58" t="str">
        <v>Individual</v>
      </c>
      <c r="BH58" t="str">
        <v>P</v>
      </c>
      <c r="BI58" t="str">
        <v>PUBLISHED</v>
      </c>
      <c r="BK58">
        <v>52</v>
      </c>
      <c r="BL58" t="str">
        <v>JN09</v>
      </c>
      <c r="BM58" t="str">
        <v>GEO GIANT</v>
      </c>
      <c r="BN58">
        <v>3</v>
      </c>
      <c r="BO58" t="str">
        <v>Single</v>
      </c>
      <c r="BP58" t="str">
        <v>Non-Stg</v>
      </c>
      <c r="BQ58" t="str">
        <v>JUNIOR</v>
      </c>
      <c r="BR58" t="str">
        <v>B104</v>
      </c>
      <c r="BS58" t="str">
        <v>B123</v>
      </c>
      <c r="BT58" t="str">
        <v>B144</v>
      </c>
      <c r="BU58">
        <v>0</v>
      </c>
      <c r="BV58">
        <v>0</v>
      </c>
      <c r="BW58">
        <v>0</v>
      </c>
      <c r="BX58">
        <v>0</v>
      </c>
      <c r="BY58" t="str">
        <v>B122</v>
      </c>
      <c r="BZ58" t="str">
        <v>B110</v>
      </c>
      <c r="CA58" t="str">
        <v>B158</v>
      </c>
      <c r="CB58">
        <v>0</v>
      </c>
      <c r="CC58">
        <v>0</v>
      </c>
      <c r="CD58">
        <v>0</v>
      </c>
      <c r="CE58">
        <v>0</v>
      </c>
      <c r="CF58" t="str">
        <v>B113</v>
      </c>
      <c r="CG58" t="str">
        <v>B136</v>
      </c>
      <c r="CH58" t="str">
        <v>B137</v>
      </c>
      <c r="CI58">
        <v>0</v>
      </c>
      <c r="CJ58">
        <v>0</v>
      </c>
      <c r="CK58">
        <v>0</v>
      </c>
      <c r="CL58">
        <v>0</v>
      </c>
      <c r="CM58" t="str">
        <v>B131</v>
      </c>
      <c r="CN58" t="str">
        <v>B147</v>
      </c>
      <c r="CO58" t="str">
        <v>B152</v>
      </c>
      <c r="CP58">
        <v>0</v>
      </c>
      <c r="CQ58">
        <v>0</v>
      </c>
      <c r="CR58">
        <v>0</v>
      </c>
      <c r="CS58">
        <v>0</v>
      </c>
      <c r="CT58">
        <v>0</v>
      </c>
      <c r="CU58">
        <v>0</v>
      </c>
      <c r="CV58">
        <v>0</v>
      </c>
      <c r="CW58">
        <v>0</v>
      </c>
      <c r="CX58">
        <v>0</v>
      </c>
      <c r="CY58">
        <v>0</v>
      </c>
      <c r="CZ58">
        <v>0</v>
      </c>
      <c r="DA58">
        <v>0</v>
      </c>
      <c r="DB58">
        <v>0</v>
      </c>
      <c r="DC58">
        <v>0</v>
      </c>
      <c r="DD58">
        <v>0</v>
      </c>
      <c r="DE58">
        <v>0</v>
      </c>
      <c r="DF58">
        <v>0</v>
      </c>
      <c r="DG58">
        <v>0</v>
      </c>
      <c r="DH58">
        <v>0</v>
      </c>
      <c r="DI58">
        <v>0</v>
      </c>
      <c r="DJ58">
        <v>0</v>
      </c>
      <c r="DK58">
        <v>0</v>
      </c>
      <c r="DL58">
        <v>0</v>
      </c>
      <c r="DM58">
        <v>0</v>
      </c>
      <c r="DN58">
        <v>0</v>
      </c>
      <c r="DO58">
        <v>0</v>
      </c>
      <c r="DP58">
        <v>0</v>
      </c>
      <c r="DQ58">
        <v>0</v>
      </c>
      <c r="DR58">
        <v>0</v>
      </c>
      <c r="DS58">
        <v>0</v>
      </c>
      <c r="DT58">
        <v>0</v>
      </c>
      <c r="DU58">
        <v>0</v>
      </c>
      <c r="DV58">
        <v>0</v>
      </c>
      <c r="DW58">
        <v>0</v>
      </c>
      <c r="DX58">
        <v>0</v>
      </c>
      <c r="DY58">
        <v>0</v>
      </c>
      <c r="DZ58">
        <v>0</v>
      </c>
      <c r="EA58">
        <v>0</v>
      </c>
      <c r="EB58">
        <v>0</v>
      </c>
      <c r="EC58">
        <v>0</v>
      </c>
      <c r="ED58">
        <v>0</v>
      </c>
      <c r="EE58">
        <v>0</v>
      </c>
      <c r="EF58">
        <v>0</v>
      </c>
      <c r="EG58">
        <v>0</v>
      </c>
      <c r="EH58">
        <v>0</v>
      </c>
      <c r="EI58">
        <v>0</v>
      </c>
      <c r="EJ58">
        <v>0</v>
      </c>
      <c r="EK58">
        <v>0</v>
      </c>
      <c r="EL58">
        <v>0</v>
      </c>
      <c r="EM58">
        <v>0</v>
      </c>
      <c r="EN58">
        <v>0</v>
      </c>
      <c r="EO58">
        <v>0</v>
      </c>
      <c r="EP58">
        <v>0</v>
      </c>
      <c r="EQ58">
        <v>0</v>
      </c>
      <c r="ER58">
        <v>0</v>
      </c>
      <c r="ES58">
        <v>0</v>
      </c>
      <c r="ET58">
        <v>0</v>
      </c>
      <c r="EU58">
        <v>0</v>
      </c>
      <c r="EV58">
        <v>0</v>
      </c>
      <c r="EW58">
        <v>0</v>
      </c>
      <c r="EX58">
        <v>0</v>
      </c>
      <c r="EY58">
        <v>0</v>
      </c>
      <c r="EZ58">
        <v>0</v>
      </c>
      <c r="FA58">
        <v>0</v>
      </c>
      <c r="FB58">
        <v>0</v>
      </c>
      <c r="FC58">
        <v>0</v>
      </c>
      <c r="FD58">
        <v>0</v>
      </c>
      <c r="FE58">
        <v>0</v>
      </c>
      <c r="FF58">
        <v>0</v>
      </c>
      <c r="FG58">
        <v>0</v>
      </c>
      <c r="FH58">
        <v>0</v>
      </c>
      <c r="FI58">
        <v>0</v>
      </c>
      <c r="FJ58">
        <v>0</v>
      </c>
      <c r="FK58">
        <v>0</v>
      </c>
      <c r="FL58">
        <v>0</v>
      </c>
      <c r="FM58">
        <v>0</v>
      </c>
      <c r="FN58">
        <v>0</v>
      </c>
      <c r="FO58">
        <v>0</v>
      </c>
      <c r="FP58">
        <v>0</v>
      </c>
      <c r="FQ58">
        <v>0</v>
      </c>
      <c r="FR58">
        <v>0</v>
      </c>
      <c r="FS58">
        <v>0</v>
      </c>
      <c r="FT58">
        <v>0</v>
      </c>
      <c r="FU58">
        <v>0</v>
      </c>
      <c r="FV58">
        <v>0</v>
      </c>
      <c r="FW58">
        <v>0</v>
      </c>
      <c r="FX58">
        <v>0</v>
      </c>
      <c r="FY58">
        <v>0</v>
      </c>
      <c r="FZ58">
        <v>0</v>
      </c>
      <c r="GA58">
        <v>0</v>
      </c>
      <c r="GB58">
        <v>0</v>
      </c>
      <c r="GC58">
        <v>0</v>
      </c>
      <c r="GD58">
        <v>0</v>
      </c>
      <c r="GE58">
        <v>0</v>
      </c>
      <c r="GF58">
        <v>0</v>
      </c>
      <c r="GG58">
        <v>0</v>
      </c>
      <c r="GH58">
        <v>0</v>
      </c>
      <c r="GI58">
        <v>0</v>
      </c>
      <c r="GJ58">
        <v>0</v>
      </c>
      <c r="GK58">
        <v>0</v>
      </c>
      <c r="GL58">
        <v>0</v>
      </c>
      <c r="GM58">
        <v>0</v>
      </c>
      <c r="GN58">
        <v>0</v>
      </c>
      <c r="GO58">
        <v>0</v>
      </c>
      <c r="GP58">
        <v>0</v>
      </c>
      <c r="GQ58">
        <v>0</v>
      </c>
      <c r="GR58">
        <v>0</v>
      </c>
      <c r="GS58">
        <v>0</v>
      </c>
      <c r="GT58">
        <v>0</v>
      </c>
      <c r="GU58">
        <v>0</v>
      </c>
      <c r="GV58">
        <v>0</v>
      </c>
      <c r="GW58">
        <v>0</v>
      </c>
      <c r="GX58">
        <v>0</v>
      </c>
      <c r="GY58">
        <v>0</v>
      </c>
      <c r="GZ58">
        <v>0</v>
      </c>
      <c r="HA58">
        <v>0</v>
      </c>
      <c r="HB58">
        <v>0</v>
      </c>
      <c r="HC58">
        <v>0</v>
      </c>
      <c r="HD58">
        <v>0</v>
      </c>
      <c r="HE58">
        <v>0</v>
      </c>
      <c r="HF58">
        <v>0</v>
      </c>
      <c r="HG58">
        <v>0</v>
      </c>
      <c r="HH58">
        <v>0</v>
      </c>
      <c r="HI58">
        <v>0</v>
      </c>
      <c r="HJ58">
        <v>0</v>
      </c>
      <c r="HK58">
        <v>0</v>
      </c>
      <c r="HL58">
        <v>0</v>
      </c>
      <c r="HM58">
        <v>0</v>
      </c>
      <c r="HN58">
        <v>0</v>
      </c>
      <c r="HO58">
        <v>0</v>
      </c>
      <c r="HP58">
        <v>0</v>
      </c>
      <c r="HQ58">
        <v>0</v>
      </c>
      <c r="HR58">
        <v>0</v>
      </c>
      <c r="HS58">
        <v>0</v>
      </c>
      <c r="HT58">
        <v>0</v>
      </c>
      <c r="HU58">
        <v>0</v>
      </c>
      <c r="HV58">
        <v>0</v>
      </c>
      <c r="HW58">
        <v>0</v>
      </c>
      <c r="HX58">
        <v>0</v>
      </c>
      <c r="HY58">
        <v>0</v>
      </c>
      <c r="HZ58">
        <v>0</v>
      </c>
      <c r="IA58">
        <v>0</v>
      </c>
      <c r="IB58">
        <v>0</v>
      </c>
      <c r="IC58">
        <v>0</v>
      </c>
      <c r="ID58">
        <v>0</v>
      </c>
      <c r="IE58">
        <v>0</v>
      </c>
      <c r="IF58">
        <v>0</v>
      </c>
      <c r="IG58">
        <v>0</v>
      </c>
      <c r="IH58">
        <v>0</v>
      </c>
      <c r="II58">
        <v>0</v>
      </c>
      <c r="IJ58">
        <v>0</v>
      </c>
      <c r="IK58">
        <v>0</v>
      </c>
      <c r="IL58">
        <v>0</v>
      </c>
      <c r="IM58">
        <v>0</v>
      </c>
      <c r="IN58">
        <v>0</v>
      </c>
      <c r="IO58">
        <v>0</v>
      </c>
      <c r="IP58">
        <v>0</v>
      </c>
      <c r="IQ58">
        <v>0</v>
      </c>
      <c r="IR58">
        <v>0</v>
      </c>
      <c r="IS58">
        <v>0</v>
      </c>
      <c r="IT58">
        <v>0</v>
      </c>
      <c r="IU58">
        <v>0</v>
      </c>
      <c r="IV58">
        <v>0</v>
      </c>
      <c r="IW58">
        <v>0</v>
      </c>
      <c r="IX58">
        <v>0</v>
      </c>
      <c r="IY58">
        <v>0</v>
      </c>
      <c r="IZ58">
        <v>0</v>
      </c>
      <c r="JA58">
        <v>0</v>
      </c>
      <c r="JB58">
        <v>0</v>
      </c>
      <c r="JC58">
        <v>0</v>
      </c>
      <c r="JD58">
        <v>0</v>
      </c>
      <c r="JE58">
        <v>0</v>
      </c>
      <c r="JF58">
        <v>0</v>
      </c>
      <c r="JG58">
        <v>0</v>
      </c>
      <c r="JH58">
        <v>0</v>
      </c>
      <c r="JI58">
        <v>0</v>
      </c>
      <c r="JJ58">
        <v>0</v>
      </c>
      <c r="JK58">
        <v>0</v>
      </c>
      <c r="JL58">
        <v>0</v>
      </c>
      <c r="JM58">
        <v>0</v>
      </c>
      <c r="JN58">
        <v>0</v>
      </c>
      <c r="JO58">
        <v>0</v>
      </c>
      <c r="JP58">
        <v>0</v>
      </c>
      <c r="JQ58">
        <v>0</v>
      </c>
      <c r="JR58">
        <v>0</v>
      </c>
      <c r="JS58">
        <v>0</v>
      </c>
      <c r="JT58">
        <v>0</v>
      </c>
      <c r="JU58">
        <v>0</v>
      </c>
      <c r="JV58">
        <v>0</v>
      </c>
      <c r="JW58">
        <v>0</v>
      </c>
      <c r="JX58">
        <v>0</v>
      </c>
      <c r="JY58">
        <v>0</v>
      </c>
      <c r="JZ58">
        <v>0</v>
      </c>
      <c r="KA58">
        <v>0</v>
      </c>
      <c r="KB58">
        <v>0</v>
      </c>
      <c r="KC58">
        <v>0</v>
      </c>
      <c r="KD58">
        <v>0</v>
      </c>
      <c r="KE58">
        <v>0</v>
      </c>
      <c r="KF58">
        <v>0</v>
      </c>
      <c r="KG58">
        <v>0</v>
      </c>
      <c r="KH58">
        <v>0</v>
      </c>
      <c r="KI58">
        <v>0</v>
      </c>
      <c r="KJ58">
        <v>0</v>
      </c>
      <c r="KK58">
        <v>0</v>
      </c>
      <c r="KL58">
        <v>0</v>
      </c>
      <c r="KM58">
        <v>0</v>
      </c>
      <c r="KN58">
        <v>0</v>
      </c>
      <c r="KO58">
        <v>0</v>
      </c>
      <c r="KP58">
        <v>0</v>
      </c>
      <c r="KQ58">
        <v>0</v>
      </c>
      <c r="KR58">
        <v>0</v>
      </c>
      <c r="KS58">
        <v>0</v>
      </c>
      <c r="KT58">
        <v>0</v>
      </c>
      <c r="KU58">
        <v>0</v>
      </c>
      <c r="KV58">
        <v>0</v>
      </c>
      <c r="KW58">
        <v>0</v>
      </c>
      <c r="KX58">
        <v>0</v>
      </c>
      <c r="KY58">
        <v>0</v>
      </c>
      <c r="KZ58">
        <v>0</v>
      </c>
      <c r="LA58">
        <v>0</v>
      </c>
      <c r="LB58">
        <v>0</v>
      </c>
      <c r="LC58">
        <v>0</v>
      </c>
      <c r="LD58">
        <v>0</v>
      </c>
      <c r="LE58">
        <v>0</v>
      </c>
      <c r="LF58">
        <v>0</v>
      </c>
      <c r="LG58">
        <v>0</v>
      </c>
      <c r="LH58">
        <v>0</v>
      </c>
      <c r="LI58">
        <v>0</v>
      </c>
      <c r="LJ58">
        <v>0</v>
      </c>
      <c r="LK58">
        <v>0</v>
      </c>
      <c r="LL58">
        <v>0</v>
      </c>
      <c r="LM58">
        <v>0</v>
      </c>
      <c r="LN58">
        <v>0</v>
      </c>
      <c r="LO58">
        <v>0</v>
      </c>
      <c r="LP58">
        <v>0</v>
      </c>
      <c r="LQ58">
        <v>0</v>
      </c>
      <c r="LR58">
        <v>0</v>
      </c>
      <c r="LS58">
        <v>0</v>
      </c>
      <c r="LT58">
        <v>0</v>
      </c>
      <c r="LU58">
        <v>0</v>
      </c>
      <c r="LV58">
        <v>0</v>
      </c>
      <c r="LW58">
        <v>0</v>
      </c>
      <c r="LX58">
        <v>0</v>
      </c>
      <c r="LY58">
        <v>0</v>
      </c>
      <c r="LZ58">
        <v>0</v>
      </c>
      <c r="MA58">
        <v>0</v>
      </c>
      <c r="MB58">
        <v>0</v>
      </c>
      <c r="MC58">
        <v>0</v>
      </c>
      <c r="MD58">
        <v>0</v>
      </c>
      <c r="ME58">
        <v>0</v>
      </c>
      <c r="MF58">
        <v>0</v>
      </c>
      <c r="MG58">
        <v>0</v>
      </c>
      <c r="MH58">
        <v>0</v>
      </c>
      <c r="MI58">
        <v>0</v>
      </c>
      <c r="MJ58">
        <v>0</v>
      </c>
      <c r="MK58">
        <v>0</v>
      </c>
      <c r="ML58">
        <v>0</v>
      </c>
      <c r="MM58">
        <v>0</v>
      </c>
      <c r="MN58">
        <v>0</v>
      </c>
      <c r="MO58">
        <v>0</v>
      </c>
      <c r="MP58">
        <v>0</v>
      </c>
      <c r="MQ58">
        <v>0</v>
      </c>
      <c r="MR58">
        <v>0</v>
      </c>
      <c r="MS58">
        <v>0</v>
      </c>
      <c r="MT58">
        <v>0</v>
      </c>
      <c r="MU58">
        <v>0</v>
      </c>
      <c r="MV58">
        <v>0</v>
      </c>
      <c r="MW58">
        <v>0</v>
      </c>
      <c r="MX58">
        <v>0</v>
      </c>
      <c r="MY58">
        <v>0</v>
      </c>
      <c r="MZ58">
        <v>0</v>
      </c>
      <c r="NA58">
        <v>0</v>
      </c>
      <c r="NB58">
        <v>0</v>
      </c>
      <c r="NC58">
        <v>0</v>
      </c>
      <c r="ND58">
        <v>0</v>
      </c>
      <c r="NE58">
        <v>0</v>
      </c>
    </row>
    <row r="59" spans="5:369" x14ac:dyDescent="0.45">
      <c r="E59">
        <v>0</v>
      </c>
      <c r="F59">
        <v>0</v>
      </c>
      <c r="G59">
        <v>0</v>
      </c>
      <c r="H59">
        <v>0</v>
      </c>
      <c r="I59">
        <v>0</v>
      </c>
      <c r="J59">
        <v>0</v>
      </c>
      <c r="K59">
        <v>0</v>
      </c>
      <c r="L59">
        <v>0</v>
      </c>
      <c r="M59">
        <v>0</v>
      </c>
      <c r="N59" t="str">
        <v/>
      </c>
      <c r="O59" t="str">
        <v/>
      </c>
      <c r="P59" t="str">
        <v/>
      </c>
      <c r="Q59" t="str">
        <v/>
      </c>
      <c r="R59" t="str">
        <v/>
      </c>
      <c r="S59" t="str">
        <v/>
      </c>
      <c r="T59" t="str">
        <v/>
      </c>
      <c r="U59">
        <v>0</v>
      </c>
      <c r="V59">
        <v>0</v>
      </c>
      <c r="W59">
        <v>0</v>
      </c>
      <c r="X59">
        <v>0</v>
      </c>
      <c r="Y59">
        <v>0</v>
      </c>
      <c r="Z59">
        <v>0</v>
      </c>
      <c r="AA59">
        <v>0</v>
      </c>
      <c r="AB59">
        <v>0</v>
      </c>
      <c r="AC59">
        <v>0</v>
      </c>
      <c r="AD59">
        <v>0</v>
      </c>
      <c r="AE59">
        <v>0</v>
      </c>
      <c r="AF59">
        <v>0</v>
      </c>
      <c r="AG59">
        <v>0</v>
      </c>
      <c r="AH59">
        <v>0</v>
      </c>
      <c r="AI59">
        <v>0</v>
      </c>
      <c r="AJ59">
        <v>0</v>
      </c>
      <c r="AK59">
        <v>0</v>
      </c>
      <c r="AL59">
        <v>0</v>
      </c>
      <c r="AM59">
        <v>0</v>
      </c>
      <c r="AN59" s="5">
        <v>0</v>
      </c>
      <c r="AO59" t="str">
        <v>A156</v>
      </c>
      <c r="AP59" t="str">
        <v>MUHAMMAD SHAHSAD HASAN</v>
      </c>
      <c r="AQ59" t="str">
        <v>JARF</v>
      </c>
      <c r="AR59" t="str">
        <v>SUB JUNIOR</v>
      </c>
      <c r="AS59">
        <v>2</v>
      </c>
      <c r="AT59">
        <v>20</v>
      </c>
      <c r="AU59">
        <v>0</v>
      </c>
      <c r="AV59">
        <v>20</v>
      </c>
      <c r="AW59">
        <v>20</v>
      </c>
      <c r="AX59">
        <v>74</v>
      </c>
      <c r="AY59" s="5">
        <v>74</v>
      </c>
      <c r="AZ59" t="str">
        <v>JN14</v>
      </c>
      <c r="BA59" t="str">
        <v>PAINTING</v>
      </c>
      <c r="BB59" t="str">
        <v>JUNIOR</v>
      </c>
      <c r="BC59" t="str">
        <v>Single</v>
      </c>
      <c r="BD59" t="str">
        <v>Non-Stg</v>
      </c>
      <c r="BE59">
        <v>2</v>
      </c>
      <c r="BF59" t="str">
        <v>Individual</v>
      </c>
      <c r="BG59" t="str">
        <v>Individual</v>
      </c>
      <c r="BH59" t="str">
        <v>P</v>
      </c>
      <c r="BI59" t="str">
        <v>PUBLISHED</v>
      </c>
      <c r="BK59">
        <v>53</v>
      </c>
      <c r="BL59" t="str">
        <v>JN10</v>
      </c>
      <c r="BM59" t="str">
        <v>GK QUIZ</v>
      </c>
      <c r="BN59">
        <v>3</v>
      </c>
      <c r="BO59" t="str">
        <v>Single</v>
      </c>
      <c r="BP59" t="str">
        <v>Non-Stg</v>
      </c>
      <c r="BQ59" t="str">
        <v>JUNIOR</v>
      </c>
      <c r="BR59" t="str">
        <v>B111</v>
      </c>
      <c r="BS59" t="str">
        <v>B143</v>
      </c>
      <c r="BT59" t="str">
        <v>B144</v>
      </c>
      <c r="BU59">
        <v>0</v>
      </c>
      <c r="BV59">
        <v>0</v>
      </c>
      <c r="BW59">
        <v>0</v>
      </c>
      <c r="BX59">
        <v>0</v>
      </c>
      <c r="BY59" t="str">
        <v>B110</v>
      </c>
      <c r="BZ59" t="str">
        <v>B122</v>
      </c>
      <c r="CA59" t="str">
        <v>B127</v>
      </c>
      <c r="CB59">
        <v>0</v>
      </c>
      <c r="CC59">
        <v>0</v>
      </c>
      <c r="CD59">
        <v>0</v>
      </c>
      <c r="CE59">
        <v>0</v>
      </c>
      <c r="CF59" t="str">
        <v>B113</v>
      </c>
      <c r="CG59" t="str">
        <v>B136</v>
      </c>
      <c r="CH59" t="str">
        <v>B146</v>
      </c>
      <c r="CI59">
        <v>0</v>
      </c>
      <c r="CJ59">
        <v>0</v>
      </c>
      <c r="CK59">
        <v>0</v>
      </c>
      <c r="CL59">
        <v>0</v>
      </c>
      <c r="CM59" t="str">
        <v>B108</v>
      </c>
      <c r="CN59" t="str">
        <v>B147</v>
      </c>
      <c r="CO59" t="str">
        <v>B152</v>
      </c>
      <c r="CP59">
        <v>0</v>
      </c>
      <c r="CQ59">
        <v>0</v>
      </c>
      <c r="CR59">
        <v>0</v>
      </c>
      <c r="CS59">
        <v>0</v>
      </c>
      <c r="CT59">
        <v>0</v>
      </c>
      <c r="CU59">
        <v>0</v>
      </c>
      <c r="CV59">
        <v>0</v>
      </c>
      <c r="CW59">
        <v>0</v>
      </c>
      <c r="CX59">
        <v>0</v>
      </c>
      <c r="CY59">
        <v>0</v>
      </c>
      <c r="CZ59">
        <v>0</v>
      </c>
      <c r="DA59">
        <v>0</v>
      </c>
      <c r="DB59">
        <v>0</v>
      </c>
      <c r="DC59">
        <v>0</v>
      </c>
      <c r="DD59">
        <v>0</v>
      </c>
      <c r="DE59">
        <v>0</v>
      </c>
      <c r="DF59">
        <v>0</v>
      </c>
      <c r="DG59">
        <v>0</v>
      </c>
      <c r="DH59">
        <v>0</v>
      </c>
      <c r="DI59">
        <v>0</v>
      </c>
      <c r="DJ59">
        <v>0</v>
      </c>
      <c r="DK59">
        <v>0</v>
      </c>
      <c r="DL59">
        <v>0</v>
      </c>
      <c r="DM59">
        <v>0</v>
      </c>
      <c r="DN59">
        <v>0</v>
      </c>
      <c r="DO59">
        <v>0</v>
      </c>
      <c r="DP59">
        <v>0</v>
      </c>
      <c r="DQ59">
        <v>0</v>
      </c>
      <c r="DR59">
        <v>0</v>
      </c>
      <c r="DS59">
        <v>0</v>
      </c>
      <c r="DT59">
        <v>0</v>
      </c>
      <c r="DU59">
        <v>0</v>
      </c>
      <c r="DV59">
        <v>0</v>
      </c>
      <c r="DW59">
        <v>0</v>
      </c>
      <c r="DX59">
        <v>0</v>
      </c>
      <c r="DY59">
        <v>0</v>
      </c>
      <c r="DZ59">
        <v>0</v>
      </c>
      <c r="EA59">
        <v>0</v>
      </c>
      <c r="EB59">
        <v>0</v>
      </c>
      <c r="EC59">
        <v>0</v>
      </c>
      <c r="ED59">
        <v>0</v>
      </c>
      <c r="EE59">
        <v>0</v>
      </c>
      <c r="EF59">
        <v>0</v>
      </c>
      <c r="EG59">
        <v>0</v>
      </c>
      <c r="EH59">
        <v>0</v>
      </c>
      <c r="EI59">
        <v>0</v>
      </c>
      <c r="EJ59">
        <v>0</v>
      </c>
      <c r="EK59">
        <v>0</v>
      </c>
      <c r="EL59">
        <v>0</v>
      </c>
      <c r="EM59">
        <v>0</v>
      </c>
      <c r="EN59">
        <v>0</v>
      </c>
      <c r="EO59">
        <v>0</v>
      </c>
      <c r="EP59">
        <v>0</v>
      </c>
      <c r="EQ59">
        <v>0</v>
      </c>
      <c r="ER59">
        <v>0</v>
      </c>
      <c r="ES59">
        <v>0</v>
      </c>
      <c r="ET59">
        <v>0</v>
      </c>
      <c r="EU59">
        <v>0</v>
      </c>
      <c r="EV59">
        <v>0</v>
      </c>
      <c r="EW59">
        <v>0</v>
      </c>
      <c r="EX59">
        <v>0</v>
      </c>
      <c r="EY59">
        <v>0</v>
      </c>
      <c r="EZ59">
        <v>0</v>
      </c>
      <c r="FA59">
        <v>0</v>
      </c>
      <c r="FB59">
        <v>0</v>
      </c>
      <c r="FC59">
        <v>0</v>
      </c>
      <c r="FD59">
        <v>0</v>
      </c>
      <c r="FE59">
        <v>0</v>
      </c>
      <c r="FF59">
        <v>0</v>
      </c>
      <c r="FG59">
        <v>0</v>
      </c>
      <c r="FH59">
        <v>0</v>
      </c>
      <c r="FI59">
        <v>0</v>
      </c>
      <c r="FJ59">
        <v>0</v>
      </c>
      <c r="FK59">
        <v>0</v>
      </c>
      <c r="FL59">
        <v>0</v>
      </c>
      <c r="FM59">
        <v>0</v>
      </c>
      <c r="FN59">
        <v>0</v>
      </c>
      <c r="FO59">
        <v>0</v>
      </c>
      <c r="FP59">
        <v>0</v>
      </c>
      <c r="FQ59">
        <v>0</v>
      </c>
      <c r="FR59">
        <v>0</v>
      </c>
      <c r="FS59">
        <v>0</v>
      </c>
      <c r="FT59">
        <v>0</v>
      </c>
      <c r="FU59">
        <v>0</v>
      </c>
      <c r="FV59">
        <v>0</v>
      </c>
      <c r="FW59">
        <v>0</v>
      </c>
      <c r="FX59">
        <v>0</v>
      </c>
      <c r="FY59">
        <v>0</v>
      </c>
      <c r="FZ59">
        <v>0</v>
      </c>
      <c r="GA59">
        <v>0</v>
      </c>
      <c r="GB59">
        <v>0</v>
      </c>
      <c r="GC59">
        <v>0</v>
      </c>
      <c r="GD59">
        <v>0</v>
      </c>
      <c r="GE59">
        <v>0</v>
      </c>
      <c r="GF59">
        <v>0</v>
      </c>
      <c r="GG59">
        <v>0</v>
      </c>
      <c r="GH59">
        <v>0</v>
      </c>
      <c r="GI59">
        <v>0</v>
      </c>
      <c r="GJ59">
        <v>0</v>
      </c>
      <c r="GK59">
        <v>0</v>
      </c>
      <c r="GL59">
        <v>0</v>
      </c>
      <c r="GM59">
        <v>0</v>
      </c>
      <c r="GN59">
        <v>0</v>
      </c>
      <c r="GO59">
        <v>0</v>
      </c>
      <c r="GP59">
        <v>0</v>
      </c>
      <c r="GQ59">
        <v>0</v>
      </c>
      <c r="GR59">
        <v>0</v>
      </c>
      <c r="GS59">
        <v>0</v>
      </c>
      <c r="GT59">
        <v>0</v>
      </c>
      <c r="GU59">
        <v>0</v>
      </c>
      <c r="GV59">
        <v>0</v>
      </c>
      <c r="GW59">
        <v>0</v>
      </c>
      <c r="GX59">
        <v>0</v>
      </c>
      <c r="GY59">
        <v>0</v>
      </c>
      <c r="GZ59">
        <v>0</v>
      </c>
      <c r="HA59">
        <v>0</v>
      </c>
      <c r="HB59">
        <v>0</v>
      </c>
      <c r="HC59">
        <v>0</v>
      </c>
      <c r="HD59">
        <v>0</v>
      </c>
      <c r="HE59">
        <v>0</v>
      </c>
      <c r="HF59">
        <v>0</v>
      </c>
      <c r="HG59">
        <v>0</v>
      </c>
      <c r="HH59">
        <v>0</v>
      </c>
      <c r="HI59">
        <v>0</v>
      </c>
      <c r="HJ59">
        <v>0</v>
      </c>
      <c r="HK59">
        <v>0</v>
      </c>
      <c r="HL59">
        <v>0</v>
      </c>
      <c r="HM59">
        <v>0</v>
      </c>
      <c r="HN59">
        <v>0</v>
      </c>
      <c r="HO59">
        <v>0</v>
      </c>
      <c r="HP59">
        <v>0</v>
      </c>
      <c r="HQ59">
        <v>0</v>
      </c>
      <c r="HR59">
        <v>0</v>
      </c>
      <c r="HS59">
        <v>0</v>
      </c>
      <c r="HT59">
        <v>0</v>
      </c>
      <c r="HU59">
        <v>0</v>
      </c>
      <c r="HV59">
        <v>0</v>
      </c>
      <c r="HW59">
        <v>0</v>
      </c>
      <c r="HX59">
        <v>0</v>
      </c>
      <c r="HY59">
        <v>0</v>
      </c>
      <c r="HZ59">
        <v>0</v>
      </c>
      <c r="IA59">
        <v>0</v>
      </c>
      <c r="IB59">
        <v>0</v>
      </c>
      <c r="IC59">
        <v>0</v>
      </c>
      <c r="ID59">
        <v>0</v>
      </c>
      <c r="IE59">
        <v>0</v>
      </c>
      <c r="IF59">
        <v>0</v>
      </c>
      <c r="IG59">
        <v>0</v>
      </c>
      <c r="IH59">
        <v>0</v>
      </c>
      <c r="II59">
        <v>0</v>
      </c>
      <c r="IJ59">
        <v>0</v>
      </c>
      <c r="IK59">
        <v>0</v>
      </c>
      <c r="IL59">
        <v>0</v>
      </c>
      <c r="IM59">
        <v>0</v>
      </c>
      <c r="IN59">
        <v>0</v>
      </c>
      <c r="IO59">
        <v>0</v>
      </c>
      <c r="IP59">
        <v>0</v>
      </c>
      <c r="IQ59">
        <v>0</v>
      </c>
      <c r="IR59">
        <v>0</v>
      </c>
      <c r="IS59">
        <v>0</v>
      </c>
      <c r="IT59">
        <v>0</v>
      </c>
      <c r="IU59">
        <v>0</v>
      </c>
      <c r="IV59">
        <v>0</v>
      </c>
      <c r="IW59">
        <v>0</v>
      </c>
      <c r="IX59">
        <v>0</v>
      </c>
      <c r="IY59">
        <v>0</v>
      </c>
      <c r="IZ59">
        <v>0</v>
      </c>
      <c r="JA59">
        <v>0</v>
      </c>
      <c r="JB59">
        <v>0</v>
      </c>
      <c r="JC59">
        <v>0</v>
      </c>
      <c r="JD59">
        <v>0</v>
      </c>
      <c r="JE59">
        <v>0</v>
      </c>
      <c r="JF59">
        <v>0</v>
      </c>
      <c r="JG59">
        <v>0</v>
      </c>
      <c r="JH59">
        <v>0</v>
      </c>
      <c r="JI59">
        <v>0</v>
      </c>
      <c r="JJ59">
        <v>0</v>
      </c>
      <c r="JK59">
        <v>0</v>
      </c>
      <c r="JL59">
        <v>0</v>
      </c>
      <c r="JM59">
        <v>0</v>
      </c>
      <c r="JN59">
        <v>0</v>
      </c>
      <c r="JO59">
        <v>0</v>
      </c>
      <c r="JP59">
        <v>0</v>
      </c>
      <c r="JQ59">
        <v>0</v>
      </c>
      <c r="JR59">
        <v>0</v>
      </c>
      <c r="JS59">
        <v>0</v>
      </c>
      <c r="JT59">
        <v>0</v>
      </c>
      <c r="JU59">
        <v>0</v>
      </c>
      <c r="JV59">
        <v>0</v>
      </c>
      <c r="JW59">
        <v>0</v>
      </c>
      <c r="JX59">
        <v>0</v>
      </c>
      <c r="JY59">
        <v>0</v>
      </c>
      <c r="JZ59">
        <v>0</v>
      </c>
      <c r="KA59">
        <v>0</v>
      </c>
      <c r="KB59">
        <v>0</v>
      </c>
      <c r="KC59">
        <v>0</v>
      </c>
      <c r="KD59">
        <v>0</v>
      </c>
      <c r="KE59">
        <v>0</v>
      </c>
      <c r="KF59">
        <v>0</v>
      </c>
      <c r="KG59">
        <v>0</v>
      </c>
      <c r="KH59">
        <v>0</v>
      </c>
      <c r="KI59">
        <v>0</v>
      </c>
      <c r="KJ59">
        <v>0</v>
      </c>
      <c r="KK59">
        <v>0</v>
      </c>
      <c r="KL59">
        <v>0</v>
      </c>
      <c r="KM59">
        <v>0</v>
      </c>
      <c r="KN59">
        <v>0</v>
      </c>
      <c r="KO59">
        <v>0</v>
      </c>
      <c r="KP59">
        <v>0</v>
      </c>
      <c r="KQ59">
        <v>0</v>
      </c>
      <c r="KR59">
        <v>0</v>
      </c>
      <c r="KS59">
        <v>0</v>
      </c>
      <c r="KT59">
        <v>0</v>
      </c>
      <c r="KU59">
        <v>0</v>
      </c>
      <c r="KV59">
        <v>0</v>
      </c>
      <c r="KW59">
        <v>0</v>
      </c>
      <c r="KX59">
        <v>0</v>
      </c>
      <c r="KY59">
        <v>0</v>
      </c>
      <c r="KZ59">
        <v>0</v>
      </c>
      <c r="LA59">
        <v>0</v>
      </c>
      <c r="LB59">
        <v>0</v>
      </c>
      <c r="LC59">
        <v>0</v>
      </c>
      <c r="LD59">
        <v>0</v>
      </c>
      <c r="LE59">
        <v>0</v>
      </c>
      <c r="LF59">
        <v>0</v>
      </c>
      <c r="LG59">
        <v>0</v>
      </c>
      <c r="LH59">
        <v>0</v>
      </c>
      <c r="LI59">
        <v>0</v>
      </c>
      <c r="LJ59">
        <v>0</v>
      </c>
      <c r="LK59">
        <v>0</v>
      </c>
      <c r="LL59">
        <v>0</v>
      </c>
      <c r="LM59">
        <v>0</v>
      </c>
      <c r="LN59">
        <v>0</v>
      </c>
      <c r="LO59">
        <v>0</v>
      </c>
      <c r="LP59">
        <v>0</v>
      </c>
      <c r="LQ59">
        <v>0</v>
      </c>
      <c r="LR59">
        <v>0</v>
      </c>
      <c r="LS59">
        <v>0</v>
      </c>
      <c r="LT59">
        <v>0</v>
      </c>
      <c r="LU59">
        <v>0</v>
      </c>
      <c r="LV59">
        <v>0</v>
      </c>
      <c r="LW59">
        <v>0</v>
      </c>
      <c r="LX59">
        <v>0</v>
      </c>
      <c r="LY59">
        <v>0</v>
      </c>
      <c r="LZ59">
        <v>0</v>
      </c>
      <c r="MA59">
        <v>0</v>
      </c>
      <c r="MB59">
        <v>0</v>
      </c>
      <c r="MC59">
        <v>0</v>
      </c>
      <c r="MD59">
        <v>0</v>
      </c>
      <c r="ME59">
        <v>0</v>
      </c>
      <c r="MF59">
        <v>0</v>
      </c>
      <c r="MG59">
        <v>0</v>
      </c>
      <c r="MH59">
        <v>0</v>
      </c>
      <c r="MI59">
        <v>0</v>
      </c>
      <c r="MJ59">
        <v>0</v>
      </c>
      <c r="MK59">
        <v>0</v>
      </c>
      <c r="ML59">
        <v>0</v>
      </c>
      <c r="MM59">
        <v>0</v>
      </c>
      <c r="MN59">
        <v>0</v>
      </c>
      <c r="MO59">
        <v>0</v>
      </c>
      <c r="MP59">
        <v>0</v>
      </c>
      <c r="MQ59">
        <v>0</v>
      </c>
      <c r="MR59">
        <v>0</v>
      </c>
      <c r="MS59">
        <v>0</v>
      </c>
      <c r="MT59">
        <v>0</v>
      </c>
      <c r="MU59">
        <v>0</v>
      </c>
      <c r="MV59">
        <v>0</v>
      </c>
      <c r="MW59">
        <v>0</v>
      </c>
      <c r="MX59">
        <v>0</v>
      </c>
      <c r="MY59">
        <v>0</v>
      </c>
      <c r="MZ59">
        <v>0</v>
      </c>
      <c r="NA59">
        <v>0</v>
      </c>
      <c r="NB59">
        <v>0</v>
      </c>
      <c r="NC59">
        <v>0</v>
      </c>
      <c r="ND59">
        <v>0</v>
      </c>
      <c r="NE59">
        <v>0</v>
      </c>
    </row>
    <row r="60" spans="5:369" x14ac:dyDescent="0.45">
      <c r="E60">
        <v>0</v>
      </c>
      <c r="F60">
        <v>0</v>
      </c>
      <c r="G60">
        <v>0</v>
      </c>
      <c r="H60">
        <v>0</v>
      </c>
      <c r="I60">
        <v>0</v>
      </c>
      <c r="J60">
        <v>0</v>
      </c>
      <c r="K60">
        <v>0</v>
      </c>
      <c r="L60">
        <v>0</v>
      </c>
      <c r="M60">
        <v>0</v>
      </c>
      <c r="N60" t="str">
        <v/>
      </c>
      <c r="O60" t="str">
        <v/>
      </c>
      <c r="P60" t="str">
        <v/>
      </c>
      <c r="Q60" t="str">
        <v/>
      </c>
      <c r="R60" t="str">
        <v/>
      </c>
      <c r="S60" t="str">
        <v/>
      </c>
      <c r="T60" t="str">
        <v/>
      </c>
      <c r="U60">
        <v>0</v>
      </c>
      <c r="V60">
        <v>0</v>
      </c>
      <c r="W60">
        <v>0</v>
      </c>
      <c r="X60">
        <v>0</v>
      </c>
      <c r="Y60">
        <v>0</v>
      </c>
      <c r="Z60">
        <v>0</v>
      </c>
      <c r="AA60">
        <v>0</v>
      </c>
      <c r="AB60">
        <v>0</v>
      </c>
      <c r="AC60">
        <v>0</v>
      </c>
      <c r="AD60">
        <v>0</v>
      </c>
      <c r="AE60">
        <v>0</v>
      </c>
      <c r="AF60">
        <v>0</v>
      </c>
      <c r="AG60">
        <v>0</v>
      </c>
      <c r="AH60">
        <v>0</v>
      </c>
      <c r="AI60">
        <v>0</v>
      </c>
      <c r="AJ60">
        <v>0</v>
      </c>
      <c r="AK60">
        <v>0</v>
      </c>
      <c r="AL60">
        <v>0</v>
      </c>
      <c r="AM60">
        <v>0</v>
      </c>
      <c r="AN60" s="5">
        <v>0</v>
      </c>
      <c r="AO60" t="str">
        <v>A157</v>
      </c>
      <c r="AP60" t="str">
        <v>MUHAMMED ADNAN K.A</v>
      </c>
      <c r="AQ60" t="str">
        <v>FANT</v>
      </c>
      <c r="AR60" t="str">
        <v>SUB JUNIOR</v>
      </c>
      <c r="AS60">
        <v>2</v>
      </c>
      <c r="AT60">
        <v>3</v>
      </c>
      <c r="AU60">
        <v>0</v>
      </c>
      <c r="AV60">
        <v>3</v>
      </c>
      <c r="AW60">
        <v>3</v>
      </c>
      <c r="AX60">
        <v>209</v>
      </c>
      <c r="AY60" s="5">
        <v>209</v>
      </c>
      <c r="AZ60" t="str">
        <v>JN15</v>
      </c>
      <c r="BA60" t="str">
        <v>POEM ARB</v>
      </c>
      <c r="BB60" t="str">
        <v>JUNIOR</v>
      </c>
      <c r="BC60" t="str">
        <v>Single</v>
      </c>
      <c r="BD60" t="str">
        <v>Non-Stg</v>
      </c>
      <c r="BE60">
        <v>3</v>
      </c>
      <c r="BF60" t="str">
        <v>Individual</v>
      </c>
      <c r="BG60" t="str">
        <v>Individual</v>
      </c>
      <c r="BH60" t="str">
        <v>P</v>
      </c>
      <c r="BI60" t="str">
        <v>PUBLISHED</v>
      </c>
      <c r="BK60">
        <v>54</v>
      </c>
      <c r="BL60" t="str">
        <v>JN11</v>
      </c>
      <c r="BM60" t="str">
        <v>ḤIFẒ</v>
      </c>
      <c r="BN60">
        <v>3</v>
      </c>
      <c r="BO60" t="str">
        <v>Single</v>
      </c>
      <c r="BP60" t="str">
        <v>Non-Stg</v>
      </c>
      <c r="BQ60" t="str">
        <v>JUNIOR</v>
      </c>
      <c r="BR60" t="str">
        <v>B102</v>
      </c>
      <c r="BS60" t="str">
        <v>B123</v>
      </c>
      <c r="BT60" t="str">
        <v>B130</v>
      </c>
      <c r="BU60">
        <v>0</v>
      </c>
      <c r="BV60">
        <v>0</v>
      </c>
      <c r="BW60">
        <v>0</v>
      </c>
      <c r="BX60">
        <v>0</v>
      </c>
      <c r="BY60" t="str">
        <v>B125</v>
      </c>
      <c r="BZ60" t="str">
        <v>B139</v>
      </c>
      <c r="CA60" t="str">
        <v>B161</v>
      </c>
      <c r="CB60">
        <v>0</v>
      </c>
      <c r="CC60">
        <v>0</v>
      </c>
      <c r="CD60">
        <v>0</v>
      </c>
      <c r="CE60">
        <v>0</v>
      </c>
      <c r="CF60" t="str">
        <v>B103</v>
      </c>
      <c r="CG60" t="str">
        <v>B121</v>
      </c>
      <c r="CH60" t="str">
        <v>B128</v>
      </c>
      <c r="CI60">
        <v>0</v>
      </c>
      <c r="CJ60">
        <v>0</v>
      </c>
      <c r="CK60">
        <v>0</v>
      </c>
      <c r="CL60">
        <v>0</v>
      </c>
      <c r="CM60" t="str">
        <v>B118</v>
      </c>
      <c r="CN60" t="str">
        <v>B133</v>
      </c>
      <c r="CO60" t="str">
        <v>B162</v>
      </c>
      <c r="CP60">
        <v>0</v>
      </c>
      <c r="CQ60">
        <v>0</v>
      </c>
      <c r="CR60">
        <v>0</v>
      </c>
      <c r="CS60">
        <v>0</v>
      </c>
      <c r="CT60">
        <v>0</v>
      </c>
      <c r="CU60">
        <v>0</v>
      </c>
      <c r="CV60">
        <v>0</v>
      </c>
      <c r="CW60">
        <v>0</v>
      </c>
      <c r="CX60">
        <v>0</v>
      </c>
      <c r="CY60">
        <v>0</v>
      </c>
      <c r="CZ60">
        <v>0</v>
      </c>
      <c r="DA60">
        <v>0</v>
      </c>
      <c r="DB60">
        <v>0</v>
      </c>
      <c r="DC60">
        <v>0</v>
      </c>
      <c r="DD60">
        <v>0</v>
      </c>
      <c r="DE60">
        <v>0</v>
      </c>
      <c r="DF60">
        <v>0</v>
      </c>
      <c r="DG60">
        <v>0</v>
      </c>
      <c r="DH60">
        <v>0</v>
      </c>
      <c r="DI60">
        <v>0</v>
      </c>
      <c r="DJ60">
        <v>0</v>
      </c>
      <c r="DK60">
        <v>0</v>
      </c>
      <c r="DL60">
        <v>0</v>
      </c>
      <c r="DM60">
        <v>0</v>
      </c>
      <c r="DN60">
        <v>0</v>
      </c>
      <c r="DO60">
        <v>0</v>
      </c>
      <c r="DP60">
        <v>0</v>
      </c>
      <c r="DQ60">
        <v>0</v>
      </c>
      <c r="DR60">
        <v>0</v>
      </c>
      <c r="DS60">
        <v>0</v>
      </c>
      <c r="DT60">
        <v>0</v>
      </c>
      <c r="DU60">
        <v>0</v>
      </c>
      <c r="DV60">
        <v>0</v>
      </c>
      <c r="DW60">
        <v>0</v>
      </c>
      <c r="DX60">
        <v>0</v>
      </c>
      <c r="DY60">
        <v>0</v>
      </c>
      <c r="DZ60">
        <v>0</v>
      </c>
      <c r="EA60">
        <v>0</v>
      </c>
      <c r="EB60">
        <v>0</v>
      </c>
      <c r="EC60">
        <v>0</v>
      </c>
      <c r="ED60">
        <v>0</v>
      </c>
      <c r="EE60">
        <v>0</v>
      </c>
      <c r="EF60">
        <v>0</v>
      </c>
      <c r="EG60">
        <v>0</v>
      </c>
      <c r="EH60">
        <v>0</v>
      </c>
      <c r="EI60">
        <v>0</v>
      </c>
      <c r="EJ60">
        <v>0</v>
      </c>
      <c r="EK60">
        <v>0</v>
      </c>
      <c r="EL60">
        <v>0</v>
      </c>
      <c r="EM60">
        <v>0</v>
      </c>
      <c r="EN60">
        <v>0</v>
      </c>
      <c r="EO60">
        <v>0</v>
      </c>
      <c r="EP60">
        <v>0</v>
      </c>
      <c r="EQ60">
        <v>0</v>
      </c>
      <c r="ER60">
        <v>0</v>
      </c>
      <c r="ES60">
        <v>0</v>
      </c>
      <c r="ET60">
        <v>0</v>
      </c>
      <c r="EU60">
        <v>0</v>
      </c>
      <c r="EV60">
        <v>0</v>
      </c>
      <c r="EW60">
        <v>0</v>
      </c>
      <c r="EX60">
        <v>0</v>
      </c>
      <c r="EY60">
        <v>0</v>
      </c>
      <c r="EZ60">
        <v>0</v>
      </c>
      <c r="FA60">
        <v>0</v>
      </c>
      <c r="FB60">
        <v>0</v>
      </c>
      <c r="FC60">
        <v>0</v>
      </c>
      <c r="FD60">
        <v>0</v>
      </c>
      <c r="FE60">
        <v>0</v>
      </c>
      <c r="FF60">
        <v>0</v>
      </c>
      <c r="FG60">
        <v>0</v>
      </c>
      <c r="FH60">
        <v>0</v>
      </c>
      <c r="FI60">
        <v>0</v>
      </c>
      <c r="FJ60">
        <v>0</v>
      </c>
      <c r="FK60">
        <v>0</v>
      </c>
      <c r="FL60">
        <v>0</v>
      </c>
      <c r="FM60">
        <v>0</v>
      </c>
      <c r="FN60">
        <v>0</v>
      </c>
      <c r="FO60">
        <v>0</v>
      </c>
      <c r="FP60">
        <v>0</v>
      </c>
      <c r="FQ60">
        <v>0</v>
      </c>
      <c r="FR60">
        <v>0</v>
      </c>
      <c r="FS60">
        <v>0</v>
      </c>
      <c r="FT60">
        <v>0</v>
      </c>
      <c r="FU60">
        <v>0</v>
      </c>
      <c r="FV60">
        <v>0</v>
      </c>
      <c r="FW60">
        <v>0</v>
      </c>
      <c r="FX60">
        <v>0</v>
      </c>
      <c r="FY60">
        <v>0</v>
      </c>
      <c r="FZ60">
        <v>0</v>
      </c>
      <c r="GA60">
        <v>0</v>
      </c>
      <c r="GB60">
        <v>0</v>
      </c>
      <c r="GC60">
        <v>0</v>
      </c>
      <c r="GD60">
        <v>0</v>
      </c>
      <c r="GE60">
        <v>0</v>
      </c>
      <c r="GF60">
        <v>0</v>
      </c>
      <c r="GG60">
        <v>0</v>
      </c>
      <c r="GH60">
        <v>0</v>
      </c>
      <c r="GI60">
        <v>0</v>
      </c>
      <c r="GJ60">
        <v>0</v>
      </c>
      <c r="GK60">
        <v>0</v>
      </c>
      <c r="GL60">
        <v>0</v>
      </c>
      <c r="GM60">
        <v>0</v>
      </c>
      <c r="GN60">
        <v>0</v>
      </c>
      <c r="GO60">
        <v>0</v>
      </c>
      <c r="GP60">
        <v>0</v>
      </c>
      <c r="GQ60">
        <v>0</v>
      </c>
      <c r="GR60">
        <v>0</v>
      </c>
      <c r="GS60">
        <v>0</v>
      </c>
      <c r="GT60">
        <v>0</v>
      </c>
      <c r="GU60">
        <v>0</v>
      </c>
      <c r="GV60">
        <v>0</v>
      </c>
      <c r="GW60">
        <v>0</v>
      </c>
      <c r="GX60">
        <v>0</v>
      </c>
      <c r="GY60">
        <v>0</v>
      </c>
      <c r="GZ60">
        <v>0</v>
      </c>
      <c r="HA60">
        <v>0</v>
      </c>
      <c r="HB60">
        <v>0</v>
      </c>
      <c r="HC60">
        <v>0</v>
      </c>
      <c r="HD60">
        <v>0</v>
      </c>
      <c r="HE60">
        <v>0</v>
      </c>
      <c r="HF60">
        <v>0</v>
      </c>
      <c r="HG60">
        <v>0</v>
      </c>
      <c r="HH60">
        <v>0</v>
      </c>
      <c r="HI60">
        <v>0</v>
      </c>
      <c r="HJ60">
        <v>0</v>
      </c>
      <c r="HK60">
        <v>0</v>
      </c>
      <c r="HL60">
        <v>0</v>
      </c>
      <c r="HM60">
        <v>0</v>
      </c>
      <c r="HN60">
        <v>0</v>
      </c>
      <c r="HO60">
        <v>0</v>
      </c>
      <c r="HP60">
        <v>0</v>
      </c>
      <c r="HQ60">
        <v>0</v>
      </c>
      <c r="HR60">
        <v>0</v>
      </c>
      <c r="HS60">
        <v>0</v>
      </c>
      <c r="HT60">
        <v>0</v>
      </c>
      <c r="HU60">
        <v>0</v>
      </c>
      <c r="HV60">
        <v>0</v>
      </c>
      <c r="HW60">
        <v>0</v>
      </c>
      <c r="HX60">
        <v>0</v>
      </c>
      <c r="HY60">
        <v>0</v>
      </c>
      <c r="HZ60">
        <v>0</v>
      </c>
      <c r="IA60">
        <v>0</v>
      </c>
      <c r="IB60">
        <v>0</v>
      </c>
      <c r="IC60">
        <v>0</v>
      </c>
      <c r="ID60">
        <v>0</v>
      </c>
      <c r="IE60">
        <v>0</v>
      </c>
      <c r="IF60">
        <v>0</v>
      </c>
      <c r="IG60">
        <v>0</v>
      </c>
      <c r="IH60">
        <v>0</v>
      </c>
      <c r="II60">
        <v>0</v>
      </c>
      <c r="IJ60">
        <v>0</v>
      </c>
      <c r="IK60">
        <v>0</v>
      </c>
      <c r="IL60">
        <v>0</v>
      </c>
      <c r="IM60">
        <v>0</v>
      </c>
      <c r="IN60">
        <v>0</v>
      </c>
      <c r="IO60">
        <v>0</v>
      </c>
      <c r="IP60">
        <v>0</v>
      </c>
      <c r="IQ60">
        <v>0</v>
      </c>
      <c r="IR60">
        <v>0</v>
      </c>
      <c r="IS60">
        <v>0</v>
      </c>
      <c r="IT60">
        <v>0</v>
      </c>
      <c r="IU60">
        <v>0</v>
      </c>
      <c r="IV60">
        <v>0</v>
      </c>
      <c r="IW60">
        <v>0</v>
      </c>
      <c r="IX60">
        <v>0</v>
      </c>
      <c r="IY60">
        <v>0</v>
      </c>
      <c r="IZ60">
        <v>0</v>
      </c>
      <c r="JA60">
        <v>0</v>
      </c>
      <c r="JB60">
        <v>0</v>
      </c>
      <c r="JC60">
        <v>0</v>
      </c>
      <c r="JD60">
        <v>0</v>
      </c>
      <c r="JE60">
        <v>0</v>
      </c>
      <c r="JF60">
        <v>0</v>
      </c>
      <c r="JG60">
        <v>0</v>
      </c>
      <c r="JH60">
        <v>0</v>
      </c>
      <c r="JI60">
        <v>0</v>
      </c>
      <c r="JJ60">
        <v>0</v>
      </c>
      <c r="JK60">
        <v>0</v>
      </c>
      <c r="JL60">
        <v>0</v>
      </c>
      <c r="JM60">
        <v>0</v>
      </c>
      <c r="JN60">
        <v>0</v>
      </c>
      <c r="JO60">
        <v>0</v>
      </c>
      <c r="JP60">
        <v>0</v>
      </c>
      <c r="JQ60">
        <v>0</v>
      </c>
      <c r="JR60">
        <v>0</v>
      </c>
      <c r="JS60">
        <v>0</v>
      </c>
      <c r="JT60">
        <v>0</v>
      </c>
      <c r="JU60">
        <v>0</v>
      </c>
      <c r="JV60">
        <v>0</v>
      </c>
      <c r="JW60">
        <v>0</v>
      </c>
      <c r="JX60">
        <v>0</v>
      </c>
      <c r="JY60">
        <v>0</v>
      </c>
      <c r="JZ60">
        <v>0</v>
      </c>
      <c r="KA60">
        <v>0</v>
      </c>
      <c r="KB60">
        <v>0</v>
      </c>
      <c r="KC60">
        <v>0</v>
      </c>
      <c r="KD60">
        <v>0</v>
      </c>
      <c r="KE60">
        <v>0</v>
      </c>
      <c r="KF60">
        <v>0</v>
      </c>
      <c r="KG60">
        <v>0</v>
      </c>
      <c r="KH60">
        <v>0</v>
      </c>
      <c r="KI60">
        <v>0</v>
      </c>
      <c r="KJ60">
        <v>0</v>
      </c>
      <c r="KK60">
        <v>0</v>
      </c>
      <c r="KL60">
        <v>0</v>
      </c>
      <c r="KM60">
        <v>0</v>
      </c>
      <c r="KN60">
        <v>0</v>
      </c>
      <c r="KO60">
        <v>0</v>
      </c>
      <c r="KP60">
        <v>0</v>
      </c>
      <c r="KQ60">
        <v>0</v>
      </c>
      <c r="KR60">
        <v>0</v>
      </c>
      <c r="KS60">
        <v>0</v>
      </c>
      <c r="KT60">
        <v>0</v>
      </c>
      <c r="KU60">
        <v>0</v>
      </c>
      <c r="KV60">
        <v>0</v>
      </c>
      <c r="KW60">
        <v>0</v>
      </c>
      <c r="KX60">
        <v>0</v>
      </c>
      <c r="KY60">
        <v>0</v>
      </c>
      <c r="KZ60">
        <v>0</v>
      </c>
      <c r="LA60">
        <v>0</v>
      </c>
      <c r="LB60">
        <v>0</v>
      </c>
      <c r="LC60">
        <v>0</v>
      </c>
      <c r="LD60">
        <v>0</v>
      </c>
      <c r="LE60">
        <v>0</v>
      </c>
      <c r="LF60">
        <v>0</v>
      </c>
      <c r="LG60">
        <v>0</v>
      </c>
      <c r="LH60">
        <v>0</v>
      </c>
      <c r="LI60">
        <v>0</v>
      </c>
      <c r="LJ60">
        <v>0</v>
      </c>
      <c r="LK60">
        <v>0</v>
      </c>
      <c r="LL60">
        <v>0</v>
      </c>
      <c r="LM60">
        <v>0</v>
      </c>
      <c r="LN60">
        <v>0</v>
      </c>
      <c r="LO60">
        <v>0</v>
      </c>
      <c r="LP60">
        <v>0</v>
      </c>
      <c r="LQ60">
        <v>0</v>
      </c>
      <c r="LR60">
        <v>0</v>
      </c>
      <c r="LS60">
        <v>0</v>
      </c>
      <c r="LT60">
        <v>0</v>
      </c>
      <c r="LU60">
        <v>0</v>
      </c>
      <c r="LV60">
        <v>0</v>
      </c>
      <c r="LW60">
        <v>0</v>
      </c>
      <c r="LX60">
        <v>0</v>
      </c>
      <c r="LY60">
        <v>0</v>
      </c>
      <c r="LZ60">
        <v>0</v>
      </c>
      <c r="MA60">
        <v>0</v>
      </c>
      <c r="MB60">
        <v>0</v>
      </c>
      <c r="MC60">
        <v>0</v>
      </c>
      <c r="MD60">
        <v>0</v>
      </c>
      <c r="ME60">
        <v>0</v>
      </c>
      <c r="MF60">
        <v>0</v>
      </c>
      <c r="MG60">
        <v>0</v>
      </c>
      <c r="MH60">
        <v>0</v>
      </c>
      <c r="MI60">
        <v>0</v>
      </c>
      <c r="MJ60">
        <v>0</v>
      </c>
      <c r="MK60">
        <v>0</v>
      </c>
      <c r="ML60">
        <v>0</v>
      </c>
      <c r="MM60">
        <v>0</v>
      </c>
      <c r="MN60">
        <v>0</v>
      </c>
      <c r="MO60">
        <v>0</v>
      </c>
      <c r="MP60">
        <v>0</v>
      </c>
      <c r="MQ60">
        <v>0</v>
      </c>
      <c r="MR60">
        <v>0</v>
      </c>
      <c r="MS60">
        <v>0</v>
      </c>
      <c r="MT60">
        <v>0</v>
      </c>
      <c r="MU60">
        <v>0</v>
      </c>
      <c r="MV60">
        <v>0</v>
      </c>
      <c r="MW60">
        <v>0</v>
      </c>
      <c r="MX60">
        <v>0</v>
      </c>
      <c r="MY60">
        <v>0</v>
      </c>
      <c r="MZ60">
        <v>0</v>
      </c>
      <c r="NA60">
        <v>0</v>
      </c>
      <c r="NB60">
        <v>0</v>
      </c>
      <c r="NC60">
        <v>0</v>
      </c>
      <c r="ND60">
        <v>0</v>
      </c>
      <c r="NE60">
        <v>0</v>
      </c>
    </row>
    <row r="61" spans="5:369" x14ac:dyDescent="0.45">
      <c r="E61">
        <v>0</v>
      </c>
      <c r="F61">
        <v>0</v>
      </c>
      <c r="G61">
        <v>0</v>
      </c>
      <c r="H61">
        <v>0</v>
      </c>
      <c r="I61">
        <v>0</v>
      </c>
      <c r="J61">
        <v>0</v>
      </c>
      <c r="K61">
        <v>0</v>
      </c>
      <c r="L61">
        <v>0</v>
      </c>
      <c r="M61">
        <v>0</v>
      </c>
      <c r="N61" t="str">
        <v/>
      </c>
      <c r="O61" t="str">
        <v/>
      </c>
      <c r="P61" t="str">
        <v/>
      </c>
      <c r="Q61" t="str">
        <v/>
      </c>
      <c r="R61" t="str">
        <v/>
      </c>
      <c r="S61" t="str">
        <v/>
      </c>
      <c r="T61" t="str">
        <v/>
      </c>
      <c r="U61">
        <v>0</v>
      </c>
      <c r="V61">
        <v>0</v>
      </c>
      <c r="W61">
        <v>0</v>
      </c>
      <c r="X61">
        <v>0</v>
      </c>
      <c r="Y61">
        <v>0</v>
      </c>
      <c r="Z61">
        <v>0</v>
      </c>
      <c r="AA61">
        <v>0</v>
      </c>
      <c r="AB61">
        <v>0</v>
      </c>
      <c r="AC61">
        <v>0</v>
      </c>
      <c r="AD61">
        <v>0</v>
      </c>
      <c r="AE61">
        <v>0</v>
      </c>
      <c r="AF61">
        <v>0</v>
      </c>
      <c r="AG61">
        <v>0</v>
      </c>
      <c r="AH61">
        <v>0</v>
      </c>
      <c r="AI61">
        <v>0</v>
      </c>
      <c r="AJ61">
        <v>0</v>
      </c>
      <c r="AK61">
        <v>0</v>
      </c>
      <c r="AL61">
        <v>0</v>
      </c>
      <c r="AM61">
        <v>0</v>
      </c>
      <c r="AN61" s="5">
        <v>0</v>
      </c>
      <c r="AO61" t="str">
        <v>A158</v>
      </c>
      <c r="AP61" t="str">
        <v>Muhammed Anas</v>
      </c>
      <c r="AQ61" t="str">
        <v>DAHF</v>
      </c>
      <c r="AR61" t="str">
        <v>SUB JUNIOR</v>
      </c>
      <c r="AS61">
        <v>2</v>
      </c>
      <c r="AT61">
        <v>53.5</v>
      </c>
      <c r="AU61">
        <v>0</v>
      </c>
      <c r="AV61">
        <v>53.5</v>
      </c>
      <c r="AW61">
        <v>53.5</v>
      </c>
      <c r="AX61">
        <v>10</v>
      </c>
      <c r="AY61" s="5">
        <v>10</v>
      </c>
      <c r="AZ61" t="str">
        <v>JN16</v>
      </c>
      <c r="BA61" t="str">
        <v>POEM ENG</v>
      </c>
      <c r="BB61" t="str">
        <v>JUNIOR</v>
      </c>
      <c r="BC61" t="str">
        <v>Single</v>
      </c>
      <c r="BD61" t="str">
        <v>Non-Stg</v>
      </c>
      <c r="BE61">
        <v>3</v>
      </c>
      <c r="BF61" t="str">
        <v>Individual</v>
      </c>
      <c r="BG61" t="str">
        <v>Individual</v>
      </c>
      <c r="BH61" t="str">
        <v>P</v>
      </c>
      <c r="BI61" t="str">
        <v>PUBLISHED</v>
      </c>
      <c r="BK61">
        <v>55</v>
      </c>
      <c r="BL61" t="str">
        <v>JN12</v>
      </c>
      <c r="BM61" t="str">
        <v>MATH TALENT</v>
      </c>
      <c r="BN61">
        <v>3</v>
      </c>
      <c r="BO61" t="str">
        <v>Single</v>
      </c>
      <c r="BP61" t="str">
        <v>Non-Stg</v>
      </c>
      <c r="BQ61" t="str">
        <v>JUNIOR</v>
      </c>
      <c r="BR61" t="str">
        <v>B104</v>
      </c>
      <c r="BS61" t="str">
        <v>B120</v>
      </c>
      <c r="BT61" t="str">
        <v>B144</v>
      </c>
      <c r="BU61">
        <v>0</v>
      </c>
      <c r="BV61">
        <v>0</v>
      </c>
      <c r="BW61">
        <v>0</v>
      </c>
      <c r="BX61">
        <v>0</v>
      </c>
      <c r="BY61" t="str">
        <v>B110</v>
      </c>
      <c r="BZ61" t="str">
        <v>B122</v>
      </c>
      <c r="CA61" t="str">
        <v>B127</v>
      </c>
      <c r="CB61">
        <v>0</v>
      </c>
      <c r="CC61">
        <v>0</v>
      </c>
      <c r="CD61">
        <v>0</v>
      </c>
      <c r="CE61">
        <v>0</v>
      </c>
      <c r="CF61" t="str">
        <v>B138</v>
      </c>
      <c r="CG61" t="str">
        <v>B140</v>
      </c>
      <c r="CH61" t="str">
        <v>B142</v>
      </c>
      <c r="CI61">
        <v>0</v>
      </c>
      <c r="CJ61">
        <v>0</v>
      </c>
      <c r="CK61">
        <v>0</v>
      </c>
      <c r="CL61">
        <v>0</v>
      </c>
      <c r="CM61" t="str">
        <v>B116</v>
      </c>
      <c r="CN61" t="str">
        <v>B148</v>
      </c>
      <c r="CO61" t="str">
        <v>B152</v>
      </c>
      <c r="CP61">
        <v>0</v>
      </c>
      <c r="CQ61">
        <v>0</v>
      </c>
      <c r="CR61">
        <v>0</v>
      </c>
      <c r="CS61">
        <v>0</v>
      </c>
      <c r="CT61">
        <v>0</v>
      </c>
      <c r="CU61">
        <v>0</v>
      </c>
      <c r="CV61">
        <v>0</v>
      </c>
      <c r="CW61">
        <v>0</v>
      </c>
      <c r="CX61">
        <v>0</v>
      </c>
      <c r="CY61">
        <v>0</v>
      </c>
      <c r="CZ61">
        <v>0</v>
      </c>
      <c r="DA61">
        <v>0</v>
      </c>
      <c r="DB61">
        <v>0</v>
      </c>
      <c r="DC61">
        <v>0</v>
      </c>
      <c r="DD61">
        <v>0</v>
      </c>
      <c r="DE61">
        <v>0</v>
      </c>
      <c r="DF61">
        <v>0</v>
      </c>
      <c r="DG61">
        <v>0</v>
      </c>
      <c r="DH61">
        <v>0</v>
      </c>
      <c r="DI61">
        <v>0</v>
      </c>
      <c r="DJ61">
        <v>0</v>
      </c>
      <c r="DK61">
        <v>0</v>
      </c>
      <c r="DL61">
        <v>0</v>
      </c>
      <c r="DM61">
        <v>0</v>
      </c>
      <c r="DN61">
        <v>0</v>
      </c>
      <c r="DO61">
        <v>0</v>
      </c>
      <c r="DP61">
        <v>0</v>
      </c>
      <c r="DQ61">
        <v>0</v>
      </c>
      <c r="DR61">
        <v>0</v>
      </c>
      <c r="DS61">
        <v>0</v>
      </c>
      <c r="DT61">
        <v>0</v>
      </c>
      <c r="DU61">
        <v>0</v>
      </c>
      <c r="DV61">
        <v>0</v>
      </c>
      <c r="DW61">
        <v>0</v>
      </c>
      <c r="DX61">
        <v>0</v>
      </c>
      <c r="DY61">
        <v>0</v>
      </c>
      <c r="DZ61">
        <v>0</v>
      </c>
      <c r="EA61">
        <v>0</v>
      </c>
      <c r="EB61">
        <v>0</v>
      </c>
      <c r="EC61">
        <v>0</v>
      </c>
      <c r="ED61">
        <v>0</v>
      </c>
      <c r="EE61">
        <v>0</v>
      </c>
      <c r="EF61">
        <v>0</v>
      </c>
      <c r="EG61">
        <v>0</v>
      </c>
      <c r="EH61">
        <v>0</v>
      </c>
      <c r="EI61">
        <v>0</v>
      </c>
      <c r="EJ61">
        <v>0</v>
      </c>
      <c r="EK61">
        <v>0</v>
      </c>
      <c r="EL61">
        <v>0</v>
      </c>
      <c r="EM61">
        <v>0</v>
      </c>
      <c r="EN61">
        <v>0</v>
      </c>
      <c r="EO61">
        <v>0</v>
      </c>
      <c r="EP61">
        <v>0</v>
      </c>
      <c r="EQ61">
        <v>0</v>
      </c>
      <c r="ER61">
        <v>0</v>
      </c>
      <c r="ES61">
        <v>0</v>
      </c>
      <c r="ET61">
        <v>0</v>
      </c>
      <c r="EU61">
        <v>0</v>
      </c>
      <c r="EV61">
        <v>0</v>
      </c>
      <c r="EW61">
        <v>0</v>
      </c>
      <c r="EX61">
        <v>0</v>
      </c>
      <c r="EY61">
        <v>0</v>
      </c>
      <c r="EZ61">
        <v>0</v>
      </c>
      <c r="FA61">
        <v>0</v>
      </c>
      <c r="FB61">
        <v>0</v>
      </c>
      <c r="FC61">
        <v>0</v>
      </c>
      <c r="FD61">
        <v>0</v>
      </c>
      <c r="FE61">
        <v>0</v>
      </c>
      <c r="FF61">
        <v>0</v>
      </c>
      <c r="FG61">
        <v>0</v>
      </c>
      <c r="FH61">
        <v>0</v>
      </c>
      <c r="FI61">
        <v>0</v>
      </c>
      <c r="FJ61">
        <v>0</v>
      </c>
      <c r="FK61">
        <v>0</v>
      </c>
      <c r="FL61">
        <v>0</v>
      </c>
      <c r="FM61">
        <v>0</v>
      </c>
      <c r="FN61">
        <v>0</v>
      </c>
      <c r="FO61">
        <v>0</v>
      </c>
      <c r="FP61">
        <v>0</v>
      </c>
      <c r="FQ61">
        <v>0</v>
      </c>
      <c r="FR61">
        <v>0</v>
      </c>
      <c r="FS61">
        <v>0</v>
      </c>
      <c r="FT61">
        <v>0</v>
      </c>
      <c r="FU61">
        <v>0</v>
      </c>
      <c r="FV61">
        <v>0</v>
      </c>
      <c r="FW61">
        <v>0</v>
      </c>
      <c r="FX61">
        <v>0</v>
      </c>
      <c r="FY61">
        <v>0</v>
      </c>
      <c r="FZ61">
        <v>0</v>
      </c>
      <c r="GA61">
        <v>0</v>
      </c>
      <c r="GB61">
        <v>0</v>
      </c>
      <c r="GC61">
        <v>0</v>
      </c>
      <c r="GD61">
        <v>0</v>
      </c>
      <c r="GE61">
        <v>0</v>
      </c>
      <c r="GF61">
        <v>0</v>
      </c>
      <c r="GG61">
        <v>0</v>
      </c>
      <c r="GH61">
        <v>0</v>
      </c>
      <c r="GI61">
        <v>0</v>
      </c>
      <c r="GJ61">
        <v>0</v>
      </c>
      <c r="GK61">
        <v>0</v>
      </c>
      <c r="GL61">
        <v>0</v>
      </c>
      <c r="GM61">
        <v>0</v>
      </c>
      <c r="GN61">
        <v>0</v>
      </c>
      <c r="GO61">
        <v>0</v>
      </c>
      <c r="GP61">
        <v>0</v>
      </c>
      <c r="GQ61">
        <v>0</v>
      </c>
      <c r="GR61">
        <v>0</v>
      </c>
      <c r="GS61">
        <v>0</v>
      </c>
      <c r="GT61">
        <v>0</v>
      </c>
      <c r="GU61">
        <v>0</v>
      </c>
      <c r="GV61">
        <v>0</v>
      </c>
      <c r="GW61">
        <v>0</v>
      </c>
      <c r="GX61">
        <v>0</v>
      </c>
      <c r="GY61">
        <v>0</v>
      </c>
      <c r="GZ61">
        <v>0</v>
      </c>
      <c r="HA61">
        <v>0</v>
      </c>
      <c r="HB61">
        <v>0</v>
      </c>
      <c r="HC61">
        <v>0</v>
      </c>
      <c r="HD61">
        <v>0</v>
      </c>
      <c r="HE61">
        <v>0</v>
      </c>
      <c r="HF61">
        <v>0</v>
      </c>
      <c r="HG61">
        <v>0</v>
      </c>
      <c r="HH61">
        <v>0</v>
      </c>
      <c r="HI61">
        <v>0</v>
      </c>
      <c r="HJ61">
        <v>0</v>
      </c>
      <c r="HK61">
        <v>0</v>
      </c>
      <c r="HL61">
        <v>0</v>
      </c>
      <c r="HM61">
        <v>0</v>
      </c>
      <c r="HN61">
        <v>0</v>
      </c>
      <c r="HO61">
        <v>0</v>
      </c>
      <c r="HP61">
        <v>0</v>
      </c>
      <c r="HQ61">
        <v>0</v>
      </c>
      <c r="HR61">
        <v>0</v>
      </c>
      <c r="HS61">
        <v>0</v>
      </c>
      <c r="HT61">
        <v>0</v>
      </c>
      <c r="HU61">
        <v>0</v>
      </c>
      <c r="HV61">
        <v>0</v>
      </c>
      <c r="HW61">
        <v>0</v>
      </c>
      <c r="HX61">
        <v>0</v>
      </c>
      <c r="HY61">
        <v>0</v>
      </c>
      <c r="HZ61">
        <v>0</v>
      </c>
      <c r="IA61">
        <v>0</v>
      </c>
      <c r="IB61">
        <v>0</v>
      </c>
      <c r="IC61">
        <v>0</v>
      </c>
      <c r="ID61">
        <v>0</v>
      </c>
      <c r="IE61">
        <v>0</v>
      </c>
      <c r="IF61">
        <v>0</v>
      </c>
      <c r="IG61">
        <v>0</v>
      </c>
      <c r="IH61">
        <v>0</v>
      </c>
      <c r="II61">
        <v>0</v>
      </c>
      <c r="IJ61">
        <v>0</v>
      </c>
      <c r="IK61">
        <v>0</v>
      </c>
      <c r="IL61">
        <v>0</v>
      </c>
      <c r="IM61">
        <v>0</v>
      </c>
      <c r="IN61">
        <v>0</v>
      </c>
      <c r="IO61">
        <v>0</v>
      </c>
      <c r="IP61">
        <v>0</v>
      </c>
      <c r="IQ61">
        <v>0</v>
      </c>
      <c r="IR61">
        <v>0</v>
      </c>
      <c r="IS61">
        <v>0</v>
      </c>
      <c r="IT61">
        <v>0</v>
      </c>
      <c r="IU61">
        <v>0</v>
      </c>
      <c r="IV61">
        <v>0</v>
      </c>
      <c r="IW61">
        <v>0</v>
      </c>
      <c r="IX61">
        <v>0</v>
      </c>
      <c r="IY61">
        <v>0</v>
      </c>
      <c r="IZ61">
        <v>0</v>
      </c>
      <c r="JA61">
        <v>0</v>
      </c>
      <c r="JB61">
        <v>0</v>
      </c>
      <c r="JC61">
        <v>0</v>
      </c>
      <c r="JD61">
        <v>0</v>
      </c>
      <c r="JE61">
        <v>0</v>
      </c>
      <c r="JF61">
        <v>0</v>
      </c>
      <c r="JG61">
        <v>0</v>
      </c>
      <c r="JH61">
        <v>0</v>
      </c>
      <c r="JI61">
        <v>0</v>
      </c>
      <c r="JJ61">
        <v>0</v>
      </c>
      <c r="JK61">
        <v>0</v>
      </c>
      <c r="JL61">
        <v>0</v>
      </c>
      <c r="JM61">
        <v>0</v>
      </c>
      <c r="JN61">
        <v>0</v>
      </c>
      <c r="JO61">
        <v>0</v>
      </c>
      <c r="JP61">
        <v>0</v>
      </c>
      <c r="JQ61">
        <v>0</v>
      </c>
      <c r="JR61">
        <v>0</v>
      </c>
      <c r="JS61">
        <v>0</v>
      </c>
      <c r="JT61">
        <v>0</v>
      </c>
      <c r="JU61">
        <v>0</v>
      </c>
      <c r="JV61">
        <v>0</v>
      </c>
      <c r="JW61">
        <v>0</v>
      </c>
      <c r="JX61">
        <v>0</v>
      </c>
      <c r="JY61">
        <v>0</v>
      </c>
      <c r="JZ61">
        <v>0</v>
      </c>
      <c r="KA61">
        <v>0</v>
      </c>
      <c r="KB61">
        <v>0</v>
      </c>
      <c r="KC61">
        <v>0</v>
      </c>
      <c r="KD61">
        <v>0</v>
      </c>
      <c r="KE61">
        <v>0</v>
      </c>
      <c r="KF61">
        <v>0</v>
      </c>
      <c r="KG61">
        <v>0</v>
      </c>
      <c r="KH61">
        <v>0</v>
      </c>
      <c r="KI61">
        <v>0</v>
      </c>
      <c r="KJ61">
        <v>0</v>
      </c>
      <c r="KK61">
        <v>0</v>
      </c>
      <c r="KL61">
        <v>0</v>
      </c>
      <c r="KM61">
        <v>0</v>
      </c>
      <c r="KN61">
        <v>0</v>
      </c>
      <c r="KO61">
        <v>0</v>
      </c>
      <c r="KP61">
        <v>0</v>
      </c>
      <c r="KQ61">
        <v>0</v>
      </c>
      <c r="KR61">
        <v>0</v>
      </c>
      <c r="KS61">
        <v>0</v>
      </c>
      <c r="KT61">
        <v>0</v>
      </c>
      <c r="KU61">
        <v>0</v>
      </c>
      <c r="KV61">
        <v>0</v>
      </c>
      <c r="KW61">
        <v>0</v>
      </c>
      <c r="KX61">
        <v>0</v>
      </c>
      <c r="KY61">
        <v>0</v>
      </c>
      <c r="KZ61">
        <v>0</v>
      </c>
      <c r="LA61">
        <v>0</v>
      </c>
      <c r="LB61">
        <v>0</v>
      </c>
      <c r="LC61">
        <v>0</v>
      </c>
      <c r="LD61">
        <v>0</v>
      </c>
      <c r="LE61">
        <v>0</v>
      </c>
      <c r="LF61">
        <v>0</v>
      </c>
      <c r="LG61">
        <v>0</v>
      </c>
      <c r="LH61">
        <v>0</v>
      </c>
      <c r="LI61">
        <v>0</v>
      </c>
      <c r="LJ61">
        <v>0</v>
      </c>
      <c r="LK61">
        <v>0</v>
      </c>
      <c r="LL61">
        <v>0</v>
      </c>
      <c r="LM61">
        <v>0</v>
      </c>
      <c r="LN61">
        <v>0</v>
      </c>
      <c r="LO61">
        <v>0</v>
      </c>
      <c r="LP61">
        <v>0</v>
      </c>
      <c r="LQ61">
        <v>0</v>
      </c>
      <c r="LR61">
        <v>0</v>
      </c>
      <c r="LS61">
        <v>0</v>
      </c>
      <c r="LT61">
        <v>0</v>
      </c>
      <c r="LU61">
        <v>0</v>
      </c>
      <c r="LV61">
        <v>0</v>
      </c>
      <c r="LW61">
        <v>0</v>
      </c>
      <c r="LX61">
        <v>0</v>
      </c>
      <c r="LY61">
        <v>0</v>
      </c>
      <c r="LZ61">
        <v>0</v>
      </c>
      <c r="MA61">
        <v>0</v>
      </c>
      <c r="MB61">
        <v>0</v>
      </c>
      <c r="MC61">
        <v>0</v>
      </c>
      <c r="MD61">
        <v>0</v>
      </c>
      <c r="ME61">
        <v>0</v>
      </c>
      <c r="MF61">
        <v>0</v>
      </c>
      <c r="MG61">
        <v>0</v>
      </c>
      <c r="MH61">
        <v>0</v>
      </c>
      <c r="MI61">
        <v>0</v>
      </c>
      <c r="MJ61">
        <v>0</v>
      </c>
      <c r="MK61">
        <v>0</v>
      </c>
      <c r="ML61">
        <v>0</v>
      </c>
      <c r="MM61">
        <v>0</v>
      </c>
      <c r="MN61">
        <v>0</v>
      </c>
      <c r="MO61">
        <v>0</v>
      </c>
      <c r="MP61">
        <v>0</v>
      </c>
      <c r="MQ61">
        <v>0</v>
      </c>
      <c r="MR61">
        <v>0</v>
      </c>
      <c r="MS61">
        <v>0</v>
      </c>
      <c r="MT61">
        <v>0</v>
      </c>
      <c r="MU61">
        <v>0</v>
      </c>
      <c r="MV61">
        <v>0</v>
      </c>
      <c r="MW61">
        <v>0</v>
      </c>
      <c r="MX61">
        <v>0</v>
      </c>
      <c r="MY61">
        <v>0</v>
      </c>
      <c r="MZ61">
        <v>0</v>
      </c>
      <c r="NA61">
        <v>0</v>
      </c>
      <c r="NB61">
        <v>0</v>
      </c>
      <c r="NC61">
        <v>0</v>
      </c>
      <c r="ND61">
        <v>0</v>
      </c>
      <c r="NE61">
        <v>0</v>
      </c>
    </row>
    <row r="62" spans="5:369" x14ac:dyDescent="0.45">
      <c r="E62">
        <v>0</v>
      </c>
      <c r="F62">
        <v>0</v>
      </c>
      <c r="G62">
        <v>0</v>
      </c>
      <c r="H62">
        <v>0</v>
      </c>
      <c r="I62">
        <v>0</v>
      </c>
      <c r="J62">
        <v>0</v>
      </c>
      <c r="K62">
        <v>0</v>
      </c>
      <c r="L62">
        <v>0</v>
      </c>
      <c r="M62">
        <v>0</v>
      </c>
      <c r="N62" t="str">
        <v/>
      </c>
      <c r="O62" t="str">
        <v/>
      </c>
      <c r="P62" t="str">
        <v/>
      </c>
      <c r="Q62" t="str">
        <v/>
      </c>
      <c r="R62" t="str">
        <v/>
      </c>
      <c r="S62" t="str">
        <v/>
      </c>
      <c r="T62" t="str">
        <v/>
      </c>
      <c r="U62">
        <v>0</v>
      </c>
      <c r="V62">
        <v>0</v>
      </c>
      <c r="W62">
        <v>0</v>
      </c>
      <c r="X62">
        <v>0</v>
      </c>
      <c r="Y62">
        <v>0</v>
      </c>
      <c r="Z62">
        <v>0</v>
      </c>
      <c r="AA62">
        <v>0</v>
      </c>
      <c r="AB62">
        <v>0</v>
      </c>
      <c r="AC62">
        <v>0</v>
      </c>
      <c r="AD62">
        <v>0</v>
      </c>
      <c r="AE62">
        <v>0</v>
      </c>
      <c r="AF62">
        <v>0</v>
      </c>
      <c r="AG62">
        <v>0</v>
      </c>
      <c r="AH62">
        <v>0</v>
      </c>
      <c r="AI62">
        <v>0</v>
      </c>
      <c r="AJ62">
        <v>0</v>
      </c>
      <c r="AK62">
        <v>0</v>
      </c>
      <c r="AL62">
        <v>0</v>
      </c>
      <c r="AM62">
        <v>0</v>
      </c>
      <c r="AN62" s="5">
        <v>0</v>
      </c>
      <c r="AO62" t="str">
        <v>A159</v>
      </c>
      <c r="AP62" t="str">
        <v>MUHAMMED ASHIR M</v>
      </c>
      <c r="AQ62" t="str">
        <v>JARF</v>
      </c>
      <c r="AR62" t="str">
        <v>SUB JUNIOR</v>
      </c>
      <c r="AS62">
        <v>2</v>
      </c>
      <c r="AT62">
        <v>17</v>
      </c>
      <c r="AU62">
        <v>0</v>
      </c>
      <c r="AV62">
        <v>17</v>
      </c>
      <c r="AW62">
        <v>17</v>
      </c>
      <c r="AX62">
        <v>87</v>
      </c>
      <c r="AY62" s="5">
        <v>87</v>
      </c>
      <c r="AZ62" t="str">
        <v>JN17</v>
      </c>
      <c r="BA62" t="str">
        <v>POEM MLM</v>
      </c>
      <c r="BB62" t="str">
        <v>JUNIOR</v>
      </c>
      <c r="BC62" t="str">
        <v>Single</v>
      </c>
      <c r="BD62" t="str">
        <v>Non-Stg</v>
      </c>
      <c r="BE62">
        <v>3</v>
      </c>
      <c r="BF62" t="str">
        <v>Individual</v>
      </c>
      <c r="BG62" t="str">
        <v>Individual</v>
      </c>
      <c r="BH62" t="str">
        <v>P</v>
      </c>
      <c r="BI62" t="str">
        <v>PUBLISHED</v>
      </c>
      <c r="BK62">
        <v>56</v>
      </c>
      <c r="BL62" t="str">
        <v>JN13</v>
      </c>
      <c r="BM62" t="str">
        <v>NEWS WRITING MLM</v>
      </c>
      <c r="BN62">
        <v>3</v>
      </c>
      <c r="BO62" t="str">
        <v>Single</v>
      </c>
      <c r="BP62" t="str">
        <v>Non-Stg</v>
      </c>
      <c r="BQ62" t="str">
        <v>JUNIOR</v>
      </c>
      <c r="BR62" t="str">
        <v>B115</v>
      </c>
      <c r="BS62" t="str">
        <v>B129</v>
      </c>
      <c r="BT62" t="str">
        <v>B143</v>
      </c>
      <c r="BU62">
        <v>0</v>
      </c>
      <c r="BV62">
        <v>0</v>
      </c>
      <c r="BW62">
        <v>0</v>
      </c>
      <c r="BX62">
        <v>0</v>
      </c>
      <c r="BY62" t="str">
        <v>B122</v>
      </c>
      <c r="BZ62" t="str">
        <v>B124</v>
      </c>
      <c r="CA62" t="str">
        <v>B155</v>
      </c>
      <c r="CB62">
        <v>0</v>
      </c>
      <c r="CC62">
        <v>0</v>
      </c>
      <c r="CD62">
        <v>0</v>
      </c>
      <c r="CE62">
        <v>0</v>
      </c>
      <c r="CF62" t="str">
        <v>B137</v>
      </c>
      <c r="CG62" t="str">
        <v>B142</v>
      </c>
      <c r="CH62" t="str">
        <v>B146</v>
      </c>
      <c r="CI62">
        <v>0</v>
      </c>
      <c r="CJ62">
        <v>0</v>
      </c>
      <c r="CK62">
        <v>0</v>
      </c>
      <c r="CL62">
        <v>0</v>
      </c>
      <c r="CM62" t="str">
        <v>B116</v>
      </c>
      <c r="CN62" t="str">
        <v>B133</v>
      </c>
      <c r="CO62" t="str">
        <v>B147</v>
      </c>
      <c r="CP62">
        <v>0</v>
      </c>
      <c r="CQ62">
        <v>0</v>
      </c>
      <c r="CR62">
        <v>0</v>
      </c>
      <c r="CS62">
        <v>0</v>
      </c>
      <c r="CT62">
        <v>0</v>
      </c>
      <c r="CU62">
        <v>0</v>
      </c>
      <c r="CV62">
        <v>0</v>
      </c>
      <c r="CW62">
        <v>0</v>
      </c>
      <c r="CX62">
        <v>0</v>
      </c>
      <c r="CY62">
        <v>0</v>
      </c>
      <c r="CZ62">
        <v>0</v>
      </c>
      <c r="DA62">
        <v>0</v>
      </c>
      <c r="DB62">
        <v>0</v>
      </c>
      <c r="DC62">
        <v>0</v>
      </c>
      <c r="DD62">
        <v>0</v>
      </c>
      <c r="DE62">
        <v>0</v>
      </c>
      <c r="DF62">
        <v>0</v>
      </c>
      <c r="DG62">
        <v>0</v>
      </c>
      <c r="DH62">
        <v>0</v>
      </c>
      <c r="DI62">
        <v>0</v>
      </c>
      <c r="DJ62">
        <v>0</v>
      </c>
      <c r="DK62">
        <v>0</v>
      </c>
      <c r="DL62">
        <v>0</v>
      </c>
      <c r="DM62">
        <v>0</v>
      </c>
      <c r="DN62">
        <v>0</v>
      </c>
      <c r="DO62">
        <v>0</v>
      </c>
      <c r="DP62">
        <v>0</v>
      </c>
      <c r="DQ62">
        <v>0</v>
      </c>
      <c r="DR62">
        <v>0</v>
      </c>
      <c r="DS62">
        <v>0</v>
      </c>
      <c r="DT62">
        <v>0</v>
      </c>
      <c r="DU62">
        <v>0</v>
      </c>
      <c r="DV62">
        <v>0</v>
      </c>
      <c r="DW62">
        <v>0</v>
      </c>
      <c r="DX62">
        <v>0</v>
      </c>
      <c r="DY62">
        <v>0</v>
      </c>
      <c r="DZ62">
        <v>0</v>
      </c>
      <c r="EA62">
        <v>0</v>
      </c>
      <c r="EB62">
        <v>0</v>
      </c>
      <c r="EC62">
        <v>0</v>
      </c>
      <c r="ED62">
        <v>0</v>
      </c>
      <c r="EE62">
        <v>0</v>
      </c>
      <c r="EF62">
        <v>0</v>
      </c>
      <c r="EG62">
        <v>0</v>
      </c>
      <c r="EH62">
        <v>0</v>
      </c>
      <c r="EI62">
        <v>0</v>
      </c>
      <c r="EJ62">
        <v>0</v>
      </c>
      <c r="EK62">
        <v>0</v>
      </c>
      <c r="EL62">
        <v>0</v>
      </c>
      <c r="EM62">
        <v>0</v>
      </c>
      <c r="EN62">
        <v>0</v>
      </c>
      <c r="EO62">
        <v>0</v>
      </c>
      <c r="EP62">
        <v>0</v>
      </c>
      <c r="EQ62">
        <v>0</v>
      </c>
      <c r="ER62">
        <v>0</v>
      </c>
      <c r="ES62">
        <v>0</v>
      </c>
      <c r="ET62">
        <v>0</v>
      </c>
      <c r="EU62">
        <v>0</v>
      </c>
      <c r="EV62">
        <v>0</v>
      </c>
      <c r="EW62">
        <v>0</v>
      </c>
      <c r="EX62">
        <v>0</v>
      </c>
      <c r="EY62">
        <v>0</v>
      </c>
      <c r="EZ62">
        <v>0</v>
      </c>
      <c r="FA62">
        <v>0</v>
      </c>
      <c r="FB62">
        <v>0</v>
      </c>
      <c r="FC62">
        <v>0</v>
      </c>
      <c r="FD62">
        <v>0</v>
      </c>
      <c r="FE62">
        <v>0</v>
      </c>
      <c r="FF62">
        <v>0</v>
      </c>
      <c r="FG62">
        <v>0</v>
      </c>
      <c r="FH62">
        <v>0</v>
      </c>
      <c r="FI62">
        <v>0</v>
      </c>
      <c r="FJ62">
        <v>0</v>
      </c>
      <c r="FK62">
        <v>0</v>
      </c>
      <c r="FL62">
        <v>0</v>
      </c>
      <c r="FM62">
        <v>0</v>
      </c>
      <c r="FN62">
        <v>0</v>
      </c>
      <c r="FO62">
        <v>0</v>
      </c>
      <c r="FP62">
        <v>0</v>
      </c>
      <c r="FQ62">
        <v>0</v>
      </c>
      <c r="FR62">
        <v>0</v>
      </c>
      <c r="FS62">
        <v>0</v>
      </c>
      <c r="FT62">
        <v>0</v>
      </c>
      <c r="FU62">
        <v>0</v>
      </c>
      <c r="FV62">
        <v>0</v>
      </c>
      <c r="FW62">
        <v>0</v>
      </c>
      <c r="FX62">
        <v>0</v>
      </c>
      <c r="FY62">
        <v>0</v>
      </c>
      <c r="FZ62">
        <v>0</v>
      </c>
      <c r="GA62">
        <v>0</v>
      </c>
      <c r="GB62">
        <v>0</v>
      </c>
      <c r="GC62">
        <v>0</v>
      </c>
      <c r="GD62">
        <v>0</v>
      </c>
      <c r="GE62">
        <v>0</v>
      </c>
      <c r="GF62">
        <v>0</v>
      </c>
      <c r="GG62">
        <v>0</v>
      </c>
      <c r="GH62">
        <v>0</v>
      </c>
      <c r="GI62">
        <v>0</v>
      </c>
      <c r="GJ62">
        <v>0</v>
      </c>
      <c r="GK62">
        <v>0</v>
      </c>
      <c r="GL62">
        <v>0</v>
      </c>
      <c r="GM62">
        <v>0</v>
      </c>
      <c r="GN62">
        <v>0</v>
      </c>
      <c r="GO62">
        <v>0</v>
      </c>
      <c r="GP62">
        <v>0</v>
      </c>
      <c r="GQ62">
        <v>0</v>
      </c>
      <c r="GR62">
        <v>0</v>
      </c>
      <c r="GS62">
        <v>0</v>
      </c>
      <c r="GT62">
        <v>0</v>
      </c>
      <c r="GU62">
        <v>0</v>
      </c>
      <c r="GV62">
        <v>0</v>
      </c>
      <c r="GW62">
        <v>0</v>
      </c>
      <c r="GX62">
        <v>0</v>
      </c>
      <c r="GY62">
        <v>0</v>
      </c>
      <c r="GZ62">
        <v>0</v>
      </c>
      <c r="HA62">
        <v>0</v>
      </c>
      <c r="HB62">
        <v>0</v>
      </c>
      <c r="HC62">
        <v>0</v>
      </c>
      <c r="HD62">
        <v>0</v>
      </c>
      <c r="HE62">
        <v>0</v>
      </c>
      <c r="HF62">
        <v>0</v>
      </c>
      <c r="HG62">
        <v>0</v>
      </c>
      <c r="HH62">
        <v>0</v>
      </c>
      <c r="HI62">
        <v>0</v>
      </c>
      <c r="HJ62">
        <v>0</v>
      </c>
      <c r="HK62">
        <v>0</v>
      </c>
      <c r="HL62">
        <v>0</v>
      </c>
      <c r="HM62">
        <v>0</v>
      </c>
      <c r="HN62">
        <v>0</v>
      </c>
      <c r="HO62">
        <v>0</v>
      </c>
      <c r="HP62">
        <v>0</v>
      </c>
      <c r="HQ62">
        <v>0</v>
      </c>
      <c r="HR62">
        <v>0</v>
      </c>
      <c r="HS62">
        <v>0</v>
      </c>
      <c r="HT62">
        <v>0</v>
      </c>
      <c r="HU62">
        <v>0</v>
      </c>
      <c r="HV62">
        <v>0</v>
      </c>
      <c r="HW62">
        <v>0</v>
      </c>
      <c r="HX62">
        <v>0</v>
      </c>
      <c r="HY62">
        <v>0</v>
      </c>
      <c r="HZ62">
        <v>0</v>
      </c>
      <c r="IA62">
        <v>0</v>
      </c>
      <c r="IB62">
        <v>0</v>
      </c>
      <c r="IC62">
        <v>0</v>
      </c>
      <c r="ID62">
        <v>0</v>
      </c>
      <c r="IE62">
        <v>0</v>
      </c>
      <c r="IF62">
        <v>0</v>
      </c>
      <c r="IG62">
        <v>0</v>
      </c>
      <c r="IH62">
        <v>0</v>
      </c>
      <c r="II62">
        <v>0</v>
      </c>
      <c r="IJ62">
        <v>0</v>
      </c>
      <c r="IK62">
        <v>0</v>
      </c>
      <c r="IL62">
        <v>0</v>
      </c>
      <c r="IM62">
        <v>0</v>
      </c>
      <c r="IN62">
        <v>0</v>
      </c>
      <c r="IO62">
        <v>0</v>
      </c>
      <c r="IP62">
        <v>0</v>
      </c>
      <c r="IQ62">
        <v>0</v>
      </c>
      <c r="IR62">
        <v>0</v>
      </c>
      <c r="IS62">
        <v>0</v>
      </c>
      <c r="IT62">
        <v>0</v>
      </c>
      <c r="IU62">
        <v>0</v>
      </c>
      <c r="IV62">
        <v>0</v>
      </c>
      <c r="IW62">
        <v>0</v>
      </c>
      <c r="IX62">
        <v>0</v>
      </c>
      <c r="IY62">
        <v>0</v>
      </c>
      <c r="IZ62">
        <v>0</v>
      </c>
      <c r="JA62">
        <v>0</v>
      </c>
      <c r="JB62">
        <v>0</v>
      </c>
      <c r="JC62">
        <v>0</v>
      </c>
      <c r="JD62">
        <v>0</v>
      </c>
      <c r="JE62">
        <v>0</v>
      </c>
      <c r="JF62">
        <v>0</v>
      </c>
      <c r="JG62">
        <v>0</v>
      </c>
      <c r="JH62">
        <v>0</v>
      </c>
      <c r="JI62">
        <v>0</v>
      </c>
      <c r="JJ62">
        <v>0</v>
      </c>
      <c r="JK62">
        <v>0</v>
      </c>
      <c r="JL62">
        <v>0</v>
      </c>
      <c r="JM62">
        <v>0</v>
      </c>
      <c r="JN62">
        <v>0</v>
      </c>
      <c r="JO62">
        <v>0</v>
      </c>
      <c r="JP62">
        <v>0</v>
      </c>
      <c r="JQ62">
        <v>0</v>
      </c>
      <c r="JR62">
        <v>0</v>
      </c>
      <c r="JS62">
        <v>0</v>
      </c>
      <c r="JT62">
        <v>0</v>
      </c>
      <c r="JU62">
        <v>0</v>
      </c>
      <c r="JV62">
        <v>0</v>
      </c>
      <c r="JW62">
        <v>0</v>
      </c>
      <c r="JX62">
        <v>0</v>
      </c>
      <c r="JY62">
        <v>0</v>
      </c>
      <c r="JZ62">
        <v>0</v>
      </c>
      <c r="KA62">
        <v>0</v>
      </c>
      <c r="KB62">
        <v>0</v>
      </c>
      <c r="KC62">
        <v>0</v>
      </c>
      <c r="KD62">
        <v>0</v>
      </c>
      <c r="KE62">
        <v>0</v>
      </c>
      <c r="KF62">
        <v>0</v>
      </c>
      <c r="KG62">
        <v>0</v>
      </c>
      <c r="KH62">
        <v>0</v>
      </c>
      <c r="KI62">
        <v>0</v>
      </c>
      <c r="KJ62">
        <v>0</v>
      </c>
      <c r="KK62">
        <v>0</v>
      </c>
      <c r="KL62">
        <v>0</v>
      </c>
      <c r="KM62">
        <v>0</v>
      </c>
      <c r="KN62">
        <v>0</v>
      </c>
      <c r="KO62">
        <v>0</v>
      </c>
      <c r="KP62">
        <v>0</v>
      </c>
      <c r="KQ62">
        <v>0</v>
      </c>
      <c r="KR62">
        <v>0</v>
      </c>
      <c r="KS62">
        <v>0</v>
      </c>
      <c r="KT62">
        <v>0</v>
      </c>
      <c r="KU62">
        <v>0</v>
      </c>
      <c r="KV62">
        <v>0</v>
      </c>
      <c r="KW62">
        <v>0</v>
      </c>
      <c r="KX62">
        <v>0</v>
      </c>
      <c r="KY62">
        <v>0</v>
      </c>
      <c r="KZ62">
        <v>0</v>
      </c>
      <c r="LA62">
        <v>0</v>
      </c>
      <c r="LB62">
        <v>0</v>
      </c>
      <c r="LC62">
        <v>0</v>
      </c>
      <c r="LD62">
        <v>0</v>
      </c>
      <c r="LE62">
        <v>0</v>
      </c>
      <c r="LF62">
        <v>0</v>
      </c>
      <c r="LG62">
        <v>0</v>
      </c>
      <c r="LH62">
        <v>0</v>
      </c>
      <c r="LI62">
        <v>0</v>
      </c>
      <c r="LJ62">
        <v>0</v>
      </c>
      <c r="LK62">
        <v>0</v>
      </c>
      <c r="LL62">
        <v>0</v>
      </c>
      <c r="LM62">
        <v>0</v>
      </c>
      <c r="LN62">
        <v>0</v>
      </c>
      <c r="LO62">
        <v>0</v>
      </c>
      <c r="LP62">
        <v>0</v>
      </c>
      <c r="LQ62">
        <v>0</v>
      </c>
      <c r="LR62">
        <v>0</v>
      </c>
      <c r="LS62">
        <v>0</v>
      </c>
      <c r="LT62">
        <v>0</v>
      </c>
      <c r="LU62">
        <v>0</v>
      </c>
      <c r="LV62">
        <v>0</v>
      </c>
      <c r="LW62">
        <v>0</v>
      </c>
      <c r="LX62">
        <v>0</v>
      </c>
      <c r="LY62">
        <v>0</v>
      </c>
      <c r="LZ62">
        <v>0</v>
      </c>
      <c r="MA62">
        <v>0</v>
      </c>
      <c r="MB62">
        <v>0</v>
      </c>
      <c r="MC62">
        <v>0</v>
      </c>
      <c r="MD62">
        <v>0</v>
      </c>
      <c r="ME62">
        <v>0</v>
      </c>
      <c r="MF62">
        <v>0</v>
      </c>
      <c r="MG62">
        <v>0</v>
      </c>
      <c r="MH62">
        <v>0</v>
      </c>
      <c r="MI62">
        <v>0</v>
      </c>
      <c r="MJ62">
        <v>0</v>
      </c>
      <c r="MK62">
        <v>0</v>
      </c>
      <c r="ML62">
        <v>0</v>
      </c>
      <c r="MM62">
        <v>0</v>
      </c>
      <c r="MN62">
        <v>0</v>
      </c>
      <c r="MO62">
        <v>0</v>
      </c>
      <c r="MP62">
        <v>0</v>
      </c>
      <c r="MQ62">
        <v>0</v>
      </c>
      <c r="MR62">
        <v>0</v>
      </c>
      <c r="MS62">
        <v>0</v>
      </c>
      <c r="MT62">
        <v>0</v>
      </c>
      <c r="MU62">
        <v>0</v>
      </c>
      <c r="MV62">
        <v>0</v>
      </c>
      <c r="MW62">
        <v>0</v>
      </c>
      <c r="MX62">
        <v>0</v>
      </c>
      <c r="MY62">
        <v>0</v>
      </c>
      <c r="MZ62">
        <v>0</v>
      </c>
      <c r="NA62">
        <v>0</v>
      </c>
      <c r="NB62">
        <v>0</v>
      </c>
      <c r="NC62">
        <v>0</v>
      </c>
      <c r="ND62">
        <v>0</v>
      </c>
      <c r="NE62">
        <v>0</v>
      </c>
    </row>
    <row r="63" spans="5:369" x14ac:dyDescent="0.45">
      <c r="AO63" t="str">
        <v>A160</v>
      </c>
      <c r="AP63" t="str">
        <v>MUHAMMED AYAAN</v>
      </c>
      <c r="AQ63" t="str">
        <v>JARF</v>
      </c>
      <c r="AR63" t="str">
        <v>SUB JUNIOR</v>
      </c>
      <c r="AS63">
        <v>2</v>
      </c>
      <c r="AT63">
        <v>10</v>
      </c>
      <c r="AU63">
        <v>0</v>
      </c>
      <c r="AV63">
        <v>10</v>
      </c>
      <c r="AW63">
        <v>10</v>
      </c>
      <c r="AX63">
        <v>131</v>
      </c>
      <c r="AY63" s="5">
        <v>131</v>
      </c>
      <c r="AZ63" t="str">
        <v>JN18</v>
      </c>
      <c r="BA63" t="str">
        <v>POEM URD</v>
      </c>
      <c r="BB63" t="str">
        <v>JUNIOR</v>
      </c>
      <c r="BC63" t="str">
        <v>Single</v>
      </c>
      <c r="BD63" t="str">
        <v>Non-Stg</v>
      </c>
      <c r="BE63">
        <v>3</v>
      </c>
      <c r="BF63" t="str">
        <v>Individual</v>
      </c>
      <c r="BG63" t="str">
        <v>Individual</v>
      </c>
      <c r="BH63" t="str">
        <v>P</v>
      </c>
      <c r="BI63" t="str">
        <v>PUBLISHED</v>
      </c>
      <c r="BK63">
        <v>57</v>
      </c>
      <c r="BL63" t="str">
        <v>JN14</v>
      </c>
      <c r="BM63" t="str">
        <v>PAINTING</v>
      </c>
      <c r="BN63">
        <v>2</v>
      </c>
      <c r="BO63" t="str">
        <v>Single</v>
      </c>
      <c r="BP63" t="str">
        <v>Non-Stg</v>
      </c>
      <c r="BQ63" t="str">
        <v>JUNIOR</v>
      </c>
      <c r="BR63" t="str">
        <v>B115</v>
      </c>
      <c r="BS63" t="str">
        <v>B145</v>
      </c>
      <c r="BT63">
        <v>0</v>
      </c>
      <c r="BU63">
        <v>0</v>
      </c>
      <c r="BV63">
        <v>0</v>
      </c>
      <c r="BW63">
        <v>0</v>
      </c>
      <c r="BX63">
        <v>0</v>
      </c>
      <c r="BY63" t="str">
        <v>B132</v>
      </c>
      <c r="BZ63" t="str">
        <v>B161</v>
      </c>
      <c r="CA63">
        <v>0</v>
      </c>
      <c r="CB63">
        <v>0</v>
      </c>
      <c r="CC63">
        <v>0</v>
      </c>
      <c r="CD63">
        <v>0</v>
      </c>
      <c r="CE63">
        <v>0</v>
      </c>
      <c r="CF63" t="str">
        <v>B106</v>
      </c>
      <c r="CG63" t="str">
        <v>B164</v>
      </c>
      <c r="CH63">
        <v>0</v>
      </c>
      <c r="CI63">
        <v>0</v>
      </c>
      <c r="CJ63">
        <v>0</v>
      </c>
      <c r="CK63">
        <v>0</v>
      </c>
      <c r="CL63">
        <v>0</v>
      </c>
      <c r="CM63" t="str">
        <v>B107</v>
      </c>
      <c r="CN63" t="str">
        <v>B148</v>
      </c>
      <c r="CO63">
        <v>0</v>
      </c>
      <c r="CP63">
        <v>0</v>
      </c>
      <c r="CQ63">
        <v>0</v>
      </c>
      <c r="CR63">
        <v>0</v>
      </c>
      <c r="CS63">
        <v>0</v>
      </c>
      <c r="CT63">
        <v>0</v>
      </c>
      <c r="CU63">
        <v>0</v>
      </c>
      <c r="CV63">
        <v>0</v>
      </c>
      <c r="CW63">
        <v>0</v>
      </c>
      <c r="CX63">
        <v>0</v>
      </c>
      <c r="CY63">
        <v>0</v>
      </c>
      <c r="CZ63">
        <v>0</v>
      </c>
      <c r="DA63">
        <v>0</v>
      </c>
      <c r="DB63">
        <v>0</v>
      </c>
      <c r="DC63">
        <v>0</v>
      </c>
      <c r="DD63">
        <v>0</v>
      </c>
      <c r="DE63">
        <v>0</v>
      </c>
      <c r="DF63">
        <v>0</v>
      </c>
      <c r="DG63">
        <v>0</v>
      </c>
      <c r="DH63">
        <v>0</v>
      </c>
      <c r="DI63">
        <v>0</v>
      </c>
      <c r="DJ63">
        <v>0</v>
      </c>
      <c r="DK63">
        <v>0</v>
      </c>
      <c r="DL63">
        <v>0</v>
      </c>
      <c r="DM63">
        <v>0</v>
      </c>
      <c r="DN63">
        <v>0</v>
      </c>
      <c r="DO63">
        <v>0</v>
      </c>
      <c r="DP63">
        <v>0</v>
      </c>
      <c r="DQ63">
        <v>0</v>
      </c>
      <c r="DR63">
        <v>0</v>
      </c>
      <c r="DS63">
        <v>0</v>
      </c>
      <c r="DT63">
        <v>0</v>
      </c>
      <c r="DU63">
        <v>0</v>
      </c>
      <c r="DV63">
        <v>0</v>
      </c>
      <c r="DW63">
        <v>0</v>
      </c>
      <c r="DX63">
        <v>0</v>
      </c>
      <c r="DY63">
        <v>0</v>
      </c>
      <c r="DZ63">
        <v>0</v>
      </c>
      <c r="EA63">
        <v>0</v>
      </c>
      <c r="EB63">
        <v>0</v>
      </c>
      <c r="EC63">
        <v>0</v>
      </c>
      <c r="ED63">
        <v>0</v>
      </c>
      <c r="EE63">
        <v>0</v>
      </c>
      <c r="EF63">
        <v>0</v>
      </c>
      <c r="EG63">
        <v>0</v>
      </c>
      <c r="EH63">
        <v>0</v>
      </c>
      <c r="EI63">
        <v>0</v>
      </c>
      <c r="EJ63">
        <v>0</v>
      </c>
      <c r="EK63">
        <v>0</v>
      </c>
      <c r="EL63">
        <v>0</v>
      </c>
      <c r="EM63">
        <v>0</v>
      </c>
      <c r="EN63">
        <v>0</v>
      </c>
      <c r="EO63">
        <v>0</v>
      </c>
      <c r="EP63">
        <v>0</v>
      </c>
      <c r="EQ63">
        <v>0</v>
      </c>
      <c r="ER63">
        <v>0</v>
      </c>
      <c r="ES63">
        <v>0</v>
      </c>
      <c r="ET63">
        <v>0</v>
      </c>
      <c r="EU63">
        <v>0</v>
      </c>
      <c r="EV63">
        <v>0</v>
      </c>
      <c r="EW63">
        <v>0</v>
      </c>
      <c r="EX63">
        <v>0</v>
      </c>
      <c r="EY63">
        <v>0</v>
      </c>
      <c r="EZ63">
        <v>0</v>
      </c>
      <c r="FA63">
        <v>0</v>
      </c>
      <c r="FB63">
        <v>0</v>
      </c>
      <c r="FC63">
        <v>0</v>
      </c>
      <c r="FD63">
        <v>0</v>
      </c>
      <c r="FE63">
        <v>0</v>
      </c>
      <c r="FF63">
        <v>0</v>
      </c>
      <c r="FG63">
        <v>0</v>
      </c>
      <c r="FH63">
        <v>0</v>
      </c>
      <c r="FI63">
        <v>0</v>
      </c>
      <c r="FJ63">
        <v>0</v>
      </c>
      <c r="FK63">
        <v>0</v>
      </c>
      <c r="FL63">
        <v>0</v>
      </c>
      <c r="FM63">
        <v>0</v>
      </c>
      <c r="FN63">
        <v>0</v>
      </c>
      <c r="FO63">
        <v>0</v>
      </c>
      <c r="FP63">
        <v>0</v>
      </c>
      <c r="FQ63">
        <v>0</v>
      </c>
      <c r="FR63">
        <v>0</v>
      </c>
      <c r="FS63">
        <v>0</v>
      </c>
      <c r="FT63">
        <v>0</v>
      </c>
      <c r="FU63">
        <v>0</v>
      </c>
      <c r="FV63">
        <v>0</v>
      </c>
      <c r="FW63">
        <v>0</v>
      </c>
      <c r="FX63">
        <v>0</v>
      </c>
      <c r="FY63">
        <v>0</v>
      </c>
      <c r="FZ63">
        <v>0</v>
      </c>
      <c r="GA63">
        <v>0</v>
      </c>
      <c r="GB63">
        <v>0</v>
      </c>
      <c r="GC63">
        <v>0</v>
      </c>
      <c r="GD63">
        <v>0</v>
      </c>
      <c r="GE63">
        <v>0</v>
      </c>
      <c r="GF63">
        <v>0</v>
      </c>
      <c r="GG63">
        <v>0</v>
      </c>
      <c r="GH63">
        <v>0</v>
      </c>
      <c r="GI63">
        <v>0</v>
      </c>
      <c r="GJ63">
        <v>0</v>
      </c>
      <c r="GK63">
        <v>0</v>
      </c>
      <c r="GL63">
        <v>0</v>
      </c>
      <c r="GM63">
        <v>0</v>
      </c>
      <c r="GN63">
        <v>0</v>
      </c>
      <c r="GO63">
        <v>0</v>
      </c>
      <c r="GP63">
        <v>0</v>
      </c>
      <c r="GQ63">
        <v>0</v>
      </c>
      <c r="GR63">
        <v>0</v>
      </c>
      <c r="GS63">
        <v>0</v>
      </c>
      <c r="GT63">
        <v>0</v>
      </c>
      <c r="GU63">
        <v>0</v>
      </c>
      <c r="GV63">
        <v>0</v>
      </c>
      <c r="GW63">
        <v>0</v>
      </c>
      <c r="GX63">
        <v>0</v>
      </c>
      <c r="GY63">
        <v>0</v>
      </c>
      <c r="GZ63">
        <v>0</v>
      </c>
      <c r="HA63">
        <v>0</v>
      </c>
      <c r="HB63">
        <v>0</v>
      </c>
      <c r="HC63">
        <v>0</v>
      </c>
      <c r="HD63">
        <v>0</v>
      </c>
      <c r="HE63">
        <v>0</v>
      </c>
      <c r="HF63">
        <v>0</v>
      </c>
      <c r="HG63">
        <v>0</v>
      </c>
      <c r="HH63">
        <v>0</v>
      </c>
      <c r="HI63">
        <v>0</v>
      </c>
      <c r="HJ63">
        <v>0</v>
      </c>
      <c r="HK63">
        <v>0</v>
      </c>
      <c r="HL63">
        <v>0</v>
      </c>
      <c r="HM63">
        <v>0</v>
      </c>
      <c r="HN63">
        <v>0</v>
      </c>
      <c r="HO63">
        <v>0</v>
      </c>
      <c r="HP63">
        <v>0</v>
      </c>
      <c r="HQ63">
        <v>0</v>
      </c>
      <c r="HR63">
        <v>0</v>
      </c>
      <c r="HS63">
        <v>0</v>
      </c>
      <c r="HT63">
        <v>0</v>
      </c>
      <c r="HU63">
        <v>0</v>
      </c>
      <c r="HV63">
        <v>0</v>
      </c>
      <c r="HW63">
        <v>0</v>
      </c>
      <c r="HX63">
        <v>0</v>
      </c>
      <c r="HY63">
        <v>0</v>
      </c>
      <c r="HZ63">
        <v>0</v>
      </c>
      <c r="IA63">
        <v>0</v>
      </c>
      <c r="IB63">
        <v>0</v>
      </c>
      <c r="IC63">
        <v>0</v>
      </c>
      <c r="ID63">
        <v>0</v>
      </c>
      <c r="IE63">
        <v>0</v>
      </c>
      <c r="IF63">
        <v>0</v>
      </c>
      <c r="IG63">
        <v>0</v>
      </c>
      <c r="IH63">
        <v>0</v>
      </c>
      <c r="II63">
        <v>0</v>
      </c>
      <c r="IJ63">
        <v>0</v>
      </c>
      <c r="IK63">
        <v>0</v>
      </c>
      <c r="IL63">
        <v>0</v>
      </c>
      <c r="IM63">
        <v>0</v>
      </c>
      <c r="IN63">
        <v>0</v>
      </c>
      <c r="IO63">
        <v>0</v>
      </c>
      <c r="IP63">
        <v>0</v>
      </c>
      <c r="IQ63">
        <v>0</v>
      </c>
      <c r="IR63">
        <v>0</v>
      </c>
      <c r="IS63">
        <v>0</v>
      </c>
      <c r="IT63">
        <v>0</v>
      </c>
      <c r="IU63">
        <v>0</v>
      </c>
      <c r="IV63">
        <v>0</v>
      </c>
      <c r="IW63">
        <v>0</v>
      </c>
      <c r="IX63">
        <v>0</v>
      </c>
      <c r="IY63">
        <v>0</v>
      </c>
      <c r="IZ63">
        <v>0</v>
      </c>
      <c r="JA63">
        <v>0</v>
      </c>
      <c r="JB63">
        <v>0</v>
      </c>
      <c r="JC63">
        <v>0</v>
      </c>
      <c r="JD63">
        <v>0</v>
      </c>
      <c r="JE63">
        <v>0</v>
      </c>
      <c r="JF63">
        <v>0</v>
      </c>
      <c r="JG63">
        <v>0</v>
      </c>
      <c r="JH63">
        <v>0</v>
      </c>
      <c r="JI63">
        <v>0</v>
      </c>
      <c r="JJ63">
        <v>0</v>
      </c>
      <c r="JK63">
        <v>0</v>
      </c>
      <c r="JL63">
        <v>0</v>
      </c>
      <c r="JM63">
        <v>0</v>
      </c>
      <c r="JN63">
        <v>0</v>
      </c>
      <c r="JO63">
        <v>0</v>
      </c>
      <c r="JP63">
        <v>0</v>
      </c>
      <c r="JQ63">
        <v>0</v>
      </c>
      <c r="JR63">
        <v>0</v>
      </c>
      <c r="JS63">
        <v>0</v>
      </c>
      <c r="JT63">
        <v>0</v>
      </c>
      <c r="JU63">
        <v>0</v>
      </c>
      <c r="JV63">
        <v>0</v>
      </c>
      <c r="JW63">
        <v>0</v>
      </c>
      <c r="JX63">
        <v>0</v>
      </c>
      <c r="JY63">
        <v>0</v>
      </c>
      <c r="JZ63">
        <v>0</v>
      </c>
      <c r="KA63">
        <v>0</v>
      </c>
      <c r="KB63">
        <v>0</v>
      </c>
      <c r="KC63">
        <v>0</v>
      </c>
      <c r="KD63">
        <v>0</v>
      </c>
      <c r="KE63">
        <v>0</v>
      </c>
      <c r="KF63">
        <v>0</v>
      </c>
      <c r="KG63">
        <v>0</v>
      </c>
      <c r="KH63">
        <v>0</v>
      </c>
      <c r="KI63">
        <v>0</v>
      </c>
      <c r="KJ63">
        <v>0</v>
      </c>
      <c r="KK63">
        <v>0</v>
      </c>
      <c r="KL63">
        <v>0</v>
      </c>
      <c r="KM63">
        <v>0</v>
      </c>
      <c r="KN63">
        <v>0</v>
      </c>
      <c r="KO63">
        <v>0</v>
      </c>
      <c r="KP63">
        <v>0</v>
      </c>
      <c r="KQ63">
        <v>0</v>
      </c>
      <c r="KR63">
        <v>0</v>
      </c>
      <c r="KS63">
        <v>0</v>
      </c>
      <c r="KT63">
        <v>0</v>
      </c>
      <c r="KU63">
        <v>0</v>
      </c>
      <c r="KV63">
        <v>0</v>
      </c>
      <c r="KW63">
        <v>0</v>
      </c>
      <c r="KX63">
        <v>0</v>
      </c>
      <c r="KY63">
        <v>0</v>
      </c>
      <c r="KZ63">
        <v>0</v>
      </c>
      <c r="LA63">
        <v>0</v>
      </c>
      <c r="LB63">
        <v>0</v>
      </c>
      <c r="LC63">
        <v>0</v>
      </c>
      <c r="LD63">
        <v>0</v>
      </c>
      <c r="LE63">
        <v>0</v>
      </c>
      <c r="LF63">
        <v>0</v>
      </c>
      <c r="LG63">
        <v>0</v>
      </c>
      <c r="LH63">
        <v>0</v>
      </c>
      <c r="LI63">
        <v>0</v>
      </c>
      <c r="LJ63">
        <v>0</v>
      </c>
      <c r="LK63">
        <v>0</v>
      </c>
      <c r="LL63">
        <v>0</v>
      </c>
      <c r="LM63">
        <v>0</v>
      </c>
      <c r="LN63">
        <v>0</v>
      </c>
      <c r="LO63">
        <v>0</v>
      </c>
      <c r="LP63">
        <v>0</v>
      </c>
      <c r="LQ63">
        <v>0</v>
      </c>
      <c r="LR63">
        <v>0</v>
      </c>
      <c r="LS63">
        <v>0</v>
      </c>
      <c r="LT63">
        <v>0</v>
      </c>
      <c r="LU63">
        <v>0</v>
      </c>
      <c r="LV63">
        <v>0</v>
      </c>
      <c r="LW63">
        <v>0</v>
      </c>
      <c r="LX63">
        <v>0</v>
      </c>
      <c r="LY63">
        <v>0</v>
      </c>
      <c r="LZ63">
        <v>0</v>
      </c>
      <c r="MA63">
        <v>0</v>
      </c>
      <c r="MB63">
        <v>0</v>
      </c>
      <c r="MC63">
        <v>0</v>
      </c>
      <c r="MD63">
        <v>0</v>
      </c>
      <c r="ME63">
        <v>0</v>
      </c>
      <c r="MF63">
        <v>0</v>
      </c>
      <c r="MG63">
        <v>0</v>
      </c>
      <c r="MH63">
        <v>0</v>
      </c>
      <c r="MI63">
        <v>0</v>
      </c>
      <c r="MJ63">
        <v>0</v>
      </c>
      <c r="MK63">
        <v>0</v>
      </c>
      <c r="ML63">
        <v>0</v>
      </c>
      <c r="MM63">
        <v>0</v>
      </c>
      <c r="MN63">
        <v>0</v>
      </c>
      <c r="MO63">
        <v>0</v>
      </c>
      <c r="MP63">
        <v>0</v>
      </c>
      <c r="MQ63">
        <v>0</v>
      </c>
      <c r="MR63">
        <v>0</v>
      </c>
      <c r="MS63">
        <v>0</v>
      </c>
      <c r="MT63">
        <v>0</v>
      </c>
      <c r="MU63">
        <v>0</v>
      </c>
      <c r="MV63">
        <v>0</v>
      </c>
      <c r="MW63">
        <v>0</v>
      </c>
      <c r="MX63">
        <v>0</v>
      </c>
      <c r="MY63">
        <v>0</v>
      </c>
      <c r="MZ63">
        <v>0</v>
      </c>
      <c r="NA63">
        <v>0</v>
      </c>
      <c r="NB63">
        <v>0</v>
      </c>
      <c r="NC63">
        <v>0</v>
      </c>
      <c r="ND63">
        <v>0</v>
      </c>
      <c r="NE63">
        <v>0</v>
      </c>
    </row>
    <row r="64" spans="5:369" x14ac:dyDescent="0.45">
      <c r="AO64" t="str">
        <v>A161</v>
      </c>
      <c r="AP64" t="str">
        <v>MUHAMMED FAHAD</v>
      </c>
      <c r="AQ64" t="str">
        <v>FANT</v>
      </c>
      <c r="AR64" t="str">
        <v>SUB JUNIOR</v>
      </c>
      <c r="AS64">
        <v>2</v>
      </c>
      <c r="AT64">
        <v>55.5</v>
      </c>
      <c r="AU64">
        <v>0</v>
      </c>
      <c r="AV64">
        <v>55.5</v>
      </c>
      <c r="AW64">
        <v>55.5</v>
      </c>
      <c r="AX64">
        <v>7</v>
      </c>
      <c r="AY64" s="5">
        <v>7</v>
      </c>
      <c r="AZ64" t="str">
        <v>JN19</v>
      </c>
      <c r="BA64" t="str">
        <v>POSTER DESIGNING DIGITAL</v>
      </c>
      <c r="BB64" t="str">
        <v>JUNIOR</v>
      </c>
      <c r="BC64" t="str">
        <v>Single</v>
      </c>
      <c r="BD64" t="str">
        <v>Non-Stg</v>
      </c>
      <c r="BE64">
        <v>2</v>
      </c>
      <c r="BF64" t="str">
        <v>Individual</v>
      </c>
      <c r="BG64" t="str">
        <v>Individual</v>
      </c>
      <c r="BH64" t="str">
        <v>P</v>
      </c>
      <c r="BI64" t="str">
        <v>PUBLISHED</v>
      </c>
      <c r="BK64">
        <v>58</v>
      </c>
      <c r="BL64" t="str">
        <v>JN15</v>
      </c>
      <c r="BM64" t="str">
        <v>POEM ARB</v>
      </c>
      <c r="BN64">
        <v>3</v>
      </c>
      <c r="BO64" t="str">
        <v>Single</v>
      </c>
      <c r="BP64" t="str">
        <v>Non-Stg</v>
      </c>
      <c r="BQ64" t="str">
        <v>JUNIOR</v>
      </c>
      <c r="BR64" t="str">
        <v>B102</v>
      </c>
      <c r="BS64" t="str">
        <v>B135</v>
      </c>
      <c r="BT64" t="str">
        <v>B145</v>
      </c>
      <c r="BU64">
        <v>0</v>
      </c>
      <c r="BV64">
        <v>0</v>
      </c>
      <c r="BW64">
        <v>0</v>
      </c>
      <c r="BX64">
        <v>0</v>
      </c>
      <c r="BY64" t="str">
        <v>B125</v>
      </c>
      <c r="BZ64" t="str">
        <v>B149</v>
      </c>
      <c r="CA64" t="str">
        <v>B155</v>
      </c>
      <c r="CB64">
        <v>0</v>
      </c>
      <c r="CC64">
        <v>0</v>
      </c>
      <c r="CD64">
        <v>0</v>
      </c>
      <c r="CE64">
        <v>0</v>
      </c>
      <c r="CF64" t="str">
        <v>B100</v>
      </c>
      <c r="CG64" t="str">
        <v>B121</v>
      </c>
      <c r="CH64" t="str">
        <v>B128</v>
      </c>
      <c r="CI64">
        <v>0</v>
      </c>
      <c r="CJ64">
        <v>0</v>
      </c>
      <c r="CK64">
        <v>0</v>
      </c>
      <c r="CL64">
        <v>0</v>
      </c>
      <c r="CM64" t="str">
        <v>B126</v>
      </c>
      <c r="CN64" t="str">
        <v>B160</v>
      </c>
      <c r="CO64" t="str">
        <v>B163</v>
      </c>
      <c r="CP64">
        <v>0</v>
      </c>
      <c r="CQ64">
        <v>0</v>
      </c>
      <c r="CR64">
        <v>0</v>
      </c>
      <c r="CS64">
        <v>0</v>
      </c>
      <c r="CT64">
        <v>0</v>
      </c>
      <c r="CU64">
        <v>0</v>
      </c>
      <c r="CV64">
        <v>0</v>
      </c>
      <c r="CW64">
        <v>0</v>
      </c>
      <c r="CX64">
        <v>0</v>
      </c>
      <c r="CY64">
        <v>0</v>
      </c>
      <c r="CZ64">
        <v>0</v>
      </c>
      <c r="DA64">
        <v>0</v>
      </c>
      <c r="DB64">
        <v>0</v>
      </c>
      <c r="DC64">
        <v>0</v>
      </c>
      <c r="DD64">
        <v>0</v>
      </c>
      <c r="DE64">
        <v>0</v>
      </c>
      <c r="DF64">
        <v>0</v>
      </c>
      <c r="DG64">
        <v>0</v>
      </c>
      <c r="DH64">
        <v>0</v>
      </c>
      <c r="DI64">
        <v>0</v>
      </c>
      <c r="DJ64">
        <v>0</v>
      </c>
      <c r="DK64">
        <v>0</v>
      </c>
      <c r="DL64">
        <v>0</v>
      </c>
      <c r="DM64">
        <v>0</v>
      </c>
      <c r="DN64">
        <v>0</v>
      </c>
      <c r="DO64">
        <v>0</v>
      </c>
      <c r="DP64">
        <v>0</v>
      </c>
      <c r="DQ64">
        <v>0</v>
      </c>
      <c r="DR64">
        <v>0</v>
      </c>
      <c r="DS64">
        <v>0</v>
      </c>
      <c r="DT64">
        <v>0</v>
      </c>
      <c r="DU64">
        <v>0</v>
      </c>
      <c r="DV64">
        <v>0</v>
      </c>
      <c r="DW64">
        <v>0</v>
      </c>
      <c r="DX64">
        <v>0</v>
      </c>
      <c r="DY64">
        <v>0</v>
      </c>
      <c r="DZ64">
        <v>0</v>
      </c>
      <c r="EA64">
        <v>0</v>
      </c>
      <c r="EB64">
        <v>0</v>
      </c>
      <c r="EC64">
        <v>0</v>
      </c>
      <c r="ED64">
        <v>0</v>
      </c>
      <c r="EE64">
        <v>0</v>
      </c>
      <c r="EF64">
        <v>0</v>
      </c>
      <c r="EG64">
        <v>0</v>
      </c>
      <c r="EH64">
        <v>0</v>
      </c>
      <c r="EI64">
        <v>0</v>
      </c>
      <c r="EJ64">
        <v>0</v>
      </c>
      <c r="EK64">
        <v>0</v>
      </c>
      <c r="EL64">
        <v>0</v>
      </c>
      <c r="EM64">
        <v>0</v>
      </c>
      <c r="EN64">
        <v>0</v>
      </c>
      <c r="EO64">
        <v>0</v>
      </c>
      <c r="EP64">
        <v>0</v>
      </c>
      <c r="EQ64">
        <v>0</v>
      </c>
      <c r="ER64">
        <v>0</v>
      </c>
      <c r="ES64">
        <v>0</v>
      </c>
      <c r="ET64">
        <v>0</v>
      </c>
      <c r="EU64">
        <v>0</v>
      </c>
      <c r="EV64">
        <v>0</v>
      </c>
      <c r="EW64">
        <v>0</v>
      </c>
      <c r="EX64">
        <v>0</v>
      </c>
      <c r="EY64">
        <v>0</v>
      </c>
      <c r="EZ64">
        <v>0</v>
      </c>
      <c r="FA64">
        <v>0</v>
      </c>
      <c r="FB64">
        <v>0</v>
      </c>
      <c r="FC64">
        <v>0</v>
      </c>
      <c r="FD64">
        <v>0</v>
      </c>
      <c r="FE64">
        <v>0</v>
      </c>
      <c r="FF64">
        <v>0</v>
      </c>
      <c r="FG64">
        <v>0</v>
      </c>
      <c r="FH64">
        <v>0</v>
      </c>
      <c r="FI64">
        <v>0</v>
      </c>
      <c r="FJ64">
        <v>0</v>
      </c>
      <c r="FK64">
        <v>0</v>
      </c>
      <c r="FL64">
        <v>0</v>
      </c>
      <c r="FM64">
        <v>0</v>
      </c>
      <c r="FN64">
        <v>0</v>
      </c>
      <c r="FO64">
        <v>0</v>
      </c>
      <c r="FP64">
        <v>0</v>
      </c>
      <c r="FQ64">
        <v>0</v>
      </c>
      <c r="FR64">
        <v>0</v>
      </c>
      <c r="FS64">
        <v>0</v>
      </c>
      <c r="FT64">
        <v>0</v>
      </c>
      <c r="FU64">
        <v>0</v>
      </c>
      <c r="FV64">
        <v>0</v>
      </c>
      <c r="FW64">
        <v>0</v>
      </c>
      <c r="FX64">
        <v>0</v>
      </c>
      <c r="FY64">
        <v>0</v>
      </c>
      <c r="FZ64">
        <v>0</v>
      </c>
      <c r="GA64">
        <v>0</v>
      </c>
      <c r="GB64">
        <v>0</v>
      </c>
      <c r="GC64">
        <v>0</v>
      </c>
      <c r="GD64">
        <v>0</v>
      </c>
      <c r="GE64">
        <v>0</v>
      </c>
      <c r="GF64">
        <v>0</v>
      </c>
      <c r="GG64">
        <v>0</v>
      </c>
      <c r="GH64">
        <v>0</v>
      </c>
      <c r="GI64">
        <v>0</v>
      </c>
      <c r="GJ64">
        <v>0</v>
      </c>
      <c r="GK64">
        <v>0</v>
      </c>
      <c r="GL64">
        <v>0</v>
      </c>
      <c r="GM64">
        <v>0</v>
      </c>
      <c r="GN64">
        <v>0</v>
      </c>
      <c r="GO64">
        <v>0</v>
      </c>
      <c r="GP64">
        <v>0</v>
      </c>
      <c r="GQ64">
        <v>0</v>
      </c>
      <c r="GR64">
        <v>0</v>
      </c>
      <c r="GS64">
        <v>0</v>
      </c>
      <c r="GT64">
        <v>0</v>
      </c>
      <c r="GU64">
        <v>0</v>
      </c>
      <c r="GV64">
        <v>0</v>
      </c>
      <c r="GW64">
        <v>0</v>
      </c>
      <c r="GX64">
        <v>0</v>
      </c>
      <c r="GY64">
        <v>0</v>
      </c>
      <c r="GZ64">
        <v>0</v>
      </c>
      <c r="HA64">
        <v>0</v>
      </c>
      <c r="HB64">
        <v>0</v>
      </c>
      <c r="HC64">
        <v>0</v>
      </c>
      <c r="HD64">
        <v>0</v>
      </c>
      <c r="HE64">
        <v>0</v>
      </c>
      <c r="HF64">
        <v>0</v>
      </c>
      <c r="HG64">
        <v>0</v>
      </c>
      <c r="HH64">
        <v>0</v>
      </c>
      <c r="HI64">
        <v>0</v>
      </c>
      <c r="HJ64">
        <v>0</v>
      </c>
      <c r="HK64">
        <v>0</v>
      </c>
      <c r="HL64">
        <v>0</v>
      </c>
      <c r="HM64">
        <v>0</v>
      </c>
      <c r="HN64">
        <v>0</v>
      </c>
      <c r="HO64">
        <v>0</v>
      </c>
      <c r="HP64">
        <v>0</v>
      </c>
      <c r="HQ64">
        <v>0</v>
      </c>
      <c r="HR64">
        <v>0</v>
      </c>
      <c r="HS64">
        <v>0</v>
      </c>
      <c r="HT64">
        <v>0</v>
      </c>
      <c r="HU64">
        <v>0</v>
      </c>
      <c r="HV64">
        <v>0</v>
      </c>
      <c r="HW64">
        <v>0</v>
      </c>
      <c r="HX64">
        <v>0</v>
      </c>
      <c r="HY64">
        <v>0</v>
      </c>
      <c r="HZ64">
        <v>0</v>
      </c>
      <c r="IA64">
        <v>0</v>
      </c>
      <c r="IB64">
        <v>0</v>
      </c>
      <c r="IC64">
        <v>0</v>
      </c>
      <c r="ID64">
        <v>0</v>
      </c>
      <c r="IE64">
        <v>0</v>
      </c>
      <c r="IF64">
        <v>0</v>
      </c>
      <c r="IG64">
        <v>0</v>
      </c>
      <c r="IH64">
        <v>0</v>
      </c>
      <c r="II64">
        <v>0</v>
      </c>
      <c r="IJ64">
        <v>0</v>
      </c>
      <c r="IK64">
        <v>0</v>
      </c>
      <c r="IL64">
        <v>0</v>
      </c>
      <c r="IM64">
        <v>0</v>
      </c>
      <c r="IN64">
        <v>0</v>
      </c>
      <c r="IO64">
        <v>0</v>
      </c>
      <c r="IP64">
        <v>0</v>
      </c>
      <c r="IQ64">
        <v>0</v>
      </c>
      <c r="IR64">
        <v>0</v>
      </c>
      <c r="IS64">
        <v>0</v>
      </c>
      <c r="IT64">
        <v>0</v>
      </c>
      <c r="IU64">
        <v>0</v>
      </c>
      <c r="IV64">
        <v>0</v>
      </c>
      <c r="IW64">
        <v>0</v>
      </c>
      <c r="IX64">
        <v>0</v>
      </c>
      <c r="IY64">
        <v>0</v>
      </c>
      <c r="IZ64">
        <v>0</v>
      </c>
      <c r="JA64">
        <v>0</v>
      </c>
      <c r="JB64">
        <v>0</v>
      </c>
      <c r="JC64">
        <v>0</v>
      </c>
      <c r="JD64">
        <v>0</v>
      </c>
      <c r="JE64">
        <v>0</v>
      </c>
      <c r="JF64">
        <v>0</v>
      </c>
      <c r="JG64">
        <v>0</v>
      </c>
      <c r="JH64">
        <v>0</v>
      </c>
      <c r="JI64">
        <v>0</v>
      </c>
      <c r="JJ64">
        <v>0</v>
      </c>
      <c r="JK64">
        <v>0</v>
      </c>
      <c r="JL64">
        <v>0</v>
      </c>
      <c r="JM64">
        <v>0</v>
      </c>
      <c r="JN64">
        <v>0</v>
      </c>
      <c r="JO64">
        <v>0</v>
      </c>
      <c r="JP64">
        <v>0</v>
      </c>
      <c r="JQ64">
        <v>0</v>
      </c>
      <c r="JR64">
        <v>0</v>
      </c>
      <c r="JS64">
        <v>0</v>
      </c>
      <c r="JT64">
        <v>0</v>
      </c>
      <c r="JU64">
        <v>0</v>
      </c>
      <c r="JV64">
        <v>0</v>
      </c>
      <c r="JW64">
        <v>0</v>
      </c>
      <c r="JX64">
        <v>0</v>
      </c>
      <c r="JY64">
        <v>0</v>
      </c>
      <c r="JZ64">
        <v>0</v>
      </c>
      <c r="KA64">
        <v>0</v>
      </c>
      <c r="KB64">
        <v>0</v>
      </c>
      <c r="KC64">
        <v>0</v>
      </c>
      <c r="KD64">
        <v>0</v>
      </c>
      <c r="KE64">
        <v>0</v>
      </c>
      <c r="KF64">
        <v>0</v>
      </c>
      <c r="KG64">
        <v>0</v>
      </c>
      <c r="KH64">
        <v>0</v>
      </c>
      <c r="KI64">
        <v>0</v>
      </c>
      <c r="KJ64">
        <v>0</v>
      </c>
      <c r="KK64">
        <v>0</v>
      </c>
      <c r="KL64">
        <v>0</v>
      </c>
      <c r="KM64">
        <v>0</v>
      </c>
      <c r="KN64">
        <v>0</v>
      </c>
      <c r="KO64">
        <v>0</v>
      </c>
      <c r="KP64">
        <v>0</v>
      </c>
      <c r="KQ64">
        <v>0</v>
      </c>
      <c r="KR64">
        <v>0</v>
      </c>
      <c r="KS64">
        <v>0</v>
      </c>
      <c r="KT64">
        <v>0</v>
      </c>
      <c r="KU64">
        <v>0</v>
      </c>
      <c r="KV64">
        <v>0</v>
      </c>
      <c r="KW64">
        <v>0</v>
      </c>
      <c r="KX64">
        <v>0</v>
      </c>
      <c r="KY64">
        <v>0</v>
      </c>
      <c r="KZ64">
        <v>0</v>
      </c>
      <c r="LA64">
        <v>0</v>
      </c>
      <c r="LB64">
        <v>0</v>
      </c>
      <c r="LC64">
        <v>0</v>
      </c>
      <c r="LD64">
        <v>0</v>
      </c>
      <c r="LE64">
        <v>0</v>
      </c>
      <c r="LF64">
        <v>0</v>
      </c>
      <c r="LG64">
        <v>0</v>
      </c>
      <c r="LH64">
        <v>0</v>
      </c>
      <c r="LI64">
        <v>0</v>
      </c>
      <c r="LJ64">
        <v>0</v>
      </c>
      <c r="LK64">
        <v>0</v>
      </c>
      <c r="LL64">
        <v>0</v>
      </c>
      <c r="LM64">
        <v>0</v>
      </c>
      <c r="LN64">
        <v>0</v>
      </c>
      <c r="LO64">
        <v>0</v>
      </c>
      <c r="LP64">
        <v>0</v>
      </c>
      <c r="LQ64">
        <v>0</v>
      </c>
      <c r="LR64">
        <v>0</v>
      </c>
      <c r="LS64">
        <v>0</v>
      </c>
      <c r="LT64">
        <v>0</v>
      </c>
      <c r="LU64">
        <v>0</v>
      </c>
      <c r="LV64">
        <v>0</v>
      </c>
      <c r="LW64">
        <v>0</v>
      </c>
      <c r="LX64">
        <v>0</v>
      </c>
      <c r="LY64">
        <v>0</v>
      </c>
      <c r="LZ64">
        <v>0</v>
      </c>
      <c r="MA64">
        <v>0</v>
      </c>
      <c r="MB64">
        <v>0</v>
      </c>
      <c r="MC64">
        <v>0</v>
      </c>
      <c r="MD64">
        <v>0</v>
      </c>
      <c r="ME64">
        <v>0</v>
      </c>
      <c r="MF64">
        <v>0</v>
      </c>
      <c r="MG64">
        <v>0</v>
      </c>
      <c r="MH64">
        <v>0</v>
      </c>
      <c r="MI64">
        <v>0</v>
      </c>
      <c r="MJ64">
        <v>0</v>
      </c>
      <c r="MK64">
        <v>0</v>
      </c>
      <c r="ML64">
        <v>0</v>
      </c>
      <c r="MM64">
        <v>0</v>
      </c>
      <c r="MN64">
        <v>0</v>
      </c>
      <c r="MO64">
        <v>0</v>
      </c>
      <c r="MP64">
        <v>0</v>
      </c>
      <c r="MQ64">
        <v>0</v>
      </c>
      <c r="MR64">
        <v>0</v>
      </c>
      <c r="MS64">
        <v>0</v>
      </c>
      <c r="MT64">
        <v>0</v>
      </c>
      <c r="MU64">
        <v>0</v>
      </c>
      <c r="MV64">
        <v>0</v>
      </c>
      <c r="MW64">
        <v>0</v>
      </c>
      <c r="MX64">
        <v>0</v>
      </c>
      <c r="MY64">
        <v>0</v>
      </c>
      <c r="MZ64">
        <v>0</v>
      </c>
      <c r="NA64">
        <v>0</v>
      </c>
      <c r="NB64">
        <v>0</v>
      </c>
      <c r="NC64">
        <v>0</v>
      </c>
      <c r="ND64">
        <v>0</v>
      </c>
      <c r="NE64">
        <v>0</v>
      </c>
    </row>
    <row r="65" spans="41:369" x14ac:dyDescent="0.45">
      <c r="AO65" t="str">
        <v>A162</v>
      </c>
      <c r="AP65" t="str">
        <v>MUHAMMED FAREED A S</v>
      </c>
      <c r="AQ65" t="str">
        <v>FANT</v>
      </c>
      <c r="AR65" t="str">
        <v>SUB JUNIOR</v>
      </c>
      <c r="AS65">
        <v>2</v>
      </c>
      <c r="AT65">
        <v>20</v>
      </c>
      <c r="AU65">
        <v>0</v>
      </c>
      <c r="AV65">
        <v>20</v>
      </c>
      <c r="AW65">
        <v>20</v>
      </c>
      <c r="AX65">
        <v>74</v>
      </c>
      <c r="AY65" s="5">
        <v>74</v>
      </c>
      <c r="AZ65" t="str">
        <v>JN20</v>
      </c>
      <c r="BA65" t="str">
        <v>QIRĀʾAH</v>
      </c>
      <c r="BB65" t="str">
        <v>JUNIOR</v>
      </c>
      <c r="BC65" t="str">
        <v>Single</v>
      </c>
      <c r="BD65" t="str">
        <v>Non-Stg</v>
      </c>
      <c r="BE65">
        <v>3</v>
      </c>
      <c r="BF65" t="str">
        <v>Individual</v>
      </c>
      <c r="BG65" t="str">
        <v>Individual</v>
      </c>
      <c r="BH65" t="str">
        <v>P</v>
      </c>
      <c r="BI65" t="str">
        <v>PUBLISHED</v>
      </c>
      <c r="BK65">
        <v>59</v>
      </c>
      <c r="BL65" t="str">
        <v>JN16</v>
      </c>
      <c r="BM65" t="str">
        <v>POEM ENG</v>
      </c>
      <c r="BN65">
        <v>3</v>
      </c>
      <c r="BO65" t="str">
        <v>Single</v>
      </c>
      <c r="BP65" t="str">
        <v>Non-Stg</v>
      </c>
      <c r="BQ65" t="str">
        <v>JUNIOR</v>
      </c>
      <c r="BR65" t="str">
        <v>B112</v>
      </c>
      <c r="BS65" t="str">
        <v>B157</v>
      </c>
      <c r="BT65" t="str">
        <v>B115</v>
      </c>
      <c r="BU65">
        <v>0</v>
      </c>
      <c r="BV65">
        <v>0</v>
      </c>
      <c r="BW65">
        <v>0</v>
      </c>
      <c r="BX65">
        <v>0</v>
      </c>
      <c r="BY65" t="str">
        <v>B127</v>
      </c>
      <c r="BZ65" t="str">
        <v>B139</v>
      </c>
      <c r="CA65" t="str">
        <v>B159</v>
      </c>
      <c r="CB65">
        <v>0</v>
      </c>
      <c r="CC65">
        <v>0</v>
      </c>
      <c r="CD65">
        <v>0</v>
      </c>
      <c r="CE65">
        <v>0</v>
      </c>
      <c r="CF65" t="str">
        <v>B113</v>
      </c>
      <c r="CG65" t="str">
        <v>B140</v>
      </c>
      <c r="CH65" t="str">
        <v>B151</v>
      </c>
      <c r="CI65">
        <v>0</v>
      </c>
      <c r="CJ65">
        <v>0</v>
      </c>
      <c r="CK65">
        <v>0</v>
      </c>
      <c r="CL65">
        <v>0</v>
      </c>
      <c r="CM65" t="str">
        <v>B107</v>
      </c>
      <c r="CN65" t="str">
        <v>B118</v>
      </c>
      <c r="CO65" t="str">
        <v>B156</v>
      </c>
      <c r="CP65">
        <v>0</v>
      </c>
      <c r="CQ65">
        <v>0</v>
      </c>
      <c r="CR65">
        <v>0</v>
      </c>
      <c r="CS65">
        <v>0</v>
      </c>
      <c r="CT65">
        <v>0</v>
      </c>
      <c r="CU65">
        <v>0</v>
      </c>
      <c r="CV65">
        <v>0</v>
      </c>
      <c r="CW65">
        <v>0</v>
      </c>
      <c r="CX65">
        <v>0</v>
      </c>
      <c r="CY65">
        <v>0</v>
      </c>
      <c r="CZ65">
        <v>0</v>
      </c>
      <c r="DA65">
        <v>0</v>
      </c>
      <c r="DB65">
        <v>0</v>
      </c>
      <c r="DC65">
        <v>0</v>
      </c>
      <c r="DD65">
        <v>0</v>
      </c>
      <c r="DE65">
        <v>0</v>
      </c>
      <c r="DF65">
        <v>0</v>
      </c>
      <c r="DG65">
        <v>0</v>
      </c>
      <c r="DH65">
        <v>0</v>
      </c>
      <c r="DI65">
        <v>0</v>
      </c>
      <c r="DJ65">
        <v>0</v>
      </c>
      <c r="DK65">
        <v>0</v>
      </c>
      <c r="DL65">
        <v>0</v>
      </c>
      <c r="DM65">
        <v>0</v>
      </c>
      <c r="DN65">
        <v>0</v>
      </c>
      <c r="DO65">
        <v>0</v>
      </c>
      <c r="DP65">
        <v>0</v>
      </c>
      <c r="DQ65">
        <v>0</v>
      </c>
      <c r="DR65">
        <v>0</v>
      </c>
      <c r="DS65">
        <v>0</v>
      </c>
      <c r="DT65">
        <v>0</v>
      </c>
      <c r="DU65">
        <v>0</v>
      </c>
      <c r="DV65">
        <v>0</v>
      </c>
      <c r="DW65">
        <v>0</v>
      </c>
      <c r="DX65">
        <v>0</v>
      </c>
      <c r="DY65">
        <v>0</v>
      </c>
      <c r="DZ65">
        <v>0</v>
      </c>
      <c r="EA65">
        <v>0</v>
      </c>
      <c r="EB65">
        <v>0</v>
      </c>
      <c r="EC65">
        <v>0</v>
      </c>
      <c r="ED65">
        <v>0</v>
      </c>
      <c r="EE65">
        <v>0</v>
      </c>
      <c r="EF65">
        <v>0</v>
      </c>
      <c r="EG65">
        <v>0</v>
      </c>
      <c r="EH65">
        <v>0</v>
      </c>
      <c r="EI65">
        <v>0</v>
      </c>
      <c r="EJ65">
        <v>0</v>
      </c>
      <c r="EK65">
        <v>0</v>
      </c>
      <c r="EL65">
        <v>0</v>
      </c>
      <c r="EM65">
        <v>0</v>
      </c>
      <c r="EN65">
        <v>0</v>
      </c>
      <c r="EO65">
        <v>0</v>
      </c>
      <c r="EP65">
        <v>0</v>
      </c>
      <c r="EQ65">
        <v>0</v>
      </c>
      <c r="ER65">
        <v>0</v>
      </c>
      <c r="ES65">
        <v>0</v>
      </c>
      <c r="ET65">
        <v>0</v>
      </c>
      <c r="EU65">
        <v>0</v>
      </c>
      <c r="EV65">
        <v>0</v>
      </c>
      <c r="EW65">
        <v>0</v>
      </c>
      <c r="EX65">
        <v>0</v>
      </c>
      <c r="EY65">
        <v>0</v>
      </c>
      <c r="EZ65">
        <v>0</v>
      </c>
      <c r="FA65">
        <v>0</v>
      </c>
      <c r="FB65">
        <v>0</v>
      </c>
      <c r="FC65">
        <v>0</v>
      </c>
      <c r="FD65">
        <v>0</v>
      </c>
      <c r="FE65">
        <v>0</v>
      </c>
      <c r="FF65">
        <v>0</v>
      </c>
      <c r="FG65">
        <v>0</v>
      </c>
      <c r="FH65">
        <v>0</v>
      </c>
      <c r="FI65">
        <v>0</v>
      </c>
      <c r="FJ65">
        <v>0</v>
      </c>
      <c r="FK65">
        <v>0</v>
      </c>
      <c r="FL65">
        <v>0</v>
      </c>
      <c r="FM65">
        <v>0</v>
      </c>
      <c r="FN65">
        <v>0</v>
      </c>
      <c r="FO65">
        <v>0</v>
      </c>
      <c r="FP65">
        <v>0</v>
      </c>
      <c r="FQ65">
        <v>0</v>
      </c>
      <c r="FR65">
        <v>0</v>
      </c>
      <c r="FS65">
        <v>0</v>
      </c>
      <c r="FT65">
        <v>0</v>
      </c>
      <c r="FU65">
        <v>0</v>
      </c>
      <c r="FV65">
        <v>0</v>
      </c>
      <c r="FW65">
        <v>0</v>
      </c>
      <c r="FX65">
        <v>0</v>
      </c>
      <c r="FY65">
        <v>0</v>
      </c>
      <c r="FZ65">
        <v>0</v>
      </c>
      <c r="GA65">
        <v>0</v>
      </c>
      <c r="GB65">
        <v>0</v>
      </c>
      <c r="GC65">
        <v>0</v>
      </c>
      <c r="GD65">
        <v>0</v>
      </c>
      <c r="GE65">
        <v>0</v>
      </c>
      <c r="GF65">
        <v>0</v>
      </c>
      <c r="GG65">
        <v>0</v>
      </c>
      <c r="GH65">
        <v>0</v>
      </c>
      <c r="GI65">
        <v>0</v>
      </c>
      <c r="GJ65">
        <v>0</v>
      </c>
      <c r="GK65">
        <v>0</v>
      </c>
      <c r="GL65">
        <v>0</v>
      </c>
      <c r="GM65">
        <v>0</v>
      </c>
      <c r="GN65">
        <v>0</v>
      </c>
      <c r="GO65">
        <v>0</v>
      </c>
      <c r="GP65">
        <v>0</v>
      </c>
      <c r="GQ65">
        <v>0</v>
      </c>
      <c r="GR65">
        <v>0</v>
      </c>
      <c r="GS65">
        <v>0</v>
      </c>
      <c r="GT65">
        <v>0</v>
      </c>
      <c r="GU65">
        <v>0</v>
      </c>
      <c r="GV65">
        <v>0</v>
      </c>
      <c r="GW65">
        <v>0</v>
      </c>
      <c r="GX65">
        <v>0</v>
      </c>
      <c r="GY65">
        <v>0</v>
      </c>
      <c r="GZ65">
        <v>0</v>
      </c>
      <c r="HA65">
        <v>0</v>
      </c>
      <c r="HB65">
        <v>0</v>
      </c>
      <c r="HC65">
        <v>0</v>
      </c>
      <c r="HD65">
        <v>0</v>
      </c>
      <c r="HE65">
        <v>0</v>
      </c>
      <c r="HF65">
        <v>0</v>
      </c>
      <c r="HG65">
        <v>0</v>
      </c>
      <c r="HH65">
        <v>0</v>
      </c>
      <c r="HI65">
        <v>0</v>
      </c>
      <c r="HJ65">
        <v>0</v>
      </c>
      <c r="HK65">
        <v>0</v>
      </c>
      <c r="HL65">
        <v>0</v>
      </c>
      <c r="HM65">
        <v>0</v>
      </c>
      <c r="HN65">
        <v>0</v>
      </c>
      <c r="HO65">
        <v>0</v>
      </c>
      <c r="HP65">
        <v>0</v>
      </c>
      <c r="HQ65">
        <v>0</v>
      </c>
      <c r="HR65">
        <v>0</v>
      </c>
      <c r="HS65">
        <v>0</v>
      </c>
      <c r="HT65">
        <v>0</v>
      </c>
      <c r="HU65">
        <v>0</v>
      </c>
      <c r="HV65">
        <v>0</v>
      </c>
      <c r="HW65">
        <v>0</v>
      </c>
      <c r="HX65">
        <v>0</v>
      </c>
      <c r="HY65">
        <v>0</v>
      </c>
      <c r="HZ65">
        <v>0</v>
      </c>
      <c r="IA65">
        <v>0</v>
      </c>
      <c r="IB65">
        <v>0</v>
      </c>
      <c r="IC65">
        <v>0</v>
      </c>
      <c r="ID65">
        <v>0</v>
      </c>
      <c r="IE65">
        <v>0</v>
      </c>
      <c r="IF65">
        <v>0</v>
      </c>
      <c r="IG65">
        <v>0</v>
      </c>
      <c r="IH65">
        <v>0</v>
      </c>
      <c r="II65">
        <v>0</v>
      </c>
      <c r="IJ65">
        <v>0</v>
      </c>
      <c r="IK65">
        <v>0</v>
      </c>
      <c r="IL65">
        <v>0</v>
      </c>
      <c r="IM65">
        <v>0</v>
      </c>
      <c r="IN65">
        <v>0</v>
      </c>
      <c r="IO65">
        <v>0</v>
      </c>
      <c r="IP65">
        <v>0</v>
      </c>
      <c r="IQ65">
        <v>0</v>
      </c>
      <c r="IR65">
        <v>0</v>
      </c>
      <c r="IS65">
        <v>0</v>
      </c>
      <c r="IT65">
        <v>0</v>
      </c>
      <c r="IU65">
        <v>0</v>
      </c>
      <c r="IV65">
        <v>0</v>
      </c>
      <c r="IW65">
        <v>0</v>
      </c>
      <c r="IX65">
        <v>0</v>
      </c>
      <c r="IY65">
        <v>0</v>
      </c>
      <c r="IZ65">
        <v>0</v>
      </c>
      <c r="JA65">
        <v>0</v>
      </c>
      <c r="JB65">
        <v>0</v>
      </c>
      <c r="JC65">
        <v>0</v>
      </c>
      <c r="JD65">
        <v>0</v>
      </c>
      <c r="JE65">
        <v>0</v>
      </c>
      <c r="JF65">
        <v>0</v>
      </c>
      <c r="JG65">
        <v>0</v>
      </c>
      <c r="JH65">
        <v>0</v>
      </c>
      <c r="JI65">
        <v>0</v>
      </c>
      <c r="JJ65">
        <v>0</v>
      </c>
      <c r="JK65">
        <v>0</v>
      </c>
      <c r="JL65">
        <v>0</v>
      </c>
      <c r="JM65">
        <v>0</v>
      </c>
      <c r="JN65">
        <v>0</v>
      </c>
      <c r="JO65">
        <v>0</v>
      </c>
      <c r="JP65">
        <v>0</v>
      </c>
      <c r="JQ65">
        <v>0</v>
      </c>
      <c r="JR65">
        <v>0</v>
      </c>
      <c r="JS65">
        <v>0</v>
      </c>
      <c r="JT65">
        <v>0</v>
      </c>
      <c r="JU65">
        <v>0</v>
      </c>
      <c r="JV65">
        <v>0</v>
      </c>
      <c r="JW65">
        <v>0</v>
      </c>
      <c r="JX65">
        <v>0</v>
      </c>
      <c r="JY65">
        <v>0</v>
      </c>
      <c r="JZ65">
        <v>0</v>
      </c>
      <c r="KA65">
        <v>0</v>
      </c>
      <c r="KB65">
        <v>0</v>
      </c>
      <c r="KC65">
        <v>0</v>
      </c>
      <c r="KD65">
        <v>0</v>
      </c>
      <c r="KE65">
        <v>0</v>
      </c>
      <c r="KF65">
        <v>0</v>
      </c>
      <c r="KG65">
        <v>0</v>
      </c>
      <c r="KH65">
        <v>0</v>
      </c>
      <c r="KI65">
        <v>0</v>
      </c>
      <c r="KJ65">
        <v>0</v>
      </c>
      <c r="KK65">
        <v>0</v>
      </c>
      <c r="KL65">
        <v>0</v>
      </c>
      <c r="KM65">
        <v>0</v>
      </c>
      <c r="KN65">
        <v>0</v>
      </c>
      <c r="KO65">
        <v>0</v>
      </c>
      <c r="KP65">
        <v>0</v>
      </c>
      <c r="KQ65">
        <v>0</v>
      </c>
      <c r="KR65">
        <v>0</v>
      </c>
      <c r="KS65">
        <v>0</v>
      </c>
      <c r="KT65">
        <v>0</v>
      </c>
      <c r="KU65">
        <v>0</v>
      </c>
      <c r="KV65">
        <v>0</v>
      </c>
      <c r="KW65">
        <v>0</v>
      </c>
      <c r="KX65">
        <v>0</v>
      </c>
      <c r="KY65">
        <v>0</v>
      </c>
      <c r="KZ65">
        <v>0</v>
      </c>
      <c r="LA65">
        <v>0</v>
      </c>
      <c r="LB65">
        <v>0</v>
      </c>
      <c r="LC65">
        <v>0</v>
      </c>
      <c r="LD65">
        <v>0</v>
      </c>
      <c r="LE65">
        <v>0</v>
      </c>
      <c r="LF65">
        <v>0</v>
      </c>
      <c r="LG65">
        <v>0</v>
      </c>
      <c r="LH65">
        <v>0</v>
      </c>
      <c r="LI65">
        <v>0</v>
      </c>
      <c r="LJ65">
        <v>0</v>
      </c>
      <c r="LK65">
        <v>0</v>
      </c>
      <c r="LL65">
        <v>0</v>
      </c>
      <c r="LM65">
        <v>0</v>
      </c>
      <c r="LN65">
        <v>0</v>
      </c>
      <c r="LO65">
        <v>0</v>
      </c>
      <c r="LP65">
        <v>0</v>
      </c>
      <c r="LQ65">
        <v>0</v>
      </c>
      <c r="LR65">
        <v>0</v>
      </c>
      <c r="LS65">
        <v>0</v>
      </c>
      <c r="LT65">
        <v>0</v>
      </c>
      <c r="LU65">
        <v>0</v>
      </c>
      <c r="LV65">
        <v>0</v>
      </c>
      <c r="LW65">
        <v>0</v>
      </c>
      <c r="LX65">
        <v>0</v>
      </c>
      <c r="LY65">
        <v>0</v>
      </c>
      <c r="LZ65">
        <v>0</v>
      </c>
      <c r="MA65">
        <v>0</v>
      </c>
      <c r="MB65">
        <v>0</v>
      </c>
      <c r="MC65">
        <v>0</v>
      </c>
      <c r="MD65">
        <v>0</v>
      </c>
      <c r="ME65">
        <v>0</v>
      </c>
      <c r="MF65">
        <v>0</v>
      </c>
      <c r="MG65">
        <v>0</v>
      </c>
      <c r="MH65">
        <v>0</v>
      </c>
      <c r="MI65">
        <v>0</v>
      </c>
      <c r="MJ65">
        <v>0</v>
      </c>
      <c r="MK65">
        <v>0</v>
      </c>
      <c r="ML65">
        <v>0</v>
      </c>
      <c r="MM65">
        <v>0</v>
      </c>
      <c r="MN65">
        <v>0</v>
      </c>
      <c r="MO65">
        <v>0</v>
      </c>
      <c r="MP65">
        <v>0</v>
      </c>
      <c r="MQ65">
        <v>0</v>
      </c>
      <c r="MR65">
        <v>0</v>
      </c>
      <c r="MS65">
        <v>0</v>
      </c>
      <c r="MT65">
        <v>0</v>
      </c>
      <c r="MU65">
        <v>0</v>
      </c>
      <c r="MV65">
        <v>0</v>
      </c>
      <c r="MW65">
        <v>0</v>
      </c>
      <c r="MX65">
        <v>0</v>
      </c>
      <c r="MY65">
        <v>0</v>
      </c>
      <c r="MZ65">
        <v>0</v>
      </c>
      <c r="NA65">
        <v>0</v>
      </c>
      <c r="NB65">
        <v>0</v>
      </c>
      <c r="NC65">
        <v>0</v>
      </c>
      <c r="ND65">
        <v>0</v>
      </c>
      <c r="NE65">
        <v>0</v>
      </c>
    </row>
    <row r="66" spans="41:369" x14ac:dyDescent="0.45">
      <c r="AO66" t="str">
        <v>A163</v>
      </c>
      <c r="AP66" t="str">
        <v>MUHAMMED LUQMAN TD</v>
      </c>
      <c r="AQ66" t="str">
        <v>BADF</v>
      </c>
      <c r="AR66" t="str">
        <v>SUB JUNIOR</v>
      </c>
      <c r="AS66">
        <v>2</v>
      </c>
      <c r="AT66">
        <v>28</v>
      </c>
      <c r="AU66">
        <v>0</v>
      </c>
      <c r="AV66">
        <v>28</v>
      </c>
      <c r="AW66">
        <v>28</v>
      </c>
      <c r="AX66">
        <v>51</v>
      </c>
      <c r="AY66" s="5">
        <v>51</v>
      </c>
      <c r="AZ66" t="str">
        <v>JN21</v>
      </c>
      <c r="BA66" t="str">
        <v>SCIENCE MASTER</v>
      </c>
      <c r="BB66" t="str">
        <v>JUNIOR</v>
      </c>
      <c r="BC66" t="str">
        <v>Single</v>
      </c>
      <c r="BD66" t="str">
        <v>Non-Stg</v>
      </c>
      <c r="BE66">
        <v>3</v>
      </c>
      <c r="BF66" t="str">
        <v>Master</v>
      </c>
      <c r="BG66" t="str">
        <v>Master</v>
      </c>
      <c r="BH66" t="str">
        <v>P</v>
      </c>
      <c r="BI66" t="str">
        <v>PUBLISHED</v>
      </c>
      <c r="BK66">
        <v>60</v>
      </c>
      <c r="BL66" t="str">
        <v>JN17</v>
      </c>
      <c r="BM66" t="str">
        <v>POEM MLM</v>
      </c>
      <c r="BN66">
        <v>3</v>
      </c>
      <c r="BO66" t="str">
        <v>Single</v>
      </c>
      <c r="BP66" t="str">
        <v>Non-Stg</v>
      </c>
      <c r="BQ66" t="str">
        <v>JUNIOR</v>
      </c>
      <c r="BR66" t="str">
        <v>B112</v>
      </c>
      <c r="BS66" t="str">
        <v>B129</v>
      </c>
      <c r="BT66" t="str">
        <v>B150</v>
      </c>
      <c r="BU66">
        <v>0</v>
      </c>
      <c r="BV66">
        <v>0</v>
      </c>
      <c r="BW66">
        <v>0</v>
      </c>
      <c r="BX66">
        <v>0</v>
      </c>
      <c r="BY66" t="str">
        <v>B109</v>
      </c>
      <c r="BZ66" t="str">
        <v>B114</v>
      </c>
      <c r="CA66" t="str">
        <v>B155</v>
      </c>
      <c r="CB66">
        <v>0</v>
      </c>
      <c r="CC66">
        <v>0</v>
      </c>
      <c r="CD66">
        <v>0</v>
      </c>
      <c r="CE66">
        <v>0</v>
      </c>
      <c r="CF66" t="str">
        <v>B136</v>
      </c>
      <c r="CG66" t="str">
        <v>B151</v>
      </c>
      <c r="CH66" t="str">
        <v>B164</v>
      </c>
      <c r="CI66">
        <v>0</v>
      </c>
      <c r="CJ66">
        <v>0</v>
      </c>
      <c r="CK66">
        <v>0</v>
      </c>
      <c r="CL66">
        <v>0</v>
      </c>
      <c r="CM66" t="str">
        <v>B108</v>
      </c>
      <c r="CN66" t="str">
        <v>B126</v>
      </c>
      <c r="CO66" t="str">
        <v>B152</v>
      </c>
      <c r="CP66">
        <v>0</v>
      </c>
      <c r="CQ66">
        <v>0</v>
      </c>
      <c r="CR66">
        <v>0</v>
      </c>
      <c r="CS66">
        <v>0</v>
      </c>
      <c r="CT66">
        <v>0</v>
      </c>
      <c r="CU66">
        <v>0</v>
      </c>
      <c r="CV66">
        <v>0</v>
      </c>
      <c r="CW66">
        <v>0</v>
      </c>
      <c r="CX66">
        <v>0</v>
      </c>
      <c r="CY66">
        <v>0</v>
      </c>
      <c r="CZ66">
        <v>0</v>
      </c>
      <c r="DA66">
        <v>0</v>
      </c>
      <c r="DB66">
        <v>0</v>
      </c>
      <c r="DC66">
        <v>0</v>
      </c>
      <c r="DD66">
        <v>0</v>
      </c>
      <c r="DE66">
        <v>0</v>
      </c>
      <c r="DF66">
        <v>0</v>
      </c>
      <c r="DG66">
        <v>0</v>
      </c>
      <c r="DH66">
        <v>0</v>
      </c>
      <c r="DI66">
        <v>0</v>
      </c>
      <c r="DJ66">
        <v>0</v>
      </c>
      <c r="DK66">
        <v>0</v>
      </c>
      <c r="DL66">
        <v>0</v>
      </c>
      <c r="DM66">
        <v>0</v>
      </c>
      <c r="DN66">
        <v>0</v>
      </c>
      <c r="DO66">
        <v>0</v>
      </c>
      <c r="DP66">
        <v>0</v>
      </c>
      <c r="DQ66">
        <v>0</v>
      </c>
      <c r="DR66">
        <v>0</v>
      </c>
      <c r="DS66">
        <v>0</v>
      </c>
      <c r="DT66">
        <v>0</v>
      </c>
      <c r="DU66">
        <v>0</v>
      </c>
      <c r="DV66">
        <v>0</v>
      </c>
      <c r="DW66">
        <v>0</v>
      </c>
      <c r="DX66">
        <v>0</v>
      </c>
      <c r="DY66">
        <v>0</v>
      </c>
      <c r="DZ66">
        <v>0</v>
      </c>
      <c r="EA66">
        <v>0</v>
      </c>
      <c r="EB66">
        <v>0</v>
      </c>
      <c r="EC66">
        <v>0</v>
      </c>
      <c r="ED66">
        <v>0</v>
      </c>
      <c r="EE66">
        <v>0</v>
      </c>
      <c r="EF66">
        <v>0</v>
      </c>
      <c r="EG66">
        <v>0</v>
      </c>
      <c r="EH66">
        <v>0</v>
      </c>
      <c r="EI66">
        <v>0</v>
      </c>
      <c r="EJ66">
        <v>0</v>
      </c>
      <c r="EK66">
        <v>0</v>
      </c>
      <c r="EL66">
        <v>0</v>
      </c>
      <c r="EM66">
        <v>0</v>
      </c>
      <c r="EN66">
        <v>0</v>
      </c>
      <c r="EO66">
        <v>0</v>
      </c>
      <c r="EP66">
        <v>0</v>
      </c>
      <c r="EQ66">
        <v>0</v>
      </c>
      <c r="ER66">
        <v>0</v>
      </c>
      <c r="ES66">
        <v>0</v>
      </c>
      <c r="ET66">
        <v>0</v>
      </c>
      <c r="EU66">
        <v>0</v>
      </c>
      <c r="EV66">
        <v>0</v>
      </c>
      <c r="EW66">
        <v>0</v>
      </c>
      <c r="EX66">
        <v>0</v>
      </c>
      <c r="EY66">
        <v>0</v>
      </c>
      <c r="EZ66">
        <v>0</v>
      </c>
      <c r="FA66">
        <v>0</v>
      </c>
      <c r="FB66">
        <v>0</v>
      </c>
      <c r="FC66">
        <v>0</v>
      </c>
      <c r="FD66">
        <v>0</v>
      </c>
      <c r="FE66">
        <v>0</v>
      </c>
      <c r="FF66">
        <v>0</v>
      </c>
      <c r="FG66">
        <v>0</v>
      </c>
      <c r="FH66">
        <v>0</v>
      </c>
      <c r="FI66">
        <v>0</v>
      </c>
      <c r="FJ66">
        <v>0</v>
      </c>
      <c r="FK66">
        <v>0</v>
      </c>
      <c r="FL66">
        <v>0</v>
      </c>
      <c r="FM66">
        <v>0</v>
      </c>
      <c r="FN66">
        <v>0</v>
      </c>
      <c r="FO66">
        <v>0</v>
      </c>
      <c r="FP66">
        <v>0</v>
      </c>
      <c r="FQ66">
        <v>0</v>
      </c>
      <c r="FR66">
        <v>0</v>
      </c>
      <c r="FS66">
        <v>0</v>
      </c>
      <c r="FT66">
        <v>0</v>
      </c>
      <c r="FU66">
        <v>0</v>
      </c>
      <c r="FV66">
        <v>0</v>
      </c>
      <c r="FW66">
        <v>0</v>
      </c>
      <c r="FX66">
        <v>0</v>
      </c>
      <c r="FY66">
        <v>0</v>
      </c>
      <c r="FZ66">
        <v>0</v>
      </c>
      <c r="GA66">
        <v>0</v>
      </c>
      <c r="GB66">
        <v>0</v>
      </c>
      <c r="GC66">
        <v>0</v>
      </c>
      <c r="GD66">
        <v>0</v>
      </c>
      <c r="GE66">
        <v>0</v>
      </c>
      <c r="GF66">
        <v>0</v>
      </c>
      <c r="GG66">
        <v>0</v>
      </c>
      <c r="GH66">
        <v>0</v>
      </c>
      <c r="GI66">
        <v>0</v>
      </c>
      <c r="GJ66">
        <v>0</v>
      </c>
      <c r="GK66">
        <v>0</v>
      </c>
      <c r="GL66">
        <v>0</v>
      </c>
      <c r="GM66">
        <v>0</v>
      </c>
      <c r="GN66">
        <v>0</v>
      </c>
      <c r="GO66">
        <v>0</v>
      </c>
      <c r="GP66">
        <v>0</v>
      </c>
      <c r="GQ66">
        <v>0</v>
      </c>
      <c r="GR66">
        <v>0</v>
      </c>
      <c r="GS66">
        <v>0</v>
      </c>
      <c r="GT66">
        <v>0</v>
      </c>
      <c r="GU66">
        <v>0</v>
      </c>
      <c r="GV66">
        <v>0</v>
      </c>
      <c r="GW66">
        <v>0</v>
      </c>
      <c r="GX66">
        <v>0</v>
      </c>
      <c r="GY66">
        <v>0</v>
      </c>
      <c r="GZ66">
        <v>0</v>
      </c>
      <c r="HA66">
        <v>0</v>
      </c>
      <c r="HB66">
        <v>0</v>
      </c>
      <c r="HC66">
        <v>0</v>
      </c>
      <c r="HD66">
        <v>0</v>
      </c>
      <c r="HE66">
        <v>0</v>
      </c>
      <c r="HF66">
        <v>0</v>
      </c>
      <c r="HG66">
        <v>0</v>
      </c>
      <c r="HH66">
        <v>0</v>
      </c>
      <c r="HI66">
        <v>0</v>
      </c>
      <c r="HJ66">
        <v>0</v>
      </c>
      <c r="HK66">
        <v>0</v>
      </c>
      <c r="HL66">
        <v>0</v>
      </c>
      <c r="HM66">
        <v>0</v>
      </c>
      <c r="HN66">
        <v>0</v>
      </c>
      <c r="HO66">
        <v>0</v>
      </c>
      <c r="HP66">
        <v>0</v>
      </c>
      <c r="HQ66">
        <v>0</v>
      </c>
      <c r="HR66">
        <v>0</v>
      </c>
      <c r="HS66">
        <v>0</v>
      </c>
      <c r="HT66">
        <v>0</v>
      </c>
      <c r="HU66">
        <v>0</v>
      </c>
      <c r="HV66">
        <v>0</v>
      </c>
      <c r="HW66">
        <v>0</v>
      </c>
      <c r="HX66">
        <v>0</v>
      </c>
      <c r="HY66">
        <v>0</v>
      </c>
      <c r="HZ66">
        <v>0</v>
      </c>
      <c r="IA66">
        <v>0</v>
      </c>
      <c r="IB66">
        <v>0</v>
      </c>
      <c r="IC66">
        <v>0</v>
      </c>
      <c r="ID66">
        <v>0</v>
      </c>
      <c r="IE66">
        <v>0</v>
      </c>
      <c r="IF66">
        <v>0</v>
      </c>
      <c r="IG66">
        <v>0</v>
      </c>
      <c r="IH66">
        <v>0</v>
      </c>
      <c r="II66">
        <v>0</v>
      </c>
      <c r="IJ66">
        <v>0</v>
      </c>
      <c r="IK66">
        <v>0</v>
      </c>
      <c r="IL66">
        <v>0</v>
      </c>
      <c r="IM66">
        <v>0</v>
      </c>
      <c r="IN66">
        <v>0</v>
      </c>
      <c r="IO66">
        <v>0</v>
      </c>
      <c r="IP66">
        <v>0</v>
      </c>
      <c r="IQ66">
        <v>0</v>
      </c>
      <c r="IR66">
        <v>0</v>
      </c>
      <c r="IS66">
        <v>0</v>
      </c>
      <c r="IT66">
        <v>0</v>
      </c>
      <c r="IU66">
        <v>0</v>
      </c>
      <c r="IV66">
        <v>0</v>
      </c>
      <c r="IW66">
        <v>0</v>
      </c>
      <c r="IX66">
        <v>0</v>
      </c>
      <c r="IY66">
        <v>0</v>
      </c>
      <c r="IZ66">
        <v>0</v>
      </c>
      <c r="JA66">
        <v>0</v>
      </c>
      <c r="JB66">
        <v>0</v>
      </c>
      <c r="JC66">
        <v>0</v>
      </c>
      <c r="JD66">
        <v>0</v>
      </c>
      <c r="JE66">
        <v>0</v>
      </c>
      <c r="JF66">
        <v>0</v>
      </c>
      <c r="JG66">
        <v>0</v>
      </c>
      <c r="JH66">
        <v>0</v>
      </c>
      <c r="JI66">
        <v>0</v>
      </c>
      <c r="JJ66">
        <v>0</v>
      </c>
      <c r="JK66">
        <v>0</v>
      </c>
      <c r="JL66">
        <v>0</v>
      </c>
      <c r="JM66">
        <v>0</v>
      </c>
      <c r="JN66">
        <v>0</v>
      </c>
      <c r="JO66">
        <v>0</v>
      </c>
      <c r="JP66">
        <v>0</v>
      </c>
      <c r="JQ66">
        <v>0</v>
      </c>
      <c r="JR66">
        <v>0</v>
      </c>
      <c r="JS66">
        <v>0</v>
      </c>
      <c r="JT66">
        <v>0</v>
      </c>
      <c r="JU66">
        <v>0</v>
      </c>
      <c r="JV66">
        <v>0</v>
      </c>
      <c r="JW66">
        <v>0</v>
      </c>
      <c r="JX66">
        <v>0</v>
      </c>
      <c r="JY66">
        <v>0</v>
      </c>
      <c r="JZ66">
        <v>0</v>
      </c>
      <c r="KA66">
        <v>0</v>
      </c>
      <c r="KB66">
        <v>0</v>
      </c>
      <c r="KC66">
        <v>0</v>
      </c>
      <c r="KD66">
        <v>0</v>
      </c>
      <c r="KE66">
        <v>0</v>
      </c>
      <c r="KF66">
        <v>0</v>
      </c>
      <c r="KG66">
        <v>0</v>
      </c>
      <c r="KH66">
        <v>0</v>
      </c>
      <c r="KI66">
        <v>0</v>
      </c>
      <c r="KJ66">
        <v>0</v>
      </c>
      <c r="KK66">
        <v>0</v>
      </c>
      <c r="KL66">
        <v>0</v>
      </c>
      <c r="KM66">
        <v>0</v>
      </c>
      <c r="KN66">
        <v>0</v>
      </c>
      <c r="KO66">
        <v>0</v>
      </c>
      <c r="KP66">
        <v>0</v>
      </c>
      <c r="KQ66">
        <v>0</v>
      </c>
      <c r="KR66">
        <v>0</v>
      </c>
      <c r="KS66">
        <v>0</v>
      </c>
      <c r="KT66">
        <v>0</v>
      </c>
      <c r="KU66">
        <v>0</v>
      </c>
      <c r="KV66">
        <v>0</v>
      </c>
      <c r="KW66">
        <v>0</v>
      </c>
      <c r="KX66">
        <v>0</v>
      </c>
      <c r="KY66">
        <v>0</v>
      </c>
      <c r="KZ66">
        <v>0</v>
      </c>
      <c r="LA66">
        <v>0</v>
      </c>
      <c r="LB66">
        <v>0</v>
      </c>
      <c r="LC66">
        <v>0</v>
      </c>
      <c r="LD66">
        <v>0</v>
      </c>
      <c r="LE66">
        <v>0</v>
      </c>
      <c r="LF66">
        <v>0</v>
      </c>
      <c r="LG66">
        <v>0</v>
      </c>
      <c r="LH66">
        <v>0</v>
      </c>
      <c r="LI66">
        <v>0</v>
      </c>
      <c r="LJ66">
        <v>0</v>
      </c>
      <c r="LK66">
        <v>0</v>
      </c>
      <c r="LL66">
        <v>0</v>
      </c>
      <c r="LM66">
        <v>0</v>
      </c>
      <c r="LN66">
        <v>0</v>
      </c>
      <c r="LO66">
        <v>0</v>
      </c>
      <c r="LP66">
        <v>0</v>
      </c>
      <c r="LQ66">
        <v>0</v>
      </c>
      <c r="LR66">
        <v>0</v>
      </c>
      <c r="LS66">
        <v>0</v>
      </c>
      <c r="LT66">
        <v>0</v>
      </c>
      <c r="LU66">
        <v>0</v>
      </c>
      <c r="LV66">
        <v>0</v>
      </c>
      <c r="LW66">
        <v>0</v>
      </c>
      <c r="LX66">
        <v>0</v>
      </c>
      <c r="LY66">
        <v>0</v>
      </c>
      <c r="LZ66">
        <v>0</v>
      </c>
      <c r="MA66">
        <v>0</v>
      </c>
      <c r="MB66">
        <v>0</v>
      </c>
      <c r="MC66">
        <v>0</v>
      </c>
      <c r="MD66">
        <v>0</v>
      </c>
      <c r="ME66">
        <v>0</v>
      </c>
      <c r="MF66">
        <v>0</v>
      </c>
      <c r="MG66">
        <v>0</v>
      </c>
      <c r="MH66">
        <v>0</v>
      </c>
      <c r="MI66">
        <v>0</v>
      </c>
      <c r="MJ66">
        <v>0</v>
      </c>
      <c r="MK66">
        <v>0</v>
      </c>
      <c r="ML66">
        <v>0</v>
      </c>
      <c r="MM66">
        <v>0</v>
      </c>
      <c r="MN66">
        <v>0</v>
      </c>
      <c r="MO66">
        <v>0</v>
      </c>
      <c r="MP66">
        <v>0</v>
      </c>
      <c r="MQ66">
        <v>0</v>
      </c>
      <c r="MR66">
        <v>0</v>
      </c>
      <c r="MS66">
        <v>0</v>
      </c>
      <c r="MT66">
        <v>0</v>
      </c>
      <c r="MU66">
        <v>0</v>
      </c>
      <c r="MV66">
        <v>0</v>
      </c>
      <c r="MW66">
        <v>0</v>
      </c>
      <c r="MX66">
        <v>0</v>
      </c>
      <c r="MY66">
        <v>0</v>
      </c>
      <c r="MZ66">
        <v>0</v>
      </c>
      <c r="NA66">
        <v>0</v>
      </c>
      <c r="NB66">
        <v>0</v>
      </c>
      <c r="NC66">
        <v>0</v>
      </c>
      <c r="ND66">
        <v>0</v>
      </c>
      <c r="NE66">
        <v>0</v>
      </c>
    </row>
    <row r="67" spans="41:369" x14ac:dyDescent="0.45">
      <c r="AO67" t="str">
        <v>A164</v>
      </c>
      <c r="AP67" t="str">
        <v>MUHAMMED MICDAD RAMEES A H</v>
      </c>
      <c r="AQ67" t="str">
        <v>DAHF</v>
      </c>
      <c r="AR67" t="str">
        <v>SUB JUNIOR</v>
      </c>
      <c r="AS67">
        <v>2</v>
      </c>
      <c r="AT67">
        <v>55.5</v>
      </c>
      <c r="AU67">
        <v>0</v>
      </c>
      <c r="AV67">
        <v>55.5</v>
      </c>
      <c r="AW67">
        <v>55.5</v>
      </c>
      <c r="AX67">
        <v>7</v>
      </c>
      <c r="AY67" s="5">
        <v>7</v>
      </c>
      <c r="AZ67" t="str">
        <v>JN22</v>
      </c>
      <c r="BA67" t="str">
        <v>SENTENCE TRANSLATION</v>
      </c>
      <c r="BB67" t="str">
        <v>JUNIOR</v>
      </c>
      <c r="BC67" t="str">
        <v>Single</v>
      </c>
      <c r="BD67" t="str">
        <v>Non-Stg</v>
      </c>
      <c r="BE67">
        <v>3</v>
      </c>
      <c r="BF67" t="str">
        <v>Individual</v>
      </c>
      <c r="BG67" t="str">
        <v>Individual</v>
      </c>
      <c r="BH67" t="str">
        <v>P</v>
      </c>
      <c r="BI67" t="str">
        <v>PUBLISHED</v>
      </c>
      <c r="BK67">
        <v>61</v>
      </c>
      <c r="BL67" t="str">
        <v>JN18</v>
      </c>
      <c r="BM67" t="str">
        <v>POEM URD</v>
      </c>
      <c r="BN67">
        <v>3</v>
      </c>
      <c r="BO67" t="str">
        <v>Single</v>
      </c>
      <c r="BP67" t="str">
        <v>Non-Stg</v>
      </c>
      <c r="BQ67" t="str">
        <v>JUNIOR</v>
      </c>
      <c r="BR67" t="str">
        <v>B120</v>
      </c>
      <c r="BS67" t="str">
        <v>B141</v>
      </c>
      <c r="BT67" t="str">
        <v>B150</v>
      </c>
      <c r="BU67">
        <v>0</v>
      </c>
      <c r="BV67">
        <v>0</v>
      </c>
      <c r="BW67">
        <v>0</v>
      </c>
      <c r="BX67">
        <v>0</v>
      </c>
      <c r="BY67" t="str">
        <v>B154</v>
      </c>
      <c r="BZ67" t="str">
        <v>B132</v>
      </c>
      <c r="CA67" t="str">
        <v>B124</v>
      </c>
      <c r="CB67">
        <v>0</v>
      </c>
      <c r="CC67">
        <v>0</v>
      </c>
      <c r="CD67">
        <v>0</v>
      </c>
      <c r="CE67">
        <v>0</v>
      </c>
      <c r="CF67" t="str">
        <v>B103</v>
      </c>
      <c r="CG67" t="str">
        <v>B137</v>
      </c>
      <c r="CH67" t="str">
        <v>B140</v>
      </c>
      <c r="CI67">
        <v>0</v>
      </c>
      <c r="CJ67">
        <v>0</v>
      </c>
      <c r="CK67">
        <v>0</v>
      </c>
      <c r="CL67">
        <v>0</v>
      </c>
      <c r="CM67" t="str">
        <v>B105</v>
      </c>
      <c r="CN67" t="str">
        <v>B118</v>
      </c>
      <c r="CO67" t="str">
        <v>B147</v>
      </c>
      <c r="CP67">
        <v>0</v>
      </c>
      <c r="CQ67">
        <v>0</v>
      </c>
      <c r="CR67">
        <v>0</v>
      </c>
      <c r="CS67">
        <v>0</v>
      </c>
      <c r="CT67">
        <v>0</v>
      </c>
      <c r="CU67">
        <v>0</v>
      </c>
      <c r="CV67">
        <v>0</v>
      </c>
      <c r="CW67">
        <v>0</v>
      </c>
      <c r="CX67">
        <v>0</v>
      </c>
      <c r="CY67">
        <v>0</v>
      </c>
      <c r="CZ67">
        <v>0</v>
      </c>
      <c r="DA67">
        <v>0</v>
      </c>
      <c r="DB67">
        <v>0</v>
      </c>
      <c r="DC67">
        <v>0</v>
      </c>
      <c r="DD67">
        <v>0</v>
      </c>
      <c r="DE67">
        <v>0</v>
      </c>
      <c r="DF67">
        <v>0</v>
      </c>
      <c r="DG67">
        <v>0</v>
      </c>
      <c r="DH67">
        <v>0</v>
      </c>
      <c r="DI67">
        <v>0</v>
      </c>
      <c r="DJ67">
        <v>0</v>
      </c>
      <c r="DK67">
        <v>0</v>
      </c>
      <c r="DL67">
        <v>0</v>
      </c>
      <c r="DM67">
        <v>0</v>
      </c>
      <c r="DN67">
        <v>0</v>
      </c>
      <c r="DO67">
        <v>0</v>
      </c>
      <c r="DP67">
        <v>0</v>
      </c>
      <c r="DQ67">
        <v>0</v>
      </c>
      <c r="DR67">
        <v>0</v>
      </c>
      <c r="DS67">
        <v>0</v>
      </c>
      <c r="DT67">
        <v>0</v>
      </c>
      <c r="DU67">
        <v>0</v>
      </c>
      <c r="DV67">
        <v>0</v>
      </c>
      <c r="DW67">
        <v>0</v>
      </c>
      <c r="DX67">
        <v>0</v>
      </c>
      <c r="DY67">
        <v>0</v>
      </c>
      <c r="DZ67">
        <v>0</v>
      </c>
      <c r="EA67">
        <v>0</v>
      </c>
      <c r="EB67">
        <v>0</v>
      </c>
      <c r="EC67">
        <v>0</v>
      </c>
      <c r="ED67">
        <v>0</v>
      </c>
      <c r="EE67">
        <v>0</v>
      </c>
      <c r="EF67">
        <v>0</v>
      </c>
      <c r="EG67">
        <v>0</v>
      </c>
      <c r="EH67">
        <v>0</v>
      </c>
      <c r="EI67">
        <v>0</v>
      </c>
      <c r="EJ67">
        <v>0</v>
      </c>
      <c r="EK67">
        <v>0</v>
      </c>
      <c r="EL67">
        <v>0</v>
      </c>
      <c r="EM67">
        <v>0</v>
      </c>
      <c r="EN67">
        <v>0</v>
      </c>
      <c r="EO67">
        <v>0</v>
      </c>
      <c r="EP67">
        <v>0</v>
      </c>
      <c r="EQ67">
        <v>0</v>
      </c>
      <c r="ER67">
        <v>0</v>
      </c>
      <c r="ES67">
        <v>0</v>
      </c>
      <c r="ET67">
        <v>0</v>
      </c>
      <c r="EU67">
        <v>0</v>
      </c>
      <c r="EV67">
        <v>0</v>
      </c>
      <c r="EW67">
        <v>0</v>
      </c>
      <c r="EX67">
        <v>0</v>
      </c>
      <c r="EY67">
        <v>0</v>
      </c>
      <c r="EZ67">
        <v>0</v>
      </c>
      <c r="FA67">
        <v>0</v>
      </c>
      <c r="FB67">
        <v>0</v>
      </c>
      <c r="FC67">
        <v>0</v>
      </c>
      <c r="FD67">
        <v>0</v>
      </c>
      <c r="FE67">
        <v>0</v>
      </c>
      <c r="FF67">
        <v>0</v>
      </c>
      <c r="FG67">
        <v>0</v>
      </c>
      <c r="FH67">
        <v>0</v>
      </c>
      <c r="FI67">
        <v>0</v>
      </c>
      <c r="FJ67">
        <v>0</v>
      </c>
      <c r="FK67">
        <v>0</v>
      </c>
      <c r="FL67">
        <v>0</v>
      </c>
      <c r="FM67">
        <v>0</v>
      </c>
      <c r="FN67">
        <v>0</v>
      </c>
      <c r="FO67">
        <v>0</v>
      </c>
      <c r="FP67">
        <v>0</v>
      </c>
      <c r="FQ67">
        <v>0</v>
      </c>
      <c r="FR67">
        <v>0</v>
      </c>
      <c r="FS67">
        <v>0</v>
      </c>
      <c r="FT67">
        <v>0</v>
      </c>
      <c r="FU67">
        <v>0</v>
      </c>
      <c r="FV67">
        <v>0</v>
      </c>
      <c r="FW67">
        <v>0</v>
      </c>
      <c r="FX67">
        <v>0</v>
      </c>
      <c r="FY67">
        <v>0</v>
      </c>
      <c r="FZ67">
        <v>0</v>
      </c>
      <c r="GA67">
        <v>0</v>
      </c>
      <c r="GB67">
        <v>0</v>
      </c>
      <c r="GC67">
        <v>0</v>
      </c>
      <c r="GD67">
        <v>0</v>
      </c>
      <c r="GE67">
        <v>0</v>
      </c>
      <c r="GF67">
        <v>0</v>
      </c>
      <c r="GG67">
        <v>0</v>
      </c>
      <c r="GH67">
        <v>0</v>
      </c>
      <c r="GI67">
        <v>0</v>
      </c>
      <c r="GJ67">
        <v>0</v>
      </c>
      <c r="GK67">
        <v>0</v>
      </c>
      <c r="GL67">
        <v>0</v>
      </c>
      <c r="GM67">
        <v>0</v>
      </c>
      <c r="GN67">
        <v>0</v>
      </c>
      <c r="GO67">
        <v>0</v>
      </c>
      <c r="GP67">
        <v>0</v>
      </c>
      <c r="GQ67">
        <v>0</v>
      </c>
      <c r="GR67">
        <v>0</v>
      </c>
      <c r="GS67">
        <v>0</v>
      </c>
      <c r="GT67">
        <v>0</v>
      </c>
      <c r="GU67">
        <v>0</v>
      </c>
      <c r="GV67">
        <v>0</v>
      </c>
      <c r="GW67">
        <v>0</v>
      </c>
      <c r="GX67">
        <v>0</v>
      </c>
      <c r="GY67">
        <v>0</v>
      </c>
      <c r="GZ67">
        <v>0</v>
      </c>
      <c r="HA67">
        <v>0</v>
      </c>
      <c r="HB67">
        <v>0</v>
      </c>
      <c r="HC67">
        <v>0</v>
      </c>
      <c r="HD67">
        <v>0</v>
      </c>
      <c r="HE67">
        <v>0</v>
      </c>
      <c r="HF67">
        <v>0</v>
      </c>
      <c r="HG67">
        <v>0</v>
      </c>
      <c r="HH67">
        <v>0</v>
      </c>
      <c r="HI67">
        <v>0</v>
      </c>
      <c r="HJ67">
        <v>0</v>
      </c>
      <c r="HK67">
        <v>0</v>
      </c>
      <c r="HL67">
        <v>0</v>
      </c>
      <c r="HM67">
        <v>0</v>
      </c>
      <c r="HN67">
        <v>0</v>
      </c>
      <c r="HO67">
        <v>0</v>
      </c>
      <c r="HP67">
        <v>0</v>
      </c>
      <c r="HQ67">
        <v>0</v>
      </c>
      <c r="HR67">
        <v>0</v>
      </c>
      <c r="HS67">
        <v>0</v>
      </c>
      <c r="HT67">
        <v>0</v>
      </c>
      <c r="HU67">
        <v>0</v>
      </c>
      <c r="HV67">
        <v>0</v>
      </c>
      <c r="HW67">
        <v>0</v>
      </c>
      <c r="HX67">
        <v>0</v>
      </c>
      <c r="HY67">
        <v>0</v>
      </c>
      <c r="HZ67">
        <v>0</v>
      </c>
      <c r="IA67">
        <v>0</v>
      </c>
      <c r="IB67">
        <v>0</v>
      </c>
      <c r="IC67">
        <v>0</v>
      </c>
      <c r="ID67">
        <v>0</v>
      </c>
      <c r="IE67">
        <v>0</v>
      </c>
      <c r="IF67">
        <v>0</v>
      </c>
      <c r="IG67">
        <v>0</v>
      </c>
      <c r="IH67">
        <v>0</v>
      </c>
      <c r="II67">
        <v>0</v>
      </c>
      <c r="IJ67">
        <v>0</v>
      </c>
      <c r="IK67">
        <v>0</v>
      </c>
      <c r="IL67">
        <v>0</v>
      </c>
      <c r="IM67">
        <v>0</v>
      </c>
      <c r="IN67">
        <v>0</v>
      </c>
      <c r="IO67">
        <v>0</v>
      </c>
      <c r="IP67">
        <v>0</v>
      </c>
      <c r="IQ67">
        <v>0</v>
      </c>
      <c r="IR67">
        <v>0</v>
      </c>
      <c r="IS67">
        <v>0</v>
      </c>
      <c r="IT67">
        <v>0</v>
      </c>
      <c r="IU67">
        <v>0</v>
      </c>
      <c r="IV67">
        <v>0</v>
      </c>
      <c r="IW67">
        <v>0</v>
      </c>
      <c r="IX67">
        <v>0</v>
      </c>
      <c r="IY67">
        <v>0</v>
      </c>
      <c r="IZ67">
        <v>0</v>
      </c>
      <c r="JA67">
        <v>0</v>
      </c>
      <c r="JB67">
        <v>0</v>
      </c>
      <c r="JC67">
        <v>0</v>
      </c>
      <c r="JD67">
        <v>0</v>
      </c>
      <c r="JE67">
        <v>0</v>
      </c>
      <c r="JF67">
        <v>0</v>
      </c>
      <c r="JG67">
        <v>0</v>
      </c>
      <c r="JH67">
        <v>0</v>
      </c>
      <c r="JI67">
        <v>0</v>
      </c>
      <c r="JJ67">
        <v>0</v>
      </c>
      <c r="JK67">
        <v>0</v>
      </c>
      <c r="JL67">
        <v>0</v>
      </c>
      <c r="JM67">
        <v>0</v>
      </c>
      <c r="JN67">
        <v>0</v>
      </c>
      <c r="JO67">
        <v>0</v>
      </c>
      <c r="JP67">
        <v>0</v>
      </c>
      <c r="JQ67">
        <v>0</v>
      </c>
      <c r="JR67">
        <v>0</v>
      </c>
      <c r="JS67">
        <v>0</v>
      </c>
      <c r="JT67">
        <v>0</v>
      </c>
      <c r="JU67">
        <v>0</v>
      </c>
      <c r="JV67">
        <v>0</v>
      </c>
      <c r="JW67">
        <v>0</v>
      </c>
      <c r="JX67">
        <v>0</v>
      </c>
      <c r="JY67">
        <v>0</v>
      </c>
      <c r="JZ67">
        <v>0</v>
      </c>
      <c r="KA67">
        <v>0</v>
      </c>
      <c r="KB67">
        <v>0</v>
      </c>
      <c r="KC67">
        <v>0</v>
      </c>
      <c r="KD67">
        <v>0</v>
      </c>
      <c r="KE67">
        <v>0</v>
      </c>
      <c r="KF67">
        <v>0</v>
      </c>
      <c r="KG67">
        <v>0</v>
      </c>
      <c r="KH67">
        <v>0</v>
      </c>
      <c r="KI67">
        <v>0</v>
      </c>
      <c r="KJ67">
        <v>0</v>
      </c>
      <c r="KK67">
        <v>0</v>
      </c>
      <c r="KL67">
        <v>0</v>
      </c>
      <c r="KM67">
        <v>0</v>
      </c>
      <c r="KN67">
        <v>0</v>
      </c>
      <c r="KO67">
        <v>0</v>
      </c>
      <c r="KP67">
        <v>0</v>
      </c>
      <c r="KQ67">
        <v>0</v>
      </c>
      <c r="KR67">
        <v>0</v>
      </c>
      <c r="KS67">
        <v>0</v>
      </c>
      <c r="KT67">
        <v>0</v>
      </c>
      <c r="KU67">
        <v>0</v>
      </c>
      <c r="KV67">
        <v>0</v>
      </c>
      <c r="KW67">
        <v>0</v>
      </c>
      <c r="KX67">
        <v>0</v>
      </c>
      <c r="KY67">
        <v>0</v>
      </c>
      <c r="KZ67">
        <v>0</v>
      </c>
      <c r="LA67">
        <v>0</v>
      </c>
      <c r="LB67">
        <v>0</v>
      </c>
      <c r="LC67">
        <v>0</v>
      </c>
      <c r="LD67">
        <v>0</v>
      </c>
      <c r="LE67">
        <v>0</v>
      </c>
      <c r="LF67">
        <v>0</v>
      </c>
      <c r="LG67">
        <v>0</v>
      </c>
      <c r="LH67">
        <v>0</v>
      </c>
      <c r="LI67">
        <v>0</v>
      </c>
      <c r="LJ67">
        <v>0</v>
      </c>
      <c r="LK67">
        <v>0</v>
      </c>
      <c r="LL67">
        <v>0</v>
      </c>
      <c r="LM67">
        <v>0</v>
      </c>
      <c r="LN67">
        <v>0</v>
      </c>
      <c r="LO67">
        <v>0</v>
      </c>
      <c r="LP67">
        <v>0</v>
      </c>
      <c r="LQ67">
        <v>0</v>
      </c>
      <c r="LR67">
        <v>0</v>
      </c>
      <c r="LS67">
        <v>0</v>
      </c>
      <c r="LT67">
        <v>0</v>
      </c>
      <c r="LU67">
        <v>0</v>
      </c>
      <c r="LV67">
        <v>0</v>
      </c>
      <c r="LW67">
        <v>0</v>
      </c>
      <c r="LX67">
        <v>0</v>
      </c>
      <c r="LY67">
        <v>0</v>
      </c>
      <c r="LZ67">
        <v>0</v>
      </c>
      <c r="MA67">
        <v>0</v>
      </c>
      <c r="MB67">
        <v>0</v>
      </c>
      <c r="MC67">
        <v>0</v>
      </c>
      <c r="MD67">
        <v>0</v>
      </c>
      <c r="ME67">
        <v>0</v>
      </c>
      <c r="MF67">
        <v>0</v>
      </c>
      <c r="MG67">
        <v>0</v>
      </c>
      <c r="MH67">
        <v>0</v>
      </c>
      <c r="MI67">
        <v>0</v>
      </c>
      <c r="MJ67">
        <v>0</v>
      </c>
      <c r="MK67">
        <v>0</v>
      </c>
      <c r="ML67">
        <v>0</v>
      </c>
      <c r="MM67">
        <v>0</v>
      </c>
      <c r="MN67">
        <v>0</v>
      </c>
      <c r="MO67">
        <v>0</v>
      </c>
      <c r="MP67">
        <v>0</v>
      </c>
      <c r="MQ67">
        <v>0</v>
      </c>
      <c r="MR67">
        <v>0</v>
      </c>
      <c r="MS67">
        <v>0</v>
      </c>
      <c r="MT67">
        <v>0</v>
      </c>
      <c r="MU67">
        <v>0</v>
      </c>
      <c r="MV67">
        <v>0</v>
      </c>
      <c r="MW67">
        <v>0</v>
      </c>
      <c r="MX67">
        <v>0</v>
      </c>
      <c r="MY67">
        <v>0</v>
      </c>
      <c r="MZ67">
        <v>0</v>
      </c>
      <c r="NA67">
        <v>0</v>
      </c>
      <c r="NB67">
        <v>0</v>
      </c>
      <c r="NC67">
        <v>0</v>
      </c>
      <c r="ND67">
        <v>0</v>
      </c>
      <c r="NE67">
        <v>0</v>
      </c>
    </row>
    <row r="68" spans="41:369" x14ac:dyDescent="0.45">
      <c r="AO68" t="str">
        <v>A165</v>
      </c>
      <c r="AP68" t="str">
        <v>MUHAMMED MIDLAJ</v>
      </c>
      <c r="AQ68" t="str">
        <v>DAHF</v>
      </c>
      <c r="AR68" t="str">
        <v>SUB JUNIOR</v>
      </c>
      <c r="AS68">
        <v>2</v>
      </c>
      <c r="AT68">
        <v>25</v>
      </c>
      <c r="AU68">
        <v>0</v>
      </c>
      <c r="AV68">
        <v>25</v>
      </c>
      <c r="AW68">
        <v>25</v>
      </c>
      <c r="AX68">
        <v>60</v>
      </c>
      <c r="AY68" s="5">
        <v>60</v>
      </c>
      <c r="AZ68" t="str">
        <v>JN23</v>
      </c>
      <c r="BA68" t="str">
        <v>SHORT STORY ARB</v>
      </c>
      <c r="BB68" t="str">
        <v>JUNIOR</v>
      </c>
      <c r="BC68" t="str">
        <v>Single</v>
      </c>
      <c r="BD68" t="str">
        <v>Non-Stg</v>
      </c>
      <c r="BE68">
        <v>3</v>
      </c>
      <c r="BF68" t="str">
        <v>Individual</v>
      </c>
      <c r="BG68" t="str">
        <v>Individual</v>
      </c>
      <c r="BH68" t="str">
        <v>P</v>
      </c>
      <c r="BI68" t="str">
        <v>PUBLISHED</v>
      </c>
      <c r="BK68">
        <v>62</v>
      </c>
      <c r="BL68" t="str">
        <v>JN19</v>
      </c>
      <c r="BM68" t="str">
        <v>POSTER DESIGNING DIGITAL</v>
      </c>
      <c r="BN68">
        <v>2</v>
      </c>
      <c r="BO68" t="str">
        <v>Single</v>
      </c>
      <c r="BP68" t="str">
        <v>Non-Stg</v>
      </c>
      <c r="BQ68" t="str">
        <v>JUNIOR</v>
      </c>
      <c r="BR68" t="str">
        <v>B141</v>
      </c>
      <c r="BS68" t="str">
        <v>B145</v>
      </c>
      <c r="BT68">
        <v>0</v>
      </c>
      <c r="BU68">
        <v>0</v>
      </c>
      <c r="BV68">
        <v>0</v>
      </c>
      <c r="BW68">
        <v>0</v>
      </c>
      <c r="BX68">
        <v>0</v>
      </c>
      <c r="BY68" t="str">
        <v>B139</v>
      </c>
      <c r="BZ68" t="str">
        <v>B154</v>
      </c>
      <c r="CA68">
        <v>0</v>
      </c>
      <c r="CB68">
        <v>0</v>
      </c>
      <c r="CC68">
        <v>0</v>
      </c>
      <c r="CD68">
        <v>0</v>
      </c>
      <c r="CE68">
        <v>0</v>
      </c>
      <c r="CF68" t="str">
        <v>B113</v>
      </c>
      <c r="CG68" t="str">
        <v>B164</v>
      </c>
      <c r="CH68">
        <v>0</v>
      </c>
      <c r="CI68">
        <v>0</v>
      </c>
      <c r="CJ68">
        <v>0</v>
      </c>
      <c r="CK68">
        <v>0</v>
      </c>
      <c r="CL68">
        <v>0</v>
      </c>
      <c r="CM68" t="str">
        <v>B108</v>
      </c>
      <c r="CN68" t="str">
        <v>B119</v>
      </c>
      <c r="CO68">
        <v>0</v>
      </c>
      <c r="CP68">
        <v>0</v>
      </c>
      <c r="CQ68">
        <v>0</v>
      </c>
      <c r="CR68">
        <v>0</v>
      </c>
      <c r="CS68">
        <v>0</v>
      </c>
      <c r="CT68">
        <v>0</v>
      </c>
      <c r="CU68">
        <v>0</v>
      </c>
      <c r="CV68">
        <v>0</v>
      </c>
      <c r="CW68">
        <v>0</v>
      </c>
      <c r="CX68">
        <v>0</v>
      </c>
      <c r="CY68">
        <v>0</v>
      </c>
      <c r="CZ68">
        <v>0</v>
      </c>
      <c r="DA68">
        <v>0</v>
      </c>
      <c r="DB68">
        <v>0</v>
      </c>
      <c r="DC68">
        <v>0</v>
      </c>
      <c r="DD68">
        <v>0</v>
      </c>
      <c r="DE68">
        <v>0</v>
      </c>
      <c r="DF68">
        <v>0</v>
      </c>
      <c r="DG68">
        <v>0</v>
      </c>
      <c r="DH68">
        <v>0</v>
      </c>
      <c r="DI68">
        <v>0</v>
      </c>
      <c r="DJ68">
        <v>0</v>
      </c>
      <c r="DK68">
        <v>0</v>
      </c>
      <c r="DL68">
        <v>0</v>
      </c>
      <c r="DM68">
        <v>0</v>
      </c>
      <c r="DN68">
        <v>0</v>
      </c>
      <c r="DO68">
        <v>0</v>
      </c>
      <c r="DP68">
        <v>0</v>
      </c>
      <c r="DQ68">
        <v>0</v>
      </c>
      <c r="DR68">
        <v>0</v>
      </c>
      <c r="DS68">
        <v>0</v>
      </c>
      <c r="DT68">
        <v>0</v>
      </c>
      <c r="DU68">
        <v>0</v>
      </c>
      <c r="DV68">
        <v>0</v>
      </c>
      <c r="DW68">
        <v>0</v>
      </c>
      <c r="DX68">
        <v>0</v>
      </c>
      <c r="DY68">
        <v>0</v>
      </c>
      <c r="DZ68">
        <v>0</v>
      </c>
      <c r="EA68">
        <v>0</v>
      </c>
      <c r="EB68">
        <v>0</v>
      </c>
      <c r="EC68">
        <v>0</v>
      </c>
      <c r="ED68">
        <v>0</v>
      </c>
      <c r="EE68">
        <v>0</v>
      </c>
      <c r="EF68">
        <v>0</v>
      </c>
      <c r="EG68">
        <v>0</v>
      </c>
      <c r="EH68">
        <v>0</v>
      </c>
      <c r="EI68">
        <v>0</v>
      </c>
      <c r="EJ68">
        <v>0</v>
      </c>
      <c r="EK68">
        <v>0</v>
      </c>
      <c r="EL68">
        <v>0</v>
      </c>
      <c r="EM68">
        <v>0</v>
      </c>
      <c r="EN68">
        <v>0</v>
      </c>
      <c r="EO68">
        <v>0</v>
      </c>
      <c r="EP68">
        <v>0</v>
      </c>
      <c r="EQ68">
        <v>0</v>
      </c>
      <c r="ER68">
        <v>0</v>
      </c>
      <c r="ES68">
        <v>0</v>
      </c>
      <c r="ET68">
        <v>0</v>
      </c>
      <c r="EU68">
        <v>0</v>
      </c>
      <c r="EV68">
        <v>0</v>
      </c>
      <c r="EW68">
        <v>0</v>
      </c>
      <c r="EX68">
        <v>0</v>
      </c>
      <c r="EY68">
        <v>0</v>
      </c>
      <c r="EZ68">
        <v>0</v>
      </c>
      <c r="FA68">
        <v>0</v>
      </c>
      <c r="FB68">
        <v>0</v>
      </c>
      <c r="FC68">
        <v>0</v>
      </c>
      <c r="FD68">
        <v>0</v>
      </c>
      <c r="FE68">
        <v>0</v>
      </c>
      <c r="FF68">
        <v>0</v>
      </c>
      <c r="FG68">
        <v>0</v>
      </c>
      <c r="FH68">
        <v>0</v>
      </c>
      <c r="FI68">
        <v>0</v>
      </c>
      <c r="FJ68">
        <v>0</v>
      </c>
      <c r="FK68">
        <v>0</v>
      </c>
      <c r="FL68">
        <v>0</v>
      </c>
      <c r="FM68">
        <v>0</v>
      </c>
      <c r="FN68">
        <v>0</v>
      </c>
      <c r="FO68">
        <v>0</v>
      </c>
      <c r="FP68">
        <v>0</v>
      </c>
      <c r="FQ68">
        <v>0</v>
      </c>
      <c r="FR68">
        <v>0</v>
      </c>
      <c r="FS68">
        <v>0</v>
      </c>
      <c r="FT68">
        <v>0</v>
      </c>
      <c r="FU68">
        <v>0</v>
      </c>
      <c r="FV68">
        <v>0</v>
      </c>
      <c r="FW68">
        <v>0</v>
      </c>
      <c r="FX68">
        <v>0</v>
      </c>
      <c r="FY68">
        <v>0</v>
      </c>
      <c r="FZ68">
        <v>0</v>
      </c>
      <c r="GA68">
        <v>0</v>
      </c>
      <c r="GB68">
        <v>0</v>
      </c>
      <c r="GC68">
        <v>0</v>
      </c>
      <c r="GD68">
        <v>0</v>
      </c>
      <c r="GE68">
        <v>0</v>
      </c>
      <c r="GF68">
        <v>0</v>
      </c>
      <c r="GG68">
        <v>0</v>
      </c>
      <c r="GH68">
        <v>0</v>
      </c>
      <c r="GI68">
        <v>0</v>
      </c>
      <c r="GJ68">
        <v>0</v>
      </c>
      <c r="GK68">
        <v>0</v>
      </c>
      <c r="GL68">
        <v>0</v>
      </c>
      <c r="GM68">
        <v>0</v>
      </c>
      <c r="GN68">
        <v>0</v>
      </c>
      <c r="GO68">
        <v>0</v>
      </c>
      <c r="GP68">
        <v>0</v>
      </c>
      <c r="GQ68">
        <v>0</v>
      </c>
      <c r="GR68">
        <v>0</v>
      </c>
      <c r="GS68">
        <v>0</v>
      </c>
      <c r="GT68">
        <v>0</v>
      </c>
      <c r="GU68">
        <v>0</v>
      </c>
      <c r="GV68">
        <v>0</v>
      </c>
      <c r="GW68">
        <v>0</v>
      </c>
      <c r="GX68">
        <v>0</v>
      </c>
      <c r="GY68">
        <v>0</v>
      </c>
      <c r="GZ68">
        <v>0</v>
      </c>
      <c r="HA68">
        <v>0</v>
      </c>
      <c r="HB68">
        <v>0</v>
      </c>
      <c r="HC68">
        <v>0</v>
      </c>
      <c r="HD68">
        <v>0</v>
      </c>
      <c r="HE68">
        <v>0</v>
      </c>
      <c r="HF68">
        <v>0</v>
      </c>
      <c r="HG68">
        <v>0</v>
      </c>
      <c r="HH68">
        <v>0</v>
      </c>
      <c r="HI68">
        <v>0</v>
      </c>
      <c r="HJ68">
        <v>0</v>
      </c>
      <c r="HK68">
        <v>0</v>
      </c>
      <c r="HL68">
        <v>0</v>
      </c>
      <c r="HM68">
        <v>0</v>
      </c>
      <c r="HN68">
        <v>0</v>
      </c>
      <c r="HO68">
        <v>0</v>
      </c>
      <c r="HP68">
        <v>0</v>
      </c>
      <c r="HQ68">
        <v>0</v>
      </c>
      <c r="HR68">
        <v>0</v>
      </c>
      <c r="HS68">
        <v>0</v>
      </c>
      <c r="HT68">
        <v>0</v>
      </c>
      <c r="HU68">
        <v>0</v>
      </c>
      <c r="HV68">
        <v>0</v>
      </c>
      <c r="HW68">
        <v>0</v>
      </c>
      <c r="HX68">
        <v>0</v>
      </c>
      <c r="HY68">
        <v>0</v>
      </c>
      <c r="HZ68">
        <v>0</v>
      </c>
      <c r="IA68">
        <v>0</v>
      </c>
      <c r="IB68">
        <v>0</v>
      </c>
      <c r="IC68">
        <v>0</v>
      </c>
      <c r="ID68">
        <v>0</v>
      </c>
      <c r="IE68">
        <v>0</v>
      </c>
      <c r="IF68">
        <v>0</v>
      </c>
      <c r="IG68">
        <v>0</v>
      </c>
      <c r="IH68">
        <v>0</v>
      </c>
      <c r="II68">
        <v>0</v>
      </c>
      <c r="IJ68">
        <v>0</v>
      </c>
      <c r="IK68">
        <v>0</v>
      </c>
      <c r="IL68">
        <v>0</v>
      </c>
      <c r="IM68">
        <v>0</v>
      </c>
      <c r="IN68">
        <v>0</v>
      </c>
      <c r="IO68">
        <v>0</v>
      </c>
      <c r="IP68">
        <v>0</v>
      </c>
      <c r="IQ68">
        <v>0</v>
      </c>
      <c r="IR68">
        <v>0</v>
      </c>
      <c r="IS68">
        <v>0</v>
      </c>
      <c r="IT68">
        <v>0</v>
      </c>
      <c r="IU68">
        <v>0</v>
      </c>
      <c r="IV68">
        <v>0</v>
      </c>
      <c r="IW68">
        <v>0</v>
      </c>
      <c r="IX68">
        <v>0</v>
      </c>
      <c r="IY68">
        <v>0</v>
      </c>
      <c r="IZ68">
        <v>0</v>
      </c>
      <c r="JA68">
        <v>0</v>
      </c>
      <c r="JB68">
        <v>0</v>
      </c>
      <c r="JC68">
        <v>0</v>
      </c>
      <c r="JD68">
        <v>0</v>
      </c>
      <c r="JE68">
        <v>0</v>
      </c>
      <c r="JF68">
        <v>0</v>
      </c>
      <c r="JG68">
        <v>0</v>
      </c>
      <c r="JH68">
        <v>0</v>
      </c>
      <c r="JI68">
        <v>0</v>
      </c>
      <c r="JJ68">
        <v>0</v>
      </c>
      <c r="JK68">
        <v>0</v>
      </c>
      <c r="JL68">
        <v>0</v>
      </c>
      <c r="JM68">
        <v>0</v>
      </c>
      <c r="JN68">
        <v>0</v>
      </c>
      <c r="JO68">
        <v>0</v>
      </c>
      <c r="JP68">
        <v>0</v>
      </c>
      <c r="JQ68">
        <v>0</v>
      </c>
      <c r="JR68">
        <v>0</v>
      </c>
      <c r="JS68">
        <v>0</v>
      </c>
      <c r="JT68">
        <v>0</v>
      </c>
      <c r="JU68">
        <v>0</v>
      </c>
      <c r="JV68">
        <v>0</v>
      </c>
      <c r="JW68">
        <v>0</v>
      </c>
      <c r="JX68">
        <v>0</v>
      </c>
      <c r="JY68">
        <v>0</v>
      </c>
      <c r="JZ68">
        <v>0</v>
      </c>
      <c r="KA68">
        <v>0</v>
      </c>
      <c r="KB68">
        <v>0</v>
      </c>
      <c r="KC68">
        <v>0</v>
      </c>
      <c r="KD68">
        <v>0</v>
      </c>
      <c r="KE68">
        <v>0</v>
      </c>
      <c r="KF68">
        <v>0</v>
      </c>
      <c r="KG68">
        <v>0</v>
      </c>
      <c r="KH68">
        <v>0</v>
      </c>
      <c r="KI68">
        <v>0</v>
      </c>
      <c r="KJ68">
        <v>0</v>
      </c>
      <c r="KK68">
        <v>0</v>
      </c>
      <c r="KL68">
        <v>0</v>
      </c>
      <c r="KM68">
        <v>0</v>
      </c>
      <c r="KN68">
        <v>0</v>
      </c>
      <c r="KO68">
        <v>0</v>
      </c>
      <c r="KP68">
        <v>0</v>
      </c>
      <c r="KQ68">
        <v>0</v>
      </c>
      <c r="KR68">
        <v>0</v>
      </c>
      <c r="KS68">
        <v>0</v>
      </c>
      <c r="KT68">
        <v>0</v>
      </c>
      <c r="KU68">
        <v>0</v>
      </c>
      <c r="KV68">
        <v>0</v>
      </c>
      <c r="KW68">
        <v>0</v>
      </c>
      <c r="KX68">
        <v>0</v>
      </c>
      <c r="KY68">
        <v>0</v>
      </c>
      <c r="KZ68">
        <v>0</v>
      </c>
      <c r="LA68">
        <v>0</v>
      </c>
      <c r="LB68">
        <v>0</v>
      </c>
      <c r="LC68">
        <v>0</v>
      </c>
      <c r="LD68">
        <v>0</v>
      </c>
      <c r="LE68">
        <v>0</v>
      </c>
      <c r="LF68">
        <v>0</v>
      </c>
      <c r="LG68">
        <v>0</v>
      </c>
      <c r="LH68">
        <v>0</v>
      </c>
      <c r="LI68">
        <v>0</v>
      </c>
      <c r="LJ68">
        <v>0</v>
      </c>
      <c r="LK68">
        <v>0</v>
      </c>
      <c r="LL68">
        <v>0</v>
      </c>
      <c r="LM68">
        <v>0</v>
      </c>
      <c r="LN68">
        <v>0</v>
      </c>
      <c r="LO68">
        <v>0</v>
      </c>
      <c r="LP68">
        <v>0</v>
      </c>
      <c r="LQ68">
        <v>0</v>
      </c>
      <c r="LR68">
        <v>0</v>
      </c>
      <c r="LS68">
        <v>0</v>
      </c>
      <c r="LT68">
        <v>0</v>
      </c>
      <c r="LU68">
        <v>0</v>
      </c>
      <c r="LV68">
        <v>0</v>
      </c>
      <c r="LW68">
        <v>0</v>
      </c>
      <c r="LX68">
        <v>0</v>
      </c>
      <c r="LY68">
        <v>0</v>
      </c>
      <c r="LZ68">
        <v>0</v>
      </c>
      <c r="MA68">
        <v>0</v>
      </c>
      <c r="MB68">
        <v>0</v>
      </c>
      <c r="MC68">
        <v>0</v>
      </c>
      <c r="MD68">
        <v>0</v>
      </c>
      <c r="ME68">
        <v>0</v>
      </c>
      <c r="MF68">
        <v>0</v>
      </c>
      <c r="MG68">
        <v>0</v>
      </c>
      <c r="MH68">
        <v>0</v>
      </c>
      <c r="MI68">
        <v>0</v>
      </c>
      <c r="MJ68">
        <v>0</v>
      </c>
      <c r="MK68">
        <v>0</v>
      </c>
      <c r="ML68">
        <v>0</v>
      </c>
      <c r="MM68">
        <v>0</v>
      </c>
      <c r="MN68">
        <v>0</v>
      </c>
      <c r="MO68">
        <v>0</v>
      </c>
      <c r="MP68">
        <v>0</v>
      </c>
      <c r="MQ68">
        <v>0</v>
      </c>
      <c r="MR68">
        <v>0</v>
      </c>
      <c r="MS68">
        <v>0</v>
      </c>
      <c r="MT68">
        <v>0</v>
      </c>
      <c r="MU68">
        <v>0</v>
      </c>
      <c r="MV68">
        <v>0</v>
      </c>
      <c r="MW68">
        <v>0</v>
      </c>
      <c r="MX68">
        <v>0</v>
      </c>
      <c r="MY68">
        <v>0</v>
      </c>
      <c r="MZ68">
        <v>0</v>
      </c>
      <c r="NA68">
        <v>0</v>
      </c>
      <c r="NB68">
        <v>0</v>
      </c>
      <c r="NC68">
        <v>0</v>
      </c>
      <c r="ND68">
        <v>0</v>
      </c>
      <c r="NE68">
        <v>0</v>
      </c>
    </row>
    <row r="69" spans="41:369" x14ac:dyDescent="0.45">
      <c r="AO69" t="str">
        <v>A166</v>
      </c>
      <c r="AP69" t="str">
        <v>Muhammed Naieem</v>
      </c>
      <c r="AQ69" t="str">
        <v>BADF</v>
      </c>
      <c r="AR69" t="str">
        <v>SUB JUNIOR</v>
      </c>
      <c r="AS69">
        <v>2</v>
      </c>
      <c r="AT69">
        <v>31</v>
      </c>
      <c r="AU69">
        <v>0</v>
      </c>
      <c r="AV69">
        <v>31</v>
      </c>
      <c r="AW69">
        <v>31</v>
      </c>
      <c r="AX69">
        <v>42</v>
      </c>
      <c r="AY69" s="5">
        <v>42</v>
      </c>
      <c r="AZ69" t="str">
        <v>JN24</v>
      </c>
      <c r="BA69" t="str">
        <v>SHORT STORY ENG</v>
      </c>
      <c r="BB69" t="str">
        <v>JUNIOR</v>
      </c>
      <c r="BC69" t="str">
        <v>Single</v>
      </c>
      <c r="BD69" t="str">
        <v>Non-Stg</v>
      </c>
      <c r="BE69">
        <v>3</v>
      </c>
      <c r="BF69" t="str">
        <v>Individual</v>
      </c>
      <c r="BG69" t="str">
        <v>Individual</v>
      </c>
      <c r="BH69" t="str">
        <v>P</v>
      </c>
      <c r="BI69" t="str">
        <v>PUBLISHED</v>
      </c>
      <c r="BK69">
        <v>63</v>
      </c>
      <c r="BL69" t="str">
        <v>JN20</v>
      </c>
      <c r="BM69" t="str">
        <v>QIRĀʾAH</v>
      </c>
      <c r="BN69">
        <v>3</v>
      </c>
      <c r="BO69" t="str">
        <v>Single</v>
      </c>
      <c r="BP69" t="str">
        <v>Non-Stg</v>
      </c>
      <c r="BQ69" t="str">
        <v>JUNIOR</v>
      </c>
      <c r="BR69" t="str">
        <v>B130</v>
      </c>
      <c r="BS69" t="str">
        <v>B135</v>
      </c>
      <c r="BT69" t="str">
        <v>B143</v>
      </c>
      <c r="BU69">
        <v>0</v>
      </c>
      <c r="BV69">
        <v>0</v>
      </c>
      <c r="BW69">
        <v>0</v>
      </c>
      <c r="BX69">
        <v>0</v>
      </c>
      <c r="BY69" t="str">
        <v>B132</v>
      </c>
      <c r="BZ69" t="str">
        <v>B139</v>
      </c>
      <c r="CA69" t="str">
        <v>B159</v>
      </c>
      <c r="CB69">
        <v>0</v>
      </c>
      <c r="CC69">
        <v>0</v>
      </c>
      <c r="CD69">
        <v>0</v>
      </c>
      <c r="CE69">
        <v>0</v>
      </c>
      <c r="CF69" t="str">
        <v>B103</v>
      </c>
      <c r="CG69" t="str">
        <v>B117</v>
      </c>
      <c r="CH69" t="str">
        <v>B153</v>
      </c>
      <c r="CI69">
        <v>0</v>
      </c>
      <c r="CJ69">
        <v>0</v>
      </c>
      <c r="CK69">
        <v>0</v>
      </c>
      <c r="CL69">
        <v>0</v>
      </c>
      <c r="CM69" t="str">
        <v>B105</v>
      </c>
      <c r="CN69" t="str">
        <v>B152</v>
      </c>
      <c r="CO69" t="str">
        <v>B160</v>
      </c>
      <c r="CP69">
        <v>0</v>
      </c>
      <c r="CQ69">
        <v>0</v>
      </c>
      <c r="CR69">
        <v>0</v>
      </c>
      <c r="CS69">
        <v>0</v>
      </c>
      <c r="CT69">
        <v>0</v>
      </c>
      <c r="CU69">
        <v>0</v>
      </c>
      <c r="CV69">
        <v>0</v>
      </c>
      <c r="CW69">
        <v>0</v>
      </c>
      <c r="CX69">
        <v>0</v>
      </c>
      <c r="CY69">
        <v>0</v>
      </c>
      <c r="CZ69">
        <v>0</v>
      </c>
      <c r="DA69">
        <v>0</v>
      </c>
      <c r="DB69">
        <v>0</v>
      </c>
      <c r="DC69">
        <v>0</v>
      </c>
      <c r="DD69">
        <v>0</v>
      </c>
      <c r="DE69">
        <v>0</v>
      </c>
      <c r="DF69">
        <v>0</v>
      </c>
      <c r="DG69">
        <v>0</v>
      </c>
      <c r="DH69">
        <v>0</v>
      </c>
      <c r="DI69">
        <v>0</v>
      </c>
      <c r="DJ69">
        <v>0</v>
      </c>
      <c r="DK69">
        <v>0</v>
      </c>
      <c r="DL69">
        <v>0</v>
      </c>
      <c r="DM69">
        <v>0</v>
      </c>
      <c r="DN69">
        <v>0</v>
      </c>
      <c r="DO69">
        <v>0</v>
      </c>
      <c r="DP69">
        <v>0</v>
      </c>
      <c r="DQ69">
        <v>0</v>
      </c>
      <c r="DR69">
        <v>0</v>
      </c>
      <c r="DS69">
        <v>0</v>
      </c>
      <c r="DT69">
        <v>0</v>
      </c>
      <c r="DU69">
        <v>0</v>
      </c>
      <c r="DV69">
        <v>0</v>
      </c>
      <c r="DW69">
        <v>0</v>
      </c>
      <c r="DX69">
        <v>0</v>
      </c>
      <c r="DY69">
        <v>0</v>
      </c>
      <c r="DZ69">
        <v>0</v>
      </c>
      <c r="EA69">
        <v>0</v>
      </c>
      <c r="EB69">
        <v>0</v>
      </c>
      <c r="EC69">
        <v>0</v>
      </c>
      <c r="ED69">
        <v>0</v>
      </c>
      <c r="EE69">
        <v>0</v>
      </c>
      <c r="EF69">
        <v>0</v>
      </c>
      <c r="EG69">
        <v>0</v>
      </c>
      <c r="EH69">
        <v>0</v>
      </c>
      <c r="EI69">
        <v>0</v>
      </c>
      <c r="EJ69">
        <v>0</v>
      </c>
      <c r="EK69">
        <v>0</v>
      </c>
      <c r="EL69">
        <v>0</v>
      </c>
      <c r="EM69">
        <v>0</v>
      </c>
      <c r="EN69">
        <v>0</v>
      </c>
      <c r="EO69">
        <v>0</v>
      </c>
      <c r="EP69">
        <v>0</v>
      </c>
      <c r="EQ69">
        <v>0</v>
      </c>
      <c r="ER69">
        <v>0</v>
      </c>
      <c r="ES69">
        <v>0</v>
      </c>
      <c r="ET69">
        <v>0</v>
      </c>
      <c r="EU69">
        <v>0</v>
      </c>
      <c r="EV69">
        <v>0</v>
      </c>
      <c r="EW69">
        <v>0</v>
      </c>
      <c r="EX69">
        <v>0</v>
      </c>
      <c r="EY69">
        <v>0</v>
      </c>
      <c r="EZ69">
        <v>0</v>
      </c>
      <c r="FA69">
        <v>0</v>
      </c>
      <c r="FB69">
        <v>0</v>
      </c>
      <c r="FC69">
        <v>0</v>
      </c>
      <c r="FD69">
        <v>0</v>
      </c>
      <c r="FE69">
        <v>0</v>
      </c>
      <c r="FF69">
        <v>0</v>
      </c>
      <c r="FG69">
        <v>0</v>
      </c>
      <c r="FH69">
        <v>0</v>
      </c>
      <c r="FI69">
        <v>0</v>
      </c>
      <c r="FJ69">
        <v>0</v>
      </c>
      <c r="FK69">
        <v>0</v>
      </c>
      <c r="FL69">
        <v>0</v>
      </c>
      <c r="FM69">
        <v>0</v>
      </c>
      <c r="FN69">
        <v>0</v>
      </c>
      <c r="FO69">
        <v>0</v>
      </c>
      <c r="FP69">
        <v>0</v>
      </c>
      <c r="FQ69">
        <v>0</v>
      </c>
      <c r="FR69">
        <v>0</v>
      </c>
      <c r="FS69">
        <v>0</v>
      </c>
      <c r="FT69">
        <v>0</v>
      </c>
      <c r="FU69">
        <v>0</v>
      </c>
      <c r="FV69">
        <v>0</v>
      </c>
      <c r="FW69">
        <v>0</v>
      </c>
      <c r="FX69">
        <v>0</v>
      </c>
      <c r="FY69">
        <v>0</v>
      </c>
      <c r="FZ69">
        <v>0</v>
      </c>
      <c r="GA69">
        <v>0</v>
      </c>
      <c r="GB69">
        <v>0</v>
      </c>
      <c r="GC69">
        <v>0</v>
      </c>
      <c r="GD69">
        <v>0</v>
      </c>
      <c r="GE69">
        <v>0</v>
      </c>
      <c r="GF69">
        <v>0</v>
      </c>
      <c r="GG69">
        <v>0</v>
      </c>
      <c r="GH69">
        <v>0</v>
      </c>
      <c r="GI69">
        <v>0</v>
      </c>
      <c r="GJ69">
        <v>0</v>
      </c>
      <c r="GK69">
        <v>0</v>
      </c>
      <c r="GL69">
        <v>0</v>
      </c>
      <c r="GM69">
        <v>0</v>
      </c>
      <c r="GN69">
        <v>0</v>
      </c>
      <c r="GO69">
        <v>0</v>
      </c>
      <c r="GP69">
        <v>0</v>
      </c>
      <c r="GQ69">
        <v>0</v>
      </c>
      <c r="GR69">
        <v>0</v>
      </c>
      <c r="GS69">
        <v>0</v>
      </c>
      <c r="GT69">
        <v>0</v>
      </c>
      <c r="GU69">
        <v>0</v>
      </c>
      <c r="GV69">
        <v>0</v>
      </c>
      <c r="GW69">
        <v>0</v>
      </c>
      <c r="GX69">
        <v>0</v>
      </c>
      <c r="GY69">
        <v>0</v>
      </c>
      <c r="GZ69">
        <v>0</v>
      </c>
      <c r="HA69">
        <v>0</v>
      </c>
      <c r="HB69">
        <v>0</v>
      </c>
      <c r="HC69">
        <v>0</v>
      </c>
      <c r="HD69">
        <v>0</v>
      </c>
      <c r="HE69">
        <v>0</v>
      </c>
      <c r="HF69">
        <v>0</v>
      </c>
      <c r="HG69">
        <v>0</v>
      </c>
      <c r="HH69">
        <v>0</v>
      </c>
      <c r="HI69">
        <v>0</v>
      </c>
      <c r="HJ69">
        <v>0</v>
      </c>
      <c r="HK69">
        <v>0</v>
      </c>
      <c r="HL69">
        <v>0</v>
      </c>
      <c r="HM69">
        <v>0</v>
      </c>
      <c r="HN69">
        <v>0</v>
      </c>
      <c r="HO69">
        <v>0</v>
      </c>
      <c r="HP69">
        <v>0</v>
      </c>
      <c r="HQ69">
        <v>0</v>
      </c>
      <c r="HR69">
        <v>0</v>
      </c>
      <c r="HS69">
        <v>0</v>
      </c>
      <c r="HT69">
        <v>0</v>
      </c>
      <c r="HU69">
        <v>0</v>
      </c>
      <c r="HV69">
        <v>0</v>
      </c>
      <c r="HW69">
        <v>0</v>
      </c>
      <c r="HX69">
        <v>0</v>
      </c>
      <c r="HY69">
        <v>0</v>
      </c>
      <c r="HZ69">
        <v>0</v>
      </c>
      <c r="IA69">
        <v>0</v>
      </c>
      <c r="IB69">
        <v>0</v>
      </c>
      <c r="IC69">
        <v>0</v>
      </c>
      <c r="ID69">
        <v>0</v>
      </c>
      <c r="IE69">
        <v>0</v>
      </c>
      <c r="IF69">
        <v>0</v>
      </c>
      <c r="IG69">
        <v>0</v>
      </c>
      <c r="IH69">
        <v>0</v>
      </c>
      <c r="II69">
        <v>0</v>
      </c>
      <c r="IJ69">
        <v>0</v>
      </c>
      <c r="IK69">
        <v>0</v>
      </c>
      <c r="IL69">
        <v>0</v>
      </c>
      <c r="IM69">
        <v>0</v>
      </c>
      <c r="IN69">
        <v>0</v>
      </c>
      <c r="IO69">
        <v>0</v>
      </c>
      <c r="IP69">
        <v>0</v>
      </c>
      <c r="IQ69">
        <v>0</v>
      </c>
      <c r="IR69">
        <v>0</v>
      </c>
      <c r="IS69">
        <v>0</v>
      </c>
      <c r="IT69">
        <v>0</v>
      </c>
      <c r="IU69">
        <v>0</v>
      </c>
      <c r="IV69">
        <v>0</v>
      </c>
      <c r="IW69">
        <v>0</v>
      </c>
      <c r="IX69">
        <v>0</v>
      </c>
      <c r="IY69">
        <v>0</v>
      </c>
      <c r="IZ69">
        <v>0</v>
      </c>
      <c r="JA69">
        <v>0</v>
      </c>
      <c r="JB69">
        <v>0</v>
      </c>
      <c r="JC69">
        <v>0</v>
      </c>
      <c r="JD69">
        <v>0</v>
      </c>
      <c r="JE69">
        <v>0</v>
      </c>
      <c r="JF69">
        <v>0</v>
      </c>
      <c r="JG69">
        <v>0</v>
      </c>
      <c r="JH69">
        <v>0</v>
      </c>
      <c r="JI69">
        <v>0</v>
      </c>
      <c r="JJ69">
        <v>0</v>
      </c>
      <c r="JK69">
        <v>0</v>
      </c>
      <c r="JL69">
        <v>0</v>
      </c>
      <c r="JM69">
        <v>0</v>
      </c>
      <c r="JN69">
        <v>0</v>
      </c>
      <c r="JO69">
        <v>0</v>
      </c>
      <c r="JP69">
        <v>0</v>
      </c>
      <c r="JQ69">
        <v>0</v>
      </c>
      <c r="JR69">
        <v>0</v>
      </c>
      <c r="JS69">
        <v>0</v>
      </c>
      <c r="JT69">
        <v>0</v>
      </c>
      <c r="JU69">
        <v>0</v>
      </c>
      <c r="JV69">
        <v>0</v>
      </c>
      <c r="JW69">
        <v>0</v>
      </c>
      <c r="JX69">
        <v>0</v>
      </c>
      <c r="JY69">
        <v>0</v>
      </c>
      <c r="JZ69">
        <v>0</v>
      </c>
      <c r="KA69">
        <v>0</v>
      </c>
      <c r="KB69">
        <v>0</v>
      </c>
      <c r="KC69">
        <v>0</v>
      </c>
      <c r="KD69">
        <v>0</v>
      </c>
      <c r="KE69">
        <v>0</v>
      </c>
      <c r="KF69">
        <v>0</v>
      </c>
      <c r="KG69">
        <v>0</v>
      </c>
      <c r="KH69">
        <v>0</v>
      </c>
      <c r="KI69">
        <v>0</v>
      </c>
      <c r="KJ69">
        <v>0</v>
      </c>
      <c r="KK69">
        <v>0</v>
      </c>
      <c r="KL69">
        <v>0</v>
      </c>
      <c r="KM69">
        <v>0</v>
      </c>
      <c r="KN69">
        <v>0</v>
      </c>
      <c r="KO69">
        <v>0</v>
      </c>
      <c r="KP69">
        <v>0</v>
      </c>
      <c r="KQ69">
        <v>0</v>
      </c>
      <c r="KR69">
        <v>0</v>
      </c>
      <c r="KS69">
        <v>0</v>
      </c>
      <c r="KT69">
        <v>0</v>
      </c>
      <c r="KU69">
        <v>0</v>
      </c>
      <c r="KV69">
        <v>0</v>
      </c>
      <c r="KW69">
        <v>0</v>
      </c>
      <c r="KX69">
        <v>0</v>
      </c>
      <c r="KY69">
        <v>0</v>
      </c>
      <c r="KZ69">
        <v>0</v>
      </c>
      <c r="LA69">
        <v>0</v>
      </c>
      <c r="LB69">
        <v>0</v>
      </c>
      <c r="LC69">
        <v>0</v>
      </c>
      <c r="LD69">
        <v>0</v>
      </c>
      <c r="LE69">
        <v>0</v>
      </c>
      <c r="LF69">
        <v>0</v>
      </c>
      <c r="LG69">
        <v>0</v>
      </c>
      <c r="LH69">
        <v>0</v>
      </c>
      <c r="LI69">
        <v>0</v>
      </c>
      <c r="LJ69">
        <v>0</v>
      </c>
      <c r="LK69">
        <v>0</v>
      </c>
      <c r="LL69">
        <v>0</v>
      </c>
      <c r="LM69">
        <v>0</v>
      </c>
      <c r="LN69">
        <v>0</v>
      </c>
      <c r="LO69">
        <v>0</v>
      </c>
      <c r="LP69">
        <v>0</v>
      </c>
      <c r="LQ69">
        <v>0</v>
      </c>
      <c r="LR69">
        <v>0</v>
      </c>
      <c r="LS69">
        <v>0</v>
      </c>
      <c r="LT69">
        <v>0</v>
      </c>
      <c r="LU69">
        <v>0</v>
      </c>
      <c r="LV69">
        <v>0</v>
      </c>
      <c r="LW69">
        <v>0</v>
      </c>
      <c r="LX69">
        <v>0</v>
      </c>
      <c r="LY69">
        <v>0</v>
      </c>
      <c r="LZ69">
        <v>0</v>
      </c>
      <c r="MA69">
        <v>0</v>
      </c>
      <c r="MB69">
        <v>0</v>
      </c>
      <c r="MC69">
        <v>0</v>
      </c>
      <c r="MD69">
        <v>0</v>
      </c>
      <c r="ME69">
        <v>0</v>
      </c>
      <c r="MF69">
        <v>0</v>
      </c>
      <c r="MG69">
        <v>0</v>
      </c>
      <c r="MH69">
        <v>0</v>
      </c>
      <c r="MI69">
        <v>0</v>
      </c>
      <c r="MJ69">
        <v>0</v>
      </c>
      <c r="MK69">
        <v>0</v>
      </c>
      <c r="ML69">
        <v>0</v>
      </c>
      <c r="MM69">
        <v>0</v>
      </c>
      <c r="MN69">
        <v>0</v>
      </c>
      <c r="MO69">
        <v>0</v>
      </c>
      <c r="MP69">
        <v>0</v>
      </c>
      <c r="MQ69">
        <v>0</v>
      </c>
      <c r="MR69">
        <v>0</v>
      </c>
      <c r="MS69">
        <v>0</v>
      </c>
      <c r="MT69">
        <v>0</v>
      </c>
      <c r="MU69">
        <v>0</v>
      </c>
      <c r="MV69">
        <v>0</v>
      </c>
      <c r="MW69">
        <v>0</v>
      </c>
      <c r="MX69">
        <v>0</v>
      </c>
      <c r="MY69">
        <v>0</v>
      </c>
      <c r="MZ69">
        <v>0</v>
      </c>
      <c r="NA69">
        <v>0</v>
      </c>
      <c r="NB69">
        <v>0</v>
      </c>
      <c r="NC69">
        <v>0</v>
      </c>
      <c r="ND69">
        <v>0</v>
      </c>
      <c r="NE69">
        <v>0</v>
      </c>
    </row>
    <row r="70" spans="41:369" x14ac:dyDescent="0.45">
      <c r="AO70" t="str">
        <v>A167</v>
      </c>
      <c r="AP70" t="str">
        <v>MUHAMMED RAEES C A</v>
      </c>
      <c r="AQ70" t="str">
        <v>BADF</v>
      </c>
      <c r="AR70" t="str">
        <v>SUB JUNIOR</v>
      </c>
      <c r="AS70">
        <v>2</v>
      </c>
      <c r="AT70">
        <v>40</v>
      </c>
      <c r="AU70">
        <v>0</v>
      </c>
      <c r="AV70">
        <v>40</v>
      </c>
      <c r="AW70">
        <v>40</v>
      </c>
      <c r="AX70">
        <v>23</v>
      </c>
      <c r="AY70" s="5">
        <v>23</v>
      </c>
      <c r="AZ70" t="str">
        <v>JN25</v>
      </c>
      <c r="BA70" t="str">
        <v>SHORT STORY MLM</v>
      </c>
      <c r="BB70" t="str">
        <v>JUNIOR</v>
      </c>
      <c r="BC70" t="str">
        <v>Single</v>
      </c>
      <c r="BD70" t="str">
        <v>Non-Stg</v>
      </c>
      <c r="BE70">
        <v>3</v>
      </c>
      <c r="BF70" t="str">
        <v>Individual</v>
      </c>
      <c r="BG70" t="str">
        <v>Individual</v>
      </c>
      <c r="BH70" t="str">
        <v>P</v>
      </c>
      <c r="BI70" t="str">
        <v>PUBLISHED</v>
      </c>
      <c r="BK70">
        <v>64</v>
      </c>
      <c r="BL70" t="str">
        <v>JN21</v>
      </c>
      <c r="BM70" t="str">
        <v>SCIENCE MASTER</v>
      </c>
      <c r="BN70">
        <v>3</v>
      </c>
      <c r="BO70" t="str">
        <v>Single</v>
      </c>
      <c r="BP70" t="str">
        <v>Non-Stg</v>
      </c>
      <c r="BQ70" t="str">
        <v>JUNIOR</v>
      </c>
      <c r="BR70" t="str">
        <v>B104</v>
      </c>
      <c r="BS70" t="str">
        <v>B123</v>
      </c>
      <c r="BT70" t="str">
        <v>B144</v>
      </c>
      <c r="BU70">
        <v>0</v>
      </c>
      <c r="BV70">
        <v>0</v>
      </c>
      <c r="BW70">
        <v>0</v>
      </c>
      <c r="BX70">
        <v>0</v>
      </c>
      <c r="BY70" t="str">
        <v>B110</v>
      </c>
      <c r="BZ70" t="str">
        <v>B122</v>
      </c>
      <c r="CA70" t="str">
        <v>B127</v>
      </c>
      <c r="CB70">
        <v>0</v>
      </c>
      <c r="CC70">
        <v>0</v>
      </c>
      <c r="CD70">
        <v>0</v>
      </c>
      <c r="CE70">
        <v>0</v>
      </c>
      <c r="CF70" t="str">
        <v>B137</v>
      </c>
      <c r="CG70" t="str">
        <v>B142</v>
      </c>
      <c r="CH70" t="str">
        <v>B151</v>
      </c>
      <c r="CI70">
        <v>0</v>
      </c>
      <c r="CJ70">
        <v>0</v>
      </c>
      <c r="CK70">
        <v>0</v>
      </c>
      <c r="CL70">
        <v>0</v>
      </c>
      <c r="CM70" t="str">
        <v>B131</v>
      </c>
      <c r="CN70" t="str">
        <v>B148</v>
      </c>
      <c r="CO70" t="str">
        <v>B156</v>
      </c>
      <c r="CP70">
        <v>0</v>
      </c>
      <c r="CQ70">
        <v>0</v>
      </c>
      <c r="CR70">
        <v>0</v>
      </c>
      <c r="CS70">
        <v>0</v>
      </c>
      <c r="CT70">
        <v>0</v>
      </c>
      <c r="CU70">
        <v>0</v>
      </c>
      <c r="CV70">
        <v>0</v>
      </c>
      <c r="CW70">
        <v>0</v>
      </c>
      <c r="CX70">
        <v>0</v>
      </c>
      <c r="CY70">
        <v>0</v>
      </c>
      <c r="CZ70">
        <v>0</v>
      </c>
      <c r="DA70">
        <v>0</v>
      </c>
      <c r="DB70">
        <v>0</v>
      </c>
      <c r="DC70">
        <v>0</v>
      </c>
      <c r="DD70">
        <v>0</v>
      </c>
      <c r="DE70">
        <v>0</v>
      </c>
      <c r="DF70">
        <v>0</v>
      </c>
      <c r="DG70">
        <v>0</v>
      </c>
      <c r="DH70">
        <v>0</v>
      </c>
      <c r="DI70">
        <v>0</v>
      </c>
      <c r="DJ70">
        <v>0</v>
      </c>
      <c r="DK70">
        <v>0</v>
      </c>
      <c r="DL70">
        <v>0</v>
      </c>
      <c r="DM70">
        <v>0</v>
      </c>
      <c r="DN70">
        <v>0</v>
      </c>
      <c r="DO70">
        <v>0</v>
      </c>
      <c r="DP70">
        <v>0</v>
      </c>
      <c r="DQ70">
        <v>0</v>
      </c>
      <c r="DR70">
        <v>0</v>
      </c>
      <c r="DS70">
        <v>0</v>
      </c>
      <c r="DT70">
        <v>0</v>
      </c>
      <c r="DU70">
        <v>0</v>
      </c>
      <c r="DV70">
        <v>0</v>
      </c>
      <c r="DW70">
        <v>0</v>
      </c>
      <c r="DX70">
        <v>0</v>
      </c>
      <c r="DY70">
        <v>0</v>
      </c>
      <c r="DZ70">
        <v>0</v>
      </c>
      <c r="EA70">
        <v>0</v>
      </c>
      <c r="EB70">
        <v>0</v>
      </c>
      <c r="EC70">
        <v>0</v>
      </c>
      <c r="ED70">
        <v>0</v>
      </c>
      <c r="EE70">
        <v>0</v>
      </c>
      <c r="EF70">
        <v>0</v>
      </c>
      <c r="EG70">
        <v>0</v>
      </c>
      <c r="EH70">
        <v>0</v>
      </c>
      <c r="EI70">
        <v>0</v>
      </c>
      <c r="EJ70">
        <v>0</v>
      </c>
      <c r="EK70">
        <v>0</v>
      </c>
      <c r="EL70">
        <v>0</v>
      </c>
      <c r="EM70">
        <v>0</v>
      </c>
      <c r="EN70">
        <v>0</v>
      </c>
      <c r="EO70">
        <v>0</v>
      </c>
      <c r="EP70">
        <v>0</v>
      </c>
      <c r="EQ70">
        <v>0</v>
      </c>
      <c r="ER70">
        <v>0</v>
      </c>
      <c r="ES70">
        <v>0</v>
      </c>
      <c r="ET70">
        <v>0</v>
      </c>
      <c r="EU70">
        <v>0</v>
      </c>
      <c r="EV70">
        <v>0</v>
      </c>
      <c r="EW70">
        <v>0</v>
      </c>
      <c r="EX70">
        <v>0</v>
      </c>
      <c r="EY70">
        <v>0</v>
      </c>
      <c r="EZ70">
        <v>0</v>
      </c>
      <c r="FA70">
        <v>0</v>
      </c>
      <c r="FB70">
        <v>0</v>
      </c>
      <c r="FC70">
        <v>0</v>
      </c>
      <c r="FD70">
        <v>0</v>
      </c>
      <c r="FE70">
        <v>0</v>
      </c>
      <c r="FF70">
        <v>0</v>
      </c>
      <c r="FG70">
        <v>0</v>
      </c>
      <c r="FH70">
        <v>0</v>
      </c>
      <c r="FI70">
        <v>0</v>
      </c>
      <c r="FJ70">
        <v>0</v>
      </c>
      <c r="FK70">
        <v>0</v>
      </c>
      <c r="FL70">
        <v>0</v>
      </c>
      <c r="FM70">
        <v>0</v>
      </c>
      <c r="FN70">
        <v>0</v>
      </c>
      <c r="FO70">
        <v>0</v>
      </c>
      <c r="FP70">
        <v>0</v>
      </c>
      <c r="FQ70">
        <v>0</v>
      </c>
      <c r="FR70">
        <v>0</v>
      </c>
      <c r="FS70">
        <v>0</v>
      </c>
      <c r="FT70">
        <v>0</v>
      </c>
      <c r="FU70">
        <v>0</v>
      </c>
      <c r="FV70">
        <v>0</v>
      </c>
      <c r="FW70">
        <v>0</v>
      </c>
      <c r="FX70">
        <v>0</v>
      </c>
      <c r="FY70">
        <v>0</v>
      </c>
      <c r="FZ70">
        <v>0</v>
      </c>
      <c r="GA70">
        <v>0</v>
      </c>
      <c r="GB70">
        <v>0</v>
      </c>
      <c r="GC70">
        <v>0</v>
      </c>
      <c r="GD70">
        <v>0</v>
      </c>
      <c r="GE70">
        <v>0</v>
      </c>
      <c r="GF70">
        <v>0</v>
      </c>
      <c r="GG70">
        <v>0</v>
      </c>
      <c r="GH70">
        <v>0</v>
      </c>
      <c r="GI70">
        <v>0</v>
      </c>
      <c r="GJ70">
        <v>0</v>
      </c>
      <c r="GK70">
        <v>0</v>
      </c>
      <c r="GL70">
        <v>0</v>
      </c>
      <c r="GM70">
        <v>0</v>
      </c>
      <c r="GN70">
        <v>0</v>
      </c>
      <c r="GO70">
        <v>0</v>
      </c>
      <c r="GP70">
        <v>0</v>
      </c>
      <c r="GQ70">
        <v>0</v>
      </c>
      <c r="GR70">
        <v>0</v>
      </c>
      <c r="GS70">
        <v>0</v>
      </c>
      <c r="GT70">
        <v>0</v>
      </c>
      <c r="GU70">
        <v>0</v>
      </c>
      <c r="GV70">
        <v>0</v>
      </c>
      <c r="GW70">
        <v>0</v>
      </c>
      <c r="GX70">
        <v>0</v>
      </c>
      <c r="GY70">
        <v>0</v>
      </c>
      <c r="GZ70">
        <v>0</v>
      </c>
      <c r="HA70">
        <v>0</v>
      </c>
      <c r="HB70">
        <v>0</v>
      </c>
      <c r="HC70">
        <v>0</v>
      </c>
      <c r="HD70">
        <v>0</v>
      </c>
      <c r="HE70">
        <v>0</v>
      </c>
      <c r="HF70">
        <v>0</v>
      </c>
      <c r="HG70">
        <v>0</v>
      </c>
      <c r="HH70">
        <v>0</v>
      </c>
      <c r="HI70">
        <v>0</v>
      </c>
      <c r="HJ70">
        <v>0</v>
      </c>
      <c r="HK70">
        <v>0</v>
      </c>
      <c r="HL70">
        <v>0</v>
      </c>
      <c r="HM70">
        <v>0</v>
      </c>
      <c r="HN70">
        <v>0</v>
      </c>
      <c r="HO70">
        <v>0</v>
      </c>
      <c r="HP70">
        <v>0</v>
      </c>
      <c r="HQ70">
        <v>0</v>
      </c>
      <c r="HR70">
        <v>0</v>
      </c>
      <c r="HS70">
        <v>0</v>
      </c>
      <c r="HT70">
        <v>0</v>
      </c>
      <c r="HU70">
        <v>0</v>
      </c>
      <c r="HV70">
        <v>0</v>
      </c>
      <c r="HW70">
        <v>0</v>
      </c>
      <c r="HX70">
        <v>0</v>
      </c>
      <c r="HY70">
        <v>0</v>
      </c>
      <c r="HZ70">
        <v>0</v>
      </c>
      <c r="IA70">
        <v>0</v>
      </c>
      <c r="IB70">
        <v>0</v>
      </c>
      <c r="IC70">
        <v>0</v>
      </c>
      <c r="ID70">
        <v>0</v>
      </c>
      <c r="IE70">
        <v>0</v>
      </c>
      <c r="IF70">
        <v>0</v>
      </c>
      <c r="IG70">
        <v>0</v>
      </c>
      <c r="IH70">
        <v>0</v>
      </c>
      <c r="II70">
        <v>0</v>
      </c>
      <c r="IJ70">
        <v>0</v>
      </c>
      <c r="IK70">
        <v>0</v>
      </c>
      <c r="IL70">
        <v>0</v>
      </c>
      <c r="IM70">
        <v>0</v>
      </c>
      <c r="IN70">
        <v>0</v>
      </c>
      <c r="IO70">
        <v>0</v>
      </c>
      <c r="IP70">
        <v>0</v>
      </c>
      <c r="IQ70">
        <v>0</v>
      </c>
      <c r="IR70">
        <v>0</v>
      </c>
      <c r="IS70">
        <v>0</v>
      </c>
      <c r="IT70">
        <v>0</v>
      </c>
      <c r="IU70">
        <v>0</v>
      </c>
      <c r="IV70">
        <v>0</v>
      </c>
      <c r="IW70">
        <v>0</v>
      </c>
      <c r="IX70">
        <v>0</v>
      </c>
      <c r="IY70">
        <v>0</v>
      </c>
      <c r="IZ70">
        <v>0</v>
      </c>
      <c r="JA70">
        <v>0</v>
      </c>
      <c r="JB70">
        <v>0</v>
      </c>
      <c r="JC70">
        <v>0</v>
      </c>
      <c r="JD70">
        <v>0</v>
      </c>
      <c r="JE70">
        <v>0</v>
      </c>
      <c r="JF70">
        <v>0</v>
      </c>
      <c r="JG70">
        <v>0</v>
      </c>
      <c r="JH70">
        <v>0</v>
      </c>
      <c r="JI70">
        <v>0</v>
      </c>
      <c r="JJ70">
        <v>0</v>
      </c>
      <c r="JK70">
        <v>0</v>
      </c>
      <c r="JL70">
        <v>0</v>
      </c>
      <c r="JM70">
        <v>0</v>
      </c>
      <c r="JN70">
        <v>0</v>
      </c>
      <c r="JO70">
        <v>0</v>
      </c>
      <c r="JP70">
        <v>0</v>
      </c>
      <c r="JQ70">
        <v>0</v>
      </c>
      <c r="JR70">
        <v>0</v>
      </c>
      <c r="JS70">
        <v>0</v>
      </c>
      <c r="JT70">
        <v>0</v>
      </c>
      <c r="JU70">
        <v>0</v>
      </c>
      <c r="JV70">
        <v>0</v>
      </c>
      <c r="JW70">
        <v>0</v>
      </c>
      <c r="JX70">
        <v>0</v>
      </c>
      <c r="JY70">
        <v>0</v>
      </c>
      <c r="JZ70">
        <v>0</v>
      </c>
      <c r="KA70">
        <v>0</v>
      </c>
      <c r="KB70">
        <v>0</v>
      </c>
      <c r="KC70">
        <v>0</v>
      </c>
      <c r="KD70">
        <v>0</v>
      </c>
      <c r="KE70">
        <v>0</v>
      </c>
      <c r="KF70">
        <v>0</v>
      </c>
      <c r="KG70">
        <v>0</v>
      </c>
      <c r="KH70">
        <v>0</v>
      </c>
      <c r="KI70">
        <v>0</v>
      </c>
      <c r="KJ70">
        <v>0</v>
      </c>
      <c r="KK70">
        <v>0</v>
      </c>
      <c r="KL70">
        <v>0</v>
      </c>
      <c r="KM70">
        <v>0</v>
      </c>
      <c r="KN70">
        <v>0</v>
      </c>
      <c r="KO70">
        <v>0</v>
      </c>
      <c r="KP70">
        <v>0</v>
      </c>
      <c r="KQ70">
        <v>0</v>
      </c>
      <c r="KR70">
        <v>0</v>
      </c>
      <c r="KS70">
        <v>0</v>
      </c>
      <c r="KT70">
        <v>0</v>
      </c>
      <c r="KU70">
        <v>0</v>
      </c>
      <c r="KV70">
        <v>0</v>
      </c>
      <c r="KW70">
        <v>0</v>
      </c>
      <c r="KX70">
        <v>0</v>
      </c>
      <c r="KY70">
        <v>0</v>
      </c>
      <c r="KZ70">
        <v>0</v>
      </c>
      <c r="LA70">
        <v>0</v>
      </c>
      <c r="LB70">
        <v>0</v>
      </c>
      <c r="LC70">
        <v>0</v>
      </c>
      <c r="LD70">
        <v>0</v>
      </c>
      <c r="LE70">
        <v>0</v>
      </c>
      <c r="LF70">
        <v>0</v>
      </c>
      <c r="LG70">
        <v>0</v>
      </c>
      <c r="LH70">
        <v>0</v>
      </c>
      <c r="LI70">
        <v>0</v>
      </c>
      <c r="LJ70">
        <v>0</v>
      </c>
      <c r="LK70">
        <v>0</v>
      </c>
      <c r="LL70">
        <v>0</v>
      </c>
      <c r="LM70">
        <v>0</v>
      </c>
      <c r="LN70">
        <v>0</v>
      </c>
      <c r="LO70">
        <v>0</v>
      </c>
      <c r="LP70">
        <v>0</v>
      </c>
      <c r="LQ70">
        <v>0</v>
      </c>
      <c r="LR70">
        <v>0</v>
      </c>
      <c r="LS70">
        <v>0</v>
      </c>
      <c r="LT70">
        <v>0</v>
      </c>
      <c r="LU70">
        <v>0</v>
      </c>
      <c r="LV70">
        <v>0</v>
      </c>
      <c r="LW70">
        <v>0</v>
      </c>
      <c r="LX70">
        <v>0</v>
      </c>
      <c r="LY70">
        <v>0</v>
      </c>
      <c r="LZ70">
        <v>0</v>
      </c>
      <c r="MA70">
        <v>0</v>
      </c>
      <c r="MB70">
        <v>0</v>
      </c>
      <c r="MC70">
        <v>0</v>
      </c>
      <c r="MD70">
        <v>0</v>
      </c>
      <c r="ME70">
        <v>0</v>
      </c>
      <c r="MF70">
        <v>0</v>
      </c>
      <c r="MG70">
        <v>0</v>
      </c>
      <c r="MH70">
        <v>0</v>
      </c>
      <c r="MI70">
        <v>0</v>
      </c>
      <c r="MJ70">
        <v>0</v>
      </c>
      <c r="MK70">
        <v>0</v>
      </c>
      <c r="ML70">
        <v>0</v>
      </c>
      <c r="MM70">
        <v>0</v>
      </c>
      <c r="MN70">
        <v>0</v>
      </c>
      <c r="MO70">
        <v>0</v>
      </c>
      <c r="MP70">
        <v>0</v>
      </c>
      <c r="MQ70">
        <v>0</v>
      </c>
      <c r="MR70">
        <v>0</v>
      </c>
      <c r="MS70">
        <v>0</v>
      </c>
      <c r="MT70">
        <v>0</v>
      </c>
      <c r="MU70">
        <v>0</v>
      </c>
      <c r="MV70">
        <v>0</v>
      </c>
      <c r="MW70">
        <v>0</v>
      </c>
      <c r="MX70">
        <v>0</v>
      </c>
      <c r="MY70">
        <v>0</v>
      </c>
      <c r="MZ70">
        <v>0</v>
      </c>
      <c r="NA70">
        <v>0</v>
      </c>
      <c r="NB70">
        <v>0</v>
      </c>
      <c r="NC70">
        <v>0</v>
      </c>
      <c r="ND70">
        <v>0</v>
      </c>
      <c r="NE70">
        <v>0</v>
      </c>
    </row>
    <row r="71" spans="41:369" x14ac:dyDescent="0.45">
      <c r="AO71" t="str">
        <v>A168</v>
      </c>
      <c r="AP71" t="str">
        <v>Muhammed Sinan D A</v>
      </c>
      <c r="AQ71" t="str">
        <v>JARF</v>
      </c>
      <c r="AR71" t="str">
        <v>SUB JUNIOR</v>
      </c>
      <c r="AS71">
        <v>2</v>
      </c>
      <c r="AT71">
        <v>0</v>
      </c>
      <c r="AU71">
        <v>0</v>
      </c>
      <c r="AV71">
        <v>0</v>
      </c>
      <c r="AW71">
        <v>0</v>
      </c>
      <c r="AX71">
        <v>255</v>
      </c>
      <c r="AY71" s="5">
        <v>255</v>
      </c>
      <c r="AZ71" t="str">
        <v>JN26</v>
      </c>
      <c r="BA71" t="str">
        <v>SPELLING BEE</v>
      </c>
      <c r="BB71" t="str">
        <v>JUNIOR</v>
      </c>
      <c r="BC71" t="str">
        <v>Single</v>
      </c>
      <c r="BD71" t="str">
        <v>Non-Stg</v>
      </c>
      <c r="BE71">
        <v>3</v>
      </c>
      <c r="BF71" t="str">
        <v>Individual</v>
      </c>
      <c r="BG71" t="str">
        <v>Individual</v>
      </c>
      <c r="BH71" t="str">
        <v>P</v>
      </c>
      <c r="BI71" t="str">
        <v>PUBLISHED</v>
      </c>
      <c r="BK71">
        <v>65</v>
      </c>
      <c r="BL71" t="str">
        <v>JN22</v>
      </c>
      <c r="BM71" t="str">
        <v>SENTENCE TRANSLATION</v>
      </c>
      <c r="BN71">
        <v>3</v>
      </c>
      <c r="BO71" t="str">
        <v>Single</v>
      </c>
      <c r="BP71" t="str">
        <v>Non-Stg</v>
      </c>
      <c r="BQ71" t="str">
        <v>JUNIOR</v>
      </c>
      <c r="BR71" t="str">
        <v>B102</v>
      </c>
      <c r="BS71" t="str">
        <v>B120</v>
      </c>
      <c r="BT71" t="str">
        <v>B157</v>
      </c>
      <c r="BU71">
        <v>0</v>
      </c>
      <c r="BV71">
        <v>0</v>
      </c>
      <c r="BW71">
        <v>0</v>
      </c>
      <c r="BX71">
        <v>0</v>
      </c>
      <c r="BY71" t="str">
        <v>B149</v>
      </c>
      <c r="BZ71" t="str">
        <v>B154</v>
      </c>
      <c r="CA71" t="str">
        <v>B158</v>
      </c>
      <c r="CB71">
        <v>0</v>
      </c>
      <c r="CC71">
        <v>0</v>
      </c>
      <c r="CD71">
        <v>0</v>
      </c>
      <c r="CE71">
        <v>0</v>
      </c>
      <c r="CF71" t="str">
        <v>B121</v>
      </c>
      <c r="CG71" t="str">
        <v>B128</v>
      </c>
      <c r="CH71" t="str">
        <v>B138</v>
      </c>
      <c r="CI71">
        <v>0</v>
      </c>
      <c r="CJ71">
        <v>0</v>
      </c>
      <c r="CK71">
        <v>0</v>
      </c>
      <c r="CL71">
        <v>0</v>
      </c>
      <c r="CM71" t="str">
        <v>B118</v>
      </c>
      <c r="CN71" t="str">
        <v>B134</v>
      </c>
      <c r="CO71" t="str">
        <v>B163</v>
      </c>
      <c r="CP71">
        <v>0</v>
      </c>
      <c r="CQ71">
        <v>0</v>
      </c>
      <c r="CR71">
        <v>0</v>
      </c>
      <c r="CS71">
        <v>0</v>
      </c>
      <c r="CT71">
        <v>0</v>
      </c>
      <c r="CU71">
        <v>0</v>
      </c>
      <c r="CV71">
        <v>0</v>
      </c>
      <c r="CW71">
        <v>0</v>
      </c>
      <c r="CX71">
        <v>0</v>
      </c>
      <c r="CY71">
        <v>0</v>
      </c>
      <c r="CZ71">
        <v>0</v>
      </c>
      <c r="DA71">
        <v>0</v>
      </c>
      <c r="DB71">
        <v>0</v>
      </c>
      <c r="DC71">
        <v>0</v>
      </c>
      <c r="DD71">
        <v>0</v>
      </c>
      <c r="DE71">
        <v>0</v>
      </c>
      <c r="DF71">
        <v>0</v>
      </c>
      <c r="DG71">
        <v>0</v>
      </c>
      <c r="DH71">
        <v>0</v>
      </c>
      <c r="DI71">
        <v>0</v>
      </c>
      <c r="DJ71">
        <v>0</v>
      </c>
      <c r="DK71">
        <v>0</v>
      </c>
      <c r="DL71">
        <v>0</v>
      </c>
      <c r="DM71">
        <v>0</v>
      </c>
      <c r="DN71">
        <v>0</v>
      </c>
      <c r="DO71">
        <v>0</v>
      </c>
      <c r="DP71">
        <v>0</v>
      </c>
      <c r="DQ71">
        <v>0</v>
      </c>
      <c r="DR71">
        <v>0</v>
      </c>
      <c r="DS71">
        <v>0</v>
      </c>
      <c r="DT71">
        <v>0</v>
      </c>
      <c r="DU71">
        <v>0</v>
      </c>
      <c r="DV71">
        <v>0</v>
      </c>
      <c r="DW71">
        <v>0</v>
      </c>
      <c r="DX71">
        <v>0</v>
      </c>
      <c r="DY71">
        <v>0</v>
      </c>
      <c r="DZ71">
        <v>0</v>
      </c>
      <c r="EA71">
        <v>0</v>
      </c>
      <c r="EB71">
        <v>0</v>
      </c>
      <c r="EC71">
        <v>0</v>
      </c>
      <c r="ED71">
        <v>0</v>
      </c>
      <c r="EE71">
        <v>0</v>
      </c>
      <c r="EF71">
        <v>0</v>
      </c>
      <c r="EG71">
        <v>0</v>
      </c>
      <c r="EH71">
        <v>0</v>
      </c>
      <c r="EI71">
        <v>0</v>
      </c>
      <c r="EJ71">
        <v>0</v>
      </c>
      <c r="EK71">
        <v>0</v>
      </c>
      <c r="EL71">
        <v>0</v>
      </c>
      <c r="EM71">
        <v>0</v>
      </c>
      <c r="EN71">
        <v>0</v>
      </c>
      <c r="EO71">
        <v>0</v>
      </c>
      <c r="EP71">
        <v>0</v>
      </c>
      <c r="EQ71">
        <v>0</v>
      </c>
      <c r="ER71">
        <v>0</v>
      </c>
      <c r="ES71">
        <v>0</v>
      </c>
      <c r="ET71">
        <v>0</v>
      </c>
      <c r="EU71">
        <v>0</v>
      </c>
      <c r="EV71">
        <v>0</v>
      </c>
      <c r="EW71">
        <v>0</v>
      </c>
      <c r="EX71">
        <v>0</v>
      </c>
      <c r="EY71">
        <v>0</v>
      </c>
      <c r="EZ71">
        <v>0</v>
      </c>
      <c r="FA71">
        <v>0</v>
      </c>
      <c r="FB71">
        <v>0</v>
      </c>
      <c r="FC71">
        <v>0</v>
      </c>
      <c r="FD71">
        <v>0</v>
      </c>
      <c r="FE71">
        <v>0</v>
      </c>
      <c r="FF71">
        <v>0</v>
      </c>
      <c r="FG71">
        <v>0</v>
      </c>
      <c r="FH71">
        <v>0</v>
      </c>
      <c r="FI71">
        <v>0</v>
      </c>
      <c r="FJ71">
        <v>0</v>
      </c>
      <c r="FK71">
        <v>0</v>
      </c>
      <c r="FL71">
        <v>0</v>
      </c>
      <c r="FM71">
        <v>0</v>
      </c>
      <c r="FN71">
        <v>0</v>
      </c>
      <c r="FO71">
        <v>0</v>
      </c>
      <c r="FP71">
        <v>0</v>
      </c>
      <c r="FQ71">
        <v>0</v>
      </c>
      <c r="FR71">
        <v>0</v>
      </c>
      <c r="FS71">
        <v>0</v>
      </c>
      <c r="FT71">
        <v>0</v>
      </c>
      <c r="FU71">
        <v>0</v>
      </c>
      <c r="FV71">
        <v>0</v>
      </c>
      <c r="FW71">
        <v>0</v>
      </c>
      <c r="FX71">
        <v>0</v>
      </c>
      <c r="FY71">
        <v>0</v>
      </c>
      <c r="FZ71">
        <v>0</v>
      </c>
      <c r="GA71">
        <v>0</v>
      </c>
      <c r="GB71">
        <v>0</v>
      </c>
      <c r="GC71">
        <v>0</v>
      </c>
      <c r="GD71">
        <v>0</v>
      </c>
      <c r="GE71">
        <v>0</v>
      </c>
      <c r="GF71">
        <v>0</v>
      </c>
      <c r="GG71">
        <v>0</v>
      </c>
      <c r="GH71">
        <v>0</v>
      </c>
      <c r="GI71">
        <v>0</v>
      </c>
      <c r="GJ71">
        <v>0</v>
      </c>
      <c r="GK71">
        <v>0</v>
      </c>
      <c r="GL71">
        <v>0</v>
      </c>
      <c r="GM71">
        <v>0</v>
      </c>
      <c r="GN71">
        <v>0</v>
      </c>
      <c r="GO71">
        <v>0</v>
      </c>
      <c r="GP71">
        <v>0</v>
      </c>
      <c r="GQ71">
        <v>0</v>
      </c>
      <c r="GR71">
        <v>0</v>
      </c>
      <c r="GS71">
        <v>0</v>
      </c>
      <c r="GT71">
        <v>0</v>
      </c>
      <c r="GU71">
        <v>0</v>
      </c>
      <c r="GV71">
        <v>0</v>
      </c>
      <c r="GW71">
        <v>0</v>
      </c>
      <c r="GX71">
        <v>0</v>
      </c>
      <c r="GY71">
        <v>0</v>
      </c>
      <c r="GZ71">
        <v>0</v>
      </c>
      <c r="HA71">
        <v>0</v>
      </c>
      <c r="HB71">
        <v>0</v>
      </c>
      <c r="HC71">
        <v>0</v>
      </c>
      <c r="HD71">
        <v>0</v>
      </c>
      <c r="HE71">
        <v>0</v>
      </c>
      <c r="HF71">
        <v>0</v>
      </c>
      <c r="HG71">
        <v>0</v>
      </c>
      <c r="HH71">
        <v>0</v>
      </c>
      <c r="HI71">
        <v>0</v>
      </c>
      <c r="HJ71">
        <v>0</v>
      </c>
      <c r="HK71">
        <v>0</v>
      </c>
      <c r="HL71">
        <v>0</v>
      </c>
      <c r="HM71">
        <v>0</v>
      </c>
      <c r="HN71">
        <v>0</v>
      </c>
      <c r="HO71">
        <v>0</v>
      </c>
      <c r="HP71">
        <v>0</v>
      </c>
      <c r="HQ71">
        <v>0</v>
      </c>
      <c r="HR71">
        <v>0</v>
      </c>
      <c r="HS71">
        <v>0</v>
      </c>
      <c r="HT71">
        <v>0</v>
      </c>
      <c r="HU71">
        <v>0</v>
      </c>
      <c r="HV71">
        <v>0</v>
      </c>
      <c r="HW71">
        <v>0</v>
      </c>
      <c r="HX71">
        <v>0</v>
      </c>
      <c r="HY71">
        <v>0</v>
      </c>
      <c r="HZ71">
        <v>0</v>
      </c>
      <c r="IA71">
        <v>0</v>
      </c>
      <c r="IB71">
        <v>0</v>
      </c>
      <c r="IC71">
        <v>0</v>
      </c>
      <c r="ID71">
        <v>0</v>
      </c>
      <c r="IE71">
        <v>0</v>
      </c>
      <c r="IF71">
        <v>0</v>
      </c>
      <c r="IG71">
        <v>0</v>
      </c>
      <c r="IH71">
        <v>0</v>
      </c>
      <c r="II71">
        <v>0</v>
      </c>
      <c r="IJ71">
        <v>0</v>
      </c>
      <c r="IK71">
        <v>0</v>
      </c>
      <c r="IL71">
        <v>0</v>
      </c>
      <c r="IM71">
        <v>0</v>
      </c>
      <c r="IN71">
        <v>0</v>
      </c>
      <c r="IO71">
        <v>0</v>
      </c>
      <c r="IP71">
        <v>0</v>
      </c>
      <c r="IQ71">
        <v>0</v>
      </c>
      <c r="IR71">
        <v>0</v>
      </c>
      <c r="IS71">
        <v>0</v>
      </c>
      <c r="IT71">
        <v>0</v>
      </c>
      <c r="IU71">
        <v>0</v>
      </c>
      <c r="IV71">
        <v>0</v>
      </c>
      <c r="IW71">
        <v>0</v>
      </c>
      <c r="IX71">
        <v>0</v>
      </c>
      <c r="IY71">
        <v>0</v>
      </c>
      <c r="IZ71">
        <v>0</v>
      </c>
      <c r="JA71">
        <v>0</v>
      </c>
      <c r="JB71">
        <v>0</v>
      </c>
      <c r="JC71">
        <v>0</v>
      </c>
      <c r="JD71">
        <v>0</v>
      </c>
      <c r="JE71">
        <v>0</v>
      </c>
      <c r="JF71">
        <v>0</v>
      </c>
      <c r="JG71">
        <v>0</v>
      </c>
      <c r="JH71">
        <v>0</v>
      </c>
      <c r="JI71">
        <v>0</v>
      </c>
      <c r="JJ71">
        <v>0</v>
      </c>
      <c r="JK71">
        <v>0</v>
      </c>
      <c r="JL71">
        <v>0</v>
      </c>
      <c r="JM71">
        <v>0</v>
      </c>
      <c r="JN71">
        <v>0</v>
      </c>
      <c r="JO71">
        <v>0</v>
      </c>
      <c r="JP71">
        <v>0</v>
      </c>
      <c r="JQ71">
        <v>0</v>
      </c>
      <c r="JR71">
        <v>0</v>
      </c>
      <c r="JS71">
        <v>0</v>
      </c>
      <c r="JT71">
        <v>0</v>
      </c>
      <c r="JU71">
        <v>0</v>
      </c>
      <c r="JV71">
        <v>0</v>
      </c>
      <c r="JW71">
        <v>0</v>
      </c>
      <c r="JX71">
        <v>0</v>
      </c>
      <c r="JY71">
        <v>0</v>
      </c>
      <c r="JZ71">
        <v>0</v>
      </c>
      <c r="KA71">
        <v>0</v>
      </c>
      <c r="KB71">
        <v>0</v>
      </c>
      <c r="KC71">
        <v>0</v>
      </c>
      <c r="KD71">
        <v>0</v>
      </c>
      <c r="KE71">
        <v>0</v>
      </c>
      <c r="KF71">
        <v>0</v>
      </c>
      <c r="KG71">
        <v>0</v>
      </c>
      <c r="KH71">
        <v>0</v>
      </c>
      <c r="KI71">
        <v>0</v>
      </c>
      <c r="KJ71">
        <v>0</v>
      </c>
      <c r="KK71">
        <v>0</v>
      </c>
      <c r="KL71">
        <v>0</v>
      </c>
      <c r="KM71">
        <v>0</v>
      </c>
      <c r="KN71">
        <v>0</v>
      </c>
      <c r="KO71">
        <v>0</v>
      </c>
      <c r="KP71">
        <v>0</v>
      </c>
      <c r="KQ71">
        <v>0</v>
      </c>
      <c r="KR71">
        <v>0</v>
      </c>
      <c r="KS71">
        <v>0</v>
      </c>
      <c r="KT71">
        <v>0</v>
      </c>
      <c r="KU71">
        <v>0</v>
      </c>
      <c r="KV71">
        <v>0</v>
      </c>
      <c r="KW71">
        <v>0</v>
      </c>
      <c r="KX71">
        <v>0</v>
      </c>
      <c r="KY71">
        <v>0</v>
      </c>
      <c r="KZ71">
        <v>0</v>
      </c>
      <c r="LA71">
        <v>0</v>
      </c>
      <c r="LB71">
        <v>0</v>
      </c>
      <c r="LC71">
        <v>0</v>
      </c>
      <c r="LD71">
        <v>0</v>
      </c>
      <c r="LE71">
        <v>0</v>
      </c>
      <c r="LF71">
        <v>0</v>
      </c>
      <c r="LG71">
        <v>0</v>
      </c>
      <c r="LH71">
        <v>0</v>
      </c>
      <c r="LI71">
        <v>0</v>
      </c>
      <c r="LJ71">
        <v>0</v>
      </c>
      <c r="LK71">
        <v>0</v>
      </c>
      <c r="LL71">
        <v>0</v>
      </c>
      <c r="LM71">
        <v>0</v>
      </c>
      <c r="LN71">
        <v>0</v>
      </c>
      <c r="LO71">
        <v>0</v>
      </c>
      <c r="LP71">
        <v>0</v>
      </c>
      <c r="LQ71">
        <v>0</v>
      </c>
      <c r="LR71">
        <v>0</v>
      </c>
      <c r="LS71">
        <v>0</v>
      </c>
      <c r="LT71">
        <v>0</v>
      </c>
      <c r="LU71">
        <v>0</v>
      </c>
      <c r="LV71">
        <v>0</v>
      </c>
      <c r="LW71">
        <v>0</v>
      </c>
      <c r="LX71">
        <v>0</v>
      </c>
      <c r="LY71">
        <v>0</v>
      </c>
      <c r="LZ71">
        <v>0</v>
      </c>
      <c r="MA71">
        <v>0</v>
      </c>
      <c r="MB71">
        <v>0</v>
      </c>
      <c r="MC71">
        <v>0</v>
      </c>
      <c r="MD71">
        <v>0</v>
      </c>
      <c r="ME71">
        <v>0</v>
      </c>
      <c r="MF71">
        <v>0</v>
      </c>
      <c r="MG71">
        <v>0</v>
      </c>
      <c r="MH71">
        <v>0</v>
      </c>
      <c r="MI71">
        <v>0</v>
      </c>
      <c r="MJ71">
        <v>0</v>
      </c>
      <c r="MK71">
        <v>0</v>
      </c>
      <c r="ML71">
        <v>0</v>
      </c>
      <c r="MM71">
        <v>0</v>
      </c>
      <c r="MN71">
        <v>0</v>
      </c>
      <c r="MO71">
        <v>0</v>
      </c>
      <c r="MP71">
        <v>0</v>
      </c>
      <c r="MQ71">
        <v>0</v>
      </c>
      <c r="MR71">
        <v>0</v>
      </c>
      <c r="MS71">
        <v>0</v>
      </c>
      <c r="MT71">
        <v>0</v>
      </c>
      <c r="MU71">
        <v>0</v>
      </c>
      <c r="MV71">
        <v>0</v>
      </c>
      <c r="MW71">
        <v>0</v>
      </c>
      <c r="MX71">
        <v>0</v>
      </c>
      <c r="MY71">
        <v>0</v>
      </c>
      <c r="MZ71">
        <v>0</v>
      </c>
      <c r="NA71">
        <v>0</v>
      </c>
      <c r="NB71">
        <v>0</v>
      </c>
      <c r="NC71">
        <v>0</v>
      </c>
      <c r="ND71">
        <v>0</v>
      </c>
      <c r="NE71">
        <v>0</v>
      </c>
    </row>
    <row r="72" spans="41:369" x14ac:dyDescent="0.45">
      <c r="AO72" t="str">
        <v>A169</v>
      </c>
      <c r="AP72" t="str">
        <v>NAZWAN MOHAMMED</v>
      </c>
      <c r="AQ72" t="str">
        <v>FANT</v>
      </c>
      <c r="AR72" t="str">
        <v>SUB JUNIOR</v>
      </c>
      <c r="AS72">
        <v>2</v>
      </c>
      <c r="AT72">
        <v>18</v>
      </c>
      <c r="AU72">
        <v>0</v>
      </c>
      <c r="AV72">
        <v>18</v>
      </c>
      <c r="AW72">
        <v>18</v>
      </c>
      <c r="AX72">
        <v>81</v>
      </c>
      <c r="AY72" s="5">
        <v>81</v>
      </c>
      <c r="AZ72" t="str">
        <v>JN27</v>
      </c>
      <c r="BA72" t="str">
        <v>SWARF IQ</v>
      </c>
      <c r="BB72" t="str">
        <v>JUNIOR</v>
      </c>
      <c r="BC72" t="str">
        <v>Single</v>
      </c>
      <c r="BD72" t="str">
        <v>Non-Stg</v>
      </c>
      <c r="BE72">
        <v>3</v>
      </c>
      <c r="BF72" t="str">
        <v>Master</v>
      </c>
      <c r="BG72" t="str">
        <v>Master</v>
      </c>
      <c r="BH72" t="str">
        <v>P</v>
      </c>
      <c r="BI72" t="str">
        <v>PUBLISHED</v>
      </c>
      <c r="BK72">
        <v>66</v>
      </c>
      <c r="BL72" t="str">
        <v>JN23</v>
      </c>
      <c r="BM72" t="str">
        <v>SHORT STORY ARB</v>
      </c>
      <c r="BN72">
        <v>3</v>
      </c>
      <c r="BO72" t="str">
        <v>Single</v>
      </c>
      <c r="BP72" t="str">
        <v>Non-Stg</v>
      </c>
      <c r="BQ72" t="str">
        <v>JUNIOR</v>
      </c>
      <c r="BR72" t="str">
        <v>B135</v>
      </c>
      <c r="BS72" t="str">
        <v>B144</v>
      </c>
      <c r="BT72" t="str">
        <v>B145</v>
      </c>
      <c r="BU72">
        <v>0</v>
      </c>
      <c r="BV72">
        <v>0</v>
      </c>
      <c r="BW72">
        <v>0</v>
      </c>
      <c r="BX72">
        <v>0</v>
      </c>
      <c r="BY72" t="str">
        <v>B125</v>
      </c>
      <c r="BZ72" t="str">
        <v>B139</v>
      </c>
      <c r="CA72" t="str">
        <v>B149</v>
      </c>
      <c r="CB72">
        <v>0</v>
      </c>
      <c r="CC72">
        <v>0</v>
      </c>
      <c r="CD72">
        <v>0</v>
      </c>
      <c r="CE72">
        <v>0</v>
      </c>
      <c r="CF72" t="str">
        <v>B100</v>
      </c>
      <c r="CG72" t="str">
        <v>B128</v>
      </c>
      <c r="CH72" t="str">
        <v>B121</v>
      </c>
      <c r="CI72">
        <v>0</v>
      </c>
      <c r="CJ72">
        <v>0</v>
      </c>
      <c r="CK72">
        <v>0</v>
      </c>
      <c r="CL72">
        <v>0</v>
      </c>
      <c r="CM72" t="str">
        <v>B160</v>
      </c>
      <c r="CN72" t="str">
        <v>B107</v>
      </c>
      <c r="CO72" t="str">
        <v>B163</v>
      </c>
      <c r="CP72">
        <v>0</v>
      </c>
      <c r="CQ72">
        <v>0</v>
      </c>
      <c r="CR72">
        <v>0</v>
      </c>
      <c r="CS72">
        <v>0</v>
      </c>
      <c r="CT72">
        <v>0</v>
      </c>
      <c r="CU72">
        <v>0</v>
      </c>
      <c r="CV72">
        <v>0</v>
      </c>
      <c r="CW72">
        <v>0</v>
      </c>
      <c r="CX72">
        <v>0</v>
      </c>
      <c r="CY72">
        <v>0</v>
      </c>
      <c r="CZ72">
        <v>0</v>
      </c>
      <c r="DA72">
        <v>0</v>
      </c>
      <c r="DB72">
        <v>0</v>
      </c>
      <c r="DC72">
        <v>0</v>
      </c>
      <c r="DD72">
        <v>0</v>
      </c>
      <c r="DE72">
        <v>0</v>
      </c>
      <c r="DF72">
        <v>0</v>
      </c>
      <c r="DG72">
        <v>0</v>
      </c>
      <c r="DH72">
        <v>0</v>
      </c>
      <c r="DI72">
        <v>0</v>
      </c>
      <c r="DJ72">
        <v>0</v>
      </c>
      <c r="DK72">
        <v>0</v>
      </c>
      <c r="DL72">
        <v>0</v>
      </c>
      <c r="DM72">
        <v>0</v>
      </c>
      <c r="DN72">
        <v>0</v>
      </c>
      <c r="DO72">
        <v>0</v>
      </c>
      <c r="DP72">
        <v>0</v>
      </c>
      <c r="DQ72">
        <v>0</v>
      </c>
      <c r="DR72">
        <v>0</v>
      </c>
      <c r="DS72">
        <v>0</v>
      </c>
      <c r="DT72">
        <v>0</v>
      </c>
      <c r="DU72">
        <v>0</v>
      </c>
      <c r="DV72">
        <v>0</v>
      </c>
      <c r="DW72">
        <v>0</v>
      </c>
      <c r="DX72">
        <v>0</v>
      </c>
      <c r="DY72">
        <v>0</v>
      </c>
      <c r="DZ72">
        <v>0</v>
      </c>
      <c r="EA72">
        <v>0</v>
      </c>
      <c r="EB72">
        <v>0</v>
      </c>
      <c r="EC72">
        <v>0</v>
      </c>
      <c r="ED72">
        <v>0</v>
      </c>
      <c r="EE72">
        <v>0</v>
      </c>
      <c r="EF72">
        <v>0</v>
      </c>
      <c r="EG72">
        <v>0</v>
      </c>
      <c r="EH72">
        <v>0</v>
      </c>
      <c r="EI72">
        <v>0</v>
      </c>
      <c r="EJ72">
        <v>0</v>
      </c>
      <c r="EK72">
        <v>0</v>
      </c>
      <c r="EL72">
        <v>0</v>
      </c>
      <c r="EM72">
        <v>0</v>
      </c>
      <c r="EN72">
        <v>0</v>
      </c>
      <c r="EO72">
        <v>0</v>
      </c>
      <c r="EP72">
        <v>0</v>
      </c>
      <c r="EQ72">
        <v>0</v>
      </c>
      <c r="ER72">
        <v>0</v>
      </c>
      <c r="ES72">
        <v>0</v>
      </c>
      <c r="ET72">
        <v>0</v>
      </c>
      <c r="EU72">
        <v>0</v>
      </c>
      <c r="EV72">
        <v>0</v>
      </c>
      <c r="EW72">
        <v>0</v>
      </c>
      <c r="EX72">
        <v>0</v>
      </c>
      <c r="EY72">
        <v>0</v>
      </c>
      <c r="EZ72">
        <v>0</v>
      </c>
      <c r="FA72">
        <v>0</v>
      </c>
      <c r="FB72">
        <v>0</v>
      </c>
      <c r="FC72">
        <v>0</v>
      </c>
      <c r="FD72">
        <v>0</v>
      </c>
      <c r="FE72">
        <v>0</v>
      </c>
      <c r="FF72">
        <v>0</v>
      </c>
      <c r="FG72">
        <v>0</v>
      </c>
      <c r="FH72">
        <v>0</v>
      </c>
      <c r="FI72">
        <v>0</v>
      </c>
      <c r="FJ72">
        <v>0</v>
      </c>
      <c r="FK72">
        <v>0</v>
      </c>
      <c r="FL72">
        <v>0</v>
      </c>
      <c r="FM72">
        <v>0</v>
      </c>
      <c r="FN72">
        <v>0</v>
      </c>
      <c r="FO72">
        <v>0</v>
      </c>
      <c r="FP72">
        <v>0</v>
      </c>
      <c r="FQ72">
        <v>0</v>
      </c>
      <c r="FR72">
        <v>0</v>
      </c>
      <c r="FS72">
        <v>0</v>
      </c>
      <c r="FT72">
        <v>0</v>
      </c>
      <c r="FU72">
        <v>0</v>
      </c>
      <c r="FV72">
        <v>0</v>
      </c>
      <c r="FW72">
        <v>0</v>
      </c>
      <c r="FX72">
        <v>0</v>
      </c>
      <c r="FY72">
        <v>0</v>
      </c>
      <c r="FZ72">
        <v>0</v>
      </c>
      <c r="GA72">
        <v>0</v>
      </c>
      <c r="GB72">
        <v>0</v>
      </c>
      <c r="GC72">
        <v>0</v>
      </c>
      <c r="GD72">
        <v>0</v>
      </c>
      <c r="GE72">
        <v>0</v>
      </c>
      <c r="GF72">
        <v>0</v>
      </c>
      <c r="GG72">
        <v>0</v>
      </c>
      <c r="GH72">
        <v>0</v>
      </c>
      <c r="GI72">
        <v>0</v>
      </c>
      <c r="GJ72">
        <v>0</v>
      </c>
      <c r="GK72">
        <v>0</v>
      </c>
      <c r="GL72">
        <v>0</v>
      </c>
      <c r="GM72">
        <v>0</v>
      </c>
      <c r="GN72">
        <v>0</v>
      </c>
      <c r="GO72">
        <v>0</v>
      </c>
      <c r="GP72">
        <v>0</v>
      </c>
      <c r="GQ72">
        <v>0</v>
      </c>
      <c r="GR72">
        <v>0</v>
      </c>
      <c r="GS72">
        <v>0</v>
      </c>
      <c r="GT72">
        <v>0</v>
      </c>
      <c r="GU72">
        <v>0</v>
      </c>
      <c r="GV72">
        <v>0</v>
      </c>
      <c r="GW72">
        <v>0</v>
      </c>
      <c r="GX72">
        <v>0</v>
      </c>
      <c r="GY72">
        <v>0</v>
      </c>
      <c r="GZ72">
        <v>0</v>
      </c>
      <c r="HA72">
        <v>0</v>
      </c>
      <c r="HB72">
        <v>0</v>
      </c>
      <c r="HC72">
        <v>0</v>
      </c>
      <c r="HD72">
        <v>0</v>
      </c>
      <c r="HE72">
        <v>0</v>
      </c>
      <c r="HF72">
        <v>0</v>
      </c>
      <c r="HG72">
        <v>0</v>
      </c>
      <c r="HH72">
        <v>0</v>
      </c>
      <c r="HI72">
        <v>0</v>
      </c>
      <c r="HJ72">
        <v>0</v>
      </c>
      <c r="HK72">
        <v>0</v>
      </c>
      <c r="HL72">
        <v>0</v>
      </c>
      <c r="HM72">
        <v>0</v>
      </c>
      <c r="HN72">
        <v>0</v>
      </c>
      <c r="HO72">
        <v>0</v>
      </c>
      <c r="HP72">
        <v>0</v>
      </c>
      <c r="HQ72">
        <v>0</v>
      </c>
      <c r="HR72">
        <v>0</v>
      </c>
      <c r="HS72">
        <v>0</v>
      </c>
      <c r="HT72">
        <v>0</v>
      </c>
      <c r="HU72">
        <v>0</v>
      </c>
      <c r="HV72">
        <v>0</v>
      </c>
      <c r="HW72">
        <v>0</v>
      </c>
      <c r="HX72">
        <v>0</v>
      </c>
      <c r="HY72">
        <v>0</v>
      </c>
      <c r="HZ72">
        <v>0</v>
      </c>
      <c r="IA72">
        <v>0</v>
      </c>
      <c r="IB72">
        <v>0</v>
      </c>
      <c r="IC72">
        <v>0</v>
      </c>
      <c r="ID72">
        <v>0</v>
      </c>
      <c r="IE72">
        <v>0</v>
      </c>
      <c r="IF72">
        <v>0</v>
      </c>
      <c r="IG72">
        <v>0</v>
      </c>
      <c r="IH72">
        <v>0</v>
      </c>
      <c r="II72">
        <v>0</v>
      </c>
      <c r="IJ72">
        <v>0</v>
      </c>
      <c r="IK72">
        <v>0</v>
      </c>
      <c r="IL72">
        <v>0</v>
      </c>
      <c r="IM72">
        <v>0</v>
      </c>
      <c r="IN72">
        <v>0</v>
      </c>
      <c r="IO72">
        <v>0</v>
      </c>
      <c r="IP72">
        <v>0</v>
      </c>
      <c r="IQ72">
        <v>0</v>
      </c>
      <c r="IR72">
        <v>0</v>
      </c>
      <c r="IS72">
        <v>0</v>
      </c>
      <c r="IT72">
        <v>0</v>
      </c>
      <c r="IU72">
        <v>0</v>
      </c>
      <c r="IV72">
        <v>0</v>
      </c>
      <c r="IW72">
        <v>0</v>
      </c>
      <c r="IX72">
        <v>0</v>
      </c>
      <c r="IY72">
        <v>0</v>
      </c>
      <c r="IZ72">
        <v>0</v>
      </c>
      <c r="JA72">
        <v>0</v>
      </c>
      <c r="JB72">
        <v>0</v>
      </c>
      <c r="JC72">
        <v>0</v>
      </c>
      <c r="JD72">
        <v>0</v>
      </c>
      <c r="JE72">
        <v>0</v>
      </c>
      <c r="JF72">
        <v>0</v>
      </c>
      <c r="JG72">
        <v>0</v>
      </c>
      <c r="JH72">
        <v>0</v>
      </c>
      <c r="JI72">
        <v>0</v>
      </c>
      <c r="JJ72">
        <v>0</v>
      </c>
      <c r="JK72">
        <v>0</v>
      </c>
      <c r="JL72">
        <v>0</v>
      </c>
      <c r="JM72">
        <v>0</v>
      </c>
      <c r="JN72">
        <v>0</v>
      </c>
      <c r="JO72">
        <v>0</v>
      </c>
      <c r="JP72">
        <v>0</v>
      </c>
      <c r="JQ72">
        <v>0</v>
      </c>
      <c r="JR72">
        <v>0</v>
      </c>
      <c r="JS72">
        <v>0</v>
      </c>
      <c r="JT72">
        <v>0</v>
      </c>
      <c r="JU72">
        <v>0</v>
      </c>
      <c r="JV72">
        <v>0</v>
      </c>
      <c r="JW72">
        <v>0</v>
      </c>
      <c r="JX72">
        <v>0</v>
      </c>
      <c r="JY72">
        <v>0</v>
      </c>
      <c r="JZ72">
        <v>0</v>
      </c>
      <c r="KA72">
        <v>0</v>
      </c>
      <c r="KB72">
        <v>0</v>
      </c>
      <c r="KC72">
        <v>0</v>
      </c>
      <c r="KD72">
        <v>0</v>
      </c>
      <c r="KE72">
        <v>0</v>
      </c>
      <c r="KF72">
        <v>0</v>
      </c>
      <c r="KG72">
        <v>0</v>
      </c>
      <c r="KH72">
        <v>0</v>
      </c>
      <c r="KI72">
        <v>0</v>
      </c>
      <c r="KJ72">
        <v>0</v>
      </c>
      <c r="KK72">
        <v>0</v>
      </c>
      <c r="KL72">
        <v>0</v>
      </c>
      <c r="KM72">
        <v>0</v>
      </c>
      <c r="KN72">
        <v>0</v>
      </c>
      <c r="KO72">
        <v>0</v>
      </c>
      <c r="KP72">
        <v>0</v>
      </c>
      <c r="KQ72">
        <v>0</v>
      </c>
      <c r="KR72">
        <v>0</v>
      </c>
      <c r="KS72">
        <v>0</v>
      </c>
      <c r="KT72">
        <v>0</v>
      </c>
      <c r="KU72">
        <v>0</v>
      </c>
      <c r="KV72">
        <v>0</v>
      </c>
      <c r="KW72">
        <v>0</v>
      </c>
      <c r="KX72">
        <v>0</v>
      </c>
      <c r="KY72">
        <v>0</v>
      </c>
      <c r="KZ72">
        <v>0</v>
      </c>
      <c r="LA72">
        <v>0</v>
      </c>
      <c r="LB72">
        <v>0</v>
      </c>
      <c r="LC72">
        <v>0</v>
      </c>
      <c r="LD72">
        <v>0</v>
      </c>
      <c r="LE72">
        <v>0</v>
      </c>
      <c r="LF72">
        <v>0</v>
      </c>
      <c r="LG72">
        <v>0</v>
      </c>
      <c r="LH72">
        <v>0</v>
      </c>
      <c r="LI72">
        <v>0</v>
      </c>
      <c r="LJ72">
        <v>0</v>
      </c>
      <c r="LK72">
        <v>0</v>
      </c>
      <c r="LL72">
        <v>0</v>
      </c>
      <c r="LM72">
        <v>0</v>
      </c>
      <c r="LN72">
        <v>0</v>
      </c>
      <c r="LO72">
        <v>0</v>
      </c>
      <c r="LP72">
        <v>0</v>
      </c>
      <c r="LQ72">
        <v>0</v>
      </c>
      <c r="LR72">
        <v>0</v>
      </c>
      <c r="LS72">
        <v>0</v>
      </c>
      <c r="LT72">
        <v>0</v>
      </c>
      <c r="LU72">
        <v>0</v>
      </c>
      <c r="LV72">
        <v>0</v>
      </c>
      <c r="LW72">
        <v>0</v>
      </c>
      <c r="LX72">
        <v>0</v>
      </c>
      <c r="LY72">
        <v>0</v>
      </c>
      <c r="LZ72">
        <v>0</v>
      </c>
      <c r="MA72">
        <v>0</v>
      </c>
      <c r="MB72">
        <v>0</v>
      </c>
      <c r="MC72">
        <v>0</v>
      </c>
      <c r="MD72">
        <v>0</v>
      </c>
      <c r="ME72">
        <v>0</v>
      </c>
      <c r="MF72">
        <v>0</v>
      </c>
      <c r="MG72">
        <v>0</v>
      </c>
      <c r="MH72">
        <v>0</v>
      </c>
      <c r="MI72">
        <v>0</v>
      </c>
      <c r="MJ72">
        <v>0</v>
      </c>
      <c r="MK72">
        <v>0</v>
      </c>
      <c r="ML72">
        <v>0</v>
      </c>
      <c r="MM72">
        <v>0</v>
      </c>
      <c r="MN72">
        <v>0</v>
      </c>
      <c r="MO72">
        <v>0</v>
      </c>
      <c r="MP72">
        <v>0</v>
      </c>
      <c r="MQ72">
        <v>0</v>
      </c>
      <c r="MR72">
        <v>0</v>
      </c>
      <c r="MS72">
        <v>0</v>
      </c>
      <c r="MT72">
        <v>0</v>
      </c>
      <c r="MU72">
        <v>0</v>
      </c>
      <c r="MV72">
        <v>0</v>
      </c>
      <c r="MW72">
        <v>0</v>
      </c>
      <c r="MX72">
        <v>0</v>
      </c>
      <c r="MY72">
        <v>0</v>
      </c>
      <c r="MZ72">
        <v>0</v>
      </c>
      <c r="NA72">
        <v>0</v>
      </c>
      <c r="NB72">
        <v>0</v>
      </c>
      <c r="NC72">
        <v>0</v>
      </c>
      <c r="ND72">
        <v>0</v>
      </c>
      <c r="NE72">
        <v>0</v>
      </c>
    </row>
    <row r="73" spans="41:369" x14ac:dyDescent="0.45">
      <c r="AO73" t="str">
        <v>A170</v>
      </c>
      <c r="AP73" t="str">
        <v>P.V.AHMAD ANAS</v>
      </c>
      <c r="AQ73" t="str">
        <v>DAHF</v>
      </c>
      <c r="AR73" t="str">
        <v>SUB JUNIOR</v>
      </c>
      <c r="AS73">
        <v>2</v>
      </c>
      <c r="AT73">
        <v>16</v>
      </c>
      <c r="AU73">
        <v>0</v>
      </c>
      <c r="AV73">
        <v>16</v>
      </c>
      <c r="AW73">
        <v>16</v>
      </c>
      <c r="AX73">
        <v>94</v>
      </c>
      <c r="AY73" s="5">
        <v>94</v>
      </c>
      <c r="AZ73" t="str">
        <v>JN28</v>
      </c>
      <c r="BA73" t="str">
        <v>TYPING MASTER ENG</v>
      </c>
      <c r="BB73" t="str">
        <v>JUNIOR</v>
      </c>
      <c r="BC73" t="str">
        <v>Single</v>
      </c>
      <c r="BD73" t="str">
        <v>Non-Stg</v>
      </c>
      <c r="BE73">
        <v>3</v>
      </c>
      <c r="BF73" t="str">
        <v>Individual</v>
      </c>
      <c r="BG73" t="str">
        <v>Individual</v>
      </c>
      <c r="BH73" t="str">
        <v>P</v>
      </c>
      <c r="BI73" t="str">
        <v>PUBLISHED</v>
      </c>
      <c r="BK73">
        <v>67</v>
      </c>
      <c r="BL73" t="str">
        <v>JN24</v>
      </c>
      <c r="BM73" t="str">
        <v>SHORT STORY ENG</v>
      </c>
      <c r="BN73">
        <v>3</v>
      </c>
      <c r="BO73" t="str">
        <v>Single</v>
      </c>
      <c r="BP73" t="str">
        <v>Non-Stg</v>
      </c>
      <c r="BQ73" t="str">
        <v>JUNIOR</v>
      </c>
      <c r="BR73" t="str">
        <v>B111</v>
      </c>
      <c r="BS73" t="str">
        <v>B112</v>
      </c>
      <c r="BT73" t="str">
        <v>B123</v>
      </c>
      <c r="BU73">
        <v>0</v>
      </c>
      <c r="BV73">
        <v>0</v>
      </c>
      <c r="BW73">
        <v>0</v>
      </c>
      <c r="BX73">
        <v>0</v>
      </c>
      <c r="BY73" t="str">
        <v>B161</v>
      </c>
      <c r="BZ73" t="str">
        <v>B127</v>
      </c>
      <c r="CA73" t="str">
        <v>B159</v>
      </c>
      <c r="CB73">
        <v>0</v>
      </c>
      <c r="CC73">
        <v>0</v>
      </c>
      <c r="CD73">
        <v>0</v>
      </c>
      <c r="CE73">
        <v>0</v>
      </c>
      <c r="CF73" t="str">
        <v>B100</v>
      </c>
      <c r="CG73" t="str">
        <v>B140</v>
      </c>
      <c r="CH73" t="str">
        <v>B142</v>
      </c>
      <c r="CI73">
        <v>0</v>
      </c>
      <c r="CJ73">
        <v>0</v>
      </c>
      <c r="CK73">
        <v>0</v>
      </c>
      <c r="CL73">
        <v>0</v>
      </c>
      <c r="CM73" t="str">
        <v>B107</v>
      </c>
      <c r="CN73" t="str">
        <v>B133</v>
      </c>
      <c r="CO73" t="str">
        <v>B134</v>
      </c>
      <c r="CP73">
        <v>0</v>
      </c>
      <c r="CQ73">
        <v>0</v>
      </c>
      <c r="CR73">
        <v>0</v>
      </c>
      <c r="CS73">
        <v>0</v>
      </c>
      <c r="CT73">
        <v>0</v>
      </c>
      <c r="CU73">
        <v>0</v>
      </c>
      <c r="CV73">
        <v>0</v>
      </c>
      <c r="CW73">
        <v>0</v>
      </c>
      <c r="CX73">
        <v>0</v>
      </c>
      <c r="CY73">
        <v>0</v>
      </c>
      <c r="CZ73">
        <v>0</v>
      </c>
      <c r="DA73">
        <v>0</v>
      </c>
      <c r="DB73">
        <v>0</v>
      </c>
      <c r="DC73">
        <v>0</v>
      </c>
      <c r="DD73">
        <v>0</v>
      </c>
      <c r="DE73">
        <v>0</v>
      </c>
      <c r="DF73">
        <v>0</v>
      </c>
      <c r="DG73">
        <v>0</v>
      </c>
      <c r="DH73">
        <v>0</v>
      </c>
      <c r="DI73">
        <v>0</v>
      </c>
      <c r="DJ73">
        <v>0</v>
      </c>
      <c r="DK73">
        <v>0</v>
      </c>
      <c r="DL73">
        <v>0</v>
      </c>
      <c r="DM73">
        <v>0</v>
      </c>
      <c r="DN73">
        <v>0</v>
      </c>
      <c r="DO73">
        <v>0</v>
      </c>
      <c r="DP73">
        <v>0</v>
      </c>
      <c r="DQ73">
        <v>0</v>
      </c>
      <c r="DR73">
        <v>0</v>
      </c>
      <c r="DS73">
        <v>0</v>
      </c>
      <c r="DT73">
        <v>0</v>
      </c>
      <c r="DU73">
        <v>0</v>
      </c>
      <c r="DV73">
        <v>0</v>
      </c>
      <c r="DW73">
        <v>0</v>
      </c>
      <c r="DX73">
        <v>0</v>
      </c>
      <c r="DY73">
        <v>0</v>
      </c>
      <c r="DZ73">
        <v>0</v>
      </c>
      <c r="EA73">
        <v>0</v>
      </c>
      <c r="EB73">
        <v>0</v>
      </c>
      <c r="EC73">
        <v>0</v>
      </c>
      <c r="ED73">
        <v>0</v>
      </c>
      <c r="EE73">
        <v>0</v>
      </c>
      <c r="EF73">
        <v>0</v>
      </c>
      <c r="EG73">
        <v>0</v>
      </c>
      <c r="EH73">
        <v>0</v>
      </c>
      <c r="EI73">
        <v>0</v>
      </c>
      <c r="EJ73">
        <v>0</v>
      </c>
      <c r="EK73">
        <v>0</v>
      </c>
      <c r="EL73">
        <v>0</v>
      </c>
      <c r="EM73">
        <v>0</v>
      </c>
      <c r="EN73">
        <v>0</v>
      </c>
      <c r="EO73">
        <v>0</v>
      </c>
      <c r="EP73">
        <v>0</v>
      </c>
      <c r="EQ73">
        <v>0</v>
      </c>
      <c r="ER73">
        <v>0</v>
      </c>
      <c r="ES73">
        <v>0</v>
      </c>
      <c r="ET73">
        <v>0</v>
      </c>
      <c r="EU73">
        <v>0</v>
      </c>
      <c r="EV73">
        <v>0</v>
      </c>
      <c r="EW73">
        <v>0</v>
      </c>
      <c r="EX73">
        <v>0</v>
      </c>
      <c r="EY73">
        <v>0</v>
      </c>
      <c r="EZ73">
        <v>0</v>
      </c>
      <c r="FA73">
        <v>0</v>
      </c>
      <c r="FB73">
        <v>0</v>
      </c>
      <c r="FC73">
        <v>0</v>
      </c>
      <c r="FD73">
        <v>0</v>
      </c>
      <c r="FE73">
        <v>0</v>
      </c>
      <c r="FF73">
        <v>0</v>
      </c>
      <c r="FG73">
        <v>0</v>
      </c>
      <c r="FH73">
        <v>0</v>
      </c>
      <c r="FI73">
        <v>0</v>
      </c>
      <c r="FJ73">
        <v>0</v>
      </c>
      <c r="FK73">
        <v>0</v>
      </c>
      <c r="FL73">
        <v>0</v>
      </c>
      <c r="FM73">
        <v>0</v>
      </c>
      <c r="FN73">
        <v>0</v>
      </c>
      <c r="FO73">
        <v>0</v>
      </c>
      <c r="FP73">
        <v>0</v>
      </c>
      <c r="FQ73">
        <v>0</v>
      </c>
      <c r="FR73">
        <v>0</v>
      </c>
      <c r="FS73">
        <v>0</v>
      </c>
      <c r="FT73">
        <v>0</v>
      </c>
      <c r="FU73">
        <v>0</v>
      </c>
      <c r="FV73">
        <v>0</v>
      </c>
      <c r="FW73">
        <v>0</v>
      </c>
      <c r="FX73">
        <v>0</v>
      </c>
      <c r="FY73">
        <v>0</v>
      </c>
      <c r="FZ73">
        <v>0</v>
      </c>
      <c r="GA73">
        <v>0</v>
      </c>
      <c r="GB73">
        <v>0</v>
      </c>
      <c r="GC73">
        <v>0</v>
      </c>
      <c r="GD73">
        <v>0</v>
      </c>
      <c r="GE73">
        <v>0</v>
      </c>
      <c r="GF73">
        <v>0</v>
      </c>
      <c r="GG73">
        <v>0</v>
      </c>
      <c r="GH73">
        <v>0</v>
      </c>
      <c r="GI73">
        <v>0</v>
      </c>
      <c r="GJ73">
        <v>0</v>
      </c>
      <c r="GK73">
        <v>0</v>
      </c>
      <c r="GL73">
        <v>0</v>
      </c>
      <c r="GM73">
        <v>0</v>
      </c>
      <c r="GN73">
        <v>0</v>
      </c>
      <c r="GO73">
        <v>0</v>
      </c>
      <c r="GP73">
        <v>0</v>
      </c>
      <c r="GQ73">
        <v>0</v>
      </c>
      <c r="GR73">
        <v>0</v>
      </c>
      <c r="GS73">
        <v>0</v>
      </c>
      <c r="GT73">
        <v>0</v>
      </c>
      <c r="GU73">
        <v>0</v>
      </c>
      <c r="GV73">
        <v>0</v>
      </c>
      <c r="GW73">
        <v>0</v>
      </c>
      <c r="GX73">
        <v>0</v>
      </c>
      <c r="GY73">
        <v>0</v>
      </c>
      <c r="GZ73">
        <v>0</v>
      </c>
      <c r="HA73">
        <v>0</v>
      </c>
      <c r="HB73">
        <v>0</v>
      </c>
      <c r="HC73">
        <v>0</v>
      </c>
      <c r="HD73">
        <v>0</v>
      </c>
      <c r="HE73">
        <v>0</v>
      </c>
      <c r="HF73">
        <v>0</v>
      </c>
      <c r="HG73">
        <v>0</v>
      </c>
      <c r="HH73">
        <v>0</v>
      </c>
      <c r="HI73">
        <v>0</v>
      </c>
      <c r="HJ73">
        <v>0</v>
      </c>
      <c r="HK73">
        <v>0</v>
      </c>
      <c r="HL73">
        <v>0</v>
      </c>
      <c r="HM73">
        <v>0</v>
      </c>
      <c r="HN73">
        <v>0</v>
      </c>
      <c r="HO73">
        <v>0</v>
      </c>
      <c r="HP73">
        <v>0</v>
      </c>
      <c r="HQ73">
        <v>0</v>
      </c>
      <c r="HR73">
        <v>0</v>
      </c>
      <c r="HS73">
        <v>0</v>
      </c>
      <c r="HT73">
        <v>0</v>
      </c>
      <c r="HU73">
        <v>0</v>
      </c>
      <c r="HV73">
        <v>0</v>
      </c>
      <c r="HW73">
        <v>0</v>
      </c>
      <c r="HX73">
        <v>0</v>
      </c>
      <c r="HY73">
        <v>0</v>
      </c>
      <c r="HZ73">
        <v>0</v>
      </c>
      <c r="IA73">
        <v>0</v>
      </c>
      <c r="IB73">
        <v>0</v>
      </c>
      <c r="IC73">
        <v>0</v>
      </c>
      <c r="ID73">
        <v>0</v>
      </c>
      <c r="IE73">
        <v>0</v>
      </c>
      <c r="IF73">
        <v>0</v>
      </c>
      <c r="IG73">
        <v>0</v>
      </c>
      <c r="IH73">
        <v>0</v>
      </c>
      <c r="II73">
        <v>0</v>
      </c>
      <c r="IJ73">
        <v>0</v>
      </c>
      <c r="IK73">
        <v>0</v>
      </c>
      <c r="IL73">
        <v>0</v>
      </c>
      <c r="IM73">
        <v>0</v>
      </c>
      <c r="IN73">
        <v>0</v>
      </c>
      <c r="IO73">
        <v>0</v>
      </c>
      <c r="IP73">
        <v>0</v>
      </c>
      <c r="IQ73">
        <v>0</v>
      </c>
      <c r="IR73">
        <v>0</v>
      </c>
      <c r="IS73">
        <v>0</v>
      </c>
      <c r="IT73">
        <v>0</v>
      </c>
      <c r="IU73">
        <v>0</v>
      </c>
      <c r="IV73">
        <v>0</v>
      </c>
      <c r="IW73">
        <v>0</v>
      </c>
      <c r="IX73">
        <v>0</v>
      </c>
      <c r="IY73">
        <v>0</v>
      </c>
      <c r="IZ73">
        <v>0</v>
      </c>
      <c r="JA73">
        <v>0</v>
      </c>
      <c r="JB73">
        <v>0</v>
      </c>
      <c r="JC73">
        <v>0</v>
      </c>
      <c r="JD73">
        <v>0</v>
      </c>
      <c r="JE73">
        <v>0</v>
      </c>
      <c r="JF73">
        <v>0</v>
      </c>
      <c r="JG73">
        <v>0</v>
      </c>
      <c r="JH73">
        <v>0</v>
      </c>
      <c r="JI73">
        <v>0</v>
      </c>
      <c r="JJ73">
        <v>0</v>
      </c>
      <c r="JK73">
        <v>0</v>
      </c>
      <c r="JL73">
        <v>0</v>
      </c>
      <c r="JM73">
        <v>0</v>
      </c>
      <c r="JN73">
        <v>0</v>
      </c>
      <c r="JO73">
        <v>0</v>
      </c>
      <c r="JP73">
        <v>0</v>
      </c>
      <c r="JQ73">
        <v>0</v>
      </c>
      <c r="JR73">
        <v>0</v>
      </c>
      <c r="JS73">
        <v>0</v>
      </c>
      <c r="JT73">
        <v>0</v>
      </c>
      <c r="JU73">
        <v>0</v>
      </c>
      <c r="JV73">
        <v>0</v>
      </c>
      <c r="JW73">
        <v>0</v>
      </c>
      <c r="JX73">
        <v>0</v>
      </c>
      <c r="JY73">
        <v>0</v>
      </c>
      <c r="JZ73">
        <v>0</v>
      </c>
      <c r="KA73">
        <v>0</v>
      </c>
      <c r="KB73">
        <v>0</v>
      </c>
      <c r="KC73">
        <v>0</v>
      </c>
      <c r="KD73">
        <v>0</v>
      </c>
      <c r="KE73">
        <v>0</v>
      </c>
      <c r="KF73">
        <v>0</v>
      </c>
      <c r="KG73">
        <v>0</v>
      </c>
      <c r="KH73">
        <v>0</v>
      </c>
      <c r="KI73">
        <v>0</v>
      </c>
      <c r="KJ73">
        <v>0</v>
      </c>
      <c r="KK73">
        <v>0</v>
      </c>
      <c r="KL73">
        <v>0</v>
      </c>
      <c r="KM73">
        <v>0</v>
      </c>
      <c r="KN73">
        <v>0</v>
      </c>
      <c r="KO73">
        <v>0</v>
      </c>
      <c r="KP73">
        <v>0</v>
      </c>
      <c r="KQ73">
        <v>0</v>
      </c>
      <c r="KR73">
        <v>0</v>
      </c>
      <c r="KS73">
        <v>0</v>
      </c>
      <c r="KT73">
        <v>0</v>
      </c>
      <c r="KU73">
        <v>0</v>
      </c>
      <c r="KV73">
        <v>0</v>
      </c>
      <c r="KW73">
        <v>0</v>
      </c>
      <c r="KX73">
        <v>0</v>
      </c>
      <c r="KY73">
        <v>0</v>
      </c>
      <c r="KZ73">
        <v>0</v>
      </c>
      <c r="LA73">
        <v>0</v>
      </c>
      <c r="LB73">
        <v>0</v>
      </c>
      <c r="LC73">
        <v>0</v>
      </c>
      <c r="LD73">
        <v>0</v>
      </c>
      <c r="LE73">
        <v>0</v>
      </c>
      <c r="LF73">
        <v>0</v>
      </c>
      <c r="LG73">
        <v>0</v>
      </c>
      <c r="LH73">
        <v>0</v>
      </c>
      <c r="LI73">
        <v>0</v>
      </c>
      <c r="LJ73">
        <v>0</v>
      </c>
      <c r="LK73">
        <v>0</v>
      </c>
      <c r="LL73">
        <v>0</v>
      </c>
      <c r="LM73">
        <v>0</v>
      </c>
      <c r="LN73">
        <v>0</v>
      </c>
      <c r="LO73">
        <v>0</v>
      </c>
      <c r="LP73">
        <v>0</v>
      </c>
      <c r="LQ73">
        <v>0</v>
      </c>
      <c r="LR73">
        <v>0</v>
      </c>
      <c r="LS73">
        <v>0</v>
      </c>
      <c r="LT73">
        <v>0</v>
      </c>
      <c r="LU73">
        <v>0</v>
      </c>
      <c r="LV73">
        <v>0</v>
      </c>
      <c r="LW73">
        <v>0</v>
      </c>
      <c r="LX73">
        <v>0</v>
      </c>
      <c r="LY73">
        <v>0</v>
      </c>
      <c r="LZ73">
        <v>0</v>
      </c>
      <c r="MA73">
        <v>0</v>
      </c>
      <c r="MB73">
        <v>0</v>
      </c>
      <c r="MC73">
        <v>0</v>
      </c>
      <c r="MD73">
        <v>0</v>
      </c>
      <c r="ME73">
        <v>0</v>
      </c>
      <c r="MF73">
        <v>0</v>
      </c>
      <c r="MG73">
        <v>0</v>
      </c>
      <c r="MH73">
        <v>0</v>
      </c>
      <c r="MI73">
        <v>0</v>
      </c>
      <c r="MJ73">
        <v>0</v>
      </c>
      <c r="MK73">
        <v>0</v>
      </c>
      <c r="ML73">
        <v>0</v>
      </c>
      <c r="MM73">
        <v>0</v>
      </c>
      <c r="MN73">
        <v>0</v>
      </c>
      <c r="MO73">
        <v>0</v>
      </c>
      <c r="MP73">
        <v>0</v>
      </c>
      <c r="MQ73">
        <v>0</v>
      </c>
      <c r="MR73">
        <v>0</v>
      </c>
      <c r="MS73">
        <v>0</v>
      </c>
      <c r="MT73">
        <v>0</v>
      </c>
      <c r="MU73">
        <v>0</v>
      </c>
      <c r="MV73">
        <v>0</v>
      </c>
      <c r="MW73">
        <v>0</v>
      </c>
      <c r="MX73">
        <v>0</v>
      </c>
      <c r="MY73">
        <v>0</v>
      </c>
      <c r="MZ73">
        <v>0</v>
      </c>
      <c r="NA73">
        <v>0</v>
      </c>
      <c r="NB73">
        <v>0</v>
      </c>
      <c r="NC73">
        <v>0</v>
      </c>
      <c r="ND73">
        <v>0</v>
      </c>
      <c r="NE73">
        <v>0</v>
      </c>
    </row>
    <row r="74" spans="41:369" x14ac:dyDescent="0.45">
      <c r="AO74" t="str">
        <v>A171</v>
      </c>
      <c r="AP74" t="str">
        <v>SAYYED MOHAMMED SINAN AM</v>
      </c>
      <c r="AQ74" t="str">
        <v>DAHF</v>
      </c>
      <c r="AR74" t="str">
        <v>SUB JUNIOR</v>
      </c>
      <c r="AS74">
        <v>2</v>
      </c>
      <c r="AT74">
        <v>6</v>
      </c>
      <c r="AU74">
        <v>0</v>
      </c>
      <c r="AV74">
        <v>6</v>
      </c>
      <c r="AW74">
        <v>6</v>
      </c>
      <c r="AX74">
        <v>171</v>
      </c>
      <c r="AY74" s="5">
        <v>171</v>
      </c>
      <c r="AZ74" t="str">
        <v>JN29</v>
      </c>
      <c r="BA74" t="str">
        <v>TYPING MASTER MLM</v>
      </c>
      <c r="BB74" t="str">
        <v>JUNIOR</v>
      </c>
      <c r="BC74" t="str">
        <v>Single</v>
      </c>
      <c r="BD74" t="str">
        <v>Non-Stg</v>
      </c>
      <c r="BE74">
        <v>2</v>
      </c>
      <c r="BF74" t="str">
        <v>Individual</v>
      </c>
      <c r="BG74" t="str">
        <v>Individual</v>
      </c>
      <c r="BH74" t="str">
        <v>P</v>
      </c>
      <c r="BI74" t="str">
        <v>PUBLISHED</v>
      </c>
      <c r="BK74">
        <v>68</v>
      </c>
      <c r="BL74" t="str">
        <v>JN25</v>
      </c>
      <c r="BM74" t="str">
        <v>SHORT STORY MLM</v>
      </c>
      <c r="BN74">
        <v>3</v>
      </c>
      <c r="BO74" t="str">
        <v>Single</v>
      </c>
      <c r="BP74" t="str">
        <v>Non-Stg</v>
      </c>
      <c r="BQ74" t="str">
        <v>JUNIOR</v>
      </c>
      <c r="BR74" t="str">
        <v>B115</v>
      </c>
      <c r="BS74" t="str">
        <v>B143</v>
      </c>
      <c r="BT74" t="str">
        <v>B150</v>
      </c>
      <c r="BU74">
        <v>0</v>
      </c>
      <c r="BV74">
        <v>0</v>
      </c>
      <c r="BW74">
        <v>0</v>
      </c>
      <c r="BX74">
        <v>0</v>
      </c>
      <c r="BY74" t="str">
        <v>B109</v>
      </c>
      <c r="BZ74" t="str">
        <v>B114</v>
      </c>
      <c r="CA74" t="str">
        <v>B132</v>
      </c>
      <c r="CB74">
        <v>0</v>
      </c>
      <c r="CC74">
        <v>0</v>
      </c>
      <c r="CD74">
        <v>0</v>
      </c>
      <c r="CE74">
        <v>0</v>
      </c>
      <c r="CF74" t="str">
        <v>B138</v>
      </c>
      <c r="CG74" t="str">
        <v>B146</v>
      </c>
      <c r="CH74" t="str">
        <v>B164</v>
      </c>
      <c r="CI74">
        <v>0</v>
      </c>
      <c r="CJ74">
        <v>0</v>
      </c>
      <c r="CK74">
        <v>0</v>
      </c>
      <c r="CL74">
        <v>0</v>
      </c>
      <c r="CM74" t="str">
        <v>B108</v>
      </c>
      <c r="CN74" t="str">
        <v>B116</v>
      </c>
      <c r="CO74" t="str">
        <v>B148</v>
      </c>
      <c r="CP74">
        <v>0</v>
      </c>
      <c r="CQ74">
        <v>0</v>
      </c>
      <c r="CR74">
        <v>0</v>
      </c>
      <c r="CS74">
        <v>0</v>
      </c>
      <c r="CT74">
        <v>0</v>
      </c>
      <c r="CU74">
        <v>0</v>
      </c>
      <c r="CV74">
        <v>0</v>
      </c>
      <c r="CW74">
        <v>0</v>
      </c>
      <c r="CX74">
        <v>0</v>
      </c>
      <c r="CY74">
        <v>0</v>
      </c>
      <c r="CZ74">
        <v>0</v>
      </c>
      <c r="DA74">
        <v>0</v>
      </c>
      <c r="DB74">
        <v>0</v>
      </c>
      <c r="DC74">
        <v>0</v>
      </c>
      <c r="DD74">
        <v>0</v>
      </c>
      <c r="DE74">
        <v>0</v>
      </c>
      <c r="DF74">
        <v>0</v>
      </c>
      <c r="DG74">
        <v>0</v>
      </c>
      <c r="DH74">
        <v>0</v>
      </c>
      <c r="DI74">
        <v>0</v>
      </c>
      <c r="DJ74">
        <v>0</v>
      </c>
      <c r="DK74">
        <v>0</v>
      </c>
      <c r="DL74">
        <v>0</v>
      </c>
      <c r="DM74">
        <v>0</v>
      </c>
      <c r="DN74">
        <v>0</v>
      </c>
      <c r="DO74">
        <v>0</v>
      </c>
      <c r="DP74">
        <v>0</v>
      </c>
      <c r="DQ74">
        <v>0</v>
      </c>
      <c r="DR74">
        <v>0</v>
      </c>
      <c r="DS74">
        <v>0</v>
      </c>
      <c r="DT74">
        <v>0</v>
      </c>
      <c r="DU74">
        <v>0</v>
      </c>
      <c r="DV74">
        <v>0</v>
      </c>
      <c r="DW74">
        <v>0</v>
      </c>
      <c r="DX74">
        <v>0</v>
      </c>
      <c r="DY74">
        <v>0</v>
      </c>
      <c r="DZ74">
        <v>0</v>
      </c>
      <c r="EA74">
        <v>0</v>
      </c>
      <c r="EB74">
        <v>0</v>
      </c>
      <c r="EC74">
        <v>0</v>
      </c>
      <c r="ED74">
        <v>0</v>
      </c>
      <c r="EE74">
        <v>0</v>
      </c>
      <c r="EF74">
        <v>0</v>
      </c>
      <c r="EG74">
        <v>0</v>
      </c>
      <c r="EH74">
        <v>0</v>
      </c>
      <c r="EI74">
        <v>0</v>
      </c>
      <c r="EJ74">
        <v>0</v>
      </c>
      <c r="EK74">
        <v>0</v>
      </c>
      <c r="EL74">
        <v>0</v>
      </c>
      <c r="EM74">
        <v>0</v>
      </c>
      <c r="EN74">
        <v>0</v>
      </c>
      <c r="EO74">
        <v>0</v>
      </c>
      <c r="EP74">
        <v>0</v>
      </c>
      <c r="EQ74">
        <v>0</v>
      </c>
      <c r="ER74">
        <v>0</v>
      </c>
      <c r="ES74">
        <v>0</v>
      </c>
      <c r="ET74">
        <v>0</v>
      </c>
      <c r="EU74">
        <v>0</v>
      </c>
      <c r="EV74">
        <v>0</v>
      </c>
      <c r="EW74">
        <v>0</v>
      </c>
      <c r="EX74">
        <v>0</v>
      </c>
      <c r="EY74">
        <v>0</v>
      </c>
      <c r="EZ74">
        <v>0</v>
      </c>
      <c r="FA74">
        <v>0</v>
      </c>
      <c r="FB74">
        <v>0</v>
      </c>
      <c r="FC74">
        <v>0</v>
      </c>
      <c r="FD74">
        <v>0</v>
      </c>
      <c r="FE74">
        <v>0</v>
      </c>
      <c r="FF74">
        <v>0</v>
      </c>
      <c r="FG74">
        <v>0</v>
      </c>
      <c r="FH74">
        <v>0</v>
      </c>
      <c r="FI74">
        <v>0</v>
      </c>
      <c r="FJ74">
        <v>0</v>
      </c>
      <c r="FK74">
        <v>0</v>
      </c>
      <c r="FL74">
        <v>0</v>
      </c>
      <c r="FM74">
        <v>0</v>
      </c>
      <c r="FN74">
        <v>0</v>
      </c>
      <c r="FO74">
        <v>0</v>
      </c>
      <c r="FP74">
        <v>0</v>
      </c>
      <c r="FQ74">
        <v>0</v>
      </c>
      <c r="FR74">
        <v>0</v>
      </c>
      <c r="FS74">
        <v>0</v>
      </c>
      <c r="FT74">
        <v>0</v>
      </c>
      <c r="FU74">
        <v>0</v>
      </c>
      <c r="FV74">
        <v>0</v>
      </c>
      <c r="FW74">
        <v>0</v>
      </c>
      <c r="FX74">
        <v>0</v>
      </c>
      <c r="FY74">
        <v>0</v>
      </c>
      <c r="FZ74">
        <v>0</v>
      </c>
      <c r="GA74">
        <v>0</v>
      </c>
      <c r="GB74">
        <v>0</v>
      </c>
      <c r="GC74">
        <v>0</v>
      </c>
      <c r="GD74">
        <v>0</v>
      </c>
      <c r="GE74">
        <v>0</v>
      </c>
      <c r="GF74">
        <v>0</v>
      </c>
      <c r="GG74">
        <v>0</v>
      </c>
      <c r="GH74">
        <v>0</v>
      </c>
      <c r="GI74">
        <v>0</v>
      </c>
      <c r="GJ74">
        <v>0</v>
      </c>
      <c r="GK74">
        <v>0</v>
      </c>
      <c r="GL74">
        <v>0</v>
      </c>
      <c r="GM74">
        <v>0</v>
      </c>
      <c r="GN74">
        <v>0</v>
      </c>
      <c r="GO74">
        <v>0</v>
      </c>
      <c r="GP74">
        <v>0</v>
      </c>
      <c r="GQ74">
        <v>0</v>
      </c>
      <c r="GR74">
        <v>0</v>
      </c>
      <c r="GS74">
        <v>0</v>
      </c>
      <c r="GT74">
        <v>0</v>
      </c>
      <c r="GU74">
        <v>0</v>
      </c>
      <c r="GV74">
        <v>0</v>
      </c>
      <c r="GW74">
        <v>0</v>
      </c>
      <c r="GX74">
        <v>0</v>
      </c>
      <c r="GY74">
        <v>0</v>
      </c>
      <c r="GZ74">
        <v>0</v>
      </c>
      <c r="HA74">
        <v>0</v>
      </c>
      <c r="HB74">
        <v>0</v>
      </c>
      <c r="HC74">
        <v>0</v>
      </c>
      <c r="HD74">
        <v>0</v>
      </c>
      <c r="HE74">
        <v>0</v>
      </c>
      <c r="HF74">
        <v>0</v>
      </c>
      <c r="HG74">
        <v>0</v>
      </c>
      <c r="HH74">
        <v>0</v>
      </c>
      <c r="HI74">
        <v>0</v>
      </c>
      <c r="HJ74">
        <v>0</v>
      </c>
      <c r="HK74">
        <v>0</v>
      </c>
      <c r="HL74">
        <v>0</v>
      </c>
      <c r="HM74">
        <v>0</v>
      </c>
      <c r="HN74">
        <v>0</v>
      </c>
      <c r="HO74">
        <v>0</v>
      </c>
      <c r="HP74">
        <v>0</v>
      </c>
      <c r="HQ74">
        <v>0</v>
      </c>
      <c r="HR74">
        <v>0</v>
      </c>
      <c r="HS74">
        <v>0</v>
      </c>
      <c r="HT74">
        <v>0</v>
      </c>
      <c r="HU74">
        <v>0</v>
      </c>
      <c r="HV74">
        <v>0</v>
      </c>
      <c r="HW74">
        <v>0</v>
      </c>
      <c r="HX74">
        <v>0</v>
      </c>
      <c r="HY74">
        <v>0</v>
      </c>
      <c r="HZ74">
        <v>0</v>
      </c>
      <c r="IA74">
        <v>0</v>
      </c>
      <c r="IB74">
        <v>0</v>
      </c>
      <c r="IC74">
        <v>0</v>
      </c>
      <c r="ID74">
        <v>0</v>
      </c>
      <c r="IE74">
        <v>0</v>
      </c>
      <c r="IF74">
        <v>0</v>
      </c>
      <c r="IG74">
        <v>0</v>
      </c>
      <c r="IH74">
        <v>0</v>
      </c>
      <c r="II74">
        <v>0</v>
      </c>
      <c r="IJ74">
        <v>0</v>
      </c>
      <c r="IK74">
        <v>0</v>
      </c>
      <c r="IL74">
        <v>0</v>
      </c>
      <c r="IM74">
        <v>0</v>
      </c>
      <c r="IN74">
        <v>0</v>
      </c>
      <c r="IO74">
        <v>0</v>
      </c>
      <c r="IP74">
        <v>0</v>
      </c>
      <c r="IQ74">
        <v>0</v>
      </c>
      <c r="IR74">
        <v>0</v>
      </c>
      <c r="IS74">
        <v>0</v>
      </c>
      <c r="IT74">
        <v>0</v>
      </c>
      <c r="IU74">
        <v>0</v>
      </c>
      <c r="IV74">
        <v>0</v>
      </c>
      <c r="IW74">
        <v>0</v>
      </c>
      <c r="IX74">
        <v>0</v>
      </c>
      <c r="IY74">
        <v>0</v>
      </c>
      <c r="IZ74">
        <v>0</v>
      </c>
      <c r="JA74">
        <v>0</v>
      </c>
      <c r="JB74">
        <v>0</v>
      </c>
      <c r="JC74">
        <v>0</v>
      </c>
      <c r="JD74">
        <v>0</v>
      </c>
      <c r="JE74">
        <v>0</v>
      </c>
      <c r="JF74">
        <v>0</v>
      </c>
      <c r="JG74">
        <v>0</v>
      </c>
      <c r="JH74">
        <v>0</v>
      </c>
      <c r="JI74">
        <v>0</v>
      </c>
      <c r="JJ74">
        <v>0</v>
      </c>
      <c r="JK74">
        <v>0</v>
      </c>
      <c r="JL74">
        <v>0</v>
      </c>
      <c r="JM74">
        <v>0</v>
      </c>
      <c r="JN74">
        <v>0</v>
      </c>
      <c r="JO74">
        <v>0</v>
      </c>
      <c r="JP74">
        <v>0</v>
      </c>
      <c r="JQ74">
        <v>0</v>
      </c>
      <c r="JR74">
        <v>0</v>
      </c>
      <c r="JS74">
        <v>0</v>
      </c>
      <c r="JT74">
        <v>0</v>
      </c>
      <c r="JU74">
        <v>0</v>
      </c>
      <c r="JV74">
        <v>0</v>
      </c>
      <c r="JW74">
        <v>0</v>
      </c>
      <c r="JX74">
        <v>0</v>
      </c>
      <c r="JY74">
        <v>0</v>
      </c>
      <c r="JZ74">
        <v>0</v>
      </c>
      <c r="KA74">
        <v>0</v>
      </c>
      <c r="KB74">
        <v>0</v>
      </c>
      <c r="KC74">
        <v>0</v>
      </c>
      <c r="KD74">
        <v>0</v>
      </c>
      <c r="KE74">
        <v>0</v>
      </c>
      <c r="KF74">
        <v>0</v>
      </c>
      <c r="KG74">
        <v>0</v>
      </c>
      <c r="KH74">
        <v>0</v>
      </c>
      <c r="KI74">
        <v>0</v>
      </c>
      <c r="KJ74">
        <v>0</v>
      </c>
      <c r="KK74">
        <v>0</v>
      </c>
      <c r="KL74">
        <v>0</v>
      </c>
      <c r="KM74">
        <v>0</v>
      </c>
      <c r="KN74">
        <v>0</v>
      </c>
      <c r="KO74">
        <v>0</v>
      </c>
      <c r="KP74">
        <v>0</v>
      </c>
      <c r="KQ74">
        <v>0</v>
      </c>
      <c r="KR74">
        <v>0</v>
      </c>
      <c r="KS74">
        <v>0</v>
      </c>
      <c r="KT74">
        <v>0</v>
      </c>
      <c r="KU74">
        <v>0</v>
      </c>
      <c r="KV74">
        <v>0</v>
      </c>
      <c r="KW74">
        <v>0</v>
      </c>
      <c r="KX74">
        <v>0</v>
      </c>
      <c r="KY74">
        <v>0</v>
      </c>
      <c r="KZ74">
        <v>0</v>
      </c>
      <c r="LA74">
        <v>0</v>
      </c>
      <c r="LB74">
        <v>0</v>
      </c>
      <c r="LC74">
        <v>0</v>
      </c>
      <c r="LD74">
        <v>0</v>
      </c>
      <c r="LE74">
        <v>0</v>
      </c>
      <c r="LF74">
        <v>0</v>
      </c>
      <c r="LG74">
        <v>0</v>
      </c>
      <c r="LH74">
        <v>0</v>
      </c>
      <c r="LI74">
        <v>0</v>
      </c>
      <c r="LJ74">
        <v>0</v>
      </c>
      <c r="LK74">
        <v>0</v>
      </c>
      <c r="LL74">
        <v>0</v>
      </c>
      <c r="LM74">
        <v>0</v>
      </c>
      <c r="LN74">
        <v>0</v>
      </c>
      <c r="LO74">
        <v>0</v>
      </c>
      <c r="LP74">
        <v>0</v>
      </c>
      <c r="LQ74">
        <v>0</v>
      </c>
      <c r="LR74">
        <v>0</v>
      </c>
      <c r="LS74">
        <v>0</v>
      </c>
      <c r="LT74">
        <v>0</v>
      </c>
      <c r="LU74">
        <v>0</v>
      </c>
      <c r="LV74">
        <v>0</v>
      </c>
      <c r="LW74">
        <v>0</v>
      </c>
      <c r="LX74">
        <v>0</v>
      </c>
      <c r="LY74">
        <v>0</v>
      </c>
      <c r="LZ74">
        <v>0</v>
      </c>
      <c r="MA74">
        <v>0</v>
      </c>
      <c r="MB74">
        <v>0</v>
      </c>
      <c r="MC74">
        <v>0</v>
      </c>
      <c r="MD74">
        <v>0</v>
      </c>
      <c r="ME74">
        <v>0</v>
      </c>
      <c r="MF74">
        <v>0</v>
      </c>
      <c r="MG74">
        <v>0</v>
      </c>
      <c r="MH74">
        <v>0</v>
      </c>
      <c r="MI74">
        <v>0</v>
      </c>
      <c r="MJ74">
        <v>0</v>
      </c>
      <c r="MK74">
        <v>0</v>
      </c>
      <c r="ML74">
        <v>0</v>
      </c>
      <c r="MM74">
        <v>0</v>
      </c>
      <c r="MN74">
        <v>0</v>
      </c>
      <c r="MO74">
        <v>0</v>
      </c>
      <c r="MP74">
        <v>0</v>
      </c>
      <c r="MQ74">
        <v>0</v>
      </c>
      <c r="MR74">
        <v>0</v>
      </c>
      <c r="MS74">
        <v>0</v>
      </c>
      <c r="MT74">
        <v>0</v>
      </c>
      <c r="MU74">
        <v>0</v>
      </c>
      <c r="MV74">
        <v>0</v>
      </c>
      <c r="MW74">
        <v>0</v>
      </c>
      <c r="MX74">
        <v>0</v>
      </c>
      <c r="MY74">
        <v>0</v>
      </c>
      <c r="MZ74">
        <v>0</v>
      </c>
      <c r="NA74">
        <v>0</v>
      </c>
      <c r="NB74">
        <v>0</v>
      </c>
      <c r="NC74">
        <v>0</v>
      </c>
      <c r="ND74">
        <v>0</v>
      </c>
      <c r="NE74">
        <v>0</v>
      </c>
    </row>
    <row r="75" spans="41:369" x14ac:dyDescent="0.45">
      <c r="AO75" t="str">
        <v>A172</v>
      </c>
      <c r="AP75" t="str">
        <v>SAYYED MUHAMMED ABOOBACKER</v>
      </c>
      <c r="AQ75" t="str">
        <v>DAHF</v>
      </c>
      <c r="AR75" t="str">
        <v>SUB JUNIOR</v>
      </c>
      <c r="AS75">
        <v>2</v>
      </c>
      <c r="AT75">
        <v>17</v>
      </c>
      <c r="AU75">
        <v>0</v>
      </c>
      <c r="AV75">
        <v>17</v>
      </c>
      <c r="AW75">
        <v>17</v>
      </c>
      <c r="AX75">
        <v>87</v>
      </c>
      <c r="AY75" s="5">
        <v>87</v>
      </c>
      <c r="AZ75" t="str">
        <v>JN30</v>
      </c>
      <c r="BA75" t="str">
        <v>VOCABULARY</v>
      </c>
      <c r="BB75" t="str">
        <v>JUNIOR</v>
      </c>
      <c r="BC75" t="str">
        <v>Single</v>
      </c>
      <c r="BD75" t="str">
        <v>Non-Stg</v>
      </c>
      <c r="BE75">
        <v>3</v>
      </c>
      <c r="BF75" t="str">
        <v>Individual</v>
      </c>
      <c r="BG75" t="str">
        <v>Individual</v>
      </c>
      <c r="BH75" t="str">
        <v>P</v>
      </c>
      <c r="BI75" t="str">
        <v>PUBLISHED</v>
      </c>
      <c r="BK75">
        <v>69</v>
      </c>
      <c r="BL75" t="str">
        <v>JN26</v>
      </c>
      <c r="BM75" t="str">
        <v>SPELLING BEE</v>
      </c>
      <c r="BN75">
        <v>3</v>
      </c>
      <c r="BO75" t="str">
        <v>Single</v>
      </c>
      <c r="BP75" t="str">
        <v>Non-Stg</v>
      </c>
      <c r="BQ75" t="str">
        <v>JUNIOR</v>
      </c>
      <c r="BR75" t="str">
        <v>B112</v>
      </c>
      <c r="BS75" t="str">
        <v>B123</v>
      </c>
      <c r="BT75" t="str">
        <v>B157</v>
      </c>
      <c r="BU75">
        <v>0</v>
      </c>
      <c r="BV75">
        <v>0</v>
      </c>
      <c r="BW75">
        <v>0</v>
      </c>
      <c r="BX75">
        <v>0</v>
      </c>
      <c r="BY75" t="str">
        <v>B124</v>
      </c>
      <c r="BZ75" t="str">
        <v>B110</v>
      </c>
      <c r="CA75" t="str">
        <v>B158</v>
      </c>
      <c r="CB75">
        <v>0</v>
      </c>
      <c r="CC75">
        <v>0</v>
      </c>
      <c r="CD75">
        <v>0</v>
      </c>
      <c r="CE75">
        <v>0</v>
      </c>
      <c r="CF75" t="str">
        <v>B100</v>
      </c>
      <c r="CG75" t="str">
        <v>B142</v>
      </c>
      <c r="CH75" t="str">
        <v>B113</v>
      </c>
      <c r="CI75">
        <v>0</v>
      </c>
      <c r="CJ75">
        <v>0</v>
      </c>
      <c r="CK75">
        <v>0</v>
      </c>
      <c r="CL75">
        <v>0</v>
      </c>
      <c r="CM75" t="str">
        <v>B126</v>
      </c>
      <c r="CN75" t="str">
        <v>B116</v>
      </c>
      <c r="CO75" t="str">
        <v>B156</v>
      </c>
      <c r="CP75">
        <v>0</v>
      </c>
      <c r="CQ75">
        <v>0</v>
      </c>
      <c r="CR75">
        <v>0</v>
      </c>
      <c r="CS75">
        <v>0</v>
      </c>
      <c r="CT75">
        <v>0</v>
      </c>
      <c r="CU75">
        <v>0</v>
      </c>
      <c r="CV75">
        <v>0</v>
      </c>
      <c r="CW75">
        <v>0</v>
      </c>
      <c r="CX75">
        <v>0</v>
      </c>
      <c r="CY75">
        <v>0</v>
      </c>
      <c r="CZ75">
        <v>0</v>
      </c>
      <c r="DA75">
        <v>0</v>
      </c>
      <c r="DB75">
        <v>0</v>
      </c>
      <c r="DC75">
        <v>0</v>
      </c>
      <c r="DD75">
        <v>0</v>
      </c>
      <c r="DE75">
        <v>0</v>
      </c>
      <c r="DF75">
        <v>0</v>
      </c>
      <c r="DG75">
        <v>0</v>
      </c>
      <c r="DH75">
        <v>0</v>
      </c>
      <c r="DI75">
        <v>0</v>
      </c>
      <c r="DJ75">
        <v>0</v>
      </c>
      <c r="DK75">
        <v>0</v>
      </c>
      <c r="DL75">
        <v>0</v>
      </c>
      <c r="DM75">
        <v>0</v>
      </c>
      <c r="DN75">
        <v>0</v>
      </c>
      <c r="DO75">
        <v>0</v>
      </c>
      <c r="DP75">
        <v>0</v>
      </c>
      <c r="DQ75">
        <v>0</v>
      </c>
      <c r="DR75">
        <v>0</v>
      </c>
      <c r="DS75">
        <v>0</v>
      </c>
      <c r="DT75">
        <v>0</v>
      </c>
      <c r="DU75">
        <v>0</v>
      </c>
      <c r="DV75">
        <v>0</v>
      </c>
      <c r="DW75">
        <v>0</v>
      </c>
      <c r="DX75">
        <v>0</v>
      </c>
      <c r="DY75">
        <v>0</v>
      </c>
      <c r="DZ75">
        <v>0</v>
      </c>
      <c r="EA75">
        <v>0</v>
      </c>
      <c r="EB75">
        <v>0</v>
      </c>
      <c r="EC75">
        <v>0</v>
      </c>
      <c r="ED75">
        <v>0</v>
      </c>
      <c r="EE75">
        <v>0</v>
      </c>
      <c r="EF75">
        <v>0</v>
      </c>
      <c r="EG75">
        <v>0</v>
      </c>
      <c r="EH75">
        <v>0</v>
      </c>
      <c r="EI75">
        <v>0</v>
      </c>
      <c r="EJ75">
        <v>0</v>
      </c>
      <c r="EK75">
        <v>0</v>
      </c>
      <c r="EL75">
        <v>0</v>
      </c>
      <c r="EM75">
        <v>0</v>
      </c>
      <c r="EN75">
        <v>0</v>
      </c>
      <c r="EO75">
        <v>0</v>
      </c>
      <c r="EP75">
        <v>0</v>
      </c>
      <c r="EQ75">
        <v>0</v>
      </c>
      <c r="ER75">
        <v>0</v>
      </c>
      <c r="ES75">
        <v>0</v>
      </c>
      <c r="ET75">
        <v>0</v>
      </c>
      <c r="EU75">
        <v>0</v>
      </c>
      <c r="EV75">
        <v>0</v>
      </c>
      <c r="EW75">
        <v>0</v>
      </c>
      <c r="EX75">
        <v>0</v>
      </c>
      <c r="EY75">
        <v>0</v>
      </c>
      <c r="EZ75">
        <v>0</v>
      </c>
      <c r="FA75">
        <v>0</v>
      </c>
      <c r="FB75">
        <v>0</v>
      </c>
      <c r="FC75">
        <v>0</v>
      </c>
      <c r="FD75">
        <v>0</v>
      </c>
      <c r="FE75">
        <v>0</v>
      </c>
      <c r="FF75">
        <v>0</v>
      </c>
      <c r="FG75">
        <v>0</v>
      </c>
      <c r="FH75">
        <v>0</v>
      </c>
      <c r="FI75">
        <v>0</v>
      </c>
      <c r="FJ75">
        <v>0</v>
      </c>
      <c r="FK75">
        <v>0</v>
      </c>
      <c r="FL75">
        <v>0</v>
      </c>
      <c r="FM75">
        <v>0</v>
      </c>
      <c r="FN75">
        <v>0</v>
      </c>
      <c r="FO75">
        <v>0</v>
      </c>
      <c r="FP75">
        <v>0</v>
      </c>
      <c r="FQ75">
        <v>0</v>
      </c>
      <c r="FR75">
        <v>0</v>
      </c>
      <c r="FS75">
        <v>0</v>
      </c>
      <c r="FT75">
        <v>0</v>
      </c>
      <c r="FU75">
        <v>0</v>
      </c>
      <c r="FV75">
        <v>0</v>
      </c>
      <c r="FW75">
        <v>0</v>
      </c>
      <c r="FX75">
        <v>0</v>
      </c>
      <c r="FY75">
        <v>0</v>
      </c>
      <c r="FZ75">
        <v>0</v>
      </c>
      <c r="GA75">
        <v>0</v>
      </c>
      <c r="GB75">
        <v>0</v>
      </c>
      <c r="GC75">
        <v>0</v>
      </c>
      <c r="GD75">
        <v>0</v>
      </c>
      <c r="GE75">
        <v>0</v>
      </c>
      <c r="GF75">
        <v>0</v>
      </c>
      <c r="GG75">
        <v>0</v>
      </c>
      <c r="GH75">
        <v>0</v>
      </c>
      <c r="GI75">
        <v>0</v>
      </c>
      <c r="GJ75">
        <v>0</v>
      </c>
      <c r="GK75">
        <v>0</v>
      </c>
      <c r="GL75">
        <v>0</v>
      </c>
      <c r="GM75">
        <v>0</v>
      </c>
      <c r="GN75">
        <v>0</v>
      </c>
      <c r="GO75">
        <v>0</v>
      </c>
      <c r="GP75">
        <v>0</v>
      </c>
      <c r="GQ75">
        <v>0</v>
      </c>
      <c r="GR75">
        <v>0</v>
      </c>
      <c r="GS75">
        <v>0</v>
      </c>
      <c r="GT75">
        <v>0</v>
      </c>
      <c r="GU75">
        <v>0</v>
      </c>
      <c r="GV75">
        <v>0</v>
      </c>
      <c r="GW75">
        <v>0</v>
      </c>
      <c r="GX75">
        <v>0</v>
      </c>
      <c r="GY75">
        <v>0</v>
      </c>
      <c r="GZ75">
        <v>0</v>
      </c>
      <c r="HA75">
        <v>0</v>
      </c>
      <c r="HB75">
        <v>0</v>
      </c>
      <c r="HC75">
        <v>0</v>
      </c>
      <c r="HD75">
        <v>0</v>
      </c>
      <c r="HE75">
        <v>0</v>
      </c>
      <c r="HF75">
        <v>0</v>
      </c>
      <c r="HG75">
        <v>0</v>
      </c>
      <c r="HH75">
        <v>0</v>
      </c>
      <c r="HI75">
        <v>0</v>
      </c>
      <c r="HJ75">
        <v>0</v>
      </c>
      <c r="HK75">
        <v>0</v>
      </c>
      <c r="HL75">
        <v>0</v>
      </c>
      <c r="HM75">
        <v>0</v>
      </c>
      <c r="HN75">
        <v>0</v>
      </c>
      <c r="HO75">
        <v>0</v>
      </c>
      <c r="HP75">
        <v>0</v>
      </c>
      <c r="HQ75">
        <v>0</v>
      </c>
      <c r="HR75">
        <v>0</v>
      </c>
      <c r="HS75">
        <v>0</v>
      </c>
      <c r="HT75">
        <v>0</v>
      </c>
      <c r="HU75">
        <v>0</v>
      </c>
      <c r="HV75">
        <v>0</v>
      </c>
      <c r="HW75">
        <v>0</v>
      </c>
      <c r="HX75">
        <v>0</v>
      </c>
      <c r="HY75">
        <v>0</v>
      </c>
      <c r="HZ75">
        <v>0</v>
      </c>
      <c r="IA75">
        <v>0</v>
      </c>
      <c r="IB75">
        <v>0</v>
      </c>
      <c r="IC75">
        <v>0</v>
      </c>
      <c r="ID75">
        <v>0</v>
      </c>
      <c r="IE75">
        <v>0</v>
      </c>
      <c r="IF75">
        <v>0</v>
      </c>
      <c r="IG75">
        <v>0</v>
      </c>
      <c r="IH75">
        <v>0</v>
      </c>
      <c r="II75">
        <v>0</v>
      </c>
      <c r="IJ75">
        <v>0</v>
      </c>
      <c r="IK75">
        <v>0</v>
      </c>
      <c r="IL75">
        <v>0</v>
      </c>
      <c r="IM75">
        <v>0</v>
      </c>
      <c r="IN75">
        <v>0</v>
      </c>
      <c r="IO75">
        <v>0</v>
      </c>
      <c r="IP75">
        <v>0</v>
      </c>
      <c r="IQ75">
        <v>0</v>
      </c>
      <c r="IR75">
        <v>0</v>
      </c>
      <c r="IS75">
        <v>0</v>
      </c>
      <c r="IT75">
        <v>0</v>
      </c>
      <c r="IU75">
        <v>0</v>
      </c>
      <c r="IV75">
        <v>0</v>
      </c>
      <c r="IW75">
        <v>0</v>
      </c>
      <c r="IX75">
        <v>0</v>
      </c>
      <c r="IY75">
        <v>0</v>
      </c>
      <c r="IZ75">
        <v>0</v>
      </c>
      <c r="JA75">
        <v>0</v>
      </c>
      <c r="JB75">
        <v>0</v>
      </c>
      <c r="JC75">
        <v>0</v>
      </c>
      <c r="JD75">
        <v>0</v>
      </c>
      <c r="JE75">
        <v>0</v>
      </c>
      <c r="JF75">
        <v>0</v>
      </c>
      <c r="JG75">
        <v>0</v>
      </c>
      <c r="JH75">
        <v>0</v>
      </c>
      <c r="JI75">
        <v>0</v>
      </c>
      <c r="JJ75">
        <v>0</v>
      </c>
      <c r="JK75">
        <v>0</v>
      </c>
      <c r="JL75">
        <v>0</v>
      </c>
      <c r="JM75">
        <v>0</v>
      </c>
      <c r="JN75">
        <v>0</v>
      </c>
      <c r="JO75">
        <v>0</v>
      </c>
      <c r="JP75">
        <v>0</v>
      </c>
      <c r="JQ75">
        <v>0</v>
      </c>
      <c r="JR75">
        <v>0</v>
      </c>
      <c r="JS75">
        <v>0</v>
      </c>
      <c r="JT75">
        <v>0</v>
      </c>
      <c r="JU75">
        <v>0</v>
      </c>
      <c r="JV75">
        <v>0</v>
      </c>
      <c r="JW75">
        <v>0</v>
      </c>
      <c r="JX75">
        <v>0</v>
      </c>
      <c r="JY75">
        <v>0</v>
      </c>
      <c r="JZ75">
        <v>0</v>
      </c>
      <c r="KA75">
        <v>0</v>
      </c>
      <c r="KB75">
        <v>0</v>
      </c>
      <c r="KC75">
        <v>0</v>
      </c>
      <c r="KD75">
        <v>0</v>
      </c>
      <c r="KE75">
        <v>0</v>
      </c>
      <c r="KF75">
        <v>0</v>
      </c>
      <c r="KG75">
        <v>0</v>
      </c>
      <c r="KH75">
        <v>0</v>
      </c>
      <c r="KI75">
        <v>0</v>
      </c>
      <c r="KJ75">
        <v>0</v>
      </c>
      <c r="KK75">
        <v>0</v>
      </c>
      <c r="KL75">
        <v>0</v>
      </c>
      <c r="KM75">
        <v>0</v>
      </c>
      <c r="KN75">
        <v>0</v>
      </c>
      <c r="KO75">
        <v>0</v>
      </c>
      <c r="KP75">
        <v>0</v>
      </c>
      <c r="KQ75">
        <v>0</v>
      </c>
      <c r="KR75">
        <v>0</v>
      </c>
      <c r="KS75">
        <v>0</v>
      </c>
      <c r="KT75">
        <v>0</v>
      </c>
      <c r="KU75">
        <v>0</v>
      </c>
      <c r="KV75">
        <v>0</v>
      </c>
      <c r="KW75">
        <v>0</v>
      </c>
      <c r="KX75">
        <v>0</v>
      </c>
      <c r="KY75">
        <v>0</v>
      </c>
      <c r="KZ75">
        <v>0</v>
      </c>
      <c r="LA75">
        <v>0</v>
      </c>
      <c r="LB75">
        <v>0</v>
      </c>
      <c r="LC75">
        <v>0</v>
      </c>
      <c r="LD75">
        <v>0</v>
      </c>
      <c r="LE75">
        <v>0</v>
      </c>
      <c r="LF75">
        <v>0</v>
      </c>
      <c r="LG75">
        <v>0</v>
      </c>
      <c r="LH75">
        <v>0</v>
      </c>
      <c r="LI75">
        <v>0</v>
      </c>
      <c r="LJ75">
        <v>0</v>
      </c>
      <c r="LK75">
        <v>0</v>
      </c>
      <c r="LL75">
        <v>0</v>
      </c>
      <c r="LM75">
        <v>0</v>
      </c>
      <c r="LN75">
        <v>0</v>
      </c>
      <c r="LO75">
        <v>0</v>
      </c>
      <c r="LP75">
        <v>0</v>
      </c>
      <c r="LQ75">
        <v>0</v>
      </c>
      <c r="LR75">
        <v>0</v>
      </c>
      <c r="LS75">
        <v>0</v>
      </c>
      <c r="LT75">
        <v>0</v>
      </c>
      <c r="LU75">
        <v>0</v>
      </c>
      <c r="LV75">
        <v>0</v>
      </c>
      <c r="LW75">
        <v>0</v>
      </c>
      <c r="LX75">
        <v>0</v>
      </c>
      <c r="LY75">
        <v>0</v>
      </c>
      <c r="LZ75">
        <v>0</v>
      </c>
      <c r="MA75">
        <v>0</v>
      </c>
      <c r="MB75">
        <v>0</v>
      </c>
      <c r="MC75">
        <v>0</v>
      </c>
      <c r="MD75">
        <v>0</v>
      </c>
      <c r="ME75">
        <v>0</v>
      </c>
      <c r="MF75">
        <v>0</v>
      </c>
      <c r="MG75">
        <v>0</v>
      </c>
      <c r="MH75">
        <v>0</v>
      </c>
      <c r="MI75">
        <v>0</v>
      </c>
      <c r="MJ75">
        <v>0</v>
      </c>
      <c r="MK75">
        <v>0</v>
      </c>
      <c r="ML75">
        <v>0</v>
      </c>
      <c r="MM75">
        <v>0</v>
      </c>
      <c r="MN75">
        <v>0</v>
      </c>
      <c r="MO75">
        <v>0</v>
      </c>
      <c r="MP75">
        <v>0</v>
      </c>
      <c r="MQ75">
        <v>0</v>
      </c>
      <c r="MR75">
        <v>0</v>
      </c>
      <c r="MS75">
        <v>0</v>
      </c>
      <c r="MT75">
        <v>0</v>
      </c>
      <c r="MU75">
        <v>0</v>
      </c>
      <c r="MV75">
        <v>0</v>
      </c>
      <c r="MW75">
        <v>0</v>
      </c>
      <c r="MX75">
        <v>0</v>
      </c>
      <c r="MY75">
        <v>0</v>
      </c>
      <c r="MZ75">
        <v>0</v>
      </c>
      <c r="NA75">
        <v>0</v>
      </c>
      <c r="NB75">
        <v>0</v>
      </c>
      <c r="NC75">
        <v>0</v>
      </c>
      <c r="ND75">
        <v>0</v>
      </c>
      <c r="NE75">
        <v>0</v>
      </c>
    </row>
    <row r="76" spans="41:369" x14ac:dyDescent="0.45">
      <c r="AO76" t="str">
        <v>A173</v>
      </c>
      <c r="AP76" t="str">
        <v>SHAHUL HAMEED B.I</v>
      </c>
      <c r="AQ76" t="str">
        <v>BADF</v>
      </c>
      <c r="AR76" t="str">
        <v>SUB JUNIOR</v>
      </c>
      <c r="AS76">
        <v>2</v>
      </c>
      <c r="AT76">
        <v>6</v>
      </c>
      <c r="AU76">
        <v>0</v>
      </c>
      <c r="AV76">
        <v>6</v>
      </c>
      <c r="AW76">
        <v>6</v>
      </c>
      <c r="AX76">
        <v>171</v>
      </c>
      <c r="AY76" s="5">
        <v>171</v>
      </c>
      <c r="AZ76" t="str">
        <v>JN31</v>
      </c>
      <c r="BA76" t="str">
        <v>JUST A MINUTE</v>
      </c>
      <c r="BB76" t="str">
        <v>JUNIOR</v>
      </c>
      <c r="BC76" t="str">
        <v>Single</v>
      </c>
      <c r="BD76" t="str">
        <v>Stage</v>
      </c>
      <c r="BE76">
        <v>3</v>
      </c>
      <c r="BF76" t="str">
        <v>Individual</v>
      </c>
      <c r="BG76" t="str">
        <v>Individual</v>
      </c>
      <c r="BH76" t="str">
        <v>P</v>
      </c>
      <c r="BI76" t="str">
        <v>PUBLISHED</v>
      </c>
      <c r="BK76">
        <v>70</v>
      </c>
      <c r="BL76" t="str">
        <v>JN27</v>
      </c>
      <c r="BM76" t="str">
        <v>SWARF IQ</v>
      </c>
      <c r="BN76">
        <v>3</v>
      </c>
      <c r="BO76" t="str">
        <v>Single</v>
      </c>
      <c r="BP76" t="str">
        <v>Non-Stg</v>
      </c>
      <c r="BQ76" t="str">
        <v>JUNIOR</v>
      </c>
      <c r="BR76" t="str">
        <v>B144</v>
      </c>
      <c r="BS76" t="str">
        <v>B141</v>
      </c>
      <c r="BT76" t="str">
        <v>B143</v>
      </c>
      <c r="BU76">
        <v>0</v>
      </c>
      <c r="BV76">
        <v>0</v>
      </c>
      <c r="BW76">
        <v>0</v>
      </c>
      <c r="BX76">
        <v>0</v>
      </c>
      <c r="BY76" t="str">
        <v>B124</v>
      </c>
      <c r="BZ76" t="str">
        <v>B125</v>
      </c>
      <c r="CA76" t="str">
        <v>B159</v>
      </c>
      <c r="CB76">
        <v>0</v>
      </c>
      <c r="CC76">
        <v>0</v>
      </c>
      <c r="CD76">
        <v>0</v>
      </c>
      <c r="CE76">
        <v>0</v>
      </c>
      <c r="CF76" t="str">
        <v>B100</v>
      </c>
      <c r="CG76" t="str">
        <v>B121</v>
      </c>
      <c r="CH76" t="str">
        <v>B128</v>
      </c>
      <c r="CI76">
        <v>0</v>
      </c>
      <c r="CJ76">
        <v>0</v>
      </c>
      <c r="CK76">
        <v>0</v>
      </c>
      <c r="CL76">
        <v>0</v>
      </c>
      <c r="CM76" t="str">
        <v>B148</v>
      </c>
      <c r="CN76" t="str">
        <v>B108</v>
      </c>
      <c r="CO76" t="str">
        <v>B163</v>
      </c>
      <c r="CP76">
        <v>0</v>
      </c>
      <c r="CQ76">
        <v>0</v>
      </c>
      <c r="CR76">
        <v>0</v>
      </c>
      <c r="CS76">
        <v>0</v>
      </c>
      <c r="CT76">
        <v>0</v>
      </c>
      <c r="CU76">
        <v>0</v>
      </c>
      <c r="CV76">
        <v>0</v>
      </c>
      <c r="CW76">
        <v>0</v>
      </c>
      <c r="CX76">
        <v>0</v>
      </c>
      <c r="CY76">
        <v>0</v>
      </c>
      <c r="CZ76">
        <v>0</v>
      </c>
      <c r="DA76">
        <v>0</v>
      </c>
      <c r="DB76">
        <v>0</v>
      </c>
      <c r="DC76">
        <v>0</v>
      </c>
      <c r="DD76">
        <v>0</v>
      </c>
      <c r="DE76">
        <v>0</v>
      </c>
      <c r="DF76">
        <v>0</v>
      </c>
      <c r="DG76">
        <v>0</v>
      </c>
      <c r="DH76">
        <v>0</v>
      </c>
      <c r="DI76">
        <v>0</v>
      </c>
      <c r="DJ76">
        <v>0</v>
      </c>
      <c r="DK76">
        <v>0</v>
      </c>
      <c r="DL76">
        <v>0</v>
      </c>
      <c r="DM76">
        <v>0</v>
      </c>
      <c r="DN76">
        <v>0</v>
      </c>
      <c r="DO76">
        <v>0</v>
      </c>
      <c r="DP76">
        <v>0</v>
      </c>
      <c r="DQ76">
        <v>0</v>
      </c>
      <c r="DR76">
        <v>0</v>
      </c>
      <c r="DS76">
        <v>0</v>
      </c>
      <c r="DT76">
        <v>0</v>
      </c>
      <c r="DU76">
        <v>0</v>
      </c>
      <c r="DV76">
        <v>0</v>
      </c>
      <c r="DW76">
        <v>0</v>
      </c>
      <c r="DX76">
        <v>0</v>
      </c>
      <c r="DY76">
        <v>0</v>
      </c>
      <c r="DZ76">
        <v>0</v>
      </c>
      <c r="EA76">
        <v>0</v>
      </c>
      <c r="EB76">
        <v>0</v>
      </c>
      <c r="EC76">
        <v>0</v>
      </c>
      <c r="ED76">
        <v>0</v>
      </c>
      <c r="EE76">
        <v>0</v>
      </c>
      <c r="EF76">
        <v>0</v>
      </c>
      <c r="EG76">
        <v>0</v>
      </c>
      <c r="EH76">
        <v>0</v>
      </c>
      <c r="EI76">
        <v>0</v>
      </c>
      <c r="EJ76">
        <v>0</v>
      </c>
      <c r="EK76">
        <v>0</v>
      </c>
      <c r="EL76">
        <v>0</v>
      </c>
      <c r="EM76">
        <v>0</v>
      </c>
      <c r="EN76">
        <v>0</v>
      </c>
      <c r="EO76">
        <v>0</v>
      </c>
      <c r="EP76">
        <v>0</v>
      </c>
      <c r="EQ76">
        <v>0</v>
      </c>
      <c r="ER76">
        <v>0</v>
      </c>
      <c r="ES76">
        <v>0</v>
      </c>
      <c r="ET76">
        <v>0</v>
      </c>
      <c r="EU76">
        <v>0</v>
      </c>
      <c r="EV76">
        <v>0</v>
      </c>
      <c r="EW76">
        <v>0</v>
      </c>
      <c r="EX76">
        <v>0</v>
      </c>
      <c r="EY76">
        <v>0</v>
      </c>
      <c r="EZ76">
        <v>0</v>
      </c>
      <c r="FA76">
        <v>0</v>
      </c>
      <c r="FB76">
        <v>0</v>
      </c>
      <c r="FC76">
        <v>0</v>
      </c>
      <c r="FD76">
        <v>0</v>
      </c>
      <c r="FE76">
        <v>0</v>
      </c>
      <c r="FF76">
        <v>0</v>
      </c>
      <c r="FG76">
        <v>0</v>
      </c>
      <c r="FH76">
        <v>0</v>
      </c>
      <c r="FI76">
        <v>0</v>
      </c>
      <c r="FJ76">
        <v>0</v>
      </c>
      <c r="FK76">
        <v>0</v>
      </c>
      <c r="FL76">
        <v>0</v>
      </c>
      <c r="FM76">
        <v>0</v>
      </c>
      <c r="FN76">
        <v>0</v>
      </c>
      <c r="FO76">
        <v>0</v>
      </c>
      <c r="FP76">
        <v>0</v>
      </c>
      <c r="FQ76">
        <v>0</v>
      </c>
      <c r="FR76">
        <v>0</v>
      </c>
      <c r="FS76">
        <v>0</v>
      </c>
      <c r="FT76">
        <v>0</v>
      </c>
      <c r="FU76">
        <v>0</v>
      </c>
      <c r="FV76">
        <v>0</v>
      </c>
      <c r="FW76">
        <v>0</v>
      </c>
      <c r="FX76">
        <v>0</v>
      </c>
      <c r="FY76">
        <v>0</v>
      </c>
      <c r="FZ76">
        <v>0</v>
      </c>
      <c r="GA76">
        <v>0</v>
      </c>
      <c r="GB76">
        <v>0</v>
      </c>
      <c r="GC76">
        <v>0</v>
      </c>
      <c r="GD76">
        <v>0</v>
      </c>
      <c r="GE76">
        <v>0</v>
      </c>
      <c r="GF76">
        <v>0</v>
      </c>
      <c r="GG76">
        <v>0</v>
      </c>
      <c r="GH76">
        <v>0</v>
      </c>
      <c r="GI76">
        <v>0</v>
      </c>
      <c r="GJ76">
        <v>0</v>
      </c>
      <c r="GK76">
        <v>0</v>
      </c>
      <c r="GL76">
        <v>0</v>
      </c>
      <c r="GM76">
        <v>0</v>
      </c>
      <c r="GN76">
        <v>0</v>
      </c>
      <c r="GO76">
        <v>0</v>
      </c>
      <c r="GP76">
        <v>0</v>
      </c>
      <c r="GQ76">
        <v>0</v>
      </c>
      <c r="GR76">
        <v>0</v>
      </c>
      <c r="GS76">
        <v>0</v>
      </c>
      <c r="GT76">
        <v>0</v>
      </c>
      <c r="GU76">
        <v>0</v>
      </c>
      <c r="GV76">
        <v>0</v>
      </c>
      <c r="GW76">
        <v>0</v>
      </c>
      <c r="GX76">
        <v>0</v>
      </c>
      <c r="GY76">
        <v>0</v>
      </c>
      <c r="GZ76">
        <v>0</v>
      </c>
      <c r="HA76">
        <v>0</v>
      </c>
      <c r="HB76">
        <v>0</v>
      </c>
      <c r="HC76">
        <v>0</v>
      </c>
      <c r="HD76">
        <v>0</v>
      </c>
      <c r="HE76">
        <v>0</v>
      </c>
      <c r="HF76">
        <v>0</v>
      </c>
      <c r="HG76">
        <v>0</v>
      </c>
      <c r="HH76">
        <v>0</v>
      </c>
      <c r="HI76">
        <v>0</v>
      </c>
      <c r="HJ76">
        <v>0</v>
      </c>
      <c r="HK76">
        <v>0</v>
      </c>
      <c r="HL76">
        <v>0</v>
      </c>
      <c r="HM76">
        <v>0</v>
      </c>
      <c r="HN76">
        <v>0</v>
      </c>
      <c r="HO76">
        <v>0</v>
      </c>
      <c r="HP76">
        <v>0</v>
      </c>
      <c r="HQ76">
        <v>0</v>
      </c>
      <c r="HR76">
        <v>0</v>
      </c>
      <c r="HS76">
        <v>0</v>
      </c>
      <c r="HT76">
        <v>0</v>
      </c>
      <c r="HU76">
        <v>0</v>
      </c>
      <c r="HV76">
        <v>0</v>
      </c>
      <c r="HW76">
        <v>0</v>
      </c>
      <c r="HX76">
        <v>0</v>
      </c>
      <c r="HY76">
        <v>0</v>
      </c>
      <c r="HZ76">
        <v>0</v>
      </c>
      <c r="IA76">
        <v>0</v>
      </c>
      <c r="IB76">
        <v>0</v>
      </c>
      <c r="IC76">
        <v>0</v>
      </c>
      <c r="ID76">
        <v>0</v>
      </c>
      <c r="IE76">
        <v>0</v>
      </c>
      <c r="IF76">
        <v>0</v>
      </c>
      <c r="IG76">
        <v>0</v>
      </c>
      <c r="IH76">
        <v>0</v>
      </c>
      <c r="II76">
        <v>0</v>
      </c>
      <c r="IJ76">
        <v>0</v>
      </c>
      <c r="IK76">
        <v>0</v>
      </c>
      <c r="IL76">
        <v>0</v>
      </c>
      <c r="IM76">
        <v>0</v>
      </c>
      <c r="IN76">
        <v>0</v>
      </c>
      <c r="IO76">
        <v>0</v>
      </c>
      <c r="IP76">
        <v>0</v>
      </c>
      <c r="IQ76">
        <v>0</v>
      </c>
      <c r="IR76">
        <v>0</v>
      </c>
      <c r="IS76">
        <v>0</v>
      </c>
      <c r="IT76">
        <v>0</v>
      </c>
      <c r="IU76">
        <v>0</v>
      </c>
      <c r="IV76">
        <v>0</v>
      </c>
      <c r="IW76">
        <v>0</v>
      </c>
      <c r="IX76">
        <v>0</v>
      </c>
      <c r="IY76">
        <v>0</v>
      </c>
      <c r="IZ76">
        <v>0</v>
      </c>
      <c r="JA76">
        <v>0</v>
      </c>
      <c r="JB76">
        <v>0</v>
      </c>
      <c r="JC76">
        <v>0</v>
      </c>
      <c r="JD76">
        <v>0</v>
      </c>
      <c r="JE76">
        <v>0</v>
      </c>
      <c r="JF76">
        <v>0</v>
      </c>
      <c r="JG76">
        <v>0</v>
      </c>
      <c r="JH76">
        <v>0</v>
      </c>
      <c r="JI76">
        <v>0</v>
      </c>
      <c r="JJ76">
        <v>0</v>
      </c>
      <c r="JK76">
        <v>0</v>
      </c>
      <c r="JL76">
        <v>0</v>
      </c>
      <c r="JM76">
        <v>0</v>
      </c>
      <c r="JN76">
        <v>0</v>
      </c>
      <c r="JO76">
        <v>0</v>
      </c>
      <c r="JP76">
        <v>0</v>
      </c>
      <c r="JQ76">
        <v>0</v>
      </c>
      <c r="JR76">
        <v>0</v>
      </c>
      <c r="JS76">
        <v>0</v>
      </c>
      <c r="JT76">
        <v>0</v>
      </c>
      <c r="JU76">
        <v>0</v>
      </c>
      <c r="JV76">
        <v>0</v>
      </c>
      <c r="JW76">
        <v>0</v>
      </c>
      <c r="JX76">
        <v>0</v>
      </c>
      <c r="JY76">
        <v>0</v>
      </c>
      <c r="JZ76">
        <v>0</v>
      </c>
      <c r="KA76">
        <v>0</v>
      </c>
      <c r="KB76">
        <v>0</v>
      </c>
      <c r="KC76">
        <v>0</v>
      </c>
      <c r="KD76">
        <v>0</v>
      </c>
      <c r="KE76">
        <v>0</v>
      </c>
      <c r="KF76">
        <v>0</v>
      </c>
      <c r="KG76">
        <v>0</v>
      </c>
      <c r="KH76">
        <v>0</v>
      </c>
      <c r="KI76">
        <v>0</v>
      </c>
      <c r="KJ76">
        <v>0</v>
      </c>
      <c r="KK76">
        <v>0</v>
      </c>
      <c r="KL76">
        <v>0</v>
      </c>
      <c r="KM76">
        <v>0</v>
      </c>
      <c r="KN76">
        <v>0</v>
      </c>
      <c r="KO76">
        <v>0</v>
      </c>
      <c r="KP76">
        <v>0</v>
      </c>
      <c r="KQ76">
        <v>0</v>
      </c>
      <c r="KR76">
        <v>0</v>
      </c>
      <c r="KS76">
        <v>0</v>
      </c>
      <c r="KT76">
        <v>0</v>
      </c>
      <c r="KU76">
        <v>0</v>
      </c>
      <c r="KV76">
        <v>0</v>
      </c>
      <c r="KW76">
        <v>0</v>
      </c>
      <c r="KX76">
        <v>0</v>
      </c>
      <c r="KY76">
        <v>0</v>
      </c>
      <c r="KZ76">
        <v>0</v>
      </c>
      <c r="LA76">
        <v>0</v>
      </c>
      <c r="LB76">
        <v>0</v>
      </c>
      <c r="LC76">
        <v>0</v>
      </c>
      <c r="LD76">
        <v>0</v>
      </c>
      <c r="LE76">
        <v>0</v>
      </c>
      <c r="LF76">
        <v>0</v>
      </c>
      <c r="LG76">
        <v>0</v>
      </c>
      <c r="LH76">
        <v>0</v>
      </c>
      <c r="LI76">
        <v>0</v>
      </c>
      <c r="LJ76">
        <v>0</v>
      </c>
      <c r="LK76">
        <v>0</v>
      </c>
      <c r="LL76">
        <v>0</v>
      </c>
      <c r="LM76">
        <v>0</v>
      </c>
      <c r="LN76">
        <v>0</v>
      </c>
      <c r="LO76">
        <v>0</v>
      </c>
      <c r="LP76">
        <v>0</v>
      </c>
      <c r="LQ76">
        <v>0</v>
      </c>
      <c r="LR76">
        <v>0</v>
      </c>
      <c r="LS76">
        <v>0</v>
      </c>
      <c r="LT76">
        <v>0</v>
      </c>
      <c r="LU76">
        <v>0</v>
      </c>
      <c r="LV76">
        <v>0</v>
      </c>
      <c r="LW76">
        <v>0</v>
      </c>
      <c r="LX76">
        <v>0</v>
      </c>
      <c r="LY76">
        <v>0</v>
      </c>
      <c r="LZ76">
        <v>0</v>
      </c>
      <c r="MA76">
        <v>0</v>
      </c>
      <c r="MB76">
        <v>0</v>
      </c>
      <c r="MC76">
        <v>0</v>
      </c>
      <c r="MD76">
        <v>0</v>
      </c>
      <c r="ME76">
        <v>0</v>
      </c>
      <c r="MF76">
        <v>0</v>
      </c>
      <c r="MG76">
        <v>0</v>
      </c>
      <c r="MH76">
        <v>0</v>
      </c>
      <c r="MI76">
        <v>0</v>
      </c>
      <c r="MJ76">
        <v>0</v>
      </c>
      <c r="MK76">
        <v>0</v>
      </c>
      <c r="ML76">
        <v>0</v>
      </c>
      <c r="MM76">
        <v>0</v>
      </c>
      <c r="MN76">
        <v>0</v>
      </c>
      <c r="MO76">
        <v>0</v>
      </c>
      <c r="MP76">
        <v>0</v>
      </c>
      <c r="MQ76">
        <v>0</v>
      </c>
      <c r="MR76">
        <v>0</v>
      </c>
      <c r="MS76">
        <v>0</v>
      </c>
      <c r="MT76">
        <v>0</v>
      </c>
      <c r="MU76">
        <v>0</v>
      </c>
      <c r="MV76">
        <v>0</v>
      </c>
      <c r="MW76">
        <v>0</v>
      </c>
      <c r="MX76">
        <v>0</v>
      </c>
      <c r="MY76">
        <v>0</v>
      </c>
      <c r="MZ76">
        <v>0</v>
      </c>
      <c r="NA76">
        <v>0</v>
      </c>
      <c r="NB76">
        <v>0</v>
      </c>
      <c r="NC76">
        <v>0</v>
      </c>
      <c r="ND76">
        <v>0</v>
      </c>
      <c r="NE76">
        <v>0</v>
      </c>
    </row>
    <row r="77" spans="41:369" x14ac:dyDescent="0.45">
      <c r="AO77" t="str">
        <v>A174</v>
      </c>
      <c r="AP77" t="str">
        <v>THUFAIL</v>
      </c>
      <c r="AQ77" t="str">
        <v>DAHF</v>
      </c>
      <c r="AR77" t="str">
        <v>SUB JUNIOR</v>
      </c>
      <c r="AS77">
        <v>2</v>
      </c>
      <c r="AT77">
        <v>20.5</v>
      </c>
      <c r="AU77">
        <v>0</v>
      </c>
      <c r="AV77">
        <v>20.5</v>
      </c>
      <c r="AW77">
        <v>20.5</v>
      </c>
      <c r="AX77">
        <v>73</v>
      </c>
      <c r="AY77" s="5">
        <v>73</v>
      </c>
      <c r="AZ77" t="str">
        <v>JN32</v>
      </c>
      <c r="BA77" t="str">
        <v>MADH GANAM MLM</v>
      </c>
      <c r="BB77" t="str">
        <v>JUNIOR</v>
      </c>
      <c r="BC77" t="str">
        <v>Single</v>
      </c>
      <c r="BD77" t="str">
        <v>Stage</v>
      </c>
      <c r="BE77">
        <v>3</v>
      </c>
      <c r="BF77" t="str">
        <v>Individual</v>
      </c>
      <c r="BG77" t="str">
        <v>Individual</v>
      </c>
      <c r="BH77" t="str">
        <v>P</v>
      </c>
      <c r="BI77" t="str">
        <v>PUBLISHED</v>
      </c>
      <c r="BK77">
        <v>71</v>
      </c>
      <c r="BL77" t="str">
        <v>JN28</v>
      </c>
      <c r="BM77" t="str">
        <v>TYPING MASTER ENG</v>
      </c>
      <c r="BN77">
        <v>3</v>
      </c>
      <c r="BO77" t="str">
        <v>Single</v>
      </c>
      <c r="BP77" t="str">
        <v>Non-Stg</v>
      </c>
      <c r="BQ77" t="str">
        <v>JUNIOR</v>
      </c>
      <c r="BR77" t="str">
        <v>B130</v>
      </c>
      <c r="BS77" t="str">
        <v>B143</v>
      </c>
      <c r="BT77" t="str">
        <v>B141</v>
      </c>
      <c r="BU77">
        <v>0</v>
      </c>
      <c r="BV77">
        <v>0</v>
      </c>
      <c r="BW77">
        <v>0</v>
      </c>
      <c r="BX77">
        <v>0</v>
      </c>
      <c r="BY77" t="str">
        <v>B114</v>
      </c>
      <c r="BZ77" t="str">
        <v>B139</v>
      </c>
      <c r="CA77" t="str">
        <v>B158</v>
      </c>
      <c r="CB77">
        <v>0</v>
      </c>
      <c r="CC77">
        <v>0</v>
      </c>
      <c r="CD77">
        <v>0</v>
      </c>
      <c r="CE77">
        <v>0</v>
      </c>
      <c r="CF77" t="str">
        <v>B103</v>
      </c>
      <c r="CG77" t="str">
        <v>B113</v>
      </c>
      <c r="CH77" t="str">
        <v>B140</v>
      </c>
      <c r="CI77">
        <v>0</v>
      </c>
      <c r="CJ77">
        <v>0</v>
      </c>
      <c r="CK77">
        <v>0</v>
      </c>
      <c r="CL77">
        <v>0</v>
      </c>
      <c r="CM77" t="str">
        <v>B119</v>
      </c>
      <c r="CN77" t="str">
        <v>B160</v>
      </c>
      <c r="CO77" t="str">
        <v>B163</v>
      </c>
      <c r="CP77">
        <v>0</v>
      </c>
      <c r="CQ77">
        <v>0</v>
      </c>
      <c r="CR77">
        <v>0</v>
      </c>
      <c r="CS77">
        <v>0</v>
      </c>
      <c r="CT77">
        <v>0</v>
      </c>
      <c r="CU77">
        <v>0</v>
      </c>
      <c r="CV77">
        <v>0</v>
      </c>
      <c r="CW77">
        <v>0</v>
      </c>
      <c r="CX77">
        <v>0</v>
      </c>
      <c r="CY77">
        <v>0</v>
      </c>
      <c r="CZ77">
        <v>0</v>
      </c>
      <c r="DA77">
        <v>0</v>
      </c>
      <c r="DB77">
        <v>0</v>
      </c>
      <c r="DC77">
        <v>0</v>
      </c>
      <c r="DD77">
        <v>0</v>
      </c>
      <c r="DE77">
        <v>0</v>
      </c>
      <c r="DF77">
        <v>0</v>
      </c>
      <c r="DG77">
        <v>0</v>
      </c>
      <c r="DH77">
        <v>0</v>
      </c>
      <c r="DI77">
        <v>0</v>
      </c>
      <c r="DJ77">
        <v>0</v>
      </c>
      <c r="DK77">
        <v>0</v>
      </c>
      <c r="DL77">
        <v>0</v>
      </c>
      <c r="DM77">
        <v>0</v>
      </c>
      <c r="DN77">
        <v>0</v>
      </c>
      <c r="DO77">
        <v>0</v>
      </c>
      <c r="DP77">
        <v>0</v>
      </c>
      <c r="DQ77">
        <v>0</v>
      </c>
      <c r="DR77">
        <v>0</v>
      </c>
      <c r="DS77">
        <v>0</v>
      </c>
      <c r="DT77">
        <v>0</v>
      </c>
      <c r="DU77">
        <v>0</v>
      </c>
      <c r="DV77">
        <v>0</v>
      </c>
      <c r="DW77">
        <v>0</v>
      </c>
      <c r="DX77">
        <v>0</v>
      </c>
      <c r="DY77">
        <v>0</v>
      </c>
      <c r="DZ77">
        <v>0</v>
      </c>
      <c r="EA77">
        <v>0</v>
      </c>
      <c r="EB77">
        <v>0</v>
      </c>
      <c r="EC77">
        <v>0</v>
      </c>
      <c r="ED77">
        <v>0</v>
      </c>
      <c r="EE77">
        <v>0</v>
      </c>
      <c r="EF77">
        <v>0</v>
      </c>
      <c r="EG77">
        <v>0</v>
      </c>
      <c r="EH77">
        <v>0</v>
      </c>
      <c r="EI77">
        <v>0</v>
      </c>
      <c r="EJ77">
        <v>0</v>
      </c>
      <c r="EK77">
        <v>0</v>
      </c>
      <c r="EL77">
        <v>0</v>
      </c>
      <c r="EM77">
        <v>0</v>
      </c>
      <c r="EN77">
        <v>0</v>
      </c>
      <c r="EO77">
        <v>0</v>
      </c>
      <c r="EP77">
        <v>0</v>
      </c>
      <c r="EQ77">
        <v>0</v>
      </c>
      <c r="ER77">
        <v>0</v>
      </c>
      <c r="ES77">
        <v>0</v>
      </c>
      <c r="ET77">
        <v>0</v>
      </c>
      <c r="EU77">
        <v>0</v>
      </c>
      <c r="EV77">
        <v>0</v>
      </c>
      <c r="EW77">
        <v>0</v>
      </c>
      <c r="EX77">
        <v>0</v>
      </c>
      <c r="EY77">
        <v>0</v>
      </c>
      <c r="EZ77">
        <v>0</v>
      </c>
      <c r="FA77">
        <v>0</v>
      </c>
      <c r="FB77">
        <v>0</v>
      </c>
      <c r="FC77">
        <v>0</v>
      </c>
      <c r="FD77">
        <v>0</v>
      </c>
      <c r="FE77">
        <v>0</v>
      </c>
      <c r="FF77">
        <v>0</v>
      </c>
      <c r="FG77">
        <v>0</v>
      </c>
      <c r="FH77">
        <v>0</v>
      </c>
      <c r="FI77">
        <v>0</v>
      </c>
      <c r="FJ77">
        <v>0</v>
      </c>
      <c r="FK77">
        <v>0</v>
      </c>
      <c r="FL77">
        <v>0</v>
      </c>
      <c r="FM77">
        <v>0</v>
      </c>
      <c r="FN77">
        <v>0</v>
      </c>
      <c r="FO77">
        <v>0</v>
      </c>
      <c r="FP77">
        <v>0</v>
      </c>
      <c r="FQ77">
        <v>0</v>
      </c>
      <c r="FR77">
        <v>0</v>
      </c>
      <c r="FS77">
        <v>0</v>
      </c>
      <c r="FT77">
        <v>0</v>
      </c>
      <c r="FU77">
        <v>0</v>
      </c>
      <c r="FV77">
        <v>0</v>
      </c>
      <c r="FW77">
        <v>0</v>
      </c>
      <c r="FX77">
        <v>0</v>
      </c>
      <c r="FY77">
        <v>0</v>
      </c>
      <c r="FZ77">
        <v>0</v>
      </c>
      <c r="GA77">
        <v>0</v>
      </c>
      <c r="GB77">
        <v>0</v>
      </c>
      <c r="GC77">
        <v>0</v>
      </c>
      <c r="GD77">
        <v>0</v>
      </c>
      <c r="GE77">
        <v>0</v>
      </c>
      <c r="GF77">
        <v>0</v>
      </c>
      <c r="GG77">
        <v>0</v>
      </c>
      <c r="GH77">
        <v>0</v>
      </c>
      <c r="GI77">
        <v>0</v>
      </c>
      <c r="GJ77">
        <v>0</v>
      </c>
      <c r="GK77">
        <v>0</v>
      </c>
      <c r="GL77">
        <v>0</v>
      </c>
      <c r="GM77">
        <v>0</v>
      </c>
      <c r="GN77">
        <v>0</v>
      </c>
      <c r="GO77">
        <v>0</v>
      </c>
      <c r="GP77">
        <v>0</v>
      </c>
      <c r="GQ77">
        <v>0</v>
      </c>
      <c r="GR77">
        <v>0</v>
      </c>
      <c r="GS77">
        <v>0</v>
      </c>
      <c r="GT77">
        <v>0</v>
      </c>
      <c r="GU77">
        <v>0</v>
      </c>
      <c r="GV77">
        <v>0</v>
      </c>
      <c r="GW77">
        <v>0</v>
      </c>
      <c r="GX77">
        <v>0</v>
      </c>
      <c r="GY77">
        <v>0</v>
      </c>
      <c r="GZ77">
        <v>0</v>
      </c>
      <c r="HA77">
        <v>0</v>
      </c>
      <c r="HB77">
        <v>0</v>
      </c>
      <c r="HC77">
        <v>0</v>
      </c>
      <c r="HD77">
        <v>0</v>
      </c>
      <c r="HE77">
        <v>0</v>
      </c>
      <c r="HF77">
        <v>0</v>
      </c>
      <c r="HG77">
        <v>0</v>
      </c>
      <c r="HH77">
        <v>0</v>
      </c>
      <c r="HI77">
        <v>0</v>
      </c>
      <c r="HJ77">
        <v>0</v>
      </c>
      <c r="HK77">
        <v>0</v>
      </c>
      <c r="HL77">
        <v>0</v>
      </c>
      <c r="HM77">
        <v>0</v>
      </c>
      <c r="HN77">
        <v>0</v>
      </c>
      <c r="HO77">
        <v>0</v>
      </c>
      <c r="HP77">
        <v>0</v>
      </c>
      <c r="HQ77">
        <v>0</v>
      </c>
      <c r="HR77">
        <v>0</v>
      </c>
      <c r="HS77">
        <v>0</v>
      </c>
      <c r="HT77">
        <v>0</v>
      </c>
      <c r="HU77">
        <v>0</v>
      </c>
      <c r="HV77">
        <v>0</v>
      </c>
      <c r="HW77">
        <v>0</v>
      </c>
      <c r="HX77">
        <v>0</v>
      </c>
      <c r="HY77">
        <v>0</v>
      </c>
      <c r="HZ77">
        <v>0</v>
      </c>
      <c r="IA77">
        <v>0</v>
      </c>
      <c r="IB77">
        <v>0</v>
      </c>
      <c r="IC77">
        <v>0</v>
      </c>
      <c r="ID77">
        <v>0</v>
      </c>
      <c r="IE77">
        <v>0</v>
      </c>
      <c r="IF77">
        <v>0</v>
      </c>
      <c r="IG77">
        <v>0</v>
      </c>
      <c r="IH77">
        <v>0</v>
      </c>
      <c r="II77">
        <v>0</v>
      </c>
      <c r="IJ77">
        <v>0</v>
      </c>
      <c r="IK77">
        <v>0</v>
      </c>
      <c r="IL77">
        <v>0</v>
      </c>
      <c r="IM77">
        <v>0</v>
      </c>
      <c r="IN77">
        <v>0</v>
      </c>
      <c r="IO77">
        <v>0</v>
      </c>
      <c r="IP77">
        <v>0</v>
      </c>
      <c r="IQ77">
        <v>0</v>
      </c>
      <c r="IR77">
        <v>0</v>
      </c>
      <c r="IS77">
        <v>0</v>
      </c>
      <c r="IT77">
        <v>0</v>
      </c>
      <c r="IU77">
        <v>0</v>
      </c>
      <c r="IV77">
        <v>0</v>
      </c>
      <c r="IW77">
        <v>0</v>
      </c>
      <c r="IX77">
        <v>0</v>
      </c>
      <c r="IY77">
        <v>0</v>
      </c>
      <c r="IZ77">
        <v>0</v>
      </c>
      <c r="JA77">
        <v>0</v>
      </c>
      <c r="JB77">
        <v>0</v>
      </c>
      <c r="JC77">
        <v>0</v>
      </c>
      <c r="JD77">
        <v>0</v>
      </c>
      <c r="JE77">
        <v>0</v>
      </c>
      <c r="JF77">
        <v>0</v>
      </c>
      <c r="JG77">
        <v>0</v>
      </c>
      <c r="JH77">
        <v>0</v>
      </c>
      <c r="JI77">
        <v>0</v>
      </c>
      <c r="JJ77">
        <v>0</v>
      </c>
      <c r="JK77">
        <v>0</v>
      </c>
      <c r="JL77">
        <v>0</v>
      </c>
      <c r="JM77">
        <v>0</v>
      </c>
      <c r="JN77">
        <v>0</v>
      </c>
      <c r="JO77">
        <v>0</v>
      </c>
      <c r="JP77">
        <v>0</v>
      </c>
      <c r="JQ77">
        <v>0</v>
      </c>
      <c r="JR77">
        <v>0</v>
      </c>
      <c r="JS77">
        <v>0</v>
      </c>
      <c r="JT77">
        <v>0</v>
      </c>
      <c r="JU77">
        <v>0</v>
      </c>
      <c r="JV77">
        <v>0</v>
      </c>
      <c r="JW77">
        <v>0</v>
      </c>
      <c r="JX77">
        <v>0</v>
      </c>
      <c r="JY77">
        <v>0</v>
      </c>
      <c r="JZ77">
        <v>0</v>
      </c>
      <c r="KA77">
        <v>0</v>
      </c>
      <c r="KB77">
        <v>0</v>
      </c>
      <c r="KC77">
        <v>0</v>
      </c>
      <c r="KD77">
        <v>0</v>
      </c>
      <c r="KE77">
        <v>0</v>
      </c>
      <c r="KF77">
        <v>0</v>
      </c>
      <c r="KG77">
        <v>0</v>
      </c>
      <c r="KH77">
        <v>0</v>
      </c>
      <c r="KI77">
        <v>0</v>
      </c>
      <c r="KJ77">
        <v>0</v>
      </c>
      <c r="KK77">
        <v>0</v>
      </c>
      <c r="KL77">
        <v>0</v>
      </c>
      <c r="KM77">
        <v>0</v>
      </c>
      <c r="KN77">
        <v>0</v>
      </c>
      <c r="KO77">
        <v>0</v>
      </c>
      <c r="KP77">
        <v>0</v>
      </c>
      <c r="KQ77">
        <v>0</v>
      </c>
      <c r="KR77">
        <v>0</v>
      </c>
      <c r="KS77">
        <v>0</v>
      </c>
      <c r="KT77">
        <v>0</v>
      </c>
      <c r="KU77">
        <v>0</v>
      </c>
      <c r="KV77">
        <v>0</v>
      </c>
      <c r="KW77">
        <v>0</v>
      </c>
      <c r="KX77">
        <v>0</v>
      </c>
      <c r="KY77">
        <v>0</v>
      </c>
      <c r="KZ77">
        <v>0</v>
      </c>
      <c r="LA77">
        <v>0</v>
      </c>
      <c r="LB77">
        <v>0</v>
      </c>
      <c r="LC77">
        <v>0</v>
      </c>
      <c r="LD77">
        <v>0</v>
      </c>
      <c r="LE77">
        <v>0</v>
      </c>
      <c r="LF77">
        <v>0</v>
      </c>
      <c r="LG77">
        <v>0</v>
      </c>
      <c r="LH77">
        <v>0</v>
      </c>
      <c r="LI77">
        <v>0</v>
      </c>
      <c r="LJ77">
        <v>0</v>
      </c>
      <c r="LK77">
        <v>0</v>
      </c>
      <c r="LL77">
        <v>0</v>
      </c>
      <c r="LM77">
        <v>0</v>
      </c>
      <c r="LN77">
        <v>0</v>
      </c>
      <c r="LO77">
        <v>0</v>
      </c>
      <c r="LP77">
        <v>0</v>
      </c>
      <c r="LQ77">
        <v>0</v>
      </c>
      <c r="LR77">
        <v>0</v>
      </c>
      <c r="LS77">
        <v>0</v>
      </c>
      <c r="LT77">
        <v>0</v>
      </c>
      <c r="LU77">
        <v>0</v>
      </c>
      <c r="LV77">
        <v>0</v>
      </c>
      <c r="LW77">
        <v>0</v>
      </c>
      <c r="LX77">
        <v>0</v>
      </c>
      <c r="LY77">
        <v>0</v>
      </c>
      <c r="LZ77">
        <v>0</v>
      </c>
      <c r="MA77">
        <v>0</v>
      </c>
      <c r="MB77">
        <v>0</v>
      </c>
      <c r="MC77">
        <v>0</v>
      </c>
      <c r="MD77">
        <v>0</v>
      </c>
      <c r="ME77">
        <v>0</v>
      </c>
      <c r="MF77">
        <v>0</v>
      </c>
      <c r="MG77">
        <v>0</v>
      </c>
      <c r="MH77">
        <v>0</v>
      </c>
      <c r="MI77">
        <v>0</v>
      </c>
      <c r="MJ77">
        <v>0</v>
      </c>
      <c r="MK77">
        <v>0</v>
      </c>
      <c r="ML77">
        <v>0</v>
      </c>
      <c r="MM77">
        <v>0</v>
      </c>
      <c r="MN77">
        <v>0</v>
      </c>
      <c r="MO77">
        <v>0</v>
      </c>
      <c r="MP77">
        <v>0</v>
      </c>
      <c r="MQ77">
        <v>0</v>
      </c>
      <c r="MR77">
        <v>0</v>
      </c>
      <c r="MS77">
        <v>0</v>
      </c>
      <c r="MT77">
        <v>0</v>
      </c>
      <c r="MU77">
        <v>0</v>
      </c>
      <c r="MV77">
        <v>0</v>
      </c>
      <c r="MW77">
        <v>0</v>
      </c>
      <c r="MX77">
        <v>0</v>
      </c>
      <c r="MY77">
        <v>0</v>
      </c>
      <c r="MZ77">
        <v>0</v>
      </c>
      <c r="NA77">
        <v>0</v>
      </c>
      <c r="NB77">
        <v>0</v>
      </c>
      <c r="NC77">
        <v>0</v>
      </c>
      <c r="ND77">
        <v>0</v>
      </c>
      <c r="NE77">
        <v>0</v>
      </c>
    </row>
    <row r="78" spans="41:369" x14ac:dyDescent="0.45">
      <c r="AO78" t="str">
        <v>A175</v>
      </c>
      <c r="AP78" t="str">
        <v>YOUSUF FAHEEM P</v>
      </c>
      <c r="AQ78" t="str">
        <v>DAHF</v>
      </c>
      <c r="AR78" t="str">
        <v>SUB JUNIOR</v>
      </c>
      <c r="AS78">
        <v>2</v>
      </c>
      <c r="AT78">
        <v>6</v>
      </c>
      <c r="AU78">
        <v>0</v>
      </c>
      <c r="AV78">
        <v>6</v>
      </c>
      <c r="AW78">
        <v>6</v>
      </c>
      <c r="AX78">
        <v>171</v>
      </c>
      <c r="AY78" s="5">
        <v>171</v>
      </c>
      <c r="AZ78" t="str">
        <v>JN33</v>
      </c>
      <c r="BA78" t="str">
        <v>MULAFADHA</v>
      </c>
      <c r="BB78" t="str">
        <v>JUNIOR</v>
      </c>
      <c r="BC78" t="str">
        <v>Single</v>
      </c>
      <c r="BD78" t="str">
        <v>Stage</v>
      </c>
      <c r="BE78">
        <v>3</v>
      </c>
      <c r="BF78" t="str">
        <v>Individual</v>
      </c>
      <c r="BG78" t="str">
        <v>Individual</v>
      </c>
      <c r="BH78" t="str">
        <v>P</v>
      </c>
      <c r="BI78" t="str">
        <v>PUBLISHED</v>
      </c>
      <c r="BK78">
        <v>72</v>
      </c>
      <c r="BL78" t="str">
        <v>JN29</v>
      </c>
      <c r="BM78" t="str">
        <v>TYPING MASTER MLM</v>
      </c>
      <c r="BN78">
        <v>2</v>
      </c>
      <c r="BO78" t="str">
        <v>Single</v>
      </c>
      <c r="BP78" t="str">
        <v>Non-Stg</v>
      </c>
      <c r="BQ78" t="str">
        <v>JUNIOR</v>
      </c>
      <c r="BR78" t="str">
        <v>B144</v>
      </c>
      <c r="BS78" t="str">
        <v>B111</v>
      </c>
      <c r="BT78">
        <v>0</v>
      </c>
      <c r="BU78">
        <v>0</v>
      </c>
      <c r="BV78">
        <v>0</v>
      </c>
      <c r="BW78">
        <v>0</v>
      </c>
      <c r="BX78">
        <v>0</v>
      </c>
      <c r="BY78" t="str">
        <v>B114</v>
      </c>
      <c r="BZ78" t="str">
        <v>B155</v>
      </c>
      <c r="CA78">
        <v>0</v>
      </c>
      <c r="CB78">
        <v>0</v>
      </c>
      <c r="CC78">
        <v>0</v>
      </c>
      <c r="CD78">
        <v>0</v>
      </c>
      <c r="CE78">
        <v>0</v>
      </c>
      <c r="CF78" t="str">
        <v>B100</v>
      </c>
      <c r="CG78" t="str">
        <v>B103</v>
      </c>
      <c r="CH78">
        <v>0</v>
      </c>
      <c r="CI78">
        <v>0</v>
      </c>
      <c r="CJ78">
        <v>0</v>
      </c>
      <c r="CK78">
        <v>0</v>
      </c>
      <c r="CL78">
        <v>0</v>
      </c>
      <c r="CM78" t="str">
        <v>B126</v>
      </c>
      <c r="CN78" t="str">
        <v>B156</v>
      </c>
      <c r="CO78">
        <v>0</v>
      </c>
      <c r="CP78">
        <v>0</v>
      </c>
      <c r="CQ78">
        <v>0</v>
      </c>
      <c r="CR78">
        <v>0</v>
      </c>
      <c r="CS78">
        <v>0</v>
      </c>
      <c r="CT78">
        <v>0</v>
      </c>
      <c r="CU78">
        <v>0</v>
      </c>
      <c r="CV78">
        <v>0</v>
      </c>
      <c r="CW78">
        <v>0</v>
      </c>
      <c r="CX78">
        <v>0</v>
      </c>
      <c r="CY78">
        <v>0</v>
      </c>
      <c r="CZ78">
        <v>0</v>
      </c>
      <c r="DA78">
        <v>0</v>
      </c>
      <c r="DB78">
        <v>0</v>
      </c>
      <c r="DC78">
        <v>0</v>
      </c>
      <c r="DD78">
        <v>0</v>
      </c>
      <c r="DE78">
        <v>0</v>
      </c>
      <c r="DF78">
        <v>0</v>
      </c>
      <c r="DG78">
        <v>0</v>
      </c>
      <c r="DH78">
        <v>0</v>
      </c>
      <c r="DI78">
        <v>0</v>
      </c>
      <c r="DJ78">
        <v>0</v>
      </c>
      <c r="DK78">
        <v>0</v>
      </c>
      <c r="DL78">
        <v>0</v>
      </c>
      <c r="DM78">
        <v>0</v>
      </c>
      <c r="DN78">
        <v>0</v>
      </c>
      <c r="DO78">
        <v>0</v>
      </c>
      <c r="DP78">
        <v>0</v>
      </c>
      <c r="DQ78">
        <v>0</v>
      </c>
      <c r="DR78">
        <v>0</v>
      </c>
      <c r="DS78">
        <v>0</v>
      </c>
      <c r="DT78">
        <v>0</v>
      </c>
      <c r="DU78">
        <v>0</v>
      </c>
      <c r="DV78">
        <v>0</v>
      </c>
      <c r="DW78">
        <v>0</v>
      </c>
      <c r="DX78">
        <v>0</v>
      </c>
      <c r="DY78">
        <v>0</v>
      </c>
      <c r="DZ78">
        <v>0</v>
      </c>
      <c r="EA78">
        <v>0</v>
      </c>
      <c r="EB78">
        <v>0</v>
      </c>
      <c r="EC78">
        <v>0</v>
      </c>
      <c r="ED78">
        <v>0</v>
      </c>
      <c r="EE78">
        <v>0</v>
      </c>
      <c r="EF78">
        <v>0</v>
      </c>
      <c r="EG78">
        <v>0</v>
      </c>
      <c r="EH78">
        <v>0</v>
      </c>
      <c r="EI78">
        <v>0</v>
      </c>
      <c r="EJ78">
        <v>0</v>
      </c>
      <c r="EK78">
        <v>0</v>
      </c>
      <c r="EL78">
        <v>0</v>
      </c>
      <c r="EM78">
        <v>0</v>
      </c>
      <c r="EN78">
        <v>0</v>
      </c>
      <c r="EO78">
        <v>0</v>
      </c>
      <c r="EP78">
        <v>0</v>
      </c>
      <c r="EQ78">
        <v>0</v>
      </c>
      <c r="ER78">
        <v>0</v>
      </c>
      <c r="ES78">
        <v>0</v>
      </c>
      <c r="ET78">
        <v>0</v>
      </c>
      <c r="EU78">
        <v>0</v>
      </c>
      <c r="EV78">
        <v>0</v>
      </c>
      <c r="EW78">
        <v>0</v>
      </c>
      <c r="EX78">
        <v>0</v>
      </c>
      <c r="EY78">
        <v>0</v>
      </c>
      <c r="EZ78">
        <v>0</v>
      </c>
      <c r="FA78">
        <v>0</v>
      </c>
      <c r="FB78">
        <v>0</v>
      </c>
      <c r="FC78">
        <v>0</v>
      </c>
      <c r="FD78">
        <v>0</v>
      </c>
      <c r="FE78">
        <v>0</v>
      </c>
      <c r="FF78">
        <v>0</v>
      </c>
      <c r="FG78">
        <v>0</v>
      </c>
      <c r="FH78">
        <v>0</v>
      </c>
      <c r="FI78">
        <v>0</v>
      </c>
      <c r="FJ78">
        <v>0</v>
      </c>
      <c r="FK78">
        <v>0</v>
      </c>
      <c r="FL78">
        <v>0</v>
      </c>
      <c r="FM78">
        <v>0</v>
      </c>
      <c r="FN78">
        <v>0</v>
      </c>
      <c r="FO78">
        <v>0</v>
      </c>
      <c r="FP78">
        <v>0</v>
      </c>
      <c r="FQ78">
        <v>0</v>
      </c>
      <c r="FR78">
        <v>0</v>
      </c>
      <c r="FS78">
        <v>0</v>
      </c>
      <c r="FT78">
        <v>0</v>
      </c>
      <c r="FU78">
        <v>0</v>
      </c>
      <c r="FV78">
        <v>0</v>
      </c>
      <c r="FW78">
        <v>0</v>
      </c>
      <c r="FX78">
        <v>0</v>
      </c>
      <c r="FY78">
        <v>0</v>
      </c>
      <c r="FZ78">
        <v>0</v>
      </c>
      <c r="GA78">
        <v>0</v>
      </c>
      <c r="GB78">
        <v>0</v>
      </c>
      <c r="GC78">
        <v>0</v>
      </c>
      <c r="GD78">
        <v>0</v>
      </c>
      <c r="GE78">
        <v>0</v>
      </c>
      <c r="GF78">
        <v>0</v>
      </c>
      <c r="GG78">
        <v>0</v>
      </c>
      <c r="GH78">
        <v>0</v>
      </c>
      <c r="GI78">
        <v>0</v>
      </c>
      <c r="GJ78">
        <v>0</v>
      </c>
      <c r="GK78">
        <v>0</v>
      </c>
      <c r="GL78">
        <v>0</v>
      </c>
      <c r="GM78">
        <v>0</v>
      </c>
      <c r="GN78">
        <v>0</v>
      </c>
      <c r="GO78">
        <v>0</v>
      </c>
      <c r="GP78">
        <v>0</v>
      </c>
      <c r="GQ78">
        <v>0</v>
      </c>
      <c r="GR78">
        <v>0</v>
      </c>
      <c r="GS78">
        <v>0</v>
      </c>
      <c r="GT78">
        <v>0</v>
      </c>
      <c r="GU78">
        <v>0</v>
      </c>
      <c r="GV78">
        <v>0</v>
      </c>
      <c r="GW78">
        <v>0</v>
      </c>
      <c r="GX78">
        <v>0</v>
      </c>
      <c r="GY78">
        <v>0</v>
      </c>
      <c r="GZ78">
        <v>0</v>
      </c>
      <c r="HA78">
        <v>0</v>
      </c>
      <c r="HB78">
        <v>0</v>
      </c>
      <c r="HC78">
        <v>0</v>
      </c>
      <c r="HD78">
        <v>0</v>
      </c>
      <c r="HE78">
        <v>0</v>
      </c>
      <c r="HF78">
        <v>0</v>
      </c>
      <c r="HG78">
        <v>0</v>
      </c>
      <c r="HH78">
        <v>0</v>
      </c>
      <c r="HI78">
        <v>0</v>
      </c>
      <c r="HJ78">
        <v>0</v>
      </c>
      <c r="HK78">
        <v>0</v>
      </c>
      <c r="HL78">
        <v>0</v>
      </c>
      <c r="HM78">
        <v>0</v>
      </c>
      <c r="HN78">
        <v>0</v>
      </c>
      <c r="HO78">
        <v>0</v>
      </c>
      <c r="HP78">
        <v>0</v>
      </c>
      <c r="HQ78">
        <v>0</v>
      </c>
      <c r="HR78">
        <v>0</v>
      </c>
      <c r="HS78">
        <v>0</v>
      </c>
      <c r="HT78">
        <v>0</v>
      </c>
      <c r="HU78">
        <v>0</v>
      </c>
      <c r="HV78">
        <v>0</v>
      </c>
      <c r="HW78">
        <v>0</v>
      </c>
      <c r="HX78">
        <v>0</v>
      </c>
      <c r="HY78">
        <v>0</v>
      </c>
      <c r="HZ78">
        <v>0</v>
      </c>
      <c r="IA78">
        <v>0</v>
      </c>
      <c r="IB78">
        <v>0</v>
      </c>
      <c r="IC78">
        <v>0</v>
      </c>
      <c r="ID78">
        <v>0</v>
      </c>
      <c r="IE78">
        <v>0</v>
      </c>
      <c r="IF78">
        <v>0</v>
      </c>
      <c r="IG78">
        <v>0</v>
      </c>
      <c r="IH78">
        <v>0</v>
      </c>
      <c r="II78">
        <v>0</v>
      </c>
      <c r="IJ78">
        <v>0</v>
      </c>
      <c r="IK78">
        <v>0</v>
      </c>
      <c r="IL78">
        <v>0</v>
      </c>
      <c r="IM78">
        <v>0</v>
      </c>
      <c r="IN78">
        <v>0</v>
      </c>
      <c r="IO78">
        <v>0</v>
      </c>
      <c r="IP78">
        <v>0</v>
      </c>
      <c r="IQ78">
        <v>0</v>
      </c>
      <c r="IR78">
        <v>0</v>
      </c>
      <c r="IS78">
        <v>0</v>
      </c>
      <c r="IT78">
        <v>0</v>
      </c>
      <c r="IU78">
        <v>0</v>
      </c>
      <c r="IV78">
        <v>0</v>
      </c>
      <c r="IW78">
        <v>0</v>
      </c>
      <c r="IX78">
        <v>0</v>
      </c>
      <c r="IY78">
        <v>0</v>
      </c>
      <c r="IZ78">
        <v>0</v>
      </c>
      <c r="JA78">
        <v>0</v>
      </c>
      <c r="JB78">
        <v>0</v>
      </c>
      <c r="JC78">
        <v>0</v>
      </c>
      <c r="JD78">
        <v>0</v>
      </c>
      <c r="JE78">
        <v>0</v>
      </c>
      <c r="JF78">
        <v>0</v>
      </c>
      <c r="JG78">
        <v>0</v>
      </c>
      <c r="JH78">
        <v>0</v>
      </c>
      <c r="JI78">
        <v>0</v>
      </c>
      <c r="JJ78">
        <v>0</v>
      </c>
      <c r="JK78">
        <v>0</v>
      </c>
      <c r="JL78">
        <v>0</v>
      </c>
      <c r="JM78">
        <v>0</v>
      </c>
      <c r="JN78">
        <v>0</v>
      </c>
      <c r="JO78">
        <v>0</v>
      </c>
      <c r="JP78">
        <v>0</v>
      </c>
      <c r="JQ78">
        <v>0</v>
      </c>
      <c r="JR78">
        <v>0</v>
      </c>
      <c r="JS78">
        <v>0</v>
      </c>
      <c r="JT78">
        <v>0</v>
      </c>
      <c r="JU78">
        <v>0</v>
      </c>
      <c r="JV78">
        <v>0</v>
      </c>
      <c r="JW78">
        <v>0</v>
      </c>
      <c r="JX78">
        <v>0</v>
      </c>
      <c r="JY78">
        <v>0</v>
      </c>
      <c r="JZ78">
        <v>0</v>
      </c>
      <c r="KA78">
        <v>0</v>
      </c>
      <c r="KB78">
        <v>0</v>
      </c>
      <c r="KC78">
        <v>0</v>
      </c>
      <c r="KD78">
        <v>0</v>
      </c>
      <c r="KE78">
        <v>0</v>
      </c>
      <c r="KF78">
        <v>0</v>
      </c>
      <c r="KG78">
        <v>0</v>
      </c>
      <c r="KH78">
        <v>0</v>
      </c>
      <c r="KI78">
        <v>0</v>
      </c>
      <c r="KJ78">
        <v>0</v>
      </c>
      <c r="KK78">
        <v>0</v>
      </c>
      <c r="KL78">
        <v>0</v>
      </c>
      <c r="KM78">
        <v>0</v>
      </c>
      <c r="KN78">
        <v>0</v>
      </c>
      <c r="KO78">
        <v>0</v>
      </c>
      <c r="KP78">
        <v>0</v>
      </c>
      <c r="KQ78">
        <v>0</v>
      </c>
      <c r="KR78">
        <v>0</v>
      </c>
      <c r="KS78">
        <v>0</v>
      </c>
      <c r="KT78">
        <v>0</v>
      </c>
      <c r="KU78">
        <v>0</v>
      </c>
      <c r="KV78">
        <v>0</v>
      </c>
      <c r="KW78">
        <v>0</v>
      </c>
      <c r="KX78">
        <v>0</v>
      </c>
      <c r="KY78">
        <v>0</v>
      </c>
      <c r="KZ78">
        <v>0</v>
      </c>
      <c r="LA78">
        <v>0</v>
      </c>
      <c r="LB78">
        <v>0</v>
      </c>
      <c r="LC78">
        <v>0</v>
      </c>
      <c r="LD78">
        <v>0</v>
      </c>
      <c r="LE78">
        <v>0</v>
      </c>
      <c r="LF78">
        <v>0</v>
      </c>
      <c r="LG78">
        <v>0</v>
      </c>
      <c r="LH78">
        <v>0</v>
      </c>
      <c r="LI78">
        <v>0</v>
      </c>
      <c r="LJ78">
        <v>0</v>
      </c>
      <c r="LK78">
        <v>0</v>
      </c>
      <c r="LL78">
        <v>0</v>
      </c>
      <c r="LM78">
        <v>0</v>
      </c>
      <c r="LN78">
        <v>0</v>
      </c>
      <c r="LO78">
        <v>0</v>
      </c>
      <c r="LP78">
        <v>0</v>
      </c>
      <c r="LQ78">
        <v>0</v>
      </c>
      <c r="LR78">
        <v>0</v>
      </c>
      <c r="LS78">
        <v>0</v>
      </c>
      <c r="LT78">
        <v>0</v>
      </c>
      <c r="LU78">
        <v>0</v>
      </c>
      <c r="LV78">
        <v>0</v>
      </c>
      <c r="LW78">
        <v>0</v>
      </c>
      <c r="LX78">
        <v>0</v>
      </c>
      <c r="LY78">
        <v>0</v>
      </c>
      <c r="LZ78">
        <v>0</v>
      </c>
      <c r="MA78">
        <v>0</v>
      </c>
      <c r="MB78">
        <v>0</v>
      </c>
      <c r="MC78">
        <v>0</v>
      </c>
      <c r="MD78">
        <v>0</v>
      </c>
      <c r="ME78">
        <v>0</v>
      </c>
      <c r="MF78">
        <v>0</v>
      </c>
      <c r="MG78">
        <v>0</v>
      </c>
      <c r="MH78">
        <v>0</v>
      </c>
      <c r="MI78">
        <v>0</v>
      </c>
      <c r="MJ78">
        <v>0</v>
      </c>
      <c r="MK78">
        <v>0</v>
      </c>
      <c r="ML78">
        <v>0</v>
      </c>
      <c r="MM78">
        <v>0</v>
      </c>
      <c r="MN78">
        <v>0</v>
      </c>
      <c r="MO78">
        <v>0</v>
      </c>
      <c r="MP78">
        <v>0</v>
      </c>
      <c r="MQ78">
        <v>0</v>
      </c>
      <c r="MR78">
        <v>0</v>
      </c>
      <c r="MS78">
        <v>0</v>
      </c>
      <c r="MT78">
        <v>0</v>
      </c>
      <c r="MU78">
        <v>0</v>
      </c>
      <c r="MV78">
        <v>0</v>
      </c>
      <c r="MW78">
        <v>0</v>
      </c>
      <c r="MX78">
        <v>0</v>
      </c>
      <c r="MY78">
        <v>0</v>
      </c>
      <c r="MZ78">
        <v>0</v>
      </c>
      <c r="NA78">
        <v>0</v>
      </c>
      <c r="NB78">
        <v>0</v>
      </c>
      <c r="NC78">
        <v>0</v>
      </c>
      <c r="ND78">
        <v>0</v>
      </c>
      <c r="NE78">
        <v>0</v>
      </c>
    </row>
    <row r="79" spans="41:369" x14ac:dyDescent="0.45">
      <c r="AO79" t="str">
        <v>B100</v>
      </c>
      <c r="AP79" t="str">
        <v>ZAINUL ABID K</v>
      </c>
      <c r="AQ79" t="str">
        <v>BADF</v>
      </c>
      <c r="AR79" t="str">
        <v>JUNIOR</v>
      </c>
      <c r="AS79">
        <v>3</v>
      </c>
      <c r="AT79">
        <v>5</v>
      </c>
      <c r="AU79">
        <v>0</v>
      </c>
      <c r="AV79">
        <v>5</v>
      </c>
      <c r="AW79">
        <v>5</v>
      </c>
      <c r="AX79">
        <v>190</v>
      </c>
      <c r="AY79" s="5">
        <v>190</v>
      </c>
      <c r="AZ79" t="str">
        <v>JN34</v>
      </c>
      <c r="BA79" t="str">
        <v>PADHYAPARAYANAM</v>
      </c>
      <c r="BB79" t="str">
        <v>JUNIOR</v>
      </c>
      <c r="BC79" t="str">
        <v>Single</v>
      </c>
      <c r="BD79" t="str">
        <v>Stage</v>
      </c>
      <c r="BE79">
        <v>3</v>
      </c>
      <c r="BF79" t="str">
        <v>Individual</v>
      </c>
      <c r="BG79" t="str">
        <v>Individual</v>
      </c>
      <c r="BH79" t="str">
        <v>P</v>
      </c>
      <c r="BI79" t="str">
        <v>PUBLISHED</v>
      </c>
      <c r="BK79">
        <v>73</v>
      </c>
      <c r="BL79" t="str">
        <v>JN30</v>
      </c>
      <c r="BM79" t="str">
        <v>VOCABULARY</v>
      </c>
      <c r="BN79">
        <v>3</v>
      </c>
      <c r="BO79" t="str">
        <v>Single</v>
      </c>
      <c r="BP79" t="str">
        <v>Non-Stg</v>
      </c>
      <c r="BQ79" t="str">
        <v>JUNIOR</v>
      </c>
      <c r="BR79" t="str">
        <v>B120</v>
      </c>
      <c r="BS79" t="str">
        <v>B135</v>
      </c>
      <c r="BT79" t="str">
        <v>B145</v>
      </c>
      <c r="BU79">
        <v>0</v>
      </c>
      <c r="BV79">
        <v>0</v>
      </c>
      <c r="BW79">
        <v>0</v>
      </c>
      <c r="BX79">
        <v>0</v>
      </c>
      <c r="BY79" t="str">
        <v>B159</v>
      </c>
      <c r="BZ79" t="str">
        <v>B132</v>
      </c>
      <c r="CA79" t="str">
        <v>B158</v>
      </c>
      <c r="CB79">
        <v>0</v>
      </c>
      <c r="CC79">
        <v>0</v>
      </c>
      <c r="CD79">
        <v>0</v>
      </c>
      <c r="CE79">
        <v>0</v>
      </c>
      <c r="CF79" t="str">
        <v>B121</v>
      </c>
      <c r="CG79" t="str">
        <v>B142</v>
      </c>
      <c r="CH79" t="str">
        <v>B146</v>
      </c>
      <c r="CI79">
        <v>0</v>
      </c>
      <c r="CJ79">
        <v>0</v>
      </c>
      <c r="CK79">
        <v>0</v>
      </c>
      <c r="CL79">
        <v>0</v>
      </c>
      <c r="CM79" t="str">
        <v>B133</v>
      </c>
      <c r="CN79" t="str">
        <v>B160</v>
      </c>
      <c r="CO79" t="str">
        <v>B134</v>
      </c>
      <c r="CP79">
        <v>0</v>
      </c>
      <c r="CQ79">
        <v>0</v>
      </c>
      <c r="CR79">
        <v>0</v>
      </c>
      <c r="CS79">
        <v>0</v>
      </c>
      <c r="CT79">
        <v>0</v>
      </c>
      <c r="CU79">
        <v>0</v>
      </c>
      <c r="CV79">
        <v>0</v>
      </c>
      <c r="CW79">
        <v>0</v>
      </c>
      <c r="CX79">
        <v>0</v>
      </c>
      <c r="CY79">
        <v>0</v>
      </c>
      <c r="CZ79">
        <v>0</v>
      </c>
      <c r="DA79">
        <v>0</v>
      </c>
      <c r="DB79">
        <v>0</v>
      </c>
      <c r="DC79">
        <v>0</v>
      </c>
      <c r="DD79">
        <v>0</v>
      </c>
      <c r="DE79">
        <v>0</v>
      </c>
      <c r="DF79">
        <v>0</v>
      </c>
      <c r="DG79">
        <v>0</v>
      </c>
      <c r="DH79">
        <v>0</v>
      </c>
      <c r="DI79">
        <v>0</v>
      </c>
      <c r="DJ79">
        <v>0</v>
      </c>
      <c r="DK79">
        <v>0</v>
      </c>
      <c r="DL79">
        <v>0</v>
      </c>
      <c r="DM79">
        <v>0</v>
      </c>
      <c r="DN79">
        <v>0</v>
      </c>
      <c r="DO79">
        <v>0</v>
      </c>
      <c r="DP79">
        <v>0</v>
      </c>
      <c r="DQ79">
        <v>0</v>
      </c>
      <c r="DR79">
        <v>0</v>
      </c>
      <c r="DS79">
        <v>0</v>
      </c>
      <c r="DT79">
        <v>0</v>
      </c>
      <c r="DU79">
        <v>0</v>
      </c>
      <c r="DV79">
        <v>0</v>
      </c>
      <c r="DW79">
        <v>0</v>
      </c>
      <c r="DX79">
        <v>0</v>
      </c>
      <c r="DY79">
        <v>0</v>
      </c>
      <c r="DZ79">
        <v>0</v>
      </c>
      <c r="EA79">
        <v>0</v>
      </c>
      <c r="EB79">
        <v>0</v>
      </c>
      <c r="EC79">
        <v>0</v>
      </c>
      <c r="ED79">
        <v>0</v>
      </c>
      <c r="EE79">
        <v>0</v>
      </c>
      <c r="EF79">
        <v>0</v>
      </c>
      <c r="EG79">
        <v>0</v>
      </c>
      <c r="EH79">
        <v>0</v>
      </c>
      <c r="EI79">
        <v>0</v>
      </c>
      <c r="EJ79">
        <v>0</v>
      </c>
      <c r="EK79">
        <v>0</v>
      </c>
      <c r="EL79">
        <v>0</v>
      </c>
      <c r="EM79">
        <v>0</v>
      </c>
      <c r="EN79">
        <v>0</v>
      </c>
      <c r="EO79">
        <v>0</v>
      </c>
      <c r="EP79">
        <v>0</v>
      </c>
      <c r="EQ79">
        <v>0</v>
      </c>
      <c r="ER79">
        <v>0</v>
      </c>
      <c r="ES79">
        <v>0</v>
      </c>
      <c r="ET79">
        <v>0</v>
      </c>
      <c r="EU79">
        <v>0</v>
      </c>
      <c r="EV79">
        <v>0</v>
      </c>
      <c r="EW79">
        <v>0</v>
      </c>
      <c r="EX79">
        <v>0</v>
      </c>
      <c r="EY79">
        <v>0</v>
      </c>
      <c r="EZ79">
        <v>0</v>
      </c>
      <c r="FA79">
        <v>0</v>
      </c>
      <c r="FB79">
        <v>0</v>
      </c>
      <c r="FC79">
        <v>0</v>
      </c>
      <c r="FD79">
        <v>0</v>
      </c>
      <c r="FE79">
        <v>0</v>
      </c>
      <c r="FF79">
        <v>0</v>
      </c>
      <c r="FG79">
        <v>0</v>
      </c>
      <c r="FH79">
        <v>0</v>
      </c>
      <c r="FI79">
        <v>0</v>
      </c>
      <c r="FJ79">
        <v>0</v>
      </c>
      <c r="FK79">
        <v>0</v>
      </c>
      <c r="FL79">
        <v>0</v>
      </c>
      <c r="FM79">
        <v>0</v>
      </c>
      <c r="FN79">
        <v>0</v>
      </c>
      <c r="FO79">
        <v>0</v>
      </c>
      <c r="FP79">
        <v>0</v>
      </c>
      <c r="FQ79">
        <v>0</v>
      </c>
      <c r="FR79">
        <v>0</v>
      </c>
      <c r="FS79">
        <v>0</v>
      </c>
      <c r="FT79">
        <v>0</v>
      </c>
      <c r="FU79">
        <v>0</v>
      </c>
      <c r="FV79">
        <v>0</v>
      </c>
      <c r="FW79">
        <v>0</v>
      </c>
      <c r="FX79">
        <v>0</v>
      </c>
      <c r="FY79">
        <v>0</v>
      </c>
      <c r="FZ79">
        <v>0</v>
      </c>
      <c r="GA79">
        <v>0</v>
      </c>
      <c r="GB79">
        <v>0</v>
      </c>
      <c r="GC79">
        <v>0</v>
      </c>
      <c r="GD79">
        <v>0</v>
      </c>
      <c r="GE79">
        <v>0</v>
      </c>
      <c r="GF79">
        <v>0</v>
      </c>
      <c r="GG79">
        <v>0</v>
      </c>
      <c r="GH79">
        <v>0</v>
      </c>
      <c r="GI79">
        <v>0</v>
      </c>
      <c r="GJ79">
        <v>0</v>
      </c>
      <c r="GK79">
        <v>0</v>
      </c>
      <c r="GL79">
        <v>0</v>
      </c>
      <c r="GM79">
        <v>0</v>
      </c>
      <c r="GN79">
        <v>0</v>
      </c>
      <c r="GO79">
        <v>0</v>
      </c>
      <c r="GP79">
        <v>0</v>
      </c>
      <c r="GQ79">
        <v>0</v>
      </c>
      <c r="GR79">
        <v>0</v>
      </c>
      <c r="GS79">
        <v>0</v>
      </c>
      <c r="GT79">
        <v>0</v>
      </c>
      <c r="GU79">
        <v>0</v>
      </c>
      <c r="GV79">
        <v>0</v>
      </c>
      <c r="GW79">
        <v>0</v>
      </c>
      <c r="GX79">
        <v>0</v>
      </c>
      <c r="GY79">
        <v>0</v>
      </c>
      <c r="GZ79">
        <v>0</v>
      </c>
      <c r="HA79">
        <v>0</v>
      </c>
      <c r="HB79">
        <v>0</v>
      </c>
      <c r="HC79">
        <v>0</v>
      </c>
      <c r="HD79">
        <v>0</v>
      </c>
      <c r="HE79">
        <v>0</v>
      </c>
      <c r="HF79">
        <v>0</v>
      </c>
      <c r="HG79">
        <v>0</v>
      </c>
      <c r="HH79">
        <v>0</v>
      </c>
      <c r="HI79">
        <v>0</v>
      </c>
      <c r="HJ79">
        <v>0</v>
      </c>
      <c r="HK79">
        <v>0</v>
      </c>
      <c r="HL79">
        <v>0</v>
      </c>
      <c r="HM79">
        <v>0</v>
      </c>
      <c r="HN79">
        <v>0</v>
      </c>
      <c r="HO79">
        <v>0</v>
      </c>
      <c r="HP79">
        <v>0</v>
      </c>
      <c r="HQ79">
        <v>0</v>
      </c>
      <c r="HR79">
        <v>0</v>
      </c>
      <c r="HS79">
        <v>0</v>
      </c>
      <c r="HT79">
        <v>0</v>
      </c>
      <c r="HU79">
        <v>0</v>
      </c>
      <c r="HV79">
        <v>0</v>
      </c>
      <c r="HW79">
        <v>0</v>
      </c>
      <c r="HX79">
        <v>0</v>
      </c>
      <c r="HY79">
        <v>0</v>
      </c>
      <c r="HZ79">
        <v>0</v>
      </c>
      <c r="IA79">
        <v>0</v>
      </c>
      <c r="IB79">
        <v>0</v>
      </c>
      <c r="IC79">
        <v>0</v>
      </c>
      <c r="ID79">
        <v>0</v>
      </c>
      <c r="IE79">
        <v>0</v>
      </c>
      <c r="IF79">
        <v>0</v>
      </c>
      <c r="IG79">
        <v>0</v>
      </c>
      <c r="IH79">
        <v>0</v>
      </c>
      <c r="II79">
        <v>0</v>
      </c>
      <c r="IJ79">
        <v>0</v>
      </c>
      <c r="IK79">
        <v>0</v>
      </c>
      <c r="IL79">
        <v>0</v>
      </c>
      <c r="IM79">
        <v>0</v>
      </c>
      <c r="IN79">
        <v>0</v>
      </c>
      <c r="IO79">
        <v>0</v>
      </c>
      <c r="IP79">
        <v>0</v>
      </c>
      <c r="IQ79">
        <v>0</v>
      </c>
      <c r="IR79">
        <v>0</v>
      </c>
      <c r="IS79">
        <v>0</v>
      </c>
      <c r="IT79">
        <v>0</v>
      </c>
      <c r="IU79">
        <v>0</v>
      </c>
      <c r="IV79">
        <v>0</v>
      </c>
      <c r="IW79">
        <v>0</v>
      </c>
      <c r="IX79">
        <v>0</v>
      </c>
      <c r="IY79">
        <v>0</v>
      </c>
      <c r="IZ79">
        <v>0</v>
      </c>
      <c r="JA79">
        <v>0</v>
      </c>
      <c r="JB79">
        <v>0</v>
      </c>
      <c r="JC79">
        <v>0</v>
      </c>
      <c r="JD79">
        <v>0</v>
      </c>
      <c r="JE79">
        <v>0</v>
      </c>
      <c r="JF79">
        <v>0</v>
      </c>
      <c r="JG79">
        <v>0</v>
      </c>
      <c r="JH79">
        <v>0</v>
      </c>
      <c r="JI79">
        <v>0</v>
      </c>
      <c r="JJ79">
        <v>0</v>
      </c>
      <c r="JK79">
        <v>0</v>
      </c>
      <c r="JL79">
        <v>0</v>
      </c>
      <c r="JM79">
        <v>0</v>
      </c>
      <c r="JN79">
        <v>0</v>
      </c>
      <c r="JO79">
        <v>0</v>
      </c>
      <c r="JP79">
        <v>0</v>
      </c>
      <c r="JQ79">
        <v>0</v>
      </c>
      <c r="JR79">
        <v>0</v>
      </c>
      <c r="JS79">
        <v>0</v>
      </c>
      <c r="JT79">
        <v>0</v>
      </c>
      <c r="JU79">
        <v>0</v>
      </c>
      <c r="JV79">
        <v>0</v>
      </c>
      <c r="JW79">
        <v>0</v>
      </c>
      <c r="JX79">
        <v>0</v>
      </c>
      <c r="JY79">
        <v>0</v>
      </c>
      <c r="JZ79">
        <v>0</v>
      </c>
      <c r="KA79">
        <v>0</v>
      </c>
      <c r="KB79">
        <v>0</v>
      </c>
      <c r="KC79">
        <v>0</v>
      </c>
      <c r="KD79">
        <v>0</v>
      </c>
      <c r="KE79">
        <v>0</v>
      </c>
      <c r="KF79">
        <v>0</v>
      </c>
      <c r="KG79">
        <v>0</v>
      </c>
      <c r="KH79">
        <v>0</v>
      </c>
      <c r="KI79">
        <v>0</v>
      </c>
      <c r="KJ79">
        <v>0</v>
      </c>
      <c r="KK79">
        <v>0</v>
      </c>
      <c r="KL79">
        <v>0</v>
      </c>
      <c r="KM79">
        <v>0</v>
      </c>
      <c r="KN79">
        <v>0</v>
      </c>
      <c r="KO79">
        <v>0</v>
      </c>
      <c r="KP79">
        <v>0</v>
      </c>
      <c r="KQ79">
        <v>0</v>
      </c>
      <c r="KR79">
        <v>0</v>
      </c>
      <c r="KS79">
        <v>0</v>
      </c>
      <c r="KT79">
        <v>0</v>
      </c>
      <c r="KU79">
        <v>0</v>
      </c>
      <c r="KV79">
        <v>0</v>
      </c>
      <c r="KW79">
        <v>0</v>
      </c>
      <c r="KX79">
        <v>0</v>
      </c>
      <c r="KY79">
        <v>0</v>
      </c>
      <c r="KZ79">
        <v>0</v>
      </c>
      <c r="LA79">
        <v>0</v>
      </c>
      <c r="LB79">
        <v>0</v>
      </c>
      <c r="LC79">
        <v>0</v>
      </c>
      <c r="LD79">
        <v>0</v>
      </c>
      <c r="LE79">
        <v>0</v>
      </c>
      <c r="LF79">
        <v>0</v>
      </c>
      <c r="LG79">
        <v>0</v>
      </c>
      <c r="LH79">
        <v>0</v>
      </c>
      <c r="LI79">
        <v>0</v>
      </c>
      <c r="LJ79">
        <v>0</v>
      </c>
      <c r="LK79">
        <v>0</v>
      </c>
      <c r="LL79">
        <v>0</v>
      </c>
      <c r="LM79">
        <v>0</v>
      </c>
      <c r="LN79">
        <v>0</v>
      </c>
      <c r="LO79">
        <v>0</v>
      </c>
      <c r="LP79">
        <v>0</v>
      </c>
      <c r="LQ79">
        <v>0</v>
      </c>
      <c r="LR79">
        <v>0</v>
      </c>
      <c r="LS79">
        <v>0</v>
      </c>
      <c r="LT79">
        <v>0</v>
      </c>
      <c r="LU79">
        <v>0</v>
      </c>
      <c r="LV79">
        <v>0</v>
      </c>
      <c r="LW79">
        <v>0</v>
      </c>
      <c r="LX79">
        <v>0</v>
      </c>
      <c r="LY79">
        <v>0</v>
      </c>
      <c r="LZ79">
        <v>0</v>
      </c>
      <c r="MA79">
        <v>0</v>
      </c>
      <c r="MB79">
        <v>0</v>
      </c>
      <c r="MC79">
        <v>0</v>
      </c>
      <c r="MD79">
        <v>0</v>
      </c>
      <c r="ME79">
        <v>0</v>
      </c>
      <c r="MF79">
        <v>0</v>
      </c>
      <c r="MG79">
        <v>0</v>
      </c>
      <c r="MH79">
        <v>0</v>
      </c>
      <c r="MI79">
        <v>0</v>
      </c>
      <c r="MJ79">
        <v>0</v>
      </c>
      <c r="MK79">
        <v>0</v>
      </c>
      <c r="ML79">
        <v>0</v>
      </c>
      <c r="MM79">
        <v>0</v>
      </c>
      <c r="MN79">
        <v>0</v>
      </c>
      <c r="MO79">
        <v>0</v>
      </c>
      <c r="MP79">
        <v>0</v>
      </c>
      <c r="MQ79">
        <v>0</v>
      </c>
      <c r="MR79">
        <v>0</v>
      </c>
      <c r="MS79">
        <v>0</v>
      </c>
      <c r="MT79">
        <v>0</v>
      </c>
      <c r="MU79">
        <v>0</v>
      </c>
      <c r="MV79">
        <v>0</v>
      </c>
      <c r="MW79">
        <v>0</v>
      </c>
      <c r="MX79">
        <v>0</v>
      </c>
      <c r="MY79">
        <v>0</v>
      </c>
      <c r="MZ79">
        <v>0</v>
      </c>
      <c r="NA79">
        <v>0</v>
      </c>
      <c r="NB79">
        <v>0</v>
      </c>
      <c r="NC79">
        <v>0</v>
      </c>
      <c r="ND79">
        <v>0</v>
      </c>
      <c r="NE79">
        <v>0</v>
      </c>
    </row>
    <row r="80" spans="41:369" x14ac:dyDescent="0.45">
      <c r="AO80" t="str">
        <v>B101</v>
      </c>
      <c r="AP80" t="str">
        <v>AHMED AFRAZ MB</v>
      </c>
      <c r="AQ80" t="str">
        <v>DAHF</v>
      </c>
      <c r="AR80" t="str">
        <v>JUNIOR</v>
      </c>
      <c r="AS80">
        <v>3</v>
      </c>
      <c r="AT80">
        <v>0</v>
      </c>
      <c r="AU80">
        <v>0</v>
      </c>
      <c r="AV80">
        <v>0</v>
      </c>
      <c r="AW80">
        <v>0</v>
      </c>
      <c r="AX80">
        <v>255</v>
      </c>
      <c r="AY80" s="5">
        <v>255</v>
      </c>
      <c r="AZ80" t="str">
        <v>JN35</v>
      </c>
      <c r="BA80" t="str">
        <v>SONG ARB</v>
      </c>
      <c r="BB80" t="str">
        <v>JUNIOR</v>
      </c>
      <c r="BC80" t="str">
        <v>Single</v>
      </c>
      <c r="BD80" t="str">
        <v>Stage</v>
      </c>
      <c r="BE80">
        <v>3</v>
      </c>
      <c r="BF80" t="str">
        <v>Individual</v>
      </c>
      <c r="BG80" t="str">
        <v>Individual</v>
      </c>
      <c r="BH80" t="str">
        <v>P</v>
      </c>
      <c r="BI80" t="str">
        <v>PUBLISHED</v>
      </c>
      <c r="BK80">
        <v>74</v>
      </c>
      <c r="BL80" t="str">
        <v>JN31</v>
      </c>
      <c r="BM80" t="str">
        <v>JUST A MINUTE</v>
      </c>
      <c r="BN80">
        <v>3</v>
      </c>
      <c r="BO80" t="str">
        <v>Single</v>
      </c>
      <c r="BP80" t="str">
        <v>Stage</v>
      </c>
      <c r="BQ80" t="str">
        <v>JUNIOR</v>
      </c>
      <c r="BR80" t="str">
        <v>B111</v>
      </c>
      <c r="BS80" t="str">
        <v>B129</v>
      </c>
      <c r="BT80" t="str">
        <v>B144</v>
      </c>
      <c r="BU80">
        <v>0</v>
      </c>
      <c r="BV80">
        <v>0</v>
      </c>
      <c r="BW80">
        <v>0</v>
      </c>
      <c r="BX80">
        <v>0</v>
      </c>
      <c r="BY80" t="str">
        <v>B109</v>
      </c>
      <c r="BZ80" t="str">
        <v>B114</v>
      </c>
      <c r="CA80" t="str">
        <v>B161</v>
      </c>
      <c r="CB80">
        <v>0</v>
      </c>
      <c r="CC80">
        <v>0</v>
      </c>
      <c r="CD80">
        <v>0</v>
      </c>
      <c r="CE80">
        <v>0</v>
      </c>
      <c r="CF80" t="str">
        <v>B106</v>
      </c>
      <c r="CG80" t="str">
        <v>B138</v>
      </c>
      <c r="CH80" t="str">
        <v>B164</v>
      </c>
      <c r="CI80">
        <v>0</v>
      </c>
      <c r="CJ80">
        <v>0</v>
      </c>
      <c r="CK80">
        <v>0</v>
      </c>
      <c r="CL80">
        <v>0</v>
      </c>
      <c r="CM80" t="str">
        <v>B108</v>
      </c>
      <c r="CN80" t="str">
        <v>B116</v>
      </c>
      <c r="CO80" t="str">
        <v>B148</v>
      </c>
      <c r="CP80">
        <v>0</v>
      </c>
      <c r="CQ80">
        <v>0</v>
      </c>
      <c r="CR80">
        <v>0</v>
      </c>
      <c r="CS80">
        <v>0</v>
      </c>
      <c r="CT80">
        <v>0</v>
      </c>
      <c r="CU80">
        <v>0</v>
      </c>
      <c r="CV80">
        <v>0</v>
      </c>
      <c r="CW80">
        <v>0</v>
      </c>
      <c r="CX80">
        <v>0</v>
      </c>
      <c r="CY80">
        <v>0</v>
      </c>
      <c r="CZ80">
        <v>0</v>
      </c>
      <c r="DA80">
        <v>0</v>
      </c>
      <c r="DB80">
        <v>0</v>
      </c>
      <c r="DC80">
        <v>0</v>
      </c>
      <c r="DD80">
        <v>0</v>
      </c>
      <c r="DE80">
        <v>0</v>
      </c>
      <c r="DF80">
        <v>0</v>
      </c>
      <c r="DG80">
        <v>0</v>
      </c>
      <c r="DH80">
        <v>0</v>
      </c>
      <c r="DI80">
        <v>0</v>
      </c>
      <c r="DJ80">
        <v>0</v>
      </c>
      <c r="DK80">
        <v>0</v>
      </c>
      <c r="DL80">
        <v>0</v>
      </c>
      <c r="DM80">
        <v>0</v>
      </c>
      <c r="DN80">
        <v>0</v>
      </c>
      <c r="DO80">
        <v>0</v>
      </c>
      <c r="DP80">
        <v>0</v>
      </c>
      <c r="DQ80">
        <v>0</v>
      </c>
      <c r="DR80">
        <v>0</v>
      </c>
      <c r="DS80">
        <v>0</v>
      </c>
      <c r="DT80">
        <v>0</v>
      </c>
      <c r="DU80">
        <v>0</v>
      </c>
      <c r="DV80">
        <v>0</v>
      </c>
      <c r="DW80">
        <v>0</v>
      </c>
      <c r="DX80">
        <v>0</v>
      </c>
      <c r="DY80">
        <v>0</v>
      </c>
      <c r="DZ80">
        <v>0</v>
      </c>
      <c r="EA80">
        <v>0</v>
      </c>
      <c r="EB80">
        <v>0</v>
      </c>
      <c r="EC80">
        <v>0</v>
      </c>
      <c r="ED80">
        <v>0</v>
      </c>
      <c r="EE80">
        <v>0</v>
      </c>
      <c r="EF80">
        <v>0</v>
      </c>
      <c r="EG80">
        <v>0</v>
      </c>
      <c r="EH80">
        <v>0</v>
      </c>
      <c r="EI80">
        <v>0</v>
      </c>
      <c r="EJ80">
        <v>0</v>
      </c>
      <c r="EK80">
        <v>0</v>
      </c>
      <c r="EL80">
        <v>0</v>
      </c>
      <c r="EM80">
        <v>0</v>
      </c>
      <c r="EN80">
        <v>0</v>
      </c>
      <c r="EO80">
        <v>0</v>
      </c>
      <c r="EP80">
        <v>0</v>
      </c>
      <c r="EQ80">
        <v>0</v>
      </c>
      <c r="ER80">
        <v>0</v>
      </c>
      <c r="ES80">
        <v>0</v>
      </c>
      <c r="ET80">
        <v>0</v>
      </c>
      <c r="EU80">
        <v>0</v>
      </c>
      <c r="EV80">
        <v>0</v>
      </c>
      <c r="EW80">
        <v>0</v>
      </c>
      <c r="EX80">
        <v>0</v>
      </c>
      <c r="EY80">
        <v>0</v>
      </c>
      <c r="EZ80">
        <v>0</v>
      </c>
      <c r="FA80">
        <v>0</v>
      </c>
      <c r="FB80">
        <v>0</v>
      </c>
      <c r="FC80">
        <v>0</v>
      </c>
      <c r="FD80">
        <v>0</v>
      </c>
      <c r="FE80">
        <v>0</v>
      </c>
      <c r="FF80">
        <v>0</v>
      </c>
      <c r="FG80">
        <v>0</v>
      </c>
      <c r="FH80">
        <v>0</v>
      </c>
      <c r="FI80">
        <v>0</v>
      </c>
      <c r="FJ80">
        <v>0</v>
      </c>
      <c r="FK80">
        <v>0</v>
      </c>
      <c r="FL80">
        <v>0</v>
      </c>
      <c r="FM80">
        <v>0</v>
      </c>
      <c r="FN80">
        <v>0</v>
      </c>
      <c r="FO80">
        <v>0</v>
      </c>
      <c r="FP80">
        <v>0</v>
      </c>
      <c r="FQ80">
        <v>0</v>
      </c>
      <c r="FR80">
        <v>0</v>
      </c>
      <c r="FS80">
        <v>0</v>
      </c>
      <c r="FT80">
        <v>0</v>
      </c>
      <c r="FU80">
        <v>0</v>
      </c>
      <c r="FV80">
        <v>0</v>
      </c>
      <c r="FW80">
        <v>0</v>
      </c>
      <c r="FX80">
        <v>0</v>
      </c>
      <c r="FY80">
        <v>0</v>
      </c>
      <c r="FZ80">
        <v>0</v>
      </c>
      <c r="GA80">
        <v>0</v>
      </c>
      <c r="GB80">
        <v>0</v>
      </c>
      <c r="GC80">
        <v>0</v>
      </c>
      <c r="GD80">
        <v>0</v>
      </c>
      <c r="GE80">
        <v>0</v>
      </c>
      <c r="GF80">
        <v>0</v>
      </c>
      <c r="GG80">
        <v>0</v>
      </c>
      <c r="GH80">
        <v>0</v>
      </c>
      <c r="GI80">
        <v>0</v>
      </c>
      <c r="GJ80">
        <v>0</v>
      </c>
      <c r="GK80">
        <v>0</v>
      </c>
      <c r="GL80">
        <v>0</v>
      </c>
      <c r="GM80">
        <v>0</v>
      </c>
      <c r="GN80">
        <v>0</v>
      </c>
      <c r="GO80">
        <v>0</v>
      </c>
      <c r="GP80">
        <v>0</v>
      </c>
      <c r="GQ80">
        <v>0</v>
      </c>
      <c r="GR80">
        <v>0</v>
      </c>
      <c r="GS80">
        <v>0</v>
      </c>
      <c r="GT80">
        <v>0</v>
      </c>
      <c r="GU80">
        <v>0</v>
      </c>
      <c r="GV80">
        <v>0</v>
      </c>
      <c r="GW80">
        <v>0</v>
      </c>
      <c r="GX80">
        <v>0</v>
      </c>
      <c r="GY80">
        <v>0</v>
      </c>
      <c r="GZ80">
        <v>0</v>
      </c>
      <c r="HA80">
        <v>0</v>
      </c>
      <c r="HB80">
        <v>0</v>
      </c>
      <c r="HC80">
        <v>0</v>
      </c>
      <c r="HD80">
        <v>0</v>
      </c>
      <c r="HE80">
        <v>0</v>
      </c>
      <c r="HF80">
        <v>0</v>
      </c>
      <c r="HG80">
        <v>0</v>
      </c>
      <c r="HH80">
        <v>0</v>
      </c>
      <c r="HI80">
        <v>0</v>
      </c>
      <c r="HJ80">
        <v>0</v>
      </c>
      <c r="HK80">
        <v>0</v>
      </c>
      <c r="HL80">
        <v>0</v>
      </c>
      <c r="HM80">
        <v>0</v>
      </c>
      <c r="HN80">
        <v>0</v>
      </c>
      <c r="HO80">
        <v>0</v>
      </c>
      <c r="HP80">
        <v>0</v>
      </c>
      <c r="HQ80">
        <v>0</v>
      </c>
      <c r="HR80">
        <v>0</v>
      </c>
      <c r="HS80">
        <v>0</v>
      </c>
      <c r="HT80">
        <v>0</v>
      </c>
      <c r="HU80">
        <v>0</v>
      </c>
      <c r="HV80">
        <v>0</v>
      </c>
      <c r="HW80">
        <v>0</v>
      </c>
      <c r="HX80">
        <v>0</v>
      </c>
      <c r="HY80">
        <v>0</v>
      </c>
      <c r="HZ80">
        <v>0</v>
      </c>
      <c r="IA80">
        <v>0</v>
      </c>
      <c r="IB80">
        <v>0</v>
      </c>
      <c r="IC80">
        <v>0</v>
      </c>
      <c r="ID80">
        <v>0</v>
      </c>
      <c r="IE80">
        <v>0</v>
      </c>
      <c r="IF80">
        <v>0</v>
      </c>
      <c r="IG80">
        <v>0</v>
      </c>
      <c r="IH80">
        <v>0</v>
      </c>
      <c r="II80">
        <v>0</v>
      </c>
      <c r="IJ80">
        <v>0</v>
      </c>
      <c r="IK80">
        <v>0</v>
      </c>
      <c r="IL80">
        <v>0</v>
      </c>
      <c r="IM80">
        <v>0</v>
      </c>
      <c r="IN80">
        <v>0</v>
      </c>
      <c r="IO80">
        <v>0</v>
      </c>
      <c r="IP80">
        <v>0</v>
      </c>
      <c r="IQ80">
        <v>0</v>
      </c>
      <c r="IR80">
        <v>0</v>
      </c>
      <c r="IS80">
        <v>0</v>
      </c>
      <c r="IT80">
        <v>0</v>
      </c>
      <c r="IU80">
        <v>0</v>
      </c>
      <c r="IV80">
        <v>0</v>
      </c>
      <c r="IW80">
        <v>0</v>
      </c>
      <c r="IX80">
        <v>0</v>
      </c>
      <c r="IY80">
        <v>0</v>
      </c>
      <c r="IZ80">
        <v>0</v>
      </c>
      <c r="JA80">
        <v>0</v>
      </c>
      <c r="JB80">
        <v>0</v>
      </c>
      <c r="JC80">
        <v>0</v>
      </c>
      <c r="JD80">
        <v>0</v>
      </c>
      <c r="JE80">
        <v>0</v>
      </c>
      <c r="JF80">
        <v>0</v>
      </c>
      <c r="JG80">
        <v>0</v>
      </c>
      <c r="JH80">
        <v>0</v>
      </c>
      <c r="JI80">
        <v>0</v>
      </c>
      <c r="JJ80">
        <v>0</v>
      </c>
      <c r="JK80">
        <v>0</v>
      </c>
      <c r="JL80">
        <v>0</v>
      </c>
      <c r="JM80">
        <v>0</v>
      </c>
      <c r="JN80">
        <v>0</v>
      </c>
      <c r="JO80">
        <v>0</v>
      </c>
      <c r="JP80">
        <v>0</v>
      </c>
      <c r="JQ80">
        <v>0</v>
      </c>
      <c r="JR80">
        <v>0</v>
      </c>
      <c r="JS80">
        <v>0</v>
      </c>
      <c r="JT80">
        <v>0</v>
      </c>
      <c r="JU80">
        <v>0</v>
      </c>
      <c r="JV80">
        <v>0</v>
      </c>
      <c r="JW80">
        <v>0</v>
      </c>
      <c r="JX80">
        <v>0</v>
      </c>
      <c r="JY80">
        <v>0</v>
      </c>
      <c r="JZ80">
        <v>0</v>
      </c>
      <c r="KA80">
        <v>0</v>
      </c>
      <c r="KB80">
        <v>0</v>
      </c>
      <c r="KC80">
        <v>0</v>
      </c>
      <c r="KD80">
        <v>0</v>
      </c>
      <c r="KE80">
        <v>0</v>
      </c>
      <c r="KF80">
        <v>0</v>
      </c>
      <c r="KG80">
        <v>0</v>
      </c>
      <c r="KH80">
        <v>0</v>
      </c>
      <c r="KI80">
        <v>0</v>
      </c>
      <c r="KJ80">
        <v>0</v>
      </c>
      <c r="KK80">
        <v>0</v>
      </c>
      <c r="KL80">
        <v>0</v>
      </c>
      <c r="KM80">
        <v>0</v>
      </c>
      <c r="KN80">
        <v>0</v>
      </c>
      <c r="KO80">
        <v>0</v>
      </c>
      <c r="KP80">
        <v>0</v>
      </c>
      <c r="KQ80">
        <v>0</v>
      </c>
      <c r="KR80">
        <v>0</v>
      </c>
      <c r="KS80">
        <v>0</v>
      </c>
      <c r="KT80">
        <v>0</v>
      </c>
      <c r="KU80">
        <v>0</v>
      </c>
      <c r="KV80">
        <v>0</v>
      </c>
      <c r="KW80">
        <v>0</v>
      </c>
      <c r="KX80">
        <v>0</v>
      </c>
      <c r="KY80">
        <v>0</v>
      </c>
      <c r="KZ80">
        <v>0</v>
      </c>
      <c r="LA80">
        <v>0</v>
      </c>
      <c r="LB80">
        <v>0</v>
      </c>
      <c r="LC80">
        <v>0</v>
      </c>
      <c r="LD80">
        <v>0</v>
      </c>
      <c r="LE80">
        <v>0</v>
      </c>
      <c r="LF80">
        <v>0</v>
      </c>
      <c r="LG80">
        <v>0</v>
      </c>
      <c r="LH80">
        <v>0</v>
      </c>
      <c r="LI80">
        <v>0</v>
      </c>
      <c r="LJ80">
        <v>0</v>
      </c>
      <c r="LK80">
        <v>0</v>
      </c>
      <c r="LL80">
        <v>0</v>
      </c>
      <c r="LM80">
        <v>0</v>
      </c>
      <c r="LN80">
        <v>0</v>
      </c>
      <c r="LO80">
        <v>0</v>
      </c>
      <c r="LP80">
        <v>0</v>
      </c>
      <c r="LQ80">
        <v>0</v>
      </c>
      <c r="LR80">
        <v>0</v>
      </c>
      <c r="LS80">
        <v>0</v>
      </c>
      <c r="LT80">
        <v>0</v>
      </c>
      <c r="LU80">
        <v>0</v>
      </c>
      <c r="LV80">
        <v>0</v>
      </c>
      <c r="LW80">
        <v>0</v>
      </c>
      <c r="LX80">
        <v>0</v>
      </c>
      <c r="LY80">
        <v>0</v>
      </c>
      <c r="LZ80">
        <v>0</v>
      </c>
      <c r="MA80">
        <v>0</v>
      </c>
      <c r="MB80">
        <v>0</v>
      </c>
      <c r="MC80">
        <v>0</v>
      </c>
      <c r="MD80">
        <v>0</v>
      </c>
      <c r="ME80">
        <v>0</v>
      </c>
      <c r="MF80">
        <v>0</v>
      </c>
      <c r="MG80">
        <v>0</v>
      </c>
      <c r="MH80">
        <v>0</v>
      </c>
      <c r="MI80">
        <v>0</v>
      </c>
      <c r="MJ80">
        <v>0</v>
      </c>
      <c r="MK80">
        <v>0</v>
      </c>
      <c r="ML80">
        <v>0</v>
      </c>
      <c r="MM80">
        <v>0</v>
      </c>
      <c r="MN80">
        <v>0</v>
      </c>
      <c r="MO80">
        <v>0</v>
      </c>
      <c r="MP80">
        <v>0</v>
      </c>
      <c r="MQ80">
        <v>0</v>
      </c>
      <c r="MR80">
        <v>0</v>
      </c>
      <c r="MS80">
        <v>0</v>
      </c>
      <c r="MT80">
        <v>0</v>
      </c>
      <c r="MU80">
        <v>0</v>
      </c>
      <c r="MV80">
        <v>0</v>
      </c>
      <c r="MW80">
        <v>0</v>
      </c>
      <c r="MX80">
        <v>0</v>
      </c>
      <c r="MY80">
        <v>0</v>
      </c>
      <c r="MZ80">
        <v>0</v>
      </c>
      <c r="NA80">
        <v>0</v>
      </c>
      <c r="NB80">
        <v>0</v>
      </c>
      <c r="NC80">
        <v>0</v>
      </c>
      <c r="ND80">
        <v>0</v>
      </c>
      <c r="NE80">
        <v>0</v>
      </c>
    </row>
    <row r="81" spans="41:369" x14ac:dyDescent="0.45">
      <c r="AO81" t="str">
        <v>B102</v>
      </c>
      <c r="AP81" t="str">
        <v>AHMAD MUBASHAR</v>
      </c>
      <c r="AQ81" t="str">
        <v>FANT</v>
      </c>
      <c r="AR81" t="str">
        <v>JUNIOR</v>
      </c>
      <c r="AS81">
        <v>3</v>
      </c>
      <c r="AT81">
        <v>5</v>
      </c>
      <c r="AU81">
        <v>0</v>
      </c>
      <c r="AV81">
        <v>5</v>
      </c>
      <c r="AW81">
        <v>5</v>
      </c>
      <c r="AX81">
        <v>190</v>
      </c>
      <c r="AY81" s="5">
        <v>190</v>
      </c>
      <c r="AZ81" t="str">
        <v>JN36</v>
      </c>
      <c r="BA81" t="str">
        <v>SONG ENG</v>
      </c>
      <c r="BB81" t="str">
        <v>JUNIOR</v>
      </c>
      <c r="BC81" t="str">
        <v>Single</v>
      </c>
      <c r="BD81" t="str">
        <v>Stage</v>
      </c>
      <c r="BE81">
        <v>3</v>
      </c>
      <c r="BF81" t="str">
        <v>Individual</v>
      </c>
      <c r="BG81" t="str">
        <v>Individual</v>
      </c>
      <c r="BH81" t="str">
        <v>P</v>
      </c>
      <c r="BI81" t="str">
        <v>PUBLISHED</v>
      </c>
      <c r="BK81">
        <v>75</v>
      </c>
      <c r="BL81" t="str">
        <v>JN32</v>
      </c>
      <c r="BM81" t="str">
        <v>MADH GANAM MLM</v>
      </c>
      <c r="BN81">
        <v>3</v>
      </c>
      <c r="BO81" t="str">
        <v>Single</v>
      </c>
      <c r="BP81" t="str">
        <v>Stage</v>
      </c>
      <c r="BQ81" t="str">
        <v>JUNIOR</v>
      </c>
      <c r="BR81" t="str">
        <v>B120</v>
      </c>
      <c r="BS81" t="str">
        <v>B129</v>
      </c>
      <c r="BT81" t="str">
        <v>B130</v>
      </c>
      <c r="BU81">
        <v>0</v>
      </c>
      <c r="BV81">
        <v>0</v>
      </c>
      <c r="BW81">
        <v>0</v>
      </c>
      <c r="BX81">
        <v>0</v>
      </c>
      <c r="BY81" t="str">
        <v>B109</v>
      </c>
      <c r="BZ81" t="str">
        <v>B139</v>
      </c>
      <c r="CA81" t="str">
        <v>B159</v>
      </c>
      <c r="CB81">
        <v>0</v>
      </c>
      <c r="CC81">
        <v>0</v>
      </c>
      <c r="CD81">
        <v>0</v>
      </c>
      <c r="CE81">
        <v>0</v>
      </c>
      <c r="CF81" t="str">
        <v>B117</v>
      </c>
      <c r="CG81" t="str">
        <v>B146</v>
      </c>
      <c r="CH81" t="str">
        <v>B153</v>
      </c>
      <c r="CI81">
        <v>0</v>
      </c>
      <c r="CJ81">
        <v>0</v>
      </c>
      <c r="CK81">
        <v>0</v>
      </c>
      <c r="CL81">
        <v>0</v>
      </c>
      <c r="CM81" t="str">
        <v>B105</v>
      </c>
      <c r="CN81" t="str">
        <v>B134</v>
      </c>
      <c r="CO81" t="str">
        <v>B152</v>
      </c>
      <c r="CP81">
        <v>0</v>
      </c>
      <c r="CQ81">
        <v>0</v>
      </c>
      <c r="CR81">
        <v>0</v>
      </c>
      <c r="CS81">
        <v>0</v>
      </c>
      <c r="CT81">
        <v>0</v>
      </c>
      <c r="CU81">
        <v>0</v>
      </c>
      <c r="CV81">
        <v>0</v>
      </c>
      <c r="CW81">
        <v>0</v>
      </c>
      <c r="CX81">
        <v>0</v>
      </c>
      <c r="CY81">
        <v>0</v>
      </c>
      <c r="CZ81">
        <v>0</v>
      </c>
      <c r="DA81">
        <v>0</v>
      </c>
      <c r="DB81">
        <v>0</v>
      </c>
      <c r="DC81">
        <v>0</v>
      </c>
      <c r="DD81">
        <v>0</v>
      </c>
      <c r="DE81">
        <v>0</v>
      </c>
      <c r="DF81">
        <v>0</v>
      </c>
      <c r="DG81">
        <v>0</v>
      </c>
      <c r="DH81">
        <v>0</v>
      </c>
      <c r="DI81">
        <v>0</v>
      </c>
      <c r="DJ81">
        <v>0</v>
      </c>
      <c r="DK81">
        <v>0</v>
      </c>
      <c r="DL81">
        <v>0</v>
      </c>
      <c r="DM81">
        <v>0</v>
      </c>
      <c r="DN81">
        <v>0</v>
      </c>
      <c r="DO81">
        <v>0</v>
      </c>
      <c r="DP81">
        <v>0</v>
      </c>
      <c r="DQ81">
        <v>0</v>
      </c>
      <c r="DR81">
        <v>0</v>
      </c>
      <c r="DS81">
        <v>0</v>
      </c>
      <c r="DT81">
        <v>0</v>
      </c>
      <c r="DU81">
        <v>0</v>
      </c>
      <c r="DV81">
        <v>0</v>
      </c>
      <c r="DW81">
        <v>0</v>
      </c>
      <c r="DX81">
        <v>0</v>
      </c>
      <c r="DY81">
        <v>0</v>
      </c>
      <c r="DZ81">
        <v>0</v>
      </c>
      <c r="EA81">
        <v>0</v>
      </c>
      <c r="EB81">
        <v>0</v>
      </c>
      <c r="EC81">
        <v>0</v>
      </c>
      <c r="ED81">
        <v>0</v>
      </c>
      <c r="EE81">
        <v>0</v>
      </c>
      <c r="EF81">
        <v>0</v>
      </c>
      <c r="EG81">
        <v>0</v>
      </c>
      <c r="EH81">
        <v>0</v>
      </c>
      <c r="EI81">
        <v>0</v>
      </c>
      <c r="EJ81">
        <v>0</v>
      </c>
      <c r="EK81">
        <v>0</v>
      </c>
      <c r="EL81">
        <v>0</v>
      </c>
      <c r="EM81">
        <v>0</v>
      </c>
      <c r="EN81">
        <v>0</v>
      </c>
      <c r="EO81">
        <v>0</v>
      </c>
      <c r="EP81">
        <v>0</v>
      </c>
      <c r="EQ81">
        <v>0</v>
      </c>
      <c r="ER81">
        <v>0</v>
      </c>
      <c r="ES81">
        <v>0</v>
      </c>
      <c r="ET81">
        <v>0</v>
      </c>
      <c r="EU81">
        <v>0</v>
      </c>
      <c r="EV81">
        <v>0</v>
      </c>
      <c r="EW81">
        <v>0</v>
      </c>
      <c r="EX81">
        <v>0</v>
      </c>
      <c r="EY81">
        <v>0</v>
      </c>
      <c r="EZ81">
        <v>0</v>
      </c>
      <c r="FA81">
        <v>0</v>
      </c>
      <c r="FB81">
        <v>0</v>
      </c>
      <c r="FC81">
        <v>0</v>
      </c>
      <c r="FD81">
        <v>0</v>
      </c>
      <c r="FE81">
        <v>0</v>
      </c>
      <c r="FF81">
        <v>0</v>
      </c>
      <c r="FG81">
        <v>0</v>
      </c>
      <c r="FH81">
        <v>0</v>
      </c>
      <c r="FI81">
        <v>0</v>
      </c>
      <c r="FJ81">
        <v>0</v>
      </c>
      <c r="FK81">
        <v>0</v>
      </c>
      <c r="FL81">
        <v>0</v>
      </c>
      <c r="FM81">
        <v>0</v>
      </c>
      <c r="FN81">
        <v>0</v>
      </c>
      <c r="FO81">
        <v>0</v>
      </c>
      <c r="FP81">
        <v>0</v>
      </c>
      <c r="FQ81">
        <v>0</v>
      </c>
      <c r="FR81">
        <v>0</v>
      </c>
      <c r="FS81">
        <v>0</v>
      </c>
      <c r="FT81">
        <v>0</v>
      </c>
      <c r="FU81">
        <v>0</v>
      </c>
      <c r="FV81">
        <v>0</v>
      </c>
      <c r="FW81">
        <v>0</v>
      </c>
      <c r="FX81">
        <v>0</v>
      </c>
      <c r="FY81">
        <v>0</v>
      </c>
      <c r="FZ81">
        <v>0</v>
      </c>
      <c r="GA81">
        <v>0</v>
      </c>
      <c r="GB81">
        <v>0</v>
      </c>
      <c r="GC81">
        <v>0</v>
      </c>
      <c r="GD81">
        <v>0</v>
      </c>
      <c r="GE81">
        <v>0</v>
      </c>
      <c r="GF81">
        <v>0</v>
      </c>
      <c r="GG81">
        <v>0</v>
      </c>
      <c r="GH81">
        <v>0</v>
      </c>
      <c r="GI81">
        <v>0</v>
      </c>
      <c r="GJ81">
        <v>0</v>
      </c>
      <c r="GK81">
        <v>0</v>
      </c>
      <c r="GL81">
        <v>0</v>
      </c>
      <c r="GM81">
        <v>0</v>
      </c>
      <c r="GN81">
        <v>0</v>
      </c>
      <c r="GO81">
        <v>0</v>
      </c>
      <c r="GP81">
        <v>0</v>
      </c>
      <c r="GQ81">
        <v>0</v>
      </c>
      <c r="GR81">
        <v>0</v>
      </c>
      <c r="GS81">
        <v>0</v>
      </c>
      <c r="GT81">
        <v>0</v>
      </c>
      <c r="GU81">
        <v>0</v>
      </c>
      <c r="GV81">
        <v>0</v>
      </c>
      <c r="GW81">
        <v>0</v>
      </c>
      <c r="GX81">
        <v>0</v>
      </c>
      <c r="GY81">
        <v>0</v>
      </c>
      <c r="GZ81">
        <v>0</v>
      </c>
      <c r="HA81">
        <v>0</v>
      </c>
      <c r="HB81">
        <v>0</v>
      </c>
      <c r="HC81">
        <v>0</v>
      </c>
      <c r="HD81">
        <v>0</v>
      </c>
      <c r="HE81">
        <v>0</v>
      </c>
      <c r="HF81">
        <v>0</v>
      </c>
      <c r="HG81">
        <v>0</v>
      </c>
      <c r="HH81">
        <v>0</v>
      </c>
      <c r="HI81">
        <v>0</v>
      </c>
      <c r="HJ81">
        <v>0</v>
      </c>
      <c r="HK81">
        <v>0</v>
      </c>
      <c r="HL81">
        <v>0</v>
      </c>
      <c r="HM81">
        <v>0</v>
      </c>
      <c r="HN81">
        <v>0</v>
      </c>
      <c r="HO81">
        <v>0</v>
      </c>
      <c r="HP81">
        <v>0</v>
      </c>
      <c r="HQ81">
        <v>0</v>
      </c>
      <c r="HR81">
        <v>0</v>
      </c>
      <c r="HS81">
        <v>0</v>
      </c>
      <c r="HT81">
        <v>0</v>
      </c>
      <c r="HU81">
        <v>0</v>
      </c>
      <c r="HV81">
        <v>0</v>
      </c>
      <c r="HW81">
        <v>0</v>
      </c>
      <c r="HX81">
        <v>0</v>
      </c>
      <c r="HY81">
        <v>0</v>
      </c>
      <c r="HZ81">
        <v>0</v>
      </c>
      <c r="IA81">
        <v>0</v>
      </c>
      <c r="IB81">
        <v>0</v>
      </c>
      <c r="IC81">
        <v>0</v>
      </c>
      <c r="ID81">
        <v>0</v>
      </c>
      <c r="IE81">
        <v>0</v>
      </c>
      <c r="IF81">
        <v>0</v>
      </c>
      <c r="IG81">
        <v>0</v>
      </c>
      <c r="IH81">
        <v>0</v>
      </c>
      <c r="II81">
        <v>0</v>
      </c>
      <c r="IJ81">
        <v>0</v>
      </c>
      <c r="IK81">
        <v>0</v>
      </c>
      <c r="IL81">
        <v>0</v>
      </c>
      <c r="IM81">
        <v>0</v>
      </c>
      <c r="IN81">
        <v>0</v>
      </c>
      <c r="IO81">
        <v>0</v>
      </c>
      <c r="IP81">
        <v>0</v>
      </c>
      <c r="IQ81">
        <v>0</v>
      </c>
      <c r="IR81">
        <v>0</v>
      </c>
      <c r="IS81">
        <v>0</v>
      </c>
      <c r="IT81">
        <v>0</v>
      </c>
      <c r="IU81">
        <v>0</v>
      </c>
      <c r="IV81">
        <v>0</v>
      </c>
      <c r="IW81">
        <v>0</v>
      </c>
      <c r="IX81">
        <v>0</v>
      </c>
      <c r="IY81">
        <v>0</v>
      </c>
      <c r="IZ81">
        <v>0</v>
      </c>
      <c r="JA81">
        <v>0</v>
      </c>
      <c r="JB81">
        <v>0</v>
      </c>
      <c r="JC81">
        <v>0</v>
      </c>
      <c r="JD81">
        <v>0</v>
      </c>
      <c r="JE81">
        <v>0</v>
      </c>
      <c r="JF81">
        <v>0</v>
      </c>
      <c r="JG81">
        <v>0</v>
      </c>
      <c r="JH81">
        <v>0</v>
      </c>
      <c r="JI81">
        <v>0</v>
      </c>
      <c r="JJ81">
        <v>0</v>
      </c>
      <c r="JK81">
        <v>0</v>
      </c>
      <c r="JL81">
        <v>0</v>
      </c>
      <c r="JM81">
        <v>0</v>
      </c>
      <c r="JN81">
        <v>0</v>
      </c>
      <c r="JO81">
        <v>0</v>
      </c>
      <c r="JP81">
        <v>0</v>
      </c>
      <c r="JQ81">
        <v>0</v>
      </c>
      <c r="JR81">
        <v>0</v>
      </c>
      <c r="JS81">
        <v>0</v>
      </c>
      <c r="JT81">
        <v>0</v>
      </c>
      <c r="JU81">
        <v>0</v>
      </c>
      <c r="JV81">
        <v>0</v>
      </c>
      <c r="JW81">
        <v>0</v>
      </c>
      <c r="JX81">
        <v>0</v>
      </c>
      <c r="JY81">
        <v>0</v>
      </c>
      <c r="JZ81">
        <v>0</v>
      </c>
      <c r="KA81">
        <v>0</v>
      </c>
      <c r="KB81">
        <v>0</v>
      </c>
      <c r="KC81">
        <v>0</v>
      </c>
      <c r="KD81">
        <v>0</v>
      </c>
      <c r="KE81">
        <v>0</v>
      </c>
      <c r="KF81">
        <v>0</v>
      </c>
      <c r="KG81">
        <v>0</v>
      </c>
      <c r="KH81">
        <v>0</v>
      </c>
      <c r="KI81">
        <v>0</v>
      </c>
      <c r="KJ81">
        <v>0</v>
      </c>
      <c r="KK81">
        <v>0</v>
      </c>
      <c r="KL81">
        <v>0</v>
      </c>
      <c r="KM81">
        <v>0</v>
      </c>
      <c r="KN81">
        <v>0</v>
      </c>
      <c r="KO81">
        <v>0</v>
      </c>
      <c r="KP81">
        <v>0</v>
      </c>
      <c r="KQ81">
        <v>0</v>
      </c>
      <c r="KR81">
        <v>0</v>
      </c>
      <c r="KS81">
        <v>0</v>
      </c>
      <c r="KT81">
        <v>0</v>
      </c>
      <c r="KU81">
        <v>0</v>
      </c>
      <c r="KV81">
        <v>0</v>
      </c>
      <c r="KW81">
        <v>0</v>
      </c>
      <c r="KX81">
        <v>0</v>
      </c>
      <c r="KY81">
        <v>0</v>
      </c>
      <c r="KZ81">
        <v>0</v>
      </c>
      <c r="LA81">
        <v>0</v>
      </c>
      <c r="LB81">
        <v>0</v>
      </c>
      <c r="LC81">
        <v>0</v>
      </c>
      <c r="LD81">
        <v>0</v>
      </c>
      <c r="LE81">
        <v>0</v>
      </c>
      <c r="LF81">
        <v>0</v>
      </c>
      <c r="LG81">
        <v>0</v>
      </c>
      <c r="LH81">
        <v>0</v>
      </c>
      <c r="LI81">
        <v>0</v>
      </c>
      <c r="LJ81">
        <v>0</v>
      </c>
      <c r="LK81">
        <v>0</v>
      </c>
      <c r="LL81">
        <v>0</v>
      </c>
      <c r="LM81">
        <v>0</v>
      </c>
      <c r="LN81">
        <v>0</v>
      </c>
      <c r="LO81">
        <v>0</v>
      </c>
      <c r="LP81">
        <v>0</v>
      </c>
      <c r="LQ81">
        <v>0</v>
      </c>
      <c r="LR81">
        <v>0</v>
      </c>
      <c r="LS81">
        <v>0</v>
      </c>
      <c r="LT81">
        <v>0</v>
      </c>
      <c r="LU81">
        <v>0</v>
      </c>
      <c r="LV81">
        <v>0</v>
      </c>
      <c r="LW81">
        <v>0</v>
      </c>
      <c r="LX81">
        <v>0</v>
      </c>
      <c r="LY81">
        <v>0</v>
      </c>
      <c r="LZ81">
        <v>0</v>
      </c>
      <c r="MA81">
        <v>0</v>
      </c>
      <c r="MB81">
        <v>0</v>
      </c>
      <c r="MC81">
        <v>0</v>
      </c>
      <c r="MD81">
        <v>0</v>
      </c>
      <c r="ME81">
        <v>0</v>
      </c>
      <c r="MF81">
        <v>0</v>
      </c>
      <c r="MG81">
        <v>0</v>
      </c>
      <c r="MH81">
        <v>0</v>
      </c>
      <c r="MI81">
        <v>0</v>
      </c>
      <c r="MJ81">
        <v>0</v>
      </c>
      <c r="MK81">
        <v>0</v>
      </c>
      <c r="ML81">
        <v>0</v>
      </c>
      <c r="MM81">
        <v>0</v>
      </c>
      <c r="MN81">
        <v>0</v>
      </c>
      <c r="MO81">
        <v>0</v>
      </c>
      <c r="MP81">
        <v>0</v>
      </c>
      <c r="MQ81">
        <v>0</v>
      </c>
      <c r="MR81">
        <v>0</v>
      </c>
      <c r="MS81">
        <v>0</v>
      </c>
      <c r="MT81">
        <v>0</v>
      </c>
      <c r="MU81">
        <v>0</v>
      </c>
      <c r="MV81">
        <v>0</v>
      </c>
      <c r="MW81">
        <v>0</v>
      </c>
      <c r="MX81">
        <v>0</v>
      </c>
      <c r="MY81">
        <v>0</v>
      </c>
      <c r="MZ81">
        <v>0</v>
      </c>
      <c r="NA81">
        <v>0</v>
      </c>
      <c r="NB81">
        <v>0</v>
      </c>
      <c r="NC81">
        <v>0</v>
      </c>
      <c r="ND81">
        <v>0</v>
      </c>
      <c r="NE81">
        <v>0</v>
      </c>
    </row>
    <row r="82" spans="41:369" x14ac:dyDescent="0.45">
      <c r="AO82" t="str">
        <v>B103</v>
      </c>
      <c r="AP82" t="str">
        <v>MOHAMMED NAFIH BA</v>
      </c>
      <c r="AQ82" t="str">
        <v>BADF</v>
      </c>
      <c r="AR82" t="str">
        <v>JUNIOR</v>
      </c>
      <c r="AS82">
        <v>3</v>
      </c>
      <c r="AT82">
        <v>9</v>
      </c>
      <c r="AU82">
        <v>0</v>
      </c>
      <c r="AV82">
        <v>9</v>
      </c>
      <c r="AW82">
        <v>9</v>
      </c>
      <c r="AX82">
        <v>139</v>
      </c>
      <c r="AY82" s="5">
        <v>139</v>
      </c>
      <c r="AZ82" t="str">
        <v>JN37</v>
      </c>
      <c r="BA82" t="str">
        <v>SONG URD</v>
      </c>
      <c r="BB82" t="str">
        <v>JUNIOR</v>
      </c>
      <c r="BC82" t="str">
        <v>Single</v>
      </c>
      <c r="BD82" t="str">
        <v>Stage</v>
      </c>
      <c r="BE82">
        <v>3</v>
      </c>
      <c r="BF82" t="str">
        <v>Individual</v>
      </c>
      <c r="BG82" t="str">
        <v>Individual</v>
      </c>
      <c r="BH82" t="str">
        <v>P</v>
      </c>
      <c r="BI82" t="str">
        <v>PUBLISHED</v>
      </c>
      <c r="BK82">
        <v>76</v>
      </c>
      <c r="BL82" t="str">
        <v>JN33</v>
      </c>
      <c r="BM82" t="str">
        <v>MULAFADHA</v>
      </c>
      <c r="BN82">
        <v>3</v>
      </c>
      <c r="BO82" t="str">
        <v>Single</v>
      </c>
      <c r="BP82" t="str">
        <v>Stage</v>
      </c>
      <c r="BQ82" t="str">
        <v>JUNIOR</v>
      </c>
      <c r="BR82" t="str">
        <v>B102</v>
      </c>
      <c r="BS82" t="str">
        <v>B135</v>
      </c>
      <c r="BT82" t="str">
        <v>B145</v>
      </c>
      <c r="BU82">
        <v>0</v>
      </c>
      <c r="BV82">
        <v>0</v>
      </c>
      <c r="BW82">
        <v>0</v>
      </c>
      <c r="BX82">
        <v>0</v>
      </c>
      <c r="BY82" t="str">
        <v>B124</v>
      </c>
      <c r="BZ82" t="str">
        <v>B149</v>
      </c>
      <c r="CA82" t="str">
        <v>B158</v>
      </c>
      <c r="CB82">
        <v>0</v>
      </c>
      <c r="CC82">
        <v>0</v>
      </c>
      <c r="CD82">
        <v>0</v>
      </c>
      <c r="CE82">
        <v>0</v>
      </c>
      <c r="CF82" t="str">
        <v>B121</v>
      </c>
      <c r="CG82" t="str">
        <v>B137</v>
      </c>
      <c r="CH82" t="str">
        <v>B142</v>
      </c>
      <c r="CI82">
        <v>0</v>
      </c>
      <c r="CJ82">
        <v>0</v>
      </c>
      <c r="CK82">
        <v>0</v>
      </c>
      <c r="CL82">
        <v>0</v>
      </c>
      <c r="CM82" t="str">
        <v>B108</v>
      </c>
      <c r="CN82" t="str">
        <v>B134</v>
      </c>
      <c r="CO82" t="str">
        <v>B163</v>
      </c>
      <c r="CP82">
        <v>0</v>
      </c>
      <c r="CQ82">
        <v>0</v>
      </c>
      <c r="CR82">
        <v>0</v>
      </c>
      <c r="CS82">
        <v>0</v>
      </c>
      <c r="CT82">
        <v>0</v>
      </c>
      <c r="CU82">
        <v>0</v>
      </c>
      <c r="CV82">
        <v>0</v>
      </c>
      <c r="CW82">
        <v>0</v>
      </c>
      <c r="CX82">
        <v>0</v>
      </c>
      <c r="CY82">
        <v>0</v>
      </c>
      <c r="CZ82">
        <v>0</v>
      </c>
      <c r="DA82">
        <v>0</v>
      </c>
      <c r="DB82">
        <v>0</v>
      </c>
      <c r="DC82">
        <v>0</v>
      </c>
      <c r="DD82">
        <v>0</v>
      </c>
      <c r="DE82">
        <v>0</v>
      </c>
      <c r="DF82">
        <v>0</v>
      </c>
      <c r="DG82">
        <v>0</v>
      </c>
      <c r="DH82">
        <v>0</v>
      </c>
      <c r="DI82">
        <v>0</v>
      </c>
      <c r="DJ82">
        <v>0</v>
      </c>
      <c r="DK82">
        <v>0</v>
      </c>
      <c r="DL82">
        <v>0</v>
      </c>
      <c r="DM82">
        <v>0</v>
      </c>
      <c r="DN82">
        <v>0</v>
      </c>
      <c r="DO82">
        <v>0</v>
      </c>
      <c r="DP82">
        <v>0</v>
      </c>
      <c r="DQ82">
        <v>0</v>
      </c>
      <c r="DR82">
        <v>0</v>
      </c>
      <c r="DS82">
        <v>0</v>
      </c>
      <c r="DT82">
        <v>0</v>
      </c>
      <c r="DU82">
        <v>0</v>
      </c>
      <c r="DV82">
        <v>0</v>
      </c>
      <c r="DW82">
        <v>0</v>
      </c>
      <c r="DX82">
        <v>0</v>
      </c>
      <c r="DY82">
        <v>0</v>
      </c>
      <c r="DZ82">
        <v>0</v>
      </c>
      <c r="EA82">
        <v>0</v>
      </c>
      <c r="EB82">
        <v>0</v>
      </c>
      <c r="EC82">
        <v>0</v>
      </c>
      <c r="ED82">
        <v>0</v>
      </c>
      <c r="EE82">
        <v>0</v>
      </c>
      <c r="EF82">
        <v>0</v>
      </c>
      <c r="EG82">
        <v>0</v>
      </c>
      <c r="EH82">
        <v>0</v>
      </c>
      <c r="EI82">
        <v>0</v>
      </c>
      <c r="EJ82">
        <v>0</v>
      </c>
      <c r="EK82">
        <v>0</v>
      </c>
      <c r="EL82">
        <v>0</v>
      </c>
      <c r="EM82">
        <v>0</v>
      </c>
      <c r="EN82">
        <v>0</v>
      </c>
      <c r="EO82">
        <v>0</v>
      </c>
      <c r="EP82">
        <v>0</v>
      </c>
      <c r="EQ82">
        <v>0</v>
      </c>
      <c r="ER82">
        <v>0</v>
      </c>
      <c r="ES82">
        <v>0</v>
      </c>
      <c r="ET82">
        <v>0</v>
      </c>
      <c r="EU82">
        <v>0</v>
      </c>
      <c r="EV82">
        <v>0</v>
      </c>
      <c r="EW82">
        <v>0</v>
      </c>
      <c r="EX82">
        <v>0</v>
      </c>
      <c r="EY82">
        <v>0</v>
      </c>
      <c r="EZ82">
        <v>0</v>
      </c>
      <c r="FA82">
        <v>0</v>
      </c>
      <c r="FB82">
        <v>0</v>
      </c>
      <c r="FC82">
        <v>0</v>
      </c>
      <c r="FD82">
        <v>0</v>
      </c>
      <c r="FE82">
        <v>0</v>
      </c>
      <c r="FF82">
        <v>0</v>
      </c>
      <c r="FG82">
        <v>0</v>
      </c>
      <c r="FH82">
        <v>0</v>
      </c>
      <c r="FI82">
        <v>0</v>
      </c>
      <c r="FJ82">
        <v>0</v>
      </c>
      <c r="FK82">
        <v>0</v>
      </c>
      <c r="FL82">
        <v>0</v>
      </c>
      <c r="FM82">
        <v>0</v>
      </c>
      <c r="FN82">
        <v>0</v>
      </c>
      <c r="FO82">
        <v>0</v>
      </c>
      <c r="FP82">
        <v>0</v>
      </c>
      <c r="FQ82">
        <v>0</v>
      </c>
      <c r="FR82">
        <v>0</v>
      </c>
      <c r="FS82">
        <v>0</v>
      </c>
      <c r="FT82">
        <v>0</v>
      </c>
      <c r="FU82">
        <v>0</v>
      </c>
      <c r="FV82">
        <v>0</v>
      </c>
      <c r="FW82">
        <v>0</v>
      </c>
      <c r="FX82">
        <v>0</v>
      </c>
      <c r="FY82">
        <v>0</v>
      </c>
      <c r="FZ82">
        <v>0</v>
      </c>
      <c r="GA82">
        <v>0</v>
      </c>
      <c r="GB82">
        <v>0</v>
      </c>
      <c r="GC82">
        <v>0</v>
      </c>
      <c r="GD82">
        <v>0</v>
      </c>
      <c r="GE82">
        <v>0</v>
      </c>
      <c r="GF82">
        <v>0</v>
      </c>
      <c r="GG82">
        <v>0</v>
      </c>
      <c r="GH82">
        <v>0</v>
      </c>
      <c r="GI82">
        <v>0</v>
      </c>
      <c r="GJ82">
        <v>0</v>
      </c>
      <c r="GK82">
        <v>0</v>
      </c>
      <c r="GL82">
        <v>0</v>
      </c>
      <c r="GM82">
        <v>0</v>
      </c>
      <c r="GN82">
        <v>0</v>
      </c>
      <c r="GO82">
        <v>0</v>
      </c>
      <c r="GP82">
        <v>0</v>
      </c>
      <c r="GQ82">
        <v>0</v>
      </c>
      <c r="GR82">
        <v>0</v>
      </c>
      <c r="GS82">
        <v>0</v>
      </c>
      <c r="GT82">
        <v>0</v>
      </c>
      <c r="GU82">
        <v>0</v>
      </c>
      <c r="GV82">
        <v>0</v>
      </c>
      <c r="GW82">
        <v>0</v>
      </c>
      <c r="GX82">
        <v>0</v>
      </c>
      <c r="GY82">
        <v>0</v>
      </c>
      <c r="GZ82">
        <v>0</v>
      </c>
      <c r="HA82">
        <v>0</v>
      </c>
      <c r="HB82">
        <v>0</v>
      </c>
      <c r="HC82">
        <v>0</v>
      </c>
      <c r="HD82">
        <v>0</v>
      </c>
      <c r="HE82">
        <v>0</v>
      </c>
      <c r="HF82">
        <v>0</v>
      </c>
      <c r="HG82">
        <v>0</v>
      </c>
      <c r="HH82">
        <v>0</v>
      </c>
      <c r="HI82">
        <v>0</v>
      </c>
      <c r="HJ82">
        <v>0</v>
      </c>
      <c r="HK82">
        <v>0</v>
      </c>
      <c r="HL82">
        <v>0</v>
      </c>
      <c r="HM82">
        <v>0</v>
      </c>
      <c r="HN82">
        <v>0</v>
      </c>
      <c r="HO82">
        <v>0</v>
      </c>
      <c r="HP82">
        <v>0</v>
      </c>
      <c r="HQ82">
        <v>0</v>
      </c>
      <c r="HR82">
        <v>0</v>
      </c>
      <c r="HS82">
        <v>0</v>
      </c>
      <c r="HT82">
        <v>0</v>
      </c>
      <c r="HU82">
        <v>0</v>
      </c>
      <c r="HV82">
        <v>0</v>
      </c>
      <c r="HW82">
        <v>0</v>
      </c>
      <c r="HX82">
        <v>0</v>
      </c>
      <c r="HY82">
        <v>0</v>
      </c>
      <c r="HZ82">
        <v>0</v>
      </c>
      <c r="IA82">
        <v>0</v>
      </c>
      <c r="IB82">
        <v>0</v>
      </c>
      <c r="IC82">
        <v>0</v>
      </c>
      <c r="ID82">
        <v>0</v>
      </c>
      <c r="IE82">
        <v>0</v>
      </c>
      <c r="IF82">
        <v>0</v>
      </c>
      <c r="IG82">
        <v>0</v>
      </c>
      <c r="IH82">
        <v>0</v>
      </c>
      <c r="II82">
        <v>0</v>
      </c>
      <c r="IJ82">
        <v>0</v>
      </c>
      <c r="IK82">
        <v>0</v>
      </c>
      <c r="IL82">
        <v>0</v>
      </c>
      <c r="IM82">
        <v>0</v>
      </c>
      <c r="IN82">
        <v>0</v>
      </c>
      <c r="IO82">
        <v>0</v>
      </c>
      <c r="IP82">
        <v>0</v>
      </c>
      <c r="IQ82">
        <v>0</v>
      </c>
      <c r="IR82">
        <v>0</v>
      </c>
      <c r="IS82">
        <v>0</v>
      </c>
      <c r="IT82">
        <v>0</v>
      </c>
      <c r="IU82">
        <v>0</v>
      </c>
      <c r="IV82">
        <v>0</v>
      </c>
      <c r="IW82">
        <v>0</v>
      </c>
      <c r="IX82">
        <v>0</v>
      </c>
      <c r="IY82">
        <v>0</v>
      </c>
      <c r="IZ82">
        <v>0</v>
      </c>
      <c r="JA82">
        <v>0</v>
      </c>
      <c r="JB82">
        <v>0</v>
      </c>
      <c r="JC82">
        <v>0</v>
      </c>
      <c r="JD82">
        <v>0</v>
      </c>
      <c r="JE82">
        <v>0</v>
      </c>
      <c r="JF82">
        <v>0</v>
      </c>
      <c r="JG82">
        <v>0</v>
      </c>
      <c r="JH82">
        <v>0</v>
      </c>
      <c r="JI82">
        <v>0</v>
      </c>
      <c r="JJ82">
        <v>0</v>
      </c>
      <c r="JK82">
        <v>0</v>
      </c>
      <c r="JL82">
        <v>0</v>
      </c>
      <c r="JM82">
        <v>0</v>
      </c>
      <c r="JN82">
        <v>0</v>
      </c>
      <c r="JO82">
        <v>0</v>
      </c>
      <c r="JP82">
        <v>0</v>
      </c>
      <c r="JQ82">
        <v>0</v>
      </c>
      <c r="JR82">
        <v>0</v>
      </c>
      <c r="JS82">
        <v>0</v>
      </c>
      <c r="JT82">
        <v>0</v>
      </c>
      <c r="JU82">
        <v>0</v>
      </c>
      <c r="JV82">
        <v>0</v>
      </c>
      <c r="JW82">
        <v>0</v>
      </c>
      <c r="JX82">
        <v>0</v>
      </c>
      <c r="JY82">
        <v>0</v>
      </c>
      <c r="JZ82">
        <v>0</v>
      </c>
      <c r="KA82">
        <v>0</v>
      </c>
      <c r="KB82">
        <v>0</v>
      </c>
      <c r="KC82">
        <v>0</v>
      </c>
      <c r="KD82">
        <v>0</v>
      </c>
      <c r="KE82">
        <v>0</v>
      </c>
      <c r="KF82">
        <v>0</v>
      </c>
      <c r="KG82">
        <v>0</v>
      </c>
      <c r="KH82">
        <v>0</v>
      </c>
      <c r="KI82">
        <v>0</v>
      </c>
      <c r="KJ82">
        <v>0</v>
      </c>
      <c r="KK82">
        <v>0</v>
      </c>
      <c r="KL82">
        <v>0</v>
      </c>
      <c r="KM82">
        <v>0</v>
      </c>
      <c r="KN82">
        <v>0</v>
      </c>
      <c r="KO82">
        <v>0</v>
      </c>
      <c r="KP82">
        <v>0</v>
      </c>
      <c r="KQ82">
        <v>0</v>
      </c>
      <c r="KR82">
        <v>0</v>
      </c>
      <c r="KS82">
        <v>0</v>
      </c>
      <c r="KT82">
        <v>0</v>
      </c>
      <c r="KU82">
        <v>0</v>
      </c>
      <c r="KV82">
        <v>0</v>
      </c>
      <c r="KW82">
        <v>0</v>
      </c>
      <c r="KX82">
        <v>0</v>
      </c>
      <c r="KY82">
        <v>0</v>
      </c>
      <c r="KZ82">
        <v>0</v>
      </c>
      <c r="LA82">
        <v>0</v>
      </c>
      <c r="LB82">
        <v>0</v>
      </c>
      <c r="LC82">
        <v>0</v>
      </c>
      <c r="LD82">
        <v>0</v>
      </c>
      <c r="LE82">
        <v>0</v>
      </c>
      <c r="LF82">
        <v>0</v>
      </c>
      <c r="LG82">
        <v>0</v>
      </c>
      <c r="LH82">
        <v>0</v>
      </c>
      <c r="LI82">
        <v>0</v>
      </c>
      <c r="LJ82">
        <v>0</v>
      </c>
      <c r="LK82">
        <v>0</v>
      </c>
      <c r="LL82">
        <v>0</v>
      </c>
      <c r="LM82">
        <v>0</v>
      </c>
      <c r="LN82">
        <v>0</v>
      </c>
      <c r="LO82">
        <v>0</v>
      </c>
      <c r="LP82">
        <v>0</v>
      </c>
      <c r="LQ82">
        <v>0</v>
      </c>
      <c r="LR82">
        <v>0</v>
      </c>
      <c r="LS82">
        <v>0</v>
      </c>
      <c r="LT82">
        <v>0</v>
      </c>
      <c r="LU82">
        <v>0</v>
      </c>
      <c r="LV82">
        <v>0</v>
      </c>
      <c r="LW82">
        <v>0</v>
      </c>
      <c r="LX82">
        <v>0</v>
      </c>
      <c r="LY82">
        <v>0</v>
      </c>
      <c r="LZ82">
        <v>0</v>
      </c>
      <c r="MA82">
        <v>0</v>
      </c>
      <c r="MB82">
        <v>0</v>
      </c>
      <c r="MC82">
        <v>0</v>
      </c>
      <c r="MD82">
        <v>0</v>
      </c>
      <c r="ME82">
        <v>0</v>
      </c>
      <c r="MF82">
        <v>0</v>
      </c>
      <c r="MG82">
        <v>0</v>
      </c>
      <c r="MH82">
        <v>0</v>
      </c>
      <c r="MI82">
        <v>0</v>
      </c>
      <c r="MJ82">
        <v>0</v>
      </c>
      <c r="MK82">
        <v>0</v>
      </c>
      <c r="ML82">
        <v>0</v>
      </c>
      <c r="MM82">
        <v>0</v>
      </c>
      <c r="MN82">
        <v>0</v>
      </c>
      <c r="MO82">
        <v>0</v>
      </c>
      <c r="MP82">
        <v>0</v>
      </c>
      <c r="MQ82">
        <v>0</v>
      </c>
      <c r="MR82">
        <v>0</v>
      </c>
      <c r="MS82">
        <v>0</v>
      </c>
      <c r="MT82">
        <v>0</v>
      </c>
      <c r="MU82">
        <v>0</v>
      </c>
      <c r="MV82">
        <v>0</v>
      </c>
      <c r="MW82">
        <v>0</v>
      </c>
      <c r="MX82">
        <v>0</v>
      </c>
      <c r="MY82">
        <v>0</v>
      </c>
      <c r="MZ82">
        <v>0</v>
      </c>
      <c r="NA82">
        <v>0</v>
      </c>
      <c r="NB82">
        <v>0</v>
      </c>
      <c r="NC82">
        <v>0</v>
      </c>
      <c r="ND82">
        <v>0</v>
      </c>
      <c r="NE82">
        <v>0</v>
      </c>
    </row>
    <row r="83" spans="41:369" x14ac:dyDescent="0.45">
      <c r="AO83" t="str">
        <v>B104</v>
      </c>
      <c r="AP83" t="str">
        <v>FAKRUDDIN NAFIL</v>
      </c>
      <c r="AQ83" t="str">
        <v>FANT</v>
      </c>
      <c r="AR83" t="str">
        <v>JUNIOR</v>
      </c>
      <c r="AS83">
        <v>3</v>
      </c>
      <c r="AT83">
        <v>0</v>
      </c>
      <c r="AU83">
        <v>0</v>
      </c>
      <c r="AV83">
        <v>0</v>
      </c>
      <c r="AW83">
        <v>0</v>
      </c>
      <c r="AX83">
        <v>255</v>
      </c>
      <c r="AY83" s="5">
        <v>255</v>
      </c>
      <c r="AZ83" t="str">
        <v>JN38</v>
      </c>
      <c r="BA83" t="str">
        <v>SPEECH ARB</v>
      </c>
      <c r="BB83" t="str">
        <v>JUNIOR</v>
      </c>
      <c r="BC83" t="str">
        <v>Single</v>
      </c>
      <c r="BD83" t="str">
        <v>Stage</v>
      </c>
      <c r="BE83">
        <v>3</v>
      </c>
      <c r="BF83" t="str">
        <v>Individual</v>
      </c>
      <c r="BG83" t="str">
        <v>Individual</v>
      </c>
      <c r="BH83" t="str">
        <v>P</v>
      </c>
      <c r="BI83" t="str">
        <v>PUBLISHED</v>
      </c>
      <c r="BK83">
        <v>77</v>
      </c>
      <c r="BL83" t="str">
        <v>JN34</v>
      </c>
      <c r="BM83" t="str">
        <v>PADHYAPARAYANAM</v>
      </c>
      <c r="BN83">
        <v>3</v>
      </c>
      <c r="BO83" t="str">
        <v>Single</v>
      </c>
      <c r="BP83" t="str">
        <v>Stage</v>
      </c>
      <c r="BQ83" t="str">
        <v>JUNIOR</v>
      </c>
      <c r="BR83" t="str">
        <v>B104</v>
      </c>
      <c r="BS83" t="str">
        <v>B115</v>
      </c>
      <c r="BT83" t="str">
        <v>B129</v>
      </c>
      <c r="BU83">
        <v>0</v>
      </c>
      <c r="BV83">
        <v>0</v>
      </c>
      <c r="BW83">
        <v>0</v>
      </c>
      <c r="BX83">
        <v>0</v>
      </c>
      <c r="BY83" t="str">
        <v>B109</v>
      </c>
      <c r="BZ83" t="str">
        <v>B124</v>
      </c>
      <c r="CA83" t="str">
        <v>B159</v>
      </c>
      <c r="CB83">
        <v>0</v>
      </c>
      <c r="CC83">
        <v>0</v>
      </c>
      <c r="CD83">
        <v>0</v>
      </c>
      <c r="CE83">
        <v>0</v>
      </c>
      <c r="CF83" t="str">
        <v>B137</v>
      </c>
      <c r="CG83" t="str">
        <v>B146</v>
      </c>
      <c r="CH83" t="str">
        <v>B153</v>
      </c>
      <c r="CI83">
        <v>0</v>
      </c>
      <c r="CJ83">
        <v>0</v>
      </c>
      <c r="CK83">
        <v>0</v>
      </c>
      <c r="CL83">
        <v>0</v>
      </c>
      <c r="CM83" t="str">
        <v>B133</v>
      </c>
      <c r="CN83" t="str">
        <v>B152</v>
      </c>
      <c r="CO83" t="str">
        <v>B162</v>
      </c>
      <c r="CP83">
        <v>0</v>
      </c>
      <c r="CQ83">
        <v>0</v>
      </c>
      <c r="CR83">
        <v>0</v>
      </c>
      <c r="CS83">
        <v>0</v>
      </c>
      <c r="CT83">
        <v>0</v>
      </c>
      <c r="CU83">
        <v>0</v>
      </c>
      <c r="CV83">
        <v>0</v>
      </c>
      <c r="CW83">
        <v>0</v>
      </c>
      <c r="CX83">
        <v>0</v>
      </c>
      <c r="CY83">
        <v>0</v>
      </c>
      <c r="CZ83">
        <v>0</v>
      </c>
      <c r="DA83">
        <v>0</v>
      </c>
      <c r="DB83">
        <v>0</v>
      </c>
      <c r="DC83">
        <v>0</v>
      </c>
      <c r="DD83">
        <v>0</v>
      </c>
      <c r="DE83">
        <v>0</v>
      </c>
      <c r="DF83">
        <v>0</v>
      </c>
      <c r="DG83">
        <v>0</v>
      </c>
      <c r="DH83">
        <v>0</v>
      </c>
      <c r="DI83">
        <v>0</v>
      </c>
      <c r="DJ83">
        <v>0</v>
      </c>
      <c r="DK83">
        <v>0</v>
      </c>
      <c r="DL83">
        <v>0</v>
      </c>
      <c r="DM83">
        <v>0</v>
      </c>
      <c r="DN83">
        <v>0</v>
      </c>
      <c r="DO83">
        <v>0</v>
      </c>
      <c r="DP83">
        <v>0</v>
      </c>
      <c r="DQ83">
        <v>0</v>
      </c>
      <c r="DR83">
        <v>0</v>
      </c>
      <c r="DS83">
        <v>0</v>
      </c>
      <c r="DT83">
        <v>0</v>
      </c>
      <c r="DU83">
        <v>0</v>
      </c>
      <c r="DV83">
        <v>0</v>
      </c>
      <c r="DW83">
        <v>0</v>
      </c>
      <c r="DX83">
        <v>0</v>
      </c>
      <c r="DY83">
        <v>0</v>
      </c>
      <c r="DZ83">
        <v>0</v>
      </c>
      <c r="EA83">
        <v>0</v>
      </c>
      <c r="EB83">
        <v>0</v>
      </c>
      <c r="EC83">
        <v>0</v>
      </c>
      <c r="ED83">
        <v>0</v>
      </c>
      <c r="EE83">
        <v>0</v>
      </c>
      <c r="EF83">
        <v>0</v>
      </c>
      <c r="EG83">
        <v>0</v>
      </c>
      <c r="EH83">
        <v>0</v>
      </c>
      <c r="EI83">
        <v>0</v>
      </c>
      <c r="EJ83">
        <v>0</v>
      </c>
      <c r="EK83">
        <v>0</v>
      </c>
      <c r="EL83">
        <v>0</v>
      </c>
      <c r="EM83">
        <v>0</v>
      </c>
      <c r="EN83">
        <v>0</v>
      </c>
      <c r="EO83">
        <v>0</v>
      </c>
      <c r="EP83">
        <v>0</v>
      </c>
      <c r="EQ83">
        <v>0</v>
      </c>
      <c r="ER83">
        <v>0</v>
      </c>
      <c r="ES83">
        <v>0</v>
      </c>
      <c r="ET83">
        <v>0</v>
      </c>
      <c r="EU83">
        <v>0</v>
      </c>
      <c r="EV83">
        <v>0</v>
      </c>
      <c r="EW83">
        <v>0</v>
      </c>
      <c r="EX83">
        <v>0</v>
      </c>
      <c r="EY83">
        <v>0</v>
      </c>
      <c r="EZ83">
        <v>0</v>
      </c>
      <c r="FA83">
        <v>0</v>
      </c>
      <c r="FB83">
        <v>0</v>
      </c>
      <c r="FC83">
        <v>0</v>
      </c>
      <c r="FD83">
        <v>0</v>
      </c>
      <c r="FE83">
        <v>0</v>
      </c>
      <c r="FF83">
        <v>0</v>
      </c>
      <c r="FG83">
        <v>0</v>
      </c>
      <c r="FH83">
        <v>0</v>
      </c>
      <c r="FI83">
        <v>0</v>
      </c>
      <c r="FJ83">
        <v>0</v>
      </c>
      <c r="FK83">
        <v>0</v>
      </c>
      <c r="FL83">
        <v>0</v>
      </c>
      <c r="FM83">
        <v>0</v>
      </c>
      <c r="FN83">
        <v>0</v>
      </c>
      <c r="FO83">
        <v>0</v>
      </c>
      <c r="FP83">
        <v>0</v>
      </c>
      <c r="FQ83">
        <v>0</v>
      </c>
      <c r="FR83">
        <v>0</v>
      </c>
      <c r="FS83">
        <v>0</v>
      </c>
      <c r="FT83">
        <v>0</v>
      </c>
      <c r="FU83">
        <v>0</v>
      </c>
      <c r="FV83">
        <v>0</v>
      </c>
      <c r="FW83">
        <v>0</v>
      </c>
      <c r="FX83">
        <v>0</v>
      </c>
      <c r="FY83">
        <v>0</v>
      </c>
      <c r="FZ83">
        <v>0</v>
      </c>
      <c r="GA83">
        <v>0</v>
      </c>
      <c r="GB83">
        <v>0</v>
      </c>
      <c r="GC83">
        <v>0</v>
      </c>
      <c r="GD83">
        <v>0</v>
      </c>
      <c r="GE83">
        <v>0</v>
      </c>
      <c r="GF83">
        <v>0</v>
      </c>
      <c r="GG83">
        <v>0</v>
      </c>
      <c r="GH83">
        <v>0</v>
      </c>
      <c r="GI83">
        <v>0</v>
      </c>
      <c r="GJ83">
        <v>0</v>
      </c>
      <c r="GK83">
        <v>0</v>
      </c>
      <c r="GL83">
        <v>0</v>
      </c>
      <c r="GM83">
        <v>0</v>
      </c>
      <c r="GN83">
        <v>0</v>
      </c>
      <c r="GO83">
        <v>0</v>
      </c>
      <c r="GP83">
        <v>0</v>
      </c>
      <c r="GQ83">
        <v>0</v>
      </c>
      <c r="GR83">
        <v>0</v>
      </c>
      <c r="GS83">
        <v>0</v>
      </c>
      <c r="GT83">
        <v>0</v>
      </c>
      <c r="GU83">
        <v>0</v>
      </c>
      <c r="GV83">
        <v>0</v>
      </c>
      <c r="GW83">
        <v>0</v>
      </c>
      <c r="GX83">
        <v>0</v>
      </c>
      <c r="GY83">
        <v>0</v>
      </c>
      <c r="GZ83">
        <v>0</v>
      </c>
      <c r="HA83">
        <v>0</v>
      </c>
      <c r="HB83">
        <v>0</v>
      </c>
      <c r="HC83">
        <v>0</v>
      </c>
      <c r="HD83">
        <v>0</v>
      </c>
      <c r="HE83">
        <v>0</v>
      </c>
      <c r="HF83">
        <v>0</v>
      </c>
      <c r="HG83">
        <v>0</v>
      </c>
      <c r="HH83">
        <v>0</v>
      </c>
      <c r="HI83">
        <v>0</v>
      </c>
      <c r="HJ83">
        <v>0</v>
      </c>
      <c r="HK83">
        <v>0</v>
      </c>
      <c r="HL83">
        <v>0</v>
      </c>
      <c r="HM83">
        <v>0</v>
      </c>
      <c r="HN83">
        <v>0</v>
      </c>
      <c r="HO83">
        <v>0</v>
      </c>
      <c r="HP83">
        <v>0</v>
      </c>
      <c r="HQ83">
        <v>0</v>
      </c>
      <c r="HR83">
        <v>0</v>
      </c>
      <c r="HS83">
        <v>0</v>
      </c>
      <c r="HT83">
        <v>0</v>
      </c>
      <c r="HU83">
        <v>0</v>
      </c>
      <c r="HV83">
        <v>0</v>
      </c>
      <c r="HW83">
        <v>0</v>
      </c>
      <c r="HX83">
        <v>0</v>
      </c>
      <c r="HY83">
        <v>0</v>
      </c>
      <c r="HZ83">
        <v>0</v>
      </c>
      <c r="IA83">
        <v>0</v>
      </c>
      <c r="IB83">
        <v>0</v>
      </c>
      <c r="IC83">
        <v>0</v>
      </c>
      <c r="ID83">
        <v>0</v>
      </c>
      <c r="IE83">
        <v>0</v>
      </c>
      <c r="IF83">
        <v>0</v>
      </c>
      <c r="IG83">
        <v>0</v>
      </c>
      <c r="IH83">
        <v>0</v>
      </c>
      <c r="II83">
        <v>0</v>
      </c>
      <c r="IJ83">
        <v>0</v>
      </c>
      <c r="IK83">
        <v>0</v>
      </c>
      <c r="IL83">
        <v>0</v>
      </c>
      <c r="IM83">
        <v>0</v>
      </c>
      <c r="IN83">
        <v>0</v>
      </c>
      <c r="IO83">
        <v>0</v>
      </c>
      <c r="IP83">
        <v>0</v>
      </c>
      <c r="IQ83">
        <v>0</v>
      </c>
      <c r="IR83">
        <v>0</v>
      </c>
      <c r="IS83">
        <v>0</v>
      </c>
      <c r="IT83">
        <v>0</v>
      </c>
      <c r="IU83">
        <v>0</v>
      </c>
      <c r="IV83">
        <v>0</v>
      </c>
      <c r="IW83">
        <v>0</v>
      </c>
      <c r="IX83">
        <v>0</v>
      </c>
      <c r="IY83">
        <v>0</v>
      </c>
      <c r="IZ83">
        <v>0</v>
      </c>
      <c r="JA83">
        <v>0</v>
      </c>
      <c r="JB83">
        <v>0</v>
      </c>
      <c r="JC83">
        <v>0</v>
      </c>
      <c r="JD83">
        <v>0</v>
      </c>
      <c r="JE83">
        <v>0</v>
      </c>
      <c r="JF83">
        <v>0</v>
      </c>
      <c r="JG83">
        <v>0</v>
      </c>
      <c r="JH83">
        <v>0</v>
      </c>
      <c r="JI83">
        <v>0</v>
      </c>
      <c r="JJ83">
        <v>0</v>
      </c>
      <c r="JK83">
        <v>0</v>
      </c>
      <c r="JL83">
        <v>0</v>
      </c>
      <c r="JM83">
        <v>0</v>
      </c>
      <c r="JN83">
        <v>0</v>
      </c>
      <c r="JO83">
        <v>0</v>
      </c>
      <c r="JP83">
        <v>0</v>
      </c>
      <c r="JQ83">
        <v>0</v>
      </c>
      <c r="JR83">
        <v>0</v>
      </c>
      <c r="JS83">
        <v>0</v>
      </c>
      <c r="JT83">
        <v>0</v>
      </c>
      <c r="JU83">
        <v>0</v>
      </c>
      <c r="JV83">
        <v>0</v>
      </c>
      <c r="JW83">
        <v>0</v>
      </c>
      <c r="JX83">
        <v>0</v>
      </c>
      <c r="JY83">
        <v>0</v>
      </c>
      <c r="JZ83">
        <v>0</v>
      </c>
      <c r="KA83">
        <v>0</v>
      </c>
      <c r="KB83">
        <v>0</v>
      </c>
      <c r="KC83">
        <v>0</v>
      </c>
      <c r="KD83">
        <v>0</v>
      </c>
      <c r="KE83">
        <v>0</v>
      </c>
      <c r="KF83">
        <v>0</v>
      </c>
      <c r="KG83">
        <v>0</v>
      </c>
      <c r="KH83">
        <v>0</v>
      </c>
      <c r="KI83">
        <v>0</v>
      </c>
      <c r="KJ83">
        <v>0</v>
      </c>
      <c r="KK83">
        <v>0</v>
      </c>
      <c r="KL83">
        <v>0</v>
      </c>
      <c r="KM83">
        <v>0</v>
      </c>
      <c r="KN83">
        <v>0</v>
      </c>
      <c r="KO83">
        <v>0</v>
      </c>
      <c r="KP83">
        <v>0</v>
      </c>
      <c r="KQ83">
        <v>0</v>
      </c>
      <c r="KR83">
        <v>0</v>
      </c>
      <c r="KS83">
        <v>0</v>
      </c>
      <c r="KT83">
        <v>0</v>
      </c>
      <c r="KU83">
        <v>0</v>
      </c>
      <c r="KV83">
        <v>0</v>
      </c>
      <c r="KW83">
        <v>0</v>
      </c>
      <c r="KX83">
        <v>0</v>
      </c>
      <c r="KY83">
        <v>0</v>
      </c>
      <c r="KZ83">
        <v>0</v>
      </c>
      <c r="LA83">
        <v>0</v>
      </c>
      <c r="LB83">
        <v>0</v>
      </c>
      <c r="LC83">
        <v>0</v>
      </c>
      <c r="LD83">
        <v>0</v>
      </c>
      <c r="LE83">
        <v>0</v>
      </c>
      <c r="LF83">
        <v>0</v>
      </c>
      <c r="LG83">
        <v>0</v>
      </c>
      <c r="LH83">
        <v>0</v>
      </c>
      <c r="LI83">
        <v>0</v>
      </c>
      <c r="LJ83">
        <v>0</v>
      </c>
      <c r="LK83">
        <v>0</v>
      </c>
      <c r="LL83">
        <v>0</v>
      </c>
      <c r="LM83">
        <v>0</v>
      </c>
      <c r="LN83">
        <v>0</v>
      </c>
      <c r="LO83">
        <v>0</v>
      </c>
      <c r="LP83">
        <v>0</v>
      </c>
      <c r="LQ83">
        <v>0</v>
      </c>
      <c r="LR83">
        <v>0</v>
      </c>
      <c r="LS83">
        <v>0</v>
      </c>
      <c r="LT83">
        <v>0</v>
      </c>
      <c r="LU83">
        <v>0</v>
      </c>
      <c r="LV83">
        <v>0</v>
      </c>
      <c r="LW83">
        <v>0</v>
      </c>
      <c r="LX83">
        <v>0</v>
      </c>
      <c r="LY83">
        <v>0</v>
      </c>
      <c r="LZ83">
        <v>0</v>
      </c>
      <c r="MA83">
        <v>0</v>
      </c>
      <c r="MB83">
        <v>0</v>
      </c>
      <c r="MC83">
        <v>0</v>
      </c>
      <c r="MD83">
        <v>0</v>
      </c>
      <c r="ME83">
        <v>0</v>
      </c>
      <c r="MF83">
        <v>0</v>
      </c>
      <c r="MG83">
        <v>0</v>
      </c>
      <c r="MH83">
        <v>0</v>
      </c>
      <c r="MI83">
        <v>0</v>
      </c>
      <c r="MJ83">
        <v>0</v>
      </c>
      <c r="MK83">
        <v>0</v>
      </c>
      <c r="ML83">
        <v>0</v>
      </c>
      <c r="MM83">
        <v>0</v>
      </c>
      <c r="MN83">
        <v>0</v>
      </c>
      <c r="MO83">
        <v>0</v>
      </c>
      <c r="MP83">
        <v>0</v>
      </c>
      <c r="MQ83">
        <v>0</v>
      </c>
      <c r="MR83">
        <v>0</v>
      </c>
      <c r="MS83">
        <v>0</v>
      </c>
      <c r="MT83">
        <v>0</v>
      </c>
      <c r="MU83">
        <v>0</v>
      </c>
      <c r="MV83">
        <v>0</v>
      </c>
      <c r="MW83">
        <v>0</v>
      </c>
      <c r="MX83">
        <v>0</v>
      </c>
      <c r="MY83">
        <v>0</v>
      </c>
      <c r="MZ83">
        <v>0</v>
      </c>
      <c r="NA83">
        <v>0</v>
      </c>
      <c r="NB83">
        <v>0</v>
      </c>
      <c r="NC83">
        <v>0</v>
      </c>
      <c r="ND83">
        <v>0</v>
      </c>
      <c r="NE83">
        <v>0</v>
      </c>
    </row>
    <row r="84" spans="41:369" x14ac:dyDescent="0.45">
      <c r="AO84" t="str">
        <v>B105</v>
      </c>
      <c r="AP84" t="str">
        <v>HASAN THAMMEEM</v>
      </c>
      <c r="AQ84" t="str">
        <v>JARF</v>
      </c>
      <c r="AR84" t="str">
        <v>JUNIOR</v>
      </c>
      <c r="AS84">
        <v>3</v>
      </c>
      <c r="AT84">
        <v>14</v>
      </c>
      <c r="AU84">
        <v>0</v>
      </c>
      <c r="AV84">
        <v>14</v>
      </c>
      <c r="AW84">
        <v>14</v>
      </c>
      <c r="AX84">
        <v>104</v>
      </c>
      <c r="AY84" s="5">
        <v>104</v>
      </c>
      <c r="AZ84" t="str">
        <v>JN39</v>
      </c>
      <c r="BA84" t="str">
        <v>SPEECH ENG</v>
      </c>
      <c r="BB84" t="str">
        <v>JUNIOR</v>
      </c>
      <c r="BC84" t="str">
        <v>Single</v>
      </c>
      <c r="BD84" t="str">
        <v>Stage</v>
      </c>
      <c r="BE84">
        <v>3</v>
      </c>
      <c r="BF84" t="str">
        <v>Individual</v>
      </c>
      <c r="BG84" t="str">
        <v>Individual</v>
      </c>
      <c r="BH84" t="str">
        <v>P</v>
      </c>
      <c r="BI84" t="str">
        <v>PUBLISHED</v>
      </c>
      <c r="BK84">
        <v>78</v>
      </c>
      <c r="BL84" t="str">
        <v>JN35</v>
      </c>
      <c r="BM84" t="str">
        <v>SONG ARB</v>
      </c>
      <c r="BN84">
        <v>3</v>
      </c>
      <c r="BO84" t="str">
        <v>Single</v>
      </c>
      <c r="BP84" t="str">
        <v>Stage</v>
      </c>
      <c r="BQ84" t="str">
        <v>JUNIOR</v>
      </c>
      <c r="BR84" t="str">
        <v>B129</v>
      </c>
      <c r="BS84" t="str">
        <v>B141</v>
      </c>
      <c r="BT84" t="str">
        <v>B143</v>
      </c>
      <c r="BU84">
        <v>0</v>
      </c>
      <c r="BV84">
        <v>0</v>
      </c>
      <c r="BW84">
        <v>0</v>
      </c>
      <c r="BX84">
        <v>0</v>
      </c>
      <c r="BY84" t="str">
        <v>B132</v>
      </c>
      <c r="BZ84" t="str">
        <v>B139</v>
      </c>
      <c r="CA84" t="str">
        <v>B127</v>
      </c>
      <c r="CB84">
        <v>0</v>
      </c>
      <c r="CC84">
        <v>0</v>
      </c>
      <c r="CD84">
        <v>0</v>
      </c>
      <c r="CE84">
        <v>0</v>
      </c>
      <c r="CF84" t="str">
        <v>B103</v>
      </c>
      <c r="CG84" t="str">
        <v>B121</v>
      </c>
      <c r="CH84" t="str">
        <v>B146</v>
      </c>
      <c r="CI84">
        <v>0</v>
      </c>
      <c r="CJ84">
        <v>0</v>
      </c>
      <c r="CK84">
        <v>0</v>
      </c>
      <c r="CL84">
        <v>0</v>
      </c>
      <c r="CM84" t="str">
        <v>B118</v>
      </c>
      <c r="CN84" t="str">
        <v>B126</v>
      </c>
      <c r="CO84" t="str">
        <v>B160</v>
      </c>
      <c r="CP84">
        <v>0</v>
      </c>
      <c r="CQ84">
        <v>0</v>
      </c>
      <c r="CR84">
        <v>0</v>
      </c>
      <c r="CS84">
        <v>0</v>
      </c>
      <c r="CT84">
        <v>0</v>
      </c>
      <c r="CU84">
        <v>0</v>
      </c>
      <c r="CV84">
        <v>0</v>
      </c>
      <c r="CW84">
        <v>0</v>
      </c>
      <c r="CX84">
        <v>0</v>
      </c>
      <c r="CY84">
        <v>0</v>
      </c>
      <c r="CZ84">
        <v>0</v>
      </c>
      <c r="DA84">
        <v>0</v>
      </c>
      <c r="DB84">
        <v>0</v>
      </c>
      <c r="DC84">
        <v>0</v>
      </c>
      <c r="DD84">
        <v>0</v>
      </c>
      <c r="DE84">
        <v>0</v>
      </c>
      <c r="DF84">
        <v>0</v>
      </c>
      <c r="DG84">
        <v>0</v>
      </c>
      <c r="DH84">
        <v>0</v>
      </c>
      <c r="DI84">
        <v>0</v>
      </c>
      <c r="DJ84">
        <v>0</v>
      </c>
      <c r="DK84">
        <v>0</v>
      </c>
      <c r="DL84">
        <v>0</v>
      </c>
      <c r="DM84">
        <v>0</v>
      </c>
      <c r="DN84">
        <v>0</v>
      </c>
      <c r="DO84">
        <v>0</v>
      </c>
      <c r="DP84">
        <v>0</v>
      </c>
      <c r="DQ84">
        <v>0</v>
      </c>
      <c r="DR84">
        <v>0</v>
      </c>
      <c r="DS84">
        <v>0</v>
      </c>
      <c r="DT84">
        <v>0</v>
      </c>
      <c r="DU84">
        <v>0</v>
      </c>
      <c r="DV84">
        <v>0</v>
      </c>
      <c r="DW84">
        <v>0</v>
      </c>
      <c r="DX84">
        <v>0</v>
      </c>
      <c r="DY84">
        <v>0</v>
      </c>
      <c r="DZ84">
        <v>0</v>
      </c>
      <c r="EA84">
        <v>0</v>
      </c>
      <c r="EB84">
        <v>0</v>
      </c>
      <c r="EC84">
        <v>0</v>
      </c>
      <c r="ED84">
        <v>0</v>
      </c>
      <c r="EE84">
        <v>0</v>
      </c>
      <c r="EF84">
        <v>0</v>
      </c>
      <c r="EG84">
        <v>0</v>
      </c>
      <c r="EH84">
        <v>0</v>
      </c>
      <c r="EI84">
        <v>0</v>
      </c>
      <c r="EJ84">
        <v>0</v>
      </c>
      <c r="EK84">
        <v>0</v>
      </c>
      <c r="EL84">
        <v>0</v>
      </c>
      <c r="EM84">
        <v>0</v>
      </c>
      <c r="EN84">
        <v>0</v>
      </c>
      <c r="EO84">
        <v>0</v>
      </c>
      <c r="EP84">
        <v>0</v>
      </c>
      <c r="EQ84">
        <v>0</v>
      </c>
      <c r="ER84">
        <v>0</v>
      </c>
      <c r="ES84">
        <v>0</v>
      </c>
      <c r="ET84">
        <v>0</v>
      </c>
      <c r="EU84">
        <v>0</v>
      </c>
      <c r="EV84">
        <v>0</v>
      </c>
      <c r="EW84">
        <v>0</v>
      </c>
      <c r="EX84">
        <v>0</v>
      </c>
      <c r="EY84">
        <v>0</v>
      </c>
      <c r="EZ84">
        <v>0</v>
      </c>
      <c r="FA84">
        <v>0</v>
      </c>
      <c r="FB84">
        <v>0</v>
      </c>
      <c r="FC84">
        <v>0</v>
      </c>
      <c r="FD84">
        <v>0</v>
      </c>
      <c r="FE84">
        <v>0</v>
      </c>
      <c r="FF84">
        <v>0</v>
      </c>
      <c r="FG84">
        <v>0</v>
      </c>
      <c r="FH84">
        <v>0</v>
      </c>
      <c r="FI84">
        <v>0</v>
      </c>
      <c r="FJ84">
        <v>0</v>
      </c>
      <c r="FK84">
        <v>0</v>
      </c>
      <c r="FL84">
        <v>0</v>
      </c>
      <c r="FM84">
        <v>0</v>
      </c>
      <c r="FN84">
        <v>0</v>
      </c>
      <c r="FO84">
        <v>0</v>
      </c>
      <c r="FP84">
        <v>0</v>
      </c>
      <c r="FQ84">
        <v>0</v>
      </c>
      <c r="FR84">
        <v>0</v>
      </c>
      <c r="FS84">
        <v>0</v>
      </c>
      <c r="FT84">
        <v>0</v>
      </c>
      <c r="FU84">
        <v>0</v>
      </c>
      <c r="FV84">
        <v>0</v>
      </c>
      <c r="FW84">
        <v>0</v>
      </c>
      <c r="FX84">
        <v>0</v>
      </c>
      <c r="FY84">
        <v>0</v>
      </c>
      <c r="FZ84">
        <v>0</v>
      </c>
      <c r="GA84">
        <v>0</v>
      </c>
      <c r="GB84">
        <v>0</v>
      </c>
      <c r="GC84">
        <v>0</v>
      </c>
      <c r="GD84">
        <v>0</v>
      </c>
      <c r="GE84">
        <v>0</v>
      </c>
      <c r="GF84">
        <v>0</v>
      </c>
      <c r="GG84">
        <v>0</v>
      </c>
      <c r="GH84">
        <v>0</v>
      </c>
      <c r="GI84">
        <v>0</v>
      </c>
      <c r="GJ84">
        <v>0</v>
      </c>
      <c r="GK84">
        <v>0</v>
      </c>
      <c r="GL84">
        <v>0</v>
      </c>
      <c r="GM84">
        <v>0</v>
      </c>
      <c r="GN84">
        <v>0</v>
      </c>
      <c r="GO84">
        <v>0</v>
      </c>
      <c r="GP84">
        <v>0</v>
      </c>
      <c r="GQ84">
        <v>0</v>
      </c>
      <c r="GR84">
        <v>0</v>
      </c>
      <c r="GS84">
        <v>0</v>
      </c>
      <c r="GT84">
        <v>0</v>
      </c>
      <c r="GU84">
        <v>0</v>
      </c>
      <c r="GV84">
        <v>0</v>
      </c>
      <c r="GW84">
        <v>0</v>
      </c>
      <c r="GX84">
        <v>0</v>
      </c>
      <c r="GY84">
        <v>0</v>
      </c>
      <c r="GZ84">
        <v>0</v>
      </c>
      <c r="HA84">
        <v>0</v>
      </c>
      <c r="HB84">
        <v>0</v>
      </c>
      <c r="HC84">
        <v>0</v>
      </c>
      <c r="HD84">
        <v>0</v>
      </c>
      <c r="HE84">
        <v>0</v>
      </c>
      <c r="HF84">
        <v>0</v>
      </c>
      <c r="HG84">
        <v>0</v>
      </c>
      <c r="HH84">
        <v>0</v>
      </c>
      <c r="HI84">
        <v>0</v>
      </c>
      <c r="HJ84">
        <v>0</v>
      </c>
      <c r="HK84">
        <v>0</v>
      </c>
      <c r="HL84">
        <v>0</v>
      </c>
      <c r="HM84">
        <v>0</v>
      </c>
      <c r="HN84">
        <v>0</v>
      </c>
      <c r="HO84">
        <v>0</v>
      </c>
      <c r="HP84">
        <v>0</v>
      </c>
      <c r="HQ84">
        <v>0</v>
      </c>
      <c r="HR84">
        <v>0</v>
      </c>
      <c r="HS84">
        <v>0</v>
      </c>
      <c r="HT84">
        <v>0</v>
      </c>
      <c r="HU84">
        <v>0</v>
      </c>
      <c r="HV84">
        <v>0</v>
      </c>
      <c r="HW84">
        <v>0</v>
      </c>
      <c r="HX84">
        <v>0</v>
      </c>
      <c r="HY84">
        <v>0</v>
      </c>
      <c r="HZ84">
        <v>0</v>
      </c>
      <c r="IA84">
        <v>0</v>
      </c>
      <c r="IB84">
        <v>0</v>
      </c>
      <c r="IC84">
        <v>0</v>
      </c>
      <c r="ID84">
        <v>0</v>
      </c>
      <c r="IE84">
        <v>0</v>
      </c>
      <c r="IF84">
        <v>0</v>
      </c>
      <c r="IG84">
        <v>0</v>
      </c>
      <c r="IH84">
        <v>0</v>
      </c>
      <c r="II84">
        <v>0</v>
      </c>
      <c r="IJ84">
        <v>0</v>
      </c>
      <c r="IK84">
        <v>0</v>
      </c>
      <c r="IL84">
        <v>0</v>
      </c>
      <c r="IM84">
        <v>0</v>
      </c>
      <c r="IN84">
        <v>0</v>
      </c>
      <c r="IO84">
        <v>0</v>
      </c>
      <c r="IP84">
        <v>0</v>
      </c>
      <c r="IQ84">
        <v>0</v>
      </c>
      <c r="IR84">
        <v>0</v>
      </c>
      <c r="IS84">
        <v>0</v>
      </c>
      <c r="IT84">
        <v>0</v>
      </c>
      <c r="IU84">
        <v>0</v>
      </c>
      <c r="IV84">
        <v>0</v>
      </c>
      <c r="IW84">
        <v>0</v>
      </c>
      <c r="IX84">
        <v>0</v>
      </c>
      <c r="IY84">
        <v>0</v>
      </c>
      <c r="IZ84">
        <v>0</v>
      </c>
      <c r="JA84">
        <v>0</v>
      </c>
      <c r="JB84">
        <v>0</v>
      </c>
      <c r="JC84">
        <v>0</v>
      </c>
      <c r="JD84">
        <v>0</v>
      </c>
      <c r="JE84">
        <v>0</v>
      </c>
      <c r="JF84">
        <v>0</v>
      </c>
      <c r="JG84">
        <v>0</v>
      </c>
      <c r="JH84">
        <v>0</v>
      </c>
      <c r="JI84">
        <v>0</v>
      </c>
      <c r="JJ84">
        <v>0</v>
      </c>
      <c r="JK84">
        <v>0</v>
      </c>
      <c r="JL84">
        <v>0</v>
      </c>
      <c r="JM84">
        <v>0</v>
      </c>
      <c r="JN84">
        <v>0</v>
      </c>
      <c r="JO84">
        <v>0</v>
      </c>
      <c r="JP84">
        <v>0</v>
      </c>
      <c r="JQ84">
        <v>0</v>
      </c>
      <c r="JR84">
        <v>0</v>
      </c>
      <c r="JS84">
        <v>0</v>
      </c>
      <c r="JT84">
        <v>0</v>
      </c>
      <c r="JU84">
        <v>0</v>
      </c>
      <c r="JV84">
        <v>0</v>
      </c>
      <c r="JW84">
        <v>0</v>
      </c>
      <c r="JX84">
        <v>0</v>
      </c>
      <c r="JY84">
        <v>0</v>
      </c>
      <c r="JZ84">
        <v>0</v>
      </c>
      <c r="KA84">
        <v>0</v>
      </c>
      <c r="KB84">
        <v>0</v>
      </c>
      <c r="KC84">
        <v>0</v>
      </c>
      <c r="KD84">
        <v>0</v>
      </c>
      <c r="KE84">
        <v>0</v>
      </c>
      <c r="KF84">
        <v>0</v>
      </c>
      <c r="KG84">
        <v>0</v>
      </c>
      <c r="KH84">
        <v>0</v>
      </c>
      <c r="KI84">
        <v>0</v>
      </c>
      <c r="KJ84">
        <v>0</v>
      </c>
      <c r="KK84">
        <v>0</v>
      </c>
      <c r="KL84">
        <v>0</v>
      </c>
      <c r="KM84">
        <v>0</v>
      </c>
      <c r="KN84">
        <v>0</v>
      </c>
      <c r="KO84">
        <v>0</v>
      </c>
      <c r="KP84">
        <v>0</v>
      </c>
      <c r="KQ84">
        <v>0</v>
      </c>
      <c r="KR84">
        <v>0</v>
      </c>
      <c r="KS84">
        <v>0</v>
      </c>
      <c r="KT84">
        <v>0</v>
      </c>
      <c r="KU84">
        <v>0</v>
      </c>
      <c r="KV84">
        <v>0</v>
      </c>
      <c r="KW84">
        <v>0</v>
      </c>
      <c r="KX84">
        <v>0</v>
      </c>
      <c r="KY84">
        <v>0</v>
      </c>
      <c r="KZ84">
        <v>0</v>
      </c>
      <c r="LA84">
        <v>0</v>
      </c>
      <c r="LB84">
        <v>0</v>
      </c>
      <c r="LC84">
        <v>0</v>
      </c>
      <c r="LD84">
        <v>0</v>
      </c>
      <c r="LE84">
        <v>0</v>
      </c>
      <c r="LF84">
        <v>0</v>
      </c>
      <c r="LG84">
        <v>0</v>
      </c>
      <c r="LH84">
        <v>0</v>
      </c>
      <c r="LI84">
        <v>0</v>
      </c>
      <c r="LJ84">
        <v>0</v>
      </c>
      <c r="LK84">
        <v>0</v>
      </c>
      <c r="LL84">
        <v>0</v>
      </c>
      <c r="LM84">
        <v>0</v>
      </c>
      <c r="LN84">
        <v>0</v>
      </c>
      <c r="LO84">
        <v>0</v>
      </c>
      <c r="LP84">
        <v>0</v>
      </c>
      <c r="LQ84">
        <v>0</v>
      </c>
      <c r="LR84">
        <v>0</v>
      </c>
      <c r="LS84">
        <v>0</v>
      </c>
      <c r="LT84">
        <v>0</v>
      </c>
      <c r="LU84">
        <v>0</v>
      </c>
      <c r="LV84">
        <v>0</v>
      </c>
      <c r="LW84">
        <v>0</v>
      </c>
      <c r="LX84">
        <v>0</v>
      </c>
      <c r="LY84">
        <v>0</v>
      </c>
      <c r="LZ84">
        <v>0</v>
      </c>
      <c r="MA84">
        <v>0</v>
      </c>
      <c r="MB84">
        <v>0</v>
      </c>
      <c r="MC84">
        <v>0</v>
      </c>
      <c r="MD84">
        <v>0</v>
      </c>
      <c r="ME84">
        <v>0</v>
      </c>
      <c r="MF84">
        <v>0</v>
      </c>
      <c r="MG84">
        <v>0</v>
      </c>
      <c r="MH84">
        <v>0</v>
      </c>
      <c r="MI84">
        <v>0</v>
      </c>
      <c r="MJ84">
        <v>0</v>
      </c>
      <c r="MK84">
        <v>0</v>
      </c>
      <c r="ML84">
        <v>0</v>
      </c>
      <c r="MM84">
        <v>0</v>
      </c>
      <c r="MN84">
        <v>0</v>
      </c>
      <c r="MO84">
        <v>0</v>
      </c>
      <c r="MP84">
        <v>0</v>
      </c>
      <c r="MQ84">
        <v>0</v>
      </c>
      <c r="MR84">
        <v>0</v>
      </c>
      <c r="MS84">
        <v>0</v>
      </c>
      <c r="MT84">
        <v>0</v>
      </c>
      <c r="MU84">
        <v>0</v>
      </c>
      <c r="MV84">
        <v>0</v>
      </c>
      <c r="MW84">
        <v>0</v>
      </c>
      <c r="MX84">
        <v>0</v>
      </c>
      <c r="MY84">
        <v>0</v>
      </c>
      <c r="MZ84">
        <v>0</v>
      </c>
      <c r="NA84">
        <v>0</v>
      </c>
      <c r="NB84">
        <v>0</v>
      </c>
      <c r="NC84">
        <v>0</v>
      </c>
      <c r="ND84">
        <v>0</v>
      </c>
      <c r="NE84">
        <v>0</v>
      </c>
    </row>
    <row r="85" spans="41:369" x14ac:dyDescent="0.45">
      <c r="AO85" t="str">
        <v>B106</v>
      </c>
      <c r="AP85" t="str">
        <v>MUHAMMED ROUHAN M.K</v>
      </c>
      <c r="AQ85" t="str">
        <v>BADF</v>
      </c>
      <c r="AR85" t="str">
        <v>JUNIOR</v>
      </c>
      <c r="AS85">
        <v>3</v>
      </c>
      <c r="AT85">
        <v>27</v>
      </c>
      <c r="AU85">
        <v>0</v>
      </c>
      <c r="AV85">
        <v>27</v>
      </c>
      <c r="AW85">
        <v>27</v>
      </c>
      <c r="AX85">
        <v>55</v>
      </c>
      <c r="AY85" s="5">
        <v>55</v>
      </c>
      <c r="AZ85" t="str">
        <v>JN40</v>
      </c>
      <c r="BA85" t="str">
        <v>SPEECH MLM</v>
      </c>
      <c r="BB85" t="str">
        <v>JUNIOR</v>
      </c>
      <c r="BC85" t="str">
        <v>Single</v>
      </c>
      <c r="BD85" t="str">
        <v>Stage</v>
      </c>
      <c r="BE85">
        <v>3</v>
      </c>
      <c r="BF85" t="str">
        <v>Individual</v>
      </c>
      <c r="BG85" t="str">
        <v>Individual</v>
      </c>
      <c r="BH85" t="str">
        <v>P</v>
      </c>
      <c r="BI85" t="str">
        <v>PUBLISHED</v>
      </c>
      <c r="BK85">
        <v>79</v>
      </c>
      <c r="BL85" t="str">
        <v>JN36</v>
      </c>
      <c r="BM85" t="str">
        <v>SONG ENG</v>
      </c>
      <c r="BN85">
        <v>3</v>
      </c>
      <c r="BO85" t="str">
        <v>Single</v>
      </c>
      <c r="BP85" t="str">
        <v>Stage</v>
      </c>
      <c r="BQ85" t="str">
        <v>JUNIOR</v>
      </c>
      <c r="BR85" t="str">
        <v>B123</v>
      </c>
      <c r="BS85" t="str">
        <v>B135</v>
      </c>
      <c r="BT85" t="str">
        <v>B150</v>
      </c>
      <c r="BU85">
        <v>0</v>
      </c>
      <c r="BV85">
        <v>0</v>
      </c>
      <c r="BW85">
        <v>0</v>
      </c>
      <c r="BX85">
        <v>0</v>
      </c>
      <c r="BY85" t="str">
        <v>B125</v>
      </c>
      <c r="BZ85" t="str">
        <v>B159</v>
      </c>
      <c r="CA85" t="str">
        <v>B161</v>
      </c>
      <c r="CB85">
        <v>0</v>
      </c>
      <c r="CC85">
        <v>0</v>
      </c>
      <c r="CD85">
        <v>0</v>
      </c>
      <c r="CE85">
        <v>0</v>
      </c>
      <c r="CF85" t="str">
        <v>B100</v>
      </c>
      <c r="CG85" t="str">
        <v>B136</v>
      </c>
      <c r="CH85" t="str">
        <v>B151</v>
      </c>
      <c r="CI85">
        <v>0</v>
      </c>
      <c r="CJ85">
        <v>0</v>
      </c>
      <c r="CK85">
        <v>0</v>
      </c>
      <c r="CL85">
        <v>0</v>
      </c>
      <c r="CM85" t="str">
        <v>B116</v>
      </c>
      <c r="CN85" t="str">
        <v>B134</v>
      </c>
      <c r="CO85" t="str">
        <v>B148</v>
      </c>
      <c r="CP85">
        <v>0</v>
      </c>
      <c r="CQ85">
        <v>0</v>
      </c>
      <c r="CR85">
        <v>0</v>
      </c>
      <c r="CS85">
        <v>0</v>
      </c>
      <c r="CT85">
        <v>0</v>
      </c>
      <c r="CU85">
        <v>0</v>
      </c>
      <c r="CV85">
        <v>0</v>
      </c>
      <c r="CW85">
        <v>0</v>
      </c>
      <c r="CX85">
        <v>0</v>
      </c>
      <c r="CY85">
        <v>0</v>
      </c>
      <c r="CZ85">
        <v>0</v>
      </c>
      <c r="DA85">
        <v>0</v>
      </c>
      <c r="DB85">
        <v>0</v>
      </c>
      <c r="DC85">
        <v>0</v>
      </c>
      <c r="DD85">
        <v>0</v>
      </c>
      <c r="DE85">
        <v>0</v>
      </c>
      <c r="DF85">
        <v>0</v>
      </c>
      <c r="DG85">
        <v>0</v>
      </c>
      <c r="DH85">
        <v>0</v>
      </c>
      <c r="DI85">
        <v>0</v>
      </c>
      <c r="DJ85">
        <v>0</v>
      </c>
      <c r="DK85">
        <v>0</v>
      </c>
      <c r="DL85">
        <v>0</v>
      </c>
      <c r="DM85">
        <v>0</v>
      </c>
      <c r="DN85">
        <v>0</v>
      </c>
      <c r="DO85">
        <v>0</v>
      </c>
      <c r="DP85">
        <v>0</v>
      </c>
      <c r="DQ85">
        <v>0</v>
      </c>
      <c r="DR85">
        <v>0</v>
      </c>
      <c r="DS85">
        <v>0</v>
      </c>
      <c r="DT85">
        <v>0</v>
      </c>
      <c r="DU85">
        <v>0</v>
      </c>
      <c r="DV85">
        <v>0</v>
      </c>
      <c r="DW85">
        <v>0</v>
      </c>
      <c r="DX85">
        <v>0</v>
      </c>
      <c r="DY85">
        <v>0</v>
      </c>
      <c r="DZ85">
        <v>0</v>
      </c>
      <c r="EA85">
        <v>0</v>
      </c>
      <c r="EB85">
        <v>0</v>
      </c>
      <c r="EC85">
        <v>0</v>
      </c>
      <c r="ED85">
        <v>0</v>
      </c>
      <c r="EE85">
        <v>0</v>
      </c>
      <c r="EF85">
        <v>0</v>
      </c>
      <c r="EG85">
        <v>0</v>
      </c>
      <c r="EH85">
        <v>0</v>
      </c>
      <c r="EI85">
        <v>0</v>
      </c>
      <c r="EJ85">
        <v>0</v>
      </c>
      <c r="EK85">
        <v>0</v>
      </c>
      <c r="EL85">
        <v>0</v>
      </c>
      <c r="EM85">
        <v>0</v>
      </c>
      <c r="EN85">
        <v>0</v>
      </c>
      <c r="EO85">
        <v>0</v>
      </c>
      <c r="EP85">
        <v>0</v>
      </c>
      <c r="EQ85">
        <v>0</v>
      </c>
      <c r="ER85">
        <v>0</v>
      </c>
      <c r="ES85">
        <v>0</v>
      </c>
      <c r="ET85">
        <v>0</v>
      </c>
      <c r="EU85">
        <v>0</v>
      </c>
      <c r="EV85">
        <v>0</v>
      </c>
      <c r="EW85">
        <v>0</v>
      </c>
      <c r="EX85">
        <v>0</v>
      </c>
      <c r="EY85">
        <v>0</v>
      </c>
      <c r="EZ85">
        <v>0</v>
      </c>
      <c r="FA85">
        <v>0</v>
      </c>
      <c r="FB85">
        <v>0</v>
      </c>
      <c r="FC85">
        <v>0</v>
      </c>
      <c r="FD85">
        <v>0</v>
      </c>
      <c r="FE85">
        <v>0</v>
      </c>
      <c r="FF85">
        <v>0</v>
      </c>
      <c r="FG85">
        <v>0</v>
      </c>
      <c r="FH85">
        <v>0</v>
      </c>
      <c r="FI85">
        <v>0</v>
      </c>
      <c r="FJ85">
        <v>0</v>
      </c>
      <c r="FK85">
        <v>0</v>
      </c>
      <c r="FL85">
        <v>0</v>
      </c>
      <c r="FM85">
        <v>0</v>
      </c>
      <c r="FN85">
        <v>0</v>
      </c>
      <c r="FO85">
        <v>0</v>
      </c>
      <c r="FP85">
        <v>0</v>
      </c>
      <c r="FQ85">
        <v>0</v>
      </c>
      <c r="FR85">
        <v>0</v>
      </c>
      <c r="FS85">
        <v>0</v>
      </c>
      <c r="FT85">
        <v>0</v>
      </c>
      <c r="FU85">
        <v>0</v>
      </c>
      <c r="FV85">
        <v>0</v>
      </c>
      <c r="FW85">
        <v>0</v>
      </c>
      <c r="FX85">
        <v>0</v>
      </c>
      <c r="FY85">
        <v>0</v>
      </c>
      <c r="FZ85">
        <v>0</v>
      </c>
      <c r="GA85">
        <v>0</v>
      </c>
      <c r="GB85">
        <v>0</v>
      </c>
      <c r="GC85">
        <v>0</v>
      </c>
      <c r="GD85">
        <v>0</v>
      </c>
      <c r="GE85">
        <v>0</v>
      </c>
      <c r="GF85">
        <v>0</v>
      </c>
      <c r="GG85">
        <v>0</v>
      </c>
      <c r="GH85">
        <v>0</v>
      </c>
      <c r="GI85">
        <v>0</v>
      </c>
      <c r="GJ85">
        <v>0</v>
      </c>
      <c r="GK85">
        <v>0</v>
      </c>
      <c r="GL85">
        <v>0</v>
      </c>
      <c r="GM85">
        <v>0</v>
      </c>
      <c r="GN85">
        <v>0</v>
      </c>
      <c r="GO85">
        <v>0</v>
      </c>
      <c r="GP85">
        <v>0</v>
      </c>
      <c r="GQ85">
        <v>0</v>
      </c>
      <c r="GR85">
        <v>0</v>
      </c>
      <c r="GS85">
        <v>0</v>
      </c>
      <c r="GT85">
        <v>0</v>
      </c>
      <c r="GU85">
        <v>0</v>
      </c>
      <c r="GV85">
        <v>0</v>
      </c>
      <c r="GW85">
        <v>0</v>
      </c>
      <c r="GX85">
        <v>0</v>
      </c>
      <c r="GY85">
        <v>0</v>
      </c>
      <c r="GZ85">
        <v>0</v>
      </c>
      <c r="HA85">
        <v>0</v>
      </c>
      <c r="HB85">
        <v>0</v>
      </c>
      <c r="HC85">
        <v>0</v>
      </c>
      <c r="HD85">
        <v>0</v>
      </c>
      <c r="HE85">
        <v>0</v>
      </c>
      <c r="HF85">
        <v>0</v>
      </c>
      <c r="HG85">
        <v>0</v>
      </c>
      <c r="HH85">
        <v>0</v>
      </c>
      <c r="HI85">
        <v>0</v>
      </c>
      <c r="HJ85">
        <v>0</v>
      </c>
      <c r="HK85">
        <v>0</v>
      </c>
      <c r="HL85">
        <v>0</v>
      </c>
      <c r="HM85">
        <v>0</v>
      </c>
      <c r="HN85">
        <v>0</v>
      </c>
      <c r="HO85">
        <v>0</v>
      </c>
      <c r="HP85">
        <v>0</v>
      </c>
      <c r="HQ85">
        <v>0</v>
      </c>
      <c r="HR85">
        <v>0</v>
      </c>
      <c r="HS85">
        <v>0</v>
      </c>
      <c r="HT85">
        <v>0</v>
      </c>
      <c r="HU85">
        <v>0</v>
      </c>
      <c r="HV85">
        <v>0</v>
      </c>
      <c r="HW85">
        <v>0</v>
      </c>
      <c r="HX85">
        <v>0</v>
      </c>
      <c r="HY85">
        <v>0</v>
      </c>
      <c r="HZ85">
        <v>0</v>
      </c>
      <c r="IA85">
        <v>0</v>
      </c>
      <c r="IB85">
        <v>0</v>
      </c>
      <c r="IC85">
        <v>0</v>
      </c>
      <c r="ID85">
        <v>0</v>
      </c>
      <c r="IE85">
        <v>0</v>
      </c>
      <c r="IF85">
        <v>0</v>
      </c>
      <c r="IG85">
        <v>0</v>
      </c>
      <c r="IH85">
        <v>0</v>
      </c>
      <c r="II85">
        <v>0</v>
      </c>
      <c r="IJ85">
        <v>0</v>
      </c>
      <c r="IK85">
        <v>0</v>
      </c>
      <c r="IL85">
        <v>0</v>
      </c>
      <c r="IM85">
        <v>0</v>
      </c>
      <c r="IN85">
        <v>0</v>
      </c>
      <c r="IO85">
        <v>0</v>
      </c>
      <c r="IP85">
        <v>0</v>
      </c>
      <c r="IQ85">
        <v>0</v>
      </c>
      <c r="IR85">
        <v>0</v>
      </c>
      <c r="IS85">
        <v>0</v>
      </c>
      <c r="IT85">
        <v>0</v>
      </c>
      <c r="IU85">
        <v>0</v>
      </c>
      <c r="IV85">
        <v>0</v>
      </c>
      <c r="IW85">
        <v>0</v>
      </c>
      <c r="IX85">
        <v>0</v>
      </c>
      <c r="IY85">
        <v>0</v>
      </c>
      <c r="IZ85">
        <v>0</v>
      </c>
      <c r="JA85">
        <v>0</v>
      </c>
      <c r="JB85">
        <v>0</v>
      </c>
      <c r="JC85">
        <v>0</v>
      </c>
      <c r="JD85">
        <v>0</v>
      </c>
      <c r="JE85">
        <v>0</v>
      </c>
      <c r="JF85">
        <v>0</v>
      </c>
      <c r="JG85">
        <v>0</v>
      </c>
      <c r="JH85">
        <v>0</v>
      </c>
      <c r="JI85">
        <v>0</v>
      </c>
      <c r="JJ85">
        <v>0</v>
      </c>
      <c r="JK85">
        <v>0</v>
      </c>
      <c r="JL85">
        <v>0</v>
      </c>
      <c r="JM85">
        <v>0</v>
      </c>
      <c r="JN85">
        <v>0</v>
      </c>
      <c r="JO85">
        <v>0</v>
      </c>
      <c r="JP85">
        <v>0</v>
      </c>
      <c r="JQ85">
        <v>0</v>
      </c>
      <c r="JR85">
        <v>0</v>
      </c>
      <c r="JS85">
        <v>0</v>
      </c>
      <c r="JT85">
        <v>0</v>
      </c>
      <c r="JU85">
        <v>0</v>
      </c>
      <c r="JV85">
        <v>0</v>
      </c>
      <c r="JW85">
        <v>0</v>
      </c>
      <c r="JX85">
        <v>0</v>
      </c>
      <c r="JY85">
        <v>0</v>
      </c>
      <c r="JZ85">
        <v>0</v>
      </c>
      <c r="KA85">
        <v>0</v>
      </c>
      <c r="KB85">
        <v>0</v>
      </c>
      <c r="KC85">
        <v>0</v>
      </c>
      <c r="KD85">
        <v>0</v>
      </c>
      <c r="KE85">
        <v>0</v>
      </c>
      <c r="KF85">
        <v>0</v>
      </c>
      <c r="KG85">
        <v>0</v>
      </c>
      <c r="KH85">
        <v>0</v>
      </c>
      <c r="KI85">
        <v>0</v>
      </c>
      <c r="KJ85">
        <v>0</v>
      </c>
      <c r="KK85">
        <v>0</v>
      </c>
      <c r="KL85">
        <v>0</v>
      </c>
      <c r="KM85">
        <v>0</v>
      </c>
      <c r="KN85">
        <v>0</v>
      </c>
      <c r="KO85">
        <v>0</v>
      </c>
      <c r="KP85">
        <v>0</v>
      </c>
      <c r="KQ85">
        <v>0</v>
      </c>
      <c r="KR85">
        <v>0</v>
      </c>
      <c r="KS85">
        <v>0</v>
      </c>
      <c r="KT85">
        <v>0</v>
      </c>
      <c r="KU85">
        <v>0</v>
      </c>
      <c r="KV85">
        <v>0</v>
      </c>
      <c r="KW85">
        <v>0</v>
      </c>
      <c r="KX85">
        <v>0</v>
      </c>
      <c r="KY85">
        <v>0</v>
      </c>
      <c r="KZ85">
        <v>0</v>
      </c>
      <c r="LA85">
        <v>0</v>
      </c>
      <c r="LB85">
        <v>0</v>
      </c>
      <c r="LC85">
        <v>0</v>
      </c>
      <c r="LD85">
        <v>0</v>
      </c>
      <c r="LE85">
        <v>0</v>
      </c>
      <c r="LF85">
        <v>0</v>
      </c>
      <c r="LG85">
        <v>0</v>
      </c>
      <c r="LH85">
        <v>0</v>
      </c>
      <c r="LI85">
        <v>0</v>
      </c>
      <c r="LJ85">
        <v>0</v>
      </c>
      <c r="LK85">
        <v>0</v>
      </c>
      <c r="LL85">
        <v>0</v>
      </c>
      <c r="LM85">
        <v>0</v>
      </c>
      <c r="LN85">
        <v>0</v>
      </c>
      <c r="LO85">
        <v>0</v>
      </c>
      <c r="LP85">
        <v>0</v>
      </c>
      <c r="LQ85">
        <v>0</v>
      </c>
      <c r="LR85">
        <v>0</v>
      </c>
      <c r="LS85">
        <v>0</v>
      </c>
      <c r="LT85">
        <v>0</v>
      </c>
      <c r="LU85">
        <v>0</v>
      </c>
      <c r="LV85">
        <v>0</v>
      </c>
      <c r="LW85">
        <v>0</v>
      </c>
      <c r="LX85">
        <v>0</v>
      </c>
      <c r="LY85">
        <v>0</v>
      </c>
      <c r="LZ85">
        <v>0</v>
      </c>
      <c r="MA85">
        <v>0</v>
      </c>
      <c r="MB85">
        <v>0</v>
      </c>
      <c r="MC85">
        <v>0</v>
      </c>
      <c r="MD85">
        <v>0</v>
      </c>
      <c r="ME85">
        <v>0</v>
      </c>
      <c r="MF85">
        <v>0</v>
      </c>
      <c r="MG85">
        <v>0</v>
      </c>
      <c r="MH85">
        <v>0</v>
      </c>
      <c r="MI85">
        <v>0</v>
      </c>
      <c r="MJ85">
        <v>0</v>
      </c>
      <c r="MK85">
        <v>0</v>
      </c>
      <c r="ML85">
        <v>0</v>
      </c>
      <c r="MM85">
        <v>0</v>
      </c>
      <c r="MN85">
        <v>0</v>
      </c>
      <c r="MO85">
        <v>0</v>
      </c>
      <c r="MP85">
        <v>0</v>
      </c>
      <c r="MQ85">
        <v>0</v>
      </c>
      <c r="MR85">
        <v>0</v>
      </c>
      <c r="MS85">
        <v>0</v>
      </c>
      <c r="MT85">
        <v>0</v>
      </c>
      <c r="MU85">
        <v>0</v>
      </c>
      <c r="MV85">
        <v>0</v>
      </c>
      <c r="MW85">
        <v>0</v>
      </c>
      <c r="MX85">
        <v>0</v>
      </c>
      <c r="MY85">
        <v>0</v>
      </c>
      <c r="MZ85">
        <v>0</v>
      </c>
      <c r="NA85">
        <v>0</v>
      </c>
      <c r="NB85">
        <v>0</v>
      </c>
      <c r="NC85">
        <v>0</v>
      </c>
      <c r="ND85">
        <v>0</v>
      </c>
      <c r="NE85">
        <v>0</v>
      </c>
    </row>
    <row r="86" spans="41:369" x14ac:dyDescent="0.45">
      <c r="AO86" t="str">
        <v>B107</v>
      </c>
      <c r="AP86" t="str">
        <v>MUHAMMED ZAMIL</v>
      </c>
      <c r="AQ86" t="str">
        <v>JARF</v>
      </c>
      <c r="AR86" t="str">
        <v>JUNIOR</v>
      </c>
      <c r="AS86">
        <v>3</v>
      </c>
      <c r="AT86">
        <v>25</v>
      </c>
      <c r="AU86">
        <v>0</v>
      </c>
      <c r="AV86">
        <v>25</v>
      </c>
      <c r="AW86">
        <v>25</v>
      </c>
      <c r="AX86">
        <v>60</v>
      </c>
      <c r="AY86" s="5">
        <v>60</v>
      </c>
      <c r="AZ86" t="str">
        <v>JN41</v>
      </c>
      <c r="BA86" t="str">
        <v>SPEECH URD</v>
      </c>
      <c r="BB86" t="str">
        <v>JUNIOR</v>
      </c>
      <c r="BC86" t="str">
        <v>Single</v>
      </c>
      <c r="BD86" t="str">
        <v>Stage</v>
      </c>
      <c r="BE86">
        <v>3</v>
      </c>
      <c r="BF86" t="str">
        <v>Individual</v>
      </c>
      <c r="BG86" t="str">
        <v>Individual</v>
      </c>
      <c r="BH86" t="str">
        <v>P</v>
      </c>
      <c r="BI86" t="str">
        <v>PUBLISHED</v>
      </c>
      <c r="BK86">
        <v>80</v>
      </c>
      <c r="BL86" t="str">
        <v>JN37</v>
      </c>
      <c r="BM86" t="str">
        <v>SONG URD</v>
      </c>
      <c r="BN86">
        <v>3</v>
      </c>
      <c r="BO86" t="str">
        <v>Single</v>
      </c>
      <c r="BP86" t="str">
        <v>Stage</v>
      </c>
      <c r="BQ86" t="str">
        <v>JUNIOR</v>
      </c>
      <c r="BR86" t="str">
        <v>B120</v>
      </c>
      <c r="BS86" t="str">
        <v>B141</v>
      </c>
      <c r="BT86" t="str">
        <v>B143</v>
      </c>
      <c r="BU86">
        <v>0</v>
      </c>
      <c r="BV86">
        <v>0</v>
      </c>
      <c r="BW86">
        <v>0</v>
      </c>
      <c r="BX86">
        <v>0</v>
      </c>
      <c r="BY86" t="str">
        <v>B109</v>
      </c>
      <c r="BZ86" t="str">
        <v>B132</v>
      </c>
      <c r="CA86" t="str">
        <v>B154</v>
      </c>
      <c r="CB86">
        <v>0</v>
      </c>
      <c r="CC86">
        <v>0</v>
      </c>
      <c r="CD86">
        <v>0</v>
      </c>
      <c r="CE86">
        <v>0</v>
      </c>
      <c r="CF86" t="str">
        <v>B117</v>
      </c>
      <c r="CG86" t="str">
        <v>B128</v>
      </c>
      <c r="CH86" t="str">
        <v>B153</v>
      </c>
      <c r="CI86">
        <v>0</v>
      </c>
      <c r="CJ86">
        <v>0</v>
      </c>
      <c r="CK86">
        <v>0</v>
      </c>
      <c r="CL86">
        <v>0</v>
      </c>
      <c r="CM86" t="str">
        <v>B105</v>
      </c>
      <c r="CN86" t="str">
        <v>B118</v>
      </c>
      <c r="CO86" t="str">
        <v>B152</v>
      </c>
      <c r="CP86">
        <v>0</v>
      </c>
      <c r="CQ86">
        <v>0</v>
      </c>
      <c r="CR86">
        <v>0</v>
      </c>
      <c r="CS86">
        <v>0</v>
      </c>
      <c r="CT86">
        <v>0</v>
      </c>
      <c r="CU86">
        <v>0</v>
      </c>
      <c r="CV86">
        <v>0</v>
      </c>
      <c r="CW86">
        <v>0</v>
      </c>
      <c r="CX86">
        <v>0</v>
      </c>
      <c r="CY86">
        <v>0</v>
      </c>
      <c r="CZ86">
        <v>0</v>
      </c>
      <c r="DA86">
        <v>0</v>
      </c>
      <c r="DB86">
        <v>0</v>
      </c>
      <c r="DC86">
        <v>0</v>
      </c>
      <c r="DD86">
        <v>0</v>
      </c>
      <c r="DE86">
        <v>0</v>
      </c>
      <c r="DF86">
        <v>0</v>
      </c>
      <c r="DG86">
        <v>0</v>
      </c>
      <c r="DH86">
        <v>0</v>
      </c>
      <c r="DI86">
        <v>0</v>
      </c>
      <c r="DJ86">
        <v>0</v>
      </c>
      <c r="DK86">
        <v>0</v>
      </c>
      <c r="DL86">
        <v>0</v>
      </c>
      <c r="DM86">
        <v>0</v>
      </c>
      <c r="DN86">
        <v>0</v>
      </c>
      <c r="DO86">
        <v>0</v>
      </c>
      <c r="DP86">
        <v>0</v>
      </c>
      <c r="DQ86">
        <v>0</v>
      </c>
      <c r="DR86">
        <v>0</v>
      </c>
      <c r="DS86">
        <v>0</v>
      </c>
      <c r="DT86">
        <v>0</v>
      </c>
      <c r="DU86">
        <v>0</v>
      </c>
      <c r="DV86">
        <v>0</v>
      </c>
      <c r="DW86">
        <v>0</v>
      </c>
      <c r="DX86">
        <v>0</v>
      </c>
      <c r="DY86">
        <v>0</v>
      </c>
      <c r="DZ86">
        <v>0</v>
      </c>
      <c r="EA86">
        <v>0</v>
      </c>
      <c r="EB86">
        <v>0</v>
      </c>
      <c r="EC86">
        <v>0</v>
      </c>
      <c r="ED86">
        <v>0</v>
      </c>
      <c r="EE86">
        <v>0</v>
      </c>
      <c r="EF86">
        <v>0</v>
      </c>
      <c r="EG86">
        <v>0</v>
      </c>
      <c r="EH86">
        <v>0</v>
      </c>
      <c r="EI86">
        <v>0</v>
      </c>
      <c r="EJ86">
        <v>0</v>
      </c>
      <c r="EK86">
        <v>0</v>
      </c>
      <c r="EL86">
        <v>0</v>
      </c>
      <c r="EM86">
        <v>0</v>
      </c>
      <c r="EN86">
        <v>0</v>
      </c>
      <c r="EO86">
        <v>0</v>
      </c>
      <c r="EP86">
        <v>0</v>
      </c>
      <c r="EQ86">
        <v>0</v>
      </c>
      <c r="ER86">
        <v>0</v>
      </c>
      <c r="ES86">
        <v>0</v>
      </c>
      <c r="ET86">
        <v>0</v>
      </c>
      <c r="EU86">
        <v>0</v>
      </c>
      <c r="EV86">
        <v>0</v>
      </c>
      <c r="EW86">
        <v>0</v>
      </c>
      <c r="EX86">
        <v>0</v>
      </c>
      <c r="EY86">
        <v>0</v>
      </c>
      <c r="EZ86">
        <v>0</v>
      </c>
      <c r="FA86">
        <v>0</v>
      </c>
      <c r="FB86">
        <v>0</v>
      </c>
      <c r="FC86">
        <v>0</v>
      </c>
      <c r="FD86">
        <v>0</v>
      </c>
      <c r="FE86">
        <v>0</v>
      </c>
      <c r="FF86">
        <v>0</v>
      </c>
      <c r="FG86">
        <v>0</v>
      </c>
      <c r="FH86">
        <v>0</v>
      </c>
      <c r="FI86">
        <v>0</v>
      </c>
      <c r="FJ86">
        <v>0</v>
      </c>
      <c r="FK86">
        <v>0</v>
      </c>
      <c r="FL86">
        <v>0</v>
      </c>
      <c r="FM86">
        <v>0</v>
      </c>
      <c r="FN86">
        <v>0</v>
      </c>
      <c r="FO86">
        <v>0</v>
      </c>
      <c r="FP86">
        <v>0</v>
      </c>
      <c r="FQ86">
        <v>0</v>
      </c>
      <c r="FR86">
        <v>0</v>
      </c>
      <c r="FS86">
        <v>0</v>
      </c>
      <c r="FT86">
        <v>0</v>
      </c>
      <c r="FU86">
        <v>0</v>
      </c>
      <c r="FV86">
        <v>0</v>
      </c>
      <c r="FW86">
        <v>0</v>
      </c>
      <c r="FX86">
        <v>0</v>
      </c>
      <c r="FY86">
        <v>0</v>
      </c>
      <c r="FZ86">
        <v>0</v>
      </c>
      <c r="GA86">
        <v>0</v>
      </c>
      <c r="GB86">
        <v>0</v>
      </c>
      <c r="GC86">
        <v>0</v>
      </c>
      <c r="GD86">
        <v>0</v>
      </c>
      <c r="GE86">
        <v>0</v>
      </c>
      <c r="GF86">
        <v>0</v>
      </c>
      <c r="GG86">
        <v>0</v>
      </c>
      <c r="GH86">
        <v>0</v>
      </c>
      <c r="GI86">
        <v>0</v>
      </c>
      <c r="GJ86">
        <v>0</v>
      </c>
      <c r="GK86">
        <v>0</v>
      </c>
      <c r="GL86">
        <v>0</v>
      </c>
      <c r="GM86">
        <v>0</v>
      </c>
      <c r="GN86">
        <v>0</v>
      </c>
      <c r="GO86">
        <v>0</v>
      </c>
      <c r="GP86">
        <v>0</v>
      </c>
      <c r="GQ86">
        <v>0</v>
      </c>
      <c r="GR86">
        <v>0</v>
      </c>
      <c r="GS86">
        <v>0</v>
      </c>
      <c r="GT86">
        <v>0</v>
      </c>
      <c r="GU86">
        <v>0</v>
      </c>
      <c r="GV86">
        <v>0</v>
      </c>
      <c r="GW86">
        <v>0</v>
      </c>
      <c r="GX86">
        <v>0</v>
      </c>
      <c r="GY86">
        <v>0</v>
      </c>
      <c r="GZ86">
        <v>0</v>
      </c>
      <c r="HA86">
        <v>0</v>
      </c>
      <c r="HB86">
        <v>0</v>
      </c>
      <c r="HC86">
        <v>0</v>
      </c>
      <c r="HD86">
        <v>0</v>
      </c>
      <c r="HE86">
        <v>0</v>
      </c>
      <c r="HF86">
        <v>0</v>
      </c>
      <c r="HG86">
        <v>0</v>
      </c>
      <c r="HH86">
        <v>0</v>
      </c>
      <c r="HI86">
        <v>0</v>
      </c>
      <c r="HJ86">
        <v>0</v>
      </c>
      <c r="HK86">
        <v>0</v>
      </c>
      <c r="HL86">
        <v>0</v>
      </c>
      <c r="HM86">
        <v>0</v>
      </c>
      <c r="HN86">
        <v>0</v>
      </c>
      <c r="HO86">
        <v>0</v>
      </c>
      <c r="HP86">
        <v>0</v>
      </c>
      <c r="HQ86">
        <v>0</v>
      </c>
      <c r="HR86">
        <v>0</v>
      </c>
      <c r="HS86">
        <v>0</v>
      </c>
      <c r="HT86">
        <v>0</v>
      </c>
      <c r="HU86">
        <v>0</v>
      </c>
      <c r="HV86">
        <v>0</v>
      </c>
      <c r="HW86">
        <v>0</v>
      </c>
      <c r="HX86">
        <v>0</v>
      </c>
      <c r="HY86">
        <v>0</v>
      </c>
      <c r="HZ86">
        <v>0</v>
      </c>
      <c r="IA86">
        <v>0</v>
      </c>
      <c r="IB86">
        <v>0</v>
      </c>
      <c r="IC86">
        <v>0</v>
      </c>
      <c r="ID86">
        <v>0</v>
      </c>
      <c r="IE86">
        <v>0</v>
      </c>
      <c r="IF86">
        <v>0</v>
      </c>
      <c r="IG86">
        <v>0</v>
      </c>
      <c r="IH86">
        <v>0</v>
      </c>
      <c r="II86">
        <v>0</v>
      </c>
      <c r="IJ86">
        <v>0</v>
      </c>
      <c r="IK86">
        <v>0</v>
      </c>
      <c r="IL86">
        <v>0</v>
      </c>
      <c r="IM86">
        <v>0</v>
      </c>
      <c r="IN86">
        <v>0</v>
      </c>
      <c r="IO86">
        <v>0</v>
      </c>
      <c r="IP86">
        <v>0</v>
      </c>
      <c r="IQ86">
        <v>0</v>
      </c>
      <c r="IR86">
        <v>0</v>
      </c>
      <c r="IS86">
        <v>0</v>
      </c>
      <c r="IT86">
        <v>0</v>
      </c>
      <c r="IU86">
        <v>0</v>
      </c>
      <c r="IV86">
        <v>0</v>
      </c>
      <c r="IW86">
        <v>0</v>
      </c>
      <c r="IX86">
        <v>0</v>
      </c>
      <c r="IY86">
        <v>0</v>
      </c>
      <c r="IZ86">
        <v>0</v>
      </c>
      <c r="JA86">
        <v>0</v>
      </c>
      <c r="JB86">
        <v>0</v>
      </c>
      <c r="JC86">
        <v>0</v>
      </c>
      <c r="JD86">
        <v>0</v>
      </c>
      <c r="JE86">
        <v>0</v>
      </c>
      <c r="JF86">
        <v>0</v>
      </c>
      <c r="JG86">
        <v>0</v>
      </c>
      <c r="JH86">
        <v>0</v>
      </c>
      <c r="JI86">
        <v>0</v>
      </c>
      <c r="JJ86">
        <v>0</v>
      </c>
      <c r="JK86">
        <v>0</v>
      </c>
      <c r="JL86">
        <v>0</v>
      </c>
      <c r="JM86">
        <v>0</v>
      </c>
      <c r="JN86">
        <v>0</v>
      </c>
      <c r="JO86">
        <v>0</v>
      </c>
      <c r="JP86">
        <v>0</v>
      </c>
      <c r="JQ86">
        <v>0</v>
      </c>
      <c r="JR86">
        <v>0</v>
      </c>
      <c r="JS86">
        <v>0</v>
      </c>
      <c r="JT86">
        <v>0</v>
      </c>
      <c r="JU86">
        <v>0</v>
      </c>
      <c r="JV86">
        <v>0</v>
      </c>
      <c r="JW86">
        <v>0</v>
      </c>
      <c r="JX86">
        <v>0</v>
      </c>
      <c r="JY86">
        <v>0</v>
      </c>
      <c r="JZ86">
        <v>0</v>
      </c>
      <c r="KA86">
        <v>0</v>
      </c>
      <c r="KB86">
        <v>0</v>
      </c>
      <c r="KC86">
        <v>0</v>
      </c>
      <c r="KD86">
        <v>0</v>
      </c>
      <c r="KE86">
        <v>0</v>
      </c>
      <c r="KF86">
        <v>0</v>
      </c>
      <c r="KG86">
        <v>0</v>
      </c>
      <c r="KH86">
        <v>0</v>
      </c>
      <c r="KI86">
        <v>0</v>
      </c>
      <c r="KJ86">
        <v>0</v>
      </c>
      <c r="KK86">
        <v>0</v>
      </c>
      <c r="KL86">
        <v>0</v>
      </c>
      <c r="KM86">
        <v>0</v>
      </c>
      <c r="KN86">
        <v>0</v>
      </c>
      <c r="KO86">
        <v>0</v>
      </c>
      <c r="KP86">
        <v>0</v>
      </c>
      <c r="KQ86">
        <v>0</v>
      </c>
      <c r="KR86">
        <v>0</v>
      </c>
      <c r="KS86">
        <v>0</v>
      </c>
      <c r="KT86">
        <v>0</v>
      </c>
      <c r="KU86">
        <v>0</v>
      </c>
      <c r="KV86">
        <v>0</v>
      </c>
      <c r="KW86">
        <v>0</v>
      </c>
      <c r="KX86">
        <v>0</v>
      </c>
      <c r="KY86">
        <v>0</v>
      </c>
      <c r="KZ86">
        <v>0</v>
      </c>
      <c r="LA86">
        <v>0</v>
      </c>
      <c r="LB86">
        <v>0</v>
      </c>
      <c r="LC86">
        <v>0</v>
      </c>
      <c r="LD86">
        <v>0</v>
      </c>
      <c r="LE86">
        <v>0</v>
      </c>
      <c r="LF86">
        <v>0</v>
      </c>
      <c r="LG86">
        <v>0</v>
      </c>
      <c r="LH86">
        <v>0</v>
      </c>
      <c r="LI86">
        <v>0</v>
      </c>
      <c r="LJ86">
        <v>0</v>
      </c>
      <c r="LK86">
        <v>0</v>
      </c>
      <c r="LL86">
        <v>0</v>
      </c>
      <c r="LM86">
        <v>0</v>
      </c>
      <c r="LN86">
        <v>0</v>
      </c>
      <c r="LO86">
        <v>0</v>
      </c>
      <c r="LP86">
        <v>0</v>
      </c>
      <c r="LQ86">
        <v>0</v>
      </c>
      <c r="LR86">
        <v>0</v>
      </c>
      <c r="LS86">
        <v>0</v>
      </c>
      <c r="LT86">
        <v>0</v>
      </c>
      <c r="LU86">
        <v>0</v>
      </c>
      <c r="LV86">
        <v>0</v>
      </c>
      <c r="LW86">
        <v>0</v>
      </c>
      <c r="LX86">
        <v>0</v>
      </c>
      <c r="LY86">
        <v>0</v>
      </c>
      <c r="LZ86">
        <v>0</v>
      </c>
      <c r="MA86">
        <v>0</v>
      </c>
      <c r="MB86">
        <v>0</v>
      </c>
      <c r="MC86">
        <v>0</v>
      </c>
      <c r="MD86">
        <v>0</v>
      </c>
      <c r="ME86">
        <v>0</v>
      </c>
      <c r="MF86">
        <v>0</v>
      </c>
      <c r="MG86">
        <v>0</v>
      </c>
      <c r="MH86">
        <v>0</v>
      </c>
      <c r="MI86">
        <v>0</v>
      </c>
      <c r="MJ86">
        <v>0</v>
      </c>
      <c r="MK86">
        <v>0</v>
      </c>
      <c r="ML86">
        <v>0</v>
      </c>
      <c r="MM86">
        <v>0</v>
      </c>
      <c r="MN86">
        <v>0</v>
      </c>
      <c r="MO86">
        <v>0</v>
      </c>
      <c r="MP86">
        <v>0</v>
      </c>
      <c r="MQ86">
        <v>0</v>
      </c>
      <c r="MR86">
        <v>0</v>
      </c>
      <c r="MS86">
        <v>0</v>
      </c>
      <c r="MT86">
        <v>0</v>
      </c>
      <c r="MU86">
        <v>0</v>
      </c>
      <c r="MV86">
        <v>0</v>
      </c>
      <c r="MW86">
        <v>0</v>
      </c>
      <c r="MX86">
        <v>0</v>
      </c>
      <c r="MY86">
        <v>0</v>
      </c>
      <c r="MZ86">
        <v>0</v>
      </c>
      <c r="NA86">
        <v>0</v>
      </c>
      <c r="NB86">
        <v>0</v>
      </c>
      <c r="NC86">
        <v>0</v>
      </c>
      <c r="ND86">
        <v>0</v>
      </c>
      <c r="NE86">
        <v>0</v>
      </c>
    </row>
    <row r="87" spans="41:369" x14ac:dyDescent="0.45">
      <c r="AO87" t="str">
        <v>B108</v>
      </c>
      <c r="AP87" t="str">
        <v>ABDUL RAHIMAN FAIZ T A</v>
      </c>
      <c r="AQ87" t="str">
        <v>JARF</v>
      </c>
      <c r="AR87" t="str">
        <v>JUNIOR</v>
      </c>
      <c r="AS87">
        <v>3</v>
      </c>
      <c r="AT87">
        <v>15</v>
      </c>
      <c r="AU87">
        <v>0</v>
      </c>
      <c r="AV87">
        <v>15</v>
      </c>
      <c r="AW87">
        <v>15</v>
      </c>
      <c r="AX87">
        <v>100</v>
      </c>
      <c r="AY87" s="5">
        <v>100</v>
      </c>
      <c r="AZ87" t="str">
        <v>JN42</v>
      </c>
      <c r="BA87" t="str">
        <v>WAʿẒ</v>
      </c>
      <c r="BB87" t="str">
        <v>JUNIOR</v>
      </c>
      <c r="BC87" t="str">
        <v>Single</v>
      </c>
      <c r="BD87" t="str">
        <v>Stage</v>
      </c>
      <c r="BE87">
        <v>3</v>
      </c>
      <c r="BF87" t="str">
        <v>Individual</v>
      </c>
      <c r="BG87" t="str">
        <v>Individual</v>
      </c>
      <c r="BH87" t="str">
        <v>P</v>
      </c>
      <c r="BI87" t="str">
        <v>PUBLISHED</v>
      </c>
      <c r="BK87">
        <v>81</v>
      </c>
      <c r="BL87" t="str">
        <v>JN38</v>
      </c>
      <c r="BM87" t="str">
        <v>SPEECH ARB</v>
      </c>
      <c r="BN87">
        <v>3</v>
      </c>
      <c r="BO87" t="str">
        <v>Single</v>
      </c>
      <c r="BP87" t="str">
        <v>Stage</v>
      </c>
      <c r="BQ87" t="str">
        <v>JUNIOR</v>
      </c>
      <c r="BR87" t="str">
        <v>B135</v>
      </c>
      <c r="BS87" t="str">
        <v>B144</v>
      </c>
      <c r="BT87" t="str">
        <v>B145</v>
      </c>
      <c r="BU87">
        <v>0</v>
      </c>
      <c r="BV87">
        <v>0</v>
      </c>
      <c r="BW87">
        <v>0</v>
      </c>
      <c r="BX87">
        <v>0</v>
      </c>
      <c r="BY87" t="str">
        <v>B149</v>
      </c>
      <c r="BZ87" t="str">
        <v>B155</v>
      </c>
      <c r="CA87" t="str">
        <v>B158</v>
      </c>
      <c r="CB87">
        <v>0</v>
      </c>
      <c r="CC87">
        <v>0</v>
      </c>
      <c r="CD87">
        <v>0</v>
      </c>
      <c r="CE87">
        <v>0</v>
      </c>
      <c r="CF87" t="str">
        <v>B121</v>
      </c>
      <c r="CG87" t="str">
        <v>B128</v>
      </c>
      <c r="CH87" t="str">
        <v>B138</v>
      </c>
      <c r="CI87">
        <v>0</v>
      </c>
      <c r="CJ87">
        <v>0</v>
      </c>
      <c r="CK87">
        <v>0</v>
      </c>
      <c r="CL87">
        <v>0</v>
      </c>
      <c r="CM87" t="str">
        <v>B116</v>
      </c>
      <c r="CN87" t="str">
        <v>B162</v>
      </c>
      <c r="CO87" t="str">
        <v>B163</v>
      </c>
      <c r="CP87">
        <v>0</v>
      </c>
      <c r="CQ87">
        <v>0</v>
      </c>
      <c r="CR87">
        <v>0</v>
      </c>
      <c r="CS87">
        <v>0</v>
      </c>
      <c r="CT87">
        <v>0</v>
      </c>
      <c r="CU87">
        <v>0</v>
      </c>
      <c r="CV87">
        <v>0</v>
      </c>
      <c r="CW87">
        <v>0</v>
      </c>
      <c r="CX87">
        <v>0</v>
      </c>
      <c r="CY87">
        <v>0</v>
      </c>
      <c r="CZ87">
        <v>0</v>
      </c>
      <c r="DA87">
        <v>0</v>
      </c>
      <c r="DB87">
        <v>0</v>
      </c>
      <c r="DC87">
        <v>0</v>
      </c>
      <c r="DD87">
        <v>0</v>
      </c>
      <c r="DE87">
        <v>0</v>
      </c>
      <c r="DF87">
        <v>0</v>
      </c>
      <c r="DG87">
        <v>0</v>
      </c>
      <c r="DH87">
        <v>0</v>
      </c>
      <c r="DI87">
        <v>0</v>
      </c>
      <c r="DJ87">
        <v>0</v>
      </c>
      <c r="DK87">
        <v>0</v>
      </c>
      <c r="DL87">
        <v>0</v>
      </c>
      <c r="DM87">
        <v>0</v>
      </c>
      <c r="DN87">
        <v>0</v>
      </c>
      <c r="DO87">
        <v>0</v>
      </c>
      <c r="DP87">
        <v>0</v>
      </c>
      <c r="DQ87">
        <v>0</v>
      </c>
      <c r="DR87">
        <v>0</v>
      </c>
      <c r="DS87">
        <v>0</v>
      </c>
      <c r="DT87">
        <v>0</v>
      </c>
      <c r="DU87">
        <v>0</v>
      </c>
      <c r="DV87">
        <v>0</v>
      </c>
      <c r="DW87">
        <v>0</v>
      </c>
      <c r="DX87">
        <v>0</v>
      </c>
      <c r="DY87">
        <v>0</v>
      </c>
      <c r="DZ87">
        <v>0</v>
      </c>
      <c r="EA87">
        <v>0</v>
      </c>
      <c r="EB87">
        <v>0</v>
      </c>
      <c r="EC87">
        <v>0</v>
      </c>
      <c r="ED87">
        <v>0</v>
      </c>
      <c r="EE87">
        <v>0</v>
      </c>
      <c r="EF87">
        <v>0</v>
      </c>
      <c r="EG87">
        <v>0</v>
      </c>
      <c r="EH87">
        <v>0</v>
      </c>
      <c r="EI87">
        <v>0</v>
      </c>
      <c r="EJ87">
        <v>0</v>
      </c>
      <c r="EK87">
        <v>0</v>
      </c>
      <c r="EL87">
        <v>0</v>
      </c>
      <c r="EM87">
        <v>0</v>
      </c>
      <c r="EN87">
        <v>0</v>
      </c>
      <c r="EO87">
        <v>0</v>
      </c>
      <c r="EP87">
        <v>0</v>
      </c>
      <c r="EQ87">
        <v>0</v>
      </c>
      <c r="ER87">
        <v>0</v>
      </c>
      <c r="ES87">
        <v>0</v>
      </c>
      <c r="ET87">
        <v>0</v>
      </c>
      <c r="EU87">
        <v>0</v>
      </c>
      <c r="EV87">
        <v>0</v>
      </c>
      <c r="EW87">
        <v>0</v>
      </c>
      <c r="EX87">
        <v>0</v>
      </c>
      <c r="EY87">
        <v>0</v>
      </c>
      <c r="EZ87">
        <v>0</v>
      </c>
      <c r="FA87">
        <v>0</v>
      </c>
      <c r="FB87">
        <v>0</v>
      </c>
      <c r="FC87">
        <v>0</v>
      </c>
      <c r="FD87">
        <v>0</v>
      </c>
      <c r="FE87">
        <v>0</v>
      </c>
      <c r="FF87">
        <v>0</v>
      </c>
      <c r="FG87">
        <v>0</v>
      </c>
      <c r="FH87">
        <v>0</v>
      </c>
      <c r="FI87">
        <v>0</v>
      </c>
      <c r="FJ87">
        <v>0</v>
      </c>
      <c r="FK87">
        <v>0</v>
      </c>
      <c r="FL87">
        <v>0</v>
      </c>
      <c r="FM87">
        <v>0</v>
      </c>
      <c r="FN87">
        <v>0</v>
      </c>
      <c r="FO87">
        <v>0</v>
      </c>
      <c r="FP87">
        <v>0</v>
      </c>
      <c r="FQ87">
        <v>0</v>
      </c>
      <c r="FR87">
        <v>0</v>
      </c>
      <c r="FS87">
        <v>0</v>
      </c>
      <c r="FT87">
        <v>0</v>
      </c>
      <c r="FU87">
        <v>0</v>
      </c>
      <c r="FV87">
        <v>0</v>
      </c>
      <c r="FW87">
        <v>0</v>
      </c>
      <c r="FX87">
        <v>0</v>
      </c>
      <c r="FY87">
        <v>0</v>
      </c>
      <c r="FZ87">
        <v>0</v>
      </c>
      <c r="GA87">
        <v>0</v>
      </c>
      <c r="GB87">
        <v>0</v>
      </c>
      <c r="GC87">
        <v>0</v>
      </c>
      <c r="GD87">
        <v>0</v>
      </c>
      <c r="GE87">
        <v>0</v>
      </c>
      <c r="GF87">
        <v>0</v>
      </c>
      <c r="GG87">
        <v>0</v>
      </c>
      <c r="GH87">
        <v>0</v>
      </c>
      <c r="GI87">
        <v>0</v>
      </c>
      <c r="GJ87">
        <v>0</v>
      </c>
      <c r="GK87">
        <v>0</v>
      </c>
      <c r="GL87">
        <v>0</v>
      </c>
      <c r="GM87">
        <v>0</v>
      </c>
      <c r="GN87">
        <v>0</v>
      </c>
      <c r="GO87">
        <v>0</v>
      </c>
      <c r="GP87">
        <v>0</v>
      </c>
      <c r="GQ87">
        <v>0</v>
      </c>
      <c r="GR87">
        <v>0</v>
      </c>
      <c r="GS87">
        <v>0</v>
      </c>
      <c r="GT87">
        <v>0</v>
      </c>
      <c r="GU87">
        <v>0</v>
      </c>
      <c r="GV87">
        <v>0</v>
      </c>
      <c r="GW87">
        <v>0</v>
      </c>
      <c r="GX87">
        <v>0</v>
      </c>
      <c r="GY87">
        <v>0</v>
      </c>
      <c r="GZ87">
        <v>0</v>
      </c>
      <c r="HA87">
        <v>0</v>
      </c>
      <c r="HB87">
        <v>0</v>
      </c>
      <c r="HC87">
        <v>0</v>
      </c>
      <c r="HD87">
        <v>0</v>
      </c>
      <c r="HE87">
        <v>0</v>
      </c>
      <c r="HF87">
        <v>0</v>
      </c>
      <c r="HG87">
        <v>0</v>
      </c>
      <c r="HH87">
        <v>0</v>
      </c>
      <c r="HI87">
        <v>0</v>
      </c>
      <c r="HJ87">
        <v>0</v>
      </c>
      <c r="HK87">
        <v>0</v>
      </c>
      <c r="HL87">
        <v>0</v>
      </c>
      <c r="HM87">
        <v>0</v>
      </c>
      <c r="HN87">
        <v>0</v>
      </c>
      <c r="HO87">
        <v>0</v>
      </c>
      <c r="HP87">
        <v>0</v>
      </c>
      <c r="HQ87">
        <v>0</v>
      </c>
      <c r="HR87">
        <v>0</v>
      </c>
      <c r="HS87">
        <v>0</v>
      </c>
      <c r="HT87">
        <v>0</v>
      </c>
      <c r="HU87">
        <v>0</v>
      </c>
      <c r="HV87">
        <v>0</v>
      </c>
      <c r="HW87">
        <v>0</v>
      </c>
      <c r="HX87">
        <v>0</v>
      </c>
      <c r="HY87">
        <v>0</v>
      </c>
      <c r="HZ87">
        <v>0</v>
      </c>
      <c r="IA87">
        <v>0</v>
      </c>
      <c r="IB87">
        <v>0</v>
      </c>
      <c r="IC87">
        <v>0</v>
      </c>
      <c r="ID87">
        <v>0</v>
      </c>
      <c r="IE87">
        <v>0</v>
      </c>
      <c r="IF87">
        <v>0</v>
      </c>
      <c r="IG87">
        <v>0</v>
      </c>
      <c r="IH87">
        <v>0</v>
      </c>
      <c r="II87">
        <v>0</v>
      </c>
      <c r="IJ87">
        <v>0</v>
      </c>
      <c r="IK87">
        <v>0</v>
      </c>
      <c r="IL87">
        <v>0</v>
      </c>
      <c r="IM87">
        <v>0</v>
      </c>
      <c r="IN87">
        <v>0</v>
      </c>
      <c r="IO87">
        <v>0</v>
      </c>
      <c r="IP87">
        <v>0</v>
      </c>
      <c r="IQ87">
        <v>0</v>
      </c>
      <c r="IR87">
        <v>0</v>
      </c>
      <c r="IS87">
        <v>0</v>
      </c>
      <c r="IT87">
        <v>0</v>
      </c>
      <c r="IU87">
        <v>0</v>
      </c>
      <c r="IV87">
        <v>0</v>
      </c>
      <c r="IW87">
        <v>0</v>
      </c>
      <c r="IX87">
        <v>0</v>
      </c>
      <c r="IY87">
        <v>0</v>
      </c>
      <c r="IZ87">
        <v>0</v>
      </c>
      <c r="JA87">
        <v>0</v>
      </c>
      <c r="JB87">
        <v>0</v>
      </c>
      <c r="JC87">
        <v>0</v>
      </c>
      <c r="JD87">
        <v>0</v>
      </c>
      <c r="JE87">
        <v>0</v>
      </c>
      <c r="JF87">
        <v>0</v>
      </c>
      <c r="JG87">
        <v>0</v>
      </c>
      <c r="JH87">
        <v>0</v>
      </c>
      <c r="JI87">
        <v>0</v>
      </c>
      <c r="JJ87">
        <v>0</v>
      </c>
      <c r="JK87">
        <v>0</v>
      </c>
      <c r="JL87">
        <v>0</v>
      </c>
      <c r="JM87">
        <v>0</v>
      </c>
      <c r="JN87">
        <v>0</v>
      </c>
      <c r="JO87">
        <v>0</v>
      </c>
      <c r="JP87">
        <v>0</v>
      </c>
      <c r="JQ87">
        <v>0</v>
      </c>
      <c r="JR87">
        <v>0</v>
      </c>
      <c r="JS87">
        <v>0</v>
      </c>
      <c r="JT87">
        <v>0</v>
      </c>
      <c r="JU87">
        <v>0</v>
      </c>
      <c r="JV87">
        <v>0</v>
      </c>
      <c r="JW87">
        <v>0</v>
      </c>
      <c r="JX87">
        <v>0</v>
      </c>
      <c r="JY87">
        <v>0</v>
      </c>
      <c r="JZ87">
        <v>0</v>
      </c>
      <c r="KA87">
        <v>0</v>
      </c>
      <c r="KB87">
        <v>0</v>
      </c>
      <c r="KC87">
        <v>0</v>
      </c>
      <c r="KD87">
        <v>0</v>
      </c>
      <c r="KE87">
        <v>0</v>
      </c>
      <c r="KF87">
        <v>0</v>
      </c>
      <c r="KG87">
        <v>0</v>
      </c>
      <c r="KH87">
        <v>0</v>
      </c>
      <c r="KI87">
        <v>0</v>
      </c>
      <c r="KJ87">
        <v>0</v>
      </c>
      <c r="KK87">
        <v>0</v>
      </c>
      <c r="KL87">
        <v>0</v>
      </c>
      <c r="KM87">
        <v>0</v>
      </c>
      <c r="KN87">
        <v>0</v>
      </c>
      <c r="KO87">
        <v>0</v>
      </c>
      <c r="KP87">
        <v>0</v>
      </c>
      <c r="KQ87">
        <v>0</v>
      </c>
      <c r="KR87">
        <v>0</v>
      </c>
      <c r="KS87">
        <v>0</v>
      </c>
      <c r="KT87">
        <v>0</v>
      </c>
      <c r="KU87">
        <v>0</v>
      </c>
      <c r="KV87">
        <v>0</v>
      </c>
      <c r="KW87">
        <v>0</v>
      </c>
      <c r="KX87">
        <v>0</v>
      </c>
      <c r="KY87">
        <v>0</v>
      </c>
      <c r="KZ87">
        <v>0</v>
      </c>
      <c r="LA87">
        <v>0</v>
      </c>
      <c r="LB87">
        <v>0</v>
      </c>
      <c r="LC87">
        <v>0</v>
      </c>
      <c r="LD87">
        <v>0</v>
      </c>
      <c r="LE87">
        <v>0</v>
      </c>
      <c r="LF87">
        <v>0</v>
      </c>
      <c r="LG87">
        <v>0</v>
      </c>
      <c r="LH87">
        <v>0</v>
      </c>
      <c r="LI87">
        <v>0</v>
      </c>
      <c r="LJ87">
        <v>0</v>
      </c>
      <c r="LK87">
        <v>0</v>
      </c>
      <c r="LL87">
        <v>0</v>
      </c>
      <c r="LM87">
        <v>0</v>
      </c>
      <c r="LN87">
        <v>0</v>
      </c>
      <c r="LO87">
        <v>0</v>
      </c>
      <c r="LP87">
        <v>0</v>
      </c>
      <c r="LQ87">
        <v>0</v>
      </c>
      <c r="LR87">
        <v>0</v>
      </c>
      <c r="LS87">
        <v>0</v>
      </c>
      <c r="LT87">
        <v>0</v>
      </c>
      <c r="LU87">
        <v>0</v>
      </c>
      <c r="LV87">
        <v>0</v>
      </c>
      <c r="LW87">
        <v>0</v>
      </c>
      <c r="LX87">
        <v>0</v>
      </c>
      <c r="LY87">
        <v>0</v>
      </c>
      <c r="LZ87">
        <v>0</v>
      </c>
      <c r="MA87">
        <v>0</v>
      </c>
      <c r="MB87">
        <v>0</v>
      </c>
      <c r="MC87">
        <v>0</v>
      </c>
      <c r="MD87">
        <v>0</v>
      </c>
      <c r="ME87">
        <v>0</v>
      </c>
      <c r="MF87">
        <v>0</v>
      </c>
      <c r="MG87">
        <v>0</v>
      </c>
      <c r="MH87">
        <v>0</v>
      </c>
      <c r="MI87">
        <v>0</v>
      </c>
      <c r="MJ87">
        <v>0</v>
      </c>
      <c r="MK87">
        <v>0</v>
      </c>
      <c r="ML87">
        <v>0</v>
      </c>
      <c r="MM87">
        <v>0</v>
      </c>
      <c r="MN87">
        <v>0</v>
      </c>
      <c r="MO87">
        <v>0</v>
      </c>
      <c r="MP87">
        <v>0</v>
      </c>
      <c r="MQ87">
        <v>0</v>
      </c>
      <c r="MR87">
        <v>0</v>
      </c>
      <c r="MS87">
        <v>0</v>
      </c>
      <c r="MT87">
        <v>0</v>
      </c>
      <c r="MU87">
        <v>0</v>
      </c>
      <c r="MV87">
        <v>0</v>
      </c>
      <c r="MW87">
        <v>0</v>
      </c>
      <c r="MX87">
        <v>0</v>
      </c>
      <c r="MY87">
        <v>0</v>
      </c>
      <c r="MZ87">
        <v>0</v>
      </c>
      <c r="NA87">
        <v>0</v>
      </c>
      <c r="NB87">
        <v>0</v>
      </c>
      <c r="NC87">
        <v>0</v>
      </c>
      <c r="ND87">
        <v>0</v>
      </c>
      <c r="NE87">
        <v>0</v>
      </c>
    </row>
    <row r="88" spans="41:369" x14ac:dyDescent="0.45">
      <c r="AO88" t="str">
        <v>B109</v>
      </c>
      <c r="AP88" t="str">
        <v>AHAMMED SAFAR ZAKARIYA</v>
      </c>
      <c r="AQ88" t="str">
        <v>DAHF</v>
      </c>
      <c r="AR88" t="str">
        <v>JUNIOR</v>
      </c>
      <c r="AS88">
        <v>3</v>
      </c>
      <c r="AT88">
        <v>41</v>
      </c>
      <c r="AU88">
        <v>0</v>
      </c>
      <c r="AV88">
        <v>41</v>
      </c>
      <c r="AW88">
        <v>41</v>
      </c>
      <c r="AX88">
        <v>21</v>
      </c>
      <c r="AY88" s="5">
        <v>21</v>
      </c>
      <c r="AZ88" t="str">
        <v>JN43</v>
      </c>
      <c r="BA88" t="str">
        <v>WORD FIGHT ENG</v>
      </c>
      <c r="BB88" t="str">
        <v>JUNIOR</v>
      </c>
      <c r="BC88" t="str">
        <v>Single</v>
      </c>
      <c r="BD88" t="str">
        <v>Stage</v>
      </c>
      <c r="BE88">
        <v>3</v>
      </c>
      <c r="BF88" t="str">
        <v>Individual</v>
      </c>
      <c r="BG88" t="str">
        <v>Individual</v>
      </c>
      <c r="BH88" t="str">
        <v>P</v>
      </c>
      <c r="BI88" t="str">
        <v>PUBLISHED</v>
      </c>
      <c r="BK88">
        <v>82</v>
      </c>
      <c r="BL88" t="str">
        <v>JN39</v>
      </c>
      <c r="BM88" t="str">
        <v>SPEECH ENG</v>
      </c>
      <c r="BN88">
        <v>3</v>
      </c>
      <c r="BO88" t="str">
        <v>Single</v>
      </c>
      <c r="BP88" t="str">
        <v>Stage</v>
      </c>
      <c r="BQ88" t="str">
        <v>JUNIOR</v>
      </c>
      <c r="BR88" t="str">
        <v>B123</v>
      </c>
      <c r="BS88" t="str">
        <v>B135</v>
      </c>
      <c r="BT88" t="str">
        <v>B157</v>
      </c>
      <c r="BU88">
        <v>0</v>
      </c>
      <c r="BV88">
        <v>0</v>
      </c>
      <c r="BW88">
        <v>0</v>
      </c>
      <c r="BX88">
        <v>0</v>
      </c>
      <c r="BY88" t="str">
        <v>B110</v>
      </c>
      <c r="BZ88" t="str">
        <v>B122</v>
      </c>
      <c r="CA88" t="str">
        <v>B127</v>
      </c>
      <c r="CB88">
        <v>0</v>
      </c>
      <c r="CC88">
        <v>0</v>
      </c>
      <c r="CD88">
        <v>0</v>
      </c>
      <c r="CE88">
        <v>0</v>
      </c>
      <c r="CF88" t="str">
        <v>B113</v>
      </c>
      <c r="CG88" t="str">
        <v>B142</v>
      </c>
      <c r="CH88" t="str">
        <v>B151</v>
      </c>
      <c r="CI88">
        <v>0</v>
      </c>
      <c r="CJ88">
        <v>0</v>
      </c>
      <c r="CK88">
        <v>0</v>
      </c>
      <c r="CL88">
        <v>0</v>
      </c>
      <c r="CM88" t="str">
        <v>B108</v>
      </c>
      <c r="CN88" t="str">
        <v>B134</v>
      </c>
      <c r="CO88" t="str">
        <v>B147</v>
      </c>
      <c r="CP88">
        <v>0</v>
      </c>
      <c r="CQ88">
        <v>0</v>
      </c>
      <c r="CR88">
        <v>0</v>
      </c>
      <c r="CS88">
        <v>0</v>
      </c>
      <c r="CT88">
        <v>0</v>
      </c>
      <c r="CU88">
        <v>0</v>
      </c>
      <c r="CV88">
        <v>0</v>
      </c>
      <c r="CW88">
        <v>0</v>
      </c>
      <c r="CX88">
        <v>0</v>
      </c>
      <c r="CY88">
        <v>0</v>
      </c>
      <c r="CZ88">
        <v>0</v>
      </c>
      <c r="DA88">
        <v>0</v>
      </c>
      <c r="DB88">
        <v>0</v>
      </c>
      <c r="DC88">
        <v>0</v>
      </c>
      <c r="DD88">
        <v>0</v>
      </c>
      <c r="DE88">
        <v>0</v>
      </c>
      <c r="DF88">
        <v>0</v>
      </c>
      <c r="DG88">
        <v>0</v>
      </c>
      <c r="DH88">
        <v>0</v>
      </c>
      <c r="DI88">
        <v>0</v>
      </c>
      <c r="DJ88">
        <v>0</v>
      </c>
      <c r="DK88">
        <v>0</v>
      </c>
      <c r="DL88">
        <v>0</v>
      </c>
      <c r="DM88">
        <v>0</v>
      </c>
      <c r="DN88">
        <v>0</v>
      </c>
      <c r="DO88">
        <v>0</v>
      </c>
      <c r="DP88">
        <v>0</v>
      </c>
      <c r="DQ88">
        <v>0</v>
      </c>
      <c r="DR88">
        <v>0</v>
      </c>
      <c r="DS88">
        <v>0</v>
      </c>
      <c r="DT88">
        <v>0</v>
      </c>
      <c r="DU88">
        <v>0</v>
      </c>
      <c r="DV88">
        <v>0</v>
      </c>
      <c r="DW88">
        <v>0</v>
      </c>
      <c r="DX88">
        <v>0</v>
      </c>
      <c r="DY88">
        <v>0</v>
      </c>
      <c r="DZ88">
        <v>0</v>
      </c>
      <c r="EA88">
        <v>0</v>
      </c>
      <c r="EB88">
        <v>0</v>
      </c>
      <c r="EC88">
        <v>0</v>
      </c>
      <c r="ED88">
        <v>0</v>
      </c>
      <c r="EE88">
        <v>0</v>
      </c>
      <c r="EF88">
        <v>0</v>
      </c>
      <c r="EG88">
        <v>0</v>
      </c>
      <c r="EH88">
        <v>0</v>
      </c>
      <c r="EI88">
        <v>0</v>
      </c>
      <c r="EJ88">
        <v>0</v>
      </c>
      <c r="EK88">
        <v>0</v>
      </c>
      <c r="EL88">
        <v>0</v>
      </c>
      <c r="EM88">
        <v>0</v>
      </c>
      <c r="EN88">
        <v>0</v>
      </c>
      <c r="EO88">
        <v>0</v>
      </c>
      <c r="EP88">
        <v>0</v>
      </c>
      <c r="EQ88">
        <v>0</v>
      </c>
      <c r="ER88">
        <v>0</v>
      </c>
      <c r="ES88">
        <v>0</v>
      </c>
      <c r="ET88">
        <v>0</v>
      </c>
      <c r="EU88">
        <v>0</v>
      </c>
      <c r="EV88">
        <v>0</v>
      </c>
      <c r="EW88">
        <v>0</v>
      </c>
      <c r="EX88">
        <v>0</v>
      </c>
      <c r="EY88">
        <v>0</v>
      </c>
      <c r="EZ88">
        <v>0</v>
      </c>
      <c r="FA88">
        <v>0</v>
      </c>
      <c r="FB88">
        <v>0</v>
      </c>
      <c r="FC88">
        <v>0</v>
      </c>
      <c r="FD88">
        <v>0</v>
      </c>
      <c r="FE88">
        <v>0</v>
      </c>
      <c r="FF88">
        <v>0</v>
      </c>
      <c r="FG88">
        <v>0</v>
      </c>
      <c r="FH88">
        <v>0</v>
      </c>
      <c r="FI88">
        <v>0</v>
      </c>
      <c r="FJ88">
        <v>0</v>
      </c>
      <c r="FK88">
        <v>0</v>
      </c>
      <c r="FL88">
        <v>0</v>
      </c>
      <c r="FM88">
        <v>0</v>
      </c>
      <c r="FN88">
        <v>0</v>
      </c>
      <c r="FO88">
        <v>0</v>
      </c>
      <c r="FP88">
        <v>0</v>
      </c>
      <c r="FQ88">
        <v>0</v>
      </c>
      <c r="FR88">
        <v>0</v>
      </c>
      <c r="FS88">
        <v>0</v>
      </c>
      <c r="FT88">
        <v>0</v>
      </c>
      <c r="FU88">
        <v>0</v>
      </c>
      <c r="FV88">
        <v>0</v>
      </c>
      <c r="FW88">
        <v>0</v>
      </c>
      <c r="FX88">
        <v>0</v>
      </c>
      <c r="FY88">
        <v>0</v>
      </c>
      <c r="FZ88">
        <v>0</v>
      </c>
      <c r="GA88">
        <v>0</v>
      </c>
      <c r="GB88">
        <v>0</v>
      </c>
      <c r="GC88">
        <v>0</v>
      </c>
      <c r="GD88">
        <v>0</v>
      </c>
      <c r="GE88">
        <v>0</v>
      </c>
      <c r="GF88">
        <v>0</v>
      </c>
      <c r="GG88">
        <v>0</v>
      </c>
      <c r="GH88">
        <v>0</v>
      </c>
      <c r="GI88">
        <v>0</v>
      </c>
      <c r="GJ88">
        <v>0</v>
      </c>
      <c r="GK88">
        <v>0</v>
      </c>
      <c r="GL88">
        <v>0</v>
      </c>
      <c r="GM88">
        <v>0</v>
      </c>
      <c r="GN88">
        <v>0</v>
      </c>
      <c r="GO88">
        <v>0</v>
      </c>
      <c r="GP88">
        <v>0</v>
      </c>
      <c r="GQ88">
        <v>0</v>
      </c>
      <c r="GR88">
        <v>0</v>
      </c>
      <c r="GS88">
        <v>0</v>
      </c>
      <c r="GT88">
        <v>0</v>
      </c>
      <c r="GU88">
        <v>0</v>
      </c>
      <c r="GV88">
        <v>0</v>
      </c>
      <c r="GW88">
        <v>0</v>
      </c>
      <c r="GX88">
        <v>0</v>
      </c>
      <c r="GY88">
        <v>0</v>
      </c>
      <c r="GZ88">
        <v>0</v>
      </c>
      <c r="HA88">
        <v>0</v>
      </c>
      <c r="HB88">
        <v>0</v>
      </c>
      <c r="HC88">
        <v>0</v>
      </c>
      <c r="HD88">
        <v>0</v>
      </c>
      <c r="HE88">
        <v>0</v>
      </c>
      <c r="HF88">
        <v>0</v>
      </c>
      <c r="HG88">
        <v>0</v>
      </c>
      <c r="HH88">
        <v>0</v>
      </c>
      <c r="HI88">
        <v>0</v>
      </c>
      <c r="HJ88">
        <v>0</v>
      </c>
      <c r="HK88">
        <v>0</v>
      </c>
      <c r="HL88">
        <v>0</v>
      </c>
      <c r="HM88">
        <v>0</v>
      </c>
      <c r="HN88">
        <v>0</v>
      </c>
      <c r="HO88">
        <v>0</v>
      </c>
      <c r="HP88">
        <v>0</v>
      </c>
      <c r="HQ88">
        <v>0</v>
      </c>
      <c r="HR88">
        <v>0</v>
      </c>
      <c r="HS88">
        <v>0</v>
      </c>
      <c r="HT88">
        <v>0</v>
      </c>
      <c r="HU88">
        <v>0</v>
      </c>
      <c r="HV88">
        <v>0</v>
      </c>
      <c r="HW88">
        <v>0</v>
      </c>
      <c r="HX88">
        <v>0</v>
      </c>
      <c r="HY88">
        <v>0</v>
      </c>
      <c r="HZ88">
        <v>0</v>
      </c>
      <c r="IA88">
        <v>0</v>
      </c>
      <c r="IB88">
        <v>0</v>
      </c>
      <c r="IC88">
        <v>0</v>
      </c>
      <c r="ID88">
        <v>0</v>
      </c>
      <c r="IE88">
        <v>0</v>
      </c>
      <c r="IF88">
        <v>0</v>
      </c>
      <c r="IG88">
        <v>0</v>
      </c>
      <c r="IH88">
        <v>0</v>
      </c>
      <c r="II88">
        <v>0</v>
      </c>
      <c r="IJ88">
        <v>0</v>
      </c>
      <c r="IK88">
        <v>0</v>
      </c>
      <c r="IL88">
        <v>0</v>
      </c>
      <c r="IM88">
        <v>0</v>
      </c>
      <c r="IN88">
        <v>0</v>
      </c>
      <c r="IO88">
        <v>0</v>
      </c>
      <c r="IP88">
        <v>0</v>
      </c>
      <c r="IQ88">
        <v>0</v>
      </c>
      <c r="IR88">
        <v>0</v>
      </c>
      <c r="IS88">
        <v>0</v>
      </c>
      <c r="IT88">
        <v>0</v>
      </c>
      <c r="IU88">
        <v>0</v>
      </c>
      <c r="IV88">
        <v>0</v>
      </c>
      <c r="IW88">
        <v>0</v>
      </c>
      <c r="IX88">
        <v>0</v>
      </c>
      <c r="IY88">
        <v>0</v>
      </c>
      <c r="IZ88">
        <v>0</v>
      </c>
      <c r="JA88">
        <v>0</v>
      </c>
      <c r="JB88">
        <v>0</v>
      </c>
      <c r="JC88">
        <v>0</v>
      </c>
      <c r="JD88">
        <v>0</v>
      </c>
      <c r="JE88">
        <v>0</v>
      </c>
      <c r="JF88">
        <v>0</v>
      </c>
      <c r="JG88">
        <v>0</v>
      </c>
      <c r="JH88">
        <v>0</v>
      </c>
      <c r="JI88">
        <v>0</v>
      </c>
      <c r="JJ88">
        <v>0</v>
      </c>
      <c r="JK88">
        <v>0</v>
      </c>
      <c r="JL88">
        <v>0</v>
      </c>
      <c r="JM88">
        <v>0</v>
      </c>
      <c r="JN88">
        <v>0</v>
      </c>
      <c r="JO88">
        <v>0</v>
      </c>
      <c r="JP88">
        <v>0</v>
      </c>
      <c r="JQ88">
        <v>0</v>
      </c>
      <c r="JR88">
        <v>0</v>
      </c>
      <c r="JS88">
        <v>0</v>
      </c>
      <c r="JT88">
        <v>0</v>
      </c>
      <c r="JU88">
        <v>0</v>
      </c>
      <c r="JV88">
        <v>0</v>
      </c>
      <c r="JW88">
        <v>0</v>
      </c>
      <c r="JX88">
        <v>0</v>
      </c>
      <c r="JY88">
        <v>0</v>
      </c>
      <c r="JZ88">
        <v>0</v>
      </c>
      <c r="KA88">
        <v>0</v>
      </c>
      <c r="KB88">
        <v>0</v>
      </c>
      <c r="KC88">
        <v>0</v>
      </c>
      <c r="KD88">
        <v>0</v>
      </c>
      <c r="KE88">
        <v>0</v>
      </c>
      <c r="KF88">
        <v>0</v>
      </c>
      <c r="KG88">
        <v>0</v>
      </c>
      <c r="KH88">
        <v>0</v>
      </c>
      <c r="KI88">
        <v>0</v>
      </c>
      <c r="KJ88">
        <v>0</v>
      </c>
      <c r="KK88">
        <v>0</v>
      </c>
      <c r="KL88">
        <v>0</v>
      </c>
      <c r="KM88">
        <v>0</v>
      </c>
      <c r="KN88">
        <v>0</v>
      </c>
      <c r="KO88">
        <v>0</v>
      </c>
      <c r="KP88">
        <v>0</v>
      </c>
      <c r="KQ88">
        <v>0</v>
      </c>
      <c r="KR88">
        <v>0</v>
      </c>
      <c r="KS88">
        <v>0</v>
      </c>
      <c r="KT88">
        <v>0</v>
      </c>
      <c r="KU88">
        <v>0</v>
      </c>
      <c r="KV88">
        <v>0</v>
      </c>
      <c r="KW88">
        <v>0</v>
      </c>
      <c r="KX88">
        <v>0</v>
      </c>
      <c r="KY88">
        <v>0</v>
      </c>
      <c r="KZ88">
        <v>0</v>
      </c>
      <c r="LA88">
        <v>0</v>
      </c>
      <c r="LB88">
        <v>0</v>
      </c>
      <c r="LC88">
        <v>0</v>
      </c>
      <c r="LD88">
        <v>0</v>
      </c>
      <c r="LE88">
        <v>0</v>
      </c>
      <c r="LF88">
        <v>0</v>
      </c>
      <c r="LG88">
        <v>0</v>
      </c>
      <c r="LH88">
        <v>0</v>
      </c>
      <c r="LI88">
        <v>0</v>
      </c>
      <c r="LJ88">
        <v>0</v>
      </c>
      <c r="LK88">
        <v>0</v>
      </c>
      <c r="LL88">
        <v>0</v>
      </c>
      <c r="LM88">
        <v>0</v>
      </c>
      <c r="LN88">
        <v>0</v>
      </c>
      <c r="LO88">
        <v>0</v>
      </c>
      <c r="LP88">
        <v>0</v>
      </c>
      <c r="LQ88">
        <v>0</v>
      </c>
      <c r="LR88">
        <v>0</v>
      </c>
      <c r="LS88">
        <v>0</v>
      </c>
      <c r="LT88">
        <v>0</v>
      </c>
      <c r="LU88">
        <v>0</v>
      </c>
      <c r="LV88">
        <v>0</v>
      </c>
      <c r="LW88">
        <v>0</v>
      </c>
      <c r="LX88">
        <v>0</v>
      </c>
      <c r="LY88">
        <v>0</v>
      </c>
      <c r="LZ88">
        <v>0</v>
      </c>
      <c r="MA88">
        <v>0</v>
      </c>
      <c r="MB88">
        <v>0</v>
      </c>
      <c r="MC88">
        <v>0</v>
      </c>
      <c r="MD88">
        <v>0</v>
      </c>
      <c r="ME88">
        <v>0</v>
      </c>
      <c r="MF88">
        <v>0</v>
      </c>
      <c r="MG88">
        <v>0</v>
      </c>
      <c r="MH88">
        <v>0</v>
      </c>
      <c r="MI88">
        <v>0</v>
      </c>
      <c r="MJ88">
        <v>0</v>
      </c>
      <c r="MK88">
        <v>0</v>
      </c>
      <c r="ML88">
        <v>0</v>
      </c>
      <c r="MM88">
        <v>0</v>
      </c>
      <c r="MN88">
        <v>0</v>
      </c>
      <c r="MO88">
        <v>0</v>
      </c>
      <c r="MP88">
        <v>0</v>
      </c>
      <c r="MQ88">
        <v>0</v>
      </c>
      <c r="MR88">
        <v>0</v>
      </c>
      <c r="MS88">
        <v>0</v>
      </c>
      <c r="MT88">
        <v>0</v>
      </c>
      <c r="MU88">
        <v>0</v>
      </c>
      <c r="MV88">
        <v>0</v>
      </c>
      <c r="MW88">
        <v>0</v>
      </c>
      <c r="MX88">
        <v>0</v>
      </c>
      <c r="MY88">
        <v>0</v>
      </c>
      <c r="MZ88">
        <v>0</v>
      </c>
      <c r="NA88">
        <v>0</v>
      </c>
      <c r="NB88">
        <v>0</v>
      </c>
      <c r="NC88">
        <v>0</v>
      </c>
      <c r="ND88">
        <v>0</v>
      </c>
      <c r="NE88">
        <v>0</v>
      </c>
    </row>
    <row r="89" spans="41:369" x14ac:dyDescent="0.45">
      <c r="AO89" t="str">
        <v>B110</v>
      </c>
      <c r="AP89" t="str">
        <v>MUHAMMED MUHAZ P A</v>
      </c>
      <c r="AQ89" t="str">
        <v>DAHF</v>
      </c>
      <c r="AR89" t="str">
        <v>JUNIOR</v>
      </c>
      <c r="AS89">
        <v>3</v>
      </c>
      <c r="AT89">
        <v>17</v>
      </c>
      <c r="AU89">
        <v>0</v>
      </c>
      <c r="AV89">
        <v>17</v>
      </c>
      <c r="AW89">
        <v>17</v>
      </c>
      <c r="AX89">
        <v>87</v>
      </c>
      <c r="AY89" s="5">
        <v>87</v>
      </c>
      <c r="AZ89" t="str">
        <v>JN44</v>
      </c>
      <c r="BA89" t="str">
        <v>INSTANT MAGAZINE MLM</v>
      </c>
      <c r="BB89" t="str">
        <v>JUNIOR</v>
      </c>
      <c r="BC89" t="str">
        <v>Group</v>
      </c>
      <c r="BD89" t="str">
        <v>Non-Stg</v>
      </c>
      <c r="BE89">
        <v>5</v>
      </c>
      <c r="BF89" t="str">
        <v>GROUP</v>
      </c>
      <c r="BG89" t="str">
        <v>GROUP</v>
      </c>
      <c r="BH89" t="str">
        <v>P</v>
      </c>
      <c r="BI89" t="str">
        <v>PUBLISHED</v>
      </c>
      <c r="BK89">
        <v>83</v>
      </c>
      <c r="BL89" t="str">
        <v>JN40</v>
      </c>
      <c r="BM89" t="str">
        <v>SPEECH MLM</v>
      </c>
      <c r="BN89">
        <v>3</v>
      </c>
      <c r="BO89" t="str">
        <v>Single</v>
      </c>
      <c r="BP89" t="str">
        <v>Stage</v>
      </c>
      <c r="BQ89" t="str">
        <v>JUNIOR</v>
      </c>
      <c r="BR89" t="str">
        <v>B129</v>
      </c>
      <c r="BS89" t="str">
        <v>B150</v>
      </c>
      <c r="BT89" t="str">
        <v>B104</v>
      </c>
      <c r="BU89">
        <v>0</v>
      </c>
      <c r="BV89">
        <v>0</v>
      </c>
      <c r="BW89">
        <v>0</v>
      </c>
      <c r="BX89">
        <v>0</v>
      </c>
      <c r="BY89" t="str">
        <v>B109</v>
      </c>
      <c r="BZ89" t="str">
        <v>B149</v>
      </c>
      <c r="CA89" t="str">
        <v>B161</v>
      </c>
      <c r="CB89">
        <v>0</v>
      </c>
      <c r="CC89">
        <v>0</v>
      </c>
      <c r="CD89">
        <v>0</v>
      </c>
      <c r="CE89">
        <v>0</v>
      </c>
      <c r="CF89" t="str">
        <v>B106</v>
      </c>
      <c r="CG89" t="str">
        <v>B117</v>
      </c>
      <c r="CH89" t="str">
        <v>B138</v>
      </c>
      <c r="CI89">
        <v>0</v>
      </c>
      <c r="CJ89">
        <v>0</v>
      </c>
      <c r="CK89">
        <v>0</v>
      </c>
      <c r="CL89">
        <v>0</v>
      </c>
      <c r="CM89" t="str">
        <v>B108</v>
      </c>
      <c r="CN89" t="str">
        <v>B162</v>
      </c>
      <c r="CO89" t="str">
        <v>B163</v>
      </c>
      <c r="CP89">
        <v>0</v>
      </c>
      <c r="CQ89">
        <v>0</v>
      </c>
      <c r="CR89">
        <v>0</v>
      </c>
      <c r="CS89">
        <v>0</v>
      </c>
      <c r="CT89">
        <v>0</v>
      </c>
      <c r="CU89">
        <v>0</v>
      </c>
      <c r="CV89">
        <v>0</v>
      </c>
      <c r="CW89">
        <v>0</v>
      </c>
      <c r="CX89">
        <v>0</v>
      </c>
      <c r="CY89">
        <v>0</v>
      </c>
      <c r="CZ89">
        <v>0</v>
      </c>
      <c r="DA89">
        <v>0</v>
      </c>
      <c r="DB89">
        <v>0</v>
      </c>
      <c r="DC89">
        <v>0</v>
      </c>
      <c r="DD89">
        <v>0</v>
      </c>
      <c r="DE89">
        <v>0</v>
      </c>
      <c r="DF89">
        <v>0</v>
      </c>
      <c r="DG89">
        <v>0</v>
      </c>
      <c r="DH89">
        <v>0</v>
      </c>
      <c r="DI89">
        <v>0</v>
      </c>
      <c r="DJ89">
        <v>0</v>
      </c>
      <c r="DK89">
        <v>0</v>
      </c>
      <c r="DL89">
        <v>0</v>
      </c>
      <c r="DM89">
        <v>0</v>
      </c>
      <c r="DN89">
        <v>0</v>
      </c>
      <c r="DO89">
        <v>0</v>
      </c>
      <c r="DP89">
        <v>0</v>
      </c>
      <c r="DQ89">
        <v>0</v>
      </c>
      <c r="DR89">
        <v>0</v>
      </c>
      <c r="DS89">
        <v>0</v>
      </c>
      <c r="DT89">
        <v>0</v>
      </c>
      <c r="DU89">
        <v>0</v>
      </c>
      <c r="DV89">
        <v>0</v>
      </c>
      <c r="DW89">
        <v>0</v>
      </c>
      <c r="DX89">
        <v>0</v>
      </c>
      <c r="DY89">
        <v>0</v>
      </c>
      <c r="DZ89">
        <v>0</v>
      </c>
      <c r="EA89">
        <v>0</v>
      </c>
      <c r="EB89">
        <v>0</v>
      </c>
      <c r="EC89">
        <v>0</v>
      </c>
      <c r="ED89">
        <v>0</v>
      </c>
      <c r="EE89">
        <v>0</v>
      </c>
      <c r="EF89">
        <v>0</v>
      </c>
      <c r="EG89">
        <v>0</v>
      </c>
      <c r="EH89">
        <v>0</v>
      </c>
      <c r="EI89">
        <v>0</v>
      </c>
      <c r="EJ89">
        <v>0</v>
      </c>
      <c r="EK89">
        <v>0</v>
      </c>
      <c r="EL89">
        <v>0</v>
      </c>
      <c r="EM89">
        <v>0</v>
      </c>
      <c r="EN89">
        <v>0</v>
      </c>
      <c r="EO89">
        <v>0</v>
      </c>
      <c r="EP89">
        <v>0</v>
      </c>
      <c r="EQ89">
        <v>0</v>
      </c>
      <c r="ER89">
        <v>0</v>
      </c>
      <c r="ES89">
        <v>0</v>
      </c>
      <c r="ET89">
        <v>0</v>
      </c>
      <c r="EU89">
        <v>0</v>
      </c>
      <c r="EV89">
        <v>0</v>
      </c>
      <c r="EW89">
        <v>0</v>
      </c>
      <c r="EX89">
        <v>0</v>
      </c>
      <c r="EY89">
        <v>0</v>
      </c>
      <c r="EZ89">
        <v>0</v>
      </c>
      <c r="FA89">
        <v>0</v>
      </c>
      <c r="FB89">
        <v>0</v>
      </c>
      <c r="FC89">
        <v>0</v>
      </c>
      <c r="FD89">
        <v>0</v>
      </c>
      <c r="FE89">
        <v>0</v>
      </c>
      <c r="FF89">
        <v>0</v>
      </c>
      <c r="FG89">
        <v>0</v>
      </c>
      <c r="FH89">
        <v>0</v>
      </c>
      <c r="FI89">
        <v>0</v>
      </c>
      <c r="FJ89">
        <v>0</v>
      </c>
      <c r="FK89">
        <v>0</v>
      </c>
      <c r="FL89">
        <v>0</v>
      </c>
      <c r="FM89">
        <v>0</v>
      </c>
      <c r="FN89">
        <v>0</v>
      </c>
      <c r="FO89">
        <v>0</v>
      </c>
      <c r="FP89">
        <v>0</v>
      </c>
      <c r="FQ89">
        <v>0</v>
      </c>
      <c r="FR89">
        <v>0</v>
      </c>
      <c r="FS89">
        <v>0</v>
      </c>
      <c r="FT89">
        <v>0</v>
      </c>
      <c r="FU89">
        <v>0</v>
      </c>
      <c r="FV89">
        <v>0</v>
      </c>
      <c r="FW89">
        <v>0</v>
      </c>
      <c r="FX89">
        <v>0</v>
      </c>
      <c r="FY89">
        <v>0</v>
      </c>
      <c r="FZ89">
        <v>0</v>
      </c>
      <c r="GA89">
        <v>0</v>
      </c>
      <c r="GB89">
        <v>0</v>
      </c>
      <c r="GC89">
        <v>0</v>
      </c>
      <c r="GD89">
        <v>0</v>
      </c>
      <c r="GE89">
        <v>0</v>
      </c>
      <c r="GF89">
        <v>0</v>
      </c>
      <c r="GG89">
        <v>0</v>
      </c>
      <c r="GH89">
        <v>0</v>
      </c>
      <c r="GI89">
        <v>0</v>
      </c>
      <c r="GJ89">
        <v>0</v>
      </c>
      <c r="GK89">
        <v>0</v>
      </c>
      <c r="GL89">
        <v>0</v>
      </c>
      <c r="GM89">
        <v>0</v>
      </c>
      <c r="GN89">
        <v>0</v>
      </c>
      <c r="GO89">
        <v>0</v>
      </c>
      <c r="GP89">
        <v>0</v>
      </c>
      <c r="GQ89">
        <v>0</v>
      </c>
      <c r="GR89">
        <v>0</v>
      </c>
      <c r="GS89">
        <v>0</v>
      </c>
      <c r="GT89">
        <v>0</v>
      </c>
      <c r="GU89">
        <v>0</v>
      </c>
      <c r="GV89">
        <v>0</v>
      </c>
      <c r="GW89">
        <v>0</v>
      </c>
      <c r="GX89">
        <v>0</v>
      </c>
      <c r="GY89">
        <v>0</v>
      </c>
      <c r="GZ89">
        <v>0</v>
      </c>
      <c r="HA89">
        <v>0</v>
      </c>
      <c r="HB89">
        <v>0</v>
      </c>
      <c r="HC89">
        <v>0</v>
      </c>
      <c r="HD89">
        <v>0</v>
      </c>
      <c r="HE89">
        <v>0</v>
      </c>
      <c r="HF89">
        <v>0</v>
      </c>
      <c r="HG89">
        <v>0</v>
      </c>
      <c r="HH89">
        <v>0</v>
      </c>
      <c r="HI89">
        <v>0</v>
      </c>
      <c r="HJ89">
        <v>0</v>
      </c>
      <c r="HK89">
        <v>0</v>
      </c>
      <c r="HL89">
        <v>0</v>
      </c>
      <c r="HM89">
        <v>0</v>
      </c>
      <c r="HN89">
        <v>0</v>
      </c>
      <c r="HO89">
        <v>0</v>
      </c>
      <c r="HP89">
        <v>0</v>
      </c>
      <c r="HQ89">
        <v>0</v>
      </c>
      <c r="HR89">
        <v>0</v>
      </c>
      <c r="HS89">
        <v>0</v>
      </c>
      <c r="HT89">
        <v>0</v>
      </c>
      <c r="HU89">
        <v>0</v>
      </c>
      <c r="HV89">
        <v>0</v>
      </c>
      <c r="HW89">
        <v>0</v>
      </c>
      <c r="HX89">
        <v>0</v>
      </c>
      <c r="HY89">
        <v>0</v>
      </c>
      <c r="HZ89">
        <v>0</v>
      </c>
      <c r="IA89">
        <v>0</v>
      </c>
      <c r="IB89">
        <v>0</v>
      </c>
      <c r="IC89">
        <v>0</v>
      </c>
      <c r="ID89">
        <v>0</v>
      </c>
      <c r="IE89">
        <v>0</v>
      </c>
      <c r="IF89">
        <v>0</v>
      </c>
      <c r="IG89">
        <v>0</v>
      </c>
      <c r="IH89">
        <v>0</v>
      </c>
      <c r="II89">
        <v>0</v>
      </c>
      <c r="IJ89">
        <v>0</v>
      </c>
      <c r="IK89">
        <v>0</v>
      </c>
      <c r="IL89">
        <v>0</v>
      </c>
      <c r="IM89">
        <v>0</v>
      </c>
      <c r="IN89">
        <v>0</v>
      </c>
      <c r="IO89">
        <v>0</v>
      </c>
      <c r="IP89">
        <v>0</v>
      </c>
      <c r="IQ89">
        <v>0</v>
      </c>
      <c r="IR89">
        <v>0</v>
      </c>
      <c r="IS89">
        <v>0</v>
      </c>
      <c r="IT89">
        <v>0</v>
      </c>
      <c r="IU89">
        <v>0</v>
      </c>
      <c r="IV89">
        <v>0</v>
      </c>
      <c r="IW89">
        <v>0</v>
      </c>
      <c r="IX89">
        <v>0</v>
      </c>
      <c r="IY89">
        <v>0</v>
      </c>
      <c r="IZ89">
        <v>0</v>
      </c>
      <c r="JA89">
        <v>0</v>
      </c>
      <c r="JB89">
        <v>0</v>
      </c>
      <c r="JC89">
        <v>0</v>
      </c>
      <c r="JD89">
        <v>0</v>
      </c>
      <c r="JE89">
        <v>0</v>
      </c>
      <c r="JF89">
        <v>0</v>
      </c>
      <c r="JG89">
        <v>0</v>
      </c>
      <c r="JH89">
        <v>0</v>
      </c>
      <c r="JI89">
        <v>0</v>
      </c>
      <c r="JJ89">
        <v>0</v>
      </c>
      <c r="JK89">
        <v>0</v>
      </c>
      <c r="JL89">
        <v>0</v>
      </c>
      <c r="JM89">
        <v>0</v>
      </c>
      <c r="JN89">
        <v>0</v>
      </c>
      <c r="JO89">
        <v>0</v>
      </c>
      <c r="JP89">
        <v>0</v>
      </c>
      <c r="JQ89">
        <v>0</v>
      </c>
      <c r="JR89">
        <v>0</v>
      </c>
      <c r="JS89">
        <v>0</v>
      </c>
      <c r="JT89">
        <v>0</v>
      </c>
      <c r="JU89">
        <v>0</v>
      </c>
      <c r="JV89">
        <v>0</v>
      </c>
      <c r="JW89">
        <v>0</v>
      </c>
      <c r="JX89">
        <v>0</v>
      </c>
      <c r="JY89">
        <v>0</v>
      </c>
      <c r="JZ89">
        <v>0</v>
      </c>
      <c r="KA89">
        <v>0</v>
      </c>
      <c r="KB89">
        <v>0</v>
      </c>
      <c r="KC89">
        <v>0</v>
      </c>
      <c r="KD89">
        <v>0</v>
      </c>
      <c r="KE89">
        <v>0</v>
      </c>
      <c r="KF89">
        <v>0</v>
      </c>
      <c r="KG89">
        <v>0</v>
      </c>
      <c r="KH89">
        <v>0</v>
      </c>
      <c r="KI89">
        <v>0</v>
      </c>
      <c r="KJ89">
        <v>0</v>
      </c>
      <c r="KK89">
        <v>0</v>
      </c>
      <c r="KL89">
        <v>0</v>
      </c>
      <c r="KM89">
        <v>0</v>
      </c>
      <c r="KN89">
        <v>0</v>
      </c>
      <c r="KO89">
        <v>0</v>
      </c>
      <c r="KP89">
        <v>0</v>
      </c>
      <c r="KQ89">
        <v>0</v>
      </c>
      <c r="KR89">
        <v>0</v>
      </c>
      <c r="KS89">
        <v>0</v>
      </c>
      <c r="KT89">
        <v>0</v>
      </c>
      <c r="KU89">
        <v>0</v>
      </c>
      <c r="KV89">
        <v>0</v>
      </c>
      <c r="KW89">
        <v>0</v>
      </c>
      <c r="KX89">
        <v>0</v>
      </c>
      <c r="KY89">
        <v>0</v>
      </c>
      <c r="KZ89">
        <v>0</v>
      </c>
      <c r="LA89">
        <v>0</v>
      </c>
      <c r="LB89">
        <v>0</v>
      </c>
      <c r="LC89">
        <v>0</v>
      </c>
      <c r="LD89">
        <v>0</v>
      </c>
      <c r="LE89">
        <v>0</v>
      </c>
      <c r="LF89">
        <v>0</v>
      </c>
      <c r="LG89">
        <v>0</v>
      </c>
      <c r="LH89">
        <v>0</v>
      </c>
      <c r="LI89">
        <v>0</v>
      </c>
      <c r="LJ89">
        <v>0</v>
      </c>
      <c r="LK89">
        <v>0</v>
      </c>
      <c r="LL89">
        <v>0</v>
      </c>
      <c r="LM89">
        <v>0</v>
      </c>
      <c r="LN89">
        <v>0</v>
      </c>
      <c r="LO89">
        <v>0</v>
      </c>
      <c r="LP89">
        <v>0</v>
      </c>
      <c r="LQ89">
        <v>0</v>
      </c>
      <c r="LR89">
        <v>0</v>
      </c>
      <c r="LS89">
        <v>0</v>
      </c>
      <c r="LT89">
        <v>0</v>
      </c>
      <c r="LU89">
        <v>0</v>
      </c>
      <c r="LV89">
        <v>0</v>
      </c>
      <c r="LW89">
        <v>0</v>
      </c>
      <c r="LX89">
        <v>0</v>
      </c>
      <c r="LY89">
        <v>0</v>
      </c>
      <c r="LZ89">
        <v>0</v>
      </c>
      <c r="MA89">
        <v>0</v>
      </c>
      <c r="MB89">
        <v>0</v>
      </c>
      <c r="MC89">
        <v>0</v>
      </c>
      <c r="MD89">
        <v>0</v>
      </c>
      <c r="ME89">
        <v>0</v>
      </c>
      <c r="MF89">
        <v>0</v>
      </c>
      <c r="MG89">
        <v>0</v>
      </c>
      <c r="MH89">
        <v>0</v>
      </c>
      <c r="MI89">
        <v>0</v>
      </c>
      <c r="MJ89">
        <v>0</v>
      </c>
      <c r="MK89">
        <v>0</v>
      </c>
      <c r="ML89">
        <v>0</v>
      </c>
      <c r="MM89">
        <v>0</v>
      </c>
      <c r="MN89">
        <v>0</v>
      </c>
      <c r="MO89">
        <v>0</v>
      </c>
      <c r="MP89">
        <v>0</v>
      </c>
      <c r="MQ89">
        <v>0</v>
      </c>
      <c r="MR89">
        <v>0</v>
      </c>
      <c r="MS89">
        <v>0</v>
      </c>
      <c r="MT89">
        <v>0</v>
      </c>
      <c r="MU89">
        <v>0</v>
      </c>
      <c r="MV89">
        <v>0</v>
      </c>
      <c r="MW89">
        <v>0</v>
      </c>
      <c r="MX89">
        <v>0</v>
      </c>
      <c r="MY89">
        <v>0</v>
      </c>
      <c r="MZ89">
        <v>0</v>
      </c>
      <c r="NA89">
        <v>0</v>
      </c>
      <c r="NB89">
        <v>0</v>
      </c>
      <c r="NC89">
        <v>0</v>
      </c>
      <c r="ND89">
        <v>0</v>
      </c>
      <c r="NE89">
        <v>0</v>
      </c>
    </row>
    <row r="90" spans="41:369" x14ac:dyDescent="0.45">
      <c r="AO90" t="str">
        <v>B111</v>
      </c>
      <c r="AP90" t="str">
        <v>MUHAMMED SAHEEM ASHRAF</v>
      </c>
      <c r="AQ90" t="str">
        <v>FANT</v>
      </c>
      <c r="AR90" t="str">
        <v>JUNIOR</v>
      </c>
      <c r="AS90">
        <v>3</v>
      </c>
      <c r="AT90">
        <v>1</v>
      </c>
      <c r="AU90">
        <v>0</v>
      </c>
      <c r="AV90">
        <v>1</v>
      </c>
      <c r="AW90">
        <v>1</v>
      </c>
      <c r="AX90">
        <v>231</v>
      </c>
      <c r="AY90" s="5">
        <v>231</v>
      </c>
      <c r="AZ90" t="str">
        <v>JN45</v>
      </c>
      <c r="BA90" t="str">
        <v>MASH UP</v>
      </c>
      <c r="BB90" t="str">
        <v>JUNIOR</v>
      </c>
      <c r="BC90" t="str">
        <v>Group</v>
      </c>
      <c r="BD90" t="str">
        <v>Stage</v>
      </c>
      <c r="BE90">
        <v>6</v>
      </c>
      <c r="BF90" t="str">
        <v>GROUP</v>
      </c>
      <c r="BG90" t="str">
        <v>GROUP</v>
      </c>
      <c r="BH90" t="str">
        <v>P</v>
      </c>
      <c r="BI90" t="str">
        <v>PUBLISHED</v>
      </c>
      <c r="BK90">
        <v>84</v>
      </c>
      <c r="BL90" t="str">
        <v>JN41</v>
      </c>
      <c r="BM90" t="str">
        <v>SPEECH URD</v>
      </c>
      <c r="BN90">
        <v>3</v>
      </c>
      <c r="BO90" t="str">
        <v>Single</v>
      </c>
      <c r="BP90" t="str">
        <v>Stage</v>
      </c>
      <c r="BQ90" t="str">
        <v>JUNIOR</v>
      </c>
      <c r="BR90" t="str">
        <v>B112</v>
      </c>
      <c r="BS90" t="str">
        <v>B120</v>
      </c>
      <c r="BT90" t="str">
        <v>B144</v>
      </c>
      <c r="BU90">
        <v>0</v>
      </c>
      <c r="BV90">
        <v>0</v>
      </c>
      <c r="BW90">
        <v>0</v>
      </c>
      <c r="BX90">
        <v>0</v>
      </c>
      <c r="BY90" t="str">
        <v>B114</v>
      </c>
      <c r="BZ90" t="str">
        <v>B139</v>
      </c>
      <c r="CA90" t="str">
        <v>B154</v>
      </c>
      <c r="CB90">
        <v>0</v>
      </c>
      <c r="CC90">
        <v>0</v>
      </c>
      <c r="CD90">
        <v>0</v>
      </c>
      <c r="CE90">
        <v>0</v>
      </c>
      <c r="CF90" t="str">
        <v>B103</v>
      </c>
      <c r="CG90" t="str">
        <v>B137</v>
      </c>
      <c r="CH90" t="str">
        <v>B140</v>
      </c>
      <c r="CI90">
        <v>0</v>
      </c>
      <c r="CJ90">
        <v>0</v>
      </c>
      <c r="CK90">
        <v>0</v>
      </c>
      <c r="CL90">
        <v>0</v>
      </c>
      <c r="CM90" t="str">
        <v>B118</v>
      </c>
      <c r="CN90" t="str">
        <v>B119</v>
      </c>
      <c r="CO90" t="str">
        <v>B147</v>
      </c>
      <c r="CP90">
        <v>0</v>
      </c>
      <c r="CQ90">
        <v>0</v>
      </c>
      <c r="CR90">
        <v>0</v>
      </c>
      <c r="CS90">
        <v>0</v>
      </c>
      <c r="CT90">
        <v>0</v>
      </c>
      <c r="CU90">
        <v>0</v>
      </c>
      <c r="CV90">
        <v>0</v>
      </c>
      <c r="CW90">
        <v>0</v>
      </c>
      <c r="CX90">
        <v>0</v>
      </c>
      <c r="CY90">
        <v>0</v>
      </c>
      <c r="CZ90">
        <v>0</v>
      </c>
      <c r="DA90">
        <v>0</v>
      </c>
      <c r="DB90">
        <v>0</v>
      </c>
      <c r="DC90">
        <v>0</v>
      </c>
      <c r="DD90">
        <v>0</v>
      </c>
      <c r="DE90">
        <v>0</v>
      </c>
      <c r="DF90">
        <v>0</v>
      </c>
      <c r="DG90">
        <v>0</v>
      </c>
      <c r="DH90">
        <v>0</v>
      </c>
      <c r="DI90">
        <v>0</v>
      </c>
      <c r="DJ90">
        <v>0</v>
      </c>
      <c r="DK90">
        <v>0</v>
      </c>
      <c r="DL90">
        <v>0</v>
      </c>
      <c r="DM90">
        <v>0</v>
      </c>
      <c r="DN90">
        <v>0</v>
      </c>
      <c r="DO90">
        <v>0</v>
      </c>
      <c r="DP90">
        <v>0</v>
      </c>
      <c r="DQ90">
        <v>0</v>
      </c>
      <c r="DR90">
        <v>0</v>
      </c>
      <c r="DS90">
        <v>0</v>
      </c>
      <c r="DT90">
        <v>0</v>
      </c>
      <c r="DU90">
        <v>0</v>
      </c>
      <c r="DV90">
        <v>0</v>
      </c>
      <c r="DW90">
        <v>0</v>
      </c>
      <c r="DX90">
        <v>0</v>
      </c>
      <c r="DY90">
        <v>0</v>
      </c>
      <c r="DZ90">
        <v>0</v>
      </c>
      <c r="EA90">
        <v>0</v>
      </c>
      <c r="EB90">
        <v>0</v>
      </c>
      <c r="EC90">
        <v>0</v>
      </c>
      <c r="ED90">
        <v>0</v>
      </c>
      <c r="EE90">
        <v>0</v>
      </c>
      <c r="EF90">
        <v>0</v>
      </c>
      <c r="EG90">
        <v>0</v>
      </c>
      <c r="EH90">
        <v>0</v>
      </c>
      <c r="EI90">
        <v>0</v>
      </c>
      <c r="EJ90">
        <v>0</v>
      </c>
      <c r="EK90">
        <v>0</v>
      </c>
      <c r="EL90">
        <v>0</v>
      </c>
      <c r="EM90">
        <v>0</v>
      </c>
      <c r="EN90">
        <v>0</v>
      </c>
      <c r="EO90">
        <v>0</v>
      </c>
      <c r="EP90">
        <v>0</v>
      </c>
      <c r="EQ90">
        <v>0</v>
      </c>
      <c r="ER90">
        <v>0</v>
      </c>
      <c r="ES90">
        <v>0</v>
      </c>
      <c r="ET90">
        <v>0</v>
      </c>
      <c r="EU90">
        <v>0</v>
      </c>
      <c r="EV90">
        <v>0</v>
      </c>
      <c r="EW90">
        <v>0</v>
      </c>
      <c r="EX90">
        <v>0</v>
      </c>
      <c r="EY90">
        <v>0</v>
      </c>
      <c r="EZ90">
        <v>0</v>
      </c>
      <c r="FA90">
        <v>0</v>
      </c>
      <c r="FB90">
        <v>0</v>
      </c>
      <c r="FC90">
        <v>0</v>
      </c>
      <c r="FD90">
        <v>0</v>
      </c>
      <c r="FE90">
        <v>0</v>
      </c>
      <c r="FF90">
        <v>0</v>
      </c>
      <c r="FG90">
        <v>0</v>
      </c>
      <c r="FH90">
        <v>0</v>
      </c>
      <c r="FI90">
        <v>0</v>
      </c>
      <c r="FJ90">
        <v>0</v>
      </c>
      <c r="FK90">
        <v>0</v>
      </c>
      <c r="FL90">
        <v>0</v>
      </c>
      <c r="FM90">
        <v>0</v>
      </c>
      <c r="FN90">
        <v>0</v>
      </c>
      <c r="FO90">
        <v>0</v>
      </c>
      <c r="FP90">
        <v>0</v>
      </c>
      <c r="FQ90">
        <v>0</v>
      </c>
      <c r="FR90">
        <v>0</v>
      </c>
      <c r="FS90">
        <v>0</v>
      </c>
      <c r="FT90">
        <v>0</v>
      </c>
      <c r="FU90">
        <v>0</v>
      </c>
      <c r="FV90">
        <v>0</v>
      </c>
      <c r="FW90">
        <v>0</v>
      </c>
      <c r="FX90">
        <v>0</v>
      </c>
      <c r="FY90">
        <v>0</v>
      </c>
      <c r="FZ90">
        <v>0</v>
      </c>
      <c r="GA90">
        <v>0</v>
      </c>
      <c r="GB90">
        <v>0</v>
      </c>
      <c r="GC90">
        <v>0</v>
      </c>
      <c r="GD90">
        <v>0</v>
      </c>
      <c r="GE90">
        <v>0</v>
      </c>
      <c r="GF90">
        <v>0</v>
      </c>
      <c r="GG90">
        <v>0</v>
      </c>
      <c r="GH90">
        <v>0</v>
      </c>
      <c r="GI90">
        <v>0</v>
      </c>
      <c r="GJ90">
        <v>0</v>
      </c>
      <c r="GK90">
        <v>0</v>
      </c>
      <c r="GL90">
        <v>0</v>
      </c>
      <c r="GM90">
        <v>0</v>
      </c>
      <c r="GN90">
        <v>0</v>
      </c>
      <c r="GO90">
        <v>0</v>
      </c>
      <c r="GP90">
        <v>0</v>
      </c>
      <c r="GQ90">
        <v>0</v>
      </c>
      <c r="GR90">
        <v>0</v>
      </c>
      <c r="GS90">
        <v>0</v>
      </c>
      <c r="GT90">
        <v>0</v>
      </c>
      <c r="GU90">
        <v>0</v>
      </c>
      <c r="GV90">
        <v>0</v>
      </c>
      <c r="GW90">
        <v>0</v>
      </c>
      <c r="GX90">
        <v>0</v>
      </c>
      <c r="GY90">
        <v>0</v>
      </c>
      <c r="GZ90">
        <v>0</v>
      </c>
      <c r="HA90">
        <v>0</v>
      </c>
      <c r="HB90">
        <v>0</v>
      </c>
      <c r="HC90">
        <v>0</v>
      </c>
      <c r="HD90">
        <v>0</v>
      </c>
      <c r="HE90">
        <v>0</v>
      </c>
      <c r="HF90">
        <v>0</v>
      </c>
      <c r="HG90">
        <v>0</v>
      </c>
      <c r="HH90">
        <v>0</v>
      </c>
      <c r="HI90">
        <v>0</v>
      </c>
      <c r="HJ90">
        <v>0</v>
      </c>
      <c r="HK90">
        <v>0</v>
      </c>
      <c r="HL90">
        <v>0</v>
      </c>
      <c r="HM90">
        <v>0</v>
      </c>
      <c r="HN90">
        <v>0</v>
      </c>
      <c r="HO90">
        <v>0</v>
      </c>
      <c r="HP90">
        <v>0</v>
      </c>
      <c r="HQ90">
        <v>0</v>
      </c>
      <c r="HR90">
        <v>0</v>
      </c>
      <c r="HS90">
        <v>0</v>
      </c>
      <c r="HT90">
        <v>0</v>
      </c>
      <c r="HU90">
        <v>0</v>
      </c>
      <c r="HV90">
        <v>0</v>
      </c>
      <c r="HW90">
        <v>0</v>
      </c>
      <c r="HX90">
        <v>0</v>
      </c>
      <c r="HY90">
        <v>0</v>
      </c>
      <c r="HZ90">
        <v>0</v>
      </c>
      <c r="IA90">
        <v>0</v>
      </c>
      <c r="IB90">
        <v>0</v>
      </c>
      <c r="IC90">
        <v>0</v>
      </c>
      <c r="ID90">
        <v>0</v>
      </c>
      <c r="IE90">
        <v>0</v>
      </c>
      <c r="IF90">
        <v>0</v>
      </c>
      <c r="IG90">
        <v>0</v>
      </c>
      <c r="IH90">
        <v>0</v>
      </c>
      <c r="II90">
        <v>0</v>
      </c>
      <c r="IJ90">
        <v>0</v>
      </c>
      <c r="IK90">
        <v>0</v>
      </c>
      <c r="IL90">
        <v>0</v>
      </c>
      <c r="IM90">
        <v>0</v>
      </c>
      <c r="IN90">
        <v>0</v>
      </c>
      <c r="IO90">
        <v>0</v>
      </c>
      <c r="IP90">
        <v>0</v>
      </c>
      <c r="IQ90">
        <v>0</v>
      </c>
      <c r="IR90">
        <v>0</v>
      </c>
      <c r="IS90">
        <v>0</v>
      </c>
      <c r="IT90">
        <v>0</v>
      </c>
      <c r="IU90">
        <v>0</v>
      </c>
      <c r="IV90">
        <v>0</v>
      </c>
      <c r="IW90">
        <v>0</v>
      </c>
      <c r="IX90">
        <v>0</v>
      </c>
      <c r="IY90">
        <v>0</v>
      </c>
      <c r="IZ90">
        <v>0</v>
      </c>
      <c r="JA90">
        <v>0</v>
      </c>
      <c r="JB90">
        <v>0</v>
      </c>
      <c r="JC90">
        <v>0</v>
      </c>
      <c r="JD90">
        <v>0</v>
      </c>
      <c r="JE90">
        <v>0</v>
      </c>
      <c r="JF90">
        <v>0</v>
      </c>
      <c r="JG90">
        <v>0</v>
      </c>
      <c r="JH90">
        <v>0</v>
      </c>
      <c r="JI90">
        <v>0</v>
      </c>
      <c r="JJ90">
        <v>0</v>
      </c>
      <c r="JK90">
        <v>0</v>
      </c>
      <c r="JL90">
        <v>0</v>
      </c>
      <c r="JM90">
        <v>0</v>
      </c>
      <c r="JN90">
        <v>0</v>
      </c>
      <c r="JO90">
        <v>0</v>
      </c>
      <c r="JP90">
        <v>0</v>
      </c>
      <c r="JQ90">
        <v>0</v>
      </c>
      <c r="JR90">
        <v>0</v>
      </c>
      <c r="JS90">
        <v>0</v>
      </c>
      <c r="JT90">
        <v>0</v>
      </c>
      <c r="JU90">
        <v>0</v>
      </c>
      <c r="JV90">
        <v>0</v>
      </c>
      <c r="JW90">
        <v>0</v>
      </c>
      <c r="JX90">
        <v>0</v>
      </c>
      <c r="JY90">
        <v>0</v>
      </c>
      <c r="JZ90">
        <v>0</v>
      </c>
      <c r="KA90">
        <v>0</v>
      </c>
      <c r="KB90">
        <v>0</v>
      </c>
      <c r="KC90">
        <v>0</v>
      </c>
      <c r="KD90">
        <v>0</v>
      </c>
      <c r="KE90">
        <v>0</v>
      </c>
      <c r="KF90">
        <v>0</v>
      </c>
      <c r="KG90">
        <v>0</v>
      </c>
      <c r="KH90">
        <v>0</v>
      </c>
      <c r="KI90">
        <v>0</v>
      </c>
      <c r="KJ90">
        <v>0</v>
      </c>
      <c r="KK90">
        <v>0</v>
      </c>
      <c r="KL90">
        <v>0</v>
      </c>
      <c r="KM90">
        <v>0</v>
      </c>
      <c r="KN90">
        <v>0</v>
      </c>
      <c r="KO90">
        <v>0</v>
      </c>
      <c r="KP90">
        <v>0</v>
      </c>
      <c r="KQ90">
        <v>0</v>
      </c>
      <c r="KR90">
        <v>0</v>
      </c>
      <c r="KS90">
        <v>0</v>
      </c>
      <c r="KT90">
        <v>0</v>
      </c>
      <c r="KU90">
        <v>0</v>
      </c>
      <c r="KV90">
        <v>0</v>
      </c>
      <c r="KW90">
        <v>0</v>
      </c>
      <c r="KX90">
        <v>0</v>
      </c>
      <c r="KY90">
        <v>0</v>
      </c>
      <c r="KZ90">
        <v>0</v>
      </c>
      <c r="LA90">
        <v>0</v>
      </c>
      <c r="LB90">
        <v>0</v>
      </c>
      <c r="LC90">
        <v>0</v>
      </c>
      <c r="LD90">
        <v>0</v>
      </c>
      <c r="LE90">
        <v>0</v>
      </c>
      <c r="LF90">
        <v>0</v>
      </c>
      <c r="LG90">
        <v>0</v>
      </c>
      <c r="LH90">
        <v>0</v>
      </c>
      <c r="LI90">
        <v>0</v>
      </c>
      <c r="LJ90">
        <v>0</v>
      </c>
      <c r="LK90">
        <v>0</v>
      </c>
      <c r="LL90">
        <v>0</v>
      </c>
      <c r="LM90">
        <v>0</v>
      </c>
      <c r="LN90">
        <v>0</v>
      </c>
      <c r="LO90">
        <v>0</v>
      </c>
      <c r="LP90">
        <v>0</v>
      </c>
      <c r="LQ90">
        <v>0</v>
      </c>
      <c r="LR90">
        <v>0</v>
      </c>
      <c r="LS90">
        <v>0</v>
      </c>
      <c r="LT90">
        <v>0</v>
      </c>
      <c r="LU90">
        <v>0</v>
      </c>
      <c r="LV90">
        <v>0</v>
      </c>
      <c r="LW90">
        <v>0</v>
      </c>
      <c r="LX90">
        <v>0</v>
      </c>
      <c r="LY90">
        <v>0</v>
      </c>
      <c r="LZ90">
        <v>0</v>
      </c>
      <c r="MA90">
        <v>0</v>
      </c>
      <c r="MB90">
        <v>0</v>
      </c>
      <c r="MC90">
        <v>0</v>
      </c>
      <c r="MD90">
        <v>0</v>
      </c>
      <c r="ME90">
        <v>0</v>
      </c>
      <c r="MF90">
        <v>0</v>
      </c>
      <c r="MG90">
        <v>0</v>
      </c>
      <c r="MH90">
        <v>0</v>
      </c>
      <c r="MI90">
        <v>0</v>
      </c>
      <c r="MJ90">
        <v>0</v>
      </c>
      <c r="MK90">
        <v>0</v>
      </c>
      <c r="ML90">
        <v>0</v>
      </c>
      <c r="MM90">
        <v>0</v>
      </c>
      <c r="MN90">
        <v>0</v>
      </c>
      <c r="MO90">
        <v>0</v>
      </c>
      <c r="MP90">
        <v>0</v>
      </c>
      <c r="MQ90">
        <v>0</v>
      </c>
      <c r="MR90">
        <v>0</v>
      </c>
      <c r="MS90">
        <v>0</v>
      </c>
      <c r="MT90">
        <v>0</v>
      </c>
      <c r="MU90">
        <v>0</v>
      </c>
      <c r="MV90">
        <v>0</v>
      </c>
      <c r="MW90">
        <v>0</v>
      </c>
      <c r="MX90">
        <v>0</v>
      </c>
      <c r="MY90">
        <v>0</v>
      </c>
      <c r="MZ90">
        <v>0</v>
      </c>
      <c r="NA90">
        <v>0</v>
      </c>
      <c r="NB90">
        <v>0</v>
      </c>
      <c r="NC90">
        <v>0</v>
      </c>
      <c r="ND90">
        <v>0</v>
      </c>
      <c r="NE90">
        <v>0</v>
      </c>
    </row>
    <row r="91" spans="41:369" x14ac:dyDescent="0.45">
      <c r="AO91" t="str">
        <v>B112</v>
      </c>
      <c r="AP91" t="str">
        <v>SHARAZ AHAMMED</v>
      </c>
      <c r="AQ91" t="str">
        <v>FANT</v>
      </c>
      <c r="AR91" t="str">
        <v>JUNIOR</v>
      </c>
      <c r="AS91">
        <v>3</v>
      </c>
      <c r="AT91">
        <v>0</v>
      </c>
      <c r="AU91">
        <v>0</v>
      </c>
      <c r="AV91">
        <v>0</v>
      </c>
      <c r="AW91">
        <v>0</v>
      </c>
      <c r="AX91">
        <v>255</v>
      </c>
      <c r="AY91" s="5">
        <v>255</v>
      </c>
      <c r="AZ91" t="str">
        <v>JN46</v>
      </c>
      <c r="BA91" t="str">
        <v>SPEECH &amp; SONG MLM</v>
      </c>
      <c r="BB91" t="str">
        <v>JUNIOR</v>
      </c>
      <c r="BC91" t="str">
        <v>Group</v>
      </c>
      <c r="BD91" t="str">
        <v>Stage</v>
      </c>
      <c r="BE91">
        <v>3</v>
      </c>
      <c r="BF91" t="str">
        <v>GROUP</v>
      </c>
      <c r="BG91" t="str">
        <v>GROUP</v>
      </c>
      <c r="BH91" t="str">
        <v>P</v>
      </c>
      <c r="BI91" t="str">
        <v>PUBLISHED</v>
      </c>
      <c r="BK91">
        <v>85</v>
      </c>
      <c r="BL91" t="str">
        <v>JN42</v>
      </c>
      <c r="BM91" t="str">
        <v>WAʿẒ</v>
      </c>
      <c r="BN91">
        <v>3</v>
      </c>
      <c r="BO91" t="str">
        <v>Single</v>
      </c>
      <c r="BP91" t="str">
        <v>Stage</v>
      </c>
      <c r="BQ91" t="str">
        <v>JUNIOR</v>
      </c>
      <c r="BR91" t="str">
        <v>B130</v>
      </c>
      <c r="BS91" t="str">
        <v>B135</v>
      </c>
      <c r="BT91" t="str">
        <v>B143</v>
      </c>
      <c r="BU91">
        <v>0</v>
      </c>
      <c r="BV91">
        <v>0</v>
      </c>
      <c r="BW91">
        <v>0</v>
      </c>
      <c r="BX91">
        <v>0</v>
      </c>
      <c r="BY91" t="str">
        <v>B109</v>
      </c>
      <c r="BZ91" t="str">
        <v>B149</v>
      </c>
      <c r="CA91" t="str">
        <v>B159</v>
      </c>
      <c r="CB91">
        <v>0</v>
      </c>
      <c r="CC91">
        <v>0</v>
      </c>
      <c r="CD91">
        <v>0</v>
      </c>
      <c r="CE91">
        <v>0</v>
      </c>
      <c r="CF91" t="str">
        <v>B117</v>
      </c>
      <c r="CG91" t="str">
        <v>B137</v>
      </c>
      <c r="CH91" t="str">
        <v>B153</v>
      </c>
      <c r="CI91">
        <v>0</v>
      </c>
      <c r="CJ91">
        <v>0</v>
      </c>
      <c r="CK91">
        <v>0</v>
      </c>
      <c r="CL91">
        <v>0</v>
      </c>
      <c r="CM91" t="str">
        <v>B105</v>
      </c>
      <c r="CN91" t="str">
        <v>B118</v>
      </c>
      <c r="CO91" t="str">
        <v>B152</v>
      </c>
      <c r="CP91">
        <v>0</v>
      </c>
      <c r="CQ91">
        <v>0</v>
      </c>
      <c r="CR91">
        <v>0</v>
      </c>
      <c r="CS91">
        <v>0</v>
      </c>
      <c r="CT91">
        <v>0</v>
      </c>
      <c r="CU91">
        <v>0</v>
      </c>
      <c r="CV91">
        <v>0</v>
      </c>
      <c r="CW91">
        <v>0</v>
      </c>
      <c r="CX91">
        <v>0</v>
      </c>
      <c r="CY91">
        <v>0</v>
      </c>
      <c r="CZ91">
        <v>0</v>
      </c>
      <c r="DA91">
        <v>0</v>
      </c>
      <c r="DB91">
        <v>0</v>
      </c>
      <c r="DC91">
        <v>0</v>
      </c>
      <c r="DD91">
        <v>0</v>
      </c>
      <c r="DE91">
        <v>0</v>
      </c>
      <c r="DF91">
        <v>0</v>
      </c>
      <c r="DG91">
        <v>0</v>
      </c>
      <c r="DH91">
        <v>0</v>
      </c>
      <c r="DI91">
        <v>0</v>
      </c>
      <c r="DJ91">
        <v>0</v>
      </c>
      <c r="DK91">
        <v>0</v>
      </c>
      <c r="DL91">
        <v>0</v>
      </c>
      <c r="DM91">
        <v>0</v>
      </c>
      <c r="DN91">
        <v>0</v>
      </c>
      <c r="DO91">
        <v>0</v>
      </c>
      <c r="DP91">
        <v>0</v>
      </c>
      <c r="DQ91">
        <v>0</v>
      </c>
      <c r="DR91">
        <v>0</v>
      </c>
      <c r="DS91">
        <v>0</v>
      </c>
      <c r="DT91">
        <v>0</v>
      </c>
      <c r="DU91">
        <v>0</v>
      </c>
      <c r="DV91">
        <v>0</v>
      </c>
      <c r="DW91">
        <v>0</v>
      </c>
      <c r="DX91">
        <v>0</v>
      </c>
      <c r="DY91">
        <v>0</v>
      </c>
      <c r="DZ91">
        <v>0</v>
      </c>
      <c r="EA91">
        <v>0</v>
      </c>
      <c r="EB91">
        <v>0</v>
      </c>
      <c r="EC91">
        <v>0</v>
      </c>
      <c r="ED91">
        <v>0</v>
      </c>
      <c r="EE91">
        <v>0</v>
      </c>
      <c r="EF91">
        <v>0</v>
      </c>
      <c r="EG91">
        <v>0</v>
      </c>
      <c r="EH91">
        <v>0</v>
      </c>
      <c r="EI91">
        <v>0</v>
      </c>
      <c r="EJ91">
        <v>0</v>
      </c>
      <c r="EK91">
        <v>0</v>
      </c>
      <c r="EL91">
        <v>0</v>
      </c>
      <c r="EM91">
        <v>0</v>
      </c>
      <c r="EN91">
        <v>0</v>
      </c>
      <c r="EO91">
        <v>0</v>
      </c>
      <c r="EP91">
        <v>0</v>
      </c>
      <c r="EQ91">
        <v>0</v>
      </c>
      <c r="ER91">
        <v>0</v>
      </c>
      <c r="ES91">
        <v>0</v>
      </c>
      <c r="ET91">
        <v>0</v>
      </c>
      <c r="EU91">
        <v>0</v>
      </c>
      <c r="EV91">
        <v>0</v>
      </c>
      <c r="EW91">
        <v>0</v>
      </c>
      <c r="EX91">
        <v>0</v>
      </c>
      <c r="EY91">
        <v>0</v>
      </c>
      <c r="EZ91">
        <v>0</v>
      </c>
      <c r="FA91">
        <v>0</v>
      </c>
      <c r="FB91">
        <v>0</v>
      </c>
      <c r="FC91">
        <v>0</v>
      </c>
      <c r="FD91">
        <v>0</v>
      </c>
      <c r="FE91">
        <v>0</v>
      </c>
      <c r="FF91">
        <v>0</v>
      </c>
      <c r="FG91">
        <v>0</v>
      </c>
      <c r="FH91">
        <v>0</v>
      </c>
      <c r="FI91">
        <v>0</v>
      </c>
      <c r="FJ91">
        <v>0</v>
      </c>
      <c r="FK91">
        <v>0</v>
      </c>
      <c r="FL91">
        <v>0</v>
      </c>
      <c r="FM91">
        <v>0</v>
      </c>
      <c r="FN91">
        <v>0</v>
      </c>
      <c r="FO91">
        <v>0</v>
      </c>
      <c r="FP91">
        <v>0</v>
      </c>
      <c r="FQ91">
        <v>0</v>
      </c>
      <c r="FR91">
        <v>0</v>
      </c>
      <c r="FS91">
        <v>0</v>
      </c>
      <c r="FT91">
        <v>0</v>
      </c>
      <c r="FU91">
        <v>0</v>
      </c>
      <c r="FV91">
        <v>0</v>
      </c>
      <c r="FW91">
        <v>0</v>
      </c>
      <c r="FX91">
        <v>0</v>
      </c>
      <c r="FY91">
        <v>0</v>
      </c>
      <c r="FZ91">
        <v>0</v>
      </c>
      <c r="GA91">
        <v>0</v>
      </c>
      <c r="GB91">
        <v>0</v>
      </c>
      <c r="GC91">
        <v>0</v>
      </c>
      <c r="GD91">
        <v>0</v>
      </c>
      <c r="GE91">
        <v>0</v>
      </c>
      <c r="GF91">
        <v>0</v>
      </c>
      <c r="GG91">
        <v>0</v>
      </c>
      <c r="GH91">
        <v>0</v>
      </c>
      <c r="GI91">
        <v>0</v>
      </c>
      <c r="GJ91">
        <v>0</v>
      </c>
      <c r="GK91">
        <v>0</v>
      </c>
      <c r="GL91">
        <v>0</v>
      </c>
      <c r="GM91">
        <v>0</v>
      </c>
      <c r="GN91">
        <v>0</v>
      </c>
      <c r="GO91">
        <v>0</v>
      </c>
      <c r="GP91">
        <v>0</v>
      </c>
      <c r="GQ91">
        <v>0</v>
      </c>
      <c r="GR91">
        <v>0</v>
      </c>
      <c r="GS91">
        <v>0</v>
      </c>
      <c r="GT91">
        <v>0</v>
      </c>
      <c r="GU91">
        <v>0</v>
      </c>
      <c r="GV91">
        <v>0</v>
      </c>
      <c r="GW91">
        <v>0</v>
      </c>
      <c r="GX91">
        <v>0</v>
      </c>
      <c r="GY91">
        <v>0</v>
      </c>
      <c r="GZ91">
        <v>0</v>
      </c>
      <c r="HA91">
        <v>0</v>
      </c>
      <c r="HB91">
        <v>0</v>
      </c>
      <c r="HC91">
        <v>0</v>
      </c>
      <c r="HD91">
        <v>0</v>
      </c>
      <c r="HE91">
        <v>0</v>
      </c>
      <c r="HF91">
        <v>0</v>
      </c>
      <c r="HG91">
        <v>0</v>
      </c>
      <c r="HH91">
        <v>0</v>
      </c>
      <c r="HI91">
        <v>0</v>
      </c>
      <c r="HJ91">
        <v>0</v>
      </c>
      <c r="HK91">
        <v>0</v>
      </c>
      <c r="HL91">
        <v>0</v>
      </c>
      <c r="HM91">
        <v>0</v>
      </c>
      <c r="HN91">
        <v>0</v>
      </c>
      <c r="HO91">
        <v>0</v>
      </c>
      <c r="HP91">
        <v>0</v>
      </c>
      <c r="HQ91">
        <v>0</v>
      </c>
      <c r="HR91">
        <v>0</v>
      </c>
      <c r="HS91">
        <v>0</v>
      </c>
      <c r="HT91">
        <v>0</v>
      </c>
      <c r="HU91">
        <v>0</v>
      </c>
      <c r="HV91">
        <v>0</v>
      </c>
      <c r="HW91">
        <v>0</v>
      </c>
      <c r="HX91">
        <v>0</v>
      </c>
      <c r="HY91">
        <v>0</v>
      </c>
      <c r="HZ91">
        <v>0</v>
      </c>
      <c r="IA91">
        <v>0</v>
      </c>
      <c r="IB91">
        <v>0</v>
      </c>
      <c r="IC91">
        <v>0</v>
      </c>
      <c r="ID91">
        <v>0</v>
      </c>
      <c r="IE91">
        <v>0</v>
      </c>
      <c r="IF91">
        <v>0</v>
      </c>
      <c r="IG91">
        <v>0</v>
      </c>
      <c r="IH91">
        <v>0</v>
      </c>
      <c r="II91">
        <v>0</v>
      </c>
      <c r="IJ91">
        <v>0</v>
      </c>
      <c r="IK91">
        <v>0</v>
      </c>
      <c r="IL91">
        <v>0</v>
      </c>
      <c r="IM91">
        <v>0</v>
      </c>
      <c r="IN91">
        <v>0</v>
      </c>
      <c r="IO91">
        <v>0</v>
      </c>
      <c r="IP91">
        <v>0</v>
      </c>
      <c r="IQ91">
        <v>0</v>
      </c>
      <c r="IR91">
        <v>0</v>
      </c>
      <c r="IS91">
        <v>0</v>
      </c>
      <c r="IT91">
        <v>0</v>
      </c>
      <c r="IU91">
        <v>0</v>
      </c>
      <c r="IV91">
        <v>0</v>
      </c>
      <c r="IW91">
        <v>0</v>
      </c>
      <c r="IX91">
        <v>0</v>
      </c>
      <c r="IY91">
        <v>0</v>
      </c>
      <c r="IZ91">
        <v>0</v>
      </c>
      <c r="JA91">
        <v>0</v>
      </c>
      <c r="JB91">
        <v>0</v>
      </c>
      <c r="JC91">
        <v>0</v>
      </c>
      <c r="JD91">
        <v>0</v>
      </c>
      <c r="JE91">
        <v>0</v>
      </c>
      <c r="JF91">
        <v>0</v>
      </c>
      <c r="JG91">
        <v>0</v>
      </c>
      <c r="JH91">
        <v>0</v>
      </c>
      <c r="JI91">
        <v>0</v>
      </c>
      <c r="JJ91">
        <v>0</v>
      </c>
      <c r="JK91">
        <v>0</v>
      </c>
      <c r="JL91">
        <v>0</v>
      </c>
      <c r="JM91">
        <v>0</v>
      </c>
      <c r="JN91">
        <v>0</v>
      </c>
      <c r="JO91">
        <v>0</v>
      </c>
      <c r="JP91">
        <v>0</v>
      </c>
      <c r="JQ91">
        <v>0</v>
      </c>
      <c r="JR91">
        <v>0</v>
      </c>
      <c r="JS91">
        <v>0</v>
      </c>
      <c r="JT91">
        <v>0</v>
      </c>
      <c r="JU91">
        <v>0</v>
      </c>
      <c r="JV91">
        <v>0</v>
      </c>
      <c r="JW91">
        <v>0</v>
      </c>
      <c r="JX91">
        <v>0</v>
      </c>
      <c r="JY91">
        <v>0</v>
      </c>
      <c r="JZ91">
        <v>0</v>
      </c>
      <c r="KA91">
        <v>0</v>
      </c>
      <c r="KB91">
        <v>0</v>
      </c>
      <c r="KC91">
        <v>0</v>
      </c>
      <c r="KD91">
        <v>0</v>
      </c>
      <c r="KE91">
        <v>0</v>
      </c>
      <c r="KF91">
        <v>0</v>
      </c>
      <c r="KG91">
        <v>0</v>
      </c>
      <c r="KH91">
        <v>0</v>
      </c>
      <c r="KI91">
        <v>0</v>
      </c>
      <c r="KJ91">
        <v>0</v>
      </c>
      <c r="KK91">
        <v>0</v>
      </c>
      <c r="KL91">
        <v>0</v>
      </c>
      <c r="KM91">
        <v>0</v>
      </c>
      <c r="KN91">
        <v>0</v>
      </c>
      <c r="KO91">
        <v>0</v>
      </c>
      <c r="KP91">
        <v>0</v>
      </c>
      <c r="KQ91">
        <v>0</v>
      </c>
      <c r="KR91">
        <v>0</v>
      </c>
      <c r="KS91">
        <v>0</v>
      </c>
      <c r="KT91">
        <v>0</v>
      </c>
      <c r="KU91">
        <v>0</v>
      </c>
      <c r="KV91">
        <v>0</v>
      </c>
      <c r="KW91">
        <v>0</v>
      </c>
      <c r="KX91">
        <v>0</v>
      </c>
      <c r="KY91">
        <v>0</v>
      </c>
      <c r="KZ91">
        <v>0</v>
      </c>
      <c r="LA91">
        <v>0</v>
      </c>
      <c r="LB91">
        <v>0</v>
      </c>
      <c r="LC91">
        <v>0</v>
      </c>
      <c r="LD91">
        <v>0</v>
      </c>
      <c r="LE91">
        <v>0</v>
      </c>
      <c r="LF91">
        <v>0</v>
      </c>
      <c r="LG91">
        <v>0</v>
      </c>
      <c r="LH91">
        <v>0</v>
      </c>
      <c r="LI91">
        <v>0</v>
      </c>
      <c r="LJ91">
        <v>0</v>
      </c>
      <c r="LK91">
        <v>0</v>
      </c>
      <c r="LL91">
        <v>0</v>
      </c>
      <c r="LM91">
        <v>0</v>
      </c>
      <c r="LN91">
        <v>0</v>
      </c>
      <c r="LO91">
        <v>0</v>
      </c>
      <c r="LP91">
        <v>0</v>
      </c>
      <c r="LQ91">
        <v>0</v>
      </c>
      <c r="LR91">
        <v>0</v>
      </c>
      <c r="LS91">
        <v>0</v>
      </c>
      <c r="LT91">
        <v>0</v>
      </c>
      <c r="LU91">
        <v>0</v>
      </c>
      <c r="LV91">
        <v>0</v>
      </c>
      <c r="LW91">
        <v>0</v>
      </c>
      <c r="LX91">
        <v>0</v>
      </c>
      <c r="LY91">
        <v>0</v>
      </c>
      <c r="LZ91">
        <v>0</v>
      </c>
      <c r="MA91">
        <v>0</v>
      </c>
      <c r="MB91">
        <v>0</v>
      </c>
      <c r="MC91">
        <v>0</v>
      </c>
      <c r="MD91">
        <v>0</v>
      </c>
      <c r="ME91">
        <v>0</v>
      </c>
      <c r="MF91">
        <v>0</v>
      </c>
      <c r="MG91">
        <v>0</v>
      </c>
      <c r="MH91">
        <v>0</v>
      </c>
      <c r="MI91">
        <v>0</v>
      </c>
      <c r="MJ91">
        <v>0</v>
      </c>
      <c r="MK91">
        <v>0</v>
      </c>
      <c r="ML91">
        <v>0</v>
      </c>
      <c r="MM91">
        <v>0</v>
      </c>
      <c r="MN91">
        <v>0</v>
      </c>
      <c r="MO91">
        <v>0</v>
      </c>
      <c r="MP91">
        <v>0</v>
      </c>
      <c r="MQ91">
        <v>0</v>
      </c>
      <c r="MR91">
        <v>0</v>
      </c>
      <c r="MS91">
        <v>0</v>
      </c>
      <c r="MT91">
        <v>0</v>
      </c>
      <c r="MU91">
        <v>0</v>
      </c>
      <c r="MV91">
        <v>0</v>
      </c>
      <c r="MW91">
        <v>0</v>
      </c>
      <c r="MX91">
        <v>0</v>
      </c>
      <c r="MY91">
        <v>0</v>
      </c>
      <c r="MZ91">
        <v>0</v>
      </c>
      <c r="NA91">
        <v>0</v>
      </c>
      <c r="NB91">
        <v>0</v>
      </c>
      <c r="NC91">
        <v>0</v>
      </c>
      <c r="ND91">
        <v>0</v>
      </c>
      <c r="NE91">
        <v>0</v>
      </c>
    </row>
    <row r="92" spans="41:369" x14ac:dyDescent="0.45">
      <c r="AO92" t="str">
        <v>B113</v>
      </c>
      <c r="AP92" t="str">
        <v>MUHAMMED IHTHISHAM P I</v>
      </c>
      <c r="AQ92" t="str">
        <v>BADF</v>
      </c>
      <c r="AR92" t="str">
        <v>JUNIOR</v>
      </c>
      <c r="AS92">
        <v>3</v>
      </c>
      <c r="AT92">
        <v>18</v>
      </c>
      <c r="AU92">
        <v>0</v>
      </c>
      <c r="AV92">
        <v>18</v>
      </c>
      <c r="AW92">
        <v>18</v>
      </c>
      <c r="AX92">
        <v>81</v>
      </c>
      <c r="AY92" s="5">
        <v>81</v>
      </c>
      <c r="AZ92" t="str">
        <v>SN01</v>
      </c>
      <c r="BA92" t="str">
        <v>ALFIYA CONTEST</v>
      </c>
      <c r="BB92" t="str">
        <v>SENIOR</v>
      </c>
      <c r="BC92" t="str">
        <v>Single</v>
      </c>
      <c r="BD92" t="str">
        <v>Non-Stg</v>
      </c>
      <c r="BE92">
        <v>2</v>
      </c>
      <c r="BF92" t="str">
        <v>Individual</v>
      </c>
      <c r="BG92" t="str">
        <v>Individual</v>
      </c>
      <c r="BH92" t="str">
        <v>P</v>
      </c>
      <c r="BI92" t="str">
        <v>PUBLISHED</v>
      </c>
      <c r="BK92">
        <v>86</v>
      </c>
      <c r="BL92" t="str">
        <v>JN43</v>
      </c>
      <c r="BM92" t="str">
        <v>WORD FIGHT ENG</v>
      </c>
      <c r="BN92">
        <v>3</v>
      </c>
      <c r="BO92" t="str">
        <v>Single</v>
      </c>
      <c r="BP92" t="str">
        <v>Stage</v>
      </c>
      <c r="BQ92" t="str">
        <v>JUNIOR</v>
      </c>
      <c r="BR92" t="str">
        <v>B111</v>
      </c>
      <c r="BS92" t="str">
        <v>B123</v>
      </c>
      <c r="BT92" t="str">
        <v>B157</v>
      </c>
      <c r="BU92">
        <v>0</v>
      </c>
      <c r="BV92">
        <v>0</v>
      </c>
      <c r="BW92">
        <v>0</v>
      </c>
      <c r="BX92">
        <v>0</v>
      </c>
      <c r="BY92" t="str">
        <v>B110</v>
      </c>
      <c r="BZ92" t="str">
        <v>B122</v>
      </c>
      <c r="CA92" t="str">
        <v>B158</v>
      </c>
      <c r="CB92">
        <v>0</v>
      </c>
      <c r="CC92">
        <v>0</v>
      </c>
      <c r="CD92">
        <v>0</v>
      </c>
      <c r="CE92">
        <v>0</v>
      </c>
      <c r="CF92" t="str">
        <v>B113</v>
      </c>
      <c r="CG92" t="str">
        <v>B142</v>
      </c>
      <c r="CH92" t="str">
        <v>B164</v>
      </c>
      <c r="CI92">
        <v>0</v>
      </c>
      <c r="CJ92">
        <v>0</v>
      </c>
      <c r="CK92">
        <v>0</v>
      </c>
      <c r="CL92">
        <v>0</v>
      </c>
      <c r="CM92" t="str">
        <v>B107</v>
      </c>
      <c r="CN92" t="str">
        <v>B131</v>
      </c>
      <c r="CO92" t="str">
        <v>B156</v>
      </c>
      <c r="CP92">
        <v>0</v>
      </c>
      <c r="CQ92">
        <v>0</v>
      </c>
      <c r="CR92">
        <v>0</v>
      </c>
      <c r="CS92">
        <v>0</v>
      </c>
      <c r="CT92">
        <v>0</v>
      </c>
      <c r="CU92">
        <v>0</v>
      </c>
      <c r="CV92">
        <v>0</v>
      </c>
      <c r="CW92">
        <v>0</v>
      </c>
      <c r="CX92">
        <v>0</v>
      </c>
      <c r="CY92">
        <v>0</v>
      </c>
      <c r="CZ92">
        <v>0</v>
      </c>
      <c r="DA92">
        <v>0</v>
      </c>
      <c r="DB92">
        <v>0</v>
      </c>
      <c r="DC92">
        <v>0</v>
      </c>
      <c r="DD92">
        <v>0</v>
      </c>
      <c r="DE92">
        <v>0</v>
      </c>
      <c r="DF92">
        <v>0</v>
      </c>
      <c r="DG92">
        <v>0</v>
      </c>
      <c r="DH92">
        <v>0</v>
      </c>
      <c r="DI92">
        <v>0</v>
      </c>
      <c r="DJ92">
        <v>0</v>
      </c>
      <c r="DK92">
        <v>0</v>
      </c>
      <c r="DL92">
        <v>0</v>
      </c>
      <c r="DM92">
        <v>0</v>
      </c>
      <c r="DN92">
        <v>0</v>
      </c>
      <c r="DO92">
        <v>0</v>
      </c>
      <c r="DP92">
        <v>0</v>
      </c>
      <c r="DQ92">
        <v>0</v>
      </c>
      <c r="DR92">
        <v>0</v>
      </c>
      <c r="DS92">
        <v>0</v>
      </c>
      <c r="DT92">
        <v>0</v>
      </c>
      <c r="DU92">
        <v>0</v>
      </c>
      <c r="DV92">
        <v>0</v>
      </c>
      <c r="DW92">
        <v>0</v>
      </c>
      <c r="DX92">
        <v>0</v>
      </c>
      <c r="DY92">
        <v>0</v>
      </c>
      <c r="DZ92">
        <v>0</v>
      </c>
      <c r="EA92">
        <v>0</v>
      </c>
      <c r="EB92">
        <v>0</v>
      </c>
      <c r="EC92">
        <v>0</v>
      </c>
      <c r="ED92">
        <v>0</v>
      </c>
      <c r="EE92">
        <v>0</v>
      </c>
      <c r="EF92">
        <v>0</v>
      </c>
      <c r="EG92">
        <v>0</v>
      </c>
      <c r="EH92">
        <v>0</v>
      </c>
      <c r="EI92">
        <v>0</v>
      </c>
      <c r="EJ92">
        <v>0</v>
      </c>
      <c r="EK92">
        <v>0</v>
      </c>
      <c r="EL92">
        <v>0</v>
      </c>
      <c r="EM92">
        <v>0</v>
      </c>
      <c r="EN92">
        <v>0</v>
      </c>
      <c r="EO92">
        <v>0</v>
      </c>
      <c r="EP92">
        <v>0</v>
      </c>
      <c r="EQ92">
        <v>0</v>
      </c>
      <c r="ER92">
        <v>0</v>
      </c>
      <c r="ES92">
        <v>0</v>
      </c>
      <c r="ET92">
        <v>0</v>
      </c>
      <c r="EU92">
        <v>0</v>
      </c>
      <c r="EV92">
        <v>0</v>
      </c>
      <c r="EW92">
        <v>0</v>
      </c>
      <c r="EX92">
        <v>0</v>
      </c>
      <c r="EY92">
        <v>0</v>
      </c>
      <c r="EZ92">
        <v>0</v>
      </c>
      <c r="FA92">
        <v>0</v>
      </c>
      <c r="FB92">
        <v>0</v>
      </c>
      <c r="FC92">
        <v>0</v>
      </c>
      <c r="FD92">
        <v>0</v>
      </c>
      <c r="FE92">
        <v>0</v>
      </c>
      <c r="FF92">
        <v>0</v>
      </c>
      <c r="FG92">
        <v>0</v>
      </c>
      <c r="FH92">
        <v>0</v>
      </c>
      <c r="FI92">
        <v>0</v>
      </c>
      <c r="FJ92">
        <v>0</v>
      </c>
      <c r="FK92">
        <v>0</v>
      </c>
      <c r="FL92">
        <v>0</v>
      </c>
      <c r="FM92">
        <v>0</v>
      </c>
      <c r="FN92">
        <v>0</v>
      </c>
      <c r="FO92">
        <v>0</v>
      </c>
      <c r="FP92">
        <v>0</v>
      </c>
      <c r="FQ92">
        <v>0</v>
      </c>
      <c r="FR92">
        <v>0</v>
      </c>
      <c r="FS92">
        <v>0</v>
      </c>
      <c r="FT92">
        <v>0</v>
      </c>
      <c r="FU92">
        <v>0</v>
      </c>
      <c r="FV92">
        <v>0</v>
      </c>
      <c r="FW92">
        <v>0</v>
      </c>
      <c r="FX92">
        <v>0</v>
      </c>
      <c r="FY92">
        <v>0</v>
      </c>
      <c r="FZ92">
        <v>0</v>
      </c>
      <c r="GA92">
        <v>0</v>
      </c>
      <c r="GB92">
        <v>0</v>
      </c>
      <c r="GC92">
        <v>0</v>
      </c>
      <c r="GD92">
        <v>0</v>
      </c>
      <c r="GE92">
        <v>0</v>
      </c>
      <c r="GF92">
        <v>0</v>
      </c>
      <c r="GG92">
        <v>0</v>
      </c>
      <c r="GH92">
        <v>0</v>
      </c>
      <c r="GI92">
        <v>0</v>
      </c>
      <c r="GJ92">
        <v>0</v>
      </c>
      <c r="GK92">
        <v>0</v>
      </c>
      <c r="GL92">
        <v>0</v>
      </c>
      <c r="GM92">
        <v>0</v>
      </c>
      <c r="GN92">
        <v>0</v>
      </c>
      <c r="GO92">
        <v>0</v>
      </c>
      <c r="GP92">
        <v>0</v>
      </c>
      <c r="GQ92">
        <v>0</v>
      </c>
      <c r="GR92">
        <v>0</v>
      </c>
      <c r="GS92">
        <v>0</v>
      </c>
      <c r="GT92">
        <v>0</v>
      </c>
      <c r="GU92">
        <v>0</v>
      </c>
      <c r="GV92">
        <v>0</v>
      </c>
      <c r="GW92">
        <v>0</v>
      </c>
      <c r="GX92">
        <v>0</v>
      </c>
      <c r="GY92">
        <v>0</v>
      </c>
      <c r="GZ92">
        <v>0</v>
      </c>
      <c r="HA92">
        <v>0</v>
      </c>
      <c r="HB92">
        <v>0</v>
      </c>
      <c r="HC92">
        <v>0</v>
      </c>
      <c r="HD92">
        <v>0</v>
      </c>
      <c r="HE92">
        <v>0</v>
      </c>
      <c r="HF92">
        <v>0</v>
      </c>
      <c r="HG92">
        <v>0</v>
      </c>
      <c r="HH92">
        <v>0</v>
      </c>
      <c r="HI92">
        <v>0</v>
      </c>
      <c r="HJ92">
        <v>0</v>
      </c>
      <c r="HK92">
        <v>0</v>
      </c>
      <c r="HL92">
        <v>0</v>
      </c>
      <c r="HM92">
        <v>0</v>
      </c>
      <c r="HN92">
        <v>0</v>
      </c>
      <c r="HO92">
        <v>0</v>
      </c>
      <c r="HP92">
        <v>0</v>
      </c>
      <c r="HQ92">
        <v>0</v>
      </c>
      <c r="HR92">
        <v>0</v>
      </c>
      <c r="HS92">
        <v>0</v>
      </c>
      <c r="HT92">
        <v>0</v>
      </c>
      <c r="HU92">
        <v>0</v>
      </c>
      <c r="HV92">
        <v>0</v>
      </c>
      <c r="HW92">
        <v>0</v>
      </c>
      <c r="HX92">
        <v>0</v>
      </c>
      <c r="HY92">
        <v>0</v>
      </c>
      <c r="HZ92">
        <v>0</v>
      </c>
      <c r="IA92">
        <v>0</v>
      </c>
      <c r="IB92">
        <v>0</v>
      </c>
      <c r="IC92">
        <v>0</v>
      </c>
      <c r="ID92">
        <v>0</v>
      </c>
      <c r="IE92">
        <v>0</v>
      </c>
      <c r="IF92">
        <v>0</v>
      </c>
      <c r="IG92">
        <v>0</v>
      </c>
      <c r="IH92">
        <v>0</v>
      </c>
      <c r="II92">
        <v>0</v>
      </c>
      <c r="IJ92">
        <v>0</v>
      </c>
      <c r="IK92">
        <v>0</v>
      </c>
      <c r="IL92">
        <v>0</v>
      </c>
      <c r="IM92">
        <v>0</v>
      </c>
      <c r="IN92">
        <v>0</v>
      </c>
      <c r="IO92">
        <v>0</v>
      </c>
      <c r="IP92">
        <v>0</v>
      </c>
      <c r="IQ92">
        <v>0</v>
      </c>
      <c r="IR92">
        <v>0</v>
      </c>
      <c r="IS92">
        <v>0</v>
      </c>
      <c r="IT92">
        <v>0</v>
      </c>
      <c r="IU92">
        <v>0</v>
      </c>
      <c r="IV92">
        <v>0</v>
      </c>
      <c r="IW92">
        <v>0</v>
      </c>
      <c r="IX92">
        <v>0</v>
      </c>
      <c r="IY92">
        <v>0</v>
      </c>
      <c r="IZ92">
        <v>0</v>
      </c>
      <c r="JA92">
        <v>0</v>
      </c>
      <c r="JB92">
        <v>0</v>
      </c>
      <c r="JC92">
        <v>0</v>
      </c>
      <c r="JD92">
        <v>0</v>
      </c>
      <c r="JE92">
        <v>0</v>
      </c>
      <c r="JF92">
        <v>0</v>
      </c>
      <c r="JG92">
        <v>0</v>
      </c>
      <c r="JH92">
        <v>0</v>
      </c>
      <c r="JI92">
        <v>0</v>
      </c>
      <c r="JJ92">
        <v>0</v>
      </c>
      <c r="JK92">
        <v>0</v>
      </c>
      <c r="JL92">
        <v>0</v>
      </c>
      <c r="JM92">
        <v>0</v>
      </c>
      <c r="JN92">
        <v>0</v>
      </c>
      <c r="JO92">
        <v>0</v>
      </c>
      <c r="JP92">
        <v>0</v>
      </c>
      <c r="JQ92">
        <v>0</v>
      </c>
      <c r="JR92">
        <v>0</v>
      </c>
      <c r="JS92">
        <v>0</v>
      </c>
      <c r="JT92">
        <v>0</v>
      </c>
      <c r="JU92">
        <v>0</v>
      </c>
      <c r="JV92">
        <v>0</v>
      </c>
      <c r="JW92">
        <v>0</v>
      </c>
      <c r="JX92">
        <v>0</v>
      </c>
      <c r="JY92">
        <v>0</v>
      </c>
      <c r="JZ92">
        <v>0</v>
      </c>
      <c r="KA92">
        <v>0</v>
      </c>
      <c r="KB92">
        <v>0</v>
      </c>
      <c r="KC92">
        <v>0</v>
      </c>
      <c r="KD92">
        <v>0</v>
      </c>
      <c r="KE92">
        <v>0</v>
      </c>
      <c r="KF92">
        <v>0</v>
      </c>
      <c r="KG92">
        <v>0</v>
      </c>
      <c r="KH92">
        <v>0</v>
      </c>
      <c r="KI92">
        <v>0</v>
      </c>
      <c r="KJ92">
        <v>0</v>
      </c>
      <c r="KK92">
        <v>0</v>
      </c>
      <c r="KL92">
        <v>0</v>
      </c>
      <c r="KM92">
        <v>0</v>
      </c>
      <c r="KN92">
        <v>0</v>
      </c>
      <c r="KO92">
        <v>0</v>
      </c>
      <c r="KP92">
        <v>0</v>
      </c>
      <c r="KQ92">
        <v>0</v>
      </c>
      <c r="KR92">
        <v>0</v>
      </c>
      <c r="KS92">
        <v>0</v>
      </c>
      <c r="KT92">
        <v>0</v>
      </c>
      <c r="KU92">
        <v>0</v>
      </c>
      <c r="KV92">
        <v>0</v>
      </c>
      <c r="KW92">
        <v>0</v>
      </c>
      <c r="KX92">
        <v>0</v>
      </c>
      <c r="KY92">
        <v>0</v>
      </c>
      <c r="KZ92">
        <v>0</v>
      </c>
      <c r="LA92">
        <v>0</v>
      </c>
      <c r="LB92">
        <v>0</v>
      </c>
      <c r="LC92">
        <v>0</v>
      </c>
      <c r="LD92">
        <v>0</v>
      </c>
      <c r="LE92">
        <v>0</v>
      </c>
      <c r="LF92">
        <v>0</v>
      </c>
      <c r="LG92">
        <v>0</v>
      </c>
      <c r="LH92">
        <v>0</v>
      </c>
      <c r="LI92">
        <v>0</v>
      </c>
      <c r="LJ92">
        <v>0</v>
      </c>
      <c r="LK92">
        <v>0</v>
      </c>
      <c r="LL92">
        <v>0</v>
      </c>
      <c r="LM92">
        <v>0</v>
      </c>
      <c r="LN92">
        <v>0</v>
      </c>
      <c r="LO92">
        <v>0</v>
      </c>
      <c r="LP92">
        <v>0</v>
      </c>
      <c r="LQ92">
        <v>0</v>
      </c>
      <c r="LR92">
        <v>0</v>
      </c>
      <c r="LS92">
        <v>0</v>
      </c>
      <c r="LT92">
        <v>0</v>
      </c>
      <c r="LU92">
        <v>0</v>
      </c>
      <c r="LV92">
        <v>0</v>
      </c>
      <c r="LW92">
        <v>0</v>
      </c>
      <c r="LX92">
        <v>0</v>
      </c>
      <c r="LY92">
        <v>0</v>
      </c>
      <c r="LZ92">
        <v>0</v>
      </c>
      <c r="MA92">
        <v>0</v>
      </c>
      <c r="MB92">
        <v>0</v>
      </c>
      <c r="MC92">
        <v>0</v>
      </c>
      <c r="MD92">
        <v>0</v>
      </c>
      <c r="ME92">
        <v>0</v>
      </c>
      <c r="MF92">
        <v>0</v>
      </c>
      <c r="MG92">
        <v>0</v>
      </c>
      <c r="MH92">
        <v>0</v>
      </c>
      <c r="MI92">
        <v>0</v>
      </c>
      <c r="MJ92">
        <v>0</v>
      </c>
      <c r="MK92">
        <v>0</v>
      </c>
      <c r="ML92">
        <v>0</v>
      </c>
      <c r="MM92">
        <v>0</v>
      </c>
      <c r="MN92">
        <v>0</v>
      </c>
      <c r="MO92">
        <v>0</v>
      </c>
      <c r="MP92">
        <v>0</v>
      </c>
      <c r="MQ92">
        <v>0</v>
      </c>
      <c r="MR92">
        <v>0</v>
      </c>
      <c r="MS92">
        <v>0</v>
      </c>
      <c r="MT92">
        <v>0</v>
      </c>
      <c r="MU92">
        <v>0</v>
      </c>
      <c r="MV92">
        <v>0</v>
      </c>
      <c r="MW92">
        <v>0</v>
      </c>
      <c r="MX92">
        <v>0</v>
      </c>
      <c r="MY92">
        <v>0</v>
      </c>
      <c r="MZ92">
        <v>0</v>
      </c>
      <c r="NA92">
        <v>0</v>
      </c>
      <c r="NB92">
        <v>0</v>
      </c>
      <c r="NC92">
        <v>0</v>
      </c>
      <c r="ND92">
        <v>0</v>
      </c>
      <c r="NE92">
        <v>0</v>
      </c>
    </row>
    <row r="93" spans="41:369" x14ac:dyDescent="0.45">
      <c r="AO93" t="str">
        <v>B114</v>
      </c>
      <c r="AP93" t="str">
        <v>AMEEN RAHMAN MTP</v>
      </c>
      <c r="AQ93" t="str">
        <v>DAHF</v>
      </c>
      <c r="AR93" t="str">
        <v>JUNIOR</v>
      </c>
      <c r="AS93">
        <v>3</v>
      </c>
      <c r="AT93">
        <v>6</v>
      </c>
      <c r="AU93">
        <v>0</v>
      </c>
      <c r="AV93">
        <v>6</v>
      </c>
      <c r="AW93">
        <v>6</v>
      </c>
      <c r="AX93">
        <v>171</v>
      </c>
      <c r="AY93" s="5">
        <v>171</v>
      </c>
      <c r="AZ93" t="str">
        <v>SN02</v>
      </c>
      <c r="BA93" t="str">
        <v>CALLIGRAPHY</v>
      </c>
      <c r="BB93" t="str">
        <v>SENIOR</v>
      </c>
      <c r="BC93" t="str">
        <v>Single</v>
      </c>
      <c r="BD93" t="str">
        <v>Non-Stg</v>
      </c>
      <c r="BE93">
        <v>2</v>
      </c>
      <c r="BF93" t="str">
        <v>Individual</v>
      </c>
      <c r="BG93" t="str">
        <v>Individual</v>
      </c>
      <c r="BH93" t="str">
        <v>P</v>
      </c>
      <c r="BI93" t="str">
        <v>PUBLISHED</v>
      </c>
      <c r="BK93">
        <v>87</v>
      </c>
      <c r="BL93" t="str">
        <v>JN44</v>
      </c>
      <c r="BM93" t="str">
        <v>INSTANT MAGAZINE MLM</v>
      </c>
      <c r="BN93">
        <v>5</v>
      </c>
      <c r="BO93" t="str">
        <v>Group</v>
      </c>
      <c r="BP93" t="str">
        <v>Non-Stg</v>
      </c>
      <c r="BQ93" t="str">
        <v>JUNIOR</v>
      </c>
      <c r="BR93" t="str">
        <v>B145</v>
      </c>
      <c r="BS93" t="str">
        <v>B129</v>
      </c>
      <c r="BT93" t="str">
        <v>B143</v>
      </c>
      <c r="BU93" t="str">
        <v>B144</v>
      </c>
      <c r="BV93" t="str">
        <v>B115</v>
      </c>
      <c r="BW93">
        <v>0</v>
      </c>
      <c r="BX93">
        <v>0</v>
      </c>
      <c r="BY93" t="str">
        <v>B109</v>
      </c>
      <c r="BZ93" t="str">
        <v>B114</v>
      </c>
      <c r="CA93" t="str">
        <v>B139</v>
      </c>
      <c r="CB93" t="str">
        <v>B155</v>
      </c>
      <c r="CC93" t="str">
        <v>B161</v>
      </c>
      <c r="CD93">
        <v>0</v>
      </c>
      <c r="CE93">
        <v>0</v>
      </c>
      <c r="CF93" t="str">
        <v>B106</v>
      </c>
      <c r="CG93" t="str">
        <v>B138</v>
      </c>
      <c r="CH93" t="str">
        <v>B142</v>
      </c>
      <c r="CI93" t="str">
        <v>B146</v>
      </c>
      <c r="CJ93" t="str">
        <v>B164</v>
      </c>
      <c r="CK93">
        <v>0</v>
      </c>
      <c r="CL93">
        <v>0</v>
      </c>
      <c r="CM93" t="str">
        <v>B107</v>
      </c>
      <c r="CN93" t="str">
        <v>B108</v>
      </c>
      <c r="CO93" t="str">
        <v>B147</v>
      </c>
      <c r="CP93" t="str">
        <v>B152</v>
      </c>
      <c r="CQ93" t="str">
        <v>B162</v>
      </c>
      <c r="CR93">
        <v>0</v>
      </c>
      <c r="CS93">
        <v>0</v>
      </c>
      <c r="CT93">
        <v>0</v>
      </c>
      <c r="CU93">
        <v>0</v>
      </c>
      <c r="CV93">
        <v>0</v>
      </c>
      <c r="CW93">
        <v>0</v>
      </c>
      <c r="CX93">
        <v>0</v>
      </c>
      <c r="CY93">
        <v>0</v>
      </c>
      <c r="CZ93">
        <v>0</v>
      </c>
      <c r="DA93">
        <v>0</v>
      </c>
      <c r="DB93">
        <v>0</v>
      </c>
      <c r="DC93">
        <v>0</v>
      </c>
      <c r="DD93">
        <v>0</v>
      </c>
      <c r="DE93">
        <v>0</v>
      </c>
      <c r="DF93">
        <v>0</v>
      </c>
      <c r="DG93">
        <v>0</v>
      </c>
      <c r="DH93">
        <v>0</v>
      </c>
      <c r="DI93">
        <v>0</v>
      </c>
      <c r="DJ93">
        <v>0</v>
      </c>
      <c r="DK93">
        <v>0</v>
      </c>
      <c r="DL93">
        <v>0</v>
      </c>
      <c r="DM93">
        <v>0</v>
      </c>
      <c r="DN93">
        <v>0</v>
      </c>
      <c r="DO93">
        <v>0</v>
      </c>
      <c r="DP93">
        <v>0</v>
      </c>
      <c r="DQ93">
        <v>0</v>
      </c>
      <c r="DR93">
        <v>0</v>
      </c>
      <c r="DS93">
        <v>0</v>
      </c>
      <c r="DT93">
        <v>0</v>
      </c>
      <c r="DU93">
        <v>0</v>
      </c>
      <c r="DV93">
        <v>0</v>
      </c>
      <c r="DW93">
        <v>0</v>
      </c>
      <c r="DX93">
        <v>0</v>
      </c>
      <c r="DY93">
        <v>0</v>
      </c>
      <c r="DZ93">
        <v>0</v>
      </c>
      <c r="EA93">
        <v>0</v>
      </c>
      <c r="EB93">
        <v>0</v>
      </c>
      <c r="EC93">
        <v>0</v>
      </c>
      <c r="ED93">
        <v>0</v>
      </c>
      <c r="EE93">
        <v>0</v>
      </c>
      <c r="EF93">
        <v>0</v>
      </c>
      <c r="EG93">
        <v>0</v>
      </c>
      <c r="EH93">
        <v>0</v>
      </c>
      <c r="EI93">
        <v>0</v>
      </c>
      <c r="EJ93">
        <v>0</v>
      </c>
      <c r="EK93">
        <v>0</v>
      </c>
      <c r="EL93">
        <v>0</v>
      </c>
      <c r="EM93">
        <v>0</v>
      </c>
      <c r="EN93">
        <v>0</v>
      </c>
      <c r="EO93">
        <v>0</v>
      </c>
      <c r="EP93">
        <v>0</v>
      </c>
      <c r="EQ93">
        <v>0</v>
      </c>
      <c r="ER93">
        <v>0</v>
      </c>
      <c r="ES93">
        <v>0</v>
      </c>
      <c r="ET93">
        <v>0</v>
      </c>
      <c r="EU93">
        <v>0</v>
      </c>
      <c r="EV93">
        <v>0</v>
      </c>
      <c r="EW93">
        <v>0</v>
      </c>
      <c r="EX93">
        <v>0</v>
      </c>
      <c r="EY93">
        <v>0</v>
      </c>
      <c r="EZ93">
        <v>0</v>
      </c>
      <c r="FA93">
        <v>0</v>
      </c>
      <c r="FB93">
        <v>0</v>
      </c>
      <c r="FC93">
        <v>0</v>
      </c>
      <c r="FD93">
        <v>0</v>
      </c>
      <c r="FE93">
        <v>0</v>
      </c>
      <c r="FF93">
        <v>0</v>
      </c>
      <c r="FG93">
        <v>0</v>
      </c>
      <c r="FH93">
        <v>0</v>
      </c>
      <c r="FI93">
        <v>0</v>
      </c>
      <c r="FJ93">
        <v>0</v>
      </c>
      <c r="FK93">
        <v>0</v>
      </c>
      <c r="FL93">
        <v>0</v>
      </c>
      <c r="FM93">
        <v>0</v>
      </c>
      <c r="FN93">
        <v>0</v>
      </c>
      <c r="FO93">
        <v>0</v>
      </c>
      <c r="FP93">
        <v>0</v>
      </c>
      <c r="FQ93">
        <v>0</v>
      </c>
      <c r="FR93">
        <v>0</v>
      </c>
      <c r="FS93">
        <v>0</v>
      </c>
      <c r="FT93">
        <v>0</v>
      </c>
      <c r="FU93">
        <v>0</v>
      </c>
      <c r="FV93">
        <v>0</v>
      </c>
      <c r="FW93">
        <v>0</v>
      </c>
      <c r="FX93">
        <v>0</v>
      </c>
      <c r="FY93">
        <v>0</v>
      </c>
      <c r="FZ93">
        <v>0</v>
      </c>
      <c r="GA93">
        <v>0</v>
      </c>
      <c r="GB93">
        <v>0</v>
      </c>
      <c r="GC93">
        <v>0</v>
      </c>
      <c r="GD93">
        <v>0</v>
      </c>
      <c r="GE93">
        <v>0</v>
      </c>
      <c r="GF93">
        <v>0</v>
      </c>
      <c r="GG93">
        <v>0</v>
      </c>
      <c r="GH93">
        <v>0</v>
      </c>
      <c r="GI93">
        <v>0</v>
      </c>
      <c r="GJ93">
        <v>0</v>
      </c>
      <c r="GK93">
        <v>0</v>
      </c>
      <c r="GL93">
        <v>0</v>
      </c>
      <c r="GM93">
        <v>0</v>
      </c>
      <c r="GN93">
        <v>0</v>
      </c>
      <c r="GO93">
        <v>0</v>
      </c>
      <c r="GP93">
        <v>0</v>
      </c>
      <c r="GQ93">
        <v>0</v>
      </c>
      <c r="GR93">
        <v>0</v>
      </c>
      <c r="GS93">
        <v>0</v>
      </c>
      <c r="GT93">
        <v>0</v>
      </c>
      <c r="GU93">
        <v>0</v>
      </c>
      <c r="GV93">
        <v>0</v>
      </c>
      <c r="GW93">
        <v>0</v>
      </c>
      <c r="GX93">
        <v>0</v>
      </c>
      <c r="GY93">
        <v>0</v>
      </c>
      <c r="GZ93">
        <v>0</v>
      </c>
      <c r="HA93">
        <v>0</v>
      </c>
      <c r="HB93">
        <v>0</v>
      </c>
      <c r="HC93">
        <v>0</v>
      </c>
      <c r="HD93">
        <v>0</v>
      </c>
      <c r="HE93">
        <v>0</v>
      </c>
      <c r="HF93">
        <v>0</v>
      </c>
      <c r="HG93">
        <v>0</v>
      </c>
      <c r="HH93">
        <v>0</v>
      </c>
      <c r="HI93">
        <v>0</v>
      </c>
      <c r="HJ93">
        <v>0</v>
      </c>
      <c r="HK93">
        <v>0</v>
      </c>
      <c r="HL93">
        <v>0</v>
      </c>
      <c r="HM93">
        <v>0</v>
      </c>
      <c r="HN93">
        <v>0</v>
      </c>
      <c r="HO93">
        <v>0</v>
      </c>
      <c r="HP93">
        <v>0</v>
      </c>
      <c r="HQ93">
        <v>0</v>
      </c>
      <c r="HR93">
        <v>0</v>
      </c>
      <c r="HS93">
        <v>0</v>
      </c>
      <c r="HT93">
        <v>0</v>
      </c>
      <c r="HU93">
        <v>0</v>
      </c>
      <c r="HV93">
        <v>0</v>
      </c>
      <c r="HW93">
        <v>0</v>
      </c>
      <c r="HX93">
        <v>0</v>
      </c>
      <c r="HY93">
        <v>0</v>
      </c>
      <c r="HZ93">
        <v>0</v>
      </c>
      <c r="IA93">
        <v>0</v>
      </c>
      <c r="IB93">
        <v>0</v>
      </c>
      <c r="IC93">
        <v>0</v>
      </c>
      <c r="ID93">
        <v>0</v>
      </c>
      <c r="IE93">
        <v>0</v>
      </c>
      <c r="IF93">
        <v>0</v>
      </c>
      <c r="IG93">
        <v>0</v>
      </c>
      <c r="IH93">
        <v>0</v>
      </c>
      <c r="II93">
        <v>0</v>
      </c>
      <c r="IJ93">
        <v>0</v>
      </c>
      <c r="IK93">
        <v>0</v>
      </c>
      <c r="IL93">
        <v>0</v>
      </c>
      <c r="IM93">
        <v>0</v>
      </c>
      <c r="IN93">
        <v>0</v>
      </c>
      <c r="IO93">
        <v>0</v>
      </c>
      <c r="IP93">
        <v>0</v>
      </c>
      <c r="IQ93">
        <v>0</v>
      </c>
      <c r="IR93">
        <v>0</v>
      </c>
      <c r="IS93">
        <v>0</v>
      </c>
      <c r="IT93">
        <v>0</v>
      </c>
      <c r="IU93">
        <v>0</v>
      </c>
      <c r="IV93">
        <v>0</v>
      </c>
      <c r="IW93">
        <v>0</v>
      </c>
      <c r="IX93">
        <v>0</v>
      </c>
      <c r="IY93">
        <v>0</v>
      </c>
      <c r="IZ93">
        <v>0</v>
      </c>
      <c r="JA93">
        <v>0</v>
      </c>
      <c r="JB93">
        <v>0</v>
      </c>
      <c r="JC93">
        <v>0</v>
      </c>
      <c r="JD93">
        <v>0</v>
      </c>
      <c r="JE93">
        <v>0</v>
      </c>
      <c r="JF93">
        <v>0</v>
      </c>
      <c r="JG93">
        <v>0</v>
      </c>
      <c r="JH93">
        <v>0</v>
      </c>
      <c r="JI93">
        <v>0</v>
      </c>
      <c r="JJ93">
        <v>0</v>
      </c>
      <c r="JK93">
        <v>0</v>
      </c>
      <c r="JL93">
        <v>0</v>
      </c>
      <c r="JM93">
        <v>0</v>
      </c>
      <c r="JN93">
        <v>0</v>
      </c>
      <c r="JO93">
        <v>0</v>
      </c>
      <c r="JP93">
        <v>0</v>
      </c>
      <c r="JQ93">
        <v>0</v>
      </c>
      <c r="JR93">
        <v>0</v>
      </c>
      <c r="JS93">
        <v>0</v>
      </c>
      <c r="JT93">
        <v>0</v>
      </c>
      <c r="JU93">
        <v>0</v>
      </c>
      <c r="JV93">
        <v>0</v>
      </c>
      <c r="JW93">
        <v>0</v>
      </c>
      <c r="JX93">
        <v>0</v>
      </c>
      <c r="JY93">
        <v>0</v>
      </c>
      <c r="JZ93">
        <v>0</v>
      </c>
      <c r="KA93">
        <v>0</v>
      </c>
      <c r="KB93">
        <v>0</v>
      </c>
      <c r="KC93">
        <v>0</v>
      </c>
      <c r="KD93">
        <v>0</v>
      </c>
      <c r="KE93">
        <v>0</v>
      </c>
      <c r="KF93">
        <v>0</v>
      </c>
      <c r="KG93">
        <v>0</v>
      </c>
      <c r="KH93">
        <v>0</v>
      </c>
      <c r="KI93">
        <v>0</v>
      </c>
      <c r="KJ93">
        <v>0</v>
      </c>
      <c r="KK93">
        <v>0</v>
      </c>
      <c r="KL93">
        <v>0</v>
      </c>
      <c r="KM93">
        <v>0</v>
      </c>
      <c r="KN93">
        <v>0</v>
      </c>
      <c r="KO93">
        <v>0</v>
      </c>
      <c r="KP93">
        <v>0</v>
      </c>
      <c r="KQ93">
        <v>0</v>
      </c>
      <c r="KR93">
        <v>0</v>
      </c>
      <c r="KS93">
        <v>0</v>
      </c>
      <c r="KT93">
        <v>0</v>
      </c>
      <c r="KU93">
        <v>0</v>
      </c>
      <c r="KV93">
        <v>0</v>
      </c>
      <c r="KW93">
        <v>0</v>
      </c>
      <c r="KX93">
        <v>0</v>
      </c>
      <c r="KY93">
        <v>0</v>
      </c>
      <c r="KZ93">
        <v>0</v>
      </c>
      <c r="LA93">
        <v>0</v>
      </c>
      <c r="LB93">
        <v>0</v>
      </c>
      <c r="LC93">
        <v>0</v>
      </c>
      <c r="LD93">
        <v>0</v>
      </c>
      <c r="LE93">
        <v>0</v>
      </c>
      <c r="LF93">
        <v>0</v>
      </c>
      <c r="LG93">
        <v>0</v>
      </c>
      <c r="LH93">
        <v>0</v>
      </c>
      <c r="LI93">
        <v>0</v>
      </c>
      <c r="LJ93">
        <v>0</v>
      </c>
      <c r="LK93">
        <v>0</v>
      </c>
      <c r="LL93">
        <v>0</v>
      </c>
      <c r="LM93">
        <v>0</v>
      </c>
      <c r="LN93">
        <v>0</v>
      </c>
      <c r="LO93">
        <v>0</v>
      </c>
      <c r="LP93">
        <v>0</v>
      </c>
      <c r="LQ93">
        <v>0</v>
      </c>
      <c r="LR93">
        <v>0</v>
      </c>
      <c r="LS93">
        <v>0</v>
      </c>
      <c r="LT93">
        <v>0</v>
      </c>
      <c r="LU93">
        <v>0</v>
      </c>
      <c r="LV93">
        <v>0</v>
      </c>
      <c r="LW93">
        <v>0</v>
      </c>
      <c r="LX93">
        <v>0</v>
      </c>
      <c r="LY93">
        <v>0</v>
      </c>
      <c r="LZ93">
        <v>0</v>
      </c>
      <c r="MA93">
        <v>0</v>
      </c>
      <c r="MB93">
        <v>0</v>
      </c>
      <c r="MC93">
        <v>0</v>
      </c>
      <c r="MD93">
        <v>0</v>
      </c>
      <c r="ME93">
        <v>0</v>
      </c>
      <c r="MF93">
        <v>0</v>
      </c>
      <c r="MG93">
        <v>0</v>
      </c>
      <c r="MH93">
        <v>0</v>
      </c>
      <c r="MI93">
        <v>0</v>
      </c>
      <c r="MJ93">
        <v>0</v>
      </c>
      <c r="MK93">
        <v>0</v>
      </c>
      <c r="ML93">
        <v>0</v>
      </c>
      <c r="MM93">
        <v>0</v>
      </c>
      <c r="MN93">
        <v>0</v>
      </c>
      <c r="MO93">
        <v>0</v>
      </c>
      <c r="MP93">
        <v>0</v>
      </c>
      <c r="MQ93">
        <v>0</v>
      </c>
      <c r="MR93">
        <v>0</v>
      </c>
      <c r="MS93">
        <v>0</v>
      </c>
      <c r="MT93">
        <v>0</v>
      </c>
      <c r="MU93">
        <v>0</v>
      </c>
      <c r="MV93">
        <v>0</v>
      </c>
      <c r="MW93">
        <v>0</v>
      </c>
      <c r="MX93">
        <v>0</v>
      </c>
      <c r="MY93">
        <v>0</v>
      </c>
      <c r="MZ93">
        <v>0</v>
      </c>
      <c r="NA93">
        <v>0</v>
      </c>
      <c r="NB93">
        <v>0</v>
      </c>
      <c r="NC93">
        <v>0</v>
      </c>
      <c r="ND93">
        <v>0</v>
      </c>
      <c r="NE93">
        <v>0</v>
      </c>
    </row>
    <row r="94" spans="41:369" x14ac:dyDescent="0.45">
      <c r="AO94" t="str">
        <v>B115</v>
      </c>
      <c r="AP94" t="str">
        <v>HASSAN SAHAL N A</v>
      </c>
      <c r="AQ94" t="str">
        <v>FANT</v>
      </c>
      <c r="AR94" t="str">
        <v>JUNIOR</v>
      </c>
      <c r="AS94">
        <v>3</v>
      </c>
      <c r="AT94">
        <v>9</v>
      </c>
      <c r="AU94">
        <v>0</v>
      </c>
      <c r="AV94">
        <v>9</v>
      </c>
      <c r="AW94">
        <v>9</v>
      </c>
      <c r="AX94">
        <v>139</v>
      </c>
      <c r="AY94" s="5">
        <v>139</v>
      </c>
      <c r="AZ94" t="str">
        <v>SN03</v>
      </c>
      <c r="BA94" t="str">
        <v>CAPTION WRITIING URD</v>
      </c>
      <c r="BB94" t="str">
        <v>SENIOR</v>
      </c>
      <c r="BC94" t="str">
        <v>Single</v>
      </c>
      <c r="BD94" t="str">
        <v>Non-Stg</v>
      </c>
      <c r="BE94">
        <v>3</v>
      </c>
      <c r="BF94" t="str">
        <v>Individual</v>
      </c>
      <c r="BG94" t="str">
        <v>Individual</v>
      </c>
      <c r="BH94" t="str">
        <v>P</v>
      </c>
      <c r="BI94" t="str">
        <v>PUBLISHED</v>
      </c>
      <c r="BK94">
        <v>88</v>
      </c>
      <c r="BL94" t="str">
        <v>JN45</v>
      </c>
      <c r="BM94" t="str">
        <v>MASH UP</v>
      </c>
      <c r="BN94">
        <v>6</v>
      </c>
      <c r="BO94" t="str">
        <v>Group</v>
      </c>
      <c r="BP94" t="str">
        <v>Stage</v>
      </c>
      <c r="BQ94" t="str">
        <v>JUNIOR</v>
      </c>
      <c r="BR94" t="str">
        <v>B115</v>
      </c>
      <c r="BS94" t="str">
        <v>B120</v>
      </c>
      <c r="BT94" t="str">
        <v>B129</v>
      </c>
      <c r="BU94" t="str">
        <v>B130</v>
      </c>
      <c r="BV94" t="str">
        <v>B143</v>
      </c>
      <c r="BW94" t="str">
        <v>B111</v>
      </c>
      <c r="BX94">
        <v>0</v>
      </c>
      <c r="BY94" t="str">
        <v>B109</v>
      </c>
      <c r="BZ94" t="str">
        <v>B132</v>
      </c>
      <c r="CA94" t="str">
        <v>B139</v>
      </c>
      <c r="CB94" t="str">
        <v>B154</v>
      </c>
      <c r="CC94" t="str">
        <v>B155</v>
      </c>
      <c r="CD94" t="str">
        <v>B159</v>
      </c>
      <c r="CE94">
        <v>0</v>
      </c>
      <c r="CF94" t="str">
        <v>B146</v>
      </c>
      <c r="CG94" t="str">
        <v>B153</v>
      </c>
      <c r="CH94" t="str">
        <v>B117</v>
      </c>
      <c r="CI94" t="str">
        <v>B121</v>
      </c>
      <c r="CJ94" t="str">
        <v>B128</v>
      </c>
      <c r="CK94" t="str">
        <v>B103</v>
      </c>
      <c r="CL94">
        <v>0</v>
      </c>
      <c r="CM94" t="str">
        <v>B105</v>
      </c>
      <c r="CN94" t="str">
        <v>B118</v>
      </c>
      <c r="CO94" t="str">
        <v>B126</v>
      </c>
      <c r="CP94" t="str">
        <v>B134</v>
      </c>
      <c r="CQ94" t="str">
        <v>B152</v>
      </c>
      <c r="CR94" t="str">
        <v>B160</v>
      </c>
      <c r="CS94">
        <v>0</v>
      </c>
      <c r="CT94">
        <v>0</v>
      </c>
      <c r="CU94">
        <v>0</v>
      </c>
      <c r="CV94">
        <v>0</v>
      </c>
      <c r="CW94">
        <v>0</v>
      </c>
      <c r="CX94">
        <v>0</v>
      </c>
      <c r="CY94">
        <v>0</v>
      </c>
      <c r="CZ94">
        <v>0</v>
      </c>
      <c r="DA94">
        <v>0</v>
      </c>
      <c r="DB94">
        <v>0</v>
      </c>
      <c r="DC94">
        <v>0</v>
      </c>
      <c r="DD94">
        <v>0</v>
      </c>
      <c r="DE94">
        <v>0</v>
      </c>
      <c r="DF94">
        <v>0</v>
      </c>
      <c r="DG94">
        <v>0</v>
      </c>
      <c r="DH94">
        <v>0</v>
      </c>
      <c r="DI94">
        <v>0</v>
      </c>
      <c r="DJ94">
        <v>0</v>
      </c>
      <c r="DK94">
        <v>0</v>
      </c>
      <c r="DL94">
        <v>0</v>
      </c>
      <c r="DM94">
        <v>0</v>
      </c>
      <c r="DN94">
        <v>0</v>
      </c>
      <c r="DO94">
        <v>0</v>
      </c>
      <c r="DP94">
        <v>0</v>
      </c>
      <c r="DQ94">
        <v>0</v>
      </c>
      <c r="DR94">
        <v>0</v>
      </c>
      <c r="DS94">
        <v>0</v>
      </c>
      <c r="DT94">
        <v>0</v>
      </c>
      <c r="DU94">
        <v>0</v>
      </c>
      <c r="DV94">
        <v>0</v>
      </c>
      <c r="DW94">
        <v>0</v>
      </c>
      <c r="DX94">
        <v>0</v>
      </c>
      <c r="DY94">
        <v>0</v>
      </c>
      <c r="DZ94">
        <v>0</v>
      </c>
      <c r="EA94">
        <v>0</v>
      </c>
      <c r="EB94">
        <v>0</v>
      </c>
      <c r="EC94">
        <v>0</v>
      </c>
      <c r="ED94">
        <v>0</v>
      </c>
      <c r="EE94">
        <v>0</v>
      </c>
      <c r="EF94">
        <v>0</v>
      </c>
      <c r="EG94">
        <v>0</v>
      </c>
      <c r="EH94">
        <v>0</v>
      </c>
      <c r="EI94">
        <v>0</v>
      </c>
      <c r="EJ94">
        <v>0</v>
      </c>
      <c r="EK94">
        <v>0</v>
      </c>
      <c r="EL94">
        <v>0</v>
      </c>
      <c r="EM94">
        <v>0</v>
      </c>
      <c r="EN94">
        <v>0</v>
      </c>
      <c r="EO94">
        <v>0</v>
      </c>
      <c r="EP94">
        <v>0</v>
      </c>
      <c r="EQ94">
        <v>0</v>
      </c>
      <c r="ER94">
        <v>0</v>
      </c>
      <c r="ES94">
        <v>0</v>
      </c>
      <c r="ET94">
        <v>0</v>
      </c>
      <c r="EU94">
        <v>0</v>
      </c>
      <c r="EV94">
        <v>0</v>
      </c>
      <c r="EW94">
        <v>0</v>
      </c>
      <c r="EX94">
        <v>0</v>
      </c>
      <c r="EY94">
        <v>0</v>
      </c>
      <c r="EZ94">
        <v>0</v>
      </c>
      <c r="FA94">
        <v>0</v>
      </c>
      <c r="FB94">
        <v>0</v>
      </c>
      <c r="FC94">
        <v>0</v>
      </c>
      <c r="FD94">
        <v>0</v>
      </c>
      <c r="FE94">
        <v>0</v>
      </c>
      <c r="FF94">
        <v>0</v>
      </c>
      <c r="FG94">
        <v>0</v>
      </c>
      <c r="FH94">
        <v>0</v>
      </c>
      <c r="FI94">
        <v>0</v>
      </c>
      <c r="FJ94">
        <v>0</v>
      </c>
      <c r="FK94">
        <v>0</v>
      </c>
      <c r="FL94">
        <v>0</v>
      </c>
      <c r="FM94">
        <v>0</v>
      </c>
      <c r="FN94">
        <v>0</v>
      </c>
      <c r="FO94">
        <v>0</v>
      </c>
      <c r="FP94">
        <v>0</v>
      </c>
      <c r="FQ94">
        <v>0</v>
      </c>
      <c r="FR94">
        <v>0</v>
      </c>
      <c r="FS94">
        <v>0</v>
      </c>
      <c r="FT94">
        <v>0</v>
      </c>
      <c r="FU94">
        <v>0</v>
      </c>
      <c r="FV94">
        <v>0</v>
      </c>
      <c r="FW94">
        <v>0</v>
      </c>
      <c r="FX94">
        <v>0</v>
      </c>
      <c r="FY94">
        <v>0</v>
      </c>
      <c r="FZ94">
        <v>0</v>
      </c>
      <c r="GA94">
        <v>0</v>
      </c>
      <c r="GB94">
        <v>0</v>
      </c>
      <c r="GC94">
        <v>0</v>
      </c>
      <c r="GD94">
        <v>0</v>
      </c>
      <c r="GE94">
        <v>0</v>
      </c>
      <c r="GF94">
        <v>0</v>
      </c>
      <c r="GG94">
        <v>0</v>
      </c>
      <c r="GH94">
        <v>0</v>
      </c>
      <c r="GI94">
        <v>0</v>
      </c>
      <c r="GJ94">
        <v>0</v>
      </c>
      <c r="GK94">
        <v>0</v>
      </c>
      <c r="GL94">
        <v>0</v>
      </c>
      <c r="GM94">
        <v>0</v>
      </c>
      <c r="GN94">
        <v>0</v>
      </c>
      <c r="GO94">
        <v>0</v>
      </c>
      <c r="GP94">
        <v>0</v>
      </c>
      <c r="GQ94">
        <v>0</v>
      </c>
      <c r="GR94">
        <v>0</v>
      </c>
      <c r="GS94">
        <v>0</v>
      </c>
      <c r="GT94">
        <v>0</v>
      </c>
      <c r="GU94">
        <v>0</v>
      </c>
      <c r="GV94">
        <v>0</v>
      </c>
      <c r="GW94">
        <v>0</v>
      </c>
      <c r="GX94">
        <v>0</v>
      </c>
      <c r="GY94">
        <v>0</v>
      </c>
      <c r="GZ94">
        <v>0</v>
      </c>
      <c r="HA94">
        <v>0</v>
      </c>
      <c r="HB94">
        <v>0</v>
      </c>
      <c r="HC94">
        <v>0</v>
      </c>
      <c r="HD94">
        <v>0</v>
      </c>
      <c r="HE94">
        <v>0</v>
      </c>
      <c r="HF94">
        <v>0</v>
      </c>
      <c r="HG94">
        <v>0</v>
      </c>
      <c r="HH94">
        <v>0</v>
      </c>
      <c r="HI94">
        <v>0</v>
      </c>
      <c r="HJ94">
        <v>0</v>
      </c>
      <c r="HK94">
        <v>0</v>
      </c>
      <c r="HL94">
        <v>0</v>
      </c>
      <c r="HM94">
        <v>0</v>
      </c>
      <c r="HN94">
        <v>0</v>
      </c>
      <c r="HO94">
        <v>0</v>
      </c>
      <c r="HP94">
        <v>0</v>
      </c>
      <c r="HQ94">
        <v>0</v>
      </c>
      <c r="HR94">
        <v>0</v>
      </c>
      <c r="HS94">
        <v>0</v>
      </c>
      <c r="HT94">
        <v>0</v>
      </c>
      <c r="HU94">
        <v>0</v>
      </c>
      <c r="HV94">
        <v>0</v>
      </c>
      <c r="HW94">
        <v>0</v>
      </c>
      <c r="HX94">
        <v>0</v>
      </c>
      <c r="HY94">
        <v>0</v>
      </c>
      <c r="HZ94">
        <v>0</v>
      </c>
      <c r="IA94">
        <v>0</v>
      </c>
      <c r="IB94">
        <v>0</v>
      </c>
      <c r="IC94">
        <v>0</v>
      </c>
      <c r="ID94">
        <v>0</v>
      </c>
      <c r="IE94">
        <v>0</v>
      </c>
      <c r="IF94">
        <v>0</v>
      </c>
      <c r="IG94">
        <v>0</v>
      </c>
      <c r="IH94">
        <v>0</v>
      </c>
      <c r="II94">
        <v>0</v>
      </c>
      <c r="IJ94">
        <v>0</v>
      </c>
      <c r="IK94">
        <v>0</v>
      </c>
      <c r="IL94">
        <v>0</v>
      </c>
      <c r="IM94">
        <v>0</v>
      </c>
      <c r="IN94">
        <v>0</v>
      </c>
      <c r="IO94">
        <v>0</v>
      </c>
      <c r="IP94">
        <v>0</v>
      </c>
      <c r="IQ94">
        <v>0</v>
      </c>
      <c r="IR94">
        <v>0</v>
      </c>
      <c r="IS94">
        <v>0</v>
      </c>
      <c r="IT94">
        <v>0</v>
      </c>
      <c r="IU94">
        <v>0</v>
      </c>
      <c r="IV94">
        <v>0</v>
      </c>
      <c r="IW94">
        <v>0</v>
      </c>
      <c r="IX94">
        <v>0</v>
      </c>
      <c r="IY94">
        <v>0</v>
      </c>
      <c r="IZ94">
        <v>0</v>
      </c>
      <c r="JA94">
        <v>0</v>
      </c>
      <c r="JB94">
        <v>0</v>
      </c>
      <c r="JC94">
        <v>0</v>
      </c>
      <c r="JD94">
        <v>0</v>
      </c>
      <c r="JE94">
        <v>0</v>
      </c>
      <c r="JF94">
        <v>0</v>
      </c>
      <c r="JG94">
        <v>0</v>
      </c>
      <c r="JH94">
        <v>0</v>
      </c>
      <c r="JI94">
        <v>0</v>
      </c>
      <c r="JJ94">
        <v>0</v>
      </c>
      <c r="JK94">
        <v>0</v>
      </c>
      <c r="JL94">
        <v>0</v>
      </c>
      <c r="JM94">
        <v>0</v>
      </c>
      <c r="JN94">
        <v>0</v>
      </c>
      <c r="JO94">
        <v>0</v>
      </c>
      <c r="JP94">
        <v>0</v>
      </c>
      <c r="JQ94">
        <v>0</v>
      </c>
      <c r="JR94">
        <v>0</v>
      </c>
      <c r="JS94">
        <v>0</v>
      </c>
      <c r="JT94">
        <v>0</v>
      </c>
      <c r="JU94">
        <v>0</v>
      </c>
      <c r="JV94">
        <v>0</v>
      </c>
      <c r="JW94">
        <v>0</v>
      </c>
      <c r="JX94">
        <v>0</v>
      </c>
      <c r="JY94">
        <v>0</v>
      </c>
      <c r="JZ94">
        <v>0</v>
      </c>
      <c r="KA94">
        <v>0</v>
      </c>
      <c r="KB94">
        <v>0</v>
      </c>
      <c r="KC94">
        <v>0</v>
      </c>
      <c r="KD94">
        <v>0</v>
      </c>
      <c r="KE94">
        <v>0</v>
      </c>
      <c r="KF94">
        <v>0</v>
      </c>
      <c r="KG94">
        <v>0</v>
      </c>
      <c r="KH94">
        <v>0</v>
      </c>
      <c r="KI94">
        <v>0</v>
      </c>
      <c r="KJ94">
        <v>0</v>
      </c>
      <c r="KK94">
        <v>0</v>
      </c>
      <c r="KL94">
        <v>0</v>
      </c>
      <c r="KM94">
        <v>0</v>
      </c>
      <c r="KN94">
        <v>0</v>
      </c>
      <c r="KO94">
        <v>0</v>
      </c>
      <c r="KP94">
        <v>0</v>
      </c>
      <c r="KQ94">
        <v>0</v>
      </c>
      <c r="KR94">
        <v>0</v>
      </c>
      <c r="KS94">
        <v>0</v>
      </c>
      <c r="KT94">
        <v>0</v>
      </c>
      <c r="KU94">
        <v>0</v>
      </c>
      <c r="KV94">
        <v>0</v>
      </c>
      <c r="KW94">
        <v>0</v>
      </c>
      <c r="KX94">
        <v>0</v>
      </c>
      <c r="KY94">
        <v>0</v>
      </c>
      <c r="KZ94">
        <v>0</v>
      </c>
      <c r="LA94">
        <v>0</v>
      </c>
      <c r="LB94">
        <v>0</v>
      </c>
      <c r="LC94">
        <v>0</v>
      </c>
      <c r="LD94">
        <v>0</v>
      </c>
      <c r="LE94">
        <v>0</v>
      </c>
      <c r="LF94">
        <v>0</v>
      </c>
      <c r="LG94">
        <v>0</v>
      </c>
      <c r="LH94">
        <v>0</v>
      </c>
      <c r="LI94">
        <v>0</v>
      </c>
      <c r="LJ94">
        <v>0</v>
      </c>
      <c r="LK94">
        <v>0</v>
      </c>
      <c r="LL94">
        <v>0</v>
      </c>
      <c r="LM94">
        <v>0</v>
      </c>
      <c r="LN94">
        <v>0</v>
      </c>
      <c r="LO94">
        <v>0</v>
      </c>
      <c r="LP94">
        <v>0</v>
      </c>
      <c r="LQ94">
        <v>0</v>
      </c>
      <c r="LR94">
        <v>0</v>
      </c>
      <c r="LS94">
        <v>0</v>
      </c>
      <c r="LT94">
        <v>0</v>
      </c>
      <c r="LU94">
        <v>0</v>
      </c>
      <c r="LV94">
        <v>0</v>
      </c>
      <c r="LW94">
        <v>0</v>
      </c>
      <c r="LX94">
        <v>0</v>
      </c>
      <c r="LY94">
        <v>0</v>
      </c>
      <c r="LZ94">
        <v>0</v>
      </c>
      <c r="MA94">
        <v>0</v>
      </c>
      <c r="MB94">
        <v>0</v>
      </c>
      <c r="MC94">
        <v>0</v>
      </c>
      <c r="MD94">
        <v>0</v>
      </c>
      <c r="ME94">
        <v>0</v>
      </c>
      <c r="MF94">
        <v>0</v>
      </c>
      <c r="MG94">
        <v>0</v>
      </c>
      <c r="MH94">
        <v>0</v>
      </c>
      <c r="MI94">
        <v>0</v>
      </c>
      <c r="MJ94">
        <v>0</v>
      </c>
      <c r="MK94">
        <v>0</v>
      </c>
      <c r="ML94">
        <v>0</v>
      </c>
      <c r="MM94">
        <v>0</v>
      </c>
      <c r="MN94">
        <v>0</v>
      </c>
      <c r="MO94">
        <v>0</v>
      </c>
      <c r="MP94">
        <v>0</v>
      </c>
      <c r="MQ94">
        <v>0</v>
      </c>
      <c r="MR94">
        <v>0</v>
      </c>
      <c r="MS94">
        <v>0</v>
      </c>
      <c r="MT94">
        <v>0</v>
      </c>
      <c r="MU94">
        <v>0</v>
      </c>
      <c r="MV94">
        <v>0</v>
      </c>
      <c r="MW94">
        <v>0</v>
      </c>
      <c r="MX94">
        <v>0</v>
      </c>
      <c r="MY94">
        <v>0</v>
      </c>
      <c r="MZ94">
        <v>0</v>
      </c>
      <c r="NA94">
        <v>0</v>
      </c>
      <c r="NB94">
        <v>0</v>
      </c>
      <c r="NC94">
        <v>0</v>
      </c>
      <c r="ND94">
        <v>0</v>
      </c>
      <c r="NE94">
        <v>0</v>
      </c>
    </row>
    <row r="95" spans="41:369" x14ac:dyDescent="0.45">
      <c r="AO95" t="str">
        <v>B116</v>
      </c>
      <c r="AP95" t="str">
        <v>MOHAMMED SABIK BM</v>
      </c>
      <c r="AQ95" t="str">
        <v>JARF</v>
      </c>
      <c r="AR95" t="str">
        <v>JUNIOR</v>
      </c>
      <c r="AS95">
        <v>3</v>
      </c>
      <c r="AT95">
        <v>1</v>
      </c>
      <c r="AU95">
        <v>0</v>
      </c>
      <c r="AV95">
        <v>1</v>
      </c>
      <c r="AW95">
        <v>1</v>
      </c>
      <c r="AX95">
        <v>231</v>
      </c>
      <c r="AY95" s="5">
        <v>231</v>
      </c>
      <c r="AZ95" t="str">
        <v>SN04</v>
      </c>
      <c r="BA95" t="str">
        <v>CARTOON</v>
      </c>
      <c r="BB95" t="str">
        <v>SENIOR</v>
      </c>
      <c r="BC95" t="str">
        <v>Single</v>
      </c>
      <c r="BD95" t="str">
        <v>Non-Stg</v>
      </c>
      <c r="BE95">
        <v>2</v>
      </c>
      <c r="BF95" t="str">
        <v>Individual</v>
      </c>
      <c r="BG95" t="str">
        <v>Individual</v>
      </c>
      <c r="BH95" t="str">
        <v>P</v>
      </c>
      <c r="BI95" t="str">
        <v>PUBLISHED</v>
      </c>
      <c r="BK95">
        <v>89</v>
      </c>
      <c r="BL95" t="str">
        <v>JN46</v>
      </c>
      <c r="BM95" t="str">
        <v>SPEECH &amp; SONG MLM</v>
      </c>
      <c r="BN95">
        <v>3</v>
      </c>
      <c r="BO95" t="str">
        <v>Group</v>
      </c>
      <c r="BP95" t="str">
        <v>Stage</v>
      </c>
      <c r="BQ95" t="str">
        <v>JUNIOR</v>
      </c>
      <c r="BR95" t="str">
        <v>B129</v>
      </c>
      <c r="BS95" t="str">
        <v>B143</v>
      </c>
      <c r="BT95" t="str">
        <v>B157</v>
      </c>
      <c r="BU95">
        <v>0</v>
      </c>
      <c r="BV95">
        <v>0</v>
      </c>
      <c r="BW95">
        <v>0</v>
      </c>
      <c r="BX95">
        <v>0</v>
      </c>
      <c r="BY95" t="str">
        <v>B109</v>
      </c>
      <c r="BZ95" t="str">
        <v>B132</v>
      </c>
      <c r="CA95" t="str">
        <v>B159</v>
      </c>
      <c r="CB95">
        <v>0</v>
      </c>
      <c r="CC95">
        <v>0</v>
      </c>
      <c r="CD95">
        <v>0</v>
      </c>
      <c r="CE95">
        <v>0</v>
      </c>
      <c r="CF95" t="str">
        <v>B117</v>
      </c>
      <c r="CG95" t="str">
        <v>B146</v>
      </c>
      <c r="CH95" t="str">
        <v>B153</v>
      </c>
      <c r="CI95">
        <v>0</v>
      </c>
      <c r="CJ95">
        <v>0</v>
      </c>
      <c r="CK95">
        <v>0</v>
      </c>
      <c r="CL95">
        <v>0</v>
      </c>
      <c r="CM95" t="str">
        <v>B105</v>
      </c>
      <c r="CN95" t="str">
        <v>B118</v>
      </c>
      <c r="CO95" t="str">
        <v>B162</v>
      </c>
      <c r="CP95">
        <v>0</v>
      </c>
      <c r="CQ95">
        <v>0</v>
      </c>
      <c r="CR95">
        <v>0</v>
      </c>
      <c r="CS95">
        <v>0</v>
      </c>
      <c r="CT95">
        <v>0</v>
      </c>
      <c r="CU95">
        <v>0</v>
      </c>
      <c r="CV95">
        <v>0</v>
      </c>
      <c r="CW95">
        <v>0</v>
      </c>
      <c r="CX95">
        <v>0</v>
      </c>
      <c r="CY95">
        <v>0</v>
      </c>
      <c r="CZ95">
        <v>0</v>
      </c>
      <c r="DA95">
        <v>0</v>
      </c>
      <c r="DB95">
        <v>0</v>
      </c>
      <c r="DC95">
        <v>0</v>
      </c>
      <c r="DD95">
        <v>0</v>
      </c>
      <c r="DE95">
        <v>0</v>
      </c>
      <c r="DF95">
        <v>0</v>
      </c>
      <c r="DG95">
        <v>0</v>
      </c>
      <c r="DH95">
        <v>0</v>
      </c>
      <c r="DI95">
        <v>0</v>
      </c>
      <c r="DJ95">
        <v>0</v>
      </c>
      <c r="DK95">
        <v>0</v>
      </c>
      <c r="DL95">
        <v>0</v>
      </c>
      <c r="DM95">
        <v>0</v>
      </c>
      <c r="DN95">
        <v>0</v>
      </c>
      <c r="DO95">
        <v>0</v>
      </c>
      <c r="DP95">
        <v>0</v>
      </c>
      <c r="DQ95">
        <v>0</v>
      </c>
      <c r="DR95">
        <v>0</v>
      </c>
      <c r="DS95">
        <v>0</v>
      </c>
      <c r="DT95">
        <v>0</v>
      </c>
      <c r="DU95">
        <v>0</v>
      </c>
      <c r="DV95">
        <v>0</v>
      </c>
      <c r="DW95">
        <v>0</v>
      </c>
      <c r="DX95">
        <v>0</v>
      </c>
      <c r="DY95">
        <v>0</v>
      </c>
      <c r="DZ95">
        <v>0</v>
      </c>
      <c r="EA95">
        <v>0</v>
      </c>
      <c r="EB95">
        <v>0</v>
      </c>
      <c r="EC95">
        <v>0</v>
      </c>
      <c r="ED95">
        <v>0</v>
      </c>
      <c r="EE95">
        <v>0</v>
      </c>
      <c r="EF95">
        <v>0</v>
      </c>
      <c r="EG95">
        <v>0</v>
      </c>
      <c r="EH95">
        <v>0</v>
      </c>
      <c r="EI95">
        <v>0</v>
      </c>
      <c r="EJ95">
        <v>0</v>
      </c>
      <c r="EK95">
        <v>0</v>
      </c>
      <c r="EL95">
        <v>0</v>
      </c>
      <c r="EM95">
        <v>0</v>
      </c>
      <c r="EN95">
        <v>0</v>
      </c>
      <c r="EO95">
        <v>0</v>
      </c>
      <c r="EP95">
        <v>0</v>
      </c>
      <c r="EQ95">
        <v>0</v>
      </c>
      <c r="ER95">
        <v>0</v>
      </c>
      <c r="ES95">
        <v>0</v>
      </c>
      <c r="ET95">
        <v>0</v>
      </c>
      <c r="EU95">
        <v>0</v>
      </c>
      <c r="EV95">
        <v>0</v>
      </c>
      <c r="EW95">
        <v>0</v>
      </c>
      <c r="EX95">
        <v>0</v>
      </c>
      <c r="EY95">
        <v>0</v>
      </c>
      <c r="EZ95">
        <v>0</v>
      </c>
      <c r="FA95">
        <v>0</v>
      </c>
      <c r="FB95">
        <v>0</v>
      </c>
      <c r="FC95">
        <v>0</v>
      </c>
      <c r="FD95">
        <v>0</v>
      </c>
      <c r="FE95">
        <v>0</v>
      </c>
      <c r="FF95">
        <v>0</v>
      </c>
      <c r="FG95">
        <v>0</v>
      </c>
      <c r="FH95">
        <v>0</v>
      </c>
      <c r="FI95">
        <v>0</v>
      </c>
      <c r="FJ95">
        <v>0</v>
      </c>
      <c r="FK95">
        <v>0</v>
      </c>
      <c r="FL95">
        <v>0</v>
      </c>
      <c r="FM95">
        <v>0</v>
      </c>
      <c r="FN95">
        <v>0</v>
      </c>
      <c r="FO95">
        <v>0</v>
      </c>
      <c r="FP95">
        <v>0</v>
      </c>
      <c r="FQ95">
        <v>0</v>
      </c>
      <c r="FR95">
        <v>0</v>
      </c>
      <c r="FS95">
        <v>0</v>
      </c>
      <c r="FT95">
        <v>0</v>
      </c>
      <c r="FU95">
        <v>0</v>
      </c>
      <c r="FV95">
        <v>0</v>
      </c>
      <c r="FW95">
        <v>0</v>
      </c>
      <c r="FX95">
        <v>0</v>
      </c>
      <c r="FY95">
        <v>0</v>
      </c>
      <c r="FZ95">
        <v>0</v>
      </c>
      <c r="GA95">
        <v>0</v>
      </c>
      <c r="GB95">
        <v>0</v>
      </c>
      <c r="GC95">
        <v>0</v>
      </c>
      <c r="GD95">
        <v>0</v>
      </c>
      <c r="GE95">
        <v>0</v>
      </c>
      <c r="GF95">
        <v>0</v>
      </c>
      <c r="GG95">
        <v>0</v>
      </c>
      <c r="GH95">
        <v>0</v>
      </c>
      <c r="GI95">
        <v>0</v>
      </c>
      <c r="GJ95">
        <v>0</v>
      </c>
      <c r="GK95">
        <v>0</v>
      </c>
      <c r="GL95">
        <v>0</v>
      </c>
      <c r="GM95">
        <v>0</v>
      </c>
      <c r="GN95">
        <v>0</v>
      </c>
      <c r="GO95">
        <v>0</v>
      </c>
      <c r="GP95">
        <v>0</v>
      </c>
      <c r="GQ95">
        <v>0</v>
      </c>
      <c r="GR95">
        <v>0</v>
      </c>
      <c r="GS95">
        <v>0</v>
      </c>
      <c r="GT95">
        <v>0</v>
      </c>
      <c r="GU95">
        <v>0</v>
      </c>
      <c r="GV95">
        <v>0</v>
      </c>
      <c r="GW95">
        <v>0</v>
      </c>
      <c r="GX95">
        <v>0</v>
      </c>
      <c r="GY95">
        <v>0</v>
      </c>
      <c r="GZ95">
        <v>0</v>
      </c>
      <c r="HA95">
        <v>0</v>
      </c>
      <c r="HB95">
        <v>0</v>
      </c>
      <c r="HC95">
        <v>0</v>
      </c>
      <c r="HD95">
        <v>0</v>
      </c>
      <c r="HE95">
        <v>0</v>
      </c>
      <c r="HF95">
        <v>0</v>
      </c>
      <c r="HG95">
        <v>0</v>
      </c>
      <c r="HH95">
        <v>0</v>
      </c>
      <c r="HI95">
        <v>0</v>
      </c>
      <c r="HJ95">
        <v>0</v>
      </c>
      <c r="HK95">
        <v>0</v>
      </c>
      <c r="HL95">
        <v>0</v>
      </c>
      <c r="HM95">
        <v>0</v>
      </c>
      <c r="HN95">
        <v>0</v>
      </c>
      <c r="HO95">
        <v>0</v>
      </c>
      <c r="HP95">
        <v>0</v>
      </c>
      <c r="HQ95">
        <v>0</v>
      </c>
      <c r="HR95">
        <v>0</v>
      </c>
      <c r="HS95">
        <v>0</v>
      </c>
      <c r="HT95">
        <v>0</v>
      </c>
      <c r="HU95">
        <v>0</v>
      </c>
      <c r="HV95">
        <v>0</v>
      </c>
      <c r="HW95">
        <v>0</v>
      </c>
      <c r="HX95">
        <v>0</v>
      </c>
      <c r="HY95">
        <v>0</v>
      </c>
      <c r="HZ95">
        <v>0</v>
      </c>
      <c r="IA95">
        <v>0</v>
      </c>
      <c r="IB95">
        <v>0</v>
      </c>
      <c r="IC95">
        <v>0</v>
      </c>
      <c r="ID95">
        <v>0</v>
      </c>
      <c r="IE95">
        <v>0</v>
      </c>
      <c r="IF95">
        <v>0</v>
      </c>
      <c r="IG95">
        <v>0</v>
      </c>
      <c r="IH95">
        <v>0</v>
      </c>
      <c r="II95">
        <v>0</v>
      </c>
      <c r="IJ95">
        <v>0</v>
      </c>
      <c r="IK95">
        <v>0</v>
      </c>
      <c r="IL95">
        <v>0</v>
      </c>
      <c r="IM95">
        <v>0</v>
      </c>
      <c r="IN95">
        <v>0</v>
      </c>
      <c r="IO95">
        <v>0</v>
      </c>
      <c r="IP95">
        <v>0</v>
      </c>
      <c r="IQ95">
        <v>0</v>
      </c>
      <c r="IR95">
        <v>0</v>
      </c>
      <c r="IS95">
        <v>0</v>
      </c>
      <c r="IT95">
        <v>0</v>
      </c>
      <c r="IU95">
        <v>0</v>
      </c>
      <c r="IV95">
        <v>0</v>
      </c>
      <c r="IW95">
        <v>0</v>
      </c>
      <c r="IX95">
        <v>0</v>
      </c>
      <c r="IY95">
        <v>0</v>
      </c>
      <c r="IZ95">
        <v>0</v>
      </c>
      <c r="JA95">
        <v>0</v>
      </c>
      <c r="JB95">
        <v>0</v>
      </c>
      <c r="JC95">
        <v>0</v>
      </c>
      <c r="JD95">
        <v>0</v>
      </c>
      <c r="JE95">
        <v>0</v>
      </c>
      <c r="JF95">
        <v>0</v>
      </c>
      <c r="JG95">
        <v>0</v>
      </c>
      <c r="JH95">
        <v>0</v>
      </c>
      <c r="JI95">
        <v>0</v>
      </c>
      <c r="JJ95">
        <v>0</v>
      </c>
      <c r="JK95">
        <v>0</v>
      </c>
      <c r="JL95">
        <v>0</v>
      </c>
      <c r="JM95">
        <v>0</v>
      </c>
      <c r="JN95">
        <v>0</v>
      </c>
      <c r="JO95">
        <v>0</v>
      </c>
      <c r="JP95">
        <v>0</v>
      </c>
      <c r="JQ95">
        <v>0</v>
      </c>
      <c r="JR95">
        <v>0</v>
      </c>
      <c r="JS95">
        <v>0</v>
      </c>
      <c r="JT95">
        <v>0</v>
      </c>
      <c r="JU95">
        <v>0</v>
      </c>
      <c r="JV95">
        <v>0</v>
      </c>
      <c r="JW95">
        <v>0</v>
      </c>
      <c r="JX95">
        <v>0</v>
      </c>
      <c r="JY95">
        <v>0</v>
      </c>
      <c r="JZ95">
        <v>0</v>
      </c>
      <c r="KA95">
        <v>0</v>
      </c>
      <c r="KB95">
        <v>0</v>
      </c>
      <c r="KC95">
        <v>0</v>
      </c>
      <c r="KD95">
        <v>0</v>
      </c>
      <c r="KE95">
        <v>0</v>
      </c>
      <c r="KF95">
        <v>0</v>
      </c>
      <c r="KG95">
        <v>0</v>
      </c>
      <c r="KH95">
        <v>0</v>
      </c>
      <c r="KI95">
        <v>0</v>
      </c>
      <c r="KJ95">
        <v>0</v>
      </c>
      <c r="KK95">
        <v>0</v>
      </c>
      <c r="KL95">
        <v>0</v>
      </c>
      <c r="KM95">
        <v>0</v>
      </c>
      <c r="KN95">
        <v>0</v>
      </c>
      <c r="KO95">
        <v>0</v>
      </c>
      <c r="KP95">
        <v>0</v>
      </c>
      <c r="KQ95">
        <v>0</v>
      </c>
      <c r="KR95">
        <v>0</v>
      </c>
      <c r="KS95">
        <v>0</v>
      </c>
      <c r="KT95">
        <v>0</v>
      </c>
      <c r="KU95">
        <v>0</v>
      </c>
      <c r="KV95">
        <v>0</v>
      </c>
      <c r="KW95">
        <v>0</v>
      </c>
      <c r="KX95">
        <v>0</v>
      </c>
      <c r="KY95">
        <v>0</v>
      </c>
      <c r="KZ95">
        <v>0</v>
      </c>
      <c r="LA95">
        <v>0</v>
      </c>
      <c r="LB95">
        <v>0</v>
      </c>
      <c r="LC95">
        <v>0</v>
      </c>
      <c r="LD95">
        <v>0</v>
      </c>
      <c r="LE95">
        <v>0</v>
      </c>
      <c r="LF95">
        <v>0</v>
      </c>
      <c r="LG95">
        <v>0</v>
      </c>
      <c r="LH95">
        <v>0</v>
      </c>
      <c r="LI95">
        <v>0</v>
      </c>
      <c r="LJ95">
        <v>0</v>
      </c>
      <c r="LK95">
        <v>0</v>
      </c>
      <c r="LL95">
        <v>0</v>
      </c>
      <c r="LM95">
        <v>0</v>
      </c>
      <c r="LN95">
        <v>0</v>
      </c>
      <c r="LO95">
        <v>0</v>
      </c>
      <c r="LP95">
        <v>0</v>
      </c>
      <c r="LQ95">
        <v>0</v>
      </c>
      <c r="LR95">
        <v>0</v>
      </c>
      <c r="LS95">
        <v>0</v>
      </c>
      <c r="LT95">
        <v>0</v>
      </c>
      <c r="LU95">
        <v>0</v>
      </c>
      <c r="LV95">
        <v>0</v>
      </c>
      <c r="LW95">
        <v>0</v>
      </c>
      <c r="LX95">
        <v>0</v>
      </c>
      <c r="LY95">
        <v>0</v>
      </c>
      <c r="LZ95">
        <v>0</v>
      </c>
      <c r="MA95">
        <v>0</v>
      </c>
      <c r="MB95">
        <v>0</v>
      </c>
      <c r="MC95">
        <v>0</v>
      </c>
      <c r="MD95">
        <v>0</v>
      </c>
      <c r="ME95">
        <v>0</v>
      </c>
      <c r="MF95">
        <v>0</v>
      </c>
      <c r="MG95">
        <v>0</v>
      </c>
      <c r="MH95">
        <v>0</v>
      </c>
      <c r="MI95">
        <v>0</v>
      </c>
      <c r="MJ95">
        <v>0</v>
      </c>
      <c r="MK95">
        <v>0</v>
      </c>
      <c r="ML95">
        <v>0</v>
      </c>
      <c r="MM95">
        <v>0</v>
      </c>
      <c r="MN95">
        <v>0</v>
      </c>
      <c r="MO95">
        <v>0</v>
      </c>
      <c r="MP95">
        <v>0</v>
      </c>
      <c r="MQ95">
        <v>0</v>
      </c>
      <c r="MR95">
        <v>0</v>
      </c>
      <c r="MS95">
        <v>0</v>
      </c>
      <c r="MT95">
        <v>0</v>
      </c>
      <c r="MU95">
        <v>0</v>
      </c>
      <c r="MV95">
        <v>0</v>
      </c>
      <c r="MW95">
        <v>0</v>
      </c>
      <c r="MX95">
        <v>0</v>
      </c>
      <c r="MY95">
        <v>0</v>
      </c>
      <c r="MZ95">
        <v>0</v>
      </c>
      <c r="NA95">
        <v>0</v>
      </c>
      <c r="NB95">
        <v>0</v>
      </c>
      <c r="NC95">
        <v>0</v>
      </c>
      <c r="ND95">
        <v>0</v>
      </c>
      <c r="NE95">
        <v>0</v>
      </c>
    </row>
    <row r="96" spans="41:369" x14ac:dyDescent="0.45">
      <c r="AO96" t="str">
        <v>B117</v>
      </c>
      <c r="AP96" t="str">
        <v>MUHAMMAD SABITH V K P</v>
      </c>
      <c r="AQ96" t="str">
        <v>BADF</v>
      </c>
      <c r="AR96" t="str">
        <v>JUNIOR</v>
      </c>
      <c r="AS96">
        <v>3</v>
      </c>
      <c r="AT96">
        <v>13</v>
      </c>
      <c r="AU96">
        <v>0</v>
      </c>
      <c r="AV96">
        <v>13</v>
      </c>
      <c r="AW96">
        <v>13</v>
      </c>
      <c r="AX96">
        <v>114</v>
      </c>
      <c r="AY96" s="5">
        <v>114</v>
      </c>
      <c r="AZ96" t="str">
        <v>SN05</v>
      </c>
      <c r="BA96" t="str">
        <v>ESSAY ARB</v>
      </c>
      <c r="BB96" t="str">
        <v>SENIOR</v>
      </c>
      <c r="BC96" t="str">
        <v>Single</v>
      </c>
      <c r="BD96" t="str">
        <v>Non-Stg</v>
      </c>
      <c r="BE96">
        <v>3</v>
      </c>
      <c r="BF96" t="str">
        <v>Individual</v>
      </c>
      <c r="BG96" t="str">
        <v>Individual</v>
      </c>
      <c r="BH96" t="str">
        <v>P</v>
      </c>
      <c r="BI96" t="str">
        <v>PUBLISHED</v>
      </c>
      <c r="BK96">
        <v>90</v>
      </c>
      <c r="BL96" t="str">
        <v>SN01</v>
      </c>
      <c r="BM96" t="str">
        <v>ALFIYA CONTEST</v>
      </c>
      <c r="BN96">
        <v>2</v>
      </c>
      <c r="BO96" t="str">
        <v>Single</v>
      </c>
      <c r="BP96" t="str">
        <v>Non-Stg</v>
      </c>
      <c r="BQ96" t="str">
        <v>SENIOR</v>
      </c>
      <c r="BR96" t="str">
        <v>C112</v>
      </c>
      <c r="BS96" t="str">
        <v>C149</v>
      </c>
      <c r="BT96">
        <v>0</v>
      </c>
      <c r="BU96">
        <v>0</v>
      </c>
      <c r="BV96">
        <v>0</v>
      </c>
      <c r="BW96">
        <v>0</v>
      </c>
      <c r="BX96">
        <v>0</v>
      </c>
      <c r="BY96" t="str">
        <v>C133</v>
      </c>
      <c r="BZ96" t="str">
        <v>C136</v>
      </c>
      <c r="CA96">
        <v>0</v>
      </c>
      <c r="CB96">
        <v>0</v>
      </c>
      <c r="CC96">
        <v>0</v>
      </c>
      <c r="CD96">
        <v>0</v>
      </c>
      <c r="CE96">
        <v>0</v>
      </c>
      <c r="CF96" t="str">
        <v>C109</v>
      </c>
      <c r="CG96" t="str">
        <v>C148</v>
      </c>
      <c r="CH96">
        <v>0</v>
      </c>
      <c r="CI96">
        <v>0</v>
      </c>
      <c r="CJ96">
        <v>0</v>
      </c>
      <c r="CK96">
        <v>0</v>
      </c>
      <c r="CL96">
        <v>0</v>
      </c>
      <c r="CM96" t="str">
        <v>C111</v>
      </c>
      <c r="CN96" t="str">
        <v>C175</v>
      </c>
      <c r="CO96">
        <v>0</v>
      </c>
      <c r="CP96">
        <v>0</v>
      </c>
      <c r="CQ96">
        <v>0</v>
      </c>
      <c r="CR96">
        <v>0</v>
      </c>
      <c r="CS96">
        <v>0</v>
      </c>
      <c r="CT96">
        <v>0</v>
      </c>
      <c r="CU96">
        <v>0</v>
      </c>
      <c r="CV96">
        <v>0</v>
      </c>
      <c r="CW96">
        <v>0</v>
      </c>
      <c r="CX96">
        <v>0</v>
      </c>
      <c r="CY96">
        <v>0</v>
      </c>
      <c r="CZ96">
        <v>0</v>
      </c>
      <c r="DA96">
        <v>0</v>
      </c>
      <c r="DB96">
        <v>0</v>
      </c>
      <c r="DC96">
        <v>0</v>
      </c>
      <c r="DD96">
        <v>0</v>
      </c>
      <c r="DE96">
        <v>0</v>
      </c>
      <c r="DF96">
        <v>0</v>
      </c>
      <c r="DG96">
        <v>0</v>
      </c>
      <c r="DH96">
        <v>0</v>
      </c>
      <c r="DI96">
        <v>0</v>
      </c>
      <c r="DJ96">
        <v>0</v>
      </c>
      <c r="DK96">
        <v>0</v>
      </c>
      <c r="DL96">
        <v>0</v>
      </c>
      <c r="DM96">
        <v>0</v>
      </c>
      <c r="DN96">
        <v>0</v>
      </c>
      <c r="DO96">
        <v>0</v>
      </c>
      <c r="DP96">
        <v>0</v>
      </c>
      <c r="DQ96">
        <v>0</v>
      </c>
      <c r="DR96">
        <v>0</v>
      </c>
      <c r="DS96">
        <v>0</v>
      </c>
      <c r="DT96">
        <v>0</v>
      </c>
      <c r="DU96">
        <v>0</v>
      </c>
      <c r="DV96">
        <v>0</v>
      </c>
      <c r="DW96">
        <v>0</v>
      </c>
      <c r="DX96">
        <v>0</v>
      </c>
      <c r="DY96">
        <v>0</v>
      </c>
      <c r="DZ96">
        <v>0</v>
      </c>
      <c r="EA96">
        <v>0</v>
      </c>
      <c r="EB96">
        <v>0</v>
      </c>
      <c r="EC96">
        <v>0</v>
      </c>
      <c r="ED96">
        <v>0</v>
      </c>
      <c r="EE96">
        <v>0</v>
      </c>
      <c r="EF96">
        <v>0</v>
      </c>
      <c r="EG96">
        <v>0</v>
      </c>
      <c r="EH96">
        <v>0</v>
      </c>
      <c r="EI96">
        <v>0</v>
      </c>
      <c r="EJ96">
        <v>0</v>
      </c>
      <c r="EK96">
        <v>0</v>
      </c>
      <c r="EL96">
        <v>0</v>
      </c>
      <c r="EM96">
        <v>0</v>
      </c>
      <c r="EN96">
        <v>0</v>
      </c>
      <c r="EO96">
        <v>0</v>
      </c>
      <c r="EP96">
        <v>0</v>
      </c>
      <c r="EQ96">
        <v>0</v>
      </c>
      <c r="ER96">
        <v>0</v>
      </c>
      <c r="ES96">
        <v>0</v>
      </c>
      <c r="ET96">
        <v>0</v>
      </c>
      <c r="EU96">
        <v>0</v>
      </c>
      <c r="EV96">
        <v>0</v>
      </c>
      <c r="EW96">
        <v>0</v>
      </c>
      <c r="EX96">
        <v>0</v>
      </c>
      <c r="EY96">
        <v>0</v>
      </c>
      <c r="EZ96">
        <v>0</v>
      </c>
      <c r="FA96">
        <v>0</v>
      </c>
      <c r="FB96">
        <v>0</v>
      </c>
      <c r="FC96">
        <v>0</v>
      </c>
      <c r="FD96">
        <v>0</v>
      </c>
      <c r="FE96">
        <v>0</v>
      </c>
      <c r="FF96">
        <v>0</v>
      </c>
      <c r="FG96">
        <v>0</v>
      </c>
      <c r="FH96">
        <v>0</v>
      </c>
      <c r="FI96">
        <v>0</v>
      </c>
      <c r="FJ96">
        <v>0</v>
      </c>
      <c r="FK96">
        <v>0</v>
      </c>
      <c r="FL96">
        <v>0</v>
      </c>
      <c r="FM96">
        <v>0</v>
      </c>
      <c r="FN96">
        <v>0</v>
      </c>
      <c r="FO96">
        <v>0</v>
      </c>
      <c r="FP96">
        <v>0</v>
      </c>
      <c r="FQ96">
        <v>0</v>
      </c>
      <c r="FR96">
        <v>0</v>
      </c>
      <c r="FS96">
        <v>0</v>
      </c>
      <c r="FT96">
        <v>0</v>
      </c>
      <c r="FU96">
        <v>0</v>
      </c>
      <c r="FV96">
        <v>0</v>
      </c>
      <c r="FW96">
        <v>0</v>
      </c>
      <c r="FX96">
        <v>0</v>
      </c>
      <c r="FY96">
        <v>0</v>
      </c>
      <c r="FZ96">
        <v>0</v>
      </c>
      <c r="GA96">
        <v>0</v>
      </c>
      <c r="GB96">
        <v>0</v>
      </c>
      <c r="GC96">
        <v>0</v>
      </c>
      <c r="GD96">
        <v>0</v>
      </c>
      <c r="GE96">
        <v>0</v>
      </c>
      <c r="GF96">
        <v>0</v>
      </c>
      <c r="GG96">
        <v>0</v>
      </c>
      <c r="GH96">
        <v>0</v>
      </c>
      <c r="GI96">
        <v>0</v>
      </c>
      <c r="GJ96">
        <v>0</v>
      </c>
      <c r="GK96">
        <v>0</v>
      </c>
      <c r="GL96">
        <v>0</v>
      </c>
      <c r="GM96">
        <v>0</v>
      </c>
      <c r="GN96">
        <v>0</v>
      </c>
      <c r="GO96">
        <v>0</v>
      </c>
      <c r="GP96">
        <v>0</v>
      </c>
      <c r="GQ96">
        <v>0</v>
      </c>
      <c r="GR96">
        <v>0</v>
      </c>
      <c r="GS96">
        <v>0</v>
      </c>
      <c r="GT96">
        <v>0</v>
      </c>
      <c r="GU96">
        <v>0</v>
      </c>
      <c r="GV96">
        <v>0</v>
      </c>
      <c r="GW96">
        <v>0</v>
      </c>
      <c r="GX96">
        <v>0</v>
      </c>
      <c r="GY96">
        <v>0</v>
      </c>
      <c r="GZ96">
        <v>0</v>
      </c>
      <c r="HA96">
        <v>0</v>
      </c>
      <c r="HB96">
        <v>0</v>
      </c>
      <c r="HC96">
        <v>0</v>
      </c>
      <c r="HD96">
        <v>0</v>
      </c>
      <c r="HE96">
        <v>0</v>
      </c>
      <c r="HF96">
        <v>0</v>
      </c>
      <c r="HG96">
        <v>0</v>
      </c>
      <c r="HH96">
        <v>0</v>
      </c>
      <c r="HI96">
        <v>0</v>
      </c>
      <c r="HJ96">
        <v>0</v>
      </c>
      <c r="HK96">
        <v>0</v>
      </c>
      <c r="HL96">
        <v>0</v>
      </c>
      <c r="HM96">
        <v>0</v>
      </c>
      <c r="HN96">
        <v>0</v>
      </c>
      <c r="HO96">
        <v>0</v>
      </c>
      <c r="HP96">
        <v>0</v>
      </c>
      <c r="HQ96">
        <v>0</v>
      </c>
      <c r="HR96">
        <v>0</v>
      </c>
      <c r="HS96">
        <v>0</v>
      </c>
      <c r="HT96">
        <v>0</v>
      </c>
      <c r="HU96">
        <v>0</v>
      </c>
      <c r="HV96">
        <v>0</v>
      </c>
      <c r="HW96">
        <v>0</v>
      </c>
      <c r="HX96">
        <v>0</v>
      </c>
      <c r="HY96">
        <v>0</v>
      </c>
      <c r="HZ96">
        <v>0</v>
      </c>
      <c r="IA96">
        <v>0</v>
      </c>
      <c r="IB96">
        <v>0</v>
      </c>
      <c r="IC96">
        <v>0</v>
      </c>
      <c r="ID96">
        <v>0</v>
      </c>
      <c r="IE96">
        <v>0</v>
      </c>
      <c r="IF96">
        <v>0</v>
      </c>
      <c r="IG96">
        <v>0</v>
      </c>
      <c r="IH96">
        <v>0</v>
      </c>
      <c r="II96">
        <v>0</v>
      </c>
      <c r="IJ96">
        <v>0</v>
      </c>
      <c r="IK96">
        <v>0</v>
      </c>
      <c r="IL96">
        <v>0</v>
      </c>
      <c r="IM96">
        <v>0</v>
      </c>
      <c r="IN96">
        <v>0</v>
      </c>
      <c r="IO96">
        <v>0</v>
      </c>
      <c r="IP96">
        <v>0</v>
      </c>
      <c r="IQ96">
        <v>0</v>
      </c>
      <c r="IR96">
        <v>0</v>
      </c>
      <c r="IS96">
        <v>0</v>
      </c>
      <c r="IT96">
        <v>0</v>
      </c>
      <c r="IU96">
        <v>0</v>
      </c>
      <c r="IV96">
        <v>0</v>
      </c>
      <c r="IW96">
        <v>0</v>
      </c>
      <c r="IX96">
        <v>0</v>
      </c>
      <c r="IY96">
        <v>0</v>
      </c>
      <c r="IZ96">
        <v>0</v>
      </c>
      <c r="JA96">
        <v>0</v>
      </c>
      <c r="JB96">
        <v>0</v>
      </c>
      <c r="JC96">
        <v>0</v>
      </c>
      <c r="JD96">
        <v>0</v>
      </c>
      <c r="JE96">
        <v>0</v>
      </c>
      <c r="JF96">
        <v>0</v>
      </c>
      <c r="JG96">
        <v>0</v>
      </c>
      <c r="JH96">
        <v>0</v>
      </c>
      <c r="JI96">
        <v>0</v>
      </c>
      <c r="JJ96">
        <v>0</v>
      </c>
      <c r="JK96">
        <v>0</v>
      </c>
      <c r="JL96">
        <v>0</v>
      </c>
      <c r="JM96">
        <v>0</v>
      </c>
      <c r="JN96">
        <v>0</v>
      </c>
      <c r="JO96">
        <v>0</v>
      </c>
      <c r="JP96">
        <v>0</v>
      </c>
      <c r="JQ96">
        <v>0</v>
      </c>
      <c r="JR96">
        <v>0</v>
      </c>
      <c r="JS96">
        <v>0</v>
      </c>
      <c r="JT96">
        <v>0</v>
      </c>
      <c r="JU96">
        <v>0</v>
      </c>
      <c r="JV96">
        <v>0</v>
      </c>
      <c r="JW96">
        <v>0</v>
      </c>
      <c r="JX96">
        <v>0</v>
      </c>
      <c r="JY96">
        <v>0</v>
      </c>
      <c r="JZ96">
        <v>0</v>
      </c>
      <c r="KA96">
        <v>0</v>
      </c>
      <c r="KB96">
        <v>0</v>
      </c>
      <c r="KC96">
        <v>0</v>
      </c>
      <c r="KD96">
        <v>0</v>
      </c>
      <c r="KE96">
        <v>0</v>
      </c>
      <c r="KF96">
        <v>0</v>
      </c>
      <c r="KG96">
        <v>0</v>
      </c>
      <c r="KH96">
        <v>0</v>
      </c>
      <c r="KI96">
        <v>0</v>
      </c>
      <c r="KJ96">
        <v>0</v>
      </c>
      <c r="KK96">
        <v>0</v>
      </c>
      <c r="KL96">
        <v>0</v>
      </c>
      <c r="KM96">
        <v>0</v>
      </c>
      <c r="KN96">
        <v>0</v>
      </c>
      <c r="KO96">
        <v>0</v>
      </c>
      <c r="KP96">
        <v>0</v>
      </c>
      <c r="KQ96">
        <v>0</v>
      </c>
      <c r="KR96">
        <v>0</v>
      </c>
      <c r="KS96">
        <v>0</v>
      </c>
      <c r="KT96">
        <v>0</v>
      </c>
      <c r="KU96">
        <v>0</v>
      </c>
      <c r="KV96">
        <v>0</v>
      </c>
      <c r="KW96">
        <v>0</v>
      </c>
      <c r="KX96">
        <v>0</v>
      </c>
      <c r="KY96">
        <v>0</v>
      </c>
      <c r="KZ96">
        <v>0</v>
      </c>
      <c r="LA96">
        <v>0</v>
      </c>
      <c r="LB96">
        <v>0</v>
      </c>
      <c r="LC96">
        <v>0</v>
      </c>
      <c r="LD96">
        <v>0</v>
      </c>
      <c r="LE96">
        <v>0</v>
      </c>
      <c r="LF96">
        <v>0</v>
      </c>
      <c r="LG96">
        <v>0</v>
      </c>
      <c r="LH96">
        <v>0</v>
      </c>
      <c r="LI96">
        <v>0</v>
      </c>
      <c r="LJ96">
        <v>0</v>
      </c>
      <c r="LK96">
        <v>0</v>
      </c>
      <c r="LL96">
        <v>0</v>
      </c>
      <c r="LM96">
        <v>0</v>
      </c>
      <c r="LN96">
        <v>0</v>
      </c>
      <c r="LO96">
        <v>0</v>
      </c>
      <c r="LP96">
        <v>0</v>
      </c>
      <c r="LQ96">
        <v>0</v>
      </c>
      <c r="LR96">
        <v>0</v>
      </c>
      <c r="LS96">
        <v>0</v>
      </c>
      <c r="LT96">
        <v>0</v>
      </c>
      <c r="LU96">
        <v>0</v>
      </c>
      <c r="LV96">
        <v>0</v>
      </c>
      <c r="LW96">
        <v>0</v>
      </c>
      <c r="LX96">
        <v>0</v>
      </c>
      <c r="LY96">
        <v>0</v>
      </c>
      <c r="LZ96">
        <v>0</v>
      </c>
      <c r="MA96">
        <v>0</v>
      </c>
      <c r="MB96">
        <v>0</v>
      </c>
      <c r="MC96">
        <v>0</v>
      </c>
      <c r="MD96">
        <v>0</v>
      </c>
      <c r="ME96">
        <v>0</v>
      </c>
      <c r="MF96">
        <v>0</v>
      </c>
      <c r="MG96">
        <v>0</v>
      </c>
      <c r="MH96">
        <v>0</v>
      </c>
      <c r="MI96">
        <v>0</v>
      </c>
      <c r="MJ96">
        <v>0</v>
      </c>
      <c r="MK96">
        <v>0</v>
      </c>
      <c r="ML96">
        <v>0</v>
      </c>
      <c r="MM96">
        <v>0</v>
      </c>
      <c r="MN96">
        <v>0</v>
      </c>
      <c r="MO96">
        <v>0</v>
      </c>
      <c r="MP96">
        <v>0</v>
      </c>
      <c r="MQ96">
        <v>0</v>
      </c>
      <c r="MR96">
        <v>0</v>
      </c>
      <c r="MS96">
        <v>0</v>
      </c>
      <c r="MT96">
        <v>0</v>
      </c>
      <c r="MU96">
        <v>0</v>
      </c>
      <c r="MV96">
        <v>0</v>
      </c>
      <c r="MW96">
        <v>0</v>
      </c>
      <c r="MX96">
        <v>0</v>
      </c>
      <c r="MY96">
        <v>0</v>
      </c>
      <c r="MZ96">
        <v>0</v>
      </c>
      <c r="NA96">
        <v>0</v>
      </c>
      <c r="NB96">
        <v>0</v>
      </c>
      <c r="NC96">
        <v>0</v>
      </c>
      <c r="ND96">
        <v>0</v>
      </c>
      <c r="NE96">
        <v>0</v>
      </c>
    </row>
    <row r="97" spans="41:369" x14ac:dyDescent="0.45">
      <c r="AO97" t="str">
        <v>B118</v>
      </c>
      <c r="AP97" t="str">
        <v>Muhammad Muaaz</v>
      </c>
      <c r="AQ97" t="str">
        <v>JARF</v>
      </c>
      <c r="AR97" t="str">
        <v>JUNIOR</v>
      </c>
      <c r="AS97">
        <v>3</v>
      </c>
      <c r="AT97">
        <v>40</v>
      </c>
      <c r="AU97">
        <v>0</v>
      </c>
      <c r="AV97">
        <v>40</v>
      </c>
      <c r="AW97">
        <v>40</v>
      </c>
      <c r="AX97">
        <v>23</v>
      </c>
      <c r="AY97" s="5">
        <v>23</v>
      </c>
      <c r="AZ97" t="str">
        <v>SN06</v>
      </c>
      <c r="BA97" t="str">
        <v>ESSAY ENG</v>
      </c>
      <c r="BB97" t="str">
        <v>SENIOR</v>
      </c>
      <c r="BC97" t="str">
        <v>Single</v>
      </c>
      <c r="BD97" t="str">
        <v>Non-Stg</v>
      </c>
      <c r="BE97">
        <v>3</v>
      </c>
      <c r="BF97" t="str">
        <v>Individual</v>
      </c>
      <c r="BG97" t="str">
        <v>Individual</v>
      </c>
      <c r="BH97" t="str">
        <v>P</v>
      </c>
      <c r="BI97" t="str">
        <v>PUBLISHED</v>
      </c>
      <c r="BK97">
        <v>91</v>
      </c>
      <c r="BL97" t="str">
        <v>SN02</v>
      </c>
      <c r="BM97" t="str">
        <v>CALLIGRAPHY</v>
      </c>
      <c r="BN97">
        <v>2</v>
      </c>
      <c r="BO97" t="str">
        <v>Single</v>
      </c>
      <c r="BP97" t="str">
        <v>Non-Stg</v>
      </c>
      <c r="BQ97" t="str">
        <v>SENIOR</v>
      </c>
      <c r="BR97" t="str">
        <v>C115</v>
      </c>
      <c r="BS97" t="str">
        <v>C176</v>
      </c>
      <c r="BT97">
        <v>0</v>
      </c>
      <c r="BU97">
        <v>0</v>
      </c>
      <c r="BV97">
        <v>0</v>
      </c>
      <c r="BW97">
        <v>0</v>
      </c>
      <c r="BX97">
        <v>0</v>
      </c>
      <c r="BY97" t="str">
        <v>C154</v>
      </c>
      <c r="BZ97" t="str">
        <v>C172</v>
      </c>
      <c r="CA97">
        <v>0</v>
      </c>
      <c r="CB97">
        <v>0</v>
      </c>
      <c r="CC97">
        <v>0</v>
      </c>
      <c r="CD97">
        <v>0</v>
      </c>
      <c r="CE97">
        <v>0</v>
      </c>
      <c r="CF97" t="str">
        <v>C104</v>
      </c>
      <c r="CG97" t="str">
        <v>C123</v>
      </c>
      <c r="CH97">
        <v>0</v>
      </c>
      <c r="CI97">
        <v>0</v>
      </c>
      <c r="CJ97">
        <v>0</v>
      </c>
      <c r="CK97">
        <v>0</v>
      </c>
      <c r="CL97">
        <v>0</v>
      </c>
      <c r="CM97" t="str">
        <v>C140</v>
      </c>
      <c r="CN97" t="str">
        <v>C165</v>
      </c>
      <c r="CO97">
        <v>0</v>
      </c>
      <c r="CP97">
        <v>0</v>
      </c>
      <c r="CQ97">
        <v>0</v>
      </c>
      <c r="CR97">
        <v>0</v>
      </c>
      <c r="CS97">
        <v>0</v>
      </c>
      <c r="CT97">
        <v>0</v>
      </c>
      <c r="CU97">
        <v>0</v>
      </c>
      <c r="CV97">
        <v>0</v>
      </c>
      <c r="CW97">
        <v>0</v>
      </c>
      <c r="CX97">
        <v>0</v>
      </c>
      <c r="CY97">
        <v>0</v>
      </c>
      <c r="CZ97">
        <v>0</v>
      </c>
      <c r="DA97">
        <v>0</v>
      </c>
      <c r="DB97">
        <v>0</v>
      </c>
      <c r="DC97">
        <v>0</v>
      </c>
      <c r="DD97">
        <v>0</v>
      </c>
      <c r="DE97">
        <v>0</v>
      </c>
      <c r="DF97">
        <v>0</v>
      </c>
      <c r="DG97">
        <v>0</v>
      </c>
      <c r="DH97">
        <v>0</v>
      </c>
      <c r="DI97">
        <v>0</v>
      </c>
      <c r="DJ97">
        <v>0</v>
      </c>
      <c r="DK97">
        <v>0</v>
      </c>
      <c r="DL97">
        <v>0</v>
      </c>
      <c r="DM97">
        <v>0</v>
      </c>
      <c r="DN97">
        <v>0</v>
      </c>
      <c r="DO97">
        <v>0</v>
      </c>
      <c r="DP97">
        <v>0</v>
      </c>
      <c r="DQ97">
        <v>0</v>
      </c>
      <c r="DR97">
        <v>0</v>
      </c>
      <c r="DS97">
        <v>0</v>
      </c>
      <c r="DT97">
        <v>0</v>
      </c>
      <c r="DU97">
        <v>0</v>
      </c>
      <c r="DV97">
        <v>0</v>
      </c>
      <c r="DW97">
        <v>0</v>
      </c>
      <c r="DX97">
        <v>0</v>
      </c>
      <c r="DY97">
        <v>0</v>
      </c>
      <c r="DZ97">
        <v>0</v>
      </c>
      <c r="EA97">
        <v>0</v>
      </c>
      <c r="EB97">
        <v>0</v>
      </c>
      <c r="EC97">
        <v>0</v>
      </c>
      <c r="ED97">
        <v>0</v>
      </c>
      <c r="EE97">
        <v>0</v>
      </c>
      <c r="EF97">
        <v>0</v>
      </c>
      <c r="EG97">
        <v>0</v>
      </c>
      <c r="EH97">
        <v>0</v>
      </c>
      <c r="EI97">
        <v>0</v>
      </c>
      <c r="EJ97">
        <v>0</v>
      </c>
      <c r="EK97">
        <v>0</v>
      </c>
      <c r="EL97">
        <v>0</v>
      </c>
      <c r="EM97">
        <v>0</v>
      </c>
      <c r="EN97">
        <v>0</v>
      </c>
      <c r="EO97">
        <v>0</v>
      </c>
      <c r="EP97">
        <v>0</v>
      </c>
      <c r="EQ97">
        <v>0</v>
      </c>
      <c r="ER97">
        <v>0</v>
      </c>
      <c r="ES97">
        <v>0</v>
      </c>
      <c r="ET97">
        <v>0</v>
      </c>
      <c r="EU97">
        <v>0</v>
      </c>
      <c r="EV97">
        <v>0</v>
      </c>
      <c r="EW97">
        <v>0</v>
      </c>
      <c r="EX97">
        <v>0</v>
      </c>
      <c r="EY97">
        <v>0</v>
      </c>
      <c r="EZ97">
        <v>0</v>
      </c>
      <c r="FA97">
        <v>0</v>
      </c>
      <c r="FB97">
        <v>0</v>
      </c>
      <c r="FC97">
        <v>0</v>
      </c>
      <c r="FD97">
        <v>0</v>
      </c>
      <c r="FE97">
        <v>0</v>
      </c>
      <c r="FF97">
        <v>0</v>
      </c>
      <c r="FG97">
        <v>0</v>
      </c>
      <c r="FH97">
        <v>0</v>
      </c>
      <c r="FI97">
        <v>0</v>
      </c>
      <c r="FJ97">
        <v>0</v>
      </c>
      <c r="FK97">
        <v>0</v>
      </c>
      <c r="FL97">
        <v>0</v>
      </c>
      <c r="FM97">
        <v>0</v>
      </c>
      <c r="FN97">
        <v>0</v>
      </c>
      <c r="FO97">
        <v>0</v>
      </c>
      <c r="FP97">
        <v>0</v>
      </c>
      <c r="FQ97">
        <v>0</v>
      </c>
      <c r="FR97">
        <v>0</v>
      </c>
      <c r="FS97">
        <v>0</v>
      </c>
      <c r="FT97">
        <v>0</v>
      </c>
      <c r="FU97">
        <v>0</v>
      </c>
      <c r="FV97">
        <v>0</v>
      </c>
      <c r="FW97">
        <v>0</v>
      </c>
      <c r="FX97">
        <v>0</v>
      </c>
      <c r="FY97">
        <v>0</v>
      </c>
      <c r="FZ97">
        <v>0</v>
      </c>
      <c r="GA97">
        <v>0</v>
      </c>
      <c r="GB97">
        <v>0</v>
      </c>
      <c r="GC97">
        <v>0</v>
      </c>
      <c r="GD97">
        <v>0</v>
      </c>
      <c r="GE97">
        <v>0</v>
      </c>
      <c r="GF97">
        <v>0</v>
      </c>
      <c r="GG97">
        <v>0</v>
      </c>
      <c r="GH97">
        <v>0</v>
      </c>
      <c r="GI97">
        <v>0</v>
      </c>
      <c r="GJ97">
        <v>0</v>
      </c>
      <c r="GK97">
        <v>0</v>
      </c>
      <c r="GL97">
        <v>0</v>
      </c>
      <c r="GM97">
        <v>0</v>
      </c>
      <c r="GN97">
        <v>0</v>
      </c>
      <c r="GO97">
        <v>0</v>
      </c>
      <c r="GP97">
        <v>0</v>
      </c>
      <c r="GQ97">
        <v>0</v>
      </c>
      <c r="GR97">
        <v>0</v>
      </c>
      <c r="GS97">
        <v>0</v>
      </c>
      <c r="GT97">
        <v>0</v>
      </c>
      <c r="GU97">
        <v>0</v>
      </c>
      <c r="GV97">
        <v>0</v>
      </c>
      <c r="GW97">
        <v>0</v>
      </c>
      <c r="GX97">
        <v>0</v>
      </c>
      <c r="GY97">
        <v>0</v>
      </c>
      <c r="GZ97">
        <v>0</v>
      </c>
      <c r="HA97">
        <v>0</v>
      </c>
      <c r="HB97">
        <v>0</v>
      </c>
      <c r="HC97">
        <v>0</v>
      </c>
      <c r="HD97">
        <v>0</v>
      </c>
      <c r="HE97">
        <v>0</v>
      </c>
      <c r="HF97">
        <v>0</v>
      </c>
      <c r="HG97">
        <v>0</v>
      </c>
      <c r="HH97">
        <v>0</v>
      </c>
      <c r="HI97">
        <v>0</v>
      </c>
      <c r="HJ97">
        <v>0</v>
      </c>
      <c r="HK97">
        <v>0</v>
      </c>
      <c r="HL97">
        <v>0</v>
      </c>
      <c r="HM97">
        <v>0</v>
      </c>
      <c r="HN97">
        <v>0</v>
      </c>
      <c r="HO97">
        <v>0</v>
      </c>
      <c r="HP97">
        <v>0</v>
      </c>
      <c r="HQ97">
        <v>0</v>
      </c>
      <c r="HR97">
        <v>0</v>
      </c>
      <c r="HS97">
        <v>0</v>
      </c>
      <c r="HT97">
        <v>0</v>
      </c>
      <c r="HU97">
        <v>0</v>
      </c>
      <c r="HV97">
        <v>0</v>
      </c>
      <c r="HW97">
        <v>0</v>
      </c>
      <c r="HX97">
        <v>0</v>
      </c>
      <c r="HY97">
        <v>0</v>
      </c>
      <c r="HZ97">
        <v>0</v>
      </c>
      <c r="IA97">
        <v>0</v>
      </c>
      <c r="IB97">
        <v>0</v>
      </c>
      <c r="IC97">
        <v>0</v>
      </c>
      <c r="ID97">
        <v>0</v>
      </c>
      <c r="IE97">
        <v>0</v>
      </c>
      <c r="IF97">
        <v>0</v>
      </c>
      <c r="IG97">
        <v>0</v>
      </c>
      <c r="IH97">
        <v>0</v>
      </c>
      <c r="II97">
        <v>0</v>
      </c>
      <c r="IJ97">
        <v>0</v>
      </c>
      <c r="IK97">
        <v>0</v>
      </c>
      <c r="IL97">
        <v>0</v>
      </c>
      <c r="IM97">
        <v>0</v>
      </c>
      <c r="IN97">
        <v>0</v>
      </c>
      <c r="IO97">
        <v>0</v>
      </c>
      <c r="IP97">
        <v>0</v>
      </c>
      <c r="IQ97">
        <v>0</v>
      </c>
      <c r="IR97">
        <v>0</v>
      </c>
      <c r="IS97">
        <v>0</v>
      </c>
      <c r="IT97">
        <v>0</v>
      </c>
      <c r="IU97">
        <v>0</v>
      </c>
      <c r="IV97">
        <v>0</v>
      </c>
      <c r="IW97">
        <v>0</v>
      </c>
      <c r="IX97">
        <v>0</v>
      </c>
      <c r="IY97">
        <v>0</v>
      </c>
      <c r="IZ97">
        <v>0</v>
      </c>
      <c r="JA97">
        <v>0</v>
      </c>
      <c r="JB97">
        <v>0</v>
      </c>
      <c r="JC97">
        <v>0</v>
      </c>
      <c r="JD97">
        <v>0</v>
      </c>
      <c r="JE97">
        <v>0</v>
      </c>
      <c r="JF97">
        <v>0</v>
      </c>
      <c r="JG97">
        <v>0</v>
      </c>
      <c r="JH97">
        <v>0</v>
      </c>
      <c r="JI97">
        <v>0</v>
      </c>
      <c r="JJ97">
        <v>0</v>
      </c>
      <c r="JK97">
        <v>0</v>
      </c>
      <c r="JL97">
        <v>0</v>
      </c>
      <c r="JM97">
        <v>0</v>
      </c>
      <c r="JN97">
        <v>0</v>
      </c>
      <c r="JO97">
        <v>0</v>
      </c>
      <c r="JP97">
        <v>0</v>
      </c>
      <c r="JQ97">
        <v>0</v>
      </c>
      <c r="JR97">
        <v>0</v>
      </c>
      <c r="JS97">
        <v>0</v>
      </c>
      <c r="JT97">
        <v>0</v>
      </c>
      <c r="JU97">
        <v>0</v>
      </c>
      <c r="JV97">
        <v>0</v>
      </c>
      <c r="JW97">
        <v>0</v>
      </c>
      <c r="JX97">
        <v>0</v>
      </c>
      <c r="JY97">
        <v>0</v>
      </c>
      <c r="JZ97">
        <v>0</v>
      </c>
      <c r="KA97">
        <v>0</v>
      </c>
      <c r="KB97">
        <v>0</v>
      </c>
      <c r="KC97">
        <v>0</v>
      </c>
      <c r="KD97">
        <v>0</v>
      </c>
      <c r="KE97">
        <v>0</v>
      </c>
      <c r="KF97">
        <v>0</v>
      </c>
      <c r="KG97">
        <v>0</v>
      </c>
      <c r="KH97">
        <v>0</v>
      </c>
      <c r="KI97">
        <v>0</v>
      </c>
      <c r="KJ97">
        <v>0</v>
      </c>
      <c r="KK97">
        <v>0</v>
      </c>
      <c r="KL97">
        <v>0</v>
      </c>
      <c r="KM97">
        <v>0</v>
      </c>
      <c r="KN97">
        <v>0</v>
      </c>
      <c r="KO97">
        <v>0</v>
      </c>
      <c r="KP97">
        <v>0</v>
      </c>
      <c r="KQ97">
        <v>0</v>
      </c>
      <c r="KR97">
        <v>0</v>
      </c>
      <c r="KS97">
        <v>0</v>
      </c>
      <c r="KT97">
        <v>0</v>
      </c>
      <c r="KU97">
        <v>0</v>
      </c>
      <c r="KV97">
        <v>0</v>
      </c>
      <c r="KW97">
        <v>0</v>
      </c>
      <c r="KX97">
        <v>0</v>
      </c>
      <c r="KY97">
        <v>0</v>
      </c>
      <c r="KZ97">
        <v>0</v>
      </c>
      <c r="LA97">
        <v>0</v>
      </c>
      <c r="LB97">
        <v>0</v>
      </c>
      <c r="LC97">
        <v>0</v>
      </c>
      <c r="LD97">
        <v>0</v>
      </c>
      <c r="LE97">
        <v>0</v>
      </c>
      <c r="LF97">
        <v>0</v>
      </c>
      <c r="LG97">
        <v>0</v>
      </c>
      <c r="LH97">
        <v>0</v>
      </c>
      <c r="LI97">
        <v>0</v>
      </c>
      <c r="LJ97">
        <v>0</v>
      </c>
      <c r="LK97">
        <v>0</v>
      </c>
      <c r="LL97">
        <v>0</v>
      </c>
      <c r="LM97">
        <v>0</v>
      </c>
      <c r="LN97">
        <v>0</v>
      </c>
      <c r="LO97">
        <v>0</v>
      </c>
      <c r="LP97">
        <v>0</v>
      </c>
      <c r="LQ97">
        <v>0</v>
      </c>
      <c r="LR97">
        <v>0</v>
      </c>
      <c r="LS97">
        <v>0</v>
      </c>
      <c r="LT97">
        <v>0</v>
      </c>
      <c r="LU97">
        <v>0</v>
      </c>
      <c r="LV97">
        <v>0</v>
      </c>
      <c r="LW97">
        <v>0</v>
      </c>
      <c r="LX97">
        <v>0</v>
      </c>
      <c r="LY97">
        <v>0</v>
      </c>
      <c r="LZ97">
        <v>0</v>
      </c>
      <c r="MA97">
        <v>0</v>
      </c>
      <c r="MB97">
        <v>0</v>
      </c>
      <c r="MC97">
        <v>0</v>
      </c>
      <c r="MD97">
        <v>0</v>
      </c>
      <c r="ME97">
        <v>0</v>
      </c>
      <c r="MF97">
        <v>0</v>
      </c>
      <c r="MG97">
        <v>0</v>
      </c>
      <c r="MH97">
        <v>0</v>
      </c>
      <c r="MI97">
        <v>0</v>
      </c>
      <c r="MJ97">
        <v>0</v>
      </c>
      <c r="MK97">
        <v>0</v>
      </c>
      <c r="ML97">
        <v>0</v>
      </c>
      <c r="MM97">
        <v>0</v>
      </c>
      <c r="MN97">
        <v>0</v>
      </c>
      <c r="MO97">
        <v>0</v>
      </c>
      <c r="MP97">
        <v>0</v>
      </c>
      <c r="MQ97">
        <v>0</v>
      </c>
      <c r="MR97">
        <v>0</v>
      </c>
      <c r="MS97">
        <v>0</v>
      </c>
      <c r="MT97">
        <v>0</v>
      </c>
      <c r="MU97">
        <v>0</v>
      </c>
      <c r="MV97">
        <v>0</v>
      </c>
      <c r="MW97">
        <v>0</v>
      </c>
      <c r="MX97">
        <v>0</v>
      </c>
      <c r="MY97">
        <v>0</v>
      </c>
      <c r="MZ97">
        <v>0</v>
      </c>
      <c r="NA97">
        <v>0</v>
      </c>
      <c r="NB97">
        <v>0</v>
      </c>
      <c r="NC97">
        <v>0</v>
      </c>
      <c r="ND97">
        <v>0</v>
      </c>
      <c r="NE97">
        <v>0</v>
      </c>
    </row>
    <row r="98" spans="41:369" x14ac:dyDescent="0.45">
      <c r="AO98" t="str">
        <v>B119</v>
      </c>
      <c r="AP98" t="str">
        <v>ABDUL SA-AD</v>
      </c>
      <c r="AQ98" t="str">
        <v>JARF</v>
      </c>
      <c r="AR98" t="str">
        <v>JUNIOR</v>
      </c>
      <c r="AS98">
        <v>3</v>
      </c>
      <c r="AT98">
        <v>1</v>
      </c>
      <c r="AU98">
        <v>0</v>
      </c>
      <c r="AV98">
        <v>1</v>
      </c>
      <c r="AW98">
        <v>1</v>
      </c>
      <c r="AX98">
        <v>231</v>
      </c>
      <c r="AY98" s="5">
        <v>231</v>
      </c>
      <c r="AZ98" t="str">
        <v>SN07</v>
      </c>
      <c r="BA98" t="str">
        <v>ESSAY MLM</v>
      </c>
      <c r="BB98" t="str">
        <v>SENIOR</v>
      </c>
      <c r="BC98" t="str">
        <v>Single</v>
      </c>
      <c r="BD98" t="str">
        <v>Non-Stg</v>
      </c>
      <c r="BE98">
        <v>3</v>
      </c>
      <c r="BF98" t="str">
        <v>Individual</v>
      </c>
      <c r="BG98" t="str">
        <v>Individual</v>
      </c>
      <c r="BH98" t="str">
        <v>P</v>
      </c>
      <c r="BI98" t="str">
        <v>PUBLISHED</v>
      </c>
      <c r="BK98">
        <v>92</v>
      </c>
      <c r="BL98" t="str">
        <v>SN03</v>
      </c>
      <c r="BM98" t="str">
        <v>CAPTION WRITIING URD</v>
      </c>
      <c r="BN98">
        <v>3</v>
      </c>
      <c r="BO98" t="str">
        <v>Single</v>
      </c>
      <c r="BP98" t="str">
        <v>Non-Stg</v>
      </c>
      <c r="BQ98" t="str">
        <v>SENIOR</v>
      </c>
      <c r="BR98" t="str">
        <v>C108</v>
      </c>
      <c r="BS98" t="str">
        <v>C118</v>
      </c>
      <c r="BT98" t="str">
        <v>C125</v>
      </c>
      <c r="BU98">
        <v>0</v>
      </c>
      <c r="BV98">
        <v>0</v>
      </c>
      <c r="BW98">
        <v>0</v>
      </c>
      <c r="BX98">
        <v>0</v>
      </c>
      <c r="BY98" t="str">
        <v>C100</v>
      </c>
      <c r="BZ98" t="str">
        <v>C158</v>
      </c>
      <c r="CA98" t="str">
        <v>C177</v>
      </c>
      <c r="CB98">
        <v>0</v>
      </c>
      <c r="CC98">
        <v>0</v>
      </c>
      <c r="CD98">
        <v>0</v>
      </c>
      <c r="CE98">
        <v>0</v>
      </c>
      <c r="CF98" t="str">
        <v>C129</v>
      </c>
      <c r="CG98" t="str">
        <v>C157</v>
      </c>
      <c r="CH98" t="str">
        <v>C170</v>
      </c>
      <c r="CI98">
        <v>0</v>
      </c>
      <c r="CJ98">
        <v>0</v>
      </c>
      <c r="CK98">
        <v>0</v>
      </c>
      <c r="CL98">
        <v>0</v>
      </c>
      <c r="CM98" t="str">
        <v>C105</v>
      </c>
      <c r="CN98" t="str">
        <v>C116</v>
      </c>
      <c r="CO98" t="str">
        <v>C121</v>
      </c>
      <c r="CP98">
        <v>0</v>
      </c>
      <c r="CQ98">
        <v>0</v>
      </c>
      <c r="CR98">
        <v>0</v>
      </c>
      <c r="CS98">
        <v>0</v>
      </c>
      <c r="CT98">
        <v>0</v>
      </c>
      <c r="CU98">
        <v>0</v>
      </c>
      <c r="CV98">
        <v>0</v>
      </c>
      <c r="CW98">
        <v>0</v>
      </c>
      <c r="CX98">
        <v>0</v>
      </c>
      <c r="CY98">
        <v>0</v>
      </c>
      <c r="CZ98">
        <v>0</v>
      </c>
      <c r="DA98">
        <v>0</v>
      </c>
      <c r="DB98">
        <v>0</v>
      </c>
      <c r="DC98">
        <v>0</v>
      </c>
      <c r="DD98">
        <v>0</v>
      </c>
      <c r="DE98">
        <v>0</v>
      </c>
      <c r="DF98">
        <v>0</v>
      </c>
      <c r="DG98">
        <v>0</v>
      </c>
      <c r="DH98">
        <v>0</v>
      </c>
      <c r="DI98">
        <v>0</v>
      </c>
      <c r="DJ98">
        <v>0</v>
      </c>
      <c r="DK98">
        <v>0</v>
      </c>
      <c r="DL98">
        <v>0</v>
      </c>
      <c r="DM98">
        <v>0</v>
      </c>
      <c r="DN98">
        <v>0</v>
      </c>
      <c r="DO98">
        <v>0</v>
      </c>
      <c r="DP98">
        <v>0</v>
      </c>
      <c r="DQ98">
        <v>0</v>
      </c>
      <c r="DR98">
        <v>0</v>
      </c>
      <c r="DS98">
        <v>0</v>
      </c>
      <c r="DT98">
        <v>0</v>
      </c>
      <c r="DU98">
        <v>0</v>
      </c>
      <c r="DV98">
        <v>0</v>
      </c>
      <c r="DW98">
        <v>0</v>
      </c>
      <c r="DX98">
        <v>0</v>
      </c>
      <c r="DY98">
        <v>0</v>
      </c>
      <c r="DZ98">
        <v>0</v>
      </c>
      <c r="EA98">
        <v>0</v>
      </c>
      <c r="EB98">
        <v>0</v>
      </c>
      <c r="EC98">
        <v>0</v>
      </c>
      <c r="ED98">
        <v>0</v>
      </c>
      <c r="EE98">
        <v>0</v>
      </c>
      <c r="EF98">
        <v>0</v>
      </c>
      <c r="EG98">
        <v>0</v>
      </c>
      <c r="EH98">
        <v>0</v>
      </c>
      <c r="EI98">
        <v>0</v>
      </c>
      <c r="EJ98">
        <v>0</v>
      </c>
      <c r="EK98">
        <v>0</v>
      </c>
      <c r="EL98">
        <v>0</v>
      </c>
      <c r="EM98">
        <v>0</v>
      </c>
      <c r="EN98">
        <v>0</v>
      </c>
      <c r="EO98">
        <v>0</v>
      </c>
      <c r="EP98">
        <v>0</v>
      </c>
      <c r="EQ98">
        <v>0</v>
      </c>
      <c r="ER98">
        <v>0</v>
      </c>
      <c r="ES98">
        <v>0</v>
      </c>
      <c r="ET98">
        <v>0</v>
      </c>
      <c r="EU98">
        <v>0</v>
      </c>
      <c r="EV98">
        <v>0</v>
      </c>
      <c r="EW98">
        <v>0</v>
      </c>
      <c r="EX98">
        <v>0</v>
      </c>
      <c r="EY98">
        <v>0</v>
      </c>
      <c r="EZ98">
        <v>0</v>
      </c>
      <c r="FA98">
        <v>0</v>
      </c>
      <c r="FB98">
        <v>0</v>
      </c>
      <c r="FC98">
        <v>0</v>
      </c>
      <c r="FD98">
        <v>0</v>
      </c>
      <c r="FE98">
        <v>0</v>
      </c>
      <c r="FF98">
        <v>0</v>
      </c>
      <c r="FG98">
        <v>0</v>
      </c>
      <c r="FH98">
        <v>0</v>
      </c>
      <c r="FI98">
        <v>0</v>
      </c>
      <c r="FJ98">
        <v>0</v>
      </c>
      <c r="FK98">
        <v>0</v>
      </c>
      <c r="FL98">
        <v>0</v>
      </c>
      <c r="FM98">
        <v>0</v>
      </c>
      <c r="FN98">
        <v>0</v>
      </c>
      <c r="FO98">
        <v>0</v>
      </c>
      <c r="FP98">
        <v>0</v>
      </c>
      <c r="FQ98">
        <v>0</v>
      </c>
      <c r="FR98">
        <v>0</v>
      </c>
      <c r="FS98">
        <v>0</v>
      </c>
      <c r="FT98">
        <v>0</v>
      </c>
      <c r="FU98">
        <v>0</v>
      </c>
      <c r="FV98">
        <v>0</v>
      </c>
      <c r="FW98">
        <v>0</v>
      </c>
      <c r="FX98">
        <v>0</v>
      </c>
      <c r="FY98">
        <v>0</v>
      </c>
      <c r="FZ98">
        <v>0</v>
      </c>
      <c r="GA98">
        <v>0</v>
      </c>
      <c r="GB98">
        <v>0</v>
      </c>
      <c r="GC98">
        <v>0</v>
      </c>
      <c r="GD98">
        <v>0</v>
      </c>
      <c r="GE98">
        <v>0</v>
      </c>
      <c r="GF98">
        <v>0</v>
      </c>
      <c r="GG98">
        <v>0</v>
      </c>
      <c r="GH98">
        <v>0</v>
      </c>
      <c r="GI98">
        <v>0</v>
      </c>
      <c r="GJ98">
        <v>0</v>
      </c>
      <c r="GK98">
        <v>0</v>
      </c>
      <c r="GL98">
        <v>0</v>
      </c>
      <c r="GM98">
        <v>0</v>
      </c>
      <c r="GN98">
        <v>0</v>
      </c>
      <c r="GO98">
        <v>0</v>
      </c>
      <c r="GP98">
        <v>0</v>
      </c>
      <c r="GQ98">
        <v>0</v>
      </c>
      <c r="GR98">
        <v>0</v>
      </c>
      <c r="GS98">
        <v>0</v>
      </c>
      <c r="GT98">
        <v>0</v>
      </c>
      <c r="GU98">
        <v>0</v>
      </c>
      <c r="GV98">
        <v>0</v>
      </c>
      <c r="GW98">
        <v>0</v>
      </c>
      <c r="GX98">
        <v>0</v>
      </c>
      <c r="GY98">
        <v>0</v>
      </c>
      <c r="GZ98">
        <v>0</v>
      </c>
      <c r="HA98">
        <v>0</v>
      </c>
      <c r="HB98">
        <v>0</v>
      </c>
      <c r="HC98">
        <v>0</v>
      </c>
      <c r="HD98">
        <v>0</v>
      </c>
      <c r="HE98">
        <v>0</v>
      </c>
      <c r="HF98">
        <v>0</v>
      </c>
      <c r="HG98">
        <v>0</v>
      </c>
      <c r="HH98">
        <v>0</v>
      </c>
      <c r="HI98">
        <v>0</v>
      </c>
      <c r="HJ98">
        <v>0</v>
      </c>
      <c r="HK98">
        <v>0</v>
      </c>
      <c r="HL98">
        <v>0</v>
      </c>
      <c r="HM98">
        <v>0</v>
      </c>
      <c r="HN98">
        <v>0</v>
      </c>
      <c r="HO98">
        <v>0</v>
      </c>
      <c r="HP98">
        <v>0</v>
      </c>
      <c r="HQ98">
        <v>0</v>
      </c>
      <c r="HR98">
        <v>0</v>
      </c>
      <c r="HS98">
        <v>0</v>
      </c>
      <c r="HT98">
        <v>0</v>
      </c>
      <c r="HU98">
        <v>0</v>
      </c>
      <c r="HV98">
        <v>0</v>
      </c>
      <c r="HW98">
        <v>0</v>
      </c>
      <c r="HX98">
        <v>0</v>
      </c>
      <c r="HY98">
        <v>0</v>
      </c>
      <c r="HZ98">
        <v>0</v>
      </c>
      <c r="IA98">
        <v>0</v>
      </c>
      <c r="IB98">
        <v>0</v>
      </c>
      <c r="IC98">
        <v>0</v>
      </c>
      <c r="ID98">
        <v>0</v>
      </c>
      <c r="IE98">
        <v>0</v>
      </c>
      <c r="IF98">
        <v>0</v>
      </c>
      <c r="IG98">
        <v>0</v>
      </c>
      <c r="IH98">
        <v>0</v>
      </c>
      <c r="II98">
        <v>0</v>
      </c>
      <c r="IJ98">
        <v>0</v>
      </c>
      <c r="IK98">
        <v>0</v>
      </c>
      <c r="IL98">
        <v>0</v>
      </c>
      <c r="IM98">
        <v>0</v>
      </c>
      <c r="IN98">
        <v>0</v>
      </c>
      <c r="IO98">
        <v>0</v>
      </c>
      <c r="IP98">
        <v>0</v>
      </c>
      <c r="IQ98">
        <v>0</v>
      </c>
      <c r="IR98">
        <v>0</v>
      </c>
      <c r="IS98">
        <v>0</v>
      </c>
      <c r="IT98">
        <v>0</v>
      </c>
      <c r="IU98">
        <v>0</v>
      </c>
      <c r="IV98">
        <v>0</v>
      </c>
      <c r="IW98">
        <v>0</v>
      </c>
      <c r="IX98">
        <v>0</v>
      </c>
      <c r="IY98">
        <v>0</v>
      </c>
      <c r="IZ98">
        <v>0</v>
      </c>
      <c r="JA98">
        <v>0</v>
      </c>
      <c r="JB98">
        <v>0</v>
      </c>
      <c r="JC98">
        <v>0</v>
      </c>
      <c r="JD98">
        <v>0</v>
      </c>
      <c r="JE98">
        <v>0</v>
      </c>
      <c r="JF98">
        <v>0</v>
      </c>
      <c r="JG98">
        <v>0</v>
      </c>
      <c r="JH98">
        <v>0</v>
      </c>
      <c r="JI98">
        <v>0</v>
      </c>
      <c r="JJ98">
        <v>0</v>
      </c>
      <c r="JK98">
        <v>0</v>
      </c>
      <c r="JL98">
        <v>0</v>
      </c>
      <c r="JM98">
        <v>0</v>
      </c>
      <c r="JN98">
        <v>0</v>
      </c>
      <c r="JO98">
        <v>0</v>
      </c>
      <c r="JP98">
        <v>0</v>
      </c>
      <c r="JQ98">
        <v>0</v>
      </c>
      <c r="JR98">
        <v>0</v>
      </c>
      <c r="JS98">
        <v>0</v>
      </c>
      <c r="JT98">
        <v>0</v>
      </c>
      <c r="JU98">
        <v>0</v>
      </c>
      <c r="JV98">
        <v>0</v>
      </c>
      <c r="JW98">
        <v>0</v>
      </c>
      <c r="JX98">
        <v>0</v>
      </c>
      <c r="JY98">
        <v>0</v>
      </c>
      <c r="JZ98">
        <v>0</v>
      </c>
      <c r="KA98">
        <v>0</v>
      </c>
      <c r="KB98">
        <v>0</v>
      </c>
      <c r="KC98">
        <v>0</v>
      </c>
      <c r="KD98">
        <v>0</v>
      </c>
      <c r="KE98">
        <v>0</v>
      </c>
      <c r="KF98">
        <v>0</v>
      </c>
      <c r="KG98">
        <v>0</v>
      </c>
      <c r="KH98">
        <v>0</v>
      </c>
      <c r="KI98">
        <v>0</v>
      </c>
      <c r="KJ98">
        <v>0</v>
      </c>
      <c r="KK98">
        <v>0</v>
      </c>
      <c r="KL98">
        <v>0</v>
      </c>
      <c r="KM98">
        <v>0</v>
      </c>
      <c r="KN98">
        <v>0</v>
      </c>
      <c r="KO98">
        <v>0</v>
      </c>
      <c r="KP98">
        <v>0</v>
      </c>
      <c r="KQ98">
        <v>0</v>
      </c>
      <c r="KR98">
        <v>0</v>
      </c>
      <c r="KS98">
        <v>0</v>
      </c>
      <c r="KT98">
        <v>0</v>
      </c>
      <c r="KU98">
        <v>0</v>
      </c>
      <c r="KV98">
        <v>0</v>
      </c>
      <c r="KW98">
        <v>0</v>
      </c>
      <c r="KX98">
        <v>0</v>
      </c>
      <c r="KY98">
        <v>0</v>
      </c>
      <c r="KZ98">
        <v>0</v>
      </c>
      <c r="LA98">
        <v>0</v>
      </c>
      <c r="LB98">
        <v>0</v>
      </c>
      <c r="LC98">
        <v>0</v>
      </c>
      <c r="LD98">
        <v>0</v>
      </c>
      <c r="LE98">
        <v>0</v>
      </c>
      <c r="LF98">
        <v>0</v>
      </c>
      <c r="LG98">
        <v>0</v>
      </c>
      <c r="LH98">
        <v>0</v>
      </c>
      <c r="LI98">
        <v>0</v>
      </c>
      <c r="LJ98">
        <v>0</v>
      </c>
      <c r="LK98">
        <v>0</v>
      </c>
      <c r="LL98">
        <v>0</v>
      </c>
      <c r="LM98">
        <v>0</v>
      </c>
      <c r="LN98">
        <v>0</v>
      </c>
      <c r="LO98">
        <v>0</v>
      </c>
      <c r="LP98">
        <v>0</v>
      </c>
      <c r="LQ98">
        <v>0</v>
      </c>
      <c r="LR98">
        <v>0</v>
      </c>
      <c r="LS98">
        <v>0</v>
      </c>
      <c r="LT98">
        <v>0</v>
      </c>
      <c r="LU98">
        <v>0</v>
      </c>
      <c r="LV98">
        <v>0</v>
      </c>
      <c r="LW98">
        <v>0</v>
      </c>
      <c r="LX98">
        <v>0</v>
      </c>
      <c r="LY98">
        <v>0</v>
      </c>
      <c r="LZ98">
        <v>0</v>
      </c>
      <c r="MA98">
        <v>0</v>
      </c>
      <c r="MB98">
        <v>0</v>
      </c>
      <c r="MC98">
        <v>0</v>
      </c>
      <c r="MD98">
        <v>0</v>
      </c>
      <c r="ME98">
        <v>0</v>
      </c>
      <c r="MF98">
        <v>0</v>
      </c>
      <c r="MG98">
        <v>0</v>
      </c>
      <c r="MH98">
        <v>0</v>
      </c>
      <c r="MI98">
        <v>0</v>
      </c>
      <c r="MJ98">
        <v>0</v>
      </c>
      <c r="MK98">
        <v>0</v>
      </c>
      <c r="ML98">
        <v>0</v>
      </c>
      <c r="MM98">
        <v>0</v>
      </c>
      <c r="MN98">
        <v>0</v>
      </c>
      <c r="MO98">
        <v>0</v>
      </c>
      <c r="MP98">
        <v>0</v>
      </c>
      <c r="MQ98">
        <v>0</v>
      </c>
      <c r="MR98">
        <v>0</v>
      </c>
      <c r="MS98">
        <v>0</v>
      </c>
      <c r="MT98">
        <v>0</v>
      </c>
      <c r="MU98">
        <v>0</v>
      </c>
      <c r="MV98">
        <v>0</v>
      </c>
      <c r="MW98">
        <v>0</v>
      </c>
      <c r="MX98">
        <v>0</v>
      </c>
      <c r="MY98">
        <v>0</v>
      </c>
      <c r="MZ98">
        <v>0</v>
      </c>
      <c r="NA98">
        <v>0</v>
      </c>
      <c r="NB98">
        <v>0</v>
      </c>
      <c r="NC98">
        <v>0</v>
      </c>
      <c r="ND98">
        <v>0</v>
      </c>
      <c r="NE98">
        <v>0</v>
      </c>
    </row>
    <row r="99" spans="41:369" x14ac:dyDescent="0.45">
      <c r="AO99" t="str">
        <v>B120</v>
      </c>
      <c r="AP99" t="str">
        <v>MOHAMMED RIYAN</v>
      </c>
      <c r="AQ99" t="str">
        <v>FANT</v>
      </c>
      <c r="AR99" t="str">
        <v>JUNIOR</v>
      </c>
      <c r="AS99">
        <v>3</v>
      </c>
      <c r="AT99">
        <v>10</v>
      </c>
      <c r="AU99">
        <v>0</v>
      </c>
      <c r="AV99">
        <v>10</v>
      </c>
      <c r="AW99">
        <v>10</v>
      </c>
      <c r="AX99">
        <v>131</v>
      </c>
      <c r="AY99" s="5">
        <v>131</v>
      </c>
      <c r="AZ99" t="str">
        <v>SN08</v>
      </c>
      <c r="BA99" t="str">
        <v>ESSAY URD</v>
      </c>
      <c r="BB99" t="str">
        <v>SENIOR</v>
      </c>
      <c r="BC99" t="str">
        <v>Single</v>
      </c>
      <c r="BD99" t="str">
        <v>Non-Stg</v>
      </c>
      <c r="BE99">
        <v>3</v>
      </c>
      <c r="BF99" t="str">
        <v>Individual</v>
      </c>
      <c r="BG99" t="str">
        <v>Individual</v>
      </c>
      <c r="BH99" t="str">
        <v>P</v>
      </c>
      <c r="BI99" t="str">
        <v>PUBLISHED</v>
      </c>
      <c r="BK99">
        <v>93</v>
      </c>
      <c r="BL99" t="str">
        <v>SN04</v>
      </c>
      <c r="BM99" t="str">
        <v>CARTOON</v>
      </c>
      <c r="BN99">
        <v>2</v>
      </c>
      <c r="BO99" t="str">
        <v>Single</v>
      </c>
      <c r="BP99" t="str">
        <v>Non-Stg</v>
      </c>
      <c r="BQ99" t="str">
        <v>SENIOR</v>
      </c>
      <c r="BR99" t="str">
        <v>C142</v>
      </c>
      <c r="BS99" t="str">
        <v>C176</v>
      </c>
      <c r="BT99">
        <v>0</v>
      </c>
      <c r="BU99">
        <v>0</v>
      </c>
      <c r="BV99">
        <v>0</v>
      </c>
      <c r="BW99">
        <v>0</v>
      </c>
      <c r="BX99">
        <v>0</v>
      </c>
      <c r="BY99" t="str">
        <v>C154</v>
      </c>
      <c r="BZ99" t="str">
        <v>C172</v>
      </c>
      <c r="CA99">
        <v>0</v>
      </c>
      <c r="CB99">
        <v>0</v>
      </c>
      <c r="CC99">
        <v>0</v>
      </c>
      <c r="CD99">
        <v>0</v>
      </c>
      <c r="CE99">
        <v>0</v>
      </c>
      <c r="CF99" t="str">
        <v>C104</v>
      </c>
      <c r="CG99" t="str">
        <v>C171</v>
      </c>
      <c r="CH99">
        <v>0</v>
      </c>
      <c r="CI99">
        <v>0</v>
      </c>
      <c r="CJ99">
        <v>0</v>
      </c>
      <c r="CK99">
        <v>0</v>
      </c>
      <c r="CL99">
        <v>0</v>
      </c>
      <c r="CM99" t="str">
        <v>C140</v>
      </c>
      <c r="CN99" t="str">
        <v>C143</v>
      </c>
      <c r="CO99">
        <v>0</v>
      </c>
      <c r="CP99">
        <v>0</v>
      </c>
      <c r="CQ99">
        <v>0</v>
      </c>
      <c r="CR99">
        <v>0</v>
      </c>
      <c r="CS99">
        <v>0</v>
      </c>
      <c r="CT99">
        <v>0</v>
      </c>
      <c r="CU99">
        <v>0</v>
      </c>
      <c r="CV99">
        <v>0</v>
      </c>
      <c r="CW99">
        <v>0</v>
      </c>
      <c r="CX99">
        <v>0</v>
      </c>
      <c r="CY99">
        <v>0</v>
      </c>
      <c r="CZ99">
        <v>0</v>
      </c>
      <c r="DA99">
        <v>0</v>
      </c>
      <c r="DB99">
        <v>0</v>
      </c>
      <c r="DC99">
        <v>0</v>
      </c>
      <c r="DD99">
        <v>0</v>
      </c>
      <c r="DE99">
        <v>0</v>
      </c>
      <c r="DF99">
        <v>0</v>
      </c>
      <c r="DG99">
        <v>0</v>
      </c>
      <c r="DH99">
        <v>0</v>
      </c>
      <c r="DI99">
        <v>0</v>
      </c>
      <c r="DJ99">
        <v>0</v>
      </c>
      <c r="DK99">
        <v>0</v>
      </c>
      <c r="DL99">
        <v>0</v>
      </c>
      <c r="DM99">
        <v>0</v>
      </c>
      <c r="DN99">
        <v>0</v>
      </c>
      <c r="DO99">
        <v>0</v>
      </c>
      <c r="DP99">
        <v>0</v>
      </c>
      <c r="DQ99">
        <v>0</v>
      </c>
      <c r="DR99">
        <v>0</v>
      </c>
      <c r="DS99">
        <v>0</v>
      </c>
      <c r="DT99">
        <v>0</v>
      </c>
      <c r="DU99">
        <v>0</v>
      </c>
      <c r="DV99">
        <v>0</v>
      </c>
      <c r="DW99">
        <v>0</v>
      </c>
      <c r="DX99">
        <v>0</v>
      </c>
      <c r="DY99">
        <v>0</v>
      </c>
      <c r="DZ99">
        <v>0</v>
      </c>
      <c r="EA99">
        <v>0</v>
      </c>
      <c r="EB99">
        <v>0</v>
      </c>
      <c r="EC99">
        <v>0</v>
      </c>
      <c r="ED99">
        <v>0</v>
      </c>
      <c r="EE99">
        <v>0</v>
      </c>
      <c r="EF99">
        <v>0</v>
      </c>
      <c r="EG99">
        <v>0</v>
      </c>
      <c r="EH99">
        <v>0</v>
      </c>
      <c r="EI99">
        <v>0</v>
      </c>
      <c r="EJ99">
        <v>0</v>
      </c>
      <c r="EK99">
        <v>0</v>
      </c>
      <c r="EL99">
        <v>0</v>
      </c>
      <c r="EM99">
        <v>0</v>
      </c>
      <c r="EN99">
        <v>0</v>
      </c>
      <c r="EO99">
        <v>0</v>
      </c>
      <c r="EP99">
        <v>0</v>
      </c>
      <c r="EQ99">
        <v>0</v>
      </c>
      <c r="ER99">
        <v>0</v>
      </c>
      <c r="ES99">
        <v>0</v>
      </c>
      <c r="ET99">
        <v>0</v>
      </c>
      <c r="EU99">
        <v>0</v>
      </c>
      <c r="EV99">
        <v>0</v>
      </c>
      <c r="EW99">
        <v>0</v>
      </c>
      <c r="EX99">
        <v>0</v>
      </c>
      <c r="EY99">
        <v>0</v>
      </c>
      <c r="EZ99">
        <v>0</v>
      </c>
      <c r="FA99">
        <v>0</v>
      </c>
      <c r="FB99">
        <v>0</v>
      </c>
      <c r="FC99">
        <v>0</v>
      </c>
      <c r="FD99">
        <v>0</v>
      </c>
      <c r="FE99">
        <v>0</v>
      </c>
      <c r="FF99">
        <v>0</v>
      </c>
      <c r="FG99">
        <v>0</v>
      </c>
      <c r="FH99">
        <v>0</v>
      </c>
      <c r="FI99">
        <v>0</v>
      </c>
      <c r="FJ99">
        <v>0</v>
      </c>
      <c r="FK99">
        <v>0</v>
      </c>
      <c r="FL99">
        <v>0</v>
      </c>
      <c r="FM99">
        <v>0</v>
      </c>
      <c r="FN99">
        <v>0</v>
      </c>
      <c r="FO99">
        <v>0</v>
      </c>
      <c r="FP99">
        <v>0</v>
      </c>
      <c r="FQ99">
        <v>0</v>
      </c>
      <c r="FR99">
        <v>0</v>
      </c>
      <c r="FS99">
        <v>0</v>
      </c>
      <c r="FT99">
        <v>0</v>
      </c>
      <c r="FU99">
        <v>0</v>
      </c>
      <c r="FV99">
        <v>0</v>
      </c>
      <c r="FW99">
        <v>0</v>
      </c>
      <c r="FX99">
        <v>0</v>
      </c>
      <c r="FY99">
        <v>0</v>
      </c>
      <c r="FZ99">
        <v>0</v>
      </c>
      <c r="GA99">
        <v>0</v>
      </c>
      <c r="GB99">
        <v>0</v>
      </c>
      <c r="GC99">
        <v>0</v>
      </c>
      <c r="GD99">
        <v>0</v>
      </c>
      <c r="GE99">
        <v>0</v>
      </c>
      <c r="GF99">
        <v>0</v>
      </c>
      <c r="GG99">
        <v>0</v>
      </c>
      <c r="GH99">
        <v>0</v>
      </c>
      <c r="GI99">
        <v>0</v>
      </c>
      <c r="GJ99">
        <v>0</v>
      </c>
      <c r="GK99">
        <v>0</v>
      </c>
      <c r="GL99">
        <v>0</v>
      </c>
      <c r="GM99">
        <v>0</v>
      </c>
      <c r="GN99">
        <v>0</v>
      </c>
      <c r="GO99">
        <v>0</v>
      </c>
      <c r="GP99">
        <v>0</v>
      </c>
      <c r="GQ99">
        <v>0</v>
      </c>
      <c r="GR99">
        <v>0</v>
      </c>
      <c r="GS99">
        <v>0</v>
      </c>
      <c r="GT99">
        <v>0</v>
      </c>
      <c r="GU99">
        <v>0</v>
      </c>
      <c r="GV99">
        <v>0</v>
      </c>
      <c r="GW99">
        <v>0</v>
      </c>
      <c r="GX99">
        <v>0</v>
      </c>
      <c r="GY99">
        <v>0</v>
      </c>
      <c r="GZ99">
        <v>0</v>
      </c>
      <c r="HA99">
        <v>0</v>
      </c>
      <c r="HB99">
        <v>0</v>
      </c>
      <c r="HC99">
        <v>0</v>
      </c>
      <c r="HD99">
        <v>0</v>
      </c>
      <c r="HE99">
        <v>0</v>
      </c>
      <c r="HF99">
        <v>0</v>
      </c>
      <c r="HG99">
        <v>0</v>
      </c>
      <c r="HH99">
        <v>0</v>
      </c>
      <c r="HI99">
        <v>0</v>
      </c>
      <c r="HJ99">
        <v>0</v>
      </c>
      <c r="HK99">
        <v>0</v>
      </c>
      <c r="HL99">
        <v>0</v>
      </c>
      <c r="HM99">
        <v>0</v>
      </c>
      <c r="HN99">
        <v>0</v>
      </c>
      <c r="HO99">
        <v>0</v>
      </c>
      <c r="HP99">
        <v>0</v>
      </c>
      <c r="HQ99">
        <v>0</v>
      </c>
      <c r="HR99">
        <v>0</v>
      </c>
      <c r="HS99">
        <v>0</v>
      </c>
      <c r="HT99">
        <v>0</v>
      </c>
      <c r="HU99">
        <v>0</v>
      </c>
      <c r="HV99">
        <v>0</v>
      </c>
      <c r="HW99">
        <v>0</v>
      </c>
      <c r="HX99">
        <v>0</v>
      </c>
      <c r="HY99">
        <v>0</v>
      </c>
      <c r="HZ99">
        <v>0</v>
      </c>
      <c r="IA99">
        <v>0</v>
      </c>
      <c r="IB99">
        <v>0</v>
      </c>
      <c r="IC99">
        <v>0</v>
      </c>
      <c r="ID99">
        <v>0</v>
      </c>
      <c r="IE99">
        <v>0</v>
      </c>
      <c r="IF99">
        <v>0</v>
      </c>
      <c r="IG99">
        <v>0</v>
      </c>
      <c r="IH99">
        <v>0</v>
      </c>
      <c r="II99">
        <v>0</v>
      </c>
      <c r="IJ99">
        <v>0</v>
      </c>
      <c r="IK99">
        <v>0</v>
      </c>
      <c r="IL99">
        <v>0</v>
      </c>
      <c r="IM99">
        <v>0</v>
      </c>
      <c r="IN99">
        <v>0</v>
      </c>
      <c r="IO99">
        <v>0</v>
      </c>
      <c r="IP99">
        <v>0</v>
      </c>
      <c r="IQ99">
        <v>0</v>
      </c>
      <c r="IR99">
        <v>0</v>
      </c>
      <c r="IS99">
        <v>0</v>
      </c>
      <c r="IT99">
        <v>0</v>
      </c>
      <c r="IU99">
        <v>0</v>
      </c>
      <c r="IV99">
        <v>0</v>
      </c>
      <c r="IW99">
        <v>0</v>
      </c>
      <c r="IX99">
        <v>0</v>
      </c>
      <c r="IY99">
        <v>0</v>
      </c>
      <c r="IZ99">
        <v>0</v>
      </c>
      <c r="JA99">
        <v>0</v>
      </c>
      <c r="JB99">
        <v>0</v>
      </c>
      <c r="JC99">
        <v>0</v>
      </c>
      <c r="JD99">
        <v>0</v>
      </c>
      <c r="JE99">
        <v>0</v>
      </c>
      <c r="JF99">
        <v>0</v>
      </c>
      <c r="JG99">
        <v>0</v>
      </c>
      <c r="JH99">
        <v>0</v>
      </c>
      <c r="JI99">
        <v>0</v>
      </c>
      <c r="JJ99">
        <v>0</v>
      </c>
      <c r="JK99">
        <v>0</v>
      </c>
      <c r="JL99">
        <v>0</v>
      </c>
      <c r="JM99">
        <v>0</v>
      </c>
      <c r="JN99">
        <v>0</v>
      </c>
      <c r="JO99">
        <v>0</v>
      </c>
      <c r="JP99">
        <v>0</v>
      </c>
      <c r="JQ99">
        <v>0</v>
      </c>
      <c r="JR99">
        <v>0</v>
      </c>
      <c r="JS99">
        <v>0</v>
      </c>
      <c r="JT99">
        <v>0</v>
      </c>
      <c r="JU99">
        <v>0</v>
      </c>
      <c r="JV99">
        <v>0</v>
      </c>
      <c r="JW99">
        <v>0</v>
      </c>
      <c r="JX99">
        <v>0</v>
      </c>
      <c r="JY99">
        <v>0</v>
      </c>
      <c r="JZ99">
        <v>0</v>
      </c>
      <c r="KA99">
        <v>0</v>
      </c>
      <c r="KB99">
        <v>0</v>
      </c>
      <c r="KC99">
        <v>0</v>
      </c>
      <c r="KD99">
        <v>0</v>
      </c>
      <c r="KE99">
        <v>0</v>
      </c>
      <c r="KF99">
        <v>0</v>
      </c>
      <c r="KG99">
        <v>0</v>
      </c>
      <c r="KH99">
        <v>0</v>
      </c>
      <c r="KI99">
        <v>0</v>
      </c>
      <c r="KJ99">
        <v>0</v>
      </c>
      <c r="KK99">
        <v>0</v>
      </c>
      <c r="KL99">
        <v>0</v>
      </c>
      <c r="KM99">
        <v>0</v>
      </c>
      <c r="KN99">
        <v>0</v>
      </c>
      <c r="KO99">
        <v>0</v>
      </c>
      <c r="KP99">
        <v>0</v>
      </c>
      <c r="KQ99">
        <v>0</v>
      </c>
      <c r="KR99">
        <v>0</v>
      </c>
      <c r="KS99">
        <v>0</v>
      </c>
      <c r="KT99">
        <v>0</v>
      </c>
      <c r="KU99">
        <v>0</v>
      </c>
      <c r="KV99">
        <v>0</v>
      </c>
      <c r="KW99">
        <v>0</v>
      </c>
      <c r="KX99">
        <v>0</v>
      </c>
      <c r="KY99">
        <v>0</v>
      </c>
      <c r="KZ99">
        <v>0</v>
      </c>
      <c r="LA99">
        <v>0</v>
      </c>
      <c r="LB99">
        <v>0</v>
      </c>
      <c r="LC99">
        <v>0</v>
      </c>
      <c r="LD99">
        <v>0</v>
      </c>
      <c r="LE99">
        <v>0</v>
      </c>
      <c r="LF99">
        <v>0</v>
      </c>
      <c r="LG99">
        <v>0</v>
      </c>
      <c r="LH99">
        <v>0</v>
      </c>
      <c r="LI99">
        <v>0</v>
      </c>
      <c r="LJ99">
        <v>0</v>
      </c>
      <c r="LK99">
        <v>0</v>
      </c>
      <c r="LL99">
        <v>0</v>
      </c>
      <c r="LM99">
        <v>0</v>
      </c>
      <c r="LN99">
        <v>0</v>
      </c>
      <c r="LO99">
        <v>0</v>
      </c>
      <c r="LP99">
        <v>0</v>
      </c>
      <c r="LQ99">
        <v>0</v>
      </c>
      <c r="LR99">
        <v>0</v>
      </c>
      <c r="LS99">
        <v>0</v>
      </c>
      <c r="LT99">
        <v>0</v>
      </c>
      <c r="LU99">
        <v>0</v>
      </c>
      <c r="LV99">
        <v>0</v>
      </c>
      <c r="LW99">
        <v>0</v>
      </c>
      <c r="LX99">
        <v>0</v>
      </c>
      <c r="LY99">
        <v>0</v>
      </c>
      <c r="LZ99">
        <v>0</v>
      </c>
      <c r="MA99">
        <v>0</v>
      </c>
      <c r="MB99">
        <v>0</v>
      </c>
      <c r="MC99">
        <v>0</v>
      </c>
      <c r="MD99">
        <v>0</v>
      </c>
      <c r="ME99">
        <v>0</v>
      </c>
      <c r="MF99">
        <v>0</v>
      </c>
      <c r="MG99">
        <v>0</v>
      </c>
      <c r="MH99">
        <v>0</v>
      </c>
      <c r="MI99">
        <v>0</v>
      </c>
      <c r="MJ99">
        <v>0</v>
      </c>
      <c r="MK99">
        <v>0</v>
      </c>
      <c r="ML99">
        <v>0</v>
      </c>
      <c r="MM99">
        <v>0</v>
      </c>
      <c r="MN99">
        <v>0</v>
      </c>
      <c r="MO99">
        <v>0</v>
      </c>
      <c r="MP99">
        <v>0</v>
      </c>
      <c r="MQ99">
        <v>0</v>
      </c>
      <c r="MR99">
        <v>0</v>
      </c>
      <c r="MS99">
        <v>0</v>
      </c>
      <c r="MT99">
        <v>0</v>
      </c>
      <c r="MU99">
        <v>0</v>
      </c>
      <c r="MV99">
        <v>0</v>
      </c>
      <c r="MW99">
        <v>0</v>
      </c>
      <c r="MX99">
        <v>0</v>
      </c>
      <c r="MY99">
        <v>0</v>
      </c>
      <c r="MZ99">
        <v>0</v>
      </c>
      <c r="NA99">
        <v>0</v>
      </c>
      <c r="NB99">
        <v>0</v>
      </c>
      <c r="NC99">
        <v>0</v>
      </c>
      <c r="ND99">
        <v>0</v>
      </c>
      <c r="NE99">
        <v>0</v>
      </c>
    </row>
    <row r="100" spans="41:369" x14ac:dyDescent="0.45">
      <c r="AO100" t="str">
        <v>B121</v>
      </c>
      <c r="AP100" t="str">
        <v>MOHIDDEEN SHAHSHAD</v>
      </c>
      <c r="AQ100" t="str">
        <v>BADF</v>
      </c>
      <c r="AR100" t="str">
        <v>JUNIOR</v>
      </c>
      <c r="AS100">
        <v>3</v>
      </c>
      <c r="AT100">
        <v>15</v>
      </c>
      <c r="AU100">
        <v>0</v>
      </c>
      <c r="AV100">
        <v>15</v>
      </c>
      <c r="AW100">
        <v>15</v>
      </c>
      <c r="AX100">
        <v>100</v>
      </c>
      <c r="AY100" s="5">
        <v>100</v>
      </c>
      <c r="AZ100" t="str">
        <v>SN09</v>
      </c>
      <c r="BA100" t="str">
        <v>EXCEL EXPERT</v>
      </c>
      <c r="BB100" t="str">
        <v>SENIOR</v>
      </c>
      <c r="BC100" t="str">
        <v>Single</v>
      </c>
      <c r="BD100" t="str">
        <v>Non-Stg</v>
      </c>
      <c r="BE100">
        <v>2</v>
      </c>
      <c r="BF100" t="str">
        <v>Individual</v>
      </c>
      <c r="BG100" t="str">
        <v>Individual</v>
      </c>
      <c r="BH100" t="str">
        <v>P</v>
      </c>
      <c r="BI100" t="str">
        <v>PUBLISHED</v>
      </c>
      <c r="BK100">
        <v>94</v>
      </c>
      <c r="BL100" t="str">
        <v>SN05</v>
      </c>
      <c r="BM100" t="str">
        <v>ESSAY ARB</v>
      </c>
      <c r="BN100">
        <v>3</v>
      </c>
      <c r="BO100" t="str">
        <v>Single</v>
      </c>
      <c r="BP100" t="str">
        <v>Non-Stg</v>
      </c>
      <c r="BQ100" t="str">
        <v>SENIOR</v>
      </c>
      <c r="BR100" t="str">
        <v>C101</v>
      </c>
      <c r="BS100" t="str">
        <v>C118</v>
      </c>
      <c r="BT100" t="str">
        <v>C149</v>
      </c>
      <c r="BU100">
        <v>0</v>
      </c>
      <c r="BV100">
        <v>0</v>
      </c>
      <c r="BW100">
        <v>0</v>
      </c>
      <c r="BX100">
        <v>0</v>
      </c>
      <c r="BY100" t="str">
        <v>C120</v>
      </c>
      <c r="BZ100" t="str">
        <v>C153</v>
      </c>
      <c r="CA100" t="str">
        <v>C166</v>
      </c>
      <c r="CB100">
        <v>0</v>
      </c>
      <c r="CC100">
        <v>0</v>
      </c>
      <c r="CD100">
        <v>0</v>
      </c>
      <c r="CE100">
        <v>0</v>
      </c>
      <c r="CF100" t="str">
        <v>C159</v>
      </c>
      <c r="CG100" t="str">
        <v>C148</v>
      </c>
      <c r="CH100" t="str">
        <v>C169</v>
      </c>
      <c r="CI100">
        <v>0</v>
      </c>
      <c r="CJ100">
        <v>0</v>
      </c>
      <c r="CK100">
        <v>0</v>
      </c>
      <c r="CL100">
        <v>0</v>
      </c>
      <c r="CM100" t="str">
        <v>C111</v>
      </c>
      <c r="CN100" t="str">
        <v>C135</v>
      </c>
      <c r="CO100" t="str">
        <v>C175</v>
      </c>
      <c r="CP100">
        <v>0</v>
      </c>
      <c r="CQ100">
        <v>0</v>
      </c>
      <c r="CR100">
        <v>0</v>
      </c>
      <c r="CS100">
        <v>0</v>
      </c>
      <c r="CT100">
        <v>0</v>
      </c>
      <c r="CU100">
        <v>0</v>
      </c>
      <c r="CV100">
        <v>0</v>
      </c>
      <c r="CW100">
        <v>0</v>
      </c>
      <c r="CX100">
        <v>0</v>
      </c>
      <c r="CY100">
        <v>0</v>
      </c>
      <c r="CZ100">
        <v>0</v>
      </c>
      <c r="DA100">
        <v>0</v>
      </c>
      <c r="DB100">
        <v>0</v>
      </c>
      <c r="DC100">
        <v>0</v>
      </c>
      <c r="DD100">
        <v>0</v>
      </c>
      <c r="DE100">
        <v>0</v>
      </c>
      <c r="DF100">
        <v>0</v>
      </c>
      <c r="DG100">
        <v>0</v>
      </c>
      <c r="DH100">
        <v>0</v>
      </c>
      <c r="DI100">
        <v>0</v>
      </c>
      <c r="DJ100">
        <v>0</v>
      </c>
      <c r="DK100">
        <v>0</v>
      </c>
      <c r="DL100">
        <v>0</v>
      </c>
      <c r="DM100">
        <v>0</v>
      </c>
      <c r="DN100">
        <v>0</v>
      </c>
      <c r="DO100">
        <v>0</v>
      </c>
      <c r="DP100">
        <v>0</v>
      </c>
      <c r="DQ100">
        <v>0</v>
      </c>
      <c r="DR100">
        <v>0</v>
      </c>
      <c r="DS100">
        <v>0</v>
      </c>
      <c r="DT100">
        <v>0</v>
      </c>
      <c r="DU100">
        <v>0</v>
      </c>
      <c r="DV100">
        <v>0</v>
      </c>
      <c r="DW100">
        <v>0</v>
      </c>
      <c r="DX100">
        <v>0</v>
      </c>
      <c r="DY100">
        <v>0</v>
      </c>
      <c r="DZ100">
        <v>0</v>
      </c>
      <c r="EA100">
        <v>0</v>
      </c>
      <c r="EB100">
        <v>0</v>
      </c>
      <c r="EC100">
        <v>0</v>
      </c>
      <c r="ED100">
        <v>0</v>
      </c>
      <c r="EE100">
        <v>0</v>
      </c>
      <c r="EF100">
        <v>0</v>
      </c>
      <c r="EG100">
        <v>0</v>
      </c>
      <c r="EH100">
        <v>0</v>
      </c>
      <c r="EI100">
        <v>0</v>
      </c>
      <c r="EJ100">
        <v>0</v>
      </c>
      <c r="EK100">
        <v>0</v>
      </c>
      <c r="EL100">
        <v>0</v>
      </c>
      <c r="EM100">
        <v>0</v>
      </c>
      <c r="EN100">
        <v>0</v>
      </c>
      <c r="EO100">
        <v>0</v>
      </c>
      <c r="EP100">
        <v>0</v>
      </c>
      <c r="EQ100">
        <v>0</v>
      </c>
      <c r="ER100">
        <v>0</v>
      </c>
      <c r="ES100">
        <v>0</v>
      </c>
      <c r="ET100">
        <v>0</v>
      </c>
      <c r="EU100">
        <v>0</v>
      </c>
      <c r="EV100">
        <v>0</v>
      </c>
      <c r="EW100">
        <v>0</v>
      </c>
      <c r="EX100">
        <v>0</v>
      </c>
      <c r="EY100">
        <v>0</v>
      </c>
      <c r="EZ100">
        <v>0</v>
      </c>
      <c r="FA100">
        <v>0</v>
      </c>
      <c r="FB100">
        <v>0</v>
      </c>
      <c r="FC100">
        <v>0</v>
      </c>
      <c r="FD100">
        <v>0</v>
      </c>
      <c r="FE100">
        <v>0</v>
      </c>
      <c r="FF100">
        <v>0</v>
      </c>
      <c r="FG100">
        <v>0</v>
      </c>
      <c r="FH100">
        <v>0</v>
      </c>
      <c r="FI100">
        <v>0</v>
      </c>
      <c r="FJ100">
        <v>0</v>
      </c>
      <c r="FK100">
        <v>0</v>
      </c>
      <c r="FL100">
        <v>0</v>
      </c>
      <c r="FM100">
        <v>0</v>
      </c>
      <c r="FN100">
        <v>0</v>
      </c>
      <c r="FO100">
        <v>0</v>
      </c>
      <c r="FP100">
        <v>0</v>
      </c>
      <c r="FQ100">
        <v>0</v>
      </c>
      <c r="FR100">
        <v>0</v>
      </c>
      <c r="FS100">
        <v>0</v>
      </c>
      <c r="FT100">
        <v>0</v>
      </c>
      <c r="FU100">
        <v>0</v>
      </c>
      <c r="FV100">
        <v>0</v>
      </c>
      <c r="FW100">
        <v>0</v>
      </c>
      <c r="FX100">
        <v>0</v>
      </c>
      <c r="FY100">
        <v>0</v>
      </c>
      <c r="FZ100">
        <v>0</v>
      </c>
      <c r="GA100">
        <v>0</v>
      </c>
      <c r="GB100">
        <v>0</v>
      </c>
      <c r="GC100">
        <v>0</v>
      </c>
      <c r="GD100">
        <v>0</v>
      </c>
      <c r="GE100">
        <v>0</v>
      </c>
      <c r="GF100">
        <v>0</v>
      </c>
      <c r="GG100">
        <v>0</v>
      </c>
      <c r="GH100">
        <v>0</v>
      </c>
      <c r="GI100">
        <v>0</v>
      </c>
      <c r="GJ100">
        <v>0</v>
      </c>
      <c r="GK100">
        <v>0</v>
      </c>
      <c r="GL100">
        <v>0</v>
      </c>
      <c r="GM100">
        <v>0</v>
      </c>
      <c r="GN100">
        <v>0</v>
      </c>
      <c r="GO100">
        <v>0</v>
      </c>
      <c r="GP100">
        <v>0</v>
      </c>
      <c r="GQ100">
        <v>0</v>
      </c>
      <c r="GR100">
        <v>0</v>
      </c>
      <c r="GS100">
        <v>0</v>
      </c>
      <c r="GT100">
        <v>0</v>
      </c>
      <c r="GU100">
        <v>0</v>
      </c>
      <c r="GV100">
        <v>0</v>
      </c>
      <c r="GW100">
        <v>0</v>
      </c>
      <c r="GX100">
        <v>0</v>
      </c>
      <c r="GY100">
        <v>0</v>
      </c>
      <c r="GZ100">
        <v>0</v>
      </c>
      <c r="HA100">
        <v>0</v>
      </c>
      <c r="HB100">
        <v>0</v>
      </c>
      <c r="HC100">
        <v>0</v>
      </c>
      <c r="HD100">
        <v>0</v>
      </c>
      <c r="HE100">
        <v>0</v>
      </c>
      <c r="HF100">
        <v>0</v>
      </c>
      <c r="HG100">
        <v>0</v>
      </c>
      <c r="HH100">
        <v>0</v>
      </c>
      <c r="HI100">
        <v>0</v>
      </c>
      <c r="HJ100">
        <v>0</v>
      </c>
      <c r="HK100">
        <v>0</v>
      </c>
      <c r="HL100">
        <v>0</v>
      </c>
      <c r="HM100">
        <v>0</v>
      </c>
      <c r="HN100">
        <v>0</v>
      </c>
      <c r="HO100">
        <v>0</v>
      </c>
      <c r="HP100">
        <v>0</v>
      </c>
      <c r="HQ100">
        <v>0</v>
      </c>
      <c r="HR100">
        <v>0</v>
      </c>
      <c r="HS100">
        <v>0</v>
      </c>
      <c r="HT100">
        <v>0</v>
      </c>
      <c r="HU100">
        <v>0</v>
      </c>
      <c r="HV100">
        <v>0</v>
      </c>
      <c r="HW100">
        <v>0</v>
      </c>
      <c r="HX100">
        <v>0</v>
      </c>
      <c r="HY100">
        <v>0</v>
      </c>
      <c r="HZ100">
        <v>0</v>
      </c>
      <c r="IA100">
        <v>0</v>
      </c>
      <c r="IB100">
        <v>0</v>
      </c>
      <c r="IC100">
        <v>0</v>
      </c>
      <c r="ID100">
        <v>0</v>
      </c>
      <c r="IE100">
        <v>0</v>
      </c>
      <c r="IF100">
        <v>0</v>
      </c>
      <c r="IG100">
        <v>0</v>
      </c>
      <c r="IH100">
        <v>0</v>
      </c>
      <c r="II100">
        <v>0</v>
      </c>
      <c r="IJ100">
        <v>0</v>
      </c>
      <c r="IK100">
        <v>0</v>
      </c>
      <c r="IL100">
        <v>0</v>
      </c>
      <c r="IM100">
        <v>0</v>
      </c>
      <c r="IN100">
        <v>0</v>
      </c>
      <c r="IO100">
        <v>0</v>
      </c>
      <c r="IP100">
        <v>0</v>
      </c>
      <c r="IQ100">
        <v>0</v>
      </c>
      <c r="IR100">
        <v>0</v>
      </c>
      <c r="IS100">
        <v>0</v>
      </c>
      <c r="IT100">
        <v>0</v>
      </c>
      <c r="IU100">
        <v>0</v>
      </c>
      <c r="IV100">
        <v>0</v>
      </c>
      <c r="IW100">
        <v>0</v>
      </c>
      <c r="IX100">
        <v>0</v>
      </c>
      <c r="IY100">
        <v>0</v>
      </c>
      <c r="IZ100">
        <v>0</v>
      </c>
      <c r="JA100">
        <v>0</v>
      </c>
      <c r="JB100">
        <v>0</v>
      </c>
      <c r="JC100">
        <v>0</v>
      </c>
      <c r="JD100">
        <v>0</v>
      </c>
      <c r="JE100">
        <v>0</v>
      </c>
      <c r="JF100">
        <v>0</v>
      </c>
      <c r="JG100">
        <v>0</v>
      </c>
      <c r="JH100">
        <v>0</v>
      </c>
      <c r="JI100">
        <v>0</v>
      </c>
      <c r="JJ100">
        <v>0</v>
      </c>
      <c r="JK100">
        <v>0</v>
      </c>
      <c r="JL100">
        <v>0</v>
      </c>
      <c r="JM100">
        <v>0</v>
      </c>
      <c r="JN100">
        <v>0</v>
      </c>
      <c r="JO100">
        <v>0</v>
      </c>
      <c r="JP100">
        <v>0</v>
      </c>
      <c r="JQ100">
        <v>0</v>
      </c>
      <c r="JR100">
        <v>0</v>
      </c>
      <c r="JS100">
        <v>0</v>
      </c>
      <c r="JT100">
        <v>0</v>
      </c>
      <c r="JU100">
        <v>0</v>
      </c>
      <c r="JV100">
        <v>0</v>
      </c>
      <c r="JW100">
        <v>0</v>
      </c>
      <c r="JX100">
        <v>0</v>
      </c>
      <c r="JY100">
        <v>0</v>
      </c>
      <c r="JZ100">
        <v>0</v>
      </c>
      <c r="KA100">
        <v>0</v>
      </c>
      <c r="KB100">
        <v>0</v>
      </c>
      <c r="KC100">
        <v>0</v>
      </c>
      <c r="KD100">
        <v>0</v>
      </c>
      <c r="KE100">
        <v>0</v>
      </c>
      <c r="KF100">
        <v>0</v>
      </c>
      <c r="KG100">
        <v>0</v>
      </c>
      <c r="KH100">
        <v>0</v>
      </c>
      <c r="KI100">
        <v>0</v>
      </c>
      <c r="KJ100">
        <v>0</v>
      </c>
      <c r="KK100">
        <v>0</v>
      </c>
      <c r="KL100">
        <v>0</v>
      </c>
      <c r="KM100">
        <v>0</v>
      </c>
      <c r="KN100">
        <v>0</v>
      </c>
      <c r="KO100">
        <v>0</v>
      </c>
      <c r="KP100">
        <v>0</v>
      </c>
      <c r="KQ100">
        <v>0</v>
      </c>
      <c r="KR100">
        <v>0</v>
      </c>
      <c r="KS100">
        <v>0</v>
      </c>
      <c r="KT100">
        <v>0</v>
      </c>
      <c r="KU100">
        <v>0</v>
      </c>
      <c r="KV100">
        <v>0</v>
      </c>
      <c r="KW100">
        <v>0</v>
      </c>
      <c r="KX100">
        <v>0</v>
      </c>
      <c r="KY100">
        <v>0</v>
      </c>
      <c r="KZ100">
        <v>0</v>
      </c>
      <c r="LA100">
        <v>0</v>
      </c>
      <c r="LB100">
        <v>0</v>
      </c>
      <c r="LC100">
        <v>0</v>
      </c>
      <c r="LD100">
        <v>0</v>
      </c>
      <c r="LE100">
        <v>0</v>
      </c>
      <c r="LF100">
        <v>0</v>
      </c>
      <c r="LG100">
        <v>0</v>
      </c>
      <c r="LH100">
        <v>0</v>
      </c>
      <c r="LI100">
        <v>0</v>
      </c>
      <c r="LJ100">
        <v>0</v>
      </c>
      <c r="LK100">
        <v>0</v>
      </c>
      <c r="LL100">
        <v>0</v>
      </c>
      <c r="LM100">
        <v>0</v>
      </c>
      <c r="LN100">
        <v>0</v>
      </c>
      <c r="LO100">
        <v>0</v>
      </c>
      <c r="LP100">
        <v>0</v>
      </c>
      <c r="LQ100">
        <v>0</v>
      </c>
      <c r="LR100">
        <v>0</v>
      </c>
      <c r="LS100">
        <v>0</v>
      </c>
      <c r="LT100">
        <v>0</v>
      </c>
      <c r="LU100">
        <v>0</v>
      </c>
      <c r="LV100">
        <v>0</v>
      </c>
      <c r="LW100">
        <v>0</v>
      </c>
      <c r="LX100">
        <v>0</v>
      </c>
      <c r="LY100">
        <v>0</v>
      </c>
      <c r="LZ100">
        <v>0</v>
      </c>
      <c r="MA100">
        <v>0</v>
      </c>
      <c r="MB100">
        <v>0</v>
      </c>
      <c r="MC100">
        <v>0</v>
      </c>
      <c r="MD100">
        <v>0</v>
      </c>
      <c r="ME100">
        <v>0</v>
      </c>
      <c r="MF100">
        <v>0</v>
      </c>
      <c r="MG100">
        <v>0</v>
      </c>
      <c r="MH100">
        <v>0</v>
      </c>
      <c r="MI100">
        <v>0</v>
      </c>
      <c r="MJ100">
        <v>0</v>
      </c>
      <c r="MK100">
        <v>0</v>
      </c>
      <c r="ML100">
        <v>0</v>
      </c>
      <c r="MM100">
        <v>0</v>
      </c>
      <c r="MN100">
        <v>0</v>
      </c>
      <c r="MO100">
        <v>0</v>
      </c>
      <c r="MP100">
        <v>0</v>
      </c>
      <c r="MQ100">
        <v>0</v>
      </c>
      <c r="MR100">
        <v>0</v>
      </c>
      <c r="MS100">
        <v>0</v>
      </c>
      <c r="MT100">
        <v>0</v>
      </c>
      <c r="MU100">
        <v>0</v>
      </c>
      <c r="MV100">
        <v>0</v>
      </c>
      <c r="MW100">
        <v>0</v>
      </c>
      <c r="MX100">
        <v>0</v>
      </c>
      <c r="MY100">
        <v>0</v>
      </c>
      <c r="MZ100">
        <v>0</v>
      </c>
      <c r="NA100">
        <v>0</v>
      </c>
      <c r="NB100">
        <v>0</v>
      </c>
      <c r="NC100">
        <v>0</v>
      </c>
      <c r="ND100">
        <v>0</v>
      </c>
      <c r="NE100">
        <v>0</v>
      </c>
    </row>
    <row r="101" spans="41:369" x14ac:dyDescent="0.45">
      <c r="AO101" t="str">
        <v>B122</v>
      </c>
      <c r="AP101" t="str">
        <v>MUHAMMAD FAYIZ B</v>
      </c>
      <c r="AQ101" t="str">
        <v>DAHF</v>
      </c>
      <c r="AR101" t="str">
        <v>JUNIOR</v>
      </c>
      <c r="AS101">
        <v>3</v>
      </c>
      <c r="AT101">
        <v>15</v>
      </c>
      <c r="AU101">
        <v>0</v>
      </c>
      <c r="AV101">
        <v>15</v>
      </c>
      <c r="AW101">
        <v>15</v>
      </c>
      <c r="AX101">
        <v>100</v>
      </c>
      <c r="AY101" s="5">
        <v>100</v>
      </c>
      <c r="AZ101" t="str">
        <v>SN10</v>
      </c>
      <c r="BA101" t="str">
        <v>FEATURE ENG</v>
      </c>
      <c r="BB101" t="str">
        <v>SENIOR</v>
      </c>
      <c r="BC101" t="str">
        <v>Single</v>
      </c>
      <c r="BD101" t="str">
        <v>Non-Stg</v>
      </c>
      <c r="BE101">
        <v>3</v>
      </c>
      <c r="BF101" t="str">
        <v>Individual</v>
      </c>
      <c r="BG101" t="str">
        <v>Individual</v>
      </c>
      <c r="BH101" t="str">
        <v>P</v>
      </c>
      <c r="BI101" t="str">
        <v>PUBLISHED</v>
      </c>
      <c r="BK101">
        <v>95</v>
      </c>
      <c r="BL101" t="str">
        <v>SN06</v>
      </c>
      <c r="BM101" t="str">
        <v>ESSAY ENG</v>
      </c>
      <c r="BN101">
        <v>3</v>
      </c>
      <c r="BO101" t="str">
        <v>Single</v>
      </c>
      <c r="BP101" t="str">
        <v>Non-Stg</v>
      </c>
      <c r="BQ101" t="str">
        <v>SENIOR</v>
      </c>
      <c r="BR101" t="str">
        <v>C108</v>
      </c>
      <c r="BS101" t="str">
        <v>C155</v>
      </c>
      <c r="BT101" t="str">
        <v>C168</v>
      </c>
      <c r="BU101">
        <v>0</v>
      </c>
      <c r="BV101">
        <v>0</v>
      </c>
      <c r="BW101">
        <v>0</v>
      </c>
      <c r="BX101">
        <v>0</v>
      </c>
      <c r="BY101" t="str">
        <v>C107</v>
      </c>
      <c r="BZ101" t="str">
        <v>C110</v>
      </c>
      <c r="CA101" t="str">
        <v>C133</v>
      </c>
      <c r="CB101">
        <v>0</v>
      </c>
      <c r="CC101">
        <v>0</v>
      </c>
      <c r="CD101">
        <v>0</v>
      </c>
      <c r="CE101">
        <v>0</v>
      </c>
      <c r="CF101" t="str">
        <v>C123</v>
      </c>
      <c r="CG101" t="str">
        <v>C132</v>
      </c>
      <c r="CH101" t="str">
        <v>C170</v>
      </c>
      <c r="CI101">
        <v>0</v>
      </c>
      <c r="CJ101">
        <v>0</v>
      </c>
      <c r="CK101">
        <v>0</v>
      </c>
      <c r="CL101">
        <v>0</v>
      </c>
      <c r="CM101" t="str">
        <v>C113</v>
      </c>
      <c r="CN101" t="str">
        <v>C135</v>
      </c>
      <c r="CO101" t="str">
        <v>C140</v>
      </c>
      <c r="CP101">
        <v>0</v>
      </c>
      <c r="CQ101">
        <v>0</v>
      </c>
      <c r="CR101">
        <v>0</v>
      </c>
      <c r="CS101">
        <v>0</v>
      </c>
      <c r="CT101">
        <v>0</v>
      </c>
      <c r="CU101">
        <v>0</v>
      </c>
      <c r="CV101">
        <v>0</v>
      </c>
      <c r="CW101">
        <v>0</v>
      </c>
      <c r="CX101">
        <v>0</v>
      </c>
      <c r="CY101">
        <v>0</v>
      </c>
      <c r="CZ101">
        <v>0</v>
      </c>
      <c r="DA101">
        <v>0</v>
      </c>
      <c r="DB101">
        <v>0</v>
      </c>
      <c r="DC101">
        <v>0</v>
      </c>
      <c r="DD101">
        <v>0</v>
      </c>
      <c r="DE101">
        <v>0</v>
      </c>
      <c r="DF101">
        <v>0</v>
      </c>
      <c r="DG101">
        <v>0</v>
      </c>
      <c r="DH101">
        <v>0</v>
      </c>
      <c r="DI101">
        <v>0</v>
      </c>
      <c r="DJ101">
        <v>0</v>
      </c>
      <c r="DK101">
        <v>0</v>
      </c>
      <c r="DL101">
        <v>0</v>
      </c>
      <c r="DM101">
        <v>0</v>
      </c>
      <c r="DN101">
        <v>0</v>
      </c>
      <c r="DO101">
        <v>0</v>
      </c>
      <c r="DP101">
        <v>0</v>
      </c>
      <c r="DQ101">
        <v>0</v>
      </c>
      <c r="DR101">
        <v>0</v>
      </c>
      <c r="DS101">
        <v>0</v>
      </c>
      <c r="DT101">
        <v>0</v>
      </c>
      <c r="DU101">
        <v>0</v>
      </c>
      <c r="DV101">
        <v>0</v>
      </c>
      <c r="DW101">
        <v>0</v>
      </c>
      <c r="DX101">
        <v>0</v>
      </c>
      <c r="DY101">
        <v>0</v>
      </c>
      <c r="DZ101">
        <v>0</v>
      </c>
      <c r="EA101">
        <v>0</v>
      </c>
      <c r="EB101">
        <v>0</v>
      </c>
      <c r="EC101">
        <v>0</v>
      </c>
      <c r="ED101">
        <v>0</v>
      </c>
      <c r="EE101">
        <v>0</v>
      </c>
      <c r="EF101">
        <v>0</v>
      </c>
      <c r="EG101">
        <v>0</v>
      </c>
      <c r="EH101">
        <v>0</v>
      </c>
      <c r="EI101">
        <v>0</v>
      </c>
      <c r="EJ101">
        <v>0</v>
      </c>
      <c r="EK101">
        <v>0</v>
      </c>
      <c r="EL101">
        <v>0</v>
      </c>
      <c r="EM101">
        <v>0</v>
      </c>
      <c r="EN101">
        <v>0</v>
      </c>
      <c r="EO101">
        <v>0</v>
      </c>
      <c r="EP101">
        <v>0</v>
      </c>
      <c r="EQ101">
        <v>0</v>
      </c>
      <c r="ER101">
        <v>0</v>
      </c>
      <c r="ES101">
        <v>0</v>
      </c>
      <c r="ET101">
        <v>0</v>
      </c>
      <c r="EU101">
        <v>0</v>
      </c>
      <c r="EV101">
        <v>0</v>
      </c>
      <c r="EW101">
        <v>0</v>
      </c>
      <c r="EX101">
        <v>0</v>
      </c>
      <c r="EY101">
        <v>0</v>
      </c>
      <c r="EZ101">
        <v>0</v>
      </c>
      <c r="FA101">
        <v>0</v>
      </c>
      <c r="FB101">
        <v>0</v>
      </c>
      <c r="FC101">
        <v>0</v>
      </c>
      <c r="FD101">
        <v>0</v>
      </c>
      <c r="FE101">
        <v>0</v>
      </c>
      <c r="FF101">
        <v>0</v>
      </c>
      <c r="FG101">
        <v>0</v>
      </c>
      <c r="FH101">
        <v>0</v>
      </c>
      <c r="FI101">
        <v>0</v>
      </c>
      <c r="FJ101">
        <v>0</v>
      </c>
      <c r="FK101">
        <v>0</v>
      </c>
      <c r="FL101">
        <v>0</v>
      </c>
      <c r="FM101">
        <v>0</v>
      </c>
      <c r="FN101">
        <v>0</v>
      </c>
      <c r="FO101">
        <v>0</v>
      </c>
      <c r="FP101">
        <v>0</v>
      </c>
      <c r="FQ101">
        <v>0</v>
      </c>
      <c r="FR101">
        <v>0</v>
      </c>
      <c r="FS101">
        <v>0</v>
      </c>
      <c r="FT101">
        <v>0</v>
      </c>
      <c r="FU101">
        <v>0</v>
      </c>
      <c r="FV101">
        <v>0</v>
      </c>
      <c r="FW101">
        <v>0</v>
      </c>
      <c r="FX101">
        <v>0</v>
      </c>
      <c r="FY101">
        <v>0</v>
      </c>
      <c r="FZ101">
        <v>0</v>
      </c>
      <c r="GA101">
        <v>0</v>
      </c>
      <c r="GB101">
        <v>0</v>
      </c>
      <c r="GC101">
        <v>0</v>
      </c>
      <c r="GD101">
        <v>0</v>
      </c>
      <c r="GE101">
        <v>0</v>
      </c>
      <c r="GF101">
        <v>0</v>
      </c>
      <c r="GG101">
        <v>0</v>
      </c>
      <c r="GH101">
        <v>0</v>
      </c>
      <c r="GI101">
        <v>0</v>
      </c>
      <c r="GJ101">
        <v>0</v>
      </c>
      <c r="GK101">
        <v>0</v>
      </c>
      <c r="GL101">
        <v>0</v>
      </c>
      <c r="GM101">
        <v>0</v>
      </c>
      <c r="GN101">
        <v>0</v>
      </c>
      <c r="GO101">
        <v>0</v>
      </c>
      <c r="GP101">
        <v>0</v>
      </c>
      <c r="GQ101">
        <v>0</v>
      </c>
      <c r="GR101">
        <v>0</v>
      </c>
      <c r="GS101">
        <v>0</v>
      </c>
      <c r="GT101">
        <v>0</v>
      </c>
      <c r="GU101">
        <v>0</v>
      </c>
      <c r="GV101">
        <v>0</v>
      </c>
      <c r="GW101">
        <v>0</v>
      </c>
      <c r="GX101">
        <v>0</v>
      </c>
      <c r="GY101">
        <v>0</v>
      </c>
      <c r="GZ101">
        <v>0</v>
      </c>
      <c r="HA101">
        <v>0</v>
      </c>
      <c r="HB101">
        <v>0</v>
      </c>
      <c r="HC101">
        <v>0</v>
      </c>
      <c r="HD101">
        <v>0</v>
      </c>
      <c r="HE101">
        <v>0</v>
      </c>
      <c r="HF101">
        <v>0</v>
      </c>
      <c r="HG101">
        <v>0</v>
      </c>
      <c r="HH101">
        <v>0</v>
      </c>
      <c r="HI101">
        <v>0</v>
      </c>
      <c r="HJ101">
        <v>0</v>
      </c>
      <c r="HK101">
        <v>0</v>
      </c>
      <c r="HL101">
        <v>0</v>
      </c>
      <c r="HM101">
        <v>0</v>
      </c>
      <c r="HN101">
        <v>0</v>
      </c>
      <c r="HO101">
        <v>0</v>
      </c>
      <c r="HP101">
        <v>0</v>
      </c>
      <c r="HQ101">
        <v>0</v>
      </c>
      <c r="HR101">
        <v>0</v>
      </c>
      <c r="HS101">
        <v>0</v>
      </c>
      <c r="HT101">
        <v>0</v>
      </c>
      <c r="HU101">
        <v>0</v>
      </c>
      <c r="HV101">
        <v>0</v>
      </c>
      <c r="HW101">
        <v>0</v>
      </c>
      <c r="HX101">
        <v>0</v>
      </c>
      <c r="HY101">
        <v>0</v>
      </c>
      <c r="HZ101">
        <v>0</v>
      </c>
      <c r="IA101">
        <v>0</v>
      </c>
      <c r="IB101">
        <v>0</v>
      </c>
      <c r="IC101">
        <v>0</v>
      </c>
      <c r="ID101">
        <v>0</v>
      </c>
      <c r="IE101">
        <v>0</v>
      </c>
      <c r="IF101">
        <v>0</v>
      </c>
      <c r="IG101">
        <v>0</v>
      </c>
      <c r="IH101">
        <v>0</v>
      </c>
      <c r="II101">
        <v>0</v>
      </c>
      <c r="IJ101">
        <v>0</v>
      </c>
      <c r="IK101">
        <v>0</v>
      </c>
      <c r="IL101">
        <v>0</v>
      </c>
      <c r="IM101">
        <v>0</v>
      </c>
      <c r="IN101">
        <v>0</v>
      </c>
      <c r="IO101">
        <v>0</v>
      </c>
      <c r="IP101">
        <v>0</v>
      </c>
      <c r="IQ101">
        <v>0</v>
      </c>
      <c r="IR101">
        <v>0</v>
      </c>
      <c r="IS101">
        <v>0</v>
      </c>
      <c r="IT101">
        <v>0</v>
      </c>
      <c r="IU101">
        <v>0</v>
      </c>
      <c r="IV101">
        <v>0</v>
      </c>
      <c r="IW101">
        <v>0</v>
      </c>
      <c r="IX101">
        <v>0</v>
      </c>
      <c r="IY101">
        <v>0</v>
      </c>
      <c r="IZ101">
        <v>0</v>
      </c>
      <c r="JA101">
        <v>0</v>
      </c>
      <c r="JB101">
        <v>0</v>
      </c>
      <c r="JC101">
        <v>0</v>
      </c>
      <c r="JD101">
        <v>0</v>
      </c>
      <c r="JE101">
        <v>0</v>
      </c>
      <c r="JF101">
        <v>0</v>
      </c>
      <c r="JG101">
        <v>0</v>
      </c>
      <c r="JH101">
        <v>0</v>
      </c>
      <c r="JI101">
        <v>0</v>
      </c>
      <c r="JJ101">
        <v>0</v>
      </c>
      <c r="JK101">
        <v>0</v>
      </c>
      <c r="JL101">
        <v>0</v>
      </c>
      <c r="JM101">
        <v>0</v>
      </c>
      <c r="JN101">
        <v>0</v>
      </c>
      <c r="JO101">
        <v>0</v>
      </c>
      <c r="JP101">
        <v>0</v>
      </c>
      <c r="JQ101">
        <v>0</v>
      </c>
      <c r="JR101">
        <v>0</v>
      </c>
      <c r="JS101">
        <v>0</v>
      </c>
      <c r="JT101">
        <v>0</v>
      </c>
      <c r="JU101">
        <v>0</v>
      </c>
      <c r="JV101">
        <v>0</v>
      </c>
      <c r="JW101">
        <v>0</v>
      </c>
      <c r="JX101">
        <v>0</v>
      </c>
      <c r="JY101">
        <v>0</v>
      </c>
      <c r="JZ101">
        <v>0</v>
      </c>
      <c r="KA101">
        <v>0</v>
      </c>
      <c r="KB101">
        <v>0</v>
      </c>
      <c r="KC101">
        <v>0</v>
      </c>
      <c r="KD101">
        <v>0</v>
      </c>
      <c r="KE101">
        <v>0</v>
      </c>
      <c r="KF101">
        <v>0</v>
      </c>
      <c r="KG101">
        <v>0</v>
      </c>
      <c r="KH101">
        <v>0</v>
      </c>
      <c r="KI101">
        <v>0</v>
      </c>
      <c r="KJ101">
        <v>0</v>
      </c>
      <c r="KK101">
        <v>0</v>
      </c>
      <c r="KL101">
        <v>0</v>
      </c>
      <c r="KM101">
        <v>0</v>
      </c>
      <c r="KN101">
        <v>0</v>
      </c>
      <c r="KO101">
        <v>0</v>
      </c>
      <c r="KP101">
        <v>0</v>
      </c>
      <c r="KQ101">
        <v>0</v>
      </c>
      <c r="KR101">
        <v>0</v>
      </c>
      <c r="KS101">
        <v>0</v>
      </c>
      <c r="KT101">
        <v>0</v>
      </c>
      <c r="KU101">
        <v>0</v>
      </c>
      <c r="KV101">
        <v>0</v>
      </c>
      <c r="KW101">
        <v>0</v>
      </c>
      <c r="KX101">
        <v>0</v>
      </c>
      <c r="KY101">
        <v>0</v>
      </c>
      <c r="KZ101">
        <v>0</v>
      </c>
      <c r="LA101">
        <v>0</v>
      </c>
      <c r="LB101">
        <v>0</v>
      </c>
      <c r="LC101">
        <v>0</v>
      </c>
      <c r="LD101">
        <v>0</v>
      </c>
      <c r="LE101">
        <v>0</v>
      </c>
      <c r="LF101">
        <v>0</v>
      </c>
      <c r="LG101">
        <v>0</v>
      </c>
      <c r="LH101">
        <v>0</v>
      </c>
      <c r="LI101">
        <v>0</v>
      </c>
      <c r="LJ101">
        <v>0</v>
      </c>
      <c r="LK101">
        <v>0</v>
      </c>
      <c r="LL101">
        <v>0</v>
      </c>
      <c r="LM101">
        <v>0</v>
      </c>
      <c r="LN101">
        <v>0</v>
      </c>
      <c r="LO101">
        <v>0</v>
      </c>
      <c r="LP101">
        <v>0</v>
      </c>
      <c r="LQ101">
        <v>0</v>
      </c>
      <c r="LR101">
        <v>0</v>
      </c>
      <c r="LS101">
        <v>0</v>
      </c>
      <c r="LT101">
        <v>0</v>
      </c>
      <c r="LU101">
        <v>0</v>
      </c>
      <c r="LV101">
        <v>0</v>
      </c>
      <c r="LW101">
        <v>0</v>
      </c>
      <c r="LX101">
        <v>0</v>
      </c>
      <c r="LY101">
        <v>0</v>
      </c>
      <c r="LZ101">
        <v>0</v>
      </c>
      <c r="MA101">
        <v>0</v>
      </c>
      <c r="MB101">
        <v>0</v>
      </c>
      <c r="MC101">
        <v>0</v>
      </c>
      <c r="MD101">
        <v>0</v>
      </c>
      <c r="ME101">
        <v>0</v>
      </c>
      <c r="MF101">
        <v>0</v>
      </c>
      <c r="MG101">
        <v>0</v>
      </c>
      <c r="MH101">
        <v>0</v>
      </c>
      <c r="MI101">
        <v>0</v>
      </c>
      <c r="MJ101">
        <v>0</v>
      </c>
      <c r="MK101">
        <v>0</v>
      </c>
      <c r="ML101">
        <v>0</v>
      </c>
      <c r="MM101">
        <v>0</v>
      </c>
      <c r="MN101">
        <v>0</v>
      </c>
      <c r="MO101">
        <v>0</v>
      </c>
      <c r="MP101">
        <v>0</v>
      </c>
      <c r="MQ101">
        <v>0</v>
      </c>
      <c r="MR101">
        <v>0</v>
      </c>
      <c r="MS101">
        <v>0</v>
      </c>
      <c r="MT101">
        <v>0</v>
      </c>
      <c r="MU101">
        <v>0</v>
      </c>
      <c r="MV101">
        <v>0</v>
      </c>
      <c r="MW101">
        <v>0</v>
      </c>
      <c r="MX101">
        <v>0</v>
      </c>
      <c r="MY101">
        <v>0</v>
      </c>
      <c r="MZ101">
        <v>0</v>
      </c>
      <c r="NA101">
        <v>0</v>
      </c>
      <c r="NB101">
        <v>0</v>
      </c>
      <c r="NC101">
        <v>0</v>
      </c>
      <c r="ND101">
        <v>0</v>
      </c>
      <c r="NE101">
        <v>0</v>
      </c>
    </row>
    <row r="102" spans="41:369" x14ac:dyDescent="0.45">
      <c r="AO102" t="str">
        <v>B123</v>
      </c>
      <c r="AP102" t="str">
        <v>MUHAMMED YASEEN</v>
      </c>
      <c r="AQ102" t="str">
        <v>FANT</v>
      </c>
      <c r="AR102" t="str">
        <v>JUNIOR</v>
      </c>
      <c r="AS102">
        <v>3</v>
      </c>
      <c r="AT102">
        <v>16</v>
      </c>
      <c r="AU102">
        <v>0</v>
      </c>
      <c r="AV102">
        <v>16</v>
      </c>
      <c r="AW102">
        <v>16</v>
      </c>
      <c r="AX102">
        <v>94</v>
      </c>
      <c r="AY102" s="5">
        <v>94</v>
      </c>
      <c r="AZ102" t="str">
        <v>SN11</v>
      </c>
      <c r="BA102" t="str">
        <v>FEATURE MLM</v>
      </c>
      <c r="BB102" t="str">
        <v>SENIOR</v>
      </c>
      <c r="BC102" t="str">
        <v>Single</v>
      </c>
      <c r="BD102" t="str">
        <v>Non-Stg</v>
      </c>
      <c r="BE102">
        <v>3</v>
      </c>
      <c r="BF102" t="str">
        <v>Individual</v>
      </c>
      <c r="BG102" t="str">
        <v>Individual</v>
      </c>
      <c r="BH102" t="str">
        <v>P</v>
      </c>
      <c r="BI102" t="str">
        <v>PUBLISHED</v>
      </c>
      <c r="BK102">
        <v>96</v>
      </c>
      <c r="BL102" t="str">
        <v>SN07</v>
      </c>
      <c r="BM102" t="str">
        <v>ESSAY MLM</v>
      </c>
      <c r="BN102">
        <v>3</v>
      </c>
      <c r="BO102" t="str">
        <v>Single</v>
      </c>
      <c r="BP102" t="str">
        <v>Non-Stg</v>
      </c>
      <c r="BQ102" t="str">
        <v>SENIOR</v>
      </c>
      <c r="BR102" t="str">
        <v>C101</v>
      </c>
      <c r="BS102" t="str">
        <v>C162</v>
      </c>
      <c r="BT102" t="str">
        <v>C173</v>
      </c>
      <c r="BU102">
        <v>0</v>
      </c>
      <c r="BV102">
        <v>0</v>
      </c>
      <c r="BW102">
        <v>0</v>
      </c>
      <c r="BX102">
        <v>0</v>
      </c>
      <c r="BY102" t="str">
        <v>C128</v>
      </c>
      <c r="BZ102" t="str">
        <v>C154</v>
      </c>
      <c r="CA102" t="str">
        <v>C161</v>
      </c>
      <c r="CB102">
        <v>0</v>
      </c>
      <c r="CC102">
        <v>0</v>
      </c>
      <c r="CD102">
        <v>0</v>
      </c>
      <c r="CE102">
        <v>0</v>
      </c>
      <c r="CF102" t="str">
        <v>C103</v>
      </c>
      <c r="CG102" t="str">
        <v>C145</v>
      </c>
      <c r="CH102" t="str">
        <v>C157</v>
      </c>
      <c r="CI102">
        <v>0</v>
      </c>
      <c r="CJ102">
        <v>0</v>
      </c>
      <c r="CK102">
        <v>0</v>
      </c>
      <c r="CL102">
        <v>0</v>
      </c>
      <c r="CM102" t="str">
        <v>C119</v>
      </c>
      <c r="CN102" t="str">
        <v>C152</v>
      </c>
      <c r="CO102" t="str">
        <v>C163</v>
      </c>
      <c r="CP102">
        <v>0</v>
      </c>
      <c r="CQ102">
        <v>0</v>
      </c>
      <c r="CR102">
        <v>0</v>
      </c>
      <c r="CS102">
        <v>0</v>
      </c>
      <c r="CT102">
        <v>0</v>
      </c>
      <c r="CU102">
        <v>0</v>
      </c>
      <c r="CV102">
        <v>0</v>
      </c>
      <c r="CW102">
        <v>0</v>
      </c>
      <c r="CX102">
        <v>0</v>
      </c>
      <c r="CY102">
        <v>0</v>
      </c>
      <c r="CZ102">
        <v>0</v>
      </c>
      <c r="DA102">
        <v>0</v>
      </c>
      <c r="DB102">
        <v>0</v>
      </c>
      <c r="DC102">
        <v>0</v>
      </c>
      <c r="DD102">
        <v>0</v>
      </c>
      <c r="DE102">
        <v>0</v>
      </c>
      <c r="DF102">
        <v>0</v>
      </c>
      <c r="DG102">
        <v>0</v>
      </c>
      <c r="DH102">
        <v>0</v>
      </c>
      <c r="DI102">
        <v>0</v>
      </c>
      <c r="DJ102">
        <v>0</v>
      </c>
      <c r="DK102">
        <v>0</v>
      </c>
      <c r="DL102">
        <v>0</v>
      </c>
      <c r="DM102">
        <v>0</v>
      </c>
      <c r="DN102">
        <v>0</v>
      </c>
      <c r="DO102">
        <v>0</v>
      </c>
      <c r="DP102">
        <v>0</v>
      </c>
      <c r="DQ102">
        <v>0</v>
      </c>
      <c r="DR102">
        <v>0</v>
      </c>
      <c r="DS102">
        <v>0</v>
      </c>
      <c r="DT102">
        <v>0</v>
      </c>
      <c r="DU102">
        <v>0</v>
      </c>
      <c r="DV102">
        <v>0</v>
      </c>
      <c r="DW102">
        <v>0</v>
      </c>
      <c r="DX102">
        <v>0</v>
      </c>
      <c r="DY102">
        <v>0</v>
      </c>
      <c r="DZ102">
        <v>0</v>
      </c>
      <c r="EA102">
        <v>0</v>
      </c>
      <c r="EB102">
        <v>0</v>
      </c>
      <c r="EC102">
        <v>0</v>
      </c>
      <c r="ED102">
        <v>0</v>
      </c>
      <c r="EE102">
        <v>0</v>
      </c>
      <c r="EF102">
        <v>0</v>
      </c>
      <c r="EG102">
        <v>0</v>
      </c>
      <c r="EH102">
        <v>0</v>
      </c>
      <c r="EI102">
        <v>0</v>
      </c>
      <c r="EJ102">
        <v>0</v>
      </c>
      <c r="EK102">
        <v>0</v>
      </c>
      <c r="EL102">
        <v>0</v>
      </c>
      <c r="EM102">
        <v>0</v>
      </c>
      <c r="EN102">
        <v>0</v>
      </c>
      <c r="EO102">
        <v>0</v>
      </c>
      <c r="EP102">
        <v>0</v>
      </c>
      <c r="EQ102">
        <v>0</v>
      </c>
      <c r="ER102">
        <v>0</v>
      </c>
      <c r="ES102">
        <v>0</v>
      </c>
      <c r="ET102">
        <v>0</v>
      </c>
      <c r="EU102">
        <v>0</v>
      </c>
      <c r="EV102">
        <v>0</v>
      </c>
      <c r="EW102">
        <v>0</v>
      </c>
      <c r="EX102">
        <v>0</v>
      </c>
      <c r="EY102">
        <v>0</v>
      </c>
      <c r="EZ102">
        <v>0</v>
      </c>
      <c r="FA102">
        <v>0</v>
      </c>
      <c r="FB102">
        <v>0</v>
      </c>
      <c r="FC102">
        <v>0</v>
      </c>
      <c r="FD102">
        <v>0</v>
      </c>
      <c r="FE102">
        <v>0</v>
      </c>
      <c r="FF102">
        <v>0</v>
      </c>
      <c r="FG102">
        <v>0</v>
      </c>
      <c r="FH102">
        <v>0</v>
      </c>
      <c r="FI102">
        <v>0</v>
      </c>
      <c r="FJ102">
        <v>0</v>
      </c>
      <c r="FK102">
        <v>0</v>
      </c>
      <c r="FL102">
        <v>0</v>
      </c>
      <c r="FM102">
        <v>0</v>
      </c>
      <c r="FN102">
        <v>0</v>
      </c>
      <c r="FO102">
        <v>0</v>
      </c>
      <c r="FP102">
        <v>0</v>
      </c>
      <c r="FQ102">
        <v>0</v>
      </c>
      <c r="FR102">
        <v>0</v>
      </c>
      <c r="FS102">
        <v>0</v>
      </c>
      <c r="FT102">
        <v>0</v>
      </c>
      <c r="FU102">
        <v>0</v>
      </c>
      <c r="FV102">
        <v>0</v>
      </c>
      <c r="FW102">
        <v>0</v>
      </c>
      <c r="FX102">
        <v>0</v>
      </c>
      <c r="FY102">
        <v>0</v>
      </c>
      <c r="FZ102">
        <v>0</v>
      </c>
      <c r="GA102">
        <v>0</v>
      </c>
      <c r="GB102">
        <v>0</v>
      </c>
      <c r="GC102">
        <v>0</v>
      </c>
      <c r="GD102">
        <v>0</v>
      </c>
      <c r="GE102">
        <v>0</v>
      </c>
      <c r="GF102">
        <v>0</v>
      </c>
      <c r="GG102">
        <v>0</v>
      </c>
      <c r="GH102">
        <v>0</v>
      </c>
      <c r="GI102">
        <v>0</v>
      </c>
      <c r="GJ102">
        <v>0</v>
      </c>
      <c r="GK102">
        <v>0</v>
      </c>
      <c r="GL102">
        <v>0</v>
      </c>
      <c r="GM102">
        <v>0</v>
      </c>
      <c r="GN102">
        <v>0</v>
      </c>
      <c r="GO102">
        <v>0</v>
      </c>
      <c r="GP102">
        <v>0</v>
      </c>
      <c r="GQ102">
        <v>0</v>
      </c>
      <c r="GR102">
        <v>0</v>
      </c>
      <c r="GS102">
        <v>0</v>
      </c>
      <c r="GT102">
        <v>0</v>
      </c>
      <c r="GU102">
        <v>0</v>
      </c>
      <c r="GV102">
        <v>0</v>
      </c>
      <c r="GW102">
        <v>0</v>
      </c>
      <c r="GX102">
        <v>0</v>
      </c>
      <c r="GY102">
        <v>0</v>
      </c>
      <c r="GZ102">
        <v>0</v>
      </c>
      <c r="HA102">
        <v>0</v>
      </c>
      <c r="HB102">
        <v>0</v>
      </c>
      <c r="HC102">
        <v>0</v>
      </c>
      <c r="HD102">
        <v>0</v>
      </c>
      <c r="HE102">
        <v>0</v>
      </c>
      <c r="HF102">
        <v>0</v>
      </c>
      <c r="HG102">
        <v>0</v>
      </c>
      <c r="HH102">
        <v>0</v>
      </c>
      <c r="HI102">
        <v>0</v>
      </c>
      <c r="HJ102">
        <v>0</v>
      </c>
      <c r="HK102">
        <v>0</v>
      </c>
      <c r="HL102">
        <v>0</v>
      </c>
      <c r="HM102">
        <v>0</v>
      </c>
      <c r="HN102">
        <v>0</v>
      </c>
      <c r="HO102">
        <v>0</v>
      </c>
      <c r="HP102">
        <v>0</v>
      </c>
      <c r="HQ102">
        <v>0</v>
      </c>
      <c r="HR102">
        <v>0</v>
      </c>
      <c r="HS102">
        <v>0</v>
      </c>
      <c r="HT102">
        <v>0</v>
      </c>
      <c r="HU102">
        <v>0</v>
      </c>
      <c r="HV102">
        <v>0</v>
      </c>
      <c r="HW102">
        <v>0</v>
      </c>
      <c r="HX102">
        <v>0</v>
      </c>
      <c r="HY102">
        <v>0</v>
      </c>
      <c r="HZ102">
        <v>0</v>
      </c>
      <c r="IA102">
        <v>0</v>
      </c>
      <c r="IB102">
        <v>0</v>
      </c>
      <c r="IC102">
        <v>0</v>
      </c>
      <c r="ID102">
        <v>0</v>
      </c>
      <c r="IE102">
        <v>0</v>
      </c>
      <c r="IF102">
        <v>0</v>
      </c>
      <c r="IG102">
        <v>0</v>
      </c>
      <c r="IH102">
        <v>0</v>
      </c>
      <c r="II102">
        <v>0</v>
      </c>
      <c r="IJ102">
        <v>0</v>
      </c>
      <c r="IK102">
        <v>0</v>
      </c>
      <c r="IL102">
        <v>0</v>
      </c>
      <c r="IM102">
        <v>0</v>
      </c>
      <c r="IN102">
        <v>0</v>
      </c>
      <c r="IO102">
        <v>0</v>
      </c>
      <c r="IP102">
        <v>0</v>
      </c>
      <c r="IQ102">
        <v>0</v>
      </c>
      <c r="IR102">
        <v>0</v>
      </c>
      <c r="IS102">
        <v>0</v>
      </c>
      <c r="IT102">
        <v>0</v>
      </c>
      <c r="IU102">
        <v>0</v>
      </c>
      <c r="IV102">
        <v>0</v>
      </c>
      <c r="IW102">
        <v>0</v>
      </c>
      <c r="IX102">
        <v>0</v>
      </c>
      <c r="IY102">
        <v>0</v>
      </c>
      <c r="IZ102">
        <v>0</v>
      </c>
      <c r="JA102">
        <v>0</v>
      </c>
      <c r="JB102">
        <v>0</v>
      </c>
      <c r="JC102">
        <v>0</v>
      </c>
      <c r="JD102">
        <v>0</v>
      </c>
      <c r="JE102">
        <v>0</v>
      </c>
      <c r="JF102">
        <v>0</v>
      </c>
      <c r="JG102">
        <v>0</v>
      </c>
      <c r="JH102">
        <v>0</v>
      </c>
      <c r="JI102">
        <v>0</v>
      </c>
      <c r="JJ102">
        <v>0</v>
      </c>
      <c r="JK102">
        <v>0</v>
      </c>
      <c r="JL102">
        <v>0</v>
      </c>
      <c r="JM102">
        <v>0</v>
      </c>
      <c r="JN102">
        <v>0</v>
      </c>
      <c r="JO102">
        <v>0</v>
      </c>
      <c r="JP102">
        <v>0</v>
      </c>
      <c r="JQ102">
        <v>0</v>
      </c>
      <c r="JR102">
        <v>0</v>
      </c>
      <c r="JS102">
        <v>0</v>
      </c>
      <c r="JT102">
        <v>0</v>
      </c>
      <c r="JU102">
        <v>0</v>
      </c>
      <c r="JV102">
        <v>0</v>
      </c>
      <c r="JW102">
        <v>0</v>
      </c>
      <c r="JX102">
        <v>0</v>
      </c>
      <c r="JY102">
        <v>0</v>
      </c>
      <c r="JZ102">
        <v>0</v>
      </c>
      <c r="KA102">
        <v>0</v>
      </c>
      <c r="KB102">
        <v>0</v>
      </c>
      <c r="KC102">
        <v>0</v>
      </c>
      <c r="KD102">
        <v>0</v>
      </c>
      <c r="KE102">
        <v>0</v>
      </c>
      <c r="KF102">
        <v>0</v>
      </c>
      <c r="KG102">
        <v>0</v>
      </c>
      <c r="KH102">
        <v>0</v>
      </c>
      <c r="KI102">
        <v>0</v>
      </c>
      <c r="KJ102">
        <v>0</v>
      </c>
      <c r="KK102">
        <v>0</v>
      </c>
      <c r="KL102">
        <v>0</v>
      </c>
      <c r="KM102">
        <v>0</v>
      </c>
      <c r="KN102">
        <v>0</v>
      </c>
      <c r="KO102">
        <v>0</v>
      </c>
      <c r="KP102">
        <v>0</v>
      </c>
      <c r="KQ102">
        <v>0</v>
      </c>
      <c r="KR102">
        <v>0</v>
      </c>
      <c r="KS102">
        <v>0</v>
      </c>
      <c r="KT102">
        <v>0</v>
      </c>
      <c r="KU102">
        <v>0</v>
      </c>
      <c r="KV102">
        <v>0</v>
      </c>
      <c r="KW102">
        <v>0</v>
      </c>
      <c r="KX102">
        <v>0</v>
      </c>
      <c r="KY102">
        <v>0</v>
      </c>
      <c r="KZ102">
        <v>0</v>
      </c>
      <c r="LA102">
        <v>0</v>
      </c>
      <c r="LB102">
        <v>0</v>
      </c>
      <c r="LC102">
        <v>0</v>
      </c>
      <c r="LD102">
        <v>0</v>
      </c>
      <c r="LE102">
        <v>0</v>
      </c>
      <c r="LF102">
        <v>0</v>
      </c>
      <c r="LG102">
        <v>0</v>
      </c>
      <c r="LH102">
        <v>0</v>
      </c>
      <c r="LI102">
        <v>0</v>
      </c>
      <c r="LJ102">
        <v>0</v>
      </c>
      <c r="LK102">
        <v>0</v>
      </c>
      <c r="LL102">
        <v>0</v>
      </c>
      <c r="LM102">
        <v>0</v>
      </c>
      <c r="LN102">
        <v>0</v>
      </c>
      <c r="LO102">
        <v>0</v>
      </c>
      <c r="LP102">
        <v>0</v>
      </c>
      <c r="LQ102">
        <v>0</v>
      </c>
      <c r="LR102">
        <v>0</v>
      </c>
      <c r="LS102">
        <v>0</v>
      </c>
      <c r="LT102">
        <v>0</v>
      </c>
      <c r="LU102">
        <v>0</v>
      </c>
      <c r="LV102">
        <v>0</v>
      </c>
      <c r="LW102">
        <v>0</v>
      </c>
      <c r="LX102">
        <v>0</v>
      </c>
      <c r="LY102">
        <v>0</v>
      </c>
      <c r="LZ102">
        <v>0</v>
      </c>
      <c r="MA102">
        <v>0</v>
      </c>
      <c r="MB102">
        <v>0</v>
      </c>
      <c r="MC102">
        <v>0</v>
      </c>
      <c r="MD102">
        <v>0</v>
      </c>
      <c r="ME102">
        <v>0</v>
      </c>
      <c r="MF102">
        <v>0</v>
      </c>
      <c r="MG102">
        <v>0</v>
      </c>
      <c r="MH102">
        <v>0</v>
      </c>
      <c r="MI102">
        <v>0</v>
      </c>
      <c r="MJ102">
        <v>0</v>
      </c>
      <c r="MK102">
        <v>0</v>
      </c>
      <c r="ML102">
        <v>0</v>
      </c>
      <c r="MM102">
        <v>0</v>
      </c>
      <c r="MN102">
        <v>0</v>
      </c>
      <c r="MO102">
        <v>0</v>
      </c>
      <c r="MP102">
        <v>0</v>
      </c>
      <c r="MQ102">
        <v>0</v>
      </c>
      <c r="MR102">
        <v>0</v>
      </c>
      <c r="MS102">
        <v>0</v>
      </c>
      <c r="MT102">
        <v>0</v>
      </c>
      <c r="MU102">
        <v>0</v>
      </c>
      <c r="MV102">
        <v>0</v>
      </c>
      <c r="MW102">
        <v>0</v>
      </c>
      <c r="MX102">
        <v>0</v>
      </c>
      <c r="MY102">
        <v>0</v>
      </c>
      <c r="MZ102">
        <v>0</v>
      </c>
      <c r="NA102">
        <v>0</v>
      </c>
      <c r="NB102">
        <v>0</v>
      </c>
      <c r="NC102">
        <v>0</v>
      </c>
      <c r="ND102">
        <v>0</v>
      </c>
      <c r="NE102">
        <v>0</v>
      </c>
    </row>
    <row r="103" spans="41:369" x14ac:dyDescent="0.45">
      <c r="AO103" t="str">
        <v>B124</v>
      </c>
      <c r="AP103" t="str">
        <v>MOHAMMED RAED. UA</v>
      </c>
      <c r="AQ103" t="str">
        <v>DAHF</v>
      </c>
      <c r="AR103" t="str">
        <v>JUNIOR</v>
      </c>
      <c r="AS103">
        <v>3</v>
      </c>
      <c r="AT103">
        <v>1</v>
      </c>
      <c r="AU103">
        <v>0</v>
      </c>
      <c r="AV103">
        <v>1</v>
      </c>
      <c r="AW103">
        <v>1</v>
      </c>
      <c r="AX103">
        <v>231</v>
      </c>
      <c r="AY103" s="5">
        <v>231</v>
      </c>
      <c r="AZ103" t="str">
        <v>SN12</v>
      </c>
      <c r="BA103" t="str">
        <v>GK TALENT</v>
      </c>
      <c r="BB103" t="str">
        <v>SENIOR</v>
      </c>
      <c r="BC103" t="str">
        <v>Single</v>
      </c>
      <c r="BD103" t="str">
        <v>Non-Stg</v>
      </c>
      <c r="BE103">
        <v>3</v>
      </c>
      <c r="BF103" t="str">
        <v>Master</v>
      </c>
      <c r="BG103" t="str">
        <v>Master</v>
      </c>
      <c r="BH103" t="str">
        <v>P</v>
      </c>
      <c r="BI103" t="str">
        <v>PUBLISHED</v>
      </c>
      <c r="BK103">
        <v>97</v>
      </c>
      <c r="BL103" t="str">
        <v>SN08</v>
      </c>
      <c r="BM103" t="str">
        <v>ESSAY URD</v>
      </c>
      <c r="BN103">
        <v>3</v>
      </c>
      <c r="BO103" t="str">
        <v>Single</v>
      </c>
      <c r="BP103" t="str">
        <v>Non-Stg</v>
      </c>
      <c r="BQ103" t="str">
        <v>SENIOR</v>
      </c>
      <c r="BR103" t="str">
        <v>C134</v>
      </c>
      <c r="BS103" t="str">
        <v>C138</v>
      </c>
      <c r="BT103" t="str">
        <v>C156</v>
      </c>
      <c r="BU103">
        <v>0</v>
      </c>
      <c r="BV103">
        <v>0</v>
      </c>
      <c r="BW103">
        <v>0</v>
      </c>
      <c r="BX103">
        <v>0</v>
      </c>
      <c r="BY103" t="str">
        <v>C136</v>
      </c>
      <c r="BZ103" t="str">
        <v>C150</v>
      </c>
      <c r="CA103" t="str">
        <v>C158</v>
      </c>
      <c r="CB103">
        <v>0</v>
      </c>
      <c r="CC103">
        <v>0</v>
      </c>
      <c r="CD103">
        <v>0</v>
      </c>
      <c r="CE103">
        <v>0</v>
      </c>
      <c r="CF103" t="str">
        <v>C129</v>
      </c>
      <c r="CG103" t="str">
        <v>C148</v>
      </c>
      <c r="CH103" t="str">
        <v>C174</v>
      </c>
      <c r="CI103">
        <v>0</v>
      </c>
      <c r="CJ103">
        <v>0</v>
      </c>
      <c r="CK103">
        <v>0</v>
      </c>
      <c r="CL103">
        <v>0</v>
      </c>
      <c r="CM103" t="str">
        <v>C116</v>
      </c>
      <c r="CN103" t="str">
        <v>C147</v>
      </c>
      <c r="CO103" t="str">
        <v>C165</v>
      </c>
      <c r="CP103">
        <v>0</v>
      </c>
      <c r="CQ103">
        <v>0</v>
      </c>
      <c r="CR103">
        <v>0</v>
      </c>
      <c r="CS103">
        <v>0</v>
      </c>
      <c r="CT103">
        <v>0</v>
      </c>
      <c r="CU103">
        <v>0</v>
      </c>
      <c r="CV103">
        <v>0</v>
      </c>
      <c r="CW103">
        <v>0</v>
      </c>
      <c r="CX103">
        <v>0</v>
      </c>
      <c r="CY103">
        <v>0</v>
      </c>
      <c r="CZ103">
        <v>0</v>
      </c>
      <c r="DA103">
        <v>0</v>
      </c>
      <c r="DB103">
        <v>0</v>
      </c>
      <c r="DC103">
        <v>0</v>
      </c>
      <c r="DD103">
        <v>0</v>
      </c>
      <c r="DE103">
        <v>0</v>
      </c>
      <c r="DF103">
        <v>0</v>
      </c>
      <c r="DG103">
        <v>0</v>
      </c>
      <c r="DH103">
        <v>0</v>
      </c>
      <c r="DI103">
        <v>0</v>
      </c>
      <c r="DJ103">
        <v>0</v>
      </c>
      <c r="DK103">
        <v>0</v>
      </c>
      <c r="DL103">
        <v>0</v>
      </c>
      <c r="DM103">
        <v>0</v>
      </c>
      <c r="DN103">
        <v>0</v>
      </c>
      <c r="DO103">
        <v>0</v>
      </c>
      <c r="DP103">
        <v>0</v>
      </c>
      <c r="DQ103">
        <v>0</v>
      </c>
      <c r="DR103">
        <v>0</v>
      </c>
      <c r="DS103">
        <v>0</v>
      </c>
      <c r="DT103">
        <v>0</v>
      </c>
      <c r="DU103">
        <v>0</v>
      </c>
      <c r="DV103">
        <v>0</v>
      </c>
      <c r="DW103">
        <v>0</v>
      </c>
      <c r="DX103">
        <v>0</v>
      </c>
      <c r="DY103">
        <v>0</v>
      </c>
      <c r="DZ103">
        <v>0</v>
      </c>
      <c r="EA103">
        <v>0</v>
      </c>
      <c r="EB103">
        <v>0</v>
      </c>
      <c r="EC103">
        <v>0</v>
      </c>
      <c r="ED103">
        <v>0</v>
      </c>
      <c r="EE103">
        <v>0</v>
      </c>
      <c r="EF103">
        <v>0</v>
      </c>
      <c r="EG103">
        <v>0</v>
      </c>
      <c r="EH103">
        <v>0</v>
      </c>
      <c r="EI103">
        <v>0</v>
      </c>
      <c r="EJ103">
        <v>0</v>
      </c>
      <c r="EK103">
        <v>0</v>
      </c>
      <c r="EL103">
        <v>0</v>
      </c>
      <c r="EM103">
        <v>0</v>
      </c>
      <c r="EN103">
        <v>0</v>
      </c>
      <c r="EO103">
        <v>0</v>
      </c>
      <c r="EP103">
        <v>0</v>
      </c>
      <c r="EQ103">
        <v>0</v>
      </c>
      <c r="ER103">
        <v>0</v>
      </c>
      <c r="ES103">
        <v>0</v>
      </c>
      <c r="ET103">
        <v>0</v>
      </c>
      <c r="EU103">
        <v>0</v>
      </c>
      <c r="EV103">
        <v>0</v>
      </c>
      <c r="EW103">
        <v>0</v>
      </c>
      <c r="EX103">
        <v>0</v>
      </c>
      <c r="EY103">
        <v>0</v>
      </c>
      <c r="EZ103">
        <v>0</v>
      </c>
      <c r="FA103">
        <v>0</v>
      </c>
      <c r="FB103">
        <v>0</v>
      </c>
      <c r="FC103">
        <v>0</v>
      </c>
      <c r="FD103">
        <v>0</v>
      </c>
      <c r="FE103">
        <v>0</v>
      </c>
      <c r="FF103">
        <v>0</v>
      </c>
      <c r="FG103">
        <v>0</v>
      </c>
      <c r="FH103">
        <v>0</v>
      </c>
      <c r="FI103">
        <v>0</v>
      </c>
      <c r="FJ103">
        <v>0</v>
      </c>
      <c r="FK103">
        <v>0</v>
      </c>
      <c r="FL103">
        <v>0</v>
      </c>
      <c r="FM103">
        <v>0</v>
      </c>
      <c r="FN103">
        <v>0</v>
      </c>
      <c r="FO103">
        <v>0</v>
      </c>
      <c r="FP103">
        <v>0</v>
      </c>
      <c r="FQ103">
        <v>0</v>
      </c>
      <c r="FR103">
        <v>0</v>
      </c>
      <c r="FS103">
        <v>0</v>
      </c>
      <c r="FT103">
        <v>0</v>
      </c>
      <c r="FU103">
        <v>0</v>
      </c>
      <c r="FV103">
        <v>0</v>
      </c>
      <c r="FW103">
        <v>0</v>
      </c>
      <c r="FX103">
        <v>0</v>
      </c>
      <c r="FY103">
        <v>0</v>
      </c>
      <c r="FZ103">
        <v>0</v>
      </c>
      <c r="GA103">
        <v>0</v>
      </c>
      <c r="GB103">
        <v>0</v>
      </c>
      <c r="GC103">
        <v>0</v>
      </c>
      <c r="GD103">
        <v>0</v>
      </c>
      <c r="GE103">
        <v>0</v>
      </c>
      <c r="GF103">
        <v>0</v>
      </c>
      <c r="GG103">
        <v>0</v>
      </c>
      <c r="GH103">
        <v>0</v>
      </c>
      <c r="GI103">
        <v>0</v>
      </c>
      <c r="GJ103">
        <v>0</v>
      </c>
      <c r="GK103">
        <v>0</v>
      </c>
      <c r="GL103">
        <v>0</v>
      </c>
      <c r="GM103">
        <v>0</v>
      </c>
      <c r="GN103">
        <v>0</v>
      </c>
      <c r="GO103">
        <v>0</v>
      </c>
      <c r="GP103">
        <v>0</v>
      </c>
      <c r="GQ103">
        <v>0</v>
      </c>
      <c r="GR103">
        <v>0</v>
      </c>
      <c r="GS103">
        <v>0</v>
      </c>
      <c r="GT103">
        <v>0</v>
      </c>
      <c r="GU103">
        <v>0</v>
      </c>
      <c r="GV103">
        <v>0</v>
      </c>
      <c r="GW103">
        <v>0</v>
      </c>
      <c r="GX103">
        <v>0</v>
      </c>
      <c r="GY103">
        <v>0</v>
      </c>
      <c r="GZ103">
        <v>0</v>
      </c>
      <c r="HA103">
        <v>0</v>
      </c>
      <c r="HB103">
        <v>0</v>
      </c>
      <c r="HC103">
        <v>0</v>
      </c>
      <c r="HD103">
        <v>0</v>
      </c>
      <c r="HE103">
        <v>0</v>
      </c>
      <c r="HF103">
        <v>0</v>
      </c>
      <c r="HG103">
        <v>0</v>
      </c>
      <c r="HH103">
        <v>0</v>
      </c>
      <c r="HI103">
        <v>0</v>
      </c>
      <c r="HJ103">
        <v>0</v>
      </c>
      <c r="HK103">
        <v>0</v>
      </c>
      <c r="HL103">
        <v>0</v>
      </c>
      <c r="HM103">
        <v>0</v>
      </c>
      <c r="HN103">
        <v>0</v>
      </c>
      <c r="HO103">
        <v>0</v>
      </c>
      <c r="HP103">
        <v>0</v>
      </c>
      <c r="HQ103">
        <v>0</v>
      </c>
      <c r="HR103">
        <v>0</v>
      </c>
      <c r="HS103">
        <v>0</v>
      </c>
      <c r="HT103">
        <v>0</v>
      </c>
      <c r="HU103">
        <v>0</v>
      </c>
      <c r="HV103">
        <v>0</v>
      </c>
      <c r="HW103">
        <v>0</v>
      </c>
      <c r="HX103">
        <v>0</v>
      </c>
      <c r="HY103">
        <v>0</v>
      </c>
      <c r="HZ103">
        <v>0</v>
      </c>
      <c r="IA103">
        <v>0</v>
      </c>
      <c r="IB103">
        <v>0</v>
      </c>
      <c r="IC103">
        <v>0</v>
      </c>
      <c r="ID103">
        <v>0</v>
      </c>
      <c r="IE103">
        <v>0</v>
      </c>
      <c r="IF103">
        <v>0</v>
      </c>
      <c r="IG103">
        <v>0</v>
      </c>
      <c r="IH103">
        <v>0</v>
      </c>
      <c r="II103">
        <v>0</v>
      </c>
      <c r="IJ103">
        <v>0</v>
      </c>
      <c r="IK103">
        <v>0</v>
      </c>
      <c r="IL103">
        <v>0</v>
      </c>
      <c r="IM103">
        <v>0</v>
      </c>
      <c r="IN103">
        <v>0</v>
      </c>
      <c r="IO103">
        <v>0</v>
      </c>
      <c r="IP103">
        <v>0</v>
      </c>
      <c r="IQ103">
        <v>0</v>
      </c>
      <c r="IR103">
        <v>0</v>
      </c>
      <c r="IS103">
        <v>0</v>
      </c>
      <c r="IT103">
        <v>0</v>
      </c>
      <c r="IU103">
        <v>0</v>
      </c>
      <c r="IV103">
        <v>0</v>
      </c>
      <c r="IW103">
        <v>0</v>
      </c>
      <c r="IX103">
        <v>0</v>
      </c>
      <c r="IY103">
        <v>0</v>
      </c>
      <c r="IZ103">
        <v>0</v>
      </c>
      <c r="JA103">
        <v>0</v>
      </c>
      <c r="JB103">
        <v>0</v>
      </c>
      <c r="JC103">
        <v>0</v>
      </c>
      <c r="JD103">
        <v>0</v>
      </c>
      <c r="JE103">
        <v>0</v>
      </c>
      <c r="JF103">
        <v>0</v>
      </c>
      <c r="JG103">
        <v>0</v>
      </c>
      <c r="JH103">
        <v>0</v>
      </c>
      <c r="JI103">
        <v>0</v>
      </c>
      <c r="JJ103">
        <v>0</v>
      </c>
      <c r="JK103">
        <v>0</v>
      </c>
      <c r="JL103">
        <v>0</v>
      </c>
      <c r="JM103">
        <v>0</v>
      </c>
      <c r="JN103">
        <v>0</v>
      </c>
      <c r="JO103">
        <v>0</v>
      </c>
      <c r="JP103">
        <v>0</v>
      </c>
      <c r="JQ103">
        <v>0</v>
      </c>
      <c r="JR103">
        <v>0</v>
      </c>
      <c r="JS103">
        <v>0</v>
      </c>
      <c r="JT103">
        <v>0</v>
      </c>
      <c r="JU103">
        <v>0</v>
      </c>
      <c r="JV103">
        <v>0</v>
      </c>
      <c r="JW103">
        <v>0</v>
      </c>
      <c r="JX103">
        <v>0</v>
      </c>
      <c r="JY103">
        <v>0</v>
      </c>
      <c r="JZ103">
        <v>0</v>
      </c>
      <c r="KA103">
        <v>0</v>
      </c>
      <c r="KB103">
        <v>0</v>
      </c>
      <c r="KC103">
        <v>0</v>
      </c>
      <c r="KD103">
        <v>0</v>
      </c>
      <c r="KE103">
        <v>0</v>
      </c>
      <c r="KF103">
        <v>0</v>
      </c>
      <c r="KG103">
        <v>0</v>
      </c>
      <c r="KH103">
        <v>0</v>
      </c>
      <c r="KI103">
        <v>0</v>
      </c>
      <c r="KJ103">
        <v>0</v>
      </c>
      <c r="KK103">
        <v>0</v>
      </c>
      <c r="KL103">
        <v>0</v>
      </c>
      <c r="KM103">
        <v>0</v>
      </c>
      <c r="KN103">
        <v>0</v>
      </c>
      <c r="KO103">
        <v>0</v>
      </c>
      <c r="KP103">
        <v>0</v>
      </c>
      <c r="KQ103">
        <v>0</v>
      </c>
      <c r="KR103">
        <v>0</v>
      </c>
      <c r="KS103">
        <v>0</v>
      </c>
      <c r="KT103">
        <v>0</v>
      </c>
      <c r="KU103">
        <v>0</v>
      </c>
      <c r="KV103">
        <v>0</v>
      </c>
      <c r="KW103">
        <v>0</v>
      </c>
      <c r="KX103">
        <v>0</v>
      </c>
      <c r="KY103">
        <v>0</v>
      </c>
      <c r="KZ103">
        <v>0</v>
      </c>
      <c r="LA103">
        <v>0</v>
      </c>
      <c r="LB103">
        <v>0</v>
      </c>
      <c r="LC103">
        <v>0</v>
      </c>
      <c r="LD103">
        <v>0</v>
      </c>
      <c r="LE103">
        <v>0</v>
      </c>
      <c r="LF103">
        <v>0</v>
      </c>
      <c r="LG103">
        <v>0</v>
      </c>
      <c r="LH103">
        <v>0</v>
      </c>
      <c r="LI103">
        <v>0</v>
      </c>
      <c r="LJ103">
        <v>0</v>
      </c>
      <c r="LK103">
        <v>0</v>
      </c>
      <c r="LL103">
        <v>0</v>
      </c>
      <c r="LM103">
        <v>0</v>
      </c>
      <c r="LN103">
        <v>0</v>
      </c>
      <c r="LO103">
        <v>0</v>
      </c>
      <c r="LP103">
        <v>0</v>
      </c>
      <c r="LQ103">
        <v>0</v>
      </c>
      <c r="LR103">
        <v>0</v>
      </c>
      <c r="LS103">
        <v>0</v>
      </c>
      <c r="LT103">
        <v>0</v>
      </c>
      <c r="LU103">
        <v>0</v>
      </c>
      <c r="LV103">
        <v>0</v>
      </c>
      <c r="LW103">
        <v>0</v>
      </c>
      <c r="LX103">
        <v>0</v>
      </c>
      <c r="LY103">
        <v>0</v>
      </c>
      <c r="LZ103">
        <v>0</v>
      </c>
      <c r="MA103">
        <v>0</v>
      </c>
      <c r="MB103">
        <v>0</v>
      </c>
      <c r="MC103">
        <v>0</v>
      </c>
      <c r="MD103">
        <v>0</v>
      </c>
      <c r="ME103">
        <v>0</v>
      </c>
      <c r="MF103">
        <v>0</v>
      </c>
      <c r="MG103">
        <v>0</v>
      </c>
      <c r="MH103">
        <v>0</v>
      </c>
      <c r="MI103">
        <v>0</v>
      </c>
      <c r="MJ103">
        <v>0</v>
      </c>
      <c r="MK103">
        <v>0</v>
      </c>
      <c r="ML103">
        <v>0</v>
      </c>
      <c r="MM103">
        <v>0</v>
      </c>
      <c r="MN103">
        <v>0</v>
      </c>
      <c r="MO103">
        <v>0</v>
      </c>
      <c r="MP103">
        <v>0</v>
      </c>
      <c r="MQ103">
        <v>0</v>
      </c>
      <c r="MR103">
        <v>0</v>
      </c>
      <c r="MS103">
        <v>0</v>
      </c>
      <c r="MT103">
        <v>0</v>
      </c>
      <c r="MU103">
        <v>0</v>
      </c>
      <c r="MV103">
        <v>0</v>
      </c>
      <c r="MW103">
        <v>0</v>
      </c>
      <c r="MX103">
        <v>0</v>
      </c>
      <c r="MY103">
        <v>0</v>
      </c>
      <c r="MZ103">
        <v>0</v>
      </c>
      <c r="NA103">
        <v>0</v>
      </c>
      <c r="NB103">
        <v>0</v>
      </c>
      <c r="NC103">
        <v>0</v>
      </c>
      <c r="ND103">
        <v>0</v>
      </c>
      <c r="NE103">
        <v>0</v>
      </c>
    </row>
    <row r="104" spans="41:369" x14ac:dyDescent="0.45">
      <c r="AO104" t="str">
        <v>B125</v>
      </c>
      <c r="AP104" t="str">
        <v>MUHAMMED SHANIFM P</v>
      </c>
      <c r="AQ104" t="str">
        <v>DAHF</v>
      </c>
      <c r="AR104" t="str">
        <v>JUNIOR</v>
      </c>
      <c r="AS104">
        <v>3</v>
      </c>
      <c r="AT104">
        <v>0</v>
      </c>
      <c r="AU104">
        <v>0</v>
      </c>
      <c r="AV104">
        <v>0</v>
      </c>
      <c r="AW104">
        <v>0</v>
      </c>
      <c r="AX104">
        <v>255</v>
      </c>
      <c r="AY104" s="5">
        <v>255</v>
      </c>
      <c r="AZ104" t="str">
        <v>SN13</v>
      </c>
      <c r="BA104" t="str">
        <v>GRAMMAR QUIZ QUADRILINGUAL</v>
      </c>
      <c r="BB104" t="str">
        <v>SENIOR</v>
      </c>
      <c r="BC104" t="str">
        <v>Single</v>
      </c>
      <c r="BD104" t="str">
        <v>Non-Stg</v>
      </c>
      <c r="BE104">
        <v>3</v>
      </c>
      <c r="BF104" t="str">
        <v>Master</v>
      </c>
      <c r="BG104" t="str">
        <v>Master</v>
      </c>
      <c r="BH104" t="str">
        <v>P</v>
      </c>
      <c r="BI104" t="str">
        <v>PUBLISHED</v>
      </c>
      <c r="BK104">
        <v>98</v>
      </c>
      <c r="BL104" t="str">
        <v>SN09</v>
      </c>
      <c r="BM104" t="str">
        <v>EXCEL EXPERT</v>
      </c>
      <c r="BN104">
        <v>2</v>
      </c>
      <c r="BO104" t="str">
        <v>Single</v>
      </c>
      <c r="BP104" t="str">
        <v>Non-Stg</v>
      </c>
      <c r="BQ104" t="str">
        <v>SENIOR</v>
      </c>
      <c r="BR104" t="str">
        <v>C168</v>
      </c>
      <c r="BS104" t="str">
        <v>C149</v>
      </c>
      <c r="BT104">
        <v>0</v>
      </c>
      <c r="BU104">
        <v>0</v>
      </c>
      <c r="BV104">
        <v>0</v>
      </c>
      <c r="BW104">
        <v>0</v>
      </c>
      <c r="BX104">
        <v>0</v>
      </c>
      <c r="BY104" t="str">
        <v>C110</v>
      </c>
      <c r="BZ104" t="str">
        <v>C179</v>
      </c>
      <c r="CA104">
        <v>0</v>
      </c>
      <c r="CB104">
        <v>0</v>
      </c>
      <c r="CC104">
        <v>0</v>
      </c>
      <c r="CD104">
        <v>0</v>
      </c>
      <c r="CE104">
        <v>0</v>
      </c>
      <c r="CF104" t="str">
        <v>C123</v>
      </c>
      <c r="CG104" t="str">
        <v>C141</v>
      </c>
      <c r="CH104">
        <v>0</v>
      </c>
      <c r="CI104">
        <v>0</v>
      </c>
      <c r="CJ104">
        <v>0</v>
      </c>
      <c r="CK104">
        <v>0</v>
      </c>
      <c r="CL104">
        <v>0</v>
      </c>
      <c r="CM104" t="str">
        <v>C143</v>
      </c>
      <c r="CN104" t="str">
        <v>C146</v>
      </c>
      <c r="CO104">
        <v>0</v>
      </c>
      <c r="CP104">
        <v>0</v>
      </c>
      <c r="CQ104">
        <v>0</v>
      </c>
      <c r="CR104">
        <v>0</v>
      </c>
      <c r="CS104">
        <v>0</v>
      </c>
      <c r="CT104">
        <v>0</v>
      </c>
      <c r="CU104">
        <v>0</v>
      </c>
      <c r="CV104">
        <v>0</v>
      </c>
      <c r="CW104">
        <v>0</v>
      </c>
      <c r="CX104">
        <v>0</v>
      </c>
      <c r="CY104">
        <v>0</v>
      </c>
      <c r="CZ104">
        <v>0</v>
      </c>
      <c r="DA104">
        <v>0</v>
      </c>
      <c r="DB104">
        <v>0</v>
      </c>
      <c r="DC104">
        <v>0</v>
      </c>
      <c r="DD104">
        <v>0</v>
      </c>
      <c r="DE104">
        <v>0</v>
      </c>
      <c r="DF104">
        <v>0</v>
      </c>
      <c r="DG104">
        <v>0</v>
      </c>
      <c r="DH104">
        <v>0</v>
      </c>
      <c r="DI104">
        <v>0</v>
      </c>
      <c r="DJ104">
        <v>0</v>
      </c>
      <c r="DK104">
        <v>0</v>
      </c>
      <c r="DL104">
        <v>0</v>
      </c>
      <c r="DM104">
        <v>0</v>
      </c>
      <c r="DN104">
        <v>0</v>
      </c>
      <c r="DO104">
        <v>0</v>
      </c>
      <c r="DP104">
        <v>0</v>
      </c>
      <c r="DQ104">
        <v>0</v>
      </c>
      <c r="DR104">
        <v>0</v>
      </c>
      <c r="DS104">
        <v>0</v>
      </c>
      <c r="DT104">
        <v>0</v>
      </c>
      <c r="DU104">
        <v>0</v>
      </c>
      <c r="DV104">
        <v>0</v>
      </c>
      <c r="DW104">
        <v>0</v>
      </c>
      <c r="DX104">
        <v>0</v>
      </c>
      <c r="DY104">
        <v>0</v>
      </c>
      <c r="DZ104">
        <v>0</v>
      </c>
      <c r="EA104">
        <v>0</v>
      </c>
      <c r="EB104">
        <v>0</v>
      </c>
      <c r="EC104">
        <v>0</v>
      </c>
      <c r="ED104">
        <v>0</v>
      </c>
      <c r="EE104">
        <v>0</v>
      </c>
      <c r="EF104">
        <v>0</v>
      </c>
      <c r="EG104">
        <v>0</v>
      </c>
      <c r="EH104">
        <v>0</v>
      </c>
      <c r="EI104">
        <v>0</v>
      </c>
      <c r="EJ104">
        <v>0</v>
      </c>
      <c r="EK104">
        <v>0</v>
      </c>
      <c r="EL104">
        <v>0</v>
      </c>
      <c r="EM104">
        <v>0</v>
      </c>
      <c r="EN104">
        <v>0</v>
      </c>
      <c r="EO104">
        <v>0</v>
      </c>
      <c r="EP104">
        <v>0</v>
      </c>
      <c r="EQ104">
        <v>0</v>
      </c>
      <c r="ER104">
        <v>0</v>
      </c>
      <c r="ES104">
        <v>0</v>
      </c>
      <c r="ET104">
        <v>0</v>
      </c>
      <c r="EU104">
        <v>0</v>
      </c>
      <c r="EV104">
        <v>0</v>
      </c>
      <c r="EW104">
        <v>0</v>
      </c>
      <c r="EX104">
        <v>0</v>
      </c>
      <c r="EY104">
        <v>0</v>
      </c>
      <c r="EZ104">
        <v>0</v>
      </c>
      <c r="FA104">
        <v>0</v>
      </c>
      <c r="FB104">
        <v>0</v>
      </c>
      <c r="FC104">
        <v>0</v>
      </c>
      <c r="FD104">
        <v>0</v>
      </c>
      <c r="FE104">
        <v>0</v>
      </c>
      <c r="FF104">
        <v>0</v>
      </c>
      <c r="FG104">
        <v>0</v>
      </c>
      <c r="FH104">
        <v>0</v>
      </c>
      <c r="FI104">
        <v>0</v>
      </c>
      <c r="FJ104">
        <v>0</v>
      </c>
      <c r="FK104">
        <v>0</v>
      </c>
      <c r="FL104">
        <v>0</v>
      </c>
      <c r="FM104">
        <v>0</v>
      </c>
      <c r="FN104">
        <v>0</v>
      </c>
      <c r="FO104">
        <v>0</v>
      </c>
      <c r="FP104">
        <v>0</v>
      </c>
      <c r="FQ104">
        <v>0</v>
      </c>
      <c r="FR104">
        <v>0</v>
      </c>
      <c r="FS104">
        <v>0</v>
      </c>
      <c r="FT104">
        <v>0</v>
      </c>
      <c r="FU104">
        <v>0</v>
      </c>
      <c r="FV104">
        <v>0</v>
      </c>
      <c r="FW104">
        <v>0</v>
      </c>
      <c r="FX104">
        <v>0</v>
      </c>
      <c r="FY104">
        <v>0</v>
      </c>
      <c r="FZ104">
        <v>0</v>
      </c>
      <c r="GA104">
        <v>0</v>
      </c>
      <c r="GB104">
        <v>0</v>
      </c>
      <c r="GC104">
        <v>0</v>
      </c>
      <c r="GD104">
        <v>0</v>
      </c>
      <c r="GE104">
        <v>0</v>
      </c>
      <c r="GF104">
        <v>0</v>
      </c>
      <c r="GG104">
        <v>0</v>
      </c>
      <c r="GH104">
        <v>0</v>
      </c>
      <c r="GI104">
        <v>0</v>
      </c>
      <c r="GJ104">
        <v>0</v>
      </c>
      <c r="GK104">
        <v>0</v>
      </c>
      <c r="GL104">
        <v>0</v>
      </c>
      <c r="GM104">
        <v>0</v>
      </c>
      <c r="GN104">
        <v>0</v>
      </c>
      <c r="GO104">
        <v>0</v>
      </c>
      <c r="GP104">
        <v>0</v>
      </c>
      <c r="GQ104">
        <v>0</v>
      </c>
      <c r="GR104">
        <v>0</v>
      </c>
      <c r="GS104">
        <v>0</v>
      </c>
      <c r="GT104">
        <v>0</v>
      </c>
      <c r="GU104">
        <v>0</v>
      </c>
      <c r="GV104">
        <v>0</v>
      </c>
      <c r="GW104">
        <v>0</v>
      </c>
      <c r="GX104">
        <v>0</v>
      </c>
      <c r="GY104">
        <v>0</v>
      </c>
      <c r="GZ104">
        <v>0</v>
      </c>
      <c r="HA104">
        <v>0</v>
      </c>
      <c r="HB104">
        <v>0</v>
      </c>
      <c r="HC104">
        <v>0</v>
      </c>
      <c r="HD104">
        <v>0</v>
      </c>
      <c r="HE104">
        <v>0</v>
      </c>
      <c r="HF104">
        <v>0</v>
      </c>
      <c r="HG104">
        <v>0</v>
      </c>
      <c r="HH104">
        <v>0</v>
      </c>
      <c r="HI104">
        <v>0</v>
      </c>
      <c r="HJ104">
        <v>0</v>
      </c>
      <c r="HK104">
        <v>0</v>
      </c>
      <c r="HL104">
        <v>0</v>
      </c>
      <c r="HM104">
        <v>0</v>
      </c>
      <c r="HN104">
        <v>0</v>
      </c>
      <c r="HO104">
        <v>0</v>
      </c>
      <c r="HP104">
        <v>0</v>
      </c>
      <c r="HQ104">
        <v>0</v>
      </c>
      <c r="HR104">
        <v>0</v>
      </c>
      <c r="HS104">
        <v>0</v>
      </c>
      <c r="HT104">
        <v>0</v>
      </c>
      <c r="HU104">
        <v>0</v>
      </c>
      <c r="HV104">
        <v>0</v>
      </c>
      <c r="HW104">
        <v>0</v>
      </c>
      <c r="HX104">
        <v>0</v>
      </c>
      <c r="HY104">
        <v>0</v>
      </c>
      <c r="HZ104">
        <v>0</v>
      </c>
      <c r="IA104">
        <v>0</v>
      </c>
      <c r="IB104">
        <v>0</v>
      </c>
      <c r="IC104">
        <v>0</v>
      </c>
      <c r="ID104">
        <v>0</v>
      </c>
      <c r="IE104">
        <v>0</v>
      </c>
      <c r="IF104">
        <v>0</v>
      </c>
      <c r="IG104">
        <v>0</v>
      </c>
      <c r="IH104">
        <v>0</v>
      </c>
      <c r="II104">
        <v>0</v>
      </c>
      <c r="IJ104">
        <v>0</v>
      </c>
      <c r="IK104">
        <v>0</v>
      </c>
      <c r="IL104">
        <v>0</v>
      </c>
      <c r="IM104">
        <v>0</v>
      </c>
      <c r="IN104">
        <v>0</v>
      </c>
      <c r="IO104">
        <v>0</v>
      </c>
      <c r="IP104">
        <v>0</v>
      </c>
      <c r="IQ104">
        <v>0</v>
      </c>
      <c r="IR104">
        <v>0</v>
      </c>
      <c r="IS104">
        <v>0</v>
      </c>
      <c r="IT104">
        <v>0</v>
      </c>
      <c r="IU104">
        <v>0</v>
      </c>
      <c r="IV104">
        <v>0</v>
      </c>
      <c r="IW104">
        <v>0</v>
      </c>
      <c r="IX104">
        <v>0</v>
      </c>
      <c r="IY104">
        <v>0</v>
      </c>
      <c r="IZ104">
        <v>0</v>
      </c>
      <c r="JA104">
        <v>0</v>
      </c>
      <c r="JB104">
        <v>0</v>
      </c>
      <c r="JC104">
        <v>0</v>
      </c>
      <c r="JD104">
        <v>0</v>
      </c>
      <c r="JE104">
        <v>0</v>
      </c>
      <c r="JF104">
        <v>0</v>
      </c>
      <c r="JG104">
        <v>0</v>
      </c>
      <c r="JH104">
        <v>0</v>
      </c>
      <c r="JI104">
        <v>0</v>
      </c>
      <c r="JJ104">
        <v>0</v>
      </c>
      <c r="JK104">
        <v>0</v>
      </c>
      <c r="JL104">
        <v>0</v>
      </c>
      <c r="JM104">
        <v>0</v>
      </c>
      <c r="JN104">
        <v>0</v>
      </c>
      <c r="JO104">
        <v>0</v>
      </c>
      <c r="JP104">
        <v>0</v>
      </c>
      <c r="JQ104">
        <v>0</v>
      </c>
      <c r="JR104">
        <v>0</v>
      </c>
      <c r="JS104">
        <v>0</v>
      </c>
      <c r="JT104">
        <v>0</v>
      </c>
      <c r="JU104">
        <v>0</v>
      </c>
      <c r="JV104">
        <v>0</v>
      </c>
      <c r="JW104">
        <v>0</v>
      </c>
      <c r="JX104">
        <v>0</v>
      </c>
      <c r="JY104">
        <v>0</v>
      </c>
      <c r="JZ104">
        <v>0</v>
      </c>
      <c r="KA104">
        <v>0</v>
      </c>
      <c r="KB104">
        <v>0</v>
      </c>
      <c r="KC104">
        <v>0</v>
      </c>
      <c r="KD104">
        <v>0</v>
      </c>
      <c r="KE104">
        <v>0</v>
      </c>
      <c r="KF104">
        <v>0</v>
      </c>
      <c r="KG104">
        <v>0</v>
      </c>
      <c r="KH104">
        <v>0</v>
      </c>
      <c r="KI104">
        <v>0</v>
      </c>
      <c r="KJ104">
        <v>0</v>
      </c>
      <c r="KK104">
        <v>0</v>
      </c>
      <c r="KL104">
        <v>0</v>
      </c>
      <c r="KM104">
        <v>0</v>
      </c>
      <c r="KN104">
        <v>0</v>
      </c>
      <c r="KO104">
        <v>0</v>
      </c>
      <c r="KP104">
        <v>0</v>
      </c>
      <c r="KQ104">
        <v>0</v>
      </c>
      <c r="KR104">
        <v>0</v>
      </c>
      <c r="KS104">
        <v>0</v>
      </c>
      <c r="KT104">
        <v>0</v>
      </c>
      <c r="KU104">
        <v>0</v>
      </c>
      <c r="KV104">
        <v>0</v>
      </c>
      <c r="KW104">
        <v>0</v>
      </c>
      <c r="KX104">
        <v>0</v>
      </c>
      <c r="KY104">
        <v>0</v>
      </c>
      <c r="KZ104">
        <v>0</v>
      </c>
      <c r="LA104">
        <v>0</v>
      </c>
      <c r="LB104">
        <v>0</v>
      </c>
      <c r="LC104">
        <v>0</v>
      </c>
      <c r="LD104">
        <v>0</v>
      </c>
      <c r="LE104">
        <v>0</v>
      </c>
      <c r="LF104">
        <v>0</v>
      </c>
      <c r="LG104">
        <v>0</v>
      </c>
      <c r="LH104">
        <v>0</v>
      </c>
      <c r="LI104">
        <v>0</v>
      </c>
      <c r="LJ104">
        <v>0</v>
      </c>
      <c r="LK104">
        <v>0</v>
      </c>
      <c r="LL104">
        <v>0</v>
      </c>
      <c r="LM104">
        <v>0</v>
      </c>
      <c r="LN104">
        <v>0</v>
      </c>
      <c r="LO104">
        <v>0</v>
      </c>
      <c r="LP104">
        <v>0</v>
      </c>
      <c r="LQ104">
        <v>0</v>
      </c>
      <c r="LR104">
        <v>0</v>
      </c>
      <c r="LS104">
        <v>0</v>
      </c>
      <c r="LT104">
        <v>0</v>
      </c>
      <c r="LU104">
        <v>0</v>
      </c>
      <c r="LV104">
        <v>0</v>
      </c>
      <c r="LW104">
        <v>0</v>
      </c>
      <c r="LX104">
        <v>0</v>
      </c>
      <c r="LY104">
        <v>0</v>
      </c>
      <c r="LZ104">
        <v>0</v>
      </c>
      <c r="MA104">
        <v>0</v>
      </c>
      <c r="MB104">
        <v>0</v>
      </c>
      <c r="MC104">
        <v>0</v>
      </c>
      <c r="MD104">
        <v>0</v>
      </c>
      <c r="ME104">
        <v>0</v>
      </c>
      <c r="MF104">
        <v>0</v>
      </c>
      <c r="MG104">
        <v>0</v>
      </c>
      <c r="MH104">
        <v>0</v>
      </c>
      <c r="MI104">
        <v>0</v>
      </c>
      <c r="MJ104">
        <v>0</v>
      </c>
      <c r="MK104">
        <v>0</v>
      </c>
      <c r="ML104">
        <v>0</v>
      </c>
      <c r="MM104">
        <v>0</v>
      </c>
      <c r="MN104">
        <v>0</v>
      </c>
      <c r="MO104">
        <v>0</v>
      </c>
      <c r="MP104">
        <v>0</v>
      </c>
      <c r="MQ104">
        <v>0</v>
      </c>
      <c r="MR104">
        <v>0</v>
      </c>
      <c r="MS104">
        <v>0</v>
      </c>
      <c r="MT104">
        <v>0</v>
      </c>
      <c r="MU104">
        <v>0</v>
      </c>
      <c r="MV104">
        <v>0</v>
      </c>
      <c r="MW104">
        <v>0</v>
      </c>
      <c r="MX104">
        <v>0</v>
      </c>
      <c r="MY104">
        <v>0</v>
      </c>
      <c r="MZ104">
        <v>0</v>
      </c>
      <c r="NA104">
        <v>0</v>
      </c>
      <c r="NB104">
        <v>0</v>
      </c>
      <c r="NC104">
        <v>0</v>
      </c>
      <c r="ND104">
        <v>0</v>
      </c>
      <c r="NE104">
        <v>0</v>
      </c>
    </row>
    <row r="105" spans="41:369" x14ac:dyDescent="0.45">
      <c r="AO105" t="str">
        <v>B126</v>
      </c>
      <c r="AP105" t="str">
        <v>AHAMMED JABIR K H</v>
      </c>
      <c r="AQ105" t="str">
        <v>JARF</v>
      </c>
      <c r="AR105" t="str">
        <v>JUNIOR</v>
      </c>
      <c r="AS105">
        <v>3</v>
      </c>
      <c r="AT105">
        <v>6</v>
      </c>
      <c r="AU105">
        <v>0</v>
      </c>
      <c r="AV105">
        <v>6</v>
      </c>
      <c r="AW105">
        <v>6</v>
      </c>
      <c r="AX105">
        <v>171</v>
      </c>
      <c r="AY105" s="5">
        <v>171</v>
      </c>
      <c r="AZ105" t="str">
        <v>SN14</v>
      </c>
      <c r="BA105" t="str">
        <v>ḤIFẒ</v>
      </c>
      <c r="BB105" t="str">
        <v>SENIOR</v>
      </c>
      <c r="BC105" t="str">
        <v>Single</v>
      </c>
      <c r="BD105" t="str">
        <v>Non-Stg</v>
      </c>
      <c r="BE105">
        <v>3</v>
      </c>
      <c r="BF105" t="str">
        <v>Individual</v>
      </c>
      <c r="BG105" t="str">
        <v>Individual</v>
      </c>
      <c r="BH105" t="str">
        <v>P</v>
      </c>
      <c r="BI105" t="str">
        <v>PUBLISHED</v>
      </c>
      <c r="BK105">
        <v>99</v>
      </c>
      <c r="BL105" t="str">
        <v>SN10</v>
      </c>
      <c r="BM105" t="str">
        <v>FEATURE ENG</v>
      </c>
      <c r="BN105">
        <v>3</v>
      </c>
      <c r="BO105" t="str">
        <v>Single</v>
      </c>
      <c r="BP105" t="str">
        <v>Non-Stg</v>
      </c>
      <c r="BQ105" t="str">
        <v>SENIOR</v>
      </c>
      <c r="BR105" t="str">
        <v>C155</v>
      </c>
      <c r="BS105" t="str">
        <v>C164</v>
      </c>
      <c r="BT105" t="str">
        <v>C168</v>
      </c>
      <c r="BU105">
        <v>0</v>
      </c>
      <c r="BV105">
        <v>0</v>
      </c>
      <c r="BW105">
        <v>0</v>
      </c>
      <c r="BX105">
        <v>0</v>
      </c>
      <c r="BY105" t="str">
        <v>C110</v>
      </c>
      <c r="BZ105" t="str">
        <v>C130</v>
      </c>
      <c r="CA105" t="str">
        <v>C133</v>
      </c>
      <c r="CB105">
        <v>0</v>
      </c>
      <c r="CC105">
        <v>0</v>
      </c>
      <c r="CD105">
        <v>0</v>
      </c>
      <c r="CE105">
        <v>0</v>
      </c>
      <c r="CF105" t="str">
        <v>C122</v>
      </c>
      <c r="CG105" t="str">
        <v>C123</v>
      </c>
      <c r="CH105" t="str">
        <v>C170</v>
      </c>
      <c r="CI105">
        <v>0</v>
      </c>
      <c r="CJ105">
        <v>0</v>
      </c>
      <c r="CK105">
        <v>0</v>
      </c>
      <c r="CL105">
        <v>0</v>
      </c>
      <c r="CM105" t="str">
        <v>C135</v>
      </c>
      <c r="CN105" t="str">
        <v>C140</v>
      </c>
      <c r="CO105" t="str">
        <v>C151</v>
      </c>
      <c r="CP105">
        <v>0</v>
      </c>
      <c r="CQ105">
        <v>0</v>
      </c>
      <c r="CR105">
        <v>0</v>
      </c>
      <c r="CS105">
        <v>0</v>
      </c>
      <c r="CT105">
        <v>0</v>
      </c>
      <c r="CU105">
        <v>0</v>
      </c>
      <c r="CV105">
        <v>0</v>
      </c>
      <c r="CW105">
        <v>0</v>
      </c>
      <c r="CX105">
        <v>0</v>
      </c>
      <c r="CY105">
        <v>0</v>
      </c>
      <c r="CZ105">
        <v>0</v>
      </c>
      <c r="DA105">
        <v>0</v>
      </c>
      <c r="DB105">
        <v>0</v>
      </c>
      <c r="DC105">
        <v>0</v>
      </c>
      <c r="DD105">
        <v>0</v>
      </c>
      <c r="DE105">
        <v>0</v>
      </c>
      <c r="DF105">
        <v>0</v>
      </c>
      <c r="DG105">
        <v>0</v>
      </c>
      <c r="DH105">
        <v>0</v>
      </c>
      <c r="DI105">
        <v>0</v>
      </c>
      <c r="DJ105">
        <v>0</v>
      </c>
      <c r="DK105">
        <v>0</v>
      </c>
      <c r="DL105">
        <v>0</v>
      </c>
      <c r="DM105">
        <v>0</v>
      </c>
      <c r="DN105">
        <v>0</v>
      </c>
      <c r="DO105">
        <v>0</v>
      </c>
      <c r="DP105">
        <v>0</v>
      </c>
      <c r="DQ105">
        <v>0</v>
      </c>
      <c r="DR105">
        <v>0</v>
      </c>
      <c r="DS105">
        <v>0</v>
      </c>
      <c r="DT105">
        <v>0</v>
      </c>
      <c r="DU105">
        <v>0</v>
      </c>
      <c r="DV105">
        <v>0</v>
      </c>
      <c r="DW105">
        <v>0</v>
      </c>
      <c r="DX105">
        <v>0</v>
      </c>
      <c r="DY105">
        <v>0</v>
      </c>
      <c r="DZ105">
        <v>0</v>
      </c>
      <c r="EA105">
        <v>0</v>
      </c>
      <c r="EB105">
        <v>0</v>
      </c>
      <c r="EC105">
        <v>0</v>
      </c>
      <c r="ED105">
        <v>0</v>
      </c>
      <c r="EE105">
        <v>0</v>
      </c>
      <c r="EF105">
        <v>0</v>
      </c>
      <c r="EG105">
        <v>0</v>
      </c>
      <c r="EH105">
        <v>0</v>
      </c>
      <c r="EI105">
        <v>0</v>
      </c>
      <c r="EJ105">
        <v>0</v>
      </c>
      <c r="EK105">
        <v>0</v>
      </c>
      <c r="EL105">
        <v>0</v>
      </c>
      <c r="EM105">
        <v>0</v>
      </c>
      <c r="EN105">
        <v>0</v>
      </c>
      <c r="EO105">
        <v>0</v>
      </c>
      <c r="EP105">
        <v>0</v>
      </c>
      <c r="EQ105">
        <v>0</v>
      </c>
      <c r="ER105">
        <v>0</v>
      </c>
      <c r="ES105">
        <v>0</v>
      </c>
      <c r="ET105">
        <v>0</v>
      </c>
      <c r="EU105">
        <v>0</v>
      </c>
      <c r="EV105">
        <v>0</v>
      </c>
      <c r="EW105">
        <v>0</v>
      </c>
      <c r="EX105">
        <v>0</v>
      </c>
      <c r="EY105">
        <v>0</v>
      </c>
      <c r="EZ105">
        <v>0</v>
      </c>
      <c r="FA105">
        <v>0</v>
      </c>
      <c r="FB105">
        <v>0</v>
      </c>
      <c r="FC105">
        <v>0</v>
      </c>
      <c r="FD105">
        <v>0</v>
      </c>
      <c r="FE105">
        <v>0</v>
      </c>
      <c r="FF105">
        <v>0</v>
      </c>
      <c r="FG105">
        <v>0</v>
      </c>
      <c r="FH105">
        <v>0</v>
      </c>
      <c r="FI105">
        <v>0</v>
      </c>
      <c r="FJ105">
        <v>0</v>
      </c>
      <c r="FK105">
        <v>0</v>
      </c>
      <c r="FL105">
        <v>0</v>
      </c>
      <c r="FM105">
        <v>0</v>
      </c>
      <c r="FN105">
        <v>0</v>
      </c>
      <c r="FO105">
        <v>0</v>
      </c>
      <c r="FP105">
        <v>0</v>
      </c>
      <c r="FQ105">
        <v>0</v>
      </c>
      <c r="FR105">
        <v>0</v>
      </c>
      <c r="FS105">
        <v>0</v>
      </c>
      <c r="FT105">
        <v>0</v>
      </c>
      <c r="FU105">
        <v>0</v>
      </c>
      <c r="FV105">
        <v>0</v>
      </c>
      <c r="FW105">
        <v>0</v>
      </c>
      <c r="FX105">
        <v>0</v>
      </c>
      <c r="FY105">
        <v>0</v>
      </c>
      <c r="FZ105">
        <v>0</v>
      </c>
      <c r="GA105">
        <v>0</v>
      </c>
      <c r="GB105">
        <v>0</v>
      </c>
      <c r="GC105">
        <v>0</v>
      </c>
      <c r="GD105">
        <v>0</v>
      </c>
      <c r="GE105">
        <v>0</v>
      </c>
      <c r="GF105">
        <v>0</v>
      </c>
      <c r="GG105">
        <v>0</v>
      </c>
      <c r="GH105">
        <v>0</v>
      </c>
      <c r="GI105">
        <v>0</v>
      </c>
      <c r="GJ105">
        <v>0</v>
      </c>
      <c r="GK105">
        <v>0</v>
      </c>
      <c r="GL105">
        <v>0</v>
      </c>
      <c r="GM105">
        <v>0</v>
      </c>
      <c r="GN105">
        <v>0</v>
      </c>
      <c r="GO105">
        <v>0</v>
      </c>
      <c r="GP105">
        <v>0</v>
      </c>
      <c r="GQ105">
        <v>0</v>
      </c>
      <c r="GR105">
        <v>0</v>
      </c>
      <c r="GS105">
        <v>0</v>
      </c>
      <c r="GT105">
        <v>0</v>
      </c>
      <c r="GU105">
        <v>0</v>
      </c>
      <c r="GV105">
        <v>0</v>
      </c>
      <c r="GW105">
        <v>0</v>
      </c>
      <c r="GX105">
        <v>0</v>
      </c>
      <c r="GY105">
        <v>0</v>
      </c>
      <c r="GZ105">
        <v>0</v>
      </c>
      <c r="HA105">
        <v>0</v>
      </c>
      <c r="HB105">
        <v>0</v>
      </c>
      <c r="HC105">
        <v>0</v>
      </c>
      <c r="HD105">
        <v>0</v>
      </c>
      <c r="HE105">
        <v>0</v>
      </c>
      <c r="HF105">
        <v>0</v>
      </c>
      <c r="HG105">
        <v>0</v>
      </c>
      <c r="HH105">
        <v>0</v>
      </c>
      <c r="HI105">
        <v>0</v>
      </c>
      <c r="HJ105">
        <v>0</v>
      </c>
      <c r="HK105">
        <v>0</v>
      </c>
      <c r="HL105">
        <v>0</v>
      </c>
      <c r="HM105">
        <v>0</v>
      </c>
      <c r="HN105">
        <v>0</v>
      </c>
      <c r="HO105">
        <v>0</v>
      </c>
      <c r="HP105">
        <v>0</v>
      </c>
      <c r="HQ105">
        <v>0</v>
      </c>
      <c r="HR105">
        <v>0</v>
      </c>
      <c r="HS105">
        <v>0</v>
      </c>
      <c r="HT105">
        <v>0</v>
      </c>
      <c r="HU105">
        <v>0</v>
      </c>
      <c r="HV105">
        <v>0</v>
      </c>
      <c r="HW105">
        <v>0</v>
      </c>
      <c r="HX105">
        <v>0</v>
      </c>
      <c r="HY105">
        <v>0</v>
      </c>
      <c r="HZ105">
        <v>0</v>
      </c>
      <c r="IA105">
        <v>0</v>
      </c>
      <c r="IB105">
        <v>0</v>
      </c>
      <c r="IC105">
        <v>0</v>
      </c>
      <c r="ID105">
        <v>0</v>
      </c>
      <c r="IE105">
        <v>0</v>
      </c>
      <c r="IF105">
        <v>0</v>
      </c>
      <c r="IG105">
        <v>0</v>
      </c>
      <c r="IH105">
        <v>0</v>
      </c>
      <c r="II105">
        <v>0</v>
      </c>
      <c r="IJ105">
        <v>0</v>
      </c>
      <c r="IK105">
        <v>0</v>
      </c>
      <c r="IL105">
        <v>0</v>
      </c>
      <c r="IM105">
        <v>0</v>
      </c>
      <c r="IN105">
        <v>0</v>
      </c>
      <c r="IO105">
        <v>0</v>
      </c>
      <c r="IP105">
        <v>0</v>
      </c>
      <c r="IQ105">
        <v>0</v>
      </c>
      <c r="IR105">
        <v>0</v>
      </c>
      <c r="IS105">
        <v>0</v>
      </c>
      <c r="IT105">
        <v>0</v>
      </c>
      <c r="IU105">
        <v>0</v>
      </c>
      <c r="IV105">
        <v>0</v>
      </c>
      <c r="IW105">
        <v>0</v>
      </c>
      <c r="IX105">
        <v>0</v>
      </c>
      <c r="IY105">
        <v>0</v>
      </c>
      <c r="IZ105">
        <v>0</v>
      </c>
      <c r="JA105">
        <v>0</v>
      </c>
      <c r="JB105">
        <v>0</v>
      </c>
      <c r="JC105">
        <v>0</v>
      </c>
      <c r="JD105">
        <v>0</v>
      </c>
      <c r="JE105">
        <v>0</v>
      </c>
      <c r="JF105">
        <v>0</v>
      </c>
      <c r="JG105">
        <v>0</v>
      </c>
      <c r="JH105">
        <v>0</v>
      </c>
      <c r="JI105">
        <v>0</v>
      </c>
      <c r="JJ105">
        <v>0</v>
      </c>
      <c r="JK105">
        <v>0</v>
      </c>
      <c r="JL105">
        <v>0</v>
      </c>
      <c r="JM105">
        <v>0</v>
      </c>
      <c r="JN105">
        <v>0</v>
      </c>
      <c r="JO105">
        <v>0</v>
      </c>
      <c r="JP105">
        <v>0</v>
      </c>
      <c r="JQ105">
        <v>0</v>
      </c>
      <c r="JR105">
        <v>0</v>
      </c>
      <c r="JS105">
        <v>0</v>
      </c>
      <c r="JT105">
        <v>0</v>
      </c>
      <c r="JU105">
        <v>0</v>
      </c>
      <c r="JV105">
        <v>0</v>
      </c>
      <c r="JW105">
        <v>0</v>
      </c>
      <c r="JX105">
        <v>0</v>
      </c>
      <c r="JY105">
        <v>0</v>
      </c>
      <c r="JZ105">
        <v>0</v>
      </c>
      <c r="KA105">
        <v>0</v>
      </c>
      <c r="KB105">
        <v>0</v>
      </c>
      <c r="KC105">
        <v>0</v>
      </c>
      <c r="KD105">
        <v>0</v>
      </c>
      <c r="KE105">
        <v>0</v>
      </c>
      <c r="KF105">
        <v>0</v>
      </c>
      <c r="KG105">
        <v>0</v>
      </c>
      <c r="KH105">
        <v>0</v>
      </c>
      <c r="KI105">
        <v>0</v>
      </c>
      <c r="KJ105">
        <v>0</v>
      </c>
      <c r="KK105">
        <v>0</v>
      </c>
      <c r="KL105">
        <v>0</v>
      </c>
      <c r="KM105">
        <v>0</v>
      </c>
      <c r="KN105">
        <v>0</v>
      </c>
      <c r="KO105">
        <v>0</v>
      </c>
      <c r="KP105">
        <v>0</v>
      </c>
      <c r="KQ105">
        <v>0</v>
      </c>
      <c r="KR105">
        <v>0</v>
      </c>
      <c r="KS105">
        <v>0</v>
      </c>
      <c r="KT105">
        <v>0</v>
      </c>
      <c r="KU105">
        <v>0</v>
      </c>
      <c r="KV105">
        <v>0</v>
      </c>
      <c r="KW105">
        <v>0</v>
      </c>
      <c r="KX105">
        <v>0</v>
      </c>
      <c r="KY105">
        <v>0</v>
      </c>
      <c r="KZ105">
        <v>0</v>
      </c>
      <c r="LA105">
        <v>0</v>
      </c>
      <c r="LB105">
        <v>0</v>
      </c>
      <c r="LC105">
        <v>0</v>
      </c>
      <c r="LD105">
        <v>0</v>
      </c>
      <c r="LE105">
        <v>0</v>
      </c>
      <c r="LF105">
        <v>0</v>
      </c>
      <c r="LG105">
        <v>0</v>
      </c>
      <c r="LH105">
        <v>0</v>
      </c>
      <c r="LI105">
        <v>0</v>
      </c>
      <c r="LJ105">
        <v>0</v>
      </c>
      <c r="LK105">
        <v>0</v>
      </c>
      <c r="LL105">
        <v>0</v>
      </c>
      <c r="LM105">
        <v>0</v>
      </c>
      <c r="LN105">
        <v>0</v>
      </c>
      <c r="LO105">
        <v>0</v>
      </c>
      <c r="LP105">
        <v>0</v>
      </c>
      <c r="LQ105">
        <v>0</v>
      </c>
      <c r="LR105">
        <v>0</v>
      </c>
      <c r="LS105">
        <v>0</v>
      </c>
      <c r="LT105">
        <v>0</v>
      </c>
      <c r="LU105">
        <v>0</v>
      </c>
      <c r="LV105">
        <v>0</v>
      </c>
      <c r="LW105">
        <v>0</v>
      </c>
      <c r="LX105">
        <v>0</v>
      </c>
      <c r="LY105">
        <v>0</v>
      </c>
      <c r="LZ105">
        <v>0</v>
      </c>
      <c r="MA105">
        <v>0</v>
      </c>
      <c r="MB105">
        <v>0</v>
      </c>
      <c r="MC105">
        <v>0</v>
      </c>
      <c r="MD105">
        <v>0</v>
      </c>
      <c r="ME105">
        <v>0</v>
      </c>
      <c r="MF105">
        <v>0</v>
      </c>
      <c r="MG105">
        <v>0</v>
      </c>
      <c r="MH105">
        <v>0</v>
      </c>
      <c r="MI105">
        <v>0</v>
      </c>
      <c r="MJ105">
        <v>0</v>
      </c>
      <c r="MK105">
        <v>0</v>
      </c>
      <c r="ML105">
        <v>0</v>
      </c>
      <c r="MM105">
        <v>0</v>
      </c>
      <c r="MN105">
        <v>0</v>
      </c>
      <c r="MO105">
        <v>0</v>
      </c>
      <c r="MP105">
        <v>0</v>
      </c>
      <c r="MQ105">
        <v>0</v>
      </c>
      <c r="MR105">
        <v>0</v>
      </c>
      <c r="MS105">
        <v>0</v>
      </c>
      <c r="MT105">
        <v>0</v>
      </c>
      <c r="MU105">
        <v>0</v>
      </c>
      <c r="MV105">
        <v>0</v>
      </c>
      <c r="MW105">
        <v>0</v>
      </c>
      <c r="MX105">
        <v>0</v>
      </c>
      <c r="MY105">
        <v>0</v>
      </c>
      <c r="MZ105">
        <v>0</v>
      </c>
      <c r="NA105">
        <v>0</v>
      </c>
      <c r="NB105">
        <v>0</v>
      </c>
      <c r="NC105">
        <v>0</v>
      </c>
      <c r="ND105">
        <v>0</v>
      </c>
      <c r="NE105">
        <v>0</v>
      </c>
    </row>
    <row r="106" spans="41:369" x14ac:dyDescent="0.45">
      <c r="AO106" t="str">
        <v>B127</v>
      </c>
      <c r="AP106" t="str">
        <v>THANSEEHU RAHMAN</v>
      </c>
      <c r="AQ106" t="str">
        <v>DAHF</v>
      </c>
      <c r="AR106" t="str">
        <v>JUNIOR</v>
      </c>
      <c r="AS106">
        <v>3</v>
      </c>
      <c r="AT106">
        <v>1</v>
      </c>
      <c r="AU106">
        <v>0</v>
      </c>
      <c r="AV106">
        <v>1</v>
      </c>
      <c r="AW106">
        <v>1</v>
      </c>
      <c r="AX106">
        <v>231</v>
      </c>
      <c r="AY106" s="5">
        <v>231</v>
      </c>
      <c r="AZ106" t="str">
        <v>SN15</v>
      </c>
      <c r="BA106" t="str">
        <v>MATH TALENT</v>
      </c>
      <c r="BB106" t="str">
        <v>SENIOR</v>
      </c>
      <c r="BC106" t="str">
        <v>Single</v>
      </c>
      <c r="BD106" t="str">
        <v>Non-Stg</v>
      </c>
      <c r="BE106">
        <v>3</v>
      </c>
      <c r="BF106" t="str">
        <v>Master</v>
      </c>
      <c r="BG106" t="str">
        <v>Master</v>
      </c>
      <c r="BH106" t="str">
        <v>P</v>
      </c>
      <c r="BI106" t="str">
        <v>PUBLISHED</v>
      </c>
      <c r="BK106">
        <v>100</v>
      </c>
      <c r="BL106" t="str">
        <v>SN11</v>
      </c>
      <c r="BM106" t="str">
        <v>FEATURE MLM</v>
      </c>
      <c r="BN106">
        <v>3</v>
      </c>
      <c r="BO106" t="str">
        <v>Single</v>
      </c>
      <c r="BP106" t="str">
        <v>Non-Stg</v>
      </c>
      <c r="BQ106" t="str">
        <v>SENIOR</v>
      </c>
      <c r="BR106" t="str">
        <v>C101</v>
      </c>
      <c r="BS106" t="str">
        <v>C137</v>
      </c>
      <c r="BT106" t="str">
        <v>C173</v>
      </c>
      <c r="BU106">
        <v>0</v>
      </c>
      <c r="BV106">
        <v>0</v>
      </c>
      <c r="BW106">
        <v>0</v>
      </c>
      <c r="BX106">
        <v>0</v>
      </c>
      <c r="BY106" t="str">
        <v>C128</v>
      </c>
      <c r="BZ106" t="str">
        <v>C154</v>
      </c>
      <c r="CA106" t="str">
        <v>C161</v>
      </c>
      <c r="CB106">
        <v>0</v>
      </c>
      <c r="CC106">
        <v>0</v>
      </c>
      <c r="CD106">
        <v>0</v>
      </c>
      <c r="CE106">
        <v>0</v>
      </c>
      <c r="CF106" t="str">
        <v>C103</v>
      </c>
      <c r="CG106" t="str">
        <v>C157</v>
      </c>
      <c r="CH106" t="str">
        <v>C171</v>
      </c>
      <c r="CI106">
        <v>0</v>
      </c>
      <c r="CJ106">
        <v>0</v>
      </c>
      <c r="CK106">
        <v>0</v>
      </c>
      <c r="CL106">
        <v>0</v>
      </c>
      <c r="CM106" t="str">
        <v>C116</v>
      </c>
      <c r="CN106" t="str">
        <v>C119</v>
      </c>
      <c r="CO106" t="str">
        <v>C163</v>
      </c>
      <c r="CP106">
        <v>0</v>
      </c>
      <c r="CQ106">
        <v>0</v>
      </c>
      <c r="CR106">
        <v>0</v>
      </c>
      <c r="CS106">
        <v>0</v>
      </c>
      <c r="CT106">
        <v>0</v>
      </c>
      <c r="CU106">
        <v>0</v>
      </c>
      <c r="CV106">
        <v>0</v>
      </c>
      <c r="CW106">
        <v>0</v>
      </c>
      <c r="CX106">
        <v>0</v>
      </c>
      <c r="CY106">
        <v>0</v>
      </c>
      <c r="CZ106">
        <v>0</v>
      </c>
      <c r="DA106">
        <v>0</v>
      </c>
      <c r="DB106">
        <v>0</v>
      </c>
      <c r="DC106">
        <v>0</v>
      </c>
      <c r="DD106">
        <v>0</v>
      </c>
      <c r="DE106">
        <v>0</v>
      </c>
      <c r="DF106">
        <v>0</v>
      </c>
      <c r="DG106">
        <v>0</v>
      </c>
      <c r="DH106">
        <v>0</v>
      </c>
      <c r="DI106">
        <v>0</v>
      </c>
      <c r="DJ106">
        <v>0</v>
      </c>
      <c r="DK106">
        <v>0</v>
      </c>
      <c r="DL106">
        <v>0</v>
      </c>
      <c r="DM106">
        <v>0</v>
      </c>
      <c r="DN106">
        <v>0</v>
      </c>
      <c r="DO106">
        <v>0</v>
      </c>
      <c r="DP106">
        <v>0</v>
      </c>
      <c r="DQ106">
        <v>0</v>
      </c>
      <c r="DR106">
        <v>0</v>
      </c>
      <c r="DS106">
        <v>0</v>
      </c>
      <c r="DT106">
        <v>0</v>
      </c>
      <c r="DU106">
        <v>0</v>
      </c>
      <c r="DV106">
        <v>0</v>
      </c>
      <c r="DW106">
        <v>0</v>
      </c>
      <c r="DX106">
        <v>0</v>
      </c>
      <c r="DY106">
        <v>0</v>
      </c>
      <c r="DZ106">
        <v>0</v>
      </c>
      <c r="EA106">
        <v>0</v>
      </c>
      <c r="EB106">
        <v>0</v>
      </c>
      <c r="EC106">
        <v>0</v>
      </c>
      <c r="ED106">
        <v>0</v>
      </c>
      <c r="EE106">
        <v>0</v>
      </c>
      <c r="EF106">
        <v>0</v>
      </c>
      <c r="EG106">
        <v>0</v>
      </c>
      <c r="EH106">
        <v>0</v>
      </c>
      <c r="EI106">
        <v>0</v>
      </c>
      <c r="EJ106">
        <v>0</v>
      </c>
      <c r="EK106">
        <v>0</v>
      </c>
      <c r="EL106">
        <v>0</v>
      </c>
      <c r="EM106">
        <v>0</v>
      </c>
      <c r="EN106">
        <v>0</v>
      </c>
      <c r="EO106">
        <v>0</v>
      </c>
      <c r="EP106">
        <v>0</v>
      </c>
      <c r="EQ106">
        <v>0</v>
      </c>
      <c r="ER106">
        <v>0</v>
      </c>
      <c r="ES106">
        <v>0</v>
      </c>
      <c r="ET106">
        <v>0</v>
      </c>
      <c r="EU106">
        <v>0</v>
      </c>
      <c r="EV106">
        <v>0</v>
      </c>
      <c r="EW106">
        <v>0</v>
      </c>
      <c r="EX106">
        <v>0</v>
      </c>
      <c r="EY106">
        <v>0</v>
      </c>
      <c r="EZ106">
        <v>0</v>
      </c>
      <c r="FA106">
        <v>0</v>
      </c>
      <c r="FB106">
        <v>0</v>
      </c>
      <c r="FC106">
        <v>0</v>
      </c>
      <c r="FD106">
        <v>0</v>
      </c>
      <c r="FE106">
        <v>0</v>
      </c>
      <c r="FF106">
        <v>0</v>
      </c>
      <c r="FG106">
        <v>0</v>
      </c>
      <c r="FH106">
        <v>0</v>
      </c>
      <c r="FI106">
        <v>0</v>
      </c>
      <c r="FJ106">
        <v>0</v>
      </c>
      <c r="FK106">
        <v>0</v>
      </c>
      <c r="FL106">
        <v>0</v>
      </c>
      <c r="FM106">
        <v>0</v>
      </c>
      <c r="FN106">
        <v>0</v>
      </c>
      <c r="FO106">
        <v>0</v>
      </c>
      <c r="FP106">
        <v>0</v>
      </c>
      <c r="FQ106">
        <v>0</v>
      </c>
      <c r="FR106">
        <v>0</v>
      </c>
      <c r="FS106">
        <v>0</v>
      </c>
      <c r="FT106">
        <v>0</v>
      </c>
      <c r="FU106">
        <v>0</v>
      </c>
      <c r="FV106">
        <v>0</v>
      </c>
      <c r="FW106">
        <v>0</v>
      </c>
      <c r="FX106">
        <v>0</v>
      </c>
      <c r="FY106">
        <v>0</v>
      </c>
      <c r="FZ106">
        <v>0</v>
      </c>
      <c r="GA106">
        <v>0</v>
      </c>
      <c r="GB106">
        <v>0</v>
      </c>
      <c r="GC106">
        <v>0</v>
      </c>
      <c r="GD106">
        <v>0</v>
      </c>
      <c r="GE106">
        <v>0</v>
      </c>
      <c r="GF106">
        <v>0</v>
      </c>
      <c r="GG106">
        <v>0</v>
      </c>
      <c r="GH106">
        <v>0</v>
      </c>
      <c r="GI106">
        <v>0</v>
      </c>
      <c r="GJ106">
        <v>0</v>
      </c>
      <c r="GK106">
        <v>0</v>
      </c>
      <c r="GL106">
        <v>0</v>
      </c>
      <c r="GM106">
        <v>0</v>
      </c>
      <c r="GN106">
        <v>0</v>
      </c>
      <c r="GO106">
        <v>0</v>
      </c>
      <c r="GP106">
        <v>0</v>
      </c>
      <c r="GQ106">
        <v>0</v>
      </c>
      <c r="GR106">
        <v>0</v>
      </c>
      <c r="GS106">
        <v>0</v>
      </c>
      <c r="GT106">
        <v>0</v>
      </c>
      <c r="GU106">
        <v>0</v>
      </c>
      <c r="GV106">
        <v>0</v>
      </c>
      <c r="GW106">
        <v>0</v>
      </c>
      <c r="GX106">
        <v>0</v>
      </c>
      <c r="GY106">
        <v>0</v>
      </c>
      <c r="GZ106">
        <v>0</v>
      </c>
      <c r="HA106">
        <v>0</v>
      </c>
      <c r="HB106">
        <v>0</v>
      </c>
      <c r="HC106">
        <v>0</v>
      </c>
      <c r="HD106">
        <v>0</v>
      </c>
      <c r="HE106">
        <v>0</v>
      </c>
      <c r="HF106">
        <v>0</v>
      </c>
      <c r="HG106">
        <v>0</v>
      </c>
      <c r="HH106">
        <v>0</v>
      </c>
      <c r="HI106">
        <v>0</v>
      </c>
      <c r="HJ106">
        <v>0</v>
      </c>
      <c r="HK106">
        <v>0</v>
      </c>
      <c r="HL106">
        <v>0</v>
      </c>
      <c r="HM106">
        <v>0</v>
      </c>
      <c r="HN106">
        <v>0</v>
      </c>
      <c r="HO106">
        <v>0</v>
      </c>
      <c r="HP106">
        <v>0</v>
      </c>
      <c r="HQ106">
        <v>0</v>
      </c>
      <c r="HR106">
        <v>0</v>
      </c>
      <c r="HS106">
        <v>0</v>
      </c>
      <c r="HT106">
        <v>0</v>
      </c>
      <c r="HU106">
        <v>0</v>
      </c>
      <c r="HV106">
        <v>0</v>
      </c>
      <c r="HW106">
        <v>0</v>
      </c>
      <c r="HX106">
        <v>0</v>
      </c>
      <c r="HY106">
        <v>0</v>
      </c>
      <c r="HZ106">
        <v>0</v>
      </c>
      <c r="IA106">
        <v>0</v>
      </c>
      <c r="IB106">
        <v>0</v>
      </c>
      <c r="IC106">
        <v>0</v>
      </c>
      <c r="ID106">
        <v>0</v>
      </c>
      <c r="IE106">
        <v>0</v>
      </c>
      <c r="IF106">
        <v>0</v>
      </c>
      <c r="IG106">
        <v>0</v>
      </c>
      <c r="IH106">
        <v>0</v>
      </c>
      <c r="II106">
        <v>0</v>
      </c>
      <c r="IJ106">
        <v>0</v>
      </c>
      <c r="IK106">
        <v>0</v>
      </c>
      <c r="IL106">
        <v>0</v>
      </c>
      <c r="IM106">
        <v>0</v>
      </c>
      <c r="IN106">
        <v>0</v>
      </c>
      <c r="IO106">
        <v>0</v>
      </c>
      <c r="IP106">
        <v>0</v>
      </c>
      <c r="IQ106">
        <v>0</v>
      </c>
      <c r="IR106">
        <v>0</v>
      </c>
      <c r="IS106">
        <v>0</v>
      </c>
      <c r="IT106">
        <v>0</v>
      </c>
      <c r="IU106">
        <v>0</v>
      </c>
      <c r="IV106">
        <v>0</v>
      </c>
      <c r="IW106">
        <v>0</v>
      </c>
      <c r="IX106">
        <v>0</v>
      </c>
      <c r="IY106">
        <v>0</v>
      </c>
      <c r="IZ106">
        <v>0</v>
      </c>
      <c r="JA106">
        <v>0</v>
      </c>
      <c r="JB106">
        <v>0</v>
      </c>
      <c r="JC106">
        <v>0</v>
      </c>
      <c r="JD106">
        <v>0</v>
      </c>
      <c r="JE106">
        <v>0</v>
      </c>
      <c r="JF106">
        <v>0</v>
      </c>
      <c r="JG106">
        <v>0</v>
      </c>
      <c r="JH106">
        <v>0</v>
      </c>
      <c r="JI106">
        <v>0</v>
      </c>
      <c r="JJ106">
        <v>0</v>
      </c>
      <c r="JK106">
        <v>0</v>
      </c>
      <c r="JL106">
        <v>0</v>
      </c>
      <c r="JM106">
        <v>0</v>
      </c>
      <c r="JN106">
        <v>0</v>
      </c>
      <c r="JO106">
        <v>0</v>
      </c>
      <c r="JP106">
        <v>0</v>
      </c>
      <c r="JQ106">
        <v>0</v>
      </c>
      <c r="JR106">
        <v>0</v>
      </c>
      <c r="JS106">
        <v>0</v>
      </c>
      <c r="JT106">
        <v>0</v>
      </c>
      <c r="JU106">
        <v>0</v>
      </c>
      <c r="JV106">
        <v>0</v>
      </c>
      <c r="JW106">
        <v>0</v>
      </c>
      <c r="JX106">
        <v>0</v>
      </c>
      <c r="JY106">
        <v>0</v>
      </c>
      <c r="JZ106">
        <v>0</v>
      </c>
      <c r="KA106">
        <v>0</v>
      </c>
      <c r="KB106">
        <v>0</v>
      </c>
      <c r="KC106">
        <v>0</v>
      </c>
      <c r="KD106">
        <v>0</v>
      </c>
      <c r="KE106">
        <v>0</v>
      </c>
      <c r="KF106">
        <v>0</v>
      </c>
      <c r="KG106">
        <v>0</v>
      </c>
      <c r="KH106">
        <v>0</v>
      </c>
      <c r="KI106">
        <v>0</v>
      </c>
      <c r="KJ106">
        <v>0</v>
      </c>
      <c r="KK106">
        <v>0</v>
      </c>
      <c r="KL106">
        <v>0</v>
      </c>
      <c r="KM106">
        <v>0</v>
      </c>
      <c r="KN106">
        <v>0</v>
      </c>
      <c r="KO106">
        <v>0</v>
      </c>
      <c r="KP106">
        <v>0</v>
      </c>
      <c r="KQ106">
        <v>0</v>
      </c>
      <c r="KR106">
        <v>0</v>
      </c>
      <c r="KS106">
        <v>0</v>
      </c>
      <c r="KT106">
        <v>0</v>
      </c>
      <c r="KU106">
        <v>0</v>
      </c>
      <c r="KV106">
        <v>0</v>
      </c>
      <c r="KW106">
        <v>0</v>
      </c>
      <c r="KX106">
        <v>0</v>
      </c>
      <c r="KY106">
        <v>0</v>
      </c>
      <c r="KZ106">
        <v>0</v>
      </c>
      <c r="LA106">
        <v>0</v>
      </c>
      <c r="LB106">
        <v>0</v>
      </c>
      <c r="LC106">
        <v>0</v>
      </c>
      <c r="LD106">
        <v>0</v>
      </c>
      <c r="LE106">
        <v>0</v>
      </c>
      <c r="LF106">
        <v>0</v>
      </c>
      <c r="LG106">
        <v>0</v>
      </c>
      <c r="LH106">
        <v>0</v>
      </c>
      <c r="LI106">
        <v>0</v>
      </c>
      <c r="LJ106">
        <v>0</v>
      </c>
      <c r="LK106">
        <v>0</v>
      </c>
      <c r="LL106">
        <v>0</v>
      </c>
      <c r="LM106">
        <v>0</v>
      </c>
      <c r="LN106">
        <v>0</v>
      </c>
      <c r="LO106">
        <v>0</v>
      </c>
      <c r="LP106">
        <v>0</v>
      </c>
      <c r="LQ106">
        <v>0</v>
      </c>
      <c r="LR106">
        <v>0</v>
      </c>
      <c r="LS106">
        <v>0</v>
      </c>
      <c r="LT106">
        <v>0</v>
      </c>
      <c r="LU106">
        <v>0</v>
      </c>
      <c r="LV106">
        <v>0</v>
      </c>
      <c r="LW106">
        <v>0</v>
      </c>
      <c r="LX106">
        <v>0</v>
      </c>
      <c r="LY106">
        <v>0</v>
      </c>
      <c r="LZ106">
        <v>0</v>
      </c>
      <c r="MA106">
        <v>0</v>
      </c>
      <c r="MB106">
        <v>0</v>
      </c>
      <c r="MC106">
        <v>0</v>
      </c>
      <c r="MD106">
        <v>0</v>
      </c>
      <c r="ME106">
        <v>0</v>
      </c>
      <c r="MF106">
        <v>0</v>
      </c>
      <c r="MG106">
        <v>0</v>
      </c>
      <c r="MH106">
        <v>0</v>
      </c>
      <c r="MI106">
        <v>0</v>
      </c>
      <c r="MJ106">
        <v>0</v>
      </c>
      <c r="MK106">
        <v>0</v>
      </c>
      <c r="ML106">
        <v>0</v>
      </c>
      <c r="MM106">
        <v>0</v>
      </c>
      <c r="MN106">
        <v>0</v>
      </c>
      <c r="MO106">
        <v>0</v>
      </c>
      <c r="MP106">
        <v>0</v>
      </c>
      <c r="MQ106">
        <v>0</v>
      </c>
      <c r="MR106">
        <v>0</v>
      </c>
      <c r="MS106">
        <v>0</v>
      </c>
      <c r="MT106">
        <v>0</v>
      </c>
      <c r="MU106">
        <v>0</v>
      </c>
      <c r="MV106">
        <v>0</v>
      </c>
      <c r="MW106">
        <v>0</v>
      </c>
      <c r="MX106">
        <v>0</v>
      </c>
      <c r="MY106">
        <v>0</v>
      </c>
      <c r="MZ106">
        <v>0</v>
      </c>
      <c r="NA106">
        <v>0</v>
      </c>
      <c r="NB106">
        <v>0</v>
      </c>
      <c r="NC106">
        <v>0</v>
      </c>
      <c r="ND106">
        <v>0</v>
      </c>
      <c r="NE106">
        <v>0</v>
      </c>
    </row>
    <row r="107" spans="41:369" x14ac:dyDescent="0.45">
      <c r="AO107" t="str">
        <v>B128</v>
      </c>
      <c r="AP107" t="str">
        <v>MOHAMMED AFNAN</v>
      </c>
      <c r="AQ107" t="str">
        <v>BADF</v>
      </c>
      <c r="AR107" t="str">
        <v>JUNIOR</v>
      </c>
      <c r="AS107">
        <v>3</v>
      </c>
      <c r="AT107">
        <v>11</v>
      </c>
      <c r="AU107">
        <v>0</v>
      </c>
      <c r="AV107">
        <v>11</v>
      </c>
      <c r="AW107">
        <v>11</v>
      </c>
      <c r="AX107">
        <v>123</v>
      </c>
      <c r="AY107" s="5">
        <v>123</v>
      </c>
      <c r="AZ107" t="str">
        <v>SN16</v>
      </c>
      <c r="BA107" t="str">
        <v>NEWS WRITING ENG</v>
      </c>
      <c r="BB107" t="str">
        <v>SENIOR</v>
      </c>
      <c r="BC107" t="str">
        <v>Single</v>
      </c>
      <c r="BD107" t="str">
        <v>Non-Stg</v>
      </c>
      <c r="BE107">
        <v>3</v>
      </c>
      <c r="BF107" t="str">
        <v>Individual</v>
      </c>
      <c r="BG107" t="str">
        <v>Individual</v>
      </c>
      <c r="BH107" t="str">
        <v>P</v>
      </c>
      <c r="BI107" t="str">
        <v>PUBLISHED</v>
      </c>
      <c r="BK107">
        <v>101</v>
      </c>
      <c r="BL107" t="str">
        <v>SN12</v>
      </c>
      <c r="BM107" t="str">
        <v>GK TALENT</v>
      </c>
      <c r="BN107">
        <v>3</v>
      </c>
      <c r="BO107" t="str">
        <v>Single</v>
      </c>
      <c r="BP107" t="str">
        <v>Non-Stg</v>
      </c>
      <c r="BQ107" t="str">
        <v>SENIOR</v>
      </c>
      <c r="BR107" t="str">
        <v>C115</v>
      </c>
      <c r="BS107" t="str">
        <v>C162</v>
      </c>
      <c r="BT107" t="str">
        <v>C168</v>
      </c>
      <c r="BU107">
        <v>0</v>
      </c>
      <c r="BV107">
        <v>0</v>
      </c>
      <c r="BW107">
        <v>0</v>
      </c>
      <c r="BX107">
        <v>0</v>
      </c>
      <c r="BY107" t="str">
        <v>C166</v>
      </c>
      <c r="BZ107" t="str">
        <v>C133</v>
      </c>
      <c r="CA107" t="str">
        <v>C144</v>
      </c>
      <c r="CB107">
        <v>0</v>
      </c>
      <c r="CC107">
        <v>0</v>
      </c>
      <c r="CD107">
        <v>0</v>
      </c>
      <c r="CE107">
        <v>0</v>
      </c>
      <c r="CF107" t="str">
        <v>C103</v>
      </c>
      <c r="CG107" t="str">
        <v>C148</v>
      </c>
      <c r="CH107" t="str">
        <v>C160</v>
      </c>
      <c r="CI107">
        <v>0</v>
      </c>
      <c r="CJ107">
        <v>0</v>
      </c>
      <c r="CK107">
        <v>0</v>
      </c>
      <c r="CL107">
        <v>0</v>
      </c>
      <c r="CM107" t="str">
        <v>C119</v>
      </c>
      <c r="CN107" t="str">
        <v>C140</v>
      </c>
      <c r="CO107" t="str">
        <v>C163</v>
      </c>
      <c r="CP107">
        <v>0</v>
      </c>
      <c r="CQ107">
        <v>0</v>
      </c>
      <c r="CR107">
        <v>0</v>
      </c>
      <c r="CS107">
        <v>0</v>
      </c>
      <c r="CT107">
        <v>0</v>
      </c>
      <c r="CU107">
        <v>0</v>
      </c>
      <c r="CV107">
        <v>0</v>
      </c>
      <c r="CW107">
        <v>0</v>
      </c>
      <c r="CX107">
        <v>0</v>
      </c>
      <c r="CY107">
        <v>0</v>
      </c>
      <c r="CZ107">
        <v>0</v>
      </c>
      <c r="DA107">
        <v>0</v>
      </c>
      <c r="DB107">
        <v>0</v>
      </c>
      <c r="DC107">
        <v>0</v>
      </c>
      <c r="DD107">
        <v>0</v>
      </c>
      <c r="DE107">
        <v>0</v>
      </c>
      <c r="DF107">
        <v>0</v>
      </c>
      <c r="DG107">
        <v>0</v>
      </c>
      <c r="DH107">
        <v>0</v>
      </c>
      <c r="DI107">
        <v>0</v>
      </c>
      <c r="DJ107">
        <v>0</v>
      </c>
      <c r="DK107">
        <v>0</v>
      </c>
      <c r="DL107">
        <v>0</v>
      </c>
      <c r="DM107">
        <v>0</v>
      </c>
      <c r="DN107">
        <v>0</v>
      </c>
      <c r="DO107">
        <v>0</v>
      </c>
      <c r="DP107">
        <v>0</v>
      </c>
      <c r="DQ107">
        <v>0</v>
      </c>
      <c r="DR107">
        <v>0</v>
      </c>
      <c r="DS107">
        <v>0</v>
      </c>
      <c r="DT107">
        <v>0</v>
      </c>
      <c r="DU107">
        <v>0</v>
      </c>
      <c r="DV107">
        <v>0</v>
      </c>
      <c r="DW107">
        <v>0</v>
      </c>
      <c r="DX107">
        <v>0</v>
      </c>
      <c r="DY107">
        <v>0</v>
      </c>
      <c r="DZ107">
        <v>0</v>
      </c>
      <c r="EA107">
        <v>0</v>
      </c>
      <c r="EB107">
        <v>0</v>
      </c>
      <c r="EC107">
        <v>0</v>
      </c>
      <c r="ED107">
        <v>0</v>
      </c>
      <c r="EE107">
        <v>0</v>
      </c>
      <c r="EF107">
        <v>0</v>
      </c>
      <c r="EG107">
        <v>0</v>
      </c>
      <c r="EH107">
        <v>0</v>
      </c>
      <c r="EI107">
        <v>0</v>
      </c>
      <c r="EJ107">
        <v>0</v>
      </c>
      <c r="EK107">
        <v>0</v>
      </c>
      <c r="EL107">
        <v>0</v>
      </c>
      <c r="EM107">
        <v>0</v>
      </c>
      <c r="EN107">
        <v>0</v>
      </c>
      <c r="EO107">
        <v>0</v>
      </c>
      <c r="EP107">
        <v>0</v>
      </c>
      <c r="EQ107">
        <v>0</v>
      </c>
      <c r="ER107">
        <v>0</v>
      </c>
      <c r="ES107">
        <v>0</v>
      </c>
      <c r="ET107">
        <v>0</v>
      </c>
      <c r="EU107">
        <v>0</v>
      </c>
      <c r="EV107">
        <v>0</v>
      </c>
      <c r="EW107">
        <v>0</v>
      </c>
      <c r="EX107">
        <v>0</v>
      </c>
      <c r="EY107">
        <v>0</v>
      </c>
      <c r="EZ107">
        <v>0</v>
      </c>
      <c r="FA107">
        <v>0</v>
      </c>
      <c r="FB107">
        <v>0</v>
      </c>
      <c r="FC107">
        <v>0</v>
      </c>
      <c r="FD107">
        <v>0</v>
      </c>
      <c r="FE107">
        <v>0</v>
      </c>
      <c r="FF107">
        <v>0</v>
      </c>
      <c r="FG107">
        <v>0</v>
      </c>
      <c r="FH107">
        <v>0</v>
      </c>
      <c r="FI107">
        <v>0</v>
      </c>
      <c r="FJ107">
        <v>0</v>
      </c>
      <c r="FK107">
        <v>0</v>
      </c>
      <c r="FL107">
        <v>0</v>
      </c>
      <c r="FM107">
        <v>0</v>
      </c>
      <c r="FN107">
        <v>0</v>
      </c>
      <c r="FO107">
        <v>0</v>
      </c>
      <c r="FP107">
        <v>0</v>
      </c>
      <c r="FQ107">
        <v>0</v>
      </c>
      <c r="FR107">
        <v>0</v>
      </c>
      <c r="FS107">
        <v>0</v>
      </c>
      <c r="FT107">
        <v>0</v>
      </c>
      <c r="FU107">
        <v>0</v>
      </c>
      <c r="FV107">
        <v>0</v>
      </c>
      <c r="FW107">
        <v>0</v>
      </c>
      <c r="FX107">
        <v>0</v>
      </c>
      <c r="FY107">
        <v>0</v>
      </c>
      <c r="FZ107">
        <v>0</v>
      </c>
      <c r="GA107">
        <v>0</v>
      </c>
      <c r="GB107">
        <v>0</v>
      </c>
      <c r="GC107">
        <v>0</v>
      </c>
      <c r="GD107">
        <v>0</v>
      </c>
      <c r="GE107">
        <v>0</v>
      </c>
      <c r="GF107">
        <v>0</v>
      </c>
      <c r="GG107">
        <v>0</v>
      </c>
      <c r="GH107">
        <v>0</v>
      </c>
      <c r="GI107">
        <v>0</v>
      </c>
      <c r="GJ107">
        <v>0</v>
      </c>
      <c r="GK107">
        <v>0</v>
      </c>
      <c r="GL107">
        <v>0</v>
      </c>
      <c r="GM107">
        <v>0</v>
      </c>
      <c r="GN107">
        <v>0</v>
      </c>
      <c r="GO107">
        <v>0</v>
      </c>
      <c r="GP107">
        <v>0</v>
      </c>
      <c r="GQ107">
        <v>0</v>
      </c>
      <c r="GR107">
        <v>0</v>
      </c>
      <c r="GS107">
        <v>0</v>
      </c>
      <c r="GT107">
        <v>0</v>
      </c>
      <c r="GU107">
        <v>0</v>
      </c>
      <c r="GV107">
        <v>0</v>
      </c>
      <c r="GW107">
        <v>0</v>
      </c>
      <c r="GX107">
        <v>0</v>
      </c>
      <c r="GY107">
        <v>0</v>
      </c>
      <c r="GZ107">
        <v>0</v>
      </c>
      <c r="HA107">
        <v>0</v>
      </c>
      <c r="HB107">
        <v>0</v>
      </c>
      <c r="HC107">
        <v>0</v>
      </c>
      <c r="HD107">
        <v>0</v>
      </c>
      <c r="HE107">
        <v>0</v>
      </c>
      <c r="HF107">
        <v>0</v>
      </c>
      <c r="HG107">
        <v>0</v>
      </c>
      <c r="HH107">
        <v>0</v>
      </c>
      <c r="HI107">
        <v>0</v>
      </c>
      <c r="HJ107">
        <v>0</v>
      </c>
      <c r="HK107">
        <v>0</v>
      </c>
      <c r="HL107">
        <v>0</v>
      </c>
      <c r="HM107">
        <v>0</v>
      </c>
      <c r="HN107">
        <v>0</v>
      </c>
      <c r="HO107">
        <v>0</v>
      </c>
      <c r="HP107">
        <v>0</v>
      </c>
      <c r="HQ107">
        <v>0</v>
      </c>
      <c r="HR107">
        <v>0</v>
      </c>
      <c r="HS107">
        <v>0</v>
      </c>
      <c r="HT107">
        <v>0</v>
      </c>
      <c r="HU107">
        <v>0</v>
      </c>
      <c r="HV107">
        <v>0</v>
      </c>
      <c r="HW107">
        <v>0</v>
      </c>
      <c r="HX107">
        <v>0</v>
      </c>
      <c r="HY107">
        <v>0</v>
      </c>
      <c r="HZ107">
        <v>0</v>
      </c>
      <c r="IA107">
        <v>0</v>
      </c>
      <c r="IB107">
        <v>0</v>
      </c>
      <c r="IC107">
        <v>0</v>
      </c>
      <c r="ID107">
        <v>0</v>
      </c>
      <c r="IE107">
        <v>0</v>
      </c>
      <c r="IF107">
        <v>0</v>
      </c>
      <c r="IG107">
        <v>0</v>
      </c>
      <c r="IH107">
        <v>0</v>
      </c>
      <c r="II107">
        <v>0</v>
      </c>
      <c r="IJ107">
        <v>0</v>
      </c>
      <c r="IK107">
        <v>0</v>
      </c>
      <c r="IL107">
        <v>0</v>
      </c>
      <c r="IM107">
        <v>0</v>
      </c>
      <c r="IN107">
        <v>0</v>
      </c>
      <c r="IO107">
        <v>0</v>
      </c>
      <c r="IP107">
        <v>0</v>
      </c>
      <c r="IQ107">
        <v>0</v>
      </c>
      <c r="IR107">
        <v>0</v>
      </c>
      <c r="IS107">
        <v>0</v>
      </c>
      <c r="IT107">
        <v>0</v>
      </c>
      <c r="IU107">
        <v>0</v>
      </c>
      <c r="IV107">
        <v>0</v>
      </c>
      <c r="IW107">
        <v>0</v>
      </c>
      <c r="IX107">
        <v>0</v>
      </c>
      <c r="IY107">
        <v>0</v>
      </c>
      <c r="IZ107">
        <v>0</v>
      </c>
      <c r="JA107">
        <v>0</v>
      </c>
      <c r="JB107">
        <v>0</v>
      </c>
      <c r="JC107">
        <v>0</v>
      </c>
      <c r="JD107">
        <v>0</v>
      </c>
      <c r="JE107">
        <v>0</v>
      </c>
      <c r="JF107">
        <v>0</v>
      </c>
      <c r="JG107">
        <v>0</v>
      </c>
      <c r="JH107">
        <v>0</v>
      </c>
      <c r="JI107">
        <v>0</v>
      </c>
      <c r="JJ107">
        <v>0</v>
      </c>
      <c r="JK107">
        <v>0</v>
      </c>
      <c r="JL107">
        <v>0</v>
      </c>
      <c r="JM107">
        <v>0</v>
      </c>
      <c r="JN107">
        <v>0</v>
      </c>
      <c r="JO107">
        <v>0</v>
      </c>
      <c r="JP107">
        <v>0</v>
      </c>
      <c r="JQ107">
        <v>0</v>
      </c>
      <c r="JR107">
        <v>0</v>
      </c>
      <c r="JS107">
        <v>0</v>
      </c>
      <c r="JT107">
        <v>0</v>
      </c>
      <c r="JU107">
        <v>0</v>
      </c>
      <c r="JV107">
        <v>0</v>
      </c>
      <c r="JW107">
        <v>0</v>
      </c>
      <c r="JX107">
        <v>0</v>
      </c>
      <c r="JY107">
        <v>0</v>
      </c>
      <c r="JZ107">
        <v>0</v>
      </c>
      <c r="KA107">
        <v>0</v>
      </c>
      <c r="KB107">
        <v>0</v>
      </c>
      <c r="KC107">
        <v>0</v>
      </c>
      <c r="KD107">
        <v>0</v>
      </c>
      <c r="KE107">
        <v>0</v>
      </c>
      <c r="KF107">
        <v>0</v>
      </c>
      <c r="KG107">
        <v>0</v>
      </c>
      <c r="KH107">
        <v>0</v>
      </c>
      <c r="KI107">
        <v>0</v>
      </c>
      <c r="KJ107">
        <v>0</v>
      </c>
      <c r="KK107">
        <v>0</v>
      </c>
      <c r="KL107">
        <v>0</v>
      </c>
      <c r="KM107">
        <v>0</v>
      </c>
      <c r="KN107">
        <v>0</v>
      </c>
      <c r="KO107">
        <v>0</v>
      </c>
      <c r="KP107">
        <v>0</v>
      </c>
      <c r="KQ107">
        <v>0</v>
      </c>
      <c r="KR107">
        <v>0</v>
      </c>
      <c r="KS107">
        <v>0</v>
      </c>
      <c r="KT107">
        <v>0</v>
      </c>
      <c r="KU107">
        <v>0</v>
      </c>
      <c r="KV107">
        <v>0</v>
      </c>
      <c r="KW107">
        <v>0</v>
      </c>
      <c r="KX107">
        <v>0</v>
      </c>
      <c r="KY107">
        <v>0</v>
      </c>
      <c r="KZ107">
        <v>0</v>
      </c>
      <c r="LA107">
        <v>0</v>
      </c>
      <c r="LB107">
        <v>0</v>
      </c>
      <c r="LC107">
        <v>0</v>
      </c>
      <c r="LD107">
        <v>0</v>
      </c>
      <c r="LE107">
        <v>0</v>
      </c>
      <c r="LF107">
        <v>0</v>
      </c>
      <c r="LG107">
        <v>0</v>
      </c>
      <c r="LH107">
        <v>0</v>
      </c>
      <c r="LI107">
        <v>0</v>
      </c>
      <c r="LJ107">
        <v>0</v>
      </c>
      <c r="LK107">
        <v>0</v>
      </c>
      <c r="LL107">
        <v>0</v>
      </c>
      <c r="LM107">
        <v>0</v>
      </c>
      <c r="LN107">
        <v>0</v>
      </c>
      <c r="LO107">
        <v>0</v>
      </c>
      <c r="LP107">
        <v>0</v>
      </c>
      <c r="LQ107">
        <v>0</v>
      </c>
      <c r="LR107">
        <v>0</v>
      </c>
      <c r="LS107">
        <v>0</v>
      </c>
      <c r="LT107">
        <v>0</v>
      </c>
      <c r="LU107">
        <v>0</v>
      </c>
      <c r="LV107">
        <v>0</v>
      </c>
      <c r="LW107">
        <v>0</v>
      </c>
      <c r="LX107">
        <v>0</v>
      </c>
      <c r="LY107">
        <v>0</v>
      </c>
      <c r="LZ107">
        <v>0</v>
      </c>
      <c r="MA107">
        <v>0</v>
      </c>
      <c r="MB107">
        <v>0</v>
      </c>
      <c r="MC107">
        <v>0</v>
      </c>
      <c r="MD107">
        <v>0</v>
      </c>
      <c r="ME107">
        <v>0</v>
      </c>
      <c r="MF107">
        <v>0</v>
      </c>
      <c r="MG107">
        <v>0</v>
      </c>
      <c r="MH107">
        <v>0</v>
      </c>
      <c r="MI107">
        <v>0</v>
      </c>
      <c r="MJ107">
        <v>0</v>
      </c>
      <c r="MK107">
        <v>0</v>
      </c>
      <c r="ML107">
        <v>0</v>
      </c>
      <c r="MM107">
        <v>0</v>
      </c>
      <c r="MN107">
        <v>0</v>
      </c>
      <c r="MO107">
        <v>0</v>
      </c>
      <c r="MP107">
        <v>0</v>
      </c>
      <c r="MQ107">
        <v>0</v>
      </c>
      <c r="MR107">
        <v>0</v>
      </c>
      <c r="MS107">
        <v>0</v>
      </c>
      <c r="MT107">
        <v>0</v>
      </c>
      <c r="MU107">
        <v>0</v>
      </c>
      <c r="MV107">
        <v>0</v>
      </c>
      <c r="MW107">
        <v>0</v>
      </c>
      <c r="MX107">
        <v>0</v>
      </c>
      <c r="MY107">
        <v>0</v>
      </c>
      <c r="MZ107">
        <v>0</v>
      </c>
      <c r="NA107">
        <v>0</v>
      </c>
      <c r="NB107">
        <v>0</v>
      </c>
      <c r="NC107">
        <v>0</v>
      </c>
      <c r="ND107">
        <v>0</v>
      </c>
      <c r="NE107">
        <v>0</v>
      </c>
    </row>
    <row r="108" spans="41:369" x14ac:dyDescent="0.45">
      <c r="AO108" t="str">
        <v>B129</v>
      </c>
      <c r="AP108" t="str">
        <v>MOHAMMED SABITH KU</v>
      </c>
      <c r="AQ108" t="str">
        <v>FANT</v>
      </c>
      <c r="AR108" t="str">
        <v>JUNIOR</v>
      </c>
      <c r="AS108">
        <v>3</v>
      </c>
      <c r="AT108">
        <v>47</v>
      </c>
      <c r="AU108">
        <v>0</v>
      </c>
      <c r="AV108">
        <v>47</v>
      </c>
      <c r="AW108">
        <v>47</v>
      </c>
      <c r="AX108">
        <v>16</v>
      </c>
      <c r="AY108" s="5">
        <v>16</v>
      </c>
      <c r="AZ108" t="str">
        <v>SN17</v>
      </c>
      <c r="BA108" t="str">
        <v>NEWS WRITING URD</v>
      </c>
      <c r="BB108" t="str">
        <v>SENIOR</v>
      </c>
      <c r="BC108" t="str">
        <v>Single</v>
      </c>
      <c r="BD108" t="str">
        <v>Non-Stg</v>
      </c>
      <c r="BE108">
        <v>3</v>
      </c>
      <c r="BF108" t="str">
        <v>Individual</v>
      </c>
      <c r="BG108" t="str">
        <v>Individual</v>
      </c>
      <c r="BH108" t="str">
        <v>P</v>
      </c>
      <c r="BI108" t="str">
        <v>PUBLISHED</v>
      </c>
      <c r="BK108">
        <v>102</v>
      </c>
      <c r="BL108" t="str">
        <v>SN13</v>
      </c>
      <c r="BM108" t="str">
        <v>GRAMMAR QUIZ QUADRILINGUAL</v>
      </c>
      <c r="BN108">
        <v>3</v>
      </c>
      <c r="BO108" t="str">
        <v>Single</v>
      </c>
      <c r="BP108" t="str">
        <v>Non-Stg</v>
      </c>
      <c r="BQ108" t="str">
        <v>SENIOR</v>
      </c>
      <c r="BR108" t="str">
        <v>C149</v>
      </c>
      <c r="BS108" t="str">
        <v>C155</v>
      </c>
      <c r="BT108" t="str">
        <v>C168</v>
      </c>
      <c r="BU108">
        <v>0</v>
      </c>
      <c r="BV108">
        <v>0</v>
      </c>
      <c r="BW108">
        <v>0</v>
      </c>
      <c r="BX108">
        <v>0</v>
      </c>
      <c r="BY108" t="str">
        <v>C117</v>
      </c>
      <c r="BZ108" t="str">
        <v>C150</v>
      </c>
      <c r="CA108" t="str">
        <v>C166</v>
      </c>
      <c r="CB108">
        <v>0</v>
      </c>
      <c r="CC108">
        <v>0</v>
      </c>
      <c r="CD108">
        <v>0</v>
      </c>
      <c r="CE108">
        <v>0</v>
      </c>
      <c r="CF108" t="str">
        <v>C139</v>
      </c>
      <c r="CG108" t="str">
        <v>C148</v>
      </c>
      <c r="CH108" t="str">
        <v>C174</v>
      </c>
      <c r="CI108">
        <v>0</v>
      </c>
      <c r="CJ108">
        <v>0</v>
      </c>
      <c r="CK108">
        <v>0</v>
      </c>
      <c r="CL108">
        <v>0</v>
      </c>
      <c r="CM108" t="str">
        <v>C111</v>
      </c>
      <c r="CN108" t="str">
        <v>C175</v>
      </c>
      <c r="CO108" t="str">
        <v>C178</v>
      </c>
      <c r="CP108">
        <v>0</v>
      </c>
      <c r="CQ108">
        <v>0</v>
      </c>
      <c r="CR108">
        <v>0</v>
      </c>
      <c r="CS108">
        <v>0</v>
      </c>
      <c r="CT108">
        <v>0</v>
      </c>
      <c r="CU108">
        <v>0</v>
      </c>
      <c r="CV108">
        <v>0</v>
      </c>
      <c r="CW108">
        <v>0</v>
      </c>
      <c r="CX108">
        <v>0</v>
      </c>
      <c r="CY108">
        <v>0</v>
      </c>
      <c r="CZ108">
        <v>0</v>
      </c>
      <c r="DA108">
        <v>0</v>
      </c>
      <c r="DB108">
        <v>0</v>
      </c>
      <c r="DC108">
        <v>0</v>
      </c>
      <c r="DD108">
        <v>0</v>
      </c>
      <c r="DE108">
        <v>0</v>
      </c>
      <c r="DF108">
        <v>0</v>
      </c>
      <c r="DG108">
        <v>0</v>
      </c>
      <c r="DH108">
        <v>0</v>
      </c>
      <c r="DI108">
        <v>0</v>
      </c>
      <c r="DJ108">
        <v>0</v>
      </c>
      <c r="DK108">
        <v>0</v>
      </c>
      <c r="DL108">
        <v>0</v>
      </c>
      <c r="DM108">
        <v>0</v>
      </c>
      <c r="DN108">
        <v>0</v>
      </c>
      <c r="DO108">
        <v>0</v>
      </c>
      <c r="DP108">
        <v>0</v>
      </c>
      <c r="DQ108">
        <v>0</v>
      </c>
      <c r="DR108">
        <v>0</v>
      </c>
      <c r="DS108">
        <v>0</v>
      </c>
      <c r="DT108">
        <v>0</v>
      </c>
      <c r="DU108">
        <v>0</v>
      </c>
      <c r="DV108">
        <v>0</v>
      </c>
      <c r="DW108">
        <v>0</v>
      </c>
      <c r="DX108">
        <v>0</v>
      </c>
      <c r="DY108">
        <v>0</v>
      </c>
      <c r="DZ108">
        <v>0</v>
      </c>
      <c r="EA108">
        <v>0</v>
      </c>
      <c r="EB108">
        <v>0</v>
      </c>
      <c r="EC108">
        <v>0</v>
      </c>
      <c r="ED108">
        <v>0</v>
      </c>
      <c r="EE108">
        <v>0</v>
      </c>
      <c r="EF108">
        <v>0</v>
      </c>
      <c r="EG108">
        <v>0</v>
      </c>
      <c r="EH108">
        <v>0</v>
      </c>
      <c r="EI108">
        <v>0</v>
      </c>
      <c r="EJ108">
        <v>0</v>
      </c>
      <c r="EK108">
        <v>0</v>
      </c>
      <c r="EL108">
        <v>0</v>
      </c>
      <c r="EM108">
        <v>0</v>
      </c>
      <c r="EN108">
        <v>0</v>
      </c>
      <c r="EO108">
        <v>0</v>
      </c>
      <c r="EP108">
        <v>0</v>
      </c>
      <c r="EQ108">
        <v>0</v>
      </c>
      <c r="ER108">
        <v>0</v>
      </c>
      <c r="ES108">
        <v>0</v>
      </c>
      <c r="ET108">
        <v>0</v>
      </c>
      <c r="EU108">
        <v>0</v>
      </c>
      <c r="EV108">
        <v>0</v>
      </c>
      <c r="EW108">
        <v>0</v>
      </c>
      <c r="EX108">
        <v>0</v>
      </c>
      <c r="EY108">
        <v>0</v>
      </c>
      <c r="EZ108">
        <v>0</v>
      </c>
      <c r="FA108">
        <v>0</v>
      </c>
      <c r="FB108">
        <v>0</v>
      </c>
      <c r="FC108">
        <v>0</v>
      </c>
      <c r="FD108">
        <v>0</v>
      </c>
      <c r="FE108">
        <v>0</v>
      </c>
      <c r="FF108">
        <v>0</v>
      </c>
      <c r="FG108">
        <v>0</v>
      </c>
      <c r="FH108">
        <v>0</v>
      </c>
      <c r="FI108">
        <v>0</v>
      </c>
      <c r="FJ108">
        <v>0</v>
      </c>
      <c r="FK108">
        <v>0</v>
      </c>
      <c r="FL108">
        <v>0</v>
      </c>
      <c r="FM108">
        <v>0</v>
      </c>
      <c r="FN108">
        <v>0</v>
      </c>
      <c r="FO108">
        <v>0</v>
      </c>
      <c r="FP108">
        <v>0</v>
      </c>
      <c r="FQ108">
        <v>0</v>
      </c>
      <c r="FR108">
        <v>0</v>
      </c>
      <c r="FS108">
        <v>0</v>
      </c>
      <c r="FT108">
        <v>0</v>
      </c>
      <c r="FU108">
        <v>0</v>
      </c>
      <c r="FV108">
        <v>0</v>
      </c>
      <c r="FW108">
        <v>0</v>
      </c>
      <c r="FX108">
        <v>0</v>
      </c>
      <c r="FY108">
        <v>0</v>
      </c>
      <c r="FZ108">
        <v>0</v>
      </c>
      <c r="GA108">
        <v>0</v>
      </c>
      <c r="GB108">
        <v>0</v>
      </c>
      <c r="GC108">
        <v>0</v>
      </c>
      <c r="GD108">
        <v>0</v>
      </c>
      <c r="GE108">
        <v>0</v>
      </c>
      <c r="GF108">
        <v>0</v>
      </c>
      <c r="GG108">
        <v>0</v>
      </c>
      <c r="GH108">
        <v>0</v>
      </c>
      <c r="GI108">
        <v>0</v>
      </c>
      <c r="GJ108">
        <v>0</v>
      </c>
      <c r="GK108">
        <v>0</v>
      </c>
      <c r="GL108">
        <v>0</v>
      </c>
      <c r="GM108">
        <v>0</v>
      </c>
      <c r="GN108">
        <v>0</v>
      </c>
      <c r="GO108">
        <v>0</v>
      </c>
      <c r="GP108">
        <v>0</v>
      </c>
      <c r="GQ108">
        <v>0</v>
      </c>
      <c r="GR108">
        <v>0</v>
      </c>
      <c r="GS108">
        <v>0</v>
      </c>
      <c r="GT108">
        <v>0</v>
      </c>
      <c r="GU108">
        <v>0</v>
      </c>
      <c r="GV108">
        <v>0</v>
      </c>
      <c r="GW108">
        <v>0</v>
      </c>
      <c r="GX108">
        <v>0</v>
      </c>
      <c r="GY108">
        <v>0</v>
      </c>
      <c r="GZ108">
        <v>0</v>
      </c>
      <c r="HA108">
        <v>0</v>
      </c>
      <c r="HB108">
        <v>0</v>
      </c>
      <c r="HC108">
        <v>0</v>
      </c>
      <c r="HD108">
        <v>0</v>
      </c>
      <c r="HE108">
        <v>0</v>
      </c>
      <c r="HF108">
        <v>0</v>
      </c>
      <c r="HG108">
        <v>0</v>
      </c>
      <c r="HH108">
        <v>0</v>
      </c>
      <c r="HI108">
        <v>0</v>
      </c>
      <c r="HJ108">
        <v>0</v>
      </c>
      <c r="HK108">
        <v>0</v>
      </c>
      <c r="HL108">
        <v>0</v>
      </c>
      <c r="HM108">
        <v>0</v>
      </c>
      <c r="HN108">
        <v>0</v>
      </c>
      <c r="HO108">
        <v>0</v>
      </c>
      <c r="HP108">
        <v>0</v>
      </c>
      <c r="HQ108">
        <v>0</v>
      </c>
      <c r="HR108">
        <v>0</v>
      </c>
      <c r="HS108">
        <v>0</v>
      </c>
      <c r="HT108">
        <v>0</v>
      </c>
      <c r="HU108">
        <v>0</v>
      </c>
      <c r="HV108">
        <v>0</v>
      </c>
      <c r="HW108">
        <v>0</v>
      </c>
      <c r="HX108">
        <v>0</v>
      </c>
      <c r="HY108">
        <v>0</v>
      </c>
      <c r="HZ108">
        <v>0</v>
      </c>
      <c r="IA108">
        <v>0</v>
      </c>
      <c r="IB108">
        <v>0</v>
      </c>
      <c r="IC108">
        <v>0</v>
      </c>
      <c r="ID108">
        <v>0</v>
      </c>
      <c r="IE108">
        <v>0</v>
      </c>
      <c r="IF108">
        <v>0</v>
      </c>
      <c r="IG108">
        <v>0</v>
      </c>
      <c r="IH108">
        <v>0</v>
      </c>
      <c r="II108">
        <v>0</v>
      </c>
      <c r="IJ108">
        <v>0</v>
      </c>
      <c r="IK108">
        <v>0</v>
      </c>
      <c r="IL108">
        <v>0</v>
      </c>
      <c r="IM108">
        <v>0</v>
      </c>
      <c r="IN108">
        <v>0</v>
      </c>
      <c r="IO108">
        <v>0</v>
      </c>
      <c r="IP108">
        <v>0</v>
      </c>
      <c r="IQ108">
        <v>0</v>
      </c>
      <c r="IR108">
        <v>0</v>
      </c>
      <c r="IS108">
        <v>0</v>
      </c>
      <c r="IT108">
        <v>0</v>
      </c>
      <c r="IU108">
        <v>0</v>
      </c>
      <c r="IV108">
        <v>0</v>
      </c>
      <c r="IW108">
        <v>0</v>
      </c>
      <c r="IX108">
        <v>0</v>
      </c>
      <c r="IY108">
        <v>0</v>
      </c>
      <c r="IZ108">
        <v>0</v>
      </c>
      <c r="JA108">
        <v>0</v>
      </c>
      <c r="JB108">
        <v>0</v>
      </c>
      <c r="JC108">
        <v>0</v>
      </c>
      <c r="JD108">
        <v>0</v>
      </c>
      <c r="JE108">
        <v>0</v>
      </c>
      <c r="JF108">
        <v>0</v>
      </c>
      <c r="JG108">
        <v>0</v>
      </c>
      <c r="JH108">
        <v>0</v>
      </c>
      <c r="JI108">
        <v>0</v>
      </c>
      <c r="JJ108">
        <v>0</v>
      </c>
      <c r="JK108">
        <v>0</v>
      </c>
      <c r="JL108">
        <v>0</v>
      </c>
      <c r="JM108">
        <v>0</v>
      </c>
      <c r="JN108">
        <v>0</v>
      </c>
      <c r="JO108">
        <v>0</v>
      </c>
      <c r="JP108">
        <v>0</v>
      </c>
      <c r="JQ108">
        <v>0</v>
      </c>
      <c r="JR108">
        <v>0</v>
      </c>
      <c r="JS108">
        <v>0</v>
      </c>
      <c r="JT108">
        <v>0</v>
      </c>
      <c r="JU108">
        <v>0</v>
      </c>
      <c r="JV108">
        <v>0</v>
      </c>
      <c r="JW108">
        <v>0</v>
      </c>
      <c r="JX108">
        <v>0</v>
      </c>
      <c r="JY108">
        <v>0</v>
      </c>
      <c r="JZ108">
        <v>0</v>
      </c>
      <c r="KA108">
        <v>0</v>
      </c>
      <c r="KB108">
        <v>0</v>
      </c>
      <c r="KC108">
        <v>0</v>
      </c>
      <c r="KD108">
        <v>0</v>
      </c>
      <c r="KE108">
        <v>0</v>
      </c>
      <c r="KF108">
        <v>0</v>
      </c>
      <c r="KG108">
        <v>0</v>
      </c>
      <c r="KH108">
        <v>0</v>
      </c>
      <c r="KI108">
        <v>0</v>
      </c>
      <c r="KJ108">
        <v>0</v>
      </c>
      <c r="KK108">
        <v>0</v>
      </c>
      <c r="KL108">
        <v>0</v>
      </c>
      <c r="KM108">
        <v>0</v>
      </c>
      <c r="KN108">
        <v>0</v>
      </c>
      <c r="KO108">
        <v>0</v>
      </c>
      <c r="KP108">
        <v>0</v>
      </c>
      <c r="KQ108">
        <v>0</v>
      </c>
      <c r="KR108">
        <v>0</v>
      </c>
      <c r="KS108">
        <v>0</v>
      </c>
      <c r="KT108">
        <v>0</v>
      </c>
      <c r="KU108">
        <v>0</v>
      </c>
      <c r="KV108">
        <v>0</v>
      </c>
      <c r="KW108">
        <v>0</v>
      </c>
      <c r="KX108">
        <v>0</v>
      </c>
      <c r="KY108">
        <v>0</v>
      </c>
      <c r="KZ108">
        <v>0</v>
      </c>
      <c r="LA108">
        <v>0</v>
      </c>
      <c r="LB108">
        <v>0</v>
      </c>
      <c r="LC108">
        <v>0</v>
      </c>
      <c r="LD108">
        <v>0</v>
      </c>
      <c r="LE108">
        <v>0</v>
      </c>
      <c r="LF108">
        <v>0</v>
      </c>
      <c r="LG108">
        <v>0</v>
      </c>
      <c r="LH108">
        <v>0</v>
      </c>
      <c r="LI108">
        <v>0</v>
      </c>
      <c r="LJ108">
        <v>0</v>
      </c>
      <c r="LK108">
        <v>0</v>
      </c>
      <c r="LL108">
        <v>0</v>
      </c>
      <c r="LM108">
        <v>0</v>
      </c>
      <c r="LN108">
        <v>0</v>
      </c>
      <c r="LO108">
        <v>0</v>
      </c>
      <c r="LP108">
        <v>0</v>
      </c>
      <c r="LQ108">
        <v>0</v>
      </c>
      <c r="LR108">
        <v>0</v>
      </c>
      <c r="LS108">
        <v>0</v>
      </c>
      <c r="LT108">
        <v>0</v>
      </c>
      <c r="LU108">
        <v>0</v>
      </c>
      <c r="LV108">
        <v>0</v>
      </c>
      <c r="LW108">
        <v>0</v>
      </c>
      <c r="LX108">
        <v>0</v>
      </c>
      <c r="LY108">
        <v>0</v>
      </c>
      <c r="LZ108">
        <v>0</v>
      </c>
      <c r="MA108">
        <v>0</v>
      </c>
      <c r="MB108">
        <v>0</v>
      </c>
      <c r="MC108">
        <v>0</v>
      </c>
      <c r="MD108">
        <v>0</v>
      </c>
      <c r="ME108">
        <v>0</v>
      </c>
      <c r="MF108">
        <v>0</v>
      </c>
      <c r="MG108">
        <v>0</v>
      </c>
      <c r="MH108">
        <v>0</v>
      </c>
      <c r="MI108">
        <v>0</v>
      </c>
      <c r="MJ108">
        <v>0</v>
      </c>
      <c r="MK108">
        <v>0</v>
      </c>
      <c r="ML108">
        <v>0</v>
      </c>
      <c r="MM108">
        <v>0</v>
      </c>
      <c r="MN108">
        <v>0</v>
      </c>
      <c r="MO108">
        <v>0</v>
      </c>
      <c r="MP108">
        <v>0</v>
      </c>
      <c r="MQ108">
        <v>0</v>
      </c>
      <c r="MR108">
        <v>0</v>
      </c>
      <c r="MS108">
        <v>0</v>
      </c>
      <c r="MT108">
        <v>0</v>
      </c>
      <c r="MU108">
        <v>0</v>
      </c>
      <c r="MV108">
        <v>0</v>
      </c>
      <c r="MW108">
        <v>0</v>
      </c>
      <c r="MX108">
        <v>0</v>
      </c>
      <c r="MY108">
        <v>0</v>
      </c>
      <c r="MZ108">
        <v>0</v>
      </c>
      <c r="NA108">
        <v>0</v>
      </c>
      <c r="NB108">
        <v>0</v>
      </c>
      <c r="NC108">
        <v>0</v>
      </c>
      <c r="ND108">
        <v>0</v>
      </c>
      <c r="NE108">
        <v>0</v>
      </c>
    </row>
    <row r="109" spans="41:369" x14ac:dyDescent="0.45">
      <c r="AO109" t="str">
        <v>B130</v>
      </c>
      <c r="AP109" t="str">
        <v>HAFIL ADIL AMANULLAH K K</v>
      </c>
      <c r="AQ109" t="str">
        <v>FANT</v>
      </c>
      <c r="AR109" t="str">
        <v>JUNIOR</v>
      </c>
      <c r="AS109">
        <v>3</v>
      </c>
      <c r="AT109">
        <v>20</v>
      </c>
      <c r="AU109">
        <v>0</v>
      </c>
      <c r="AV109">
        <v>20</v>
      </c>
      <c r="AW109">
        <v>20</v>
      </c>
      <c r="AX109">
        <v>74</v>
      </c>
      <c r="AY109" s="5">
        <v>74</v>
      </c>
      <c r="AZ109" t="str">
        <v>SN18</v>
      </c>
      <c r="BA109" t="str">
        <v>PHOTOGRAPHY</v>
      </c>
      <c r="BB109" t="str">
        <v>SENIOR</v>
      </c>
      <c r="BC109" t="str">
        <v>Single</v>
      </c>
      <c r="BD109" t="str">
        <v>Non-Stg</v>
      </c>
      <c r="BE109">
        <v>2</v>
      </c>
      <c r="BF109" t="str">
        <v>Individual</v>
      </c>
      <c r="BG109" t="str">
        <v>Individual</v>
      </c>
      <c r="BH109" t="str">
        <v>P</v>
      </c>
      <c r="BI109" t="str">
        <v>PUBLISHED</v>
      </c>
      <c r="BK109">
        <v>103</v>
      </c>
      <c r="BL109" t="str">
        <v>SN14</v>
      </c>
      <c r="BM109" t="str">
        <v>ḤIFẒ</v>
      </c>
      <c r="BN109">
        <v>3</v>
      </c>
      <c r="BO109" t="str">
        <v>Single</v>
      </c>
      <c r="BP109" t="str">
        <v>Non-Stg</v>
      </c>
      <c r="BQ109" t="str">
        <v>SENIOR</v>
      </c>
      <c r="BR109" t="str">
        <v>C112</v>
      </c>
      <c r="BS109" t="str">
        <v>C118</v>
      </c>
      <c r="BT109" t="str">
        <v>C142</v>
      </c>
      <c r="BU109">
        <v>0</v>
      </c>
      <c r="BV109">
        <v>0</v>
      </c>
      <c r="BW109">
        <v>0</v>
      </c>
      <c r="BX109">
        <v>0</v>
      </c>
      <c r="BY109" t="str">
        <v>C120</v>
      </c>
      <c r="BZ109" t="str">
        <v>C150</v>
      </c>
      <c r="CA109" t="str">
        <v>C172</v>
      </c>
      <c r="CB109">
        <v>0</v>
      </c>
      <c r="CC109">
        <v>0</v>
      </c>
      <c r="CD109">
        <v>0</v>
      </c>
      <c r="CE109">
        <v>0</v>
      </c>
      <c r="CF109" t="str">
        <v>C139</v>
      </c>
      <c r="CG109" t="str">
        <v>C159</v>
      </c>
      <c r="CH109" t="str">
        <v>C171</v>
      </c>
      <c r="CI109">
        <v>0</v>
      </c>
      <c r="CJ109">
        <v>0</v>
      </c>
      <c r="CK109">
        <v>0</v>
      </c>
      <c r="CL109">
        <v>0</v>
      </c>
      <c r="CM109" t="str">
        <v>C111</v>
      </c>
      <c r="CN109" t="str">
        <v>C116</v>
      </c>
      <c r="CO109" t="str">
        <v>C165</v>
      </c>
      <c r="CP109">
        <v>0</v>
      </c>
      <c r="CQ109">
        <v>0</v>
      </c>
      <c r="CR109">
        <v>0</v>
      </c>
      <c r="CS109">
        <v>0</v>
      </c>
      <c r="CT109">
        <v>0</v>
      </c>
      <c r="CU109">
        <v>0</v>
      </c>
      <c r="CV109">
        <v>0</v>
      </c>
      <c r="CW109">
        <v>0</v>
      </c>
      <c r="CX109">
        <v>0</v>
      </c>
      <c r="CY109">
        <v>0</v>
      </c>
      <c r="CZ109">
        <v>0</v>
      </c>
      <c r="DA109">
        <v>0</v>
      </c>
      <c r="DB109">
        <v>0</v>
      </c>
      <c r="DC109">
        <v>0</v>
      </c>
      <c r="DD109">
        <v>0</v>
      </c>
      <c r="DE109">
        <v>0</v>
      </c>
      <c r="DF109">
        <v>0</v>
      </c>
      <c r="DG109">
        <v>0</v>
      </c>
      <c r="DH109">
        <v>0</v>
      </c>
      <c r="DI109">
        <v>0</v>
      </c>
      <c r="DJ109">
        <v>0</v>
      </c>
      <c r="DK109">
        <v>0</v>
      </c>
      <c r="DL109">
        <v>0</v>
      </c>
      <c r="DM109">
        <v>0</v>
      </c>
      <c r="DN109">
        <v>0</v>
      </c>
      <c r="DO109">
        <v>0</v>
      </c>
      <c r="DP109">
        <v>0</v>
      </c>
      <c r="DQ109">
        <v>0</v>
      </c>
      <c r="DR109">
        <v>0</v>
      </c>
      <c r="DS109">
        <v>0</v>
      </c>
      <c r="DT109">
        <v>0</v>
      </c>
      <c r="DU109">
        <v>0</v>
      </c>
      <c r="DV109">
        <v>0</v>
      </c>
      <c r="DW109">
        <v>0</v>
      </c>
      <c r="DX109">
        <v>0</v>
      </c>
      <c r="DY109">
        <v>0</v>
      </c>
      <c r="DZ109">
        <v>0</v>
      </c>
      <c r="EA109">
        <v>0</v>
      </c>
      <c r="EB109">
        <v>0</v>
      </c>
      <c r="EC109">
        <v>0</v>
      </c>
      <c r="ED109">
        <v>0</v>
      </c>
      <c r="EE109">
        <v>0</v>
      </c>
      <c r="EF109">
        <v>0</v>
      </c>
      <c r="EG109">
        <v>0</v>
      </c>
      <c r="EH109">
        <v>0</v>
      </c>
      <c r="EI109">
        <v>0</v>
      </c>
      <c r="EJ109">
        <v>0</v>
      </c>
      <c r="EK109">
        <v>0</v>
      </c>
      <c r="EL109">
        <v>0</v>
      </c>
      <c r="EM109">
        <v>0</v>
      </c>
      <c r="EN109">
        <v>0</v>
      </c>
      <c r="EO109">
        <v>0</v>
      </c>
      <c r="EP109">
        <v>0</v>
      </c>
      <c r="EQ109">
        <v>0</v>
      </c>
      <c r="ER109">
        <v>0</v>
      </c>
      <c r="ES109">
        <v>0</v>
      </c>
      <c r="ET109">
        <v>0</v>
      </c>
      <c r="EU109">
        <v>0</v>
      </c>
      <c r="EV109">
        <v>0</v>
      </c>
      <c r="EW109">
        <v>0</v>
      </c>
      <c r="EX109">
        <v>0</v>
      </c>
      <c r="EY109">
        <v>0</v>
      </c>
      <c r="EZ109">
        <v>0</v>
      </c>
      <c r="FA109">
        <v>0</v>
      </c>
      <c r="FB109">
        <v>0</v>
      </c>
      <c r="FC109">
        <v>0</v>
      </c>
      <c r="FD109">
        <v>0</v>
      </c>
      <c r="FE109">
        <v>0</v>
      </c>
      <c r="FF109">
        <v>0</v>
      </c>
      <c r="FG109">
        <v>0</v>
      </c>
      <c r="FH109">
        <v>0</v>
      </c>
      <c r="FI109">
        <v>0</v>
      </c>
      <c r="FJ109">
        <v>0</v>
      </c>
      <c r="FK109">
        <v>0</v>
      </c>
      <c r="FL109">
        <v>0</v>
      </c>
      <c r="FM109">
        <v>0</v>
      </c>
      <c r="FN109">
        <v>0</v>
      </c>
      <c r="FO109">
        <v>0</v>
      </c>
      <c r="FP109">
        <v>0</v>
      </c>
      <c r="FQ109">
        <v>0</v>
      </c>
      <c r="FR109">
        <v>0</v>
      </c>
      <c r="FS109">
        <v>0</v>
      </c>
      <c r="FT109">
        <v>0</v>
      </c>
      <c r="FU109">
        <v>0</v>
      </c>
      <c r="FV109">
        <v>0</v>
      </c>
      <c r="FW109">
        <v>0</v>
      </c>
      <c r="FX109">
        <v>0</v>
      </c>
      <c r="FY109">
        <v>0</v>
      </c>
      <c r="FZ109">
        <v>0</v>
      </c>
      <c r="GA109">
        <v>0</v>
      </c>
      <c r="GB109">
        <v>0</v>
      </c>
      <c r="GC109">
        <v>0</v>
      </c>
      <c r="GD109">
        <v>0</v>
      </c>
      <c r="GE109">
        <v>0</v>
      </c>
      <c r="GF109">
        <v>0</v>
      </c>
      <c r="GG109">
        <v>0</v>
      </c>
      <c r="GH109">
        <v>0</v>
      </c>
      <c r="GI109">
        <v>0</v>
      </c>
      <c r="GJ109">
        <v>0</v>
      </c>
      <c r="GK109">
        <v>0</v>
      </c>
      <c r="GL109">
        <v>0</v>
      </c>
      <c r="GM109">
        <v>0</v>
      </c>
      <c r="GN109">
        <v>0</v>
      </c>
      <c r="GO109">
        <v>0</v>
      </c>
      <c r="GP109">
        <v>0</v>
      </c>
      <c r="GQ109">
        <v>0</v>
      </c>
      <c r="GR109">
        <v>0</v>
      </c>
      <c r="GS109">
        <v>0</v>
      </c>
      <c r="GT109">
        <v>0</v>
      </c>
      <c r="GU109">
        <v>0</v>
      </c>
      <c r="GV109">
        <v>0</v>
      </c>
      <c r="GW109">
        <v>0</v>
      </c>
      <c r="GX109">
        <v>0</v>
      </c>
      <c r="GY109">
        <v>0</v>
      </c>
      <c r="GZ109">
        <v>0</v>
      </c>
      <c r="HA109">
        <v>0</v>
      </c>
      <c r="HB109">
        <v>0</v>
      </c>
      <c r="HC109">
        <v>0</v>
      </c>
      <c r="HD109">
        <v>0</v>
      </c>
      <c r="HE109">
        <v>0</v>
      </c>
      <c r="HF109">
        <v>0</v>
      </c>
      <c r="HG109">
        <v>0</v>
      </c>
      <c r="HH109">
        <v>0</v>
      </c>
      <c r="HI109">
        <v>0</v>
      </c>
      <c r="HJ109">
        <v>0</v>
      </c>
      <c r="HK109">
        <v>0</v>
      </c>
      <c r="HL109">
        <v>0</v>
      </c>
      <c r="HM109">
        <v>0</v>
      </c>
      <c r="HN109">
        <v>0</v>
      </c>
      <c r="HO109">
        <v>0</v>
      </c>
      <c r="HP109">
        <v>0</v>
      </c>
      <c r="HQ109">
        <v>0</v>
      </c>
      <c r="HR109">
        <v>0</v>
      </c>
      <c r="HS109">
        <v>0</v>
      </c>
      <c r="HT109">
        <v>0</v>
      </c>
      <c r="HU109">
        <v>0</v>
      </c>
      <c r="HV109">
        <v>0</v>
      </c>
      <c r="HW109">
        <v>0</v>
      </c>
      <c r="HX109">
        <v>0</v>
      </c>
      <c r="HY109">
        <v>0</v>
      </c>
      <c r="HZ109">
        <v>0</v>
      </c>
      <c r="IA109">
        <v>0</v>
      </c>
      <c r="IB109">
        <v>0</v>
      </c>
      <c r="IC109">
        <v>0</v>
      </c>
      <c r="ID109">
        <v>0</v>
      </c>
      <c r="IE109">
        <v>0</v>
      </c>
      <c r="IF109">
        <v>0</v>
      </c>
      <c r="IG109">
        <v>0</v>
      </c>
      <c r="IH109">
        <v>0</v>
      </c>
      <c r="II109">
        <v>0</v>
      </c>
      <c r="IJ109">
        <v>0</v>
      </c>
      <c r="IK109">
        <v>0</v>
      </c>
      <c r="IL109">
        <v>0</v>
      </c>
      <c r="IM109">
        <v>0</v>
      </c>
      <c r="IN109">
        <v>0</v>
      </c>
      <c r="IO109">
        <v>0</v>
      </c>
      <c r="IP109">
        <v>0</v>
      </c>
      <c r="IQ109">
        <v>0</v>
      </c>
      <c r="IR109">
        <v>0</v>
      </c>
      <c r="IS109">
        <v>0</v>
      </c>
      <c r="IT109">
        <v>0</v>
      </c>
      <c r="IU109">
        <v>0</v>
      </c>
      <c r="IV109">
        <v>0</v>
      </c>
      <c r="IW109">
        <v>0</v>
      </c>
      <c r="IX109">
        <v>0</v>
      </c>
      <c r="IY109">
        <v>0</v>
      </c>
      <c r="IZ109">
        <v>0</v>
      </c>
      <c r="JA109">
        <v>0</v>
      </c>
      <c r="JB109">
        <v>0</v>
      </c>
      <c r="JC109">
        <v>0</v>
      </c>
      <c r="JD109">
        <v>0</v>
      </c>
      <c r="JE109">
        <v>0</v>
      </c>
      <c r="JF109">
        <v>0</v>
      </c>
      <c r="JG109">
        <v>0</v>
      </c>
      <c r="JH109">
        <v>0</v>
      </c>
      <c r="JI109">
        <v>0</v>
      </c>
      <c r="JJ109">
        <v>0</v>
      </c>
      <c r="JK109">
        <v>0</v>
      </c>
      <c r="JL109">
        <v>0</v>
      </c>
      <c r="JM109">
        <v>0</v>
      </c>
      <c r="JN109">
        <v>0</v>
      </c>
      <c r="JO109">
        <v>0</v>
      </c>
      <c r="JP109">
        <v>0</v>
      </c>
      <c r="JQ109">
        <v>0</v>
      </c>
      <c r="JR109">
        <v>0</v>
      </c>
      <c r="JS109">
        <v>0</v>
      </c>
      <c r="JT109">
        <v>0</v>
      </c>
      <c r="JU109">
        <v>0</v>
      </c>
      <c r="JV109">
        <v>0</v>
      </c>
      <c r="JW109">
        <v>0</v>
      </c>
      <c r="JX109">
        <v>0</v>
      </c>
      <c r="JY109">
        <v>0</v>
      </c>
      <c r="JZ109">
        <v>0</v>
      </c>
      <c r="KA109">
        <v>0</v>
      </c>
      <c r="KB109">
        <v>0</v>
      </c>
      <c r="KC109">
        <v>0</v>
      </c>
      <c r="KD109">
        <v>0</v>
      </c>
      <c r="KE109">
        <v>0</v>
      </c>
      <c r="KF109">
        <v>0</v>
      </c>
      <c r="KG109">
        <v>0</v>
      </c>
      <c r="KH109">
        <v>0</v>
      </c>
      <c r="KI109">
        <v>0</v>
      </c>
      <c r="KJ109">
        <v>0</v>
      </c>
      <c r="KK109">
        <v>0</v>
      </c>
      <c r="KL109">
        <v>0</v>
      </c>
      <c r="KM109">
        <v>0</v>
      </c>
      <c r="KN109">
        <v>0</v>
      </c>
      <c r="KO109">
        <v>0</v>
      </c>
      <c r="KP109">
        <v>0</v>
      </c>
      <c r="KQ109">
        <v>0</v>
      </c>
      <c r="KR109">
        <v>0</v>
      </c>
      <c r="KS109">
        <v>0</v>
      </c>
      <c r="KT109">
        <v>0</v>
      </c>
      <c r="KU109">
        <v>0</v>
      </c>
      <c r="KV109">
        <v>0</v>
      </c>
      <c r="KW109">
        <v>0</v>
      </c>
      <c r="KX109">
        <v>0</v>
      </c>
      <c r="KY109">
        <v>0</v>
      </c>
      <c r="KZ109">
        <v>0</v>
      </c>
      <c r="LA109">
        <v>0</v>
      </c>
      <c r="LB109">
        <v>0</v>
      </c>
      <c r="LC109">
        <v>0</v>
      </c>
      <c r="LD109">
        <v>0</v>
      </c>
      <c r="LE109">
        <v>0</v>
      </c>
      <c r="LF109">
        <v>0</v>
      </c>
      <c r="LG109">
        <v>0</v>
      </c>
      <c r="LH109">
        <v>0</v>
      </c>
      <c r="LI109">
        <v>0</v>
      </c>
      <c r="LJ109">
        <v>0</v>
      </c>
      <c r="LK109">
        <v>0</v>
      </c>
      <c r="LL109">
        <v>0</v>
      </c>
      <c r="LM109">
        <v>0</v>
      </c>
      <c r="LN109">
        <v>0</v>
      </c>
      <c r="LO109">
        <v>0</v>
      </c>
      <c r="LP109">
        <v>0</v>
      </c>
      <c r="LQ109">
        <v>0</v>
      </c>
      <c r="LR109">
        <v>0</v>
      </c>
      <c r="LS109">
        <v>0</v>
      </c>
      <c r="LT109">
        <v>0</v>
      </c>
      <c r="LU109">
        <v>0</v>
      </c>
      <c r="LV109">
        <v>0</v>
      </c>
      <c r="LW109">
        <v>0</v>
      </c>
      <c r="LX109">
        <v>0</v>
      </c>
      <c r="LY109">
        <v>0</v>
      </c>
      <c r="LZ109">
        <v>0</v>
      </c>
      <c r="MA109">
        <v>0</v>
      </c>
      <c r="MB109">
        <v>0</v>
      </c>
      <c r="MC109">
        <v>0</v>
      </c>
      <c r="MD109">
        <v>0</v>
      </c>
      <c r="ME109">
        <v>0</v>
      </c>
      <c r="MF109">
        <v>0</v>
      </c>
      <c r="MG109">
        <v>0</v>
      </c>
      <c r="MH109">
        <v>0</v>
      </c>
      <c r="MI109">
        <v>0</v>
      </c>
      <c r="MJ109">
        <v>0</v>
      </c>
      <c r="MK109">
        <v>0</v>
      </c>
      <c r="ML109">
        <v>0</v>
      </c>
      <c r="MM109">
        <v>0</v>
      </c>
      <c r="MN109">
        <v>0</v>
      </c>
      <c r="MO109">
        <v>0</v>
      </c>
      <c r="MP109">
        <v>0</v>
      </c>
      <c r="MQ109">
        <v>0</v>
      </c>
      <c r="MR109">
        <v>0</v>
      </c>
      <c r="MS109">
        <v>0</v>
      </c>
      <c r="MT109">
        <v>0</v>
      </c>
      <c r="MU109">
        <v>0</v>
      </c>
      <c r="MV109">
        <v>0</v>
      </c>
      <c r="MW109">
        <v>0</v>
      </c>
      <c r="MX109">
        <v>0</v>
      </c>
      <c r="MY109">
        <v>0</v>
      </c>
      <c r="MZ109">
        <v>0</v>
      </c>
      <c r="NA109">
        <v>0</v>
      </c>
      <c r="NB109">
        <v>0</v>
      </c>
      <c r="NC109">
        <v>0</v>
      </c>
      <c r="ND109">
        <v>0</v>
      </c>
      <c r="NE109">
        <v>0</v>
      </c>
    </row>
    <row r="110" spans="41:369" x14ac:dyDescent="0.45">
      <c r="AO110" t="str">
        <v>B131</v>
      </c>
      <c r="AP110" t="str">
        <v>MUHAMMED BASSIM. E</v>
      </c>
      <c r="AQ110" t="str">
        <v>JARF</v>
      </c>
      <c r="AR110" t="str">
        <v>JUNIOR</v>
      </c>
      <c r="AS110">
        <v>3</v>
      </c>
      <c r="AT110">
        <v>1</v>
      </c>
      <c r="AU110">
        <v>0</v>
      </c>
      <c r="AV110">
        <v>1</v>
      </c>
      <c r="AW110">
        <v>1</v>
      </c>
      <c r="AX110">
        <v>231</v>
      </c>
      <c r="AY110" s="5">
        <v>231</v>
      </c>
      <c r="AZ110" t="str">
        <v>SN19</v>
      </c>
      <c r="BA110" t="str">
        <v>POEM ARB</v>
      </c>
      <c r="BB110" t="str">
        <v>SENIOR</v>
      </c>
      <c r="BC110" t="str">
        <v>Single</v>
      </c>
      <c r="BD110" t="str">
        <v>Non-Stg</v>
      </c>
      <c r="BE110">
        <v>3</v>
      </c>
      <c r="BF110" t="str">
        <v>Individual</v>
      </c>
      <c r="BG110" t="str">
        <v>Individual</v>
      </c>
      <c r="BH110" t="str">
        <v>P</v>
      </c>
      <c r="BI110" t="str">
        <v>PUBLISHED</v>
      </c>
      <c r="BK110">
        <v>104</v>
      </c>
      <c r="BL110" t="str">
        <v>SN15</v>
      </c>
      <c r="BM110" t="str">
        <v>MATH TALENT</v>
      </c>
      <c r="BN110">
        <v>3</v>
      </c>
      <c r="BO110" t="str">
        <v>Single</v>
      </c>
      <c r="BP110" t="str">
        <v>Non-Stg</v>
      </c>
      <c r="BQ110" t="str">
        <v>SENIOR</v>
      </c>
      <c r="BR110" t="str">
        <v>C115</v>
      </c>
      <c r="BS110" t="str">
        <v>C118</v>
      </c>
      <c r="BT110" t="str">
        <v>C155</v>
      </c>
      <c r="BU110">
        <v>0</v>
      </c>
      <c r="BV110">
        <v>0</v>
      </c>
      <c r="BW110">
        <v>0</v>
      </c>
      <c r="BX110">
        <v>0</v>
      </c>
      <c r="BY110" t="str">
        <v>C100</v>
      </c>
      <c r="BZ110" t="str">
        <v>C117</v>
      </c>
      <c r="CA110" t="str">
        <v>C144</v>
      </c>
      <c r="CB110">
        <v>0</v>
      </c>
      <c r="CC110">
        <v>0</v>
      </c>
      <c r="CD110">
        <v>0</v>
      </c>
      <c r="CE110">
        <v>0</v>
      </c>
      <c r="CF110" t="str">
        <v>C122</v>
      </c>
      <c r="CG110" t="str">
        <v>C148</v>
      </c>
      <c r="CH110" t="str">
        <v>C174</v>
      </c>
      <c r="CI110">
        <v>0</v>
      </c>
      <c r="CJ110">
        <v>0</v>
      </c>
      <c r="CK110">
        <v>0</v>
      </c>
      <c r="CL110">
        <v>0</v>
      </c>
      <c r="CM110" t="str">
        <v>C126</v>
      </c>
      <c r="CN110" t="str">
        <v>C143</v>
      </c>
      <c r="CO110" t="str">
        <v>C163</v>
      </c>
      <c r="CP110">
        <v>0</v>
      </c>
      <c r="CQ110">
        <v>0</v>
      </c>
      <c r="CR110">
        <v>0</v>
      </c>
      <c r="CS110">
        <v>0</v>
      </c>
      <c r="CT110">
        <v>0</v>
      </c>
      <c r="CU110">
        <v>0</v>
      </c>
      <c r="CV110">
        <v>0</v>
      </c>
      <c r="CW110">
        <v>0</v>
      </c>
      <c r="CX110">
        <v>0</v>
      </c>
      <c r="CY110">
        <v>0</v>
      </c>
      <c r="CZ110">
        <v>0</v>
      </c>
      <c r="DA110">
        <v>0</v>
      </c>
      <c r="DB110">
        <v>0</v>
      </c>
      <c r="DC110">
        <v>0</v>
      </c>
      <c r="DD110">
        <v>0</v>
      </c>
      <c r="DE110">
        <v>0</v>
      </c>
      <c r="DF110">
        <v>0</v>
      </c>
      <c r="DG110">
        <v>0</v>
      </c>
      <c r="DH110">
        <v>0</v>
      </c>
      <c r="DI110">
        <v>0</v>
      </c>
      <c r="DJ110">
        <v>0</v>
      </c>
      <c r="DK110">
        <v>0</v>
      </c>
      <c r="DL110">
        <v>0</v>
      </c>
      <c r="DM110">
        <v>0</v>
      </c>
      <c r="DN110">
        <v>0</v>
      </c>
      <c r="DO110">
        <v>0</v>
      </c>
      <c r="DP110">
        <v>0</v>
      </c>
      <c r="DQ110">
        <v>0</v>
      </c>
      <c r="DR110">
        <v>0</v>
      </c>
      <c r="DS110">
        <v>0</v>
      </c>
      <c r="DT110">
        <v>0</v>
      </c>
      <c r="DU110">
        <v>0</v>
      </c>
      <c r="DV110">
        <v>0</v>
      </c>
      <c r="DW110">
        <v>0</v>
      </c>
      <c r="DX110">
        <v>0</v>
      </c>
      <c r="DY110">
        <v>0</v>
      </c>
      <c r="DZ110">
        <v>0</v>
      </c>
      <c r="EA110">
        <v>0</v>
      </c>
      <c r="EB110">
        <v>0</v>
      </c>
      <c r="EC110">
        <v>0</v>
      </c>
      <c r="ED110">
        <v>0</v>
      </c>
      <c r="EE110">
        <v>0</v>
      </c>
      <c r="EF110">
        <v>0</v>
      </c>
      <c r="EG110">
        <v>0</v>
      </c>
      <c r="EH110">
        <v>0</v>
      </c>
      <c r="EI110">
        <v>0</v>
      </c>
      <c r="EJ110">
        <v>0</v>
      </c>
      <c r="EK110">
        <v>0</v>
      </c>
      <c r="EL110">
        <v>0</v>
      </c>
      <c r="EM110">
        <v>0</v>
      </c>
      <c r="EN110">
        <v>0</v>
      </c>
      <c r="EO110">
        <v>0</v>
      </c>
      <c r="EP110">
        <v>0</v>
      </c>
      <c r="EQ110">
        <v>0</v>
      </c>
      <c r="ER110">
        <v>0</v>
      </c>
      <c r="ES110">
        <v>0</v>
      </c>
      <c r="ET110">
        <v>0</v>
      </c>
      <c r="EU110">
        <v>0</v>
      </c>
      <c r="EV110">
        <v>0</v>
      </c>
      <c r="EW110">
        <v>0</v>
      </c>
      <c r="EX110">
        <v>0</v>
      </c>
      <c r="EY110">
        <v>0</v>
      </c>
      <c r="EZ110">
        <v>0</v>
      </c>
      <c r="FA110">
        <v>0</v>
      </c>
      <c r="FB110">
        <v>0</v>
      </c>
      <c r="FC110">
        <v>0</v>
      </c>
      <c r="FD110">
        <v>0</v>
      </c>
      <c r="FE110">
        <v>0</v>
      </c>
      <c r="FF110">
        <v>0</v>
      </c>
      <c r="FG110">
        <v>0</v>
      </c>
      <c r="FH110">
        <v>0</v>
      </c>
      <c r="FI110">
        <v>0</v>
      </c>
      <c r="FJ110">
        <v>0</v>
      </c>
      <c r="FK110">
        <v>0</v>
      </c>
      <c r="FL110">
        <v>0</v>
      </c>
      <c r="FM110">
        <v>0</v>
      </c>
      <c r="FN110">
        <v>0</v>
      </c>
      <c r="FO110">
        <v>0</v>
      </c>
      <c r="FP110">
        <v>0</v>
      </c>
      <c r="FQ110">
        <v>0</v>
      </c>
      <c r="FR110">
        <v>0</v>
      </c>
      <c r="FS110">
        <v>0</v>
      </c>
      <c r="FT110">
        <v>0</v>
      </c>
      <c r="FU110">
        <v>0</v>
      </c>
      <c r="FV110">
        <v>0</v>
      </c>
      <c r="FW110">
        <v>0</v>
      </c>
      <c r="FX110">
        <v>0</v>
      </c>
      <c r="FY110">
        <v>0</v>
      </c>
      <c r="FZ110">
        <v>0</v>
      </c>
      <c r="GA110">
        <v>0</v>
      </c>
      <c r="GB110">
        <v>0</v>
      </c>
      <c r="GC110">
        <v>0</v>
      </c>
      <c r="GD110">
        <v>0</v>
      </c>
      <c r="GE110">
        <v>0</v>
      </c>
      <c r="GF110">
        <v>0</v>
      </c>
      <c r="GG110">
        <v>0</v>
      </c>
      <c r="GH110">
        <v>0</v>
      </c>
      <c r="GI110">
        <v>0</v>
      </c>
      <c r="GJ110">
        <v>0</v>
      </c>
      <c r="GK110">
        <v>0</v>
      </c>
      <c r="GL110">
        <v>0</v>
      </c>
      <c r="GM110">
        <v>0</v>
      </c>
      <c r="GN110">
        <v>0</v>
      </c>
      <c r="GO110">
        <v>0</v>
      </c>
      <c r="GP110">
        <v>0</v>
      </c>
      <c r="GQ110">
        <v>0</v>
      </c>
      <c r="GR110">
        <v>0</v>
      </c>
      <c r="GS110">
        <v>0</v>
      </c>
      <c r="GT110">
        <v>0</v>
      </c>
      <c r="GU110">
        <v>0</v>
      </c>
      <c r="GV110">
        <v>0</v>
      </c>
      <c r="GW110">
        <v>0</v>
      </c>
      <c r="GX110">
        <v>0</v>
      </c>
      <c r="GY110">
        <v>0</v>
      </c>
      <c r="GZ110">
        <v>0</v>
      </c>
      <c r="HA110">
        <v>0</v>
      </c>
      <c r="HB110">
        <v>0</v>
      </c>
      <c r="HC110">
        <v>0</v>
      </c>
      <c r="HD110">
        <v>0</v>
      </c>
      <c r="HE110">
        <v>0</v>
      </c>
      <c r="HF110">
        <v>0</v>
      </c>
      <c r="HG110">
        <v>0</v>
      </c>
      <c r="HH110">
        <v>0</v>
      </c>
      <c r="HI110">
        <v>0</v>
      </c>
      <c r="HJ110">
        <v>0</v>
      </c>
      <c r="HK110">
        <v>0</v>
      </c>
      <c r="HL110">
        <v>0</v>
      </c>
      <c r="HM110">
        <v>0</v>
      </c>
      <c r="HN110">
        <v>0</v>
      </c>
      <c r="HO110">
        <v>0</v>
      </c>
      <c r="HP110">
        <v>0</v>
      </c>
      <c r="HQ110">
        <v>0</v>
      </c>
      <c r="HR110">
        <v>0</v>
      </c>
      <c r="HS110">
        <v>0</v>
      </c>
      <c r="HT110">
        <v>0</v>
      </c>
      <c r="HU110">
        <v>0</v>
      </c>
      <c r="HV110">
        <v>0</v>
      </c>
      <c r="HW110">
        <v>0</v>
      </c>
      <c r="HX110">
        <v>0</v>
      </c>
      <c r="HY110">
        <v>0</v>
      </c>
      <c r="HZ110">
        <v>0</v>
      </c>
      <c r="IA110">
        <v>0</v>
      </c>
      <c r="IB110">
        <v>0</v>
      </c>
      <c r="IC110">
        <v>0</v>
      </c>
      <c r="ID110">
        <v>0</v>
      </c>
      <c r="IE110">
        <v>0</v>
      </c>
      <c r="IF110">
        <v>0</v>
      </c>
      <c r="IG110">
        <v>0</v>
      </c>
      <c r="IH110">
        <v>0</v>
      </c>
      <c r="II110">
        <v>0</v>
      </c>
      <c r="IJ110">
        <v>0</v>
      </c>
      <c r="IK110">
        <v>0</v>
      </c>
      <c r="IL110">
        <v>0</v>
      </c>
      <c r="IM110">
        <v>0</v>
      </c>
      <c r="IN110">
        <v>0</v>
      </c>
      <c r="IO110">
        <v>0</v>
      </c>
      <c r="IP110">
        <v>0</v>
      </c>
      <c r="IQ110">
        <v>0</v>
      </c>
      <c r="IR110">
        <v>0</v>
      </c>
      <c r="IS110">
        <v>0</v>
      </c>
      <c r="IT110">
        <v>0</v>
      </c>
      <c r="IU110">
        <v>0</v>
      </c>
      <c r="IV110">
        <v>0</v>
      </c>
      <c r="IW110">
        <v>0</v>
      </c>
      <c r="IX110">
        <v>0</v>
      </c>
      <c r="IY110">
        <v>0</v>
      </c>
      <c r="IZ110">
        <v>0</v>
      </c>
      <c r="JA110">
        <v>0</v>
      </c>
      <c r="JB110">
        <v>0</v>
      </c>
      <c r="JC110">
        <v>0</v>
      </c>
      <c r="JD110">
        <v>0</v>
      </c>
      <c r="JE110">
        <v>0</v>
      </c>
      <c r="JF110">
        <v>0</v>
      </c>
      <c r="JG110">
        <v>0</v>
      </c>
      <c r="JH110">
        <v>0</v>
      </c>
      <c r="JI110">
        <v>0</v>
      </c>
      <c r="JJ110">
        <v>0</v>
      </c>
      <c r="JK110">
        <v>0</v>
      </c>
      <c r="JL110">
        <v>0</v>
      </c>
      <c r="JM110">
        <v>0</v>
      </c>
      <c r="JN110">
        <v>0</v>
      </c>
      <c r="JO110">
        <v>0</v>
      </c>
      <c r="JP110">
        <v>0</v>
      </c>
      <c r="JQ110">
        <v>0</v>
      </c>
      <c r="JR110">
        <v>0</v>
      </c>
      <c r="JS110">
        <v>0</v>
      </c>
      <c r="JT110">
        <v>0</v>
      </c>
      <c r="JU110">
        <v>0</v>
      </c>
      <c r="JV110">
        <v>0</v>
      </c>
      <c r="JW110">
        <v>0</v>
      </c>
      <c r="JX110">
        <v>0</v>
      </c>
      <c r="JY110">
        <v>0</v>
      </c>
      <c r="JZ110">
        <v>0</v>
      </c>
      <c r="KA110">
        <v>0</v>
      </c>
      <c r="KB110">
        <v>0</v>
      </c>
      <c r="KC110">
        <v>0</v>
      </c>
      <c r="KD110">
        <v>0</v>
      </c>
      <c r="KE110">
        <v>0</v>
      </c>
      <c r="KF110">
        <v>0</v>
      </c>
      <c r="KG110">
        <v>0</v>
      </c>
      <c r="KH110">
        <v>0</v>
      </c>
      <c r="KI110">
        <v>0</v>
      </c>
      <c r="KJ110">
        <v>0</v>
      </c>
      <c r="KK110">
        <v>0</v>
      </c>
      <c r="KL110">
        <v>0</v>
      </c>
      <c r="KM110">
        <v>0</v>
      </c>
      <c r="KN110">
        <v>0</v>
      </c>
      <c r="KO110">
        <v>0</v>
      </c>
      <c r="KP110">
        <v>0</v>
      </c>
      <c r="KQ110">
        <v>0</v>
      </c>
      <c r="KR110">
        <v>0</v>
      </c>
      <c r="KS110">
        <v>0</v>
      </c>
      <c r="KT110">
        <v>0</v>
      </c>
      <c r="KU110">
        <v>0</v>
      </c>
      <c r="KV110">
        <v>0</v>
      </c>
      <c r="KW110">
        <v>0</v>
      </c>
      <c r="KX110">
        <v>0</v>
      </c>
      <c r="KY110">
        <v>0</v>
      </c>
      <c r="KZ110">
        <v>0</v>
      </c>
      <c r="LA110">
        <v>0</v>
      </c>
      <c r="LB110">
        <v>0</v>
      </c>
      <c r="LC110">
        <v>0</v>
      </c>
      <c r="LD110">
        <v>0</v>
      </c>
      <c r="LE110">
        <v>0</v>
      </c>
      <c r="LF110">
        <v>0</v>
      </c>
      <c r="LG110">
        <v>0</v>
      </c>
      <c r="LH110">
        <v>0</v>
      </c>
      <c r="LI110">
        <v>0</v>
      </c>
      <c r="LJ110">
        <v>0</v>
      </c>
      <c r="LK110">
        <v>0</v>
      </c>
      <c r="LL110">
        <v>0</v>
      </c>
      <c r="LM110">
        <v>0</v>
      </c>
      <c r="LN110">
        <v>0</v>
      </c>
      <c r="LO110">
        <v>0</v>
      </c>
      <c r="LP110">
        <v>0</v>
      </c>
      <c r="LQ110">
        <v>0</v>
      </c>
      <c r="LR110">
        <v>0</v>
      </c>
      <c r="LS110">
        <v>0</v>
      </c>
      <c r="LT110">
        <v>0</v>
      </c>
      <c r="LU110">
        <v>0</v>
      </c>
      <c r="LV110">
        <v>0</v>
      </c>
      <c r="LW110">
        <v>0</v>
      </c>
      <c r="LX110">
        <v>0</v>
      </c>
      <c r="LY110">
        <v>0</v>
      </c>
      <c r="LZ110">
        <v>0</v>
      </c>
      <c r="MA110">
        <v>0</v>
      </c>
      <c r="MB110">
        <v>0</v>
      </c>
      <c r="MC110">
        <v>0</v>
      </c>
      <c r="MD110">
        <v>0</v>
      </c>
      <c r="ME110">
        <v>0</v>
      </c>
      <c r="MF110">
        <v>0</v>
      </c>
      <c r="MG110">
        <v>0</v>
      </c>
      <c r="MH110">
        <v>0</v>
      </c>
      <c r="MI110">
        <v>0</v>
      </c>
      <c r="MJ110">
        <v>0</v>
      </c>
      <c r="MK110">
        <v>0</v>
      </c>
      <c r="ML110">
        <v>0</v>
      </c>
      <c r="MM110">
        <v>0</v>
      </c>
      <c r="MN110">
        <v>0</v>
      </c>
      <c r="MO110">
        <v>0</v>
      </c>
      <c r="MP110">
        <v>0</v>
      </c>
      <c r="MQ110">
        <v>0</v>
      </c>
      <c r="MR110">
        <v>0</v>
      </c>
      <c r="MS110">
        <v>0</v>
      </c>
      <c r="MT110">
        <v>0</v>
      </c>
      <c r="MU110">
        <v>0</v>
      </c>
      <c r="MV110">
        <v>0</v>
      </c>
      <c r="MW110">
        <v>0</v>
      </c>
      <c r="MX110">
        <v>0</v>
      </c>
      <c r="MY110">
        <v>0</v>
      </c>
      <c r="MZ110">
        <v>0</v>
      </c>
      <c r="NA110">
        <v>0</v>
      </c>
      <c r="NB110">
        <v>0</v>
      </c>
      <c r="NC110">
        <v>0</v>
      </c>
      <c r="ND110">
        <v>0</v>
      </c>
      <c r="NE110">
        <v>0</v>
      </c>
    </row>
    <row r="111" spans="41:369" x14ac:dyDescent="0.45">
      <c r="AO111" t="str">
        <v>B132</v>
      </c>
      <c r="AP111" t="str">
        <v>MUHAMMED SAEED THUFAIL</v>
      </c>
      <c r="AQ111" t="str">
        <v>DAHF</v>
      </c>
      <c r="AR111" t="str">
        <v>JUNIOR</v>
      </c>
      <c r="AS111">
        <v>3</v>
      </c>
      <c r="AT111">
        <v>14</v>
      </c>
      <c r="AU111">
        <v>0</v>
      </c>
      <c r="AV111">
        <v>14</v>
      </c>
      <c r="AW111">
        <v>14</v>
      </c>
      <c r="AX111">
        <v>104</v>
      </c>
      <c r="AY111" s="5">
        <v>104</v>
      </c>
      <c r="AZ111" t="str">
        <v>SN20</v>
      </c>
      <c r="BA111" t="str">
        <v>POEM ENG</v>
      </c>
      <c r="BB111" t="str">
        <v>SENIOR</v>
      </c>
      <c r="BC111" t="str">
        <v>Single</v>
      </c>
      <c r="BD111" t="str">
        <v>Non-Stg</v>
      </c>
      <c r="BE111">
        <v>3</v>
      </c>
      <c r="BF111" t="str">
        <v>Individual</v>
      </c>
      <c r="BG111" t="str">
        <v>Individual</v>
      </c>
      <c r="BH111" t="str">
        <v>P</v>
      </c>
      <c r="BI111" t="str">
        <v>PUBLISHED</v>
      </c>
      <c r="BK111">
        <v>105</v>
      </c>
      <c r="BL111" t="str">
        <v>SN16</v>
      </c>
      <c r="BM111" t="str">
        <v>NEWS WRITING ENG</v>
      </c>
      <c r="BN111">
        <v>3</v>
      </c>
      <c r="BO111" t="str">
        <v>Single</v>
      </c>
      <c r="BP111" t="str">
        <v>Non-Stg</v>
      </c>
      <c r="BQ111" t="str">
        <v>SENIOR</v>
      </c>
      <c r="BR111" t="str">
        <v>C108</v>
      </c>
      <c r="BS111" t="str">
        <v>C127</v>
      </c>
      <c r="BT111" t="str">
        <v>C164</v>
      </c>
      <c r="BU111">
        <v>0</v>
      </c>
      <c r="BV111">
        <v>0</v>
      </c>
      <c r="BW111">
        <v>0</v>
      </c>
      <c r="BX111">
        <v>0</v>
      </c>
      <c r="BY111" t="str">
        <v>C102</v>
      </c>
      <c r="BZ111" t="str">
        <v>C117</v>
      </c>
      <c r="CA111" t="str">
        <v>C133</v>
      </c>
      <c r="CB111">
        <v>0</v>
      </c>
      <c r="CC111">
        <v>0</v>
      </c>
      <c r="CD111">
        <v>0</v>
      </c>
      <c r="CE111">
        <v>0</v>
      </c>
      <c r="CF111" t="str">
        <v>C106</v>
      </c>
      <c r="CG111" t="str">
        <v>C114</v>
      </c>
      <c r="CH111" t="str">
        <v>C145</v>
      </c>
      <c r="CI111">
        <v>0</v>
      </c>
      <c r="CJ111">
        <v>0</v>
      </c>
      <c r="CK111">
        <v>0</v>
      </c>
      <c r="CL111">
        <v>0</v>
      </c>
      <c r="CM111" t="str">
        <v>C121</v>
      </c>
      <c r="CN111" t="str">
        <v>C126</v>
      </c>
      <c r="CO111" t="str">
        <v>C135</v>
      </c>
      <c r="CP111">
        <v>0</v>
      </c>
      <c r="CQ111">
        <v>0</v>
      </c>
      <c r="CR111">
        <v>0</v>
      </c>
      <c r="CS111">
        <v>0</v>
      </c>
      <c r="CT111">
        <v>0</v>
      </c>
      <c r="CU111">
        <v>0</v>
      </c>
      <c r="CV111">
        <v>0</v>
      </c>
      <c r="CW111">
        <v>0</v>
      </c>
      <c r="CX111">
        <v>0</v>
      </c>
      <c r="CY111">
        <v>0</v>
      </c>
      <c r="CZ111">
        <v>0</v>
      </c>
      <c r="DA111">
        <v>0</v>
      </c>
      <c r="DB111">
        <v>0</v>
      </c>
      <c r="DC111">
        <v>0</v>
      </c>
      <c r="DD111">
        <v>0</v>
      </c>
      <c r="DE111">
        <v>0</v>
      </c>
      <c r="DF111">
        <v>0</v>
      </c>
      <c r="DG111">
        <v>0</v>
      </c>
      <c r="DH111">
        <v>0</v>
      </c>
      <c r="DI111">
        <v>0</v>
      </c>
      <c r="DJ111">
        <v>0</v>
      </c>
      <c r="DK111">
        <v>0</v>
      </c>
      <c r="DL111">
        <v>0</v>
      </c>
      <c r="DM111">
        <v>0</v>
      </c>
      <c r="DN111">
        <v>0</v>
      </c>
      <c r="DO111">
        <v>0</v>
      </c>
      <c r="DP111">
        <v>0</v>
      </c>
      <c r="DQ111">
        <v>0</v>
      </c>
      <c r="DR111">
        <v>0</v>
      </c>
      <c r="DS111">
        <v>0</v>
      </c>
      <c r="DT111">
        <v>0</v>
      </c>
      <c r="DU111">
        <v>0</v>
      </c>
      <c r="DV111">
        <v>0</v>
      </c>
      <c r="DW111">
        <v>0</v>
      </c>
      <c r="DX111">
        <v>0</v>
      </c>
      <c r="DY111">
        <v>0</v>
      </c>
      <c r="DZ111">
        <v>0</v>
      </c>
      <c r="EA111">
        <v>0</v>
      </c>
      <c r="EB111">
        <v>0</v>
      </c>
      <c r="EC111">
        <v>0</v>
      </c>
      <c r="ED111">
        <v>0</v>
      </c>
      <c r="EE111">
        <v>0</v>
      </c>
      <c r="EF111">
        <v>0</v>
      </c>
      <c r="EG111">
        <v>0</v>
      </c>
      <c r="EH111">
        <v>0</v>
      </c>
      <c r="EI111">
        <v>0</v>
      </c>
      <c r="EJ111">
        <v>0</v>
      </c>
      <c r="EK111">
        <v>0</v>
      </c>
      <c r="EL111">
        <v>0</v>
      </c>
      <c r="EM111">
        <v>0</v>
      </c>
      <c r="EN111">
        <v>0</v>
      </c>
      <c r="EO111">
        <v>0</v>
      </c>
      <c r="EP111">
        <v>0</v>
      </c>
      <c r="EQ111">
        <v>0</v>
      </c>
      <c r="ER111">
        <v>0</v>
      </c>
      <c r="ES111">
        <v>0</v>
      </c>
      <c r="ET111">
        <v>0</v>
      </c>
      <c r="EU111">
        <v>0</v>
      </c>
      <c r="EV111">
        <v>0</v>
      </c>
      <c r="EW111">
        <v>0</v>
      </c>
      <c r="EX111">
        <v>0</v>
      </c>
      <c r="EY111">
        <v>0</v>
      </c>
      <c r="EZ111">
        <v>0</v>
      </c>
      <c r="FA111">
        <v>0</v>
      </c>
      <c r="FB111">
        <v>0</v>
      </c>
      <c r="FC111">
        <v>0</v>
      </c>
      <c r="FD111">
        <v>0</v>
      </c>
      <c r="FE111">
        <v>0</v>
      </c>
      <c r="FF111">
        <v>0</v>
      </c>
      <c r="FG111">
        <v>0</v>
      </c>
      <c r="FH111">
        <v>0</v>
      </c>
      <c r="FI111">
        <v>0</v>
      </c>
      <c r="FJ111">
        <v>0</v>
      </c>
      <c r="FK111">
        <v>0</v>
      </c>
      <c r="FL111">
        <v>0</v>
      </c>
      <c r="FM111">
        <v>0</v>
      </c>
      <c r="FN111">
        <v>0</v>
      </c>
      <c r="FO111">
        <v>0</v>
      </c>
      <c r="FP111">
        <v>0</v>
      </c>
      <c r="FQ111">
        <v>0</v>
      </c>
      <c r="FR111">
        <v>0</v>
      </c>
      <c r="FS111">
        <v>0</v>
      </c>
      <c r="FT111">
        <v>0</v>
      </c>
      <c r="FU111">
        <v>0</v>
      </c>
      <c r="FV111">
        <v>0</v>
      </c>
      <c r="FW111">
        <v>0</v>
      </c>
      <c r="FX111">
        <v>0</v>
      </c>
      <c r="FY111">
        <v>0</v>
      </c>
      <c r="FZ111">
        <v>0</v>
      </c>
      <c r="GA111">
        <v>0</v>
      </c>
      <c r="GB111">
        <v>0</v>
      </c>
      <c r="GC111">
        <v>0</v>
      </c>
      <c r="GD111">
        <v>0</v>
      </c>
      <c r="GE111">
        <v>0</v>
      </c>
      <c r="GF111">
        <v>0</v>
      </c>
      <c r="GG111">
        <v>0</v>
      </c>
      <c r="GH111">
        <v>0</v>
      </c>
      <c r="GI111">
        <v>0</v>
      </c>
      <c r="GJ111">
        <v>0</v>
      </c>
      <c r="GK111">
        <v>0</v>
      </c>
      <c r="GL111">
        <v>0</v>
      </c>
      <c r="GM111">
        <v>0</v>
      </c>
      <c r="GN111">
        <v>0</v>
      </c>
      <c r="GO111">
        <v>0</v>
      </c>
      <c r="GP111">
        <v>0</v>
      </c>
      <c r="GQ111">
        <v>0</v>
      </c>
      <c r="GR111">
        <v>0</v>
      </c>
      <c r="GS111">
        <v>0</v>
      </c>
      <c r="GT111">
        <v>0</v>
      </c>
      <c r="GU111">
        <v>0</v>
      </c>
      <c r="GV111">
        <v>0</v>
      </c>
      <c r="GW111">
        <v>0</v>
      </c>
      <c r="GX111">
        <v>0</v>
      </c>
      <c r="GY111">
        <v>0</v>
      </c>
      <c r="GZ111">
        <v>0</v>
      </c>
      <c r="HA111">
        <v>0</v>
      </c>
      <c r="HB111">
        <v>0</v>
      </c>
      <c r="HC111">
        <v>0</v>
      </c>
      <c r="HD111">
        <v>0</v>
      </c>
      <c r="HE111">
        <v>0</v>
      </c>
      <c r="HF111">
        <v>0</v>
      </c>
      <c r="HG111">
        <v>0</v>
      </c>
      <c r="HH111">
        <v>0</v>
      </c>
      <c r="HI111">
        <v>0</v>
      </c>
      <c r="HJ111">
        <v>0</v>
      </c>
      <c r="HK111">
        <v>0</v>
      </c>
      <c r="HL111">
        <v>0</v>
      </c>
      <c r="HM111">
        <v>0</v>
      </c>
      <c r="HN111">
        <v>0</v>
      </c>
      <c r="HO111">
        <v>0</v>
      </c>
      <c r="HP111">
        <v>0</v>
      </c>
      <c r="HQ111">
        <v>0</v>
      </c>
      <c r="HR111">
        <v>0</v>
      </c>
      <c r="HS111">
        <v>0</v>
      </c>
      <c r="HT111">
        <v>0</v>
      </c>
      <c r="HU111">
        <v>0</v>
      </c>
      <c r="HV111">
        <v>0</v>
      </c>
      <c r="HW111">
        <v>0</v>
      </c>
      <c r="HX111">
        <v>0</v>
      </c>
      <c r="HY111">
        <v>0</v>
      </c>
      <c r="HZ111">
        <v>0</v>
      </c>
      <c r="IA111">
        <v>0</v>
      </c>
      <c r="IB111">
        <v>0</v>
      </c>
      <c r="IC111">
        <v>0</v>
      </c>
      <c r="ID111">
        <v>0</v>
      </c>
      <c r="IE111">
        <v>0</v>
      </c>
      <c r="IF111">
        <v>0</v>
      </c>
      <c r="IG111">
        <v>0</v>
      </c>
      <c r="IH111">
        <v>0</v>
      </c>
      <c r="II111">
        <v>0</v>
      </c>
      <c r="IJ111">
        <v>0</v>
      </c>
      <c r="IK111">
        <v>0</v>
      </c>
      <c r="IL111">
        <v>0</v>
      </c>
      <c r="IM111">
        <v>0</v>
      </c>
      <c r="IN111">
        <v>0</v>
      </c>
      <c r="IO111">
        <v>0</v>
      </c>
      <c r="IP111">
        <v>0</v>
      </c>
      <c r="IQ111">
        <v>0</v>
      </c>
      <c r="IR111">
        <v>0</v>
      </c>
      <c r="IS111">
        <v>0</v>
      </c>
      <c r="IT111">
        <v>0</v>
      </c>
      <c r="IU111">
        <v>0</v>
      </c>
      <c r="IV111">
        <v>0</v>
      </c>
      <c r="IW111">
        <v>0</v>
      </c>
      <c r="IX111">
        <v>0</v>
      </c>
      <c r="IY111">
        <v>0</v>
      </c>
      <c r="IZ111">
        <v>0</v>
      </c>
      <c r="JA111">
        <v>0</v>
      </c>
      <c r="JB111">
        <v>0</v>
      </c>
      <c r="JC111">
        <v>0</v>
      </c>
      <c r="JD111">
        <v>0</v>
      </c>
      <c r="JE111">
        <v>0</v>
      </c>
      <c r="JF111">
        <v>0</v>
      </c>
      <c r="JG111">
        <v>0</v>
      </c>
      <c r="JH111">
        <v>0</v>
      </c>
      <c r="JI111">
        <v>0</v>
      </c>
      <c r="JJ111">
        <v>0</v>
      </c>
      <c r="JK111">
        <v>0</v>
      </c>
      <c r="JL111">
        <v>0</v>
      </c>
      <c r="JM111">
        <v>0</v>
      </c>
      <c r="JN111">
        <v>0</v>
      </c>
      <c r="JO111">
        <v>0</v>
      </c>
      <c r="JP111">
        <v>0</v>
      </c>
      <c r="JQ111">
        <v>0</v>
      </c>
      <c r="JR111">
        <v>0</v>
      </c>
      <c r="JS111">
        <v>0</v>
      </c>
      <c r="JT111">
        <v>0</v>
      </c>
      <c r="JU111">
        <v>0</v>
      </c>
      <c r="JV111">
        <v>0</v>
      </c>
      <c r="JW111">
        <v>0</v>
      </c>
      <c r="JX111">
        <v>0</v>
      </c>
      <c r="JY111">
        <v>0</v>
      </c>
      <c r="JZ111">
        <v>0</v>
      </c>
      <c r="KA111">
        <v>0</v>
      </c>
      <c r="KB111">
        <v>0</v>
      </c>
      <c r="KC111">
        <v>0</v>
      </c>
      <c r="KD111">
        <v>0</v>
      </c>
      <c r="KE111">
        <v>0</v>
      </c>
      <c r="KF111">
        <v>0</v>
      </c>
      <c r="KG111">
        <v>0</v>
      </c>
      <c r="KH111">
        <v>0</v>
      </c>
      <c r="KI111">
        <v>0</v>
      </c>
      <c r="KJ111">
        <v>0</v>
      </c>
      <c r="KK111">
        <v>0</v>
      </c>
      <c r="KL111">
        <v>0</v>
      </c>
      <c r="KM111">
        <v>0</v>
      </c>
      <c r="KN111">
        <v>0</v>
      </c>
      <c r="KO111">
        <v>0</v>
      </c>
      <c r="KP111">
        <v>0</v>
      </c>
      <c r="KQ111">
        <v>0</v>
      </c>
      <c r="KR111">
        <v>0</v>
      </c>
      <c r="KS111">
        <v>0</v>
      </c>
      <c r="KT111">
        <v>0</v>
      </c>
      <c r="KU111">
        <v>0</v>
      </c>
      <c r="KV111">
        <v>0</v>
      </c>
      <c r="KW111">
        <v>0</v>
      </c>
      <c r="KX111">
        <v>0</v>
      </c>
      <c r="KY111">
        <v>0</v>
      </c>
      <c r="KZ111">
        <v>0</v>
      </c>
      <c r="LA111">
        <v>0</v>
      </c>
      <c r="LB111">
        <v>0</v>
      </c>
      <c r="LC111">
        <v>0</v>
      </c>
      <c r="LD111">
        <v>0</v>
      </c>
      <c r="LE111">
        <v>0</v>
      </c>
      <c r="LF111">
        <v>0</v>
      </c>
      <c r="LG111">
        <v>0</v>
      </c>
      <c r="LH111">
        <v>0</v>
      </c>
      <c r="LI111">
        <v>0</v>
      </c>
      <c r="LJ111">
        <v>0</v>
      </c>
      <c r="LK111">
        <v>0</v>
      </c>
      <c r="LL111">
        <v>0</v>
      </c>
      <c r="LM111">
        <v>0</v>
      </c>
      <c r="LN111">
        <v>0</v>
      </c>
      <c r="LO111">
        <v>0</v>
      </c>
      <c r="LP111">
        <v>0</v>
      </c>
      <c r="LQ111">
        <v>0</v>
      </c>
      <c r="LR111">
        <v>0</v>
      </c>
      <c r="LS111">
        <v>0</v>
      </c>
      <c r="LT111">
        <v>0</v>
      </c>
      <c r="LU111">
        <v>0</v>
      </c>
      <c r="LV111">
        <v>0</v>
      </c>
      <c r="LW111">
        <v>0</v>
      </c>
      <c r="LX111">
        <v>0</v>
      </c>
      <c r="LY111">
        <v>0</v>
      </c>
      <c r="LZ111">
        <v>0</v>
      </c>
      <c r="MA111">
        <v>0</v>
      </c>
      <c r="MB111">
        <v>0</v>
      </c>
      <c r="MC111">
        <v>0</v>
      </c>
      <c r="MD111">
        <v>0</v>
      </c>
      <c r="ME111">
        <v>0</v>
      </c>
      <c r="MF111">
        <v>0</v>
      </c>
      <c r="MG111">
        <v>0</v>
      </c>
      <c r="MH111">
        <v>0</v>
      </c>
      <c r="MI111">
        <v>0</v>
      </c>
      <c r="MJ111">
        <v>0</v>
      </c>
      <c r="MK111">
        <v>0</v>
      </c>
      <c r="ML111">
        <v>0</v>
      </c>
      <c r="MM111">
        <v>0</v>
      </c>
      <c r="MN111">
        <v>0</v>
      </c>
      <c r="MO111">
        <v>0</v>
      </c>
      <c r="MP111">
        <v>0</v>
      </c>
      <c r="MQ111">
        <v>0</v>
      </c>
      <c r="MR111">
        <v>0</v>
      </c>
      <c r="MS111">
        <v>0</v>
      </c>
      <c r="MT111">
        <v>0</v>
      </c>
      <c r="MU111">
        <v>0</v>
      </c>
      <c r="MV111">
        <v>0</v>
      </c>
      <c r="MW111">
        <v>0</v>
      </c>
      <c r="MX111">
        <v>0</v>
      </c>
      <c r="MY111">
        <v>0</v>
      </c>
      <c r="MZ111">
        <v>0</v>
      </c>
      <c r="NA111">
        <v>0</v>
      </c>
      <c r="NB111">
        <v>0</v>
      </c>
      <c r="NC111">
        <v>0</v>
      </c>
      <c r="ND111">
        <v>0</v>
      </c>
      <c r="NE111">
        <v>0</v>
      </c>
    </row>
    <row r="112" spans="41:369" x14ac:dyDescent="0.45">
      <c r="AO112" t="str">
        <v>B133</v>
      </c>
      <c r="AP112" t="str">
        <v>MEERAN MOHIUDHEEN RAFIH</v>
      </c>
      <c r="AQ112" t="str">
        <v>JARF</v>
      </c>
      <c r="AR112" t="str">
        <v>JUNIOR</v>
      </c>
      <c r="AS112">
        <v>3</v>
      </c>
      <c r="AT112">
        <v>6</v>
      </c>
      <c r="AU112">
        <v>0</v>
      </c>
      <c r="AV112">
        <v>6</v>
      </c>
      <c r="AW112">
        <v>6</v>
      </c>
      <c r="AX112">
        <v>171</v>
      </c>
      <c r="AY112" s="5">
        <v>171</v>
      </c>
      <c r="AZ112" t="str">
        <v>SN21</v>
      </c>
      <c r="BA112" t="str">
        <v>POEM MLM</v>
      </c>
      <c r="BB112" t="str">
        <v>SENIOR</v>
      </c>
      <c r="BC112" t="str">
        <v>Single</v>
      </c>
      <c r="BD112" t="str">
        <v>Non-Stg</v>
      </c>
      <c r="BE112">
        <v>3</v>
      </c>
      <c r="BF112" t="str">
        <v>Individual</v>
      </c>
      <c r="BG112" t="str">
        <v>Individual</v>
      </c>
      <c r="BH112" t="str">
        <v>P</v>
      </c>
      <c r="BI112" t="str">
        <v>PUBLISHED</v>
      </c>
      <c r="BK112">
        <v>106</v>
      </c>
      <c r="BL112" t="str">
        <v>SN17</v>
      </c>
      <c r="BM112" t="str">
        <v>NEWS WRITING URD</v>
      </c>
      <c r="BN112">
        <v>3</v>
      </c>
      <c r="BO112" t="str">
        <v>Single</v>
      </c>
      <c r="BP112" t="str">
        <v>Non-Stg</v>
      </c>
      <c r="BQ112" t="str">
        <v>SENIOR</v>
      </c>
      <c r="BR112" t="str">
        <v>C125</v>
      </c>
      <c r="BS112" t="str">
        <v>C134</v>
      </c>
      <c r="BT112" t="str">
        <v>C138</v>
      </c>
      <c r="BU112">
        <v>0</v>
      </c>
      <c r="BV112">
        <v>0</v>
      </c>
      <c r="BW112">
        <v>0</v>
      </c>
      <c r="BX112">
        <v>0</v>
      </c>
      <c r="BY112" t="str">
        <v>C136</v>
      </c>
      <c r="BZ112" t="str">
        <v>C166</v>
      </c>
      <c r="CA112" t="str">
        <v>C177</v>
      </c>
      <c r="CB112">
        <v>0</v>
      </c>
      <c r="CC112">
        <v>0</v>
      </c>
      <c r="CD112">
        <v>0</v>
      </c>
      <c r="CE112">
        <v>0</v>
      </c>
      <c r="CF112" t="str">
        <v>C139</v>
      </c>
      <c r="CG112" t="str">
        <v>C104</v>
      </c>
      <c r="CH112" t="str">
        <v>C174</v>
      </c>
      <c r="CI112">
        <v>0</v>
      </c>
      <c r="CJ112">
        <v>0</v>
      </c>
      <c r="CK112">
        <v>0</v>
      </c>
      <c r="CL112">
        <v>0</v>
      </c>
      <c r="CM112" t="str">
        <v>C116</v>
      </c>
      <c r="CN112" t="str">
        <v>C126</v>
      </c>
      <c r="CO112" t="str">
        <v>C152</v>
      </c>
      <c r="CP112">
        <v>0</v>
      </c>
      <c r="CQ112">
        <v>0</v>
      </c>
      <c r="CR112">
        <v>0</v>
      </c>
      <c r="CS112">
        <v>0</v>
      </c>
      <c r="CT112">
        <v>0</v>
      </c>
      <c r="CU112">
        <v>0</v>
      </c>
      <c r="CV112">
        <v>0</v>
      </c>
      <c r="CW112">
        <v>0</v>
      </c>
      <c r="CX112">
        <v>0</v>
      </c>
      <c r="CY112">
        <v>0</v>
      </c>
      <c r="CZ112">
        <v>0</v>
      </c>
      <c r="DA112">
        <v>0</v>
      </c>
      <c r="DB112">
        <v>0</v>
      </c>
      <c r="DC112">
        <v>0</v>
      </c>
      <c r="DD112">
        <v>0</v>
      </c>
      <c r="DE112">
        <v>0</v>
      </c>
      <c r="DF112">
        <v>0</v>
      </c>
      <c r="DG112">
        <v>0</v>
      </c>
      <c r="DH112">
        <v>0</v>
      </c>
      <c r="DI112">
        <v>0</v>
      </c>
      <c r="DJ112">
        <v>0</v>
      </c>
      <c r="DK112">
        <v>0</v>
      </c>
      <c r="DL112">
        <v>0</v>
      </c>
      <c r="DM112">
        <v>0</v>
      </c>
      <c r="DN112">
        <v>0</v>
      </c>
      <c r="DO112">
        <v>0</v>
      </c>
      <c r="DP112">
        <v>0</v>
      </c>
      <c r="DQ112">
        <v>0</v>
      </c>
      <c r="DR112">
        <v>0</v>
      </c>
      <c r="DS112">
        <v>0</v>
      </c>
      <c r="DT112">
        <v>0</v>
      </c>
      <c r="DU112">
        <v>0</v>
      </c>
      <c r="DV112">
        <v>0</v>
      </c>
      <c r="DW112">
        <v>0</v>
      </c>
      <c r="DX112">
        <v>0</v>
      </c>
      <c r="DY112">
        <v>0</v>
      </c>
      <c r="DZ112">
        <v>0</v>
      </c>
      <c r="EA112">
        <v>0</v>
      </c>
      <c r="EB112">
        <v>0</v>
      </c>
      <c r="EC112">
        <v>0</v>
      </c>
      <c r="ED112">
        <v>0</v>
      </c>
      <c r="EE112">
        <v>0</v>
      </c>
      <c r="EF112">
        <v>0</v>
      </c>
      <c r="EG112">
        <v>0</v>
      </c>
      <c r="EH112">
        <v>0</v>
      </c>
      <c r="EI112">
        <v>0</v>
      </c>
      <c r="EJ112">
        <v>0</v>
      </c>
      <c r="EK112">
        <v>0</v>
      </c>
      <c r="EL112">
        <v>0</v>
      </c>
      <c r="EM112">
        <v>0</v>
      </c>
      <c r="EN112">
        <v>0</v>
      </c>
      <c r="EO112">
        <v>0</v>
      </c>
      <c r="EP112">
        <v>0</v>
      </c>
      <c r="EQ112">
        <v>0</v>
      </c>
      <c r="ER112">
        <v>0</v>
      </c>
      <c r="ES112">
        <v>0</v>
      </c>
      <c r="ET112">
        <v>0</v>
      </c>
      <c r="EU112">
        <v>0</v>
      </c>
      <c r="EV112">
        <v>0</v>
      </c>
      <c r="EW112">
        <v>0</v>
      </c>
      <c r="EX112">
        <v>0</v>
      </c>
      <c r="EY112">
        <v>0</v>
      </c>
      <c r="EZ112">
        <v>0</v>
      </c>
      <c r="FA112">
        <v>0</v>
      </c>
      <c r="FB112">
        <v>0</v>
      </c>
      <c r="FC112">
        <v>0</v>
      </c>
      <c r="FD112">
        <v>0</v>
      </c>
      <c r="FE112">
        <v>0</v>
      </c>
      <c r="FF112">
        <v>0</v>
      </c>
      <c r="FG112">
        <v>0</v>
      </c>
      <c r="FH112">
        <v>0</v>
      </c>
      <c r="FI112">
        <v>0</v>
      </c>
      <c r="FJ112">
        <v>0</v>
      </c>
      <c r="FK112">
        <v>0</v>
      </c>
      <c r="FL112">
        <v>0</v>
      </c>
      <c r="FM112">
        <v>0</v>
      </c>
      <c r="FN112">
        <v>0</v>
      </c>
      <c r="FO112">
        <v>0</v>
      </c>
      <c r="FP112">
        <v>0</v>
      </c>
      <c r="FQ112">
        <v>0</v>
      </c>
      <c r="FR112">
        <v>0</v>
      </c>
      <c r="FS112">
        <v>0</v>
      </c>
      <c r="FT112">
        <v>0</v>
      </c>
      <c r="FU112">
        <v>0</v>
      </c>
      <c r="FV112">
        <v>0</v>
      </c>
      <c r="FW112">
        <v>0</v>
      </c>
      <c r="FX112">
        <v>0</v>
      </c>
      <c r="FY112">
        <v>0</v>
      </c>
      <c r="FZ112">
        <v>0</v>
      </c>
      <c r="GA112">
        <v>0</v>
      </c>
      <c r="GB112">
        <v>0</v>
      </c>
      <c r="GC112">
        <v>0</v>
      </c>
      <c r="GD112">
        <v>0</v>
      </c>
      <c r="GE112">
        <v>0</v>
      </c>
      <c r="GF112">
        <v>0</v>
      </c>
      <c r="GG112">
        <v>0</v>
      </c>
      <c r="GH112">
        <v>0</v>
      </c>
      <c r="GI112">
        <v>0</v>
      </c>
      <c r="GJ112">
        <v>0</v>
      </c>
      <c r="GK112">
        <v>0</v>
      </c>
      <c r="GL112">
        <v>0</v>
      </c>
      <c r="GM112">
        <v>0</v>
      </c>
      <c r="GN112">
        <v>0</v>
      </c>
      <c r="GO112">
        <v>0</v>
      </c>
      <c r="GP112">
        <v>0</v>
      </c>
      <c r="GQ112">
        <v>0</v>
      </c>
      <c r="GR112">
        <v>0</v>
      </c>
      <c r="GS112">
        <v>0</v>
      </c>
      <c r="GT112">
        <v>0</v>
      </c>
      <c r="GU112">
        <v>0</v>
      </c>
      <c r="GV112">
        <v>0</v>
      </c>
      <c r="GW112">
        <v>0</v>
      </c>
      <c r="GX112">
        <v>0</v>
      </c>
      <c r="GY112">
        <v>0</v>
      </c>
      <c r="GZ112">
        <v>0</v>
      </c>
      <c r="HA112">
        <v>0</v>
      </c>
      <c r="HB112">
        <v>0</v>
      </c>
      <c r="HC112">
        <v>0</v>
      </c>
      <c r="HD112">
        <v>0</v>
      </c>
      <c r="HE112">
        <v>0</v>
      </c>
      <c r="HF112">
        <v>0</v>
      </c>
      <c r="HG112">
        <v>0</v>
      </c>
      <c r="HH112">
        <v>0</v>
      </c>
      <c r="HI112">
        <v>0</v>
      </c>
      <c r="HJ112">
        <v>0</v>
      </c>
      <c r="HK112">
        <v>0</v>
      </c>
      <c r="HL112">
        <v>0</v>
      </c>
      <c r="HM112">
        <v>0</v>
      </c>
      <c r="HN112">
        <v>0</v>
      </c>
      <c r="HO112">
        <v>0</v>
      </c>
      <c r="HP112">
        <v>0</v>
      </c>
      <c r="HQ112">
        <v>0</v>
      </c>
      <c r="HR112">
        <v>0</v>
      </c>
      <c r="HS112">
        <v>0</v>
      </c>
      <c r="HT112">
        <v>0</v>
      </c>
      <c r="HU112">
        <v>0</v>
      </c>
      <c r="HV112">
        <v>0</v>
      </c>
      <c r="HW112">
        <v>0</v>
      </c>
      <c r="HX112">
        <v>0</v>
      </c>
      <c r="HY112">
        <v>0</v>
      </c>
      <c r="HZ112">
        <v>0</v>
      </c>
      <c r="IA112">
        <v>0</v>
      </c>
      <c r="IB112">
        <v>0</v>
      </c>
      <c r="IC112">
        <v>0</v>
      </c>
      <c r="ID112">
        <v>0</v>
      </c>
      <c r="IE112">
        <v>0</v>
      </c>
      <c r="IF112">
        <v>0</v>
      </c>
      <c r="IG112">
        <v>0</v>
      </c>
      <c r="IH112">
        <v>0</v>
      </c>
      <c r="II112">
        <v>0</v>
      </c>
      <c r="IJ112">
        <v>0</v>
      </c>
      <c r="IK112">
        <v>0</v>
      </c>
      <c r="IL112">
        <v>0</v>
      </c>
      <c r="IM112">
        <v>0</v>
      </c>
      <c r="IN112">
        <v>0</v>
      </c>
      <c r="IO112">
        <v>0</v>
      </c>
      <c r="IP112">
        <v>0</v>
      </c>
      <c r="IQ112">
        <v>0</v>
      </c>
      <c r="IR112">
        <v>0</v>
      </c>
      <c r="IS112">
        <v>0</v>
      </c>
      <c r="IT112">
        <v>0</v>
      </c>
      <c r="IU112">
        <v>0</v>
      </c>
      <c r="IV112">
        <v>0</v>
      </c>
      <c r="IW112">
        <v>0</v>
      </c>
      <c r="IX112">
        <v>0</v>
      </c>
      <c r="IY112">
        <v>0</v>
      </c>
      <c r="IZ112">
        <v>0</v>
      </c>
      <c r="JA112">
        <v>0</v>
      </c>
      <c r="JB112">
        <v>0</v>
      </c>
      <c r="JC112">
        <v>0</v>
      </c>
      <c r="JD112">
        <v>0</v>
      </c>
      <c r="JE112">
        <v>0</v>
      </c>
      <c r="JF112">
        <v>0</v>
      </c>
      <c r="JG112">
        <v>0</v>
      </c>
      <c r="JH112">
        <v>0</v>
      </c>
      <c r="JI112">
        <v>0</v>
      </c>
      <c r="JJ112">
        <v>0</v>
      </c>
      <c r="JK112">
        <v>0</v>
      </c>
      <c r="JL112">
        <v>0</v>
      </c>
      <c r="JM112">
        <v>0</v>
      </c>
      <c r="JN112">
        <v>0</v>
      </c>
      <c r="JO112">
        <v>0</v>
      </c>
      <c r="JP112">
        <v>0</v>
      </c>
      <c r="JQ112">
        <v>0</v>
      </c>
      <c r="JR112">
        <v>0</v>
      </c>
      <c r="JS112">
        <v>0</v>
      </c>
      <c r="JT112">
        <v>0</v>
      </c>
      <c r="JU112">
        <v>0</v>
      </c>
      <c r="JV112">
        <v>0</v>
      </c>
      <c r="JW112">
        <v>0</v>
      </c>
      <c r="JX112">
        <v>0</v>
      </c>
      <c r="JY112">
        <v>0</v>
      </c>
      <c r="JZ112">
        <v>0</v>
      </c>
      <c r="KA112">
        <v>0</v>
      </c>
      <c r="KB112">
        <v>0</v>
      </c>
      <c r="KC112">
        <v>0</v>
      </c>
      <c r="KD112">
        <v>0</v>
      </c>
      <c r="KE112">
        <v>0</v>
      </c>
      <c r="KF112">
        <v>0</v>
      </c>
      <c r="KG112">
        <v>0</v>
      </c>
      <c r="KH112">
        <v>0</v>
      </c>
      <c r="KI112">
        <v>0</v>
      </c>
      <c r="KJ112">
        <v>0</v>
      </c>
      <c r="KK112">
        <v>0</v>
      </c>
      <c r="KL112">
        <v>0</v>
      </c>
      <c r="KM112">
        <v>0</v>
      </c>
      <c r="KN112">
        <v>0</v>
      </c>
      <c r="KO112">
        <v>0</v>
      </c>
      <c r="KP112">
        <v>0</v>
      </c>
      <c r="KQ112">
        <v>0</v>
      </c>
      <c r="KR112">
        <v>0</v>
      </c>
      <c r="KS112">
        <v>0</v>
      </c>
      <c r="KT112">
        <v>0</v>
      </c>
      <c r="KU112">
        <v>0</v>
      </c>
      <c r="KV112">
        <v>0</v>
      </c>
      <c r="KW112">
        <v>0</v>
      </c>
      <c r="KX112">
        <v>0</v>
      </c>
      <c r="KY112">
        <v>0</v>
      </c>
      <c r="KZ112">
        <v>0</v>
      </c>
      <c r="LA112">
        <v>0</v>
      </c>
      <c r="LB112">
        <v>0</v>
      </c>
      <c r="LC112">
        <v>0</v>
      </c>
      <c r="LD112">
        <v>0</v>
      </c>
      <c r="LE112">
        <v>0</v>
      </c>
      <c r="LF112">
        <v>0</v>
      </c>
      <c r="LG112">
        <v>0</v>
      </c>
      <c r="LH112">
        <v>0</v>
      </c>
      <c r="LI112">
        <v>0</v>
      </c>
      <c r="LJ112">
        <v>0</v>
      </c>
      <c r="LK112">
        <v>0</v>
      </c>
      <c r="LL112">
        <v>0</v>
      </c>
      <c r="LM112">
        <v>0</v>
      </c>
      <c r="LN112">
        <v>0</v>
      </c>
      <c r="LO112">
        <v>0</v>
      </c>
      <c r="LP112">
        <v>0</v>
      </c>
      <c r="LQ112">
        <v>0</v>
      </c>
      <c r="LR112">
        <v>0</v>
      </c>
      <c r="LS112">
        <v>0</v>
      </c>
      <c r="LT112">
        <v>0</v>
      </c>
      <c r="LU112">
        <v>0</v>
      </c>
      <c r="LV112">
        <v>0</v>
      </c>
      <c r="LW112">
        <v>0</v>
      </c>
      <c r="LX112">
        <v>0</v>
      </c>
      <c r="LY112">
        <v>0</v>
      </c>
      <c r="LZ112">
        <v>0</v>
      </c>
      <c r="MA112">
        <v>0</v>
      </c>
      <c r="MB112">
        <v>0</v>
      </c>
      <c r="MC112">
        <v>0</v>
      </c>
      <c r="MD112">
        <v>0</v>
      </c>
      <c r="ME112">
        <v>0</v>
      </c>
      <c r="MF112">
        <v>0</v>
      </c>
      <c r="MG112">
        <v>0</v>
      </c>
      <c r="MH112">
        <v>0</v>
      </c>
      <c r="MI112">
        <v>0</v>
      </c>
      <c r="MJ112">
        <v>0</v>
      </c>
      <c r="MK112">
        <v>0</v>
      </c>
      <c r="ML112">
        <v>0</v>
      </c>
      <c r="MM112">
        <v>0</v>
      </c>
      <c r="MN112">
        <v>0</v>
      </c>
      <c r="MO112">
        <v>0</v>
      </c>
      <c r="MP112">
        <v>0</v>
      </c>
      <c r="MQ112">
        <v>0</v>
      </c>
      <c r="MR112">
        <v>0</v>
      </c>
      <c r="MS112">
        <v>0</v>
      </c>
      <c r="MT112">
        <v>0</v>
      </c>
      <c r="MU112">
        <v>0</v>
      </c>
      <c r="MV112">
        <v>0</v>
      </c>
      <c r="MW112">
        <v>0</v>
      </c>
      <c r="MX112">
        <v>0</v>
      </c>
      <c r="MY112">
        <v>0</v>
      </c>
      <c r="MZ112">
        <v>0</v>
      </c>
      <c r="NA112">
        <v>0</v>
      </c>
      <c r="NB112">
        <v>0</v>
      </c>
      <c r="NC112">
        <v>0</v>
      </c>
      <c r="ND112">
        <v>0</v>
      </c>
      <c r="NE112">
        <v>0</v>
      </c>
    </row>
    <row r="113" spans="41:369" x14ac:dyDescent="0.45">
      <c r="AO113" t="str">
        <v>B134</v>
      </c>
      <c r="AP113" t="str">
        <v>ABDUL RAHIMAN AZAAN</v>
      </c>
      <c r="AQ113" t="str">
        <v>JARF</v>
      </c>
      <c r="AR113" t="str">
        <v>JUNIOR</v>
      </c>
      <c r="AS113">
        <v>3</v>
      </c>
      <c r="AT113">
        <v>35</v>
      </c>
      <c r="AU113">
        <v>0</v>
      </c>
      <c r="AV113">
        <v>35</v>
      </c>
      <c r="AW113">
        <v>35</v>
      </c>
      <c r="AX113">
        <v>32</v>
      </c>
      <c r="AY113" s="5">
        <v>32</v>
      </c>
      <c r="AZ113" t="str">
        <v>SN22</v>
      </c>
      <c r="BA113" t="str">
        <v>POEM URD</v>
      </c>
      <c r="BB113" t="str">
        <v>SENIOR</v>
      </c>
      <c r="BC113" t="str">
        <v>Single</v>
      </c>
      <c r="BD113" t="str">
        <v>Non-Stg</v>
      </c>
      <c r="BE113">
        <v>3</v>
      </c>
      <c r="BF113" t="str">
        <v>Individual</v>
      </c>
      <c r="BG113" t="str">
        <v>Individual</v>
      </c>
      <c r="BH113" t="str">
        <v>P</v>
      </c>
      <c r="BI113" t="str">
        <v>PUBLISHED</v>
      </c>
      <c r="BK113">
        <v>107</v>
      </c>
      <c r="BL113" t="str">
        <v>SN18</v>
      </c>
      <c r="BM113" t="str">
        <v>PHOTOGRAPHY</v>
      </c>
      <c r="BN113">
        <v>2</v>
      </c>
      <c r="BO113" t="str">
        <v>Single</v>
      </c>
      <c r="BP113" t="str">
        <v>Non-Stg</v>
      </c>
      <c r="BQ113" t="str">
        <v>SENIOR</v>
      </c>
      <c r="BR113" t="str">
        <v>C115</v>
      </c>
      <c r="BS113" t="str">
        <v>C176</v>
      </c>
      <c r="BT113">
        <v>0</v>
      </c>
      <c r="BU113">
        <v>0</v>
      </c>
      <c r="BV113">
        <v>0</v>
      </c>
      <c r="BW113">
        <v>0</v>
      </c>
      <c r="BX113">
        <v>0</v>
      </c>
      <c r="BY113" t="str">
        <v>C179</v>
      </c>
      <c r="BZ113" t="str">
        <v>C107</v>
      </c>
      <c r="CA113">
        <v>0</v>
      </c>
      <c r="CB113">
        <v>0</v>
      </c>
      <c r="CC113">
        <v>0</v>
      </c>
      <c r="CD113">
        <v>0</v>
      </c>
      <c r="CE113">
        <v>0</v>
      </c>
      <c r="CF113" t="str">
        <v>C124</v>
      </c>
      <c r="CG113" t="str">
        <v>C132</v>
      </c>
      <c r="CH113">
        <v>0</v>
      </c>
      <c r="CI113">
        <v>0</v>
      </c>
      <c r="CJ113">
        <v>0</v>
      </c>
      <c r="CK113">
        <v>0</v>
      </c>
      <c r="CL113">
        <v>0</v>
      </c>
      <c r="CM113" t="str">
        <v>C105</v>
      </c>
      <c r="CN113" t="str">
        <v>C147</v>
      </c>
      <c r="CO113">
        <v>0</v>
      </c>
      <c r="CP113">
        <v>0</v>
      </c>
      <c r="CQ113">
        <v>0</v>
      </c>
      <c r="CR113">
        <v>0</v>
      </c>
      <c r="CS113">
        <v>0</v>
      </c>
      <c r="CT113">
        <v>0</v>
      </c>
      <c r="CU113">
        <v>0</v>
      </c>
      <c r="CV113">
        <v>0</v>
      </c>
      <c r="CW113">
        <v>0</v>
      </c>
      <c r="CX113">
        <v>0</v>
      </c>
      <c r="CY113">
        <v>0</v>
      </c>
      <c r="CZ113">
        <v>0</v>
      </c>
      <c r="DA113">
        <v>0</v>
      </c>
      <c r="DB113">
        <v>0</v>
      </c>
      <c r="DC113">
        <v>0</v>
      </c>
      <c r="DD113">
        <v>0</v>
      </c>
      <c r="DE113">
        <v>0</v>
      </c>
      <c r="DF113">
        <v>0</v>
      </c>
      <c r="DG113">
        <v>0</v>
      </c>
      <c r="DH113">
        <v>0</v>
      </c>
      <c r="DI113">
        <v>0</v>
      </c>
      <c r="DJ113">
        <v>0</v>
      </c>
      <c r="DK113">
        <v>0</v>
      </c>
      <c r="DL113">
        <v>0</v>
      </c>
      <c r="DM113">
        <v>0</v>
      </c>
      <c r="DN113">
        <v>0</v>
      </c>
      <c r="DO113">
        <v>0</v>
      </c>
      <c r="DP113">
        <v>0</v>
      </c>
      <c r="DQ113">
        <v>0</v>
      </c>
      <c r="DR113">
        <v>0</v>
      </c>
      <c r="DS113">
        <v>0</v>
      </c>
      <c r="DT113">
        <v>0</v>
      </c>
      <c r="DU113">
        <v>0</v>
      </c>
      <c r="DV113">
        <v>0</v>
      </c>
      <c r="DW113">
        <v>0</v>
      </c>
      <c r="DX113">
        <v>0</v>
      </c>
      <c r="DY113">
        <v>0</v>
      </c>
      <c r="DZ113">
        <v>0</v>
      </c>
      <c r="EA113">
        <v>0</v>
      </c>
      <c r="EB113">
        <v>0</v>
      </c>
      <c r="EC113">
        <v>0</v>
      </c>
      <c r="ED113">
        <v>0</v>
      </c>
      <c r="EE113">
        <v>0</v>
      </c>
      <c r="EF113">
        <v>0</v>
      </c>
      <c r="EG113">
        <v>0</v>
      </c>
      <c r="EH113">
        <v>0</v>
      </c>
      <c r="EI113">
        <v>0</v>
      </c>
      <c r="EJ113">
        <v>0</v>
      </c>
      <c r="EK113">
        <v>0</v>
      </c>
      <c r="EL113">
        <v>0</v>
      </c>
      <c r="EM113">
        <v>0</v>
      </c>
      <c r="EN113">
        <v>0</v>
      </c>
      <c r="EO113">
        <v>0</v>
      </c>
      <c r="EP113">
        <v>0</v>
      </c>
      <c r="EQ113">
        <v>0</v>
      </c>
      <c r="ER113">
        <v>0</v>
      </c>
      <c r="ES113">
        <v>0</v>
      </c>
      <c r="ET113">
        <v>0</v>
      </c>
      <c r="EU113">
        <v>0</v>
      </c>
      <c r="EV113">
        <v>0</v>
      </c>
      <c r="EW113">
        <v>0</v>
      </c>
      <c r="EX113">
        <v>0</v>
      </c>
      <c r="EY113">
        <v>0</v>
      </c>
      <c r="EZ113">
        <v>0</v>
      </c>
      <c r="FA113">
        <v>0</v>
      </c>
      <c r="FB113">
        <v>0</v>
      </c>
      <c r="FC113">
        <v>0</v>
      </c>
      <c r="FD113">
        <v>0</v>
      </c>
      <c r="FE113">
        <v>0</v>
      </c>
      <c r="FF113">
        <v>0</v>
      </c>
      <c r="FG113">
        <v>0</v>
      </c>
      <c r="FH113">
        <v>0</v>
      </c>
      <c r="FI113">
        <v>0</v>
      </c>
      <c r="FJ113">
        <v>0</v>
      </c>
      <c r="FK113">
        <v>0</v>
      </c>
      <c r="FL113">
        <v>0</v>
      </c>
      <c r="FM113">
        <v>0</v>
      </c>
      <c r="FN113">
        <v>0</v>
      </c>
      <c r="FO113">
        <v>0</v>
      </c>
      <c r="FP113">
        <v>0</v>
      </c>
      <c r="FQ113">
        <v>0</v>
      </c>
      <c r="FR113">
        <v>0</v>
      </c>
      <c r="FS113">
        <v>0</v>
      </c>
      <c r="FT113">
        <v>0</v>
      </c>
      <c r="FU113">
        <v>0</v>
      </c>
      <c r="FV113">
        <v>0</v>
      </c>
      <c r="FW113">
        <v>0</v>
      </c>
      <c r="FX113">
        <v>0</v>
      </c>
      <c r="FY113">
        <v>0</v>
      </c>
      <c r="FZ113">
        <v>0</v>
      </c>
      <c r="GA113">
        <v>0</v>
      </c>
      <c r="GB113">
        <v>0</v>
      </c>
      <c r="GC113">
        <v>0</v>
      </c>
      <c r="GD113">
        <v>0</v>
      </c>
      <c r="GE113">
        <v>0</v>
      </c>
      <c r="GF113">
        <v>0</v>
      </c>
      <c r="GG113">
        <v>0</v>
      </c>
      <c r="GH113">
        <v>0</v>
      </c>
      <c r="GI113">
        <v>0</v>
      </c>
      <c r="GJ113">
        <v>0</v>
      </c>
      <c r="GK113">
        <v>0</v>
      </c>
      <c r="GL113">
        <v>0</v>
      </c>
      <c r="GM113">
        <v>0</v>
      </c>
      <c r="GN113">
        <v>0</v>
      </c>
      <c r="GO113">
        <v>0</v>
      </c>
      <c r="GP113">
        <v>0</v>
      </c>
      <c r="GQ113">
        <v>0</v>
      </c>
      <c r="GR113">
        <v>0</v>
      </c>
      <c r="GS113">
        <v>0</v>
      </c>
      <c r="GT113">
        <v>0</v>
      </c>
      <c r="GU113">
        <v>0</v>
      </c>
      <c r="GV113">
        <v>0</v>
      </c>
      <c r="GW113">
        <v>0</v>
      </c>
      <c r="GX113">
        <v>0</v>
      </c>
      <c r="GY113">
        <v>0</v>
      </c>
      <c r="GZ113">
        <v>0</v>
      </c>
      <c r="HA113">
        <v>0</v>
      </c>
      <c r="HB113">
        <v>0</v>
      </c>
      <c r="HC113">
        <v>0</v>
      </c>
      <c r="HD113">
        <v>0</v>
      </c>
      <c r="HE113">
        <v>0</v>
      </c>
      <c r="HF113">
        <v>0</v>
      </c>
      <c r="HG113">
        <v>0</v>
      </c>
      <c r="HH113">
        <v>0</v>
      </c>
      <c r="HI113">
        <v>0</v>
      </c>
      <c r="HJ113">
        <v>0</v>
      </c>
      <c r="HK113">
        <v>0</v>
      </c>
      <c r="HL113">
        <v>0</v>
      </c>
      <c r="HM113">
        <v>0</v>
      </c>
      <c r="HN113">
        <v>0</v>
      </c>
      <c r="HO113">
        <v>0</v>
      </c>
      <c r="HP113">
        <v>0</v>
      </c>
      <c r="HQ113">
        <v>0</v>
      </c>
      <c r="HR113">
        <v>0</v>
      </c>
      <c r="HS113">
        <v>0</v>
      </c>
      <c r="HT113">
        <v>0</v>
      </c>
      <c r="HU113">
        <v>0</v>
      </c>
      <c r="HV113">
        <v>0</v>
      </c>
      <c r="HW113">
        <v>0</v>
      </c>
      <c r="HX113">
        <v>0</v>
      </c>
      <c r="HY113">
        <v>0</v>
      </c>
      <c r="HZ113">
        <v>0</v>
      </c>
      <c r="IA113">
        <v>0</v>
      </c>
      <c r="IB113">
        <v>0</v>
      </c>
      <c r="IC113">
        <v>0</v>
      </c>
      <c r="ID113">
        <v>0</v>
      </c>
      <c r="IE113">
        <v>0</v>
      </c>
      <c r="IF113">
        <v>0</v>
      </c>
      <c r="IG113">
        <v>0</v>
      </c>
      <c r="IH113">
        <v>0</v>
      </c>
      <c r="II113">
        <v>0</v>
      </c>
      <c r="IJ113">
        <v>0</v>
      </c>
      <c r="IK113">
        <v>0</v>
      </c>
      <c r="IL113">
        <v>0</v>
      </c>
      <c r="IM113">
        <v>0</v>
      </c>
      <c r="IN113">
        <v>0</v>
      </c>
      <c r="IO113">
        <v>0</v>
      </c>
      <c r="IP113">
        <v>0</v>
      </c>
      <c r="IQ113">
        <v>0</v>
      </c>
      <c r="IR113">
        <v>0</v>
      </c>
      <c r="IS113">
        <v>0</v>
      </c>
      <c r="IT113">
        <v>0</v>
      </c>
      <c r="IU113">
        <v>0</v>
      </c>
      <c r="IV113">
        <v>0</v>
      </c>
      <c r="IW113">
        <v>0</v>
      </c>
      <c r="IX113">
        <v>0</v>
      </c>
      <c r="IY113">
        <v>0</v>
      </c>
      <c r="IZ113">
        <v>0</v>
      </c>
      <c r="JA113">
        <v>0</v>
      </c>
      <c r="JB113">
        <v>0</v>
      </c>
      <c r="JC113">
        <v>0</v>
      </c>
      <c r="JD113">
        <v>0</v>
      </c>
      <c r="JE113">
        <v>0</v>
      </c>
      <c r="JF113">
        <v>0</v>
      </c>
      <c r="JG113">
        <v>0</v>
      </c>
      <c r="JH113">
        <v>0</v>
      </c>
      <c r="JI113">
        <v>0</v>
      </c>
      <c r="JJ113">
        <v>0</v>
      </c>
      <c r="JK113">
        <v>0</v>
      </c>
      <c r="JL113">
        <v>0</v>
      </c>
      <c r="JM113">
        <v>0</v>
      </c>
      <c r="JN113">
        <v>0</v>
      </c>
      <c r="JO113">
        <v>0</v>
      </c>
      <c r="JP113">
        <v>0</v>
      </c>
      <c r="JQ113">
        <v>0</v>
      </c>
      <c r="JR113">
        <v>0</v>
      </c>
      <c r="JS113">
        <v>0</v>
      </c>
      <c r="JT113">
        <v>0</v>
      </c>
      <c r="JU113">
        <v>0</v>
      </c>
      <c r="JV113">
        <v>0</v>
      </c>
      <c r="JW113">
        <v>0</v>
      </c>
      <c r="JX113">
        <v>0</v>
      </c>
      <c r="JY113">
        <v>0</v>
      </c>
      <c r="JZ113">
        <v>0</v>
      </c>
      <c r="KA113">
        <v>0</v>
      </c>
      <c r="KB113">
        <v>0</v>
      </c>
      <c r="KC113">
        <v>0</v>
      </c>
      <c r="KD113">
        <v>0</v>
      </c>
      <c r="KE113">
        <v>0</v>
      </c>
      <c r="KF113">
        <v>0</v>
      </c>
      <c r="KG113">
        <v>0</v>
      </c>
      <c r="KH113">
        <v>0</v>
      </c>
      <c r="KI113">
        <v>0</v>
      </c>
      <c r="KJ113">
        <v>0</v>
      </c>
      <c r="KK113">
        <v>0</v>
      </c>
      <c r="KL113">
        <v>0</v>
      </c>
      <c r="KM113">
        <v>0</v>
      </c>
      <c r="KN113">
        <v>0</v>
      </c>
      <c r="KO113">
        <v>0</v>
      </c>
      <c r="KP113">
        <v>0</v>
      </c>
      <c r="KQ113">
        <v>0</v>
      </c>
      <c r="KR113">
        <v>0</v>
      </c>
      <c r="KS113">
        <v>0</v>
      </c>
      <c r="KT113">
        <v>0</v>
      </c>
      <c r="KU113">
        <v>0</v>
      </c>
      <c r="KV113">
        <v>0</v>
      </c>
      <c r="KW113">
        <v>0</v>
      </c>
      <c r="KX113">
        <v>0</v>
      </c>
      <c r="KY113">
        <v>0</v>
      </c>
      <c r="KZ113">
        <v>0</v>
      </c>
      <c r="LA113">
        <v>0</v>
      </c>
      <c r="LB113">
        <v>0</v>
      </c>
      <c r="LC113">
        <v>0</v>
      </c>
      <c r="LD113">
        <v>0</v>
      </c>
      <c r="LE113">
        <v>0</v>
      </c>
      <c r="LF113">
        <v>0</v>
      </c>
      <c r="LG113">
        <v>0</v>
      </c>
      <c r="LH113">
        <v>0</v>
      </c>
      <c r="LI113">
        <v>0</v>
      </c>
      <c r="LJ113">
        <v>0</v>
      </c>
      <c r="LK113">
        <v>0</v>
      </c>
      <c r="LL113">
        <v>0</v>
      </c>
      <c r="LM113">
        <v>0</v>
      </c>
      <c r="LN113">
        <v>0</v>
      </c>
      <c r="LO113">
        <v>0</v>
      </c>
      <c r="LP113">
        <v>0</v>
      </c>
      <c r="LQ113">
        <v>0</v>
      </c>
      <c r="LR113">
        <v>0</v>
      </c>
      <c r="LS113">
        <v>0</v>
      </c>
      <c r="LT113">
        <v>0</v>
      </c>
      <c r="LU113">
        <v>0</v>
      </c>
      <c r="LV113">
        <v>0</v>
      </c>
      <c r="LW113">
        <v>0</v>
      </c>
      <c r="LX113">
        <v>0</v>
      </c>
      <c r="LY113">
        <v>0</v>
      </c>
      <c r="LZ113">
        <v>0</v>
      </c>
      <c r="MA113">
        <v>0</v>
      </c>
      <c r="MB113">
        <v>0</v>
      </c>
      <c r="MC113">
        <v>0</v>
      </c>
      <c r="MD113">
        <v>0</v>
      </c>
      <c r="ME113">
        <v>0</v>
      </c>
      <c r="MF113">
        <v>0</v>
      </c>
      <c r="MG113">
        <v>0</v>
      </c>
      <c r="MH113">
        <v>0</v>
      </c>
      <c r="MI113">
        <v>0</v>
      </c>
      <c r="MJ113">
        <v>0</v>
      </c>
      <c r="MK113">
        <v>0</v>
      </c>
      <c r="ML113">
        <v>0</v>
      </c>
      <c r="MM113">
        <v>0</v>
      </c>
      <c r="MN113">
        <v>0</v>
      </c>
      <c r="MO113">
        <v>0</v>
      </c>
      <c r="MP113">
        <v>0</v>
      </c>
      <c r="MQ113">
        <v>0</v>
      </c>
      <c r="MR113">
        <v>0</v>
      </c>
      <c r="MS113">
        <v>0</v>
      </c>
      <c r="MT113">
        <v>0</v>
      </c>
      <c r="MU113">
        <v>0</v>
      </c>
      <c r="MV113">
        <v>0</v>
      </c>
      <c r="MW113">
        <v>0</v>
      </c>
      <c r="MX113">
        <v>0</v>
      </c>
      <c r="MY113">
        <v>0</v>
      </c>
      <c r="MZ113">
        <v>0</v>
      </c>
      <c r="NA113">
        <v>0</v>
      </c>
      <c r="NB113">
        <v>0</v>
      </c>
      <c r="NC113">
        <v>0</v>
      </c>
      <c r="ND113">
        <v>0</v>
      </c>
      <c r="NE113">
        <v>0</v>
      </c>
    </row>
    <row r="114" spans="41:369" x14ac:dyDescent="0.45">
      <c r="AO114" t="str">
        <v>B135</v>
      </c>
      <c r="AP114" t="str">
        <v>MOHAMMED RAFIH M R</v>
      </c>
      <c r="AQ114" t="str">
        <v>FANT</v>
      </c>
      <c r="AR114" t="str">
        <v>JUNIOR</v>
      </c>
      <c r="AS114">
        <v>3</v>
      </c>
      <c r="AT114">
        <v>28</v>
      </c>
      <c r="AU114">
        <v>0</v>
      </c>
      <c r="AV114">
        <v>28</v>
      </c>
      <c r="AW114">
        <v>28</v>
      </c>
      <c r="AX114">
        <v>51</v>
      </c>
      <c r="AY114" s="5">
        <v>51</v>
      </c>
      <c r="AZ114" t="str">
        <v>SN23</v>
      </c>
      <c r="BA114" t="str">
        <v>POSTER DESIGNING DIGITAL</v>
      </c>
      <c r="BB114" t="str">
        <v>SENIOR</v>
      </c>
      <c r="BC114" t="str">
        <v>Single</v>
      </c>
      <c r="BD114" t="str">
        <v>Non-Stg</v>
      </c>
      <c r="BE114">
        <v>2</v>
      </c>
      <c r="BF114" t="str">
        <v>Individual</v>
      </c>
      <c r="BG114" t="str">
        <v>Individual</v>
      </c>
      <c r="BH114" t="str">
        <v>P</v>
      </c>
      <c r="BI114" t="str">
        <v>PUBLISHED</v>
      </c>
      <c r="BK114">
        <v>108</v>
      </c>
      <c r="BL114" t="str">
        <v>SN19</v>
      </c>
      <c r="BM114" t="str">
        <v>POEM ARB</v>
      </c>
      <c r="BN114">
        <v>3</v>
      </c>
      <c r="BO114" t="str">
        <v>Single</v>
      </c>
      <c r="BP114" t="str">
        <v>Non-Stg</v>
      </c>
      <c r="BQ114" t="str">
        <v>SENIOR</v>
      </c>
      <c r="BR114" t="str">
        <v>C101</v>
      </c>
      <c r="BS114" t="str">
        <v>C112</v>
      </c>
      <c r="BT114" t="str">
        <v>C118</v>
      </c>
      <c r="BU114">
        <v>0</v>
      </c>
      <c r="BV114">
        <v>0</v>
      </c>
      <c r="BW114">
        <v>0</v>
      </c>
      <c r="BX114">
        <v>0</v>
      </c>
      <c r="BY114" t="str">
        <v>C120</v>
      </c>
      <c r="BZ114" t="str">
        <v>C136</v>
      </c>
      <c r="CA114" t="str">
        <v>C166</v>
      </c>
      <c r="CB114">
        <v>0</v>
      </c>
      <c r="CC114">
        <v>0</v>
      </c>
      <c r="CD114">
        <v>0</v>
      </c>
      <c r="CE114">
        <v>0</v>
      </c>
      <c r="CF114" t="str">
        <v>C124</v>
      </c>
      <c r="CG114" t="str">
        <v>C174</v>
      </c>
      <c r="CH114" t="str">
        <v>C169</v>
      </c>
      <c r="CI114">
        <v>0</v>
      </c>
      <c r="CJ114">
        <v>0</v>
      </c>
      <c r="CK114">
        <v>0</v>
      </c>
      <c r="CL114">
        <v>0</v>
      </c>
      <c r="CM114" t="str">
        <v>C111</v>
      </c>
      <c r="CN114" t="str">
        <v>C167</v>
      </c>
      <c r="CO114" t="str">
        <v>C175</v>
      </c>
      <c r="CP114">
        <v>0</v>
      </c>
      <c r="CQ114">
        <v>0</v>
      </c>
      <c r="CR114">
        <v>0</v>
      </c>
      <c r="CS114">
        <v>0</v>
      </c>
      <c r="CT114">
        <v>0</v>
      </c>
      <c r="CU114">
        <v>0</v>
      </c>
      <c r="CV114">
        <v>0</v>
      </c>
      <c r="CW114">
        <v>0</v>
      </c>
      <c r="CX114">
        <v>0</v>
      </c>
      <c r="CY114">
        <v>0</v>
      </c>
      <c r="CZ114">
        <v>0</v>
      </c>
      <c r="DA114">
        <v>0</v>
      </c>
      <c r="DB114">
        <v>0</v>
      </c>
      <c r="DC114">
        <v>0</v>
      </c>
      <c r="DD114">
        <v>0</v>
      </c>
      <c r="DE114">
        <v>0</v>
      </c>
      <c r="DF114">
        <v>0</v>
      </c>
      <c r="DG114">
        <v>0</v>
      </c>
      <c r="DH114">
        <v>0</v>
      </c>
      <c r="DI114">
        <v>0</v>
      </c>
      <c r="DJ114">
        <v>0</v>
      </c>
      <c r="DK114">
        <v>0</v>
      </c>
      <c r="DL114">
        <v>0</v>
      </c>
      <c r="DM114">
        <v>0</v>
      </c>
      <c r="DN114">
        <v>0</v>
      </c>
      <c r="DO114">
        <v>0</v>
      </c>
      <c r="DP114">
        <v>0</v>
      </c>
      <c r="DQ114">
        <v>0</v>
      </c>
      <c r="DR114">
        <v>0</v>
      </c>
      <c r="DS114">
        <v>0</v>
      </c>
      <c r="DT114">
        <v>0</v>
      </c>
      <c r="DU114">
        <v>0</v>
      </c>
      <c r="DV114">
        <v>0</v>
      </c>
      <c r="DW114">
        <v>0</v>
      </c>
      <c r="DX114">
        <v>0</v>
      </c>
      <c r="DY114">
        <v>0</v>
      </c>
      <c r="DZ114">
        <v>0</v>
      </c>
      <c r="EA114">
        <v>0</v>
      </c>
      <c r="EB114">
        <v>0</v>
      </c>
      <c r="EC114">
        <v>0</v>
      </c>
      <c r="ED114">
        <v>0</v>
      </c>
      <c r="EE114">
        <v>0</v>
      </c>
      <c r="EF114">
        <v>0</v>
      </c>
      <c r="EG114">
        <v>0</v>
      </c>
      <c r="EH114">
        <v>0</v>
      </c>
      <c r="EI114">
        <v>0</v>
      </c>
      <c r="EJ114">
        <v>0</v>
      </c>
      <c r="EK114">
        <v>0</v>
      </c>
      <c r="EL114">
        <v>0</v>
      </c>
      <c r="EM114">
        <v>0</v>
      </c>
      <c r="EN114">
        <v>0</v>
      </c>
      <c r="EO114">
        <v>0</v>
      </c>
      <c r="EP114">
        <v>0</v>
      </c>
      <c r="EQ114">
        <v>0</v>
      </c>
      <c r="ER114">
        <v>0</v>
      </c>
      <c r="ES114">
        <v>0</v>
      </c>
      <c r="ET114">
        <v>0</v>
      </c>
      <c r="EU114">
        <v>0</v>
      </c>
      <c r="EV114">
        <v>0</v>
      </c>
      <c r="EW114">
        <v>0</v>
      </c>
      <c r="EX114">
        <v>0</v>
      </c>
      <c r="EY114">
        <v>0</v>
      </c>
      <c r="EZ114">
        <v>0</v>
      </c>
      <c r="FA114">
        <v>0</v>
      </c>
      <c r="FB114">
        <v>0</v>
      </c>
      <c r="FC114">
        <v>0</v>
      </c>
      <c r="FD114">
        <v>0</v>
      </c>
      <c r="FE114">
        <v>0</v>
      </c>
      <c r="FF114">
        <v>0</v>
      </c>
      <c r="FG114">
        <v>0</v>
      </c>
      <c r="FH114">
        <v>0</v>
      </c>
      <c r="FI114">
        <v>0</v>
      </c>
      <c r="FJ114">
        <v>0</v>
      </c>
      <c r="FK114">
        <v>0</v>
      </c>
      <c r="FL114">
        <v>0</v>
      </c>
      <c r="FM114">
        <v>0</v>
      </c>
      <c r="FN114">
        <v>0</v>
      </c>
      <c r="FO114">
        <v>0</v>
      </c>
      <c r="FP114">
        <v>0</v>
      </c>
      <c r="FQ114">
        <v>0</v>
      </c>
      <c r="FR114">
        <v>0</v>
      </c>
      <c r="FS114">
        <v>0</v>
      </c>
      <c r="FT114">
        <v>0</v>
      </c>
      <c r="FU114">
        <v>0</v>
      </c>
      <c r="FV114">
        <v>0</v>
      </c>
      <c r="FW114">
        <v>0</v>
      </c>
      <c r="FX114">
        <v>0</v>
      </c>
      <c r="FY114">
        <v>0</v>
      </c>
      <c r="FZ114">
        <v>0</v>
      </c>
      <c r="GA114">
        <v>0</v>
      </c>
      <c r="GB114">
        <v>0</v>
      </c>
      <c r="GC114">
        <v>0</v>
      </c>
      <c r="GD114">
        <v>0</v>
      </c>
      <c r="GE114">
        <v>0</v>
      </c>
      <c r="GF114">
        <v>0</v>
      </c>
      <c r="GG114">
        <v>0</v>
      </c>
      <c r="GH114">
        <v>0</v>
      </c>
      <c r="GI114">
        <v>0</v>
      </c>
      <c r="GJ114">
        <v>0</v>
      </c>
      <c r="GK114">
        <v>0</v>
      </c>
      <c r="GL114">
        <v>0</v>
      </c>
      <c r="GM114">
        <v>0</v>
      </c>
      <c r="GN114">
        <v>0</v>
      </c>
      <c r="GO114">
        <v>0</v>
      </c>
      <c r="GP114">
        <v>0</v>
      </c>
      <c r="GQ114">
        <v>0</v>
      </c>
      <c r="GR114">
        <v>0</v>
      </c>
      <c r="GS114">
        <v>0</v>
      </c>
      <c r="GT114">
        <v>0</v>
      </c>
      <c r="GU114">
        <v>0</v>
      </c>
      <c r="GV114">
        <v>0</v>
      </c>
      <c r="GW114">
        <v>0</v>
      </c>
      <c r="GX114">
        <v>0</v>
      </c>
      <c r="GY114">
        <v>0</v>
      </c>
      <c r="GZ114">
        <v>0</v>
      </c>
      <c r="HA114">
        <v>0</v>
      </c>
      <c r="HB114">
        <v>0</v>
      </c>
      <c r="HC114">
        <v>0</v>
      </c>
      <c r="HD114">
        <v>0</v>
      </c>
      <c r="HE114">
        <v>0</v>
      </c>
      <c r="HF114">
        <v>0</v>
      </c>
      <c r="HG114">
        <v>0</v>
      </c>
      <c r="HH114">
        <v>0</v>
      </c>
      <c r="HI114">
        <v>0</v>
      </c>
      <c r="HJ114">
        <v>0</v>
      </c>
      <c r="HK114">
        <v>0</v>
      </c>
      <c r="HL114">
        <v>0</v>
      </c>
      <c r="HM114">
        <v>0</v>
      </c>
      <c r="HN114">
        <v>0</v>
      </c>
      <c r="HO114">
        <v>0</v>
      </c>
      <c r="HP114">
        <v>0</v>
      </c>
      <c r="HQ114">
        <v>0</v>
      </c>
      <c r="HR114">
        <v>0</v>
      </c>
      <c r="HS114">
        <v>0</v>
      </c>
      <c r="HT114">
        <v>0</v>
      </c>
      <c r="HU114">
        <v>0</v>
      </c>
      <c r="HV114">
        <v>0</v>
      </c>
      <c r="HW114">
        <v>0</v>
      </c>
      <c r="HX114">
        <v>0</v>
      </c>
      <c r="HY114">
        <v>0</v>
      </c>
      <c r="HZ114">
        <v>0</v>
      </c>
      <c r="IA114">
        <v>0</v>
      </c>
      <c r="IB114">
        <v>0</v>
      </c>
      <c r="IC114">
        <v>0</v>
      </c>
      <c r="ID114">
        <v>0</v>
      </c>
      <c r="IE114">
        <v>0</v>
      </c>
      <c r="IF114">
        <v>0</v>
      </c>
      <c r="IG114">
        <v>0</v>
      </c>
      <c r="IH114">
        <v>0</v>
      </c>
      <c r="II114">
        <v>0</v>
      </c>
      <c r="IJ114">
        <v>0</v>
      </c>
      <c r="IK114">
        <v>0</v>
      </c>
      <c r="IL114">
        <v>0</v>
      </c>
      <c r="IM114">
        <v>0</v>
      </c>
      <c r="IN114">
        <v>0</v>
      </c>
      <c r="IO114">
        <v>0</v>
      </c>
      <c r="IP114">
        <v>0</v>
      </c>
      <c r="IQ114">
        <v>0</v>
      </c>
      <c r="IR114">
        <v>0</v>
      </c>
      <c r="IS114">
        <v>0</v>
      </c>
      <c r="IT114">
        <v>0</v>
      </c>
      <c r="IU114">
        <v>0</v>
      </c>
      <c r="IV114">
        <v>0</v>
      </c>
      <c r="IW114">
        <v>0</v>
      </c>
      <c r="IX114">
        <v>0</v>
      </c>
      <c r="IY114">
        <v>0</v>
      </c>
      <c r="IZ114">
        <v>0</v>
      </c>
      <c r="JA114">
        <v>0</v>
      </c>
      <c r="JB114">
        <v>0</v>
      </c>
      <c r="JC114">
        <v>0</v>
      </c>
      <c r="JD114">
        <v>0</v>
      </c>
      <c r="JE114">
        <v>0</v>
      </c>
      <c r="JF114">
        <v>0</v>
      </c>
      <c r="JG114">
        <v>0</v>
      </c>
      <c r="JH114">
        <v>0</v>
      </c>
      <c r="JI114">
        <v>0</v>
      </c>
      <c r="JJ114">
        <v>0</v>
      </c>
      <c r="JK114">
        <v>0</v>
      </c>
      <c r="JL114">
        <v>0</v>
      </c>
      <c r="JM114">
        <v>0</v>
      </c>
      <c r="JN114">
        <v>0</v>
      </c>
      <c r="JO114">
        <v>0</v>
      </c>
      <c r="JP114">
        <v>0</v>
      </c>
      <c r="JQ114">
        <v>0</v>
      </c>
      <c r="JR114">
        <v>0</v>
      </c>
      <c r="JS114">
        <v>0</v>
      </c>
      <c r="JT114">
        <v>0</v>
      </c>
      <c r="JU114">
        <v>0</v>
      </c>
      <c r="JV114">
        <v>0</v>
      </c>
      <c r="JW114">
        <v>0</v>
      </c>
      <c r="JX114">
        <v>0</v>
      </c>
      <c r="JY114">
        <v>0</v>
      </c>
      <c r="JZ114">
        <v>0</v>
      </c>
      <c r="KA114">
        <v>0</v>
      </c>
      <c r="KB114">
        <v>0</v>
      </c>
      <c r="KC114">
        <v>0</v>
      </c>
      <c r="KD114">
        <v>0</v>
      </c>
      <c r="KE114">
        <v>0</v>
      </c>
      <c r="KF114">
        <v>0</v>
      </c>
      <c r="KG114">
        <v>0</v>
      </c>
      <c r="KH114">
        <v>0</v>
      </c>
      <c r="KI114">
        <v>0</v>
      </c>
      <c r="KJ114">
        <v>0</v>
      </c>
      <c r="KK114">
        <v>0</v>
      </c>
      <c r="KL114">
        <v>0</v>
      </c>
      <c r="KM114">
        <v>0</v>
      </c>
      <c r="KN114">
        <v>0</v>
      </c>
      <c r="KO114">
        <v>0</v>
      </c>
      <c r="KP114">
        <v>0</v>
      </c>
      <c r="KQ114">
        <v>0</v>
      </c>
      <c r="KR114">
        <v>0</v>
      </c>
      <c r="KS114">
        <v>0</v>
      </c>
      <c r="KT114">
        <v>0</v>
      </c>
      <c r="KU114">
        <v>0</v>
      </c>
      <c r="KV114">
        <v>0</v>
      </c>
      <c r="KW114">
        <v>0</v>
      </c>
      <c r="KX114">
        <v>0</v>
      </c>
      <c r="KY114">
        <v>0</v>
      </c>
      <c r="KZ114">
        <v>0</v>
      </c>
      <c r="LA114">
        <v>0</v>
      </c>
      <c r="LB114">
        <v>0</v>
      </c>
      <c r="LC114">
        <v>0</v>
      </c>
      <c r="LD114">
        <v>0</v>
      </c>
      <c r="LE114">
        <v>0</v>
      </c>
      <c r="LF114">
        <v>0</v>
      </c>
      <c r="LG114">
        <v>0</v>
      </c>
      <c r="LH114">
        <v>0</v>
      </c>
      <c r="LI114">
        <v>0</v>
      </c>
      <c r="LJ114">
        <v>0</v>
      </c>
      <c r="LK114">
        <v>0</v>
      </c>
      <c r="LL114">
        <v>0</v>
      </c>
      <c r="LM114">
        <v>0</v>
      </c>
      <c r="LN114">
        <v>0</v>
      </c>
      <c r="LO114">
        <v>0</v>
      </c>
      <c r="LP114">
        <v>0</v>
      </c>
      <c r="LQ114">
        <v>0</v>
      </c>
      <c r="LR114">
        <v>0</v>
      </c>
      <c r="LS114">
        <v>0</v>
      </c>
      <c r="LT114">
        <v>0</v>
      </c>
      <c r="LU114">
        <v>0</v>
      </c>
      <c r="LV114">
        <v>0</v>
      </c>
      <c r="LW114">
        <v>0</v>
      </c>
      <c r="LX114">
        <v>0</v>
      </c>
      <c r="LY114">
        <v>0</v>
      </c>
      <c r="LZ114">
        <v>0</v>
      </c>
      <c r="MA114">
        <v>0</v>
      </c>
      <c r="MB114">
        <v>0</v>
      </c>
      <c r="MC114">
        <v>0</v>
      </c>
      <c r="MD114">
        <v>0</v>
      </c>
      <c r="ME114">
        <v>0</v>
      </c>
      <c r="MF114">
        <v>0</v>
      </c>
      <c r="MG114">
        <v>0</v>
      </c>
      <c r="MH114">
        <v>0</v>
      </c>
      <c r="MI114">
        <v>0</v>
      </c>
      <c r="MJ114">
        <v>0</v>
      </c>
      <c r="MK114">
        <v>0</v>
      </c>
      <c r="ML114">
        <v>0</v>
      </c>
      <c r="MM114">
        <v>0</v>
      </c>
      <c r="MN114">
        <v>0</v>
      </c>
      <c r="MO114">
        <v>0</v>
      </c>
      <c r="MP114">
        <v>0</v>
      </c>
      <c r="MQ114">
        <v>0</v>
      </c>
      <c r="MR114">
        <v>0</v>
      </c>
      <c r="MS114">
        <v>0</v>
      </c>
      <c r="MT114">
        <v>0</v>
      </c>
      <c r="MU114">
        <v>0</v>
      </c>
      <c r="MV114">
        <v>0</v>
      </c>
      <c r="MW114">
        <v>0</v>
      </c>
      <c r="MX114">
        <v>0</v>
      </c>
      <c r="MY114">
        <v>0</v>
      </c>
      <c r="MZ114">
        <v>0</v>
      </c>
      <c r="NA114">
        <v>0</v>
      </c>
      <c r="NB114">
        <v>0</v>
      </c>
      <c r="NC114">
        <v>0</v>
      </c>
      <c r="ND114">
        <v>0</v>
      </c>
      <c r="NE114">
        <v>0</v>
      </c>
    </row>
    <row r="115" spans="41:369" x14ac:dyDescent="0.45">
      <c r="AO115" t="str">
        <v>B136</v>
      </c>
      <c r="AP115" t="str">
        <v>MUHAMMAD MIJVAD K</v>
      </c>
      <c r="AQ115" t="str">
        <v>BADF</v>
      </c>
      <c r="AR115" t="str">
        <v>JUNIOR</v>
      </c>
      <c r="AS115">
        <v>3</v>
      </c>
      <c r="AT115">
        <v>12</v>
      </c>
      <c r="AU115">
        <v>0</v>
      </c>
      <c r="AV115">
        <v>12</v>
      </c>
      <c r="AW115">
        <v>12</v>
      </c>
      <c r="AX115">
        <v>119</v>
      </c>
      <c r="AY115" s="5">
        <v>119</v>
      </c>
      <c r="AZ115" t="str">
        <v>SN24</v>
      </c>
      <c r="BA115" t="str">
        <v>QIRĀʾAH</v>
      </c>
      <c r="BB115" t="str">
        <v>SENIOR</v>
      </c>
      <c r="BC115" t="str">
        <v>Single</v>
      </c>
      <c r="BD115" t="str">
        <v>Non-Stg</v>
      </c>
      <c r="BE115">
        <v>3</v>
      </c>
      <c r="BF115" t="str">
        <v>Individual</v>
      </c>
      <c r="BG115" t="str">
        <v>Individual</v>
      </c>
      <c r="BH115" t="str">
        <v>P</v>
      </c>
      <c r="BI115" t="str">
        <v>PUBLISHED</v>
      </c>
      <c r="BK115">
        <v>109</v>
      </c>
      <c r="BL115" t="str">
        <v>SN20</v>
      </c>
      <c r="BM115" t="str">
        <v>POEM ENG</v>
      </c>
      <c r="BN115">
        <v>3</v>
      </c>
      <c r="BO115" t="str">
        <v>Single</v>
      </c>
      <c r="BP115" t="str">
        <v>Non-Stg</v>
      </c>
      <c r="BQ115" t="str">
        <v>SENIOR</v>
      </c>
      <c r="BR115" t="str">
        <v>C127</v>
      </c>
      <c r="BS115" t="str">
        <v>C155</v>
      </c>
      <c r="BT115" t="str">
        <v>C168</v>
      </c>
      <c r="BU115">
        <v>0</v>
      </c>
      <c r="BV115">
        <v>0</v>
      </c>
      <c r="BW115">
        <v>0</v>
      </c>
      <c r="BX115">
        <v>0</v>
      </c>
      <c r="BY115" t="str">
        <v>C107</v>
      </c>
      <c r="BZ115" t="str">
        <v>C130</v>
      </c>
      <c r="CA115" t="str">
        <v>C158</v>
      </c>
      <c r="CB115">
        <v>0</v>
      </c>
      <c r="CC115">
        <v>0</v>
      </c>
      <c r="CD115">
        <v>0</v>
      </c>
      <c r="CE115">
        <v>0</v>
      </c>
      <c r="CF115" t="str">
        <v>C114</v>
      </c>
      <c r="CG115" t="str">
        <v>C145</v>
      </c>
      <c r="CH115" t="str">
        <v>C122</v>
      </c>
      <c r="CI115">
        <v>0</v>
      </c>
      <c r="CJ115">
        <v>0</v>
      </c>
      <c r="CK115">
        <v>0</v>
      </c>
      <c r="CL115">
        <v>0</v>
      </c>
      <c r="CM115" t="str">
        <v>C116</v>
      </c>
      <c r="CN115" t="str">
        <v>C121</v>
      </c>
      <c r="CO115" t="str">
        <v>C140</v>
      </c>
      <c r="CP115">
        <v>0</v>
      </c>
      <c r="CQ115">
        <v>0</v>
      </c>
      <c r="CR115">
        <v>0</v>
      </c>
      <c r="CS115">
        <v>0</v>
      </c>
      <c r="CT115">
        <v>0</v>
      </c>
      <c r="CU115">
        <v>0</v>
      </c>
      <c r="CV115">
        <v>0</v>
      </c>
      <c r="CW115">
        <v>0</v>
      </c>
      <c r="CX115">
        <v>0</v>
      </c>
      <c r="CY115">
        <v>0</v>
      </c>
      <c r="CZ115">
        <v>0</v>
      </c>
      <c r="DA115">
        <v>0</v>
      </c>
      <c r="DB115">
        <v>0</v>
      </c>
      <c r="DC115">
        <v>0</v>
      </c>
      <c r="DD115">
        <v>0</v>
      </c>
      <c r="DE115">
        <v>0</v>
      </c>
      <c r="DF115">
        <v>0</v>
      </c>
      <c r="DG115">
        <v>0</v>
      </c>
      <c r="DH115">
        <v>0</v>
      </c>
      <c r="DI115">
        <v>0</v>
      </c>
      <c r="DJ115">
        <v>0</v>
      </c>
      <c r="DK115">
        <v>0</v>
      </c>
      <c r="DL115">
        <v>0</v>
      </c>
      <c r="DM115">
        <v>0</v>
      </c>
      <c r="DN115">
        <v>0</v>
      </c>
      <c r="DO115">
        <v>0</v>
      </c>
      <c r="DP115">
        <v>0</v>
      </c>
      <c r="DQ115">
        <v>0</v>
      </c>
      <c r="DR115">
        <v>0</v>
      </c>
      <c r="DS115">
        <v>0</v>
      </c>
      <c r="DT115">
        <v>0</v>
      </c>
      <c r="DU115">
        <v>0</v>
      </c>
      <c r="DV115">
        <v>0</v>
      </c>
      <c r="DW115">
        <v>0</v>
      </c>
      <c r="DX115">
        <v>0</v>
      </c>
      <c r="DY115">
        <v>0</v>
      </c>
      <c r="DZ115">
        <v>0</v>
      </c>
      <c r="EA115">
        <v>0</v>
      </c>
      <c r="EB115">
        <v>0</v>
      </c>
      <c r="EC115">
        <v>0</v>
      </c>
      <c r="ED115">
        <v>0</v>
      </c>
      <c r="EE115">
        <v>0</v>
      </c>
      <c r="EF115">
        <v>0</v>
      </c>
      <c r="EG115">
        <v>0</v>
      </c>
      <c r="EH115">
        <v>0</v>
      </c>
      <c r="EI115">
        <v>0</v>
      </c>
      <c r="EJ115">
        <v>0</v>
      </c>
      <c r="EK115">
        <v>0</v>
      </c>
      <c r="EL115">
        <v>0</v>
      </c>
      <c r="EM115">
        <v>0</v>
      </c>
      <c r="EN115">
        <v>0</v>
      </c>
      <c r="EO115">
        <v>0</v>
      </c>
      <c r="EP115">
        <v>0</v>
      </c>
      <c r="EQ115">
        <v>0</v>
      </c>
      <c r="ER115">
        <v>0</v>
      </c>
      <c r="ES115">
        <v>0</v>
      </c>
      <c r="ET115">
        <v>0</v>
      </c>
      <c r="EU115">
        <v>0</v>
      </c>
      <c r="EV115">
        <v>0</v>
      </c>
      <c r="EW115">
        <v>0</v>
      </c>
      <c r="EX115">
        <v>0</v>
      </c>
      <c r="EY115">
        <v>0</v>
      </c>
      <c r="EZ115">
        <v>0</v>
      </c>
      <c r="FA115">
        <v>0</v>
      </c>
      <c r="FB115">
        <v>0</v>
      </c>
      <c r="FC115">
        <v>0</v>
      </c>
      <c r="FD115">
        <v>0</v>
      </c>
      <c r="FE115">
        <v>0</v>
      </c>
      <c r="FF115">
        <v>0</v>
      </c>
      <c r="FG115">
        <v>0</v>
      </c>
      <c r="FH115">
        <v>0</v>
      </c>
      <c r="FI115">
        <v>0</v>
      </c>
      <c r="FJ115">
        <v>0</v>
      </c>
      <c r="FK115">
        <v>0</v>
      </c>
      <c r="FL115">
        <v>0</v>
      </c>
      <c r="FM115">
        <v>0</v>
      </c>
      <c r="FN115">
        <v>0</v>
      </c>
      <c r="FO115">
        <v>0</v>
      </c>
      <c r="FP115">
        <v>0</v>
      </c>
      <c r="FQ115">
        <v>0</v>
      </c>
      <c r="FR115">
        <v>0</v>
      </c>
      <c r="FS115">
        <v>0</v>
      </c>
      <c r="FT115">
        <v>0</v>
      </c>
      <c r="FU115">
        <v>0</v>
      </c>
      <c r="FV115">
        <v>0</v>
      </c>
      <c r="FW115">
        <v>0</v>
      </c>
      <c r="FX115">
        <v>0</v>
      </c>
      <c r="FY115">
        <v>0</v>
      </c>
      <c r="FZ115">
        <v>0</v>
      </c>
      <c r="GA115">
        <v>0</v>
      </c>
      <c r="GB115">
        <v>0</v>
      </c>
      <c r="GC115">
        <v>0</v>
      </c>
      <c r="GD115">
        <v>0</v>
      </c>
      <c r="GE115">
        <v>0</v>
      </c>
      <c r="GF115">
        <v>0</v>
      </c>
      <c r="GG115">
        <v>0</v>
      </c>
      <c r="GH115">
        <v>0</v>
      </c>
      <c r="GI115">
        <v>0</v>
      </c>
      <c r="GJ115">
        <v>0</v>
      </c>
      <c r="GK115">
        <v>0</v>
      </c>
      <c r="GL115">
        <v>0</v>
      </c>
      <c r="GM115">
        <v>0</v>
      </c>
      <c r="GN115">
        <v>0</v>
      </c>
      <c r="GO115">
        <v>0</v>
      </c>
      <c r="GP115">
        <v>0</v>
      </c>
      <c r="GQ115">
        <v>0</v>
      </c>
      <c r="GR115">
        <v>0</v>
      </c>
      <c r="GS115">
        <v>0</v>
      </c>
      <c r="GT115">
        <v>0</v>
      </c>
      <c r="GU115">
        <v>0</v>
      </c>
      <c r="GV115">
        <v>0</v>
      </c>
      <c r="GW115">
        <v>0</v>
      </c>
      <c r="GX115">
        <v>0</v>
      </c>
      <c r="GY115">
        <v>0</v>
      </c>
      <c r="GZ115">
        <v>0</v>
      </c>
      <c r="HA115">
        <v>0</v>
      </c>
      <c r="HB115">
        <v>0</v>
      </c>
      <c r="HC115">
        <v>0</v>
      </c>
      <c r="HD115">
        <v>0</v>
      </c>
      <c r="HE115">
        <v>0</v>
      </c>
      <c r="HF115">
        <v>0</v>
      </c>
      <c r="HG115">
        <v>0</v>
      </c>
      <c r="HH115">
        <v>0</v>
      </c>
      <c r="HI115">
        <v>0</v>
      </c>
      <c r="HJ115">
        <v>0</v>
      </c>
      <c r="HK115">
        <v>0</v>
      </c>
      <c r="HL115">
        <v>0</v>
      </c>
      <c r="HM115">
        <v>0</v>
      </c>
      <c r="HN115">
        <v>0</v>
      </c>
      <c r="HO115">
        <v>0</v>
      </c>
      <c r="HP115">
        <v>0</v>
      </c>
      <c r="HQ115">
        <v>0</v>
      </c>
      <c r="HR115">
        <v>0</v>
      </c>
      <c r="HS115">
        <v>0</v>
      </c>
      <c r="HT115">
        <v>0</v>
      </c>
      <c r="HU115">
        <v>0</v>
      </c>
      <c r="HV115">
        <v>0</v>
      </c>
      <c r="HW115">
        <v>0</v>
      </c>
      <c r="HX115">
        <v>0</v>
      </c>
      <c r="HY115">
        <v>0</v>
      </c>
      <c r="HZ115">
        <v>0</v>
      </c>
      <c r="IA115">
        <v>0</v>
      </c>
      <c r="IB115">
        <v>0</v>
      </c>
      <c r="IC115">
        <v>0</v>
      </c>
      <c r="ID115">
        <v>0</v>
      </c>
      <c r="IE115">
        <v>0</v>
      </c>
      <c r="IF115">
        <v>0</v>
      </c>
      <c r="IG115">
        <v>0</v>
      </c>
      <c r="IH115">
        <v>0</v>
      </c>
      <c r="II115">
        <v>0</v>
      </c>
      <c r="IJ115">
        <v>0</v>
      </c>
      <c r="IK115">
        <v>0</v>
      </c>
      <c r="IL115">
        <v>0</v>
      </c>
      <c r="IM115">
        <v>0</v>
      </c>
      <c r="IN115">
        <v>0</v>
      </c>
      <c r="IO115">
        <v>0</v>
      </c>
      <c r="IP115">
        <v>0</v>
      </c>
      <c r="IQ115">
        <v>0</v>
      </c>
      <c r="IR115">
        <v>0</v>
      </c>
      <c r="IS115">
        <v>0</v>
      </c>
      <c r="IT115">
        <v>0</v>
      </c>
      <c r="IU115">
        <v>0</v>
      </c>
      <c r="IV115">
        <v>0</v>
      </c>
      <c r="IW115">
        <v>0</v>
      </c>
      <c r="IX115">
        <v>0</v>
      </c>
      <c r="IY115">
        <v>0</v>
      </c>
      <c r="IZ115">
        <v>0</v>
      </c>
      <c r="JA115">
        <v>0</v>
      </c>
      <c r="JB115">
        <v>0</v>
      </c>
      <c r="JC115">
        <v>0</v>
      </c>
      <c r="JD115">
        <v>0</v>
      </c>
      <c r="JE115">
        <v>0</v>
      </c>
      <c r="JF115">
        <v>0</v>
      </c>
      <c r="JG115">
        <v>0</v>
      </c>
      <c r="JH115">
        <v>0</v>
      </c>
      <c r="JI115">
        <v>0</v>
      </c>
      <c r="JJ115">
        <v>0</v>
      </c>
      <c r="JK115">
        <v>0</v>
      </c>
      <c r="JL115">
        <v>0</v>
      </c>
      <c r="JM115">
        <v>0</v>
      </c>
      <c r="JN115">
        <v>0</v>
      </c>
      <c r="JO115">
        <v>0</v>
      </c>
      <c r="JP115">
        <v>0</v>
      </c>
      <c r="JQ115">
        <v>0</v>
      </c>
      <c r="JR115">
        <v>0</v>
      </c>
      <c r="JS115">
        <v>0</v>
      </c>
      <c r="JT115">
        <v>0</v>
      </c>
      <c r="JU115">
        <v>0</v>
      </c>
      <c r="JV115">
        <v>0</v>
      </c>
      <c r="JW115">
        <v>0</v>
      </c>
      <c r="JX115">
        <v>0</v>
      </c>
      <c r="JY115">
        <v>0</v>
      </c>
      <c r="JZ115">
        <v>0</v>
      </c>
      <c r="KA115">
        <v>0</v>
      </c>
      <c r="KB115">
        <v>0</v>
      </c>
      <c r="KC115">
        <v>0</v>
      </c>
      <c r="KD115">
        <v>0</v>
      </c>
      <c r="KE115">
        <v>0</v>
      </c>
      <c r="KF115">
        <v>0</v>
      </c>
      <c r="KG115">
        <v>0</v>
      </c>
      <c r="KH115">
        <v>0</v>
      </c>
      <c r="KI115">
        <v>0</v>
      </c>
      <c r="KJ115">
        <v>0</v>
      </c>
      <c r="KK115">
        <v>0</v>
      </c>
      <c r="KL115">
        <v>0</v>
      </c>
      <c r="KM115">
        <v>0</v>
      </c>
      <c r="KN115">
        <v>0</v>
      </c>
      <c r="KO115">
        <v>0</v>
      </c>
      <c r="KP115">
        <v>0</v>
      </c>
      <c r="KQ115">
        <v>0</v>
      </c>
      <c r="KR115">
        <v>0</v>
      </c>
      <c r="KS115">
        <v>0</v>
      </c>
      <c r="KT115">
        <v>0</v>
      </c>
      <c r="KU115">
        <v>0</v>
      </c>
      <c r="KV115">
        <v>0</v>
      </c>
      <c r="KW115">
        <v>0</v>
      </c>
      <c r="KX115">
        <v>0</v>
      </c>
      <c r="KY115">
        <v>0</v>
      </c>
      <c r="KZ115">
        <v>0</v>
      </c>
      <c r="LA115">
        <v>0</v>
      </c>
      <c r="LB115">
        <v>0</v>
      </c>
      <c r="LC115">
        <v>0</v>
      </c>
      <c r="LD115">
        <v>0</v>
      </c>
      <c r="LE115">
        <v>0</v>
      </c>
      <c r="LF115">
        <v>0</v>
      </c>
      <c r="LG115">
        <v>0</v>
      </c>
      <c r="LH115">
        <v>0</v>
      </c>
      <c r="LI115">
        <v>0</v>
      </c>
      <c r="LJ115">
        <v>0</v>
      </c>
      <c r="LK115">
        <v>0</v>
      </c>
      <c r="LL115">
        <v>0</v>
      </c>
      <c r="LM115">
        <v>0</v>
      </c>
      <c r="LN115">
        <v>0</v>
      </c>
      <c r="LO115">
        <v>0</v>
      </c>
      <c r="LP115">
        <v>0</v>
      </c>
      <c r="LQ115">
        <v>0</v>
      </c>
      <c r="LR115">
        <v>0</v>
      </c>
      <c r="LS115">
        <v>0</v>
      </c>
      <c r="LT115">
        <v>0</v>
      </c>
      <c r="LU115">
        <v>0</v>
      </c>
      <c r="LV115">
        <v>0</v>
      </c>
      <c r="LW115">
        <v>0</v>
      </c>
      <c r="LX115">
        <v>0</v>
      </c>
      <c r="LY115">
        <v>0</v>
      </c>
      <c r="LZ115">
        <v>0</v>
      </c>
      <c r="MA115">
        <v>0</v>
      </c>
      <c r="MB115">
        <v>0</v>
      </c>
      <c r="MC115">
        <v>0</v>
      </c>
      <c r="MD115">
        <v>0</v>
      </c>
      <c r="ME115">
        <v>0</v>
      </c>
      <c r="MF115">
        <v>0</v>
      </c>
      <c r="MG115">
        <v>0</v>
      </c>
      <c r="MH115">
        <v>0</v>
      </c>
      <c r="MI115">
        <v>0</v>
      </c>
      <c r="MJ115">
        <v>0</v>
      </c>
      <c r="MK115">
        <v>0</v>
      </c>
      <c r="ML115">
        <v>0</v>
      </c>
      <c r="MM115">
        <v>0</v>
      </c>
      <c r="MN115">
        <v>0</v>
      </c>
      <c r="MO115">
        <v>0</v>
      </c>
      <c r="MP115">
        <v>0</v>
      </c>
      <c r="MQ115">
        <v>0</v>
      </c>
      <c r="MR115">
        <v>0</v>
      </c>
      <c r="MS115">
        <v>0</v>
      </c>
      <c r="MT115">
        <v>0</v>
      </c>
      <c r="MU115">
        <v>0</v>
      </c>
      <c r="MV115">
        <v>0</v>
      </c>
      <c r="MW115">
        <v>0</v>
      </c>
      <c r="MX115">
        <v>0</v>
      </c>
      <c r="MY115">
        <v>0</v>
      </c>
      <c r="MZ115">
        <v>0</v>
      </c>
      <c r="NA115">
        <v>0</v>
      </c>
      <c r="NB115">
        <v>0</v>
      </c>
      <c r="NC115">
        <v>0</v>
      </c>
      <c r="ND115">
        <v>0</v>
      </c>
      <c r="NE115">
        <v>0</v>
      </c>
    </row>
    <row r="116" spans="41:369" x14ac:dyDescent="0.45">
      <c r="AO116" t="str">
        <v>B137</v>
      </c>
      <c r="AP116" t="str">
        <v>MOHAMMAD IJAN</v>
      </c>
      <c r="AQ116" t="str">
        <v>BADF</v>
      </c>
      <c r="AR116" t="str">
        <v>JUNIOR</v>
      </c>
      <c r="AS116">
        <v>3</v>
      </c>
      <c r="AT116">
        <v>6</v>
      </c>
      <c r="AU116">
        <v>0</v>
      </c>
      <c r="AV116">
        <v>6</v>
      </c>
      <c r="AW116">
        <v>6</v>
      </c>
      <c r="AX116">
        <v>171</v>
      </c>
      <c r="AY116" s="5">
        <v>171</v>
      </c>
      <c r="AZ116" t="str">
        <v>SN25</v>
      </c>
      <c r="BA116" t="str">
        <v>SCIENCE MASTER</v>
      </c>
      <c r="BB116" t="str">
        <v>SENIOR</v>
      </c>
      <c r="BC116" t="str">
        <v>Single</v>
      </c>
      <c r="BD116" t="str">
        <v>Non-Stg</v>
      </c>
      <c r="BE116">
        <v>3</v>
      </c>
      <c r="BF116" t="str">
        <v>Master</v>
      </c>
      <c r="BG116" t="str">
        <v>Master</v>
      </c>
      <c r="BH116" t="str">
        <v>P</v>
      </c>
      <c r="BI116" t="str">
        <v>PUBLISHED</v>
      </c>
      <c r="BK116">
        <v>110</v>
      </c>
      <c r="BL116" t="str">
        <v>SN21</v>
      </c>
      <c r="BM116" t="str">
        <v>POEM MLM</v>
      </c>
      <c r="BN116">
        <v>3</v>
      </c>
      <c r="BO116" t="str">
        <v>Single</v>
      </c>
      <c r="BP116" t="str">
        <v>Non-Stg</v>
      </c>
      <c r="BQ116" t="str">
        <v>SENIOR</v>
      </c>
      <c r="BR116" t="str">
        <v>C101</v>
      </c>
      <c r="BS116" t="str">
        <v>C162</v>
      </c>
      <c r="BT116" t="str">
        <v>C173</v>
      </c>
      <c r="BU116">
        <v>0</v>
      </c>
      <c r="BV116">
        <v>0</v>
      </c>
      <c r="BW116">
        <v>0</v>
      </c>
      <c r="BX116">
        <v>0</v>
      </c>
      <c r="BY116" t="str">
        <v>C153</v>
      </c>
      <c r="BZ116" t="str">
        <v>C154</v>
      </c>
      <c r="CA116" t="str">
        <v>C161</v>
      </c>
      <c r="CB116">
        <v>0</v>
      </c>
      <c r="CC116">
        <v>0</v>
      </c>
      <c r="CD116">
        <v>0</v>
      </c>
      <c r="CE116">
        <v>0</v>
      </c>
      <c r="CF116" t="str">
        <v>C109</v>
      </c>
      <c r="CG116" t="str">
        <v>C145</v>
      </c>
      <c r="CH116" t="str">
        <v>C157</v>
      </c>
      <c r="CI116">
        <v>0</v>
      </c>
      <c r="CJ116">
        <v>0</v>
      </c>
      <c r="CK116">
        <v>0</v>
      </c>
      <c r="CL116">
        <v>0</v>
      </c>
      <c r="CM116" t="str">
        <v>C119</v>
      </c>
      <c r="CN116" t="str">
        <v>C152</v>
      </c>
      <c r="CO116" t="str">
        <v>C163</v>
      </c>
      <c r="CP116">
        <v>0</v>
      </c>
      <c r="CQ116">
        <v>0</v>
      </c>
      <c r="CR116">
        <v>0</v>
      </c>
      <c r="CS116">
        <v>0</v>
      </c>
      <c r="CT116">
        <v>0</v>
      </c>
      <c r="CU116">
        <v>0</v>
      </c>
      <c r="CV116">
        <v>0</v>
      </c>
      <c r="CW116">
        <v>0</v>
      </c>
      <c r="CX116">
        <v>0</v>
      </c>
      <c r="CY116">
        <v>0</v>
      </c>
      <c r="CZ116">
        <v>0</v>
      </c>
      <c r="DA116">
        <v>0</v>
      </c>
      <c r="DB116">
        <v>0</v>
      </c>
      <c r="DC116">
        <v>0</v>
      </c>
      <c r="DD116">
        <v>0</v>
      </c>
      <c r="DE116">
        <v>0</v>
      </c>
      <c r="DF116">
        <v>0</v>
      </c>
      <c r="DG116">
        <v>0</v>
      </c>
      <c r="DH116">
        <v>0</v>
      </c>
      <c r="DI116">
        <v>0</v>
      </c>
      <c r="DJ116">
        <v>0</v>
      </c>
      <c r="DK116">
        <v>0</v>
      </c>
      <c r="DL116">
        <v>0</v>
      </c>
      <c r="DM116">
        <v>0</v>
      </c>
      <c r="DN116">
        <v>0</v>
      </c>
      <c r="DO116">
        <v>0</v>
      </c>
      <c r="DP116">
        <v>0</v>
      </c>
      <c r="DQ116">
        <v>0</v>
      </c>
      <c r="DR116">
        <v>0</v>
      </c>
      <c r="DS116">
        <v>0</v>
      </c>
      <c r="DT116">
        <v>0</v>
      </c>
      <c r="DU116">
        <v>0</v>
      </c>
      <c r="DV116">
        <v>0</v>
      </c>
      <c r="DW116">
        <v>0</v>
      </c>
      <c r="DX116">
        <v>0</v>
      </c>
      <c r="DY116">
        <v>0</v>
      </c>
      <c r="DZ116">
        <v>0</v>
      </c>
      <c r="EA116">
        <v>0</v>
      </c>
      <c r="EB116">
        <v>0</v>
      </c>
      <c r="EC116">
        <v>0</v>
      </c>
      <c r="ED116">
        <v>0</v>
      </c>
      <c r="EE116">
        <v>0</v>
      </c>
      <c r="EF116">
        <v>0</v>
      </c>
      <c r="EG116">
        <v>0</v>
      </c>
      <c r="EH116">
        <v>0</v>
      </c>
      <c r="EI116">
        <v>0</v>
      </c>
      <c r="EJ116">
        <v>0</v>
      </c>
      <c r="EK116">
        <v>0</v>
      </c>
      <c r="EL116">
        <v>0</v>
      </c>
      <c r="EM116">
        <v>0</v>
      </c>
      <c r="EN116">
        <v>0</v>
      </c>
      <c r="EO116">
        <v>0</v>
      </c>
      <c r="EP116">
        <v>0</v>
      </c>
      <c r="EQ116">
        <v>0</v>
      </c>
      <c r="ER116">
        <v>0</v>
      </c>
      <c r="ES116">
        <v>0</v>
      </c>
      <c r="ET116">
        <v>0</v>
      </c>
      <c r="EU116">
        <v>0</v>
      </c>
      <c r="EV116">
        <v>0</v>
      </c>
      <c r="EW116">
        <v>0</v>
      </c>
      <c r="EX116">
        <v>0</v>
      </c>
      <c r="EY116">
        <v>0</v>
      </c>
      <c r="EZ116">
        <v>0</v>
      </c>
      <c r="FA116">
        <v>0</v>
      </c>
      <c r="FB116">
        <v>0</v>
      </c>
      <c r="FC116">
        <v>0</v>
      </c>
      <c r="FD116">
        <v>0</v>
      </c>
      <c r="FE116">
        <v>0</v>
      </c>
      <c r="FF116">
        <v>0</v>
      </c>
      <c r="FG116">
        <v>0</v>
      </c>
      <c r="FH116">
        <v>0</v>
      </c>
      <c r="FI116">
        <v>0</v>
      </c>
      <c r="FJ116">
        <v>0</v>
      </c>
      <c r="FK116">
        <v>0</v>
      </c>
      <c r="FL116">
        <v>0</v>
      </c>
      <c r="FM116">
        <v>0</v>
      </c>
      <c r="FN116">
        <v>0</v>
      </c>
      <c r="FO116">
        <v>0</v>
      </c>
      <c r="FP116">
        <v>0</v>
      </c>
      <c r="FQ116">
        <v>0</v>
      </c>
      <c r="FR116">
        <v>0</v>
      </c>
      <c r="FS116">
        <v>0</v>
      </c>
      <c r="FT116">
        <v>0</v>
      </c>
      <c r="FU116">
        <v>0</v>
      </c>
      <c r="FV116">
        <v>0</v>
      </c>
      <c r="FW116">
        <v>0</v>
      </c>
      <c r="FX116">
        <v>0</v>
      </c>
      <c r="FY116">
        <v>0</v>
      </c>
      <c r="FZ116">
        <v>0</v>
      </c>
      <c r="GA116">
        <v>0</v>
      </c>
      <c r="GB116">
        <v>0</v>
      </c>
      <c r="GC116">
        <v>0</v>
      </c>
      <c r="GD116">
        <v>0</v>
      </c>
      <c r="GE116">
        <v>0</v>
      </c>
      <c r="GF116">
        <v>0</v>
      </c>
      <c r="GG116">
        <v>0</v>
      </c>
      <c r="GH116">
        <v>0</v>
      </c>
      <c r="GI116">
        <v>0</v>
      </c>
      <c r="GJ116">
        <v>0</v>
      </c>
      <c r="GK116">
        <v>0</v>
      </c>
      <c r="GL116">
        <v>0</v>
      </c>
      <c r="GM116">
        <v>0</v>
      </c>
      <c r="GN116">
        <v>0</v>
      </c>
      <c r="GO116">
        <v>0</v>
      </c>
      <c r="GP116">
        <v>0</v>
      </c>
      <c r="GQ116">
        <v>0</v>
      </c>
      <c r="GR116">
        <v>0</v>
      </c>
      <c r="GS116">
        <v>0</v>
      </c>
      <c r="GT116">
        <v>0</v>
      </c>
      <c r="GU116">
        <v>0</v>
      </c>
      <c r="GV116">
        <v>0</v>
      </c>
      <c r="GW116">
        <v>0</v>
      </c>
      <c r="GX116">
        <v>0</v>
      </c>
      <c r="GY116">
        <v>0</v>
      </c>
      <c r="GZ116">
        <v>0</v>
      </c>
      <c r="HA116">
        <v>0</v>
      </c>
      <c r="HB116">
        <v>0</v>
      </c>
      <c r="HC116">
        <v>0</v>
      </c>
      <c r="HD116">
        <v>0</v>
      </c>
      <c r="HE116">
        <v>0</v>
      </c>
      <c r="HF116">
        <v>0</v>
      </c>
      <c r="HG116">
        <v>0</v>
      </c>
      <c r="HH116">
        <v>0</v>
      </c>
      <c r="HI116">
        <v>0</v>
      </c>
      <c r="HJ116">
        <v>0</v>
      </c>
      <c r="HK116">
        <v>0</v>
      </c>
      <c r="HL116">
        <v>0</v>
      </c>
      <c r="HM116">
        <v>0</v>
      </c>
      <c r="HN116">
        <v>0</v>
      </c>
      <c r="HO116">
        <v>0</v>
      </c>
      <c r="HP116">
        <v>0</v>
      </c>
      <c r="HQ116">
        <v>0</v>
      </c>
      <c r="HR116">
        <v>0</v>
      </c>
      <c r="HS116">
        <v>0</v>
      </c>
      <c r="HT116">
        <v>0</v>
      </c>
      <c r="HU116">
        <v>0</v>
      </c>
      <c r="HV116">
        <v>0</v>
      </c>
      <c r="HW116">
        <v>0</v>
      </c>
      <c r="HX116">
        <v>0</v>
      </c>
      <c r="HY116">
        <v>0</v>
      </c>
      <c r="HZ116">
        <v>0</v>
      </c>
      <c r="IA116">
        <v>0</v>
      </c>
      <c r="IB116">
        <v>0</v>
      </c>
      <c r="IC116">
        <v>0</v>
      </c>
      <c r="ID116">
        <v>0</v>
      </c>
      <c r="IE116">
        <v>0</v>
      </c>
      <c r="IF116">
        <v>0</v>
      </c>
      <c r="IG116">
        <v>0</v>
      </c>
      <c r="IH116">
        <v>0</v>
      </c>
      <c r="II116">
        <v>0</v>
      </c>
      <c r="IJ116">
        <v>0</v>
      </c>
      <c r="IK116">
        <v>0</v>
      </c>
      <c r="IL116">
        <v>0</v>
      </c>
      <c r="IM116">
        <v>0</v>
      </c>
      <c r="IN116">
        <v>0</v>
      </c>
      <c r="IO116">
        <v>0</v>
      </c>
      <c r="IP116">
        <v>0</v>
      </c>
      <c r="IQ116">
        <v>0</v>
      </c>
      <c r="IR116">
        <v>0</v>
      </c>
      <c r="IS116">
        <v>0</v>
      </c>
      <c r="IT116">
        <v>0</v>
      </c>
      <c r="IU116">
        <v>0</v>
      </c>
      <c r="IV116">
        <v>0</v>
      </c>
      <c r="IW116">
        <v>0</v>
      </c>
      <c r="IX116">
        <v>0</v>
      </c>
      <c r="IY116">
        <v>0</v>
      </c>
      <c r="IZ116">
        <v>0</v>
      </c>
      <c r="JA116">
        <v>0</v>
      </c>
      <c r="JB116">
        <v>0</v>
      </c>
      <c r="JC116">
        <v>0</v>
      </c>
      <c r="JD116">
        <v>0</v>
      </c>
      <c r="JE116">
        <v>0</v>
      </c>
      <c r="JF116">
        <v>0</v>
      </c>
      <c r="JG116">
        <v>0</v>
      </c>
      <c r="JH116">
        <v>0</v>
      </c>
      <c r="JI116">
        <v>0</v>
      </c>
      <c r="JJ116">
        <v>0</v>
      </c>
      <c r="JK116">
        <v>0</v>
      </c>
      <c r="JL116">
        <v>0</v>
      </c>
      <c r="JM116">
        <v>0</v>
      </c>
      <c r="JN116">
        <v>0</v>
      </c>
      <c r="JO116">
        <v>0</v>
      </c>
      <c r="JP116">
        <v>0</v>
      </c>
      <c r="JQ116">
        <v>0</v>
      </c>
      <c r="JR116">
        <v>0</v>
      </c>
      <c r="JS116">
        <v>0</v>
      </c>
      <c r="JT116">
        <v>0</v>
      </c>
      <c r="JU116">
        <v>0</v>
      </c>
      <c r="JV116">
        <v>0</v>
      </c>
      <c r="JW116">
        <v>0</v>
      </c>
      <c r="JX116">
        <v>0</v>
      </c>
      <c r="JY116">
        <v>0</v>
      </c>
      <c r="JZ116">
        <v>0</v>
      </c>
      <c r="KA116">
        <v>0</v>
      </c>
      <c r="KB116">
        <v>0</v>
      </c>
      <c r="KC116">
        <v>0</v>
      </c>
      <c r="KD116">
        <v>0</v>
      </c>
      <c r="KE116">
        <v>0</v>
      </c>
      <c r="KF116">
        <v>0</v>
      </c>
      <c r="KG116">
        <v>0</v>
      </c>
      <c r="KH116">
        <v>0</v>
      </c>
      <c r="KI116">
        <v>0</v>
      </c>
      <c r="KJ116">
        <v>0</v>
      </c>
      <c r="KK116">
        <v>0</v>
      </c>
      <c r="KL116">
        <v>0</v>
      </c>
      <c r="KM116">
        <v>0</v>
      </c>
      <c r="KN116">
        <v>0</v>
      </c>
      <c r="KO116">
        <v>0</v>
      </c>
      <c r="KP116">
        <v>0</v>
      </c>
      <c r="KQ116">
        <v>0</v>
      </c>
      <c r="KR116">
        <v>0</v>
      </c>
      <c r="KS116">
        <v>0</v>
      </c>
      <c r="KT116">
        <v>0</v>
      </c>
      <c r="KU116">
        <v>0</v>
      </c>
      <c r="KV116">
        <v>0</v>
      </c>
      <c r="KW116">
        <v>0</v>
      </c>
      <c r="KX116">
        <v>0</v>
      </c>
      <c r="KY116">
        <v>0</v>
      </c>
      <c r="KZ116">
        <v>0</v>
      </c>
      <c r="LA116">
        <v>0</v>
      </c>
      <c r="LB116">
        <v>0</v>
      </c>
      <c r="LC116">
        <v>0</v>
      </c>
      <c r="LD116">
        <v>0</v>
      </c>
      <c r="LE116">
        <v>0</v>
      </c>
      <c r="LF116">
        <v>0</v>
      </c>
      <c r="LG116">
        <v>0</v>
      </c>
      <c r="LH116">
        <v>0</v>
      </c>
      <c r="LI116">
        <v>0</v>
      </c>
      <c r="LJ116">
        <v>0</v>
      </c>
      <c r="LK116">
        <v>0</v>
      </c>
      <c r="LL116">
        <v>0</v>
      </c>
      <c r="LM116">
        <v>0</v>
      </c>
      <c r="LN116">
        <v>0</v>
      </c>
      <c r="LO116">
        <v>0</v>
      </c>
      <c r="LP116">
        <v>0</v>
      </c>
      <c r="LQ116">
        <v>0</v>
      </c>
      <c r="LR116">
        <v>0</v>
      </c>
      <c r="LS116">
        <v>0</v>
      </c>
      <c r="LT116">
        <v>0</v>
      </c>
      <c r="LU116">
        <v>0</v>
      </c>
      <c r="LV116">
        <v>0</v>
      </c>
      <c r="LW116">
        <v>0</v>
      </c>
      <c r="LX116">
        <v>0</v>
      </c>
      <c r="LY116">
        <v>0</v>
      </c>
      <c r="LZ116">
        <v>0</v>
      </c>
      <c r="MA116">
        <v>0</v>
      </c>
      <c r="MB116">
        <v>0</v>
      </c>
      <c r="MC116">
        <v>0</v>
      </c>
      <c r="MD116">
        <v>0</v>
      </c>
      <c r="ME116">
        <v>0</v>
      </c>
      <c r="MF116">
        <v>0</v>
      </c>
      <c r="MG116">
        <v>0</v>
      </c>
      <c r="MH116">
        <v>0</v>
      </c>
      <c r="MI116">
        <v>0</v>
      </c>
      <c r="MJ116">
        <v>0</v>
      </c>
      <c r="MK116">
        <v>0</v>
      </c>
      <c r="ML116">
        <v>0</v>
      </c>
      <c r="MM116">
        <v>0</v>
      </c>
      <c r="MN116">
        <v>0</v>
      </c>
      <c r="MO116">
        <v>0</v>
      </c>
      <c r="MP116">
        <v>0</v>
      </c>
      <c r="MQ116">
        <v>0</v>
      </c>
      <c r="MR116">
        <v>0</v>
      </c>
      <c r="MS116">
        <v>0</v>
      </c>
      <c r="MT116">
        <v>0</v>
      </c>
      <c r="MU116">
        <v>0</v>
      </c>
      <c r="MV116">
        <v>0</v>
      </c>
      <c r="MW116">
        <v>0</v>
      </c>
      <c r="MX116">
        <v>0</v>
      </c>
      <c r="MY116">
        <v>0</v>
      </c>
      <c r="MZ116">
        <v>0</v>
      </c>
      <c r="NA116">
        <v>0</v>
      </c>
      <c r="NB116">
        <v>0</v>
      </c>
      <c r="NC116">
        <v>0</v>
      </c>
      <c r="ND116">
        <v>0</v>
      </c>
      <c r="NE116">
        <v>0</v>
      </c>
    </row>
    <row r="117" spans="41:369" x14ac:dyDescent="0.45">
      <c r="AO117" t="str">
        <v>B138</v>
      </c>
      <c r="AP117" t="str">
        <v>HABEEB RAHMAN CA</v>
      </c>
      <c r="AQ117" t="str">
        <v>BADF</v>
      </c>
      <c r="AR117" t="str">
        <v>JUNIOR</v>
      </c>
      <c r="AS117">
        <v>3</v>
      </c>
      <c r="AT117">
        <v>2</v>
      </c>
      <c r="AU117">
        <v>0</v>
      </c>
      <c r="AV117">
        <v>2</v>
      </c>
      <c r="AW117">
        <v>2</v>
      </c>
      <c r="AX117">
        <v>224</v>
      </c>
      <c r="AY117" s="5">
        <v>224</v>
      </c>
      <c r="AZ117" t="str">
        <v>SN26</v>
      </c>
      <c r="BA117" t="str">
        <v>SHORT STORY ARB</v>
      </c>
      <c r="BB117" t="str">
        <v>SENIOR</v>
      </c>
      <c r="BC117" t="str">
        <v>Single</v>
      </c>
      <c r="BD117" t="str">
        <v>Non-Stg</v>
      </c>
      <c r="BE117">
        <v>3</v>
      </c>
      <c r="BF117" t="str">
        <v>Individual</v>
      </c>
      <c r="BG117" t="str">
        <v>Individual</v>
      </c>
      <c r="BH117" t="str">
        <v>P</v>
      </c>
      <c r="BI117" t="str">
        <v>PUBLISHED</v>
      </c>
      <c r="BK117">
        <v>111</v>
      </c>
      <c r="BL117" t="str">
        <v>SN22</v>
      </c>
      <c r="BM117" t="str">
        <v>POEM URD</v>
      </c>
      <c r="BN117">
        <v>3</v>
      </c>
      <c r="BO117" t="str">
        <v>Single</v>
      </c>
      <c r="BP117" t="str">
        <v>Non-Stg</v>
      </c>
      <c r="BQ117" t="str">
        <v>SENIOR</v>
      </c>
      <c r="BR117" t="str">
        <v>C125</v>
      </c>
      <c r="BS117" t="str">
        <v>C134</v>
      </c>
      <c r="BT117" t="str">
        <v>C138</v>
      </c>
      <c r="BU117">
        <v>0</v>
      </c>
      <c r="BV117">
        <v>0</v>
      </c>
      <c r="BW117">
        <v>0</v>
      </c>
      <c r="BX117">
        <v>0</v>
      </c>
      <c r="BY117" t="str">
        <v>C136</v>
      </c>
      <c r="BZ117" t="str">
        <v>C158</v>
      </c>
      <c r="CA117" t="str">
        <v>C177</v>
      </c>
      <c r="CB117">
        <v>0</v>
      </c>
      <c r="CC117">
        <v>0</v>
      </c>
      <c r="CD117">
        <v>0</v>
      </c>
      <c r="CE117">
        <v>0</v>
      </c>
      <c r="CF117" t="str">
        <v>C129</v>
      </c>
      <c r="CG117" t="str">
        <v>C170</v>
      </c>
      <c r="CH117" t="str">
        <v>C174</v>
      </c>
      <c r="CI117">
        <v>0</v>
      </c>
      <c r="CJ117">
        <v>0</v>
      </c>
      <c r="CK117">
        <v>0</v>
      </c>
      <c r="CL117">
        <v>0</v>
      </c>
      <c r="CM117" t="str">
        <v>C105</v>
      </c>
      <c r="CN117" t="str">
        <v>C147</v>
      </c>
      <c r="CO117" t="str">
        <v>C165</v>
      </c>
      <c r="CP117">
        <v>0</v>
      </c>
      <c r="CQ117">
        <v>0</v>
      </c>
      <c r="CR117">
        <v>0</v>
      </c>
      <c r="CS117">
        <v>0</v>
      </c>
      <c r="CT117">
        <v>0</v>
      </c>
      <c r="CU117">
        <v>0</v>
      </c>
      <c r="CV117">
        <v>0</v>
      </c>
      <c r="CW117">
        <v>0</v>
      </c>
      <c r="CX117">
        <v>0</v>
      </c>
      <c r="CY117">
        <v>0</v>
      </c>
      <c r="CZ117">
        <v>0</v>
      </c>
      <c r="DA117">
        <v>0</v>
      </c>
      <c r="DB117">
        <v>0</v>
      </c>
      <c r="DC117">
        <v>0</v>
      </c>
      <c r="DD117">
        <v>0</v>
      </c>
      <c r="DE117">
        <v>0</v>
      </c>
      <c r="DF117">
        <v>0</v>
      </c>
      <c r="DG117">
        <v>0</v>
      </c>
      <c r="DH117">
        <v>0</v>
      </c>
      <c r="DI117">
        <v>0</v>
      </c>
      <c r="DJ117">
        <v>0</v>
      </c>
      <c r="DK117">
        <v>0</v>
      </c>
      <c r="DL117">
        <v>0</v>
      </c>
      <c r="DM117">
        <v>0</v>
      </c>
      <c r="DN117">
        <v>0</v>
      </c>
      <c r="DO117">
        <v>0</v>
      </c>
      <c r="DP117">
        <v>0</v>
      </c>
      <c r="DQ117">
        <v>0</v>
      </c>
      <c r="DR117">
        <v>0</v>
      </c>
      <c r="DS117">
        <v>0</v>
      </c>
      <c r="DT117">
        <v>0</v>
      </c>
      <c r="DU117">
        <v>0</v>
      </c>
      <c r="DV117">
        <v>0</v>
      </c>
      <c r="DW117">
        <v>0</v>
      </c>
      <c r="DX117">
        <v>0</v>
      </c>
      <c r="DY117">
        <v>0</v>
      </c>
      <c r="DZ117">
        <v>0</v>
      </c>
      <c r="EA117">
        <v>0</v>
      </c>
      <c r="EB117">
        <v>0</v>
      </c>
      <c r="EC117">
        <v>0</v>
      </c>
      <c r="ED117">
        <v>0</v>
      </c>
      <c r="EE117">
        <v>0</v>
      </c>
      <c r="EF117">
        <v>0</v>
      </c>
      <c r="EG117">
        <v>0</v>
      </c>
      <c r="EH117">
        <v>0</v>
      </c>
      <c r="EI117">
        <v>0</v>
      </c>
      <c r="EJ117">
        <v>0</v>
      </c>
      <c r="EK117">
        <v>0</v>
      </c>
      <c r="EL117">
        <v>0</v>
      </c>
      <c r="EM117">
        <v>0</v>
      </c>
      <c r="EN117">
        <v>0</v>
      </c>
      <c r="EO117">
        <v>0</v>
      </c>
      <c r="EP117">
        <v>0</v>
      </c>
      <c r="EQ117">
        <v>0</v>
      </c>
      <c r="ER117">
        <v>0</v>
      </c>
      <c r="ES117">
        <v>0</v>
      </c>
      <c r="ET117">
        <v>0</v>
      </c>
      <c r="EU117">
        <v>0</v>
      </c>
      <c r="EV117">
        <v>0</v>
      </c>
      <c r="EW117">
        <v>0</v>
      </c>
      <c r="EX117">
        <v>0</v>
      </c>
      <c r="EY117">
        <v>0</v>
      </c>
      <c r="EZ117">
        <v>0</v>
      </c>
      <c r="FA117">
        <v>0</v>
      </c>
      <c r="FB117">
        <v>0</v>
      </c>
      <c r="FC117">
        <v>0</v>
      </c>
      <c r="FD117">
        <v>0</v>
      </c>
      <c r="FE117">
        <v>0</v>
      </c>
      <c r="FF117">
        <v>0</v>
      </c>
      <c r="FG117">
        <v>0</v>
      </c>
      <c r="FH117">
        <v>0</v>
      </c>
      <c r="FI117">
        <v>0</v>
      </c>
      <c r="FJ117">
        <v>0</v>
      </c>
      <c r="FK117">
        <v>0</v>
      </c>
      <c r="FL117">
        <v>0</v>
      </c>
      <c r="FM117">
        <v>0</v>
      </c>
      <c r="FN117">
        <v>0</v>
      </c>
      <c r="FO117">
        <v>0</v>
      </c>
      <c r="FP117">
        <v>0</v>
      </c>
      <c r="FQ117">
        <v>0</v>
      </c>
      <c r="FR117">
        <v>0</v>
      </c>
      <c r="FS117">
        <v>0</v>
      </c>
      <c r="FT117">
        <v>0</v>
      </c>
      <c r="FU117">
        <v>0</v>
      </c>
      <c r="FV117">
        <v>0</v>
      </c>
      <c r="FW117">
        <v>0</v>
      </c>
      <c r="FX117">
        <v>0</v>
      </c>
      <c r="FY117">
        <v>0</v>
      </c>
      <c r="FZ117">
        <v>0</v>
      </c>
      <c r="GA117">
        <v>0</v>
      </c>
      <c r="GB117">
        <v>0</v>
      </c>
      <c r="GC117">
        <v>0</v>
      </c>
      <c r="GD117">
        <v>0</v>
      </c>
      <c r="GE117">
        <v>0</v>
      </c>
      <c r="GF117">
        <v>0</v>
      </c>
      <c r="GG117">
        <v>0</v>
      </c>
      <c r="GH117">
        <v>0</v>
      </c>
      <c r="GI117">
        <v>0</v>
      </c>
      <c r="GJ117">
        <v>0</v>
      </c>
      <c r="GK117">
        <v>0</v>
      </c>
      <c r="GL117">
        <v>0</v>
      </c>
      <c r="GM117">
        <v>0</v>
      </c>
      <c r="GN117">
        <v>0</v>
      </c>
      <c r="GO117">
        <v>0</v>
      </c>
      <c r="GP117">
        <v>0</v>
      </c>
      <c r="GQ117">
        <v>0</v>
      </c>
      <c r="GR117">
        <v>0</v>
      </c>
      <c r="GS117">
        <v>0</v>
      </c>
      <c r="GT117">
        <v>0</v>
      </c>
      <c r="GU117">
        <v>0</v>
      </c>
      <c r="GV117">
        <v>0</v>
      </c>
      <c r="GW117">
        <v>0</v>
      </c>
      <c r="GX117">
        <v>0</v>
      </c>
      <c r="GY117">
        <v>0</v>
      </c>
      <c r="GZ117">
        <v>0</v>
      </c>
      <c r="HA117">
        <v>0</v>
      </c>
      <c r="HB117">
        <v>0</v>
      </c>
      <c r="HC117">
        <v>0</v>
      </c>
      <c r="HD117">
        <v>0</v>
      </c>
      <c r="HE117">
        <v>0</v>
      </c>
      <c r="HF117">
        <v>0</v>
      </c>
      <c r="HG117">
        <v>0</v>
      </c>
      <c r="HH117">
        <v>0</v>
      </c>
      <c r="HI117">
        <v>0</v>
      </c>
      <c r="HJ117">
        <v>0</v>
      </c>
      <c r="HK117">
        <v>0</v>
      </c>
      <c r="HL117">
        <v>0</v>
      </c>
      <c r="HM117">
        <v>0</v>
      </c>
      <c r="HN117">
        <v>0</v>
      </c>
      <c r="HO117">
        <v>0</v>
      </c>
      <c r="HP117">
        <v>0</v>
      </c>
      <c r="HQ117">
        <v>0</v>
      </c>
      <c r="HR117">
        <v>0</v>
      </c>
      <c r="HS117">
        <v>0</v>
      </c>
      <c r="HT117">
        <v>0</v>
      </c>
      <c r="HU117">
        <v>0</v>
      </c>
      <c r="HV117">
        <v>0</v>
      </c>
      <c r="HW117">
        <v>0</v>
      </c>
      <c r="HX117">
        <v>0</v>
      </c>
      <c r="HY117">
        <v>0</v>
      </c>
      <c r="HZ117">
        <v>0</v>
      </c>
      <c r="IA117">
        <v>0</v>
      </c>
      <c r="IB117">
        <v>0</v>
      </c>
      <c r="IC117">
        <v>0</v>
      </c>
      <c r="ID117">
        <v>0</v>
      </c>
      <c r="IE117">
        <v>0</v>
      </c>
      <c r="IF117">
        <v>0</v>
      </c>
      <c r="IG117">
        <v>0</v>
      </c>
      <c r="IH117">
        <v>0</v>
      </c>
      <c r="II117">
        <v>0</v>
      </c>
      <c r="IJ117">
        <v>0</v>
      </c>
      <c r="IK117">
        <v>0</v>
      </c>
      <c r="IL117">
        <v>0</v>
      </c>
      <c r="IM117">
        <v>0</v>
      </c>
      <c r="IN117">
        <v>0</v>
      </c>
      <c r="IO117">
        <v>0</v>
      </c>
      <c r="IP117">
        <v>0</v>
      </c>
      <c r="IQ117">
        <v>0</v>
      </c>
      <c r="IR117">
        <v>0</v>
      </c>
      <c r="IS117">
        <v>0</v>
      </c>
      <c r="IT117">
        <v>0</v>
      </c>
      <c r="IU117">
        <v>0</v>
      </c>
      <c r="IV117">
        <v>0</v>
      </c>
      <c r="IW117">
        <v>0</v>
      </c>
      <c r="IX117">
        <v>0</v>
      </c>
      <c r="IY117">
        <v>0</v>
      </c>
      <c r="IZ117">
        <v>0</v>
      </c>
      <c r="JA117">
        <v>0</v>
      </c>
      <c r="JB117">
        <v>0</v>
      </c>
      <c r="JC117">
        <v>0</v>
      </c>
      <c r="JD117">
        <v>0</v>
      </c>
      <c r="JE117">
        <v>0</v>
      </c>
      <c r="JF117">
        <v>0</v>
      </c>
      <c r="JG117">
        <v>0</v>
      </c>
      <c r="JH117">
        <v>0</v>
      </c>
      <c r="JI117">
        <v>0</v>
      </c>
      <c r="JJ117">
        <v>0</v>
      </c>
      <c r="JK117">
        <v>0</v>
      </c>
      <c r="JL117">
        <v>0</v>
      </c>
      <c r="JM117">
        <v>0</v>
      </c>
      <c r="JN117">
        <v>0</v>
      </c>
      <c r="JO117">
        <v>0</v>
      </c>
      <c r="JP117">
        <v>0</v>
      </c>
      <c r="JQ117">
        <v>0</v>
      </c>
      <c r="JR117">
        <v>0</v>
      </c>
      <c r="JS117">
        <v>0</v>
      </c>
      <c r="JT117">
        <v>0</v>
      </c>
      <c r="JU117">
        <v>0</v>
      </c>
      <c r="JV117">
        <v>0</v>
      </c>
      <c r="JW117">
        <v>0</v>
      </c>
      <c r="JX117">
        <v>0</v>
      </c>
      <c r="JY117">
        <v>0</v>
      </c>
      <c r="JZ117">
        <v>0</v>
      </c>
      <c r="KA117">
        <v>0</v>
      </c>
      <c r="KB117">
        <v>0</v>
      </c>
      <c r="KC117">
        <v>0</v>
      </c>
      <c r="KD117">
        <v>0</v>
      </c>
      <c r="KE117">
        <v>0</v>
      </c>
      <c r="KF117">
        <v>0</v>
      </c>
      <c r="KG117">
        <v>0</v>
      </c>
      <c r="KH117">
        <v>0</v>
      </c>
      <c r="KI117">
        <v>0</v>
      </c>
      <c r="KJ117">
        <v>0</v>
      </c>
      <c r="KK117">
        <v>0</v>
      </c>
      <c r="KL117">
        <v>0</v>
      </c>
      <c r="KM117">
        <v>0</v>
      </c>
      <c r="KN117">
        <v>0</v>
      </c>
      <c r="KO117">
        <v>0</v>
      </c>
      <c r="KP117">
        <v>0</v>
      </c>
      <c r="KQ117">
        <v>0</v>
      </c>
      <c r="KR117">
        <v>0</v>
      </c>
      <c r="KS117">
        <v>0</v>
      </c>
      <c r="KT117">
        <v>0</v>
      </c>
      <c r="KU117">
        <v>0</v>
      </c>
      <c r="KV117">
        <v>0</v>
      </c>
      <c r="KW117">
        <v>0</v>
      </c>
      <c r="KX117">
        <v>0</v>
      </c>
      <c r="KY117">
        <v>0</v>
      </c>
      <c r="KZ117">
        <v>0</v>
      </c>
      <c r="LA117">
        <v>0</v>
      </c>
      <c r="LB117">
        <v>0</v>
      </c>
      <c r="LC117">
        <v>0</v>
      </c>
      <c r="LD117">
        <v>0</v>
      </c>
      <c r="LE117">
        <v>0</v>
      </c>
      <c r="LF117">
        <v>0</v>
      </c>
      <c r="LG117">
        <v>0</v>
      </c>
      <c r="LH117">
        <v>0</v>
      </c>
      <c r="LI117">
        <v>0</v>
      </c>
      <c r="LJ117">
        <v>0</v>
      </c>
      <c r="LK117">
        <v>0</v>
      </c>
      <c r="LL117">
        <v>0</v>
      </c>
      <c r="LM117">
        <v>0</v>
      </c>
      <c r="LN117">
        <v>0</v>
      </c>
      <c r="LO117">
        <v>0</v>
      </c>
      <c r="LP117">
        <v>0</v>
      </c>
      <c r="LQ117">
        <v>0</v>
      </c>
      <c r="LR117">
        <v>0</v>
      </c>
      <c r="LS117">
        <v>0</v>
      </c>
      <c r="LT117">
        <v>0</v>
      </c>
      <c r="LU117">
        <v>0</v>
      </c>
      <c r="LV117">
        <v>0</v>
      </c>
      <c r="LW117">
        <v>0</v>
      </c>
      <c r="LX117">
        <v>0</v>
      </c>
      <c r="LY117">
        <v>0</v>
      </c>
      <c r="LZ117">
        <v>0</v>
      </c>
      <c r="MA117">
        <v>0</v>
      </c>
      <c r="MB117">
        <v>0</v>
      </c>
      <c r="MC117">
        <v>0</v>
      </c>
      <c r="MD117">
        <v>0</v>
      </c>
      <c r="ME117">
        <v>0</v>
      </c>
      <c r="MF117">
        <v>0</v>
      </c>
      <c r="MG117">
        <v>0</v>
      </c>
      <c r="MH117">
        <v>0</v>
      </c>
      <c r="MI117">
        <v>0</v>
      </c>
      <c r="MJ117">
        <v>0</v>
      </c>
      <c r="MK117">
        <v>0</v>
      </c>
      <c r="ML117">
        <v>0</v>
      </c>
      <c r="MM117">
        <v>0</v>
      </c>
      <c r="MN117">
        <v>0</v>
      </c>
      <c r="MO117">
        <v>0</v>
      </c>
      <c r="MP117">
        <v>0</v>
      </c>
      <c r="MQ117">
        <v>0</v>
      </c>
      <c r="MR117">
        <v>0</v>
      </c>
      <c r="MS117">
        <v>0</v>
      </c>
      <c r="MT117">
        <v>0</v>
      </c>
      <c r="MU117">
        <v>0</v>
      </c>
      <c r="MV117">
        <v>0</v>
      </c>
      <c r="MW117">
        <v>0</v>
      </c>
      <c r="MX117">
        <v>0</v>
      </c>
      <c r="MY117">
        <v>0</v>
      </c>
      <c r="MZ117">
        <v>0</v>
      </c>
      <c r="NA117">
        <v>0</v>
      </c>
      <c r="NB117">
        <v>0</v>
      </c>
      <c r="NC117">
        <v>0</v>
      </c>
      <c r="ND117">
        <v>0</v>
      </c>
      <c r="NE117">
        <v>0</v>
      </c>
    </row>
    <row r="118" spans="41:369" x14ac:dyDescent="0.45">
      <c r="AO118" t="str">
        <v>B139</v>
      </c>
      <c r="AP118" t="str">
        <v>Muhammad</v>
      </c>
      <c r="AQ118" t="str">
        <v>DAHF</v>
      </c>
      <c r="AR118" t="str">
        <v>JUNIOR</v>
      </c>
      <c r="AS118">
        <v>3</v>
      </c>
      <c r="AT118">
        <v>8</v>
      </c>
      <c r="AU118">
        <v>0</v>
      </c>
      <c r="AV118">
        <v>8</v>
      </c>
      <c r="AW118">
        <v>8</v>
      </c>
      <c r="AX118">
        <v>147</v>
      </c>
      <c r="AY118" s="5">
        <v>147</v>
      </c>
      <c r="AZ118" t="str">
        <v>SN27</v>
      </c>
      <c r="BA118" t="str">
        <v>SHORT STORY ENG</v>
      </c>
      <c r="BB118" t="str">
        <v>SENIOR</v>
      </c>
      <c r="BC118" t="str">
        <v>Single</v>
      </c>
      <c r="BD118" t="str">
        <v>Non-Stg</v>
      </c>
      <c r="BE118">
        <v>3</v>
      </c>
      <c r="BF118" t="str">
        <v>Individual</v>
      </c>
      <c r="BG118" t="str">
        <v>Individual</v>
      </c>
      <c r="BH118" t="str">
        <v>P</v>
      </c>
      <c r="BI118" t="str">
        <v>PUBLISHED</v>
      </c>
      <c r="BK118">
        <v>112</v>
      </c>
      <c r="BL118" t="str">
        <v>SN23</v>
      </c>
      <c r="BM118" t="str">
        <v>POSTER DESIGNING DIGITAL</v>
      </c>
      <c r="BN118">
        <v>2</v>
      </c>
      <c r="BO118" t="str">
        <v>Single</v>
      </c>
      <c r="BP118" t="str">
        <v>Non-Stg</v>
      </c>
      <c r="BQ118" t="str">
        <v>SENIOR</v>
      </c>
      <c r="BR118" t="str">
        <v>C168</v>
      </c>
      <c r="BS118" t="str">
        <v>C176</v>
      </c>
      <c r="BT118">
        <v>0</v>
      </c>
      <c r="BU118">
        <v>0</v>
      </c>
      <c r="BV118">
        <v>0</v>
      </c>
      <c r="BW118">
        <v>0</v>
      </c>
      <c r="BX118">
        <v>0</v>
      </c>
      <c r="BY118" t="str">
        <v>C102</v>
      </c>
      <c r="BZ118" t="str">
        <v>C179</v>
      </c>
      <c r="CA118">
        <v>0</v>
      </c>
      <c r="CB118">
        <v>0</v>
      </c>
      <c r="CC118">
        <v>0</v>
      </c>
      <c r="CD118">
        <v>0</v>
      </c>
      <c r="CE118">
        <v>0</v>
      </c>
      <c r="CF118" t="str">
        <v>C124</v>
      </c>
      <c r="CG118" t="str">
        <v>C141</v>
      </c>
      <c r="CH118">
        <v>0</v>
      </c>
      <c r="CI118">
        <v>0</v>
      </c>
      <c r="CJ118">
        <v>0</v>
      </c>
      <c r="CK118">
        <v>0</v>
      </c>
      <c r="CL118">
        <v>0</v>
      </c>
      <c r="CM118" t="str">
        <v>C146</v>
      </c>
      <c r="CN118" t="str">
        <v>C165</v>
      </c>
      <c r="CO118">
        <v>0</v>
      </c>
      <c r="CP118">
        <v>0</v>
      </c>
      <c r="CQ118">
        <v>0</v>
      </c>
      <c r="CR118">
        <v>0</v>
      </c>
      <c r="CS118">
        <v>0</v>
      </c>
      <c r="CT118">
        <v>0</v>
      </c>
      <c r="CU118">
        <v>0</v>
      </c>
      <c r="CV118">
        <v>0</v>
      </c>
      <c r="CW118">
        <v>0</v>
      </c>
      <c r="CX118">
        <v>0</v>
      </c>
      <c r="CY118">
        <v>0</v>
      </c>
      <c r="CZ118">
        <v>0</v>
      </c>
      <c r="DA118">
        <v>0</v>
      </c>
      <c r="DB118">
        <v>0</v>
      </c>
      <c r="DC118">
        <v>0</v>
      </c>
      <c r="DD118">
        <v>0</v>
      </c>
      <c r="DE118">
        <v>0</v>
      </c>
      <c r="DF118">
        <v>0</v>
      </c>
      <c r="DG118">
        <v>0</v>
      </c>
      <c r="DH118">
        <v>0</v>
      </c>
      <c r="DI118">
        <v>0</v>
      </c>
      <c r="DJ118">
        <v>0</v>
      </c>
      <c r="DK118">
        <v>0</v>
      </c>
      <c r="DL118">
        <v>0</v>
      </c>
      <c r="DM118">
        <v>0</v>
      </c>
      <c r="DN118">
        <v>0</v>
      </c>
      <c r="DO118">
        <v>0</v>
      </c>
      <c r="DP118">
        <v>0</v>
      </c>
      <c r="DQ118">
        <v>0</v>
      </c>
      <c r="DR118">
        <v>0</v>
      </c>
      <c r="DS118">
        <v>0</v>
      </c>
      <c r="DT118">
        <v>0</v>
      </c>
      <c r="DU118">
        <v>0</v>
      </c>
      <c r="DV118">
        <v>0</v>
      </c>
      <c r="DW118">
        <v>0</v>
      </c>
      <c r="DX118">
        <v>0</v>
      </c>
      <c r="DY118">
        <v>0</v>
      </c>
      <c r="DZ118">
        <v>0</v>
      </c>
      <c r="EA118">
        <v>0</v>
      </c>
      <c r="EB118">
        <v>0</v>
      </c>
      <c r="EC118">
        <v>0</v>
      </c>
      <c r="ED118">
        <v>0</v>
      </c>
      <c r="EE118">
        <v>0</v>
      </c>
      <c r="EF118">
        <v>0</v>
      </c>
      <c r="EG118">
        <v>0</v>
      </c>
      <c r="EH118">
        <v>0</v>
      </c>
      <c r="EI118">
        <v>0</v>
      </c>
      <c r="EJ118">
        <v>0</v>
      </c>
      <c r="EK118">
        <v>0</v>
      </c>
      <c r="EL118">
        <v>0</v>
      </c>
      <c r="EM118">
        <v>0</v>
      </c>
      <c r="EN118">
        <v>0</v>
      </c>
      <c r="EO118">
        <v>0</v>
      </c>
      <c r="EP118">
        <v>0</v>
      </c>
      <c r="EQ118">
        <v>0</v>
      </c>
      <c r="ER118">
        <v>0</v>
      </c>
      <c r="ES118">
        <v>0</v>
      </c>
      <c r="ET118">
        <v>0</v>
      </c>
      <c r="EU118">
        <v>0</v>
      </c>
      <c r="EV118">
        <v>0</v>
      </c>
      <c r="EW118">
        <v>0</v>
      </c>
      <c r="EX118">
        <v>0</v>
      </c>
      <c r="EY118">
        <v>0</v>
      </c>
      <c r="EZ118">
        <v>0</v>
      </c>
      <c r="FA118">
        <v>0</v>
      </c>
      <c r="FB118">
        <v>0</v>
      </c>
      <c r="FC118">
        <v>0</v>
      </c>
      <c r="FD118">
        <v>0</v>
      </c>
      <c r="FE118">
        <v>0</v>
      </c>
      <c r="FF118">
        <v>0</v>
      </c>
      <c r="FG118">
        <v>0</v>
      </c>
      <c r="FH118">
        <v>0</v>
      </c>
      <c r="FI118">
        <v>0</v>
      </c>
      <c r="FJ118">
        <v>0</v>
      </c>
      <c r="FK118">
        <v>0</v>
      </c>
      <c r="FL118">
        <v>0</v>
      </c>
      <c r="FM118">
        <v>0</v>
      </c>
      <c r="FN118">
        <v>0</v>
      </c>
      <c r="FO118">
        <v>0</v>
      </c>
      <c r="FP118">
        <v>0</v>
      </c>
      <c r="FQ118">
        <v>0</v>
      </c>
      <c r="FR118">
        <v>0</v>
      </c>
      <c r="FS118">
        <v>0</v>
      </c>
      <c r="FT118">
        <v>0</v>
      </c>
      <c r="FU118">
        <v>0</v>
      </c>
      <c r="FV118">
        <v>0</v>
      </c>
      <c r="FW118">
        <v>0</v>
      </c>
      <c r="FX118">
        <v>0</v>
      </c>
      <c r="FY118">
        <v>0</v>
      </c>
      <c r="FZ118">
        <v>0</v>
      </c>
      <c r="GA118">
        <v>0</v>
      </c>
      <c r="GB118">
        <v>0</v>
      </c>
      <c r="GC118">
        <v>0</v>
      </c>
      <c r="GD118">
        <v>0</v>
      </c>
      <c r="GE118">
        <v>0</v>
      </c>
      <c r="GF118">
        <v>0</v>
      </c>
      <c r="GG118">
        <v>0</v>
      </c>
      <c r="GH118">
        <v>0</v>
      </c>
      <c r="GI118">
        <v>0</v>
      </c>
      <c r="GJ118">
        <v>0</v>
      </c>
      <c r="GK118">
        <v>0</v>
      </c>
      <c r="GL118">
        <v>0</v>
      </c>
      <c r="GM118">
        <v>0</v>
      </c>
      <c r="GN118">
        <v>0</v>
      </c>
      <c r="GO118">
        <v>0</v>
      </c>
      <c r="GP118">
        <v>0</v>
      </c>
      <c r="GQ118">
        <v>0</v>
      </c>
      <c r="GR118">
        <v>0</v>
      </c>
      <c r="GS118">
        <v>0</v>
      </c>
      <c r="GT118">
        <v>0</v>
      </c>
      <c r="GU118">
        <v>0</v>
      </c>
      <c r="GV118">
        <v>0</v>
      </c>
      <c r="GW118">
        <v>0</v>
      </c>
      <c r="GX118">
        <v>0</v>
      </c>
      <c r="GY118">
        <v>0</v>
      </c>
      <c r="GZ118">
        <v>0</v>
      </c>
      <c r="HA118">
        <v>0</v>
      </c>
      <c r="HB118">
        <v>0</v>
      </c>
      <c r="HC118">
        <v>0</v>
      </c>
      <c r="HD118">
        <v>0</v>
      </c>
      <c r="HE118">
        <v>0</v>
      </c>
      <c r="HF118">
        <v>0</v>
      </c>
      <c r="HG118">
        <v>0</v>
      </c>
      <c r="HH118">
        <v>0</v>
      </c>
      <c r="HI118">
        <v>0</v>
      </c>
      <c r="HJ118">
        <v>0</v>
      </c>
      <c r="HK118">
        <v>0</v>
      </c>
      <c r="HL118">
        <v>0</v>
      </c>
      <c r="HM118">
        <v>0</v>
      </c>
      <c r="HN118">
        <v>0</v>
      </c>
      <c r="HO118">
        <v>0</v>
      </c>
      <c r="HP118">
        <v>0</v>
      </c>
      <c r="HQ118">
        <v>0</v>
      </c>
      <c r="HR118">
        <v>0</v>
      </c>
      <c r="HS118">
        <v>0</v>
      </c>
      <c r="HT118">
        <v>0</v>
      </c>
      <c r="HU118">
        <v>0</v>
      </c>
      <c r="HV118">
        <v>0</v>
      </c>
      <c r="HW118">
        <v>0</v>
      </c>
      <c r="HX118">
        <v>0</v>
      </c>
      <c r="HY118">
        <v>0</v>
      </c>
      <c r="HZ118">
        <v>0</v>
      </c>
      <c r="IA118">
        <v>0</v>
      </c>
      <c r="IB118">
        <v>0</v>
      </c>
      <c r="IC118">
        <v>0</v>
      </c>
      <c r="ID118">
        <v>0</v>
      </c>
      <c r="IE118">
        <v>0</v>
      </c>
      <c r="IF118">
        <v>0</v>
      </c>
      <c r="IG118">
        <v>0</v>
      </c>
      <c r="IH118">
        <v>0</v>
      </c>
      <c r="II118">
        <v>0</v>
      </c>
      <c r="IJ118">
        <v>0</v>
      </c>
      <c r="IK118">
        <v>0</v>
      </c>
      <c r="IL118">
        <v>0</v>
      </c>
      <c r="IM118">
        <v>0</v>
      </c>
      <c r="IN118">
        <v>0</v>
      </c>
      <c r="IO118">
        <v>0</v>
      </c>
      <c r="IP118">
        <v>0</v>
      </c>
      <c r="IQ118">
        <v>0</v>
      </c>
      <c r="IR118">
        <v>0</v>
      </c>
      <c r="IS118">
        <v>0</v>
      </c>
      <c r="IT118">
        <v>0</v>
      </c>
      <c r="IU118">
        <v>0</v>
      </c>
      <c r="IV118">
        <v>0</v>
      </c>
      <c r="IW118">
        <v>0</v>
      </c>
      <c r="IX118">
        <v>0</v>
      </c>
      <c r="IY118">
        <v>0</v>
      </c>
      <c r="IZ118">
        <v>0</v>
      </c>
      <c r="JA118">
        <v>0</v>
      </c>
      <c r="JB118">
        <v>0</v>
      </c>
      <c r="JC118">
        <v>0</v>
      </c>
      <c r="JD118">
        <v>0</v>
      </c>
      <c r="JE118">
        <v>0</v>
      </c>
      <c r="JF118">
        <v>0</v>
      </c>
      <c r="JG118">
        <v>0</v>
      </c>
      <c r="JH118">
        <v>0</v>
      </c>
      <c r="JI118">
        <v>0</v>
      </c>
      <c r="JJ118">
        <v>0</v>
      </c>
      <c r="JK118">
        <v>0</v>
      </c>
      <c r="JL118">
        <v>0</v>
      </c>
      <c r="JM118">
        <v>0</v>
      </c>
      <c r="JN118">
        <v>0</v>
      </c>
      <c r="JO118">
        <v>0</v>
      </c>
      <c r="JP118">
        <v>0</v>
      </c>
      <c r="JQ118">
        <v>0</v>
      </c>
      <c r="JR118">
        <v>0</v>
      </c>
      <c r="JS118">
        <v>0</v>
      </c>
      <c r="JT118">
        <v>0</v>
      </c>
      <c r="JU118">
        <v>0</v>
      </c>
      <c r="JV118">
        <v>0</v>
      </c>
      <c r="JW118">
        <v>0</v>
      </c>
      <c r="JX118">
        <v>0</v>
      </c>
      <c r="JY118">
        <v>0</v>
      </c>
      <c r="JZ118">
        <v>0</v>
      </c>
      <c r="KA118">
        <v>0</v>
      </c>
      <c r="KB118">
        <v>0</v>
      </c>
      <c r="KC118">
        <v>0</v>
      </c>
      <c r="KD118">
        <v>0</v>
      </c>
      <c r="KE118">
        <v>0</v>
      </c>
      <c r="KF118">
        <v>0</v>
      </c>
      <c r="KG118">
        <v>0</v>
      </c>
      <c r="KH118">
        <v>0</v>
      </c>
      <c r="KI118">
        <v>0</v>
      </c>
      <c r="KJ118">
        <v>0</v>
      </c>
      <c r="KK118">
        <v>0</v>
      </c>
      <c r="KL118">
        <v>0</v>
      </c>
      <c r="KM118">
        <v>0</v>
      </c>
      <c r="KN118">
        <v>0</v>
      </c>
      <c r="KO118">
        <v>0</v>
      </c>
      <c r="KP118">
        <v>0</v>
      </c>
      <c r="KQ118">
        <v>0</v>
      </c>
      <c r="KR118">
        <v>0</v>
      </c>
      <c r="KS118">
        <v>0</v>
      </c>
      <c r="KT118">
        <v>0</v>
      </c>
      <c r="KU118">
        <v>0</v>
      </c>
      <c r="KV118">
        <v>0</v>
      </c>
      <c r="KW118">
        <v>0</v>
      </c>
      <c r="KX118">
        <v>0</v>
      </c>
      <c r="KY118">
        <v>0</v>
      </c>
      <c r="KZ118">
        <v>0</v>
      </c>
      <c r="LA118">
        <v>0</v>
      </c>
      <c r="LB118">
        <v>0</v>
      </c>
      <c r="LC118">
        <v>0</v>
      </c>
      <c r="LD118">
        <v>0</v>
      </c>
      <c r="LE118">
        <v>0</v>
      </c>
      <c r="LF118">
        <v>0</v>
      </c>
      <c r="LG118">
        <v>0</v>
      </c>
      <c r="LH118">
        <v>0</v>
      </c>
      <c r="LI118">
        <v>0</v>
      </c>
      <c r="LJ118">
        <v>0</v>
      </c>
      <c r="LK118">
        <v>0</v>
      </c>
      <c r="LL118">
        <v>0</v>
      </c>
      <c r="LM118">
        <v>0</v>
      </c>
      <c r="LN118">
        <v>0</v>
      </c>
      <c r="LO118">
        <v>0</v>
      </c>
      <c r="LP118">
        <v>0</v>
      </c>
      <c r="LQ118">
        <v>0</v>
      </c>
      <c r="LR118">
        <v>0</v>
      </c>
      <c r="LS118">
        <v>0</v>
      </c>
      <c r="LT118">
        <v>0</v>
      </c>
      <c r="LU118">
        <v>0</v>
      </c>
      <c r="LV118">
        <v>0</v>
      </c>
      <c r="LW118">
        <v>0</v>
      </c>
      <c r="LX118">
        <v>0</v>
      </c>
      <c r="LY118">
        <v>0</v>
      </c>
      <c r="LZ118">
        <v>0</v>
      </c>
      <c r="MA118">
        <v>0</v>
      </c>
      <c r="MB118">
        <v>0</v>
      </c>
      <c r="MC118">
        <v>0</v>
      </c>
      <c r="MD118">
        <v>0</v>
      </c>
      <c r="ME118">
        <v>0</v>
      </c>
      <c r="MF118">
        <v>0</v>
      </c>
      <c r="MG118">
        <v>0</v>
      </c>
      <c r="MH118">
        <v>0</v>
      </c>
      <c r="MI118">
        <v>0</v>
      </c>
      <c r="MJ118">
        <v>0</v>
      </c>
      <c r="MK118">
        <v>0</v>
      </c>
      <c r="ML118">
        <v>0</v>
      </c>
      <c r="MM118">
        <v>0</v>
      </c>
      <c r="MN118">
        <v>0</v>
      </c>
      <c r="MO118">
        <v>0</v>
      </c>
      <c r="MP118">
        <v>0</v>
      </c>
      <c r="MQ118">
        <v>0</v>
      </c>
      <c r="MR118">
        <v>0</v>
      </c>
      <c r="MS118">
        <v>0</v>
      </c>
      <c r="MT118">
        <v>0</v>
      </c>
      <c r="MU118">
        <v>0</v>
      </c>
      <c r="MV118">
        <v>0</v>
      </c>
      <c r="MW118">
        <v>0</v>
      </c>
      <c r="MX118">
        <v>0</v>
      </c>
      <c r="MY118">
        <v>0</v>
      </c>
      <c r="MZ118">
        <v>0</v>
      </c>
      <c r="NA118">
        <v>0</v>
      </c>
      <c r="NB118">
        <v>0</v>
      </c>
      <c r="NC118">
        <v>0</v>
      </c>
      <c r="ND118">
        <v>0</v>
      </c>
      <c r="NE118">
        <v>0</v>
      </c>
    </row>
    <row r="119" spans="41:369" x14ac:dyDescent="0.45">
      <c r="AO119" t="str">
        <v>B140</v>
      </c>
      <c r="AP119" t="str">
        <v>MOHAMMED SHAHID</v>
      </c>
      <c r="AQ119" t="str">
        <v>BADF</v>
      </c>
      <c r="AR119" t="str">
        <v>JUNIOR</v>
      </c>
      <c r="AS119">
        <v>4</v>
      </c>
      <c r="AT119">
        <v>7</v>
      </c>
      <c r="AU119">
        <v>0</v>
      </c>
      <c r="AV119">
        <v>7</v>
      </c>
      <c r="AW119">
        <v>7</v>
      </c>
      <c r="AX119">
        <v>167</v>
      </c>
      <c r="AY119" s="5">
        <v>167</v>
      </c>
      <c r="AZ119" t="str">
        <v>SN28</v>
      </c>
      <c r="BA119" t="str">
        <v>SLOGAN MAKING</v>
      </c>
      <c r="BB119" t="str">
        <v>SENIOR</v>
      </c>
      <c r="BC119" t="str">
        <v>Single</v>
      </c>
      <c r="BD119" t="str">
        <v>Non-Stg</v>
      </c>
      <c r="BE119">
        <v>3</v>
      </c>
      <c r="BF119" t="str">
        <v>Individual</v>
      </c>
      <c r="BG119" t="str">
        <v>Individual</v>
      </c>
      <c r="BH119" t="str">
        <v>P</v>
      </c>
      <c r="BI119" t="str">
        <v>PUBLISHED</v>
      </c>
      <c r="BK119">
        <v>113</v>
      </c>
      <c r="BL119" t="str">
        <v>SN24</v>
      </c>
      <c r="BM119" t="str">
        <v>QIRĀʾAH</v>
      </c>
      <c r="BN119">
        <v>3</v>
      </c>
      <c r="BO119" t="str">
        <v>Single</v>
      </c>
      <c r="BP119" t="str">
        <v>Non-Stg</v>
      </c>
      <c r="BQ119" t="str">
        <v>SENIOR</v>
      </c>
      <c r="BR119" t="str">
        <v>C112</v>
      </c>
      <c r="BS119" t="str">
        <v>C131</v>
      </c>
      <c r="BT119" t="str">
        <v>C142</v>
      </c>
      <c r="BU119">
        <v>0</v>
      </c>
      <c r="BV119">
        <v>0</v>
      </c>
      <c r="BW119">
        <v>0</v>
      </c>
      <c r="BX119">
        <v>0</v>
      </c>
      <c r="BY119" t="str">
        <v>C120</v>
      </c>
      <c r="BZ119" t="str">
        <v>C136</v>
      </c>
      <c r="CA119" t="str">
        <v>C150</v>
      </c>
      <c r="CB119">
        <v>0</v>
      </c>
      <c r="CC119">
        <v>0</v>
      </c>
      <c r="CD119">
        <v>0</v>
      </c>
      <c r="CE119">
        <v>0</v>
      </c>
      <c r="CF119" t="str">
        <v>C109</v>
      </c>
      <c r="CG119" t="str">
        <v>C129</v>
      </c>
      <c r="CH119" t="str">
        <v>C159</v>
      </c>
      <c r="CI119">
        <v>0</v>
      </c>
      <c r="CJ119">
        <v>0</v>
      </c>
      <c r="CK119">
        <v>0</v>
      </c>
      <c r="CL119">
        <v>0</v>
      </c>
      <c r="CM119" t="str">
        <v>C111</v>
      </c>
      <c r="CN119" t="str">
        <v>C121</v>
      </c>
      <c r="CO119" t="str">
        <v>C165</v>
      </c>
      <c r="CP119">
        <v>0</v>
      </c>
      <c r="CQ119">
        <v>0</v>
      </c>
      <c r="CR119">
        <v>0</v>
      </c>
      <c r="CS119">
        <v>0</v>
      </c>
      <c r="CT119">
        <v>0</v>
      </c>
      <c r="CU119">
        <v>0</v>
      </c>
      <c r="CV119">
        <v>0</v>
      </c>
      <c r="CW119">
        <v>0</v>
      </c>
      <c r="CX119">
        <v>0</v>
      </c>
      <c r="CY119">
        <v>0</v>
      </c>
      <c r="CZ119">
        <v>0</v>
      </c>
      <c r="DA119">
        <v>0</v>
      </c>
      <c r="DB119">
        <v>0</v>
      </c>
      <c r="DC119">
        <v>0</v>
      </c>
      <c r="DD119">
        <v>0</v>
      </c>
      <c r="DE119">
        <v>0</v>
      </c>
      <c r="DF119">
        <v>0</v>
      </c>
      <c r="DG119">
        <v>0</v>
      </c>
      <c r="DH119">
        <v>0</v>
      </c>
      <c r="DI119">
        <v>0</v>
      </c>
      <c r="DJ119">
        <v>0</v>
      </c>
      <c r="DK119">
        <v>0</v>
      </c>
      <c r="DL119">
        <v>0</v>
      </c>
      <c r="DM119">
        <v>0</v>
      </c>
      <c r="DN119">
        <v>0</v>
      </c>
      <c r="DO119">
        <v>0</v>
      </c>
      <c r="DP119">
        <v>0</v>
      </c>
      <c r="DQ119">
        <v>0</v>
      </c>
      <c r="DR119">
        <v>0</v>
      </c>
      <c r="DS119">
        <v>0</v>
      </c>
      <c r="DT119">
        <v>0</v>
      </c>
      <c r="DU119">
        <v>0</v>
      </c>
      <c r="DV119">
        <v>0</v>
      </c>
      <c r="DW119">
        <v>0</v>
      </c>
      <c r="DX119">
        <v>0</v>
      </c>
      <c r="DY119">
        <v>0</v>
      </c>
      <c r="DZ119">
        <v>0</v>
      </c>
      <c r="EA119">
        <v>0</v>
      </c>
      <c r="EB119">
        <v>0</v>
      </c>
      <c r="EC119">
        <v>0</v>
      </c>
      <c r="ED119">
        <v>0</v>
      </c>
      <c r="EE119">
        <v>0</v>
      </c>
      <c r="EF119">
        <v>0</v>
      </c>
      <c r="EG119">
        <v>0</v>
      </c>
      <c r="EH119">
        <v>0</v>
      </c>
      <c r="EI119">
        <v>0</v>
      </c>
      <c r="EJ119">
        <v>0</v>
      </c>
      <c r="EK119">
        <v>0</v>
      </c>
      <c r="EL119">
        <v>0</v>
      </c>
      <c r="EM119">
        <v>0</v>
      </c>
      <c r="EN119">
        <v>0</v>
      </c>
      <c r="EO119">
        <v>0</v>
      </c>
      <c r="EP119">
        <v>0</v>
      </c>
      <c r="EQ119">
        <v>0</v>
      </c>
      <c r="ER119">
        <v>0</v>
      </c>
      <c r="ES119">
        <v>0</v>
      </c>
      <c r="ET119">
        <v>0</v>
      </c>
      <c r="EU119">
        <v>0</v>
      </c>
      <c r="EV119">
        <v>0</v>
      </c>
      <c r="EW119">
        <v>0</v>
      </c>
      <c r="EX119">
        <v>0</v>
      </c>
      <c r="EY119">
        <v>0</v>
      </c>
      <c r="EZ119">
        <v>0</v>
      </c>
      <c r="FA119">
        <v>0</v>
      </c>
      <c r="FB119">
        <v>0</v>
      </c>
      <c r="FC119">
        <v>0</v>
      </c>
      <c r="FD119">
        <v>0</v>
      </c>
      <c r="FE119">
        <v>0</v>
      </c>
      <c r="FF119">
        <v>0</v>
      </c>
      <c r="FG119">
        <v>0</v>
      </c>
      <c r="FH119">
        <v>0</v>
      </c>
      <c r="FI119">
        <v>0</v>
      </c>
      <c r="FJ119">
        <v>0</v>
      </c>
      <c r="FK119">
        <v>0</v>
      </c>
      <c r="FL119">
        <v>0</v>
      </c>
      <c r="FM119">
        <v>0</v>
      </c>
      <c r="FN119">
        <v>0</v>
      </c>
      <c r="FO119">
        <v>0</v>
      </c>
      <c r="FP119">
        <v>0</v>
      </c>
      <c r="FQ119">
        <v>0</v>
      </c>
      <c r="FR119">
        <v>0</v>
      </c>
      <c r="FS119">
        <v>0</v>
      </c>
      <c r="FT119">
        <v>0</v>
      </c>
      <c r="FU119">
        <v>0</v>
      </c>
      <c r="FV119">
        <v>0</v>
      </c>
      <c r="FW119">
        <v>0</v>
      </c>
      <c r="FX119">
        <v>0</v>
      </c>
      <c r="FY119">
        <v>0</v>
      </c>
      <c r="FZ119">
        <v>0</v>
      </c>
      <c r="GA119">
        <v>0</v>
      </c>
      <c r="GB119">
        <v>0</v>
      </c>
      <c r="GC119">
        <v>0</v>
      </c>
      <c r="GD119">
        <v>0</v>
      </c>
      <c r="GE119">
        <v>0</v>
      </c>
      <c r="GF119">
        <v>0</v>
      </c>
      <c r="GG119">
        <v>0</v>
      </c>
      <c r="GH119">
        <v>0</v>
      </c>
      <c r="GI119">
        <v>0</v>
      </c>
      <c r="GJ119">
        <v>0</v>
      </c>
      <c r="GK119">
        <v>0</v>
      </c>
      <c r="GL119">
        <v>0</v>
      </c>
      <c r="GM119">
        <v>0</v>
      </c>
      <c r="GN119">
        <v>0</v>
      </c>
      <c r="GO119">
        <v>0</v>
      </c>
      <c r="GP119">
        <v>0</v>
      </c>
      <c r="GQ119">
        <v>0</v>
      </c>
      <c r="GR119">
        <v>0</v>
      </c>
      <c r="GS119">
        <v>0</v>
      </c>
      <c r="GT119">
        <v>0</v>
      </c>
      <c r="GU119">
        <v>0</v>
      </c>
      <c r="GV119">
        <v>0</v>
      </c>
      <c r="GW119">
        <v>0</v>
      </c>
      <c r="GX119">
        <v>0</v>
      </c>
      <c r="GY119">
        <v>0</v>
      </c>
      <c r="GZ119">
        <v>0</v>
      </c>
      <c r="HA119">
        <v>0</v>
      </c>
      <c r="HB119">
        <v>0</v>
      </c>
      <c r="HC119">
        <v>0</v>
      </c>
      <c r="HD119">
        <v>0</v>
      </c>
      <c r="HE119">
        <v>0</v>
      </c>
      <c r="HF119">
        <v>0</v>
      </c>
      <c r="HG119">
        <v>0</v>
      </c>
      <c r="HH119">
        <v>0</v>
      </c>
      <c r="HI119">
        <v>0</v>
      </c>
      <c r="HJ119">
        <v>0</v>
      </c>
      <c r="HK119">
        <v>0</v>
      </c>
      <c r="HL119">
        <v>0</v>
      </c>
      <c r="HM119">
        <v>0</v>
      </c>
      <c r="HN119">
        <v>0</v>
      </c>
      <c r="HO119">
        <v>0</v>
      </c>
      <c r="HP119">
        <v>0</v>
      </c>
      <c r="HQ119">
        <v>0</v>
      </c>
      <c r="HR119">
        <v>0</v>
      </c>
      <c r="HS119">
        <v>0</v>
      </c>
      <c r="HT119">
        <v>0</v>
      </c>
      <c r="HU119">
        <v>0</v>
      </c>
      <c r="HV119">
        <v>0</v>
      </c>
      <c r="HW119">
        <v>0</v>
      </c>
      <c r="HX119">
        <v>0</v>
      </c>
      <c r="HY119">
        <v>0</v>
      </c>
      <c r="HZ119">
        <v>0</v>
      </c>
      <c r="IA119">
        <v>0</v>
      </c>
      <c r="IB119">
        <v>0</v>
      </c>
      <c r="IC119">
        <v>0</v>
      </c>
      <c r="ID119">
        <v>0</v>
      </c>
      <c r="IE119">
        <v>0</v>
      </c>
      <c r="IF119">
        <v>0</v>
      </c>
      <c r="IG119">
        <v>0</v>
      </c>
      <c r="IH119">
        <v>0</v>
      </c>
      <c r="II119">
        <v>0</v>
      </c>
      <c r="IJ119">
        <v>0</v>
      </c>
      <c r="IK119">
        <v>0</v>
      </c>
      <c r="IL119">
        <v>0</v>
      </c>
      <c r="IM119">
        <v>0</v>
      </c>
      <c r="IN119">
        <v>0</v>
      </c>
      <c r="IO119">
        <v>0</v>
      </c>
      <c r="IP119">
        <v>0</v>
      </c>
      <c r="IQ119">
        <v>0</v>
      </c>
      <c r="IR119">
        <v>0</v>
      </c>
      <c r="IS119">
        <v>0</v>
      </c>
      <c r="IT119">
        <v>0</v>
      </c>
      <c r="IU119">
        <v>0</v>
      </c>
      <c r="IV119">
        <v>0</v>
      </c>
      <c r="IW119">
        <v>0</v>
      </c>
      <c r="IX119">
        <v>0</v>
      </c>
      <c r="IY119">
        <v>0</v>
      </c>
      <c r="IZ119">
        <v>0</v>
      </c>
      <c r="JA119">
        <v>0</v>
      </c>
      <c r="JB119">
        <v>0</v>
      </c>
      <c r="JC119">
        <v>0</v>
      </c>
      <c r="JD119">
        <v>0</v>
      </c>
      <c r="JE119">
        <v>0</v>
      </c>
      <c r="JF119">
        <v>0</v>
      </c>
      <c r="JG119">
        <v>0</v>
      </c>
      <c r="JH119">
        <v>0</v>
      </c>
      <c r="JI119">
        <v>0</v>
      </c>
      <c r="JJ119">
        <v>0</v>
      </c>
      <c r="JK119">
        <v>0</v>
      </c>
      <c r="JL119">
        <v>0</v>
      </c>
      <c r="JM119">
        <v>0</v>
      </c>
      <c r="JN119">
        <v>0</v>
      </c>
      <c r="JO119">
        <v>0</v>
      </c>
      <c r="JP119">
        <v>0</v>
      </c>
      <c r="JQ119">
        <v>0</v>
      </c>
      <c r="JR119">
        <v>0</v>
      </c>
      <c r="JS119">
        <v>0</v>
      </c>
      <c r="JT119">
        <v>0</v>
      </c>
      <c r="JU119">
        <v>0</v>
      </c>
      <c r="JV119">
        <v>0</v>
      </c>
      <c r="JW119">
        <v>0</v>
      </c>
      <c r="JX119">
        <v>0</v>
      </c>
      <c r="JY119">
        <v>0</v>
      </c>
      <c r="JZ119">
        <v>0</v>
      </c>
      <c r="KA119">
        <v>0</v>
      </c>
      <c r="KB119">
        <v>0</v>
      </c>
      <c r="KC119">
        <v>0</v>
      </c>
      <c r="KD119">
        <v>0</v>
      </c>
      <c r="KE119">
        <v>0</v>
      </c>
      <c r="KF119">
        <v>0</v>
      </c>
      <c r="KG119">
        <v>0</v>
      </c>
      <c r="KH119">
        <v>0</v>
      </c>
      <c r="KI119">
        <v>0</v>
      </c>
      <c r="KJ119">
        <v>0</v>
      </c>
      <c r="KK119">
        <v>0</v>
      </c>
      <c r="KL119">
        <v>0</v>
      </c>
      <c r="KM119">
        <v>0</v>
      </c>
      <c r="KN119">
        <v>0</v>
      </c>
      <c r="KO119">
        <v>0</v>
      </c>
      <c r="KP119">
        <v>0</v>
      </c>
      <c r="KQ119">
        <v>0</v>
      </c>
      <c r="KR119">
        <v>0</v>
      </c>
      <c r="KS119">
        <v>0</v>
      </c>
      <c r="KT119">
        <v>0</v>
      </c>
      <c r="KU119">
        <v>0</v>
      </c>
      <c r="KV119">
        <v>0</v>
      </c>
      <c r="KW119">
        <v>0</v>
      </c>
      <c r="KX119">
        <v>0</v>
      </c>
      <c r="KY119">
        <v>0</v>
      </c>
      <c r="KZ119">
        <v>0</v>
      </c>
      <c r="LA119">
        <v>0</v>
      </c>
      <c r="LB119">
        <v>0</v>
      </c>
      <c r="LC119">
        <v>0</v>
      </c>
      <c r="LD119">
        <v>0</v>
      </c>
      <c r="LE119">
        <v>0</v>
      </c>
      <c r="LF119">
        <v>0</v>
      </c>
      <c r="LG119">
        <v>0</v>
      </c>
      <c r="LH119">
        <v>0</v>
      </c>
      <c r="LI119">
        <v>0</v>
      </c>
      <c r="LJ119">
        <v>0</v>
      </c>
      <c r="LK119">
        <v>0</v>
      </c>
      <c r="LL119">
        <v>0</v>
      </c>
      <c r="LM119">
        <v>0</v>
      </c>
      <c r="LN119">
        <v>0</v>
      </c>
      <c r="LO119">
        <v>0</v>
      </c>
      <c r="LP119">
        <v>0</v>
      </c>
      <c r="LQ119">
        <v>0</v>
      </c>
      <c r="LR119">
        <v>0</v>
      </c>
      <c r="LS119">
        <v>0</v>
      </c>
      <c r="LT119">
        <v>0</v>
      </c>
      <c r="LU119">
        <v>0</v>
      </c>
      <c r="LV119">
        <v>0</v>
      </c>
      <c r="LW119">
        <v>0</v>
      </c>
      <c r="LX119">
        <v>0</v>
      </c>
      <c r="LY119">
        <v>0</v>
      </c>
      <c r="LZ119">
        <v>0</v>
      </c>
      <c r="MA119">
        <v>0</v>
      </c>
      <c r="MB119">
        <v>0</v>
      </c>
      <c r="MC119">
        <v>0</v>
      </c>
      <c r="MD119">
        <v>0</v>
      </c>
      <c r="ME119">
        <v>0</v>
      </c>
      <c r="MF119">
        <v>0</v>
      </c>
      <c r="MG119">
        <v>0</v>
      </c>
      <c r="MH119">
        <v>0</v>
      </c>
      <c r="MI119">
        <v>0</v>
      </c>
      <c r="MJ119">
        <v>0</v>
      </c>
      <c r="MK119">
        <v>0</v>
      </c>
      <c r="ML119">
        <v>0</v>
      </c>
      <c r="MM119">
        <v>0</v>
      </c>
      <c r="MN119">
        <v>0</v>
      </c>
      <c r="MO119">
        <v>0</v>
      </c>
      <c r="MP119">
        <v>0</v>
      </c>
      <c r="MQ119">
        <v>0</v>
      </c>
      <c r="MR119">
        <v>0</v>
      </c>
      <c r="MS119">
        <v>0</v>
      </c>
      <c r="MT119">
        <v>0</v>
      </c>
      <c r="MU119">
        <v>0</v>
      </c>
      <c r="MV119">
        <v>0</v>
      </c>
      <c r="MW119">
        <v>0</v>
      </c>
      <c r="MX119">
        <v>0</v>
      </c>
      <c r="MY119">
        <v>0</v>
      </c>
      <c r="MZ119">
        <v>0</v>
      </c>
      <c r="NA119">
        <v>0</v>
      </c>
      <c r="NB119">
        <v>0</v>
      </c>
      <c r="NC119">
        <v>0</v>
      </c>
      <c r="ND119">
        <v>0</v>
      </c>
      <c r="NE119">
        <v>0</v>
      </c>
    </row>
    <row r="120" spans="41:369" x14ac:dyDescent="0.45">
      <c r="AO120" t="str">
        <v>B141</v>
      </c>
      <c r="AP120" t="str">
        <v>RAFNAS P</v>
      </c>
      <c r="AQ120" t="str">
        <v>FANT</v>
      </c>
      <c r="AR120" t="str">
        <v>JUNIOR</v>
      </c>
      <c r="AS120">
        <v>4</v>
      </c>
      <c r="AT120">
        <v>1</v>
      </c>
      <c r="AU120">
        <v>0</v>
      </c>
      <c r="AV120">
        <v>1</v>
      </c>
      <c r="AW120">
        <v>1</v>
      </c>
      <c r="AX120">
        <v>231</v>
      </c>
      <c r="AY120" s="5">
        <v>231</v>
      </c>
      <c r="AZ120" t="str">
        <v>SN29</v>
      </c>
      <c r="BA120" t="str">
        <v>TAḤLĪL AL-ʿIBĀRAH</v>
      </c>
      <c r="BB120" t="str">
        <v>SENIOR</v>
      </c>
      <c r="BC120" t="str">
        <v>Single</v>
      </c>
      <c r="BD120" t="str">
        <v>Non-Stg</v>
      </c>
      <c r="BE120">
        <v>3</v>
      </c>
      <c r="BF120" t="str">
        <v>Individual</v>
      </c>
      <c r="BG120" t="str">
        <v>Individual</v>
      </c>
      <c r="BH120" t="str">
        <v>P</v>
      </c>
      <c r="BI120" t="str">
        <v>PUBLISHED</v>
      </c>
      <c r="BK120">
        <v>114</v>
      </c>
      <c r="BL120" t="str">
        <v>SN25</v>
      </c>
      <c r="BM120" t="str">
        <v>SCIENCE MASTER</v>
      </c>
      <c r="BN120">
        <v>3</v>
      </c>
      <c r="BO120" t="str">
        <v>Single</v>
      </c>
      <c r="BP120" t="str">
        <v>Non-Stg</v>
      </c>
      <c r="BQ120" t="str">
        <v>SENIOR</v>
      </c>
      <c r="BR120" t="str">
        <v>C108</v>
      </c>
      <c r="BS120" t="str">
        <v>C115</v>
      </c>
      <c r="BT120" t="str">
        <v>C156</v>
      </c>
      <c r="BU120">
        <v>0</v>
      </c>
      <c r="BV120">
        <v>0</v>
      </c>
      <c r="BW120">
        <v>0</v>
      </c>
      <c r="BX120">
        <v>0</v>
      </c>
      <c r="BY120" t="str">
        <v>C133</v>
      </c>
      <c r="BZ120" t="str">
        <v>C144</v>
      </c>
      <c r="CA120" t="str">
        <v>C166</v>
      </c>
      <c r="CB120">
        <v>0</v>
      </c>
      <c r="CC120">
        <v>0</v>
      </c>
      <c r="CD120">
        <v>0</v>
      </c>
      <c r="CE120">
        <v>0</v>
      </c>
      <c r="CF120" t="str">
        <v>C103</v>
      </c>
      <c r="CG120" t="str">
        <v>C114</v>
      </c>
      <c r="CH120" t="str">
        <v>C170</v>
      </c>
      <c r="CI120">
        <v>0</v>
      </c>
      <c r="CJ120">
        <v>0</v>
      </c>
      <c r="CK120">
        <v>0</v>
      </c>
      <c r="CL120">
        <v>0</v>
      </c>
      <c r="CM120" t="str">
        <v>C140</v>
      </c>
      <c r="CN120" t="str">
        <v>C143</v>
      </c>
      <c r="CO120" t="str">
        <v>C151</v>
      </c>
      <c r="CP120">
        <v>0</v>
      </c>
      <c r="CQ120">
        <v>0</v>
      </c>
      <c r="CR120">
        <v>0</v>
      </c>
      <c r="CS120">
        <v>0</v>
      </c>
      <c r="CT120">
        <v>0</v>
      </c>
      <c r="CU120">
        <v>0</v>
      </c>
      <c r="CV120">
        <v>0</v>
      </c>
      <c r="CW120">
        <v>0</v>
      </c>
      <c r="CX120">
        <v>0</v>
      </c>
      <c r="CY120">
        <v>0</v>
      </c>
      <c r="CZ120">
        <v>0</v>
      </c>
      <c r="DA120">
        <v>0</v>
      </c>
      <c r="DB120">
        <v>0</v>
      </c>
      <c r="DC120">
        <v>0</v>
      </c>
      <c r="DD120">
        <v>0</v>
      </c>
      <c r="DE120">
        <v>0</v>
      </c>
      <c r="DF120">
        <v>0</v>
      </c>
      <c r="DG120">
        <v>0</v>
      </c>
      <c r="DH120">
        <v>0</v>
      </c>
      <c r="DI120">
        <v>0</v>
      </c>
      <c r="DJ120">
        <v>0</v>
      </c>
      <c r="DK120">
        <v>0</v>
      </c>
      <c r="DL120">
        <v>0</v>
      </c>
      <c r="DM120">
        <v>0</v>
      </c>
      <c r="DN120">
        <v>0</v>
      </c>
      <c r="DO120">
        <v>0</v>
      </c>
      <c r="DP120">
        <v>0</v>
      </c>
      <c r="DQ120">
        <v>0</v>
      </c>
      <c r="DR120">
        <v>0</v>
      </c>
      <c r="DS120">
        <v>0</v>
      </c>
      <c r="DT120">
        <v>0</v>
      </c>
      <c r="DU120">
        <v>0</v>
      </c>
      <c r="DV120">
        <v>0</v>
      </c>
      <c r="DW120">
        <v>0</v>
      </c>
      <c r="DX120">
        <v>0</v>
      </c>
      <c r="DY120">
        <v>0</v>
      </c>
      <c r="DZ120">
        <v>0</v>
      </c>
      <c r="EA120">
        <v>0</v>
      </c>
      <c r="EB120">
        <v>0</v>
      </c>
      <c r="EC120">
        <v>0</v>
      </c>
      <c r="ED120">
        <v>0</v>
      </c>
      <c r="EE120">
        <v>0</v>
      </c>
      <c r="EF120">
        <v>0</v>
      </c>
      <c r="EG120">
        <v>0</v>
      </c>
      <c r="EH120">
        <v>0</v>
      </c>
      <c r="EI120">
        <v>0</v>
      </c>
      <c r="EJ120">
        <v>0</v>
      </c>
      <c r="EK120">
        <v>0</v>
      </c>
      <c r="EL120">
        <v>0</v>
      </c>
      <c r="EM120">
        <v>0</v>
      </c>
      <c r="EN120">
        <v>0</v>
      </c>
      <c r="EO120">
        <v>0</v>
      </c>
      <c r="EP120">
        <v>0</v>
      </c>
      <c r="EQ120">
        <v>0</v>
      </c>
      <c r="ER120">
        <v>0</v>
      </c>
      <c r="ES120">
        <v>0</v>
      </c>
      <c r="ET120">
        <v>0</v>
      </c>
      <c r="EU120">
        <v>0</v>
      </c>
      <c r="EV120">
        <v>0</v>
      </c>
      <c r="EW120">
        <v>0</v>
      </c>
      <c r="EX120">
        <v>0</v>
      </c>
      <c r="EY120">
        <v>0</v>
      </c>
      <c r="EZ120">
        <v>0</v>
      </c>
      <c r="FA120">
        <v>0</v>
      </c>
      <c r="FB120">
        <v>0</v>
      </c>
      <c r="FC120">
        <v>0</v>
      </c>
      <c r="FD120">
        <v>0</v>
      </c>
      <c r="FE120">
        <v>0</v>
      </c>
      <c r="FF120">
        <v>0</v>
      </c>
      <c r="FG120">
        <v>0</v>
      </c>
      <c r="FH120">
        <v>0</v>
      </c>
      <c r="FI120">
        <v>0</v>
      </c>
      <c r="FJ120">
        <v>0</v>
      </c>
      <c r="FK120">
        <v>0</v>
      </c>
      <c r="FL120">
        <v>0</v>
      </c>
      <c r="FM120">
        <v>0</v>
      </c>
      <c r="FN120">
        <v>0</v>
      </c>
      <c r="FO120">
        <v>0</v>
      </c>
      <c r="FP120">
        <v>0</v>
      </c>
      <c r="FQ120">
        <v>0</v>
      </c>
      <c r="FR120">
        <v>0</v>
      </c>
      <c r="FS120">
        <v>0</v>
      </c>
      <c r="FT120">
        <v>0</v>
      </c>
      <c r="FU120">
        <v>0</v>
      </c>
      <c r="FV120">
        <v>0</v>
      </c>
      <c r="FW120">
        <v>0</v>
      </c>
      <c r="FX120">
        <v>0</v>
      </c>
      <c r="FY120">
        <v>0</v>
      </c>
      <c r="FZ120">
        <v>0</v>
      </c>
      <c r="GA120">
        <v>0</v>
      </c>
      <c r="GB120">
        <v>0</v>
      </c>
      <c r="GC120">
        <v>0</v>
      </c>
      <c r="GD120">
        <v>0</v>
      </c>
      <c r="GE120">
        <v>0</v>
      </c>
      <c r="GF120">
        <v>0</v>
      </c>
      <c r="GG120">
        <v>0</v>
      </c>
      <c r="GH120">
        <v>0</v>
      </c>
      <c r="GI120">
        <v>0</v>
      </c>
      <c r="GJ120">
        <v>0</v>
      </c>
      <c r="GK120">
        <v>0</v>
      </c>
      <c r="GL120">
        <v>0</v>
      </c>
      <c r="GM120">
        <v>0</v>
      </c>
      <c r="GN120">
        <v>0</v>
      </c>
      <c r="GO120">
        <v>0</v>
      </c>
      <c r="GP120">
        <v>0</v>
      </c>
      <c r="GQ120">
        <v>0</v>
      </c>
      <c r="GR120">
        <v>0</v>
      </c>
      <c r="GS120">
        <v>0</v>
      </c>
      <c r="GT120">
        <v>0</v>
      </c>
      <c r="GU120">
        <v>0</v>
      </c>
      <c r="GV120">
        <v>0</v>
      </c>
      <c r="GW120">
        <v>0</v>
      </c>
      <c r="GX120">
        <v>0</v>
      </c>
      <c r="GY120">
        <v>0</v>
      </c>
      <c r="GZ120">
        <v>0</v>
      </c>
      <c r="HA120">
        <v>0</v>
      </c>
      <c r="HB120">
        <v>0</v>
      </c>
      <c r="HC120">
        <v>0</v>
      </c>
      <c r="HD120">
        <v>0</v>
      </c>
      <c r="HE120">
        <v>0</v>
      </c>
      <c r="HF120">
        <v>0</v>
      </c>
      <c r="HG120">
        <v>0</v>
      </c>
      <c r="HH120">
        <v>0</v>
      </c>
      <c r="HI120">
        <v>0</v>
      </c>
      <c r="HJ120">
        <v>0</v>
      </c>
      <c r="HK120">
        <v>0</v>
      </c>
      <c r="HL120">
        <v>0</v>
      </c>
      <c r="HM120">
        <v>0</v>
      </c>
      <c r="HN120">
        <v>0</v>
      </c>
      <c r="HO120">
        <v>0</v>
      </c>
      <c r="HP120">
        <v>0</v>
      </c>
      <c r="HQ120">
        <v>0</v>
      </c>
      <c r="HR120">
        <v>0</v>
      </c>
      <c r="HS120">
        <v>0</v>
      </c>
      <c r="HT120">
        <v>0</v>
      </c>
      <c r="HU120">
        <v>0</v>
      </c>
      <c r="HV120">
        <v>0</v>
      </c>
      <c r="HW120">
        <v>0</v>
      </c>
      <c r="HX120">
        <v>0</v>
      </c>
      <c r="HY120">
        <v>0</v>
      </c>
      <c r="HZ120">
        <v>0</v>
      </c>
      <c r="IA120">
        <v>0</v>
      </c>
      <c r="IB120">
        <v>0</v>
      </c>
      <c r="IC120">
        <v>0</v>
      </c>
      <c r="ID120">
        <v>0</v>
      </c>
      <c r="IE120">
        <v>0</v>
      </c>
      <c r="IF120">
        <v>0</v>
      </c>
      <c r="IG120">
        <v>0</v>
      </c>
      <c r="IH120">
        <v>0</v>
      </c>
      <c r="II120">
        <v>0</v>
      </c>
      <c r="IJ120">
        <v>0</v>
      </c>
      <c r="IK120">
        <v>0</v>
      </c>
      <c r="IL120">
        <v>0</v>
      </c>
      <c r="IM120">
        <v>0</v>
      </c>
      <c r="IN120">
        <v>0</v>
      </c>
      <c r="IO120">
        <v>0</v>
      </c>
      <c r="IP120">
        <v>0</v>
      </c>
      <c r="IQ120">
        <v>0</v>
      </c>
      <c r="IR120">
        <v>0</v>
      </c>
      <c r="IS120">
        <v>0</v>
      </c>
      <c r="IT120">
        <v>0</v>
      </c>
      <c r="IU120">
        <v>0</v>
      </c>
      <c r="IV120">
        <v>0</v>
      </c>
      <c r="IW120">
        <v>0</v>
      </c>
      <c r="IX120">
        <v>0</v>
      </c>
      <c r="IY120">
        <v>0</v>
      </c>
      <c r="IZ120">
        <v>0</v>
      </c>
      <c r="JA120">
        <v>0</v>
      </c>
      <c r="JB120">
        <v>0</v>
      </c>
      <c r="JC120">
        <v>0</v>
      </c>
      <c r="JD120">
        <v>0</v>
      </c>
      <c r="JE120">
        <v>0</v>
      </c>
      <c r="JF120">
        <v>0</v>
      </c>
      <c r="JG120">
        <v>0</v>
      </c>
      <c r="JH120">
        <v>0</v>
      </c>
      <c r="JI120">
        <v>0</v>
      </c>
      <c r="JJ120">
        <v>0</v>
      </c>
      <c r="JK120">
        <v>0</v>
      </c>
      <c r="JL120">
        <v>0</v>
      </c>
      <c r="JM120">
        <v>0</v>
      </c>
      <c r="JN120">
        <v>0</v>
      </c>
      <c r="JO120">
        <v>0</v>
      </c>
      <c r="JP120">
        <v>0</v>
      </c>
      <c r="JQ120">
        <v>0</v>
      </c>
      <c r="JR120">
        <v>0</v>
      </c>
      <c r="JS120">
        <v>0</v>
      </c>
      <c r="JT120">
        <v>0</v>
      </c>
      <c r="JU120">
        <v>0</v>
      </c>
      <c r="JV120">
        <v>0</v>
      </c>
      <c r="JW120">
        <v>0</v>
      </c>
      <c r="JX120">
        <v>0</v>
      </c>
      <c r="JY120">
        <v>0</v>
      </c>
      <c r="JZ120">
        <v>0</v>
      </c>
      <c r="KA120">
        <v>0</v>
      </c>
      <c r="KB120">
        <v>0</v>
      </c>
      <c r="KC120">
        <v>0</v>
      </c>
      <c r="KD120">
        <v>0</v>
      </c>
      <c r="KE120">
        <v>0</v>
      </c>
      <c r="KF120">
        <v>0</v>
      </c>
      <c r="KG120">
        <v>0</v>
      </c>
      <c r="KH120">
        <v>0</v>
      </c>
      <c r="KI120">
        <v>0</v>
      </c>
      <c r="KJ120">
        <v>0</v>
      </c>
      <c r="KK120">
        <v>0</v>
      </c>
      <c r="KL120">
        <v>0</v>
      </c>
      <c r="KM120">
        <v>0</v>
      </c>
      <c r="KN120">
        <v>0</v>
      </c>
      <c r="KO120">
        <v>0</v>
      </c>
      <c r="KP120">
        <v>0</v>
      </c>
      <c r="KQ120">
        <v>0</v>
      </c>
      <c r="KR120">
        <v>0</v>
      </c>
      <c r="KS120">
        <v>0</v>
      </c>
      <c r="KT120">
        <v>0</v>
      </c>
      <c r="KU120">
        <v>0</v>
      </c>
      <c r="KV120">
        <v>0</v>
      </c>
      <c r="KW120">
        <v>0</v>
      </c>
      <c r="KX120">
        <v>0</v>
      </c>
      <c r="KY120">
        <v>0</v>
      </c>
      <c r="KZ120">
        <v>0</v>
      </c>
      <c r="LA120">
        <v>0</v>
      </c>
      <c r="LB120">
        <v>0</v>
      </c>
      <c r="LC120">
        <v>0</v>
      </c>
      <c r="LD120">
        <v>0</v>
      </c>
      <c r="LE120">
        <v>0</v>
      </c>
      <c r="LF120">
        <v>0</v>
      </c>
      <c r="LG120">
        <v>0</v>
      </c>
      <c r="LH120">
        <v>0</v>
      </c>
      <c r="LI120">
        <v>0</v>
      </c>
      <c r="LJ120">
        <v>0</v>
      </c>
      <c r="LK120">
        <v>0</v>
      </c>
      <c r="LL120">
        <v>0</v>
      </c>
      <c r="LM120">
        <v>0</v>
      </c>
      <c r="LN120">
        <v>0</v>
      </c>
      <c r="LO120">
        <v>0</v>
      </c>
      <c r="LP120">
        <v>0</v>
      </c>
      <c r="LQ120">
        <v>0</v>
      </c>
      <c r="LR120">
        <v>0</v>
      </c>
      <c r="LS120">
        <v>0</v>
      </c>
      <c r="LT120">
        <v>0</v>
      </c>
      <c r="LU120">
        <v>0</v>
      </c>
      <c r="LV120">
        <v>0</v>
      </c>
      <c r="LW120">
        <v>0</v>
      </c>
      <c r="LX120">
        <v>0</v>
      </c>
      <c r="LY120">
        <v>0</v>
      </c>
      <c r="LZ120">
        <v>0</v>
      </c>
      <c r="MA120">
        <v>0</v>
      </c>
      <c r="MB120">
        <v>0</v>
      </c>
      <c r="MC120">
        <v>0</v>
      </c>
      <c r="MD120">
        <v>0</v>
      </c>
      <c r="ME120">
        <v>0</v>
      </c>
      <c r="MF120">
        <v>0</v>
      </c>
      <c r="MG120">
        <v>0</v>
      </c>
      <c r="MH120">
        <v>0</v>
      </c>
      <c r="MI120">
        <v>0</v>
      </c>
      <c r="MJ120">
        <v>0</v>
      </c>
      <c r="MK120">
        <v>0</v>
      </c>
      <c r="ML120">
        <v>0</v>
      </c>
      <c r="MM120">
        <v>0</v>
      </c>
      <c r="MN120">
        <v>0</v>
      </c>
      <c r="MO120">
        <v>0</v>
      </c>
      <c r="MP120">
        <v>0</v>
      </c>
      <c r="MQ120">
        <v>0</v>
      </c>
      <c r="MR120">
        <v>0</v>
      </c>
      <c r="MS120">
        <v>0</v>
      </c>
      <c r="MT120">
        <v>0</v>
      </c>
      <c r="MU120">
        <v>0</v>
      </c>
      <c r="MV120">
        <v>0</v>
      </c>
      <c r="MW120">
        <v>0</v>
      </c>
      <c r="MX120">
        <v>0</v>
      </c>
      <c r="MY120">
        <v>0</v>
      </c>
      <c r="MZ120">
        <v>0</v>
      </c>
      <c r="NA120">
        <v>0</v>
      </c>
      <c r="NB120">
        <v>0</v>
      </c>
      <c r="NC120">
        <v>0</v>
      </c>
      <c r="ND120">
        <v>0</v>
      </c>
      <c r="NE120">
        <v>0</v>
      </c>
    </row>
    <row r="121" spans="41:369" x14ac:dyDescent="0.45">
      <c r="AO121" t="str">
        <v>B142</v>
      </c>
      <c r="AP121" t="str">
        <v>MUHAMMED HAMDAN A.P</v>
      </c>
      <c r="AQ121" t="str">
        <v>BADF</v>
      </c>
      <c r="AR121" t="str">
        <v>JUNIOR</v>
      </c>
      <c r="AS121">
        <v>4</v>
      </c>
      <c r="AT121">
        <v>33</v>
      </c>
      <c r="AU121">
        <v>0</v>
      </c>
      <c r="AV121">
        <v>33</v>
      </c>
      <c r="AW121">
        <v>33</v>
      </c>
      <c r="AX121">
        <v>37</v>
      </c>
      <c r="AY121" s="5">
        <v>37</v>
      </c>
      <c r="AZ121" t="str">
        <v>SN30</v>
      </c>
      <c r="BA121" t="str">
        <v>ANNOUNCEMENT</v>
      </c>
      <c r="BB121" t="str">
        <v>SENIOR</v>
      </c>
      <c r="BC121" t="str">
        <v>Single</v>
      </c>
      <c r="BD121" t="str">
        <v>Stage</v>
      </c>
      <c r="BE121">
        <v>3</v>
      </c>
      <c r="BF121" t="str">
        <v>Individual</v>
      </c>
      <c r="BG121" t="str">
        <v>Individual</v>
      </c>
      <c r="BH121" t="str">
        <v>P</v>
      </c>
      <c r="BI121" t="str">
        <v>PUBLISHED</v>
      </c>
      <c r="BK121">
        <v>115</v>
      </c>
      <c r="BL121" t="str">
        <v>SN26</v>
      </c>
      <c r="BM121" t="str">
        <v>SHORT STORY ARB</v>
      </c>
      <c r="BN121">
        <v>3</v>
      </c>
      <c r="BO121" t="str">
        <v>Single</v>
      </c>
      <c r="BP121" t="str">
        <v>Non-Stg</v>
      </c>
      <c r="BQ121" t="str">
        <v>SENIOR</v>
      </c>
      <c r="BR121" t="str">
        <v>C112</v>
      </c>
      <c r="BS121" t="str">
        <v>C118</v>
      </c>
      <c r="BT121" t="str">
        <v>C149</v>
      </c>
      <c r="BU121">
        <v>0</v>
      </c>
      <c r="BV121">
        <v>0</v>
      </c>
      <c r="BW121">
        <v>0</v>
      </c>
      <c r="BX121">
        <v>0</v>
      </c>
      <c r="BY121" t="str">
        <v>C153</v>
      </c>
      <c r="BZ121" t="str">
        <v>C172</v>
      </c>
      <c r="CA121" t="str">
        <v>C177</v>
      </c>
      <c r="CB121">
        <v>0</v>
      </c>
      <c r="CC121">
        <v>0</v>
      </c>
      <c r="CD121">
        <v>0</v>
      </c>
      <c r="CE121">
        <v>0</v>
      </c>
      <c r="CF121" t="str">
        <v>C109</v>
      </c>
      <c r="CG121" t="str">
        <v>C169</v>
      </c>
      <c r="CH121" t="str">
        <v>C174</v>
      </c>
      <c r="CI121">
        <v>0</v>
      </c>
      <c r="CJ121">
        <v>0</v>
      </c>
      <c r="CK121">
        <v>0</v>
      </c>
      <c r="CL121">
        <v>0</v>
      </c>
      <c r="CM121" t="str">
        <v>C111</v>
      </c>
      <c r="CN121" t="str">
        <v>C135</v>
      </c>
      <c r="CO121" t="str">
        <v>C167</v>
      </c>
      <c r="CP121">
        <v>0</v>
      </c>
      <c r="CQ121">
        <v>0</v>
      </c>
      <c r="CR121">
        <v>0</v>
      </c>
      <c r="CS121">
        <v>0</v>
      </c>
      <c r="CT121">
        <v>0</v>
      </c>
      <c r="CU121">
        <v>0</v>
      </c>
      <c r="CV121">
        <v>0</v>
      </c>
      <c r="CW121">
        <v>0</v>
      </c>
      <c r="CX121">
        <v>0</v>
      </c>
      <c r="CY121">
        <v>0</v>
      </c>
      <c r="CZ121">
        <v>0</v>
      </c>
      <c r="DA121">
        <v>0</v>
      </c>
      <c r="DB121">
        <v>0</v>
      </c>
      <c r="DC121">
        <v>0</v>
      </c>
      <c r="DD121">
        <v>0</v>
      </c>
      <c r="DE121">
        <v>0</v>
      </c>
      <c r="DF121">
        <v>0</v>
      </c>
      <c r="DG121">
        <v>0</v>
      </c>
      <c r="DH121">
        <v>0</v>
      </c>
      <c r="DI121">
        <v>0</v>
      </c>
      <c r="DJ121">
        <v>0</v>
      </c>
      <c r="DK121">
        <v>0</v>
      </c>
      <c r="DL121">
        <v>0</v>
      </c>
      <c r="DM121">
        <v>0</v>
      </c>
      <c r="DN121">
        <v>0</v>
      </c>
      <c r="DO121">
        <v>0</v>
      </c>
      <c r="DP121">
        <v>0</v>
      </c>
      <c r="DQ121">
        <v>0</v>
      </c>
      <c r="DR121">
        <v>0</v>
      </c>
      <c r="DS121">
        <v>0</v>
      </c>
      <c r="DT121">
        <v>0</v>
      </c>
      <c r="DU121">
        <v>0</v>
      </c>
      <c r="DV121">
        <v>0</v>
      </c>
      <c r="DW121">
        <v>0</v>
      </c>
      <c r="DX121">
        <v>0</v>
      </c>
      <c r="DY121">
        <v>0</v>
      </c>
      <c r="DZ121">
        <v>0</v>
      </c>
      <c r="EA121">
        <v>0</v>
      </c>
      <c r="EB121">
        <v>0</v>
      </c>
      <c r="EC121">
        <v>0</v>
      </c>
      <c r="ED121">
        <v>0</v>
      </c>
      <c r="EE121">
        <v>0</v>
      </c>
      <c r="EF121">
        <v>0</v>
      </c>
      <c r="EG121">
        <v>0</v>
      </c>
      <c r="EH121">
        <v>0</v>
      </c>
      <c r="EI121">
        <v>0</v>
      </c>
      <c r="EJ121">
        <v>0</v>
      </c>
      <c r="EK121">
        <v>0</v>
      </c>
      <c r="EL121">
        <v>0</v>
      </c>
      <c r="EM121">
        <v>0</v>
      </c>
      <c r="EN121">
        <v>0</v>
      </c>
      <c r="EO121">
        <v>0</v>
      </c>
      <c r="EP121">
        <v>0</v>
      </c>
      <c r="EQ121">
        <v>0</v>
      </c>
      <c r="ER121">
        <v>0</v>
      </c>
      <c r="ES121">
        <v>0</v>
      </c>
      <c r="ET121">
        <v>0</v>
      </c>
      <c r="EU121">
        <v>0</v>
      </c>
      <c r="EV121">
        <v>0</v>
      </c>
      <c r="EW121">
        <v>0</v>
      </c>
      <c r="EX121">
        <v>0</v>
      </c>
      <c r="EY121">
        <v>0</v>
      </c>
      <c r="EZ121">
        <v>0</v>
      </c>
      <c r="FA121">
        <v>0</v>
      </c>
      <c r="FB121">
        <v>0</v>
      </c>
      <c r="FC121">
        <v>0</v>
      </c>
      <c r="FD121">
        <v>0</v>
      </c>
      <c r="FE121">
        <v>0</v>
      </c>
      <c r="FF121">
        <v>0</v>
      </c>
      <c r="FG121">
        <v>0</v>
      </c>
      <c r="FH121">
        <v>0</v>
      </c>
      <c r="FI121">
        <v>0</v>
      </c>
      <c r="FJ121">
        <v>0</v>
      </c>
      <c r="FK121">
        <v>0</v>
      </c>
      <c r="FL121">
        <v>0</v>
      </c>
      <c r="FM121">
        <v>0</v>
      </c>
      <c r="FN121">
        <v>0</v>
      </c>
      <c r="FO121">
        <v>0</v>
      </c>
      <c r="FP121">
        <v>0</v>
      </c>
      <c r="FQ121">
        <v>0</v>
      </c>
      <c r="FR121">
        <v>0</v>
      </c>
      <c r="FS121">
        <v>0</v>
      </c>
      <c r="FT121">
        <v>0</v>
      </c>
      <c r="FU121">
        <v>0</v>
      </c>
      <c r="FV121">
        <v>0</v>
      </c>
      <c r="FW121">
        <v>0</v>
      </c>
      <c r="FX121">
        <v>0</v>
      </c>
      <c r="FY121">
        <v>0</v>
      </c>
      <c r="FZ121">
        <v>0</v>
      </c>
      <c r="GA121">
        <v>0</v>
      </c>
      <c r="GB121">
        <v>0</v>
      </c>
      <c r="GC121">
        <v>0</v>
      </c>
      <c r="GD121">
        <v>0</v>
      </c>
      <c r="GE121">
        <v>0</v>
      </c>
      <c r="GF121">
        <v>0</v>
      </c>
      <c r="GG121">
        <v>0</v>
      </c>
      <c r="GH121">
        <v>0</v>
      </c>
      <c r="GI121">
        <v>0</v>
      </c>
      <c r="GJ121">
        <v>0</v>
      </c>
      <c r="GK121">
        <v>0</v>
      </c>
      <c r="GL121">
        <v>0</v>
      </c>
      <c r="GM121">
        <v>0</v>
      </c>
      <c r="GN121">
        <v>0</v>
      </c>
      <c r="GO121">
        <v>0</v>
      </c>
      <c r="GP121">
        <v>0</v>
      </c>
      <c r="GQ121">
        <v>0</v>
      </c>
      <c r="GR121">
        <v>0</v>
      </c>
      <c r="GS121">
        <v>0</v>
      </c>
      <c r="GT121">
        <v>0</v>
      </c>
      <c r="GU121">
        <v>0</v>
      </c>
      <c r="GV121">
        <v>0</v>
      </c>
      <c r="GW121">
        <v>0</v>
      </c>
      <c r="GX121">
        <v>0</v>
      </c>
      <c r="GY121">
        <v>0</v>
      </c>
      <c r="GZ121">
        <v>0</v>
      </c>
      <c r="HA121">
        <v>0</v>
      </c>
      <c r="HB121">
        <v>0</v>
      </c>
      <c r="HC121">
        <v>0</v>
      </c>
      <c r="HD121">
        <v>0</v>
      </c>
      <c r="HE121">
        <v>0</v>
      </c>
      <c r="HF121">
        <v>0</v>
      </c>
      <c r="HG121">
        <v>0</v>
      </c>
      <c r="HH121">
        <v>0</v>
      </c>
      <c r="HI121">
        <v>0</v>
      </c>
      <c r="HJ121">
        <v>0</v>
      </c>
      <c r="HK121">
        <v>0</v>
      </c>
      <c r="HL121">
        <v>0</v>
      </c>
      <c r="HM121">
        <v>0</v>
      </c>
      <c r="HN121">
        <v>0</v>
      </c>
      <c r="HO121">
        <v>0</v>
      </c>
      <c r="HP121">
        <v>0</v>
      </c>
      <c r="HQ121">
        <v>0</v>
      </c>
      <c r="HR121">
        <v>0</v>
      </c>
      <c r="HS121">
        <v>0</v>
      </c>
      <c r="HT121">
        <v>0</v>
      </c>
      <c r="HU121">
        <v>0</v>
      </c>
      <c r="HV121">
        <v>0</v>
      </c>
      <c r="HW121">
        <v>0</v>
      </c>
      <c r="HX121">
        <v>0</v>
      </c>
      <c r="HY121">
        <v>0</v>
      </c>
      <c r="HZ121">
        <v>0</v>
      </c>
      <c r="IA121">
        <v>0</v>
      </c>
      <c r="IB121">
        <v>0</v>
      </c>
      <c r="IC121">
        <v>0</v>
      </c>
      <c r="ID121">
        <v>0</v>
      </c>
      <c r="IE121">
        <v>0</v>
      </c>
      <c r="IF121">
        <v>0</v>
      </c>
      <c r="IG121">
        <v>0</v>
      </c>
      <c r="IH121">
        <v>0</v>
      </c>
      <c r="II121">
        <v>0</v>
      </c>
      <c r="IJ121">
        <v>0</v>
      </c>
      <c r="IK121">
        <v>0</v>
      </c>
      <c r="IL121">
        <v>0</v>
      </c>
      <c r="IM121">
        <v>0</v>
      </c>
      <c r="IN121">
        <v>0</v>
      </c>
      <c r="IO121">
        <v>0</v>
      </c>
      <c r="IP121">
        <v>0</v>
      </c>
      <c r="IQ121">
        <v>0</v>
      </c>
      <c r="IR121">
        <v>0</v>
      </c>
      <c r="IS121">
        <v>0</v>
      </c>
      <c r="IT121">
        <v>0</v>
      </c>
      <c r="IU121">
        <v>0</v>
      </c>
      <c r="IV121">
        <v>0</v>
      </c>
      <c r="IW121">
        <v>0</v>
      </c>
      <c r="IX121">
        <v>0</v>
      </c>
      <c r="IY121">
        <v>0</v>
      </c>
      <c r="IZ121">
        <v>0</v>
      </c>
      <c r="JA121">
        <v>0</v>
      </c>
      <c r="JB121">
        <v>0</v>
      </c>
      <c r="JC121">
        <v>0</v>
      </c>
      <c r="JD121">
        <v>0</v>
      </c>
      <c r="JE121">
        <v>0</v>
      </c>
      <c r="JF121">
        <v>0</v>
      </c>
      <c r="JG121">
        <v>0</v>
      </c>
      <c r="JH121">
        <v>0</v>
      </c>
      <c r="JI121">
        <v>0</v>
      </c>
      <c r="JJ121">
        <v>0</v>
      </c>
      <c r="JK121">
        <v>0</v>
      </c>
      <c r="JL121">
        <v>0</v>
      </c>
      <c r="JM121">
        <v>0</v>
      </c>
      <c r="JN121">
        <v>0</v>
      </c>
      <c r="JO121">
        <v>0</v>
      </c>
      <c r="JP121">
        <v>0</v>
      </c>
      <c r="JQ121">
        <v>0</v>
      </c>
      <c r="JR121">
        <v>0</v>
      </c>
      <c r="JS121">
        <v>0</v>
      </c>
      <c r="JT121">
        <v>0</v>
      </c>
      <c r="JU121">
        <v>0</v>
      </c>
      <c r="JV121">
        <v>0</v>
      </c>
      <c r="JW121">
        <v>0</v>
      </c>
      <c r="JX121">
        <v>0</v>
      </c>
      <c r="JY121">
        <v>0</v>
      </c>
      <c r="JZ121">
        <v>0</v>
      </c>
      <c r="KA121">
        <v>0</v>
      </c>
      <c r="KB121">
        <v>0</v>
      </c>
      <c r="KC121">
        <v>0</v>
      </c>
      <c r="KD121">
        <v>0</v>
      </c>
      <c r="KE121">
        <v>0</v>
      </c>
      <c r="KF121">
        <v>0</v>
      </c>
      <c r="KG121">
        <v>0</v>
      </c>
      <c r="KH121">
        <v>0</v>
      </c>
      <c r="KI121">
        <v>0</v>
      </c>
      <c r="KJ121">
        <v>0</v>
      </c>
      <c r="KK121">
        <v>0</v>
      </c>
      <c r="KL121">
        <v>0</v>
      </c>
      <c r="KM121">
        <v>0</v>
      </c>
      <c r="KN121">
        <v>0</v>
      </c>
      <c r="KO121">
        <v>0</v>
      </c>
      <c r="KP121">
        <v>0</v>
      </c>
      <c r="KQ121">
        <v>0</v>
      </c>
      <c r="KR121">
        <v>0</v>
      </c>
      <c r="KS121">
        <v>0</v>
      </c>
      <c r="KT121">
        <v>0</v>
      </c>
      <c r="KU121">
        <v>0</v>
      </c>
      <c r="KV121">
        <v>0</v>
      </c>
      <c r="KW121">
        <v>0</v>
      </c>
      <c r="KX121">
        <v>0</v>
      </c>
      <c r="KY121">
        <v>0</v>
      </c>
      <c r="KZ121">
        <v>0</v>
      </c>
      <c r="LA121">
        <v>0</v>
      </c>
      <c r="LB121">
        <v>0</v>
      </c>
      <c r="LC121">
        <v>0</v>
      </c>
      <c r="LD121">
        <v>0</v>
      </c>
      <c r="LE121">
        <v>0</v>
      </c>
      <c r="LF121">
        <v>0</v>
      </c>
      <c r="LG121">
        <v>0</v>
      </c>
      <c r="LH121">
        <v>0</v>
      </c>
      <c r="LI121">
        <v>0</v>
      </c>
      <c r="LJ121">
        <v>0</v>
      </c>
      <c r="LK121">
        <v>0</v>
      </c>
      <c r="LL121">
        <v>0</v>
      </c>
      <c r="LM121">
        <v>0</v>
      </c>
      <c r="LN121">
        <v>0</v>
      </c>
      <c r="LO121">
        <v>0</v>
      </c>
      <c r="LP121">
        <v>0</v>
      </c>
      <c r="LQ121">
        <v>0</v>
      </c>
      <c r="LR121">
        <v>0</v>
      </c>
      <c r="LS121">
        <v>0</v>
      </c>
      <c r="LT121">
        <v>0</v>
      </c>
      <c r="LU121">
        <v>0</v>
      </c>
      <c r="LV121">
        <v>0</v>
      </c>
      <c r="LW121">
        <v>0</v>
      </c>
      <c r="LX121">
        <v>0</v>
      </c>
      <c r="LY121">
        <v>0</v>
      </c>
      <c r="LZ121">
        <v>0</v>
      </c>
      <c r="MA121">
        <v>0</v>
      </c>
      <c r="MB121">
        <v>0</v>
      </c>
      <c r="MC121">
        <v>0</v>
      </c>
      <c r="MD121">
        <v>0</v>
      </c>
      <c r="ME121">
        <v>0</v>
      </c>
      <c r="MF121">
        <v>0</v>
      </c>
      <c r="MG121">
        <v>0</v>
      </c>
      <c r="MH121">
        <v>0</v>
      </c>
      <c r="MI121">
        <v>0</v>
      </c>
      <c r="MJ121">
        <v>0</v>
      </c>
      <c r="MK121">
        <v>0</v>
      </c>
      <c r="ML121">
        <v>0</v>
      </c>
      <c r="MM121">
        <v>0</v>
      </c>
      <c r="MN121">
        <v>0</v>
      </c>
      <c r="MO121">
        <v>0</v>
      </c>
      <c r="MP121">
        <v>0</v>
      </c>
      <c r="MQ121">
        <v>0</v>
      </c>
      <c r="MR121">
        <v>0</v>
      </c>
      <c r="MS121">
        <v>0</v>
      </c>
      <c r="MT121">
        <v>0</v>
      </c>
      <c r="MU121">
        <v>0</v>
      </c>
      <c r="MV121">
        <v>0</v>
      </c>
      <c r="MW121">
        <v>0</v>
      </c>
      <c r="MX121">
        <v>0</v>
      </c>
      <c r="MY121">
        <v>0</v>
      </c>
      <c r="MZ121">
        <v>0</v>
      </c>
      <c r="NA121">
        <v>0</v>
      </c>
      <c r="NB121">
        <v>0</v>
      </c>
      <c r="NC121">
        <v>0</v>
      </c>
      <c r="ND121">
        <v>0</v>
      </c>
      <c r="NE121">
        <v>0</v>
      </c>
    </row>
    <row r="122" spans="41:369" x14ac:dyDescent="0.45">
      <c r="AO122" t="str">
        <v>B143</v>
      </c>
      <c r="AP122" t="str">
        <v>MOHAMMED SHADIL AP</v>
      </c>
      <c r="AQ122" t="str">
        <v>FANT</v>
      </c>
      <c r="AR122" t="str">
        <v>JUNIOR</v>
      </c>
      <c r="AS122">
        <v>4</v>
      </c>
      <c r="AT122">
        <v>29</v>
      </c>
      <c r="AU122">
        <v>0</v>
      </c>
      <c r="AV122">
        <v>29</v>
      </c>
      <c r="AW122">
        <v>29</v>
      </c>
      <c r="AX122">
        <v>50</v>
      </c>
      <c r="AY122" s="5">
        <v>50</v>
      </c>
      <c r="AZ122" t="str">
        <v>SN31</v>
      </c>
      <c r="BA122" t="str">
        <v>EXTEMPORE SPEECH MLM</v>
      </c>
      <c r="BB122" t="str">
        <v>SENIOR</v>
      </c>
      <c r="BC122" t="str">
        <v>Single</v>
      </c>
      <c r="BD122" t="str">
        <v>Stage</v>
      </c>
      <c r="BE122">
        <v>3</v>
      </c>
      <c r="BF122" t="str">
        <v>Individual</v>
      </c>
      <c r="BG122" t="str">
        <v>Individual</v>
      </c>
      <c r="BH122" t="str">
        <v>P</v>
      </c>
      <c r="BI122" t="str">
        <v>PUBLISHED</v>
      </c>
      <c r="BK122">
        <v>116</v>
      </c>
      <c r="BL122" t="str">
        <v>SN27</v>
      </c>
      <c r="BM122" t="str">
        <v>SHORT STORY ENG</v>
      </c>
      <c r="BN122">
        <v>3</v>
      </c>
      <c r="BO122" t="str">
        <v>Single</v>
      </c>
      <c r="BP122" t="str">
        <v>Non-Stg</v>
      </c>
      <c r="BQ122" t="str">
        <v>SENIOR</v>
      </c>
      <c r="BR122" t="str">
        <v>C127</v>
      </c>
      <c r="BS122" t="str">
        <v>C131</v>
      </c>
      <c r="BT122" t="str">
        <v>C164</v>
      </c>
      <c r="BU122">
        <v>0</v>
      </c>
      <c r="BV122">
        <v>0</v>
      </c>
      <c r="BW122">
        <v>0</v>
      </c>
      <c r="BX122">
        <v>0</v>
      </c>
      <c r="BY122" t="str">
        <v>C102</v>
      </c>
      <c r="BZ122" t="str">
        <v>C107</v>
      </c>
      <c r="CA122" t="str">
        <v>C110</v>
      </c>
      <c r="CB122">
        <v>0</v>
      </c>
      <c r="CC122">
        <v>0</v>
      </c>
      <c r="CD122">
        <v>0</v>
      </c>
      <c r="CE122">
        <v>0</v>
      </c>
      <c r="CF122" t="str">
        <v>C122</v>
      </c>
      <c r="CG122" t="str">
        <v>C145</v>
      </c>
      <c r="CH122" t="str">
        <v>C170</v>
      </c>
      <c r="CI122">
        <v>0</v>
      </c>
      <c r="CJ122">
        <v>0</v>
      </c>
      <c r="CK122">
        <v>0</v>
      </c>
      <c r="CL122">
        <v>0</v>
      </c>
      <c r="CM122" t="str">
        <v>C113</v>
      </c>
      <c r="CN122" t="str">
        <v>C146</v>
      </c>
      <c r="CO122" t="str">
        <v>C151</v>
      </c>
      <c r="CP122">
        <v>0</v>
      </c>
      <c r="CQ122">
        <v>0</v>
      </c>
      <c r="CR122">
        <v>0</v>
      </c>
      <c r="CS122">
        <v>0</v>
      </c>
      <c r="CT122">
        <v>0</v>
      </c>
      <c r="CU122">
        <v>0</v>
      </c>
      <c r="CV122">
        <v>0</v>
      </c>
      <c r="CW122">
        <v>0</v>
      </c>
      <c r="CX122">
        <v>0</v>
      </c>
      <c r="CY122">
        <v>0</v>
      </c>
      <c r="CZ122">
        <v>0</v>
      </c>
      <c r="DA122">
        <v>0</v>
      </c>
      <c r="DB122">
        <v>0</v>
      </c>
      <c r="DC122">
        <v>0</v>
      </c>
      <c r="DD122">
        <v>0</v>
      </c>
      <c r="DE122">
        <v>0</v>
      </c>
      <c r="DF122">
        <v>0</v>
      </c>
      <c r="DG122">
        <v>0</v>
      </c>
      <c r="DH122">
        <v>0</v>
      </c>
      <c r="DI122">
        <v>0</v>
      </c>
      <c r="DJ122">
        <v>0</v>
      </c>
      <c r="DK122">
        <v>0</v>
      </c>
      <c r="DL122">
        <v>0</v>
      </c>
      <c r="DM122">
        <v>0</v>
      </c>
      <c r="DN122">
        <v>0</v>
      </c>
      <c r="DO122">
        <v>0</v>
      </c>
      <c r="DP122">
        <v>0</v>
      </c>
      <c r="DQ122">
        <v>0</v>
      </c>
      <c r="DR122">
        <v>0</v>
      </c>
      <c r="DS122">
        <v>0</v>
      </c>
      <c r="DT122">
        <v>0</v>
      </c>
      <c r="DU122">
        <v>0</v>
      </c>
      <c r="DV122">
        <v>0</v>
      </c>
      <c r="DW122">
        <v>0</v>
      </c>
      <c r="DX122">
        <v>0</v>
      </c>
      <c r="DY122">
        <v>0</v>
      </c>
      <c r="DZ122">
        <v>0</v>
      </c>
      <c r="EA122">
        <v>0</v>
      </c>
      <c r="EB122">
        <v>0</v>
      </c>
      <c r="EC122">
        <v>0</v>
      </c>
      <c r="ED122">
        <v>0</v>
      </c>
      <c r="EE122">
        <v>0</v>
      </c>
      <c r="EF122">
        <v>0</v>
      </c>
      <c r="EG122">
        <v>0</v>
      </c>
      <c r="EH122">
        <v>0</v>
      </c>
      <c r="EI122">
        <v>0</v>
      </c>
      <c r="EJ122">
        <v>0</v>
      </c>
      <c r="EK122">
        <v>0</v>
      </c>
      <c r="EL122">
        <v>0</v>
      </c>
      <c r="EM122">
        <v>0</v>
      </c>
      <c r="EN122">
        <v>0</v>
      </c>
      <c r="EO122">
        <v>0</v>
      </c>
      <c r="EP122">
        <v>0</v>
      </c>
      <c r="EQ122">
        <v>0</v>
      </c>
      <c r="ER122">
        <v>0</v>
      </c>
      <c r="ES122">
        <v>0</v>
      </c>
      <c r="ET122">
        <v>0</v>
      </c>
      <c r="EU122">
        <v>0</v>
      </c>
      <c r="EV122">
        <v>0</v>
      </c>
      <c r="EW122">
        <v>0</v>
      </c>
      <c r="EX122">
        <v>0</v>
      </c>
      <c r="EY122">
        <v>0</v>
      </c>
      <c r="EZ122">
        <v>0</v>
      </c>
      <c r="FA122">
        <v>0</v>
      </c>
      <c r="FB122">
        <v>0</v>
      </c>
      <c r="FC122">
        <v>0</v>
      </c>
      <c r="FD122">
        <v>0</v>
      </c>
      <c r="FE122">
        <v>0</v>
      </c>
      <c r="FF122">
        <v>0</v>
      </c>
      <c r="FG122">
        <v>0</v>
      </c>
      <c r="FH122">
        <v>0</v>
      </c>
      <c r="FI122">
        <v>0</v>
      </c>
      <c r="FJ122">
        <v>0</v>
      </c>
      <c r="FK122">
        <v>0</v>
      </c>
      <c r="FL122">
        <v>0</v>
      </c>
      <c r="FM122">
        <v>0</v>
      </c>
      <c r="FN122">
        <v>0</v>
      </c>
      <c r="FO122">
        <v>0</v>
      </c>
      <c r="FP122">
        <v>0</v>
      </c>
      <c r="FQ122">
        <v>0</v>
      </c>
      <c r="FR122">
        <v>0</v>
      </c>
      <c r="FS122">
        <v>0</v>
      </c>
      <c r="FT122">
        <v>0</v>
      </c>
      <c r="FU122">
        <v>0</v>
      </c>
      <c r="FV122">
        <v>0</v>
      </c>
      <c r="FW122">
        <v>0</v>
      </c>
      <c r="FX122">
        <v>0</v>
      </c>
      <c r="FY122">
        <v>0</v>
      </c>
      <c r="FZ122">
        <v>0</v>
      </c>
      <c r="GA122">
        <v>0</v>
      </c>
      <c r="GB122">
        <v>0</v>
      </c>
      <c r="GC122">
        <v>0</v>
      </c>
      <c r="GD122">
        <v>0</v>
      </c>
      <c r="GE122">
        <v>0</v>
      </c>
      <c r="GF122">
        <v>0</v>
      </c>
      <c r="GG122">
        <v>0</v>
      </c>
      <c r="GH122">
        <v>0</v>
      </c>
      <c r="GI122">
        <v>0</v>
      </c>
      <c r="GJ122">
        <v>0</v>
      </c>
      <c r="GK122">
        <v>0</v>
      </c>
      <c r="GL122">
        <v>0</v>
      </c>
      <c r="GM122">
        <v>0</v>
      </c>
      <c r="GN122">
        <v>0</v>
      </c>
      <c r="GO122">
        <v>0</v>
      </c>
      <c r="GP122">
        <v>0</v>
      </c>
      <c r="GQ122">
        <v>0</v>
      </c>
      <c r="GR122">
        <v>0</v>
      </c>
      <c r="GS122">
        <v>0</v>
      </c>
      <c r="GT122">
        <v>0</v>
      </c>
      <c r="GU122">
        <v>0</v>
      </c>
      <c r="GV122">
        <v>0</v>
      </c>
      <c r="GW122">
        <v>0</v>
      </c>
      <c r="GX122">
        <v>0</v>
      </c>
      <c r="GY122">
        <v>0</v>
      </c>
      <c r="GZ122">
        <v>0</v>
      </c>
      <c r="HA122">
        <v>0</v>
      </c>
      <c r="HB122">
        <v>0</v>
      </c>
      <c r="HC122">
        <v>0</v>
      </c>
      <c r="HD122">
        <v>0</v>
      </c>
      <c r="HE122">
        <v>0</v>
      </c>
      <c r="HF122">
        <v>0</v>
      </c>
      <c r="HG122">
        <v>0</v>
      </c>
      <c r="HH122">
        <v>0</v>
      </c>
      <c r="HI122">
        <v>0</v>
      </c>
      <c r="HJ122">
        <v>0</v>
      </c>
      <c r="HK122">
        <v>0</v>
      </c>
      <c r="HL122">
        <v>0</v>
      </c>
      <c r="HM122">
        <v>0</v>
      </c>
      <c r="HN122">
        <v>0</v>
      </c>
      <c r="HO122">
        <v>0</v>
      </c>
      <c r="HP122">
        <v>0</v>
      </c>
      <c r="HQ122">
        <v>0</v>
      </c>
      <c r="HR122">
        <v>0</v>
      </c>
      <c r="HS122">
        <v>0</v>
      </c>
      <c r="HT122">
        <v>0</v>
      </c>
      <c r="HU122">
        <v>0</v>
      </c>
      <c r="HV122">
        <v>0</v>
      </c>
      <c r="HW122">
        <v>0</v>
      </c>
      <c r="HX122">
        <v>0</v>
      </c>
      <c r="HY122">
        <v>0</v>
      </c>
      <c r="HZ122">
        <v>0</v>
      </c>
      <c r="IA122">
        <v>0</v>
      </c>
      <c r="IB122">
        <v>0</v>
      </c>
      <c r="IC122">
        <v>0</v>
      </c>
      <c r="ID122">
        <v>0</v>
      </c>
      <c r="IE122">
        <v>0</v>
      </c>
      <c r="IF122">
        <v>0</v>
      </c>
      <c r="IG122">
        <v>0</v>
      </c>
      <c r="IH122">
        <v>0</v>
      </c>
      <c r="II122">
        <v>0</v>
      </c>
      <c r="IJ122">
        <v>0</v>
      </c>
      <c r="IK122">
        <v>0</v>
      </c>
      <c r="IL122">
        <v>0</v>
      </c>
      <c r="IM122">
        <v>0</v>
      </c>
      <c r="IN122">
        <v>0</v>
      </c>
      <c r="IO122">
        <v>0</v>
      </c>
      <c r="IP122">
        <v>0</v>
      </c>
      <c r="IQ122">
        <v>0</v>
      </c>
      <c r="IR122">
        <v>0</v>
      </c>
      <c r="IS122">
        <v>0</v>
      </c>
      <c r="IT122">
        <v>0</v>
      </c>
      <c r="IU122">
        <v>0</v>
      </c>
      <c r="IV122">
        <v>0</v>
      </c>
      <c r="IW122">
        <v>0</v>
      </c>
      <c r="IX122">
        <v>0</v>
      </c>
      <c r="IY122">
        <v>0</v>
      </c>
      <c r="IZ122">
        <v>0</v>
      </c>
      <c r="JA122">
        <v>0</v>
      </c>
      <c r="JB122">
        <v>0</v>
      </c>
      <c r="JC122">
        <v>0</v>
      </c>
      <c r="JD122">
        <v>0</v>
      </c>
      <c r="JE122">
        <v>0</v>
      </c>
      <c r="JF122">
        <v>0</v>
      </c>
      <c r="JG122">
        <v>0</v>
      </c>
      <c r="JH122">
        <v>0</v>
      </c>
      <c r="JI122">
        <v>0</v>
      </c>
      <c r="JJ122">
        <v>0</v>
      </c>
      <c r="JK122">
        <v>0</v>
      </c>
      <c r="JL122">
        <v>0</v>
      </c>
      <c r="JM122">
        <v>0</v>
      </c>
      <c r="JN122">
        <v>0</v>
      </c>
      <c r="JO122">
        <v>0</v>
      </c>
      <c r="JP122">
        <v>0</v>
      </c>
      <c r="JQ122">
        <v>0</v>
      </c>
      <c r="JR122">
        <v>0</v>
      </c>
      <c r="JS122">
        <v>0</v>
      </c>
      <c r="JT122">
        <v>0</v>
      </c>
      <c r="JU122">
        <v>0</v>
      </c>
      <c r="JV122">
        <v>0</v>
      </c>
      <c r="JW122">
        <v>0</v>
      </c>
      <c r="JX122">
        <v>0</v>
      </c>
      <c r="JY122">
        <v>0</v>
      </c>
      <c r="JZ122">
        <v>0</v>
      </c>
      <c r="KA122">
        <v>0</v>
      </c>
      <c r="KB122">
        <v>0</v>
      </c>
      <c r="KC122">
        <v>0</v>
      </c>
      <c r="KD122">
        <v>0</v>
      </c>
      <c r="KE122">
        <v>0</v>
      </c>
      <c r="KF122">
        <v>0</v>
      </c>
      <c r="KG122">
        <v>0</v>
      </c>
      <c r="KH122">
        <v>0</v>
      </c>
      <c r="KI122">
        <v>0</v>
      </c>
      <c r="KJ122">
        <v>0</v>
      </c>
      <c r="KK122">
        <v>0</v>
      </c>
      <c r="KL122">
        <v>0</v>
      </c>
      <c r="KM122">
        <v>0</v>
      </c>
      <c r="KN122">
        <v>0</v>
      </c>
      <c r="KO122">
        <v>0</v>
      </c>
      <c r="KP122">
        <v>0</v>
      </c>
      <c r="KQ122">
        <v>0</v>
      </c>
      <c r="KR122">
        <v>0</v>
      </c>
      <c r="KS122">
        <v>0</v>
      </c>
      <c r="KT122">
        <v>0</v>
      </c>
      <c r="KU122">
        <v>0</v>
      </c>
      <c r="KV122">
        <v>0</v>
      </c>
      <c r="KW122">
        <v>0</v>
      </c>
      <c r="KX122">
        <v>0</v>
      </c>
      <c r="KY122">
        <v>0</v>
      </c>
      <c r="KZ122">
        <v>0</v>
      </c>
      <c r="LA122">
        <v>0</v>
      </c>
      <c r="LB122">
        <v>0</v>
      </c>
      <c r="LC122">
        <v>0</v>
      </c>
      <c r="LD122">
        <v>0</v>
      </c>
      <c r="LE122">
        <v>0</v>
      </c>
      <c r="LF122">
        <v>0</v>
      </c>
      <c r="LG122">
        <v>0</v>
      </c>
      <c r="LH122">
        <v>0</v>
      </c>
      <c r="LI122">
        <v>0</v>
      </c>
      <c r="LJ122">
        <v>0</v>
      </c>
      <c r="LK122">
        <v>0</v>
      </c>
      <c r="LL122">
        <v>0</v>
      </c>
      <c r="LM122">
        <v>0</v>
      </c>
      <c r="LN122">
        <v>0</v>
      </c>
      <c r="LO122">
        <v>0</v>
      </c>
      <c r="LP122">
        <v>0</v>
      </c>
      <c r="LQ122">
        <v>0</v>
      </c>
      <c r="LR122">
        <v>0</v>
      </c>
      <c r="LS122">
        <v>0</v>
      </c>
      <c r="LT122">
        <v>0</v>
      </c>
      <c r="LU122">
        <v>0</v>
      </c>
      <c r="LV122">
        <v>0</v>
      </c>
      <c r="LW122">
        <v>0</v>
      </c>
      <c r="LX122">
        <v>0</v>
      </c>
      <c r="LY122">
        <v>0</v>
      </c>
      <c r="LZ122">
        <v>0</v>
      </c>
      <c r="MA122">
        <v>0</v>
      </c>
      <c r="MB122">
        <v>0</v>
      </c>
      <c r="MC122">
        <v>0</v>
      </c>
      <c r="MD122">
        <v>0</v>
      </c>
      <c r="ME122">
        <v>0</v>
      </c>
      <c r="MF122">
        <v>0</v>
      </c>
      <c r="MG122">
        <v>0</v>
      </c>
      <c r="MH122">
        <v>0</v>
      </c>
      <c r="MI122">
        <v>0</v>
      </c>
      <c r="MJ122">
        <v>0</v>
      </c>
      <c r="MK122">
        <v>0</v>
      </c>
      <c r="ML122">
        <v>0</v>
      </c>
      <c r="MM122">
        <v>0</v>
      </c>
      <c r="MN122">
        <v>0</v>
      </c>
      <c r="MO122">
        <v>0</v>
      </c>
      <c r="MP122">
        <v>0</v>
      </c>
      <c r="MQ122">
        <v>0</v>
      </c>
      <c r="MR122">
        <v>0</v>
      </c>
      <c r="MS122">
        <v>0</v>
      </c>
      <c r="MT122">
        <v>0</v>
      </c>
      <c r="MU122">
        <v>0</v>
      </c>
      <c r="MV122">
        <v>0</v>
      </c>
      <c r="MW122">
        <v>0</v>
      </c>
      <c r="MX122">
        <v>0</v>
      </c>
      <c r="MY122">
        <v>0</v>
      </c>
      <c r="MZ122">
        <v>0</v>
      </c>
      <c r="NA122">
        <v>0</v>
      </c>
      <c r="NB122">
        <v>0</v>
      </c>
      <c r="NC122">
        <v>0</v>
      </c>
      <c r="ND122">
        <v>0</v>
      </c>
      <c r="NE122">
        <v>0</v>
      </c>
    </row>
    <row r="123" spans="41:369" x14ac:dyDescent="0.45">
      <c r="AO123" t="str">
        <v>B144</v>
      </c>
      <c r="AP123" t="str">
        <v>MUHAMMED NAFIH CI</v>
      </c>
      <c r="AQ123" t="str">
        <v>FANT</v>
      </c>
      <c r="AR123" t="str">
        <v>JUNIOR</v>
      </c>
      <c r="AS123">
        <v>4</v>
      </c>
      <c r="AT123">
        <v>28</v>
      </c>
      <c r="AU123">
        <v>0</v>
      </c>
      <c r="AV123">
        <v>28</v>
      </c>
      <c r="AW123">
        <v>28</v>
      </c>
      <c r="AX123">
        <v>51</v>
      </c>
      <c r="AY123" s="5">
        <v>51</v>
      </c>
      <c r="AZ123" t="str">
        <v>SN32</v>
      </c>
      <c r="BA123" t="str">
        <v>GD MLM</v>
      </c>
      <c r="BB123" t="str">
        <v>SENIOR</v>
      </c>
      <c r="BC123" t="str">
        <v>Single</v>
      </c>
      <c r="BD123" t="str">
        <v>Stage</v>
      </c>
      <c r="BE123">
        <v>3</v>
      </c>
      <c r="BF123" t="str">
        <v>Individual</v>
      </c>
      <c r="BG123" t="str">
        <v>Individual</v>
      </c>
      <c r="BH123" t="str">
        <v>P</v>
      </c>
      <c r="BI123" t="str">
        <v>PUBLISHED</v>
      </c>
      <c r="BK123">
        <v>117</v>
      </c>
      <c r="BL123" t="str">
        <v>SN28</v>
      </c>
      <c r="BM123" t="str">
        <v>SLOGAN MAKING</v>
      </c>
      <c r="BN123">
        <v>3</v>
      </c>
      <c r="BO123" t="str">
        <v>Single</v>
      </c>
      <c r="BP123" t="str">
        <v>Non-Stg</v>
      </c>
      <c r="BQ123" t="str">
        <v>SENIOR</v>
      </c>
      <c r="BR123" t="str">
        <v>C156</v>
      </c>
      <c r="BS123" t="str">
        <v>C162</v>
      </c>
      <c r="BT123" t="str">
        <v>C131</v>
      </c>
      <c r="BU123">
        <v>0</v>
      </c>
      <c r="BV123">
        <v>0</v>
      </c>
      <c r="BW123">
        <v>0</v>
      </c>
      <c r="BX123">
        <v>0</v>
      </c>
      <c r="BY123" t="str">
        <v>C153</v>
      </c>
      <c r="BZ123" t="str">
        <v>C154</v>
      </c>
      <c r="CA123" t="str">
        <v>C161</v>
      </c>
      <c r="CB123">
        <v>0</v>
      </c>
      <c r="CC123">
        <v>0</v>
      </c>
      <c r="CD123">
        <v>0</v>
      </c>
      <c r="CE123">
        <v>0</v>
      </c>
      <c r="CF123" t="str">
        <v>C103</v>
      </c>
      <c r="CG123" t="str">
        <v>C106</v>
      </c>
      <c r="CH123" t="str">
        <v>C145</v>
      </c>
      <c r="CI123">
        <v>0</v>
      </c>
      <c r="CJ123">
        <v>0</v>
      </c>
      <c r="CK123">
        <v>0</v>
      </c>
      <c r="CL123">
        <v>0</v>
      </c>
      <c r="CM123" t="str">
        <v>C119</v>
      </c>
      <c r="CN123" t="str">
        <v>C152</v>
      </c>
      <c r="CO123" t="str">
        <v>C163</v>
      </c>
      <c r="CP123">
        <v>0</v>
      </c>
      <c r="CQ123">
        <v>0</v>
      </c>
      <c r="CR123">
        <v>0</v>
      </c>
      <c r="CS123">
        <v>0</v>
      </c>
      <c r="CT123">
        <v>0</v>
      </c>
      <c r="CU123">
        <v>0</v>
      </c>
      <c r="CV123">
        <v>0</v>
      </c>
      <c r="CW123">
        <v>0</v>
      </c>
      <c r="CX123">
        <v>0</v>
      </c>
      <c r="CY123">
        <v>0</v>
      </c>
      <c r="CZ123">
        <v>0</v>
      </c>
      <c r="DA123">
        <v>0</v>
      </c>
      <c r="DB123">
        <v>0</v>
      </c>
      <c r="DC123">
        <v>0</v>
      </c>
      <c r="DD123">
        <v>0</v>
      </c>
      <c r="DE123">
        <v>0</v>
      </c>
      <c r="DF123">
        <v>0</v>
      </c>
      <c r="DG123">
        <v>0</v>
      </c>
      <c r="DH123">
        <v>0</v>
      </c>
      <c r="DI123">
        <v>0</v>
      </c>
      <c r="DJ123">
        <v>0</v>
      </c>
      <c r="DK123">
        <v>0</v>
      </c>
      <c r="DL123">
        <v>0</v>
      </c>
      <c r="DM123">
        <v>0</v>
      </c>
      <c r="DN123">
        <v>0</v>
      </c>
      <c r="DO123">
        <v>0</v>
      </c>
      <c r="DP123">
        <v>0</v>
      </c>
      <c r="DQ123">
        <v>0</v>
      </c>
      <c r="DR123">
        <v>0</v>
      </c>
      <c r="DS123">
        <v>0</v>
      </c>
      <c r="DT123">
        <v>0</v>
      </c>
      <c r="DU123">
        <v>0</v>
      </c>
      <c r="DV123">
        <v>0</v>
      </c>
      <c r="DW123">
        <v>0</v>
      </c>
      <c r="DX123">
        <v>0</v>
      </c>
      <c r="DY123">
        <v>0</v>
      </c>
      <c r="DZ123">
        <v>0</v>
      </c>
      <c r="EA123">
        <v>0</v>
      </c>
      <c r="EB123">
        <v>0</v>
      </c>
      <c r="EC123">
        <v>0</v>
      </c>
      <c r="ED123">
        <v>0</v>
      </c>
      <c r="EE123">
        <v>0</v>
      </c>
      <c r="EF123">
        <v>0</v>
      </c>
      <c r="EG123">
        <v>0</v>
      </c>
      <c r="EH123">
        <v>0</v>
      </c>
      <c r="EI123">
        <v>0</v>
      </c>
      <c r="EJ123">
        <v>0</v>
      </c>
      <c r="EK123">
        <v>0</v>
      </c>
      <c r="EL123">
        <v>0</v>
      </c>
      <c r="EM123">
        <v>0</v>
      </c>
      <c r="EN123">
        <v>0</v>
      </c>
      <c r="EO123">
        <v>0</v>
      </c>
      <c r="EP123">
        <v>0</v>
      </c>
      <c r="EQ123">
        <v>0</v>
      </c>
      <c r="ER123">
        <v>0</v>
      </c>
      <c r="ES123">
        <v>0</v>
      </c>
      <c r="ET123">
        <v>0</v>
      </c>
      <c r="EU123">
        <v>0</v>
      </c>
      <c r="EV123">
        <v>0</v>
      </c>
      <c r="EW123">
        <v>0</v>
      </c>
      <c r="EX123">
        <v>0</v>
      </c>
      <c r="EY123">
        <v>0</v>
      </c>
      <c r="EZ123">
        <v>0</v>
      </c>
      <c r="FA123">
        <v>0</v>
      </c>
      <c r="FB123">
        <v>0</v>
      </c>
      <c r="FC123">
        <v>0</v>
      </c>
      <c r="FD123">
        <v>0</v>
      </c>
      <c r="FE123">
        <v>0</v>
      </c>
      <c r="FF123">
        <v>0</v>
      </c>
      <c r="FG123">
        <v>0</v>
      </c>
      <c r="FH123">
        <v>0</v>
      </c>
      <c r="FI123">
        <v>0</v>
      </c>
      <c r="FJ123">
        <v>0</v>
      </c>
      <c r="FK123">
        <v>0</v>
      </c>
      <c r="FL123">
        <v>0</v>
      </c>
      <c r="FM123">
        <v>0</v>
      </c>
      <c r="FN123">
        <v>0</v>
      </c>
      <c r="FO123">
        <v>0</v>
      </c>
      <c r="FP123">
        <v>0</v>
      </c>
      <c r="FQ123">
        <v>0</v>
      </c>
      <c r="FR123">
        <v>0</v>
      </c>
      <c r="FS123">
        <v>0</v>
      </c>
      <c r="FT123">
        <v>0</v>
      </c>
      <c r="FU123">
        <v>0</v>
      </c>
      <c r="FV123">
        <v>0</v>
      </c>
      <c r="FW123">
        <v>0</v>
      </c>
      <c r="FX123">
        <v>0</v>
      </c>
      <c r="FY123">
        <v>0</v>
      </c>
      <c r="FZ123">
        <v>0</v>
      </c>
      <c r="GA123">
        <v>0</v>
      </c>
      <c r="GB123">
        <v>0</v>
      </c>
      <c r="GC123">
        <v>0</v>
      </c>
      <c r="GD123">
        <v>0</v>
      </c>
      <c r="GE123">
        <v>0</v>
      </c>
      <c r="GF123">
        <v>0</v>
      </c>
      <c r="GG123">
        <v>0</v>
      </c>
      <c r="GH123">
        <v>0</v>
      </c>
      <c r="GI123">
        <v>0</v>
      </c>
      <c r="GJ123">
        <v>0</v>
      </c>
      <c r="GK123">
        <v>0</v>
      </c>
      <c r="GL123">
        <v>0</v>
      </c>
      <c r="GM123">
        <v>0</v>
      </c>
      <c r="GN123">
        <v>0</v>
      </c>
      <c r="GO123">
        <v>0</v>
      </c>
      <c r="GP123">
        <v>0</v>
      </c>
      <c r="GQ123">
        <v>0</v>
      </c>
      <c r="GR123">
        <v>0</v>
      </c>
      <c r="GS123">
        <v>0</v>
      </c>
      <c r="GT123">
        <v>0</v>
      </c>
      <c r="GU123">
        <v>0</v>
      </c>
      <c r="GV123">
        <v>0</v>
      </c>
      <c r="GW123">
        <v>0</v>
      </c>
      <c r="GX123">
        <v>0</v>
      </c>
      <c r="GY123">
        <v>0</v>
      </c>
      <c r="GZ123">
        <v>0</v>
      </c>
      <c r="HA123">
        <v>0</v>
      </c>
      <c r="HB123">
        <v>0</v>
      </c>
      <c r="HC123">
        <v>0</v>
      </c>
      <c r="HD123">
        <v>0</v>
      </c>
      <c r="HE123">
        <v>0</v>
      </c>
      <c r="HF123">
        <v>0</v>
      </c>
      <c r="HG123">
        <v>0</v>
      </c>
      <c r="HH123">
        <v>0</v>
      </c>
      <c r="HI123">
        <v>0</v>
      </c>
      <c r="HJ123">
        <v>0</v>
      </c>
      <c r="HK123">
        <v>0</v>
      </c>
      <c r="HL123">
        <v>0</v>
      </c>
      <c r="HM123">
        <v>0</v>
      </c>
      <c r="HN123">
        <v>0</v>
      </c>
      <c r="HO123">
        <v>0</v>
      </c>
      <c r="HP123">
        <v>0</v>
      </c>
      <c r="HQ123">
        <v>0</v>
      </c>
      <c r="HR123">
        <v>0</v>
      </c>
      <c r="HS123">
        <v>0</v>
      </c>
      <c r="HT123">
        <v>0</v>
      </c>
      <c r="HU123">
        <v>0</v>
      </c>
      <c r="HV123">
        <v>0</v>
      </c>
      <c r="HW123">
        <v>0</v>
      </c>
      <c r="HX123">
        <v>0</v>
      </c>
      <c r="HY123">
        <v>0</v>
      </c>
      <c r="HZ123">
        <v>0</v>
      </c>
      <c r="IA123">
        <v>0</v>
      </c>
      <c r="IB123">
        <v>0</v>
      </c>
      <c r="IC123">
        <v>0</v>
      </c>
      <c r="ID123">
        <v>0</v>
      </c>
      <c r="IE123">
        <v>0</v>
      </c>
      <c r="IF123">
        <v>0</v>
      </c>
      <c r="IG123">
        <v>0</v>
      </c>
      <c r="IH123">
        <v>0</v>
      </c>
      <c r="II123">
        <v>0</v>
      </c>
      <c r="IJ123">
        <v>0</v>
      </c>
      <c r="IK123">
        <v>0</v>
      </c>
      <c r="IL123">
        <v>0</v>
      </c>
      <c r="IM123">
        <v>0</v>
      </c>
      <c r="IN123">
        <v>0</v>
      </c>
      <c r="IO123">
        <v>0</v>
      </c>
      <c r="IP123">
        <v>0</v>
      </c>
      <c r="IQ123">
        <v>0</v>
      </c>
      <c r="IR123">
        <v>0</v>
      </c>
      <c r="IS123">
        <v>0</v>
      </c>
      <c r="IT123">
        <v>0</v>
      </c>
      <c r="IU123">
        <v>0</v>
      </c>
      <c r="IV123">
        <v>0</v>
      </c>
      <c r="IW123">
        <v>0</v>
      </c>
      <c r="IX123">
        <v>0</v>
      </c>
      <c r="IY123">
        <v>0</v>
      </c>
      <c r="IZ123">
        <v>0</v>
      </c>
      <c r="JA123">
        <v>0</v>
      </c>
      <c r="JB123">
        <v>0</v>
      </c>
      <c r="JC123">
        <v>0</v>
      </c>
      <c r="JD123">
        <v>0</v>
      </c>
      <c r="JE123">
        <v>0</v>
      </c>
      <c r="JF123">
        <v>0</v>
      </c>
      <c r="JG123">
        <v>0</v>
      </c>
      <c r="JH123">
        <v>0</v>
      </c>
      <c r="JI123">
        <v>0</v>
      </c>
      <c r="JJ123">
        <v>0</v>
      </c>
      <c r="JK123">
        <v>0</v>
      </c>
      <c r="JL123">
        <v>0</v>
      </c>
      <c r="JM123">
        <v>0</v>
      </c>
      <c r="JN123">
        <v>0</v>
      </c>
      <c r="JO123">
        <v>0</v>
      </c>
      <c r="JP123">
        <v>0</v>
      </c>
      <c r="JQ123">
        <v>0</v>
      </c>
      <c r="JR123">
        <v>0</v>
      </c>
      <c r="JS123">
        <v>0</v>
      </c>
      <c r="JT123">
        <v>0</v>
      </c>
      <c r="JU123">
        <v>0</v>
      </c>
      <c r="JV123">
        <v>0</v>
      </c>
      <c r="JW123">
        <v>0</v>
      </c>
      <c r="JX123">
        <v>0</v>
      </c>
      <c r="JY123">
        <v>0</v>
      </c>
      <c r="JZ123">
        <v>0</v>
      </c>
      <c r="KA123">
        <v>0</v>
      </c>
      <c r="KB123">
        <v>0</v>
      </c>
      <c r="KC123">
        <v>0</v>
      </c>
      <c r="KD123">
        <v>0</v>
      </c>
      <c r="KE123">
        <v>0</v>
      </c>
      <c r="KF123">
        <v>0</v>
      </c>
      <c r="KG123">
        <v>0</v>
      </c>
      <c r="KH123">
        <v>0</v>
      </c>
      <c r="KI123">
        <v>0</v>
      </c>
      <c r="KJ123">
        <v>0</v>
      </c>
      <c r="KK123">
        <v>0</v>
      </c>
      <c r="KL123">
        <v>0</v>
      </c>
      <c r="KM123">
        <v>0</v>
      </c>
      <c r="KN123">
        <v>0</v>
      </c>
      <c r="KO123">
        <v>0</v>
      </c>
      <c r="KP123">
        <v>0</v>
      </c>
      <c r="KQ123">
        <v>0</v>
      </c>
      <c r="KR123">
        <v>0</v>
      </c>
      <c r="KS123">
        <v>0</v>
      </c>
      <c r="KT123">
        <v>0</v>
      </c>
      <c r="KU123">
        <v>0</v>
      </c>
      <c r="KV123">
        <v>0</v>
      </c>
      <c r="KW123">
        <v>0</v>
      </c>
      <c r="KX123">
        <v>0</v>
      </c>
      <c r="KY123">
        <v>0</v>
      </c>
      <c r="KZ123">
        <v>0</v>
      </c>
      <c r="LA123">
        <v>0</v>
      </c>
      <c r="LB123">
        <v>0</v>
      </c>
      <c r="LC123">
        <v>0</v>
      </c>
      <c r="LD123">
        <v>0</v>
      </c>
      <c r="LE123">
        <v>0</v>
      </c>
      <c r="LF123">
        <v>0</v>
      </c>
      <c r="LG123">
        <v>0</v>
      </c>
      <c r="LH123">
        <v>0</v>
      </c>
      <c r="LI123">
        <v>0</v>
      </c>
      <c r="LJ123">
        <v>0</v>
      </c>
      <c r="LK123">
        <v>0</v>
      </c>
      <c r="LL123">
        <v>0</v>
      </c>
      <c r="LM123">
        <v>0</v>
      </c>
      <c r="LN123">
        <v>0</v>
      </c>
      <c r="LO123">
        <v>0</v>
      </c>
      <c r="LP123">
        <v>0</v>
      </c>
      <c r="LQ123">
        <v>0</v>
      </c>
      <c r="LR123">
        <v>0</v>
      </c>
      <c r="LS123">
        <v>0</v>
      </c>
      <c r="LT123">
        <v>0</v>
      </c>
      <c r="LU123">
        <v>0</v>
      </c>
      <c r="LV123">
        <v>0</v>
      </c>
      <c r="LW123">
        <v>0</v>
      </c>
      <c r="LX123">
        <v>0</v>
      </c>
      <c r="LY123">
        <v>0</v>
      </c>
      <c r="LZ123">
        <v>0</v>
      </c>
      <c r="MA123">
        <v>0</v>
      </c>
      <c r="MB123">
        <v>0</v>
      </c>
      <c r="MC123">
        <v>0</v>
      </c>
      <c r="MD123">
        <v>0</v>
      </c>
      <c r="ME123">
        <v>0</v>
      </c>
      <c r="MF123">
        <v>0</v>
      </c>
      <c r="MG123">
        <v>0</v>
      </c>
      <c r="MH123">
        <v>0</v>
      </c>
      <c r="MI123">
        <v>0</v>
      </c>
      <c r="MJ123">
        <v>0</v>
      </c>
      <c r="MK123">
        <v>0</v>
      </c>
      <c r="ML123">
        <v>0</v>
      </c>
      <c r="MM123">
        <v>0</v>
      </c>
      <c r="MN123">
        <v>0</v>
      </c>
      <c r="MO123">
        <v>0</v>
      </c>
      <c r="MP123">
        <v>0</v>
      </c>
      <c r="MQ123">
        <v>0</v>
      </c>
      <c r="MR123">
        <v>0</v>
      </c>
      <c r="MS123">
        <v>0</v>
      </c>
      <c r="MT123">
        <v>0</v>
      </c>
      <c r="MU123">
        <v>0</v>
      </c>
      <c r="MV123">
        <v>0</v>
      </c>
      <c r="MW123">
        <v>0</v>
      </c>
      <c r="MX123">
        <v>0</v>
      </c>
      <c r="MY123">
        <v>0</v>
      </c>
      <c r="MZ123">
        <v>0</v>
      </c>
      <c r="NA123">
        <v>0</v>
      </c>
      <c r="NB123">
        <v>0</v>
      </c>
      <c r="NC123">
        <v>0</v>
      </c>
      <c r="ND123">
        <v>0</v>
      </c>
      <c r="NE123">
        <v>0</v>
      </c>
    </row>
    <row r="124" spans="41:369" x14ac:dyDescent="0.45">
      <c r="AO124" t="str">
        <v>B145</v>
      </c>
      <c r="AP124" t="str">
        <v>YASEEN NOORULLA PH</v>
      </c>
      <c r="AQ124" t="str">
        <v>FANT</v>
      </c>
      <c r="AR124" t="str">
        <v>JUNIOR</v>
      </c>
      <c r="AS124">
        <v>4</v>
      </c>
      <c r="AT124">
        <v>17</v>
      </c>
      <c r="AU124">
        <v>0</v>
      </c>
      <c r="AV124">
        <v>17</v>
      </c>
      <c r="AW124">
        <v>17</v>
      </c>
      <c r="AX124">
        <v>87</v>
      </c>
      <c r="AY124" s="5">
        <v>87</v>
      </c>
      <c r="AZ124" t="str">
        <v>SN33</v>
      </c>
      <c r="BA124" t="str">
        <v>HISTORY TALK ENG</v>
      </c>
      <c r="BB124" t="str">
        <v>SENIOR</v>
      </c>
      <c r="BC124" t="str">
        <v>Single</v>
      </c>
      <c r="BD124" t="str">
        <v>Stage</v>
      </c>
      <c r="BE124">
        <v>2</v>
      </c>
      <c r="BF124" t="str">
        <v>Individual</v>
      </c>
      <c r="BG124" t="str">
        <v>Individual</v>
      </c>
      <c r="BH124" t="str">
        <v>P</v>
      </c>
      <c r="BI124" t="str">
        <v>PUBLISHED</v>
      </c>
      <c r="BK124">
        <v>118</v>
      </c>
      <c r="BL124" t="str">
        <v>SN29</v>
      </c>
      <c r="BM124" t="str">
        <v>TAḤLĪL AL-ʿIBĀRAH</v>
      </c>
      <c r="BN124">
        <v>3</v>
      </c>
      <c r="BO124" t="str">
        <v>Single</v>
      </c>
      <c r="BP124" t="str">
        <v>Non-Stg</v>
      </c>
      <c r="BQ124" t="str">
        <v>SENIOR</v>
      </c>
      <c r="BR124" t="str">
        <v>C112</v>
      </c>
      <c r="BS124" t="str">
        <v>C138</v>
      </c>
      <c r="BT124" t="str">
        <v>C149</v>
      </c>
      <c r="BU124">
        <v>0</v>
      </c>
      <c r="BV124">
        <v>0</v>
      </c>
      <c r="BW124">
        <v>0</v>
      </c>
      <c r="BX124">
        <v>0</v>
      </c>
      <c r="BY124" t="str">
        <v>C120</v>
      </c>
      <c r="BZ124" t="str">
        <v>C136</v>
      </c>
      <c r="CA124" t="str">
        <v>C166</v>
      </c>
      <c r="CB124">
        <v>0</v>
      </c>
      <c r="CC124">
        <v>0</v>
      </c>
      <c r="CD124">
        <v>0</v>
      </c>
      <c r="CE124">
        <v>0</v>
      </c>
      <c r="CF124" t="str">
        <v>C109</v>
      </c>
      <c r="CG124" t="str">
        <v>C148</v>
      </c>
      <c r="CH124" t="str">
        <v>C171</v>
      </c>
      <c r="CI124">
        <v>0</v>
      </c>
      <c r="CJ124">
        <v>0</v>
      </c>
      <c r="CK124">
        <v>0</v>
      </c>
      <c r="CL124">
        <v>0</v>
      </c>
      <c r="CM124" t="str">
        <v>C143</v>
      </c>
      <c r="CN124" t="str">
        <v>C175</v>
      </c>
      <c r="CO124" t="str">
        <v>C163</v>
      </c>
      <c r="CP124">
        <v>0</v>
      </c>
      <c r="CQ124">
        <v>0</v>
      </c>
      <c r="CR124">
        <v>0</v>
      </c>
      <c r="CS124">
        <v>0</v>
      </c>
      <c r="CT124">
        <v>0</v>
      </c>
      <c r="CU124">
        <v>0</v>
      </c>
      <c r="CV124">
        <v>0</v>
      </c>
      <c r="CW124">
        <v>0</v>
      </c>
      <c r="CX124">
        <v>0</v>
      </c>
      <c r="CY124">
        <v>0</v>
      </c>
      <c r="CZ124">
        <v>0</v>
      </c>
      <c r="DA124">
        <v>0</v>
      </c>
      <c r="DB124">
        <v>0</v>
      </c>
      <c r="DC124">
        <v>0</v>
      </c>
      <c r="DD124">
        <v>0</v>
      </c>
      <c r="DE124">
        <v>0</v>
      </c>
      <c r="DF124">
        <v>0</v>
      </c>
      <c r="DG124">
        <v>0</v>
      </c>
      <c r="DH124">
        <v>0</v>
      </c>
      <c r="DI124">
        <v>0</v>
      </c>
      <c r="DJ124">
        <v>0</v>
      </c>
      <c r="DK124">
        <v>0</v>
      </c>
      <c r="DL124">
        <v>0</v>
      </c>
      <c r="DM124">
        <v>0</v>
      </c>
      <c r="DN124">
        <v>0</v>
      </c>
      <c r="DO124">
        <v>0</v>
      </c>
      <c r="DP124">
        <v>0</v>
      </c>
      <c r="DQ124">
        <v>0</v>
      </c>
      <c r="DR124">
        <v>0</v>
      </c>
      <c r="DS124">
        <v>0</v>
      </c>
      <c r="DT124">
        <v>0</v>
      </c>
      <c r="DU124">
        <v>0</v>
      </c>
      <c r="DV124">
        <v>0</v>
      </c>
      <c r="DW124">
        <v>0</v>
      </c>
      <c r="DX124">
        <v>0</v>
      </c>
      <c r="DY124">
        <v>0</v>
      </c>
      <c r="DZ124">
        <v>0</v>
      </c>
      <c r="EA124">
        <v>0</v>
      </c>
      <c r="EB124">
        <v>0</v>
      </c>
      <c r="EC124">
        <v>0</v>
      </c>
      <c r="ED124">
        <v>0</v>
      </c>
      <c r="EE124">
        <v>0</v>
      </c>
      <c r="EF124">
        <v>0</v>
      </c>
      <c r="EG124">
        <v>0</v>
      </c>
      <c r="EH124">
        <v>0</v>
      </c>
      <c r="EI124">
        <v>0</v>
      </c>
      <c r="EJ124">
        <v>0</v>
      </c>
      <c r="EK124">
        <v>0</v>
      </c>
      <c r="EL124">
        <v>0</v>
      </c>
      <c r="EM124">
        <v>0</v>
      </c>
      <c r="EN124">
        <v>0</v>
      </c>
      <c r="EO124">
        <v>0</v>
      </c>
      <c r="EP124">
        <v>0</v>
      </c>
      <c r="EQ124">
        <v>0</v>
      </c>
      <c r="ER124">
        <v>0</v>
      </c>
      <c r="ES124">
        <v>0</v>
      </c>
      <c r="ET124">
        <v>0</v>
      </c>
      <c r="EU124">
        <v>0</v>
      </c>
      <c r="EV124">
        <v>0</v>
      </c>
      <c r="EW124">
        <v>0</v>
      </c>
      <c r="EX124">
        <v>0</v>
      </c>
      <c r="EY124">
        <v>0</v>
      </c>
      <c r="EZ124">
        <v>0</v>
      </c>
      <c r="FA124">
        <v>0</v>
      </c>
      <c r="FB124">
        <v>0</v>
      </c>
      <c r="FC124">
        <v>0</v>
      </c>
      <c r="FD124">
        <v>0</v>
      </c>
      <c r="FE124">
        <v>0</v>
      </c>
      <c r="FF124">
        <v>0</v>
      </c>
      <c r="FG124">
        <v>0</v>
      </c>
      <c r="FH124">
        <v>0</v>
      </c>
      <c r="FI124">
        <v>0</v>
      </c>
      <c r="FJ124">
        <v>0</v>
      </c>
      <c r="FK124">
        <v>0</v>
      </c>
      <c r="FL124">
        <v>0</v>
      </c>
      <c r="FM124">
        <v>0</v>
      </c>
      <c r="FN124">
        <v>0</v>
      </c>
      <c r="FO124">
        <v>0</v>
      </c>
      <c r="FP124">
        <v>0</v>
      </c>
      <c r="FQ124">
        <v>0</v>
      </c>
      <c r="FR124">
        <v>0</v>
      </c>
      <c r="FS124">
        <v>0</v>
      </c>
      <c r="FT124">
        <v>0</v>
      </c>
      <c r="FU124">
        <v>0</v>
      </c>
      <c r="FV124">
        <v>0</v>
      </c>
      <c r="FW124">
        <v>0</v>
      </c>
      <c r="FX124">
        <v>0</v>
      </c>
      <c r="FY124">
        <v>0</v>
      </c>
      <c r="FZ124">
        <v>0</v>
      </c>
      <c r="GA124">
        <v>0</v>
      </c>
      <c r="GB124">
        <v>0</v>
      </c>
      <c r="GC124">
        <v>0</v>
      </c>
      <c r="GD124">
        <v>0</v>
      </c>
      <c r="GE124">
        <v>0</v>
      </c>
      <c r="GF124">
        <v>0</v>
      </c>
      <c r="GG124">
        <v>0</v>
      </c>
      <c r="GH124">
        <v>0</v>
      </c>
      <c r="GI124">
        <v>0</v>
      </c>
      <c r="GJ124">
        <v>0</v>
      </c>
      <c r="GK124">
        <v>0</v>
      </c>
      <c r="GL124">
        <v>0</v>
      </c>
      <c r="GM124">
        <v>0</v>
      </c>
      <c r="GN124">
        <v>0</v>
      </c>
      <c r="GO124">
        <v>0</v>
      </c>
      <c r="GP124">
        <v>0</v>
      </c>
      <c r="GQ124">
        <v>0</v>
      </c>
      <c r="GR124">
        <v>0</v>
      </c>
      <c r="GS124">
        <v>0</v>
      </c>
      <c r="GT124">
        <v>0</v>
      </c>
      <c r="GU124">
        <v>0</v>
      </c>
      <c r="GV124">
        <v>0</v>
      </c>
      <c r="GW124">
        <v>0</v>
      </c>
      <c r="GX124">
        <v>0</v>
      </c>
      <c r="GY124">
        <v>0</v>
      </c>
      <c r="GZ124">
        <v>0</v>
      </c>
      <c r="HA124">
        <v>0</v>
      </c>
      <c r="HB124">
        <v>0</v>
      </c>
      <c r="HC124">
        <v>0</v>
      </c>
      <c r="HD124">
        <v>0</v>
      </c>
      <c r="HE124">
        <v>0</v>
      </c>
      <c r="HF124">
        <v>0</v>
      </c>
      <c r="HG124">
        <v>0</v>
      </c>
      <c r="HH124">
        <v>0</v>
      </c>
      <c r="HI124">
        <v>0</v>
      </c>
      <c r="HJ124">
        <v>0</v>
      </c>
      <c r="HK124">
        <v>0</v>
      </c>
      <c r="HL124">
        <v>0</v>
      </c>
      <c r="HM124">
        <v>0</v>
      </c>
      <c r="HN124">
        <v>0</v>
      </c>
      <c r="HO124">
        <v>0</v>
      </c>
      <c r="HP124">
        <v>0</v>
      </c>
      <c r="HQ124">
        <v>0</v>
      </c>
      <c r="HR124">
        <v>0</v>
      </c>
      <c r="HS124">
        <v>0</v>
      </c>
      <c r="HT124">
        <v>0</v>
      </c>
      <c r="HU124">
        <v>0</v>
      </c>
      <c r="HV124">
        <v>0</v>
      </c>
      <c r="HW124">
        <v>0</v>
      </c>
      <c r="HX124">
        <v>0</v>
      </c>
      <c r="HY124">
        <v>0</v>
      </c>
      <c r="HZ124">
        <v>0</v>
      </c>
      <c r="IA124">
        <v>0</v>
      </c>
      <c r="IB124">
        <v>0</v>
      </c>
      <c r="IC124">
        <v>0</v>
      </c>
      <c r="ID124">
        <v>0</v>
      </c>
      <c r="IE124">
        <v>0</v>
      </c>
      <c r="IF124">
        <v>0</v>
      </c>
      <c r="IG124">
        <v>0</v>
      </c>
      <c r="IH124">
        <v>0</v>
      </c>
      <c r="II124">
        <v>0</v>
      </c>
      <c r="IJ124">
        <v>0</v>
      </c>
      <c r="IK124">
        <v>0</v>
      </c>
      <c r="IL124">
        <v>0</v>
      </c>
      <c r="IM124">
        <v>0</v>
      </c>
      <c r="IN124">
        <v>0</v>
      </c>
      <c r="IO124">
        <v>0</v>
      </c>
      <c r="IP124">
        <v>0</v>
      </c>
      <c r="IQ124">
        <v>0</v>
      </c>
      <c r="IR124">
        <v>0</v>
      </c>
      <c r="IS124">
        <v>0</v>
      </c>
      <c r="IT124">
        <v>0</v>
      </c>
      <c r="IU124">
        <v>0</v>
      </c>
      <c r="IV124">
        <v>0</v>
      </c>
      <c r="IW124">
        <v>0</v>
      </c>
      <c r="IX124">
        <v>0</v>
      </c>
      <c r="IY124">
        <v>0</v>
      </c>
      <c r="IZ124">
        <v>0</v>
      </c>
      <c r="JA124">
        <v>0</v>
      </c>
      <c r="JB124">
        <v>0</v>
      </c>
      <c r="JC124">
        <v>0</v>
      </c>
      <c r="JD124">
        <v>0</v>
      </c>
      <c r="JE124">
        <v>0</v>
      </c>
      <c r="JF124">
        <v>0</v>
      </c>
      <c r="JG124">
        <v>0</v>
      </c>
      <c r="JH124">
        <v>0</v>
      </c>
      <c r="JI124">
        <v>0</v>
      </c>
      <c r="JJ124">
        <v>0</v>
      </c>
      <c r="JK124">
        <v>0</v>
      </c>
      <c r="JL124">
        <v>0</v>
      </c>
      <c r="JM124">
        <v>0</v>
      </c>
      <c r="JN124">
        <v>0</v>
      </c>
      <c r="JO124">
        <v>0</v>
      </c>
      <c r="JP124">
        <v>0</v>
      </c>
      <c r="JQ124">
        <v>0</v>
      </c>
      <c r="JR124">
        <v>0</v>
      </c>
      <c r="JS124">
        <v>0</v>
      </c>
      <c r="JT124">
        <v>0</v>
      </c>
      <c r="JU124">
        <v>0</v>
      </c>
      <c r="JV124">
        <v>0</v>
      </c>
      <c r="JW124">
        <v>0</v>
      </c>
      <c r="JX124">
        <v>0</v>
      </c>
      <c r="JY124">
        <v>0</v>
      </c>
      <c r="JZ124">
        <v>0</v>
      </c>
      <c r="KA124">
        <v>0</v>
      </c>
      <c r="KB124">
        <v>0</v>
      </c>
      <c r="KC124">
        <v>0</v>
      </c>
      <c r="KD124">
        <v>0</v>
      </c>
      <c r="KE124">
        <v>0</v>
      </c>
      <c r="KF124">
        <v>0</v>
      </c>
      <c r="KG124">
        <v>0</v>
      </c>
      <c r="KH124">
        <v>0</v>
      </c>
      <c r="KI124">
        <v>0</v>
      </c>
      <c r="KJ124">
        <v>0</v>
      </c>
      <c r="KK124">
        <v>0</v>
      </c>
      <c r="KL124">
        <v>0</v>
      </c>
      <c r="KM124">
        <v>0</v>
      </c>
      <c r="KN124">
        <v>0</v>
      </c>
      <c r="KO124">
        <v>0</v>
      </c>
      <c r="KP124">
        <v>0</v>
      </c>
      <c r="KQ124">
        <v>0</v>
      </c>
      <c r="KR124">
        <v>0</v>
      </c>
      <c r="KS124">
        <v>0</v>
      </c>
      <c r="KT124">
        <v>0</v>
      </c>
      <c r="KU124">
        <v>0</v>
      </c>
      <c r="KV124">
        <v>0</v>
      </c>
      <c r="KW124">
        <v>0</v>
      </c>
      <c r="KX124">
        <v>0</v>
      </c>
      <c r="KY124">
        <v>0</v>
      </c>
      <c r="KZ124">
        <v>0</v>
      </c>
      <c r="LA124">
        <v>0</v>
      </c>
      <c r="LB124">
        <v>0</v>
      </c>
      <c r="LC124">
        <v>0</v>
      </c>
      <c r="LD124">
        <v>0</v>
      </c>
      <c r="LE124">
        <v>0</v>
      </c>
      <c r="LF124">
        <v>0</v>
      </c>
      <c r="LG124">
        <v>0</v>
      </c>
      <c r="LH124">
        <v>0</v>
      </c>
      <c r="LI124">
        <v>0</v>
      </c>
      <c r="LJ124">
        <v>0</v>
      </c>
      <c r="LK124">
        <v>0</v>
      </c>
      <c r="LL124">
        <v>0</v>
      </c>
      <c r="LM124">
        <v>0</v>
      </c>
      <c r="LN124">
        <v>0</v>
      </c>
      <c r="LO124">
        <v>0</v>
      </c>
      <c r="LP124">
        <v>0</v>
      </c>
      <c r="LQ124">
        <v>0</v>
      </c>
      <c r="LR124">
        <v>0</v>
      </c>
      <c r="LS124">
        <v>0</v>
      </c>
      <c r="LT124">
        <v>0</v>
      </c>
      <c r="LU124">
        <v>0</v>
      </c>
      <c r="LV124">
        <v>0</v>
      </c>
      <c r="LW124">
        <v>0</v>
      </c>
      <c r="LX124">
        <v>0</v>
      </c>
      <c r="LY124">
        <v>0</v>
      </c>
      <c r="LZ124">
        <v>0</v>
      </c>
      <c r="MA124">
        <v>0</v>
      </c>
      <c r="MB124">
        <v>0</v>
      </c>
      <c r="MC124">
        <v>0</v>
      </c>
      <c r="MD124">
        <v>0</v>
      </c>
      <c r="ME124">
        <v>0</v>
      </c>
      <c r="MF124">
        <v>0</v>
      </c>
      <c r="MG124">
        <v>0</v>
      </c>
      <c r="MH124">
        <v>0</v>
      </c>
      <c r="MI124">
        <v>0</v>
      </c>
      <c r="MJ124">
        <v>0</v>
      </c>
      <c r="MK124">
        <v>0</v>
      </c>
      <c r="ML124">
        <v>0</v>
      </c>
      <c r="MM124">
        <v>0</v>
      </c>
      <c r="MN124">
        <v>0</v>
      </c>
      <c r="MO124">
        <v>0</v>
      </c>
      <c r="MP124">
        <v>0</v>
      </c>
      <c r="MQ124">
        <v>0</v>
      </c>
      <c r="MR124">
        <v>0</v>
      </c>
      <c r="MS124">
        <v>0</v>
      </c>
      <c r="MT124">
        <v>0</v>
      </c>
      <c r="MU124">
        <v>0</v>
      </c>
      <c r="MV124">
        <v>0</v>
      </c>
      <c r="MW124">
        <v>0</v>
      </c>
      <c r="MX124">
        <v>0</v>
      </c>
      <c r="MY124">
        <v>0</v>
      </c>
      <c r="MZ124">
        <v>0</v>
      </c>
      <c r="NA124">
        <v>0</v>
      </c>
      <c r="NB124">
        <v>0</v>
      </c>
      <c r="NC124">
        <v>0</v>
      </c>
      <c r="ND124">
        <v>0</v>
      </c>
      <c r="NE124">
        <v>0</v>
      </c>
    </row>
    <row r="125" spans="41:369" x14ac:dyDescent="0.45">
      <c r="AO125" t="str">
        <v>B146</v>
      </c>
      <c r="AP125" t="str">
        <v>WASEEM NIHAD A M</v>
      </c>
      <c r="AQ125" t="str">
        <v>BADF</v>
      </c>
      <c r="AR125" t="str">
        <v>JUNIOR</v>
      </c>
      <c r="AS125">
        <v>4</v>
      </c>
      <c r="AT125">
        <v>34</v>
      </c>
      <c r="AU125">
        <v>0</v>
      </c>
      <c r="AV125">
        <v>34</v>
      </c>
      <c r="AW125">
        <v>34</v>
      </c>
      <c r="AX125">
        <v>34</v>
      </c>
      <c r="AY125" s="5">
        <v>34</v>
      </c>
      <c r="AZ125" t="str">
        <v>SN34</v>
      </c>
      <c r="BA125" t="str">
        <v>KAVIYARANG</v>
      </c>
      <c r="BB125" t="str">
        <v>SENIOR</v>
      </c>
      <c r="BC125" t="str">
        <v>Single</v>
      </c>
      <c r="BD125" t="str">
        <v>Stage</v>
      </c>
      <c r="BE125">
        <v>2</v>
      </c>
      <c r="BF125" t="str">
        <v>Individual</v>
      </c>
      <c r="BG125" t="str">
        <v>Individual</v>
      </c>
      <c r="BH125" t="str">
        <v>P</v>
      </c>
      <c r="BI125" t="str">
        <v>PUBLISHED</v>
      </c>
      <c r="BK125">
        <v>119</v>
      </c>
      <c r="BL125" t="str">
        <v>SN30</v>
      </c>
      <c r="BM125" t="str">
        <v>ANNOUNCEMENT</v>
      </c>
      <c r="BN125">
        <v>3</v>
      </c>
      <c r="BO125" t="str">
        <v>Single</v>
      </c>
      <c r="BP125" t="str">
        <v>Stage</v>
      </c>
      <c r="BQ125" t="str">
        <v>SENIOR</v>
      </c>
      <c r="BR125" t="str">
        <v>C162</v>
      </c>
      <c r="BS125" t="str">
        <v>C131</v>
      </c>
      <c r="BT125" t="str">
        <v>C156</v>
      </c>
      <c r="BU125">
        <v>0</v>
      </c>
      <c r="BV125">
        <v>0</v>
      </c>
      <c r="BW125">
        <v>0</v>
      </c>
      <c r="BX125">
        <v>0</v>
      </c>
      <c r="BY125" t="str">
        <v>C153</v>
      </c>
      <c r="BZ125" t="str">
        <v>C166</v>
      </c>
      <c r="CA125" t="str">
        <v>C161</v>
      </c>
      <c r="CB125">
        <v>0</v>
      </c>
      <c r="CC125">
        <v>0</v>
      </c>
      <c r="CD125">
        <v>0</v>
      </c>
      <c r="CE125">
        <v>0</v>
      </c>
      <c r="CF125" t="str">
        <v>C103</v>
      </c>
      <c r="CG125" t="str">
        <v>C159</v>
      </c>
      <c r="CH125" t="str">
        <v>C141</v>
      </c>
      <c r="CI125">
        <v>0</v>
      </c>
      <c r="CJ125">
        <v>0</v>
      </c>
      <c r="CK125">
        <v>0</v>
      </c>
      <c r="CL125">
        <v>0</v>
      </c>
      <c r="CM125" t="str">
        <v>C121</v>
      </c>
      <c r="CN125" t="str">
        <v>C163</v>
      </c>
      <c r="CO125" t="str">
        <v>C165</v>
      </c>
      <c r="CP125">
        <v>0</v>
      </c>
      <c r="CQ125">
        <v>0</v>
      </c>
      <c r="CR125">
        <v>0</v>
      </c>
      <c r="CS125">
        <v>0</v>
      </c>
      <c r="CT125">
        <v>0</v>
      </c>
      <c r="CU125">
        <v>0</v>
      </c>
      <c r="CV125">
        <v>0</v>
      </c>
      <c r="CW125">
        <v>0</v>
      </c>
      <c r="CX125">
        <v>0</v>
      </c>
      <c r="CY125">
        <v>0</v>
      </c>
      <c r="CZ125">
        <v>0</v>
      </c>
      <c r="DA125">
        <v>0</v>
      </c>
      <c r="DB125">
        <v>0</v>
      </c>
      <c r="DC125">
        <v>0</v>
      </c>
      <c r="DD125">
        <v>0</v>
      </c>
      <c r="DE125">
        <v>0</v>
      </c>
      <c r="DF125">
        <v>0</v>
      </c>
      <c r="DG125">
        <v>0</v>
      </c>
      <c r="DH125">
        <v>0</v>
      </c>
      <c r="DI125">
        <v>0</v>
      </c>
      <c r="DJ125">
        <v>0</v>
      </c>
      <c r="DK125">
        <v>0</v>
      </c>
      <c r="DL125">
        <v>0</v>
      </c>
      <c r="DM125">
        <v>0</v>
      </c>
      <c r="DN125">
        <v>0</v>
      </c>
      <c r="DO125">
        <v>0</v>
      </c>
      <c r="DP125">
        <v>0</v>
      </c>
      <c r="DQ125">
        <v>0</v>
      </c>
      <c r="DR125">
        <v>0</v>
      </c>
      <c r="DS125">
        <v>0</v>
      </c>
      <c r="DT125">
        <v>0</v>
      </c>
      <c r="DU125">
        <v>0</v>
      </c>
      <c r="DV125">
        <v>0</v>
      </c>
      <c r="DW125">
        <v>0</v>
      </c>
      <c r="DX125">
        <v>0</v>
      </c>
      <c r="DY125">
        <v>0</v>
      </c>
      <c r="DZ125">
        <v>0</v>
      </c>
      <c r="EA125">
        <v>0</v>
      </c>
      <c r="EB125">
        <v>0</v>
      </c>
      <c r="EC125">
        <v>0</v>
      </c>
      <c r="ED125">
        <v>0</v>
      </c>
      <c r="EE125">
        <v>0</v>
      </c>
      <c r="EF125">
        <v>0</v>
      </c>
      <c r="EG125">
        <v>0</v>
      </c>
      <c r="EH125">
        <v>0</v>
      </c>
      <c r="EI125">
        <v>0</v>
      </c>
      <c r="EJ125">
        <v>0</v>
      </c>
      <c r="EK125">
        <v>0</v>
      </c>
      <c r="EL125">
        <v>0</v>
      </c>
      <c r="EM125">
        <v>0</v>
      </c>
      <c r="EN125">
        <v>0</v>
      </c>
      <c r="EO125">
        <v>0</v>
      </c>
      <c r="EP125">
        <v>0</v>
      </c>
      <c r="EQ125">
        <v>0</v>
      </c>
      <c r="ER125">
        <v>0</v>
      </c>
      <c r="ES125">
        <v>0</v>
      </c>
      <c r="ET125">
        <v>0</v>
      </c>
      <c r="EU125">
        <v>0</v>
      </c>
      <c r="EV125">
        <v>0</v>
      </c>
      <c r="EW125">
        <v>0</v>
      </c>
      <c r="EX125">
        <v>0</v>
      </c>
      <c r="EY125">
        <v>0</v>
      </c>
      <c r="EZ125">
        <v>0</v>
      </c>
      <c r="FA125">
        <v>0</v>
      </c>
      <c r="FB125">
        <v>0</v>
      </c>
      <c r="FC125">
        <v>0</v>
      </c>
      <c r="FD125">
        <v>0</v>
      </c>
      <c r="FE125">
        <v>0</v>
      </c>
      <c r="FF125">
        <v>0</v>
      </c>
      <c r="FG125">
        <v>0</v>
      </c>
      <c r="FH125">
        <v>0</v>
      </c>
      <c r="FI125">
        <v>0</v>
      </c>
      <c r="FJ125">
        <v>0</v>
      </c>
      <c r="FK125">
        <v>0</v>
      </c>
      <c r="FL125">
        <v>0</v>
      </c>
      <c r="FM125">
        <v>0</v>
      </c>
      <c r="FN125">
        <v>0</v>
      </c>
      <c r="FO125">
        <v>0</v>
      </c>
      <c r="FP125">
        <v>0</v>
      </c>
      <c r="FQ125">
        <v>0</v>
      </c>
      <c r="FR125">
        <v>0</v>
      </c>
      <c r="FS125">
        <v>0</v>
      </c>
      <c r="FT125">
        <v>0</v>
      </c>
      <c r="FU125">
        <v>0</v>
      </c>
      <c r="FV125">
        <v>0</v>
      </c>
      <c r="FW125">
        <v>0</v>
      </c>
      <c r="FX125">
        <v>0</v>
      </c>
      <c r="FY125">
        <v>0</v>
      </c>
      <c r="FZ125">
        <v>0</v>
      </c>
      <c r="GA125">
        <v>0</v>
      </c>
      <c r="GB125">
        <v>0</v>
      </c>
      <c r="GC125">
        <v>0</v>
      </c>
      <c r="GD125">
        <v>0</v>
      </c>
      <c r="GE125">
        <v>0</v>
      </c>
      <c r="GF125">
        <v>0</v>
      </c>
      <c r="GG125">
        <v>0</v>
      </c>
      <c r="GH125">
        <v>0</v>
      </c>
      <c r="GI125">
        <v>0</v>
      </c>
      <c r="GJ125">
        <v>0</v>
      </c>
      <c r="GK125">
        <v>0</v>
      </c>
      <c r="GL125">
        <v>0</v>
      </c>
      <c r="GM125">
        <v>0</v>
      </c>
      <c r="GN125">
        <v>0</v>
      </c>
      <c r="GO125">
        <v>0</v>
      </c>
      <c r="GP125">
        <v>0</v>
      </c>
      <c r="GQ125">
        <v>0</v>
      </c>
      <c r="GR125">
        <v>0</v>
      </c>
      <c r="GS125">
        <v>0</v>
      </c>
      <c r="GT125">
        <v>0</v>
      </c>
      <c r="GU125">
        <v>0</v>
      </c>
      <c r="GV125">
        <v>0</v>
      </c>
      <c r="GW125">
        <v>0</v>
      </c>
      <c r="GX125">
        <v>0</v>
      </c>
      <c r="GY125">
        <v>0</v>
      </c>
      <c r="GZ125">
        <v>0</v>
      </c>
      <c r="HA125">
        <v>0</v>
      </c>
      <c r="HB125">
        <v>0</v>
      </c>
      <c r="HC125">
        <v>0</v>
      </c>
      <c r="HD125">
        <v>0</v>
      </c>
      <c r="HE125">
        <v>0</v>
      </c>
      <c r="HF125">
        <v>0</v>
      </c>
      <c r="HG125">
        <v>0</v>
      </c>
      <c r="HH125">
        <v>0</v>
      </c>
      <c r="HI125">
        <v>0</v>
      </c>
      <c r="HJ125">
        <v>0</v>
      </c>
      <c r="HK125">
        <v>0</v>
      </c>
      <c r="HL125">
        <v>0</v>
      </c>
      <c r="HM125">
        <v>0</v>
      </c>
      <c r="HN125">
        <v>0</v>
      </c>
      <c r="HO125">
        <v>0</v>
      </c>
      <c r="HP125">
        <v>0</v>
      </c>
      <c r="HQ125">
        <v>0</v>
      </c>
      <c r="HR125">
        <v>0</v>
      </c>
      <c r="HS125">
        <v>0</v>
      </c>
      <c r="HT125">
        <v>0</v>
      </c>
      <c r="HU125">
        <v>0</v>
      </c>
      <c r="HV125">
        <v>0</v>
      </c>
      <c r="HW125">
        <v>0</v>
      </c>
      <c r="HX125">
        <v>0</v>
      </c>
      <c r="HY125">
        <v>0</v>
      </c>
      <c r="HZ125">
        <v>0</v>
      </c>
      <c r="IA125">
        <v>0</v>
      </c>
      <c r="IB125">
        <v>0</v>
      </c>
      <c r="IC125">
        <v>0</v>
      </c>
      <c r="ID125">
        <v>0</v>
      </c>
      <c r="IE125">
        <v>0</v>
      </c>
      <c r="IF125">
        <v>0</v>
      </c>
      <c r="IG125">
        <v>0</v>
      </c>
      <c r="IH125">
        <v>0</v>
      </c>
      <c r="II125">
        <v>0</v>
      </c>
      <c r="IJ125">
        <v>0</v>
      </c>
      <c r="IK125">
        <v>0</v>
      </c>
      <c r="IL125">
        <v>0</v>
      </c>
      <c r="IM125">
        <v>0</v>
      </c>
      <c r="IN125">
        <v>0</v>
      </c>
      <c r="IO125">
        <v>0</v>
      </c>
      <c r="IP125">
        <v>0</v>
      </c>
      <c r="IQ125">
        <v>0</v>
      </c>
      <c r="IR125">
        <v>0</v>
      </c>
      <c r="IS125">
        <v>0</v>
      </c>
      <c r="IT125">
        <v>0</v>
      </c>
      <c r="IU125">
        <v>0</v>
      </c>
      <c r="IV125">
        <v>0</v>
      </c>
      <c r="IW125">
        <v>0</v>
      </c>
      <c r="IX125">
        <v>0</v>
      </c>
      <c r="IY125">
        <v>0</v>
      </c>
      <c r="IZ125">
        <v>0</v>
      </c>
      <c r="JA125">
        <v>0</v>
      </c>
      <c r="JB125">
        <v>0</v>
      </c>
      <c r="JC125">
        <v>0</v>
      </c>
      <c r="JD125">
        <v>0</v>
      </c>
      <c r="JE125">
        <v>0</v>
      </c>
      <c r="JF125">
        <v>0</v>
      </c>
      <c r="JG125">
        <v>0</v>
      </c>
      <c r="JH125">
        <v>0</v>
      </c>
      <c r="JI125">
        <v>0</v>
      </c>
      <c r="JJ125">
        <v>0</v>
      </c>
      <c r="JK125">
        <v>0</v>
      </c>
      <c r="JL125">
        <v>0</v>
      </c>
      <c r="JM125">
        <v>0</v>
      </c>
      <c r="JN125">
        <v>0</v>
      </c>
      <c r="JO125">
        <v>0</v>
      </c>
      <c r="JP125">
        <v>0</v>
      </c>
      <c r="JQ125">
        <v>0</v>
      </c>
      <c r="JR125">
        <v>0</v>
      </c>
      <c r="JS125">
        <v>0</v>
      </c>
      <c r="JT125">
        <v>0</v>
      </c>
      <c r="JU125">
        <v>0</v>
      </c>
      <c r="JV125">
        <v>0</v>
      </c>
      <c r="JW125">
        <v>0</v>
      </c>
      <c r="JX125">
        <v>0</v>
      </c>
      <c r="JY125">
        <v>0</v>
      </c>
      <c r="JZ125">
        <v>0</v>
      </c>
      <c r="KA125">
        <v>0</v>
      </c>
      <c r="KB125">
        <v>0</v>
      </c>
      <c r="KC125">
        <v>0</v>
      </c>
      <c r="KD125">
        <v>0</v>
      </c>
      <c r="KE125">
        <v>0</v>
      </c>
      <c r="KF125">
        <v>0</v>
      </c>
      <c r="KG125">
        <v>0</v>
      </c>
      <c r="KH125">
        <v>0</v>
      </c>
      <c r="KI125">
        <v>0</v>
      </c>
      <c r="KJ125">
        <v>0</v>
      </c>
      <c r="KK125">
        <v>0</v>
      </c>
      <c r="KL125">
        <v>0</v>
      </c>
      <c r="KM125">
        <v>0</v>
      </c>
      <c r="KN125">
        <v>0</v>
      </c>
      <c r="KO125">
        <v>0</v>
      </c>
      <c r="KP125">
        <v>0</v>
      </c>
      <c r="KQ125">
        <v>0</v>
      </c>
      <c r="KR125">
        <v>0</v>
      </c>
      <c r="KS125">
        <v>0</v>
      </c>
      <c r="KT125">
        <v>0</v>
      </c>
      <c r="KU125">
        <v>0</v>
      </c>
      <c r="KV125">
        <v>0</v>
      </c>
      <c r="KW125">
        <v>0</v>
      </c>
      <c r="KX125">
        <v>0</v>
      </c>
      <c r="KY125">
        <v>0</v>
      </c>
      <c r="KZ125">
        <v>0</v>
      </c>
      <c r="LA125">
        <v>0</v>
      </c>
      <c r="LB125">
        <v>0</v>
      </c>
      <c r="LC125">
        <v>0</v>
      </c>
      <c r="LD125">
        <v>0</v>
      </c>
      <c r="LE125">
        <v>0</v>
      </c>
      <c r="LF125">
        <v>0</v>
      </c>
      <c r="LG125">
        <v>0</v>
      </c>
      <c r="LH125">
        <v>0</v>
      </c>
      <c r="LI125">
        <v>0</v>
      </c>
      <c r="LJ125">
        <v>0</v>
      </c>
      <c r="LK125">
        <v>0</v>
      </c>
      <c r="LL125">
        <v>0</v>
      </c>
      <c r="LM125">
        <v>0</v>
      </c>
      <c r="LN125">
        <v>0</v>
      </c>
      <c r="LO125">
        <v>0</v>
      </c>
      <c r="LP125">
        <v>0</v>
      </c>
      <c r="LQ125">
        <v>0</v>
      </c>
      <c r="LR125">
        <v>0</v>
      </c>
      <c r="LS125">
        <v>0</v>
      </c>
      <c r="LT125">
        <v>0</v>
      </c>
      <c r="LU125">
        <v>0</v>
      </c>
      <c r="LV125">
        <v>0</v>
      </c>
      <c r="LW125">
        <v>0</v>
      </c>
      <c r="LX125">
        <v>0</v>
      </c>
      <c r="LY125">
        <v>0</v>
      </c>
      <c r="LZ125">
        <v>0</v>
      </c>
      <c r="MA125">
        <v>0</v>
      </c>
      <c r="MB125">
        <v>0</v>
      </c>
      <c r="MC125">
        <v>0</v>
      </c>
      <c r="MD125">
        <v>0</v>
      </c>
      <c r="ME125">
        <v>0</v>
      </c>
      <c r="MF125">
        <v>0</v>
      </c>
      <c r="MG125">
        <v>0</v>
      </c>
      <c r="MH125">
        <v>0</v>
      </c>
      <c r="MI125">
        <v>0</v>
      </c>
      <c r="MJ125">
        <v>0</v>
      </c>
      <c r="MK125">
        <v>0</v>
      </c>
      <c r="ML125">
        <v>0</v>
      </c>
      <c r="MM125">
        <v>0</v>
      </c>
      <c r="MN125">
        <v>0</v>
      </c>
      <c r="MO125">
        <v>0</v>
      </c>
      <c r="MP125">
        <v>0</v>
      </c>
      <c r="MQ125">
        <v>0</v>
      </c>
      <c r="MR125">
        <v>0</v>
      </c>
      <c r="MS125">
        <v>0</v>
      </c>
      <c r="MT125">
        <v>0</v>
      </c>
      <c r="MU125">
        <v>0</v>
      </c>
      <c r="MV125">
        <v>0</v>
      </c>
      <c r="MW125">
        <v>0</v>
      </c>
      <c r="MX125">
        <v>0</v>
      </c>
      <c r="MY125">
        <v>0</v>
      </c>
      <c r="MZ125">
        <v>0</v>
      </c>
      <c r="NA125">
        <v>0</v>
      </c>
      <c r="NB125">
        <v>0</v>
      </c>
      <c r="NC125">
        <v>0</v>
      </c>
      <c r="ND125">
        <v>0</v>
      </c>
      <c r="NE125">
        <v>0</v>
      </c>
    </row>
    <row r="126" spans="41:369" x14ac:dyDescent="0.45">
      <c r="AO126" t="str">
        <v>B147</v>
      </c>
      <c r="AP126" t="str">
        <v>MOHAMMED SHAMEEM B K</v>
      </c>
      <c r="AQ126" t="str">
        <v>JARF</v>
      </c>
      <c r="AR126" t="str">
        <v>JUNIOR</v>
      </c>
      <c r="AS126">
        <v>4</v>
      </c>
      <c r="AT126">
        <v>8</v>
      </c>
      <c r="AU126">
        <v>0</v>
      </c>
      <c r="AV126">
        <v>8</v>
      </c>
      <c r="AW126">
        <v>8</v>
      </c>
      <c r="AX126">
        <v>147</v>
      </c>
      <c r="AY126" s="5">
        <v>147</v>
      </c>
      <c r="AZ126" t="str">
        <v>SN35</v>
      </c>
      <c r="BA126" t="str">
        <v>MOTIVATIONAL SPEECH ENG</v>
      </c>
      <c r="BB126" t="str">
        <v>SENIOR</v>
      </c>
      <c r="BC126" t="str">
        <v>Single</v>
      </c>
      <c r="BD126" t="str">
        <v>Stage</v>
      </c>
      <c r="BE126">
        <v>2</v>
      </c>
      <c r="BF126" t="str">
        <v>Individual</v>
      </c>
      <c r="BG126" t="str">
        <v>Individual</v>
      </c>
      <c r="BH126" t="str">
        <v>P</v>
      </c>
      <c r="BI126" t="str">
        <v>PUBLISHED</v>
      </c>
      <c r="BK126">
        <v>120</v>
      </c>
      <c r="BL126" t="str">
        <v>SN31</v>
      </c>
      <c r="BM126" t="str">
        <v>EXTEMPORE SPEECH MLM</v>
      </c>
      <c r="BN126">
        <v>3</v>
      </c>
      <c r="BO126" t="str">
        <v>Single</v>
      </c>
      <c r="BP126" t="str">
        <v>Stage</v>
      </c>
      <c r="BQ126" t="str">
        <v>SENIOR</v>
      </c>
      <c r="BR126" t="str">
        <v>C101</v>
      </c>
      <c r="BS126" t="str">
        <v>C162</v>
      </c>
      <c r="BT126" t="str">
        <v>C173</v>
      </c>
      <c r="BU126">
        <v>0</v>
      </c>
      <c r="BV126">
        <v>0</v>
      </c>
      <c r="BW126">
        <v>0</v>
      </c>
      <c r="BX126">
        <v>0</v>
      </c>
      <c r="BY126" t="str">
        <v>C133</v>
      </c>
      <c r="BZ126" t="str">
        <v>C161</v>
      </c>
      <c r="CA126" t="str">
        <v>C166</v>
      </c>
      <c r="CB126">
        <v>0</v>
      </c>
      <c r="CC126">
        <v>0</v>
      </c>
      <c r="CD126">
        <v>0</v>
      </c>
      <c r="CE126">
        <v>0</v>
      </c>
      <c r="CF126" t="str">
        <v>C103</v>
      </c>
      <c r="CG126" t="str">
        <v>C141</v>
      </c>
      <c r="CH126" t="str">
        <v>C171</v>
      </c>
      <c r="CI126">
        <v>0</v>
      </c>
      <c r="CJ126">
        <v>0</v>
      </c>
      <c r="CK126">
        <v>0</v>
      </c>
      <c r="CL126">
        <v>0</v>
      </c>
      <c r="CM126" t="str">
        <v>C111</v>
      </c>
      <c r="CN126" t="str">
        <v>C113</v>
      </c>
      <c r="CO126" t="str">
        <v>C163</v>
      </c>
      <c r="CP126">
        <v>0</v>
      </c>
      <c r="CQ126">
        <v>0</v>
      </c>
      <c r="CR126">
        <v>0</v>
      </c>
      <c r="CS126">
        <v>0</v>
      </c>
      <c r="CT126">
        <v>0</v>
      </c>
      <c r="CU126">
        <v>0</v>
      </c>
      <c r="CV126">
        <v>0</v>
      </c>
      <c r="CW126">
        <v>0</v>
      </c>
      <c r="CX126">
        <v>0</v>
      </c>
      <c r="CY126">
        <v>0</v>
      </c>
      <c r="CZ126">
        <v>0</v>
      </c>
      <c r="DA126">
        <v>0</v>
      </c>
      <c r="DB126">
        <v>0</v>
      </c>
      <c r="DC126">
        <v>0</v>
      </c>
      <c r="DD126">
        <v>0</v>
      </c>
      <c r="DE126">
        <v>0</v>
      </c>
      <c r="DF126">
        <v>0</v>
      </c>
      <c r="DG126">
        <v>0</v>
      </c>
      <c r="DH126">
        <v>0</v>
      </c>
      <c r="DI126">
        <v>0</v>
      </c>
      <c r="DJ126">
        <v>0</v>
      </c>
      <c r="DK126">
        <v>0</v>
      </c>
      <c r="DL126">
        <v>0</v>
      </c>
      <c r="DM126">
        <v>0</v>
      </c>
      <c r="DN126">
        <v>0</v>
      </c>
      <c r="DO126">
        <v>0</v>
      </c>
      <c r="DP126">
        <v>0</v>
      </c>
      <c r="DQ126">
        <v>0</v>
      </c>
      <c r="DR126">
        <v>0</v>
      </c>
      <c r="DS126">
        <v>0</v>
      </c>
      <c r="DT126">
        <v>0</v>
      </c>
      <c r="DU126">
        <v>0</v>
      </c>
      <c r="DV126">
        <v>0</v>
      </c>
      <c r="DW126">
        <v>0</v>
      </c>
      <c r="DX126">
        <v>0</v>
      </c>
      <c r="DY126">
        <v>0</v>
      </c>
      <c r="DZ126">
        <v>0</v>
      </c>
      <c r="EA126">
        <v>0</v>
      </c>
      <c r="EB126">
        <v>0</v>
      </c>
      <c r="EC126">
        <v>0</v>
      </c>
      <c r="ED126">
        <v>0</v>
      </c>
      <c r="EE126">
        <v>0</v>
      </c>
      <c r="EF126">
        <v>0</v>
      </c>
      <c r="EG126">
        <v>0</v>
      </c>
      <c r="EH126">
        <v>0</v>
      </c>
      <c r="EI126">
        <v>0</v>
      </c>
      <c r="EJ126">
        <v>0</v>
      </c>
      <c r="EK126">
        <v>0</v>
      </c>
      <c r="EL126">
        <v>0</v>
      </c>
      <c r="EM126">
        <v>0</v>
      </c>
      <c r="EN126">
        <v>0</v>
      </c>
      <c r="EO126">
        <v>0</v>
      </c>
      <c r="EP126">
        <v>0</v>
      </c>
      <c r="EQ126">
        <v>0</v>
      </c>
      <c r="ER126">
        <v>0</v>
      </c>
      <c r="ES126">
        <v>0</v>
      </c>
      <c r="ET126">
        <v>0</v>
      </c>
      <c r="EU126">
        <v>0</v>
      </c>
      <c r="EV126">
        <v>0</v>
      </c>
      <c r="EW126">
        <v>0</v>
      </c>
      <c r="EX126">
        <v>0</v>
      </c>
      <c r="EY126">
        <v>0</v>
      </c>
      <c r="EZ126">
        <v>0</v>
      </c>
      <c r="FA126">
        <v>0</v>
      </c>
      <c r="FB126">
        <v>0</v>
      </c>
      <c r="FC126">
        <v>0</v>
      </c>
      <c r="FD126">
        <v>0</v>
      </c>
      <c r="FE126">
        <v>0</v>
      </c>
      <c r="FF126">
        <v>0</v>
      </c>
      <c r="FG126">
        <v>0</v>
      </c>
      <c r="FH126">
        <v>0</v>
      </c>
      <c r="FI126">
        <v>0</v>
      </c>
      <c r="FJ126">
        <v>0</v>
      </c>
      <c r="FK126">
        <v>0</v>
      </c>
      <c r="FL126">
        <v>0</v>
      </c>
      <c r="FM126">
        <v>0</v>
      </c>
      <c r="FN126">
        <v>0</v>
      </c>
      <c r="FO126">
        <v>0</v>
      </c>
      <c r="FP126">
        <v>0</v>
      </c>
      <c r="FQ126">
        <v>0</v>
      </c>
      <c r="FR126">
        <v>0</v>
      </c>
      <c r="FS126">
        <v>0</v>
      </c>
      <c r="FT126">
        <v>0</v>
      </c>
      <c r="FU126">
        <v>0</v>
      </c>
      <c r="FV126">
        <v>0</v>
      </c>
      <c r="FW126">
        <v>0</v>
      </c>
      <c r="FX126">
        <v>0</v>
      </c>
      <c r="FY126">
        <v>0</v>
      </c>
      <c r="FZ126">
        <v>0</v>
      </c>
      <c r="GA126">
        <v>0</v>
      </c>
      <c r="GB126">
        <v>0</v>
      </c>
      <c r="GC126">
        <v>0</v>
      </c>
      <c r="GD126">
        <v>0</v>
      </c>
      <c r="GE126">
        <v>0</v>
      </c>
      <c r="GF126">
        <v>0</v>
      </c>
      <c r="GG126">
        <v>0</v>
      </c>
      <c r="GH126">
        <v>0</v>
      </c>
      <c r="GI126">
        <v>0</v>
      </c>
      <c r="GJ126">
        <v>0</v>
      </c>
      <c r="GK126">
        <v>0</v>
      </c>
      <c r="GL126">
        <v>0</v>
      </c>
      <c r="GM126">
        <v>0</v>
      </c>
      <c r="GN126">
        <v>0</v>
      </c>
      <c r="GO126">
        <v>0</v>
      </c>
      <c r="GP126">
        <v>0</v>
      </c>
      <c r="GQ126">
        <v>0</v>
      </c>
      <c r="GR126">
        <v>0</v>
      </c>
      <c r="GS126">
        <v>0</v>
      </c>
      <c r="GT126">
        <v>0</v>
      </c>
      <c r="GU126">
        <v>0</v>
      </c>
      <c r="GV126">
        <v>0</v>
      </c>
      <c r="GW126">
        <v>0</v>
      </c>
      <c r="GX126">
        <v>0</v>
      </c>
      <c r="GY126">
        <v>0</v>
      </c>
      <c r="GZ126">
        <v>0</v>
      </c>
      <c r="HA126">
        <v>0</v>
      </c>
      <c r="HB126">
        <v>0</v>
      </c>
      <c r="HC126">
        <v>0</v>
      </c>
      <c r="HD126">
        <v>0</v>
      </c>
      <c r="HE126">
        <v>0</v>
      </c>
      <c r="HF126">
        <v>0</v>
      </c>
      <c r="HG126">
        <v>0</v>
      </c>
      <c r="HH126">
        <v>0</v>
      </c>
      <c r="HI126">
        <v>0</v>
      </c>
      <c r="HJ126">
        <v>0</v>
      </c>
      <c r="HK126">
        <v>0</v>
      </c>
      <c r="HL126">
        <v>0</v>
      </c>
      <c r="HM126">
        <v>0</v>
      </c>
      <c r="HN126">
        <v>0</v>
      </c>
      <c r="HO126">
        <v>0</v>
      </c>
      <c r="HP126">
        <v>0</v>
      </c>
      <c r="HQ126">
        <v>0</v>
      </c>
      <c r="HR126">
        <v>0</v>
      </c>
      <c r="HS126">
        <v>0</v>
      </c>
      <c r="HT126">
        <v>0</v>
      </c>
      <c r="HU126">
        <v>0</v>
      </c>
      <c r="HV126">
        <v>0</v>
      </c>
      <c r="HW126">
        <v>0</v>
      </c>
      <c r="HX126">
        <v>0</v>
      </c>
      <c r="HY126">
        <v>0</v>
      </c>
      <c r="HZ126">
        <v>0</v>
      </c>
      <c r="IA126">
        <v>0</v>
      </c>
      <c r="IB126">
        <v>0</v>
      </c>
      <c r="IC126">
        <v>0</v>
      </c>
      <c r="ID126">
        <v>0</v>
      </c>
      <c r="IE126">
        <v>0</v>
      </c>
      <c r="IF126">
        <v>0</v>
      </c>
      <c r="IG126">
        <v>0</v>
      </c>
      <c r="IH126">
        <v>0</v>
      </c>
      <c r="II126">
        <v>0</v>
      </c>
      <c r="IJ126">
        <v>0</v>
      </c>
      <c r="IK126">
        <v>0</v>
      </c>
      <c r="IL126">
        <v>0</v>
      </c>
      <c r="IM126">
        <v>0</v>
      </c>
      <c r="IN126">
        <v>0</v>
      </c>
      <c r="IO126">
        <v>0</v>
      </c>
      <c r="IP126">
        <v>0</v>
      </c>
      <c r="IQ126">
        <v>0</v>
      </c>
      <c r="IR126">
        <v>0</v>
      </c>
      <c r="IS126">
        <v>0</v>
      </c>
      <c r="IT126">
        <v>0</v>
      </c>
      <c r="IU126">
        <v>0</v>
      </c>
      <c r="IV126">
        <v>0</v>
      </c>
      <c r="IW126">
        <v>0</v>
      </c>
      <c r="IX126">
        <v>0</v>
      </c>
      <c r="IY126">
        <v>0</v>
      </c>
      <c r="IZ126">
        <v>0</v>
      </c>
      <c r="JA126">
        <v>0</v>
      </c>
      <c r="JB126">
        <v>0</v>
      </c>
      <c r="JC126">
        <v>0</v>
      </c>
      <c r="JD126">
        <v>0</v>
      </c>
      <c r="JE126">
        <v>0</v>
      </c>
      <c r="JF126">
        <v>0</v>
      </c>
      <c r="JG126">
        <v>0</v>
      </c>
      <c r="JH126">
        <v>0</v>
      </c>
      <c r="JI126">
        <v>0</v>
      </c>
      <c r="JJ126">
        <v>0</v>
      </c>
      <c r="JK126">
        <v>0</v>
      </c>
      <c r="JL126">
        <v>0</v>
      </c>
      <c r="JM126">
        <v>0</v>
      </c>
      <c r="JN126">
        <v>0</v>
      </c>
      <c r="JO126">
        <v>0</v>
      </c>
      <c r="JP126">
        <v>0</v>
      </c>
      <c r="JQ126">
        <v>0</v>
      </c>
      <c r="JR126">
        <v>0</v>
      </c>
      <c r="JS126">
        <v>0</v>
      </c>
      <c r="JT126">
        <v>0</v>
      </c>
      <c r="JU126">
        <v>0</v>
      </c>
      <c r="JV126">
        <v>0</v>
      </c>
      <c r="JW126">
        <v>0</v>
      </c>
      <c r="JX126">
        <v>0</v>
      </c>
      <c r="JY126">
        <v>0</v>
      </c>
      <c r="JZ126">
        <v>0</v>
      </c>
      <c r="KA126">
        <v>0</v>
      </c>
      <c r="KB126">
        <v>0</v>
      </c>
      <c r="KC126">
        <v>0</v>
      </c>
      <c r="KD126">
        <v>0</v>
      </c>
      <c r="KE126">
        <v>0</v>
      </c>
      <c r="KF126">
        <v>0</v>
      </c>
      <c r="KG126">
        <v>0</v>
      </c>
      <c r="KH126">
        <v>0</v>
      </c>
      <c r="KI126">
        <v>0</v>
      </c>
      <c r="KJ126">
        <v>0</v>
      </c>
      <c r="KK126">
        <v>0</v>
      </c>
      <c r="KL126">
        <v>0</v>
      </c>
      <c r="KM126">
        <v>0</v>
      </c>
      <c r="KN126">
        <v>0</v>
      </c>
      <c r="KO126">
        <v>0</v>
      </c>
      <c r="KP126">
        <v>0</v>
      </c>
      <c r="KQ126">
        <v>0</v>
      </c>
      <c r="KR126">
        <v>0</v>
      </c>
      <c r="KS126">
        <v>0</v>
      </c>
      <c r="KT126">
        <v>0</v>
      </c>
      <c r="KU126">
        <v>0</v>
      </c>
      <c r="KV126">
        <v>0</v>
      </c>
      <c r="KW126">
        <v>0</v>
      </c>
      <c r="KX126">
        <v>0</v>
      </c>
      <c r="KY126">
        <v>0</v>
      </c>
      <c r="KZ126">
        <v>0</v>
      </c>
      <c r="LA126">
        <v>0</v>
      </c>
      <c r="LB126">
        <v>0</v>
      </c>
      <c r="LC126">
        <v>0</v>
      </c>
      <c r="LD126">
        <v>0</v>
      </c>
      <c r="LE126">
        <v>0</v>
      </c>
      <c r="LF126">
        <v>0</v>
      </c>
      <c r="LG126">
        <v>0</v>
      </c>
      <c r="LH126">
        <v>0</v>
      </c>
      <c r="LI126">
        <v>0</v>
      </c>
      <c r="LJ126">
        <v>0</v>
      </c>
      <c r="LK126">
        <v>0</v>
      </c>
      <c r="LL126">
        <v>0</v>
      </c>
      <c r="LM126">
        <v>0</v>
      </c>
      <c r="LN126">
        <v>0</v>
      </c>
      <c r="LO126">
        <v>0</v>
      </c>
      <c r="LP126">
        <v>0</v>
      </c>
      <c r="LQ126">
        <v>0</v>
      </c>
      <c r="LR126">
        <v>0</v>
      </c>
      <c r="LS126">
        <v>0</v>
      </c>
      <c r="LT126">
        <v>0</v>
      </c>
      <c r="LU126">
        <v>0</v>
      </c>
      <c r="LV126">
        <v>0</v>
      </c>
      <c r="LW126">
        <v>0</v>
      </c>
      <c r="LX126">
        <v>0</v>
      </c>
      <c r="LY126">
        <v>0</v>
      </c>
      <c r="LZ126">
        <v>0</v>
      </c>
      <c r="MA126">
        <v>0</v>
      </c>
      <c r="MB126">
        <v>0</v>
      </c>
      <c r="MC126">
        <v>0</v>
      </c>
      <c r="MD126">
        <v>0</v>
      </c>
      <c r="ME126">
        <v>0</v>
      </c>
      <c r="MF126">
        <v>0</v>
      </c>
      <c r="MG126">
        <v>0</v>
      </c>
      <c r="MH126">
        <v>0</v>
      </c>
      <c r="MI126">
        <v>0</v>
      </c>
      <c r="MJ126">
        <v>0</v>
      </c>
      <c r="MK126">
        <v>0</v>
      </c>
      <c r="ML126">
        <v>0</v>
      </c>
      <c r="MM126">
        <v>0</v>
      </c>
      <c r="MN126">
        <v>0</v>
      </c>
      <c r="MO126">
        <v>0</v>
      </c>
      <c r="MP126">
        <v>0</v>
      </c>
      <c r="MQ126">
        <v>0</v>
      </c>
      <c r="MR126">
        <v>0</v>
      </c>
      <c r="MS126">
        <v>0</v>
      </c>
      <c r="MT126">
        <v>0</v>
      </c>
      <c r="MU126">
        <v>0</v>
      </c>
      <c r="MV126">
        <v>0</v>
      </c>
      <c r="MW126">
        <v>0</v>
      </c>
      <c r="MX126">
        <v>0</v>
      </c>
      <c r="MY126">
        <v>0</v>
      </c>
      <c r="MZ126">
        <v>0</v>
      </c>
      <c r="NA126">
        <v>0</v>
      </c>
      <c r="NB126">
        <v>0</v>
      </c>
      <c r="NC126">
        <v>0</v>
      </c>
      <c r="ND126">
        <v>0</v>
      </c>
      <c r="NE126">
        <v>0</v>
      </c>
    </row>
    <row r="127" spans="41:369" x14ac:dyDescent="0.45">
      <c r="AO127" t="str">
        <v>B148</v>
      </c>
      <c r="AP127" t="str">
        <v>MOHAMMED BAQIR TS</v>
      </c>
      <c r="AQ127" t="str">
        <v>JARF</v>
      </c>
      <c r="AR127" t="str">
        <v>JUNIOR</v>
      </c>
      <c r="AS127">
        <v>4</v>
      </c>
      <c r="AT127">
        <v>3</v>
      </c>
      <c r="AU127">
        <v>0</v>
      </c>
      <c r="AV127">
        <v>3</v>
      </c>
      <c r="AW127">
        <v>3</v>
      </c>
      <c r="AX127">
        <v>209</v>
      </c>
      <c r="AY127" s="5">
        <v>209</v>
      </c>
      <c r="AZ127" t="str">
        <v>SN36</v>
      </c>
      <c r="BA127" t="str">
        <v>NASHEED ARB</v>
      </c>
      <c r="BB127" t="str">
        <v>SENIOR</v>
      </c>
      <c r="BC127" t="str">
        <v>Single</v>
      </c>
      <c r="BD127" t="str">
        <v>Stage</v>
      </c>
      <c r="BE127">
        <v>3</v>
      </c>
      <c r="BF127" t="str">
        <v>Individual</v>
      </c>
      <c r="BG127" t="str">
        <v>Individual</v>
      </c>
      <c r="BH127" t="str">
        <v>P</v>
      </c>
      <c r="BI127" t="str">
        <v>PUBLISHED</v>
      </c>
      <c r="BK127">
        <v>121</v>
      </c>
      <c r="BL127" t="str">
        <v>SN32</v>
      </c>
      <c r="BM127" t="str">
        <v>GD MLM</v>
      </c>
      <c r="BN127">
        <v>3</v>
      </c>
      <c r="BO127" t="str">
        <v>Single</v>
      </c>
      <c r="BP127" t="str">
        <v>Stage</v>
      </c>
      <c r="BQ127" t="str">
        <v>SENIOR</v>
      </c>
      <c r="BR127" t="str">
        <v>C162</v>
      </c>
      <c r="BS127" t="str">
        <v>C168</v>
      </c>
      <c r="BT127" t="str">
        <v>C173</v>
      </c>
      <c r="BU127">
        <v>0</v>
      </c>
      <c r="BV127">
        <v>0</v>
      </c>
      <c r="BW127">
        <v>0</v>
      </c>
      <c r="BX127">
        <v>0</v>
      </c>
      <c r="BY127" t="str">
        <v>C133</v>
      </c>
      <c r="BZ127" t="str">
        <v>C158</v>
      </c>
      <c r="CA127" t="str">
        <v>C161</v>
      </c>
      <c r="CB127">
        <v>0</v>
      </c>
      <c r="CC127">
        <v>0</v>
      </c>
      <c r="CD127">
        <v>0</v>
      </c>
      <c r="CE127">
        <v>0</v>
      </c>
      <c r="CF127" t="str">
        <v>C103</v>
      </c>
      <c r="CG127" t="str">
        <v>C145</v>
      </c>
      <c r="CH127" t="str">
        <v>C157</v>
      </c>
      <c r="CI127">
        <v>0</v>
      </c>
      <c r="CJ127">
        <v>0</v>
      </c>
      <c r="CK127">
        <v>0</v>
      </c>
      <c r="CL127">
        <v>0</v>
      </c>
      <c r="CM127" t="str">
        <v>C119</v>
      </c>
      <c r="CN127" t="str">
        <v>C105</v>
      </c>
      <c r="CO127" t="str">
        <v>C163</v>
      </c>
      <c r="CP127">
        <v>0</v>
      </c>
      <c r="CQ127">
        <v>0</v>
      </c>
      <c r="CR127">
        <v>0</v>
      </c>
      <c r="CS127">
        <v>0</v>
      </c>
      <c r="CT127">
        <v>0</v>
      </c>
      <c r="CU127">
        <v>0</v>
      </c>
      <c r="CV127">
        <v>0</v>
      </c>
      <c r="CW127">
        <v>0</v>
      </c>
      <c r="CX127">
        <v>0</v>
      </c>
      <c r="CY127">
        <v>0</v>
      </c>
      <c r="CZ127">
        <v>0</v>
      </c>
      <c r="DA127">
        <v>0</v>
      </c>
      <c r="DB127">
        <v>0</v>
      </c>
      <c r="DC127">
        <v>0</v>
      </c>
      <c r="DD127">
        <v>0</v>
      </c>
      <c r="DE127">
        <v>0</v>
      </c>
      <c r="DF127">
        <v>0</v>
      </c>
      <c r="DG127">
        <v>0</v>
      </c>
      <c r="DH127">
        <v>0</v>
      </c>
      <c r="DI127">
        <v>0</v>
      </c>
      <c r="DJ127">
        <v>0</v>
      </c>
      <c r="DK127">
        <v>0</v>
      </c>
      <c r="DL127">
        <v>0</v>
      </c>
      <c r="DM127">
        <v>0</v>
      </c>
      <c r="DN127">
        <v>0</v>
      </c>
      <c r="DO127">
        <v>0</v>
      </c>
      <c r="DP127">
        <v>0</v>
      </c>
      <c r="DQ127">
        <v>0</v>
      </c>
      <c r="DR127">
        <v>0</v>
      </c>
      <c r="DS127">
        <v>0</v>
      </c>
      <c r="DT127">
        <v>0</v>
      </c>
      <c r="DU127">
        <v>0</v>
      </c>
      <c r="DV127">
        <v>0</v>
      </c>
      <c r="DW127">
        <v>0</v>
      </c>
      <c r="DX127">
        <v>0</v>
      </c>
      <c r="DY127">
        <v>0</v>
      </c>
      <c r="DZ127">
        <v>0</v>
      </c>
      <c r="EA127">
        <v>0</v>
      </c>
      <c r="EB127">
        <v>0</v>
      </c>
      <c r="EC127">
        <v>0</v>
      </c>
      <c r="ED127">
        <v>0</v>
      </c>
      <c r="EE127">
        <v>0</v>
      </c>
      <c r="EF127">
        <v>0</v>
      </c>
      <c r="EG127">
        <v>0</v>
      </c>
      <c r="EH127">
        <v>0</v>
      </c>
      <c r="EI127">
        <v>0</v>
      </c>
      <c r="EJ127">
        <v>0</v>
      </c>
      <c r="EK127">
        <v>0</v>
      </c>
      <c r="EL127">
        <v>0</v>
      </c>
      <c r="EM127">
        <v>0</v>
      </c>
      <c r="EN127">
        <v>0</v>
      </c>
      <c r="EO127">
        <v>0</v>
      </c>
      <c r="EP127">
        <v>0</v>
      </c>
      <c r="EQ127">
        <v>0</v>
      </c>
      <c r="ER127">
        <v>0</v>
      </c>
      <c r="ES127">
        <v>0</v>
      </c>
      <c r="ET127">
        <v>0</v>
      </c>
      <c r="EU127">
        <v>0</v>
      </c>
      <c r="EV127">
        <v>0</v>
      </c>
      <c r="EW127">
        <v>0</v>
      </c>
      <c r="EX127">
        <v>0</v>
      </c>
      <c r="EY127">
        <v>0</v>
      </c>
      <c r="EZ127">
        <v>0</v>
      </c>
      <c r="FA127">
        <v>0</v>
      </c>
      <c r="FB127">
        <v>0</v>
      </c>
      <c r="FC127">
        <v>0</v>
      </c>
      <c r="FD127">
        <v>0</v>
      </c>
      <c r="FE127">
        <v>0</v>
      </c>
      <c r="FF127">
        <v>0</v>
      </c>
      <c r="FG127">
        <v>0</v>
      </c>
      <c r="FH127">
        <v>0</v>
      </c>
      <c r="FI127">
        <v>0</v>
      </c>
      <c r="FJ127">
        <v>0</v>
      </c>
      <c r="FK127">
        <v>0</v>
      </c>
      <c r="FL127">
        <v>0</v>
      </c>
      <c r="FM127">
        <v>0</v>
      </c>
      <c r="FN127">
        <v>0</v>
      </c>
      <c r="FO127">
        <v>0</v>
      </c>
      <c r="FP127">
        <v>0</v>
      </c>
      <c r="FQ127">
        <v>0</v>
      </c>
      <c r="FR127">
        <v>0</v>
      </c>
      <c r="FS127">
        <v>0</v>
      </c>
      <c r="FT127">
        <v>0</v>
      </c>
      <c r="FU127">
        <v>0</v>
      </c>
      <c r="FV127">
        <v>0</v>
      </c>
      <c r="FW127">
        <v>0</v>
      </c>
      <c r="FX127">
        <v>0</v>
      </c>
      <c r="FY127">
        <v>0</v>
      </c>
      <c r="FZ127">
        <v>0</v>
      </c>
      <c r="GA127">
        <v>0</v>
      </c>
      <c r="GB127">
        <v>0</v>
      </c>
      <c r="GC127">
        <v>0</v>
      </c>
      <c r="GD127">
        <v>0</v>
      </c>
      <c r="GE127">
        <v>0</v>
      </c>
      <c r="GF127">
        <v>0</v>
      </c>
      <c r="GG127">
        <v>0</v>
      </c>
      <c r="GH127">
        <v>0</v>
      </c>
      <c r="GI127">
        <v>0</v>
      </c>
      <c r="GJ127">
        <v>0</v>
      </c>
      <c r="GK127">
        <v>0</v>
      </c>
      <c r="GL127">
        <v>0</v>
      </c>
      <c r="GM127">
        <v>0</v>
      </c>
      <c r="GN127">
        <v>0</v>
      </c>
      <c r="GO127">
        <v>0</v>
      </c>
      <c r="GP127">
        <v>0</v>
      </c>
      <c r="GQ127">
        <v>0</v>
      </c>
      <c r="GR127">
        <v>0</v>
      </c>
      <c r="GS127">
        <v>0</v>
      </c>
      <c r="GT127">
        <v>0</v>
      </c>
      <c r="GU127">
        <v>0</v>
      </c>
      <c r="GV127">
        <v>0</v>
      </c>
      <c r="GW127">
        <v>0</v>
      </c>
      <c r="GX127">
        <v>0</v>
      </c>
      <c r="GY127">
        <v>0</v>
      </c>
      <c r="GZ127">
        <v>0</v>
      </c>
      <c r="HA127">
        <v>0</v>
      </c>
      <c r="HB127">
        <v>0</v>
      </c>
      <c r="HC127">
        <v>0</v>
      </c>
      <c r="HD127">
        <v>0</v>
      </c>
      <c r="HE127">
        <v>0</v>
      </c>
      <c r="HF127">
        <v>0</v>
      </c>
      <c r="HG127">
        <v>0</v>
      </c>
      <c r="HH127">
        <v>0</v>
      </c>
      <c r="HI127">
        <v>0</v>
      </c>
      <c r="HJ127">
        <v>0</v>
      </c>
      <c r="HK127">
        <v>0</v>
      </c>
      <c r="HL127">
        <v>0</v>
      </c>
      <c r="HM127">
        <v>0</v>
      </c>
      <c r="HN127">
        <v>0</v>
      </c>
      <c r="HO127">
        <v>0</v>
      </c>
      <c r="HP127">
        <v>0</v>
      </c>
      <c r="HQ127">
        <v>0</v>
      </c>
      <c r="HR127">
        <v>0</v>
      </c>
      <c r="HS127">
        <v>0</v>
      </c>
      <c r="HT127">
        <v>0</v>
      </c>
      <c r="HU127">
        <v>0</v>
      </c>
      <c r="HV127">
        <v>0</v>
      </c>
      <c r="HW127">
        <v>0</v>
      </c>
      <c r="HX127">
        <v>0</v>
      </c>
      <c r="HY127">
        <v>0</v>
      </c>
      <c r="HZ127">
        <v>0</v>
      </c>
      <c r="IA127">
        <v>0</v>
      </c>
      <c r="IB127">
        <v>0</v>
      </c>
      <c r="IC127">
        <v>0</v>
      </c>
      <c r="ID127">
        <v>0</v>
      </c>
      <c r="IE127">
        <v>0</v>
      </c>
      <c r="IF127">
        <v>0</v>
      </c>
      <c r="IG127">
        <v>0</v>
      </c>
      <c r="IH127">
        <v>0</v>
      </c>
      <c r="II127">
        <v>0</v>
      </c>
      <c r="IJ127">
        <v>0</v>
      </c>
      <c r="IK127">
        <v>0</v>
      </c>
      <c r="IL127">
        <v>0</v>
      </c>
      <c r="IM127">
        <v>0</v>
      </c>
      <c r="IN127">
        <v>0</v>
      </c>
      <c r="IO127">
        <v>0</v>
      </c>
      <c r="IP127">
        <v>0</v>
      </c>
      <c r="IQ127">
        <v>0</v>
      </c>
      <c r="IR127">
        <v>0</v>
      </c>
      <c r="IS127">
        <v>0</v>
      </c>
      <c r="IT127">
        <v>0</v>
      </c>
      <c r="IU127">
        <v>0</v>
      </c>
      <c r="IV127">
        <v>0</v>
      </c>
      <c r="IW127">
        <v>0</v>
      </c>
      <c r="IX127">
        <v>0</v>
      </c>
      <c r="IY127">
        <v>0</v>
      </c>
      <c r="IZ127">
        <v>0</v>
      </c>
      <c r="JA127">
        <v>0</v>
      </c>
      <c r="JB127">
        <v>0</v>
      </c>
      <c r="JC127">
        <v>0</v>
      </c>
      <c r="JD127">
        <v>0</v>
      </c>
      <c r="JE127">
        <v>0</v>
      </c>
      <c r="JF127">
        <v>0</v>
      </c>
      <c r="JG127">
        <v>0</v>
      </c>
      <c r="JH127">
        <v>0</v>
      </c>
      <c r="JI127">
        <v>0</v>
      </c>
      <c r="JJ127">
        <v>0</v>
      </c>
      <c r="JK127">
        <v>0</v>
      </c>
      <c r="JL127">
        <v>0</v>
      </c>
      <c r="JM127">
        <v>0</v>
      </c>
      <c r="JN127">
        <v>0</v>
      </c>
      <c r="JO127">
        <v>0</v>
      </c>
      <c r="JP127">
        <v>0</v>
      </c>
      <c r="JQ127">
        <v>0</v>
      </c>
      <c r="JR127">
        <v>0</v>
      </c>
      <c r="JS127">
        <v>0</v>
      </c>
      <c r="JT127">
        <v>0</v>
      </c>
      <c r="JU127">
        <v>0</v>
      </c>
      <c r="JV127">
        <v>0</v>
      </c>
      <c r="JW127">
        <v>0</v>
      </c>
      <c r="JX127">
        <v>0</v>
      </c>
      <c r="JY127">
        <v>0</v>
      </c>
      <c r="JZ127">
        <v>0</v>
      </c>
      <c r="KA127">
        <v>0</v>
      </c>
      <c r="KB127">
        <v>0</v>
      </c>
      <c r="KC127">
        <v>0</v>
      </c>
      <c r="KD127">
        <v>0</v>
      </c>
      <c r="KE127">
        <v>0</v>
      </c>
      <c r="KF127">
        <v>0</v>
      </c>
      <c r="KG127">
        <v>0</v>
      </c>
      <c r="KH127">
        <v>0</v>
      </c>
      <c r="KI127">
        <v>0</v>
      </c>
      <c r="KJ127">
        <v>0</v>
      </c>
      <c r="KK127">
        <v>0</v>
      </c>
      <c r="KL127">
        <v>0</v>
      </c>
      <c r="KM127">
        <v>0</v>
      </c>
      <c r="KN127">
        <v>0</v>
      </c>
      <c r="KO127">
        <v>0</v>
      </c>
      <c r="KP127">
        <v>0</v>
      </c>
      <c r="KQ127">
        <v>0</v>
      </c>
      <c r="KR127">
        <v>0</v>
      </c>
      <c r="KS127">
        <v>0</v>
      </c>
      <c r="KT127">
        <v>0</v>
      </c>
      <c r="KU127">
        <v>0</v>
      </c>
      <c r="KV127">
        <v>0</v>
      </c>
      <c r="KW127">
        <v>0</v>
      </c>
      <c r="KX127">
        <v>0</v>
      </c>
      <c r="KY127">
        <v>0</v>
      </c>
      <c r="KZ127">
        <v>0</v>
      </c>
      <c r="LA127">
        <v>0</v>
      </c>
      <c r="LB127">
        <v>0</v>
      </c>
      <c r="LC127">
        <v>0</v>
      </c>
      <c r="LD127">
        <v>0</v>
      </c>
      <c r="LE127">
        <v>0</v>
      </c>
      <c r="LF127">
        <v>0</v>
      </c>
      <c r="LG127">
        <v>0</v>
      </c>
      <c r="LH127">
        <v>0</v>
      </c>
      <c r="LI127">
        <v>0</v>
      </c>
      <c r="LJ127">
        <v>0</v>
      </c>
      <c r="LK127">
        <v>0</v>
      </c>
      <c r="LL127">
        <v>0</v>
      </c>
      <c r="LM127">
        <v>0</v>
      </c>
      <c r="LN127">
        <v>0</v>
      </c>
      <c r="LO127">
        <v>0</v>
      </c>
      <c r="LP127">
        <v>0</v>
      </c>
      <c r="LQ127">
        <v>0</v>
      </c>
      <c r="LR127">
        <v>0</v>
      </c>
      <c r="LS127">
        <v>0</v>
      </c>
      <c r="LT127">
        <v>0</v>
      </c>
      <c r="LU127">
        <v>0</v>
      </c>
      <c r="LV127">
        <v>0</v>
      </c>
      <c r="LW127">
        <v>0</v>
      </c>
      <c r="LX127">
        <v>0</v>
      </c>
      <c r="LY127">
        <v>0</v>
      </c>
      <c r="LZ127">
        <v>0</v>
      </c>
      <c r="MA127">
        <v>0</v>
      </c>
      <c r="MB127">
        <v>0</v>
      </c>
      <c r="MC127">
        <v>0</v>
      </c>
      <c r="MD127">
        <v>0</v>
      </c>
      <c r="ME127">
        <v>0</v>
      </c>
      <c r="MF127">
        <v>0</v>
      </c>
      <c r="MG127">
        <v>0</v>
      </c>
      <c r="MH127">
        <v>0</v>
      </c>
      <c r="MI127">
        <v>0</v>
      </c>
      <c r="MJ127">
        <v>0</v>
      </c>
      <c r="MK127">
        <v>0</v>
      </c>
      <c r="ML127">
        <v>0</v>
      </c>
      <c r="MM127">
        <v>0</v>
      </c>
      <c r="MN127">
        <v>0</v>
      </c>
      <c r="MO127">
        <v>0</v>
      </c>
      <c r="MP127">
        <v>0</v>
      </c>
      <c r="MQ127">
        <v>0</v>
      </c>
      <c r="MR127">
        <v>0</v>
      </c>
      <c r="MS127">
        <v>0</v>
      </c>
      <c r="MT127">
        <v>0</v>
      </c>
      <c r="MU127">
        <v>0</v>
      </c>
      <c r="MV127">
        <v>0</v>
      </c>
      <c r="MW127">
        <v>0</v>
      </c>
      <c r="MX127">
        <v>0</v>
      </c>
      <c r="MY127">
        <v>0</v>
      </c>
      <c r="MZ127">
        <v>0</v>
      </c>
      <c r="NA127">
        <v>0</v>
      </c>
      <c r="NB127">
        <v>0</v>
      </c>
      <c r="NC127">
        <v>0</v>
      </c>
      <c r="ND127">
        <v>0</v>
      </c>
      <c r="NE127">
        <v>0</v>
      </c>
    </row>
    <row r="128" spans="41:369" x14ac:dyDescent="0.45">
      <c r="AO128" t="str">
        <v>B149</v>
      </c>
      <c r="AP128" t="str">
        <v>MUHAMMED FARHAN PH</v>
      </c>
      <c r="AQ128" t="str">
        <v>DAHF</v>
      </c>
      <c r="AR128" t="str">
        <v>JUNIOR</v>
      </c>
      <c r="AS128">
        <v>4</v>
      </c>
      <c r="AT128">
        <v>22.5</v>
      </c>
      <c r="AU128">
        <v>0</v>
      </c>
      <c r="AV128">
        <v>22.5</v>
      </c>
      <c r="AW128">
        <v>22.5</v>
      </c>
      <c r="AX128">
        <v>71</v>
      </c>
      <c r="AY128" s="5">
        <v>71</v>
      </c>
      <c r="AZ128" t="str">
        <v>SN37</v>
      </c>
      <c r="BA128" t="str">
        <v>NEWS WRITING AND READING ENG</v>
      </c>
      <c r="BB128" t="str">
        <v>SENIOR</v>
      </c>
      <c r="BC128" t="str">
        <v>Single</v>
      </c>
      <c r="BD128" t="str">
        <v>Stage</v>
      </c>
      <c r="BE128">
        <v>3</v>
      </c>
      <c r="BF128" t="str">
        <v>Individual</v>
      </c>
      <c r="BG128" t="str">
        <v>Individual</v>
      </c>
      <c r="BH128" t="str">
        <v>P</v>
      </c>
      <c r="BI128" t="str">
        <v>PUBLISHED</v>
      </c>
      <c r="BK128">
        <v>122</v>
      </c>
      <c r="BL128" t="str">
        <v>SN33</v>
      </c>
      <c r="BM128" t="str">
        <v>HISTORY TALK ENG</v>
      </c>
      <c r="BN128">
        <v>2</v>
      </c>
      <c r="BO128" t="str">
        <v>Single</v>
      </c>
      <c r="BP128" t="str">
        <v>Stage</v>
      </c>
      <c r="BQ128" t="str">
        <v>SENIOR</v>
      </c>
      <c r="BR128" t="str">
        <v>C168</v>
      </c>
      <c r="BS128" t="str">
        <v>C155</v>
      </c>
      <c r="BT128">
        <v>0</v>
      </c>
      <c r="BU128">
        <v>0</v>
      </c>
      <c r="BV128">
        <v>0</v>
      </c>
      <c r="BW128">
        <v>0</v>
      </c>
      <c r="BX128">
        <v>0</v>
      </c>
      <c r="BY128" t="str">
        <v>C107</v>
      </c>
      <c r="BZ128" t="str">
        <v>C110</v>
      </c>
      <c r="CA128">
        <v>0</v>
      </c>
      <c r="CB128">
        <v>0</v>
      </c>
      <c r="CC128">
        <v>0</v>
      </c>
      <c r="CD128">
        <v>0</v>
      </c>
      <c r="CE128">
        <v>0</v>
      </c>
      <c r="CF128" t="str">
        <v>C114</v>
      </c>
      <c r="CG128" t="str">
        <v>C170</v>
      </c>
      <c r="CH128">
        <v>0</v>
      </c>
      <c r="CI128">
        <v>0</v>
      </c>
      <c r="CJ128">
        <v>0</v>
      </c>
      <c r="CK128">
        <v>0</v>
      </c>
      <c r="CL128">
        <v>0</v>
      </c>
      <c r="CM128" t="str">
        <v>C113</v>
      </c>
      <c r="CN128" t="str">
        <v>C135</v>
      </c>
      <c r="CO128">
        <v>0</v>
      </c>
      <c r="CP128">
        <v>0</v>
      </c>
      <c r="CQ128">
        <v>0</v>
      </c>
      <c r="CR128">
        <v>0</v>
      </c>
      <c r="CS128">
        <v>0</v>
      </c>
      <c r="CT128">
        <v>0</v>
      </c>
      <c r="CU128">
        <v>0</v>
      </c>
      <c r="CV128">
        <v>0</v>
      </c>
      <c r="CW128">
        <v>0</v>
      </c>
      <c r="CX128">
        <v>0</v>
      </c>
      <c r="CY128">
        <v>0</v>
      </c>
      <c r="CZ128">
        <v>0</v>
      </c>
      <c r="DA128">
        <v>0</v>
      </c>
      <c r="DB128">
        <v>0</v>
      </c>
      <c r="DC128">
        <v>0</v>
      </c>
      <c r="DD128">
        <v>0</v>
      </c>
      <c r="DE128">
        <v>0</v>
      </c>
      <c r="DF128">
        <v>0</v>
      </c>
      <c r="DG128">
        <v>0</v>
      </c>
      <c r="DH128">
        <v>0</v>
      </c>
      <c r="DI128">
        <v>0</v>
      </c>
      <c r="DJ128">
        <v>0</v>
      </c>
      <c r="DK128">
        <v>0</v>
      </c>
      <c r="DL128">
        <v>0</v>
      </c>
      <c r="DM128">
        <v>0</v>
      </c>
      <c r="DN128">
        <v>0</v>
      </c>
      <c r="DO128">
        <v>0</v>
      </c>
      <c r="DP128">
        <v>0</v>
      </c>
      <c r="DQ128">
        <v>0</v>
      </c>
      <c r="DR128">
        <v>0</v>
      </c>
      <c r="DS128">
        <v>0</v>
      </c>
      <c r="DT128">
        <v>0</v>
      </c>
      <c r="DU128">
        <v>0</v>
      </c>
      <c r="DV128">
        <v>0</v>
      </c>
      <c r="DW128">
        <v>0</v>
      </c>
      <c r="DX128">
        <v>0</v>
      </c>
      <c r="DY128">
        <v>0</v>
      </c>
      <c r="DZ128">
        <v>0</v>
      </c>
      <c r="EA128">
        <v>0</v>
      </c>
      <c r="EB128">
        <v>0</v>
      </c>
      <c r="EC128">
        <v>0</v>
      </c>
      <c r="ED128">
        <v>0</v>
      </c>
      <c r="EE128">
        <v>0</v>
      </c>
      <c r="EF128">
        <v>0</v>
      </c>
      <c r="EG128">
        <v>0</v>
      </c>
      <c r="EH128">
        <v>0</v>
      </c>
      <c r="EI128">
        <v>0</v>
      </c>
      <c r="EJ128">
        <v>0</v>
      </c>
      <c r="EK128">
        <v>0</v>
      </c>
      <c r="EL128">
        <v>0</v>
      </c>
      <c r="EM128">
        <v>0</v>
      </c>
      <c r="EN128">
        <v>0</v>
      </c>
      <c r="EO128">
        <v>0</v>
      </c>
      <c r="EP128">
        <v>0</v>
      </c>
      <c r="EQ128">
        <v>0</v>
      </c>
      <c r="ER128">
        <v>0</v>
      </c>
      <c r="ES128">
        <v>0</v>
      </c>
      <c r="ET128">
        <v>0</v>
      </c>
      <c r="EU128">
        <v>0</v>
      </c>
      <c r="EV128">
        <v>0</v>
      </c>
      <c r="EW128">
        <v>0</v>
      </c>
      <c r="EX128">
        <v>0</v>
      </c>
      <c r="EY128">
        <v>0</v>
      </c>
      <c r="EZ128">
        <v>0</v>
      </c>
      <c r="FA128">
        <v>0</v>
      </c>
      <c r="FB128">
        <v>0</v>
      </c>
      <c r="FC128">
        <v>0</v>
      </c>
      <c r="FD128">
        <v>0</v>
      </c>
      <c r="FE128">
        <v>0</v>
      </c>
      <c r="FF128">
        <v>0</v>
      </c>
      <c r="FG128">
        <v>0</v>
      </c>
      <c r="FH128">
        <v>0</v>
      </c>
      <c r="FI128">
        <v>0</v>
      </c>
      <c r="FJ128">
        <v>0</v>
      </c>
      <c r="FK128">
        <v>0</v>
      </c>
      <c r="FL128">
        <v>0</v>
      </c>
      <c r="FM128">
        <v>0</v>
      </c>
      <c r="FN128">
        <v>0</v>
      </c>
      <c r="FO128">
        <v>0</v>
      </c>
      <c r="FP128">
        <v>0</v>
      </c>
      <c r="FQ128">
        <v>0</v>
      </c>
      <c r="FR128">
        <v>0</v>
      </c>
      <c r="FS128">
        <v>0</v>
      </c>
      <c r="FT128">
        <v>0</v>
      </c>
      <c r="FU128">
        <v>0</v>
      </c>
      <c r="FV128">
        <v>0</v>
      </c>
      <c r="FW128">
        <v>0</v>
      </c>
      <c r="FX128">
        <v>0</v>
      </c>
      <c r="FY128">
        <v>0</v>
      </c>
      <c r="FZ128">
        <v>0</v>
      </c>
      <c r="GA128">
        <v>0</v>
      </c>
      <c r="GB128">
        <v>0</v>
      </c>
      <c r="GC128">
        <v>0</v>
      </c>
      <c r="GD128">
        <v>0</v>
      </c>
      <c r="GE128">
        <v>0</v>
      </c>
      <c r="GF128">
        <v>0</v>
      </c>
      <c r="GG128">
        <v>0</v>
      </c>
      <c r="GH128">
        <v>0</v>
      </c>
      <c r="GI128">
        <v>0</v>
      </c>
      <c r="GJ128">
        <v>0</v>
      </c>
      <c r="GK128">
        <v>0</v>
      </c>
      <c r="GL128">
        <v>0</v>
      </c>
      <c r="GM128">
        <v>0</v>
      </c>
      <c r="GN128">
        <v>0</v>
      </c>
      <c r="GO128">
        <v>0</v>
      </c>
      <c r="GP128">
        <v>0</v>
      </c>
      <c r="GQ128">
        <v>0</v>
      </c>
      <c r="GR128">
        <v>0</v>
      </c>
      <c r="GS128">
        <v>0</v>
      </c>
      <c r="GT128">
        <v>0</v>
      </c>
      <c r="GU128">
        <v>0</v>
      </c>
      <c r="GV128">
        <v>0</v>
      </c>
      <c r="GW128">
        <v>0</v>
      </c>
      <c r="GX128">
        <v>0</v>
      </c>
      <c r="GY128">
        <v>0</v>
      </c>
      <c r="GZ128">
        <v>0</v>
      </c>
      <c r="HA128">
        <v>0</v>
      </c>
      <c r="HB128">
        <v>0</v>
      </c>
      <c r="HC128">
        <v>0</v>
      </c>
      <c r="HD128">
        <v>0</v>
      </c>
      <c r="HE128">
        <v>0</v>
      </c>
      <c r="HF128">
        <v>0</v>
      </c>
      <c r="HG128">
        <v>0</v>
      </c>
      <c r="HH128">
        <v>0</v>
      </c>
      <c r="HI128">
        <v>0</v>
      </c>
      <c r="HJ128">
        <v>0</v>
      </c>
      <c r="HK128">
        <v>0</v>
      </c>
      <c r="HL128">
        <v>0</v>
      </c>
      <c r="HM128">
        <v>0</v>
      </c>
      <c r="HN128">
        <v>0</v>
      </c>
      <c r="HO128">
        <v>0</v>
      </c>
      <c r="HP128">
        <v>0</v>
      </c>
      <c r="HQ128">
        <v>0</v>
      </c>
      <c r="HR128">
        <v>0</v>
      </c>
      <c r="HS128">
        <v>0</v>
      </c>
      <c r="HT128">
        <v>0</v>
      </c>
      <c r="HU128">
        <v>0</v>
      </c>
      <c r="HV128">
        <v>0</v>
      </c>
      <c r="HW128">
        <v>0</v>
      </c>
      <c r="HX128">
        <v>0</v>
      </c>
      <c r="HY128">
        <v>0</v>
      </c>
      <c r="HZ128">
        <v>0</v>
      </c>
      <c r="IA128">
        <v>0</v>
      </c>
      <c r="IB128">
        <v>0</v>
      </c>
      <c r="IC128">
        <v>0</v>
      </c>
      <c r="ID128">
        <v>0</v>
      </c>
      <c r="IE128">
        <v>0</v>
      </c>
      <c r="IF128">
        <v>0</v>
      </c>
      <c r="IG128">
        <v>0</v>
      </c>
      <c r="IH128">
        <v>0</v>
      </c>
      <c r="II128">
        <v>0</v>
      </c>
      <c r="IJ128">
        <v>0</v>
      </c>
      <c r="IK128">
        <v>0</v>
      </c>
      <c r="IL128">
        <v>0</v>
      </c>
      <c r="IM128">
        <v>0</v>
      </c>
      <c r="IN128">
        <v>0</v>
      </c>
      <c r="IO128">
        <v>0</v>
      </c>
      <c r="IP128">
        <v>0</v>
      </c>
      <c r="IQ128">
        <v>0</v>
      </c>
      <c r="IR128">
        <v>0</v>
      </c>
      <c r="IS128">
        <v>0</v>
      </c>
      <c r="IT128">
        <v>0</v>
      </c>
      <c r="IU128">
        <v>0</v>
      </c>
      <c r="IV128">
        <v>0</v>
      </c>
      <c r="IW128">
        <v>0</v>
      </c>
      <c r="IX128">
        <v>0</v>
      </c>
      <c r="IY128">
        <v>0</v>
      </c>
      <c r="IZ128">
        <v>0</v>
      </c>
      <c r="JA128">
        <v>0</v>
      </c>
      <c r="JB128">
        <v>0</v>
      </c>
      <c r="JC128">
        <v>0</v>
      </c>
      <c r="JD128">
        <v>0</v>
      </c>
      <c r="JE128">
        <v>0</v>
      </c>
      <c r="JF128">
        <v>0</v>
      </c>
      <c r="JG128">
        <v>0</v>
      </c>
      <c r="JH128">
        <v>0</v>
      </c>
      <c r="JI128">
        <v>0</v>
      </c>
      <c r="JJ128">
        <v>0</v>
      </c>
      <c r="JK128">
        <v>0</v>
      </c>
      <c r="JL128">
        <v>0</v>
      </c>
      <c r="JM128">
        <v>0</v>
      </c>
      <c r="JN128">
        <v>0</v>
      </c>
      <c r="JO128">
        <v>0</v>
      </c>
      <c r="JP128">
        <v>0</v>
      </c>
      <c r="JQ128">
        <v>0</v>
      </c>
      <c r="JR128">
        <v>0</v>
      </c>
      <c r="JS128">
        <v>0</v>
      </c>
      <c r="JT128">
        <v>0</v>
      </c>
      <c r="JU128">
        <v>0</v>
      </c>
      <c r="JV128">
        <v>0</v>
      </c>
      <c r="JW128">
        <v>0</v>
      </c>
      <c r="JX128">
        <v>0</v>
      </c>
      <c r="JY128">
        <v>0</v>
      </c>
      <c r="JZ128">
        <v>0</v>
      </c>
      <c r="KA128">
        <v>0</v>
      </c>
      <c r="KB128">
        <v>0</v>
      </c>
      <c r="KC128">
        <v>0</v>
      </c>
      <c r="KD128">
        <v>0</v>
      </c>
      <c r="KE128">
        <v>0</v>
      </c>
      <c r="KF128">
        <v>0</v>
      </c>
      <c r="KG128">
        <v>0</v>
      </c>
      <c r="KH128">
        <v>0</v>
      </c>
      <c r="KI128">
        <v>0</v>
      </c>
      <c r="KJ128">
        <v>0</v>
      </c>
      <c r="KK128">
        <v>0</v>
      </c>
      <c r="KL128">
        <v>0</v>
      </c>
      <c r="KM128">
        <v>0</v>
      </c>
      <c r="KN128">
        <v>0</v>
      </c>
      <c r="KO128">
        <v>0</v>
      </c>
      <c r="KP128">
        <v>0</v>
      </c>
      <c r="KQ128">
        <v>0</v>
      </c>
      <c r="KR128">
        <v>0</v>
      </c>
      <c r="KS128">
        <v>0</v>
      </c>
      <c r="KT128">
        <v>0</v>
      </c>
      <c r="KU128">
        <v>0</v>
      </c>
      <c r="KV128">
        <v>0</v>
      </c>
      <c r="KW128">
        <v>0</v>
      </c>
      <c r="KX128">
        <v>0</v>
      </c>
      <c r="KY128">
        <v>0</v>
      </c>
      <c r="KZ128">
        <v>0</v>
      </c>
      <c r="LA128">
        <v>0</v>
      </c>
      <c r="LB128">
        <v>0</v>
      </c>
      <c r="LC128">
        <v>0</v>
      </c>
      <c r="LD128">
        <v>0</v>
      </c>
      <c r="LE128">
        <v>0</v>
      </c>
      <c r="LF128">
        <v>0</v>
      </c>
      <c r="LG128">
        <v>0</v>
      </c>
      <c r="LH128">
        <v>0</v>
      </c>
      <c r="LI128">
        <v>0</v>
      </c>
      <c r="LJ128">
        <v>0</v>
      </c>
      <c r="LK128">
        <v>0</v>
      </c>
      <c r="LL128">
        <v>0</v>
      </c>
      <c r="LM128">
        <v>0</v>
      </c>
      <c r="LN128">
        <v>0</v>
      </c>
      <c r="LO128">
        <v>0</v>
      </c>
      <c r="LP128">
        <v>0</v>
      </c>
      <c r="LQ128">
        <v>0</v>
      </c>
      <c r="LR128">
        <v>0</v>
      </c>
      <c r="LS128">
        <v>0</v>
      </c>
      <c r="LT128">
        <v>0</v>
      </c>
      <c r="LU128">
        <v>0</v>
      </c>
      <c r="LV128">
        <v>0</v>
      </c>
      <c r="LW128">
        <v>0</v>
      </c>
      <c r="LX128">
        <v>0</v>
      </c>
      <c r="LY128">
        <v>0</v>
      </c>
      <c r="LZ128">
        <v>0</v>
      </c>
      <c r="MA128">
        <v>0</v>
      </c>
      <c r="MB128">
        <v>0</v>
      </c>
      <c r="MC128">
        <v>0</v>
      </c>
      <c r="MD128">
        <v>0</v>
      </c>
      <c r="ME128">
        <v>0</v>
      </c>
      <c r="MF128">
        <v>0</v>
      </c>
      <c r="MG128">
        <v>0</v>
      </c>
      <c r="MH128">
        <v>0</v>
      </c>
      <c r="MI128">
        <v>0</v>
      </c>
      <c r="MJ128">
        <v>0</v>
      </c>
      <c r="MK128">
        <v>0</v>
      </c>
      <c r="ML128">
        <v>0</v>
      </c>
      <c r="MM128">
        <v>0</v>
      </c>
      <c r="MN128">
        <v>0</v>
      </c>
      <c r="MO128">
        <v>0</v>
      </c>
      <c r="MP128">
        <v>0</v>
      </c>
      <c r="MQ128">
        <v>0</v>
      </c>
      <c r="MR128">
        <v>0</v>
      </c>
      <c r="MS128">
        <v>0</v>
      </c>
      <c r="MT128">
        <v>0</v>
      </c>
      <c r="MU128">
        <v>0</v>
      </c>
      <c r="MV128">
        <v>0</v>
      </c>
      <c r="MW128">
        <v>0</v>
      </c>
      <c r="MX128">
        <v>0</v>
      </c>
      <c r="MY128">
        <v>0</v>
      </c>
      <c r="MZ128">
        <v>0</v>
      </c>
      <c r="NA128">
        <v>0</v>
      </c>
      <c r="NB128">
        <v>0</v>
      </c>
      <c r="NC128">
        <v>0</v>
      </c>
      <c r="ND128">
        <v>0</v>
      </c>
      <c r="NE128">
        <v>0</v>
      </c>
    </row>
    <row r="129" spans="41:369" x14ac:dyDescent="0.45">
      <c r="AO129" t="str">
        <v>B150</v>
      </c>
      <c r="AP129" t="str">
        <v>ABDULLA FAHAD T.U</v>
      </c>
      <c r="AQ129" t="str">
        <v>FANT</v>
      </c>
      <c r="AR129" t="str">
        <v>JUNIOR</v>
      </c>
      <c r="AS129">
        <v>4</v>
      </c>
      <c r="AT129">
        <v>3</v>
      </c>
      <c r="AU129">
        <v>0</v>
      </c>
      <c r="AV129">
        <v>3</v>
      </c>
      <c r="AW129">
        <v>3</v>
      </c>
      <c r="AX129">
        <v>209</v>
      </c>
      <c r="AY129" s="5">
        <v>209</v>
      </c>
      <c r="AZ129" t="str">
        <v>SN38</v>
      </c>
      <c r="BA129" t="str">
        <v>RAP SONG</v>
      </c>
      <c r="BB129" t="str">
        <v>SENIOR</v>
      </c>
      <c r="BC129" t="str">
        <v>Single</v>
      </c>
      <c r="BD129" t="str">
        <v>Stage</v>
      </c>
      <c r="BE129">
        <v>3</v>
      </c>
      <c r="BF129" t="str">
        <v>Individual</v>
      </c>
      <c r="BG129" t="str">
        <v>Individual</v>
      </c>
      <c r="BH129" t="str">
        <v>P</v>
      </c>
      <c r="BI129" t="str">
        <v>PUBLISHED</v>
      </c>
      <c r="BK129">
        <v>123</v>
      </c>
      <c r="BL129" t="str">
        <v>SN34</v>
      </c>
      <c r="BM129" t="str">
        <v>KAVIYARANG</v>
      </c>
      <c r="BN129">
        <v>2</v>
      </c>
      <c r="BO129" t="str">
        <v>Single</v>
      </c>
      <c r="BP129" t="str">
        <v>Stage</v>
      </c>
      <c r="BQ129" t="str">
        <v>SENIOR</v>
      </c>
      <c r="BR129" t="str">
        <v>C173</v>
      </c>
      <c r="BS129" t="str">
        <v>C176</v>
      </c>
      <c r="BT129">
        <v>0</v>
      </c>
      <c r="BU129">
        <v>0</v>
      </c>
      <c r="BV129">
        <v>0</v>
      </c>
      <c r="BW129">
        <v>0</v>
      </c>
      <c r="BX129">
        <v>0</v>
      </c>
      <c r="BY129" t="str">
        <v>C153</v>
      </c>
      <c r="BZ129" t="str">
        <v>C161</v>
      </c>
      <c r="CA129">
        <v>0</v>
      </c>
      <c r="CB129">
        <v>0</v>
      </c>
      <c r="CC129">
        <v>0</v>
      </c>
      <c r="CD129">
        <v>0</v>
      </c>
      <c r="CE129">
        <v>0</v>
      </c>
      <c r="CF129" t="str">
        <v>C109</v>
      </c>
      <c r="CG129" t="str">
        <v>C171</v>
      </c>
      <c r="CH129">
        <v>0</v>
      </c>
      <c r="CI129">
        <v>0</v>
      </c>
      <c r="CJ129">
        <v>0</v>
      </c>
      <c r="CK129">
        <v>0</v>
      </c>
      <c r="CL129">
        <v>0</v>
      </c>
      <c r="CM129" t="str">
        <v>C121</v>
      </c>
      <c r="CN129" t="str">
        <v>C152</v>
      </c>
      <c r="CO129">
        <v>0</v>
      </c>
      <c r="CP129">
        <v>0</v>
      </c>
      <c r="CQ129">
        <v>0</v>
      </c>
      <c r="CR129">
        <v>0</v>
      </c>
      <c r="CS129">
        <v>0</v>
      </c>
      <c r="CT129">
        <v>0</v>
      </c>
      <c r="CU129">
        <v>0</v>
      </c>
      <c r="CV129">
        <v>0</v>
      </c>
      <c r="CW129">
        <v>0</v>
      </c>
      <c r="CX129">
        <v>0</v>
      </c>
      <c r="CY129">
        <v>0</v>
      </c>
      <c r="CZ129">
        <v>0</v>
      </c>
      <c r="DA129">
        <v>0</v>
      </c>
      <c r="DB129">
        <v>0</v>
      </c>
      <c r="DC129">
        <v>0</v>
      </c>
      <c r="DD129">
        <v>0</v>
      </c>
      <c r="DE129">
        <v>0</v>
      </c>
      <c r="DF129">
        <v>0</v>
      </c>
      <c r="DG129">
        <v>0</v>
      </c>
      <c r="DH129">
        <v>0</v>
      </c>
      <c r="DI129">
        <v>0</v>
      </c>
      <c r="DJ129">
        <v>0</v>
      </c>
      <c r="DK129">
        <v>0</v>
      </c>
      <c r="DL129">
        <v>0</v>
      </c>
      <c r="DM129">
        <v>0</v>
      </c>
      <c r="DN129">
        <v>0</v>
      </c>
      <c r="DO129">
        <v>0</v>
      </c>
      <c r="DP129">
        <v>0</v>
      </c>
      <c r="DQ129">
        <v>0</v>
      </c>
      <c r="DR129">
        <v>0</v>
      </c>
      <c r="DS129">
        <v>0</v>
      </c>
      <c r="DT129">
        <v>0</v>
      </c>
      <c r="DU129">
        <v>0</v>
      </c>
      <c r="DV129">
        <v>0</v>
      </c>
      <c r="DW129">
        <v>0</v>
      </c>
      <c r="DX129">
        <v>0</v>
      </c>
      <c r="DY129">
        <v>0</v>
      </c>
      <c r="DZ129">
        <v>0</v>
      </c>
      <c r="EA129">
        <v>0</v>
      </c>
      <c r="EB129">
        <v>0</v>
      </c>
      <c r="EC129">
        <v>0</v>
      </c>
      <c r="ED129">
        <v>0</v>
      </c>
      <c r="EE129">
        <v>0</v>
      </c>
      <c r="EF129">
        <v>0</v>
      </c>
      <c r="EG129">
        <v>0</v>
      </c>
      <c r="EH129">
        <v>0</v>
      </c>
      <c r="EI129">
        <v>0</v>
      </c>
      <c r="EJ129">
        <v>0</v>
      </c>
      <c r="EK129">
        <v>0</v>
      </c>
      <c r="EL129">
        <v>0</v>
      </c>
      <c r="EM129">
        <v>0</v>
      </c>
      <c r="EN129">
        <v>0</v>
      </c>
      <c r="EO129">
        <v>0</v>
      </c>
      <c r="EP129">
        <v>0</v>
      </c>
      <c r="EQ129">
        <v>0</v>
      </c>
      <c r="ER129">
        <v>0</v>
      </c>
      <c r="ES129">
        <v>0</v>
      </c>
      <c r="ET129">
        <v>0</v>
      </c>
      <c r="EU129">
        <v>0</v>
      </c>
      <c r="EV129">
        <v>0</v>
      </c>
      <c r="EW129">
        <v>0</v>
      </c>
      <c r="EX129">
        <v>0</v>
      </c>
      <c r="EY129">
        <v>0</v>
      </c>
      <c r="EZ129">
        <v>0</v>
      </c>
      <c r="FA129">
        <v>0</v>
      </c>
      <c r="FB129">
        <v>0</v>
      </c>
      <c r="FC129">
        <v>0</v>
      </c>
      <c r="FD129">
        <v>0</v>
      </c>
      <c r="FE129">
        <v>0</v>
      </c>
      <c r="FF129">
        <v>0</v>
      </c>
      <c r="FG129">
        <v>0</v>
      </c>
      <c r="FH129">
        <v>0</v>
      </c>
      <c r="FI129">
        <v>0</v>
      </c>
      <c r="FJ129">
        <v>0</v>
      </c>
      <c r="FK129">
        <v>0</v>
      </c>
      <c r="FL129">
        <v>0</v>
      </c>
      <c r="FM129">
        <v>0</v>
      </c>
      <c r="FN129">
        <v>0</v>
      </c>
      <c r="FO129">
        <v>0</v>
      </c>
      <c r="FP129">
        <v>0</v>
      </c>
      <c r="FQ129">
        <v>0</v>
      </c>
      <c r="FR129">
        <v>0</v>
      </c>
      <c r="FS129">
        <v>0</v>
      </c>
      <c r="FT129">
        <v>0</v>
      </c>
      <c r="FU129">
        <v>0</v>
      </c>
      <c r="FV129">
        <v>0</v>
      </c>
      <c r="FW129">
        <v>0</v>
      </c>
      <c r="FX129">
        <v>0</v>
      </c>
      <c r="FY129">
        <v>0</v>
      </c>
      <c r="FZ129">
        <v>0</v>
      </c>
      <c r="GA129">
        <v>0</v>
      </c>
      <c r="GB129">
        <v>0</v>
      </c>
      <c r="GC129">
        <v>0</v>
      </c>
      <c r="GD129">
        <v>0</v>
      </c>
      <c r="GE129">
        <v>0</v>
      </c>
      <c r="GF129">
        <v>0</v>
      </c>
      <c r="GG129">
        <v>0</v>
      </c>
      <c r="GH129">
        <v>0</v>
      </c>
      <c r="GI129">
        <v>0</v>
      </c>
      <c r="GJ129">
        <v>0</v>
      </c>
      <c r="GK129">
        <v>0</v>
      </c>
      <c r="GL129">
        <v>0</v>
      </c>
      <c r="GM129">
        <v>0</v>
      </c>
      <c r="GN129">
        <v>0</v>
      </c>
      <c r="GO129">
        <v>0</v>
      </c>
      <c r="GP129">
        <v>0</v>
      </c>
      <c r="GQ129">
        <v>0</v>
      </c>
      <c r="GR129">
        <v>0</v>
      </c>
      <c r="GS129">
        <v>0</v>
      </c>
      <c r="GT129">
        <v>0</v>
      </c>
      <c r="GU129">
        <v>0</v>
      </c>
      <c r="GV129">
        <v>0</v>
      </c>
      <c r="GW129">
        <v>0</v>
      </c>
      <c r="GX129">
        <v>0</v>
      </c>
      <c r="GY129">
        <v>0</v>
      </c>
      <c r="GZ129">
        <v>0</v>
      </c>
      <c r="HA129">
        <v>0</v>
      </c>
      <c r="HB129">
        <v>0</v>
      </c>
      <c r="HC129">
        <v>0</v>
      </c>
      <c r="HD129">
        <v>0</v>
      </c>
      <c r="HE129">
        <v>0</v>
      </c>
      <c r="HF129">
        <v>0</v>
      </c>
      <c r="HG129">
        <v>0</v>
      </c>
      <c r="HH129">
        <v>0</v>
      </c>
      <c r="HI129">
        <v>0</v>
      </c>
      <c r="HJ129">
        <v>0</v>
      </c>
      <c r="HK129">
        <v>0</v>
      </c>
      <c r="HL129">
        <v>0</v>
      </c>
      <c r="HM129">
        <v>0</v>
      </c>
      <c r="HN129">
        <v>0</v>
      </c>
      <c r="HO129">
        <v>0</v>
      </c>
      <c r="HP129">
        <v>0</v>
      </c>
      <c r="HQ129">
        <v>0</v>
      </c>
      <c r="HR129">
        <v>0</v>
      </c>
      <c r="HS129">
        <v>0</v>
      </c>
      <c r="HT129">
        <v>0</v>
      </c>
      <c r="HU129">
        <v>0</v>
      </c>
      <c r="HV129">
        <v>0</v>
      </c>
      <c r="HW129">
        <v>0</v>
      </c>
      <c r="HX129">
        <v>0</v>
      </c>
      <c r="HY129">
        <v>0</v>
      </c>
      <c r="HZ129">
        <v>0</v>
      </c>
      <c r="IA129">
        <v>0</v>
      </c>
      <c r="IB129">
        <v>0</v>
      </c>
      <c r="IC129">
        <v>0</v>
      </c>
      <c r="ID129">
        <v>0</v>
      </c>
      <c r="IE129">
        <v>0</v>
      </c>
      <c r="IF129">
        <v>0</v>
      </c>
      <c r="IG129">
        <v>0</v>
      </c>
      <c r="IH129">
        <v>0</v>
      </c>
      <c r="II129">
        <v>0</v>
      </c>
      <c r="IJ129">
        <v>0</v>
      </c>
      <c r="IK129">
        <v>0</v>
      </c>
      <c r="IL129">
        <v>0</v>
      </c>
      <c r="IM129">
        <v>0</v>
      </c>
      <c r="IN129">
        <v>0</v>
      </c>
      <c r="IO129">
        <v>0</v>
      </c>
      <c r="IP129">
        <v>0</v>
      </c>
      <c r="IQ129">
        <v>0</v>
      </c>
      <c r="IR129">
        <v>0</v>
      </c>
      <c r="IS129">
        <v>0</v>
      </c>
      <c r="IT129">
        <v>0</v>
      </c>
      <c r="IU129">
        <v>0</v>
      </c>
      <c r="IV129">
        <v>0</v>
      </c>
      <c r="IW129">
        <v>0</v>
      </c>
      <c r="IX129">
        <v>0</v>
      </c>
      <c r="IY129">
        <v>0</v>
      </c>
      <c r="IZ129">
        <v>0</v>
      </c>
      <c r="JA129">
        <v>0</v>
      </c>
      <c r="JB129">
        <v>0</v>
      </c>
      <c r="JC129">
        <v>0</v>
      </c>
      <c r="JD129">
        <v>0</v>
      </c>
      <c r="JE129">
        <v>0</v>
      </c>
      <c r="JF129">
        <v>0</v>
      </c>
      <c r="JG129">
        <v>0</v>
      </c>
      <c r="JH129">
        <v>0</v>
      </c>
      <c r="JI129">
        <v>0</v>
      </c>
      <c r="JJ129">
        <v>0</v>
      </c>
      <c r="JK129">
        <v>0</v>
      </c>
      <c r="JL129">
        <v>0</v>
      </c>
      <c r="JM129">
        <v>0</v>
      </c>
      <c r="JN129">
        <v>0</v>
      </c>
      <c r="JO129">
        <v>0</v>
      </c>
      <c r="JP129">
        <v>0</v>
      </c>
      <c r="JQ129">
        <v>0</v>
      </c>
      <c r="JR129">
        <v>0</v>
      </c>
      <c r="JS129">
        <v>0</v>
      </c>
      <c r="JT129">
        <v>0</v>
      </c>
      <c r="JU129">
        <v>0</v>
      </c>
      <c r="JV129">
        <v>0</v>
      </c>
      <c r="JW129">
        <v>0</v>
      </c>
      <c r="JX129">
        <v>0</v>
      </c>
      <c r="JY129">
        <v>0</v>
      </c>
      <c r="JZ129">
        <v>0</v>
      </c>
      <c r="KA129">
        <v>0</v>
      </c>
      <c r="KB129">
        <v>0</v>
      </c>
      <c r="KC129">
        <v>0</v>
      </c>
      <c r="KD129">
        <v>0</v>
      </c>
      <c r="KE129">
        <v>0</v>
      </c>
      <c r="KF129">
        <v>0</v>
      </c>
      <c r="KG129">
        <v>0</v>
      </c>
      <c r="KH129">
        <v>0</v>
      </c>
      <c r="KI129">
        <v>0</v>
      </c>
      <c r="KJ129">
        <v>0</v>
      </c>
      <c r="KK129">
        <v>0</v>
      </c>
      <c r="KL129">
        <v>0</v>
      </c>
      <c r="KM129">
        <v>0</v>
      </c>
      <c r="KN129">
        <v>0</v>
      </c>
      <c r="KO129">
        <v>0</v>
      </c>
      <c r="KP129">
        <v>0</v>
      </c>
      <c r="KQ129">
        <v>0</v>
      </c>
      <c r="KR129">
        <v>0</v>
      </c>
      <c r="KS129">
        <v>0</v>
      </c>
      <c r="KT129">
        <v>0</v>
      </c>
      <c r="KU129">
        <v>0</v>
      </c>
      <c r="KV129">
        <v>0</v>
      </c>
      <c r="KW129">
        <v>0</v>
      </c>
      <c r="KX129">
        <v>0</v>
      </c>
      <c r="KY129">
        <v>0</v>
      </c>
      <c r="KZ129">
        <v>0</v>
      </c>
      <c r="LA129">
        <v>0</v>
      </c>
      <c r="LB129">
        <v>0</v>
      </c>
      <c r="LC129">
        <v>0</v>
      </c>
      <c r="LD129">
        <v>0</v>
      </c>
      <c r="LE129">
        <v>0</v>
      </c>
      <c r="LF129">
        <v>0</v>
      </c>
      <c r="LG129">
        <v>0</v>
      </c>
      <c r="LH129">
        <v>0</v>
      </c>
      <c r="LI129">
        <v>0</v>
      </c>
      <c r="LJ129">
        <v>0</v>
      </c>
      <c r="LK129">
        <v>0</v>
      </c>
      <c r="LL129">
        <v>0</v>
      </c>
      <c r="LM129">
        <v>0</v>
      </c>
      <c r="LN129">
        <v>0</v>
      </c>
      <c r="LO129">
        <v>0</v>
      </c>
      <c r="LP129">
        <v>0</v>
      </c>
      <c r="LQ129">
        <v>0</v>
      </c>
      <c r="LR129">
        <v>0</v>
      </c>
      <c r="LS129">
        <v>0</v>
      </c>
      <c r="LT129">
        <v>0</v>
      </c>
      <c r="LU129">
        <v>0</v>
      </c>
      <c r="LV129">
        <v>0</v>
      </c>
      <c r="LW129">
        <v>0</v>
      </c>
      <c r="LX129">
        <v>0</v>
      </c>
      <c r="LY129">
        <v>0</v>
      </c>
      <c r="LZ129">
        <v>0</v>
      </c>
      <c r="MA129">
        <v>0</v>
      </c>
      <c r="MB129">
        <v>0</v>
      </c>
      <c r="MC129">
        <v>0</v>
      </c>
      <c r="MD129">
        <v>0</v>
      </c>
      <c r="ME129">
        <v>0</v>
      </c>
      <c r="MF129">
        <v>0</v>
      </c>
      <c r="MG129">
        <v>0</v>
      </c>
      <c r="MH129">
        <v>0</v>
      </c>
      <c r="MI129">
        <v>0</v>
      </c>
      <c r="MJ129">
        <v>0</v>
      </c>
      <c r="MK129">
        <v>0</v>
      </c>
      <c r="ML129">
        <v>0</v>
      </c>
      <c r="MM129">
        <v>0</v>
      </c>
      <c r="MN129">
        <v>0</v>
      </c>
      <c r="MO129">
        <v>0</v>
      </c>
      <c r="MP129">
        <v>0</v>
      </c>
      <c r="MQ129">
        <v>0</v>
      </c>
      <c r="MR129">
        <v>0</v>
      </c>
      <c r="MS129">
        <v>0</v>
      </c>
      <c r="MT129">
        <v>0</v>
      </c>
      <c r="MU129">
        <v>0</v>
      </c>
      <c r="MV129">
        <v>0</v>
      </c>
      <c r="MW129">
        <v>0</v>
      </c>
      <c r="MX129">
        <v>0</v>
      </c>
      <c r="MY129">
        <v>0</v>
      </c>
      <c r="MZ129">
        <v>0</v>
      </c>
      <c r="NA129">
        <v>0</v>
      </c>
      <c r="NB129">
        <v>0</v>
      </c>
      <c r="NC129">
        <v>0</v>
      </c>
      <c r="ND129">
        <v>0</v>
      </c>
      <c r="NE129">
        <v>0</v>
      </c>
    </row>
    <row r="130" spans="41:369" x14ac:dyDescent="0.45">
      <c r="AO130" t="str">
        <v>B151</v>
      </c>
      <c r="AP130" t="str">
        <v>ABDUL GAFOOR</v>
      </c>
      <c r="AQ130" t="str">
        <v>BADF</v>
      </c>
      <c r="AR130" t="str">
        <v>JUNIOR</v>
      </c>
      <c r="AS130">
        <v>4</v>
      </c>
      <c r="AT130">
        <v>3</v>
      </c>
      <c r="AU130">
        <v>0</v>
      </c>
      <c r="AV130">
        <v>3</v>
      </c>
      <c r="AW130">
        <v>3</v>
      </c>
      <c r="AX130">
        <v>209</v>
      </c>
      <c r="AY130" s="5">
        <v>209</v>
      </c>
      <c r="AZ130" t="str">
        <v>SN39</v>
      </c>
      <c r="BA130" t="str">
        <v>REVERSE QUIZ</v>
      </c>
      <c r="BB130" t="str">
        <v>SENIOR</v>
      </c>
      <c r="BC130" t="str">
        <v>Single</v>
      </c>
      <c r="BD130" t="str">
        <v>Stage</v>
      </c>
      <c r="BE130">
        <v>2</v>
      </c>
      <c r="BF130" t="str">
        <v>Master</v>
      </c>
      <c r="BG130" t="str">
        <v>Master</v>
      </c>
      <c r="BH130" t="str">
        <v>P</v>
      </c>
      <c r="BI130" t="str">
        <v>PUBLISHED</v>
      </c>
      <c r="BK130">
        <v>124</v>
      </c>
      <c r="BL130" t="str">
        <v>SN35</v>
      </c>
      <c r="BM130" t="str">
        <v>MOTIVATIONAL SPEECH ENG</v>
      </c>
      <c r="BN130">
        <v>2</v>
      </c>
      <c r="BO130" t="str">
        <v>Single</v>
      </c>
      <c r="BP130" t="str">
        <v>Stage</v>
      </c>
      <c r="BQ130" t="str">
        <v>SENIOR</v>
      </c>
      <c r="BR130" t="str">
        <v>C155</v>
      </c>
      <c r="BS130" t="str">
        <v>C108</v>
      </c>
      <c r="BT130">
        <v>0</v>
      </c>
      <c r="BU130">
        <v>0</v>
      </c>
      <c r="BV130">
        <v>0</v>
      </c>
      <c r="BW130">
        <v>0</v>
      </c>
      <c r="BX130">
        <v>0</v>
      </c>
      <c r="BY130" t="str">
        <v>C107</v>
      </c>
      <c r="BZ130" t="str">
        <v>C158</v>
      </c>
      <c r="CA130">
        <v>0</v>
      </c>
      <c r="CB130">
        <v>0</v>
      </c>
      <c r="CC130">
        <v>0</v>
      </c>
      <c r="CD130">
        <v>0</v>
      </c>
      <c r="CE130">
        <v>0</v>
      </c>
      <c r="CF130" t="str">
        <v>C132</v>
      </c>
      <c r="CG130" t="str">
        <v>C170</v>
      </c>
      <c r="CH130">
        <v>0</v>
      </c>
      <c r="CI130">
        <v>0</v>
      </c>
      <c r="CJ130">
        <v>0</v>
      </c>
      <c r="CK130">
        <v>0</v>
      </c>
      <c r="CL130">
        <v>0</v>
      </c>
      <c r="CM130" t="str">
        <v>C135</v>
      </c>
      <c r="CN130" t="str">
        <v>C140</v>
      </c>
      <c r="CO130">
        <v>0</v>
      </c>
      <c r="CP130">
        <v>0</v>
      </c>
      <c r="CQ130">
        <v>0</v>
      </c>
      <c r="CR130">
        <v>0</v>
      </c>
      <c r="CS130">
        <v>0</v>
      </c>
      <c r="CT130">
        <v>0</v>
      </c>
      <c r="CU130">
        <v>0</v>
      </c>
      <c r="CV130">
        <v>0</v>
      </c>
      <c r="CW130">
        <v>0</v>
      </c>
      <c r="CX130">
        <v>0</v>
      </c>
      <c r="CY130">
        <v>0</v>
      </c>
      <c r="CZ130">
        <v>0</v>
      </c>
      <c r="DA130">
        <v>0</v>
      </c>
      <c r="DB130">
        <v>0</v>
      </c>
      <c r="DC130">
        <v>0</v>
      </c>
      <c r="DD130">
        <v>0</v>
      </c>
      <c r="DE130">
        <v>0</v>
      </c>
      <c r="DF130">
        <v>0</v>
      </c>
      <c r="DG130">
        <v>0</v>
      </c>
      <c r="DH130">
        <v>0</v>
      </c>
      <c r="DI130">
        <v>0</v>
      </c>
      <c r="DJ130">
        <v>0</v>
      </c>
      <c r="DK130">
        <v>0</v>
      </c>
      <c r="DL130">
        <v>0</v>
      </c>
      <c r="DM130">
        <v>0</v>
      </c>
      <c r="DN130">
        <v>0</v>
      </c>
      <c r="DO130">
        <v>0</v>
      </c>
      <c r="DP130">
        <v>0</v>
      </c>
      <c r="DQ130">
        <v>0</v>
      </c>
      <c r="DR130">
        <v>0</v>
      </c>
      <c r="DS130">
        <v>0</v>
      </c>
      <c r="DT130">
        <v>0</v>
      </c>
      <c r="DU130">
        <v>0</v>
      </c>
      <c r="DV130">
        <v>0</v>
      </c>
      <c r="DW130">
        <v>0</v>
      </c>
      <c r="DX130">
        <v>0</v>
      </c>
      <c r="DY130">
        <v>0</v>
      </c>
      <c r="DZ130">
        <v>0</v>
      </c>
      <c r="EA130">
        <v>0</v>
      </c>
      <c r="EB130">
        <v>0</v>
      </c>
      <c r="EC130">
        <v>0</v>
      </c>
      <c r="ED130">
        <v>0</v>
      </c>
      <c r="EE130">
        <v>0</v>
      </c>
      <c r="EF130">
        <v>0</v>
      </c>
      <c r="EG130">
        <v>0</v>
      </c>
      <c r="EH130">
        <v>0</v>
      </c>
      <c r="EI130">
        <v>0</v>
      </c>
      <c r="EJ130">
        <v>0</v>
      </c>
      <c r="EK130">
        <v>0</v>
      </c>
      <c r="EL130">
        <v>0</v>
      </c>
      <c r="EM130">
        <v>0</v>
      </c>
      <c r="EN130">
        <v>0</v>
      </c>
      <c r="EO130">
        <v>0</v>
      </c>
      <c r="EP130">
        <v>0</v>
      </c>
      <c r="EQ130">
        <v>0</v>
      </c>
      <c r="ER130">
        <v>0</v>
      </c>
      <c r="ES130">
        <v>0</v>
      </c>
      <c r="ET130">
        <v>0</v>
      </c>
      <c r="EU130">
        <v>0</v>
      </c>
      <c r="EV130">
        <v>0</v>
      </c>
      <c r="EW130">
        <v>0</v>
      </c>
      <c r="EX130">
        <v>0</v>
      </c>
      <c r="EY130">
        <v>0</v>
      </c>
      <c r="EZ130">
        <v>0</v>
      </c>
      <c r="FA130">
        <v>0</v>
      </c>
      <c r="FB130">
        <v>0</v>
      </c>
      <c r="FC130">
        <v>0</v>
      </c>
      <c r="FD130">
        <v>0</v>
      </c>
      <c r="FE130">
        <v>0</v>
      </c>
      <c r="FF130">
        <v>0</v>
      </c>
      <c r="FG130">
        <v>0</v>
      </c>
      <c r="FH130">
        <v>0</v>
      </c>
      <c r="FI130">
        <v>0</v>
      </c>
      <c r="FJ130">
        <v>0</v>
      </c>
      <c r="FK130">
        <v>0</v>
      </c>
      <c r="FL130">
        <v>0</v>
      </c>
      <c r="FM130">
        <v>0</v>
      </c>
      <c r="FN130">
        <v>0</v>
      </c>
      <c r="FO130">
        <v>0</v>
      </c>
      <c r="FP130">
        <v>0</v>
      </c>
      <c r="FQ130">
        <v>0</v>
      </c>
      <c r="FR130">
        <v>0</v>
      </c>
      <c r="FS130">
        <v>0</v>
      </c>
      <c r="FT130">
        <v>0</v>
      </c>
      <c r="FU130">
        <v>0</v>
      </c>
      <c r="FV130">
        <v>0</v>
      </c>
      <c r="FW130">
        <v>0</v>
      </c>
      <c r="FX130">
        <v>0</v>
      </c>
      <c r="FY130">
        <v>0</v>
      </c>
      <c r="FZ130">
        <v>0</v>
      </c>
      <c r="GA130">
        <v>0</v>
      </c>
      <c r="GB130">
        <v>0</v>
      </c>
      <c r="GC130">
        <v>0</v>
      </c>
      <c r="GD130">
        <v>0</v>
      </c>
      <c r="GE130">
        <v>0</v>
      </c>
      <c r="GF130">
        <v>0</v>
      </c>
      <c r="GG130">
        <v>0</v>
      </c>
      <c r="GH130">
        <v>0</v>
      </c>
      <c r="GI130">
        <v>0</v>
      </c>
      <c r="GJ130">
        <v>0</v>
      </c>
      <c r="GK130">
        <v>0</v>
      </c>
      <c r="GL130">
        <v>0</v>
      </c>
      <c r="GM130">
        <v>0</v>
      </c>
      <c r="GN130">
        <v>0</v>
      </c>
      <c r="GO130">
        <v>0</v>
      </c>
      <c r="GP130">
        <v>0</v>
      </c>
      <c r="GQ130">
        <v>0</v>
      </c>
      <c r="GR130">
        <v>0</v>
      </c>
      <c r="GS130">
        <v>0</v>
      </c>
      <c r="GT130">
        <v>0</v>
      </c>
      <c r="GU130">
        <v>0</v>
      </c>
      <c r="GV130">
        <v>0</v>
      </c>
      <c r="GW130">
        <v>0</v>
      </c>
      <c r="GX130">
        <v>0</v>
      </c>
      <c r="GY130">
        <v>0</v>
      </c>
      <c r="GZ130">
        <v>0</v>
      </c>
      <c r="HA130">
        <v>0</v>
      </c>
      <c r="HB130">
        <v>0</v>
      </c>
      <c r="HC130">
        <v>0</v>
      </c>
      <c r="HD130">
        <v>0</v>
      </c>
      <c r="HE130">
        <v>0</v>
      </c>
      <c r="HF130">
        <v>0</v>
      </c>
      <c r="HG130">
        <v>0</v>
      </c>
      <c r="HH130">
        <v>0</v>
      </c>
      <c r="HI130">
        <v>0</v>
      </c>
      <c r="HJ130">
        <v>0</v>
      </c>
      <c r="HK130">
        <v>0</v>
      </c>
      <c r="HL130">
        <v>0</v>
      </c>
      <c r="HM130">
        <v>0</v>
      </c>
      <c r="HN130">
        <v>0</v>
      </c>
      <c r="HO130">
        <v>0</v>
      </c>
      <c r="HP130">
        <v>0</v>
      </c>
      <c r="HQ130">
        <v>0</v>
      </c>
      <c r="HR130">
        <v>0</v>
      </c>
      <c r="HS130">
        <v>0</v>
      </c>
      <c r="HT130">
        <v>0</v>
      </c>
      <c r="HU130">
        <v>0</v>
      </c>
      <c r="HV130">
        <v>0</v>
      </c>
      <c r="HW130">
        <v>0</v>
      </c>
      <c r="HX130">
        <v>0</v>
      </c>
      <c r="HY130">
        <v>0</v>
      </c>
      <c r="HZ130">
        <v>0</v>
      </c>
      <c r="IA130">
        <v>0</v>
      </c>
      <c r="IB130">
        <v>0</v>
      </c>
      <c r="IC130">
        <v>0</v>
      </c>
      <c r="ID130">
        <v>0</v>
      </c>
      <c r="IE130">
        <v>0</v>
      </c>
      <c r="IF130">
        <v>0</v>
      </c>
      <c r="IG130">
        <v>0</v>
      </c>
      <c r="IH130">
        <v>0</v>
      </c>
      <c r="II130">
        <v>0</v>
      </c>
      <c r="IJ130">
        <v>0</v>
      </c>
      <c r="IK130">
        <v>0</v>
      </c>
      <c r="IL130">
        <v>0</v>
      </c>
      <c r="IM130">
        <v>0</v>
      </c>
      <c r="IN130">
        <v>0</v>
      </c>
      <c r="IO130">
        <v>0</v>
      </c>
      <c r="IP130">
        <v>0</v>
      </c>
      <c r="IQ130">
        <v>0</v>
      </c>
      <c r="IR130">
        <v>0</v>
      </c>
      <c r="IS130">
        <v>0</v>
      </c>
      <c r="IT130">
        <v>0</v>
      </c>
      <c r="IU130">
        <v>0</v>
      </c>
      <c r="IV130">
        <v>0</v>
      </c>
      <c r="IW130">
        <v>0</v>
      </c>
      <c r="IX130">
        <v>0</v>
      </c>
      <c r="IY130">
        <v>0</v>
      </c>
      <c r="IZ130">
        <v>0</v>
      </c>
      <c r="JA130">
        <v>0</v>
      </c>
      <c r="JB130">
        <v>0</v>
      </c>
      <c r="JC130">
        <v>0</v>
      </c>
      <c r="JD130">
        <v>0</v>
      </c>
      <c r="JE130">
        <v>0</v>
      </c>
      <c r="JF130">
        <v>0</v>
      </c>
      <c r="JG130">
        <v>0</v>
      </c>
      <c r="JH130">
        <v>0</v>
      </c>
      <c r="JI130">
        <v>0</v>
      </c>
      <c r="JJ130">
        <v>0</v>
      </c>
      <c r="JK130">
        <v>0</v>
      </c>
      <c r="JL130">
        <v>0</v>
      </c>
      <c r="JM130">
        <v>0</v>
      </c>
      <c r="JN130">
        <v>0</v>
      </c>
      <c r="JO130">
        <v>0</v>
      </c>
      <c r="JP130">
        <v>0</v>
      </c>
      <c r="JQ130">
        <v>0</v>
      </c>
      <c r="JR130">
        <v>0</v>
      </c>
      <c r="JS130">
        <v>0</v>
      </c>
      <c r="JT130">
        <v>0</v>
      </c>
      <c r="JU130">
        <v>0</v>
      </c>
      <c r="JV130">
        <v>0</v>
      </c>
      <c r="JW130">
        <v>0</v>
      </c>
      <c r="JX130">
        <v>0</v>
      </c>
      <c r="JY130">
        <v>0</v>
      </c>
      <c r="JZ130">
        <v>0</v>
      </c>
      <c r="KA130">
        <v>0</v>
      </c>
      <c r="KB130">
        <v>0</v>
      </c>
      <c r="KC130">
        <v>0</v>
      </c>
      <c r="KD130">
        <v>0</v>
      </c>
      <c r="KE130">
        <v>0</v>
      </c>
      <c r="KF130">
        <v>0</v>
      </c>
      <c r="KG130">
        <v>0</v>
      </c>
      <c r="KH130">
        <v>0</v>
      </c>
      <c r="KI130">
        <v>0</v>
      </c>
      <c r="KJ130">
        <v>0</v>
      </c>
      <c r="KK130">
        <v>0</v>
      </c>
      <c r="KL130">
        <v>0</v>
      </c>
      <c r="KM130">
        <v>0</v>
      </c>
      <c r="KN130">
        <v>0</v>
      </c>
      <c r="KO130">
        <v>0</v>
      </c>
      <c r="KP130">
        <v>0</v>
      </c>
      <c r="KQ130">
        <v>0</v>
      </c>
      <c r="KR130">
        <v>0</v>
      </c>
      <c r="KS130">
        <v>0</v>
      </c>
      <c r="KT130">
        <v>0</v>
      </c>
      <c r="KU130">
        <v>0</v>
      </c>
      <c r="KV130">
        <v>0</v>
      </c>
      <c r="KW130">
        <v>0</v>
      </c>
      <c r="KX130">
        <v>0</v>
      </c>
      <c r="KY130">
        <v>0</v>
      </c>
      <c r="KZ130">
        <v>0</v>
      </c>
      <c r="LA130">
        <v>0</v>
      </c>
      <c r="LB130">
        <v>0</v>
      </c>
      <c r="LC130">
        <v>0</v>
      </c>
      <c r="LD130">
        <v>0</v>
      </c>
      <c r="LE130">
        <v>0</v>
      </c>
      <c r="LF130">
        <v>0</v>
      </c>
      <c r="LG130">
        <v>0</v>
      </c>
      <c r="LH130">
        <v>0</v>
      </c>
      <c r="LI130">
        <v>0</v>
      </c>
      <c r="LJ130">
        <v>0</v>
      </c>
      <c r="LK130">
        <v>0</v>
      </c>
      <c r="LL130">
        <v>0</v>
      </c>
      <c r="LM130">
        <v>0</v>
      </c>
      <c r="LN130">
        <v>0</v>
      </c>
      <c r="LO130">
        <v>0</v>
      </c>
      <c r="LP130">
        <v>0</v>
      </c>
      <c r="LQ130">
        <v>0</v>
      </c>
      <c r="LR130">
        <v>0</v>
      </c>
      <c r="LS130">
        <v>0</v>
      </c>
      <c r="LT130">
        <v>0</v>
      </c>
      <c r="LU130">
        <v>0</v>
      </c>
      <c r="LV130">
        <v>0</v>
      </c>
      <c r="LW130">
        <v>0</v>
      </c>
      <c r="LX130">
        <v>0</v>
      </c>
      <c r="LY130">
        <v>0</v>
      </c>
      <c r="LZ130">
        <v>0</v>
      </c>
      <c r="MA130">
        <v>0</v>
      </c>
      <c r="MB130">
        <v>0</v>
      </c>
      <c r="MC130">
        <v>0</v>
      </c>
      <c r="MD130">
        <v>0</v>
      </c>
      <c r="ME130">
        <v>0</v>
      </c>
      <c r="MF130">
        <v>0</v>
      </c>
      <c r="MG130">
        <v>0</v>
      </c>
      <c r="MH130">
        <v>0</v>
      </c>
      <c r="MI130">
        <v>0</v>
      </c>
      <c r="MJ130">
        <v>0</v>
      </c>
      <c r="MK130">
        <v>0</v>
      </c>
      <c r="ML130">
        <v>0</v>
      </c>
      <c r="MM130">
        <v>0</v>
      </c>
      <c r="MN130">
        <v>0</v>
      </c>
      <c r="MO130">
        <v>0</v>
      </c>
      <c r="MP130">
        <v>0</v>
      </c>
      <c r="MQ130">
        <v>0</v>
      </c>
      <c r="MR130">
        <v>0</v>
      </c>
      <c r="MS130">
        <v>0</v>
      </c>
      <c r="MT130">
        <v>0</v>
      </c>
      <c r="MU130">
        <v>0</v>
      </c>
      <c r="MV130">
        <v>0</v>
      </c>
      <c r="MW130">
        <v>0</v>
      </c>
      <c r="MX130">
        <v>0</v>
      </c>
      <c r="MY130">
        <v>0</v>
      </c>
      <c r="MZ130">
        <v>0</v>
      </c>
      <c r="NA130">
        <v>0</v>
      </c>
      <c r="NB130">
        <v>0</v>
      </c>
      <c r="NC130">
        <v>0</v>
      </c>
      <c r="ND130">
        <v>0</v>
      </c>
      <c r="NE130">
        <v>0</v>
      </c>
    </row>
    <row r="131" spans="41:369" x14ac:dyDescent="0.45">
      <c r="AO131" t="str">
        <v>B152</v>
      </c>
      <c r="AP131" t="str">
        <v>MUHAMMED MUNAZIR MM</v>
      </c>
      <c r="AQ131" t="str">
        <v>JARF</v>
      </c>
      <c r="AR131" t="str">
        <v>JUNIOR</v>
      </c>
      <c r="AS131">
        <v>4</v>
      </c>
      <c r="AT131">
        <v>18.5</v>
      </c>
      <c r="AU131">
        <v>0</v>
      </c>
      <c r="AV131">
        <v>18.5</v>
      </c>
      <c r="AW131">
        <v>18.5</v>
      </c>
      <c r="AX131">
        <v>80</v>
      </c>
      <c r="AY131" s="5">
        <v>80</v>
      </c>
      <c r="AZ131" t="str">
        <v>SN40</v>
      </c>
      <c r="BA131" t="str">
        <v>SONG ENG</v>
      </c>
      <c r="BB131" t="str">
        <v>SENIOR</v>
      </c>
      <c r="BC131" t="str">
        <v>Single</v>
      </c>
      <c r="BD131" t="str">
        <v>Stage</v>
      </c>
      <c r="BE131">
        <v>3</v>
      </c>
      <c r="BF131" t="str">
        <v>Individual</v>
      </c>
      <c r="BG131" t="str">
        <v>Individual</v>
      </c>
      <c r="BH131" t="str">
        <v>P</v>
      </c>
      <c r="BI131" t="str">
        <v>PUBLISHED</v>
      </c>
      <c r="BK131">
        <v>125</v>
      </c>
      <c r="BL131" t="str">
        <v>SN36</v>
      </c>
      <c r="BM131" t="str">
        <v>NASHEED ARB</v>
      </c>
      <c r="BN131">
        <v>3</v>
      </c>
      <c r="BO131" t="str">
        <v>Single</v>
      </c>
      <c r="BP131" t="str">
        <v>Stage</v>
      </c>
      <c r="BQ131" t="str">
        <v>SENIOR</v>
      </c>
      <c r="BR131" t="str">
        <v>C112</v>
      </c>
      <c r="BS131" t="str">
        <v>C142</v>
      </c>
      <c r="BT131" t="str">
        <v>C176</v>
      </c>
      <c r="BU131">
        <v>0</v>
      </c>
      <c r="BV131">
        <v>0</v>
      </c>
      <c r="BW131">
        <v>0</v>
      </c>
      <c r="BX131">
        <v>0</v>
      </c>
      <c r="BY131" t="str">
        <v>C120</v>
      </c>
      <c r="BZ131" t="str">
        <v>C136</v>
      </c>
      <c r="CA131" t="str">
        <v>C150</v>
      </c>
      <c r="CB131">
        <v>0</v>
      </c>
      <c r="CC131">
        <v>0</v>
      </c>
      <c r="CD131">
        <v>0</v>
      </c>
      <c r="CE131">
        <v>0</v>
      </c>
      <c r="CF131" t="str">
        <v>C103</v>
      </c>
      <c r="CG131" t="str">
        <v>C109</v>
      </c>
      <c r="CH131" t="str">
        <v>C124</v>
      </c>
      <c r="CI131">
        <v>0</v>
      </c>
      <c r="CJ131">
        <v>0</v>
      </c>
      <c r="CK131">
        <v>0</v>
      </c>
      <c r="CL131">
        <v>0</v>
      </c>
      <c r="CM131" t="str">
        <v>C147</v>
      </c>
      <c r="CN131" t="str">
        <v>C165</v>
      </c>
      <c r="CO131" t="str">
        <v>C167</v>
      </c>
      <c r="CP131">
        <v>0</v>
      </c>
      <c r="CQ131">
        <v>0</v>
      </c>
      <c r="CR131">
        <v>0</v>
      </c>
      <c r="CS131">
        <v>0</v>
      </c>
      <c r="CT131">
        <v>0</v>
      </c>
      <c r="CU131">
        <v>0</v>
      </c>
      <c r="CV131">
        <v>0</v>
      </c>
      <c r="CW131">
        <v>0</v>
      </c>
      <c r="CX131">
        <v>0</v>
      </c>
      <c r="CY131">
        <v>0</v>
      </c>
      <c r="CZ131">
        <v>0</v>
      </c>
      <c r="DA131">
        <v>0</v>
      </c>
      <c r="DB131">
        <v>0</v>
      </c>
      <c r="DC131">
        <v>0</v>
      </c>
      <c r="DD131">
        <v>0</v>
      </c>
      <c r="DE131">
        <v>0</v>
      </c>
      <c r="DF131">
        <v>0</v>
      </c>
      <c r="DG131">
        <v>0</v>
      </c>
      <c r="DH131">
        <v>0</v>
      </c>
      <c r="DI131">
        <v>0</v>
      </c>
      <c r="DJ131">
        <v>0</v>
      </c>
      <c r="DK131">
        <v>0</v>
      </c>
      <c r="DL131">
        <v>0</v>
      </c>
      <c r="DM131">
        <v>0</v>
      </c>
      <c r="DN131">
        <v>0</v>
      </c>
      <c r="DO131">
        <v>0</v>
      </c>
      <c r="DP131">
        <v>0</v>
      </c>
      <c r="DQ131">
        <v>0</v>
      </c>
      <c r="DR131">
        <v>0</v>
      </c>
      <c r="DS131">
        <v>0</v>
      </c>
      <c r="DT131">
        <v>0</v>
      </c>
      <c r="DU131">
        <v>0</v>
      </c>
      <c r="DV131">
        <v>0</v>
      </c>
      <c r="DW131">
        <v>0</v>
      </c>
      <c r="DX131">
        <v>0</v>
      </c>
      <c r="DY131">
        <v>0</v>
      </c>
      <c r="DZ131">
        <v>0</v>
      </c>
      <c r="EA131">
        <v>0</v>
      </c>
      <c r="EB131">
        <v>0</v>
      </c>
      <c r="EC131">
        <v>0</v>
      </c>
      <c r="ED131">
        <v>0</v>
      </c>
      <c r="EE131">
        <v>0</v>
      </c>
      <c r="EF131">
        <v>0</v>
      </c>
      <c r="EG131">
        <v>0</v>
      </c>
      <c r="EH131">
        <v>0</v>
      </c>
      <c r="EI131">
        <v>0</v>
      </c>
      <c r="EJ131">
        <v>0</v>
      </c>
      <c r="EK131">
        <v>0</v>
      </c>
      <c r="EL131">
        <v>0</v>
      </c>
      <c r="EM131">
        <v>0</v>
      </c>
      <c r="EN131">
        <v>0</v>
      </c>
      <c r="EO131">
        <v>0</v>
      </c>
      <c r="EP131">
        <v>0</v>
      </c>
      <c r="EQ131">
        <v>0</v>
      </c>
      <c r="ER131">
        <v>0</v>
      </c>
      <c r="ES131">
        <v>0</v>
      </c>
      <c r="ET131">
        <v>0</v>
      </c>
      <c r="EU131">
        <v>0</v>
      </c>
      <c r="EV131">
        <v>0</v>
      </c>
      <c r="EW131">
        <v>0</v>
      </c>
      <c r="EX131">
        <v>0</v>
      </c>
      <c r="EY131">
        <v>0</v>
      </c>
      <c r="EZ131">
        <v>0</v>
      </c>
      <c r="FA131">
        <v>0</v>
      </c>
      <c r="FB131">
        <v>0</v>
      </c>
      <c r="FC131">
        <v>0</v>
      </c>
      <c r="FD131">
        <v>0</v>
      </c>
      <c r="FE131">
        <v>0</v>
      </c>
      <c r="FF131">
        <v>0</v>
      </c>
      <c r="FG131">
        <v>0</v>
      </c>
      <c r="FH131">
        <v>0</v>
      </c>
      <c r="FI131">
        <v>0</v>
      </c>
      <c r="FJ131">
        <v>0</v>
      </c>
      <c r="FK131">
        <v>0</v>
      </c>
      <c r="FL131">
        <v>0</v>
      </c>
      <c r="FM131">
        <v>0</v>
      </c>
      <c r="FN131">
        <v>0</v>
      </c>
      <c r="FO131">
        <v>0</v>
      </c>
      <c r="FP131">
        <v>0</v>
      </c>
      <c r="FQ131">
        <v>0</v>
      </c>
      <c r="FR131">
        <v>0</v>
      </c>
      <c r="FS131">
        <v>0</v>
      </c>
      <c r="FT131">
        <v>0</v>
      </c>
      <c r="FU131">
        <v>0</v>
      </c>
      <c r="FV131">
        <v>0</v>
      </c>
      <c r="FW131">
        <v>0</v>
      </c>
      <c r="FX131">
        <v>0</v>
      </c>
      <c r="FY131">
        <v>0</v>
      </c>
      <c r="FZ131">
        <v>0</v>
      </c>
      <c r="GA131">
        <v>0</v>
      </c>
      <c r="GB131">
        <v>0</v>
      </c>
      <c r="GC131">
        <v>0</v>
      </c>
      <c r="GD131">
        <v>0</v>
      </c>
      <c r="GE131">
        <v>0</v>
      </c>
      <c r="GF131">
        <v>0</v>
      </c>
      <c r="GG131">
        <v>0</v>
      </c>
      <c r="GH131">
        <v>0</v>
      </c>
      <c r="GI131">
        <v>0</v>
      </c>
      <c r="GJ131">
        <v>0</v>
      </c>
      <c r="GK131">
        <v>0</v>
      </c>
      <c r="GL131">
        <v>0</v>
      </c>
      <c r="GM131">
        <v>0</v>
      </c>
      <c r="GN131">
        <v>0</v>
      </c>
      <c r="GO131">
        <v>0</v>
      </c>
      <c r="GP131">
        <v>0</v>
      </c>
      <c r="GQ131">
        <v>0</v>
      </c>
      <c r="GR131">
        <v>0</v>
      </c>
      <c r="GS131">
        <v>0</v>
      </c>
      <c r="GT131">
        <v>0</v>
      </c>
      <c r="GU131">
        <v>0</v>
      </c>
      <c r="GV131">
        <v>0</v>
      </c>
      <c r="GW131">
        <v>0</v>
      </c>
      <c r="GX131">
        <v>0</v>
      </c>
      <c r="GY131">
        <v>0</v>
      </c>
      <c r="GZ131">
        <v>0</v>
      </c>
      <c r="HA131">
        <v>0</v>
      </c>
      <c r="HB131">
        <v>0</v>
      </c>
      <c r="HC131">
        <v>0</v>
      </c>
      <c r="HD131">
        <v>0</v>
      </c>
      <c r="HE131">
        <v>0</v>
      </c>
      <c r="HF131">
        <v>0</v>
      </c>
      <c r="HG131">
        <v>0</v>
      </c>
      <c r="HH131">
        <v>0</v>
      </c>
      <c r="HI131">
        <v>0</v>
      </c>
      <c r="HJ131">
        <v>0</v>
      </c>
      <c r="HK131">
        <v>0</v>
      </c>
      <c r="HL131">
        <v>0</v>
      </c>
      <c r="HM131">
        <v>0</v>
      </c>
      <c r="HN131">
        <v>0</v>
      </c>
      <c r="HO131">
        <v>0</v>
      </c>
      <c r="HP131">
        <v>0</v>
      </c>
      <c r="HQ131">
        <v>0</v>
      </c>
      <c r="HR131">
        <v>0</v>
      </c>
      <c r="HS131">
        <v>0</v>
      </c>
      <c r="HT131">
        <v>0</v>
      </c>
      <c r="HU131">
        <v>0</v>
      </c>
      <c r="HV131">
        <v>0</v>
      </c>
      <c r="HW131">
        <v>0</v>
      </c>
      <c r="HX131">
        <v>0</v>
      </c>
      <c r="HY131">
        <v>0</v>
      </c>
      <c r="HZ131">
        <v>0</v>
      </c>
      <c r="IA131">
        <v>0</v>
      </c>
      <c r="IB131">
        <v>0</v>
      </c>
      <c r="IC131">
        <v>0</v>
      </c>
      <c r="ID131">
        <v>0</v>
      </c>
      <c r="IE131">
        <v>0</v>
      </c>
      <c r="IF131">
        <v>0</v>
      </c>
      <c r="IG131">
        <v>0</v>
      </c>
      <c r="IH131">
        <v>0</v>
      </c>
      <c r="II131">
        <v>0</v>
      </c>
      <c r="IJ131">
        <v>0</v>
      </c>
      <c r="IK131">
        <v>0</v>
      </c>
      <c r="IL131">
        <v>0</v>
      </c>
      <c r="IM131">
        <v>0</v>
      </c>
      <c r="IN131">
        <v>0</v>
      </c>
      <c r="IO131">
        <v>0</v>
      </c>
      <c r="IP131">
        <v>0</v>
      </c>
      <c r="IQ131">
        <v>0</v>
      </c>
      <c r="IR131">
        <v>0</v>
      </c>
      <c r="IS131">
        <v>0</v>
      </c>
      <c r="IT131">
        <v>0</v>
      </c>
      <c r="IU131">
        <v>0</v>
      </c>
      <c r="IV131">
        <v>0</v>
      </c>
      <c r="IW131">
        <v>0</v>
      </c>
      <c r="IX131">
        <v>0</v>
      </c>
      <c r="IY131">
        <v>0</v>
      </c>
      <c r="IZ131">
        <v>0</v>
      </c>
      <c r="JA131">
        <v>0</v>
      </c>
      <c r="JB131">
        <v>0</v>
      </c>
      <c r="JC131">
        <v>0</v>
      </c>
      <c r="JD131">
        <v>0</v>
      </c>
      <c r="JE131">
        <v>0</v>
      </c>
      <c r="JF131">
        <v>0</v>
      </c>
      <c r="JG131">
        <v>0</v>
      </c>
      <c r="JH131">
        <v>0</v>
      </c>
      <c r="JI131">
        <v>0</v>
      </c>
      <c r="JJ131">
        <v>0</v>
      </c>
      <c r="JK131">
        <v>0</v>
      </c>
      <c r="JL131">
        <v>0</v>
      </c>
      <c r="JM131">
        <v>0</v>
      </c>
      <c r="JN131">
        <v>0</v>
      </c>
      <c r="JO131">
        <v>0</v>
      </c>
      <c r="JP131">
        <v>0</v>
      </c>
      <c r="JQ131">
        <v>0</v>
      </c>
      <c r="JR131">
        <v>0</v>
      </c>
      <c r="JS131">
        <v>0</v>
      </c>
      <c r="JT131">
        <v>0</v>
      </c>
      <c r="JU131">
        <v>0</v>
      </c>
      <c r="JV131">
        <v>0</v>
      </c>
      <c r="JW131">
        <v>0</v>
      </c>
      <c r="JX131">
        <v>0</v>
      </c>
      <c r="JY131">
        <v>0</v>
      </c>
      <c r="JZ131">
        <v>0</v>
      </c>
      <c r="KA131">
        <v>0</v>
      </c>
      <c r="KB131">
        <v>0</v>
      </c>
      <c r="KC131">
        <v>0</v>
      </c>
      <c r="KD131">
        <v>0</v>
      </c>
      <c r="KE131">
        <v>0</v>
      </c>
      <c r="KF131">
        <v>0</v>
      </c>
      <c r="KG131">
        <v>0</v>
      </c>
      <c r="KH131">
        <v>0</v>
      </c>
      <c r="KI131">
        <v>0</v>
      </c>
      <c r="KJ131">
        <v>0</v>
      </c>
      <c r="KK131">
        <v>0</v>
      </c>
      <c r="KL131">
        <v>0</v>
      </c>
      <c r="KM131">
        <v>0</v>
      </c>
      <c r="KN131">
        <v>0</v>
      </c>
      <c r="KO131">
        <v>0</v>
      </c>
      <c r="KP131">
        <v>0</v>
      </c>
      <c r="KQ131">
        <v>0</v>
      </c>
      <c r="KR131">
        <v>0</v>
      </c>
      <c r="KS131">
        <v>0</v>
      </c>
      <c r="KT131">
        <v>0</v>
      </c>
      <c r="KU131">
        <v>0</v>
      </c>
      <c r="KV131">
        <v>0</v>
      </c>
      <c r="KW131">
        <v>0</v>
      </c>
      <c r="KX131">
        <v>0</v>
      </c>
      <c r="KY131">
        <v>0</v>
      </c>
      <c r="KZ131">
        <v>0</v>
      </c>
      <c r="LA131">
        <v>0</v>
      </c>
      <c r="LB131">
        <v>0</v>
      </c>
      <c r="LC131">
        <v>0</v>
      </c>
      <c r="LD131">
        <v>0</v>
      </c>
      <c r="LE131">
        <v>0</v>
      </c>
      <c r="LF131">
        <v>0</v>
      </c>
      <c r="LG131">
        <v>0</v>
      </c>
      <c r="LH131">
        <v>0</v>
      </c>
      <c r="LI131">
        <v>0</v>
      </c>
      <c r="LJ131">
        <v>0</v>
      </c>
      <c r="LK131">
        <v>0</v>
      </c>
      <c r="LL131">
        <v>0</v>
      </c>
      <c r="LM131">
        <v>0</v>
      </c>
      <c r="LN131">
        <v>0</v>
      </c>
      <c r="LO131">
        <v>0</v>
      </c>
      <c r="LP131">
        <v>0</v>
      </c>
      <c r="LQ131">
        <v>0</v>
      </c>
      <c r="LR131">
        <v>0</v>
      </c>
      <c r="LS131">
        <v>0</v>
      </c>
      <c r="LT131">
        <v>0</v>
      </c>
      <c r="LU131">
        <v>0</v>
      </c>
      <c r="LV131">
        <v>0</v>
      </c>
      <c r="LW131">
        <v>0</v>
      </c>
      <c r="LX131">
        <v>0</v>
      </c>
      <c r="LY131">
        <v>0</v>
      </c>
      <c r="LZ131">
        <v>0</v>
      </c>
      <c r="MA131">
        <v>0</v>
      </c>
      <c r="MB131">
        <v>0</v>
      </c>
      <c r="MC131">
        <v>0</v>
      </c>
      <c r="MD131">
        <v>0</v>
      </c>
      <c r="ME131">
        <v>0</v>
      </c>
      <c r="MF131">
        <v>0</v>
      </c>
      <c r="MG131">
        <v>0</v>
      </c>
      <c r="MH131">
        <v>0</v>
      </c>
      <c r="MI131">
        <v>0</v>
      </c>
      <c r="MJ131">
        <v>0</v>
      </c>
      <c r="MK131">
        <v>0</v>
      </c>
      <c r="ML131">
        <v>0</v>
      </c>
      <c r="MM131">
        <v>0</v>
      </c>
      <c r="MN131">
        <v>0</v>
      </c>
      <c r="MO131">
        <v>0</v>
      </c>
      <c r="MP131">
        <v>0</v>
      </c>
      <c r="MQ131">
        <v>0</v>
      </c>
      <c r="MR131">
        <v>0</v>
      </c>
      <c r="MS131">
        <v>0</v>
      </c>
      <c r="MT131">
        <v>0</v>
      </c>
      <c r="MU131">
        <v>0</v>
      </c>
      <c r="MV131">
        <v>0</v>
      </c>
      <c r="MW131">
        <v>0</v>
      </c>
      <c r="MX131">
        <v>0</v>
      </c>
      <c r="MY131">
        <v>0</v>
      </c>
      <c r="MZ131">
        <v>0</v>
      </c>
      <c r="NA131">
        <v>0</v>
      </c>
      <c r="NB131">
        <v>0</v>
      </c>
      <c r="NC131">
        <v>0</v>
      </c>
      <c r="ND131">
        <v>0</v>
      </c>
      <c r="NE131">
        <v>0</v>
      </c>
    </row>
    <row r="132" spans="41:369" x14ac:dyDescent="0.45">
      <c r="AO132" t="str">
        <v>B153</v>
      </c>
      <c r="AP132" t="str">
        <v>ABDUL KHADER ISHAQUE</v>
      </c>
      <c r="AQ132" t="str">
        <v>BADF</v>
      </c>
      <c r="AR132" t="str">
        <v>JUNIOR</v>
      </c>
      <c r="AS132">
        <v>4</v>
      </c>
      <c r="AT132">
        <v>14</v>
      </c>
      <c r="AU132">
        <v>0</v>
      </c>
      <c r="AV132">
        <v>14</v>
      </c>
      <c r="AW132">
        <v>14</v>
      </c>
      <c r="AX132">
        <v>104</v>
      </c>
      <c r="AY132" s="5">
        <v>104</v>
      </c>
      <c r="AZ132" t="str">
        <v>SN41</v>
      </c>
      <c r="BA132" t="str">
        <v>SONG MLM</v>
      </c>
      <c r="BB132" t="str">
        <v>SENIOR</v>
      </c>
      <c r="BC132" t="str">
        <v>Single</v>
      </c>
      <c r="BD132" t="str">
        <v>Stage</v>
      </c>
      <c r="BE132">
        <v>3</v>
      </c>
      <c r="BF132" t="str">
        <v>Individual</v>
      </c>
      <c r="BG132" t="str">
        <v>Individual</v>
      </c>
      <c r="BH132" t="str">
        <v>P</v>
      </c>
      <c r="BI132" t="str">
        <v>PUBLISHED</v>
      </c>
      <c r="BK132">
        <v>126</v>
      </c>
      <c r="BL132" t="str">
        <v>SN37</v>
      </c>
      <c r="BM132" t="str">
        <v>NEWS WRITING AND READING ENG</v>
      </c>
      <c r="BN132">
        <v>3</v>
      </c>
      <c r="BO132" t="str">
        <v>Single</v>
      </c>
      <c r="BP132" t="str">
        <v>Stage</v>
      </c>
      <c r="BQ132" t="str">
        <v>SENIOR</v>
      </c>
      <c r="BR132" t="str">
        <v>C168</v>
      </c>
      <c r="BS132" t="str">
        <v>C155</v>
      </c>
      <c r="BT132" t="str">
        <v>C108</v>
      </c>
      <c r="BU132">
        <v>0</v>
      </c>
      <c r="BV132">
        <v>0</v>
      </c>
      <c r="BW132">
        <v>0</v>
      </c>
      <c r="BX132">
        <v>0</v>
      </c>
      <c r="BY132" t="str">
        <v>C102</v>
      </c>
      <c r="BZ132" t="str">
        <v>C110</v>
      </c>
      <c r="CA132" t="str">
        <v>C133</v>
      </c>
      <c r="CB132">
        <v>0</v>
      </c>
      <c r="CC132">
        <v>0</v>
      </c>
      <c r="CD132">
        <v>0</v>
      </c>
      <c r="CE132">
        <v>0</v>
      </c>
      <c r="CF132" t="str">
        <v>C123</v>
      </c>
      <c r="CG132" t="str">
        <v>C145</v>
      </c>
      <c r="CH132" t="str">
        <v>C170</v>
      </c>
      <c r="CI132">
        <v>0</v>
      </c>
      <c r="CJ132">
        <v>0</v>
      </c>
      <c r="CK132">
        <v>0</v>
      </c>
      <c r="CL132">
        <v>0</v>
      </c>
      <c r="CM132" t="str">
        <v>C113</v>
      </c>
      <c r="CN132" t="str">
        <v>C135</v>
      </c>
      <c r="CO132" t="str">
        <v>C111</v>
      </c>
      <c r="CP132">
        <v>0</v>
      </c>
      <c r="CQ132">
        <v>0</v>
      </c>
      <c r="CR132">
        <v>0</v>
      </c>
      <c r="CS132">
        <v>0</v>
      </c>
      <c r="CT132">
        <v>0</v>
      </c>
      <c r="CU132">
        <v>0</v>
      </c>
      <c r="CV132">
        <v>0</v>
      </c>
      <c r="CW132">
        <v>0</v>
      </c>
      <c r="CX132">
        <v>0</v>
      </c>
      <c r="CY132">
        <v>0</v>
      </c>
      <c r="CZ132">
        <v>0</v>
      </c>
      <c r="DA132">
        <v>0</v>
      </c>
      <c r="DB132">
        <v>0</v>
      </c>
      <c r="DC132">
        <v>0</v>
      </c>
      <c r="DD132">
        <v>0</v>
      </c>
      <c r="DE132">
        <v>0</v>
      </c>
      <c r="DF132">
        <v>0</v>
      </c>
      <c r="DG132">
        <v>0</v>
      </c>
      <c r="DH132">
        <v>0</v>
      </c>
      <c r="DI132">
        <v>0</v>
      </c>
      <c r="DJ132">
        <v>0</v>
      </c>
      <c r="DK132">
        <v>0</v>
      </c>
      <c r="DL132">
        <v>0</v>
      </c>
      <c r="DM132">
        <v>0</v>
      </c>
      <c r="DN132">
        <v>0</v>
      </c>
      <c r="DO132">
        <v>0</v>
      </c>
      <c r="DP132">
        <v>0</v>
      </c>
      <c r="DQ132">
        <v>0</v>
      </c>
      <c r="DR132">
        <v>0</v>
      </c>
      <c r="DS132">
        <v>0</v>
      </c>
      <c r="DT132">
        <v>0</v>
      </c>
      <c r="DU132">
        <v>0</v>
      </c>
      <c r="DV132">
        <v>0</v>
      </c>
      <c r="DW132">
        <v>0</v>
      </c>
      <c r="DX132">
        <v>0</v>
      </c>
      <c r="DY132">
        <v>0</v>
      </c>
      <c r="DZ132">
        <v>0</v>
      </c>
      <c r="EA132">
        <v>0</v>
      </c>
      <c r="EB132">
        <v>0</v>
      </c>
      <c r="EC132">
        <v>0</v>
      </c>
      <c r="ED132">
        <v>0</v>
      </c>
      <c r="EE132">
        <v>0</v>
      </c>
      <c r="EF132">
        <v>0</v>
      </c>
      <c r="EG132">
        <v>0</v>
      </c>
      <c r="EH132">
        <v>0</v>
      </c>
      <c r="EI132">
        <v>0</v>
      </c>
      <c r="EJ132">
        <v>0</v>
      </c>
      <c r="EK132">
        <v>0</v>
      </c>
      <c r="EL132">
        <v>0</v>
      </c>
      <c r="EM132">
        <v>0</v>
      </c>
      <c r="EN132">
        <v>0</v>
      </c>
      <c r="EO132">
        <v>0</v>
      </c>
      <c r="EP132">
        <v>0</v>
      </c>
      <c r="EQ132">
        <v>0</v>
      </c>
      <c r="ER132">
        <v>0</v>
      </c>
      <c r="ES132">
        <v>0</v>
      </c>
      <c r="ET132">
        <v>0</v>
      </c>
      <c r="EU132">
        <v>0</v>
      </c>
      <c r="EV132">
        <v>0</v>
      </c>
      <c r="EW132">
        <v>0</v>
      </c>
      <c r="EX132">
        <v>0</v>
      </c>
      <c r="EY132">
        <v>0</v>
      </c>
      <c r="EZ132">
        <v>0</v>
      </c>
      <c r="FA132">
        <v>0</v>
      </c>
      <c r="FB132">
        <v>0</v>
      </c>
      <c r="FC132">
        <v>0</v>
      </c>
      <c r="FD132">
        <v>0</v>
      </c>
      <c r="FE132">
        <v>0</v>
      </c>
      <c r="FF132">
        <v>0</v>
      </c>
      <c r="FG132">
        <v>0</v>
      </c>
      <c r="FH132">
        <v>0</v>
      </c>
      <c r="FI132">
        <v>0</v>
      </c>
      <c r="FJ132">
        <v>0</v>
      </c>
      <c r="FK132">
        <v>0</v>
      </c>
      <c r="FL132">
        <v>0</v>
      </c>
      <c r="FM132">
        <v>0</v>
      </c>
      <c r="FN132">
        <v>0</v>
      </c>
      <c r="FO132">
        <v>0</v>
      </c>
      <c r="FP132">
        <v>0</v>
      </c>
      <c r="FQ132">
        <v>0</v>
      </c>
      <c r="FR132">
        <v>0</v>
      </c>
      <c r="FS132">
        <v>0</v>
      </c>
      <c r="FT132">
        <v>0</v>
      </c>
      <c r="FU132">
        <v>0</v>
      </c>
      <c r="FV132">
        <v>0</v>
      </c>
      <c r="FW132">
        <v>0</v>
      </c>
      <c r="FX132">
        <v>0</v>
      </c>
      <c r="FY132">
        <v>0</v>
      </c>
      <c r="FZ132">
        <v>0</v>
      </c>
      <c r="GA132">
        <v>0</v>
      </c>
      <c r="GB132">
        <v>0</v>
      </c>
      <c r="GC132">
        <v>0</v>
      </c>
      <c r="GD132">
        <v>0</v>
      </c>
      <c r="GE132">
        <v>0</v>
      </c>
      <c r="GF132">
        <v>0</v>
      </c>
      <c r="GG132">
        <v>0</v>
      </c>
      <c r="GH132">
        <v>0</v>
      </c>
      <c r="GI132">
        <v>0</v>
      </c>
      <c r="GJ132">
        <v>0</v>
      </c>
      <c r="GK132">
        <v>0</v>
      </c>
      <c r="GL132">
        <v>0</v>
      </c>
      <c r="GM132">
        <v>0</v>
      </c>
      <c r="GN132">
        <v>0</v>
      </c>
      <c r="GO132">
        <v>0</v>
      </c>
      <c r="GP132">
        <v>0</v>
      </c>
      <c r="GQ132">
        <v>0</v>
      </c>
      <c r="GR132">
        <v>0</v>
      </c>
      <c r="GS132">
        <v>0</v>
      </c>
      <c r="GT132">
        <v>0</v>
      </c>
      <c r="GU132">
        <v>0</v>
      </c>
      <c r="GV132">
        <v>0</v>
      </c>
      <c r="GW132">
        <v>0</v>
      </c>
      <c r="GX132">
        <v>0</v>
      </c>
      <c r="GY132">
        <v>0</v>
      </c>
      <c r="GZ132">
        <v>0</v>
      </c>
      <c r="HA132">
        <v>0</v>
      </c>
      <c r="HB132">
        <v>0</v>
      </c>
      <c r="HC132">
        <v>0</v>
      </c>
      <c r="HD132">
        <v>0</v>
      </c>
      <c r="HE132">
        <v>0</v>
      </c>
      <c r="HF132">
        <v>0</v>
      </c>
      <c r="HG132">
        <v>0</v>
      </c>
      <c r="HH132">
        <v>0</v>
      </c>
      <c r="HI132">
        <v>0</v>
      </c>
      <c r="HJ132">
        <v>0</v>
      </c>
      <c r="HK132">
        <v>0</v>
      </c>
      <c r="HL132">
        <v>0</v>
      </c>
      <c r="HM132">
        <v>0</v>
      </c>
      <c r="HN132">
        <v>0</v>
      </c>
      <c r="HO132">
        <v>0</v>
      </c>
      <c r="HP132">
        <v>0</v>
      </c>
      <c r="HQ132">
        <v>0</v>
      </c>
      <c r="HR132">
        <v>0</v>
      </c>
      <c r="HS132">
        <v>0</v>
      </c>
      <c r="HT132">
        <v>0</v>
      </c>
      <c r="HU132">
        <v>0</v>
      </c>
      <c r="HV132">
        <v>0</v>
      </c>
      <c r="HW132">
        <v>0</v>
      </c>
      <c r="HX132">
        <v>0</v>
      </c>
      <c r="HY132">
        <v>0</v>
      </c>
      <c r="HZ132">
        <v>0</v>
      </c>
      <c r="IA132">
        <v>0</v>
      </c>
      <c r="IB132">
        <v>0</v>
      </c>
      <c r="IC132">
        <v>0</v>
      </c>
      <c r="ID132">
        <v>0</v>
      </c>
      <c r="IE132">
        <v>0</v>
      </c>
      <c r="IF132">
        <v>0</v>
      </c>
      <c r="IG132">
        <v>0</v>
      </c>
      <c r="IH132">
        <v>0</v>
      </c>
      <c r="II132">
        <v>0</v>
      </c>
      <c r="IJ132">
        <v>0</v>
      </c>
      <c r="IK132">
        <v>0</v>
      </c>
      <c r="IL132">
        <v>0</v>
      </c>
      <c r="IM132">
        <v>0</v>
      </c>
      <c r="IN132">
        <v>0</v>
      </c>
      <c r="IO132">
        <v>0</v>
      </c>
      <c r="IP132">
        <v>0</v>
      </c>
      <c r="IQ132">
        <v>0</v>
      </c>
      <c r="IR132">
        <v>0</v>
      </c>
      <c r="IS132">
        <v>0</v>
      </c>
      <c r="IT132">
        <v>0</v>
      </c>
      <c r="IU132">
        <v>0</v>
      </c>
      <c r="IV132">
        <v>0</v>
      </c>
      <c r="IW132">
        <v>0</v>
      </c>
      <c r="IX132">
        <v>0</v>
      </c>
      <c r="IY132">
        <v>0</v>
      </c>
      <c r="IZ132">
        <v>0</v>
      </c>
      <c r="JA132">
        <v>0</v>
      </c>
      <c r="JB132">
        <v>0</v>
      </c>
      <c r="JC132">
        <v>0</v>
      </c>
      <c r="JD132">
        <v>0</v>
      </c>
      <c r="JE132">
        <v>0</v>
      </c>
      <c r="JF132">
        <v>0</v>
      </c>
      <c r="JG132">
        <v>0</v>
      </c>
      <c r="JH132">
        <v>0</v>
      </c>
      <c r="JI132">
        <v>0</v>
      </c>
      <c r="JJ132">
        <v>0</v>
      </c>
      <c r="JK132">
        <v>0</v>
      </c>
      <c r="JL132">
        <v>0</v>
      </c>
      <c r="JM132">
        <v>0</v>
      </c>
      <c r="JN132">
        <v>0</v>
      </c>
      <c r="JO132">
        <v>0</v>
      </c>
      <c r="JP132">
        <v>0</v>
      </c>
      <c r="JQ132">
        <v>0</v>
      </c>
      <c r="JR132">
        <v>0</v>
      </c>
      <c r="JS132">
        <v>0</v>
      </c>
      <c r="JT132">
        <v>0</v>
      </c>
      <c r="JU132">
        <v>0</v>
      </c>
      <c r="JV132">
        <v>0</v>
      </c>
      <c r="JW132">
        <v>0</v>
      </c>
      <c r="JX132">
        <v>0</v>
      </c>
      <c r="JY132">
        <v>0</v>
      </c>
      <c r="JZ132">
        <v>0</v>
      </c>
      <c r="KA132">
        <v>0</v>
      </c>
      <c r="KB132">
        <v>0</v>
      </c>
      <c r="KC132">
        <v>0</v>
      </c>
      <c r="KD132">
        <v>0</v>
      </c>
      <c r="KE132">
        <v>0</v>
      </c>
      <c r="KF132">
        <v>0</v>
      </c>
      <c r="KG132">
        <v>0</v>
      </c>
      <c r="KH132">
        <v>0</v>
      </c>
      <c r="KI132">
        <v>0</v>
      </c>
      <c r="KJ132">
        <v>0</v>
      </c>
      <c r="KK132">
        <v>0</v>
      </c>
      <c r="KL132">
        <v>0</v>
      </c>
      <c r="KM132">
        <v>0</v>
      </c>
      <c r="KN132">
        <v>0</v>
      </c>
      <c r="KO132">
        <v>0</v>
      </c>
      <c r="KP132">
        <v>0</v>
      </c>
      <c r="KQ132">
        <v>0</v>
      </c>
      <c r="KR132">
        <v>0</v>
      </c>
      <c r="KS132">
        <v>0</v>
      </c>
      <c r="KT132">
        <v>0</v>
      </c>
      <c r="KU132">
        <v>0</v>
      </c>
      <c r="KV132">
        <v>0</v>
      </c>
      <c r="KW132">
        <v>0</v>
      </c>
      <c r="KX132">
        <v>0</v>
      </c>
      <c r="KY132">
        <v>0</v>
      </c>
      <c r="KZ132">
        <v>0</v>
      </c>
      <c r="LA132">
        <v>0</v>
      </c>
      <c r="LB132">
        <v>0</v>
      </c>
      <c r="LC132">
        <v>0</v>
      </c>
      <c r="LD132">
        <v>0</v>
      </c>
      <c r="LE132">
        <v>0</v>
      </c>
      <c r="LF132">
        <v>0</v>
      </c>
      <c r="LG132">
        <v>0</v>
      </c>
      <c r="LH132">
        <v>0</v>
      </c>
      <c r="LI132">
        <v>0</v>
      </c>
      <c r="LJ132">
        <v>0</v>
      </c>
      <c r="LK132">
        <v>0</v>
      </c>
      <c r="LL132">
        <v>0</v>
      </c>
      <c r="LM132">
        <v>0</v>
      </c>
      <c r="LN132">
        <v>0</v>
      </c>
      <c r="LO132">
        <v>0</v>
      </c>
      <c r="LP132">
        <v>0</v>
      </c>
      <c r="LQ132">
        <v>0</v>
      </c>
      <c r="LR132">
        <v>0</v>
      </c>
      <c r="LS132">
        <v>0</v>
      </c>
      <c r="LT132">
        <v>0</v>
      </c>
      <c r="LU132">
        <v>0</v>
      </c>
      <c r="LV132">
        <v>0</v>
      </c>
      <c r="LW132">
        <v>0</v>
      </c>
      <c r="LX132">
        <v>0</v>
      </c>
      <c r="LY132">
        <v>0</v>
      </c>
      <c r="LZ132">
        <v>0</v>
      </c>
      <c r="MA132">
        <v>0</v>
      </c>
      <c r="MB132">
        <v>0</v>
      </c>
      <c r="MC132">
        <v>0</v>
      </c>
      <c r="MD132">
        <v>0</v>
      </c>
      <c r="ME132">
        <v>0</v>
      </c>
      <c r="MF132">
        <v>0</v>
      </c>
      <c r="MG132">
        <v>0</v>
      </c>
      <c r="MH132">
        <v>0</v>
      </c>
      <c r="MI132">
        <v>0</v>
      </c>
      <c r="MJ132">
        <v>0</v>
      </c>
      <c r="MK132">
        <v>0</v>
      </c>
      <c r="ML132">
        <v>0</v>
      </c>
      <c r="MM132">
        <v>0</v>
      </c>
      <c r="MN132">
        <v>0</v>
      </c>
      <c r="MO132">
        <v>0</v>
      </c>
      <c r="MP132">
        <v>0</v>
      </c>
      <c r="MQ132">
        <v>0</v>
      </c>
      <c r="MR132">
        <v>0</v>
      </c>
      <c r="MS132">
        <v>0</v>
      </c>
      <c r="MT132">
        <v>0</v>
      </c>
      <c r="MU132">
        <v>0</v>
      </c>
      <c r="MV132">
        <v>0</v>
      </c>
      <c r="MW132">
        <v>0</v>
      </c>
      <c r="MX132">
        <v>0</v>
      </c>
      <c r="MY132">
        <v>0</v>
      </c>
      <c r="MZ132">
        <v>0</v>
      </c>
      <c r="NA132">
        <v>0</v>
      </c>
      <c r="NB132">
        <v>0</v>
      </c>
      <c r="NC132">
        <v>0</v>
      </c>
      <c r="ND132">
        <v>0</v>
      </c>
      <c r="NE132">
        <v>0</v>
      </c>
    </row>
    <row r="133" spans="41:369" x14ac:dyDescent="0.45">
      <c r="AO133" t="str">
        <v>B154</v>
      </c>
      <c r="AP133" t="str">
        <v>ABDULLA ALBAS</v>
      </c>
      <c r="AQ133" t="str">
        <v>DAHF</v>
      </c>
      <c r="AR133" t="str">
        <v>JUNIOR</v>
      </c>
      <c r="AS133">
        <v>4</v>
      </c>
      <c r="AT133">
        <v>31</v>
      </c>
      <c r="AU133">
        <v>0</v>
      </c>
      <c r="AV133">
        <v>31</v>
      </c>
      <c r="AW133">
        <v>31</v>
      </c>
      <c r="AX133">
        <v>42</v>
      </c>
      <c r="AY133" s="5">
        <v>42</v>
      </c>
      <c r="AZ133" t="str">
        <v>SN42</v>
      </c>
      <c r="BA133" t="str">
        <v>SONG URD</v>
      </c>
      <c r="BB133" t="str">
        <v>SENIOR</v>
      </c>
      <c r="BC133" t="str">
        <v>Single</v>
      </c>
      <c r="BD133" t="str">
        <v>Stage</v>
      </c>
      <c r="BE133">
        <v>3</v>
      </c>
      <c r="BF133" t="str">
        <v>Individual</v>
      </c>
      <c r="BG133" t="str">
        <v>Individual</v>
      </c>
      <c r="BH133" t="str">
        <v>P</v>
      </c>
      <c r="BI133" t="str">
        <v>PUBLISHED</v>
      </c>
      <c r="BK133">
        <v>127</v>
      </c>
      <c r="BL133" t="str">
        <v>SN38</v>
      </c>
      <c r="BM133" t="str">
        <v>RAP SONG</v>
      </c>
      <c r="BN133">
        <v>3</v>
      </c>
      <c r="BO133" t="str">
        <v>Single</v>
      </c>
      <c r="BP133" t="str">
        <v>Stage</v>
      </c>
      <c r="BQ133" t="str">
        <v>SENIOR</v>
      </c>
      <c r="BR133" t="str">
        <v>C176</v>
      </c>
      <c r="BS133" t="str">
        <v>C162</v>
      </c>
      <c r="BT133" t="str">
        <v>C156</v>
      </c>
      <c r="BU133">
        <v>0</v>
      </c>
      <c r="BV133">
        <v>0</v>
      </c>
      <c r="BW133">
        <v>0</v>
      </c>
      <c r="BX133">
        <v>0</v>
      </c>
      <c r="BY133" t="str">
        <v>C158</v>
      </c>
      <c r="BZ133" t="str">
        <v>C161</v>
      </c>
      <c r="CA133" t="str">
        <v>C166</v>
      </c>
      <c r="CB133">
        <v>0</v>
      </c>
      <c r="CC133">
        <v>0</v>
      </c>
      <c r="CD133">
        <v>0</v>
      </c>
      <c r="CE133">
        <v>0</v>
      </c>
      <c r="CF133" t="str">
        <v>C104</v>
      </c>
      <c r="CG133" t="str">
        <v>C106</v>
      </c>
      <c r="CH133" t="str">
        <v>C114</v>
      </c>
      <c r="CI133">
        <v>0</v>
      </c>
      <c r="CJ133">
        <v>0</v>
      </c>
      <c r="CK133">
        <v>0</v>
      </c>
      <c r="CL133">
        <v>0</v>
      </c>
      <c r="CM133" t="str">
        <v>C121</v>
      </c>
      <c r="CN133" t="str">
        <v>C152</v>
      </c>
      <c r="CO133" t="str">
        <v>C175</v>
      </c>
      <c r="CP133">
        <v>0</v>
      </c>
      <c r="CQ133">
        <v>0</v>
      </c>
      <c r="CR133">
        <v>0</v>
      </c>
      <c r="CS133">
        <v>0</v>
      </c>
      <c r="CT133">
        <v>0</v>
      </c>
      <c r="CU133">
        <v>0</v>
      </c>
      <c r="CV133">
        <v>0</v>
      </c>
      <c r="CW133">
        <v>0</v>
      </c>
      <c r="CX133">
        <v>0</v>
      </c>
      <c r="CY133">
        <v>0</v>
      </c>
      <c r="CZ133">
        <v>0</v>
      </c>
      <c r="DA133">
        <v>0</v>
      </c>
      <c r="DB133">
        <v>0</v>
      </c>
      <c r="DC133">
        <v>0</v>
      </c>
      <c r="DD133">
        <v>0</v>
      </c>
      <c r="DE133">
        <v>0</v>
      </c>
      <c r="DF133">
        <v>0</v>
      </c>
      <c r="DG133">
        <v>0</v>
      </c>
      <c r="DH133">
        <v>0</v>
      </c>
      <c r="DI133">
        <v>0</v>
      </c>
      <c r="DJ133">
        <v>0</v>
      </c>
      <c r="DK133">
        <v>0</v>
      </c>
      <c r="DL133">
        <v>0</v>
      </c>
      <c r="DM133">
        <v>0</v>
      </c>
      <c r="DN133">
        <v>0</v>
      </c>
      <c r="DO133">
        <v>0</v>
      </c>
      <c r="DP133">
        <v>0</v>
      </c>
      <c r="DQ133">
        <v>0</v>
      </c>
      <c r="DR133">
        <v>0</v>
      </c>
      <c r="DS133">
        <v>0</v>
      </c>
      <c r="DT133">
        <v>0</v>
      </c>
      <c r="DU133">
        <v>0</v>
      </c>
      <c r="DV133">
        <v>0</v>
      </c>
      <c r="DW133">
        <v>0</v>
      </c>
      <c r="DX133">
        <v>0</v>
      </c>
      <c r="DY133">
        <v>0</v>
      </c>
      <c r="DZ133">
        <v>0</v>
      </c>
      <c r="EA133">
        <v>0</v>
      </c>
      <c r="EB133">
        <v>0</v>
      </c>
      <c r="EC133">
        <v>0</v>
      </c>
      <c r="ED133">
        <v>0</v>
      </c>
      <c r="EE133">
        <v>0</v>
      </c>
      <c r="EF133">
        <v>0</v>
      </c>
      <c r="EG133">
        <v>0</v>
      </c>
      <c r="EH133">
        <v>0</v>
      </c>
      <c r="EI133">
        <v>0</v>
      </c>
      <c r="EJ133">
        <v>0</v>
      </c>
      <c r="EK133">
        <v>0</v>
      </c>
      <c r="EL133">
        <v>0</v>
      </c>
      <c r="EM133">
        <v>0</v>
      </c>
      <c r="EN133">
        <v>0</v>
      </c>
      <c r="EO133">
        <v>0</v>
      </c>
      <c r="EP133">
        <v>0</v>
      </c>
      <c r="EQ133">
        <v>0</v>
      </c>
      <c r="ER133">
        <v>0</v>
      </c>
      <c r="ES133">
        <v>0</v>
      </c>
      <c r="ET133">
        <v>0</v>
      </c>
      <c r="EU133">
        <v>0</v>
      </c>
      <c r="EV133">
        <v>0</v>
      </c>
      <c r="EW133">
        <v>0</v>
      </c>
      <c r="EX133">
        <v>0</v>
      </c>
      <c r="EY133">
        <v>0</v>
      </c>
      <c r="EZ133">
        <v>0</v>
      </c>
      <c r="FA133">
        <v>0</v>
      </c>
      <c r="FB133">
        <v>0</v>
      </c>
      <c r="FC133">
        <v>0</v>
      </c>
      <c r="FD133">
        <v>0</v>
      </c>
      <c r="FE133">
        <v>0</v>
      </c>
      <c r="FF133">
        <v>0</v>
      </c>
      <c r="FG133">
        <v>0</v>
      </c>
      <c r="FH133">
        <v>0</v>
      </c>
      <c r="FI133">
        <v>0</v>
      </c>
      <c r="FJ133">
        <v>0</v>
      </c>
      <c r="FK133">
        <v>0</v>
      </c>
      <c r="FL133">
        <v>0</v>
      </c>
      <c r="FM133">
        <v>0</v>
      </c>
      <c r="FN133">
        <v>0</v>
      </c>
      <c r="FO133">
        <v>0</v>
      </c>
      <c r="FP133">
        <v>0</v>
      </c>
      <c r="FQ133">
        <v>0</v>
      </c>
      <c r="FR133">
        <v>0</v>
      </c>
      <c r="FS133">
        <v>0</v>
      </c>
      <c r="FT133">
        <v>0</v>
      </c>
      <c r="FU133">
        <v>0</v>
      </c>
      <c r="FV133">
        <v>0</v>
      </c>
      <c r="FW133">
        <v>0</v>
      </c>
      <c r="FX133">
        <v>0</v>
      </c>
      <c r="FY133">
        <v>0</v>
      </c>
      <c r="FZ133">
        <v>0</v>
      </c>
      <c r="GA133">
        <v>0</v>
      </c>
      <c r="GB133">
        <v>0</v>
      </c>
      <c r="GC133">
        <v>0</v>
      </c>
      <c r="GD133">
        <v>0</v>
      </c>
      <c r="GE133">
        <v>0</v>
      </c>
      <c r="GF133">
        <v>0</v>
      </c>
      <c r="GG133">
        <v>0</v>
      </c>
      <c r="GH133">
        <v>0</v>
      </c>
      <c r="GI133">
        <v>0</v>
      </c>
      <c r="GJ133">
        <v>0</v>
      </c>
      <c r="GK133">
        <v>0</v>
      </c>
      <c r="GL133">
        <v>0</v>
      </c>
      <c r="GM133">
        <v>0</v>
      </c>
      <c r="GN133">
        <v>0</v>
      </c>
      <c r="GO133">
        <v>0</v>
      </c>
      <c r="GP133">
        <v>0</v>
      </c>
      <c r="GQ133">
        <v>0</v>
      </c>
      <c r="GR133">
        <v>0</v>
      </c>
      <c r="GS133">
        <v>0</v>
      </c>
      <c r="GT133">
        <v>0</v>
      </c>
      <c r="GU133">
        <v>0</v>
      </c>
      <c r="GV133">
        <v>0</v>
      </c>
      <c r="GW133">
        <v>0</v>
      </c>
      <c r="GX133">
        <v>0</v>
      </c>
      <c r="GY133">
        <v>0</v>
      </c>
      <c r="GZ133">
        <v>0</v>
      </c>
      <c r="HA133">
        <v>0</v>
      </c>
      <c r="HB133">
        <v>0</v>
      </c>
      <c r="HC133">
        <v>0</v>
      </c>
      <c r="HD133">
        <v>0</v>
      </c>
      <c r="HE133">
        <v>0</v>
      </c>
      <c r="HF133">
        <v>0</v>
      </c>
      <c r="HG133">
        <v>0</v>
      </c>
      <c r="HH133">
        <v>0</v>
      </c>
      <c r="HI133">
        <v>0</v>
      </c>
      <c r="HJ133">
        <v>0</v>
      </c>
      <c r="HK133">
        <v>0</v>
      </c>
      <c r="HL133">
        <v>0</v>
      </c>
      <c r="HM133">
        <v>0</v>
      </c>
      <c r="HN133">
        <v>0</v>
      </c>
      <c r="HO133">
        <v>0</v>
      </c>
      <c r="HP133">
        <v>0</v>
      </c>
      <c r="HQ133">
        <v>0</v>
      </c>
      <c r="HR133">
        <v>0</v>
      </c>
      <c r="HS133">
        <v>0</v>
      </c>
      <c r="HT133">
        <v>0</v>
      </c>
      <c r="HU133">
        <v>0</v>
      </c>
      <c r="HV133">
        <v>0</v>
      </c>
      <c r="HW133">
        <v>0</v>
      </c>
      <c r="HX133">
        <v>0</v>
      </c>
      <c r="HY133">
        <v>0</v>
      </c>
      <c r="HZ133">
        <v>0</v>
      </c>
      <c r="IA133">
        <v>0</v>
      </c>
      <c r="IB133">
        <v>0</v>
      </c>
      <c r="IC133">
        <v>0</v>
      </c>
      <c r="ID133">
        <v>0</v>
      </c>
      <c r="IE133">
        <v>0</v>
      </c>
      <c r="IF133">
        <v>0</v>
      </c>
      <c r="IG133">
        <v>0</v>
      </c>
      <c r="IH133">
        <v>0</v>
      </c>
      <c r="II133">
        <v>0</v>
      </c>
      <c r="IJ133">
        <v>0</v>
      </c>
      <c r="IK133">
        <v>0</v>
      </c>
      <c r="IL133">
        <v>0</v>
      </c>
      <c r="IM133">
        <v>0</v>
      </c>
      <c r="IN133">
        <v>0</v>
      </c>
      <c r="IO133">
        <v>0</v>
      </c>
      <c r="IP133">
        <v>0</v>
      </c>
      <c r="IQ133">
        <v>0</v>
      </c>
      <c r="IR133">
        <v>0</v>
      </c>
      <c r="IS133">
        <v>0</v>
      </c>
      <c r="IT133">
        <v>0</v>
      </c>
      <c r="IU133">
        <v>0</v>
      </c>
      <c r="IV133">
        <v>0</v>
      </c>
      <c r="IW133">
        <v>0</v>
      </c>
      <c r="IX133">
        <v>0</v>
      </c>
      <c r="IY133">
        <v>0</v>
      </c>
      <c r="IZ133">
        <v>0</v>
      </c>
      <c r="JA133">
        <v>0</v>
      </c>
      <c r="JB133">
        <v>0</v>
      </c>
      <c r="JC133">
        <v>0</v>
      </c>
      <c r="JD133">
        <v>0</v>
      </c>
      <c r="JE133">
        <v>0</v>
      </c>
      <c r="JF133">
        <v>0</v>
      </c>
      <c r="JG133">
        <v>0</v>
      </c>
      <c r="JH133">
        <v>0</v>
      </c>
      <c r="JI133">
        <v>0</v>
      </c>
      <c r="JJ133">
        <v>0</v>
      </c>
      <c r="JK133">
        <v>0</v>
      </c>
      <c r="JL133">
        <v>0</v>
      </c>
      <c r="JM133">
        <v>0</v>
      </c>
      <c r="JN133">
        <v>0</v>
      </c>
      <c r="JO133">
        <v>0</v>
      </c>
      <c r="JP133">
        <v>0</v>
      </c>
      <c r="JQ133">
        <v>0</v>
      </c>
      <c r="JR133">
        <v>0</v>
      </c>
      <c r="JS133">
        <v>0</v>
      </c>
      <c r="JT133">
        <v>0</v>
      </c>
      <c r="JU133">
        <v>0</v>
      </c>
      <c r="JV133">
        <v>0</v>
      </c>
      <c r="JW133">
        <v>0</v>
      </c>
      <c r="JX133">
        <v>0</v>
      </c>
      <c r="JY133">
        <v>0</v>
      </c>
      <c r="JZ133">
        <v>0</v>
      </c>
      <c r="KA133">
        <v>0</v>
      </c>
      <c r="KB133">
        <v>0</v>
      </c>
      <c r="KC133">
        <v>0</v>
      </c>
      <c r="KD133">
        <v>0</v>
      </c>
      <c r="KE133">
        <v>0</v>
      </c>
      <c r="KF133">
        <v>0</v>
      </c>
      <c r="KG133">
        <v>0</v>
      </c>
      <c r="KH133">
        <v>0</v>
      </c>
      <c r="KI133">
        <v>0</v>
      </c>
      <c r="KJ133">
        <v>0</v>
      </c>
      <c r="KK133">
        <v>0</v>
      </c>
      <c r="KL133">
        <v>0</v>
      </c>
      <c r="KM133">
        <v>0</v>
      </c>
      <c r="KN133">
        <v>0</v>
      </c>
      <c r="KO133">
        <v>0</v>
      </c>
      <c r="KP133">
        <v>0</v>
      </c>
      <c r="KQ133">
        <v>0</v>
      </c>
      <c r="KR133">
        <v>0</v>
      </c>
      <c r="KS133">
        <v>0</v>
      </c>
      <c r="KT133">
        <v>0</v>
      </c>
      <c r="KU133">
        <v>0</v>
      </c>
      <c r="KV133">
        <v>0</v>
      </c>
      <c r="KW133">
        <v>0</v>
      </c>
      <c r="KX133">
        <v>0</v>
      </c>
      <c r="KY133">
        <v>0</v>
      </c>
      <c r="KZ133">
        <v>0</v>
      </c>
      <c r="LA133">
        <v>0</v>
      </c>
      <c r="LB133">
        <v>0</v>
      </c>
      <c r="LC133">
        <v>0</v>
      </c>
      <c r="LD133">
        <v>0</v>
      </c>
      <c r="LE133">
        <v>0</v>
      </c>
      <c r="LF133">
        <v>0</v>
      </c>
      <c r="LG133">
        <v>0</v>
      </c>
      <c r="LH133">
        <v>0</v>
      </c>
      <c r="LI133">
        <v>0</v>
      </c>
      <c r="LJ133">
        <v>0</v>
      </c>
      <c r="LK133">
        <v>0</v>
      </c>
      <c r="LL133">
        <v>0</v>
      </c>
      <c r="LM133">
        <v>0</v>
      </c>
      <c r="LN133">
        <v>0</v>
      </c>
      <c r="LO133">
        <v>0</v>
      </c>
      <c r="LP133">
        <v>0</v>
      </c>
      <c r="LQ133">
        <v>0</v>
      </c>
      <c r="LR133">
        <v>0</v>
      </c>
      <c r="LS133">
        <v>0</v>
      </c>
      <c r="LT133">
        <v>0</v>
      </c>
      <c r="LU133">
        <v>0</v>
      </c>
      <c r="LV133">
        <v>0</v>
      </c>
      <c r="LW133">
        <v>0</v>
      </c>
      <c r="LX133">
        <v>0</v>
      </c>
      <c r="LY133">
        <v>0</v>
      </c>
      <c r="LZ133">
        <v>0</v>
      </c>
      <c r="MA133">
        <v>0</v>
      </c>
      <c r="MB133">
        <v>0</v>
      </c>
      <c r="MC133">
        <v>0</v>
      </c>
      <c r="MD133">
        <v>0</v>
      </c>
      <c r="ME133">
        <v>0</v>
      </c>
      <c r="MF133">
        <v>0</v>
      </c>
      <c r="MG133">
        <v>0</v>
      </c>
      <c r="MH133">
        <v>0</v>
      </c>
      <c r="MI133">
        <v>0</v>
      </c>
      <c r="MJ133">
        <v>0</v>
      </c>
      <c r="MK133">
        <v>0</v>
      </c>
      <c r="ML133">
        <v>0</v>
      </c>
      <c r="MM133">
        <v>0</v>
      </c>
      <c r="MN133">
        <v>0</v>
      </c>
      <c r="MO133">
        <v>0</v>
      </c>
      <c r="MP133">
        <v>0</v>
      </c>
      <c r="MQ133">
        <v>0</v>
      </c>
      <c r="MR133">
        <v>0</v>
      </c>
      <c r="MS133">
        <v>0</v>
      </c>
      <c r="MT133">
        <v>0</v>
      </c>
      <c r="MU133">
        <v>0</v>
      </c>
      <c r="MV133">
        <v>0</v>
      </c>
      <c r="MW133">
        <v>0</v>
      </c>
      <c r="MX133">
        <v>0</v>
      </c>
      <c r="MY133">
        <v>0</v>
      </c>
      <c r="MZ133">
        <v>0</v>
      </c>
      <c r="NA133">
        <v>0</v>
      </c>
      <c r="NB133">
        <v>0</v>
      </c>
      <c r="NC133">
        <v>0</v>
      </c>
      <c r="ND133">
        <v>0</v>
      </c>
      <c r="NE133">
        <v>0</v>
      </c>
    </row>
    <row r="134" spans="41:369" x14ac:dyDescent="0.45">
      <c r="AO134" t="str">
        <v>B155</v>
      </c>
      <c r="AP134" t="str">
        <v>MUHAMMED A</v>
      </c>
      <c r="AQ134" t="str">
        <v>DAHF</v>
      </c>
      <c r="AR134" t="str">
        <v>JUNIOR</v>
      </c>
      <c r="AS134">
        <v>4</v>
      </c>
      <c r="AT134">
        <v>8</v>
      </c>
      <c r="AU134">
        <v>0</v>
      </c>
      <c r="AV134">
        <v>8</v>
      </c>
      <c r="AW134">
        <v>8</v>
      </c>
      <c r="AX134">
        <v>147</v>
      </c>
      <c r="AY134" s="5">
        <v>147</v>
      </c>
      <c r="AZ134" t="str">
        <v>SN43</v>
      </c>
      <c r="BA134" t="str">
        <v>SPEECH ARB</v>
      </c>
      <c r="BB134" t="str">
        <v>SENIOR</v>
      </c>
      <c r="BC134" t="str">
        <v>Single</v>
      </c>
      <c r="BD134" t="str">
        <v>Stage</v>
      </c>
      <c r="BE134">
        <v>3</v>
      </c>
      <c r="BF134" t="str">
        <v>Individual</v>
      </c>
      <c r="BG134" t="str">
        <v>Individual</v>
      </c>
      <c r="BH134" t="str">
        <v>P</v>
      </c>
      <c r="BI134" t="str">
        <v>PUBLISHED</v>
      </c>
      <c r="BK134">
        <v>128</v>
      </c>
      <c r="BL134" t="str">
        <v>SN39</v>
      </c>
      <c r="BM134" t="str">
        <v>REVERSE QUIZ</v>
      </c>
      <c r="BN134">
        <v>2</v>
      </c>
      <c r="BO134" t="str">
        <v>Single</v>
      </c>
      <c r="BP134" t="str">
        <v>Stage</v>
      </c>
      <c r="BQ134" t="str">
        <v>SENIOR</v>
      </c>
      <c r="BR134" t="str">
        <v>C115</v>
      </c>
      <c r="BS134" t="str">
        <v>C162</v>
      </c>
      <c r="BT134">
        <v>0</v>
      </c>
      <c r="BU134">
        <v>0</v>
      </c>
      <c r="BV134">
        <v>0</v>
      </c>
      <c r="BW134">
        <v>0</v>
      </c>
      <c r="BX134">
        <v>0</v>
      </c>
      <c r="BY134" t="str">
        <v>C133</v>
      </c>
      <c r="BZ134" t="str">
        <v>C144</v>
      </c>
      <c r="CA134">
        <v>0</v>
      </c>
      <c r="CB134">
        <v>0</v>
      </c>
      <c r="CC134">
        <v>0</v>
      </c>
      <c r="CD134">
        <v>0</v>
      </c>
      <c r="CE134">
        <v>0</v>
      </c>
      <c r="CF134" t="str">
        <v>C103</v>
      </c>
      <c r="CG134" t="str">
        <v>C148</v>
      </c>
      <c r="CH134">
        <v>0</v>
      </c>
      <c r="CI134">
        <v>0</v>
      </c>
      <c r="CJ134">
        <v>0</v>
      </c>
      <c r="CK134">
        <v>0</v>
      </c>
      <c r="CL134">
        <v>0</v>
      </c>
      <c r="CM134" t="str">
        <v>C140</v>
      </c>
      <c r="CN134" t="str">
        <v>C143</v>
      </c>
      <c r="CO134">
        <v>0</v>
      </c>
      <c r="CP134">
        <v>0</v>
      </c>
      <c r="CQ134">
        <v>0</v>
      </c>
      <c r="CR134">
        <v>0</v>
      </c>
      <c r="CS134">
        <v>0</v>
      </c>
      <c r="CT134">
        <v>0</v>
      </c>
      <c r="CU134">
        <v>0</v>
      </c>
      <c r="CV134">
        <v>0</v>
      </c>
      <c r="CW134">
        <v>0</v>
      </c>
      <c r="CX134">
        <v>0</v>
      </c>
      <c r="CY134">
        <v>0</v>
      </c>
      <c r="CZ134">
        <v>0</v>
      </c>
      <c r="DA134">
        <v>0</v>
      </c>
      <c r="DB134">
        <v>0</v>
      </c>
      <c r="DC134">
        <v>0</v>
      </c>
      <c r="DD134">
        <v>0</v>
      </c>
      <c r="DE134">
        <v>0</v>
      </c>
      <c r="DF134">
        <v>0</v>
      </c>
      <c r="DG134">
        <v>0</v>
      </c>
      <c r="DH134">
        <v>0</v>
      </c>
      <c r="DI134">
        <v>0</v>
      </c>
      <c r="DJ134">
        <v>0</v>
      </c>
      <c r="DK134">
        <v>0</v>
      </c>
      <c r="DL134">
        <v>0</v>
      </c>
      <c r="DM134">
        <v>0</v>
      </c>
      <c r="DN134">
        <v>0</v>
      </c>
      <c r="DO134">
        <v>0</v>
      </c>
      <c r="DP134">
        <v>0</v>
      </c>
      <c r="DQ134">
        <v>0</v>
      </c>
      <c r="DR134">
        <v>0</v>
      </c>
      <c r="DS134">
        <v>0</v>
      </c>
      <c r="DT134">
        <v>0</v>
      </c>
      <c r="DU134">
        <v>0</v>
      </c>
      <c r="DV134">
        <v>0</v>
      </c>
      <c r="DW134">
        <v>0</v>
      </c>
      <c r="DX134">
        <v>0</v>
      </c>
      <c r="DY134">
        <v>0</v>
      </c>
      <c r="DZ134">
        <v>0</v>
      </c>
      <c r="EA134">
        <v>0</v>
      </c>
      <c r="EB134">
        <v>0</v>
      </c>
      <c r="EC134">
        <v>0</v>
      </c>
      <c r="ED134">
        <v>0</v>
      </c>
      <c r="EE134">
        <v>0</v>
      </c>
      <c r="EF134">
        <v>0</v>
      </c>
      <c r="EG134">
        <v>0</v>
      </c>
      <c r="EH134">
        <v>0</v>
      </c>
      <c r="EI134">
        <v>0</v>
      </c>
      <c r="EJ134">
        <v>0</v>
      </c>
      <c r="EK134">
        <v>0</v>
      </c>
      <c r="EL134">
        <v>0</v>
      </c>
      <c r="EM134">
        <v>0</v>
      </c>
      <c r="EN134">
        <v>0</v>
      </c>
      <c r="EO134">
        <v>0</v>
      </c>
      <c r="EP134">
        <v>0</v>
      </c>
      <c r="EQ134">
        <v>0</v>
      </c>
      <c r="ER134">
        <v>0</v>
      </c>
      <c r="ES134">
        <v>0</v>
      </c>
      <c r="ET134">
        <v>0</v>
      </c>
      <c r="EU134">
        <v>0</v>
      </c>
      <c r="EV134">
        <v>0</v>
      </c>
      <c r="EW134">
        <v>0</v>
      </c>
      <c r="EX134">
        <v>0</v>
      </c>
      <c r="EY134">
        <v>0</v>
      </c>
      <c r="EZ134">
        <v>0</v>
      </c>
      <c r="FA134">
        <v>0</v>
      </c>
      <c r="FB134">
        <v>0</v>
      </c>
      <c r="FC134">
        <v>0</v>
      </c>
      <c r="FD134">
        <v>0</v>
      </c>
      <c r="FE134">
        <v>0</v>
      </c>
      <c r="FF134">
        <v>0</v>
      </c>
      <c r="FG134">
        <v>0</v>
      </c>
      <c r="FH134">
        <v>0</v>
      </c>
      <c r="FI134">
        <v>0</v>
      </c>
      <c r="FJ134">
        <v>0</v>
      </c>
      <c r="FK134">
        <v>0</v>
      </c>
      <c r="FL134">
        <v>0</v>
      </c>
      <c r="FM134">
        <v>0</v>
      </c>
      <c r="FN134">
        <v>0</v>
      </c>
      <c r="FO134">
        <v>0</v>
      </c>
      <c r="FP134">
        <v>0</v>
      </c>
      <c r="FQ134">
        <v>0</v>
      </c>
      <c r="FR134">
        <v>0</v>
      </c>
      <c r="FS134">
        <v>0</v>
      </c>
      <c r="FT134">
        <v>0</v>
      </c>
      <c r="FU134">
        <v>0</v>
      </c>
      <c r="FV134">
        <v>0</v>
      </c>
      <c r="FW134">
        <v>0</v>
      </c>
      <c r="FX134">
        <v>0</v>
      </c>
      <c r="FY134">
        <v>0</v>
      </c>
      <c r="FZ134">
        <v>0</v>
      </c>
      <c r="GA134">
        <v>0</v>
      </c>
      <c r="GB134">
        <v>0</v>
      </c>
      <c r="GC134">
        <v>0</v>
      </c>
      <c r="GD134">
        <v>0</v>
      </c>
      <c r="GE134">
        <v>0</v>
      </c>
      <c r="GF134">
        <v>0</v>
      </c>
      <c r="GG134">
        <v>0</v>
      </c>
      <c r="GH134">
        <v>0</v>
      </c>
      <c r="GI134">
        <v>0</v>
      </c>
      <c r="GJ134">
        <v>0</v>
      </c>
      <c r="GK134">
        <v>0</v>
      </c>
      <c r="GL134">
        <v>0</v>
      </c>
      <c r="GM134">
        <v>0</v>
      </c>
      <c r="GN134">
        <v>0</v>
      </c>
      <c r="GO134">
        <v>0</v>
      </c>
      <c r="GP134">
        <v>0</v>
      </c>
      <c r="GQ134">
        <v>0</v>
      </c>
      <c r="GR134">
        <v>0</v>
      </c>
      <c r="GS134">
        <v>0</v>
      </c>
      <c r="GT134">
        <v>0</v>
      </c>
      <c r="GU134">
        <v>0</v>
      </c>
      <c r="GV134">
        <v>0</v>
      </c>
      <c r="GW134">
        <v>0</v>
      </c>
      <c r="GX134">
        <v>0</v>
      </c>
      <c r="GY134">
        <v>0</v>
      </c>
      <c r="GZ134">
        <v>0</v>
      </c>
      <c r="HA134">
        <v>0</v>
      </c>
      <c r="HB134">
        <v>0</v>
      </c>
      <c r="HC134">
        <v>0</v>
      </c>
      <c r="HD134">
        <v>0</v>
      </c>
      <c r="HE134">
        <v>0</v>
      </c>
      <c r="HF134">
        <v>0</v>
      </c>
      <c r="HG134">
        <v>0</v>
      </c>
      <c r="HH134">
        <v>0</v>
      </c>
      <c r="HI134">
        <v>0</v>
      </c>
      <c r="HJ134">
        <v>0</v>
      </c>
      <c r="HK134">
        <v>0</v>
      </c>
      <c r="HL134">
        <v>0</v>
      </c>
      <c r="HM134">
        <v>0</v>
      </c>
      <c r="HN134">
        <v>0</v>
      </c>
      <c r="HO134">
        <v>0</v>
      </c>
      <c r="HP134">
        <v>0</v>
      </c>
      <c r="HQ134">
        <v>0</v>
      </c>
      <c r="HR134">
        <v>0</v>
      </c>
      <c r="HS134">
        <v>0</v>
      </c>
      <c r="HT134">
        <v>0</v>
      </c>
      <c r="HU134">
        <v>0</v>
      </c>
      <c r="HV134">
        <v>0</v>
      </c>
      <c r="HW134">
        <v>0</v>
      </c>
      <c r="HX134">
        <v>0</v>
      </c>
      <c r="HY134">
        <v>0</v>
      </c>
      <c r="HZ134">
        <v>0</v>
      </c>
      <c r="IA134">
        <v>0</v>
      </c>
      <c r="IB134">
        <v>0</v>
      </c>
      <c r="IC134">
        <v>0</v>
      </c>
      <c r="ID134">
        <v>0</v>
      </c>
      <c r="IE134">
        <v>0</v>
      </c>
      <c r="IF134">
        <v>0</v>
      </c>
      <c r="IG134">
        <v>0</v>
      </c>
      <c r="IH134">
        <v>0</v>
      </c>
      <c r="II134">
        <v>0</v>
      </c>
      <c r="IJ134">
        <v>0</v>
      </c>
      <c r="IK134">
        <v>0</v>
      </c>
      <c r="IL134">
        <v>0</v>
      </c>
      <c r="IM134">
        <v>0</v>
      </c>
      <c r="IN134">
        <v>0</v>
      </c>
      <c r="IO134">
        <v>0</v>
      </c>
      <c r="IP134">
        <v>0</v>
      </c>
      <c r="IQ134">
        <v>0</v>
      </c>
      <c r="IR134">
        <v>0</v>
      </c>
      <c r="IS134">
        <v>0</v>
      </c>
      <c r="IT134">
        <v>0</v>
      </c>
      <c r="IU134">
        <v>0</v>
      </c>
      <c r="IV134">
        <v>0</v>
      </c>
      <c r="IW134">
        <v>0</v>
      </c>
      <c r="IX134">
        <v>0</v>
      </c>
      <c r="IY134">
        <v>0</v>
      </c>
      <c r="IZ134">
        <v>0</v>
      </c>
      <c r="JA134">
        <v>0</v>
      </c>
      <c r="JB134">
        <v>0</v>
      </c>
      <c r="JC134">
        <v>0</v>
      </c>
      <c r="JD134">
        <v>0</v>
      </c>
      <c r="JE134">
        <v>0</v>
      </c>
      <c r="JF134">
        <v>0</v>
      </c>
      <c r="JG134">
        <v>0</v>
      </c>
      <c r="JH134">
        <v>0</v>
      </c>
      <c r="JI134">
        <v>0</v>
      </c>
      <c r="JJ134">
        <v>0</v>
      </c>
      <c r="JK134">
        <v>0</v>
      </c>
      <c r="JL134">
        <v>0</v>
      </c>
      <c r="JM134">
        <v>0</v>
      </c>
      <c r="JN134">
        <v>0</v>
      </c>
      <c r="JO134">
        <v>0</v>
      </c>
      <c r="JP134">
        <v>0</v>
      </c>
      <c r="JQ134">
        <v>0</v>
      </c>
      <c r="JR134">
        <v>0</v>
      </c>
      <c r="JS134">
        <v>0</v>
      </c>
      <c r="JT134">
        <v>0</v>
      </c>
      <c r="JU134">
        <v>0</v>
      </c>
      <c r="JV134">
        <v>0</v>
      </c>
      <c r="JW134">
        <v>0</v>
      </c>
      <c r="JX134">
        <v>0</v>
      </c>
      <c r="JY134">
        <v>0</v>
      </c>
      <c r="JZ134">
        <v>0</v>
      </c>
      <c r="KA134">
        <v>0</v>
      </c>
      <c r="KB134">
        <v>0</v>
      </c>
      <c r="KC134">
        <v>0</v>
      </c>
      <c r="KD134">
        <v>0</v>
      </c>
      <c r="KE134">
        <v>0</v>
      </c>
      <c r="KF134">
        <v>0</v>
      </c>
      <c r="KG134">
        <v>0</v>
      </c>
      <c r="KH134">
        <v>0</v>
      </c>
      <c r="KI134">
        <v>0</v>
      </c>
      <c r="KJ134">
        <v>0</v>
      </c>
      <c r="KK134">
        <v>0</v>
      </c>
      <c r="KL134">
        <v>0</v>
      </c>
      <c r="KM134">
        <v>0</v>
      </c>
      <c r="KN134">
        <v>0</v>
      </c>
      <c r="KO134">
        <v>0</v>
      </c>
      <c r="KP134">
        <v>0</v>
      </c>
      <c r="KQ134">
        <v>0</v>
      </c>
      <c r="KR134">
        <v>0</v>
      </c>
      <c r="KS134">
        <v>0</v>
      </c>
      <c r="KT134">
        <v>0</v>
      </c>
      <c r="KU134">
        <v>0</v>
      </c>
      <c r="KV134">
        <v>0</v>
      </c>
      <c r="KW134">
        <v>0</v>
      </c>
      <c r="KX134">
        <v>0</v>
      </c>
      <c r="KY134">
        <v>0</v>
      </c>
      <c r="KZ134">
        <v>0</v>
      </c>
      <c r="LA134">
        <v>0</v>
      </c>
      <c r="LB134">
        <v>0</v>
      </c>
      <c r="LC134">
        <v>0</v>
      </c>
      <c r="LD134">
        <v>0</v>
      </c>
      <c r="LE134">
        <v>0</v>
      </c>
      <c r="LF134">
        <v>0</v>
      </c>
      <c r="LG134">
        <v>0</v>
      </c>
      <c r="LH134">
        <v>0</v>
      </c>
      <c r="LI134">
        <v>0</v>
      </c>
      <c r="LJ134">
        <v>0</v>
      </c>
      <c r="LK134">
        <v>0</v>
      </c>
      <c r="LL134">
        <v>0</v>
      </c>
      <c r="LM134">
        <v>0</v>
      </c>
      <c r="LN134">
        <v>0</v>
      </c>
      <c r="LO134">
        <v>0</v>
      </c>
      <c r="LP134">
        <v>0</v>
      </c>
      <c r="LQ134">
        <v>0</v>
      </c>
      <c r="LR134">
        <v>0</v>
      </c>
      <c r="LS134">
        <v>0</v>
      </c>
      <c r="LT134">
        <v>0</v>
      </c>
      <c r="LU134">
        <v>0</v>
      </c>
      <c r="LV134">
        <v>0</v>
      </c>
      <c r="LW134">
        <v>0</v>
      </c>
      <c r="LX134">
        <v>0</v>
      </c>
      <c r="LY134">
        <v>0</v>
      </c>
      <c r="LZ134">
        <v>0</v>
      </c>
      <c r="MA134">
        <v>0</v>
      </c>
      <c r="MB134">
        <v>0</v>
      </c>
      <c r="MC134">
        <v>0</v>
      </c>
      <c r="MD134">
        <v>0</v>
      </c>
      <c r="ME134">
        <v>0</v>
      </c>
      <c r="MF134">
        <v>0</v>
      </c>
      <c r="MG134">
        <v>0</v>
      </c>
      <c r="MH134">
        <v>0</v>
      </c>
      <c r="MI134">
        <v>0</v>
      </c>
      <c r="MJ134">
        <v>0</v>
      </c>
      <c r="MK134">
        <v>0</v>
      </c>
      <c r="ML134">
        <v>0</v>
      </c>
      <c r="MM134">
        <v>0</v>
      </c>
      <c r="MN134">
        <v>0</v>
      </c>
      <c r="MO134">
        <v>0</v>
      </c>
      <c r="MP134">
        <v>0</v>
      </c>
      <c r="MQ134">
        <v>0</v>
      </c>
      <c r="MR134">
        <v>0</v>
      </c>
      <c r="MS134">
        <v>0</v>
      </c>
      <c r="MT134">
        <v>0</v>
      </c>
      <c r="MU134">
        <v>0</v>
      </c>
      <c r="MV134">
        <v>0</v>
      </c>
      <c r="MW134">
        <v>0</v>
      </c>
      <c r="MX134">
        <v>0</v>
      </c>
      <c r="MY134">
        <v>0</v>
      </c>
      <c r="MZ134">
        <v>0</v>
      </c>
      <c r="NA134">
        <v>0</v>
      </c>
      <c r="NB134">
        <v>0</v>
      </c>
      <c r="NC134">
        <v>0</v>
      </c>
      <c r="ND134">
        <v>0</v>
      </c>
      <c r="NE134">
        <v>0</v>
      </c>
    </row>
    <row r="135" spans="41:369" x14ac:dyDescent="0.45">
      <c r="AO135" t="str">
        <v>B156</v>
      </c>
      <c r="AP135" t="str">
        <v>MOHAMMED ANAS A.A</v>
      </c>
      <c r="AQ135" t="str">
        <v>JARF</v>
      </c>
      <c r="AR135" t="str">
        <v>JUNIOR</v>
      </c>
      <c r="AS135">
        <v>4</v>
      </c>
      <c r="AT135">
        <v>0</v>
      </c>
      <c r="AU135">
        <v>0</v>
      </c>
      <c r="AV135">
        <v>0</v>
      </c>
      <c r="AW135">
        <v>0</v>
      </c>
      <c r="AX135">
        <v>255</v>
      </c>
      <c r="AY135" s="5">
        <v>255</v>
      </c>
      <c r="AZ135" t="str">
        <v>SN44</v>
      </c>
      <c r="BA135" t="str">
        <v xml:space="preserve">SPEECH ENG </v>
      </c>
      <c r="BB135" t="str">
        <v>SENIOR</v>
      </c>
      <c r="BC135" t="str">
        <v>Single</v>
      </c>
      <c r="BD135" t="str">
        <v>Stage</v>
      </c>
      <c r="BE135">
        <v>3</v>
      </c>
      <c r="BF135" t="str">
        <v>Individual</v>
      </c>
      <c r="BG135" t="str">
        <v>Individual</v>
      </c>
      <c r="BH135" t="str">
        <v>P</v>
      </c>
      <c r="BI135" t="str">
        <v>PUBLISHED</v>
      </c>
      <c r="BK135">
        <v>129</v>
      </c>
      <c r="BL135" t="str">
        <v>SN40</v>
      </c>
      <c r="BM135" t="str">
        <v>SONG ENG</v>
      </c>
      <c r="BN135">
        <v>3</v>
      </c>
      <c r="BO135" t="str">
        <v>Single</v>
      </c>
      <c r="BP135" t="str">
        <v>Stage</v>
      </c>
      <c r="BQ135" t="str">
        <v>SENIOR</v>
      </c>
      <c r="BR135" t="str">
        <v>C164</v>
      </c>
      <c r="BS135" t="str">
        <v>C176</v>
      </c>
      <c r="BT135" t="str">
        <v>C155</v>
      </c>
      <c r="BU135">
        <v>0</v>
      </c>
      <c r="BV135">
        <v>0</v>
      </c>
      <c r="BW135">
        <v>0</v>
      </c>
      <c r="BX135">
        <v>0</v>
      </c>
      <c r="BY135" t="str">
        <v>C107</v>
      </c>
      <c r="BZ135" t="str">
        <v>C158</v>
      </c>
      <c r="CA135" t="str">
        <v>C179</v>
      </c>
      <c r="CB135">
        <v>0</v>
      </c>
      <c r="CC135">
        <v>0</v>
      </c>
      <c r="CD135">
        <v>0</v>
      </c>
      <c r="CE135">
        <v>0</v>
      </c>
      <c r="CF135" t="str">
        <v>C129</v>
      </c>
      <c r="CG135" t="str">
        <v>C145</v>
      </c>
      <c r="CH135" t="str">
        <v>C170</v>
      </c>
      <c r="CI135">
        <v>0</v>
      </c>
      <c r="CJ135">
        <v>0</v>
      </c>
      <c r="CK135">
        <v>0</v>
      </c>
      <c r="CL135">
        <v>0</v>
      </c>
      <c r="CM135" t="str">
        <v>C121</v>
      </c>
      <c r="CN135" t="str">
        <v>C126</v>
      </c>
      <c r="CO135" t="str">
        <v>C178</v>
      </c>
      <c r="CP135">
        <v>0</v>
      </c>
      <c r="CQ135">
        <v>0</v>
      </c>
      <c r="CR135">
        <v>0</v>
      </c>
      <c r="CS135">
        <v>0</v>
      </c>
      <c r="CT135">
        <v>0</v>
      </c>
      <c r="CU135">
        <v>0</v>
      </c>
      <c r="CV135">
        <v>0</v>
      </c>
      <c r="CW135">
        <v>0</v>
      </c>
      <c r="CX135">
        <v>0</v>
      </c>
      <c r="CY135">
        <v>0</v>
      </c>
      <c r="CZ135">
        <v>0</v>
      </c>
      <c r="DA135">
        <v>0</v>
      </c>
      <c r="DB135">
        <v>0</v>
      </c>
      <c r="DC135">
        <v>0</v>
      </c>
      <c r="DD135">
        <v>0</v>
      </c>
      <c r="DE135">
        <v>0</v>
      </c>
      <c r="DF135">
        <v>0</v>
      </c>
      <c r="DG135">
        <v>0</v>
      </c>
      <c r="DH135">
        <v>0</v>
      </c>
      <c r="DI135">
        <v>0</v>
      </c>
      <c r="DJ135">
        <v>0</v>
      </c>
      <c r="DK135">
        <v>0</v>
      </c>
      <c r="DL135">
        <v>0</v>
      </c>
      <c r="DM135">
        <v>0</v>
      </c>
      <c r="DN135">
        <v>0</v>
      </c>
      <c r="DO135">
        <v>0</v>
      </c>
      <c r="DP135">
        <v>0</v>
      </c>
      <c r="DQ135">
        <v>0</v>
      </c>
      <c r="DR135">
        <v>0</v>
      </c>
      <c r="DS135">
        <v>0</v>
      </c>
      <c r="DT135">
        <v>0</v>
      </c>
      <c r="DU135">
        <v>0</v>
      </c>
      <c r="DV135">
        <v>0</v>
      </c>
      <c r="DW135">
        <v>0</v>
      </c>
      <c r="DX135">
        <v>0</v>
      </c>
      <c r="DY135">
        <v>0</v>
      </c>
      <c r="DZ135">
        <v>0</v>
      </c>
      <c r="EA135">
        <v>0</v>
      </c>
      <c r="EB135">
        <v>0</v>
      </c>
      <c r="EC135">
        <v>0</v>
      </c>
      <c r="ED135">
        <v>0</v>
      </c>
      <c r="EE135">
        <v>0</v>
      </c>
      <c r="EF135">
        <v>0</v>
      </c>
      <c r="EG135">
        <v>0</v>
      </c>
      <c r="EH135">
        <v>0</v>
      </c>
      <c r="EI135">
        <v>0</v>
      </c>
      <c r="EJ135">
        <v>0</v>
      </c>
      <c r="EK135">
        <v>0</v>
      </c>
      <c r="EL135">
        <v>0</v>
      </c>
      <c r="EM135">
        <v>0</v>
      </c>
      <c r="EN135">
        <v>0</v>
      </c>
      <c r="EO135">
        <v>0</v>
      </c>
      <c r="EP135">
        <v>0</v>
      </c>
      <c r="EQ135">
        <v>0</v>
      </c>
      <c r="ER135">
        <v>0</v>
      </c>
      <c r="ES135">
        <v>0</v>
      </c>
      <c r="ET135">
        <v>0</v>
      </c>
      <c r="EU135">
        <v>0</v>
      </c>
      <c r="EV135">
        <v>0</v>
      </c>
      <c r="EW135">
        <v>0</v>
      </c>
      <c r="EX135">
        <v>0</v>
      </c>
      <c r="EY135">
        <v>0</v>
      </c>
      <c r="EZ135">
        <v>0</v>
      </c>
      <c r="FA135">
        <v>0</v>
      </c>
      <c r="FB135">
        <v>0</v>
      </c>
      <c r="FC135">
        <v>0</v>
      </c>
      <c r="FD135">
        <v>0</v>
      </c>
      <c r="FE135">
        <v>0</v>
      </c>
      <c r="FF135">
        <v>0</v>
      </c>
      <c r="FG135">
        <v>0</v>
      </c>
      <c r="FH135">
        <v>0</v>
      </c>
      <c r="FI135">
        <v>0</v>
      </c>
      <c r="FJ135">
        <v>0</v>
      </c>
      <c r="FK135">
        <v>0</v>
      </c>
      <c r="FL135">
        <v>0</v>
      </c>
      <c r="FM135">
        <v>0</v>
      </c>
      <c r="FN135">
        <v>0</v>
      </c>
      <c r="FO135">
        <v>0</v>
      </c>
      <c r="FP135">
        <v>0</v>
      </c>
      <c r="FQ135">
        <v>0</v>
      </c>
      <c r="FR135">
        <v>0</v>
      </c>
      <c r="FS135">
        <v>0</v>
      </c>
      <c r="FT135">
        <v>0</v>
      </c>
      <c r="FU135">
        <v>0</v>
      </c>
      <c r="FV135">
        <v>0</v>
      </c>
      <c r="FW135">
        <v>0</v>
      </c>
      <c r="FX135">
        <v>0</v>
      </c>
      <c r="FY135">
        <v>0</v>
      </c>
      <c r="FZ135">
        <v>0</v>
      </c>
      <c r="GA135">
        <v>0</v>
      </c>
      <c r="GB135">
        <v>0</v>
      </c>
      <c r="GC135">
        <v>0</v>
      </c>
      <c r="GD135">
        <v>0</v>
      </c>
      <c r="GE135">
        <v>0</v>
      </c>
      <c r="GF135">
        <v>0</v>
      </c>
      <c r="GG135">
        <v>0</v>
      </c>
      <c r="GH135">
        <v>0</v>
      </c>
      <c r="GI135">
        <v>0</v>
      </c>
      <c r="GJ135">
        <v>0</v>
      </c>
      <c r="GK135">
        <v>0</v>
      </c>
      <c r="GL135">
        <v>0</v>
      </c>
      <c r="GM135">
        <v>0</v>
      </c>
      <c r="GN135">
        <v>0</v>
      </c>
      <c r="GO135">
        <v>0</v>
      </c>
      <c r="GP135">
        <v>0</v>
      </c>
      <c r="GQ135">
        <v>0</v>
      </c>
      <c r="GR135">
        <v>0</v>
      </c>
      <c r="GS135">
        <v>0</v>
      </c>
      <c r="GT135">
        <v>0</v>
      </c>
      <c r="GU135">
        <v>0</v>
      </c>
      <c r="GV135">
        <v>0</v>
      </c>
      <c r="GW135">
        <v>0</v>
      </c>
      <c r="GX135">
        <v>0</v>
      </c>
      <c r="GY135">
        <v>0</v>
      </c>
      <c r="GZ135">
        <v>0</v>
      </c>
      <c r="HA135">
        <v>0</v>
      </c>
      <c r="HB135">
        <v>0</v>
      </c>
      <c r="HC135">
        <v>0</v>
      </c>
      <c r="HD135">
        <v>0</v>
      </c>
      <c r="HE135">
        <v>0</v>
      </c>
      <c r="HF135">
        <v>0</v>
      </c>
      <c r="HG135">
        <v>0</v>
      </c>
      <c r="HH135">
        <v>0</v>
      </c>
      <c r="HI135">
        <v>0</v>
      </c>
      <c r="HJ135">
        <v>0</v>
      </c>
      <c r="HK135">
        <v>0</v>
      </c>
      <c r="HL135">
        <v>0</v>
      </c>
      <c r="HM135">
        <v>0</v>
      </c>
      <c r="HN135">
        <v>0</v>
      </c>
      <c r="HO135">
        <v>0</v>
      </c>
      <c r="HP135">
        <v>0</v>
      </c>
      <c r="HQ135">
        <v>0</v>
      </c>
      <c r="HR135">
        <v>0</v>
      </c>
      <c r="HS135">
        <v>0</v>
      </c>
      <c r="HT135">
        <v>0</v>
      </c>
      <c r="HU135">
        <v>0</v>
      </c>
      <c r="HV135">
        <v>0</v>
      </c>
      <c r="HW135">
        <v>0</v>
      </c>
      <c r="HX135">
        <v>0</v>
      </c>
      <c r="HY135">
        <v>0</v>
      </c>
      <c r="HZ135">
        <v>0</v>
      </c>
      <c r="IA135">
        <v>0</v>
      </c>
      <c r="IB135">
        <v>0</v>
      </c>
      <c r="IC135">
        <v>0</v>
      </c>
      <c r="ID135">
        <v>0</v>
      </c>
      <c r="IE135">
        <v>0</v>
      </c>
      <c r="IF135">
        <v>0</v>
      </c>
      <c r="IG135">
        <v>0</v>
      </c>
      <c r="IH135">
        <v>0</v>
      </c>
      <c r="II135">
        <v>0</v>
      </c>
      <c r="IJ135">
        <v>0</v>
      </c>
      <c r="IK135">
        <v>0</v>
      </c>
      <c r="IL135">
        <v>0</v>
      </c>
      <c r="IM135">
        <v>0</v>
      </c>
      <c r="IN135">
        <v>0</v>
      </c>
      <c r="IO135">
        <v>0</v>
      </c>
      <c r="IP135">
        <v>0</v>
      </c>
      <c r="IQ135">
        <v>0</v>
      </c>
      <c r="IR135">
        <v>0</v>
      </c>
      <c r="IS135">
        <v>0</v>
      </c>
      <c r="IT135">
        <v>0</v>
      </c>
      <c r="IU135">
        <v>0</v>
      </c>
      <c r="IV135">
        <v>0</v>
      </c>
      <c r="IW135">
        <v>0</v>
      </c>
      <c r="IX135">
        <v>0</v>
      </c>
      <c r="IY135">
        <v>0</v>
      </c>
      <c r="IZ135">
        <v>0</v>
      </c>
      <c r="JA135">
        <v>0</v>
      </c>
      <c r="JB135">
        <v>0</v>
      </c>
      <c r="JC135">
        <v>0</v>
      </c>
      <c r="JD135">
        <v>0</v>
      </c>
      <c r="JE135">
        <v>0</v>
      </c>
      <c r="JF135">
        <v>0</v>
      </c>
      <c r="JG135">
        <v>0</v>
      </c>
      <c r="JH135">
        <v>0</v>
      </c>
      <c r="JI135">
        <v>0</v>
      </c>
      <c r="JJ135">
        <v>0</v>
      </c>
      <c r="JK135">
        <v>0</v>
      </c>
      <c r="JL135">
        <v>0</v>
      </c>
      <c r="JM135">
        <v>0</v>
      </c>
      <c r="JN135">
        <v>0</v>
      </c>
      <c r="JO135">
        <v>0</v>
      </c>
      <c r="JP135">
        <v>0</v>
      </c>
      <c r="JQ135">
        <v>0</v>
      </c>
      <c r="JR135">
        <v>0</v>
      </c>
      <c r="JS135">
        <v>0</v>
      </c>
      <c r="JT135">
        <v>0</v>
      </c>
      <c r="JU135">
        <v>0</v>
      </c>
      <c r="JV135">
        <v>0</v>
      </c>
      <c r="JW135">
        <v>0</v>
      </c>
      <c r="JX135">
        <v>0</v>
      </c>
      <c r="JY135">
        <v>0</v>
      </c>
      <c r="JZ135">
        <v>0</v>
      </c>
      <c r="KA135">
        <v>0</v>
      </c>
      <c r="KB135">
        <v>0</v>
      </c>
      <c r="KC135">
        <v>0</v>
      </c>
      <c r="KD135">
        <v>0</v>
      </c>
      <c r="KE135">
        <v>0</v>
      </c>
      <c r="KF135">
        <v>0</v>
      </c>
      <c r="KG135">
        <v>0</v>
      </c>
      <c r="KH135">
        <v>0</v>
      </c>
      <c r="KI135">
        <v>0</v>
      </c>
      <c r="KJ135">
        <v>0</v>
      </c>
      <c r="KK135">
        <v>0</v>
      </c>
      <c r="KL135">
        <v>0</v>
      </c>
      <c r="KM135">
        <v>0</v>
      </c>
      <c r="KN135">
        <v>0</v>
      </c>
      <c r="KO135">
        <v>0</v>
      </c>
      <c r="KP135">
        <v>0</v>
      </c>
      <c r="KQ135">
        <v>0</v>
      </c>
      <c r="KR135">
        <v>0</v>
      </c>
      <c r="KS135">
        <v>0</v>
      </c>
      <c r="KT135">
        <v>0</v>
      </c>
      <c r="KU135">
        <v>0</v>
      </c>
      <c r="KV135">
        <v>0</v>
      </c>
      <c r="KW135">
        <v>0</v>
      </c>
      <c r="KX135">
        <v>0</v>
      </c>
      <c r="KY135">
        <v>0</v>
      </c>
      <c r="KZ135">
        <v>0</v>
      </c>
      <c r="LA135">
        <v>0</v>
      </c>
      <c r="LB135">
        <v>0</v>
      </c>
      <c r="LC135">
        <v>0</v>
      </c>
      <c r="LD135">
        <v>0</v>
      </c>
      <c r="LE135">
        <v>0</v>
      </c>
      <c r="LF135">
        <v>0</v>
      </c>
      <c r="LG135">
        <v>0</v>
      </c>
      <c r="LH135">
        <v>0</v>
      </c>
      <c r="LI135">
        <v>0</v>
      </c>
      <c r="LJ135">
        <v>0</v>
      </c>
      <c r="LK135">
        <v>0</v>
      </c>
      <c r="LL135">
        <v>0</v>
      </c>
      <c r="LM135">
        <v>0</v>
      </c>
      <c r="LN135">
        <v>0</v>
      </c>
      <c r="LO135">
        <v>0</v>
      </c>
      <c r="LP135">
        <v>0</v>
      </c>
      <c r="LQ135">
        <v>0</v>
      </c>
      <c r="LR135">
        <v>0</v>
      </c>
      <c r="LS135">
        <v>0</v>
      </c>
      <c r="LT135">
        <v>0</v>
      </c>
      <c r="LU135">
        <v>0</v>
      </c>
      <c r="LV135">
        <v>0</v>
      </c>
      <c r="LW135">
        <v>0</v>
      </c>
      <c r="LX135">
        <v>0</v>
      </c>
      <c r="LY135">
        <v>0</v>
      </c>
      <c r="LZ135">
        <v>0</v>
      </c>
      <c r="MA135">
        <v>0</v>
      </c>
      <c r="MB135">
        <v>0</v>
      </c>
      <c r="MC135">
        <v>0</v>
      </c>
      <c r="MD135">
        <v>0</v>
      </c>
      <c r="ME135">
        <v>0</v>
      </c>
      <c r="MF135">
        <v>0</v>
      </c>
      <c r="MG135">
        <v>0</v>
      </c>
      <c r="MH135">
        <v>0</v>
      </c>
      <c r="MI135">
        <v>0</v>
      </c>
      <c r="MJ135">
        <v>0</v>
      </c>
      <c r="MK135">
        <v>0</v>
      </c>
      <c r="ML135">
        <v>0</v>
      </c>
      <c r="MM135">
        <v>0</v>
      </c>
      <c r="MN135">
        <v>0</v>
      </c>
      <c r="MO135">
        <v>0</v>
      </c>
      <c r="MP135">
        <v>0</v>
      </c>
      <c r="MQ135">
        <v>0</v>
      </c>
      <c r="MR135">
        <v>0</v>
      </c>
      <c r="MS135">
        <v>0</v>
      </c>
      <c r="MT135">
        <v>0</v>
      </c>
      <c r="MU135">
        <v>0</v>
      </c>
      <c r="MV135">
        <v>0</v>
      </c>
      <c r="MW135">
        <v>0</v>
      </c>
      <c r="MX135">
        <v>0</v>
      </c>
      <c r="MY135">
        <v>0</v>
      </c>
      <c r="MZ135">
        <v>0</v>
      </c>
      <c r="NA135">
        <v>0</v>
      </c>
      <c r="NB135">
        <v>0</v>
      </c>
      <c r="NC135">
        <v>0</v>
      </c>
      <c r="ND135">
        <v>0</v>
      </c>
      <c r="NE135">
        <v>0</v>
      </c>
    </row>
    <row r="136" spans="41:369" x14ac:dyDescent="0.45">
      <c r="AO136" t="str">
        <v>B157</v>
      </c>
      <c r="AP136" t="str">
        <v>MUHAMMED MIHRAZ</v>
      </c>
      <c r="AQ136" t="str">
        <v>FANT</v>
      </c>
      <c r="AR136" t="str">
        <v>JUNIOR</v>
      </c>
      <c r="AS136">
        <v>4</v>
      </c>
      <c r="AT136">
        <v>14</v>
      </c>
      <c r="AU136">
        <v>0</v>
      </c>
      <c r="AV136">
        <v>14</v>
      </c>
      <c r="AW136">
        <v>14</v>
      </c>
      <c r="AX136">
        <v>104</v>
      </c>
      <c r="AY136" s="5">
        <v>104</v>
      </c>
      <c r="AZ136" t="str">
        <v>SN45</v>
      </c>
      <c r="BA136" t="str">
        <v>SPEECH URD</v>
      </c>
      <c r="BB136" t="str">
        <v>SENIOR</v>
      </c>
      <c r="BC136" t="str">
        <v>Single</v>
      </c>
      <c r="BD136" t="str">
        <v>Stage</v>
      </c>
      <c r="BE136">
        <v>3</v>
      </c>
      <c r="BF136" t="str">
        <v>Individual</v>
      </c>
      <c r="BG136" t="str">
        <v>Individual</v>
      </c>
      <c r="BH136" t="str">
        <v>P</v>
      </c>
      <c r="BI136" t="str">
        <v>PUBLISHED</v>
      </c>
      <c r="BK136">
        <v>130</v>
      </c>
      <c r="BL136" t="str">
        <v>SN41</v>
      </c>
      <c r="BM136" t="str">
        <v>SONG MLM</v>
      </c>
      <c r="BN136">
        <v>3</v>
      </c>
      <c r="BO136" t="str">
        <v>Single</v>
      </c>
      <c r="BP136" t="str">
        <v>Stage</v>
      </c>
      <c r="BQ136" t="str">
        <v>SENIOR</v>
      </c>
      <c r="BR136" t="str">
        <v>C127</v>
      </c>
      <c r="BS136" t="str">
        <v>C131</v>
      </c>
      <c r="BT136" t="str">
        <v>C142</v>
      </c>
      <c r="BU136">
        <v>0</v>
      </c>
      <c r="BV136">
        <v>0</v>
      </c>
      <c r="BW136">
        <v>0</v>
      </c>
      <c r="BX136">
        <v>0</v>
      </c>
      <c r="BY136" t="str">
        <v>C120</v>
      </c>
      <c r="BZ136" t="str">
        <v>C136</v>
      </c>
      <c r="CA136" t="str">
        <v>C150</v>
      </c>
      <c r="CB136">
        <v>0</v>
      </c>
      <c r="CC136">
        <v>0</v>
      </c>
      <c r="CD136">
        <v>0</v>
      </c>
      <c r="CE136">
        <v>0</v>
      </c>
      <c r="CF136" t="str">
        <v>C124</v>
      </c>
      <c r="CG136" t="str">
        <v>C160</v>
      </c>
      <c r="CH136" t="str">
        <v>C171</v>
      </c>
      <c r="CI136">
        <v>0</v>
      </c>
      <c r="CJ136">
        <v>0</v>
      </c>
      <c r="CK136">
        <v>0</v>
      </c>
      <c r="CL136">
        <v>0</v>
      </c>
      <c r="CM136" t="str">
        <v>C126</v>
      </c>
      <c r="CN136" t="str">
        <v>C146</v>
      </c>
      <c r="CO136" t="str">
        <v>C167</v>
      </c>
      <c r="CP136">
        <v>0</v>
      </c>
      <c r="CQ136">
        <v>0</v>
      </c>
      <c r="CR136">
        <v>0</v>
      </c>
      <c r="CS136">
        <v>0</v>
      </c>
      <c r="CT136">
        <v>0</v>
      </c>
      <c r="CU136">
        <v>0</v>
      </c>
      <c r="CV136">
        <v>0</v>
      </c>
      <c r="CW136">
        <v>0</v>
      </c>
      <c r="CX136">
        <v>0</v>
      </c>
      <c r="CY136">
        <v>0</v>
      </c>
      <c r="CZ136">
        <v>0</v>
      </c>
      <c r="DA136">
        <v>0</v>
      </c>
      <c r="DB136">
        <v>0</v>
      </c>
      <c r="DC136">
        <v>0</v>
      </c>
      <c r="DD136">
        <v>0</v>
      </c>
      <c r="DE136">
        <v>0</v>
      </c>
      <c r="DF136">
        <v>0</v>
      </c>
      <c r="DG136">
        <v>0</v>
      </c>
      <c r="DH136">
        <v>0</v>
      </c>
      <c r="DI136">
        <v>0</v>
      </c>
      <c r="DJ136">
        <v>0</v>
      </c>
      <c r="DK136">
        <v>0</v>
      </c>
      <c r="DL136">
        <v>0</v>
      </c>
      <c r="DM136">
        <v>0</v>
      </c>
      <c r="DN136">
        <v>0</v>
      </c>
      <c r="DO136">
        <v>0</v>
      </c>
      <c r="DP136">
        <v>0</v>
      </c>
      <c r="DQ136">
        <v>0</v>
      </c>
      <c r="DR136">
        <v>0</v>
      </c>
      <c r="DS136">
        <v>0</v>
      </c>
      <c r="DT136">
        <v>0</v>
      </c>
      <c r="DU136">
        <v>0</v>
      </c>
      <c r="DV136">
        <v>0</v>
      </c>
      <c r="DW136">
        <v>0</v>
      </c>
      <c r="DX136">
        <v>0</v>
      </c>
      <c r="DY136">
        <v>0</v>
      </c>
      <c r="DZ136">
        <v>0</v>
      </c>
      <c r="EA136">
        <v>0</v>
      </c>
      <c r="EB136">
        <v>0</v>
      </c>
      <c r="EC136">
        <v>0</v>
      </c>
      <c r="ED136">
        <v>0</v>
      </c>
      <c r="EE136">
        <v>0</v>
      </c>
      <c r="EF136">
        <v>0</v>
      </c>
      <c r="EG136">
        <v>0</v>
      </c>
      <c r="EH136">
        <v>0</v>
      </c>
      <c r="EI136">
        <v>0</v>
      </c>
      <c r="EJ136">
        <v>0</v>
      </c>
      <c r="EK136">
        <v>0</v>
      </c>
      <c r="EL136">
        <v>0</v>
      </c>
      <c r="EM136">
        <v>0</v>
      </c>
      <c r="EN136">
        <v>0</v>
      </c>
      <c r="EO136">
        <v>0</v>
      </c>
      <c r="EP136">
        <v>0</v>
      </c>
      <c r="EQ136">
        <v>0</v>
      </c>
      <c r="ER136">
        <v>0</v>
      </c>
      <c r="ES136">
        <v>0</v>
      </c>
      <c r="ET136">
        <v>0</v>
      </c>
      <c r="EU136">
        <v>0</v>
      </c>
      <c r="EV136">
        <v>0</v>
      </c>
      <c r="EW136">
        <v>0</v>
      </c>
      <c r="EX136">
        <v>0</v>
      </c>
      <c r="EY136">
        <v>0</v>
      </c>
      <c r="EZ136">
        <v>0</v>
      </c>
      <c r="FA136">
        <v>0</v>
      </c>
      <c r="FB136">
        <v>0</v>
      </c>
      <c r="FC136">
        <v>0</v>
      </c>
      <c r="FD136">
        <v>0</v>
      </c>
      <c r="FE136">
        <v>0</v>
      </c>
      <c r="FF136">
        <v>0</v>
      </c>
      <c r="FG136">
        <v>0</v>
      </c>
      <c r="FH136">
        <v>0</v>
      </c>
      <c r="FI136">
        <v>0</v>
      </c>
      <c r="FJ136">
        <v>0</v>
      </c>
      <c r="FK136">
        <v>0</v>
      </c>
      <c r="FL136">
        <v>0</v>
      </c>
      <c r="FM136">
        <v>0</v>
      </c>
      <c r="FN136">
        <v>0</v>
      </c>
      <c r="FO136">
        <v>0</v>
      </c>
      <c r="FP136">
        <v>0</v>
      </c>
      <c r="FQ136">
        <v>0</v>
      </c>
      <c r="FR136">
        <v>0</v>
      </c>
      <c r="FS136">
        <v>0</v>
      </c>
      <c r="FT136">
        <v>0</v>
      </c>
      <c r="FU136">
        <v>0</v>
      </c>
      <c r="FV136">
        <v>0</v>
      </c>
      <c r="FW136">
        <v>0</v>
      </c>
      <c r="FX136">
        <v>0</v>
      </c>
      <c r="FY136">
        <v>0</v>
      </c>
      <c r="FZ136">
        <v>0</v>
      </c>
      <c r="GA136">
        <v>0</v>
      </c>
      <c r="GB136">
        <v>0</v>
      </c>
      <c r="GC136">
        <v>0</v>
      </c>
      <c r="GD136">
        <v>0</v>
      </c>
      <c r="GE136">
        <v>0</v>
      </c>
      <c r="GF136">
        <v>0</v>
      </c>
      <c r="GG136">
        <v>0</v>
      </c>
      <c r="GH136">
        <v>0</v>
      </c>
      <c r="GI136">
        <v>0</v>
      </c>
      <c r="GJ136">
        <v>0</v>
      </c>
      <c r="GK136">
        <v>0</v>
      </c>
      <c r="GL136">
        <v>0</v>
      </c>
      <c r="GM136">
        <v>0</v>
      </c>
      <c r="GN136">
        <v>0</v>
      </c>
      <c r="GO136">
        <v>0</v>
      </c>
      <c r="GP136">
        <v>0</v>
      </c>
      <c r="GQ136">
        <v>0</v>
      </c>
      <c r="GR136">
        <v>0</v>
      </c>
      <c r="GS136">
        <v>0</v>
      </c>
      <c r="GT136">
        <v>0</v>
      </c>
      <c r="GU136">
        <v>0</v>
      </c>
      <c r="GV136">
        <v>0</v>
      </c>
      <c r="GW136">
        <v>0</v>
      </c>
      <c r="GX136">
        <v>0</v>
      </c>
      <c r="GY136">
        <v>0</v>
      </c>
      <c r="GZ136">
        <v>0</v>
      </c>
      <c r="HA136">
        <v>0</v>
      </c>
      <c r="HB136">
        <v>0</v>
      </c>
      <c r="HC136">
        <v>0</v>
      </c>
      <c r="HD136">
        <v>0</v>
      </c>
      <c r="HE136">
        <v>0</v>
      </c>
      <c r="HF136">
        <v>0</v>
      </c>
      <c r="HG136">
        <v>0</v>
      </c>
      <c r="HH136">
        <v>0</v>
      </c>
      <c r="HI136">
        <v>0</v>
      </c>
      <c r="HJ136">
        <v>0</v>
      </c>
      <c r="HK136">
        <v>0</v>
      </c>
      <c r="HL136">
        <v>0</v>
      </c>
      <c r="HM136">
        <v>0</v>
      </c>
      <c r="HN136">
        <v>0</v>
      </c>
      <c r="HO136">
        <v>0</v>
      </c>
      <c r="HP136">
        <v>0</v>
      </c>
      <c r="HQ136">
        <v>0</v>
      </c>
      <c r="HR136">
        <v>0</v>
      </c>
      <c r="HS136">
        <v>0</v>
      </c>
      <c r="HT136">
        <v>0</v>
      </c>
      <c r="HU136">
        <v>0</v>
      </c>
      <c r="HV136">
        <v>0</v>
      </c>
      <c r="HW136">
        <v>0</v>
      </c>
      <c r="HX136">
        <v>0</v>
      </c>
      <c r="HY136">
        <v>0</v>
      </c>
      <c r="HZ136">
        <v>0</v>
      </c>
      <c r="IA136">
        <v>0</v>
      </c>
      <c r="IB136">
        <v>0</v>
      </c>
      <c r="IC136">
        <v>0</v>
      </c>
      <c r="ID136">
        <v>0</v>
      </c>
      <c r="IE136">
        <v>0</v>
      </c>
      <c r="IF136">
        <v>0</v>
      </c>
      <c r="IG136">
        <v>0</v>
      </c>
      <c r="IH136">
        <v>0</v>
      </c>
      <c r="II136">
        <v>0</v>
      </c>
      <c r="IJ136">
        <v>0</v>
      </c>
      <c r="IK136">
        <v>0</v>
      </c>
      <c r="IL136">
        <v>0</v>
      </c>
      <c r="IM136">
        <v>0</v>
      </c>
      <c r="IN136">
        <v>0</v>
      </c>
      <c r="IO136">
        <v>0</v>
      </c>
      <c r="IP136">
        <v>0</v>
      </c>
      <c r="IQ136">
        <v>0</v>
      </c>
      <c r="IR136">
        <v>0</v>
      </c>
      <c r="IS136">
        <v>0</v>
      </c>
      <c r="IT136">
        <v>0</v>
      </c>
      <c r="IU136">
        <v>0</v>
      </c>
      <c r="IV136">
        <v>0</v>
      </c>
      <c r="IW136">
        <v>0</v>
      </c>
      <c r="IX136">
        <v>0</v>
      </c>
      <c r="IY136">
        <v>0</v>
      </c>
      <c r="IZ136">
        <v>0</v>
      </c>
      <c r="JA136">
        <v>0</v>
      </c>
      <c r="JB136">
        <v>0</v>
      </c>
      <c r="JC136">
        <v>0</v>
      </c>
      <c r="JD136">
        <v>0</v>
      </c>
      <c r="JE136">
        <v>0</v>
      </c>
      <c r="JF136">
        <v>0</v>
      </c>
      <c r="JG136">
        <v>0</v>
      </c>
      <c r="JH136">
        <v>0</v>
      </c>
      <c r="JI136">
        <v>0</v>
      </c>
      <c r="JJ136">
        <v>0</v>
      </c>
      <c r="JK136">
        <v>0</v>
      </c>
      <c r="JL136">
        <v>0</v>
      </c>
      <c r="JM136">
        <v>0</v>
      </c>
      <c r="JN136">
        <v>0</v>
      </c>
      <c r="JO136">
        <v>0</v>
      </c>
      <c r="JP136">
        <v>0</v>
      </c>
      <c r="JQ136">
        <v>0</v>
      </c>
      <c r="JR136">
        <v>0</v>
      </c>
      <c r="JS136">
        <v>0</v>
      </c>
      <c r="JT136">
        <v>0</v>
      </c>
      <c r="JU136">
        <v>0</v>
      </c>
      <c r="JV136">
        <v>0</v>
      </c>
      <c r="JW136">
        <v>0</v>
      </c>
      <c r="JX136">
        <v>0</v>
      </c>
      <c r="JY136">
        <v>0</v>
      </c>
      <c r="JZ136">
        <v>0</v>
      </c>
      <c r="KA136">
        <v>0</v>
      </c>
      <c r="KB136">
        <v>0</v>
      </c>
      <c r="KC136">
        <v>0</v>
      </c>
      <c r="KD136">
        <v>0</v>
      </c>
      <c r="KE136">
        <v>0</v>
      </c>
      <c r="KF136">
        <v>0</v>
      </c>
      <c r="KG136">
        <v>0</v>
      </c>
      <c r="KH136">
        <v>0</v>
      </c>
      <c r="KI136">
        <v>0</v>
      </c>
      <c r="KJ136">
        <v>0</v>
      </c>
      <c r="KK136">
        <v>0</v>
      </c>
      <c r="KL136">
        <v>0</v>
      </c>
      <c r="KM136">
        <v>0</v>
      </c>
      <c r="KN136">
        <v>0</v>
      </c>
      <c r="KO136">
        <v>0</v>
      </c>
      <c r="KP136">
        <v>0</v>
      </c>
      <c r="KQ136">
        <v>0</v>
      </c>
      <c r="KR136">
        <v>0</v>
      </c>
      <c r="KS136">
        <v>0</v>
      </c>
      <c r="KT136">
        <v>0</v>
      </c>
      <c r="KU136">
        <v>0</v>
      </c>
      <c r="KV136">
        <v>0</v>
      </c>
      <c r="KW136">
        <v>0</v>
      </c>
      <c r="KX136">
        <v>0</v>
      </c>
      <c r="KY136">
        <v>0</v>
      </c>
      <c r="KZ136">
        <v>0</v>
      </c>
      <c r="LA136">
        <v>0</v>
      </c>
      <c r="LB136">
        <v>0</v>
      </c>
      <c r="LC136">
        <v>0</v>
      </c>
      <c r="LD136">
        <v>0</v>
      </c>
      <c r="LE136">
        <v>0</v>
      </c>
      <c r="LF136">
        <v>0</v>
      </c>
      <c r="LG136">
        <v>0</v>
      </c>
      <c r="LH136">
        <v>0</v>
      </c>
      <c r="LI136">
        <v>0</v>
      </c>
      <c r="LJ136">
        <v>0</v>
      </c>
      <c r="LK136">
        <v>0</v>
      </c>
      <c r="LL136">
        <v>0</v>
      </c>
      <c r="LM136">
        <v>0</v>
      </c>
      <c r="LN136">
        <v>0</v>
      </c>
      <c r="LO136">
        <v>0</v>
      </c>
      <c r="LP136">
        <v>0</v>
      </c>
      <c r="LQ136">
        <v>0</v>
      </c>
      <c r="LR136">
        <v>0</v>
      </c>
      <c r="LS136">
        <v>0</v>
      </c>
      <c r="LT136">
        <v>0</v>
      </c>
      <c r="LU136">
        <v>0</v>
      </c>
      <c r="LV136">
        <v>0</v>
      </c>
      <c r="LW136">
        <v>0</v>
      </c>
      <c r="LX136">
        <v>0</v>
      </c>
      <c r="LY136">
        <v>0</v>
      </c>
      <c r="LZ136">
        <v>0</v>
      </c>
      <c r="MA136">
        <v>0</v>
      </c>
      <c r="MB136">
        <v>0</v>
      </c>
      <c r="MC136">
        <v>0</v>
      </c>
      <c r="MD136">
        <v>0</v>
      </c>
      <c r="ME136">
        <v>0</v>
      </c>
      <c r="MF136">
        <v>0</v>
      </c>
      <c r="MG136">
        <v>0</v>
      </c>
      <c r="MH136">
        <v>0</v>
      </c>
      <c r="MI136">
        <v>0</v>
      </c>
      <c r="MJ136">
        <v>0</v>
      </c>
      <c r="MK136">
        <v>0</v>
      </c>
      <c r="ML136">
        <v>0</v>
      </c>
      <c r="MM136">
        <v>0</v>
      </c>
      <c r="MN136">
        <v>0</v>
      </c>
      <c r="MO136">
        <v>0</v>
      </c>
      <c r="MP136">
        <v>0</v>
      </c>
      <c r="MQ136">
        <v>0</v>
      </c>
      <c r="MR136">
        <v>0</v>
      </c>
      <c r="MS136">
        <v>0</v>
      </c>
      <c r="MT136">
        <v>0</v>
      </c>
      <c r="MU136">
        <v>0</v>
      </c>
      <c r="MV136">
        <v>0</v>
      </c>
      <c r="MW136">
        <v>0</v>
      </c>
      <c r="MX136">
        <v>0</v>
      </c>
      <c r="MY136">
        <v>0</v>
      </c>
      <c r="MZ136">
        <v>0</v>
      </c>
      <c r="NA136">
        <v>0</v>
      </c>
      <c r="NB136">
        <v>0</v>
      </c>
      <c r="NC136">
        <v>0</v>
      </c>
      <c r="ND136">
        <v>0</v>
      </c>
      <c r="NE136">
        <v>0</v>
      </c>
    </row>
    <row r="137" spans="41:369" x14ac:dyDescent="0.45">
      <c r="AO137" t="str">
        <v>B158</v>
      </c>
      <c r="AP137" t="str">
        <v>FADIL MOHAMMED K M</v>
      </c>
      <c r="AQ137" t="str">
        <v>DAHF</v>
      </c>
      <c r="AR137" t="str">
        <v>JUNIOR</v>
      </c>
      <c r="AS137">
        <v>4</v>
      </c>
      <c r="AT137">
        <v>24</v>
      </c>
      <c r="AU137">
        <v>0</v>
      </c>
      <c r="AV137">
        <v>24</v>
      </c>
      <c r="AW137">
        <v>24</v>
      </c>
      <c r="AX137">
        <v>64</v>
      </c>
      <c r="AY137" s="5">
        <v>64</v>
      </c>
      <c r="AZ137" t="str">
        <v>SN46</v>
      </c>
      <c r="BA137" t="str">
        <v>TEACHING</v>
      </c>
      <c r="BB137" t="str">
        <v>SENIOR</v>
      </c>
      <c r="BC137" t="str">
        <v>Single</v>
      </c>
      <c r="BD137" t="str">
        <v>Stage</v>
      </c>
      <c r="BE137">
        <v>3</v>
      </c>
      <c r="BF137" t="str">
        <v>Individual</v>
      </c>
      <c r="BG137" t="str">
        <v>Individual</v>
      </c>
      <c r="BH137" t="str">
        <v>P</v>
      </c>
      <c r="BI137" t="str">
        <v>PUBLISHED</v>
      </c>
      <c r="BK137">
        <v>131</v>
      </c>
      <c r="BL137" t="str">
        <v>SN42</v>
      </c>
      <c r="BM137" t="str">
        <v>SONG URD</v>
      </c>
      <c r="BN137">
        <v>3</v>
      </c>
      <c r="BO137" t="str">
        <v>Single</v>
      </c>
      <c r="BP137" t="str">
        <v>Stage</v>
      </c>
      <c r="BQ137" t="str">
        <v>SENIOR</v>
      </c>
      <c r="BR137" t="str">
        <v>C118</v>
      </c>
      <c r="BS137" t="str">
        <v>C127</v>
      </c>
      <c r="BT137" t="str">
        <v>C131</v>
      </c>
      <c r="BU137">
        <v>0</v>
      </c>
      <c r="BV137">
        <v>0</v>
      </c>
      <c r="BW137">
        <v>0</v>
      </c>
      <c r="BX137">
        <v>0</v>
      </c>
      <c r="BY137" t="str">
        <v>C100</v>
      </c>
      <c r="BZ137" t="str">
        <v>C117</v>
      </c>
      <c r="CA137" t="str">
        <v>C172</v>
      </c>
      <c r="CB137">
        <v>0</v>
      </c>
      <c r="CC137">
        <v>0</v>
      </c>
      <c r="CD137">
        <v>0</v>
      </c>
      <c r="CE137">
        <v>0</v>
      </c>
      <c r="CF137" t="str">
        <v>C104</v>
      </c>
      <c r="CG137" t="str">
        <v>C129</v>
      </c>
      <c r="CH137" t="str">
        <v>C171</v>
      </c>
      <c r="CI137">
        <v>0</v>
      </c>
      <c r="CJ137">
        <v>0</v>
      </c>
      <c r="CK137">
        <v>0</v>
      </c>
      <c r="CL137">
        <v>0</v>
      </c>
      <c r="CM137" t="str">
        <v>C121</v>
      </c>
      <c r="CN137" t="str">
        <v>C147</v>
      </c>
      <c r="CO137" t="str">
        <v>C165</v>
      </c>
      <c r="CP137">
        <v>0</v>
      </c>
      <c r="CQ137">
        <v>0</v>
      </c>
      <c r="CR137">
        <v>0</v>
      </c>
      <c r="CS137">
        <v>0</v>
      </c>
      <c r="CT137">
        <v>0</v>
      </c>
      <c r="CU137">
        <v>0</v>
      </c>
      <c r="CV137">
        <v>0</v>
      </c>
      <c r="CW137">
        <v>0</v>
      </c>
      <c r="CX137">
        <v>0</v>
      </c>
      <c r="CY137">
        <v>0</v>
      </c>
      <c r="CZ137">
        <v>0</v>
      </c>
      <c r="DA137">
        <v>0</v>
      </c>
      <c r="DB137">
        <v>0</v>
      </c>
      <c r="DC137">
        <v>0</v>
      </c>
      <c r="DD137">
        <v>0</v>
      </c>
      <c r="DE137">
        <v>0</v>
      </c>
      <c r="DF137">
        <v>0</v>
      </c>
      <c r="DG137">
        <v>0</v>
      </c>
      <c r="DH137">
        <v>0</v>
      </c>
      <c r="DI137">
        <v>0</v>
      </c>
      <c r="DJ137">
        <v>0</v>
      </c>
      <c r="DK137">
        <v>0</v>
      </c>
      <c r="DL137">
        <v>0</v>
      </c>
      <c r="DM137">
        <v>0</v>
      </c>
      <c r="DN137">
        <v>0</v>
      </c>
      <c r="DO137">
        <v>0</v>
      </c>
      <c r="DP137">
        <v>0</v>
      </c>
      <c r="DQ137">
        <v>0</v>
      </c>
      <c r="DR137">
        <v>0</v>
      </c>
      <c r="DS137">
        <v>0</v>
      </c>
      <c r="DT137">
        <v>0</v>
      </c>
      <c r="DU137">
        <v>0</v>
      </c>
      <c r="DV137">
        <v>0</v>
      </c>
      <c r="DW137">
        <v>0</v>
      </c>
      <c r="DX137">
        <v>0</v>
      </c>
      <c r="DY137">
        <v>0</v>
      </c>
      <c r="DZ137">
        <v>0</v>
      </c>
      <c r="EA137">
        <v>0</v>
      </c>
      <c r="EB137">
        <v>0</v>
      </c>
      <c r="EC137">
        <v>0</v>
      </c>
      <c r="ED137">
        <v>0</v>
      </c>
      <c r="EE137">
        <v>0</v>
      </c>
      <c r="EF137">
        <v>0</v>
      </c>
      <c r="EG137">
        <v>0</v>
      </c>
      <c r="EH137">
        <v>0</v>
      </c>
      <c r="EI137">
        <v>0</v>
      </c>
      <c r="EJ137">
        <v>0</v>
      </c>
      <c r="EK137">
        <v>0</v>
      </c>
      <c r="EL137">
        <v>0</v>
      </c>
      <c r="EM137">
        <v>0</v>
      </c>
      <c r="EN137">
        <v>0</v>
      </c>
      <c r="EO137">
        <v>0</v>
      </c>
      <c r="EP137">
        <v>0</v>
      </c>
      <c r="EQ137">
        <v>0</v>
      </c>
      <c r="ER137">
        <v>0</v>
      </c>
      <c r="ES137">
        <v>0</v>
      </c>
      <c r="ET137">
        <v>0</v>
      </c>
      <c r="EU137">
        <v>0</v>
      </c>
      <c r="EV137">
        <v>0</v>
      </c>
      <c r="EW137">
        <v>0</v>
      </c>
      <c r="EX137">
        <v>0</v>
      </c>
      <c r="EY137">
        <v>0</v>
      </c>
      <c r="EZ137">
        <v>0</v>
      </c>
      <c r="FA137">
        <v>0</v>
      </c>
      <c r="FB137">
        <v>0</v>
      </c>
      <c r="FC137">
        <v>0</v>
      </c>
      <c r="FD137">
        <v>0</v>
      </c>
      <c r="FE137">
        <v>0</v>
      </c>
      <c r="FF137">
        <v>0</v>
      </c>
      <c r="FG137">
        <v>0</v>
      </c>
      <c r="FH137">
        <v>0</v>
      </c>
      <c r="FI137">
        <v>0</v>
      </c>
      <c r="FJ137">
        <v>0</v>
      </c>
      <c r="FK137">
        <v>0</v>
      </c>
      <c r="FL137">
        <v>0</v>
      </c>
      <c r="FM137">
        <v>0</v>
      </c>
      <c r="FN137">
        <v>0</v>
      </c>
      <c r="FO137">
        <v>0</v>
      </c>
      <c r="FP137">
        <v>0</v>
      </c>
      <c r="FQ137">
        <v>0</v>
      </c>
      <c r="FR137">
        <v>0</v>
      </c>
      <c r="FS137">
        <v>0</v>
      </c>
      <c r="FT137">
        <v>0</v>
      </c>
      <c r="FU137">
        <v>0</v>
      </c>
      <c r="FV137">
        <v>0</v>
      </c>
      <c r="FW137">
        <v>0</v>
      </c>
      <c r="FX137">
        <v>0</v>
      </c>
      <c r="FY137">
        <v>0</v>
      </c>
      <c r="FZ137">
        <v>0</v>
      </c>
      <c r="GA137">
        <v>0</v>
      </c>
      <c r="GB137">
        <v>0</v>
      </c>
      <c r="GC137">
        <v>0</v>
      </c>
      <c r="GD137">
        <v>0</v>
      </c>
      <c r="GE137">
        <v>0</v>
      </c>
      <c r="GF137">
        <v>0</v>
      </c>
      <c r="GG137">
        <v>0</v>
      </c>
      <c r="GH137">
        <v>0</v>
      </c>
      <c r="GI137">
        <v>0</v>
      </c>
      <c r="GJ137">
        <v>0</v>
      </c>
      <c r="GK137">
        <v>0</v>
      </c>
      <c r="GL137">
        <v>0</v>
      </c>
      <c r="GM137">
        <v>0</v>
      </c>
      <c r="GN137">
        <v>0</v>
      </c>
      <c r="GO137">
        <v>0</v>
      </c>
      <c r="GP137">
        <v>0</v>
      </c>
      <c r="GQ137">
        <v>0</v>
      </c>
      <c r="GR137">
        <v>0</v>
      </c>
      <c r="GS137">
        <v>0</v>
      </c>
      <c r="GT137">
        <v>0</v>
      </c>
      <c r="GU137">
        <v>0</v>
      </c>
      <c r="GV137">
        <v>0</v>
      </c>
      <c r="GW137">
        <v>0</v>
      </c>
      <c r="GX137">
        <v>0</v>
      </c>
      <c r="GY137">
        <v>0</v>
      </c>
      <c r="GZ137">
        <v>0</v>
      </c>
      <c r="HA137">
        <v>0</v>
      </c>
      <c r="HB137">
        <v>0</v>
      </c>
      <c r="HC137">
        <v>0</v>
      </c>
      <c r="HD137">
        <v>0</v>
      </c>
      <c r="HE137">
        <v>0</v>
      </c>
      <c r="HF137">
        <v>0</v>
      </c>
      <c r="HG137">
        <v>0</v>
      </c>
      <c r="HH137">
        <v>0</v>
      </c>
      <c r="HI137">
        <v>0</v>
      </c>
      <c r="HJ137">
        <v>0</v>
      </c>
      <c r="HK137">
        <v>0</v>
      </c>
      <c r="HL137">
        <v>0</v>
      </c>
      <c r="HM137">
        <v>0</v>
      </c>
      <c r="HN137">
        <v>0</v>
      </c>
      <c r="HO137">
        <v>0</v>
      </c>
      <c r="HP137">
        <v>0</v>
      </c>
      <c r="HQ137">
        <v>0</v>
      </c>
      <c r="HR137">
        <v>0</v>
      </c>
      <c r="HS137">
        <v>0</v>
      </c>
      <c r="HT137">
        <v>0</v>
      </c>
      <c r="HU137">
        <v>0</v>
      </c>
      <c r="HV137">
        <v>0</v>
      </c>
      <c r="HW137">
        <v>0</v>
      </c>
      <c r="HX137">
        <v>0</v>
      </c>
      <c r="HY137">
        <v>0</v>
      </c>
      <c r="HZ137">
        <v>0</v>
      </c>
      <c r="IA137">
        <v>0</v>
      </c>
      <c r="IB137">
        <v>0</v>
      </c>
      <c r="IC137">
        <v>0</v>
      </c>
      <c r="ID137">
        <v>0</v>
      </c>
      <c r="IE137">
        <v>0</v>
      </c>
      <c r="IF137">
        <v>0</v>
      </c>
      <c r="IG137">
        <v>0</v>
      </c>
      <c r="IH137">
        <v>0</v>
      </c>
      <c r="II137">
        <v>0</v>
      </c>
      <c r="IJ137">
        <v>0</v>
      </c>
      <c r="IK137">
        <v>0</v>
      </c>
      <c r="IL137">
        <v>0</v>
      </c>
      <c r="IM137">
        <v>0</v>
      </c>
      <c r="IN137">
        <v>0</v>
      </c>
      <c r="IO137">
        <v>0</v>
      </c>
      <c r="IP137">
        <v>0</v>
      </c>
      <c r="IQ137">
        <v>0</v>
      </c>
      <c r="IR137">
        <v>0</v>
      </c>
      <c r="IS137">
        <v>0</v>
      </c>
      <c r="IT137">
        <v>0</v>
      </c>
      <c r="IU137">
        <v>0</v>
      </c>
      <c r="IV137">
        <v>0</v>
      </c>
      <c r="IW137">
        <v>0</v>
      </c>
      <c r="IX137">
        <v>0</v>
      </c>
      <c r="IY137">
        <v>0</v>
      </c>
      <c r="IZ137">
        <v>0</v>
      </c>
      <c r="JA137">
        <v>0</v>
      </c>
      <c r="JB137">
        <v>0</v>
      </c>
      <c r="JC137">
        <v>0</v>
      </c>
      <c r="JD137">
        <v>0</v>
      </c>
      <c r="JE137">
        <v>0</v>
      </c>
      <c r="JF137">
        <v>0</v>
      </c>
      <c r="JG137">
        <v>0</v>
      </c>
      <c r="JH137">
        <v>0</v>
      </c>
      <c r="JI137">
        <v>0</v>
      </c>
      <c r="JJ137">
        <v>0</v>
      </c>
      <c r="JK137">
        <v>0</v>
      </c>
      <c r="JL137">
        <v>0</v>
      </c>
      <c r="JM137">
        <v>0</v>
      </c>
      <c r="JN137">
        <v>0</v>
      </c>
      <c r="JO137">
        <v>0</v>
      </c>
      <c r="JP137">
        <v>0</v>
      </c>
      <c r="JQ137">
        <v>0</v>
      </c>
      <c r="JR137">
        <v>0</v>
      </c>
      <c r="JS137">
        <v>0</v>
      </c>
      <c r="JT137">
        <v>0</v>
      </c>
      <c r="JU137">
        <v>0</v>
      </c>
      <c r="JV137">
        <v>0</v>
      </c>
      <c r="JW137">
        <v>0</v>
      </c>
      <c r="JX137">
        <v>0</v>
      </c>
      <c r="JY137">
        <v>0</v>
      </c>
      <c r="JZ137">
        <v>0</v>
      </c>
      <c r="KA137">
        <v>0</v>
      </c>
      <c r="KB137">
        <v>0</v>
      </c>
      <c r="KC137">
        <v>0</v>
      </c>
      <c r="KD137">
        <v>0</v>
      </c>
      <c r="KE137">
        <v>0</v>
      </c>
      <c r="KF137">
        <v>0</v>
      </c>
      <c r="KG137">
        <v>0</v>
      </c>
      <c r="KH137">
        <v>0</v>
      </c>
      <c r="KI137">
        <v>0</v>
      </c>
      <c r="KJ137">
        <v>0</v>
      </c>
      <c r="KK137">
        <v>0</v>
      </c>
      <c r="KL137">
        <v>0</v>
      </c>
      <c r="KM137">
        <v>0</v>
      </c>
      <c r="KN137">
        <v>0</v>
      </c>
      <c r="KO137">
        <v>0</v>
      </c>
      <c r="KP137">
        <v>0</v>
      </c>
      <c r="KQ137">
        <v>0</v>
      </c>
      <c r="KR137">
        <v>0</v>
      </c>
      <c r="KS137">
        <v>0</v>
      </c>
      <c r="KT137">
        <v>0</v>
      </c>
      <c r="KU137">
        <v>0</v>
      </c>
      <c r="KV137">
        <v>0</v>
      </c>
      <c r="KW137">
        <v>0</v>
      </c>
      <c r="KX137">
        <v>0</v>
      </c>
      <c r="KY137">
        <v>0</v>
      </c>
      <c r="KZ137">
        <v>0</v>
      </c>
      <c r="LA137">
        <v>0</v>
      </c>
      <c r="LB137">
        <v>0</v>
      </c>
      <c r="LC137">
        <v>0</v>
      </c>
      <c r="LD137">
        <v>0</v>
      </c>
      <c r="LE137">
        <v>0</v>
      </c>
      <c r="LF137">
        <v>0</v>
      </c>
      <c r="LG137">
        <v>0</v>
      </c>
      <c r="LH137">
        <v>0</v>
      </c>
      <c r="LI137">
        <v>0</v>
      </c>
      <c r="LJ137">
        <v>0</v>
      </c>
      <c r="LK137">
        <v>0</v>
      </c>
      <c r="LL137">
        <v>0</v>
      </c>
      <c r="LM137">
        <v>0</v>
      </c>
      <c r="LN137">
        <v>0</v>
      </c>
      <c r="LO137">
        <v>0</v>
      </c>
      <c r="LP137">
        <v>0</v>
      </c>
      <c r="LQ137">
        <v>0</v>
      </c>
      <c r="LR137">
        <v>0</v>
      </c>
      <c r="LS137">
        <v>0</v>
      </c>
      <c r="LT137">
        <v>0</v>
      </c>
      <c r="LU137">
        <v>0</v>
      </c>
      <c r="LV137">
        <v>0</v>
      </c>
      <c r="LW137">
        <v>0</v>
      </c>
      <c r="LX137">
        <v>0</v>
      </c>
      <c r="LY137">
        <v>0</v>
      </c>
      <c r="LZ137">
        <v>0</v>
      </c>
      <c r="MA137">
        <v>0</v>
      </c>
      <c r="MB137">
        <v>0</v>
      </c>
      <c r="MC137">
        <v>0</v>
      </c>
      <c r="MD137">
        <v>0</v>
      </c>
      <c r="ME137">
        <v>0</v>
      </c>
      <c r="MF137">
        <v>0</v>
      </c>
      <c r="MG137">
        <v>0</v>
      </c>
      <c r="MH137">
        <v>0</v>
      </c>
      <c r="MI137">
        <v>0</v>
      </c>
      <c r="MJ137">
        <v>0</v>
      </c>
      <c r="MK137">
        <v>0</v>
      </c>
      <c r="ML137">
        <v>0</v>
      </c>
      <c r="MM137">
        <v>0</v>
      </c>
      <c r="MN137">
        <v>0</v>
      </c>
      <c r="MO137">
        <v>0</v>
      </c>
      <c r="MP137">
        <v>0</v>
      </c>
      <c r="MQ137">
        <v>0</v>
      </c>
      <c r="MR137">
        <v>0</v>
      </c>
      <c r="MS137">
        <v>0</v>
      </c>
      <c r="MT137">
        <v>0</v>
      </c>
      <c r="MU137">
        <v>0</v>
      </c>
      <c r="MV137">
        <v>0</v>
      </c>
      <c r="MW137">
        <v>0</v>
      </c>
      <c r="MX137">
        <v>0</v>
      </c>
      <c r="MY137">
        <v>0</v>
      </c>
      <c r="MZ137">
        <v>0</v>
      </c>
      <c r="NA137">
        <v>0</v>
      </c>
      <c r="NB137">
        <v>0</v>
      </c>
      <c r="NC137">
        <v>0</v>
      </c>
      <c r="ND137">
        <v>0</v>
      </c>
      <c r="NE137">
        <v>0</v>
      </c>
    </row>
    <row r="138" spans="41:369" x14ac:dyDescent="0.45">
      <c r="AO138" t="str">
        <v>B159</v>
      </c>
      <c r="AP138" t="str">
        <v>AJMAL AHMED MT</v>
      </c>
      <c r="AQ138" t="str">
        <v>DAHF</v>
      </c>
      <c r="AR138" t="str">
        <v>JUNIOR</v>
      </c>
      <c r="AS138">
        <v>4</v>
      </c>
      <c r="AT138">
        <v>12</v>
      </c>
      <c r="AU138">
        <v>0</v>
      </c>
      <c r="AV138">
        <v>12</v>
      </c>
      <c r="AW138">
        <v>12</v>
      </c>
      <c r="AX138">
        <v>119</v>
      </c>
      <c r="AY138" s="5">
        <v>119</v>
      </c>
      <c r="AZ138" t="str">
        <v>SN47</v>
      </c>
      <c r="BA138" t="str">
        <v>WAʿẒ</v>
      </c>
      <c r="BB138" t="str">
        <v>SENIOR</v>
      </c>
      <c r="BC138" t="str">
        <v>Single</v>
      </c>
      <c r="BD138" t="str">
        <v>Stage</v>
      </c>
      <c r="BE138">
        <v>3</v>
      </c>
      <c r="BF138" t="str">
        <v>Individual</v>
      </c>
      <c r="BG138" t="str">
        <v>Individual</v>
      </c>
      <c r="BH138" t="str">
        <v>P</v>
      </c>
      <c r="BI138" t="str">
        <v>PUBLISHED</v>
      </c>
      <c r="BK138">
        <v>132</v>
      </c>
      <c r="BL138" t="str">
        <v>SN43</v>
      </c>
      <c r="BM138" t="str">
        <v>SPEECH ARB</v>
      </c>
      <c r="BN138">
        <v>3</v>
      </c>
      <c r="BO138" t="str">
        <v>Single</v>
      </c>
      <c r="BP138" t="str">
        <v>Stage</v>
      </c>
      <c r="BQ138" t="str">
        <v>SENIOR</v>
      </c>
      <c r="BR138" t="str">
        <v>C156</v>
      </c>
      <c r="BS138" t="str">
        <v>C112</v>
      </c>
      <c r="BT138" t="str">
        <v>C149</v>
      </c>
      <c r="BU138">
        <v>0</v>
      </c>
      <c r="BV138">
        <v>0</v>
      </c>
      <c r="BW138">
        <v>0</v>
      </c>
      <c r="BX138">
        <v>0</v>
      </c>
      <c r="BY138" t="str">
        <v>C130</v>
      </c>
      <c r="BZ138" t="str">
        <v>C153</v>
      </c>
      <c r="CA138" t="str">
        <v>C177</v>
      </c>
      <c r="CB138">
        <v>0</v>
      </c>
      <c r="CC138">
        <v>0</v>
      </c>
      <c r="CD138">
        <v>0</v>
      </c>
      <c r="CE138">
        <v>0</v>
      </c>
      <c r="CF138" t="str">
        <v>C103</v>
      </c>
      <c r="CG138" t="str">
        <v>C139</v>
      </c>
      <c r="CH138" t="str">
        <v>C141</v>
      </c>
      <c r="CI138">
        <v>0</v>
      </c>
      <c r="CJ138">
        <v>0</v>
      </c>
      <c r="CK138">
        <v>0</v>
      </c>
      <c r="CL138">
        <v>0</v>
      </c>
      <c r="CM138" t="str">
        <v>C111</v>
      </c>
      <c r="CN138" t="str">
        <v>C175</v>
      </c>
      <c r="CO138" t="str">
        <v>C178</v>
      </c>
      <c r="CP138">
        <v>0</v>
      </c>
      <c r="CQ138">
        <v>0</v>
      </c>
      <c r="CR138">
        <v>0</v>
      </c>
      <c r="CS138">
        <v>0</v>
      </c>
      <c r="CT138">
        <v>0</v>
      </c>
      <c r="CU138">
        <v>0</v>
      </c>
      <c r="CV138">
        <v>0</v>
      </c>
      <c r="CW138">
        <v>0</v>
      </c>
      <c r="CX138">
        <v>0</v>
      </c>
      <c r="CY138">
        <v>0</v>
      </c>
      <c r="CZ138">
        <v>0</v>
      </c>
      <c r="DA138">
        <v>0</v>
      </c>
      <c r="DB138">
        <v>0</v>
      </c>
      <c r="DC138">
        <v>0</v>
      </c>
      <c r="DD138">
        <v>0</v>
      </c>
      <c r="DE138">
        <v>0</v>
      </c>
      <c r="DF138">
        <v>0</v>
      </c>
      <c r="DG138">
        <v>0</v>
      </c>
      <c r="DH138">
        <v>0</v>
      </c>
      <c r="DI138">
        <v>0</v>
      </c>
      <c r="DJ138">
        <v>0</v>
      </c>
      <c r="DK138">
        <v>0</v>
      </c>
      <c r="DL138">
        <v>0</v>
      </c>
      <c r="DM138">
        <v>0</v>
      </c>
      <c r="DN138">
        <v>0</v>
      </c>
      <c r="DO138">
        <v>0</v>
      </c>
      <c r="DP138">
        <v>0</v>
      </c>
      <c r="DQ138">
        <v>0</v>
      </c>
      <c r="DR138">
        <v>0</v>
      </c>
      <c r="DS138">
        <v>0</v>
      </c>
      <c r="DT138">
        <v>0</v>
      </c>
      <c r="DU138">
        <v>0</v>
      </c>
      <c r="DV138">
        <v>0</v>
      </c>
      <c r="DW138">
        <v>0</v>
      </c>
      <c r="DX138">
        <v>0</v>
      </c>
      <c r="DY138">
        <v>0</v>
      </c>
      <c r="DZ138">
        <v>0</v>
      </c>
      <c r="EA138">
        <v>0</v>
      </c>
      <c r="EB138">
        <v>0</v>
      </c>
      <c r="EC138">
        <v>0</v>
      </c>
      <c r="ED138">
        <v>0</v>
      </c>
      <c r="EE138">
        <v>0</v>
      </c>
      <c r="EF138">
        <v>0</v>
      </c>
      <c r="EG138">
        <v>0</v>
      </c>
      <c r="EH138">
        <v>0</v>
      </c>
      <c r="EI138">
        <v>0</v>
      </c>
      <c r="EJ138">
        <v>0</v>
      </c>
      <c r="EK138">
        <v>0</v>
      </c>
      <c r="EL138">
        <v>0</v>
      </c>
      <c r="EM138">
        <v>0</v>
      </c>
      <c r="EN138">
        <v>0</v>
      </c>
      <c r="EO138">
        <v>0</v>
      </c>
      <c r="EP138">
        <v>0</v>
      </c>
      <c r="EQ138">
        <v>0</v>
      </c>
      <c r="ER138">
        <v>0</v>
      </c>
      <c r="ES138">
        <v>0</v>
      </c>
      <c r="ET138">
        <v>0</v>
      </c>
      <c r="EU138">
        <v>0</v>
      </c>
      <c r="EV138">
        <v>0</v>
      </c>
      <c r="EW138">
        <v>0</v>
      </c>
      <c r="EX138">
        <v>0</v>
      </c>
      <c r="EY138">
        <v>0</v>
      </c>
      <c r="EZ138">
        <v>0</v>
      </c>
      <c r="FA138">
        <v>0</v>
      </c>
      <c r="FB138">
        <v>0</v>
      </c>
      <c r="FC138">
        <v>0</v>
      </c>
      <c r="FD138">
        <v>0</v>
      </c>
      <c r="FE138">
        <v>0</v>
      </c>
      <c r="FF138">
        <v>0</v>
      </c>
      <c r="FG138">
        <v>0</v>
      </c>
      <c r="FH138">
        <v>0</v>
      </c>
      <c r="FI138">
        <v>0</v>
      </c>
      <c r="FJ138">
        <v>0</v>
      </c>
      <c r="FK138">
        <v>0</v>
      </c>
      <c r="FL138">
        <v>0</v>
      </c>
      <c r="FM138">
        <v>0</v>
      </c>
      <c r="FN138">
        <v>0</v>
      </c>
      <c r="FO138">
        <v>0</v>
      </c>
      <c r="FP138">
        <v>0</v>
      </c>
      <c r="FQ138">
        <v>0</v>
      </c>
      <c r="FR138">
        <v>0</v>
      </c>
      <c r="FS138">
        <v>0</v>
      </c>
      <c r="FT138">
        <v>0</v>
      </c>
      <c r="FU138">
        <v>0</v>
      </c>
      <c r="FV138">
        <v>0</v>
      </c>
      <c r="FW138">
        <v>0</v>
      </c>
      <c r="FX138">
        <v>0</v>
      </c>
      <c r="FY138">
        <v>0</v>
      </c>
      <c r="FZ138">
        <v>0</v>
      </c>
      <c r="GA138">
        <v>0</v>
      </c>
      <c r="GB138">
        <v>0</v>
      </c>
      <c r="GC138">
        <v>0</v>
      </c>
      <c r="GD138">
        <v>0</v>
      </c>
      <c r="GE138">
        <v>0</v>
      </c>
      <c r="GF138">
        <v>0</v>
      </c>
      <c r="GG138">
        <v>0</v>
      </c>
      <c r="GH138">
        <v>0</v>
      </c>
      <c r="GI138">
        <v>0</v>
      </c>
      <c r="GJ138">
        <v>0</v>
      </c>
      <c r="GK138">
        <v>0</v>
      </c>
      <c r="GL138">
        <v>0</v>
      </c>
      <c r="GM138">
        <v>0</v>
      </c>
      <c r="GN138">
        <v>0</v>
      </c>
      <c r="GO138">
        <v>0</v>
      </c>
      <c r="GP138">
        <v>0</v>
      </c>
      <c r="GQ138">
        <v>0</v>
      </c>
      <c r="GR138">
        <v>0</v>
      </c>
      <c r="GS138">
        <v>0</v>
      </c>
      <c r="GT138">
        <v>0</v>
      </c>
      <c r="GU138">
        <v>0</v>
      </c>
      <c r="GV138">
        <v>0</v>
      </c>
      <c r="GW138">
        <v>0</v>
      </c>
      <c r="GX138">
        <v>0</v>
      </c>
      <c r="GY138">
        <v>0</v>
      </c>
      <c r="GZ138">
        <v>0</v>
      </c>
      <c r="HA138">
        <v>0</v>
      </c>
      <c r="HB138">
        <v>0</v>
      </c>
      <c r="HC138">
        <v>0</v>
      </c>
      <c r="HD138">
        <v>0</v>
      </c>
      <c r="HE138">
        <v>0</v>
      </c>
      <c r="HF138">
        <v>0</v>
      </c>
      <c r="HG138">
        <v>0</v>
      </c>
      <c r="HH138">
        <v>0</v>
      </c>
      <c r="HI138">
        <v>0</v>
      </c>
      <c r="HJ138">
        <v>0</v>
      </c>
      <c r="HK138">
        <v>0</v>
      </c>
      <c r="HL138">
        <v>0</v>
      </c>
      <c r="HM138">
        <v>0</v>
      </c>
      <c r="HN138">
        <v>0</v>
      </c>
      <c r="HO138">
        <v>0</v>
      </c>
      <c r="HP138">
        <v>0</v>
      </c>
      <c r="HQ138">
        <v>0</v>
      </c>
      <c r="HR138">
        <v>0</v>
      </c>
      <c r="HS138">
        <v>0</v>
      </c>
      <c r="HT138">
        <v>0</v>
      </c>
      <c r="HU138">
        <v>0</v>
      </c>
      <c r="HV138">
        <v>0</v>
      </c>
      <c r="HW138">
        <v>0</v>
      </c>
      <c r="HX138">
        <v>0</v>
      </c>
      <c r="HY138">
        <v>0</v>
      </c>
      <c r="HZ138">
        <v>0</v>
      </c>
      <c r="IA138">
        <v>0</v>
      </c>
      <c r="IB138">
        <v>0</v>
      </c>
      <c r="IC138">
        <v>0</v>
      </c>
      <c r="ID138">
        <v>0</v>
      </c>
      <c r="IE138">
        <v>0</v>
      </c>
      <c r="IF138">
        <v>0</v>
      </c>
      <c r="IG138">
        <v>0</v>
      </c>
      <c r="IH138">
        <v>0</v>
      </c>
      <c r="II138">
        <v>0</v>
      </c>
      <c r="IJ138">
        <v>0</v>
      </c>
      <c r="IK138">
        <v>0</v>
      </c>
      <c r="IL138">
        <v>0</v>
      </c>
      <c r="IM138">
        <v>0</v>
      </c>
      <c r="IN138">
        <v>0</v>
      </c>
      <c r="IO138">
        <v>0</v>
      </c>
      <c r="IP138">
        <v>0</v>
      </c>
      <c r="IQ138">
        <v>0</v>
      </c>
      <c r="IR138">
        <v>0</v>
      </c>
      <c r="IS138">
        <v>0</v>
      </c>
      <c r="IT138">
        <v>0</v>
      </c>
      <c r="IU138">
        <v>0</v>
      </c>
      <c r="IV138">
        <v>0</v>
      </c>
      <c r="IW138">
        <v>0</v>
      </c>
      <c r="IX138">
        <v>0</v>
      </c>
      <c r="IY138">
        <v>0</v>
      </c>
      <c r="IZ138">
        <v>0</v>
      </c>
      <c r="JA138">
        <v>0</v>
      </c>
      <c r="JB138">
        <v>0</v>
      </c>
      <c r="JC138">
        <v>0</v>
      </c>
      <c r="JD138">
        <v>0</v>
      </c>
      <c r="JE138">
        <v>0</v>
      </c>
      <c r="JF138">
        <v>0</v>
      </c>
      <c r="JG138">
        <v>0</v>
      </c>
      <c r="JH138">
        <v>0</v>
      </c>
      <c r="JI138">
        <v>0</v>
      </c>
      <c r="JJ138">
        <v>0</v>
      </c>
      <c r="JK138">
        <v>0</v>
      </c>
      <c r="JL138">
        <v>0</v>
      </c>
      <c r="JM138">
        <v>0</v>
      </c>
      <c r="JN138">
        <v>0</v>
      </c>
      <c r="JO138">
        <v>0</v>
      </c>
      <c r="JP138">
        <v>0</v>
      </c>
      <c r="JQ138">
        <v>0</v>
      </c>
      <c r="JR138">
        <v>0</v>
      </c>
      <c r="JS138">
        <v>0</v>
      </c>
      <c r="JT138">
        <v>0</v>
      </c>
      <c r="JU138">
        <v>0</v>
      </c>
      <c r="JV138">
        <v>0</v>
      </c>
      <c r="JW138">
        <v>0</v>
      </c>
      <c r="JX138">
        <v>0</v>
      </c>
      <c r="JY138">
        <v>0</v>
      </c>
      <c r="JZ138">
        <v>0</v>
      </c>
      <c r="KA138">
        <v>0</v>
      </c>
      <c r="KB138">
        <v>0</v>
      </c>
      <c r="KC138">
        <v>0</v>
      </c>
      <c r="KD138">
        <v>0</v>
      </c>
      <c r="KE138">
        <v>0</v>
      </c>
      <c r="KF138">
        <v>0</v>
      </c>
      <c r="KG138">
        <v>0</v>
      </c>
      <c r="KH138">
        <v>0</v>
      </c>
      <c r="KI138">
        <v>0</v>
      </c>
      <c r="KJ138">
        <v>0</v>
      </c>
      <c r="KK138">
        <v>0</v>
      </c>
      <c r="KL138">
        <v>0</v>
      </c>
      <c r="KM138">
        <v>0</v>
      </c>
      <c r="KN138">
        <v>0</v>
      </c>
      <c r="KO138">
        <v>0</v>
      </c>
      <c r="KP138">
        <v>0</v>
      </c>
      <c r="KQ138">
        <v>0</v>
      </c>
      <c r="KR138">
        <v>0</v>
      </c>
      <c r="KS138">
        <v>0</v>
      </c>
      <c r="KT138">
        <v>0</v>
      </c>
      <c r="KU138">
        <v>0</v>
      </c>
      <c r="KV138">
        <v>0</v>
      </c>
      <c r="KW138">
        <v>0</v>
      </c>
      <c r="KX138">
        <v>0</v>
      </c>
      <c r="KY138">
        <v>0</v>
      </c>
      <c r="KZ138">
        <v>0</v>
      </c>
      <c r="LA138">
        <v>0</v>
      </c>
      <c r="LB138">
        <v>0</v>
      </c>
      <c r="LC138">
        <v>0</v>
      </c>
      <c r="LD138">
        <v>0</v>
      </c>
      <c r="LE138">
        <v>0</v>
      </c>
      <c r="LF138">
        <v>0</v>
      </c>
      <c r="LG138">
        <v>0</v>
      </c>
      <c r="LH138">
        <v>0</v>
      </c>
      <c r="LI138">
        <v>0</v>
      </c>
      <c r="LJ138">
        <v>0</v>
      </c>
      <c r="LK138">
        <v>0</v>
      </c>
      <c r="LL138">
        <v>0</v>
      </c>
      <c r="LM138">
        <v>0</v>
      </c>
      <c r="LN138">
        <v>0</v>
      </c>
      <c r="LO138">
        <v>0</v>
      </c>
      <c r="LP138">
        <v>0</v>
      </c>
      <c r="LQ138">
        <v>0</v>
      </c>
      <c r="LR138">
        <v>0</v>
      </c>
      <c r="LS138">
        <v>0</v>
      </c>
      <c r="LT138">
        <v>0</v>
      </c>
      <c r="LU138">
        <v>0</v>
      </c>
      <c r="LV138">
        <v>0</v>
      </c>
      <c r="LW138">
        <v>0</v>
      </c>
      <c r="LX138">
        <v>0</v>
      </c>
      <c r="LY138">
        <v>0</v>
      </c>
      <c r="LZ138">
        <v>0</v>
      </c>
      <c r="MA138">
        <v>0</v>
      </c>
      <c r="MB138">
        <v>0</v>
      </c>
      <c r="MC138">
        <v>0</v>
      </c>
      <c r="MD138">
        <v>0</v>
      </c>
      <c r="ME138">
        <v>0</v>
      </c>
      <c r="MF138">
        <v>0</v>
      </c>
      <c r="MG138">
        <v>0</v>
      </c>
      <c r="MH138">
        <v>0</v>
      </c>
      <c r="MI138">
        <v>0</v>
      </c>
      <c r="MJ138">
        <v>0</v>
      </c>
      <c r="MK138">
        <v>0</v>
      </c>
      <c r="ML138">
        <v>0</v>
      </c>
      <c r="MM138">
        <v>0</v>
      </c>
      <c r="MN138">
        <v>0</v>
      </c>
      <c r="MO138">
        <v>0</v>
      </c>
      <c r="MP138">
        <v>0</v>
      </c>
      <c r="MQ138">
        <v>0</v>
      </c>
      <c r="MR138">
        <v>0</v>
      </c>
      <c r="MS138">
        <v>0</v>
      </c>
      <c r="MT138">
        <v>0</v>
      </c>
      <c r="MU138">
        <v>0</v>
      </c>
      <c r="MV138">
        <v>0</v>
      </c>
      <c r="MW138">
        <v>0</v>
      </c>
      <c r="MX138">
        <v>0</v>
      </c>
      <c r="MY138">
        <v>0</v>
      </c>
      <c r="MZ138">
        <v>0</v>
      </c>
      <c r="NA138">
        <v>0</v>
      </c>
      <c r="NB138">
        <v>0</v>
      </c>
      <c r="NC138">
        <v>0</v>
      </c>
      <c r="ND138">
        <v>0</v>
      </c>
      <c r="NE138">
        <v>0</v>
      </c>
    </row>
    <row r="139" spans="41:369" x14ac:dyDescent="0.45">
      <c r="AO139" t="str">
        <v>B160</v>
      </c>
      <c r="AP139" t="str">
        <v>MOHAMMED DAWOOD K</v>
      </c>
      <c r="AQ139" t="str">
        <v>JARF</v>
      </c>
      <c r="AR139" t="str">
        <v>JUNIOR</v>
      </c>
      <c r="AS139">
        <v>4</v>
      </c>
      <c r="AT139">
        <v>9</v>
      </c>
      <c r="AU139">
        <v>0</v>
      </c>
      <c r="AV139">
        <v>9</v>
      </c>
      <c r="AW139">
        <v>9</v>
      </c>
      <c r="AX139">
        <v>139</v>
      </c>
      <c r="AY139" s="5">
        <v>139</v>
      </c>
      <c r="AZ139" t="str">
        <v>SN48</v>
      </c>
      <c r="BA139" t="str">
        <v>WORD FIGHT URD</v>
      </c>
      <c r="BB139" t="str">
        <v>SENIOR</v>
      </c>
      <c r="BC139" t="str">
        <v>Single</v>
      </c>
      <c r="BD139" t="str">
        <v>Stage</v>
      </c>
      <c r="BE139">
        <v>3</v>
      </c>
      <c r="BF139" t="str">
        <v>Individual</v>
      </c>
      <c r="BG139" t="str">
        <v>Individual</v>
      </c>
      <c r="BH139" t="str">
        <v>P</v>
      </c>
      <c r="BI139" t="str">
        <v>PUBLISHED</v>
      </c>
      <c r="BK139">
        <v>133</v>
      </c>
      <c r="BL139" t="str">
        <v>SN44</v>
      </c>
      <c r="BM139" t="str">
        <v xml:space="preserve">SPEECH ENG </v>
      </c>
      <c r="BN139">
        <v>3</v>
      </c>
      <c r="BO139" t="str">
        <v>Single</v>
      </c>
      <c r="BP139" t="str">
        <v>Stage</v>
      </c>
      <c r="BQ139" t="str">
        <v>SENIOR</v>
      </c>
      <c r="BR139" t="str">
        <v>C155</v>
      </c>
      <c r="BS139" t="str">
        <v>C108</v>
      </c>
      <c r="BT139" t="str">
        <v>C168</v>
      </c>
      <c r="BU139">
        <v>0</v>
      </c>
      <c r="BV139">
        <v>0</v>
      </c>
      <c r="BW139">
        <v>0</v>
      </c>
      <c r="BX139">
        <v>0</v>
      </c>
      <c r="BY139" t="str">
        <v>C110</v>
      </c>
      <c r="BZ139" t="str">
        <v>C107</v>
      </c>
      <c r="CA139" t="str">
        <v>C154</v>
      </c>
      <c r="CB139">
        <v>0</v>
      </c>
      <c r="CC139">
        <v>0</v>
      </c>
      <c r="CD139">
        <v>0</v>
      </c>
      <c r="CE139">
        <v>0</v>
      </c>
      <c r="CF139" t="str">
        <v>C114</v>
      </c>
      <c r="CG139" t="str">
        <v>C123</v>
      </c>
      <c r="CH139" t="str">
        <v>C145</v>
      </c>
      <c r="CI139">
        <v>0</v>
      </c>
      <c r="CJ139">
        <v>0</v>
      </c>
      <c r="CK139">
        <v>0</v>
      </c>
      <c r="CL139">
        <v>0</v>
      </c>
      <c r="CM139" t="str">
        <v>C113</v>
      </c>
      <c r="CN139" t="str">
        <v>C135</v>
      </c>
      <c r="CO139" t="str">
        <v>C151</v>
      </c>
      <c r="CP139">
        <v>0</v>
      </c>
      <c r="CQ139">
        <v>0</v>
      </c>
      <c r="CR139">
        <v>0</v>
      </c>
      <c r="CS139">
        <v>0</v>
      </c>
      <c r="CT139">
        <v>0</v>
      </c>
      <c r="CU139">
        <v>0</v>
      </c>
      <c r="CV139">
        <v>0</v>
      </c>
      <c r="CW139">
        <v>0</v>
      </c>
      <c r="CX139">
        <v>0</v>
      </c>
      <c r="CY139">
        <v>0</v>
      </c>
      <c r="CZ139">
        <v>0</v>
      </c>
      <c r="DA139">
        <v>0</v>
      </c>
      <c r="DB139">
        <v>0</v>
      </c>
      <c r="DC139">
        <v>0</v>
      </c>
      <c r="DD139">
        <v>0</v>
      </c>
      <c r="DE139">
        <v>0</v>
      </c>
      <c r="DF139">
        <v>0</v>
      </c>
      <c r="DG139">
        <v>0</v>
      </c>
      <c r="DH139">
        <v>0</v>
      </c>
      <c r="DI139">
        <v>0</v>
      </c>
      <c r="DJ139">
        <v>0</v>
      </c>
      <c r="DK139">
        <v>0</v>
      </c>
      <c r="DL139">
        <v>0</v>
      </c>
      <c r="DM139">
        <v>0</v>
      </c>
      <c r="DN139">
        <v>0</v>
      </c>
      <c r="DO139">
        <v>0</v>
      </c>
      <c r="DP139">
        <v>0</v>
      </c>
      <c r="DQ139">
        <v>0</v>
      </c>
      <c r="DR139">
        <v>0</v>
      </c>
      <c r="DS139">
        <v>0</v>
      </c>
      <c r="DT139">
        <v>0</v>
      </c>
      <c r="DU139">
        <v>0</v>
      </c>
      <c r="DV139">
        <v>0</v>
      </c>
      <c r="DW139">
        <v>0</v>
      </c>
      <c r="DX139">
        <v>0</v>
      </c>
      <c r="DY139">
        <v>0</v>
      </c>
      <c r="DZ139">
        <v>0</v>
      </c>
      <c r="EA139">
        <v>0</v>
      </c>
      <c r="EB139">
        <v>0</v>
      </c>
      <c r="EC139">
        <v>0</v>
      </c>
      <c r="ED139">
        <v>0</v>
      </c>
      <c r="EE139">
        <v>0</v>
      </c>
      <c r="EF139">
        <v>0</v>
      </c>
      <c r="EG139">
        <v>0</v>
      </c>
      <c r="EH139">
        <v>0</v>
      </c>
      <c r="EI139">
        <v>0</v>
      </c>
      <c r="EJ139">
        <v>0</v>
      </c>
      <c r="EK139">
        <v>0</v>
      </c>
      <c r="EL139">
        <v>0</v>
      </c>
      <c r="EM139">
        <v>0</v>
      </c>
      <c r="EN139">
        <v>0</v>
      </c>
      <c r="EO139">
        <v>0</v>
      </c>
      <c r="EP139">
        <v>0</v>
      </c>
      <c r="EQ139">
        <v>0</v>
      </c>
      <c r="ER139">
        <v>0</v>
      </c>
      <c r="ES139">
        <v>0</v>
      </c>
      <c r="ET139">
        <v>0</v>
      </c>
      <c r="EU139">
        <v>0</v>
      </c>
      <c r="EV139">
        <v>0</v>
      </c>
      <c r="EW139">
        <v>0</v>
      </c>
      <c r="EX139">
        <v>0</v>
      </c>
      <c r="EY139">
        <v>0</v>
      </c>
      <c r="EZ139">
        <v>0</v>
      </c>
      <c r="FA139">
        <v>0</v>
      </c>
      <c r="FB139">
        <v>0</v>
      </c>
      <c r="FC139">
        <v>0</v>
      </c>
      <c r="FD139">
        <v>0</v>
      </c>
      <c r="FE139">
        <v>0</v>
      </c>
      <c r="FF139">
        <v>0</v>
      </c>
      <c r="FG139">
        <v>0</v>
      </c>
      <c r="FH139">
        <v>0</v>
      </c>
      <c r="FI139">
        <v>0</v>
      </c>
      <c r="FJ139">
        <v>0</v>
      </c>
      <c r="FK139">
        <v>0</v>
      </c>
      <c r="FL139">
        <v>0</v>
      </c>
      <c r="FM139">
        <v>0</v>
      </c>
      <c r="FN139">
        <v>0</v>
      </c>
      <c r="FO139">
        <v>0</v>
      </c>
      <c r="FP139">
        <v>0</v>
      </c>
      <c r="FQ139">
        <v>0</v>
      </c>
      <c r="FR139">
        <v>0</v>
      </c>
      <c r="FS139">
        <v>0</v>
      </c>
      <c r="FT139">
        <v>0</v>
      </c>
      <c r="FU139">
        <v>0</v>
      </c>
      <c r="FV139">
        <v>0</v>
      </c>
      <c r="FW139">
        <v>0</v>
      </c>
      <c r="FX139">
        <v>0</v>
      </c>
      <c r="FY139">
        <v>0</v>
      </c>
      <c r="FZ139">
        <v>0</v>
      </c>
      <c r="GA139">
        <v>0</v>
      </c>
      <c r="GB139">
        <v>0</v>
      </c>
      <c r="GC139">
        <v>0</v>
      </c>
      <c r="GD139">
        <v>0</v>
      </c>
      <c r="GE139">
        <v>0</v>
      </c>
      <c r="GF139">
        <v>0</v>
      </c>
      <c r="GG139">
        <v>0</v>
      </c>
      <c r="GH139">
        <v>0</v>
      </c>
      <c r="GI139">
        <v>0</v>
      </c>
      <c r="GJ139">
        <v>0</v>
      </c>
      <c r="GK139">
        <v>0</v>
      </c>
      <c r="GL139">
        <v>0</v>
      </c>
      <c r="GM139">
        <v>0</v>
      </c>
      <c r="GN139">
        <v>0</v>
      </c>
      <c r="GO139">
        <v>0</v>
      </c>
      <c r="GP139">
        <v>0</v>
      </c>
      <c r="GQ139">
        <v>0</v>
      </c>
      <c r="GR139">
        <v>0</v>
      </c>
      <c r="GS139">
        <v>0</v>
      </c>
      <c r="GT139">
        <v>0</v>
      </c>
      <c r="GU139">
        <v>0</v>
      </c>
      <c r="GV139">
        <v>0</v>
      </c>
      <c r="GW139">
        <v>0</v>
      </c>
      <c r="GX139">
        <v>0</v>
      </c>
      <c r="GY139">
        <v>0</v>
      </c>
      <c r="GZ139">
        <v>0</v>
      </c>
      <c r="HA139">
        <v>0</v>
      </c>
      <c r="HB139">
        <v>0</v>
      </c>
      <c r="HC139">
        <v>0</v>
      </c>
      <c r="HD139">
        <v>0</v>
      </c>
      <c r="HE139">
        <v>0</v>
      </c>
      <c r="HF139">
        <v>0</v>
      </c>
      <c r="HG139">
        <v>0</v>
      </c>
      <c r="HH139">
        <v>0</v>
      </c>
      <c r="HI139">
        <v>0</v>
      </c>
      <c r="HJ139">
        <v>0</v>
      </c>
      <c r="HK139">
        <v>0</v>
      </c>
      <c r="HL139">
        <v>0</v>
      </c>
      <c r="HM139">
        <v>0</v>
      </c>
      <c r="HN139">
        <v>0</v>
      </c>
      <c r="HO139">
        <v>0</v>
      </c>
      <c r="HP139">
        <v>0</v>
      </c>
      <c r="HQ139">
        <v>0</v>
      </c>
      <c r="HR139">
        <v>0</v>
      </c>
      <c r="HS139">
        <v>0</v>
      </c>
      <c r="HT139">
        <v>0</v>
      </c>
      <c r="HU139">
        <v>0</v>
      </c>
      <c r="HV139">
        <v>0</v>
      </c>
      <c r="HW139">
        <v>0</v>
      </c>
      <c r="HX139">
        <v>0</v>
      </c>
      <c r="HY139">
        <v>0</v>
      </c>
      <c r="HZ139">
        <v>0</v>
      </c>
      <c r="IA139">
        <v>0</v>
      </c>
      <c r="IB139">
        <v>0</v>
      </c>
      <c r="IC139">
        <v>0</v>
      </c>
      <c r="ID139">
        <v>0</v>
      </c>
      <c r="IE139">
        <v>0</v>
      </c>
      <c r="IF139">
        <v>0</v>
      </c>
      <c r="IG139">
        <v>0</v>
      </c>
      <c r="IH139">
        <v>0</v>
      </c>
      <c r="II139">
        <v>0</v>
      </c>
      <c r="IJ139">
        <v>0</v>
      </c>
      <c r="IK139">
        <v>0</v>
      </c>
      <c r="IL139">
        <v>0</v>
      </c>
      <c r="IM139">
        <v>0</v>
      </c>
      <c r="IN139">
        <v>0</v>
      </c>
      <c r="IO139">
        <v>0</v>
      </c>
      <c r="IP139">
        <v>0</v>
      </c>
      <c r="IQ139">
        <v>0</v>
      </c>
      <c r="IR139">
        <v>0</v>
      </c>
      <c r="IS139">
        <v>0</v>
      </c>
      <c r="IT139">
        <v>0</v>
      </c>
      <c r="IU139">
        <v>0</v>
      </c>
      <c r="IV139">
        <v>0</v>
      </c>
      <c r="IW139">
        <v>0</v>
      </c>
      <c r="IX139">
        <v>0</v>
      </c>
      <c r="IY139">
        <v>0</v>
      </c>
      <c r="IZ139">
        <v>0</v>
      </c>
      <c r="JA139">
        <v>0</v>
      </c>
      <c r="JB139">
        <v>0</v>
      </c>
      <c r="JC139">
        <v>0</v>
      </c>
      <c r="JD139">
        <v>0</v>
      </c>
      <c r="JE139">
        <v>0</v>
      </c>
      <c r="JF139">
        <v>0</v>
      </c>
      <c r="JG139">
        <v>0</v>
      </c>
      <c r="JH139">
        <v>0</v>
      </c>
      <c r="JI139">
        <v>0</v>
      </c>
      <c r="JJ139">
        <v>0</v>
      </c>
      <c r="JK139">
        <v>0</v>
      </c>
      <c r="JL139">
        <v>0</v>
      </c>
      <c r="JM139">
        <v>0</v>
      </c>
      <c r="JN139">
        <v>0</v>
      </c>
      <c r="JO139">
        <v>0</v>
      </c>
      <c r="JP139">
        <v>0</v>
      </c>
      <c r="JQ139">
        <v>0</v>
      </c>
      <c r="JR139">
        <v>0</v>
      </c>
      <c r="JS139">
        <v>0</v>
      </c>
      <c r="JT139">
        <v>0</v>
      </c>
      <c r="JU139">
        <v>0</v>
      </c>
      <c r="JV139">
        <v>0</v>
      </c>
      <c r="JW139">
        <v>0</v>
      </c>
      <c r="JX139">
        <v>0</v>
      </c>
      <c r="JY139">
        <v>0</v>
      </c>
      <c r="JZ139">
        <v>0</v>
      </c>
      <c r="KA139">
        <v>0</v>
      </c>
      <c r="KB139">
        <v>0</v>
      </c>
      <c r="KC139">
        <v>0</v>
      </c>
      <c r="KD139">
        <v>0</v>
      </c>
      <c r="KE139">
        <v>0</v>
      </c>
      <c r="KF139">
        <v>0</v>
      </c>
      <c r="KG139">
        <v>0</v>
      </c>
      <c r="KH139">
        <v>0</v>
      </c>
      <c r="KI139">
        <v>0</v>
      </c>
      <c r="KJ139">
        <v>0</v>
      </c>
      <c r="KK139">
        <v>0</v>
      </c>
      <c r="KL139">
        <v>0</v>
      </c>
      <c r="KM139">
        <v>0</v>
      </c>
      <c r="KN139">
        <v>0</v>
      </c>
      <c r="KO139">
        <v>0</v>
      </c>
      <c r="KP139">
        <v>0</v>
      </c>
      <c r="KQ139">
        <v>0</v>
      </c>
      <c r="KR139">
        <v>0</v>
      </c>
      <c r="KS139">
        <v>0</v>
      </c>
      <c r="KT139">
        <v>0</v>
      </c>
      <c r="KU139">
        <v>0</v>
      </c>
      <c r="KV139">
        <v>0</v>
      </c>
      <c r="KW139">
        <v>0</v>
      </c>
      <c r="KX139">
        <v>0</v>
      </c>
      <c r="KY139">
        <v>0</v>
      </c>
      <c r="KZ139">
        <v>0</v>
      </c>
      <c r="LA139">
        <v>0</v>
      </c>
      <c r="LB139">
        <v>0</v>
      </c>
      <c r="LC139">
        <v>0</v>
      </c>
      <c r="LD139">
        <v>0</v>
      </c>
      <c r="LE139">
        <v>0</v>
      </c>
      <c r="LF139">
        <v>0</v>
      </c>
      <c r="LG139">
        <v>0</v>
      </c>
      <c r="LH139">
        <v>0</v>
      </c>
      <c r="LI139">
        <v>0</v>
      </c>
      <c r="LJ139">
        <v>0</v>
      </c>
      <c r="LK139">
        <v>0</v>
      </c>
      <c r="LL139">
        <v>0</v>
      </c>
      <c r="LM139">
        <v>0</v>
      </c>
      <c r="LN139">
        <v>0</v>
      </c>
      <c r="LO139">
        <v>0</v>
      </c>
      <c r="LP139">
        <v>0</v>
      </c>
      <c r="LQ139">
        <v>0</v>
      </c>
      <c r="LR139">
        <v>0</v>
      </c>
      <c r="LS139">
        <v>0</v>
      </c>
      <c r="LT139">
        <v>0</v>
      </c>
      <c r="LU139">
        <v>0</v>
      </c>
      <c r="LV139">
        <v>0</v>
      </c>
      <c r="LW139">
        <v>0</v>
      </c>
      <c r="LX139">
        <v>0</v>
      </c>
      <c r="LY139">
        <v>0</v>
      </c>
      <c r="LZ139">
        <v>0</v>
      </c>
      <c r="MA139">
        <v>0</v>
      </c>
      <c r="MB139">
        <v>0</v>
      </c>
      <c r="MC139">
        <v>0</v>
      </c>
      <c r="MD139">
        <v>0</v>
      </c>
      <c r="ME139">
        <v>0</v>
      </c>
      <c r="MF139">
        <v>0</v>
      </c>
      <c r="MG139">
        <v>0</v>
      </c>
      <c r="MH139">
        <v>0</v>
      </c>
      <c r="MI139">
        <v>0</v>
      </c>
      <c r="MJ139">
        <v>0</v>
      </c>
      <c r="MK139">
        <v>0</v>
      </c>
      <c r="ML139">
        <v>0</v>
      </c>
      <c r="MM139">
        <v>0</v>
      </c>
      <c r="MN139">
        <v>0</v>
      </c>
      <c r="MO139">
        <v>0</v>
      </c>
      <c r="MP139">
        <v>0</v>
      </c>
      <c r="MQ139">
        <v>0</v>
      </c>
      <c r="MR139">
        <v>0</v>
      </c>
      <c r="MS139">
        <v>0</v>
      </c>
      <c r="MT139">
        <v>0</v>
      </c>
      <c r="MU139">
        <v>0</v>
      </c>
      <c r="MV139">
        <v>0</v>
      </c>
      <c r="MW139">
        <v>0</v>
      </c>
      <c r="MX139">
        <v>0</v>
      </c>
      <c r="MY139">
        <v>0</v>
      </c>
      <c r="MZ139">
        <v>0</v>
      </c>
      <c r="NA139">
        <v>0</v>
      </c>
      <c r="NB139">
        <v>0</v>
      </c>
      <c r="NC139">
        <v>0</v>
      </c>
      <c r="ND139">
        <v>0</v>
      </c>
      <c r="NE139">
        <v>0</v>
      </c>
    </row>
    <row r="140" spans="41:369" x14ac:dyDescent="0.45">
      <c r="AO140" t="str">
        <v>B161</v>
      </c>
      <c r="AP140" t="str">
        <v>MUHAMMED RAZI TM</v>
      </c>
      <c r="AQ140" t="str">
        <v>DAHF</v>
      </c>
      <c r="AR140" t="str">
        <v>JUNIOR</v>
      </c>
      <c r="AS140">
        <v>4</v>
      </c>
      <c r="AT140">
        <v>8</v>
      </c>
      <c r="AU140">
        <v>0</v>
      </c>
      <c r="AV140">
        <v>8</v>
      </c>
      <c r="AW140">
        <v>8</v>
      </c>
      <c r="AX140">
        <v>147</v>
      </c>
      <c r="AY140" s="5">
        <v>147</v>
      </c>
      <c r="AZ140" t="str">
        <v>SN49</v>
      </c>
      <c r="BA140" t="str">
        <v>FACE TO FACE ENG</v>
      </c>
      <c r="BB140" t="str">
        <v>SENIOR</v>
      </c>
      <c r="BC140" t="str">
        <v>Group</v>
      </c>
      <c r="BD140" t="str">
        <v>Stage</v>
      </c>
      <c r="BE140">
        <v>2</v>
      </c>
      <c r="BF140" t="str">
        <v>GROUP</v>
      </c>
      <c r="BG140" t="str">
        <v>GROUP</v>
      </c>
      <c r="BH140" t="str">
        <v>P</v>
      </c>
      <c r="BI140" t="str">
        <v>PUBLISHED</v>
      </c>
      <c r="BK140">
        <v>134</v>
      </c>
      <c r="BL140" t="str">
        <v>SN45</v>
      </c>
      <c r="BM140" t="str">
        <v>SPEECH URD</v>
      </c>
      <c r="BN140">
        <v>3</v>
      </c>
      <c r="BO140" t="str">
        <v>Single</v>
      </c>
      <c r="BP140" t="str">
        <v>Stage</v>
      </c>
      <c r="BQ140" t="str">
        <v>SENIOR</v>
      </c>
      <c r="BR140" t="str">
        <v>C125</v>
      </c>
      <c r="BS140" t="str">
        <v>C138</v>
      </c>
      <c r="BT140" t="str">
        <v>C118</v>
      </c>
      <c r="BU140">
        <v>0</v>
      </c>
      <c r="BV140">
        <v>0</v>
      </c>
      <c r="BW140">
        <v>0</v>
      </c>
      <c r="BX140">
        <v>0</v>
      </c>
      <c r="BY140" t="str">
        <v>C128</v>
      </c>
      <c r="BZ140" t="str">
        <v>C133</v>
      </c>
      <c r="CA140" t="str">
        <v>C158</v>
      </c>
      <c r="CB140">
        <v>0</v>
      </c>
      <c r="CC140">
        <v>0</v>
      </c>
      <c r="CD140">
        <v>0</v>
      </c>
      <c r="CE140">
        <v>0</v>
      </c>
      <c r="CF140" t="str">
        <v>C104</v>
      </c>
      <c r="CG140" t="str">
        <v>C129</v>
      </c>
      <c r="CH140" t="str">
        <v>C174</v>
      </c>
      <c r="CI140">
        <v>0</v>
      </c>
      <c r="CJ140">
        <v>0</v>
      </c>
      <c r="CK140">
        <v>0</v>
      </c>
      <c r="CL140">
        <v>0</v>
      </c>
      <c r="CM140" t="str">
        <v>C116</v>
      </c>
      <c r="CN140" t="str">
        <v>C135</v>
      </c>
      <c r="CO140" t="str">
        <v>C165</v>
      </c>
      <c r="CP140">
        <v>0</v>
      </c>
      <c r="CQ140">
        <v>0</v>
      </c>
      <c r="CR140">
        <v>0</v>
      </c>
      <c r="CS140">
        <v>0</v>
      </c>
      <c r="CT140">
        <v>0</v>
      </c>
      <c r="CU140">
        <v>0</v>
      </c>
      <c r="CV140">
        <v>0</v>
      </c>
      <c r="CW140">
        <v>0</v>
      </c>
      <c r="CX140">
        <v>0</v>
      </c>
      <c r="CY140">
        <v>0</v>
      </c>
      <c r="CZ140">
        <v>0</v>
      </c>
      <c r="DA140">
        <v>0</v>
      </c>
      <c r="DB140">
        <v>0</v>
      </c>
      <c r="DC140">
        <v>0</v>
      </c>
      <c r="DD140">
        <v>0</v>
      </c>
      <c r="DE140">
        <v>0</v>
      </c>
      <c r="DF140">
        <v>0</v>
      </c>
      <c r="DG140">
        <v>0</v>
      </c>
      <c r="DH140">
        <v>0</v>
      </c>
      <c r="DI140">
        <v>0</v>
      </c>
      <c r="DJ140">
        <v>0</v>
      </c>
      <c r="DK140">
        <v>0</v>
      </c>
      <c r="DL140">
        <v>0</v>
      </c>
      <c r="DM140">
        <v>0</v>
      </c>
      <c r="DN140">
        <v>0</v>
      </c>
      <c r="DO140">
        <v>0</v>
      </c>
      <c r="DP140">
        <v>0</v>
      </c>
      <c r="DQ140">
        <v>0</v>
      </c>
      <c r="DR140">
        <v>0</v>
      </c>
      <c r="DS140">
        <v>0</v>
      </c>
      <c r="DT140">
        <v>0</v>
      </c>
      <c r="DU140">
        <v>0</v>
      </c>
      <c r="DV140">
        <v>0</v>
      </c>
      <c r="DW140">
        <v>0</v>
      </c>
      <c r="DX140">
        <v>0</v>
      </c>
      <c r="DY140">
        <v>0</v>
      </c>
      <c r="DZ140">
        <v>0</v>
      </c>
      <c r="EA140">
        <v>0</v>
      </c>
      <c r="EB140">
        <v>0</v>
      </c>
      <c r="EC140">
        <v>0</v>
      </c>
      <c r="ED140">
        <v>0</v>
      </c>
      <c r="EE140">
        <v>0</v>
      </c>
      <c r="EF140">
        <v>0</v>
      </c>
      <c r="EG140">
        <v>0</v>
      </c>
      <c r="EH140">
        <v>0</v>
      </c>
      <c r="EI140">
        <v>0</v>
      </c>
      <c r="EJ140">
        <v>0</v>
      </c>
      <c r="EK140">
        <v>0</v>
      </c>
      <c r="EL140">
        <v>0</v>
      </c>
      <c r="EM140">
        <v>0</v>
      </c>
      <c r="EN140">
        <v>0</v>
      </c>
      <c r="EO140">
        <v>0</v>
      </c>
      <c r="EP140">
        <v>0</v>
      </c>
      <c r="EQ140">
        <v>0</v>
      </c>
      <c r="ER140">
        <v>0</v>
      </c>
      <c r="ES140">
        <v>0</v>
      </c>
      <c r="ET140">
        <v>0</v>
      </c>
      <c r="EU140">
        <v>0</v>
      </c>
      <c r="EV140">
        <v>0</v>
      </c>
      <c r="EW140">
        <v>0</v>
      </c>
      <c r="EX140">
        <v>0</v>
      </c>
      <c r="EY140">
        <v>0</v>
      </c>
      <c r="EZ140">
        <v>0</v>
      </c>
      <c r="FA140">
        <v>0</v>
      </c>
      <c r="FB140">
        <v>0</v>
      </c>
      <c r="FC140">
        <v>0</v>
      </c>
      <c r="FD140">
        <v>0</v>
      </c>
      <c r="FE140">
        <v>0</v>
      </c>
      <c r="FF140">
        <v>0</v>
      </c>
      <c r="FG140">
        <v>0</v>
      </c>
      <c r="FH140">
        <v>0</v>
      </c>
      <c r="FI140">
        <v>0</v>
      </c>
      <c r="FJ140">
        <v>0</v>
      </c>
      <c r="FK140">
        <v>0</v>
      </c>
      <c r="FL140">
        <v>0</v>
      </c>
      <c r="FM140">
        <v>0</v>
      </c>
      <c r="FN140">
        <v>0</v>
      </c>
      <c r="FO140">
        <v>0</v>
      </c>
      <c r="FP140">
        <v>0</v>
      </c>
      <c r="FQ140">
        <v>0</v>
      </c>
      <c r="FR140">
        <v>0</v>
      </c>
      <c r="FS140">
        <v>0</v>
      </c>
      <c r="FT140">
        <v>0</v>
      </c>
      <c r="FU140">
        <v>0</v>
      </c>
      <c r="FV140">
        <v>0</v>
      </c>
      <c r="FW140">
        <v>0</v>
      </c>
      <c r="FX140">
        <v>0</v>
      </c>
      <c r="FY140">
        <v>0</v>
      </c>
      <c r="FZ140">
        <v>0</v>
      </c>
      <c r="GA140">
        <v>0</v>
      </c>
      <c r="GB140">
        <v>0</v>
      </c>
      <c r="GC140">
        <v>0</v>
      </c>
      <c r="GD140">
        <v>0</v>
      </c>
      <c r="GE140">
        <v>0</v>
      </c>
      <c r="GF140">
        <v>0</v>
      </c>
      <c r="GG140">
        <v>0</v>
      </c>
      <c r="GH140">
        <v>0</v>
      </c>
      <c r="GI140">
        <v>0</v>
      </c>
      <c r="GJ140">
        <v>0</v>
      </c>
      <c r="GK140">
        <v>0</v>
      </c>
      <c r="GL140">
        <v>0</v>
      </c>
      <c r="GM140">
        <v>0</v>
      </c>
      <c r="GN140">
        <v>0</v>
      </c>
      <c r="GO140">
        <v>0</v>
      </c>
      <c r="GP140">
        <v>0</v>
      </c>
      <c r="GQ140">
        <v>0</v>
      </c>
      <c r="GR140">
        <v>0</v>
      </c>
      <c r="GS140">
        <v>0</v>
      </c>
      <c r="GT140">
        <v>0</v>
      </c>
      <c r="GU140">
        <v>0</v>
      </c>
      <c r="GV140">
        <v>0</v>
      </c>
      <c r="GW140">
        <v>0</v>
      </c>
      <c r="GX140">
        <v>0</v>
      </c>
      <c r="GY140">
        <v>0</v>
      </c>
      <c r="GZ140">
        <v>0</v>
      </c>
      <c r="HA140">
        <v>0</v>
      </c>
      <c r="HB140">
        <v>0</v>
      </c>
      <c r="HC140">
        <v>0</v>
      </c>
      <c r="HD140">
        <v>0</v>
      </c>
      <c r="HE140">
        <v>0</v>
      </c>
      <c r="HF140">
        <v>0</v>
      </c>
      <c r="HG140">
        <v>0</v>
      </c>
      <c r="HH140">
        <v>0</v>
      </c>
      <c r="HI140">
        <v>0</v>
      </c>
      <c r="HJ140">
        <v>0</v>
      </c>
      <c r="HK140">
        <v>0</v>
      </c>
      <c r="HL140">
        <v>0</v>
      </c>
      <c r="HM140">
        <v>0</v>
      </c>
      <c r="HN140">
        <v>0</v>
      </c>
      <c r="HO140">
        <v>0</v>
      </c>
      <c r="HP140">
        <v>0</v>
      </c>
      <c r="HQ140">
        <v>0</v>
      </c>
      <c r="HR140">
        <v>0</v>
      </c>
      <c r="HS140">
        <v>0</v>
      </c>
      <c r="HT140">
        <v>0</v>
      </c>
      <c r="HU140">
        <v>0</v>
      </c>
      <c r="HV140">
        <v>0</v>
      </c>
      <c r="HW140">
        <v>0</v>
      </c>
      <c r="HX140">
        <v>0</v>
      </c>
      <c r="HY140">
        <v>0</v>
      </c>
      <c r="HZ140">
        <v>0</v>
      </c>
      <c r="IA140">
        <v>0</v>
      </c>
      <c r="IB140">
        <v>0</v>
      </c>
      <c r="IC140">
        <v>0</v>
      </c>
      <c r="ID140">
        <v>0</v>
      </c>
      <c r="IE140">
        <v>0</v>
      </c>
      <c r="IF140">
        <v>0</v>
      </c>
      <c r="IG140">
        <v>0</v>
      </c>
      <c r="IH140">
        <v>0</v>
      </c>
      <c r="II140">
        <v>0</v>
      </c>
      <c r="IJ140">
        <v>0</v>
      </c>
      <c r="IK140">
        <v>0</v>
      </c>
      <c r="IL140">
        <v>0</v>
      </c>
      <c r="IM140">
        <v>0</v>
      </c>
      <c r="IN140">
        <v>0</v>
      </c>
      <c r="IO140">
        <v>0</v>
      </c>
      <c r="IP140">
        <v>0</v>
      </c>
      <c r="IQ140">
        <v>0</v>
      </c>
      <c r="IR140">
        <v>0</v>
      </c>
      <c r="IS140">
        <v>0</v>
      </c>
      <c r="IT140">
        <v>0</v>
      </c>
      <c r="IU140">
        <v>0</v>
      </c>
      <c r="IV140">
        <v>0</v>
      </c>
      <c r="IW140">
        <v>0</v>
      </c>
      <c r="IX140">
        <v>0</v>
      </c>
      <c r="IY140">
        <v>0</v>
      </c>
      <c r="IZ140">
        <v>0</v>
      </c>
      <c r="JA140">
        <v>0</v>
      </c>
      <c r="JB140">
        <v>0</v>
      </c>
      <c r="JC140">
        <v>0</v>
      </c>
      <c r="JD140">
        <v>0</v>
      </c>
      <c r="JE140">
        <v>0</v>
      </c>
      <c r="JF140">
        <v>0</v>
      </c>
      <c r="JG140">
        <v>0</v>
      </c>
      <c r="JH140">
        <v>0</v>
      </c>
      <c r="JI140">
        <v>0</v>
      </c>
      <c r="JJ140">
        <v>0</v>
      </c>
      <c r="JK140">
        <v>0</v>
      </c>
      <c r="JL140">
        <v>0</v>
      </c>
      <c r="JM140">
        <v>0</v>
      </c>
      <c r="JN140">
        <v>0</v>
      </c>
      <c r="JO140">
        <v>0</v>
      </c>
      <c r="JP140">
        <v>0</v>
      </c>
      <c r="JQ140">
        <v>0</v>
      </c>
      <c r="JR140">
        <v>0</v>
      </c>
      <c r="JS140">
        <v>0</v>
      </c>
      <c r="JT140">
        <v>0</v>
      </c>
      <c r="JU140">
        <v>0</v>
      </c>
      <c r="JV140">
        <v>0</v>
      </c>
      <c r="JW140">
        <v>0</v>
      </c>
      <c r="JX140">
        <v>0</v>
      </c>
      <c r="JY140">
        <v>0</v>
      </c>
      <c r="JZ140">
        <v>0</v>
      </c>
      <c r="KA140">
        <v>0</v>
      </c>
      <c r="KB140">
        <v>0</v>
      </c>
      <c r="KC140">
        <v>0</v>
      </c>
      <c r="KD140">
        <v>0</v>
      </c>
      <c r="KE140">
        <v>0</v>
      </c>
      <c r="KF140">
        <v>0</v>
      </c>
      <c r="KG140">
        <v>0</v>
      </c>
      <c r="KH140">
        <v>0</v>
      </c>
      <c r="KI140">
        <v>0</v>
      </c>
      <c r="KJ140">
        <v>0</v>
      </c>
      <c r="KK140">
        <v>0</v>
      </c>
      <c r="KL140">
        <v>0</v>
      </c>
      <c r="KM140">
        <v>0</v>
      </c>
      <c r="KN140">
        <v>0</v>
      </c>
      <c r="KO140">
        <v>0</v>
      </c>
      <c r="KP140">
        <v>0</v>
      </c>
      <c r="KQ140">
        <v>0</v>
      </c>
      <c r="KR140">
        <v>0</v>
      </c>
      <c r="KS140">
        <v>0</v>
      </c>
      <c r="KT140">
        <v>0</v>
      </c>
      <c r="KU140">
        <v>0</v>
      </c>
      <c r="KV140">
        <v>0</v>
      </c>
      <c r="KW140">
        <v>0</v>
      </c>
      <c r="KX140">
        <v>0</v>
      </c>
      <c r="KY140">
        <v>0</v>
      </c>
      <c r="KZ140">
        <v>0</v>
      </c>
      <c r="LA140">
        <v>0</v>
      </c>
      <c r="LB140">
        <v>0</v>
      </c>
      <c r="LC140">
        <v>0</v>
      </c>
      <c r="LD140">
        <v>0</v>
      </c>
      <c r="LE140">
        <v>0</v>
      </c>
      <c r="LF140">
        <v>0</v>
      </c>
      <c r="LG140">
        <v>0</v>
      </c>
      <c r="LH140">
        <v>0</v>
      </c>
      <c r="LI140">
        <v>0</v>
      </c>
      <c r="LJ140">
        <v>0</v>
      </c>
      <c r="LK140">
        <v>0</v>
      </c>
      <c r="LL140">
        <v>0</v>
      </c>
      <c r="LM140">
        <v>0</v>
      </c>
      <c r="LN140">
        <v>0</v>
      </c>
      <c r="LO140">
        <v>0</v>
      </c>
      <c r="LP140">
        <v>0</v>
      </c>
      <c r="LQ140">
        <v>0</v>
      </c>
      <c r="LR140">
        <v>0</v>
      </c>
      <c r="LS140">
        <v>0</v>
      </c>
      <c r="LT140">
        <v>0</v>
      </c>
      <c r="LU140">
        <v>0</v>
      </c>
      <c r="LV140">
        <v>0</v>
      </c>
      <c r="LW140">
        <v>0</v>
      </c>
      <c r="LX140">
        <v>0</v>
      </c>
      <c r="LY140">
        <v>0</v>
      </c>
      <c r="LZ140">
        <v>0</v>
      </c>
      <c r="MA140">
        <v>0</v>
      </c>
      <c r="MB140">
        <v>0</v>
      </c>
      <c r="MC140">
        <v>0</v>
      </c>
      <c r="MD140">
        <v>0</v>
      </c>
      <c r="ME140">
        <v>0</v>
      </c>
      <c r="MF140">
        <v>0</v>
      </c>
      <c r="MG140">
        <v>0</v>
      </c>
      <c r="MH140">
        <v>0</v>
      </c>
      <c r="MI140">
        <v>0</v>
      </c>
      <c r="MJ140">
        <v>0</v>
      </c>
      <c r="MK140">
        <v>0</v>
      </c>
      <c r="ML140">
        <v>0</v>
      </c>
      <c r="MM140">
        <v>0</v>
      </c>
      <c r="MN140">
        <v>0</v>
      </c>
      <c r="MO140">
        <v>0</v>
      </c>
      <c r="MP140">
        <v>0</v>
      </c>
      <c r="MQ140">
        <v>0</v>
      </c>
      <c r="MR140">
        <v>0</v>
      </c>
      <c r="MS140">
        <v>0</v>
      </c>
      <c r="MT140">
        <v>0</v>
      </c>
      <c r="MU140">
        <v>0</v>
      </c>
      <c r="MV140">
        <v>0</v>
      </c>
      <c r="MW140">
        <v>0</v>
      </c>
      <c r="MX140">
        <v>0</v>
      </c>
      <c r="MY140">
        <v>0</v>
      </c>
      <c r="MZ140">
        <v>0</v>
      </c>
      <c r="NA140">
        <v>0</v>
      </c>
      <c r="NB140">
        <v>0</v>
      </c>
      <c r="NC140">
        <v>0</v>
      </c>
      <c r="ND140">
        <v>0</v>
      </c>
      <c r="NE140">
        <v>0</v>
      </c>
    </row>
    <row r="141" spans="41:369" x14ac:dyDescent="0.45">
      <c r="AO141" t="str">
        <v>B162</v>
      </c>
      <c r="AP141" t="str">
        <v>RAYHAN PH</v>
      </c>
      <c r="AQ141" t="str">
        <v>JARF</v>
      </c>
      <c r="AR141" t="str">
        <v>JUNIOR</v>
      </c>
      <c r="AS141">
        <v>4</v>
      </c>
      <c r="AT141">
        <v>17</v>
      </c>
      <c r="AU141">
        <v>0</v>
      </c>
      <c r="AV141">
        <v>17</v>
      </c>
      <c r="AW141">
        <v>17</v>
      </c>
      <c r="AX141">
        <v>87</v>
      </c>
      <c r="AY141" s="5">
        <v>87</v>
      </c>
      <c r="AZ141" t="str">
        <v>SN50</v>
      </c>
      <c r="BA141" t="str">
        <v>INSTANT MAGAZINE ENG</v>
      </c>
      <c r="BB141" t="str">
        <v>SENIOR</v>
      </c>
      <c r="BC141" t="str">
        <v>Group</v>
      </c>
      <c r="BD141" t="str">
        <v>Non-Stg</v>
      </c>
      <c r="BE141">
        <v>5</v>
      </c>
      <c r="BF141" t="str">
        <v>GROUP</v>
      </c>
      <c r="BG141" t="str">
        <v>GROUP</v>
      </c>
      <c r="BH141" t="str">
        <v>P</v>
      </c>
      <c r="BI141" t="str">
        <v>PUBLISHED</v>
      </c>
      <c r="BK141">
        <v>135</v>
      </c>
      <c r="BL141" t="str">
        <v>SN46</v>
      </c>
      <c r="BM141" t="str">
        <v>TEACHING</v>
      </c>
      <c r="BN141">
        <v>3</v>
      </c>
      <c r="BO141" t="str">
        <v>Single</v>
      </c>
      <c r="BP141" t="str">
        <v>Stage</v>
      </c>
      <c r="BQ141" t="str">
        <v>SENIOR</v>
      </c>
      <c r="BR141" t="str">
        <v>C112</v>
      </c>
      <c r="BS141" t="str">
        <v>C137</v>
      </c>
      <c r="BT141" t="str">
        <v>C176</v>
      </c>
      <c r="BU141">
        <v>0</v>
      </c>
      <c r="BV141">
        <v>0</v>
      </c>
      <c r="BW141">
        <v>0</v>
      </c>
      <c r="BX141">
        <v>0</v>
      </c>
      <c r="BY141" t="str">
        <v>C120</v>
      </c>
      <c r="BZ141" t="str">
        <v>C136</v>
      </c>
      <c r="CA141" t="str">
        <v>C166</v>
      </c>
      <c r="CB141">
        <v>0</v>
      </c>
      <c r="CC141">
        <v>0</v>
      </c>
      <c r="CD141">
        <v>0</v>
      </c>
      <c r="CE141">
        <v>0</v>
      </c>
      <c r="CF141" t="str">
        <v>C109</v>
      </c>
      <c r="CG141" t="str">
        <v>C141</v>
      </c>
      <c r="CH141" t="str">
        <v>C174</v>
      </c>
      <c r="CI141">
        <v>0</v>
      </c>
      <c r="CJ141">
        <v>0</v>
      </c>
      <c r="CK141">
        <v>0</v>
      </c>
      <c r="CL141">
        <v>0</v>
      </c>
      <c r="CM141" t="str">
        <v>C113</v>
      </c>
      <c r="CN141" t="str">
        <v>C135</v>
      </c>
      <c r="CO141" t="str">
        <v>C175</v>
      </c>
      <c r="CP141">
        <v>0</v>
      </c>
      <c r="CQ141">
        <v>0</v>
      </c>
      <c r="CR141">
        <v>0</v>
      </c>
      <c r="CS141">
        <v>0</v>
      </c>
      <c r="CT141">
        <v>0</v>
      </c>
      <c r="CU141">
        <v>0</v>
      </c>
      <c r="CV141">
        <v>0</v>
      </c>
      <c r="CW141">
        <v>0</v>
      </c>
      <c r="CX141">
        <v>0</v>
      </c>
      <c r="CY141">
        <v>0</v>
      </c>
      <c r="CZ141">
        <v>0</v>
      </c>
      <c r="DA141">
        <v>0</v>
      </c>
      <c r="DB141">
        <v>0</v>
      </c>
      <c r="DC141">
        <v>0</v>
      </c>
      <c r="DD141">
        <v>0</v>
      </c>
      <c r="DE141">
        <v>0</v>
      </c>
      <c r="DF141">
        <v>0</v>
      </c>
      <c r="DG141">
        <v>0</v>
      </c>
      <c r="DH141">
        <v>0</v>
      </c>
      <c r="DI141">
        <v>0</v>
      </c>
      <c r="DJ141">
        <v>0</v>
      </c>
      <c r="DK141">
        <v>0</v>
      </c>
      <c r="DL141">
        <v>0</v>
      </c>
      <c r="DM141">
        <v>0</v>
      </c>
      <c r="DN141">
        <v>0</v>
      </c>
      <c r="DO141">
        <v>0</v>
      </c>
      <c r="DP141">
        <v>0</v>
      </c>
      <c r="DQ141">
        <v>0</v>
      </c>
      <c r="DR141">
        <v>0</v>
      </c>
      <c r="DS141">
        <v>0</v>
      </c>
      <c r="DT141">
        <v>0</v>
      </c>
      <c r="DU141">
        <v>0</v>
      </c>
      <c r="DV141">
        <v>0</v>
      </c>
      <c r="DW141">
        <v>0</v>
      </c>
      <c r="DX141">
        <v>0</v>
      </c>
      <c r="DY141">
        <v>0</v>
      </c>
      <c r="DZ141">
        <v>0</v>
      </c>
      <c r="EA141">
        <v>0</v>
      </c>
      <c r="EB141">
        <v>0</v>
      </c>
      <c r="EC141">
        <v>0</v>
      </c>
      <c r="ED141">
        <v>0</v>
      </c>
      <c r="EE141">
        <v>0</v>
      </c>
      <c r="EF141">
        <v>0</v>
      </c>
      <c r="EG141">
        <v>0</v>
      </c>
      <c r="EH141">
        <v>0</v>
      </c>
      <c r="EI141">
        <v>0</v>
      </c>
      <c r="EJ141">
        <v>0</v>
      </c>
      <c r="EK141">
        <v>0</v>
      </c>
      <c r="EL141">
        <v>0</v>
      </c>
      <c r="EM141">
        <v>0</v>
      </c>
      <c r="EN141">
        <v>0</v>
      </c>
      <c r="EO141">
        <v>0</v>
      </c>
      <c r="EP141">
        <v>0</v>
      </c>
      <c r="EQ141">
        <v>0</v>
      </c>
      <c r="ER141">
        <v>0</v>
      </c>
      <c r="ES141">
        <v>0</v>
      </c>
      <c r="ET141">
        <v>0</v>
      </c>
      <c r="EU141">
        <v>0</v>
      </c>
      <c r="EV141">
        <v>0</v>
      </c>
      <c r="EW141">
        <v>0</v>
      </c>
      <c r="EX141">
        <v>0</v>
      </c>
      <c r="EY141">
        <v>0</v>
      </c>
      <c r="EZ141">
        <v>0</v>
      </c>
      <c r="FA141">
        <v>0</v>
      </c>
      <c r="FB141">
        <v>0</v>
      </c>
      <c r="FC141">
        <v>0</v>
      </c>
      <c r="FD141">
        <v>0</v>
      </c>
      <c r="FE141">
        <v>0</v>
      </c>
      <c r="FF141">
        <v>0</v>
      </c>
      <c r="FG141">
        <v>0</v>
      </c>
      <c r="FH141">
        <v>0</v>
      </c>
      <c r="FI141">
        <v>0</v>
      </c>
      <c r="FJ141">
        <v>0</v>
      </c>
      <c r="FK141">
        <v>0</v>
      </c>
      <c r="FL141">
        <v>0</v>
      </c>
      <c r="FM141">
        <v>0</v>
      </c>
      <c r="FN141">
        <v>0</v>
      </c>
      <c r="FO141">
        <v>0</v>
      </c>
      <c r="FP141">
        <v>0</v>
      </c>
      <c r="FQ141">
        <v>0</v>
      </c>
      <c r="FR141">
        <v>0</v>
      </c>
      <c r="FS141">
        <v>0</v>
      </c>
      <c r="FT141">
        <v>0</v>
      </c>
      <c r="FU141">
        <v>0</v>
      </c>
      <c r="FV141">
        <v>0</v>
      </c>
      <c r="FW141">
        <v>0</v>
      </c>
      <c r="FX141">
        <v>0</v>
      </c>
      <c r="FY141">
        <v>0</v>
      </c>
      <c r="FZ141">
        <v>0</v>
      </c>
      <c r="GA141">
        <v>0</v>
      </c>
      <c r="GB141">
        <v>0</v>
      </c>
      <c r="GC141">
        <v>0</v>
      </c>
      <c r="GD141">
        <v>0</v>
      </c>
      <c r="GE141">
        <v>0</v>
      </c>
      <c r="GF141">
        <v>0</v>
      </c>
      <c r="GG141">
        <v>0</v>
      </c>
      <c r="GH141">
        <v>0</v>
      </c>
      <c r="GI141">
        <v>0</v>
      </c>
      <c r="GJ141">
        <v>0</v>
      </c>
      <c r="GK141">
        <v>0</v>
      </c>
      <c r="GL141">
        <v>0</v>
      </c>
      <c r="GM141">
        <v>0</v>
      </c>
      <c r="GN141">
        <v>0</v>
      </c>
      <c r="GO141">
        <v>0</v>
      </c>
      <c r="GP141">
        <v>0</v>
      </c>
      <c r="GQ141">
        <v>0</v>
      </c>
      <c r="GR141">
        <v>0</v>
      </c>
      <c r="GS141">
        <v>0</v>
      </c>
      <c r="GT141">
        <v>0</v>
      </c>
      <c r="GU141">
        <v>0</v>
      </c>
      <c r="GV141">
        <v>0</v>
      </c>
      <c r="GW141">
        <v>0</v>
      </c>
      <c r="GX141">
        <v>0</v>
      </c>
      <c r="GY141">
        <v>0</v>
      </c>
      <c r="GZ141">
        <v>0</v>
      </c>
      <c r="HA141">
        <v>0</v>
      </c>
      <c r="HB141">
        <v>0</v>
      </c>
      <c r="HC141">
        <v>0</v>
      </c>
      <c r="HD141">
        <v>0</v>
      </c>
      <c r="HE141">
        <v>0</v>
      </c>
      <c r="HF141">
        <v>0</v>
      </c>
      <c r="HG141">
        <v>0</v>
      </c>
      <c r="HH141">
        <v>0</v>
      </c>
      <c r="HI141">
        <v>0</v>
      </c>
      <c r="HJ141">
        <v>0</v>
      </c>
      <c r="HK141">
        <v>0</v>
      </c>
      <c r="HL141">
        <v>0</v>
      </c>
      <c r="HM141">
        <v>0</v>
      </c>
      <c r="HN141">
        <v>0</v>
      </c>
      <c r="HO141">
        <v>0</v>
      </c>
      <c r="HP141">
        <v>0</v>
      </c>
      <c r="HQ141">
        <v>0</v>
      </c>
      <c r="HR141">
        <v>0</v>
      </c>
      <c r="HS141">
        <v>0</v>
      </c>
      <c r="HT141">
        <v>0</v>
      </c>
      <c r="HU141">
        <v>0</v>
      </c>
      <c r="HV141">
        <v>0</v>
      </c>
      <c r="HW141">
        <v>0</v>
      </c>
      <c r="HX141">
        <v>0</v>
      </c>
      <c r="HY141">
        <v>0</v>
      </c>
      <c r="HZ141">
        <v>0</v>
      </c>
      <c r="IA141">
        <v>0</v>
      </c>
      <c r="IB141">
        <v>0</v>
      </c>
      <c r="IC141">
        <v>0</v>
      </c>
      <c r="ID141">
        <v>0</v>
      </c>
      <c r="IE141">
        <v>0</v>
      </c>
      <c r="IF141">
        <v>0</v>
      </c>
      <c r="IG141">
        <v>0</v>
      </c>
      <c r="IH141">
        <v>0</v>
      </c>
      <c r="II141">
        <v>0</v>
      </c>
      <c r="IJ141">
        <v>0</v>
      </c>
      <c r="IK141">
        <v>0</v>
      </c>
      <c r="IL141">
        <v>0</v>
      </c>
      <c r="IM141">
        <v>0</v>
      </c>
      <c r="IN141">
        <v>0</v>
      </c>
      <c r="IO141">
        <v>0</v>
      </c>
      <c r="IP141">
        <v>0</v>
      </c>
      <c r="IQ141">
        <v>0</v>
      </c>
      <c r="IR141">
        <v>0</v>
      </c>
      <c r="IS141">
        <v>0</v>
      </c>
      <c r="IT141">
        <v>0</v>
      </c>
      <c r="IU141">
        <v>0</v>
      </c>
      <c r="IV141">
        <v>0</v>
      </c>
      <c r="IW141">
        <v>0</v>
      </c>
      <c r="IX141">
        <v>0</v>
      </c>
      <c r="IY141">
        <v>0</v>
      </c>
      <c r="IZ141">
        <v>0</v>
      </c>
      <c r="JA141">
        <v>0</v>
      </c>
      <c r="JB141">
        <v>0</v>
      </c>
      <c r="JC141">
        <v>0</v>
      </c>
      <c r="JD141">
        <v>0</v>
      </c>
      <c r="JE141">
        <v>0</v>
      </c>
      <c r="JF141">
        <v>0</v>
      </c>
      <c r="JG141">
        <v>0</v>
      </c>
      <c r="JH141">
        <v>0</v>
      </c>
      <c r="JI141">
        <v>0</v>
      </c>
      <c r="JJ141">
        <v>0</v>
      </c>
      <c r="JK141">
        <v>0</v>
      </c>
      <c r="JL141">
        <v>0</v>
      </c>
      <c r="JM141">
        <v>0</v>
      </c>
      <c r="JN141">
        <v>0</v>
      </c>
      <c r="JO141">
        <v>0</v>
      </c>
      <c r="JP141">
        <v>0</v>
      </c>
      <c r="JQ141">
        <v>0</v>
      </c>
      <c r="JR141">
        <v>0</v>
      </c>
      <c r="JS141">
        <v>0</v>
      </c>
      <c r="JT141">
        <v>0</v>
      </c>
      <c r="JU141">
        <v>0</v>
      </c>
      <c r="JV141">
        <v>0</v>
      </c>
      <c r="JW141">
        <v>0</v>
      </c>
      <c r="JX141">
        <v>0</v>
      </c>
      <c r="JY141">
        <v>0</v>
      </c>
      <c r="JZ141">
        <v>0</v>
      </c>
      <c r="KA141">
        <v>0</v>
      </c>
      <c r="KB141">
        <v>0</v>
      </c>
      <c r="KC141">
        <v>0</v>
      </c>
      <c r="KD141">
        <v>0</v>
      </c>
      <c r="KE141">
        <v>0</v>
      </c>
      <c r="KF141">
        <v>0</v>
      </c>
      <c r="KG141">
        <v>0</v>
      </c>
      <c r="KH141">
        <v>0</v>
      </c>
      <c r="KI141">
        <v>0</v>
      </c>
      <c r="KJ141">
        <v>0</v>
      </c>
      <c r="KK141">
        <v>0</v>
      </c>
      <c r="KL141">
        <v>0</v>
      </c>
      <c r="KM141">
        <v>0</v>
      </c>
      <c r="KN141">
        <v>0</v>
      </c>
      <c r="KO141">
        <v>0</v>
      </c>
      <c r="KP141">
        <v>0</v>
      </c>
      <c r="KQ141">
        <v>0</v>
      </c>
      <c r="KR141">
        <v>0</v>
      </c>
      <c r="KS141">
        <v>0</v>
      </c>
      <c r="KT141">
        <v>0</v>
      </c>
      <c r="KU141">
        <v>0</v>
      </c>
      <c r="KV141">
        <v>0</v>
      </c>
      <c r="KW141">
        <v>0</v>
      </c>
      <c r="KX141">
        <v>0</v>
      </c>
      <c r="KY141">
        <v>0</v>
      </c>
      <c r="KZ141">
        <v>0</v>
      </c>
      <c r="LA141">
        <v>0</v>
      </c>
      <c r="LB141">
        <v>0</v>
      </c>
      <c r="LC141">
        <v>0</v>
      </c>
      <c r="LD141">
        <v>0</v>
      </c>
      <c r="LE141">
        <v>0</v>
      </c>
      <c r="LF141">
        <v>0</v>
      </c>
      <c r="LG141">
        <v>0</v>
      </c>
      <c r="LH141">
        <v>0</v>
      </c>
      <c r="LI141">
        <v>0</v>
      </c>
      <c r="LJ141">
        <v>0</v>
      </c>
      <c r="LK141">
        <v>0</v>
      </c>
      <c r="LL141">
        <v>0</v>
      </c>
      <c r="LM141">
        <v>0</v>
      </c>
      <c r="LN141">
        <v>0</v>
      </c>
      <c r="LO141">
        <v>0</v>
      </c>
      <c r="LP141">
        <v>0</v>
      </c>
      <c r="LQ141">
        <v>0</v>
      </c>
      <c r="LR141">
        <v>0</v>
      </c>
      <c r="LS141">
        <v>0</v>
      </c>
      <c r="LT141">
        <v>0</v>
      </c>
      <c r="LU141">
        <v>0</v>
      </c>
      <c r="LV141">
        <v>0</v>
      </c>
      <c r="LW141">
        <v>0</v>
      </c>
      <c r="LX141">
        <v>0</v>
      </c>
      <c r="LY141">
        <v>0</v>
      </c>
      <c r="LZ141">
        <v>0</v>
      </c>
      <c r="MA141">
        <v>0</v>
      </c>
      <c r="MB141">
        <v>0</v>
      </c>
      <c r="MC141">
        <v>0</v>
      </c>
      <c r="MD141">
        <v>0</v>
      </c>
      <c r="ME141">
        <v>0</v>
      </c>
      <c r="MF141">
        <v>0</v>
      </c>
      <c r="MG141">
        <v>0</v>
      </c>
      <c r="MH141">
        <v>0</v>
      </c>
      <c r="MI141">
        <v>0</v>
      </c>
      <c r="MJ141">
        <v>0</v>
      </c>
      <c r="MK141">
        <v>0</v>
      </c>
      <c r="ML141">
        <v>0</v>
      </c>
      <c r="MM141">
        <v>0</v>
      </c>
      <c r="MN141">
        <v>0</v>
      </c>
      <c r="MO141">
        <v>0</v>
      </c>
      <c r="MP141">
        <v>0</v>
      </c>
      <c r="MQ141">
        <v>0</v>
      </c>
      <c r="MR141">
        <v>0</v>
      </c>
      <c r="MS141">
        <v>0</v>
      </c>
      <c r="MT141">
        <v>0</v>
      </c>
      <c r="MU141">
        <v>0</v>
      </c>
      <c r="MV141">
        <v>0</v>
      </c>
      <c r="MW141">
        <v>0</v>
      </c>
      <c r="MX141">
        <v>0</v>
      </c>
      <c r="MY141">
        <v>0</v>
      </c>
      <c r="MZ141">
        <v>0</v>
      </c>
      <c r="NA141">
        <v>0</v>
      </c>
      <c r="NB141">
        <v>0</v>
      </c>
      <c r="NC141">
        <v>0</v>
      </c>
      <c r="ND141">
        <v>0</v>
      </c>
      <c r="NE141">
        <v>0</v>
      </c>
    </row>
    <row r="142" spans="41:369" x14ac:dyDescent="0.45">
      <c r="AO142" t="str">
        <v>B163</v>
      </c>
      <c r="AP142" t="str">
        <v>MOHAMMED YOUNUS</v>
      </c>
      <c r="AQ142" t="str">
        <v>JARF</v>
      </c>
      <c r="AR142" t="str">
        <v>JUNIOR</v>
      </c>
      <c r="AS142">
        <v>4</v>
      </c>
      <c r="AT142">
        <v>38</v>
      </c>
      <c r="AU142">
        <v>0</v>
      </c>
      <c r="AV142">
        <v>38</v>
      </c>
      <c r="AW142">
        <v>38</v>
      </c>
      <c r="AX142">
        <v>26</v>
      </c>
      <c r="AY142" s="5">
        <v>26</v>
      </c>
      <c r="AZ142" t="str">
        <v>SN51</v>
      </c>
      <c r="BA142" t="str">
        <v>MALA COMPOSITION</v>
      </c>
      <c r="BB142" t="str">
        <v>SENIOR</v>
      </c>
      <c r="BC142" t="str">
        <v>Group</v>
      </c>
      <c r="BD142" t="str">
        <v>Stage</v>
      </c>
      <c r="BE142">
        <v>2</v>
      </c>
      <c r="BF142" t="str">
        <v>GROUP</v>
      </c>
      <c r="BG142" t="str">
        <v>GROUP</v>
      </c>
      <c r="BH142" t="str">
        <v>P</v>
      </c>
      <c r="BI142" t="str">
        <v>PUBLISHED</v>
      </c>
      <c r="BK142">
        <v>136</v>
      </c>
      <c r="BL142" t="str">
        <v>SN47</v>
      </c>
      <c r="BM142" t="str">
        <v>WAʿẒ</v>
      </c>
      <c r="BN142">
        <v>3</v>
      </c>
      <c r="BO142" t="str">
        <v>Single</v>
      </c>
      <c r="BP142" t="str">
        <v>Stage</v>
      </c>
      <c r="BQ142" t="str">
        <v>SENIOR</v>
      </c>
      <c r="BR142" t="str">
        <v>C112</v>
      </c>
      <c r="BS142" t="str">
        <v>C156</v>
      </c>
      <c r="BT142" t="str">
        <v>C176</v>
      </c>
      <c r="BU142">
        <v>0</v>
      </c>
      <c r="BV142">
        <v>0</v>
      </c>
      <c r="BW142">
        <v>0</v>
      </c>
      <c r="BX142">
        <v>0</v>
      </c>
      <c r="BY142" t="str">
        <v>C120</v>
      </c>
      <c r="BZ142" t="str">
        <v>C136</v>
      </c>
      <c r="CA142" t="str">
        <v>C166</v>
      </c>
      <c r="CB142">
        <v>0</v>
      </c>
      <c r="CC142">
        <v>0</v>
      </c>
      <c r="CD142">
        <v>0</v>
      </c>
      <c r="CE142">
        <v>0</v>
      </c>
      <c r="CF142" t="str">
        <v>C106</v>
      </c>
      <c r="CG142" t="str">
        <v>C159</v>
      </c>
      <c r="CH142" t="str">
        <v>C171</v>
      </c>
      <c r="CI142">
        <v>0</v>
      </c>
      <c r="CJ142">
        <v>0</v>
      </c>
      <c r="CK142">
        <v>0</v>
      </c>
      <c r="CL142">
        <v>0</v>
      </c>
      <c r="CM142" t="str">
        <v>C111</v>
      </c>
      <c r="CN142" t="str">
        <v>C147</v>
      </c>
      <c r="CO142" t="str">
        <v>C167</v>
      </c>
      <c r="CP142">
        <v>0</v>
      </c>
      <c r="CQ142">
        <v>0</v>
      </c>
      <c r="CR142">
        <v>0</v>
      </c>
      <c r="CS142">
        <v>0</v>
      </c>
      <c r="CT142">
        <v>0</v>
      </c>
      <c r="CU142">
        <v>0</v>
      </c>
      <c r="CV142">
        <v>0</v>
      </c>
      <c r="CW142">
        <v>0</v>
      </c>
      <c r="CX142">
        <v>0</v>
      </c>
      <c r="CY142">
        <v>0</v>
      </c>
      <c r="CZ142">
        <v>0</v>
      </c>
      <c r="DA142">
        <v>0</v>
      </c>
      <c r="DB142">
        <v>0</v>
      </c>
      <c r="DC142">
        <v>0</v>
      </c>
      <c r="DD142">
        <v>0</v>
      </c>
      <c r="DE142">
        <v>0</v>
      </c>
      <c r="DF142">
        <v>0</v>
      </c>
      <c r="DG142">
        <v>0</v>
      </c>
      <c r="DH142">
        <v>0</v>
      </c>
      <c r="DI142">
        <v>0</v>
      </c>
      <c r="DJ142">
        <v>0</v>
      </c>
      <c r="DK142">
        <v>0</v>
      </c>
      <c r="DL142">
        <v>0</v>
      </c>
      <c r="DM142">
        <v>0</v>
      </c>
      <c r="DN142">
        <v>0</v>
      </c>
      <c r="DO142">
        <v>0</v>
      </c>
      <c r="DP142">
        <v>0</v>
      </c>
      <c r="DQ142">
        <v>0</v>
      </c>
      <c r="DR142">
        <v>0</v>
      </c>
      <c r="DS142">
        <v>0</v>
      </c>
      <c r="DT142">
        <v>0</v>
      </c>
      <c r="DU142">
        <v>0</v>
      </c>
      <c r="DV142">
        <v>0</v>
      </c>
      <c r="DW142">
        <v>0</v>
      </c>
      <c r="DX142">
        <v>0</v>
      </c>
      <c r="DY142">
        <v>0</v>
      </c>
      <c r="DZ142">
        <v>0</v>
      </c>
      <c r="EA142">
        <v>0</v>
      </c>
      <c r="EB142">
        <v>0</v>
      </c>
      <c r="EC142">
        <v>0</v>
      </c>
      <c r="ED142">
        <v>0</v>
      </c>
      <c r="EE142">
        <v>0</v>
      </c>
      <c r="EF142">
        <v>0</v>
      </c>
      <c r="EG142">
        <v>0</v>
      </c>
      <c r="EH142">
        <v>0</v>
      </c>
      <c r="EI142">
        <v>0</v>
      </c>
      <c r="EJ142">
        <v>0</v>
      </c>
      <c r="EK142">
        <v>0</v>
      </c>
      <c r="EL142">
        <v>0</v>
      </c>
      <c r="EM142">
        <v>0</v>
      </c>
      <c r="EN142">
        <v>0</v>
      </c>
      <c r="EO142">
        <v>0</v>
      </c>
      <c r="EP142">
        <v>0</v>
      </c>
      <c r="EQ142">
        <v>0</v>
      </c>
      <c r="ER142">
        <v>0</v>
      </c>
      <c r="ES142">
        <v>0</v>
      </c>
      <c r="ET142">
        <v>0</v>
      </c>
      <c r="EU142">
        <v>0</v>
      </c>
      <c r="EV142">
        <v>0</v>
      </c>
      <c r="EW142">
        <v>0</v>
      </c>
      <c r="EX142">
        <v>0</v>
      </c>
      <c r="EY142">
        <v>0</v>
      </c>
      <c r="EZ142">
        <v>0</v>
      </c>
      <c r="FA142">
        <v>0</v>
      </c>
      <c r="FB142">
        <v>0</v>
      </c>
      <c r="FC142">
        <v>0</v>
      </c>
      <c r="FD142">
        <v>0</v>
      </c>
      <c r="FE142">
        <v>0</v>
      </c>
      <c r="FF142">
        <v>0</v>
      </c>
      <c r="FG142">
        <v>0</v>
      </c>
      <c r="FH142">
        <v>0</v>
      </c>
      <c r="FI142">
        <v>0</v>
      </c>
      <c r="FJ142">
        <v>0</v>
      </c>
      <c r="FK142">
        <v>0</v>
      </c>
      <c r="FL142">
        <v>0</v>
      </c>
      <c r="FM142">
        <v>0</v>
      </c>
      <c r="FN142">
        <v>0</v>
      </c>
      <c r="FO142">
        <v>0</v>
      </c>
      <c r="FP142">
        <v>0</v>
      </c>
      <c r="FQ142">
        <v>0</v>
      </c>
      <c r="FR142">
        <v>0</v>
      </c>
      <c r="FS142">
        <v>0</v>
      </c>
      <c r="FT142">
        <v>0</v>
      </c>
      <c r="FU142">
        <v>0</v>
      </c>
      <c r="FV142">
        <v>0</v>
      </c>
      <c r="FW142">
        <v>0</v>
      </c>
      <c r="FX142">
        <v>0</v>
      </c>
      <c r="FY142">
        <v>0</v>
      </c>
      <c r="FZ142">
        <v>0</v>
      </c>
      <c r="GA142">
        <v>0</v>
      </c>
      <c r="GB142">
        <v>0</v>
      </c>
      <c r="GC142">
        <v>0</v>
      </c>
      <c r="GD142">
        <v>0</v>
      </c>
      <c r="GE142">
        <v>0</v>
      </c>
      <c r="GF142">
        <v>0</v>
      </c>
      <c r="GG142">
        <v>0</v>
      </c>
      <c r="GH142">
        <v>0</v>
      </c>
      <c r="GI142">
        <v>0</v>
      </c>
      <c r="GJ142">
        <v>0</v>
      </c>
      <c r="GK142">
        <v>0</v>
      </c>
      <c r="GL142">
        <v>0</v>
      </c>
      <c r="GM142">
        <v>0</v>
      </c>
      <c r="GN142">
        <v>0</v>
      </c>
      <c r="GO142">
        <v>0</v>
      </c>
      <c r="GP142">
        <v>0</v>
      </c>
      <c r="GQ142">
        <v>0</v>
      </c>
      <c r="GR142">
        <v>0</v>
      </c>
      <c r="GS142">
        <v>0</v>
      </c>
      <c r="GT142">
        <v>0</v>
      </c>
      <c r="GU142">
        <v>0</v>
      </c>
      <c r="GV142">
        <v>0</v>
      </c>
      <c r="GW142">
        <v>0</v>
      </c>
      <c r="GX142">
        <v>0</v>
      </c>
      <c r="GY142">
        <v>0</v>
      </c>
      <c r="GZ142">
        <v>0</v>
      </c>
      <c r="HA142">
        <v>0</v>
      </c>
      <c r="HB142">
        <v>0</v>
      </c>
      <c r="HC142">
        <v>0</v>
      </c>
      <c r="HD142">
        <v>0</v>
      </c>
      <c r="HE142">
        <v>0</v>
      </c>
      <c r="HF142">
        <v>0</v>
      </c>
      <c r="HG142">
        <v>0</v>
      </c>
      <c r="HH142">
        <v>0</v>
      </c>
      <c r="HI142">
        <v>0</v>
      </c>
      <c r="HJ142">
        <v>0</v>
      </c>
      <c r="HK142">
        <v>0</v>
      </c>
      <c r="HL142">
        <v>0</v>
      </c>
      <c r="HM142">
        <v>0</v>
      </c>
      <c r="HN142">
        <v>0</v>
      </c>
      <c r="HO142">
        <v>0</v>
      </c>
      <c r="HP142">
        <v>0</v>
      </c>
      <c r="HQ142">
        <v>0</v>
      </c>
      <c r="HR142">
        <v>0</v>
      </c>
      <c r="HS142">
        <v>0</v>
      </c>
      <c r="HT142">
        <v>0</v>
      </c>
      <c r="HU142">
        <v>0</v>
      </c>
      <c r="HV142">
        <v>0</v>
      </c>
      <c r="HW142">
        <v>0</v>
      </c>
      <c r="HX142">
        <v>0</v>
      </c>
      <c r="HY142">
        <v>0</v>
      </c>
      <c r="HZ142">
        <v>0</v>
      </c>
      <c r="IA142">
        <v>0</v>
      </c>
      <c r="IB142">
        <v>0</v>
      </c>
      <c r="IC142">
        <v>0</v>
      </c>
      <c r="ID142">
        <v>0</v>
      </c>
      <c r="IE142">
        <v>0</v>
      </c>
      <c r="IF142">
        <v>0</v>
      </c>
      <c r="IG142">
        <v>0</v>
      </c>
      <c r="IH142">
        <v>0</v>
      </c>
      <c r="II142">
        <v>0</v>
      </c>
      <c r="IJ142">
        <v>0</v>
      </c>
      <c r="IK142">
        <v>0</v>
      </c>
      <c r="IL142">
        <v>0</v>
      </c>
      <c r="IM142">
        <v>0</v>
      </c>
      <c r="IN142">
        <v>0</v>
      </c>
      <c r="IO142">
        <v>0</v>
      </c>
      <c r="IP142">
        <v>0</v>
      </c>
      <c r="IQ142">
        <v>0</v>
      </c>
      <c r="IR142">
        <v>0</v>
      </c>
      <c r="IS142">
        <v>0</v>
      </c>
      <c r="IT142">
        <v>0</v>
      </c>
      <c r="IU142">
        <v>0</v>
      </c>
      <c r="IV142">
        <v>0</v>
      </c>
      <c r="IW142">
        <v>0</v>
      </c>
      <c r="IX142">
        <v>0</v>
      </c>
      <c r="IY142">
        <v>0</v>
      </c>
      <c r="IZ142">
        <v>0</v>
      </c>
      <c r="JA142">
        <v>0</v>
      </c>
      <c r="JB142">
        <v>0</v>
      </c>
      <c r="JC142">
        <v>0</v>
      </c>
      <c r="JD142">
        <v>0</v>
      </c>
      <c r="JE142">
        <v>0</v>
      </c>
      <c r="JF142">
        <v>0</v>
      </c>
      <c r="JG142">
        <v>0</v>
      </c>
      <c r="JH142">
        <v>0</v>
      </c>
      <c r="JI142">
        <v>0</v>
      </c>
      <c r="JJ142">
        <v>0</v>
      </c>
      <c r="JK142">
        <v>0</v>
      </c>
      <c r="JL142">
        <v>0</v>
      </c>
      <c r="JM142">
        <v>0</v>
      </c>
      <c r="JN142">
        <v>0</v>
      </c>
      <c r="JO142">
        <v>0</v>
      </c>
      <c r="JP142">
        <v>0</v>
      </c>
      <c r="JQ142">
        <v>0</v>
      </c>
      <c r="JR142">
        <v>0</v>
      </c>
      <c r="JS142">
        <v>0</v>
      </c>
      <c r="JT142">
        <v>0</v>
      </c>
      <c r="JU142">
        <v>0</v>
      </c>
      <c r="JV142">
        <v>0</v>
      </c>
      <c r="JW142">
        <v>0</v>
      </c>
      <c r="JX142">
        <v>0</v>
      </c>
      <c r="JY142">
        <v>0</v>
      </c>
      <c r="JZ142">
        <v>0</v>
      </c>
      <c r="KA142">
        <v>0</v>
      </c>
      <c r="KB142">
        <v>0</v>
      </c>
      <c r="KC142">
        <v>0</v>
      </c>
      <c r="KD142">
        <v>0</v>
      </c>
      <c r="KE142">
        <v>0</v>
      </c>
      <c r="KF142">
        <v>0</v>
      </c>
      <c r="KG142">
        <v>0</v>
      </c>
      <c r="KH142">
        <v>0</v>
      </c>
      <c r="KI142">
        <v>0</v>
      </c>
      <c r="KJ142">
        <v>0</v>
      </c>
      <c r="KK142">
        <v>0</v>
      </c>
      <c r="KL142">
        <v>0</v>
      </c>
      <c r="KM142">
        <v>0</v>
      </c>
      <c r="KN142">
        <v>0</v>
      </c>
      <c r="KO142">
        <v>0</v>
      </c>
      <c r="KP142">
        <v>0</v>
      </c>
      <c r="KQ142">
        <v>0</v>
      </c>
      <c r="KR142">
        <v>0</v>
      </c>
      <c r="KS142">
        <v>0</v>
      </c>
      <c r="KT142">
        <v>0</v>
      </c>
      <c r="KU142">
        <v>0</v>
      </c>
      <c r="KV142">
        <v>0</v>
      </c>
      <c r="KW142">
        <v>0</v>
      </c>
      <c r="KX142">
        <v>0</v>
      </c>
      <c r="KY142">
        <v>0</v>
      </c>
      <c r="KZ142">
        <v>0</v>
      </c>
      <c r="LA142">
        <v>0</v>
      </c>
      <c r="LB142">
        <v>0</v>
      </c>
      <c r="LC142">
        <v>0</v>
      </c>
      <c r="LD142">
        <v>0</v>
      </c>
      <c r="LE142">
        <v>0</v>
      </c>
      <c r="LF142">
        <v>0</v>
      </c>
      <c r="LG142">
        <v>0</v>
      </c>
      <c r="LH142">
        <v>0</v>
      </c>
      <c r="LI142">
        <v>0</v>
      </c>
      <c r="LJ142">
        <v>0</v>
      </c>
      <c r="LK142">
        <v>0</v>
      </c>
      <c r="LL142">
        <v>0</v>
      </c>
      <c r="LM142">
        <v>0</v>
      </c>
      <c r="LN142">
        <v>0</v>
      </c>
      <c r="LO142">
        <v>0</v>
      </c>
      <c r="LP142">
        <v>0</v>
      </c>
      <c r="LQ142">
        <v>0</v>
      </c>
      <c r="LR142">
        <v>0</v>
      </c>
      <c r="LS142">
        <v>0</v>
      </c>
      <c r="LT142">
        <v>0</v>
      </c>
      <c r="LU142">
        <v>0</v>
      </c>
      <c r="LV142">
        <v>0</v>
      </c>
      <c r="LW142">
        <v>0</v>
      </c>
      <c r="LX142">
        <v>0</v>
      </c>
      <c r="LY142">
        <v>0</v>
      </c>
      <c r="LZ142">
        <v>0</v>
      </c>
      <c r="MA142">
        <v>0</v>
      </c>
      <c r="MB142">
        <v>0</v>
      </c>
      <c r="MC142">
        <v>0</v>
      </c>
      <c r="MD142">
        <v>0</v>
      </c>
      <c r="ME142">
        <v>0</v>
      </c>
      <c r="MF142">
        <v>0</v>
      </c>
      <c r="MG142">
        <v>0</v>
      </c>
      <c r="MH142">
        <v>0</v>
      </c>
      <c r="MI142">
        <v>0</v>
      </c>
      <c r="MJ142">
        <v>0</v>
      </c>
      <c r="MK142">
        <v>0</v>
      </c>
      <c r="ML142">
        <v>0</v>
      </c>
      <c r="MM142">
        <v>0</v>
      </c>
      <c r="MN142">
        <v>0</v>
      </c>
      <c r="MO142">
        <v>0</v>
      </c>
      <c r="MP142">
        <v>0</v>
      </c>
      <c r="MQ142">
        <v>0</v>
      </c>
      <c r="MR142">
        <v>0</v>
      </c>
      <c r="MS142">
        <v>0</v>
      </c>
      <c r="MT142">
        <v>0</v>
      </c>
      <c r="MU142">
        <v>0</v>
      </c>
      <c r="MV142">
        <v>0</v>
      </c>
      <c r="MW142">
        <v>0</v>
      </c>
      <c r="MX142">
        <v>0</v>
      </c>
      <c r="MY142">
        <v>0</v>
      </c>
      <c r="MZ142">
        <v>0</v>
      </c>
      <c r="NA142">
        <v>0</v>
      </c>
      <c r="NB142">
        <v>0</v>
      </c>
      <c r="NC142">
        <v>0</v>
      </c>
      <c r="ND142">
        <v>0</v>
      </c>
      <c r="NE142">
        <v>0</v>
      </c>
    </row>
    <row r="143" spans="41:369" x14ac:dyDescent="0.45">
      <c r="AO143" t="str">
        <v>B164</v>
      </c>
      <c r="AP143" t="str">
        <v>RASALUL AMEEN T</v>
      </c>
      <c r="AQ143" t="str">
        <v>BADF</v>
      </c>
      <c r="AR143" t="str">
        <v>JUNIOR</v>
      </c>
      <c r="AS143">
        <v>4</v>
      </c>
      <c r="AT143">
        <v>33</v>
      </c>
      <c r="AU143">
        <v>0</v>
      </c>
      <c r="AV143">
        <v>33</v>
      </c>
      <c r="AW143">
        <v>33</v>
      </c>
      <c r="AX143">
        <v>37</v>
      </c>
      <c r="AY143" s="5">
        <v>37</v>
      </c>
      <c r="AZ143" t="str">
        <v>SN52</v>
      </c>
      <c r="BA143" t="str">
        <v>MASHUP</v>
      </c>
      <c r="BB143" t="str">
        <v>SENIOR</v>
      </c>
      <c r="BC143" t="str">
        <v>Group</v>
      </c>
      <c r="BD143" t="str">
        <v>Stage</v>
      </c>
      <c r="BE143">
        <v>6</v>
      </c>
      <c r="BF143" t="str">
        <v>GROUP</v>
      </c>
      <c r="BG143" t="str">
        <v>GROUP</v>
      </c>
      <c r="BH143" t="str">
        <v>P</v>
      </c>
      <c r="BI143" t="str">
        <v>PUBLISHED</v>
      </c>
      <c r="BK143">
        <v>137</v>
      </c>
      <c r="BL143" t="str">
        <v>SN48</v>
      </c>
      <c r="BM143" t="str">
        <v>WORD FIGHT URD</v>
      </c>
      <c r="BN143">
        <v>3</v>
      </c>
      <c r="BO143" t="str">
        <v>Single</v>
      </c>
      <c r="BP143" t="str">
        <v>Stage</v>
      </c>
      <c r="BQ143" t="str">
        <v>SENIOR</v>
      </c>
      <c r="BR143" t="str">
        <v>C125</v>
      </c>
      <c r="BS143" t="str">
        <v>C138</v>
      </c>
      <c r="BT143" t="str">
        <v>C134</v>
      </c>
      <c r="BU143">
        <v>0</v>
      </c>
      <c r="BV143">
        <v>0</v>
      </c>
      <c r="BW143">
        <v>0</v>
      </c>
      <c r="BX143">
        <v>0</v>
      </c>
      <c r="BY143" t="str">
        <v>C130</v>
      </c>
      <c r="BZ143" t="str">
        <v>C158</v>
      </c>
      <c r="CA143" t="str">
        <v>C177</v>
      </c>
      <c r="CB143">
        <v>0</v>
      </c>
      <c r="CC143">
        <v>0</v>
      </c>
      <c r="CD143">
        <v>0</v>
      </c>
      <c r="CE143">
        <v>0</v>
      </c>
      <c r="CF143" t="str">
        <v>C148</v>
      </c>
      <c r="CG143" t="str">
        <v>C169</v>
      </c>
      <c r="CH143" t="str">
        <v>C174</v>
      </c>
      <c r="CI143">
        <v>0</v>
      </c>
      <c r="CJ143">
        <v>0</v>
      </c>
      <c r="CK143">
        <v>0</v>
      </c>
      <c r="CL143">
        <v>0</v>
      </c>
      <c r="CM143" t="str">
        <v>C116</v>
      </c>
      <c r="CN143" t="str">
        <v>C126</v>
      </c>
      <c r="CO143" t="str">
        <v>C165</v>
      </c>
      <c r="CP143">
        <v>0</v>
      </c>
      <c r="CQ143">
        <v>0</v>
      </c>
      <c r="CR143">
        <v>0</v>
      </c>
      <c r="CS143">
        <v>0</v>
      </c>
      <c r="CT143">
        <v>0</v>
      </c>
      <c r="CU143">
        <v>0</v>
      </c>
      <c r="CV143">
        <v>0</v>
      </c>
      <c r="CW143">
        <v>0</v>
      </c>
      <c r="CX143">
        <v>0</v>
      </c>
      <c r="CY143">
        <v>0</v>
      </c>
      <c r="CZ143">
        <v>0</v>
      </c>
      <c r="DA143">
        <v>0</v>
      </c>
      <c r="DB143">
        <v>0</v>
      </c>
      <c r="DC143">
        <v>0</v>
      </c>
      <c r="DD143">
        <v>0</v>
      </c>
      <c r="DE143">
        <v>0</v>
      </c>
      <c r="DF143">
        <v>0</v>
      </c>
      <c r="DG143">
        <v>0</v>
      </c>
      <c r="DH143">
        <v>0</v>
      </c>
      <c r="DI143">
        <v>0</v>
      </c>
      <c r="DJ143">
        <v>0</v>
      </c>
      <c r="DK143">
        <v>0</v>
      </c>
      <c r="DL143">
        <v>0</v>
      </c>
      <c r="DM143">
        <v>0</v>
      </c>
      <c r="DN143">
        <v>0</v>
      </c>
      <c r="DO143">
        <v>0</v>
      </c>
      <c r="DP143">
        <v>0</v>
      </c>
      <c r="DQ143">
        <v>0</v>
      </c>
      <c r="DR143">
        <v>0</v>
      </c>
      <c r="DS143">
        <v>0</v>
      </c>
      <c r="DT143">
        <v>0</v>
      </c>
      <c r="DU143">
        <v>0</v>
      </c>
      <c r="DV143">
        <v>0</v>
      </c>
      <c r="DW143">
        <v>0</v>
      </c>
      <c r="DX143">
        <v>0</v>
      </c>
      <c r="DY143">
        <v>0</v>
      </c>
      <c r="DZ143">
        <v>0</v>
      </c>
      <c r="EA143">
        <v>0</v>
      </c>
      <c r="EB143">
        <v>0</v>
      </c>
      <c r="EC143">
        <v>0</v>
      </c>
      <c r="ED143">
        <v>0</v>
      </c>
      <c r="EE143">
        <v>0</v>
      </c>
      <c r="EF143">
        <v>0</v>
      </c>
      <c r="EG143">
        <v>0</v>
      </c>
      <c r="EH143">
        <v>0</v>
      </c>
      <c r="EI143">
        <v>0</v>
      </c>
      <c r="EJ143">
        <v>0</v>
      </c>
      <c r="EK143">
        <v>0</v>
      </c>
      <c r="EL143">
        <v>0</v>
      </c>
      <c r="EM143">
        <v>0</v>
      </c>
      <c r="EN143">
        <v>0</v>
      </c>
      <c r="EO143">
        <v>0</v>
      </c>
      <c r="EP143">
        <v>0</v>
      </c>
      <c r="EQ143">
        <v>0</v>
      </c>
      <c r="ER143">
        <v>0</v>
      </c>
      <c r="ES143">
        <v>0</v>
      </c>
      <c r="ET143">
        <v>0</v>
      </c>
      <c r="EU143">
        <v>0</v>
      </c>
      <c r="EV143">
        <v>0</v>
      </c>
      <c r="EW143">
        <v>0</v>
      </c>
      <c r="EX143">
        <v>0</v>
      </c>
      <c r="EY143">
        <v>0</v>
      </c>
      <c r="EZ143">
        <v>0</v>
      </c>
      <c r="FA143">
        <v>0</v>
      </c>
      <c r="FB143">
        <v>0</v>
      </c>
      <c r="FC143">
        <v>0</v>
      </c>
      <c r="FD143">
        <v>0</v>
      </c>
      <c r="FE143">
        <v>0</v>
      </c>
      <c r="FF143">
        <v>0</v>
      </c>
      <c r="FG143">
        <v>0</v>
      </c>
      <c r="FH143">
        <v>0</v>
      </c>
      <c r="FI143">
        <v>0</v>
      </c>
      <c r="FJ143">
        <v>0</v>
      </c>
      <c r="FK143">
        <v>0</v>
      </c>
      <c r="FL143">
        <v>0</v>
      </c>
      <c r="FM143">
        <v>0</v>
      </c>
      <c r="FN143">
        <v>0</v>
      </c>
      <c r="FO143">
        <v>0</v>
      </c>
      <c r="FP143">
        <v>0</v>
      </c>
      <c r="FQ143">
        <v>0</v>
      </c>
      <c r="FR143">
        <v>0</v>
      </c>
      <c r="FS143">
        <v>0</v>
      </c>
      <c r="FT143">
        <v>0</v>
      </c>
      <c r="FU143">
        <v>0</v>
      </c>
      <c r="FV143">
        <v>0</v>
      </c>
      <c r="FW143">
        <v>0</v>
      </c>
      <c r="FX143">
        <v>0</v>
      </c>
      <c r="FY143">
        <v>0</v>
      </c>
      <c r="FZ143">
        <v>0</v>
      </c>
      <c r="GA143">
        <v>0</v>
      </c>
      <c r="GB143">
        <v>0</v>
      </c>
      <c r="GC143">
        <v>0</v>
      </c>
      <c r="GD143">
        <v>0</v>
      </c>
      <c r="GE143">
        <v>0</v>
      </c>
      <c r="GF143">
        <v>0</v>
      </c>
      <c r="GG143">
        <v>0</v>
      </c>
      <c r="GH143">
        <v>0</v>
      </c>
      <c r="GI143">
        <v>0</v>
      </c>
      <c r="GJ143">
        <v>0</v>
      </c>
      <c r="GK143">
        <v>0</v>
      </c>
      <c r="GL143">
        <v>0</v>
      </c>
      <c r="GM143">
        <v>0</v>
      </c>
      <c r="GN143">
        <v>0</v>
      </c>
      <c r="GO143">
        <v>0</v>
      </c>
      <c r="GP143">
        <v>0</v>
      </c>
      <c r="GQ143">
        <v>0</v>
      </c>
      <c r="GR143">
        <v>0</v>
      </c>
      <c r="GS143">
        <v>0</v>
      </c>
      <c r="GT143">
        <v>0</v>
      </c>
      <c r="GU143">
        <v>0</v>
      </c>
      <c r="GV143">
        <v>0</v>
      </c>
      <c r="GW143">
        <v>0</v>
      </c>
      <c r="GX143">
        <v>0</v>
      </c>
      <c r="GY143">
        <v>0</v>
      </c>
      <c r="GZ143">
        <v>0</v>
      </c>
      <c r="HA143">
        <v>0</v>
      </c>
      <c r="HB143">
        <v>0</v>
      </c>
      <c r="HC143">
        <v>0</v>
      </c>
      <c r="HD143">
        <v>0</v>
      </c>
      <c r="HE143">
        <v>0</v>
      </c>
      <c r="HF143">
        <v>0</v>
      </c>
      <c r="HG143">
        <v>0</v>
      </c>
      <c r="HH143">
        <v>0</v>
      </c>
      <c r="HI143">
        <v>0</v>
      </c>
      <c r="HJ143">
        <v>0</v>
      </c>
      <c r="HK143">
        <v>0</v>
      </c>
      <c r="HL143">
        <v>0</v>
      </c>
      <c r="HM143">
        <v>0</v>
      </c>
      <c r="HN143">
        <v>0</v>
      </c>
      <c r="HO143">
        <v>0</v>
      </c>
      <c r="HP143">
        <v>0</v>
      </c>
      <c r="HQ143">
        <v>0</v>
      </c>
      <c r="HR143">
        <v>0</v>
      </c>
      <c r="HS143">
        <v>0</v>
      </c>
      <c r="HT143">
        <v>0</v>
      </c>
      <c r="HU143">
        <v>0</v>
      </c>
      <c r="HV143">
        <v>0</v>
      </c>
      <c r="HW143">
        <v>0</v>
      </c>
      <c r="HX143">
        <v>0</v>
      </c>
      <c r="HY143">
        <v>0</v>
      </c>
      <c r="HZ143">
        <v>0</v>
      </c>
      <c r="IA143">
        <v>0</v>
      </c>
      <c r="IB143">
        <v>0</v>
      </c>
      <c r="IC143">
        <v>0</v>
      </c>
      <c r="ID143">
        <v>0</v>
      </c>
      <c r="IE143">
        <v>0</v>
      </c>
      <c r="IF143">
        <v>0</v>
      </c>
      <c r="IG143">
        <v>0</v>
      </c>
      <c r="IH143">
        <v>0</v>
      </c>
      <c r="II143">
        <v>0</v>
      </c>
      <c r="IJ143">
        <v>0</v>
      </c>
      <c r="IK143">
        <v>0</v>
      </c>
      <c r="IL143">
        <v>0</v>
      </c>
      <c r="IM143">
        <v>0</v>
      </c>
      <c r="IN143">
        <v>0</v>
      </c>
      <c r="IO143">
        <v>0</v>
      </c>
      <c r="IP143">
        <v>0</v>
      </c>
      <c r="IQ143">
        <v>0</v>
      </c>
      <c r="IR143">
        <v>0</v>
      </c>
      <c r="IS143">
        <v>0</v>
      </c>
      <c r="IT143">
        <v>0</v>
      </c>
      <c r="IU143">
        <v>0</v>
      </c>
      <c r="IV143">
        <v>0</v>
      </c>
      <c r="IW143">
        <v>0</v>
      </c>
      <c r="IX143">
        <v>0</v>
      </c>
      <c r="IY143">
        <v>0</v>
      </c>
      <c r="IZ143">
        <v>0</v>
      </c>
      <c r="JA143">
        <v>0</v>
      </c>
      <c r="JB143">
        <v>0</v>
      </c>
      <c r="JC143">
        <v>0</v>
      </c>
      <c r="JD143">
        <v>0</v>
      </c>
      <c r="JE143">
        <v>0</v>
      </c>
      <c r="JF143">
        <v>0</v>
      </c>
      <c r="JG143">
        <v>0</v>
      </c>
      <c r="JH143">
        <v>0</v>
      </c>
      <c r="JI143">
        <v>0</v>
      </c>
      <c r="JJ143">
        <v>0</v>
      </c>
      <c r="JK143">
        <v>0</v>
      </c>
      <c r="JL143">
        <v>0</v>
      </c>
      <c r="JM143">
        <v>0</v>
      </c>
      <c r="JN143">
        <v>0</v>
      </c>
      <c r="JO143">
        <v>0</v>
      </c>
      <c r="JP143">
        <v>0</v>
      </c>
      <c r="JQ143">
        <v>0</v>
      </c>
      <c r="JR143">
        <v>0</v>
      </c>
      <c r="JS143">
        <v>0</v>
      </c>
      <c r="JT143">
        <v>0</v>
      </c>
      <c r="JU143">
        <v>0</v>
      </c>
      <c r="JV143">
        <v>0</v>
      </c>
      <c r="JW143">
        <v>0</v>
      </c>
      <c r="JX143">
        <v>0</v>
      </c>
      <c r="JY143">
        <v>0</v>
      </c>
      <c r="JZ143">
        <v>0</v>
      </c>
      <c r="KA143">
        <v>0</v>
      </c>
      <c r="KB143">
        <v>0</v>
      </c>
      <c r="KC143">
        <v>0</v>
      </c>
      <c r="KD143">
        <v>0</v>
      </c>
      <c r="KE143">
        <v>0</v>
      </c>
      <c r="KF143">
        <v>0</v>
      </c>
      <c r="KG143">
        <v>0</v>
      </c>
      <c r="KH143">
        <v>0</v>
      </c>
      <c r="KI143">
        <v>0</v>
      </c>
      <c r="KJ143">
        <v>0</v>
      </c>
      <c r="KK143">
        <v>0</v>
      </c>
      <c r="KL143">
        <v>0</v>
      </c>
      <c r="KM143">
        <v>0</v>
      </c>
      <c r="KN143">
        <v>0</v>
      </c>
      <c r="KO143">
        <v>0</v>
      </c>
      <c r="KP143">
        <v>0</v>
      </c>
      <c r="KQ143">
        <v>0</v>
      </c>
      <c r="KR143">
        <v>0</v>
      </c>
      <c r="KS143">
        <v>0</v>
      </c>
      <c r="KT143">
        <v>0</v>
      </c>
      <c r="KU143">
        <v>0</v>
      </c>
      <c r="KV143">
        <v>0</v>
      </c>
      <c r="KW143">
        <v>0</v>
      </c>
      <c r="KX143">
        <v>0</v>
      </c>
      <c r="KY143">
        <v>0</v>
      </c>
      <c r="KZ143">
        <v>0</v>
      </c>
      <c r="LA143">
        <v>0</v>
      </c>
      <c r="LB143">
        <v>0</v>
      </c>
      <c r="LC143">
        <v>0</v>
      </c>
      <c r="LD143">
        <v>0</v>
      </c>
      <c r="LE143">
        <v>0</v>
      </c>
      <c r="LF143">
        <v>0</v>
      </c>
      <c r="LG143">
        <v>0</v>
      </c>
      <c r="LH143">
        <v>0</v>
      </c>
      <c r="LI143">
        <v>0</v>
      </c>
      <c r="LJ143">
        <v>0</v>
      </c>
      <c r="LK143">
        <v>0</v>
      </c>
      <c r="LL143">
        <v>0</v>
      </c>
      <c r="LM143">
        <v>0</v>
      </c>
      <c r="LN143">
        <v>0</v>
      </c>
      <c r="LO143">
        <v>0</v>
      </c>
      <c r="LP143">
        <v>0</v>
      </c>
      <c r="LQ143">
        <v>0</v>
      </c>
      <c r="LR143">
        <v>0</v>
      </c>
      <c r="LS143">
        <v>0</v>
      </c>
      <c r="LT143">
        <v>0</v>
      </c>
      <c r="LU143">
        <v>0</v>
      </c>
      <c r="LV143">
        <v>0</v>
      </c>
      <c r="LW143">
        <v>0</v>
      </c>
      <c r="LX143">
        <v>0</v>
      </c>
      <c r="LY143">
        <v>0</v>
      </c>
      <c r="LZ143">
        <v>0</v>
      </c>
      <c r="MA143">
        <v>0</v>
      </c>
      <c r="MB143">
        <v>0</v>
      </c>
      <c r="MC143">
        <v>0</v>
      </c>
      <c r="MD143">
        <v>0</v>
      </c>
      <c r="ME143">
        <v>0</v>
      </c>
      <c r="MF143">
        <v>0</v>
      </c>
      <c r="MG143">
        <v>0</v>
      </c>
      <c r="MH143">
        <v>0</v>
      </c>
      <c r="MI143">
        <v>0</v>
      </c>
      <c r="MJ143">
        <v>0</v>
      </c>
      <c r="MK143">
        <v>0</v>
      </c>
      <c r="ML143">
        <v>0</v>
      </c>
      <c r="MM143">
        <v>0</v>
      </c>
      <c r="MN143">
        <v>0</v>
      </c>
      <c r="MO143">
        <v>0</v>
      </c>
      <c r="MP143">
        <v>0</v>
      </c>
      <c r="MQ143">
        <v>0</v>
      </c>
      <c r="MR143">
        <v>0</v>
      </c>
      <c r="MS143">
        <v>0</v>
      </c>
      <c r="MT143">
        <v>0</v>
      </c>
      <c r="MU143">
        <v>0</v>
      </c>
      <c r="MV143">
        <v>0</v>
      </c>
      <c r="MW143">
        <v>0</v>
      </c>
      <c r="MX143">
        <v>0</v>
      </c>
      <c r="MY143">
        <v>0</v>
      </c>
      <c r="MZ143">
        <v>0</v>
      </c>
      <c r="NA143">
        <v>0</v>
      </c>
      <c r="NB143">
        <v>0</v>
      </c>
      <c r="NC143">
        <v>0</v>
      </c>
      <c r="ND143">
        <v>0</v>
      </c>
      <c r="NE143">
        <v>0</v>
      </c>
    </row>
    <row r="144" spans="41:369" x14ac:dyDescent="0.45">
      <c r="AO144" t="str">
        <v>C100</v>
      </c>
      <c r="AP144" t="str">
        <v>IBRAHIM AFIL</v>
      </c>
      <c r="AQ144" t="str">
        <v>DAHF</v>
      </c>
      <c r="AR144" t="str">
        <v>SENIOR</v>
      </c>
      <c r="AS144">
        <v>5</v>
      </c>
      <c r="AT144">
        <v>0</v>
      </c>
      <c r="AU144">
        <v>0</v>
      </c>
      <c r="AV144">
        <v>0</v>
      </c>
      <c r="AW144">
        <v>0</v>
      </c>
      <c r="AX144">
        <v>255</v>
      </c>
      <c r="AY144" s="5">
        <v>255</v>
      </c>
      <c r="AZ144" t="str">
        <v>SN53</v>
      </c>
      <c r="BA144" t="str">
        <v>SPEECH &amp; SONG ARB</v>
      </c>
      <c r="BB144" t="str">
        <v>SENIOR</v>
      </c>
      <c r="BC144" t="str">
        <v>Group</v>
      </c>
      <c r="BD144" t="str">
        <v>Stage</v>
      </c>
      <c r="BE144">
        <v>3</v>
      </c>
      <c r="BF144" t="str">
        <v>GROUP</v>
      </c>
      <c r="BG144" t="str">
        <v>GROUP</v>
      </c>
      <c r="BH144" t="str">
        <v>P</v>
      </c>
      <c r="BI144" t="str">
        <v>PUBLISHED</v>
      </c>
      <c r="BK144">
        <v>138</v>
      </c>
      <c r="BL144" t="str">
        <v>SN49</v>
      </c>
      <c r="BM144" t="str">
        <v>FACE TO FACE ENG</v>
      </c>
      <c r="BN144">
        <v>2</v>
      </c>
      <c r="BO144" t="str">
        <v>Group</v>
      </c>
      <c r="BP144" t="str">
        <v>Stage</v>
      </c>
      <c r="BQ144" t="str">
        <v>SENIOR</v>
      </c>
      <c r="BR144" t="str">
        <v>C155</v>
      </c>
      <c r="BS144" t="str">
        <v>C168</v>
      </c>
      <c r="BT144">
        <v>0</v>
      </c>
      <c r="BU144">
        <v>0</v>
      </c>
      <c r="BV144">
        <v>0</v>
      </c>
      <c r="BW144">
        <v>0</v>
      </c>
      <c r="BX144">
        <v>0</v>
      </c>
      <c r="BY144" t="str">
        <v>C102</v>
      </c>
      <c r="BZ144" t="str">
        <v>C107</v>
      </c>
      <c r="CA144">
        <v>0</v>
      </c>
      <c r="CB144">
        <v>0</v>
      </c>
      <c r="CC144">
        <v>0</v>
      </c>
      <c r="CD144">
        <v>0</v>
      </c>
      <c r="CE144">
        <v>0</v>
      </c>
      <c r="CF144" t="str">
        <v>C145</v>
      </c>
      <c r="CG144" t="str">
        <v>C170</v>
      </c>
      <c r="CH144">
        <v>0</v>
      </c>
      <c r="CI144">
        <v>0</v>
      </c>
      <c r="CJ144">
        <v>0</v>
      </c>
      <c r="CK144">
        <v>0</v>
      </c>
      <c r="CL144">
        <v>0</v>
      </c>
      <c r="CM144" t="str">
        <v>C105</v>
      </c>
      <c r="CN144" t="str">
        <v>C121</v>
      </c>
      <c r="CO144">
        <v>0</v>
      </c>
      <c r="CP144">
        <v>0</v>
      </c>
      <c r="CQ144">
        <v>0</v>
      </c>
      <c r="CR144">
        <v>0</v>
      </c>
      <c r="CS144">
        <v>0</v>
      </c>
      <c r="CT144">
        <v>0</v>
      </c>
      <c r="CU144">
        <v>0</v>
      </c>
      <c r="CV144">
        <v>0</v>
      </c>
      <c r="CW144">
        <v>0</v>
      </c>
      <c r="CX144">
        <v>0</v>
      </c>
      <c r="CY144">
        <v>0</v>
      </c>
      <c r="CZ144">
        <v>0</v>
      </c>
      <c r="DA144">
        <v>0</v>
      </c>
      <c r="DB144">
        <v>0</v>
      </c>
      <c r="DC144">
        <v>0</v>
      </c>
      <c r="DD144">
        <v>0</v>
      </c>
      <c r="DE144">
        <v>0</v>
      </c>
      <c r="DF144">
        <v>0</v>
      </c>
      <c r="DG144">
        <v>0</v>
      </c>
      <c r="DH144">
        <v>0</v>
      </c>
      <c r="DI144">
        <v>0</v>
      </c>
      <c r="DJ144">
        <v>0</v>
      </c>
      <c r="DK144">
        <v>0</v>
      </c>
      <c r="DL144">
        <v>0</v>
      </c>
      <c r="DM144">
        <v>0</v>
      </c>
      <c r="DN144">
        <v>0</v>
      </c>
      <c r="DO144">
        <v>0</v>
      </c>
      <c r="DP144">
        <v>0</v>
      </c>
      <c r="DQ144">
        <v>0</v>
      </c>
      <c r="DR144">
        <v>0</v>
      </c>
      <c r="DS144">
        <v>0</v>
      </c>
      <c r="DT144">
        <v>0</v>
      </c>
      <c r="DU144">
        <v>0</v>
      </c>
      <c r="DV144">
        <v>0</v>
      </c>
      <c r="DW144">
        <v>0</v>
      </c>
      <c r="DX144">
        <v>0</v>
      </c>
      <c r="DY144">
        <v>0</v>
      </c>
      <c r="DZ144">
        <v>0</v>
      </c>
      <c r="EA144">
        <v>0</v>
      </c>
      <c r="EB144">
        <v>0</v>
      </c>
      <c r="EC144">
        <v>0</v>
      </c>
      <c r="ED144">
        <v>0</v>
      </c>
      <c r="EE144">
        <v>0</v>
      </c>
      <c r="EF144">
        <v>0</v>
      </c>
      <c r="EG144">
        <v>0</v>
      </c>
      <c r="EH144">
        <v>0</v>
      </c>
      <c r="EI144">
        <v>0</v>
      </c>
      <c r="EJ144">
        <v>0</v>
      </c>
      <c r="EK144">
        <v>0</v>
      </c>
      <c r="EL144">
        <v>0</v>
      </c>
      <c r="EM144">
        <v>0</v>
      </c>
      <c r="EN144">
        <v>0</v>
      </c>
      <c r="EO144">
        <v>0</v>
      </c>
      <c r="EP144">
        <v>0</v>
      </c>
      <c r="EQ144">
        <v>0</v>
      </c>
      <c r="ER144">
        <v>0</v>
      </c>
      <c r="ES144">
        <v>0</v>
      </c>
      <c r="ET144">
        <v>0</v>
      </c>
      <c r="EU144">
        <v>0</v>
      </c>
      <c r="EV144">
        <v>0</v>
      </c>
      <c r="EW144">
        <v>0</v>
      </c>
      <c r="EX144">
        <v>0</v>
      </c>
      <c r="EY144">
        <v>0</v>
      </c>
      <c r="EZ144">
        <v>0</v>
      </c>
      <c r="FA144">
        <v>0</v>
      </c>
      <c r="FB144">
        <v>0</v>
      </c>
      <c r="FC144">
        <v>0</v>
      </c>
      <c r="FD144">
        <v>0</v>
      </c>
      <c r="FE144">
        <v>0</v>
      </c>
      <c r="FF144">
        <v>0</v>
      </c>
      <c r="FG144">
        <v>0</v>
      </c>
      <c r="FH144">
        <v>0</v>
      </c>
      <c r="FI144">
        <v>0</v>
      </c>
      <c r="FJ144">
        <v>0</v>
      </c>
      <c r="FK144">
        <v>0</v>
      </c>
      <c r="FL144">
        <v>0</v>
      </c>
      <c r="FM144">
        <v>0</v>
      </c>
      <c r="FN144">
        <v>0</v>
      </c>
      <c r="FO144">
        <v>0</v>
      </c>
      <c r="FP144">
        <v>0</v>
      </c>
      <c r="FQ144">
        <v>0</v>
      </c>
      <c r="FR144">
        <v>0</v>
      </c>
      <c r="FS144">
        <v>0</v>
      </c>
      <c r="FT144">
        <v>0</v>
      </c>
      <c r="FU144">
        <v>0</v>
      </c>
      <c r="FV144">
        <v>0</v>
      </c>
      <c r="FW144">
        <v>0</v>
      </c>
      <c r="FX144">
        <v>0</v>
      </c>
      <c r="FY144">
        <v>0</v>
      </c>
      <c r="FZ144">
        <v>0</v>
      </c>
      <c r="GA144">
        <v>0</v>
      </c>
      <c r="GB144">
        <v>0</v>
      </c>
      <c r="GC144">
        <v>0</v>
      </c>
      <c r="GD144">
        <v>0</v>
      </c>
      <c r="GE144">
        <v>0</v>
      </c>
      <c r="GF144">
        <v>0</v>
      </c>
      <c r="GG144">
        <v>0</v>
      </c>
      <c r="GH144">
        <v>0</v>
      </c>
      <c r="GI144">
        <v>0</v>
      </c>
      <c r="GJ144">
        <v>0</v>
      </c>
      <c r="GK144">
        <v>0</v>
      </c>
      <c r="GL144">
        <v>0</v>
      </c>
      <c r="GM144">
        <v>0</v>
      </c>
      <c r="GN144">
        <v>0</v>
      </c>
      <c r="GO144">
        <v>0</v>
      </c>
      <c r="GP144">
        <v>0</v>
      </c>
      <c r="GQ144">
        <v>0</v>
      </c>
      <c r="GR144">
        <v>0</v>
      </c>
      <c r="GS144">
        <v>0</v>
      </c>
      <c r="GT144">
        <v>0</v>
      </c>
      <c r="GU144">
        <v>0</v>
      </c>
      <c r="GV144">
        <v>0</v>
      </c>
      <c r="GW144">
        <v>0</v>
      </c>
      <c r="GX144">
        <v>0</v>
      </c>
      <c r="GY144">
        <v>0</v>
      </c>
      <c r="GZ144">
        <v>0</v>
      </c>
      <c r="HA144">
        <v>0</v>
      </c>
      <c r="HB144">
        <v>0</v>
      </c>
      <c r="HC144">
        <v>0</v>
      </c>
      <c r="HD144">
        <v>0</v>
      </c>
      <c r="HE144">
        <v>0</v>
      </c>
      <c r="HF144">
        <v>0</v>
      </c>
      <c r="HG144">
        <v>0</v>
      </c>
      <c r="HH144">
        <v>0</v>
      </c>
      <c r="HI144">
        <v>0</v>
      </c>
      <c r="HJ144">
        <v>0</v>
      </c>
      <c r="HK144">
        <v>0</v>
      </c>
      <c r="HL144">
        <v>0</v>
      </c>
      <c r="HM144">
        <v>0</v>
      </c>
      <c r="HN144">
        <v>0</v>
      </c>
      <c r="HO144">
        <v>0</v>
      </c>
      <c r="HP144">
        <v>0</v>
      </c>
      <c r="HQ144">
        <v>0</v>
      </c>
      <c r="HR144">
        <v>0</v>
      </c>
      <c r="HS144">
        <v>0</v>
      </c>
      <c r="HT144">
        <v>0</v>
      </c>
      <c r="HU144">
        <v>0</v>
      </c>
      <c r="HV144">
        <v>0</v>
      </c>
      <c r="HW144">
        <v>0</v>
      </c>
      <c r="HX144">
        <v>0</v>
      </c>
      <c r="HY144">
        <v>0</v>
      </c>
      <c r="HZ144">
        <v>0</v>
      </c>
      <c r="IA144">
        <v>0</v>
      </c>
      <c r="IB144">
        <v>0</v>
      </c>
      <c r="IC144">
        <v>0</v>
      </c>
      <c r="ID144">
        <v>0</v>
      </c>
      <c r="IE144">
        <v>0</v>
      </c>
      <c r="IF144">
        <v>0</v>
      </c>
      <c r="IG144">
        <v>0</v>
      </c>
      <c r="IH144">
        <v>0</v>
      </c>
      <c r="II144">
        <v>0</v>
      </c>
      <c r="IJ144">
        <v>0</v>
      </c>
      <c r="IK144">
        <v>0</v>
      </c>
      <c r="IL144">
        <v>0</v>
      </c>
      <c r="IM144">
        <v>0</v>
      </c>
      <c r="IN144">
        <v>0</v>
      </c>
      <c r="IO144">
        <v>0</v>
      </c>
      <c r="IP144">
        <v>0</v>
      </c>
      <c r="IQ144">
        <v>0</v>
      </c>
      <c r="IR144">
        <v>0</v>
      </c>
      <c r="IS144">
        <v>0</v>
      </c>
      <c r="IT144">
        <v>0</v>
      </c>
      <c r="IU144">
        <v>0</v>
      </c>
      <c r="IV144">
        <v>0</v>
      </c>
      <c r="IW144">
        <v>0</v>
      </c>
      <c r="IX144">
        <v>0</v>
      </c>
      <c r="IY144">
        <v>0</v>
      </c>
      <c r="IZ144">
        <v>0</v>
      </c>
      <c r="JA144">
        <v>0</v>
      </c>
      <c r="JB144">
        <v>0</v>
      </c>
      <c r="JC144">
        <v>0</v>
      </c>
      <c r="JD144">
        <v>0</v>
      </c>
      <c r="JE144">
        <v>0</v>
      </c>
      <c r="JF144">
        <v>0</v>
      </c>
      <c r="JG144">
        <v>0</v>
      </c>
      <c r="JH144">
        <v>0</v>
      </c>
      <c r="JI144">
        <v>0</v>
      </c>
      <c r="JJ144">
        <v>0</v>
      </c>
      <c r="JK144">
        <v>0</v>
      </c>
      <c r="JL144">
        <v>0</v>
      </c>
      <c r="JM144">
        <v>0</v>
      </c>
      <c r="JN144">
        <v>0</v>
      </c>
      <c r="JO144">
        <v>0</v>
      </c>
      <c r="JP144">
        <v>0</v>
      </c>
      <c r="JQ144">
        <v>0</v>
      </c>
      <c r="JR144">
        <v>0</v>
      </c>
      <c r="JS144">
        <v>0</v>
      </c>
      <c r="JT144">
        <v>0</v>
      </c>
      <c r="JU144">
        <v>0</v>
      </c>
      <c r="JV144">
        <v>0</v>
      </c>
      <c r="JW144">
        <v>0</v>
      </c>
      <c r="JX144">
        <v>0</v>
      </c>
      <c r="JY144">
        <v>0</v>
      </c>
      <c r="JZ144">
        <v>0</v>
      </c>
      <c r="KA144">
        <v>0</v>
      </c>
      <c r="KB144">
        <v>0</v>
      </c>
      <c r="KC144">
        <v>0</v>
      </c>
      <c r="KD144">
        <v>0</v>
      </c>
      <c r="KE144">
        <v>0</v>
      </c>
      <c r="KF144">
        <v>0</v>
      </c>
      <c r="KG144">
        <v>0</v>
      </c>
      <c r="KH144">
        <v>0</v>
      </c>
      <c r="KI144">
        <v>0</v>
      </c>
      <c r="KJ144">
        <v>0</v>
      </c>
      <c r="KK144">
        <v>0</v>
      </c>
      <c r="KL144">
        <v>0</v>
      </c>
      <c r="KM144">
        <v>0</v>
      </c>
      <c r="KN144">
        <v>0</v>
      </c>
      <c r="KO144">
        <v>0</v>
      </c>
      <c r="KP144">
        <v>0</v>
      </c>
      <c r="KQ144">
        <v>0</v>
      </c>
      <c r="KR144">
        <v>0</v>
      </c>
      <c r="KS144">
        <v>0</v>
      </c>
      <c r="KT144">
        <v>0</v>
      </c>
      <c r="KU144">
        <v>0</v>
      </c>
      <c r="KV144">
        <v>0</v>
      </c>
      <c r="KW144">
        <v>0</v>
      </c>
      <c r="KX144">
        <v>0</v>
      </c>
      <c r="KY144">
        <v>0</v>
      </c>
      <c r="KZ144">
        <v>0</v>
      </c>
      <c r="LA144">
        <v>0</v>
      </c>
      <c r="LB144">
        <v>0</v>
      </c>
      <c r="LC144">
        <v>0</v>
      </c>
      <c r="LD144">
        <v>0</v>
      </c>
      <c r="LE144">
        <v>0</v>
      </c>
      <c r="LF144">
        <v>0</v>
      </c>
      <c r="LG144">
        <v>0</v>
      </c>
      <c r="LH144">
        <v>0</v>
      </c>
      <c r="LI144">
        <v>0</v>
      </c>
      <c r="LJ144">
        <v>0</v>
      </c>
      <c r="LK144">
        <v>0</v>
      </c>
      <c r="LL144">
        <v>0</v>
      </c>
      <c r="LM144">
        <v>0</v>
      </c>
      <c r="LN144">
        <v>0</v>
      </c>
      <c r="LO144">
        <v>0</v>
      </c>
      <c r="LP144">
        <v>0</v>
      </c>
      <c r="LQ144">
        <v>0</v>
      </c>
      <c r="LR144">
        <v>0</v>
      </c>
      <c r="LS144">
        <v>0</v>
      </c>
      <c r="LT144">
        <v>0</v>
      </c>
      <c r="LU144">
        <v>0</v>
      </c>
      <c r="LV144">
        <v>0</v>
      </c>
      <c r="LW144">
        <v>0</v>
      </c>
      <c r="LX144">
        <v>0</v>
      </c>
      <c r="LY144">
        <v>0</v>
      </c>
      <c r="LZ144">
        <v>0</v>
      </c>
      <c r="MA144">
        <v>0</v>
      </c>
      <c r="MB144">
        <v>0</v>
      </c>
      <c r="MC144">
        <v>0</v>
      </c>
      <c r="MD144">
        <v>0</v>
      </c>
      <c r="ME144">
        <v>0</v>
      </c>
      <c r="MF144">
        <v>0</v>
      </c>
      <c r="MG144">
        <v>0</v>
      </c>
      <c r="MH144">
        <v>0</v>
      </c>
      <c r="MI144">
        <v>0</v>
      </c>
      <c r="MJ144">
        <v>0</v>
      </c>
      <c r="MK144">
        <v>0</v>
      </c>
      <c r="ML144">
        <v>0</v>
      </c>
      <c r="MM144">
        <v>0</v>
      </c>
      <c r="MN144">
        <v>0</v>
      </c>
      <c r="MO144">
        <v>0</v>
      </c>
      <c r="MP144">
        <v>0</v>
      </c>
      <c r="MQ144">
        <v>0</v>
      </c>
      <c r="MR144">
        <v>0</v>
      </c>
      <c r="MS144">
        <v>0</v>
      </c>
      <c r="MT144">
        <v>0</v>
      </c>
      <c r="MU144">
        <v>0</v>
      </c>
      <c r="MV144">
        <v>0</v>
      </c>
      <c r="MW144">
        <v>0</v>
      </c>
      <c r="MX144">
        <v>0</v>
      </c>
      <c r="MY144">
        <v>0</v>
      </c>
      <c r="MZ144">
        <v>0</v>
      </c>
      <c r="NA144">
        <v>0</v>
      </c>
      <c r="NB144">
        <v>0</v>
      </c>
      <c r="NC144">
        <v>0</v>
      </c>
      <c r="ND144">
        <v>0</v>
      </c>
      <c r="NE144">
        <v>0</v>
      </c>
    </row>
    <row r="145" spans="41:369" x14ac:dyDescent="0.45">
      <c r="AO145" t="str">
        <v>C101</v>
      </c>
      <c r="AP145" t="str">
        <v>MUHAMMED KASHIF</v>
      </c>
      <c r="AQ145" t="str">
        <v>FANT</v>
      </c>
      <c r="AR145" t="str">
        <v>SENIOR</v>
      </c>
      <c r="AS145">
        <v>5</v>
      </c>
      <c r="AT145">
        <v>2</v>
      </c>
      <c r="AU145">
        <v>0</v>
      </c>
      <c r="AV145">
        <v>2</v>
      </c>
      <c r="AW145">
        <v>2</v>
      </c>
      <c r="AX145">
        <v>224</v>
      </c>
      <c r="AY145" s="5">
        <v>224</v>
      </c>
      <c r="AZ145" t="str">
        <v>SS01</v>
      </c>
      <c r="BA145" t="str">
        <v>ABSTRACT WRITING ENG</v>
      </c>
      <c r="BB145" t="str">
        <v>SUPER SENIOR</v>
      </c>
      <c r="BC145" t="str">
        <v>Single</v>
      </c>
      <c r="BD145" t="str">
        <v>Non-Stg</v>
      </c>
      <c r="BE145">
        <v>3</v>
      </c>
      <c r="BF145" t="str">
        <v>Individual</v>
      </c>
      <c r="BG145" t="str">
        <v>Individual</v>
      </c>
      <c r="BH145" t="str">
        <v>P</v>
      </c>
      <c r="BI145" t="str">
        <v>PUBLISHED</v>
      </c>
      <c r="BK145">
        <v>139</v>
      </c>
      <c r="BL145" t="str">
        <v>SN50</v>
      </c>
      <c r="BM145" t="str">
        <v>INSTANT MAGAZINE ENG</v>
      </c>
      <c r="BN145">
        <v>5</v>
      </c>
      <c r="BO145" t="str">
        <v>Group</v>
      </c>
      <c r="BP145" t="str">
        <v>Non-Stg</v>
      </c>
      <c r="BQ145" t="str">
        <v>SENIOR</v>
      </c>
      <c r="BR145" t="str">
        <v>C115</v>
      </c>
      <c r="BS145" t="str">
        <v>C155</v>
      </c>
      <c r="BT145" t="str">
        <v>C164</v>
      </c>
      <c r="BU145" t="str">
        <v>C168</v>
      </c>
      <c r="BV145" t="str">
        <v>C176</v>
      </c>
      <c r="BW145">
        <v>0</v>
      </c>
      <c r="BX145">
        <v>0</v>
      </c>
      <c r="BY145" t="str">
        <v>C107</v>
      </c>
      <c r="BZ145" t="str">
        <v>C133</v>
      </c>
      <c r="CA145" t="str">
        <v>C136</v>
      </c>
      <c r="CB145" t="str">
        <v>C154</v>
      </c>
      <c r="CC145" t="str">
        <v>C172</v>
      </c>
      <c r="CD145">
        <v>0</v>
      </c>
      <c r="CE145">
        <v>0</v>
      </c>
      <c r="CF145" t="str">
        <v>C104</v>
      </c>
      <c r="CG145" t="str">
        <v>C114</v>
      </c>
      <c r="CH145" t="str">
        <v>C171</v>
      </c>
      <c r="CI145" t="str">
        <v>C145</v>
      </c>
      <c r="CJ145" t="str">
        <v>C170</v>
      </c>
      <c r="CK145">
        <v>0</v>
      </c>
      <c r="CL145">
        <v>0</v>
      </c>
      <c r="CM145" t="str">
        <v>C111</v>
      </c>
      <c r="CN145" t="str">
        <v>C135</v>
      </c>
      <c r="CO145" t="str">
        <v>C140</v>
      </c>
      <c r="CP145" t="str">
        <v>C165</v>
      </c>
      <c r="CQ145" t="str">
        <v>C167</v>
      </c>
      <c r="CR145">
        <v>0</v>
      </c>
      <c r="CS145">
        <v>0</v>
      </c>
      <c r="CT145">
        <v>0</v>
      </c>
      <c r="CU145">
        <v>0</v>
      </c>
      <c r="CV145">
        <v>0</v>
      </c>
      <c r="CW145">
        <v>0</v>
      </c>
      <c r="CX145">
        <v>0</v>
      </c>
      <c r="CY145">
        <v>0</v>
      </c>
      <c r="CZ145">
        <v>0</v>
      </c>
      <c r="DA145">
        <v>0</v>
      </c>
      <c r="DB145">
        <v>0</v>
      </c>
      <c r="DC145">
        <v>0</v>
      </c>
      <c r="DD145">
        <v>0</v>
      </c>
      <c r="DE145">
        <v>0</v>
      </c>
      <c r="DF145">
        <v>0</v>
      </c>
      <c r="DG145">
        <v>0</v>
      </c>
      <c r="DH145">
        <v>0</v>
      </c>
      <c r="DI145">
        <v>0</v>
      </c>
      <c r="DJ145">
        <v>0</v>
      </c>
      <c r="DK145">
        <v>0</v>
      </c>
      <c r="DL145">
        <v>0</v>
      </c>
      <c r="DM145">
        <v>0</v>
      </c>
      <c r="DN145">
        <v>0</v>
      </c>
      <c r="DO145">
        <v>0</v>
      </c>
      <c r="DP145">
        <v>0</v>
      </c>
      <c r="DQ145">
        <v>0</v>
      </c>
      <c r="DR145">
        <v>0</v>
      </c>
      <c r="DS145">
        <v>0</v>
      </c>
      <c r="DT145">
        <v>0</v>
      </c>
      <c r="DU145">
        <v>0</v>
      </c>
      <c r="DV145">
        <v>0</v>
      </c>
      <c r="DW145">
        <v>0</v>
      </c>
      <c r="DX145">
        <v>0</v>
      </c>
      <c r="DY145">
        <v>0</v>
      </c>
      <c r="DZ145">
        <v>0</v>
      </c>
      <c r="EA145">
        <v>0</v>
      </c>
      <c r="EB145">
        <v>0</v>
      </c>
      <c r="EC145">
        <v>0</v>
      </c>
      <c r="ED145">
        <v>0</v>
      </c>
      <c r="EE145">
        <v>0</v>
      </c>
      <c r="EF145">
        <v>0</v>
      </c>
      <c r="EG145">
        <v>0</v>
      </c>
      <c r="EH145">
        <v>0</v>
      </c>
      <c r="EI145">
        <v>0</v>
      </c>
      <c r="EJ145">
        <v>0</v>
      </c>
      <c r="EK145">
        <v>0</v>
      </c>
      <c r="EL145">
        <v>0</v>
      </c>
      <c r="EM145">
        <v>0</v>
      </c>
      <c r="EN145">
        <v>0</v>
      </c>
      <c r="EO145">
        <v>0</v>
      </c>
      <c r="EP145">
        <v>0</v>
      </c>
      <c r="EQ145">
        <v>0</v>
      </c>
      <c r="ER145">
        <v>0</v>
      </c>
      <c r="ES145">
        <v>0</v>
      </c>
      <c r="ET145">
        <v>0</v>
      </c>
      <c r="EU145">
        <v>0</v>
      </c>
      <c r="EV145">
        <v>0</v>
      </c>
      <c r="EW145">
        <v>0</v>
      </c>
      <c r="EX145">
        <v>0</v>
      </c>
      <c r="EY145">
        <v>0</v>
      </c>
      <c r="EZ145">
        <v>0</v>
      </c>
      <c r="FA145">
        <v>0</v>
      </c>
      <c r="FB145">
        <v>0</v>
      </c>
      <c r="FC145">
        <v>0</v>
      </c>
      <c r="FD145">
        <v>0</v>
      </c>
      <c r="FE145">
        <v>0</v>
      </c>
      <c r="FF145">
        <v>0</v>
      </c>
      <c r="FG145">
        <v>0</v>
      </c>
      <c r="FH145">
        <v>0</v>
      </c>
      <c r="FI145">
        <v>0</v>
      </c>
      <c r="FJ145">
        <v>0</v>
      </c>
      <c r="FK145">
        <v>0</v>
      </c>
      <c r="FL145">
        <v>0</v>
      </c>
      <c r="FM145">
        <v>0</v>
      </c>
      <c r="FN145">
        <v>0</v>
      </c>
      <c r="FO145">
        <v>0</v>
      </c>
      <c r="FP145">
        <v>0</v>
      </c>
      <c r="FQ145">
        <v>0</v>
      </c>
      <c r="FR145">
        <v>0</v>
      </c>
      <c r="FS145">
        <v>0</v>
      </c>
      <c r="FT145">
        <v>0</v>
      </c>
      <c r="FU145">
        <v>0</v>
      </c>
      <c r="FV145">
        <v>0</v>
      </c>
      <c r="FW145">
        <v>0</v>
      </c>
      <c r="FX145">
        <v>0</v>
      </c>
      <c r="FY145">
        <v>0</v>
      </c>
      <c r="FZ145">
        <v>0</v>
      </c>
      <c r="GA145">
        <v>0</v>
      </c>
      <c r="GB145">
        <v>0</v>
      </c>
      <c r="GC145">
        <v>0</v>
      </c>
      <c r="GD145">
        <v>0</v>
      </c>
      <c r="GE145">
        <v>0</v>
      </c>
      <c r="GF145">
        <v>0</v>
      </c>
      <c r="GG145">
        <v>0</v>
      </c>
      <c r="GH145">
        <v>0</v>
      </c>
      <c r="GI145">
        <v>0</v>
      </c>
      <c r="GJ145">
        <v>0</v>
      </c>
      <c r="GK145">
        <v>0</v>
      </c>
      <c r="GL145">
        <v>0</v>
      </c>
      <c r="GM145">
        <v>0</v>
      </c>
      <c r="GN145">
        <v>0</v>
      </c>
      <c r="GO145">
        <v>0</v>
      </c>
      <c r="GP145">
        <v>0</v>
      </c>
      <c r="GQ145">
        <v>0</v>
      </c>
      <c r="GR145">
        <v>0</v>
      </c>
      <c r="GS145">
        <v>0</v>
      </c>
      <c r="GT145">
        <v>0</v>
      </c>
      <c r="GU145">
        <v>0</v>
      </c>
      <c r="GV145">
        <v>0</v>
      </c>
      <c r="GW145">
        <v>0</v>
      </c>
      <c r="GX145">
        <v>0</v>
      </c>
      <c r="GY145">
        <v>0</v>
      </c>
      <c r="GZ145">
        <v>0</v>
      </c>
      <c r="HA145">
        <v>0</v>
      </c>
      <c r="HB145">
        <v>0</v>
      </c>
      <c r="HC145">
        <v>0</v>
      </c>
      <c r="HD145">
        <v>0</v>
      </c>
      <c r="HE145">
        <v>0</v>
      </c>
      <c r="HF145">
        <v>0</v>
      </c>
      <c r="HG145">
        <v>0</v>
      </c>
      <c r="HH145">
        <v>0</v>
      </c>
      <c r="HI145">
        <v>0</v>
      </c>
      <c r="HJ145">
        <v>0</v>
      </c>
      <c r="HK145">
        <v>0</v>
      </c>
      <c r="HL145">
        <v>0</v>
      </c>
      <c r="HM145">
        <v>0</v>
      </c>
      <c r="HN145">
        <v>0</v>
      </c>
      <c r="HO145">
        <v>0</v>
      </c>
      <c r="HP145">
        <v>0</v>
      </c>
      <c r="HQ145">
        <v>0</v>
      </c>
      <c r="HR145">
        <v>0</v>
      </c>
      <c r="HS145">
        <v>0</v>
      </c>
      <c r="HT145">
        <v>0</v>
      </c>
      <c r="HU145">
        <v>0</v>
      </c>
      <c r="HV145">
        <v>0</v>
      </c>
      <c r="HW145">
        <v>0</v>
      </c>
      <c r="HX145">
        <v>0</v>
      </c>
      <c r="HY145">
        <v>0</v>
      </c>
      <c r="HZ145">
        <v>0</v>
      </c>
      <c r="IA145">
        <v>0</v>
      </c>
      <c r="IB145">
        <v>0</v>
      </c>
      <c r="IC145">
        <v>0</v>
      </c>
      <c r="ID145">
        <v>0</v>
      </c>
      <c r="IE145">
        <v>0</v>
      </c>
      <c r="IF145">
        <v>0</v>
      </c>
      <c r="IG145">
        <v>0</v>
      </c>
      <c r="IH145">
        <v>0</v>
      </c>
      <c r="II145">
        <v>0</v>
      </c>
      <c r="IJ145">
        <v>0</v>
      </c>
      <c r="IK145">
        <v>0</v>
      </c>
      <c r="IL145">
        <v>0</v>
      </c>
      <c r="IM145">
        <v>0</v>
      </c>
      <c r="IN145">
        <v>0</v>
      </c>
      <c r="IO145">
        <v>0</v>
      </c>
      <c r="IP145">
        <v>0</v>
      </c>
      <c r="IQ145">
        <v>0</v>
      </c>
      <c r="IR145">
        <v>0</v>
      </c>
      <c r="IS145">
        <v>0</v>
      </c>
      <c r="IT145">
        <v>0</v>
      </c>
      <c r="IU145">
        <v>0</v>
      </c>
      <c r="IV145">
        <v>0</v>
      </c>
      <c r="IW145">
        <v>0</v>
      </c>
      <c r="IX145">
        <v>0</v>
      </c>
      <c r="IY145">
        <v>0</v>
      </c>
      <c r="IZ145">
        <v>0</v>
      </c>
      <c r="JA145">
        <v>0</v>
      </c>
      <c r="JB145">
        <v>0</v>
      </c>
      <c r="JC145">
        <v>0</v>
      </c>
      <c r="JD145">
        <v>0</v>
      </c>
      <c r="JE145">
        <v>0</v>
      </c>
      <c r="JF145">
        <v>0</v>
      </c>
      <c r="JG145">
        <v>0</v>
      </c>
      <c r="JH145">
        <v>0</v>
      </c>
      <c r="JI145">
        <v>0</v>
      </c>
      <c r="JJ145">
        <v>0</v>
      </c>
      <c r="JK145">
        <v>0</v>
      </c>
      <c r="JL145">
        <v>0</v>
      </c>
      <c r="JM145">
        <v>0</v>
      </c>
      <c r="JN145">
        <v>0</v>
      </c>
      <c r="JO145">
        <v>0</v>
      </c>
      <c r="JP145">
        <v>0</v>
      </c>
      <c r="JQ145">
        <v>0</v>
      </c>
      <c r="JR145">
        <v>0</v>
      </c>
      <c r="JS145">
        <v>0</v>
      </c>
      <c r="JT145">
        <v>0</v>
      </c>
      <c r="JU145">
        <v>0</v>
      </c>
      <c r="JV145">
        <v>0</v>
      </c>
      <c r="JW145">
        <v>0</v>
      </c>
      <c r="JX145">
        <v>0</v>
      </c>
      <c r="JY145">
        <v>0</v>
      </c>
      <c r="JZ145">
        <v>0</v>
      </c>
      <c r="KA145">
        <v>0</v>
      </c>
      <c r="KB145">
        <v>0</v>
      </c>
      <c r="KC145">
        <v>0</v>
      </c>
      <c r="KD145">
        <v>0</v>
      </c>
      <c r="KE145">
        <v>0</v>
      </c>
      <c r="KF145">
        <v>0</v>
      </c>
      <c r="KG145">
        <v>0</v>
      </c>
      <c r="KH145">
        <v>0</v>
      </c>
      <c r="KI145">
        <v>0</v>
      </c>
      <c r="KJ145">
        <v>0</v>
      </c>
      <c r="KK145">
        <v>0</v>
      </c>
      <c r="KL145">
        <v>0</v>
      </c>
      <c r="KM145">
        <v>0</v>
      </c>
      <c r="KN145">
        <v>0</v>
      </c>
      <c r="KO145">
        <v>0</v>
      </c>
      <c r="KP145">
        <v>0</v>
      </c>
      <c r="KQ145">
        <v>0</v>
      </c>
      <c r="KR145">
        <v>0</v>
      </c>
      <c r="KS145">
        <v>0</v>
      </c>
      <c r="KT145">
        <v>0</v>
      </c>
      <c r="KU145">
        <v>0</v>
      </c>
      <c r="KV145">
        <v>0</v>
      </c>
      <c r="KW145">
        <v>0</v>
      </c>
      <c r="KX145">
        <v>0</v>
      </c>
      <c r="KY145">
        <v>0</v>
      </c>
      <c r="KZ145">
        <v>0</v>
      </c>
      <c r="LA145">
        <v>0</v>
      </c>
      <c r="LB145">
        <v>0</v>
      </c>
      <c r="LC145">
        <v>0</v>
      </c>
      <c r="LD145">
        <v>0</v>
      </c>
      <c r="LE145">
        <v>0</v>
      </c>
      <c r="LF145">
        <v>0</v>
      </c>
      <c r="LG145">
        <v>0</v>
      </c>
      <c r="LH145">
        <v>0</v>
      </c>
      <c r="LI145">
        <v>0</v>
      </c>
      <c r="LJ145">
        <v>0</v>
      </c>
      <c r="LK145">
        <v>0</v>
      </c>
      <c r="LL145">
        <v>0</v>
      </c>
      <c r="LM145">
        <v>0</v>
      </c>
      <c r="LN145">
        <v>0</v>
      </c>
      <c r="LO145">
        <v>0</v>
      </c>
      <c r="LP145">
        <v>0</v>
      </c>
      <c r="LQ145">
        <v>0</v>
      </c>
      <c r="LR145">
        <v>0</v>
      </c>
      <c r="LS145">
        <v>0</v>
      </c>
      <c r="LT145">
        <v>0</v>
      </c>
      <c r="LU145">
        <v>0</v>
      </c>
      <c r="LV145">
        <v>0</v>
      </c>
      <c r="LW145">
        <v>0</v>
      </c>
      <c r="LX145">
        <v>0</v>
      </c>
      <c r="LY145">
        <v>0</v>
      </c>
      <c r="LZ145">
        <v>0</v>
      </c>
      <c r="MA145">
        <v>0</v>
      </c>
      <c r="MB145">
        <v>0</v>
      </c>
      <c r="MC145">
        <v>0</v>
      </c>
      <c r="MD145">
        <v>0</v>
      </c>
      <c r="ME145">
        <v>0</v>
      </c>
      <c r="MF145">
        <v>0</v>
      </c>
      <c r="MG145">
        <v>0</v>
      </c>
      <c r="MH145">
        <v>0</v>
      </c>
      <c r="MI145">
        <v>0</v>
      </c>
      <c r="MJ145">
        <v>0</v>
      </c>
      <c r="MK145">
        <v>0</v>
      </c>
      <c r="ML145">
        <v>0</v>
      </c>
      <c r="MM145">
        <v>0</v>
      </c>
      <c r="MN145">
        <v>0</v>
      </c>
      <c r="MO145">
        <v>0</v>
      </c>
      <c r="MP145">
        <v>0</v>
      </c>
      <c r="MQ145">
        <v>0</v>
      </c>
      <c r="MR145">
        <v>0</v>
      </c>
      <c r="MS145">
        <v>0</v>
      </c>
      <c r="MT145">
        <v>0</v>
      </c>
      <c r="MU145">
        <v>0</v>
      </c>
      <c r="MV145">
        <v>0</v>
      </c>
      <c r="MW145">
        <v>0</v>
      </c>
      <c r="MX145">
        <v>0</v>
      </c>
      <c r="MY145">
        <v>0</v>
      </c>
      <c r="MZ145">
        <v>0</v>
      </c>
      <c r="NA145">
        <v>0</v>
      </c>
      <c r="NB145">
        <v>0</v>
      </c>
      <c r="NC145">
        <v>0</v>
      </c>
      <c r="ND145">
        <v>0</v>
      </c>
      <c r="NE145">
        <v>0</v>
      </c>
    </row>
    <row r="146" spans="41:369" x14ac:dyDescent="0.45">
      <c r="AO146" t="str">
        <v>C102</v>
      </c>
      <c r="AP146" t="str">
        <v>AHAMMED MAHSHOOK M.B</v>
      </c>
      <c r="AQ146" t="str">
        <v>DAHF</v>
      </c>
      <c r="AR146" t="str">
        <v>SENIOR</v>
      </c>
      <c r="AS146">
        <v>5</v>
      </c>
      <c r="AT146">
        <v>9</v>
      </c>
      <c r="AU146">
        <v>0</v>
      </c>
      <c r="AV146">
        <v>9</v>
      </c>
      <c r="AW146">
        <v>9</v>
      </c>
      <c r="AX146">
        <v>139</v>
      </c>
      <c r="AY146" s="5">
        <v>139</v>
      </c>
      <c r="AZ146" t="str">
        <v>SS02</v>
      </c>
      <c r="BA146" t="str">
        <v>ACADEMIC ESSAY ENG</v>
      </c>
      <c r="BB146" t="str">
        <v>SUPER SENIOR</v>
      </c>
      <c r="BC146" t="str">
        <v>Single</v>
      </c>
      <c r="BD146" t="str">
        <v>Non-Stg</v>
      </c>
      <c r="BE146">
        <v>3</v>
      </c>
      <c r="BF146" t="str">
        <v>Individual</v>
      </c>
      <c r="BG146" t="str">
        <v>Individual</v>
      </c>
      <c r="BH146" t="str">
        <v>P</v>
      </c>
      <c r="BI146" t="str">
        <v>PUBLISHED</v>
      </c>
      <c r="BK146">
        <v>140</v>
      </c>
      <c r="BL146" t="str">
        <v>SN51</v>
      </c>
      <c r="BM146" t="str">
        <v>MALA COMPOSITION</v>
      </c>
      <c r="BN146">
        <v>2</v>
      </c>
      <c r="BO146" t="str">
        <v>Group</v>
      </c>
      <c r="BP146" t="str">
        <v>Stage</v>
      </c>
      <c r="BQ146" t="str">
        <v>SENIOR</v>
      </c>
      <c r="BR146" t="str">
        <v>C162</v>
      </c>
      <c r="BS146" t="str">
        <v>C101</v>
      </c>
      <c r="BT146">
        <v>0</v>
      </c>
      <c r="BU146">
        <v>0</v>
      </c>
      <c r="BV146">
        <v>0</v>
      </c>
      <c r="BW146">
        <v>0</v>
      </c>
      <c r="BX146">
        <v>0</v>
      </c>
      <c r="BY146" t="str">
        <v>C166</v>
      </c>
      <c r="BZ146" t="str">
        <v>C150</v>
      </c>
      <c r="CA146">
        <v>0</v>
      </c>
      <c r="CB146">
        <v>0</v>
      </c>
      <c r="CC146">
        <v>0</v>
      </c>
      <c r="CD146">
        <v>0</v>
      </c>
      <c r="CE146">
        <v>0</v>
      </c>
      <c r="CF146" t="str">
        <v>C109</v>
      </c>
      <c r="CG146" t="str">
        <v>C171</v>
      </c>
      <c r="CH146">
        <v>0</v>
      </c>
      <c r="CI146">
        <v>0</v>
      </c>
      <c r="CJ146">
        <v>0</v>
      </c>
      <c r="CK146">
        <v>0</v>
      </c>
      <c r="CL146">
        <v>0</v>
      </c>
      <c r="CM146" t="str">
        <v>C167</v>
      </c>
      <c r="CN146" t="str">
        <v>C165</v>
      </c>
      <c r="CO146">
        <v>0</v>
      </c>
      <c r="CP146">
        <v>0</v>
      </c>
      <c r="CQ146">
        <v>0</v>
      </c>
      <c r="CR146">
        <v>0</v>
      </c>
      <c r="CS146">
        <v>0</v>
      </c>
      <c r="CT146">
        <v>0</v>
      </c>
      <c r="CU146">
        <v>0</v>
      </c>
      <c r="CV146">
        <v>0</v>
      </c>
      <c r="CW146">
        <v>0</v>
      </c>
      <c r="CX146">
        <v>0</v>
      </c>
      <c r="CY146">
        <v>0</v>
      </c>
      <c r="CZ146">
        <v>0</v>
      </c>
      <c r="DA146">
        <v>0</v>
      </c>
      <c r="DB146">
        <v>0</v>
      </c>
      <c r="DC146">
        <v>0</v>
      </c>
      <c r="DD146">
        <v>0</v>
      </c>
      <c r="DE146">
        <v>0</v>
      </c>
      <c r="DF146">
        <v>0</v>
      </c>
      <c r="DG146">
        <v>0</v>
      </c>
      <c r="DH146">
        <v>0</v>
      </c>
      <c r="DI146">
        <v>0</v>
      </c>
      <c r="DJ146">
        <v>0</v>
      </c>
      <c r="DK146">
        <v>0</v>
      </c>
      <c r="DL146">
        <v>0</v>
      </c>
      <c r="DM146">
        <v>0</v>
      </c>
      <c r="DN146">
        <v>0</v>
      </c>
      <c r="DO146">
        <v>0</v>
      </c>
      <c r="DP146">
        <v>0</v>
      </c>
      <c r="DQ146">
        <v>0</v>
      </c>
      <c r="DR146">
        <v>0</v>
      </c>
      <c r="DS146">
        <v>0</v>
      </c>
      <c r="DT146">
        <v>0</v>
      </c>
      <c r="DU146">
        <v>0</v>
      </c>
      <c r="DV146">
        <v>0</v>
      </c>
      <c r="DW146">
        <v>0</v>
      </c>
      <c r="DX146">
        <v>0</v>
      </c>
      <c r="DY146">
        <v>0</v>
      </c>
      <c r="DZ146">
        <v>0</v>
      </c>
      <c r="EA146">
        <v>0</v>
      </c>
      <c r="EB146">
        <v>0</v>
      </c>
      <c r="EC146">
        <v>0</v>
      </c>
      <c r="ED146">
        <v>0</v>
      </c>
      <c r="EE146">
        <v>0</v>
      </c>
      <c r="EF146">
        <v>0</v>
      </c>
      <c r="EG146">
        <v>0</v>
      </c>
      <c r="EH146">
        <v>0</v>
      </c>
      <c r="EI146">
        <v>0</v>
      </c>
      <c r="EJ146">
        <v>0</v>
      </c>
      <c r="EK146">
        <v>0</v>
      </c>
      <c r="EL146">
        <v>0</v>
      </c>
      <c r="EM146">
        <v>0</v>
      </c>
      <c r="EN146">
        <v>0</v>
      </c>
      <c r="EO146">
        <v>0</v>
      </c>
      <c r="EP146">
        <v>0</v>
      </c>
      <c r="EQ146">
        <v>0</v>
      </c>
      <c r="ER146">
        <v>0</v>
      </c>
      <c r="ES146">
        <v>0</v>
      </c>
      <c r="ET146">
        <v>0</v>
      </c>
      <c r="EU146">
        <v>0</v>
      </c>
      <c r="EV146">
        <v>0</v>
      </c>
      <c r="EW146">
        <v>0</v>
      </c>
      <c r="EX146">
        <v>0</v>
      </c>
      <c r="EY146">
        <v>0</v>
      </c>
      <c r="EZ146">
        <v>0</v>
      </c>
      <c r="FA146">
        <v>0</v>
      </c>
      <c r="FB146">
        <v>0</v>
      </c>
      <c r="FC146">
        <v>0</v>
      </c>
      <c r="FD146">
        <v>0</v>
      </c>
      <c r="FE146">
        <v>0</v>
      </c>
      <c r="FF146">
        <v>0</v>
      </c>
      <c r="FG146">
        <v>0</v>
      </c>
      <c r="FH146">
        <v>0</v>
      </c>
      <c r="FI146">
        <v>0</v>
      </c>
      <c r="FJ146">
        <v>0</v>
      </c>
      <c r="FK146">
        <v>0</v>
      </c>
      <c r="FL146">
        <v>0</v>
      </c>
      <c r="FM146">
        <v>0</v>
      </c>
      <c r="FN146">
        <v>0</v>
      </c>
      <c r="FO146">
        <v>0</v>
      </c>
      <c r="FP146">
        <v>0</v>
      </c>
      <c r="FQ146">
        <v>0</v>
      </c>
      <c r="FR146">
        <v>0</v>
      </c>
      <c r="FS146">
        <v>0</v>
      </c>
      <c r="FT146">
        <v>0</v>
      </c>
      <c r="FU146">
        <v>0</v>
      </c>
      <c r="FV146">
        <v>0</v>
      </c>
      <c r="FW146">
        <v>0</v>
      </c>
      <c r="FX146">
        <v>0</v>
      </c>
      <c r="FY146">
        <v>0</v>
      </c>
      <c r="FZ146">
        <v>0</v>
      </c>
      <c r="GA146">
        <v>0</v>
      </c>
      <c r="GB146">
        <v>0</v>
      </c>
      <c r="GC146">
        <v>0</v>
      </c>
      <c r="GD146">
        <v>0</v>
      </c>
      <c r="GE146">
        <v>0</v>
      </c>
      <c r="GF146">
        <v>0</v>
      </c>
      <c r="GG146">
        <v>0</v>
      </c>
      <c r="GH146">
        <v>0</v>
      </c>
      <c r="GI146">
        <v>0</v>
      </c>
      <c r="GJ146">
        <v>0</v>
      </c>
      <c r="GK146">
        <v>0</v>
      </c>
      <c r="GL146">
        <v>0</v>
      </c>
      <c r="GM146">
        <v>0</v>
      </c>
      <c r="GN146">
        <v>0</v>
      </c>
      <c r="GO146">
        <v>0</v>
      </c>
      <c r="GP146">
        <v>0</v>
      </c>
      <c r="GQ146">
        <v>0</v>
      </c>
      <c r="GR146">
        <v>0</v>
      </c>
      <c r="GS146">
        <v>0</v>
      </c>
      <c r="GT146">
        <v>0</v>
      </c>
      <c r="GU146">
        <v>0</v>
      </c>
      <c r="GV146">
        <v>0</v>
      </c>
      <c r="GW146">
        <v>0</v>
      </c>
      <c r="GX146">
        <v>0</v>
      </c>
      <c r="GY146">
        <v>0</v>
      </c>
      <c r="GZ146">
        <v>0</v>
      </c>
      <c r="HA146">
        <v>0</v>
      </c>
      <c r="HB146">
        <v>0</v>
      </c>
      <c r="HC146">
        <v>0</v>
      </c>
      <c r="HD146">
        <v>0</v>
      </c>
      <c r="HE146">
        <v>0</v>
      </c>
      <c r="HF146">
        <v>0</v>
      </c>
      <c r="HG146">
        <v>0</v>
      </c>
      <c r="HH146">
        <v>0</v>
      </c>
      <c r="HI146">
        <v>0</v>
      </c>
      <c r="HJ146">
        <v>0</v>
      </c>
      <c r="HK146">
        <v>0</v>
      </c>
      <c r="HL146">
        <v>0</v>
      </c>
      <c r="HM146">
        <v>0</v>
      </c>
      <c r="HN146">
        <v>0</v>
      </c>
      <c r="HO146">
        <v>0</v>
      </c>
      <c r="HP146">
        <v>0</v>
      </c>
      <c r="HQ146">
        <v>0</v>
      </c>
      <c r="HR146">
        <v>0</v>
      </c>
      <c r="HS146">
        <v>0</v>
      </c>
      <c r="HT146">
        <v>0</v>
      </c>
      <c r="HU146">
        <v>0</v>
      </c>
      <c r="HV146">
        <v>0</v>
      </c>
      <c r="HW146">
        <v>0</v>
      </c>
      <c r="HX146">
        <v>0</v>
      </c>
      <c r="HY146">
        <v>0</v>
      </c>
      <c r="HZ146">
        <v>0</v>
      </c>
      <c r="IA146">
        <v>0</v>
      </c>
      <c r="IB146">
        <v>0</v>
      </c>
      <c r="IC146">
        <v>0</v>
      </c>
      <c r="ID146">
        <v>0</v>
      </c>
      <c r="IE146">
        <v>0</v>
      </c>
      <c r="IF146">
        <v>0</v>
      </c>
      <c r="IG146">
        <v>0</v>
      </c>
      <c r="IH146">
        <v>0</v>
      </c>
      <c r="II146">
        <v>0</v>
      </c>
      <c r="IJ146">
        <v>0</v>
      </c>
      <c r="IK146">
        <v>0</v>
      </c>
      <c r="IL146">
        <v>0</v>
      </c>
      <c r="IM146">
        <v>0</v>
      </c>
      <c r="IN146">
        <v>0</v>
      </c>
      <c r="IO146">
        <v>0</v>
      </c>
      <c r="IP146">
        <v>0</v>
      </c>
      <c r="IQ146">
        <v>0</v>
      </c>
      <c r="IR146">
        <v>0</v>
      </c>
      <c r="IS146">
        <v>0</v>
      </c>
      <c r="IT146">
        <v>0</v>
      </c>
      <c r="IU146">
        <v>0</v>
      </c>
      <c r="IV146">
        <v>0</v>
      </c>
      <c r="IW146">
        <v>0</v>
      </c>
      <c r="IX146">
        <v>0</v>
      </c>
      <c r="IY146">
        <v>0</v>
      </c>
      <c r="IZ146">
        <v>0</v>
      </c>
      <c r="JA146">
        <v>0</v>
      </c>
      <c r="JB146">
        <v>0</v>
      </c>
      <c r="JC146">
        <v>0</v>
      </c>
      <c r="JD146">
        <v>0</v>
      </c>
      <c r="JE146">
        <v>0</v>
      </c>
      <c r="JF146">
        <v>0</v>
      </c>
      <c r="JG146">
        <v>0</v>
      </c>
      <c r="JH146">
        <v>0</v>
      </c>
      <c r="JI146">
        <v>0</v>
      </c>
      <c r="JJ146">
        <v>0</v>
      </c>
      <c r="JK146">
        <v>0</v>
      </c>
      <c r="JL146">
        <v>0</v>
      </c>
      <c r="JM146">
        <v>0</v>
      </c>
      <c r="JN146">
        <v>0</v>
      </c>
      <c r="JO146">
        <v>0</v>
      </c>
      <c r="JP146">
        <v>0</v>
      </c>
      <c r="JQ146">
        <v>0</v>
      </c>
      <c r="JR146">
        <v>0</v>
      </c>
      <c r="JS146">
        <v>0</v>
      </c>
      <c r="JT146">
        <v>0</v>
      </c>
      <c r="JU146">
        <v>0</v>
      </c>
      <c r="JV146">
        <v>0</v>
      </c>
      <c r="JW146">
        <v>0</v>
      </c>
      <c r="JX146">
        <v>0</v>
      </c>
      <c r="JY146">
        <v>0</v>
      </c>
      <c r="JZ146">
        <v>0</v>
      </c>
      <c r="KA146">
        <v>0</v>
      </c>
      <c r="KB146">
        <v>0</v>
      </c>
      <c r="KC146">
        <v>0</v>
      </c>
      <c r="KD146">
        <v>0</v>
      </c>
      <c r="KE146">
        <v>0</v>
      </c>
      <c r="KF146">
        <v>0</v>
      </c>
      <c r="KG146">
        <v>0</v>
      </c>
      <c r="KH146">
        <v>0</v>
      </c>
      <c r="KI146">
        <v>0</v>
      </c>
      <c r="KJ146">
        <v>0</v>
      </c>
      <c r="KK146">
        <v>0</v>
      </c>
      <c r="KL146">
        <v>0</v>
      </c>
      <c r="KM146">
        <v>0</v>
      </c>
      <c r="KN146">
        <v>0</v>
      </c>
      <c r="KO146">
        <v>0</v>
      </c>
      <c r="KP146">
        <v>0</v>
      </c>
      <c r="KQ146">
        <v>0</v>
      </c>
      <c r="KR146">
        <v>0</v>
      </c>
      <c r="KS146">
        <v>0</v>
      </c>
      <c r="KT146">
        <v>0</v>
      </c>
      <c r="KU146">
        <v>0</v>
      </c>
      <c r="KV146">
        <v>0</v>
      </c>
      <c r="KW146">
        <v>0</v>
      </c>
      <c r="KX146">
        <v>0</v>
      </c>
      <c r="KY146">
        <v>0</v>
      </c>
      <c r="KZ146">
        <v>0</v>
      </c>
      <c r="LA146">
        <v>0</v>
      </c>
      <c r="LB146">
        <v>0</v>
      </c>
      <c r="LC146">
        <v>0</v>
      </c>
      <c r="LD146">
        <v>0</v>
      </c>
      <c r="LE146">
        <v>0</v>
      </c>
      <c r="LF146">
        <v>0</v>
      </c>
      <c r="LG146">
        <v>0</v>
      </c>
      <c r="LH146">
        <v>0</v>
      </c>
      <c r="LI146">
        <v>0</v>
      </c>
      <c r="LJ146">
        <v>0</v>
      </c>
      <c r="LK146">
        <v>0</v>
      </c>
      <c r="LL146">
        <v>0</v>
      </c>
      <c r="LM146">
        <v>0</v>
      </c>
      <c r="LN146">
        <v>0</v>
      </c>
      <c r="LO146">
        <v>0</v>
      </c>
      <c r="LP146">
        <v>0</v>
      </c>
      <c r="LQ146">
        <v>0</v>
      </c>
      <c r="LR146">
        <v>0</v>
      </c>
      <c r="LS146">
        <v>0</v>
      </c>
      <c r="LT146">
        <v>0</v>
      </c>
      <c r="LU146">
        <v>0</v>
      </c>
      <c r="LV146">
        <v>0</v>
      </c>
      <c r="LW146">
        <v>0</v>
      </c>
      <c r="LX146">
        <v>0</v>
      </c>
      <c r="LY146">
        <v>0</v>
      </c>
      <c r="LZ146">
        <v>0</v>
      </c>
      <c r="MA146">
        <v>0</v>
      </c>
      <c r="MB146">
        <v>0</v>
      </c>
      <c r="MC146">
        <v>0</v>
      </c>
      <c r="MD146">
        <v>0</v>
      </c>
      <c r="ME146">
        <v>0</v>
      </c>
      <c r="MF146">
        <v>0</v>
      </c>
      <c r="MG146">
        <v>0</v>
      </c>
      <c r="MH146">
        <v>0</v>
      </c>
      <c r="MI146">
        <v>0</v>
      </c>
      <c r="MJ146">
        <v>0</v>
      </c>
      <c r="MK146">
        <v>0</v>
      </c>
      <c r="ML146">
        <v>0</v>
      </c>
      <c r="MM146">
        <v>0</v>
      </c>
      <c r="MN146">
        <v>0</v>
      </c>
      <c r="MO146">
        <v>0</v>
      </c>
      <c r="MP146">
        <v>0</v>
      </c>
      <c r="MQ146">
        <v>0</v>
      </c>
      <c r="MR146">
        <v>0</v>
      </c>
      <c r="MS146">
        <v>0</v>
      </c>
      <c r="MT146">
        <v>0</v>
      </c>
      <c r="MU146">
        <v>0</v>
      </c>
      <c r="MV146">
        <v>0</v>
      </c>
      <c r="MW146">
        <v>0</v>
      </c>
      <c r="MX146">
        <v>0</v>
      </c>
      <c r="MY146">
        <v>0</v>
      </c>
      <c r="MZ146">
        <v>0</v>
      </c>
      <c r="NA146">
        <v>0</v>
      </c>
      <c r="NB146">
        <v>0</v>
      </c>
      <c r="NC146">
        <v>0</v>
      </c>
      <c r="ND146">
        <v>0</v>
      </c>
      <c r="NE146">
        <v>0</v>
      </c>
    </row>
    <row r="147" spans="41:369" x14ac:dyDescent="0.45">
      <c r="AO147" t="str">
        <v>C103</v>
      </c>
      <c r="AP147" t="str">
        <v>MUHAMMED ABDUL KADER</v>
      </c>
      <c r="AQ147" t="str">
        <v>BADF</v>
      </c>
      <c r="AR147" t="str">
        <v>SENIOR</v>
      </c>
      <c r="AS147">
        <v>5</v>
      </c>
      <c r="AT147">
        <v>30</v>
      </c>
      <c r="AU147">
        <v>0</v>
      </c>
      <c r="AV147">
        <v>30</v>
      </c>
      <c r="AW147">
        <v>30</v>
      </c>
      <c r="AX147">
        <v>48</v>
      </c>
      <c r="AY147" s="5">
        <v>48</v>
      </c>
      <c r="AZ147" t="str">
        <v>SS03</v>
      </c>
      <c r="BA147" t="str">
        <v>ARTICLE SUBMISSION</v>
      </c>
      <c r="BB147" t="str">
        <v>SUPER SENIOR</v>
      </c>
      <c r="BC147" t="str">
        <v>Single</v>
      </c>
      <c r="BD147" t="str">
        <v>Non-Stg</v>
      </c>
      <c r="BE147">
        <v>1</v>
      </c>
      <c r="BF147" t="str">
        <v>Master</v>
      </c>
      <c r="BG147" t="str">
        <v>Master</v>
      </c>
      <c r="BH147" t="str">
        <v>P</v>
      </c>
      <c r="BI147" t="str">
        <v>PUBLISHED</v>
      </c>
      <c r="BK147">
        <v>141</v>
      </c>
      <c r="BL147" t="str">
        <v>SN52</v>
      </c>
      <c r="BM147" t="str">
        <v>MASHUP</v>
      </c>
      <c r="BN147">
        <v>6</v>
      </c>
      <c r="BO147" t="str">
        <v>Group</v>
      </c>
      <c r="BP147" t="str">
        <v>Stage</v>
      </c>
      <c r="BQ147" t="str">
        <v>SENIOR</v>
      </c>
      <c r="BR147" t="str">
        <v>C168</v>
      </c>
      <c r="BS147" t="str">
        <v>C164</v>
      </c>
      <c r="BT147" t="str">
        <v>C162</v>
      </c>
      <c r="BU147" t="str">
        <v>C156</v>
      </c>
      <c r="BV147" t="str">
        <v>C142</v>
      </c>
      <c r="BW147" t="str">
        <v>C131</v>
      </c>
      <c r="BX147">
        <v>0</v>
      </c>
      <c r="BY147" t="str">
        <v>C120</v>
      </c>
      <c r="BZ147" t="str">
        <v>C136</v>
      </c>
      <c r="CA147" t="str">
        <v>C150</v>
      </c>
      <c r="CB147" t="str">
        <v>C158</v>
      </c>
      <c r="CC147" t="str">
        <v>C161</v>
      </c>
      <c r="CD147" t="str">
        <v>C166</v>
      </c>
      <c r="CE147">
        <v>0</v>
      </c>
      <c r="CF147" t="str">
        <v>C103</v>
      </c>
      <c r="CG147" t="str">
        <v>C104</v>
      </c>
      <c r="CH147" t="str">
        <v>C106</v>
      </c>
      <c r="CI147" t="str">
        <v>C160</v>
      </c>
      <c r="CJ147" t="str">
        <v>C170</v>
      </c>
      <c r="CK147" t="str">
        <v>C171</v>
      </c>
      <c r="CL147">
        <v>0</v>
      </c>
      <c r="CM147" t="str">
        <v>C105</v>
      </c>
      <c r="CN147" t="str">
        <v>C146</v>
      </c>
      <c r="CO147" t="str">
        <v>C147</v>
      </c>
      <c r="CP147" t="str">
        <v>C165</v>
      </c>
      <c r="CQ147" t="str">
        <v>C167</v>
      </c>
      <c r="CR147" t="str">
        <v>C152</v>
      </c>
      <c r="CS147">
        <v>0</v>
      </c>
      <c r="CT147">
        <v>0</v>
      </c>
      <c r="CU147">
        <v>0</v>
      </c>
      <c r="CV147">
        <v>0</v>
      </c>
      <c r="CW147">
        <v>0</v>
      </c>
      <c r="CX147">
        <v>0</v>
      </c>
      <c r="CY147">
        <v>0</v>
      </c>
      <c r="CZ147">
        <v>0</v>
      </c>
      <c r="DA147">
        <v>0</v>
      </c>
      <c r="DB147">
        <v>0</v>
      </c>
      <c r="DC147">
        <v>0</v>
      </c>
      <c r="DD147">
        <v>0</v>
      </c>
      <c r="DE147">
        <v>0</v>
      </c>
      <c r="DF147">
        <v>0</v>
      </c>
      <c r="DG147">
        <v>0</v>
      </c>
      <c r="DH147">
        <v>0</v>
      </c>
      <c r="DI147">
        <v>0</v>
      </c>
      <c r="DJ147">
        <v>0</v>
      </c>
      <c r="DK147">
        <v>0</v>
      </c>
      <c r="DL147">
        <v>0</v>
      </c>
      <c r="DM147">
        <v>0</v>
      </c>
      <c r="DN147">
        <v>0</v>
      </c>
      <c r="DO147">
        <v>0</v>
      </c>
      <c r="DP147">
        <v>0</v>
      </c>
      <c r="DQ147">
        <v>0</v>
      </c>
      <c r="DR147">
        <v>0</v>
      </c>
      <c r="DS147">
        <v>0</v>
      </c>
      <c r="DT147">
        <v>0</v>
      </c>
      <c r="DU147">
        <v>0</v>
      </c>
      <c r="DV147">
        <v>0</v>
      </c>
      <c r="DW147">
        <v>0</v>
      </c>
      <c r="DX147">
        <v>0</v>
      </c>
      <c r="DY147">
        <v>0</v>
      </c>
      <c r="DZ147">
        <v>0</v>
      </c>
      <c r="EA147">
        <v>0</v>
      </c>
      <c r="EB147">
        <v>0</v>
      </c>
      <c r="EC147">
        <v>0</v>
      </c>
      <c r="ED147">
        <v>0</v>
      </c>
      <c r="EE147">
        <v>0</v>
      </c>
      <c r="EF147">
        <v>0</v>
      </c>
      <c r="EG147">
        <v>0</v>
      </c>
      <c r="EH147">
        <v>0</v>
      </c>
      <c r="EI147">
        <v>0</v>
      </c>
      <c r="EJ147">
        <v>0</v>
      </c>
      <c r="EK147">
        <v>0</v>
      </c>
      <c r="EL147">
        <v>0</v>
      </c>
      <c r="EM147">
        <v>0</v>
      </c>
      <c r="EN147">
        <v>0</v>
      </c>
      <c r="EO147">
        <v>0</v>
      </c>
      <c r="EP147">
        <v>0</v>
      </c>
      <c r="EQ147">
        <v>0</v>
      </c>
      <c r="ER147">
        <v>0</v>
      </c>
      <c r="ES147">
        <v>0</v>
      </c>
      <c r="ET147">
        <v>0</v>
      </c>
      <c r="EU147">
        <v>0</v>
      </c>
      <c r="EV147">
        <v>0</v>
      </c>
      <c r="EW147">
        <v>0</v>
      </c>
      <c r="EX147">
        <v>0</v>
      </c>
      <c r="EY147">
        <v>0</v>
      </c>
      <c r="EZ147">
        <v>0</v>
      </c>
      <c r="FA147">
        <v>0</v>
      </c>
      <c r="FB147">
        <v>0</v>
      </c>
      <c r="FC147">
        <v>0</v>
      </c>
      <c r="FD147">
        <v>0</v>
      </c>
      <c r="FE147">
        <v>0</v>
      </c>
      <c r="FF147">
        <v>0</v>
      </c>
      <c r="FG147">
        <v>0</v>
      </c>
      <c r="FH147">
        <v>0</v>
      </c>
      <c r="FI147">
        <v>0</v>
      </c>
      <c r="FJ147">
        <v>0</v>
      </c>
      <c r="FK147">
        <v>0</v>
      </c>
      <c r="FL147">
        <v>0</v>
      </c>
      <c r="FM147">
        <v>0</v>
      </c>
      <c r="FN147">
        <v>0</v>
      </c>
      <c r="FO147">
        <v>0</v>
      </c>
      <c r="FP147">
        <v>0</v>
      </c>
      <c r="FQ147">
        <v>0</v>
      </c>
      <c r="FR147">
        <v>0</v>
      </c>
      <c r="FS147">
        <v>0</v>
      </c>
      <c r="FT147">
        <v>0</v>
      </c>
      <c r="FU147">
        <v>0</v>
      </c>
      <c r="FV147">
        <v>0</v>
      </c>
      <c r="FW147">
        <v>0</v>
      </c>
      <c r="FX147">
        <v>0</v>
      </c>
      <c r="FY147">
        <v>0</v>
      </c>
      <c r="FZ147">
        <v>0</v>
      </c>
      <c r="GA147">
        <v>0</v>
      </c>
      <c r="GB147">
        <v>0</v>
      </c>
      <c r="GC147">
        <v>0</v>
      </c>
      <c r="GD147">
        <v>0</v>
      </c>
      <c r="GE147">
        <v>0</v>
      </c>
      <c r="GF147">
        <v>0</v>
      </c>
      <c r="GG147">
        <v>0</v>
      </c>
      <c r="GH147">
        <v>0</v>
      </c>
      <c r="GI147">
        <v>0</v>
      </c>
      <c r="GJ147">
        <v>0</v>
      </c>
      <c r="GK147">
        <v>0</v>
      </c>
      <c r="GL147">
        <v>0</v>
      </c>
      <c r="GM147">
        <v>0</v>
      </c>
      <c r="GN147">
        <v>0</v>
      </c>
      <c r="GO147">
        <v>0</v>
      </c>
      <c r="GP147">
        <v>0</v>
      </c>
      <c r="GQ147">
        <v>0</v>
      </c>
      <c r="GR147">
        <v>0</v>
      </c>
      <c r="GS147">
        <v>0</v>
      </c>
      <c r="GT147">
        <v>0</v>
      </c>
      <c r="GU147">
        <v>0</v>
      </c>
      <c r="GV147">
        <v>0</v>
      </c>
      <c r="GW147">
        <v>0</v>
      </c>
      <c r="GX147">
        <v>0</v>
      </c>
      <c r="GY147">
        <v>0</v>
      </c>
      <c r="GZ147">
        <v>0</v>
      </c>
      <c r="HA147">
        <v>0</v>
      </c>
      <c r="HB147">
        <v>0</v>
      </c>
      <c r="HC147">
        <v>0</v>
      </c>
      <c r="HD147">
        <v>0</v>
      </c>
      <c r="HE147">
        <v>0</v>
      </c>
      <c r="HF147">
        <v>0</v>
      </c>
      <c r="HG147">
        <v>0</v>
      </c>
      <c r="HH147">
        <v>0</v>
      </c>
      <c r="HI147">
        <v>0</v>
      </c>
      <c r="HJ147">
        <v>0</v>
      </c>
      <c r="HK147">
        <v>0</v>
      </c>
      <c r="HL147">
        <v>0</v>
      </c>
      <c r="HM147">
        <v>0</v>
      </c>
      <c r="HN147">
        <v>0</v>
      </c>
      <c r="HO147">
        <v>0</v>
      </c>
      <c r="HP147">
        <v>0</v>
      </c>
      <c r="HQ147">
        <v>0</v>
      </c>
      <c r="HR147">
        <v>0</v>
      </c>
      <c r="HS147">
        <v>0</v>
      </c>
      <c r="HT147">
        <v>0</v>
      </c>
      <c r="HU147">
        <v>0</v>
      </c>
      <c r="HV147">
        <v>0</v>
      </c>
      <c r="HW147">
        <v>0</v>
      </c>
      <c r="HX147">
        <v>0</v>
      </c>
      <c r="HY147">
        <v>0</v>
      </c>
      <c r="HZ147">
        <v>0</v>
      </c>
      <c r="IA147">
        <v>0</v>
      </c>
      <c r="IB147">
        <v>0</v>
      </c>
      <c r="IC147">
        <v>0</v>
      </c>
      <c r="ID147">
        <v>0</v>
      </c>
      <c r="IE147">
        <v>0</v>
      </c>
      <c r="IF147">
        <v>0</v>
      </c>
      <c r="IG147">
        <v>0</v>
      </c>
      <c r="IH147">
        <v>0</v>
      </c>
      <c r="II147">
        <v>0</v>
      </c>
      <c r="IJ147">
        <v>0</v>
      </c>
      <c r="IK147">
        <v>0</v>
      </c>
      <c r="IL147">
        <v>0</v>
      </c>
      <c r="IM147">
        <v>0</v>
      </c>
      <c r="IN147">
        <v>0</v>
      </c>
      <c r="IO147">
        <v>0</v>
      </c>
      <c r="IP147">
        <v>0</v>
      </c>
      <c r="IQ147">
        <v>0</v>
      </c>
      <c r="IR147">
        <v>0</v>
      </c>
      <c r="IS147">
        <v>0</v>
      </c>
      <c r="IT147">
        <v>0</v>
      </c>
      <c r="IU147">
        <v>0</v>
      </c>
      <c r="IV147">
        <v>0</v>
      </c>
      <c r="IW147">
        <v>0</v>
      </c>
      <c r="IX147">
        <v>0</v>
      </c>
      <c r="IY147">
        <v>0</v>
      </c>
      <c r="IZ147">
        <v>0</v>
      </c>
      <c r="JA147">
        <v>0</v>
      </c>
      <c r="JB147">
        <v>0</v>
      </c>
      <c r="JC147">
        <v>0</v>
      </c>
      <c r="JD147">
        <v>0</v>
      </c>
      <c r="JE147">
        <v>0</v>
      </c>
      <c r="JF147">
        <v>0</v>
      </c>
      <c r="JG147">
        <v>0</v>
      </c>
      <c r="JH147">
        <v>0</v>
      </c>
      <c r="JI147">
        <v>0</v>
      </c>
      <c r="JJ147">
        <v>0</v>
      </c>
      <c r="JK147">
        <v>0</v>
      </c>
      <c r="JL147">
        <v>0</v>
      </c>
      <c r="JM147">
        <v>0</v>
      </c>
      <c r="JN147">
        <v>0</v>
      </c>
      <c r="JO147">
        <v>0</v>
      </c>
      <c r="JP147">
        <v>0</v>
      </c>
      <c r="JQ147">
        <v>0</v>
      </c>
      <c r="JR147">
        <v>0</v>
      </c>
      <c r="JS147">
        <v>0</v>
      </c>
      <c r="JT147">
        <v>0</v>
      </c>
      <c r="JU147">
        <v>0</v>
      </c>
      <c r="JV147">
        <v>0</v>
      </c>
      <c r="JW147">
        <v>0</v>
      </c>
      <c r="JX147">
        <v>0</v>
      </c>
      <c r="JY147">
        <v>0</v>
      </c>
      <c r="JZ147">
        <v>0</v>
      </c>
      <c r="KA147">
        <v>0</v>
      </c>
      <c r="KB147">
        <v>0</v>
      </c>
      <c r="KC147">
        <v>0</v>
      </c>
      <c r="KD147">
        <v>0</v>
      </c>
      <c r="KE147">
        <v>0</v>
      </c>
      <c r="KF147">
        <v>0</v>
      </c>
      <c r="KG147">
        <v>0</v>
      </c>
      <c r="KH147">
        <v>0</v>
      </c>
      <c r="KI147">
        <v>0</v>
      </c>
      <c r="KJ147">
        <v>0</v>
      </c>
      <c r="KK147">
        <v>0</v>
      </c>
      <c r="KL147">
        <v>0</v>
      </c>
      <c r="KM147">
        <v>0</v>
      </c>
      <c r="KN147">
        <v>0</v>
      </c>
      <c r="KO147">
        <v>0</v>
      </c>
      <c r="KP147">
        <v>0</v>
      </c>
      <c r="KQ147">
        <v>0</v>
      </c>
      <c r="KR147">
        <v>0</v>
      </c>
      <c r="KS147">
        <v>0</v>
      </c>
      <c r="KT147">
        <v>0</v>
      </c>
      <c r="KU147">
        <v>0</v>
      </c>
      <c r="KV147">
        <v>0</v>
      </c>
      <c r="KW147">
        <v>0</v>
      </c>
      <c r="KX147">
        <v>0</v>
      </c>
      <c r="KY147">
        <v>0</v>
      </c>
      <c r="KZ147">
        <v>0</v>
      </c>
      <c r="LA147">
        <v>0</v>
      </c>
      <c r="LB147">
        <v>0</v>
      </c>
      <c r="LC147">
        <v>0</v>
      </c>
      <c r="LD147">
        <v>0</v>
      </c>
      <c r="LE147">
        <v>0</v>
      </c>
      <c r="LF147">
        <v>0</v>
      </c>
      <c r="LG147">
        <v>0</v>
      </c>
      <c r="LH147">
        <v>0</v>
      </c>
      <c r="LI147">
        <v>0</v>
      </c>
      <c r="LJ147">
        <v>0</v>
      </c>
      <c r="LK147">
        <v>0</v>
      </c>
      <c r="LL147">
        <v>0</v>
      </c>
      <c r="LM147">
        <v>0</v>
      </c>
      <c r="LN147">
        <v>0</v>
      </c>
      <c r="LO147">
        <v>0</v>
      </c>
      <c r="LP147">
        <v>0</v>
      </c>
      <c r="LQ147">
        <v>0</v>
      </c>
      <c r="LR147">
        <v>0</v>
      </c>
      <c r="LS147">
        <v>0</v>
      </c>
      <c r="LT147">
        <v>0</v>
      </c>
      <c r="LU147">
        <v>0</v>
      </c>
      <c r="LV147">
        <v>0</v>
      </c>
      <c r="LW147">
        <v>0</v>
      </c>
      <c r="LX147">
        <v>0</v>
      </c>
      <c r="LY147">
        <v>0</v>
      </c>
      <c r="LZ147">
        <v>0</v>
      </c>
      <c r="MA147">
        <v>0</v>
      </c>
      <c r="MB147">
        <v>0</v>
      </c>
      <c r="MC147">
        <v>0</v>
      </c>
      <c r="MD147">
        <v>0</v>
      </c>
      <c r="ME147">
        <v>0</v>
      </c>
      <c r="MF147">
        <v>0</v>
      </c>
      <c r="MG147">
        <v>0</v>
      </c>
      <c r="MH147">
        <v>0</v>
      </c>
      <c r="MI147">
        <v>0</v>
      </c>
      <c r="MJ147">
        <v>0</v>
      </c>
      <c r="MK147">
        <v>0</v>
      </c>
      <c r="ML147">
        <v>0</v>
      </c>
      <c r="MM147">
        <v>0</v>
      </c>
      <c r="MN147">
        <v>0</v>
      </c>
      <c r="MO147">
        <v>0</v>
      </c>
      <c r="MP147">
        <v>0</v>
      </c>
      <c r="MQ147">
        <v>0</v>
      </c>
      <c r="MR147">
        <v>0</v>
      </c>
      <c r="MS147">
        <v>0</v>
      </c>
      <c r="MT147">
        <v>0</v>
      </c>
      <c r="MU147">
        <v>0</v>
      </c>
      <c r="MV147">
        <v>0</v>
      </c>
      <c r="MW147">
        <v>0</v>
      </c>
      <c r="MX147">
        <v>0</v>
      </c>
      <c r="MY147">
        <v>0</v>
      </c>
      <c r="MZ147">
        <v>0</v>
      </c>
      <c r="NA147">
        <v>0</v>
      </c>
      <c r="NB147">
        <v>0</v>
      </c>
      <c r="NC147">
        <v>0</v>
      </c>
      <c r="ND147">
        <v>0</v>
      </c>
      <c r="NE147">
        <v>0</v>
      </c>
    </row>
    <row r="148" spans="41:369" x14ac:dyDescent="0.45">
      <c r="AO148" t="str">
        <v>C104</v>
      </c>
      <c r="AP148" t="str">
        <v>HADIL RIJAS</v>
      </c>
      <c r="AQ148" t="str">
        <v>BADF</v>
      </c>
      <c r="AR148" t="str">
        <v>SENIOR</v>
      </c>
      <c r="AS148">
        <v>5</v>
      </c>
      <c r="AT148">
        <v>23</v>
      </c>
      <c r="AU148">
        <v>0</v>
      </c>
      <c r="AV148">
        <v>23</v>
      </c>
      <c r="AW148">
        <v>23</v>
      </c>
      <c r="AX148">
        <v>68</v>
      </c>
      <c r="AY148" s="5">
        <v>68</v>
      </c>
      <c r="AZ148" t="str">
        <v>SS04</v>
      </c>
      <c r="BA148" t="str">
        <v>CARTOON</v>
      </c>
      <c r="BB148" t="str">
        <v>SUPER SENIOR</v>
      </c>
      <c r="BC148" t="str">
        <v>Single</v>
      </c>
      <c r="BD148" t="str">
        <v>Non-Stg</v>
      </c>
      <c r="BE148">
        <v>2</v>
      </c>
      <c r="BF148" t="str">
        <v>Individual</v>
      </c>
      <c r="BG148" t="str">
        <v>Individual</v>
      </c>
      <c r="BH148" t="str">
        <v>P</v>
      </c>
      <c r="BI148" t="str">
        <v>PUBLISHED</v>
      </c>
      <c r="BK148">
        <v>142</v>
      </c>
      <c r="BL148" t="str">
        <v>SN53</v>
      </c>
      <c r="BM148" t="str">
        <v>SPEECH &amp; SONG ARB</v>
      </c>
      <c r="BN148">
        <v>3</v>
      </c>
      <c r="BO148" t="str">
        <v>Group</v>
      </c>
      <c r="BP148" t="str">
        <v>Stage</v>
      </c>
      <c r="BQ148" t="str">
        <v>SENIOR</v>
      </c>
      <c r="BR148" t="str">
        <v>C156</v>
      </c>
      <c r="BS148" t="str">
        <v>C127</v>
      </c>
      <c r="BT148" t="str">
        <v>C131</v>
      </c>
      <c r="BU148">
        <v>0</v>
      </c>
      <c r="BV148">
        <v>0</v>
      </c>
      <c r="BW148">
        <v>0</v>
      </c>
      <c r="BX148">
        <v>0</v>
      </c>
      <c r="BY148" t="str">
        <v>C120</v>
      </c>
      <c r="BZ148" t="str">
        <v>C150</v>
      </c>
      <c r="CA148" t="str">
        <v>C153</v>
      </c>
      <c r="CB148">
        <v>0</v>
      </c>
      <c r="CC148">
        <v>0</v>
      </c>
      <c r="CD148">
        <v>0</v>
      </c>
      <c r="CE148">
        <v>0</v>
      </c>
      <c r="CF148" t="str">
        <v>C103</v>
      </c>
      <c r="CG148" t="str">
        <v>C109</v>
      </c>
      <c r="CH148" t="str">
        <v>C124</v>
      </c>
      <c r="CI148">
        <v>0</v>
      </c>
      <c r="CJ148">
        <v>0</v>
      </c>
      <c r="CK148">
        <v>0</v>
      </c>
      <c r="CL148">
        <v>0</v>
      </c>
      <c r="CM148" t="str">
        <v>C111</v>
      </c>
      <c r="CN148" t="str">
        <v>C165</v>
      </c>
      <c r="CO148" t="str">
        <v>C167</v>
      </c>
      <c r="CP148">
        <v>0</v>
      </c>
      <c r="CQ148">
        <v>0</v>
      </c>
      <c r="CR148">
        <v>0</v>
      </c>
      <c r="CS148">
        <v>0</v>
      </c>
      <c r="CT148">
        <v>0</v>
      </c>
      <c r="CU148">
        <v>0</v>
      </c>
      <c r="CV148">
        <v>0</v>
      </c>
      <c r="CW148">
        <v>0</v>
      </c>
      <c r="CX148">
        <v>0</v>
      </c>
      <c r="CY148">
        <v>0</v>
      </c>
      <c r="CZ148">
        <v>0</v>
      </c>
      <c r="DA148">
        <v>0</v>
      </c>
      <c r="DB148">
        <v>0</v>
      </c>
      <c r="DC148">
        <v>0</v>
      </c>
      <c r="DD148">
        <v>0</v>
      </c>
      <c r="DE148">
        <v>0</v>
      </c>
      <c r="DF148">
        <v>0</v>
      </c>
      <c r="DG148">
        <v>0</v>
      </c>
      <c r="DH148">
        <v>0</v>
      </c>
      <c r="DI148">
        <v>0</v>
      </c>
      <c r="DJ148">
        <v>0</v>
      </c>
      <c r="DK148">
        <v>0</v>
      </c>
      <c r="DL148">
        <v>0</v>
      </c>
      <c r="DM148">
        <v>0</v>
      </c>
      <c r="DN148">
        <v>0</v>
      </c>
      <c r="DO148">
        <v>0</v>
      </c>
      <c r="DP148">
        <v>0</v>
      </c>
      <c r="DQ148">
        <v>0</v>
      </c>
      <c r="DR148">
        <v>0</v>
      </c>
      <c r="DS148">
        <v>0</v>
      </c>
      <c r="DT148">
        <v>0</v>
      </c>
      <c r="DU148">
        <v>0</v>
      </c>
      <c r="DV148">
        <v>0</v>
      </c>
      <c r="DW148">
        <v>0</v>
      </c>
      <c r="DX148">
        <v>0</v>
      </c>
      <c r="DY148">
        <v>0</v>
      </c>
      <c r="DZ148">
        <v>0</v>
      </c>
      <c r="EA148">
        <v>0</v>
      </c>
      <c r="EB148">
        <v>0</v>
      </c>
      <c r="EC148">
        <v>0</v>
      </c>
      <c r="ED148">
        <v>0</v>
      </c>
      <c r="EE148">
        <v>0</v>
      </c>
      <c r="EF148">
        <v>0</v>
      </c>
      <c r="EG148">
        <v>0</v>
      </c>
      <c r="EH148">
        <v>0</v>
      </c>
      <c r="EI148">
        <v>0</v>
      </c>
      <c r="EJ148">
        <v>0</v>
      </c>
      <c r="EK148">
        <v>0</v>
      </c>
      <c r="EL148">
        <v>0</v>
      </c>
      <c r="EM148">
        <v>0</v>
      </c>
      <c r="EN148">
        <v>0</v>
      </c>
      <c r="EO148">
        <v>0</v>
      </c>
      <c r="EP148">
        <v>0</v>
      </c>
      <c r="EQ148">
        <v>0</v>
      </c>
      <c r="ER148">
        <v>0</v>
      </c>
      <c r="ES148">
        <v>0</v>
      </c>
      <c r="ET148">
        <v>0</v>
      </c>
      <c r="EU148">
        <v>0</v>
      </c>
      <c r="EV148">
        <v>0</v>
      </c>
      <c r="EW148">
        <v>0</v>
      </c>
      <c r="EX148">
        <v>0</v>
      </c>
      <c r="EY148">
        <v>0</v>
      </c>
      <c r="EZ148">
        <v>0</v>
      </c>
      <c r="FA148">
        <v>0</v>
      </c>
      <c r="FB148">
        <v>0</v>
      </c>
      <c r="FC148">
        <v>0</v>
      </c>
      <c r="FD148">
        <v>0</v>
      </c>
      <c r="FE148">
        <v>0</v>
      </c>
      <c r="FF148">
        <v>0</v>
      </c>
      <c r="FG148">
        <v>0</v>
      </c>
      <c r="FH148">
        <v>0</v>
      </c>
      <c r="FI148">
        <v>0</v>
      </c>
      <c r="FJ148">
        <v>0</v>
      </c>
      <c r="FK148">
        <v>0</v>
      </c>
      <c r="FL148">
        <v>0</v>
      </c>
      <c r="FM148">
        <v>0</v>
      </c>
      <c r="FN148">
        <v>0</v>
      </c>
      <c r="FO148">
        <v>0</v>
      </c>
      <c r="FP148">
        <v>0</v>
      </c>
      <c r="FQ148">
        <v>0</v>
      </c>
      <c r="FR148">
        <v>0</v>
      </c>
      <c r="FS148">
        <v>0</v>
      </c>
      <c r="FT148">
        <v>0</v>
      </c>
      <c r="FU148">
        <v>0</v>
      </c>
      <c r="FV148">
        <v>0</v>
      </c>
      <c r="FW148">
        <v>0</v>
      </c>
      <c r="FX148">
        <v>0</v>
      </c>
      <c r="FY148">
        <v>0</v>
      </c>
      <c r="FZ148">
        <v>0</v>
      </c>
      <c r="GA148">
        <v>0</v>
      </c>
      <c r="GB148">
        <v>0</v>
      </c>
      <c r="GC148">
        <v>0</v>
      </c>
      <c r="GD148">
        <v>0</v>
      </c>
      <c r="GE148">
        <v>0</v>
      </c>
      <c r="GF148">
        <v>0</v>
      </c>
      <c r="GG148">
        <v>0</v>
      </c>
      <c r="GH148">
        <v>0</v>
      </c>
      <c r="GI148">
        <v>0</v>
      </c>
      <c r="GJ148">
        <v>0</v>
      </c>
      <c r="GK148">
        <v>0</v>
      </c>
      <c r="GL148">
        <v>0</v>
      </c>
      <c r="GM148">
        <v>0</v>
      </c>
      <c r="GN148">
        <v>0</v>
      </c>
      <c r="GO148">
        <v>0</v>
      </c>
      <c r="GP148">
        <v>0</v>
      </c>
      <c r="GQ148">
        <v>0</v>
      </c>
      <c r="GR148">
        <v>0</v>
      </c>
      <c r="GS148">
        <v>0</v>
      </c>
      <c r="GT148">
        <v>0</v>
      </c>
      <c r="GU148">
        <v>0</v>
      </c>
      <c r="GV148">
        <v>0</v>
      </c>
      <c r="GW148">
        <v>0</v>
      </c>
      <c r="GX148">
        <v>0</v>
      </c>
      <c r="GY148">
        <v>0</v>
      </c>
      <c r="GZ148">
        <v>0</v>
      </c>
      <c r="HA148">
        <v>0</v>
      </c>
      <c r="HB148">
        <v>0</v>
      </c>
      <c r="HC148">
        <v>0</v>
      </c>
      <c r="HD148">
        <v>0</v>
      </c>
      <c r="HE148">
        <v>0</v>
      </c>
      <c r="HF148">
        <v>0</v>
      </c>
      <c r="HG148">
        <v>0</v>
      </c>
      <c r="HH148">
        <v>0</v>
      </c>
      <c r="HI148">
        <v>0</v>
      </c>
      <c r="HJ148">
        <v>0</v>
      </c>
      <c r="HK148">
        <v>0</v>
      </c>
      <c r="HL148">
        <v>0</v>
      </c>
      <c r="HM148">
        <v>0</v>
      </c>
      <c r="HN148">
        <v>0</v>
      </c>
      <c r="HO148">
        <v>0</v>
      </c>
      <c r="HP148">
        <v>0</v>
      </c>
      <c r="HQ148">
        <v>0</v>
      </c>
      <c r="HR148">
        <v>0</v>
      </c>
      <c r="HS148">
        <v>0</v>
      </c>
      <c r="HT148">
        <v>0</v>
      </c>
      <c r="HU148">
        <v>0</v>
      </c>
      <c r="HV148">
        <v>0</v>
      </c>
      <c r="HW148">
        <v>0</v>
      </c>
      <c r="HX148">
        <v>0</v>
      </c>
      <c r="HY148">
        <v>0</v>
      </c>
      <c r="HZ148">
        <v>0</v>
      </c>
      <c r="IA148">
        <v>0</v>
      </c>
      <c r="IB148">
        <v>0</v>
      </c>
      <c r="IC148">
        <v>0</v>
      </c>
      <c r="ID148">
        <v>0</v>
      </c>
      <c r="IE148">
        <v>0</v>
      </c>
      <c r="IF148">
        <v>0</v>
      </c>
      <c r="IG148">
        <v>0</v>
      </c>
      <c r="IH148">
        <v>0</v>
      </c>
      <c r="II148">
        <v>0</v>
      </c>
      <c r="IJ148">
        <v>0</v>
      </c>
      <c r="IK148">
        <v>0</v>
      </c>
      <c r="IL148">
        <v>0</v>
      </c>
      <c r="IM148">
        <v>0</v>
      </c>
      <c r="IN148">
        <v>0</v>
      </c>
      <c r="IO148">
        <v>0</v>
      </c>
      <c r="IP148">
        <v>0</v>
      </c>
      <c r="IQ148">
        <v>0</v>
      </c>
      <c r="IR148">
        <v>0</v>
      </c>
      <c r="IS148">
        <v>0</v>
      </c>
      <c r="IT148">
        <v>0</v>
      </c>
      <c r="IU148">
        <v>0</v>
      </c>
      <c r="IV148">
        <v>0</v>
      </c>
      <c r="IW148">
        <v>0</v>
      </c>
      <c r="IX148">
        <v>0</v>
      </c>
      <c r="IY148">
        <v>0</v>
      </c>
      <c r="IZ148">
        <v>0</v>
      </c>
      <c r="JA148">
        <v>0</v>
      </c>
      <c r="JB148">
        <v>0</v>
      </c>
      <c r="JC148">
        <v>0</v>
      </c>
      <c r="JD148">
        <v>0</v>
      </c>
      <c r="JE148">
        <v>0</v>
      </c>
      <c r="JF148">
        <v>0</v>
      </c>
      <c r="JG148">
        <v>0</v>
      </c>
      <c r="JH148">
        <v>0</v>
      </c>
      <c r="JI148">
        <v>0</v>
      </c>
      <c r="JJ148">
        <v>0</v>
      </c>
      <c r="JK148">
        <v>0</v>
      </c>
      <c r="JL148">
        <v>0</v>
      </c>
      <c r="JM148">
        <v>0</v>
      </c>
      <c r="JN148">
        <v>0</v>
      </c>
      <c r="JO148">
        <v>0</v>
      </c>
      <c r="JP148">
        <v>0</v>
      </c>
      <c r="JQ148">
        <v>0</v>
      </c>
      <c r="JR148">
        <v>0</v>
      </c>
      <c r="JS148">
        <v>0</v>
      </c>
      <c r="JT148">
        <v>0</v>
      </c>
      <c r="JU148">
        <v>0</v>
      </c>
      <c r="JV148">
        <v>0</v>
      </c>
      <c r="JW148">
        <v>0</v>
      </c>
      <c r="JX148">
        <v>0</v>
      </c>
      <c r="JY148">
        <v>0</v>
      </c>
      <c r="JZ148">
        <v>0</v>
      </c>
      <c r="KA148">
        <v>0</v>
      </c>
      <c r="KB148">
        <v>0</v>
      </c>
      <c r="KC148">
        <v>0</v>
      </c>
      <c r="KD148">
        <v>0</v>
      </c>
      <c r="KE148">
        <v>0</v>
      </c>
      <c r="KF148">
        <v>0</v>
      </c>
      <c r="KG148">
        <v>0</v>
      </c>
      <c r="KH148">
        <v>0</v>
      </c>
      <c r="KI148">
        <v>0</v>
      </c>
      <c r="KJ148">
        <v>0</v>
      </c>
      <c r="KK148">
        <v>0</v>
      </c>
      <c r="KL148">
        <v>0</v>
      </c>
      <c r="KM148">
        <v>0</v>
      </c>
      <c r="KN148">
        <v>0</v>
      </c>
      <c r="KO148">
        <v>0</v>
      </c>
      <c r="KP148">
        <v>0</v>
      </c>
      <c r="KQ148">
        <v>0</v>
      </c>
      <c r="KR148">
        <v>0</v>
      </c>
      <c r="KS148">
        <v>0</v>
      </c>
      <c r="KT148">
        <v>0</v>
      </c>
      <c r="KU148">
        <v>0</v>
      </c>
      <c r="KV148">
        <v>0</v>
      </c>
      <c r="KW148">
        <v>0</v>
      </c>
      <c r="KX148">
        <v>0</v>
      </c>
      <c r="KY148">
        <v>0</v>
      </c>
      <c r="KZ148">
        <v>0</v>
      </c>
      <c r="LA148">
        <v>0</v>
      </c>
      <c r="LB148">
        <v>0</v>
      </c>
      <c r="LC148">
        <v>0</v>
      </c>
      <c r="LD148">
        <v>0</v>
      </c>
      <c r="LE148">
        <v>0</v>
      </c>
      <c r="LF148">
        <v>0</v>
      </c>
      <c r="LG148">
        <v>0</v>
      </c>
      <c r="LH148">
        <v>0</v>
      </c>
      <c r="LI148">
        <v>0</v>
      </c>
      <c r="LJ148">
        <v>0</v>
      </c>
      <c r="LK148">
        <v>0</v>
      </c>
      <c r="LL148">
        <v>0</v>
      </c>
      <c r="LM148">
        <v>0</v>
      </c>
      <c r="LN148">
        <v>0</v>
      </c>
      <c r="LO148">
        <v>0</v>
      </c>
      <c r="LP148">
        <v>0</v>
      </c>
      <c r="LQ148">
        <v>0</v>
      </c>
      <c r="LR148">
        <v>0</v>
      </c>
      <c r="LS148">
        <v>0</v>
      </c>
      <c r="LT148">
        <v>0</v>
      </c>
      <c r="LU148">
        <v>0</v>
      </c>
      <c r="LV148">
        <v>0</v>
      </c>
      <c r="LW148">
        <v>0</v>
      </c>
      <c r="LX148">
        <v>0</v>
      </c>
      <c r="LY148">
        <v>0</v>
      </c>
      <c r="LZ148">
        <v>0</v>
      </c>
      <c r="MA148">
        <v>0</v>
      </c>
      <c r="MB148">
        <v>0</v>
      </c>
      <c r="MC148">
        <v>0</v>
      </c>
      <c r="MD148">
        <v>0</v>
      </c>
      <c r="ME148">
        <v>0</v>
      </c>
      <c r="MF148">
        <v>0</v>
      </c>
      <c r="MG148">
        <v>0</v>
      </c>
      <c r="MH148">
        <v>0</v>
      </c>
      <c r="MI148">
        <v>0</v>
      </c>
      <c r="MJ148">
        <v>0</v>
      </c>
      <c r="MK148">
        <v>0</v>
      </c>
      <c r="ML148">
        <v>0</v>
      </c>
      <c r="MM148">
        <v>0</v>
      </c>
      <c r="MN148">
        <v>0</v>
      </c>
      <c r="MO148">
        <v>0</v>
      </c>
      <c r="MP148">
        <v>0</v>
      </c>
      <c r="MQ148">
        <v>0</v>
      </c>
      <c r="MR148">
        <v>0</v>
      </c>
      <c r="MS148">
        <v>0</v>
      </c>
      <c r="MT148">
        <v>0</v>
      </c>
      <c r="MU148">
        <v>0</v>
      </c>
      <c r="MV148">
        <v>0</v>
      </c>
      <c r="MW148">
        <v>0</v>
      </c>
      <c r="MX148">
        <v>0</v>
      </c>
      <c r="MY148">
        <v>0</v>
      </c>
      <c r="MZ148">
        <v>0</v>
      </c>
      <c r="NA148">
        <v>0</v>
      </c>
      <c r="NB148">
        <v>0</v>
      </c>
      <c r="NC148">
        <v>0</v>
      </c>
      <c r="ND148">
        <v>0</v>
      </c>
      <c r="NE148">
        <v>0</v>
      </c>
    </row>
    <row r="149" spans="41:369" x14ac:dyDescent="0.45">
      <c r="AO149" t="str">
        <v>C105</v>
      </c>
      <c r="AP149" t="str">
        <v>AHMAD MANAL KUDINGILA</v>
      </c>
      <c r="AQ149" t="str">
        <v>JARF</v>
      </c>
      <c r="AR149" t="str">
        <v>SENIOR</v>
      </c>
      <c r="AS149">
        <v>5</v>
      </c>
      <c r="AT149">
        <v>0</v>
      </c>
      <c r="AU149">
        <v>0</v>
      </c>
      <c r="AV149">
        <v>0</v>
      </c>
      <c r="AW149">
        <v>0</v>
      </c>
      <c r="AX149">
        <v>255</v>
      </c>
      <c r="AY149" s="5">
        <v>255</v>
      </c>
      <c r="AZ149" t="str">
        <v>SS05</v>
      </c>
      <c r="BA149" t="str">
        <v>ESSAY ARB</v>
      </c>
      <c r="BB149" t="str">
        <v>SUPER SENIOR</v>
      </c>
      <c r="BC149" t="str">
        <v>Single</v>
      </c>
      <c r="BD149" t="str">
        <v>Non-Stg</v>
      </c>
      <c r="BE149">
        <v>3</v>
      </c>
      <c r="BF149" t="str">
        <v>Individual</v>
      </c>
      <c r="BG149" t="str">
        <v>Individual</v>
      </c>
      <c r="BH149" t="str">
        <v>P</v>
      </c>
      <c r="BI149" t="str">
        <v>PUBLISHED</v>
      </c>
      <c r="BK149">
        <v>143</v>
      </c>
      <c r="BL149" t="str">
        <v>SS01</v>
      </c>
      <c r="BM149" t="str">
        <v>ABSTRACT WRITING ENG</v>
      </c>
      <c r="BN149">
        <v>3</v>
      </c>
      <c r="BO149" t="str">
        <v>Single</v>
      </c>
      <c r="BP149" t="str">
        <v>Non-Stg</v>
      </c>
      <c r="BQ149" t="str">
        <v>SUPER SENIOR</v>
      </c>
      <c r="BR149" t="str">
        <v>D128</v>
      </c>
      <c r="BS149" t="str">
        <v>D132</v>
      </c>
      <c r="BT149" t="str">
        <v>D165</v>
      </c>
      <c r="BU149">
        <v>0</v>
      </c>
      <c r="BV149">
        <v>0</v>
      </c>
      <c r="BW149">
        <v>0</v>
      </c>
      <c r="BX149">
        <v>0</v>
      </c>
      <c r="BY149" t="str">
        <v>D107</v>
      </c>
      <c r="BZ149" t="str">
        <v>D150</v>
      </c>
      <c r="CA149" t="str">
        <v>D196</v>
      </c>
      <c r="CB149">
        <v>0</v>
      </c>
      <c r="CC149">
        <v>0</v>
      </c>
      <c r="CD149">
        <v>0</v>
      </c>
      <c r="CE149">
        <v>0</v>
      </c>
      <c r="CF149" t="str">
        <v>D118</v>
      </c>
      <c r="CG149" t="str">
        <v>D129</v>
      </c>
      <c r="CH149" t="str">
        <v>D195</v>
      </c>
      <c r="CI149">
        <v>0</v>
      </c>
      <c r="CJ149">
        <v>0</v>
      </c>
      <c r="CK149">
        <v>0</v>
      </c>
      <c r="CL149">
        <v>0</v>
      </c>
      <c r="CM149" t="str">
        <v>D111</v>
      </c>
      <c r="CN149" t="str">
        <v>D144</v>
      </c>
      <c r="CO149" t="str">
        <v>D193</v>
      </c>
      <c r="CP149">
        <v>0</v>
      </c>
      <c r="CQ149">
        <v>0</v>
      </c>
      <c r="CR149">
        <v>0</v>
      </c>
      <c r="CS149">
        <v>0</v>
      </c>
      <c r="CT149">
        <v>0</v>
      </c>
      <c r="CU149">
        <v>0</v>
      </c>
      <c r="CV149">
        <v>0</v>
      </c>
      <c r="CW149">
        <v>0</v>
      </c>
      <c r="CX149">
        <v>0</v>
      </c>
      <c r="CY149">
        <v>0</v>
      </c>
      <c r="CZ149">
        <v>0</v>
      </c>
      <c r="DA149">
        <v>0</v>
      </c>
      <c r="DB149">
        <v>0</v>
      </c>
      <c r="DC149">
        <v>0</v>
      </c>
      <c r="DD149">
        <v>0</v>
      </c>
      <c r="DE149">
        <v>0</v>
      </c>
      <c r="DF149">
        <v>0</v>
      </c>
      <c r="DG149">
        <v>0</v>
      </c>
      <c r="DH149">
        <v>0</v>
      </c>
      <c r="DI149">
        <v>0</v>
      </c>
      <c r="DJ149">
        <v>0</v>
      </c>
      <c r="DK149">
        <v>0</v>
      </c>
      <c r="DL149">
        <v>0</v>
      </c>
      <c r="DM149">
        <v>0</v>
      </c>
      <c r="DN149">
        <v>0</v>
      </c>
      <c r="DO149">
        <v>0</v>
      </c>
      <c r="DP149">
        <v>0</v>
      </c>
      <c r="DQ149">
        <v>0</v>
      </c>
      <c r="DR149">
        <v>0</v>
      </c>
      <c r="DS149">
        <v>0</v>
      </c>
      <c r="DT149">
        <v>0</v>
      </c>
      <c r="DU149">
        <v>0</v>
      </c>
      <c r="DV149">
        <v>0</v>
      </c>
      <c r="DW149">
        <v>0</v>
      </c>
      <c r="DX149">
        <v>0</v>
      </c>
      <c r="DY149">
        <v>0</v>
      </c>
      <c r="DZ149">
        <v>0</v>
      </c>
      <c r="EA149">
        <v>0</v>
      </c>
      <c r="EB149">
        <v>0</v>
      </c>
      <c r="EC149">
        <v>0</v>
      </c>
      <c r="ED149">
        <v>0</v>
      </c>
      <c r="EE149">
        <v>0</v>
      </c>
      <c r="EF149">
        <v>0</v>
      </c>
      <c r="EG149">
        <v>0</v>
      </c>
      <c r="EH149">
        <v>0</v>
      </c>
      <c r="EI149">
        <v>0</v>
      </c>
      <c r="EJ149">
        <v>0</v>
      </c>
      <c r="EK149">
        <v>0</v>
      </c>
      <c r="EL149">
        <v>0</v>
      </c>
      <c r="EM149">
        <v>0</v>
      </c>
      <c r="EN149">
        <v>0</v>
      </c>
      <c r="EO149">
        <v>0</v>
      </c>
      <c r="EP149">
        <v>0</v>
      </c>
      <c r="EQ149">
        <v>0</v>
      </c>
      <c r="ER149">
        <v>0</v>
      </c>
      <c r="ES149">
        <v>0</v>
      </c>
      <c r="ET149">
        <v>0</v>
      </c>
      <c r="EU149">
        <v>0</v>
      </c>
      <c r="EV149">
        <v>0</v>
      </c>
      <c r="EW149">
        <v>0</v>
      </c>
      <c r="EX149">
        <v>0</v>
      </c>
      <c r="EY149">
        <v>0</v>
      </c>
      <c r="EZ149">
        <v>0</v>
      </c>
      <c r="FA149">
        <v>0</v>
      </c>
      <c r="FB149">
        <v>0</v>
      </c>
      <c r="FC149">
        <v>0</v>
      </c>
      <c r="FD149">
        <v>0</v>
      </c>
      <c r="FE149">
        <v>0</v>
      </c>
      <c r="FF149">
        <v>0</v>
      </c>
      <c r="FG149">
        <v>0</v>
      </c>
      <c r="FH149">
        <v>0</v>
      </c>
      <c r="FI149">
        <v>0</v>
      </c>
      <c r="FJ149">
        <v>0</v>
      </c>
      <c r="FK149">
        <v>0</v>
      </c>
      <c r="FL149">
        <v>0</v>
      </c>
      <c r="FM149">
        <v>0</v>
      </c>
      <c r="FN149">
        <v>0</v>
      </c>
      <c r="FO149">
        <v>0</v>
      </c>
      <c r="FP149">
        <v>0</v>
      </c>
      <c r="FQ149">
        <v>0</v>
      </c>
      <c r="FR149">
        <v>0</v>
      </c>
      <c r="FS149">
        <v>0</v>
      </c>
      <c r="FT149">
        <v>0</v>
      </c>
      <c r="FU149">
        <v>0</v>
      </c>
      <c r="FV149">
        <v>0</v>
      </c>
      <c r="FW149">
        <v>0</v>
      </c>
      <c r="FX149">
        <v>0</v>
      </c>
      <c r="FY149">
        <v>0</v>
      </c>
      <c r="FZ149">
        <v>0</v>
      </c>
      <c r="GA149">
        <v>0</v>
      </c>
      <c r="GB149">
        <v>0</v>
      </c>
      <c r="GC149">
        <v>0</v>
      </c>
      <c r="GD149">
        <v>0</v>
      </c>
      <c r="GE149">
        <v>0</v>
      </c>
      <c r="GF149">
        <v>0</v>
      </c>
      <c r="GG149">
        <v>0</v>
      </c>
      <c r="GH149">
        <v>0</v>
      </c>
      <c r="GI149">
        <v>0</v>
      </c>
      <c r="GJ149">
        <v>0</v>
      </c>
      <c r="GK149">
        <v>0</v>
      </c>
      <c r="GL149">
        <v>0</v>
      </c>
      <c r="GM149">
        <v>0</v>
      </c>
      <c r="GN149">
        <v>0</v>
      </c>
      <c r="GO149">
        <v>0</v>
      </c>
      <c r="GP149">
        <v>0</v>
      </c>
      <c r="GQ149">
        <v>0</v>
      </c>
      <c r="GR149">
        <v>0</v>
      </c>
      <c r="GS149">
        <v>0</v>
      </c>
      <c r="GT149">
        <v>0</v>
      </c>
      <c r="GU149">
        <v>0</v>
      </c>
      <c r="GV149">
        <v>0</v>
      </c>
      <c r="GW149">
        <v>0</v>
      </c>
      <c r="GX149">
        <v>0</v>
      </c>
      <c r="GY149">
        <v>0</v>
      </c>
      <c r="GZ149">
        <v>0</v>
      </c>
      <c r="HA149">
        <v>0</v>
      </c>
      <c r="HB149">
        <v>0</v>
      </c>
      <c r="HC149">
        <v>0</v>
      </c>
      <c r="HD149">
        <v>0</v>
      </c>
      <c r="HE149">
        <v>0</v>
      </c>
      <c r="HF149">
        <v>0</v>
      </c>
      <c r="HG149">
        <v>0</v>
      </c>
      <c r="HH149">
        <v>0</v>
      </c>
      <c r="HI149">
        <v>0</v>
      </c>
      <c r="HJ149">
        <v>0</v>
      </c>
      <c r="HK149">
        <v>0</v>
      </c>
      <c r="HL149">
        <v>0</v>
      </c>
      <c r="HM149">
        <v>0</v>
      </c>
      <c r="HN149">
        <v>0</v>
      </c>
      <c r="HO149">
        <v>0</v>
      </c>
      <c r="HP149">
        <v>0</v>
      </c>
      <c r="HQ149">
        <v>0</v>
      </c>
      <c r="HR149">
        <v>0</v>
      </c>
      <c r="HS149">
        <v>0</v>
      </c>
      <c r="HT149">
        <v>0</v>
      </c>
      <c r="HU149">
        <v>0</v>
      </c>
      <c r="HV149">
        <v>0</v>
      </c>
      <c r="HW149">
        <v>0</v>
      </c>
      <c r="HX149">
        <v>0</v>
      </c>
      <c r="HY149">
        <v>0</v>
      </c>
      <c r="HZ149">
        <v>0</v>
      </c>
      <c r="IA149">
        <v>0</v>
      </c>
      <c r="IB149">
        <v>0</v>
      </c>
      <c r="IC149">
        <v>0</v>
      </c>
      <c r="ID149">
        <v>0</v>
      </c>
      <c r="IE149">
        <v>0</v>
      </c>
      <c r="IF149">
        <v>0</v>
      </c>
      <c r="IG149">
        <v>0</v>
      </c>
      <c r="IH149">
        <v>0</v>
      </c>
      <c r="II149">
        <v>0</v>
      </c>
      <c r="IJ149">
        <v>0</v>
      </c>
      <c r="IK149">
        <v>0</v>
      </c>
      <c r="IL149">
        <v>0</v>
      </c>
      <c r="IM149">
        <v>0</v>
      </c>
      <c r="IN149">
        <v>0</v>
      </c>
      <c r="IO149">
        <v>0</v>
      </c>
      <c r="IP149">
        <v>0</v>
      </c>
      <c r="IQ149">
        <v>0</v>
      </c>
      <c r="IR149">
        <v>0</v>
      </c>
      <c r="IS149">
        <v>0</v>
      </c>
      <c r="IT149">
        <v>0</v>
      </c>
      <c r="IU149">
        <v>0</v>
      </c>
      <c r="IV149">
        <v>0</v>
      </c>
      <c r="IW149">
        <v>0</v>
      </c>
      <c r="IX149">
        <v>0</v>
      </c>
      <c r="IY149">
        <v>0</v>
      </c>
      <c r="IZ149">
        <v>0</v>
      </c>
      <c r="JA149">
        <v>0</v>
      </c>
      <c r="JB149">
        <v>0</v>
      </c>
      <c r="JC149">
        <v>0</v>
      </c>
      <c r="JD149">
        <v>0</v>
      </c>
      <c r="JE149">
        <v>0</v>
      </c>
      <c r="JF149">
        <v>0</v>
      </c>
      <c r="JG149">
        <v>0</v>
      </c>
      <c r="JH149">
        <v>0</v>
      </c>
      <c r="JI149">
        <v>0</v>
      </c>
      <c r="JJ149">
        <v>0</v>
      </c>
      <c r="JK149">
        <v>0</v>
      </c>
      <c r="JL149">
        <v>0</v>
      </c>
      <c r="JM149">
        <v>0</v>
      </c>
      <c r="JN149">
        <v>0</v>
      </c>
      <c r="JO149">
        <v>0</v>
      </c>
      <c r="JP149">
        <v>0</v>
      </c>
      <c r="JQ149">
        <v>0</v>
      </c>
      <c r="JR149">
        <v>0</v>
      </c>
      <c r="JS149">
        <v>0</v>
      </c>
      <c r="JT149">
        <v>0</v>
      </c>
      <c r="JU149">
        <v>0</v>
      </c>
      <c r="JV149">
        <v>0</v>
      </c>
      <c r="JW149">
        <v>0</v>
      </c>
      <c r="JX149">
        <v>0</v>
      </c>
      <c r="JY149">
        <v>0</v>
      </c>
      <c r="JZ149">
        <v>0</v>
      </c>
      <c r="KA149">
        <v>0</v>
      </c>
      <c r="KB149">
        <v>0</v>
      </c>
      <c r="KC149">
        <v>0</v>
      </c>
      <c r="KD149">
        <v>0</v>
      </c>
      <c r="KE149">
        <v>0</v>
      </c>
      <c r="KF149">
        <v>0</v>
      </c>
      <c r="KG149">
        <v>0</v>
      </c>
      <c r="KH149">
        <v>0</v>
      </c>
      <c r="KI149">
        <v>0</v>
      </c>
      <c r="KJ149">
        <v>0</v>
      </c>
      <c r="KK149">
        <v>0</v>
      </c>
      <c r="KL149">
        <v>0</v>
      </c>
      <c r="KM149">
        <v>0</v>
      </c>
      <c r="KN149">
        <v>0</v>
      </c>
      <c r="KO149">
        <v>0</v>
      </c>
      <c r="KP149">
        <v>0</v>
      </c>
      <c r="KQ149">
        <v>0</v>
      </c>
      <c r="KR149">
        <v>0</v>
      </c>
      <c r="KS149">
        <v>0</v>
      </c>
      <c r="KT149">
        <v>0</v>
      </c>
      <c r="KU149">
        <v>0</v>
      </c>
      <c r="KV149">
        <v>0</v>
      </c>
      <c r="KW149">
        <v>0</v>
      </c>
      <c r="KX149">
        <v>0</v>
      </c>
      <c r="KY149">
        <v>0</v>
      </c>
      <c r="KZ149">
        <v>0</v>
      </c>
      <c r="LA149">
        <v>0</v>
      </c>
      <c r="LB149">
        <v>0</v>
      </c>
      <c r="LC149">
        <v>0</v>
      </c>
      <c r="LD149">
        <v>0</v>
      </c>
      <c r="LE149">
        <v>0</v>
      </c>
      <c r="LF149">
        <v>0</v>
      </c>
      <c r="LG149">
        <v>0</v>
      </c>
      <c r="LH149">
        <v>0</v>
      </c>
      <c r="LI149">
        <v>0</v>
      </c>
      <c r="LJ149">
        <v>0</v>
      </c>
      <c r="LK149">
        <v>0</v>
      </c>
      <c r="LL149">
        <v>0</v>
      </c>
      <c r="LM149">
        <v>0</v>
      </c>
      <c r="LN149">
        <v>0</v>
      </c>
      <c r="LO149">
        <v>0</v>
      </c>
      <c r="LP149">
        <v>0</v>
      </c>
      <c r="LQ149">
        <v>0</v>
      </c>
      <c r="LR149">
        <v>0</v>
      </c>
      <c r="LS149">
        <v>0</v>
      </c>
      <c r="LT149">
        <v>0</v>
      </c>
      <c r="LU149">
        <v>0</v>
      </c>
      <c r="LV149">
        <v>0</v>
      </c>
      <c r="LW149">
        <v>0</v>
      </c>
      <c r="LX149">
        <v>0</v>
      </c>
      <c r="LY149">
        <v>0</v>
      </c>
      <c r="LZ149">
        <v>0</v>
      </c>
      <c r="MA149">
        <v>0</v>
      </c>
      <c r="MB149">
        <v>0</v>
      </c>
      <c r="MC149">
        <v>0</v>
      </c>
      <c r="MD149">
        <v>0</v>
      </c>
      <c r="ME149">
        <v>0</v>
      </c>
      <c r="MF149">
        <v>0</v>
      </c>
      <c r="MG149">
        <v>0</v>
      </c>
      <c r="MH149">
        <v>0</v>
      </c>
      <c r="MI149">
        <v>0</v>
      </c>
      <c r="MJ149">
        <v>0</v>
      </c>
      <c r="MK149">
        <v>0</v>
      </c>
      <c r="ML149">
        <v>0</v>
      </c>
      <c r="MM149">
        <v>0</v>
      </c>
      <c r="MN149">
        <v>0</v>
      </c>
      <c r="MO149">
        <v>0</v>
      </c>
      <c r="MP149">
        <v>0</v>
      </c>
      <c r="MQ149">
        <v>0</v>
      </c>
      <c r="MR149">
        <v>0</v>
      </c>
      <c r="MS149">
        <v>0</v>
      </c>
      <c r="MT149">
        <v>0</v>
      </c>
      <c r="MU149">
        <v>0</v>
      </c>
      <c r="MV149">
        <v>0</v>
      </c>
      <c r="MW149">
        <v>0</v>
      </c>
      <c r="MX149">
        <v>0</v>
      </c>
      <c r="MY149">
        <v>0</v>
      </c>
      <c r="MZ149">
        <v>0</v>
      </c>
      <c r="NA149">
        <v>0</v>
      </c>
      <c r="NB149">
        <v>0</v>
      </c>
      <c r="NC149">
        <v>0</v>
      </c>
      <c r="ND149">
        <v>0</v>
      </c>
      <c r="NE149">
        <v>0</v>
      </c>
    </row>
    <row r="150" spans="41:369" x14ac:dyDescent="0.45">
      <c r="AO150" t="str">
        <v>C106</v>
      </c>
      <c r="AP150" t="str">
        <v>ABDUL RAHMAN ANFHAL M I</v>
      </c>
      <c r="AQ150" t="str">
        <v>BADF</v>
      </c>
      <c r="AR150" t="str">
        <v>SENIOR</v>
      </c>
      <c r="AS150">
        <v>5</v>
      </c>
      <c r="AT150">
        <v>5</v>
      </c>
      <c r="AU150">
        <v>0</v>
      </c>
      <c r="AV150">
        <v>5</v>
      </c>
      <c r="AW150">
        <v>5</v>
      </c>
      <c r="AX150">
        <v>190</v>
      </c>
      <c r="AY150" s="5">
        <v>190</v>
      </c>
      <c r="AZ150" t="str">
        <v>SS06</v>
      </c>
      <c r="BA150" t="str">
        <v>ESSAY MLM</v>
      </c>
      <c r="BB150" t="str">
        <v>SUPER SENIOR</v>
      </c>
      <c r="BC150" t="str">
        <v>Single</v>
      </c>
      <c r="BD150" t="str">
        <v>Non-Stg</v>
      </c>
      <c r="BE150">
        <v>3</v>
      </c>
      <c r="BF150" t="str">
        <v>Individual</v>
      </c>
      <c r="BG150" t="str">
        <v>Individual</v>
      </c>
      <c r="BH150" t="str">
        <v>P</v>
      </c>
      <c r="BI150" t="str">
        <v>PUBLISHED</v>
      </c>
      <c r="BK150">
        <v>144</v>
      </c>
      <c r="BL150" t="str">
        <v>SS02</v>
      </c>
      <c r="BM150" t="str">
        <v>ACADEMIC ESSAY ENG</v>
      </c>
      <c r="BN150">
        <v>3</v>
      </c>
      <c r="BO150" t="str">
        <v>Single</v>
      </c>
      <c r="BP150" t="str">
        <v>Non-Stg</v>
      </c>
      <c r="BQ150" t="str">
        <v>SUPER SENIOR</v>
      </c>
      <c r="BR150" t="str">
        <v>D132</v>
      </c>
      <c r="BS150" t="str">
        <v>D133</v>
      </c>
      <c r="BT150" t="str">
        <v>D165</v>
      </c>
      <c r="BU150">
        <v>0</v>
      </c>
      <c r="BV150">
        <v>0</v>
      </c>
      <c r="BW150">
        <v>0</v>
      </c>
      <c r="BX150">
        <v>0</v>
      </c>
      <c r="BY150" t="str">
        <v>D196</v>
      </c>
      <c r="BZ150" t="str">
        <v>D150</v>
      </c>
      <c r="CA150" t="str">
        <v>D108</v>
      </c>
      <c r="CB150">
        <v>0</v>
      </c>
      <c r="CC150">
        <v>0</v>
      </c>
      <c r="CD150">
        <v>0</v>
      </c>
      <c r="CE150">
        <v>0</v>
      </c>
      <c r="CF150" t="str">
        <v>D118</v>
      </c>
      <c r="CG150" t="str">
        <v>D141</v>
      </c>
      <c r="CH150" t="str">
        <v>D195</v>
      </c>
      <c r="CI150">
        <v>0</v>
      </c>
      <c r="CJ150">
        <v>0</v>
      </c>
      <c r="CK150">
        <v>0</v>
      </c>
      <c r="CL150">
        <v>0</v>
      </c>
      <c r="CM150" t="str">
        <v>D111</v>
      </c>
      <c r="CN150" t="str">
        <v>D116</v>
      </c>
      <c r="CO150" t="str">
        <v>D164</v>
      </c>
      <c r="CP150">
        <v>0</v>
      </c>
      <c r="CQ150">
        <v>0</v>
      </c>
      <c r="CR150">
        <v>0</v>
      </c>
      <c r="CS150">
        <v>0</v>
      </c>
      <c r="CT150">
        <v>0</v>
      </c>
      <c r="CU150">
        <v>0</v>
      </c>
      <c r="CV150">
        <v>0</v>
      </c>
      <c r="CW150">
        <v>0</v>
      </c>
      <c r="CX150">
        <v>0</v>
      </c>
      <c r="CY150">
        <v>0</v>
      </c>
      <c r="CZ150">
        <v>0</v>
      </c>
      <c r="DA150">
        <v>0</v>
      </c>
      <c r="DB150">
        <v>0</v>
      </c>
      <c r="DC150">
        <v>0</v>
      </c>
      <c r="DD150">
        <v>0</v>
      </c>
      <c r="DE150">
        <v>0</v>
      </c>
      <c r="DF150">
        <v>0</v>
      </c>
      <c r="DG150">
        <v>0</v>
      </c>
      <c r="DH150">
        <v>0</v>
      </c>
      <c r="DI150">
        <v>0</v>
      </c>
      <c r="DJ150">
        <v>0</v>
      </c>
      <c r="DK150">
        <v>0</v>
      </c>
      <c r="DL150">
        <v>0</v>
      </c>
      <c r="DM150">
        <v>0</v>
      </c>
      <c r="DN150">
        <v>0</v>
      </c>
      <c r="DO150">
        <v>0</v>
      </c>
      <c r="DP150">
        <v>0</v>
      </c>
      <c r="DQ150">
        <v>0</v>
      </c>
      <c r="DR150">
        <v>0</v>
      </c>
      <c r="DS150">
        <v>0</v>
      </c>
      <c r="DT150">
        <v>0</v>
      </c>
      <c r="DU150">
        <v>0</v>
      </c>
      <c r="DV150">
        <v>0</v>
      </c>
      <c r="DW150">
        <v>0</v>
      </c>
      <c r="DX150">
        <v>0</v>
      </c>
      <c r="DY150">
        <v>0</v>
      </c>
      <c r="DZ150">
        <v>0</v>
      </c>
      <c r="EA150">
        <v>0</v>
      </c>
      <c r="EB150">
        <v>0</v>
      </c>
      <c r="EC150">
        <v>0</v>
      </c>
      <c r="ED150">
        <v>0</v>
      </c>
      <c r="EE150">
        <v>0</v>
      </c>
      <c r="EF150">
        <v>0</v>
      </c>
      <c r="EG150">
        <v>0</v>
      </c>
      <c r="EH150">
        <v>0</v>
      </c>
      <c r="EI150">
        <v>0</v>
      </c>
      <c r="EJ150">
        <v>0</v>
      </c>
      <c r="EK150">
        <v>0</v>
      </c>
      <c r="EL150">
        <v>0</v>
      </c>
      <c r="EM150">
        <v>0</v>
      </c>
      <c r="EN150">
        <v>0</v>
      </c>
      <c r="EO150">
        <v>0</v>
      </c>
      <c r="EP150">
        <v>0</v>
      </c>
      <c r="EQ150">
        <v>0</v>
      </c>
      <c r="ER150">
        <v>0</v>
      </c>
      <c r="ES150">
        <v>0</v>
      </c>
      <c r="ET150">
        <v>0</v>
      </c>
      <c r="EU150">
        <v>0</v>
      </c>
      <c r="EV150">
        <v>0</v>
      </c>
      <c r="EW150">
        <v>0</v>
      </c>
      <c r="EX150">
        <v>0</v>
      </c>
      <c r="EY150">
        <v>0</v>
      </c>
      <c r="EZ150">
        <v>0</v>
      </c>
      <c r="FA150">
        <v>0</v>
      </c>
      <c r="FB150">
        <v>0</v>
      </c>
      <c r="FC150">
        <v>0</v>
      </c>
      <c r="FD150">
        <v>0</v>
      </c>
      <c r="FE150">
        <v>0</v>
      </c>
      <c r="FF150">
        <v>0</v>
      </c>
      <c r="FG150">
        <v>0</v>
      </c>
      <c r="FH150">
        <v>0</v>
      </c>
      <c r="FI150">
        <v>0</v>
      </c>
      <c r="FJ150">
        <v>0</v>
      </c>
      <c r="FK150">
        <v>0</v>
      </c>
      <c r="FL150">
        <v>0</v>
      </c>
      <c r="FM150">
        <v>0</v>
      </c>
      <c r="FN150">
        <v>0</v>
      </c>
      <c r="FO150">
        <v>0</v>
      </c>
      <c r="FP150">
        <v>0</v>
      </c>
      <c r="FQ150">
        <v>0</v>
      </c>
      <c r="FR150">
        <v>0</v>
      </c>
      <c r="FS150">
        <v>0</v>
      </c>
      <c r="FT150">
        <v>0</v>
      </c>
      <c r="FU150">
        <v>0</v>
      </c>
      <c r="FV150">
        <v>0</v>
      </c>
      <c r="FW150">
        <v>0</v>
      </c>
      <c r="FX150">
        <v>0</v>
      </c>
      <c r="FY150">
        <v>0</v>
      </c>
      <c r="FZ150">
        <v>0</v>
      </c>
      <c r="GA150">
        <v>0</v>
      </c>
      <c r="GB150">
        <v>0</v>
      </c>
      <c r="GC150">
        <v>0</v>
      </c>
      <c r="GD150">
        <v>0</v>
      </c>
      <c r="GE150">
        <v>0</v>
      </c>
      <c r="GF150">
        <v>0</v>
      </c>
      <c r="GG150">
        <v>0</v>
      </c>
      <c r="GH150">
        <v>0</v>
      </c>
      <c r="GI150">
        <v>0</v>
      </c>
      <c r="GJ150">
        <v>0</v>
      </c>
      <c r="GK150">
        <v>0</v>
      </c>
      <c r="GL150">
        <v>0</v>
      </c>
      <c r="GM150">
        <v>0</v>
      </c>
      <c r="GN150">
        <v>0</v>
      </c>
      <c r="GO150">
        <v>0</v>
      </c>
      <c r="GP150">
        <v>0</v>
      </c>
      <c r="GQ150">
        <v>0</v>
      </c>
      <c r="GR150">
        <v>0</v>
      </c>
      <c r="GS150">
        <v>0</v>
      </c>
      <c r="GT150">
        <v>0</v>
      </c>
      <c r="GU150">
        <v>0</v>
      </c>
      <c r="GV150">
        <v>0</v>
      </c>
      <c r="GW150">
        <v>0</v>
      </c>
      <c r="GX150">
        <v>0</v>
      </c>
      <c r="GY150">
        <v>0</v>
      </c>
      <c r="GZ150">
        <v>0</v>
      </c>
      <c r="HA150">
        <v>0</v>
      </c>
      <c r="HB150">
        <v>0</v>
      </c>
      <c r="HC150">
        <v>0</v>
      </c>
      <c r="HD150">
        <v>0</v>
      </c>
      <c r="HE150">
        <v>0</v>
      </c>
      <c r="HF150">
        <v>0</v>
      </c>
      <c r="HG150">
        <v>0</v>
      </c>
      <c r="HH150">
        <v>0</v>
      </c>
      <c r="HI150">
        <v>0</v>
      </c>
      <c r="HJ150">
        <v>0</v>
      </c>
      <c r="HK150">
        <v>0</v>
      </c>
      <c r="HL150">
        <v>0</v>
      </c>
      <c r="HM150">
        <v>0</v>
      </c>
      <c r="HN150">
        <v>0</v>
      </c>
      <c r="HO150">
        <v>0</v>
      </c>
      <c r="HP150">
        <v>0</v>
      </c>
      <c r="HQ150">
        <v>0</v>
      </c>
      <c r="HR150">
        <v>0</v>
      </c>
      <c r="HS150">
        <v>0</v>
      </c>
      <c r="HT150">
        <v>0</v>
      </c>
      <c r="HU150">
        <v>0</v>
      </c>
      <c r="HV150">
        <v>0</v>
      </c>
      <c r="HW150">
        <v>0</v>
      </c>
      <c r="HX150">
        <v>0</v>
      </c>
      <c r="HY150">
        <v>0</v>
      </c>
      <c r="HZ150">
        <v>0</v>
      </c>
      <c r="IA150">
        <v>0</v>
      </c>
      <c r="IB150">
        <v>0</v>
      </c>
      <c r="IC150">
        <v>0</v>
      </c>
      <c r="ID150">
        <v>0</v>
      </c>
      <c r="IE150">
        <v>0</v>
      </c>
      <c r="IF150">
        <v>0</v>
      </c>
      <c r="IG150">
        <v>0</v>
      </c>
      <c r="IH150">
        <v>0</v>
      </c>
      <c r="II150">
        <v>0</v>
      </c>
      <c r="IJ150">
        <v>0</v>
      </c>
      <c r="IK150">
        <v>0</v>
      </c>
      <c r="IL150">
        <v>0</v>
      </c>
      <c r="IM150">
        <v>0</v>
      </c>
      <c r="IN150">
        <v>0</v>
      </c>
      <c r="IO150">
        <v>0</v>
      </c>
      <c r="IP150">
        <v>0</v>
      </c>
      <c r="IQ150">
        <v>0</v>
      </c>
      <c r="IR150">
        <v>0</v>
      </c>
      <c r="IS150">
        <v>0</v>
      </c>
      <c r="IT150">
        <v>0</v>
      </c>
      <c r="IU150">
        <v>0</v>
      </c>
      <c r="IV150">
        <v>0</v>
      </c>
      <c r="IW150">
        <v>0</v>
      </c>
      <c r="IX150">
        <v>0</v>
      </c>
      <c r="IY150">
        <v>0</v>
      </c>
      <c r="IZ150">
        <v>0</v>
      </c>
      <c r="JA150">
        <v>0</v>
      </c>
      <c r="JB150">
        <v>0</v>
      </c>
      <c r="JC150">
        <v>0</v>
      </c>
      <c r="JD150">
        <v>0</v>
      </c>
      <c r="JE150">
        <v>0</v>
      </c>
      <c r="JF150">
        <v>0</v>
      </c>
      <c r="JG150">
        <v>0</v>
      </c>
      <c r="JH150">
        <v>0</v>
      </c>
      <c r="JI150">
        <v>0</v>
      </c>
      <c r="JJ150">
        <v>0</v>
      </c>
      <c r="JK150">
        <v>0</v>
      </c>
      <c r="JL150">
        <v>0</v>
      </c>
      <c r="JM150">
        <v>0</v>
      </c>
      <c r="JN150">
        <v>0</v>
      </c>
      <c r="JO150">
        <v>0</v>
      </c>
      <c r="JP150">
        <v>0</v>
      </c>
      <c r="JQ150">
        <v>0</v>
      </c>
      <c r="JR150">
        <v>0</v>
      </c>
      <c r="JS150">
        <v>0</v>
      </c>
      <c r="JT150">
        <v>0</v>
      </c>
      <c r="JU150">
        <v>0</v>
      </c>
      <c r="JV150">
        <v>0</v>
      </c>
      <c r="JW150">
        <v>0</v>
      </c>
      <c r="JX150">
        <v>0</v>
      </c>
      <c r="JY150">
        <v>0</v>
      </c>
      <c r="JZ150">
        <v>0</v>
      </c>
      <c r="KA150">
        <v>0</v>
      </c>
      <c r="KB150">
        <v>0</v>
      </c>
      <c r="KC150">
        <v>0</v>
      </c>
      <c r="KD150">
        <v>0</v>
      </c>
      <c r="KE150">
        <v>0</v>
      </c>
      <c r="KF150">
        <v>0</v>
      </c>
      <c r="KG150">
        <v>0</v>
      </c>
      <c r="KH150">
        <v>0</v>
      </c>
      <c r="KI150">
        <v>0</v>
      </c>
      <c r="KJ150">
        <v>0</v>
      </c>
      <c r="KK150">
        <v>0</v>
      </c>
      <c r="KL150">
        <v>0</v>
      </c>
      <c r="KM150">
        <v>0</v>
      </c>
      <c r="KN150">
        <v>0</v>
      </c>
      <c r="KO150">
        <v>0</v>
      </c>
      <c r="KP150">
        <v>0</v>
      </c>
      <c r="KQ150">
        <v>0</v>
      </c>
      <c r="KR150">
        <v>0</v>
      </c>
      <c r="KS150">
        <v>0</v>
      </c>
      <c r="KT150">
        <v>0</v>
      </c>
      <c r="KU150">
        <v>0</v>
      </c>
      <c r="KV150">
        <v>0</v>
      </c>
      <c r="KW150">
        <v>0</v>
      </c>
      <c r="KX150">
        <v>0</v>
      </c>
      <c r="KY150">
        <v>0</v>
      </c>
      <c r="KZ150">
        <v>0</v>
      </c>
      <c r="LA150">
        <v>0</v>
      </c>
      <c r="LB150">
        <v>0</v>
      </c>
      <c r="LC150">
        <v>0</v>
      </c>
      <c r="LD150">
        <v>0</v>
      </c>
      <c r="LE150">
        <v>0</v>
      </c>
      <c r="LF150">
        <v>0</v>
      </c>
      <c r="LG150">
        <v>0</v>
      </c>
      <c r="LH150">
        <v>0</v>
      </c>
      <c r="LI150">
        <v>0</v>
      </c>
      <c r="LJ150">
        <v>0</v>
      </c>
      <c r="LK150">
        <v>0</v>
      </c>
      <c r="LL150">
        <v>0</v>
      </c>
      <c r="LM150">
        <v>0</v>
      </c>
      <c r="LN150">
        <v>0</v>
      </c>
      <c r="LO150">
        <v>0</v>
      </c>
      <c r="LP150">
        <v>0</v>
      </c>
      <c r="LQ150">
        <v>0</v>
      </c>
      <c r="LR150">
        <v>0</v>
      </c>
      <c r="LS150">
        <v>0</v>
      </c>
      <c r="LT150">
        <v>0</v>
      </c>
      <c r="LU150">
        <v>0</v>
      </c>
      <c r="LV150">
        <v>0</v>
      </c>
      <c r="LW150">
        <v>0</v>
      </c>
      <c r="LX150">
        <v>0</v>
      </c>
      <c r="LY150">
        <v>0</v>
      </c>
      <c r="LZ150">
        <v>0</v>
      </c>
      <c r="MA150">
        <v>0</v>
      </c>
      <c r="MB150">
        <v>0</v>
      </c>
      <c r="MC150">
        <v>0</v>
      </c>
      <c r="MD150">
        <v>0</v>
      </c>
      <c r="ME150">
        <v>0</v>
      </c>
      <c r="MF150">
        <v>0</v>
      </c>
      <c r="MG150">
        <v>0</v>
      </c>
      <c r="MH150">
        <v>0</v>
      </c>
      <c r="MI150">
        <v>0</v>
      </c>
      <c r="MJ150">
        <v>0</v>
      </c>
      <c r="MK150">
        <v>0</v>
      </c>
      <c r="ML150">
        <v>0</v>
      </c>
      <c r="MM150">
        <v>0</v>
      </c>
      <c r="MN150">
        <v>0</v>
      </c>
      <c r="MO150">
        <v>0</v>
      </c>
      <c r="MP150">
        <v>0</v>
      </c>
      <c r="MQ150">
        <v>0</v>
      </c>
      <c r="MR150">
        <v>0</v>
      </c>
      <c r="MS150">
        <v>0</v>
      </c>
      <c r="MT150">
        <v>0</v>
      </c>
      <c r="MU150">
        <v>0</v>
      </c>
      <c r="MV150">
        <v>0</v>
      </c>
      <c r="MW150">
        <v>0</v>
      </c>
      <c r="MX150">
        <v>0</v>
      </c>
      <c r="MY150">
        <v>0</v>
      </c>
      <c r="MZ150">
        <v>0</v>
      </c>
      <c r="NA150">
        <v>0</v>
      </c>
      <c r="NB150">
        <v>0</v>
      </c>
      <c r="NC150">
        <v>0</v>
      </c>
      <c r="ND150">
        <v>0</v>
      </c>
      <c r="NE150">
        <v>0</v>
      </c>
    </row>
    <row r="151" spans="41:369" x14ac:dyDescent="0.45">
      <c r="AO151" t="str">
        <v>C107</v>
      </c>
      <c r="AP151" t="str">
        <v>ADIL ABDULLA A</v>
      </c>
      <c r="AQ151" t="str">
        <v>DAHF</v>
      </c>
      <c r="AR151" t="str">
        <v>SENIOR</v>
      </c>
      <c r="AS151">
        <v>5</v>
      </c>
      <c r="AT151">
        <v>31</v>
      </c>
      <c r="AU151">
        <v>0</v>
      </c>
      <c r="AV151">
        <v>31</v>
      </c>
      <c r="AW151">
        <v>31</v>
      </c>
      <c r="AX151">
        <v>42</v>
      </c>
      <c r="AY151" s="5">
        <v>42</v>
      </c>
      <c r="AZ151" t="str">
        <v>SS07</v>
      </c>
      <c r="BA151" t="str">
        <v>ESSAY URD</v>
      </c>
      <c r="BB151" t="str">
        <v>SUPER SENIOR</v>
      </c>
      <c r="BC151" t="str">
        <v>Single</v>
      </c>
      <c r="BD151" t="str">
        <v>Non-Stg</v>
      </c>
      <c r="BE151">
        <v>3</v>
      </c>
      <c r="BF151" t="str">
        <v>Individual</v>
      </c>
      <c r="BG151" t="str">
        <v>Individual</v>
      </c>
      <c r="BH151" t="str">
        <v>P</v>
      </c>
      <c r="BI151" t="str">
        <v>PUBLISHED</v>
      </c>
      <c r="BK151">
        <v>145</v>
      </c>
      <c r="BL151" t="str">
        <v>SS03</v>
      </c>
      <c r="BM151" t="str">
        <v>ARTICLE SUBMISSION</v>
      </c>
      <c r="BN151">
        <v>1</v>
      </c>
      <c r="BO151" t="str">
        <v>Single</v>
      </c>
      <c r="BP151" t="str">
        <v>Non-Stg</v>
      </c>
      <c r="BQ151" t="str">
        <v>SUPER SENIOR</v>
      </c>
      <c r="BR151" t="str">
        <v>D128</v>
      </c>
      <c r="BS151">
        <v>0</v>
      </c>
      <c r="BT151">
        <v>0</v>
      </c>
      <c r="BU151">
        <v>0</v>
      </c>
      <c r="BV151">
        <v>0</v>
      </c>
      <c r="BW151">
        <v>0</v>
      </c>
      <c r="BX151">
        <v>0</v>
      </c>
      <c r="BY151" t="str">
        <v>D108</v>
      </c>
      <c r="BZ151">
        <v>0</v>
      </c>
      <c r="CA151">
        <v>0</v>
      </c>
      <c r="CB151">
        <v>0</v>
      </c>
      <c r="CC151">
        <v>0</v>
      </c>
      <c r="CD151">
        <v>0</v>
      </c>
      <c r="CE151">
        <v>0</v>
      </c>
      <c r="CF151" t="str">
        <v>D141</v>
      </c>
      <c r="CG151">
        <v>0</v>
      </c>
      <c r="CH151">
        <v>0</v>
      </c>
      <c r="CI151">
        <v>0</v>
      </c>
      <c r="CJ151">
        <v>0</v>
      </c>
      <c r="CK151">
        <v>0</v>
      </c>
      <c r="CL151">
        <v>0</v>
      </c>
      <c r="CM151" t="str">
        <v>D111</v>
      </c>
      <c r="CN151">
        <v>0</v>
      </c>
      <c r="CO151">
        <v>0</v>
      </c>
      <c r="CP151">
        <v>0</v>
      </c>
      <c r="CQ151">
        <v>0</v>
      </c>
      <c r="CR151">
        <v>0</v>
      </c>
      <c r="CS151">
        <v>0</v>
      </c>
      <c r="CT151">
        <v>0</v>
      </c>
      <c r="CU151">
        <v>0</v>
      </c>
      <c r="CV151">
        <v>0</v>
      </c>
      <c r="CW151">
        <v>0</v>
      </c>
      <c r="CX151">
        <v>0</v>
      </c>
      <c r="CY151">
        <v>0</v>
      </c>
      <c r="CZ151">
        <v>0</v>
      </c>
      <c r="DA151">
        <v>0</v>
      </c>
      <c r="DB151">
        <v>0</v>
      </c>
      <c r="DC151">
        <v>0</v>
      </c>
      <c r="DD151">
        <v>0</v>
      </c>
      <c r="DE151">
        <v>0</v>
      </c>
      <c r="DF151">
        <v>0</v>
      </c>
      <c r="DG151">
        <v>0</v>
      </c>
      <c r="DH151">
        <v>0</v>
      </c>
      <c r="DI151">
        <v>0</v>
      </c>
      <c r="DJ151">
        <v>0</v>
      </c>
      <c r="DK151">
        <v>0</v>
      </c>
      <c r="DL151">
        <v>0</v>
      </c>
      <c r="DM151">
        <v>0</v>
      </c>
      <c r="DN151">
        <v>0</v>
      </c>
      <c r="DO151">
        <v>0</v>
      </c>
      <c r="DP151">
        <v>0</v>
      </c>
      <c r="DQ151">
        <v>0</v>
      </c>
      <c r="DR151">
        <v>0</v>
      </c>
      <c r="DS151">
        <v>0</v>
      </c>
      <c r="DT151">
        <v>0</v>
      </c>
      <c r="DU151">
        <v>0</v>
      </c>
      <c r="DV151">
        <v>0</v>
      </c>
      <c r="DW151">
        <v>0</v>
      </c>
      <c r="DX151">
        <v>0</v>
      </c>
      <c r="DY151">
        <v>0</v>
      </c>
      <c r="DZ151">
        <v>0</v>
      </c>
      <c r="EA151">
        <v>0</v>
      </c>
      <c r="EB151">
        <v>0</v>
      </c>
      <c r="EC151">
        <v>0</v>
      </c>
      <c r="ED151">
        <v>0</v>
      </c>
      <c r="EE151">
        <v>0</v>
      </c>
      <c r="EF151">
        <v>0</v>
      </c>
      <c r="EG151">
        <v>0</v>
      </c>
      <c r="EH151">
        <v>0</v>
      </c>
      <c r="EI151">
        <v>0</v>
      </c>
      <c r="EJ151">
        <v>0</v>
      </c>
      <c r="EK151">
        <v>0</v>
      </c>
      <c r="EL151">
        <v>0</v>
      </c>
      <c r="EM151">
        <v>0</v>
      </c>
      <c r="EN151">
        <v>0</v>
      </c>
      <c r="EO151">
        <v>0</v>
      </c>
      <c r="EP151">
        <v>0</v>
      </c>
      <c r="EQ151">
        <v>0</v>
      </c>
      <c r="ER151">
        <v>0</v>
      </c>
      <c r="ES151">
        <v>0</v>
      </c>
      <c r="ET151">
        <v>0</v>
      </c>
      <c r="EU151">
        <v>0</v>
      </c>
      <c r="EV151">
        <v>0</v>
      </c>
      <c r="EW151">
        <v>0</v>
      </c>
      <c r="EX151">
        <v>0</v>
      </c>
      <c r="EY151">
        <v>0</v>
      </c>
      <c r="EZ151">
        <v>0</v>
      </c>
      <c r="FA151">
        <v>0</v>
      </c>
      <c r="FB151">
        <v>0</v>
      </c>
      <c r="FC151">
        <v>0</v>
      </c>
      <c r="FD151">
        <v>0</v>
      </c>
      <c r="FE151">
        <v>0</v>
      </c>
      <c r="FF151">
        <v>0</v>
      </c>
      <c r="FG151">
        <v>0</v>
      </c>
      <c r="FH151">
        <v>0</v>
      </c>
      <c r="FI151">
        <v>0</v>
      </c>
      <c r="FJ151">
        <v>0</v>
      </c>
      <c r="FK151">
        <v>0</v>
      </c>
      <c r="FL151">
        <v>0</v>
      </c>
      <c r="FM151">
        <v>0</v>
      </c>
      <c r="FN151">
        <v>0</v>
      </c>
      <c r="FO151">
        <v>0</v>
      </c>
      <c r="FP151">
        <v>0</v>
      </c>
      <c r="FQ151">
        <v>0</v>
      </c>
      <c r="FR151">
        <v>0</v>
      </c>
      <c r="FS151">
        <v>0</v>
      </c>
      <c r="FT151">
        <v>0</v>
      </c>
      <c r="FU151">
        <v>0</v>
      </c>
      <c r="FV151">
        <v>0</v>
      </c>
      <c r="FW151">
        <v>0</v>
      </c>
      <c r="FX151">
        <v>0</v>
      </c>
      <c r="FY151">
        <v>0</v>
      </c>
      <c r="FZ151">
        <v>0</v>
      </c>
      <c r="GA151">
        <v>0</v>
      </c>
      <c r="GB151">
        <v>0</v>
      </c>
      <c r="GC151">
        <v>0</v>
      </c>
      <c r="GD151">
        <v>0</v>
      </c>
      <c r="GE151">
        <v>0</v>
      </c>
      <c r="GF151">
        <v>0</v>
      </c>
      <c r="GG151">
        <v>0</v>
      </c>
      <c r="GH151">
        <v>0</v>
      </c>
      <c r="GI151">
        <v>0</v>
      </c>
      <c r="GJ151">
        <v>0</v>
      </c>
      <c r="GK151">
        <v>0</v>
      </c>
      <c r="GL151">
        <v>0</v>
      </c>
      <c r="GM151">
        <v>0</v>
      </c>
      <c r="GN151">
        <v>0</v>
      </c>
      <c r="GO151">
        <v>0</v>
      </c>
      <c r="GP151">
        <v>0</v>
      </c>
      <c r="GQ151">
        <v>0</v>
      </c>
      <c r="GR151">
        <v>0</v>
      </c>
      <c r="GS151">
        <v>0</v>
      </c>
      <c r="GT151">
        <v>0</v>
      </c>
      <c r="GU151">
        <v>0</v>
      </c>
      <c r="GV151">
        <v>0</v>
      </c>
      <c r="GW151">
        <v>0</v>
      </c>
      <c r="GX151">
        <v>0</v>
      </c>
      <c r="GY151">
        <v>0</v>
      </c>
      <c r="GZ151">
        <v>0</v>
      </c>
      <c r="HA151">
        <v>0</v>
      </c>
      <c r="HB151">
        <v>0</v>
      </c>
      <c r="HC151">
        <v>0</v>
      </c>
      <c r="HD151">
        <v>0</v>
      </c>
      <c r="HE151">
        <v>0</v>
      </c>
      <c r="HF151">
        <v>0</v>
      </c>
      <c r="HG151">
        <v>0</v>
      </c>
      <c r="HH151">
        <v>0</v>
      </c>
      <c r="HI151">
        <v>0</v>
      </c>
      <c r="HJ151">
        <v>0</v>
      </c>
      <c r="HK151">
        <v>0</v>
      </c>
      <c r="HL151">
        <v>0</v>
      </c>
      <c r="HM151">
        <v>0</v>
      </c>
      <c r="HN151">
        <v>0</v>
      </c>
      <c r="HO151">
        <v>0</v>
      </c>
      <c r="HP151">
        <v>0</v>
      </c>
      <c r="HQ151">
        <v>0</v>
      </c>
      <c r="HR151">
        <v>0</v>
      </c>
      <c r="HS151">
        <v>0</v>
      </c>
      <c r="HT151">
        <v>0</v>
      </c>
      <c r="HU151">
        <v>0</v>
      </c>
      <c r="HV151">
        <v>0</v>
      </c>
      <c r="HW151">
        <v>0</v>
      </c>
      <c r="HX151">
        <v>0</v>
      </c>
      <c r="HY151">
        <v>0</v>
      </c>
      <c r="HZ151">
        <v>0</v>
      </c>
      <c r="IA151">
        <v>0</v>
      </c>
      <c r="IB151">
        <v>0</v>
      </c>
      <c r="IC151">
        <v>0</v>
      </c>
      <c r="ID151">
        <v>0</v>
      </c>
      <c r="IE151">
        <v>0</v>
      </c>
      <c r="IF151">
        <v>0</v>
      </c>
      <c r="IG151">
        <v>0</v>
      </c>
      <c r="IH151">
        <v>0</v>
      </c>
      <c r="II151">
        <v>0</v>
      </c>
      <c r="IJ151">
        <v>0</v>
      </c>
      <c r="IK151">
        <v>0</v>
      </c>
      <c r="IL151">
        <v>0</v>
      </c>
      <c r="IM151">
        <v>0</v>
      </c>
      <c r="IN151">
        <v>0</v>
      </c>
      <c r="IO151">
        <v>0</v>
      </c>
      <c r="IP151">
        <v>0</v>
      </c>
      <c r="IQ151">
        <v>0</v>
      </c>
      <c r="IR151">
        <v>0</v>
      </c>
      <c r="IS151">
        <v>0</v>
      </c>
      <c r="IT151">
        <v>0</v>
      </c>
      <c r="IU151">
        <v>0</v>
      </c>
      <c r="IV151">
        <v>0</v>
      </c>
      <c r="IW151">
        <v>0</v>
      </c>
      <c r="IX151">
        <v>0</v>
      </c>
      <c r="IY151">
        <v>0</v>
      </c>
      <c r="IZ151">
        <v>0</v>
      </c>
      <c r="JA151">
        <v>0</v>
      </c>
      <c r="JB151">
        <v>0</v>
      </c>
      <c r="JC151">
        <v>0</v>
      </c>
      <c r="JD151">
        <v>0</v>
      </c>
      <c r="JE151">
        <v>0</v>
      </c>
      <c r="JF151">
        <v>0</v>
      </c>
      <c r="JG151">
        <v>0</v>
      </c>
      <c r="JH151">
        <v>0</v>
      </c>
      <c r="JI151">
        <v>0</v>
      </c>
      <c r="JJ151">
        <v>0</v>
      </c>
      <c r="JK151">
        <v>0</v>
      </c>
      <c r="JL151">
        <v>0</v>
      </c>
      <c r="JM151">
        <v>0</v>
      </c>
      <c r="JN151">
        <v>0</v>
      </c>
      <c r="JO151">
        <v>0</v>
      </c>
      <c r="JP151">
        <v>0</v>
      </c>
      <c r="JQ151">
        <v>0</v>
      </c>
      <c r="JR151">
        <v>0</v>
      </c>
      <c r="JS151">
        <v>0</v>
      </c>
      <c r="JT151">
        <v>0</v>
      </c>
      <c r="JU151">
        <v>0</v>
      </c>
      <c r="JV151">
        <v>0</v>
      </c>
      <c r="JW151">
        <v>0</v>
      </c>
      <c r="JX151">
        <v>0</v>
      </c>
      <c r="JY151">
        <v>0</v>
      </c>
      <c r="JZ151">
        <v>0</v>
      </c>
      <c r="KA151">
        <v>0</v>
      </c>
      <c r="KB151">
        <v>0</v>
      </c>
      <c r="KC151">
        <v>0</v>
      </c>
      <c r="KD151">
        <v>0</v>
      </c>
      <c r="KE151">
        <v>0</v>
      </c>
      <c r="KF151">
        <v>0</v>
      </c>
      <c r="KG151">
        <v>0</v>
      </c>
      <c r="KH151">
        <v>0</v>
      </c>
      <c r="KI151">
        <v>0</v>
      </c>
      <c r="KJ151">
        <v>0</v>
      </c>
      <c r="KK151">
        <v>0</v>
      </c>
      <c r="KL151">
        <v>0</v>
      </c>
      <c r="KM151">
        <v>0</v>
      </c>
      <c r="KN151">
        <v>0</v>
      </c>
      <c r="KO151">
        <v>0</v>
      </c>
      <c r="KP151">
        <v>0</v>
      </c>
      <c r="KQ151">
        <v>0</v>
      </c>
      <c r="KR151">
        <v>0</v>
      </c>
      <c r="KS151">
        <v>0</v>
      </c>
      <c r="KT151">
        <v>0</v>
      </c>
      <c r="KU151">
        <v>0</v>
      </c>
      <c r="KV151">
        <v>0</v>
      </c>
      <c r="KW151">
        <v>0</v>
      </c>
      <c r="KX151">
        <v>0</v>
      </c>
      <c r="KY151">
        <v>0</v>
      </c>
      <c r="KZ151">
        <v>0</v>
      </c>
      <c r="LA151">
        <v>0</v>
      </c>
      <c r="LB151">
        <v>0</v>
      </c>
      <c r="LC151">
        <v>0</v>
      </c>
      <c r="LD151">
        <v>0</v>
      </c>
      <c r="LE151">
        <v>0</v>
      </c>
      <c r="LF151">
        <v>0</v>
      </c>
      <c r="LG151">
        <v>0</v>
      </c>
      <c r="LH151">
        <v>0</v>
      </c>
      <c r="LI151">
        <v>0</v>
      </c>
      <c r="LJ151">
        <v>0</v>
      </c>
      <c r="LK151">
        <v>0</v>
      </c>
      <c r="LL151">
        <v>0</v>
      </c>
      <c r="LM151">
        <v>0</v>
      </c>
      <c r="LN151">
        <v>0</v>
      </c>
      <c r="LO151">
        <v>0</v>
      </c>
      <c r="LP151">
        <v>0</v>
      </c>
      <c r="LQ151">
        <v>0</v>
      </c>
      <c r="LR151">
        <v>0</v>
      </c>
      <c r="LS151">
        <v>0</v>
      </c>
      <c r="LT151">
        <v>0</v>
      </c>
      <c r="LU151">
        <v>0</v>
      </c>
      <c r="LV151">
        <v>0</v>
      </c>
      <c r="LW151">
        <v>0</v>
      </c>
      <c r="LX151">
        <v>0</v>
      </c>
      <c r="LY151">
        <v>0</v>
      </c>
      <c r="LZ151">
        <v>0</v>
      </c>
      <c r="MA151">
        <v>0</v>
      </c>
      <c r="MB151">
        <v>0</v>
      </c>
      <c r="MC151">
        <v>0</v>
      </c>
      <c r="MD151">
        <v>0</v>
      </c>
      <c r="ME151">
        <v>0</v>
      </c>
      <c r="MF151">
        <v>0</v>
      </c>
      <c r="MG151">
        <v>0</v>
      </c>
      <c r="MH151">
        <v>0</v>
      </c>
      <c r="MI151">
        <v>0</v>
      </c>
      <c r="MJ151">
        <v>0</v>
      </c>
      <c r="MK151">
        <v>0</v>
      </c>
      <c r="ML151">
        <v>0</v>
      </c>
      <c r="MM151">
        <v>0</v>
      </c>
      <c r="MN151">
        <v>0</v>
      </c>
      <c r="MO151">
        <v>0</v>
      </c>
      <c r="MP151">
        <v>0</v>
      </c>
      <c r="MQ151">
        <v>0</v>
      </c>
      <c r="MR151">
        <v>0</v>
      </c>
      <c r="MS151">
        <v>0</v>
      </c>
      <c r="MT151">
        <v>0</v>
      </c>
      <c r="MU151">
        <v>0</v>
      </c>
      <c r="MV151">
        <v>0</v>
      </c>
      <c r="MW151">
        <v>0</v>
      </c>
      <c r="MX151">
        <v>0</v>
      </c>
      <c r="MY151">
        <v>0</v>
      </c>
      <c r="MZ151">
        <v>0</v>
      </c>
      <c r="NA151">
        <v>0</v>
      </c>
      <c r="NB151">
        <v>0</v>
      </c>
      <c r="NC151">
        <v>0</v>
      </c>
      <c r="ND151">
        <v>0</v>
      </c>
      <c r="NE151">
        <v>0</v>
      </c>
    </row>
    <row r="152" spans="41:369" x14ac:dyDescent="0.45">
      <c r="AO152" t="str">
        <v>C108</v>
      </c>
      <c r="AP152" t="str">
        <v>ABDULLA SALMAN FARIS M</v>
      </c>
      <c r="AQ152" t="str">
        <v>FANT</v>
      </c>
      <c r="AR152" t="str">
        <v>SENIOR</v>
      </c>
      <c r="AS152">
        <v>5</v>
      </c>
      <c r="AT152">
        <v>5</v>
      </c>
      <c r="AU152">
        <v>0</v>
      </c>
      <c r="AV152">
        <v>5</v>
      </c>
      <c r="AW152">
        <v>5</v>
      </c>
      <c r="AX152">
        <v>190</v>
      </c>
      <c r="AY152" s="5">
        <v>190</v>
      </c>
      <c r="AZ152" t="str">
        <v>SS08</v>
      </c>
      <c r="BA152" t="str">
        <v>EXCEL EXPERT</v>
      </c>
      <c r="BB152" t="str">
        <v>SUPER SENIOR</v>
      </c>
      <c r="BC152" t="str">
        <v>Single</v>
      </c>
      <c r="BD152" t="str">
        <v>Non-Stg</v>
      </c>
      <c r="BE152">
        <v>2</v>
      </c>
      <c r="BF152" t="str">
        <v>Individual</v>
      </c>
      <c r="BG152" t="str">
        <v>Individual</v>
      </c>
      <c r="BH152" t="str">
        <v>P</v>
      </c>
      <c r="BI152" t="str">
        <v>PUBLISHED</v>
      </c>
      <c r="BK152">
        <v>146</v>
      </c>
      <c r="BL152" t="str">
        <v>SS04</v>
      </c>
      <c r="BM152" t="str">
        <v>CARTOON</v>
      </c>
      <c r="BN152">
        <v>2</v>
      </c>
      <c r="BO152" t="str">
        <v>Single</v>
      </c>
      <c r="BP152" t="str">
        <v>Non-Stg</v>
      </c>
      <c r="BQ152" t="str">
        <v>SUPER SENIOR</v>
      </c>
      <c r="BR152" t="str">
        <v>D105</v>
      </c>
      <c r="BS152" t="str">
        <v>D117</v>
      </c>
      <c r="BT152">
        <v>0</v>
      </c>
      <c r="BU152">
        <v>0</v>
      </c>
      <c r="BV152">
        <v>0</v>
      </c>
      <c r="BW152">
        <v>0</v>
      </c>
      <c r="BX152">
        <v>0</v>
      </c>
      <c r="BY152" t="str">
        <v>D102</v>
      </c>
      <c r="BZ152" t="str">
        <v>D183</v>
      </c>
      <c r="CA152">
        <v>0</v>
      </c>
      <c r="CB152">
        <v>0</v>
      </c>
      <c r="CC152">
        <v>0</v>
      </c>
      <c r="CD152">
        <v>0</v>
      </c>
      <c r="CE152">
        <v>0</v>
      </c>
      <c r="CF152" t="str">
        <v>D129</v>
      </c>
      <c r="CG152" t="str">
        <v>D173</v>
      </c>
      <c r="CH152">
        <v>0</v>
      </c>
      <c r="CI152">
        <v>0</v>
      </c>
      <c r="CJ152">
        <v>0</v>
      </c>
      <c r="CK152">
        <v>0</v>
      </c>
      <c r="CL152">
        <v>0</v>
      </c>
      <c r="CM152" t="str">
        <v>D123</v>
      </c>
      <c r="CN152" t="str">
        <v>D153</v>
      </c>
      <c r="CO152">
        <v>0</v>
      </c>
      <c r="CP152">
        <v>0</v>
      </c>
      <c r="CQ152">
        <v>0</v>
      </c>
      <c r="CR152">
        <v>0</v>
      </c>
      <c r="CS152">
        <v>0</v>
      </c>
      <c r="CT152">
        <v>0</v>
      </c>
      <c r="CU152">
        <v>0</v>
      </c>
      <c r="CV152">
        <v>0</v>
      </c>
      <c r="CW152">
        <v>0</v>
      </c>
      <c r="CX152">
        <v>0</v>
      </c>
      <c r="CY152">
        <v>0</v>
      </c>
      <c r="CZ152">
        <v>0</v>
      </c>
      <c r="DA152">
        <v>0</v>
      </c>
      <c r="DB152">
        <v>0</v>
      </c>
      <c r="DC152">
        <v>0</v>
      </c>
      <c r="DD152">
        <v>0</v>
      </c>
      <c r="DE152">
        <v>0</v>
      </c>
      <c r="DF152">
        <v>0</v>
      </c>
      <c r="DG152">
        <v>0</v>
      </c>
      <c r="DH152">
        <v>0</v>
      </c>
      <c r="DI152">
        <v>0</v>
      </c>
      <c r="DJ152">
        <v>0</v>
      </c>
      <c r="DK152">
        <v>0</v>
      </c>
      <c r="DL152">
        <v>0</v>
      </c>
      <c r="DM152">
        <v>0</v>
      </c>
      <c r="DN152">
        <v>0</v>
      </c>
      <c r="DO152">
        <v>0</v>
      </c>
      <c r="DP152">
        <v>0</v>
      </c>
      <c r="DQ152">
        <v>0</v>
      </c>
      <c r="DR152">
        <v>0</v>
      </c>
      <c r="DS152">
        <v>0</v>
      </c>
      <c r="DT152">
        <v>0</v>
      </c>
      <c r="DU152">
        <v>0</v>
      </c>
      <c r="DV152">
        <v>0</v>
      </c>
      <c r="DW152">
        <v>0</v>
      </c>
      <c r="DX152">
        <v>0</v>
      </c>
      <c r="DY152">
        <v>0</v>
      </c>
      <c r="DZ152">
        <v>0</v>
      </c>
      <c r="EA152">
        <v>0</v>
      </c>
      <c r="EB152">
        <v>0</v>
      </c>
      <c r="EC152">
        <v>0</v>
      </c>
      <c r="ED152">
        <v>0</v>
      </c>
      <c r="EE152">
        <v>0</v>
      </c>
      <c r="EF152">
        <v>0</v>
      </c>
      <c r="EG152">
        <v>0</v>
      </c>
      <c r="EH152">
        <v>0</v>
      </c>
      <c r="EI152">
        <v>0</v>
      </c>
      <c r="EJ152">
        <v>0</v>
      </c>
      <c r="EK152">
        <v>0</v>
      </c>
      <c r="EL152">
        <v>0</v>
      </c>
      <c r="EM152">
        <v>0</v>
      </c>
      <c r="EN152">
        <v>0</v>
      </c>
      <c r="EO152">
        <v>0</v>
      </c>
      <c r="EP152">
        <v>0</v>
      </c>
      <c r="EQ152">
        <v>0</v>
      </c>
      <c r="ER152">
        <v>0</v>
      </c>
      <c r="ES152">
        <v>0</v>
      </c>
      <c r="ET152">
        <v>0</v>
      </c>
      <c r="EU152">
        <v>0</v>
      </c>
      <c r="EV152">
        <v>0</v>
      </c>
      <c r="EW152">
        <v>0</v>
      </c>
      <c r="EX152">
        <v>0</v>
      </c>
      <c r="EY152">
        <v>0</v>
      </c>
      <c r="EZ152">
        <v>0</v>
      </c>
      <c r="FA152">
        <v>0</v>
      </c>
      <c r="FB152">
        <v>0</v>
      </c>
      <c r="FC152">
        <v>0</v>
      </c>
      <c r="FD152">
        <v>0</v>
      </c>
      <c r="FE152">
        <v>0</v>
      </c>
      <c r="FF152">
        <v>0</v>
      </c>
      <c r="FG152">
        <v>0</v>
      </c>
      <c r="FH152">
        <v>0</v>
      </c>
      <c r="FI152">
        <v>0</v>
      </c>
      <c r="FJ152">
        <v>0</v>
      </c>
      <c r="FK152">
        <v>0</v>
      </c>
      <c r="FL152">
        <v>0</v>
      </c>
      <c r="FM152">
        <v>0</v>
      </c>
      <c r="FN152">
        <v>0</v>
      </c>
      <c r="FO152">
        <v>0</v>
      </c>
      <c r="FP152">
        <v>0</v>
      </c>
      <c r="FQ152">
        <v>0</v>
      </c>
      <c r="FR152">
        <v>0</v>
      </c>
      <c r="FS152">
        <v>0</v>
      </c>
      <c r="FT152">
        <v>0</v>
      </c>
      <c r="FU152">
        <v>0</v>
      </c>
      <c r="FV152">
        <v>0</v>
      </c>
      <c r="FW152">
        <v>0</v>
      </c>
      <c r="FX152">
        <v>0</v>
      </c>
      <c r="FY152">
        <v>0</v>
      </c>
      <c r="FZ152">
        <v>0</v>
      </c>
      <c r="GA152">
        <v>0</v>
      </c>
      <c r="GB152">
        <v>0</v>
      </c>
      <c r="GC152">
        <v>0</v>
      </c>
      <c r="GD152">
        <v>0</v>
      </c>
      <c r="GE152">
        <v>0</v>
      </c>
      <c r="GF152">
        <v>0</v>
      </c>
      <c r="GG152">
        <v>0</v>
      </c>
      <c r="GH152">
        <v>0</v>
      </c>
      <c r="GI152">
        <v>0</v>
      </c>
      <c r="GJ152">
        <v>0</v>
      </c>
      <c r="GK152">
        <v>0</v>
      </c>
      <c r="GL152">
        <v>0</v>
      </c>
      <c r="GM152">
        <v>0</v>
      </c>
      <c r="GN152">
        <v>0</v>
      </c>
      <c r="GO152">
        <v>0</v>
      </c>
      <c r="GP152">
        <v>0</v>
      </c>
      <c r="GQ152">
        <v>0</v>
      </c>
      <c r="GR152">
        <v>0</v>
      </c>
      <c r="GS152">
        <v>0</v>
      </c>
      <c r="GT152">
        <v>0</v>
      </c>
      <c r="GU152">
        <v>0</v>
      </c>
      <c r="GV152">
        <v>0</v>
      </c>
      <c r="GW152">
        <v>0</v>
      </c>
      <c r="GX152">
        <v>0</v>
      </c>
      <c r="GY152">
        <v>0</v>
      </c>
      <c r="GZ152">
        <v>0</v>
      </c>
      <c r="HA152">
        <v>0</v>
      </c>
      <c r="HB152">
        <v>0</v>
      </c>
      <c r="HC152">
        <v>0</v>
      </c>
      <c r="HD152">
        <v>0</v>
      </c>
      <c r="HE152">
        <v>0</v>
      </c>
      <c r="HF152">
        <v>0</v>
      </c>
      <c r="HG152">
        <v>0</v>
      </c>
      <c r="HH152">
        <v>0</v>
      </c>
      <c r="HI152">
        <v>0</v>
      </c>
      <c r="HJ152">
        <v>0</v>
      </c>
      <c r="HK152">
        <v>0</v>
      </c>
      <c r="HL152">
        <v>0</v>
      </c>
      <c r="HM152">
        <v>0</v>
      </c>
      <c r="HN152">
        <v>0</v>
      </c>
      <c r="HO152">
        <v>0</v>
      </c>
      <c r="HP152">
        <v>0</v>
      </c>
      <c r="HQ152">
        <v>0</v>
      </c>
      <c r="HR152">
        <v>0</v>
      </c>
      <c r="HS152">
        <v>0</v>
      </c>
      <c r="HT152">
        <v>0</v>
      </c>
      <c r="HU152">
        <v>0</v>
      </c>
      <c r="HV152">
        <v>0</v>
      </c>
      <c r="HW152">
        <v>0</v>
      </c>
      <c r="HX152">
        <v>0</v>
      </c>
      <c r="HY152">
        <v>0</v>
      </c>
      <c r="HZ152">
        <v>0</v>
      </c>
      <c r="IA152">
        <v>0</v>
      </c>
      <c r="IB152">
        <v>0</v>
      </c>
      <c r="IC152">
        <v>0</v>
      </c>
      <c r="ID152">
        <v>0</v>
      </c>
      <c r="IE152">
        <v>0</v>
      </c>
      <c r="IF152">
        <v>0</v>
      </c>
      <c r="IG152">
        <v>0</v>
      </c>
      <c r="IH152">
        <v>0</v>
      </c>
      <c r="II152">
        <v>0</v>
      </c>
      <c r="IJ152">
        <v>0</v>
      </c>
      <c r="IK152">
        <v>0</v>
      </c>
      <c r="IL152">
        <v>0</v>
      </c>
      <c r="IM152">
        <v>0</v>
      </c>
      <c r="IN152">
        <v>0</v>
      </c>
      <c r="IO152">
        <v>0</v>
      </c>
      <c r="IP152">
        <v>0</v>
      </c>
      <c r="IQ152">
        <v>0</v>
      </c>
      <c r="IR152">
        <v>0</v>
      </c>
      <c r="IS152">
        <v>0</v>
      </c>
      <c r="IT152">
        <v>0</v>
      </c>
      <c r="IU152">
        <v>0</v>
      </c>
      <c r="IV152">
        <v>0</v>
      </c>
      <c r="IW152">
        <v>0</v>
      </c>
      <c r="IX152">
        <v>0</v>
      </c>
      <c r="IY152">
        <v>0</v>
      </c>
      <c r="IZ152">
        <v>0</v>
      </c>
      <c r="JA152">
        <v>0</v>
      </c>
      <c r="JB152">
        <v>0</v>
      </c>
      <c r="JC152">
        <v>0</v>
      </c>
      <c r="JD152">
        <v>0</v>
      </c>
      <c r="JE152">
        <v>0</v>
      </c>
      <c r="JF152">
        <v>0</v>
      </c>
      <c r="JG152">
        <v>0</v>
      </c>
      <c r="JH152">
        <v>0</v>
      </c>
      <c r="JI152">
        <v>0</v>
      </c>
      <c r="JJ152">
        <v>0</v>
      </c>
      <c r="JK152">
        <v>0</v>
      </c>
      <c r="JL152">
        <v>0</v>
      </c>
      <c r="JM152">
        <v>0</v>
      </c>
      <c r="JN152">
        <v>0</v>
      </c>
      <c r="JO152">
        <v>0</v>
      </c>
      <c r="JP152">
        <v>0</v>
      </c>
      <c r="JQ152">
        <v>0</v>
      </c>
      <c r="JR152">
        <v>0</v>
      </c>
      <c r="JS152">
        <v>0</v>
      </c>
      <c r="JT152">
        <v>0</v>
      </c>
      <c r="JU152">
        <v>0</v>
      </c>
      <c r="JV152">
        <v>0</v>
      </c>
      <c r="JW152">
        <v>0</v>
      </c>
      <c r="JX152">
        <v>0</v>
      </c>
      <c r="JY152">
        <v>0</v>
      </c>
      <c r="JZ152">
        <v>0</v>
      </c>
      <c r="KA152">
        <v>0</v>
      </c>
      <c r="KB152">
        <v>0</v>
      </c>
      <c r="KC152">
        <v>0</v>
      </c>
      <c r="KD152">
        <v>0</v>
      </c>
      <c r="KE152">
        <v>0</v>
      </c>
      <c r="KF152">
        <v>0</v>
      </c>
      <c r="KG152">
        <v>0</v>
      </c>
      <c r="KH152">
        <v>0</v>
      </c>
      <c r="KI152">
        <v>0</v>
      </c>
      <c r="KJ152">
        <v>0</v>
      </c>
      <c r="KK152">
        <v>0</v>
      </c>
      <c r="KL152">
        <v>0</v>
      </c>
      <c r="KM152">
        <v>0</v>
      </c>
      <c r="KN152">
        <v>0</v>
      </c>
      <c r="KO152">
        <v>0</v>
      </c>
      <c r="KP152">
        <v>0</v>
      </c>
      <c r="KQ152">
        <v>0</v>
      </c>
      <c r="KR152">
        <v>0</v>
      </c>
      <c r="KS152">
        <v>0</v>
      </c>
      <c r="KT152">
        <v>0</v>
      </c>
      <c r="KU152">
        <v>0</v>
      </c>
      <c r="KV152">
        <v>0</v>
      </c>
      <c r="KW152">
        <v>0</v>
      </c>
      <c r="KX152">
        <v>0</v>
      </c>
      <c r="KY152">
        <v>0</v>
      </c>
      <c r="KZ152">
        <v>0</v>
      </c>
      <c r="LA152">
        <v>0</v>
      </c>
      <c r="LB152">
        <v>0</v>
      </c>
      <c r="LC152">
        <v>0</v>
      </c>
      <c r="LD152">
        <v>0</v>
      </c>
      <c r="LE152">
        <v>0</v>
      </c>
      <c r="LF152">
        <v>0</v>
      </c>
      <c r="LG152">
        <v>0</v>
      </c>
      <c r="LH152">
        <v>0</v>
      </c>
      <c r="LI152">
        <v>0</v>
      </c>
      <c r="LJ152">
        <v>0</v>
      </c>
      <c r="LK152">
        <v>0</v>
      </c>
      <c r="LL152">
        <v>0</v>
      </c>
      <c r="LM152">
        <v>0</v>
      </c>
      <c r="LN152">
        <v>0</v>
      </c>
      <c r="LO152">
        <v>0</v>
      </c>
      <c r="LP152">
        <v>0</v>
      </c>
      <c r="LQ152">
        <v>0</v>
      </c>
      <c r="LR152">
        <v>0</v>
      </c>
      <c r="LS152">
        <v>0</v>
      </c>
      <c r="LT152">
        <v>0</v>
      </c>
      <c r="LU152">
        <v>0</v>
      </c>
      <c r="LV152">
        <v>0</v>
      </c>
      <c r="LW152">
        <v>0</v>
      </c>
      <c r="LX152">
        <v>0</v>
      </c>
      <c r="LY152">
        <v>0</v>
      </c>
      <c r="LZ152">
        <v>0</v>
      </c>
      <c r="MA152">
        <v>0</v>
      </c>
      <c r="MB152">
        <v>0</v>
      </c>
      <c r="MC152">
        <v>0</v>
      </c>
      <c r="MD152">
        <v>0</v>
      </c>
      <c r="ME152">
        <v>0</v>
      </c>
      <c r="MF152">
        <v>0</v>
      </c>
      <c r="MG152">
        <v>0</v>
      </c>
      <c r="MH152">
        <v>0</v>
      </c>
      <c r="MI152">
        <v>0</v>
      </c>
      <c r="MJ152">
        <v>0</v>
      </c>
      <c r="MK152">
        <v>0</v>
      </c>
      <c r="ML152">
        <v>0</v>
      </c>
      <c r="MM152">
        <v>0</v>
      </c>
      <c r="MN152">
        <v>0</v>
      </c>
      <c r="MO152">
        <v>0</v>
      </c>
      <c r="MP152">
        <v>0</v>
      </c>
      <c r="MQ152">
        <v>0</v>
      </c>
      <c r="MR152">
        <v>0</v>
      </c>
      <c r="MS152">
        <v>0</v>
      </c>
      <c r="MT152">
        <v>0</v>
      </c>
      <c r="MU152">
        <v>0</v>
      </c>
      <c r="MV152">
        <v>0</v>
      </c>
      <c r="MW152">
        <v>0</v>
      </c>
      <c r="MX152">
        <v>0</v>
      </c>
      <c r="MY152">
        <v>0</v>
      </c>
      <c r="MZ152">
        <v>0</v>
      </c>
      <c r="NA152">
        <v>0</v>
      </c>
      <c r="NB152">
        <v>0</v>
      </c>
      <c r="NC152">
        <v>0</v>
      </c>
      <c r="ND152">
        <v>0</v>
      </c>
      <c r="NE152">
        <v>0</v>
      </c>
    </row>
    <row r="153" spans="41:369" x14ac:dyDescent="0.45">
      <c r="AO153" t="str">
        <v>C109</v>
      </c>
      <c r="AP153" t="str">
        <v>ABDULLA FARHAN M</v>
      </c>
      <c r="AQ153" t="str">
        <v>BADF</v>
      </c>
      <c r="AR153" t="str">
        <v>SENIOR</v>
      </c>
      <c r="AS153">
        <v>5</v>
      </c>
      <c r="AT153">
        <v>8</v>
      </c>
      <c r="AU153">
        <v>0</v>
      </c>
      <c r="AV153">
        <v>8</v>
      </c>
      <c r="AW153">
        <v>8</v>
      </c>
      <c r="AX153">
        <v>147</v>
      </c>
      <c r="AY153" s="5">
        <v>147</v>
      </c>
      <c r="AZ153" t="str">
        <v>SS09</v>
      </c>
      <c r="BA153" t="str">
        <v>FEATURE WRITING MLM</v>
      </c>
      <c r="BB153" t="str">
        <v>SUPER SENIOR</v>
      </c>
      <c r="BC153" t="str">
        <v>Single</v>
      </c>
      <c r="BD153" t="str">
        <v>Non-Stg</v>
      </c>
      <c r="BE153">
        <v>3</v>
      </c>
      <c r="BF153" t="str">
        <v>Individual</v>
      </c>
      <c r="BG153" t="str">
        <v>Individual</v>
      </c>
      <c r="BH153" t="str">
        <v>P</v>
      </c>
      <c r="BI153" t="str">
        <v>PUBLISHED</v>
      </c>
      <c r="BK153">
        <v>147</v>
      </c>
      <c r="BL153" t="str">
        <v>SS05</v>
      </c>
      <c r="BM153" t="str">
        <v>ESSAY ARB</v>
      </c>
      <c r="BN153">
        <v>3</v>
      </c>
      <c r="BO153" t="str">
        <v>Single</v>
      </c>
      <c r="BP153" t="str">
        <v>Non-Stg</v>
      </c>
      <c r="BQ153" t="str">
        <v>SUPER SENIOR</v>
      </c>
      <c r="BR153" t="str">
        <v>D142</v>
      </c>
      <c r="BS153" t="str">
        <v>D177</v>
      </c>
      <c r="BT153" t="str">
        <v>D198</v>
      </c>
      <c r="BU153">
        <v>0</v>
      </c>
      <c r="BV153">
        <v>0</v>
      </c>
      <c r="BW153">
        <v>0</v>
      </c>
      <c r="BX153">
        <v>0</v>
      </c>
      <c r="BY153" t="str">
        <v>D140</v>
      </c>
      <c r="BZ153" t="str">
        <v>D148</v>
      </c>
      <c r="CA153" t="str">
        <v>D166</v>
      </c>
      <c r="CB153">
        <v>0</v>
      </c>
      <c r="CC153">
        <v>0</v>
      </c>
      <c r="CD153">
        <v>0</v>
      </c>
      <c r="CE153">
        <v>0</v>
      </c>
      <c r="CF153" t="str">
        <v>D119</v>
      </c>
      <c r="CG153" t="str">
        <v>D162</v>
      </c>
      <c r="CH153" t="str">
        <v>D178</v>
      </c>
      <c r="CI153">
        <v>0</v>
      </c>
      <c r="CJ153">
        <v>0</v>
      </c>
      <c r="CK153">
        <v>0</v>
      </c>
      <c r="CL153">
        <v>0</v>
      </c>
      <c r="CM153" t="str">
        <v>D104</v>
      </c>
      <c r="CN153" t="str">
        <v>D113</v>
      </c>
      <c r="CO153" t="str">
        <v>D149</v>
      </c>
      <c r="CP153">
        <v>0</v>
      </c>
      <c r="CQ153">
        <v>0</v>
      </c>
      <c r="CR153">
        <v>0</v>
      </c>
      <c r="CS153">
        <v>0</v>
      </c>
      <c r="CT153">
        <v>0</v>
      </c>
      <c r="CU153">
        <v>0</v>
      </c>
      <c r="CV153">
        <v>0</v>
      </c>
      <c r="CW153">
        <v>0</v>
      </c>
      <c r="CX153">
        <v>0</v>
      </c>
      <c r="CY153">
        <v>0</v>
      </c>
      <c r="CZ153">
        <v>0</v>
      </c>
      <c r="DA153">
        <v>0</v>
      </c>
      <c r="DB153">
        <v>0</v>
      </c>
      <c r="DC153">
        <v>0</v>
      </c>
      <c r="DD153">
        <v>0</v>
      </c>
      <c r="DE153">
        <v>0</v>
      </c>
      <c r="DF153">
        <v>0</v>
      </c>
      <c r="DG153">
        <v>0</v>
      </c>
      <c r="DH153">
        <v>0</v>
      </c>
      <c r="DI153">
        <v>0</v>
      </c>
      <c r="DJ153">
        <v>0</v>
      </c>
      <c r="DK153">
        <v>0</v>
      </c>
      <c r="DL153">
        <v>0</v>
      </c>
      <c r="DM153">
        <v>0</v>
      </c>
      <c r="DN153">
        <v>0</v>
      </c>
      <c r="DO153">
        <v>0</v>
      </c>
      <c r="DP153">
        <v>0</v>
      </c>
      <c r="DQ153">
        <v>0</v>
      </c>
      <c r="DR153">
        <v>0</v>
      </c>
      <c r="DS153">
        <v>0</v>
      </c>
      <c r="DT153">
        <v>0</v>
      </c>
      <c r="DU153">
        <v>0</v>
      </c>
      <c r="DV153">
        <v>0</v>
      </c>
      <c r="DW153">
        <v>0</v>
      </c>
      <c r="DX153">
        <v>0</v>
      </c>
      <c r="DY153">
        <v>0</v>
      </c>
      <c r="DZ153">
        <v>0</v>
      </c>
      <c r="EA153">
        <v>0</v>
      </c>
      <c r="EB153">
        <v>0</v>
      </c>
      <c r="EC153">
        <v>0</v>
      </c>
      <c r="ED153">
        <v>0</v>
      </c>
      <c r="EE153">
        <v>0</v>
      </c>
      <c r="EF153">
        <v>0</v>
      </c>
      <c r="EG153">
        <v>0</v>
      </c>
      <c r="EH153">
        <v>0</v>
      </c>
      <c r="EI153">
        <v>0</v>
      </c>
      <c r="EJ153">
        <v>0</v>
      </c>
      <c r="EK153">
        <v>0</v>
      </c>
      <c r="EL153">
        <v>0</v>
      </c>
      <c r="EM153">
        <v>0</v>
      </c>
      <c r="EN153">
        <v>0</v>
      </c>
      <c r="EO153">
        <v>0</v>
      </c>
      <c r="EP153">
        <v>0</v>
      </c>
      <c r="EQ153">
        <v>0</v>
      </c>
      <c r="ER153">
        <v>0</v>
      </c>
      <c r="ES153">
        <v>0</v>
      </c>
      <c r="ET153">
        <v>0</v>
      </c>
      <c r="EU153">
        <v>0</v>
      </c>
      <c r="EV153">
        <v>0</v>
      </c>
      <c r="EW153">
        <v>0</v>
      </c>
      <c r="EX153">
        <v>0</v>
      </c>
      <c r="EY153">
        <v>0</v>
      </c>
      <c r="EZ153">
        <v>0</v>
      </c>
      <c r="FA153">
        <v>0</v>
      </c>
      <c r="FB153">
        <v>0</v>
      </c>
      <c r="FC153">
        <v>0</v>
      </c>
      <c r="FD153">
        <v>0</v>
      </c>
      <c r="FE153">
        <v>0</v>
      </c>
      <c r="FF153">
        <v>0</v>
      </c>
      <c r="FG153">
        <v>0</v>
      </c>
      <c r="FH153">
        <v>0</v>
      </c>
      <c r="FI153">
        <v>0</v>
      </c>
      <c r="FJ153">
        <v>0</v>
      </c>
      <c r="FK153">
        <v>0</v>
      </c>
      <c r="FL153">
        <v>0</v>
      </c>
      <c r="FM153">
        <v>0</v>
      </c>
      <c r="FN153">
        <v>0</v>
      </c>
      <c r="FO153">
        <v>0</v>
      </c>
      <c r="FP153">
        <v>0</v>
      </c>
      <c r="FQ153">
        <v>0</v>
      </c>
      <c r="FR153">
        <v>0</v>
      </c>
      <c r="FS153">
        <v>0</v>
      </c>
      <c r="FT153">
        <v>0</v>
      </c>
      <c r="FU153">
        <v>0</v>
      </c>
      <c r="FV153">
        <v>0</v>
      </c>
      <c r="FW153">
        <v>0</v>
      </c>
      <c r="FX153">
        <v>0</v>
      </c>
      <c r="FY153">
        <v>0</v>
      </c>
      <c r="FZ153">
        <v>0</v>
      </c>
      <c r="GA153">
        <v>0</v>
      </c>
      <c r="GB153">
        <v>0</v>
      </c>
      <c r="GC153">
        <v>0</v>
      </c>
      <c r="GD153">
        <v>0</v>
      </c>
      <c r="GE153">
        <v>0</v>
      </c>
      <c r="GF153">
        <v>0</v>
      </c>
      <c r="GG153">
        <v>0</v>
      </c>
      <c r="GH153">
        <v>0</v>
      </c>
      <c r="GI153">
        <v>0</v>
      </c>
      <c r="GJ153">
        <v>0</v>
      </c>
      <c r="GK153">
        <v>0</v>
      </c>
      <c r="GL153">
        <v>0</v>
      </c>
      <c r="GM153">
        <v>0</v>
      </c>
      <c r="GN153">
        <v>0</v>
      </c>
      <c r="GO153">
        <v>0</v>
      </c>
      <c r="GP153">
        <v>0</v>
      </c>
      <c r="GQ153">
        <v>0</v>
      </c>
      <c r="GR153">
        <v>0</v>
      </c>
      <c r="GS153">
        <v>0</v>
      </c>
      <c r="GT153">
        <v>0</v>
      </c>
      <c r="GU153">
        <v>0</v>
      </c>
      <c r="GV153">
        <v>0</v>
      </c>
      <c r="GW153">
        <v>0</v>
      </c>
      <c r="GX153">
        <v>0</v>
      </c>
      <c r="GY153">
        <v>0</v>
      </c>
      <c r="GZ153">
        <v>0</v>
      </c>
      <c r="HA153">
        <v>0</v>
      </c>
      <c r="HB153">
        <v>0</v>
      </c>
      <c r="HC153">
        <v>0</v>
      </c>
      <c r="HD153">
        <v>0</v>
      </c>
      <c r="HE153">
        <v>0</v>
      </c>
      <c r="HF153">
        <v>0</v>
      </c>
      <c r="HG153">
        <v>0</v>
      </c>
      <c r="HH153">
        <v>0</v>
      </c>
      <c r="HI153">
        <v>0</v>
      </c>
      <c r="HJ153">
        <v>0</v>
      </c>
      <c r="HK153">
        <v>0</v>
      </c>
      <c r="HL153">
        <v>0</v>
      </c>
      <c r="HM153">
        <v>0</v>
      </c>
      <c r="HN153">
        <v>0</v>
      </c>
      <c r="HO153">
        <v>0</v>
      </c>
      <c r="HP153">
        <v>0</v>
      </c>
      <c r="HQ153">
        <v>0</v>
      </c>
      <c r="HR153">
        <v>0</v>
      </c>
      <c r="HS153">
        <v>0</v>
      </c>
      <c r="HT153">
        <v>0</v>
      </c>
      <c r="HU153">
        <v>0</v>
      </c>
      <c r="HV153">
        <v>0</v>
      </c>
      <c r="HW153">
        <v>0</v>
      </c>
      <c r="HX153">
        <v>0</v>
      </c>
      <c r="HY153">
        <v>0</v>
      </c>
      <c r="HZ153">
        <v>0</v>
      </c>
      <c r="IA153">
        <v>0</v>
      </c>
      <c r="IB153">
        <v>0</v>
      </c>
      <c r="IC153">
        <v>0</v>
      </c>
      <c r="ID153">
        <v>0</v>
      </c>
      <c r="IE153">
        <v>0</v>
      </c>
      <c r="IF153">
        <v>0</v>
      </c>
      <c r="IG153">
        <v>0</v>
      </c>
      <c r="IH153">
        <v>0</v>
      </c>
      <c r="II153">
        <v>0</v>
      </c>
      <c r="IJ153">
        <v>0</v>
      </c>
      <c r="IK153">
        <v>0</v>
      </c>
      <c r="IL153">
        <v>0</v>
      </c>
      <c r="IM153">
        <v>0</v>
      </c>
      <c r="IN153">
        <v>0</v>
      </c>
      <c r="IO153">
        <v>0</v>
      </c>
      <c r="IP153">
        <v>0</v>
      </c>
      <c r="IQ153">
        <v>0</v>
      </c>
      <c r="IR153">
        <v>0</v>
      </c>
      <c r="IS153">
        <v>0</v>
      </c>
      <c r="IT153">
        <v>0</v>
      </c>
      <c r="IU153">
        <v>0</v>
      </c>
      <c r="IV153">
        <v>0</v>
      </c>
      <c r="IW153">
        <v>0</v>
      </c>
      <c r="IX153">
        <v>0</v>
      </c>
      <c r="IY153">
        <v>0</v>
      </c>
      <c r="IZ153">
        <v>0</v>
      </c>
      <c r="JA153">
        <v>0</v>
      </c>
      <c r="JB153">
        <v>0</v>
      </c>
      <c r="JC153">
        <v>0</v>
      </c>
      <c r="JD153">
        <v>0</v>
      </c>
      <c r="JE153">
        <v>0</v>
      </c>
      <c r="JF153">
        <v>0</v>
      </c>
      <c r="JG153">
        <v>0</v>
      </c>
      <c r="JH153">
        <v>0</v>
      </c>
      <c r="JI153">
        <v>0</v>
      </c>
      <c r="JJ153">
        <v>0</v>
      </c>
      <c r="JK153">
        <v>0</v>
      </c>
      <c r="JL153">
        <v>0</v>
      </c>
      <c r="JM153">
        <v>0</v>
      </c>
      <c r="JN153">
        <v>0</v>
      </c>
      <c r="JO153">
        <v>0</v>
      </c>
      <c r="JP153">
        <v>0</v>
      </c>
      <c r="JQ153">
        <v>0</v>
      </c>
      <c r="JR153">
        <v>0</v>
      </c>
      <c r="JS153">
        <v>0</v>
      </c>
      <c r="JT153">
        <v>0</v>
      </c>
      <c r="JU153">
        <v>0</v>
      </c>
      <c r="JV153">
        <v>0</v>
      </c>
      <c r="JW153">
        <v>0</v>
      </c>
      <c r="JX153">
        <v>0</v>
      </c>
      <c r="JY153">
        <v>0</v>
      </c>
      <c r="JZ153">
        <v>0</v>
      </c>
      <c r="KA153">
        <v>0</v>
      </c>
      <c r="KB153">
        <v>0</v>
      </c>
      <c r="KC153">
        <v>0</v>
      </c>
      <c r="KD153">
        <v>0</v>
      </c>
      <c r="KE153">
        <v>0</v>
      </c>
      <c r="KF153">
        <v>0</v>
      </c>
      <c r="KG153">
        <v>0</v>
      </c>
      <c r="KH153">
        <v>0</v>
      </c>
      <c r="KI153">
        <v>0</v>
      </c>
      <c r="KJ153">
        <v>0</v>
      </c>
      <c r="KK153">
        <v>0</v>
      </c>
      <c r="KL153">
        <v>0</v>
      </c>
      <c r="KM153">
        <v>0</v>
      </c>
      <c r="KN153">
        <v>0</v>
      </c>
      <c r="KO153">
        <v>0</v>
      </c>
      <c r="KP153">
        <v>0</v>
      </c>
      <c r="KQ153">
        <v>0</v>
      </c>
      <c r="KR153">
        <v>0</v>
      </c>
      <c r="KS153">
        <v>0</v>
      </c>
      <c r="KT153">
        <v>0</v>
      </c>
      <c r="KU153">
        <v>0</v>
      </c>
      <c r="KV153">
        <v>0</v>
      </c>
      <c r="KW153">
        <v>0</v>
      </c>
      <c r="KX153">
        <v>0</v>
      </c>
      <c r="KY153">
        <v>0</v>
      </c>
      <c r="KZ153">
        <v>0</v>
      </c>
      <c r="LA153">
        <v>0</v>
      </c>
      <c r="LB153">
        <v>0</v>
      </c>
      <c r="LC153">
        <v>0</v>
      </c>
      <c r="LD153">
        <v>0</v>
      </c>
      <c r="LE153">
        <v>0</v>
      </c>
      <c r="LF153">
        <v>0</v>
      </c>
      <c r="LG153">
        <v>0</v>
      </c>
      <c r="LH153">
        <v>0</v>
      </c>
      <c r="LI153">
        <v>0</v>
      </c>
      <c r="LJ153">
        <v>0</v>
      </c>
      <c r="LK153">
        <v>0</v>
      </c>
      <c r="LL153">
        <v>0</v>
      </c>
      <c r="LM153">
        <v>0</v>
      </c>
      <c r="LN153">
        <v>0</v>
      </c>
      <c r="LO153">
        <v>0</v>
      </c>
      <c r="LP153">
        <v>0</v>
      </c>
      <c r="LQ153">
        <v>0</v>
      </c>
      <c r="LR153">
        <v>0</v>
      </c>
      <c r="LS153">
        <v>0</v>
      </c>
      <c r="LT153">
        <v>0</v>
      </c>
      <c r="LU153">
        <v>0</v>
      </c>
      <c r="LV153">
        <v>0</v>
      </c>
      <c r="LW153">
        <v>0</v>
      </c>
      <c r="LX153">
        <v>0</v>
      </c>
      <c r="LY153">
        <v>0</v>
      </c>
      <c r="LZ153">
        <v>0</v>
      </c>
      <c r="MA153">
        <v>0</v>
      </c>
      <c r="MB153">
        <v>0</v>
      </c>
      <c r="MC153">
        <v>0</v>
      </c>
      <c r="MD153">
        <v>0</v>
      </c>
      <c r="ME153">
        <v>0</v>
      </c>
      <c r="MF153">
        <v>0</v>
      </c>
      <c r="MG153">
        <v>0</v>
      </c>
      <c r="MH153">
        <v>0</v>
      </c>
      <c r="MI153">
        <v>0</v>
      </c>
      <c r="MJ153">
        <v>0</v>
      </c>
      <c r="MK153">
        <v>0</v>
      </c>
      <c r="ML153">
        <v>0</v>
      </c>
      <c r="MM153">
        <v>0</v>
      </c>
      <c r="MN153">
        <v>0</v>
      </c>
      <c r="MO153">
        <v>0</v>
      </c>
      <c r="MP153">
        <v>0</v>
      </c>
      <c r="MQ153">
        <v>0</v>
      </c>
      <c r="MR153">
        <v>0</v>
      </c>
      <c r="MS153">
        <v>0</v>
      </c>
      <c r="MT153">
        <v>0</v>
      </c>
      <c r="MU153">
        <v>0</v>
      </c>
      <c r="MV153">
        <v>0</v>
      </c>
      <c r="MW153">
        <v>0</v>
      </c>
      <c r="MX153">
        <v>0</v>
      </c>
      <c r="MY153">
        <v>0</v>
      </c>
      <c r="MZ153">
        <v>0</v>
      </c>
      <c r="NA153">
        <v>0</v>
      </c>
      <c r="NB153">
        <v>0</v>
      </c>
      <c r="NC153">
        <v>0</v>
      </c>
      <c r="ND153">
        <v>0</v>
      </c>
      <c r="NE153">
        <v>0</v>
      </c>
    </row>
    <row r="154" spans="41:369" x14ac:dyDescent="0.45">
      <c r="AO154" t="str">
        <v>C110</v>
      </c>
      <c r="AP154" t="str">
        <v>SHADIL AHAMED</v>
      </c>
      <c r="AQ154" t="str">
        <v>DAHF</v>
      </c>
      <c r="AR154" t="str">
        <v>SENIOR</v>
      </c>
      <c r="AS154">
        <v>5</v>
      </c>
      <c r="AT154">
        <v>3</v>
      </c>
      <c r="AU154">
        <v>0</v>
      </c>
      <c r="AV154">
        <v>3</v>
      </c>
      <c r="AW154">
        <v>3</v>
      </c>
      <c r="AX154">
        <v>209</v>
      </c>
      <c r="AY154" s="5">
        <v>209</v>
      </c>
      <c r="AZ154" t="str">
        <v>SS10</v>
      </c>
      <c r="BA154" t="str">
        <v>HIFZ AND THAJWEED</v>
      </c>
      <c r="BB154" t="str">
        <v>SUPER SENIOR</v>
      </c>
      <c r="BC154" t="str">
        <v>Single</v>
      </c>
      <c r="BD154" t="str">
        <v>Non-Stg</v>
      </c>
      <c r="BE154">
        <v>2</v>
      </c>
      <c r="BF154" t="str">
        <v>Individual</v>
      </c>
      <c r="BG154" t="str">
        <v>Individual</v>
      </c>
      <c r="BH154" t="str">
        <v>P</v>
      </c>
      <c r="BI154" t="str">
        <v>PUBLISHED</v>
      </c>
      <c r="BK154">
        <v>148</v>
      </c>
      <c r="BL154" t="str">
        <v>SS06</v>
      </c>
      <c r="BM154" t="str">
        <v>ESSAY MLM</v>
      </c>
      <c r="BN154">
        <v>3</v>
      </c>
      <c r="BO154" t="str">
        <v>Single</v>
      </c>
      <c r="BP154" t="str">
        <v>Non-Stg</v>
      </c>
      <c r="BQ154" t="str">
        <v>SUPER SENIOR</v>
      </c>
      <c r="BR154" t="str">
        <v>D127</v>
      </c>
      <c r="BS154" t="str">
        <v>D133</v>
      </c>
      <c r="BT154" t="str">
        <v>D147</v>
      </c>
      <c r="BU154">
        <v>0</v>
      </c>
      <c r="BV154">
        <v>0</v>
      </c>
      <c r="BW154">
        <v>0</v>
      </c>
      <c r="BX154">
        <v>0</v>
      </c>
      <c r="BY154" t="str">
        <v>D146</v>
      </c>
      <c r="BZ154" t="str">
        <v>D187</v>
      </c>
      <c r="CA154" t="str">
        <v>D196</v>
      </c>
      <c r="CB154">
        <v>0</v>
      </c>
      <c r="CC154">
        <v>0</v>
      </c>
      <c r="CD154">
        <v>0</v>
      </c>
      <c r="CE154">
        <v>0</v>
      </c>
      <c r="CF154" t="str">
        <v>D137</v>
      </c>
      <c r="CG154" t="str">
        <v>D157</v>
      </c>
      <c r="CH154" t="str">
        <v>D195</v>
      </c>
      <c r="CI154">
        <v>0</v>
      </c>
      <c r="CJ154">
        <v>0</v>
      </c>
      <c r="CK154">
        <v>0</v>
      </c>
      <c r="CL154">
        <v>0</v>
      </c>
      <c r="CM154" t="str">
        <v>D136</v>
      </c>
      <c r="CN154" t="str">
        <v>D151</v>
      </c>
      <c r="CO154" t="str">
        <v>D194</v>
      </c>
      <c r="CP154">
        <v>0</v>
      </c>
      <c r="CQ154">
        <v>0</v>
      </c>
      <c r="CR154">
        <v>0</v>
      </c>
      <c r="CS154">
        <v>0</v>
      </c>
      <c r="CT154">
        <v>0</v>
      </c>
      <c r="CU154">
        <v>0</v>
      </c>
      <c r="CV154">
        <v>0</v>
      </c>
      <c r="CW154">
        <v>0</v>
      </c>
      <c r="CX154">
        <v>0</v>
      </c>
      <c r="CY154">
        <v>0</v>
      </c>
      <c r="CZ154">
        <v>0</v>
      </c>
      <c r="DA154">
        <v>0</v>
      </c>
      <c r="DB154">
        <v>0</v>
      </c>
      <c r="DC154">
        <v>0</v>
      </c>
      <c r="DD154">
        <v>0</v>
      </c>
      <c r="DE154">
        <v>0</v>
      </c>
      <c r="DF154">
        <v>0</v>
      </c>
      <c r="DG154">
        <v>0</v>
      </c>
      <c r="DH154">
        <v>0</v>
      </c>
      <c r="DI154">
        <v>0</v>
      </c>
      <c r="DJ154">
        <v>0</v>
      </c>
      <c r="DK154">
        <v>0</v>
      </c>
      <c r="DL154">
        <v>0</v>
      </c>
      <c r="DM154">
        <v>0</v>
      </c>
      <c r="DN154">
        <v>0</v>
      </c>
      <c r="DO154">
        <v>0</v>
      </c>
      <c r="DP154">
        <v>0</v>
      </c>
      <c r="DQ154">
        <v>0</v>
      </c>
      <c r="DR154">
        <v>0</v>
      </c>
      <c r="DS154">
        <v>0</v>
      </c>
      <c r="DT154">
        <v>0</v>
      </c>
      <c r="DU154">
        <v>0</v>
      </c>
      <c r="DV154">
        <v>0</v>
      </c>
      <c r="DW154">
        <v>0</v>
      </c>
      <c r="DX154">
        <v>0</v>
      </c>
      <c r="DY154">
        <v>0</v>
      </c>
      <c r="DZ154">
        <v>0</v>
      </c>
      <c r="EA154">
        <v>0</v>
      </c>
      <c r="EB154">
        <v>0</v>
      </c>
      <c r="EC154">
        <v>0</v>
      </c>
      <c r="ED154">
        <v>0</v>
      </c>
      <c r="EE154">
        <v>0</v>
      </c>
      <c r="EF154">
        <v>0</v>
      </c>
      <c r="EG154">
        <v>0</v>
      </c>
      <c r="EH154">
        <v>0</v>
      </c>
      <c r="EI154">
        <v>0</v>
      </c>
      <c r="EJ154">
        <v>0</v>
      </c>
      <c r="EK154">
        <v>0</v>
      </c>
      <c r="EL154">
        <v>0</v>
      </c>
      <c r="EM154">
        <v>0</v>
      </c>
      <c r="EN154">
        <v>0</v>
      </c>
      <c r="EO154">
        <v>0</v>
      </c>
      <c r="EP154">
        <v>0</v>
      </c>
      <c r="EQ154">
        <v>0</v>
      </c>
      <c r="ER154">
        <v>0</v>
      </c>
      <c r="ES154">
        <v>0</v>
      </c>
      <c r="ET154">
        <v>0</v>
      </c>
      <c r="EU154">
        <v>0</v>
      </c>
      <c r="EV154">
        <v>0</v>
      </c>
      <c r="EW154">
        <v>0</v>
      </c>
      <c r="EX154">
        <v>0</v>
      </c>
      <c r="EY154">
        <v>0</v>
      </c>
      <c r="EZ154">
        <v>0</v>
      </c>
      <c r="FA154">
        <v>0</v>
      </c>
      <c r="FB154">
        <v>0</v>
      </c>
      <c r="FC154">
        <v>0</v>
      </c>
      <c r="FD154">
        <v>0</v>
      </c>
      <c r="FE154">
        <v>0</v>
      </c>
      <c r="FF154">
        <v>0</v>
      </c>
      <c r="FG154">
        <v>0</v>
      </c>
      <c r="FH154">
        <v>0</v>
      </c>
      <c r="FI154">
        <v>0</v>
      </c>
      <c r="FJ154">
        <v>0</v>
      </c>
      <c r="FK154">
        <v>0</v>
      </c>
      <c r="FL154">
        <v>0</v>
      </c>
      <c r="FM154">
        <v>0</v>
      </c>
      <c r="FN154">
        <v>0</v>
      </c>
      <c r="FO154">
        <v>0</v>
      </c>
      <c r="FP154">
        <v>0</v>
      </c>
      <c r="FQ154">
        <v>0</v>
      </c>
      <c r="FR154">
        <v>0</v>
      </c>
      <c r="FS154">
        <v>0</v>
      </c>
      <c r="FT154">
        <v>0</v>
      </c>
      <c r="FU154">
        <v>0</v>
      </c>
      <c r="FV154">
        <v>0</v>
      </c>
      <c r="FW154">
        <v>0</v>
      </c>
      <c r="FX154">
        <v>0</v>
      </c>
      <c r="FY154">
        <v>0</v>
      </c>
      <c r="FZ154">
        <v>0</v>
      </c>
      <c r="GA154">
        <v>0</v>
      </c>
      <c r="GB154">
        <v>0</v>
      </c>
      <c r="GC154">
        <v>0</v>
      </c>
      <c r="GD154">
        <v>0</v>
      </c>
      <c r="GE154">
        <v>0</v>
      </c>
      <c r="GF154">
        <v>0</v>
      </c>
      <c r="GG154">
        <v>0</v>
      </c>
      <c r="GH154">
        <v>0</v>
      </c>
      <c r="GI154">
        <v>0</v>
      </c>
      <c r="GJ154">
        <v>0</v>
      </c>
      <c r="GK154">
        <v>0</v>
      </c>
      <c r="GL154">
        <v>0</v>
      </c>
      <c r="GM154">
        <v>0</v>
      </c>
      <c r="GN154">
        <v>0</v>
      </c>
      <c r="GO154">
        <v>0</v>
      </c>
      <c r="GP154">
        <v>0</v>
      </c>
      <c r="GQ154">
        <v>0</v>
      </c>
      <c r="GR154">
        <v>0</v>
      </c>
      <c r="GS154">
        <v>0</v>
      </c>
      <c r="GT154">
        <v>0</v>
      </c>
      <c r="GU154">
        <v>0</v>
      </c>
      <c r="GV154">
        <v>0</v>
      </c>
      <c r="GW154">
        <v>0</v>
      </c>
      <c r="GX154">
        <v>0</v>
      </c>
      <c r="GY154">
        <v>0</v>
      </c>
      <c r="GZ154">
        <v>0</v>
      </c>
      <c r="HA154">
        <v>0</v>
      </c>
      <c r="HB154">
        <v>0</v>
      </c>
      <c r="HC154">
        <v>0</v>
      </c>
      <c r="HD154">
        <v>0</v>
      </c>
      <c r="HE154">
        <v>0</v>
      </c>
      <c r="HF154">
        <v>0</v>
      </c>
      <c r="HG154">
        <v>0</v>
      </c>
      <c r="HH154">
        <v>0</v>
      </c>
      <c r="HI154">
        <v>0</v>
      </c>
      <c r="HJ154">
        <v>0</v>
      </c>
      <c r="HK154">
        <v>0</v>
      </c>
      <c r="HL154">
        <v>0</v>
      </c>
      <c r="HM154">
        <v>0</v>
      </c>
      <c r="HN154">
        <v>0</v>
      </c>
      <c r="HO154">
        <v>0</v>
      </c>
      <c r="HP154">
        <v>0</v>
      </c>
      <c r="HQ154">
        <v>0</v>
      </c>
      <c r="HR154">
        <v>0</v>
      </c>
      <c r="HS154">
        <v>0</v>
      </c>
      <c r="HT154">
        <v>0</v>
      </c>
      <c r="HU154">
        <v>0</v>
      </c>
      <c r="HV154">
        <v>0</v>
      </c>
      <c r="HW154">
        <v>0</v>
      </c>
      <c r="HX154">
        <v>0</v>
      </c>
      <c r="HY154">
        <v>0</v>
      </c>
      <c r="HZ154">
        <v>0</v>
      </c>
      <c r="IA154">
        <v>0</v>
      </c>
      <c r="IB154">
        <v>0</v>
      </c>
      <c r="IC154">
        <v>0</v>
      </c>
      <c r="ID154">
        <v>0</v>
      </c>
      <c r="IE154">
        <v>0</v>
      </c>
      <c r="IF154">
        <v>0</v>
      </c>
      <c r="IG154">
        <v>0</v>
      </c>
      <c r="IH154">
        <v>0</v>
      </c>
      <c r="II154">
        <v>0</v>
      </c>
      <c r="IJ154">
        <v>0</v>
      </c>
      <c r="IK154">
        <v>0</v>
      </c>
      <c r="IL154">
        <v>0</v>
      </c>
      <c r="IM154">
        <v>0</v>
      </c>
      <c r="IN154">
        <v>0</v>
      </c>
      <c r="IO154">
        <v>0</v>
      </c>
      <c r="IP154">
        <v>0</v>
      </c>
      <c r="IQ154">
        <v>0</v>
      </c>
      <c r="IR154">
        <v>0</v>
      </c>
      <c r="IS154">
        <v>0</v>
      </c>
      <c r="IT154">
        <v>0</v>
      </c>
      <c r="IU154">
        <v>0</v>
      </c>
      <c r="IV154">
        <v>0</v>
      </c>
      <c r="IW154">
        <v>0</v>
      </c>
      <c r="IX154">
        <v>0</v>
      </c>
      <c r="IY154">
        <v>0</v>
      </c>
      <c r="IZ154">
        <v>0</v>
      </c>
      <c r="JA154">
        <v>0</v>
      </c>
      <c r="JB154">
        <v>0</v>
      </c>
      <c r="JC154">
        <v>0</v>
      </c>
      <c r="JD154">
        <v>0</v>
      </c>
      <c r="JE154">
        <v>0</v>
      </c>
      <c r="JF154">
        <v>0</v>
      </c>
      <c r="JG154">
        <v>0</v>
      </c>
      <c r="JH154">
        <v>0</v>
      </c>
      <c r="JI154">
        <v>0</v>
      </c>
      <c r="JJ154">
        <v>0</v>
      </c>
      <c r="JK154">
        <v>0</v>
      </c>
      <c r="JL154">
        <v>0</v>
      </c>
      <c r="JM154">
        <v>0</v>
      </c>
      <c r="JN154">
        <v>0</v>
      </c>
      <c r="JO154">
        <v>0</v>
      </c>
      <c r="JP154">
        <v>0</v>
      </c>
      <c r="JQ154">
        <v>0</v>
      </c>
      <c r="JR154">
        <v>0</v>
      </c>
      <c r="JS154">
        <v>0</v>
      </c>
      <c r="JT154">
        <v>0</v>
      </c>
      <c r="JU154">
        <v>0</v>
      </c>
      <c r="JV154">
        <v>0</v>
      </c>
      <c r="JW154">
        <v>0</v>
      </c>
      <c r="JX154">
        <v>0</v>
      </c>
      <c r="JY154">
        <v>0</v>
      </c>
      <c r="JZ154">
        <v>0</v>
      </c>
      <c r="KA154">
        <v>0</v>
      </c>
      <c r="KB154">
        <v>0</v>
      </c>
      <c r="KC154">
        <v>0</v>
      </c>
      <c r="KD154">
        <v>0</v>
      </c>
      <c r="KE154">
        <v>0</v>
      </c>
      <c r="KF154">
        <v>0</v>
      </c>
      <c r="KG154">
        <v>0</v>
      </c>
      <c r="KH154">
        <v>0</v>
      </c>
      <c r="KI154">
        <v>0</v>
      </c>
      <c r="KJ154">
        <v>0</v>
      </c>
      <c r="KK154">
        <v>0</v>
      </c>
      <c r="KL154">
        <v>0</v>
      </c>
      <c r="KM154">
        <v>0</v>
      </c>
      <c r="KN154">
        <v>0</v>
      </c>
      <c r="KO154">
        <v>0</v>
      </c>
      <c r="KP154">
        <v>0</v>
      </c>
      <c r="KQ154">
        <v>0</v>
      </c>
      <c r="KR154">
        <v>0</v>
      </c>
      <c r="KS154">
        <v>0</v>
      </c>
      <c r="KT154">
        <v>0</v>
      </c>
      <c r="KU154">
        <v>0</v>
      </c>
      <c r="KV154">
        <v>0</v>
      </c>
      <c r="KW154">
        <v>0</v>
      </c>
      <c r="KX154">
        <v>0</v>
      </c>
      <c r="KY154">
        <v>0</v>
      </c>
      <c r="KZ154">
        <v>0</v>
      </c>
      <c r="LA154">
        <v>0</v>
      </c>
      <c r="LB154">
        <v>0</v>
      </c>
      <c r="LC154">
        <v>0</v>
      </c>
      <c r="LD154">
        <v>0</v>
      </c>
      <c r="LE154">
        <v>0</v>
      </c>
      <c r="LF154">
        <v>0</v>
      </c>
      <c r="LG154">
        <v>0</v>
      </c>
      <c r="LH154">
        <v>0</v>
      </c>
      <c r="LI154">
        <v>0</v>
      </c>
      <c r="LJ154">
        <v>0</v>
      </c>
      <c r="LK154">
        <v>0</v>
      </c>
      <c r="LL154">
        <v>0</v>
      </c>
      <c r="LM154">
        <v>0</v>
      </c>
      <c r="LN154">
        <v>0</v>
      </c>
      <c r="LO154">
        <v>0</v>
      </c>
      <c r="LP154">
        <v>0</v>
      </c>
      <c r="LQ154">
        <v>0</v>
      </c>
      <c r="LR154">
        <v>0</v>
      </c>
      <c r="LS154">
        <v>0</v>
      </c>
      <c r="LT154">
        <v>0</v>
      </c>
      <c r="LU154">
        <v>0</v>
      </c>
      <c r="LV154">
        <v>0</v>
      </c>
      <c r="LW154">
        <v>0</v>
      </c>
      <c r="LX154">
        <v>0</v>
      </c>
      <c r="LY154">
        <v>0</v>
      </c>
      <c r="LZ154">
        <v>0</v>
      </c>
      <c r="MA154">
        <v>0</v>
      </c>
      <c r="MB154">
        <v>0</v>
      </c>
      <c r="MC154">
        <v>0</v>
      </c>
      <c r="MD154">
        <v>0</v>
      </c>
      <c r="ME154">
        <v>0</v>
      </c>
      <c r="MF154">
        <v>0</v>
      </c>
      <c r="MG154">
        <v>0</v>
      </c>
      <c r="MH154">
        <v>0</v>
      </c>
      <c r="MI154">
        <v>0</v>
      </c>
      <c r="MJ154">
        <v>0</v>
      </c>
      <c r="MK154">
        <v>0</v>
      </c>
      <c r="ML154">
        <v>0</v>
      </c>
      <c r="MM154">
        <v>0</v>
      </c>
      <c r="MN154">
        <v>0</v>
      </c>
      <c r="MO154">
        <v>0</v>
      </c>
      <c r="MP154">
        <v>0</v>
      </c>
      <c r="MQ154">
        <v>0</v>
      </c>
      <c r="MR154">
        <v>0</v>
      </c>
      <c r="MS154">
        <v>0</v>
      </c>
      <c r="MT154">
        <v>0</v>
      </c>
      <c r="MU154">
        <v>0</v>
      </c>
      <c r="MV154">
        <v>0</v>
      </c>
      <c r="MW154">
        <v>0</v>
      </c>
      <c r="MX154">
        <v>0</v>
      </c>
      <c r="MY154">
        <v>0</v>
      </c>
      <c r="MZ154">
        <v>0</v>
      </c>
      <c r="NA154">
        <v>0</v>
      </c>
      <c r="NB154">
        <v>0</v>
      </c>
      <c r="NC154">
        <v>0</v>
      </c>
      <c r="ND154">
        <v>0</v>
      </c>
      <c r="NE154">
        <v>0</v>
      </c>
    </row>
    <row r="155" spans="41:369" x14ac:dyDescent="0.45">
      <c r="AO155" t="str">
        <v>C111</v>
      </c>
      <c r="AP155" t="str">
        <v>MUHAMMAD ISMAIL HAMDULLA V K</v>
      </c>
      <c r="AQ155" t="str">
        <v>JARF</v>
      </c>
      <c r="AR155" t="str">
        <v>SENIOR</v>
      </c>
      <c r="AS155">
        <v>5</v>
      </c>
      <c r="AT155">
        <v>34</v>
      </c>
      <c r="AU155">
        <v>0</v>
      </c>
      <c r="AV155">
        <v>34</v>
      </c>
      <c r="AW155">
        <v>34</v>
      </c>
      <c r="AX155">
        <v>34</v>
      </c>
      <c r="AY155" s="5">
        <v>34</v>
      </c>
      <c r="AZ155" t="str">
        <v>SS11</v>
      </c>
      <c r="BA155" t="str">
        <v>PHOTOGRAPHY</v>
      </c>
      <c r="BB155" t="str">
        <v>SUPER SENIOR</v>
      </c>
      <c r="BC155" t="str">
        <v>Single</v>
      </c>
      <c r="BD155" t="str">
        <v>Non-Stg</v>
      </c>
      <c r="BE155">
        <v>2</v>
      </c>
      <c r="BF155" t="str">
        <v>Individual</v>
      </c>
      <c r="BG155" t="str">
        <v>Individual</v>
      </c>
      <c r="BH155" t="str">
        <v>P</v>
      </c>
      <c r="BI155" t="str">
        <v>PUBLISHED</v>
      </c>
      <c r="BK155">
        <v>149</v>
      </c>
      <c r="BL155" t="str">
        <v>SS07</v>
      </c>
      <c r="BM155" t="str">
        <v>ESSAY URD</v>
      </c>
      <c r="BN155">
        <v>3</v>
      </c>
      <c r="BO155" t="str">
        <v>Single</v>
      </c>
      <c r="BP155" t="str">
        <v>Non-Stg</v>
      </c>
      <c r="BQ155" t="str">
        <v>SUPER SENIOR</v>
      </c>
      <c r="BR155" t="str">
        <v>D128</v>
      </c>
      <c r="BS155" t="str">
        <v>D147</v>
      </c>
      <c r="BT155" t="str">
        <v>D184</v>
      </c>
      <c r="BU155">
        <v>0</v>
      </c>
      <c r="BV155">
        <v>0</v>
      </c>
      <c r="BW155">
        <v>0</v>
      </c>
      <c r="BX155">
        <v>0</v>
      </c>
      <c r="BY155" t="str">
        <v>D131</v>
      </c>
      <c r="BZ155" t="str">
        <v>D166</v>
      </c>
      <c r="CA155" t="str">
        <v>D187</v>
      </c>
      <c r="CB155">
        <v>0</v>
      </c>
      <c r="CC155">
        <v>0</v>
      </c>
      <c r="CD155">
        <v>0</v>
      </c>
      <c r="CE155">
        <v>0</v>
      </c>
      <c r="CF155" t="str">
        <v>D118</v>
      </c>
      <c r="CG155" t="str">
        <v>D161</v>
      </c>
      <c r="CH155" t="str">
        <v>D162</v>
      </c>
      <c r="CI155">
        <v>0</v>
      </c>
      <c r="CJ155">
        <v>0</v>
      </c>
      <c r="CK155">
        <v>0</v>
      </c>
      <c r="CL155">
        <v>0</v>
      </c>
      <c r="CM155" t="str">
        <v>D111</v>
      </c>
      <c r="CN155" t="str">
        <v>D116</v>
      </c>
      <c r="CO155" t="str">
        <v>D164</v>
      </c>
      <c r="CP155">
        <v>0</v>
      </c>
      <c r="CQ155">
        <v>0</v>
      </c>
      <c r="CR155">
        <v>0</v>
      </c>
      <c r="CS155">
        <v>0</v>
      </c>
      <c r="CT155">
        <v>0</v>
      </c>
      <c r="CU155">
        <v>0</v>
      </c>
      <c r="CV155">
        <v>0</v>
      </c>
      <c r="CW155">
        <v>0</v>
      </c>
      <c r="CX155">
        <v>0</v>
      </c>
      <c r="CY155">
        <v>0</v>
      </c>
      <c r="CZ155">
        <v>0</v>
      </c>
      <c r="DA155">
        <v>0</v>
      </c>
      <c r="DB155">
        <v>0</v>
      </c>
      <c r="DC155">
        <v>0</v>
      </c>
      <c r="DD155">
        <v>0</v>
      </c>
      <c r="DE155">
        <v>0</v>
      </c>
      <c r="DF155">
        <v>0</v>
      </c>
      <c r="DG155">
        <v>0</v>
      </c>
      <c r="DH155">
        <v>0</v>
      </c>
      <c r="DI155">
        <v>0</v>
      </c>
      <c r="DJ155">
        <v>0</v>
      </c>
      <c r="DK155">
        <v>0</v>
      </c>
      <c r="DL155">
        <v>0</v>
      </c>
      <c r="DM155">
        <v>0</v>
      </c>
      <c r="DN155">
        <v>0</v>
      </c>
      <c r="DO155">
        <v>0</v>
      </c>
      <c r="DP155">
        <v>0</v>
      </c>
      <c r="DQ155">
        <v>0</v>
      </c>
      <c r="DR155">
        <v>0</v>
      </c>
      <c r="DS155">
        <v>0</v>
      </c>
      <c r="DT155">
        <v>0</v>
      </c>
      <c r="DU155">
        <v>0</v>
      </c>
      <c r="DV155">
        <v>0</v>
      </c>
      <c r="DW155">
        <v>0</v>
      </c>
      <c r="DX155">
        <v>0</v>
      </c>
      <c r="DY155">
        <v>0</v>
      </c>
      <c r="DZ155">
        <v>0</v>
      </c>
      <c r="EA155">
        <v>0</v>
      </c>
      <c r="EB155">
        <v>0</v>
      </c>
      <c r="EC155">
        <v>0</v>
      </c>
      <c r="ED155">
        <v>0</v>
      </c>
      <c r="EE155">
        <v>0</v>
      </c>
      <c r="EF155">
        <v>0</v>
      </c>
      <c r="EG155">
        <v>0</v>
      </c>
      <c r="EH155">
        <v>0</v>
      </c>
      <c r="EI155">
        <v>0</v>
      </c>
      <c r="EJ155">
        <v>0</v>
      </c>
      <c r="EK155">
        <v>0</v>
      </c>
      <c r="EL155">
        <v>0</v>
      </c>
      <c r="EM155">
        <v>0</v>
      </c>
      <c r="EN155">
        <v>0</v>
      </c>
      <c r="EO155">
        <v>0</v>
      </c>
      <c r="EP155">
        <v>0</v>
      </c>
      <c r="EQ155">
        <v>0</v>
      </c>
      <c r="ER155">
        <v>0</v>
      </c>
      <c r="ES155">
        <v>0</v>
      </c>
      <c r="ET155">
        <v>0</v>
      </c>
      <c r="EU155">
        <v>0</v>
      </c>
      <c r="EV155">
        <v>0</v>
      </c>
      <c r="EW155">
        <v>0</v>
      </c>
      <c r="EX155">
        <v>0</v>
      </c>
      <c r="EY155">
        <v>0</v>
      </c>
      <c r="EZ155">
        <v>0</v>
      </c>
      <c r="FA155">
        <v>0</v>
      </c>
      <c r="FB155">
        <v>0</v>
      </c>
      <c r="FC155">
        <v>0</v>
      </c>
      <c r="FD155">
        <v>0</v>
      </c>
      <c r="FE155">
        <v>0</v>
      </c>
      <c r="FF155">
        <v>0</v>
      </c>
      <c r="FG155">
        <v>0</v>
      </c>
      <c r="FH155">
        <v>0</v>
      </c>
      <c r="FI155">
        <v>0</v>
      </c>
      <c r="FJ155">
        <v>0</v>
      </c>
      <c r="FK155">
        <v>0</v>
      </c>
      <c r="FL155">
        <v>0</v>
      </c>
      <c r="FM155">
        <v>0</v>
      </c>
      <c r="FN155">
        <v>0</v>
      </c>
      <c r="FO155">
        <v>0</v>
      </c>
      <c r="FP155">
        <v>0</v>
      </c>
      <c r="FQ155">
        <v>0</v>
      </c>
      <c r="FR155">
        <v>0</v>
      </c>
      <c r="FS155">
        <v>0</v>
      </c>
      <c r="FT155">
        <v>0</v>
      </c>
      <c r="FU155">
        <v>0</v>
      </c>
      <c r="FV155">
        <v>0</v>
      </c>
      <c r="FW155">
        <v>0</v>
      </c>
      <c r="FX155">
        <v>0</v>
      </c>
      <c r="FY155">
        <v>0</v>
      </c>
      <c r="FZ155">
        <v>0</v>
      </c>
      <c r="GA155">
        <v>0</v>
      </c>
      <c r="GB155">
        <v>0</v>
      </c>
      <c r="GC155">
        <v>0</v>
      </c>
      <c r="GD155">
        <v>0</v>
      </c>
      <c r="GE155">
        <v>0</v>
      </c>
      <c r="GF155">
        <v>0</v>
      </c>
      <c r="GG155">
        <v>0</v>
      </c>
      <c r="GH155">
        <v>0</v>
      </c>
      <c r="GI155">
        <v>0</v>
      </c>
      <c r="GJ155">
        <v>0</v>
      </c>
      <c r="GK155">
        <v>0</v>
      </c>
      <c r="GL155">
        <v>0</v>
      </c>
      <c r="GM155">
        <v>0</v>
      </c>
      <c r="GN155">
        <v>0</v>
      </c>
      <c r="GO155">
        <v>0</v>
      </c>
      <c r="GP155">
        <v>0</v>
      </c>
      <c r="GQ155">
        <v>0</v>
      </c>
      <c r="GR155">
        <v>0</v>
      </c>
      <c r="GS155">
        <v>0</v>
      </c>
      <c r="GT155">
        <v>0</v>
      </c>
      <c r="GU155">
        <v>0</v>
      </c>
      <c r="GV155">
        <v>0</v>
      </c>
      <c r="GW155">
        <v>0</v>
      </c>
      <c r="GX155">
        <v>0</v>
      </c>
      <c r="GY155">
        <v>0</v>
      </c>
      <c r="GZ155">
        <v>0</v>
      </c>
      <c r="HA155">
        <v>0</v>
      </c>
      <c r="HB155">
        <v>0</v>
      </c>
      <c r="HC155">
        <v>0</v>
      </c>
      <c r="HD155">
        <v>0</v>
      </c>
      <c r="HE155">
        <v>0</v>
      </c>
      <c r="HF155">
        <v>0</v>
      </c>
      <c r="HG155">
        <v>0</v>
      </c>
      <c r="HH155">
        <v>0</v>
      </c>
      <c r="HI155">
        <v>0</v>
      </c>
      <c r="HJ155">
        <v>0</v>
      </c>
      <c r="HK155">
        <v>0</v>
      </c>
      <c r="HL155">
        <v>0</v>
      </c>
      <c r="HM155">
        <v>0</v>
      </c>
      <c r="HN155">
        <v>0</v>
      </c>
      <c r="HO155">
        <v>0</v>
      </c>
      <c r="HP155">
        <v>0</v>
      </c>
      <c r="HQ155">
        <v>0</v>
      </c>
      <c r="HR155">
        <v>0</v>
      </c>
      <c r="HS155">
        <v>0</v>
      </c>
      <c r="HT155">
        <v>0</v>
      </c>
      <c r="HU155">
        <v>0</v>
      </c>
      <c r="HV155">
        <v>0</v>
      </c>
      <c r="HW155">
        <v>0</v>
      </c>
      <c r="HX155">
        <v>0</v>
      </c>
      <c r="HY155">
        <v>0</v>
      </c>
      <c r="HZ155">
        <v>0</v>
      </c>
      <c r="IA155">
        <v>0</v>
      </c>
      <c r="IB155">
        <v>0</v>
      </c>
      <c r="IC155">
        <v>0</v>
      </c>
      <c r="ID155">
        <v>0</v>
      </c>
      <c r="IE155">
        <v>0</v>
      </c>
      <c r="IF155">
        <v>0</v>
      </c>
      <c r="IG155">
        <v>0</v>
      </c>
      <c r="IH155">
        <v>0</v>
      </c>
      <c r="II155">
        <v>0</v>
      </c>
      <c r="IJ155">
        <v>0</v>
      </c>
      <c r="IK155">
        <v>0</v>
      </c>
      <c r="IL155">
        <v>0</v>
      </c>
      <c r="IM155">
        <v>0</v>
      </c>
      <c r="IN155">
        <v>0</v>
      </c>
      <c r="IO155">
        <v>0</v>
      </c>
      <c r="IP155">
        <v>0</v>
      </c>
      <c r="IQ155">
        <v>0</v>
      </c>
      <c r="IR155">
        <v>0</v>
      </c>
      <c r="IS155">
        <v>0</v>
      </c>
      <c r="IT155">
        <v>0</v>
      </c>
      <c r="IU155">
        <v>0</v>
      </c>
      <c r="IV155">
        <v>0</v>
      </c>
      <c r="IW155">
        <v>0</v>
      </c>
      <c r="IX155">
        <v>0</v>
      </c>
      <c r="IY155">
        <v>0</v>
      </c>
      <c r="IZ155">
        <v>0</v>
      </c>
      <c r="JA155">
        <v>0</v>
      </c>
      <c r="JB155">
        <v>0</v>
      </c>
      <c r="JC155">
        <v>0</v>
      </c>
      <c r="JD155">
        <v>0</v>
      </c>
      <c r="JE155">
        <v>0</v>
      </c>
      <c r="JF155">
        <v>0</v>
      </c>
      <c r="JG155">
        <v>0</v>
      </c>
      <c r="JH155">
        <v>0</v>
      </c>
      <c r="JI155">
        <v>0</v>
      </c>
      <c r="JJ155">
        <v>0</v>
      </c>
      <c r="JK155">
        <v>0</v>
      </c>
      <c r="JL155">
        <v>0</v>
      </c>
      <c r="JM155">
        <v>0</v>
      </c>
      <c r="JN155">
        <v>0</v>
      </c>
      <c r="JO155">
        <v>0</v>
      </c>
      <c r="JP155">
        <v>0</v>
      </c>
      <c r="JQ155">
        <v>0</v>
      </c>
      <c r="JR155">
        <v>0</v>
      </c>
      <c r="JS155">
        <v>0</v>
      </c>
      <c r="JT155">
        <v>0</v>
      </c>
      <c r="JU155">
        <v>0</v>
      </c>
      <c r="JV155">
        <v>0</v>
      </c>
      <c r="JW155">
        <v>0</v>
      </c>
      <c r="JX155">
        <v>0</v>
      </c>
      <c r="JY155">
        <v>0</v>
      </c>
      <c r="JZ155">
        <v>0</v>
      </c>
      <c r="KA155">
        <v>0</v>
      </c>
      <c r="KB155">
        <v>0</v>
      </c>
      <c r="KC155">
        <v>0</v>
      </c>
      <c r="KD155">
        <v>0</v>
      </c>
      <c r="KE155">
        <v>0</v>
      </c>
      <c r="KF155">
        <v>0</v>
      </c>
      <c r="KG155">
        <v>0</v>
      </c>
      <c r="KH155">
        <v>0</v>
      </c>
      <c r="KI155">
        <v>0</v>
      </c>
      <c r="KJ155">
        <v>0</v>
      </c>
      <c r="KK155">
        <v>0</v>
      </c>
      <c r="KL155">
        <v>0</v>
      </c>
      <c r="KM155">
        <v>0</v>
      </c>
      <c r="KN155">
        <v>0</v>
      </c>
      <c r="KO155">
        <v>0</v>
      </c>
      <c r="KP155">
        <v>0</v>
      </c>
      <c r="KQ155">
        <v>0</v>
      </c>
      <c r="KR155">
        <v>0</v>
      </c>
      <c r="KS155">
        <v>0</v>
      </c>
      <c r="KT155">
        <v>0</v>
      </c>
      <c r="KU155">
        <v>0</v>
      </c>
      <c r="KV155">
        <v>0</v>
      </c>
      <c r="KW155">
        <v>0</v>
      </c>
      <c r="KX155">
        <v>0</v>
      </c>
      <c r="KY155">
        <v>0</v>
      </c>
      <c r="KZ155">
        <v>0</v>
      </c>
      <c r="LA155">
        <v>0</v>
      </c>
      <c r="LB155">
        <v>0</v>
      </c>
      <c r="LC155">
        <v>0</v>
      </c>
      <c r="LD155">
        <v>0</v>
      </c>
      <c r="LE155">
        <v>0</v>
      </c>
      <c r="LF155">
        <v>0</v>
      </c>
      <c r="LG155">
        <v>0</v>
      </c>
      <c r="LH155">
        <v>0</v>
      </c>
      <c r="LI155">
        <v>0</v>
      </c>
      <c r="LJ155">
        <v>0</v>
      </c>
      <c r="LK155">
        <v>0</v>
      </c>
      <c r="LL155">
        <v>0</v>
      </c>
      <c r="LM155">
        <v>0</v>
      </c>
      <c r="LN155">
        <v>0</v>
      </c>
      <c r="LO155">
        <v>0</v>
      </c>
      <c r="LP155">
        <v>0</v>
      </c>
      <c r="LQ155">
        <v>0</v>
      </c>
      <c r="LR155">
        <v>0</v>
      </c>
      <c r="LS155">
        <v>0</v>
      </c>
      <c r="LT155">
        <v>0</v>
      </c>
      <c r="LU155">
        <v>0</v>
      </c>
      <c r="LV155">
        <v>0</v>
      </c>
      <c r="LW155">
        <v>0</v>
      </c>
      <c r="LX155">
        <v>0</v>
      </c>
      <c r="LY155">
        <v>0</v>
      </c>
      <c r="LZ155">
        <v>0</v>
      </c>
      <c r="MA155">
        <v>0</v>
      </c>
      <c r="MB155">
        <v>0</v>
      </c>
      <c r="MC155">
        <v>0</v>
      </c>
      <c r="MD155">
        <v>0</v>
      </c>
      <c r="ME155">
        <v>0</v>
      </c>
      <c r="MF155">
        <v>0</v>
      </c>
      <c r="MG155">
        <v>0</v>
      </c>
      <c r="MH155">
        <v>0</v>
      </c>
      <c r="MI155">
        <v>0</v>
      </c>
      <c r="MJ155">
        <v>0</v>
      </c>
      <c r="MK155">
        <v>0</v>
      </c>
      <c r="ML155">
        <v>0</v>
      </c>
      <c r="MM155">
        <v>0</v>
      </c>
      <c r="MN155">
        <v>0</v>
      </c>
      <c r="MO155">
        <v>0</v>
      </c>
      <c r="MP155">
        <v>0</v>
      </c>
      <c r="MQ155">
        <v>0</v>
      </c>
      <c r="MR155">
        <v>0</v>
      </c>
      <c r="MS155">
        <v>0</v>
      </c>
      <c r="MT155">
        <v>0</v>
      </c>
      <c r="MU155">
        <v>0</v>
      </c>
      <c r="MV155">
        <v>0</v>
      </c>
      <c r="MW155">
        <v>0</v>
      </c>
      <c r="MX155">
        <v>0</v>
      </c>
      <c r="MY155">
        <v>0</v>
      </c>
      <c r="MZ155">
        <v>0</v>
      </c>
      <c r="NA155">
        <v>0</v>
      </c>
      <c r="NB155">
        <v>0</v>
      </c>
      <c r="NC155">
        <v>0</v>
      </c>
      <c r="ND155">
        <v>0</v>
      </c>
      <c r="NE155">
        <v>0</v>
      </c>
    </row>
    <row r="156" spans="41:369" x14ac:dyDescent="0.45">
      <c r="AO156" t="str">
        <v>C112</v>
      </c>
      <c r="AP156" t="str">
        <v>MOHAMMED SA'DUDDEEN K</v>
      </c>
      <c r="AQ156" t="str">
        <v>FANT</v>
      </c>
      <c r="AR156" t="str">
        <v>SENIOR</v>
      </c>
      <c r="AS156">
        <v>5</v>
      </c>
      <c r="AT156">
        <v>31</v>
      </c>
      <c r="AU156">
        <v>0</v>
      </c>
      <c r="AV156">
        <v>31</v>
      </c>
      <c r="AW156">
        <v>31</v>
      </c>
      <c r="AX156">
        <v>42</v>
      </c>
      <c r="AY156" s="5">
        <v>42</v>
      </c>
      <c r="AZ156" t="str">
        <v>SS12</v>
      </c>
      <c r="BA156" t="str">
        <v>POEM ARB</v>
      </c>
      <c r="BB156" t="str">
        <v>SUPER SENIOR</v>
      </c>
      <c r="BC156" t="str">
        <v>Single</v>
      </c>
      <c r="BD156" t="str">
        <v>Non-Stg</v>
      </c>
      <c r="BE156">
        <v>3</v>
      </c>
      <c r="BF156" t="str">
        <v>Individual</v>
      </c>
      <c r="BG156" t="str">
        <v>Individual</v>
      </c>
      <c r="BH156" t="str">
        <v>P</v>
      </c>
      <c r="BI156" t="str">
        <v>PUBLISHED</v>
      </c>
      <c r="BK156">
        <v>150</v>
      </c>
      <c r="BL156" t="str">
        <v>SS08</v>
      </c>
      <c r="BM156" t="str">
        <v>EXCEL EXPERT</v>
      </c>
      <c r="BN156">
        <v>2</v>
      </c>
      <c r="BO156" t="str">
        <v>Single</v>
      </c>
      <c r="BP156" t="str">
        <v>Non-Stg</v>
      </c>
      <c r="BQ156" t="str">
        <v>SUPER SENIOR</v>
      </c>
      <c r="BR156" t="str">
        <v>D134</v>
      </c>
      <c r="BS156" t="str">
        <v>D177</v>
      </c>
      <c r="BT156">
        <v>0</v>
      </c>
      <c r="BU156">
        <v>0</v>
      </c>
      <c r="BV156">
        <v>0</v>
      </c>
      <c r="BW156">
        <v>0</v>
      </c>
      <c r="BX156">
        <v>0</v>
      </c>
      <c r="BY156" t="str">
        <v>D108</v>
      </c>
      <c r="BZ156" t="str">
        <v>D148</v>
      </c>
      <c r="CA156">
        <v>0</v>
      </c>
      <c r="CB156">
        <v>0</v>
      </c>
      <c r="CC156">
        <v>0</v>
      </c>
      <c r="CD156">
        <v>0</v>
      </c>
      <c r="CE156">
        <v>0</v>
      </c>
      <c r="CF156" t="str">
        <v>D124</v>
      </c>
      <c r="CG156" t="str">
        <v>D126</v>
      </c>
      <c r="CH156">
        <v>0</v>
      </c>
      <c r="CI156">
        <v>0</v>
      </c>
      <c r="CJ156">
        <v>0</v>
      </c>
      <c r="CK156">
        <v>0</v>
      </c>
      <c r="CL156">
        <v>0</v>
      </c>
      <c r="CM156" t="str">
        <v>D101</v>
      </c>
      <c r="CN156" t="str">
        <v>D164</v>
      </c>
      <c r="CO156">
        <v>0</v>
      </c>
      <c r="CP156">
        <v>0</v>
      </c>
      <c r="CQ156">
        <v>0</v>
      </c>
      <c r="CR156">
        <v>0</v>
      </c>
      <c r="CS156">
        <v>0</v>
      </c>
      <c r="CT156">
        <v>0</v>
      </c>
      <c r="CU156">
        <v>0</v>
      </c>
      <c r="CV156">
        <v>0</v>
      </c>
      <c r="CW156">
        <v>0</v>
      </c>
      <c r="CX156">
        <v>0</v>
      </c>
      <c r="CY156">
        <v>0</v>
      </c>
      <c r="CZ156">
        <v>0</v>
      </c>
      <c r="DA156">
        <v>0</v>
      </c>
      <c r="DB156">
        <v>0</v>
      </c>
      <c r="DC156">
        <v>0</v>
      </c>
      <c r="DD156">
        <v>0</v>
      </c>
      <c r="DE156">
        <v>0</v>
      </c>
      <c r="DF156">
        <v>0</v>
      </c>
      <c r="DG156">
        <v>0</v>
      </c>
      <c r="DH156">
        <v>0</v>
      </c>
      <c r="DI156">
        <v>0</v>
      </c>
      <c r="DJ156">
        <v>0</v>
      </c>
      <c r="DK156">
        <v>0</v>
      </c>
      <c r="DL156">
        <v>0</v>
      </c>
      <c r="DM156">
        <v>0</v>
      </c>
      <c r="DN156">
        <v>0</v>
      </c>
      <c r="DO156">
        <v>0</v>
      </c>
      <c r="DP156">
        <v>0</v>
      </c>
      <c r="DQ156">
        <v>0</v>
      </c>
      <c r="DR156">
        <v>0</v>
      </c>
      <c r="DS156">
        <v>0</v>
      </c>
      <c r="DT156">
        <v>0</v>
      </c>
      <c r="DU156">
        <v>0</v>
      </c>
      <c r="DV156">
        <v>0</v>
      </c>
      <c r="DW156">
        <v>0</v>
      </c>
      <c r="DX156">
        <v>0</v>
      </c>
      <c r="DY156">
        <v>0</v>
      </c>
      <c r="DZ156">
        <v>0</v>
      </c>
      <c r="EA156">
        <v>0</v>
      </c>
      <c r="EB156">
        <v>0</v>
      </c>
      <c r="EC156">
        <v>0</v>
      </c>
      <c r="ED156">
        <v>0</v>
      </c>
      <c r="EE156">
        <v>0</v>
      </c>
      <c r="EF156">
        <v>0</v>
      </c>
      <c r="EG156">
        <v>0</v>
      </c>
      <c r="EH156">
        <v>0</v>
      </c>
      <c r="EI156">
        <v>0</v>
      </c>
      <c r="EJ156">
        <v>0</v>
      </c>
      <c r="EK156">
        <v>0</v>
      </c>
      <c r="EL156">
        <v>0</v>
      </c>
      <c r="EM156">
        <v>0</v>
      </c>
      <c r="EN156">
        <v>0</v>
      </c>
      <c r="EO156">
        <v>0</v>
      </c>
      <c r="EP156">
        <v>0</v>
      </c>
      <c r="EQ156">
        <v>0</v>
      </c>
      <c r="ER156">
        <v>0</v>
      </c>
      <c r="ES156">
        <v>0</v>
      </c>
      <c r="ET156">
        <v>0</v>
      </c>
      <c r="EU156">
        <v>0</v>
      </c>
      <c r="EV156">
        <v>0</v>
      </c>
      <c r="EW156">
        <v>0</v>
      </c>
      <c r="EX156">
        <v>0</v>
      </c>
      <c r="EY156">
        <v>0</v>
      </c>
      <c r="EZ156">
        <v>0</v>
      </c>
      <c r="FA156">
        <v>0</v>
      </c>
      <c r="FB156">
        <v>0</v>
      </c>
      <c r="FC156">
        <v>0</v>
      </c>
      <c r="FD156">
        <v>0</v>
      </c>
      <c r="FE156">
        <v>0</v>
      </c>
      <c r="FF156">
        <v>0</v>
      </c>
      <c r="FG156">
        <v>0</v>
      </c>
      <c r="FH156">
        <v>0</v>
      </c>
      <c r="FI156">
        <v>0</v>
      </c>
      <c r="FJ156">
        <v>0</v>
      </c>
      <c r="FK156">
        <v>0</v>
      </c>
      <c r="FL156">
        <v>0</v>
      </c>
      <c r="FM156">
        <v>0</v>
      </c>
      <c r="FN156">
        <v>0</v>
      </c>
      <c r="FO156">
        <v>0</v>
      </c>
      <c r="FP156">
        <v>0</v>
      </c>
      <c r="FQ156">
        <v>0</v>
      </c>
      <c r="FR156">
        <v>0</v>
      </c>
      <c r="FS156">
        <v>0</v>
      </c>
      <c r="FT156">
        <v>0</v>
      </c>
      <c r="FU156">
        <v>0</v>
      </c>
      <c r="FV156">
        <v>0</v>
      </c>
      <c r="FW156">
        <v>0</v>
      </c>
      <c r="FX156">
        <v>0</v>
      </c>
      <c r="FY156">
        <v>0</v>
      </c>
      <c r="FZ156">
        <v>0</v>
      </c>
      <c r="GA156">
        <v>0</v>
      </c>
      <c r="GB156">
        <v>0</v>
      </c>
      <c r="GC156">
        <v>0</v>
      </c>
      <c r="GD156">
        <v>0</v>
      </c>
      <c r="GE156">
        <v>0</v>
      </c>
      <c r="GF156">
        <v>0</v>
      </c>
      <c r="GG156">
        <v>0</v>
      </c>
      <c r="GH156">
        <v>0</v>
      </c>
      <c r="GI156">
        <v>0</v>
      </c>
      <c r="GJ156">
        <v>0</v>
      </c>
      <c r="GK156">
        <v>0</v>
      </c>
      <c r="GL156">
        <v>0</v>
      </c>
      <c r="GM156">
        <v>0</v>
      </c>
      <c r="GN156">
        <v>0</v>
      </c>
      <c r="GO156">
        <v>0</v>
      </c>
      <c r="GP156">
        <v>0</v>
      </c>
      <c r="GQ156">
        <v>0</v>
      </c>
      <c r="GR156">
        <v>0</v>
      </c>
      <c r="GS156">
        <v>0</v>
      </c>
      <c r="GT156">
        <v>0</v>
      </c>
      <c r="GU156">
        <v>0</v>
      </c>
      <c r="GV156">
        <v>0</v>
      </c>
      <c r="GW156">
        <v>0</v>
      </c>
      <c r="GX156">
        <v>0</v>
      </c>
      <c r="GY156">
        <v>0</v>
      </c>
      <c r="GZ156">
        <v>0</v>
      </c>
      <c r="HA156">
        <v>0</v>
      </c>
      <c r="HB156">
        <v>0</v>
      </c>
      <c r="HC156">
        <v>0</v>
      </c>
      <c r="HD156">
        <v>0</v>
      </c>
      <c r="HE156">
        <v>0</v>
      </c>
      <c r="HF156">
        <v>0</v>
      </c>
      <c r="HG156">
        <v>0</v>
      </c>
      <c r="HH156">
        <v>0</v>
      </c>
      <c r="HI156">
        <v>0</v>
      </c>
      <c r="HJ156">
        <v>0</v>
      </c>
      <c r="HK156">
        <v>0</v>
      </c>
      <c r="HL156">
        <v>0</v>
      </c>
      <c r="HM156">
        <v>0</v>
      </c>
      <c r="HN156">
        <v>0</v>
      </c>
      <c r="HO156">
        <v>0</v>
      </c>
      <c r="HP156">
        <v>0</v>
      </c>
      <c r="HQ156">
        <v>0</v>
      </c>
      <c r="HR156">
        <v>0</v>
      </c>
      <c r="HS156">
        <v>0</v>
      </c>
      <c r="HT156">
        <v>0</v>
      </c>
      <c r="HU156">
        <v>0</v>
      </c>
      <c r="HV156">
        <v>0</v>
      </c>
      <c r="HW156">
        <v>0</v>
      </c>
      <c r="HX156">
        <v>0</v>
      </c>
      <c r="HY156">
        <v>0</v>
      </c>
      <c r="HZ156">
        <v>0</v>
      </c>
      <c r="IA156">
        <v>0</v>
      </c>
      <c r="IB156">
        <v>0</v>
      </c>
      <c r="IC156">
        <v>0</v>
      </c>
      <c r="ID156">
        <v>0</v>
      </c>
      <c r="IE156">
        <v>0</v>
      </c>
      <c r="IF156">
        <v>0</v>
      </c>
      <c r="IG156">
        <v>0</v>
      </c>
      <c r="IH156">
        <v>0</v>
      </c>
      <c r="II156">
        <v>0</v>
      </c>
      <c r="IJ156">
        <v>0</v>
      </c>
      <c r="IK156">
        <v>0</v>
      </c>
      <c r="IL156">
        <v>0</v>
      </c>
      <c r="IM156">
        <v>0</v>
      </c>
      <c r="IN156">
        <v>0</v>
      </c>
      <c r="IO156">
        <v>0</v>
      </c>
      <c r="IP156">
        <v>0</v>
      </c>
      <c r="IQ156">
        <v>0</v>
      </c>
      <c r="IR156">
        <v>0</v>
      </c>
      <c r="IS156">
        <v>0</v>
      </c>
      <c r="IT156">
        <v>0</v>
      </c>
      <c r="IU156">
        <v>0</v>
      </c>
      <c r="IV156">
        <v>0</v>
      </c>
      <c r="IW156">
        <v>0</v>
      </c>
      <c r="IX156">
        <v>0</v>
      </c>
      <c r="IY156">
        <v>0</v>
      </c>
      <c r="IZ156">
        <v>0</v>
      </c>
      <c r="JA156">
        <v>0</v>
      </c>
      <c r="JB156">
        <v>0</v>
      </c>
      <c r="JC156">
        <v>0</v>
      </c>
      <c r="JD156">
        <v>0</v>
      </c>
      <c r="JE156">
        <v>0</v>
      </c>
      <c r="JF156">
        <v>0</v>
      </c>
      <c r="JG156">
        <v>0</v>
      </c>
      <c r="JH156">
        <v>0</v>
      </c>
      <c r="JI156">
        <v>0</v>
      </c>
      <c r="JJ156">
        <v>0</v>
      </c>
      <c r="JK156">
        <v>0</v>
      </c>
      <c r="JL156">
        <v>0</v>
      </c>
      <c r="JM156">
        <v>0</v>
      </c>
      <c r="JN156">
        <v>0</v>
      </c>
      <c r="JO156">
        <v>0</v>
      </c>
      <c r="JP156">
        <v>0</v>
      </c>
      <c r="JQ156">
        <v>0</v>
      </c>
      <c r="JR156">
        <v>0</v>
      </c>
      <c r="JS156">
        <v>0</v>
      </c>
      <c r="JT156">
        <v>0</v>
      </c>
      <c r="JU156">
        <v>0</v>
      </c>
      <c r="JV156">
        <v>0</v>
      </c>
      <c r="JW156">
        <v>0</v>
      </c>
      <c r="JX156">
        <v>0</v>
      </c>
      <c r="JY156">
        <v>0</v>
      </c>
      <c r="JZ156">
        <v>0</v>
      </c>
      <c r="KA156">
        <v>0</v>
      </c>
      <c r="KB156">
        <v>0</v>
      </c>
      <c r="KC156">
        <v>0</v>
      </c>
      <c r="KD156">
        <v>0</v>
      </c>
      <c r="KE156">
        <v>0</v>
      </c>
      <c r="KF156">
        <v>0</v>
      </c>
      <c r="KG156">
        <v>0</v>
      </c>
      <c r="KH156">
        <v>0</v>
      </c>
      <c r="KI156">
        <v>0</v>
      </c>
      <c r="KJ156">
        <v>0</v>
      </c>
      <c r="KK156">
        <v>0</v>
      </c>
      <c r="KL156">
        <v>0</v>
      </c>
      <c r="KM156">
        <v>0</v>
      </c>
      <c r="KN156">
        <v>0</v>
      </c>
      <c r="KO156">
        <v>0</v>
      </c>
      <c r="KP156">
        <v>0</v>
      </c>
      <c r="KQ156">
        <v>0</v>
      </c>
      <c r="KR156">
        <v>0</v>
      </c>
      <c r="KS156">
        <v>0</v>
      </c>
      <c r="KT156">
        <v>0</v>
      </c>
      <c r="KU156">
        <v>0</v>
      </c>
      <c r="KV156">
        <v>0</v>
      </c>
      <c r="KW156">
        <v>0</v>
      </c>
      <c r="KX156">
        <v>0</v>
      </c>
      <c r="KY156">
        <v>0</v>
      </c>
      <c r="KZ156">
        <v>0</v>
      </c>
      <c r="LA156">
        <v>0</v>
      </c>
      <c r="LB156">
        <v>0</v>
      </c>
      <c r="LC156">
        <v>0</v>
      </c>
      <c r="LD156">
        <v>0</v>
      </c>
      <c r="LE156">
        <v>0</v>
      </c>
      <c r="LF156">
        <v>0</v>
      </c>
      <c r="LG156">
        <v>0</v>
      </c>
      <c r="LH156">
        <v>0</v>
      </c>
      <c r="LI156">
        <v>0</v>
      </c>
      <c r="LJ156">
        <v>0</v>
      </c>
      <c r="LK156">
        <v>0</v>
      </c>
      <c r="LL156">
        <v>0</v>
      </c>
      <c r="LM156">
        <v>0</v>
      </c>
      <c r="LN156">
        <v>0</v>
      </c>
      <c r="LO156">
        <v>0</v>
      </c>
      <c r="LP156">
        <v>0</v>
      </c>
      <c r="LQ156">
        <v>0</v>
      </c>
      <c r="LR156">
        <v>0</v>
      </c>
      <c r="LS156">
        <v>0</v>
      </c>
      <c r="LT156">
        <v>0</v>
      </c>
      <c r="LU156">
        <v>0</v>
      </c>
      <c r="LV156">
        <v>0</v>
      </c>
      <c r="LW156">
        <v>0</v>
      </c>
      <c r="LX156">
        <v>0</v>
      </c>
      <c r="LY156">
        <v>0</v>
      </c>
      <c r="LZ156">
        <v>0</v>
      </c>
      <c r="MA156">
        <v>0</v>
      </c>
      <c r="MB156">
        <v>0</v>
      </c>
      <c r="MC156">
        <v>0</v>
      </c>
      <c r="MD156">
        <v>0</v>
      </c>
      <c r="ME156">
        <v>0</v>
      </c>
      <c r="MF156">
        <v>0</v>
      </c>
      <c r="MG156">
        <v>0</v>
      </c>
      <c r="MH156">
        <v>0</v>
      </c>
      <c r="MI156">
        <v>0</v>
      </c>
      <c r="MJ156">
        <v>0</v>
      </c>
      <c r="MK156">
        <v>0</v>
      </c>
      <c r="ML156">
        <v>0</v>
      </c>
      <c r="MM156">
        <v>0</v>
      </c>
      <c r="MN156">
        <v>0</v>
      </c>
      <c r="MO156">
        <v>0</v>
      </c>
      <c r="MP156">
        <v>0</v>
      </c>
      <c r="MQ156">
        <v>0</v>
      </c>
      <c r="MR156">
        <v>0</v>
      </c>
      <c r="MS156">
        <v>0</v>
      </c>
      <c r="MT156">
        <v>0</v>
      </c>
      <c r="MU156">
        <v>0</v>
      </c>
      <c r="MV156">
        <v>0</v>
      </c>
      <c r="MW156">
        <v>0</v>
      </c>
      <c r="MX156">
        <v>0</v>
      </c>
      <c r="MY156">
        <v>0</v>
      </c>
      <c r="MZ156">
        <v>0</v>
      </c>
      <c r="NA156">
        <v>0</v>
      </c>
      <c r="NB156">
        <v>0</v>
      </c>
      <c r="NC156">
        <v>0</v>
      </c>
      <c r="ND156">
        <v>0</v>
      </c>
      <c r="NE156">
        <v>0</v>
      </c>
    </row>
    <row r="157" spans="41:369" x14ac:dyDescent="0.45">
      <c r="AO157" t="str">
        <v>C113</v>
      </c>
      <c r="AP157" t="str">
        <v>SEYYAD MUHAMMED FAHMAN</v>
      </c>
      <c r="AQ157" t="str">
        <v>JARF</v>
      </c>
      <c r="AR157" t="str">
        <v>SENIOR</v>
      </c>
      <c r="AS157">
        <v>5</v>
      </c>
      <c r="AT157">
        <v>4</v>
      </c>
      <c r="AU157">
        <v>0</v>
      </c>
      <c r="AV157">
        <v>4</v>
      </c>
      <c r="AW157">
        <v>4</v>
      </c>
      <c r="AX157">
        <v>197</v>
      </c>
      <c r="AY157" s="5">
        <v>197</v>
      </c>
      <c r="AZ157" t="str">
        <v>SS13</v>
      </c>
      <c r="BA157" t="str">
        <v>POEM ENG</v>
      </c>
      <c r="BB157" t="str">
        <v>SUPER SENIOR</v>
      </c>
      <c r="BC157" t="str">
        <v>Single</v>
      </c>
      <c r="BD157" t="str">
        <v>Non-Stg</v>
      </c>
      <c r="BE157">
        <v>3</v>
      </c>
      <c r="BF157" t="str">
        <v>Individual</v>
      </c>
      <c r="BG157" t="str">
        <v>Individual</v>
      </c>
      <c r="BH157" t="str">
        <v>P</v>
      </c>
      <c r="BI157" t="str">
        <v>PUBLISHED</v>
      </c>
      <c r="BK157">
        <v>151</v>
      </c>
      <c r="BL157" t="str">
        <v>SS09</v>
      </c>
      <c r="BM157" t="str">
        <v>FEATURE WRITING MLM</v>
      </c>
      <c r="BN157">
        <v>3</v>
      </c>
      <c r="BO157" t="str">
        <v>Single</v>
      </c>
      <c r="BP157" t="str">
        <v>Non-Stg</v>
      </c>
      <c r="BQ157" t="str">
        <v>SUPER SENIOR</v>
      </c>
      <c r="BR157" t="str">
        <v>D105</v>
      </c>
      <c r="BS157" t="str">
        <v>D127</v>
      </c>
      <c r="BT157" t="str">
        <v>D128</v>
      </c>
      <c r="BU157">
        <v>0</v>
      </c>
      <c r="BV157">
        <v>0</v>
      </c>
      <c r="BW157">
        <v>0</v>
      </c>
      <c r="BX157">
        <v>0</v>
      </c>
      <c r="BY157" t="str">
        <v>D121</v>
      </c>
      <c r="BZ157" t="str">
        <v>D146</v>
      </c>
      <c r="CA157" t="str">
        <v>D196</v>
      </c>
      <c r="CB157">
        <v>0</v>
      </c>
      <c r="CC157">
        <v>0</v>
      </c>
      <c r="CD157">
        <v>0</v>
      </c>
      <c r="CE157">
        <v>0</v>
      </c>
      <c r="CF157" t="str">
        <v>D126</v>
      </c>
      <c r="CG157" t="str">
        <v>D173</v>
      </c>
      <c r="CH157" t="str">
        <v>D195</v>
      </c>
      <c r="CI157">
        <v>0</v>
      </c>
      <c r="CJ157">
        <v>0</v>
      </c>
      <c r="CK157">
        <v>0</v>
      </c>
      <c r="CL157">
        <v>0</v>
      </c>
      <c r="CM157" t="str">
        <v>D151</v>
      </c>
      <c r="CN157" t="str">
        <v>D170</v>
      </c>
      <c r="CO157" t="str">
        <v>D194</v>
      </c>
      <c r="CP157">
        <v>0</v>
      </c>
      <c r="CQ157">
        <v>0</v>
      </c>
      <c r="CR157">
        <v>0</v>
      </c>
      <c r="CS157">
        <v>0</v>
      </c>
      <c r="CT157">
        <v>0</v>
      </c>
      <c r="CU157">
        <v>0</v>
      </c>
      <c r="CV157">
        <v>0</v>
      </c>
      <c r="CW157">
        <v>0</v>
      </c>
      <c r="CX157">
        <v>0</v>
      </c>
      <c r="CY157">
        <v>0</v>
      </c>
      <c r="CZ157">
        <v>0</v>
      </c>
      <c r="DA157">
        <v>0</v>
      </c>
      <c r="DB157">
        <v>0</v>
      </c>
      <c r="DC157">
        <v>0</v>
      </c>
      <c r="DD157">
        <v>0</v>
      </c>
      <c r="DE157">
        <v>0</v>
      </c>
      <c r="DF157">
        <v>0</v>
      </c>
      <c r="DG157">
        <v>0</v>
      </c>
      <c r="DH157">
        <v>0</v>
      </c>
      <c r="DI157">
        <v>0</v>
      </c>
      <c r="DJ157">
        <v>0</v>
      </c>
      <c r="DK157">
        <v>0</v>
      </c>
      <c r="DL157">
        <v>0</v>
      </c>
      <c r="DM157">
        <v>0</v>
      </c>
      <c r="DN157">
        <v>0</v>
      </c>
      <c r="DO157">
        <v>0</v>
      </c>
      <c r="DP157">
        <v>0</v>
      </c>
      <c r="DQ157">
        <v>0</v>
      </c>
      <c r="DR157">
        <v>0</v>
      </c>
      <c r="DS157">
        <v>0</v>
      </c>
      <c r="DT157">
        <v>0</v>
      </c>
      <c r="DU157">
        <v>0</v>
      </c>
      <c r="DV157">
        <v>0</v>
      </c>
      <c r="DW157">
        <v>0</v>
      </c>
      <c r="DX157">
        <v>0</v>
      </c>
      <c r="DY157">
        <v>0</v>
      </c>
      <c r="DZ157">
        <v>0</v>
      </c>
      <c r="EA157">
        <v>0</v>
      </c>
      <c r="EB157">
        <v>0</v>
      </c>
      <c r="EC157">
        <v>0</v>
      </c>
      <c r="ED157">
        <v>0</v>
      </c>
      <c r="EE157">
        <v>0</v>
      </c>
      <c r="EF157">
        <v>0</v>
      </c>
      <c r="EG157">
        <v>0</v>
      </c>
      <c r="EH157">
        <v>0</v>
      </c>
      <c r="EI157">
        <v>0</v>
      </c>
      <c r="EJ157">
        <v>0</v>
      </c>
      <c r="EK157">
        <v>0</v>
      </c>
      <c r="EL157">
        <v>0</v>
      </c>
      <c r="EM157">
        <v>0</v>
      </c>
      <c r="EN157">
        <v>0</v>
      </c>
      <c r="EO157">
        <v>0</v>
      </c>
      <c r="EP157">
        <v>0</v>
      </c>
      <c r="EQ157">
        <v>0</v>
      </c>
      <c r="ER157">
        <v>0</v>
      </c>
      <c r="ES157">
        <v>0</v>
      </c>
      <c r="ET157">
        <v>0</v>
      </c>
      <c r="EU157">
        <v>0</v>
      </c>
      <c r="EV157">
        <v>0</v>
      </c>
      <c r="EW157">
        <v>0</v>
      </c>
      <c r="EX157">
        <v>0</v>
      </c>
      <c r="EY157">
        <v>0</v>
      </c>
      <c r="EZ157">
        <v>0</v>
      </c>
      <c r="FA157">
        <v>0</v>
      </c>
      <c r="FB157">
        <v>0</v>
      </c>
      <c r="FC157">
        <v>0</v>
      </c>
      <c r="FD157">
        <v>0</v>
      </c>
      <c r="FE157">
        <v>0</v>
      </c>
      <c r="FF157">
        <v>0</v>
      </c>
      <c r="FG157">
        <v>0</v>
      </c>
      <c r="FH157">
        <v>0</v>
      </c>
      <c r="FI157">
        <v>0</v>
      </c>
      <c r="FJ157">
        <v>0</v>
      </c>
      <c r="FK157">
        <v>0</v>
      </c>
      <c r="FL157">
        <v>0</v>
      </c>
      <c r="FM157">
        <v>0</v>
      </c>
      <c r="FN157">
        <v>0</v>
      </c>
      <c r="FO157">
        <v>0</v>
      </c>
      <c r="FP157">
        <v>0</v>
      </c>
      <c r="FQ157">
        <v>0</v>
      </c>
      <c r="FR157">
        <v>0</v>
      </c>
      <c r="FS157">
        <v>0</v>
      </c>
      <c r="FT157">
        <v>0</v>
      </c>
      <c r="FU157">
        <v>0</v>
      </c>
      <c r="FV157">
        <v>0</v>
      </c>
      <c r="FW157">
        <v>0</v>
      </c>
      <c r="FX157">
        <v>0</v>
      </c>
      <c r="FY157">
        <v>0</v>
      </c>
      <c r="FZ157">
        <v>0</v>
      </c>
      <c r="GA157">
        <v>0</v>
      </c>
      <c r="GB157">
        <v>0</v>
      </c>
      <c r="GC157">
        <v>0</v>
      </c>
      <c r="GD157">
        <v>0</v>
      </c>
      <c r="GE157">
        <v>0</v>
      </c>
      <c r="GF157">
        <v>0</v>
      </c>
      <c r="GG157">
        <v>0</v>
      </c>
      <c r="GH157">
        <v>0</v>
      </c>
      <c r="GI157">
        <v>0</v>
      </c>
      <c r="GJ157">
        <v>0</v>
      </c>
      <c r="GK157">
        <v>0</v>
      </c>
      <c r="GL157">
        <v>0</v>
      </c>
      <c r="GM157">
        <v>0</v>
      </c>
      <c r="GN157">
        <v>0</v>
      </c>
      <c r="GO157">
        <v>0</v>
      </c>
      <c r="GP157">
        <v>0</v>
      </c>
      <c r="GQ157">
        <v>0</v>
      </c>
      <c r="GR157">
        <v>0</v>
      </c>
      <c r="GS157">
        <v>0</v>
      </c>
      <c r="GT157">
        <v>0</v>
      </c>
      <c r="GU157">
        <v>0</v>
      </c>
      <c r="GV157">
        <v>0</v>
      </c>
      <c r="GW157">
        <v>0</v>
      </c>
      <c r="GX157">
        <v>0</v>
      </c>
      <c r="GY157">
        <v>0</v>
      </c>
      <c r="GZ157">
        <v>0</v>
      </c>
      <c r="HA157">
        <v>0</v>
      </c>
      <c r="HB157">
        <v>0</v>
      </c>
      <c r="HC157">
        <v>0</v>
      </c>
      <c r="HD157">
        <v>0</v>
      </c>
      <c r="HE157">
        <v>0</v>
      </c>
      <c r="HF157">
        <v>0</v>
      </c>
      <c r="HG157">
        <v>0</v>
      </c>
      <c r="HH157">
        <v>0</v>
      </c>
      <c r="HI157">
        <v>0</v>
      </c>
      <c r="HJ157">
        <v>0</v>
      </c>
      <c r="HK157">
        <v>0</v>
      </c>
      <c r="HL157">
        <v>0</v>
      </c>
      <c r="HM157">
        <v>0</v>
      </c>
      <c r="HN157">
        <v>0</v>
      </c>
      <c r="HO157">
        <v>0</v>
      </c>
      <c r="HP157">
        <v>0</v>
      </c>
      <c r="HQ157">
        <v>0</v>
      </c>
      <c r="HR157">
        <v>0</v>
      </c>
      <c r="HS157">
        <v>0</v>
      </c>
      <c r="HT157">
        <v>0</v>
      </c>
      <c r="HU157">
        <v>0</v>
      </c>
      <c r="HV157">
        <v>0</v>
      </c>
      <c r="HW157">
        <v>0</v>
      </c>
      <c r="HX157">
        <v>0</v>
      </c>
      <c r="HY157">
        <v>0</v>
      </c>
      <c r="HZ157">
        <v>0</v>
      </c>
      <c r="IA157">
        <v>0</v>
      </c>
      <c r="IB157">
        <v>0</v>
      </c>
      <c r="IC157">
        <v>0</v>
      </c>
      <c r="ID157">
        <v>0</v>
      </c>
      <c r="IE157">
        <v>0</v>
      </c>
      <c r="IF157">
        <v>0</v>
      </c>
      <c r="IG157">
        <v>0</v>
      </c>
      <c r="IH157">
        <v>0</v>
      </c>
      <c r="II157">
        <v>0</v>
      </c>
      <c r="IJ157">
        <v>0</v>
      </c>
      <c r="IK157">
        <v>0</v>
      </c>
      <c r="IL157">
        <v>0</v>
      </c>
      <c r="IM157">
        <v>0</v>
      </c>
      <c r="IN157">
        <v>0</v>
      </c>
      <c r="IO157">
        <v>0</v>
      </c>
      <c r="IP157">
        <v>0</v>
      </c>
      <c r="IQ157">
        <v>0</v>
      </c>
      <c r="IR157">
        <v>0</v>
      </c>
      <c r="IS157">
        <v>0</v>
      </c>
      <c r="IT157">
        <v>0</v>
      </c>
      <c r="IU157">
        <v>0</v>
      </c>
      <c r="IV157">
        <v>0</v>
      </c>
      <c r="IW157">
        <v>0</v>
      </c>
      <c r="IX157">
        <v>0</v>
      </c>
      <c r="IY157">
        <v>0</v>
      </c>
      <c r="IZ157">
        <v>0</v>
      </c>
      <c r="JA157">
        <v>0</v>
      </c>
      <c r="JB157">
        <v>0</v>
      </c>
      <c r="JC157">
        <v>0</v>
      </c>
      <c r="JD157">
        <v>0</v>
      </c>
      <c r="JE157">
        <v>0</v>
      </c>
      <c r="JF157">
        <v>0</v>
      </c>
      <c r="JG157">
        <v>0</v>
      </c>
      <c r="JH157">
        <v>0</v>
      </c>
      <c r="JI157">
        <v>0</v>
      </c>
      <c r="JJ157">
        <v>0</v>
      </c>
      <c r="JK157">
        <v>0</v>
      </c>
      <c r="JL157">
        <v>0</v>
      </c>
      <c r="JM157">
        <v>0</v>
      </c>
      <c r="JN157">
        <v>0</v>
      </c>
      <c r="JO157">
        <v>0</v>
      </c>
      <c r="JP157">
        <v>0</v>
      </c>
      <c r="JQ157">
        <v>0</v>
      </c>
      <c r="JR157">
        <v>0</v>
      </c>
      <c r="JS157">
        <v>0</v>
      </c>
      <c r="JT157">
        <v>0</v>
      </c>
      <c r="JU157">
        <v>0</v>
      </c>
      <c r="JV157">
        <v>0</v>
      </c>
      <c r="JW157">
        <v>0</v>
      </c>
      <c r="JX157">
        <v>0</v>
      </c>
      <c r="JY157">
        <v>0</v>
      </c>
      <c r="JZ157">
        <v>0</v>
      </c>
      <c r="KA157">
        <v>0</v>
      </c>
      <c r="KB157">
        <v>0</v>
      </c>
      <c r="KC157">
        <v>0</v>
      </c>
      <c r="KD157">
        <v>0</v>
      </c>
      <c r="KE157">
        <v>0</v>
      </c>
      <c r="KF157">
        <v>0</v>
      </c>
      <c r="KG157">
        <v>0</v>
      </c>
      <c r="KH157">
        <v>0</v>
      </c>
      <c r="KI157">
        <v>0</v>
      </c>
      <c r="KJ157">
        <v>0</v>
      </c>
      <c r="KK157">
        <v>0</v>
      </c>
      <c r="KL157">
        <v>0</v>
      </c>
      <c r="KM157">
        <v>0</v>
      </c>
      <c r="KN157">
        <v>0</v>
      </c>
      <c r="KO157">
        <v>0</v>
      </c>
      <c r="KP157">
        <v>0</v>
      </c>
      <c r="KQ157">
        <v>0</v>
      </c>
      <c r="KR157">
        <v>0</v>
      </c>
      <c r="KS157">
        <v>0</v>
      </c>
      <c r="KT157">
        <v>0</v>
      </c>
      <c r="KU157">
        <v>0</v>
      </c>
      <c r="KV157">
        <v>0</v>
      </c>
      <c r="KW157">
        <v>0</v>
      </c>
      <c r="KX157">
        <v>0</v>
      </c>
      <c r="KY157">
        <v>0</v>
      </c>
      <c r="KZ157">
        <v>0</v>
      </c>
      <c r="LA157">
        <v>0</v>
      </c>
      <c r="LB157">
        <v>0</v>
      </c>
      <c r="LC157">
        <v>0</v>
      </c>
      <c r="LD157">
        <v>0</v>
      </c>
      <c r="LE157">
        <v>0</v>
      </c>
      <c r="LF157">
        <v>0</v>
      </c>
      <c r="LG157">
        <v>0</v>
      </c>
      <c r="LH157">
        <v>0</v>
      </c>
      <c r="LI157">
        <v>0</v>
      </c>
      <c r="LJ157">
        <v>0</v>
      </c>
      <c r="LK157">
        <v>0</v>
      </c>
      <c r="LL157">
        <v>0</v>
      </c>
      <c r="LM157">
        <v>0</v>
      </c>
      <c r="LN157">
        <v>0</v>
      </c>
      <c r="LO157">
        <v>0</v>
      </c>
      <c r="LP157">
        <v>0</v>
      </c>
      <c r="LQ157">
        <v>0</v>
      </c>
      <c r="LR157">
        <v>0</v>
      </c>
      <c r="LS157">
        <v>0</v>
      </c>
      <c r="LT157">
        <v>0</v>
      </c>
      <c r="LU157">
        <v>0</v>
      </c>
      <c r="LV157">
        <v>0</v>
      </c>
      <c r="LW157">
        <v>0</v>
      </c>
      <c r="LX157">
        <v>0</v>
      </c>
      <c r="LY157">
        <v>0</v>
      </c>
      <c r="LZ157">
        <v>0</v>
      </c>
      <c r="MA157">
        <v>0</v>
      </c>
      <c r="MB157">
        <v>0</v>
      </c>
      <c r="MC157">
        <v>0</v>
      </c>
      <c r="MD157">
        <v>0</v>
      </c>
      <c r="ME157">
        <v>0</v>
      </c>
      <c r="MF157">
        <v>0</v>
      </c>
      <c r="MG157">
        <v>0</v>
      </c>
      <c r="MH157">
        <v>0</v>
      </c>
      <c r="MI157">
        <v>0</v>
      </c>
      <c r="MJ157">
        <v>0</v>
      </c>
      <c r="MK157">
        <v>0</v>
      </c>
      <c r="ML157">
        <v>0</v>
      </c>
      <c r="MM157">
        <v>0</v>
      </c>
      <c r="MN157">
        <v>0</v>
      </c>
      <c r="MO157">
        <v>0</v>
      </c>
      <c r="MP157">
        <v>0</v>
      </c>
      <c r="MQ157">
        <v>0</v>
      </c>
      <c r="MR157">
        <v>0</v>
      </c>
      <c r="MS157">
        <v>0</v>
      </c>
      <c r="MT157">
        <v>0</v>
      </c>
      <c r="MU157">
        <v>0</v>
      </c>
      <c r="MV157">
        <v>0</v>
      </c>
      <c r="MW157">
        <v>0</v>
      </c>
      <c r="MX157">
        <v>0</v>
      </c>
      <c r="MY157">
        <v>0</v>
      </c>
      <c r="MZ157">
        <v>0</v>
      </c>
      <c r="NA157">
        <v>0</v>
      </c>
      <c r="NB157">
        <v>0</v>
      </c>
      <c r="NC157">
        <v>0</v>
      </c>
      <c r="ND157">
        <v>0</v>
      </c>
      <c r="NE157">
        <v>0</v>
      </c>
    </row>
    <row r="158" spans="41:369" x14ac:dyDescent="0.45">
      <c r="AO158" t="str">
        <v>C114</v>
      </c>
      <c r="AP158" t="str">
        <v>AJMAL RUWAIS</v>
      </c>
      <c r="AQ158" t="str">
        <v>BADF</v>
      </c>
      <c r="AR158" t="str">
        <v>SENIOR</v>
      </c>
      <c r="AS158">
        <v>5</v>
      </c>
      <c r="AT158">
        <v>10.5</v>
      </c>
      <c r="AU158">
        <v>0</v>
      </c>
      <c r="AV158">
        <v>10.5</v>
      </c>
      <c r="AW158">
        <v>10.5</v>
      </c>
      <c r="AX158">
        <v>130</v>
      </c>
      <c r="AY158" s="5">
        <v>130</v>
      </c>
      <c r="AZ158" t="str">
        <v>SS14</v>
      </c>
      <c r="BA158" t="str">
        <v>POEM MLM</v>
      </c>
      <c r="BB158" t="str">
        <v>SUPER SENIOR</v>
      </c>
      <c r="BC158" t="str">
        <v>Single</v>
      </c>
      <c r="BD158" t="str">
        <v>Non-Stg</v>
      </c>
      <c r="BE158">
        <v>3</v>
      </c>
      <c r="BF158" t="str">
        <v>Individual</v>
      </c>
      <c r="BG158" t="str">
        <v>Individual</v>
      </c>
      <c r="BH158" t="str">
        <v>P</v>
      </c>
      <c r="BI158" t="str">
        <v>PUBLISHED</v>
      </c>
      <c r="BK158">
        <v>152</v>
      </c>
      <c r="BL158" t="str">
        <v>SS10</v>
      </c>
      <c r="BM158" t="str">
        <v>HIFZ AND THAJWEED</v>
      </c>
      <c r="BN158">
        <v>2</v>
      </c>
      <c r="BO158" t="str">
        <v>Single</v>
      </c>
      <c r="BP158" t="str">
        <v>Non-Stg</v>
      </c>
      <c r="BQ158" t="str">
        <v>SUPER SENIOR</v>
      </c>
      <c r="BR158" t="str">
        <v>D175</v>
      </c>
      <c r="BS158" t="str">
        <v>D180</v>
      </c>
      <c r="BT158">
        <v>0</v>
      </c>
      <c r="BU158">
        <v>0</v>
      </c>
      <c r="BV158">
        <v>0</v>
      </c>
      <c r="BW158">
        <v>0</v>
      </c>
      <c r="BX158">
        <v>0</v>
      </c>
      <c r="BY158" t="str">
        <v>D166</v>
      </c>
      <c r="BZ158" t="str">
        <v>D172</v>
      </c>
      <c r="CA158">
        <v>0</v>
      </c>
      <c r="CB158">
        <v>0</v>
      </c>
      <c r="CC158">
        <v>0</v>
      </c>
      <c r="CD158">
        <v>0</v>
      </c>
      <c r="CE158">
        <v>0</v>
      </c>
      <c r="CF158" t="str">
        <v>D110</v>
      </c>
      <c r="CG158" t="str">
        <v>D137</v>
      </c>
      <c r="CH158">
        <v>0</v>
      </c>
      <c r="CI158">
        <v>0</v>
      </c>
      <c r="CJ158">
        <v>0</v>
      </c>
      <c r="CK158">
        <v>0</v>
      </c>
      <c r="CL158">
        <v>0</v>
      </c>
      <c r="CM158" t="str">
        <v>D104</v>
      </c>
      <c r="CN158" t="str">
        <v>D191</v>
      </c>
      <c r="CO158">
        <v>0</v>
      </c>
      <c r="CP158">
        <v>0</v>
      </c>
      <c r="CQ158">
        <v>0</v>
      </c>
      <c r="CR158">
        <v>0</v>
      </c>
      <c r="CS158">
        <v>0</v>
      </c>
      <c r="CT158">
        <v>0</v>
      </c>
      <c r="CU158">
        <v>0</v>
      </c>
      <c r="CV158">
        <v>0</v>
      </c>
      <c r="CW158">
        <v>0</v>
      </c>
      <c r="CX158">
        <v>0</v>
      </c>
      <c r="CY158">
        <v>0</v>
      </c>
      <c r="CZ158">
        <v>0</v>
      </c>
      <c r="DA158">
        <v>0</v>
      </c>
      <c r="DB158">
        <v>0</v>
      </c>
      <c r="DC158">
        <v>0</v>
      </c>
      <c r="DD158">
        <v>0</v>
      </c>
      <c r="DE158">
        <v>0</v>
      </c>
      <c r="DF158">
        <v>0</v>
      </c>
      <c r="DG158">
        <v>0</v>
      </c>
      <c r="DH158">
        <v>0</v>
      </c>
      <c r="DI158">
        <v>0</v>
      </c>
      <c r="DJ158">
        <v>0</v>
      </c>
      <c r="DK158">
        <v>0</v>
      </c>
      <c r="DL158">
        <v>0</v>
      </c>
      <c r="DM158">
        <v>0</v>
      </c>
      <c r="DN158">
        <v>0</v>
      </c>
      <c r="DO158">
        <v>0</v>
      </c>
      <c r="DP158">
        <v>0</v>
      </c>
      <c r="DQ158">
        <v>0</v>
      </c>
      <c r="DR158">
        <v>0</v>
      </c>
      <c r="DS158">
        <v>0</v>
      </c>
      <c r="DT158">
        <v>0</v>
      </c>
      <c r="DU158">
        <v>0</v>
      </c>
      <c r="DV158">
        <v>0</v>
      </c>
      <c r="DW158">
        <v>0</v>
      </c>
      <c r="DX158">
        <v>0</v>
      </c>
      <c r="DY158">
        <v>0</v>
      </c>
      <c r="DZ158">
        <v>0</v>
      </c>
      <c r="EA158">
        <v>0</v>
      </c>
      <c r="EB158">
        <v>0</v>
      </c>
      <c r="EC158">
        <v>0</v>
      </c>
      <c r="ED158">
        <v>0</v>
      </c>
      <c r="EE158">
        <v>0</v>
      </c>
      <c r="EF158">
        <v>0</v>
      </c>
      <c r="EG158">
        <v>0</v>
      </c>
      <c r="EH158">
        <v>0</v>
      </c>
      <c r="EI158">
        <v>0</v>
      </c>
      <c r="EJ158">
        <v>0</v>
      </c>
      <c r="EK158">
        <v>0</v>
      </c>
      <c r="EL158">
        <v>0</v>
      </c>
      <c r="EM158">
        <v>0</v>
      </c>
      <c r="EN158">
        <v>0</v>
      </c>
      <c r="EO158">
        <v>0</v>
      </c>
      <c r="EP158">
        <v>0</v>
      </c>
      <c r="EQ158">
        <v>0</v>
      </c>
      <c r="ER158">
        <v>0</v>
      </c>
      <c r="ES158">
        <v>0</v>
      </c>
      <c r="ET158">
        <v>0</v>
      </c>
      <c r="EU158">
        <v>0</v>
      </c>
      <c r="EV158">
        <v>0</v>
      </c>
      <c r="EW158">
        <v>0</v>
      </c>
      <c r="EX158">
        <v>0</v>
      </c>
      <c r="EY158">
        <v>0</v>
      </c>
      <c r="EZ158">
        <v>0</v>
      </c>
      <c r="FA158">
        <v>0</v>
      </c>
      <c r="FB158">
        <v>0</v>
      </c>
      <c r="FC158">
        <v>0</v>
      </c>
      <c r="FD158">
        <v>0</v>
      </c>
      <c r="FE158">
        <v>0</v>
      </c>
      <c r="FF158">
        <v>0</v>
      </c>
      <c r="FG158">
        <v>0</v>
      </c>
      <c r="FH158">
        <v>0</v>
      </c>
      <c r="FI158">
        <v>0</v>
      </c>
      <c r="FJ158">
        <v>0</v>
      </c>
      <c r="FK158">
        <v>0</v>
      </c>
      <c r="FL158">
        <v>0</v>
      </c>
      <c r="FM158">
        <v>0</v>
      </c>
      <c r="FN158">
        <v>0</v>
      </c>
      <c r="FO158">
        <v>0</v>
      </c>
      <c r="FP158">
        <v>0</v>
      </c>
      <c r="FQ158">
        <v>0</v>
      </c>
      <c r="FR158">
        <v>0</v>
      </c>
      <c r="FS158">
        <v>0</v>
      </c>
      <c r="FT158">
        <v>0</v>
      </c>
      <c r="FU158">
        <v>0</v>
      </c>
      <c r="FV158">
        <v>0</v>
      </c>
      <c r="FW158">
        <v>0</v>
      </c>
      <c r="FX158">
        <v>0</v>
      </c>
      <c r="FY158">
        <v>0</v>
      </c>
      <c r="FZ158">
        <v>0</v>
      </c>
      <c r="GA158">
        <v>0</v>
      </c>
      <c r="GB158">
        <v>0</v>
      </c>
      <c r="GC158">
        <v>0</v>
      </c>
      <c r="GD158">
        <v>0</v>
      </c>
      <c r="GE158">
        <v>0</v>
      </c>
      <c r="GF158">
        <v>0</v>
      </c>
      <c r="GG158">
        <v>0</v>
      </c>
      <c r="GH158">
        <v>0</v>
      </c>
      <c r="GI158">
        <v>0</v>
      </c>
      <c r="GJ158">
        <v>0</v>
      </c>
      <c r="GK158">
        <v>0</v>
      </c>
      <c r="GL158">
        <v>0</v>
      </c>
      <c r="GM158">
        <v>0</v>
      </c>
      <c r="GN158">
        <v>0</v>
      </c>
      <c r="GO158">
        <v>0</v>
      </c>
      <c r="GP158">
        <v>0</v>
      </c>
      <c r="GQ158">
        <v>0</v>
      </c>
      <c r="GR158">
        <v>0</v>
      </c>
      <c r="GS158">
        <v>0</v>
      </c>
      <c r="GT158">
        <v>0</v>
      </c>
      <c r="GU158">
        <v>0</v>
      </c>
      <c r="GV158">
        <v>0</v>
      </c>
      <c r="GW158">
        <v>0</v>
      </c>
      <c r="GX158">
        <v>0</v>
      </c>
      <c r="GY158">
        <v>0</v>
      </c>
      <c r="GZ158">
        <v>0</v>
      </c>
      <c r="HA158">
        <v>0</v>
      </c>
      <c r="HB158">
        <v>0</v>
      </c>
      <c r="HC158">
        <v>0</v>
      </c>
      <c r="HD158">
        <v>0</v>
      </c>
      <c r="HE158">
        <v>0</v>
      </c>
      <c r="HF158">
        <v>0</v>
      </c>
      <c r="HG158">
        <v>0</v>
      </c>
      <c r="HH158">
        <v>0</v>
      </c>
      <c r="HI158">
        <v>0</v>
      </c>
      <c r="HJ158">
        <v>0</v>
      </c>
      <c r="HK158">
        <v>0</v>
      </c>
      <c r="HL158">
        <v>0</v>
      </c>
      <c r="HM158">
        <v>0</v>
      </c>
      <c r="HN158">
        <v>0</v>
      </c>
      <c r="HO158">
        <v>0</v>
      </c>
      <c r="HP158">
        <v>0</v>
      </c>
      <c r="HQ158">
        <v>0</v>
      </c>
      <c r="HR158">
        <v>0</v>
      </c>
      <c r="HS158">
        <v>0</v>
      </c>
      <c r="HT158">
        <v>0</v>
      </c>
      <c r="HU158">
        <v>0</v>
      </c>
      <c r="HV158">
        <v>0</v>
      </c>
      <c r="HW158">
        <v>0</v>
      </c>
      <c r="HX158">
        <v>0</v>
      </c>
      <c r="HY158">
        <v>0</v>
      </c>
      <c r="HZ158">
        <v>0</v>
      </c>
      <c r="IA158">
        <v>0</v>
      </c>
      <c r="IB158">
        <v>0</v>
      </c>
      <c r="IC158">
        <v>0</v>
      </c>
      <c r="ID158">
        <v>0</v>
      </c>
      <c r="IE158">
        <v>0</v>
      </c>
      <c r="IF158">
        <v>0</v>
      </c>
      <c r="IG158">
        <v>0</v>
      </c>
      <c r="IH158">
        <v>0</v>
      </c>
      <c r="II158">
        <v>0</v>
      </c>
      <c r="IJ158">
        <v>0</v>
      </c>
      <c r="IK158">
        <v>0</v>
      </c>
      <c r="IL158">
        <v>0</v>
      </c>
      <c r="IM158">
        <v>0</v>
      </c>
      <c r="IN158">
        <v>0</v>
      </c>
      <c r="IO158">
        <v>0</v>
      </c>
      <c r="IP158">
        <v>0</v>
      </c>
      <c r="IQ158">
        <v>0</v>
      </c>
      <c r="IR158">
        <v>0</v>
      </c>
      <c r="IS158">
        <v>0</v>
      </c>
      <c r="IT158">
        <v>0</v>
      </c>
      <c r="IU158">
        <v>0</v>
      </c>
      <c r="IV158">
        <v>0</v>
      </c>
      <c r="IW158">
        <v>0</v>
      </c>
      <c r="IX158">
        <v>0</v>
      </c>
      <c r="IY158">
        <v>0</v>
      </c>
      <c r="IZ158">
        <v>0</v>
      </c>
      <c r="JA158">
        <v>0</v>
      </c>
      <c r="JB158">
        <v>0</v>
      </c>
      <c r="JC158">
        <v>0</v>
      </c>
      <c r="JD158">
        <v>0</v>
      </c>
      <c r="JE158">
        <v>0</v>
      </c>
      <c r="JF158">
        <v>0</v>
      </c>
      <c r="JG158">
        <v>0</v>
      </c>
      <c r="JH158">
        <v>0</v>
      </c>
      <c r="JI158">
        <v>0</v>
      </c>
      <c r="JJ158">
        <v>0</v>
      </c>
      <c r="JK158">
        <v>0</v>
      </c>
      <c r="JL158">
        <v>0</v>
      </c>
      <c r="JM158">
        <v>0</v>
      </c>
      <c r="JN158">
        <v>0</v>
      </c>
      <c r="JO158">
        <v>0</v>
      </c>
      <c r="JP158">
        <v>0</v>
      </c>
      <c r="JQ158">
        <v>0</v>
      </c>
      <c r="JR158">
        <v>0</v>
      </c>
      <c r="JS158">
        <v>0</v>
      </c>
      <c r="JT158">
        <v>0</v>
      </c>
      <c r="JU158">
        <v>0</v>
      </c>
      <c r="JV158">
        <v>0</v>
      </c>
      <c r="JW158">
        <v>0</v>
      </c>
      <c r="JX158">
        <v>0</v>
      </c>
      <c r="JY158">
        <v>0</v>
      </c>
      <c r="JZ158">
        <v>0</v>
      </c>
      <c r="KA158">
        <v>0</v>
      </c>
      <c r="KB158">
        <v>0</v>
      </c>
      <c r="KC158">
        <v>0</v>
      </c>
      <c r="KD158">
        <v>0</v>
      </c>
      <c r="KE158">
        <v>0</v>
      </c>
      <c r="KF158">
        <v>0</v>
      </c>
      <c r="KG158">
        <v>0</v>
      </c>
      <c r="KH158">
        <v>0</v>
      </c>
      <c r="KI158">
        <v>0</v>
      </c>
      <c r="KJ158">
        <v>0</v>
      </c>
      <c r="KK158">
        <v>0</v>
      </c>
      <c r="KL158">
        <v>0</v>
      </c>
      <c r="KM158">
        <v>0</v>
      </c>
      <c r="KN158">
        <v>0</v>
      </c>
      <c r="KO158">
        <v>0</v>
      </c>
      <c r="KP158">
        <v>0</v>
      </c>
      <c r="KQ158">
        <v>0</v>
      </c>
      <c r="KR158">
        <v>0</v>
      </c>
      <c r="KS158">
        <v>0</v>
      </c>
      <c r="KT158">
        <v>0</v>
      </c>
      <c r="KU158">
        <v>0</v>
      </c>
      <c r="KV158">
        <v>0</v>
      </c>
      <c r="KW158">
        <v>0</v>
      </c>
      <c r="KX158">
        <v>0</v>
      </c>
      <c r="KY158">
        <v>0</v>
      </c>
      <c r="KZ158">
        <v>0</v>
      </c>
      <c r="LA158">
        <v>0</v>
      </c>
      <c r="LB158">
        <v>0</v>
      </c>
      <c r="LC158">
        <v>0</v>
      </c>
      <c r="LD158">
        <v>0</v>
      </c>
      <c r="LE158">
        <v>0</v>
      </c>
      <c r="LF158">
        <v>0</v>
      </c>
      <c r="LG158">
        <v>0</v>
      </c>
      <c r="LH158">
        <v>0</v>
      </c>
      <c r="LI158">
        <v>0</v>
      </c>
      <c r="LJ158">
        <v>0</v>
      </c>
      <c r="LK158">
        <v>0</v>
      </c>
      <c r="LL158">
        <v>0</v>
      </c>
      <c r="LM158">
        <v>0</v>
      </c>
      <c r="LN158">
        <v>0</v>
      </c>
      <c r="LO158">
        <v>0</v>
      </c>
      <c r="LP158">
        <v>0</v>
      </c>
      <c r="LQ158">
        <v>0</v>
      </c>
      <c r="LR158">
        <v>0</v>
      </c>
      <c r="LS158">
        <v>0</v>
      </c>
      <c r="LT158">
        <v>0</v>
      </c>
      <c r="LU158">
        <v>0</v>
      </c>
      <c r="LV158">
        <v>0</v>
      </c>
      <c r="LW158">
        <v>0</v>
      </c>
      <c r="LX158">
        <v>0</v>
      </c>
      <c r="LY158">
        <v>0</v>
      </c>
      <c r="LZ158">
        <v>0</v>
      </c>
      <c r="MA158">
        <v>0</v>
      </c>
      <c r="MB158">
        <v>0</v>
      </c>
      <c r="MC158">
        <v>0</v>
      </c>
      <c r="MD158">
        <v>0</v>
      </c>
      <c r="ME158">
        <v>0</v>
      </c>
      <c r="MF158">
        <v>0</v>
      </c>
      <c r="MG158">
        <v>0</v>
      </c>
      <c r="MH158">
        <v>0</v>
      </c>
      <c r="MI158">
        <v>0</v>
      </c>
      <c r="MJ158">
        <v>0</v>
      </c>
      <c r="MK158">
        <v>0</v>
      </c>
      <c r="ML158">
        <v>0</v>
      </c>
      <c r="MM158">
        <v>0</v>
      </c>
      <c r="MN158">
        <v>0</v>
      </c>
      <c r="MO158">
        <v>0</v>
      </c>
      <c r="MP158">
        <v>0</v>
      </c>
      <c r="MQ158">
        <v>0</v>
      </c>
      <c r="MR158">
        <v>0</v>
      </c>
      <c r="MS158">
        <v>0</v>
      </c>
      <c r="MT158">
        <v>0</v>
      </c>
      <c r="MU158">
        <v>0</v>
      </c>
      <c r="MV158">
        <v>0</v>
      </c>
      <c r="MW158">
        <v>0</v>
      </c>
      <c r="MX158">
        <v>0</v>
      </c>
      <c r="MY158">
        <v>0</v>
      </c>
      <c r="MZ158">
        <v>0</v>
      </c>
      <c r="NA158">
        <v>0</v>
      </c>
      <c r="NB158">
        <v>0</v>
      </c>
      <c r="NC158">
        <v>0</v>
      </c>
      <c r="ND158">
        <v>0</v>
      </c>
      <c r="NE158">
        <v>0</v>
      </c>
    </row>
    <row r="159" spans="41:369" x14ac:dyDescent="0.45">
      <c r="AO159" t="str">
        <v>C115</v>
      </c>
      <c r="AP159" t="str">
        <v>MOHAMMED ABDUL KHADER K</v>
      </c>
      <c r="AQ159" t="str">
        <v>FANT</v>
      </c>
      <c r="AR159" t="str">
        <v>SENIOR</v>
      </c>
      <c r="AS159">
        <v>5</v>
      </c>
      <c r="AT159">
        <v>0</v>
      </c>
      <c r="AU159">
        <v>0</v>
      </c>
      <c r="AV159">
        <v>0</v>
      </c>
      <c r="AW159">
        <v>0</v>
      </c>
      <c r="AX159">
        <v>255</v>
      </c>
      <c r="AY159" s="5">
        <v>255</v>
      </c>
      <c r="AZ159" t="str">
        <v>SS15</v>
      </c>
      <c r="BA159" t="str">
        <v>POEM URD</v>
      </c>
      <c r="BB159" t="str">
        <v>SUPER SENIOR</v>
      </c>
      <c r="BC159" t="str">
        <v>Single</v>
      </c>
      <c r="BD159" t="str">
        <v>Non-Stg</v>
      </c>
      <c r="BE159">
        <v>3</v>
      </c>
      <c r="BF159" t="str">
        <v>Individual</v>
      </c>
      <c r="BG159" t="str">
        <v>Individual</v>
      </c>
      <c r="BH159" t="str">
        <v>P</v>
      </c>
      <c r="BI159" t="str">
        <v>PUBLISHED</v>
      </c>
      <c r="BK159">
        <v>153</v>
      </c>
      <c r="BL159" t="str">
        <v>SS11</v>
      </c>
      <c r="BM159" t="str">
        <v>PHOTOGRAPHY</v>
      </c>
      <c r="BN159">
        <v>2</v>
      </c>
      <c r="BO159" t="str">
        <v>Single</v>
      </c>
      <c r="BP159" t="str">
        <v>Non-Stg</v>
      </c>
      <c r="BQ159" t="str">
        <v>SUPER SENIOR</v>
      </c>
      <c r="BR159" t="str">
        <v>D112</v>
      </c>
      <c r="BS159" t="str">
        <v>D120</v>
      </c>
      <c r="BT159">
        <v>0</v>
      </c>
      <c r="BU159">
        <v>0</v>
      </c>
      <c r="BV159">
        <v>0</v>
      </c>
      <c r="BW159">
        <v>0</v>
      </c>
      <c r="BX159">
        <v>0</v>
      </c>
      <c r="BY159" t="str">
        <v>D115</v>
      </c>
      <c r="BZ159" t="str">
        <v>D181</v>
      </c>
      <c r="CA159">
        <v>0</v>
      </c>
      <c r="CB159">
        <v>0</v>
      </c>
      <c r="CC159">
        <v>0</v>
      </c>
      <c r="CD159">
        <v>0</v>
      </c>
      <c r="CE159">
        <v>0</v>
      </c>
      <c r="CF159" t="str">
        <v>D126</v>
      </c>
      <c r="CG159" t="str">
        <v>D141</v>
      </c>
      <c r="CH159">
        <v>0</v>
      </c>
      <c r="CI159">
        <v>0</v>
      </c>
      <c r="CJ159">
        <v>0</v>
      </c>
      <c r="CK159">
        <v>0</v>
      </c>
      <c r="CL159">
        <v>0</v>
      </c>
      <c r="CM159" t="str">
        <v>D123</v>
      </c>
      <c r="CN159" t="str">
        <v>D153</v>
      </c>
      <c r="CO159">
        <v>0</v>
      </c>
      <c r="CP159">
        <v>0</v>
      </c>
      <c r="CQ159">
        <v>0</v>
      </c>
      <c r="CR159">
        <v>0</v>
      </c>
      <c r="CS159">
        <v>0</v>
      </c>
      <c r="CT159">
        <v>0</v>
      </c>
      <c r="CU159">
        <v>0</v>
      </c>
      <c r="CV159">
        <v>0</v>
      </c>
      <c r="CW159">
        <v>0</v>
      </c>
      <c r="CX159">
        <v>0</v>
      </c>
      <c r="CY159">
        <v>0</v>
      </c>
      <c r="CZ159">
        <v>0</v>
      </c>
      <c r="DA159">
        <v>0</v>
      </c>
      <c r="DB159">
        <v>0</v>
      </c>
      <c r="DC159">
        <v>0</v>
      </c>
      <c r="DD159">
        <v>0</v>
      </c>
      <c r="DE159">
        <v>0</v>
      </c>
      <c r="DF159">
        <v>0</v>
      </c>
      <c r="DG159">
        <v>0</v>
      </c>
      <c r="DH159">
        <v>0</v>
      </c>
      <c r="DI159">
        <v>0</v>
      </c>
      <c r="DJ159">
        <v>0</v>
      </c>
      <c r="DK159">
        <v>0</v>
      </c>
      <c r="DL159">
        <v>0</v>
      </c>
      <c r="DM159">
        <v>0</v>
      </c>
      <c r="DN159">
        <v>0</v>
      </c>
      <c r="DO159">
        <v>0</v>
      </c>
      <c r="DP159">
        <v>0</v>
      </c>
      <c r="DQ159">
        <v>0</v>
      </c>
      <c r="DR159">
        <v>0</v>
      </c>
      <c r="DS159">
        <v>0</v>
      </c>
      <c r="DT159">
        <v>0</v>
      </c>
      <c r="DU159">
        <v>0</v>
      </c>
      <c r="DV159">
        <v>0</v>
      </c>
      <c r="DW159">
        <v>0</v>
      </c>
      <c r="DX159">
        <v>0</v>
      </c>
      <c r="DY159">
        <v>0</v>
      </c>
      <c r="DZ159">
        <v>0</v>
      </c>
      <c r="EA159">
        <v>0</v>
      </c>
      <c r="EB159">
        <v>0</v>
      </c>
      <c r="EC159">
        <v>0</v>
      </c>
      <c r="ED159">
        <v>0</v>
      </c>
      <c r="EE159">
        <v>0</v>
      </c>
      <c r="EF159">
        <v>0</v>
      </c>
      <c r="EG159">
        <v>0</v>
      </c>
      <c r="EH159">
        <v>0</v>
      </c>
      <c r="EI159">
        <v>0</v>
      </c>
      <c r="EJ159">
        <v>0</v>
      </c>
      <c r="EK159">
        <v>0</v>
      </c>
      <c r="EL159">
        <v>0</v>
      </c>
      <c r="EM159">
        <v>0</v>
      </c>
      <c r="EN159">
        <v>0</v>
      </c>
      <c r="EO159">
        <v>0</v>
      </c>
      <c r="EP159">
        <v>0</v>
      </c>
      <c r="EQ159">
        <v>0</v>
      </c>
      <c r="ER159">
        <v>0</v>
      </c>
      <c r="ES159">
        <v>0</v>
      </c>
      <c r="ET159">
        <v>0</v>
      </c>
      <c r="EU159">
        <v>0</v>
      </c>
      <c r="EV159">
        <v>0</v>
      </c>
      <c r="EW159">
        <v>0</v>
      </c>
      <c r="EX159">
        <v>0</v>
      </c>
      <c r="EY159">
        <v>0</v>
      </c>
      <c r="EZ159">
        <v>0</v>
      </c>
      <c r="FA159">
        <v>0</v>
      </c>
      <c r="FB159">
        <v>0</v>
      </c>
      <c r="FC159">
        <v>0</v>
      </c>
      <c r="FD159">
        <v>0</v>
      </c>
      <c r="FE159">
        <v>0</v>
      </c>
      <c r="FF159">
        <v>0</v>
      </c>
      <c r="FG159">
        <v>0</v>
      </c>
      <c r="FH159">
        <v>0</v>
      </c>
      <c r="FI159">
        <v>0</v>
      </c>
      <c r="FJ159">
        <v>0</v>
      </c>
      <c r="FK159">
        <v>0</v>
      </c>
      <c r="FL159">
        <v>0</v>
      </c>
      <c r="FM159">
        <v>0</v>
      </c>
      <c r="FN159">
        <v>0</v>
      </c>
      <c r="FO159">
        <v>0</v>
      </c>
      <c r="FP159">
        <v>0</v>
      </c>
      <c r="FQ159">
        <v>0</v>
      </c>
      <c r="FR159">
        <v>0</v>
      </c>
      <c r="FS159">
        <v>0</v>
      </c>
      <c r="FT159">
        <v>0</v>
      </c>
      <c r="FU159">
        <v>0</v>
      </c>
      <c r="FV159">
        <v>0</v>
      </c>
      <c r="FW159">
        <v>0</v>
      </c>
      <c r="FX159">
        <v>0</v>
      </c>
      <c r="FY159">
        <v>0</v>
      </c>
      <c r="FZ159">
        <v>0</v>
      </c>
      <c r="GA159">
        <v>0</v>
      </c>
      <c r="GB159">
        <v>0</v>
      </c>
      <c r="GC159">
        <v>0</v>
      </c>
      <c r="GD159">
        <v>0</v>
      </c>
      <c r="GE159">
        <v>0</v>
      </c>
      <c r="GF159">
        <v>0</v>
      </c>
      <c r="GG159">
        <v>0</v>
      </c>
      <c r="GH159">
        <v>0</v>
      </c>
      <c r="GI159">
        <v>0</v>
      </c>
      <c r="GJ159">
        <v>0</v>
      </c>
      <c r="GK159">
        <v>0</v>
      </c>
      <c r="GL159">
        <v>0</v>
      </c>
      <c r="GM159">
        <v>0</v>
      </c>
      <c r="GN159">
        <v>0</v>
      </c>
      <c r="GO159">
        <v>0</v>
      </c>
      <c r="GP159">
        <v>0</v>
      </c>
      <c r="GQ159">
        <v>0</v>
      </c>
      <c r="GR159">
        <v>0</v>
      </c>
      <c r="GS159">
        <v>0</v>
      </c>
      <c r="GT159">
        <v>0</v>
      </c>
      <c r="GU159">
        <v>0</v>
      </c>
      <c r="GV159">
        <v>0</v>
      </c>
      <c r="GW159">
        <v>0</v>
      </c>
      <c r="GX159">
        <v>0</v>
      </c>
      <c r="GY159">
        <v>0</v>
      </c>
      <c r="GZ159">
        <v>0</v>
      </c>
      <c r="HA159">
        <v>0</v>
      </c>
      <c r="HB159">
        <v>0</v>
      </c>
      <c r="HC159">
        <v>0</v>
      </c>
      <c r="HD159">
        <v>0</v>
      </c>
      <c r="HE159">
        <v>0</v>
      </c>
      <c r="HF159">
        <v>0</v>
      </c>
      <c r="HG159">
        <v>0</v>
      </c>
      <c r="HH159">
        <v>0</v>
      </c>
      <c r="HI159">
        <v>0</v>
      </c>
      <c r="HJ159">
        <v>0</v>
      </c>
      <c r="HK159">
        <v>0</v>
      </c>
      <c r="HL159">
        <v>0</v>
      </c>
      <c r="HM159">
        <v>0</v>
      </c>
      <c r="HN159">
        <v>0</v>
      </c>
      <c r="HO159">
        <v>0</v>
      </c>
      <c r="HP159">
        <v>0</v>
      </c>
      <c r="HQ159">
        <v>0</v>
      </c>
      <c r="HR159">
        <v>0</v>
      </c>
      <c r="HS159">
        <v>0</v>
      </c>
      <c r="HT159">
        <v>0</v>
      </c>
      <c r="HU159">
        <v>0</v>
      </c>
      <c r="HV159">
        <v>0</v>
      </c>
      <c r="HW159">
        <v>0</v>
      </c>
      <c r="HX159">
        <v>0</v>
      </c>
      <c r="HY159">
        <v>0</v>
      </c>
      <c r="HZ159">
        <v>0</v>
      </c>
      <c r="IA159">
        <v>0</v>
      </c>
      <c r="IB159">
        <v>0</v>
      </c>
      <c r="IC159">
        <v>0</v>
      </c>
      <c r="ID159">
        <v>0</v>
      </c>
      <c r="IE159">
        <v>0</v>
      </c>
      <c r="IF159">
        <v>0</v>
      </c>
      <c r="IG159">
        <v>0</v>
      </c>
      <c r="IH159">
        <v>0</v>
      </c>
      <c r="II159">
        <v>0</v>
      </c>
      <c r="IJ159">
        <v>0</v>
      </c>
      <c r="IK159">
        <v>0</v>
      </c>
      <c r="IL159">
        <v>0</v>
      </c>
      <c r="IM159">
        <v>0</v>
      </c>
      <c r="IN159">
        <v>0</v>
      </c>
      <c r="IO159">
        <v>0</v>
      </c>
      <c r="IP159">
        <v>0</v>
      </c>
      <c r="IQ159">
        <v>0</v>
      </c>
      <c r="IR159">
        <v>0</v>
      </c>
      <c r="IS159">
        <v>0</v>
      </c>
      <c r="IT159">
        <v>0</v>
      </c>
      <c r="IU159">
        <v>0</v>
      </c>
      <c r="IV159">
        <v>0</v>
      </c>
      <c r="IW159">
        <v>0</v>
      </c>
      <c r="IX159">
        <v>0</v>
      </c>
      <c r="IY159">
        <v>0</v>
      </c>
      <c r="IZ159">
        <v>0</v>
      </c>
      <c r="JA159">
        <v>0</v>
      </c>
      <c r="JB159">
        <v>0</v>
      </c>
      <c r="JC159">
        <v>0</v>
      </c>
      <c r="JD159">
        <v>0</v>
      </c>
      <c r="JE159">
        <v>0</v>
      </c>
      <c r="JF159">
        <v>0</v>
      </c>
      <c r="JG159">
        <v>0</v>
      </c>
      <c r="JH159">
        <v>0</v>
      </c>
      <c r="JI159">
        <v>0</v>
      </c>
      <c r="JJ159">
        <v>0</v>
      </c>
      <c r="JK159">
        <v>0</v>
      </c>
      <c r="JL159">
        <v>0</v>
      </c>
      <c r="JM159">
        <v>0</v>
      </c>
      <c r="JN159">
        <v>0</v>
      </c>
      <c r="JO159">
        <v>0</v>
      </c>
      <c r="JP159">
        <v>0</v>
      </c>
      <c r="JQ159">
        <v>0</v>
      </c>
      <c r="JR159">
        <v>0</v>
      </c>
      <c r="JS159">
        <v>0</v>
      </c>
      <c r="JT159">
        <v>0</v>
      </c>
      <c r="JU159">
        <v>0</v>
      </c>
      <c r="JV159">
        <v>0</v>
      </c>
      <c r="JW159">
        <v>0</v>
      </c>
      <c r="JX159">
        <v>0</v>
      </c>
      <c r="JY159">
        <v>0</v>
      </c>
      <c r="JZ159">
        <v>0</v>
      </c>
      <c r="KA159">
        <v>0</v>
      </c>
      <c r="KB159">
        <v>0</v>
      </c>
      <c r="KC159">
        <v>0</v>
      </c>
      <c r="KD159">
        <v>0</v>
      </c>
      <c r="KE159">
        <v>0</v>
      </c>
      <c r="KF159">
        <v>0</v>
      </c>
      <c r="KG159">
        <v>0</v>
      </c>
      <c r="KH159">
        <v>0</v>
      </c>
      <c r="KI159">
        <v>0</v>
      </c>
      <c r="KJ159">
        <v>0</v>
      </c>
      <c r="KK159">
        <v>0</v>
      </c>
      <c r="KL159">
        <v>0</v>
      </c>
      <c r="KM159">
        <v>0</v>
      </c>
      <c r="KN159">
        <v>0</v>
      </c>
      <c r="KO159">
        <v>0</v>
      </c>
      <c r="KP159">
        <v>0</v>
      </c>
      <c r="KQ159">
        <v>0</v>
      </c>
      <c r="KR159">
        <v>0</v>
      </c>
      <c r="KS159">
        <v>0</v>
      </c>
      <c r="KT159">
        <v>0</v>
      </c>
      <c r="KU159">
        <v>0</v>
      </c>
      <c r="KV159">
        <v>0</v>
      </c>
      <c r="KW159">
        <v>0</v>
      </c>
      <c r="KX159">
        <v>0</v>
      </c>
      <c r="KY159">
        <v>0</v>
      </c>
      <c r="KZ159">
        <v>0</v>
      </c>
      <c r="LA159">
        <v>0</v>
      </c>
      <c r="LB159">
        <v>0</v>
      </c>
      <c r="LC159">
        <v>0</v>
      </c>
      <c r="LD159">
        <v>0</v>
      </c>
      <c r="LE159">
        <v>0</v>
      </c>
      <c r="LF159">
        <v>0</v>
      </c>
      <c r="LG159">
        <v>0</v>
      </c>
      <c r="LH159">
        <v>0</v>
      </c>
      <c r="LI159">
        <v>0</v>
      </c>
      <c r="LJ159">
        <v>0</v>
      </c>
      <c r="LK159">
        <v>0</v>
      </c>
      <c r="LL159">
        <v>0</v>
      </c>
      <c r="LM159">
        <v>0</v>
      </c>
      <c r="LN159">
        <v>0</v>
      </c>
      <c r="LO159">
        <v>0</v>
      </c>
      <c r="LP159">
        <v>0</v>
      </c>
      <c r="LQ159">
        <v>0</v>
      </c>
      <c r="LR159">
        <v>0</v>
      </c>
      <c r="LS159">
        <v>0</v>
      </c>
      <c r="LT159">
        <v>0</v>
      </c>
      <c r="LU159">
        <v>0</v>
      </c>
      <c r="LV159">
        <v>0</v>
      </c>
      <c r="LW159">
        <v>0</v>
      </c>
      <c r="LX159">
        <v>0</v>
      </c>
      <c r="LY159">
        <v>0</v>
      </c>
      <c r="LZ159">
        <v>0</v>
      </c>
      <c r="MA159">
        <v>0</v>
      </c>
      <c r="MB159">
        <v>0</v>
      </c>
      <c r="MC159">
        <v>0</v>
      </c>
      <c r="MD159">
        <v>0</v>
      </c>
      <c r="ME159">
        <v>0</v>
      </c>
      <c r="MF159">
        <v>0</v>
      </c>
      <c r="MG159">
        <v>0</v>
      </c>
      <c r="MH159">
        <v>0</v>
      </c>
      <c r="MI159">
        <v>0</v>
      </c>
      <c r="MJ159">
        <v>0</v>
      </c>
      <c r="MK159">
        <v>0</v>
      </c>
      <c r="ML159">
        <v>0</v>
      </c>
      <c r="MM159">
        <v>0</v>
      </c>
      <c r="MN159">
        <v>0</v>
      </c>
      <c r="MO159">
        <v>0</v>
      </c>
      <c r="MP159">
        <v>0</v>
      </c>
      <c r="MQ159">
        <v>0</v>
      </c>
      <c r="MR159">
        <v>0</v>
      </c>
      <c r="MS159">
        <v>0</v>
      </c>
      <c r="MT159">
        <v>0</v>
      </c>
      <c r="MU159">
        <v>0</v>
      </c>
      <c r="MV159">
        <v>0</v>
      </c>
      <c r="MW159">
        <v>0</v>
      </c>
      <c r="MX159">
        <v>0</v>
      </c>
      <c r="MY159">
        <v>0</v>
      </c>
      <c r="MZ159">
        <v>0</v>
      </c>
      <c r="NA159">
        <v>0</v>
      </c>
      <c r="NB159">
        <v>0</v>
      </c>
      <c r="NC159">
        <v>0</v>
      </c>
      <c r="ND159">
        <v>0</v>
      </c>
      <c r="NE159">
        <v>0</v>
      </c>
    </row>
    <row r="160" spans="41:369" x14ac:dyDescent="0.45">
      <c r="AO160" t="str">
        <v>C116</v>
      </c>
      <c r="AP160" t="str">
        <v>MUAHMMED ANAS P A</v>
      </c>
      <c r="AQ160" t="str">
        <v>JARF</v>
      </c>
      <c r="AR160" t="str">
        <v>SENIOR</v>
      </c>
      <c r="AS160">
        <v>5</v>
      </c>
      <c r="AT160">
        <v>1</v>
      </c>
      <c r="AU160">
        <v>0</v>
      </c>
      <c r="AV160">
        <v>1</v>
      </c>
      <c r="AW160">
        <v>1</v>
      </c>
      <c r="AX160">
        <v>231</v>
      </c>
      <c r="AY160" s="5">
        <v>231</v>
      </c>
      <c r="AZ160" t="str">
        <v>SS16</v>
      </c>
      <c r="BA160" t="str">
        <v>PROOF READING ARB</v>
      </c>
      <c r="BB160" t="str">
        <v>SUPER SENIOR</v>
      </c>
      <c r="BC160" t="str">
        <v>Single</v>
      </c>
      <c r="BD160" t="str">
        <v>Non-Stg</v>
      </c>
      <c r="BE160">
        <v>3</v>
      </c>
      <c r="BF160" t="str">
        <v>Individual</v>
      </c>
      <c r="BG160" t="str">
        <v>Individual</v>
      </c>
      <c r="BH160" t="str">
        <v>P</v>
      </c>
      <c r="BI160" t="str">
        <v>PUBLISHED</v>
      </c>
      <c r="BK160">
        <v>154</v>
      </c>
      <c r="BL160" t="str">
        <v>SS12</v>
      </c>
      <c r="BM160" t="str">
        <v>POEM ARB</v>
      </c>
      <c r="BN160">
        <v>3</v>
      </c>
      <c r="BO160" t="str">
        <v>Single</v>
      </c>
      <c r="BP160" t="str">
        <v>Non-Stg</v>
      </c>
      <c r="BQ160" t="str">
        <v>SUPER SENIOR</v>
      </c>
      <c r="BR160" t="str">
        <v>D142</v>
      </c>
      <c r="BS160" t="str">
        <v>D147</v>
      </c>
      <c r="BT160" t="str">
        <v>D198</v>
      </c>
      <c r="BU160">
        <v>0</v>
      </c>
      <c r="BV160">
        <v>0</v>
      </c>
      <c r="BW160">
        <v>0</v>
      </c>
      <c r="BX160">
        <v>0</v>
      </c>
      <c r="BY160" t="str">
        <v>D106</v>
      </c>
      <c r="BZ160" t="str">
        <v>D166</v>
      </c>
      <c r="CA160" t="str">
        <v>D140</v>
      </c>
      <c r="CB160">
        <v>0</v>
      </c>
      <c r="CC160">
        <v>0</v>
      </c>
      <c r="CD160">
        <v>0</v>
      </c>
      <c r="CE160">
        <v>0</v>
      </c>
      <c r="CF160" t="str">
        <v>D110</v>
      </c>
      <c r="CG160" t="str">
        <v>D143</v>
      </c>
      <c r="CH160" t="str">
        <v>D178</v>
      </c>
      <c r="CI160">
        <v>0</v>
      </c>
      <c r="CJ160">
        <v>0</v>
      </c>
      <c r="CK160">
        <v>0</v>
      </c>
      <c r="CL160">
        <v>0</v>
      </c>
      <c r="CM160" t="str">
        <v>D104</v>
      </c>
      <c r="CN160" t="str">
        <v>D160</v>
      </c>
      <c r="CO160" t="str">
        <v>D193</v>
      </c>
      <c r="CP160">
        <v>0</v>
      </c>
      <c r="CQ160">
        <v>0</v>
      </c>
      <c r="CR160">
        <v>0</v>
      </c>
      <c r="CS160">
        <v>0</v>
      </c>
      <c r="CT160">
        <v>0</v>
      </c>
      <c r="CU160">
        <v>0</v>
      </c>
      <c r="CV160">
        <v>0</v>
      </c>
      <c r="CW160">
        <v>0</v>
      </c>
      <c r="CX160">
        <v>0</v>
      </c>
      <c r="CY160">
        <v>0</v>
      </c>
      <c r="CZ160">
        <v>0</v>
      </c>
      <c r="DA160">
        <v>0</v>
      </c>
      <c r="DB160">
        <v>0</v>
      </c>
      <c r="DC160">
        <v>0</v>
      </c>
      <c r="DD160">
        <v>0</v>
      </c>
      <c r="DE160">
        <v>0</v>
      </c>
      <c r="DF160">
        <v>0</v>
      </c>
      <c r="DG160">
        <v>0</v>
      </c>
      <c r="DH160">
        <v>0</v>
      </c>
      <c r="DI160">
        <v>0</v>
      </c>
      <c r="DJ160">
        <v>0</v>
      </c>
      <c r="DK160">
        <v>0</v>
      </c>
      <c r="DL160">
        <v>0</v>
      </c>
      <c r="DM160">
        <v>0</v>
      </c>
      <c r="DN160">
        <v>0</v>
      </c>
      <c r="DO160">
        <v>0</v>
      </c>
      <c r="DP160">
        <v>0</v>
      </c>
      <c r="DQ160">
        <v>0</v>
      </c>
      <c r="DR160">
        <v>0</v>
      </c>
      <c r="DS160">
        <v>0</v>
      </c>
      <c r="DT160">
        <v>0</v>
      </c>
      <c r="DU160">
        <v>0</v>
      </c>
      <c r="DV160">
        <v>0</v>
      </c>
      <c r="DW160">
        <v>0</v>
      </c>
      <c r="DX160">
        <v>0</v>
      </c>
      <c r="DY160">
        <v>0</v>
      </c>
      <c r="DZ160">
        <v>0</v>
      </c>
      <c r="EA160">
        <v>0</v>
      </c>
      <c r="EB160">
        <v>0</v>
      </c>
      <c r="EC160">
        <v>0</v>
      </c>
      <c r="ED160">
        <v>0</v>
      </c>
      <c r="EE160">
        <v>0</v>
      </c>
      <c r="EF160">
        <v>0</v>
      </c>
      <c r="EG160">
        <v>0</v>
      </c>
      <c r="EH160">
        <v>0</v>
      </c>
      <c r="EI160">
        <v>0</v>
      </c>
      <c r="EJ160">
        <v>0</v>
      </c>
      <c r="EK160">
        <v>0</v>
      </c>
      <c r="EL160">
        <v>0</v>
      </c>
      <c r="EM160">
        <v>0</v>
      </c>
      <c r="EN160">
        <v>0</v>
      </c>
      <c r="EO160">
        <v>0</v>
      </c>
      <c r="EP160">
        <v>0</v>
      </c>
      <c r="EQ160">
        <v>0</v>
      </c>
      <c r="ER160">
        <v>0</v>
      </c>
      <c r="ES160">
        <v>0</v>
      </c>
      <c r="ET160">
        <v>0</v>
      </c>
      <c r="EU160">
        <v>0</v>
      </c>
      <c r="EV160">
        <v>0</v>
      </c>
      <c r="EW160">
        <v>0</v>
      </c>
      <c r="EX160">
        <v>0</v>
      </c>
      <c r="EY160">
        <v>0</v>
      </c>
      <c r="EZ160">
        <v>0</v>
      </c>
      <c r="FA160">
        <v>0</v>
      </c>
      <c r="FB160">
        <v>0</v>
      </c>
      <c r="FC160">
        <v>0</v>
      </c>
      <c r="FD160">
        <v>0</v>
      </c>
      <c r="FE160">
        <v>0</v>
      </c>
      <c r="FF160">
        <v>0</v>
      </c>
      <c r="FG160">
        <v>0</v>
      </c>
      <c r="FH160">
        <v>0</v>
      </c>
      <c r="FI160">
        <v>0</v>
      </c>
      <c r="FJ160">
        <v>0</v>
      </c>
      <c r="FK160">
        <v>0</v>
      </c>
      <c r="FL160">
        <v>0</v>
      </c>
      <c r="FM160">
        <v>0</v>
      </c>
      <c r="FN160">
        <v>0</v>
      </c>
      <c r="FO160">
        <v>0</v>
      </c>
      <c r="FP160">
        <v>0</v>
      </c>
      <c r="FQ160">
        <v>0</v>
      </c>
      <c r="FR160">
        <v>0</v>
      </c>
      <c r="FS160">
        <v>0</v>
      </c>
      <c r="FT160">
        <v>0</v>
      </c>
      <c r="FU160">
        <v>0</v>
      </c>
      <c r="FV160">
        <v>0</v>
      </c>
      <c r="FW160">
        <v>0</v>
      </c>
      <c r="FX160">
        <v>0</v>
      </c>
      <c r="FY160">
        <v>0</v>
      </c>
      <c r="FZ160">
        <v>0</v>
      </c>
      <c r="GA160">
        <v>0</v>
      </c>
      <c r="GB160">
        <v>0</v>
      </c>
      <c r="GC160">
        <v>0</v>
      </c>
      <c r="GD160">
        <v>0</v>
      </c>
      <c r="GE160">
        <v>0</v>
      </c>
      <c r="GF160">
        <v>0</v>
      </c>
      <c r="GG160">
        <v>0</v>
      </c>
      <c r="GH160">
        <v>0</v>
      </c>
      <c r="GI160">
        <v>0</v>
      </c>
      <c r="GJ160">
        <v>0</v>
      </c>
      <c r="GK160">
        <v>0</v>
      </c>
      <c r="GL160">
        <v>0</v>
      </c>
      <c r="GM160">
        <v>0</v>
      </c>
      <c r="GN160">
        <v>0</v>
      </c>
      <c r="GO160">
        <v>0</v>
      </c>
      <c r="GP160">
        <v>0</v>
      </c>
      <c r="GQ160">
        <v>0</v>
      </c>
      <c r="GR160">
        <v>0</v>
      </c>
      <c r="GS160">
        <v>0</v>
      </c>
      <c r="GT160">
        <v>0</v>
      </c>
      <c r="GU160">
        <v>0</v>
      </c>
      <c r="GV160">
        <v>0</v>
      </c>
      <c r="GW160">
        <v>0</v>
      </c>
      <c r="GX160">
        <v>0</v>
      </c>
      <c r="GY160">
        <v>0</v>
      </c>
      <c r="GZ160">
        <v>0</v>
      </c>
      <c r="HA160">
        <v>0</v>
      </c>
      <c r="HB160">
        <v>0</v>
      </c>
      <c r="HC160">
        <v>0</v>
      </c>
      <c r="HD160">
        <v>0</v>
      </c>
      <c r="HE160">
        <v>0</v>
      </c>
      <c r="HF160">
        <v>0</v>
      </c>
      <c r="HG160">
        <v>0</v>
      </c>
      <c r="HH160">
        <v>0</v>
      </c>
      <c r="HI160">
        <v>0</v>
      </c>
      <c r="HJ160">
        <v>0</v>
      </c>
      <c r="HK160">
        <v>0</v>
      </c>
      <c r="HL160">
        <v>0</v>
      </c>
      <c r="HM160">
        <v>0</v>
      </c>
      <c r="HN160">
        <v>0</v>
      </c>
      <c r="HO160">
        <v>0</v>
      </c>
      <c r="HP160">
        <v>0</v>
      </c>
      <c r="HQ160">
        <v>0</v>
      </c>
      <c r="HR160">
        <v>0</v>
      </c>
      <c r="HS160">
        <v>0</v>
      </c>
      <c r="HT160">
        <v>0</v>
      </c>
      <c r="HU160">
        <v>0</v>
      </c>
      <c r="HV160">
        <v>0</v>
      </c>
      <c r="HW160">
        <v>0</v>
      </c>
      <c r="HX160">
        <v>0</v>
      </c>
      <c r="HY160">
        <v>0</v>
      </c>
      <c r="HZ160">
        <v>0</v>
      </c>
      <c r="IA160">
        <v>0</v>
      </c>
      <c r="IB160">
        <v>0</v>
      </c>
      <c r="IC160">
        <v>0</v>
      </c>
      <c r="ID160">
        <v>0</v>
      </c>
      <c r="IE160">
        <v>0</v>
      </c>
      <c r="IF160">
        <v>0</v>
      </c>
      <c r="IG160">
        <v>0</v>
      </c>
      <c r="IH160">
        <v>0</v>
      </c>
      <c r="II160">
        <v>0</v>
      </c>
      <c r="IJ160">
        <v>0</v>
      </c>
      <c r="IK160">
        <v>0</v>
      </c>
      <c r="IL160">
        <v>0</v>
      </c>
      <c r="IM160">
        <v>0</v>
      </c>
      <c r="IN160">
        <v>0</v>
      </c>
      <c r="IO160">
        <v>0</v>
      </c>
      <c r="IP160">
        <v>0</v>
      </c>
      <c r="IQ160">
        <v>0</v>
      </c>
      <c r="IR160">
        <v>0</v>
      </c>
      <c r="IS160">
        <v>0</v>
      </c>
      <c r="IT160">
        <v>0</v>
      </c>
      <c r="IU160">
        <v>0</v>
      </c>
      <c r="IV160">
        <v>0</v>
      </c>
      <c r="IW160">
        <v>0</v>
      </c>
      <c r="IX160">
        <v>0</v>
      </c>
      <c r="IY160">
        <v>0</v>
      </c>
      <c r="IZ160">
        <v>0</v>
      </c>
      <c r="JA160">
        <v>0</v>
      </c>
      <c r="JB160">
        <v>0</v>
      </c>
      <c r="JC160">
        <v>0</v>
      </c>
      <c r="JD160">
        <v>0</v>
      </c>
      <c r="JE160">
        <v>0</v>
      </c>
      <c r="JF160">
        <v>0</v>
      </c>
      <c r="JG160">
        <v>0</v>
      </c>
      <c r="JH160">
        <v>0</v>
      </c>
      <c r="JI160">
        <v>0</v>
      </c>
      <c r="JJ160">
        <v>0</v>
      </c>
      <c r="JK160">
        <v>0</v>
      </c>
      <c r="JL160">
        <v>0</v>
      </c>
      <c r="JM160">
        <v>0</v>
      </c>
      <c r="JN160">
        <v>0</v>
      </c>
      <c r="JO160">
        <v>0</v>
      </c>
      <c r="JP160">
        <v>0</v>
      </c>
      <c r="JQ160">
        <v>0</v>
      </c>
      <c r="JR160">
        <v>0</v>
      </c>
      <c r="JS160">
        <v>0</v>
      </c>
      <c r="JT160">
        <v>0</v>
      </c>
      <c r="JU160">
        <v>0</v>
      </c>
      <c r="JV160">
        <v>0</v>
      </c>
      <c r="JW160">
        <v>0</v>
      </c>
      <c r="JX160">
        <v>0</v>
      </c>
      <c r="JY160">
        <v>0</v>
      </c>
      <c r="JZ160">
        <v>0</v>
      </c>
      <c r="KA160">
        <v>0</v>
      </c>
      <c r="KB160">
        <v>0</v>
      </c>
      <c r="KC160">
        <v>0</v>
      </c>
      <c r="KD160">
        <v>0</v>
      </c>
      <c r="KE160">
        <v>0</v>
      </c>
      <c r="KF160">
        <v>0</v>
      </c>
      <c r="KG160">
        <v>0</v>
      </c>
      <c r="KH160">
        <v>0</v>
      </c>
      <c r="KI160">
        <v>0</v>
      </c>
      <c r="KJ160">
        <v>0</v>
      </c>
      <c r="KK160">
        <v>0</v>
      </c>
      <c r="KL160">
        <v>0</v>
      </c>
      <c r="KM160">
        <v>0</v>
      </c>
      <c r="KN160">
        <v>0</v>
      </c>
      <c r="KO160">
        <v>0</v>
      </c>
      <c r="KP160">
        <v>0</v>
      </c>
      <c r="KQ160">
        <v>0</v>
      </c>
      <c r="KR160">
        <v>0</v>
      </c>
      <c r="KS160">
        <v>0</v>
      </c>
      <c r="KT160">
        <v>0</v>
      </c>
      <c r="KU160">
        <v>0</v>
      </c>
      <c r="KV160">
        <v>0</v>
      </c>
      <c r="KW160">
        <v>0</v>
      </c>
      <c r="KX160">
        <v>0</v>
      </c>
      <c r="KY160">
        <v>0</v>
      </c>
      <c r="KZ160">
        <v>0</v>
      </c>
      <c r="LA160">
        <v>0</v>
      </c>
      <c r="LB160">
        <v>0</v>
      </c>
      <c r="LC160">
        <v>0</v>
      </c>
      <c r="LD160">
        <v>0</v>
      </c>
      <c r="LE160">
        <v>0</v>
      </c>
      <c r="LF160">
        <v>0</v>
      </c>
      <c r="LG160">
        <v>0</v>
      </c>
      <c r="LH160">
        <v>0</v>
      </c>
      <c r="LI160">
        <v>0</v>
      </c>
      <c r="LJ160">
        <v>0</v>
      </c>
      <c r="LK160">
        <v>0</v>
      </c>
      <c r="LL160">
        <v>0</v>
      </c>
      <c r="LM160">
        <v>0</v>
      </c>
      <c r="LN160">
        <v>0</v>
      </c>
      <c r="LO160">
        <v>0</v>
      </c>
      <c r="LP160">
        <v>0</v>
      </c>
      <c r="LQ160">
        <v>0</v>
      </c>
      <c r="LR160">
        <v>0</v>
      </c>
      <c r="LS160">
        <v>0</v>
      </c>
      <c r="LT160">
        <v>0</v>
      </c>
      <c r="LU160">
        <v>0</v>
      </c>
      <c r="LV160">
        <v>0</v>
      </c>
      <c r="LW160">
        <v>0</v>
      </c>
      <c r="LX160">
        <v>0</v>
      </c>
      <c r="LY160">
        <v>0</v>
      </c>
      <c r="LZ160">
        <v>0</v>
      </c>
      <c r="MA160">
        <v>0</v>
      </c>
      <c r="MB160">
        <v>0</v>
      </c>
      <c r="MC160">
        <v>0</v>
      </c>
      <c r="MD160">
        <v>0</v>
      </c>
      <c r="ME160">
        <v>0</v>
      </c>
      <c r="MF160">
        <v>0</v>
      </c>
      <c r="MG160">
        <v>0</v>
      </c>
      <c r="MH160">
        <v>0</v>
      </c>
      <c r="MI160">
        <v>0</v>
      </c>
      <c r="MJ160">
        <v>0</v>
      </c>
      <c r="MK160">
        <v>0</v>
      </c>
      <c r="ML160">
        <v>0</v>
      </c>
      <c r="MM160">
        <v>0</v>
      </c>
      <c r="MN160">
        <v>0</v>
      </c>
      <c r="MO160">
        <v>0</v>
      </c>
      <c r="MP160">
        <v>0</v>
      </c>
      <c r="MQ160">
        <v>0</v>
      </c>
      <c r="MR160">
        <v>0</v>
      </c>
      <c r="MS160">
        <v>0</v>
      </c>
      <c r="MT160">
        <v>0</v>
      </c>
      <c r="MU160">
        <v>0</v>
      </c>
      <c r="MV160">
        <v>0</v>
      </c>
      <c r="MW160">
        <v>0</v>
      </c>
      <c r="MX160">
        <v>0</v>
      </c>
      <c r="MY160">
        <v>0</v>
      </c>
      <c r="MZ160">
        <v>0</v>
      </c>
      <c r="NA160">
        <v>0</v>
      </c>
      <c r="NB160">
        <v>0</v>
      </c>
      <c r="NC160">
        <v>0</v>
      </c>
      <c r="ND160">
        <v>0</v>
      </c>
      <c r="NE160">
        <v>0</v>
      </c>
    </row>
    <row r="161" spans="41:369" x14ac:dyDescent="0.45">
      <c r="AO161" t="str">
        <v>C117</v>
      </c>
      <c r="AP161" t="str">
        <v>Muhammed fahiz A K</v>
      </c>
      <c r="AQ161" t="str">
        <v>DAHF</v>
      </c>
      <c r="AR161" t="str">
        <v>SENIOR</v>
      </c>
      <c r="AS161">
        <v>5</v>
      </c>
      <c r="AT161">
        <v>0</v>
      </c>
      <c r="AU161">
        <v>0</v>
      </c>
      <c r="AV161">
        <v>0</v>
      </c>
      <c r="AW161">
        <v>0</v>
      </c>
      <c r="AX161">
        <v>255</v>
      </c>
      <c r="AY161" s="5">
        <v>255</v>
      </c>
      <c r="AZ161" t="str">
        <v>SS17</v>
      </c>
      <c r="BA161" t="str">
        <v>PROOF READING ENG</v>
      </c>
      <c r="BB161" t="str">
        <v>SUPER SENIOR</v>
      </c>
      <c r="BC161" t="str">
        <v>Single</v>
      </c>
      <c r="BD161" t="str">
        <v>Non-Stg</v>
      </c>
      <c r="BE161">
        <v>3</v>
      </c>
      <c r="BF161" t="str">
        <v>Individual</v>
      </c>
      <c r="BG161" t="str">
        <v>Individual</v>
      </c>
      <c r="BH161" t="str">
        <v>P</v>
      </c>
      <c r="BI161" t="str">
        <v>PUBLISHED</v>
      </c>
      <c r="BK161">
        <v>155</v>
      </c>
      <c r="BL161" t="str">
        <v>SS13</v>
      </c>
      <c r="BM161" t="str">
        <v>POEM ENG</v>
      </c>
      <c r="BN161">
        <v>3</v>
      </c>
      <c r="BO161" t="str">
        <v>Single</v>
      </c>
      <c r="BP161" t="str">
        <v>Non-Stg</v>
      </c>
      <c r="BQ161" t="str">
        <v>SUPER SENIOR</v>
      </c>
      <c r="BR161" t="str">
        <v>D114</v>
      </c>
      <c r="BS161" t="str">
        <v>D138</v>
      </c>
      <c r="BT161" t="str">
        <v>D165</v>
      </c>
      <c r="BU161">
        <v>0</v>
      </c>
      <c r="BV161">
        <v>0</v>
      </c>
      <c r="BW161">
        <v>0</v>
      </c>
      <c r="BX161">
        <v>0</v>
      </c>
      <c r="BY161" t="str">
        <v>D108</v>
      </c>
      <c r="BZ161" t="str">
        <v>D181</v>
      </c>
      <c r="CA161" t="str">
        <v>D196</v>
      </c>
      <c r="CB161">
        <v>0</v>
      </c>
      <c r="CC161">
        <v>0</v>
      </c>
      <c r="CD161">
        <v>0</v>
      </c>
      <c r="CE161">
        <v>0</v>
      </c>
      <c r="CF161" t="str">
        <v>D141</v>
      </c>
      <c r="CG161" t="str">
        <v>D145</v>
      </c>
      <c r="CH161" t="str">
        <v>D174</v>
      </c>
      <c r="CI161">
        <v>0</v>
      </c>
      <c r="CJ161">
        <v>0</v>
      </c>
      <c r="CK161">
        <v>0</v>
      </c>
      <c r="CL161">
        <v>0</v>
      </c>
      <c r="CM161" t="str">
        <v>D154</v>
      </c>
      <c r="CN161" t="str">
        <v>D144</v>
      </c>
      <c r="CO161" t="str">
        <v>D123</v>
      </c>
      <c r="CP161">
        <v>0</v>
      </c>
      <c r="CQ161">
        <v>0</v>
      </c>
      <c r="CR161">
        <v>0</v>
      </c>
      <c r="CS161">
        <v>0</v>
      </c>
      <c r="CT161">
        <v>0</v>
      </c>
      <c r="CU161">
        <v>0</v>
      </c>
      <c r="CV161">
        <v>0</v>
      </c>
      <c r="CW161">
        <v>0</v>
      </c>
      <c r="CX161">
        <v>0</v>
      </c>
      <c r="CY161">
        <v>0</v>
      </c>
      <c r="CZ161">
        <v>0</v>
      </c>
      <c r="DA161">
        <v>0</v>
      </c>
      <c r="DB161">
        <v>0</v>
      </c>
      <c r="DC161">
        <v>0</v>
      </c>
      <c r="DD161">
        <v>0</v>
      </c>
      <c r="DE161">
        <v>0</v>
      </c>
      <c r="DF161">
        <v>0</v>
      </c>
      <c r="DG161">
        <v>0</v>
      </c>
      <c r="DH161">
        <v>0</v>
      </c>
      <c r="DI161">
        <v>0</v>
      </c>
      <c r="DJ161">
        <v>0</v>
      </c>
      <c r="DK161">
        <v>0</v>
      </c>
      <c r="DL161">
        <v>0</v>
      </c>
      <c r="DM161">
        <v>0</v>
      </c>
      <c r="DN161">
        <v>0</v>
      </c>
      <c r="DO161">
        <v>0</v>
      </c>
      <c r="DP161">
        <v>0</v>
      </c>
      <c r="DQ161">
        <v>0</v>
      </c>
      <c r="DR161">
        <v>0</v>
      </c>
      <c r="DS161">
        <v>0</v>
      </c>
      <c r="DT161">
        <v>0</v>
      </c>
      <c r="DU161">
        <v>0</v>
      </c>
      <c r="DV161">
        <v>0</v>
      </c>
      <c r="DW161">
        <v>0</v>
      </c>
      <c r="DX161">
        <v>0</v>
      </c>
      <c r="DY161">
        <v>0</v>
      </c>
      <c r="DZ161">
        <v>0</v>
      </c>
      <c r="EA161">
        <v>0</v>
      </c>
      <c r="EB161">
        <v>0</v>
      </c>
      <c r="EC161">
        <v>0</v>
      </c>
      <c r="ED161">
        <v>0</v>
      </c>
      <c r="EE161">
        <v>0</v>
      </c>
      <c r="EF161">
        <v>0</v>
      </c>
      <c r="EG161">
        <v>0</v>
      </c>
      <c r="EH161">
        <v>0</v>
      </c>
      <c r="EI161">
        <v>0</v>
      </c>
      <c r="EJ161">
        <v>0</v>
      </c>
      <c r="EK161">
        <v>0</v>
      </c>
      <c r="EL161">
        <v>0</v>
      </c>
      <c r="EM161">
        <v>0</v>
      </c>
      <c r="EN161">
        <v>0</v>
      </c>
      <c r="EO161">
        <v>0</v>
      </c>
      <c r="EP161">
        <v>0</v>
      </c>
      <c r="EQ161">
        <v>0</v>
      </c>
      <c r="ER161">
        <v>0</v>
      </c>
      <c r="ES161">
        <v>0</v>
      </c>
      <c r="ET161">
        <v>0</v>
      </c>
      <c r="EU161">
        <v>0</v>
      </c>
      <c r="EV161">
        <v>0</v>
      </c>
      <c r="EW161">
        <v>0</v>
      </c>
      <c r="EX161">
        <v>0</v>
      </c>
      <c r="EY161">
        <v>0</v>
      </c>
      <c r="EZ161">
        <v>0</v>
      </c>
      <c r="FA161">
        <v>0</v>
      </c>
      <c r="FB161">
        <v>0</v>
      </c>
      <c r="FC161">
        <v>0</v>
      </c>
      <c r="FD161">
        <v>0</v>
      </c>
      <c r="FE161">
        <v>0</v>
      </c>
      <c r="FF161">
        <v>0</v>
      </c>
      <c r="FG161">
        <v>0</v>
      </c>
      <c r="FH161">
        <v>0</v>
      </c>
      <c r="FI161">
        <v>0</v>
      </c>
      <c r="FJ161">
        <v>0</v>
      </c>
      <c r="FK161">
        <v>0</v>
      </c>
      <c r="FL161">
        <v>0</v>
      </c>
      <c r="FM161">
        <v>0</v>
      </c>
      <c r="FN161">
        <v>0</v>
      </c>
      <c r="FO161">
        <v>0</v>
      </c>
      <c r="FP161">
        <v>0</v>
      </c>
      <c r="FQ161">
        <v>0</v>
      </c>
      <c r="FR161">
        <v>0</v>
      </c>
      <c r="FS161">
        <v>0</v>
      </c>
      <c r="FT161">
        <v>0</v>
      </c>
      <c r="FU161">
        <v>0</v>
      </c>
      <c r="FV161">
        <v>0</v>
      </c>
      <c r="FW161">
        <v>0</v>
      </c>
      <c r="FX161">
        <v>0</v>
      </c>
      <c r="FY161">
        <v>0</v>
      </c>
      <c r="FZ161">
        <v>0</v>
      </c>
      <c r="GA161">
        <v>0</v>
      </c>
      <c r="GB161">
        <v>0</v>
      </c>
      <c r="GC161">
        <v>0</v>
      </c>
      <c r="GD161">
        <v>0</v>
      </c>
      <c r="GE161">
        <v>0</v>
      </c>
      <c r="GF161">
        <v>0</v>
      </c>
      <c r="GG161">
        <v>0</v>
      </c>
      <c r="GH161">
        <v>0</v>
      </c>
      <c r="GI161">
        <v>0</v>
      </c>
      <c r="GJ161">
        <v>0</v>
      </c>
      <c r="GK161">
        <v>0</v>
      </c>
      <c r="GL161">
        <v>0</v>
      </c>
      <c r="GM161">
        <v>0</v>
      </c>
      <c r="GN161">
        <v>0</v>
      </c>
      <c r="GO161">
        <v>0</v>
      </c>
      <c r="GP161">
        <v>0</v>
      </c>
      <c r="GQ161">
        <v>0</v>
      </c>
      <c r="GR161">
        <v>0</v>
      </c>
      <c r="GS161">
        <v>0</v>
      </c>
      <c r="GT161">
        <v>0</v>
      </c>
      <c r="GU161">
        <v>0</v>
      </c>
      <c r="GV161">
        <v>0</v>
      </c>
      <c r="GW161">
        <v>0</v>
      </c>
      <c r="GX161">
        <v>0</v>
      </c>
      <c r="GY161">
        <v>0</v>
      </c>
      <c r="GZ161">
        <v>0</v>
      </c>
      <c r="HA161">
        <v>0</v>
      </c>
      <c r="HB161">
        <v>0</v>
      </c>
      <c r="HC161">
        <v>0</v>
      </c>
      <c r="HD161">
        <v>0</v>
      </c>
      <c r="HE161">
        <v>0</v>
      </c>
      <c r="HF161">
        <v>0</v>
      </c>
      <c r="HG161">
        <v>0</v>
      </c>
      <c r="HH161">
        <v>0</v>
      </c>
      <c r="HI161">
        <v>0</v>
      </c>
      <c r="HJ161">
        <v>0</v>
      </c>
      <c r="HK161">
        <v>0</v>
      </c>
      <c r="HL161">
        <v>0</v>
      </c>
      <c r="HM161">
        <v>0</v>
      </c>
      <c r="HN161">
        <v>0</v>
      </c>
      <c r="HO161">
        <v>0</v>
      </c>
      <c r="HP161">
        <v>0</v>
      </c>
      <c r="HQ161">
        <v>0</v>
      </c>
      <c r="HR161">
        <v>0</v>
      </c>
      <c r="HS161">
        <v>0</v>
      </c>
      <c r="HT161">
        <v>0</v>
      </c>
      <c r="HU161">
        <v>0</v>
      </c>
      <c r="HV161">
        <v>0</v>
      </c>
      <c r="HW161">
        <v>0</v>
      </c>
      <c r="HX161">
        <v>0</v>
      </c>
      <c r="HY161">
        <v>0</v>
      </c>
      <c r="HZ161">
        <v>0</v>
      </c>
      <c r="IA161">
        <v>0</v>
      </c>
      <c r="IB161">
        <v>0</v>
      </c>
      <c r="IC161">
        <v>0</v>
      </c>
      <c r="ID161">
        <v>0</v>
      </c>
      <c r="IE161">
        <v>0</v>
      </c>
      <c r="IF161">
        <v>0</v>
      </c>
      <c r="IG161">
        <v>0</v>
      </c>
      <c r="IH161">
        <v>0</v>
      </c>
      <c r="II161">
        <v>0</v>
      </c>
      <c r="IJ161">
        <v>0</v>
      </c>
      <c r="IK161">
        <v>0</v>
      </c>
      <c r="IL161">
        <v>0</v>
      </c>
      <c r="IM161">
        <v>0</v>
      </c>
      <c r="IN161">
        <v>0</v>
      </c>
      <c r="IO161">
        <v>0</v>
      </c>
      <c r="IP161">
        <v>0</v>
      </c>
      <c r="IQ161">
        <v>0</v>
      </c>
      <c r="IR161">
        <v>0</v>
      </c>
      <c r="IS161">
        <v>0</v>
      </c>
      <c r="IT161">
        <v>0</v>
      </c>
      <c r="IU161">
        <v>0</v>
      </c>
      <c r="IV161">
        <v>0</v>
      </c>
      <c r="IW161">
        <v>0</v>
      </c>
      <c r="IX161">
        <v>0</v>
      </c>
      <c r="IY161">
        <v>0</v>
      </c>
      <c r="IZ161">
        <v>0</v>
      </c>
      <c r="JA161">
        <v>0</v>
      </c>
      <c r="JB161">
        <v>0</v>
      </c>
      <c r="JC161">
        <v>0</v>
      </c>
      <c r="JD161">
        <v>0</v>
      </c>
      <c r="JE161">
        <v>0</v>
      </c>
      <c r="JF161">
        <v>0</v>
      </c>
      <c r="JG161">
        <v>0</v>
      </c>
      <c r="JH161">
        <v>0</v>
      </c>
      <c r="JI161">
        <v>0</v>
      </c>
      <c r="JJ161">
        <v>0</v>
      </c>
      <c r="JK161">
        <v>0</v>
      </c>
      <c r="JL161">
        <v>0</v>
      </c>
      <c r="JM161">
        <v>0</v>
      </c>
      <c r="JN161">
        <v>0</v>
      </c>
      <c r="JO161">
        <v>0</v>
      </c>
      <c r="JP161">
        <v>0</v>
      </c>
      <c r="JQ161">
        <v>0</v>
      </c>
      <c r="JR161">
        <v>0</v>
      </c>
      <c r="JS161">
        <v>0</v>
      </c>
      <c r="JT161">
        <v>0</v>
      </c>
      <c r="JU161">
        <v>0</v>
      </c>
      <c r="JV161">
        <v>0</v>
      </c>
      <c r="JW161">
        <v>0</v>
      </c>
      <c r="JX161">
        <v>0</v>
      </c>
      <c r="JY161">
        <v>0</v>
      </c>
      <c r="JZ161">
        <v>0</v>
      </c>
      <c r="KA161">
        <v>0</v>
      </c>
      <c r="KB161">
        <v>0</v>
      </c>
      <c r="KC161">
        <v>0</v>
      </c>
      <c r="KD161">
        <v>0</v>
      </c>
      <c r="KE161">
        <v>0</v>
      </c>
      <c r="KF161">
        <v>0</v>
      </c>
      <c r="KG161">
        <v>0</v>
      </c>
      <c r="KH161">
        <v>0</v>
      </c>
      <c r="KI161">
        <v>0</v>
      </c>
      <c r="KJ161">
        <v>0</v>
      </c>
      <c r="KK161">
        <v>0</v>
      </c>
      <c r="KL161">
        <v>0</v>
      </c>
      <c r="KM161">
        <v>0</v>
      </c>
      <c r="KN161">
        <v>0</v>
      </c>
      <c r="KO161">
        <v>0</v>
      </c>
      <c r="KP161">
        <v>0</v>
      </c>
      <c r="KQ161">
        <v>0</v>
      </c>
      <c r="KR161">
        <v>0</v>
      </c>
      <c r="KS161">
        <v>0</v>
      </c>
      <c r="KT161">
        <v>0</v>
      </c>
      <c r="KU161">
        <v>0</v>
      </c>
      <c r="KV161">
        <v>0</v>
      </c>
      <c r="KW161">
        <v>0</v>
      </c>
      <c r="KX161">
        <v>0</v>
      </c>
      <c r="KY161">
        <v>0</v>
      </c>
      <c r="KZ161">
        <v>0</v>
      </c>
      <c r="LA161">
        <v>0</v>
      </c>
      <c r="LB161">
        <v>0</v>
      </c>
      <c r="LC161">
        <v>0</v>
      </c>
      <c r="LD161">
        <v>0</v>
      </c>
      <c r="LE161">
        <v>0</v>
      </c>
      <c r="LF161">
        <v>0</v>
      </c>
      <c r="LG161">
        <v>0</v>
      </c>
      <c r="LH161">
        <v>0</v>
      </c>
      <c r="LI161">
        <v>0</v>
      </c>
      <c r="LJ161">
        <v>0</v>
      </c>
      <c r="LK161">
        <v>0</v>
      </c>
      <c r="LL161">
        <v>0</v>
      </c>
      <c r="LM161">
        <v>0</v>
      </c>
      <c r="LN161">
        <v>0</v>
      </c>
      <c r="LO161">
        <v>0</v>
      </c>
      <c r="LP161">
        <v>0</v>
      </c>
      <c r="LQ161">
        <v>0</v>
      </c>
      <c r="LR161">
        <v>0</v>
      </c>
      <c r="LS161">
        <v>0</v>
      </c>
      <c r="LT161">
        <v>0</v>
      </c>
      <c r="LU161">
        <v>0</v>
      </c>
      <c r="LV161">
        <v>0</v>
      </c>
      <c r="LW161">
        <v>0</v>
      </c>
      <c r="LX161">
        <v>0</v>
      </c>
      <c r="LY161">
        <v>0</v>
      </c>
      <c r="LZ161">
        <v>0</v>
      </c>
      <c r="MA161">
        <v>0</v>
      </c>
      <c r="MB161">
        <v>0</v>
      </c>
      <c r="MC161">
        <v>0</v>
      </c>
      <c r="MD161">
        <v>0</v>
      </c>
      <c r="ME161">
        <v>0</v>
      </c>
      <c r="MF161">
        <v>0</v>
      </c>
      <c r="MG161">
        <v>0</v>
      </c>
      <c r="MH161">
        <v>0</v>
      </c>
      <c r="MI161">
        <v>0</v>
      </c>
      <c r="MJ161">
        <v>0</v>
      </c>
      <c r="MK161">
        <v>0</v>
      </c>
      <c r="ML161">
        <v>0</v>
      </c>
      <c r="MM161">
        <v>0</v>
      </c>
      <c r="MN161">
        <v>0</v>
      </c>
      <c r="MO161">
        <v>0</v>
      </c>
      <c r="MP161">
        <v>0</v>
      </c>
      <c r="MQ161">
        <v>0</v>
      </c>
      <c r="MR161">
        <v>0</v>
      </c>
      <c r="MS161">
        <v>0</v>
      </c>
      <c r="MT161">
        <v>0</v>
      </c>
      <c r="MU161">
        <v>0</v>
      </c>
      <c r="MV161">
        <v>0</v>
      </c>
      <c r="MW161">
        <v>0</v>
      </c>
      <c r="MX161">
        <v>0</v>
      </c>
      <c r="MY161">
        <v>0</v>
      </c>
      <c r="MZ161">
        <v>0</v>
      </c>
      <c r="NA161">
        <v>0</v>
      </c>
      <c r="NB161">
        <v>0</v>
      </c>
      <c r="NC161">
        <v>0</v>
      </c>
      <c r="ND161">
        <v>0</v>
      </c>
      <c r="NE161">
        <v>0</v>
      </c>
    </row>
    <row r="162" spans="41:369" x14ac:dyDescent="0.45">
      <c r="AO162" t="str">
        <v>C118</v>
      </c>
      <c r="AP162" t="str">
        <v>MUHAMMAD SHAMMAS</v>
      </c>
      <c r="AQ162" t="str">
        <v>FANT</v>
      </c>
      <c r="AR162" t="str">
        <v>SENIOR</v>
      </c>
      <c r="AS162">
        <v>5</v>
      </c>
      <c r="AT162">
        <v>8</v>
      </c>
      <c r="AU162">
        <v>0</v>
      </c>
      <c r="AV162">
        <v>8</v>
      </c>
      <c r="AW162">
        <v>8</v>
      </c>
      <c r="AX162">
        <v>147</v>
      </c>
      <c r="AY162" s="5">
        <v>147</v>
      </c>
      <c r="AZ162" t="str">
        <v>SS18</v>
      </c>
      <c r="BA162" t="str">
        <v>PROOF READING MLM</v>
      </c>
      <c r="BB162" t="str">
        <v>SUPER SENIOR</v>
      </c>
      <c r="BC162" t="str">
        <v>Single</v>
      </c>
      <c r="BD162" t="str">
        <v>Non-Stg</v>
      </c>
      <c r="BE162">
        <v>3</v>
      </c>
      <c r="BF162" t="str">
        <v>Individual</v>
      </c>
      <c r="BG162" t="str">
        <v>Individual</v>
      </c>
      <c r="BH162" t="str">
        <v>P</v>
      </c>
      <c r="BI162" t="str">
        <v>PUBLISHED</v>
      </c>
      <c r="BK162">
        <v>156</v>
      </c>
      <c r="BL162" t="str">
        <v>SS14</v>
      </c>
      <c r="BM162" t="str">
        <v>POEM MLM</v>
      </c>
      <c r="BN162">
        <v>3</v>
      </c>
      <c r="BO162" t="str">
        <v>Single</v>
      </c>
      <c r="BP162" t="str">
        <v>Non-Stg</v>
      </c>
      <c r="BQ162" t="str">
        <v>SUPER SENIOR</v>
      </c>
      <c r="BR162" t="str">
        <v>D105</v>
      </c>
      <c r="BS162" t="str">
        <v>D117</v>
      </c>
      <c r="BT162" t="str">
        <v>D186</v>
      </c>
      <c r="BU162">
        <v>0</v>
      </c>
      <c r="BV162">
        <v>0</v>
      </c>
      <c r="BW162">
        <v>0</v>
      </c>
      <c r="BX162">
        <v>0</v>
      </c>
      <c r="BY162" t="str">
        <v>D107</v>
      </c>
      <c r="BZ162" t="str">
        <v>D179</v>
      </c>
      <c r="CA162" t="str">
        <v>D152</v>
      </c>
      <c r="CB162">
        <v>0</v>
      </c>
      <c r="CC162">
        <v>0</v>
      </c>
      <c r="CD162">
        <v>0</v>
      </c>
      <c r="CE162">
        <v>0</v>
      </c>
      <c r="CF162" t="str">
        <v>D126</v>
      </c>
      <c r="CG162" t="str">
        <v>D137</v>
      </c>
      <c r="CH162" t="str">
        <v>D173</v>
      </c>
      <c r="CI162">
        <v>0</v>
      </c>
      <c r="CJ162">
        <v>0</v>
      </c>
      <c r="CK162">
        <v>0</v>
      </c>
      <c r="CL162">
        <v>0</v>
      </c>
      <c r="CM162" t="str">
        <v>D136</v>
      </c>
      <c r="CN162" t="str">
        <v>D151</v>
      </c>
      <c r="CO162" t="str">
        <v>D194</v>
      </c>
      <c r="CP162">
        <v>0</v>
      </c>
      <c r="CQ162">
        <v>0</v>
      </c>
      <c r="CR162">
        <v>0</v>
      </c>
      <c r="CS162">
        <v>0</v>
      </c>
      <c r="CT162">
        <v>0</v>
      </c>
      <c r="CU162">
        <v>0</v>
      </c>
      <c r="CV162">
        <v>0</v>
      </c>
      <c r="CW162">
        <v>0</v>
      </c>
      <c r="CX162">
        <v>0</v>
      </c>
      <c r="CY162">
        <v>0</v>
      </c>
      <c r="CZ162">
        <v>0</v>
      </c>
      <c r="DA162">
        <v>0</v>
      </c>
      <c r="DB162">
        <v>0</v>
      </c>
      <c r="DC162">
        <v>0</v>
      </c>
      <c r="DD162">
        <v>0</v>
      </c>
      <c r="DE162">
        <v>0</v>
      </c>
      <c r="DF162">
        <v>0</v>
      </c>
      <c r="DG162">
        <v>0</v>
      </c>
      <c r="DH162">
        <v>0</v>
      </c>
      <c r="DI162">
        <v>0</v>
      </c>
      <c r="DJ162">
        <v>0</v>
      </c>
      <c r="DK162">
        <v>0</v>
      </c>
      <c r="DL162">
        <v>0</v>
      </c>
      <c r="DM162">
        <v>0</v>
      </c>
      <c r="DN162">
        <v>0</v>
      </c>
      <c r="DO162">
        <v>0</v>
      </c>
      <c r="DP162">
        <v>0</v>
      </c>
      <c r="DQ162">
        <v>0</v>
      </c>
      <c r="DR162">
        <v>0</v>
      </c>
      <c r="DS162">
        <v>0</v>
      </c>
      <c r="DT162">
        <v>0</v>
      </c>
      <c r="DU162">
        <v>0</v>
      </c>
      <c r="DV162">
        <v>0</v>
      </c>
      <c r="DW162">
        <v>0</v>
      </c>
      <c r="DX162">
        <v>0</v>
      </c>
      <c r="DY162">
        <v>0</v>
      </c>
      <c r="DZ162">
        <v>0</v>
      </c>
      <c r="EA162">
        <v>0</v>
      </c>
      <c r="EB162">
        <v>0</v>
      </c>
      <c r="EC162">
        <v>0</v>
      </c>
      <c r="ED162">
        <v>0</v>
      </c>
      <c r="EE162">
        <v>0</v>
      </c>
      <c r="EF162">
        <v>0</v>
      </c>
      <c r="EG162">
        <v>0</v>
      </c>
      <c r="EH162">
        <v>0</v>
      </c>
      <c r="EI162">
        <v>0</v>
      </c>
      <c r="EJ162">
        <v>0</v>
      </c>
      <c r="EK162">
        <v>0</v>
      </c>
      <c r="EL162">
        <v>0</v>
      </c>
      <c r="EM162">
        <v>0</v>
      </c>
      <c r="EN162">
        <v>0</v>
      </c>
      <c r="EO162">
        <v>0</v>
      </c>
      <c r="EP162">
        <v>0</v>
      </c>
      <c r="EQ162">
        <v>0</v>
      </c>
      <c r="ER162">
        <v>0</v>
      </c>
      <c r="ES162">
        <v>0</v>
      </c>
      <c r="ET162">
        <v>0</v>
      </c>
      <c r="EU162">
        <v>0</v>
      </c>
      <c r="EV162">
        <v>0</v>
      </c>
      <c r="EW162">
        <v>0</v>
      </c>
      <c r="EX162">
        <v>0</v>
      </c>
      <c r="EY162">
        <v>0</v>
      </c>
      <c r="EZ162">
        <v>0</v>
      </c>
      <c r="FA162">
        <v>0</v>
      </c>
      <c r="FB162">
        <v>0</v>
      </c>
      <c r="FC162">
        <v>0</v>
      </c>
      <c r="FD162">
        <v>0</v>
      </c>
      <c r="FE162">
        <v>0</v>
      </c>
      <c r="FF162">
        <v>0</v>
      </c>
      <c r="FG162">
        <v>0</v>
      </c>
      <c r="FH162">
        <v>0</v>
      </c>
      <c r="FI162">
        <v>0</v>
      </c>
      <c r="FJ162">
        <v>0</v>
      </c>
      <c r="FK162">
        <v>0</v>
      </c>
      <c r="FL162">
        <v>0</v>
      </c>
      <c r="FM162">
        <v>0</v>
      </c>
      <c r="FN162">
        <v>0</v>
      </c>
      <c r="FO162">
        <v>0</v>
      </c>
      <c r="FP162">
        <v>0</v>
      </c>
      <c r="FQ162">
        <v>0</v>
      </c>
      <c r="FR162">
        <v>0</v>
      </c>
      <c r="FS162">
        <v>0</v>
      </c>
      <c r="FT162">
        <v>0</v>
      </c>
      <c r="FU162">
        <v>0</v>
      </c>
      <c r="FV162">
        <v>0</v>
      </c>
      <c r="FW162">
        <v>0</v>
      </c>
      <c r="FX162">
        <v>0</v>
      </c>
      <c r="FY162">
        <v>0</v>
      </c>
      <c r="FZ162">
        <v>0</v>
      </c>
      <c r="GA162">
        <v>0</v>
      </c>
      <c r="GB162">
        <v>0</v>
      </c>
      <c r="GC162">
        <v>0</v>
      </c>
      <c r="GD162">
        <v>0</v>
      </c>
      <c r="GE162">
        <v>0</v>
      </c>
      <c r="GF162">
        <v>0</v>
      </c>
      <c r="GG162">
        <v>0</v>
      </c>
      <c r="GH162">
        <v>0</v>
      </c>
      <c r="GI162">
        <v>0</v>
      </c>
      <c r="GJ162">
        <v>0</v>
      </c>
      <c r="GK162">
        <v>0</v>
      </c>
      <c r="GL162">
        <v>0</v>
      </c>
      <c r="GM162">
        <v>0</v>
      </c>
      <c r="GN162">
        <v>0</v>
      </c>
      <c r="GO162">
        <v>0</v>
      </c>
      <c r="GP162">
        <v>0</v>
      </c>
      <c r="GQ162">
        <v>0</v>
      </c>
      <c r="GR162">
        <v>0</v>
      </c>
      <c r="GS162">
        <v>0</v>
      </c>
      <c r="GT162">
        <v>0</v>
      </c>
      <c r="GU162">
        <v>0</v>
      </c>
      <c r="GV162">
        <v>0</v>
      </c>
      <c r="GW162">
        <v>0</v>
      </c>
      <c r="GX162">
        <v>0</v>
      </c>
      <c r="GY162">
        <v>0</v>
      </c>
      <c r="GZ162">
        <v>0</v>
      </c>
      <c r="HA162">
        <v>0</v>
      </c>
      <c r="HB162">
        <v>0</v>
      </c>
      <c r="HC162">
        <v>0</v>
      </c>
      <c r="HD162">
        <v>0</v>
      </c>
      <c r="HE162">
        <v>0</v>
      </c>
      <c r="HF162">
        <v>0</v>
      </c>
      <c r="HG162">
        <v>0</v>
      </c>
      <c r="HH162">
        <v>0</v>
      </c>
      <c r="HI162">
        <v>0</v>
      </c>
      <c r="HJ162">
        <v>0</v>
      </c>
      <c r="HK162">
        <v>0</v>
      </c>
      <c r="HL162">
        <v>0</v>
      </c>
      <c r="HM162">
        <v>0</v>
      </c>
      <c r="HN162">
        <v>0</v>
      </c>
      <c r="HO162">
        <v>0</v>
      </c>
      <c r="HP162">
        <v>0</v>
      </c>
      <c r="HQ162">
        <v>0</v>
      </c>
      <c r="HR162">
        <v>0</v>
      </c>
      <c r="HS162">
        <v>0</v>
      </c>
      <c r="HT162">
        <v>0</v>
      </c>
      <c r="HU162">
        <v>0</v>
      </c>
      <c r="HV162">
        <v>0</v>
      </c>
      <c r="HW162">
        <v>0</v>
      </c>
      <c r="HX162">
        <v>0</v>
      </c>
      <c r="HY162">
        <v>0</v>
      </c>
      <c r="HZ162">
        <v>0</v>
      </c>
      <c r="IA162">
        <v>0</v>
      </c>
      <c r="IB162">
        <v>0</v>
      </c>
      <c r="IC162">
        <v>0</v>
      </c>
      <c r="ID162">
        <v>0</v>
      </c>
      <c r="IE162">
        <v>0</v>
      </c>
      <c r="IF162">
        <v>0</v>
      </c>
      <c r="IG162">
        <v>0</v>
      </c>
      <c r="IH162">
        <v>0</v>
      </c>
      <c r="II162">
        <v>0</v>
      </c>
      <c r="IJ162">
        <v>0</v>
      </c>
      <c r="IK162">
        <v>0</v>
      </c>
      <c r="IL162">
        <v>0</v>
      </c>
      <c r="IM162">
        <v>0</v>
      </c>
      <c r="IN162">
        <v>0</v>
      </c>
      <c r="IO162">
        <v>0</v>
      </c>
      <c r="IP162">
        <v>0</v>
      </c>
      <c r="IQ162">
        <v>0</v>
      </c>
      <c r="IR162">
        <v>0</v>
      </c>
      <c r="IS162">
        <v>0</v>
      </c>
      <c r="IT162">
        <v>0</v>
      </c>
      <c r="IU162">
        <v>0</v>
      </c>
      <c r="IV162">
        <v>0</v>
      </c>
      <c r="IW162">
        <v>0</v>
      </c>
      <c r="IX162">
        <v>0</v>
      </c>
      <c r="IY162">
        <v>0</v>
      </c>
      <c r="IZ162">
        <v>0</v>
      </c>
      <c r="JA162">
        <v>0</v>
      </c>
      <c r="JB162">
        <v>0</v>
      </c>
      <c r="JC162">
        <v>0</v>
      </c>
      <c r="JD162">
        <v>0</v>
      </c>
      <c r="JE162">
        <v>0</v>
      </c>
      <c r="JF162">
        <v>0</v>
      </c>
      <c r="JG162">
        <v>0</v>
      </c>
      <c r="JH162">
        <v>0</v>
      </c>
      <c r="JI162">
        <v>0</v>
      </c>
      <c r="JJ162">
        <v>0</v>
      </c>
      <c r="JK162">
        <v>0</v>
      </c>
      <c r="JL162">
        <v>0</v>
      </c>
      <c r="JM162">
        <v>0</v>
      </c>
      <c r="JN162">
        <v>0</v>
      </c>
      <c r="JO162">
        <v>0</v>
      </c>
      <c r="JP162">
        <v>0</v>
      </c>
      <c r="JQ162">
        <v>0</v>
      </c>
      <c r="JR162">
        <v>0</v>
      </c>
      <c r="JS162">
        <v>0</v>
      </c>
      <c r="JT162">
        <v>0</v>
      </c>
      <c r="JU162">
        <v>0</v>
      </c>
      <c r="JV162">
        <v>0</v>
      </c>
      <c r="JW162">
        <v>0</v>
      </c>
      <c r="JX162">
        <v>0</v>
      </c>
      <c r="JY162">
        <v>0</v>
      </c>
      <c r="JZ162">
        <v>0</v>
      </c>
      <c r="KA162">
        <v>0</v>
      </c>
      <c r="KB162">
        <v>0</v>
      </c>
      <c r="KC162">
        <v>0</v>
      </c>
      <c r="KD162">
        <v>0</v>
      </c>
      <c r="KE162">
        <v>0</v>
      </c>
      <c r="KF162">
        <v>0</v>
      </c>
      <c r="KG162">
        <v>0</v>
      </c>
      <c r="KH162">
        <v>0</v>
      </c>
      <c r="KI162">
        <v>0</v>
      </c>
      <c r="KJ162">
        <v>0</v>
      </c>
      <c r="KK162">
        <v>0</v>
      </c>
      <c r="KL162">
        <v>0</v>
      </c>
      <c r="KM162">
        <v>0</v>
      </c>
      <c r="KN162">
        <v>0</v>
      </c>
      <c r="KO162">
        <v>0</v>
      </c>
      <c r="KP162">
        <v>0</v>
      </c>
      <c r="KQ162">
        <v>0</v>
      </c>
      <c r="KR162">
        <v>0</v>
      </c>
      <c r="KS162">
        <v>0</v>
      </c>
      <c r="KT162">
        <v>0</v>
      </c>
      <c r="KU162">
        <v>0</v>
      </c>
      <c r="KV162">
        <v>0</v>
      </c>
      <c r="KW162">
        <v>0</v>
      </c>
      <c r="KX162">
        <v>0</v>
      </c>
      <c r="KY162">
        <v>0</v>
      </c>
      <c r="KZ162">
        <v>0</v>
      </c>
      <c r="LA162">
        <v>0</v>
      </c>
      <c r="LB162">
        <v>0</v>
      </c>
      <c r="LC162">
        <v>0</v>
      </c>
      <c r="LD162">
        <v>0</v>
      </c>
      <c r="LE162">
        <v>0</v>
      </c>
      <c r="LF162">
        <v>0</v>
      </c>
      <c r="LG162">
        <v>0</v>
      </c>
      <c r="LH162">
        <v>0</v>
      </c>
      <c r="LI162">
        <v>0</v>
      </c>
      <c r="LJ162">
        <v>0</v>
      </c>
      <c r="LK162">
        <v>0</v>
      </c>
      <c r="LL162">
        <v>0</v>
      </c>
      <c r="LM162">
        <v>0</v>
      </c>
      <c r="LN162">
        <v>0</v>
      </c>
      <c r="LO162">
        <v>0</v>
      </c>
      <c r="LP162">
        <v>0</v>
      </c>
      <c r="LQ162">
        <v>0</v>
      </c>
      <c r="LR162">
        <v>0</v>
      </c>
      <c r="LS162">
        <v>0</v>
      </c>
      <c r="LT162">
        <v>0</v>
      </c>
      <c r="LU162">
        <v>0</v>
      </c>
      <c r="LV162">
        <v>0</v>
      </c>
      <c r="LW162">
        <v>0</v>
      </c>
      <c r="LX162">
        <v>0</v>
      </c>
      <c r="LY162">
        <v>0</v>
      </c>
      <c r="LZ162">
        <v>0</v>
      </c>
      <c r="MA162">
        <v>0</v>
      </c>
      <c r="MB162">
        <v>0</v>
      </c>
      <c r="MC162">
        <v>0</v>
      </c>
      <c r="MD162">
        <v>0</v>
      </c>
      <c r="ME162">
        <v>0</v>
      </c>
      <c r="MF162">
        <v>0</v>
      </c>
      <c r="MG162">
        <v>0</v>
      </c>
      <c r="MH162">
        <v>0</v>
      </c>
      <c r="MI162">
        <v>0</v>
      </c>
      <c r="MJ162">
        <v>0</v>
      </c>
      <c r="MK162">
        <v>0</v>
      </c>
      <c r="ML162">
        <v>0</v>
      </c>
      <c r="MM162">
        <v>0</v>
      </c>
      <c r="MN162">
        <v>0</v>
      </c>
      <c r="MO162">
        <v>0</v>
      </c>
      <c r="MP162">
        <v>0</v>
      </c>
      <c r="MQ162">
        <v>0</v>
      </c>
      <c r="MR162">
        <v>0</v>
      </c>
      <c r="MS162">
        <v>0</v>
      </c>
      <c r="MT162">
        <v>0</v>
      </c>
      <c r="MU162">
        <v>0</v>
      </c>
      <c r="MV162">
        <v>0</v>
      </c>
      <c r="MW162">
        <v>0</v>
      </c>
      <c r="MX162">
        <v>0</v>
      </c>
      <c r="MY162">
        <v>0</v>
      </c>
      <c r="MZ162">
        <v>0</v>
      </c>
      <c r="NA162">
        <v>0</v>
      </c>
      <c r="NB162">
        <v>0</v>
      </c>
      <c r="NC162">
        <v>0</v>
      </c>
      <c r="ND162">
        <v>0</v>
      </c>
      <c r="NE162">
        <v>0</v>
      </c>
    </row>
    <row r="163" spans="41:369" x14ac:dyDescent="0.45">
      <c r="AO163" t="str">
        <v>C119</v>
      </c>
      <c r="AP163" t="str">
        <v>ARIFUDEEN ABBAS A</v>
      </c>
      <c r="AQ163" t="str">
        <v>JARF</v>
      </c>
      <c r="AR163" t="str">
        <v>SENIOR</v>
      </c>
      <c r="AS163">
        <v>5</v>
      </c>
      <c r="AT163">
        <v>1</v>
      </c>
      <c r="AU163">
        <v>0</v>
      </c>
      <c r="AV163">
        <v>1</v>
      </c>
      <c r="AW163">
        <v>1</v>
      </c>
      <c r="AX163">
        <v>231</v>
      </c>
      <c r="AY163" s="5">
        <v>231</v>
      </c>
      <c r="AZ163" t="str">
        <v>SS19</v>
      </c>
      <c r="BA163" t="str">
        <v>PROOF READING URD</v>
      </c>
      <c r="BB163" t="str">
        <v>SUPER SENIOR</v>
      </c>
      <c r="BC163" t="str">
        <v>Single</v>
      </c>
      <c r="BD163" t="str">
        <v>Non-Stg</v>
      </c>
      <c r="BE163">
        <v>3</v>
      </c>
      <c r="BF163" t="str">
        <v>Individual</v>
      </c>
      <c r="BG163" t="str">
        <v>Individual</v>
      </c>
      <c r="BH163" t="str">
        <v>P</v>
      </c>
      <c r="BI163" t="str">
        <v>PUBLISHED</v>
      </c>
      <c r="BK163">
        <v>157</v>
      </c>
      <c r="BL163" t="str">
        <v>SS15</v>
      </c>
      <c r="BM163" t="str">
        <v>POEM URD</v>
      </c>
      <c r="BN163">
        <v>3</v>
      </c>
      <c r="BO163" t="str">
        <v>Single</v>
      </c>
      <c r="BP163" t="str">
        <v>Non-Stg</v>
      </c>
      <c r="BQ163" t="str">
        <v>SUPER SENIOR</v>
      </c>
      <c r="BR163" t="str">
        <v>D128</v>
      </c>
      <c r="BS163" t="str">
        <v>D184</v>
      </c>
      <c r="BT163" t="str">
        <v>D198</v>
      </c>
      <c r="BU163">
        <v>0</v>
      </c>
      <c r="BV163">
        <v>0</v>
      </c>
      <c r="BW163">
        <v>0</v>
      </c>
      <c r="BX163">
        <v>0</v>
      </c>
      <c r="BY163" t="str">
        <v>D131</v>
      </c>
      <c r="BZ163" t="str">
        <v>D125</v>
      </c>
      <c r="CA163" t="str">
        <v>D130</v>
      </c>
      <c r="CB163">
        <v>0</v>
      </c>
      <c r="CC163">
        <v>0</v>
      </c>
      <c r="CD163">
        <v>0</v>
      </c>
      <c r="CE163">
        <v>0</v>
      </c>
      <c r="CF163" t="str">
        <v>D118</v>
      </c>
      <c r="CG163" t="str">
        <v>D189</v>
      </c>
      <c r="CH163" t="str">
        <v>D162</v>
      </c>
      <c r="CI163">
        <v>0</v>
      </c>
      <c r="CJ163">
        <v>0</v>
      </c>
      <c r="CK163">
        <v>0</v>
      </c>
      <c r="CL163">
        <v>0</v>
      </c>
      <c r="CM163" t="str">
        <v>D101</v>
      </c>
      <c r="CN163" t="str">
        <v>D164</v>
      </c>
      <c r="CO163" t="str">
        <v>D182</v>
      </c>
      <c r="CP163">
        <v>0</v>
      </c>
      <c r="CQ163">
        <v>0</v>
      </c>
      <c r="CR163">
        <v>0</v>
      </c>
      <c r="CS163">
        <v>0</v>
      </c>
      <c r="CT163">
        <v>0</v>
      </c>
      <c r="CU163">
        <v>0</v>
      </c>
      <c r="CV163">
        <v>0</v>
      </c>
      <c r="CW163">
        <v>0</v>
      </c>
      <c r="CX163">
        <v>0</v>
      </c>
      <c r="CY163">
        <v>0</v>
      </c>
      <c r="CZ163">
        <v>0</v>
      </c>
      <c r="DA163">
        <v>0</v>
      </c>
      <c r="DB163">
        <v>0</v>
      </c>
      <c r="DC163">
        <v>0</v>
      </c>
      <c r="DD163">
        <v>0</v>
      </c>
      <c r="DE163">
        <v>0</v>
      </c>
      <c r="DF163">
        <v>0</v>
      </c>
      <c r="DG163">
        <v>0</v>
      </c>
      <c r="DH163">
        <v>0</v>
      </c>
      <c r="DI163">
        <v>0</v>
      </c>
      <c r="DJ163">
        <v>0</v>
      </c>
      <c r="DK163">
        <v>0</v>
      </c>
      <c r="DL163">
        <v>0</v>
      </c>
      <c r="DM163">
        <v>0</v>
      </c>
      <c r="DN163">
        <v>0</v>
      </c>
      <c r="DO163">
        <v>0</v>
      </c>
      <c r="DP163">
        <v>0</v>
      </c>
      <c r="DQ163">
        <v>0</v>
      </c>
      <c r="DR163">
        <v>0</v>
      </c>
      <c r="DS163">
        <v>0</v>
      </c>
      <c r="DT163">
        <v>0</v>
      </c>
      <c r="DU163">
        <v>0</v>
      </c>
      <c r="DV163">
        <v>0</v>
      </c>
      <c r="DW163">
        <v>0</v>
      </c>
      <c r="DX163">
        <v>0</v>
      </c>
      <c r="DY163">
        <v>0</v>
      </c>
      <c r="DZ163">
        <v>0</v>
      </c>
      <c r="EA163">
        <v>0</v>
      </c>
      <c r="EB163">
        <v>0</v>
      </c>
      <c r="EC163">
        <v>0</v>
      </c>
      <c r="ED163">
        <v>0</v>
      </c>
      <c r="EE163">
        <v>0</v>
      </c>
      <c r="EF163">
        <v>0</v>
      </c>
      <c r="EG163">
        <v>0</v>
      </c>
      <c r="EH163">
        <v>0</v>
      </c>
      <c r="EI163">
        <v>0</v>
      </c>
      <c r="EJ163">
        <v>0</v>
      </c>
      <c r="EK163">
        <v>0</v>
      </c>
      <c r="EL163">
        <v>0</v>
      </c>
      <c r="EM163">
        <v>0</v>
      </c>
      <c r="EN163">
        <v>0</v>
      </c>
      <c r="EO163">
        <v>0</v>
      </c>
      <c r="EP163">
        <v>0</v>
      </c>
      <c r="EQ163">
        <v>0</v>
      </c>
      <c r="ER163">
        <v>0</v>
      </c>
      <c r="ES163">
        <v>0</v>
      </c>
      <c r="ET163">
        <v>0</v>
      </c>
      <c r="EU163">
        <v>0</v>
      </c>
      <c r="EV163">
        <v>0</v>
      </c>
      <c r="EW163">
        <v>0</v>
      </c>
      <c r="EX163">
        <v>0</v>
      </c>
      <c r="EY163">
        <v>0</v>
      </c>
      <c r="EZ163">
        <v>0</v>
      </c>
      <c r="FA163">
        <v>0</v>
      </c>
      <c r="FB163">
        <v>0</v>
      </c>
      <c r="FC163">
        <v>0</v>
      </c>
      <c r="FD163">
        <v>0</v>
      </c>
      <c r="FE163">
        <v>0</v>
      </c>
      <c r="FF163">
        <v>0</v>
      </c>
      <c r="FG163">
        <v>0</v>
      </c>
      <c r="FH163">
        <v>0</v>
      </c>
      <c r="FI163">
        <v>0</v>
      </c>
      <c r="FJ163">
        <v>0</v>
      </c>
      <c r="FK163">
        <v>0</v>
      </c>
      <c r="FL163">
        <v>0</v>
      </c>
      <c r="FM163">
        <v>0</v>
      </c>
      <c r="FN163">
        <v>0</v>
      </c>
      <c r="FO163">
        <v>0</v>
      </c>
      <c r="FP163">
        <v>0</v>
      </c>
      <c r="FQ163">
        <v>0</v>
      </c>
      <c r="FR163">
        <v>0</v>
      </c>
      <c r="FS163">
        <v>0</v>
      </c>
      <c r="FT163">
        <v>0</v>
      </c>
      <c r="FU163">
        <v>0</v>
      </c>
      <c r="FV163">
        <v>0</v>
      </c>
      <c r="FW163">
        <v>0</v>
      </c>
      <c r="FX163">
        <v>0</v>
      </c>
      <c r="FY163">
        <v>0</v>
      </c>
      <c r="FZ163">
        <v>0</v>
      </c>
      <c r="GA163">
        <v>0</v>
      </c>
      <c r="GB163">
        <v>0</v>
      </c>
      <c r="GC163">
        <v>0</v>
      </c>
      <c r="GD163">
        <v>0</v>
      </c>
      <c r="GE163">
        <v>0</v>
      </c>
      <c r="GF163">
        <v>0</v>
      </c>
      <c r="GG163">
        <v>0</v>
      </c>
      <c r="GH163">
        <v>0</v>
      </c>
      <c r="GI163">
        <v>0</v>
      </c>
      <c r="GJ163">
        <v>0</v>
      </c>
      <c r="GK163">
        <v>0</v>
      </c>
      <c r="GL163">
        <v>0</v>
      </c>
      <c r="GM163">
        <v>0</v>
      </c>
      <c r="GN163">
        <v>0</v>
      </c>
      <c r="GO163">
        <v>0</v>
      </c>
      <c r="GP163">
        <v>0</v>
      </c>
      <c r="GQ163">
        <v>0</v>
      </c>
      <c r="GR163">
        <v>0</v>
      </c>
      <c r="GS163">
        <v>0</v>
      </c>
      <c r="GT163">
        <v>0</v>
      </c>
      <c r="GU163">
        <v>0</v>
      </c>
      <c r="GV163">
        <v>0</v>
      </c>
      <c r="GW163">
        <v>0</v>
      </c>
      <c r="GX163">
        <v>0</v>
      </c>
      <c r="GY163">
        <v>0</v>
      </c>
      <c r="GZ163">
        <v>0</v>
      </c>
      <c r="HA163">
        <v>0</v>
      </c>
      <c r="HB163">
        <v>0</v>
      </c>
      <c r="HC163">
        <v>0</v>
      </c>
      <c r="HD163">
        <v>0</v>
      </c>
      <c r="HE163">
        <v>0</v>
      </c>
      <c r="HF163">
        <v>0</v>
      </c>
      <c r="HG163">
        <v>0</v>
      </c>
      <c r="HH163">
        <v>0</v>
      </c>
      <c r="HI163">
        <v>0</v>
      </c>
      <c r="HJ163">
        <v>0</v>
      </c>
      <c r="HK163">
        <v>0</v>
      </c>
      <c r="HL163">
        <v>0</v>
      </c>
      <c r="HM163">
        <v>0</v>
      </c>
      <c r="HN163">
        <v>0</v>
      </c>
      <c r="HO163">
        <v>0</v>
      </c>
      <c r="HP163">
        <v>0</v>
      </c>
      <c r="HQ163">
        <v>0</v>
      </c>
      <c r="HR163">
        <v>0</v>
      </c>
      <c r="HS163">
        <v>0</v>
      </c>
      <c r="HT163">
        <v>0</v>
      </c>
      <c r="HU163">
        <v>0</v>
      </c>
      <c r="HV163">
        <v>0</v>
      </c>
      <c r="HW163">
        <v>0</v>
      </c>
      <c r="HX163">
        <v>0</v>
      </c>
      <c r="HY163">
        <v>0</v>
      </c>
      <c r="HZ163">
        <v>0</v>
      </c>
      <c r="IA163">
        <v>0</v>
      </c>
      <c r="IB163">
        <v>0</v>
      </c>
      <c r="IC163">
        <v>0</v>
      </c>
      <c r="ID163">
        <v>0</v>
      </c>
      <c r="IE163">
        <v>0</v>
      </c>
      <c r="IF163">
        <v>0</v>
      </c>
      <c r="IG163">
        <v>0</v>
      </c>
      <c r="IH163">
        <v>0</v>
      </c>
      <c r="II163">
        <v>0</v>
      </c>
      <c r="IJ163">
        <v>0</v>
      </c>
      <c r="IK163">
        <v>0</v>
      </c>
      <c r="IL163">
        <v>0</v>
      </c>
      <c r="IM163">
        <v>0</v>
      </c>
      <c r="IN163">
        <v>0</v>
      </c>
      <c r="IO163">
        <v>0</v>
      </c>
      <c r="IP163">
        <v>0</v>
      </c>
      <c r="IQ163">
        <v>0</v>
      </c>
      <c r="IR163">
        <v>0</v>
      </c>
      <c r="IS163">
        <v>0</v>
      </c>
      <c r="IT163">
        <v>0</v>
      </c>
      <c r="IU163">
        <v>0</v>
      </c>
      <c r="IV163">
        <v>0</v>
      </c>
      <c r="IW163">
        <v>0</v>
      </c>
      <c r="IX163">
        <v>0</v>
      </c>
      <c r="IY163">
        <v>0</v>
      </c>
      <c r="IZ163">
        <v>0</v>
      </c>
      <c r="JA163">
        <v>0</v>
      </c>
      <c r="JB163">
        <v>0</v>
      </c>
      <c r="JC163">
        <v>0</v>
      </c>
      <c r="JD163">
        <v>0</v>
      </c>
      <c r="JE163">
        <v>0</v>
      </c>
      <c r="JF163">
        <v>0</v>
      </c>
      <c r="JG163">
        <v>0</v>
      </c>
      <c r="JH163">
        <v>0</v>
      </c>
      <c r="JI163">
        <v>0</v>
      </c>
      <c r="JJ163">
        <v>0</v>
      </c>
      <c r="JK163">
        <v>0</v>
      </c>
      <c r="JL163">
        <v>0</v>
      </c>
      <c r="JM163">
        <v>0</v>
      </c>
      <c r="JN163">
        <v>0</v>
      </c>
      <c r="JO163">
        <v>0</v>
      </c>
      <c r="JP163">
        <v>0</v>
      </c>
      <c r="JQ163">
        <v>0</v>
      </c>
      <c r="JR163">
        <v>0</v>
      </c>
      <c r="JS163">
        <v>0</v>
      </c>
      <c r="JT163">
        <v>0</v>
      </c>
      <c r="JU163">
        <v>0</v>
      </c>
      <c r="JV163">
        <v>0</v>
      </c>
      <c r="JW163">
        <v>0</v>
      </c>
      <c r="JX163">
        <v>0</v>
      </c>
      <c r="JY163">
        <v>0</v>
      </c>
      <c r="JZ163">
        <v>0</v>
      </c>
      <c r="KA163">
        <v>0</v>
      </c>
      <c r="KB163">
        <v>0</v>
      </c>
      <c r="KC163">
        <v>0</v>
      </c>
      <c r="KD163">
        <v>0</v>
      </c>
      <c r="KE163">
        <v>0</v>
      </c>
      <c r="KF163">
        <v>0</v>
      </c>
      <c r="KG163">
        <v>0</v>
      </c>
      <c r="KH163">
        <v>0</v>
      </c>
      <c r="KI163">
        <v>0</v>
      </c>
      <c r="KJ163">
        <v>0</v>
      </c>
      <c r="KK163">
        <v>0</v>
      </c>
      <c r="KL163">
        <v>0</v>
      </c>
      <c r="KM163">
        <v>0</v>
      </c>
      <c r="KN163">
        <v>0</v>
      </c>
      <c r="KO163">
        <v>0</v>
      </c>
      <c r="KP163">
        <v>0</v>
      </c>
      <c r="KQ163">
        <v>0</v>
      </c>
      <c r="KR163">
        <v>0</v>
      </c>
      <c r="KS163">
        <v>0</v>
      </c>
      <c r="KT163">
        <v>0</v>
      </c>
      <c r="KU163">
        <v>0</v>
      </c>
      <c r="KV163">
        <v>0</v>
      </c>
      <c r="KW163">
        <v>0</v>
      </c>
      <c r="KX163">
        <v>0</v>
      </c>
      <c r="KY163">
        <v>0</v>
      </c>
      <c r="KZ163">
        <v>0</v>
      </c>
      <c r="LA163">
        <v>0</v>
      </c>
      <c r="LB163">
        <v>0</v>
      </c>
      <c r="LC163">
        <v>0</v>
      </c>
      <c r="LD163">
        <v>0</v>
      </c>
      <c r="LE163">
        <v>0</v>
      </c>
      <c r="LF163">
        <v>0</v>
      </c>
      <c r="LG163">
        <v>0</v>
      </c>
      <c r="LH163">
        <v>0</v>
      </c>
      <c r="LI163">
        <v>0</v>
      </c>
      <c r="LJ163">
        <v>0</v>
      </c>
      <c r="LK163">
        <v>0</v>
      </c>
      <c r="LL163">
        <v>0</v>
      </c>
      <c r="LM163">
        <v>0</v>
      </c>
      <c r="LN163">
        <v>0</v>
      </c>
      <c r="LO163">
        <v>0</v>
      </c>
      <c r="LP163">
        <v>0</v>
      </c>
      <c r="LQ163">
        <v>0</v>
      </c>
      <c r="LR163">
        <v>0</v>
      </c>
      <c r="LS163">
        <v>0</v>
      </c>
      <c r="LT163">
        <v>0</v>
      </c>
      <c r="LU163">
        <v>0</v>
      </c>
      <c r="LV163">
        <v>0</v>
      </c>
      <c r="LW163">
        <v>0</v>
      </c>
      <c r="LX163">
        <v>0</v>
      </c>
      <c r="LY163">
        <v>0</v>
      </c>
      <c r="LZ163">
        <v>0</v>
      </c>
      <c r="MA163">
        <v>0</v>
      </c>
      <c r="MB163">
        <v>0</v>
      </c>
      <c r="MC163">
        <v>0</v>
      </c>
      <c r="MD163">
        <v>0</v>
      </c>
      <c r="ME163">
        <v>0</v>
      </c>
      <c r="MF163">
        <v>0</v>
      </c>
      <c r="MG163">
        <v>0</v>
      </c>
      <c r="MH163">
        <v>0</v>
      </c>
      <c r="MI163">
        <v>0</v>
      </c>
      <c r="MJ163">
        <v>0</v>
      </c>
      <c r="MK163">
        <v>0</v>
      </c>
      <c r="ML163">
        <v>0</v>
      </c>
      <c r="MM163">
        <v>0</v>
      </c>
      <c r="MN163">
        <v>0</v>
      </c>
      <c r="MO163">
        <v>0</v>
      </c>
      <c r="MP163">
        <v>0</v>
      </c>
      <c r="MQ163">
        <v>0</v>
      </c>
      <c r="MR163">
        <v>0</v>
      </c>
      <c r="MS163">
        <v>0</v>
      </c>
      <c r="MT163">
        <v>0</v>
      </c>
      <c r="MU163">
        <v>0</v>
      </c>
      <c r="MV163">
        <v>0</v>
      </c>
      <c r="MW163">
        <v>0</v>
      </c>
      <c r="MX163">
        <v>0</v>
      </c>
      <c r="MY163">
        <v>0</v>
      </c>
      <c r="MZ163">
        <v>0</v>
      </c>
      <c r="NA163">
        <v>0</v>
      </c>
      <c r="NB163">
        <v>0</v>
      </c>
      <c r="NC163">
        <v>0</v>
      </c>
      <c r="ND163">
        <v>0</v>
      </c>
      <c r="NE163">
        <v>0</v>
      </c>
    </row>
    <row r="164" spans="41:369" x14ac:dyDescent="0.45">
      <c r="AO164" t="str">
        <v>C120</v>
      </c>
      <c r="AP164" t="str">
        <v>MAJID MUHAMMED M</v>
      </c>
      <c r="AQ164" t="str">
        <v>DAHF</v>
      </c>
      <c r="AR164" t="str">
        <v>SENIOR</v>
      </c>
      <c r="AS164">
        <v>5</v>
      </c>
      <c r="AT164">
        <v>26</v>
      </c>
      <c r="AU164">
        <v>0</v>
      </c>
      <c r="AV164">
        <v>26</v>
      </c>
      <c r="AW164">
        <v>26</v>
      </c>
      <c r="AX164">
        <v>58</v>
      </c>
      <c r="AY164" s="5">
        <v>58</v>
      </c>
      <c r="AZ164" t="str">
        <v>SS20</v>
      </c>
      <c r="BA164" t="str">
        <v>SCREENPLAY WRITING MLM</v>
      </c>
      <c r="BB164" t="str">
        <v>SUPER SENIOR</v>
      </c>
      <c r="BC164" t="str">
        <v>Single</v>
      </c>
      <c r="BD164" t="str">
        <v>Non-Stg</v>
      </c>
      <c r="BE164">
        <v>2</v>
      </c>
      <c r="BF164" t="str">
        <v>Individual</v>
      </c>
      <c r="BG164" t="str">
        <v>Individual</v>
      </c>
      <c r="BH164" t="str">
        <v>P</v>
      </c>
      <c r="BI164" t="str">
        <v>PUBLISHED</v>
      </c>
      <c r="BK164">
        <v>158</v>
      </c>
      <c r="BL164" t="str">
        <v>SS16</v>
      </c>
      <c r="BM164" t="str">
        <v>PROOF READING ARB</v>
      </c>
      <c r="BN164">
        <v>3</v>
      </c>
      <c r="BO164" t="str">
        <v>Single</v>
      </c>
      <c r="BP164" t="str">
        <v>Non-Stg</v>
      </c>
      <c r="BQ164" t="str">
        <v>SUPER SENIOR</v>
      </c>
      <c r="BR164" t="str">
        <v>D163</v>
      </c>
      <c r="BS164" t="str">
        <v>D177</v>
      </c>
      <c r="BT164" t="str">
        <v>D180</v>
      </c>
      <c r="BU164">
        <v>0</v>
      </c>
      <c r="BV164">
        <v>0</v>
      </c>
      <c r="BW164">
        <v>0</v>
      </c>
      <c r="BX164">
        <v>0</v>
      </c>
      <c r="BY164" t="str">
        <v>D106</v>
      </c>
      <c r="BZ164" t="str">
        <v>D166</v>
      </c>
      <c r="CA164" t="str">
        <v>D192</v>
      </c>
      <c r="CB164">
        <v>0</v>
      </c>
      <c r="CC164">
        <v>0</v>
      </c>
      <c r="CD164">
        <v>0</v>
      </c>
      <c r="CE164">
        <v>0</v>
      </c>
      <c r="CF164" t="str">
        <v>D119</v>
      </c>
      <c r="CG164" t="str">
        <v>D143</v>
      </c>
      <c r="CH164" t="str">
        <v>D195</v>
      </c>
      <c r="CI164">
        <v>0</v>
      </c>
      <c r="CJ164">
        <v>0</v>
      </c>
      <c r="CK164">
        <v>0</v>
      </c>
      <c r="CL164">
        <v>0</v>
      </c>
      <c r="CM164" t="str">
        <v>D104</v>
      </c>
      <c r="CN164" t="str">
        <v>D113</v>
      </c>
      <c r="CO164" t="str">
        <v>D139</v>
      </c>
      <c r="CP164">
        <v>0</v>
      </c>
      <c r="CQ164">
        <v>0</v>
      </c>
      <c r="CR164">
        <v>0</v>
      </c>
      <c r="CS164">
        <v>0</v>
      </c>
      <c r="CT164">
        <v>0</v>
      </c>
      <c r="CU164">
        <v>0</v>
      </c>
      <c r="CV164">
        <v>0</v>
      </c>
      <c r="CW164">
        <v>0</v>
      </c>
      <c r="CX164">
        <v>0</v>
      </c>
      <c r="CY164">
        <v>0</v>
      </c>
      <c r="CZ164">
        <v>0</v>
      </c>
      <c r="DA164">
        <v>0</v>
      </c>
      <c r="DB164">
        <v>0</v>
      </c>
      <c r="DC164">
        <v>0</v>
      </c>
      <c r="DD164">
        <v>0</v>
      </c>
      <c r="DE164">
        <v>0</v>
      </c>
      <c r="DF164">
        <v>0</v>
      </c>
      <c r="DG164">
        <v>0</v>
      </c>
      <c r="DH164">
        <v>0</v>
      </c>
      <c r="DI164">
        <v>0</v>
      </c>
      <c r="DJ164">
        <v>0</v>
      </c>
      <c r="DK164">
        <v>0</v>
      </c>
      <c r="DL164">
        <v>0</v>
      </c>
      <c r="DM164">
        <v>0</v>
      </c>
      <c r="DN164">
        <v>0</v>
      </c>
      <c r="DO164">
        <v>0</v>
      </c>
      <c r="DP164">
        <v>0</v>
      </c>
      <c r="DQ164">
        <v>0</v>
      </c>
      <c r="DR164">
        <v>0</v>
      </c>
      <c r="DS164">
        <v>0</v>
      </c>
      <c r="DT164">
        <v>0</v>
      </c>
      <c r="DU164">
        <v>0</v>
      </c>
      <c r="DV164">
        <v>0</v>
      </c>
      <c r="DW164">
        <v>0</v>
      </c>
      <c r="DX164">
        <v>0</v>
      </c>
      <c r="DY164">
        <v>0</v>
      </c>
      <c r="DZ164">
        <v>0</v>
      </c>
      <c r="EA164">
        <v>0</v>
      </c>
      <c r="EB164">
        <v>0</v>
      </c>
      <c r="EC164">
        <v>0</v>
      </c>
      <c r="ED164">
        <v>0</v>
      </c>
      <c r="EE164">
        <v>0</v>
      </c>
      <c r="EF164">
        <v>0</v>
      </c>
      <c r="EG164">
        <v>0</v>
      </c>
      <c r="EH164">
        <v>0</v>
      </c>
      <c r="EI164">
        <v>0</v>
      </c>
      <c r="EJ164">
        <v>0</v>
      </c>
      <c r="EK164">
        <v>0</v>
      </c>
      <c r="EL164">
        <v>0</v>
      </c>
      <c r="EM164">
        <v>0</v>
      </c>
      <c r="EN164">
        <v>0</v>
      </c>
      <c r="EO164">
        <v>0</v>
      </c>
      <c r="EP164">
        <v>0</v>
      </c>
      <c r="EQ164">
        <v>0</v>
      </c>
      <c r="ER164">
        <v>0</v>
      </c>
      <c r="ES164">
        <v>0</v>
      </c>
      <c r="ET164">
        <v>0</v>
      </c>
      <c r="EU164">
        <v>0</v>
      </c>
      <c r="EV164">
        <v>0</v>
      </c>
      <c r="EW164">
        <v>0</v>
      </c>
      <c r="EX164">
        <v>0</v>
      </c>
      <c r="EY164">
        <v>0</v>
      </c>
      <c r="EZ164">
        <v>0</v>
      </c>
      <c r="FA164">
        <v>0</v>
      </c>
      <c r="FB164">
        <v>0</v>
      </c>
      <c r="FC164">
        <v>0</v>
      </c>
      <c r="FD164">
        <v>0</v>
      </c>
      <c r="FE164">
        <v>0</v>
      </c>
      <c r="FF164">
        <v>0</v>
      </c>
      <c r="FG164">
        <v>0</v>
      </c>
      <c r="FH164">
        <v>0</v>
      </c>
      <c r="FI164">
        <v>0</v>
      </c>
      <c r="FJ164">
        <v>0</v>
      </c>
      <c r="FK164">
        <v>0</v>
      </c>
      <c r="FL164">
        <v>0</v>
      </c>
      <c r="FM164">
        <v>0</v>
      </c>
      <c r="FN164">
        <v>0</v>
      </c>
      <c r="FO164">
        <v>0</v>
      </c>
      <c r="FP164">
        <v>0</v>
      </c>
      <c r="FQ164">
        <v>0</v>
      </c>
      <c r="FR164">
        <v>0</v>
      </c>
      <c r="FS164">
        <v>0</v>
      </c>
      <c r="FT164">
        <v>0</v>
      </c>
      <c r="FU164">
        <v>0</v>
      </c>
      <c r="FV164">
        <v>0</v>
      </c>
      <c r="FW164">
        <v>0</v>
      </c>
      <c r="FX164">
        <v>0</v>
      </c>
      <c r="FY164">
        <v>0</v>
      </c>
      <c r="FZ164">
        <v>0</v>
      </c>
      <c r="GA164">
        <v>0</v>
      </c>
      <c r="GB164">
        <v>0</v>
      </c>
      <c r="GC164">
        <v>0</v>
      </c>
      <c r="GD164">
        <v>0</v>
      </c>
      <c r="GE164">
        <v>0</v>
      </c>
      <c r="GF164">
        <v>0</v>
      </c>
      <c r="GG164">
        <v>0</v>
      </c>
      <c r="GH164">
        <v>0</v>
      </c>
      <c r="GI164">
        <v>0</v>
      </c>
      <c r="GJ164">
        <v>0</v>
      </c>
      <c r="GK164">
        <v>0</v>
      </c>
      <c r="GL164">
        <v>0</v>
      </c>
      <c r="GM164">
        <v>0</v>
      </c>
      <c r="GN164">
        <v>0</v>
      </c>
      <c r="GO164">
        <v>0</v>
      </c>
      <c r="GP164">
        <v>0</v>
      </c>
      <c r="GQ164">
        <v>0</v>
      </c>
      <c r="GR164">
        <v>0</v>
      </c>
      <c r="GS164">
        <v>0</v>
      </c>
      <c r="GT164">
        <v>0</v>
      </c>
      <c r="GU164">
        <v>0</v>
      </c>
      <c r="GV164">
        <v>0</v>
      </c>
      <c r="GW164">
        <v>0</v>
      </c>
      <c r="GX164">
        <v>0</v>
      </c>
      <c r="GY164">
        <v>0</v>
      </c>
      <c r="GZ164">
        <v>0</v>
      </c>
      <c r="HA164">
        <v>0</v>
      </c>
      <c r="HB164">
        <v>0</v>
      </c>
      <c r="HC164">
        <v>0</v>
      </c>
      <c r="HD164">
        <v>0</v>
      </c>
      <c r="HE164">
        <v>0</v>
      </c>
      <c r="HF164">
        <v>0</v>
      </c>
      <c r="HG164">
        <v>0</v>
      </c>
      <c r="HH164">
        <v>0</v>
      </c>
      <c r="HI164">
        <v>0</v>
      </c>
      <c r="HJ164">
        <v>0</v>
      </c>
      <c r="HK164">
        <v>0</v>
      </c>
      <c r="HL164">
        <v>0</v>
      </c>
      <c r="HM164">
        <v>0</v>
      </c>
      <c r="HN164">
        <v>0</v>
      </c>
      <c r="HO164">
        <v>0</v>
      </c>
      <c r="HP164">
        <v>0</v>
      </c>
      <c r="HQ164">
        <v>0</v>
      </c>
      <c r="HR164">
        <v>0</v>
      </c>
      <c r="HS164">
        <v>0</v>
      </c>
      <c r="HT164">
        <v>0</v>
      </c>
      <c r="HU164">
        <v>0</v>
      </c>
      <c r="HV164">
        <v>0</v>
      </c>
      <c r="HW164">
        <v>0</v>
      </c>
      <c r="HX164">
        <v>0</v>
      </c>
      <c r="HY164">
        <v>0</v>
      </c>
      <c r="HZ164">
        <v>0</v>
      </c>
      <c r="IA164">
        <v>0</v>
      </c>
      <c r="IB164">
        <v>0</v>
      </c>
      <c r="IC164">
        <v>0</v>
      </c>
      <c r="ID164">
        <v>0</v>
      </c>
      <c r="IE164">
        <v>0</v>
      </c>
      <c r="IF164">
        <v>0</v>
      </c>
      <c r="IG164">
        <v>0</v>
      </c>
      <c r="IH164">
        <v>0</v>
      </c>
      <c r="II164">
        <v>0</v>
      </c>
      <c r="IJ164">
        <v>0</v>
      </c>
      <c r="IK164">
        <v>0</v>
      </c>
      <c r="IL164">
        <v>0</v>
      </c>
      <c r="IM164">
        <v>0</v>
      </c>
      <c r="IN164">
        <v>0</v>
      </c>
      <c r="IO164">
        <v>0</v>
      </c>
      <c r="IP164">
        <v>0</v>
      </c>
      <c r="IQ164">
        <v>0</v>
      </c>
      <c r="IR164">
        <v>0</v>
      </c>
      <c r="IS164">
        <v>0</v>
      </c>
      <c r="IT164">
        <v>0</v>
      </c>
      <c r="IU164">
        <v>0</v>
      </c>
      <c r="IV164">
        <v>0</v>
      </c>
      <c r="IW164">
        <v>0</v>
      </c>
      <c r="IX164">
        <v>0</v>
      </c>
      <c r="IY164">
        <v>0</v>
      </c>
      <c r="IZ164">
        <v>0</v>
      </c>
      <c r="JA164">
        <v>0</v>
      </c>
      <c r="JB164">
        <v>0</v>
      </c>
      <c r="JC164">
        <v>0</v>
      </c>
      <c r="JD164">
        <v>0</v>
      </c>
      <c r="JE164">
        <v>0</v>
      </c>
      <c r="JF164">
        <v>0</v>
      </c>
      <c r="JG164">
        <v>0</v>
      </c>
      <c r="JH164">
        <v>0</v>
      </c>
      <c r="JI164">
        <v>0</v>
      </c>
      <c r="JJ164">
        <v>0</v>
      </c>
      <c r="JK164">
        <v>0</v>
      </c>
      <c r="JL164">
        <v>0</v>
      </c>
      <c r="JM164">
        <v>0</v>
      </c>
      <c r="JN164">
        <v>0</v>
      </c>
      <c r="JO164">
        <v>0</v>
      </c>
      <c r="JP164">
        <v>0</v>
      </c>
      <c r="JQ164">
        <v>0</v>
      </c>
      <c r="JR164">
        <v>0</v>
      </c>
      <c r="JS164">
        <v>0</v>
      </c>
      <c r="JT164">
        <v>0</v>
      </c>
      <c r="JU164">
        <v>0</v>
      </c>
      <c r="JV164">
        <v>0</v>
      </c>
      <c r="JW164">
        <v>0</v>
      </c>
      <c r="JX164">
        <v>0</v>
      </c>
      <c r="JY164">
        <v>0</v>
      </c>
      <c r="JZ164">
        <v>0</v>
      </c>
      <c r="KA164">
        <v>0</v>
      </c>
      <c r="KB164">
        <v>0</v>
      </c>
      <c r="KC164">
        <v>0</v>
      </c>
      <c r="KD164">
        <v>0</v>
      </c>
      <c r="KE164">
        <v>0</v>
      </c>
      <c r="KF164">
        <v>0</v>
      </c>
      <c r="KG164">
        <v>0</v>
      </c>
      <c r="KH164">
        <v>0</v>
      </c>
      <c r="KI164">
        <v>0</v>
      </c>
      <c r="KJ164">
        <v>0</v>
      </c>
      <c r="KK164">
        <v>0</v>
      </c>
      <c r="KL164">
        <v>0</v>
      </c>
      <c r="KM164">
        <v>0</v>
      </c>
      <c r="KN164">
        <v>0</v>
      </c>
      <c r="KO164">
        <v>0</v>
      </c>
      <c r="KP164">
        <v>0</v>
      </c>
      <c r="KQ164">
        <v>0</v>
      </c>
      <c r="KR164">
        <v>0</v>
      </c>
      <c r="KS164">
        <v>0</v>
      </c>
      <c r="KT164">
        <v>0</v>
      </c>
      <c r="KU164">
        <v>0</v>
      </c>
      <c r="KV164">
        <v>0</v>
      </c>
      <c r="KW164">
        <v>0</v>
      </c>
      <c r="KX164">
        <v>0</v>
      </c>
      <c r="KY164">
        <v>0</v>
      </c>
      <c r="KZ164">
        <v>0</v>
      </c>
      <c r="LA164">
        <v>0</v>
      </c>
      <c r="LB164">
        <v>0</v>
      </c>
      <c r="LC164">
        <v>0</v>
      </c>
      <c r="LD164">
        <v>0</v>
      </c>
      <c r="LE164">
        <v>0</v>
      </c>
      <c r="LF164">
        <v>0</v>
      </c>
      <c r="LG164">
        <v>0</v>
      </c>
      <c r="LH164">
        <v>0</v>
      </c>
      <c r="LI164">
        <v>0</v>
      </c>
      <c r="LJ164">
        <v>0</v>
      </c>
      <c r="LK164">
        <v>0</v>
      </c>
      <c r="LL164">
        <v>0</v>
      </c>
      <c r="LM164">
        <v>0</v>
      </c>
      <c r="LN164">
        <v>0</v>
      </c>
      <c r="LO164">
        <v>0</v>
      </c>
      <c r="LP164">
        <v>0</v>
      </c>
      <c r="LQ164">
        <v>0</v>
      </c>
      <c r="LR164">
        <v>0</v>
      </c>
      <c r="LS164">
        <v>0</v>
      </c>
      <c r="LT164">
        <v>0</v>
      </c>
      <c r="LU164">
        <v>0</v>
      </c>
      <c r="LV164">
        <v>0</v>
      </c>
      <c r="LW164">
        <v>0</v>
      </c>
      <c r="LX164">
        <v>0</v>
      </c>
      <c r="LY164">
        <v>0</v>
      </c>
      <c r="LZ164">
        <v>0</v>
      </c>
      <c r="MA164">
        <v>0</v>
      </c>
      <c r="MB164">
        <v>0</v>
      </c>
      <c r="MC164">
        <v>0</v>
      </c>
      <c r="MD164">
        <v>0</v>
      </c>
      <c r="ME164">
        <v>0</v>
      </c>
      <c r="MF164">
        <v>0</v>
      </c>
      <c r="MG164">
        <v>0</v>
      </c>
      <c r="MH164">
        <v>0</v>
      </c>
      <c r="MI164">
        <v>0</v>
      </c>
      <c r="MJ164">
        <v>0</v>
      </c>
      <c r="MK164">
        <v>0</v>
      </c>
      <c r="ML164">
        <v>0</v>
      </c>
      <c r="MM164">
        <v>0</v>
      </c>
      <c r="MN164">
        <v>0</v>
      </c>
      <c r="MO164">
        <v>0</v>
      </c>
      <c r="MP164">
        <v>0</v>
      </c>
      <c r="MQ164">
        <v>0</v>
      </c>
      <c r="MR164">
        <v>0</v>
      </c>
      <c r="MS164">
        <v>0</v>
      </c>
      <c r="MT164">
        <v>0</v>
      </c>
      <c r="MU164">
        <v>0</v>
      </c>
      <c r="MV164">
        <v>0</v>
      </c>
      <c r="MW164">
        <v>0</v>
      </c>
      <c r="MX164">
        <v>0</v>
      </c>
      <c r="MY164">
        <v>0</v>
      </c>
      <c r="MZ164">
        <v>0</v>
      </c>
      <c r="NA164">
        <v>0</v>
      </c>
      <c r="NB164">
        <v>0</v>
      </c>
      <c r="NC164">
        <v>0</v>
      </c>
      <c r="ND164">
        <v>0</v>
      </c>
      <c r="NE164">
        <v>0</v>
      </c>
    </row>
    <row r="165" spans="41:369" x14ac:dyDescent="0.45">
      <c r="AO165" t="str">
        <v>C121</v>
      </c>
      <c r="AP165" t="str">
        <v>ABDUL SALAM ARIF</v>
      </c>
      <c r="AQ165" t="str">
        <v>JARF</v>
      </c>
      <c r="AR165" t="str">
        <v>SENIOR</v>
      </c>
      <c r="AS165">
        <v>5</v>
      </c>
      <c r="AT165">
        <v>4</v>
      </c>
      <c r="AU165">
        <v>0</v>
      </c>
      <c r="AV165">
        <v>4</v>
      </c>
      <c r="AW165">
        <v>4</v>
      </c>
      <c r="AX165">
        <v>197</v>
      </c>
      <c r="AY165" s="5">
        <v>197</v>
      </c>
      <c r="AZ165" t="str">
        <v>SS21</v>
      </c>
      <c r="BA165" t="str">
        <v>SHORT STORY ARB</v>
      </c>
      <c r="BB165" t="str">
        <v>SUPER SENIOR</v>
      </c>
      <c r="BC165" t="str">
        <v>Single</v>
      </c>
      <c r="BD165" t="str">
        <v>Non-Stg</v>
      </c>
      <c r="BE165">
        <v>3</v>
      </c>
      <c r="BF165" t="str">
        <v>Individual</v>
      </c>
      <c r="BG165" t="str">
        <v>Individual</v>
      </c>
      <c r="BH165" t="str">
        <v>P</v>
      </c>
      <c r="BI165" t="str">
        <v>PUBLISHED</v>
      </c>
      <c r="BK165">
        <v>159</v>
      </c>
      <c r="BL165" t="str">
        <v>SS17</v>
      </c>
      <c r="BM165" t="str">
        <v>PROOF READING ENG</v>
      </c>
      <c r="BN165">
        <v>3</v>
      </c>
      <c r="BO165" t="str">
        <v>Single</v>
      </c>
      <c r="BP165" t="str">
        <v>Non-Stg</v>
      </c>
      <c r="BQ165" t="str">
        <v>SUPER SENIOR</v>
      </c>
      <c r="BR165" t="str">
        <v>D133</v>
      </c>
      <c r="BS165" t="str">
        <v>D171</v>
      </c>
      <c r="BT165" t="str">
        <v>D177</v>
      </c>
      <c r="BU165">
        <v>0</v>
      </c>
      <c r="BV165">
        <v>0</v>
      </c>
      <c r="BW165">
        <v>0</v>
      </c>
      <c r="BX165">
        <v>0</v>
      </c>
      <c r="BY165" t="str">
        <v>D135</v>
      </c>
      <c r="BZ165" t="str">
        <v>D150</v>
      </c>
      <c r="CA165" t="str">
        <v>D108</v>
      </c>
      <c r="CB165">
        <v>0</v>
      </c>
      <c r="CC165">
        <v>0</v>
      </c>
      <c r="CD165">
        <v>0</v>
      </c>
      <c r="CE165">
        <v>0</v>
      </c>
      <c r="CF165" t="str">
        <v>D110</v>
      </c>
      <c r="CG165" t="str">
        <v>D118</v>
      </c>
      <c r="CH165" t="str">
        <v>D190</v>
      </c>
      <c r="CI165">
        <v>0</v>
      </c>
      <c r="CJ165">
        <v>0</v>
      </c>
      <c r="CK165">
        <v>0</v>
      </c>
      <c r="CL165">
        <v>0</v>
      </c>
      <c r="CM165" t="str">
        <v>D101</v>
      </c>
      <c r="CN165" t="str">
        <v>D116</v>
      </c>
      <c r="CO165" t="str">
        <v>D154</v>
      </c>
      <c r="CP165">
        <v>0</v>
      </c>
      <c r="CQ165">
        <v>0</v>
      </c>
      <c r="CR165">
        <v>0</v>
      </c>
      <c r="CS165">
        <v>0</v>
      </c>
      <c r="CT165">
        <v>0</v>
      </c>
      <c r="CU165">
        <v>0</v>
      </c>
      <c r="CV165">
        <v>0</v>
      </c>
      <c r="CW165">
        <v>0</v>
      </c>
      <c r="CX165">
        <v>0</v>
      </c>
      <c r="CY165">
        <v>0</v>
      </c>
      <c r="CZ165">
        <v>0</v>
      </c>
      <c r="DA165">
        <v>0</v>
      </c>
      <c r="DB165">
        <v>0</v>
      </c>
      <c r="DC165">
        <v>0</v>
      </c>
      <c r="DD165">
        <v>0</v>
      </c>
      <c r="DE165">
        <v>0</v>
      </c>
      <c r="DF165">
        <v>0</v>
      </c>
      <c r="DG165">
        <v>0</v>
      </c>
      <c r="DH165">
        <v>0</v>
      </c>
      <c r="DI165">
        <v>0</v>
      </c>
      <c r="DJ165">
        <v>0</v>
      </c>
      <c r="DK165">
        <v>0</v>
      </c>
      <c r="DL165">
        <v>0</v>
      </c>
      <c r="DM165">
        <v>0</v>
      </c>
      <c r="DN165">
        <v>0</v>
      </c>
      <c r="DO165">
        <v>0</v>
      </c>
      <c r="DP165">
        <v>0</v>
      </c>
      <c r="DQ165">
        <v>0</v>
      </c>
      <c r="DR165">
        <v>0</v>
      </c>
      <c r="DS165">
        <v>0</v>
      </c>
      <c r="DT165">
        <v>0</v>
      </c>
      <c r="DU165">
        <v>0</v>
      </c>
      <c r="DV165">
        <v>0</v>
      </c>
      <c r="DW165">
        <v>0</v>
      </c>
      <c r="DX165">
        <v>0</v>
      </c>
      <c r="DY165">
        <v>0</v>
      </c>
      <c r="DZ165">
        <v>0</v>
      </c>
      <c r="EA165">
        <v>0</v>
      </c>
      <c r="EB165">
        <v>0</v>
      </c>
      <c r="EC165">
        <v>0</v>
      </c>
      <c r="ED165">
        <v>0</v>
      </c>
      <c r="EE165">
        <v>0</v>
      </c>
      <c r="EF165">
        <v>0</v>
      </c>
      <c r="EG165">
        <v>0</v>
      </c>
      <c r="EH165">
        <v>0</v>
      </c>
      <c r="EI165">
        <v>0</v>
      </c>
      <c r="EJ165">
        <v>0</v>
      </c>
      <c r="EK165">
        <v>0</v>
      </c>
      <c r="EL165">
        <v>0</v>
      </c>
      <c r="EM165">
        <v>0</v>
      </c>
      <c r="EN165">
        <v>0</v>
      </c>
      <c r="EO165">
        <v>0</v>
      </c>
      <c r="EP165">
        <v>0</v>
      </c>
      <c r="EQ165">
        <v>0</v>
      </c>
      <c r="ER165">
        <v>0</v>
      </c>
      <c r="ES165">
        <v>0</v>
      </c>
      <c r="ET165">
        <v>0</v>
      </c>
      <c r="EU165">
        <v>0</v>
      </c>
      <c r="EV165">
        <v>0</v>
      </c>
      <c r="EW165">
        <v>0</v>
      </c>
      <c r="EX165">
        <v>0</v>
      </c>
      <c r="EY165">
        <v>0</v>
      </c>
      <c r="EZ165">
        <v>0</v>
      </c>
      <c r="FA165">
        <v>0</v>
      </c>
      <c r="FB165">
        <v>0</v>
      </c>
      <c r="FC165">
        <v>0</v>
      </c>
      <c r="FD165">
        <v>0</v>
      </c>
      <c r="FE165">
        <v>0</v>
      </c>
      <c r="FF165">
        <v>0</v>
      </c>
      <c r="FG165">
        <v>0</v>
      </c>
      <c r="FH165">
        <v>0</v>
      </c>
      <c r="FI165">
        <v>0</v>
      </c>
      <c r="FJ165">
        <v>0</v>
      </c>
      <c r="FK165">
        <v>0</v>
      </c>
      <c r="FL165">
        <v>0</v>
      </c>
      <c r="FM165">
        <v>0</v>
      </c>
      <c r="FN165">
        <v>0</v>
      </c>
      <c r="FO165">
        <v>0</v>
      </c>
      <c r="FP165">
        <v>0</v>
      </c>
      <c r="FQ165">
        <v>0</v>
      </c>
      <c r="FR165">
        <v>0</v>
      </c>
      <c r="FS165">
        <v>0</v>
      </c>
      <c r="FT165">
        <v>0</v>
      </c>
      <c r="FU165">
        <v>0</v>
      </c>
      <c r="FV165">
        <v>0</v>
      </c>
      <c r="FW165">
        <v>0</v>
      </c>
      <c r="FX165">
        <v>0</v>
      </c>
      <c r="FY165">
        <v>0</v>
      </c>
      <c r="FZ165">
        <v>0</v>
      </c>
      <c r="GA165">
        <v>0</v>
      </c>
      <c r="GB165">
        <v>0</v>
      </c>
      <c r="GC165">
        <v>0</v>
      </c>
      <c r="GD165">
        <v>0</v>
      </c>
      <c r="GE165">
        <v>0</v>
      </c>
      <c r="GF165">
        <v>0</v>
      </c>
      <c r="GG165">
        <v>0</v>
      </c>
      <c r="GH165">
        <v>0</v>
      </c>
      <c r="GI165">
        <v>0</v>
      </c>
      <c r="GJ165">
        <v>0</v>
      </c>
      <c r="GK165">
        <v>0</v>
      </c>
      <c r="GL165">
        <v>0</v>
      </c>
      <c r="GM165">
        <v>0</v>
      </c>
      <c r="GN165">
        <v>0</v>
      </c>
      <c r="GO165">
        <v>0</v>
      </c>
      <c r="GP165">
        <v>0</v>
      </c>
      <c r="GQ165">
        <v>0</v>
      </c>
      <c r="GR165">
        <v>0</v>
      </c>
      <c r="GS165">
        <v>0</v>
      </c>
      <c r="GT165">
        <v>0</v>
      </c>
      <c r="GU165">
        <v>0</v>
      </c>
      <c r="GV165">
        <v>0</v>
      </c>
      <c r="GW165">
        <v>0</v>
      </c>
      <c r="GX165">
        <v>0</v>
      </c>
      <c r="GY165">
        <v>0</v>
      </c>
      <c r="GZ165">
        <v>0</v>
      </c>
      <c r="HA165">
        <v>0</v>
      </c>
      <c r="HB165">
        <v>0</v>
      </c>
      <c r="HC165">
        <v>0</v>
      </c>
      <c r="HD165">
        <v>0</v>
      </c>
      <c r="HE165">
        <v>0</v>
      </c>
      <c r="HF165">
        <v>0</v>
      </c>
      <c r="HG165">
        <v>0</v>
      </c>
      <c r="HH165">
        <v>0</v>
      </c>
      <c r="HI165">
        <v>0</v>
      </c>
      <c r="HJ165">
        <v>0</v>
      </c>
      <c r="HK165">
        <v>0</v>
      </c>
      <c r="HL165">
        <v>0</v>
      </c>
      <c r="HM165">
        <v>0</v>
      </c>
      <c r="HN165">
        <v>0</v>
      </c>
      <c r="HO165">
        <v>0</v>
      </c>
      <c r="HP165">
        <v>0</v>
      </c>
      <c r="HQ165">
        <v>0</v>
      </c>
      <c r="HR165">
        <v>0</v>
      </c>
      <c r="HS165">
        <v>0</v>
      </c>
      <c r="HT165">
        <v>0</v>
      </c>
      <c r="HU165">
        <v>0</v>
      </c>
      <c r="HV165">
        <v>0</v>
      </c>
      <c r="HW165">
        <v>0</v>
      </c>
      <c r="HX165">
        <v>0</v>
      </c>
      <c r="HY165">
        <v>0</v>
      </c>
      <c r="HZ165">
        <v>0</v>
      </c>
      <c r="IA165">
        <v>0</v>
      </c>
      <c r="IB165">
        <v>0</v>
      </c>
      <c r="IC165">
        <v>0</v>
      </c>
      <c r="ID165">
        <v>0</v>
      </c>
      <c r="IE165">
        <v>0</v>
      </c>
      <c r="IF165">
        <v>0</v>
      </c>
      <c r="IG165">
        <v>0</v>
      </c>
      <c r="IH165">
        <v>0</v>
      </c>
      <c r="II165">
        <v>0</v>
      </c>
      <c r="IJ165">
        <v>0</v>
      </c>
      <c r="IK165">
        <v>0</v>
      </c>
      <c r="IL165">
        <v>0</v>
      </c>
      <c r="IM165">
        <v>0</v>
      </c>
      <c r="IN165">
        <v>0</v>
      </c>
      <c r="IO165">
        <v>0</v>
      </c>
      <c r="IP165">
        <v>0</v>
      </c>
      <c r="IQ165">
        <v>0</v>
      </c>
      <c r="IR165">
        <v>0</v>
      </c>
      <c r="IS165">
        <v>0</v>
      </c>
      <c r="IT165">
        <v>0</v>
      </c>
      <c r="IU165">
        <v>0</v>
      </c>
      <c r="IV165">
        <v>0</v>
      </c>
      <c r="IW165">
        <v>0</v>
      </c>
      <c r="IX165">
        <v>0</v>
      </c>
      <c r="IY165">
        <v>0</v>
      </c>
      <c r="IZ165">
        <v>0</v>
      </c>
      <c r="JA165">
        <v>0</v>
      </c>
      <c r="JB165">
        <v>0</v>
      </c>
      <c r="JC165">
        <v>0</v>
      </c>
      <c r="JD165">
        <v>0</v>
      </c>
      <c r="JE165">
        <v>0</v>
      </c>
      <c r="JF165">
        <v>0</v>
      </c>
      <c r="JG165">
        <v>0</v>
      </c>
      <c r="JH165">
        <v>0</v>
      </c>
      <c r="JI165">
        <v>0</v>
      </c>
      <c r="JJ165">
        <v>0</v>
      </c>
      <c r="JK165">
        <v>0</v>
      </c>
      <c r="JL165">
        <v>0</v>
      </c>
      <c r="JM165">
        <v>0</v>
      </c>
      <c r="JN165">
        <v>0</v>
      </c>
      <c r="JO165">
        <v>0</v>
      </c>
      <c r="JP165">
        <v>0</v>
      </c>
      <c r="JQ165">
        <v>0</v>
      </c>
      <c r="JR165">
        <v>0</v>
      </c>
      <c r="JS165">
        <v>0</v>
      </c>
      <c r="JT165">
        <v>0</v>
      </c>
      <c r="JU165">
        <v>0</v>
      </c>
      <c r="JV165">
        <v>0</v>
      </c>
      <c r="JW165">
        <v>0</v>
      </c>
      <c r="JX165">
        <v>0</v>
      </c>
      <c r="JY165">
        <v>0</v>
      </c>
      <c r="JZ165">
        <v>0</v>
      </c>
      <c r="KA165">
        <v>0</v>
      </c>
      <c r="KB165">
        <v>0</v>
      </c>
      <c r="KC165">
        <v>0</v>
      </c>
      <c r="KD165">
        <v>0</v>
      </c>
      <c r="KE165">
        <v>0</v>
      </c>
      <c r="KF165">
        <v>0</v>
      </c>
      <c r="KG165">
        <v>0</v>
      </c>
      <c r="KH165">
        <v>0</v>
      </c>
      <c r="KI165">
        <v>0</v>
      </c>
      <c r="KJ165">
        <v>0</v>
      </c>
      <c r="KK165">
        <v>0</v>
      </c>
      <c r="KL165">
        <v>0</v>
      </c>
      <c r="KM165">
        <v>0</v>
      </c>
      <c r="KN165">
        <v>0</v>
      </c>
      <c r="KO165">
        <v>0</v>
      </c>
      <c r="KP165">
        <v>0</v>
      </c>
      <c r="KQ165">
        <v>0</v>
      </c>
      <c r="KR165">
        <v>0</v>
      </c>
      <c r="KS165">
        <v>0</v>
      </c>
      <c r="KT165">
        <v>0</v>
      </c>
      <c r="KU165">
        <v>0</v>
      </c>
      <c r="KV165">
        <v>0</v>
      </c>
      <c r="KW165">
        <v>0</v>
      </c>
      <c r="KX165">
        <v>0</v>
      </c>
      <c r="KY165">
        <v>0</v>
      </c>
      <c r="KZ165">
        <v>0</v>
      </c>
      <c r="LA165">
        <v>0</v>
      </c>
      <c r="LB165">
        <v>0</v>
      </c>
      <c r="LC165">
        <v>0</v>
      </c>
      <c r="LD165">
        <v>0</v>
      </c>
      <c r="LE165">
        <v>0</v>
      </c>
      <c r="LF165">
        <v>0</v>
      </c>
      <c r="LG165">
        <v>0</v>
      </c>
      <c r="LH165">
        <v>0</v>
      </c>
      <c r="LI165">
        <v>0</v>
      </c>
      <c r="LJ165">
        <v>0</v>
      </c>
      <c r="LK165">
        <v>0</v>
      </c>
      <c r="LL165">
        <v>0</v>
      </c>
      <c r="LM165">
        <v>0</v>
      </c>
      <c r="LN165">
        <v>0</v>
      </c>
      <c r="LO165">
        <v>0</v>
      </c>
      <c r="LP165">
        <v>0</v>
      </c>
      <c r="LQ165">
        <v>0</v>
      </c>
      <c r="LR165">
        <v>0</v>
      </c>
      <c r="LS165">
        <v>0</v>
      </c>
      <c r="LT165">
        <v>0</v>
      </c>
      <c r="LU165">
        <v>0</v>
      </c>
      <c r="LV165">
        <v>0</v>
      </c>
      <c r="LW165">
        <v>0</v>
      </c>
      <c r="LX165">
        <v>0</v>
      </c>
      <c r="LY165">
        <v>0</v>
      </c>
      <c r="LZ165">
        <v>0</v>
      </c>
      <c r="MA165">
        <v>0</v>
      </c>
      <c r="MB165">
        <v>0</v>
      </c>
      <c r="MC165">
        <v>0</v>
      </c>
      <c r="MD165">
        <v>0</v>
      </c>
      <c r="ME165">
        <v>0</v>
      </c>
      <c r="MF165">
        <v>0</v>
      </c>
      <c r="MG165">
        <v>0</v>
      </c>
      <c r="MH165">
        <v>0</v>
      </c>
      <c r="MI165">
        <v>0</v>
      </c>
      <c r="MJ165">
        <v>0</v>
      </c>
      <c r="MK165">
        <v>0</v>
      </c>
      <c r="ML165">
        <v>0</v>
      </c>
      <c r="MM165">
        <v>0</v>
      </c>
      <c r="MN165">
        <v>0</v>
      </c>
      <c r="MO165">
        <v>0</v>
      </c>
      <c r="MP165">
        <v>0</v>
      </c>
      <c r="MQ165">
        <v>0</v>
      </c>
      <c r="MR165">
        <v>0</v>
      </c>
      <c r="MS165">
        <v>0</v>
      </c>
      <c r="MT165">
        <v>0</v>
      </c>
      <c r="MU165">
        <v>0</v>
      </c>
      <c r="MV165">
        <v>0</v>
      </c>
      <c r="MW165">
        <v>0</v>
      </c>
      <c r="MX165">
        <v>0</v>
      </c>
      <c r="MY165">
        <v>0</v>
      </c>
      <c r="MZ165">
        <v>0</v>
      </c>
      <c r="NA165">
        <v>0</v>
      </c>
      <c r="NB165">
        <v>0</v>
      </c>
      <c r="NC165">
        <v>0</v>
      </c>
      <c r="ND165">
        <v>0</v>
      </c>
      <c r="NE165">
        <v>0</v>
      </c>
    </row>
    <row r="166" spans="41:369" x14ac:dyDescent="0.45">
      <c r="AO166" t="str">
        <v>C122</v>
      </c>
      <c r="AP166" t="str">
        <v>MOHAMMED K H</v>
      </c>
      <c r="AQ166" t="str">
        <v>BADF</v>
      </c>
      <c r="AR166" t="str">
        <v>SENIOR</v>
      </c>
      <c r="AS166">
        <v>5</v>
      </c>
      <c r="AT166">
        <v>0</v>
      </c>
      <c r="AU166">
        <v>0</v>
      </c>
      <c r="AV166">
        <v>0</v>
      </c>
      <c r="AW166">
        <v>0</v>
      </c>
      <c r="AX166">
        <v>255</v>
      </c>
      <c r="AY166" s="5">
        <v>255</v>
      </c>
      <c r="AZ166" t="str">
        <v>SS22</v>
      </c>
      <c r="BA166" t="str">
        <v>SHORT STORY ENG</v>
      </c>
      <c r="BB166" t="str">
        <v>SUPER SENIOR</v>
      </c>
      <c r="BC166" t="str">
        <v>Single</v>
      </c>
      <c r="BD166" t="str">
        <v>Non-Stg</v>
      </c>
      <c r="BE166">
        <v>3</v>
      </c>
      <c r="BF166" t="str">
        <v>Individual</v>
      </c>
      <c r="BG166" t="str">
        <v>Individual</v>
      </c>
      <c r="BH166" t="str">
        <v>P</v>
      </c>
      <c r="BI166" t="str">
        <v>PUBLISHED</v>
      </c>
      <c r="BK166">
        <v>160</v>
      </c>
      <c r="BL166" t="str">
        <v>SS18</v>
      </c>
      <c r="BM166" t="str">
        <v>PROOF READING MLM</v>
      </c>
      <c r="BN166">
        <v>3</v>
      </c>
      <c r="BO166" t="str">
        <v>Single</v>
      </c>
      <c r="BP166" t="str">
        <v>Non-Stg</v>
      </c>
      <c r="BQ166" t="str">
        <v>SUPER SENIOR</v>
      </c>
      <c r="BR166" t="str">
        <v>D105</v>
      </c>
      <c r="BS166" t="str">
        <v>D147</v>
      </c>
      <c r="BT166" t="str">
        <v>D171</v>
      </c>
      <c r="BU166">
        <v>0</v>
      </c>
      <c r="BV166">
        <v>0</v>
      </c>
      <c r="BW166">
        <v>0</v>
      </c>
      <c r="BX166">
        <v>0</v>
      </c>
      <c r="BY166" t="str">
        <v>D103</v>
      </c>
      <c r="BZ166" t="str">
        <v>D172</v>
      </c>
      <c r="CA166" t="str">
        <v>D146</v>
      </c>
      <c r="CB166">
        <v>0</v>
      </c>
      <c r="CC166">
        <v>0</v>
      </c>
      <c r="CD166">
        <v>0</v>
      </c>
      <c r="CE166">
        <v>0</v>
      </c>
      <c r="CF166" t="str">
        <v>D155</v>
      </c>
      <c r="CG166" t="str">
        <v>D157</v>
      </c>
      <c r="CH166" t="str">
        <v>D195</v>
      </c>
      <c r="CI166">
        <v>0</v>
      </c>
      <c r="CJ166">
        <v>0</v>
      </c>
      <c r="CK166">
        <v>0</v>
      </c>
      <c r="CL166">
        <v>0</v>
      </c>
      <c r="CM166" t="str">
        <v>D136</v>
      </c>
      <c r="CN166" t="str">
        <v>D170</v>
      </c>
      <c r="CO166" t="str">
        <v>D194</v>
      </c>
      <c r="CP166">
        <v>0</v>
      </c>
      <c r="CQ166">
        <v>0</v>
      </c>
      <c r="CR166">
        <v>0</v>
      </c>
      <c r="CS166">
        <v>0</v>
      </c>
      <c r="CT166">
        <v>0</v>
      </c>
      <c r="CU166">
        <v>0</v>
      </c>
      <c r="CV166">
        <v>0</v>
      </c>
      <c r="CW166">
        <v>0</v>
      </c>
      <c r="CX166">
        <v>0</v>
      </c>
      <c r="CY166">
        <v>0</v>
      </c>
      <c r="CZ166">
        <v>0</v>
      </c>
      <c r="DA166">
        <v>0</v>
      </c>
      <c r="DB166">
        <v>0</v>
      </c>
      <c r="DC166">
        <v>0</v>
      </c>
      <c r="DD166">
        <v>0</v>
      </c>
      <c r="DE166">
        <v>0</v>
      </c>
      <c r="DF166">
        <v>0</v>
      </c>
      <c r="DG166">
        <v>0</v>
      </c>
      <c r="DH166">
        <v>0</v>
      </c>
      <c r="DI166">
        <v>0</v>
      </c>
      <c r="DJ166">
        <v>0</v>
      </c>
      <c r="DK166">
        <v>0</v>
      </c>
      <c r="DL166">
        <v>0</v>
      </c>
      <c r="DM166">
        <v>0</v>
      </c>
      <c r="DN166">
        <v>0</v>
      </c>
      <c r="DO166">
        <v>0</v>
      </c>
      <c r="DP166">
        <v>0</v>
      </c>
      <c r="DQ166">
        <v>0</v>
      </c>
      <c r="DR166">
        <v>0</v>
      </c>
      <c r="DS166">
        <v>0</v>
      </c>
      <c r="DT166">
        <v>0</v>
      </c>
      <c r="DU166">
        <v>0</v>
      </c>
      <c r="DV166">
        <v>0</v>
      </c>
      <c r="DW166">
        <v>0</v>
      </c>
      <c r="DX166">
        <v>0</v>
      </c>
      <c r="DY166">
        <v>0</v>
      </c>
      <c r="DZ166">
        <v>0</v>
      </c>
      <c r="EA166">
        <v>0</v>
      </c>
      <c r="EB166">
        <v>0</v>
      </c>
      <c r="EC166">
        <v>0</v>
      </c>
      <c r="ED166">
        <v>0</v>
      </c>
      <c r="EE166">
        <v>0</v>
      </c>
      <c r="EF166">
        <v>0</v>
      </c>
      <c r="EG166">
        <v>0</v>
      </c>
      <c r="EH166">
        <v>0</v>
      </c>
      <c r="EI166">
        <v>0</v>
      </c>
      <c r="EJ166">
        <v>0</v>
      </c>
      <c r="EK166">
        <v>0</v>
      </c>
      <c r="EL166">
        <v>0</v>
      </c>
      <c r="EM166">
        <v>0</v>
      </c>
      <c r="EN166">
        <v>0</v>
      </c>
      <c r="EO166">
        <v>0</v>
      </c>
      <c r="EP166">
        <v>0</v>
      </c>
      <c r="EQ166">
        <v>0</v>
      </c>
      <c r="ER166">
        <v>0</v>
      </c>
      <c r="ES166">
        <v>0</v>
      </c>
      <c r="ET166">
        <v>0</v>
      </c>
      <c r="EU166">
        <v>0</v>
      </c>
      <c r="EV166">
        <v>0</v>
      </c>
      <c r="EW166">
        <v>0</v>
      </c>
      <c r="EX166">
        <v>0</v>
      </c>
      <c r="EY166">
        <v>0</v>
      </c>
      <c r="EZ166">
        <v>0</v>
      </c>
      <c r="FA166">
        <v>0</v>
      </c>
      <c r="FB166">
        <v>0</v>
      </c>
      <c r="FC166">
        <v>0</v>
      </c>
      <c r="FD166">
        <v>0</v>
      </c>
      <c r="FE166">
        <v>0</v>
      </c>
      <c r="FF166">
        <v>0</v>
      </c>
      <c r="FG166">
        <v>0</v>
      </c>
      <c r="FH166">
        <v>0</v>
      </c>
      <c r="FI166">
        <v>0</v>
      </c>
      <c r="FJ166">
        <v>0</v>
      </c>
      <c r="FK166">
        <v>0</v>
      </c>
      <c r="FL166">
        <v>0</v>
      </c>
      <c r="FM166">
        <v>0</v>
      </c>
      <c r="FN166">
        <v>0</v>
      </c>
      <c r="FO166">
        <v>0</v>
      </c>
      <c r="FP166">
        <v>0</v>
      </c>
      <c r="FQ166">
        <v>0</v>
      </c>
      <c r="FR166">
        <v>0</v>
      </c>
      <c r="FS166">
        <v>0</v>
      </c>
      <c r="FT166">
        <v>0</v>
      </c>
      <c r="FU166">
        <v>0</v>
      </c>
      <c r="FV166">
        <v>0</v>
      </c>
      <c r="FW166">
        <v>0</v>
      </c>
      <c r="FX166">
        <v>0</v>
      </c>
      <c r="FY166">
        <v>0</v>
      </c>
      <c r="FZ166">
        <v>0</v>
      </c>
      <c r="GA166">
        <v>0</v>
      </c>
      <c r="GB166">
        <v>0</v>
      </c>
      <c r="GC166">
        <v>0</v>
      </c>
      <c r="GD166">
        <v>0</v>
      </c>
      <c r="GE166">
        <v>0</v>
      </c>
      <c r="GF166">
        <v>0</v>
      </c>
      <c r="GG166">
        <v>0</v>
      </c>
      <c r="GH166">
        <v>0</v>
      </c>
      <c r="GI166">
        <v>0</v>
      </c>
      <c r="GJ166">
        <v>0</v>
      </c>
      <c r="GK166">
        <v>0</v>
      </c>
      <c r="GL166">
        <v>0</v>
      </c>
      <c r="GM166">
        <v>0</v>
      </c>
      <c r="GN166">
        <v>0</v>
      </c>
      <c r="GO166">
        <v>0</v>
      </c>
      <c r="GP166">
        <v>0</v>
      </c>
      <c r="GQ166">
        <v>0</v>
      </c>
      <c r="GR166">
        <v>0</v>
      </c>
      <c r="GS166">
        <v>0</v>
      </c>
      <c r="GT166">
        <v>0</v>
      </c>
      <c r="GU166">
        <v>0</v>
      </c>
      <c r="GV166">
        <v>0</v>
      </c>
      <c r="GW166">
        <v>0</v>
      </c>
      <c r="GX166">
        <v>0</v>
      </c>
      <c r="GY166">
        <v>0</v>
      </c>
      <c r="GZ166">
        <v>0</v>
      </c>
      <c r="HA166">
        <v>0</v>
      </c>
      <c r="HB166">
        <v>0</v>
      </c>
      <c r="HC166">
        <v>0</v>
      </c>
      <c r="HD166">
        <v>0</v>
      </c>
      <c r="HE166">
        <v>0</v>
      </c>
      <c r="HF166">
        <v>0</v>
      </c>
      <c r="HG166">
        <v>0</v>
      </c>
      <c r="HH166">
        <v>0</v>
      </c>
      <c r="HI166">
        <v>0</v>
      </c>
      <c r="HJ166">
        <v>0</v>
      </c>
      <c r="HK166">
        <v>0</v>
      </c>
      <c r="HL166">
        <v>0</v>
      </c>
      <c r="HM166">
        <v>0</v>
      </c>
      <c r="HN166">
        <v>0</v>
      </c>
      <c r="HO166">
        <v>0</v>
      </c>
      <c r="HP166">
        <v>0</v>
      </c>
      <c r="HQ166">
        <v>0</v>
      </c>
      <c r="HR166">
        <v>0</v>
      </c>
      <c r="HS166">
        <v>0</v>
      </c>
      <c r="HT166">
        <v>0</v>
      </c>
      <c r="HU166">
        <v>0</v>
      </c>
      <c r="HV166">
        <v>0</v>
      </c>
      <c r="HW166">
        <v>0</v>
      </c>
      <c r="HX166">
        <v>0</v>
      </c>
      <c r="HY166">
        <v>0</v>
      </c>
      <c r="HZ166">
        <v>0</v>
      </c>
      <c r="IA166">
        <v>0</v>
      </c>
      <c r="IB166">
        <v>0</v>
      </c>
      <c r="IC166">
        <v>0</v>
      </c>
      <c r="ID166">
        <v>0</v>
      </c>
      <c r="IE166">
        <v>0</v>
      </c>
      <c r="IF166">
        <v>0</v>
      </c>
      <c r="IG166">
        <v>0</v>
      </c>
      <c r="IH166">
        <v>0</v>
      </c>
      <c r="II166">
        <v>0</v>
      </c>
      <c r="IJ166">
        <v>0</v>
      </c>
      <c r="IK166">
        <v>0</v>
      </c>
      <c r="IL166">
        <v>0</v>
      </c>
      <c r="IM166">
        <v>0</v>
      </c>
      <c r="IN166">
        <v>0</v>
      </c>
      <c r="IO166">
        <v>0</v>
      </c>
      <c r="IP166">
        <v>0</v>
      </c>
      <c r="IQ166">
        <v>0</v>
      </c>
      <c r="IR166">
        <v>0</v>
      </c>
      <c r="IS166">
        <v>0</v>
      </c>
      <c r="IT166">
        <v>0</v>
      </c>
      <c r="IU166">
        <v>0</v>
      </c>
      <c r="IV166">
        <v>0</v>
      </c>
      <c r="IW166">
        <v>0</v>
      </c>
      <c r="IX166">
        <v>0</v>
      </c>
      <c r="IY166">
        <v>0</v>
      </c>
      <c r="IZ166">
        <v>0</v>
      </c>
      <c r="JA166">
        <v>0</v>
      </c>
      <c r="JB166">
        <v>0</v>
      </c>
      <c r="JC166">
        <v>0</v>
      </c>
      <c r="JD166">
        <v>0</v>
      </c>
      <c r="JE166">
        <v>0</v>
      </c>
      <c r="JF166">
        <v>0</v>
      </c>
      <c r="JG166">
        <v>0</v>
      </c>
      <c r="JH166">
        <v>0</v>
      </c>
      <c r="JI166">
        <v>0</v>
      </c>
      <c r="JJ166">
        <v>0</v>
      </c>
      <c r="JK166">
        <v>0</v>
      </c>
      <c r="JL166">
        <v>0</v>
      </c>
      <c r="JM166">
        <v>0</v>
      </c>
      <c r="JN166">
        <v>0</v>
      </c>
      <c r="JO166">
        <v>0</v>
      </c>
      <c r="JP166">
        <v>0</v>
      </c>
      <c r="JQ166">
        <v>0</v>
      </c>
      <c r="JR166">
        <v>0</v>
      </c>
      <c r="JS166">
        <v>0</v>
      </c>
      <c r="JT166">
        <v>0</v>
      </c>
      <c r="JU166">
        <v>0</v>
      </c>
      <c r="JV166">
        <v>0</v>
      </c>
      <c r="JW166">
        <v>0</v>
      </c>
      <c r="JX166">
        <v>0</v>
      </c>
      <c r="JY166">
        <v>0</v>
      </c>
      <c r="JZ166">
        <v>0</v>
      </c>
      <c r="KA166">
        <v>0</v>
      </c>
      <c r="KB166">
        <v>0</v>
      </c>
      <c r="KC166">
        <v>0</v>
      </c>
      <c r="KD166">
        <v>0</v>
      </c>
      <c r="KE166">
        <v>0</v>
      </c>
      <c r="KF166">
        <v>0</v>
      </c>
      <c r="KG166">
        <v>0</v>
      </c>
      <c r="KH166">
        <v>0</v>
      </c>
      <c r="KI166">
        <v>0</v>
      </c>
      <c r="KJ166">
        <v>0</v>
      </c>
      <c r="KK166">
        <v>0</v>
      </c>
      <c r="KL166">
        <v>0</v>
      </c>
      <c r="KM166">
        <v>0</v>
      </c>
      <c r="KN166">
        <v>0</v>
      </c>
      <c r="KO166">
        <v>0</v>
      </c>
      <c r="KP166">
        <v>0</v>
      </c>
      <c r="KQ166">
        <v>0</v>
      </c>
      <c r="KR166">
        <v>0</v>
      </c>
      <c r="KS166">
        <v>0</v>
      </c>
      <c r="KT166">
        <v>0</v>
      </c>
      <c r="KU166">
        <v>0</v>
      </c>
      <c r="KV166">
        <v>0</v>
      </c>
      <c r="KW166">
        <v>0</v>
      </c>
      <c r="KX166">
        <v>0</v>
      </c>
      <c r="KY166">
        <v>0</v>
      </c>
      <c r="KZ166">
        <v>0</v>
      </c>
      <c r="LA166">
        <v>0</v>
      </c>
      <c r="LB166">
        <v>0</v>
      </c>
      <c r="LC166">
        <v>0</v>
      </c>
      <c r="LD166">
        <v>0</v>
      </c>
      <c r="LE166">
        <v>0</v>
      </c>
      <c r="LF166">
        <v>0</v>
      </c>
      <c r="LG166">
        <v>0</v>
      </c>
      <c r="LH166">
        <v>0</v>
      </c>
      <c r="LI166">
        <v>0</v>
      </c>
      <c r="LJ166">
        <v>0</v>
      </c>
      <c r="LK166">
        <v>0</v>
      </c>
      <c r="LL166">
        <v>0</v>
      </c>
      <c r="LM166">
        <v>0</v>
      </c>
      <c r="LN166">
        <v>0</v>
      </c>
      <c r="LO166">
        <v>0</v>
      </c>
      <c r="LP166">
        <v>0</v>
      </c>
      <c r="LQ166">
        <v>0</v>
      </c>
      <c r="LR166">
        <v>0</v>
      </c>
      <c r="LS166">
        <v>0</v>
      </c>
      <c r="LT166">
        <v>0</v>
      </c>
      <c r="LU166">
        <v>0</v>
      </c>
      <c r="LV166">
        <v>0</v>
      </c>
      <c r="LW166">
        <v>0</v>
      </c>
      <c r="LX166">
        <v>0</v>
      </c>
      <c r="LY166">
        <v>0</v>
      </c>
      <c r="LZ166">
        <v>0</v>
      </c>
      <c r="MA166">
        <v>0</v>
      </c>
      <c r="MB166">
        <v>0</v>
      </c>
      <c r="MC166">
        <v>0</v>
      </c>
      <c r="MD166">
        <v>0</v>
      </c>
      <c r="ME166">
        <v>0</v>
      </c>
      <c r="MF166">
        <v>0</v>
      </c>
      <c r="MG166">
        <v>0</v>
      </c>
      <c r="MH166">
        <v>0</v>
      </c>
      <c r="MI166">
        <v>0</v>
      </c>
      <c r="MJ166">
        <v>0</v>
      </c>
      <c r="MK166">
        <v>0</v>
      </c>
      <c r="ML166">
        <v>0</v>
      </c>
      <c r="MM166">
        <v>0</v>
      </c>
      <c r="MN166">
        <v>0</v>
      </c>
      <c r="MO166">
        <v>0</v>
      </c>
      <c r="MP166">
        <v>0</v>
      </c>
      <c r="MQ166">
        <v>0</v>
      </c>
      <c r="MR166">
        <v>0</v>
      </c>
      <c r="MS166">
        <v>0</v>
      </c>
      <c r="MT166">
        <v>0</v>
      </c>
      <c r="MU166">
        <v>0</v>
      </c>
      <c r="MV166">
        <v>0</v>
      </c>
      <c r="MW166">
        <v>0</v>
      </c>
      <c r="MX166">
        <v>0</v>
      </c>
      <c r="MY166">
        <v>0</v>
      </c>
      <c r="MZ166">
        <v>0</v>
      </c>
      <c r="NA166">
        <v>0</v>
      </c>
      <c r="NB166">
        <v>0</v>
      </c>
      <c r="NC166">
        <v>0</v>
      </c>
      <c r="ND166">
        <v>0</v>
      </c>
      <c r="NE166">
        <v>0</v>
      </c>
    </row>
    <row r="167" spans="41:369" x14ac:dyDescent="0.45">
      <c r="AO167" t="str">
        <v>C123</v>
      </c>
      <c r="AP167" t="str">
        <v>MOHAMMED FAQRUDDEEN RAZI</v>
      </c>
      <c r="AQ167" t="str">
        <v>BADF</v>
      </c>
      <c r="AR167" t="str">
        <v>SENIOR</v>
      </c>
      <c r="AS167">
        <v>5</v>
      </c>
      <c r="AT167">
        <v>1</v>
      </c>
      <c r="AU167">
        <v>0</v>
      </c>
      <c r="AV167">
        <v>1</v>
      </c>
      <c r="AW167">
        <v>1</v>
      </c>
      <c r="AX167">
        <v>231</v>
      </c>
      <c r="AY167" s="5">
        <v>231</v>
      </c>
      <c r="AZ167" t="str">
        <v>SS23</v>
      </c>
      <c r="BA167" t="str">
        <v>SHORT STORY MLM</v>
      </c>
      <c r="BB167" t="str">
        <v>SUPER SENIOR</v>
      </c>
      <c r="BC167" t="str">
        <v>Single</v>
      </c>
      <c r="BD167" t="str">
        <v>Non-Stg</v>
      </c>
      <c r="BE167">
        <v>3</v>
      </c>
      <c r="BF167" t="str">
        <v>Individual</v>
      </c>
      <c r="BG167" t="str">
        <v>Individual</v>
      </c>
      <c r="BH167" t="str">
        <v>P</v>
      </c>
      <c r="BI167" t="str">
        <v>PUBLISHED</v>
      </c>
      <c r="BK167">
        <v>161</v>
      </c>
      <c r="BL167" t="str">
        <v>SS19</v>
      </c>
      <c r="BM167" t="str">
        <v>PROOF READING URD</v>
      </c>
      <c r="BN167">
        <v>3</v>
      </c>
      <c r="BO167" t="str">
        <v>Single</v>
      </c>
      <c r="BP167" t="str">
        <v>Non-Stg</v>
      </c>
      <c r="BQ167" t="str">
        <v>SUPER SENIOR</v>
      </c>
      <c r="BR167" t="str">
        <v>D138</v>
      </c>
      <c r="BS167" t="str">
        <v>D168</v>
      </c>
      <c r="BT167" t="str">
        <v>D184</v>
      </c>
      <c r="BU167">
        <v>0</v>
      </c>
      <c r="BV167">
        <v>0</v>
      </c>
      <c r="BW167">
        <v>0</v>
      </c>
      <c r="BX167">
        <v>0</v>
      </c>
      <c r="BY167" t="str">
        <v>D179</v>
      </c>
      <c r="BZ167" t="str">
        <v>D187</v>
      </c>
      <c r="CA167" t="str">
        <v>D192</v>
      </c>
      <c r="CB167">
        <v>0</v>
      </c>
      <c r="CC167">
        <v>0</v>
      </c>
      <c r="CD167">
        <v>0</v>
      </c>
      <c r="CE167">
        <v>0</v>
      </c>
      <c r="CF167" t="str">
        <v>D141</v>
      </c>
      <c r="CG167" t="str">
        <v>D145</v>
      </c>
      <c r="CH167" t="str">
        <v>D189</v>
      </c>
      <c r="CI167">
        <v>0</v>
      </c>
      <c r="CJ167">
        <v>0</v>
      </c>
      <c r="CK167">
        <v>0</v>
      </c>
      <c r="CL167">
        <v>0</v>
      </c>
      <c r="CM167" t="str">
        <v>D101</v>
      </c>
      <c r="CN167" t="str">
        <v>D139</v>
      </c>
      <c r="CO167" t="str">
        <v>D164</v>
      </c>
      <c r="CP167">
        <v>0</v>
      </c>
      <c r="CQ167">
        <v>0</v>
      </c>
      <c r="CR167">
        <v>0</v>
      </c>
      <c r="CS167">
        <v>0</v>
      </c>
      <c r="CT167">
        <v>0</v>
      </c>
      <c r="CU167">
        <v>0</v>
      </c>
      <c r="CV167">
        <v>0</v>
      </c>
      <c r="CW167">
        <v>0</v>
      </c>
      <c r="CX167">
        <v>0</v>
      </c>
      <c r="CY167">
        <v>0</v>
      </c>
      <c r="CZ167">
        <v>0</v>
      </c>
      <c r="DA167">
        <v>0</v>
      </c>
      <c r="DB167">
        <v>0</v>
      </c>
      <c r="DC167">
        <v>0</v>
      </c>
      <c r="DD167">
        <v>0</v>
      </c>
      <c r="DE167">
        <v>0</v>
      </c>
      <c r="DF167">
        <v>0</v>
      </c>
      <c r="DG167">
        <v>0</v>
      </c>
      <c r="DH167">
        <v>0</v>
      </c>
      <c r="DI167">
        <v>0</v>
      </c>
      <c r="DJ167">
        <v>0</v>
      </c>
      <c r="DK167">
        <v>0</v>
      </c>
      <c r="DL167">
        <v>0</v>
      </c>
      <c r="DM167">
        <v>0</v>
      </c>
      <c r="DN167">
        <v>0</v>
      </c>
      <c r="DO167">
        <v>0</v>
      </c>
      <c r="DP167">
        <v>0</v>
      </c>
      <c r="DQ167">
        <v>0</v>
      </c>
      <c r="DR167">
        <v>0</v>
      </c>
      <c r="DS167">
        <v>0</v>
      </c>
      <c r="DT167">
        <v>0</v>
      </c>
      <c r="DU167">
        <v>0</v>
      </c>
      <c r="DV167">
        <v>0</v>
      </c>
      <c r="DW167">
        <v>0</v>
      </c>
      <c r="DX167">
        <v>0</v>
      </c>
      <c r="DY167">
        <v>0</v>
      </c>
      <c r="DZ167">
        <v>0</v>
      </c>
      <c r="EA167">
        <v>0</v>
      </c>
      <c r="EB167">
        <v>0</v>
      </c>
      <c r="EC167">
        <v>0</v>
      </c>
      <c r="ED167">
        <v>0</v>
      </c>
      <c r="EE167">
        <v>0</v>
      </c>
      <c r="EF167">
        <v>0</v>
      </c>
      <c r="EG167">
        <v>0</v>
      </c>
      <c r="EH167">
        <v>0</v>
      </c>
      <c r="EI167">
        <v>0</v>
      </c>
      <c r="EJ167">
        <v>0</v>
      </c>
      <c r="EK167">
        <v>0</v>
      </c>
      <c r="EL167">
        <v>0</v>
      </c>
      <c r="EM167">
        <v>0</v>
      </c>
      <c r="EN167">
        <v>0</v>
      </c>
      <c r="EO167">
        <v>0</v>
      </c>
      <c r="EP167">
        <v>0</v>
      </c>
      <c r="EQ167">
        <v>0</v>
      </c>
      <c r="ER167">
        <v>0</v>
      </c>
      <c r="ES167">
        <v>0</v>
      </c>
      <c r="ET167">
        <v>0</v>
      </c>
      <c r="EU167">
        <v>0</v>
      </c>
      <c r="EV167">
        <v>0</v>
      </c>
      <c r="EW167">
        <v>0</v>
      </c>
      <c r="EX167">
        <v>0</v>
      </c>
      <c r="EY167">
        <v>0</v>
      </c>
      <c r="EZ167">
        <v>0</v>
      </c>
      <c r="FA167">
        <v>0</v>
      </c>
      <c r="FB167">
        <v>0</v>
      </c>
      <c r="FC167">
        <v>0</v>
      </c>
      <c r="FD167">
        <v>0</v>
      </c>
      <c r="FE167">
        <v>0</v>
      </c>
      <c r="FF167">
        <v>0</v>
      </c>
      <c r="FG167">
        <v>0</v>
      </c>
      <c r="FH167">
        <v>0</v>
      </c>
      <c r="FI167">
        <v>0</v>
      </c>
      <c r="FJ167">
        <v>0</v>
      </c>
      <c r="FK167">
        <v>0</v>
      </c>
      <c r="FL167">
        <v>0</v>
      </c>
      <c r="FM167">
        <v>0</v>
      </c>
      <c r="FN167">
        <v>0</v>
      </c>
      <c r="FO167">
        <v>0</v>
      </c>
      <c r="FP167">
        <v>0</v>
      </c>
      <c r="FQ167">
        <v>0</v>
      </c>
      <c r="FR167">
        <v>0</v>
      </c>
      <c r="FS167">
        <v>0</v>
      </c>
      <c r="FT167">
        <v>0</v>
      </c>
      <c r="FU167">
        <v>0</v>
      </c>
      <c r="FV167">
        <v>0</v>
      </c>
      <c r="FW167">
        <v>0</v>
      </c>
      <c r="FX167">
        <v>0</v>
      </c>
      <c r="FY167">
        <v>0</v>
      </c>
      <c r="FZ167">
        <v>0</v>
      </c>
      <c r="GA167">
        <v>0</v>
      </c>
      <c r="GB167">
        <v>0</v>
      </c>
      <c r="GC167">
        <v>0</v>
      </c>
      <c r="GD167">
        <v>0</v>
      </c>
      <c r="GE167">
        <v>0</v>
      </c>
      <c r="GF167">
        <v>0</v>
      </c>
      <c r="GG167">
        <v>0</v>
      </c>
      <c r="GH167">
        <v>0</v>
      </c>
      <c r="GI167">
        <v>0</v>
      </c>
      <c r="GJ167">
        <v>0</v>
      </c>
      <c r="GK167">
        <v>0</v>
      </c>
      <c r="GL167">
        <v>0</v>
      </c>
      <c r="GM167">
        <v>0</v>
      </c>
      <c r="GN167">
        <v>0</v>
      </c>
      <c r="GO167">
        <v>0</v>
      </c>
      <c r="GP167">
        <v>0</v>
      </c>
      <c r="GQ167">
        <v>0</v>
      </c>
      <c r="GR167">
        <v>0</v>
      </c>
      <c r="GS167">
        <v>0</v>
      </c>
      <c r="GT167">
        <v>0</v>
      </c>
      <c r="GU167">
        <v>0</v>
      </c>
      <c r="GV167">
        <v>0</v>
      </c>
      <c r="GW167">
        <v>0</v>
      </c>
      <c r="GX167">
        <v>0</v>
      </c>
      <c r="GY167">
        <v>0</v>
      </c>
      <c r="GZ167">
        <v>0</v>
      </c>
      <c r="HA167">
        <v>0</v>
      </c>
      <c r="HB167">
        <v>0</v>
      </c>
      <c r="HC167">
        <v>0</v>
      </c>
      <c r="HD167">
        <v>0</v>
      </c>
      <c r="HE167">
        <v>0</v>
      </c>
      <c r="HF167">
        <v>0</v>
      </c>
      <c r="HG167">
        <v>0</v>
      </c>
      <c r="HH167">
        <v>0</v>
      </c>
      <c r="HI167">
        <v>0</v>
      </c>
      <c r="HJ167">
        <v>0</v>
      </c>
      <c r="HK167">
        <v>0</v>
      </c>
      <c r="HL167">
        <v>0</v>
      </c>
      <c r="HM167">
        <v>0</v>
      </c>
      <c r="HN167">
        <v>0</v>
      </c>
      <c r="HO167">
        <v>0</v>
      </c>
      <c r="HP167">
        <v>0</v>
      </c>
      <c r="HQ167">
        <v>0</v>
      </c>
      <c r="HR167">
        <v>0</v>
      </c>
      <c r="HS167">
        <v>0</v>
      </c>
      <c r="HT167">
        <v>0</v>
      </c>
      <c r="HU167">
        <v>0</v>
      </c>
      <c r="HV167">
        <v>0</v>
      </c>
      <c r="HW167">
        <v>0</v>
      </c>
      <c r="HX167">
        <v>0</v>
      </c>
      <c r="HY167">
        <v>0</v>
      </c>
      <c r="HZ167">
        <v>0</v>
      </c>
      <c r="IA167">
        <v>0</v>
      </c>
      <c r="IB167">
        <v>0</v>
      </c>
      <c r="IC167">
        <v>0</v>
      </c>
      <c r="ID167">
        <v>0</v>
      </c>
      <c r="IE167">
        <v>0</v>
      </c>
      <c r="IF167">
        <v>0</v>
      </c>
      <c r="IG167">
        <v>0</v>
      </c>
      <c r="IH167">
        <v>0</v>
      </c>
      <c r="II167">
        <v>0</v>
      </c>
      <c r="IJ167">
        <v>0</v>
      </c>
      <c r="IK167">
        <v>0</v>
      </c>
      <c r="IL167">
        <v>0</v>
      </c>
      <c r="IM167">
        <v>0</v>
      </c>
      <c r="IN167">
        <v>0</v>
      </c>
      <c r="IO167">
        <v>0</v>
      </c>
      <c r="IP167">
        <v>0</v>
      </c>
      <c r="IQ167">
        <v>0</v>
      </c>
      <c r="IR167">
        <v>0</v>
      </c>
      <c r="IS167">
        <v>0</v>
      </c>
      <c r="IT167">
        <v>0</v>
      </c>
      <c r="IU167">
        <v>0</v>
      </c>
      <c r="IV167">
        <v>0</v>
      </c>
      <c r="IW167">
        <v>0</v>
      </c>
      <c r="IX167">
        <v>0</v>
      </c>
      <c r="IY167">
        <v>0</v>
      </c>
      <c r="IZ167">
        <v>0</v>
      </c>
      <c r="JA167">
        <v>0</v>
      </c>
      <c r="JB167">
        <v>0</v>
      </c>
      <c r="JC167">
        <v>0</v>
      </c>
      <c r="JD167">
        <v>0</v>
      </c>
      <c r="JE167">
        <v>0</v>
      </c>
      <c r="JF167">
        <v>0</v>
      </c>
      <c r="JG167">
        <v>0</v>
      </c>
      <c r="JH167">
        <v>0</v>
      </c>
      <c r="JI167">
        <v>0</v>
      </c>
      <c r="JJ167">
        <v>0</v>
      </c>
      <c r="JK167">
        <v>0</v>
      </c>
      <c r="JL167">
        <v>0</v>
      </c>
      <c r="JM167">
        <v>0</v>
      </c>
      <c r="JN167">
        <v>0</v>
      </c>
      <c r="JO167">
        <v>0</v>
      </c>
      <c r="JP167">
        <v>0</v>
      </c>
      <c r="JQ167">
        <v>0</v>
      </c>
      <c r="JR167">
        <v>0</v>
      </c>
      <c r="JS167">
        <v>0</v>
      </c>
      <c r="JT167">
        <v>0</v>
      </c>
      <c r="JU167">
        <v>0</v>
      </c>
      <c r="JV167">
        <v>0</v>
      </c>
      <c r="JW167">
        <v>0</v>
      </c>
      <c r="JX167">
        <v>0</v>
      </c>
      <c r="JY167">
        <v>0</v>
      </c>
      <c r="JZ167">
        <v>0</v>
      </c>
      <c r="KA167">
        <v>0</v>
      </c>
      <c r="KB167">
        <v>0</v>
      </c>
      <c r="KC167">
        <v>0</v>
      </c>
      <c r="KD167">
        <v>0</v>
      </c>
      <c r="KE167">
        <v>0</v>
      </c>
      <c r="KF167">
        <v>0</v>
      </c>
      <c r="KG167">
        <v>0</v>
      </c>
      <c r="KH167">
        <v>0</v>
      </c>
      <c r="KI167">
        <v>0</v>
      </c>
      <c r="KJ167">
        <v>0</v>
      </c>
      <c r="KK167">
        <v>0</v>
      </c>
      <c r="KL167">
        <v>0</v>
      </c>
      <c r="KM167">
        <v>0</v>
      </c>
      <c r="KN167">
        <v>0</v>
      </c>
      <c r="KO167">
        <v>0</v>
      </c>
      <c r="KP167">
        <v>0</v>
      </c>
      <c r="KQ167">
        <v>0</v>
      </c>
      <c r="KR167">
        <v>0</v>
      </c>
      <c r="KS167">
        <v>0</v>
      </c>
      <c r="KT167">
        <v>0</v>
      </c>
      <c r="KU167">
        <v>0</v>
      </c>
      <c r="KV167">
        <v>0</v>
      </c>
      <c r="KW167">
        <v>0</v>
      </c>
      <c r="KX167">
        <v>0</v>
      </c>
      <c r="KY167">
        <v>0</v>
      </c>
      <c r="KZ167">
        <v>0</v>
      </c>
      <c r="LA167">
        <v>0</v>
      </c>
      <c r="LB167">
        <v>0</v>
      </c>
      <c r="LC167">
        <v>0</v>
      </c>
      <c r="LD167">
        <v>0</v>
      </c>
      <c r="LE167">
        <v>0</v>
      </c>
      <c r="LF167">
        <v>0</v>
      </c>
      <c r="LG167">
        <v>0</v>
      </c>
      <c r="LH167">
        <v>0</v>
      </c>
      <c r="LI167">
        <v>0</v>
      </c>
      <c r="LJ167">
        <v>0</v>
      </c>
      <c r="LK167">
        <v>0</v>
      </c>
      <c r="LL167">
        <v>0</v>
      </c>
      <c r="LM167">
        <v>0</v>
      </c>
      <c r="LN167">
        <v>0</v>
      </c>
      <c r="LO167">
        <v>0</v>
      </c>
      <c r="LP167">
        <v>0</v>
      </c>
      <c r="LQ167">
        <v>0</v>
      </c>
      <c r="LR167">
        <v>0</v>
      </c>
      <c r="LS167">
        <v>0</v>
      </c>
      <c r="LT167">
        <v>0</v>
      </c>
      <c r="LU167">
        <v>0</v>
      </c>
      <c r="LV167">
        <v>0</v>
      </c>
      <c r="LW167">
        <v>0</v>
      </c>
      <c r="LX167">
        <v>0</v>
      </c>
      <c r="LY167">
        <v>0</v>
      </c>
      <c r="LZ167">
        <v>0</v>
      </c>
      <c r="MA167">
        <v>0</v>
      </c>
      <c r="MB167">
        <v>0</v>
      </c>
      <c r="MC167">
        <v>0</v>
      </c>
      <c r="MD167">
        <v>0</v>
      </c>
      <c r="ME167">
        <v>0</v>
      </c>
      <c r="MF167">
        <v>0</v>
      </c>
      <c r="MG167">
        <v>0</v>
      </c>
      <c r="MH167">
        <v>0</v>
      </c>
      <c r="MI167">
        <v>0</v>
      </c>
      <c r="MJ167">
        <v>0</v>
      </c>
      <c r="MK167">
        <v>0</v>
      </c>
      <c r="ML167">
        <v>0</v>
      </c>
      <c r="MM167">
        <v>0</v>
      </c>
      <c r="MN167">
        <v>0</v>
      </c>
      <c r="MO167">
        <v>0</v>
      </c>
      <c r="MP167">
        <v>0</v>
      </c>
      <c r="MQ167">
        <v>0</v>
      </c>
      <c r="MR167">
        <v>0</v>
      </c>
      <c r="MS167">
        <v>0</v>
      </c>
      <c r="MT167">
        <v>0</v>
      </c>
      <c r="MU167">
        <v>0</v>
      </c>
      <c r="MV167">
        <v>0</v>
      </c>
      <c r="MW167">
        <v>0</v>
      </c>
      <c r="MX167">
        <v>0</v>
      </c>
      <c r="MY167">
        <v>0</v>
      </c>
      <c r="MZ167">
        <v>0</v>
      </c>
      <c r="NA167">
        <v>0</v>
      </c>
      <c r="NB167">
        <v>0</v>
      </c>
      <c r="NC167">
        <v>0</v>
      </c>
      <c r="ND167">
        <v>0</v>
      </c>
      <c r="NE167">
        <v>0</v>
      </c>
    </row>
    <row r="168" spans="41:369" x14ac:dyDescent="0.45">
      <c r="AO168" t="str">
        <v>C124</v>
      </c>
      <c r="AP168" t="str">
        <v>MOHAMMED MUBASHIR</v>
      </c>
      <c r="AQ168" t="str">
        <v>BADF</v>
      </c>
      <c r="AR168" t="str">
        <v>SENIOR</v>
      </c>
      <c r="AS168">
        <v>5</v>
      </c>
      <c r="AT168">
        <v>2</v>
      </c>
      <c r="AU168">
        <v>0</v>
      </c>
      <c r="AV168">
        <v>2</v>
      </c>
      <c r="AW168">
        <v>2</v>
      </c>
      <c r="AX168">
        <v>224</v>
      </c>
      <c r="AY168" s="5">
        <v>224</v>
      </c>
      <c r="AZ168" t="str">
        <v>SS24</v>
      </c>
      <c r="BA168" t="str">
        <v>SHORT STORY URD</v>
      </c>
      <c r="BB168" t="str">
        <v>SUPER SENIOR</v>
      </c>
      <c r="BC168" t="str">
        <v>Single</v>
      </c>
      <c r="BD168" t="str">
        <v>Non-Stg</v>
      </c>
      <c r="BE168">
        <v>3</v>
      </c>
      <c r="BF168" t="str">
        <v>Individual</v>
      </c>
      <c r="BG168" t="str">
        <v>Individual</v>
      </c>
      <c r="BH168" t="str">
        <v>P</v>
      </c>
      <c r="BI168" t="str">
        <v>PUBLISHED</v>
      </c>
      <c r="BK168">
        <v>162</v>
      </c>
      <c r="BL168" t="str">
        <v>SS20</v>
      </c>
      <c r="BM168" t="str">
        <v>SCREENPLAY WRITING MLM</v>
      </c>
      <c r="BN168">
        <v>2</v>
      </c>
      <c r="BO168" t="str">
        <v>Single</v>
      </c>
      <c r="BP168" t="str">
        <v>Non-Stg</v>
      </c>
      <c r="BQ168" t="str">
        <v>SUPER SENIOR</v>
      </c>
      <c r="BR168" t="str">
        <v>D105</v>
      </c>
      <c r="BS168" t="str">
        <v>D128</v>
      </c>
      <c r="BT168">
        <v>0</v>
      </c>
      <c r="BU168">
        <v>0</v>
      </c>
      <c r="BV168">
        <v>0</v>
      </c>
      <c r="BW168">
        <v>0</v>
      </c>
      <c r="BX168">
        <v>0</v>
      </c>
      <c r="BY168" t="str">
        <v>D107</v>
      </c>
      <c r="BZ168" t="str">
        <v>D152</v>
      </c>
      <c r="CA168">
        <v>0</v>
      </c>
      <c r="CB168">
        <v>0</v>
      </c>
      <c r="CC168">
        <v>0</v>
      </c>
      <c r="CD168">
        <v>0</v>
      </c>
      <c r="CE168">
        <v>0</v>
      </c>
      <c r="CF168" t="str">
        <v>D141</v>
      </c>
      <c r="CG168" t="str">
        <v>D157</v>
      </c>
      <c r="CH168">
        <v>0</v>
      </c>
      <c r="CI168">
        <v>0</v>
      </c>
      <c r="CJ168">
        <v>0</v>
      </c>
      <c r="CK168">
        <v>0</v>
      </c>
      <c r="CL168">
        <v>0</v>
      </c>
      <c r="CM168" t="str">
        <v>D153</v>
      </c>
      <c r="CN168" t="str">
        <v>D170</v>
      </c>
      <c r="CO168">
        <v>0</v>
      </c>
      <c r="CP168">
        <v>0</v>
      </c>
      <c r="CQ168">
        <v>0</v>
      </c>
      <c r="CR168">
        <v>0</v>
      </c>
      <c r="CS168">
        <v>0</v>
      </c>
      <c r="CT168">
        <v>0</v>
      </c>
      <c r="CU168">
        <v>0</v>
      </c>
      <c r="CV168">
        <v>0</v>
      </c>
      <c r="CW168">
        <v>0</v>
      </c>
      <c r="CX168">
        <v>0</v>
      </c>
      <c r="CY168">
        <v>0</v>
      </c>
      <c r="CZ168">
        <v>0</v>
      </c>
      <c r="DA168">
        <v>0</v>
      </c>
      <c r="DB168">
        <v>0</v>
      </c>
      <c r="DC168">
        <v>0</v>
      </c>
      <c r="DD168">
        <v>0</v>
      </c>
      <c r="DE168">
        <v>0</v>
      </c>
      <c r="DF168">
        <v>0</v>
      </c>
      <c r="DG168">
        <v>0</v>
      </c>
      <c r="DH168">
        <v>0</v>
      </c>
      <c r="DI168">
        <v>0</v>
      </c>
      <c r="DJ168">
        <v>0</v>
      </c>
      <c r="DK168">
        <v>0</v>
      </c>
      <c r="DL168">
        <v>0</v>
      </c>
      <c r="DM168">
        <v>0</v>
      </c>
      <c r="DN168">
        <v>0</v>
      </c>
      <c r="DO168">
        <v>0</v>
      </c>
      <c r="DP168">
        <v>0</v>
      </c>
      <c r="DQ168">
        <v>0</v>
      </c>
      <c r="DR168">
        <v>0</v>
      </c>
      <c r="DS168">
        <v>0</v>
      </c>
      <c r="DT168">
        <v>0</v>
      </c>
      <c r="DU168">
        <v>0</v>
      </c>
      <c r="DV168">
        <v>0</v>
      </c>
      <c r="DW168">
        <v>0</v>
      </c>
      <c r="DX168">
        <v>0</v>
      </c>
      <c r="DY168">
        <v>0</v>
      </c>
      <c r="DZ168">
        <v>0</v>
      </c>
      <c r="EA168">
        <v>0</v>
      </c>
      <c r="EB168">
        <v>0</v>
      </c>
      <c r="EC168">
        <v>0</v>
      </c>
      <c r="ED168">
        <v>0</v>
      </c>
      <c r="EE168">
        <v>0</v>
      </c>
      <c r="EF168">
        <v>0</v>
      </c>
      <c r="EG168">
        <v>0</v>
      </c>
      <c r="EH168">
        <v>0</v>
      </c>
      <c r="EI168">
        <v>0</v>
      </c>
      <c r="EJ168">
        <v>0</v>
      </c>
      <c r="EK168">
        <v>0</v>
      </c>
      <c r="EL168">
        <v>0</v>
      </c>
      <c r="EM168">
        <v>0</v>
      </c>
      <c r="EN168">
        <v>0</v>
      </c>
      <c r="EO168">
        <v>0</v>
      </c>
      <c r="EP168">
        <v>0</v>
      </c>
      <c r="EQ168">
        <v>0</v>
      </c>
      <c r="ER168">
        <v>0</v>
      </c>
      <c r="ES168">
        <v>0</v>
      </c>
      <c r="ET168">
        <v>0</v>
      </c>
      <c r="EU168">
        <v>0</v>
      </c>
      <c r="EV168">
        <v>0</v>
      </c>
      <c r="EW168">
        <v>0</v>
      </c>
      <c r="EX168">
        <v>0</v>
      </c>
      <c r="EY168">
        <v>0</v>
      </c>
      <c r="EZ168">
        <v>0</v>
      </c>
      <c r="FA168">
        <v>0</v>
      </c>
      <c r="FB168">
        <v>0</v>
      </c>
      <c r="FC168">
        <v>0</v>
      </c>
      <c r="FD168">
        <v>0</v>
      </c>
      <c r="FE168">
        <v>0</v>
      </c>
      <c r="FF168">
        <v>0</v>
      </c>
      <c r="FG168">
        <v>0</v>
      </c>
      <c r="FH168">
        <v>0</v>
      </c>
      <c r="FI168">
        <v>0</v>
      </c>
      <c r="FJ168">
        <v>0</v>
      </c>
      <c r="FK168">
        <v>0</v>
      </c>
      <c r="FL168">
        <v>0</v>
      </c>
      <c r="FM168">
        <v>0</v>
      </c>
      <c r="FN168">
        <v>0</v>
      </c>
      <c r="FO168">
        <v>0</v>
      </c>
      <c r="FP168">
        <v>0</v>
      </c>
      <c r="FQ168">
        <v>0</v>
      </c>
      <c r="FR168">
        <v>0</v>
      </c>
      <c r="FS168">
        <v>0</v>
      </c>
      <c r="FT168">
        <v>0</v>
      </c>
      <c r="FU168">
        <v>0</v>
      </c>
      <c r="FV168">
        <v>0</v>
      </c>
      <c r="FW168">
        <v>0</v>
      </c>
      <c r="FX168">
        <v>0</v>
      </c>
      <c r="FY168">
        <v>0</v>
      </c>
      <c r="FZ168">
        <v>0</v>
      </c>
      <c r="GA168">
        <v>0</v>
      </c>
      <c r="GB168">
        <v>0</v>
      </c>
      <c r="GC168">
        <v>0</v>
      </c>
      <c r="GD168">
        <v>0</v>
      </c>
      <c r="GE168">
        <v>0</v>
      </c>
      <c r="GF168">
        <v>0</v>
      </c>
      <c r="GG168">
        <v>0</v>
      </c>
      <c r="GH168">
        <v>0</v>
      </c>
      <c r="GI168">
        <v>0</v>
      </c>
      <c r="GJ168">
        <v>0</v>
      </c>
      <c r="GK168">
        <v>0</v>
      </c>
      <c r="GL168">
        <v>0</v>
      </c>
      <c r="GM168">
        <v>0</v>
      </c>
      <c r="GN168">
        <v>0</v>
      </c>
      <c r="GO168">
        <v>0</v>
      </c>
      <c r="GP168">
        <v>0</v>
      </c>
      <c r="GQ168">
        <v>0</v>
      </c>
      <c r="GR168">
        <v>0</v>
      </c>
      <c r="GS168">
        <v>0</v>
      </c>
      <c r="GT168">
        <v>0</v>
      </c>
      <c r="GU168">
        <v>0</v>
      </c>
      <c r="GV168">
        <v>0</v>
      </c>
      <c r="GW168">
        <v>0</v>
      </c>
      <c r="GX168">
        <v>0</v>
      </c>
      <c r="GY168">
        <v>0</v>
      </c>
      <c r="GZ168">
        <v>0</v>
      </c>
      <c r="HA168">
        <v>0</v>
      </c>
      <c r="HB168">
        <v>0</v>
      </c>
      <c r="HC168">
        <v>0</v>
      </c>
      <c r="HD168">
        <v>0</v>
      </c>
      <c r="HE168">
        <v>0</v>
      </c>
      <c r="HF168">
        <v>0</v>
      </c>
      <c r="HG168">
        <v>0</v>
      </c>
      <c r="HH168">
        <v>0</v>
      </c>
      <c r="HI168">
        <v>0</v>
      </c>
      <c r="HJ168">
        <v>0</v>
      </c>
      <c r="HK168">
        <v>0</v>
      </c>
      <c r="HL168">
        <v>0</v>
      </c>
      <c r="HM168">
        <v>0</v>
      </c>
      <c r="HN168">
        <v>0</v>
      </c>
      <c r="HO168">
        <v>0</v>
      </c>
      <c r="HP168">
        <v>0</v>
      </c>
      <c r="HQ168">
        <v>0</v>
      </c>
      <c r="HR168">
        <v>0</v>
      </c>
      <c r="HS168">
        <v>0</v>
      </c>
      <c r="HT168">
        <v>0</v>
      </c>
      <c r="HU168">
        <v>0</v>
      </c>
      <c r="HV168">
        <v>0</v>
      </c>
      <c r="HW168">
        <v>0</v>
      </c>
      <c r="HX168">
        <v>0</v>
      </c>
      <c r="HY168">
        <v>0</v>
      </c>
      <c r="HZ168">
        <v>0</v>
      </c>
      <c r="IA168">
        <v>0</v>
      </c>
      <c r="IB168">
        <v>0</v>
      </c>
      <c r="IC168">
        <v>0</v>
      </c>
      <c r="ID168">
        <v>0</v>
      </c>
      <c r="IE168">
        <v>0</v>
      </c>
      <c r="IF168">
        <v>0</v>
      </c>
      <c r="IG168">
        <v>0</v>
      </c>
      <c r="IH168">
        <v>0</v>
      </c>
      <c r="II168">
        <v>0</v>
      </c>
      <c r="IJ168">
        <v>0</v>
      </c>
      <c r="IK168">
        <v>0</v>
      </c>
      <c r="IL168">
        <v>0</v>
      </c>
      <c r="IM168">
        <v>0</v>
      </c>
      <c r="IN168">
        <v>0</v>
      </c>
      <c r="IO168">
        <v>0</v>
      </c>
      <c r="IP168">
        <v>0</v>
      </c>
      <c r="IQ168">
        <v>0</v>
      </c>
      <c r="IR168">
        <v>0</v>
      </c>
      <c r="IS168">
        <v>0</v>
      </c>
      <c r="IT168">
        <v>0</v>
      </c>
      <c r="IU168">
        <v>0</v>
      </c>
      <c r="IV168">
        <v>0</v>
      </c>
      <c r="IW168">
        <v>0</v>
      </c>
      <c r="IX168">
        <v>0</v>
      </c>
      <c r="IY168">
        <v>0</v>
      </c>
      <c r="IZ168">
        <v>0</v>
      </c>
      <c r="JA168">
        <v>0</v>
      </c>
      <c r="JB168">
        <v>0</v>
      </c>
      <c r="JC168">
        <v>0</v>
      </c>
      <c r="JD168">
        <v>0</v>
      </c>
      <c r="JE168">
        <v>0</v>
      </c>
      <c r="JF168">
        <v>0</v>
      </c>
      <c r="JG168">
        <v>0</v>
      </c>
      <c r="JH168">
        <v>0</v>
      </c>
      <c r="JI168">
        <v>0</v>
      </c>
      <c r="JJ168">
        <v>0</v>
      </c>
      <c r="JK168">
        <v>0</v>
      </c>
      <c r="JL168">
        <v>0</v>
      </c>
      <c r="JM168">
        <v>0</v>
      </c>
      <c r="JN168">
        <v>0</v>
      </c>
      <c r="JO168">
        <v>0</v>
      </c>
      <c r="JP168">
        <v>0</v>
      </c>
      <c r="JQ168">
        <v>0</v>
      </c>
      <c r="JR168">
        <v>0</v>
      </c>
      <c r="JS168">
        <v>0</v>
      </c>
      <c r="JT168">
        <v>0</v>
      </c>
      <c r="JU168">
        <v>0</v>
      </c>
      <c r="JV168">
        <v>0</v>
      </c>
      <c r="JW168">
        <v>0</v>
      </c>
      <c r="JX168">
        <v>0</v>
      </c>
      <c r="JY168">
        <v>0</v>
      </c>
      <c r="JZ168">
        <v>0</v>
      </c>
      <c r="KA168">
        <v>0</v>
      </c>
      <c r="KB168">
        <v>0</v>
      </c>
      <c r="KC168">
        <v>0</v>
      </c>
      <c r="KD168">
        <v>0</v>
      </c>
      <c r="KE168">
        <v>0</v>
      </c>
      <c r="KF168">
        <v>0</v>
      </c>
      <c r="KG168">
        <v>0</v>
      </c>
      <c r="KH168">
        <v>0</v>
      </c>
      <c r="KI168">
        <v>0</v>
      </c>
      <c r="KJ168">
        <v>0</v>
      </c>
      <c r="KK168">
        <v>0</v>
      </c>
      <c r="KL168">
        <v>0</v>
      </c>
      <c r="KM168">
        <v>0</v>
      </c>
      <c r="KN168">
        <v>0</v>
      </c>
      <c r="KO168">
        <v>0</v>
      </c>
      <c r="KP168">
        <v>0</v>
      </c>
      <c r="KQ168">
        <v>0</v>
      </c>
      <c r="KR168">
        <v>0</v>
      </c>
      <c r="KS168">
        <v>0</v>
      </c>
      <c r="KT168">
        <v>0</v>
      </c>
      <c r="KU168">
        <v>0</v>
      </c>
      <c r="KV168">
        <v>0</v>
      </c>
      <c r="KW168">
        <v>0</v>
      </c>
      <c r="KX168">
        <v>0</v>
      </c>
      <c r="KY168">
        <v>0</v>
      </c>
      <c r="KZ168">
        <v>0</v>
      </c>
      <c r="LA168">
        <v>0</v>
      </c>
      <c r="LB168">
        <v>0</v>
      </c>
      <c r="LC168">
        <v>0</v>
      </c>
      <c r="LD168">
        <v>0</v>
      </c>
      <c r="LE168">
        <v>0</v>
      </c>
      <c r="LF168">
        <v>0</v>
      </c>
      <c r="LG168">
        <v>0</v>
      </c>
      <c r="LH168">
        <v>0</v>
      </c>
      <c r="LI168">
        <v>0</v>
      </c>
      <c r="LJ168">
        <v>0</v>
      </c>
      <c r="LK168">
        <v>0</v>
      </c>
      <c r="LL168">
        <v>0</v>
      </c>
      <c r="LM168">
        <v>0</v>
      </c>
      <c r="LN168">
        <v>0</v>
      </c>
      <c r="LO168">
        <v>0</v>
      </c>
      <c r="LP168">
        <v>0</v>
      </c>
      <c r="LQ168">
        <v>0</v>
      </c>
      <c r="LR168">
        <v>0</v>
      </c>
      <c r="LS168">
        <v>0</v>
      </c>
      <c r="LT168">
        <v>0</v>
      </c>
      <c r="LU168">
        <v>0</v>
      </c>
      <c r="LV168">
        <v>0</v>
      </c>
      <c r="LW168">
        <v>0</v>
      </c>
      <c r="LX168">
        <v>0</v>
      </c>
      <c r="LY168">
        <v>0</v>
      </c>
      <c r="LZ168">
        <v>0</v>
      </c>
      <c r="MA168">
        <v>0</v>
      </c>
      <c r="MB168">
        <v>0</v>
      </c>
      <c r="MC168">
        <v>0</v>
      </c>
      <c r="MD168">
        <v>0</v>
      </c>
      <c r="ME168">
        <v>0</v>
      </c>
      <c r="MF168">
        <v>0</v>
      </c>
      <c r="MG168">
        <v>0</v>
      </c>
      <c r="MH168">
        <v>0</v>
      </c>
      <c r="MI168">
        <v>0</v>
      </c>
      <c r="MJ168">
        <v>0</v>
      </c>
      <c r="MK168">
        <v>0</v>
      </c>
      <c r="ML168">
        <v>0</v>
      </c>
      <c r="MM168">
        <v>0</v>
      </c>
      <c r="MN168">
        <v>0</v>
      </c>
      <c r="MO168">
        <v>0</v>
      </c>
      <c r="MP168">
        <v>0</v>
      </c>
      <c r="MQ168">
        <v>0</v>
      </c>
      <c r="MR168">
        <v>0</v>
      </c>
      <c r="MS168">
        <v>0</v>
      </c>
      <c r="MT168">
        <v>0</v>
      </c>
      <c r="MU168">
        <v>0</v>
      </c>
      <c r="MV168">
        <v>0</v>
      </c>
      <c r="MW168">
        <v>0</v>
      </c>
      <c r="MX168">
        <v>0</v>
      </c>
      <c r="MY168">
        <v>0</v>
      </c>
      <c r="MZ168">
        <v>0</v>
      </c>
      <c r="NA168">
        <v>0</v>
      </c>
      <c r="NB168">
        <v>0</v>
      </c>
      <c r="NC168">
        <v>0</v>
      </c>
      <c r="ND168">
        <v>0</v>
      </c>
      <c r="NE168">
        <v>0</v>
      </c>
    </row>
    <row r="169" spans="41:369" x14ac:dyDescent="0.45">
      <c r="AO169" t="str">
        <v>C125</v>
      </c>
      <c r="AP169" t="str">
        <v>AHAMMED MINHAJ E M</v>
      </c>
      <c r="AQ169" t="str">
        <v>FANT</v>
      </c>
      <c r="AR169" t="str">
        <v>SENIOR</v>
      </c>
      <c r="AS169">
        <v>5</v>
      </c>
      <c r="AT169">
        <v>14</v>
      </c>
      <c r="AU169">
        <v>0</v>
      </c>
      <c r="AV169">
        <v>14</v>
      </c>
      <c r="AW169">
        <v>14</v>
      </c>
      <c r="AX169">
        <v>104</v>
      </c>
      <c r="AY169" s="5">
        <v>104</v>
      </c>
      <c r="AZ169" t="str">
        <v>SS25</v>
      </c>
      <c r="BA169" t="str">
        <v>TYPING QUADRILINGUAL</v>
      </c>
      <c r="BB169" t="str">
        <v>SUPER SENIOR</v>
      </c>
      <c r="BC169" t="str">
        <v>Single</v>
      </c>
      <c r="BD169" t="str">
        <v>Non-Stg</v>
      </c>
      <c r="BE169">
        <v>2</v>
      </c>
      <c r="BF169" t="str">
        <v>Individual</v>
      </c>
      <c r="BG169" t="str">
        <v>Individual</v>
      </c>
      <c r="BH169" t="str">
        <v>P</v>
      </c>
      <c r="BI169" t="str">
        <v>PUBLISHED</v>
      </c>
      <c r="BK169">
        <v>163</v>
      </c>
      <c r="BL169" t="str">
        <v>SS21</v>
      </c>
      <c r="BM169" t="str">
        <v>SHORT STORY ARB</v>
      </c>
      <c r="BN169">
        <v>3</v>
      </c>
      <c r="BO169" t="str">
        <v>Single</v>
      </c>
      <c r="BP169" t="str">
        <v>Non-Stg</v>
      </c>
      <c r="BQ169" t="str">
        <v>SUPER SENIOR</v>
      </c>
      <c r="BR169" t="str">
        <v>D142</v>
      </c>
      <c r="BS169" t="str">
        <v>D177</v>
      </c>
      <c r="BT169" t="str">
        <v>D198</v>
      </c>
      <c r="BU169">
        <v>0</v>
      </c>
      <c r="BV169">
        <v>0</v>
      </c>
      <c r="BW169">
        <v>0</v>
      </c>
      <c r="BX169">
        <v>0</v>
      </c>
      <c r="BY169" t="str">
        <v>D140</v>
      </c>
      <c r="BZ169" t="str">
        <v>D148</v>
      </c>
      <c r="CA169" t="str">
        <v>D152</v>
      </c>
      <c r="CB169">
        <v>0</v>
      </c>
      <c r="CC169">
        <v>0</v>
      </c>
      <c r="CD169">
        <v>0</v>
      </c>
      <c r="CE169">
        <v>0</v>
      </c>
      <c r="CF169" t="str">
        <v>D143</v>
      </c>
      <c r="CG169" t="str">
        <v>D162</v>
      </c>
      <c r="CH169" t="str">
        <v>D178</v>
      </c>
      <c r="CI169">
        <v>0</v>
      </c>
      <c r="CJ169">
        <v>0</v>
      </c>
      <c r="CK169">
        <v>0</v>
      </c>
      <c r="CL169">
        <v>0</v>
      </c>
      <c r="CM169" t="str">
        <v>D113</v>
      </c>
      <c r="CN169" t="str">
        <v>D149</v>
      </c>
      <c r="CO169" t="str">
        <v>D160</v>
      </c>
      <c r="CP169">
        <v>0</v>
      </c>
      <c r="CQ169">
        <v>0</v>
      </c>
      <c r="CR169">
        <v>0</v>
      </c>
      <c r="CS169">
        <v>0</v>
      </c>
      <c r="CT169">
        <v>0</v>
      </c>
      <c r="CU169">
        <v>0</v>
      </c>
      <c r="CV169">
        <v>0</v>
      </c>
      <c r="CW169">
        <v>0</v>
      </c>
      <c r="CX169">
        <v>0</v>
      </c>
      <c r="CY169">
        <v>0</v>
      </c>
      <c r="CZ169">
        <v>0</v>
      </c>
      <c r="DA169">
        <v>0</v>
      </c>
      <c r="DB169">
        <v>0</v>
      </c>
      <c r="DC169">
        <v>0</v>
      </c>
      <c r="DD169">
        <v>0</v>
      </c>
      <c r="DE169">
        <v>0</v>
      </c>
      <c r="DF169">
        <v>0</v>
      </c>
      <c r="DG169">
        <v>0</v>
      </c>
      <c r="DH169">
        <v>0</v>
      </c>
      <c r="DI169">
        <v>0</v>
      </c>
      <c r="DJ169">
        <v>0</v>
      </c>
      <c r="DK169">
        <v>0</v>
      </c>
      <c r="DL169">
        <v>0</v>
      </c>
      <c r="DM169">
        <v>0</v>
      </c>
      <c r="DN169">
        <v>0</v>
      </c>
      <c r="DO169">
        <v>0</v>
      </c>
      <c r="DP169">
        <v>0</v>
      </c>
      <c r="DQ169">
        <v>0</v>
      </c>
      <c r="DR169">
        <v>0</v>
      </c>
      <c r="DS169">
        <v>0</v>
      </c>
      <c r="DT169">
        <v>0</v>
      </c>
      <c r="DU169">
        <v>0</v>
      </c>
      <c r="DV169">
        <v>0</v>
      </c>
      <c r="DW169">
        <v>0</v>
      </c>
      <c r="DX169">
        <v>0</v>
      </c>
      <c r="DY169">
        <v>0</v>
      </c>
      <c r="DZ169">
        <v>0</v>
      </c>
      <c r="EA169">
        <v>0</v>
      </c>
      <c r="EB169">
        <v>0</v>
      </c>
      <c r="EC169">
        <v>0</v>
      </c>
      <c r="ED169">
        <v>0</v>
      </c>
      <c r="EE169">
        <v>0</v>
      </c>
      <c r="EF169">
        <v>0</v>
      </c>
      <c r="EG169">
        <v>0</v>
      </c>
      <c r="EH169">
        <v>0</v>
      </c>
      <c r="EI169">
        <v>0</v>
      </c>
      <c r="EJ169">
        <v>0</v>
      </c>
      <c r="EK169">
        <v>0</v>
      </c>
      <c r="EL169">
        <v>0</v>
      </c>
      <c r="EM169">
        <v>0</v>
      </c>
      <c r="EN169">
        <v>0</v>
      </c>
      <c r="EO169">
        <v>0</v>
      </c>
      <c r="EP169">
        <v>0</v>
      </c>
      <c r="EQ169">
        <v>0</v>
      </c>
      <c r="ER169">
        <v>0</v>
      </c>
      <c r="ES169">
        <v>0</v>
      </c>
      <c r="ET169">
        <v>0</v>
      </c>
      <c r="EU169">
        <v>0</v>
      </c>
      <c r="EV169">
        <v>0</v>
      </c>
      <c r="EW169">
        <v>0</v>
      </c>
      <c r="EX169">
        <v>0</v>
      </c>
      <c r="EY169">
        <v>0</v>
      </c>
      <c r="EZ169">
        <v>0</v>
      </c>
      <c r="FA169">
        <v>0</v>
      </c>
      <c r="FB169">
        <v>0</v>
      </c>
      <c r="FC169">
        <v>0</v>
      </c>
      <c r="FD169">
        <v>0</v>
      </c>
      <c r="FE169">
        <v>0</v>
      </c>
      <c r="FF169">
        <v>0</v>
      </c>
      <c r="FG169">
        <v>0</v>
      </c>
      <c r="FH169">
        <v>0</v>
      </c>
      <c r="FI169">
        <v>0</v>
      </c>
      <c r="FJ169">
        <v>0</v>
      </c>
      <c r="FK169">
        <v>0</v>
      </c>
      <c r="FL169">
        <v>0</v>
      </c>
      <c r="FM169">
        <v>0</v>
      </c>
      <c r="FN169">
        <v>0</v>
      </c>
      <c r="FO169">
        <v>0</v>
      </c>
      <c r="FP169">
        <v>0</v>
      </c>
      <c r="FQ169">
        <v>0</v>
      </c>
      <c r="FR169">
        <v>0</v>
      </c>
      <c r="FS169">
        <v>0</v>
      </c>
      <c r="FT169">
        <v>0</v>
      </c>
      <c r="FU169">
        <v>0</v>
      </c>
      <c r="FV169">
        <v>0</v>
      </c>
      <c r="FW169">
        <v>0</v>
      </c>
      <c r="FX169">
        <v>0</v>
      </c>
      <c r="FY169">
        <v>0</v>
      </c>
      <c r="FZ169">
        <v>0</v>
      </c>
      <c r="GA169">
        <v>0</v>
      </c>
      <c r="GB169">
        <v>0</v>
      </c>
      <c r="GC169">
        <v>0</v>
      </c>
      <c r="GD169">
        <v>0</v>
      </c>
      <c r="GE169">
        <v>0</v>
      </c>
      <c r="GF169">
        <v>0</v>
      </c>
      <c r="GG169">
        <v>0</v>
      </c>
      <c r="GH169">
        <v>0</v>
      </c>
      <c r="GI169">
        <v>0</v>
      </c>
      <c r="GJ169">
        <v>0</v>
      </c>
      <c r="GK169">
        <v>0</v>
      </c>
      <c r="GL169">
        <v>0</v>
      </c>
      <c r="GM169">
        <v>0</v>
      </c>
      <c r="GN169">
        <v>0</v>
      </c>
      <c r="GO169">
        <v>0</v>
      </c>
      <c r="GP169">
        <v>0</v>
      </c>
      <c r="GQ169">
        <v>0</v>
      </c>
      <c r="GR169">
        <v>0</v>
      </c>
      <c r="GS169">
        <v>0</v>
      </c>
      <c r="GT169">
        <v>0</v>
      </c>
      <c r="GU169">
        <v>0</v>
      </c>
      <c r="GV169">
        <v>0</v>
      </c>
      <c r="GW169">
        <v>0</v>
      </c>
      <c r="GX169">
        <v>0</v>
      </c>
      <c r="GY169">
        <v>0</v>
      </c>
      <c r="GZ169">
        <v>0</v>
      </c>
      <c r="HA169">
        <v>0</v>
      </c>
      <c r="HB169">
        <v>0</v>
      </c>
      <c r="HC169">
        <v>0</v>
      </c>
      <c r="HD169">
        <v>0</v>
      </c>
      <c r="HE169">
        <v>0</v>
      </c>
      <c r="HF169">
        <v>0</v>
      </c>
      <c r="HG169">
        <v>0</v>
      </c>
      <c r="HH169">
        <v>0</v>
      </c>
      <c r="HI169">
        <v>0</v>
      </c>
      <c r="HJ169">
        <v>0</v>
      </c>
      <c r="HK169">
        <v>0</v>
      </c>
      <c r="HL169">
        <v>0</v>
      </c>
      <c r="HM169">
        <v>0</v>
      </c>
      <c r="HN169">
        <v>0</v>
      </c>
      <c r="HO169">
        <v>0</v>
      </c>
      <c r="HP169">
        <v>0</v>
      </c>
      <c r="HQ169">
        <v>0</v>
      </c>
      <c r="HR169">
        <v>0</v>
      </c>
      <c r="HS169">
        <v>0</v>
      </c>
      <c r="HT169">
        <v>0</v>
      </c>
      <c r="HU169">
        <v>0</v>
      </c>
      <c r="HV169">
        <v>0</v>
      </c>
      <c r="HW169">
        <v>0</v>
      </c>
      <c r="HX169">
        <v>0</v>
      </c>
      <c r="HY169">
        <v>0</v>
      </c>
      <c r="HZ169">
        <v>0</v>
      </c>
      <c r="IA169">
        <v>0</v>
      </c>
      <c r="IB169">
        <v>0</v>
      </c>
      <c r="IC169">
        <v>0</v>
      </c>
      <c r="ID169">
        <v>0</v>
      </c>
      <c r="IE169">
        <v>0</v>
      </c>
      <c r="IF169">
        <v>0</v>
      </c>
      <c r="IG169">
        <v>0</v>
      </c>
      <c r="IH169">
        <v>0</v>
      </c>
      <c r="II169">
        <v>0</v>
      </c>
      <c r="IJ169">
        <v>0</v>
      </c>
      <c r="IK169">
        <v>0</v>
      </c>
      <c r="IL169">
        <v>0</v>
      </c>
      <c r="IM169">
        <v>0</v>
      </c>
      <c r="IN169">
        <v>0</v>
      </c>
      <c r="IO169">
        <v>0</v>
      </c>
      <c r="IP169">
        <v>0</v>
      </c>
      <c r="IQ169">
        <v>0</v>
      </c>
      <c r="IR169">
        <v>0</v>
      </c>
      <c r="IS169">
        <v>0</v>
      </c>
      <c r="IT169">
        <v>0</v>
      </c>
      <c r="IU169">
        <v>0</v>
      </c>
      <c r="IV169">
        <v>0</v>
      </c>
      <c r="IW169">
        <v>0</v>
      </c>
      <c r="IX169">
        <v>0</v>
      </c>
      <c r="IY169">
        <v>0</v>
      </c>
      <c r="IZ169">
        <v>0</v>
      </c>
      <c r="JA169">
        <v>0</v>
      </c>
      <c r="JB169">
        <v>0</v>
      </c>
      <c r="JC169">
        <v>0</v>
      </c>
      <c r="JD169">
        <v>0</v>
      </c>
      <c r="JE169">
        <v>0</v>
      </c>
      <c r="JF169">
        <v>0</v>
      </c>
      <c r="JG169">
        <v>0</v>
      </c>
      <c r="JH169">
        <v>0</v>
      </c>
      <c r="JI169">
        <v>0</v>
      </c>
      <c r="JJ169">
        <v>0</v>
      </c>
      <c r="JK169">
        <v>0</v>
      </c>
      <c r="JL169">
        <v>0</v>
      </c>
      <c r="JM169">
        <v>0</v>
      </c>
      <c r="JN169">
        <v>0</v>
      </c>
      <c r="JO169">
        <v>0</v>
      </c>
      <c r="JP169">
        <v>0</v>
      </c>
      <c r="JQ169">
        <v>0</v>
      </c>
      <c r="JR169">
        <v>0</v>
      </c>
      <c r="JS169">
        <v>0</v>
      </c>
      <c r="JT169">
        <v>0</v>
      </c>
      <c r="JU169">
        <v>0</v>
      </c>
      <c r="JV169">
        <v>0</v>
      </c>
      <c r="JW169">
        <v>0</v>
      </c>
      <c r="JX169">
        <v>0</v>
      </c>
      <c r="JY169">
        <v>0</v>
      </c>
      <c r="JZ169">
        <v>0</v>
      </c>
      <c r="KA169">
        <v>0</v>
      </c>
      <c r="KB169">
        <v>0</v>
      </c>
      <c r="KC169">
        <v>0</v>
      </c>
      <c r="KD169">
        <v>0</v>
      </c>
      <c r="KE169">
        <v>0</v>
      </c>
      <c r="KF169">
        <v>0</v>
      </c>
      <c r="KG169">
        <v>0</v>
      </c>
      <c r="KH169">
        <v>0</v>
      </c>
      <c r="KI169">
        <v>0</v>
      </c>
      <c r="KJ169">
        <v>0</v>
      </c>
      <c r="KK169">
        <v>0</v>
      </c>
      <c r="KL169">
        <v>0</v>
      </c>
      <c r="KM169">
        <v>0</v>
      </c>
      <c r="KN169">
        <v>0</v>
      </c>
      <c r="KO169">
        <v>0</v>
      </c>
      <c r="KP169">
        <v>0</v>
      </c>
      <c r="KQ169">
        <v>0</v>
      </c>
      <c r="KR169">
        <v>0</v>
      </c>
      <c r="KS169">
        <v>0</v>
      </c>
      <c r="KT169">
        <v>0</v>
      </c>
      <c r="KU169">
        <v>0</v>
      </c>
      <c r="KV169">
        <v>0</v>
      </c>
      <c r="KW169">
        <v>0</v>
      </c>
      <c r="KX169">
        <v>0</v>
      </c>
      <c r="KY169">
        <v>0</v>
      </c>
      <c r="KZ169">
        <v>0</v>
      </c>
      <c r="LA169">
        <v>0</v>
      </c>
      <c r="LB169">
        <v>0</v>
      </c>
      <c r="LC169">
        <v>0</v>
      </c>
      <c r="LD169">
        <v>0</v>
      </c>
      <c r="LE169">
        <v>0</v>
      </c>
      <c r="LF169">
        <v>0</v>
      </c>
      <c r="LG169">
        <v>0</v>
      </c>
      <c r="LH169">
        <v>0</v>
      </c>
      <c r="LI169">
        <v>0</v>
      </c>
      <c r="LJ169">
        <v>0</v>
      </c>
      <c r="LK169">
        <v>0</v>
      </c>
      <c r="LL169">
        <v>0</v>
      </c>
      <c r="LM169">
        <v>0</v>
      </c>
      <c r="LN169">
        <v>0</v>
      </c>
      <c r="LO169">
        <v>0</v>
      </c>
      <c r="LP169">
        <v>0</v>
      </c>
      <c r="LQ169">
        <v>0</v>
      </c>
      <c r="LR169">
        <v>0</v>
      </c>
      <c r="LS169">
        <v>0</v>
      </c>
      <c r="LT169">
        <v>0</v>
      </c>
      <c r="LU169">
        <v>0</v>
      </c>
      <c r="LV169">
        <v>0</v>
      </c>
      <c r="LW169">
        <v>0</v>
      </c>
      <c r="LX169">
        <v>0</v>
      </c>
      <c r="LY169">
        <v>0</v>
      </c>
      <c r="LZ169">
        <v>0</v>
      </c>
      <c r="MA169">
        <v>0</v>
      </c>
      <c r="MB169">
        <v>0</v>
      </c>
      <c r="MC169">
        <v>0</v>
      </c>
      <c r="MD169">
        <v>0</v>
      </c>
      <c r="ME169">
        <v>0</v>
      </c>
      <c r="MF169">
        <v>0</v>
      </c>
      <c r="MG169">
        <v>0</v>
      </c>
      <c r="MH169">
        <v>0</v>
      </c>
      <c r="MI169">
        <v>0</v>
      </c>
      <c r="MJ169">
        <v>0</v>
      </c>
      <c r="MK169">
        <v>0</v>
      </c>
      <c r="ML169">
        <v>0</v>
      </c>
      <c r="MM169">
        <v>0</v>
      </c>
      <c r="MN169">
        <v>0</v>
      </c>
      <c r="MO169">
        <v>0</v>
      </c>
      <c r="MP169">
        <v>0</v>
      </c>
      <c r="MQ169">
        <v>0</v>
      </c>
      <c r="MR169">
        <v>0</v>
      </c>
      <c r="MS169">
        <v>0</v>
      </c>
      <c r="MT169">
        <v>0</v>
      </c>
      <c r="MU169">
        <v>0</v>
      </c>
      <c r="MV169">
        <v>0</v>
      </c>
      <c r="MW169">
        <v>0</v>
      </c>
      <c r="MX169">
        <v>0</v>
      </c>
      <c r="MY169">
        <v>0</v>
      </c>
      <c r="MZ169">
        <v>0</v>
      </c>
      <c r="NA169">
        <v>0</v>
      </c>
      <c r="NB169">
        <v>0</v>
      </c>
      <c r="NC169">
        <v>0</v>
      </c>
      <c r="ND169">
        <v>0</v>
      </c>
      <c r="NE169">
        <v>0</v>
      </c>
    </row>
    <row r="170" spans="41:369" x14ac:dyDescent="0.45">
      <c r="AO170" t="str">
        <v>C126</v>
      </c>
      <c r="AP170" t="str">
        <v>ADNAN ABDULLAH B A</v>
      </c>
      <c r="AQ170" t="str">
        <v>JARF</v>
      </c>
      <c r="AR170" t="str">
        <v>SENIOR</v>
      </c>
      <c r="AS170">
        <v>5</v>
      </c>
      <c r="AT170">
        <v>1</v>
      </c>
      <c r="AU170">
        <v>0</v>
      </c>
      <c r="AV170">
        <v>1</v>
      </c>
      <c r="AW170">
        <v>1</v>
      </c>
      <c r="AX170">
        <v>231</v>
      </c>
      <c r="AY170" s="5">
        <v>231</v>
      </c>
      <c r="AZ170" t="str">
        <v>SS26</v>
      </c>
      <c r="BA170" t="str">
        <v>WEB DESIGNING</v>
      </c>
      <c r="BB170" t="str">
        <v>SUPER SENIOR</v>
      </c>
      <c r="BC170" t="str">
        <v>Single</v>
      </c>
      <c r="BD170" t="str">
        <v>Non-Stg</v>
      </c>
      <c r="BE170">
        <v>1</v>
      </c>
      <c r="BF170" t="str">
        <v>Individual</v>
      </c>
      <c r="BG170" t="str">
        <v>Individual</v>
      </c>
      <c r="BH170" t="str">
        <v>P</v>
      </c>
      <c r="BI170" t="str">
        <v>PUBLISHED</v>
      </c>
      <c r="BK170">
        <v>164</v>
      </c>
      <c r="BL170" t="str">
        <v>SS22</v>
      </c>
      <c r="BM170" t="str">
        <v>SHORT STORY ENG</v>
      </c>
      <c r="BN170">
        <v>3</v>
      </c>
      <c r="BO170" t="str">
        <v>Single</v>
      </c>
      <c r="BP170" t="str">
        <v>Non-Stg</v>
      </c>
      <c r="BQ170" t="str">
        <v>SUPER SENIOR</v>
      </c>
      <c r="BR170" t="str">
        <v>D114</v>
      </c>
      <c r="BS170" t="str">
        <v>D165</v>
      </c>
      <c r="BT170" t="str">
        <v>D177</v>
      </c>
      <c r="BU170">
        <v>0</v>
      </c>
      <c r="BV170">
        <v>0</v>
      </c>
      <c r="BW170">
        <v>0</v>
      </c>
      <c r="BX170">
        <v>0</v>
      </c>
      <c r="BY170" t="str">
        <v>D131</v>
      </c>
      <c r="BZ170" t="str">
        <v>D150</v>
      </c>
      <c r="CA170" t="str">
        <v>D108</v>
      </c>
      <c r="CB170">
        <v>0</v>
      </c>
      <c r="CC170">
        <v>0</v>
      </c>
      <c r="CD170">
        <v>0</v>
      </c>
      <c r="CE170">
        <v>0</v>
      </c>
      <c r="CF170" t="str">
        <v>D126</v>
      </c>
      <c r="CG170" t="str">
        <v>D141</v>
      </c>
      <c r="CH170" t="str">
        <v>D145</v>
      </c>
      <c r="CI170">
        <v>0</v>
      </c>
      <c r="CJ170">
        <v>0</v>
      </c>
      <c r="CK170">
        <v>0</v>
      </c>
      <c r="CL170">
        <v>0</v>
      </c>
      <c r="CM170" t="str">
        <v>D111</v>
      </c>
      <c r="CN170" t="str">
        <v>D164</v>
      </c>
      <c r="CO170" t="str">
        <v>D176</v>
      </c>
      <c r="CP170">
        <v>0</v>
      </c>
      <c r="CQ170">
        <v>0</v>
      </c>
      <c r="CR170">
        <v>0</v>
      </c>
      <c r="CS170">
        <v>0</v>
      </c>
      <c r="CT170">
        <v>0</v>
      </c>
      <c r="CU170">
        <v>0</v>
      </c>
      <c r="CV170">
        <v>0</v>
      </c>
      <c r="CW170">
        <v>0</v>
      </c>
      <c r="CX170">
        <v>0</v>
      </c>
      <c r="CY170">
        <v>0</v>
      </c>
      <c r="CZ170">
        <v>0</v>
      </c>
      <c r="DA170">
        <v>0</v>
      </c>
      <c r="DB170">
        <v>0</v>
      </c>
      <c r="DC170">
        <v>0</v>
      </c>
      <c r="DD170">
        <v>0</v>
      </c>
      <c r="DE170">
        <v>0</v>
      </c>
      <c r="DF170">
        <v>0</v>
      </c>
      <c r="DG170">
        <v>0</v>
      </c>
      <c r="DH170">
        <v>0</v>
      </c>
      <c r="DI170">
        <v>0</v>
      </c>
      <c r="DJ170">
        <v>0</v>
      </c>
      <c r="DK170">
        <v>0</v>
      </c>
      <c r="DL170">
        <v>0</v>
      </c>
      <c r="DM170">
        <v>0</v>
      </c>
      <c r="DN170">
        <v>0</v>
      </c>
      <c r="DO170">
        <v>0</v>
      </c>
      <c r="DP170">
        <v>0</v>
      </c>
      <c r="DQ170">
        <v>0</v>
      </c>
      <c r="DR170">
        <v>0</v>
      </c>
      <c r="DS170">
        <v>0</v>
      </c>
      <c r="DT170">
        <v>0</v>
      </c>
      <c r="DU170">
        <v>0</v>
      </c>
      <c r="DV170">
        <v>0</v>
      </c>
      <c r="DW170">
        <v>0</v>
      </c>
      <c r="DX170">
        <v>0</v>
      </c>
      <c r="DY170">
        <v>0</v>
      </c>
      <c r="DZ170">
        <v>0</v>
      </c>
      <c r="EA170">
        <v>0</v>
      </c>
      <c r="EB170">
        <v>0</v>
      </c>
      <c r="EC170">
        <v>0</v>
      </c>
      <c r="ED170">
        <v>0</v>
      </c>
      <c r="EE170">
        <v>0</v>
      </c>
      <c r="EF170">
        <v>0</v>
      </c>
      <c r="EG170">
        <v>0</v>
      </c>
      <c r="EH170">
        <v>0</v>
      </c>
      <c r="EI170">
        <v>0</v>
      </c>
      <c r="EJ170">
        <v>0</v>
      </c>
      <c r="EK170">
        <v>0</v>
      </c>
      <c r="EL170">
        <v>0</v>
      </c>
      <c r="EM170">
        <v>0</v>
      </c>
      <c r="EN170">
        <v>0</v>
      </c>
      <c r="EO170">
        <v>0</v>
      </c>
      <c r="EP170">
        <v>0</v>
      </c>
      <c r="EQ170">
        <v>0</v>
      </c>
      <c r="ER170">
        <v>0</v>
      </c>
      <c r="ES170">
        <v>0</v>
      </c>
      <c r="ET170">
        <v>0</v>
      </c>
      <c r="EU170">
        <v>0</v>
      </c>
      <c r="EV170">
        <v>0</v>
      </c>
      <c r="EW170">
        <v>0</v>
      </c>
      <c r="EX170">
        <v>0</v>
      </c>
      <c r="EY170">
        <v>0</v>
      </c>
      <c r="EZ170">
        <v>0</v>
      </c>
      <c r="FA170">
        <v>0</v>
      </c>
      <c r="FB170">
        <v>0</v>
      </c>
      <c r="FC170">
        <v>0</v>
      </c>
      <c r="FD170">
        <v>0</v>
      </c>
      <c r="FE170">
        <v>0</v>
      </c>
      <c r="FF170">
        <v>0</v>
      </c>
      <c r="FG170">
        <v>0</v>
      </c>
      <c r="FH170">
        <v>0</v>
      </c>
      <c r="FI170">
        <v>0</v>
      </c>
      <c r="FJ170">
        <v>0</v>
      </c>
      <c r="FK170">
        <v>0</v>
      </c>
      <c r="FL170">
        <v>0</v>
      </c>
      <c r="FM170">
        <v>0</v>
      </c>
      <c r="FN170">
        <v>0</v>
      </c>
      <c r="FO170">
        <v>0</v>
      </c>
      <c r="FP170">
        <v>0</v>
      </c>
      <c r="FQ170">
        <v>0</v>
      </c>
      <c r="FR170">
        <v>0</v>
      </c>
      <c r="FS170">
        <v>0</v>
      </c>
      <c r="FT170">
        <v>0</v>
      </c>
      <c r="FU170">
        <v>0</v>
      </c>
      <c r="FV170">
        <v>0</v>
      </c>
      <c r="FW170">
        <v>0</v>
      </c>
      <c r="FX170">
        <v>0</v>
      </c>
      <c r="FY170">
        <v>0</v>
      </c>
      <c r="FZ170">
        <v>0</v>
      </c>
      <c r="GA170">
        <v>0</v>
      </c>
      <c r="GB170">
        <v>0</v>
      </c>
      <c r="GC170">
        <v>0</v>
      </c>
      <c r="GD170">
        <v>0</v>
      </c>
      <c r="GE170">
        <v>0</v>
      </c>
      <c r="GF170">
        <v>0</v>
      </c>
      <c r="GG170">
        <v>0</v>
      </c>
      <c r="GH170">
        <v>0</v>
      </c>
      <c r="GI170">
        <v>0</v>
      </c>
      <c r="GJ170">
        <v>0</v>
      </c>
      <c r="GK170">
        <v>0</v>
      </c>
      <c r="GL170">
        <v>0</v>
      </c>
      <c r="GM170">
        <v>0</v>
      </c>
      <c r="GN170">
        <v>0</v>
      </c>
      <c r="GO170">
        <v>0</v>
      </c>
      <c r="GP170">
        <v>0</v>
      </c>
      <c r="GQ170">
        <v>0</v>
      </c>
      <c r="GR170">
        <v>0</v>
      </c>
      <c r="GS170">
        <v>0</v>
      </c>
      <c r="GT170">
        <v>0</v>
      </c>
      <c r="GU170">
        <v>0</v>
      </c>
      <c r="GV170">
        <v>0</v>
      </c>
      <c r="GW170">
        <v>0</v>
      </c>
      <c r="GX170">
        <v>0</v>
      </c>
      <c r="GY170">
        <v>0</v>
      </c>
      <c r="GZ170">
        <v>0</v>
      </c>
      <c r="HA170">
        <v>0</v>
      </c>
      <c r="HB170">
        <v>0</v>
      </c>
      <c r="HC170">
        <v>0</v>
      </c>
      <c r="HD170">
        <v>0</v>
      </c>
      <c r="HE170">
        <v>0</v>
      </c>
      <c r="HF170">
        <v>0</v>
      </c>
      <c r="HG170">
        <v>0</v>
      </c>
      <c r="HH170">
        <v>0</v>
      </c>
      <c r="HI170">
        <v>0</v>
      </c>
      <c r="HJ170">
        <v>0</v>
      </c>
      <c r="HK170">
        <v>0</v>
      </c>
      <c r="HL170">
        <v>0</v>
      </c>
      <c r="HM170">
        <v>0</v>
      </c>
      <c r="HN170">
        <v>0</v>
      </c>
      <c r="HO170">
        <v>0</v>
      </c>
      <c r="HP170">
        <v>0</v>
      </c>
      <c r="HQ170">
        <v>0</v>
      </c>
      <c r="HR170">
        <v>0</v>
      </c>
      <c r="HS170">
        <v>0</v>
      </c>
      <c r="HT170">
        <v>0</v>
      </c>
      <c r="HU170">
        <v>0</v>
      </c>
      <c r="HV170">
        <v>0</v>
      </c>
      <c r="HW170">
        <v>0</v>
      </c>
      <c r="HX170">
        <v>0</v>
      </c>
      <c r="HY170">
        <v>0</v>
      </c>
      <c r="HZ170">
        <v>0</v>
      </c>
      <c r="IA170">
        <v>0</v>
      </c>
      <c r="IB170">
        <v>0</v>
      </c>
      <c r="IC170">
        <v>0</v>
      </c>
      <c r="ID170">
        <v>0</v>
      </c>
      <c r="IE170">
        <v>0</v>
      </c>
      <c r="IF170">
        <v>0</v>
      </c>
      <c r="IG170">
        <v>0</v>
      </c>
      <c r="IH170">
        <v>0</v>
      </c>
      <c r="II170">
        <v>0</v>
      </c>
      <c r="IJ170">
        <v>0</v>
      </c>
      <c r="IK170">
        <v>0</v>
      </c>
      <c r="IL170">
        <v>0</v>
      </c>
      <c r="IM170">
        <v>0</v>
      </c>
      <c r="IN170">
        <v>0</v>
      </c>
      <c r="IO170">
        <v>0</v>
      </c>
      <c r="IP170">
        <v>0</v>
      </c>
      <c r="IQ170">
        <v>0</v>
      </c>
      <c r="IR170">
        <v>0</v>
      </c>
      <c r="IS170">
        <v>0</v>
      </c>
      <c r="IT170">
        <v>0</v>
      </c>
      <c r="IU170">
        <v>0</v>
      </c>
      <c r="IV170">
        <v>0</v>
      </c>
      <c r="IW170">
        <v>0</v>
      </c>
      <c r="IX170">
        <v>0</v>
      </c>
      <c r="IY170">
        <v>0</v>
      </c>
      <c r="IZ170">
        <v>0</v>
      </c>
      <c r="JA170">
        <v>0</v>
      </c>
      <c r="JB170">
        <v>0</v>
      </c>
      <c r="JC170">
        <v>0</v>
      </c>
      <c r="JD170">
        <v>0</v>
      </c>
      <c r="JE170">
        <v>0</v>
      </c>
      <c r="JF170">
        <v>0</v>
      </c>
      <c r="JG170">
        <v>0</v>
      </c>
      <c r="JH170">
        <v>0</v>
      </c>
      <c r="JI170">
        <v>0</v>
      </c>
      <c r="JJ170">
        <v>0</v>
      </c>
      <c r="JK170">
        <v>0</v>
      </c>
      <c r="JL170">
        <v>0</v>
      </c>
      <c r="JM170">
        <v>0</v>
      </c>
      <c r="JN170">
        <v>0</v>
      </c>
      <c r="JO170">
        <v>0</v>
      </c>
      <c r="JP170">
        <v>0</v>
      </c>
      <c r="JQ170">
        <v>0</v>
      </c>
      <c r="JR170">
        <v>0</v>
      </c>
      <c r="JS170">
        <v>0</v>
      </c>
      <c r="JT170">
        <v>0</v>
      </c>
      <c r="JU170">
        <v>0</v>
      </c>
      <c r="JV170">
        <v>0</v>
      </c>
      <c r="JW170">
        <v>0</v>
      </c>
      <c r="JX170">
        <v>0</v>
      </c>
      <c r="JY170">
        <v>0</v>
      </c>
      <c r="JZ170">
        <v>0</v>
      </c>
      <c r="KA170">
        <v>0</v>
      </c>
      <c r="KB170">
        <v>0</v>
      </c>
      <c r="KC170">
        <v>0</v>
      </c>
      <c r="KD170">
        <v>0</v>
      </c>
      <c r="KE170">
        <v>0</v>
      </c>
      <c r="KF170">
        <v>0</v>
      </c>
      <c r="KG170">
        <v>0</v>
      </c>
      <c r="KH170">
        <v>0</v>
      </c>
      <c r="KI170">
        <v>0</v>
      </c>
      <c r="KJ170">
        <v>0</v>
      </c>
      <c r="KK170">
        <v>0</v>
      </c>
      <c r="KL170">
        <v>0</v>
      </c>
      <c r="KM170">
        <v>0</v>
      </c>
      <c r="KN170">
        <v>0</v>
      </c>
      <c r="KO170">
        <v>0</v>
      </c>
      <c r="KP170">
        <v>0</v>
      </c>
      <c r="KQ170">
        <v>0</v>
      </c>
      <c r="KR170">
        <v>0</v>
      </c>
      <c r="KS170">
        <v>0</v>
      </c>
      <c r="KT170">
        <v>0</v>
      </c>
      <c r="KU170">
        <v>0</v>
      </c>
      <c r="KV170">
        <v>0</v>
      </c>
      <c r="KW170">
        <v>0</v>
      </c>
      <c r="KX170">
        <v>0</v>
      </c>
      <c r="KY170">
        <v>0</v>
      </c>
      <c r="KZ170">
        <v>0</v>
      </c>
      <c r="LA170">
        <v>0</v>
      </c>
      <c r="LB170">
        <v>0</v>
      </c>
      <c r="LC170">
        <v>0</v>
      </c>
      <c r="LD170">
        <v>0</v>
      </c>
      <c r="LE170">
        <v>0</v>
      </c>
      <c r="LF170">
        <v>0</v>
      </c>
      <c r="LG170">
        <v>0</v>
      </c>
      <c r="LH170">
        <v>0</v>
      </c>
      <c r="LI170">
        <v>0</v>
      </c>
      <c r="LJ170">
        <v>0</v>
      </c>
      <c r="LK170">
        <v>0</v>
      </c>
      <c r="LL170">
        <v>0</v>
      </c>
      <c r="LM170">
        <v>0</v>
      </c>
      <c r="LN170">
        <v>0</v>
      </c>
      <c r="LO170">
        <v>0</v>
      </c>
      <c r="LP170">
        <v>0</v>
      </c>
      <c r="LQ170">
        <v>0</v>
      </c>
      <c r="LR170">
        <v>0</v>
      </c>
      <c r="LS170">
        <v>0</v>
      </c>
      <c r="LT170">
        <v>0</v>
      </c>
      <c r="LU170">
        <v>0</v>
      </c>
      <c r="LV170">
        <v>0</v>
      </c>
      <c r="LW170">
        <v>0</v>
      </c>
      <c r="LX170">
        <v>0</v>
      </c>
      <c r="LY170">
        <v>0</v>
      </c>
      <c r="LZ170">
        <v>0</v>
      </c>
      <c r="MA170">
        <v>0</v>
      </c>
      <c r="MB170">
        <v>0</v>
      </c>
      <c r="MC170">
        <v>0</v>
      </c>
      <c r="MD170">
        <v>0</v>
      </c>
      <c r="ME170">
        <v>0</v>
      </c>
      <c r="MF170">
        <v>0</v>
      </c>
      <c r="MG170">
        <v>0</v>
      </c>
      <c r="MH170">
        <v>0</v>
      </c>
      <c r="MI170">
        <v>0</v>
      </c>
      <c r="MJ170">
        <v>0</v>
      </c>
      <c r="MK170">
        <v>0</v>
      </c>
      <c r="ML170">
        <v>0</v>
      </c>
      <c r="MM170">
        <v>0</v>
      </c>
      <c r="MN170">
        <v>0</v>
      </c>
      <c r="MO170">
        <v>0</v>
      </c>
      <c r="MP170">
        <v>0</v>
      </c>
      <c r="MQ170">
        <v>0</v>
      </c>
      <c r="MR170">
        <v>0</v>
      </c>
      <c r="MS170">
        <v>0</v>
      </c>
      <c r="MT170">
        <v>0</v>
      </c>
      <c r="MU170">
        <v>0</v>
      </c>
      <c r="MV170">
        <v>0</v>
      </c>
      <c r="MW170">
        <v>0</v>
      </c>
      <c r="MX170">
        <v>0</v>
      </c>
      <c r="MY170">
        <v>0</v>
      </c>
      <c r="MZ170">
        <v>0</v>
      </c>
      <c r="NA170">
        <v>0</v>
      </c>
      <c r="NB170">
        <v>0</v>
      </c>
      <c r="NC170">
        <v>0</v>
      </c>
      <c r="ND170">
        <v>0</v>
      </c>
      <c r="NE170">
        <v>0</v>
      </c>
    </row>
    <row r="171" spans="41:369" x14ac:dyDescent="0.45">
      <c r="AO171" t="str">
        <v>C127</v>
      </c>
      <c r="AP171" t="str">
        <v>SHAMMAZ P A</v>
      </c>
      <c r="AQ171" t="str">
        <v>FANT</v>
      </c>
      <c r="AR171" t="str">
        <v>SENIOR</v>
      </c>
      <c r="AS171">
        <v>5</v>
      </c>
      <c r="AT171">
        <v>13</v>
      </c>
      <c r="AU171">
        <v>0</v>
      </c>
      <c r="AV171">
        <v>13</v>
      </c>
      <c r="AW171">
        <v>13</v>
      </c>
      <c r="AX171">
        <v>114</v>
      </c>
      <c r="AY171" s="5">
        <v>114</v>
      </c>
      <c r="AZ171" t="str">
        <v>SS27</v>
      </c>
      <c r="BA171" t="str">
        <v>ACADEMIC TALK ENG</v>
      </c>
      <c r="BB171" t="str">
        <v>SUPER SENIOR</v>
      </c>
      <c r="BC171" t="str">
        <v>Single</v>
      </c>
      <c r="BD171" t="str">
        <v>Stage</v>
      </c>
      <c r="BE171">
        <v>3</v>
      </c>
      <c r="BF171" t="str">
        <v>Individual</v>
      </c>
      <c r="BG171" t="str">
        <v>Individual</v>
      </c>
      <c r="BH171" t="str">
        <v>P</v>
      </c>
      <c r="BI171" t="str">
        <v>PUBLISHED</v>
      </c>
      <c r="BK171">
        <v>165</v>
      </c>
      <c r="BL171" t="str">
        <v>SS23</v>
      </c>
      <c r="BM171" t="str">
        <v>SHORT STORY MLM</v>
      </c>
      <c r="BN171">
        <v>3</v>
      </c>
      <c r="BO171" t="str">
        <v>Single</v>
      </c>
      <c r="BP171" t="str">
        <v>Non-Stg</v>
      </c>
      <c r="BQ171" t="str">
        <v>SUPER SENIOR</v>
      </c>
      <c r="BR171" t="str">
        <v>D147</v>
      </c>
      <c r="BS171" t="str">
        <v>D112</v>
      </c>
      <c r="BT171" t="str">
        <v>D188</v>
      </c>
      <c r="BU171">
        <v>0</v>
      </c>
      <c r="BV171">
        <v>0</v>
      </c>
      <c r="BW171">
        <v>0</v>
      </c>
      <c r="BX171">
        <v>0</v>
      </c>
      <c r="BY171" t="str">
        <v>D103</v>
      </c>
      <c r="BZ171" t="str">
        <v>D146</v>
      </c>
      <c r="CA171" t="str">
        <v>D196</v>
      </c>
      <c r="CB171">
        <v>0</v>
      </c>
      <c r="CC171">
        <v>0</v>
      </c>
      <c r="CD171">
        <v>0</v>
      </c>
      <c r="CE171">
        <v>0</v>
      </c>
      <c r="CF171" t="str">
        <v>D109</v>
      </c>
      <c r="CG171" t="str">
        <v>D129</v>
      </c>
      <c r="CH171" t="str">
        <v>D157</v>
      </c>
      <c r="CI171">
        <v>0</v>
      </c>
      <c r="CJ171">
        <v>0</v>
      </c>
      <c r="CK171">
        <v>0</v>
      </c>
      <c r="CL171">
        <v>0</v>
      </c>
      <c r="CM171" t="str">
        <v>D116</v>
      </c>
      <c r="CN171" t="str">
        <v>D136</v>
      </c>
      <c r="CO171" t="str">
        <v>D151</v>
      </c>
      <c r="CP171">
        <v>0</v>
      </c>
      <c r="CQ171">
        <v>0</v>
      </c>
      <c r="CR171">
        <v>0</v>
      </c>
      <c r="CS171">
        <v>0</v>
      </c>
      <c r="CT171">
        <v>0</v>
      </c>
      <c r="CU171">
        <v>0</v>
      </c>
      <c r="CV171">
        <v>0</v>
      </c>
      <c r="CW171">
        <v>0</v>
      </c>
      <c r="CX171">
        <v>0</v>
      </c>
      <c r="CY171">
        <v>0</v>
      </c>
      <c r="CZ171">
        <v>0</v>
      </c>
      <c r="DA171">
        <v>0</v>
      </c>
      <c r="DB171">
        <v>0</v>
      </c>
      <c r="DC171">
        <v>0</v>
      </c>
      <c r="DD171">
        <v>0</v>
      </c>
      <c r="DE171">
        <v>0</v>
      </c>
      <c r="DF171">
        <v>0</v>
      </c>
      <c r="DG171">
        <v>0</v>
      </c>
      <c r="DH171">
        <v>0</v>
      </c>
      <c r="DI171">
        <v>0</v>
      </c>
      <c r="DJ171">
        <v>0</v>
      </c>
      <c r="DK171">
        <v>0</v>
      </c>
      <c r="DL171">
        <v>0</v>
      </c>
      <c r="DM171">
        <v>0</v>
      </c>
      <c r="DN171">
        <v>0</v>
      </c>
      <c r="DO171">
        <v>0</v>
      </c>
      <c r="DP171">
        <v>0</v>
      </c>
      <c r="DQ171">
        <v>0</v>
      </c>
      <c r="DR171">
        <v>0</v>
      </c>
      <c r="DS171">
        <v>0</v>
      </c>
      <c r="DT171">
        <v>0</v>
      </c>
      <c r="DU171">
        <v>0</v>
      </c>
      <c r="DV171">
        <v>0</v>
      </c>
      <c r="DW171">
        <v>0</v>
      </c>
      <c r="DX171">
        <v>0</v>
      </c>
      <c r="DY171">
        <v>0</v>
      </c>
      <c r="DZ171">
        <v>0</v>
      </c>
      <c r="EA171">
        <v>0</v>
      </c>
      <c r="EB171">
        <v>0</v>
      </c>
      <c r="EC171">
        <v>0</v>
      </c>
      <c r="ED171">
        <v>0</v>
      </c>
      <c r="EE171">
        <v>0</v>
      </c>
      <c r="EF171">
        <v>0</v>
      </c>
      <c r="EG171">
        <v>0</v>
      </c>
      <c r="EH171">
        <v>0</v>
      </c>
      <c r="EI171">
        <v>0</v>
      </c>
      <c r="EJ171">
        <v>0</v>
      </c>
      <c r="EK171">
        <v>0</v>
      </c>
      <c r="EL171">
        <v>0</v>
      </c>
      <c r="EM171">
        <v>0</v>
      </c>
      <c r="EN171">
        <v>0</v>
      </c>
      <c r="EO171">
        <v>0</v>
      </c>
      <c r="EP171">
        <v>0</v>
      </c>
      <c r="EQ171">
        <v>0</v>
      </c>
      <c r="ER171">
        <v>0</v>
      </c>
      <c r="ES171">
        <v>0</v>
      </c>
      <c r="ET171">
        <v>0</v>
      </c>
      <c r="EU171">
        <v>0</v>
      </c>
      <c r="EV171">
        <v>0</v>
      </c>
      <c r="EW171">
        <v>0</v>
      </c>
      <c r="EX171">
        <v>0</v>
      </c>
      <c r="EY171">
        <v>0</v>
      </c>
      <c r="EZ171">
        <v>0</v>
      </c>
      <c r="FA171">
        <v>0</v>
      </c>
      <c r="FB171">
        <v>0</v>
      </c>
      <c r="FC171">
        <v>0</v>
      </c>
      <c r="FD171">
        <v>0</v>
      </c>
      <c r="FE171">
        <v>0</v>
      </c>
      <c r="FF171">
        <v>0</v>
      </c>
      <c r="FG171">
        <v>0</v>
      </c>
      <c r="FH171">
        <v>0</v>
      </c>
      <c r="FI171">
        <v>0</v>
      </c>
      <c r="FJ171">
        <v>0</v>
      </c>
      <c r="FK171">
        <v>0</v>
      </c>
      <c r="FL171">
        <v>0</v>
      </c>
      <c r="FM171">
        <v>0</v>
      </c>
      <c r="FN171">
        <v>0</v>
      </c>
      <c r="FO171">
        <v>0</v>
      </c>
      <c r="FP171">
        <v>0</v>
      </c>
      <c r="FQ171">
        <v>0</v>
      </c>
      <c r="FR171">
        <v>0</v>
      </c>
      <c r="FS171">
        <v>0</v>
      </c>
      <c r="FT171">
        <v>0</v>
      </c>
      <c r="FU171">
        <v>0</v>
      </c>
      <c r="FV171">
        <v>0</v>
      </c>
      <c r="FW171">
        <v>0</v>
      </c>
      <c r="FX171">
        <v>0</v>
      </c>
      <c r="FY171">
        <v>0</v>
      </c>
      <c r="FZ171">
        <v>0</v>
      </c>
      <c r="GA171">
        <v>0</v>
      </c>
      <c r="GB171">
        <v>0</v>
      </c>
      <c r="GC171">
        <v>0</v>
      </c>
      <c r="GD171">
        <v>0</v>
      </c>
      <c r="GE171">
        <v>0</v>
      </c>
      <c r="GF171">
        <v>0</v>
      </c>
      <c r="GG171">
        <v>0</v>
      </c>
      <c r="GH171">
        <v>0</v>
      </c>
      <c r="GI171">
        <v>0</v>
      </c>
      <c r="GJ171">
        <v>0</v>
      </c>
      <c r="GK171">
        <v>0</v>
      </c>
      <c r="GL171">
        <v>0</v>
      </c>
      <c r="GM171">
        <v>0</v>
      </c>
      <c r="GN171">
        <v>0</v>
      </c>
      <c r="GO171">
        <v>0</v>
      </c>
      <c r="GP171">
        <v>0</v>
      </c>
      <c r="GQ171">
        <v>0</v>
      </c>
      <c r="GR171">
        <v>0</v>
      </c>
      <c r="GS171">
        <v>0</v>
      </c>
      <c r="GT171">
        <v>0</v>
      </c>
      <c r="GU171">
        <v>0</v>
      </c>
      <c r="GV171">
        <v>0</v>
      </c>
      <c r="GW171">
        <v>0</v>
      </c>
      <c r="GX171">
        <v>0</v>
      </c>
      <c r="GY171">
        <v>0</v>
      </c>
      <c r="GZ171">
        <v>0</v>
      </c>
      <c r="HA171">
        <v>0</v>
      </c>
      <c r="HB171">
        <v>0</v>
      </c>
      <c r="HC171">
        <v>0</v>
      </c>
      <c r="HD171">
        <v>0</v>
      </c>
      <c r="HE171">
        <v>0</v>
      </c>
      <c r="HF171">
        <v>0</v>
      </c>
      <c r="HG171">
        <v>0</v>
      </c>
      <c r="HH171">
        <v>0</v>
      </c>
      <c r="HI171">
        <v>0</v>
      </c>
      <c r="HJ171">
        <v>0</v>
      </c>
      <c r="HK171">
        <v>0</v>
      </c>
      <c r="HL171">
        <v>0</v>
      </c>
      <c r="HM171">
        <v>0</v>
      </c>
      <c r="HN171">
        <v>0</v>
      </c>
      <c r="HO171">
        <v>0</v>
      </c>
      <c r="HP171">
        <v>0</v>
      </c>
      <c r="HQ171">
        <v>0</v>
      </c>
      <c r="HR171">
        <v>0</v>
      </c>
      <c r="HS171">
        <v>0</v>
      </c>
      <c r="HT171">
        <v>0</v>
      </c>
      <c r="HU171">
        <v>0</v>
      </c>
      <c r="HV171">
        <v>0</v>
      </c>
      <c r="HW171">
        <v>0</v>
      </c>
      <c r="HX171">
        <v>0</v>
      </c>
      <c r="HY171">
        <v>0</v>
      </c>
      <c r="HZ171">
        <v>0</v>
      </c>
      <c r="IA171">
        <v>0</v>
      </c>
      <c r="IB171">
        <v>0</v>
      </c>
      <c r="IC171">
        <v>0</v>
      </c>
      <c r="ID171">
        <v>0</v>
      </c>
      <c r="IE171">
        <v>0</v>
      </c>
      <c r="IF171">
        <v>0</v>
      </c>
      <c r="IG171">
        <v>0</v>
      </c>
      <c r="IH171">
        <v>0</v>
      </c>
      <c r="II171">
        <v>0</v>
      </c>
      <c r="IJ171">
        <v>0</v>
      </c>
      <c r="IK171">
        <v>0</v>
      </c>
      <c r="IL171">
        <v>0</v>
      </c>
      <c r="IM171">
        <v>0</v>
      </c>
      <c r="IN171">
        <v>0</v>
      </c>
      <c r="IO171">
        <v>0</v>
      </c>
      <c r="IP171">
        <v>0</v>
      </c>
      <c r="IQ171">
        <v>0</v>
      </c>
      <c r="IR171">
        <v>0</v>
      </c>
      <c r="IS171">
        <v>0</v>
      </c>
      <c r="IT171">
        <v>0</v>
      </c>
      <c r="IU171">
        <v>0</v>
      </c>
      <c r="IV171">
        <v>0</v>
      </c>
      <c r="IW171">
        <v>0</v>
      </c>
      <c r="IX171">
        <v>0</v>
      </c>
      <c r="IY171">
        <v>0</v>
      </c>
      <c r="IZ171">
        <v>0</v>
      </c>
      <c r="JA171">
        <v>0</v>
      </c>
      <c r="JB171">
        <v>0</v>
      </c>
      <c r="JC171">
        <v>0</v>
      </c>
      <c r="JD171">
        <v>0</v>
      </c>
      <c r="JE171">
        <v>0</v>
      </c>
      <c r="JF171">
        <v>0</v>
      </c>
      <c r="JG171">
        <v>0</v>
      </c>
      <c r="JH171">
        <v>0</v>
      </c>
      <c r="JI171">
        <v>0</v>
      </c>
      <c r="JJ171">
        <v>0</v>
      </c>
      <c r="JK171">
        <v>0</v>
      </c>
      <c r="JL171">
        <v>0</v>
      </c>
      <c r="JM171">
        <v>0</v>
      </c>
      <c r="JN171">
        <v>0</v>
      </c>
      <c r="JO171">
        <v>0</v>
      </c>
      <c r="JP171">
        <v>0</v>
      </c>
      <c r="JQ171">
        <v>0</v>
      </c>
      <c r="JR171">
        <v>0</v>
      </c>
      <c r="JS171">
        <v>0</v>
      </c>
      <c r="JT171">
        <v>0</v>
      </c>
      <c r="JU171">
        <v>0</v>
      </c>
      <c r="JV171">
        <v>0</v>
      </c>
      <c r="JW171">
        <v>0</v>
      </c>
      <c r="JX171">
        <v>0</v>
      </c>
      <c r="JY171">
        <v>0</v>
      </c>
      <c r="JZ171">
        <v>0</v>
      </c>
      <c r="KA171">
        <v>0</v>
      </c>
      <c r="KB171">
        <v>0</v>
      </c>
      <c r="KC171">
        <v>0</v>
      </c>
      <c r="KD171">
        <v>0</v>
      </c>
      <c r="KE171">
        <v>0</v>
      </c>
      <c r="KF171">
        <v>0</v>
      </c>
      <c r="KG171">
        <v>0</v>
      </c>
      <c r="KH171">
        <v>0</v>
      </c>
      <c r="KI171">
        <v>0</v>
      </c>
      <c r="KJ171">
        <v>0</v>
      </c>
      <c r="KK171">
        <v>0</v>
      </c>
      <c r="KL171">
        <v>0</v>
      </c>
      <c r="KM171">
        <v>0</v>
      </c>
      <c r="KN171">
        <v>0</v>
      </c>
      <c r="KO171">
        <v>0</v>
      </c>
      <c r="KP171">
        <v>0</v>
      </c>
      <c r="KQ171">
        <v>0</v>
      </c>
      <c r="KR171">
        <v>0</v>
      </c>
      <c r="KS171">
        <v>0</v>
      </c>
      <c r="KT171">
        <v>0</v>
      </c>
      <c r="KU171">
        <v>0</v>
      </c>
      <c r="KV171">
        <v>0</v>
      </c>
      <c r="KW171">
        <v>0</v>
      </c>
      <c r="KX171">
        <v>0</v>
      </c>
      <c r="KY171">
        <v>0</v>
      </c>
      <c r="KZ171">
        <v>0</v>
      </c>
      <c r="LA171">
        <v>0</v>
      </c>
      <c r="LB171">
        <v>0</v>
      </c>
      <c r="LC171">
        <v>0</v>
      </c>
      <c r="LD171">
        <v>0</v>
      </c>
      <c r="LE171">
        <v>0</v>
      </c>
      <c r="LF171">
        <v>0</v>
      </c>
      <c r="LG171">
        <v>0</v>
      </c>
      <c r="LH171">
        <v>0</v>
      </c>
      <c r="LI171">
        <v>0</v>
      </c>
      <c r="LJ171">
        <v>0</v>
      </c>
      <c r="LK171">
        <v>0</v>
      </c>
      <c r="LL171">
        <v>0</v>
      </c>
      <c r="LM171">
        <v>0</v>
      </c>
      <c r="LN171">
        <v>0</v>
      </c>
      <c r="LO171">
        <v>0</v>
      </c>
      <c r="LP171">
        <v>0</v>
      </c>
      <c r="LQ171">
        <v>0</v>
      </c>
      <c r="LR171">
        <v>0</v>
      </c>
      <c r="LS171">
        <v>0</v>
      </c>
      <c r="LT171">
        <v>0</v>
      </c>
      <c r="LU171">
        <v>0</v>
      </c>
      <c r="LV171">
        <v>0</v>
      </c>
      <c r="LW171">
        <v>0</v>
      </c>
      <c r="LX171">
        <v>0</v>
      </c>
      <c r="LY171">
        <v>0</v>
      </c>
      <c r="LZ171">
        <v>0</v>
      </c>
      <c r="MA171">
        <v>0</v>
      </c>
      <c r="MB171">
        <v>0</v>
      </c>
      <c r="MC171">
        <v>0</v>
      </c>
      <c r="MD171">
        <v>0</v>
      </c>
      <c r="ME171">
        <v>0</v>
      </c>
      <c r="MF171">
        <v>0</v>
      </c>
      <c r="MG171">
        <v>0</v>
      </c>
      <c r="MH171">
        <v>0</v>
      </c>
      <c r="MI171">
        <v>0</v>
      </c>
      <c r="MJ171">
        <v>0</v>
      </c>
      <c r="MK171">
        <v>0</v>
      </c>
      <c r="ML171">
        <v>0</v>
      </c>
      <c r="MM171">
        <v>0</v>
      </c>
      <c r="MN171">
        <v>0</v>
      </c>
      <c r="MO171">
        <v>0</v>
      </c>
      <c r="MP171">
        <v>0</v>
      </c>
      <c r="MQ171">
        <v>0</v>
      </c>
      <c r="MR171">
        <v>0</v>
      </c>
      <c r="MS171">
        <v>0</v>
      </c>
      <c r="MT171">
        <v>0</v>
      </c>
      <c r="MU171">
        <v>0</v>
      </c>
      <c r="MV171">
        <v>0</v>
      </c>
      <c r="MW171">
        <v>0</v>
      </c>
      <c r="MX171">
        <v>0</v>
      </c>
      <c r="MY171">
        <v>0</v>
      </c>
      <c r="MZ171">
        <v>0</v>
      </c>
      <c r="NA171">
        <v>0</v>
      </c>
      <c r="NB171">
        <v>0</v>
      </c>
      <c r="NC171">
        <v>0</v>
      </c>
      <c r="ND171">
        <v>0</v>
      </c>
      <c r="NE171">
        <v>0</v>
      </c>
    </row>
    <row r="172" spans="41:369" x14ac:dyDescent="0.45">
      <c r="AO172" t="str">
        <v>C128</v>
      </c>
      <c r="AP172" t="str">
        <v>MAHIN SINAN</v>
      </c>
      <c r="AQ172" t="str">
        <v>DAHF</v>
      </c>
      <c r="AR172" t="str">
        <v>SENIOR</v>
      </c>
      <c r="AS172">
        <v>5</v>
      </c>
      <c r="AT172">
        <v>0</v>
      </c>
      <c r="AU172">
        <v>0</v>
      </c>
      <c r="AV172">
        <v>0</v>
      </c>
      <c r="AW172">
        <v>0</v>
      </c>
      <c r="AX172">
        <v>255</v>
      </c>
      <c r="AY172" s="5">
        <v>255</v>
      </c>
      <c r="AZ172" t="str">
        <v>SS28</v>
      </c>
      <c r="BA172" t="str">
        <v>ANNOUNCEMENT</v>
      </c>
      <c r="BB172" t="str">
        <v>SUPER SENIOR</v>
      </c>
      <c r="BC172" t="str">
        <v>Single</v>
      </c>
      <c r="BD172" t="str">
        <v>Stage</v>
      </c>
      <c r="BE172">
        <v>3</v>
      </c>
      <c r="BF172" t="str">
        <v>Individual</v>
      </c>
      <c r="BG172" t="str">
        <v>Individual</v>
      </c>
      <c r="BH172" t="str">
        <v>P</v>
      </c>
      <c r="BI172" t="str">
        <v>PUBLISHED</v>
      </c>
      <c r="BK172">
        <v>166</v>
      </c>
      <c r="BL172" t="str">
        <v>SS24</v>
      </c>
      <c r="BM172" t="str">
        <v>SHORT STORY URD</v>
      </c>
      <c r="BN172">
        <v>3</v>
      </c>
      <c r="BO172" t="str">
        <v>Single</v>
      </c>
      <c r="BP172" t="str">
        <v>Non-Stg</v>
      </c>
      <c r="BQ172" t="str">
        <v>SUPER SENIOR</v>
      </c>
      <c r="BR172" t="str">
        <v>D128</v>
      </c>
      <c r="BS172" t="str">
        <v>D138</v>
      </c>
      <c r="BT172" t="str">
        <v>D147</v>
      </c>
      <c r="BU172">
        <v>0</v>
      </c>
      <c r="BV172">
        <v>0</v>
      </c>
      <c r="BW172">
        <v>0</v>
      </c>
      <c r="BX172">
        <v>0</v>
      </c>
      <c r="BY172" t="str">
        <v>D152</v>
      </c>
      <c r="BZ172" t="str">
        <v>D140</v>
      </c>
      <c r="CA172" t="str">
        <v>D187</v>
      </c>
      <c r="CB172">
        <v>0</v>
      </c>
      <c r="CC172">
        <v>0</v>
      </c>
      <c r="CD172">
        <v>0</v>
      </c>
      <c r="CE172">
        <v>0</v>
      </c>
      <c r="CF172" t="str">
        <v>D118</v>
      </c>
      <c r="CG172" t="str">
        <v>D162</v>
      </c>
      <c r="CH172" t="str">
        <v>D189</v>
      </c>
      <c r="CI172">
        <v>0</v>
      </c>
      <c r="CJ172">
        <v>0</v>
      </c>
      <c r="CK172">
        <v>0</v>
      </c>
      <c r="CL172">
        <v>0</v>
      </c>
      <c r="CM172" t="str">
        <v>D100</v>
      </c>
      <c r="CN172" t="str">
        <v>D116</v>
      </c>
      <c r="CO172" t="str">
        <v>D194</v>
      </c>
      <c r="CP172">
        <v>0</v>
      </c>
      <c r="CQ172">
        <v>0</v>
      </c>
      <c r="CR172">
        <v>0</v>
      </c>
      <c r="CS172">
        <v>0</v>
      </c>
      <c r="CT172">
        <v>0</v>
      </c>
      <c r="CU172">
        <v>0</v>
      </c>
      <c r="CV172">
        <v>0</v>
      </c>
      <c r="CW172">
        <v>0</v>
      </c>
      <c r="CX172">
        <v>0</v>
      </c>
      <c r="CY172">
        <v>0</v>
      </c>
      <c r="CZ172">
        <v>0</v>
      </c>
      <c r="DA172">
        <v>0</v>
      </c>
      <c r="DB172">
        <v>0</v>
      </c>
      <c r="DC172">
        <v>0</v>
      </c>
      <c r="DD172">
        <v>0</v>
      </c>
      <c r="DE172">
        <v>0</v>
      </c>
      <c r="DF172">
        <v>0</v>
      </c>
      <c r="DG172">
        <v>0</v>
      </c>
      <c r="DH172">
        <v>0</v>
      </c>
      <c r="DI172">
        <v>0</v>
      </c>
      <c r="DJ172">
        <v>0</v>
      </c>
      <c r="DK172">
        <v>0</v>
      </c>
      <c r="DL172">
        <v>0</v>
      </c>
      <c r="DM172">
        <v>0</v>
      </c>
      <c r="DN172">
        <v>0</v>
      </c>
      <c r="DO172">
        <v>0</v>
      </c>
      <c r="DP172">
        <v>0</v>
      </c>
      <c r="DQ172">
        <v>0</v>
      </c>
      <c r="DR172">
        <v>0</v>
      </c>
      <c r="DS172">
        <v>0</v>
      </c>
      <c r="DT172">
        <v>0</v>
      </c>
      <c r="DU172">
        <v>0</v>
      </c>
      <c r="DV172">
        <v>0</v>
      </c>
      <c r="DW172">
        <v>0</v>
      </c>
      <c r="DX172">
        <v>0</v>
      </c>
      <c r="DY172">
        <v>0</v>
      </c>
      <c r="DZ172">
        <v>0</v>
      </c>
      <c r="EA172">
        <v>0</v>
      </c>
      <c r="EB172">
        <v>0</v>
      </c>
      <c r="EC172">
        <v>0</v>
      </c>
      <c r="ED172">
        <v>0</v>
      </c>
      <c r="EE172">
        <v>0</v>
      </c>
      <c r="EF172">
        <v>0</v>
      </c>
      <c r="EG172">
        <v>0</v>
      </c>
      <c r="EH172">
        <v>0</v>
      </c>
      <c r="EI172">
        <v>0</v>
      </c>
      <c r="EJ172">
        <v>0</v>
      </c>
      <c r="EK172">
        <v>0</v>
      </c>
      <c r="EL172">
        <v>0</v>
      </c>
      <c r="EM172">
        <v>0</v>
      </c>
      <c r="EN172">
        <v>0</v>
      </c>
      <c r="EO172">
        <v>0</v>
      </c>
      <c r="EP172">
        <v>0</v>
      </c>
      <c r="EQ172">
        <v>0</v>
      </c>
      <c r="ER172">
        <v>0</v>
      </c>
      <c r="ES172">
        <v>0</v>
      </c>
      <c r="ET172">
        <v>0</v>
      </c>
      <c r="EU172">
        <v>0</v>
      </c>
      <c r="EV172">
        <v>0</v>
      </c>
      <c r="EW172">
        <v>0</v>
      </c>
      <c r="EX172">
        <v>0</v>
      </c>
      <c r="EY172">
        <v>0</v>
      </c>
      <c r="EZ172">
        <v>0</v>
      </c>
      <c r="FA172">
        <v>0</v>
      </c>
      <c r="FB172">
        <v>0</v>
      </c>
      <c r="FC172">
        <v>0</v>
      </c>
      <c r="FD172">
        <v>0</v>
      </c>
      <c r="FE172">
        <v>0</v>
      </c>
      <c r="FF172">
        <v>0</v>
      </c>
      <c r="FG172">
        <v>0</v>
      </c>
      <c r="FH172">
        <v>0</v>
      </c>
      <c r="FI172">
        <v>0</v>
      </c>
      <c r="FJ172">
        <v>0</v>
      </c>
      <c r="FK172">
        <v>0</v>
      </c>
      <c r="FL172">
        <v>0</v>
      </c>
      <c r="FM172">
        <v>0</v>
      </c>
      <c r="FN172">
        <v>0</v>
      </c>
      <c r="FO172">
        <v>0</v>
      </c>
      <c r="FP172">
        <v>0</v>
      </c>
      <c r="FQ172">
        <v>0</v>
      </c>
      <c r="FR172">
        <v>0</v>
      </c>
      <c r="FS172">
        <v>0</v>
      </c>
      <c r="FT172">
        <v>0</v>
      </c>
      <c r="FU172">
        <v>0</v>
      </c>
      <c r="FV172">
        <v>0</v>
      </c>
      <c r="FW172">
        <v>0</v>
      </c>
      <c r="FX172">
        <v>0</v>
      </c>
      <c r="FY172">
        <v>0</v>
      </c>
      <c r="FZ172">
        <v>0</v>
      </c>
      <c r="GA172">
        <v>0</v>
      </c>
      <c r="GB172">
        <v>0</v>
      </c>
      <c r="GC172">
        <v>0</v>
      </c>
      <c r="GD172">
        <v>0</v>
      </c>
      <c r="GE172">
        <v>0</v>
      </c>
      <c r="GF172">
        <v>0</v>
      </c>
      <c r="GG172">
        <v>0</v>
      </c>
      <c r="GH172">
        <v>0</v>
      </c>
      <c r="GI172">
        <v>0</v>
      </c>
      <c r="GJ172">
        <v>0</v>
      </c>
      <c r="GK172">
        <v>0</v>
      </c>
      <c r="GL172">
        <v>0</v>
      </c>
      <c r="GM172">
        <v>0</v>
      </c>
      <c r="GN172">
        <v>0</v>
      </c>
      <c r="GO172">
        <v>0</v>
      </c>
      <c r="GP172">
        <v>0</v>
      </c>
      <c r="GQ172">
        <v>0</v>
      </c>
      <c r="GR172">
        <v>0</v>
      </c>
      <c r="GS172">
        <v>0</v>
      </c>
      <c r="GT172">
        <v>0</v>
      </c>
      <c r="GU172">
        <v>0</v>
      </c>
      <c r="GV172">
        <v>0</v>
      </c>
      <c r="GW172">
        <v>0</v>
      </c>
      <c r="GX172">
        <v>0</v>
      </c>
      <c r="GY172">
        <v>0</v>
      </c>
      <c r="GZ172">
        <v>0</v>
      </c>
      <c r="HA172">
        <v>0</v>
      </c>
      <c r="HB172">
        <v>0</v>
      </c>
      <c r="HC172">
        <v>0</v>
      </c>
      <c r="HD172">
        <v>0</v>
      </c>
      <c r="HE172">
        <v>0</v>
      </c>
      <c r="HF172">
        <v>0</v>
      </c>
      <c r="HG172">
        <v>0</v>
      </c>
      <c r="HH172">
        <v>0</v>
      </c>
      <c r="HI172">
        <v>0</v>
      </c>
      <c r="HJ172">
        <v>0</v>
      </c>
      <c r="HK172">
        <v>0</v>
      </c>
      <c r="HL172">
        <v>0</v>
      </c>
      <c r="HM172">
        <v>0</v>
      </c>
      <c r="HN172">
        <v>0</v>
      </c>
      <c r="HO172">
        <v>0</v>
      </c>
      <c r="HP172">
        <v>0</v>
      </c>
      <c r="HQ172">
        <v>0</v>
      </c>
      <c r="HR172">
        <v>0</v>
      </c>
      <c r="HS172">
        <v>0</v>
      </c>
      <c r="HT172">
        <v>0</v>
      </c>
      <c r="HU172">
        <v>0</v>
      </c>
      <c r="HV172">
        <v>0</v>
      </c>
      <c r="HW172">
        <v>0</v>
      </c>
      <c r="HX172">
        <v>0</v>
      </c>
      <c r="HY172">
        <v>0</v>
      </c>
      <c r="HZ172">
        <v>0</v>
      </c>
      <c r="IA172">
        <v>0</v>
      </c>
      <c r="IB172">
        <v>0</v>
      </c>
      <c r="IC172">
        <v>0</v>
      </c>
      <c r="ID172">
        <v>0</v>
      </c>
      <c r="IE172">
        <v>0</v>
      </c>
      <c r="IF172">
        <v>0</v>
      </c>
      <c r="IG172">
        <v>0</v>
      </c>
      <c r="IH172">
        <v>0</v>
      </c>
      <c r="II172">
        <v>0</v>
      </c>
      <c r="IJ172">
        <v>0</v>
      </c>
      <c r="IK172">
        <v>0</v>
      </c>
      <c r="IL172">
        <v>0</v>
      </c>
      <c r="IM172">
        <v>0</v>
      </c>
      <c r="IN172">
        <v>0</v>
      </c>
      <c r="IO172">
        <v>0</v>
      </c>
      <c r="IP172">
        <v>0</v>
      </c>
      <c r="IQ172">
        <v>0</v>
      </c>
      <c r="IR172">
        <v>0</v>
      </c>
      <c r="IS172">
        <v>0</v>
      </c>
      <c r="IT172">
        <v>0</v>
      </c>
      <c r="IU172">
        <v>0</v>
      </c>
      <c r="IV172">
        <v>0</v>
      </c>
      <c r="IW172">
        <v>0</v>
      </c>
      <c r="IX172">
        <v>0</v>
      </c>
      <c r="IY172">
        <v>0</v>
      </c>
      <c r="IZ172">
        <v>0</v>
      </c>
      <c r="JA172">
        <v>0</v>
      </c>
      <c r="JB172">
        <v>0</v>
      </c>
      <c r="JC172">
        <v>0</v>
      </c>
      <c r="JD172">
        <v>0</v>
      </c>
      <c r="JE172">
        <v>0</v>
      </c>
      <c r="JF172">
        <v>0</v>
      </c>
      <c r="JG172">
        <v>0</v>
      </c>
      <c r="JH172">
        <v>0</v>
      </c>
      <c r="JI172">
        <v>0</v>
      </c>
      <c r="JJ172">
        <v>0</v>
      </c>
      <c r="JK172">
        <v>0</v>
      </c>
      <c r="JL172">
        <v>0</v>
      </c>
      <c r="JM172">
        <v>0</v>
      </c>
      <c r="JN172">
        <v>0</v>
      </c>
      <c r="JO172">
        <v>0</v>
      </c>
      <c r="JP172">
        <v>0</v>
      </c>
      <c r="JQ172">
        <v>0</v>
      </c>
      <c r="JR172">
        <v>0</v>
      </c>
      <c r="JS172">
        <v>0</v>
      </c>
      <c r="JT172">
        <v>0</v>
      </c>
      <c r="JU172">
        <v>0</v>
      </c>
      <c r="JV172">
        <v>0</v>
      </c>
      <c r="JW172">
        <v>0</v>
      </c>
      <c r="JX172">
        <v>0</v>
      </c>
      <c r="JY172">
        <v>0</v>
      </c>
      <c r="JZ172">
        <v>0</v>
      </c>
      <c r="KA172">
        <v>0</v>
      </c>
      <c r="KB172">
        <v>0</v>
      </c>
      <c r="KC172">
        <v>0</v>
      </c>
      <c r="KD172">
        <v>0</v>
      </c>
      <c r="KE172">
        <v>0</v>
      </c>
      <c r="KF172">
        <v>0</v>
      </c>
      <c r="KG172">
        <v>0</v>
      </c>
      <c r="KH172">
        <v>0</v>
      </c>
      <c r="KI172">
        <v>0</v>
      </c>
      <c r="KJ172">
        <v>0</v>
      </c>
      <c r="KK172">
        <v>0</v>
      </c>
      <c r="KL172">
        <v>0</v>
      </c>
      <c r="KM172">
        <v>0</v>
      </c>
      <c r="KN172">
        <v>0</v>
      </c>
      <c r="KO172">
        <v>0</v>
      </c>
      <c r="KP172">
        <v>0</v>
      </c>
      <c r="KQ172">
        <v>0</v>
      </c>
      <c r="KR172">
        <v>0</v>
      </c>
      <c r="KS172">
        <v>0</v>
      </c>
      <c r="KT172">
        <v>0</v>
      </c>
      <c r="KU172">
        <v>0</v>
      </c>
      <c r="KV172">
        <v>0</v>
      </c>
      <c r="KW172">
        <v>0</v>
      </c>
      <c r="KX172">
        <v>0</v>
      </c>
      <c r="KY172">
        <v>0</v>
      </c>
      <c r="KZ172">
        <v>0</v>
      </c>
      <c r="LA172">
        <v>0</v>
      </c>
      <c r="LB172">
        <v>0</v>
      </c>
      <c r="LC172">
        <v>0</v>
      </c>
      <c r="LD172">
        <v>0</v>
      </c>
      <c r="LE172">
        <v>0</v>
      </c>
      <c r="LF172">
        <v>0</v>
      </c>
      <c r="LG172">
        <v>0</v>
      </c>
      <c r="LH172">
        <v>0</v>
      </c>
      <c r="LI172">
        <v>0</v>
      </c>
      <c r="LJ172">
        <v>0</v>
      </c>
      <c r="LK172">
        <v>0</v>
      </c>
      <c r="LL172">
        <v>0</v>
      </c>
      <c r="LM172">
        <v>0</v>
      </c>
      <c r="LN172">
        <v>0</v>
      </c>
      <c r="LO172">
        <v>0</v>
      </c>
      <c r="LP172">
        <v>0</v>
      </c>
      <c r="LQ172">
        <v>0</v>
      </c>
      <c r="LR172">
        <v>0</v>
      </c>
      <c r="LS172">
        <v>0</v>
      </c>
      <c r="LT172">
        <v>0</v>
      </c>
      <c r="LU172">
        <v>0</v>
      </c>
      <c r="LV172">
        <v>0</v>
      </c>
      <c r="LW172">
        <v>0</v>
      </c>
      <c r="LX172">
        <v>0</v>
      </c>
      <c r="LY172">
        <v>0</v>
      </c>
      <c r="LZ172">
        <v>0</v>
      </c>
      <c r="MA172">
        <v>0</v>
      </c>
      <c r="MB172">
        <v>0</v>
      </c>
      <c r="MC172">
        <v>0</v>
      </c>
      <c r="MD172">
        <v>0</v>
      </c>
      <c r="ME172">
        <v>0</v>
      </c>
      <c r="MF172">
        <v>0</v>
      </c>
      <c r="MG172">
        <v>0</v>
      </c>
      <c r="MH172">
        <v>0</v>
      </c>
      <c r="MI172">
        <v>0</v>
      </c>
      <c r="MJ172">
        <v>0</v>
      </c>
      <c r="MK172">
        <v>0</v>
      </c>
      <c r="ML172">
        <v>0</v>
      </c>
      <c r="MM172">
        <v>0</v>
      </c>
      <c r="MN172">
        <v>0</v>
      </c>
      <c r="MO172">
        <v>0</v>
      </c>
      <c r="MP172">
        <v>0</v>
      </c>
      <c r="MQ172">
        <v>0</v>
      </c>
      <c r="MR172">
        <v>0</v>
      </c>
      <c r="MS172">
        <v>0</v>
      </c>
      <c r="MT172">
        <v>0</v>
      </c>
      <c r="MU172">
        <v>0</v>
      </c>
      <c r="MV172">
        <v>0</v>
      </c>
      <c r="MW172">
        <v>0</v>
      </c>
      <c r="MX172">
        <v>0</v>
      </c>
      <c r="MY172">
        <v>0</v>
      </c>
      <c r="MZ172">
        <v>0</v>
      </c>
      <c r="NA172">
        <v>0</v>
      </c>
      <c r="NB172">
        <v>0</v>
      </c>
      <c r="NC172">
        <v>0</v>
      </c>
      <c r="ND172">
        <v>0</v>
      </c>
      <c r="NE172">
        <v>0</v>
      </c>
    </row>
    <row r="173" spans="41:369" x14ac:dyDescent="0.45">
      <c r="AO173" t="str">
        <v>C129</v>
      </c>
      <c r="AP173" t="str">
        <v>P K ZAMEEL AHMED</v>
      </c>
      <c r="AQ173" t="str">
        <v>BADF</v>
      </c>
      <c r="AR173" t="str">
        <v>SENIOR</v>
      </c>
      <c r="AS173">
        <v>5</v>
      </c>
      <c r="AT173">
        <v>6</v>
      </c>
      <c r="AU173">
        <v>0</v>
      </c>
      <c r="AV173">
        <v>6</v>
      </c>
      <c r="AW173">
        <v>6</v>
      </c>
      <c r="AX173">
        <v>171</v>
      </c>
      <c r="AY173" s="5">
        <v>171</v>
      </c>
      <c r="AZ173" t="str">
        <v>SS29</v>
      </c>
      <c r="BA173" t="str">
        <v>DOCUMENTARY NARRATION ARB</v>
      </c>
      <c r="BB173" t="str">
        <v>SUPER SENIOR</v>
      </c>
      <c r="BC173" t="str">
        <v>Single</v>
      </c>
      <c r="BD173" t="str">
        <v>Stage</v>
      </c>
      <c r="BE173">
        <v>2</v>
      </c>
      <c r="BF173" t="str">
        <v>Master</v>
      </c>
      <c r="BG173" t="str">
        <v>Master</v>
      </c>
      <c r="BH173" t="str">
        <v>P</v>
      </c>
      <c r="BI173" t="str">
        <v>PUBLISHED</v>
      </c>
      <c r="BK173">
        <v>167</v>
      </c>
      <c r="BL173" t="str">
        <v>SS25</v>
      </c>
      <c r="BM173" t="str">
        <v>TYPING QUADRILINGUAL</v>
      </c>
      <c r="BN173">
        <v>2</v>
      </c>
      <c r="BO173" t="str">
        <v>Single</v>
      </c>
      <c r="BP173" t="str">
        <v>Non-Stg</v>
      </c>
      <c r="BQ173" t="str">
        <v>SUPER SENIOR</v>
      </c>
      <c r="BR173" t="str">
        <v>D112</v>
      </c>
      <c r="BS173" t="str">
        <v>D159</v>
      </c>
      <c r="BT173">
        <v>0</v>
      </c>
      <c r="BU173">
        <v>0</v>
      </c>
      <c r="BV173">
        <v>0</v>
      </c>
      <c r="BW173">
        <v>0</v>
      </c>
      <c r="BX173">
        <v>0</v>
      </c>
      <c r="BY173" t="str">
        <v>D135</v>
      </c>
      <c r="BZ173" t="str">
        <v>D148</v>
      </c>
      <c r="CA173">
        <v>0</v>
      </c>
      <c r="CB173">
        <v>0</v>
      </c>
      <c r="CC173">
        <v>0</v>
      </c>
      <c r="CD173">
        <v>0</v>
      </c>
      <c r="CE173">
        <v>0</v>
      </c>
      <c r="CF173" t="str">
        <v>D126</v>
      </c>
      <c r="CG173" t="str">
        <v>D161</v>
      </c>
      <c r="CH173">
        <v>0</v>
      </c>
      <c r="CI173">
        <v>0</v>
      </c>
      <c r="CJ173">
        <v>0</v>
      </c>
      <c r="CK173">
        <v>0</v>
      </c>
      <c r="CL173">
        <v>0</v>
      </c>
      <c r="CM173" t="str">
        <v>D113</v>
      </c>
      <c r="CN173" t="str">
        <v>D193</v>
      </c>
      <c r="CO173">
        <v>0</v>
      </c>
      <c r="CP173">
        <v>0</v>
      </c>
      <c r="CQ173">
        <v>0</v>
      </c>
      <c r="CR173">
        <v>0</v>
      </c>
      <c r="CS173">
        <v>0</v>
      </c>
      <c r="CT173">
        <v>0</v>
      </c>
      <c r="CU173">
        <v>0</v>
      </c>
      <c r="CV173">
        <v>0</v>
      </c>
      <c r="CW173">
        <v>0</v>
      </c>
      <c r="CX173">
        <v>0</v>
      </c>
      <c r="CY173">
        <v>0</v>
      </c>
      <c r="CZ173">
        <v>0</v>
      </c>
      <c r="DA173">
        <v>0</v>
      </c>
      <c r="DB173">
        <v>0</v>
      </c>
      <c r="DC173">
        <v>0</v>
      </c>
      <c r="DD173">
        <v>0</v>
      </c>
      <c r="DE173">
        <v>0</v>
      </c>
      <c r="DF173">
        <v>0</v>
      </c>
      <c r="DG173">
        <v>0</v>
      </c>
      <c r="DH173">
        <v>0</v>
      </c>
      <c r="DI173">
        <v>0</v>
      </c>
      <c r="DJ173">
        <v>0</v>
      </c>
      <c r="DK173">
        <v>0</v>
      </c>
      <c r="DL173">
        <v>0</v>
      </c>
      <c r="DM173">
        <v>0</v>
      </c>
      <c r="DN173">
        <v>0</v>
      </c>
      <c r="DO173">
        <v>0</v>
      </c>
      <c r="DP173">
        <v>0</v>
      </c>
      <c r="DQ173">
        <v>0</v>
      </c>
      <c r="DR173">
        <v>0</v>
      </c>
      <c r="DS173">
        <v>0</v>
      </c>
      <c r="DT173">
        <v>0</v>
      </c>
      <c r="DU173">
        <v>0</v>
      </c>
      <c r="DV173">
        <v>0</v>
      </c>
      <c r="DW173">
        <v>0</v>
      </c>
      <c r="DX173">
        <v>0</v>
      </c>
      <c r="DY173">
        <v>0</v>
      </c>
      <c r="DZ173">
        <v>0</v>
      </c>
      <c r="EA173">
        <v>0</v>
      </c>
      <c r="EB173">
        <v>0</v>
      </c>
      <c r="EC173">
        <v>0</v>
      </c>
      <c r="ED173">
        <v>0</v>
      </c>
      <c r="EE173">
        <v>0</v>
      </c>
      <c r="EF173">
        <v>0</v>
      </c>
      <c r="EG173">
        <v>0</v>
      </c>
      <c r="EH173">
        <v>0</v>
      </c>
      <c r="EI173">
        <v>0</v>
      </c>
      <c r="EJ173">
        <v>0</v>
      </c>
      <c r="EK173">
        <v>0</v>
      </c>
      <c r="EL173">
        <v>0</v>
      </c>
      <c r="EM173">
        <v>0</v>
      </c>
      <c r="EN173">
        <v>0</v>
      </c>
      <c r="EO173">
        <v>0</v>
      </c>
      <c r="EP173">
        <v>0</v>
      </c>
      <c r="EQ173">
        <v>0</v>
      </c>
      <c r="ER173">
        <v>0</v>
      </c>
      <c r="ES173">
        <v>0</v>
      </c>
      <c r="ET173">
        <v>0</v>
      </c>
      <c r="EU173">
        <v>0</v>
      </c>
      <c r="EV173">
        <v>0</v>
      </c>
      <c r="EW173">
        <v>0</v>
      </c>
      <c r="EX173">
        <v>0</v>
      </c>
      <c r="EY173">
        <v>0</v>
      </c>
      <c r="EZ173">
        <v>0</v>
      </c>
      <c r="FA173">
        <v>0</v>
      </c>
      <c r="FB173">
        <v>0</v>
      </c>
      <c r="FC173">
        <v>0</v>
      </c>
      <c r="FD173">
        <v>0</v>
      </c>
      <c r="FE173">
        <v>0</v>
      </c>
      <c r="FF173">
        <v>0</v>
      </c>
      <c r="FG173">
        <v>0</v>
      </c>
      <c r="FH173">
        <v>0</v>
      </c>
      <c r="FI173">
        <v>0</v>
      </c>
      <c r="FJ173">
        <v>0</v>
      </c>
      <c r="FK173">
        <v>0</v>
      </c>
      <c r="FL173">
        <v>0</v>
      </c>
      <c r="FM173">
        <v>0</v>
      </c>
      <c r="FN173">
        <v>0</v>
      </c>
      <c r="FO173">
        <v>0</v>
      </c>
      <c r="FP173">
        <v>0</v>
      </c>
      <c r="FQ173">
        <v>0</v>
      </c>
      <c r="FR173">
        <v>0</v>
      </c>
      <c r="FS173">
        <v>0</v>
      </c>
      <c r="FT173">
        <v>0</v>
      </c>
      <c r="FU173">
        <v>0</v>
      </c>
      <c r="FV173">
        <v>0</v>
      </c>
      <c r="FW173">
        <v>0</v>
      </c>
      <c r="FX173">
        <v>0</v>
      </c>
      <c r="FY173">
        <v>0</v>
      </c>
      <c r="FZ173">
        <v>0</v>
      </c>
      <c r="GA173">
        <v>0</v>
      </c>
      <c r="GB173">
        <v>0</v>
      </c>
      <c r="GC173">
        <v>0</v>
      </c>
      <c r="GD173">
        <v>0</v>
      </c>
      <c r="GE173">
        <v>0</v>
      </c>
      <c r="GF173">
        <v>0</v>
      </c>
      <c r="GG173">
        <v>0</v>
      </c>
      <c r="GH173">
        <v>0</v>
      </c>
      <c r="GI173">
        <v>0</v>
      </c>
      <c r="GJ173">
        <v>0</v>
      </c>
      <c r="GK173">
        <v>0</v>
      </c>
      <c r="GL173">
        <v>0</v>
      </c>
      <c r="GM173">
        <v>0</v>
      </c>
      <c r="GN173">
        <v>0</v>
      </c>
      <c r="GO173">
        <v>0</v>
      </c>
      <c r="GP173">
        <v>0</v>
      </c>
      <c r="GQ173">
        <v>0</v>
      </c>
      <c r="GR173">
        <v>0</v>
      </c>
      <c r="GS173">
        <v>0</v>
      </c>
      <c r="GT173">
        <v>0</v>
      </c>
      <c r="GU173">
        <v>0</v>
      </c>
      <c r="GV173">
        <v>0</v>
      </c>
      <c r="GW173">
        <v>0</v>
      </c>
      <c r="GX173">
        <v>0</v>
      </c>
      <c r="GY173">
        <v>0</v>
      </c>
      <c r="GZ173">
        <v>0</v>
      </c>
      <c r="HA173">
        <v>0</v>
      </c>
      <c r="HB173">
        <v>0</v>
      </c>
      <c r="HC173">
        <v>0</v>
      </c>
      <c r="HD173">
        <v>0</v>
      </c>
      <c r="HE173">
        <v>0</v>
      </c>
      <c r="HF173">
        <v>0</v>
      </c>
      <c r="HG173">
        <v>0</v>
      </c>
      <c r="HH173">
        <v>0</v>
      </c>
      <c r="HI173">
        <v>0</v>
      </c>
      <c r="HJ173">
        <v>0</v>
      </c>
      <c r="HK173">
        <v>0</v>
      </c>
      <c r="HL173">
        <v>0</v>
      </c>
      <c r="HM173">
        <v>0</v>
      </c>
      <c r="HN173">
        <v>0</v>
      </c>
      <c r="HO173">
        <v>0</v>
      </c>
      <c r="HP173">
        <v>0</v>
      </c>
      <c r="HQ173">
        <v>0</v>
      </c>
      <c r="HR173">
        <v>0</v>
      </c>
      <c r="HS173">
        <v>0</v>
      </c>
      <c r="HT173">
        <v>0</v>
      </c>
      <c r="HU173">
        <v>0</v>
      </c>
      <c r="HV173">
        <v>0</v>
      </c>
      <c r="HW173">
        <v>0</v>
      </c>
      <c r="HX173">
        <v>0</v>
      </c>
      <c r="HY173">
        <v>0</v>
      </c>
      <c r="HZ173">
        <v>0</v>
      </c>
      <c r="IA173">
        <v>0</v>
      </c>
      <c r="IB173">
        <v>0</v>
      </c>
      <c r="IC173">
        <v>0</v>
      </c>
      <c r="ID173">
        <v>0</v>
      </c>
      <c r="IE173">
        <v>0</v>
      </c>
      <c r="IF173">
        <v>0</v>
      </c>
      <c r="IG173">
        <v>0</v>
      </c>
      <c r="IH173">
        <v>0</v>
      </c>
      <c r="II173">
        <v>0</v>
      </c>
      <c r="IJ173">
        <v>0</v>
      </c>
      <c r="IK173">
        <v>0</v>
      </c>
      <c r="IL173">
        <v>0</v>
      </c>
      <c r="IM173">
        <v>0</v>
      </c>
      <c r="IN173">
        <v>0</v>
      </c>
      <c r="IO173">
        <v>0</v>
      </c>
      <c r="IP173">
        <v>0</v>
      </c>
      <c r="IQ173">
        <v>0</v>
      </c>
      <c r="IR173">
        <v>0</v>
      </c>
      <c r="IS173">
        <v>0</v>
      </c>
      <c r="IT173">
        <v>0</v>
      </c>
      <c r="IU173">
        <v>0</v>
      </c>
      <c r="IV173">
        <v>0</v>
      </c>
      <c r="IW173">
        <v>0</v>
      </c>
      <c r="IX173">
        <v>0</v>
      </c>
      <c r="IY173">
        <v>0</v>
      </c>
      <c r="IZ173">
        <v>0</v>
      </c>
      <c r="JA173">
        <v>0</v>
      </c>
      <c r="JB173">
        <v>0</v>
      </c>
      <c r="JC173">
        <v>0</v>
      </c>
      <c r="JD173">
        <v>0</v>
      </c>
      <c r="JE173">
        <v>0</v>
      </c>
      <c r="JF173">
        <v>0</v>
      </c>
      <c r="JG173">
        <v>0</v>
      </c>
      <c r="JH173">
        <v>0</v>
      </c>
      <c r="JI173">
        <v>0</v>
      </c>
      <c r="JJ173">
        <v>0</v>
      </c>
      <c r="JK173">
        <v>0</v>
      </c>
      <c r="JL173">
        <v>0</v>
      </c>
      <c r="JM173">
        <v>0</v>
      </c>
      <c r="JN173">
        <v>0</v>
      </c>
      <c r="JO173">
        <v>0</v>
      </c>
      <c r="JP173">
        <v>0</v>
      </c>
      <c r="JQ173">
        <v>0</v>
      </c>
      <c r="JR173">
        <v>0</v>
      </c>
      <c r="JS173">
        <v>0</v>
      </c>
      <c r="JT173">
        <v>0</v>
      </c>
      <c r="JU173">
        <v>0</v>
      </c>
      <c r="JV173">
        <v>0</v>
      </c>
      <c r="JW173">
        <v>0</v>
      </c>
      <c r="JX173">
        <v>0</v>
      </c>
      <c r="JY173">
        <v>0</v>
      </c>
      <c r="JZ173">
        <v>0</v>
      </c>
      <c r="KA173">
        <v>0</v>
      </c>
      <c r="KB173">
        <v>0</v>
      </c>
      <c r="KC173">
        <v>0</v>
      </c>
      <c r="KD173">
        <v>0</v>
      </c>
      <c r="KE173">
        <v>0</v>
      </c>
      <c r="KF173">
        <v>0</v>
      </c>
      <c r="KG173">
        <v>0</v>
      </c>
      <c r="KH173">
        <v>0</v>
      </c>
      <c r="KI173">
        <v>0</v>
      </c>
      <c r="KJ173">
        <v>0</v>
      </c>
      <c r="KK173">
        <v>0</v>
      </c>
      <c r="KL173">
        <v>0</v>
      </c>
      <c r="KM173">
        <v>0</v>
      </c>
      <c r="KN173">
        <v>0</v>
      </c>
      <c r="KO173">
        <v>0</v>
      </c>
      <c r="KP173">
        <v>0</v>
      </c>
      <c r="KQ173">
        <v>0</v>
      </c>
      <c r="KR173">
        <v>0</v>
      </c>
      <c r="KS173">
        <v>0</v>
      </c>
      <c r="KT173">
        <v>0</v>
      </c>
      <c r="KU173">
        <v>0</v>
      </c>
      <c r="KV173">
        <v>0</v>
      </c>
      <c r="KW173">
        <v>0</v>
      </c>
      <c r="KX173">
        <v>0</v>
      </c>
      <c r="KY173">
        <v>0</v>
      </c>
      <c r="KZ173">
        <v>0</v>
      </c>
      <c r="LA173">
        <v>0</v>
      </c>
      <c r="LB173">
        <v>0</v>
      </c>
      <c r="LC173">
        <v>0</v>
      </c>
      <c r="LD173">
        <v>0</v>
      </c>
      <c r="LE173">
        <v>0</v>
      </c>
      <c r="LF173">
        <v>0</v>
      </c>
      <c r="LG173">
        <v>0</v>
      </c>
      <c r="LH173">
        <v>0</v>
      </c>
      <c r="LI173">
        <v>0</v>
      </c>
      <c r="LJ173">
        <v>0</v>
      </c>
      <c r="LK173">
        <v>0</v>
      </c>
      <c r="LL173">
        <v>0</v>
      </c>
      <c r="LM173">
        <v>0</v>
      </c>
      <c r="LN173">
        <v>0</v>
      </c>
      <c r="LO173">
        <v>0</v>
      </c>
      <c r="LP173">
        <v>0</v>
      </c>
      <c r="LQ173">
        <v>0</v>
      </c>
      <c r="LR173">
        <v>0</v>
      </c>
      <c r="LS173">
        <v>0</v>
      </c>
      <c r="LT173">
        <v>0</v>
      </c>
      <c r="LU173">
        <v>0</v>
      </c>
      <c r="LV173">
        <v>0</v>
      </c>
      <c r="LW173">
        <v>0</v>
      </c>
      <c r="LX173">
        <v>0</v>
      </c>
      <c r="LY173">
        <v>0</v>
      </c>
      <c r="LZ173">
        <v>0</v>
      </c>
      <c r="MA173">
        <v>0</v>
      </c>
      <c r="MB173">
        <v>0</v>
      </c>
      <c r="MC173">
        <v>0</v>
      </c>
      <c r="MD173">
        <v>0</v>
      </c>
      <c r="ME173">
        <v>0</v>
      </c>
      <c r="MF173">
        <v>0</v>
      </c>
      <c r="MG173">
        <v>0</v>
      </c>
      <c r="MH173">
        <v>0</v>
      </c>
      <c r="MI173">
        <v>0</v>
      </c>
      <c r="MJ173">
        <v>0</v>
      </c>
      <c r="MK173">
        <v>0</v>
      </c>
      <c r="ML173">
        <v>0</v>
      </c>
      <c r="MM173">
        <v>0</v>
      </c>
      <c r="MN173">
        <v>0</v>
      </c>
      <c r="MO173">
        <v>0</v>
      </c>
      <c r="MP173">
        <v>0</v>
      </c>
      <c r="MQ173">
        <v>0</v>
      </c>
      <c r="MR173">
        <v>0</v>
      </c>
      <c r="MS173">
        <v>0</v>
      </c>
      <c r="MT173">
        <v>0</v>
      </c>
      <c r="MU173">
        <v>0</v>
      </c>
      <c r="MV173">
        <v>0</v>
      </c>
      <c r="MW173">
        <v>0</v>
      </c>
      <c r="MX173">
        <v>0</v>
      </c>
      <c r="MY173">
        <v>0</v>
      </c>
      <c r="MZ173">
        <v>0</v>
      </c>
      <c r="NA173">
        <v>0</v>
      </c>
      <c r="NB173">
        <v>0</v>
      </c>
      <c r="NC173">
        <v>0</v>
      </c>
      <c r="ND173">
        <v>0</v>
      </c>
      <c r="NE173">
        <v>0</v>
      </c>
    </row>
    <row r="174" spans="41:369" x14ac:dyDescent="0.45">
      <c r="AO174" t="str">
        <v>C130</v>
      </c>
      <c r="AP174" t="str">
        <v>MOHAMMED HISHAM</v>
      </c>
      <c r="AQ174" t="str">
        <v>DAHF</v>
      </c>
      <c r="AR174" t="str">
        <v>SENIOR</v>
      </c>
      <c r="AS174">
        <v>5</v>
      </c>
      <c r="AT174">
        <v>0</v>
      </c>
      <c r="AU174">
        <v>0</v>
      </c>
      <c r="AV174">
        <v>0</v>
      </c>
      <c r="AW174">
        <v>0</v>
      </c>
      <c r="AX174">
        <v>255</v>
      </c>
      <c r="AY174" s="5">
        <v>255</v>
      </c>
      <c r="AZ174" t="str">
        <v>SS30</v>
      </c>
      <c r="BA174" t="str">
        <v>EXTEMPORE SPEECH ARB</v>
      </c>
      <c r="BB174" t="str">
        <v>SUPER SENIOR</v>
      </c>
      <c r="BC174" t="str">
        <v>Single</v>
      </c>
      <c r="BD174" t="str">
        <v>Stage</v>
      </c>
      <c r="BE174">
        <v>3</v>
      </c>
      <c r="BF174" t="str">
        <v>Individual</v>
      </c>
      <c r="BG174" t="str">
        <v>Individual</v>
      </c>
      <c r="BH174" t="str">
        <v>P</v>
      </c>
      <c r="BI174" t="str">
        <v>PUBLISHED</v>
      </c>
      <c r="BK174">
        <v>168</v>
      </c>
      <c r="BL174" t="str">
        <v>SS26</v>
      </c>
      <c r="BM174" t="str">
        <v>WEB DESIGNING</v>
      </c>
      <c r="BN174">
        <v>1</v>
      </c>
      <c r="BO174" t="str">
        <v>Single</v>
      </c>
      <c r="BP174" t="str">
        <v>Non-Stg</v>
      </c>
      <c r="BQ174" t="str">
        <v>SUPER SENIOR</v>
      </c>
      <c r="BR174" t="str">
        <v>D177</v>
      </c>
      <c r="BS174">
        <v>0</v>
      </c>
      <c r="BT174">
        <v>0</v>
      </c>
      <c r="BU174">
        <v>0</v>
      </c>
      <c r="BV174">
        <v>0</v>
      </c>
      <c r="BW174">
        <v>0</v>
      </c>
      <c r="BX174">
        <v>0</v>
      </c>
      <c r="BY174" t="str">
        <v>D108</v>
      </c>
      <c r="BZ174">
        <v>0</v>
      </c>
      <c r="CA174">
        <v>0</v>
      </c>
      <c r="CB174">
        <v>0</v>
      </c>
      <c r="CC174">
        <v>0</v>
      </c>
      <c r="CD174">
        <v>0</v>
      </c>
      <c r="CE174">
        <v>0</v>
      </c>
      <c r="CF174" t="str">
        <v>D124</v>
      </c>
      <c r="CG174">
        <v>0</v>
      </c>
      <c r="CH174">
        <v>0</v>
      </c>
      <c r="CI174">
        <v>0</v>
      </c>
      <c r="CJ174">
        <v>0</v>
      </c>
      <c r="CK174">
        <v>0</v>
      </c>
      <c r="CL174">
        <v>0</v>
      </c>
      <c r="CM174" t="str">
        <v>D101</v>
      </c>
      <c r="CN174">
        <v>0</v>
      </c>
      <c r="CO174">
        <v>0</v>
      </c>
      <c r="CP174">
        <v>0</v>
      </c>
      <c r="CQ174">
        <v>0</v>
      </c>
      <c r="CR174">
        <v>0</v>
      </c>
      <c r="CS174">
        <v>0</v>
      </c>
      <c r="CT174">
        <v>0</v>
      </c>
      <c r="CU174">
        <v>0</v>
      </c>
      <c r="CV174">
        <v>0</v>
      </c>
      <c r="CW174">
        <v>0</v>
      </c>
      <c r="CX174">
        <v>0</v>
      </c>
      <c r="CY174">
        <v>0</v>
      </c>
      <c r="CZ174">
        <v>0</v>
      </c>
      <c r="DA174">
        <v>0</v>
      </c>
      <c r="DB174">
        <v>0</v>
      </c>
      <c r="DC174">
        <v>0</v>
      </c>
      <c r="DD174">
        <v>0</v>
      </c>
      <c r="DE174">
        <v>0</v>
      </c>
      <c r="DF174">
        <v>0</v>
      </c>
      <c r="DG174">
        <v>0</v>
      </c>
      <c r="DH174">
        <v>0</v>
      </c>
      <c r="DI174">
        <v>0</v>
      </c>
      <c r="DJ174">
        <v>0</v>
      </c>
      <c r="DK174">
        <v>0</v>
      </c>
      <c r="DL174">
        <v>0</v>
      </c>
      <c r="DM174">
        <v>0</v>
      </c>
      <c r="DN174">
        <v>0</v>
      </c>
      <c r="DO174">
        <v>0</v>
      </c>
      <c r="DP174">
        <v>0</v>
      </c>
      <c r="DQ174">
        <v>0</v>
      </c>
      <c r="DR174">
        <v>0</v>
      </c>
      <c r="DS174">
        <v>0</v>
      </c>
      <c r="DT174">
        <v>0</v>
      </c>
      <c r="DU174">
        <v>0</v>
      </c>
      <c r="DV174">
        <v>0</v>
      </c>
      <c r="DW174">
        <v>0</v>
      </c>
      <c r="DX174">
        <v>0</v>
      </c>
      <c r="DY174">
        <v>0</v>
      </c>
      <c r="DZ174">
        <v>0</v>
      </c>
      <c r="EA174">
        <v>0</v>
      </c>
      <c r="EB174">
        <v>0</v>
      </c>
      <c r="EC174">
        <v>0</v>
      </c>
      <c r="ED174">
        <v>0</v>
      </c>
      <c r="EE174">
        <v>0</v>
      </c>
      <c r="EF174">
        <v>0</v>
      </c>
      <c r="EG174">
        <v>0</v>
      </c>
      <c r="EH174">
        <v>0</v>
      </c>
      <c r="EI174">
        <v>0</v>
      </c>
      <c r="EJ174">
        <v>0</v>
      </c>
      <c r="EK174">
        <v>0</v>
      </c>
      <c r="EL174">
        <v>0</v>
      </c>
      <c r="EM174">
        <v>0</v>
      </c>
      <c r="EN174">
        <v>0</v>
      </c>
      <c r="EO174">
        <v>0</v>
      </c>
      <c r="EP174">
        <v>0</v>
      </c>
      <c r="EQ174">
        <v>0</v>
      </c>
      <c r="ER174">
        <v>0</v>
      </c>
      <c r="ES174">
        <v>0</v>
      </c>
      <c r="ET174">
        <v>0</v>
      </c>
      <c r="EU174">
        <v>0</v>
      </c>
      <c r="EV174">
        <v>0</v>
      </c>
      <c r="EW174">
        <v>0</v>
      </c>
      <c r="EX174">
        <v>0</v>
      </c>
      <c r="EY174">
        <v>0</v>
      </c>
      <c r="EZ174">
        <v>0</v>
      </c>
      <c r="FA174">
        <v>0</v>
      </c>
      <c r="FB174">
        <v>0</v>
      </c>
      <c r="FC174">
        <v>0</v>
      </c>
      <c r="FD174">
        <v>0</v>
      </c>
      <c r="FE174">
        <v>0</v>
      </c>
      <c r="FF174">
        <v>0</v>
      </c>
      <c r="FG174">
        <v>0</v>
      </c>
      <c r="FH174">
        <v>0</v>
      </c>
      <c r="FI174">
        <v>0</v>
      </c>
      <c r="FJ174">
        <v>0</v>
      </c>
      <c r="FK174">
        <v>0</v>
      </c>
      <c r="FL174">
        <v>0</v>
      </c>
      <c r="FM174">
        <v>0</v>
      </c>
      <c r="FN174">
        <v>0</v>
      </c>
      <c r="FO174">
        <v>0</v>
      </c>
      <c r="FP174">
        <v>0</v>
      </c>
      <c r="FQ174">
        <v>0</v>
      </c>
      <c r="FR174">
        <v>0</v>
      </c>
      <c r="FS174">
        <v>0</v>
      </c>
      <c r="FT174">
        <v>0</v>
      </c>
      <c r="FU174">
        <v>0</v>
      </c>
      <c r="FV174">
        <v>0</v>
      </c>
      <c r="FW174">
        <v>0</v>
      </c>
      <c r="FX174">
        <v>0</v>
      </c>
      <c r="FY174">
        <v>0</v>
      </c>
      <c r="FZ174">
        <v>0</v>
      </c>
      <c r="GA174">
        <v>0</v>
      </c>
      <c r="GB174">
        <v>0</v>
      </c>
      <c r="GC174">
        <v>0</v>
      </c>
      <c r="GD174">
        <v>0</v>
      </c>
      <c r="GE174">
        <v>0</v>
      </c>
      <c r="GF174">
        <v>0</v>
      </c>
      <c r="GG174">
        <v>0</v>
      </c>
      <c r="GH174">
        <v>0</v>
      </c>
      <c r="GI174">
        <v>0</v>
      </c>
      <c r="GJ174">
        <v>0</v>
      </c>
      <c r="GK174">
        <v>0</v>
      </c>
      <c r="GL174">
        <v>0</v>
      </c>
      <c r="GM174">
        <v>0</v>
      </c>
      <c r="GN174">
        <v>0</v>
      </c>
      <c r="GO174">
        <v>0</v>
      </c>
      <c r="GP174">
        <v>0</v>
      </c>
      <c r="GQ174">
        <v>0</v>
      </c>
      <c r="GR174">
        <v>0</v>
      </c>
      <c r="GS174">
        <v>0</v>
      </c>
      <c r="GT174">
        <v>0</v>
      </c>
      <c r="GU174">
        <v>0</v>
      </c>
      <c r="GV174">
        <v>0</v>
      </c>
      <c r="GW174">
        <v>0</v>
      </c>
      <c r="GX174">
        <v>0</v>
      </c>
      <c r="GY174">
        <v>0</v>
      </c>
      <c r="GZ174">
        <v>0</v>
      </c>
      <c r="HA174">
        <v>0</v>
      </c>
      <c r="HB174">
        <v>0</v>
      </c>
      <c r="HC174">
        <v>0</v>
      </c>
      <c r="HD174">
        <v>0</v>
      </c>
      <c r="HE174">
        <v>0</v>
      </c>
      <c r="HF174">
        <v>0</v>
      </c>
      <c r="HG174">
        <v>0</v>
      </c>
      <c r="HH174">
        <v>0</v>
      </c>
      <c r="HI174">
        <v>0</v>
      </c>
      <c r="HJ174">
        <v>0</v>
      </c>
      <c r="HK174">
        <v>0</v>
      </c>
      <c r="HL174">
        <v>0</v>
      </c>
      <c r="HM174">
        <v>0</v>
      </c>
      <c r="HN174">
        <v>0</v>
      </c>
      <c r="HO174">
        <v>0</v>
      </c>
      <c r="HP174">
        <v>0</v>
      </c>
      <c r="HQ174">
        <v>0</v>
      </c>
      <c r="HR174">
        <v>0</v>
      </c>
      <c r="HS174">
        <v>0</v>
      </c>
      <c r="HT174">
        <v>0</v>
      </c>
      <c r="HU174">
        <v>0</v>
      </c>
      <c r="HV174">
        <v>0</v>
      </c>
      <c r="HW174">
        <v>0</v>
      </c>
      <c r="HX174">
        <v>0</v>
      </c>
      <c r="HY174">
        <v>0</v>
      </c>
      <c r="HZ174">
        <v>0</v>
      </c>
      <c r="IA174">
        <v>0</v>
      </c>
      <c r="IB174">
        <v>0</v>
      </c>
      <c r="IC174">
        <v>0</v>
      </c>
      <c r="ID174">
        <v>0</v>
      </c>
      <c r="IE174">
        <v>0</v>
      </c>
      <c r="IF174">
        <v>0</v>
      </c>
      <c r="IG174">
        <v>0</v>
      </c>
      <c r="IH174">
        <v>0</v>
      </c>
      <c r="II174">
        <v>0</v>
      </c>
      <c r="IJ174">
        <v>0</v>
      </c>
      <c r="IK174">
        <v>0</v>
      </c>
      <c r="IL174">
        <v>0</v>
      </c>
      <c r="IM174">
        <v>0</v>
      </c>
      <c r="IN174">
        <v>0</v>
      </c>
      <c r="IO174">
        <v>0</v>
      </c>
      <c r="IP174">
        <v>0</v>
      </c>
      <c r="IQ174">
        <v>0</v>
      </c>
      <c r="IR174">
        <v>0</v>
      </c>
      <c r="IS174">
        <v>0</v>
      </c>
      <c r="IT174">
        <v>0</v>
      </c>
      <c r="IU174">
        <v>0</v>
      </c>
      <c r="IV174">
        <v>0</v>
      </c>
      <c r="IW174">
        <v>0</v>
      </c>
      <c r="IX174">
        <v>0</v>
      </c>
      <c r="IY174">
        <v>0</v>
      </c>
      <c r="IZ174">
        <v>0</v>
      </c>
      <c r="JA174">
        <v>0</v>
      </c>
      <c r="JB174">
        <v>0</v>
      </c>
      <c r="JC174">
        <v>0</v>
      </c>
      <c r="JD174">
        <v>0</v>
      </c>
      <c r="JE174">
        <v>0</v>
      </c>
      <c r="JF174">
        <v>0</v>
      </c>
      <c r="JG174">
        <v>0</v>
      </c>
      <c r="JH174">
        <v>0</v>
      </c>
      <c r="JI174">
        <v>0</v>
      </c>
      <c r="JJ174">
        <v>0</v>
      </c>
      <c r="JK174">
        <v>0</v>
      </c>
      <c r="JL174">
        <v>0</v>
      </c>
      <c r="JM174">
        <v>0</v>
      </c>
      <c r="JN174">
        <v>0</v>
      </c>
      <c r="JO174">
        <v>0</v>
      </c>
      <c r="JP174">
        <v>0</v>
      </c>
      <c r="JQ174">
        <v>0</v>
      </c>
      <c r="JR174">
        <v>0</v>
      </c>
      <c r="JS174">
        <v>0</v>
      </c>
      <c r="JT174">
        <v>0</v>
      </c>
      <c r="JU174">
        <v>0</v>
      </c>
      <c r="JV174">
        <v>0</v>
      </c>
      <c r="JW174">
        <v>0</v>
      </c>
      <c r="JX174">
        <v>0</v>
      </c>
      <c r="JY174">
        <v>0</v>
      </c>
      <c r="JZ174">
        <v>0</v>
      </c>
      <c r="KA174">
        <v>0</v>
      </c>
      <c r="KB174">
        <v>0</v>
      </c>
      <c r="KC174">
        <v>0</v>
      </c>
      <c r="KD174">
        <v>0</v>
      </c>
      <c r="KE174">
        <v>0</v>
      </c>
      <c r="KF174">
        <v>0</v>
      </c>
      <c r="KG174">
        <v>0</v>
      </c>
      <c r="KH174">
        <v>0</v>
      </c>
      <c r="KI174">
        <v>0</v>
      </c>
      <c r="KJ174">
        <v>0</v>
      </c>
      <c r="KK174">
        <v>0</v>
      </c>
      <c r="KL174">
        <v>0</v>
      </c>
      <c r="KM174">
        <v>0</v>
      </c>
      <c r="KN174">
        <v>0</v>
      </c>
      <c r="KO174">
        <v>0</v>
      </c>
      <c r="KP174">
        <v>0</v>
      </c>
      <c r="KQ174">
        <v>0</v>
      </c>
      <c r="KR174">
        <v>0</v>
      </c>
      <c r="KS174">
        <v>0</v>
      </c>
      <c r="KT174">
        <v>0</v>
      </c>
      <c r="KU174">
        <v>0</v>
      </c>
      <c r="KV174">
        <v>0</v>
      </c>
      <c r="KW174">
        <v>0</v>
      </c>
      <c r="KX174">
        <v>0</v>
      </c>
      <c r="KY174">
        <v>0</v>
      </c>
      <c r="KZ174">
        <v>0</v>
      </c>
      <c r="LA174">
        <v>0</v>
      </c>
      <c r="LB174">
        <v>0</v>
      </c>
      <c r="LC174">
        <v>0</v>
      </c>
      <c r="LD174">
        <v>0</v>
      </c>
      <c r="LE174">
        <v>0</v>
      </c>
      <c r="LF174">
        <v>0</v>
      </c>
      <c r="LG174">
        <v>0</v>
      </c>
      <c r="LH174">
        <v>0</v>
      </c>
      <c r="LI174">
        <v>0</v>
      </c>
      <c r="LJ174">
        <v>0</v>
      </c>
      <c r="LK174">
        <v>0</v>
      </c>
      <c r="LL174">
        <v>0</v>
      </c>
      <c r="LM174">
        <v>0</v>
      </c>
      <c r="LN174">
        <v>0</v>
      </c>
      <c r="LO174">
        <v>0</v>
      </c>
      <c r="LP174">
        <v>0</v>
      </c>
      <c r="LQ174">
        <v>0</v>
      </c>
      <c r="LR174">
        <v>0</v>
      </c>
      <c r="LS174">
        <v>0</v>
      </c>
      <c r="LT174">
        <v>0</v>
      </c>
      <c r="LU174">
        <v>0</v>
      </c>
      <c r="LV174">
        <v>0</v>
      </c>
      <c r="LW174">
        <v>0</v>
      </c>
      <c r="LX174">
        <v>0</v>
      </c>
      <c r="LY174">
        <v>0</v>
      </c>
      <c r="LZ174">
        <v>0</v>
      </c>
      <c r="MA174">
        <v>0</v>
      </c>
      <c r="MB174">
        <v>0</v>
      </c>
      <c r="MC174">
        <v>0</v>
      </c>
      <c r="MD174">
        <v>0</v>
      </c>
      <c r="ME174">
        <v>0</v>
      </c>
      <c r="MF174">
        <v>0</v>
      </c>
      <c r="MG174">
        <v>0</v>
      </c>
      <c r="MH174">
        <v>0</v>
      </c>
      <c r="MI174">
        <v>0</v>
      </c>
      <c r="MJ174">
        <v>0</v>
      </c>
      <c r="MK174">
        <v>0</v>
      </c>
      <c r="ML174">
        <v>0</v>
      </c>
      <c r="MM174">
        <v>0</v>
      </c>
      <c r="MN174">
        <v>0</v>
      </c>
      <c r="MO174">
        <v>0</v>
      </c>
      <c r="MP174">
        <v>0</v>
      </c>
      <c r="MQ174">
        <v>0</v>
      </c>
      <c r="MR174">
        <v>0</v>
      </c>
      <c r="MS174">
        <v>0</v>
      </c>
      <c r="MT174">
        <v>0</v>
      </c>
      <c r="MU174">
        <v>0</v>
      </c>
      <c r="MV174">
        <v>0</v>
      </c>
      <c r="MW174">
        <v>0</v>
      </c>
      <c r="MX174">
        <v>0</v>
      </c>
      <c r="MY174">
        <v>0</v>
      </c>
      <c r="MZ174">
        <v>0</v>
      </c>
      <c r="NA174">
        <v>0</v>
      </c>
      <c r="NB174">
        <v>0</v>
      </c>
      <c r="NC174">
        <v>0</v>
      </c>
      <c r="ND174">
        <v>0</v>
      </c>
      <c r="NE174">
        <v>0</v>
      </c>
    </row>
    <row r="175" spans="41:369" x14ac:dyDescent="0.45">
      <c r="AO175" t="str">
        <v>C131</v>
      </c>
      <c r="AP175" t="str">
        <v>IBRAHIM AHRAZ</v>
      </c>
      <c r="AQ175" t="str">
        <v>FANT</v>
      </c>
      <c r="AR175" t="str">
        <v>SENIOR</v>
      </c>
      <c r="AS175">
        <v>6</v>
      </c>
      <c r="AT175">
        <v>6</v>
      </c>
      <c r="AU175">
        <v>0</v>
      </c>
      <c r="AV175">
        <v>6</v>
      </c>
      <c r="AW175">
        <v>6</v>
      </c>
      <c r="AX175">
        <v>171</v>
      </c>
      <c r="AY175" s="5">
        <v>171</v>
      </c>
      <c r="AZ175" t="str">
        <v>SS31</v>
      </c>
      <c r="BA175" t="str">
        <v>GD ENG</v>
      </c>
      <c r="BB175" t="str">
        <v>SUPER SENIOR</v>
      </c>
      <c r="BC175" t="str">
        <v>Single</v>
      </c>
      <c r="BD175" t="str">
        <v>Stage</v>
      </c>
      <c r="BE175">
        <v>3</v>
      </c>
      <c r="BF175" t="str">
        <v>Individual</v>
      </c>
      <c r="BG175" t="str">
        <v>Individual</v>
      </c>
      <c r="BH175" t="str">
        <v>P</v>
      </c>
      <c r="BI175" t="str">
        <v>PUBLISHED</v>
      </c>
      <c r="BK175">
        <v>169</v>
      </c>
      <c r="BL175" t="str">
        <v>SS27</v>
      </c>
      <c r="BM175" t="str">
        <v>ACADEMIC TALK ENG</v>
      </c>
      <c r="BN175">
        <v>3</v>
      </c>
      <c r="BO175" t="str">
        <v>Single</v>
      </c>
      <c r="BP175" t="str">
        <v>Stage</v>
      </c>
      <c r="BQ175" t="str">
        <v>SUPER SENIOR</v>
      </c>
      <c r="BR175" t="str">
        <v>D114</v>
      </c>
      <c r="BS175" t="str">
        <v>D133</v>
      </c>
      <c r="BT175" t="str">
        <v>D165</v>
      </c>
      <c r="BU175">
        <v>0</v>
      </c>
      <c r="BV175">
        <v>0</v>
      </c>
      <c r="BW175">
        <v>0</v>
      </c>
      <c r="BX175">
        <v>0</v>
      </c>
      <c r="BY175" t="str">
        <v>D108</v>
      </c>
      <c r="BZ175" t="str">
        <v>D150</v>
      </c>
      <c r="CA175" t="str">
        <v>D196</v>
      </c>
      <c r="CB175">
        <v>0</v>
      </c>
      <c r="CC175">
        <v>0</v>
      </c>
      <c r="CD175">
        <v>0</v>
      </c>
      <c r="CE175">
        <v>0</v>
      </c>
      <c r="CF175" t="str">
        <v>D110</v>
      </c>
      <c r="CG175" t="str">
        <v>D118</v>
      </c>
      <c r="CH175" t="str">
        <v>D145</v>
      </c>
      <c r="CI175">
        <v>0</v>
      </c>
      <c r="CJ175">
        <v>0</v>
      </c>
      <c r="CK175">
        <v>0</v>
      </c>
      <c r="CL175">
        <v>0</v>
      </c>
      <c r="CM175" t="str">
        <v>D123</v>
      </c>
      <c r="CN175" t="str">
        <v>D111</v>
      </c>
      <c r="CO175" t="str">
        <v>D144</v>
      </c>
      <c r="CP175">
        <v>0</v>
      </c>
      <c r="CQ175">
        <v>0</v>
      </c>
      <c r="CR175">
        <v>0</v>
      </c>
      <c r="CS175">
        <v>0</v>
      </c>
      <c r="CT175">
        <v>0</v>
      </c>
      <c r="CU175">
        <v>0</v>
      </c>
      <c r="CV175">
        <v>0</v>
      </c>
      <c r="CW175">
        <v>0</v>
      </c>
      <c r="CX175">
        <v>0</v>
      </c>
      <c r="CY175">
        <v>0</v>
      </c>
      <c r="CZ175">
        <v>0</v>
      </c>
      <c r="DA175">
        <v>0</v>
      </c>
      <c r="DB175">
        <v>0</v>
      </c>
      <c r="DC175">
        <v>0</v>
      </c>
      <c r="DD175">
        <v>0</v>
      </c>
      <c r="DE175">
        <v>0</v>
      </c>
      <c r="DF175">
        <v>0</v>
      </c>
      <c r="DG175">
        <v>0</v>
      </c>
      <c r="DH175">
        <v>0</v>
      </c>
      <c r="DI175">
        <v>0</v>
      </c>
      <c r="DJ175">
        <v>0</v>
      </c>
      <c r="DK175">
        <v>0</v>
      </c>
      <c r="DL175">
        <v>0</v>
      </c>
      <c r="DM175">
        <v>0</v>
      </c>
      <c r="DN175">
        <v>0</v>
      </c>
      <c r="DO175">
        <v>0</v>
      </c>
      <c r="DP175">
        <v>0</v>
      </c>
      <c r="DQ175">
        <v>0</v>
      </c>
      <c r="DR175">
        <v>0</v>
      </c>
      <c r="DS175">
        <v>0</v>
      </c>
      <c r="DT175">
        <v>0</v>
      </c>
      <c r="DU175">
        <v>0</v>
      </c>
      <c r="DV175">
        <v>0</v>
      </c>
      <c r="DW175">
        <v>0</v>
      </c>
      <c r="DX175">
        <v>0</v>
      </c>
      <c r="DY175">
        <v>0</v>
      </c>
      <c r="DZ175">
        <v>0</v>
      </c>
      <c r="EA175">
        <v>0</v>
      </c>
      <c r="EB175">
        <v>0</v>
      </c>
      <c r="EC175">
        <v>0</v>
      </c>
      <c r="ED175">
        <v>0</v>
      </c>
      <c r="EE175">
        <v>0</v>
      </c>
      <c r="EF175">
        <v>0</v>
      </c>
      <c r="EG175">
        <v>0</v>
      </c>
      <c r="EH175">
        <v>0</v>
      </c>
      <c r="EI175">
        <v>0</v>
      </c>
      <c r="EJ175">
        <v>0</v>
      </c>
      <c r="EK175">
        <v>0</v>
      </c>
      <c r="EL175">
        <v>0</v>
      </c>
      <c r="EM175">
        <v>0</v>
      </c>
      <c r="EN175">
        <v>0</v>
      </c>
      <c r="EO175">
        <v>0</v>
      </c>
      <c r="EP175">
        <v>0</v>
      </c>
      <c r="EQ175">
        <v>0</v>
      </c>
      <c r="ER175">
        <v>0</v>
      </c>
      <c r="ES175">
        <v>0</v>
      </c>
      <c r="ET175">
        <v>0</v>
      </c>
      <c r="EU175">
        <v>0</v>
      </c>
      <c r="EV175">
        <v>0</v>
      </c>
      <c r="EW175">
        <v>0</v>
      </c>
      <c r="EX175">
        <v>0</v>
      </c>
      <c r="EY175">
        <v>0</v>
      </c>
      <c r="EZ175">
        <v>0</v>
      </c>
      <c r="FA175">
        <v>0</v>
      </c>
      <c r="FB175">
        <v>0</v>
      </c>
      <c r="FC175">
        <v>0</v>
      </c>
      <c r="FD175">
        <v>0</v>
      </c>
      <c r="FE175">
        <v>0</v>
      </c>
      <c r="FF175">
        <v>0</v>
      </c>
      <c r="FG175">
        <v>0</v>
      </c>
      <c r="FH175">
        <v>0</v>
      </c>
      <c r="FI175">
        <v>0</v>
      </c>
      <c r="FJ175">
        <v>0</v>
      </c>
      <c r="FK175">
        <v>0</v>
      </c>
      <c r="FL175">
        <v>0</v>
      </c>
      <c r="FM175">
        <v>0</v>
      </c>
      <c r="FN175">
        <v>0</v>
      </c>
      <c r="FO175">
        <v>0</v>
      </c>
      <c r="FP175">
        <v>0</v>
      </c>
      <c r="FQ175">
        <v>0</v>
      </c>
      <c r="FR175">
        <v>0</v>
      </c>
      <c r="FS175">
        <v>0</v>
      </c>
      <c r="FT175">
        <v>0</v>
      </c>
      <c r="FU175">
        <v>0</v>
      </c>
      <c r="FV175">
        <v>0</v>
      </c>
      <c r="FW175">
        <v>0</v>
      </c>
      <c r="FX175">
        <v>0</v>
      </c>
      <c r="FY175">
        <v>0</v>
      </c>
      <c r="FZ175">
        <v>0</v>
      </c>
      <c r="GA175">
        <v>0</v>
      </c>
      <c r="GB175">
        <v>0</v>
      </c>
      <c r="GC175">
        <v>0</v>
      </c>
      <c r="GD175">
        <v>0</v>
      </c>
      <c r="GE175">
        <v>0</v>
      </c>
      <c r="GF175">
        <v>0</v>
      </c>
      <c r="GG175">
        <v>0</v>
      </c>
      <c r="GH175">
        <v>0</v>
      </c>
      <c r="GI175">
        <v>0</v>
      </c>
      <c r="GJ175">
        <v>0</v>
      </c>
      <c r="GK175">
        <v>0</v>
      </c>
      <c r="GL175">
        <v>0</v>
      </c>
      <c r="GM175">
        <v>0</v>
      </c>
      <c r="GN175">
        <v>0</v>
      </c>
      <c r="GO175">
        <v>0</v>
      </c>
      <c r="GP175">
        <v>0</v>
      </c>
      <c r="GQ175">
        <v>0</v>
      </c>
      <c r="GR175">
        <v>0</v>
      </c>
      <c r="GS175">
        <v>0</v>
      </c>
      <c r="GT175">
        <v>0</v>
      </c>
      <c r="GU175">
        <v>0</v>
      </c>
      <c r="GV175">
        <v>0</v>
      </c>
      <c r="GW175">
        <v>0</v>
      </c>
      <c r="GX175">
        <v>0</v>
      </c>
      <c r="GY175">
        <v>0</v>
      </c>
      <c r="GZ175">
        <v>0</v>
      </c>
      <c r="HA175">
        <v>0</v>
      </c>
      <c r="HB175">
        <v>0</v>
      </c>
      <c r="HC175">
        <v>0</v>
      </c>
      <c r="HD175">
        <v>0</v>
      </c>
      <c r="HE175">
        <v>0</v>
      </c>
      <c r="HF175">
        <v>0</v>
      </c>
      <c r="HG175">
        <v>0</v>
      </c>
      <c r="HH175">
        <v>0</v>
      </c>
      <c r="HI175">
        <v>0</v>
      </c>
      <c r="HJ175">
        <v>0</v>
      </c>
      <c r="HK175">
        <v>0</v>
      </c>
      <c r="HL175">
        <v>0</v>
      </c>
      <c r="HM175">
        <v>0</v>
      </c>
      <c r="HN175">
        <v>0</v>
      </c>
      <c r="HO175">
        <v>0</v>
      </c>
      <c r="HP175">
        <v>0</v>
      </c>
      <c r="HQ175">
        <v>0</v>
      </c>
      <c r="HR175">
        <v>0</v>
      </c>
      <c r="HS175">
        <v>0</v>
      </c>
      <c r="HT175">
        <v>0</v>
      </c>
      <c r="HU175">
        <v>0</v>
      </c>
      <c r="HV175">
        <v>0</v>
      </c>
      <c r="HW175">
        <v>0</v>
      </c>
      <c r="HX175">
        <v>0</v>
      </c>
      <c r="HY175">
        <v>0</v>
      </c>
      <c r="HZ175">
        <v>0</v>
      </c>
      <c r="IA175">
        <v>0</v>
      </c>
      <c r="IB175">
        <v>0</v>
      </c>
      <c r="IC175">
        <v>0</v>
      </c>
      <c r="ID175">
        <v>0</v>
      </c>
      <c r="IE175">
        <v>0</v>
      </c>
      <c r="IF175">
        <v>0</v>
      </c>
      <c r="IG175">
        <v>0</v>
      </c>
      <c r="IH175">
        <v>0</v>
      </c>
      <c r="II175">
        <v>0</v>
      </c>
      <c r="IJ175">
        <v>0</v>
      </c>
      <c r="IK175">
        <v>0</v>
      </c>
      <c r="IL175">
        <v>0</v>
      </c>
      <c r="IM175">
        <v>0</v>
      </c>
      <c r="IN175">
        <v>0</v>
      </c>
      <c r="IO175">
        <v>0</v>
      </c>
      <c r="IP175">
        <v>0</v>
      </c>
      <c r="IQ175">
        <v>0</v>
      </c>
      <c r="IR175">
        <v>0</v>
      </c>
      <c r="IS175">
        <v>0</v>
      </c>
      <c r="IT175">
        <v>0</v>
      </c>
      <c r="IU175">
        <v>0</v>
      </c>
      <c r="IV175">
        <v>0</v>
      </c>
      <c r="IW175">
        <v>0</v>
      </c>
      <c r="IX175">
        <v>0</v>
      </c>
      <c r="IY175">
        <v>0</v>
      </c>
      <c r="IZ175">
        <v>0</v>
      </c>
      <c r="JA175">
        <v>0</v>
      </c>
      <c r="JB175">
        <v>0</v>
      </c>
      <c r="JC175">
        <v>0</v>
      </c>
      <c r="JD175">
        <v>0</v>
      </c>
      <c r="JE175">
        <v>0</v>
      </c>
      <c r="JF175">
        <v>0</v>
      </c>
      <c r="JG175">
        <v>0</v>
      </c>
      <c r="JH175">
        <v>0</v>
      </c>
      <c r="JI175">
        <v>0</v>
      </c>
      <c r="JJ175">
        <v>0</v>
      </c>
      <c r="JK175">
        <v>0</v>
      </c>
      <c r="JL175">
        <v>0</v>
      </c>
      <c r="JM175">
        <v>0</v>
      </c>
      <c r="JN175">
        <v>0</v>
      </c>
      <c r="JO175">
        <v>0</v>
      </c>
      <c r="JP175">
        <v>0</v>
      </c>
      <c r="JQ175">
        <v>0</v>
      </c>
      <c r="JR175">
        <v>0</v>
      </c>
      <c r="JS175">
        <v>0</v>
      </c>
      <c r="JT175">
        <v>0</v>
      </c>
      <c r="JU175">
        <v>0</v>
      </c>
      <c r="JV175">
        <v>0</v>
      </c>
      <c r="JW175">
        <v>0</v>
      </c>
      <c r="JX175">
        <v>0</v>
      </c>
      <c r="JY175">
        <v>0</v>
      </c>
      <c r="JZ175">
        <v>0</v>
      </c>
      <c r="KA175">
        <v>0</v>
      </c>
      <c r="KB175">
        <v>0</v>
      </c>
      <c r="KC175">
        <v>0</v>
      </c>
      <c r="KD175">
        <v>0</v>
      </c>
      <c r="KE175">
        <v>0</v>
      </c>
      <c r="KF175">
        <v>0</v>
      </c>
      <c r="KG175">
        <v>0</v>
      </c>
      <c r="KH175">
        <v>0</v>
      </c>
      <c r="KI175">
        <v>0</v>
      </c>
      <c r="KJ175">
        <v>0</v>
      </c>
      <c r="KK175">
        <v>0</v>
      </c>
      <c r="KL175">
        <v>0</v>
      </c>
      <c r="KM175">
        <v>0</v>
      </c>
      <c r="KN175">
        <v>0</v>
      </c>
      <c r="KO175">
        <v>0</v>
      </c>
      <c r="KP175">
        <v>0</v>
      </c>
      <c r="KQ175">
        <v>0</v>
      </c>
      <c r="KR175">
        <v>0</v>
      </c>
      <c r="KS175">
        <v>0</v>
      </c>
      <c r="KT175">
        <v>0</v>
      </c>
      <c r="KU175">
        <v>0</v>
      </c>
      <c r="KV175">
        <v>0</v>
      </c>
      <c r="KW175">
        <v>0</v>
      </c>
      <c r="KX175">
        <v>0</v>
      </c>
      <c r="KY175">
        <v>0</v>
      </c>
      <c r="KZ175">
        <v>0</v>
      </c>
      <c r="LA175">
        <v>0</v>
      </c>
      <c r="LB175">
        <v>0</v>
      </c>
      <c r="LC175">
        <v>0</v>
      </c>
      <c r="LD175">
        <v>0</v>
      </c>
      <c r="LE175">
        <v>0</v>
      </c>
      <c r="LF175">
        <v>0</v>
      </c>
      <c r="LG175">
        <v>0</v>
      </c>
      <c r="LH175">
        <v>0</v>
      </c>
      <c r="LI175">
        <v>0</v>
      </c>
      <c r="LJ175">
        <v>0</v>
      </c>
      <c r="LK175">
        <v>0</v>
      </c>
      <c r="LL175">
        <v>0</v>
      </c>
      <c r="LM175">
        <v>0</v>
      </c>
      <c r="LN175">
        <v>0</v>
      </c>
      <c r="LO175">
        <v>0</v>
      </c>
      <c r="LP175">
        <v>0</v>
      </c>
      <c r="LQ175">
        <v>0</v>
      </c>
      <c r="LR175">
        <v>0</v>
      </c>
      <c r="LS175">
        <v>0</v>
      </c>
      <c r="LT175">
        <v>0</v>
      </c>
      <c r="LU175">
        <v>0</v>
      </c>
      <c r="LV175">
        <v>0</v>
      </c>
      <c r="LW175">
        <v>0</v>
      </c>
      <c r="LX175">
        <v>0</v>
      </c>
      <c r="LY175">
        <v>0</v>
      </c>
      <c r="LZ175">
        <v>0</v>
      </c>
      <c r="MA175">
        <v>0</v>
      </c>
      <c r="MB175">
        <v>0</v>
      </c>
      <c r="MC175">
        <v>0</v>
      </c>
      <c r="MD175">
        <v>0</v>
      </c>
      <c r="ME175">
        <v>0</v>
      </c>
      <c r="MF175">
        <v>0</v>
      </c>
      <c r="MG175">
        <v>0</v>
      </c>
      <c r="MH175">
        <v>0</v>
      </c>
      <c r="MI175">
        <v>0</v>
      </c>
      <c r="MJ175">
        <v>0</v>
      </c>
      <c r="MK175">
        <v>0</v>
      </c>
      <c r="ML175">
        <v>0</v>
      </c>
      <c r="MM175">
        <v>0</v>
      </c>
      <c r="MN175">
        <v>0</v>
      </c>
      <c r="MO175">
        <v>0</v>
      </c>
      <c r="MP175">
        <v>0</v>
      </c>
      <c r="MQ175">
        <v>0</v>
      </c>
      <c r="MR175">
        <v>0</v>
      </c>
      <c r="MS175">
        <v>0</v>
      </c>
      <c r="MT175">
        <v>0</v>
      </c>
      <c r="MU175">
        <v>0</v>
      </c>
      <c r="MV175">
        <v>0</v>
      </c>
      <c r="MW175">
        <v>0</v>
      </c>
      <c r="MX175">
        <v>0</v>
      </c>
      <c r="MY175">
        <v>0</v>
      </c>
      <c r="MZ175">
        <v>0</v>
      </c>
      <c r="NA175">
        <v>0</v>
      </c>
      <c r="NB175">
        <v>0</v>
      </c>
      <c r="NC175">
        <v>0</v>
      </c>
      <c r="ND175">
        <v>0</v>
      </c>
      <c r="NE175">
        <v>0</v>
      </c>
    </row>
    <row r="176" spans="41:369" x14ac:dyDescent="0.45">
      <c r="AO176" t="str">
        <v>C132</v>
      </c>
      <c r="AP176" t="str">
        <v>MUHAMMAD SHAZIN</v>
      </c>
      <c r="AQ176" t="str">
        <v>BADF</v>
      </c>
      <c r="AR176" t="str">
        <v>SENIOR</v>
      </c>
      <c r="AS176">
        <v>6</v>
      </c>
      <c r="AT176">
        <v>1</v>
      </c>
      <c r="AU176">
        <v>0</v>
      </c>
      <c r="AV176">
        <v>1</v>
      </c>
      <c r="AW176">
        <v>1</v>
      </c>
      <c r="AX176">
        <v>231</v>
      </c>
      <c r="AY176" s="5">
        <v>231</v>
      </c>
      <c r="AZ176" t="str">
        <v>SS32</v>
      </c>
      <c r="BA176" t="str">
        <v>GD URD</v>
      </c>
      <c r="BB176" t="str">
        <v>SUPER SENIOR</v>
      </c>
      <c r="BC176" t="str">
        <v>Single</v>
      </c>
      <c r="BD176" t="str">
        <v>Stage</v>
      </c>
      <c r="BE176">
        <v>3</v>
      </c>
      <c r="BF176" t="str">
        <v>Individual</v>
      </c>
      <c r="BG176" t="str">
        <v>Individual</v>
      </c>
      <c r="BH176" t="str">
        <v>P</v>
      </c>
      <c r="BI176" t="str">
        <v>PUBLISHED</v>
      </c>
      <c r="BK176">
        <v>170</v>
      </c>
      <c r="BL176" t="str">
        <v>SS28</v>
      </c>
      <c r="BM176" t="str">
        <v>ANNOUNCEMENT</v>
      </c>
      <c r="BN176">
        <v>3</v>
      </c>
      <c r="BO176" t="str">
        <v>Single</v>
      </c>
      <c r="BP176" t="str">
        <v>Stage</v>
      </c>
      <c r="BQ176" t="str">
        <v>SUPER SENIOR</v>
      </c>
      <c r="BR176" t="str">
        <v>D127</v>
      </c>
      <c r="BS176" t="str">
        <v>D171</v>
      </c>
      <c r="BT176" t="str">
        <v>D184</v>
      </c>
      <c r="BU176">
        <v>0</v>
      </c>
      <c r="BV176">
        <v>0</v>
      </c>
      <c r="BW176">
        <v>0</v>
      </c>
      <c r="BX176">
        <v>0</v>
      </c>
      <c r="BY176" t="str">
        <v>D115</v>
      </c>
      <c r="BZ176" t="str">
        <v>D181</v>
      </c>
      <c r="CA176" t="str">
        <v>D196</v>
      </c>
      <c r="CB176">
        <v>0</v>
      </c>
      <c r="CC176">
        <v>0</v>
      </c>
      <c r="CD176">
        <v>0</v>
      </c>
      <c r="CE176">
        <v>0</v>
      </c>
      <c r="CF176" t="str">
        <v>D126</v>
      </c>
      <c r="CG176" t="str">
        <v>D129</v>
      </c>
      <c r="CH176" t="str">
        <v>D173</v>
      </c>
      <c r="CI176">
        <v>0</v>
      </c>
      <c r="CJ176">
        <v>0</v>
      </c>
      <c r="CK176">
        <v>0</v>
      </c>
      <c r="CL176">
        <v>0</v>
      </c>
      <c r="CM176" t="str">
        <v>D113</v>
      </c>
      <c r="CN176" t="str">
        <v>D136</v>
      </c>
      <c r="CO176" t="str">
        <v>D170</v>
      </c>
      <c r="CP176">
        <v>0</v>
      </c>
      <c r="CQ176">
        <v>0</v>
      </c>
      <c r="CR176">
        <v>0</v>
      </c>
      <c r="CS176">
        <v>0</v>
      </c>
      <c r="CT176">
        <v>0</v>
      </c>
      <c r="CU176">
        <v>0</v>
      </c>
      <c r="CV176">
        <v>0</v>
      </c>
      <c r="CW176">
        <v>0</v>
      </c>
      <c r="CX176">
        <v>0</v>
      </c>
      <c r="CY176">
        <v>0</v>
      </c>
      <c r="CZ176">
        <v>0</v>
      </c>
      <c r="DA176">
        <v>0</v>
      </c>
      <c r="DB176">
        <v>0</v>
      </c>
      <c r="DC176">
        <v>0</v>
      </c>
      <c r="DD176">
        <v>0</v>
      </c>
      <c r="DE176">
        <v>0</v>
      </c>
      <c r="DF176">
        <v>0</v>
      </c>
      <c r="DG176">
        <v>0</v>
      </c>
      <c r="DH176">
        <v>0</v>
      </c>
      <c r="DI176">
        <v>0</v>
      </c>
      <c r="DJ176">
        <v>0</v>
      </c>
      <c r="DK176">
        <v>0</v>
      </c>
      <c r="DL176">
        <v>0</v>
      </c>
      <c r="DM176">
        <v>0</v>
      </c>
      <c r="DN176">
        <v>0</v>
      </c>
      <c r="DO176">
        <v>0</v>
      </c>
      <c r="DP176">
        <v>0</v>
      </c>
      <c r="DQ176">
        <v>0</v>
      </c>
      <c r="DR176">
        <v>0</v>
      </c>
      <c r="DS176">
        <v>0</v>
      </c>
      <c r="DT176">
        <v>0</v>
      </c>
      <c r="DU176">
        <v>0</v>
      </c>
      <c r="DV176">
        <v>0</v>
      </c>
      <c r="DW176">
        <v>0</v>
      </c>
      <c r="DX176">
        <v>0</v>
      </c>
      <c r="DY176">
        <v>0</v>
      </c>
      <c r="DZ176">
        <v>0</v>
      </c>
      <c r="EA176">
        <v>0</v>
      </c>
      <c r="EB176">
        <v>0</v>
      </c>
      <c r="EC176">
        <v>0</v>
      </c>
      <c r="ED176">
        <v>0</v>
      </c>
      <c r="EE176">
        <v>0</v>
      </c>
      <c r="EF176">
        <v>0</v>
      </c>
      <c r="EG176">
        <v>0</v>
      </c>
      <c r="EH176">
        <v>0</v>
      </c>
      <c r="EI176">
        <v>0</v>
      </c>
      <c r="EJ176">
        <v>0</v>
      </c>
      <c r="EK176">
        <v>0</v>
      </c>
      <c r="EL176">
        <v>0</v>
      </c>
      <c r="EM176">
        <v>0</v>
      </c>
      <c r="EN176">
        <v>0</v>
      </c>
      <c r="EO176">
        <v>0</v>
      </c>
      <c r="EP176">
        <v>0</v>
      </c>
      <c r="EQ176">
        <v>0</v>
      </c>
      <c r="ER176">
        <v>0</v>
      </c>
      <c r="ES176">
        <v>0</v>
      </c>
      <c r="ET176">
        <v>0</v>
      </c>
      <c r="EU176">
        <v>0</v>
      </c>
      <c r="EV176">
        <v>0</v>
      </c>
      <c r="EW176">
        <v>0</v>
      </c>
      <c r="EX176">
        <v>0</v>
      </c>
      <c r="EY176">
        <v>0</v>
      </c>
      <c r="EZ176">
        <v>0</v>
      </c>
      <c r="FA176">
        <v>0</v>
      </c>
      <c r="FB176">
        <v>0</v>
      </c>
      <c r="FC176">
        <v>0</v>
      </c>
      <c r="FD176">
        <v>0</v>
      </c>
      <c r="FE176">
        <v>0</v>
      </c>
      <c r="FF176">
        <v>0</v>
      </c>
      <c r="FG176">
        <v>0</v>
      </c>
      <c r="FH176">
        <v>0</v>
      </c>
      <c r="FI176">
        <v>0</v>
      </c>
      <c r="FJ176">
        <v>0</v>
      </c>
      <c r="FK176">
        <v>0</v>
      </c>
      <c r="FL176">
        <v>0</v>
      </c>
      <c r="FM176">
        <v>0</v>
      </c>
      <c r="FN176">
        <v>0</v>
      </c>
      <c r="FO176">
        <v>0</v>
      </c>
      <c r="FP176">
        <v>0</v>
      </c>
      <c r="FQ176">
        <v>0</v>
      </c>
      <c r="FR176">
        <v>0</v>
      </c>
      <c r="FS176">
        <v>0</v>
      </c>
      <c r="FT176">
        <v>0</v>
      </c>
      <c r="FU176">
        <v>0</v>
      </c>
      <c r="FV176">
        <v>0</v>
      </c>
      <c r="FW176">
        <v>0</v>
      </c>
      <c r="FX176">
        <v>0</v>
      </c>
      <c r="FY176">
        <v>0</v>
      </c>
      <c r="FZ176">
        <v>0</v>
      </c>
      <c r="GA176">
        <v>0</v>
      </c>
      <c r="GB176">
        <v>0</v>
      </c>
      <c r="GC176">
        <v>0</v>
      </c>
      <c r="GD176">
        <v>0</v>
      </c>
      <c r="GE176">
        <v>0</v>
      </c>
      <c r="GF176">
        <v>0</v>
      </c>
      <c r="GG176">
        <v>0</v>
      </c>
      <c r="GH176">
        <v>0</v>
      </c>
      <c r="GI176">
        <v>0</v>
      </c>
      <c r="GJ176">
        <v>0</v>
      </c>
      <c r="GK176">
        <v>0</v>
      </c>
      <c r="GL176">
        <v>0</v>
      </c>
      <c r="GM176">
        <v>0</v>
      </c>
      <c r="GN176">
        <v>0</v>
      </c>
      <c r="GO176">
        <v>0</v>
      </c>
      <c r="GP176">
        <v>0</v>
      </c>
      <c r="GQ176">
        <v>0</v>
      </c>
      <c r="GR176">
        <v>0</v>
      </c>
      <c r="GS176">
        <v>0</v>
      </c>
      <c r="GT176">
        <v>0</v>
      </c>
      <c r="GU176">
        <v>0</v>
      </c>
      <c r="GV176">
        <v>0</v>
      </c>
      <c r="GW176">
        <v>0</v>
      </c>
      <c r="GX176">
        <v>0</v>
      </c>
      <c r="GY176">
        <v>0</v>
      </c>
      <c r="GZ176">
        <v>0</v>
      </c>
      <c r="HA176">
        <v>0</v>
      </c>
      <c r="HB176">
        <v>0</v>
      </c>
      <c r="HC176">
        <v>0</v>
      </c>
      <c r="HD176">
        <v>0</v>
      </c>
      <c r="HE176">
        <v>0</v>
      </c>
      <c r="HF176">
        <v>0</v>
      </c>
      <c r="HG176">
        <v>0</v>
      </c>
      <c r="HH176">
        <v>0</v>
      </c>
      <c r="HI176">
        <v>0</v>
      </c>
      <c r="HJ176">
        <v>0</v>
      </c>
      <c r="HK176">
        <v>0</v>
      </c>
      <c r="HL176">
        <v>0</v>
      </c>
      <c r="HM176">
        <v>0</v>
      </c>
      <c r="HN176">
        <v>0</v>
      </c>
      <c r="HO176">
        <v>0</v>
      </c>
      <c r="HP176">
        <v>0</v>
      </c>
      <c r="HQ176">
        <v>0</v>
      </c>
      <c r="HR176">
        <v>0</v>
      </c>
      <c r="HS176">
        <v>0</v>
      </c>
      <c r="HT176">
        <v>0</v>
      </c>
      <c r="HU176">
        <v>0</v>
      </c>
      <c r="HV176">
        <v>0</v>
      </c>
      <c r="HW176">
        <v>0</v>
      </c>
      <c r="HX176">
        <v>0</v>
      </c>
      <c r="HY176">
        <v>0</v>
      </c>
      <c r="HZ176">
        <v>0</v>
      </c>
      <c r="IA176">
        <v>0</v>
      </c>
      <c r="IB176">
        <v>0</v>
      </c>
      <c r="IC176">
        <v>0</v>
      </c>
      <c r="ID176">
        <v>0</v>
      </c>
      <c r="IE176">
        <v>0</v>
      </c>
      <c r="IF176">
        <v>0</v>
      </c>
      <c r="IG176">
        <v>0</v>
      </c>
      <c r="IH176">
        <v>0</v>
      </c>
      <c r="II176">
        <v>0</v>
      </c>
      <c r="IJ176">
        <v>0</v>
      </c>
      <c r="IK176">
        <v>0</v>
      </c>
      <c r="IL176">
        <v>0</v>
      </c>
      <c r="IM176">
        <v>0</v>
      </c>
      <c r="IN176">
        <v>0</v>
      </c>
      <c r="IO176">
        <v>0</v>
      </c>
      <c r="IP176">
        <v>0</v>
      </c>
      <c r="IQ176">
        <v>0</v>
      </c>
      <c r="IR176">
        <v>0</v>
      </c>
      <c r="IS176">
        <v>0</v>
      </c>
      <c r="IT176">
        <v>0</v>
      </c>
      <c r="IU176">
        <v>0</v>
      </c>
      <c r="IV176">
        <v>0</v>
      </c>
      <c r="IW176">
        <v>0</v>
      </c>
      <c r="IX176">
        <v>0</v>
      </c>
      <c r="IY176">
        <v>0</v>
      </c>
      <c r="IZ176">
        <v>0</v>
      </c>
      <c r="JA176">
        <v>0</v>
      </c>
      <c r="JB176">
        <v>0</v>
      </c>
      <c r="JC176">
        <v>0</v>
      </c>
      <c r="JD176">
        <v>0</v>
      </c>
      <c r="JE176">
        <v>0</v>
      </c>
      <c r="JF176">
        <v>0</v>
      </c>
      <c r="JG176">
        <v>0</v>
      </c>
      <c r="JH176">
        <v>0</v>
      </c>
      <c r="JI176">
        <v>0</v>
      </c>
      <c r="JJ176">
        <v>0</v>
      </c>
      <c r="JK176">
        <v>0</v>
      </c>
      <c r="JL176">
        <v>0</v>
      </c>
      <c r="JM176">
        <v>0</v>
      </c>
      <c r="JN176">
        <v>0</v>
      </c>
      <c r="JO176">
        <v>0</v>
      </c>
      <c r="JP176">
        <v>0</v>
      </c>
      <c r="JQ176">
        <v>0</v>
      </c>
      <c r="JR176">
        <v>0</v>
      </c>
      <c r="JS176">
        <v>0</v>
      </c>
      <c r="JT176">
        <v>0</v>
      </c>
      <c r="JU176">
        <v>0</v>
      </c>
      <c r="JV176">
        <v>0</v>
      </c>
      <c r="JW176">
        <v>0</v>
      </c>
      <c r="JX176">
        <v>0</v>
      </c>
      <c r="JY176">
        <v>0</v>
      </c>
      <c r="JZ176">
        <v>0</v>
      </c>
      <c r="KA176">
        <v>0</v>
      </c>
      <c r="KB176">
        <v>0</v>
      </c>
      <c r="KC176">
        <v>0</v>
      </c>
      <c r="KD176">
        <v>0</v>
      </c>
      <c r="KE176">
        <v>0</v>
      </c>
      <c r="KF176">
        <v>0</v>
      </c>
      <c r="KG176">
        <v>0</v>
      </c>
      <c r="KH176">
        <v>0</v>
      </c>
      <c r="KI176">
        <v>0</v>
      </c>
      <c r="KJ176">
        <v>0</v>
      </c>
      <c r="KK176">
        <v>0</v>
      </c>
      <c r="KL176">
        <v>0</v>
      </c>
      <c r="KM176">
        <v>0</v>
      </c>
      <c r="KN176">
        <v>0</v>
      </c>
      <c r="KO176">
        <v>0</v>
      </c>
      <c r="KP176">
        <v>0</v>
      </c>
      <c r="KQ176">
        <v>0</v>
      </c>
      <c r="KR176">
        <v>0</v>
      </c>
      <c r="KS176">
        <v>0</v>
      </c>
      <c r="KT176">
        <v>0</v>
      </c>
      <c r="KU176">
        <v>0</v>
      </c>
      <c r="KV176">
        <v>0</v>
      </c>
      <c r="KW176">
        <v>0</v>
      </c>
      <c r="KX176">
        <v>0</v>
      </c>
      <c r="KY176">
        <v>0</v>
      </c>
      <c r="KZ176">
        <v>0</v>
      </c>
      <c r="LA176">
        <v>0</v>
      </c>
      <c r="LB176">
        <v>0</v>
      </c>
      <c r="LC176">
        <v>0</v>
      </c>
      <c r="LD176">
        <v>0</v>
      </c>
      <c r="LE176">
        <v>0</v>
      </c>
      <c r="LF176">
        <v>0</v>
      </c>
      <c r="LG176">
        <v>0</v>
      </c>
      <c r="LH176">
        <v>0</v>
      </c>
      <c r="LI176">
        <v>0</v>
      </c>
      <c r="LJ176">
        <v>0</v>
      </c>
      <c r="LK176">
        <v>0</v>
      </c>
      <c r="LL176">
        <v>0</v>
      </c>
      <c r="LM176">
        <v>0</v>
      </c>
      <c r="LN176">
        <v>0</v>
      </c>
      <c r="LO176">
        <v>0</v>
      </c>
      <c r="LP176">
        <v>0</v>
      </c>
      <c r="LQ176">
        <v>0</v>
      </c>
      <c r="LR176">
        <v>0</v>
      </c>
      <c r="LS176">
        <v>0</v>
      </c>
      <c r="LT176">
        <v>0</v>
      </c>
      <c r="LU176">
        <v>0</v>
      </c>
      <c r="LV176">
        <v>0</v>
      </c>
      <c r="LW176">
        <v>0</v>
      </c>
      <c r="LX176">
        <v>0</v>
      </c>
      <c r="LY176">
        <v>0</v>
      </c>
      <c r="LZ176">
        <v>0</v>
      </c>
      <c r="MA176">
        <v>0</v>
      </c>
      <c r="MB176">
        <v>0</v>
      </c>
      <c r="MC176">
        <v>0</v>
      </c>
      <c r="MD176">
        <v>0</v>
      </c>
      <c r="ME176">
        <v>0</v>
      </c>
      <c r="MF176">
        <v>0</v>
      </c>
      <c r="MG176">
        <v>0</v>
      </c>
      <c r="MH176">
        <v>0</v>
      </c>
      <c r="MI176">
        <v>0</v>
      </c>
      <c r="MJ176">
        <v>0</v>
      </c>
      <c r="MK176">
        <v>0</v>
      </c>
      <c r="ML176">
        <v>0</v>
      </c>
      <c r="MM176">
        <v>0</v>
      </c>
      <c r="MN176">
        <v>0</v>
      </c>
      <c r="MO176">
        <v>0</v>
      </c>
      <c r="MP176">
        <v>0</v>
      </c>
      <c r="MQ176">
        <v>0</v>
      </c>
      <c r="MR176">
        <v>0</v>
      </c>
      <c r="MS176">
        <v>0</v>
      </c>
      <c r="MT176">
        <v>0</v>
      </c>
      <c r="MU176">
        <v>0</v>
      </c>
      <c r="MV176">
        <v>0</v>
      </c>
      <c r="MW176">
        <v>0</v>
      </c>
      <c r="MX176">
        <v>0</v>
      </c>
      <c r="MY176">
        <v>0</v>
      </c>
      <c r="MZ176">
        <v>0</v>
      </c>
      <c r="NA176">
        <v>0</v>
      </c>
      <c r="NB176">
        <v>0</v>
      </c>
      <c r="NC176">
        <v>0</v>
      </c>
      <c r="ND176">
        <v>0</v>
      </c>
      <c r="NE176">
        <v>0</v>
      </c>
    </row>
    <row r="177" spans="41:369" x14ac:dyDescent="0.45">
      <c r="AO177" t="str">
        <v>C133</v>
      </c>
      <c r="AP177" t="str">
        <v>SALMANUL FARIS</v>
      </c>
      <c r="AQ177" t="str">
        <v>DAHF</v>
      </c>
      <c r="AR177" t="str">
        <v>SENIOR</v>
      </c>
      <c r="AS177">
        <v>6</v>
      </c>
      <c r="AT177">
        <v>51</v>
      </c>
      <c r="AU177">
        <v>0</v>
      </c>
      <c r="AV177">
        <v>51</v>
      </c>
      <c r="AW177">
        <v>51</v>
      </c>
      <c r="AX177">
        <v>13</v>
      </c>
      <c r="AY177" s="5">
        <v>13</v>
      </c>
      <c r="AZ177" t="str">
        <v>SS33</v>
      </c>
      <c r="BA177" t="str">
        <v>GENERAL SPEECH MLM</v>
      </c>
      <c r="BB177" t="str">
        <v>SUPER SENIOR</v>
      </c>
      <c r="BC177" t="str">
        <v>Single</v>
      </c>
      <c r="BD177" t="str">
        <v>Stage</v>
      </c>
      <c r="BE177">
        <v>3</v>
      </c>
      <c r="BF177" t="str">
        <v>Individual</v>
      </c>
      <c r="BG177" t="str">
        <v>Individual</v>
      </c>
      <c r="BH177" t="str">
        <v>P</v>
      </c>
      <c r="BI177" t="str">
        <v>PUBLISHED</v>
      </c>
      <c r="BK177">
        <v>171</v>
      </c>
      <c r="BL177" t="str">
        <v>SS29</v>
      </c>
      <c r="BM177" t="str">
        <v>DOCUMENTARY NARRATION ARB</v>
      </c>
      <c r="BN177">
        <v>2</v>
      </c>
      <c r="BO177" t="str">
        <v>Single</v>
      </c>
      <c r="BP177" t="str">
        <v>Stage</v>
      </c>
      <c r="BQ177" t="str">
        <v>SUPER SENIOR</v>
      </c>
      <c r="BR177" t="str">
        <v>D177</v>
      </c>
      <c r="BS177" t="str">
        <v>D180</v>
      </c>
      <c r="BT177">
        <v>0</v>
      </c>
      <c r="BU177">
        <v>0</v>
      </c>
      <c r="BV177">
        <v>0</v>
      </c>
      <c r="BW177">
        <v>0</v>
      </c>
      <c r="BX177">
        <v>0</v>
      </c>
      <c r="BY177" t="str">
        <v>D140</v>
      </c>
      <c r="BZ177" t="str">
        <v>D166</v>
      </c>
      <c r="CA177">
        <v>0</v>
      </c>
      <c r="CB177">
        <v>0</v>
      </c>
      <c r="CC177">
        <v>0</v>
      </c>
      <c r="CD177">
        <v>0</v>
      </c>
      <c r="CE177">
        <v>0</v>
      </c>
      <c r="CF177" t="str">
        <v>D110</v>
      </c>
      <c r="CG177" t="str">
        <v>D178</v>
      </c>
      <c r="CH177">
        <v>0</v>
      </c>
      <c r="CI177">
        <v>0</v>
      </c>
      <c r="CJ177">
        <v>0</v>
      </c>
      <c r="CK177">
        <v>0</v>
      </c>
      <c r="CL177">
        <v>0</v>
      </c>
      <c r="CM177" t="str">
        <v>D104</v>
      </c>
      <c r="CN177" t="str">
        <v>D149</v>
      </c>
      <c r="CO177">
        <v>0</v>
      </c>
      <c r="CP177">
        <v>0</v>
      </c>
      <c r="CQ177">
        <v>0</v>
      </c>
      <c r="CR177">
        <v>0</v>
      </c>
      <c r="CS177">
        <v>0</v>
      </c>
      <c r="CT177">
        <v>0</v>
      </c>
      <c r="CU177">
        <v>0</v>
      </c>
      <c r="CV177">
        <v>0</v>
      </c>
      <c r="CW177">
        <v>0</v>
      </c>
      <c r="CX177">
        <v>0</v>
      </c>
      <c r="CY177">
        <v>0</v>
      </c>
      <c r="CZ177">
        <v>0</v>
      </c>
      <c r="DA177">
        <v>0</v>
      </c>
      <c r="DB177">
        <v>0</v>
      </c>
      <c r="DC177">
        <v>0</v>
      </c>
      <c r="DD177">
        <v>0</v>
      </c>
      <c r="DE177">
        <v>0</v>
      </c>
      <c r="DF177">
        <v>0</v>
      </c>
      <c r="DG177">
        <v>0</v>
      </c>
      <c r="DH177">
        <v>0</v>
      </c>
      <c r="DI177">
        <v>0</v>
      </c>
      <c r="DJ177">
        <v>0</v>
      </c>
      <c r="DK177">
        <v>0</v>
      </c>
      <c r="DL177">
        <v>0</v>
      </c>
      <c r="DM177">
        <v>0</v>
      </c>
      <c r="DN177">
        <v>0</v>
      </c>
      <c r="DO177">
        <v>0</v>
      </c>
      <c r="DP177">
        <v>0</v>
      </c>
      <c r="DQ177">
        <v>0</v>
      </c>
      <c r="DR177">
        <v>0</v>
      </c>
      <c r="DS177">
        <v>0</v>
      </c>
      <c r="DT177">
        <v>0</v>
      </c>
      <c r="DU177">
        <v>0</v>
      </c>
      <c r="DV177">
        <v>0</v>
      </c>
      <c r="DW177">
        <v>0</v>
      </c>
      <c r="DX177">
        <v>0</v>
      </c>
      <c r="DY177">
        <v>0</v>
      </c>
      <c r="DZ177">
        <v>0</v>
      </c>
      <c r="EA177">
        <v>0</v>
      </c>
      <c r="EB177">
        <v>0</v>
      </c>
      <c r="EC177">
        <v>0</v>
      </c>
      <c r="ED177">
        <v>0</v>
      </c>
      <c r="EE177">
        <v>0</v>
      </c>
      <c r="EF177">
        <v>0</v>
      </c>
      <c r="EG177">
        <v>0</v>
      </c>
      <c r="EH177">
        <v>0</v>
      </c>
      <c r="EI177">
        <v>0</v>
      </c>
      <c r="EJ177">
        <v>0</v>
      </c>
      <c r="EK177">
        <v>0</v>
      </c>
      <c r="EL177">
        <v>0</v>
      </c>
      <c r="EM177">
        <v>0</v>
      </c>
      <c r="EN177">
        <v>0</v>
      </c>
      <c r="EO177">
        <v>0</v>
      </c>
      <c r="EP177">
        <v>0</v>
      </c>
      <c r="EQ177">
        <v>0</v>
      </c>
      <c r="ER177">
        <v>0</v>
      </c>
      <c r="ES177">
        <v>0</v>
      </c>
      <c r="ET177">
        <v>0</v>
      </c>
      <c r="EU177">
        <v>0</v>
      </c>
      <c r="EV177">
        <v>0</v>
      </c>
      <c r="EW177">
        <v>0</v>
      </c>
      <c r="EX177">
        <v>0</v>
      </c>
      <c r="EY177">
        <v>0</v>
      </c>
      <c r="EZ177">
        <v>0</v>
      </c>
      <c r="FA177">
        <v>0</v>
      </c>
      <c r="FB177">
        <v>0</v>
      </c>
      <c r="FC177">
        <v>0</v>
      </c>
      <c r="FD177">
        <v>0</v>
      </c>
      <c r="FE177">
        <v>0</v>
      </c>
      <c r="FF177">
        <v>0</v>
      </c>
      <c r="FG177">
        <v>0</v>
      </c>
      <c r="FH177">
        <v>0</v>
      </c>
      <c r="FI177">
        <v>0</v>
      </c>
      <c r="FJ177">
        <v>0</v>
      </c>
      <c r="FK177">
        <v>0</v>
      </c>
      <c r="FL177">
        <v>0</v>
      </c>
      <c r="FM177">
        <v>0</v>
      </c>
      <c r="FN177">
        <v>0</v>
      </c>
      <c r="FO177">
        <v>0</v>
      </c>
      <c r="FP177">
        <v>0</v>
      </c>
      <c r="FQ177">
        <v>0</v>
      </c>
      <c r="FR177">
        <v>0</v>
      </c>
      <c r="FS177">
        <v>0</v>
      </c>
      <c r="FT177">
        <v>0</v>
      </c>
      <c r="FU177">
        <v>0</v>
      </c>
      <c r="FV177">
        <v>0</v>
      </c>
      <c r="FW177">
        <v>0</v>
      </c>
      <c r="FX177">
        <v>0</v>
      </c>
      <c r="FY177">
        <v>0</v>
      </c>
      <c r="FZ177">
        <v>0</v>
      </c>
      <c r="GA177">
        <v>0</v>
      </c>
      <c r="GB177">
        <v>0</v>
      </c>
      <c r="GC177">
        <v>0</v>
      </c>
      <c r="GD177">
        <v>0</v>
      </c>
      <c r="GE177">
        <v>0</v>
      </c>
      <c r="GF177">
        <v>0</v>
      </c>
      <c r="GG177">
        <v>0</v>
      </c>
      <c r="GH177">
        <v>0</v>
      </c>
      <c r="GI177">
        <v>0</v>
      </c>
      <c r="GJ177">
        <v>0</v>
      </c>
      <c r="GK177">
        <v>0</v>
      </c>
      <c r="GL177">
        <v>0</v>
      </c>
      <c r="GM177">
        <v>0</v>
      </c>
      <c r="GN177">
        <v>0</v>
      </c>
      <c r="GO177">
        <v>0</v>
      </c>
      <c r="GP177">
        <v>0</v>
      </c>
      <c r="GQ177">
        <v>0</v>
      </c>
      <c r="GR177">
        <v>0</v>
      </c>
      <c r="GS177">
        <v>0</v>
      </c>
      <c r="GT177">
        <v>0</v>
      </c>
      <c r="GU177">
        <v>0</v>
      </c>
      <c r="GV177">
        <v>0</v>
      </c>
      <c r="GW177">
        <v>0</v>
      </c>
      <c r="GX177">
        <v>0</v>
      </c>
      <c r="GY177">
        <v>0</v>
      </c>
      <c r="GZ177">
        <v>0</v>
      </c>
      <c r="HA177">
        <v>0</v>
      </c>
      <c r="HB177">
        <v>0</v>
      </c>
      <c r="HC177">
        <v>0</v>
      </c>
      <c r="HD177">
        <v>0</v>
      </c>
      <c r="HE177">
        <v>0</v>
      </c>
      <c r="HF177">
        <v>0</v>
      </c>
      <c r="HG177">
        <v>0</v>
      </c>
      <c r="HH177">
        <v>0</v>
      </c>
      <c r="HI177">
        <v>0</v>
      </c>
      <c r="HJ177">
        <v>0</v>
      </c>
      <c r="HK177">
        <v>0</v>
      </c>
      <c r="HL177">
        <v>0</v>
      </c>
      <c r="HM177">
        <v>0</v>
      </c>
      <c r="HN177">
        <v>0</v>
      </c>
      <c r="HO177">
        <v>0</v>
      </c>
      <c r="HP177">
        <v>0</v>
      </c>
      <c r="HQ177">
        <v>0</v>
      </c>
      <c r="HR177">
        <v>0</v>
      </c>
      <c r="HS177">
        <v>0</v>
      </c>
      <c r="HT177">
        <v>0</v>
      </c>
      <c r="HU177">
        <v>0</v>
      </c>
      <c r="HV177">
        <v>0</v>
      </c>
      <c r="HW177">
        <v>0</v>
      </c>
      <c r="HX177">
        <v>0</v>
      </c>
      <c r="HY177">
        <v>0</v>
      </c>
      <c r="HZ177">
        <v>0</v>
      </c>
      <c r="IA177">
        <v>0</v>
      </c>
      <c r="IB177">
        <v>0</v>
      </c>
      <c r="IC177">
        <v>0</v>
      </c>
      <c r="ID177">
        <v>0</v>
      </c>
      <c r="IE177">
        <v>0</v>
      </c>
      <c r="IF177">
        <v>0</v>
      </c>
      <c r="IG177">
        <v>0</v>
      </c>
      <c r="IH177">
        <v>0</v>
      </c>
      <c r="II177">
        <v>0</v>
      </c>
      <c r="IJ177">
        <v>0</v>
      </c>
      <c r="IK177">
        <v>0</v>
      </c>
      <c r="IL177">
        <v>0</v>
      </c>
      <c r="IM177">
        <v>0</v>
      </c>
      <c r="IN177">
        <v>0</v>
      </c>
      <c r="IO177">
        <v>0</v>
      </c>
      <c r="IP177">
        <v>0</v>
      </c>
      <c r="IQ177">
        <v>0</v>
      </c>
      <c r="IR177">
        <v>0</v>
      </c>
      <c r="IS177">
        <v>0</v>
      </c>
      <c r="IT177">
        <v>0</v>
      </c>
      <c r="IU177">
        <v>0</v>
      </c>
      <c r="IV177">
        <v>0</v>
      </c>
      <c r="IW177">
        <v>0</v>
      </c>
      <c r="IX177">
        <v>0</v>
      </c>
      <c r="IY177">
        <v>0</v>
      </c>
      <c r="IZ177">
        <v>0</v>
      </c>
      <c r="JA177">
        <v>0</v>
      </c>
      <c r="JB177">
        <v>0</v>
      </c>
      <c r="JC177">
        <v>0</v>
      </c>
      <c r="JD177">
        <v>0</v>
      </c>
      <c r="JE177">
        <v>0</v>
      </c>
      <c r="JF177">
        <v>0</v>
      </c>
      <c r="JG177">
        <v>0</v>
      </c>
      <c r="JH177">
        <v>0</v>
      </c>
      <c r="JI177">
        <v>0</v>
      </c>
      <c r="JJ177">
        <v>0</v>
      </c>
      <c r="JK177">
        <v>0</v>
      </c>
      <c r="JL177">
        <v>0</v>
      </c>
      <c r="JM177">
        <v>0</v>
      </c>
      <c r="JN177">
        <v>0</v>
      </c>
      <c r="JO177">
        <v>0</v>
      </c>
      <c r="JP177">
        <v>0</v>
      </c>
      <c r="JQ177">
        <v>0</v>
      </c>
      <c r="JR177">
        <v>0</v>
      </c>
      <c r="JS177">
        <v>0</v>
      </c>
      <c r="JT177">
        <v>0</v>
      </c>
      <c r="JU177">
        <v>0</v>
      </c>
      <c r="JV177">
        <v>0</v>
      </c>
      <c r="JW177">
        <v>0</v>
      </c>
      <c r="JX177">
        <v>0</v>
      </c>
      <c r="JY177">
        <v>0</v>
      </c>
      <c r="JZ177">
        <v>0</v>
      </c>
      <c r="KA177">
        <v>0</v>
      </c>
      <c r="KB177">
        <v>0</v>
      </c>
      <c r="KC177">
        <v>0</v>
      </c>
      <c r="KD177">
        <v>0</v>
      </c>
      <c r="KE177">
        <v>0</v>
      </c>
      <c r="KF177">
        <v>0</v>
      </c>
      <c r="KG177">
        <v>0</v>
      </c>
      <c r="KH177">
        <v>0</v>
      </c>
      <c r="KI177">
        <v>0</v>
      </c>
      <c r="KJ177">
        <v>0</v>
      </c>
      <c r="KK177">
        <v>0</v>
      </c>
      <c r="KL177">
        <v>0</v>
      </c>
      <c r="KM177">
        <v>0</v>
      </c>
      <c r="KN177">
        <v>0</v>
      </c>
      <c r="KO177">
        <v>0</v>
      </c>
      <c r="KP177">
        <v>0</v>
      </c>
      <c r="KQ177">
        <v>0</v>
      </c>
      <c r="KR177">
        <v>0</v>
      </c>
      <c r="KS177">
        <v>0</v>
      </c>
      <c r="KT177">
        <v>0</v>
      </c>
      <c r="KU177">
        <v>0</v>
      </c>
      <c r="KV177">
        <v>0</v>
      </c>
      <c r="KW177">
        <v>0</v>
      </c>
      <c r="KX177">
        <v>0</v>
      </c>
      <c r="KY177">
        <v>0</v>
      </c>
      <c r="KZ177">
        <v>0</v>
      </c>
      <c r="LA177">
        <v>0</v>
      </c>
      <c r="LB177">
        <v>0</v>
      </c>
      <c r="LC177">
        <v>0</v>
      </c>
      <c r="LD177">
        <v>0</v>
      </c>
      <c r="LE177">
        <v>0</v>
      </c>
      <c r="LF177">
        <v>0</v>
      </c>
      <c r="LG177">
        <v>0</v>
      </c>
      <c r="LH177">
        <v>0</v>
      </c>
      <c r="LI177">
        <v>0</v>
      </c>
      <c r="LJ177">
        <v>0</v>
      </c>
      <c r="LK177">
        <v>0</v>
      </c>
      <c r="LL177">
        <v>0</v>
      </c>
      <c r="LM177">
        <v>0</v>
      </c>
      <c r="LN177">
        <v>0</v>
      </c>
      <c r="LO177">
        <v>0</v>
      </c>
      <c r="LP177">
        <v>0</v>
      </c>
      <c r="LQ177">
        <v>0</v>
      </c>
      <c r="LR177">
        <v>0</v>
      </c>
      <c r="LS177">
        <v>0</v>
      </c>
      <c r="LT177">
        <v>0</v>
      </c>
      <c r="LU177">
        <v>0</v>
      </c>
      <c r="LV177">
        <v>0</v>
      </c>
      <c r="LW177">
        <v>0</v>
      </c>
      <c r="LX177">
        <v>0</v>
      </c>
      <c r="LY177">
        <v>0</v>
      </c>
      <c r="LZ177">
        <v>0</v>
      </c>
      <c r="MA177">
        <v>0</v>
      </c>
      <c r="MB177">
        <v>0</v>
      </c>
      <c r="MC177">
        <v>0</v>
      </c>
      <c r="MD177">
        <v>0</v>
      </c>
      <c r="ME177">
        <v>0</v>
      </c>
      <c r="MF177">
        <v>0</v>
      </c>
      <c r="MG177">
        <v>0</v>
      </c>
      <c r="MH177">
        <v>0</v>
      </c>
      <c r="MI177">
        <v>0</v>
      </c>
      <c r="MJ177">
        <v>0</v>
      </c>
      <c r="MK177">
        <v>0</v>
      </c>
      <c r="ML177">
        <v>0</v>
      </c>
      <c r="MM177">
        <v>0</v>
      </c>
      <c r="MN177">
        <v>0</v>
      </c>
      <c r="MO177">
        <v>0</v>
      </c>
      <c r="MP177">
        <v>0</v>
      </c>
      <c r="MQ177">
        <v>0</v>
      </c>
      <c r="MR177">
        <v>0</v>
      </c>
      <c r="MS177">
        <v>0</v>
      </c>
      <c r="MT177">
        <v>0</v>
      </c>
      <c r="MU177">
        <v>0</v>
      </c>
      <c r="MV177">
        <v>0</v>
      </c>
      <c r="MW177">
        <v>0</v>
      </c>
      <c r="MX177">
        <v>0</v>
      </c>
      <c r="MY177">
        <v>0</v>
      </c>
      <c r="MZ177">
        <v>0</v>
      </c>
      <c r="NA177">
        <v>0</v>
      </c>
      <c r="NB177">
        <v>0</v>
      </c>
      <c r="NC177">
        <v>0</v>
      </c>
      <c r="ND177">
        <v>0</v>
      </c>
      <c r="NE177">
        <v>0</v>
      </c>
    </row>
    <row r="178" spans="41:369" x14ac:dyDescent="0.45">
      <c r="AO178" t="str">
        <v>C134</v>
      </c>
      <c r="AP178" t="str">
        <v>MUHAMMED ABDUL NASIF P.A</v>
      </c>
      <c r="AQ178" t="str">
        <v>FANT</v>
      </c>
      <c r="AR178" t="str">
        <v>SENIOR</v>
      </c>
      <c r="AS178">
        <v>6</v>
      </c>
      <c r="AT178">
        <v>0</v>
      </c>
      <c r="AU178">
        <v>0</v>
      </c>
      <c r="AV178">
        <v>0</v>
      </c>
      <c r="AW178">
        <v>0</v>
      </c>
      <c r="AX178">
        <v>255</v>
      </c>
      <c r="AY178" s="5">
        <v>255</v>
      </c>
      <c r="AZ178" t="str">
        <v>SS34</v>
      </c>
      <c r="BA178" t="str">
        <v>KAVIYARANG</v>
      </c>
      <c r="BB178" t="str">
        <v>SUPER SENIOR</v>
      </c>
      <c r="BC178" t="str">
        <v>Single</v>
      </c>
      <c r="BD178" t="str">
        <v>Stage</v>
      </c>
      <c r="BE178">
        <v>3</v>
      </c>
      <c r="BF178" t="str">
        <v>Individual</v>
      </c>
      <c r="BG178" t="str">
        <v>Individual</v>
      </c>
      <c r="BH178" t="str">
        <v>P</v>
      </c>
      <c r="BI178" t="str">
        <v>PUBLISHED</v>
      </c>
      <c r="BK178">
        <v>172</v>
      </c>
      <c r="BL178" t="str">
        <v>SS30</v>
      </c>
      <c r="BM178" t="str">
        <v>EXTEMPORE SPEECH ARB</v>
      </c>
      <c r="BN178">
        <v>3</v>
      </c>
      <c r="BO178" t="str">
        <v>Single</v>
      </c>
      <c r="BP178" t="str">
        <v>Stage</v>
      </c>
      <c r="BQ178" t="str">
        <v>SUPER SENIOR</v>
      </c>
      <c r="BR178" t="str">
        <v>D177</v>
      </c>
      <c r="BS178" t="str">
        <v>D142</v>
      </c>
      <c r="BT178" t="str">
        <v>D198</v>
      </c>
      <c r="BU178">
        <v>0</v>
      </c>
      <c r="BV178">
        <v>0</v>
      </c>
      <c r="BW178">
        <v>0</v>
      </c>
      <c r="BX178">
        <v>0</v>
      </c>
      <c r="BY178" t="str">
        <v>D106</v>
      </c>
      <c r="BZ178" t="str">
        <v>D107</v>
      </c>
      <c r="CA178" t="str">
        <v>D140</v>
      </c>
      <c r="CB178">
        <v>0</v>
      </c>
      <c r="CC178">
        <v>0</v>
      </c>
      <c r="CD178">
        <v>0</v>
      </c>
      <c r="CE178">
        <v>0</v>
      </c>
      <c r="CF178" t="str">
        <v>D119</v>
      </c>
      <c r="CG178" t="str">
        <v>D162</v>
      </c>
      <c r="CH178" t="str">
        <v>D178</v>
      </c>
      <c r="CI178">
        <v>0</v>
      </c>
      <c r="CJ178">
        <v>0</v>
      </c>
      <c r="CK178">
        <v>0</v>
      </c>
      <c r="CL178">
        <v>0</v>
      </c>
      <c r="CM178" t="str">
        <v>D104</v>
      </c>
      <c r="CN178" t="str">
        <v>D149</v>
      </c>
      <c r="CO178" t="str">
        <v>D193</v>
      </c>
      <c r="CP178">
        <v>0</v>
      </c>
      <c r="CQ178">
        <v>0</v>
      </c>
      <c r="CR178">
        <v>0</v>
      </c>
      <c r="CS178">
        <v>0</v>
      </c>
      <c r="CT178">
        <v>0</v>
      </c>
      <c r="CU178">
        <v>0</v>
      </c>
      <c r="CV178">
        <v>0</v>
      </c>
      <c r="CW178">
        <v>0</v>
      </c>
      <c r="CX178">
        <v>0</v>
      </c>
      <c r="CY178">
        <v>0</v>
      </c>
      <c r="CZ178">
        <v>0</v>
      </c>
      <c r="DA178">
        <v>0</v>
      </c>
      <c r="DB178">
        <v>0</v>
      </c>
      <c r="DC178">
        <v>0</v>
      </c>
      <c r="DD178">
        <v>0</v>
      </c>
      <c r="DE178">
        <v>0</v>
      </c>
      <c r="DF178">
        <v>0</v>
      </c>
      <c r="DG178">
        <v>0</v>
      </c>
      <c r="DH178">
        <v>0</v>
      </c>
      <c r="DI178">
        <v>0</v>
      </c>
      <c r="DJ178">
        <v>0</v>
      </c>
      <c r="DK178">
        <v>0</v>
      </c>
      <c r="DL178">
        <v>0</v>
      </c>
      <c r="DM178">
        <v>0</v>
      </c>
      <c r="DN178">
        <v>0</v>
      </c>
      <c r="DO178">
        <v>0</v>
      </c>
      <c r="DP178">
        <v>0</v>
      </c>
      <c r="DQ178">
        <v>0</v>
      </c>
      <c r="DR178">
        <v>0</v>
      </c>
      <c r="DS178">
        <v>0</v>
      </c>
      <c r="DT178">
        <v>0</v>
      </c>
      <c r="DU178">
        <v>0</v>
      </c>
      <c r="DV178">
        <v>0</v>
      </c>
      <c r="DW178">
        <v>0</v>
      </c>
      <c r="DX178">
        <v>0</v>
      </c>
      <c r="DY178">
        <v>0</v>
      </c>
      <c r="DZ178">
        <v>0</v>
      </c>
      <c r="EA178">
        <v>0</v>
      </c>
      <c r="EB178">
        <v>0</v>
      </c>
      <c r="EC178">
        <v>0</v>
      </c>
      <c r="ED178">
        <v>0</v>
      </c>
      <c r="EE178">
        <v>0</v>
      </c>
      <c r="EF178">
        <v>0</v>
      </c>
      <c r="EG178">
        <v>0</v>
      </c>
      <c r="EH178">
        <v>0</v>
      </c>
      <c r="EI178">
        <v>0</v>
      </c>
      <c r="EJ178">
        <v>0</v>
      </c>
      <c r="EK178">
        <v>0</v>
      </c>
      <c r="EL178">
        <v>0</v>
      </c>
      <c r="EM178">
        <v>0</v>
      </c>
      <c r="EN178">
        <v>0</v>
      </c>
      <c r="EO178">
        <v>0</v>
      </c>
      <c r="EP178">
        <v>0</v>
      </c>
      <c r="EQ178">
        <v>0</v>
      </c>
      <c r="ER178">
        <v>0</v>
      </c>
      <c r="ES178">
        <v>0</v>
      </c>
      <c r="ET178">
        <v>0</v>
      </c>
      <c r="EU178">
        <v>0</v>
      </c>
      <c r="EV178">
        <v>0</v>
      </c>
      <c r="EW178">
        <v>0</v>
      </c>
      <c r="EX178">
        <v>0</v>
      </c>
      <c r="EY178">
        <v>0</v>
      </c>
      <c r="EZ178">
        <v>0</v>
      </c>
      <c r="FA178">
        <v>0</v>
      </c>
      <c r="FB178">
        <v>0</v>
      </c>
      <c r="FC178">
        <v>0</v>
      </c>
      <c r="FD178">
        <v>0</v>
      </c>
      <c r="FE178">
        <v>0</v>
      </c>
      <c r="FF178">
        <v>0</v>
      </c>
      <c r="FG178">
        <v>0</v>
      </c>
      <c r="FH178">
        <v>0</v>
      </c>
      <c r="FI178">
        <v>0</v>
      </c>
      <c r="FJ178">
        <v>0</v>
      </c>
      <c r="FK178">
        <v>0</v>
      </c>
      <c r="FL178">
        <v>0</v>
      </c>
      <c r="FM178">
        <v>0</v>
      </c>
      <c r="FN178">
        <v>0</v>
      </c>
      <c r="FO178">
        <v>0</v>
      </c>
      <c r="FP178">
        <v>0</v>
      </c>
      <c r="FQ178">
        <v>0</v>
      </c>
      <c r="FR178">
        <v>0</v>
      </c>
      <c r="FS178">
        <v>0</v>
      </c>
      <c r="FT178">
        <v>0</v>
      </c>
      <c r="FU178">
        <v>0</v>
      </c>
      <c r="FV178">
        <v>0</v>
      </c>
      <c r="FW178">
        <v>0</v>
      </c>
      <c r="FX178">
        <v>0</v>
      </c>
      <c r="FY178">
        <v>0</v>
      </c>
      <c r="FZ178">
        <v>0</v>
      </c>
      <c r="GA178">
        <v>0</v>
      </c>
      <c r="GB178">
        <v>0</v>
      </c>
      <c r="GC178">
        <v>0</v>
      </c>
      <c r="GD178">
        <v>0</v>
      </c>
      <c r="GE178">
        <v>0</v>
      </c>
      <c r="GF178">
        <v>0</v>
      </c>
      <c r="GG178">
        <v>0</v>
      </c>
      <c r="GH178">
        <v>0</v>
      </c>
      <c r="GI178">
        <v>0</v>
      </c>
      <c r="GJ178">
        <v>0</v>
      </c>
      <c r="GK178">
        <v>0</v>
      </c>
      <c r="GL178">
        <v>0</v>
      </c>
      <c r="GM178">
        <v>0</v>
      </c>
      <c r="GN178">
        <v>0</v>
      </c>
      <c r="GO178">
        <v>0</v>
      </c>
      <c r="GP178">
        <v>0</v>
      </c>
      <c r="GQ178">
        <v>0</v>
      </c>
      <c r="GR178">
        <v>0</v>
      </c>
      <c r="GS178">
        <v>0</v>
      </c>
      <c r="GT178">
        <v>0</v>
      </c>
      <c r="GU178">
        <v>0</v>
      </c>
      <c r="GV178">
        <v>0</v>
      </c>
      <c r="GW178">
        <v>0</v>
      </c>
      <c r="GX178">
        <v>0</v>
      </c>
      <c r="GY178">
        <v>0</v>
      </c>
      <c r="GZ178">
        <v>0</v>
      </c>
      <c r="HA178">
        <v>0</v>
      </c>
      <c r="HB178">
        <v>0</v>
      </c>
      <c r="HC178">
        <v>0</v>
      </c>
      <c r="HD178">
        <v>0</v>
      </c>
      <c r="HE178">
        <v>0</v>
      </c>
      <c r="HF178">
        <v>0</v>
      </c>
      <c r="HG178">
        <v>0</v>
      </c>
      <c r="HH178">
        <v>0</v>
      </c>
      <c r="HI178">
        <v>0</v>
      </c>
      <c r="HJ178">
        <v>0</v>
      </c>
      <c r="HK178">
        <v>0</v>
      </c>
      <c r="HL178">
        <v>0</v>
      </c>
      <c r="HM178">
        <v>0</v>
      </c>
      <c r="HN178">
        <v>0</v>
      </c>
      <c r="HO178">
        <v>0</v>
      </c>
      <c r="HP178">
        <v>0</v>
      </c>
      <c r="HQ178">
        <v>0</v>
      </c>
      <c r="HR178">
        <v>0</v>
      </c>
      <c r="HS178">
        <v>0</v>
      </c>
      <c r="HT178">
        <v>0</v>
      </c>
      <c r="HU178">
        <v>0</v>
      </c>
      <c r="HV178">
        <v>0</v>
      </c>
      <c r="HW178">
        <v>0</v>
      </c>
      <c r="HX178">
        <v>0</v>
      </c>
      <c r="HY178">
        <v>0</v>
      </c>
      <c r="HZ178">
        <v>0</v>
      </c>
      <c r="IA178">
        <v>0</v>
      </c>
      <c r="IB178">
        <v>0</v>
      </c>
      <c r="IC178">
        <v>0</v>
      </c>
      <c r="ID178">
        <v>0</v>
      </c>
      <c r="IE178">
        <v>0</v>
      </c>
      <c r="IF178">
        <v>0</v>
      </c>
      <c r="IG178">
        <v>0</v>
      </c>
      <c r="IH178">
        <v>0</v>
      </c>
      <c r="II178">
        <v>0</v>
      </c>
      <c r="IJ178">
        <v>0</v>
      </c>
      <c r="IK178">
        <v>0</v>
      </c>
      <c r="IL178">
        <v>0</v>
      </c>
      <c r="IM178">
        <v>0</v>
      </c>
      <c r="IN178">
        <v>0</v>
      </c>
      <c r="IO178">
        <v>0</v>
      </c>
      <c r="IP178">
        <v>0</v>
      </c>
      <c r="IQ178">
        <v>0</v>
      </c>
      <c r="IR178">
        <v>0</v>
      </c>
      <c r="IS178">
        <v>0</v>
      </c>
      <c r="IT178">
        <v>0</v>
      </c>
      <c r="IU178">
        <v>0</v>
      </c>
      <c r="IV178">
        <v>0</v>
      </c>
      <c r="IW178">
        <v>0</v>
      </c>
      <c r="IX178">
        <v>0</v>
      </c>
      <c r="IY178">
        <v>0</v>
      </c>
      <c r="IZ178">
        <v>0</v>
      </c>
      <c r="JA178">
        <v>0</v>
      </c>
      <c r="JB178">
        <v>0</v>
      </c>
      <c r="JC178">
        <v>0</v>
      </c>
      <c r="JD178">
        <v>0</v>
      </c>
      <c r="JE178">
        <v>0</v>
      </c>
      <c r="JF178">
        <v>0</v>
      </c>
      <c r="JG178">
        <v>0</v>
      </c>
      <c r="JH178">
        <v>0</v>
      </c>
      <c r="JI178">
        <v>0</v>
      </c>
      <c r="JJ178">
        <v>0</v>
      </c>
      <c r="JK178">
        <v>0</v>
      </c>
      <c r="JL178">
        <v>0</v>
      </c>
      <c r="JM178">
        <v>0</v>
      </c>
      <c r="JN178">
        <v>0</v>
      </c>
      <c r="JO178">
        <v>0</v>
      </c>
      <c r="JP178">
        <v>0</v>
      </c>
      <c r="JQ178">
        <v>0</v>
      </c>
      <c r="JR178">
        <v>0</v>
      </c>
      <c r="JS178">
        <v>0</v>
      </c>
      <c r="JT178">
        <v>0</v>
      </c>
      <c r="JU178">
        <v>0</v>
      </c>
      <c r="JV178">
        <v>0</v>
      </c>
      <c r="JW178">
        <v>0</v>
      </c>
      <c r="JX178">
        <v>0</v>
      </c>
      <c r="JY178">
        <v>0</v>
      </c>
      <c r="JZ178">
        <v>0</v>
      </c>
      <c r="KA178">
        <v>0</v>
      </c>
      <c r="KB178">
        <v>0</v>
      </c>
      <c r="KC178">
        <v>0</v>
      </c>
      <c r="KD178">
        <v>0</v>
      </c>
      <c r="KE178">
        <v>0</v>
      </c>
      <c r="KF178">
        <v>0</v>
      </c>
      <c r="KG178">
        <v>0</v>
      </c>
      <c r="KH178">
        <v>0</v>
      </c>
      <c r="KI178">
        <v>0</v>
      </c>
      <c r="KJ178">
        <v>0</v>
      </c>
      <c r="KK178">
        <v>0</v>
      </c>
      <c r="KL178">
        <v>0</v>
      </c>
      <c r="KM178">
        <v>0</v>
      </c>
      <c r="KN178">
        <v>0</v>
      </c>
      <c r="KO178">
        <v>0</v>
      </c>
      <c r="KP178">
        <v>0</v>
      </c>
      <c r="KQ178">
        <v>0</v>
      </c>
      <c r="KR178">
        <v>0</v>
      </c>
      <c r="KS178">
        <v>0</v>
      </c>
      <c r="KT178">
        <v>0</v>
      </c>
      <c r="KU178">
        <v>0</v>
      </c>
      <c r="KV178">
        <v>0</v>
      </c>
      <c r="KW178">
        <v>0</v>
      </c>
      <c r="KX178">
        <v>0</v>
      </c>
      <c r="KY178">
        <v>0</v>
      </c>
      <c r="KZ178">
        <v>0</v>
      </c>
      <c r="LA178">
        <v>0</v>
      </c>
      <c r="LB178">
        <v>0</v>
      </c>
      <c r="LC178">
        <v>0</v>
      </c>
      <c r="LD178">
        <v>0</v>
      </c>
      <c r="LE178">
        <v>0</v>
      </c>
      <c r="LF178">
        <v>0</v>
      </c>
      <c r="LG178">
        <v>0</v>
      </c>
      <c r="LH178">
        <v>0</v>
      </c>
      <c r="LI178">
        <v>0</v>
      </c>
      <c r="LJ178">
        <v>0</v>
      </c>
      <c r="LK178">
        <v>0</v>
      </c>
      <c r="LL178">
        <v>0</v>
      </c>
      <c r="LM178">
        <v>0</v>
      </c>
      <c r="LN178">
        <v>0</v>
      </c>
      <c r="LO178">
        <v>0</v>
      </c>
      <c r="LP178">
        <v>0</v>
      </c>
      <c r="LQ178">
        <v>0</v>
      </c>
      <c r="LR178">
        <v>0</v>
      </c>
      <c r="LS178">
        <v>0</v>
      </c>
      <c r="LT178">
        <v>0</v>
      </c>
      <c r="LU178">
        <v>0</v>
      </c>
      <c r="LV178">
        <v>0</v>
      </c>
      <c r="LW178">
        <v>0</v>
      </c>
      <c r="LX178">
        <v>0</v>
      </c>
      <c r="LY178">
        <v>0</v>
      </c>
      <c r="LZ178">
        <v>0</v>
      </c>
      <c r="MA178">
        <v>0</v>
      </c>
      <c r="MB178">
        <v>0</v>
      </c>
      <c r="MC178">
        <v>0</v>
      </c>
      <c r="MD178">
        <v>0</v>
      </c>
      <c r="ME178">
        <v>0</v>
      </c>
      <c r="MF178">
        <v>0</v>
      </c>
      <c r="MG178">
        <v>0</v>
      </c>
      <c r="MH178">
        <v>0</v>
      </c>
      <c r="MI178">
        <v>0</v>
      </c>
      <c r="MJ178">
        <v>0</v>
      </c>
      <c r="MK178">
        <v>0</v>
      </c>
      <c r="ML178">
        <v>0</v>
      </c>
      <c r="MM178">
        <v>0</v>
      </c>
      <c r="MN178">
        <v>0</v>
      </c>
      <c r="MO178">
        <v>0</v>
      </c>
      <c r="MP178">
        <v>0</v>
      </c>
      <c r="MQ178">
        <v>0</v>
      </c>
      <c r="MR178">
        <v>0</v>
      </c>
      <c r="MS178">
        <v>0</v>
      </c>
      <c r="MT178">
        <v>0</v>
      </c>
      <c r="MU178">
        <v>0</v>
      </c>
      <c r="MV178">
        <v>0</v>
      </c>
      <c r="MW178">
        <v>0</v>
      </c>
      <c r="MX178">
        <v>0</v>
      </c>
      <c r="MY178">
        <v>0</v>
      </c>
      <c r="MZ178">
        <v>0</v>
      </c>
      <c r="NA178">
        <v>0</v>
      </c>
      <c r="NB178">
        <v>0</v>
      </c>
      <c r="NC178">
        <v>0</v>
      </c>
      <c r="ND178">
        <v>0</v>
      </c>
      <c r="NE178">
        <v>0</v>
      </c>
    </row>
    <row r="179" spans="41:369" x14ac:dyDescent="0.45">
      <c r="AO179" t="str">
        <v>C135</v>
      </c>
      <c r="AP179" t="str">
        <v>AHAMAD SHABAB P A</v>
      </c>
      <c r="AQ179" t="str">
        <v>JARF</v>
      </c>
      <c r="AR179" t="str">
        <v>SENIOR</v>
      </c>
      <c r="AS179">
        <v>6</v>
      </c>
      <c r="AT179">
        <v>73</v>
      </c>
      <c r="AU179">
        <v>0</v>
      </c>
      <c r="AV179">
        <v>73</v>
      </c>
      <c r="AW179">
        <v>73</v>
      </c>
      <c r="AX179">
        <v>2</v>
      </c>
      <c r="AY179" s="5">
        <v>2</v>
      </c>
      <c r="AZ179" t="str">
        <v>SS35</v>
      </c>
      <c r="BA179" t="str">
        <v>KHUṬBAH</v>
      </c>
      <c r="BB179" t="str">
        <v>SUPER SENIOR</v>
      </c>
      <c r="BC179" t="str">
        <v>Single</v>
      </c>
      <c r="BD179" t="str">
        <v>Stage</v>
      </c>
      <c r="BE179">
        <v>3</v>
      </c>
      <c r="BF179" t="str">
        <v>Individual</v>
      </c>
      <c r="BG179" t="str">
        <v>Individual</v>
      </c>
      <c r="BH179" t="str">
        <v>P</v>
      </c>
      <c r="BI179" t="str">
        <v>PUBLISHED</v>
      </c>
      <c r="BK179">
        <v>173</v>
      </c>
      <c r="BL179" t="str">
        <v>SS31</v>
      </c>
      <c r="BM179" t="str">
        <v>GD ENG</v>
      </c>
      <c r="BN179">
        <v>3</v>
      </c>
      <c r="BO179" t="str">
        <v>Single</v>
      </c>
      <c r="BP179" t="str">
        <v>Stage</v>
      </c>
      <c r="BQ179" t="str">
        <v>SUPER SENIOR</v>
      </c>
      <c r="BR179" t="str">
        <v>D132</v>
      </c>
      <c r="BS179" t="str">
        <v>D165</v>
      </c>
      <c r="BT179" t="str">
        <v>D177</v>
      </c>
      <c r="BU179">
        <v>0</v>
      </c>
      <c r="BV179">
        <v>0</v>
      </c>
      <c r="BW179">
        <v>0</v>
      </c>
      <c r="BX179">
        <v>0</v>
      </c>
      <c r="BY179" t="str">
        <v>D125</v>
      </c>
      <c r="BZ179" t="str">
        <v>D150</v>
      </c>
      <c r="CA179" t="str">
        <v>D108</v>
      </c>
      <c r="CB179">
        <v>0</v>
      </c>
      <c r="CC179">
        <v>0</v>
      </c>
      <c r="CD179">
        <v>0</v>
      </c>
      <c r="CE179">
        <v>0</v>
      </c>
      <c r="CF179" t="str">
        <v>D118</v>
      </c>
      <c r="CG179" t="str">
        <v>D109</v>
      </c>
      <c r="CH179" t="str">
        <v>D195</v>
      </c>
      <c r="CI179">
        <v>0</v>
      </c>
      <c r="CJ179">
        <v>0</v>
      </c>
      <c r="CK179">
        <v>0</v>
      </c>
      <c r="CL179">
        <v>0</v>
      </c>
      <c r="CM179" t="str">
        <v>D111</v>
      </c>
      <c r="CN179" t="str">
        <v>D116</v>
      </c>
      <c r="CO179" t="str">
        <v>D144</v>
      </c>
      <c r="CP179">
        <v>0</v>
      </c>
      <c r="CQ179">
        <v>0</v>
      </c>
      <c r="CR179">
        <v>0</v>
      </c>
      <c r="CS179">
        <v>0</v>
      </c>
      <c r="CT179">
        <v>0</v>
      </c>
      <c r="CU179">
        <v>0</v>
      </c>
      <c r="CV179">
        <v>0</v>
      </c>
      <c r="CW179">
        <v>0</v>
      </c>
      <c r="CX179">
        <v>0</v>
      </c>
      <c r="CY179">
        <v>0</v>
      </c>
      <c r="CZ179">
        <v>0</v>
      </c>
      <c r="DA179">
        <v>0</v>
      </c>
      <c r="DB179">
        <v>0</v>
      </c>
      <c r="DC179">
        <v>0</v>
      </c>
      <c r="DD179">
        <v>0</v>
      </c>
      <c r="DE179">
        <v>0</v>
      </c>
      <c r="DF179">
        <v>0</v>
      </c>
      <c r="DG179">
        <v>0</v>
      </c>
      <c r="DH179">
        <v>0</v>
      </c>
      <c r="DI179">
        <v>0</v>
      </c>
      <c r="DJ179">
        <v>0</v>
      </c>
      <c r="DK179">
        <v>0</v>
      </c>
      <c r="DL179">
        <v>0</v>
      </c>
      <c r="DM179">
        <v>0</v>
      </c>
      <c r="DN179">
        <v>0</v>
      </c>
      <c r="DO179">
        <v>0</v>
      </c>
      <c r="DP179">
        <v>0</v>
      </c>
      <c r="DQ179">
        <v>0</v>
      </c>
      <c r="DR179">
        <v>0</v>
      </c>
      <c r="DS179">
        <v>0</v>
      </c>
      <c r="DT179">
        <v>0</v>
      </c>
      <c r="DU179">
        <v>0</v>
      </c>
      <c r="DV179">
        <v>0</v>
      </c>
      <c r="DW179">
        <v>0</v>
      </c>
      <c r="DX179">
        <v>0</v>
      </c>
      <c r="DY179">
        <v>0</v>
      </c>
      <c r="DZ179">
        <v>0</v>
      </c>
      <c r="EA179">
        <v>0</v>
      </c>
      <c r="EB179">
        <v>0</v>
      </c>
      <c r="EC179">
        <v>0</v>
      </c>
      <c r="ED179">
        <v>0</v>
      </c>
      <c r="EE179">
        <v>0</v>
      </c>
      <c r="EF179">
        <v>0</v>
      </c>
      <c r="EG179">
        <v>0</v>
      </c>
      <c r="EH179">
        <v>0</v>
      </c>
      <c r="EI179">
        <v>0</v>
      </c>
      <c r="EJ179">
        <v>0</v>
      </c>
      <c r="EK179">
        <v>0</v>
      </c>
      <c r="EL179">
        <v>0</v>
      </c>
      <c r="EM179">
        <v>0</v>
      </c>
      <c r="EN179">
        <v>0</v>
      </c>
      <c r="EO179">
        <v>0</v>
      </c>
      <c r="EP179">
        <v>0</v>
      </c>
      <c r="EQ179">
        <v>0</v>
      </c>
      <c r="ER179">
        <v>0</v>
      </c>
      <c r="ES179">
        <v>0</v>
      </c>
      <c r="ET179">
        <v>0</v>
      </c>
      <c r="EU179">
        <v>0</v>
      </c>
      <c r="EV179">
        <v>0</v>
      </c>
      <c r="EW179">
        <v>0</v>
      </c>
      <c r="EX179">
        <v>0</v>
      </c>
      <c r="EY179">
        <v>0</v>
      </c>
      <c r="EZ179">
        <v>0</v>
      </c>
      <c r="FA179">
        <v>0</v>
      </c>
      <c r="FB179">
        <v>0</v>
      </c>
      <c r="FC179">
        <v>0</v>
      </c>
      <c r="FD179">
        <v>0</v>
      </c>
      <c r="FE179">
        <v>0</v>
      </c>
      <c r="FF179">
        <v>0</v>
      </c>
      <c r="FG179">
        <v>0</v>
      </c>
      <c r="FH179">
        <v>0</v>
      </c>
      <c r="FI179">
        <v>0</v>
      </c>
      <c r="FJ179">
        <v>0</v>
      </c>
      <c r="FK179">
        <v>0</v>
      </c>
      <c r="FL179">
        <v>0</v>
      </c>
      <c r="FM179">
        <v>0</v>
      </c>
      <c r="FN179">
        <v>0</v>
      </c>
      <c r="FO179">
        <v>0</v>
      </c>
      <c r="FP179">
        <v>0</v>
      </c>
      <c r="FQ179">
        <v>0</v>
      </c>
      <c r="FR179">
        <v>0</v>
      </c>
      <c r="FS179">
        <v>0</v>
      </c>
      <c r="FT179">
        <v>0</v>
      </c>
      <c r="FU179">
        <v>0</v>
      </c>
      <c r="FV179">
        <v>0</v>
      </c>
      <c r="FW179">
        <v>0</v>
      </c>
      <c r="FX179">
        <v>0</v>
      </c>
      <c r="FY179">
        <v>0</v>
      </c>
      <c r="FZ179">
        <v>0</v>
      </c>
      <c r="GA179">
        <v>0</v>
      </c>
      <c r="GB179">
        <v>0</v>
      </c>
      <c r="GC179">
        <v>0</v>
      </c>
      <c r="GD179">
        <v>0</v>
      </c>
      <c r="GE179">
        <v>0</v>
      </c>
      <c r="GF179">
        <v>0</v>
      </c>
      <c r="GG179">
        <v>0</v>
      </c>
      <c r="GH179">
        <v>0</v>
      </c>
      <c r="GI179">
        <v>0</v>
      </c>
      <c r="GJ179">
        <v>0</v>
      </c>
      <c r="GK179">
        <v>0</v>
      </c>
      <c r="GL179">
        <v>0</v>
      </c>
      <c r="GM179">
        <v>0</v>
      </c>
      <c r="GN179">
        <v>0</v>
      </c>
      <c r="GO179">
        <v>0</v>
      </c>
      <c r="GP179">
        <v>0</v>
      </c>
      <c r="GQ179">
        <v>0</v>
      </c>
      <c r="GR179">
        <v>0</v>
      </c>
      <c r="GS179">
        <v>0</v>
      </c>
      <c r="GT179">
        <v>0</v>
      </c>
      <c r="GU179">
        <v>0</v>
      </c>
      <c r="GV179">
        <v>0</v>
      </c>
      <c r="GW179">
        <v>0</v>
      </c>
      <c r="GX179">
        <v>0</v>
      </c>
      <c r="GY179">
        <v>0</v>
      </c>
      <c r="GZ179">
        <v>0</v>
      </c>
      <c r="HA179">
        <v>0</v>
      </c>
      <c r="HB179">
        <v>0</v>
      </c>
      <c r="HC179">
        <v>0</v>
      </c>
      <c r="HD179">
        <v>0</v>
      </c>
      <c r="HE179">
        <v>0</v>
      </c>
      <c r="HF179">
        <v>0</v>
      </c>
      <c r="HG179">
        <v>0</v>
      </c>
      <c r="HH179">
        <v>0</v>
      </c>
      <c r="HI179">
        <v>0</v>
      </c>
      <c r="HJ179">
        <v>0</v>
      </c>
      <c r="HK179">
        <v>0</v>
      </c>
      <c r="HL179">
        <v>0</v>
      </c>
      <c r="HM179">
        <v>0</v>
      </c>
      <c r="HN179">
        <v>0</v>
      </c>
      <c r="HO179">
        <v>0</v>
      </c>
      <c r="HP179">
        <v>0</v>
      </c>
      <c r="HQ179">
        <v>0</v>
      </c>
      <c r="HR179">
        <v>0</v>
      </c>
      <c r="HS179">
        <v>0</v>
      </c>
      <c r="HT179">
        <v>0</v>
      </c>
      <c r="HU179">
        <v>0</v>
      </c>
      <c r="HV179">
        <v>0</v>
      </c>
      <c r="HW179">
        <v>0</v>
      </c>
      <c r="HX179">
        <v>0</v>
      </c>
      <c r="HY179">
        <v>0</v>
      </c>
      <c r="HZ179">
        <v>0</v>
      </c>
      <c r="IA179">
        <v>0</v>
      </c>
      <c r="IB179">
        <v>0</v>
      </c>
      <c r="IC179">
        <v>0</v>
      </c>
      <c r="ID179">
        <v>0</v>
      </c>
      <c r="IE179">
        <v>0</v>
      </c>
      <c r="IF179">
        <v>0</v>
      </c>
      <c r="IG179">
        <v>0</v>
      </c>
      <c r="IH179">
        <v>0</v>
      </c>
      <c r="II179">
        <v>0</v>
      </c>
      <c r="IJ179">
        <v>0</v>
      </c>
      <c r="IK179">
        <v>0</v>
      </c>
      <c r="IL179">
        <v>0</v>
      </c>
      <c r="IM179">
        <v>0</v>
      </c>
      <c r="IN179">
        <v>0</v>
      </c>
      <c r="IO179">
        <v>0</v>
      </c>
      <c r="IP179">
        <v>0</v>
      </c>
      <c r="IQ179">
        <v>0</v>
      </c>
      <c r="IR179">
        <v>0</v>
      </c>
      <c r="IS179">
        <v>0</v>
      </c>
      <c r="IT179">
        <v>0</v>
      </c>
      <c r="IU179">
        <v>0</v>
      </c>
      <c r="IV179">
        <v>0</v>
      </c>
      <c r="IW179">
        <v>0</v>
      </c>
      <c r="IX179">
        <v>0</v>
      </c>
      <c r="IY179">
        <v>0</v>
      </c>
      <c r="IZ179">
        <v>0</v>
      </c>
      <c r="JA179">
        <v>0</v>
      </c>
      <c r="JB179">
        <v>0</v>
      </c>
      <c r="JC179">
        <v>0</v>
      </c>
      <c r="JD179">
        <v>0</v>
      </c>
      <c r="JE179">
        <v>0</v>
      </c>
      <c r="JF179">
        <v>0</v>
      </c>
      <c r="JG179">
        <v>0</v>
      </c>
      <c r="JH179">
        <v>0</v>
      </c>
      <c r="JI179">
        <v>0</v>
      </c>
      <c r="JJ179">
        <v>0</v>
      </c>
      <c r="JK179">
        <v>0</v>
      </c>
      <c r="JL179">
        <v>0</v>
      </c>
      <c r="JM179">
        <v>0</v>
      </c>
      <c r="JN179">
        <v>0</v>
      </c>
      <c r="JO179">
        <v>0</v>
      </c>
      <c r="JP179">
        <v>0</v>
      </c>
      <c r="JQ179">
        <v>0</v>
      </c>
      <c r="JR179">
        <v>0</v>
      </c>
      <c r="JS179">
        <v>0</v>
      </c>
      <c r="JT179">
        <v>0</v>
      </c>
      <c r="JU179">
        <v>0</v>
      </c>
      <c r="JV179">
        <v>0</v>
      </c>
      <c r="JW179">
        <v>0</v>
      </c>
      <c r="JX179">
        <v>0</v>
      </c>
      <c r="JY179">
        <v>0</v>
      </c>
      <c r="JZ179">
        <v>0</v>
      </c>
      <c r="KA179">
        <v>0</v>
      </c>
      <c r="KB179">
        <v>0</v>
      </c>
      <c r="KC179">
        <v>0</v>
      </c>
      <c r="KD179">
        <v>0</v>
      </c>
      <c r="KE179">
        <v>0</v>
      </c>
      <c r="KF179">
        <v>0</v>
      </c>
      <c r="KG179">
        <v>0</v>
      </c>
      <c r="KH179">
        <v>0</v>
      </c>
      <c r="KI179">
        <v>0</v>
      </c>
      <c r="KJ179">
        <v>0</v>
      </c>
      <c r="KK179">
        <v>0</v>
      </c>
      <c r="KL179">
        <v>0</v>
      </c>
      <c r="KM179">
        <v>0</v>
      </c>
      <c r="KN179">
        <v>0</v>
      </c>
      <c r="KO179">
        <v>0</v>
      </c>
      <c r="KP179">
        <v>0</v>
      </c>
      <c r="KQ179">
        <v>0</v>
      </c>
      <c r="KR179">
        <v>0</v>
      </c>
      <c r="KS179">
        <v>0</v>
      </c>
      <c r="KT179">
        <v>0</v>
      </c>
      <c r="KU179">
        <v>0</v>
      </c>
      <c r="KV179">
        <v>0</v>
      </c>
      <c r="KW179">
        <v>0</v>
      </c>
      <c r="KX179">
        <v>0</v>
      </c>
      <c r="KY179">
        <v>0</v>
      </c>
      <c r="KZ179">
        <v>0</v>
      </c>
      <c r="LA179">
        <v>0</v>
      </c>
      <c r="LB179">
        <v>0</v>
      </c>
      <c r="LC179">
        <v>0</v>
      </c>
      <c r="LD179">
        <v>0</v>
      </c>
      <c r="LE179">
        <v>0</v>
      </c>
      <c r="LF179">
        <v>0</v>
      </c>
      <c r="LG179">
        <v>0</v>
      </c>
      <c r="LH179">
        <v>0</v>
      </c>
      <c r="LI179">
        <v>0</v>
      </c>
      <c r="LJ179">
        <v>0</v>
      </c>
      <c r="LK179">
        <v>0</v>
      </c>
      <c r="LL179">
        <v>0</v>
      </c>
      <c r="LM179">
        <v>0</v>
      </c>
      <c r="LN179">
        <v>0</v>
      </c>
      <c r="LO179">
        <v>0</v>
      </c>
      <c r="LP179">
        <v>0</v>
      </c>
      <c r="LQ179">
        <v>0</v>
      </c>
      <c r="LR179">
        <v>0</v>
      </c>
      <c r="LS179">
        <v>0</v>
      </c>
      <c r="LT179">
        <v>0</v>
      </c>
      <c r="LU179">
        <v>0</v>
      </c>
      <c r="LV179">
        <v>0</v>
      </c>
      <c r="LW179">
        <v>0</v>
      </c>
      <c r="LX179">
        <v>0</v>
      </c>
      <c r="LY179">
        <v>0</v>
      </c>
      <c r="LZ179">
        <v>0</v>
      </c>
      <c r="MA179">
        <v>0</v>
      </c>
      <c r="MB179">
        <v>0</v>
      </c>
      <c r="MC179">
        <v>0</v>
      </c>
      <c r="MD179">
        <v>0</v>
      </c>
      <c r="ME179">
        <v>0</v>
      </c>
      <c r="MF179">
        <v>0</v>
      </c>
      <c r="MG179">
        <v>0</v>
      </c>
      <c r="MH179">
        <v>0</v>
      </c>
      <c r="MI179">
        <v>0</v>
      </c>
      <c r="MJ179">
        <v>0</v>
      </c>
      <c r="MK179">
        <v>0</v>
      </c>
      <c r="ML179">
        <v>0</v>
      </c>
      <c r="MM179">
        <v>0</v>
      </c>
      <c r="MN179">
        <v>0</v>
      </c>
      <c r="MO179">
        <v>0</v>
      </c>
      <c r="MP179">
        <v>0</v>
      </c>
      <c r="MQ179">
        <v>0</v>
      </c>
      <c r="MR179">
        <v>0</v>
      </c>
      <c r="MS179">
        <v>0</v>
      </c>
      <c r="MT179">
        <v>0</v>
      </c>
      <c r="MU179">
        <v>0</v>
      </c>
      <c r="MV179">
        <v>0</v>
      </c>
      <c r="MW179">
        <v>0</v>
      </c>
      <c r="MX179">
        <v>0</v>
      </c>
      <c r="MY179">
        <v>0</v>
      </c>
      <c r="MZ179">
        <v>0</v>
      </c>
      <c r="NA179">
        <v>0</v>
      </c>
      <c r="NB179">
        <v>0</v>
      </c>
      <c r="NC179">
        <v>0</v>
      </c>
      <c r="ND179">
        <v>0</v>
      </c>
      <c r="NE179">
        <v>0</v>
      </c>
    </row>
    <row r="180" spans="41:369" x14ac:dyDescent="0.45">
      <c r="AO180" t="str">
        <v>C136</v>
      </c>
      <c r="AP180" t="str">
        <v>MOHAMMED SHAKIR HUSSAIN K.Y</v>
      </c>
      <c r="AQ180" t="str">
        <v>DAHF</v>
      </c>
      <c r="AR180" t="str">
        <v>SENIOR</v>
      </c>
      <c r="AS180">
        <v>6</v>
      </c>
      <c r="AT180">
        <v>72</v>
      </c>
      <c r="AU180">
        <v>0</v>
      </c>
      <c r="AV180">
        <v>72</v>
      </c>
      <c r="AW180">
        <v>72</v>
      </c>
      <c r="AX180">
        <v>3</v>
      </c>
      <c r="AY180" s="5">
        <v>3</v>
      </c>
      <c r="AZ180" t="str">
        <v>SS36</v>
      </c>
      <c r="BA180" t="str">
        <v>MAPPILAPPATT</v>
      </c>
      <c r="BB180" t="str">
        <v>SUPER SENIOR</v>
      </c>
      <c r="BC180" t="str">
        <v>Single</v>
      </c>
      <c r="BD180" t="str">
        <v>Stage</v>
      </c>
      <c r="BE180">
        <v>2</v>
      </c>
      <c r="BF180" t="str">
        <v>Individual</v>
      </c>
      <c r="BG180" t="str">
        <v>Individual</v>
      </c>
      <c r="BH180" t="str">
        <v>P</v>
      </c>
      <c r="BI180" t="str">
        <v>PUBLISHED</v>
      </c>
      <c r="BK180">
        <v>174</v>
      </c>
      <c r="BL180" t="str">
        <v>SS32</v>
      </c>
      <c r="BM180" t="str">
        <v>GD URD</v>
      </c>
      <c r="BN180">
        <v>3</v>
      </c>
      <c r="BO180" t="str">
        <v>Single</v>
      </c>
      <c r="BP180" t="str">
        <v>Stage</v>
      </c>
      <c r="BQ180" t="str">
        <v>SUPER SENIOR</v>
      </c>
      <c r="BR180" t="str">
        <v>D112</v>
      </c>
      <c r="BS180" t="str">
        <v>D128</v>
      </c>
      <c r="BT180" t="str">
        <v>D147</v>
      </c>
      <c r="BU180">
        <v>0</v>
      </c>
      <c r="BV180">
        <v>0</v>
      </c>
      <c r="BW180">
        <v>0</v>
      </c>
      <c r="BX180">
        <v>0</v>
      </c>
      <c r="BY180" t="str">
        <v>D107</v>
      </c>
      <c r="BZ180" t="str">
        <v>D187</v>
      </c>
      <c r="CA180" t="str">
        <v>D102</v>
      </c>
      <c r="CB180">
        <v>0</v>
      </c>
      <c r="CC180">
        <v>0</v>
      </c>
      <c r="CD180">
        <v>0</v>
      </c>
      <c r="CE180">
        <v>0</v>
      </c>
      <c r="CF180" t="str">
        <v>D118</v>
      </c>
      <c r="CG180" t="str">
        <v>D126</v>
      </c>
      <c r="CH180" t="str">
        <v>D162</v>
      </c>
      <c r="CI180">
        <v>0</v>
      </c>
      <c r="CJ180">
        <v>0</v>
      </c>
      <c r="CK180">
        <v>0</v>
      </c>
      <c r="CL180">
        <v>0</v>
      </c>
      <c r="CM180" t="str">
        <v>D104</v>
      </c>
      <c r="CN180" t="str">
        <v>D111</v>
      </c>
      <c r="CO180" t="str">
        <v>D164</v>
      </c>
      <c r="CP180">
        <v>0</v>
      </c>
      <c r="CQ180">
        <v>0</v>
      </c>
      <c r="CR180">
        <v>0</v>
      </c>
      <c r="CS180">
        <v>0</v>
      </c>
      <c r="CT180">
        <v>0</v>
      </c>
      <c r="CU180">
        <v>0</v>
      </c>
      <c r="CV180">
        <v>0</v>
      </c>
      <c r="CW180">
        <v>0</v>
      </c>
      <c r="CX180">
        <v>0</v>
      </c>
      <c r="CY180">
        <v>0</v>
      </c>
      <c r="CZ180">
        <v>0</v>
      </c>
      <c r="DA180">
        <v>0</v>
      </c>
      <c r="DB180">
        <v>0</v>
      </c>
      <c r="DC180">
        <v>0</v>
      </c>
      <c r="DD180">
        <v>0</v>
      </c>
      <c r="DE180">
        <v>0</v>
      </c>
      <c r="DF180">
        <v>0</v>
      </c>
      <c r="DG180">
        <v>0</v>
      </c>
      <c r="DH180">
        <v>0</v>
      </c>
      <c r="DI180">
        <v>0</v>
      </c>
      <c r="DJ180">
        <v>0</v>
      </c>
      <c r="DK180">
        <v>0</v>
      </c>
      <c r="DL180">
        <v>0</v>
      </c>
      <c r="DM180">
        <v>0</v>
      </c>
      <c r="DN180">
        <v>0</v>
      </c>
      <c r="DO180">
        <v>0</v>
      </c>
      <c r="DP180">
        <v>0</v>
      </c>
      <c r="DQ180">
        <v>0</v>
      </c>
      <c r="DR180">
        <v>0</v>
      </c>
      <c r="DS180">
        <v>0</v>
      </c>
      <c r="DT180">
        <v>0</v>
      </c>
      <c r="DU180">
        <v>0</v>
      </c>
      <c r="DV180">
        <v>0</v>
      </c>
      <c r="DW180">
        <v>0</v>
      </c>
      <c r="DX180">
        <v>0</v>
      </c>
      <c r="DY180">
        <v>0</v>
      </c>
      <c r="DZ180">
        <v>0</v>
      </c>
      <c r="EA180">
        <v>0</v>
      </c>
      <c r="EB180">
        <v>0</v>
      </c>
      <c r="EC180">
        <v>0</v>
      </c>
      <c r="ED180">
        <v>0</v>
      </c>
      <c r="EE180">
        <v>0</v>
      </c>
      <c r="EF180">
        <v>0</v>
      </c>
      <c r="EG180">
        <v>0</v>
      </c>
      <c r="EH180">
        <v>0</v>
      </c>
      <c r="EI180">
        <v>0</v>
      </c>
      <c r="EJ180">
        <v>0</v>
      </c>
      <c r="EK180">
        <v>0</v>
      </c>
      <c r="EL180">
        <v>0</v>
      </c>
      <c r="EM180">
        <v>0</v>
      </c>
      <c r="EN180">
        <v>0</v>
      </c>
      <c r="EO180">
        <v>0</v>
      </c>
      <c r="EP180">
        <v>0</v>
      </c>
      <c r="EQ180">
        <v>0</v>
      </c>
      <c r="ER180">
        <v>0</v>
      </c>
      <c r="ES180">
        <v>0</v>
      </c>
      <c r="ET180">
        <v>0</v>
      </c>
      <c r="EU180">
        <v>0</v>
      </c>
      <c r="EV180">
        <v>0</v>
      </c>
      <c r="EW180">
        <v>0</v>
      </c>
      <c r="EX180">
        <v>0</v>
      </c>
      <c r="EY180">
        <v>0</v>
      </c>
      <c r="EZ180">
        <v>0</v>
      </c>
      <c r="FA180">
        <v>0</v>
      </c>
      <c r="FB180">
        <v>0</v>
      </c>
      <c r="FC180">
        <v>0</v>
      </c>
      <c r="FD180">
        <v>0</v>
      </c>
      <c r="FE180">
        <v>0</v>
      </c>
      <c r="FF180">
        <v>0</v>
      </c>
      <c r="FG180">
        <v>0</v>
      </c>
      <c r="FH180">
        <v>0</v>
      </c>
      <c r="FI180">
        <v>0</v>
      </c>
      <c r="FJ180">
        <v>0</v>
      </c>
      <c r="FK180">
        <v>0</v>
      </c>
      <c r="FL180">
        <v>0</v>
      </c>
      <c r="FM180">
        <v>0</v>
      </c>
      <c r="FN180">
        <v>0</v>
      </c>
      <c r="FO180">
        <v>0</v>
      </c>
      <c r="FP180">
        <v>0</v>
      </c>
      <c r="FQ180">
        <v>0</v>
      </c>
      <c r="FR180">
        <v>0</v>
      </c>
      <c r="FS180">
        <v>0</v>
      </c>
      <c r="FT180">
        <v>0</v>
      </c>
      <c r="FU180">
        <v>0</v>
      </c>
      <c r="FV180">
        <v>0</v>
      </c>
      <c r="FW180">
        <v>0</v>
      </c>
      <c r="FX180">
        <v>0</v>
      </c>
      <c r="FY180">
        <v>0</v>
      </c>
      <c r="FZ180">
        <v>0</v>
      </c>
      <c r="GA180">
        <v>0</v>
      </c>
      <c r="GB180">
        <v>0</v>
      </c>
      <c r="GC180">
        <v>0</v>
      </c>
      <c r="GD180">
        <v>0</v>
      </c>
      <c r="GE180">
        <v>0</v>
      </c>
      <c r="GF180">
        <v>0</v>
      </c>
      <c r="GG180">
        <v>0</v>
      </c>
      <c r="GH180">
        <v>0</v>
      </c>
      <c r="GI180">
        <v>0</v>
      </c>
      <c r="GJ180">
        <v>0</v>
      </c>
      <c r="GK180">
        <v>0</v>
      </c>
      <c r="GL180">
        <v>0</v>
      </c>
      <c r="GM180">
        <v>0</v>
      </c>
      <c r="GN180">
        <v>0</v>
      </c>
      <c r="GO180">
        <v>0</v>
      </c>
      <c r="GP180">
        <v>0</v>
      </c>
      <c r="GQ180">
        <v>0</v>
      </c>
      <c r="GR180">
        <v>0</v>
      </c>
      <c r="GS180">
        <v>0</v>
      </c>
      <c r="GT180">
        <v>0</v>
      </c>
      <c r="GU180">
        <v>0</v>
      </c>
      <c r="GV180">
        <v>0</v>
      </c>
      <c r="GW180">
        <v>0</v>
      </c>
      <c r="GX180">
        <v>0</v>
      </c>
      <c r="GY180">
        <v>0</v>
      </c>
      <c r="GZ180">
        <v>0</v>
      </c>
      <c r="HA180">
        <v>0</v>
      </c>
      <c r="HB180">
        <v>0</v>
      </c>
      <c r="HC180">
        <v>0</v>
      </c>
      <c r="HD180">
        <v>0</v>
      </c>
      <c r="HE180">
        <v>0</v>
      </c>
      <c r="HF180">
        <v>0</v>
      </c>
      <c r="HG180">
        <v>0</v>
      </c>
      <c r="HH180">
        <v>0</v>
      </c>
      <c r="HI180">
        <v>0</v>
      </c>
      <c r="HJ180">
        <v>0</v>
      </c>
      <c r="HK180">
        <v>0</v>
      </c>
      <c r="HL180">
        <v>0</v>
      </c>
      <c r="HM180">
        <v>0</v>
      </c>
      <c r="HN180">
        <v>0</v>
      </c>
      <c r="HO180">
        <v>0</v>
      </c>
      <c r="HP180">
        <v>0</v>
      </c>
      <c r="HQ180">
        <v>0</v>
      </c>
      <c r="HR180">
        <v>0</v>
      </c>
      <c r="HS180">
        <v>0</v>
      </c>
      <c r="HT180">
        <v>0</v>
      </c>
      <c r="HU180">
        <v>0</v>
      </c>
      <c r="HV180">
        <v>0</v>
      </c>
      <c r="HW180">
        <v>0</v>
      </c>
      <c r="HX180">
        <v>0</v>
      </c>
      <c r="HY180">
        <v>0</v>
      </c>
      <c r="HZ180">
        <v>0</v>
      </c>
      <c r="IA180">
        <v>0</v>
      </c>
      <c r="IB180">
        <v>0</v>
      </c>
      <c r="IC180">
        <v>0</v>
      </c>
      <c r="ID180">
        <v>0</v>
      </c>
      <c r="IE180">
        <v>0</v>
      </c>
      <c r="IF180">
        <v>0</v>
      </c>
      <c r="IG180">
        <v>0</v>
      </c>
      <c r="IH180">
        <v>0</v>
      </c>
      <c r="II180">
        <v>0</v>
      </c>
      <c r="IJ180">
        <v>0</v>
      </c>
      <c r="IK180">
        <v>0</v>
      </c>
      <c r="IL180">
        <v>0</v>
      </c>
      <c r="IM180">
        <v>0</v>
      </c>
      <c r="IN180">
        <v>0</v>
      </c>
      <c r="IO180">
        <v>0</v>
      </c>
      <c r="IP180">
        <v>0</v>
      </c>
      <c r="IQ180">
        <v>0</v>
      </c>
      <c r="IR180">
        <v>0</v>
      </c>
      <c r="IS180">
        <v>0</v>
      </c>
      <c r="IT180">
        <v>0</v>
      </c>
      <c r="IU180">
        <v>0</v>
      </c>
      <c r="IV180">
        <v>0</v>
      </c>
      <c r="IW180">
        <v>0</v>
      </c>
      <c r="IX180">
        <v>0</v>
      </c>
      <c r="IY180">
        <v>0</v>
      </c>
      <c r="IZ180">
        <v>0</v>
      </c>
      <c r="JA180">
        <v>0</v>
      </c>
      <c r="JB180">
        <v>0</v>
      </c>
      <c r="JC180">
        <v>0</v>
      </c>
      <c r="JD180">
        <v>0</v>
      </c>
      <c r="JE180">
        <v>0</v>
      </c>
      <c r="JF180">
        <v>0</v>
      </c>
      <c r="JG180">
        <v>0</v>
      </c>
      <c r="JH180">
        <v>0</v>
      </c>
      <c r="JI180">
        <v>0</v>
      </c>
      <c r="JJ180">
        <v>0</v>
      </c>
      <c r="JK180">
        <v>0</v>
      </c>
      <c r="JL180">
        <v>0</v>
      </c>
      <c r="JM180">
        <v>0</v>
      </c>
      <c r="JN180">
        <v>0</v>
      </c>
      <c r="JO180">
        <v>0</v>
      </c>
      <c r="JP180">
        <v>0</v>
      </c>
      <c r="JQ180">
        <v>0</v>
      </c>
      <c r="JR180">
        <v>0</v>
      </c>
      <c r="JS180">
        <v>0</v>
      </c>
      <c r="JT180">
        <v>0</v>
      </c>
      <c r="JU180">
        <v>0</v>
      </c>
      <c r="JV180">
        <v>0</v>
      </c>
      <c r="JW180">
        <v>0</v>
      </c>
      <c r="JX180">
        <v>0</v>
      </c>
      <c r="JY180">
        <v>0</v>
      </c>
      <c r="JZ180">
        <v>0</v>
      </c>
      <c r="KA180">
        <v>0</v>
      </c>
      <c r="KB180">
        <v>0</v>
      </c>
      <c r="KC180">
        <v>0</v>
      </c>
      <c r="KD180">
        <v>0</v>
      </c>
      <c r="KE180">
        <v>0</v>
      </c>
      <c r="KF180">
        <v>0</v>
      </c>
      <c r="KG180">
        <v>0</v>
      </c>
      <c r="KH180">
        <v>0</v>
      </c>
      <c r="KI180">
        <v>0</v>
      </c>
      <c r="KJ180">
        <v>0</v>
      </c>
      <c r="KK180">
        <v>0</v>
      </c>
      <c r="KL180">
        <v>0</v>
      </c>
      <c r="KM180">
        <v>0</v>
      </c>
      <c r="KN180">
        <v>0</v>
      </c>
      <c r="KO180">
        <v>0</v>
      </c>
      <c r="KP180">
        <v>0</v>
      </c>
      <c r="KQ180">
        <v>0</v>
      </c>
      <c r="KR180">
        <v>0</v>
      </c>
      <c r="KS180">
        <v>0</v>
      </c>
      <c r="KT180">
        <v>0</v>
      </c>
      <c r="KU180">
        <v>0</v>
      </c>
      <c r="KV180">
        <v>0</v>
      </c>
      <c r="KW180">
        <v>0</v>
      </c>
      <c r="KX180">
        <v>0</v>
      </c>
      <c r="KY180">
        <v>0</v>
      </c>
      <c r="KZ180">
        <v>0</v>
      </c>
      <c r="LA180">
        <v>0</v>
      </c>
      <c r="LB180">
        <v>0</v>
      </c>
      <c r="LC180">
        <v>0</v>
      </c>
      <c r="LD180">
        <v>0</v>
      </c>
      <c r="LE180">
        <v>0</v>
      </c>
      <c r="LF180">
        <v>0</v>
      </c>
      <c r="LG180">
        <v>0</v>
      </c>
      <c r="LH180">
        <v>0</v>
      </c>
      <c r="LI180">
        <v>0</v>
      </c>
      <c r="LJ180">
        <v>0</v>
      </c>
      <c r="LK180">
        <v>0</v>
      </c>
      <c r="LL180">
        <v>0</v>
      </c>
      <c r="LM180">
        <v>0</v>
      </c>
      <c r="LN180">
        <v>0</v>
      </c>
      <c r="LO180">
        <v>0</v>
      </c>
      <c r="LP180">
        <v>0</v>
      </c>
      <c r="LQ180">
        <v>0</v>
      </c>
      <c r="LR180">
        <v>0</v>
      </c>
      <c r="LS180">
        <v>0</v>
      </c>
      <c r="LT180">
        <v>0</v>
      </c>
      <c r="LU180">
        <v>0</v>
      </c>
      <c r="LV180">
        <v>0</v>
      </c>
      <c r="LW180">
        <v>0</v>
      </c>
      <c r="LX180">
        <v>0</v>
      </c>
      <c r="LY180">
        <v>0</v>
      </c>
      <c r="LZ180">
        <v>0</v>
      </c>
      <c r="MA180">
        <v>0</v>
      </c>
      <c r="MB180">
        <v>0</v>
      </c>
      <c r="MC180">
        <v>0</v>
      </c>
      <c r="MD180">
        <v>0</v>
      </c>
      <c r="ME180">
        <v>0</v>
      </c>
      <c r="MF180">
        <v>0</v>
      </c>
      <c r="MG180">
        <v>0</v>
      </c>
      <c r="MH180">
        <v>0</v>
      </c>
      <c r="MI180">
        <v>0</v>
      </c>
      <c r="MJ180">
        <v>0</v>
      </c>
      <c r="MK180">
        <v>0</v>
      </c>
      <c r="ML180">
        <v>0</v>
      </c>
      <c r="MM180">
        <v>0</v>
      </c>
      <c r="MN180">
        <v>0</v>
      </c>
      <c r="MO180">
        <v>0</v>
      </c>
      <c r="MP180">
        <v>0</v>
      </c>
      <c r="MQ180">
        <v>0</v>
      </c>
      <c r="MR180">
        <v>0</v>
      </c>
      <c r="MS180">
        <v>0</v>
      </c>
      <c r="MT180">
        <v>0</v>
      </c>
      <c r="MU180">
        <v>0</v>
      </c>
      <c r="MV180">
        <v>0</v>
      </c>
      <c r="MW180">
        <v>0</v>
      </c>
      <c r="MX180">
        <v>0</v>
      </c>
      <c r="MY180">
        <v>0</v>
      </c>
      <c r="MZ180">
        <v>0</v>
      </c>
      <c r="NA180">
        <v>0</v>
      </c>
      <c r="NB180">
        <v>0</v>
      </c>
      <c r="NC180">
        <v>0</v>
      </c>
      <c r="ND180">
        <v>0</v>
      </c>
      <c r="NE180">
        <v>0</v>
      </c>
    </row>
    <row r="181" spans="41:369" x14ac:dyDescent="0.45">
      <c r="AO181" t="str">
        <v>C137</v>
      </c>
      <c r="AP181" t="str">
        <v>MUHAMMED SHUHAIB S</v>
      </c>
      <c r="AQ181" t="str">
        <v>FANT</v>
      </c>
      <c r="AR181" t="str">
        <v>SENIOR</v>
      </c>
      <c r="AS181">
        <v>6</v>
      </c>
      <c r="AT181">
        <v>0</v>
      </c>
      <c r="AU181">
        <v>0</v>
      </c>
      <c r="AV181">
        <v>0</v>
      </c>
      <c r="AW181">
        <v>0</v>
      </c>
      <c r="AX181">
        <v>255</v>
      </c>
      <c r="AY181" s="5">
        <v>255</v>
      </c>
      <c r="AZ181" t="str">
        <v>SS37</v>
      </c>
      <c r="BA181" t="str">
        <v>MOCK INTERVIEW ENG</v>
      </c>
      <c r="BB181" t="str">
        <v>SUPER SENIOR</v>
      </c>
      <c r="BC181" t="str">
        <v>Single</v>
      </c>
      <c r="BD181" t="str">
        <v>Stage</v>
      </c>
      <c r="BE181">
        <v>2</v>
      </c>
      <c r="BF181" t="str">
        <v>Master</v>
      </c>
      <c r="BG181" t="str">
        <v>Master</v>
      </c>
      <c r="BH181" t="str">
        <v>P</v>
      </c>
      <c r="BI181" t="str">
        <v>PUBLISHED</v>
      </c>
      <c r="BK181">
        <v>175</v>
      </c>
      <c r="BL181" t="str">
        <v>SS33</v>
      </c>
      <c r="BM181" t="str">
        <v>GENERAL SPEECH MLM</v>
      </c>
      <c r="BN181">
        <v>3</v>
      </c>
      <c r="BO181" t="str">
        <v>Single</v>
      </c>
      <c r="BP181" t="str">
        <v>Stage</v>
      </c>
      <c r="BQ181" t="str">
        <v>SUPER SENIOR</v>
      </c>
      <c r="BR181" t="str">
        <v>D127</v>
      </c>
      <c r="BS181" t="str">
        <v>D168</v>
      </c>
      <c r="BT181" t="str">
        <v>D171</v>
      </c>
      <c r="BU181">
        <v>0</v>
      </c>
      <c r="BV181">
        <v>0</v>
      </c>
      <c r="BW181">
        <v>0</v>
      </c>
      <c r="BX181">
        <v>0</v>
      </c>
      <c r="BY181" t="str">
        <v>D146</v>
      </c>
      <c r="BZ181" t="str">
        <v>D183</v>
      </c>
      <c r="CA181" t="str">
        <v>D196</v>
      </c>
      <c r="CB181">
        <v>0</v>
      </c>
      <c r="CC181">
        <v>0</v>
      </c>
      <c r="CD181">
        <v>0</v>
      </c>
      <c r="CE181">
        <v>0</v>
      </c>
      <c r="CF181" t="str">
        <v>D129</v>
      </c>
      <c r="CG181" t="str">
        <v>D141</v>
      </c>
      <c r="CH181" t="str">
        <v>D195</v>
      </c>
      <c r="CI181">
        <v>0</v>
      </c>
      <c r="CJ181">
        <v>0</v>
      </c>
      <c r="CK181">
        <v>0</v>
      </c>
      <c r="CL181">
        <v>0</v>
      </c>
      <c r="CM181" t="str">
        <v>D151</v>
      </c>
      <c r="CN181" t="str">
        <v>D170</v>
      </c>
      <c r="CO181" t="str">
        <v>D194</v>
      </c>
      <c r="CP181">
        <v>0</v>
      </c>
      <c r="CQ181">
        <v>0</v>
      </c>
      <c r="CR181">
        <v>0</v>
      </c>
      <c r="CS181">
        <v>0</v>
      </c>
      <c r="CT181">
        <v>0</v>
      </c>
      <c r="CU181">
        <v>0</v>
      </c>
      <c r="CV181">
        <v>0</v>
      </c>
      <c r="CW181">
        <v>0</v>
      </c>
      <c r="CX181">
        <v>0</v>
      </c>
      <c r="CY181">
        <v>0</v>
      </c>
      <c r="CZ181">
        <v>0</v>
      </c>
      <c r="DA181">
        <v>0</v>
      </c>
      <c r="DB181">
        <v>0</v>
      </c>
      <c r="DC181">
        <v>0</v>
      </c>
      <c r="DD181">
        <v>0</v>
      </c>
      <c r="DE181">
        <v>0</v>
      </c>
      <c r="DF181">
        <v>0</v>
      </c>
      <c r="DG181">
        <v>0</v>
      </c>
      <c r="DH181">
        <v>0</v>
      </c>
      <c r="DI181">
        <v>0</v>
      </c>
      <c r="DJ181">
        <v>0</v>
      </c>
      <c r="DK181">
        <v>0</v>
      </c>
      <c r="DL181">
        <v>0</v>
      </c>
      <c r="DM181">
        <v>0</v>
      </c>
      <c r="DN181">
        <v>0</v>
      </c>
      <c r="DO181">
        <v>0</v>
      </c>
      <c r="DP181">
        <v>0</v>
      </c>
      <c r="DQ181">
        <v>0</v>
      </c>
      <c r="DR181">
        <v>0</v>
      </c>
      <c r="DS181">
        <v>0</v>
      </c>
      <c r="DT181">
        <v>0</v>
      </c>
      <c r="DU181">
        <v>0</v>
      </c>
      <c r="DV181">
        <v>0</v>
      </c>
      <c r="DW181">
        <v>0</v>
      </c>
      <c r="DX181">
        <v>0</v>
      </c>
      <c r="DY181">
        <v>0</v>
      </c>
      <c r="DZ181">
        <v>0</v>
      </c>
      <c r="EA181">
        <v>0</v>
      </c>
      <c r="EB181">
        <v>0</v>
      </c>
      <c r="EC181">
        <v>0</v>
      </c>
      <c r="ED181">
        <v>0</v>
      </c>
      <c r="EE181">
        <v>0</v>
      </c>
      <c r="EF181">
        <v>0</v>
      </c>
      <c r="EG181">
        <v>0</v>
      </c>
      <c r="EH181">
        <v>0</v>
      </c>
      <c r="EI181">
        <v>0</v>
      </c>
      <c r="EJ181">
        <v>0</v>
      </c>
      <c r="EK181">
        <v>0</v>
      </c>
      <c r="EL181">
        <v>0</v>
      </c>
      <c r="EM181">
        <v>0</v>
      </c>
      <c r="EN181">
        <v>0</v>
      </c>
      <c r="EO181">
        <v>0</v>
      </c>
      <c r="EP181">
        <v>0</v>
      </c>
      <c r="EQ181">
        <v>0</v>
      </c>
      <c r="ER181">
        <v>0</v>
      </c>
      <c r="ES181">
        <v>0</v>
      </c>
      <c r="ET181">
        <v>0</v>
      </c>
      <c r="EU181">
        <v>0</v>
      </c>
      <c r="EV181">
        <v>0</v>
      </c>
      <c r="EW181">
        <v>0</v>
      </c>
      <c r="EX181">
        <v>0</v>
      </c>
      <c r="EY181">
        <v>0</v>
      </c>
      <c r="EZ181">
        <v>0</v>
      </c>
      <c r="FA181">
        <v>0</v>
      </c>
      <c r="FB181">
        <v>0</v>
      </c>
      <c r="FC181">
        <v>0</v>
      </c>
      <c r="FD181">
        <v>0</v>
      </c>
      <c r="FE181">
        <v>0</v>
      </c>
      <c r="FF181">
        <v>0</v>
      </c>
      <c r="FG181">
        <v>0</v>
      </c>
      <c r="FH181">
        <v>0</v>
      </c>
      <c r="FI181">
        <v>0</v>
      </c>
      <c r="FJ181">
        <v>0</v>
      </c>
      <c r="FK181">
        <v>0</v>
      </c>
      <c r="FL181">
        <v>0</v>
      </c>
      <c r="FM181">
        <v>0</v>
      </c>
      <c r="FN181">
        <v>0</v>
      </c>
      <c r="FO181">
        <v>0</v>
      </c>
      <c r="FP181">
        <v>0</v>
      </c>
      <c r="FQ181">
        <v>0</v>
      </c>
      <c r="FR181">
        <v>0</v>
      </c>
      <c r="FS181">
        <v>0</v>
      </c>
      <c r="FT181">
        <v>0</v>
      </c>
      <c r="FU181">
        <v>0</v>
      </c>
      <c r="FV181">
        <v>0</v>
      </c>
      <c r="FW181">
        <v>0</v>
      </c>
      <c r="FX181">
        <v>0</v>
      </c>
      <c r="FY181">
        <v>0</v>
      </c>
      <c r="FZ181">
        <v>0</v>
      </c>
      <c r="GA181">
        <v>0</v>
      </c>
      <c r="GB181">
        <v>0</v>
      </c>
      <c r="GC181">
        <v>0</v>
      </c>
      <c r="GD181">
        <v>0</v>
      </c>
      <c r="GE181">
        <v>0</v>
      </c>
      <c r="GF181">
        <v>0</v>
      </c>
      <c r="GG181">
        <v>0</v>
      </c>
      <c r="GH181">
        <v>0</v>
      </c>
      <c r="GI181">
        <v>0</v>
      </c>
      <c r="GJ181">
        <v>0</v>
      </c>
      <c r="GK181">
        <v>0</v>
      </c>
      <c r="GL181">
        <v>0</v>
      </c>
      <c r="GM181">
        <v>0</v>
      </c>
      <c r="GN181">
        <v>0</v>
      </c>
      <c r="GO181">
        <v>0</v>
      </c>
      <c r="GP181">
        <v>0</v>
      </c>
      <c r="GQ181">
        <v>0</v>
      </c>
      <c r="GR181">
        <v>0</v>
      </c>
      <c r="GS181">
        <v>0</v>
      </c>
      <c r="GT181">
        <v>0</v>
      </c>
      <c r="GU181">
        <v>0</v>
      </c>
      <c r="GV181">
        <v>0</v>
      </c>
      <c r="GW181">
        <v>0</v>
      </c>
      <c r="GX181">
        <v>0</v>
      </c>
      <c r="GY181">
        <v>0</v>
      </c>
      <c r="GZ181">
        <v>0</v>
      </c>
      <c r="HA181">
        <v>0</v>
      </c>
      <c r="HB181">
        <v>0</v>
      </c>
      <c r="HC181">
        <v>0</v>
      </c>
      <c r="HD181">
        <v>0</v>
      </c>
      <c r="HE181">
        <v>0</v>
      </c>
      <c r="HF181">
        <v>0</v>
      </c>
      <c r="HG181">
        <v>0</v>
      </c>
      <c r="HH181">
        <v>0</v>
      </c>
      <c r="HI181">
        <v>0</v>
      </c>
      <c r="HJ181">
        <v>0</v>
      </c>
      <c r="HK181">
        <v>0</v>
      </c>
      <c r="HL181">
        <v>0</v>
      </c>
      <c r="HM181">
        <v>0</v>
      </c>
      <c r="HN181">
        <v>0</v>
      </c>
      <c r="HO181">
        <v>0</v>
      </c>
      <c r="HP181">
        <v>0</v>
      </c>
      <c r="HQ181">
        <v>0</v>
      </c>
      <c r="HR181">
        <v>0</v>
      </c>
      <c r="HS181">
        <v>0</v>
      </c>
      <c r="HT181">
        <v>0</v>
      </c>
      <c r="HU181">
        <v>0</v>
      </c>
      <c r="HV181">
        <v>0</v>
      </c>
      <c r="HW181">
        <v>0</v>
      </c>
      <c r="HX181">
        <v>0</v>
      </c>
      <c r="HY181">
        <v>0</v>
      </c>
      <c r="HZ181">
        <v>0</v>
      </c>
      <c r="IA181">
        <v>0</v>
      </c>
      <c r="IB181">
        <v>0</v>
      </c>
      <c r="IC181">
        <v>0</v>
      </c>
      <c r="ID181">
        <v>0</v>
      </c>
      <c r="IE181">
        <v>0</v>
      </c>
      <c r="IF181">
        <v>0</v>
      </c>
      <c r="IG181">
        <v>0</v>
      </c>
      <c r="IH181">
        <v>0</v>
      </c>
      <c r="II181">
        <v>0</v>
      </c>
      <c r="IJ181">
        <v>0</v>
      </c>
      <c r="IK181">
        <v>0</v>
      </c>
      <c r="IL181">
        <v>0</v>
      </c>
      <c r="IM181">
        <v>0</v>
      </c>
      <c r="IN181">
        <v>0</v>
      </c>
      <c r="IO181">
        <v>0</v>
      </c>
      <c r="IP181">
        <v>0</v>
      </c>
      <c r="IQ181">
        <v>0</v>
      </c>
      <c r="IR181">
        <v>0</v>
      </c>
      <c r="IS181">
        <v>0</v>
      </c>
      <c r="IT181">
        <v>0</v>
      </c>
      <c r="IU181">
        <v>0</v>
      </c>
      <c r="IV181">
        <v>0</v>
      </c>
      <c r="IW181">
        <v>0</v>
      </c>
      <c r="IX181">
        <v>0</v>
      </c>
      <c r="IY181">
        <v>0</v>
      </c>
      <c r="IZ181">
        <v>0</v>
      </c>
      <c r="JA181">
        <v>0</v>
      </c>
      <c r="JB181">
        <v>0</v>
      </c>
      <c r="JC181">
        <v>0</v>
      </c>
      <c r="JD181">
        <v>0</v>
      </c>
      <c r="JE181">
        <v>0</v>
      </c>
      <c r="JF181">
        <v>0</v>
      </c>
      <c r="JG181">
        <v>0</v>
      </c>
      <c r="JH181">
        <v>0</v>
      </c>
      <c r="JI181">
        <v>0</v>
      </c>
      <c r="JJ181">
        <v>0</v>
      </c>
      <c r="JK181">
        <v>0</v>
      </c>
      <c r="JL181">
        <v>0</v>
      </c>
      <c r="JM181">
        <v>0</v>
      </c>
      <c r="JN181">
        <v>0</v>
      </c>
      <c r="JO181">
        <v>0</v>
      </c>
      <c r="JP181">
        <v>0</v>
      </c>
      <c r="JQ181">
        <v>0</v>
      </c>
      <c r="JR181">
        <v>0</v>
      </c>
      <c r="JS181">
        <v>0</v>
      </c>
      <c r="JT181">
        <v>0</v>
      </c>
      <c r="JU181">
        <v>0</v>
      </c>
      <c r="JV181">
        <v>0</v>
      </c>
      <c r="JW181">
        <v>0</v>
      </c>
      <c r="JX181">
        <v>0</v>
      </c>
      <c r="JY181">
        <v>0</v>
      </c>
      <c r="JZ181">
        <v>0</v>
      </c>
      <c r="KA181">
        <v>0</v>
      </c>
      <c r="KB181">
        <v>0</v>
      </c>
      <c r="KC181">
        <v>0</v>
      </c>
      <c r="KD181">
        <v>0</v>
      </c>
      <c r="KE181">
        <v>0</v>
      </c>
      <c r="KF181">
        <v>0</v>
      </c>
      <c r="KG181">
        <v>0</v>
      </c>
      <c r="KH181">
        <v>0</v>
      </c>
      <c r="KI181">
        <v>0</v>
      </c>
      <c r="KJ181">
        <v>0</v>
      </c>
      <c r="KK181">
        <v>0</v>
      </c>
      <c r="KL181">
        <v>0</v>
      </c>
      <c r="KM181">
        <v>0</v>
      </c>
      <c r="KN181">
        <v>0</v>
      </c>
      <c r="KO181">
        <v>0</v>
      </c>
      <c r="KP181">
        <v>0</v>
      </c>
      <c r="KQ181">
        <v>0</v>
      </c>
      <c r="KR181">
        <v>0</v>
      </c>
      <c r="KS181">
        <v>0</v>
      </c>
      <c r="KT181">
        <v>0</v>
      </c>
      <c r="KU181">
        <v>0</v>
      </c>
      <c r="KV181">
        <v>0</v>
      </c>
      <c r="KW181">
        <v>0</v>
      </c>
      <c r="KX181">
        <v>0</v>
      </c>
      <c r="KY181">
        <v>0</v>
      </c>
      <c r="KZ181">
        <v>0</v>
      </c>
      <c r="LA181">
        <v>0</v>
      </c>
      <c r="LB181">
        <v>0</v>
      </c>
      <c r="LC181">
        <v>0</v>
      </c>
      <c r="LD181">
        <v>0</v>
      </c>
      <c r="LE181">
        <v>0</v>
      </c>
      <c r="LF181">
        <v>0</v>
      </c>
      <c r="LG181">
        <v>0</v>
      </c>
      <c r="LH181">
        <v>0</v>
      </c>
      <c r="LI181">
        <v>0</v>
      </c>
      <c r="LJ181">
        <v>0</v>
      </c>
      <c r="LK181">
        <v>0</v>
      </c>
      <c r="LL181">
        <v>0</v>
      </c>
      <c r="LM181">
        <v>0</v>
      </c>
      <c r="LN181">
        <v>0</v>
      </c>
      <c r="LO181">
        <v>0</v>
      </c>
      <c r="LP181">
        <v>0</v>
      </c>
      <c r="LQ181">
        <v>0</v>
      </c>
      <c r="LR181">
        <v>0</v>
      </c>
      <c r="LS181">
        <v>0</v>
      </c>
      <c r="LT181">
        <v>0</v>
      </c>
      <c r="LU181">
        <v>0</v>
      </c>
      <c r="LV181">
        <v>0</v>
      </c>
      <c r="LW181">
        <v>0</v>
      </c>
      <c r="LX181">
        <v>0</v>
      </c>
      <c r="LY181">
        <v>0</v>
      </c>
      <c r="LZ181">
        <v>0</v>
      </c>
      <c r="MA181">
        <v>0</v>
      </c>
      <c r="MB181">
        <v>0</v>
      </c>
      <c r="MC181">
        <v>0</v>
      </c>
      <c r="MD181">
        <v>0</v>
      </c>
      <c r="ME181">
        <v>0</v>
      </c>
      <c r="MF181">
        <v>0</v>
      </c>
      <c r="MG181">
        <v>0</v>
      </c>
      <c r="MH181">
        <v>0</v>
      </c>
      <c r="MI181">
        <v>0</v>
      </c>
      <c r="MJ181">
        <v>0</v>
      </c>
      <c r="MK181">
        <v>0</v>
      </c>
      <c r="ML181">
        <v>0</v>
      </c>
      <c r="MM181">
        <v>0</v>
      </c>
      <c r="MN181">
        <v>0</v>
      </c>
      <c r="MO181">
        <v>0</v>
      </c>
      <c r="MP181">
        <v>0</v>
      </c>
      <c r="MQ181">
        <v>0</v>
      </c>
      <c r="MR181">
        <v>0</v>
      </c>
      <c r="MS181">
        <v>0</v>
      </c>
      <c r="MT181">
        <v>0</v>
      </c>
      <c r="MU181">
        <v>0</v>
      </c>
      <c r="MV181">
        <v>0</v>
      </c>
      <c r="MW181">
        <v>0</v>
      </c>
      <c r="MX181">
        <v>0</v>
      </c>
      <c r="MY181">
        <v>0</v>
      </c>
      <c r="MZ181">
        <v>0</v>
      </c>
      <c r="NA181">
        <v>0</v>
      </c>
      <c r="NB181">
        <v>0</v>
      </c>
      <c r="NC181">
        <v>0</v>
      </c>
      <c r="ND181">
        <v>0</v>
      </c>
      <c r="NE181">
        <v>0</v>
      </c>
    </row>
    <row r="182" spans="41:369" x14ac:dyDescent="0.45">
      <c r="AO182" t="str">
        <v>C138</v>
      </c>
      <c r="AP182" t="str">
        <v>MOHAMMED MOINUDDEEN CHISTY</v>
      </c>
      <c r="AQ182" t="str">
        <v>FANT</v>
      </c>
      <c r="AR182" t="str">
        <v>SENIOR</v>
      </c>
      <c r="AS182">
        <v>6</v>
      </c>
      <c r="AT182">
        <v>8</v>
      </c>
      <c r="AU182">
        <v>0</v>
      </c>
      <c r="AV182">
        <v>8</v>
      </c>
      <c r="AW182">
        <v>8</v>
      </c>
      <c r="AX182">
        <v>147</v>
      </c>
      <c r="AY182" s="5">
        <v>147</v>
      </c>
      <c r="AZ182" t="str">
        <v>SS38</v>
      </c>
      <c r="BA182" t="str">
        <v>NASHEED ARB</v>
      </c>
      <c r="BB182" t="str">
        <v>SUPER SENIOR</v>
      </c>
      <c r="BC182" t="str">
        <v>Single</v>
      </c>
      <c r="BD182" t="str">
        <v>Stage</v>
      </c>
      <c r="BE182">
        <v>3</v>
      </c>
      <c r="BF182" t="str">
        <v>Individual</v>
      </c>
      <c r="BG182" t="str">
        <v>Individual</v>
      </c>
      <c r="BH182" t="str">
        <v>P</v>
      </c>
      <c r="BI182" t="str">
        <v>PUBLISHED</v>
      </c>
      <c r="BK182">
        <v>176</v>
      </c>
      <c r="BL182" t="str">
        <v>SS34</v>
      </c>
      <c r="BM182" t="str">
        <v>KAVIYARANG</v>
      </c>
      <c r="BN182">
        <v>3</v>
      </c>
      <c r="BO182" t="str">
        <v>Single</v>
      </c>
      <c r="BP182" t="str">
        <v>Stage</v>
      </c>
      <c r="BQ182" t="str">
        <v>SUPER SENIOR</v>
      </c>
      <c r="BR182" t="str">
        <v>D127</v>
      </c>
      <c r="BS182" t="str">
        <v>D147</v>
      </c>
      <c r="BT182" t="str">
        <v>D186</v>
      </c>
      <c r="BU182">
        <v>0</v>
      </c>
      <c r="BV182">
        <v>0</v>
      </c>
      <c r="BW182">
        <v>0</v>
      </c>
      <c r="BX182">
        <v>0</v>
      </c>
      <c r="BY182" t="str">
        <v>D107</v>
      </c>
      <c r="BZ182" t="str">
        <v>D146</v>
      </c>
      <c r="CA182" t="str">
        <v>D152</v>
      </c>
      <c r="CB182">
        <v>0</v>
      </c>
      <c r="CC182">
        <v>0</v>
      </c>
      <c r="CD182">
        <v>0</v>
      </c>
      <c r="CE182">
        <v>0</v>
      </c>
      <c r="CF182" t="str">
        <v>D129</v>
      </c>
      <c r="CG182" t="str">
        <v>D155</v>
      </c>
      <c r="CH182" t="str">
        <v>D189</v>
      </c>
      <c r="CI182">
        <v>0</v>
      </c>
      <c r="CJ182">
        <v>0</v>
      </c>
      <c r="CK182">
        <v>0</v>
      </c>
      <c r="CL182">
        <v>0</v>
      </c>
      <c r="CM182" t="str">
        <v>D113</v>
      </c>
      <c r="CN182" t="str">
        <v>D154</v>
      </c>
      <c r="CO182" t="str">
        <v>D194</v>
      </c>
      <c r="CP182">
        <v>0</v>
      </c>
      <c r="CQ182">
        <v>0</v>
      </c>
      <c r="CR182">
        <v>0</v>
      </c>
      <c r="CS182">
        <v>0</v>
      </c>
      <c r="CT182">
        <v>0</v>
      </c>
      <c r="CU182">
        <v>0</v>
      </c>
      <c r="CV182">
        <v>0</v>
      </c>
      <c r="CW182">
        <v>0</v>
      </c>
      <c r="CX182">
        <v>0</v>
      </c>
      <c r="CY182">
        <v>0</v>
      </c>
      <c r="CZ182">
        <v>0</v>
      </c>
      <c r="DA182">
        <v>0</v>
      </c>
      <c r="DB182">
        <v>0</v>
      </c>
      <c r="DC182">
        <v>0</v>
      </c>
      <c r="DD182">
        <v>0</v>
      </c>
      <c r="DE182">
        <v>0</v>
      </c>
      <c r="DF182">
        <v>0</v>
      </c>
      <c r="DG182">
        <v>0</v>
      </c>
      <c r="DH182">
        <v>0</v>
      </c>
      <c r="DI182">
        <v>0</v>
      </c>
      <c r="DJ182">
        <v>0</v>
      </c>
      <c r="DK182">
        <v>0</v>
      </c>
      <c r="DL182">
        <v>0</v>
      </c>
      <c r="DM182">
        <v>0</v>
      </c>
      <c r="DN182">
        <v>0</v>
      </c>
      <c r="DO182">
        <v>0</v>
      </c>
      <c r="DP182">
        <v>0</v>
      </c>
      <c r="DQ182">
        <v>0</v>
      </c>
      <c r="DR182">
        <v>0</v>
      </c>
      <c r="DS182">
        <v>0</v>
      </c>
      <c r="DT182">
        <v>0</v>
      </c>
      <c r="DU182">
        <v>0</v>
      </c>
      <c r="DV182">
        <v>0</v>
      </c>
      <c r="DW182">
        <v>0</v>
      </c>
      <c r="DX182">
        <v>0</v>
      </c>
      <c r="DY182">
        <v>0</v>
      </c>
      <c r="DZ182">
        <v>0</v>
      </c>
      <c r="EA182">
        <v>0</v>
      </c>
      <c r="EB182">
        <v>0</v>
      </c>
      <c r="EC182">
        <v>0</v>
      </c>
      <c r="ED182">
        <v>0</v>
      </c>
      <c r="EE182">
        <v>0</v>
      </c>
      <c r="EF182">
        <v>0</v>
      </c>
      <c r="EG182">
        <v>0</v>
      </c>
      <c r="EH182">
        <v>0</v>
      </c>
      <c r="EI182">
        <v>0</v>
      </c>
      <c r="EJ182">
        <v>0</v>
      </c>
      <c r="EK182">
        <v>0</v>
      </c>
      <c r="EL182">
        <v>0</v>
      </c>
      <c r="EM182">
        <v>0</v>
      </c>
      <c r="EN182">
        <v>0</v>
      </c>
      <c r="EO182">
        <v>0</v>
      </c>
      <c r="EP182">
        <v>0</v>
      </c>
      <c r="EQ182">
        <v>0</v>
      </c>
      <c r="ER182">
        <v>0</v>
      </c>
      <c r="ES182">
        <v>0</v>
      </c>
      <c r="ET182">
        <v>0</v>
      </c>
      <c r="EU182">
        <v>0</v>
      </c>
      <c r="EV182">
        <v>0</v>
      </c>
      <c r="EW182">
        <v>0</v>
      </c>
      <c r="EX182">
        <v>0</v>
      </c>
      <c r="EY182">
        <v>0</v>
      </c>
      <c r="EZ182">
        <v>0</v>
      </c>
      <c r="FA182">
        <v>0</v>
      </c>
      <c r="FB182">
        <v>0</v>
      </c>
      <c r="FC182">
        <v>0</v>
      </c>
      <c r="FD182">
        <v>0</v>
      </c>
      <c r="FE182">
        <v>0</v>
      </c>
      <c r="FF182">
        <v>0</v>
      </c>
      <c r="FG182">
        <v>0</v>
      </c>
      <c r="FH182">
        <v>0</v>
      </c>
      <c r="FI182">
        <v>0</v>
      </c>
      <c r="FJ182">
        <v>0</v>
      </c>
      <c r="FK182">
        <v>0</v>
      </c>
      <c r="FL182">
        <v>0</v>
      </c>
      <c r="FM182">
        <v>0</v>
      </c>
      <c r="FN182">
        <v>0</v>
      </c>
      <c r="FO182">
        <v>0</v>
      </c>
      <c r="FP182">
        <v>0</v>
      </c>
      <c r="FQ182">
        <v>0</v>
      </c>
      <c r="FR182">
        <v>0</v>
      </c>
      <c r="FS182">
        <v>0</v>
      </c>
      <c r="FT182">
        <v>0</v>
      </c>
      <c r="FU182">
        <v>0</v>
      </c>
      <c r="FV182">
        <v>0</v>
      </c>
      <c r="FW182">
        <v>0</v>
      </c>
      <c r="FX182">
        <v>0</v>
      </c>
      <c r="FY182">
        <v>0</v>
      </c>
      <c r="FZ182">
        <v>0</v>
      </c>
      <c r="GA182">
        <v>0</v>
      </c>
      <c r="GB182">
        <v>0</v>
      </c>
      <c r="GC182">
        <v>0</v>
      </c>
      <c r="GD182">
        <v>0</v>
      </c>
      <c r="GE182">
        <v>0</v>
      </c>
      <c r="GF182">
        <v>0</v>
      </c>
      <c r="GG182">
        <v>0</v>
      </c>
      <c r="GH182">
        <v>0</v>
      </c>
      <c r="GI182">
        <v>0</v>
      </c>
      <c r="GJ182">
        <v>0</v>
      </c>
      <c r="GK182">
        <v>0</v>
      </c>
      <c r="GL182">
        <v>0</v>
      </c>
      <c r="GM182">
        <v>0</v>
      </c>
      <c r="GN182">
        <v>0</v>
      </c>
      <c r="GO182">
        <v>0</v>
      </c>
      <c r="GP182">
        <v>0</v>
      </c>
      <c r="GQ182">
        <v>0</v>
      </c>
      <c r="GR182">
        <v>0</v>
      </c>
      <c r="GS182">
        <v>0</v>
      </c>
      <c r="GT182">
        <v>0</v>
      </c>
      <c r="GU182">
        <v>0</v>
      </c>
      <c r="GV182">
        <v>0</v>
      </c>
      <c r="GW182">
        <v>0</v>
      </c>
      <c r="GX182">
        <v>0</v>
      </c>
      <c r="GY182">
        <v>0</v>
      </c>
      <c r="GZ182">
        <v>0</v>
      </c>
      <c r="HA182">
        <v>0</v>
      </c>
      <c r="HB182">
        <v>0</v>
      </c>
      <c r="HC182">
        <v>0</v>
      </c>
      <c r="HD182">
        <v>0</v>
      </c>
      <c r="HE182">
        <v>0</v>
      </c>
      <c r="HF182">
        <v>0</v>
      </c>
      <c r="HG182">
        <v>0</v>
      </c>
      <c r="HH182">
        <v>0</v>
      </c>
      <c r="HI182">
        <v>0</v>
      </c>
      <c r="HJ182">
        <v>0</v>
      </c>
      <c r="HK182">
        <v>0</v>
      </c>
      <c r="HL182">
        <v>0</v>
      </c>
      <c r="HM182">
        <v>0</v>
      </c>
      <c r="HN182">
        <v>0</v>
      </c>
      <c r="HO182">
        <v>0</v>
      </c>
      <c r="HP182">
        <v>0</v>
      </c>
      <c r="HQ182">
        <v>0</v>
      </c>
      <c r="HR182">
        <v>0</v>
      </c>
      <c r="HS182">
        <v>0</v>
      </c>
      <c r="HT182">
        <v>0</v>
      </c>
      <c r="HU182">
        <v>0</v>
      </c>
      <c r="HV182">
        <v>0</v>
      </c>
      <c r="HW182">
        <v>0</v>
      </c>
      <c r="HX182">
        <v>0</v>
      </c>
      <c r="HY182">
        <v>0</v>
      </c>
      <c r="HZ182">
        <v>0</v>
      </c>
      <c r="IA182">
        <v>0</v>
      </c>
      <c r="IB182">
        <v>0</v>
      </c>
      <c r="IC182">
        <v>0</v>
      </c>
      <c r="ID182">
        <v>0</v>
      </c>
      <c r="IE182">
        <v>0</v>
      </c>
      <c r="IF182">
        <v>0</v>
      </c>
      <c r="IG182">
        <v>0</v>
      </c>
      <c r="IH182">
        <v>0</v>
      </c>
      <c r="II182">
        <v>0</v>
      </c>
      <c r="IJ182">
        <v>0</v>
      </c>
      <c r="IK182">
        <v>0</v>
      </c>
      <c r="IL182">
        <v>0</v>
      </c>
      <c r="IM182">
        <v>0</v>
      </c>
      <c r="IN182">
        <v>0</v>
      </c>
      <c r="IO182">
        <v>0</v>
      </c>
      <c r="IP182">
        <v>0</v>
      </c>
      <c r="IQ182">
        <v>0</v>
      </c>
      <c r="IR182">
        <v>0</v>
      </c>
      <c r="IS182">
        <v>0</v>
      </c>
      <c r="IT182">
        <v>0</v>
      </c>
      <c r="IU182">
        <v>0</v>
      </c>
      <c r="IV182">
        <v>0</v>
      </c>
      <c r="IW182">
        <v>0</v>
      </c>
      <c r="IX182">
        <v>0</v>
      </c>
      <c r="IY182">
        <v>0</v>
      </c>
      <c r="IZ182">
        <v>0</v>
      </c>
      <c r="JA182">
        <v>0</v>
      </c>
      <c r="JB182">
        <v>0</v>
      </c>
      <c r="JC182">
        <v>0</v>
      </c>
      <c r="JD182">
        <v>0</v>
      </c>
      <c r="JE182">
        <v>0</v>
      </c>
      <c r="JF182">
        <v>0</v>
      </c>
      <c r="JG182">
        <v>0</v>
      </c>
      <c r="JH182">
        <v>0</v>
      </c>
      <c r="JI182">
        <v>0</v>
      </c>
      <c r="JJ182">
        <v>0</v>
      </c>
      <c r="JK182">
        <v>0</v>
      </c>
      <c r="JL182">
        <v>0</v>
      </c>
      <c r="JM182">
        <v>0</v>
      </c>
      <c r="JN182">
        <v>0</v>
      </c>
      <c r="JO182">
        <v>0</v>
      </c>
      <c r="JP182">
        <v>0</v>
      </c>
      <c r="JQ182">
        <v>0</v>
      </c>
      <c r="JR182">
        <v>0</v>
      </c>
      <c r="JS182">
        <v>0</v>
      </c>
      <c r="JT182">
        <v>0</v>
      </c>
      <c r="JU182">
        <v>0</v>
      </c>
      <c r="JV182">
        <v>0</v>
      </c>
      <c r="JW182">
        <v>0</v>
      </c>
      <c r="JX182">
        <v>0</v>
      </c>
      <c r="JY182">
        <v>0</v>
      </c>
      <c r="JZ182">
        <v>0</v>
      </c>
      <c r="KA182">
        <v>0</v>
      </c>
      <c r="KB182">
        <v>0</v>
      </c>
      <c r="KC182">
        <v>0</v>
      </c>
      <c r="KD182">
        <v>0</v>
      </c>
      <c r="KE182">
        <v>0</v>
      </c>
      <c r="KF182">
        <v>0</v>
      </c>
      <c r="KG182">
        <v>0</v>
      </c>
      <c r="KH182">
        <v>0</v>
      </c>
      <c r="KI182">
        <v>0</v>
      </c>
      <c r="KJ182">
        <v>0</v>
      </c>
      <c r="KK182">
        <v>0</v>
      </c>
      <c r="KL182">
        <v>0</v>
      </c>
      <c r="KM182">
        <v>0</v>
      </c>
      <c r="KN182">
        <v>0</v>
      </c>
      <c r="KO182">
        <v>0</v>
      </c>
      <c r="KP182">
        <v>0</v>
      </c>
      <c r="KQ182">
        <v>0</v>
      </c>
      <c r="KR182">
        <v>0</v>
      </c>
      <c r="KS182">
        <v>0</v>
      </c>
      <c r="KT182">
        <v>0</v>
      </c>
      <c r="KU182">
        <v>0</v>
      </c>
      <c r="KV182">
        <v>0</v>
      </c>
      <c r="KW182">
        <v>0</v>
      </c>
      <c r="KX182">
        <v>0</v>
      </c>
      <c r="KY182">
        <v>0</v>
      </c>
      <c r="KZ182">
        <v>0</v>
      </c>
      <c r="LA182">
        <v>0</v>
      </c>
      <c r="LB182">
        <v>0</v>
      </c>
      <c r="LC182">
        <v>0</v>
      </c>
      <c r="LD182">
        <v>0</v>
      </c>
      <c r="LE182">
        <v>0</v>
      </c>
      <c r="LF182">
        <v>0</v>
      </c>
      <c r="LG182">
        <v>0</v>
      </c>
      <c r="LH182">
        <v>0</v>
      </c>
      <c r="LI182">
        <v>0</v>
      </c>
      <c r="LJ182">
        <v>0</v>
      </c>
      <c r="LK182">
        <v>0</v>
      </c>
      <c r="LL182">
        <v>0</v>
      </c>
      <c r="LM182">
        <v>0</v>
      </c>
      <c r="LN182">
        <v>0</v>
      </c>
      <c r="LO182">
        <v>0</v>
      </c>
      <c r="LP182">
        <v>0</v>
      </c>
      <c r="LQ182">
        <v>0</v>
      </c>
      <c r="LR182">
        <v>0</v>
      </c>
      <c r="LS182">
        <v>0</v>
      </c>
      <c r="LT182">
        <v>0</v>
      </c>
      <c r="LU182">
        <v>0</v>
      </c>
      <c r="LV182">
        <v>0</v>
      </c>
      <c r="LW182">
        <v>0</v>
      </c>
      <c r="LX182">
        <v>0</v>
      </c>
      <c r="LY182">
        <v>0</v>
      </c>
      <c r="LZ182">
        <v>0</v>
      </c>
      <c r="MA182">
        <v>0</v>
      </c>
      <c r="MB182">
        <v>0</v>
      </c>
      <c r="MC182">
        <v>0</v>
      </c>
      <c r="MD182">
        <v>0</v>
      </c>
      <c r="ME182">
        <v>0</v>
      </c>
      <c r="MF182">
        <v>0</v>
      </c>
      <c r="MG182">
        <v>0</v>
      </c>
      <c r="MH182">
        <v>0</v>
      </c>
      <c r="MI182">
        <v>0</v>
      </c>
      <c r="MJ182">
        <v>0</v>
      </c>
      <c r="MK182">
        <v>0</v>
      </c>
      <c r="ML182">
        <v>0</v>
      </c>
      <c r="MM182">
        <v>0</v>
      </c>
      <c r="MN182">
        <v>0</v>
      </c>
      <c r="MO182">
        <v>0</v>
      </c>
      <c r="MP182">
        <v>0</v>
      </c>
      <c r="MQ182">
        <v>0</v>
      </c>
      <c r="MR182">
        <v>0</v>
      </c>
      <c r="MS182">
        <v>0</v>
      </c>
      <c r="MT182">
        <v>0</v>
      </c>
      <c r="MU182">
        <v>0</v>
      </c>
      <c r="MV182">
        <v>0</v>
      </c>
      <c r="MW182">
        <v>0</v>
      </c>
      <c r="MX182">
        <v>0</v>
      </c>
      <c r="MY182">
        <v>0</v>
      </c>
      <c r="MZ182">
        <v>0</v>
      </c>
      <c r="NA182">
        <v>0</v>
      </c>
      <c r="NB182">
        <v>0</v>
      </c>
      <c r="NC182">
        <v>0</v>
      </c>
      <c r="ND182">
        <v>0</v>
      </c>
      <c r="NE182">
        <v>0</v>
      </c>
    </row>
    <row r="183" spans="41:369" x14ac:dyDescent="0.45">
      <c r="AO183" t="str">
        <v>C139</v>
      </c>
      <c r="AP183" t="str">
        <v>SULAIMAN FAHAD AP</v>
      </c>
      <c r="AQ183" t="str">
        <v>BADF</v>
      </c>
      <c r="AR183" t="str">
        <v>SENIOR</v>
      </c>
      <c r="AS183">
        <v>6</v>
      </c>
      <c r="AT183">
        <v>1</v>
      </c>
      <c r="AU183">
        <v>0</v>
      </c>
      <c r="AV183">
        <v>1</v>
      </c>
      <c r="AW183">
        <v>1</v>
      </c>
      <c r="AX183">
        <v>231</v>
      </c>
      <c r="AY183" s="5">
        <v>231</v>
      </c>
      <c r="AZ183" t="str">
        <v>SS39</v>
      </c>
      <c r="BA183" t="str">
        <v>NEWS WRITING &amp; READING ARB</v>
      </c>
      <c r="BB183" t="str">
        <v>SUPER SENIOR</v>
      </c>
      <c r="BC183" t="str">
        <v>Single</v>
      </c>
      <c r="BD183" t="str">
        <v>Stage</v>
      </c>
      <c r="BE183">
        <v>3</v>
      </c>
      <c r="BF183" t="str">
        <v>Individual</v>
      </c>
      <c r="BG183" t="str">
        <v>Individual</v>
      </c>
      <c r="BH183" t="str">
        <v>P</v>
      </c>
      <c r="BI183" t="str">
        <v>PUBLISHED</v>
      </c>
      <c r="BK183">
        <v>177</v>
      </c>
      <c r="BL183" t="str">
        <v>SS35</v>
      </c>
      <c r="BM183" t="str">
        <v>KHUṬBAH</v>
      </c>
      <c r="BN183">
        <v>3</v>
      </c>
      <c r="BO183" t="str">
        <v>Single</v>
      </c>
      <c r="BP183" t="str">
        <v>Stage</v>
      </c>
      <c r="BQ183" t="str">
        <v>SUPER SENIOR</v>
      </c>
      <c r="BR183" t="str">
        <v>D127</v>
      </c>
      <c r="BS183" t="str">
        <v>D159</v>
      </c>
      <c r="BT183" t="str">
        <v>D198</v>
      </c>
      <c r="BU183">
        <v>0</v>
      </c>
      <c r="BV183">
        <v>0</v>
      </c>
      <c r="BW183">
        <v>0</v>
      </c>
      <c r="BX183">
        <v>0</v>
      </c>
      <c r="BY183" t="str">
        <v>D150</v>
      </c>
      <c r="BZ183" t="str">
        <v>D103</v>
      </c>
      <c r="CA183" t="str">
        <v>D166</v>
      </c>
      <c r="CB183">
        <v>0</v>
      </c>
      <c r="CC183">
        <v>0</v>
      </c>
      <c r="CD183">
        <v>0</v>
      </c>
      <c r="CE183">
        <v>0</v>
      </c>
      <c r="CF183" t="str">
        <v>D129</v>
      </c>
      <c r="CG183" t="str">
        <v>D137</v>
      </c>
      <c r="CH183" t="str">
        <v>D143</v>
      </c>
      <c r="CI183">
        <v>0</v>
      </c>
      <c r="CJ183">
        <v>0</v>
      </c>
      <c r="CK183">
        <v>0</v>
      </c>
      <c r="CL183">
        <v>0</v>
      </c>
      <c r="CM183" t="str">
        <v>D160</v>
      </c>
      <c r="CN183" t="str">
        <v>D149</v>
      </c>
      <c r="CO183" t="str">
        <v>D194</v>
      </c>
      <c r="CP183">
        <v>0</v>
      </c>
      <c r="CQ183">
        <v>0</v>
      </c>
      <c r="CR183">
        <v>0</v>
      </c>
      <c r="CS183">
        <v>0</v>
      </c>
      <c r="CT183">
        <v>0</v>
      </c>
      <c r="CU183">
        <v>0</v>
      </c>
      <c r="CV183">
        <v>0</v>
      </c>
      <c r="CW183">
        <v>0</v>
      </c>
      <c r="CX183">
        <v>0</v>
      </c>
      <c r="CY183">
        <v>0</v>
      </c>
      <c r="CZ183">
        <v>0</v>
      </c>
      <c r="DA183">
        <v>0</v>
      </c>
      <c r="DB183">
        <v>0</v>
      </c>
      <c r="DC183">
        <v>0</v>
      </c>
      <c r="DD183">
        <v>0</v>
      </c>
      <c r="DE183">
        <v>0</v>
      </c>
      <c r="DF183">
        <v>0</v>
      </c>
      <c r="DG183">
        <v>0</v>
      </c>
      <c r="DH183">
        <v>0</v>
      </c>
      <c r="DI183">
        <v>0</v>
      </c>
      <c r="DJ183">
        <v>0</v>
      </c>
      <c r="DK183">
        <v>0</v>
      </c>
      <c r="DL183">
        <v>0</v>
      </c>
      <c r="DM183">
        <v>0</v>
      </c>
      <c r="DN183">
        <v>0</v>
      </c>
      <c r="DO183">
        <v>0</v>
      </c>
      <c r="DP183">
        <v>0</v>
      </c>
      <c r="DQ183">
        <v>0</v>
      </c>
      <c r="DR183">
        <v>0</v>
      </c>
      <c r="DS183">
        <v>0</v>
      </c>
      <c r="DT183">
        <v>0</v>
      </c>
      <c r="DU183">
        <v>0</v>
      </c>
      <c r="DV183">
        <v>0</v>
      </c>
      <c r="DW183">
        <v>0</v>
      </c>
      <c r="DX183">
        <v>0</v>
      </c>
      <c r="DY183">
        <v>0</v>
      </c>
      <c r="DZ183">
        <v>0</v>
      </c>
      <c r="EA183">
        <v>0</v>
      </c>
      <c r="EB183">
        <v>0</v>
      </c>
      <c r="EC183">
        <v>0</v>
      </c>
      <c r="ED183">
        <v>0</v>
      </c>
      <c r="EE183">
        <v>0</v>
      </c>
      <c r="EF183">
        <v>0</v>
      </c>
      <c r="EG183">
        <v>0</v>
      </c>
      <c r="EH183">
        <v>0</v>
      </c>
      <c r="EI183">
        <v>0</v>
      </c>
      <c r="EJ183">
        <v>0</v>
      </c>
      <c r="EK183">
        <v>0</v>
      </c>
      <c r="EL183">
        <v>0</v>
      </c>
      <c r="EM183">
        <v>0</v>
      </c>
      <c r="EN183">
        <v>0</v>
      </c>
      <c r="EO183">
        <v>0</v>
      </c>
      <c r="EP183">
        <v>0</v>
      </c>
      <c r="EQ183">
        <v>0</v>
      </c>
      <c r="ER183">
        <v>0</v>
      </c>
      <c r="ES183">
        <v>0</v>
      </c>
      <c r="ET183">
        <v>0</v>
      </c>
      <c r="EU183">
        <v>0</v>
      </c>
      <c r="EV183">
        <v>0</v>
      </c>
      <c r="EW183">
        <v>0</v>
      </c>
      <c r="EX183">
        <v>0</v>
      </c>
      <c r="EY183">
        <v>0</v>
      </c>
      <c r="EZ183">
        <v>0</v>
      </c>
      <c r="FA183">
        <v>0</v>
      </c>
      <c r="FB183">
        <v>0</v>
      </c>
      <c r="FC183">
        <v>0</v>
      </c>
      <c r="FD183">
        <v>0</v>
      </c>
      <c r="FE183">
        <v>0</v>
      </c>
      <c r="FF183">
        <v>0</v>
      </c>
      <c r="FG183">
        <v>0</v>
      </c>
      <c r="FH183">
        <v>0</v>
      </c>
      <c r="FI183">
        <v>0</v>
      </c>
      <c r="FJ183">
        <v>0</v>
      </c>
      <c r="FK183">
        <v>0</v>
      </c>
      <c r="FL183">
        <v>0</v>
      </c>
      <c r="FM183">
        <v>0</v>
      </c>
      <c r="FN183">
        <v>0</v>
      </c>
      <c r="FO183">
        <v>0</v>
      </c>
      <c r="FP183">
        <v>0</v>
      </c>
      <c r="FQ183">
        <v>0</v>
      </c>
      <c r="FR183">
        <v>0</v>
      </c>
      <c r="FS183">
        <v>0</v>
      </c>
      <c r="FT183">
        <v>0</v>
      </c>
      <c r="FU183">
        <v>0</v>
      </c>
      <c r="FV183">
        <v>0</v>
      </c>
      <c r="FW183">
        <v>0</v>
      </c>
      <c r="FX183">
        <v>0</v>
      </c>
      <c r="FY183">
        <v>0</v>
      </c>
      <c r="FZ183">
        <v>0</v>
      </c>
      <c r="GA183">
        <v>0</v>
      </c>
      <c r="GB183">
        <v>0</v>
      </c>
      <c r="GC183">
        <v>0</v>
      </c>
      <c r="GD183">
        <v>0</v>
      </c>
      <c r="GE183">
        <v>0</v>
      </c>
      <c r="GF183">
        <v>0</v>
      </c>
      <c r="GG183">
        <v>0</v>
      </c>
      <c r="GH183">
        <v>0</v>
      </c>
      <c r="GI183">
        <v>0</v>
      </c>
      <c r="GJ183">
        <v>0</v>
      </c>
      <c r="GK183">
        <v>0</v>
      </c>
      <c r="GL183">
        <v>0</v>
      </c>
      <c r="GM183">
        <v>0</v>
      </c>
      <c r="GN183">
        <v>0</v>
      </c>
      <c r="GO183">
        <v>0</v>
      </c>
      <c r="GP183">
        <v>0</v>
      </c>
      <c r="GQ183">
        <v>0</v>
      </c>
      <c r="GR183">
        <v>0</v>
      </c>
      <c r="GS183">
        <v>0</v>
      </c>
      <c r="GT183">
        <v>0</v>
      </c>
      <c r="GU183">
        <v>0</v>
      </c>
      <c r="GV183">
        <v>0</v>
      </c>
      <c r="GW183">
        <v>0</v>
      </c>
      <c r="GX183">
        <v>0</v>
      </c>
      <c r="GY183">
        <v>0</v>
      </c>
      <c r="GZ183">
        <v>0</v>
      </c>
      <c r="HA183">
        <v>0</v>
      </c>
      <c r="HB183">
        <v>0</v>
      </c>
      <c r="HC183">
        <v>0</v>
      </c>
      <c r="HD183">
        <v>0</v>
      </c>
      <c r="HE183">
        <v>0</v>
      </c>
      <c r="HF183">
        <v>0</v>
      </c>
      <c r="HG183">
        <v>0</v>
      </c>
      <c r="HH183">
        <v>0</v>
      </c>
      <c r="HI183">
        <v>0</v>
      </c>
      <c r="HJ183">
        <v>0</v>
      </c>
      <c r="HK183">
        <v>0</v>
      </c>
      <c r="HL183">
        <v>0</v>
      </c>
      <c r="HM183">
        <v>0</v>
      </c>
      <c r="HN183">
        <v>0</v>
      </c>
      <c r="HO183">
        <v>0</v>
      </c>
      <c r="HP183">
        <v>0</v>
      </c>
      <c r="HQ183">
        <v>0</v>
      </c>
      <c r="HR183">
        <v>0</v>
      </c>
      <c r="HS183">
        <v>0</v>
      </c>
      <c r="HT183">
        <v>0</v>
      </c>
      <c r="HU183">
        <v>0</v>
      </c>
      <c r="HV183">
        <v>0</v>
      </c>
      <c r="HW183">
        <v>0</v>
      </c>
      <c r="HX183">
        <v>0</v>
      </c>
      <c r="HY183">
        <v>0</v>
      </c>
      <c r="HZ183">
        <v>0</v>
      </c>
      <c r="IA183">
        <v>0</v>
      </c>
      <c r="IB183">
        <v>0</v>
      </c>
      <c r="IC183">
        <v>0</v>
      </c>
      <c r="ID183">
        <v>0</v>
      </c>
      <c r="IE183">
        <v>0</v>
      </c>
      <c r="IF183">
        <v>0</v>
      </c>
      <c r="IG183">
        <v>0</v>
      </c>
      <c r="IH183">
        <v>0</v>
      </c>
      <c r="II183">
        <v>0</v>
      </c>
      <c r="IJ183">
        <v>0</v>
      </c>
      <c r="IK183">
        <v>0</v>
      </c>
      <c r="IL183">
        <v>0</v>
      </c>
      <c r="IM183">
        <v>0</v>
      </c>
      <c r="IN183">
        <v>0</v>
      </c>
      <c r="IO183">
        <v>0</v>
      </c>
      <c r="IP183">
        <v>0</v>
      </c>
      <c r="IQ183">
        <v>0</v>
      </c>
      <c r="IR183">
        <v>0</v>
      </c>
      <c r="IS183">
        <v>0</v>
      </c>
      <c r="IT183">
        <v>0</v>
      </c>
      <c r="IU183">
        <v>0</v>
      </c>
      <c r="IV183">
        <v>0</v>
      </c>
      <c r="IW183">
        <v>0</v>
      </c>
      <c r="IX183">
        <v>0</v>
      </c>
      <c r="IY183">
        <v>0</v>
      </c>
      <c r="IZ183">
        <v>0</v>
      </c>
      <c r="JA183">
        <v>0</v>
      </c>
      <c r="JB183">
        <v>0</v>
      </c>
      <c r="JC183">
        <v>0</v>
      </c>
      <c r="JD183">
        <v>0</v>
      </c>
      <c r="JE183">
        <v>0</v>
      </c>
      <c r="JF183">
        <v>0</v>
      </c>
      <c r="JG183">
        <v>0</v>
      </c>
      <c r="JH183">
        <v>0</v>
      </c>
      <c r="JI183">
        <v>0</v>
      </c>
      <c r="JJ183">
        <v>0</v>
      </c>
      <c r="JK183">
        <v>0</v>
      </c>
      <c r="JL183">
        <v>0</v>
      </c>
      <c r="JM183">
        <v>0</v>
      </c>
      <c r="JN183">
        <v>0</v>
      </c>
      <c r="JO183">
        <v>0</v>
      </c>
      <c r="JP183">
        <v>0</v>
      </c>
      <c r="JQ183">
        <v>0</v>
      </c>
      <c r="JR183">
        <v>0</v>
      </c>
      <c r="JS183">
        <v>0</v>
      </c>
      <c r="JT183">
        <v>0</v>
      </c>
      <c r="JU183">
        <v>0</v>
      </c>
      <c r="JV183">
        <v>0</v>
      </c>
      <c r="JW183">
        <v>0</v>
      </c>
      <c r="JX183">
        <v>0</v>
      </c>
      <c r="JY183">
        <v>0</v>
      </c>
      <c r="JZ183">
        <v>0</v>
      </c>
      <c r="KA183">
        <v>0</v>
      </c>
      <c r="KB183">
        <v>0</v>
      </c>
      <c r="KC183">
        <v>0</v>
      </c>
      <c r="KD183">
        <v>0</v>
      </c>
      <c r="KE183">
        <v>0</v>
      </c>
      <c r="KF183">
        <v>0</v>
      </c>
      <c r="KG183">
        <v>0</v>
      </c>
      <c r="KH183">
        <v>0</v>
      </c>
      <c r="KI183">
        <v>0</v>
      </c>
      <c r="KJ183">
        <v>0</v>
      </c>
      <c r="KK183">
        <v>0</v>
      </c>
      <c r="KL183">
        <v>0</v>
      </c>
      <c r="KM183">
        <v>0</v>
      </c>
      <c r="KN183">
        <v>0</v>
      </c>
      <c r="KO183">
        <v>0</v>
      </c>
      <c r="KP183">
        <v>0</v>
      </c>
      <c r="KQ183">
        <v>0</v>
      </c>
      <c r="KR183">
        <v>0</v>
      </c>
      <c r="KS183">
        <v>0</v>
      </c>
      <c r="KT183">
        <v>0</v>
      </c>
      <c r="KU183">
        <v>0</v>
      </c>
      <c r="KV183">
        <v>0</v>
      </c>
      <c r="KW183">
        <v>0</v>
      </c>
      <c r="KX183">
        <v>0</v>
      </c>
      <c r="KY183">
        <v>0</v>
      </c>
      <c r="KZ183">
        <v>0</v>
      </c>
      <c r="LA183">
        <v>0</v>
      </c>
      <c r="LB183">
        <v>0</v>
      </c>
      <c r="LC183">
        <v>0</v>
      </c>
      <c r="LD183">
        <v>0</v>
      </c>
      <c r="LE183">
        <v>0</v>
      </c>
      <c r="LF183">
        <v>0</v>
      </c>
      <c r="LG183">
        <v>0</v>
      </c>
      <c r="LH183">
        <v>0</v>
      </c>
      <c r="LI183">
        <v>0</v>
      </c>
      <c r="LJ183">
        <v>0</v>
      </c>
      <c r="LK183">
        <v>0</v>
      </c>
      <c r="LL183">
        <v>0</v>
      </c>
      <c r="LM183">
        <v>0</v>
      </c>
      <c r="LN183">
        <v>0</v>
      </c>
      <c r="LO183">
        <v>0</v>
      </c>
      <c r="LP183">
        <v>0</v>
      </c>
      <c r="LQ183">
        <v>0</v>
      </c>
      <c r="LR183">
        <v>0</v>
      </c>
      <c r="LS183">
        <v>0</v>
      </c>
      <c r="LT183">
        <v>0</v>
      </c>
      <c r="LU183">
        <v>0</v>
      </c>
      <c r="LV183">
        <v>0</v>
      </c>
      <c r="LW183">
        <v>0</v>
      </c>
      <c r="LX183">
        <v>0</v>
      </c>
      <c r="LY183">
        <v>0</v>
      </c>
      <c r="LZ183">
        <v>0</v>
      </c>
      <c r="MA183">
        <v>0</v>
      </c>
      <c r="MB183">
        <v>0</v>
      </c>
      <c r="MC183">
        <v>0</v>
      </c>
      <c r="MD183">
        <v>0</v>
      </c>
      <c r="ME183">
        <v>0</v>
      </c>
      <c r="MF183">
        <v>0</v>
      </c>
      <c r="MG183">
        <v>0</v>
      </c>
      <c r="MH183">
        <v>0</v>
      </c>
      <c r="MI183">
        <v>0</v>
      </c>
      <c r="MJ183">
        <v>0</v>
      </c>
      <c r="MK183">
        <v>0</v>
      </c>
      <c r="ML183">
        <v>0</v>
      </c>
      <c r="MM183">
        <v>0</v>
      </c>
      <c r="MN183">
        <v>0</v>
      </c>
      <c r="MO183">
        <v>0</v>
      </c>
      <c r="MP183">
        <v>0</v>
      </c>
      <c r="MQ183">
        <v>0</v>
      </c>
      <c r="MR183">
        <v>0</v>
      </c>
      <c r="MS183">
        <v>0</v>
      </c>
      <c r="MT183">
        <v>0</v>
      </c>
      <c r="MU183">
        <v>0</v>
      </c>
      <c r="MV183">
        <v>0</v>
      </c>
      <c r="MW183">
        <v>0</v>
      </c>
      <c r="MX183">
        <v>0</v>
      </c>
      <c r="MY183">
        <v>0</v>
      </c>
      <c r="MZ183">
        <v>0</v>
      </c>
      <c r="NA183">
        <v>0</v>
      </c>
      <c r="NB183">
        <v>0</v>
      </c>
      <c r="NC183">
        <v>0</v>
      </c>
      <c r="ND183">
        <v>0</v>
      </c>
      <c r="NE183">
        <v>0</v>
      </c>
    </row>
    <row r="184" spans="41:369" x14ac:dyDescent="0.45">
      <c r="AO184" t="str">
        <v>C140</v>
      </c>
      <c r="AP184" t="str">
        <v>IJAS EBRAHIM</v>
      </c>
      <c r="AQ184" t="str">
        <v>JARF</v>
      </c>
      <c r="AR184" t="str">
        <v>SENIOR</v>
      </c>
      <c r="AS184">
        <v>6</v>
      </c>
      <c r="AT184">
        <v>7</v>
      </c>
      <c r="AU184">
        <v>0</v>
      </c>
      <c r="AV184">
        <v>7</v>
      </c>
      <c r="AW184">
        <v>7</v>
      </c>
      <c r="AX184">
        <v>167</v>
      </c>
      <c r="AY184" s="5">
        <v>167</v>
      </c>
      <c r="AZ184" t="str">
        <v>SS40</v>
      </c>
      <c r="BA184" t="str">
        <v>POLITICAL SATIRE MLM</v>
      </c>
      <c r="BB184" t="str">
        <v>SUPER SENIOR</v>
      </c>
      <c r="BC184" t="str">
        <v>Single</v>
      </c>
      <c r="BD184" t="str">
        <v>Stage</v>
      </c>
      <c r="BE184">
        <v>2</v>
      </c>
      <c r="BF184" t="str">
        <v>Individual</v>
      </c>
      <c r="BG184" t="str">
        <v>Individual</v>
      </c>
      <c r="BH184" t="str">
        <v>P</v>
      </c>
      <c r="BI184" t="str">
        <v>PUBLISHED</v>
      </c>
      <c r="BK184">
        <v>178</v>
      </c>
      <c r="BL184" t="str">
        <v>SS36</v>
      </c>
      <c r="BM184" t="str">
        <v>MAPPILAPPATT</v>
      </c>
      <c r="BN184">
        <v>2</v>
      </c>
      <c r="BO184" t="str">
        <v>Single</v>
      </c>
      <c r="BP184" t="str">
        <v>Stage</v>
      </c>
      <c r="BQ184" t="str">
        <v>SUPER SENIOR</v>
      </c>
      <c r="BR184" t="str">
        <v>D175</v>
      </c>
      <c r="BS184" t="str">
        <v>D186</v>
      </c>
      <c r="BT184">
        <v>0</v>
      </c>
      <c r="BU184">
        <v>0</v>
      </c>
      <c r="BV184">
        <v>0</v>
      </c>
      <c r="BW184">
        <v>0</v>
      </c>
      <c r="BX184">
        <v>0</v>
      </c>
      <c r="BY184" t="str">
        <v>D121</v>
      </c>
      <c r="BZ184" t="str">
        <v>D192</v>
      </c>
      <c r="CA184">
        <v>0</v>
      </c>
      <c r="CB184">
        <v>0</v>
      </c>
      <c r="CC184">
        <v>0</v>
      </c>
      <c r="CD184">
        <v>0</v>
      </c>
      <c r="CE184">
        <v>0</v>
      </c>
      <c r="CF184" t="str">
        <v>D155</v>
      </c>
      <c r="CG184" t="str">
        <v>D189</v>
      </c>
      <c r="CH184">
        <v>0</v>
      </c>
      <c r="CI184">
        <v>0</v>
      </c>
      <c r="CJ184">
        <v>0</v>
      </c>
      <c r="CK184">
        <v>0</v>
      </c>
      <c r="CL184">
        <v>0</v>
      </c>
      <c r="CM184" t="str">
        <v>D154</v>
      </c>
      <c r="CN184" t="str">
        <v>D194</v>
      </c>
      <c r="CO184">
        <v>0</v>
      </c>
      <c r="CP184">
        <v>0</v>
      </c>
      <c r="CQ184">
        <v>0</v>
      </c>
      <c r="CR184">
        <v>0</v>
      </c>
      <c r="CS184">
        <v>0</v>
      </c>
      <c r="CT184">
        <v>0</v>
      </c>
      <c r="CU184">
        <v>0</v>
      </c>
      <c r="CV184">
        <v>0</v>
      </c>
      <c r="CW184">
        <v>0</v>
      </c>
      <c r="CX184">
        <v>0</v>
      </c>
      <c r="CY184">
        <v>0</v>
      </c>
      <c r="CZ184">
        <v>0</v>
      </c>
      <c r="DA184">
        <v>0</v>
      </c>
      <c r="DB184">
        <v>0</v>
      </c>
      <c r="DC184">
        <v>0</v>
      </c>
      <c r="DD184">
        <v>0</v>
      </c>
      <c r="DE184">
        <v>0</v>
      </c>
      <c r="DF184">
        <v>0</v>
      </c>
      <c r="DG184">
        <v>0</v>
      </c>
      <c r="DH184">
        <v>0</v>
      </c>
      <c r="DI184">
        <v>0</v>
      </c>
      <c r="DJ184">
        <v>0</v>
      </c>
      <c r="DK184">
        <v>0</v>
      </c>
      <c r="DL184">
        <v>0</v>
      </c>
      <c r="DM184">
        <v>0</v>
      </c>
      <c r="DN184">
        <v>0</v>
      </c>
      <c r="DO184">
        <v>0</v>
      </c>
      <c r="DP184">
        <v>0</v>
      </c>
      <c r="DQ184">
        <v>0</v>
      </c>
      <c r="DR184">
        <v>0</v>
      </c>
      <c r="DS184">
        <v>0</v>
      </c>
      <c r="DT184">
        <v>0</v>
      </c>
      <c r="DU184">
        <v>0</v>
      </c>
      <c r="DV184">
        <v>0</v>
      </c>
      <c r="DW184">
        <v>0</v>
      </c>
      <c r="DX184">
        <v>0</v>
      </c>
      <c r="DY184">
        <v>0</v>
      </c>
      <c r="DZ184">
        <v>0</v>
      </c>
      <c r="EA184">
        <v>0</v>
      </c>
      <c r="EB184">
        <v>0</v>
      </c>
      <c r="EC184">
        <v>0</v>
      </c>
      <c r="ED184">
        <v>0</v>
      </c>
      <c r="EE184">
        <v>0</v>
      </c>
      <c r="EF184">
        <v>0</v>
      </c>
      <c r="EG184">
        <v>0</v>
      </c>
      <c r="EH184">
        <v>0</v>
      </c>
      <c r="EI184">
        <v>0</v>
      </c>
      <c r="EJ184">
        <v>0</v>
      </c>
      <c r="EK184">
        <v>0</v>
      </c>
      <c r="EL184">
        <v>0</v>
      </c>
      <c r="EM184">
        <v>0</v>
      </c>
      <c r="EN184">
        <v>0</v>
      </c>
      <c r="EO184">
        <v>0</v>
      </c>
      <c r="EP184">
        <v>0</v>
      </c>
      <c r="EQ184">
        <v>0</v>
      </c>
      <c r="ER184">
        <v>0</v>
      </c>
      <c r="ES184">
        <v>0</v>
      </c>
      <c r="ET184">
        <v>0</v>
      </c>
      <c r="EU184">
        <v>0</v>
      </c>
      <c r="EV184">
        <v>0</v>
      </c>
      <c r="EW184">
        <v>0</v>
      </c>
      <c r="EX184">
        <v>0</v>
      </c>
      <c r="EY184">
        <v>0</v>
      </c>
      <c r="EZ184">
        <v>0</v>
      </c>
      <c r="FA184">
        <v>0</v>
      </c>
      <c r="FB184">
        <v>0</v>
      </c>
      <c r="FC184">
        <v>0</v>
      </c>
      <c r="FD184">
        <v>0</v>
      </c>
      <c r="FE184">
        <v>0</v>
      </c>
      <c r="FF184">
        <v>0</v>
      </c>
      <c r="FG184">
        <v>0</v>
      </c>
      <c r="FH184">
        <v>0</v>
      </c>
      <c r="FI184">
        <v>0</v>
      </c>
      <c r="FJ184">
        <v>0</v>
      </c>
      <c r="FK184">
        <v>0</v>
      </c>
      <c r="FL184">
        <v>0</v>
      </c>
      <c r="FM184">
        <v>0</v>
      </c>
      <c r="FN184">
        <v>0</v>
      </c>
      <c r="FO184">
        <v>0</v>
      </c>
      <c r="FP184">
        <v>0</v>
      </c>
      <c r="FQ184">
        <v>0</v>
      </c>
      <c r="FR184">
        <v>0</v>
      </c>
      <c r="FS184">
        <v>0</v>
      </c>
      <c r="FT184">
        <v>0</v>
      </c>
      <c r="FU184">
        <v>0</v>
      </c>
      <c r="FV184">
        <v>0</v>
      </c>
      <c r="FW184">
        <v>0</v>
      </c>
      <c r="FX184">
        <v>0</v>
      </c>
      <c r="FY184">
        <v>0</v>
      </c>
      <c r="FZ184">
        <v>0</v>
      </c>
      <c r="GA184">
        <v>0</v>
      </c>
      <c r="GB184">
        <v>0</v>
      </c>
      <c r="GC184">
        <v>0</v>
      </c>
      <c r="GD184">
        <v>0</v>
      </c>
      <c r="GE184">
        <v>0</v>
      </c>
      <c r="GF184">
        <v>0</v>
      </c>
      <c r="GG184">
        <v>0</v>
      </c>
      <c r="GH184">
        <v>0</v>
      </c>
      <c r="GI184">
        <v>0</v>
      </c>
      <c r="GJ184">
        <v>0</v>
      </c>
      <c r="GK184">
        <v>0</v>
      </c>
      <c r="GL184">
        <v>0</v>
      </c>
      <c r="GM184">
        <v>0</v>
      </c>
      <c r="GN184">
        <v>0</v>
      </c>
      <c r="GO184">
        <v>0</v>
      </c>
      <c r="GP184">
        <v>0</v>
      </c>
      <c r="GQ184">
        <v>0</v>
      </c>
      <c r="GR184">
        <v>0</v>
      </c>
      <c r="GS184">
        <v>0</v>
      </c>
      <c r="GT184">
        <v>0</v>
      </c>
      <c r="GU184">
        <v>0</v>
      </c>
      <c r="GV184">
        <v>0</v>
      </c>
      <c r="GW184">
        <v>0</v>
      </c>
      <c r="GX184">
        <v>0</v>
      </c>
      <c r="GY184">
        <v>0</v>
      </c>
      <c r="GZ184">
        <v>0</v>
      </c>
      <c r="HA184">
        <v>0</v>
      </c>
      <c r="HB184">
        <v>0</v>
      </c>
      <c r="HC184">
        <v>0</v>
      </c>
      <c r="HD184">
        <v>0</v>
      </c>
      <c r="HE184">
        <v>0</v>
      </c>
      <c r="HF184">
        <v>0</v>
      </c>
      <c r="HG184">
        <v>0</v>
      </c>
      <c r="HH184">
        <v>0</v>
      </c>
      <c r="HI184">
        <v>0</v>
      </c>
      <c r="HJ184">
        <v>0</v>
      </c>
      <c r="HK184">
        <v>0</v>
      </c>
      <c r="HL184">
        <v>0</v>
      </c>
      <c r="HM184">
        <v>0</v>
      </c>
      <c r="HN184">
        <v>0</v>
      </c>
      <c r="HO184">
        <v>0</v>
      </c>
      <c r="HP184">
        <v>0</v>
      </c>
      <c r="HQ184">
        <v>0</v>
      </c>
      <c r="HR184">
        <v>0</v>
      </c>
      <c r="HS184">
        <v>0</v>
      </c>
      <c r="HT184">
        <v>0</v>
      </c>
      <c r="HU184">
        <v>0</v>
      </c>
      <c r="HV184">
        <v>0</v>
      </c>
      <c r="HW184">
        <v>0</v>
      </c>
      <c r="HX184">
        <v>0</v>
      </c>
      <c r="HY184">
        <v>0</v>
      </c>
      <c r="HZ184">
        <v>0</v>
      </c>
      <c r="IA184">
        <v>0</v>
      </c>
      <c r="IB184">
        <v>0</v>
      </c>
      <c r="IC184">
        <v>0</v>
      </c>
      <c r="ID184">
        <v>0</v>
      </c>
      <c r="IE184">
        <v>0</v>
      </c>
      <c r="IF184">
        <v>0</v>
      </c>
      <c r="IG184">
        <v>0</v>
      </c>
      <c r="IH184">
        <v>0</v>
      </c>
      <c r="II184">
        <v>0</v>
      </c>
      <c r="IJ184">
        <v>0</v>
      </c>
      <c r="IK184">
        <v>0</v>
      </c>
      <c r="IL184">
        <v>0</v>
      </c>
      <c r="IM184">
        <v>0</v>
      </c>
      <c r="IN184">
        <v>0</v>
      </c>
      <c r="IO184">
        <v>0</v>
      </c>
      <c r="IP184">
        <v>0</v>
      </c>
      <c r="IQ184">
        <v>0</v>
      </c>
      <c r="IR184">
        <v>0</v>
      </c>
      <c r="IS184">
        <v>0</v>
      </c>
      <c r="IT184">
        <v>0</v>
      </c>
      <c r="IU184">
        <v>0</v>
      </c>
      <c r="IV184">
        <v>0</v>
      </c>
      <c r="IW184">
        <v>0</v>
      </c>
      <c r="IX184">
        <v>0</v>
      </c>
      <c r="IY184">
        <v>0</v>
      </c>
      <c r="IZ184">
        <v>0</v>
      </c>
      <c r="JA184">
        <v>0</v>
      </c>
      <c r="JB184">
        <v>0</v>
      </c>
      <c r="JC184">
        <v>0</v>
      </c>
      <c r="JD184">
        <v>0</v>
      </c>
      <c r="JE184">
        <v>0</v>
      </c>
      <c r="JF184">
        <v>0</v>
      </c>
      <c r="JG184">
        <v>0</v>
      </c>
      <c r="JH184">
        <v>0</v>
      </c>
      <c r="JI184">
        <v>0</v>
      </c>
      <c r="JJ184">
        <v>0</v>
      </c>
      <c r="JK184">
        <v>0</v>
      </c>
      <c r="JL184">
        <v>0</v>
      </c>
      <c r="JM184">
        <v>0</v>
      </c>
      <c r="JN184">
        <v>0</v>
      </c>
      <c r="JO184">
        <v>0</v>
      </c>
      <c r="JP184">
        <v>0</v>
      </c>
      <c r="JQ184">
        <v>0</v>
      </c>
      <c r="JR184">
        <v>0</v>
      </c>
      <c r="JS184">
        <v>0</v>
      </c>
      <c r="JT184">
        <v>0</v>
      </c>
      <c r="JU184">
        <v>0</v>
      </c>
      <c r="JV184">
        <v>0</v>
      </c>
      <c r="JW184">
        <v>0</v>
      </c>
      <c r="JX184">
        <v>0</v>
      </c>
      <c r="JY184">
        <v>0</v>
      </c>
      <c r="JZ184">
        <v>0</v>
      </c>
      <c r="KA184">
        <v>0</v>
      </c>
      <c r="KB184">
        <v>0</v>
      </c>
      <c r="KC184">
        <v>0</v>
      </c>
      <c r="KD184">
        <v>0</v>
      </c>
      <c r="KE184">
        <v>0</v>
      </c>
      <c r="KF184">
        <v>0</v>
      </c>
      <c r="KG184">
        <v>0</v>
      </c>
      <c r="KH184">
        <v>0</v>
      </c>
      <c r="KI184">
        <v>0</v>
      </c>
      <c r="KJ184">
        <v>0</v>
      </c>
      <c r="KK184">
        <v>0</v>
      </c>
      <c r="KL184">
        <v>0</v>
      </c>
      <c r="KM184">
        <v>0</v>
      </c>
      <c r="KN184">
        <v>0</v>
      </c>
      <c r="KO184">
        <v>0</v>
      </c>
      <c r="KP184">
        <v>0</v>
      </c>
      <c r="KQ184">
        <v>0</v>
      </c>
      <c r="KR184">
        <v>0</v>
      </c>
      <c r="KS184">
        <v>0</v>
      </c>
      <c r="KT184">
        <v>0</v>
      </c>
      <c r="KU184">
        <v>0</v>
      </c>
      <c r="KV184">
        <v>0</v>
      </c>
      <c r="KW184">
        <v>0</v>
      </c>
      <c r="KX184">
        <v>0</v>
      </c>
      <c r="KY184">
        <v>0</v>
      </c>
      <c r="KZ184">
        <v>0</v>
      </c>
      <c r="LA184">
        <v>0</v>
      </c>
      <c r="LB184">
        <v>0</v>
      </c>
      <c r="LC184">
        <v>0</v>
      </c>
      <c r="LD184">
        <v>0</v>
      </c>
      <c r="LE184">
        <v>0</v>
      </c>
      <c r="LF184">
        <v>0</v>
      </c>
      <c r="LG184">
        <v>0</v>
      </c>
      <c r="LH184">
        <v>0</v>
      </c>
      <c r="LI184">
        <v>0</v>
      </c>
      <c r="LJ184">
        <v>0</v>
      </c>
      <c r="LK184">
        <v>0</v>
      </c>
      <c r="LL184">
        <v>0</v>
      </c>
      <c r="LM184">
        <v>0</v>
      </c>
      <c r="LN184">
        <v>0</v>
      </c>
      <c r="LO184">
        <v>0</v>
      </c>
      <c r="LP184">
        <v>0</v>
      </c>
      <c r="LQ184">
        <v>0</v>
      </c>
      <c r="LR184">
        <v>0</v>
      </c>
      <c r="LS184">
        <v>0</v>
      </c>
      <c r="LT184">
        <v>0</v>
      </c>
      <c r="LU184">
        <v>0</v>
      </c>
      <c r="LV184">
        <v>0</v>
      </c>
      <c r="LW184">
        <v>0</v>
      </c>
      <c r="LX184">
        <v>0</v>
      </c>
      <c r="LY184">
        <v>0</v>
      </c>
      <c r="LZ184">
        <v>0</v>
      </c>
      <c r="MA184">
        <v>0</v>
      </c>
      <c r="MB184">
        <v>0</v>
      </c>
      <c r="MC184">
        <v>0</v>
      </c>
      <c r="MD184">
        <v>0</v>
      </c>
      <c r="ME184">
        <v>0</v>
      </c>
      <c r="MF184">
        <v>0</v>
      </c>
      <c r="MG184">
        <v>0</v>
      </c>
      <c r="MH184">
        <v>0</v>
      </c>
      <c r="MI184">
        <v>0</v>
      </c>
      <c r="MJ184">
        <v>0</v>
      </c>
      <c r="MK184">
        <v>0</v>
      </c>
      <c r="ML184">
        <v>0</v>
      </c>
      <c r="MM184">
        <v>0</v>
      </c>
      <c r="MN184">
        <v>0</v>
      </c>
      <c r="MO184">
        <v>0</v>
      </c>
      <c r="MP184">
        <v>0</v>
      </c>
      <c r="MQ184">
        <v>0</v>
      </c>
      <c r="MR184">
        <v>0</v>
      </c>
      <c r="MS184">
        <v>0</v>
      </c>
      <c r="MT184">
        <v>0</v>
      </c>
      <c r="MU184">
        <v>0</v>
      </c>
      <c r="MV184">
        <v>0</v>
      </c>
      <c r="MW184">
        <v>0</v>
      </c>
      <c r="MX184">
        <v>0</v>
      </c>
      <c r="MY184">
        <v>0</v>
      </c>
      <c r="MZ184">
        <v>0</v>
      </c>
      <c r="NA184">
        <v>0</v>
      </c>
      <c r="NB184">
        <v>0</v>
      </c>
      <c r="NC184">
        <v>0</v>
      </c>
      <c r="ND184">
        <v>0</v>
      </c>
      <c r="NE184">
        <v>0</v>
      </c>
    </row>
    <row r="185" spans="41:369" x14ac:dyDescent="0.45">
      <c r="AO185" t="str">
        <v>C141</v>
      </c>
      <c r="AP185" t="str">
        <v>AHMAD MINHAJ</v>
      </c>
      <c r="AQ185" t="str">
        <v>BADF</v>
      </c>
      <c r="AR185" t="str">
        <v>SENIOR</v>
      </c>
      <c r="AS185">
        <v>6</v>
      </c>
      <c r="AT185">
        <v>8</v>
      </c>
      <c r="AU185">
        <v>0</v>
      </c>
      <c r="AV185">
        <v>8</v>
      </c>
      <c r="AW185">
        <v>8</v>
      </c>
      <c r="AX185">
        <v>147</v>
      </c>
      <c r="AY185" s="5">
        <v>147</v>
      </c>
      <c r="AZ185" t="str">
        <v>SS41</v>
      </c>
      <c r="BA185" t="str">
        <v>PROJECT PRESENTATION ENG</v>
      </c>
      <c r="BB185" t="str">
        <v>SUPER SENIOR</v>
      </c>
      <c r="BC185" t="str">
        <v>Single</v>
      </c>
      <c r="BD185" t="str">
        <v>Stage</v>
      </c>
      <c r="BE185">
        <v>1</v>
      </c>
      <c r="BF185" t="str">
        <v>Master</v>
      </c>
      <c r="BG185" t="str">
        <v>Master</v>
      </c>
      <c r="BH185" t="str">
        <v>P</v>
      </c>
      <c r="BI185" t="str">
        <v>PUBLISHED</v>
      </c>
      <c r="BK185">
        <v>179</v>
      </c>
      <c r="BL185" t="str">
        <v>SS37</v>
      </c>
      <c r="BM185" t="str">
        <v>MOCK INTERVIEW ENG</v>
      </c>
      <c r="BN185">
        <v>2</v>
      </c>
      <c r="BO185" t="str">
        <v>Single</v>
      </c>
      <c r="BP185" t="str">
        <v>Stage</v>
      </c>
      <c r="BQ185" t="str">
        <v>SUPER SENIOR</v>
      </c>
      <c r="BR185" t="str">
        <v>D133</v>
      </c>
      <c r="BS185" t="str">
        <v>D165</v>
      </c>
      <c r="BT185">
        <v>0</v>
      </c>
      <c r="BU185">
        <v>0</v>
      </c>
      <c r="BV185">
        <v>0</v>
      </c>
      <c r="BW185">
        <v>0</v>
      </c>
      <c r="BX185">
        <v>0</v>
      </c>
      <c r="BY185" t="str">
        <v>D108</v>
      </c>
      <c r="BZ185" t="str">
        <v>D196</v>
      </c>
      <c r="CA185">
        <v>0</v>
      </c>
      <c r="CB185">
        <v>0</v>
      </c>
      <c r="CC185">
        <v>0</v>
      </c>
      <c r="CD185">
        <v>0</v>
      </c>
      <c r="CE185">
        <v>0</v>
      </c>
      <c r="CF185" t="str">
        <v>D145</v>
      </c>
      <c r="CG185" t="str">
        <v>D195</v>
      </c>
      <c r="CH185">
        <v>0</v>
      </c>
      <c r="CI185">
        <v>0</v>
      </c>
      <c r="CJ185">
        <v>0</v>
      </c>
      <c r="CK185">
        <v>0</v>
      </c>
      <c r="CL185">
        <v>0</v>
      </c>
      <c r="CM185" t="str">
        <v>D111</v>
      </c>
      <c r="CN185" t="str">
        <v>D164</v>
      </c>
      <c r="CO185">
        <v>0</v>
      </c>
      <c r="CP185">
        <v>0</v>
      </c>
      <c r="CQ185">
        <v>0</v>
      </c>
      <c r="CR185">
        <v>0</v>
      </c>
      <c r="CS185">
        <v>0</v>
      </c>
      <c r="CT185">
        <v>0</v>
      </c>
      <c r="CU185">
        <v>0</v>
      </c>
      <c r="CV185">
        <v>0</v>
      </c>
      <c r="CW185">
        <v>0</v>
      </c>
      <c r="CX185">
        <v>0</v>
      </c>
      <c r="CY185">
        <v>0</v>
      </c>
      <c r="CZ185">
        <v>0</v>
      </c>
      <c r="DA185">
        <v>0</v>
      </c>
      <c r="DB185">
        <v>0</v>
      </c>
      <c r="DC185">
        <v>0</v>
      </c>
      <c r="DD185">
        <v>0</v>
      </c>
      <c r="DE185">
        <v>0</v>
      </c>
      <c r="DF185">
        <v>0</v>
      </c>
      <c r="DG185">
        <v>0</v>
      </c>
      <c r="DH185">
        <v>0</v>
      </c>
      <c r="DI185">
        <v>0</v>
      </c>
      <c r="DJ185">
        <v>0</v>
      </c>
      <c r="DK185">
        <v>0</v>
      </c>
      <c r="DL185">
        <v>0</v>
      </c>
      <c r="DM185">
        <v>0</v>
      </c>
      <c r="DN185">
        <v>0</v>
      </c>
      <c r="DO185">
        <v>0</v>
      </c>
      <c r="DP185">
        <v>0</v>
      </c>
      <c r="DQ185">
        <v>0</v>
      </c>
      <c r="DR185">
        <v>0</v>
      </c>
      <c r="DS185">
        <v>0</v>
      </c>
      <c r="DT185">
        <v>0</v>
      </c>
      <c r="DU185">
        <v>0</v>
      </c>
      <c r="DV185">
        <v>0</v>
      </c>
      <c r="DW185">
        <v>0</v>
      </c>
      <c r="DX185">
        <v>0</v>
      </c>
      <c r="DY185">
        <v>0</v>
      </c>
      <c r="DZ185">
        <v>0</v>
      </c>
      <c r="EA185">
        <v>0</v>
      </c>
      <c r="EB185">
        <v>0</v>
      </c>
      <c r="EC185">
        <v>0</v>
      </c>
      <c r="ED185">
        <v>0</v>
      </c>
      <c r="EE185">
        <v>0</v>
      </c>
      <c r="EF185">
        <v>0</v>
      </c>
      <c r="EG185">
        <v>0</v>
      </c>
      <c r="EH185">
        <v>0</v>
      </c>
      <c r="EI185">
        <v>0</v>
      </c>
      <c r="EJ185">
        <v>0</v>
      </c>
      <c r="EK185">
        <v>0</v>
      </c>
      <c r="EL185">
        <v>0</v>
      </c>
      <c r="EM185">
        <v>0</v>
      </c>
      <c r="EN185">
        <v>0</v>
      </c>
      <c r="EO185">
        <v>0</v>
      </c>
      <c r="EP185">
        <v>0</v>
      </c>
      <c r="EQ185">
        <v>0</v>
      </c>
      <c r="ER185">
        <v>0</v>
      </c>
      <c r="ES185">
        <v>0</v>
      </c>
      <c r="ET185">
        <v>0</v>
      </c>
      <c r="EU185">
        <v>0</v>
      </c>
      <c r="EV185">
        <v>0</v>
      </c>
      <c r="EW185">
        <v>0</v>
      </c>
      <c r="EX185">
        <v>0</v>
      </c>
      <c r="EY185">
        <v>0</v>
      </c>
      <c r="EZ185">
        <v>0</v>
      </c>
      <c r="FA185">
        <v>0</v>
      </c>
      <c r="FB185">
        <v>0</v>
      </c>
      <c r="FC185">
        <v>0</v>
      </c>
      <c r="FD185">
        <v>0</v>
      </c>
      <c r="FE185">
        <v>0</v>
      </c>
      <c r="FF185">
        <v>0</v>
      </c>
      <c r="FG185">
        <v>0</v>
      </c>
      <c r="FH185">
        <v>0</v>
      </c>
      <c r="FI185">
        <v>0</v>
      </c>
      <c r="FJ185">
        <v>0</v>
      </c>
      <c r="FK185">
        <v>0</v>
      </c>
      <c r="FL185">
        <v>0</v>
      </c>
      <c r="FM185">
        <v>0</v>
      </c>
      <c r="FN185">
        <v>0</v>
      </c>
      <c r="FO185">
        <v>0</v>
      </c>
      <c r="FP185">
        <v>0</v>
      </c>
      <c r="FQ185">
        <v>0</v>
      </c>
      <c r="FR185">
        <v>0</v>
      </c>
      <c r="FS185">
        <v>0</v>
      </c>
      <c r="FT185">
        <v>0</v>
      </c>
      <c r="FU185">
        <v>0</v>
      </c>
      <c r="FV185">
        <v>0</v>
      </c>
      <c r="FW185">
        <v>0</v>
      </c>
      <c r="FX185">
        <v>0</v>
      </c>
      <c r="FY185">
        <v>0</v>
      </c>
      <c r="FZ185">
        <v>0</v>
      </c>
      <c r="GA185">
        <v>0</v>
      </c>
      <c r="GB185">
        <v>0</v>
      </c>
      <c r="GC185">
        <v>0</v>
      </c>
      <c r="GD185">
        <v>0</v>
      </c>
      <c r="GE185">
        <v>0</v>
      </c>
      <c r="GF185">
        <v>0</v>
      </c>
      <c r="GG185">
        <v>0</v>
      </c>
      <c r="GH185">
        <v>0</v>
      </c>
      <c r="GI185">
        <v>0</v>
      </c>
      <c r="GJ185">
        <v>0</v>
      </c>
      <c r="GK185">
        <v>0</v>
      </c>
      <c r="GL185">
        <v>0</v>
      </c>
      <c r="GM185">
        <v>0</v>
      </c>
      <c r="GN185">
        <v>0</v>
      </c>
      <c r="GO185">
        <v>0</v>
      </c>
      <c r="GP185">
        <v>0</v>
      </c>
      <c r="GQ185">
        <v>0</v>
      </c>
      <c r="GR185">
        <v>0</v>
      </c>
      <c r="GS185">
        <v>0</v>
      </c>
      <c r="GT185">
        <v>0</v>
      </c>
      <c r="GU185">
        <v>0</v>
      </c>
      <c r="GV185">
        <v>0</v>
      </c>
      <c r="GW185">
        <v>0</v>
      </c>
      <c r="GX185">
        <v>0</v>
      </c>
      <c r="GY185">
        <v>0</v>
      </c>
      <c r="GZ185">
        <v>0</v>
      </c>
      <c r="HA185">
        <v>0</v>
      </c>
      <c r="HB185">
        <v>0</v>
      </c>
      <c r="HC185">
        <v>0</v>
      </c>
      <c r="HD185">
        <v>0</v>
      </c>
      <c r="HE185">
        <v>0</v>
      </c>
      <c r="HF185">
        <v>0</v>
      </c>
      <c r="HG185">
        <v>0</v>
      </c>
      <c r="HH185">
        <v>0</v>
      </c>
      <c r="HI185">
        <v>0</v>
      </c>
      <c r="HJ185">
        <v>0</v>
      </c>
      <c r="HK185">
        <v>0</v>
      </c>
      <c r="HL185">
        <v>0</v>
      </c>
      <c r="HM185">
        <v>0</v>
      </c>
      <c r="HN185">
        <v>0</v>
      </c>
      <c r="HO185">
        <v>0</v>
      </c>
      <c r="HP185">
        <v>0</v>
      </c>
      <c r="HQ185">
        <v>0</v>
      </c>
      <c r="HR185">
        <v>0</v>
      </c>
      <c r="HS185">
        <v>0</v>
      </c>
      <c r="HT185">
        <v>0</v>
      </c>
      <c r="HU185">
        <v>0</v>
      </c>
      <c r="HV185">
        <v>0</v>
      </c>
      <c r="HW185">
        <v>0</v>
      </c>
      <c r="HX185">
        <v>0</v>
      </c>
      <c r="HY185">
        <v>0</v>
      </c>
      <c r="HZ185">
        <v>0</v>
      </c>
      <c r="IA185">
        <v>0</v>
      </c>
      <c r="IB185">
        <v>0</v>
      </c>
      <c r="IC185">
        <v>0</v>
      </c>
      <c r="ID185">
        <v>0</v>
      </c>
      <c r="IE185">
        <v>0</v>
      </c>
      <c r="IF185">
        <v>0</v>
      </c>
      <c r="IG185">
        <v>0</v>
      </c>
      <c r="IH185">
        <v>0</v>
      </c>
      <c r="II185">
        <v>0</v>
      </c>
      <c r="IJ185">
        <v>0</v>
      </c>
      <c r="IK185">
        <v>0</v>
      </c>
      <c r="IL185">
        <v>0</v>
      </c>
      <c r="IM185">
        <v>0</v>
      </c>
      <c r="IN185">
        <v>0</v>
      </c>
      <c r="IO185">
        <v>0</v>
      </c>
      <c r="IP185">
        <v>0</v>
      </c>
      <c r="IQ185">
        <v>0</v>
      </c>
      <c r="IR185">
        <v>0</v>
      </c>
      <c r="IS185">
        <v>0</v>
      </c>
      <c r="IT185">
        <v>0</v>
      </c>
      <c r="IU185">
        <v>0</v>
      </c>
      <c r="IV185">
        <v>0</v>
      </c>
      <c r="IW185">
        <v>0</v>
      </c>
      <c r="IX185">
        <v>0</v>
      </c>
      <c r="IY185">
        <v>0</v>
      </c>
      <c r="IZ185">
        <v>0</v>
      </c>
      <c r="JA185">
        <v>0</v>
      </c>
      <c r="JB185">
        <v>0</v>
      </c>
      <c r="JC185">
        <v>0</v>
      </c>
      <c r="JD185">
        <v>0</v>
      </c>
      <c r="JE185">
        <v>0</v>
      </c>
      <c r="JF185">
        <v>0</v>
      </c>
      <c r="JG185">
        <v>0</v>
      </c>
      <c r="JH185">
        <v>0</v>
      </c>
      <c r="JI185">
        <v>0</v>
      </c>
      <c r="JJ185">
        <v>0</v>
      </c>
      <c r="JK185">
        <v>0</v>
      </c>
      <c r="JL185">
        <v>0</v>
      </c>
      <c r="JM185">
        <v>0</v>
      </c>
      <c r="JN185">
        <v>0</v>
      </c>
      <c r="JO185">
        <v>0</v>
      </c>
      <c r="JP185">
        <v>0</v>
      </c>
      <c r="JQ185">
        <v>0</v>
      </c>
      <c r="JR185">
        <v>0</v>
      </c>
      <c r="JS185">
        <v>0</v>
      </c>
      <c r="JT185">
        <v>0</v>
      </c>
      <c r="JU185">
        <v>0</v>
      </c>
      <c r="JV185">
        <v>0</v>
      </c>
      <c r="JW185">
        <v>0</v>
      </c>
      <c r="JX185">
        <v>0</v>
      </c>
      <c r="JY185">
        <v>0</v>
      </c>
      <c r="JZ185">
        <v>0</v>
      </c>
      <c r="KA185">
        <v>0</v>
      </c>
      <c r="KB185">
        <v>0</v>
      </c>
      <c r="KC185">
        <v>0</v>
      </c>
      <c r="KD185">
        <v>0</v>
      </c>
      <c r="KE185">
        <v>0</v>
      </c>
      <c r="KF185">
        <v>0</v>
      </c>
      <c r="KG185">
        <v>0</v>
      </c>
      <c r="KH185">
        <v>0</v>
      </c>
      <c r="KI185">
        <v>0</v>
      </c>
      <c r="KJ185">
        <v>0</v>
      </c>
      <c r="KK185">
        <v>0</v>
      </c>
      <c r="KL185">
        <v>0</v>
      </c>
      <c r="KM185">
        <v>0</v>
      </c>
      <c r="KN185">
        <v>0</v>
      </c>
      <c r="KO185">
        <v>0</v>
      </c>
      <c r="KP185">
        <v>0</v>
      </c>
      <c r="KQ185">
        <v>0</v>
      </c>
      <c r="KR185">
        <v>0</v>
      </c>
      <c r="KS185">
        <v>0</v>
      </c>
      <c r="KT185">
        <v>0</v>
      </c>
      <c r="KU185">
        <v>0</v>
      </c>
      <c r="KV185">
        <v>0</v>
      </c>
      <c r="KW185">
        <v>0</v>
      </c>
      <c r="KX185">
        <v>0</v>
      </c>
      <c r="KY185">
        <v>0</v>
      </c>
      <c r="KZ185">
        <v>0</v>
      </c>
      <c r="LA185">
        <v>0</v>
      </c>
      <c r="LB185">
        <v>0</v>
      </c>
      <c r="LC185">
        <v>0</v>
      </c>
      <c r="LD185">
        <v>0</v>
      </c>
      <c r="LE185">
        <v>0</v>
      </c>
      <c r="LF185">
        <v>0</v>
      </c>
      <c r="LG185">
        <v>0</v>
      </c>
      <c r="LH185">
        <v>0</v>
      </c>
      <c r="LI185">
        <v>0</v>
      </c>
      <c r="LJ185">
        <v>0</v>
      </c>
      <c r="LK185">
        <v>0</v>
      </c>
      <c r="LL185">
        <v>0</v>
      </c>
      <c r="LM185">
        <v>0</v>
      </c>
      <c r="LN185">
        <v>0</v>
      </c>
      <c r="LO185">
        <v>0</v>
      </c>
      <c r="LP185">
        <v>0</v>
      </c>
      <c r="LQ185">
        <v>0</v>
      </c>
      <c r="LR185">
        <v>0</v>
      </c>
      <c r="LS185">
        <v>0</v>
      </c>
      <c r="LT185">
        <v>0</v>
      </c>
      <c r="LU185">
        <v>0</v>
      </c>
      <c r="LV185">
        <v>0</v>
      </c>
      <c r="LW185">
        <v>0</v>
      </c>
      <c r="LX185">
        <v>0</v>
      </c>
      <c r="LY185">
        <v>0</v>
      </c>
      <c r="LZ185">
        <v>0</v>
      </c>
      <c r="MA185">
        <v>0</v>
      </c>
      <c r="MB185">
        <v>0</v>
      </c>
      <c r="MC185">
        <v>0</v>
      </c>
      <c r="MD185">
        <v>0</v>
      </c>
      <c r="ME185">
        <v>0</v>
      </c>
      <c r="MF185">
        <v>0</v>
      </c>
      <c r="MG185">
        <v>0</v>
      </c>
      <c r="MH185">
        <v>0</v>
      </c>
      <c r="MI185">
        <v>0</v>
      </c>
      <c r="MJ185">
        <v>0</v>
      </c>
      <c r="MK185">
        <v>0</v>
      </c>
      <c r="ML185">
        <v>0</v>
      </c>
      <c r="MM185">
        <v>0</v>
      </c>
      <c r="MN185">
        <v>0</v>
      </c>
      <c r="MO185">
        <v>0</v>
      </c>
      <c r="MP185">
        <v>0</v>
      </c>
      <c r="MQ185">
        <v>0</v>
      </c>
      <c r="MR185">
        <v>0</v>
      </c>
      <c r="MS185">
        <v>0</v>
      </c>
      <c r="MT185">
        <v>0</v>
      </c>
      <c r="MU185">
        <v>0</v>
      </c>
      <c r="MV185">
        <v>0</v>
      </c>
      <c r="MW185">
        <v>0</v>
      </c>
      <c r="MX185">
        <v>0</v>
      </c>
      <c r="MY185">
        <v>0</v>
      </c>
      <c r="MZ185">
        <v>0</v>
      </c>
      <c r="NA185">
        <v>0</v>
      </c>
      <c r="NB185">
        <v>0</v>
      </c>
      <c r="NC185">
        <v>0</v>
      </c>
      <c r="ND185">
        <v>0</v>
      </c>
      <c r="NE185">
        <v>0</v>
      </c>
    </row>
    <row r="186" spans="41:369" x14ac:dyDescent="0.45">
      <c r="AO186" t="str">
        <v>C142</v>
      </c>
      <c r="AP186" t="str">
        <v>AHMAD AMEEN T S</v>
      </c>
      <c r="AQ186" t="str">
        <v>FANT</v>
      </c>
      <c r="AR186" t="str">
        <v>SENIOR</v>
      </c>
      <c r="AS186">
        <v>6</v>
      </c>
      <c r="AT186">
        <v>4</v>
      </c>
      <c r="AU186">
        <v>0</v>
      </c>
      <c r="AV186">
        <v>4</v>
      </c>
      <c r="AW186">
        <v>4</v>
      </c>
      <c r="AX186">
        <v>197</v>
      </c>
      <c r="AY186" s="5">
        <v>197</v>
      </c>
      <c r="AZ186" t="str">
        <v>SS42</v>
      </c>
      <c r="BA186" t="str">
        <v>REVERSE QUIZ</v>
      </c>
      <c r="BB186" t="str">
        <v>SUPER SENIOR</v>
      </c>
      <c r="BC186" t="str">
        <v>Single</v>
      </c>
      <c r="BD186" t="str">
        <v>Stage</v>
      </c>
      <c r="BE186">
        <v>2</v>
      </c>
      <c r="BF186" t="str">
        <v>Master</v>
      </c>
      <c r="BG186" t="str">
        <v>Master</v>
      </c>
      <c r="BH186" t="str">
        <v>P</v>
      </c>
      <c r="BI186" t="str">
        <v>PUBLISHED</v>
      </c>
      <c r="BK186">
        <v>180</v>
      </c>
      <c r="BL186" t="str">
        <v>SS38</v>
      </c>
      <c r="BM186" t="str">
        <v>NASHEED ARB</v>
      </c>
      <c r="BN186">
        <v>3</v>
      </c>
      <c r="BO186" t="str">
        <v>Single</v>
      </c>
      <c r="BP186" t="str">
        <v>Stage</v>
      </c>
      <c r="BQ186" t="str">
        <v>SUPER SENIOR</v>
      </c>
      <c r="BR186" t="str">
        <v>D147</v>
      </c>
      <c r="BS186" t="str">
        <v>D175</v>
      </c>
      <c r="BT186" t="str">
        <v>D186</v>
      </c>
      <c r="BU186">
        <v>0</v>
      </c>
      <c r="BV186">
        <v>0</v>
      </c>
      <c r="BW186">
        <v>0</v>
      </c>
      <c r="BX186">
        <v>0</v>
      </c>
      <c r="BY186" t="str">
        <v>D121</v>
      </c>
      <c r="BZ186" t="str">
        <v>D131</v>
      </c>
      <c r="CA186" t="str">
        <v>D179</v>
      </c>
      <c r="CB186">
        <v>0</v>
      </c>
      <c r="CC186">
        <v>0</v>
      </c>
      <c r="CD186">
        <v>0</v>
      </c>
      <c r="CE186">
        <v>0</v>
      </c>
      <c r="CF186" t="str">
        <v>D137</v>
      </c>
      <c r="CG186" t="str">
        <v>D161</v>
      </c>
      <c r="CH186" t="str">
        <v>D143</v>
      </c>
      <c r="CI186">
        <v>0</v>
      </c>
      <c r="CJ186">
        <v>0</v>
      </c>
      <c r="CK186">
        <v>0</v>
      </c>
      <c r="CL186">
        <v>0</v>
      </c>
      <c r="CM186" t="str">
        <v>D113</v>
      </c>
      <c r="CN186" t="str">
        <v>D176</v>
      </c>
      <c r="CO186" t="str">
        <v>D194</v>
      </c>
      <c r="CP186">
        <v>0</v>
      </c>
      <c r="CQ186">
        <v>0</v>
      </c>
      <c r="CR186">
        <v>0</v>
      </c>
      <c r="CS186">
        <v>0</v>
      </c>
      <c r="CT186">
        <v>0</v>
      </c>
      <c r="CU186">
        <v>0</v>
      </c>
      <c r="CV186">
        <v>0</v>
      </c>
      <c r="CW186">
        <v>0</v>
      </c>
      <c r="CX186">
        <v>0</v>
      </c>
      <c r="CY186">
        <v>0</v>
      </c>
      <c r="CZ186">
        <v>0</v>
      </c>
      <c r="DA186">
        <v>0</v>
      </c>
      <c r="DB186">
        <v>0</v>
      </c>
      <c r="DC186">
        <v>0</v>
      </c>
      <c r="DD186">
        <v>0</v>
      </c>
      <c r="DE186">
        <v>0</v>
      </c>
      <c r="DF186">
        <v>0</v>
      </c>
      <c r="DG186">
        <v>0</v>
      </c>
      <c r="DH186">
        <v>0</v>
      </c>
      <c r="DI186">
        <v>0</v>
      </c>
      <c r="DJ186">
        <v>0</v>
      </c>
      <c r="DK186">
        <v>0</v>
      </c>
      <c r="DL186">
        <v>0</v>
      </c>
      <c r="DM186">
        <v>0</v>
      </c>
      <c r="DN186">
        <v>0</v>
      </c>
      <c r="DO186">
        <v>0</v>
      </c>
      <c r="DP186">
        <v>0</v>
      </c>
      <c r="DQ186">
        <v>0</v>
      </c>
      <c r="DR186">
        <v>0</v>
      </c>
      <c r="DS186">
        <v>0</v>
      </c>
      <c r="DT186">
        <v>0</v>
      </c>
      <c r="DU186">
        <v>0</v>
      </c>
      <c r="DV186">
        <v>0</v>
      </c>
      <c r="DW186">
        <v>0</v>
      </c>
      <c r="DX186">
        <v>0</v>
      </c>
      <c r="DY186">
        <v>0</v>
      </c>
      <c r="DZ186">
        <v>0</v>
      </c>
      <c r="EA186">
        <v>0</v>
      </c>
      <c r="EB186">
        <v>0</v>
      </c>
      <c r="EC186">
        <v>0</v>
      </c>
      <c r="ED186">
        <v>0</v>
      </c>
      <c r="EE186">
        <v>0</v>
      </c>
      <c r="EF186">
        <v>0</v>
      </c>
      <c r="EG186">
        <v>0</v>
      </c>
      <c r="EH186">
        <v>0</v>
      </c>
      <c r="EI186">
        <v>0</v>
      </c>
      <c r="EJ186">
        <v>0</v>
      </c>
      <c r="EK186">
        <v>0</v>
      </c>
      <c r="EL186">
        <v>0</v>
      </c>
      <c r="EM186">
        <v>0</v>
      </c>
      <c r="EN186">
        <v>0</v>
      </c>
      <c r="EO186">
        <v>0</v>
      </c>
      <c r="EP186">
        <v>0</v>
      </c>
      <c r="EQ186">
        <v>0</v>
      </c>
      <c r="ER186">
        <v>0</v>
      </c>
      <c r="ES186">
        <v>0</v>
      </c>
      <c r="ET186">
        <v>0</v>
      </c>
      <c r="EU186">
        <v>0</v>
      </c>
      <c r="EV186">
        <v>0</v>
      </c>
      <c r="EW186">
        <v>0</v>
      </c>
      <c r="EX186">
        <v>0</v>
      </c>
      <c r="EY186">
        <v>0</v>
      </c>
      <c r="EZ186">
        <v>0</v>
      </c>
      <c r="FA186">
        <v>0</v>
      </c>
      <c r="FB186">
        <v>0</v>
      </c>
      <c r="FC186">
        <v>0</v>
      </c>
      <c r="FD186">
        <v>0</v>
      </c>
      <c r="FE186">
        <v>0</v>
      </c>
      <c r="FF186">
        <v>0</v>
      </c>
      <c r="FG186">
        <v>0</v>
      </c>
      <c r="FH186">
        <v>0</v>
      </c>
      <c r="FI186">
        <v>0</v>
      </c>
      <c r="FJ186">
        <v>0</v>
      </c>
      <c r="FK186">
        <v>0</v>
      </c>
      <c r="FL186">
        <v>0</v>
      </c>
      <c r="FM186">
        <v>0</v>
      </c>
      <c r="FN186">
        <v>0</v>
      </c>
      <c r="FO186">
        <v>0</v>
      </c>
      <c r="FP186">
        <v>0</v>
      </c>
      <c r="FQ186">
        <v>0</v>
      </c>
      <c r="FR186">
        <v>0</v>
      </c>
      <c r="FS186">
        <v>0</v>
      </c>
      <c r="FT186">
        <v>0</v>
      </c>
      <c r="FU186">
        <v>0</v>
      </c>
      <c r="FV186">
        <v>0</v>
      </c>
      <c r="FW186">
        <v>0</v>
      </c>
      <c r="FX186">
        <v>0</v>
      </c>
      <c r="FY186">
        <v>0</v>
      </c>
      <c r="FZ186">
        <v>0</v>
      </c>
      <c r="GA186">
        <v>0</v>
      </c>
      <c r="GB186">
        <v>0</v>
      </c>
      <c r="GC186">
        <v>0</v>
      </c>
      <c r="GD186">
        <v>0</v>
      </c>
      <c r="GE186">
        <v>0</v>
      </c>
      <c r="GF186">
        <v>0</v>
      </c>
      <c r="GG186">
        <v>0</v>
      </c>
      <c r="GH186">
        <v>0</v>
      </c>
      <c r="GI186">
        <v>0</v>
      </c>
      <c r="GJ186">
        <v>0</v>
      </c>
      <c r="GK186">
        <v>0</v>
      </c>
      <c r="GL186">
        <v>0</v>
      </c>
      <c r="GM186">
        <v>0</v>
      </c>
      <c r="GN186">
        <v>0</v>
      </c>
      <c r="GO186">
        <v>0</v>
      </c>
      <c r="GP186">
        <v>0</v>
      </c>
      <c r="GQ186">
        <v>0</v>
      </c>
      <c r="GR186">
        <v>0</v>
      </c>
      <c r="GS186">
        <v>0</v>
      </c>
      <c r="GT186">
        <v>0</v>
      </c>
      <c r="GU186">
        <v>0</v>
      </c>
      <c r="GV186">
        <v>0</v>
      </c>
      <c r="GW186">
        <v>0</v>
      </c>
      <c r="GX186">
        <v>0</v>
      </c>
      <c r="GY186">
        <v>0</v>
      </c>
      <c r="GZ186">
        <v>0</v>
      </c>
      <c r="HA186">
        <v>0</v>
      </c>
      <c r="HB186">
        <v>0</v>
      </c>
      <c r="HC186">
        <v>0</v>
      </c>
      <c r="HD186">
        <v>0</v>
      </c>
      <c r="HE186">
        <v>0</v>
      </c>
      <c r="HF186">
        <v>0</v>
      </c>
      <c r="HG186">
        <v>0</v>
      </c>
      <c r="HH186">
        <v>0</v>
      </c>
      <c r="HI186">
        <v>0</v>
      </c>
      <c r="HJ186">
        <v>0</v>
      </c>
      <c r="HK186">
        <v>0</v>
      </c>
      <c r="HL186">
        <v>0</v>
      </c>
      <c r="HM186">
        <v>0</v>
      </c>
      <c r="HN186">
        <v>0</v>
      </c>
      <c r="HO186">
        <v>0</v>
      </c>
      <c r="HP186">
        <v>0</v>
      </c>
      <c r="HQ186">
        <v>0</v>
      </c>
      <c r="HR186">
        <v>0</v>
      </c>
      <c r="HS186">
        <v>0</v>
      </c>
      <c r="HT186">
        <v>0</v>
      </c>
      <c r="HU186">
        <v>0</v>
      </c>
      <c r="HV186">
        <v>0</v>
      </c>
      <c r="HW186">
        <v>0</v>
      </c>
      <c r="HX186">
        <v>0</v>
      </c>
      <c r="HY186">
        <v>0</v>
      </c>
      <c r="HZ186">
        <v>0</v>
      </c>
      <c r="IA186">
        <v>0</v>
      </c>
      <c r="IB186">
        <v>0</v>
      </c>
      <c r="IC186">
        <v>0</v>
      </c>
      <c r="ID186">
        <v>0</v>
      </c>
      <c r="IE186">
        <v>0</v>
      </c>
      <c r="IF186">
        <v>0</v>
      </c>
      <c r="IG186">
        <v>0</v>
      </c>
      <c r="IH186">
        <v>0</v>
      </c>
      <c r="II186">
        <v>0</v>
      </c>
      <c r="IJ186">
        <v>0</v>
      </c>
      <c r="IK186">
        <v>0</v>
      </c>
      <c r="IL186">
        <v>0</v>
      </c>
      <c r="IM186">
        <v>0</v>
      </c>
      <c r="IN186">
        <v>0</v>
      </c>
      <c r="IO186">
        <v>0</v>
      </c>
      <c r="IP186">
        <v>0</v>
      </c>
      <c r="IQ186">
        <v>0</v>
      </c>
      <c r="IR186">
        <v>0</v>
      </c>
      <c r="IS186">
        <v>0</v>
      </c>
      <c r="IT186">
        <v>0</v>
      </c>
      <c r="IU186">
        <v>0</v>
      </c>
      <c r="IV186">
        <v>0</v>
      </c>
      <c r="IW186">
        <v>0</v>
      </c>
      <c r="IX186">
        <v>0</v>
      </c>
      <c r="IY186">
        <v>0</v>
      </c>
      <c r="IZ186">
        <v>0</v>
      </c>
      <c r="JA186">
        <v>0</v>
      </c>
      <c r="JB186">
        <v>0</v>
      </c>
      <c r="JC186">
        <v>0</v>
      </c>
      <c r="JD186">
        <v>0</v>
      </c>
      <c r="JE186">
        <v>0</v>
      </c>
      <c r="JF186">
        <v>0</v>
      </c>
      <c r="JG186">
        <v>0</v>
      </c>
      <c r="JH186">
        <v>0</v>
      </c>
      <c r="JI186">
        <v>0</v>
      </c>
      <c r="JJ186">
        <v>0</v>
      </c>
      <c r="JK186">
        <v>0</v>
      </c>
      <c r="JL186">
        <v>0</v>
      </c>
      <c r="JM186">
        <v>0</v>
      </c>
      <c r="JN186">
        <v>0</v>
      </c>
      <c r="JO186">
        <v>0</v>
      </c>
      <c r="JP186">
        <v>0</v>
      </c>
      <c r="JQ186">
        <v>0</v>
      </c>
      <c r="JR186">
        <v>0</v>
      </c>
      <c r="JS186">
        <v>0</v>
      </c>
      <c r="JT186">
        <v>0</v>
      </c>
      <c r="JU186">
        <v>0</v>
      </c>
      <c r="JV186">
        <v>0</v>
      </c>
      <c r="JW186">
        <v>0</v>
      </c>
      <c r="JX186">
        <v>0</v>
      </c>
      <c r="JY186">
        <v>0</v>
      </c>
      <c r="JZ186">
        <v>0</v>
      </c>
      <c r="KA186">
        <v>0</v>
      </c>
      <c r="KB186">
        <v>0</v>
      </c>
      <c r="KC186">
        <v>0</v>
      </c>
      <c r="KD186">
        <v>0</v>
      </c>
      <c r="KE186">
        <v>0</v>
      </c>
      <c r="KF186">
        <v>0</v>
      </c>
      <c r="KG186">
        <v>0</v>
      </c>
      <c r="KH186">
        <v>0</v>
      </c>
      <c r="KI186">
        <v>0</v>
      </c>
      <c r="KJ186">
        <v>0</v>
      </c>
      <c r="KK186">
        <v>0</v>
      </c>
      <c r="KL186">
        <v>0</v>
      </c>
      <c r="KM186">
        <v>0</v>
      </c>
      <c r="KN186">
        <v>0</v>
      </c>
      <c r="KO186">
        <v>0</v>
      </c>
      <c r="KP186">
        <v>0</v>
      </c>
      <c r="KQ186">
        <v>0</v>
      </c>
      <c r="KR186">
        <v>0</v>
      </c>
      <c r="KS186">
        <v>0</v>
      </c>
      <c r="KT186">
        <v>0</v>
      </c>
      <c r="KU186">
        <v>0</v>
      </c>
      <c r="KV186">
        <v>0</v>
      </c>
      <c r="KW186">
        <v>0</v>
      </c>
      <c r="KX186">
        <v>0</v>
      </c>
      <c r="KY186">
        <v>0</v>
      </c>
      <c r="KZ186">
        <v>0</v>
      </c>
      <c r="LA186">
        <v>0</v>
      </c>
      <c r="LB186">
        <v>0</v>
      </c>
      <c r="LC186">
        <v>0</v>
      </c>
      <c r="LD186">
        <v>0</v>
      </c>
      <c r="LE186">
        <v>0</v>
      </c>
      <c r="LF186">
        <v>0</v>
      </c>
      <c r="LG186">
        <v>0</v>
      </c>
      <c r="LH186">
        <v>0</v>
      </c>
      <c r="LI186">
        <v>0</v>
      </c>
      <c r="LJ186">
        <v>0</v>
      </c>
      <c r="LK186">
        <v>0</v>
      </c>
      <c r="LL186">
        <v>0</v>
      </c>
      <c r="LM186">
        <v>0</v>
      </c>
      <c r="LN186">
        <v>0</v>
      </c>
      <c r="LO186">
        <v>0</v>
      </c>
      <c r="LP186">
        <v>0</v>
      </c>
      <c r="LQ186">
        <v>0</v>
      </c>
      <c r="LR186">
        <v>0</v>
      </c>
      <c r="LS186">
        <v>0</v>
      </c>
      <c r="LT186">
        <v>0</v>
      </c>
      <c r="LU186">
        <v>0</v>
      </c>
      <c r="LV186">
        <v>0</v>
      </c>
      <c r="LW186">
        <v>0</v>
      </c>
      <c r="LX186">
        <v>0</v>
      </c>
      <c r="LY186">
        <v>0</v>
      </c>
      <c r="LZ186">
        <v>0</v>
      </c>
      <c r="MA186">
        <v>0</v>
      </c>
      <c r="MB186">
        <v>0</v>
      </c>
      <c r="MC186">
        <v>0</v>
      </c>
      <c r="MD186">
        <v>0</v>
      </c>
      <c r="ME186">
        <v>0</v>
      </c>
      <c r="MF186">
        <v>0</v>
      </c>
      <c r="MG186">
        <v>0</v>
      </c>
      <c r="MH186">
        <v>0</v>
      </c>
      <c r="MI186">
        <v>0</v>
      </c>
      <c r="MJ186">
        <v>0</v>
      </c>
      <c r="MK186">
        <v>0</v>
      </c>
      <c r="ML186">
        <v>0</v>
      </c>
      <c r="MM186">
        <v>0</v>
      </c>
      <c r="MN186">
        <v>0</v>
      </c>
      <c r="MO186">
        <v>0</v>
      </c>
      <c r="MP186">
        <v>0</v>
      </c>
      <c r="MQ186">
        <v>0</v>
      </c>
      <c r="MR186">
        <v>0</v>
      </c>
      <c r="MS186">
        <v>0</v>
      </c>
      <c r="MT186">
        <v>0</v>
      </c>
      <c r="MU186">
        <v>0</v>
      </c>
      <c r="MV186">
        <v>0</v>
      </c>
      <c r="MW186">
        <v>0</v>
      </c>
      <c r="MX186">
        <v>0</v>
      </c>
      <c r="MY186">
        <v>0</v>
      </c>
      <c r="MZ186">
        <v>0</v>
      </c>
      <c r="NA186">
        <v>0</v>
      </c>
      <c r="NB186">
        <v>0</v>
      </c>
      <c r="NC186">
        <v>0</v>
      </c>
      <c r="ND186">
        <v>0</v>
      </c>
      <c r="NE186">
        <v>0</v>
      </c>
    </row>
    <row r="187" spans="41:369" x14ac:dyDescent="0.45">
      <c r="AO187" t="str">
        <v>C143</v>
      </c>
      <c r="AP187" t="str">
        <v>MUHAMMED SINAN M</v>
      </c>
      <c r="AQ187" t="str">
        <v>JARF</v>
      </c>
      <c r="AR187" t="str">
        <v>SENIOR</v>
      </c>
      <c r="AS187">
        <v>6</v>
      </c>
      <c r="AT187">
        <v>10</v>
      </c>
      <c r="AU187">
        <v>0</v>
      </c>
      <c r="AV187">
        <v>10</v>
      </c>
      <c r="AW187">
        <v>10</v>
      </c>
      <c r="AX187">
        <v>131</v>
      </c>
      <c r="AY187" s="5">
        <v>131</v>
      </c>
      <c r="AZ187" t="str">
        <v>SS43</v>
      </c>
      <c r="BA187" t="str">
        <v>SIYASI THAQREER URD</v>
      </c>
      <c r="BB187" t="str">
        <v>SUPER SENIOR</v>
      </c>
      <c r="BC187" t="str">
        <v>Single</v>
      </c>
      <c r="BD187" t="str">
        <v>Stage</v>
      </c>
      <c r="BE187">
        <v>2</v>
      </c>
      <c r="BF187" t="str">
        <v>Individual</v>
      </c>
      <c r="BG187" t="str">
        <v>Individual</v>
      </c>
      <c r="BH187" t="str">
        <v>P</v>
      </c>
      <c r="BI187" t="str">
        <v>PUBLISHED</v>
      </c>
      <c r="BK187">
        <v>181</v>
      </c>
      <c r="BL187" t="str">
        <v>SS39</v>
      </c>
      <c r="BM187" t="str">
        <v>NEWS WRITING &amp; READING ARB</v>
      </c>
      <c r="BN187">
        <v>3</v>
      </c>
      <c r="BO187" t="str">
        <v>Single</v>
      </c>
      <c r="BP187" t="str">
        <v>Stage</v>
      </c>
      <c r="BQ187" t="str">
        <v>SUPER SENIOR</v>
      </c>
      <c r="BR187" t="str">
        <v>D142</v>
      </c>
      <c r="BS187" t="str">
        <v>D177</v>
      </c>
      <c r="BT187" t="str">
        <v>D188</v>
      </c>
      <c r="BU187">
        <v>0</v>
      </c>
      <c r="BV187">
        <v>0</v>
      </c>
      <c r="BW187">
        <v>0</v>
      </c>
      <c r="BX187">
        <v>0</v>
      </c>
      <c r="BY187" t="str">
        <v>D140</v>
      </c>
      <c r="BZ187" t="str">
        <v>D166</v>
      </c>
      <c r="CA187" t="str">
        <v>D148</v>
      </c>
      <c r="CB187">
        <v>0</v>
      </c>
      <c r="CC187">
        <v>0</v>
      </c>
      <c r="CD187">
        <v>0</v>
      </c>
      <c r="CE187">
        <v>0</v>
      </c>
      <c r="CF187" t="str">
        <v>D143</v>
      </c>
      <c r="CG187" t="str">
        <v>D162</v>
      </c>
      <c r="CH187" t="str">
        <v>D178</v>
      </c>
      <c r="CI187">
        <v>0</v>
      </c>
      <c r="CJ187">
        <v>0</v>
      </c>
      <c r="CK187">
        <v>0</v>
      </c>
      <c r="CL187">
        <v>0</v>
      </c>
      <c r="CM187" t="str">
        <v>D104</v>
      </c>
      <c r="CN187" t="str">
        <v>D139</v>
      </c>
      <c r="CO187" t="str">
        <v>D149</v>
      </c>
      <c r="CP187">
        <v>0</v>
      </c>
      <c r="CQ187">
        <v>0</v>
      </c>
      <c r="CR187">
        <v>0</v>
      </c>
      <c r="CS187">
        <v>0</v>
      </c>
      <c r="CT187">
        <v>0</v>
      </c>
      <c r="CU187">
        <v>0</v>
      </c>
      <c r="CV187">
        <v>0</v>
      </c>
      <c r="CW187">
        <v>0</v>
      </c>
      <c r="CX187">
        <v>0</v>
      </c>
      <c r="CY187">
        <v>0</v>
      </c>
      <c r="CZ187">
        <v>0</v>
      </c>
      <c r="DA187">
        <v>0</v>
      </c>
      <c r="DB187">
        <v>0</v>
      </c>
      <c r="DC187">
        <v>0</v>
      </c>
      <c r="DD187">
        <v>0</v>
      </c>
      <c r="DE187">
        <v>0</v>
      </c>
      <c r="DF187">
        <v>0</v>
      </c>
      <c r="DG187">
        <v>0</v>
      </c>
      <c r="DH187">
        <v>0</v>
      </c>
      <c r="DI187">
        <v>0</v>
      </c>
      <c r="DJ187">
        <v>0</v>
      </c>
      <c r="DK187">
        <v>0</v>
      </c>
      <c r="DL187">
        <v>0</v>
      </c>
      <c r="DM187">
        <v>0</v>
      </c>
      <c r="DN187">
        <v>0</v>
      </c>
      <c r="DO187">
        <v>0</v>
      </c>
      <c r="DP187">
        <v>0</v>
      </c>
      <c r="DQ187">
        <v>0</v>
      </c>
      <c r="DR187">
        <v>0</v>
      </c>
      <c r="DS187">
        <v>0</v>
      </c>
      <c r="DT187">
        <v>0</v>
      </c>
      <c r="DU187">
        <v>0</v>
      </c>
      <c r="DV187">
        <v>0</v>
      </c>
      <c r="DW187">
        <v>0</v>
      </c>
      <c r="DX187">
        <v>0</v>
      </c>
      <c r="DY187">
        <v>0</v>
      </c>
      <c r="DZ187">
        <v>0</v>
      </c>
      <c r="EA187">
        <v>0</v>
      </c>
      <c r="EB187">
        <v>0</v>
      </c>
      <c r="EC187">
        <v>0</v>
      </c>
      <c r="ED187">
        <v>0</v>
      </c>
      <c r="EE187">
        <v>0</v>
      </c>
      <c r="EF187">
        <v>0</v>
      </c>
      <c r="EG187">
        <v>0</v>
      </c>
      <c r="EH187">
        <v>0</v>
      </c>
      <c r="EI187">
        <v>0</v>
      </c>
      <c r="EJ187">
        <v>0</v>
      </c>
      <c r="EK187">
        <v>0</v>
      </c>
      <c r="EL187">
        <v>0</v>
      </c>
      <c r="EM187">
        <v>0</v>
      </c>
      <c r="EN187">
        <v>0</v>
      </c>
      <c r="EO187">
        <v>0</v>
      </c>
      <c r="EP187">
        <v>0</v>
      </c>
      <c r="EQ187">
        <v>0</v>
      </c>
      <c r="ER187">
        <v>0</v>
      </c>
      <c r="ES187">
        <v>0</v>
      </c>
      <c r="ET187">
        <v>0</v>
      </c>
      <c r="EU187">
        <v>0</v>
      </c>
      <c r="EV187">
        <v>0</v>
      </c>
      <c r="EW187">
        <v>0</v>
      </c>
      <c r="EX187">
        <v>0</v>
      </c>
      <c r="EY187">
        <v>0</v>
      </c>
      <c r="EZ187">
        <v>0</v>
      </c>
      <c r="FA187">
        <v>0</v>
      </c>
      <c r="FB187">
        <v>0</v>
      </c>
      <c r="FC187">
        <v>0</v>
      </c>
      <c r="FD187">
        <v>0</v>
      </c>
      <c r="FE187">
        <v>0</v>
      </c>
      <c r="FF187">
        <v>0</v>
      </c>
      <c r="FG187">
        <v>0</v>
      </c>
      <c r="FH187">
        <v>0</v>
      </c>
      <c r="FI187">
        <v>0</v>
      </c>
      <c r="FJ187">
        <v>0</v>
      </c>
      <c r="FK187">
        <v>0</v>
      </c>
      <c r="FL187">
        <v>0</v>
      </c>
      <c r="FM187">
        <v>0</v>
      </c>
      <c r="FN187">
        <v>0</v>
      </c>
      <c r="FO187">
        <v>0</v>
      </c>
      <c r="FP187">
        <v>0</v>
      </c>
      <c r="FQ187">
        <v>0</v>
      </c>
      <c r="FR187">
        <v>0</v>
      </c>
      <c r="FS187">
        <v>0</v>
      </c>
      <c r="FT187">
        <v>0</v>
      </c>
      <c r="FU187">
        <v>0</v>
      </c>
      <c r="FV187">
        <v>0</v>
      </c>
      <c r="FW187">
        <v>0</v>
      </c>
      <c r="FX187">
        <v>0</v>
      </c>
      <c r="FY187">
        <v>0</v>
      </c>
      <c r="FZ187">
        <v>0</v>
      </c>
      <c r="GA187">
        <v>0</v>
      </c>
      <c r="GB187">
        <v>0</v>
      </c>
      <c r="GC187">
        <v>0</v>
      </c>
      <c r="GD187">
        <v>0</v>
      </c>
      <c r="GE187">
        <v>0</v>
      </c>
      <c r="GF187">
        <v>0</v>
      </c>
      <c r="GG187">
        <v>0</v>
      </c>
      <c r="GH187">
        <v>0</v>
      </c>
      <c r="GI187">
        <v>0</v>
      </c>
      <c r="GJ187">
        <v>0</v>
      </c>
      <c r="GK187">
        <v>0</v>
      </c>
      <c r="GL187">
        <v>0</v>
      </c>
      <c r="GM187">
        <v>0</v>
      </c>
      <c r="GN187">
        <v>0</v>
      </c>
      <c r="GO187">
        <v>0</v>
      </c>
      <c r="GP187">
        <v>0</v>
      </c>
      <c r="GQ187">
        <v>0</v>
      </c>
      <c r="GR187">
        <v>0</v>
      </c>
      <c r="GS187">
        <v>0</v>
      </c>
      <c r="GT187">
        <v>0</v>
      </c>
      <c r="GU187">
        <v>0</v>
      </c>
      <c r="GV187">
        <v>0</v>
      </c>
      <c r="GW187">
        <v>0</v>
      </c>
      <c r="GX187">
        <v>0</v>
      </c>
      <c r="GY187">
        <v>0</v>
      </c>
      <c r="GZ187">
        <v>0</v>
      </c>
      <c r="HA187">
        <v>0</v>
      </c>
      <c r="HB187">
        <v>0</v>
      </c>
      <c r="HC187">
        <v>0</v>
      </c>
      <c r="HD187">
        <v>0</v>
      </c>
      <c r="HE187">
        <v>0</v>
      </c>
      <c r="HF187">
        <v>0</v>
      </c>
      <c r="HG187">
        <v>0</v>
      </c>
      <c r="HH187">
        <v>0</v>
      </c>
      <c r="HI187">
        <v>0</v>
      </c>
      <c r="HJ187">
        <v>0</v>
      </c>
      <c r="HK187">
        <v>0</v>
      </c>
      <c r="HL187">
        <v>0</v>
      </c>
      <c r="HM187">
        <v>0</v>
      </c>
      <c r="HN187">
        <v>0</v>
      </c>
      <c r="HO187">
        <v>0</v>
      </c>
      <c r="HP187">
        <v>0</v>
      </c>
      <c r="HQ187">
        <v>0</v>
      </c>
      <c r="HR187">
        <v>0</v>
      </c>
      <c r="HS187">
        <v>0</v>
      </c>
      <c r="HT187">
        <v>0</v>
      </c>
      <c r="HU187">
        <v>0</v>
      </c>
      <c r="HV187">
        <v>0</v>
      </c>
      <c r="HW187">
        <v>0</v>
      </c>
      <c r="HX187">
        <v>0</v>
      </c>
      <c r="HY187">
        <v>0</v>
      </c>
      <c r="HZ187">
        <v>0</v>
      </c>
      <c r="IA187">
        <v>0</v>
      </c>
      <c r="IB187">
        <v>0</v>
      </c>
      <c r="IC187">
        <v>0</v>
      </c>
      <c r="ID187">
        <v>0</v>
      </c>
      <c r="IE187">
        <v>0</v>
      </c>
      <c r="IF187">
        <v>0</v>
      </c>
      <c r="IG187">
        <v>0</v>
      </c>
      <c r="IH187">
        <v>0</v>
      </c>
      <c r="II187">
        <v>0</v>
      </c>
      <c r="IJ187">
        <v>0</v>
      </c>
      <c r="IK187">
        <v>0</v>
      </c>
      <c r="IL187">
        <v>0</v>
      </c>
      <c r="IM187">
        <v>0</v>
      </c>
      <c r="IN187">
        <v>0</v>
      </c>
      <c r="IO187">
        <v>0</v>
      </c>
      <c r="IP187">
        <v>0</v>
      </c>
      <c r="IQ187">
        <v>0</v>
      </c>
      <c r="IR187">
        <v>0</v>
      </c>
      <c r="IS187">
        <v>0</v>
      </c>
      <c r="IT187">
        <v>0</v>
      </c>
      <c r="IU187">
        <v>0</v>
      </c>
      <c r="IV187">
        <v>0</v>
      </c>
      <c r="IW187">
        <v>0</v>
      </c>
      <c r="IX187">
        <v>0</v>
      </c>
      <c r="IY187">
        <v>0</v>
      </c>
      <c r="IZ187">
        <v>0</v>
      </c>
      <c r="JA187">
        <v>0</v>
      </c>
      <c r="JB187">
        <v>0</v>
      </c>
      <c r="JC187">
        <v>0</v>
      </c>
      <c r="JD187">
        <v>0</v>
      </c>
      <c r="JE187">
        <v>0</v>
      </c>
      <c r="JF187">
        <v>0</v>
      </c>
      <c r="JG187">
        <v>0</v>
      </c>
      <c r="JH187">
        <v>0</v>
      </c>
      <c r="JI187">
        <v>0</v>
      </c>
      <c r="JJ187">
        <v>0</v>
      </c>
      <c r="JK187">
        <v>0</v>
      </c>
      <c r="JL187">
        <v>0</v>
      </c>
      <c r="JM187">
        <v>0</v>
      </c>
      <c r="JN187">
        <v>0</v>
      </c>
      <c r="JO187">
        <v>0</v>
      </c>
      <c r="JP187">
        <v>0</v>
      </c>
      <c r="JQ187">
        <v>0</v>
      </c>
      <c r="JR187">
        <v>0</v>
      </c>
      <c r="JS187">
        <v>0</v>
      </c>
      <c r="JT187">
        <v>0</v>
      </c>
      <c r="JU187">
        <v>0</v>
      </c>
      <c r="JV187">
        <v>0</v>
      </c>
      <c r="JW187">
        <v>0</v>
      </c>
      <c r="JX187">
        <v>0</v>
      </c>
      <c r="JY187">
        <v>0</v>
      </c>
      <c r="JZ187">
        <v>0</v>
      </c>
      <c r="KA187">
        <v>0</v>
      </c>
      <c r="KB187">
        <v>0</v>
      </c>
      <c r="KC187">
        <v>0</v>
      </c>
      <c r="KD187">
        <v>0</v>
      </c>
      <c r="KE187">
        <v>0</v>
      </c>
      <c r="KF187">
        <v>0</v>
      </c>
      <c r="KG187">
        <v>0</v>
      </c>
      <c r="KH187">
        <v>0</v>
      </c>
      <c r="KI187">
        <v>0</v>
      </c>
      <c r="KJ187">
        <v>0</v>
      </c>
      <c r="KK187">
        <v>0</v>
      </c>
      <c r="KL187">
        <v>0</v>
      </c>
      <c r="KM187">
        <v>0</v>
      </c>
      <c r="KN187">
        <v>0</v>
      </c>
      <c r="KO187">
        <v>0</v>
      </c>
      <c r="KP187">
        <v>0</v>
      </c>
      <c r="KQ187">
        <v>0</v>
      </c>
      <c r="KR187">
        <v>0</v>
      </c>
      <c r="KS187">
        <v>0</v>
      </c>
      <c r="KT187">
        <v>0</v>
      </c>
      <c r="KU187">
        <v>0</v>
      </c>
      <c r="KV187">
        <v>0</v>
      </c>
      <c r="KW187">
        <v>0</v>
      </c>
      <c r="KX187">
        <v>0</v>
      </c>
      <c r="KY187">
        <v>0</v>
      </c>
      <c r="KZ187">
        <v>0</v>
      </c>
      <c r="LA187">
        <v>0</v>
      </c>
      <c r="LB187">
        <v>0</v>
      </c>
      <c r="LC187">
        <v>0</v>
      </c>
      <c r="LD187">
        <v>0</v>
      </c>
      <c r="LE187">
        <v>0</v>
      </c>
      <c r="LF187">
        <v>0</v>
      </c>
      <c r="LG187">
        <v>0</v>
      </c>
      <c r="LH187">
        <v>0</v>
      </c>
      <c r="LI187">
        <v>0</v>
      </c>
      <c r="LJ187">
        <v>0</v>
      </c>
      <c r="LK187">
        <v>0</v>
      </c>
      <c r="LL187">
        <v>0</v>
      </c>
      <c r="LM187">
        <v>0</v>
      </c>
      <c r="LN187">
        <v>0</v>
      </c>
      <c r="LO187">
        <v>0</v>
      </c>
      <c r="LP187">
        <v>0</v>
      </c>
      <c r="LQ187">
        <v>0</v>
      </c>
      <c r="LR187">
        <v>0</v>
      </c>
      <c r="LS187">
        <v>0</v>
      </c>
      <c r="LT187">
        <v>0</v>
      </c>
      <c r="LU187">
        <v>0</v>
      </c>
      <c r="LV187">
        <v>0</v>
      </c>
      <c r="LW187">
        <v>0</v>
      </c>
      <c r="LX187">
        <v>0</v>
      </c>
      <c r="LY187">
        <v>0</v>
      </c>
      <c r="LZ187">
        <v>0</v>
      </c>
      <c r="MA187">
        <v>0</v>
      </c>
      <c r="MB187">
        <v>0</v>
      </c>
      <c r="MC187">
        <v>0</v>
      </c>
      <c r="MD187">
        <v>0</v>
      </c>
      <c r="ME187">
        <v>0</v>
      </c>
      <c r="MF187">
        <v>0</v>
      </c>
      <c r="MG187">
        <v>0</v>
      </c>
      <c r="MH187">
        <v>0</v>
      </c>
      <c r="MI187">
        <v>0</v>
      </c>
      <c r="MJ187">
        <v>0</v>
      </c>
      <c r="MK187">
        <v>0</v>
      </c>
      <c r="ML187">
        <v>0</v>
      </c>
      <c r="MM187">
        <v>0</v>
      </c>
      <c r="MN187">
        <v>0</v>
      </c>
      <c r="MO187">
        <v>0</v>
      </c>
      <c r="MP187">
        <v>0</v>
      </c>
      <c r="MQ187">
        <v>0</v>
      </c>
      <c r="MR187">
        <v>0</v>
      </c>
      <c r="MS187">
        <v>0</v>
      </c>
      <c r="MT187">
        <v>0</v>
      </c>
      <c r="MU187">
        <v>0</v>
      </c>
      <c r="MV187">
        <v>0</v>
      </c>
      <c r="MW187">
        <v>0</v>
      </c>
      <c r="MX187">
        <v>0</v>
      </c>
      <c r="MY187">
        <v>0</v>
      </c>
      <c r="MZ187">
        <v>0</v>
      </c>
      <c r="NA187">
        <v>0</v>
      </c>
      <c r="NB187">
        <v>0</v>
      </c>
      <c r="NC187">
        <v>0</v>
      </c>
      <c r="ND187">
        <v>0</v>
      </c>
      <c r="NE187">
        <v>0</v>
      </c>
    </row>
    <row r="188" spans="41:369" x14ac:dyDescent="0.45">
      <c r="AO188" t="str">
        <v>C144</v>
      </c>
      <c r="AP188" t="str">
        <v>MUHAMMED ASHKKAR ALI</v>
      </c>
      <c r="AQ188" t="str">
        <v>DAHF</v>
      </c>
      <c r="AR188" t="str">
        <v>SENIOR</v>
      </c>
      <c r="AS188">
        <v>6</v>
      </c>
      <c r="AT188">
        <v>2</v>
      </c>
      <c r="AU188">
        <v>0</v>
      </c>
      <c r="AV188">
        <v>2</v>
      </c>
      <c r="AW188">
        <v>2</v>
      </c>
      <c r="AX188">
        <v>224</v>
      </c>
      <c r="AY188" s="5">
        <v>224</v>
      </c>
      <c r="AZ188" t="str">
        <v>SS44</v>
      </c>
      <c r="BA188" t="str">
        <v>SONG ENG</v>
      </c>
      <c r="BB188" t="str">
        <v>SUPER SENIOR</v>
      </c>
      <c r="BC188" t="str">
        <v>Single</v>
      </c>
      <c r="BD188" t="str">
        <v>Stage</v>
      </c>
      <c r="BE188">
        <v>3</v>
      </c>
      <c r="BF188" t="str">
        <v>Individual</v>
      </c>
      <c r="BG188" t="str">
        <v>Individual</v>
      </c>
      <c r="BH188" t="str">
        <v>P</v>
      </c>
      <c r="BI188" t="str">
        <v>PUBLISHED</v>
      </c>
      <c r="BK188">
        <v>182</v>
      </c>
      <c r="BL188" t="str">
        <v>SS40</v>
      </c>
      <c r="BM188" t="str">
        <v>POLITICAL SATIRE MLM</v>
      </c>
      <c r="BN188">
        <v>2</v>
      </c>
      <c r="BO188" t="str">
        <v>Single</v>
      </c>
      <c r="BP188" t="str">
        <v>Stage</v>
      </c>
      <c r="BQ188" t="str">
        <v>SUPER SENIOR</v>
      </c>
      <c r="BR188" t="str">
        <v>D127</v>
      </c>
      <c r="BS188" t="str">
        <v>D128</v>
      </c>
      <c r="BT188">
        <v>0</v>
      </c>
      <c r="BU188">
        <v>0</v>
      </c>
      <c r="BV188">
        <v>0</v>
      </c>
      <c r="BW188">
        <v>0</v>
      </c>
      <c r="BX188">
        <v>0</v>
      </c>
      <c r="BY188" t="str">
        <v>D140</v>
      </c>
      <c r="BZ188" t="str">
        <v>D152</v>
      </c>
      <c r="CA188">
        <v>0</v>
      </c>
      <c r="CB188">
        <v>0</v>
      </c>
      <c r="CC188">
        <v>0</v>
      </c>
      <c r="CD188">
        <v>0</v>
      </c>
      <c r="CE188">
        <v>0</v>
      </c>
      <c r="CF188" t="str">
        <v>D141</v>
      </c>
      <c r="CG188" t="str">
        <v>D195</v>
      </c>
      <c r="CH188">
        <v>0</v>
      </c>
      <c r="CI188">
        <v>0</v>
      </c>
      <c r="CJ188">
        <v>0</v>
      </c>
      <c r="CK188">
        <v>0</v>
      </c>
      <c r="CL188">
        <v>0</v>
      </c>
      <c r="CM188" t="str">
        <v>D113</v>
      </c>
      <c r="CN188" t="str">
        <v>D170</v>
      </c>
      <c r="CO188">
        <v>0</v>
      </c>
      <c r="CP188">
        <v>0</v>
      </c>
      <c r="CQ188">
        <v>0</v>
      </c>
      <c r="CR188">
        <v>0</v>
      </c>
      <c r="CS188">
        <v>0</v>
      </c>
      <c r="CT188">
        <v>0</v>
      </c>
      <c r="CU188">
        <v>0</v>
      </c>
      <c r="CV188">
        <v>0</v>
      </c>
      <c r="CW188">
        <v>0</v>
      </c>
      <c r="CX188">
        <v>0</v>
      </c>
      <c r="CY188">
        <v>0</v>
      </c>
      <c r="CZ188">
        <v>0</v>
      </c>
      <c r="DA188">
        <v>0</v>
      </c>
      <c r="DB188">
        <v>0</v>
      </c>
      <c r="DC188">
        <v>0</v>
      </c>
      <c r="DD188">
        <v>0</v>
      </c>
      <c r="DE188">
        <v>0</v>
      </c>
      <c r="DF188">
        <v>0</v>
      </c>
      <c r="DG188">
        <v>0</v>
      </c>
      <c r="DH188">
        <v>0</v>
      </c>
      <c r="DI188">
        <v>0</v>
      </c>
      <c r="DJ188">
        <v>0</v>
      </c>
      <c r="DK188">
        <v>0</v>
      </c>
      <c r="DL188">
        <v>0</v>
      </c>
      <c r="DM188">
        <v>0</v>
      </c>
      <c r="DN188">
        <v>0</v>
      </c>
      <c r="DO188">
        <v>0</v>
      </c>
      <c r="DP188">
        <v>0</v>
      </c>
      <c r="DQ188">
        <v>0</v>
      </c>
      <c r="DR188">
        <v>0</v>
      </c>
      <c r="DS188">
        <v>0</v>
      </c>
      <c r="DT188">
        <v>0</v>
      </c>
      <c r="DU188">
        <v>0</v>
      </c>
      <c r="DV188">
        <v>0</v>
      </c>
      <c r="DW188">
        <v>0</v>
      </c>
      <c r="DX188">
        <v>0</v>
      </c>
      <c r="DY188">
        <v>0</v>
      </c>
      <c r="DZ188">
        <v>0</v>
      </c>
      <c r="EA188">
        <v>0</v>
      </c>
      <c r="EB188">
        <v>0</v>
      </c>
      <c r="EC188">
        <v>0</v>
      </c>
      <c r="ED188">
        <v>0</v>
      </c>
      <c r="EE188">
        <v>0</v>
      </c>
      <c r="EF188">
        <v>0</v>
      </c>
      <c r="EG188">
        <v>0</v>
      </c>
      <c r="EH188">
        <v>0</v>
      </c>
      <c r="EI188">
        <v>0</v>
      </c>
      <c r="EJ188">
        <v>0</v>
      </c>
      <c r="EK188">
        <v>0</v>
      </c>
      <c r="EL188">
        <v>0</v>
      </c>
      <c r="EM188">
        <v>0</v>
      </c>
      <c r="EN188">
        <v>0</v>
      </c>
      <c r="EO188">
        <v>0</v>
      </c>
      <c r="EP188">
        <v>0</v>
      </c>
      <c r="EQ188">
        <v>0</v>
      </c>
      <c r="ER188">
        <v>0</v>
      </c>
      <c r="ES188">
        <v>0</v>
      </c>
      <c r="ET188">
        <v>0</v>
      </c>
      <c r="EU188">
        <v>0</v>
      </c>
      <c r="EV188">
        <v>0</v>
      </c>
      <c r="EW188">
        <v>0</v>
      </c>
      <c r="EX188">
        <v>0</v>
      </c>
      <c r="EY188">
        <v>0</v>
      </c>
      <c r="EZ188">
        <v>0</v>
      </c>
      <c r="FA188">
        <v>0</v>
      </c>
      <c r="FB188">
        <v>0</v>
      </c>
      <c r="FC188">
        <v>0</v>
      </c>
      <c r="FD188">
        <v>0</v>
      </c>
      <c r="FE188">
        <v>0</v>
      </c>
      <c r="FF188">
        <v>0</v>
      </c>
      <c r="FG188">
        <v>0</v>
      </c>
      <c r="FH188">
        <v>0</v>
      </c>
      <c r="FI188">
        <v>0</v>
      </c>
      <c r="FJ188">
        <v>0</v>
      </c>
      <c r="FK188">
        <v>0</v>
      </c>
      <c r="FL188">
        <v>0</v>
      </c>
      <c r="FM188">
        <v>0</v>
      </c>
      <c r="FN188">
        <v>0</v>
      </c>
      <c r="FO188">
        <v>0</v>
      </c>
      <c r="FP188">
        <v>0</v>
      </c>
      <c r="FQ188">
        <v>0</v>
      </c>
      <c r="FR188">
        <v>0</v>
      </c>
      <c r="FS188">
        <v>0</v>
      </c>
      <c r="FT188">
        <v>0</v>
      </c>
      <c r="FU188">
        <v>0</v>
      </c>
      <c r="FV188">
        <v>0</v>
      </c>
      <c r="FW188">
        <v>0</v>
      </c>
      <c r="FX188">
        <v>0</v>
      </c>
      <c r="FY188">
        <v>0</v>
      </c>
      <c r="FZ188">
        <v>0</v>
      </c>
      <c r="GA188">
        <v>0</v>
      </c>
      <c r="GB188">
        <v>0</v>
      </c>
      <c r="GC188">
        <v>0</v>
      </c>
      <c r="GD188">
        <v>0</v>
      </c>
      <c r="GE188">
        <v>0</v>
      </c>
      <c r="GF188">
        <v>0</v>
      </c>
      <c r="GG188">
        <v>0</v>
      </c>
      <c r="GH188">
        <v>0</v>
      </c>
      <c r="GI188">
        <v>0</v>
      </c>
      <c r="GJ188">
        <v>0</v>
      </c>
      <c r="GK188">
        <v>0</v>
      </c>
      <c r="GL188">
        <v>0</v>
      </c>
      <c r="GM188">
        <v>0</v>
      </c>
      <c r="GN188">
        <v>0</v>
      </c>
      <c r="GO188">
        <v>0</v>
      </c>
      <c r="GP188">
        <v>0</v>
      </c>
      <c r="GQ188">
        <v>0</v>
      </c>
      <c r="GR188">
        <v>0</v>
      </c>
      <c r="GS188">
        <v>0</v>
      </c>
      <c r="GT188">
        <v>0</v>
      </c>
      <c r="GU188">
        <v>0</v>
      </c>
      <c r="GV188">
        <v>0</v>
      </c>
      <c r="GW188">
        <v>0</v>
      </c>
      <c r="GX188">
        <v>0</v>
      </c>
      <c r="GY188">
        <v>0</v>
      </c>
      <c r="GZ188">
        <v>0</v>
      </c>
      <c r="HA188">
        <v>0</v>
      </c>
      <c r="HB188">
        <v>0</v>
      </c>
      <c r="HC188">
        <v>0</v>
      </c>
      <c r="HD188">
        <v>0</v>
      </c>
      <c r="HE188">
        <v>0</v>
      </c>
      <c r="HF188">
        <v>0</v>
      </c>
      <c r="HG188">
        <v>0</v>
      </c>
      <c r="HH188">
        <v>0</v>
      </c>
      <c r="HI188">
        <v>0</v>
      </c>
      <c r="HJ188">
        <v>0</v>
      </c>
      <c r="HK188">
        <v>0</v>
      </c>
      <c r="HL188">
        <v>0</v>
      </c>
      <c r="HM188">
        <v>0</v>
      </c>
      <c r="HN188">
        <v>0</v>
      </c>
      <c r="HO188">
        <v>0</v>
      </c>
      <c r="HP188">
        <v>0</v>
      </c>
      <c r="HQ188">
        <v>0</v>
      </c>
      <c r="HR188">
        <v>0</v>
      </c>
      <c r="HS188">
        <v>0</v>
      </c>
      <c r="HT188">
        <v>0</v>
      </c>
      <c r="HU188">
        <v>0</v>
      </c>
      <c r="HV188">
        <v>0</v>
      </c>
      <c r="HW188">
        <v>0</v>
      </c>
      <c r="HX188">
        <v>0</v>
      </c>
      <c r="HY188">
        <v>0</v>
      </c>
      <c r="HZ188">
        <v>0</v>
      </c>
      <c r="IA188">
        <v>0</v>
      </c>
      <c r="IB188">
        <v>0</v>
      </c>
      <c r="IC188">
        <v>0</v>
      </c>
      <c r="ID188">
        <v>0</v>
      </c>
      <c r="IE188">
        <v>0</v>
      </c>
      <c r="IF188">
        <v>0</v>
      </c>
      <c r="IG188">
        <v>0</v>
      </c>
      <c r="IH188">
        <v>0</v>
      </c>
      <c r="II188">
        <v>0</v>
      </c>
      <c r="IJ188">
        <v>0</v>
      </c>
      <c r="IK188">
        <v>0</v>
      </c>
      <c r="IL188">
        <v>0</v>
      </c>
      <c r="IM188">
        <v>0</v>
      </c>
      <c r="IN188">
        <v>0</v>
      </c>
      <c r="IO188">
        <v>0</v>
      </c>
      <c r="IP188">
        <v>0</v>
      </c>
      <c r="IQ188">
        <v>0</v>
      </c>
      <c r="IR188">
        <v>0</v>
      </c>
      <c r="IS188">
        <v>0</v>
      </c>
      <c r="IT188">
        <v>0</v>
      </c>
      <c r="IU188">
        <v>0</v>
      </c>
      <c r="IV188">
        <v>0</v>
      </c>
      <c r="IW188">
        <v>0</v>
      </c>
      <c r="IX188">
        <v>0</v>
      </c>
      <c r="IY188">
        <v>0</v>
      </c>
      <c r="IZ188">
        <v>0</v>
      </c>
      <c r="JA188">
        <v>0</v>
      </c>
      <c r="JB188">
        <v>0</v>
      </c>
      <c r="JC188">
        <v>0</v>
      </c>
      <c r="JD188">
        <v>0</v>
      </c>
      <c r="JE188">
        <v>0</v>
      </c>
      <c r="JF188">
        <v>0</v>
      </c>
      <c r="JG188">
        <v>0</v>
      </c>
      <c r="JH188">
        <v>0</v>
      </c>
      <c r="JI188">
        <v>0</v>
      </c>
      <c r="JJ188">
        <v>0</v>
      </c>
      <c r="JK188">
        <v>0</v>
      </c>
      <c r="JL188">
        <v>0</v>
      </c>
      <c r="JM188">
        <v>0</v>
      </c>
      <c r="JN188">
        <v>0</v>
      </c>
      <c r="JO188">
        <v>0</v>
      </c>
      <c r="JP188">
        <v>0</v>
      </c>
      <c r="JQ188">
        <v>0</v>
      </c>
      <c r="JR188">
        <v>0</v>
      </c>
      <c r="JS188">
        <v>0</v>
      </c>
      <c r="JT188">
        <v>0</v>
      </c>
      <c r="JU188">
        <v>0</v>
      </c>
      <c r="JV188">
        <v>0</v>
      </c>
      <c r="JW188">
        <v>0</v>
      </c>
      <c r="JX188">
        <v>0</v>
      </c>
      <c r="JY188">
        <v>0</v>
      </c>
      <c r="JZ188">
        <v>0</v>
      </c>
      <c r="KA188">
        <v>0</v>
      </c>
      <c r="KB188">
        <v>0</v>
      </c>
      <c r="KC188">
        <v>0</v>
      </c>
      <c r="KD188">
        <v>0</v>
      </c>
      <c r="KE188">
        <v>0</v>
      </c>
      <c r="KF188">
        <v>0</v>
      </c>
      <c r="KG188">
        <v>0</v>
      </c>
      <c r="KH188">
        <v>0</v>
      </c>
      <c r="KI188">
        <v>0</v>
      </c>
      <c r="KJ188">
        <v>0</v>
      </c>
      <c r="KK188">
        <v>0</v>
      </c>
      <c r="KL188">
        <v>0</v>
      </c>
      <c r="KM188">
        <v>0</v>
      </c>
      <c r="KN188">
        <v>0</v>
      </c>
      <c r="KO188">
        <v>0</v>
      </c>
      <c r="KP188">
        <v>0</v>
      </c>
      <c r="KQ188">
        <v>0</v>
      </c>
      <c r="KR188">
        <v>0</v>
      </c>
      <c r="KS188">
        <v>0</v>
      </c>
      <c r="KT188">
        <v>0</v>
      </c>
      <c r="KU188">
        <v>0</v>
      </c>
      <c r="KV188">
        <v>0</v>
      </c>
      <c r="KW188">
        <v>0</v>
      </c>
      <c r="KX188">
        <v>0</v>
      </c>
      <c r="KY188">
        <v>0</v>
      </c>
      <c r="KZ188">
        <v>0</v>
      </c>
      <c r="LA188">
        <v>0</v>
      </c>
      <c r="LB188">
        <v>0</v>
      </c>
      <c r="LC188">
        <v>0</v>
      </c>
      <c r="LD188">
        <v>0</v>
      </c>
      <c r="LE188">
        <v>0</v>
      </c>
      <c r="LF188">
        <v>0</v>
      </c>
      <c r="LG188">
        <v>0</v>
      </c>
      <c r="LH188">
        <v>0</v>
      </c>
      <c r="LI188">
        <v>0</v>
      </c>
      <c r="LJ188">
        <v>0</v>
      </c>
      <c r="LK188">
        <v>0</v>
      </c>
      <c r="LL188">
        <v>0</v>
      </c>
      <c r="LM188">
        <v>0</v>
      </c>
      <c r="LN188">
        <v>0</v>
      </c>
      <c r="LO188">
        <v>0</v>
      </c>
      <c r="LP188">
        <v>0</v>
      </c>
      <c r="LQ188">
        <v>0</v>
      </c>
      <c r="LR188">
        <v>0</v>
      </c>
      <c r="LS188">
        <v>0</v>
      </c>
      <c r="LT188">
        <v>0</v>
      </c>
      <c r="LU188">
        <v>0</v>
      </c>
      <c r="LV188">
        <v>0</v>
      </c>
      <c r="LW188">
        <v>0</v>
      </c>
      <c r="LX188">
        <v>0</v>
      </c>
      <c r="LY188">
        <v>0</v>
      </c>
      <c r="LZ188">
        <v>0</v>
      </c>
      <c r="MA188">
        <v>0</v>
      </c>
      <c r="MB188">
        <v>0</v>
      </c>
      <c r="MC188">
        <v>0</v>
      </c>
      <c r="MD188">
        <v>0</v>
      </c>
      <c r="ME188">
        <v>0</v>
      </c>
      <c r="MF188">
        <v>0</v>
      </c>
      <c r="MG188">
        <v>0</v>
      </c>
      <c r="MH188">
        <v>0</v>
      </c>
      <c r="MI188">
        <v>0</v>
      </c>
      <c r="MJ188">
        <v>0</v>
      </c>
      <c r="MK188">
        <v>0</v>
      </c>
      <c r="ML188">
        <v>0</v>
      </c>
      <c r="MM188">
        <v>0</v>
      </c>
      <c r="MN188">
        <v>0</v>
      </c>
      <c r="MO188">
        <v>0</v>
      </c>
      <c r="MP188">
        <v>0</v>
      </c>
      <c r="MQ188">
        <v>0</v>
      </c>
      <c r="MR188">
        <v>0</v>
      </c>
      <c r="MS188">
        <v>0</v>
      </c>
      <c r="MT188">
        <v>0</v>
      </c>
      <c r="MU188">
        <v>0</v>
      </c>
      <c r="MV188">
        <v>0</v>
      </c>
      <c r="MW188">
        <v>0</v>
      </c>
      <c r="MX188">
        <v>0</v>
      </c>
      <c r="MY188">
        <v>0</v>
      </c>
      <c r="MZ188">
        <v>0</v>
      </c>
      <c r="NA188">
        <v>0</v>
      </c>
      <c r="NB188">
        <v>0</v>
      </c>
      <c r="NC188">
        <v>0</v>
      </c>
      <c r="ND188">
        <v>0</v>
      </c>
      <c r="NE188">
        <v>0</v>
      </c>
    </row>
    <row r="189" spans="41:369" x14ac:dyDescent="0.45">
      <c r="AO189" t="str">
        <v>C145</v>
      </c>
      <c r="AP189" t="str">
        <v>SHAMEEL AHAMMED P</v>
      </c>
      <c r="AQ189" t="str">
        <v>BADF</v>
      </c>
      <c r="AR189" t="str">
        <v>SENIOR</v>
      </c>
      <c r="AS189">
        <v>6</v>
      </c>
      <c r="AT189">
        <v>38</v>
      </c>
      <c r="AU189">
        <v>0</v>
      </c>
      <c r="AV189">
        <v>38</v>
      </c>
      <c r="AW189">
        <v>38</v>
      </c>
      <c r="AX189">
        <v>26</v>
      </c>
      <c r="AY189" s="5">
        <v>26</v>
      </c>
      <c r="AZ189" t="str">
        <v>SS45</v>
      </c>
      <c r="BA189" t="str">
        <v>TADRĪS</v>
      </c>
      <c r="BB189" t="str">
        <v>SUPER SENIOR</v>
      </c>
      <c r="BC189" t="str">
        <v>Single</v>
      </c>
      <c r="BD189" t="str">
        <v>Stage</v>
      </c>
      <c r="BE189">
        <v>3</v>
      </c>
      <c r="BF189" t="str">
        <v>Individual</v>
      </c>
      <c r="BG189" t="str">
        <v>Individual</v>
      </c>
      <c r="BH189" t="str">
        <v>P</v>
      </c>
      <c r="BI189" t="str">
        <v>PUBLISHED</v>
      </c>
      <c r="BK189">
        <v>183</v>
      </c>
      <c r="BL189" t="str">
        <v>SS41</v>
      </c>
      <c r="BM189" t="str">
        <v>PROJECT PRESENTATION ENG</v>
      </c>
      <c r="BN189">
        <v>1</v>
      </c>
      <c r="BO189" t="str">
        <v>Single</v>
      </c>
      <c r="BP189" t="str">
        <v>Stage</v>
      </c>
      <c r="BQ189" t="str">
        <v>SUPER SENIOR</v>
      </c>
      <c r="BR189" t="str">
        <v>D165</v>
      </c>
      <c r="BS189">
        <v>0</v>
      </c>
      <c r="BT189">
        <v>0</v>
      </c>
      <c r="BU189">
        <v>0</v>
      </c>
      <c r="BV189">
        <v>0</v>
      </c>
      <c r="BW189">
        <v>0</v>
      </c>
      <c r="BX189">
        <v>0</v>
      </c>
      <c r="BY189" t="str">
        <v>D150</v>
      </c>
      <c r="BZ189">
        <v>0</v>
      </c>
      <c r="CA189">
        <v>0</v>
      </c>
      <c r="CB189">
        <v>0</v>
      </c>
      <c r="CC189">
        <v>0</v>
      </c>
      <c r="CD189">
        <v>0</v>
      </c>
      <c r="CE189">
        <v>0</v>
      </c>
      <c r="CF189" t="str">
        <v>D118</v>
      </c>
      <c r="CG189">
        <v>0</v>
      </c>
      <c r="CH189">
        <v>0</v>
      </c>
      <c r="CI189">
        <v>0</v>
      </c>
      <c r="CJ189">
        <v>0</v>
      </c>
      <c r="CK189">
        <v>0</v>
      </c>
      <c r="CL189">
        <v>0</v>
      </c>
      <c r="CM189" t="str">
        <v>D111</v>
      </c>
      <c r="CN189">
        <v>0</v>
      </c>
      <c r="CO189">
        <v>0</v>
      </c>
      <c r="CP189">
        <v>0</v>
      </c>
      <c r="CQ189">
        <v>0</v>
      </c>
      <c r="CR189">
        <v>0</v>
      </c>
      <c r="CS189">
        <v>0</v>
      </c>
      <c r="CT189">
        <v>0</v>
      </c>
      <c r="CU189">
        <v>0</v>
      </c>
      <c r="CV189">
        <v>0</v>
      </c>
      <c r="CW189">
        <v>0</v>
      </c>
      <c r="CX189">
        <v>0</v>
      </c>
      <c r="CY189">
        <v>0</v>
      </c>
      <c r="CZ189">
        <v>0</v>
      </c>
      <c r="DA189">
        <v>0</v>
      </c>
      <c r="DB189">
        <v>0</v>
      </c>
      <c r="DC189">
        <v>0</v>
      </c>
      <c r="DD189">
        <v>0</v>
      </c>
      <c r="DE189">
        <v>0</v>
      </c>
      <c r="DF189">
        <v>0</v>
      </c>
      <c r="DG189">
        <v>0</v>
      </c>
      <c r="DH189">
        <v>0</v>
      </c>
      <c r="DI189">
        <v>0</v>
      </c>
      <c r="DJ189">
        <v>0</v>
      </c>
      <c r="DK189">
        <v>0</v>
      </c>
      <c r="DL189">
        <v>0</v>
      </c>
      <c r="DM189">
        <v>0</v>
      </c>
      <c r="DN189">
        <v>0</v>
      </c>
      <c r="DO189">
        <v>0</v>
      </c>
      <c r="DP189">
        <v>0</v>
      </c>
      <c r="DQ189">
        <v>0</v>
      </c>
      <c r="DR189">
        <v>0</v>
      </c>
      <c r="DS189">
        <v>0</v>
      </c>
      <c r="DT189">
        <v>0</v>
      </c>
      <c r="DU189">
        <v>0</v>
      </c>
      <c r="DV189">
        <v>0</v>
      </c>
      <c r="DW189">
        <v>0</v>
      </c>
      <c r="DX189">
        <v>0</v>
      </c>
      <c r="DY189">
        <v>0</v>
      </c>
      <c r="DZ189">
        <v>0</v>
      </c>
      <c r="EA189">
        <v>0</v>
      </c>
      <c r="EB189">
        <v>0</v>
      </c>
      <c r="EC189">
        <v>0</v>
      </c>
      <c r="ED189">
        <v>0</v>
      </c>
      <c r="EE189">
        <v>0</v>
      </c>
      <c r="EF189">
        <v>0</v>
      </c>
      <c r="EG189">
        <v>0</v>
      </c>
      <c r="EH189">
        <v>0</v>
      </c>
      <c r="EI189">
        <v>0</v>
      </c>
      <c r="EJ189">
        <v>0</v>
      </c>
      <c r="EK189">
        <v>0</v>
      </c>
      <c r="EL189">
        <v>0</v>
      </c>
      <c r="EM189">
        <v>0</v>
      </c>
      <c r="EN189">
        <v>0</v>
      </c>
      <c r="EO189">
        <v>0</v>
      </c>
      <c r="EP189">
        <v>0</v>
      </c>
      <c r="EQ189">
        <v>0</v>
      </c>
      <c r="ER189">
        <v>0</v>
      </c>
      <c r="ES189">
        <v>0</v>
      </c>
      <c r="ET189">
        <v>0</v>
      </c>
      <c r="EU189">
        <v>0</v>
      </c>
      <c r="EV189">
        <v>0</v>
      </c>
      <c r="EW189">
        <v>0</v>
      </c>
      <c r="EX189">
        <v>0</v>
      </c>
      <c r="EY189">
        <v>0</v>
      </c>
      <c r="EZ189">
        <v>0</v>
      </c>
      <c r="FA189">
        <v>0</v>
      </c>
      <c r="FB189">
        <v>0</v>
      </c>
      <c r="FC189">
        <v>0</v>
      </c>
      <c r="FD189">
        <v>0</v>
      </c>
      <c r="FE189">
        <v>0</v>
      </c>
      <c r="FF189">
        <v>0</v>
      </c>
      <c r="FG189">
        <v>0</v>
      </c>
      <c r="FH189">
        <v>0</v>
      </c>
      <c r="FI189">
        <v>0</v>
      </c>
      <c r="FJ189">
        <v>0</v>
      </c>
      <c r="FK189">
        <v>0</v>
      </c>
      <c r="FL189">
        <v>0</v>
      </c>
      <c r="FM189">
        <v>0</v>
      </c>
      <c r="FN189">
        <v>0</v>
      </c>
      <c r="FO189">
        <v>0</v>
      </c>
      <c r="FP189">
        <v>0</v>
      </c>
      <c r="FQ189">
        <v>0</v>
      </c>
      <c r="FR189">
        <v>0</v>
      </c>
      <c r="FS189">
        <v>0</v>
      </c>
      <c r="FT189">
        <v>0</v>
      </c>
      <c r="FU189">
        <v>0</v>
      </c>
      <c r="FV189">
        <v>0</v>
      </c>
      <c r="FW189">
        <v>0</v>
      </c>
      <c r="FX189">
        <v>0</v>
      </c>
      <c r="FY189">
        <v>0</v>
      </c>
      <c r="FZ189">
        <v>0</v>
      </c>
      <c r="GA189">
        <v>0</v>
      </c>
      <c r="GB189">
        <v>0</v>
      </c>
      <c r="GC189">
        <v>0</v>
      </c>
      <c r="GD189">
        <v>0</v>
      </c>
      <c r="GE189">
        <v>0</v>
      </c>
      <c r="GF189">
        <v>0</v>
      </c>
      <c r="GG189">
        <v>0</v>
      </c>
      <c r="GH189">
        <v>0</v>
      </c>
      <c r="GI189">
        <v>0</v>
      </c>
      <c r="GJ189">
        <v>0</v>
      </c>
      <c r="GK189">
        <v>0</v>
      </c>
      <c r="GL189">
        <v>0</v>
      </c>
      <c r="GM189">
        <v>0</v>
      </c>
      <c r="GN189">
        <v>0</v>
      </c>
      <c r="GO189">
        <v>0</v>
      </c>
      <c r="GP189">
        <v>0</v>
      </c>
      <c r="GQ189">
        <v>0</v>
      </c>
      <c r="GR189">
        <v>0</v>
      </c>
      <c r="GS189">
        <v>0</v>
      </c>
      <c r="GT189">
        <v>0</v>
      </c>
      <c r="GU189">
        <v>0</v>
      </c>
      <c r="GV189">
        <v>0</v>
      </c>
      <c r="GW189">
        <v>0</v>
      </c>
      <c r="GX189">
        <v>0</v>
      </c>
      <c r="GY189">
        <v>0</v>
      </c>
      <c r="GZ189">
        <v>0</v>
      </c>
      <c r="HA189">
        <v>0</v>
      </c>
      <c r="HB189">
        <v>0</v>
      </c>
      <c r="HC189">
        <v>0</v>
      </c>
      <c r="HD189">
        <v>0</v>
      </c>
      <c r="HE189">
        <v>0</v>
      </c>
      <c r="HF189">
        <v>0</v>
      </c>
      <c r="HG189">
        <v>0</v>
      </c>
      <c r="HH189">
        <v>0</v>
      </c>
      <c r="HI189">
        <v>0</v>
      </c>
      <c r="HJ189">
        <v>0</v>
      </c>
      <c r="HK189">
        <v>0</v>
      </c>
      <c r="HL189">
        <v>0</v>
      </c>
      <c r="HM189">
        <v>0</v>
      </c>
      <c r="HN189">
        <v>0</v>
      </c>
      <c r="HO189">
        <v>0</v>
      </c>
      <c r="HP189">
        <v>0</v>
      </c>
      <c r="HQ189">
        <v>0</v>
      </c>
      <c r="HR189">
        <v>0</v>
      </c>
      <c r="HS189">
        <v>0</v>
      </c>
      <c r="HT189">
        <v>0</v>
      </c>
      <c r="HU189">
        <v>0</v>
      </c>
      <c r="HV189">
        <v>0</v>
      </c>
      <c r="HW189">
        <v>0</v>
      </c>
      <c r="HX189">
        <v>0</v>
      </c>
      <c r="HY189">
        <v>0</v>
      </c>
      <c r="HZ189">
        <v>0</v>
      </c>
      <c r="IA189">
        <v>0</v>
      </c>
      <c r="IB189">
        <v>0</v>
      </c>
      <c r="IC189">
        <v>0</v>
      </c>
      <c r="ID189">
        <v>0</v>
      </c>
      <c r="IE189">
        <v>0</v>
      </c>
      <c r="IF189">
        <v>0</v>
      </c>
      <c r="IG189">
        <v>0</v>
      </c>
      <c r="IH189">
        <v>0</v>
      </c>
      <c r="II189">
        <v>0</v>
      </c>
      <c r="IJ189">
        <v>0</v>
      </c>
      <c r="IK189">
        <v>0</v>
      </c>
      <c r="IL189">
        <v>0</v>
      </c>
      <c r="IM189">
        <v>0</v>
      </c>
      <c r="IN189">
        <v>0</v>
      </c>
      <c r="IO189">
        <v>0</v>
      </c>
      <c r="IP189">
        <v>0</v>
      </c>
      <c r="IQ189">
        <v>0</v>
      </c>
      <c r="IR189">
        <v>0</v>
      </c>
      <c r="IS189">
        <v>0</v>
      </c>
      <c r="IT189">
        <v>0</v>
      </c>
      <c r="IU189">
        <v>0</v>
      </c>
      <c r="IV189">
        <v>0</v>
      </c>
      <c r="IW189">
        <v>0</v>
      </c>
      <c r="IX189">
        <v>0</v>
      </c>
      <c r="IY189">
        <v>0</v>
      </c>
      <c r="IZ189">
        <v>0</v>
      </c>
      <c r="JA189">
        <v>0</v>
      </c>
      <c r="JB189">
        <v>0</v>
      </c>
      <c r="JC189">
        <v>0</v>
      </c>
      <c r="JD189">
        <v>0</v>
      </c>
      <c r="JE189">
        <v>0</v>
      </c>
      <c r="JF189">
        <v>0</v>
      </c>
      <c r="JG189">
        <v>0</v>
      </c>
      <c r="JH189">
        <v>0</v>
      </c>
      <c r="JI189">
        <v>0</v>
      </c>
      <c r="JJ189">
        <v>0</v>
      </c>
      <c r="JK189">
        <v>0</v>
      </c>
      <c r="JL189">
        <v>0</v>
      </c>
      <c r="JM189">
        <v>0</v>
      </c>
      <c r="JN189">
        <v>0</v>
      </c>
      <c r="JO189">
        <v>0</v>
      </c>
      <c r="JP189">
        <v>0</v>
      </c>
      <c r="JQ189">
        <v>0</v>
      </c>
      <c r="JR189">
        <v>0</v>
      </c>
      <c r="JS189">
        <v>0</v>
      </c>
      <c r="JT189">
        <v>0</v>
      </c>
      <c r="JU189">
        <v>0</v>
      </c>
      <c r="JV189">
        <v>0</v>
      </c>
      <c r="JW189">
        <v>0</v>
      </c>
      <c r="JX189">
        <v>0</v>
      </c>
      <c r="JY189">
        <v>0</v>
      </c>
      <c r="JZ189">
        <v>0</v>
      </c>
      <c r="KA189">
        <v>0</v>
      </c>
      <c r="KB189">
        <v>0</v>
      </c>
      <c r="KC189">
        <v>0</v>
      </c>
      <c r="KD189">
        <v>0</v>
      </c>
      <c r="KE189">
        <v>0</v>
      </c>
      <c r="KF189">
        <v>0</v>
      </c>
      <c r="KG189">
        <v>0</v>
      </c>
      <c r="KH189">
        <v>0</v>
      </c>
      <c r="KI189">
        <v>0</v>
      </c>
      <c r="KJ189">
        <v>0</v>
      </c>
      <c r="KK189">
        <v>0</v>
      </c>
      <c r="KL189">
        <v>0</v>
      </c>
      <c r="KM189">
        <v>0</v>
      </c>
      <c r="KN189">
        <v>0</v>
      </c>
      <c r="KO189">
        <v>0</v>
      </c>
      <c r="KP189">
        <v>0</v>
      </c>
      <c r="KQ189">
        <v>0</v>
      </c>
      <c r="KR189">
        <v>0</v>
      </c>
      <c r="KS189">
        <v>0</v>
      </c>
      <c r="KT189">
        <v>0</v>
      </c>
      <c r="KU189">
        <v>0</v>
      </c>
      <c r="KV189">
        <v>0</v>
      </c>
      <c r="KW189">
        <v>0</v>
      </c>
      <c r="KX189">
        <v>0</v>
      </c>
      <c r="KY189">
        <v>0</v>
      </c>
      <c r="KZ189">
        <v>0</v>
      </c>
      <c r="LA189">
        <v>0</v>
      </c>
      <c r="LB189">
        <v>0</v>
      </c>
      <c r="LC189">
        <v>0</v>
      </c>
      <c r="LD189">
        <v>0</v>
      </c>
      <c r="LE189">
        <v>0</v>
      </c>
      <c r="LF189">
        <v>0</v>
      </c>
      <c r="LG189">
        <v>0</v>
      </c>
      <c r="LH189">
        <v>0</v>
      </c>
      <c r="LI189">
        <v>0</v>
      </c>
      <c r="LJ189">
        <v>0</v>
      </c>
      <c r="LK189">
        <v>0</v>
      </c>
      <c r="LL189">
        <v>0</v>
      </c>
      <c r="LM189">
        <v>0</v>
      </c>
      <c r="LN189">
        <v>0</v>
      </c>
      <c r="LO189">
        <v>0</v>
      </c>
      <c r="LP189">
        <v>0</v>
      </c>
      <c r="LQ189">
        <v>0</v>
      </c>
      <c r="LR189">
        <v>0</v>
      </c>
      <c r="LS189">
        <v>0</v>
      </c>
      <c r="LT189">
        <v>0</v>
      </c>
      <c r="LU189">
        <v>0</v>
      </c>
      <c r="LV189">
        <v>0</v>
      </c>
      <c r="LW189">
        <v>0</v>
      </c>
      <c r="LX189">
        <v>0</v>
      </c>
      <c r="LY189">
        <v>0</v>
      </c>
      <c r="LZ189">
        <v>0</v>
      </c>
      <c r="MA189">
        <v>0</v>
      </c>
      <c r="MB189">
        <v>0</v>
      </c>
      <c r="MC189">
        <v>0</v>
      </c>
      <c r="MD189">
        <v>0</v>
      </c>
      <c r="ME189">
        <v>0</v>
      </c>
      <c r="MF189">
        <v>0</v>
      </c>
      <c r="MG189">
        <v>0</v>
      </c>
      <c r="MH189">
        <v>0</v>
      </c>
      <c r="MI189">
        <v>0</v>
      </c>
      <c r="MJ189">
        <v>0</v>
      </c>
      <c r="MK189">
        <v>0</v>
      </c>
      <c r="ML189">
        <v>0</v>
      </c>
      <c r="MM189">
        <v>0</v>
      </c>
      <c r="MN189">
        <v>0</v>
      </c>
      <c r="MO189">
        <v>0</v>
      </c>
      <c r="MP189">
        <v>0</v>
      </c>
      <c r="MQ189">
        <v>0</v>
      </c>
      <c r="MR189">
        <v>0</v>
      </c>
      <c r="MS189">
        <v>0</v>
      </c>
      <c r="MT189">
        <v>0</v>
      </c>
      <c r="MU189">
        <v>0</v>
      </c>
      <c r="MV189">
        <v>0</v>
      </c>
      <c r="MW189">
        <v>0</v>
      </c>
      <c r="MX189">
        <v>0</v>
      </c>
      <c r="MY189">
        <v>0</v>
      </c>
      <c r="MZ189">
        <v>0</v>
      </c>
      <c r="NA189">
        <v>0</v>
      </c>
      <c r="NB189">
        <v>0</v>
      </c>
      <c r="NC189">
        <v>0</v>
      </c>
      <c r="ND189">
        <v>0</v>
      </c>
      <c r="NE189">
        <v>0</v>
      </c>
    </row>
    <row r="190" spans="41:369" x14ac:dyDescent="0.45">
      <c r="AO190" t="str">
        <v>C146</v>
      </c>
      <c r="AP190" t="str">
        <v>IMRAN HUSSAIN TI</v>
      </c>
      <c r="AQ190" t="str">
        <v>JARF</v>
      </c>
      <c r="AR190" t="str">
        <v>SENIOR</v>
      </c>
      <c r="AS190">
        <v>6</v>
      </c>
      <c r="AT190">
        <v>2</v>
      </c>
      <c r="AU190">
        <v>0</v>
      </c>
      <c r="AV190">
        <v>2</v>
      </c>
      <c r="AW190">
        <v>2</v>
      </c>
      <c r="AX190">
        <v>224</v>
      </c>
      <c r="AY190" s="5">
        <v>224</v>
      </c>
      <c r="AZ190" t="str">
        <v>SS46</v>
      </c>
      <c r="BA190" t="str">
        <v>WAʿẒ</v>
      </c>
      <c r="BB190" t="str">
        <v>SUPER SENIOR</v>
      </c>
      <c r="BC190" t="str">
        <v>Single</v>
      </c>
      <c r="BD190" t="str">
        <v>Stage</v>
      </c>
      <c r="BE190">
        <v>3</v>
      </c>
      <c r="BF190" t="str">
        <v>Individual</v>
      </c>
      <c r="BG190" t="str">
        <v>Individual</v>
      </c>
      <c r="BH190" t="str">
        <v>P</v>
      </c>
      <c r="BI190" t="str">
        <v>PUBLISHED</v>
      </c>
      <c r="BK190">
        <v>184</v>
      </c>
      <c r="BL190" t="str">
        <v>SS42</v>
      </c>
      <c r="BM190" t="str">
        <v>REVERSE QUIZ</v>
      </c>
      <c r="BN190">
        <v>2</v>
      </c>
      <c r="BO190" t="str">
        <v>Single</v>
      </c>
      <c r="BP190" t="str">
        <v>Stage</v>
      </c>
      <c r="BQ190" t="str">
        <v>SUPER SENIOR</v>
      </c>
      <c r="BR190" t="str">
        <v>D133</v>
      </c>
      <c r="BS190" t="str">
        <v>D117</v>
      </c>
      <c r="BT190">
        <v>0</v>
      </c>
      <c r="BU190">
        <v>0</v>
      </c>
      <c r="BV190">
        <v>0</v>
      </c>
      <c r="BW190">
        <v>0</v>
      </c>
      <c r="BX190">
        <v>0</v>
      </c>
      <c r="BY190" t="str">
        <v>D172</v>
      </c>
      <c r="BZ190" t="str">
        <v>D183</v>
      </c>
      <c r="CA190">
        <v>0</v>
      </c>
      <c r="CB190">
        <v>0</v>
      </c>
      <c r="CC190">
        <v>0</v>
      </c>
      <c r="CD190">
        <v>0</v>
      </c>
      <c r="CE190">
        <v>0</v>
      </c>
      <c r="CF190" t="str">
        <v>D157</v>
      </c>
      <c r="CG190" t="str">
        <v>D174</v>
      </c>
      <c r="CH190">
        <v>0</v>
      </c>
      <c r="CI190">
        <v>0</v>
      </c>
      <c r="CJ190">
        <v>0</v>
      </c>
      <c r="CK190">
        <v>0</v>
      </c>
      <c r="CL190">
        <v>0</v>
      </c>
      <c r="CM190" t="str">
        <v>D153</v>
      </c>
      <c r="CN190" t="str">
        <v>D170</v>
      </c>
      <c r="CO190">
        <v>0</v>
      </c>
      <c r="CP190">
        <v>0</v>
      </c>
      <c r="CQ190">
        <v>0</v>
      </c>
      <c r="CR190">
        <v>0</v>
      </c>
      <c r="CS190">
        <v>0</v>
      </c>
      <c r="CT190">
        <v>0</v>
      </c>
      <c r="CU190">
        <v>0</v>
      </c>
      <c r="CV190">
        <v>0</v>
      </c>
      <c r="CW190">
        <v>0</v>
      </c>
      <c r="CX190">
        <v>0</v>
      </c>
      <c r="CY190">
        <v>0</v>
      </c>
      <c r="CZ190">
        <v>0</v>
      </c>
      <c r="DA190">
        <v>0</v>
      </c>
      <c r="DB190">
        <v>0</v>
      </c>
      <c r="DC190">
        <v>0</v>
      </c>
      <c r="DD190">
        <v>0</v>
      </c>
      <c r="DE190">
        <v>0</v>
      </c>
      <c r="DF190">
        <v>0</v>
      </c>
      <c r="DG190">
        <v>0</v>
      </c>
      <c r="DH190">
        <v>0</v>
      </c>
      <c r="DI190">
        <v>0</v>
      </c>
      <c r="DJ190">
        <v>0</v>
      </c>
      <c r="DK190">
        <v>0</v>
      </c>
      <c r="DL190">
        <v>0</v>
      </c>
      <c r="DM190">
        <v>0</v>
      </c>
      <c r="DN190">
        <v>0</v>
      </c>
      <c r="DO190">
        <v>0</v>
      </c>
      <c r="DP190">
        <v>0</v>
      </c>
      <c r="DQ190">
        <v>0</v>
      </c>
      <c r="DR190">
        <v>0</v>
      </c>
      <c r="DS190">
        <v>0</v>
      </c>
      <c r="DT190">
        <v>0</v>
      </c>
      <c r="DU190">
        <v>0</v>
      </c>
      <c r="DV190">
        <v>0</v>
      </c>
      <c r="DW190">
        <v>0</v>
      </c>
      <c r="DX190">
        <v>0</v>
      </c>
      <c r="DY190">
        <v>0</v>
      </c>
      <c r="DZ190">
        <v>0</v>
      </c>
      <c r="EA190">
        <v>0</v>
      </c>
      <c r="EB190">
        <v>0</v>
      </c>
      <c r="EC190">
        <v>0</v>
      </c>
      <c r="ED190">
        <v>0</v>
      </c>
      <c r="EE190">
        <v>0</v>
      </c>
      <c r="EF190">
        <v>0</v>
      </c>
      <c r="EG190">
        <v>0</v>
      </c>
      <c r="EH190">
        <v>0</v>
      </c>
      <c r="EI190">
        <v>0</v>
      </c>
      <c r="EJ190">
        <v>0</v>
      </c>
      <c r="EK190">
        <v>0</v>
      </c>
      <c r="EL190">
        <v>0</v>
      </c>
      <c r="EM190">
        <v>0</v>
      </c>
      <c r="EN190">
        <v>0</v>
      </c>
      <c r="EO190">
        <v>0</v>
      </c>
      <c r="EP190">
        <v>0</v>
      </c>
      <c r="EQ190">
        <v>0</v>
      </c>
      <c r="ER190">
        <v>0</v>
      </c>
      <c r="ES190">
        <v>0</v>
      </c>
      <c r="ET190">
        <v>0</v>
      </c>
      <c r="EU190">
        <v>0</v>
      </c>
      <c r="EV190">
        <v>0</v>
      </c>
      <c r="EW190">
        <v>0</v>
      </c>
      <c r="EX190">
        <v>0</v>
      </c>
      <c r="EY190">
        <v>0</v>
      </c>
      <c r="EZ190">
        <v>0</v>
      </c>
      <c r="FA190">
        <v>0</v>
      </c>
      <c r="FB190">
        <v>0</v>
      </c>
      <c r="FC190">
        <v>0</v>
      </c>
      <c r="FD190">
        <v>0</v>
      </c>
      <c r="FE190">
        <v>0</v>
      </c>
      <c r="FF190">
        <v>0</v>
      </c>
      <c r="FG190">
        <v>0</v>
      </c>
      <c r="FH190">
        <v>0</v>
      </c>
      <c r="FI190">
        <v>0</v>
      </c>
      <c r="FJ190">
        <v>0</v>
      </c>
      <c r="FK190">
        <v>0</v>
      </c>
      <c r="FL190">
        <v>0</v>
      </c>
      <c r="FM190">
        <v>0</v>
      </c>
      <c r="FN190">
        <v>0</v>
      </c>
      <c r="FO190">
        <v>0</v>
      </c>
      <c r="FP190">
        <v>0</v>
      </c>
      <c r="FQ190">
        <v>0</v>
      </c>
      <c r="FR190">
        <v>0</v>
      </c>
      <c r="FS190">
        <v>0</v>
      </c>
      <c r="FT190">
        <v>0</v>
      </c>
      <c r="FU190">
        <v>0</v>
      </c>
      <c r="FV190">
        <v>0</v>
      </c>
      <c r="FW190">
        <v>0</v>
      </c>
      <c r="FX190">
        <v>0</v>
      </c>
      <c r="FY190">
        <v>0</v>
      </c>
      <c r="FZ190">
        <v>0</v>
      </c>
      <c r="GA190">
        <v>0</v>
      </c>
      <c r="GB190">
        <v>0</v>
      </c>
      <c r="GC190">
        <v>0</v>
      </c>
      <c r="GD190">
        <v>0</v>
      </c>
      <c r="GE190">
        <v>0</v>
      </c>
      <c r="GF190">
        <v>0</v>
      </c>
      <c r="GG190">
        <v>0</v>
      </c>
      <c r="GH190">
        <v>0</v>
      </c>
      <c r="GI190">
        <v>0</v>
      </c>
      <c r="GJ190">
        <v>0</v>
      </c>
      <c r="GK190">
        <v>0</v>
      </c>
      <c r="GL190">
        <v>0</v>
      </c>
      <c r="GM190">
        <v>0</v>
      </c>
      <c r="GN190">
        <v>0</v>
      </c>
      <c r="GO190">
        <v>0</v>
      </c>
      <c r="GP190">
        <v>0</v>
      </c>
      <c r="GQ190">
        <v>0</v>
      </c>
      <c r="GR190">
        <v>0</v>
      </c>
      <c r="GS190">
        <v>0</v>
      </c>
      <c r="GT190">
        <v>0</v>
      </c>
      <c r="GU190">
        <v>0</v>
      </c>
      <c r="GV190">
        <v>0</v>
      </c>
      <c r="GW190">
        <v>0</v>
      </c>
      <c r="GX190">
        <v>0</v>
      </c>
      <c r="GY190">
        <v>0</v>
      </c>
      <c r="GZ190">
        <v>0</v>
      </c>
      <c r="HA190">
        <v>0</v>
      </c>
      <c r="HB190">
        <v>0</v>
      </c>
      <c r="HC190">
        <v>0</v>
      </c>
      <c r="HD190">
        <v>0</v>
      </c>
      <c r="HE190">
        <v>0</v>
      </c>
      <c r="HF190">
        <v>0</v>
      </c>
      <c r="HG190">
        <v>0</v>
      </c>
      <c r="HH190">
        <v>0</v>
      </c>
      <c r="HI190">
        <v>0</v>
      </c>
      <c r="HJ190">
        <v>0</v>
      </c>
      <c r="HK190">
        <v>0</v>
      </c>
      <c r="HL190">
        <v>0</v>
      </c>
      <c r="HM190">
        <v>0</v>
      </c>
      <c r="HN190">
        <v>0</v>
      </c>
      <c r="HO190">
        <v>0</v>
      </c>
      <c r="HP190">
        <v>0</v>
      </c>
      <c r="HQ190">
        <v>0</v>
      </c>
      <c r="HR190">
        <v>0</v>
      </c>
      <c r="HS190">
        <v>0</v>
      </c>
      <c r="HT190">
        <v>0</v>
      </c>
      <c r="HU190">
        <v>0</v>
      </c>
      <c r="HV190">
        <v>0</v>
      </c>
      <c r="HW190">
        <v>0</v>
      </c>
      <c r="HX190">
        <v>0</v>
      </c>
      <c r="HY190">
        <v>0</v>
      </c>
      <c r="HZ190">
        <v>0</v>
      </c>
      <c r="IA190">
        <v>0</v>
      </c>
      <c r="IB190">
        <v>0</v>
      </c>
      <c r="IC190">
        <v>0</v>
      </c>
      <c r="ID190">
        <v>0</v>
      </c>
      <c r="IE190">
        <v>0</v>
      </c>
      <c r="IF190">
        <v>0</v>
      </c>
      <c r="IG190">
        <v>0</v>
      </c>
      <c r="IH190">
        <v>0</v>
      </c>
      <c r="II190">
        <v>0</v>
      </c>
      <c r="IJ190">
        <v>0</v>
      </c>
      <c r="IK190">
        <v>0</v>
      </c>
      <c r="IL190">
        <v>0</v>
      </c>
      <c r="IM190">
        <v>0</v>
      </c>
      <c r="IN190">
        <v>0</v>
      </c>
      <c r="IO190">
        <v>0</v>
      </c>
      <c r="IP190">
        <v>0</v>
      </c>
      <c r="IQ190">
        <v>0</v>
      </c>
      <c r="IR190">
        <v>0</v>
      </c>
      <c r="IS190">
        <v>0</v>
      </c>
      <c r="IT190">
        <v>0</v>
      </c>
      <c r="IU190">
        <v>0</v>
      </c>
      <c r="IV190">
        <v>0</v>
      </c>
      <c r="IW190">
        <v>0</v>
      </c>
      <c r="IX190">
        <v>0</v>
      </c>
      <c r="IY190">
        <v>0</v>
      </c>
      <c r="IZ190">
        <v>0</v>
      </c>
      <c r="JA190">
        <v>0</v>
      </c>
      <c r="JB190">
        <v>0</v>
      </c>
      <c r="JC190">
        <v>0</v>
      </c>
      <c r="JD190">
        <v>0</v>
      </c>
      <c r="JE190">
        <v>0</v>
      </c>
      <c r="JF190">
        <v>0</v>
      </c>
      <c r="JG190">
        <v>0</v>
      </c>
      <c r="JH190">
        <v>0</v>
      </c>
      <c r="JI190">
        <v>0</v>
      </c>
      <c r="JJ190">
        <v>0</v>
      </c>
      <c r="JK190">
        <v>0</v>
      </c>
      <c r="JL190">
        <v>0</v>
      </c>
      <c r="JM190">
        <v>0</v>
      </c>
      <c r="JN190">
        <v>0</v>
      </c>
      <c r="JO190">
        <v>0</v>
      </c>
      <c r="JP190">
        <v>0</v>
      </c>
      <c r="JQ190">
        <v>0</v>
      </c>
      <c r="JR190">
        <v>0</v>
      </c>
      <c r="JS190">
        <v>0</v>
      </c>
      <c r="JT190">
        <v>0</v>
      </c>
      <c r="JU190">
        <v>0</v>
      </c>
      <c r="JV190">
        <v>0</v>
      </c>
      <c r="JW190">
        <v>0</v>
      </c>
      <c r="JX190">
        <v>0</v>
      </c>
      <c r="JY190">
        <v>0</v>
      </c>
      <c r="JZ190">
        <v>0</v>
      </c>
      <c r="KA190">
        <v>0</v>
      </c>
      <c r="KB190">
        <v>0</v>
      </c>
      <c r="KC190">
        <v>0</v>
      </c>
      <c r="KD190">
        <v>0</v>
      </c>
      <c r="KE190">
        <v>0</v>
      </c>
      <c r="KF190">
        <v>0</v>
      </c>
      <c r="KG190">
        <v>0</v>
      </c>
      <c r="KH190">
        <v>0</v>
      </c>
      <c r="KI190">
        <v>0</v>
      </c>
      <c r="KJ190">
        <v>0</v>
      </c>
      <c r="KK190">
        <v>0</v>
      </c>
      <c r="KL190">
        <v>0</v>
      </c>
      <c r="KM190">
        <v>0</v>
      </c>
      <c r="KN190">
        <v>0</v>
      </c>
      <c r="KO190">
        <v>0</v>
      </c>
      <c r="KP190">
        <v>0</v>
      </c>
      <c r="KQ190">
        <v>0</v>
      </c>
      <c r="KR190">
        <v>0</v>
      </c>
      <c r="KS190">
        <v>0</v>
      </c>
      <c r="KT190">
        <v>0</v>
      </c>
      <c r="KU190">
        <v>0</v>
      </c>
      <c r="KV190">
        <v>0</v>
      </c>
      <c r="KW190">
        <v>0</v>
      </c>
      <c r="KX190">
        <v>0</v>
      </c>
      <c r="KY190">
        <v>0</v>
      </c>
      <c r="KZ190">
        <v>0</v>
      </c>
      <c r="LA190">
        <v>0</v>
      </c>
      <c r="LB190">
        <v>0</v>
      </c>
      <c r="LC190">
        <v>0</v>
      </c>
      <c r="LD190">
        <v>0</v>
      </c>
      <c r="LE190">
        <v>0</v>
      </c>
      <c r="LF190">
        <v>0</v>
      </c>
      <c r="LG190">
        <v>0</v>
      </c>
      <c r="LH190">
        <v>0</v>
      </c>
      <c r="LI190">
        <v>0</v>
      </c>
      <c r="LJ190">
        <v>0</v>
      </c>
      <c r="LK190">
        <v>0</v>
      </c>
      <c r="LL190">
        <v>0</v>
      </c>
      <c r="LM190">
        <v>0</v>
      </c>
      <c r="LN190">
        <v>0</v>
      </c>
      <c r="LO190">
        <v>0</v>
      </c>
      <c r="LP190">
        <v>0</v>
      </c>
      <c r="LQ190">
        <v>0</v>
      </c>
      <c r="LR190">
        <v>0</v>
      </c>
      <c r="LS190">
        <v>0</v>
      </c>
      <c r="LT190">
        <v>0</v>
      </c>
      <c r="LU190">
        <v>0</v>
      </c>
      <c r="LV190">
        <v>0</v>
      </c>
      <c r="LW190">
        <v>0</v>
      </c>
      <c r="LX190">
        <v>0</v>
      </c>
      <c r="LY190">
        <v>0</v>
      </c>
      <c r="LZ190">
        <v>0</v>
      </c>
      <c r="MA190">
        <v>0</v>
      </c>
      <c r="MB190">
        <v>0</v>
      </c>
      <c r="MC190">
        <v>0</v>
      </c>
      <c r="MD190">
        <v>0</v>
      </c>
      <c r="ME190">
        <v>0</v>
      </c>
      <c r="MF190">
        <v>0</v>
      </c>
      <c r="MG190">
        <v>0</v>
      </c>
      <c r="MH190">
        <v>0</v>
      </c>
      <c r="MI190">
        <v>0</v>
      </c>
      <c r="MJ190">
        <v>0</v>
      </c>
      <c r="MK190">
        <v>0</v>
      </c>
      <c r="ML190">
        <v>0</v>
      </c>
      <c r="MM190">
        <v>0</v>
      </c>
      <c r="MN190">
        <v>0</v>
      </c>
      <c r="MO190">
        <v>0</v>
      </c>
      <c r="MP190">
        <v>0</v>
      </c>
      <c r="MQ190">
        <v>0</v>
      </c>
      <c r="MR190">
        <v>0</v>
      </c>
      <c r="MS190">
        <v>0</v>
      </c>
      <c r="MT190">
        <v>0</v>
      </c>
      <c r="MU190">
        <v>0</v>
      </c>
      <c r="MV190">
        <v>0</v>
      </c>
      <c r="MW190">
        <v>0</v>
      </c>
      <c r="MX190">
        <v>0</v>
      </c>
      <c r="MY190">
        <v>0</v>
      </c>
      <c r="MZ190">
        <v>0</v>
      </c>
      <c r="NA190">
        <v>0</v>
      </c>
      <c r="NB190">
        <v>0</v>
      </c>
      <c r="NC190">
        <v>0</v>
      </c>
      <c r="ND190">
        <v>0</v>
      </c>
      <c r="NE190">
        <v>0</v>
      </c>
    </row>
    <row r="191" spans="41:369" x14ac:dyDescent="0.45">
      <c r="AO191" t="str">
        <v>C147</v>
      </c>
      <c r="AP191" t="str">
        <v>AHAMED ZAKI FOUZAN T.Z</v>
      </c>
      <c r="AQ191" t="str">
        <v>JARF</v>
      </c>
      <c r="AR191" t="str">
        <v>SENIOR</v>
      </c>
      <c r="AS191">
        <v>6</v>
      </c>
      <c r="AT191">
        <v>11</v>
      </c>
      <c r="AU191">
        <v>0</v>
      </c>
      <c r="AV191">
        <v>11</v>
      </c>
      <c r="AW191">
        <v>11</v>
      </c>
      <c r="AX191">
        <v>123</v>
      </c>
      <c r="AY191" s="5">
        <v>123</v>
      </c>
      <c r="AZ191" t="str">
        <v>SS47</v>
      </c>
      <c r="BA191" t="str">
        <v>INSTANT DIGITAL TABLOID ARB</v>
      </c>
      <c r="BB191" t="str">
        <v>SUPER SENIOR</v>
      </c>
      <c r="BC191" t="str">
        <v>Group</v>
      </c>
      <c r="BD191" t="str">
        <v>Non-Stg</v>
      </c>
      <c r="BE191">
        <v>3</v>
      </c>
      <c r="BF191" t="str">
        <v>GROUP</v>
      </c>
      <c r="BG191" t="str">
        <v>GROUP</v>
      </c>
      <c r="BH191" t="str">
        <v>P</v>
      </c>
      <c r="BI191" t="str">
        <v>PUBLISHED</v>
      </c>
      <c r="BK191">
        <v>185</v>
      </c>
      <c r="BL191" t="str">
        <v>SS43</v>
      </c>
      <c r="BM191" t="str">
        <v>SIYASI THAQREER URD</v>
      </c>
      <c r="BN191">
        <v>2</v>
      </c>
      <c r="BO191" t="str">
        <v>Single</v>
      </c>
      <c r="BP191" t="str">
        <v>Stage</v>
      </c>
      <c r="BQ191" t="str">
        <v>SUPER SENIOR</v>
      </c>
      <c r="BR191" t="str">
        <v>D128</v>
      </c>
      <c r="BS191" t="str">
        <v>D198</v>
      </c>
      <c r="BT191">
        <v>0</v>
      </c>
      <c r="BU191">
        <v>0</v>
      </c>
      <c r="BV191">
        <v>0</v>
      </c>
      <c r="BW191">
        <v>0</v>
      </c>
      <c r="BX191">
        <v>0</v>
      </c>
      <c r="BY191" t="str">
        <v>D183</v>
      </c>
      <c r="BZ191" t="str">
        <v>D187</v>
      </c>
      <c r="CA191">
        <v>0</v>
      </c>
      <c r="CB191">
        <v>0</v>
      </c>
      <c r="CC191">
        <v>0</v>
      </c>
      <c r="CD191">
        <v>0</v>
      </c>
      <c r="CE191">
        <v>0</v>
      </c>
      <c r="CF191" t="str">
        <v>D118</v>
      </c>
      <c r="CG191" t="str">
        <v>D145</v>
      </c>
      <c r="CH191">
        <v>0</v>
      </c>
      <c r="CI191">
        <v>0</v>
      </c>
      <c r="CJ191">
        <v>0</v>
      </c>
      <c r="CK191">
        <v>0</v>
      </c>
      <c r="CL191">
        <v>0</v>
      </c>
      <c r="CM191" t="str">
        <v>D111</v>
      </c>
      <c r="CN191" t="str">
        <v>D164</v>
      </c>
      <c r="CO191">
        <v>0</v>
      </c>
      <c r="CP191">
        <v>0</v>
      </c>
      <c r="CQ191">
        <v>0</v>
      </c>
      <c r="CR191">
        <v>0</v>
      </c>
      <c r="CS191">
        <v>0</v>
      </c>
      <c r="CT191">
        <v>0</v>
      </c>
      <c r="CU191">
        <v>0</v>
      </c>
      <c r="CV191">
        <v>0</v>
      </c>
      <c r="CW191">
        <v>0</v>
      </c>
      <c r="CX191">
        <v>0</v>
      </c>
      <c r="CY191">
        <v>0</v>
      </c>
      <c r="CZ191">
        <v>0</v>
      </c>
      <c r="DA191">
        <v>0</v>
      </c>
      <c r="DB191">
        <v>0</v>
      </c>
      <c r="DC191">
        <v>0</v>
      </c>
      <c r="DD191">
        <v>0</v>
      </c>
      <c r="DE191">
        <v>0</v>
      </c>
      <c r="DF191">
        <v>0</v>
      </c>
      <c r="DG191">
        <v>0</v>
      </c>
      <c r="DH191">
        <v>0</v>
      </c>
      <c r="DI191">
        <v>0</v>
      </c>
      <c r="DJ191">
        <v>0</v>
      </c>
      <c r="DK191">
        <v>0</v>
      </c>
      <c r="DL191">
        <v>0</v>
      </c>
      <c r="DM191">
        <v>0</v>
      </c>
      <c r="DN191">
        <v>0</v>
      </c>
      <c r="DO191">
        <v>0</v>
      </c>
      <c r="DP191">
        <v>0</v>
      </c>
      <c r="DQ191">
        <v>0</v>
      </c>
      <c r="DR191">
        <v>0</v>
      </c>
      <c r="DS191">
        <v>0</v>
      </c>
      <c r="DT191">
        <v>0</v>
      </c>
      <c r="DU191">
        <v>0</v>
      </c>
      <c r="DV191">
        <v>0</v>
      </c>
      <c r="DW191">
        <v>0</v>
      </c>
      <c r="DX191">
        <v>0</v>
      </c>
      <c r="DY191">
        <v>0</v>
      </c>
      <c r="DZ191">
        <v>0</v>
      </c>
      <c r="EA191">
        <v>0</v>
      </c>
      <c r="EB191">
        <v>0</v>
      </c>
      <c r="EC191">
        <v>0</v>
      </c>
      <c r="ED191">
        <v>0</v>
      </c>
      <c r="EE191">
        <v>0</v>
      </c>
      <c r="EF191">
        <v>0</v>
      </c>
      <c r="EG191">
        <v>0</v>
      </c>
      <c r="EH191">
        <v>0</v>
      </c>
      <c r="EI191">
        <v>0</v>
      </c>
      <c r="EJ191">
        <v>0</v>
      </c>
      <c r="EK191">
        <v>0</v>
      </c>
      <c r="EL191">
        <v>0</v>
      </c>
      <c r="EM191">
        <v>0</v>
      </c>
      <c r="EN191">
        <v>0</v>
      </c>
      <c r="EO191">
        <v>0</v>
      </c>
      <c r="EP191">
        <v>0</v>
      </c>
      <c r="EQ191">
        <v>0</v>
      </c>
      <c r="ER191">
        <v>0</v>
      </c>
      <c r="ES191">
        <v>0</v>
      </c>
      <c r="ET191">
        <v>0</v>
      </c>
      <c r="EU191">
        <v>0</v>
      </c>
      <c r="EV191">
        <v>0</v>
      </c>
      <c r="EW191">
        <v>0</v>
      </c>
      <c r="EX191">
        <v>0</v>
      </c>
      <c r="EY191">
        <v>0</v>
      </c>
      <c r="EZ191">
        <v>0</v>
      </c>
      <c r="FA191">
        <v>0</v>
      </c>
      <c r="FB191">
        <v>0</v>
      </c>
      <c r="FC191">
        <v>0</v>
      </c>
      <c r="FD191">
        <v>0</v>
      </c>
      <c r="FE191">
        <v>0</v>
      </c>
      <c r="FF191">
        <v>0</v>
      </c>
      <c r="FG191">
        <v>0</v>
      </c>
      <c r="FH191">
        <v>0</v>
      </c>
      <c r="FI191">
        <v>0</v>
      </c>
      <c r="FJ191">
        <v>0</v>
      </c>
      <c r="FK191">
        <v>0</v>
      </c>
      <c r="FL191">
        <v>0</v>
      </c>
      <c r="FM191">
        <v>0</v>
      </c>
      <c r="FN191">
        <v>0</v>
      </c>
      <c r="FO191">
        <v>0</v>
      </c>
      <c r="FP191">
        <v>0</v>
      </c>
      <c r="FQ191">
        <v>0</v>
      </c>
      <c r="FR191">
        <v>0</v>
      </c>
      <c r="FS191">
        <v>0</v>
      </c>
      <c r="FT191">
        <v>0</v>
      </c>
      <c r="FU191">
        <v>0</v>
      </c>
      <c r="FV191">
        <v>0</v>
      </c>
      <c r="FW191">
        <v>0</v>
      </c>
      <c r="FX191">
        <v>0</v>
      </c>
      <c r="FY191">
        <v>0</v>
      </c>
      <c r="FZ191">
        <v>0</v>
      </c>
      <c r="GA191">
        <v>0</v>
      </c>
      <c r="GB191">
        <v>0</v>
      </c>
      <c r="GC191">
        <v>0</v>
      </c>
      <c r="GD191">
        <v>0</v>
      </c>
      <c r="GE191">
        <v>0</v>
      </c>
      <c r="GF191">
        <v>0</v>
      </c>
      <c r="GG191">
        <v>0</v>
      </c>
      <c r="GH191">
        <v>0</v>
      </c>
      <c r="GI191">
        <v>0</v>
      </c>
      <c r="GJ191">
        <v>0</v>
      </c>
      <c r="GK191">
        <v>0</v>
      </c>
      <c r="GL191">
        <v>0</v>
      </c>
      <c r="GM191">
        <v>0</v>
      </c>
      <c r="GN191">
        <v>0</v>
      </c>
      <c r="GO191">
        <v>0</v>
      </c>
      <c r="GP191">
        <v>0</v>
      </c>
      <c r="GQ191">
        <v>0</v>
      </c>
      <c r="GR191">
        <v>0</v>
      </c>
      <c r="GS191">
        <v>0</v>
      </c>
      <c r="GT191">
        <v>0</v>
      </c>
      <c r="GU191">
        <v>0</v>
      </c>
      <c r="GV191">
        <v>0</v>
      </c>
      <c r="GW191">
        <v>0</v>
      </c>
      <c r="GX191">
        <v>0</v>
      </c>
      <c r="GY191">
        <v>0</v>
      </c>
      <c r="GZ191">
        <v>0</v>
      </c>
      <c r="HA191">
        <v>0</v>
      </c>
      <c r="HB191">
        <v>0</v>
      </c>
      <c r="HC191">
        <v>0</v>
      </c>
      <c r="HD191">
        <v>0</v>
      </c>
      <c r="HE191">
        <v>0</v>
      </c>
      <c r="HF191">
        <v>0</v>
      </c>
      <c r="HG191">
        <v>0</v>
      </c>
      <c r="HH191">
        <v>0</v>
      </c>
      <c r="HI191">
        <v>0</v>
      </c>
      <c r="HJ191">
        <v>0</v>
      </c>
      <c r="HK191">
        <v>0</v>
      </c>
      <c r="HL191">
        <v>0</v>
      </c>
      <c r="HM191">
        <v>0</v>
      </c>
      <c r="HN191">
        <v>0</v>
      </c>
      <c r="HO191">
        <v>0</v>
      </c>
      <c r="HP191">
        <v>0</v>
      </c>
      <c r="HQ191">
        <v>0</v>
      </c>
      <c r="HR191">
        <v>0</v>
      </c>
      <c r="HS191">
        <v>0</v>
      </c>
      <c r="HT191">
        <v>0</v>
      </c>
      <c r="HU191">
        <v>0</v>
      </c>
      <c r="HV191">
        <v>0</v>
      </c>
      <c r="HW191">
        <v>0</v>
      </c>
      <c r="HX191">
        <v>0</v>
      </c>
      <c r="HY191">
        <v>0</v>
      </c>
      <c r="HZ191">
        <v>0</v>
      </c>
      <c r="IA191">
        <v>0</v>
      </c>
      <c r="IB191">
        <v>0</v>
      </c>
      <c r="IC191">
        <v>0</v>
      </c>
      <c r="ID191">
        <v>0</v>
      </c>
      <c r="IE191">
        <v>0</v>
      </c>
      <c r="IF191">
        <v>0</v>
      </c>
      <c r="IG191">
        <v>0</v>
      </c>
      <c r="IH191">
        <v>0</v>
      </c>
      <c r="II191">
        <v>0</v>
      </c>
      <c r="IJ191">
        <v>0</v>
      </c>
      <c r="IK191">
        <v>0</v>
      </c>
      <c r="IL191">
        <v>0</v>
      </c>
      <c r="IM191">
        <v>0</v>
      </c>
      <c r="IN191">
        <v>0</v>
      </c>
      <c r="IO191">
        <v>0</v>
      </c>
      <c r="IP191">
        <v>0</v>
      </c>
      <c r="IQ191">
        <v>0</v>
      </c>
      <c r="IR191">
        <v>0</v>
      </c>
      <c r="IS191">
        <v>0</v>
      </c>
      <c r="IT191">
        <v>0</v>
      </c>
      <c r="IU191">
        <v>0</v>
      </c>
      <c r="IV191">
        <v>0</v>
      </c>
      <c r="IW191">
        <v>0</v>
      </c>
      <c r="IX191">
        <v>0</v>
      </c>
      <c r="IY191">
        <v>0</v>
      </c>
      <c r="IZ191">
        <v>0</v>
      </c>
      <c r="JA191">
        <v>0</v>
      </c>
      <c r="JB191">
        <v>0</v>
      </c>
      <c r="JC191">
        <v>0</v>
      </c>
      <c r="JD191">
        <v>0</v>
      </c>
      <c r="JE191">
        <v>0</v>
      </c>
      <c r="JF191">
        <v>0</v>
      </c>
      <c r="JG191">
        <v>0</v>
      </c>
      <c r="JH191">
        <v>0</v>
      </c>
      <c r="JI191">
        <v>0</v>
      </c>
      <c r="JJ191">
        <v>0</v>
      </c>
      <c r="JK191">
        <v>0</v>
      </c>
      <c r="JL191">
        <v>0</v>
      </c>
      <c r="JM191">
        <v>0</v>
      </c>
      <c r="JN191">
        <v>0</v>
      </c>
      <c r="JO191">
        <v>0</v>
      </c>
      <c r="JP191">
        <v>0</v>
      </c>
      <c r="JQ191">
        <v>0</v>
      </c>
      <c r="JR191">
        <v>0</v>
      </c>
      <c r="JS191">
        <v>0</v>
      </c>
      <c r="JT191">
        <v>0</v>
      </c>
      <c r="JU191">
        <v>0</v>
      </c>
      <c r="JV191">
        <v>0</v>
      </c>
      <c r="JW191">
        <v>0</v>
      </c>
      <c r="JX191">
        <v>0</v>
      </c>
      <c r="JY191">
        <v>0</v>
      </c>
      <c r="JZ191">
        <v>0</v>
      </c>
      <c r="KA191">
        <v>0</v>
      </c>
      <c r="KB191">
        <v>0</v>
      </c>
      <c r="KC191">
        <v>0</v>
      </c>
      <c r="KD191">
        <v>0</v>
      </c>
      <c r="KE191">
        <v>0</v>
      </c>
      <c r="KF191">
        <v>0</v>
      </c>
      <c r="KG191">
        <v>0</v>
      </c>
      <c r="KH191">
        <v>0</v>
      </c>
      <c r="KI191">
        <v>0</v>
      </c>
      <c r="KJ191">
        <v>0</v>
      </c>
      <c r="KK191">
        <v>0</v>
      </c>
      <c r="KL191">
        <v>0</v>
      </c>
      <c r="KM191">
        <v>0</v>
      </c>
      <c r="KN191">
        <v>0</v>
      </c>
      <c r="KO191">
        <v>0</v>
      </c>
      <c r="KP191">
        <v>0</v>
      </c>
      <c r="KQ191">
        <v>0</v>
      </c>
      <c r="KR191">
        <v>0</v>
      </c>
      <c r="KS191">
        <v>0</v>
      </c>
      <c r="KT191">
        <v>0</v>
      </c>
      <c r="KU191">
        <v>0</v>
      </c>
      <c r="KV191">
        <v>0</v>
      </c>
      <c r="KW191">
        <v>0</v>
      </c>
      <c r="KX191">
        <v>0</v>
      </c>
      <c r="KY191">
        <v>0</v>
      </c>
      <c r="KZ191">
        <v>0</v>
      </c>
      <c r="LA191">
        <v>0</v>
      </c>
      <c r="LB191">
        <v>0</v>
      </c>
      <c r="LC191">
        <v>0</v>
      </c>
      <c r="LD191">
        <v>0</v>
      </c>
      <c r="LE191">
        <v>0</v>
      </c>
      <c r="LF191">
        <v>0</v>
      </c>
      <c r="LG191">
        <v>0</v>
      </c>
      <c r="LH191">
        <v>0</v>
      </c>
      <c r="LI191">
        <v>0</v>
      </c>
      <c r="LJ191">
        <v>0</v>
      </c>
      <c r="LK191">
        <v>0</v>
      </c>
      <c r="LL191">
        <v>0</v>
      </c>
      <c r="LM191">
        <v>0</v>
      </c>
      <c r="LN191">
        <v>0</v>
      </c>
      <c r="LO191">
        <v>0</v>
      </c>
      <c r="LP191">
        <v>0</v>
      </c>
      <c r="LQ191">
        <v>0</v>
      </c>
      <c r="LR191">
        <v>0</v>
      </c>
      <c r="LS191">
        <v>0</v>
      </c>
      <c r="LT191">
        <v>0</v>
      </c>
      <c r="LU191">
        <v>0</v>
      </c>
      <c r="LV191">
        <v>0</v>
      </c>
      <c r="LW191">
        <v>0</v>
      </c>
      <c r="LX191">
        <v>0</v>
      </c>
      <c r="LY191">
        <v>0</v>
      </c>
      <c r="LZ191">
        <v>0</v>
      </c>
      <c r="MA191">
        <v>0</v>
      </c>
      <c r="MB191">
        <v>0</v>
      </c>
      <c r="MC191">
        <v>0</v>
      </c>
      <c r="MD191">
        <v>0</v>
      </c>
      <c r="ME191">
        <v>0</v>
      </c>
      <c r="MF191">
        <v>0</v>
      </c>
      <c r="MG191">
        <v>0</v>
      </c>
      <c r="MH191">
        <v>0</v>
      </c>
      <c r="MI191">
        <v>0</v>
      </c>
      <c r="MJ191">
        <v>0</v>
      </c>
      <c r="MK191">
        <v>0</v>
      </c>
      <c r="ML191">
        <v>0</v>
      </c>
      <c r="MM191">
        <v>0</v>
      </c>
      <c r="MN191">
        <v>0</v>
      </c>
      <c r="MO191">
        <v>0</v>
      </c>
      <c r="MP191">
        <v>0</v>
      </c>
      <c r="MQ191">
        <v>0</v>
      </c>
      <c r="MR191">
        <v>0</v>
      </c>
      <c r="MS191">
        <v>0</v>
      </c>
      <c r="MT191">
        <v>0</v>
      </c>
      <c r="MU191">
        <v>0</v>
      </c>
      <c r="MV191">
        <v>0</v>
      </c>
      <c r="MW191">
        <v>0</v>
      </c>
      <c r="MX191">
        <v>0</v>
      </c>
      <c r="MY191">
        <v>0</v>
      </c>
      <c r="MZ191">
        <v>0</v>
      </c>
      <c r="NA191">
        <v>0</v>
      </c>
      <c r="NB191">
        <v>0</v>
      </c>
      <c r="NC191">
        <v>0</v>
      </c>
      <c r="ND191">
        <v>0</v>
      </c>
      <c r="NE191">
        <v>0</v>
      </c>
    </row>
    <row r="192" spans="41:369" x14ac:dyDescent="0.45">
      <c r="AO192" t="str">
        <v>C148</v>
      </c>
      <c r="AP192" t="str">
        <v>MUHAMMED SHABEEB</v>
      </c>
      <c r="AQ192" t="str">
        <v>BADF</v>
      </c>
      <c r="AR192" t="str">
        <v>SENIOR</v>
      </c>
      <c r="AS192">
        <v>6</v>
      </c>
      <c r="AT192">
        <v>20</v>
      </c>
      <c r="AU192">
        <v>0</v>
      </c>
      <c r="AV192">
        <v>20</v>
      </c>
      <c r="AW192">
        <v>20</v>
      </c>
      <c r="AX192">
        <v>74</v>
      </c>
      <c r="AY192" s="5">
        <v>74</v>
      </c>
      <c r="AZ192" t="str">
        <v>SS48</v>
      </c>
      <c r="BA192" t="str">
        <v>MASHUP</v>
      </c>
      <c r="BB192" t="str">
        <v>SUPER SENIOR</v>
      </c>
      <c r="BC192" t="str">
        <v>Group</v>
      </c>
      <c r="BD192" t="str">
        <v>Stage</v>
      </c>
      <c r="BE192">
        <v>6</v>
      </c>
      <c r="BF192" t="str">
        <v>GROUP</v>
      </c>
      <c r="BG192" t="str">
        <v>GROUP</v>
      </c>
      <c r="BH192" t="str">
        <v>P</v>
      </c>
      <c r="BI192" t="str">
        <v>PUBLISHED</v>
      </c>
      <c r="BK192">
        <v>186</v>
      </c>
      <c r="BL192" t="str">
        <v>SS44</v>
      </c>
      <c r="BM192" t="str">
        <v>SONG ENG</v>
      </c>
      <c r="BN192">
        <v>3</v>
      </c>
      <c r="BO192" t="str">
        <v>Single</v>
      </c>
      <c r="BP192" t="str">
        <v>Stage</v>
      </c>
      <c r="BQ192" t="str">
        <v>SUPER SENIOR</v>
      </c>
      <c r="BR192" t="str">
        <v>D105</v>
      </c>
      <c r="BS192" t="str">
        <v>D138</v>
      </c>
      <c r="BT192" t="str">
        <v>D147</v>
      </c>
      <c r="BU192">
        <v>0</v>
      </c>
      <c r="BV192">
        <v>0</v>
      </c>
      <c r="BW192">
        <v>0</v>
      </c>
      <c r="BX192">
        <v>0</v>
      </c>
      <c r="BY192" t="str">
        <v>D135</v>
      </c>
      <c r="BZ192" t="str">
        <v>D140</v>
      </c>
      <c r="CA192" t="str">
        <v>D152</v>
      </c>
      <c r="CB192">
        <v>0</v>
      </c>
      <c r="CC192">
        <v>0</v>
      </c>
      <c r="CD192">
        <v>0</v>
      </c>
      <c r="CE192">
        <v>0</v>
      </c>
      <c r="CF192" t="str">
        <v>D124</v>
      </c>
      <c r="CG192" t="str">
        <v>D141</v>
      </c>
      <c r="CH192" t="str">
        <v>D145</v>
      </c>
      <c r="CI192">
        <v>0</v>
      </c>
      <c r="CJ192">
        <v>0</v>
      </c>
      <c r="CK192">
        <v>0</v>
      </c>
      <c r="CL192">
        <v>0</v>
      </c>
      <c r="CM192" t="str">
        <v>D100</v>
      </c>
      <c r="CN192" t="str">
        <v>D191</v>
      </c>
      <c r="CO192" t="str">
        <v>D144</v>
      </c>
      <c r="CP192">
        <v>0</v>
      </c>
      <c r="CQ192">
        <v>0</v>
      </c>
      <c r="CR192">
        <v>0</v>
      </c>
      <c r="CS192">
        <v>0</v>
      </c>
      <c r="CT192">
        <v>0</v>
      </c>
      <c r="CU192">
        <v>0</v>
      </c>
      <c r="CV192">
        <v>0</v>
      </c>
      <c r="CW192">
        <v>0</v>
      </c>
      <c r="CX192">
        <v>0</v>
      </c>
      <c r="CY192">
        <v>0</v>
      </c>
      <c r="CZ192">
        <v>0</v>
      </c>
      <c r="DA192">
        <v>0</v>
      </c>
      <c r="DB192">
        <v>0</v>
      </c>
      <c r="DC192">
        <v>0</v>
      </c>
      <c r="DD192">
        <v>0</v>
      </c>
      <c r="DE192">
        <v>0</v>
      </c>
      <c r="DF192">
        <v>0</v>
      </c>
      <c r="DG192">
        <v>0</v>
      </c>
      <c r="DH192">
        <v>0</v>
      </c>
      <c r="DI192">
        <v>0</v>
      </c>
      <c r="DJ192">
        <v>0</v>
      </c>
      <c r="DK192">
        <v>0</v>
      </c>
      <c r="DL192">
        <v>0</v>
      </c>
      <c r="DM192">
        <v>0</v>
      </c>
      <c r="DN192">
        <v>0</v>
      </c>
      <c r="DO192">
        <v>0</v>
      </c>
      <c r="DP192">
        <v>0</v>
      </c>
      <c r="DQ192">
        <v>0</v>
      </c>
      <c r="DR192">
        <v>0</v>
      </c>
      <c r="DS192">
        <v>0</v>
      </c>
      <c r="DT192">
        <v>0</v>
      </c>
      <c r="DU192">
        <v>0</v>
      </c>
      <c r="DV192">
        <v>0</v>
      </c>
      <c r="DW192">
        <v>0</v>
      </c>
      <c r="DX192">
        <v>0</v>
      </c>
      <c r="DY192">
        <v>0</v>
      </c>
      <c r="DZ192">
        <v>0</v>
      </c>
      <c r="EA192">
        <v>0</v>
      </c>
      <c r="EB192">
        <v>0</v>
      </c>
      <c r="EC192">
        <v>0</v>
      </c>
      <c r="ED192">
        <v>0</v>
      </c>
      <c r="EE192">
        <v>0</v>
      </c>
      <c r="EF192">
        <v>0</v>
      </c>
      <c r="EG192">
        <v>0</v>
      </c>
      <c r="EH192">
        <v>0</v>
      </c>
      <c r="EI192">
        <v>0</v>
      </c>
      <c r="EJ192">
        <v>0</v>
      </c>
      <c r="EK192">
        <v>0</v>
      </c>
      <c r="EL192">
        <v>0</v>
      </c>
      <c r="EM192">
        <v>0</v>
      </c>
      <c r="EN192">
        <v>0</v>
      </c>
      <c r="EO192">
        <v>0</v>
      </c>
      <c r="EP192">
        <v>0</v>
      </c>
      <c r="EQ192">
        <v>0</v>
      </c>
      <c r="ER192">
        <v>0</v>
      </c>
      <c r="ES192">
        <v>0</v>
      </c>
      <c r="ET192">
        <v>0</v>
      </c>
      <c r="EU192">
        <v>0</v>
      </c>
      <c r="EV192">
        <v>0</v>
      </c>
      <c r="EW192">
        <v>0</v>
      </c>
      <c r="EX192">
        <v>0</v>
      </c>
      <c r="EY192">
        <v>0</v>
      </c>
      <c r="EZ192">
        <v>0</v>
      </c>
      <c r="FA192">
        <v>0</v>
      </c>
      <c r="FB192">
        <v>0</v>
      </c>
      <c r="FC192">
        <v>0</v>
      </c>
      <c r="FD192">
        <v>0</v>
      </c>
      <c r="FE192">
        <v>0</v>
      </c>
      <c r="FF192">
        <v>0</v>
      </c>
      <c r="FG192">
        <v>0</v>
      </c>
      <c r="FH192">
        <v>0</v>
      </c>
      <c r="FI192">
        <v>0</v>
      </c>
      <c r="FJ192">
        <v>0</v>
      </c>
      <c r="FK192">
        <v>0</v>
      </c>
      <c r="FL192">
        <v>0</v>
      </c>
      <c r="FM192">
        <v>0</v>
      </c>
      <c r="FN192">
        <v>0</v>
      </c>
      <c r="FO192">
        <v>0</v>
      </c>
      <c r="FP192">
        <v>0</v>
      </c>
      <c r="FQ192">
        <v>0</v>
      </c>
      <c r="FR192">
        <v>0</v>
      </c>
      <c r="FS192">
        <v>0</v>
      </c>
      <c r="FT192">
        <v>0</v>
      </c>
      <c r="FU192">
        <v>0</v>
      </c>
      <c r="FV192">
        <v>0</v>
      </c>
      <c r="FW192">
        <v>0</v>
      </c>
      <c r="FX192">
        <v>0</v>
      </c>
      <c r="FY192">
        <v>0</v>
      </c>
      <c r="FZ192">
        <v>0</v>
      </c>
      <c r="GA192">
        <v>0</v>
      </c>
      <c r="GB192">
        <v>0</v>
      </c>
      <c r="GC192">
        <v>0</v>
      </c>
      <c r="GD192">
        <v>0</v>
      </c>
      <c r="GE192">
        <v>0</v>
      </c>
      <c r="GF192">
        <v>0</v>
      </c>
      <c r="GG192">
        <v>0</v>
      </c>
      <c r="GH192">
        <v>0</v>
      </c>
      <c r="GI192">
        <v>0</v>
      </c>
      <c r="GJ192">
        <v>0</v>
      </c>
      <c r="GK192">
        <v>0</v>
      </c>
      <c r="GL192">
        <v>0</v>
      </c>
      <c r="GM192">
        <v>0</v>
      </c>
      <c r="GN192">
        <v>0</v>
      </c>
      <c r="GO192">
        <v>0</v>
      </c>
      <c r="GP192">
        <v>0</v>
      </c>
      <c r="GQ192">
        <v>0</v>
      </c>
      <c r="GR192">
        <v>0</v>
      </c>
      <c r="GS192">
        <v>0</v>
      </c>
      <c r="GT192">
        <v>0</v>
      </c>
      <c r="GU192">
        <v>0</v>
      </c>
      <c r="GV192">
        <v>0</v>
      </c>
      <c r="GW192">
        <v>0</v>
      </c>
      <c r="GX192">
        <v>0</v>
      </c>
      <c r="GY192">
        <v>0</v>
      </c>
      <c r="GZ192">
        <v>0</v>
      </c>
      <c r="HA192">
        <v>0</v>
      </c>
      <c r="HB192">
        <v>0</v>
      </c>
      <c r="HC192">
        <v>0</v>
      </c>
      <c r="HD192">
        <v>0</v>
      </c>
      <c r="HE192">
        <v>0</v>
      </c>
      <c r="HF192">
        <v>0</v>
      </c>
      <c r="HG192">
        <v>0</v>
      </c>
      <c r="HH192">
        <v>0</v>
      </c>
      <c r="HI192">
        <v>0</v>
      </c>
      <c r="HJ192">
        <v>0</v>
      </c>
      <c r="HK192">
        <v>0</v>
      </c>
      <c r="HL192">
        <v>0</v>
      </c>
      <c r="HM192">
        <v>0</v>
      </c>
      <c r="HN192">
        <v>0</v>
      </c>
      <c r="HO192">
        <v>0</v>
      </c>
      <c r="HP192">
        <v>0</v>
      </c>
      <c r="HQ192">
        <v>0</v>
      </c>
      <c r="HR192">
        <v>0</v>
      </c>
      <c r="HS192">
        <v>0</v>
      </c>
      <c r="HT192">
        <v>0</v>
      </c>
      <c r="HU192">
        <v>0</v>
      </c>
      <c r="HV192">
        <v>0</v>
      </c>
      <c r="HW192">
        <v>0</v>
      </c>
      <c r="HX192">
        <v>0</v>
      </c>
      <c r="HY192">
        <v>0</v>
      </c>
      <c r="HZ192">
        <v>0</v>
      </c>
      <c r="IA192">
        <v>0</v>
      </c>
      <c r="IB192">
        <v>0</v>
      </c>
      <c r="IC192">
        <v>0</v>
      </c>
      <c r="ID192">
        <v>0</v>
      </c>
      <c r="IE192">
        <v>0</v>
      </c>
      <c r="IF192">
        <v>0</v>
      </c>
      <c r="IG192">
        <v>0</v>
      </c>
      <c r="IH192">
        <v>0</v>
      </c>
      <c r="II192">
        <v>0</v>
      </c>
      <c r="IJ192">
        <v>0</v>
      </c>
      <c r="IK192">
        <v>0</v>
      </c>
      <c r="IL192">
        <v>0</v>
      </c>
      <c r="IM192">
        <v>0</v>
      </c>
      <c r="IN192">
        <v>0</v>
      </c>
      <c r="IO192">
        <v>0</v>
      </c>
      <c r="IP192">
        <v>0</v>
      </c>
      <c r="IQ192">
        <v>0</v>
      </c>
      <c r="IR192">
        <v>0</v>
      </c>
      <c r="IS192">
        <v>0</v>
      </c>
      <c r="IT192">
        <v>0</v>
      </c>
      <c r="IU192">
        <v>0</v>
      </c>
      <c r="IV192">
        <v>0</v>
      </c>
      <c r="IW192">
        <v>0</v>
      </c>
      <c r="IX192">
        <v>0</v>
      </c>
      <c r="IY192">
        <v>0</v>
      </c>
      <c r="IZ192">
        <v>0</v>
      </c>
      <c r="JA192">
        <v>0</v>
      </c>
      <c r="JB192">
        <v>0</v>
      </c>
      <c r="JC192">
        <v>0</v>
      </c>
      <c r="JD192">
        <v>0</v>
      </c>
      <c r="JE192">
        <v>0</v>
      </c>
      <c r="JF192">
        <v>0</v>
      </c>
      <c r="JG192">
        <v>0</v>
      </c>
      <c r="JH192">
        <v>0</v>
      </c>
      <c r="JI192">
        <v>0</v>
      </c>
      <c r="JJ192">
        <v>0</v>
      </c>
      <c r="JK192">
        <v>0</v>
      </c>
      <c r="JL192">
        <v>0</v>
      </c>
      <c r="JM192">
        <v>0</v>
      </c>
      <c r="JN192">
        <v>0</v>
      </c>
      <c r="JO192">
        <v>0</v>
      </c>
      <c r="JP192">
        <v>0</v>
      </c>
      <c r="JQ192">
        <v>0</v>
      </c>
      <c r="JR192">
        <v>0</v>
      </c>
      <c r="JS192">
        <v>0</v>
      </c>
      <c r="JT192">
        <v>0</v>
      </c>
      <c r="JU192">
        <v>0</v>
      </c>
      <c r="JV192">
        <v>0</v>
      </c>
      <c r="JW192">
        <v>0</v>
      </c>
      <c r="JX192">
        <v>0</v>
      </c>
      <c r="JY192">
        <v>0</v>
      </c>
      <c r="JZ192">
        <v>0</v>
      </c>
      <c r="KA192">
        <v>0</v>
      </c>
      <c r="KB192">
        <v>0</v>
      </c>
      <c r="KC192">
        <v>0</v>
      </c>
      <c r="KD192">
        <v>0</v>
      </c>
      <c r="KE192">
        <v>0</v>
      </c>
      <c r="KF192">
        <v>0</v>
      </c>
      <c r="KG192">
        <v>0</v>
      </c>
      <c r="KH192">
        <v>0</v>
      </c>
      <c r="KI192">
        <v>0</v>
      </c>
      <c r="KJ192">
        <v>0</v>
      </c>
      <c r="KK192">
        <v>0</v>
      </c>
      <c r="KL192">
        <v>0</v>
      </c>
      <c r="KM192">
        <v>0</v>
      </c>
      <c r="KN192">
        <v>0</v>
      </c>
      <c r="KO192">
        <v>0</v>
      </c>
      <c r="KP192">
        <v>0</v>
      </c>
      <c r="KQ192">
        <v>0</v>
      </c>
      <c r="KR192">
        <v>0</v>
      </c>
      <c r="KS192">
        <v>0</v>
      </c>
      <c r="KT192">
        <v>0</v>
      </c>
      <c r="KU192">
        <v>0</v>
      </c>
      <c r="KV192">
        <v>0</v>
      </c>
      <c r="KW192">
        <v>0</v>
      </c>
      <c r="KX192">
        <v>0</v>
      </c>
      <c r="KY192">
        <v>0</v>
      </c>
      <c r="KZ192">
        <v>0</v>
      </c>
      <c r="LA192">
        <v>0</v>
      </c>
      <c r="LB192">
        <v>0</v>
      </c>
      <c r="LC192">
        <v>0</v>
      </c>
      <c r="LD192">
        <v>0</v>
      </c>
      <c r="LE192">
        <v>0</v>
      </c>
      <c r="LF192">
        <v>0</v>
      </c>
      <c r="LG192">
        <v>0</v>
      </c>
      <c r="LH192">
        <v>0</v>
      </c>
      <c r="LI192">
        <v>0</v>
      </c>
      <c r="LJ192">
        <v>0</v>
      </c>
      <c r="LK192">
        <v>0</v>
      </c>
      <c r="LL192">
        <v>0</v>
      </c>
      <c r="LM192">
        <v>0</v>
      </c>
      <c r="LN192">
        <v>0</v>
      </c>
      <c r="LO192">
        <v>0</v>
      </c>
      <c r="LP192">
        <v>0</v>
      </c>
      <c r="LQ192">
        <v>0</v>
      </c>
      <c r="LR192">
        <v>0</v>
      </c>
      <c r="LS192">
        <v>0</v>
      </c>
      <c r="LT192">
        <v>0</v>
      </c>
      <c r="LU192">
        <v>0</v>
      </c>
      <c r="LV192">
        <v>0</v>
      </c>
      <c r="LW192">
        <v>0</v>
      </c>
      <c r="LX192">
        <v>0</v>
      </c>
      <c r="LY192">
        <v>0</v>
      </c>
      <c r="LZ192">
        <v>0</v>
      </c>
      <c r="MA192">
        <v>0</v>
      </c>
      <c r="MB192">
        <v>0</v>
      </c>
      <c r="MC192">
        <v>0</v>
      </c>
      <c r="MD192">
        <v>0</v>
      </c>
      <c r="ME192">
        <v>0</v>
      </c>
      <c r="MF192">
        <v>0</v>
      </c>
      <c r="MG192">
        <v>0</v>
      </c>
      <c r="MH192">
        <v>0</v>
      </c>
      <c r="MI192">
        <v>0</v>
      </c>
      <c r="MJ192">
        <v>0</v>
      </c>
      <c r="MK192">
        <v>0</v>
      </c>
      <c r="ML192">
        <v>0</v>
      </c>
      <c r="MM192">
        <v>0</v>
      </c>
      <c r="MN192">
        <v>0</v>
      </c>
      <c r="MO192">
        <v>0</v>
      </c>
      <c r="MP192">
        <v>0</v>
      </c>
      <c r="MQ192">
        <v>0</v>
      </c>
      <c r="MR192">
        <v>0</v>
      </c>
      <c r="MS192">
        <v>0</v>
      </c>
      <c r="MT192">
        <v>0</v>
      </c>
      <c r="MU192">
        <v>0</v>
      </c>
      <c r="MV192">
        <v>0</v>
      </c>
      <c r="MW192">
        <v>0</v>
      </c>
      <c r="MX192">
        <v>0</v>
      </c>
      <c r="MY192">
        <v>0</v>
      </c>
      <c r="MZ192">
        <v>0</v>
      </c>
      <c r="NA192">
        <v>0</v>
      </c>
      <c r="NB192">
        <v>0</v>
      </c>
      <c r="NC192">
        <v>0</v>
      </c>
      <c r="ND192">
        <v>0</v>
      </c>
      <c r="NE192">
        <v>0</v>
      </c>
    </row>
    <row r="193" spans="41:369" x14ac:dyDescent="0.45">
      <c r="AO193" t="str">
        <v>C149</v>
      </c>
      <c r="AP193" t="str">
        <v>ABDUL BAAIS N.A</v>
      </c>
      <c r="AQ193" t="str">
        <v>FANT</v>
      </c>
      <c r="AR193" t="str">
        <v>SENIOR</v>
      </c>
      <c r="AS193">
        <v>6</v>
      </c>
      <c r="AT193">
        <v>6</v>
      </c>
      <c r="AU193">
        <v>0</v>
      </c>
      <c r="AV193">
        <v>6</v>
      </c>
      <c r="AW193">
        <v>6</v>
      </c>
      <c r="AX193">
        <v>171</v>
      </c>
      <c r="AY193" s="5">
        <v>171</v>
      </c>
      <c r="AZ193" t="str">
        <v>SS49</v>
      </c>
      <c r="BA193" t="str">
        <v>SPOT TRANSLATION</v>
      </c>
      <c r="BB193" t="str">
        <v>SUPER SENIOR</v>
      </c>
      <c r="BC193" t="str">
        <v>Group</v>
      </c>
      <c r="BD193" t="str">
        <v>Stage</v>
      </c>
      <c r="BE193">
        <v>4</v>
      </c>
      <c r="BF193" t="str">
        <v>GROUP</v>
      </c>
      <c r="BG193" t="str">
        <v>GROUP</v>
      </c>
      <c r="BH193" t="str">
        <v>P</v>
      </c>
      <c r="BI193" t="str">
        <v>PUBLISHED</v>
      </c>
      <c r="BK193">
        <v>187</v>
      </c>
      <c r="BL193" t="str">
        <v>SS45</v>
      </c>
      <c r="BM193" t="str">
        <v>TADRĪS</v>
      </c>
      <c r="BN193">
        <v>3</v>
      </c>
      <c r="BO193" t="str">
        <v>Single</v>
      </c>
      <c r="BP193" t="str">
        <v>Stage</v>
      </c>
      <c r="BQ193" t="str">
        <v>SUPER SENIOR</v>
      </c>
      <c r="BR193" t="str">
        <v>D128</v>
      </c>
      <c r="BS193" t="str">
        <v>D147</v>
      </c>
      <c r="BT193" t="str">
        <v>D198</v>
      </c>
      <c r="BU193">
        <v>0</v>
      </c>
      <c r="BV193">
        <v>0</v>
      </c>
      <c r="BW193">
        <v>0</v>
      </c>
      <c r="BX193">
        <v>0</v>
      </c>
      <c r="BY193" t="str">
        <v>D140</v>
      </c>
      <c r="BZ193" t="str">
        <v>D150</v>
      </c>
      <c r="CA193" t="str">
        <v>D166</v>
      </c>
      <c r="CB193">
        <v>0</v>
      </c>
      <c r="CC193">
        <v>0</v>
      </c>
      <c r="CD193">
        <v>0</v>
      </c>
      <c r="CE193">
        <v>0</v>
      </c>
      <c r="CF193" t="str">
        <v>D129</v>
      </c>
      <c r="CG193" t="str">
        <v>D173</v>
      </c>
      <c r="CH193" t="str">
        <v>D195</v>
      </c>
      <c r="CI193">
        <v>0</v>
      </c>
      <c r="CJ193">
        <v>0</v>
      </c>
      <c r="CK193">
        <v>0</v>
      </c>
      <c r="CL193">
        <v>0</v>
      </c>
      <c r="CM193" t="str">
        <v>D101</v>
      </c>
      <c r="CN193" t="str">
        <v>D113</v>
      </c>
      <c r="CO193" t="str">
        <v>D182</v>
      </c>
      <c r="CP193">
        <v>0</v>
      </c>
      <c r="CQ193">
        <v>0</v>
      </c>
      <c r="CR193">
        <v>0</v>
      </c>
      <c r="CS193">
        <v>0</v>
      </c>
      <c r="CT193">
        <v>0</v>
      </c>
      <c r="CU193">
        <v>0</v>
      </c>
      <c r="CV193">
        <v>0</v>
      </c>
      <c r="CW193">
        <v>0</v>
      </c>
      <c r="CX193">
        <v>0</v>
      </c>
      <c r="CY193">
        <v>0</v>
      </c>
      <c r="CZ193">
        <v>0</v>
      </c>
      <c r="DA193">
        <v>0</v>
      </c>
      <c r="DB193">
        <v>0</v>
      </c>
      <c r="DC193">
        <v>0</v>
      </c>
      <c r="DD193">
        <v>0</v>
      </c>
      <c r="DE193">
        <v>0</v>
      </c>
      <c r="DF193">
        <v>0</v>
      </c>
      <c r="DG193">
        <v>0</v>
      </c>
      <c r="DH193">
        <v>0</v>
      </c>
      <c r="DI193">
        <v>0</v>
      </c>
      <c r="DJ193">
        <v>0</v>
      </c>
      <c r="DK193">
        <v>0</v>
      </c>
      <c r="DL193">
        <v>0</v>
      </c>
      <c r="DM193">
        <v>0</v>
      </c>
      <c r="DN193">
        <v>0</v>
      </c>
      <c r="DO193">
        <v>0</v>
      </c>
      <c r="DP193">
        <v>0</v>
      </c>
      <c r="DQ193">
        <v>0</v>
      </c>
      <c r="DR193">
        <v>0</v>
      </c>
      <c r="DS193">
        <v>0</v>
      </c>
      <c r="DT193">
        <v>0</v>
      </c>
      <c r="DU193">
        <v>0</v>
      </c>
      <c r="DV193">
        <v>0</v>
      </c>
      <c r="DW193">
        <v>0</v>
      </c>
      <c r="DX193">
        <v>0</v>
      </c>
      <c r="DY193">
        <v>0</v>
      </c>
      <c r="DZ193">
        <v>0</v>
      </c>
      <c r="EA193">
        <v>0</v>
      </c>
      <c r="EB193">
        <v>0</v>
      </c>
      <c r="EC193">
        <v>0</v>
      </c>
      <c r="ED193">
        <v>0</v>
      </c>
      <c r="EE193">
        <v>0</v>
      </c>
      <c r="EF193">
        <v>0</v>
      </c>
      <c r="EG193">
        <v>0</v>
      </c>
      <c r="EH193">
        <v>0</v>
      </c>
      <c r="EI193">
        <v>0</v>
      </c>
      <c r="EJ193">
        <v>0</v>
      </c>
      <c r="EK193">
        <v>0</v>
      </c>
      <c r="EL193">
        <v>0</v>
      </c>
      <c r="EM193">
        <v>0</v>
      </c>
      <c r="EN193">
        <v>0</v>
      </c>
      <c r="EO193">
        <v>0</v>
      </c>
      <c r="EP193">
        <v>0</v>
      </c>
      <c r="EQ193">
        <v>0</v>
      </c>
      <c r="ER193">
        <v>0</v>
      </c>
      <c r="ES193">
        <v>0</v>
      </c>
      <c r="ET193">
        <v>0</v>
      </c>
      <c r="EU193">
        <v>0</v>
      </c>
      <c r="EV193">
        <v>0</v>
      </c>
      <c r="EW193">
        <v>0</v>
      </c>
      <c r="EX193">
        <v>0</v>
      </c>
      <c r="EY193">
        <v>0</v>
      </c>
      <c r="EZ193">
        <v>0</v>
      </c>
      <c r="FA193">
        <v>0</v>
      </c>
      <c r="FB193">
        <v>0</v>
      </c>
      <c r="FC193">
        <v>0</v>
      </c>
      <c r="FD193">
        <v>0</v>
      </c>
      <c r="FE193">
        <v>0</v>
      </c>
      <c r="FF193">
        <v>0</v>
      </c>
      <c r="FG193">
        <v>0</v>
      </c>
      <c r="FH193">
        <v>0</v>
      </c>
      <c r="FI193">
        <v>0</v>
      </c>
      <c r="FJ193">
        <v>0</v>
      </c>
      <c r="FK193">
        <v>0</v>
      </c>
      <c r="FL193">
        <v>0</v>
      </c>
      <c r="FM193">
        <v>0</v>
      </c>
      <c r="FN193">
        <v>0</v>
      </c>
      <c r="FO193">
        <v>0</v>
      </c>
      <c r="FP193">
        <v>0</v>
      </c>
      <c r="FQ193">
        <v>0</v>
      </c>
      <c r="FR193">
        <v>0</v>
      </c>
      <c r="FS193">
        <v>0</v>
      </c>
      <c r="FT193">
        <v>0</v>
      </c>
      <c r="FU193">
        <v>0</v>
      </c>
      <c r="FV193">
        <v>0</v>
      </c>
      <c r="FW193">
        <v>0</v>
      </c>
      <c r="FX193">
        <v>0</v>
      </c>
      <c r="FY193">
        <v>0</v>
      </c>
      <c r="FZ193">
        <v>0</v>
      </c>
      <c r="GA193">
        <v>0</v>
      </c>
      <c r="GB193">
        <v>0</v>
      </c>
      <c r="GC193">
        <v>0</v>
      </c>
      <c r="GD193">
        <v>0</v>
      </c>
      <c r="GE193">
        <v>0</v>
      </c>
      <c r="GF193">
        <v>0</v>
      </c>
      <c r="GG193">
        <v>0</v>
      </c>
      <c r="GH193">
        <v>0</v>
      </c>
      <c r="GI193">
        <v>0</v>
      </c>
      <c r="GJ193">
        <v>0</v>
      </c>
      <c r="GK193">
        <v>0</v>
      </c>
      <c r="GL193">
        <v>0</v>
      </c>
      <c r="GM193">
        <v>0</v>
      </c>
      <c r="GN193">
        <v>0</v>
      </c>
      <c r="GO193">
        <v>0</v>
      </c>
      <c r="GP193">
        <v>0</v>
      </c>
      <c r="GQ193">
        <v>0</v>
      </c>
      <c r="GR193">
        <v>0</v>
      </c>
      <c r="GS193">
        <v>0</v>
      </c>
      <c r="GT193">
        <v>0</v>
      </c>
      <c r="GU193">
        <v>0</v>
      </c>
      <c r="GV193">
        <v>0</v>
      </c>
      <c r="GW193">
        <v>0</v>
      </c>
      <c r="GX193">
        <v>0</v>
      </c>
      <c r="GY193">
        <v>0</v>
      </c>
      <c r="GZ193">
        <v>0</v>
      </c>
      <c r="HA193">
        <v>0</v>
      </c>
      <c r="HB193">
        <v>0</v>
      </c>
      <c r="HC193">
        <v>0</v>
      </c>
      <c r="HD193">
        <v>0</v>
      </c>
      <c r="HE193">
        <v>0</v>
      </c>
      <c r="HF193">
        <v>0</v>
      </c>
      <c r="HG193">
        <v>0</v>
      </c>
      <c r="HH193">
        <v>0</v>
      </c>
      <c r="HI193">
        <v>0</v>
      </c>
      <c r="HJ193">
        <v>0</v>
      </c>
      <c r="HK193">
        <v>0</v>
      </c>
      <c r="HL193">
        <v>0</v>
      </c>
      <c r="HM193">
        <v>0</v>
      </c>
      <c r="HN193">
        <v>0</v>
      </c>
      <c r="HO193">
        <v>0</v>
      </c>
      <c r="HP193">
        <v>0</v>
      </c>
      <c r="HQ193">
        <v>0</v>
      </c>
      <c r="HR193">
        <v>0</v>
      </c>
      <c r="HS193">
        <v>0</v>
      </c>
      <c r="HT193">
        <v>0</v>
      </c>
      <c r="HU193">
        <v>0</v>
      </c>
      <c r="HV193">
        <v>0</v>
      </c>
      <c r="HW193">
        <v>0</v>
      </c>
      <c r="HX193">
        <v>0</v>
      </c>
      <c r="HY193">
        <v>0</v>
      </c>
      <c r="HZ193">
        <v>0</v>
      </c>
      <c r="IA193">
        <v>0</v>
      </c>
      <c r="IB193">
        <v>0</v>
      </c>
      <c r="IC193">
        <v>0</v>
      </c>
      <c r="ID193">
        <v>0</v>
      </c>
      <c r="IE193">
        <v>0</v>
      </c>
      <c r="IF193">
        <v>0</v>
      </c>
      <c r="IG193">
        <v>0</v>
      </c>
      <c r="IH193">
        <v>0</v>
      </c>
      <c r="II193">
        <v>0</v>
      </c>
      <c r="IJ193">
        <v>0</v>
      </c>
      <c r="IK193">
        <v>0</v>
      </c>
      <c r="IL193">
        <v>0</v>
      </c>
      <c r="IM193">
        <v>0</v>
      </c>
      <c r="IN193">
        <v>0</v>
      </c>
      <c r="IO193">
        <v>0</v>
      </c>
      <c r="IP193">
        <v>0</v>
      </c>
      <c r="IQ193">
        <v>0</v>
      </c>
      <c r="IR193">
        <v>0</v>
      </c>
      <c r="IS193">
        <v>0</v>
      </c>
      <c r="IT193">
        <v>0</v>
      </c>
      <c r="IU193">
        <v>0</v>
      </c>
      <c r="IV193">
        <v>0</v>
      </c>
      <c r="IW193">
        <v>0</v>
      </c>
      <c r="IX193">
        <v>0</v>
      </c>
      <c r="IY193">
        <v>0</v>
      </c>
      <c r="IZ193">
        <v>0</v>
      </c>
      <c r="JA193">
        <v>0</v>
      </c>
      <c r="JB193">
        <v>0</v>
      </c>
      <c r="JC193">
        <v>0</v>
      </c>
      <c r="JD193">
        <v>0</v>
      </c>
      <c r="JE193">
        <v>0</v>
      </c>
      <c r="JF193">
        <v>0</v>
      </c>
      <c r="JG193">
        <v>0</v>
      </c>
      <c r="JH193">
        <v>0</v>
      </c>
      <c r="JI193">
        <v>0</v>
      </c>
      <c r="JJ193">
        <v>0</v>
      </c>
      <c r="JK193">
        <v>0</v>
      </c>
      <c r="JL193">
        <v>0</v>
      </c>
      <c r="JM193">
        <v>0</v>
      </c>
      <c r="JN193">
        <v>0</v>
      </c>
      <c r="JO193">
        <v>0</v>
      </c>
      <c r="JP193">
        <v>0</v>
      </c>
      <c r="JQ193">
        <v>0</v>
      </c>
      <c r="JR193">
        <v>0</v>
      </c>
      <c r="JS193">
        <v>0</v>
      </c>
      <c r="JT193">
        <v>0</v>
      </c>
      <c r="JU193">
        <v>0</v>
      </c>
      <c r="JV193">
        <v>0</v>
      </c>
      <c r="JW193">
        <v>0</v>
      </c>
      <c r="JX193">
        <v>0</v>
      </c>
      <c r="JY193">
        <v>0</v>
      </c>
      <c r="JZ193">
        <v>0</v>
      </c>
      <c r="KA193">
        <v>0</v>
      </c>
      <c r="KB193">
        <v>0</v>
      </c>
      <c r="KC193">
        <v>0</v>
      </c>
      <c r="KD193">
        <v>0</v>
      </c>
      <c r="KE193">
        <v>0</v>
      </c>
      <c r="KF193">
        <v>0</v>
      </c>
      <c r="KG193">
        <v>0</v>
      </c>
      <c r="KH193">
        <v>0</v>
      </c>
      <c r="KI193">
        <v>0</v>
      </c>
      <c r="KJ193">
        <v>0</v>
      </c>
      <c r="KK193">
        <v>0</v>
      </c>
      <c r="KL193">
        <v>0</v>
      </c>
      <c r="KM193">
        <v>0</v>
      </c>
      <c r="KN193">
        <v>0</v>
      </c>
      <c r="KO193">
        <v>0</v>
      </c>
      <c r="KP193">
        <v>0</v>
      </c>
      <c r="KQ193">
        <v>0</v>
      </c>
      <c r="KR193">
        <v>0</v>
      </c>
      <c r="KS193">
        <v>0</v>
      </c>
      <c r="KT193">
        <v>0</v>
      </c>
      <c r="KU193">
        <v>0</v>
      </c>
      <c r="KV193">
        <v>0</v>
      </c>
      <c r="KW193">
        <v>0</v>
      </c>
      <c r="KX193">
        <v>0</v>
      </c>
      <c r="KY193">
        <v>0</v>
      </c>
      <c r="KZ193">
        <v>0</v>
      </c>
      <c r="LA193">
        <v>0</v>
      </c>
      <c r="LB193">
        <v>0</v>
      </c>
      <c r="LC193">
        <v>0</v>
      </c>
      <c r="LD193">
        <v>0</v>
      </c>
      <c r="LE193">
        <v>0</v>
      </c>
      <c r="LF193">
        <v>0</v>
      </c>
      <c r="LG193">
        <v>0</v>
      </c>
      <c r="LH193">
        <v>0</v>
      </c>
      <c r="LI193">
        <v>0</v>
      </c>
      <c r="LJ193">
        <v>0</v>
      </c>
      <c r="LK193">
        <v>0</v>
      </c>
      <c r="LL193">
        <v>0</v>
      </c>
      <c r="LM193">
        <v>0</v>
      </c>
      <c r="LN193">
        <v>0</v>
      </c>
      <c r="LO193">
        <v>0</v>
      </c>
      <c r="LP193">
        <v>0</v>
      </c>
      <c r="LQ193">
        <v>0</v>
      </c>
      <c r="LR193">
        <v>0</v>
      </c>
      <c r="LS193">
        <v>0</v>
      </c>
      <c r="LT193">
        <v>0</v>
      </c>
      <c r="LU193">
        <v>0</v>
      </c>
      <c r="LV193">
        <v>0</v>
      </c>
      <c r="LW193">
        <v>0</v>
      </c>
      <c r="LX193">
        <v>0</v>
      </c>
      <c r="LY193">
        <v>0</v>
      </c>
      <c r="LZ193">
        <v>0</v>
      </c>
      <c r="MA193">
        <v>0</v>
      </c>
      <c r="MB193">
        <v>0</v>
      </c>
      <c r="MC193">
        <v>0</v>
      </c>
      <c r="MD193">
        <v>0</v>
      </c>
      <c r="ME193">
        <v>0</v>
      </c>
      <c r="MF193">
        <v>0</v>
      </c>
      <c r="MG193">
        <v>0</v>
      </c>
      <c r="MH193">
        <v>0</v>
      </c>
      <c r="MI193">
        <v>0</v>
      </c>
      <c r="MJ193">
        <v>0</v>
      </c>
      <c r="MK193">
        <v>0</v>
      </c>
      <c r="ML193">
        <v>0</v>
      </c>
      <c r="MM193">
        <v>0</v>
      </c>
      <c r="MN193">
        <v>0</v>
      </c>
      <c r="MO193">
        <v>0</v>
      </c>
      <c r="MP193">
        <v>0</v>
      </c>
      <c r="MQ193">
        <v>0</v>
      </c>
      <c r="MR193">
        <v>0</v>
      </c>
      <c r="MS193">
        <v>0</v>
      </c>
      <c r="MT193">
        <v>0</v>
      </c>
      <c r="MU193">
        <v>0</v>
      </c>
      <c r="MV193">
        <v>0</v>
      </c>
      <c r="MW193">
        <v>0</v>
      </c>
      <c r="MX193">
        <v>0</v>
      </c>
      <c r="MY193">
        <v>0</v>
      </c>
      <c r="MZ193">
        <v>0</v>
      </c>
      <c r="NA193">
        <v>0</v>
      </c>
      <c r="NB193">
        <v>0</v>
      </c>
      <c r="NC193">
        <v>0</v>
      </c>
      <c r="ND193">
        <v>0</v>
      </c>
      <c r="NE193">
        <v>0</v>
      </c>
    </row>
    <row r="194" spans="41:369" x14ac:dyDescent="0.45">
      <c r="AO194" t="str">
        <v>C150</v>
      </c>
      <c r="AP194" t="str">
        <v>MUHAMMED PK</v>
      </c>
      <c r="AQ194" t="str">
        <v>DAHF</v>
      </c>
      <c r="AR194" t="str">
        <v>SENIOR</v>
      </c>
      <c r="AS194">
        <v>6</v>
      </c>
      <c r="AT194">
        <v>14</v>
      </c>
      <c r="AU194">
        <v>0</v>
      </c>
      <c r="AV194">
        <v>14</v>
      </c>
      <c r="AW194">
        <v>14</v>
      </c>
      <c r="AX194">
        <v>104</v>
      </c>
      <c r="AY194" s="5">
        <v>104</v>
      </c>
      <c r="AZ194" t="str">
        <v>GN01</v>
      </c>
      <c r="BA194" t="str">
        <v>COLLAGE</v>
      </c>
      <c r="BB194" t="str">
        <v>GENERAL</v>
      </c>
      <c r="BC194" t="str">
        <v>Group</v>
      </c>
      <c r="BD194" t="str">
        <v>Non-Stg</v>
      </c>
      <c r="BE194">
        <v>0</v>
      </c>
      <c r="BF194" t="str">
        <v>General</v>
      </c>
      <c r="BG194" t="str">
        <v>General</v>
      </c>
      <c r="BH194" t="str">
        <v>P</v>
      </c>
      <c r="BI194" t="str">
        <v>PUBLISHED</v>
      </c>
      <c r="BK194">
        <v>188</v>
      </c>
      <c r="BL194" t="str">
        <v>SS46</v>
      </c>
      <c r="BM194" t="str">
        <v>WAʿẒ</v>
      </c>
      <c r="BN194">
        <v>3</v>
      </c>
      <c r="BO194" t="str">
        <v>Single</v>
      </c>
      <c r="BP194" t="str">
        <v>Stage</v>
      </c>
      <c r="BQ194" t="str">
        <v>SUPER SENIOR</v>
      </c>
      <c r="BR194" t="str">
        <v>D127</v>
      </c>
      <c r="BS194" t="str">
        <v>D175</v>
      </c>
      <c r="BT194" t="str">
        <v>D186</v>
      </c>
      <c r="BU194">
        <v>0</v>
      </c>
      <c r="BV194">
        <v>0</v>
      </c>
      <c r="BW194">
        <v>0</v>
      </c>
      <c r="BX194">
        <v>0</v>
      </c>
      <c r="BY194" t="str">
        <v>D131</v>
      </c>
      <c r="BZ194" t="str">
        <v>D150</v>
      </c>
      <c r="CA194" t="str">
        <v>D181</v>
      </c>
      <c r="CB194">
        <v>0</v>
      </c>
      <c r="CC194">
        <v>0</v>
      </c>
      <c r="CD194">
        <v>0</v>
      </c>
      <c r="CE194">
        <v>0</v>
      </c>
      <c r="CF194" t="str">
        <v>D129</v>
      </c>
      <c r="CG194" t="str">
        <v>D155</v>
      </c>
      <c r="CH194" t="str">
        <v>D137</v>
      </c>
      <c r="CI194">
        <v>0</v>
      </c>
      <c r="CJ194">
        <v>0</v>
      </c>
      <c r="CK194">
        <v>0</v>
      </c>
      <c r="CL194">
        <v>0</v>
      </c>
      <c r="CM194" t="str">
        <v>D154</v>
      </c>
      <c r="CN194" t="str">
        <v>D104</v>
      </c>
      <c r="CO194" t="str">
        <v>D194</v>
      </c>
      <c r="CP194">
        <v>0</v>
      </c>
      <c r="CQ194">
        <v>0</v>
      </c>
      <c r="CR194">
        <v>0</v>
      </c>
      <c r="CS194">
        <v>0</v>
      </c>
      <c r="CT194">
        <v>0</v>
      </c>
      <c r="CU194">
        <v>0</v>
      </c>
      <c r="CV194">
        <v>0</v>
      </c>
      <c r="CW194">
        <v>0</v>
      </c>
      <c r="CX194">
        <v>0</v>
      </c>
      <c r="CY194">
        <v>0</v>
      </c>
      <c r="CZ194">
        <v>0</v>
      </c>
      <c r="DA194">
        <v>0</v>
      </c>
      <c r="DB194">
        <v>0</v>
      </c>
      <c r="DC194">
        <v>0</v>
      </c>
      <c r="DD194">
        <v>0</v>
      </c>
      <c r="DE194">
        <v>0</v>
      </c>
      <c r="DF194">
        <v>0</v>
      </c>
      <c r="DG194">
        <v>0</v>
      </c>
      <c r="DH194">
        <v>0</v>
      </c>
      <c r="DI194">
        <v>0</v>
      </c>
      <c r="DJ194">
        <v>0</v>
      </c>
      <c r="DK194">
        <v>0</v>
      </c>
      <c r="DL194">
        <v>0</v>
      </c>
      <c r="DM194">
        <v>0</v>
      </c>
      <c r="DN194">
        <v>0</v>
      </c>
      <c r="DO194">
        <v>0</v>
      </c>
      <c r="DP194">
        <v>0</v>
      </c>
      <c r="DQ194">
        <v>0</v>
      </c>
      <c r="DR194">
        <v>0</v>
      </c>
      <c r="DS194">
        <v>0</v>
      </c>
      <c r="DT194">
        <v>0</v>
      </c>
      <c r="DU194">
        <v>0</v>
      </c>
      <c r="DV194">
        <v>0</v>
      </c>
      <c r="DW194">
        <v>0</v>
      </c>
      <c r="DX194">
        <v>0</v>
      </c>
      <c r="DY194">
        <v>0</v>
      </c>
      <c r="DZ194">
        <v>0</v>
      </c>
      <c r="EA194">
        <v>0</v>
      </c>
      <c r="EB194">
        <v>0</v>
      </c>
      <c r="EC194">
        <v>0</v>
      </c>
      <c r="ED194">
        <v>0</v>
      </c>
      <c r="EE194">
        <v>0</v>
      </c>
      <c r="EF194">
        <v>0</v>
      </c>
      <c r="EG194">
        <v>0</v>
      </c>
      <c r="EH194">
        <v>0</v>
      </c>
      <c r="EI194">
        <v>0</v>
      </c>
      <c r="EJ194">
        <v>0</v>
      </c>
      <c r="EK194">
        <v>0</v>
      </c>
      <c r="EL194">
        <v>0</v>
      </c>
      <c r="EM194">
        <v>0</v>
      </c>
      <c r="EN194">
        <v>0</v>
      </c>
      <c r="EO194">
        <v>0</v>
      </c>
      <c r="EP194">
        <v>0</v>
      </c>
      <c r="EQ194">
        <v>0</v>
      </c>
      <c r="ER194">
        <v>0</v>
      </c>
      <c r="ES194">
        <v>0</v>
      </c>
      <c r="ET194">
        <v>0</v>
      </c>
      <c r="EU194">
        <v>0</v>
      </c>
      <c r="EV194">
        <v>0</v>
      </c>
      <c r="EW194">
        <v>0</v>
      </c>
      <c r="EX194">
        <v>0</v>
      </c>
      <c r="EY194">
        <v>0</v>
      </c>
      <c r="EZ194">
        <v>0</v>
      </c>
      <c r="FA194">
        <v>0</v>
      </c>
      <c r="FB194">
        <v>0</v>
      </c>
      <c r="FC194">
        <v>0</v>
      </c>
      <c r="FD194">
        <v>0</v>
      </c>
      <c r="FE194">
        <v>0</v>
      </c>
      <c r="FF194">
        <v>0</v>
      </c>
      <c r="FG194">
        <v>0</v>
      </c>
      <c r="FH194">
        <v>0</v>
      </c>
      <c r="FI194">
        <v>0</v>
      </c>
      <c r="FJ194">
        <v>0</v>
      </c>
      <c r="FK194">
        <v>0</v>
      </c>
      <c r="FL194">
        <v>0</v>
      </c>
      <c r="FM194">
        <v>0</v>
      </c>
      <c r="FN194">
        <v>0</v>
      </c>
      <c r="FO194">
        <v>0</v>
      </c>
      <c r="FP194">
        <v>0</v>
      </c>
      <c r="FQ194">
        <v>0</v>
      </c>
      <c r="FR194">
        <v>0</v>
      </c>
      <c r="FS194">
        <v>0</v>
      </c>
      <c r="FT194">
        <v>0</v>
      </c>
      <c r="FU194">
        <v>0</v>
      </c>
      <c r="FV194">
        <v>0</v>
      </c>
      <c r="FW194">
        <v>0</v>
      </c>
      <c r="FX194">
        <v>0</v>
      </c>
      <c r="FY194">
        <v>0</v>
      </c>
      <c r="FZ194">
        <v>0</v>
      </c>
      <c r="GA194">
        <v>0</v>
      </c>
      <c r="GB194">
        <v>0</v>
      </c>
      <c r="GC194">
        <v>0</v>
      </c>
      <c r="GD194">
        <v>0</v>
      </c>
      <c r="GE194">
        <v>0</v>
      </c>
      <c r="GF194">
        <v>0</v>
      </c>
      <c r="GG194">
        <v>0</v>
      </c>
      <c r="GH194">
        <v>0</v>
      </c>
      <c r="GI194">
        <v>0</v>
      </c>
      <c r="GJ194">
        <v>0</v>
      </c>
      <c r="GK194">
        <v>0</v>
      </c>
      <c r="GL194">
        <v>0</v>
      </c>
      <c r="GM194">
        <v>0</v>
      </c>
      <c r="GN194">
        <v>0</v>
      </c>
      <c r="GO194">
        <v>0</v>
      </c>
      <c r="GP194">
        <v>0</v>
      </c>
      <c r="GQ194">
        <v>0</v>
      </c>
      <c r="GR194">
        <v>0</v>
      </c>
      <c r="GS194">
        <v>0</v>
      </c>
      <c r="GT194">
        <v>0</v>
      </c>
      <c r="GU194">
        <v>0</v>
      </c>
      <c r="GV194">
        <v>0</v>
      </c>
      <c r="GW194">
        <v>0</v>
      </c>
      <c r="GX194">
        <v>0</v>
      </c>
      <c r="GY194">
        <v>0</v>
      </c>
      <c r="GZ194">
        <v>0</v>
      </c>
      <c r="HA194">
        <v>0</v>
      </c>
      <c r="HB194">
        <v>0</v>
      </c>
      <c r="HC194">
        <v>0</v>
      </c>
      <c r="HD194">
        <v>0</v>
      </c>
      <c r="HE194">
        <v>0</v>
      </c>
      <c r="HF194">
        <v>0</v>
      </c>
      <c r="HG194">
        <v>0</v>
      </c>
      <c r="HH194">
        <v>0</v>
      </c>
      <c r="HI194">
        <v>0</v>
      </c>
      <c r="HJ194">
        <v>0</v>
      </c>
      <c r="HK194">
        <v>0</v>
      </c>
      <c r="HL194">
        <v>0</v>
      </c>
      <c r="HM194">
        <v>0</v>
      </c>
      <c r="HN194">
        <v>0</v>
      </c>
      <c r="HO194">
        <v>0</v>
      </c>
      <c r="HP194">
        <v>0</v>
      </c>
      <c r="HQ194">
        <v>0</v>
      </c>
      <c r="HR194">
        <v>0</v>
      </c>
      <c r="HS194">
        <v>0</v>
      </c>
      <c r="HT194">
        <v>0</v>
      </c>
      <c r="HU194">
        <v>0</v>
      </c>
      <c r="HV194">
        <v>0</v>
      </c>
      <c r="HW194">
        <v>0</v>
      </c>
      <c r="HX194">
        <v>0</v>
      </c>
      <c r="HY194">
        <v>0</v>
      </c>
      <c r="HZ194">
        <v>0</v>
      </c>
      <c r="IA194">
        <v>0</v>
      </c>
      <c r="IB194">
        <v>0</v>
      </c>
      <c r="IC194">
        <v>0</v>
      </c>
      <c r="ID194">
        <v>0</v>
      </c>
      <c r="IE194">
        <v>0</v>
      </c>
      <c r="IF194">
        <v>0</v>
      </c>
      <c r="IG194">
        <v>0</v>
      </c>
      <c r="IH194">
        <v>0</v>
      </c>
      <c r="II194">
        <v>0</v>
      </c>
      <c r="IJ194">
        <v>0</v>
      </c>
      <c r="IK194">
        <v>0</v>
      </c>
      <c r="IL194">
        <v>0</v>
      </c>
      <c r="IM194">
        <v>0</v>
      </c>
      <c r="IN194">
        <v>0</v>
      </c>
      <c r="IO194">
        <v>0</v>
      </c>
      <c r="IP194">
        <v>0</v>
      </c>
      <c r="IQ194">
        <v>0</v>
      </c>
      <c r="IR194">
        <v>0</v>
      </c>
      <c r="IS194">
        <v>0</v>
      </c>
      <c r="IT194">
        <v>0</v>
      </c>
      <c r="IU194">
        <v>0</v>
      </c>
      <c r="IV194">
        <v>0</v>
      </c>
      <c r="IW194">
        <v>0</v>
      </c>
      <c r="IX194">
        <v>0</v>
      </c>
      <c r="IY194">
        <v>0</v>
      </c>
      <c r="IZ194">
        <v>0</v>
      </c>
      <c r="JA194">
        <v>0</v>
      </c>
      <c r="JB194">
        <v>0</v>
      </c>
      <c r="JC194">
        <v>0</v>
      </c>
      <c r="JD194">
        <v>0</v>
      </c>
      <c r="JE194">
        <v>0</v>
      </c>
      <c r="JF194">
        <v>0</v>
      </c>
      <c r="JG194">
        <v>0</v>
      </c>
      <c r="JH194">
        <v>0</v>
      </c>
      <c r="JI194">
        <v>0</v>
      </c>
      <c r="JJ194">
        <v>0</v>
      </c>
      <c r="JK194">
        <v>0</v>
      </c>
      <c r="JL194">
        <v>0</v>
      </c>
      <c r="JM194">
        <v>0</v>
      </c>
      <c r="JN194">
        <v>0</v>
      </c>
      <c r="JO194">
        <v>0</v>
      </c>
      <c r="JP194">
        <v>0</v>
      </c>
      <c r="JQ194">
        <v>0</v>
      </c>
      <c r="JR194">
        <v>0</v>
      </c>
      <c r="JS194">
        <v>0</v>
      </c>
      <c r="JT194">
        <v>0</v>
      </c>
      <c r="JU194">
        <v>0</v>
      </c>
      <c r="JV194">
        <v>0</v>
      </c>
      <c r="JW194">
        <v>0</v>
      </c>
      <c r="JX194">
        <v>0</v>
      </c>
      <c r="JY194">
        <v>0</v>
      </c>
      <c r="JZ194">
        <v>0</v>
      </c>
      <c r="KA194">
        <v>0</v>
      </c>
      <c r="KB194">
        <v>0</v>
      </c>
      <c r="KC194">
        <v>0</v>
      </c>
      <c r="KD194">
        <v>0</v>
      </c>
      <c r="KE194">
        <v>0</v>
      </c>
      <c r="KF194">
        <v>0</v>
      </c>
      <c r="KG194">
        <v>0</v>
      </c>
      <c r="KH194">
        <v>0</v>
      </c>
      <c r="KI194">
        <v>0</v>
      </c>
      <c r="KJ194">
        <v>0</v>
      </c>
      <c r="KK194">
        <v>0</v>
      </c>
      <c r="KL194">
        <v>0</v>
      </c>
      <c r="KM194">
        <v>0</v>
      </c>
      <c r="KN194">
        <v>0</v>
      </c>
      <c r="KO194">
        <v>0</v>
      </c>
      <c r="KP194">
        <v>0</v>
      </c>
      <c r="KQ194">
        <v>0</v>
      </c>
      <c r="KR194">
        <v>0</v>
      </c>
      <c r="KS194">
        <v>0</v>
      </c>
      <c r="KT194">
        <v>0</v>
      </c>
      <c r="KU194">
        <v>0</v>
      </c>
      <c r="KV194">
        <v>0</v>
      </c>
      <c r="KW194">
        <v>0</v>
      </c>
      <c r="KX194">
        <v>0</v>
      </c>
      <c r="KY194">
        <v>0</v>
      </c>
      <c r="KZ194">
        <v>0</v>
      </c>
      <c r="LA194">
        <v>0</v>
      </c>
      <c r="LB194">
        <v>0</v>
      </c>
      <c r="LC194">
        <v>0</v>
      </c>
      <c r="LD194">
        <v>0</v>
      </c>
      <c r="LE194">
        <v>0</v>
      </c>
      <c r="LF194">
        <v>0</v>
      </c>
      <c r="LG194">
        <v>0</v>
      </c>
      <c r="LH194">
        <v>0</v>
      </c>
      <c r="LI194">
        <v>0</v>
      </c>
      <c r="LJ194">
        <v>0</v>
      </c>
      <c r="LK194">
        <v>0</v>
      </c>
      <c r="LL194">
        <v>0</v>
      </c>
      <c r="LM194">
        <v>0</v>
      </c>
      <c r="LN194">
        <v>0</v>
      </c>
      <c r="LO194">
        <v>0</v>
      </c>
      <c r="LP194">
        <v>0</v>
      </c>
      <c r="LQ194">
        <v>0</v>
      </c>
      <c r="LR194">
        <v>0</v>
      </c>
      <c r="LS194">
        <v>0</v>
      </c>
      <c r="LT194">
        <v>0</v>
      </c>
      <c r="LU194">
        <v>0</v>
      </c>
      <c r="LV194">
        <v>0</v>
      </c>
      <c r="LW194">
        <v>0</v>
      </c>
      <c r="LX194">
        <v>0</v>
      </c>
      <c r="LY194">
        <v>0</v>
      </c>
      <c r="LZ194">
        <v>0</v>
      </c>
      <c r="MA194">
        <v>0</v>
      </c>
      <c r="MB194">
        <v>0</v>
      </c>
      <c r="MC194">
        <v>0</v>
      </c>
      <c r="MD194">
        <v>0</v>
      </c>
      <c r="ME194">
        <v>0</v>
      </c>
      <c r="MF194">
        <v>0</v>
      </c>
      <c r="MG194">
        <v>0</v>
      </c>
      <c r="MH194">
        <v>0</v>
      </c>
      <c r="MI194">
        <v>0</v>
      </c>
      <c r="MJ194">
        <v>0</v>
      </c>
      <c r="MK194">
        <v>0</v>
      </c>
      <c r="ML194">
        <v>0</v>
      </c>
      <c r="MM194">
        <v>0</v>
      </c>
      <c r="MN194">
        <v>0</v>
      </c>
      <c r="MO194">
        <v>0</v>
      </c>
      <c r="MP194">
        <v>0</v>
      </c>
      <c r="MQ194">
        <v>0</v>
      </c>
      <c r="MR194">
        <v>0</v>
      </c>
      <c r="MS194">
        <v>0</v>
      </c>
      <c r="MT194">
        <v>0</v>
      </c>
      <c r="MU194">
        <v>0</v>
      </c>
      <c r="MV194">
        <v>0</v>
      </c>
      <c r="MW194">
        <v>0</v>
      </c>
      <c r="MX194">
        <v>0</v>
      </c>
      <c r="MY194">
        <v>0</v>
      </c>
      <c r="MZ194">
        <v>0</v>
      </c>
      <c r="NA194">
        <v>0</v>
      </c>
      <c r="NB194">
        <v>0</v>
      </c>
      <c r="NC194">
        <v>0</v>
      </c>
      <c r="ND194">
        <v>0</v>
      </c>
      <c r="NE194">
        <v>0</v>
      </c>
    </row>
    <row r="195" spans="41:369" x14ac:dyDescent="0.45">
      <c r="AO195" t="str">
        <v>C151</v>
      </c>
      <c r="AP195" t="str">
        <v>MOHAMMED ASHMIL K A</v>
      </c>
      <c r="AQ195" t="str">
        <v>JARF</v>
      </c>
      <c r="AR195" t="str">
        <v>SENIOR</v>
      </c>
      <c r="AS195">
        <v>6</v>
      </c>
      <c r="AT195">
        <v>6</v>
      </c>
      <c r="AU195">
        <v>0</v>
      </c>
      <c r="AV195">
        <v>6</v>
      </c>
      <c r="AW195">
        <v>6</v>
      </c>
      <c r="AX195">
        <v>171</v>
      </c>
      <c r="AY195" s="5">
        <v>171</v>
      </c>
      <c r="AZ195" t="str">
        <v>GN02</v>
      </c>
      <c r="BA195" t="str">
        <v>DIGITAL MAGAZINE</v>
      </c>
      <c r="BB195" t="str">
        <v>GENERAL</v>
      </c>
      <c r="BC195" t="str">
        <v>Group</v>
      </c>
      <c r="BD195" t="str">
        <v>Non-Stg</v>
      </c>
      <c r="BE195">
        <v>0</v>
      </c>
      <c r="BF195" t="str">
        <v>General</v>
      </c>
      <c r="BG195" t="str">
        <v>General</v>
      </c>
      <c r="BH195" t="str">
        <v>P</v>
      </c>
      <c r="BI195" t="str">
        <v>PUBLISHED</v>
      </c>
      <c r="BK195">
        <v>189</v>
      </c>
      <c r="BL195" t="str">
        <v>SS47</v>
      </c>
      <c r="BM195" t="str">
        <v>INSTANT DIGITAL TABLOID ARB</v>
      </c>
      <c r="BN195">
        <v>3</v>
      </c>
      <c r="BO195" t="str">
        <v>Group</v>
      </c>
      <c r="BP195" t="str">
        <v>Non-Stg</v>
      </c>
      <c r="BQ195" t="str">
        <v>SUPER SENIOR</v>
      </c>
      <c r="BR195" t="str">
        <v>D112</v>
      </c>
      <c r="BS195" t="str">
        <v>D128</v>
      </c>
      <c r="BT195" t="str">
        <v>D177</v>
      </c>
      <c r="BU195">
        <v>0</v>
      </c>
      <c r="BV195">
        <v>0</v>
      </c>
      <c r="BW195">
        <v>0</v>
      </c>
      <c r="BX195">
        <v>0</v>
      </c>
      <c r="BY195" t="str">
        <v>D107</v>
      </c>
      <c r="BZ195" t="str">
        <v>D135</v>
      </c>
      <c r="CA195" t="str">
        <v>D140</v>
      </c>
      <c r="CB195">
        <v>0</v>
      </c>
      <c r="CC195">
        <v>0</v>
      </c>
      <c r="CD195">
        <v>0</v>
      </c>
      <c r="CE195">
        <v>0</v>
      </c>
      <c r="CF195" t="str">
        <v>D126</v>
      </c>
      <c r="CG195" t="str">
        <v>D162</v>
      </c>
      <c r="CH195" t="str">
        <v>D178</v>
      </c>
      <c r="CI195">
        <v>0</v>
      </c>
      <c r="CJ195">
        <v>0</v>
      </c>
      <c r="CK195">
        <v>0</v>
      </c>
      <c r="CL195">
        <v>0</v>
      </c>
      <c r="CM195" t="str">
        <v>D104</v>
      </c>
      <c r="CN195" t="str">
        <v>D149</v>
      </c>
      <c r="CO195" t="str">
        <v>D193</v>
      </c>
      <c r="CP195">
        <v>0</v>
      </c>
      <c r="CQ195">
        <v>0</v>
      </c>
      <c r="CR195">
        <v>0</v>
      </c>
      <c r="CS195">
        <v>0</v>
      </c>
      <c r="CT195">
        <v>0</v>
      </c>
      <c r="CU195">
        <v>0</v>
      </c>
      <c r="CV195">
        <v>0</v>
      </c>
      <c r="CW195">
        <v>0</v>
      </c>
      <c r="CX195">
        <v>0</v>
      </c>
      <c r="CY195">
        <v>0</v>
      </c>
      <c r="CZ195">
        <v>0</v>
      </c>
      <c r="DA195">
        <v>0</v>
      </c>
      <c r="DB195">
        <v>0</v>
      </c>
      <c r="DC195">
        <v>0</v>
      </c>
      <c r="DD195">
        <v>0</v>
      </c>
      <c r="DE195">
        <v>0</v>
      </c>
      <c r="DF195">
        <v>0</v>
      </c>
      <c r="DG195">
        <v>0</v>
      </c>
      <c r="DH195">
        <v>0</v>
      </c>
      <c r="DI195">
        <v>0</v>
      </c>
      <c r="DJ195">
        <v>0</v>
      </c>
      <c r="DK195">
        <v>0</v>
      </c>
      <c r="DL195">
        <v>0</v>
      </c>
      <c r="DM195">
        <v>0</v>
      </c>
      <c r="DN195">
        <v>0</v>
      </c>
      <c r="DO195">
        <v>0</v>
      </c>
      <c r="DP195">
        <v>0</v>
      </c>
      <c r="DQ195">
        <v>0</v>
      </c>
      <c r="DR195">
        <v>0</v>
      </c>
      <c r="DS195">
        <v>0</v>
      </c>
      <c r="DT195">
        <v>0</v>
      </c>
      <c r="DU195">
        <v>0</v>
      </c>
      <c r="DV195">
        <v>0</v>
      </c>
      <c r="DW195">
        <v>0</v>
      </c>
      <c r="DX195">
        <v>0</v>
      </c>
      <c r="DY195">
        <v>0</v>
      </c>
      <c r="DZ195">
        <v>0</v>
      </c>
      <c r="EA195">
        <v>0</v>
      </c>
      <c r="EB195">
        <v>0</v>
      </c>
      <c r="EC195">
        <v>0</v>
      </c>
      <c r="ED195">
        <v>0</v>
      </c>
      <c r="EE195">
        <v>0</v>
      </c>
      <c r="EF195">
        <v>0</v>
      </c>
      <c r="EG195">
        <v>0</v>
      </c>
      <c r="EH195">
        <v>0</v>
      </c>
      <c r="EI195">
        <v>0</v>
      </c>
      <c r="EJ195">
        <v>0</v>
      </c>
      <c r="EK195">
        <v>0</v>
      </c>
      <c r="EL195">
        <v>0</v>
      </c>
      <c r="EM195">
        <v>0</v>
      </c>
      <c r="EN195">
        <v>0</v>
      </c>
      <c r="EO195">
        <v>0</v>
      </c>
      <c r="EP195">
        <v>0</v>
      </c>
      <c r="EQ195">
        <v>0</v>
      </c>
      <c r="ER195">
        <v>0</v>
      </c>
      <c r="ES195">
        <v>0</v>
      </c>
      <c r="ET195">
        <v>0</v>
      </c>
      <c r="EU195">
        <v>0</v>
      </c>
      <c r="EV195">
        <v>0</v>
      </c>
      <c r="EW195">
        <v>0</v>
      </c>
      <c r="EX195">
        <v>0</v>
      </c>
      <c r="EY195">
        <v>0</v>
      </c>
      <c r="EZ195">
        <v>0</v>
      </c>
      <c r="FA195">
        <v>0</v>
      </c>
      <c r="FB195">
        <v>0</v>
      </c>
      <c r="FC195">
        <v>0</v>
      </c>
      <c r="FD195">
        <v>0</v>
      </c>
      <c r="FE195">
        <v>0</v>
      </c>
      <c r="FF195">
        <v>0</v>
      </c>
      <c r="FG195">
        <v>0</v>
      </c>
      <c r="FH195">
        <v>0</v>
      </c>
      <c r="FI195">
        <v>0</v>
      </c>
      <c r="FJ195">
        <v>0</v>
      </c>
      <c r="FK195">
        <v>0</v>
      </c>
      <c r="FL195">
        <v>0</v>
      </c>
      <c r="FM195">
        <v>0</v>
      </c>
      <c r="FN195">
        <v>0</v>
      </c>
      <c r="FO195">
        <v>0</v>
      </c>
      <c r="FP195">
        <v>0</v>
      </c>
      <c r="FQ195">
        <v>0</v>
      </c>
      <c r="FR195">
        <v>0</v>
      </c>
      <c r="FS195">
        <v>0</v>
      </c>
      <c r="FT195">
        <v>0</v>
      </c>
      <c r="FU195">
        <v>0</v>
      </c>
      <c r="FV195">
        <v>0</v>
      </c>
      <c r="FW195">
        <v>0</v>
      </c>
      <c r="FX195">
        <v>0</v>
      </c>
      <c r="FY195">
        <v>0</v>
      </c>
      <c r="FZ195">
        <v>0</v>
      </c>
      <c r="GA195">
        <v>0</v>
      </c>
      <c r="GB195">
        <v>0</v>
      </c>
      <c r="GC195">
        <v>0</v>
      </c>
      <c r="GD195">
        <v>0</v>
      </c>
      <c r="GE195">
        <v>0</v>
      </c>
      <c r="GF195">
        <v>0</v>
      </c>
      <c r="GG195">
        <v>0</v>
      </c>
      <c r="GH195">
        <v>0</v>
      </c>
      <c r="GI195">
        <v>0</v>
      </c>
      <c r="GJ195">
        <v>0</v>
      </c>
      <c r="GK195">
        <v>0</v>
      </c>
      <c r="GL195">
        <v>0</v>
      </c>
      <c r="GM195">
        <v>0</v>
      </c>
      <c r="GN195">
        <v>0</v>
      </c>
      <c r="GO195">
        <v>0</v>
      </c>
      <c r="GP195">
        <v>0</v>
      </c>
      <c r="GQ195">
        <v>0</v>
      </c>
      <c r="GR195">
        <v>0</v>
      </c>
      <c r="GS195">
        <v>0</v>
      </c>
      <c r="GT195">
        <v>0</v>
      </c>
      <c r="GU195">
        <v>0</v>
      </c>
      <c r="GV195">
        <v>0</v>
      </c>
      <c r="GW195">
        <v>0</v>
      </c>
      <c r="GX195">
        <v>0</v>
      </c>
      <c r="GY195">
        <v>0</v>
      </c>
      <c r="GZ195">
        <v>0</v>
      </c>
      <c r="HA195">
        <v>0</v>
      </c>
      <c r="HB195">
        <v>0</v>
      </c>
      <c r="HC195">
        <v>0</v>
      </c>
      <c r="HD195">
        <v>0</v>
      </c>
      <c r="HE195">
        <v>0</v>
      </c>
      <c r="HF195">
        <v>0</v>
      </c>
      <c r="HG195">
        <v>0</v>
      </c>
      <c r="HH195">
        <v>0</v>
      </c>
      <c r="HI195">
        <v>0</v>
      </c>
      <c r="HJ195">
        <v>0</v>
      </c>
      <c r="HK195">
        <v>0</v>
      </c>
      <c r="HL195">
        <v>0</v>
      </c>
      <c r="HM195">
        <v>0</v>
      </c>
      <c r="HN195">
        <v>0</v>
      </c>
      <c r="HO195">
        <v>0</v>
      </c>
      <c r="HP195">
        <v>0</v>
      </c>
      <c r="HQ195">
        <v>0</v>
      </c>
      <c r="HR195">
        <v>0</v>
      </c>
      <c r="HS195">
        <v>0</v>
      </c>
      <c r="HT195">
        <v>0</v>
      </c>
      <c r="HU195">
        <v>0</v>
      </c>
      <c r="HV195">
        <v>0</v>
      </c>
      <c r="HW195">
        <v>0</v>
      </c>
      <c r="HX195">
        <v>0</v>
      </c>
      <c r="HY195">
        <v>0</v>
      </c>
      <c r="HZ195">
        <v>0</v>
      </c>
      <c r="IA195">
        <v>0</v>
      </c>
      <c r="IB195">
        <v>0</v>
      </c>
      <c r="IC195">
        <v>0</v>
      </c>
      <c r="ID195">
        <v>0</v>
      </c>
      <c r="IE195">
        <v>0</v>
      </c>
      <c r="IF195">
        <v>0</v>
      </c>
      <c r="IG195">
        <v>0</v>
      </c>
      <c r="IH195">
        <v>0</v>
      </c>
      <c r="II195">
        <v>0</v>
      </c>
      <c r="IJ195">
        <v>0</v>
      </c>
      <c r="IK195">
        <v>0</v>
      </c>
      <c r="IL195">
        <v>0</v>
      </c>
      <c r="IM195">
        <v>0</v>
      </c>
      <c r="IN195">
        <v>0</v>
      </c>
      <c r="IO195">
        <v>0</v>
      </c>
      <c r="IP195">
        <v>0</v>
      </c>
      <c r="IQ195">
        <v>0</v>
      </c>
      <c r="IR195">
        <v>0</v>
      </c>
      <c r="IS195">
        <v>0</v>
      </c>
      <c r="IT195">
        <v>0</v>
      </c>
      <c r="IU195">
        <v>0</v>
      </c>
      <c r="IV195">
        <v>0</v>
      </c>
      <c r="IW195">
        <v>0</v>
      </c>
      <c r="IX195">
        <v>0</v>
      </c>
      <c r="IY195">
        <v>0</v>
      </c>
      <c r="IZ195">
        <v>0</v>
      </c>
      <c r="JA195">
        <v>0</v>
      </c>
      <c r="JB195">
        <v>0</v>
      </c>
      <c r="JC195">
        <v>0</v>
      </c>
      <c r="JD195">
        <v>0</v>
      </c>
      <c r="JE195">
        <v>0</v>
      </c>
      <c r="JF195">
        <v>0</v>
      </c>
      <c r="JG195">
        <v>0</v>
      </c>
      <c r="JH195">
        <v>0</v>
      </c>
      <c r="JI195">
        <v>0</v>
      </c>
      <c r="JJ195">
        <v>0</v>
      </c>
      <c r="JK195">
        <v>0</v>
      </c>
      <c r="JL195">
        <v>0</v>
      </c>
      <c r="JM195">
        <v>0</v>
      </c>
      <c r="JN195">
        <v>0</v>
      </c>
      <c r="JO195">
        <v>0</v>
      </c>
      <c r="JP195">
        <v>0</v>
      </c>
      <c r="JQ195">
        <v>0</v>
      </c>
      <c r="JR195">
        <v>0</v>
      </c>
      <c r="JS195">
        <v>0</v>
      </c>
      <c r="JT195">
        <v>0</v>
      </c>
      <c r="JU195">
        <v>0</v>
      </c>
      <c r="JV195">
        <v>0</v>
      </c>
      <c r="JW195">
        <v>0</v>
      </c>
      <c r="JX195">
        <v>0</v>
      </c>
      <c r="JY195">
        <v>0</v>
      </c>
      <c r="JZ195">
        <v>0</v>
      </c>
      <c r="KA195">
        <v>0</v>
      </c>
      <c r="KB195">
        <v>0</v>
      </c>
      <c r="KC195">
        <v>0</v>
      </c>
      <c r="KD195">
        <v>0</v>
      </c>
      <c r="KE195">
        <v>0</v>
      </c>
      <c r="KF195">
        <v>0</v>
      </c>
      <c r="KG195">
        <v>0</v>
      </c>
      <c r="KH195">
        <v>0</v>
      </c>
      <c r="KI195">
        <v>0</v>
      </c>
      <c r="KJ195">
        <v>0</v>
      </c>
      <c r="KK195">
        <v>0</v>
      </c>
      <c r="KL195">
        <v>0</v>
      </c>
      <c r="KM195">
        <v>0</v>
      </c>
      <c r="KN195">
        <v>0</v>
      </c>
      <c r="KO195">
        <v>0</v>
      </c>
      <c r="KP195">
        <v>0</v>
      </c>
      <c r="KQ195">
        <v>0</v>
      </c>
      <c r="KR195">
        <v>0</v>
      </c>
      <c r="KS195">
        <v>0</v>
      </c>
      <c r="KT195">
        <v>0</v>
      </c>
      <c r="KU195">
        <v>0</v>
      </c>
      <c r="KV195">
        <v>0</v>
      </c>
      <c r="KW195">
        <v>0</v>
      </c>
      <c r="KX195">
        <v>0</v>
      </c>
      <c r="KY195">
        <v>0</v>
      </c>
      <c r="KZ195">
        <v>0</v>
      </c>
      <c r="LA195">
        <v>0</v>
      </c>
      <c r="LB195">
        <v>0</v>
      </c>
      <c r="LC195">
        <v>0</v>
      </c>
      <c r="LD195">
        <v>0</v>
      </c>
      <c r="LE195">
        <v>0</v>
      </c>
      <c r="LF195">
        <v>0</v>
      </c>
      <c r="LG195">
        <v>0</v>
      </c>
      <c r="LH195">
        <v>0</v>
      </c>
      <c r="LI195">
        <v>0</v>
      </c>
      <c r="LJ195">
        <v>0</v>
      </c>
      <c r="LK195">
        <v>0</v>
      </c>
      <c r="LL195">
        <v>0</v>
      </c>
      <c r="LM195">
        <v>0</v>
      </c>
      <c r="LN195">
        <v>0</v>
      </c>
      <c r="LO195">
        <v>0</v>
      </c>
      <c r="LP195">
        <v>0</v>
      </c>
      <c r="LQ195">
        <v>0</v>
      </c>
      <c r="LR195">
        <v>0</v>
      </c>
      <c r="LS195">
        <v>0</v>
      </c>
      <c r="LT195">
        <v>0</v>
      </c>
      <c r="LU195">
        <v>0</v>
      </c>
      <c r="LV195">
        <v>0</v>
      </c>
      <c r="LW195">
        <v>0</v>
      </c>
      <c r="LX195">
        <v>0</v>
      </c>
      <c r="LY195">
        <v>0</v>
      </c>
      <c r="LZ195">
        <v>0</v>
      </c>
      <c r="MA195">
        <v>0</v>
      </c>
      <c r="MB195">
        <v>0</v>
      </c>
      <c r="MC195">
        <v>0</v>
      </c>
      <c r="MD195">
        <v>0</v>
      </c>
      <c r="ME195">
        <v>0</v>
      </c>
      <c r="MF195">
        <v>0</v>
      </c>
      <c r="MG195">
        <v>0</v>
      </c>
      <c r="MH195">
        <v>0</v>
      </c>
      <c r="MI195">
        <v>0</v>
      </c>
      <c r="MJ195">
        <v>0</v>
      </c>
      <c r="MK195">
        <v>0</v>
      </c>
      <c r="ML195">
        <v>0</v>
      </c>
      <c r="MM195">
        <v>0</v>
      </c>
      <c r="MN195">
        <v>0</v>
      </c>
      <c r="MO195">
        <v>0</v>
      </c>
      <c r="MP195">
        <v>0</v>
      </c>
      <c r="MQ195">
        <v>0</v>
      </c>
      <c r="MR195">
        <v>0</v>
      </c>
      <c r="MS195">
        <v>0</v>
      </c>
      <c r="MT195">
        <v>0</v>
      </c>
      <c r="MU195">
        <v>0</v>
      </c>
      <c r="MV195">
        <v>0</v>
      </c>
      <c r="MW195">
        <v>0</v>
      </c>
      <c r="MX195">
        <v>0</v>
      </c>
      <c r="MY195">
        <v>0</v>
      </c>
      <c r="MZ195">
        <v>0</v>
      </c>
      <c r="NA195">
        <v>0</v>
      </c>
      <c r="NB195">
        <v>0</v>
      </c>
      <c r="NC195">
        <v>0</v>
      </c>
      <c r="ND195">
        <v>0</v>
      </c>
      <c r="NE195">
        <v>0</v>
      </c>
    </row>
    <row r="196" spans="41:369" x14ac:dyDescent="0.45">
      <c r="AO196" t="str">
        <v>C152</v>
      </c>
      <c r="AP196" t="str">
        <v>MUHAMMED SABITH ALI TM</v>
      </c>
      <c r="AQ196" t="str">
        <v>JARF</v>
      </c>
      <c r="AR196" t="str">
        <v>SENIOR</v>
      </c>
      <c r="AS196">
        <v>6</v>
      </c>
      <c r="AT196">
        <v>6</v>
      </c>
      <c r="AU196">
        <v>0</v>
      </c>
      <c r="AV196">
        <v>6</v>
      </c>
      <c r="AW196">
        <v>6</v>
      </c>
      <c r="AX196">
        <v>171</v>
      </c>
      <c r="AY196" s="5">
        <v>171</v>
      </c>
      <c r="AZ196" t="str">
        <v>GN03</v>
      </c>
      <c r="BA196" t="str">
        <v>DOCUMENTARY</v>
      </c>
      <c r="BB196" t="str">
        <v>GENERAL</v>
      </c>
      <c r="BC196" t="str">
        <v>Group</v>
      </c>
      <c r="BD196" t="str">
        <v>Non-Stg</v>
      </c>
      <c r="BE196">
        <v>0</v>
      </c>
      <c r="BF196" t="str">
        <v>General</v>
      </c>
      <c r="BG196" t="str">
        <v>General</v>
      </c>
      <c r="BH196" t="str">
        <v>P</v>
      </c>
      <c r="BI196" t="str">
        <v>PUBLISHED</v>
      </c>
      <c r="BK196">
        <v>190</v>
      </c>
      <c r="BL196" t="str">
        <v>SS48</v>
      </c>
      <c r="BM196" t="str">
        <v>MASHUP</v>
      </c>
      <c r="BN196">
        <v>6</v>
      </c>
      <c r="BO196" t="str">
        <v>Group</v>
      </c>
      <c r="BP196" t="str">
        <v>Stage</v>
      </c>
      <c r="BQ196" t="str">
        <v>SUPER SENIOR</v>
      </c>
      <c r="BR196" t="str">
        <v>D120</v>
      </c>
      <c r="BS196" t="str">
        <v>D134</v>
      </c>
      <c r="BT196" t="str">
        <v>D147</v>
      </c>
      <c r="BU196" t="str">
        <v>D163</v>
      </c>
      <c r="BV196" t="str">
        <v>D175</v>
      </c>
      <c r="BW196" t="str">
        <v>D186</v>
      </c>
      <c r="BX196">
        <v>0</v>
      </c>
      <c r="BY196" t="str">
        <v>D121</v>
      </c>
      <c r="BZ196" t="str">
        <v>D131</v>
      </c>
      <c r="CA196" t="str">
        <v>D179</v>
      </c>
      <c r="CB196" t="str">
        <v>D130</v>
      </c>
      <c r="CC196" t="str">
        <v>D152</v>
      </c>
      <c r="CD196" t="str">
        <v>D166</v>
      </c>
      <c r="CE196">
        <v>0</v>
      </c>
      <c r="CF196" t="str">
        <v>D137</v>
      </c>
      <c r="CG196" t="str">
        <v>D141</v>
      </c>
      <c r="CH196" t="str">
        <v>D155</v>
      </c>
      <c r="CI196" t="str">
        <v>D173</v>
      </c>
      <c r="CJ196" t="str">
        <v>D189</v>
      </c>
      <c r="CK196" t="str">
        <v>D190</v>
      </c>
      <c r="CL196">
        <v>0</v>
      </c>
      <c r="CM196" t="str">
        <v>D113</v>
      </c>
      <c r="CN196" t="str">
        <v>D144</v>
      </c>
      <c r="CO196" t="str">
        <v>D154</v>
      </c>
      <c r="CP196" t="str">
        <v>D176</v>
      </c>
      <c r="CQ196" t="str">
        <v>D191</v>
      </c>
      <c r="CR196" t="str">
        <v>D194</v>
      </c>
      <c r="CS196">
        <v>0</v>
      </c>
      <c r="CT196">
        <v>0</v>
      </c>
      <c r="CU196">
        <v>0</v>
      </c>
      <c r="CV196">
        <v>0</v>
      </c>
      <c r="CW196">
        <v>0</v>
      </c>
      <c r="CX196">
        <v>0</v>
      </c>
      <c r="CY196">
        <v>0</v>
      </c>
      <c r="CZ196">
        <v>0</v>
      </c>
      <c r="DA196">
        <v>0</v>
      </c>
      <c r="DB196">
        <v>0</v>
      </c>
      <c r="DC196">
        <v>0</v>
      </c>
      <c r="DD196">
        <v>0</v>
      </c>
      <c r="DE196">
        <v>0</v>
      </c>
      <c r="DF196">
        <v>0</v>
      </c>
      <c r="DG196">
        <v>0</v>
      </c>
      <c r="DH196">
        <v>0</v>
      </c>
      <c r="DI196">
        <v>0</v>
      </c>
      <c r="DJ196">
        <v>0</v>
      </c>
      <c r="DK196">
        <v>0</v>
      </c>
      <c r="DL196">
        <v>0</v>
      </c>
      <c r="DM196">
        <v>0</v>
      </c>
      <c r="DN196">
        <v>0</v>
      </c>
      <c r="DO196">
        <v>0</v>
      </c>
      <c r="DP196">
        <v>0</v>
      </c>
      <c r="DQ196">
        <v>0</v>
      </c>
      <c r="DR196">
        <v>0</v>
      </c>
      <c r="DS196">
        <v>0</v>
      </c>
      <c r="DT196">
        <v>0</v>
      </c>
      <c r="DU196">
        <v>0</v>
      </c>
      <c r="DV196">
        <v>0</v>
      </c>
      <c r="DW196">
        <v>0</v>
      </c>
      <c r="DX196">
        <v>0</v>
      </c>
      <c r="DY196">
        <v>0</v>
      </c>
      <c r="DZ196">
        <v>0</v>
      </c>
      <c r="EA196">
        <v>0</v>
      </c>
      <c r="EB196">
        <v>0</v>
      </c>
      <c r="EC196">
        <v>0</v>
      </c>
      <c r="ED196">
        <v>0</v>
      </c>
      <c r="EE196">
        <v>0</v>
      </c>
      <c r="EF196">
        <v>0</v>
      </c>
      <c r="EG196">
        <v>0</v>
      </c>
      <c r="EH196">
        <v>0</v>
      </c>
      <c r="EI196">
        <v>0</v>
      </c>
      <c r="EJ196">
        <v>0</v>
      </c>
      <c r="EK196">
        <v>0</v>
      </c>
      <c r="EL196">
        <v>0</v>
      </c>
      <c r="EM196">
        <v>0</v>
      </c>
      <c r="EN196">
        <v>0</v>
      </c>
      <c r="EO196">
        <v>0</v>
      </c>
      <c r="EP196">
        <v>0</v>
      </c>
      <c r="EQ196">
        <v>0</v>
      </c>
      <c r="ER196">
        <v>0</v>
      </c>
      <c r="ES196">
        <v>0</v>
      </c>
      <c r="ET196">
        <v>0</v>
      </c>
      <c r="EU196">
        <v>0</v>
      </c>
      <c r="EV196">
        <v>0</v>
      </c>
      <c r="EW196">
        <v>0</v>
      </c>
      <c r="EX196">
        <v>0</v>
      </c>
      <c r="EY196">
        <v>0</v>
      </c>
      <c r="EZ196">
        <v>0</v>
      </c>
      <c r="FA196">
        <v>0</v>
      </c>
      <c r="FB196">
        <v>0</v>
      </c>
      <c r="FC196">
        <v>0</v>
      </c>
      <c r="FD196">
        <v>0</v>
      </c>
      <c r="FE196">
        <v>0</v>
      </c>
      <c r="FF196">
        <v>0</v>
      </c>
      <c r="FG196">
        <v>0</v>
      </c>
      <c r="FH196">
        <v>0</v>
      </c>
      <c r="FI196">
        <v>0</v>
      </c>
      <c r="FJ196">
        <v>0</v>
      </c>
      <c r="FK196">
        <v>0</v>
      </c>
      <c r="FL196">
        <v>0</v>
      </c>
      <c r="FM196">
        <v>0</v>
      </c>
      <c r="FN196">
        <v>0</v>
      </c>
      <c r="FO196">
        <v>0</v>
      </c>
      <c r="FP196">
        <v>0</v>
      </c>
      <c r="FQ196">
        <v>0</v>
      </c>
      <c r="FR196">
        <v>0</v>
      </c>
      <c r="FS196">
        <v>0</v>
      </c>
      <c r="FT196">
        <v>0</v>
      </c>
      <c r="FU196">
        <v>0</v>
      </c>
      <c r="FV196">
        <v>0</v>
      </c>
      <c r="FW196">
        <v>0</v>
      </c>
      <c r="FX196">
        <v>0</v>
      </c>
      <c r="FY196">
        <v>0</v>
      </c>
      <c r="FZ196">
        <v>0</v>
      </c>
      <c r="GA196">
        <v>0</v>
      </c>
      <c r="GB196">
        <v>0</v>
      </c>
      <c r="GC196">
        <v>0</v>
      </c>
      <c r="GD196">
        <v>0</v>
      </c>
      <c r="GE196">
        <v>0</v>
      </c>
      <c r="GF196">
        <v>0</v>
      </c>
      <c r="GG196">
        <v>0</v>
      </c>
      <c r="GH196">
        <v>0</v>
      </c>
      <c r="GI196">
        <v>0</v>
      </c>
      <c r="GJ196">
        <v>0</v>
      </c>
      <c r="GK196">
        <v>0</v>
      </c>
      <c r="GL196">
        <v>0</v>
      </c>
      <c r="GM196">
        <v>0</v>
      </c>
      <c r="GN196">
        <v>0</v>
      </c>
      <c r="GO196">
        <v>0</v>
      </c>
      <c r="GP196">
        <v>0</v>
      </c>
      <c r="GQ196">
        <v>0</v>
      </c>
      <c r="GR196">
        <v>0</v>
      </c>
      <c r="GS196">
        <v>0</v>
      </c>
      <c r="GT196">
        <v>0</v>
      </c>
      <c r="GU196">
        <v>0</v>
      </c>
      <c r="GV196">
        <v>0</v>
      </c>
      <c r="GW196">
        <v>0</v>
      </c>
      <c r="GX196">
        <v>0</v>
      </c>
      <c r="GY196">
        <v>0</v>
      </c>
      <c r="GZ196">
        <v>0</v>
      </c>
      <c r="HA196">
        <v>0</v>
      </c>
      <c r="HB196">
        <v>0</v>
      </c>
      <c r="HC196">
        <v>0</v>
      </c>
      <c r="HD196">
        <v>0</v>
      </c>
      <c r="HE196">
        <v>0</v>
      </c>
      <c r="HF196">
        <v>0</v>
      </c>
      <c r="HG196">
        <v>0</v>
      </c>
      <c r="HH196">
        <v>0</v>
      </c>
      <c r="HI196">
        <v>0</v>
      </c>
      <c r="HJ196">
        <v>0</v>
      </c>
      <c r="HK196">
        <v>0</v>
      </c>
      <c r="HL196">
        <v>0</v>
      </c>
      <c r="HM196">
        <v>0</v>
      </c>
      <c r="HN196">
        <v>0</v>
      </c>
      <c r="HO196">
        <v>0</v>
      </c>
      <c r="HP196">
        <v>0</v>
      </c>
      <c r="HQ196">
        <v>0</v>
      </c>
      <c r="HR196">
        <v>0</v>
      </c>
      <c r="HS196">
        <v>0</v>
      </c>
      <c r="HT196">
        <v>0</v>
      </c>
      <c r="HU196">
        <v>0</v>
      </c>
      <c r="HV196">
        <v>0</v>
      </c>
      <c r="HW196">
        <v>0</v>
      </c>
      <c r="HX196">
        <v>0</v>
      </c>
      <c r="HY196">
        <v>0</v>
      </c>
      <c r="HZ196">
        <v>0</v>
      </c>
      <c r="IA196">
        <v>0</v>
      </c>
      <c r="IB196">
        <v>0</v>
      </c>
      <c r="IC196">
        <v>0</v>
      </c>
      <c r="ID196">
        <v>0</v>
      </c>
      <c r="IE196">
        <v>0</v>
      </c>
      <c r="IF196">
        <v>0</v>
      </c>
      <c r="IG196">
        <v>0</v>
      </c>
      <c r="IH196">
        <v>0</v>
      </c>
      <c r="II196">
        <v>0</v>
      </c>
      <c r="IJ196">
        <v>0</v>
      </c>
      <c r="IK196">
        <v>0</v>
      </c>
      <c r="IL196">
        <v>0</v>
      </c>
      <c r="IM196">
        <v>0</v>
      </c>
      <c r="IN196">
        <v>0</v>
      </c>
      <c r="IO196">
        <v>0</v>
      </c>
      <c r="IP196">
        <v>0</v>
      </c>
      <c r="IQ196">
        <v>0</v>
      </c>
      <c r="IR196">
        <v>0</v>
      </c>
      <c r="IS196">
        <v>0</v>
      </c>
      <c r="IT196">
        <v>0</v>
      </c>
      <c r="IU196">
        <v>0</v>
      </c>
      <c r="IV196">
        <v>0</v>
      </c>
      <c r="IW196">
        <v>0</v>
      </c>
      <c r="IX196">
        <v>0</v>
      </c>
      <c r="IY196">
        <v>0</v>
      </c>
      <c r="IZ196">
        <v>0</v>
      </c>
      <c r="JA196">
        <v>0</v>
      </c>
      <c r="JB196">
        <v>0</v>
      </c>
      <c r="JC196">
        <v>0</v>
      </c>
      <c r="JD196">
        <v>0</v>
      </c>
      <c r="JE196">
        <v>0</v>
      </c>
      <c r="JF196">
        <v>0</v>
      </c>
      <c r="JG196">
        <v>0</v>
      </c>
      <c r="JH196">
        <v>0</v>
      </c>
      <c r="JI196">
        <v>0</v>
      </c>
      <c r="JJ196">
        <v>0</v>
      </c>
      <c r="JK196">
        <v>0</v>
      </c>
      <c r="JL196">
        <v>0</v>
      </c>
      <c r="JM196">
        <v>0</v>
      </c>
      <c r="JN196">
        <v>0</v>
      </c>
      <c r="JO196">
        <v>0</v>
      </c>
      <c r="JP196">
        <v>0</v>
      </c>
      <c r="JQ196">
        <v>0</v>
      </c>
      <c r="JR196">
        <v>0</v>
      </c>
      <c r="JS196">
        <v>0</v>
      </c>
      <c r="JT196">
        <v>0</v>
      </c>
      <c r="JU196">
        <v>0</v>
      </c>
      <c r="JV196">
        <v>0</v>
      </c>
      <c r="JW196">
        <v>0</v>
      </c>
      <c r="JX196">
        <v>0</v>
      </c>
      <c r="JY196">
        <v>0</v>
      </c>
      <c r="JZ196">
        <v>0</v>
      </c>
      <c r="KA196">
        <v>0</v>
      </c>
      <c r="KB196">
        <v>0</v>
      </c>
      <c r="KC196">
        <v>0</v>
      </c>
      <c r="KD196">
        <v>0</v>
      </c>
      <c r="KE196">
        <v>0</v>
      </c>
      <c r="KF196">
        <v>0</v>
      </c>
      <c r="KG196">
        <v>0</v>
      </c>
      <c r="KH196">
        <v>0</v>
      </c>
      <c r="KI196">
        <v>0</v>
      </c>
      <c r="KJ196">
        <v>0</v>
      </c>
      <c r="KK196">
        <v>0</v>
      </c>
      <c r="KL196">
        <v>0</v>
      </c>
      <c r="KM196">
        <v>0</v>
      </c>
      <c r="KN196">
        <v>0</v>
      </c>
      <c r="KO196">
        <v>0</v>
      </c>
      <c r="KP196">
        <v>0</v>
      </c>
      <c r="KQ196">
        <v>0</v>
      </c>
      <c r="KR196">
        <v>0</v>
      </c>
      <c r="KS196">
        <v>0</v>
      </c>
      <c r="KT196">
        <v>0</v>
      </c>
      <c r="KU196">
        <v>0</v>
      </c>
      <c r="KV196">
        <v>0</v>
      </c>
      <c r="KW196">
        <v>0</v>
      </c>
      <c r="KX196">
        <v>0</v>
      </c>
      <c r="KY196">
        <v>0</v>
      </c>
      <c r="KZ196">
        <v>0</v>
      </c>
      <c r="LA196">
        <v>0</v>
      </c>
      <c r="LB196">
        <v>0</v>
      </c>
      <c r="LC196">
        <v>0</v>
      </c>
      <c r="LD196">
        <v>0</v>
      </c>
      <c r="LE196">
        <v>0</v>
      </c>
      <c r="LF196">
        <v>0</v>
      </c>
      <c r="LG196">
        <v>0</v>
      </c>
      <c r="LH196">
        <v>0</v>
      </c>
      <c r="LI196">
        <v>0</v>
      </c>
      <c r="LJ196">
        <v>0</v>
      </c>
      <c r="LK196">
        <v>0</v>
      </c>
      <c r="LL196">
        <v>0</v>
      </c>
      <c r="LM196">
        <v>0</v>
      </c>
      <c r="LN196">
        <v>0</v>
      </c>
      <c r="LO196">
        <v>0</v>
      </c>
      <c r="LP196">
        <v>0</v>
      </c>
      <c r="LQ196">
        <v>0</v>
      </c>
      <c r="LR196">
        <v>0</v>
      </c>
      <c r="LS196">
        <v>0</v>
      </c>
      <c r="LT196">
        <v>0</v>
      </c>
      <c r="LU196">
        <v>0</v>
      </c>
      <c r="LV196">
        <v>0</v>
      </c>
      <c r="LW196">
        <v>0</v>
      </c>
      <c r="LX196">
        <v>0</v>
      </c>
      <c r="LY196">
        <v>0</v>
      </c>
      <c r="LZ196">
        <v>0</v>
      </c>
      <c r="MA196">
        <v>0</v>
      </c>
      <c r="MB196">
        <v>0</v>
      </c>
      <c r="MC196">
        <v>0</v>
      </c>
      <c r="MD196">
        <v>0</v>
      </c>
      <c r="ME196">
        <v>0</v>
      </c>
      <c r="MF196">
        <v>0</v>
      </c>
      <c r="MG196">
        <v>0</v>
      </c>
      <c r="MH196">
        <v>0</v>
      </c>
      <c r="MI196">
        <v>0</v>
      </c>
      <c r="MJ196">
        <v>0</v>
      </c>
      <c r="MK196">
        <v>0</v>
      </c>
      <c r="ML196">
        <v>0</v>
      </c>
      <c r="MM196">
        <v>0</v>
      </c>
      <c r="MN196">
        <v>0</v>
      </c>
      <c r="MO196">
        <v>0</v>
      </c>
      <c r="MP196">
        <v>0</v>
      </c>
      <c r="MQ196">
        <v>0</v>
      </c>
      <c r="MR196">
        <v>0</v>
      </c>
      <c r="MS196">
        <v>0</v>
      </c>
      <c r="MT196">
        <v>0</v>
      </c>
      <c r="MU196">
        <v>0</v>
      </c>
      <c r="MV196">
        <v>0</v>
      </c>
      <c r="MW196">
        <v>0</v>
      </c>
      <c r="MX196">
        <v>0</v>
      </c>
      <c r="MY196">
        <v>0</v>
      </c>
      <c r="MZ196">
        <v>0</v>
      </c>
      <c r="NA196">
        <v>0</v>
      </c>
      <c r="NB196">
        <v>0</v>
      </c>
      <c r="NC196">
        <v>0</v>
      </c>
      <c r="ND196">
        <v>0</v>
      </c>
      <c r="NE196">
        <v>0</v>
      </c>
    </row>
    <row r="197" spans="41:369" x14ac:dyDescent="0.45">
      <c r="AO197" t="str">
        <v>C153</v>
      </c>
      <c r="AP197" t="str">
        <v>MUHAMMED AHMASH K</v>
      </c>
      <c r="AQ197" t="str">
        <v>DAHF</v>
      </c>
      <c r="AR197" t="str">
        <v>SENIOR</v>
      </c>
      <c r="AS197">
        <v>6</v>
      </c>
      <c r="AT197">
        <v>4</v>
      </c>
      <c r="AU197">
        <v>0</v>
      </c>
      <c r="AV197">
        <v>4</v>
      </c>
      <c r="AW197">
        <v>4</v>
      </c>
      <c r="AX197">
        <v>197</v>
      </c>
      <c r="AY197" s="5">
        <v>197</v>
      </c>
      <c r="AZ197" t="str">
        <v>GN04</v>
      </c>
      <c r="BA197" t="str">
        <v>PROJECT BRANDING</v>
      </c>
      <c r="BB197" t="str">
        <v>GENERAL</v>
      </c>
      <c r="BC197" t="str">
        <v>Group</v>
      </c>
      <c r="BD197" t="str">
        <v>Non-Stg</v>
      </c>
      <c r="BE197">
        <v>0</v>
      </c>
      <c r="BF197" t="str">
        <v>General</v>
      </c>
      <c r="BG197" t="str">
        <v>General</v>
      </c>
      <c r="BH197" t="str">
        <v>P</v>
      </c>
      <c r="BI197" t="str">
        <v>PUBLISHED</v>
      </c>
      <c r="BK197">
        <v>191</v>
      </c>
      <c r="BL197" t="str">
        <v>SS49</v>
      </c>
      <c r="BM197" t="str">
        <v>SPOT TRANSLATION</v>
      </c>
      <c r="BN197">
        <v>4</v>
      </c>
      <c r="BO197" t="str">
        <v>Group</v>
      </c>
      <c r="BP197" t="str">
        <v>Stage</v>
      </c>
      <c r="BQ197" t="str">
        <v>SUPER SENIOR</v>
      </c>
      <c r="BR197" t="str">
        <v>D128</v>
      </c>
      <c r="BS197" t="str">
        <v>D127</v>
      </c>
      <c r="BT197" t="str">
        <v>D177</v>
      </c>
      <c r="BU197" t="str">
        <v>D165</v>
      </c>
      <c r="BV197">
        <v>0</v>
      </c>
      <c r="BW197">
        <v>0</v>
      </c>
      <c r="BX197">
        <v>0</v>
      </c>
      <c r="BY197" t="str">
        <v>D140</v>
      </c>
      <c r="BZ197" t="str">
        <v>D150</v>
      </c>
      <c r="CA197" t="str">
        <v>D166</v>
      </c>
      <c r="CB197" t="str">
        <v>D196</v>
      </c>
      <c r="CC197">
        <v>0</v>
      </c>
      <c r="CD197">
        <v>0</v>
      </c>
      <c r="CE197">
        <v>0</v>
      </c>
      <c r="CF197" t="str">
        <v>D145</v>
      </c>
      <c r="CG197" t="str">
        <v>D162</v>
      </c>
      <c r="CH197" t="str">
        <v>D178</v>
      </c>
      <c r="CI197" t="str">
        <v>D195</v>
      </c>
      <c r="CJ197">
        <v>0</v>
      </c>
      <c r="CK197">
        <v>0</v>
      </c>
      <c r="CL197">
        <v>0</v>
      </c>
      <c r="CM197" t="str">
        <v>D104</v>
      </c>
      <c r="CN197" t="str">
        <v>D111</v>
      </c>
      <c r="CO197" t="str">
        <v>D164</v>
      </c>
      <c r="CP197" t="str">
        <v>D170</v>
      </c>
      <c r="CQ197">
        <v>0</v>
      </c>
      <c r="CR197">
        <v>0</v>
      </c>
      <c r="CS197">
        <v>0</v>
      </c>
      <c r="CT197">
        <v>0</v>
      </c>
      <c r="CU197">
        <v>0</v>
      </c>
      <c r="CV197">
        <v>0</v>
      </c>
      <c r="CW197">
        <v>0</v>
      </c>
      <c r="CX197">
        <v>0</v>
      </c>
      <c r="CY197">
        <v>0</v>
      </c>
      <c r="CZ197">
        <v>0</v>
      </c>
      <c r="DA197">
        <v>0</v>
      </c>
      <c r="DB197">
        <v>0</v>
      </c>
      <c r="DC197">
        <v>0</v>
      </c>
      <c r="DD197">
        <v>0</v>
      </c>
      <c r="DE197">
        <v>0</v>
      </c>
      <c r="DF197">
        <v>0</v>
      </c>
      <c r="DG197">
        <v>0</v>
      </c>
      <c r="DH197">
        <v>0</v>
      </c>
      <c r="DI197">
        <v>0</v>
      </c>
      <c r="DJ197">
        <v>0</v>
      </c>
      <c r="DK197">
        <v>0</v>
      </c>
      <c r="DL197">
        <v>0</v>
      </c>
      <c r="DM197">
        <v>0</v>
      </c>
      <c r="DN197">
        <v>0</v>
      </c>
      <c r="DO197">
        <v>0</v>
      </c>
      <c r="DP197">
        <v>0</v>
      </c>
      <c r="DQ197">
        <v>0</v>
      </c>
      <c r="DR197">
        <v>0</v>
      </c>
      <c r="DS197">
        <v>0</v>
      </c>
      <c r="DT197">
        <v>0</v>
      </c>
      <c r="DU197">
        <v>0</v>
      </c>
      <c r="DV197">
        <v>0</v>
      </c>
      <c r="DW197">
        <v>0</v>
      </c>
      <c r="DX197">
        <v>0</v>
      </c>
      <c r="DY197">
        <v>0</v>
      </c>
      <c r="DZ197">
        <v>0</v>
      </c>
      <c r="EA197">
        <v>0</v>
      </c>
      <c r="EB197">
        <v>0</v>
      </c>
      <c r="EC197">
        <v>0</v>
      </c>
      <c r="ED197">
        <v>0</v>
      </c>
      <c r="EE197">
        <v>0</v>
      </c>
      <c r="EF197">
        <v>0</v>
      </c>
      <c r="EG197">
        <v>0</v>
      </c>
      <c r="EH197">
        <v>0</v>
      </c>
      <c r="EI197">
        <v>0</v>
      </c>
      <c r="EJ197">
        <v>0</v>
      </c>
      <c r="EK197">
        <v>0</v>
      </c>
      <c r="EL197">
        <v>0</v>
      </c>
      <c r="EM197">
        <v>0</v>
      </c>
      <c r="EN197">
        <v>0</v>
      </c>
      <c r="EO197">
        <v>0</v>
      </c>
      <c r="EP197">
        <v>0</v>
      </c>
      <c r="EQ197">
        <v>0</v>
      </c>
      <c r="ER197">
        <v>0</v>
      </c>
      <c r="ES197">
        <v>0</v>
      </c>
      <c r="ET197">
        <v>0</v>
      </c>
      <c r="EU197">
        <v>0</v>
      </c>
      <c r="EV197">
        <v>0</v>
      </c>
      <c r="EW197">
        <v>0</v>
      </c>
      <c r="EX197">
        <v>0</v>
      </c>
      <c r="EY197">
        <v>0</v>
      </c>
      <c r="EZ197">
        <v>0</v>
      </c>
      <c r="FA197">
        <v>0</v>
      </c>
      <c r="FB197">
        <v>0</v>
      </c>
      <c r="FC197">
        <v>0</v>
      </c>
      <c r="FD197">
        <v>0</v>
      </c>
      <c r="FE197">
        <v>0</v>
      </c>
      <c r="FF197">
        <v>0</v>
      </c>
      <c r="FG197">
        <v>0</v>
      </c>
      <c r="FH197">
        <v>0</v>
      </c>
      <c r="FI197">
        <v>0</v>
      </c>
      <c r="FJ197">
        <v>0</v>
      </c>
      <c r="FK197">
        <v>0</v>
      </c>
      <c r="FL197">
        <v>0</v>
      </c>
      <c r="FM197">
        <v>0</v>
      </c>
      <c r="FN197">
        <v>0</v>
      </c>
      <c r="FO197">
        <v>0</v>
      </c>
      <c r="FP197">
        <v>0</v>
      </c>
      <c r="FQ197">
        <v>0</v>
      </c>
      <c r="FR197">
        <v>0</v>
      </c>
      <c r="FS197">
        <v>0</v>
      </c>
      <c r="FT197">
        <v>0</v>
      </c>
      <c r="FU197">
        <v>0</v>
      </c>
      <c r="FV197">
        <v>0</v>
      </c>
      <c r="FW197">
        <v>0</v>
      </c>
      <c r="FX197">
        <v>0</v>
      </c>
      <c r="FY197">
        <v>0</v>
      </c>
      <c r="FZ197">
        <v>0</v>
      </c>
      <c r="GA197">
        <v>0</v>
      </c>
      <c r="GB197">
        <v>0</v>
      </c>
      <c r="GC197">
        <v>0</v>
      </c>
      <c r="GD197">
        <v>0</v>
      </c>
      <c r="GE197">
        <v>0</v>
      </c>
      <c r="GF197">
        <v>0</v>
      </c>
      <c r="GG197">
        <v>0</v>
      </c>
      <c r="GH197">
        <v>0</v>
      </c>
      <c r="GI197">
        <v>0</v>
      </c>
      <c r="GJ197">
        <v>0</v>
      </c>
      <c r="GK197">
        <v>0</v>
      </c>
      <c r="GL197">
        <v>0</v>
      </c>
      <c r="GM197">
        <v>0</v>
      </c>
      <c r="GN197">
        <v>0</v>
      </c>
      <c r="GO197">
        <v>0</v>
      </c>
      <c r="GP197">
        <v>0</v>
      </c>
      <c r="GQ197">
        <v>0</v>
      </c>
      <c r="GR197">
        <v>0</v>
      </c>
      <c r="GS197">
        <v>0</v>
      </c>
      <c r="GT197">
        <v>0</v>
      </c>
      <c r="GU197">
        <v>0</v>
      </c>
      <c r="GV197">
        <v>0</v>
      </c>
      <c r="GW197">
        <v>0</v>
      </c>
      <c r="GX197">
        <v>0</v>
      </c>
      <c r="GY197">
        <v>0</v>
      </c>
      <c r="GZ197">
        <v>0</v>
      </c>
      <c r="HA197">
        <v>0</v>
      </c>
      <c r="HB197">
        <v>0</v>
      </c>
      <c r="HC197">
        <v>0</v>
      </c>
      <c r="HD197">
        <v>0</v>
      </c>
      <c r="HE197">
        <v>0</v>
      </c>
      <c r="HF197">
        <v>0</v>
      </c>
      <c r="HG197">
        <v>0</v>
      </c>
      <c r="HH197">
        <v>0</v>
      </c>
      <c r="HI197">
        <v>0</v>
      </c>
      <c r="HJ197">
        <v>0</v>
      </c>
      <c r="HK197">
        <v>0</v>
      </c>
      <c r="HL197">
        <v>0</v>
      </c>
      <c r="HM197">
        <v>0</v>
      </c>
      <c r="HN197">
        <v>0</v>
      </c>
      <c r="HO197">
        <v>0</v>
      </c>
      <c r="HP197">
        <v>0</v>
      </c>
      <c r="HQ197">
        <v>0</v>
      </c>
      <c r="HR197">
        <v>0</v>
      </c>
      <c r="HS197">
        <v>0</v>
      </c>
      <c r="HT197">
        <v>0</v>
      </c>
      <c r="HU197">
        <v>0</v>
      </c>
      <c r="HV197">
        <v>0</v>
      </c>
      <c r="HW197">
        <v>0</v>
      </c>
      <c r="HX197">
        <v>0</v>
      </c>
      <c r="HY197">
        <v>0</v>
      </c>
      <c r="HZ197">
        <v>0</v>
      </c>
      <c r="IA197">
        <v>0</v>
      </c>
      <c r="IB197">
        <v>0</v>
      </c>
      <c r="IC197">
        <v>0</v>
      </c>
      <c r="ID197">
        <v>0</v>
      </c>
      <c r="IE197">
        <v>0</v>
      </c>
      <c r="IF197">
        <v>0</v>
      </c>
      <c r="IG197">
        <v>0</v>
      </c>
      <c r="IH197">
        <v>0</v>
      </c>
      <c r="II197">
        <v>0</v>
      </c>
      <c r="IJ197">
        <v>0</v>
      </c>
      <c r="IK197">
        <v>0</v>
      </c>
      <c r="IL197">
        <v>0</v>
      </c>
      <c r="IM197">
        <v>0</v>
      </c>
      <c r="IN197">
        <v>0</v>
      </c>
      <c r="IO197">
        <v>0</v>
      </c>
      <c r="IP197">
        <v>0</v>
      </c>
      <c r="IQ197">
        <v>0</v>
      </c>
      <c r="IR197">
        <v>0</v>
      </c>
      <c r="IS197">
        <v>0</v>
      </c>
      <c r="IT197">
        <v>0</v>
      </c>
      <c r="IU197">
        <v>0</v>
      </c>
      <c r="IV197">
        <v>0</v>
      </c>
      <c r="IW197">
        <v>0</v>
      </c>
      <c r="IX197">
        <v>0</v>
      </c>
      <c r="IY197">
        <v>0</v>
      </c>
      <c r="IZ197">
        <v>0</v>
      </c>
      <c r="JA197">
        <v>0</v>
      </c>
      <c r="JB197">
        <v>0</v>
      </c>
      <c r="JC197">
        <v>0</v>
      </c>
      <c r="JD197">
        <v>0</v>
      </c>
      <c r="JE197">
        <v>0</v>
      </c>
      <c r="JF197">
        <v>0</v>
      </c>
      <c r="JG197">
        <v>0</v>
      </c>
      <c r="JH197">
        <v>0</v>
      </c>
      <c r="JI197">
        <v>0</v>
      </c>
      <c r="JJ197">
        <v>0</v>
      </c>
      <c r="JK197">
        <v>0</v>
      </c>
      <c r="JL197">
        <v>0</v>
      </c>
      <c r="JM197">
        <v>0</v>
      </c>
      <c r="JN197">
        <v>0</v>
      </c>
      <c r="JO197">
        <v>0</v>
      </c>
      <c r="JP197">
        <v>0</v>
      </c>
      <c r="JQ197">
        <v>0</v>
      </c>
      <c r="JR197">
        <v>0</v>
      </c>
      <c r="JS197">
        <v>0</v>
      </c>
      <c r="JT197">
        <v>0</v>
      </c>
      <c r="JU197">
        <v>0</v>
      </c>
      <c r="JV197">
        <v>0</v>
      </c>
      <c r="JW197">
        <v>0</v>
      </c>
      <c r="JX197">
        <v>0</v>
      </c>
      <c r="JY197">
        <v>0</v>
      </c>
      <c r="JZ197">
        <v>0</v>
      </c>
      <c r="KA197">
        <v>0</v>
      </c>
      <c r="KB197">
        <v>0</v>
      </c>
      <c r="KC197">
        <v>0</v>
      </c>
      <c r="KD197">
        <v>0</v>
      </c>
      <c r="KE197">
        <v>0</v>
      </c>
      <c r="KF197">
        <v>0</v>
      </c>
      <c r="KG197">
        <v>0</v>
      </c>
      <c r="KH197">
        <v>0</v>
      </c>
      <c r="KI197">
        <v>0</v>
      </c>
      <c r="KJ197">
        <v>0</v>
      </c>
      <c r="KK197">
        <v>0</v>
      </c>
      <c r="KL197">
        <v>0</v>
      </c>
      <c r="KM197">
        <v>0</v>
      </c>
      <c r="KN197">
        <v>0</v>
      </c>
      <c r="KO197">
        <v>0</v>
      </c>
      <c r="KP197">
        <v>0</v>
      </c>
      <c r="KQ197">
        <v>0</v>
      </c>
      <c r="KR197">
        <v>0</v>
      </c>
      <c r="KS197">
        <v>0</v>
      </c>
      <c r="KT197">
        <v>0</v>
      </c>
      <c r="KU197">
        <v>0</v>
      </c>
      <c r="KV197">
        <v>0</v>
      </c>
      <c r="KW197">
        <v>0</v>
      </c>
      <c r="KX197">
        <v>0</v>
      </c>
      <c r="KY197">
        <v>0</v>
      </c>
      <c r="KZ197">
        <v>0</v>
      </c>
      <c r="LA197">
        <v>0</v>
      </c>
      <c r="LB197">
        <v>0</v>
      </c>
      <c r="LC197">
        <v>0</v>
      </c>
      <c r="LD197">
        <v>0</v>
      </c>
      <c r="LE197">
        <v>0</v>
      </c>
      <c r="LF197">
        <v>0</v>
      </c>
      <c r="LG197">
        <v>0</v>
      </c>
      <c r="LH197">
        <v>0</v>
      </c>
      <c r="LI197">
        <v>0</v>
      </c>
      <c r="LJ197">
        <v>0</v>
      </c>
      <c r="LK197">
        <v>0</v>
      </c>
      <c r="LL197">
        <v>0</v>
      </c>
      <c r="LM197">
        <v>0</v>
      </c>
      <c r="LN197">
        <v>0</v>
      </c>
      <c r="LO197">
        <v>0</v>
      </c>
      <c r="LP197">
        <v>0</v>
      </c>
      <c r="LQ197">
        <v>0</v>
      </c>
      <c r="LR197">
        <v>0</v>
      </c>
      <c r="LS197">
        <v>0</v>
      </c>
      <c r="LT197">
        <v>0</v>
      </c>
      <c r="LU197">
        <v>0</v>
      </c>
      <c r="LV197">
        <v>0</v>
      </c>
      <c r="LW197">
        <v>0</v>
      </c>
      <c r="LX197">
        <v>0</v>
      </c>
      <c r="LY197">
        <v>0</v>
      </c>
      <c r="LZ197">
        <v>0</v>
      </c>
      <c r="MA197">
        <v>0</v>
      </c>
      <c r="MB197">
        <v>0</v>
      </c>
      <c r="MC197">
        <v>0</v>
      </c>
      <c r="MD197">
        <v>0</v>
      </c>
      <c r="ME197">
        <v>0</v>
      </c>
      <c r="MF197">
        <v>0</v>
      </c>
      <c r="MG197">
        <v>0</v>
      </c>
      <c r="MH197">
        <v>0</v>
      </c>
      <c r="MI197">
        <v>0</v>
      </c>
      <c r="MJ197">
        <v>0</v>
      </c>
      <c r="MK197">
        <v>0</v>
      </c>
      <c r="ML197">
        <v>0</v>
      </c>
      <c r="MM197">
        <v>0</v>
      </c>
      <c r="MN197">
        <v>0</v>
      </c>
      <c r="MO197">
        <v>0</v>
      </c>
      <c r="MP197">
        <v>0</v>
      </c>
      <c r="MQ197">
        <v>0</v>
      </c>
      <c r="MR197">
        <v>0</v>
      </c>
      <c r="MS197">
        <v>0</v>
      </c>
      <c r="MT197">
        <v>0</v>
      </c>
      <c r="MU197">
        <v>0</v>
      </c>
      <c r="MV197">
        <v>0</v>
      </c>
      <c r="MW197">
        <v>0</v>
      </c>
      <c r="MX197">
        <v>0</v>
      </c>
      <c r="MY197">
        <v>0</v>
      </c>
      <c r="MZ197">
        <v>0</v>
      </c>
      <c r="NA197">
        <v>0</v>
      </c>
      <c r="NB197">
        <v>0</v>
      </c>
      <c r="NC197">
        <v>0</v>
      </c>
      <c r="ND197">
        <v>0</v>
      </c>
      <c r="NE197">
        <v>0</v>
      </c>
    </row>
    <row r="198" spans="41:369" x14ac:dyDescent="0.45">
      <c r="AO198" t="str">
        <v>C154</v>
      </c>
      <c r="AP198" t="str">
        <v>MOHAMMED RAZEEN S.P</v>
      </c>
      <c r="AQ198" t="str">
        <v>DAHF</v>
      </c>
      <c r="AR198" t="str">
        <v>SENIOR</v>
      </c>
      <c r="AS198">
        <v>6</v>
      </c>
      <c r="AT198">
        <v>26.5</v>
      </c>
      <c r="AU198">
        <v>0</v>
      </c>
      <c r="AV198">
        <v>26.5</v>
      </c>
      <c r="AW198">
        <v>26.5</v>
      </c>
      <c r="AX198">
        <v>56</v>
      </c>
      <c r="AY198" s="5">
        <v>56</v>
      </c>
      <c r="AZ198" t="str">
        <v>GN05</v>
      </c>
      <c r="BA198" t="str">
        <v>WALL PAINTING</v>
      </c>
      <c r="BB198" t="str">
        <v>GENERAL</v>
      </c>
      <c r="BC198" t="str">
        <v>Group</v>
      </c>
      <c r="BD198" t="str">
        <v>Non-Stg</v>
      </c>
      <c r="BE198">
        <v>0</v>
      </c>
      <c r="BF198" t="str">
        <v>General</v>
      </c>
      <c r="BG198" t="str">
        <v>General</v>
      </c>
      <c r="BH198" t="str">
        <v>P</v>
      </c>
      <c r="BI198" t="str">
        <v>PUBLISHED</v>
      </c>
      <c r="BK198">
        <v>192</v>
      </c>
      <c r="BL198" t="str">
        <v>GN01</v>
      </c>
      <c r="BM198" t="str">
        <v>COLLAGE</v>
      </c>
      <c r="BN198">
        <v>0</v>
      </c>
      <c r="BO198" t="str">
        <v>Group</v>
      </c>
      <c r="BP198" t="str">
        <v>Non-Stg</v>
      </c>
      <c r="BQ198" t="str">
        <v>GENERAL</v>
      </c>
      <c r="BR198">
        <v>0</v>
      </c>
      <c r="BS198">
        <v>0</v>
      </c>
      <c r="BT198">
        <v>0</v>
      </c>
      <c r="BU198">
        <v>0</v>
      </c>
      <c r="BV198">
        <v>0</v>
      </c>
      <c r="BW198">
        <v>0</v>
      </c>
      <c r="BX198">
        <v>0</v>
      </c>
      <c r="BY198">
        <v>0</v>
      </c>
      <c r="BZ198">
        <v>0</v>
      </c>
      <c r="CA198">
        <v>0</v>
      </c>
      <c r="CB198">
        <v>0</v>
      </c>
      <c r="CC198">
        <v>0</v>
      </c>
      <c r="CD198">
        <v>0</v>
      </c>
      <c r="CE198">
        <v>0</v>
      </c>
      <c r="CF198">
        <v>0</v>
      </c>
      <c r="CG198">
        <v>0</v>
      </c>
      <c r="CH198">
        <v>0</v>
      </c>
      <c r="CI198">
        <v>0</v>
      </c>
      <c r="CJ198">
        <v>0</v>
      </c>
      <c r="CK198">
        <v>0</v>
      </c>
      <c r="CL198">
        <v>0</v>
      </c>
      <c r="CM198">
        <v>0</v>
      </c>
      <c r="CN198">
        <v>0</v>
      </c>
      <c r="CO198">
        <v>0</v>
      </c>
      <c r="CP198">
        <v>0</v>
      </c>
      <c r="CQ198">
        <v>0</v>
      </c>
      <c r="CR198">
        <v>0</v>
      </c>
      <c r="CS198">
        <v>0</v>
      </c>
      <c r="CT198">
        <v>0</v>
      </c>
      <c r="CU198">
        <v>0</v>
      </c>
      <c r="CV198">
        <v>0</v>
      </c>
      <c r="CW198">
        <v>0</v>
      </c>
      <c r="CX198">
        <v>0</v>
      </c>
      <c r="CY198">
        <v>0</v>
      </c>
      <c r="CZ198">
        <v>0</v>
      </c>
      <c r="DA198">
        <v>0</v>
      </c>
      <c r="DB198">
        <v>0</v>
      </c>
      <c r="DC198">
        <v>0</v>
      </c>
      <c r="DD198">
        <v>0</v>
      </c>
      <c r="DE198">
        <v>0</v>
      </c>
      <c r="DF198">
        <v>0</v>
      </c>
      <c r="DG198">
        <v>0</v>
      </c>
      <c r="DH198">
        <v>0</v>
      </c>
      <c r="DI198">
        <v>0</v>
      </c>
      <c r="DJ198">
        <v>0</v>
      </c>
      <c r="DK198">
        <v>0</v>
      </c>
      <c r="DL198">
        <v>0</v>
      </c>
      <c r="DM198">
        <v>0</v>
      </c>
      <c r="DN198">
        <v>0</v>
      </c>
      <c r="DO198">
        <v>0</v>
      </c>
      <c r="DP198">
        <v>0</v>
      </c>
      <c r="DQ198">
        <v>0</v>
      </c>
      <c r="DR198">
        <v>0</v>
      </c>
      <c r="DS198">
        <v>0</v>
      </c>
      <c r="DT198">
        <v>0</v>
      </c>
      <c r="DU198">
        <v>0</v>
      </c>
      <c r="DV198">
        <v>0</v>
      </c>
      <c r="DW198">
        <v>0</v>
      </c>
      <c r="DX198">
        <v>0</v>
      </c>
      <c r="DY198">
        <v>0</v>
      </c>
      <c r="DZ198">
        <v>0</v>
      </c>
      <c r="EA198">
        <v>0</v>
      </c>
      <c r="EB198">
        <v>0</v>
      </c>
      <c r="EC198">
        <v>0</v>
      </c>
      <c r="ED198">
        <v>0</v>
      </c>
      <c r="EE198">
        <v>0</v>
      </c>
      <c r="EF198">
        <v>0</v>
      </c>
      <c r="EG198">
        <v>0</v>
      </c>
      <c r="EH198">
        <v>0</v>
      </c>
      <c r="EI198">
        <v>0</v>
      </c>
      <c r="EJ198">
        <v>0</v>
      </c>
      <c r="EK198">
        <v>0</v>
      </c>
      <c r="EL198">
        <v>0</v>
      </c>
      <c r="EM198">
        <v>0</v>
      </c>
      <c r="EN198">
        <v>0</v>
      </c>
      <c r="EO198">
        <v>0</v>
      </c>
      <c r="EP198">
        <v>0</v>
      </c>
      <c r="EQ198">
        <v>0</v>
      </c>
      <c r="ER198">
        <v>0</v>
      </c>
      <c r="ES198">
        <v>0</v>
      </c>
      <c r="ET198">
        <v>0</v>
      </c>
      <c r="EU198">
        <v>0</v>
      </c>
      <c r="EV198">
        <v>0</v>
      </c>
      <c r="EW198">
        <v>0</v>
      </c>
      <c r="EX198">
        <v>0</v>
      </c>
      <c r="EY198">
        <v>0</v>
      </c>
      <c r="EZ198">
        <v>0</v>
      </c>
      <c r="FA198">
        <v>0</v>
      </c>
      <c r="FB198">
        <v>0</v>
      </c>
      <c r="FC198">
        <v>0</v>
      </c>
      <c r="FD198">
        <v>0</v>
      </c>
      <c r="FE198">
        <v>0</v>
      </c>
      <c r="FF198">
        <v>0</v>
      </c>
      <c r="FG198">
        <v>0</v>
      </c>
      <c r="FH198">
        <v>0</v>
      </c>
      <c r="FI198">
        <v>0</v>
      </c>
      <c r="FJ198">
        <v>0</v>
      </c>
      <c r="FK198">
        <v>0</v>
      </c>
      <c r="FL198">
        <v>0</v>
      </c>
      <c r="FM198">
        <v>0</v>
      </c>
      <c r="FN198">
        <v>0</v>
      </c>
      <c r="FO198">
        <v>0</v>
      </c>
      <c r="FP198">
        <v>0</v>
      </c>
      <c r="FQ198">
        <v>0</v>
      </c>
      <c r="FR198">
        <v>0</v>
      </c>
      <c r="FS198">
        <v>0</v>
      </c>
      <c r="FT198">
        <v>0</v>
      </c>
      <c r="FU198">
        <v>0</v>
      </c>
      <c r="FV198">
        <v>0</v>
      </c>
      <c r="FW198">
        <v>0</v>
      </c>
      <c r="FX198">
        <v>0</v>
      </c>
      <c r="FY198">
        <v>0</v>
      </c>
      <c r="FZ198">
        <v>0</v>
      </c>
      <c r="GA198">
        <v>0</v>
      </c>
      <c r="GB198">
        <v>0</v>
      </c>
      <c r="GC198">
        <v>0</v>
      </c>
      <c r="GD198">
        <v>0</v>
      </c>
      <c r="GE198">
        <v>0</v>
      </c>
      <c r="GF198">
        <v>0</v>
      </c>
      <c r="GG198">
        <v>0</v>
      </c>
      <c r="GH198">
        <v>0</v>
      </c>
      <c r="GI198">
        <v>0</v>
      </c>
      <c r="GJ198">
        <v>0</v>
      </c>
      <c r="GK198">
        <v>0</v>
      </c>
      <c r="GL198">
        <v>0</v>
      </c>
      <c r="GM198">
        <v>0</v>
      </c>
      <c r="GN198">
        <v>0</v>
      </c>
      <c r="GO198">
        <v>0</v>
      </c>
      <c r="GP198">
        <v>0</v>
      </c>
      <c r="GQ198">
        <v>0</v>
      </c>
      <c r="GR198">
        <v>0</v>
      </c>
      <c r="GS198">
        <v>0</v>
      </c>
      <c r="GT198">
        <v>0</v>
      </c>
      <c r="GU198">
        <v>0</v>
      </c>
      <c r="GV198">
        <v>0</v>
      </c>
      <c r="GW198">
        <v>0</v>
      </c>
      <c r="GX198">
        <v>0</v>
      </c>
      <c r="GY198">
        <v>0</v>
      </c>
      <c r="GZ198">
        <v>0</v>
      </c>
      <c r="HA198">
        <v>0</v>
      </c>
      <c r="HB198">
        <v>0</v>
      </c>
      <c r="HC198">
        <v>0</v>
      </c>
      <c r="HD198">
        <v>0</v>
      </c>
      <c r="HE198">
        <v>0</v>
      </c>
      <c r="HF198">
        <v>0</v>
      </c>
      <c r="HG198">
        <v>0</v>
      </c>
      <c r="HH198">
        <v>0</v>
      </c>
      <c r="HI198">
        <v>0</v>
      </c>
      <c r="HJ198">
        <v>0</v>
      </c>
      <c r="HK198">
        <v>0</v>
      </c>
      <c r="HL198">
        <v>0</v>
      </c>
      <c r="HM198">
        <v>0</v>
      </c>
      <c r="HN198">
        <v>0</v>
      </c>
      <c r="HO198">
        <v>0</v>
      </c>
      <c r="HP198">
        <v>0</v>
      </c>
      <c r="HQ198">
        <v>0</v>
      </c>
      <c r="HR198">
        <v>0</v>
      </c>
      <c r="HS198">
        <v>0</v>
      </c>
      <c r="HT198">
        <v>0</v>
      </c>
      <c r="HU198">
        <v>0</v>
      </c>
      <c r="HV198">
        <v>0</v>
      </c>
      <c r="HW198">
        <v>0</v>
      </c>
      <c r="HX198">
        <v>0</v>
      </c>
      <c r="HY198">
        <v>0</v>
      </c>
      <c r="HZ198">
        <v>0</v>
      </c>
      <c r="IA198">
        <v>0</v>
      </c>
      <c r="IB198">
        <v>0</v>
      </c>
      <c r="IC198">
        <v>0</v>
      </c>
      <c r="ID198">
        <v>0</v>
      </c>
      <c r="IE198">
        <v>0</v>
      </c>
      <c r="IF198">
        <v>0</v>
      </c>
      <c r="IG198">
        <v>0</v>
      </c>
      <c r="IH198">
        <v>0</v>
      </c>
      <c r="II198">
        <v>0</v>
      </c>
      <c r="IJ198">
        <v>0</v>
      </c>
      <c r="IK198">
        <v>0</v>
      </c>
      <c r="IL198">
        <v>0</v>
      </c>
      <c r="IM198">
        <v>0</v>
      </c>
      <c r="IN198">
        <v>0</v>
      </c>
      <c r="IO198">
        <v>0</v>
      </c>
      <c r="IP198">
        <v>0</v>
      </c>
      <c r="IQ198">
        <v>0</v>
      </c>
      <c r="IR198">
        <v>0</v>
      </c>
      <c r="IS198">
        <v>0</v>
      </c>
      <c r="IT198">
        <v>0</v>
      </c>
      <c r="IU198">
        <v>0</v>
      </c>
      <c r="IV198">
        <v>0</v>
      </c>
      <c r="IW198">
        <v>0</v>
      </c>
      <c r="IX198">
        <v>0</v>
      </c>
      <c r="IY198">
        <v>0</v>
      </c>
      <c r="IZ198">
        <v>0</v>
      </c>
      <c r="JA198">
        <v>0</v>
      </c>
      <c r="JB198">
        <v>0</v>
      </c>
      <c r="JC198">
        <v>0</v>
      </c>
      <c r="JD198">
        <v>0</v>
      </c>
      <c r="JE198">
        <v>0</v>
      </c>
      <c r="JF198">
        <v>0</v>
      </c>
      <c r="JG198">
        <v>0</v>
      </c>
      <c r="JH198">
        <v>0</v>
      </c>
      <c r="JI198">
        <v>0</v>
      </c>
      <c r="JJ198">
        <v>0</v>
      </c>
      <c r="JK198">
        <v>0</v>
      </c>
      <c r="JL198">
        <v>0</v>
      </c>
      <c r="JM198">
        <v>0</v>
      </c>
      <c r="JN198">
        <v>0</v>
      </c>
      <c r="JO198">
        <v>0</v>
      </c>
      <c r="JP198">
        <v>0</v>
      </c>
      <c r="JQ198">
        <v>0</v>
      </c>
      <c r="JR198">
        <v>0</v>
      </c>
      <c r="JS198">
        <v>0</v>
      </c>
      <c r="JT198">
        <v>0</v>
      </c>
      <c r="JU198">
        <v>0</v>
      </c>
      <c r="JV198">
        <v>0</v>
      </c>
      <c r="JW198">
        <v>0</v>
      </c>
      <c r="JX198">
        <v>0</v>
      </c>
      <c r="JY198">
        <v>0</v>
      </c>
      <c r="JZ198">
        <v>0</v>
      </c>
      <c r="KA198">
        <v>0</v>
      </c>
      <c r="KB198">
        <v>0</v>
      </c>
      <c r="KC198">
        <v>0</v>
      </c>
      <c r="KD198">
        <v>0</v>
      </c>
      <c r="KE198">
        <v>0</v>
      </c>
      <c r="KF198">
        <v>0</v>
      </c>
      <c r="KG198">
        <v>0</v>
      </c>
      <c r="KH198">
        <v>0</v>
      </c>
      <c r="KI198">
        <v>0</v>
      </c>
      <c r="KJ198">
        <v>0</v>
      </c>
      <c r="KK198">
        <v>0</v>
      </c>
      <c r="KL198">
        <v>0</v>
      </c>
      <c r="KM198">
        <v>0</v>
      </c>
      <c r="KN198">
        <v>0</v>
      </c>
      <c r="KO198">
        <v>0</v>
      </c>
      <c r="KP198">
        <v>0</v>
      </c>
      <c r="KQ198">
        <v>0</v>
      </c>
      <c r="KR198">
        <v>0</v>
      </c>
      <c r="KS198">
        <v>0</v>
      </c>
      <c r="KT198">
        <v>0</v>
      </c>
      <c r="KU198">
        <v>0</v>
      </c>
      <c r="KV198">
        <v>0</v>
      </c>
      <c r="KW198">
        <v>0</v>
      </c>
      <c r="KX198">
        <v>0</v>
      </c>
      <c r="KY198">
        <v>0</v>
      </c>
      <c r="KZ198">
        <v>0</v>
      </c>
      <c r="LA198">
        <v>0</v>
      </c>
      <c r="LB198">
        <v>0</v>
      </c>
      <c r="LC198">
        <v>0</v>
      </c>
      <c r="LD198">
        <v>0</v>
      </c>
      <c r="LE198">
        <v>0</v>
      </c>
      <c r="LF198">
        <v>0</v>
      </c>
      <c r="LG198">
        <v>0</v>
      </c>
      <c r="LH198">
        <v>0</v>
      </c>
      <c r="LI198">
        <v>0</v>
      </c>
      <c r="LJ198">
        <v>0</v>
      </c>
      <c r="LK198">
        <v>0</v>
      </c>
      <c r="LL198">
        <v>0</v>
      </c>
      <c r="LM198">
        <v>0</v>
      </c>
      <c r="LN198">
        <v>0</v>
      </c>
      <c r="LO198">
        <v>0</v>
      </c>
      <c r="LP198">
        <v>0</v>
      </c>
      <c r="LQ198">
        <v>0</v>
      </c>
      <c r="LR198">
        <v>0</v>
      </c>
      <c r="LS198">
        <v>0</v>
      </c>
      <c r="LT198">
        <v>0</v>
      </c>
      <c r="LU198">
        <v>0</v>
      </c>
      <c r="LV198">
        <v>0</v>
      </c>
      <c r="LW198">
        <v>0</v>
      </c>
      <c r="LX198">
        <v>0</v>
      </c>
      <c r="LY198">
        <v>0</v>
      </c>
      <c r="LZ198">
        <v>0</v>
      </c>
      <c r="MA198">
        <v>0</v>
      </c>
      <c r="MB198">
        <v>0</v>
      </c>
      <c r="MC198">
        <v>0</v>
      </c>
      <c r="MD198">
        <v>0</v>
      </c>
      <c r="ME198">
        <v>0</v>
      </c>
      <c r="MF198">
        <v>0</v>
      </c>
      <c r="MG198">
        <v>0</v>
      </c>
      <c r="MH198">
        <v>0</v>
      </c>
      <c r="MI198">
        <v>0</v>
      </c>
      <c r="MJ198">
        <v>0</v>
      </c>
      <c r="MK198">
        <v>0</v>
      </c>
      <c r="ML198">
        <v>0</v>
      </c>
      <c r="MM198">
        <v>0</v>
      </c>
      <c r="MN198">
        <v>0</v>
      </c>
      <c r="MO198">
        <v>0</v>
      </c>
      <c r="MP198">
        <v>0</v>
      </c>
      <c r="MQ198">
        <v>0</v>
      </c>
      <c r="MR198">
        <v>0</v>
      </c>
      <c r="MS198">
        <v>0</v>
      </c>
      <c r="MT198">
        <v>0</v>
      </c>
      <c r="MU198">
        <v>0</v>
      </c>
      <c r="MV198">
        <v>0</v>
      </c>
      <c r="MW198">
        <v>0</v>
      </c>
      <c r="MX198">
        <v>0</v>
      </c>
      <c r="MY198">
        <v>0</v>
      </c>
      <c r="MZ198">
        <v>0</v>
      </c>
      <c r="NA198">
        <v>0</v>
      </c>
      <c r="NB198">
        <v>0</v>
      </c>
      <c r="NC198">
        <v>0</v>
      </c>
      <c r="ND198">
        <v>0</v>
      </c>
      <c r="NE198">
        <v>0</v>
      </c>
    </row>
    <row r="199" spans="41:369" x14ac:dyDescent="0.45">
      <c r="AO199" t="str">
        <v>C155</v>
      </c>
      <c r="AP199" t="str">
        <v>HASSAN ZARKASH</v>
      </c>
      <c r="AQ199" t="str">
        <v>FANT</v>
      </c>
      <c r="AR199" t="str">
        <v>SENIOR</v>
      </c>
      <c r="AS199">
        <v>6</v>
      </c>
      <c r="AT199">
        <v>33</v>
      </c>
      <c r="AU199">
        <v>0</v>
      </c>
      <c r="AV199">
        <v>33</v>
      </c>
      <c r="AW199">
        <v>33</v>
      </c>
      <c r="AX199">
        <v>37</v>
      </c>
      <c r="AY199" s="5">
        <v>37</v>
      </c>
      <c r="AZ199" t="str">
        <v>GN06</v>
      </c>
      <c r="BA199" t="str">
        <v>CAMPUS BRAIN</v>
      </c>
      <c r="BB199" t="str">
        <v>GENERAL</v>
      </c>
      <c r="BC199" t="str">
        <v>Group</v>
      </c>
      <c r="BD199" t="str">
        <v>Stage</v>
      </c>
      <c r="BE199">
        <v>1</v>
      </c>
      <c r="BF199" t="str">
        <v>STARRED</v>
      </c>
      <c r="BG199" t="str">
        <v>STARRED</v>
      </c>
      <c r="BH199" t="str">
        <v>P</v>
      </c>
      <c r="BI199" t="str">
        <v>PUBLISHED</v>
      </c>
      <c r="BK199">
        <v>193</v>
      </c>
      <c r="BL199" t="str">
        <v>GN02</v>
      </c>
      <c r="BM199" t="str">
        <v>DIGITAL MAGAZINE</v>
      </c>
      <c r="BN199">
        <v>0</v>
      </c>
      <c r="BO199" t="str">
        <v>Group</v>
      </c>
      <c r="BP199" t="str">
        <v>Non-Stg</v>
      </c>
      <c r="BQ199" t="str">
        <v>GENERAL</v>
      </c>
      <c r="BR199">
        <v>0</v>
      </c>
      <c r="BS199">
        <v>0</v>
      </c>
      <c r="BT199">
        <v>0</v>
      </c>
      <c r="BU199">
        <v>0</v>
      </c>
      <c r="BV199">
        <v>0</v>
      </c>
      <c r="BW199">
        <v>0</v>
      </c>
      <c r="BX199">
        <v>0</v>
      </c>
      <c r="BY199">
        <v>0</v>
      </c>
      <c r="BZ199">
        <v>0</v>
      </c>
      <c r="CA199">
        <v>0</v>
      </c>
      <c r="CB199">
        <v>0</v>
      </c>
      <c r="CC199">
        <v>0</v>
      </c>
      <c r="CD199">
        <v>0</v>
      </c>
      <c r="CE199">
        <v>0</v>
      </c>
      <c r="CF199">
        <v>0</v>
      </c>
      <c r="CG199">
        <v>0</v>
      </c>
      <c r="CH199">
        <v>0</v>
      </c>
      <c r="CI199">
        <v>0</v>
      </c>
      <c r="CJ199">
        <v>0</v>
      </c>
      <c r="CK199">
        <v>0</v>
      </c>
      <c r="CL199">
        <v>0</v>
      </c>
      <c r="CM199">
        <v>0</v>
      </c>
      <c r="CN199">
        <v>0</v>
      </c>
      <c r="CO199">
        <v>0</v>
      </c>
      <c r="CP199">
        <v>0</v>
      </c>
      <c r="CQ199">
        <v>0</v>
      </c>
      <c r="CR199">
        <v>0</v>
      </c>
      <c r="CS199">
        <v>0</v>
      </c>
      <c r="CT199">
        <v>0</v>
      </c>
      <c r="CU199">
        <v>0</v>
      </c>
      <c r="CV199">
        <v>0</v>
      </c>
      <c r="CW199">
        <v>0</v>
      </c>
      <c r="CX199">
        <v>0</v>
      </c>
      <c r="CY199">
        <v>0</v>
      </c>
      <c r="CZ199">
        <v>0</v>
      </c>
      <c r="DA199">
        <v>0</v>
      </c>
      <c r="DB199">
        <v>0</v>
      </c>
      <c r="DC199">
        <v>0</v>
      </c>
      <c r="DD199">
        <v>0</v>
      </c>
      <c r="DE199">
        <v>0</v>
      </c>
      <c r="DF199">
        <v>0</v>
      </c>
      <c r="DG199">
        <v>0</v>
      </c>
      <c r="DH199">
        <v>0</v>
      </c>
      <c r="DI199">
        <v>0</v>
      </c>
      <c r="DJ199">
        <v>0</v>
      </c>
      <c r="DK199">
        <v>0</v>
      </c>
      <c r="DL199">
        <v>0</v>
      </c>
      <c r="DM199">
        <v>0</v>
      </c>
      <c r="DN199">
        <v>0</v>
      </c>
      <c r="DO199">
        <v>0</v>
      </c>
      <c r="DP199">
        <v>0</v>
      </c>
      <c r="DQ199">
        <v>0</v>
      </c>
      <c r="DR199">
        <v>0</v>
      </c>
      <c r="DS199">
        <v>0</v>
      </c>
      <c r="DT199">
        <v>0</v>
      </c>
      <c r="DU199">
        <v>0</v>
      </c>
      <c r="DV199">
        <v>0</v>
      </c>
      <c r="DW199">
        <v>0</v>
      </c>
      <c r="DX199">
        <v>0</v>
      </c>
      <c r="DY199">
        <v>0</v>
      </c>
      <c r="DZ199">
        <v>0</v>
      </c>
      <c r="EA199">
        <v>0</v>
      </c>
      <c r="EB199">
        <v>0</v>
      </c>
      <c r="EC199">
        <v>0</v>
      </c>
      <c r="ED199">
        <v>0</v>
      </c>
      <c r="EE199">
        <v>0</v>
      </c>
      <c r="EF199">
        <v>0</v>
      </c>
      <c r="EG199">
        <v>0</v>
      </c>
      <c r="EH199">
        <v>0</v>
      </c>
      <c r="EI199">
        <v>0</v>
      </c>
      <c r="EJ199">
        <v>0</v>
      </c>
      <c r="EK199">
        <v>0</v>
      </c>
      <c r="EL199">
        <v>0</v>
      </c>
      <c r="EM199">
        <v>0</v>
      </c>
      <c r="EN199">
        <v>0</v>
      </c>
      <c r="EO199">
        <v>0</v>
      </c>
      <c r="EP199">
        <v>0</v>
      </c>
      <c r="EQ199">
        <v>0</v>
      </c>
      <c r="ER199">
        <v>0</v>
      </c>
      <c r="ES199">
        <v>0</v>
      </c>
      <c r="ET199">
        <v>0</v>
      </c>
      <c r="EU199">
        <v>0</v>
      </c>
      <c r="EV199">
        <v>0</v>
      </c>
      <c r="EW199">
        <v>0</v>
      </c>
      <c r="EX199">
        <v>0</v>
      </c>
      <c r="EY199">
        <v>0</v>
      </c>
      <c r="EZ199">
        <v>0</v>
      </c>
      <c r="FA199">
        <v>0</v>
      </c>
      <c r="FB199">
        <v>0</v>
      </c>
      <c r="FC199">
        <v>0</v>
      </c>
      <c r="FD199">
        <v>0</v>
      </c>
      <c r="FE199">
        <v>0</v>
      </c>
      <c r="FF199">
        <v>0</v>
      </c>
      <c r="FG199">
        <v>0</v>
      </c>
      <c r="FH199">
        <v>0</v>
      </c>
      <c r="FI199">
        <v>0</v>
      </c>
      <c r="FJ199">
        <v>0</v>
      </c>
      <c r="FK199">
        <v>0</v>
      </c>
      <c r="FL199">
        <v>0</v>
      </c>
      <c r="FM199">
        <v>0</v>
      </c>
      <c r="FN199">
        <v>0</v>
      </c>
      <c r="FO199">
        <v>0</v>
      </c>
      <c r="FP199">
        <v>0</v>
      </c>
      <c r="FQ199">
        <v>0</v>
      </c>
      <c r="FR199">
        <v>0</v>
      </c>
      <c r="FS199">
        <v>0</v>
      </c>
      <c r="FT199">
        <v>0</v>
      </c>
      <c r="FU199">
        <v>0</v>
      </c>
      <c r="FV199">
        <v>0</v>
      </c>
      <c r="FW199">
        <v>0</v>
      </c>
      <c r="FX199">
        <v>0</v>
      </c>
      <c r="FY199">
        <v>0</v>
      </c>
      <c r="FZ199">
        <v>0</v>
      </c>
      <c r="GA199">
        <v>0</v>
      </c>
      <c r="GB199">
        <v>0</v>
      </c>
      <c r="GC199">
        <v>0</v>
      </c>
      <c r="GD199">
        <v>0</v>
      </c>
      <c r="GE199">
        <v>0</v>
      </c>
      <c r="GF199">
        <v>0</v>
      </c>
      <c r="GG199">
        <v>0</v>
      </c>
      <c r="GH199">
        <v>0</v>
      </c>
      <c r="GI199">
        <v>0</v>
      </c>
      <c r="GJ199">
        <v>0</v>
      </c>
      <c r="GK199">
        <v>0</v>
      </c>
      <c r="GL199">
        <v>0</v>
      </c>
      <c r="GM199">
        <v>0</v>
      </c>
      <c r="GN199">
        <v>0</v>
      </c>
      <c r="GO199">
        <v>0</v>
      </c>
      <c r="GP199">
        <v>0</v>
      </c>
      <c r="GQ199">
        <v>0</v>
      </c>
      <c r="GR199">
        <v>0</v>
      </c>
      <c r="GS199">
        <v>0</v>
      </c>
      <c r="GT199">
        <v>0</v>
      </c>
      <c r="GU199">
        <v>0</v>
      </c>
      <c r="GV199">
        <v>0</v>
      </c>
      <c r="GW199">
        <v>0</v>
      </c>
      <c r="GX199">
        <v>0</v>
      </c>
      <c r="GY199">
        <v>0</v>
      </c>
      <c r="GZ199">
        <v>0</v>
      </c>
      <c r="HA199">
        <v>0</v>
      </c>
      <c r="HB199">
        <v>0</v>
      </c>
      <c r="HC199">
        <v>0</v>
      </c>
      <c r="HD199">
        <v>0</v>
      </c>
      <c r="HE199">
        <v>0</v>
      </c>
      <c r="HF199">
        <v>0</v>
      </c>
      <c r="HG199">
        <v>0</v>
      </c>
      <c r="HH199">
        <v>0</v>
      </c>
      <c r="HI199">
        <v>0</v>
      </c>
      <c r="HJ199">
        <v>0</v>
      </c>
      <c r="HK199">
        <v>0</v>
      </c>
      <c r="HL199">
        <v>0</v>
      </c>
      <c r="HM199">
        <v>0</v>
      </c>
      <c r="HN199">
        <v>0</v>
      </c>
      <c r="HO199">
        <v>0</v>
      </c>
      <c r="HP199">
        <v>0</v>
      </c>
      <c r="HQ199">
        <v>0</v>
      </c>
      <c r="HR199">
        <v>0</v>
      </c>
      <c r="HS199">
        <v>0</v>
      </c>
      <c r="HT199">
        <v>0</v>
      </c>
      <c r="HU199">
        <v>0</v>
      </c>
      <c r="HV199">
        <v>0</v>
      </c>
      <c r="HW199">
        <v>0</v>
      </c>
      <c r="HX199">
        <v>0</v>
      </c>
      <c r="HY199">
        <v>0</v>
      </c>
      <c r="HZ199">
        <v>0</v>
      </c>
      <c r="IA199">
        <v>0</v>
      </c>
      <c r="IB199">
        <v>0</v>
      </c>
      <c r="IC199">
        <v>0</v>
      </c>
      <c r="ID199">
        <v>0</v>
      </c>
      <c r="IE199">
        <v>0</v>
      </c>
      <c r="IF199">
        <v>0</v>
      </c>
      <c r="IG199">
        <v>0</v>
      </c>
      <c r="IH199">
        <v>0</v>
      </c>
      <c r="II199">
        <v>0</v>
      </c>
      <c r="IJ199">
        <v>0</v>
      </c>
      <c r="IK199">
        <v>0</v>
      </c>
      <c r="IL199">
        <v>0</v>
      </c>
      <c r="IM199">
        <v>0</v>
      </c>
      <c r="IN199">
        <v>0</v>
      </c>
      <c r="IO199">
        <v>0</v>
      </c>
      <c r="IP199">
        <v>0</v>
      </c>
      <c r="IQ199">
        <v>0</v>
      </c>
      <c r="IR199">
        <v>0</v>
      </c>
      <c r="IS199">
        <v>0</v>
      </c>
      <c r="IT199">
        <v>0</v>
      </c>
      <c r="IU199">
        <v>0</v>
      </c>
      <c r="IV199">
        <v>0</v>
      </c>
      <c r="IW199">
        <v>0</v>
      </c>
      <c r="IX199">
        <v>0</v>
      </c>
      <c r="IY199">
        <v>0</v>
      </c>
      <c r="IZ199">
        <v>0</v>
      </c>
      <c r="JA199">
        <v>0</v>
      </c>
      <c r="JB199">
        <v>0</v>
      </c>
      <c r="JC199">
        <v>0</v>
      </c>
      <c r="JD199">
        <v>0</v>
      </c>
      <c r="JE199">
        <v>0</v>
      </c>
      <c r="JF199">
        <v>0</v>
      </c>
      <c r="JG199">
        <v>0</v>
      </c>
      <c r="JH199">
        <v>0</v>
      </c>
      <c r="JI199">
        <v>0</v>
      </c>
      <c r="JJ199">
        <v>0</v>
      </c>
      <c r="JK199">
        <v>0</v>
      </c>
      <c r="JL199">
        <v>0</v>
      </c>
      <c r="JM199">
        <v>0</v>
      </c>
      <c r="JN199">
        <v>0</v>
      </c>
      <c r="JO199">
        <v>0</v>
      </c>
      <c r="JP199">
        <v>0</v>
      </c>
      <c r="JQ199">
        <v>0</v>
      </c>
      <c r="JR199">
        <v>0</v>
      </c>
      <c r="JS199">
        <v>0</v>
      </c>
      <c r="JT199">
        <v>0</v>
      </c>
      <c r="JU199">
        <v>0</v>
      </c>
      <c r="JV199">
        <v>0</v>
      </c>
      <c r="JW199">
        <v>0</v>
      </c>
      <c r="JX199">
        <v>0</v>
      </c>
      <c r="JY199">
        <v>0</v>
      </c>
      <c r="JZ199">
        <v>0</v>
      </c>
      <c r="KA199">
        <v>0</v>
      </c>
      <c r="KB199">
        <v>0</v>
      </c>
      <c r="KC199">
        <v>0</v>
      </c>
      <c r="KD199">
        <v>0</v>
      </c>
      <c r="KE199">
        <v>0</v>
      </c>
      <c r="KF199">
        <v>0</v>
      </c>
      <c r="KG199">
        <v>0</v>
      </c>
      <c r="KH199">
        <v>0</v>
      </c>
      <c r="KI199">
        <v>0</v>
      </c>
      <c r="KJ199">
        <v>0</v>
      </c>
      <c r="KK199">
        <v>0</v>
      </c>
      <c r="KL199">
        <v>0</v>
      </c>
      <c r="KM199">
        <v>0</v>
      </c>
      <c r="KN199">
        <v>0</v>
      </c>
      <c r="KO199">
        <v>0</v>
      </c>
      <c r="KP199">
        <v>0</v>
      </c>
      <c r="KQ199">
        <v>0</v>
      </c>
      <c r="KR199">
        <v>0</v>
      </c>
      <c r="KS199">
        <v>0</v>
      </c>
      <c r="KT199">
        <v>0</v>
      </c>
      <c r="KU199">
        <v>0</v>
      </c>
      <c r="KV199">
        <v>0</v>
      </c>
      <c r="KW199">
        <v>0</v>
      </c>
      <c r="KX199">
        <v>0</v>
      </c>
      <c r="KY199">
        <v>0</v>
      </c>
      <c r="KZ199">
        <v>0</v>
      </c>
      <c r="LA199">
        <v>0</v>
      </c>
      <c r="LB199">
        <v>0</v>
      </c>
      <c r="LC199">
        <v>0</v>
      </c>
      <c r="LD199">
        <v>0</v>
      </c>
      <c r="LE199">
        <v>0</v>
      </c>
      <c r="LF199">
        <v>0</v>
      </c>
      <c r="LG199">
        <v>0</v>
      </c>
      <c r="LH199">
        <v>0</v>
      </c>
      <c r="LI199">
        <v>0</v>
      </c>
      <c r="LJ199">
        <v>0</v>
      </c>
      <c r="LK199">
        <v>0</v>
      </c>
      <c r="LL199">
        <v>0</v>
      </c>
      <c r="LM199">
        <v>0</v>
      </c>
      <c r="LN199">
        <v>0</v>
      </c>
      <c r="LO199">
        <v>0</v>
      </c>
      <c r="LP199">
        <v>0</v>
      </c>
      <c r="LQ199">
        <v>0</v>
      </c>
      <c r="LR199">
        <v>0</v>
      </c>
      <c r="LS199">
        <v>0</v>
      </c>
      <c r="LT199">
        <v>0</v>
      </c>
      <c r="LU199">
        <v>0</v>
      </c>
      <c r="LV199">
        <v>0</v>
      </c>
      <c r="LW199">
        <v>0</v>
      </c>
      <c r="LX199">
        <v>0</v>
      </c>
      <c r="LY199">
        <v>0</v>
      </c>
      <c r="LZ199">
        <v>0</v>
      </c>
      <c r="MA199">
        <v>0</v>
      </c>
      <c r="MB199">
        <v>0</v>
      </c>
      <c r="MC199">
        <v>0</v>
      </c>
      <c r="MD199">
        <v>0</v>
      </c>
      <c r="ME199">
        <v>0</v>
      </c>
      <c r="MF199">
        <v>0</v>
      </c>
      <c r="MG199">
        <v>0</v>
      </c>
      <c r="MH199">
        <v>0</v>
      </c>
      <c r="MI199">
        <v>0</v>
      </c>
      <c r="MJ199">
        <v>0</v>
      </c>
      <c r="MK199">
        <v>0</v>
      </c>
      <c r="ML199">
        <v>0</v>
      </c>
      <c r="MM199">
        <v>0</v>
      </c>
      <c r="MN199">
        <v>0</v>
      </c>
      <c r="MO199">
        <v>0</v>
      </c>
      <c r="MP199">
        <v>0</v>
      </c>
      <c r="MQ199">
        <v>0</v>
      </c>
      <c r="MR199">
        <v>0</v>
      </c>
      <c r="MS199">
        <v>0</v>
      </c>
      <c r="MT199">
        <v>0</v>
      </c>
      <c r="MU199">
        <v>0</v>
      </c>
      <c r="MV199">
        <v>0</v>
      </c>
      <c r="MW199">
        <v>0</v>
      </c>
      <c r="MX199">
        <v>0</v>
      </c>
      <c r="MY199">
        <v>0</v>
      </c>
      <c r="MZ199">
        <v>0</v>
      </c>
      <c r="NA199">
        <v>0</v>
      </c>
      <c r="NB199">
        <v>0</v>
      </c>
      <c r="NC199">
        <v>0</v>
      </c>
      <c r="ND199">
        <v>0</v>
      </c>
      <c r="NE199">
        <v>0</v>
      </c>
    </row>
    <row r="200" spans="41:369" x14ac:dyDescent="0.45">
      <c r="AO200" t="str">
        <v>C156</v>
      </c>
      <c r="AP200" t="str">
        <v>ABDULLA RAMSHAD</v>
      </c>
      <c r="AQ200" t="str">
        <v>FANT</v>
      </c>
      <c r="AR200" t="str">
        <v>SENIOR</v>
      </c>
      <c r="AS200">
        <v>6</v>
      </c>
      <c r="AT200">
        <v>14</v>
      </c>
      <c r="AU200">
        <v>0</v>
      </c>
      <c r="AV200">
        <v>14</v>
      </c>
      <c r="AW200">
        <v>14</v>
      </c>
      <c r="AX200">
        <v>104</v>
      </c>
      <c r="AY200" s="5">
        <v>104</v>
      </c>
      <c r="AZ200" t="str">
        <v>GN07</v>
      </c>
      <c r="BA200" t="str">
        <v>DEBATE ENGLISH</v>
      </c>
      <c r="BB200" t="str">
        <v>GENERAL</v>
      </c>
      <c r="BC200" t="str">
        <v>Group</v>
      </c>
      <c r="BD200" t="str">
        <v>Stage</v>
      </c>
      <c r="BE200">
        <v>2</v>
      </c>
      <c r="BF200" t="str">
        <v>General</v>
      </c>
      <c r="BG200" t="str">
        <v>General</v>
      </c>
      <c r="BH200" t="str">
        <v>P</v>
      </c>
      <c r="BI200" t="str">
        <v>PUBLISHED</v>
      </c>
      <c r="BK200">
        <v>194</v>
      </c>
      <c r="BL200" t="str">
        <v>GN03</v>
      </c>
      <c r="BM200" t="str">
        <v>DOCUMENTARY</v>
      </c>
      <c r="BN200">
        <v>0</v>
      </c>
      <c r="BO200" t="str">
        <v>Group</v>
      </c>
      <c r="BP200" t="str">
        <v>Non-Stg</v>
      </c>
      <c r="BQ200" t="str">
        <v>GENERAL</v>
      </c>
      <c r="BR200">
        <v>0</v>
      </c>
      <c r="BS200">
        <v>0</v>
      </c>
      <c r="BT200">
        <v>0</v>
      </c>
      <c r="BU200">
        <v>0</v>
      </c>
      <c r="BV200">
        <v>0</v>
      </c>
      <c r="BW200">
        <v>0</v>
      </c>
      <c r="BX200">
        <v>0</v>
      </c>
      <c r="BY200">
        <v>0</v>
      </c>
      <c r="BZ200">
        <v>0</v>
      </c>
      <c r="CA200">
        <v>0</v>
      </c>
      <c r="CB200">
        <v>0</v>
      </c>
      <c r="CC200">
        <v>0</v>
      </c>
      <c r="CD200">
        <v>0</v>
      </c>
      <c r="CE200">
        <v>0</v>
      </c>
      <c r="CF200">
        <v>0</v>
      </c>
      <c r="CG200">
        <v>0</v>
      </c>
      <c r="CH200">
        <v>0</v>
      </c>
      <c r="CI200">
        <v>0</v>
      </c>
      <c r="CJ200">
        <v>0</v>
      </c>
      <c r="CK200">
        <v>0</v>
      </c>
      <c r="CL200">
        <v>0</v>
      </c>
      <c r="CM200">
        <v>0</v>
      </c>
      <c r="CN200">
        <v>0</v>
      </c>
      <c r="CO200">
        <v>0</v>
      </c>
      <c r="CP200">
        <v>0</v>
      </c>
      <c r="CQ200">
        <v>0</v>
      </c>
      <c r="CR200">
        <v>0</v>
      </c>
      <c r="CS200">
        <v>0</v>
      </c>
      <c r="CT200">
        <v>0</v>
      </c>
      <c r="CU200">
        <v>0</v>
      </c>
      <c r="CV200">
        <v>0</v>
      </c>
      <c r="CW200">
        <v>0</v>
      </c>
      <c r="CX200">
        <v>0</v>
      </c>
      <c r="CY200">
        <v>0</v>
      </c>
      <c r="CZ200">
        <v>0</v>
      </c>
      <c r="DA200">
        <v>0</v>
      </c>
      <c r="DB200">
        <v>0</v>
      </c>
      <c r="DC200">
        <v>0</v>
      </c>
      <c r="DD200">
        <v>0</v>
      </c>
      <c r="DE200">
        <v>0</v>
      </c>
      <c r="DF200">
        <v>0</v>
      </c>
      <c r="DG200">
        <v>0</v>
      </c>
      <c r="DH200">
        <v>0</v>
      </c>
      <c r="DI200">
        <v>0</v>
      </c>
      <c r="DJ200">
        <v>0</v>
      </c>
      <c r="DK200">
        <v>0</v>
      </c>
      <c r="DL200">
        <v>0</v>
      </c>
      <c r="DM200">
        <v>0</v>
      </c>
      <c r="DN200">
        <v>0</v>
      </c>
      <c r="DO200">
        <v>0</v>
      </c>
      <c r="DP200">
        <v>0</v>
      </c>
      <c r="DQ200">
        <v>0</v>
      </c>
      <c r="DR200">
        <v>0</v>
      </c>
      <c r="DS200">
        <v>0</v>
      </c>
      <c r="DT200">
        <v>0</v>
      </c>
      <c r="DU200">
        <v>0</v>
      </c>
      <c r="DV200">
        <v>0</v>
      </c>
      <c r="DW200">
        <v>0</v>
      </c>
      <c r="DX200">
        <v>0</v>
      </c>
      <c r="DY200">
        <v>0</v>
      </c>
      <c r="DZ200">
        <v>0</v>
      </c>
      <c r="EA200">
        <v>0</v>
      </c>
      <c r="EB200">
        <v>0</v>
      </c>
      <c r="EC200">
        <v>0</v>
      </c>
      <c r="ED200">
        <v>0</v>
      </c>
      <c r="EE200">
        <v>0</v>
      </c>
      <c r="EF200">
        <v>0</v>
      </c>
      <c r="EG200">
        <v>0</v>
      </c>
      <c r="EH200">
        <v>0</v>
      </c>
      <c r="EI200">
        <v>0</v>
      </c>
      <c r="EJ200">
        <v>0</v>
      </c>
      <c r="EK200">
        <v>0</v>
      </c>
      <c r="EL200">
        <v>0</v>
      </c>
      <c r="EM200">
        <v>0</v>
      </c>
      <c r="EN200">
        <v>0</v>
      </c>
      <c r="EO200">
        <v>0</v>
      </c>
      <c r="EP200">
        <v>0</v>
      </c>
      <c r="EQ200">
        <v>0</v>
      </c>
      <c r="ER200">
        <v>0</v>
      </c>
      <c r="ES200">
        <v>0</v>
      </c>
      <c r="ET200">
        <v>0</v>
      </c>
      <c r="EU200">
        <v>0</v>
      </c>
      <c r="EV200">
        <v>0</v>
      </c>
      <c r="EW200">
        <v>0</v>
      </c>
      <c r="EX200">
        <v>0</v>
      </c>
      <c r="EY200">
        <v>0</v>
      </c>
      <c r="EZ200">
        <v>0</v>
      </c>
      <c r="FA200">
        <v>0</v>
      </c>
      <c r="FB200">
        <v>0</v>
      </c>
      <c r="FC200">
        <v>0</v>
      </c>
      <c r="FD200">
        <v>0</v>
      </c>
      <c r="FE200">
        <v>0</v>
      </c>
      <c r="FF200">
        <v>0</v>
      </c>
      <c r="FG200">
        <v>0</v>
      </c>
      <c r="FH200">
        <v>0</v>
      </c>
      <c r="FI200">
        <v>0</v>
      </c>
      <c r="FJ200">
        <v>0</v>
      </c>
      <c r="FK200">
        <v>0</v>
      </c>
      <c r="FL200">
        <v>0</v>
      </c>
      <c r="FM200">
        <v>0</v>
      </c>
      <c r="FN200">
        <v>0</v>
      </c>
      <c r="FO200">
        <v>0</v>
      </c>
      <c r="FP200">
        <v>0</v>
      </c>
      <c r="FQ200">
        <v>0</v>
      </c>
      <c r="FR200">
        <v>0</v>
      </c>
      <c r="FS200">
        <v>0</v>
      </c>
      <c r="FT200">
        <v>0</v>
      </c>
      <c r="FU200">
        <v>0</v>
      </c>
      <c r="FV200">
        <v>0</v>
      </c>
      <c r="FW200">
        <v>0</v>
      </c>
      <c r="FX200">
        <v>0</v>
      </c>
      <c r="FY200">
        <v>0</v>
      </c>
      <c r="FZ200">
        <v>0</v>
      </c>
      <c r="GA200">
        <v>0</v>
      </c>
      <c r="GB200">
        <v>0</v>
      </c>
      <c r="GC200">
        <v>0</v>
      </c>
      <c r="GD200">
        <v>0</v>
      </c>
      <c r="GE200">
        <v>0</v>
      </c>
      <c r="GF200">
        <v>0</v>
      </c>
      <c r="GG200">
        <v>0</v>
      </c>
      <c r="GH200">
        <v>0</v>
      </c>
      <c r="GI200">
        <v>0</v>
      </c>
      <c r="GJ200">
        <v>0</v>
      </c>
      <c r="GK200">
        <v>0</v>
      </c>
      <c r="GL200">
        <v>0</v>
      </c>
      <c r="GM200">
        <v>0</v>
      </c>
      <c r="GN200">
        <v>0</v>
      </c>
      <c r="GO200">
        <v>0</v>
      </c>
      <c r="GP200">
        <v>0</v>
      </c>
      <c r="GQ200">
        <v>0</v>
      </c>
      <c r="GR200">
        <v>0</v>
      </c>
      <c r="GS200">
        <v>0</v>
      </c>
      <c r="GT200">
        <v>0</v>
      </c>
      <c r="GU200">
        <v>0</v>
      </c>
      <c r="GV200">
        <v>0</v>
      </c>
      <c r="GW200">
        <v>0</v>
      </c>
      <c r="GX200">
        <v>0</v>
      </c>
      <c r="GY200">
        <v>0</v>
      </c>
      <c r="GZ200">
        <v>0</v>
      </c>
      <c r="HA200">
        <v>0</v>
      </c>
      <c r="HB200">
        <v>0</v>
      </c>
      <c r="HC200">
        <v>0</v>
      </c>
      <c r="HD200">
        <v>0</v>
      </c>
      <c r="HE200">
        <v>0</v>
      </c>
      <c r="HF200">
        <v>0</v>
      </c>
      <c r="HG200">
        <v>0</v>
      </c>
      <c r="HH200">
        <v>0</v>
      </c>
      <c r="HI200">
        <v>0</v>
      </c>
      <c r="HJ200">
        <v>0</v>
      </c>
      <c r="HK200">
        <v>0</v>
      </c>
      <c r="HL200">
        <v>0</v>
      </c>
      <c r="HM200">
        <v>0</v>
      </c>
      <c r="HN200">
        <v>0</v>
      </c>
      <c r="HO200">
        <v>0</v>
      </c>
      <c r="HP200">
        <v>0</v>
      </c>
      <c r="HQ200">
        <v>0</v>
      </c>
      <c r="HR200">
        <v>0</v>
      </c>
      <c r="HS200">
        <v>0</v>
      </c>
      <c r="HT200">
        <v>0</v>
      </c>
      <c r="HU200">
        <v>0</v>
      </c>
      <c r="HV200">
        <v>0</v>
      </c>
      <c r="HW200">
        <v>0</v>
      </c>
      <c r="HX200">
        <v>0</v>
      </c>
      <c r="HY200">
        <v>0</v>
      </c>
      <c r="HZ200">
        <v>0</v>
      </c>
      <c r="IA200">
        <v>0</v>
      </c>
      <c r="IB200">
        <v>0</v>
      </c>
      <c r="IC200">
        <v>0</v>
      </c>
      <c r="ID200">
        <v>0</v>
      </c>
      <c r="IE200">
        <v>0</v>
      </c>
      <c r="IF200">
        <v>0</v>
      </c>
      <c r="IG200">
        <v>0</v>
      </c>
      <c r="IH200">
        <v>0</v>
      </c>
      <c r="II200">
        <v>0</v>
      </c>
      <c r="IJ200">
        <v>0</v>
      </c>
      <c r="IK200">
        <v>0</v>
      </c>
      <c r="IL200">
        <v>0</v>
      </c>
      <c r="IM200">
        <v>0</v>
      </c>
      <c r="IN200">
        <v>0</v>
      </c>
      <c r="IO200">
        <v>0</v>
      </c>
      <c r="IP200">
        <v>0</v>
      </c>
      <c r="IQ200">
        <v>0</v>
      </c>
      <c r="IR200">
        <v>0</v>
      </c>
      <c r="IS200">
        <v>0</v>
      </c>
      <c r="IT200">
        <v>0</v>
      </c>
      <c r="IU200">
        <v>0</v>
      </c>
      <c r="IV200">
        <v>0</v>
      </c>
      <c r="IW200">
        <v>0</v>
      </c>
      <c r="IX200">
        <v>0</v>
      </c>
      <c r="IY200">
        <v>0</v>
      </c>
      <c r="IZ200">
        <v>0</v>
      </c>
      <c r="JA200">
        <v>0</v>
      </c>
      <c r="JB200">
        <v>0</v>
      </c>
      <c r="JC200">
        <v>0</v>
      </c>
      <c r="JD200">
        <v>0</v>
      </c>
      <c r="JE200">
        <v>0</v>
      </c>
      <c r="JF200">
        <v>0</v>
      </c>
      <c r="JG200">
        <v>0</v>
      </c>
      <c r="JH200">
        <v>0</v>
      </c>
      <c r="JI200">
        <v>0</v>
      </c>
      <c r="JJ200">
        <v>0</v>
      </c>
      <c r="JK200">
        <v>0</v>
      </c>
      <c r="JL200">
        <v>0</v>
      </c>
      <c r="JM200">
        <v>0</v>
      </c>
      <c r="JN200">
        <v>0</v>
      </c>
      <c r="JO200">
        <v>0</v>
      </c>
      <c r="JP200">
        <v>0</v>
      </c>
      <c r="JQ200">
        <v>0</v>
      </c>
      <c r="JR200">
        <v>0</v>
      </c>
      <c r="JS200">
        <v>0</v>
      </c>
      <c r="JT200">
        <v>0</v>
      </c>
      <c r="JU200">
        <v>0</v>
      </c>
      <c r="JV200">
        <v>0</v>
      </c>
      <c r="JW200">
        <v>0</v>
      </c>
      <c r="JX200">
        <v>0</v>
      </c>
      <c r="JY200">
        <v>0</v>
      </c>
      <c r="JZ200">
        <v>0</v>
      </c>
      <c r="KA200">
        <v>0</v>
      </c>
      <c r="KB200">
        <v>0</v>
      </c>
      <c r="KC200">
        <v>0</v>
      </c>
      <c r="KD200">
        <v>0</v>
      </c>
      <c r="KE200">
        <v>0</v>
      </c>
      <c r="KF200">
        <v>0</v>
      </c>
      <c r="KG200">
        <v>0</v>
      </c>
      <c r="KH200">
        <v>0</v>
      </c>
      <c r="KI200">
        <v>0</v>
      </c>
      <c r="KJ200">
        <v>0</v>
      </c>
      <c r="KK200">
        <v>0</v>
      </c>
      <c r="KL200">
        <v>0</v>
      </c>
      <c r="KM200">
        <v>0</v>
      </c>
      <c r="KN200">
        <v>0</v>
      </c>
      <c r="KO200">
        <v>0</v>
      </c>
      <c r="KP200">
        <v>0</v>
      </c>
      <c r="KQ200">
        <v>0</v>
      </c>
      <c r="KR200">
        <v>0</v>
      </c>
      <c r="KS200">
        <v>0</v>
      </c>
      <c r="KT200">
        <v>0</v>
      </c>
      <c r="KU200">
        <v>0</v>
      </c>
      <c r="KV200">
        <v>0</v>
      </c>
      <c r="KW200">
        <v>0</v>
      </c>
      <c r="KX200">
        <v>0</v>
      </c>
      <c r="KY200">
        <v>0</v>
      </c>
      <c r="KZ200">
        <v>0</v>
      </c>
      <c r="LA200">
        <v>0</v>
      </c>
      <c r="LB200">
        <v>0</v>
      </c>
      <c r="LC200">
        <v>0</v>
      </c>
      <c r="LD200">
        <v>0</v>
      </c>
      <c r="LE200">
        <v>0</v>
      </c>
      <c r="LF200">
        <v>0</v>
      </c>
      <c r="LG200">
        <v>0</v>
      </c>
      <c r="LH200">
        <v>0</v>
      </c>
      <c r="LI200">
        <v>0</v>
      </c>
      <c r="LJ200">
        <v>0</v>
      </c>
      <c r="LK200">
        <v>0</v>
      </c>
      <c r="LL200">
        <v>0</v>
      </c>
      <c r="LM200">
        <v>0</v>
      </c>
      <c r="LN200">
        <v>0</v>
      </c>
      <c r="LO200">
        <v>0</v>
      </c>
      <c r="LP200">
        <v>0</v>
      </c>
      <c r="LQ200">
        <v>0</v>
      </c>
      <c r="LR200">
        <v>0</v>
      </c>
      <c r="LS200">
        <v>0</v>
      </c>
      <c r="LT200">
        <v>0</v>
      </c>
      <c r="LU200">
        <v>0</v>
      </c>
      <c r="LV200">
        <v>0</v>
      </c>
      <c r="LW200">
        <v>0</v>
      </c>
      <c r="LX200">
        <v>0</v>
      </c>
      <c r="LY200">
        <v>0</v>
      </c>
      <c r="LZ200">
        <v>0</v>
      </c>
      <c r="MA200">
        <v>0</v>
      </c>
      <c r="MB200">
        <v>0</v>
      </c>
      <c r="MC200">
        <v>0</v>
      </c>
      <c r="MD200">
        <v>0</v>
      </c>
      <c r="ME200">
        <v>0</v>
      </c>
      <c r="MF200">
        <v>0</v>
      </c>
      <c r="MG200">
        <v>0</v>
      </c>
      <c r="MH200">
        <v>0</v>
      </c>
      <c r="MI200">
        <v>0</v>
      </c>
      <c r="MJ200">
        <v>0</v>
      </c>
      <c r="MK200">
        <v>0</v>
      </c>
      <c r="ML200">
        <v>0</v>
      </c>
      <c r="MM200">
        <v>0</v>
      </c>
      <c r="MN200">
        <v>0</v>
      </c>
      <c r="MO200">
        <v>0</v>
      </c>
      <c r="MP200">
        <v>0</v>
      </c>
      <c r="MQ200">
        <v>0</v>
      </c>
      <c r="MR200">
        <v>0</v>
      </c>
      <c r="MS200">
        <v>0</v>
      </c>
      <c r="MT200">
        <v>0</v>
      </c>
      <c r="MU200">
        <v>0</v>
      </c>
      <c r="MV200">
        <v>0</v>
      </c>
      <c r="MW200">
        <v>0</v>
      </c>
      <c r="MX200">
        <v>0</v>
      </c>
      <c r="MY200">
        <v>0</v>
      </c>
      <c r="MZ200">
        <v>0</v>
      </c>
      <c r="NA200">
        <v>0</v>
      </c>
      <c r="NB200">
        <v>0</v>
      </c>
      <c r="NC200">
        <v>0</v>
      </c>
      <c r="ND200">
        <v>0</v>
      </c>
      <c r="NE200">
        <v>0</v>
      </c>
    </row>
    <row r="201" spans="41:369" x14ac:dyDescent="0.45">
      <c r="AO201" t="str">
        <v>C157</v>
      </c>
      <c r="AP201" t="str">
        <v>HASAN YASIR</v>
      </c>
      <c r="AQ201" t="str">
        <v>BADF</v>
      </c>
      <c r="AR201" t="str">
        <v>SENIOR</v>
      </c>
      <c r="AS201">
        <v>6</v>
      </c>
      <c r="AT201">
        <v>1</v>
      </c>
      <c r="AU201">
        <v>0</v>
      </c>
      <c r="AV201">
        <v>1</v>
      </c>
      <c r="AW201">
        <v>1</v>
      </c>
      <c r="AX201">
        <v>231</v>
      </c>
      <c r="AY201" s="5">
        <v>231</v>
      </c>
      <c r="AZ201" t="str">
        <v>GN08</v>
      </c>
      <c r="BA201" t="str">
        <v>FATWA COUNCIL</v>
      </c>
      <c r="BB201" t="str">
        <v>GENERAL</v>
      </c>
      <c r="BC201" t="str">
        <v>Group</v>
      </c>
      <c r="BD201" t="str">
        <v>Stage</v>
      </c>
      <c r="BE201">
        <v>3</v>
      </c>
      <c r="BF201" t="str">
        <v>STARRED</v>
      </c>
      <c r="BG201" t="str">
        <v>STARRED</v>
      </c>
      <c r="BH201" t="str">
        <v>P</v>
      </c>
      <c r="BI201" t="str">
        <v>PUBLISHED</v>
      </c>
      <c r="BK201">
        <v>195</v>
      </c>
      <c r="BL201" t="str">
        <v>GN04</v>
      </c>
      <c r="BM201" t="str">
        <v>PROJECT BRANDING</v>
      </c>
      <c r="BN201">
        <v>0</v>
      </c>
      <c r="BO201" t="str">
        <v>Group</v>
      </c>
      <c r="BP201" t="str">
        <v>Non-Stg</v>
      </c>
      <c r="BQ201" t="str">
        <v>GENERAL</v>
      </c>
      <c r="BR201">
        <v>0</v>
      </c>
      <c r="BS201">
        <v>0</v>
      </c>
      <c r="BT201">
        <v>0</v>
      </c>
      <c r="BU201">
        <v>0</v>
      </c>
      <c r="BV201">
        <v>0</v>
      </c>
      <c r="BW201">
        <v>0</v>
      </c>
      <c r="BX201">
        <v>0</v>
      </c>
      <c r="BY201">
        <v>0</v>
      </c>
      <c r="BZ201">
        <v>0</v>
      </c>
      <c r="CA201">
        <v>0</v>
      </c>
      <c r="CB201">
        <v>0</v>
      </c>
      <c r="CC201">
        <v>0</v>
      </c>
      <c r="CD201">
        <v>0</v>
      </c>
      <c r="CE201">
        <v>0</v>
      </c>
      <c r="CF201">
        <v>0</v>
      </c>
      <c r="CG201">
        <v>0</v>
      </c>
      <c r="CH201">
        <v>0</v>
      </c>
      <c r="CI201">
        <v>0</v>
      </c>
      <c r="CJ201">
        <v>0</v>
      </c>
      <c r="CK201">
        <v>0</v>
      </c>
      <c r="CL201">
        <v>0</v>
      </c>
      <c r="CM201">
        <v>0</v>
      </c>
      <c r="CN201">
        <v>0</v>
      </c>
      <c r="CO201">
        <v>0</v>
      </c>
      <c r="CP201">
        <v>0</v>
      </c>
      <c r="CQ201">
        <v>0</v>
      </c>
      <c r="CR201">
        <v>0</v>
      </c>
      <c r="CS201">
        <v>0</v>
      </c>
      <c r="CT201">
        <v>0</v>
      </c>
      <c r="CU201">
        <v>0</v>
      </c>
      <c r="CV201">
        <v>0</v>
      </c>
      <c r="CW201">
        <v>0</v>
      </c>
      <c r="CX201">
        <v>0</v>
      </c>
      <c r="CY201">
        <v>0</v>
      </c>
      <c r="CZ201">
        <v>0</v>
      </c>
      <c r="DA201">
        <v>0</v>
      </c>
      <c r="DB201">
        <v>0</v>
      </c>
      <c r="DC201">
        <v>0</v>
      </c>
      <c r="DD201">
        <v>0</v>
      </c>
      <c r="DE201">
        <v>0</v>
      </c>
      <c r="DF201">
        <v>0</v>
      </c>
      <c r="DG201">
        <v>0</v>
      </c>
      <c r="DH201">
        <v>0</v>
      </c>
      <c r="DI201">
        <v>0</v>
      </c>
      <c r="DJ201">
        <v>0</v>
      </c>
      <c r="DK201">
        <v>0</v>
      </c>
      <c r="DL201">
        <v>0</v>
      </c>
      <c r="DM201">
        <v>0</v>
      </c>
      <c r="DN201">
        <v>0</v>
      </c>
      <c r="DO201">
        <v>0</v>
      </c>
      <c r="DP201">
        <v>0</v>
      </c>
      <c r="DQ201">
        <v>0</v>
      </c>
      <c r="DR201">
        <v>0</v>
      </c>
      <c r="DS201">
        <v>0</v>
      </c>
      <c r="DT201">
        <v>0</v>
      </c>
      <c r="DU201">
        <v>0</v>
      </c>
      <c r="DV201">
        <v>0</v>
      </c>
      <c r="DW201">
        <v>0</v>
      </c>
      <c r="DX201">
        <v>0</v>
      </c>
      <c r="DY201">
        <v>0</v>
      </c>
      <c r="DZ201">
        <v>0</v>
      </c>
      <c r="EA201">
        <v>0</v>
      </c>
      <c r="EB201">
        <v>0</v>
      </c>
      <c r="EC201">
        <v>0</v>
      </c>
      <c r="ED201">
        <v>0</v>
      </c>
      <c r="EE201">
        <v>0</v>
      </c>
      <c r="EF201">
        <v>0</v>
      </c>
      <c r="EG201">
        <v>0</v>
      </c>
      <c r="EH201">
        <v>0</v>
      </c>
      <c r="EI201">
        <v>0</v>
      </c>
      <c r="EJ201">
        <v>0</v>
      </c>
      <c r="EK201">
        <v>0</v>
      </c>
      <c r="EL201">
        <v>0</v>
      </c>
      <c r="EM201">
        <v>0</v>
      </c>
      <c r="EN201">
        <v>0</v>
      </c>
      <c r="EO201">
        <v>0</v>
      </c>
      <c r="EP201">
        <v>0</v>
      </c>
      <c r="EQ201">
        <v>0</v>
      </c>
      <c r="ER201">
        <v>0</v>
      </c>
      <c r="ES201">
        <v>0</v>
      </c>
      <c r="ET201">
        <v>0</v>
      </c>
      <c r="EU201">
        <v>0</v>
      </c>
      <c r="EV201">
        <v>0</v>
      </c>
      <c r="EW201">
        <v>0</v>
      </c>
      <c r="EX201">
        <v>0</v>
      </c>
      <c r="EY201">
        <v>0</v>
      </c>
      <c r="EZ201">
        <v>0</v>
      </c>
      <c r="FA201">
        <v>0</v>
      </c>
      <c r="FB201">
        <v>0</v>
      </c>
      <c r="FC201">
        <v>0</v>
      </c>
      <c r="FD201">
        <v>0</v>
      </c>
      <c r="FE201">
        <v>0</v>
      </c>
      <c r="FF201">
        <v>0</v>
      </c>
      <c r="FG201">
        <v>0</v>
      </c>
      <c r="FH201">
        <v>0</v>
      </c>
      <c r="FI201">
        <v>0</v>
      </c>
      <c r="FJ201">
        <v>0</v>
      </c>
      <c r="FK201">
        <v>0</v>
      </c>
      <c r="FL201">
        <v>0</v>
      </c>
      <c r="FM201">
        <v>0</v>
      </c>
      <c r="FN201">
        <v>0</v>
      </c>
      <c r="FO201">
        <v>0</v>
      </c>
      <c r="FP201">
        <v>0</v>
      </c>
      <c r="FQ201">
        <v>0</v>
      </c>
      <c r="FR201">
        <v>0</v>
      </c>
      <c r="FS201">
        <v>0</v>
      </c>
      <c r="FT201">
        <v>0</v>
      </c>
      <c r="FU201">
        <v>0</v>
      </c>
      <c r="FV201">
        <v>0</v>
      </c>
      <c r="FW201">
        <v>0</v>
      </c>
      <c r="FX201">
        <v>0</v>
      </c>
      <c r="FY201">
        <v>0</v>
      </c>
      <c r="FZ201">
        <v>0</v>
      </c>
      <c r="GA201">
        <v>0</v>
      </c>
      <c r="GB201">
        <v>0</v>
      </c>
      <c r="GC201">
        <v>0</v>
      </c>
      <c r="GD201">
        <v>0</v>
      </c>
      <c r="GE201">
        <v>0</v>
      </c>
      <c r="GF201">
        <v>0</v>
      </c>
      <c r="GG201">
        <v>0</v>
      </c>
      <c r="GH201">
        <v>0</v>
      </c>
      <c r="GI201">
        <v>0</v>
      </c>
      <c r="GJ201">
        <v>0</v>
      </c>
      <c r="GK201">
        <v>0</v>
      </c>
      <c r="GL201">
        <v>0</v>
      </c>
      <c r="GM201">
        <v>0</v>
      </c>
      <c r="GN201">
        <v>0</v>
      </c>
      <c r="GO201">
        <v>0</v>
      </c>
      <c r="GP201">
        <v>0</v>
      </c>
      <c r="GQ201">
        <v>0</v>
      </c>
      <c r="GR201">
        <v>0</v>
      </c>
      <c r="GS201">
        <v>0</v>
      </c>
      <c r="GT201">
        <v>0</v>
      </c>
      <c r="GU201">
        <v>0</v>
      </c>
      <c r="GV201">
        <v>0</v>
      </c>
      <c r="GW201">
        <v>0</v>
      </c>
      <c r="GX201">
        <v>0</v>
      </c>
      <c r="GY201">
        <v>0</v>
      </c>
      <c r="GZ201">
        <v>0</v>
      </c>
      <c r="HA201">
        <v>0</v>
      </c>
      <c r="HB201">
        <v>0</v>
      </c>
      <c r="HC201">
        <v>0</v>
      </c>
      <c r="HD201">
        <v>0</v>
      </c>
      <c r="HE201">
        <v>0</v>
      </c>
      <c r="HF201">
        <v>0</v>
      </c>
      <c r="HG201">
        <v>0</v>
      </c>
      <c r="HH201">
        <v>0</v>
      </c>
      <c r="HI201">
        <v>0</v>
      </c>
      <c r="HJ201">
        <v>0</v>
      </c>
      <c r="HK201">
        <v>0</v>
      </c>
      <c r="HL201">
        <v>0</v>
      </c>
      <c r="HM201">
        <v>0</v>
      </c>
      <c r="HN201">
        <v>0</v>
      </c>
      <c r="HO201">
        <v>0</v>
      </c>
      <c r="HP201">
        <v>0</v>
      </c>
      <c r="HQ201">
        <v>0</v>
      </c>
      <c r="HR201">
        <v>0</v>
      </c>
      <c r="HS201">
        <v>0</v>
      </c>
      <c r="HT201">
        <v>0</v>
      </c>
      <c r="HU201">
        <v>0</v>
      </c>
      <c r="HV201">
        <v>0</v>
      </c>
      <c r="HW201">
        <v>0</v>
      </c>
      <c r="HX201">
        <v>0</v>
      </c>
      <c r="HY201">
        <v>0</v>
      </c>
      <c r="HZ201">
        <v>0</v>
      </c>
      <c r="IA201">
        <v>0</v>
      </c>
      <c r="IB201">
        <v>0</v>
      </c>
      <c r="IC201">
        <v>0</v>
      </c>
      <c r="ID201">
        <v>0</v>
      </c>
      <c r="IE201">
        <v>0</v>
      </c>
      <c r="IF201">
        <v>0</v>
      </c>
      <c r="IG201">
        <v>0</v>
      </c>
      <c r="IH201">
        <v>0</v>
      </c>
      <c r="II201">
        <v>0</v>
      </c>
      <c r="IJ201">
        <v>0</v>
      </c>
      <c r="IK201">
        <v>0</v>
      </c>
      <c r="IL201">
        <v>0</v>
      </c>
      <c r="IM201">
        <v>0</v>
      </c>
      <c r="IN201">
        <v>0</v>
      </c>
      <c r="IO201">
        <v>0</v>
      </c>
      <c r="IP201">
        <v>0</v>
      </c>
      <c r="IQ201">
        <v>0</v>
      </c>
      <c r="IR201">
        <v>0</v>
      </c>
      <c r="IS201">
        <v>0</v>
      </c>
      <c r="IT201">
        <v>0</v>
      </c>
      <c r="IU201">
        <v>0</v>
      </c>
      <c r="IV201">
        <v>0</v>
      </c>
      <c r="IW201">
        <v>0</v>
      </c>
      <c r="IX201">
        <v>0</v>
      </c>
      <c r="IY201">
        <v>0</v>
      </c>
      <c r="IZ201">
        <v>0</v>
      </c>
      <c r="JA201">
        <v>0</v>
      </c>
      <c r="JB201">
        <v>0</v>
      </c>
      <c r="JC201">
        <v>0</v>
      </c>
      <c r="JD201">
        <v>0</v>
      </c>
      <c r="JE201">
        <v>0</v>
      </c>
      <c r="JF201">
        <v>0</v>
      </c>
      <c r="JG201">
        <v>0</v>
      </c>
      <c r="JH201">
        <v>0</v>
      </c>
      <c r="JI201">
        <v>0</v>
      </c>
      <c r="JJ201">
        <v>0</v>
      </c>
      <c r="JK201">
        <v>0</v>
      </c>
      <c r="JL201">
        <v>0</v>
      </c>
      <c r="JM201">
        <v>0</v>
      </c>
      <c r="JN201">
        <v>0</v>
      </c>
      <c r="JO201">
        <v>0</v>
      </c>
      <c r="JP201">
        <v>0</v>
      </c>
      <c r="JQ201">
        <v>0</v>
      </c>
      <c r="JR201">
        <v>0</v>
      </c>
      <c r="JS201">
        <v>0</v>
      </c>
      <c r="JT201">
        <v>0</v>
      </c>
      <c r="JU201">
        <v>0</v>
      </c>
      <c r="JV201">
        <v>0</v>
      </c>
      <c r="JW201">
        <v>0</v>
      </c>
      <c r="JX201">
        <v>0</v>
      </c>
      <c r="JY201">
        <v>0</v>
      </c>
      <c r="JZ201">
        <v>0</v>
      </c>
      <c r="KA201">
        <v>0</v>
      </c>
      <c r="KB201">
        <v>0</v>
      </c>
      <c r="KC201">
        <v>0</v>
      </c>
      <c r="KD201">
        <v>0</v>
      </c>
      <c r="KE201">
        <v>0</v>
      </c>
      <c r="KF201">
        <v>0</v>
      </c>
      <c r="KG201">
        <v>0</v>
      </c>
      <c r="KH201">
        <v>0</v>
      </c>
      <c r="KI201">
        <v>0</v>
      </c>
      <c r="KJ201">
        <v>0</v>
      </c>
      <c r="KK201">
        <v>0</v>
      </c>
      <c r="KL201">
        <v>0</v>
      </c>
      <c r="KM201">
        <v>0</v>
      </c>
      <c r="KN201">
        <v>0</v>
      </c>
      <c r="KO201">
        <v>0</v>
      </c>
      <c r="KP201">
        <v>0</v>
      </c>
      <c r="KQ201">
        <v>0</v>
      </c>
      <c r="KR201">
        <v>0</v>
      </c>
      <c r="KS201">
        <v>0</v>
      </c>
      <c r="KT201">
        <v>0</v>
      </c>
      <c r="KU201">
        <v>0</v>
      </c>
      <c r="KV201">
        <v>0</v>
      </c>
      <c r="KW201">
        <v>0</v>
      </c>
      <c r="KX201">
        <v>0</v>
      </c>
      <c r="KY201">
        <v>0</v>
      </c>
      <c r="KZ201">
        <v>0</v>
      </c>
      <c r="LA201">
        <v>0</v>
      </c>
      <c r="LB201">
        <v>0</v>
      </c>
      <c r="LC201">
        <v>0</v>
      </c>
      <c r="LD201">
        <v>0</v>
      </c>
      <c r="LE201">
        <v>0</v>
      </c>
      <c r="LF201">
        <v>0</v>
      </c>
      <c r="LG201">
        <v>0</v>
      </c>
      <c r="LH201">
        <v>0</v>
      </c>
      <c r="LI201">
        <v>0</v>
      </c>
      <c r="LJ201">
        <v>0</v>
      </c>
      <c r="LK201">
        <v>0</v>
      </c>
      <c r="LL201">
        <v>0</v>
      </c>
      <c r="LM201">
        <v>0</v>
      </c>
      <c r="LN201">
        <v>0</v>
      </c>
      <c r="LO201">
        <v>0</v>
      </c>
      <c r="LP201">
        <v>0</v>
      </c>
      <c r="LQ201">
        <v>0</v>
      </c>
      <c r="LR201">
        <v>0</v>
      </c>
      <c r="LS201">
        <v>0</v>
      </c>
      <c r="LT201">
        <v>0</v>
      </c>
      <c r="LU201">
        <v>0</v>
      </c>
      <c r="LV201">
        <v>0</v>
      </c>
      <c r="LW201">
        <v>0</v>
      </c>
      <c r="LX201">
        <v>0</v>
      </c>
      <c r="LY201">
        <v>0</v>
      </c>
      <c r="LZ201">
        <v>0</v>
      </c>
      <c r="MA201">
        <v>0</v>
      </c>
      <c r="MB201">
        <v>0</v>
      </c>
      <c r="MC201">
        <v>0</v>
      </c>
      <c r="MD201">
        <v>0</v>
      </c>
      <c r="ME201">
        <v>0</v>
      </c>
      <c r="MF201">
        <v>0</v>
      </c>
      <c r="MG201">
        <v>0</v>
      </c>
      <c r="MH201">
        <v>0</v>
      </c>
      <c r="MI201">
        <v>0</v>
      </c>
      <c r="MJ201">
        <v>0</v>
      </c>
      <c r="MK201">
        <v>0</v>
      </c>
      <c r="ML201">
        <v>0</v>
      </c>
      <c r="MM201">
        <v>0</v>
      </c>
      <c r="MN201">
        <v>0</v>
      </c>
      <c r="MO201">
        <v>0</v>
      </c>
      <c r="MP201">
        <v>0</v>
      </c>
      <c r="MQ201">
        <v>0</v>
      </c>
      <c r="MR201">
        <v>0</v>
      </c>
      <c r="MS201">
        <v>0</v>
      </c>
      <c r="MT201">
        <v>0</v>
      </c>
      <c r="MU201">
        <v>0</v>
      </c>
      <c r="MV201">
        <v>0</v>
      </c>
      <c r="MW201">
        <v>0</v>
      </c>
      <c r="MX201">
        <v>0</v>
      </c>
      <c r="MY201">
        <v>0</v>
      </c>
      <c r="MZ201">
        <v>0</v>
      </c>
      <c r="NA201">
        <v>0</v>
      </c>
      <c r="NB201">
        <v>0</v>
      </c>
      <c r="NC201">
        <v>0</v>
      </c>
      <c r="ND201">
        <v>0</v>
      </c>
      <c r="NE201">
        <v>0</v>
      </c>
    </row>
    <row r="202" spans="41:369" x14ac:dyDescent="0.45">
      <c r="AO202" t="str">
        <v>C158</v>
      </c>
      <c r="AP202" t="str">
        <v>ABDUL FATHAH AHAMMED C</v>
      </c>
      <c r="AQ202" t="str">
        <v>DAHF</v>
      </c>
      <c r="AR202" t="str">
        <v>SENIOR</v>
      </c>
      <c r="AS202">
        <v>6</v>
      </c>
      <c r="AT202">
        <v>6</v>
      </c>
      <c r="AU202">
        <v>0</v>
      </c>
      <c r="AV202">
        <v>6</v>
      </c>
      <c r="AW202">
        <v>6</v>
      </c>
      <c r="AX202">
        <v>171</v>
      </c>
      <c r="AY202" s="5">
        <v>171</v>
      </c>
      <c r="AZ202" t="str">
        <v>GN09</v>
      </c>
      <c r="BA202" t="str">
        <v>FIQHI DEMO</v>
      </c>
      <c r="BB202" t="str">
        <v>GENERAL</v>
      </c>
      <c r="BC202" t="str">
        <v>Group</v>
      </c>
      <c r="BD202" t="str">
        <v>Stage</v>
      </c>
      <c r="BE202">
        <v>0</v>
      </c>
      <c r="BF202" t="str">
        <v>STARRED</v>
      </c>
      <c r="BG202" t="str">
        <v>STARRED</v>
      </c>
      <c r="BH202" t="str">
        <v>P</v>
      </c>
      <c r="BI202" t="str">
        <v>PUBLISHED</v>
      </c>
      <c r="BK202">
        <v>196</v>
      </c>
      <c r="BL202" t="str">
        <v>GN05</v>
      </c>
      <c r="BM202" t="str">
        <v>WALL PAINTING</v>
      </c>
      <c r="BN202">
        <v>0</v>
      </c>
      <c r="BO202" t="str">
        <v>Group</v>
      </c>
      <c r="BP202" t="str">
        <v>Non-Stg</v>
      </c>
      <c r="BQ202" t="str">
        <v>GENERAL</v>
      </c>
      <c r="BR202">
        <v>0</v>
      </c>
      <c r="BS202">
        <v>0</v>
      </c>
      <c r="BT202">
        <v>0</v>
      </c>
      <c r="BU202">
        <v>0</v>
      </c>
      <c r="BV202">
        <v>0</v>
      </c>
      <c r="BW202">
        <v>0</v>
      </c>
      <c r="BX202">
        <v>0</v>
      </c>
      <c r="BY202">
        <v>0</v>
      </c>
      <c r="BZ202">
        <v>0</v>
      </c>
      <c r="CA202">
        <v>0</v>
      </c>
      <c r="CB202">
        <v>0</v>
      </c>
      <c r="CC202">
        <v>0</v>
      </c>
      <c r="CD202">
        <v>0</v>
      </c>
      <c r="CE202">
        <v>0</v>
      </c>
      <c r="CF202">
        <v>0</v>
      </c>
      <c r="CG202">
        <v>0</v>
      </c>
      <c r="CH202">
        <v>0</v>
      </c>
      <c r="CI202">
        <v>0</v>
      </c>
      <c r="CJ202">
        <v>0</v>
      </c>
      <c r="CK202">
        <v>0</v>
      </c>
      <c r="CL202">
        <v>0</v>
      </c>
      <c r="CM202">
        <v>0</v>
      </c>
      <c r="CN202">
        <v>0</v>
      </c>
      <c r="CO202">
        <v>0</v>
      </c>
      <c r="CP202">
        <v>0</v>
      </c>
      <c r="CQ202">
        <v>0</v>
      </c>
      <c r="CR202">
        <v>0</v>
      </c>
      <c r="CS202">
        <v>0</v>
      </c>
      <c r="CT202">
        <v>0</v>
      </c>
      <c r="CU202">
        <v>0</v>
      </c>
      <c r="CV202">
        <v>0</v>
      </c>
      <c r="CW202">
        <v>0</v>
      </c>
      <c r="CX202">
        <v>0</v>
      </c>
      <c r="CY202">
        <v>0</v>
      </c>
      <c r="CZ202">
        <v>0</v>
      </c>
      <c r="DA202">
        <v>0</v>
      </c>
      <c r="DB202">
        <v>0</v>
      </c>
      <c r="DC202">
        <v>0</v>
      </c>
      <c r="DD202">
        <v>0</v>
      </c>
      <c r="DE202">
        <v>0</v>
      </c>
      <c r="DF202">
        <v>0</v>
      </c>
      <c r="DG202">
        <v>0</v>
      </c>
      <c r="DH202">
        <v>0</v>
      </c>
      <c r="DI202">
        <v>0</v>
      </c>
      <c r="DJ202">
        <v>0</v>
      </c>
      <c r="DK202">
        <v>0</v>
      </c>
      <c r="DL202">
        <v>0</v>
      </c>
      <c r="DM202">
        <v>0</v>
      </c>
      <c r="DN202">
        <v>0</v>
      </c>
      <c r="DO202">
        <v>0</v>
      </c>
      <c r="DP202">
        <v>0</v>
      </c>
      <c r="DQ202">
        <v>0</v>
      </c>
      <c r="DR202">
        <v>0</v>
      </c>
      <c r="DS202">
        <v>0</v>
      </c>
      <c r="DT202">
        <v>0</v>
      </c>
      <c r="DU202">
        <v>0</v>
      </c>
      <c r="DV202">
        <v>0</v>
      </c>
      <c r="DW202">
        <v>0</v>
      </c>
      <c r="DX202">
        <v>0</v>
      </c>
      <c r="DY202">
        <v>0</v>
      </c>
      <c r="DZ202">
        <v>0</v>
      </c>
      <c r="EA202">
        <v>0</v>
      </c>
      <c r="EB202">
        <v>0</v>
      </c>
      <c r="EC202">
        <v>0</v>
      </c>
      <c r="ED202">
        <v>0</v>
      </c>
      <c r="EE202">
        <v>0</v>
      </c>
      <c r="EF202">
        <v>0</v>
      </c>
      <c r="EG202">
        <v>0</v>
      </c>
      <c r="EH202">
        <v>0</v>
      </c>
      <c r="EI202">
        <v>0</v>
      </c>
      <c r="EJ202">
        <v>0</v>
      </c>
      <c r="EK202">
        <v>0</v>
      </c>
      <c r="EL202">
        <v>0</v>
      </c>
      <c r="EM202">
        <v>0</v>
      </c>
      <c r="EN202">
        <v>0</v>
      </c>
      <c r="EO202">
        <v>0</v>
      </c>
      <c r="EP202">
        <v>0</v>
      </c>
      <c r="EQ202">
        <v>0</v>
      </c>
      <c r="ER202">
        <v>0</v>
      </c>
      <c r="ES202">
        <v>0</v>
      </c>
      <c r="ET202">
        <v>0</v>
      </c>
      <c r="EU202">
        <v>0</v>
      </c>
      <c r="EV202">
        <v>0</v>
      </c>
      <c r="EW202">
        <v>0</v>
      </c>
      <c r="EX202">
        <v>0</v>
      </c>
      <c r="EY202">
        <v>0</v>
      </c>
      <c r="EZ202">
        <v>0</v>
      </c>
      <c r="FA202">
        <v>0</v>
      </c>
      <c r="FB202">
        <v>0</v>
      </c>
      <c r="FC202">
        <v>0</v>
      </c>
      <c r="FD202">
        <v>0</v>
      </c>
      <c r="FE202">
        <v>0</v>
      </c>
      <c r="FF202">
        <v>0</v>
      </c>
      <c r="FG202">
        <v>0</v>
      </c>
      <c r="FH202">
        <v>0</v>
      </c>
      <c r="FI202">
        <v>0</v>
      </c>
      <c r="FJ202">
        <v>0</v>
      </c>
      <c r="FK202">
        <v>0</v>
      </c>
      <c r="FL202">
        <v>0</v>
      </c>
      <c r="FM202">
        <v>0</v>
      </c>
      <c r="FN202">
        <v>0</v>
      </c>
      <c r="FO202">
        <v>0</v>
      </c>
      <c r="FP202">
        <v>0</v>
      </c>
      <c r="FQ202">
        <v>0</v>
      </c>
      <c r="FR202">
        <v>0</v>
      </c>
      <c r="FS202">
        <v>0</v>
      </c>
      <c r="FT202">
        <v>0</v>
      </c>
      <c r="FU202">
        <v>0</v>
      </c>
      <c r="FV202">
        <v>0</v>
      </c>
      <c r="FW202">
        <v>0</v>
      </c>
      <c r="FX202">
        <v>0</v>
      </c>
      <c r="FY202">
        <v>0</v>
      </c>
      <c r="FZ202">
        <v>0</v>
      </c>
      <c r="GA202">
        <v>0</v>
      </c>
      <c r="GB202">
        <v>0</v>
      </c>
      <c r="GC202">
        <v>0</v>
      </c>
      <c r="GD202">
        <v>0</v>
      </c>
      <c r="GE202">
        <v>0</v>
      </c>
      <c r="GF202">
        <v>0</v>
      </c>
      <c r="GG202">
        <v>0</v>
      </c>
      <c r="GH202">
        <v>0</v>
      </c>
      <c r="GI202">
        <v>0</v>
      </c>
      <c r="GJ202">
        <v>0</v>
      </c>
      <c r="GK202">
        <v>0</v>
      </c>
      <c r="GL202">
        <v>0</v>
      </c>
      <c r="GM202">
        <v>0</v>
      </c>
      <c r="GN202">
        <v>0</v>
      </c>
      <c r="GO202">
        <v>0</v>
      </c>
      <c r="GP202">
        <v>0</v>
      </c>
      <c r="GQ202">
        <v>0</v>
      </c>
      <c r="GR202">
        <v>0</v>
      </c>
      <c r="GS202">
        <v>0</v>
      </c>
      <c r="GT202">
        <v>0</v>
      </c>
      <c r="GU202">
        <v>0</v>
      </c>
      <c r="GV202">
        <v>0</v>
      </c>
      <c r="GW202">
        <v>0</v>
      </c>
      <c r="GX202">
        <v>0</v>
      </c>
      <c r="GY202">
        <v>0</v>
      </c>
      <c r="GZ202">
        <v>0</v>
      </c>
      <c r="HA202">
        <v>0</v>
      </c>
      <c r="HB202">
        <v>0</v>
      </c>
      <c r="HC202">
        <v>0</v>
      </c>
      <c r="HD202">
        <v>0</v>
      </c>
      <c r="HE202">
        <v>0</v>
      </c>
      <c r="HF202">
        <v>0</v>
      </c>
      <c r="HG202">
        <v>0</v>
      </c>
      <c r="HH202">
        <v>0</v>
      </c>
      <c r="HI202">
        <v>0</v>
      </c>
      <c r="HJ202">
        <v>0</v>
      </c>
      <c r="HK202">
        <v>0</v>
      </c>
      <c r="HL202">
        <v>0</v>
      </c>
      <c r="HM202">
        <v>0</v>
      </c>
      <c r="HN202">
        <v>0</v>
      </c>
      <c r="HO202">
        <v>0</v>
      </c>
      <c r="HP202">
        <v>0</v>
      </c>
      <c r="HQ202">
        <v>0</v>
      </c>
      <c r="HR202">
        <v>0</v>
      </c>
      <c r="HS202">
        <v>0</v>
      </c>
      <c r="HT202">
        <v>0</v>
      </c>
      <c r="HU202">
        <v>0</v>
      </c>
      <c r="HV202">
        <v>0</v>
      </c>
      <c r="HW202">
        <v>0</v>
      </c>
      <c r="HX202">
        <v>0</v>
      </c>
      <c r="HY202">
        <v>0</v>
      </c>
      <c r="HZ202">
        <v>0</v>
      </c>
      <c r="IA202">
        <v>0</v>
      </c>
      <c r="IB202">
        <v>0</v>
      </c>
      <c r="IC202">
        <v>0</v>
      </c>
      <c r="ID202">
        <v>0</v>
      </c>
      <c r="IE202">
        <v>0</v>
      </c>
      <c r="IF202">
        <v>0</v>
      </c>
      <c r="IG202">
        <v>0</v>
      </c>
      <c r="IH202">
        <v>0</v>
      </c>
      <c r="II202">
        <v>0</v>
      </c>
      <c r="IJ202">
        <v>0</v>
      </c>
      <c r="IK202">
        <v>0</v>
      </c>
      <c r="IL202">
        <v>0</v>
      </c>
      <c r="IM202">
        <v>0</v>
      </c>
      <c r="IN202">
        <v>0</v>
      </c>
      <c r="IO202">
        <v>0</v>
      </c>
      <c r="IP202">
        <v>0</v>
      </c>
      <c r="IQ202">
        <v>0</v>
      </c>
      <c r="IR202">
        <v>0</v>
      </c>
      <c r="IS202">
        <v>0</v>
      </c>
      <c r="IT202">
        <v>0</v>
      </c>
      <c r="IU202">
        <v>0</v>
      </c>
      <c r="IV202">
        <v>0</v>
      </c>
      <c r="IW202">
        <v>0</v>
      </c>
      <c r="IX202">
        <v>0</v>
      </c>
      <c r="IY202">
        <v>0</v>
      </c>
      <c r="IZ202">
        <v>0</v>
      </c>
      <c r="JA202">
        <v>0</v>
      </c>
      <c r="JB202">
        <v>0</v>
      </c>
      <c r="JC202">
        <v>0</v>
      </c>
      <c r="JD202">
        <v>0</v>
      </c>
      <c r="JE202">
        <v>0</v>
      </c>
      <c r="JF202">
        <v>0</v>
      </c>
      <c r="JG202">
        <v>0</v>
      </c>
      <c r="JH202">
        <v>0</v>
      </c>
      <c r="JI202">
        <v>0</v>
      </c>
      <c r="JJ202">
        <v>0</v>
      </c>
      <c r="JK202">
        <v>0</v>
      </c>
      <c r="JL202">
        <v>0</v>
      </c>
      <c r="JM202">
        <v>0</v>
      </c>
      <c r="JN202">
        <v>0</v>
      </c>
      <c r="JO202">
        <v>0</v>
      </c>
      <c r="JP202">
        <v>0</v>
      </c>
      <c r="JQ202">
        <v>0</v>
      </c>
      <c r="JR202">
        <v>0</v>
      </c>
      <c r="JS202">
        <v>0</v>
      </c>
      <c r="JT202">
        <v>0</v>
      </c>
      <c r="JU202">
        <v>0</v>
      </c>
      <c r="JV202">
        <v>0</v>
      </c>
      <c r="JW202">
        <v>0</v>
      </c>
      <c r="JX202">
        <v>0</v>
      </c>
      <c r="JY202">
        <v>0</v>
      </c>
      <c r="JZ202">
        <v>0</v>
      </c>
      <c r="KA202">
        <v>0</v>
      </c>
      <c r="KB202">
        <v>0</v>
      </c>
      <c r="KC202">
        <v>0</v>
      </c>
      <c r="KD202">
        <v>0</v>
      </c>
      <c r="KE202">
        <v>0</v>
      </c>
      <c r="KF202">
        <v>0</v>
      </c>
      <c r="KG202">
        <v>0</v>
      </c>
      <c r="KH202">
        <v>0</v>
      </c>
      <c r="KI202">
        <v>0</v>
      </c>
      <c r="KJ202">
        <v>0</v>
      </c>
      <c r="KK202">
        <v>0</v>
      </c>
      <c r="KL202">
        <v>0</v>
      </c>
      <c r="KM202">
        <v>0</v>
      </c>
      <c r="KN202">
        <v>0</v>
      </c>
      <c r="KO202">
        <v>0</v>
      </c>
      <c r="KP202">
        <v>0</v>
      </c>
      <c r="KQ202">
        <v>0</v>
      </c>
      <c r="KR202">
        <v>0</v>
      </c>
      <c r="KS202">
        <v>0</v>
      </c>
      <c r="KT202">
        <v>0</v>
      </c>
      <c r="KU202">
        <v>0</v>
      </c>
      <c r="KV202">
        <v>0</v>
      </c>
      <c r="KW202">
        <v>0</v>
      </c>
      <c r="KX202">
        <v>0</v>
      </c>
      <c r="KY202">
        <v>0</v>
      </c>
      <c r="KZ202">
        <v>0</v>
      </c>
      <c r="LA202">
        <v>0</v>
      </c>
      <c r="LB202">
        <v>0</v>
      </c>
      <c r="LC202">
        <v>0</v>
      </c>
      <c r="LD202">
        <v>0</v>
      </c>
      <c r="LE202">
        <v>0</v>
      </c>
      <c r="LF202">
        <v>0</v>
      </c>
      <c r="LG202">
        <v>0</v>
      </c>
      <c r="LH202">
        <v>0</v>
      </c>
      <c r="LI202">
        <v>0</v>
      </c>
      <c r="LJ202">
        <v>0</v>
      </c>
      <c r="LK202">
        <v>0</v>
      </c>
      <c r="LL202">
        <v>0</v>
      </c>
      <c r="LM202">
        <v>0</v>
      </c>
      <c r="LN202">
        <v>0</v>
      </c>
      <c r="LO202">
        <v>0</v>
      </c>
      <c r="LP202">
        <v>0</v>
      </c>
      <c r="LQ202">
        <v>0</v>
      </c>
      <c r="LR202">
        <v>0</v>
      </c>
      <c r="LS202">
        <v>0</v>
      </c>
      <c r="LT202">
        <v>0</v>
      </c>
      <c r="LU202">
        <v>0</v>
      </c>
      <c r="LV202">
        <v>0</v>
      </c>
      <c r="LW202">
        <v>0</v>
      </c>
      <c r="LX202">
        <v>0</v>
      </c>
      <c r="LY202">
        <v>0</v>
      </c>
      <c r="LZ202">
        <v>0</v>
      </c>
      <c r="MA202">
        <v>0</v>
      </c>
      <c r="MB202">
        <v>0</v>
      </c>
      <c r="MC202">
        <v>0</v>
      </c>
      <c r="MD202">
        <v>0</v>
      </c>
      <c r="ME202">
        <v>0</v>
      </c>
      <c r="MF202">
        <v>0</v>
      </c>
      <c r="MG202">
        <v>0</v>
      </c>
      <c r="MH202">
        <v>0</v>
      </c>
      <c r="MI202">
        <v>0</v>
      </c>
      <c r="MJ202">
        <v>0</v>
      </c>
      <c r="MK202">
        <v>0</v>
      </c>
      <c r="ML202">
        <v>0</v>
      </c>
      <c r="MM202">
        <v>0</v>
      </c>
      <c r="MN202">
        <v>0</v>
      </c>
      <c r="MO202">
        <v>0</v>
      </c>
      <c r="MP202">
        <v>0</v>
      </c>
      <c r="MQ202">
        <v>0</v>
      </c>
      <c r="MR202">
        <v>0</v>
      </c>
      <c r="MS202">
        <v>0</v>
      </c>
      <c r="MT202">
        <v>0</v>
      </c>
      <c r="MU202">
        <v>0</v>
      </c>
      <c r="MV202">
        <v>0</v>
      </c>
      <c r="MW202">
        <v>0</v>
      </c>
      <c r="MX202">
        <v>0</v>
      </c>
      <c r="MY202">
        <v>0</v>
      </c>
      <c r="MZ202">
        <v>0</v>
      </c>
      <c r="NA202">
        <v>0</v>
      </c>
      <c r="NB202">
        <v>0</v>
      </c>
      <c r="NC202">
        <v>0</v>
      </c>
      <c r="ND202">
        <v>0</v>
      </c>
      <c r="NE202">
        <v>0</v>
      </c>
    </row>
    <row r="203" spans="41:369" x14ac:dyDescent="0.45">
      <c r="AO203" t="str">
        <v>C159</v>
      </c>
      <c r="AP203" t="str">
        <v>MUHAMMED KAIF BS</v>
      </c>
      <c r="AQ203" t="str">
        <v>BADF</v>
      </c>
      <c r="AR203" t="str">
        <v>SENIOR</v>
      </c>
      <c r="AS203">
        <v>6</v>
      </c>
      <c r="AT203">
        <v>12</v>
      </c>
      <c r="AU203">
        <v>0</v>
      </c>
      <c r="AV203">
        <v>12</v>
      </c>
      <c r="AW203">
        <v>12</v>
      </c>
      <c r="AX203">
        <v>119</v>
      </c>
      <c r="AY203" s="5">
        <v>119</v>
      </c>
      <c r="AZ203" t="str">
        <v>GN10</v>
      </c>
      <c r="BA203" t="str">
        <v>ISHQE RASOOL</v>
      </c>
      <c r="BB203" t="str">
        <v>GENERAL</v>
      </c>
      <c r="BC203" t="str">
        <v>Group</v>
      </c>
      <c r="BD203" t="str">
        <v>Stage</v>
      </c>
      <c r="BE203">
        <v>6</v>
      </c>
      <c r="BF203" t="str">
        <v>General</v>
      </c>
      <c r="BG203" t="str">
        <v>General</v>
      </c>
      <c r="BH203" t="str">
        <v>P</v>
      </c>
      <c r="BI203" t="str">
        <v>PUBLISHED</v>
      </c>
      <c r="BK203">
        <v>197</v>
      </c>
      <c r="BL203" t="str">
        <v>GN06</v>
      </c>
      <c r="BM203" t="str">
        <v>CAMPUS BRAIN</v>
      </c>
      <c r="BN203">
        <v>1</v>
      </c>
      <c r="BO203" t="str">
        <v>Group</v>
      </c>
      <c r="BP203" t="str">
        <v>Stage</v>
      </c>
      <c r="BQ203" t="str">
        <v>GENERAL</v>
      </c>
      <c r="BR203" t="str">
        <v>D133</v>
      </c>
      <c r="BS203">
        <v>0</v>
      </c>
      <c r="BT203">
        <v>0</v>
      </c>
      <c r="BU203">
        <v>0</v>
      </c>
      <c r="BV203">
        <v>0</v>
      </c>
      <c r="BW203">
        <v>0</v>
      </c>
      <c r="BX203">
        <v>0</v>
      </c>
      <c r="BY203" t="str">
        <v>C133</v>
      </c>
      <c r="BZ203">
        <v>0</v>
      </c>
      <c r="CA203">
        <v>0</v>
      </c>
      <c r="CB203">
        <v>0</v>
      </c>
      <c r="CC203">
        <v>0</v>
      </c>
      <c r="CD203">
        <v>0</v>
      </c>
      <c r="CE203">
        <v>0</v>
      </c>
      <c r="CF203" t="str">
        <v>D110</v>
      </c>
      <c r="CG203">
        <v>0</v>
      </c>
      <c r="CH203">
        <v>0</v>
      </c>
      <c r="CI203">
        <v>0</v>
      </c>
      <c r="CJ203">
        <v>0</v>
      </c>
      <c r="CK203">
        <v>0</v>
      </c>
      <c r="CL203">
        <v>0</v>
      </c>
      <c r="CM203" t="str">
        <v>D194</v>
      </c>
      <c r="CN203">
        <v>0</v>
      </c>
      <c r="CO203">
        <v>0</v>
      </c>
      <c r="CP203">
        <v>0</v>
      </c>
      <c r="CQ203">
        <v>0</v>
      </c>
      <c r="CR203">
        <v>0</v>
      </c>
      <c r="CS203">
        <v>0</v>
      </c>
      <c r="CT203">
        <v>0</v>
      </c>
      <c r="CU203">
        <v>0</v>
      </c>
      <c r="CV203">
        <v>0</v>
      </c>
      <c r="CW203">
        <v>0</v>
      </c>
      <c r="CX203">
        <v>0</v>
      </c>
      <c r="CY203">
        <v>0</v>
      </c>
      <c r="CZ203">
        <v>0</v>
      </c>
      <c r="DA203">
        <v>0</v>
      </c>
      <c r="DB203">
        <v>0</v>
      </c>
      <c r="DC203">
        <v>0</v>
      </c>
      <c r="DD203">
        <v>0</v>
      </c>
      <c r="DE203">
        <v>0</v>
      </c>
      <c r="DF203">
        <v>0</v>
      </c>
      <c r="DG203">
        <v>0</v>
      </c>
      <c r="DH203">
        <v>0</v>
      </c>
      <c r="DI203">
        <v>0</v>
      </c>
      <c r="DJ203">
        <v>0</v>
      </c>
      <c r="DK203">
        <v>0</v>
      </c>
      <c r="DL203">
        <v>0</v>
      </c>
      <c r="DM203">
        <v>0</v>
      </c>
      <c r="DN203">
        <v>0</v>
      </c>
      <c r="DO203">
        <v>0</v>
      </c>
      <c r="DP203">
        <v>0</v>
      </c>
      <c r="DQ203">
        <v>0</v>
      </c>
      <c r="DR203">
        <v>0</v>
      </c>
      <c r="DS203">
        <v>0</v>
      </c>
      <c r="DT203">
        <v>0</v>
      </c>
      <c r="DU203">
        <v>0</v>
      </c>
      <c r="DV203">
        <v>0</v>
      </c>
      <c r="DW203">
        <v>0</v>
      </c>
      <c r="DX203">
        <v>0</v>
      </c>
      <c r="DY203">
        <v>0</v>
      </c>
      <c r="DZ203">
        <v>0</v>
      </c>
      <c r="EA203">
        <v>0</v>
      </c>
      <c r="EB203">
        <v>0</v>
      </c>
      <c r="EC203">
        <v>0</v>
      </c>
      <c r="ED203">
        <v>0</v>
      </c>
      <c r="EE203">
        <v>0</v>
      </c>
      <c r="EF203">
        <v>0</v>
      </c>
      <c r="EG203">
        <v>0</v>
      </c>
      <c r="EH203">
        <v>0</v>
      </c>
      <c r="EI203">
        <v>0</v>
      </c>
      <c r="EJ203">
        <v>0</v>
      </c>
      <c r="EK203">
        <v>0</v>
      </c>
      <c r="EL203">
        <v>0</v>
      </c>
      <c r="EM203">
        <v>0</v>
      </c>
      <c r="EN203">
        <v>0</v>
      </c>
      <c r="EO203">
        <v>0</v>
      </c>
      <c r="EP203">
        <v>0</v>
      </c>
      <c r="EQ203">
        <v>0</v>
      </c>
      <c r="ER203">
        <v>0</v>
      </c>
      <c r="ES203">
        <v>0</v>
      </c>
      <c r="ET203">
        <v>0</v>
      </c>
      <c r="EU203">
        <v>0</v>
      </c>
      <c r="EV203">
        <v>0</v>
      </c>
      <c r="EW203">
        <v>0</v>
      </c>
      <c r="EX203">
        <v>0</v>
      </c>
      <c r="EY203">
        <v>0</v>
      </c>
      <c r="EZ203">
        <v>0</v>
      </c>
      <c r="FA203">
        <v>0</v>
      </c>
      <c r="FB203">
        <v>0</v>
      </c>
      <c r="FC203">
        <v>0</v>
      </c>
      <c r="FD203">
        <v>0</v>
      </c>
      <c r="FE203">
        <v>0</v>
      </c>
      <c r="FF203">
        <v>0</v>
      </c>
      <c r="FG203">
        <v>0</v>
      </c>
      <c r="FH203">
        <v>0</v>
      </c>
      <c r="FI203">
        <v>0</v>
      </c>
      <c r="FJ203">
        <v>0</v>
      </c>
      <c r="FK203">
        <v>0</v>
      </c>
      <c r="FL203">
        <v>0</v>
      </c>
      <c r="FM203">
        <v>0</v>
      </c>
      <c r="FN203">
        <v>0</v>
      </c>
      <c r="FO203">
        <v>0</v>
      </c>
      <c r="FP203">
        <v>0</v>
      </c>
      <c r="FQ203">
        <v>0</v>
      </c>
      <c r="FR203">
        <v>0</v>
      </c>
      <c r="FS203">
        <v>0</v>
      </c>
      <c r="FT203">
        <v>0</v>
      </c>
      <c r="FU203">
        <v>0</v>
      </c>
      <c r="FV203">
        <v>0</v>
      </c>
      <c r="FW203">
        <v>0</v>
      </c>
      <c r="FX203">
        <v>0</v>
      </c>
      <c r="FY203">
        <v>0</v>
      </c>
      <c r="FZ203">
        <v>0</v>
      </c>
      <c r="GA203">
        <v>0</v>
      </c>
      <c r="GB203">
        <v>0</v>
      </c>
      <c r="GC203">
        <v>0</v>
      </c>
      <c r="GD203">
        <v>0</v>
      </c>
      <c r="GE203">
        <v>0</v>
      </c>
      <c r="GF203">
        <v>0</v>
      </c>
      <c r="GG203">
        <v>0</v>
      </c>
      <c r="GH203">
        <v>0</v>
      </c>
      <c r="GI203">
        <v>0</v>
      </c>
      <c r="GJ203">
        <v>0</v>
      </c>
      <c r="GK203">
        <v>0</v>
      </c>
      <c r="GL203">
        <v>0</v>
      </c>
      <c r="GM203">
        <v>0</v>
      </c>
      <c r="GN203">
        <v>0</v>
      </c>
      <c r="GO203">
        <v>0</v>
      </c>
      <c r="GP203">
        <v>0</v>
      </c>
      <c r="GQ203">
        <v>0</v>
      </c>
      <c r="GR203">
        <v>0</v>
      </c>
      <c r="GS203">
        <v>0</v>
      </c>
      <c r="GT203">
        <v>0</v>
      </c>
      <c r="GU203">
        <v>0</v>
      </c>
      <c r="GV203">
        <v>0</v>
      </c>
      <c r="GW203">
        <v>0</v>
      </c>
      <c r="GX203">
        <v>0</v>
      </c>
      <c r="GY203">
        <v>0</v>
      </c>
      <c r="GZ203">
        <v>0</v>
      </c>
      <c r="HA203">
        <v>0</v>
      </c>
      <c r="HB203">
        <v>0</v>
      </c>
      <c r="HC203">
        <v>0</v>
      </c>
      <c r="HD203">
        <v>0</v>
      </c>
      <c r="HE203">
        <v>0</v>
      </c>
      <c r="HF203">
        <v>0</v>
      </c>
      <c r="HG203">
        <v>0</v>
      </c>
      <c r="HH203">
        <v>0</v>
      </c>
      <c r="HI203">
        <v>0</v>
      </c>
      <c r="HJ203">
        <v>0</v>
      </c>
      <c r="HK203">
        <v>0</v>
      </c>
      <c r="HL203">
        <v>0</v>
      </c>
      <c r="HM203">
        <v>0</v>
      </c>
      <c r="HN203">
        <v>0</v>
      </c>
      <c r="HO203">
        <v>0</v>
      </c>
      <c r="HP203">
        <v>0</v>
      </c>
      <c r="HQ203">
        <v>0</v>
      </c>
      <c r="HR203">
        <v>0</v>
      </c>
      <c r="HS203">
        <v>0</v>
      </c>
      <c r="HT203">
        <v>0</v>
      </c>
      <c r="HU203">
        <v>0</v>
      </c>
      <c r="HV203">
        <v>0</v>
      </c>
      <c r="HW203">
        <v>0</v>
      </c>
      <c r="HX203">
        <v>0</v>
      </c>
      <c r="HY203">
        <v>0</v>
      </c>
      <c r="HZ203">
        <v>0</v>
      </c>
      <c r="IA203">
        <v>0</v>
      </c>
      <c r="IB203">
        <v>0</v>
      </c>
      <c r="IC203">
        <v>0</v>
      </c>
      <c r="ID203">
        <v>0</v>
      </c>
      <c r="IE203">
        <v>0</v>
      </c>
      <c r="IF203">
        <v>0</v>
      </c>
      <c r="IG203">
        <v>0</v>
      </c>
      <c r="IH203">
        <v>0</v>
      </c>
      <c r="II203">
        <v>0</v>
      </c>
      <c r="IJ203">
        <v>0</v>
      </c>
      <c r="IK203">
        <v>0</v>
      </c>
      <c r="IL203">
        <v>0</v>
      </c>
      <c r="IM203">
        <v>0</v>
      </c>
      <c r="IN203">
        <v>0</v>
      </c>
      <c r="IO203">
        <v>0</v>
      </c>
      <c r="IP203">
        <v>0</v>
      </c>
      <c r="IQ203">
        <v>0</v>
      </c>
      <c r="IR203">
        <v>0</v>
      </c>
      <c r="IS203">
        <v>0</v>
      </c>
      <c r="IT203">
        <v>0</v>
      </c>
      <c r="IU203">
        <v>0</v>
      </c>
      <c r="IV203">
        <v>0</v>
      </c>
      <c r="IW203">
        <v>0</v>
      </c>
      <c r="IX203">
        <v>0</v>
      </c>
      <c r="IY203">
        <v>0</v>
      </c>
      <c r="IZ203">
        <v>0</v>
      </c>
      <c r="JA203">
        <v>0</v>
      </c>
      <c r="JB203">
        <v>0</v>
      </c>
      <c r="JC203">
        <v>0</v>
      </c>
      <c r="JD203">
        <v>0</v>
      </c>
      <c r="JE203">
        <v>0</v>
      </c>
      <c r="JF203">
        <v>0</v>
      </c>
      <c r="JG203">
        <v>0</v>
      </c>
      <c r="JH203">
        <v>0</v>
      </c>
      <c r="JI203">
        <v>0</v>
      </c>
      <c r="JJ203">
        <v>0</v>
      </c>
      <c r="JK203">
        <v>0</v>
      </c>
      <c r="JL203">
        <v>0</v>
      </c>
      <c r="JM203">
        <v>0</v>
      </c>
      <c r="JN203">
        <v>0</v>
      </c>
      <c r="JO203">
        <v>0</v>
      </c>
      <c r="JP203">
        <v>0</v>
      </c>
      <c r="JQ203">
        <v>0</v>
      </c>
      <c r="JR203">
        <v>0</v>
      </c>
      <c r="JS203">
        <v>0</v>
      </c>
      <c r="JT203">
        <v>0</v>
      </c>
      <c r="JU203">
        <v>0</v>
      </c>
      <c r="JV203">
        <v>0</v>
      </c>
      <c r="JW203">
        <v>0</v>
      </c>
      <c r="JX203">
        <v>0</v>
      </c>
      <c r="JY203">
        <v>0</v>
      </c>
      <c r="JZ203">
        <v>0</v>
      </c>
      <c r="KA203">
        <v>0</v>
      </c>
      <c r="KB203">
        <v>0</v>
      </c>
      <c r="KC203">
        <v>0</v>
      </c>
      <c r="KD203">
        <v>0</v>
      </c>
      <c r="KE203">
        <v>0</v>
      </c>
      <c r="KF203">
        <v>0</v>
      </c>
      <c r="KG203">
        <v>0</v>
      </c>
      <c r="KH203">
        <v>0</v>
      </c>
      <c r="KI203">
        <v>0</v>
      </c>
      <c r="KJ203">
        <v>0</v>
      </c>
      <c r="KK203">
        <v>0</v>
      </c>
      <c r="KL203">
        <v>0</v>
      </c>
      <c r="KM203">
        <v>0</v>
      </c>
      <c r="KN203">
        <v>0</v>
      </c>
      <c r="KO203">
        <v>0</v>
      </c>
      <c r="KP203">
        <v>0</v>
      </c>
      <c r="KQ203">
        <v>0</v>
      </c>
      <c r="KR203">
        <v>0</v>
      </c>
      <c r="KS203">
        <v>0</v>
      </c>
      <c r="KT203">
        <v>0</v>
      </c>
      <c r="KU203">
        <v>0</v>
      </c>
      <c r="KV203">
        <v>0</v>
      </c>
      <c r="KW203">
        <v>0</v>
      </c>
      <c r="KX203">
        <v>0</v>
      </c>
      <c r="KY203">
        <v>0</v>
      </c>
      <c r="KZ203">
        <v>0</v>
      </c>
      <c r="LA203">
        <v>0</v>
      </c>
      <c r="LB203">
        <v>0</v>
      </c>
      <c r="LC203">
        <v>0</v>
      </c>
      <c r="LD203">
        <v>0</v>
      </c>
      <c r="LE203">
        <v>0</v>
      </c>
      <c r="LF203">
        <v>0</v>
      </c>
      <c r="LG203">
        <v>0</v>
      </c>
      <c r="LH203">
        <v>0</v>
      </c>
      <c r="LI203">
        <v>0</v>
      </c>
      <c r="LJ203">
        <v>0</v>
      </c>
      <c r="LK203">
        <v>0</v>
      </c>
      <c r="LL203">
        <v>0</v>
      </c>
      <c r="LM203">
        <v>0</v>
      </c>
      <c r="LN203">
        <v>0</v>
      </c>
      <c r="LO203">
        <v>0</v>
      </c>
      <c r="LP203">
        <v>0</v>
      </c>
      <c r="LQ203">
        <v>0</v>
      </c>
      <c r="LR203">
        <v>0</v>
      </c>
      <c r="LS203">
        <v>0</v>
      </c>
      <c r="LT203">
        <v>0</v>
      </c>
      <c r="LU203">
        <v>0</v>
      </c>
      <c r="LV203">
        <v>0</v>
      </c>
      <c r="LW203">
        <v>0</v>
      </c>
      <c r="LX203">
        <v>0</v>
      </c>
      <c r="LY203">
        <v>0</v>
      </c>
      <c r="LZ203">
        <v>0</v>
      </c>
      <c r="MA203">
        <v>0</v>
      </c>
      <c r="MB203">
        <v>0</v>
      </c>
      <c r="MC203">
        <v>0</v>
      </c>
      <c r="MD203">
        <v>0</v>
      </c>
      <c r="ME203">
        <v>0</v>
      </c>
      <c r="MF203">
        <v>0</v>
      </c>
      <c r="MG203">
        <v>0</v>
      </c>
      <c r="MH203">
        <v>0</v>
      </c>
      <c r="MI203">
        <v>0</v>
      </c>
      <c r="MJ203">
        <v>0</v>
      </c>
      <c r="MK203">
        <v>0</v>
      </c>
      <c r="ML203">
        <v>0</v>
      </c>
      <c r="MM203">
        <v>0</v>
      </c>
      <c r="MN203">
        <v>0</v>
      </c>
      <c r="MO203">
        <v>0</v>
      </c>
      <c r="MP203">
        <v>0</v>
      </c>
      <c r="MQ203">
        <v>0</v>
      </c>
      <c r="MR203">
        <v>0</v>
      </c>
      <c r="MS203">
        <v>0</v>
      </c>
      <c r="MT203">
        <v>0</v>
      </c>
      <c r="MU203">
        <v>0</v>
      </c>
      <c r="MV203">
        <v>0</v>
      </c>
      <c r="MW203">
        <v>0</v>
      </c>
      <c r="MX203">
        <v>0</v>
      </c>
      <c r="MY203">
        <v>0</v>
      </c>
      <c r="MZ203">
        <v>0</v>
      </c>
      <c r="NA203">
        <v>0</v>
      </c>
      <c r="NB203">
        <v>0</v>
      </c>
      <c r="NC203">
        <v>0</v>
      </c>
      <c r="ND203">
        <v>0</v>
      </c>
      <c r="NE203">
        <v>0</v>
      </c>
    </row>
    <row r="204" spans="41:369" x14ac:dyDescent="0.45">
      <c r="AO204" t="str">
        <v>C160</v>
      </c>
      <c r="AP204" t="str">
        <v>AJMAL AM</v>
      </c>
      <c r="AQ204" t="str">
        <v>BADF</v>
      </c>
      <c r="AR204" t="str">
        <v>SENIOR</v>
      </c>
      <c r="AS204">
        <v>7</v>
      </c>
      <c r="AT204">
        <v>3</v>
      </c>
      <c r="AU204">
        <v>0</v>
      </c>
      <c r="AV204">
        <v>3</v>
      </c>
      <c r="AW204">
        <v>3</v>
      </c>
      <c r="AX204">
        <v>209</v>
      </c>
      <c r="AY204" s="5">
        <v>209</v>
      </c>
      <c r="AZ204" t="str">
        <v>GN11</v>
      </c>
      <c r="BA204" t="str">
        <v>MUNĀẒARAH</v>
      </c>
      <c r="BB204" t="str">
        <v>GENERAL</v>
      </c>
      <c r="BC204" t="str">
        <v>Group</v>
      </c>
      <c r="BD204" t="str">
        <v>Stage</v>
      </c>
      <c r="BE204">
        <v>3</v>
      </c>
      <c r="BF204" t="str">
        <v>General</v>
      </c>
      <c r="BG204" t="str">
        <v>General</v>
      </c>
      <c r="BH204" t="str">
        <v>P</v>
      </c>
      <c r="BI204" t="str">
        <v>PUBLISHED</v>
      </c>
      <c r="BK204">
        <v>198</v>
      </c>
      <c r="BL204" t="str">
        <v>GN07</v>
      </c>
      <c r="BM204" t="str">
        <v>DEBATE ENGLISH</v>
      </c>
      <c r="BN204">
        <v>2</v>
      </c>
      <c r="BO204" t="str">
        <v>Group</v>
      </c>
      <c r="BP204" t="str">
        <v>Stage</v>
      </c>
      <c r="BQ204" t="str">
        <v>GENERAL</v>
      </c>
      <c r="BR204" t="str">
        <v>D165</v>
      </c>
      <c r="BS204" t="str">
        <v>C168</v>
      </c>
      <c r="BT204">
        <v>0</v>
      </c>
      <c r="BU204">
        <v>0</v>
      </c>
      <c r="BV204">
        <v>0</v>
      </c>
      <c r="BW204">
        <v>0</v>
      </c>
      <c r="BX204">
        <v>0</v>
      </c>
      <c r="BY204" t="str">
        <v>D150</v>
      </c>
      <c r="BZ204" t="str">
        <v>D196</v>
      </c>
      <c r="CA204">
        <v>0</v>
      </c>
      <c r="CB204">
        <v>0</v>
      </c>
      <c r="CC204">
        <v>0</v>
      </c>
      <c r="CD204">
        <v>0</v>
      </c>
      <c r="CE204">
        <v>0</v>
      </c>
      <c r="CF204" t="str">
        <v>D118</v>
      </c>
      <c r="CG204" t="str">
        <v>C170</v>
      </c>
      <c r="CH204">
        <v>0</v>
      </c>
      <c r="CI204">
        <v>0</v>
      </c>
      <c r="CJ204">
        <v>0</v>
      </c>
      <c r="CK204">
        <v>0</v>
      </c>
      <c r="CL204">
        <v>0</v>
      </c>
      <c r="CM204" t="str">
        <v>D111</v>
      </c>
      <c r="CN204" t="str">
        <v>C135</v>
      </c>
      <c r="CO204">
        <v>0</v>
      </c>
      <c r="CP204">
        <v>0</v>
      </c>
      <c r="CQ204">
        <v>0</v>
      </c>
      <c r="CR204">
        <v>0</v>
      </c>
      <c r="CS204">
        <v>0</v>
      </c>
      <c r="CT204">
        <v>0</v>
      </c>
      <c r="CU204">
        <v>0</v>
      </c>
      <c r="CV204">
        <v>0</v>
      </c>
      <c r="CW204">
        <v>0</v>
      </c>
      <c r="CX204">
        <v>0</v>
      </c>
      <c r="CY204">
        <v>0</v>
      </c>
      <c r="CZ204">
        <v>0</v>
      </c>
      <c r="DA204">
        <v>0</v>
      </c>
      <c r="DB204">
        <v>0</v>
      </c>
      <c r="DC204">
        <v>0</v>
      </c>
      <c r="DD204">
        <v>0</v>
      </c>
      <c r="DE204">
        <v>0</v>
      </c>
      <c r="DF204">
        <v>0</v>
      </c>
      <c r="DG204">
        <v>0</v>
      </c>
      <c r="DH204">
        <v>0</v>
      </c>
      <c r="DI204">
        <v>0</v>
      </c>
      <c r="DJ204">
        <v>0</v>
      </c>
      <c r="DK204">
        <v>0</v>
      </c>
      <c r="DL204">
        <v>0</v>
      </c>
      <c r="DM204">
        <v>0</v>
      </c>
      <c r="DN204">
        <v>0</v>
      </c>
      <c r="DO204">
        <v>0</v>
      </c>
      <c r="DP204">
        <v>0</v>
      </c>
      <c r="DQ204">
        <v>0</v>
      </c>
      <c r="DR204">
        <v>0</v>
      </c>
      <c r="DS204">
        <v>0</v>
      </c>
      <c r="DT204">
        <v>0</v>
      </c>
      <c r="DU204">
        <v>0</v>
      </c>
      <c r="DV204">
        <v>0</v>
      </c>
      <c r="DW204">
        <v>0</v>
      </c>
      <c r="DX204">
        <v>0</v>
      </c>
      <c r="DY204">
        <v>0</v>
      </c>
      <c r="DZ204">
        <v>0</v>
      </c>
      <c r="EA204">
        <v>0</v>
      </c>
      <c r="EB204">
        <v>0</v>
      </c>
      <c r="EC204">
        <v>0</v>
      </c>
      <c r="ED204">
        <v>0</v>
      </c>
      <c r="EE204">
        <v>0</v>
      </c>
      <c r="EF204">
        <v>0</v>
      </c>
      <c r="EG204">
        <v>0</v>
      </c>
      <c r="EH204">
        <v>0</v>
      </c>
      <c r="EI204">
        <v>0</v>
      </c>
      <c r="EJ204">
        <v>0</v>
      </c>
      <c r="EK204">
        <v>0</v>
      </c>
      <c r="EL204">
        <v>0</v>
      </c>
      <c r="EM204">
        <v>0</v>
      </c>
      <c r="EN204">
        <v>0</v>
      </c>
      <c r="EO204">
        <v>0</v>
      </c>
      <c r="EP204">
        <v>0</v>
      </c>
      <c r="EQ204">
        <v>0</v>
      </c>
      <c r="ER204">
        <v>0</v>
      </c>
      <c r="ES204">
        <v>0</v>
      </c>
      <c r="ET204">
        <v>0</v>
      </c>
      <c r="EU204">
        <v>0</v>
      </c>
      <c r="EV204">
        <v>0</v>
      </c>
      <c r="EW204">
        <v>0</v>
      </c>
      <c r="EX204">
        <v>0</v>
      </c>
      <c r="EY204">
        <v>0</v>
      </c>
      <c r="EZ204">
        <v>0</v>
      </c>
      <c r="FA204">
        <v>0</v>
      </c>
      <c r="FB204">
        <v>0</v>
      </c>
      <c r="FC204">
        <v>0</v>
      </c>
      <c r="FD204">
        <v>0</v>
      </c>
      <c r="FE204">
        <v>0</v>
      </c>
      <c r="FF204">
        <v>0</v>
      </c>
      <c r="FG204">
        <v>0</v>
      </c>
      <c r="FH204">
        <v>0</v>
      </c>
      <c r="FI204">
        <v>0</v>
      </c>
      <c r="FJ204">
        <v>0</v>
      </c>
      <c r="FK204">
        <v>0</v>
      </c>
      <c r="FL204">
        <v>0</v>
      </c>
      <c r="FM204">
        <v>0</v>
      </c>
      <c r="FN204">
        <v>0</v>
      </c>
      <c r="FO204">
        <v>0</v>
      </c>
      <c r="FP204">
        <v>0</v>
      </c>
      <c r="FQ204">
        <v>0</v>
      </c>
      <c r="FR204">
        <v>0</v>
      </c>
      <c r="FS204">
        <v>0</v>
      </c>
      <c r="FT204">
        <v>0</v>
      </c>
      <c r="FU204">
        <v>0</v>
      </c>
      <c r="FV204">
        <v>0</v>
      </c>
      <c r="FW204">
        <v>0</v>
      </c>
      <c r="FX204">
        <v>0</v>
      </c>
      <c r="FY204">
        <v>0</v>
      </c>
      <c r="FZ204">
        <v>0</v>
      </c>
      <c r="GA204">
        <v>0</v>
      </c>
      <c r="GB204">
        <v>0</v>
      </c>
      <c r="GC204">
        <v>0</v>
      </c>
      <c r="GD204">
        <v>0</v>
      </c>
      <c r="GE204">
        <v>0</v>
      </c>
      <c r="GF204">
        <v>0</v>
      </c>
      <c r="GG204">
        <v>0</v>
      </c>
      <c r="GH204">
        <v>0</v>
      </c>
      <c r="GI204">
        <v>0</v>
      </c>
      <c r="GJ204">
        <v>0</v>
      </c>
      <c r="GK204">
        <v>0</v>
      </c>
      <c r="GL204">
        <v>0</v>
      </c>
      <c r="GM204">
        <v>0</v>
      </c>
      <c r="GN204">
        <v>0</v>
      </c>
      <c r="GO204">
        <v>0</v>
      </c>
      <c r="GP204">
        <v>0</v>
      </c>
      <c r="GQ204">
        <v>0</v>
      </c>
      <c r="GR204">
        <v>0</v>
      </c>
      <c r="GS204">
        <v>0</v>
      </c>
      <c r="GT204">
        <v>0</v>
      </c>
      <c r="GU204">
        <v>0</v>
      </c>
      <c r="GV204">
        <v>0</v>
      </c>
      <c r="GW204">
        <v>0</v>
      </c>
      <c r="GX204">
        <v>0</v>
      </c>
      <c r="GY204">
        <v>0</v>
      </c>
      <c r="GZ204">
        <v>0</v>
      </c>
      <c r="HA204">
        <v>0</v>
      </c>
      <c r="HB204">
        <v>0</v>
      </c>
      <c r="HC204">
        <v>0</v>
      </c>
      <c r="HD204">
        <v>0</v>
      </c>
      <c r="HE204">
        <v>0</v>
      </c>
      <c r="HF204">
        <v>0</v>
      </c>
      <c r="HG204">
        <v>0</v>
      </c>
      <c r="HH204">
        <v>0</v>
      </c>
      <c r="HI204">
        <v>0</v>
      </c>
      <c r="HJ204">
        <v>0</v>
      </c>
      <c r="HK204">
        <v>0</v>
      </c>
      <c r="HL204">
        <v>0</v>
      </c>
      <c r="HM204">
        <v>0</v>
      </c>
      <c r="HN204">
        <v>0</v>
      </c>
      <c r="HO204">
        <v>0</v>
      </c>
      <c r="HP204">
        <v>0</v>
      </c>
      <c r="HQ204">
        <v>0</v>
      </c>
      <c r="HR204">
        <v>0</v>
      </c>
      <c r="HS204">
        <v>0</v>
      </c>
      <c r="HT204">
        <v>0</v>
      </c>
      <c r="HU204">
        <v>0</v>
      </c>
      <c r="HV204">
        <v>0</v>
      </c>
      <c r="HW204">
        <v>0</v>
      </c>
      <c r="HX204">
        <v>0</v>
      </c>
      <c r="HY204">
        <v>0</v>
      </c>
      <c r="HZ204">
        <v>0</v>
      </c>
      <c r="IA204">
        <v>0</v>
      </c>
      <c r="IB204">
        <v>0</v>
      </c>
      <c r="IC204">
        <v>0</v>
      </c>
      <c r="ID204">
        <v>0</v>
      </c>
      <c r="IE204">
        <v>0</v>
      </c>
      <c r="IF204">
        <v>0</v>
      </c>
      <c r="IG204">
        <v>0</v>
      </c>
      <c r="IH204">
        <v>0</v>
      </c>
      <c r="II204">
        <v>0</v>
      </c>
      <c r="IJ204">
        <v>0</v>
      </c>
      <c r="IK204">
        <v>0</v>
      </c>
      <c r="IL204">
        <v>0</v>
      </c>
      <c r="IM204">
        <v>0</v>
      </c>
      <c r="IN204">
        <v>0</v>
      </c>
      <c r="IO204">
        <v>0</v>
      </c>
      <c r="IP204">
        <v>0</v>
      </c>
      <c r="IQ204">
        <v>0</v>
      </c>
      <c r="IR204">
        <v>0</v>
      </c>
      <c r="IS204">
        <v>0</v>
      </c>
      <c r="IT204">
        <v>0</v>
      </c>
      <c r="IU204">
        <v>0</v>
      </c>
      <c r="IV204">
        <v>0</v>
      </c>
      <c r="IW204">
        <v>0</v>
      </c>
      <c r="IX204">
        <v>0</v>
      </c>
      <c r="IY204">
        <v>0</v>
      </c>
      <c r="IZ204">
        <v>0</v>
      </c>
      <c r="JA204">
        <v>0</v>
      </c>
      <c r="JB204">
        <v>0</v>
      </c>
      <c r="JC204">
        <v>0</v>
      </c>
      <c r="JD204">
        <v>0</v>
      </c>
      <c r="JE204">
        <v>0</v>
      </c>
      <c r="JF204">
        <v>0</v>
      </c>
      <c r="JG204">
        <v>0</v>
      </c>
      <c r="JH204">
        <v>0</v>
      </c>
      <c r="JI204">
        <v>0</v>
      </c>
      <c r="JJ204">
        <v>0</v>
      </c>
      <c r="JK204">
        <v>0</v>
      </c>
      <c r="JL204">
        <v>0</v>
      </c>
      <c r="JM204">
        <v>0</v>
      </c>
      <c r="JN204">
        <v>0</v>
      </c>
      <c r="JO204">
        <v>0</v>
      </c>
      <c r="JP204">
        <v>0</v>
      </c>
      <c r="JQ204">
        <v>0</v>
      </c>
      <c r="JR204">
        <v>0</v>
      </c>
      <c r="JS204">
        <v>0</v>
      </c>
      <c r="JT204">
        <v>0</v>
      </c>
      <c r="JU204">
        <v>0</v>
      </c>
      <c r="JV204">
        <v>0</v>
      </c>
      <c r="JW204">
        <v>0</v>
      </c>
      <c r="JX204">
        <v>0</v>
      </c>
      <c r="JY204">
        <v>0</v>
      </c>
      <c r="JZ204">
        <v>0</v>
      </c>
      <c r="KA204">
        <v>0</v>
      </c>
      <c r="KB204">
        <v>0</v>
      </c>
      <c r="KC204">
        <v>0</v>
      </c>
      <c r="KD204">
        <v>0</v>
      </c>
      <c r="KE204">
        <v>0</v>
      </c>
      <c r="KF204">
        <v>0</v>
      </c>
      <c r="KG204">
        <v>0</v>
      </c>
      <c r="KH204">
        <v>0</v>
      </c>
      <c r="KI204">
        <v>0</v>
      </c>
      <c r="KJ204">
        <v>0</v>
      </c>
      <c r="KK204">
        <v>0</v>
      </c>
      <c r="KL204">
        <v>0</v>
      </c>
      <c r="KM204">
        <v>0</v>
      </c>
      <c r="KN204">
        <v>0</v>
      </c>
      <c r="KO204">
        <v>0</v>
      </c>
      <c r="KP204">
        <v>0</v>
      </c>
      <c r="KQ204">
        <v>0</v>
      </c>
      <c r="KR204">
        <v>0</v>
      </c>
      <c r="KS204">
        <v>0</v>
      </c>
      <c r="KT204">
        <v>0</v>
      </c>
      <c r="KU204">
        <v>0</v>
      </c>
      <c r="KV204">
        <v>0</v>
      </c>
      <c r="KW204">
        <v>0</v>
      </c>
      <c r="KX204">
        <v>0</v>
      </c>
      <c r="KY204">
        <v>0</v>
      </c>
      <c r="KZ204">
        <v>0</v>
      </c>
      <c r="LA204">
        <v>0</v>
      </c>
      <c r="LB204">
        <v>0</v>
      </c>
      <c r="LC204">
        <v>0</v>
      </c>
      <c r="LD204">
        <v>0</v>
      </c>
      <c r="LE204">
        <v>0</v>
      </c>
      <c r="LF204">
        <v>0</v>
      </c>
      <c r="LG204">
        <v>0</v>
      </c>
      <c r="LH204">
        <v>0</v>
      </c>
      <c r="LI204">
        <v>0</v>
      </c>
      <c r="LJ204">
        <v>0</v>
      </c>
      <c r="LK204">
        <v>0</v>
      </c>
      <c r="LL204">
        <v>0</v>
      </c>
      <c r="LM204">
        <v>0</v>
      </c>
      <c r="LN204">
        <v>0</v>
      </c>
      <c r="LO204">
        <v>0</v>
      </c>
      <c r="LP204">
        <v>0</v>
      </c>
      <c r="LQ204">
        <v>0</v>
      </c>
      <c r="LR204">
        <v>0</v>
      </c>
      <c r="LS204">
        <v>0</v>
      </c>
      <c r="LT204">
        <v>0</v>
      </c>
      <c r="LU204">
        <v>0</v>
      </c>
      <c r="LV204">
        <v>0</v>
      </c>
      <c r="LW204">
        <v>0</v>
      </c>
      <c r="LX204">
        <v>0</v>
      </c>
      <c r="LY204">
        <v>0</v>
      </c>
      <c r="LZ204">
        <v>0</v>
      </c>
      <c r="MA204">
        <v>0</v>
      </c>
      <c r="MB204">
        <v>0</v>
      </c>
      <c r="MC204">
        <v>0</v>
      </c>
      <c r="MD204">
        <v>0</v>
      </c>
      <c r="ME204">
        <v>0</v>
      </c>
      <c r="MF204">
        <v>0</v>
      </c>
      <c r="MG204">
        <v>0</v>
      </c>
      <c r="MH204">
        <v>0</v>
      </c>
      <c r="MI204">
        <v>0</v>
      </c>
      <c r="MJ204">
        <v>0</v>
      </c>
      <c r="MK204">
        <v>0</v>
      </c>
      <c r="ML204">
        <v>0</v>
      </c>
      <c r="MM204">
        <v>0</v>
      </c>
      <c r="MN204">
        <v>0</v>
      </c>
      <c r="MO204">
        <v>0</v>
      </c>
      <c r="MP204">
        <v>0</v>
      </c>
      <c r="MQ204">
        <v>0</v>
      </c>
      <c r="MR204">
        <v>0</v>
      </c>
      <c r="MS204">
        <v>0</v>
      </c>
      <c r="MT204">
        <v>0</v>
      </c>
      <c r="MU204">
        <v>0</v>
      </c>
      <c r="MV204">
        <v>0</v>
      </c>
      <c r="MW204">
        <v>0</v>
      </c>
      <c r="MX204">
        <v>0</v>
      </c>
      <c r="MY204">
        <v>0</v>
      </c>
      <c r="MZ204">
        <v>0</v>
      </c>
      <c r="NA204">
        <v>0</v>
      </c>
      <c r="NB204">
        <v>0</v>
      </c>
      <c r="NC204">
        <v>0</v>
      </c>
      <c r="ND204">
        <v>0</v>
      </c>
      <c r="NE204">
        <v>0</v>
      </c>
    </row>
    <row r="205" spans="41:369" x14ac:dyDescent="0.45">
      <c r="AO205" t="str">
        <v>C161</v>
      </c>
      <c r="AP205" t="str">
        <v>MOHAMMED ABDUL KHADER NABAVI E A</v>
      </c>
      <c r="AQ205" t="str">
        <v>DAHF</v>
      </c>
      <c r="AR205" t="str">
        <v>SENIOR</v>
      </c>
      <c r="AS205">
        <v>7</v>
      </c>
      <c r="AT205">
        <v>0</v>
      </c>
      <c r="AU205">
        <v>0</v>
      </c>
      <c r="AV205">
        <v>0</v>
      </c>
      <c r="AW205">
        <v>0</v>
      </c>
      <c r="AX205">
        <v>255</v>
      </c>
      <c r="AY205" s="5">
        <v>255</v>
      </c>
      <c r="AZ205" t="str">
        <v>GN12</v>
      </c>
      <c r="BA205" t="str">
        <v>MUSHĀʿARAH</v>
      </c>
      <c r="BB205" t="str">
        <v>GENERAL</v>
      </c>
      <c r="BC205" t="str">
        <v>Group</v>
      </c>
      <c r="BD205" t="str">
        <v>Stage</v>
      </c>
      <c r="BE205">
        <v>5</v>
      </c>
      <c r="BF205" t="str">
        <v>STARRED</v>
      </c>
      <c r="BG205" t="str">
        <v>STARRED</v>
      </c>
      <c r="BH205" t="str">
        <v>P</v>
      </c>
      <c r="BI205" t="str">
        <v>PUBLISHED</v>
      </c>
      <c r="BK205">
        <v>199</v>
      </c>
      <c r="BL205" t="str">
        <v>GN08</v>
      </c>
      <c r="BM205" t="str">
        <v>FATWA COUNCIL</v>
      </c>
      <c r="BN205">
        <v>3</v>
      </c>
      <c r="BO205" t="str">
        <v>Group</v>
      </c>
      <c r="BP205" t="str">
        <v>Stage</v>
      </c>
      <c r="BQ205" t="str">
        <v>GENERAL</v>
      </c>
      <c r="BR205" t="str">
        <v>D133</v>
      </c>
      <c r="BS205" t="str">
        <v>D128</v>
      </c>
      <c r="BT205" t="str">
        <v>D177</v>
      </c>
      <c r="BU205">
        <v>0</v>
      </c>
      <c r="BV205">
        <v>0</v>
      </c>
      <c r="BW205">
        <v>0</v>
      </c>
      <c r="BX205">
        <v>0</v>
      </c>
      <c r="BY205" t="str">
        <v>D140</v>
      </c>
      <c r="BZ205" t="str">
        <v>D150</v>
      </c>
      <c r="CA205" t="str">
        <v>D166</v>
      </c>
      <c r="CB205">
        <v>0</v>
      </c>
      <c r="CC205">
        <v>0</v>
      </c>
      <c r="CD205">
        <v>0</v>
      </c>
      <c r="CE205">
        <v>0</v>
      </c>
      <c r="CF205" t="str">
        <v>D162</v>
      </c>
      <c r="CG205" t="str">
        <v>D195</v>
      </c>
      <c r="CH205" t="str">
        <v>D137</v>
      </c>
      <c r="CI205">
        <v>0</v>
      </c>
      <c r="CJ205">
        <v>0</v>
      </c>
      <c r="CK205">
        <v>0</v>
      </c>
      <c r="CL205">
        <v>0</v>
      </c>
      <c r="CM205" t="str">
        <v>D104</v>
      </c>
      <c r="CN205" t="str">
        <v>D164</v>
      </c>
      <c r="CO205" t="str">
        <v>D170</v>
      </c>
      <c r="CP205">
        <v>0</v>
      </c>
      <c r="CQ205">
        <v>0</v>
      </c>
      <c r="CR205">
        <v>0</v>
      </c>
      <c r="CS205">
        <v>0</v>
      </c>
      <c r="CT205">
        <v>0</v>
      </c>
      <c r="CU205">
        <v>0</v>
      </c>
      <c r="CV205">
        <v>0</v>
      </c>
      <c r="CW205">
        <v>0</v>
      </c>
      <c r="CX205">
        <v>0</v>
      </c>
      <c r="CY205">
        <v>0</v>
      </c>
      <c r="CZ205">
        <v>0</v>
      </c>
      <c r="DA205">
        <v>0</v>
      </c>
      <c r="DB205">
        <v>0</v>
      </c>
      <c r="DC205">
        <v>0</v>
      </c>
      <c r="DD205">
        <v>0</v>
      </c>
      <c r="DE205">
        <v>0</v>
      </c>
      <c r="DF205">
        <v>0</v>
      </c>
      <c r="DG205">
        <v>0</v>
      </c>
      <c r="DH205">
        <v>0</v>
      </c>
      <c r="DI205">
        <v>0</v>
      </c>
      <c r="DJ205">
        <v>0</v>
      </c>
      <c r="DK205">
        <v>0</v>
      </c>
      <c r="DL205">
        <v>0</v>
      </c>
      <c r="DM205">
        <v>0</v>
      </c>
      <c r="DN205">
        <v>0</v>
      </c>
      <c r="DO205">
        <v>0</v>
      </c>
      <c r="DP205">
        <v>0</v>
      </c>
      <c r="DQ205">
        <v>0</v>
      </c>
      <c r="DR205">
        <v>0</v>
      </c>
      <c r="DS205">
        <v>0</v>
      </c>
      <c r="DT205">
        <v>0</v>
      </c>
      <c r="DU205">
        <v>0</v>
      </c>
      <c r="DV205">
        <v>0</v>
      </c>
      <c r="DW205">
        <v>0</v>
      </c>
      <c r="DX205">
        <v>0</v>
      </c>
      <c r="DY205">
        <v>0</v>
      </c>
      <c r="DZ205">
        <v>0</v>
      </c>
      <c r="EA205">
        <v>0</v>
      </c>
      <c r="EB205">
        <v>0</v>
      </c>
      <c r="EC205">
        <v>0</v>
      </c>
      <c r="ED205">
        <v>0</v>
      </c>
      <c r="EE205">
        <v>0</v>
      </c>
      <c r="EF205">
        <v>0</v>
      </c>
      <c r="EG205">
        <v>0</v>
      </c>
      <c r="EH205">
        <v>0</v>
      </c>
      <c r="EI205">
        <v>0</v>
      </c>
      <c r="EJ205">
        <v>0</v>
      </c>
      <c r="EK205">
        <v>0</v>
      </c>
      <c r="EL205">
        <v>0</v>
      </c>
      <c r="EM205">
        <v>0</v>
      </c>
      <c r="EN205">
        <v>0</v>
      </c>
      <c r="EO205">
        <v>0</v>
      </c>
      <c r="EP205">
        <v>0</v>
      </c>
      <c r="EQ205">
        <v>0</v>
      </c>
      <c r="ER205">
        <v>0</v>
      </c>
      <c r="ES205">
        <v>0</v>
      </c>
      <c r="ET205">
        <v>0</v>
      </c>
      <c r="EU205">
        <v>0</v>
      </c>
      <c r="EV205">
        <v>0</v>
      </c>
      <c r="EW205">
        <v>0</v>
      </c>
      <c r="EX205">
        <v>0</v>
      </c>
      <c r="EY205">
        <v>0</v>
      </c>
      <c r="EZ205">
        <v>0</v>
      </c>
      <c r="FA205">
        <v>0</v>
      </c>
      <c r="FB205">
        <v>0</v>
      </c>
      <c r="FC205">
        <v>0</v>
      </c>
      <c r="FD205">
        <v>0</v>
      </c>
      <c r="FE205">
        <v>0</v>
      </c>
      <c r="FF205">
        <v>0</v>
      </c>
      <c r="FG205">
        <v>0</v>
      </c>
      <c r="FH205">
        <v>0</v>
      </c>
      <c r="FI205">
        <v>0</v>
      </c>
      <c r="FJ205">
        <v>0</v>
      </c>
      <c r="FK205">
        <v>0</v>
      </c>
      <c r="FL205">
        <v>0</v>
      </c>
      <c r="FM205">
        <v>0</v>
      </c>
      <c r="FN205">
        <v>0</v>
      </c>
      <c r="FO205">
        <v>0</v>
      </c>
      <c r="FP205">
        <v>0</v>
      </c>
      <c r="FQ205">
        <v>0</v>
      </c>
      <c r="FR205">
        <v>0</v>
      </c>
      <c r="FS205">
        <v>0</v>
      </c>
      <c r="FT205">
        <v>0</v>
      </c>
      <c r="FU205">
        <v>0</v>
      </c>
      <c r="FV205">
        <v>0</v>
      </c>
      <c r="FW205">
        <v>0</v>
      </c>
      <c r="FX205">
        <v>0</v>
      </c>
      <c r="FY205">
        <v>0</v>
      </c>
      <c r="FZ205">
        <v>0</v>
      </c>
      <c r="GA205">
        <v>0</v>
      </c>
      <c r="GB205">
        <v>0</v>
      </c>
      <c r="GC205">
        <v>0</v>
      </c>
      <c r="GD205">
        <v>0</v>
      </c>
      <c r="GE205">
        <v>0</v>
      </c>
      <c r="GF205">
        <v>0</v>
      </c>
      <c r="GG205">
        <v>0</v>
      </c>
      <c r="GH205">
        <v>0</v>
      </c>
      <c r="GI205">
        <v>0</v>
      </c>
      <c r="GJ205">
        <v>0</v>
      </c>
      <c r="GK205">
        <v>0</v>
      </c>
      <c r="GL205">
        <v>0</v>
      </c>
      <c r="GM205">
        <v>0</v>
      </c>
      <c r="GN205">
        <v>0</v>
      </c>
      <c r="GO205">
        <v>0</v>
      </c>
      <c r="GP205">
        <v>0</v>
      </c>
      <c r="GQ205">
        <v>0</v>
      </c>
      <c r="GR205">
        <v>0</v>
      </c>
      <c r="GS205">
        <v>0</v>
      </c>
      <c r="GT205">
        <v>0</v>
      </c>
      <c r="GU205">
        <v>0</v>
      </c>
      <c r="GV205">
        <v>0</v>
      </c>
      <c r="GW205">
        <v>0</v>
      </c>
      <c r="GX205">
        <v>0</v>
      </c>
      <c r="GY205">
        <v>0</v>
      </c>
      <c r="GZ205">
        <v>0</v>
      </c>
      <c r="HA205">
        <v>0</v>
      </c>
      <c r="HB205">
        <v>0</v>
      </c>
      <c r="HC205">
        <v>0</v>
      </c>
      <c r="HD205">
        <v>0</v>
      </c>
      <c r="HE205">
        <v>0</v>
      </c>
      <c r="HF205">
        <v>0</v>
      </c>
      <c r="HG205">
        <v>0</v>
      </c>
      <c r="HH205">
        <v>0</v>
      </c>
      <c r="HI205">
        <v>0</v>
      </c>
      <c r="HJ205">
        <v>0</v>
      </c>
      <c r="HK205">
        <v>0</v>
      </c>
      <c r="HL205">
        <v>0</v>
      </c>
      <c r="HM205">
        <v>0</v>
      </c>
      <c r="HN205">
        <v>0</v>
      </c>
      <c r="HO205">
        <v>0</v>
      </c>
      <c r="HP205">
        <v>0</v>
      </c>
      <c r="HQ205">
        <v>0</v>
      </c>
      <c r="HR205">
        <v>0</v>
      </c>
      <c r="HS205">
        <v>0</v>
      </c>
      <c r="HT205">
        <v>0</v>
      </c>
      <c r="HU205">
        <v>0</v>
      </c>
      <c r="HV205">
        <v>0</v>
      </c>
      <c r="HW205">
        <v>0</v>
      </c>
      <c r="HX205">
        <v>0</v>
      </c>
      <c r="HY205">
        <v>0</v>
      </c>
      <c r="HZ205">
        <v>0</v>
      </c>
      <c r="IA205">
        <v>0</v>
      </c>
      <c r="IB205">
        <v>0</v>
      </c>
      <c r="IC205">
        <v>0</v>
      </c>
      <c r="ID205">
        <v>0</v>
      </c>
      <c r="IE205">
        <v>0</v>
      </c>
      <c r="IF205">
        <v>0</v>
      </c>
      <c r="IG205">
        <v>0</v>
      </c>
      <c r="IH205">
        <v>0</v>
      </c>
      <c r="II205">
        <v>0</v>
      </c>
      <c r="IJ205">
        <v>0</v>
      </c>
      <c r="IK205">
        <v>0</v>
      </c>
      <c r="IL205">
        <v>0</v>
      </c>
      <c r="IM205">
        <v>0</v>
      </c>
      <c r="IN205">
        <v>0</v>
      </c>
      <c r="IO205">
        <v>0</v>
      </c>
      <c r="IP205">
        <v>0</v>
      </c>
      <c r="IQ205">
        <v>0</v>
      </c>
      <c r="IR205">
        <v>0</v>
      </c>
      <c r="IS205">
        <v>0</v>
      </c>
      <c r="IT205">
        <v>0</v>
      </c>
      <c r="IU205">
        <v>0</v>
      </c>
      <c r="IV205">
        <v>0</v>
      </c>
      <c r="IW205">
        <v>0</v>
      </c>
      <c r="IX205">
        <v>0</v>
      </c>
      <c r="IY205">
        <v>0</v>
      </c>
      <c r="IZ205">
        <v>0</v>
      </c>
      <c r="JA205">
        <v>0</v>
      </c>
      <c r="JB205">
        <v>0</v>
      </c>
      <c r="JC205">
        <v>0</v>
      </c>
      <c r="JD205">
        <v>0</v>
      </c>
      <c r="JE205">
        <v>0</v>
      </c>
      <c r="JF205">
        <v>0</v>
      </c>
      <c r="JG205">
        <v>0</v>
      </c>
      <c r="JH205">
        <v>0</v>
      </c>
      <c r="JI205">
        <v>0</v>
      </c>
      <c r="JJ205">
        <v>0</v>
      </c>
      <c r="JK205">
        <v>0</v>
      </c>
      <c r="JL205">
        <v>0</v>
      </c>
      <c r="JM205">
        <v>0</v>
      </c>
      <c r="JN205">
        <v>0</v>
      </c>
      <c r="JO205">
        <v>0</v>
      </c>
      <c r="JP205">
        <v>0</v>
      </c>
      <c r="JQ205">
        <v>0</v>
      </c>
      <c r="JR205">
        <v>0</v>
      </c>
      <c r="JS205">
        <v>0</v>
      </c>
      <c r="JT205">
        <v>0</v>
      </c>
      <c r="JU205">
        <v>0</v>
      </c>
      <c r="JV205">
        <v>0</v>
      </c>
      <c r="JW205">
        <v>0</v>
      </c>
      <c r="JX205">
        <v>0</v>
      </c>
      <c r="JY205">
        <v>0</v>
      </c>
      <c r="JZ205">
        <v>0</v>
      </c>
      <c r="KA205">
        <v>0</v>
      </c>
      <c r="KB205">
        <v>0</v>
      </c>
      <c r="KC205">
        <v>0</v>
      </c>
      <c r="KD205">
        <v>0</v>
      </c>
      <c r="KE205">
        <v>0</v>
      </c>
      <c r="KF205">
        <v>0</v>
      </c>
      <c r="KG205">
        <v>0</v>
      </c>
      <c r="KH205">
        <v>0</v>
      </c>
      <c r="KI205">
        <v>0</v>
      </c>
      <c r="KJ205">
        <v>0</v>
      </c>
      <c r="KK205">
        <v>0</v>
      </c>
      <c r="KL205">
        <v>0</v>
      </c>
      <c r="KM205">
        <v>0</v>
      </c>
      <c r="KN205">
        <v>0</v>
      </c>
      <c r="KO205">
        <v>0</v>
      </c>
      <c r="KP205">
        <v>0</v>
      </c>
      <c r="KQ205">
        <v>0</v>
      </c>
      <c r="KR205">
        <v>0</v>
      </c>
      <c r="KS205">
        <v>0</v>
      </c>
      <c r="KT205">
        <v>0</v>
      </c>
      <c r="KU205">
        <v>0</v>
      </c>
      <c r="KV205">
        <v>0</v>
      </c>
      <c r="KW205">
        <v>0</v>
      </c>
      <c r="KX205">
        <v>0</v>
      </c>
      <c r="KY205">
        <v>0</v>
      </c>
      <c r="KZ205">
        <v>0</v>
      </c>
      <c r="LA205">
        <v>0</v>
      </c>
      <c r="LB205">
        <v>0</v>
      </c>
      <c r="LC205">
        <v>0</v>
      </c>
      <c r="LD205">
        <v>0</v>
      </c>
      <c r="LE205">
        <v>0</v>
      </c>
      <c r="LF205">
        <v>0</v>
      </c>
      <c r="LG205">
        <v>0</v>
      </c>
      <c r="LH205">
        <v>0</v>
      </c>
      <c r="LI205">
        <v>0</v>
      </c>
      <c r="LJ205">
        <v>0</v>
      </c>
      <c r="LK205">
        <v>0</v>
      </c>
      <c r="LL205">
        <v>0</v>
      </c>
      <c r="LM205">
        <v>0</v>
      </c>
      <c r="LN205">
        <v>0</v>
      </c>
      <c r="LO205">
        <v>0</v>
      </c>
      <c r="LP205">
        <v>0</v>
      </c>
      <c r="LQ205">
        <v>0</v>
      </c>
      <c r="LR205">
        <v>0</v>
      </c>
      <c r="LS205">
        <v>0</v>
      </c>
      <c r="LT205">
        <v>0</v>
      </c>
      <c r="LU205">
        <v>0</v>
      </c>
      <c r="LV205">
        <v>0</v>
      </c>
      <c r="LW205">
        <v>0</v>
      </c>
      <c r="LX205">
        <v>0</v>
      </c>
      <c r="LY205">
        <v>0</v>
      </c>
      <c r="LZ205">
        <v>0</v>
      </c>
      <c r="MA205">
        <v>0</v>
      </c>
      <c r="MB205">
        <v>0</v>
      </c>
      <c r="MC205">
        <v>0</v>
      </c>
      <c r="MD205">
        <v>0</v>
      </c>
      <c r="ME205">
        <v>0</v>
      </c>
      <c r="MF205">
        <v>0</v>
      </c>
      <c r="MG205">
        <v>0</v>
      </c>
      <c r="MH205">
        <v>0</v>
      </c>
      <c r="MI205">
        <v>0</v>
      </c>
      <c r="MJ205">
        <v>0</v>
      </c>
      <c r="MK205">
        <v>0</v>
      </c>
      <c r="ML205">
        <v>0</v>
      </c>
      <c r="MM205">
        <v>0</v>
      </c>
      <c r="MN205">
        <v>0</v>
      </c>
      <c r="MO205">
        <v>0</v>
      </c>
      <c r="MP205">
        <v>0</v>
      </c>
      <c r="MQ205">
        <v>0</v>
      </c>
      <c r="MR205">
        <v>0</v>
      </c>
      <c r="MS205">
        <v>0</v>
      </c>
      <c r="MT205">
        <v>0</v>
      </c>
      <c r="MU205">
        <v>0</v>
      </c>
      <c r="MV205">
        <v>0</v>
      </c>
      <c r="MW205">
        <v>0</v>
      </c>
      <c r="MX205">
        <v>0</v>
      </c>
      <c r="MY205">
        <v>0</v>
      </c>
      <c r="MZ205">
        <v>0</v>
      </c>
      <c r="NA205">
        <v>0</v>
      </c>
      <c r="NB205">
        <v>0</v>
      </c>
      <c r="NC205">
        <v>0</v>
      </c>
      <c r="ND205">
        <v>0</v>
      </c>
      <c r="NE205">
        <v>0</v>
      </c>
    </row>
    <row r="206" spans="41:369" x14ac:dyDescent="0.45">
      <c r="AO206" t="str">
        <v>C162</v>
      </c>
      <c r="AP206" t="str">
        <v>MUHAMMAD K.A</v>
      </c>
      <c r="AQ206" t="str">
        <v>FANT</v>
      </c>
      <c r="AR206" t="str">
        <v>SENIOR</v>
      </c>
      <c r="AS206">
        <v>7</v>
      </c>
      <c r="AT206">
        <v>11</v>
      </c>
      <c r="AU206">
        <v>0</v>
      </c>
      <c r="AV206">
        <v>11</v>
      </c>
      <c r="AW206">
        <v>11</v>
      </c>
      <c r="AX206">
        <v>123</v>
      </c>
      <c r="AY206" s="5">
        <v>123</v>
      </c>
      <c r="AZ206" t="str">
        <v>GN13</v>
      </c>
      <c r="BA206" t="str">
        <v>QAWWALI URD</v>
      </c>
      <c r="BB206" t="str">
        <v>GENERAL</v>
      </c>
      <c r="BC206" t="str">
        <v>Group</v>
      </c>
      <c r="BD206" t="str">
        <v>Stage</v>
      </c>
      <c r="BE206">
        <v>7</v>
      </c>
      <c r="BF206" t="str">
        <v>General</v>
      </c>
      <c r="BG206" t="str">
        <v>General</v>
      </c>
      <c r="BH206" t="str">
        <v>P</v>
      </c>
      <c r="BI206" t="str">
        <v>PUBLISHED</v>
      </c>
      <c r="BK206">
        <v>200</v>
      </c>
      <c r="BL206" t="str">
        <v>GN09</v>
      </c>
      <c r="BM206" t="str">
        <v>FIQHI DEMO</v>
      </c>
      <c r="BN206">
        <v>0</v>
      </c>
      <c r="BO206" t="str">
        <v>Group</v>
      </c>
      <c r="BP206" t="str">
        <v>Stage</v>
      </c>
      <c r="BQ206" t="str">
        <v>GENERAL</v>
      </c>
      <c r="BR206">
        <v>0</v>
      </c>
      <c r="BS206">
        <v>0</v>
      </c>
      <c r="BT206">
        <v>0</v>
      </c>
      <c r="BU206">
        <v>0</v>
      </c>
      <c r="BV206">
        <v>0</v>
      </c>
      <c r="BW206">
        <v>0</v>
      </c>
      <c r="BX206">
        <v>0</v>
      </c>
      <c r="BY206">
        <v>0</v>
      </c>
      <c r="BZ206">
        <v>0</v>
      </c>
      <c r="CA206">
        <v>0</v>
      </c>
      <c r="CB206">
        <v>0</v>
      </c>
      <c r="CC206">
        <v>0</v>
      </c>
      <c r="CD206">
        <v>0</v>
      </c>
      <c r="CE206">
        <v>0</v>
      </c>
      <c r="CF206">
        <v>0</v>
      </c>
      <c r="CG206">
        <v>0</v>
      </c>
      <c r="CH206">
        <v>0</v>
      </c>
      <c r="CI206">
        <v>0</v>
      </c>
      <c r="CJ206">
        <v>0</v>
      </c>
      <c r="CK206">
        <v>0</v>
      </c>
      <c r="CL206">
        <v>0</v>
      </c>
      <c r="CM206">
        <v>0</v>
      </c>
      <c r="CN206">
        <v>0</v>
      </c>
      <c r="CO206">
        <v>0</v>
      </c>
      <c r="CP206">
        <v>0</v>
      </c>
      <c r="CQ206">
        <v>0</v>
      </c>
      <c r="CR206">
        <v>0</v>
      </c>
      <c r="CS206">
        <v>0</v>
      </c>
      <c r="CT206">
        <v>0</v>
      </c>
      <c r="CU206">
        <v>0</v>
      </c>
      <c r="CV206">
        <v>0</v>
      </c>
      <c r="CW206">
        <v>0</v>
      </c>
      <c r="CX206">
        <v>0</v>
      </c>
      <c r="CY206">
        <v>0</v>
      </c>
      <c r="CZ206">
        <v>0</v>
      </c>
      <c r="DA206">
        <v>0</v>
      </c>
      <c r="DB206">
        <v>0</v>
      </c>
      <c r="DC206">
        <v>0</v>
      </c>
      <c r="DD206">
        <v>0</v>
      </c>
      <c r="DE206">
        <v>0</v>
      </c>
      <c r="DF206">
        <v>0</v>
      </c>
      <c r="DG206">
        <v>0</v>
      </c>
      <c r="DH206">
        <v>0</v>
      </c>
      <c r="DI206">
        <v>0</v>
      </c>
      <c r="DJ206">
        <v>0</v>
      </c>
      <c r="DK206">
        <v>0</v>
      </c>
      <c r="DL206">
        <v>0</v>
      </c>
      <c r="DM206">
        <v>0</v>
      </c>
      <c r="DN206">
        <v>0</v>
      </c>
      <c r="DO206">
        <v>0</v>
      </c>
      <c r="DP206">
        <v>0</v>
      </c>
      <c r="DQ206">
        <v>0</v>
      </c>
      <c r="DR206">
        <v>0</v>
      </c>
      <c r="DS206">
        <v>0</v>
      </c>
      <c r="DT206">
        <v>0</v>
      </c>
      <c r="DU206">
        <v>0</v>
      </c>
      <c r="DV206">
        <v>0</v>
      </c>
      <c r="DW206">
        <v>0</v>
      </c>
      <c r="DX206">
        <v>0</v>
      </c>
      <c r="DY206">
        <v>0</v>
      </c>
      <c r="DZ206">
        <v>0</v>
      </c>
      <c r="EA206">
        <v>0</v>
      </c>
      <c r="EB206">
        <v>0</v>
      </c>
      <c r="EC206">
        <v>0</v>
      </c>
      <c r="ED206">
        <v>0</v>
      </c>
      <c r="EE206">
        <v>0</v>
      </c>
      <c r="EF206">
        <v>0</v>
      </c>
      <c r="EG206">
        <v>0</v>
      </c>
      <c r="EH206">
        <v>0</v>
      </c>
      <c r="EI206">
        <v>0</v>
      </c>
      <c r="EJ206">
        <v>0</v>
      </c>
      <c r="EK206">
        <v>0</v>
      </c>
      <c r="EL206">
        <v>0</v>
      </c>
      <c r="EM206">
        <v>0</v>
      </c>
      <c r="EN206">
        <v>0</v>
      </c>
      <c r="EO206">
        <v>0</v>
      </c>
      <c r="EP206">
        <v>0</v>
      </c>
      <c r="EQ206">
        <v>0</v>
      </c>
      <c r="ER206">
        <v>0</v>
      </c>
      <c r="ES206">
        <v>0</v>
      </c>
      <c r="ET206">
        <v>0</v>
      </c>
      <c r="EU206">
        <v>0</v>
      </c>
      <c r="EV206">
        <v>0</v>
      </c>
      <c r="EW206">
        <v>0</v>
      </c>
      <c r="EX206">
        <v>0</v>
      </c>
      <c r="EY206">
        <v>0</v>
      </c>
      <c r="EZ206">
        <v>0</v>
      </c>
      <c r="FA206">
        <v>0</v>
      </c>
      <c r="FB206">
        <v>0</v>
      </c>
      <c r="FC206">
        <v>0</v>
      </c>
      <c r="FD206">
        <v>0</v>
      </c>
      <c r="FE206">
        <v>0</v>
      </c>
      <c r="FF206">
        <v>0</v>
      </c>
      <c r="FG206">
        <v>0</v>
      </c>
      <c r="FH206">
        <v>0</v>
      </c>
      <c r="FI206">
        <v>0</v>
      </c>
      <c r="FJ206">
        <v>0</v>
      </c>
      <c r="FK206">
        <v>0</v>
      </c>
      <c r="FL206">
        <v>0</v>
      </c>
      <c r="FM206">
        <v>0</v>
      </c>
      <c r="FN206">
        <v>0</v>
      </c>
      <c r="FO206">
        <v>0</v>
      </c>
      <c r="FP206">
        <v>0</v>
      </c>
      <c r="FQ206">
        <v>0</v>
      </c>
      <c r="FR206">
        <v>0</v>
      </c>
      <c r="FS206">
        <v>0</v>
      </c>
      <c r="FT206">
        <v>0</v>
      </c>
      <c r="FU206">
        <v>0</v>
      </c>
      <c r="FV206">
        <v>0</v>
      </c>
      <c r="FW206">
        <v>0</v>
      </c>
      <c r="FX206">
        <v>0</v>
      </c>
      <c r="FY206">
        <v>0</v>
      </c>
      <c r="FZ206">
        <v>0</v>
      </c>
      <c r="GA206">
        <v>0</v>
      </c>
      <c r="GB206">
        <v>0</v>
      </c>
      <c r="GC206">
        <v>0</v>
      </c>
      <c r="GD206">
        <v>0</v>
      </c>
      <c r="GE206">
        <v>0</v>
      </c>
      <c r="GF206">
        <v>0</v>
      </c>
      <c r="GG206">
        <v>0</v>
      </c>
      <c r="GH206">
        <v>0</v>
      </c>
      <c r="GI206">
        <v>0</v>
      </c>
      <c r="GJ206">
        <v>0</v>
      </c>
      <c r="GK206">
        <v>0</v>
      </c>
      <c r="GL206">
        <v>0</v>
      </c>
      <c r="GM206">
        <v>0</v>
      </c>
      <c r="GN206">
        <v>0</v>
      </c>
      <c r="GO206">
        <v>0</v>
      </c>
      <c r="GP206">
        <v>0</v>
      </c>
      <c r="GQ206">
        <v>0</v>
      </c>
      <c r="GR206">
        <v>0</v>
      </c>
      <c r="GS206">
        <v>0</v>
      </c>
      <c r="GT206">
        <v>0</v>
      </c>
      <c r="GU206">
        <v>0</v>
      </c>
      <c r="GV206">
        <v>0</v>
      </c>
      <c r="GW206">
        <v>0</v>
      </c>
      <c r="GX206">
        <v>0</v>
      </c>
      <c r="GY206">
        <v>0</v>
      </c>
      <c r="GZ206">
        <v>0</v>
      </c>
      <c r="HA206">
        <v>0</v>
      </c>
      <c r="HB206">
        <v>0</v>
      </c>
      <c r="HC206">
        <v>0</v>
      </c>
      <c r="HD206">
        <v>0</v>
      </c>
      <c r="HE206">
        <v>0</v>
      </c>
      <c r="HF206">
        <v>0</v>
      </c>
      <c r="HG206">
        <v>0</v>
      </c>
      <c r="HH206">
        <v>0</v>
      </c>
      <c r="HI206">
        <v>0</v>
      </c>
      <c r="HJ206">
        <v>0</v>
      </c>
      <c r="HK206">
        <v>0</v>
      </c>
      <c r="HL206">
        <v>0</v>
      </c>
      <c r="HM206">
        <v>0</v>
      </c>
      <c r="HN206">
        <v>0</v>
      </c>
      <c r="HO206">
        <v>0</v>
      </c>
      <c r="HP206">
        <v>0</v>
      </c>
      <c r="HQ206">
        <v>0</v>
      </c>
      <c r="HR206">
        <v>0</v>
      </c>
      <c r="HS206">
        <v>0</v>
      </c>
      <c r="HT206">
        <v>0</v>
      </c>
      <c r="HU206">
        <v>0</v>
      </c>
      <c r="HV206">
        <v>0</v>
      </c>
      <c r="HW206">
        <v>0</v>
      </c>
      <c r="HX206">
        <v>0</v>
      </c>
      <c r="HY206">
        <v>0</v>
      </c>
      <c r="HZ206">
        <v>0</v>
      </c>
      <c r="IA206">
        <v>0</v>
      </c>
      <c r="IB206">
        <v>0</v>
      </c>
      <c r="IC206">
        <v>0</v>
      </c>
      <c r="ID206">
        <v>0</v>
      </c>
      <c r="IE206">
        <v>0</v>
      </c>
      <c r="IF206">
        <v>0</v>
      </c>
      <c r="IG206">
        <v>0</v>
      </c>
      <c r="IH206">
        <v>0</v>
      </c>
      <c r="II206">
        <v>0</v>
      </c>
      <c r="IJ206">
        <v>0</v>
      </c>
      <c r="IK206">
        <v>0</v>
      </c>
      <c r="IL206">
        <v>0</v>
      </c>
      <c r="IM206">
        <v>0</v>
      </c>
      <c r="IN206">
        <v>0</v>
      </c>
      <c r="IO206">
        <v>0</v>
      </c>
      <c r="IP206">
        <v>0</v>
      </c>
      <c r="IQ206">
        <v>0</v>
      </c>
      <c r="IR206">
        <v>0</v>
      </c>
      <c r="IS206">
        <v>0</v>
      </c>
      <c r="IT206">
        <v>0</v>
      </c>
      <c r="IU206">
        <v>0</v>
      </c>
      <c r="IV206">
        <v>0</v>
      </c>
      <c r="IW206">
        <v>0</v>
      </c>
      <c r="IX206">
        <v>0</v>
      </c>
      <c r="IY206">
        <v>0</v>
      </c>
      <c r="IZ206">
        <v>0</v>
      </c>
      <c r="JA206">
        <v>0</v>
      </c>
      <c r="JB206">
        <v>0</v>
      </c>
      <c r="JC206">
        <v>0</v>
      </c>
      <c r="JD206">
        <v>0</v>
      </c>
      <c r="JE206">
        <v>0</v>
      </c>
      <c r="JF206">
        <v>0</v>
      </c>
      <c r="JG206">
        <v>0</v>
      </c>
      <c r="JH206">
        <v>0</v>
      </c>
      <c r="JI206">
        <v>0</v>
      </c>
      <c r="JJ206">
        <v>0</v>
      </c>
      <c r="JK206">
        <v>0</v>
      </c>
      <c r="JL206">
        <v>0</v>
      </c>
      <c r="JM206">
        <v>0</v>
      </c>
      <c r="JN206">
        <v>0</v>
      </c>
      <c r="JO206">
        <v>0</v>
      </c>
      <c r="JP206">
        <v>0</v>
      </c>
      <c r="JQ206">
        <v>0</v>
      </c>
      <c r="JR206">
        <v>0</v>
      </c>
      <c r="JS206">
        <v>0</v>
      </c>
      <c r="JT206">
        <v>0</v>
      </c>
      <c r="JU206">
        <v>0</v>
      </c>
      <c r="JV206">
        <v>0</v>
      </c>
      <c r="JW206">
        <v>0</v>
      </c>
      <c r="JX206">
        <v>0</v>
      </c>
      <c r="JY206">
        <v>0</v>
      </c>
      <c r="JZ206">
        <v>0</v>
      </c>
      <c r="KA206">
        <v>0</v>
      </c>
      <c r="KB206">
        <v>0</v>
      </c>
      <c r="KC206">
        <v>0</v>
      </c>
      <c r="KD206">
        <v>0</v>
      </c>
      <c r="KE206">
        <v>0</v>
      </c>
      <c r="KF206">
        <v>0</v>
      </c>
      <c r="KG206">
        <v>0</v>
      </c>
      <c r="KH206">
        <v>0</v>
      </c>
      <c r="KI206">
        <v>0</v>
      </c>
      <c r="KJ206">
        <v>0</v>
      </c>
      <c r="KK206">
        <v>0</v>
      </c>
      <c r="KL206">
        <v>0</v>
      </c>
      <c r="KM206">
        <v>0</v>
      </c>
      <c r="KN206">
        <v>0</v>
      </c>
      <c r="KO206">
        <v>0</v>
      </c>
      <c r="KP206">
        <v>0</v>
      </c>
      <c r="KQ206">
        <v>0</v>
      </c>
      <c r="KR206">
        <v>0</v>
      </c>
      <c r="KS206">
        <v>0</v>
      </c>
      <c r="KT206">
        <v>0</v>
      </c>
      <c r="KU206">
        <v>0</v>
      </c>
      <c r="KV206">
        <v>0</v>
      </c>
      <c r="KW206">
        <v>0</v>
      </c>
      <c r="KX206">
        <v>0</v>
      </c>
      <c r="KY206">
        <v>0</v>
      </c>
      <c r="KZ206">
        <v>0</v>
      </c>
      <c r="LA206">
        <v>0</v>
      </c>
      <c r="LB206">
        <v>0</v>
      </c>
      <c r="LC206">
        <v>0</v>
      </c>
      <c r="LD206">
        <v>0</v>
      </c>
      <c r="LE206">
        <v>0</v>
      </c>
      <c r="LF206">
        <v>0</v>
      </c>
      <c r="LG206">
        <v>0</v>
      </c>
      <c r="LH206">
        <v>0</v>
      </c>
      <c r="LI206">
        <v>0</v>
      </c>
      <c r="LJ206">
        <v>0</v>
      </c>
      <c r="LK206">
        <v>0</v>
      </c>
      <c r="LL206">
        <v>0</v>
      </c>
      <c r="LM206">
        <v>0</v>
      </c>
      <c r="LN206">
        <v>0</v>
      </c>
      <c r="LO206">
        <v>0</v>
      </c>
      <c r="LP206">
        <v>0</v>
      </c>
      <c r="LQ206">
        <v>0</v>
      </c>
      <c r="LR206">
        <v>0</v>
      </c>
      <c r="LS206">
        <v>0</v>
      </c>
      <c r="LT206">
        <v>0</v>
      </c>
      <c r="LU206">
        <v>0</v>
      </c>
      <c r="LV206">
        <v>0</v>
      </c>
      <c r="LW206">
        <v>0</v>
      </c>
      <c r="LX206">
        <v>0</v>
      </c>
      <c r="LY206">
        <v>0</v>
      </c>
      <c r="LZ206">
        <v>0</v>
      </c>
      <c r="MA206">
        <v>0</v>
      </c>
      <c r="MB206">
        <v>0</v>
      </c>
      <c r="MC206">
        <v>0</v>
      </c>
      <c r="MD206">
        <v>0</v>
      </c>
      <c r="ME206">
        <v>0</v>
      </c>
      <c r="MF206">
        <v>0</v>
      </c>
      <c r="MG206">
        <v>0</v>
      </c>
      <c r="MH206">
        <v>0</v>
      </c>
      <c r="MI206">
        <v>0</v>
      </c>
      <c r="MJ206">
        <v>0</v>
      </c>
      <c r="MK206">
        <v>0</v>
      </c>
      <c r="ML206">
        <v>0</v>
      </c>
      <c r="MM206">
        <v>0</v>
      </c>
      <c r="MN206">
        <v>0</v>
      </c>
      <c r="MO206">
        <v>0</v>
      </c>
      <c r="MP206">
        <v>0</v>
      </c>
      <c r="MQ206">
        <v>0</v>
      </c>
      <c r="MR206">
        <v>0</v>
      </c>
      <c r="MS206">
        <v>0</v>
      </c>
      <c r="MT206">
        <v>0</v>
      </c>
      <c r="MU206">
        <v>0</v>
      </c>
      <c r="MV206">
        <v>0</v>
      </c>
      <c r="MW206">
        <v>0</v>
      </c>
      <c r="MX206">
        <v>0</v>
      </c>
      <c r="MY206">
        <v>0</v>
      </c>
      <c r="MZ206">
        <v>0</v>
      </c>
      <c r="NA206">
        <v>0</v>
      </c>
      <c r="NB206">
        <v>0</v>
      </c>
      <c r="NC206">
        <v>0</v>
      </c>
      <c r="ND206">
        <v>0</v>
      </c>
      <c r="NE206">
        <v>0</v>
      </c>
    </row>
    <row r="207" spans="41:369" x14ac:dyDescent="0.45">
      <c r="AO207" t="str">
        <v>C163</v>
      </c>
      <c r="AP207" t="str">
        <v>MOHAMMED SAHEED A.K</v>
      </c>
      <c r="AQ207" t="str">
        <v>JARF</v>
      </c>
      <c r="AR207" t="str">
        <v>SENIOR</v>
      </c>
      <c r="AS207">
        <v>7</v>
      </c>
      <c r="AT207">
        <v>12</v>
      </c>
      <c r="AU207">
        <v>0</v>
      </c>
      <c r="AV207">
        <v>12</v>
      </c>
      <c r="AW207">
        <v>12</v>
      </c>
      <c r="AX207">
        <v>119</v>
      </c>
      <c r="AY207" s="5">
        <v>119</v>
      </c>
      <c r="AZ207" t="str">
        <v>GN14</v>
      </c>
      <c r="BA207" t="str">
        <v>SUFI SANGEEDAM</v>
      </c>
      <c r="BB207" t="str">
        <v>GENERAL</v>
      </c>
      <c r="BC207" t="str">
        <v>Group</v>
      </c>
      <c r="BD207" t="str">
        <v>Stage</v>
      </c>
      <c r="BE207">
        <v>3</v>
      </c>
      <c r="BF207" t="str">
        <v>General</v>
      </c>
      <c r="BG207" t="str">
        <v>General</v>
      </c>
      <c r="BH207" t="str">
        <v>P</v>
      </c>
      <c r="BI207" t="str">
        <v>PUBLISHED</v>
      </c>
      <c r="BK207">
        <v>201</v>
      </c>
      <c r="BL207" t="str">
        <v>GN10</v>
      </c>
      <c r="BM207" t="str">
        <v>ISHQE RASOOL</v>
      </c>
      <c r="BN207">
        <v>6</v>
      </c>
      <c r="BO207" t="str">
        <v>Group</v>
      </c>
      <c r="BP207" t="str">
        <v>Stage</v>
      </c>
      <c r="BQ207" t="str">
        <v>GENERAL</v>
      </c>
      <c r="BR207" t="str">
        <v>D186</v>
      </c>
      <c r="BS207" t="str">
        <v>D175</v>
      </c>
      <c r="BT207" t="str">
        <v>C134</v>
      </c>
      <c r="BU207" t="str">
        <v>D147</v>
      </c>
      <c r="BV207" t="str">
        <v>B143</v>
      </c>
      <c r="BW207" t="str">
        <v>B129</v>
      </c>
      <c r="BX207">
        <v>0</v>
      </c>
      <c r="BY207" t="str">
        <v>C120</v>
      </c>
      <c r="BZ207" t="str">
        <v>D121</v>
      </c>
      <c r="CA207" t="str">
        <v>D131</v>
      </c>
      <c r="CB207" t="str">
        <v>D140</v>
      </c>
      <c r="CC207" t="str">
        <v>D166</v>
      </c>
      <c r="CD207" t="str">
        <v>D179</v>
      </c>
      <c r="CE207">
        <v>0</v>
      </c>
      <c r="CF207" t="str">
        <v>D155</v>
      </c>
      <c r="CG207" t="str">
        <v>D137</v>
      </c>
      <c r="CH207" t="str">
        <v>D124</v>
      </c>
      <c r="CI207" t="str">
        <v>B153</v>
      </c>
      <c r="CJ207" t="str">
        <v>D178</v>
      </c>
      <c r="CK207" t="str">
        <v>D161</v>
      </c>
      <c r="CL207">
        <v>0</v>
      </c>
      <c r="CM207" t="str">
        <v>D194</v>
      </c>
      <c r="CN207" t="str">
        <v>D176</v>
      </c>
      <c r="CO207" t="str">
        <v>C165</v>
      </c>
      <c r="CP207" t="str">
        <v>C167</v>
      </c>
      <c r="CQ207" t="str">
        <v>D136</v>
      </c>
      <c r="CR207" t="str">
        <v>C147</v>
      </c>
      <c r="CS207">
        <v>0</v>
      </c>
      <c r="CT207">
        <v>0</v>
      </c>
      <c r="CU207">
        <v>0</v>
      </c>
      <c r="CV207">
        <v>0</v>
      </c>
      <c r="CW207">
        <v>0</v>
      </c>
      <c r="CX207">
        <v>0</v>
      </c>
      <c r="CY207">
        <v>0</v>
      </c>
      <c r="CZ207">
        <v>0</v>
      </c>
      <c r="DA207">
        <v>0</v>
      </c>
      <c r="DB207">
        <v>0</v>
      </c>
      <c r="DC207">
        <v>0</v>
      </c>
      <c r="DD207">
        <v>0</v>
      </c>
      <c r="DE207">
        <v>0</v>
      </c>
      <c r="DF207">
        <v>0</v>
      </c>
      <c r="DG207">
        <v>0</v>
      </c>
      <c r="DH207">
        <v>0</v>
      </c>
      <c r="DI207">
        <v>0</v>
      </c>
      <c r="DJ207">
        <v>0</v>
      </c>
      <c r="DK207">
        <v>0</v>
      </c>
      <c r="DL207">
        <v>0</v>
      </c>
      <c r="DM207">
        <v>0</v>
      </c>
      <c r="DN207">
        <v>0</v>
      </c>
      <c r="DO207">
        <v>0</v>
      </c>
      <c r="DP207">
        <v>0</v>
      </c>
      <c r="DQ207">
        <v>0</v>
      </c>
      <c r="DR207">
        <v>0</v>
      </c>
      <c r="DS207">
        <v>0</v>
      </c>
      <c r="DT207">
        <v>0</v>
      </c>
      <c r="DU207">
        <v>0</v>
      </c>
      <c r="DV207">
        <v>0</v>
      </c>
      <c r="DW207">
        <v>0</v>
      </c>
      <c r="DX207">
        <v>0</v>
      </c>
      <c r="DY207">
        <v>0</v>
      </c>
      <c r="DZ207">
        <v>0</v>
      </c>
      <c r="EA207">
        <v>0</v>
      </c>
      <c r="EB207">
        <v>0</v>
      </c>
      <c r="EC207">
        <v>0</v>
      </c>
      <c r="ED207">
        <v>0</v>
      </c>
      <c r="EE207">
        <v>0</v>
      </c>
      <c r="EF207">
        <v>0</v>
      </c>
      <c r="EG207">
        <v>0</v>
      </c>
      <c r="EH207">
        <v>0</v>
      </c>
      <c r="EI207">
        <v>0</v>
      </c>
      <c r="EJ207">
        <v>0</v>
      </c>
      <c r="EK207">
        <v>0</v>
      </c>
      <c r="EL207">
        <v>0</v>
      </c>
      <c r="EM207">
        <v>0</v>
      </c>
      <c r="EN207">
        <v>0</v>
      </c>
      <c r="EO207">
        <v>0</v>
      </c>
      <c r="EP207">
        <v>0</v>
      </c>
      <c r="EQ207">
        <v>0</v>
      </c>
      <c r="ER207">
        <v>0</v>
      </c>
      <c r="ES207">
        <v>0</v>
      </c>
      <c r="ET207">
        <v>0</v>
      </c>
      <c r="EU207">
        <v>0</v>
      </c>
      <c r="EV207">
        <v>0</v>
      </c>
      <c r="EW207">
        <v>0</v>
      </c>
      <c r="EX207">
        <v>0</v>
      </c>
      <c r="EY207">
        <v>0</v>
      </c>
      <c r="EZ207">
        <v>0</v>
      </c>
      <c r="FA207">
        <v>0</v>
      </c>
      <c r="FB207">
        <v>0</v>
      </c>
      <c r="FC207">
        <v>0</v>
      </c>
      <c r="FD207">
        <v>0</v>
      </c>
      <c r="FE207">
        <v>0</v>
      </c>
      <c r="FF207">
        <v>0</v>
      </c>
      <c r="FG207">
        <v>0</v>
      </c>
      <c r="FH207">
        <v>0</v>
      </c>
      <c r="FI207">
        <v>0</v>
      </c>
      <c r="FJ207">
        <v>0</v>
      </c>
      <c r="FK207">
        <v>0</v>
      </c>
      <c r="FL207">
        <v>0</v>
      </c>
      <c r="FM207">
        <v>0</v>
      </c>
      <c r="FN207">
        <v>0</v>
      </c>
      <c r="FO207">
        <v>0</v>
      </c>
      <c r="FP207">
        <v>0</v>
      </c>
      <c r="FQ207">
        <v>0</v>
      </c>
      <c r="FR207">
        <v>0</v>
      </c>
      <c r="FS207">
        <v>0</v>
      </c>
      <c r="FT207">
        <v>0</v>
      </c>
      <c r="FU207">
        <v>0</v>
      </c>
      <c r="FV207">
        <v>0</v>
      </c>
      <c r="FW207">
        <v>0</v>
      </c>
      <c r="FX207">
        <v>0</v>
      </c>
      <c r="FY207">
        <v>0</v>
      </c>
      <c r="FZ207">
        <v>0</v>
      </c>
      <c r="GA207">
        <v>0</v>
      </c>
      <c r="GB207">
        <v>0</v>
      </c>
      <c r="GC207">
        <v>0</v>
      </c>
      <c r="GD207">
        <v>0</v>
      </c>
      <c r="GE207">
        <v>0</v>
      </c>
      <c r="GF207">
        <v>0</v>
      </c>
      <c r="GG207">
        <v>0</v>
      </c>
      <c r="GH207">
        <v>0</v>
      </c>
      <c r="GI207">
        <v>0</v>
      </c>
      <c r="GJ207">
        <v>0</v>
      </c>
      <c r="GK207">
        <v>0</v>
      </c>
      <c r="GL207">
        <v>0</v>
      </c>
      <c r="GM207">
        <v>0</v>
      </c>
      <c r="GN207">
        <v>0</v>
      </c>
      <c r="GO207">
        <v>0</v>
      </c>
      <c r="GP207">
        <v>0</v>
      </c>
      <c r="GQ207">
        <v>0</v>
      </c>
      <c r="GR207">
        <v>0</v>
      </c>
      <c r="GS207">
        <v>0</v>
      </c>
      <c r="GT207">
        <v>0</v>
      </c>
      <c r="GU207">
        <v>0</v>
      </c>
      <c r="GV207">
        <v>0</v>
      </c>
      <c r="GW207">
        <v>0</v>
      </c>
      <c r="GX207">
        <v>0</v>
      </c>
      <c r="GY207">
        <v>0</v>
      </c>
      <c r="GZ207">
        <v>0</v>
      </c>
      <c r="HA207">
        <v>0</v>
      </c>
      <c r="HB207">
        <v>0</v>
      </c>
      <c r="HC207">
        <v>0</v>
      </c>
      <c r="HD207">
        <v>0</v>
      </c>
      <c r="HE207">
        <v>0</v>
      </c>
      <c r="HF207">
        <v>0</v>
      </c>
      <c r="HG207">
        <v>0</v>
      </c>
      <c r="HH207">
        <v>0</v>
      </c>
      <c r="HI207">
        <v>0</v>
      </c>
      <c r="HJ207">
        <v>0</v>
      </c>
      <c r="HK207">
        <v>0</v>
      </c>
      <c r="HL207">
        <v>0</v>
      </c>
      <c r="HM207">
        <v>0</v>
      </c>
      <c r="HN207">
        <v>0</v>
      </c>
      <c r="HO207">
        <v>0</v>
      </c>
      <c r="HP207">
        <v>0</v>
      </c>
      <c r="HQ207">
        <v>0</v>
      </c>
      <c r="HR207">
        <v>0</v>
      </c>
      <c r="HS207">
        <v>0</v>
      </c>
      <c r="HT207">
        <v>0</v>
      </c>
      <c r="HU207">
        <v>0</v>
      </c>
      <c r="HV207">
        <v>0</v>
      </c>
      <c r="HW207">
        <v>0</v>
      </c>
      <c r="HX207">
        <v>0</v>
      </c>
      <c r="HY207">
        <v>0</v>
      </c>
      <c r="HZ207">
        <v>0</v>
      </c>
      <c r="IA207">
        <v>0</v>
      </c>
      <c r="IB207">
        <v>0</v>
      </c>
      <c r="IC207">
        <v>0</v>
      </c>
      <c r="ID207">
        <v>0</v>
      </c>
      <c r="IE207">
        <v>0</v>
      </c>
      <c r="IF207">
        <v>0</v>
      </c>
      <c r="IG207">
        <v>0</v>
      </c>
      <c r="IH207">
        <v>0</v>
      </c>
      <c r="II207">
        <v>0</v>
      </c>
      <c r="IJ207">
        <v>0</v>
      </c>
      <c r="IK207">
        <v>0</v>
      </c>
      <c r="IL207">
        <v>0</v>
      </c>
      <c r="IM207">
        <v>0</v>
      </c>
      <c r="IN207">
        <v>0</v>
      </c>
      <c r="IO207">
        <v>0</v>
      </c>
      <c r="IP207">
        <v>0</v>
      </c>
      <c r="IQ207">
        <v>0</v>
      </c>
      <c r="IR207">
        <v>0</v>
      </c>
      <c r="IS207">
        <v>0</v>
      </c>
      <c r="IT207">
        <v>0</v>
      </c>
      <c r="IU207">
        <v>0</v>
      </c>
      <c r="IV207">
        <v>0</v>
      </c>
      <c r="IW207">
        <v>0</v>
      </c>
      <c r="IX207">
        <v>0</v>
      </c>
      <c r="IY207">
        <v>0</v>
      </c>
      <c r="IZ207">
        <v>0</v>
      </c>
      <c r="JA207">
        <v>0</v>
      </c>
      <c r="JB207">
        <v>0</v>
      </c>
      <c r="JC207">
        <v>0</v>
      </c>
      <c r="JD207">
        <v>0</v>
      </c>
      <c r="JE207">
        <v>0</v>
      </c>
      <c r="JF207">
        <v>0</v>
      </c>
      <c r="JG207">
        <v>0</v>
      </c>
      <c r="JH207">
        <v>0</v>
      </c>
      <c r="JI207">
        <v>0</v>
      </c>
      <c r="JJ207">
        <v>0</v>
      </c>
      <c r="JK207">
        <v>0</v>
      </c>
      <c r="JL207">
        <v>0</v>
      </c>
      <c r="JM207">
        <v>0</v>
      </c>
      <c r="JN207">
        <v>0</v>
      </c>
      <c r="JO207">
        <v>0</v>
      </c>
      <c r="JP207">
        <v>0</v>
      </c>
      <c r="JQ207">
        <v>0</v>
      </c>
      <c r="JR207">
        <v>0</v>
      </c>
      <c r="JS207">
        <v>0</v>
      </c>
      <c r="JT207">
        <v>0</v>
      </c>
      <c r="JU207">
        <v>0</v>
      </c>
      <c r="JV207">
        <v>0</v>
      </c>
      <c r="JW207">
        <v>0</v>
      </c>
      <c r="JX207">
        <v>0</v>
      </c>
      <c r="JY207">
        <v>0</v>
      </c>
      <c r="JZ207">
        <v>0</v>
      </c>
      <c r="KA207">
        <v>0</v>
      </c>
      <c r="KB207">
        <v>0</v>
      </c>
      <c r="KC207">
        <v>0</v>
      </c>
      <c r="KD207">
        <v>0</v>
      </c>
      <c r="KE207">
        <v>0</v>
      </c>
      <c r="KF207">
        <v>0</v>
      </c>
      <c r="KG207">
        <v>0</v>
      </c>
      <c r="KH207">
        <v>0</v>
      </c>
      <c r="KI207">
        <v>0</v>
      </c>
      <c r="KJ207">
        <v>0</v>
      </c>
      <c r="KK207">
        <v>0</v>
      </c>
      <c r="KL207">
        <v>0</v>
      </c>
      <c r="KM207">
        <v>0</v>
      </c>
      <c r="KN207">
        <v>0</v>
      </c>
      <c r="KO207">
        <v>0</v>
      </c>
      <c r="KP207">
        <v>0</v>
      </c>
      <c r="KQ207">
        <v>0</v>
      </c>
      <c r="KR207">
        <v>0</v>
      </c>
      <c r="KS207">
        <v>0</v>
      </c>
      <c r="KT207">
        <v>0</v>
      </c>
      <c r="KU207">
        <v>0</v>
      </c>
      <c r="KV207">
        <v>0</v>
      </c>
      <c r="KW207">
        <v>0</v>
      </c>
      <c r="KX207">
        <v>0</v>
      </c>
      <c r="KY207">
        <v>0</v>
      </c>
      <c r="KZ207">
        <v>0</v>
      </c>
      <c r="LA207">
        <v>0</v>
      </c>
      <c r="LB207">
        <v>0</v>
      </c>
      <c r="LC207">
        <v>0</v>
      </c>
      <c r="LD207">
        <v>0</v>
      </c>
      <c r="LE207">
        <v>0</v>
      </c>
      <c r="LF207">
        <v>0</v>
      </c>
      <c r="LG207">
        <v>0</v>
      </c>
      <c r="LH207">
        <v>0</v>
      </c>
      <c r="LI207">
        <v>0</v>
      </c>
      <c r="LJ207">
        <v>0</v>
      </c>
      <c r="LK207">
        <v>0</v>
      </c>
      <c r="LL207">
        <v>0</v>
      </c>
      <c r="LM207">
        <v>0</v>
      </c>
      <c r="LN207">
        <v>0</v>
      </c>
      <c r="LO207">
        <v>0</v>
      </c>
      <c r="LP207">
        <v>0</v>
      </c>
      <c r="LQ207">
        <v>0</v>
      </c>
      <c r="LR207">
        <v>0</v>
      </c>
      <c r="LS207">
        <v>0</v>
      </c>
      <c r="LT207">
        <v>0</v>
      </c>
      <c r="LU207">
        <v>0</v>
      </c>
      <c r="LV207">
        <v>0</v>
      </c>
      <c r="LW207">
        <v>0</v>
      </c>
      <c r="LX207">
        <v>0</v>
      </c>
      <c r="LY207">
        <v>0</v>
      </c>
      <c r="LZ207">
        <v>0</v>
      </c>
      <c r="MA207">
        <v>0</v>
      </c>
      <c r="MB207">
        <v>0</v>
      </c>
      <c r="MC207">
        <v>0</v>
      </c>
      <c r="MD207">
        <v>0</v>
      </c>
      <c r="ME207">
        <v>0</v>
      </c>
      <c r="MF207">
        <v>0</v>
      </c>
      <c r="MG207">
        <v>0</v>
      </c>
      <c r="MH207">
        <v>0</v>
      </c>
      <c r="MI207">
        <v>0</v>
      </c>
      <c r="MJ207">
        <v>0</v>
      </c>
      <c r="MK207">
        <v>0</v>
      </c>
      <c r="ML207">
        <v>0</v>
      </c>
      <c r="MM207">
        <v>0</v>
      </c>
      <c r="MN207">
        <v>0</v>
      </c>
      <c r="MO207">
        <v>0</v>
      </c>
      <c r="MP207">
        <v>0</v>
      </c>
      <c r="MQ207">
        <v>0</v>
      </c>
      <c r="MR207">
        <v>0</v>
      </c>
      <c r="MS207">
        <v>0</v>
      </c>
      <c r="MT207">
        <v>0</v>
      </c>
      <c r="MU207">
        <v>0</v>
      </c>
      <c r="MV207">
        <v>0</v>
      </c>
      <c r="MW207">
        <v>0</v>
      </c>
      <c r="MX207">
        <v>0</v>
      </c>
      <c r="MY207">
        <v>0</v>
      </c>
      <c r="MZ207">
        <v>0</v>
      </c>
      <c r="NA207">
        <v>0</v>
      </c>
      <c r="NB207">
        <v>0</v>
      </c>
      <c r="NC207">
        <v>0</v>
      </c>
      <c r="ND207">
        <v>0</v>
      </c>
      <c r="NE207">
        <v>0</v>
      </c>
    </row>
    <row r="208" spans="41:369" x14ac:dyDescent="0.45">
      <c r="AO208" t="str">
        <v>C164</v>
      </c>
      <c r="AP208" t="str">
        <v>AHMED FAHEEM MA</v>
      </c>
      <c r="AQ208" t="str">
        <v>FANT</v>
      </c>
      <c r="AR208" t="str">
        <v>SENIOR</v>
      </c>
      <c r="AS208">
        <v>7</v>
      </c>
      <c r="AT208">
        <v>9</v>
      </c>
      <c r="AU208">
        <v>0</v>
      </c>
      <c r="AV208">
        <v>9</v>
      </c>
      <c r="AW208">
        <v>9</v>
      </c>
      <c r="AX208">
        <v>139</v>
      </c>
      <c r="AY208" s="5">
        <v>139</v>
      </c>
      <c r="AZ208">
        <v>0</v>
      </c>
      <c r="BA208">
        <v>0</v>
      </c>
      <c r="BB208">
        <v>0</v>
      </c>
      <c r="BC208">
        <v>0</v>
      </c>
      <c r="BD208">
        <v>0</v>
      </c>
      <c r="BE208">
        <v>0</v>
      </c>
      <c r="BF208">
        <v>0</v>
      </c>
      <c r="BG208">
        <v>0</v>
      </c>
      <c r="BH208">
        <v>0</v>
      </c>
      <c r="BI208" t="str">
        <v/>
      </c>
      <c r="BK208">
        <v>202</v>
      </c>
      <c r="BL208" t="str">
        <v>GN11</v>
      </c>
      <c r="BM208" t="str">
        <v>MUNĀẒARAH</v>
      </c>
      <c r="BN208">
        <v>3</v>
      </c>
      <c r="BO208" t="str">
        <v>Group</v>
      </c>
      <c r="BP208" t="str">
        <v>Stage</v>
      </c>
      <c r="BQ208" t="str">
        <v>GENERAL</v>
      </c>
      <c r="BR208" t="str">
        <v>D177</v>
      </c>
      <c r="BS208" t="str">
        <v>D128</v>
      </c>
      <c r="BT208" t="str">
        <v>D142</v>
      </c>
      <c r="BU208">
        <v>0</v>
      </c>
      <c r="BV208">
        <v>0</v>
      </c>
      <c r="BW208">
        <v>0</v>
      </c>
      <c r="BX208">
        <v>0</v>
      </c>
      <c r="BY208" t="str">
        <v>D140</v>
      </c>
      <c r="BZ208" t="str">
        <v>D107</v>
      </c>
      <c r="CA208" t="str">
        <v>C136</v>
      </c>
      <c r="CB208">
        <v>0</v>
      </c>
      <c r="CC208">
        <v>0</v>
      </c>
      <c r="CD208">
        <v>0</v>
      </c>
      <c r="CE208">
        <v>0</v>
      </c>
      <c r="CF208" t="str">
        <v>D178</v>
      </c>
      <c r="CG208" t="str">
        <v>D162</v>
      </c>
      <c r="CH208" t="str">
        <v>D195</v>
      </c>
      <c r="CI208">
        <v>0</v>
      </c>
      <c r="CJ208">
        <v>0</v>
      </c>
      <c r="CK208">
        <v>0</v>
      </c>
      <c r="CL208">
        <v>0</v>
      </c>
      <c r="CM208" t="str">
        <v>D149</v>
      </c>
      <c r="CN208" t="str">
        <v>D104</v>
      </c>
      <c r="CO208" t="str">
        <v>C175</v>
      </c>
      <c r="CP208">
        <v>0</v>
      </c>
      <c r="CQ208">
        <v>0</v>
      </c>
      <c r="CR208">
        <v>0</v>
      </c>
      <c r="CS208">
        <v>0</v>
      </c>
      <c r="CT208">
        <v>0</v>
      </c>
      <c r="CU208">
        <v>0</v>
      </c>
      <c r="CV208">
        <v>0</v>
      </c>
      <c r="CW208">
        <v>0</v>
      </c>
      <c r="CX208">
        <v>0</v>
      </c>
      <c r="CY208">
        <v>0</v>
      </c>
      <c r="CZ208">
        <v>0</v>
      </c>
      <c r="DA208">
        <v>0</v>
      </c>
      <c r="DB208">
        <v>0</v>
      </c>
      <c r="DC208">
        <v>0</v>
      </c>
      <c r="DD208">
        <v>0</v>
      </c>
      <c r="DE208">
        <v>0</v>
      </c>
      <c r="DF208">
        <v>0</v>
      </c>
      <c r="DG208">
        <v>0</v>
      </c>
      <c r="DH208">
        <v>0</v>
      </c>
      <c r="DI208">
        <v>0</v>
      </c>
      <c r="DJ208">
        <v>0</v>
      </c>
      <c r="DK208">
        <v>0</v>
      </c>
      <c r="DL208">
        <v>0</v>
      </c>
      <c r="DM208">
        <v>0</v>
      </c>
      <c r="DN208">
        <v>0</v>
      </c>
      <c r="DO208">
        <v>0</v>
      </c>
      <c r="DP208">
        <v>0</v>
      </c>
      <c r="DQ208">
        <v>0</v>
      </c>
      <c r="DR208">
        <v>0</v>
      </c>
      <c r="DS208">
        <v>0</v>
      </c>
      <c r="DT208">
        <v>0</v>
      </c>
      <c r="DU208">
        <v>0</v>
      </c>
      <c r="DV208">
        <v>0</v>
      </c>
      <c r="DW208">
        <v>0</v>
      </c>
      <c r="DX208">
        <v>0</v>
      </c>
      <c r="DY208">
        <v>0</v>
      </c>
      <c r="DZ208">
        <v>0</v>
      </c>
      <c r="EA208">
        <v>0</v>
      </c>
      <c r="EB208">
        <v>0</v>
      </c>
      <c r="EC208">
        <v>0</v>
      </c>
      <c r="ED208">
        <v>0</v>
      </c>
      <c r="EE208">
        <v>0</v>
      </c>
      <c r="EF208">
        <v>0</v>
      </c>
      <c r="EG208">
        <v>0</v>
      </c>
      <c r="EH208">
        <v>0</v>
      </c>
      <c r="EI208">
        <v>0</v>
      </c>
      <c r="EJ208">
        <v>0</v>
      </c>
      <c r="EK208">
        <v>0</v>
      </c>
      <c r="EL208">
        <v>0</v>
      </c>
      <c r="EM208">
        <v>0</v>
      </c>
      <c r="EN208">
        <v>0</v>
      </c>
      <c r="EO208">
        <v>0</v>
      </c>
      <c r="EP208">
        <v>0</v>
      </c>
      <c r="EQ208">
        <v>0</v>
      </c>
      <c r="ER208">
        <v>0</v>
      </c>
      <c r="ES208">
        <v>0</v>
      </c>
      <c r="ET208">
        <v>0</v>
      </c>
      <c r="EU208">
        <v>0</v>
      </c>
      <c r="EV208">
        <v>0</v>
      </c>
      <c r="EW208">
        <v>0</v>
      </c>
      <c r="EX208">
        <v>0</v>
      </c>
      <c r="EY208">
        <v>0</v>
      </c>
      <c r="EZ208">
        <v>0</v>
      </c>
      <c r="FA208">
        <v>0</v>
      </c>
      <c r="FB208">
        <v>0</v>
      </c>
      <c r="FC208">
        <v>0</v>
      </c>
      <c r="FD208">
        <v>0</v>
      </c>
      <c r="FE208">
        <v>0</v>
      </c>
      <c r="FF208">
        <v>0</v>
      </c>
      <c r="FG208">
        <v>0</v>
      </c>
      <c r="FH208">
        <v>0</v>
      </c>
      <c r="FI208">
        <v>0</v>
      </c>
      <c r="FJ208">
        <v>0</v>
      </c>
      <c r="FK208">
        <v>0</v>
      </c>
      <c r="FL208">
        <v>0</v>
      </c>
      <c r="FM208">
        <v>0</v>
      </c>
      <c r="FN208">
        <v>0</v>
      </c>
      <c r="FO208">
        <v>0</v>
      </c>
      <c r="FP208">
        <v>0</v>
      </c>
      <c r="FQ208">
        <v>0</v>
      </c>
      <c r="FR208">
        <v>0</v>
      </c>
      <c r="FS208">
        <v>0</v>
      </c>
      <c r="FT208">
        <v>0</v>
      </c>
      <c r="FU208">
        <v>0</v>
      </c>
      <c r="FV208">
        <v>0</v>
      </c>
      <c r="FW208">
        <v>0</v>
      </c>
      <c r="FX208">
        <v>0</v>
      </c>
      <c r="FY208">
        <v>0</v>
      </c>
      <c r="FZ208">
        <v>0</v>
      </c>
      <c r="GA208">
        <v>0</v>
      </c>
      <c r="GB208">
        <v>0</v>
      </c>
      <c r="GC208">
        <v>0</v>
      </c>
      <c r="GD208">
        <v>0</v>
      </c>
      <c r="GE208">
        <v>0</v>
      </c>
      <c r="GF208">
        <v>0</v>
      </c>
      <c r="GG208">
        <v>0</v>
      </c>
      <c r="GH208">
        <v>0</v>
      </c>
      <c r="GI208">
        <v>0</v>
      </c>
      <c r="GJ208">
        <v>0</v>
      </c>
      <c r="GK208">
        <v>0</v>
      </c>
      <c r="GL208">
        <v>0</v>
      </c>
      <c r="GM208">
        <v>0</v>
      </c>
      <c r="GN208">
        <v>0</v>
      </c>
      <c r="GO208">
        <v>0</v>
      </c>
      <c r="GP208">
        <v>0</v>
      </c>
      <c r="GQ208">
        <v>0</v>
      </c>
      <c r="GR208">
        <v>0</v>
      </c>
      <c r="GS208">
        <v>0</v>
      </c>
      <c r="GT208">
        <v>0</v>
      </c>
      <c r="GU208">
        <v>0</v>
      </c>
      <c r="GV208">
        <v>0</v>
      </c>
      <c r="GW208">
        <v>0</v>
      </c>
      <c r="GX208">
        <v>0</v>
      </c>
      <c r="GY208">
        <v>0</v>
      </c>
      <c r="GZ208">
        <v>0</v>
      </c>
      <c r="HA208">
        <v>0</v>
      </c>
      <c r="HB208">
        <v>0</v>
      </c>
      <c r="HC208">
        <v>0</v>
      </c>
      <c r="HD208">
        <v>0</v>
      </c>
      <c r="HE208">
        <v>0</v>
      </c>
      <c r="HF208">
        <v>0</v>
      </c>
      <c r="HG208">
        <v>0</v>
      </c>
      <c r="HH208">
        <v>0</v>
      </c>
      <c r="HI208">
        <v>0</v>
      </c>
      <c r="HJ208">
        <v>0</v>
      </c>
      <c r="HK208">
        <v>0</v>
      </c>
      <c r="HL208">
        <v>0</v>
      </c>
      <c r="HM208">
        <v>0</v>
      </c>
      <c r="HN208">
        <v>0</v>
      </c>
      <c r="HO208">
        <v>0</v>
      </c>
      <c r="HP208">
        <v>0</v>
      </c>
      <c r="HQ208">
        <v>0</v>
      </c>
      <c r="HR208">
        <v>0</v>
      </c>
      <c r="HS208">
        <v>0</v>
      </c>
      <c r="HT208">
        <v>0</v>
      </c>
      <c r="HU208">
        <v>0</v>
      </c>
      <c r="HV208">
        <v>0</v>
      </c>
      <c r="HW208">
        <v>0</v>
      </c>
      <c r="HX208">
        <v>0</v>
      </c>
      <c r="HY208">
        <v>0</v>
      </c>
      <c r="HZ208">
        <v>0</v>
      </c>
      <c r="IA208">
        <v>0</v>
      </c>
      <c r="IB208">
        <v>0</v>
      </c>
      <c r="IC208">
        <v>0</v>
      </c>
      <c r="ID208">
        <v>0</v>
      </c>
      <c r="IE208">
        <v>0</v>
      </c>
      <c r="IF208">
        <v>0</v>
      </c>
      <c r="IG208">
        <v>0</v>
      </c>
      <c r="IH208">
        <v>0</v>
      </c>
      <c r="II208">
        <v>0</v>
      </c>
      <c r="IJ208">
        <v>0</v>
      </c>
      <c r="IK208">
        <v>0</v>
      </c>
      <c r="IL208">
        <v>0</v>
      </c>
      <c r="IM208">
        <v>0</v>
      </c>
      <c r="IN208">
        <v>0</v>
      </c>
      <c r="IO208">
        <v>0</v>
      </c>
      <c r="IP208">
        <v>0</v>
      </c>
      <c r="IQ208">
        <v>0</v>
      </c>
      <c r="IR208">
        <v>0</v>
      </c>
      <c r="IS208">
        <v>0</v>
      </c>
      <c r="IT208">
        <v>0</v>
      </c>
      <c r="IU208">
        <v>0</v>
      </c>
      <c r="IV208">
        <v>0</v>
      </c>
      <c r="IW208">
        <v>0</v>
      </c>
      <c r="IX208">
        <v>0</v>
      </c>
      <c r="IY208">
        <v>0</v>
      </c>
      <c r="IZ208">
        <v>0</v>
      </c>
      <c r="JA208">
        <v>0</v>
      </c>
      <c r="JB208">
        <v>0</v>
      </c>
      <c r="JC208">
        <v>0</v>
      </c>
      <c r="JD208">
        <v>0</v>
      </c>
      <c r="JE208">
        <v>0</v>
      </c>
      <c r="JF208">
        <v>0</v>
      </c>
      <c r="JG208">
        <v>0</v>
      </c>
      <c r="JH208">
        <v>0</v>
      </c>
      <c r="JI208">
        <v>0</v>
      </c>
      <c r="JJ208">
        <v>0</v>
      </c>
      <c r="JK208">
        <v>0</v>
      </c>
      <c r="JL208">
        <v>0</v>
      </c>
      <c r="JM208">
        <v>0</v>
      </c>
      <c r="JN208">
        <v>0</v>
      </c>
      <c r="JO208">
        <v>0</v>
      </c>
      <c r="JP208">
        <v>0</v>
      </c>
      <c r="JQ208">
        <v>0</v>
      </c>
      <c r="JR208">
        <v>0</v>
      </c>
      <c r="JS208">
        <v>0</v>
      </c>
      <c r="JT208">
        <v>0</v>
      </c>
      <c r="JU208">
        <v>0</v>
      </c>
      <c r="JV208">
        <v>0</v>
      </c>
      <c r="JW208">
        <v>0</v>
      </c>
      <c r="JX208">
        <v>0</v>
      </c>
      <c r="JY208">
        <v>0</v>
      </c>
      <c r="JZ208">
        <v>0</v>
      </c>
      <c r="KA208">
        <v>0</v>
      </c>
      <c r="KB208">
        <v>0</v>
      </c>
      <c r="KC208">
        <v>0</v>
      </c>
      <c r="KD208">
        <v>0</v>
      </c>
      <c r="KE208">
        <v>0</v>
      </c>
      <c r="KF208">
        <v>0</v>
      </c>
      <c r="KG208">
        <v>0</v>
      </c>
      <c r="KH208">
        <v>0</v>
      </c>
      <c r="KI208">
        <v>0</v>
      </c>
      <c r="KJ208">
        <v>0</v>
      </c>
      <c r="KK208">
        <v>0</v>
      </c>
      <c r="KL208">
        <v>0</v>
      </c>
      <c r="KM208">
        <v>0</v>
      </c>
      <c r="KN208">
        <v>0</v>
      </c>
      <c r="KO208">
        <v>0</v>
      </c>
      <c r="KP208">
        <v>0</v>
      </c>
      <c r="KQ208">
        <v>0</v>
      </c>
      <c r="KR208">
        <v>0</v>
      </c>
      <c r="KS208">
        <v>0</v>
      </c>
      <c r="KT208">
        <v>0</v>
      </c>
      <c r="KU208">
        <v>0</v>
      </c>
      <c r="KV208">
        <v>0</v>
      </c>
      <c r="KW208">
        <v>0</v>
      </c>
      <c r="KX208">
        <v>0</v>
      </c>
      <c r="KY208">
        <v>0</v>
      </c>
      <c r="KZ208">
        <v>0</v>
      </c>
      <c r="LA208">
        <v>0</v>
      </c>
      <c r="LB208">
        <v>0</v>
      </c>
      <c r="LC208">
        <v>0</v>
      </c>
      <c r="LD208">
        <v>0</v>
      </c>
      <c r="LE208">
        <v>0</v>
      </c>
      <c r="LF208">
        <v>0</v>
      </c>
      <c r="LG208">
        <v>0</v>
      </c>
      <c r="LH208">
        <v>0</v>
      </c>
      <c r="LI208">
        <v>0</v>
      </c>
      <c r="LJ208">
        <v>0</v>
      </c>
      <c r="LK208">
        <v>0</v>
      </c>
      <c r="LL208">
        <v>0</v>
      </c>
      <c r="LM208">
        <v>0</v>
      </c>
      <c r="LN208">
        <v>0</v>
      </c>
      <c r="LO208">
        <v>0</v>
      </c>
      <c r="LP208">
        <v>0</v>
      </c>
      <c r="LQ208">
        <v>0</v>
      </c>
      <c r="LR208">
        <v>0</v>
      </c>
      <c r="LS208">
        <v>0</v>
      </c>
      <c r="LT208">
        <v>0</v>
      </c>
      <c r="LU208">
        <v>0</v>
      </c>
      <c r="LV208">
        <v>0</v>
      </c>
      <c r="LW208">
        <v>0</v>
      </c>
      <c r="LX208">
        <v>0</v>
      </c>
      <c r="LY208">
        <v>0</v>
      </c>
      <c r="LZ208">
        <v>0</v>
      </c>
      <c r="MA208">
        <v>0</v>
      </c>
      <c r="MB208">
        <v>0</v>
      </c>
      <c r="MC208">
        <v>0</v>
      </c>
      <c r="MD208">
        <v>0</v>
      </c>
      <c r="ME208">
        <v>0</v>
      </c>
      <c r="MF208">
        <v>0</v>
      </c>
      <c r="MG208">
        <v>0</v>
      </c>
      <c r="MH208">
        <v>0</v>
      </c>
      <c r="MI208">
        <v>0</v>
      </c>
      <c r="MJ208">
        <v>0</v>
      </c>
      <c r="MK208">
        <v>0</v>
      </c>
      <c r="ML208">
        <v>0</v>
      </c>
      <c r="MM208">
        <v>0</v>
      </c>
      <c r="MN208">
        <v>0</v>
      </c>
      <c r="MO208">
        <v>0</v>
      </c>
      <c r="MP208">
        <v>0</v>
      </c>
      <c r="MQ208">
        <v>0</v>
      </c>
      <c r="MR208">
        <v>0</v>
      </c>
      <c r="MS208">
        <v>0</v>
      </c>
      <c r="MT208">
        <v>0</v>
      </c>
      <c r="MU208">
        <v>0</v>
      </c>
      <c r="MV208">
        <v>0</v>
      </c>
      <c r="MW208">
        <v>0</v>
      </c>
      <c r="MX208">
        <v>0</v>
      </c>
      <c r="MY208">
        <v>0</v>
      </c>
      <c r="MZ208">
        <v>0</v>
      </c>
      <c r="NA208">
        <v>0</v>
      </c>
      <c r="NB208">
        <v>0</v>
      </c>
      <c r="NC208">
        <v>0</v>
      </c>
      <c r="ND208">
        <v>0</v>
      </c>
      <c r="NE208">
        <v>0</v>
      </c>
    </row>
    <row r="209" spans="41:369" x14ac:dyDescent="0.45">
      <c r="AO209" t="str">
        <v>C165</v>
      </c>
      <c r="AP209" t="str">
        <v>MUHAMMAD IBN AHMAD</v>
      </c>
      <c r="AQ209" t="str">
        <v>JARF</v>
      </c>
      <c r="AR209" t="str">
        <v>SENIOR</v>
      </c>
      <c r="AS209">
        <v>7</v>
      </c>
      <c r="AT209">
        <v>52</v>
      </c>
      <c r="AU209">
        <v>0</v>
      </c>
      <c r="AV209">
        <v>52</v>
      </c>
      <c r="AW209">
        <v>52</v>
      </c>
      <c r="AX209">
        <v>11</v>
      </c>
      <c r="AY209" s="5">
        <v>11</v>
      </c>
      <c r="AZ209">
        <v>0</v>
      </c>
      <c r="BA209">
        <v>0</v>
      </c>
      <c r="BB209">
        <v>0</v>
      </c>
      <c r="BC209">
        <v>0</v>
      </c>
      <c r="BD209">
        <v>0</v>
      </c>
      <c r="BE209">
        <v>0</v>
      </c>
      <c r="BF209">
        <v>0</v>
      </c>
      <c r="BG209">
        <v>0</v>
      </c>
      <c r="BH209">
        <v>0</v>
      </c>
      <c r="BI209" t="str">
        <v/>
      </c>
      <c r="BK209">
        <v>203</v>
      </c>
      <c r="BL209" t="str">
        <v>GN12</v>
      </c>
      <c r="BM209" t="str">
        <v>MUSHĀʿARAH</v>
      </c>
      <c r="BN209">
        <v>5</v>
      </c>
      <c r="BO209" t="str">
        <v>Group</v>
      </c>
      <c r="BP209" t="str">
        <v>Stage</v>
      </c>
      <c r="BQ209" t="str">
        <v>GENERAL</v>
      </c>
      <c r="BR209" t="str">
        <v>C112</v>
      </c>
      <c r="BS209" t="str">
        <v>C162</v>
      </c>
      <c r="BT209" t="str">
        <v>B123</v>
      </c>
      <c r="BU209" t="str">
        <v>B130</v>
      </c>
      <c r="BV209" t="str">
        <v>C142</v>
      </c>
      <c r="BW209">
        <v>0</v>
      </c>
      <c r="BX209">
        <v>0</v>
      </c>
      <c r="BY209" t="str">
        <v>C136</v>
      </c>
      <c r="BZ209" t="str">
        <v>D106</v>
      </c>
      <c r="CA209" t="str">
        <v>D107</v>
      </c>
      <c r="CB209" t="str">
        <v>D150</v>
      </c>
      <c r="CC209" t="str">
        <v>D183</v>
      </c>
      <c r="CD209">
        <v>0</v>
      </c>
      <c r="CE209">
        <v>0</v>
      </c>
      <c r="CF209" t="str">
        <v>D162</v>
      </c>
      <c r="CG209" t="str">
        <v>D178</v>
      </c>
      <c r="CH209" t="str">
        <v>D137</v>
      </c>
      <c r="CI209" t="str">
        <v>D110</v>
      </c>
      <c r="CJ209" t="str">
        <v>C148</v>
      </c>
      <c r="CK209">
        <v>0</v>
      </c>
      <c r="CL209">
        <v>0</v>
      </c>
      <c r="CM209" t="str">
        <v>D193</v>
      </c>
      <c r="CN209" t="str">
        <v>D104</v>
      </c>
      <c r="CO209" t="str">
        <v>C175</v>
      </c>
      <c r="CP209" t="str">
        <v>C111</v>
      </c>
      <c r="CQ209" t="str">
        <v>C135</v>
      </c>
      <c r="CR209">
        <v>0</v>
      </c>
      <c r="CS209">
        <v>0</v>
      </c>
      <c r="CT209">
        <v>0</v>
      </c>
      <c r="CU209">
        <v>0</v>
      </c>
      <c r="CV209">
        <v>0</v>
      </c>
      <c r="CW209">
        <v>0</v>
      </c>
      <c r="CX209">
        <v>0</v>
      </c>
      <c r="CY209">
        <v>0</v>
      </c>
      <c r="CZ209">
        <v>0</v>
      </c>
      <c r="DA209">
        <v>0</v>
      </c>
      <c r="DB209">
        <v>0</v>
      </c>
      <c r="DC209">
        <v>0</v>
      </c>
      <c r="DD209">
        <v>0</v>
      </c>
      <c r="DE209">
        <v>0</v>
      </c>
      <c r="DF209">
        <v>0</v>
      </c>
      <c r="DG209">
        <v>0</v>
      </c>
      <c r="DH209">
        <v>0</v>
      </c>
      <c r="DI209">
        <v>0</v>
      </c>
      <c r="DJ209">
        <v>0</v>
      </c>
      <c r="DK209">
        <v>0</v>
      </c>
      <c r="DL209">
        <v>0</v>
      </c>
      <c r="DM209">
        <v>0</v>
      </c>
      <c r="DN209">
        <v>0</v>
      </c>
      <c r="DO209">
        <v>0</v>
      </c>
      <c r="DP209">
        <v>0</v>
      </c>
      <c r="DQ209">
        <v>0</v>
      </c>
      <c r="DR209">
        <v>0</v>
      </c>
      <c r="DS209">
        <v>0</v>
      </c>
      <c r="DT209">
        <v>0</v>
      </c>
      <c r="DU209">
        <v>0</v>
      </c>
      <c r="DV209">
        <v>0</v>
      </c>
      <c r="DW209">
        <v>0</v>
      </c>
      <c r="DX209">
        <v>0</v>
      </c>
      <c r="DY209">
        <v>0</v>
      </c>
      <c r="DZ209">
        <v>0</v>
      </c>
      <c r="EA209">
        <v>0</v>
      </c>
      <c r="EB209">
        <v>0</v>
      </c>
      <c r="EC209">
        <v>0</v>
      </c>
      <c r="ED209">
        <v>0</v>
      </c>
      <c r="EE209">
        <v>0</v>
      </c>
      <c r="EF209">
        <v>0</v>
      </c>
      <c r="EG209">
        <v>0</v>
      </c>
      <c r="EH209">
        <v>0</v>
      </c>
      <c r="EI209">
        <v>0</v>
      </c>
      <c r="EJ209">
        <v>0</v>
      </c>
      <c r="EK209">
        <v>0</v>
      </c>
      <c r="EL209">
        <v>0</v>
      </c>
      <c r="EM209">
        <v>0</v>
      </c>
      <c r="EN209">
        <v>0</v>
      </c>
      <c r="EO209">
        <v>0</v>
      </c>
      <c r="EP209">
        <v>0</v>
      </c>
      <c r="EQ209">
        <v>0</v>
      </c>
      <c r="ER209">
        <v>0</v>
      </c>
      <c r="ES209">
        <v>0</v>
      </c>
      <c r="ET209">
        <v>0</v>
      </c>
      <c r="EU209">
        <v>0</v>
      </c>
      <c r="EV209">
        <v>0</v>
      </c>
      <c r="EW209">
        <v>0</v>
      </c>
      <c r="EX209">
        <v>0</v>
      </c>
      <c r="EY209">
        <v>0</v>
      </c>
      <c r="EZ209">
        <v>0</v>
      </c>
      <c r="FA209">
        <v>0</v>
      </c>
      <c r="FB209">
        <v>0</v>
      </c>
      <c r="FC209">
        <v>0</v>
      </c>
      <c r="FD209">
        <v>0</v>
      </c>
      <c r="FE209">
        <v>0</v>
      </c>
      <c r="FF209">
        <v>0</v>
      </c>
      <c r="FG209">
        <v>0</v>
      </c>
      <c r="FH209">
        <v>0</v>
      </c>
      <c r="FI209">
        <v>0</v>
      </c>
      <c r="FJ209">
        <v>0</v>
      </c>
      <c r="FK209">
        <v>0</v>
      </c>
      <c r="FL209">
        <v>0</v>
      </c>
      <c r="FM209">
        <v>0</v>
      </c>
      <c r="FN209">
        <v>0</v>
      </c>
      <c r="FO209">
        <v>0</v>
      </c>
      <c r="FP209">
        <v>0</v>
      </c>
      <c r="FQ209">
        <v>0</v>
      </c>
      <c r="FR209">
        <v>0</v>
      </c>
      <c r="FS209">
        <v>0</v>
      </c>
      <c r="FT209">
        <v>0</v>
      </c>
      <c r="FU209">
        <v>0</v>
      </c>
      <c r="FV209">
        <v>0</v>
      </c>
      <c r="FW209">
        <v>0</v>
      </c>
      <c r="FX209">
        <v>0</v>
      </c>
      <c r="FY209">
        <v>0</v>
      </c>
      <c r="FZ209">
        <v>0</v>
      </c>
      <c r="GA209">
        <v>0</v>
      </c>
      <c r="GB209">
        <v>0</v>
      </c>
      <c r="GC209">
        <v>0</v>
      </c>
      <c r="GD209">
        <v>0</v>
      </c>
      <c r="GE209">
        <v>0</v>
      </c>
      <c r="GF209">
        <v>0</v>
      </c>
      <c r="GG209">
        <v>0</v>
      </c>
      <c r="GH209">
        <v>0</v>
      </c>
      <c r="GI209">
        <v>0</v>
      </c>
      <c r="GJ209">
        <v>0</v>
      </c>
      <c r="GK209">
        <v>0</v>
      </c>
      <c r="GL209">
        <v>0</v>
      </c>
      <c r="GM209">
        <v>0</v>
      </c>
      <c r="GN209">
        <v>0</v>
      </c>
      <c r="GO209">
        <v>0</v>
      </c>
      <c r="GP209">
        <v>0</v>
      </c>
      <c r="GQ209">
        <v>0</v>
      </c>
      <c r="GR209">
        <v>0</v>
      </c>
      <c r="GS209">
        <v>0</v>
      </c>
      <c r="GT209">
        <v>0</v>
      </c>
      <c r="GU209">
        <v>0</v>
      </c>
      <c r="GV209">
        <v>0</v>
      </c>
      <c r="GW209">
        <v>0</v>
      </c>
      <c r="GX209">
        <v>0</v>
      </c>
      <c r="GY209">
        <v>0</v>
      </c>
      <c r="GZ209">
        <v>0</v>
      </c>
      <c r="HA209">
        <v>0</v>
      </c>
      <c r="HB209">
        <v>0</v>
      </c>
      <c r="HC209">
        <v>0</v>
      </c>
      <c r="HD209">
        <v>0</v>
      </c>
      <c r="HE209">
        <v>0</v>
      </c>
      <c r="HF209">
        <v>0</v>
      </c>
      <c r="HG209">
        <v>0</v>
      </c>
      <c r="HH209">
        <v>0</v>
      </c>
      <c r="HI209">
        <v>0</v>
      </c>
      <c r="HJ209">
        <v>0</v>
      </c>
      <c r="HK209">
        <v>0</v>
      </c>
      <c r="HL209">
        <v>0</v>
      </c>
      <c r="HM209">
        <v>0</v>
      </c>
      <c r="HN209">
        <v>0</v>
      </c>
      <c r="HO209">
        <v>0</v>
      </c>
      <c r="HP209">
        <v>0</v>
      </c>
      <c r="HQ209">
        <v>0</v>
      </c>
      <c r="HR209">
        <v>0</v>
      </c>
      <c r="HS209">
        <v>0</v>
      </c>
      <c r="HT209">
        <v>0</v>
      </c>
      <c r="HU209">
        <v>0</v>
      </c>
      <c r="HV209">
        <v>0</v>
      </c>
      <c r="HW209">
        <v>0</v>
      </c>
      <c r="HX209">
        <v>0</v>
      </c>
      <c r="HY209">
        <v>0</v>
      </c>
      <c r="HZ209">
        <v>0</v>
      </c>
      <c r="IA209">
        <v>0</v>
      </c>
      <c r="IB209">
        <v>0</v>
      </c>
      <c r="IC209">
        <v>0</v>
      </c>
      <c r="ID209">
        <v>0</v>
      </c>
      <c r="IE209">
        <v>0</v>
      </c>
      <c r="IF209">
        <v>0</v>
      </c>
      <c r="IG209">
        <v>0</v>
      </c>
      <c r="IH209">
        <v>0</v>
      </c>
      <c r="II209">
        <v>0</v>
      </c>
      <c r="IJ209">
        <v>0</v>
      </c>
      <c r="IK209">
        <v>0</v>
      </c>
      <c r="IL209">
        <v>0</v>
      </c>
      <c r="IM209">
        <v>0</v>
      </c>
      <c r="IN209">
        <v>0</v>
      </c>
      <c r="IO209">
        <v>0</v>
      </c>
      <c r="IP209">
        <v>0</v>
      </c>
      <c r="IQ209">
        <v>0</v>
      </c>
      <c r="IR209">
        <v>0</v>
      </c>
      <c r="IS209">
        <v>0</v>
      </c>
      <c r="IT209">
        <v>0</v>
      </c>
      <c r="IU209">
        <v>0</v>
      </c>
      <c r="IV209">
        <v>0</v>
      </c>
      <c r="IW209">
        <v>0</v>
      </c>
      <c r="IX209">
        <v>0</v>
      </c>
      <c r="IY209">
        <v>0</v>
      </c>
      <c r="IZ209">
        <v>0</v>
      </c>
      <c r="JA209">
        <v>0</v>
      </c>
      <c r="JB209">
        <v>0</v>
      </c>
      <c r="JC209">
        <v>0</v>
      </c>
      <c r="JD209">
        <v>0</v>
      </c>
      <c r="JE209">
        <v>0</v>
      </c>
      <c r="JF209">
        <v>0</v>
      </c>
      <c r="JG209">
        <v>0</v>
      </c>
      <c r="JH209">
        <v>0</v>
      </c>
      <c r="JI209">
        <v>0</v>
      </c>
      <c r="JJ209">
        <v>0</v>
      </c>
      <c r="JK209">
        <v>0</v>
      </c>
      <c r="JL209">
        <v>0</v>
      </c>
      <c r="JM209">
        <v>0</v>
      </c>
      <c r="JN209">
        <v>0</v>
      </c>
      <c r="JO209">
        <v>0</v>
      </c>
      <c r="JP209">
        <v>0</v>
      </c>
      <c r="JQ209">
        <v>0</v>
      </c>
      <c r="JR209">
        <v>0</v>
      </c>
      <c r="JS209">
        <v>0</v>
      </c>
      <c r="JT209">
        <v>0</v>
      </c>
      <c r="JU209">
        <v>0</v>
      </c>
      <c r="JV209">
        <v>0</v>
      </c>
      <c r="JW209">
        <v>0</v>
      </c>
      <c r="JX209">
        <v>0</v>
      </c>
      <c r="JY209">
        <v>0</v>
      </c>
      <c r="JZ209">
        <v>0</v>
      </c>
      <c r="KA209">
        <v>0</v>
      </c>
      <c r="KB209">
        <v>0</v>
      </c>
      <c r="KC209">
        <v>0</v>
      </c>
      <c r="KD209">
        <v>0</v>
      </c>
      <c r="KE209">
        <v>0</v>
      </c>
      <c r="KF209">
        <v>0</v>
      </c>
      <c r="KG209">
        <v>0</v>
      </c>
      <c r="KH209">
        <v>0</v>
      </c>
      <c r="KI209">
        <v>0</v>
      </c>
      <c r="KJ209">
        <v>0</v>
      </c>
      <c r="KK209">
        <v>0</v>
      </c>
      <c r="KL209">
        <v>0</v>
      </c>
      <c r="KM209">
        <v>0</v>
      </c>
      <c r="KN209">
        <v>0</v>
      </c>
      <c r="KO209">
        <v>0</v>
      </c>
      <c r="KP209">
        <v>0</v>
      </c>
      <c r="KQ209">
        <v>0</v>
      </c>
      <c r="KR209">
        <v>0</v>
      </c>
      <c r="KS209">
        <v>0</v>
      </c>
      <c r="KT209">
        <v>0</v>
      </c>
      <c r="KU209">
        <v>0</v>
      </c>
      <c r="KV209">
        <v>0</v>
      </c>
      <c r="KW209">
        <v>0</v>
      </c>
      <c r="KX209">
        <v>0</v>
      </c>
      <c r="KY209">
        <v>0</v>
      </c>
      <c r="KZ209">
        <v>0</v>
      </c>
      <c r="LA209">
        <v>0</v>
      </c>
      <c r="LB209">
        <v>0</v>
      </c>
      <c r="LC209">
        <v>0</v>
      </c>
      <c r="LD209">
        <v>0</v>
      </c>
      <c r="LE209">
        <v>0</v>
      </c>
      <c r="LF209">
        <v>0</v>
      </c>
      <c r="LG209">
        <v>0</v>
      </c>
      <c r="LH209">
        <v>0</v>
      </c>
      <c r="LI209">
        <v>0</v>
      </c>
      <c r="LJ209">
        <v>0</v>
      </c>
      <c r="LK209">
        <v>0</v>
      </c>
      <c r="LL209">
        <v>0</v>
      </c>
      <c r="LM209">
        <v>0</v>
      </c>
      <c r="LN209">
        <v>0</v>
      </c>
      <c r="LO209">
        <v>0</v>
      </c>
      <c r="LP209">
        <v>0</v>
      </c>
      <c r="LQ209">
        <v>0</v>
      </c>
      <c r="LR209">
        <v>0</v>
      </c>
      <c r="LS209">
        <v>0</v>
      </c>
      <c r="LT209">
        <v>0</v>
      </c>
      <c r="LU209">
        <v>0</v>
      </c>
      <c r="LV209">
        <v>0</v>
      </c>
      <c r="LW209">
        <v>0</v>
      </c>
      <c r="LX209">
        <v>0</v>
      </c>
      <c r="LY209">
        <v>0</v>
      </c>
      <c r="LZ209">
        <v>0</v>
      </c>
      <c r="MA209">
        <v>0</v>
      </c>
      <c r="MB209">
        <v>0</v>
      </c>
      <c r="MC209">
        <v>0</v>
      </c>
      <c r="MD209">
        <v>0</v>
      </c>
      <c r="ME209">
        <v>0</v>
      </c>
      <c r="MF209">
        <v>0</v>
      </c>
      <c r="MG209">
        <v>0</v>
      </c>
      <c r="MH209">
        <v>0</v>
      </c>
      <c r="MI209">
        <v>0</v>
      </c>
      <c r="MJ209">
        <v>0</v>
      </c>
      <c r="MK209">
        <v>0</v>
      </c>
      <c r="ML209">
        <v>0</v>
      </c>
      <c r="MM209">
        <v>0</v>
      </c>
      <c r="MN209">
        <v>0</v>
      </c>
      <c r="MO209">
        <v>0</v>
      </c>
      <c r="MP209">
        <v>0</v>
      </c>
      <c r="MQ209">
        <v>0</v>
      </c>
      <c r="MR209">
        <v>0</v>
      </c>
      <c r="MS209">
        <v>0</v>
      </c>
      <c r="MT209">
        <v>0</v>
      </c>
      <c r="MU209">
        <v>0</v>
      </c>
      <c r="MV209">
        <v>0</v>
      </c>
      <c r="MW209">
        <v>0</v>
      </c>
      <c r="MX209">
        <v>0</v>
      </c>
      <c r="MY209">
        <v>0</v>
      </c>
      <c r="MZ209">
        <v>0</v>
      </c>
      <c r="NA209">
        <v>0</v>
      </c>
      <c r="NB209">
        <v>0</v>
      </c>
      <c r="NC209">
        <v>0</v>
      </c>
      <c r="ND209">
        <v>0</v>
      </c>
      <c r="NE209">
        <v>0</v>
      </c>
    </row>
    <row r="210" spans="41:369" x14ac:dyDescent="0.45">
      <c r="AO210" t="str">
        <v>C166</v>
      </c>
      <c r="AP210" t="str">
        <v>RESWAN</v>
      </c>
      <c r="AQ210" t="str">
        <v>DAHF</v>
      </c>
      <c r="AR210" t="str">
        <v>SENIOR</v>
      </c>
      <c r="AS210">
        <v>7</v>
      </c>
      <c r="AT210">
        <v>14</v>
      </c>
      <c r="AU210">
        <v>0</v>
      </c>
      <c r="AV210">
        <v>14</v>
      </c>
      <c r="AW210">
        <v>14</v>
      </c>
      <c r="AX210">
        <v>104</v>
      </c>
      <c r="AY210" s="5">
        <v>104</v>
      </c>
      <c r="AZ210">
        <v>0</v>
      </c>
      <c r="BA210">
        <v>0</v>
      </c>
      <c r="BB210">
        <v>0</v>
      </c>
      <c r="BC210">
        <v>0</v>
      </c>
      <c r="BD210">
        <v>0</v>
      </c>
      <c r="BE210">
        <v>0</v>
      </c>
      <c r="BF210">
        <v>0</v>
      </c>
      <c r="BG210">
        <v>0</v>
      </c>
      <c r="BH210">
        <v>0</v>
      </c>
      <c r="BI210" t="str">
        <v/>
      </c>
      <c r="BK210">
        <v>204</v>
      </c>
      <c r="BL210" t="str">
        <v>GN13</v>
      </c>
      <c r="BM210" t="str">
        <v>QAWWALI URD</v>
      </c>
      <c r="BN210">
        <v>7</v>
      </c>
      <c r="BO210" t="str">
        <v>Group</v>
      </c>
      <c r="BP210" t="str">
        <v>Stage</v>
      </c>
      <c r="BQ210" t="str">
        <v>GENERAL</v>
      </c>
      <c r="BR210" t="str">
        <v>D186</v>
      </c>
      <c r="BS210" t="str">
        <v>D175</v>
      </c>
      <c r="BT210" t="str">
        <v>C134</v>
      </c>
      <c r="BU210" t="str">
        <v>D147</v>
      </c>
      <c r="BV210" t="str">
        <v>D120</v>
      </c>
      <c r="BW210" t="str">
        <v>C127</v>
      </c>
      <c r="BX210" t="str">
        <v>B143</v>
      </c>
      <c r="BY210" t="str">
        <v>D140</v>
      </c>
      <c r="BZ210" t="str">
        <v>D179</v>
      </c>
      <c r="CA210" t="str">
        <v>C150</v>
      </c>
      <c r="CB210" t="str">
        <v>D192</v>
      </c>
      <c r="CC210" t="str">
        <v>D131</v>
      </c>
      <c r="CD210" t="str">
        <v>D121</v>
      </c>
      <c r="CE210" t="str">
        <v>D166</v>
      </c>
      <c r="CF210" t="str">
        <v>D155</v>
      </c>
      <c r="CG210" t="str">
        <v>D137</v>
      </c>
      <c r="CH210" t="str">
        <v>D124</v>
      </c>
      <c r="CI210" t="str">
        <v>D141</v>
      </c>
      <c r="CJ210" t="str">
        <v>D178</v>
      </c>
      <c r="CK210" t="str">
        <v>D161</v>
      </c>
      <c r="CL210" t="str">
        <v>D189</v>
      </c>
      <c r="CM210" t="str">
        <v>D194</v>
      </c>
      <c r="CN210" t="str">
        <v>D176</v>
      </c>
      <c r="CO210" t="str">
        <v>C165</v>
      </c>
      <c r="CP210" t="str">
        <v>C167</v>
      </c>
      <c r="CQ210" t="str">
        <v>D136</v>
      </c>
      <c r="CR210" t="str">
        <v>C147</v>
      </c>
      <c r="CS210" t="str">
        <v>D113</v>
      </c>
      <c r="CT210">
        <v>0</v>
      </c>
      <c r="CU210">
        <v>0</v>
      </c>
      <c r="CV210">
        <v>0</v>
      </c>
      <c r="CW210">
        <v>0</v>
      </c>
      <c r="CX210">
        <v>0</v>
      </c>
      <c r="CY210">
        <v>0</v>
      </c>
      <c r="CZ210">
        <v>0</v>
      </c>
      <c r="DA210">
        <v>0</v>
      </c>
      <c r="DB210">
        <v>0</v>
      </c>
      <c r="DC210">
        <v>0</v>
      </c>
      <c r="DD210">
        <v>0</v>
      </c>
      <c r="DE210">
        <v>0</v>
      </c>
      <c r="DF210">
        <v>0</v>
      </c>
      <c r="DG210">
        <v>0</v>
      </c>
      <c r="DH210">
        <v>0</v>
      </c>
      <c r="DI210">
        <v>0</v>
      </c>
      <c r="DJ210">
        <v>0</v>
      </c>
      <c r="DK210">
        <v>0</v>
      </c>
      <c r="DL210">
        <v>0</v>
      </c>
      <c r="DM210">
        <v>0</v>
      </c>
      <c r="DN210">
        <v>0</v>
      </c>
      <c r="DO210">
        <v>0</v>
      </c>
      <c r="DP210">
        <v>0</v>
      </c>
      <c r="DQ210">
        <v>0</v>
      </c>
      <c r="DR210">
        <v>0</v>
      </c>
      <c r="DS210">
        <v>0</v>
      </c>
      <c r="DT210">
        <v>0</v>
      </c>
      <c r="DU210">
        <v>0</v>
      </c>
      <c r="DV210">
        <v>0</v>
      </c>
      <c r="DW210">
        <v>0</v>
      </c>
      <c r="DX210">
        <v>0</v>
      </c>
      <c r="DY210">
        <v>0</v>
      </c>
      <c r="DZ210">
        <v>0</v>
      </c>
      <c r="EA210">
        <v>0</v>
      </c>
      <c r="EB210">
        <v>0</v>
      </c>
      <c r="EC210">
        <v>0</v>
      </c>
      <c r="ED210">
        <v>0</v>
      </c>
      <c r="EE210">
        <v>0</v>
      </c>
      <c r="EF210">
        <v>0</v>
      </c>
      <c r="EG210">
        <v>0</v>
      </c>
      <c r="EH210">
        <v>0</v>
      </c>
      <c r="EI210">
        <v>0</v>
      </c>
      <c r="EJ210">
        <v>0</v>
      </c>
      <c r="EK210">
        <v>0</v>
      </c>
      <c r="EL210">
        <v>0</v>
      </c>
      <c r="EM210">
        <v>0</v>
      </c>
      <c r="EN210">
        <v>0</v>
      </c>
      <c r="EO210">
        <v>0</v>
      </c>
      <c r="EP210">
        <v>0</v>
      </c>
      <c r="EQ210">
        <v>0</v>
      </c>
      <c r="ER210">
        <v>0</v>
      </c>
      <c r="ES210">
        <v>0</v>
      </c>
      <c r="ET210">
        <v>0</v>
      </c>
      <c r="EU210">
        <v>0</v>
      </c>
      <c r="EV210">
        <v>0</v>
      </c>
      <c r="EW210">
        <v>0</v>
      </c>
      <c r="EX210">
        <v>0</v>
      </c>
      <c r="EY210">
        <v>0</v>
      </c>
      <c r="EZ210">
        <v>0</v>
      </c>
      <c r="FA210">
        <v>0</v>
      </c>
      <c r="FB210">
        <v>0</v>
      </c>
      <c r="FC210">
        <v>0</v>
      </c>
      <c r="FD210">
        <v>0</v>
      </c>
      <c r="FE210">
        <v>0</v>
      </c>
      <c r="FF210">
        <v>0</v>
      </c>
      <c r="FG210">
        <v>0</v>
      </c>
      <c r="FH210">
        <v>0</v>
      </c>
      <c r="FI210">
        <v>0</v>
      </c>
      <c r="FJ210">
        <v>0</v>
      </c>
      <c r="FK210">
        <v>0</v>
      </c>
      <c r="FL210">
        <v>0</v>
      </c>
      <c r="FM210">
        <v>0</v>
      </c>
      <c r="FN210">
        <v>0</v>
      </c>
      <c r="FO210">
        <v>0</v>
      </c>
      <c r="FP210">
        <v>0</v>
      </c>
      <c r="FQ210">
        <v>0</v>
      </c>
      <c r="FR210">
        <v>0</v>
      </c>
      <c r="FS210">
        <v>0</v>
      </c>
      <c r="FT210">
        <v>0</v>
      </c>
      <c r="FU210">
        <v>0</v>
      </c>
      <c r="FV210">
        <v>0</v>
      </c>
      <c r="FW210">
        <v>0</v>
      </c>
      <c r="FX210">
        <v>0</v>
      </c>
      <c r="FY210">
        <v>0</v>
      </c>
      <c r="FZ210">
        <v>0</v>
      </c>
      <c r="GA210">
        <v>0</v>
      </c>
      <c r="GB210">
        <v>0</v>
      </c>
      <c r="GC210">
        <v>0</v>
      </c>
      <c r="GD210">
        <v>0</v>
      </c>
      <c r="GE210">
        <v>0</v>
      </c>
      <c r="GF210">
        <v>0</v>
      </c>
      <c r="GG210">
        <v>0</v>
      </c>
      <c r="GH210">
        <v>0</v>
      </c>
      <c r="GI210">
        <v>0</v>
      </c>
      <c r="GJ210">
        <v>0</v>
      </c>
      <c r="GK210">
        <v>0</v>
      </c>
      <c r="GL210">
        <v>0</v>
      </c>
      <c r="GM210">
        <v>0</v>
      </c>
      <c r="GN210">
        <v>0</v>
      </c>
      <c r="GO210">
        <v>0</v>
      </c>
      <c r="GP210">
        <v>0</v>
      </c>
      <c r="GQ210">
        <v>0</v>
      </c>
      <c r="GR210">
        <v>0</v>
      </c>
      <c r="GS210">
        <v>0</v>
      </c>
      <c r="GT210">
        <v>0</v>
      </c>
      <c r="GU210">
        <v>0</v>
      </c>
      <c r="GV210">
        <v>0</v>
      </c>
      <c r="GW210">
        <v>0</v>
      </c>
      <c r="GX210">
        <v>0</v>
      </c>
      <c r="GY210">
        <v>0</v>
      </c>
      <c r="GZ210">
        <v>0</v>
      </c>
      <c r="HA210">
        <v>0</v>
      </c>
      <c r="HB210">
        <v>0</v>
      </c>
      <c r="HC210">
        <v>0</v>
      </c>
      <c r="HD210">
        <v>0</v>
      </c>
      <c r="HE210">
        <v>0</v>
      </c>
      <c r="HF210">
        <v>0</v>
      </c>
      <c r="HG210">
        <v>0</v>
      </c>
      <c r="HH210">
        <v>0</v>
      </c>
      <c r="HI210">
        <v>0</v>
      </c>
      <c r="HJ210">
        <v>0</v>
      </c>
      <c r="HK210">
        <v>0</v>
      </c>
      <c r="HL210">
        <v>0</v>
      </c>
      <c r="HM210">
        <v>0</v>
      </c>
      <c r="HN210">
        <v>0</v>
      </c>
      <c r="HO210">
        <v>0</v>
      </c>
      <c r="HP210">
        <v>0</v>
      </c>
      <c r="HQ210">
        <v>0</v>
      </c>
      <c r="HR210">
        <v>0</v>
      </c>
      <c r="HS210">
        <v>0</v>
      </c>
      <c r="HT210">
        <v>0</v>
      </c>
      <c r="HU210">
        <v>0</v>
      </c>
      <c r="HV210">
        <v>0</v>
      </c>
      <c r="HW210">
        <v>0</v>
      </c>
      <c r="HX210">
        <v>0</v>
      </c>
      <c r="HY210">
        <v>0</v>
      </c>
      <c r="HZ210">
        <v>0</v>
      </c>
      <c r="IA210">
        <v>0</v>
      </c>
      <c r="IB210">
        <v>0</v>
      </c>
      <c r="IC210">
        <v>0</v>
      </c>
      <c r="ID210">
        <v>0</v>
      </c>
      <c r="IE210">
        <v>0</v>
      </c>
      <c r="IF210">
        <v>0</v>
      </c>
      <c r="IG210">
        <v>0</v>
      </c>
      <c r="IH210">
        <v>0</v>
      </c>
      <c r="II210">
        <v>0</v>
      </c>
      <c r="IJ210">
        <v>0</v>
      </c>
      <c r="IK210">
        <v>0</v>
      </c>
      <c r="IL210">
        <v>0</v>
      </c>
      <c r="IM210">
        <v>0</v>
      </c>
      <c r="IN210">
        <v>0</v>
      </c>
      <c r="IO210">
        <v>0</v>
      </c>
      <c r="IP210">
        <v>0</v>
      </c>
      <c r="IQ210">
        <v>0</v>
      </c>
      <c r="IR210">
        <v>0</v>
      </c>
      <c r="IS210">
        <v>0</v>
      </c>
      <c r="IT210">
        <v>0</v>
      </c>
      <c r="IU210">
        <v>0</v>
      </c>
      <c r="IV210">
        <v>0</v>
      </c>
      <c r="IW210">
        <v>0</v>
      </c>
      <c r="IX210">
        <v>0</v>
      </c>
      <c r="IY210">
        <v>0</v>
      </c>
      <c r="IZ210">
        <v>0</v>
      </c>
      <c r="JA210">
        <v>0</v>
      </c>
      <c r="JB210">
        <v>0</v>
      </c>
      <c r="JC210">
        <v>0</v>
      </c>
      <c r="JD210">
        <v>0</v>
      </c>
      <c r="JE210">
        <v>0</v>
      </c>
      <c r="JF210">
        <v>0</v>
      </c>
      <c r="JG210">
        <v>0</v>
      </c>
      <c r="JH210">
        <v>0</v>
      </c>
      <c r="JI210">
        <v>0</v>
      </c>
      <c r="JJ210">
        <v>0</v>
      </c>
      <c r="JK210">
        <v>0</v>
      </c>
      <c r="JL210">
        <v>0</v>
      </c>
      <c r="JM210">
        <v>0</v>
      </c>
      <c r="JN210">
        <v>0</v>
      </c>
      <c r="JO210">
        <v>0</v>
      </c>
      <c r="JP210">
        <v>0</v>
      </c>
      <c r="JQ210">
        <v>0</v>
      </c>
      <c r="JR210">
        <v>0</v>
      </c>
      <c r="JS210">
        <v>0</v>
      </c>
      <c r="JT210">
        <v>0</v>
      </c>
      <c r="JU210">
        <v>0</v>
      </c>
      <c r="JV210">
        <v>0</v>
      </c>
      <c r="JW210">
        <v>0</v>
      </c>
      <c r="JX210">
        <v>0</v>
      </c>
      <c r="JY210">
        <v>0</v>
      </c>
      <c r="JZ210">
        <v>0</v>
      </c>
      <c r="KA210">
        <v>0</v>
      </c>
      <c r="KB210">
        <v>0</v>
      </c>
      <c r="KC210">
        <v>0</v>
      </c>
      <c r="KD210">
        <v>0</v>
      </c>
      <c r="KE210">
        <v>0</v>
      </c>
      <c r="KF210">
        <v>0</v>
      </c>
      <c r="KG210">
        <v>0</v>
      </c>
      <c r="KH210">
        <v>0</v>
      </c>
      <c r="KI210">
        <v>0</v>
      </c>
      <c r="KJ210">
        <v>0</v>
      </c>
      <c r="KK210">
        <v>0</v>
      </c>
      <c r="KL210">
        <v>0</v>
      </c>
      <c r="KM210">
        <v>0</v>
      </c>
      <c r="KN210">
        <v>0</v>
      </c>
      <c r="KO210">
        <v>0</v>
      </c>
      <c r="KP210">
        <v>0</v>
      </c>
      <c r="KQ210">
        <v>0</v>
      </c>
      <c r="KR210">
        <v>0</v>
      </c>
      <c r="KS210">
        <v>0</v>
      </c>
      <c r="KT210">
        <v>0</v>
      </c>
      <c r="KU210">
        <v>0</v>
      </c>
      <c r="KV210">
        <v>0</v>
      </c>
      <c r="KW210">
        <v>0</v>
      </c>
      <c r="KX210">
        <v>0</v>
      </c>
      <c r="KY210">
        <v>0</v>
      </c>
      <c r="KZ210">
        <v>0</v>
      </c>
      <c r="LA210">
        <v>0</v>
      </c>
      <c r="LB210">
        <v>0</v>
      </c>
      <c r="LC210">
        <v>0</v>
      </c>
      <c r="LD210">
        <v>0</v>
      </c>
      <c r="LE210">
        <v>0</v>
      </c>
      <c r="LF210">
        <v>0</v>
      </c>
      <c r="LG210">
        <v>0</v>
      </c>
      <c r="LH210">
        <v>0</v>
      </c>
      <c r="LI210">
        <v>0</v>
      </c>
      <c r="LJ210">
        <v>0</v>
      </c>
      <c r="LK210">
        <v>0</v>
      </c>
      <c r="LL210">
        <v>0</v>
      </c>
      <c r="LM210">
        <v>0</v>
      </c>
      <c r="LN210">
        <v>0</v>
      </c>
      <c r="LO210">
        <v>0</v>
      </c>
      <c r="LP210">
        <v>0</v>
      </c>
      <c r="LQ210">
        <v>0</v>
      </c>
      <c r="LR210">
        <v>0</v>
      </c>
      <c r="LS210">
        <v>0</v>
      </c>
      <c r="LT210">
        <v>0</v>
      </c>
      <c r="LU210">
        <v>0</v>
      </c>
      <c r="LV210">
        <v>0</v>
      </c>
      <c r="LW210">
        <v>0</v>
      </c>
      <c r="LX210">
        <v>0</v>
      </c>
      <c r="LY210">
        <v>0</v>
      </c>
      <c r="LZ210">
        <v>0</v>
      </c>
      <c r="MA210">
        <v>0</v>
      </c>
      <c r="MB210">
        <v>0</v>
      </c>
      <c r="MC210">
        <v>0</v>
      </c>
      <c r="MD210">
        <v>0</v>
      </c>
      <c r="ME210">
        <v>0</v>
      </c>
      <c r="MF210">
        <v>0</v>
      </c>
      <c r="MG210">
        <v>0</v>
      </c>
      <c r="MH210">
        <v>0</v>
      </c>
      <c r="MI210">
        <v>0</v>
      </c>
      <c r="MJ210">
        <v>0</v>
      </c>
      <c r="MK210">
        <v>0</v>
      </c>
      <c r="ML210">
        <v>0</v>
      </c>
      <c r="MM210">
        <v>0</v>
      </c>
      <c r="MN210">
        <v>0</v>
      </c>
      <c r="MO210">
        <v>0</v>
      </c>
      <c r="MP210">
        <v>0</v>
      </c>
      <c r="MQ210">
        <v>0</v>
      </c>
      <c r="MR210">
        <v>0</v>
      </c>
      <c r="MS210">
        <v>0</v>
      </c>
      <c r="MT210">
        <v>0</v>
      </c>
      <c r="MU210">
        <v>0</v>
      </c>
      <c r="MV210">
        <v>0</v>
      </c>
      <c r="MW210">
        <v>0</v>
      </c>
      <c r="MX210">
        <v>0</v>
      </c>
      <c r="MY210">
        <v>0</v>
      </c>
      <c r="MZ210">
        <v>0</v>
      </c>
      <c r="NA210">
        <v>0</v>
      </c>
      <c r="NB210">
        <v>0</v>
      </c>
      <c r="NC210">
        <v>0</v>
      </c>
      <c r="ND210">
        <v>0</v>
      </c>
      <c r="NE210">
        <v>0</v>
      </c>
    </row>
    <row r="211" spans="41:369" x14ac:dyDescent="0.45">
      <c r="AO211" t="str">
        <v>C167</v>
      </c>
      <c r="AP211" t="str">
        <v>MUHAMMED MUJTHABA MK</v>
      </c>
      <c r="AQ211" t="str">
        <v>JARF</v>
      </c>
      <c r="AR211" t="str">
        <v>SENIOR</v>
      </c>
      <c r="AS211">
        <v>7</v>
      </c>
      <c r="AT211">
        <v>18</v>
      </c>
      <c r="AU211">
        <v>0</v>
      </c>
      <c r="AV211">
        <v>18</v>
      </c>
      <c r="AW211">
        <v>18</v>
      </c>
      <c r="AX211">
        <v>81</v>
      </c>
      <c r="AY211" s="5">
        <v>81</v>
      </c>
      <c r="AZ211">
        <v>0</v>
      </c>
      <c r="BA211">
        <v>0</v>
      </c>
      <c r="BB211">
        <v>0</v>
      </c>
      <c r="BC211">
        <v>0</v>
      </c>
      <c r="BD211">
        <v>0</v>
      </c>
      <c r="BE211">
        <v>0</v>
      </c>
      <c r="BF211">
        <v>0</v>
      </c>
      <c r="BG211">
        <v>0</v>
      </c>
      <c r="BH211">
        <v>0</v>
      </c>
      <c r="BI211" t="str">
        <v/>
      </c>
      <c r="BK211">
        <v>205</v>
      </c>
      <c r="BL211" t="str">
        <v>GN14</v>
      </c>
      <c r="BM211" t="str">
        <v>SUFI SANGEEDAM</v>
      </c>
      <c r="BN211">
        <v>3</v>
      </c>
      <c r="BO211" t="str">
        <v>Group</v>
      </c>
      <c r="BP211" t="str">
        <v>Stage</v>
      </c>
      <c r="BQ211" t="str">
        <v>GENERAL</v>
      </c>
      <c r="BR211" t="str">
        <v>D186</v>
      </c>
      <c r="BS211" t="str">
        <v>D175</v>
      </c>
      <c r="BT211" t="str">
        <v>C134</v>
      </c>
      <c r="BU211">
        <v>0</v>
      </c>
      <c r="BV211">
        <v>0</v>
      </c>
      <c r="BW211">
        <v>0</v>
      </c>
      <c r="BX211">
        <v>0</v>
      </c>
      <c r="BY211" t="str">
        <v>D140</v>
      </c>
      <c r="BZ211" t="str">
        <v>D179</v>
      </c>
      <c r="CA211" t="str">
        <v>D131</v>
      </c>
      <c r="CB211">
        <v>0</v>
      </c>
      <c r="CC211">
        <v>0</v>
      </c>
      <c r="CD211">
        <v>0</v>
      </c>
      <c r="CE211">
        <v>0</v>
      </c>
      <c r="CF211" t="str">
        <v>D124</v>
      </c>
      <c r="CG211" t="str">
        <v>D155</v>
      </c>
      <c r="CH211" t="str">
        <v>D137</v>
      </c>
      <c r="CI211">
        <v>0</v>
      </c>
      <c r="CJ211">
        <v>0</v>
      </c>
      <c r="CK211">
        <v>0</v>
      </c>
      <c r="CL211">
        <v>0</v>
      </c>
      <c r="CM211" t="str">
        <v>D194</v>
      </c>
      <c r="CN211" t="str">
        <v>C165</v>
      </c>
      <c r="CO211" t="str">
        <v>D176</v>
      </c>
      <c r="CP211">
        <v>0</v>
      </c>
      <c r="CQ211">
        <v>0</v>
      </c>
      <c r="CR211">
        <v>0</v>
      </c>
      <c r="CS211">
        <v>0</v>
      </c>
      <c r="CT211">
        <v>0</v>
      </c>
      <c r="CU211">
        <v>0</v>
      </c>
      <c r="CV211">
        <v>0</v>
      </c>
      <c r="CW211">
        <v>0</v>
      </c>
      <c r="CX211">
        <v>0</v>
      </c>
      <c r="CY211">
        <v>0</v>
      </c>
      <c r="CZ211">
        <v>0</v>
      </c>
      <c r="DA211">
        <v>0</v>
      </c>
      <c r="DB211">
        <v>0</v>
      </c>
      <c r="DC211">
        <v>0</v>
      </c>
      <c r="DD211">
        <v>0</v>
      </c>
      <c r="DE211">
        <v>0</v>
      </c>
      <c r="DF211">
        <v>0</v>
      </c>
      <c r="DG211">
        <v>0</v>
      </c>
      <c r="DH211">
        <v>0</v>
      </c>
      <c r="DI211">
        <v>0</v>
      </c>
      <c r="DJ211">
        <v>0</v>
      </c>
      <c r="DK211">
        <v>0</v>
      </c>
      <c r="DL211">
        <v>0</v>
      </c>
      <c r="DM211">
        <v>0</v>
      </c>
      <c r="DN211">
        <v>0</v>
      </c>
      <c r="DO211">
        <v>0</v>
      </c>
      <c r="DP211">
        <v>0</v>
      </c>
      <c r="DQ211">
        <v>0</v>
      </c>
      <c r="DR211">
        <v>0</v>
      </c>
      <c r="DS211">
        <v>0</v>
      </c>
      <c r="DT211">
        <v>0</v>
      </c>
      <c r="DU211">
        <v>0</v>
      </c>
      <c r="DV211">
        <v>0</v>
      </c>
      <c r="DW211">
        <v>0</v>
      </c>
      <c r="DX211">
        <v>0</v>
      </c>
      <c r="DY211">
        <v>0</v>
      </c>
      <c r="DZ211">
        <v>0</v>
      </c>
      <c r="EA211">
        <v>0</v>
      </c>
      <c r="EB211">
        <v>0</v>
      </c>
      <c r="EC211">
        <v>0</v>
      </c>
      <c r="ED211">
        <v>0</v>
      </c>
      <c r="EE211">
        <v>0</v>
      </c>
      <c r="EF211">
        <v>0</v>
      </c>
      <c r="EG211">
        <v>0</v>
      </c>
      <c r="EH211">
        <v>0</v>
      </c>
      <c r="EI211">
        <v>0</v>
      </c>
      <c r="EJ211">
        <v>0</v>
      </c>
      <c r="EK211">
        <v>0</v>
      </c>
      <c r="EL211">
        <v>0</v>
      </c>
      <c r="EM211">
        <v>0</v>
      </c>
      <c r="EN211">
        <v>0</v>
      </c>
      <c r="EO211">
        <v>0</v>
      </c>
      <c r="EP211">
        <v>0</v>
      </c>
      <c r="EQ211">
        <v>0</v>
      </c>
      <c r="ER211">
        <v>0</v>
      </c>
      <c r="ES211">
        <v>0</v>
      </c>
      <c r="ET211">
        <v>0</v>
      </c>
      <c r="EU211">
        <v>0</v>
      </c>
      <c r="EV211">
        <v>0</v>
      </c>
      <c r="EW211">
        <v>0</v>
      </c>
      <c r="EX211">
        <v>0</v>
      </c>
      <c r="EY211">
        <v>0</v>
      </c>
      <c r="EZ211">
        <v>0</v>
      </c>
      <c r="FA211">
        <v>0</v>
      </c>
      <c r="FB211">
        <v>0</v>
      </c>
      <c r="FC211">
        <v>0</v>
      </c>
      <c r="FD211">
        <v>0</v>
      </c>
      <c r="FE211">
        <v>0</v>
      </c>
      <c r="FF211">
        <v>0</v>
      </c>
      <c r="FG211">
        <v>0</v>
      </c>
      <c r="FH211">
        <v>0</v>
      </c>
      <c r="FI211">
        <v>0</v>
      </c>
      <c r="FJ211">
        <v>0</v>
      </c>
      <c r="FK211">
        <v>0</v>
      </c>
      <c r="FL211">
        <v>0</v>
      </c>
      <c r="FM211">
        <v>0</v>
      </c>
      <c r="FN211">
        <v>0</v>
      </c>
      <c r="FO211">
        <v>0</v>
      </c>
      <c r="FP211">
        <v>0</v>
      </c>
      <c r="FQ211">
        <v>0</v>
      </c>
      <c r="FR211">
        <v>0</v>
      </c>
      <c r="FS211">
        <v>0</v>
      </c>
      <c r="FT211">
        <v>0</v>
      </c>
      <c r="FU211">
        <v>0</v>
      </c>
      <c r="FV211">
        <v>0</v>
      </c>
      <c r="FW211">
        <v>0</v>
      </c>
      <c r="FX211">
        <v>0</v>
      </c>
      <c r="FY211">
        <v>0</v>
      </c>
      <c r="FZ211">
        <v>0</v>
      </c>
      <c r="GA211">
        <v>0</v>
      </c>
      <c r="GB211">
        <v>0</v>
      </c>
      <c r="GC211">
        <v>0</v>
      </c>
      <c r="GD211">
        <v>0</v>
      </c>
      <c r="GE211">
        <v>0</v>
      </c>
      <c r="GF211">
        <v>0</v>
      </c>
      <c r="GG211">
        <v>0</v>
      </c>
      <c r="GH211">
        <v>0</v>
      </c>
      <c r="GI211">
        <v>0</v>
      </c>
      <c r="GJ211">
        <v>0</v>
      </c>
      <c r="GK211">
        <v>0</v>
      </c>
      <c r="GL211">
        <v>0</v>
      </c>
      <c r="GM211">
        <v>0</v>
      </c>
      <c r="GN211">
        <v>0</v>
      </c>
      <c r="GO211">
        <v>0</v>
      </c>
      <c r="GP211">
        <v>0</v>
      </c>
      <c r="GQ211">
        <v>0</v>
      </c>
      <c r="GR211">
        <v>0</v>
      </c>
      <c r="GS211">
        <v>0</v>
      </c>
      <c r="GT211">
        <v>0</v>
      </c>
      <c r="GU211">
        <v>0</v>
      </c>
      <c r="GV211">
        <v>0</v>
      </c>
      <c r="GW211">
        <v>0</v>
      </c>
      <c r="GX211">
        <v>0</v>
      </c>
      <c r="GY211">
        <v>0</v>
      </c>
      <c r="GZ211">
        <v>0</v>
      </c>
      <c r="HA211">
        <v>0</v>
      </c>
      <c r="HB211">
        <v>0</v>
      </c>
      <c r="HC211">
        <v>0</v>
      </c>
      <c r="HD211">
        <v>0</v>
      </c>
      <c r="HE211">
        <v>0</v>
      </c>
      <c r="HF211">
        <v>0</v>
      </c>
      <c r="HG211">
        <v>0</v>
      </c>
      <c r="HH211">
        <v>0</v>
      </c>
      <c r="HI211">
        <v>0</v>
      </c>
      <c r="HJ211">
        <v>0</v>
      </c>
      <c r="HK211">
        <v>0</v>
      </c>
      <c r="HL211">
        <v>0</v>
      </c>
      <c r="HM211">
        <v>0</v>
      </c>
      <c r="HN211">
        <v>0</v>
      </c>
      <c r="HO211">
        <v>0</v>
      </c>
      <c r="HP211">
        <v>0</v>
      </c>
      <c r="HQ211">
        <v>0</v>
      </c>
      <c r="HR211">
        <v>0</v>
      </c>
      <c r="HS211">
        <v>0</v>
      </c>
      <c r="HT211">
        <v>0</v>
      </c>
      <c r="HU211">
        <v>0</v>
      </c>
      <c r="HV211">
        <v>0</v>
      </c>
      <c r="HW211">
        <v>0</v>
      </c>
      <c r="HX211">
        <v>0</v>
      </c>
      <c r="HY211">
        <v>0</v>
      </c>
      <c r="HZ211">
        <v>0</v>
      </c>
      <c r="IA211">
        <v>0</v>
      </c>
      <c r="IB211">
        <v>0</v>
      </c>
      <c r="IC211">
        <v>0</v>
      </c>
      <c r="ID211">
        <v>0</v>
      </c>
      <c r="IE211">
        <v>0</v>
      </c>
      <c r="IF211">
        <v>0</v>
      </c>
      <c r="IG211">
        <v>0</v>
      </c>
      <c r="IH211">
        <v>0</v>
      </c>
      <c r="II211">
        <v>0</v>
      </c>
      <c r="IJ211">
        <v>0</v>
      </c>
      <c r="IK211">
        <v>0</v>
      </c>
      <c r="IL211">
        <v>0</v>
      </c>
      <c r="IM211">
        <v>0</v>
      </c>
      <c r="IN211">
        <v>0</v>
      </c>
      <c r="IO211">
        <v>0</v>
      </c>
      <c r="IP211">
        <v>0</v>
      </c>
      <c r="IQ211">
        <v>0</v>
      </c>
      <c r="IR211">
        <v>0</v>
      </c>
      <c r="IS211">
        <v>0</v>
      </c>
      <c r="IT211">
        <v>0</v>
      </c>
      <c r="IU211">
        <v>0</v>
      </c>
      <c r="IV211">
        <v>0</v>
      </c>
      <c r="IW211">
        <v>0</v>
      </c>
      <c r="IX211">
        <v>0</v>
      </c>
      <c r="IY211">
        <v>0</v>
      </c>
      <c r="IZ211">
        <v>0</v>
      </c>
      <c r="JA211">
        <v>0</v>
      </c>
      <c r="JB211">
        <v>0</v>
      </c>
      <c r="JC211">
        <v>0</v>
      </c>
      <c r="JD211">
        <v>0</v>
      </c>
      <c r="JE211">
        <v>0</v>
      </c>
      <c r="JF211">
        <v>0</v>
      </c>
      <c r="JG211">
        <v>0</v>
      </c>
      <c r="JH211">
        <v>0</v>
      </c>
      <c r="JI211">
        <v>0</v>
      </c>
      <c r="JJ211">
        <v>0</v>
      </c>
      <c r="JK211">
        <v>0</v>
      </c>
      <c r="JL211">
        <v>0</v>
      </c>
      <c r="JM211">
        <v>0</v>
      </c>
      <c r="JN211">
        <v>0</v>
      </c>
      <c r="JO211">
        <v>0</v>
      </c>
      <c r="JP211">
        <v>0</v>
      </c>
      <c r="JQ211">
        <v>0</v>
      </c>
      <c r="JR211">
        <v>0</v>
      </c>
      <c r="JS211">
        <v>0</v>
      </c>
      <c r="JT211">
        <v>0</v>
      </c>
      <c r="JU211">
        <v>0</v>
      </c>
      <c r="JV211">
        <v>0</v>
      </c>
      <c r="JW211">
        <v>0</v>
      </c>
      <c r="JX211">
        <v>0</v>
      </c>
      <c r="JY211">
        <v>0</v>
      </c>
      <c r="JZ211">
        <v>0</v>
      </c>
      <c r="KA211">
        <v>0</v>
      </c>
      <c r="KB211">
        <v>0</v>
      </c>
      <c r="KC211">
        <v>0</v>
      </c>
      <c r="KD211">
        <v>0</v>
      </c>
      <c r="KE211">
        <v>0</v>
      </c>
      <c r="KF211">
        <v>0</v>
      </c>
      <c r="KG211">
        <v>0</v>
      </c>
      <c r="KH211">
        <v>0</v>
      </c>
      <c r="KI211">
        <v>0</v>
      </c>
      <c r="KJ211">
        <v>0</v>
      </c>
      <c r="KK211">
        <v>0</v>
      </c>
      <c r="KL211">
        <v>0</v>
      </c>
      <c r="KM211">
        <v>0</v>
      </c>
      <c r="KN211">
        <v>0</v>
      </c>
      <c r="KO211">
        <v>0</v>
      </c>
      <c r="KP211">
        <v>0</v>
      </c>
      <c r="KQ211">
        <v>0</v>
      </c>
      <c r="KR211">
        <v>0</v>
      </c>
      <c r="KS211">
        <v>0</v>
      </c>
      <c r="KT211">
        <v>0</v>
      </c>
      <c r="KU211">
        <v>0</v>
      </c>
      <c r="KV211">
        <v>0</v>
      </c>
      <c r="KW211">
        <v>0</v>
      </c>
      <c r="KX211">
        <v>0</v>
      </c>
      <c r="KY211">
        <v>0</v>
      </c>
      <c r="KZ211">
        <v>0</v>
      </c>
      <c r="LA211">
        <v>0</v>
      </c>
      <c r="LB211">
        <v>0</v>
      </c>
      <c r="LC211">
        <v>0</v>
      </c>
      <c r="LD211">
        <v>0</v>
      </c>
      <c r="LE211">
        <v>0</v>
      </c>
      <c r="LF211">
        <v>0</v>
      </c>
      <c r="LG211">
        <v>0</v>
      </c>
      <c r="LH211">
        <v>0</v>
      </c>
      <c r="LI211">
        <v>0</v>
      </c>
      <c r="LJ211">
        <v>0</v>
      </c>
      <c r="LK211">
        <v>0</v>
      </c>
      <c r="LL211">
        <v>0</v>
      </c>
      <c r="LM211">
        <v>0</v>
      </c>
      <c r="LN211">
        <v>0</v>
      </c>
      <c r="LO211">
        <v>0</v>
      </c>
      <c r="LP211">
        <v>0</v>
      </c>
      <c r="LQ211">
        <v>0</v>
      </c>
      <c r="LR211">
        <v>0</v>
      </c>
      <c r="LS211">
        <v>0</v>
      </c>
      <c r="LT211">
        <v>0</v>
      </c>
      <c r="LU211">
        <v>0</v>
      </c>
      <c r="LV211">
        <v>0</v>
      </c>
      <c r="LW211">
        <v>0</v>
      </c>
      <c r="LX211">
        <v>0</v>
      </c>
      <c r="LY211">
        <v>0</v>
      </c>
      <c r="LZ211">
        <v>0</v>
      </c>
      <c r="MA211">
        <v>0</v>
      </c>
      <c r="MB211">
        <v>0</v>
      </c>
      <c r="MC211">
        <v>0</v>
      </c>
      <c r="MD211">
        <v>0</v>
      </c>
      <c r="ME211">
        <v>0</v>
      </c>
      <c r="MF211">
        <v>0</v>
      </c>
      <c r="MG211">
        <v>0</v>
      </c>
      <c r="MH211">
        <v>0</v>
      </c>
      <c r="MI211">
        <v>0</v>
      </c>
      <c r="MJ211">
        <v>0</v>
      </c>
      <c r="MK211">
        <v>0</v>
      </c>
      <c r="ML211">
        <v>0</v>
      </c>
      <c r="MM211">
        <v>0</v>
      </c>
      <c r="MN211">
        <v>0</v>
      </c>
      <c r="MO211">
        <v>0</v>
      </c>
      <c r="MP211">
        <v>0</v>
      </c>
      <c r="MQ211">
        <v>0</v>
      </c>
      <c r="MR211">
        <v>0</v>
      </c>
      <c r="MS211">
        <v>0</v>
      </c>
      <c r="MT211">
        <v>0</v>
      </c>
      <c r="MU211">
        <v>0</v>
      </c>
      <c r="MV211">
        <v>0</v>
      </c>
      <c r="MW211">
        <v>0</v>
      </c>
      <c r="MX211">
        <v>0</v>
      </c>
      <c r="MY211">
        <v>0</v>
      </c>
      <c r="MZ211">
        <v>0</v>
      </c>
      <c r="NA211">
        <v>0</v>
      </c>
      <c r="NB211">
        <v>0</v>
      </c>
      <c r="NC211">
        <v>0</v>
      </c>
      <c r="ND211">
        <v>0</v>
      </c>
      <c r="NE211">
        <v>0</v>
      </c>
    </row>
    <row r="212" spans="41:369" x14ac:dyDescent="0.45">
      <c r="AO212" t="str">
        <v>C168</v>
      </c>
      <c r="AP212" t="str">
        <v>MUHAMMED SHAHAN P.S</v>
      </c>
      <c r="AQ212" t="str">
        <v>FANT</v>
      </c>
      <c r="AR212" t="str">
        <v>SENIOR</v>
      </c>
      <c r="AS212">
        <v>7</v>
      </c>
      <c r="AT212">
        <v>41</v>
      </c>
      <c r="AU212">
        <v>0</v>
      </c>
      <c r="AV212">
        <v>41</v>
      </c>
      <c r="AW212">
        <v>41</v>
      </c>
      <c r="AX212">
        <v>21</v>
      </c>
      <c r="AY212" s="5">
        <v>21</v>
      </c>
      <c r="AZ212">
        <v>0</v>
      </c>
      <c r="BA212">
        <v>0</v>
      </c>
      <c r="BB212">
        <v>0</v>
      </c>
      <c r="BC212">
        <v>0</v>
      </c>
      <c r="BD212">
        <v>0</v>
      </c>
      <c r="BE212">
        <v>0</v>
      </c>
      <c r="BF212">
        <v>0</v>
      </c>
      <c r="BG212">
        <v>0</v>
      </c>
      <c r="BH212">
        <v>0</v>
      </c>
      <c r="BI212" t="str">
        <v/>
      </c>
      <c r="BK212">
        <v>206</v>
      </c>
      <c r="BL212">
        <v>0</v>
      </c>
      <c r="BM212">
        <v>0</v>
      </c>
      <c r="BN212">
        <v>0</v>
      </c>
      <c r="BO212">
        <v>0</v>
      </c>
      <c r="BP212">
        <v>0</v>
      </c>
      <c r="BQ212">
        <v>0</v>
      </c>
      <c r="BR212">
        <v>0</v>
      </c>
      <c r="BS212">
        <v>0</v>
      </c>
      <c r="BT212">
        <v>0</v>
      </c>
      <c r="BU212">
        <v>0</v>
      </c>
      <c r="BV212">
        <v>0</v>
      </c>
      <c r="BW212">
        <v>0</v>
      </c>
      <c r="BX212">
        <v>0</v>
      </c>
      <c r="BY212">
        <v>0</v>
      </c>
      <c r="BZ212">
        <v>0</v>
      </c>
      <c r="CA212">
        <v>0</v>
      </c>
      <c r="CB212">
        <v>0</v>
      </c>
      <c r="CC212">
        <v>0</v>
      </c>
      <c r="CD212">
        <v>0</v>
      </c>
      <c r="CE212">
        <v>0</v>
      </c>
      <c r="CF212">
        <v>0</v>
      </c>
      <c r="CG212">
        <v>0</v>
      </c>
      <c r="CH212">
        <v>0</v>
      </c>
      <c r="CI212">
        <v>0</v>
      </c>
      <c r="CJ212">
        <v>0</v>
      </c>
      <c r="CK212">
        <v>0</v>
      </c>
      <c r="CL212">
        <v>0</v>
      </c>
      <c r="CM212">
        <v>0</v>
      </c>
      <c r="CN212">
        <v>0</v>
      </c>
      <c r="CO212">
        <v>0</v>
      </c>
      <c r="CP212">
        <v>0</v>
      </c>
      <c r="CQ212">
        <v>0</v>
      </c>
      <c r="CR212">
        <v>0</v>
      </c>
      <c r="CS212">
        <v>0</v>
      </c>
      <c r="CT212">
        <v>0</v>
      </c>
      <c r="CU212">
        <v>0</v>
      </c>
      <c r="CV212">
        <v>0</v>
      </c>
      <c r="CW212">
        <v>0</v>
      </c>
      <c r="CX212">
        <v>0</v>
      </c>
      <c r="CY212">
        <v>0</v>
      </c>
      <c r="CZ212">
        <v>0</v>
      </c>
      <c r="DA212">
        <v>0</v>
      </c>
      <c r="DB212">
        <v>0</v>
      </c>
      <c r="DC212">
        <v>0</v>
      </c>
      <c r="DD212">
        <v>0</v>
      </c>
      <c r="DE212">
        <v>0</v>
      </c>
      <c r="DF212">
        <v>0</v>
      </c>
      <c r="DG212">
        <v>0</v>
      </c>
      <c r="DH212">
        <v>0</v>
      </c>
      <c r="DI212">
        <v>0</v>
      </c>
      <c r="DJ212">
        <v>0</v>
      </c>
      <c r="DK212">
        <v>0</v>
      </c>
      <c r="DL212">
        <v>0</v>
      </c>
      <c r="DM212">
        <v>0</v>
      </c>
      <c r="DN212">
        <v>0</v>
      </c>
      <c r="DO212">
        <v>0</v>
      </c>
      <c r="DP212">
        <v>0</v>
      </c>
      <c r="DQ212">
        <v>0</v>
      </c>
      <c r="DR212">
        <v>0</v>
      </c>
      <c r="DS212">
        <v>0</v>
      </c>
      <c r="DT212">
        <v>0</v>
      </c>
      <c r="DU212">
        <v>0</v>
      </c>
      <c r="DV212">
        <v>0</v>
      </c>
      <c r="DW212">
        <v>0</v>
      </c>
      <c r="DX212">
        <v>0</v>
      </c>
      <c r="DY212">
        <v>0</v>
      </c>
      <c r="DZ212">
        <v>0</v>
      </c>
      <c r="EA212">
        <v>0</v>
      </c>
      <c r="EB212">
        <v>0</v>
      </c>
      <c r="EC212">
        <v>0</v>
      </c>
      <c r="ED212">
        <v>0</v>
      </c>
      <c r="EE212">
        <v>0</v>
      </c>
      <c r="EF212">
        <v>0</v>
      </c>
      <c r="EG212">
        <v>0</v>
      </c>
      <c r="EH212">
        <v>0</v>
      </c>
      <c r="EI212">
        <v>0</v>
      </c>
      <c r="EJ212">
        <v>0</v>
      </c>
      <c r="EK212">
        <v>0</v>
      </c>
      <c r="EL212">
        <v>0</v>
      </c>
      <c r="EM212">
        <v>0</v>
      </c>
      <c r="EN212">
        <v>0</v>
      </c>
      <c r="EO212">
        <v>0</v>
      </c>
      <c r="EP212">
        <v>0</v>
      </c>
      <c r="EQ212">
        <v>0</v>
      </c>
      <c r="ER212">
        <v>0</v>
      </c>
      <c r="ES212">
        <v>0</v>
      </c>
      <c r="ET212">
        <v>0</v>
      </c>
      <c r="EU212">
        <v>0</v>
      </c>
      <c r="EV212">
        <v>0</v>
      </c>
      <c r="EW212">
        <v>0</v>
      </c>
      <c r="EX212">
        <v>0</v>
      </c>
      <c r="EY212">
        <v>0</v>
      </c>
      <c r="EZ212">
        <v>0</v>
      </c>
      <c r="FA212">
        <v>0</v>
      </c>
      <c r="FB212">
        <v>0</v>
      </c>
      <c r="FC212">
        <v>0</v>
      </c>
      <c r="FD212">
        <v>0</v>
      </c>
      <c r="FE212">
        <v>0</v>
      </c>
      <c r="FF212">
        <v>0</v>
      </c>
      <c r="FG212">
        <v>0</v>
      </c>
      <c r="FH212">
        <v>0</v>
      </c>
      <c r="FI212">
        <v>0</v>
      </c>
      <c r="FJ212">
        <v>0</v>
      </c>
      <c r="FK212">
        <v>0</v>
      </c>
      <c r="FL212">
        <v>0</v>
      </c>
      <c r="FM212">
        <v>0</v>
      </c>
      <c r="FN212">
        <v>0</v>
      </c>
      <c r="FO212">
        <v>0</v>
      </c>
      <c r="FP212">
        <v>0</v>
      </c>
      <c r="FQ212">
        <v>0</v>
      </c>
      <c r="FR212">
        <v>0</v>
      </c>
      <c r="FS212">
        <v>0</v>
      </c>
      <c r="FT212">
        <v>0</v>
      </c>
      <c r="FU212">
        <v>0</v>
      </c>
      <c r="FV212">
        <v>0</v>
      </c>
      <c r="FW212">
        <v>0</v>
      </c>
      <c r="FX212">
        <v>0</v>
      </c>
      <c r="FY212">
        <v>0</v>
      </c>
      <c r="FZ212">
        <v>0</v>
      </c>
      <c r="GA212">
        <v>0</v>
      </c>
      <c r="GB212">
        <v>0</v>
      </c>
      <c r="GC212">
        <v>0</v>
      </c>
      <c r="GD212">
        <v>0</v>
      </c>
      <c r="GE212">
        <v>0</v>
      </c>
      <c r="GF212">
        <v>0</v>
      </c>
      <c r="GG212">
        <v>0</v>
      </c>
      <c r="GH212">
        <v>0</v>
      </c>
      <c r="GI212">
        <v>0</v>
      </c>
      <c r="GJ212">
        <v>0</v>
      </c>
      <c r="GK212">
        <v>0</v>
      </c>
      <c r="GL212">
        <v>0</v>
      </c>
      <c r="GM212">
        <v>0</v>
      </c>
      <c r="GN212">
        <v>0</v>
      </c>
      <c r="GO212">
        <v>0</v>
      </c>
      <c r="GP212">
        <v>0</v>
      </c>
      <c r="GQ212">
        <v>0</v>
      </c>
      <c r="GR212">
        <v>0</v>
      </c>
      <c r="GS212">
        <v>0</v>
      </c>
      <c r="GT212">
        <v>0</v>
      </c>
      <c r="GU212">
        <v>0</v>
      </c>
      <c r="GV212">
        <v>0</v>
      </c>
      <c r="GW212">
        <v>0</v>
      </c>
      <c r="GX212">
        <v>0</v>
      </c>
      <c r="GY212">
        <v>0</v>
      </c>
      <c r="GZ212">
        <v>0</v>
      </c>
      <c r="HA212">
        <v>0</v>
      </c>
      <c r="HB212">
        <v>0</v>
      </c>
      <c r="HC212">
        <v>0</v>
      </c>
      <c r="HD212">
        <v>0</v>
      </c>
      <c r="HE212">
        <v>0</v>
      </c>
      <c r="HF212">
        <v>0</v>
      </c>
      <c r="HG212">
        <v>0</v>
      </c>
      <c r="HH212">
        <v>0</v>
      </c>
      <c r="HI212">
        <v>0</v>
      </c>
      <c r="HJ212">
        <v>0</v>
      </c>
      <c r="HK212">
        <v>0</v>
      </c>
      <c r="HL212">
        <v>0</v>
      </c>
      <c r="HM212">
        <v>0</v>
      </c>
      <c r="HN212">
        <v>0</v>
      </c>
      <c r="HO212">
        <v>0</v>
      </c>
      <c r="HP212">
        <v>0</v>
      </c>
      <c r="HQ212">
        <v>0</v>
      </c>
      <c r="HR212">
        <v>0</v>
      </c>
      <c r="HS212">
        <v>0</v>
      </c>
      <c r="HT212">
        <v>0</v>
      </c>
      <c r="HU212">
        <v>0</v>
      </c>
      <c r="HV212">
        <v>0</v>
      </c>
      <c r="HW212">
        <v>0</v>
      </c>
      <c r="HX212">
        <v>0</v>
      </c>
      <c r="HY212">
        <v>0</v>
      </c>
      <c r="HZ212">
        <v>0</v>
      </c>
      <c r="IA212">
        <v>0</v>
      </c>
      <c r="IB212">
        <v>0</v>
      </c>
      <c r="IC212">
        <v>0</v>
      </c>
      <c r="ID212">
        <v>0</v>
      </c>
      <c r="IE212">
        <v>0</v>
      </c>
      <c r="IF212">
        <v>0</v>
      </c>
      <c r="IG212">
        <v>0</v>
      </c>
      <c r="IH212">
        <v>0</v>
      </c>
      <c r="II212">
        <v>0</v>
      </c>
      <c r="IJ212">
        <v>0</v>
      </c>
      <c r="IK212">
        <v>0</v>
      </c>
      <c r="IL212">
        <v>0</v>
      </c>
      <c r="IM212">
        <v>0</v>
      </c>
      <c r="IN212">
        <v>0</v>
      </c>
      <c r="IO212">
        <v>0</v>
      </c>
      <c r="IP212">
        <v>0</v>
      </c>
      <c r="IQ212">
        <v>0</v>
      </c>
      <c r="IR212">
        <v>0</v>
      </c>
      <c r="IS212">
        <v>0</v>
      </c>
      <c r="IT212">
        <v>0</v>
      </c>
      <c r="IU212">
        <v>0</v>
      </c>
      <c r="IV212">
        <v>0</v>
      </c>
      <c r="IW212">
        <v>0</v>
      </c>
      <c r="IX212">
        <v>0</v>
      </c>
      <c r="IY212">
        <v>0</v>
      </c>
      <c r="IZ212">
        <v>0</v>
      </c>
      <c r="JA212">
        <v>0</v>
      </c>
      <c r="JB212">
        <v>0</v>
      </c>
      <c r="JC212">
        <v>0</v>
      </c>
      <c r="JD212">
        <v>0</v>
      </c>
      <c r="JE212">
        <v>0</v>
      </c>
      <c r="JF212">
        <v>0</v>
      </c>
      <c r="JG212">
        <v>0</v>
      </c>
      <c r="JH212">
        <v>0</v>
      </c>
      <c r="JI212">
        <v>0</v>
      </c>
      <c r="JJ212">
        <v>0</v>
      </c>
      <c r="JK212">
        <v>0</v>
      </c>
      <c r="JL212">
        <v>0</v>
      </c>
      <c r="JM212">
        <v>0</v>
      </c>
      <c r="JN212">
        <v>0</v>
      </c>
      <c r="JO212">
        <v>0</v>
      </c>
      <c r="JP212">
        <v>0</v>
      </c>
      <c r="JQ212">
        <v>0</v>
      </c>
      <c r="JR212">
        <v>0</v>
      </c>
      <c r="JS212">
        <v>0</v>
      </c>
      <c r="JT212">
        <v>0</v>
      </c>
      <c r="JU212">
        <v>0</v>
      </c>
      <c r="JV212">
        <v>0</v>
      </c>
      <c r="JW212">
        <v>0</v>
      </c>
      <c r="JX212">
        <v>0</v>
      </c>
      <c r="JY212">
        <v>0</v>
      </c>
      <c r="JZ212">
        <v>0</v>
      </c>
      <c r="KA212">
        <v>0</v>
      </c>
      <c r="KB212">
        <v>0</v>
      </c>
      <c r="KC212">
        <v>0</v>
      </c>
      <c r="KD212">
        <v>0</v>
      </c>
      <c r="KE212">
        <v>0</v>
      </c>
      <c r="KF212">
        <v>0</v>
      </c>
      <c r="KG212">
        <v>0</v>
      </c>
      <c r="KH212">
        <v>0</v>
      </c>
      <c r="KI212">
        <v>0</v>
      </c>
      <c r="KJ212">
        <v>0</v>
      </c>
      <c r="KK212">
        <v>0</v>
      </c>
      <c r="KL212">
        <v>0</v>
      </c>
      <c r="KM212">
        <v>0</v>
      </c>
      <c r="KN212">
        <v>0</v>
      </c>
      <c r="KO212">
        <v>0</v>
      </c>
      <c r="KP212">
        <v>0</v>
      </c>
      <c r="KQ212">
        <v>0</v>
      </c>
      <c r="KR212">
        <v>0</v>
      </c>
      <c r="KS212">
        <v>0</v>
      </c>
      <c r="KT212">
        <v>0</v>
      </c>
      <c r="KU212">
        <v>0</v>
      </c>
      <c r="KV212">
        <v>0</v>
      </c>
      <c r="KW212">
        <v>0</v>
      </c>
      <c r="KX212">
        <v>0</v>
      </c>
      <c r="KY212">
        <v>0</v>
      </c>
      <c r="KZ212">
        <v>0</v>
      </c>
      <c r="LA212">
        <v>0</v>
      </c>
      <c r="LB212">
        <v>0</v>
      </c>
      <c r="LC212">
        <v>0</v>
      </c>
      <c r="LD212">
        <v>0</v>
      </c>
      <c r="LE212">
        <v>0</v>
      </c>
      <c r="LF212">
        <v>0</v>
      </c>
      <c r="LG212">
        <v>0</v>
      </c>
      <c r="LH212">
        <v>0</v>
      </c>
      <c r="LI212">
        <v>0</v>
      </c>
      <c r="LJ212">
        <v>0</v>
      </c>
      <c r="LK212">
        <v>0</v>
      </c>
      <c r="LL212">
        <v>0</v>
      </c>
      <c r="LM212">
        <v>0</v>
      </c>
      <c r="LN212">
        <v>0</v>
      </c>
      <c r="LO212">
        <v>0</v>
      </c>
      <c r="LP212">
        <v>0</v>
      </c>
      <c r="LQ212">
        <v>0</v>
      </c>
      <c r="LR212">
        <v>0</v>
      </c>
      <c r="LS212">
        <v>0</v>
      </c>
      <c r="LT212">
        <v>0</v>
      </c>
      <c r="LU212">
        <v>0</v>
      </c>
      <c r="LV212">
        <v>0</v>
      </c>
      <c r="LW212">
        <v>0</v>
      </c>
      <c r="LX212">
        <v>0</v>
      </c>
      <c r="LY212">
        <v>0</v>
      </c>
      <c r="LZ212">
        <v>0</v>
      </c>
      <c r="MA212">
        <v>0</v>
      </c>
      <c r="MB212">
        <v>0</v>
      </c>
      <c r="MC212">
        <v>0</v>
      </c>
      <c r="MD212">
        <v>0</v>
      </c>
      <c r="ME212">
        <v>0</v>
      </c>
      <c r="MF212">
        <v>0</v>
      </c>
      <c r="MG212">
        <v>0</v>
      </c>
      <c r="MH212">
        <v>0</v>
      </c>
      <c r="MI212">
        <v>0</v>
      </c>
      <c r="MJ212">
        <v>0</v>
      </c>
      <c r="MK212">
        <v>0</v>
      </c>
      <c r="ML212">
        <v>0</v>
      </c>
      <c r="MM212">
        <v>0</v>
      </c>
      <c r="MN212">
        <v>0</v>
      </c>
      <c r="MO212">
        <v>0</v>
      </c>
      <c r="MP212">
        <v>0</v>
      </c>
      <c r="MQ212">
        <v>0</v>
      </c>
      <c r="MR212">
        <v>0</v>
      </c>
      <c r="MS212">
        <v>0</v>
      </c>
      <c r="MT212">
        <v>0</v>
      </c>
      <c r="MU212">
        <v>0</v>
      </c>
      <c r="MV212">
        <v>0</v>
      </c>
      <c r="MW212">
        <v>0</v>
      </c>
      <c r="MX212">
        <v>0</v>
      </c>
      <c r="MY212">
        <v>0</v>
      </c>
      <c r="MZ212">
        <v>0</v>
      </c>
      <c r="NA212">
        <v>0</v>
      </c>
      <c r="NB212">
        <v>0</v>
      </c>
      <c r="NC212">
        <v>0</v>
      </c>
      <c r="ND212">
        <v>0</v>
      </c>
      <c r="NE212">
        <v>0</v>
      </c>
    </row>
    <row r="213" spans="41:369" x14ac:dyDescent="0.45">
      <c r="AO213" t="str">
        <v>C169</v>
      </c>
      <c r="AP213" t="str">
        <v>MOHAMMED THAJUDDEEN A R P</v>
      </c>
      <c r="AQ213" t="str">
        <v>BADF</v>
      </c>
      <c r="AR213" t="str">
        <v>SENIOR</v>
      </c>
      <c r="AS213">
        <v>7</v>
      </c>
      <c r="AT213">
        <v>0</v>
      </c>
      <c r="AU213">
        <v>0</v>
      </c>
      <c r="AV213">
        <v>0</v>
      </c>
      <c r="AW213">
        <v>0</v>
      </c>
      <c r="AX213">
        <v>255</v>
      </c>
      <c r="AY213" s="5">
        <v>255</v>
      </c>
      <c r="AZ213">
        <v>0</v>
      </c>
      <c r="BA213">
        <v>0</v>
      </c>
      <c r="BB213">
        <v>0</v>
      </c>
      <c r="BC213">
        <v>0</v>
      </c>
      <c r="BD213">
        <v>0</v>
      </c>
      <c r="BE213">
        <v>0</v>
      </c>
      <c r="BF213">
        <v>0</v>
      </c>
      <c r="BG213">
        <v>0</v>
      </c>
      <c r="BH213">
        <v>0</v>
      </c>
      <c r="BI213" t="str">
        <v/>
      </c>
      <c r="BK213">
        <v>207</v>
      </c>
      <c r="BL213">
        <v>0</v>
      </c>
      <c r="BM213">
        <v>0</v>
      </c>
      <c r="BN213">
        <v>0</v>
      </c>
      <c r="BO213">
        <v>0</v>
      </c>
      <c r="BP213">
        <v>0</v>
      </c>
      <c r="BQ213">
        <v>0</v>
      </c>
      <c r="BR213">
        <v>0</v>
      </c>
      <c r="BS213">
        <v>0</v>
      </c>
      <c r="BT213">
        <v>0</v>
      </c>
      <c r="BU213">
        <v>0</v>
      </c>
      <c r="BV213">
        <v>0</v>
      </c>
      <c r="BW213">
        <v>0</v>
      </c>
      <c r="BX213">
        <v>0</v>
      </c>
      <c r="BY213">
        <v>0</v>
      </c>
      <c r="BZ213">
        <v>0</v>
      </c>
      <c r="CA213">
        <v>0</v>
      </c>
      <c r="CB213">
        <v>0</v>
      </c>
      <c r="CC213">
        <v>0</v>
      </c>
      <c r="CD213">
        <v>0</v>
      </c>
      <c r="CE213">
        <v>0</v>
      </c>
      <c r="CF213">
        <v>0</v>
      </c>
      <c r="CG213">
        <v>0</v>
      </c>
      <c r="CH213">
        <v>0</v>
      </c>
      <c r="CI213">
        <v>0</v>
      </c>
      <c r="CJ213">
        <v>0</v>
      </c>
      <c r="CK213">
        <v>0</v>
      </c>
      <c r="CL213">
        <v>0</v>
      </c>
      <c r="CM213">
        <v>0</v>
      </c>
      <c r="CN213">
        <v>0</v>
      </c>
      <c r="CO213">
        <v>0</v>
      </c>
      <c r="CP213">
        <v>0</v>
      </c>
      <c r="CQ213">
        <v>0</v>
      </c>
      <c r="CR213">
        <v>0</v>
      </c>
      <c r="CS213">
        <v>0</v>
      </c>
      <c r="CT213">
        <v>0</v>
      </c>
      <c r="CU213">
        <v>0</v>
      </c>
      <c r="CV213">
        <v>0</v>
      </c>
      <c r="CW213">
        <v>0</v>
      </c>
      <c r="CX213">
        <v>0</v>
      </c>
      <c r="CY213">
        <v>0</v>
      </c>
      <c r="CZ213">
        <v>0</v>
      </c>
      <c r="DA213">
        <v>0</v>
      </c>
      <c r="DB213">
        <v>0</v>
      </c>
      <c r="DC213">
        <v>0</v>
      </c>
      <c r="DD213">
        <v>0</v>
      </c>
      <c r="DE213">
        <v>0</v>
      </c>
      <c r="DF213">
        <v>0</v>
      </c>
      <c r="DG213">
        <v>0</v>
      </c>
      <c r="DH213">
        <v>0</v>
      </c>
      <c r="DI213">
        <v>0</v>
      </c>
      <c r="DJ213">
        <v>0</v>
      </c>
      <c r="DK213">
        <v>0</v>
      </c>
      <c r="DL213">
        <v>0</v>
      </c>
      <c r="DM213">
        <v>0</v>
      </c>
      <c r="DN213">
        <v>0</v>
      </c>
      <c r="DO213">
        <v>0</v>
      </c>
      <c r="DP213">
        <v>0</v>
      </c>
      <c r="DQ213">
        <v>0</v>
      </c>
      <c r="DR213">
        <v>0</v>
      </c>
      <c r="DS213">
        <v>0</v>
      </c>
      <c r="DT213">
        <v>0</v>
      </c>
      <c r="DU213">
        <v>0</v>
      </c>
      <c r="DV213">
        <v>0</v>
      </c>
      <c r="DW213">
        <v>0</v>
      </c>
      <c r="DX213">
        <v>0</v>
      </c>
      <c r="DY213">
        <v>0</v>
      </c>
      <c r="DZ213">
        <v>0</v>
      </c>
      <c r="EA213">
        <v>0</v>
      </c>
      <c r="EB213">
        <v>0</v>
      </c>
      <c r="EC213">
        <v>0</v>
      </c>
      <c r="ED213">
        <v>0</v>
      </c>
      <c r="EE213">
        <v>0</v>
      </c>
      <c r="EF213">
        <v>0</v>
      </c>
      <c r="EG213">
        <v>0</v>
      </c>
      <c r="EH213">
        <v>0</v>
      </c>
      <c r="EI213">
        <v>0</v>
      </c>
      <c r="EJ213">
        <v>0</v>
      </c>
      <c r="EK213">
        <v>0</v>
      </c>
      <c r="EL213">
        <v>0</v>
      </c>
      <c r="EM213">
        <v>0</v>
      </c>
      <c r="EN213">
        <v>0</v>
      </c>
      <c r="EO213">
        <v>0</v>
      </c>
      <c r="EP213">
        <v>0</v>
      </c>
      <c r="EQ213">
        <v>0</v>
      </c>
      <c r="ER213">
        <v>0</v>
      </c>
      <c r="ES213">
        <v>0</v>
      </c>
      <c r="ET213">
        <v>0</v>
      </c>
      <c r="EU213">
        <v>0</v>
      </c>
      <c r="EV213">
        <v>0</v>
      </c>
      <c r="EW213">
        <v>0</v>
      </c>
      <c r="EX213">
        <v>0</v>
      </c>
      <c r="EY213">
        <v>0</v>
      </c>
      <c r="EZ213">
        <v>0</v>
      </c>
      <c r="FA213">
        <v>0</v>
      </c>
      <c r="FB213">
        <v>0</v>
      </c>
      <c r="FC213">
        <v>0</v>
      </c>
      <c r="FD213">
        <v>0</v>
      </c>
      <c r="FE213">
        <v>0</v>
      </c>
      <c r="FF213">
        <v>0</v>
      </c>
      <c r="FG213">
        <v>0</v>
      </c>
      <c r="FH213">
        <v>0</v>
      </c>
      <c r="FI213">
        <v>0</v>
      </c>
      <c r="FJ213">
        <v>0</v>
      </c>
      <c r="FK213">
        <v>0</v>
      </c>
      <c r="FL213">
        <v>0</v>
      </c>
      <c r="FM213">
        <v>0</v>
      </c>
      <c r="FN213">
        <v>0</v>
      </c>
      <c r="FO213">
        <v>0</v>
      </c>
      <c r="FP213">
        <v>0</v>
      </c>
      <c r="FQ213">
        <v>0</v>
      </c>
      <c r="FR213">
        <v>0</v>
      </c>
      <c r="FS213">
        <v>0</v>
      </c>
      <c r="FT213">
        <v>0</v>
      </c>
      <c r="FU213">
        <v>0</v>
      </c>
      <c r="FV213">
        <v>0</v>
      </c>
      <c r="FW213">
        <v>0</v>
      </c>
      <c r="FX213">
        <v>0</v>
      </c>
      <c r="FY213">
        <v>0</v>
      </c>
      <c r="FZ213">
        <v>0</v>
      </c>
      <c r="GA213">
        <v>0</v>
      </c>
      <c r="GB213">
        <v>0</v>
      </c>
      <c r="GC213">
        <v>0</v>
      </c>
      <c r="GD213">
        <v>0</v>
      </c>
      <c r="GE213">
        <v>0</v>
      </c>
      <c r="GF213">
        <v>0</v>
      </c>
      <c r="GG213">
        <v>0</v>
      </c>
      <c r="GH213">
        <v>0</v>
      </c>
      <c r="GI213">
        <v>0</v>
      </c>
      <c r="GJ213">
        <v>0</v>
      </c>
      <c r="GK213">
        <v>0</v>
      </c>
      <c r="GL213">
        <v>0</v>
      </c>
      <c r="GM213">
        <v>0</v>
      </c>
      <c r="GN213">
        <v>0</v>
      </c>
      <c r="GO213">
        <v>0</v>
      </c>
      <c r="GP213">
        <v>0</v>
      </c>
      <c r="GQ213">
        <v>0</v>
      </c>
      <c r="GR213">
        <v>0</v>
      </c>
      <c r="GS213">
        <v>0</v>
      </c>
      <c r="GT213">
        <v>0</v>
      </c>
      <c r="GU213">
        <v>0</v>
      </c>
      <c r="GV213">
        <v>0</v>
      </c>
      <c r="GW213">
        <v>0</v>
      </c>
      <c r="GX213">
        <v>0</v>
      </c>
      <c r="GY213">
        <v>0</v>
      </c>
      <c r="GZ213">
        <v>0</v>
      </c>
      <c r="HA213">
        <v>0</v>
      </c>
      <c r="HB213">
        <v>0</v>
      </c>
      <c r="HC213">
        <v>0</v>
      </c>
      <c r="HD213">
        <v>0</v>
      </c>
      <c r="HE213">
        <v>0</v>
      </c>
      <c r="HF213">
        <v>0</v>
      </c>
      <c r="HG213">
        <v>0</v>
      </c>
      <c r="HH213">
        <v>0</v>
      </c>
      <c r="HI213">
        <v>0</v>
      </c>
      <c r="HJ213">
        <v>0</v>
      </c>
      <c r="HK213">
        <v>0</v>
      </c>
      <c r="HL213">
        <v>0</v>
      </c>
      <c r="HM213">
        <v>0</v>
      </c>
      <c r="HN213">
        <v>0</v>
      </c>
      <c r="HO213">
        <v>0</v>
      </c>
      <c r="HP213">
        <v>0</v>
      </c>
      <c r="HQ213">
        <v>0</v>
      </c>
      <c r="HR213">
        <v>0</v>
      </c>
      <c r="HS213">
        <v>0</v>
      </c>
      <c r="HT213">
        <v>0</v>
      </c>
      <c r="HU213">
        <v>0</v>
      </c>
      <c r="HV213">
        <v>0</v>
      </c>
      <c r="HW213">
        <v>0</v>
      </c>
      <c r="HX213">
        <v>0</v>
      </c>
      <c r="HY213">
        <v>0</v>
      </c>
      <c r="HZ213">
        <v>0</v>
      </c>
      <c r="IA213">
        <v>0</v>
      </c>
      <c r="IB213">
        <v>0</v>
      </c>
      <c r="IC213">
        <v>0</v>
      </c>
      <c r="ID213">
        <v>0</v>
      </c>
      <c r="IE213">
        <v>0</v>
      </c>
      <c r="IF213">
        <v>0</v>
      </c>
      <c r="IG213">
        <v>0</v>
      </c>
      <c r="IH213">
        <v>0</v>
      </c>
      <c r="II213">
        <v>0</v>
      </c>
      <c r="IJ213">
        <v>0</v>
      </c>
      <c r="IK213">
        <v>0</v>
      </c>
      <c r="IL213">
        <v>0</v>
      </c>
      <c r="IM213">
        <v>0</v>
      </c>
      <c r="IN213">
        <v>0</v>
      </c>
      <c r="IO213">
        <v>0</v>
      </c>
      <c r="IP213">
        <v>0</v>
      </c>
      <c r="IQ213">
        <v>0</v>
      </c>
      <c r="IR213">
        <v>0</v>
      </c>
      <c r="IS213">
        <v>0</v>
      </c>
      <c r="IT213">
        <v>0</v>
      </c>
      <c r="IU213">
        <v>0</v>
      </c>
      <c r="IV213">
        <v>0</v>
      </c>
      <c r="IW213">
        <v>0</v>
      </c>
      <c r="IX213">
        <v>0</v>
      </c>
      <c r="IY213">
        <v>0</v>
      </c>
      <c r="IZ213">
        <v>0</v>
      </c>
      <c r="JA213">
        <v>0</v>
      </c>
      <c r="JB213">
        <v>0</v>
      </c>
      <c r="JC213">
        <v>0</v>
      </c>
      <c r="JD213">
        <v>0</v>
      </c>
      <c r="JE213">
        <v>0</v>
      </c>
      <c r="JF213">
        <v>0</v>
      </c>
      <c r="JG213">
        <v>0</v>
      </c>
      <c r="JH213">
        <v>0</v>
      </c>
      <c r="JI213">
        <v>0</v>
      </c>
      <c r="JJ213">
        <v>0</v>
      </c>
      <c r="JK213">
        <v>0</v>
      </c>
      <c r="JL213">
        <v>0</v>
      </c>
      <c r="JM213">
        <v>0</v>
      </c>
      <c r="JN213">
        <v>0</v>
      </c>
      <c r="JO213">
        <v>0</v>
      </c>
      <c r="JP213">
        <v>0</v>
      </c>
      <c r="JQ213">
        <v>0</v>
      </c>
      <c r="JR213">
        <v>0</v>
      </c>
      <c r="JS213">
        <v>0</v>
      </c>
      <c r="JT213">
        <v>0</v>
      </c>
      <c r="JU213">
        <v>0</v>
      </c>
      <c r="JV213">
        <v>0</v>
      </c>
      <c r="JW213">
        <v>0</v>
      </c>
      <c r="JX213">
        <v>0</v>
      </c>
      <c r="JY213">
        <v>0</v>
      </c>
      <c r="JZ213">
        <v>0</v>
      </c>
      <c r="KA213">
        <v>0</v>
      </c>
      <c r="KB213">
        <v>0</v>
      </c>
      <c r="KC213">
        <v>0</v>
      </c>
      <c r="KD213">
        <v>0</v>
      </c>
      <c r="KE213">
        <v>0</v>
      </c>
      <c r="KF213">
        <v>0</v>
      </c>
      <c r="KG213">
        <v>0</v>
      </c>
      <c r="KH213">
        <v>0</v>
      </c>
      <c r="KI213">
        <v>0</v>
      </c>
      <c r="KJ213">
        <v>0</v>
      </c>
      <c r="KK213">
        <v>0</v>
      </c>
      <c r="KL213">
        <v>0</v>
      </c>
      <c r="KM213">
        <v>0</v>
      </c>
      <c r="KN213">
        <v>0</v>
      </c>
      <c r="KO213">
        <v>0</v>
      </c>
      <c r="KP213">
        <v>0</v>
      </c>
      <c r="KQ213">
        <v>0</v>
      </c>
      <c r="KR213">
        <v>0</v>
      </c>
      <c r="KS213">
        <v>0</v>
      </c>
      <c r="KT213">
        <v>0</v>
      </c>
      <c r="KU213">
        <v>0</v>
      </c>
      <c r="KV213">
        <v>0</v>
      </c>
      <c r="KW213">
        <v>0</v>
      </c>
      <c r="KX213">
        <v>0</v>
      </c>
      <c r="KY213">
        <v>0</v>
      </c>
      <c r="KZ213">
        <v>0</v>
      </c>
      <c r="LA213">
        <v>0</v>
      </c>
      <c r="LB213">
        <v>0</v>
      </c>
      <c r="LC213">
        <v>0</v>
      </c>
      <c r="LD213">
        <v>0</v>
      </c>
      <c r="LE213">
        <v>0</v>
      </c>
      <c r="LF213">
        <v>0</v>
      </c>
      <c r="LG213">
        <v>0</v>
      </c>
      <c r="LH213">
        <v>0</v>
      </c>
      <c r="LI213">
        <v>0</v>
      </c>
      <c r="LJ213">
        <v>0</v>
      </c>
      <c r="LK213">
        <v>0</v>
      </c>
      <c r="LL213">
        <v>0</v>
      </c>
      <c r="LM213">
        <v>0</v>
      </c>
      <c r="LN213">
        <v>0</v>
      </c>
      <c r="LO213">
        <v>0</v>
      </c>
      <c r="LP213">
        <v>0</v>
      </c>
      <c r="LQ213">
        <v>0</v>
      </c>
      <c r="LR213">
        <v>0</v>
      </c>
      <c r="LS213">
        <v>0</v>
      </c>
      <c r="LT213">
        <v>0</v>
      </c>
      <c r="LU213">
        <v>0</v>
      </c>
      <c r="LV213">
        <v>0</v>
      </c>
      <c r="LW213">
        <v>0</v>
      </c>
      <c r="LX213">
        <v>0</v>
      </c>
      <c r="LY213">
        <v>0</v>
      </c>
      <c r="LZ213">
        <v>0</v>
      </c>
      <c r="MA213">
        <v>0</v>
      </c>
      <c r="MB213">
        <v>0</v>
      </c>
      <c r="MC213">
        <v>0</v>
      </c>
      <c r="MD213">
        <v>0</v>
      </c>
      <c r="ME213">
        <v>0</v>
      </c>
      <c r="MF213">
        <v>0</v>
      </c>
      <c r="MG213">
        <v>0</v>
      </c>
      <c r="MH213">
        <v>0</v>
      </c>
      <c r="MI213">
        <v>0</v>
      </c>
      <c r="MJ213">
        <v>0</v>
      </c>
      <c r="MK213">
        <v>0</v>
      </c>
      <c r="ML213">
        <v>0</v>
      </c>
      <c r="MM213">
        <v>0</v>
      </c>
      <c r="MN213">
        <v>0</v>
      </c>
      <c r="MO213">
        <v>0</v>
      </c>
      <c r="MP213">
        <v>0</v>
      </c>
      <c r="MQ213">
        <v>0</v>
      </c>
      <c r="MR213">
        <v>0</v>
      </c>
      <c r="MS213">
        <v>0</v>
      </c>
      <c r="MT213">
        <v>0</v>
      </c>
      <c r="MU213">
        <v>0</v>
      </c>
      <c r="MV213">
        <v>0</v>
      </c>
      <c r="MW213">
        <v>0</v>
      </c>
      <c r="MX213">
        <v>0</v>
      </c>
      <c r="MY213">
        <v>0</v>
      </c>
      <c r="MZ213">
        <v>0</v>
      </c>
      <c r="NA213">
        <v>0</v>
      </c>
      <c r="NB213">
        <v>0</v>
      </c>
      <c r="NC213">
        <v>0</v>
      </c>
      <c r="ND213">
        <v>0</v>
      </c>
      <c r="NE213">
        <v>0</v>
      </c>
    </row>
    <row r="214" spans="41:369" x14ac:dyDescent="0.45">
      <c r="AO214" t="str">
        <v>C170</v>
      </c>
      <c r="AP214" t="str">
        <v>RUMAIZALI R IBRAHIM</v>
      </c>
      <c r="AQ214" t="str">
        <v>BADF</v>
      </c>
      <c r="AR214" t="str">
        <v>SENIOR</v>
      </c>
      <c r="AS214">
        <v>7</v>
      </c>
      <c r="AT214">
        <v>52</v>
      </c>
      <c r="AU214">
        <v>0</v>
      </c>
      <c r="AV214">
        <v>52</v>
      </c>
      <c r="AW214">
        <v>52</v>
      </c>
      <c r="AX214">
        <v>11</v>
      </c>
      <c r="AY214" s="5">
        <v>11</v>
      </c>
      <c r="AZ214">
        <v>0</v>
      </c>
      <c r="BA214">
        <v>0</v>
      </c>
      <c r="BB214">
        <v>0</v>
      </c>
      <c r="BC214">
        <v>0</v>
      </c>
      <c r="BD214">
        <v>0</v>
      </c>
      <c r="BE214">
        <v>0</v>
      </c>
      <c r="BF214">
        <v>0</v>
      </c>
      <c r="BG214">
        <v>0</v>
      </c>
      <c r="BH214">
        <v>0</v>
      </c>
      <c r="BI214" t="str">
        <v/>
      </c>
      <c r="BK214">
        <v>208</v>
      </c>
      <c r="BL214">
        <v>0</v>
      </c>
      <c r="BM214">
        <v>0</v>
      </c>
      <c r="BN214">
        <v>0</v>
      </c>
      <c r="BO214">
        <v>0</v>
      </c>
      <c r="BP214">
        <v>0</v>
      </c>
      <c r="BQ214">
        <v>0</v>
      </c>
      <c r="BR214">
        <v>0</v>
      </c>
      <c r="BS214">
        <v>0</v>
      </c>
      <c r="BT214">
        <v>0</v>
      </c>
      <c r="BU214">
        <v>0</v>
      </c>
      <c r="BV214">
        <v>0</v>
      </c>
      <c r="BW214">
        <v>0</v>
      </c>
      <c r="BX214">
        <v>0</v>
      </c>
      <c r="BY214">
        <v>0</v>
      </c>
      <c r="BZ214">
        <v>0</v>
      </c>
      <c r="CA214">
        <v>0</v>
      </c>
      <c r="CB214">
        <v>0</v>
      </c>
      <c r="CC214">
        <v>0</v>
      </c>
      <c r="CD214">
        <v>0</v>
      </c>
      <c r="CE214">
        <v>0</v>
      </c>
      <c r="CF214">
        <v>0</v>
      </c>
      <c r="CG214">
        <v>0</v>
      </c>
      <c r="CH214">
        <v>0</v>
      </c>
      <c r="CI214">
        <v>0</v>
      </c>
      <c r="CJ214">
        <v>0</v>
      </c>
      <c r="CK214">
        <v>0</v>
      </c>
      <c r="CL214">
        <v>0</v>
      </c>
      <c r="CM214">
        <v>0</v>
      </c>
      <c r="CN214">
        <v>0</v>
      </c>
      <c r="CO214">
        <v>0</v>
      </c>
      <c r="CP214">
        <v>0</v>
      </c>
      <c r="CQ214">
        <v>0</v>
      </c>
      <c r="CR214">
        <v>0</v>
      </c>
      <c r="CS214">
        <v>0</v>
      </c>
      <c r="CT214">
        <v>0</v>
      </c>
      <c r="CU214">
        <v>0</v>
      </c>
      <c r="CV214">
        <v>0</v>
      </c>
      <c r="CW214">
        <v>0</v>
      </c>
      <c r="CX214">
        <v>0</v>
      </c>
      <c r="CY214">
        <v>0</v>
      </c>
      <c r="CZ214">
        <v>0</v>
      </c>
      <c r="DA214">
        <v>0</v>
      </c>
      <c r="DB214">
        <v>0</v>
      </c>
      <c r="DC214">
        <v>0</v>
      </c>
      <c r="DD214">
        <v>0</v>
      </c>
      <c r="DE214">
        <v>0</v>
      </c>
      <c r="DF214">
        <v>0</v>
      </c>
      <c r="DG214">
        <v>0</v>
      </c>
      <c r="DH214">
        <v>0</v>
      </c>
      <c r="DI214">
        <v>0</v>
      </c>
      <c r="DJ214">
        <v>0</v>
      </c>
      <c r="DK214">
        <v>0</v>
      </c>
      <c r="DL214">
        <v>0</v>
      </c>
      <c r="DM214">
        <v>0</v>
      </c>
      <c r="DN214">
        <v>0</v>
      </c>
      <c r="DO214">
        <v>0</v>
      </c>
      <c r="DP214">
        <v>0</v>
      </c>
      <c r="DQ214">
        <v>0</v>
      </c>
      <c r="DR214">
        <v>0</v>
      </c>
      <c r="DS214">
        <v>0</v>
      </c>
      <c r="DT214">
        <v>0</v>
      </c>
      <c r="DU214">
        <v>0</v>
      </c>
      <c r="DV214">
        <v>0</v>
      </c>
      <c r="DW214">
        <v>0</v>
      </c>
      <c r="DX214">
        <v>0</v>
      </c>
      <c r="DY214">
        <v>0</v>
      </c>
      <c r="DZ214">
        <v>0</v>
      </c>
      <c r="EA214">
        <v>0</v>
      </c>
      <c r="EB214">
        <v>0</v>
      </c>
      <c r="EC214">
        <v>0</v>
      </c>
      <c r="ED214">
        <v>0</v>
      </c>
      <c r="EE214">
        <v>0</v>
      </c>
      <c r="EF214">
        <v>0</v>
      </c>
      <c r="EG214">
        <v>0</v>
      </c>
      <c r="EH214">
        <v>0</v>
      </c>
      <c r="EI214">
        <v>0</v>
      </c>
      <c r="EJ214">
        <v>0</v>
      </c>
      <c r="EK214">
        <v>0</v>
      </c>
      <c r="EL214">
        <v>0</v>
      </c>
      <c r="EM214">
        <v>0</v>
      </c>
      <c r="EN214">
        <v>0</v>
      </c>
      <c r="EO214">
        <v>0</v>
      </c>
      <c r="EP214">
        <v>0</v>
      </c>
      <c r="EQ214">
        <v>0</v>
      </c>
      <c r="ER214">
        <v>0</v>
      </c>
      <c r="ES214">
        <v>0</v>
      </c>
      <c r="ET214">
        <v>0</v>
      </c>
      <c r="EU214">
        <v>0</v>
      </c>
      <c r="EV214">
        <v>0</v>
      </c>
      <c r="EW214">
        <v>0</v>
      </c>
      <c r="EX214">
        <v>0</v>
      </c>
      <c r="EY214">
        <v>0</v>
      </c>
      <c r="EZ214">
        <v>0</v>
      </c>
      <c r="FA214">
        <v>0</v>
      </c>
      <c r="FB214">
        <v>0</v>
      </c>
      <c r="FC214">
        <v>0</v>
      </c>
      <c r="FD214">
        <v>0</v>
      </c>
      <c r="FE214">
        <v>0</v>
      </c>
      <c r="FF214">
        <v>0</v>
      </c>
      <c r="FG214">
        <v>0</v>
      </c>
      <c r="FH214">
        <v>0</v>
      </c>
      <c r="FI214">
        <v>0</v>
      </c>
      <c r="FJ214">
        <v>0</v>
      </c>
      <c r="FK214">
        <v>0</v>
      </c>
      <c r="FL214">
        <v>0</v>
      </c>
      <c r="FM214">
        <v>0</v>
      </c>
      <c r="FN214">
        <v>0</v>
      </c>
      <c r="FO214">
        <v>0</v>
      </c>
      <c r="FP214">
        <v>0</v>
      </c>
      <c r="FQ214">
        <v>0</v>
      </c>
      <c r="FR214">
        <v>0</v>
      </c>
      <c r="FS214">
        <v>0</v>
      </c>
      <c r="FT214">
        <v>0</v>
      </c>
      <c r="FU214">
        <v>0</v>
      </c>
      <c r="FV214">
        <v>0</v>
      </c>
      <c r="FW214">
        <v>0</v>
      </c>
      <c r="FX214">
        <v>0</v>
      </c>
      <c r="FY214">
        <v>0</v>
      </c>
      <c r="FZ214">
        <v>0</v>
      </c>
      <c r="GA214">
        <v>0</v>
      </c>
      <c r="GB214">
        <v>0</v>
      </c>
      <c r="GC214">
        <v>0</v>
      </c>
      <c r="GD214">
        <v>0</v>
      </c>
      <c r="GE214">
        <v>0</v>
      </c>
      <c r="GF214">
        <v>0</v>
      </c>
      <c r="GG214">
        <v>0</v>
      </c>
      <c r="GH214">
        <v>0</v>
      </c>
      <c r="GI214">
        <v>0</v>
      </c>
      <c r="GJ214">
        <v>0</v>
      </c>
      <c r="GK214">
        <v>0</v>
      </c>
      <c r="GL214">
        <v>0</v>
      </c>
      <c r="GM214">
        <v>0</v>
      </c>
      <c r="GN214">
        <v>0</v>
      </c>
      <c r="GO214">
        <v>0</v>
      </c>
      <c r="GP214">
        <v>0</v>
      </c>
      <c r="GQ214">
        <v>0</v>
      </c>
      <c r="GR214">
        <v>0</v>
      </c>
      <c r="GS214">
        <v>0</v>
      </c>
      <c r="GT214">
        <v>0</v>
      </c>
      <c r="GU214">
        <v>0</v>
      </c>
      <c r="GV214">
        <v>0</v>
      </c>
      <c r="GW214">
        <v>0</v>
      </c>
      <c r="GX214">
        <v>0</v>
      </c>
      <c r="GY214">
        <v>0</v>
      </c>
      <c r="GZ214">
        <v>0</v>
      </c>
      <c r="HA214">
        <v>0</v>
      </c>
      <c r="HB214">
        <v>0</v>
      </c>
      <c r="HC214">
        <v>0</v>
      </c>
      <c r="HD214">
        <v>0</v>
      </c>
      <c r="HE214">
        <v>0</v>
      </c>
      <c r="HF214">
        <v>0</v>
      </c>
      <c r="HG214">
        <v>0</v>
      </c>
      <c r="HH214">
        <v>0</v>
      </c>
      <c r="HI214">
        <v>0</v>
      </c>
      <c r="HJ214">
        <v>0</v>
      </c>
      <c r="HK214">
        <v>0</v>
      </c>
      <c r="HL214">
        <v>0</v>
      </c>
      <c r="HM214">
        <v>0</v>
      </c>
      <c r="HN214">
        <v>0</v>
      </c>
      <c r="HO214">
        <v>0</v>
      </c>
      <c r="HP214">
        <v>0</v>
      </c>
      <c r="HQ214">
        <v>0</v>
      </c>
      <c r="HR214">
        <v>0</v>
      </c>
      <c r="HS214">
        <v>0</v>
      </c>
      <c r="HT214">
        <v>0</v>
      </c>
      <c r="HU214">
        <v>0</v>
      </c>
      <c r="HV214">
        <v>0</v>
      </c>
      <c r="HW214">
        <v>0</v>
      </c>
      <c r="HX214">
        <v>0</v>
      </c>
      <c r="HY214">
        <v>0</v>
      </c>
      <c r="HZ214">
        <v>0</v>
      </c>
      <c r="IA214">
        <v>0</v>
      </c>
      <c r="IB214">
        <v>0</v>
      </c>
      <c r="IC214">
        <v>0</v>
      </c>
      <c r="ID214">
        <v>0</v>
      </c>
      <c r="IE214">
        <v>0</v>
      </c>
      <c r="IF214">
        <v>0</v>
      </c>
      <c r="IG214">
        <v>0</v>
      </c>
      <c r="IH214">
        <v>0</v>
      </c>
      <c r="II214">
        <v>0</v>
      </c>
      <c r="IJ214">
        <v>0</v>
      </c>
      <c r="IK214">
        <v>0</v>
      </c>
      <c r="IL214">
        <v>0</v>
      </c>
      <c r="IM214">
        <v>0</v>
      </c>
      <c r="IN214">
        <v>0</v>
      </c>
      <c r="IO214">
        <v>0</v>
      </c>
      <c r="IP214">
        <v>0</v>
      </c>
      <c r="IQ214">
        <v>0</v>
      </c>
      <c r="IR214">
        <v>0</v>
      </c>
      <c r="IS214">
        <v>0</v>
      </c>
      <c r="IT214">
        <v>0</v>
      </c>
      <c r="IU214">
        <v>0</v>
      </c>
      <c r="IV214">
        <v>0</v>
      </c>
      <c r="IW214">
        <v>0</v>
      </c>
      <c r="IX214">
        <v>0</v>
      </c>
      <c r="IY214">
        <v>0</v>
      </c>
      <c r="IZ214">
        <v>0</v>
      </c>
      <c r="JA214">
        <v>0</v>
      </c>
      <c r="JB214">
        <v>0</v>
      </c>
      <c r="JC214">
        <v>0</v>
      </c>
      <c r="JD214">
        <v>0</v>
      </c>
      <c r="JE214">
        <v>0</v>
      </c>
      <c r="JF214">
        <v>0</v>
      </c>
      <c r="JG214">
        <v>0</v>
      </c>
      <c r="JH214">
        <v>0</v>
      </c>
      <c r="JI214">
        <v>0</v>
      </c>
      <c r="JJ214">
        <v>0</v>
      </c>
      <c r="JK214">
        <v>0</v>
      </c>
      <c r="JL214">
        <v>0</v>
      </c>
      <c r="JM214">
        <v>0</v>
      </c>
      <c r="JN214">
        <v>0</v>
      </c>
      <c r="JO214">
        <v>0</v>
      </c>
      <c r="JP214">
        <v>0</v>
      </c>
      <c r="JQ214">
        <v>0</v>
      </c>
      <c r="JR214">
        <v>0</v>
      </c>
      <c r="JS214">
        <v>0</v>
      </c>
      <c r="JT214">
        <v>0</v>
      </c>
      <c r="JU214">
        <v>0</v>
      </c>
      <c r="JV214">
        <v>0</v>
      </c>
      <c r="JW214">
        <v>0</v>
      </c>
      <c r="JX214">
        <v>0</v>
      </c>
      <c r="JY214">
        <v>0</v>
      </c>
      <c r="JZ214">
        <v>0</v>
      </c>
      <c r="KA214">
        <v>0</v>
      </c>
      <c r="KB214">
        <v>0</v>
      </c>
      <c r="KC214">
        <v>0</v>
      </c>
      <c r="KD214">
        <v>0</v>
      </c>
      <c r="KE214">
        <v>0</v>
      </c>
      <c r="KF214">
        <v>0</v>
      </c>
      <c r="KG214">
        <v>0</v>
      </c>
      <c r="KH214">
        <v>0</v>
      </c>
      <c r="KI214">
        <v>0</v>
      </c>
      <c r="KJ214">
        <v>0</v>
      </c>
      <c r="KK214">
        <v>0</v>
      </c>
      <c r="KL214">
        <v>0</v>
      </c>
      <c r="KM214">
        <v>0</v>
      </c>
      <c r="KN214">
        <v>0</v>
      </c>
      <c r="KO214">
        <v>0</v>
      </c>
      <c r="KP214">
        <v>0</v>
      </c>
      <c r="KQ214">
        <v>0</v>
      </c>
      <c r="KR214">
        <v>0</v>
      </c>
      <c r="KS214">
        <v>0</v>
      </c>
      <c r="KT214">
        <v>0</v>
      </c>
      <c r="KU214">
        <v>0</v>
      </c>
      <c r="KV214">
        <v>0</v>
      </c>
      <c r="KW214">
        <v>0</v>
      </c>
      <c r="KX214">
        <v>0</v>
      </c>
      <c r="KY214">
        <v>0</v>
      </c>
      <c r="KZ214">
        <v>0</v>
      </c>
      <c r="LA214">
        <v>0</v>
      </c>
      <c r="LB214">
        <v>0</v>
      </c>
      <c r="LC214">
        <v>0</v>
      </c>
      <c r="LD214">
        <v>0</v>
      </c>
      <c r="LE214">
        <v>0</v>
      </c>
      <c r="LF214">
        <v>0</v>
      </c>
      <c r="LG214">
        <v>0</v>
      </c>
      <c r="LH214">
        <v>0</v>
      </c>
      <c r="LI214">
        <v>0</v>
      </c>
      <c r="LJ214">
        <v>0</v>
      </c>
      <c r="LK214">
        <v>0</v>
      </c>
      <c r="LL214">
        <v>0</v>
      </c>
      <c r="LM214">
        <v>0</v>
      </c>
      <c r="LN214">
        <v>0</v>
      </c>
      <c r="LO214">
        <v>0</v>
      </c>
      <c r="LP214">
        <v>0</v>
      </c>
      <c r="LQ214">
        <v>0</v>
      </c>
      <c r="LR214">
        <v>0</v>
      </c>
      <c r="LS214">
        <v>0</v>
      </c>
      <c r="LT214">
        <v>0</v>
      </c>
      <c r="LU214">
        <v>0</v>
      </c>
      <c r="LV214">
        <v>0</v>
      </c>
      <c r="LW214">
        <v>0</v>
      </c>
      <c r="LX214">
        <v>0</v>
      </c>
      <c r="LY214">
        <v>0</v>
      </c>
      <c r="LZ214">
        <v>0</v>
      </c>
      <c r="MA214">
        <v>0</v>
      </c>
      <c r="MB214">
        <v>0</v>
      </c>
      <c r="MC214">
        <v>0</v>
      </c>
      <c r="MD214">
        <v>0</v>
      </c>
      <c r="ME214">
        <v>0</v>
      </c>
      <c r="MF214">
        <v>0</v>
      </c>
      <c r="MG214">
        <v>0</v>
      </c>
      <c r="MH214">
        <v>0</v>
      </c>
      <c r="MI214">
        <v>0</v>
      </c>
      <c r="MJ214">
        <v>0</v>
      </c>
      <c r="MK214">
        <v>0</v>
      </c>
      <c r="ML214">
        <v>0</v>
      </c>
      <c r="MM214">
        <v>0</v>
      </c>
      <c r="MN214">
        <v>0</v>
      </c>
      <c r="MO214">
        <v>0</v>
      </c>
      <c r="MP214">
        <v>0</v>
      </c>
      <c r="MQ214">
        <v>0</v>
      </c>
      <c r="MR214">
        <v>0</v>
      </c>
      <c r="MS214">
        <v>0</v>
      </c>
      <c r="MT214">
        <v>0</v>
      </c>
      <c r="MU214">
        <v>0</v>
      </c>
      <c r="MV214">
        <v>0</v>
      </c>
      <c r="MW214">
        <v>0</v>
      </c>
      <c r="MX214">
        <v>0</v>
      </c>
      <c r="MY214">
        <v>0</v>
      </c>
      <c r="MZ214">
        <v>0</v>
      </c>
      <c r="NA214">
        <v>0</v>
      </c>
      <c r="NB214">
        <v>0</v>
      </c>
      <c r="NC214">
        <v>0</v>
      </c>
      <c r="ND214">
        <v>0</v>
      </c>
      <c r="NE214">
        <v>0</v>
      </c>
    </row>
    <row r="215" spans="41:369" x14ac:dyDescent="0.45">
      <c r="AO215" t="str">
        <v>C171</v>
      </c>
      <c r="AP215" t="str">
        <v>MUHAMMED THASLEEM</v>
      </c>
      <c r="AQ215" t="str">
        <v>BADF</v>
      </c>
      <c r="AR215" t="str">
        <v>SENIOR</v>
      </c>
      <c r="AS215">
        <v>7</v>
      </c>
      <c r="AT215">
        <v>23</v>
      </c>
      <c r="AU215">
        <v>0</v>
      </c>
      <c r="AV215">
        <v>23</v>
      </c>
      <c r="AW215">
        <v>23</v>
      </c>
      <c r="AX215">
        <v>68</v>
      </c>
      <c r="AY215" s="5">
        <v>68</v>
      </c>
      <c r="AZ215">
        <v>0</v>
      </c>
      <c r="BA215">
        <v>0</v>
      </c>
      <c r="BB215">
        <v>0</v>
      </c>
      <c r="BC215">
        <v>0</v>
      </c>
      <c r="BD215">
        <v>0</v>
      </c>
      <c r="BE215">
        <v>0</v>
      </c>
      <c r="BF215">
        <v>0</v>
      </c>
      <c r="BG215">
        <v>0</v>
      </c>
      <c r="BH215">
        <v>0</v>
      </c>
      <c r="BI215" t="str">
        <v/>
      </c>
      <c r="BK215">
        <v>209</v>
      </c>
      <c r="BL215">
        <v>0</v>
      </c>
      <c r="BM215">
        <v>0</v>
      </c>
      <c r="BN215">
        <v>0</v>
      </c>
      <c r="BO215">
        <v>0</v>
      </c>
      <c r="BP215">
        <v>0</v>
      </c>
      <c r="BQ215">
        <v>0</v>
      </c>
      <c r="BR215">
        <v>0</v>
      </c>
      <c r="BS215">
        <v>0</v>
      </c>
      <c r="BT215">
        <v>0</v>
      </c>
      <c r="BU215">
        <v>0</v>
      </c>
      <c r="BV215">
        <v>0</v>
      </c>
      <c r="BW215">
        <v>0</v>
      </c>
      <c r="BX215">
        <v>0</v>
      </c>
      <c r="BY215">
        <v>0</v>
      </c>
      <c r="BZ215">
        <v>0</v>
      </c>
      <c r="CA215">
        <v>0</v>
      </c>
      <c r="CB215">
        <v>0</v>
      </c>
      <c r="CC215">
        <v>0</v>
      </c>
      <c r="CD215">
        <v>0</v>
      </c>
      <c r="CE215">
        <v>0</v>
      </c>
      <c r="CF215">
        <v>0</v>
      </c>
      <c r="CG215">
        <v>0</v>
      </c>
      <c r="CH215">
        <v>0</v>
      </c>
      <c r="CI215">
        <v>0</v>
      </c>
      <c r="CJ215">
        <v>0</v>
      </c>
      <c r="CK215">
        <v>0</v>
      </c>
      <c r="CL215">
        <v>0</v>
      </c>
      <c r="CM215">
        <v>0</v>
      </c>
      <c r="CN215">
        <v>0</v>
      </c>
      <c r="CO215">
        <v>0</v>
      </c>
      <c r="CP215">
        <v>0</v>
      </c>
      <c r="CQ215">
        <v>0</v>
      </c>
      <c r="CR215">
        <v>0</v>
      </c>
      <c r="CS215">
        <v>0</v>
      </c>
      <c r="CT215">
        <v>0</v>
      </c>
      <c r="CU215">
        <v>0</v>
      </c>
      <c r="CV215">
        <v>0</v>
      </c>
      <c r="CW215">
        <v>0</v>
      </c>
      <c r="CX215">
        <v>0</v>
      </c>
      <c r="CY215">
        <v>0</v>
      </c>
      <c r="CZ215">
        <v>0</v>
      </c>
      <c r="DA215">
        <v>0</v>
      </c>
      <c r="DB215">
        <v>0</v>
      </c>
      <c r="DC215">
        <v>0</v>
      </c>
      <c r="DD215">
        <v>0</v>
      </c>
      <c r="DE215">
        <v>0</v>
      </c>
      <c r="DF215">
        <v>0</v>
      </c>
      <c r="DG215">
        <v>0</v>
      </c>
      <c r="DH215">
        <v>0</v>
      </c>
      <c r="DI215">
        <v>0</v>
      </c>
      <c r="DJ215">
        <v>0</v>
      </c>
      <c r="DK215">
        <v>0</v>
      </c>
      <c r="DL215">
        <v>0</v>
      </c>
      <c r="DM215">
        <v>0</v>
      </c>
      <c r="DN215">
        <v>0</v>
      </c>
      <c r="DO215">
        <v>0</v>
      </c>
      <c r="DP215">
        <v>0</v>
      </c>
      <c r="DQ215">
        <v>0</v>
      </c>
      <c r="DR215">
        <v>0</v>
      </c>
      <c r="DS215">
        <v>0</v>
      </c>
      <c r="DT215">
        <v>0</v>
      </c>
      <c r="DU215">
        <v>0</v>
      </c>
      <c r="DV215">
        <v>0</v>
      </c>
      <c r="DW215">
        <v>0</v>
      </c>
      <c r="DX215">
        <v>0</v>
      </c>
      <c r="DY215">
        <v>0</v>
      </c>
      <c r="DZ215">
        <v>0</v>
      </c>
      <c r="EA215">
        <v>0</v>
      </c>
      <c r="EB215">
        <v>0</v>
      </c>
      <c r="EC215">
        <v>0</v>
      </c>
      <c r="ED215">
        <v>0</v>
      </c>
      <c r="EE215">
        <v>0</v>
      </c>
      <c r="EF215">
        <v>0</v>
      </c>
      <c r="EG215">
        <v>0</v>
      </c>
      <c r="EH215">
        <v>0</v>
      </c>
      <c r="EI215">
        <v>0</v>
      </c>
      <c r="EJ215">
        <v>0</v>
      </c>
      <c r="EK215">
        <v>0</v>
      </c>
      <c r="EL215">
        <v>0</v>
      </c>
      <c r="EM215">
        <v>0</v>
      </c>
      <c r="EN215">
        <v>0</v>
      </c>
      <c r="EO215">
        <v>0</v>
      </c>
      <c r="EP215">
        <v>0</v>
      </c>
      <c r="EQ215">
        <v>0</v>
      </c>
      <c r="ER215">
        <v>0</v>
      </c>
      <c r="ES215">
        <v>0</v>
      </c>
      <c r="ET215">
        <v>0</v>
      </c>
      <c r="EU215">
        <v>0</v>
      </c>
      <c r="EV215">
        <v>0</v>
      </c>
      <c r="EW215">
        <v>0</v>
      </c>
      <c r="EX215">
        <v>0</v>
      </c>
      <c r="EY215">
        <v>0</v>
      </c>
      <c r="EZ215">
        <v>0</v>
      </c>
      <c r="FA215">
        <v>0</v>
      </c>
      <c r="FB215">
        <v>0</v>
      </c>
      <c r="FC215">
        <v>0</v>
      </c>
      <c r="FD215">
        <v>0</v>
      </c>
      <c r="FE215">
        <v>0</v>
      </c>
      <c r="FF215">
        <v>0</v>
      </c>
      <c r="FG215">
        <v>0</v>
      </c>
      <c r="FH215">
        <v>0</v>
      </c>
      <c r="FI215">
        <v>0</v>
      </c>
      <c r="FJ215">
        <v>0</v>
      </c>
      <c r="FK215">
        <v>0</v>
      </c>
      <c r="FL215">
        <v>0</v>
      </c>
      <c r="FM215">
        <v>0</v>
      </c>
      <c r="FN215">
        <v>0</v>
      </c>
      <c r="FO215">
        <v>0</v>
      </c>
      <c r="FP215">
        <v>0</v>
      </c>
      <c r="FQ215">
        <v>0</v>
      </c>
      <c r="FR215">
        <v>0</v>
      </c>
      <c r="FS215">
        <v>0</v>
      </c>
      <c r="FT215">
        <v>0</v>
      </c>
      <c r="FU215">
        <v>0</v>
      </c>
      <c r="FV215">
        <v>0</v>
      </c>
      <c r="FW215">
        <v>0</v>
      </c>
      <c r="FX215">
        <v>0</v>
      </c>
      <c r="FY215">
        <v>0</v>
      </c>
      <c r="FZ215">
        <v>0</v>
      </c>
      <c r="GA215">
        <v>0</v>
      </c>
      <c r="GB215">
        <v>0</v>
      </c>
      <c r="GC215">
        <v>0</v>
      </c>
      <c r="GD215">
        <v>0</v>
      </c>
      <c r="GE215">
        <v>0</v>
      </c>
      <c r="GF215">
        <v>0</v>
      </c>
      <c r="GG215">
        <v>0</v>
      </c>
      <c r="GH215">
        <v>0</v>
      </c>
      <c r="GI215">
        <v>0</v>
      </c>
      <c r="GJ215">
        <v>0</v>
      </c>
      <c r="GK215">
        <v>0</v>
      </c>
      <c r="GL215">
        <v>0</v>
      </c>
      <c r="GM215">
        <v>0</v>
      </c>
      <c r="GN215">
        <v>0</v>
      </c>
      <c r="GO215">
        <v>0</v>
      </c>
      <c r="GP215">
        <v>0</v>
      </c>
      <c r="GQ215">
        <v>0</v>
      </c>
      <c r="GR215">
        <v>0</v>
      </c>
      <c r="GS215">
        <v>0</v>
      </c>
      <c r="GT215">
        <v>0</v>
      </c>
      <c r="GU215">
        <v>0</v>
      </c>
      <c r="GV215">
        <v>0</v>
      </c>
      <c r="GW215">
        <v>0</v>
      </c>
      <c r="GX215">
        <v>0</v>
      </c>
      <c r="GY215">
        <v>0</v>
      </c>
      <c r="GZ215">
        <v>0</v>
      </c>
      <c r="HA215">
        <v>0</v>
      </c>
      <c r="HB215">
        <v>0</v>
      </c>
      <c r="HC215">
        <v>0</v>
      </c>
      <c r="HD215">
        <v>0</v>
      </c>
      <c r="HE215">
        <v>0</v>
      </c>
      <c r="HF215">
        <v>0</v>
      </c>
      <c r="HG215">
        <v>0</v>
      </c>
      <c r="HH215">
        <v>0</v>
      </c>
      <c r="HI215">
        <v>0</v>
      </c>
      <c r="HJ215">
        <v>0</v>
      </c>
      <c r="HK215">
        <v>0</v>
      </c>
      <c r="HL215">
        <v>0</v>
      </c>
      <c r="HM215">
        <v>0</v>
      </c>
      <c r="HN215">
        <v>0</v>
      </c>
      <c r="HO215">
        <v>0</v>
      </c>
      <c r="HP215">
        <v>0</v>
      </c>
      <c r="HQ215">
        <v>0</v>
      </c>
      <c r="HR215">
        <v>0</v>
      </c>
      <c r="HS215">
        <v>0</v>
      </c>
      <c r="HT215">
        <v>0</v>
      </c>
      <c r="HU215">
        <v>0</v>
      </c>
      <c r="HV215">
        <v>0</v>
      </c>
      <c r="HW215">
        <v>0</v>
      </c>
      <c r="HX215">
        <v>0</v>
      </c>
      <c r="HY215">
        <v>0</v>
      </c>
      <c r="HZ215">
        <v>0</v>
      </c>
      <c r="IA215">
        <v>0</v>
      </c>
      <c r="IB215">
        <v>0</v>
      </c>
      <c r="IC215">
        <v>0</v>
      </c>
      <c r="ID215">
        <v>0</v>
      </c>
      <c r="IE215">
        <v>0</v>
      </c>
      <c r="IF215">
        <v>0</v>
      </c>
      <c r="IG215">
        <v>0</v>
      </c>
      <c r="IH215">
        <v>0</v>
      </c>
      <c r="II215">
        <v>0</v>
      </c>
      <c r="IJ215">
        <v>0</v>
      </c>
      <c r="IK215">
        <v>0</v>
      </c>
      <c r="IL215">
        <v>0</v>
      </c>
      <c r="IM215">
        <v>0</v>
      </c>
      <c r="IN215">
        <v>0</v>
      </c>
      <c r="IO215">
        <v>0</v>
      </c>
      <c r="IP215">
        <v>0</v>
      </c>
      <c r="IQ215">
        <v>0</v>
      </c>
      <c r="IR215">
        <v>0</v>
      </c>
      <c r="IS215">
        <v>0</v>
      </c>
      <c r="IT215">
        <v>0</v>
      </c>
      <c r="IU215">
        <v>0</v>
      </c>
      <c r="IV215">
        <v>0</v>
      </c>
      <c r="IW215">
        <v>0</v>
      </c>
      <c r="IX215">
        <v>0</v>
      </c>
      <c r="IY215">
        <v>0</v>
      </c>
      <c r="IZ215">
        <v>0</v>
      </c>
      <c r="JA215">
        <v>0</v>
      </c>
      <c r="JB215">
        <v>0</v>
      </c>
      <c r="JC215">
        <v>0</v>
      </c>
      <c r="JD215">
        <v>0</v>
      </c>
      <c r="JE215">
        <v>0</v>
      </c>
      <c r="JF215">
        <v>0</v>
      </c>
      <c r="JG215">
        <v>0</v>
      </c>
      <c r="JH215">
        <v>0</v>
      </c>
      <c r="JI215">
        <v>0</v>
      </c>
      <c r="JJ215">
        <v>0</v>
      </c>
      <c r="JK215">
        <v>0</v>
      </c>
      <c r="JL215">
        <v>0</v>
      </c>
      <c r="JM215">
        <v>0</v>
      </c>
      <c r="JN215">
        <v>0</v>
      </c>
      <c r="JO215">
        <v>0</v>
      </c>
      <c r="JP215">
        <v>0</v>
      </c>
      <c r="JQ215">
        <v>0</v>
      </c>
      <c r="JR215">
        <v>0</v>
      </c>
      <c r="JS215">
        <v>0</v>
      </c>
      <c r="JT215">
        <v>0</v>
      </c>
      <c r="JU215">
        <v>0</v>
      </c>
      <c r="JV215">
        <v>0</v>
      </c>
      <c r="JW215">
        <v>0</v>
      </c>
      <c r="JX215">
        <v>0</v>
      </c>
      <c r="JY215">
        <v>0</v>
      </c>
      <c r="JZ215">
        <v>0</v>
      </c>
      <c r="KA215">
        <v>0</v>
      </c>
      <c r="KB215">
        <v>0</v>
      </c>
      <c r="KC215">
        <v>0</v>
      </c>
      <c r="KD215">
        <v>0</v>
      </c>
      <c r="KE215">
        <v>0</v>
      </c>
      <c r="KF215">
        <v>0</v>
      </c>
      <c r="KG215">
        <v>0</v>
      </c>
      <c r="KH215">
        <v>0</v>
      </c>
      <c r="KI215">
        <v>0</v>
      </c>
      <c r="KJ215">
        <v>0</v>
      </c>
      <c r="KK215">
        <v>0</v>
      </c>
      <c r="KL215">
        <v>0</v>
      </c>
      <c r="KM215">
        <v>0</v>
      </c>
      <c r="KN215">
        <v>0</v>
      </c>
      <c r="KO215">
        <v>0</v>
      </c>
      <c r="KP215">
        <v>0</v>
      </c>
      <c r="KQ215">
        <v>0</v>
      </c>
      <c r="KR215">
        <v>0</v>
      </c>
      <c r="KS215">
        <v>0</v>
      </c>
      <c r="KT215">
        <v>0</v>
      </c>
      <c r="KU215">
        <v>0</v>
      </c>
      <c r="KV215">
        <v>0</v>
      </c>
      <c r="KW215">
        <v>0</v>
      </c>
      <c r="KX215">
        <v>0</v>
      </c>
      <c r="KY215">
        <v>0</v>
      </c>
      <c r="KZ215">
        <v>0</v>
      </c>
      <c r="LA215">
        <v>0</v>
      </c>
      <c r="LB215">
        <v>0</v>
      </c>
      <c r="LC215">
        <v>0</v>
      </c>
      <c r="LD215">
        <v>0</v>
      </c>
      <c r="LE215">
        <v>0</v>
      </c>
      <c r="LF215">
        <v>0</v>
      </c>
      <c r="LG215">
        <v>0</v>
      </c>
      <c r="LH215">
        <v>0</v>
      </c>
      <c r="LI215">
        <v>0</v>
      </c>
      <c r="LJ215">
        <v>0</v>
      </c>
      <c r="LK215">
        <v>0</v>
      </c>
      <c r="LL215">
        <v>0</v>
      </c>
      <c r="LM215">
        <v>0</v>
      </c>
      <c r="LN215">
        <v>0</v>
      </c>
      <c r="LO215">
        <v>0</v>
      </c>
      <c r="LP215">
        <v>0</v>
      </c>
      <c r="LQ215">
        <v>0</v>
      </c>
      <c r="LR215">
        <v>0</v>
      </c>
      <c r="LS215">
        <v>0</v>
      </c>
      <c r="LT215">
        <v>0</v>
      </c>
      <c r="LU215">
        <v>0</v>
      </c>
      <c r="LV215">
        <v>0</v>
      </c>
      <c r="LW215">
        <v>0</v>
      </c>
      <c r="LX215">
        <v>0</v>
      </c>
      <c r="LY215">
        <v>0</v>
      </c>
      <c r="LZ215">
        <v>0</v>
      </c>
      <c r="MA215">
        <v>0</v>
      </c>
      <c r="MB215">
        <v>0</v>
      </c>
      <c r="MC215">
        <v>0</v>
      </c>
      <c r="MD215">
        <v>0</v>
      </c>
      <c r="ME215">
        <v>0</v>
      </c>
      <c r="MF215">
        <v>0</v>
      </c>
      <c r="MG215">
        <v>0</v>
      </c>
      <c r="MH215">
        <v>0</v>
      </c>
      <c r="MI215">
        <v>0</v>
      </c>
      <c r="MJ215">
        <v>0</v>
      </c>
      <c r="MK215">
        <v>0</v>
      </c>
      <c r="ML215">
        <v>0</v>
      </c>
      <c r="MM215">
        <v>0</v>
      </c>
      <c r="MN215">
        <v>0</v>
      </c>
      <c r="MO215">
        <v>0</v>
      </c>
      <c r="MP215">
        <v>0</v>
      </c>
      <c r="MQ215">
        <v>0</v>
      </c>
      <c r="MR215">
        <v>0</v>
      </c>
      <c r="MS215">
        <v>0</v>
      </c>
      <c r="MT215">
        <v>0</v>
      </c>
      <c r="MU215">
        <v>0</v>
      </c>
      <c r="MV215">
        <v>0</v>
      </c>
      <c r="MW215">
        <v>0</v>
      </c>
      <c r="MX215">
        <v>0</v>
      </c>
      <c r="MY215">
        <v>0</v>
      </c>
      <c r="MZ215">
        <v>0</v>
      </c>
      <c r="NA215">
        <v>0</v>
      </c>
      <c r="NB215">
        <v>0</v>
      </c>
      <c r="NC215">
        <v>0</v>
      </c>
      <c r="ND215">
        <v>0</v>
      </c>
      <c r="NE215">
        <v>0</v>
      </c>
    </row>
    <row r="216" spans="41:369" x14ac:dyDescent="0.45">
      <c r="AO216" t="str">
        <v>C172</v>
      </c>
      <c r="AP216" t="str">
        <v>AHAMED SHAMMAS C.M</v>
      </c>
      <c r="AQ216" t="str">
        <v>DAHF</v>
      </c>
      <c r="AR216" t="str">
        <v>SENIOR</v>
      </c>
      <c r="AS216">
        <v>7</v>
      </c>
      <c r="AT216">
        <v>11</v>
      </c>
      <c r="AU216">
        <v>0</v>
      </c>
      <c r="AV216">
        <v>11</v>
      </c>
      <c r="AW216">
        <v>11</v>
      </c>
      <c r="AX216">
        <v>123</v>
      </c>
      <c r="AY216" s="5">
        <v>123</v>
      </c>
      <c r="AZ216">
        <v>0</v>
      </c>
      <c r="BA216">
        <v>0</v>
      </c>
      <c r="BB216">
        <v>0</v>
      </c>
      <c r="BC216">
        <v>0</v>
      </c>
      <c r="BD216">
        <v>0</v>
      </c>
      <c r="BE216">
        <v>0</v>
      </c>
      <c r="BF216">
        <v>0</v>
      </c>
      <c r="BG216">
        <v>0</v>
      </c>
      <c r="BH216">
        <v>0</v>
      </c>
      <c r="BI216" t="str">
        <v/>
      </c>
      <c r="BK216">
        <v>210</v>
      </c>
      <c r="BL216">
        <v>0</v>
      </c>
      <c r="BM216">
        <v>0</v>
      </c>
      <c r="BN216">
        <v>0</v>
      </c>
      <c r="BO216">
        <v>0</v>
      </c>
      <c r="BP216">
        <v>0</v>
      </c>
      <c r="BQ216">
        <v>0</v>
      </c>
      <c r="BR216">
        <v>0</v>
      </c>
      <c r="BS216">
        <v>0</v>
      </c>
      <c r="BT216">
        <v>0</v>
      </c>
      <c r="BU216">
        <v>0</v>
      </c>
      <c r="BV216">
        <v>0</v>
      </c>
      <c r="BW216">
        <v>0</v>
      </c>
      <c r="BX216">
        <v>0</v>
      </c>
      <c r="BY216">
        <v>0</v>
      </c>
      <c r="BZ216">
        <v>0</v>
      </c>
      <c r="CA216">
        <v>0</v>
      </c>
      <c r="CB216">
        <v>0</v>
      </c>
      <c r="CC216">
        <v>0</v>
      </c>
      <c r="CD216">
        <v>0</v>
      </c>
      <c r="CE216">
        <v>0</v>
      </c>
      <c r="CF216">
        <v>0</v>
      </c>
      <c r="CG216">
        <v>0</v>
      </c>
      <c r="CH216">
        <v>0</v>
      </c>
      <c r="CI216">
        <v>0</v>
      </c>
      <c r="CJ216">
        <v>0</v>
      </c>
      <c r="CK216">
        <v>0</v>
      </c>
      <c r="CL216">
        <v>0</v>
      </c>
      <c r="CM216">
        <v>0</v>
      </c>
      <c r="CN216">
        <v>0</v>
      </c>
      <c r="CO216">
        <v>0</v>
      </c>
      <c r="CP216">
        <v>0</v>
      </c>
      <c r="CQ216">
        <v>0</v>
      </c>
      <c r="CR216">
        <v>0</v>
      </c>
      <c r="CS216">
        <v>0</v>
      </c>
      <c r="CT216">
        <v>0</v>
      </c>
      <c r="CU216">
        <v>0</v>
      </c>
      <c r="CV216">
        <v>0</v>
      </c>
      <c r="CW216">
        <v>0</v>
      </c>
      <c r="CX216">
        <v>0</v>
      </c>
      <c r="CY216">
        <v>0</v>
      </c>
      <c r="CZ216">
        <v>0</v>
      </c>
      <c r="DA216">
        <v>0</v>
      </c>
      <c r="DB216">
        <v>0</v>
      </c>
      <c r="DC216">
        <v>0</v>
      </c>
      <c r="DD216">
        <v>0</v>
      </c>
      <c r="DE216">
        <v>0</v>
      </c>
      <c r="DF216">
        <v>0</v>
      </c>
      <c r="DG216">
        <v>0</v>
      </c>
      <c r="DH216">
        <v>0</v>
      </c>
      <c r="DI216">
        <v>0</v>
      </c>
      <c r="DJ216">
        <v>0</v>
      </c>
      <c r="DK216">
        <v>0</v>
      </c>
      <c r="DL216">
        <v>0</v>
      </c>
      <c r="DM216">
        <v>0</v>
      </c>
      <c r="DN216">
        <v>0</v>
      </c>
      <c r="DO216">
        <v>0</v>
      </c>
      <c r="DP216">
        <v>0</v>
      </c>
      <c r="DQ216">
        <v>0</v>
      </c>
      <c r="DR216">
        <v>0</v>
      </c>
      <c r="DS216">
        <v>0</v>
      </c>
      <c r="DT216">
        <v>0</v>
      </c>
      <c r="DU216">
        <v>0</v>
      </c>
      <c r="DV216">
        <v>0</v>
      </c>
      <c r="DW216">
        <v>0</v>
      </c>
      <c r="DX216">
        <v>0</v>
      </c>
      <c r="DY216">
        <v>0</v>
      </c>
      <c r="DZ216">
        <v>0</v>
      </c>
      <c r="EA216">
        <v>0</v>
      </c>
      <c r="EB216">
        <v>0</v>
      </c>
      <c r="EC216">
        <v>0</v>
      </c>
      <c r="ED216">
        <v>0</v>
      </c>
      <c r="EE216">
        <v>0</v>
      </c>
      <c r="EF216">
        <v>0</v>
      </c>
      <c r="EG216">
        <v>0</v>
      </c>
      <c r="EH216">
        <v>0</v>
      </c>
      <c r="EI216">
        <v>0</v>
      </c>
      <c r="EJ216">
        <v>0</v>
      </c>
      <c r="EK216">
        <v>0</v>
      </c>
      <c r="EL216">
        <v>0</v>
      </c>
      <c r="EM216">
        <v>0</v>
      </c>
      <c r="EN216">
        <v>0</v>
      </c>
      <c r="EO216">
        <v>0</v>
      </c>
      <c r="EP216">
        <v>0</v>
      </c>
      <c r="EQ216">
        <v>0</v>
      </c>
      <c r="ER216">
        <v>0</v>
      </c>
      <c r="ES216">
        <v>0</v>
      </c>
      <c r="ET216">
        <v>0</v>
      </c>
      <c r="EU216">
        <v>0</v>
      </c>
      <c r="EV216">
        <v>0</v>
      </c>
      <c r="EW216">
        <v>0</v>
      </c>
      <c r="EX216">
        <v>0</v>
      </c>
      <c r="EY216">
        <v>0</v>
      </c>
      <c r="EZ216">
        <v>0</v>
      </c>
      <c r="FA216">
        <v>0</v>
      </c>
      <c r="FB216">
        <v>0</v>
      </c>
      <c r="FC216">
        <v>0</v>
      </c>
      <c r="FD216">
        <v>0</v>
      </c>
      <c r="FE216">
        <v>0</v>
      </c>
      <c r="FF216">
        <v>0</v>
      </c>
      <c r="FG216">
        <v>0</v>
      </c>
      <c r="FH216">
        <v>0</v>
      </c>
      <c r="FI216">
        <v>0</v>
      </c>
      <c r="FJ216">
        <v>0</v>
      </c>
      <c r="FK216">
        <v>0</v>
      </c>
      <c r="FL216">
        <v>0</v>
      </c>
      <c r="FM216">
        <v>0</v>
      </c>
      <c r="FN216">
        <v>0</v>
      </c>
      <c r="FO216">
        <v>0</v>
      </c>
      <c r="FP216">
        <v>0</v>
      </c>
      <c r="FQ216">
        <v>0</v>
      </c>
      <c r="FR216">
        <v>0</v>
      </c>
      <c r="FS216">
        <v>0</v>
      </c>
      <c r="FT216">
        <v>0</v>
      </c>
      <c r="FU216">
        <v>0</v>
      </c>
      <c r="FV216">
        <v>0</v>
      </c>
      <c r="FW216">
        <v>0</v>
      </c>
      <c r="FX216">
        <v>0</v>
      </c>
      <c r="FY216">
        <v>0</v>
      </c>
      <c r="FZ216">
        <v>0</v>
      </c>
      <c r="GA216">
        <v>0</v>
      </c>
      <c r="GB216">
        <v>0</v>
      </c>
      <c r="GC216">
        <v>0</v>
      </c>
      <c r="GD216">
        <v>0</v>
      </c>
      <c r="GE216">
        <v>0</v>
      </c>
      <c r="GF216">
        <v>0</v>
      </c>
      <c r="GG216">
        <v>0</v>
      </c>
      <c r="GH216">
        <v>0</v>
      </c>
      <c r="GI216">
        <v>0</v>
      </c>
      <c r="GJ216">
        <v>0</v>
      </c>
      <c r="GK216">
        <v>0</v>
      </c>
      <c r="GL216">
        <v>0</v>
      </c>
      <c r="GM216">
        <v>0</v>
      </c>
      <c r="GN216">
        <v>0</v>
      </c>
      <c r="GO216">
        <v>0</v>
      </c>
      <c r="GP216">
        <v>0</v>
      </c>
      <c r="GQ216">
        <v>0</v>
      </c>
      <c r="GR216">
        <v>0</v>
      </c>
      <c r="GS216">
        <v>0</v>
      </c>
      <c r="GT216">
        <v>0</v>
      </c>
      <c r="GU216">
        <v>0</v>
      </c>
      <c r="GV216">
        <v>0</v>
      </c>
      <c r="GW216">
        <v>0</v>
      </c>
      <c r="GX216">
        <v>0</v>
      </c>
      <c r="GY216">
        <v>0</v>
      </c>
      <c r="GZ216">
        <v>0</v>
      </c>
      <c r="HA216">
        <v>0</v>
      </c>
      <c r="HB216">
        <v>0</v>
      </c>
      <c r="HC216">
        <v>0</v>
      </c>
      <c r="HD216">
        <v>0</v>
      </c>
      <c r="HE216">
        <v>0</v>
      </c>
      <c r="HF216">
        <v>0</v>
      </c>
      <c r="HG216">
        <v>0</v>
      </c>
      <c r="HH216">
        <v>0</v>
      </c>
      <c r="HI216">
        <v>0</v>
      </c>
      <c r="HJ216">
        <v>0</v>
      </c>
      <c r="HK216">
        <v>0</v>
      </c>
      <c r="HL216">
        <v>0</v>
      </c>
      <c r="HM216">
        <v>0</v>
      </c>
      <c r="HN216">
        <v>0</v>
      </c>
      <c r="HO216">
        <v>0</v>
      </c>
      <c r="HP216">
        <v>0</v>
      </c>
      <c r="HQ216">
        <v>0</v>
      </c>
      <c r="HR216">
        <v>0</v>
      </c>
      <c r="HS216">
        <v>0</v>
      </c>
      <c r="HT216">
        <v>0</v>
      </c>
      <c r="HU216">
        <v>0</v>
      </c>
      <c r="HV216">
        <v>0</v>
      </c>
      <c r="HW216">
        <v>0</v>
      </c>
      <c r="HX216">
        <v>0</v>
      </c>
      <c r="HY216">
        <v>0</v>
      </c>
      <c r="HZ216">
        <v>0</v>
      </c>
      <c r="IA216">
        <v>0</v>
      </c>
      <c r="IB216">
        <v>0</v>
      </c>
      <c r="IC216">
        <v>0</v>
      </c>
      <c r="ID216">
        <v>0</v>
      </c>
      <c r="IE216">
        <v>0</v>
      </c>
      <c r="IF216">
        <v>0</v>
      </c>
      <c r="IG216">
        <v>0</v>
      </c>
      <c r="IH216">
        <v>0</v>
      </c>
      <c r="II216">
        <v>0</v>
      </c>
      <c r="IJ216">
        <v>0</v>
      </c>
      <c r="IK216">
        <v>0</v>
      </c>
      <c r="IL216">
        <v>0</v>
      </c>
      <c r="IM216">
        <v>0</v>
      </c>
      <c r="IN216">
        <v>0</v>
      </c>
      <c r="IO216">
        <v>0</v>
      </c>
      <c r="IP216">
        <v>0</v>
      </c>
      <c r="IQ216">
        <v>0</v>
      </c>
      <c r="IR216">
        <v>0</v>
      </c>
      <c r="IS216">
        <v>0</v>
      </c>
      <c r="IT216">
        <v>0</v>
      </c>
      <c r="IU216">
        <v>0</v>
      </c>
      <c r="IV216">
        <v>0</v>
      </c>
      <c r="IW216">
        <v>0</v>
      </c>
      <c r="IX216">
        <v>0</v>
      </c>
      <c r="IY216">
        <v>0</v>
      </c>
      <c r="IZ216">
        <v>0</v>
      </c>
      <c r="JA216">
        <v>0</v>
      </c>
      <c r="JB216">
        <v>0</v>
      </c>
      <c r="JC216">
        <v>0</v>
      </c>
      <c r="JD216">
        <v>0</v>
      </c>
      <c r="JE216">
        <v>0</v>
      </c>
      <c r="JF216">
        <v>0</v>
      </c>
      <c r="JG216">
        <v>0</v>
      </c>
      <c r="JH216">
        <v>0</v>
      </c>
      <c r="JI216">
        <v>0</v>
      </c>
      <c r="JJ216">
        <v>0</v>
      </c>
      <c r="JK216">
        <v>0</v>
      </c>
      <c r="JL216">
        <v>0</v>
      </c>
      <c r="JM216">
        <v>0</v>
      </c>
      <c r="JN216">
        <v>0</v>
      </c>
      <c r="JO216">
        <v>0</v>
      </c>
      <c r="JP216">
        <v>0</v>
      </c>
      <c r="JQ216">
        <v>0</v>
      </c>
      <c r="JR216">
        <v>0</v>
      </c>
      <c r="JS216">
        <v>0</v>
      </c>
      <c r="JT216">
        <v>0</v>
      </c>
      <c r="JU216">
        <v>0</v>
      </c>
      <c r="JV216">
        <v>0</v>
      </c>
      <c r="JW216">
        <v>0</v>
      </c>
      <c r="JX216">
        <v>0</v>
      </c>
      <c r="JY216">
        <v>0</v>
      </c>
      <c r="JZ216">
        <v>0</v>
      </c>
      <c r="KA216">
        <v>0</v>
      </c>
      <c r="KB216">
        <v>0</v>
      </c>
      <c r="KC216">
        <v>0</v>
      </c>
      <c r="KD216">
        <v>0</v>
      </c>
      <c r="KE216">
        <v>0</v>
      </c>
      <c r="KF216">
        <v>0</v>
      </c>
      <c r="KG216">
        <v>0</v>
      </c>
      <c r="KH216">
        <v>0</v>
      </c>
      <c r="KI216">
        <v>0</v>
      </c>
      <c r="KJ216">
        <v>0</v>
      </c>
      <c r="KK216">
        <v>0</v>
      </c>
      <c r="KL216">
        <v>0</v>
      </c>
      <c r="KM216">
        <v>0</v>
      </c>
      <c r="KN216">
        <v>0</v>
      </c>
      <c r="KO216">
        <v>0</v>
      </c>
      <c r="KP216">
        <v>0</v>
      </c>
      <c r="KQ216">
        <v>0</v>
      </c>
      <c r="KR216">
        <v>0</v>
      </c>
      <c r="KS216">
        <v>0</v>
      </c>
      <c r="KT216">
        <v>0</v>
      </c>
      <c r="KU216">
        <v>0</v>
      </c>
      <c r="KV216">
        <v>0</v>
      </c>
      <c r="KW216">
        <v>0</v>
      </c>
      <c r="KX216">
        <v>0</v>
      </c>
      <c r="KY216">
        <v>0</v>
      </c>
      <c r="KZ216">
        <v>0</v>
      </c>
      <c r="LA216">
        <v>0</v>
      </c>
      <c r="LB216">
        <v>0</v>
      </c>
      <c r="LC216">
        <v>0</v>
      </c>
      <c r="LD216">
        <v>0</v>
      </c>
      <c r="LE216">
        <v>0</v>
      </c>
      <c r="LF216">
        <v>0</v>
      </c>
      <c r="LG216">
        <v>0</v>
      </c>
      <c r="LH216">
        <v>0</v>
      </c>
      <c r="LI216">
        <v>0</v>
      </c>
      <c r="LJ216">
        <v>0</v>
      </c>
      <c r="LK216">
        <v>0</v>
      </c>
      <c r="LL216">
        <v>0</v>
      </c>
      <c r="LM216">
        <v>0</v>
      </c>
      <c r="LN216">
        <v>0</v>
      </c>
      <c r="LO216">
        <v>0</v>
      </c>
      <c r="LP216">
        <v>0</v>
      </c>
      <c r="LQ216">
        <v>0</v>
      </c>
      <c r="LR216">
        <v>0</v>
      </c>
      <c r="LS216">
        <v>0</v>
      </c>
      <c r="LT216">
        <v>0</v>
      </c>
      <c r="LU216">
        <v>0</v>
      </c>
      <c r="LV216">
        <v>0</v>
      </c>
      <c r="LW216">
        <v>0</v>
      </c>
      <c r="LX216">
        <v>0</v>
      </c>
      <c r="LY216">
        <v>0</v>
      </c>
      <c r="LZ216">
        <v>0</v>
      </c>
      <c r="MA216">
        <v>0</v>
      </c>
      <c r="MB216">
        <v>0</v>
      </c>
      <c r="MC216">
        <v>0</v>
      </c>
      <c r="MD216">
        <v>0</v>
      </c>
      <c r="ME216">
        <v>0</v>
      </c>
      <c r="MF216">
        <v>0</v>
      </c>
      <c r="MG216">
        <v>0</v>
      </c>
      <c r="MH216">
        <v>0</v>
      </c>
      <c r="MI216">
        <v>0</v>
      </c>
      <c r="MJ216">
        <v>0</v>
      </c>
      <c r="MK216">
        <v>0</v>
      </c>
      <c r="ML216">
        <v>0</v>
      </c>
      <c r="MM216">
        <v>0</v>
      </c>
      <c r="MN216">
        <v>0</v>
      </c>
      <c r="MO216">
        <v>0</v>
      </c>
      <c r="MP216">
        <v>0</v>
      </c>
      <c r="MQ216">
        <v>0</v>
      </c>
      <c r="MR216">
        <v>0</v>
      </c>
      <c r="MS216">
        <v>0</v>
      </c>
      <c r="MT216">
        <v>0</v>
      </c>
      <c r="MU216">
        <v>0</v>
      </c>
      <c r="MV216">
        <v>0</v>
      </c>
      <c r="MW216">
        <v>0</v>
      </c>
      <c r="MX216">
        <v>0</v>
      </c>
      <c r="MY216">
        <v>0</v>
      </c>
      <c r="MZ216">
        <v>0</v>
      </c>
      <c r="NA216">
        <v>0</v>
      </c>
      <c r="NB216">
        <v>0</v>
      </c>
      <c r="NC216">
        <v>0</v>
      </c>
      <c r="ND216">
        <v>0</v>
      </c>
      <c r="NE216">
        <v>0</v>
      </c>
    </row>
    <row r="217" spans="41:369" x14ac:dyDescent="0.45">
      <c r="AO217" t="str">
        <v>C173</v>
      </c>
      <c r="AP217" t="str">
        <v>ABDUL HADIL P.M</v>
      </c>
      <c r="AQ217" t="str">
        <v>FANT</v>
      </c>
      <c r="AR217" t="str">
        <v>SENIOR</v>
      </c>
      <c r="AS217">
        <v>7</v>
      </c>
      <c r="AT217">
        <v>32</v>
      </c>
      <c r="AU217">
        <v>0</v>
      </c>
      <c r="AV217">
        <v>32</v>
      </c>
      <c r="AW217">
        <v>32</v>
      </c>
      <c r="AX217">
        <v>40</v>
      </c>
      <c r="AY217" s="5">
        <v>40</v>
      </c>
      <c r="AZ217">
        <v>0</v>
      </c>
      <c r="BA217">
        <v>0</v>
      </c>
      <c r="BB217">
        <v>0</v>
      </c>
      <c r="BC217">
        <v>0</v>
      </c>
      <c r="BD217">
        <v>0</v>
      </c>
      <c r="BE217">
        <v>0</v>
      </c>
      <c r="BF217">
        <v>0</v>
      </c>
      <c r="BG217">
        <v>0</v>
      </c>
      <c r="BH217">
        <v>0</v>
      </c>
      <c r="BI217" t="str">
        <v/>
      </c>
      <c r="BK217">
        <v>211</v>
      </c>
      <c r="BL217">
        <v>0</v>
      </c>
      <c r="BM217">
        <v>0</v>
      </c>
      <c r="BN217">
        <v>0</v>
      </c>
      <c r="BO217">
        <v>0</v>
      </c>
      <c r="BP217">
        <v>0</v>
      </c>
      <c r="BQ217">
        <v>0</v>
      </c>
      <c r="BR217">
        <v>0</v>
      </c>
      <c r="BS217">
        <v>0</v>
      </c>
      <c r="BT217">
        <v>0</v>
      </c>
      <c r="BU217">
        <v>0</v>
      </c>
      <c r="BV217">
        <v>0</v>
      </c>
      <c r="BW217">
        <v>0</v>
      </c>
      <c r="BX217">
        <v>0</v>
      </c>
      <c r="BY217">
        <v>0</v>
      </c>
      <c r="BZ217">
        <v>0</v>
      </c>
      <c r="CA217">
        <v>0</v>
      </c>
      <c r="CB217">
        <v>0</v>
      </c>
      <c r="CC217">
        <v>0</v>
      </c>
      <c r="CD217">
        <v>0</v>
      </c>
      <c r="CE217">
        <v>0</v>
      </c>
      <c r="CF217">
        <v>0</v>
      </c>
      <c r="CG217">
        <v>0</v>
      </c>
      <c r="CH217">
        <v>0</v>
      </c>
      <c r="CI217">
        <v>0</v>
      </c>
      <c r="CJ217">
        <v>0</v>
      </c>
      <c r="CK217">
        <v>0</v>
      </c>
      <c r="CL217">
        <v>0</v>
      </c>
      <c r="CM217">
        <v>0</v>
      </c>
      <c r="CN217">
        <v>0</v>
      </c>
      <c r="CO217">
        <v>0</v>
      </c>
      <c r="CP217">
        <v>0</v>
      </c>
      <c r="CQ217">
        <v>0</v>
      </c>
      <c r="CR217">
        <v>0</v>
      </c>
      <c r="CS217">
        <v>0</v>
      </c>
      <c r="CT217">
        <v>0</v>
      </c>
      <c r="CU217">
        <v>0</v>
      </c>
      <c r="CV217">
        <v>0</v>
      </c>
      <c r="CW217">
        <v>0</v>
      </c>
      <c r="CX217">
        <v>0</v>
      </c>
      <c r="CY217">
        <v>0</v>
      </c>
      <c r="CZ217">
        <v>0</v>
      </c>
      <c r="DA217">
        <v>0</v>
      </c>
      <c r="DB217">
        <v>0</v>
      </c>
      <c r="DC217">
        <v>0</v>
      </c>
      <c r="DD217">
        <v>0</v>
      </c>
      <c r="DE217">
        <v>0</v>
      </c>
      <c r="DF217">
        <v>0</v>
      </c>
      <c r="DG217">
        <v>0</v>
      </c>
      <c r="DH217">
        <v>0</v>
      </c>
      <c r="DI217">
        <v>0</v>
      </c>
      <c r="DJ217">
        <v>0</v>
      </c>
      <c r="DK217">
        <v>0</v>
      </c>
      <c r="DL217">
        <v>0</v>
      </c>
      <c r="DM217">
        <v>0</v>
      </c>
      <c r="DN217">
        <v>0</v>
      </c>
      <c r="DO217">
        <v>0</v>
      </c>
      <c r="DP217">
        <v>0</v>
      </c>
      <c r="DQ217">
        <v>0</v>
      </c>
      <c r="DR217">
        <v>0</v>
      </c>
      <c r="DS217">
        <v>0</v>
      </c>
      <c r="DT217">
        <v>0</v>
      </c>
      <c r="DU217">
        <v>0</v>
      </c>
      <c r="DV217">
        <v>0</v>
      </c>
      <c r="DW217">
        <v>0</v>
      </c>
      <c r="DX217">
        <v>0</v>
      </c>
      <c r="DY217">
        <v>0</v>
      </c>
      <c r="DZ217">
        <v>0</v>
      </c>
      <c r="EA217">
        <v>0</v>
      </c>
      <c r="EB217">
        <v>0</v>
      </c>
      <c r="EC217">
        <v>0</v>
      </c>
      <c r="ED217">
        <v>0</v>
      </c>
      <c r="EE217">
        <v>0</v>
      </c>
      <c r="EF217">
        <v>0</v>
      </c>
      <c r="EG217">
        <v>0</v>
      </c>
      <c r="EH217">
        <v>0</v>
      </c>
      <c r="EI217">
        <v>0</v>
      </c>
      <c r="EJ217">
        <v>0</v>
      </c>
      <c r="EK217">
        <v>0</v>
      </c>
      <c r="EL217">
        <v>0</v>
      </c>
      <c r="EM217">
        <v>0</v>
      </c>
      <c r="EN217">
        <v>0</v>
      </c>
      <c r="EO217">
        <v>0</v>
      </c>
      <c r="EP217">
        <v>0</v>
      </c>
      <c r="EQ217">
        <v>0</v>
      </c>
      <c r="ER217">
        <v>0</v>
      </c>
      <c r="ES217">
        <v>0</v>
      </c>
      <c r="ET217">
        <v>0</v>
      </c>
      <c r="EU217">
        <v>0</v>
      </c>
      <c r="EV217">
        <v>0</v>
      </c>
      <c r="EW217">
        <v>0</v>
      </c>
      <c r="EX217">
        <v>0</v>
      </c>
      <c r="EY217">
        <v>0</v>
      </c>
      <c r="EZ217">
        <v>0</v>
      </c>
      <c r="FA217">
        <v>0</v>
      </c>
      <c r="FB217">
        <v>0</v>
      </c>
      <c r="FC217">
        <v>0</v>
      </c>
      <c r="FD217">
        <v>0</v>
      </c>
      <c r="FE217">
        <v>0</v>
      </c>
      <c r="FF217">
        <v>0</v>
      </c>
      <c r="FG217">
        <v>0</v>
      </c>
      <c r="FH217">
        <v>0</v>
      </c>
      <c r="FI217">
        <v>0</v>
      </c>
      <c r="FJ217">
        <v>0</v>
      </c>
      <c r="FK217">
        <v>0</v>
      </c>
      <c r="FL217">
        <v>0</v>
      </c>
      <c r="FM217">
        <v>0</v>
      </c>
      <c r="FN217">
        <v>0</v>
      </c>
      <c r="FO217">
        <v>0</v>
      </c>
      <c r="FP217">
        <v>0</v>
      </c>
      <c r="FQ217">
        <v>0</v>
      </c>
      <c r="FR217">
        <v>0</v>
      </c>
      <c r="FS217">
        <v>0</v>
      </c>
      <c r="FT217">
        <v>0</v>
      </c>
      <c r="FU217">
        <v>0</v>
      </c>
      <c r="FV217">
        <v>0</v>
      </c>
      <c r="FW217">
        <v>0</v>
      </c>
      <c r="FX217">
        <v>0</v>
      </c>
      <c r="FY217">
        <v>0</v>
      </c>
      <c r="FZ217">
        <v>0</v>
      </c>
      <c r="GA217">
        <v>0</v>
      </c>
      <c r="GB217">
        <v>0</v>
      </c>
      <c r="GC217">
        <v>0</v>
      </c>
      <c r="GD217">
        <v>0</v>
      </c>
      <c r="GE217">
        <v>0</v>
      </c>
      <c r="GF217">
        <v>0</v>
      </c>
      <c r="GG217">
        <v>0</v>
      </c>
      <c r="GH217">
        <v>0</v>
      </c>
      <c r="GI217">
        <v>0</v>
      </c>
      <c r="GJ217">
        <v>0</v>
      </c>
      <c r="GK217">
        <v>0</v>
      </c>
      <c r="GL217">
        <v>0</v>
      </c>
      <c r="GM217">
        <v>0</v>
      </c>
      <c r="GN217">
        <v>0</v>
      </c>
      <c r="GO217">
        <v>0</v>
      </c>
      <c r="GP217">
        <v>0</v>
      </c>
      <c r="GQ217">
        <v>0</v>
      </c>
      <c r="GR217">
        <v>0</v>
      </c>
      <c r="GS217">
        <v>0</v>
      </c>
      <c r="GT217">
        <v>0</v>
      </c>
      <c r="GU217">
        <v>0</v>
      </c>
      <c r="GV217">
        <v>0</v>
      </c>
      <c r="GW217">
        <v>0</v>
      </c>
      <c r="GX217">
        <v>0</v>
      </c>
      <c r="GY217">
        <v>0</v>
      </c>
      <c r="GZ217">
        <v>0</v>
      </c>
      <c r="HA217">
        <v>0</v>
      </c>
      <c r="HB217">
        <v>0</v>
      </c>
      <c r="HC217">
        <v>0</v>
      </c>
      <c r="HD217">
        <v>0</v>
      </c>
      <c r="HE217">
        <v>0</v>
      </c>
      <c r="HF217">
        <v>0</v>
      </c>
      <c r="HG217">
        <v>0</v>
      </c>
      <c r="HH217">
        <v>0</v>
      </c>
      <c r="HI217">
        <v>0</v>
      </c>
      <c r="HJ217">
        <v>0</v>
      </c>
      <c r="HK217">
        <v>0</v>
      </c>
      <c r="HL217">
        <v>0</v>
      </c>
      <c r="HM217">
        <v>0</v>
      </c>
      <c r="HN217">
        <v>0</v>
      </c>
      <c r="HO217">
        <v>0</v>
      </c>
      <c r="HP217">
        <v>0</v>
      </c>
      <c r="HQ217">
        <v>0</v>
      </c>
      <c r="HR217">
        <v>0</v>
      </c>
      <c r="HS217">
        <v>0</v>
      </c>
      <c r="HT217">
        <v>0</v>
      </c>
      <c r="HU217">
        <v>0</v>
      </c>
      <c r="HV217">
        <v>0</v>
      </c>
      <c r="HW217">
        <v>0</v>
      </c>
      <c r="HX217">
        <v>0</v>
      </c>
      <c r="HY217">
        <v>0</v>
      </c>
      <c r="HZ217">
        <v>0</v>
      </c>
      <c r="IA217">
        <v>0</v>
      </c>
      <c r="IB217">
        <v>0</v>
      </c>
      <c r="IC217">
        <v>0</v>
      </c>
      <c r="ID217">
        <v>0</v>
      </c>
      <c r="IE217">
        <v>0</v>
      </c>
      <c r="IF217">
        <v>0</v>
      </c>
      <c r="IG217">
        <v>0</v>
      </c>
      <c r="IH217">
        <v>0</v>
      </c>
      <c r="II217">
        <v>0</v>
      </c>
      <c r="IJ217">
        <v>0</v>
      </c>
      <c r="IK217">
        <v>0</v>
      </c>
      <c r="IL217">
        <v>0</v>
      </c>
      <c r="IM217">
        <v>0</v>
      </c>
      <c r="IN217">
        <v>0</v>
      </c>
      <c r="IO217">
        <v>0</v>
      </c>
      <c r="IP217">
        <v>0</v>
      </c>
      <c r="IQ217">
        <v>0</v>
      </c>
      <c r="IR217">
        <v>0</v>
      </c>
      <c r="IS217">
        <v>0</v>
      </c>
      <c r="IT217">
        <v>0</v>
      </c>
      <c r="IU217">
        <v>0</v>
      </c>
      <c r="IV217">
        <v>0</v>
      </c>
      <c r="IW217">
        <v>0</v>
      </c>
      <c r="IX217">
        <v>0</v>
      </c>
      <c r="IY217">
        <v>0</v>
      </c>
      <c r="IZ217">
        <v>0</v>
      </c>
      <c r="JA217">
        <v>0</v>
      </c>
      <c r="JB217">
        <v>0</v>
      </c>
      <c r="JC217">
        <v>0</v>
      </c>
      <c r="JD217">
        <v>0</v>
      </c>
      <c r="JE217">
        <v>0</v>
      </c>
      <c r="JF217">
        <v>0</v>
      </c>
      <c r="JG217">
        <v>0</v>
      </c>
      <c r="JH217">
        <v>0</v>
      </c>
      <c r="JI217">
        <v>0</v>
      </c>
      <c r="JJ217">
        <v>0</v>
      </c>
      <c r="JK217">
        <v>0</v>
      </c>
      <c r="JL217">
        <v>0</v>
      </c>
      <c r="JM217">
        <v>0</v>
      </c>
      <c r="JN217">
        <v>0</v>
      </c>
      <c r="JO217">
        <v>0</v>
      </c>
      <c r="JP217">
        <v>0</v>
      </c>
      <c r="JQ217">
        <v>0</v>
      </c>
      <c r="JR217">
        <v>0</v>
      </c>
      <c r="JS217">
        <v>0</v>
      </c>
      <c r="JT217">
        <v>0</v>
      </c>
      <c r="JU217">
        <v>0</v>
      </c>
      <c r="JV217">
        <v>0</v>
      </c>
      <c r="JW217">
        <v>0</v>
      </c>
      <c r="JX217">
        <v>0</v>
      </c>
      <c r="JY217">
        <v>0</v>
      </c>
      <c r="JZ217">
        <v>0</v>
      </c>
      <c r="KA217">
        <v>0</v>
      </c>
      <c r="KB217">
        <v>0</v>
      </c>
      <c r="KC217">
        <v>0</v>
      </c>
      <c r="KD217">
        <v>0</v>
      </c>
      <c r="KE217">
        <v>0</v>
      </c>
      <c r="KF217">
        <v>0</v>
      </c>
      <c r="KG217">
        <v>0</v>
      </c>
      <c r="KH217">
        <v>0</v>
      </c>
      <c r="KI217">
        <v>0</v>
      </c>
      <c r="KJ217">
        <v>0</v>
      </c>
      <c r="KK217">
        <v>0</v>
      </c>
      <c r="KL217">
        <v>0</v>
      </c>
      <c r="KM217">
        <v>0</v>
      </c>
      <c r="KN217">
        <v>0</v>
      </c>
      <c r="KO217">
        <v>0</v>
      </c>
      <c r="KP217">
        <v>0</v>
      </c>
      <c r="KQ217">
        <v>0</v>
      </c>
      <c r="KR217">
        <v>0</v>
      </c>
      <c r="KS217">
        <v>0</v>
      </c>
      <c r="KT217">
        <v>0</v>
      </c>
      <c r="KU217">
        <v>0</v>
      </c>
      <c r="KV217">
        <v>0</v>
      </c>
      <c r="KW217">
        <v>0</v>
      </c>
      <c r="KX217">
        <v>0</v>
      </c>
      <c r="KY217">
        <v>0</v>
      </c>
      <c r="KZ217">
        <v>0</v>
      </c>
      <c r="LA217">
        <v>0</v>
      </c>
      <c r="LB217">
        <v>0</v>
      </c>
      <c r="LC217">
        <v>0</v>
      </c>
      <c r="LD217">
        <v>0</v>
      </c>
      <c r="LE217">
        <v>0</v>
      </c>
      <c r="LF217">
        <v>0</v>
      </c>
      <c r="LG217">
        <v>0</v>
      </c>
      <c r="LH217">
        <v>0</v>
      </c>
      <c r="LI217">
        <v>0</v>
      </c>
      <c r="LJ217">
        <v>0</v>
      </c>
      <c r="LK217">
        <v>0</v>
      </c>
      <c r="LL217">
        <v>0</v>
      </c>
      <c r="LM217">
        <v>0</v>
      </c>
      <c r="LN217">
        <v>0</v>
      </c>
      <c r="LO217">
        <v>0</v>
      </c>
      <c r="LP217">
        <v>0</v>
      </c>
      <c r="LQ217">
        <v>0</v>
      </c>
      <c r="LR217">
        <v>0</v>
      </c>
      <c r="LS217">
        <v>0</v>
      </c>
      <c r="LT217">
        <v>0</v>
      </c>
      <c r="LU217">
        <v>0</v>
      </c>
      <c r="LV217">
        <v>0</v>
      </c>
      <c r="LW217">
        <v>0</v>
      </c>
      <c r="LX217">
        <v>0</v>
      </c>
      <c r="LY217">
        <v>0</v>
      </c>
      <c r="LZ217">
        <v>0</v>
      </c>
      <c r="MA217">
        <v>0</v>
      </c>
      <c r="MB217">
        <v>0</v>
      </c>
      <c r="MC217">
        <v>0</v>
      </c>
      <c r="MD217">
        <v>0</v>
      </c>
      <c r="ME217">
        <v>0</v>
      </c>
      <c r="MF217">
        <v>0</v>
      </c>
      <c r="MG217">
        <v>0</v>
      </c>
      <c r="MH217">
        <v>0</v>
      </c>
      <c r="MI217">
        <v>0</v>
      </c>
      <c r="MJ217">
        <v>0</v>
      </c>
      <c r="MK217">
        <v>0</v>
      </c>
      <c r="ML217">
        <v>0</v>
      </c>
      <c r="MM217">
        <v>0</v>
      </c>
      <c r="MN217">
        <v>0</v>
      </c>
      <c r="MO217">
        <v>0</v>
      </c>
      <c r="MP217">
        <v>0</v>
      </c>
      <c r="MQ217">
        <v>0</v>
      </c>
      <c r="MR217">
        <v>0</v>
      </c>
      <c r="MS217">
        <v>0</v>
      </c>
      <c r="MT217">
        <v>0</v>
      </c>
      <c r="MU217">
        <v>0</v>
      </c>
      <c r="MV217">
        <v>0</v>
      </c>
      <c r="MW217">
        <v>0</v>
      </c>
      <c r="MX217">
        <v>0</v>
      </c>
      <c r="MY217">
        <v>0</v>
      </c>
      <c r="MZ217">
        <v>0</v>
      </c>
      <c r="NA217">
        <v>0</v>
      </c>
      <c r="NB217">
        <v>0</v>
      </c>
      <c r="NC217">
        <v>0</v>
      </c>
      <c r="ND217">
        <v>0</v>
      </c>
      <c r="NE217">
        <v>0</v>
      </c>
    </row>
    <row r="218" spans="41:369" x14ac:dyDescent="0.45">
      <c r="AO218" t="str">
        <v>C174</v>
      </c>
      <c r="AP218" t="str">
        <v>MUHAMMAD MUSTHAFA K.M</v>
      </c>
      <c r="AQ218" t="str">
        <v>BADF</v>
      </c>
      <c r="AR218" t="str">
        <v>SENIOR</v>
      </c>
      <c r="AS218">
        <v>7</v>
      </c>
      <c r="AT218">
        <v>34</v>
      </c>
      <c r="AU218">
        <v>0</v>
      </c>
      <c r="AV218">
        <v>34</v>
      </c>
      <c r="AW218">
        <v>34</v>
      </c>
      <c r="AX218">
        <v>34</v>
      </c>
      <c r="AY218" s="5">
        <v>34</v>
      </c>
      <c r="AZ218">
        <v>0</v>
      </c>
      <c r="BA218">
        <v>0</v>
      </c>
      <c r="BB218">
        <v>0</v>
      </c>
      <c r="BC218">
        <v>0</v>
      </c>
      <c r="BD218">
        <v>0</v>
      </c>
      <c r="BE218">
        <v>0</v>
      </c>
      <c r="BF218">
        <v>0</v>
      </c>
      <c r="BG218">
        <v>0</v>
      </c>
      <c r="BH218">
        <v>0</v>
      </c>
      <c r="BI218" t="str">
        <v/>
      </c>
      <c r="BK218">
        <v>212</v>
      </c>
      <c r="BL218">
        <v>0</v>
      </c>
      <c r="BM218">
        <v>0</v>
      </c>
      <c r="BN218">
        <v>0</v>
      </c>
      <c r="BO218">
        <v>0</v>
      </c>
      <c r="BP218">
        <v>0</v>
      </c>
      <c r="BQ218">
        <v>0</v>
      </c>
      <c r="BR218">
        <v>0</v>
      </c>
      <c r="BS218">
        <v>0</v>
      </c>
      <c r="BT218">
        <v>0</v>
      </c>
      <c r="BU218">
        <v>0</v>
      </c>
      <c r="BV218">
        <v>0</v>
      </c>
      <c r="BW218">
        <v>0</v>
      </c>
      <c r="BX218">
        <v>0</v>
      </c>
      <c r="BY218">
        <v>0</v>
      </c>
      <c r="BZ218">
        <v>0</v>
      </c>
      <c r="CA218">
        <v>0</v>
      </c>
      <c r="CB218">
        <v>0</v>
      </c>
      <c r="CC218">
        <v>0</v>
      </c>
      <c r="CD218">
        <v>0</v>
      </c>
      <c r="CE218">
        <v>0</v>
      </c>
      <c r="CF218">
        <v>0</v>
      </c>
      <c r="CG218">
        <v>0</v>
      </c>
      <c r="CH218">
        <v>0</v>
      </c>
      <c r="CI218">
        <v>0</v>
      </c>
      <c r="CJ218">
        <v>0</v>
      </c>
      <c r="CK218">
        <v>0</v>
      </c>
      <c r="CL218">
        <v>0</v>
      </c>
      <c r="CM218">
        <v>0</v>
      </c>
      <c r="CN218">
        <v>0</v>
      </c>
      <c r="CO218">
        <v>0</v>
      </c>
      <c r="CP218">
        <v>0</v>
      </c>
      <c r="CQ218">
        <v>0</v>
      </c>
      <c r="CR218">
        <v>0</v>
      </c>
      <c r="CS218">
        <v>0</v>
      </c>
      <c r="CT218">
        <v>0</v>
      </c>
      <c r="CU218">
        <v>0</v>
      </c>
      <c r="CV218">
        <v>0</v>
      </c>
      <c r="CW218">
        <v>0</v>
      </c>
      <c r="CX218">
        <v>0</v>
      </c>
      <c r="CY218">
        <v>0</v>
      </c>
      <c r="CZ218">
        <v>0</v>
      </c>
      <c r="DA218">
        <v>0</v>
      </c>
      <c r="DB218">
        <v>0</v>
      </c>
      <c r="DC218">
        <v>0</v>
      </c>
      <c r="DD218">
        <v>0</v>
      </c>
      <c r="DE218">
        <v>0</v>
      </c>
      <c r="DF218">
        <v>0</v>
      </c>
      <c r="DG218">
        <v>0</v>
      </c>
      <c r="DH218">
        <v>0</v>
      </c>
      <c r="DI218">
        <v>0</v>
      </c>
      <c r="DJ218">
        <v>0</v>
      </c>
      <c r="DK218">
        <v>0</v>
      </c>
      <c r="DL218">
        <v>0</v>
      </c>
      <c r="DM218">
        <v>0</v>
      </c>
      <c r="DN218">
        <v>0</v>
      </c>
      <c r="DO218">
        <v>0</v>
      </c>
      <c r="DP218">
        <v>0</v>
      </c>
      <c r="DQ218">
        <v>0</v>
      </c>
      <c r="DR218">
        <v>0</v>
      </c>
      <c r="DS218">
        <v>0</v>
      </c>
      <c r="DT218">
        <v>0</v>
      </c>
      <c r="DU218">
        <v>0</v>
      </c>
      <c r="DV218">
        <v>0</v>
      </c>
      <c r="DW218">
        <v>0</v>
      </c>
      <c r="DX218">
        <v>0</v>
      </c>
      <c r="DY218">
        <v>0</v>
      </c>
      <c r="DZ218">
        <v>0</v>
      </c>
      <c r="EA218">
        <v>0</v>
      </c>
      <c r="EB218">
        <v>0</v>
      </c>
      <c r="EC218">
        <v>0</v>
      </c>
      <c r="ED218">
        <v>0</v>
      </c>
      <c r="EE218">
        <v>0</v>
      </c>
      <c r="EF218">
        <v>0</v>
      </c>
      <c r="EG218">
        <v>0</v>
      </c>
      <c r="EH218">
        <v>0</v>
      </c>
      <c r="EI218">
        <v>0</v>
      </c>
      <c r="EJ218">
        <v>0</v>
      </c>
      <c r="EK218">
        <v>0</v>
      </c>
      <c r="EL218">
        <v>0</v>
      </c>
      <c r="EM218">
        <v>0</v>
      </c>
      <c r="EN218">
        <v>0</v>
      </c>
      <c r="EO218">
        <v>0</v>
      </c>
      <c r="EP218">
        <v>0</v>
      </c>
      <c r="EQ218">
        <v>0</v>
      </c>
      <c r="ER218">
        <v>0</v>
      </c>
      <c r="ES218">
        <v>0</v>
      </c>
      <c r="ET218">
        <v>0</v>
      </c>
      <c r="EU218">
        <v>0</v>
      </c>
      <c r="EV218">
        <v>0</v>
      </c>
      <c r="EW218">
        <v>0</v>
      </c>
      <c r="EX218">
        <v>0</v>
      </c>
      <c r="EY218">
        <v>0</v>
      </c>
      <c r="EZ218">
        <v>0</v>
      </c>
      <c r="FA218">
        <v>0</v>
      </c>
      <c r="FB218">
        <v>0</v>
      </c>
      <c r="FC218">
        <v>0</v>
      </c>
      <c r="FD218">
        <v>0</v>
      </c>
      <c r="FE218">
        <v>0</v>
      </c>
      <c r="FF218">
        <v>0</v>
      </c>
      <c r="FG218">
        <v>0</v>
      </c>
      <c r="FH218">
        <v>0</v>
      </c>
      <c r="FI218">
        <v>0</v>
      </c>
      <c r="FJ218">
        <v>0</v>
      </c>
      <c r="FK218">
        <v>0</v>
      </c>
      <c r="FL218">
        <v>0</v>
      </c>
      <c r="FM218">
        <v>0</v>
      </c>
      <c r="FN218">
        <v>0</v>
      </c>
      <c r="FO218">
        <v>0</v>
      </c>
      <c r="FP218">
        <v>0</v>
      </c>
      <c r="FQ218">
        <v>0</v>
      </c>
      <c r="FR218">
        <v>0</v>
      </c>
      <c r="FS218">
        <v>0</v>
      </c>
      <c r="FT218">
        <v>0</v>
      </c>
      <c r="FU218">
        <v>0</v>
      </c>
      <c r="FV218">
        <v>0</v>
      </c>
      <c r="FW218">
        <v>0</v>
      </c>
      <c r="FX218">
        <v>0</v>
      </c>
      <c r="FY218">
        <v>0</v>
      </c>
      <c r="FZ218">
        <v>0</v>
      </c>
      <c r="GA218">
        <v>0</v>
      </c>
      <c r="GB218">
        <v>0</v>
      </c>
      <c r="GC218">
        <v>0</v>
      </c>
      <c r="GD218">
        <v>0</v>
      </c>
      <c r="GE218">
        <v>0</v>
      </c>
      <c r="GF218">
        <v>0</v>
      </c>
      <c r="GG218">
        <v>0</v>
      </c>
      <c r="GH218">
        <v>0</v>
      </c>
      <c r="GI218">
        <v>0</v>
      </c>
      <c r="GJ218">
        <v>0</v>
      </c>
      <c r="GK218">
        <v>0</v>
      </c>
      <c r="GL218">
        <v>0</v>
      </c>
      <c r="GM218">
        <v>0</v>
      </c>
      <c r="GN218">
        <v>0</v>
      </c>
      <c r="GO218">
        <v>0</v>
      </c>
      <c r="GP218">
        <v>0</v>
      </c>
      <c r="GQ218">
        <v>0</v>
      </c>
      <c r="GR218">
        <v>0</v>
      </c>
      <c r="GS218">
        <v>0</v>
      </c>
      <c r="GT218">
        <v>0</v>
      </c>
      <c r="GU218">
        <v>0</v>
      </c>
      <c r="GV218">
        <v>0</v>
      </c>
      <c r="GW218">
        <v>0</v>
      </c>
      <c r="GX218">
        <v>0</v>
      </c>
      <c r="GY218">
        <v>0</v>
      </c>
      <c r="GZ218">
        <v>0</v>
      </c>
      <c r="HA218">
        <v>0</v>
      </c>
      <c r="HB218">
        <v>0</v>
      </c>
      <c r="HC218">
        <v>0</v>
      </c>
      <c r="HD218">
        <v>0</v>
      </c>
      <c r="HE218">
        <v>0</v>
      </c>
      <c r="HF218">
        <v>0</v>
      </c>
      <c r="HG218">
        <v>0</v>
      </c>
      <c r="HH218">
        <v>0</v>
      </c>
      <c r="HI218">
        <v>0</v>
      </c>
      <c r="HJ218">
        <v>0</v>
      </c>
      <c r="HK218">
        <v>0</v>
      </c>
      <c r="HL218">
        <v>0</v>
      </c>
      <c r="HM218">
        <v>0</v>
      </c>
      <c r="HN218">
        <v>0</v>
      </c>
      <c r="HO218">
        <v>0</v>
      </c>
      <c r="HP218">
        <v>0</v>
      </c>
      <c r="HQ218">
        <v>0</v>
      </c>
      <c r="HR218">
        <v>0</v>
      </c>
      <c r="HS218">
        <v>0</v>
      </c>
      <c r="HT218">
        <v>0</v>
      </c>
      <c r="HU218">
        <v>0</v>
      </c>
      <c r="HV218">
        <v>0</v>
      </c>
      <c r="HW218">
        <v>0</v>
      </c>
      <c r="HX218">
        <v>0</v>
      </c>
      <c r="HY218">
        <v>0</v>
      </c>
      <c r="HZ218">
        <v>0</v>
      </c>
      <c r="IA218">
        <v>0</v>
      </c>
      <c r="IB218">
        <v>0</v>
      </c>
      <c r="IC218">
        <v>0</v>
      </c>
      <c r="ID218">
        <v>0</v>
      </c>
      <c r="IE218">
        <v>0</v>
      </c>
      <c r="IF218">
        <v>0</v>
      </c>
      <c r="IG218">
        <v>0</v>
      </c>
      <c r="IH218">
        <v>0</v>
      </c>
      <c r="II218">
        <v>0</v>
      </c>
      <c r="IJ218">
        <v>0</v>
      </c>
      <c r="IK218">
        <v>0</v>
      </c>
      <c r="IL218">
        <v>0</v>
      </c>
      <c r="IM218">
        <v>0</v>
      </c>
      <c r="IN218">
        <v>0</v>
      </c>
      <c r="IO218">
        <v>0</v>
      </c>
      <c r="IP218">
        <v>0</v>
      </c>
      <c r="IQ218">
        <v>0</v>
      </c>
      <c r="IR218">
        <v>0</v>
      </c>
      <c r="IS218">
        <v>0</v>
      </c>
      <c r="IT218">
        <v>0</v>
      </c>
      <c r="IU218">
        <v>0</v>
      </c>
      <c r="IV218">
        <v>0</v>
      </c>
      <c r="IW218">
        <v>0</v>
      </c>
      <c r="IX218">
        <v>0</v>
      </c>
      <c r="IY218">
        <v>0</v>
      </c>
      <c r="IZ218">
        <v>0</v>
      </c>
      <c r="JA218">
        <v>0</v>
      </c>
      <c r="JB218">
        <v>0</v>
      </c>
      <c r="JC218">
        <v>0</v>
      </c>
      <c r="JD218">
        <v>0</v>
      </c>
      <c r="JE218">
        <v>0</v>
      </c>
      <c r="JF218">
        <v>0</v>
      </c>
      <c r="JG218">
        <v>0</v>
      </c>
      <c r="JH218">
        <v>0</v>
      </c>
      <c r="JI218">
        <v>0</v>
      </c>
      <c r="JJ218">
        <v>0</v>
      </c>
      <c r="JK218">
        <v>0</v>
      </c>
      <c r="JL218">
        <v>0</v>
      </c>
      <c r="JM218">
        <v>0</v>
      </c>
      <c r="JN218">
        <v>0</v>
      </c>
      <c r="JO218">
        <v>0</v>
      </c>
      <c r="JP218">
        <v>0</v>
      </c>
      <c r="JQ218">
        <v>0</v>
      </c>
      <c r="JR218">
        <v>0</v>
      </c>
      <c r="JS218">
        <v>0</v>
      </c>
      <c r="JT218">
        <v>0</v>
      </c>
      <c r="JU218">
        <v>0</v>
      </c>
      <c r="JV218">
        <v>0</v>
      </c>
      <c r="JW218">
        <v>0</v>
      </c>
      <c r="JX218">
        <v>0</v>
      </c>
      <c r="JY218">
        <v>0</v>
      </c>
      <c r="JZ218">
        <v>0</v>
      </c>
      <c r="KA218">
        <v>0</v>
      </c>
      <c r="KB218">
        <v>0</v>
      </c>
      <c r="KC218">
        <v>0</v>
      </c>
      <c r="KD218">
        <v>0</v>
      </c>
      <c r="KE218">
        <v>0</v>
      </c>
      <c r="KF218">
        <v>0</v>
      </c>
      <c r="KG218">
        <v>0</v>
      </c>
      <c r="KH218">
        <v>0</v>
      </c>
      <c r="KI218">
        <v>0</v>
      </c>
      <c r="KJ218">
        <v>0</v>
      </c>
      <c r="KK218">
        <v>0</v>
      </c>
      <c r="KL218">
        <v>0</v>
      </c>
      <c r="KM218">
        <v>0</v>
      </c>
      <c r="KN218">
        <v>0</v>
      </c>
      <c r="KO218">
        <v>0</v>
      </c>
      <c r="KP218">
        <v>0</v>
      </c>
      <c r="KQ218">
        <v>0</v>
      </c>
      <c r="KR218">
        <v>0</v>
      </c>
      <c r="KS218">
        <v>0</v>
      </c>
      <c r="KT218">
        <v>0</v>
      </c>
      <c r="KU218">
        <v>0</v>
      </c>
      <c r="KV218">
        <v>0</v>
      </c>
      <c r="KW218">
        <v>0</v>
      </c>
      <c r="KX218">
        <v>0</v>
      </c>
      <c r="KY218">
        <v>0</v>
      </c>
      <c r="KZ218">
        <v>0</v>
      </c>
      <c r="LA218">
        <v>0</v>
      </c>
      <c r="LB218">
        <v>0</v>
      </c>
      <c r="LC218">
        <v>0</v>
      </c>
      <c r="LD218">
        <v>0</v>
      </c>
      <c r="LE218">
        <v>0</v>
      </c>
      <c r="LF218">
        <v>0</v>
      </c>
      <c r="LG218">
        <v>0</v>
      </c>
      <c r="LH218">
        <v>0</v>
      </c>
      <c r="LI218">
        <v>0</v>
      </c>
      <c r="LJ218">
        <v>0</v>
      </c>
      <c r="LK218">
        <v>0</v>
      </c>
      <c r="LL218">
        <v>0</v>
      </c>
      <c r="LM218">
        <v>0</v>
      </c>
      <c r="LN218">
        <v>0</v>
      </c>
      <c r="LO218">
        <v>0</v>
      </c>
      <c r="LP218">
        <v>0</v>
      </c>
      <c r="LQ218">
        <v>0</v>
      </c>
      <c r="LR218">
        <v>0</v>
      </c>
      <c r="LS218">
        <v>0</v>
      </c>
      <c r="LT218">
        <v>0</v>
      </c>
      <c r="LU218">
        <v>0</v>
      </c>
      <c r="LV218">
        <v>0</v>
      </c>
      <c r="LW218">
        <v>0</v>
      </c>
      <c r="LX218">
        <v>0</v>
      </c>
      <c r="LY218">
        <v>0</v>
      </c>
      <c r="LZ218">
        <v>0</v>
      </c>
      <c r="MA218">
        <v>0</v>
      </c>
      <c r="MB218">
        <v>0</v>
      </c>
      <c r="MC218">
        <v>0</v>
      </c>
      <c r="MD218">
        <v>0</v>
      </c>
      <c r="ME218">
        <v>0</v>
      </c>
      <c r="MF218">
        <v>0</v>
      </c>
      <c r="MG218">
        <v>0</v>
      </c>
      <c r="MH218">
        <v>0</v>
      </c>
      <c r="MI218">
        <v>0</v>
      </c>
      <c r="MJ218">
        <v>0</v>
      </c>
      <c r="MK218">
        <v>0</v>
      </c>
      <c r="ML218">
        <v>0</v>
      </c>
      <c r="MM218">
        <v>0</v>
      </c>
      <c r="MN218">
        <v>0</v>
      </c>
      <c r="MO218">
        <v>0</v>
      </c>
      <c r="MP218">
        <v>0</v>
      </c>
      <c r="MQ218">
        <v>0</v>
      </c>
      <c r="MR218">
        <v>0</v>
      </c>
      <c r="MS218">
        <v>0</v>
      </c>
      <c r="MT218">
        <v>0</v>
      </c>
      <c r="MU218">
        <v>0</v>
      </c>
      <c r="MV218">
        <v>0</v>
      </c>
      <c r="MW218">
        <v>0</v>
      </c>
      <c r="MX218">
        <v>0</v>
      </c>
      <c r="MY218">
        <v>0</v>
      </c>
      <c r="MZ218">
        <v>0</v>
      </c>
      <c r="NA218">
        <v>0</v>
      </c>
      <c r="NB218">
        <v>0</v>
      </c>
      <c r="NC218">
        <v>0</v>
      </c>
      <c r="ND218">
        <v>0</v>
      </c>
      <c r="NE218">
        <v>0</v>
      </c>
    </row>
    <row r="219" spans="41:369" x14ac:dyDescent="0.45">
      <c r="AO219" t="str">
        <v>C175</v>
      </c>
      <c r="AP219" t="str">
        <v>ABDULLAH MAZIN</v>
      </c>
      <c r="AQ219" t="str">
        <v>JARF</v>
      </c>
      <c r="AR219" t="str">
        <v>SENIOR</v>
      </c>
      <c r="AS219">
        <v>7</v>
      </c>
      <c r="AT219">
        <v>8</v>
      </c>
      <c r="AU219">
        <v>0</v>
      </c>
      <c r="AV219">
        <v>8</v>
      </c>
      <c r="AW219">
        <v>8</v>
      </c>
      <c r="AX219">
        <v>147</v>
      </c>
      <c r="AY219" s="5">
        <v>147</v>
      </c>
      <c r="AZ219">
        <v>0</v>
      </c>
      <c r="BA219">
        <v>0</v>
      </c>
      <c r="BB219">
        <v>0</v>
      </c>
      <c r="BC219">
        <v>0</v>
      </c>
      <c r="BD219">
        <v>0</v>
      </c>
      <c r="BE219">
        <v>0</v>
      </c>
      <c r="BF219">
        <v>0</v>
      </c>
      <c r="BG219">
        <v>0</v>
      </c>
      <c r="BH219">
        <v>0</v>
      </c>
      <c r="BI219" t="str">
        <v/>
      </c>
      <c r="BK219">
        <v>213</v>
      </c>
      <c r="BL219">
        <v>0</v>
      </c>
      <c r="BM219">
        <v>0</v>
      </c>
      <c r="BN219">
        <v>0</v>
      </c>
      <c r="BO219">
        <v>0</v>
      </c>
      <c r="BP219">
        <v>0</v>
      </c>
      <c r="BQ219">
        <v>0</v>
      </c>
      <c r="BR219">
        <v>0</v>
      </c>
      <c r="BS219">
        <v>0</v>
      </c>
      <c r="BT219">
        <v>0</v>
      </c>
      <c r="BU219">
        <v>0</v>
      </c>
      <c r="BV219">
        <v>0</v>
      </c>
      <c r="BW219">
        <v>0</v>
      </c>
      <c r="BX219">
        <v>0</v>
      </c>
      <c r="BY219">
        <v>0</v>
      </c>
      <c r="BZ219">
        <v>0</v>
      </c>
      <c r="CA219">
        <v>0</v>
      </c>
      <c r="CB219">
        <v>0</v>
      </c>
      <c r="CC219">
        <v>0</v>
      </c>
      <c r="CD219">
        <v>0</v>
      </c>
      <c r="CE219">
        <v>0</v>
      </c>
      <c r="CF219">
        <v>0</v>
      </c>
      <c r="CG219">
        <v>0</v>
      </c>
      <c r="CH219">
        <v>0</v>
      </c>
      <c r="CI219">
        <v>0</v>
      </c>
      <c r="CJ219">
        <v>0</v>
      </c>
      <c r="CK219">
        <v>0</v>
      </c>
      <c r="CL219">
        <v>0</v>
      </c>
      <c r="CM219">
        <v>0</v>
      </c>
      <c r="CN219">
        <v>0</v>
      </c>
      <c r="CO219">
        <v>0</v>
      </c>
      <c r="CP219">
        <v>0</v>
      </c>
      <c r="CQ219">
        <v>0</v>
      </c>
      <c r="CR219">
        <v>0</v>
      </c>
      <c r="CS219">
        <v>0</v>
      </c>
      <c r="CT219">
        <v>0</v>
      </c>
      <c r="CU219">
        <v>0</v>
      </c>
      <c r="CV219">
        <v>0</v>
      </c>
      <c r="CW219">
        <v>0</v>
      </c>
      <c r="CX219">
        <v>0</v>
      </c>
      <c r="CY219">
        <v>0</v>
      </c>
      <c r="CZ219">
        <v>0</v>
      </c>
      <c r="DA219">
        <v>0</v>
      </c>
      <c r="DB219">
        <v>0</v>
      </c>
      <c r="DC219">
        <v>0</v>
      </c>
      <c r="DD219">
        <v>0</v>
      </c>
      <c r="DE219">
        <v>0</v>
      </c>
      <c r="DF219">
        <v>0</v>
      </c>
      <c r="DG219">
        <v>0</v>
      </c>
      <c r="DH219">
        <v>0</v>
      </c>
      <c r="DI219">
        <v>0</v>
      </c>
      <c r="DJ219">
        <v>0</v>
      </c>
      <c r="DK219">
        <v>0</v>
      </c>
      <c r="DL219">
        <v>0</v>
      </c>
      <c r="DM219">
        <v>0</v>
      </c>
      <c r="DN219">
        <v>0</v>
      </c>
      <c r="DO219">
        <v>0</v>
      </c>
      <c r="DP219">
        <v>0</v>
      </c>
      <c r="DQ219">
        <v>0</v>
      </c>
      <c r="DR219">
        <v>0</v>
      </c>
      <c r="DS219">
        <v>0</v>
      </c>
      <c r="DT219">
        <v>0</v>
      </c>
      <c r="DU219">
        <v>0</v>
      </c>
      <c r="DV219">
        <v>0</v>
      </c>
      <c r="DW219">
        <v>0</v>
      </c>
      <c r="DX219">
        <v>0</v>
      </c>
      <c r="DY219">
        <v>0</v>
      </c>
      <c r="DZ219">
        <v>0</v>
      </c>
      <c r="EA219">
        <v>0</v>
      </c>
      <c r="EB219">
        <v>0</v>
      </c>
      <c r="EC219">
        <v>0</v>
      </c>
      <c r="ED219">
        <v>0</v>
      </c>
      <c r="EE219">
        <v>0</v>
      </c>
      <c r="EF219">
        <v>0</v>
      </c>
      <c r="EG219">
        <v>0</v>
      </c>
      <c r="EH219">
        <v>0</v>
      </c>
      <c r="EI219">
        <v>0</v>
      </c>
      <c r="EJ219">
        <v>0</v>
      </c>
      <c r="EK219">
        <v>0</v>
      </c>
      <c r="EL219">
        <v>0</v>
      </c>
      <c r="EM219">
        <v>0</v>
      </c>
      <c r="EN219">
        <v>0</v>
      </c>
      <c r="EO219">
        <v>0</v>
      </c>
      <c r="EP219">
        <v>0</v>
      </c>
      <c r="EQ219">
        <v>0</v>
      </c>
      <c r="ER219">
        <v>0</v>
      </c>
      <c r="ES219">
        <v>0</v>
      </c>
      <c r="ET219">
        <v>0</v>
      </c>
      <c r="EU219">
        <v>0</v>
      </c>
      <c r="EV219">
        <v>0</v>
      </c>
      <c r="EW219">
        <v>0</v>
      </c>
      <c r="EX219">
        <v>0</v>
      </c>
      <c r="EY219">
        <v>0</v>
      </c>
      <c r="EZ219">
        <v>0</v>
      </c>
      <c r="FA219">
        <v>0</v>
      </c>
      <c r="FB219">
        <v>0</v>
      </c>
      <c r="FC219">
        <v>0</v>
      </c>
      <c r="FD219">
        <v>0</v>
      </c>
      <c r="FE219">
        <v>0</v>
      </c>
      <c r="FF219">
        <v>0</v>
      </c>
      <c r="FG219">
        <v>0</v>
      </c>
      <c r="FH219">
        <v>0</v>
      </c>
      <c r="FI219">
        <v>0</v>
      </c>
      <c r="FJ219">
        <v>0</v>
      </c>
      <c r="FK219">
        <v>0</v>
      </c>
      <c r="FL219">
        <v>0</v>
      </c>
      <c r="FM219">
        <v>0</v>
      </c>
      <c r="FN219">
        <v>0</v>
      </c>
      <c r="FO219">
        <v>0</v>
      </c>
      <c r="FP219">
        <v>0</v>
      </c>
      <c r="FQ219">
        <v>0</v>
      </c>
      <c r="FR219">
        <v>0</v>
      </c>
      <c r="FS219">
        <v>0</v>
      </c>
      <c r="FT219">
        <v>0</v>
      </c>
      <c r="FU219">
        <v>0</v>
      </c>
      <c r="FV219">
        <v>0</v>
      </c>
      <c r="FW219">
        <v>0</v>
      </c>
      <c r="FX219">
        <v>0</v>
      </c>
      <c r="FY219">
        <v>0</v>
      </c>
      <c r="FZ219">
        <v>0</v>
      </c>
      <c r="GA219">
        <v>0</v>
      </c>
      <c r="GB219">
        <v>0</v>
      </c>
      <c r="GC219">
        <v>0</v>
      </c>
      <c r="GD219">
        <v>0</v>
      </c>
      <c r="GE219">
        <v>0</v>
      </c>
      <c r="GF219">
        <v>0</v>
      </c>
      <c r="GG219">
        <v>0</v>
      </c>
      <c r="GH219">
        <v>0</v>
      </c>
      <c r="GI219">
        <v>0</v>
      </c>
      <c r="GJ219">
        <v>0</v>
      </c>
      <c r="GK219">
        <v>0</v>
      </c>
      <c r="GL219">
        <v>0</v>
      </c>
      <c r="GM219">
        <v>0</v>
      </c>
      <c r="GN219">
        <v>0</v>
      </c>
      <c r="GO219">
        <v>0</v>
      </c>
      <c r="GP219">
        <v>0</v>
      </c>
      <c r="GQ219">
        <v>0</v>
      </c>
      <c r="GR219">
        <v>0</v>
      </c>
      <c r="GS219">
        <v>0</v>
      </c>
      <c r="GT219">
        <v>0</v>
      </c>
      <c r="GU219">
        <v>0</v>
      </c>
      <c r="GV219">
        <v>0</v>
      </c>
      <c r="GW219">
        <v>0</v>
      </c>
      <c r="GX219">
        <v>0</v>
      </c>
      <c r="GY219">
        <v>0</v>
      </c>
      <c r="GZ219">
        <v>0</v>
      </c>
      <c r="HA219">
        <v>0</v>
      </c>
      <c r="HB219">
        <v>0</v>
      </c>
      <c r="HC219">
        <v>0</v>
      </c>
      <c r="HD219">
        <v>0</v>
      </c>
      <c r="HE219">
        <v>0</v>
      </c>
      <c r="HF219">
        <v>0</v>
      </c>
      <c r="HG219">
        <v>0</v>
      </c>
      <c r="HH219">
        <v>0</v>
      </c>
      <c r="HI219">
        <v>0</v>
      </c>
      <c r="HJ219">
        <v>0</v>
      </c>
      <c r="HK219">
        <v>0</v>
      </c>
      <c r="HL219">
        <v>0</v>
      </c>
      <c r="HM219">
        <v>0</v>
      </c>
      <c r="HN219">
        <v>0</v>
      </c>
      <c r="HO219">
        <v>0</v>
      </c>
      <c r="HP219">
        <v>0</v>
      </c>
      <c r="HQ219">
        <v>0</v>
      </c>
      <c r="HR219">
        <v>0</v>
      </c>
      <c r="HS219">
        <v>0</v>
      </c>
      <c r="HT219">
        <v>0</v>
      </c>
      <c r="HU219">
        <v>0</v>
      </c>
      <c r="HV219">
        <v>0</v>
      </c>
      <c r="HW219">
        <v>0</v>
      </c>
      <c r="HX219">
        <v>0</v>
      </c>
      <c r="HY219">
        <v>0</v>
      </c>
      <c r="HZ219">
        <v>0</v>
      </c>
      <c r="IA219">
        <v>0</v>
      </c>
      <c r="IB219">
        <v>0</v>
      </c>
      <c r="IC219">
        <v>0</v>
      </c>
      <c r="ID219">
        <v>0</v>
      </c>
      <c r="IE219">
        <v>0</v>
      </c>
      <c r="IF219">
        <v>0</v>
      </c>
      <c r="IG219">
        <v>0</v>
      </c>
      <c r="IH219">
        <v>0</v>
      </c>
      <c r="II219">
        <v>0</v>
      </c>
      <c r="IJ219">
        <v>0</v>
      </c>
      <c r="IK219">
        <v>0</v>
      </c>
      <c r="IL219">
        <v>0</v>
      </c>
      <c r="IM219">
        <v>0</v>
      </c>
      <c r="IN219">
        <v>0</v>
      </c>
      <c r="IO219">
        <v>0</v>
      </c>
      <c r="IP219">
        <v>0</v>
      </c>
      <c r="IQ219">
        <v>0</v>
      </c>
      <c r="IR219">
        <v>0</v>
      </c>
      <c r="IS219">
        <v>0</v>
      </c>
      <c r="IT219">
        <v>0</v>
      </c>
      <c r="IU219">
        <v>0</v>
      </c>
      <c r="IV219">
        <v>0</v>
      </c>
      <c r="IW219">
        <v>0</v>
      </c>
      <c r="IX219">
        <v>0</v>
      </c>
      <c r="IY219">
        <v>0</v>
      </c>
      <c r="IZ219">
        <v>0</v>
      </c>
      <c r="JA219">
        <v>0</v>
      </c>
      <c r="JB219">
        <v>0</v>
      </c>
      <c r="JC219">
        <v>0</v>
      </c>
      <c r="JD219">
        <v>0</v>
      </c>
      <c r="JE219">
        <v>0</v>
      </c>
      <c r="JF219">
        <v>0</v>
      </c>
      <c r="JG219">
        <v>0</v>
      </c>
      <c r="JH219">
        <v>0</v>
      </c>
      <c r="JI219">
        <v>0</v>
      </c>
      <c r="JJ219">
        <v>0</v>
      </c>
      <c r="JK219">
        <v>0</v>
      </c>
      <c r="JL219">
        <v>0</v>
      </c>
      <c r="JM219">
        <v>0</v>
      </c>
      <c r="JN219">
        <v>0</v>
      </c>
      <c r="JO219">
        <v>0</v>
      </c>
      <c r="JP219">
        <v>0</v>
      </c>
      <c r="JQ219">
        <v>0</v>
      </c>
      <c r="JR219">
        <v>0</v>
      </c>
      <c r="JS219">
        <v>0</v>
      </c>
      <c r="JT219">
        <v>0</v>
      </c>
      <c r="JU219">
        <v>0</v>
      </c>
      <c r="JV219">
        <v>0</v>
      </c>
      <c r="JW219">
        <v>0</v>
      </c>
      <c r="JX219">
        <v>0</v>
      </c>
      <c r="JY219">
        <v>0</v>
      </c>
      <c r="JZ219">
        <v>0</v>
      </c>
      <c r="KA219">
        <v>0</v>
      </c>
      <c r="KB219">
        <v>0</v>
      </c>
      <c r="KC219">
        <v>0</v>
      </c>
      <c r="KD219">
        <v>0</v>
      </c>
      <c r="KE219">
        <v>0</v>
      </c>
      <c r="KF219">
        <v>0</v>
      </c>
      <c r="KG219">
        <v>0</v>
      </c>
      <c r="KH219">
        <v>0</v>
      </c>
      <c r="KI219">
        <v>0</v>
      </c>
      <c r="KJ219">
        <v>0</v>
      </c>
      <c r="KK219">
        <v>0</v>
      </c>
      <c r="KL219">
        <v>0</v>
      </c>
      <c r="KM219">
        <v>0</v>
      </c>
      <c r="KN219">
        <v>0</v>
      </c>
      <c r="KO219">
        <v>0</v>
      </c>
      <c r="KP219">
        <v>0</v>
      </c>
      <c r="KQ219">
        <v>0</v>
      </c>
      <c r="KR219">
        <v>0</v>
      </c>
      <c r="KS219">
        <v>0</v>
      </c>
      <c r="KT219">
        <v>0</v>
      </c>
      <c r="KU219">
        <v>0</v>
      </c>
      <c r="KV219">
        <v>0</v>
      </c>
      <c r="KW219">
        <v>0</v>
      </c>
      <c r="KX219">
        <v>0</v>
      </c>
      <c r="KY219">
        <v>0</v>
      </c>
      <c r="KZ219">
        <v>0</v>
      </c>
      <c r="LA219">
        <v>0</v>
      </c>
      <c r="LB219">
        <v>0</v>
      </c>
      <c r="LC219">
        <v>0</v>
      </c>
      <c r="LD219">
        <v>0</v>
      </c>
      <c r="LE219">
        <v>0</v>
      </c>
      <c r="LF219">
        <v>0</v>
      </c>
      <c r="LG219">
        <v>0</v>
      </c>
      <c r="LH219">
        <v>0</v>
      </c>
      <c r="LI219">
        <v>0</v>
      </c>
      <c r="LJ219">
        <v>0</v>
      </c>
      <c r="LK219">
        <v>0</v>
      </c>
      <c r="LL219">
        <v>0</v>
      </c>
      <c r="LM219">
        <v>0</v>
      </c>
      <c r="LN219">
        <v>0</v>
      </c>
      <c r="LO219">
        <v>0</v>
      </c>
      <c r="LP219">
        <v>0</v>
      </c>
      <c r="LQ219">
        <v>0</v>
      </c>
      <c r="LR219">
        <v>0</v>
      </c>
      <c r="LS219">
        <v>0</v>
      </c>
      <c r="LT219">
        <v>0</v>
      </c>
      <c r="LU219">
        <v>0</v>
      </c>
      <c r="LV219">
        <v>0</v>
      </c>
      <c r="LW219">
        <v>0</v>
      </c>
      <c r="LX219">
        <v>0</v>
      </c>
      <c r="LY219">
        <v>0</v>
      </c>
      <c r="LZ219">
        <v>0</v>
      </c>
      <c r="MA219">
        <v>0</v>
      </c>
      <c r="MB219">
        <v>0</v>
      </c>
      <c r="MC219">
        <v>0</v>
      </c>
      <c r="MD219">
        <v>0</v>
      </c>
      <c r="ME219">
        <v>0</v>
      </c>
      <c r="MF219">
        <v>0</v>
      </c>
      <c r="MG219">
        <v>0</v>
      </c>
      <c r="MH219">
        <v>0</v>
      </c>
      <c r="MI219">
        <v>0</v>
      </c>
      <c r="MJ219">
        <v>0</v>
      </c>
      <c r="MK219">
        <v>0</v>
      </c>
      <c r="ML219">
        <v>0</v>
      </c>
      <c r="MM219">
        <v>0</v>
      </c>
      <c r="MN219">
        <v>0</v>
      </c>
      <c r="MO219">
        <v>0</v>
      </c>
      <c r="MP219">
        <v>0</v>
      </c>
      <c r="MQ219">
        <v>0</v>
      </c>
      <c r="MR219">
        <v>0</v>
      </c>
      <c r="MS219">
        <v>0</v>
      </c>
      <c r="MT219">
        <v>0</v>
      </c>
      <c r="MU219">
        <v>0</v>
      </c>
      <c r="MV219">
        <v>0</v>
      </c>
      <c r="MW219">
        <v>0</v>
      </c>
      <c r="MX219">
        <v>0</v>
      </c>
      <c r="MY219">
        <v>0</v>
      </c>
      <c r="MZ219">
        <v>0</v>
      </c>
      <c r="NA219">
        <v>0</v>
      </c>
      <c r="NB219">
        <v>0</v>
      </c>
      <c r="NC219">
        <v>0</v>
      </c>
      <c r="ND219">
        <v>0</v>
      </c>
      <c r="NE219">
        <v>0</v>
      </c>
    </row>
    <row r="220" spans="41:369" x14ac:dyDescent="0.45">
      <c r="AO220" t="str">
        <v>C176</v>
      </c>
      <c r="AP220" t="str">
        <v>MUHAMMED T A</v>
      </c>
      <c r="AQ220" t="str">
        <v>FANT</v>
      </c>
      <c r="AR220" t="str">
        <v>SENIOR</v>
      </c>
      <c r="AS220">
        <v>7</v>
      </c>
      <c r="AT220">
        <v>17</v>
      </c>
      <c r="AU220">
        <v>0</v>
      </c>
      <c r="AV220">
        <v>17</v>
      </c>
      <c r="AW220">
        <v>17</v>
      </c>
      <c r="AX220">
        <v>87</v>
      </c>
      <c r="AY220" s="5">
        <v>87</v>
      </c>
      <c r="AZ220">
        <v>0</v>
      </c>
      <c r="BA220">
        <v>0</v>
      </c>
      <c r="BB220">
        <v>0</v>
      </c>
      <c r="BC220">
        <v>0</v>
      </c>
      <c r="BD220">
        <v>0</v>
      </c>
      <c r="BE220">
        <v>0</v>
      </c>
      <c r="BF220">
        <v>0</v>
      </c>
      <c r="BG220">
        <v>0</v>
      </c>
      <c r="BH220">
        <v>0</v>
      </c>
      <c r="BI220" t="str">
        <v/>
      </c>
      <c r="BK220">
        <v>214</v>
      </c>
      <c r="BL220">
        <v>0</v>
      </c>
      <c r="BM220">
        <v>0</v>
      </c>
      <c r="BN220">
        <v>0</v>
      </c>
      <c r="BO220">
        <v>0</v>
      </c>
      <c r="BP220">
        <v>0</v>
      </c>
      <c r="BQ220">
        <v>0</v>
      </c>
      <c r="BR220">
        <v>0</v>
      </c>
      <c r="BS220">
        <v>0</v>
      </c>
      <c r="BT220">
        <v>0</v>
      </c>
      <c r="BU220">
        <v>0</v>
      </c>
      <c r="BV220">
        <v>0</v>
      </c>
      <c r="BW220">
        <v>0</v>
      </c>
      <c r="BX220">
        <v>0</v>
      </c>
      <c r="BY220">
        <v>0</v>
      </c>
      <c r="BZ220">
        <v>0</v>
      </c>
      <c r="CA220">
        <v>0</v>
      </c>
      <c r="CB220">
        <v>0</v>
      </c>
      <c r="CC220">
        <v>0</v>
      </c>
      <c r="CD220">
        <v>0</v>
      </c>
      <c r="CE220">
        <v>0</v>
      </c>
      <c r="CF220">
        <v>0</v>
      </c>
      <c r="CG220">
        <v>0</v>
      </c>
      <c r="CH220">
        <v>0</v>
      </c>
      <c r="CI220">
        <v>0</v>
      </c>
      <c r="CJ220">
        <v>0</v>
      </c>
      <c r="CK220">
        <v>0</v>
      </c>
      <c r="CL220">
        <v>0</v>
      </c>
      <c r="CM220">
        <v>0</v>
      </c>
      <c r="CN220">
        <v>0</v>
      </c>
      <c r="CO220">
        <v>0</v>
      </c>
      <c r="CP220">
        <v>0</v>
      </c>
      <c r="CQ220">
        <v>0</v>
      </c>
      <c r="CR220">
        <v>0</v>
      </c>
      <c r="CS220">
        <v>0</v>
      </c>
      <c r="CT220">
        <v>0</v>
      </c>
      <c r="CU220">
        <v>0</v>
      </c>
      <c r="CV220">
        <v>0</v>
      </c>
      <c r="CW220">
        <v>0</v>
      </c>
      <c r="CX220">
        <v>0</v>
      </c>
      <c r="CY220">
        <v>0</v>
      </c>
      <c r="CZ220">
        <v>0</v>
      </c>
      <c r="DA220">
        <v>0</v>
      </c>
      <c r="DB220">
        <v>0</v>
      </c>
      <c r="DC220">
        <v>0</v>
      </c>
      <c r="DD220">
        <v>0</v>
      </c>
      <c r="DE220">
        <v>0</v>
      </c>
      <c r="DF220">
        <v>0</v>
      </c>
      <c r="DG220">
        <v>0</v>
      </c>
      <c r="DH220">
        <v>0</v>
      </c>
      <c r="DI220">
        <v>0</v>
      </c>
      <c r="DJ220">
        <v>0</v>
      </c>
      <c r="DK220">
        <v>0</v>
      </c>
      <c r="DL220">
        <v>0</v>
      </c>
      <c r="DM220">
        <v>0</v>
      </c>
      <c r="DN220">
        <v>0</v>
      </c>
      <c r="DO220">
        <v>0</v>
      </c>
      <c r="DP220">
        <v>0</v>
      </c>
      <c r="DQ220">
        <v>0</v>
      </c>
      <c r="DR220">
        <v>0</v>
      </c>
      <c r="DS220">
        <v>0</v>
      </c>
      <c r="DT220">
        <v>0</v>
      </c>
      <c r="DU220">
        <v>0</v>
      </c>
      <c r="DV220">
        <v>0</v>
      </c>
      <c r="DW220">
        <v>0</v>
      </c>
      <c r="DX220">
        <v>0</v>
      </c>
      <c r="DY220">
        <v>0</v>
      </c>
      <c r="DZ220">
        <v>0</v>
      </c>
      <c r="EA220">
        <v>0</v>
      </c>
      <c r="EB220">
        <v>0</v>
      </c>
      <c r="EC220">
        <v>0</v>
      </c>
      <c r="ED220">
        <v>0</v>
      </c>
      <c r="EE220">
        <v>0</v>
      </c>
      <c r="EF220">
        <v>0</v>
      </c>
      <c r="EG220">
        <v>0</v>
      </c>
      <c r="EH220">
        <v>0</v>
      </c>
      <c r="EI220">
        <v>0</v>
      </c>
      <c r="EJ220">
        <v>0</v>
      </c>
      <c r="EK220">
        <v>0</v>
      </c>
      <c r="EL220">
        <v>0</v>
      </c>
      <c r="EM220">
        <v>0</v>
      </c>
      <c r="EN220">
        <v>0</v>
      </c>
      <c r="EO220">
        <v>0</v>
      </c>
      <c r="EP220">
        <v>0</v>
      </c>
      <c r="EQ220">
        <v>0</v>
      </c>
      <c r="ER220">
        <v>0</v>
      </c>
      <c r="ES220">
        <v>0</v>
      </c>
      <c r="ET220">
        <v>0</v>
      </c>
      <c r="EU220">
        <v>0</v>
      </c>
      <c r="EV220">
        <v>0</v>
      </c>
      <c r="EW220">
        <v>0</v>
      </c>
      <c r="EX220">
        <v>0</v>
      </c>
      <c r="EY220">
        <v>0</v>
      </c>
      <c r="EZ220">
        <v>0</v>
      </c>
      <c r="FA220">
        <v>0</v>
      </c>
      <c r="FB220">
        <v>0</v>
      </c>
      <c r="FC220">
        <v>0</v>
      </c>
      <c r="FD220">
        <v>0</v>
      </c>
      <c r="FE220">
        <v>0</v>
      </c>
      <c r="FF220">
        <v>0</v>
      </c>
      <c r="FG220">
        <v>0</v>
      </c>
      <c r="FH220">
        <v>0</v>
      </c>
      <c r="FI220">
        <v>0</v>
      </c>
      <c r="FJ220">
        <v>0</v>
      </c>
      <c r="FK220">
        <v>0</v>
      </c>
      <c r="FL220">
        <v>0</v>
      </c>
      <c r="FM220">
        <v>0</v>
      </c>
      <c r="FN220">
        <v>0</v>
      </c>
      <c r="FO220">
        <v>0</v>
      </c>
      <c r="FP220">
        <v>0</v>
      </c>
      <c r="FQ220">
        <v>0</v>
      </c>
      <c r="FR220">
        <v>0</v>
      </c>
      <c r="FS220">
        <v>0</v>
      </c>
      <c r="FT220">
        <v>0</v>
      </c>
      <c r="FU220">
        <v>0</v>
      </c>
      <c r="FV220">
        <v>0</v>
      </c>
      <c r="FW220">
        <v>0</v>
      </c>
      <c r="FX220">
        <v>0</v>
      </c>
      <c r="FY220">
        <v>0</v>
      </c>
      <c r="FZ220">
        <v>0</v>
      </c>
      <c r="GA220">
        <v>0</v>
      </c>
      <c r="GB220">
        <v>0</v>
      </c>
      <c r="GC220">
        <v>0</v>
      </c>
      <c r="GD220">
        <v>0</v>
      </c>
      <c r="GE220">
        <v>0</v>
      </c>
      <c r="GF220">
        <v>0</v>
      </c>
      <c r="GG220">
        <v>0</v>
      </c>
      <c r="GH220">
        <v>0</v>
      </c>
      <c r="GI220">
        <v>0</v>
      </c>
      <c r="GJ220">
        <v>0</v>
      </c>
      <c r="GK220">
        <v>0</v>
      </c>
      <c r="GL220">
        <v>0</v>
      </c>
      <c r="GM220">
        <v>0</v>
      </c>
      <c r="GN220">
        <v>0</v>
      </c>
      <c r="GO220">
        <v>0</v>
      </c>
      <c r="GP220">
        <v>0</v>
      </c>
      <c r="GQ220">
        <v>0</v>
      </c>
      <c r="GR220">
        <v>0</v>
      </c>
      <c r="GS220">
        <v>0</v>
      </c>
      <c r="GT220">
        <v>0</v>
      </c>
      <c r="GU220">
        <v>0</v>
      </c>
      <c r="GV220">
        <v>0</v>
      </c>
      <c r="GW220">
        <v>0</v>
      </c>
      <c r="GX220">
        <v>0</v>
      </c>
      <c r="GY220">
        <v>0</v>
      </c>
      <c r="GZ220">
        <v>0</v>
      </c>
      <c r="HA220">
        <v>0</v>
      </c>
      <c r="HB220">
        <v>0</v>
      </c>
      <c r="HC220">
        <v>0</v>
      </c>
      <c r="HD220">
        <v>0</v>
      </c>
      <c r="HE220">
        <v>0</v>
      </c>
      <c r="HF220">
        <v>0</v>
      </c>
      <c r="HG220">
        <v>0</v>
      </c>
      <c r="HH220">
        <v>0</v>
      </c>
      <c r="HI220">
        <v>0</v>
      </c>
      <c r="HJ220">
        <v>0</v>
      </c>
      <c r="HK220">
        <v>0</v>
      </c>
      <c r="HL220">
        <v>0</v>
      </c>
      <c r="HM220">
        <v>0</v>
      </c>
      <c r="HN220">
        <v>0</v>
      </c>
      <c r="HO220">
        <v>0</v>
      </c>
      <c r="HP220">
        <v>0</v>
      </c>
      <c r="HQ220">
        <v>0</v>
      </c>
      <c r="HR220">
        <v>0</v>
      </c>
      <c r="HS220">
        <v>0</v>
      </c>
      <c r="HT220">
        <v>0</v>
      </c>
      <c r="HU220">
        <v>0</v>
      </c>
      <c r="HV220">
        <v>0</v>
      </c>
      <c r="HW220">
        <v>0</v>
      </c>
      <c r="HX220">
        <v>0</v>
      </c>
      <c r="HY220">
        <v>0</v>
      </c>
      <c r="HZ220">
        <v>0</v>
      </c>
      <c r="IA220">
        <v>0</v>
      </c>
      <c r="IB220">
        <v>0</v>
      </c>
      <c r="IC220">
        <v>0</v>
      </c>
      <c r="ID220">
        <v>0</v>
      </c>
      <c r="IE220">
        <v>0</v>
      </c>
      <c r="IF220">
        <v>0</v>
      </c>
      <c r="IG220">
        <v>0</v>
      </c>
      <c r="IH220">
        <v>0</v>
      </c>
      <c r="II220">
        <v>0</v>
      </c>
      <c r="IJ220">
        <v>0</v>
      </c>
      <c r="IK220">
        <v>0</v>
      </c>
      <c r="IL220">
        <v>0</v>
      </c>
      <c r="IM220">
        <v>0</v>
      </c>
      <c r="IN220">
        <v>0</v>
      </c>
      <c r="IO220">
        <v>0</v>
      </c>
      <c r="IP220">
        <v>0</v>
      </c>
      <c r="IQ220">
        <v>0</v>
      </c>
      <c r="IR220">
        <v>0</v>
      </c>
      <c r="IS220">
        <v>0</v>
      </c>
      <c r="IT220">
        <v>0</v>
      </c>
      <c r="IU220">
        <v>0</v>
      </c>
      <c r="IV220">
        <v>0</v>
      </c>
      <c r="IW220">
        <v>0</v>
      </c>
      <c r="IX220">
        <v>0</v>
      </c>
      <c r="IY220">
        <v>0</v>
      </c>
      <c r="IZ220">
        <v>0</v>
      </c>
      <c r="JA220">
        <v>0</v>
      </c>
      <c r="JB220">
        <v>0</v>
      </c>
      <c r="JC220">
        <v>0</v>
      </c>
      <c r="JD220">
        <v>0</v>
      </c>
      <c r="JE220">
        <v>0</v>
      </c>
      <c r="JF220">
        <v>0</v>
      </c>
      <c r="JG220">
        <v>0</v>
      </c>
      <c r="JH220">
        <v>0</v>
      </c>
      <c r="JI220">
        <v>0</v>
      </c>
      <c r="JJ220">
        <v>0</v>
      </c>
      <c r="JK220">
        <v>0</v>
      </c>
      <c r="JL220">
        <v>0</v>
      </c>
      <c r="JM220">
        <v>0</v>
      </c>
      <c r="JN220">
        <v>0</v>
      </c>
      <c r="JO220">
        <v>0</v>
      </c>
      <c r="JP220">
        <v>0</v>
      </c>
      <c r="JQ220">
        <v>0</v>
      </c>
      <c r="JR220">
        <v>0</v>
      </c>
      <c r="JS220">
        <v>0</v>
      </c>
      <c r="JT220">
        <v>0</v>
      </c>
      <c r="JU220">
        <v>0</v>
      </c>
      <c r="JV220">
        <v>0</v>
      </c>
      <c r="JW220">
        <v>0</v>
      </c>
      <c r="JX220">
        <v>0</v>
      </c>
      <c r="JY220">
        <v>0</v>
      </c>
      <c r="JZ220">
        <v>0</v>
      </c>
      <c r="KA220">
        <v>0</v>
      </c>
      <c r="KB220">
        <v>0</v>
      </c>
      <c r="KC220">
        <v>0</v>
      </c>
      <c r="KD220">
        <v>0</v>
      </c>
      <c r="KE220">
        <v>0</v>
      </c>
      <c r="KF220">
        <v>0</v>
      </c>
      <c r="KG220">
        <v>0</v>
      </c>
      <c r="KH220">
        <v>0</v>
      </c>
      <c r="KI220">
        <v>0</v>
      </c>
      <c r="KJ220">
        <v>0</v>
      </c>
      <c r="KK220">
        <v>0</v>
      </c>
      <c r="KL220">
        <v>0</v>
      </c>
      <c r="KM220">
        <v>0</v>
      </c>
      <c r="KN220">
        <v>0</v>
      </c>
      <c r="KO220">
        <v>0</v>
      </c>
      <c r="KP220">
        <v>0</v>
      </c>
      <c r="KQ220">
        <v>0</v>
      </c>
      <c r="KR220">
        <v>0</v>
      </c>
      <c r="KS220">
        <v>0</v>
      </c>
      <c r="KT220">
        <v>0</v>
      </c>
      <c r="KU220">
        <v>0</v>
      </c>
      <c r="KV220">
        <v>0</v>
      </c>
      <c r="KW220">
        <v>0</v>
      </c>
      <c r="KX220">
        <v>0</v>
      </c>
      <c r="KY220">
        <v>0</v>
      </c>
      <c r="KZ220">
        <v>0</v>
      </c>
      <c r="LA220">
        <v>0</v>
      </c>
      <c r="LB220">
        <v>0</v>
      </c>
      <c r="LC220">
        <v>0</v>
      </c>
      <c r="LD220">
        <v>0</v>
      </c>
      <c r="LE220">
        <v>0</v>
      </c>
      <c r="LF220">
        <v>0</v>
      </c>
      <c r="LG220">
        <v>0</v>
      </c>
      <c r="LH220">
        <v>0</v>
      </c>
      <c r="LI220">
        <v>0</v>
      </c>
      <c r="LJ220">
        <v>0</v>
      </c>
      <c r="LK220">
        <v>0</v>
      </c>
      <c r="LL220">
        <v>0</v>
      </c>
      <c r="LM220">
        <v>0</v>
      </c>
      <c r="LN220">
        <v>0</v>
      </c>
      <c r="LO220">
        <v>0</v>
      </c>
      <c r="LP220">
        <v>0</v>
      </c>
      <c r="LQ220">
        <v>0</v>
      </c>
      <c r="LR220">
        <v>0</v>
      </c>
      <c r="LS220">
        <v>0</v>
      </c>
      <c r="LT220">
        <v>0</v>
      </c>
      <c r="LU220">
        <v>0</v>
      </c>
      <c r="LV220">
        <v>0</v>
      </c>
      <c r="LW220">
        <v>0</v>
      </c>
      <c r="LX220">
        <v>0</v>
      </c>
      <c r="LY220">
        <v>0</v>
      </c>
      <c r="LZ220">
        <v>0</v>
      </c>
      <c r="MA220">
        <v>0</v>
      </c>
      <c r="MB220">
        <v>0</v>
      </c>
      <c r="MC220">
        <v>0</v>
      </c>
      <c r="MD220">
        <v>0</v>
      </c>
      <c r="ME220">
        <v>0</v>
      </c>
      <c r="MF220">
        <v>0</v>
      </c>
      <c r="MG220">
        <v>0</v>
      </c>
      <c r="MH220">
        <v>0</v>
      </c>
      <c r="MI220">
        <v>0</v>
      </c>
      <c r="MJ220">
        <v>0</v>
      </c>
      <c r="MK220">
        <v>0</v>
      </c>
      <c r="ML220">
        <v>0</v>
      </c>
      <c r="MM220">
        <v>0</v>
      </c>
      <c r="MN220">
        <v>0</v>
      </c>
      <c r="MO220">
        <v>0</v>
      </c>
      <c r="MP220">
        <v>0</v>
      </c>
      <c r="MQ220">
        <v>0</v>
      </c>
      <c r="MR220">
        <v>0</v>
      </c>
      <c r="MS220">
        <v>0</v>
      </c>
      <c r="MT220">
        <v>0</v>
      </c>
      <c r="MU220">
        <v>0</v>
      </c>
      <c r="MV220">
        <v>0</v>
      </c>
      <c r="MW220">
        <v>0</v>
      </c>
      <c r="MX220">
        <v>0</v>
      </c>
      <c r="MY220">
        <v>0</v>
      </c>
      <c r="MZ220">
        <v>0</v>
      </c>
      <c r="NA220">
        <v>0</v>
      </c>
      <c r="NB220">
        <v>0</v>
      </c>
      <c r="NC220">
        <v>0</v>
      </c>
      <c r="ND220">
        <v>0</v>
      </c>
      <c r="NE220">
        <v>0</v>
      </c>
    </row>
    <row r="221" spans="41:369" x14ac:dyDescent="0.45">
      <c r="AO221" t="str">
        <v>C177</v>
      </c>
      <c r="AP221" t="str">
        <v>MOHAMMED HUSSAIN</v>
      </c>
      <c r="AQ221" t="str">
        <v>DAHF</v>
      </c>
      <c r="AR221" t="str">
        <v>SENIOR</v>
      </c>
      <c r="AS221">
        <v>7</v>
      </c>
      <c r="AT221">
        <v>0</v>
      </c>
      <c r="AU221">
        <v>0</v>
      </c>
      <c r="AV221">
        <v>0</v>
      </c>
      <c r="AW221">
        <v>0</v>
      </c>
      <c r="AX221">
        <v>255</v>
      </c>
      <c r="AY221" s="5">
        <v>255</v>
      </c>
      <c r="AZ221">
        <v>0</v>
      </c>
      <c r="BA221">
        <v>0</v>
      </c>
      <c r="BB221">
        <v>0</v>
      </c>
      <c r="BC221">
        <v>0</v>
      </c>
      <c r="BD221">
        <v>0</v>
      </c>
      <c r="BE221">
        <v>0</v>
      </c>
      <c r="BF221">
        <v>0</v>
      </c>
      <c r="BG221">
        <v>0</v>
      </c>
      <c r="BH221">
        <v>0</v>
      </c>
      <c r="BI221" t="str">
        <v/>
      </c>
      <c r="BK221">
        <v>215</v>
      </c>
      <c r="BL221">
        <v>0</v>
      </c>
      <c r="BM221">
        <v>0</v>
      </c>
      <c r="BN221">
        <v>0</v>
      </c>
      <c r="BO221">
        <v>0</v>
      </c>
      <c r="BP221">
        <v>0</v>
      </c>
      <c r="BQ221">
        <v>0</v>
      </c>
      <c r="BR221">
        <v>0</v>
      </c>
      <c r="BS221">
        <v>0</v>
      </c>
      <c r="BT221">
        <v>0</v>
      </c>
      <c r="BU221">
        <v>0</v>
      </c>
      <c r="BV221">
        <v>0</v>
      </c>
      <c r="BW221">
        <v>0</v>
      </c>
      <c r="BX221">
        <v>0</v>
      </c>
      <c r="BY221">
        <v>0</v>
      </c>
      <c r="BZ221">
        <v>0</v>
      </c>
      <c r="CA221">
        <v>0</v>
      </c>
      <c r="CB221">
        <v>0</v>
      </c>
      <c r="CC221">
        <v>0</v>
      </c>
      <c r="CD221">
        <v>0</v>
      </c>
      <c r="CE221">
        <v>0</v>
      </c>
      <c r="CF221">
        <v>0</v>
      </c>
      <c r="CG221">
        <v>0</v>
      </c>
      <c r="CH221">
        <v>0</v>
      </c>
      <c r="CI221">
        <v>0</v>
      </c>
      <c r="CJ221">
        <v>0</v>
      </c>
      <c r="CK221">
        <v>0</v>
      </c>
      <c r="CL221">
        <v>0</v>
      </c>
      <c r="CM221">
        <v>0</v>
      </c>
      <c r="CN221">
        <v>0</v>
      </c>
      <c r="CO221">
        <v>0</v>
      </c>
      <c r="CP221">
        <v>0</v>
      </c>
      <c r="CQ221">
        <v>0</v>
      </c>
      <c r="CR221">
        <v>0</v>
      </c>
      <c r="CS221">
        <v>0</v>
      </c>
      <c r="CT221">
        <v>0</v>
      </c>
      <c r="CU221">
        <v>0</v>
      </c>
      <c r="CV221">
        <v>0</v>
      </c>
      <c r="CW221">
        <v>0</v>
      </c>
      <c r="CX221">
        <v>0</v>
      </c>
      <c r="CY221">
        <v>0</v>
      </c>
      <c r="CZ221">
        <v>0</v>
      </c>
      <c r="DA221">
        <v>0</v>
      </c>
      <c r="DB221">
        <v>0</v>
      </c>
      <c r="DC221">
        <v>0</v>
      </c>
      <c r="DD221">
        <v>0</v>
      </c>
      <c r="DE221">
        <v>0</v>
      </c>
      <c r="DF221">
        <v>0</v>
      </c>
      <c r="DG221">
        <v>0</v>
      </c>
      <c r="DH221">
        <v>0</v>
      </c>
      <c r="DI221">
        <v>0</v>
      </c>
      <c r="DJ221">
        <v>0</v>
      </c>
      <c r="DK221">
        <v>0</v>
      </c>
      <c r="DL221">
        <v>0</v>
      </c>
      <c r="DM221">
        <v>0</v>
      </c>
      <c r="DN221">
        <v>0</v>
      </c>
      <c r="DO221">
        <v>0</v>
      </c>
      <c r="DP221">
        <v>0</v>
      </c>
      <c r="DQ221">
        <v>0</v>
      </c>
      <c r="DR221">
        <v>0</v>
      </c>
      <c r="DS221">
        <v>0</v>
      </c>
      <c r="DT221">
        <v>0</v>
      </c>
      <c r="DU221">
        <v>0</v>
      </c>
      <c r="DV221">
        <v>0</v>
      </c>
      <c r="DW221">
        <v>0</v>
      </c>
      <c r="DX221">
        <v>0</v>
      </c>
      <c r="DY221">
        <v>0</v>
      </c>
      <c r="DZ221">
        <v>0</v>
      </c>
      <c r="EA221">
        <v>0</v>
      </c>
      <c r="EB221">
        <v>0</v>
      </c>
      <c r="EC221">
        <v>0</v>
      </c>
      <c r="ED221">
        <v>0</v>
      </c>
      <c r="EE221">
        <v>0</v>
      </c>
      <c r="EF221">
        <v>0</v>
      </c>
      <c r="EG221">
        <v>0</v>
      </c>
      <c r="EH221">
        <v>0</v>
      </c>
      <c r="EI221">
        <v>0</v>
      </c>
      <c r="EJ221">
        <v>0</v>
      </c>
      <c r="EK221">
        <v>0</v>
      </c>
      <c r="EL221">
        <v>0</v>
      </c>
      <c r="EM221">
        <v>0</v>
      </c>
      <c r="EN221">
        <v>0</v>
      </c>
      <c r="EO221">
        <v>0</v>
      </c>
      <c r="EP221">
        <v>0</v>
      </c>
      <c r="EQ221">
        <v>0</v>
      </c>
      <c r="ER221">
        <v>0</v>
      </c>
      <c r="ES221">
        <v>0</v>
      </c>
      <c r="ET221">
        <v>0</v>
      </c>
      <c r="EU221">
        <v>0</v>
      </c>
      <c r="EV221">
        <v>0</v>
      </c>
      <c r="EW221">
        <v>0</v>
      </c>
      <c r="EX221">
        <v>0</v>
      </c>
      <c r="EY221">
        <v>0</v>
      </c>
      <c r="EZ221">
        <v>0</v>
      </c>
      <c r="FA221">
        <v>0</v>
      </c>
      <c r="FB221">
        <v>0</v>
      </c>
      <c r="FC221">
        <v>0</v>
      </c>
      <c r="FD221">
        <v>0</v>
      </c>
      <c r="FE221">
        <v>0</v>
      </c>
      <c r="FF221">
        <v>0</v>
      </c>
      <c r="FG221">
        <v>0</v>
      </c>
      <c r="FH221">
        <v>0</v>
      </c>
      <c r="FI221">
        <v>0</v>
      </c>
      <c r="FJ221">
        <v>0</v>
      </c>
      <c r="FK221">
        <v>0</v>
      </c>
      <c r="FL221">
        <v>0</v>
      </c>
      <c r="FM221">
        <v>0</v>
      </c>
      <c r="FN221">
        <v>0</v>
      </c>
      <c r="FO221">
        <v>0</v>
      </c>
      <c r="FP221">
        <v>0</v>
      </c>
      <c r="FQ221">
        <v>0</v>
      </c>
      <c r="FR221">
        <v>0</v>
      </c>
      <c r="FS221">
        <v>0</v>
      </c>
      <c r="FT221">
        <v>0</v>
      </c>
      <c r="FU221">
        <v>0</v>
      </c>
      <c r="FV221">
        <v>0</v>
      </c>
      <c r="FW221">
        <v>0</v>
      </c>
      <c r="FX221">
        <v>0</v>
      </c>
      <c r="FY221">
        <v>0</v>
      </c>
      <c r="FZ221">
        <v>0</v>
      </c>
      <c r="GA221">
        <v>0</v>
      </c>
      <c r="GB221">
        <v>0</v>
      </c>
      <c r="GC221">
        <v>0</v>
      </c>
      <c r="GD221">
        <v>0</v>
      </c>
      <c r="GE221">
        <v>0</v>
      </c>
      <c r="GF221">
        <v>0</v>
      </c>
      <c r="GG221">
        <v>0</v>
      </c>
      <c r="GH221">
        <v>0</v>
      </c>
      <c r="GI221">
        <v>0</v>
      </c>
      <c r="GJ221">
        <v>0</v>
      </c>
      <c r="GK221">
        <v>0</v>
      </c>
      <c r="GL221">
        <v>0</v>
      </c>
      <c r="GM221">
        <v>0</v>
      </c>
      <c r="GN221">
        <v>0</v>
      </c>
      <c r="GO221">
        <v>0</v>
      </c>
      <c r="GP221">
        <v>0</v>
      </c>
      <c r="GQ221">
        <v>0</v>
      </c>
      <c r="GR221">
        <v>0</v>
      </c>
      <c r="GS221">
        <v>0</v>
      </c>
      <c r="GT221">
        <v>0</v>
      </c>
      <c r="GU221">
        <v>0</v>
      </c>
      <c r="GV221">
        <v>0</v>
      </c>
      <c r="GW221">
        <v>0</v>
      </c>
      <c r="GX221">
        <v>0</v>
      </c>
      <c r="GY221">
        <v>0</v>
      </c>
      <c r="GZ221">
        <v>0</v>
      </c>
      <c r="HA221">
        <v>0</v>
      </c>
      <c r="HB221">
        <v>0</v>
      </c>
      <c r="HC221">
        <v>0</v>
      </c>
      <c r="HD221">
        <v>0</v>
      </c>
      <c r="HE221">
        <v>0</v>
      </c>
      <c r="HF221">
        <v>0</v>
      </c>
      <c r="HG221">
        <v>0</v>
      </c>
      <c r="HH221">
        <v>0</v>
      </c>
      <c r="HI221">
        <v>0</v>
      </c>
      <c r="HJ221">
        <v>0</v>
      </c>
      <c r="HK221">
        <v>0</v>
      </c>
      <c r="HL221">
        <v>0</v>
      </c>
      <c r="HM221">
        <v>0</v>
      </c>
      <c r="HN221">
        <v>0</v>
      </c>
      <c r="HO221">
        <v>0</v>
      </c>
      <c r="HP221">
        <v>0</v>
      </c>
      <c r="HQ221">
        <v>0</v>
      </c>
      <c r="HR221">
        <v>0</v>
      </c>
      <c r="HS221">
        <v>0</v>
      </c>
      <c r="HT221">
        <v>0</v>
      </c>
      <c r="HU221">
        <v>0</v>
      </c>
      <c r="HV221">
        <v>0</v>
      </c>
      <c r="HW221">
        <v>0</v>
      </c>
      <c r="HX221">
        <v>0</v>
      </c>
      <c r="HY221">
        <v>0</v>
      </c>
      <c r="HZ221">
        <v>0</v>
      </c>
      <c r="IA221">
        <v>0</v>
      </c>
      <c r="IB221">
        <v>0</v>
      </c>
      <c r="IC221">
        <v>0</v>
      </c>
      <c r="ID221">
        <v>0</v>
      </c>
      <c r="IE221">
        <v>0</v>
      </c>
      <c r="IF221">
        <v>0</v>
      </c>
      <c r="IG221">
        <v>0</v>
      </c>
      <c r="IH221">
        <v>0</v>
      </c>
      <c r="II221">
        <v>0</v>
      </c>
      <c r="IJ221">
        <v>0</v>
      </c>
      <c r="IK221">
        <v>0</v>
      </c>
      <c r="IL221">
        <v>0</v>
      </c>
      <c r="IM221">
        <v>0</v>
      </c>
      <c r="IN221">
        <v>0</v>
      </c>
      <c r="IO221">
        <v>0</v>
      </c>
      <c r="IP221">
        <v>0</v>
      </c>
      <c r="IQ221">
        <v>0</v>
      </c>
      <c r="IR221">
        <v>0</v>
      </c>
      <c r="IS221">
        <v>0</v>
      </c>
      <c r="IT221">
        <v>0</v>
      </c>
      <c r="IU221">
        <v>0</v>
      </c>
      <c r="IV221">
        <v>0</v>
      </c>
      <c r="IW221">
        <v>0</v>
      </c>
      <c r="IX221">
        <v>0</v>
      </c>
      <c r="IY221">
        <v>0</v>
      </c>
      <c r="IZ221">
        <v>0</v>
      </c>
      <c r="JA221">
        <v>0</v>
      </c>
      <c r="JB221">
        <v>0</v>
      </c>
      <c r="JC221">
        <v>0</v>
      </c>
      <c r="JD221">
        <v>0</v>
      </c>
      <c r="JE221">
        <v>0</v>
      </c>
      <c r="JF221">
        <v>0</v>
      </c>
      <c r="JG221">
        <v>0</v>
      </c>
      <c r="JH221">
        <v>0</v>
      </c>
      <c r="JI221">
        <v>0</v>
      </c>
      <c r="JJ221">
        <v>0</v>
      </c>
      <c r="JK221">
        <v>0</v>
      </c>
      <c r="JL221">
        <v>0</v>
      </c>
      <c r="JM221">
        <v>0</v>
      </c>
      <c r="JN221">
        <v>0</v>
      </c>
      <c r="JO221">
        <v>0</v>
      </c>
      <c r="JP221">
        <v>0</v>
      </c>
      <c r="JQ221">
        <v>0</v>
      </c>
      <c r="JR221">
        <v>0</v>
      </c>
      <c r="JS221">
        <v>0</v>
      </c>
      <c r="JT221">
        <v>0</v>
      </c>
      <c r="JU221">
        <v>0</v>
      </c>
      <c r="JV221">
        <v>0</v>
      </c>
      <c r="JW221">
        <v>0</v>
      </c>
      <c r="JX221">
        <v>0</v>
      </c>
      <c r="JY221">
        <v>0</v>
      </c>
      <c r="JZ221">
        <v>0</v>
      </c>
      <c r="KA221">
        <v>0</v>
      </c>
      <c r="KB221">
        <v>0</v>
      </c>
      <c r="KC221">
        <v>0</v>
      </c>
      <c r="KD221">
        <v>0</v>
      </c>
      <c r="KE221">
        <v>0</v>
      </c>
      <c r="KF221">
        <v>0</v>
      </c>
      <c r="KG221">
        <v>0</v>
      </c>
      <c r="KH221">
        <v>0</v>
      </c>
      <c r="KI221">
        <v>0</v>
      </c>
      <c r="KJ221">
        <v>0</v>
      </c>
      <c r="KK221">
        <v>0</v>
      </c>
      <c r="KL221">
        <v>0</v>
      </c>
      <c r="KM221">
        <v>0</v>
      </c>
      <c r="KN221">
        <v>0</v>
      </c>
      <c r="KO221">
        <v>0</v>
      </c>
      <c r="KP221">
        <v>0</v>
      </c>
      <c r="KQ221">
        <v>0</v>
      </c>
      <c r="KR221">
        <v>0</v>
      </c>
      <c r="KS221">
        <v>0</v>
      </c>
      <c r="KT221">
        <v>0</v>
      </c>
      <c r="KU221">
        <v>0</v>
      </c>
      <c r="KV221">
        <v>0</v>
      </c>
      <c r="KW221">
        <v>0</v>
      </c>
      <c r="KX221">
        <v>0</v>
      </c>
      <c r="KY221">
        <v>0</v>
      </c>
      <c r="KZ221">
        <v>0</v>
      </c>
      <c r="LA221">
        <v>0</v>
      </c>
      <c r="LB221">
        <v>0</v>
      </c>
      <c r="LC221">
        <v>0</v>
      </c>
      <c r="LD221">
        <v>0</v>
      </c>
      <c r="LE221">
        <v>0</v>
      </c>
      <c r="LF221">
        <v>0</v>
      </c>
      <c r="LG221">
        <v>0</v>
      </c>
      <c r="LH221">
        <v>0</v>
      </c>
      <c r="LI221">
        <v>0</v>
      </c>
      <c r="LJ221">
        <v>0</v>
      </c>
      <c r="LK221">
        <v>0</v>
      </c>
      <c r="LL221">
        <v>0</v>
      </c>
      <c r="LM221">
        <v>0</v>
      </c>
      <c r="LN221">
        <v>0</v>
      </c>
      <c r="LO221">
        <v>0</v>
      </c>
      <c r="LP221">
        <v>0</v>
      </c>
      <c r="LQ221">
        <v>0</v>
      </c>
      <c r="LR221">
        <v>0</v>
      </c>
      <c r="LS221">
        <v>0</v>
      </c>
      <c r="LT221">
        <v>0</v>
      </c>
      <c r="LU221">
        <v>0</v>
      </c>
      <c r="LV221">
        <v>0</v>
      </c>
      <c r="LW221">
        <v>0</v>
      </c>
      <c r="LX221">
        <v>0</v>
      </c>
      <c r="LY221">
        <v>0</v>
      </c>
      <c r="LZ221">
        <v>0</v>
      </c>
      <c r="MA221">
        <v>0</v>
      </c>
      <c r="MB221">
        <v>0</v>
      </c>
      <c r="MC221">
        <v>0</v>
      </c>
      <c r="MD221">
        <v>0</v>
      </c>
      <c r="ME221">
        <v>0</v>
      </c>
      <c r="MF221">
        <v>0</v>
      </c>
      <c r="MG221">
        <v>0</v>
      </c>
      <c r="MH221">
        <v>0</v>
      </c>
      <c r="MI221">
        <v>0</v>
      </c>
      <c r="MJ221">
        <v>0</v>
      </c>
      <c r="MK221">
        <v>0</v>
      </c>
      <c r="ML221">
        <v>0</v>
      </c>
      <c r="MM221">
        <v>0</v>
      </c>
      <c r="MN221">
        <v>0</v>
      </c>
      <c r="MO221">
        <v>0</v>
      </c>
      <c r="MP221">
        <v>0</v>
      </c>
      <c r="MQ221">
        <v>0</v>
      </c>
      <c r="MR221">
        <v>0</v>
      </c>
      <c r="MS221">
        <v>0</v>
      </c>
      <c r="MT221">
        <v>0</v>
      </c>
      <c r="MU221">
        <v>0</v>
      </c>
      <c r="MV221">
        <v>0</v>
      </c>
      <c r="MW221">
        <v>0</v>
      </c>
      <c r="MX221">
        <v>0</v>
      </c>
      <c r="MY221">
        <v>0</v>
      </c>
      <c r="MZ221">
        <v>0</v>
      </c>
      <c r="NA221">
        <v>0</v>
      </c>
      <c r="NB221">
        <v>0</v>
      </c>
      <c r="NC221">
        <v>0</v>
      </c>
      <c r="ND221">
        <v>0</v>
      </c>
      <c r="NE221">
        <v>0</v>
      </c>
    </row>
    <row r="222" spans="41:369" x14ac:dyDescent="0.45">
      <c r="AO222" t="str">
        <v>C178</v>
      </c>
      <c r="AP222" t="str">
        <v>MUHAMMED ZAYAN N.S</v>
      </c>
      <c r="AQ222" t="str">
        <v>JARF</v>
      </c>
      <c r="AR222" t="str">
        <v>SENIOR</v>
      </c>
      <c r="AS222">
        <v>7</v>
      </c>
      <c r="AT222">
        <v>8</v>
      </c>
      <c r="AU222">
        <v>0</v>
      </c>
      <c r="AV222">
        <v>8</v>
      </c>
      <c r="AW222">
        <v>8</v>
      </c>
      <c r="AX222">
        <v>147</v>
      </c>
      <c r="AY222" s="5">
        <v>147</v>
      </c>
      <c r="AZ222">
        <v>0</v>
      </c>
      <c r="BA222">
        <v>0</v>
      </c>
      <c r="BB222">
        <v>0</v>
      </c>
      <c r="BC222">
        <v>0</v>
      </c>
      <c r="BD222">
        <v>0</v>
      </c>
      <c r="BE222">
        <v>0</v>
      </c>
      <c r="BF222">
        <v>0</v>
      </c>
      <c r="BG222">
        <v>0</v>
      </c>
      <c r="BH222">
        <v>0</v>
      </c>
      <c r="BI222" t="str">
        <v/>
      </c>
      <c r="BK222">
        <v>216</v>
      </c>
      <c r="BL222">
        <v>0</v>
      </c>
      <c r="BM222">
        <v>0</v>
      </c>
      <c r="BN222">
        <v>0</v>
      </c>
      <c r="BO222">
        <v>0</v>
      </c>
      <c r="BP222">
        <v>0</v>
      </c>
      <c r="BQ222">
        <v>0</v>
      </c>
      <c r="BR222">
        <v>0</v>
      </c>
      <c r="BS222">
        <v>0</v>
      </c>
      <c r="BT222">
        <v>0</v>
      </c>
      <c r="BU222">
        <v>0</v>
      </c>
      <c r="BV222">
        <v>0</v>
      </c>
      <c r="BW222">
        <v>0</v>
      </c>
      <c r="BX222">
        <v>0</v>
      </c>
      <c r="BY222">
        <v>0</v>
      </c>
      <c r="BZ222">
        <v>0</v>
      </c>
      <c r="CA222">
        <v>0</v>
      </c>
      <c r="CB222">
        <v>0</v>
      </c>
      <c r="CC222">
        <v>0</v>
      </c>
      <c r="CD222">
        <v>0</v>
      </c>
      <c r="CE222">
        <v>0</v>
      </c>
      <c r="CF222">
        <v>0</v>
      </c>
      <c r="CG222">
        <v>0</v>
      </c>
      <c r="CH222">
        <v>0</v>
      </c>
      <c r="CI222">
        <v>0</v>
      </c>
      <c r="CJ222">
        <v>0</v>
      </c>
      <c r="CK222">
        <v>0</v>
      </c>
      <c r="CL222">
        <v>0</v>
      </c>
      <c r="CM222">
        <v>0</v>
      </c>
      <c r="CN222">
        <v>0</v>
      </c>
      <c r="CO222">
        <v>0</v>
      </c>
      <c r="CP222">
        <v>0</v>
      </c>
      <c r="CQ222">
        <v>0</v>
      </c>
      <c r="CR222">
        <v>0</v>
      </c>
      <c r="CS222">
        <v>0</v>
      </c>
      <c r="CT222">
        <v>0</v>
      </c>
      <c r="CU222">
        <v>0</v>
      </c>
      <c r="CV222">
        <v>0</v>
      </c>
      <c r="CW222">
        <v>0</v>
      </c>
      <c r="CX222">
        <v>0</v>
      </c>
      <c r="CY222">
        <v>0</v>
      </c>
      <c r="CZ222">
        <v>0</v>
      </c>
      <c r="DA222">
        <v>0</v>
      </c>
      <c r="DB222">
        <v>0</v>
      </c>
      <c r="DC222">
        <v>0</v>
      </c>
      <c r="DD222">
        <v>0</v>
      </c>
      <c r="DE222">
        <v>0</v>
      </c>
      <c r="DF222">
        <v>0</v>
      </c>
      <c r="DG222">
        <v>0</v>
      </c>
      <c r="DH222">
        <v>0</v>
      </c>
      <c r="DI222">
        <v>0</v>
      </c>
      <c r="DJ222">
        <v>0</v>
      </c>
      <c r="DK222">
        <v>0</v>
      </c>
      <c r="DL222">
        <v>0</v>
      </c>
      <c r="DM222">
        <v>0</v>
      </c>
      <c r="DN222">
        <v>0</v>
      </c>
      <c r="DO222">
        <v>0</v>
      </c>
      <c r="DP222">
        <v>0</v>
      </c>
      <c r="DQ222">
        <v>0</v>
      </c>
      <c r="DR222">
        <v>0</v>
      </c>
      <c r="DS222">
        <v>0</v>
      </c>
      <c r="DT222">
        <v>0</v>
      </c>
      <c r="DU222">
        <v>0</v>
      </c>
      <c r="DV222">
        <v>0</v>
      </c>
      <c r="DW222">
        <v>0</v>
      </c>
      <c r="DX222">
        <v>0</v>
      </c>
      <c r="DY222">
        <v>0</v>
      </c>
      <c r="DZ222">
        <v>0</v>
      </c>
      <c r="EA222">
        <v>0</v>
      </c>
      <c r="EB222">
        <v>0</v>
      </c>
      <c r="EC222">
        <v>0</v>
      </c>
      <c r="ED222">
        <v>0</v>
      </c>
      <c r="EE222">
        <v>0</v>
      </c>
      <c r="EF222">
        <v>0</v>
      </c>
      <c r="EG222">
        <v>0</v>
      </c>
      <c r="EH222">
        <v>0</v>
      </c>
      <c r="EI222">
        <v>0</v>
      </c>
      <c r="EJ222">
        <v>0</v>
      </c>
      <c r="EK222">
        <v>0</v>
      </c>
      <c r="EL222">
        <v>0</v>
      </c>
      <c r="EM222">
        <v>0</v>
      </c>
      <c r="EN222">
        <v>0</v>
      </c>
      <c r="EO222">
        <v>0</v>
      </c>
      <c r="EP222">
        <v>0</v>
      </c>
      <c r="EQ222">
        <v>0</v>
      </c>
      <c r="ER222">
        <v>0</v>
      </c>
      <c r="ES222">
        <v>0</v>
      </c>
      <c r="ET222">
        <v>0</v>
      </c>
      <c r="EU222">
        <v>0</v>
      </c>
      <c r="EV222">
        <v>0</v>
      </c>
      <c r="EW222">
        <v>0</v>
      </c>
      <c r="EX222">
        <v>0</v>
      </c>
      <c r="EY222">
        <v>0</v>
      </c>
      <c r="EZ222">
        <v>0</v>
      </c>
      <c r="FA222">
        <v>0</v>
      </c>
      <c r="FB222">
        <v>0</v>
      </c>
      <c r="FC222">
        <v>0</v>
      </c>
      <c r="FD222">
        <v>0</v>
      </c>
      <c r="FE222">
        <v>0</v>
      </c>
      <c r="FF222">
        <v>0</v>
      </c>
      <c r="FG222">
        <v>0</v>
      </c>
      <c r="FH222">
        <v>0</v>
      </c>
      <c r="FI222">
        <v>0</v>
      </c>
      <c r="FJ222">
        <v>0</v>
      </c>
      <c r="FK222">
        <v>0</v>
      </c>
      <c r="FL222">
        <v>0</v>
      </c>
      <c r="FM222">
        <v>0</v>
      </c>
      <c r="FN222">
        <v>0</v>
      </c>
      <c r="FO222">
        <v>0</v>
      </c>
      <c r="FP222">
        <v>0</v>
      </c>
      <c r="FQ222">
        <v>0</v>
      </c>
      <c r="FR222">
        <v>0</v>
      </c>
      <c r="FS222">
        <v>0</v>
      </c>
      <c r="FT222">
        <v>0</v>
      </c>
      <c r="FU222">
        <v>0</v>
      </c>
      <c r="FV222">
        <v>0</v>
      </c>
      <c r="FW222">
        <v>0</v>
      </c>
      <c r="FX222">
        <v>0</v>
      </c>
      <c r="FY222">
        <v>0</v>
      </c>
      <c r="FZ222">
        <v>0</v>
      </c>
      <c r="GA222">
        <v>0</v>
      </c>
      <c r="GB222">
        <v>0</v>
      </c>
      <c r="GC222">
        <v>0</v>
      </c>
      <c r="GD222">
        <v>0</v>
      </c>
      <c r="GE222">
        <v>0</v>
      </c>
      <c r="GF222">
        <v>0</v>
      </c>
      <c r="GG222">
        <v>0</v>
      </c>
      <c r="GH222">
        <v>0</v>
      </c>
      <c r="GI222">
        <v>0</v>
      </c>
      <c r="GJ222">
        <v>0</v>
      </c>
      <c r="GK222">
        <v>0</v>
      </c>
      <c r="GL222">
        <v>0</v>
      </c>
      <c r="GM222">
        <v>0</v>
      </c>
      <c r="GN222">
        <v>0</v>
      </c>
      <c r="GO222">
        <v>0</v>
      </c>
      <c r="GP222">
        <v>0</v>
      </c>
      <c r="GQ222">
        <v>0</v>
      </c>
      <c r="GR222">
        <v>0</v>
      </c>
      <c r="GS222">
        <v>0</v>
      </c>
      <c r="GT222">
        <v>0</v>
      </c>
      <c r="GU222">
        <v>0</v>
      </c>
      <c r="GV222">
        <v>0</v>
      </c>
      <c r="GW222">
        <v>0</v>
      </c>
      <c r="GX222">
        <v>0</v>
      </c>
      <c r="GY222">
        <v>0</v>
      </c>
      <c r="GZ222">
        <v>0</v>
      </c>
      <c r="HA222">
        <v>0</v>
      </c>
      <c r="HB222">
        <v>0</v>
      </c>
      <c r="HC222">
        <v>0</v>
      </c>
      <c r="HD222">
        <v>0</v>
      </c>
      <c r="HE222">
        <v>0</v>
      </c>
      <c r="HF222">
        <v>0</v>
      </c>
      <c r="HG222">
        <v>0</v>
      </c>
      <c r="HH222">
        <v>0</v>
      </c>
      <c r="HI222">
        <v>0</v>
      </c>
      <c r="HJ222">
        <v>0</v>
      </c>
      <c r="HK222">
        <v>0</v>
      </c>
      <c r="HL222">
        <v>0</v>
      </c>
      <c r="HM222">
        <v>0</v>
      </c>
      <c r="HN222">
        <v>0</v>
      </c>
      <c r="HO222">
        <v>0</v>
      </c>
      <c r="HP222">
        <v>0</v>
      </c>
      <c r="HQ222">
        <v>0</v>
      </c>
      <c r="HR222">
        <v>0</v>
      </c>
      <c r="HS222">
        <v>0</v>
      </c>
      <c r="HT222">
        <v>0</v>
      </c>
      <c r="HU222">
        <v>0</v>
      </c>
      <c r="HV222">
        <v>0</v>
      </c>
      <c r="HW222">
        <v>0</v>
      </c>
      <c r="HX222">
        <v>0</v>
      </c>
      <c r="HY222">
        <v>0</v>
      </c>
      <c r="HZ222">
        <v>0</v>
      </c>
      <c r="IA222">
        <v>0</v>
      </c>
      <c r="IB222">
        <v>0</v>
      </c>
      <c r="IC222">
        <v>0</v>
      </c>
      <c r="ID222">
        <v>0</v>
      </c>
      <c r="IE222">
        <v>0</v>
      </c>
      <c r="IF222">
        <v>0</v>
      </c>
      <c r="IG222">
        <v>0</v>
      </c>
      <c r="IH222">
        <v>0</v>
      </c>
      <c r="II222">
        <v>0</v>
      </c>
      <c r="IJ222">
        <v>0</v>
      </c>
      <c r="IK222">
        <v>0</v>
      </c>
      <c r="IL222">
        <v>0</v>
      </c>
      <c r="IM222">
        <v>0</v>
      </c>
      <c r="IN222">
        <v>0</v>
      </c>
      <c r="IO222">
        <v>0</v>
      </c>
      <c r="IP222">
        <v>0</v>
      </c>
      <c r="IQ222">
        <v>0</v>
      </c>
      <c r="IR222">
        <v>0</v>
      </c>
      <c r="IS222">
        <v>0</v>
      </c>
      <c r="IT222">
        <v>0</v>
      </c>
      <c r="IU222">
        <v>0</v>
      </c>
      <c r="IV222">
        <v>0</v>
      </c>
      <c r="IW222">
        <v>0</v>
      </c>
      <c r="IX222">
        <v>0</v>
      </c>
      <c r="IY222">
        <v>0</v>
      </c>
      <c r="IZ222">
        <v>0</v>
      </c>
      <c r="JA222">
        <v>0</v>
      </c>
      <c r="JB222">
        <v>0</v>
      </c>
      <c r="JC222">
        <v>0</v>
      </c>
      <c r="JD222">
        <v>0</v>
      </c>
      <c r="JE222">
        <v>0</v>
      </c>
      <c r="JF222">
        <v>0</v>
      </c>
      <c r="JG222">
        <v>0</v>
      </c>
      <c r="JH222">
        <v>0</v>
      </c>
      <c r="JI222">
        <v>0</v>
      </c>
      <c r="JJ222">
        <v>0</v>
      </c>
      <c r="JK222">
        <v>0</v>
      </c>
      <c r="JL222">
        <v>0</v>
      </c>
      <c r="JM222">
        <v>0</v>
      </c>
      <c r="JN222">
        <v>0</v>
      </c>
      <c r="JO222">
        <v>0</v>
      </c>
      <c r="JP222">
        <v>0</v>
      </c>
      <c r="JQ222">
        <v>0</v>
      </c>
      <c r="JR222">
        <v>0</v>
      </c>
      <c r="JS222">
        <v>0</v>
      </c>
      <c r="JT222">
        <v>0</v>
      </c>
      <c r="JU222">
        <v>0</v>
      </c>
      <c r="JV222">
        <v>0</v>
      </c>
      <c r="JW222">
        <v>0</v>
      </c>
      <c r="JX222">
        <v>0</v>
      </c>
      <c r="JY222">
        <v>0</v>
      </c>
      <c r="JZ222">
        <v>0</v>
      </c>
      <c r="KA222">
        <v>0</v>
      </c>
      <c r="KB222">
        <v>0</v>
      </c>
      <c r="KC222">
        <v>0</v>
      </c>
      <c r="KD222">
        <v>0</v>
      </c>
      <c r="KE222">
        <v>0</v>
      </c>
      <c r="KF222">
        <v>0</v>
      </c>
      <c r="KG222">
        <v>0</v>
      </c>
      <c r="KH222">
        <v>0</v>
      </c>
      <c r="KI222">
        <v>0</v>
      </c>
      <c r="KJ222">
        <v>0</v>
      </c>
      <c r="KK222">
        <v>0</v>
      </c>
      <c r="KL222">
        <v>0</v>
      </c>
      <c r="KM222">
        <v>0</v>
      </c>
      <c r="KN222">
        <v>0</v>
      </c>
      <c r="KO222">
        <v>0</v>
      </c>
      <c r="KP222">
        <v>0</v>
      </c>
      <c r="KQ222">
        <v>0</v>
      </c>
      <c r="KR222">
        <v>0</v>
      </c>
      <c r="KS222">
        <v>0</v>
      </c>
      <c r="KT222">
        <v>0</v>
      </c>
      <c r="KU222">
        <v>0</v>
      </c>
      <c r="KV222">
        <v>0</v>
      </c>
      <c r="KW222">
        <v>0</v>
      </c>
      <c r="KX222">
        <v>0</v>
      </c>
      <c r="KY222">
        <v>0</v>
      </c>
      <c r="KZ222">
        <v>0</v>
      </c>
      <c r="LA222">
        <v>0</v>
      </c>
      <c r="LB222">
        <v>0</v>
      </c>
      <c r="LC222">
        <v>0</v>
      </c>
      <c r="LD222">
        <v>0</v>
      </c>
      <c r="LE222">
        <v>0</v>
      </c>
      <c r="LF222">
        <v>0</v>
      </c>
      <c r="LG222">
        <v>0</v>
      </c>
      <c r="LH222">
        <v>0</v>
      </c>
      <c r="LI222">
        <v>0</v>
      </c>
      <c r="LJ222">
        <v>0</v>
      </c>
      <c r="LK222">
        <v>0</v>
      </c>
      <c r="LL222">
        <v>0</v>
      </c>
      <c r="LM222">
        <v>0</v>
      </c>
      <c r="LN222">
        <v>0</v>
      </c>
      <c r="LO222">
        <v>0</v>
      </c>
      <c r="LP222">
        <v>0</v>
      </c>
      <c r="LQ222">
        <v>0</v>
      </c>
      <c r="LR222">
        <v>0</v>
      </c>
      <c r="LS222">
        <v>0</v>
      </c>
      <c r="LT222">
        <v>0</v>
      </c>
      <c r="LU222">
        <v>0</v>
      </c>
      <c r="LV222">
        <v>0</v>
      </c>
      <c r="LW222">
        <v>0</v>
      </c>
      <c r="LX222">
        <v>0</v>
      </c>
      <c r="LY222">
        <v>0</v>
      </c>
      <c r="LZ222">
        <v>0</v>
      </c>
      <c r="MA222">
        <v>0</v>
      </c>
      <c r="MB222">
        <v>0</v>
      </c>
      <c r="MC222">
        <v>0</v>
      </c>
      <c r="MD222">
        <v>0</v>
      </c>
      <c r="ME222">
        <v>0</v>
      </c>
      <c r="MF222">
        <v>0</v>
      </c>
      <c r="MG222">
        <v>0</v>
      </c>
      <c r="MH222">
        <v>0</v>
      </c>
      <c r="MI222">
        <v>0</v>
      </c>
      <c r="MJ222">
        <v>0</v>
      </c>
      <c r="MK222">
        <v>0</v>
      </c>
      <c r="ML222">
        <v>0</v>
      </c>
      <c r="MM222">
        <v>0</v>
      </c>
      <c r="MN222">
        <v>0</v>
      </c>
      <c r="MO222">
        <v>0</v>
      </c>
      <c r="MP222">
        <v>0</v>
      </c>
      <c r="MQ222">
        <v>0</v>
      </c>
      <c r="MR222">
        <v>0</v>
      </c>
      <c r="MS222">
        <v>0</v>
      </c>
      <c r="MT222">
        <v>0</v>
      </c>
      <c r="MU222">
        <v>0</v>
      </c>
      <c r="MV222">
        <v>0</v>
      </c>
      <c r="MW222">
        <v>0</v>
      </c>
      <c r="MX222">
        <v>0</v>
      </c>
      <c r="MY222">
        <v>0</v>
      </c>
      <c r="MZ222">
        <v>0</v>
      </c>
      <c r="NA222">
        <v>0</v>
      </c>
      <c r="NB222">
        <v>0</v>
      </c>
      <c r="NC222">
        <v>0</v>
      </c>
      <c r="ND222">
        <v>0</v>
      </c>
      <c r="NE222">
        <v>0</v>
      </c>
    </row>
    <row r="223" spans="41:369" x14ac:dyDescent="0.45">
      <c r="AO223" t="str">
        <v>C179</v>
      </c>
      <c r="AP223" t="str">
        <v>MUHAMMED FARHAN</v>
      </c>
      <c r="AQ223" t="str">
        <v>DAHF</v>
      </c>
      <c r="AR223" t="str">
        <v>SENIOR</v>
      </c>
      <c r="AS223">
        <v>7</v>
      </c>
      <c r="AT223">
        <v>16</v>
      </c>
      <c r="AU223">
        <v>0</v>
      </c>
      <c r="AV223">
        <v>16</v>
      </c>
      <c r="AW223">
        <v>16</v>
      </c>
      <c r="AX223">
        <v>94</v>
      </c>
      <c r="AY223" s="5">
        <v>94</v>
      </c>
      <c r="AZ223">
        <v>0</v>
      </c>
      <c r="BA223">
        <v>0</v>
      </c>
      <c r="BB223">
        <v>0</v>
      </c>
      <c r="BC223">
        <v>0</v>
      </c>
      <c r="BD223">
        <v>0</v>
      </c>
      <c r="BE223">
        <v>0</v>
      </c>
      <c r="BF223">
        <v>0</v>
      </c>
      <c r="BG223">
        <v>0</v>
      </c>
      <c r="BH223">
        <v>0</v>
      </c>
      <c r="BI223" t="str">
        <v/>
      </c>
      <c r="BK223">
        <v>217</v>
      </c>
      <c r="BL223">
        <v>0</v>
      </c>
      <c r="BM223">
        <v>0</v>
      </c>
      <c r="BN223">
        <v>0</v>
      </c>
      <c r="BO223">
        <v>0</v>
      </c>
      <c r="BP223">
        <v>0</v>
      </c>
      <c r="BQ223">
        <v>0</v>
      </c>
      <c r="BR223">
        <v>0</v>
      </c>
      <c r="BS223">
        <v>0</v>
      </c>
      <c r="BT223">
        <v>0</v>
      </c>
      <c r="BU223">
        <v>0</v>
      </c>
      <c r="BV223">
        <v>0</v>
      </c>
      <c r="BW223">
        <v>0</v>
      </c>
      <c r="BX223">
        <v>0</v>
      </c>
      <c r="BY223">
        <v>0</v>
      </c>
      <c r="BZ223">
        <v>0</v>
      </c>
      <c r="CA223">
        <v>0</v>
      </c>
      <c r="CB223">
        <v>0</v>
      </c>
      <c r="CC223">
        <v>0</v>
      </c>
      <c r="CD223">
        <v>0</v>
      </c>
      <c r="CE223">
        <v>0</v>
      </c>
      <c r="CF223">
        <v>0</v>
      </c>
      <c r="CG223">
        <v>0</v>
      </c>
      <c r="CH223">
        <v>0</v>
      </c>
      <c r="CI223">
        <v>0</v>
      </c>
      <c r="CJ223">
        <v>0</v>
      </c>
      <c r="CK223">
        <v>0</v>
      </c>
      <c r="CL223">
        <v>0</v>
      </c>
      <c r="CM223">
        <v>0</v>
      </c>
      <c r="CN223">
        <v>0</v>
      </c>
      <c r="CO223">
        <v>0</v>
      </c>
      <c r="CP223">
        <v>0</v>
      </c>
      <c r="CQ223">
        <v>0</v>
      </c>
      <c r="CR223">
        <v>0</v>
      </c>
      <c r="CS223">
        <v>0</v>
      </c>
      <c r="CT223">
        <v>0</v>
      </c>
      <c r="CU223">
        <v>0</v>
      </c>
      <c r="CV223">
        <v>0</v>
      </c>
      <c r="CW223">
        <v>0</v>
      </c>
      <c r="CX223">
        <v>0</v>
      </c>
      <c r="CY223">
        <v>0</v>
      </c>
      <c r="CZ223">
        <v>0</v>
      </c>
      <c r="DA223">
        <v>0</v>
      </c>
      <c r="DB223">
        <v>0</v>
      </c>
      <c r="DC223">
        <v>0</v>
      </c>
      <c r="DD223">
        <v>0</v>
      </c>
      <c r="DE223">
        <v>0</v>
      </c>
      <c r="DF223">
        <v>0</v>
      </c>
      <c r="DG223">
        <v>0</v>
      </c>
      <c r="DH223">
        <v>0</v>
      </c>
      <c r="DI223">
        <v>0</v>
      </c>
      <c r="DJ223">
        <v>0</v>
      </c>
      <c r="DK223">
        <v>0</v>
      </c>
      <c r="DL223">
        <v>0</v>
      </c>
      <c r="DM223">
        <v>0</v>
      </c>
      <c r="DN223">
        <v>0</v>
      </c>
      <c r="DO223">
        <v>0</v>
      </c>
      <c r="DP223">
        <v>0</v>
      </c>
      <c r="DQ223">
        <v>0</v>
      </c>
      <c r="DR223">
        <v>0</v>
      </c>
      <c r="DS223">
        <v>0</v>
      </c>
      <c r="DT223">
        <v>0</v>
      </c>
      <c r="DU223">
        <v>0</v>
      </c>
      <c r="DV223">
        <v>0</v>
      </c>
      <c r="DW223">
        <v>0</v>
      </c>
      <c r="DX223">
        <v>0</v>
      </c>
      <c r="DY223">
        <v>0</v>
      </c>
      <c r="DZ223">
        <v>0</v>
      </c>
      <c r="EA223">
        <v>0</v>
      </c>
      <c r="EB223">
        <v>0</v>
      </c>
      <c r="EC223">
        <v>0</v>
      </c>
      <c r="ED223">
        <v>0</v>
      </c>
      <c r="EE223">
        <v>0</v>
      </c>
      <c r="EF223">
        <v>0</v>
      </c>
      <c r="EG223">
        <v>0</v>
      </c>
      <c r="EH223">
        <v>0</v>
      </c>
      <c r="EI223">
        <v>0</v>
      </c>
      <c r="EJ223">
        <v>0</v>
      </c>
      <c r="EK223">
        <v>0</v>
      </c>
      <c r="EL223">
        <v>0</v>
      </c>
      <c r="EM223">
        <v>0</v>
      </c>
      <c r="EN223">
        <v>0</v>
      </c>
      <c r="EO223">
        <v>0</v>
      </c>
      <c r="EP223">
        <v>0</v>
      </c>
      <c r="EQ223">
        <v>0</v>
      </c>
      <c r="ER223">
        <v>0</v>
      </c>
      <c r="ES223">
        <v>0</v>
      </c>
      <c r="ET223">
        <v>0</v>
      </c>
      <c r="EU223">
        <v>0</v>
      </c>
      <c r="EV223">
        <v>0</v>
      </c>
      <c r="EW223">
        <v>0</v>
      </c>
      <c r="EX223">
        <v>0</v>
      </c>
      <c r="EY223">
        <v>0</v>
      </c>
      <c r="EZ223">
        <v>0</v>
      </c>
      <c r="FA223">
        <v>0</v>
      </c>
      <c r="FB223">
        <v>0</v>
      </c>
      <c r="FC223">
        <v>0</v>
      </c>
      <c r="FD223">
        <v>0</v>
      </c>
      <c r="FE223">
        <v>0</v>
      </c>
      <c r="FF223">
        <v>0</v>
      </c>
      <c r="FG223">
        <v>0</v>
      </c>
      <c r="FH223">
        <v>0</v>
      </c>
      <c r="FI223">
        <v>0</v>
      </c>
      <c r="FJ223">
        <v>0</v>
      </c>
      <c r="FK223">
        <v>0</v>
      </c>
      <c r="FL223">
        <v>0</v>
      </c>
      <c r="FM223">
        <v>0</v>
      </c>
      <c r="FN223">
        <v>0</v>
      </c>
      <c r="FO223">
        <v>0</v>
      </c>
      <c r="FP223">
        <v>0</v>
      </c>
      <c r="FQ223">
        <v>0</v>
      </c>
      <c r="FR223">
        <v>0</v>
      </c>
      <c r="FS223">
        <v>0</v>
      </c>
      <c r="FT223">
        <v>0</v>
      </c>
      <c r="FU223">
        <v>0</v>
      </c>
      <c r="FV223">
        <v>0</v>
      </c>
      <c r="FW223">
        <v>0</v>
      </c>
      <c r="FX223">
        <v>0</v>
      </c>
      <c r="FY223">
        <v>0</v>
      </c>
      <c r="FZ223">
        <v>0</v>
      </c>
      <c r="GA223">
        <v>0</v>
      </c>
      <c r="GB223">
        <v>0</v>
      </c>
      <c r="GC223">
        <v>0</v>
      </c>
      <c r="GD223">
        <v>0</v>
      </c>
      <c r="GE223">
        <v>0</v>
      </c>
      <c r="GF223">
        <v>0</v>
      </c>
      <c r="GG223">
        <v>0</v>
      </c>
      <c r="GH223">
        <v>0</v>
      </c>
      <c r="GI223">
        <v>0</v>
      </c>
      <c r="GJ223">
        <v>0</v>
      </c>
      <c r="GK223">
        <v>0</v>
      </c>
      <c r="GL223">
        <v>0</v>
      </c>
      <c r="GM223">
        <v>0</v>
      </c>
      <c r="GN223">
        <v>0</v>
      </c>
      <c r="GO223">
        <v>0</v>
      </c>
      <c r="GP223">
        <v>0</v>
      </c>
      <c r="GQ223">
        <v>0</v>
      </c>
      <c r="GR223">
        <v>0</v>
      </c>
      <c r="GS223">
        <v>0</v>
      </c>
      <c r="GT223">
        <v>0</v>
      </c>
      <c r="GU223">
        <v>0</v>
      </c>
      <c r="GV223">
        <v>0</v>
      </c>
      <c r="GW223">
        <v>0</v>
      </c>
      <c r="GX223">
        <v>0</v>
      </c>
      <c r="GY223">
        <v>0</v>
      </c>
      <c r="GZ223">
        <v>0</v>
      </c>
      <c r="HA223">
        <v>0</v>
      </c>
      <c r="HB223">
        <v>0</v>
      </c>
      <c r="HC223">
        <v>0</v>
      </c>
      <c r="HD223">
        <v>0</v>
      </c>
      <c r="HE223">
        <v>0</v>
      </c>
      <c r="HF223">
        <v>0</v>
      </c>
      <c r="HG223">
        <v>0</v>
      </c>
      <c r="HH223">
        <v>0</v>
      </c>
      <c r="HI223">
        <v>0</v>
      </c>
      <c r="HJ223">
        <v>0</v>
      </c>
      <c r="HK223">
        <v>0</v>
      </c>
      <c r="HL223">
        <v>0</v>
      </c>
      <c r="HM223">
        <v>0</v>
      </c>
      <c r="HN223">
        <v>0</v>
      </c>
      <c r="HO223">
        <v>0</v>
      </c>
      <c r="HP223">
        <v>0</v>
      </c>
      <c r="HQ223">
        <v>0</v>
      </c>
      <c r="HR223">
        <v>0</v>
      </c>
      <c r="HS223">
        <v>0</v>
      </c>
      <c r="HT223">
        <v>0</v>
      </c>
      <c r="HU223">
        <v>0</v>
      </c>
      <c r="HV223">
        <v>0</v>
      </c>
      <c r="HW223">
        <v>0</v>
      </c>
      <c r="HX223">
        <v>0</v>
      </c>
      <c r="HY223">
        <v>0</v>
      </c>
      <c r="HZ223">
        <v>0</v>
      </c>
      <c r="IA223">
        <v>0</v>
      </c>
      <c r="IB223">
        <v>0</v>
      </c>
      <c r="IC223">
        <v>0</v>
      </c>
      <c r="ID223">
        <v>0</v>
      </c>
      <c r="IE223">
        <v>0</v>
      </c>
      <c r="IF223">
        <v>0</v>
      </c>
      <c r="IG223">
        <v>0</v>
      </c>
      <c r="IH223">
        <v>0</v>
      </c>
      <c r="II223">
        <v>0</v>
      </c>
      <c r="IJ223">
        <v>0</v>
      </c>
      <c r="IK223">
        <v>0</v>
      </c>
      <c r="IL223">
        <v>0</v>
      </c>
      <c r="IM223">
        <v>0</v>
      </c>
      <c r="IN223">
        <v>0</v>
      </c>
      <c r="IO223">
        <v>0</v>
      </c>
      <c r="IP223">
        <v>0</v>
      </c>
      <c r="IQ223">
        <v>0</v>
      </c>
      <c r="IR223">
        <v>0</v>
      </c>
      <c r="IS223">
        <v>0</v>
      </c>
      <c r="IT223">
        <v>0</v>
      </c>
      <c r="IU223">
        <v>0</v>
      </c>
      <c r="IV223">
        <v>0</v>
      </c>
      <c r="IW223">
        <v>0</v>
      </c>
      <c r="IX223">
        <v>0</v>
      </c>
      <c r="IY223">
        <v>0</v>
      </c>
      <c r="IZ223">
        <v>0</v>
      </c>
      <c r="JA223">
        <v>0</v>
      </c>
      <c r="JB223">
        <v>0</v>
      </c>
      <c r="JC223">
        <v>0</v>
      </c>
      <c r="JD223">
        <v>0</v>
      </c>
      <c r="JE223">
        <v>0</v>
      </c>
      <c r="JF223">
        <v>0</v>
      </c>
      <c r="JG223">
        <v>0</v>
      </c>
      <c r="JH223">
        <v>0</v>
      </c>
      <c r="JI223">
        <v>0</v>
      </c>
      <c r="JJ223">
        <v>0</v>
      </c>
      <c r="JK223">
        <v>0</v>
      </c>
      <c r="JL223">
        <v>0</v>
      </c>
      <c r="JM223">
        <v>0</v>
      </c>
      <c r="JN223">
        <v>0</v>
      </c>
      <c r="JO223">
        <v>0</v>
      </c>
      <c r="JP223">
        <v>0</v>
      </c>
      <c r="JQ223">
        <v>0</v>
      </c>
      <c r="JR223">
        <v>0</v>
      </c>
      <c r="JS223">
        <v>0</v>
      </c>
      <c r="JT223">
        <v>0</v>
      </c>
      <c r="JU223">
        <v>0</v>
      </c>
      <c r="JV223">
        <v>0</v>
      </c>
      <c r="JW223">
        <v>0</v>
      </c>
      <c r="JX223">
        <v>0</v>
      </c>
      <c r="JY223">
        <v>0</v>
      </c>
      <c r="JZ223">
        <v>0</v>
      </c>
      <c r="KA223">
        <v>0</v>
      </c>
      <c r="KB223">
        <v>0</v>
      </c>
      <c r="KC223">
        <v>0</v>
      </c>
      <c r="KD223">
        <v>0</v>
      </c>
      <c r="KE223">
        <v>0</v>
      </c>
      <c r="KF223">
        <v>0</v>
      </c>
      <c r="KG223">
        <v>0</v>
      </c>
      <c r="KH223">
        <v>0</v>
      </c>
      <c r="KI223">
        <v>0</v>
      </c>
      <c r="KJ223">
        <v>0</v>
      </c>
      <c r="KK223">
        <v>0</v>
      </c>
      <c r="KL223">
        <v>0</v>
      </c>
      <c r="KM223">
        <v>0</v>
      </c>
      <c r="KN223">
        <v>0</v>
      </c>
      <c r="KO223">
        <v>0</v>
      </c>
      <c r="KP223">
        <v>0</v>
      </c>
      <c r="KQ223">
        <v>0</v>
      </c>
      <c r="KR223">
        <v>0</v>
      </c>
      <c r="KS223">
        <v>0</v>
      </c>
      <c r="KT223">
        <v>0</v>
      </c>
      <c r="KU223">
        <v>0</v>
      </c>
      <c r="KV223">
        <v>0</v>
      </c>
      <c r="KW223">
        <v>0</v>
      </c>
      <c r="KX223">
        <v>0</v>
      </c>
      <c r="KY223">
        <v>0</v>
      </c>
      <c r="KZ223">
        <v>0</v>
      </c>
      <c r="LA223">
        <v>0</v>
      </c>
      <c r="LB223">
        <v>0</v>
      </c>
      <c r="LC223">
        <v>0</v>
      </c>
      <c r="LD223">
        <v>0</v>
      </c>
      <c r="LE223">
        <v>0</v>
      </c>
      <c r="LF223">
        <v>0</v>
      </c>
      <c r="LG223">
        <v>0</v>
      </c>
      <c r="LH223">
        <v>0</v>
      </c>
      <c r="LI223">
        <v>0</v>
      </c>
      <c r="LJ223">
        <v>0</v>
      </c>
      <c r="LK223">
        <v>0</v>
      </c>
      <c r="LL223">
        <v>0</v>
      </c>
      <c r="LM223">
        <v>0</v>
      </c>
      <c r="LN223">
        <v>0</v>
      </c>
      <c r="LO223">
        <v>0</v>
      </c>
      <c r="LP223">
        <v>0</v>
      </c>
      <c r="LQ223">
        <v>0</v>
      </c>
      <c r="LR223">
        <v>0</v>
      </c>
      <c r="LS223">
        <v>0</v>
      </c>
      <c r="LT223">
        <v>0</v>
      </c>
      <c r="LU223">
        <v>0</v>
      </c>
      <c r="LV223">
        <v>0</v>
      </c>
      <c r="LW223">
        <v>0</v>
      </c>
      <c r="LX223">
        <v>0</v>
      </c>
      <c r="LY223">
        <v>0</v>
      </c>
      <c r="LZ223">
        <v>0</v>
      </c>
      <c r="MA223">
        <v>0</v>
      </c>
      <c r="MB223">
        <v>0</v>
      </c>
      <c r="MC223">
        <v>0</v>
      </c>
      <c r="MD223">
        <v>0</v>
      </c>
      <c r="ME223">
        <v>0</v>
      </c>
      <c r="MF223">
        <v>0</v>
      </c>
      <c r="MG223">
        <v>0</v>
      </c>
      <c r="MH223">
        <v>0</v>
      </c>
      <c r="MI223">
        <v>0</v>
      </c>
      <c r="MJ223">
        <v>0</v>
      </c>
      <c r="MK223">
        <v>0</v>
      </c>
      <c r="ML223">
        <v>0</v>
      </c>
      <c r="MM223">
        <v>0</v>
      </c>
      <c r="MN223">
        <v>0</v>
      </c>
      <c r="MO223">
        <v>0</v>
      </c>
      <c r="MP223">
        <v>0</v>
      </c>
      <c r="MQ223">
        <v>0</v>
      </c>
      <c r="MR223">
        <v>0</v>
      </c>
      <c r="MS223">
        <v>0</v>
      </c>
      <c r="MT223">
        <v>0</v>
      </c>
      <c r="MU223">
        <v>0</v>
      </c>
      <c r="MV223">
        <v>0</v>
      </c>
      <c r="MW223">
        <v>0</v>
      </c>
      <c r="MX223">
        <v>0</v>
      </c>
      <c r="MY223">
        <v>0</v>
      </c>
      <c r="MZ223">
        <v>0</v>
      </c>
      <c r="NA223">
        <v>0</v>
      </c>
      <c r="NB223">
        <v>0</v>
      </c>
      <c r="NC223">
        <v>0</v>
      </c>
      <c r="ND223">
        <v>0</v>
      </c>
      <c r="NE223">
        <v>0</v>
      </c>
    </row>
    <row r="224" spans="41:369" x14ac:dyDescent="0.45">
      <c r="AO224" t="str">
        <v>D100</v>
      </c>
      <c r="AP224" t="str">
        <v>MOHAMMED RAZI</v>
      </c>
      <c r="AQ224" t="str">
        <v>JARF</v>
      </c>
      <c r="AR224" t="str">
        <v>SUPER SENIOR</v>
      </c>
      <c r="AS224">
        <v>8</v>
      </c>
      <c r="AT224">
        <v>4</v>
      </c>
      <c r="AU224">
        <v>0</v>
      </c>
      <c r="AV224">
        <v>4</v>
      </c>
      <c r="AW224">
        <v>4</v>
      </c>
      <c r="AX224">
        <v>197</v>
      </c>
      <c r="AY224" s="5">
        <v>197</v>
      </c>
      <c r="AZ224">
        <v>0</v>
      </c>
      <c r="BA224">
        <v>0</v>
      </c>
      <c r="BB224">
        <v>0</v>
      </c>
      <c r="BC224">
        <v>0</v>
      </c>
      <c r="BD224">
        <v>0</v>
      </c>
      <c r="BE224">
        <v>0</v>
      </c>
      <c r="BF224">
        <v>0</v>
      </c>
      <c r="BG224">
        <v>0</v>
      </c>
      <c r="BH224">
        <v>0</v>
      </c>
      <c r="BI224" t="str">
        <v/>
      </c>
      <c r="BK224">
        <v>218</v>
      </c>
      <c r="BL224">
        <v>0</v>
      </c>
      <c r="BM224">
        <v>0</v>
      </c>
      <c r="BN224">
        <v>0</v>
      </c>
      <c r="BO224">
        <v>0</v>
      </c>
      <c r="BP224">
        <v>0</v>
      </c>
      <c r="BQ224">
        <v>0</v>
      </c>
      <c r="BR224">
        <v>0</v>
      </c>
      <c r="BS224">
        <v>0</v>
      </c>
      <c r="BT224">
        <v>0</v>
      </c>
      <c r="BU224">
        <v>0</v>
      </c>
      <c r="BV224">
        <v>0</v>
      </c>
      <c r="BW224">
        <v>0</v>
      </c>
      <c r="BX224">
        <v>0</v>
      </c>
      <c r="BY224">
        <v>0</v>
      </c>
      <c r="BZ224">
        <v>0</v>
      </c>
      <c r="CA224">
        <v>0</v>
      </c>
      <c r="CB224">
        <v>0</v>
      </c>
      <c r="CC224">
        <v>0</v>
      </c>
      <c r="CD224">
        <v>0</v>
      </c>
      <c r="CE224">
        <v>0</v>
      </c>
      <c r="CF224">
        <v>0</v>
      </c>
      <c r="CG224">
        <v>0</v>
      </c>
      <c r="CH224">
        <v>0</v>
      </c>
      <c r="CI224">
        <v>0</v>
      </c>
      <c r="CJ224">
        <v>0</v>
      </c>
      <c r="CK224">
        <v>0</v>
      </c>
      <c r="CL224">
        <v>0</v>
      </c>
      <c r="CM224">
        <v>0</v>
      </c>
      <c r="CN224">
        <v>0</v>
      </c>
      <c r="CO224">
        <v>0</v>
      </c>
      <c r="CP224">
        <v>0</v>
      </c>
      <c r="CQ224">
        <v>0</v>
      </c>
      <c r="CR224">
        <v>0</v>
      </c>
      <c r="CS224">
        <v>0</v>
      </c>
      <c r="CT224">
        <v>0</v>
      </c>
      <c r="CU224">
        <v>0</v>
      </c>
      <c r="CV224">
        <v>0</v>
      </c>
      <c r="CW224">
        <v>0</v>
      </c>
      <c r="CX224">
        <v>0</v>
      </c>
      <c r="CY224">
        <v>0</v>
      </c>
      <c r="CZ224">
        <v>0</v>
      </c>
      <c r="DA224">
        <v>0</v>
      </c>
      <c r="DB224">
        <v>0</v>
      </c>
      <c r="DC224">
        <v>0</v>
      </c>
      <c r="DD224">
        <v>0</v>
      </c>
      <c r="DE224">
        <v>0</v>
      </c>
      <c r="DF224">
        <v>0</v>
      </c>
      <c r="DG224">
        <v>0</v>
      </c>
      <c r="DH224">
        <v>0</v>
      </c>
      <c r="DI224">
        <v>0</v>
      </c>
      <c r="DJ224">
        <v>0</v>
      </c>
      <c r="DK224">
        <v>0</v>
      </c>
      <c r="DL224">
        <v>0</v>
      </c>
      <c r="DM224">
        <v>0</v>
      </c>
      <c r="DN224">
        <v>0</v>
      </c>
      <c r="DO224">
        <v>0</v>
      </c>
      <c r="DP224">
        <v>0</v>
      </c>
      <c r="DQ224">
        <v>0</v>
      </c>
      <c r="DR224">
        <v>0</v>
      </c>
      <c r="DS224">
        <v>0</v>
      </c>
      <c r="DT224">
        <v>0</v>
      </c>
      <c r="DU224">
        <v>0</v>
      </c>
      <c r="DV224">
        <v>0</v>
      </c>
      <c r="DW224">
        <v>0</v>
      </c>
      <c r="DX224">
        <v>0</v>
      </c>
      <c r="DY224">
        <v>0</v>
      </c>
      <c r="DZ224">
        <v>0</v>
      </c>
      <c r="EA224">
        <v>0</v>
      </c>
      <c r="EB224">
        <v>0</v>
      </c>
      <c r="EC224">
        <v>0</v>
      </c>
      <c r="ED224">
        <v>0</v>
      </c>
      <c r="EE224">
        <v>0</v>
      </c>
      <c r="EF224">
        <v>0</v>
      </c>
      <c r="EG224">
        <v>0</v>
      </c>
      <c r="EH224">
        <v>0</v>
      </c>
      <c r="EI224">
        <v>0</v>
      </c>
      <c r="EJ224">
        <v>0</v>
      </c>
      <c r="EK224">
        <v>0</v>
      </c>
      <c r="EL224">
        <v>0</v>
      </c>
      <c r="EM224">
        <v>0</v>
      </c>
      <c r="EN224">
        <v>0</v>
      </c>
      <c r="EO224">
        <v>0</v>
      </c>
      <c r="EP224">
        <v>0</v>
      </c>
      <c r="EQ224">
        <v>0</v>
      </c>
      <c r="ER224">
        <v>0</v>
      </c>
      <c r="ES224">
        <v>0</v>
      </c>
      <c r="ET224">
        <v>0</v>
      </c>
      <c r="EU224">
        <v>0</v>
      </c>
      <c r="EV224">
        <v>0</v>
      </c>
      <c r="EW224">
        <v>0</v>
      </c>
      <c r="EX224">
        <v>0</v>
      </c>
      <c r="EY224">
        <v>0</v>
      </c>
      <c r="EZ224">
        <v>0</v>
      </c>
      <c r="FA224">
        <v>0</v>
      </c>
      <c r="FB224">
        <v>0</v>
      </c>
      <c r="FC224">
        <v>0</v>
      </c>
      <c r="FD224">
        <v>0</v>
      </c>
      <c r="FE224">
        <v>0</v>
      </c>
      <c r="FF224">
        <v>0</v>
      </c>
      <c r="FG224">
        <v>0</v>
      </c>
      <c r="FH224">
        <v>0</v>
      </c>
      <c r="FI224">
        <v>0</v>
      </c>
      <c r="FJ224">
        <v>0</v>
      </c>
      <c r="FK224">
        <v>0</v>
      </c>
      <c r="FL224">
        <v>0</v>
      </c>
      <c r="FM224">
        <v>0</v>
      </c>
      <c r="FN224">
        <v>0</v>
      </c>
      <c r="FO224">
        <v>0</v>
      </c>
      <c r="FP224">
        <v>0</v>
      </c>
      <c r="FQ224">
        <v>0</v>
      </c>
      <c r="FR224">
        <v>0</v>
      </c>
      <c r="FS224">
        <v>0</v>
      </c>
      <c r="FT224">
        <v>0</v>
      </c>
      <c r="FU224">
        <v>0</v>
      </c>
      <c r="FV224">
        <v>0</v>
      </c>
      <c r="FW224">
        <v>0</v>
      </c>
      <c r="FX224">
        <v>0</v>
      </c>
      <c r="FY224">
        <v>0</v>
      </c>
      <c r="FZ224">
        <v>0</v>
      </c>
      <c r="GA224">
        <v>0</v>
      </c>
      <c r="GB224">
        <v>0</v>
      </c>
      <c r="GC224">
        <v>0</v>
      </c>
      <c r="GD224">
        <v>0</v>
      </c>
      <c r="GE224">
        <v>0</v>
      </c>
      <c r="GF224">
        <v>0</v>
      </c>
      <c r="GG224">
        <v>0</v>
      </c>
      <c r="GH224">
        <v>0</v>
      </c>
      <c r="GI224">
        <v>0</v>
      </c>
      <c r="GJ224">
        <v>0</v>
      </c>
      <c r="GK224">
        <v>0</v>
      </c>
      <c r="GL224">
        <v>0</v>
      </c>
      <c r="GM224">
        <v>0</v>
      </c>
      <c r="GN224">
        <v>0</v>
      </c>
      <c r="GO224">
        <v>0</v>
      </c>
      <c r="GP224">
        <v>0</v>
      </c>
      <c r="GQ224">
        <v>0</v>
      </c>
      <c r="GR224">
        <v>0</v>
      </c>
      <c r="GS224">
        <v>0</v>
      </c>
      <c r="GT224">
        <v>0</v>
      </c>
      <c r="GU224">
        <v>0</v>
      </c>
      <c r="GV224">
        <v>0</v>
      </c>
      <c r="GW224">
        <v>0</v>
      </c>
      <c r="GX224">
        <v>0</v>
      </c>
      <c r="GY224">
        <v>0</v>
      </c>
      <c r="GZ224">
        <v>0</v>
      </c>
      <c r="HA224">
        <v>0</v>
      </c>
      <c r="HB224">
        <v>0</v>
      </c>
      <c r="HC224">
        <v>0</v>
      </c>
      <c r="HD224">
        <v>0</v>
      </c>
      <c r="HE224">
        <v>0</v>
      </c>
      <c r="HF224">
        <v>0</v>
      </c>
      <c r="HG224">
        <v>0</v>
      </c>
      <c r="HH224">
        <v>0</v>
      </c>
      <c r="HI224">
        <v>0</v>
      </c>
      <c r="HJ224">
        <v>0</v>
      </c>
      <c r="HK224">
        <v>0</v>
      </c>
      <c r="HL224">
        <v>0</v>
      </c>
      <c r="HM224">
        <v>0</v>
      </c>
      <c r="HN224">
        <v>0</v>
      </c>
      <c r="HO224">
        <v>0</v>
      </c>
      <c r="HP224">
        <v>0</v>
      </c>
      <c r="HQ224">
        <v>0</v>
      </c>
      <c r="HR224">
        <v>0</v>
      </c>
      <c r="HS224">
        <v>0</v>
      </c>
      <c r="HT224">
        <v>0</v>
      </c>
      <c r="HU224">
        <v>0</v>
      </c>
      <c r="HV224">
        <v>0</v>
      </c>
      <c r="HW224">
        <v>0</v>
      </c>
      <c r="HX224">
        <v>0</v>
      </c>
      <c r="HY224">
        <v>0</v>
      </c>
      <c r="HZ224">
        <v>0</v>
      </c>
      <c r="IA224">
        <v>0</v>
      </c>
      <c r="IB224">
        <v>0</v>
      </c>
      <c r="IC224">
        <v>0</v>
      </c>
      <c r="ID224">
        <v>0</v>
      </c>
      <c r="IE224">
        <v>0</v>
      </c>
      <c r="IF224">
        <v>0</v>
      </c>
      <c r="IG224">
        <v>0</v>
      </c>
      <c r="IH224">
        <v>0</v>
      </c>
      <c r="II224">
        <v>0</v>
      </c>
      <c r="IJ224">
        <v>0</v>
      </c>
      <c r="IK224">
        <v>0</v>
      </c>
      <c r="IL224">
        <v>0</v>
      </c>
      <c r="IM224">
        <v>0</v>
      </c>
      <c r="IN224">
        <v>0</v>
      </c>
      <c r="IO224">
        <v>0</v>
      </c>
      <c r="IP224">
        <v>0</v>
      </c>
      <c r="IQ224">
        <v>0</v>
      </c>
      <c r="IR224">
        <v>0</v>
      </c>
      <c r="IS224">
        <v>0</v>
      </c>
      <c r="IT224">
        <v>0</v>
      </c>
      <c r="IU224">
        <v>0</v>
      </c>
      <c r="IV224">
        <v>0</v>
      </c>
      <c r="IW224">
        <v>0</v>
      </c>
      <c r="IX224">
        <v>0</v>
      </c>
      <c r="IY224">
        <v>0</v>
      </c>
      <c r="IZ224">
        <v>0</v>
      </c>
      <c r="JA224">
        <v>0</v>
      </c>
      <c r="JB224">
        <v>0</v>
      </c>
      <c r="JC224">
        <v>0</v>
      </c>
      <c r="JD224">
        <v>0</v>
      </c>
      <c r="JE224">
        <v>0</v>
      </c>
      <c r="JF224">
        <v>0</v>
      </c>
      <c r="JG224">
        <v>0</v>
      </c>
      <c r="JH224">
        <v>0</v>
      </c>
      <c r="JI224">
        <v>0</v>
      </c>
      <c r="JJ224">
        <v>0</v>
      </c>
      <c r="JK224">
        <v>0</v>
      </c>
      <c r="JL224">
        <v>0</v>
      </c>
      <c r="JM224">
        <v>0</v>
      </c>
      <c r="JN224">
        <v>0</v>
      </c>
      <c r="JO224">
        <v>0</v>
      </c>
      <c r="JP224">
        <v>0</v>
      </c>
      <c r="JQ224">
        <v>0</v>
      </c>
      <c r="JR224">
        <v>0</v>
      </c>
      <c r="JS224">
        <v>0</v>
      </c>
      <c r="JT224">
        <v>0</v>
      </c>
      <c r="JU224">
        <v>0</v>
      </c>
      <c r="JV224">
        <v>0</v>
      </c>
      <c r="JW224">
        <v>0</v>
      </c>
      <c r="JX224">
        <v>0</v>
      </c>
      <c r="JY224">
        <v>0</v>
      </c>
      <c r="JZ224">
        <v>0</v>
      </c>
      <c r="KA224">
        <v>0</v>
      </c>
      <c r="KB224">
        <v>0</v>
      </c>
      <c r="KC224">
        <v>0</v>
      </c>
      <c r="KD224">
        <v>0</v>
      </c>
      <c r="KE224">
        <v>0</v>
      </c>
      <c r="KF224">
        <v>0</v>
      </c>
      <c r="KG224">
        <v>0</v>
      </c>
      <c r="KH224">
        <v>0</v>
      </c>
      <c r="KI224">
        <v>0</v>
      </c>
      <c r="KJ224">
        <v>0</v>
      </c>
      <c r="KK224">
        <v>0</v>
      </c>
      <c r="KL224">
        <v>0</v>
      </c>
      <c r="KM224">
        <v>0</v>
      </c>
      <c r="KN224">
        <v>0</v>
      </c>
      <c r="KO224">
        <v>0</v>
      </c>
      <c r="KP224">
        <v>0</v>
      </c>
      <c r="KQ224">
        <v>0</v>
      </c>
      <c r="KR224">
        <v>0</v>
      </c>
      <c r="KS224">
        <v>0</v>
      </c>
      <c r="KT224">
        <v>0</v>
      </c>
      <c r="KU224">
        <v>0</v>
      </c>
      <c r="KV224">
        <v>0</v>
      </c>
      <c r="KW224">
        <v>0</v>
      </c>
      <c r="KX224">
        <v>0</v>
      </c>
      <c r="KY224">
        <v>0</v>
      </c>
      <c r="KZ224">
        <v>0</v>
      </c>
      <c r="LA224">
        <v>0</v>
      </c>
      <c r="LB224">
        <v>0</v>
      </c>
      <c r="LC224">
        <v>0</v>
      </c>
      <c r="LD224">
        <v>0</v>
      </c>
      <c r="LE224">
        <v>0</v>
      </c>
      <c r="LF224">
        <v>0</v>
      </c>
      <c r="LG224">
        <v>0</v>
      </c>
      <c r="LH224">
        <v>0</v>
      </c>
      <c r="LI224">
        <v>0</v>
      </c>
      <c r="LJ224">
        <v>0</v>
      </c>
      <c r="LK224">
        <v>0</v>
      </c>
      <c r="LL224">
        <v>0</v>
      </c>
      <c r="LM224">
        <v>0</v>
      </c>
      <c r="LN224">
        <v>0</v>
      </c>
      <c r="LO224">
        <v>0</v>
      </c>
      <c r="LP224">
        <v>0</v>
      </c>
      <c r="LQ224">
        <v>0</v>
      </c>
      <c r="LR224">
        <v>0</v>
      </c>
      <c r="LS224">
        <v>0</v>
      </c>
      <c r="LT224">
        <v>0</v>
      </c>
      <c r="LU224">
        <v>0</v>
      </c>
      <c r="LV224">
        <v>0</v>
      </c>
      <c r="LW224">
        <v>0</v>
      </c>
      <c r="LX224">
        <v>0</v>
      </c>
      <c r="LY224">
        <v>0</v>
      </c>
      <c r="LZ224">
        <v>0</v>
      </c>
      <c r="MA224">
        <v>0</v>
      </c>
      <c r="MB224">
        <v>0</v>
      </c>
      <c r="MC224">
        <v>0</v>
      </c>
      <c r="MD224">
        <v>0</v>
      </c>
      <c r="ME224">
        <v>0</v>
      </c>
      <c r="MF224">
        <v>0</v>
      </c>
      <c r="MG224">
        <v>0</v>
      </c>
      <c r="MH224">
        <v>0</v>
      </c>
      <c r="MI224">
        <v>0</v>
      </c>
      <c r="MJ224">
        <v>0</v>
      </c>
      <c r="MK224">
        <v>0</v>
      </c>
      <c r="ML224">
        <v>0</v>
      </c>
      <c r="MM224">
        <v>0</v>
      </c>
      <c r="MN224">
        <v>0</v>
      </c>
      <c r="MO224">
        <v>0</v>
      </c>
      <c r="MP224">
        <v>0</v>
      </c>
      <c r="MQ224">
        <v>0</v>
      </c>
      <c r="MR224">
        <v>0</v>
      </c>
      <c r="MS224">
        <v>0</v>
      </c>
      <c r="MT224">
        <v>0</v>
      </c>
      <c r="MU224">
        <v>0</v>
      </c>
      <c r="MV224">
        <v>0</v>
      </c>
      <c r="MW224">
        <v>0</v>
      </c>
      <c r="MX224">
        <v>0</v>
      </c>
      <c r="MY224">
        <v>0</v>
      </c>
      <c r="MZ224">
        <v>0</v>
      </c>
      <c r="NA224">
        <v>0</v>
      </c>
      <c r="NB224">
        <v>0</v>
      </c>
      <c r="NC224">
        <v>0</v>
      </c>
      <c r="ND224">
        <v>0</v>
      </c>
      <c r="NE224">
        <v>0</v>
      </c>
    </row>
    <row r="225" spans="41:369" x14ac:dyDescent="0.45">
      <c r="AO225" t="str">
        <v>D101</v>
      </c>
      <c r="AP225" t="str">
        <v>MOHAMMED AFSAL</v>
      </c>
      <c r="AQ225" t="str">
        <v>JARF</v>
      </c>
      <c r="AR225" t="str">
        <v>SUPER SENIOR</v>
      </c>
      <c r="AS225">
        <v>8</v>
      </c>
      <c r="AT225">
        <v>8</v>
      </c>
      <c r="AU225">
        <v>0</v>
      </c>
      <c r="AV225">
        <v>8</v>
      </c>
      <c r="AW225">
        <v>8</v>
      </c>
      <c r="AX225">
        <v>147</v>
      </c>
      <c r="AY225" s="5">
        <v>147</v>
      </c>
      <c r="AZ225">
        <v>0</v>
      </c>
      <c r="BA225">
        <v>0</v>
      </c>
      <c r="BB225">
        <v>0</v>
      </c>
      <c r="BC225">
        <v>0</v>
      </c>
      <c r="BD225">
        <v>0</v>
      </c>
      <c r="BE225">
        <v>0</v>
      </c>
      <c r="BF225">
        <v>0</v>
      </c>
      <c r="BG225">
        <v>0</v>
      </c>
      <c r="BH225">
        <v>0</v>
      </c>
      <c r="BI225" t="str">
        <v/>
      </c>
      <c r="BK225">
        <v>219</v>
      </c>
      <c r="BL225">
        <v>0</v>
      </c>
      <c r="BM225">
        <v>0</v>
      </c>
      <c r="BN225">
        <v>0</v>
      </c>
      <c r="BO225">
        <v>0</v>
      </c>
      <c r="BP225">
        <v>0</v>
      </c>
      <c r="BQ225">
        <v>0</v>
      </c>
      <c r="BR225">
        <v>0</v>
      </c>
      <c r="BS225">
        <v>0</v>
      </c>
      <c r="BT225">
        <v>0</v>
      </c>
      <c r="BU225">
        <v>0</v>
      </c>
      <c r="BV225">
        <v>0</v>
      </c>
      <c r="BW225">
        <v>0</v>
      </c>
      <c r="BX225">
        <v>0</v>
      </c>
      <c r="BY225">
        <v>0</v>
      </c>
      <c r="BZ225">
        <v>0</v>
      </c>
      <c r="CA225">
        <v>0</v>
      </c>
      <c r="CB225">
        <v>0</v>
      </c>
      <c r="CC225">
        <v>0</v>
      </c>
      <c r="CD225">
        <v>0</v>
      </c>
      <c r="CE225">
        <v>0</v>
      </c>
      <c r="CF225">
        <v>0</v>
      </c>
      <c r="CG225">
        <v>0</v>
      </c>
      <c r="CH225">
        <v>0</v>
      </c>
      <c r="CI225">
        <v>0</v>
      </c>
      <c r="CJ225">
        <v>0</v>
      </c>
      <c r="CK225">
        <v>0</v>
      </c>
      <c r="CL225">
        <v>0</v>
      </c>
      <c r="CM225">
        <v>0</v>
      </c>
      <c r="CN225">
        <v>0</v>
      </c>
      <c r="CO225">
        <v>0</v>
      </c>
      <c r="CP225">
        <v>0</v>
      </c>
      <c r="CQ225">
        <v>0</v>
      </c>
      <c r="CR225">
        <v>0</v>
      </c>
      <c r="CS225">
        <v>0</v>
      </c>
      <c r="CT225">
        <v>0</v>
      </c>
      <c r="CU225">
        <v>0</v>
      </c>
      <c r="CV225">
        <v>0</v>
      </c>
      <c r="CW225">
        <v>0</v>
      </c>
      <c r="CX225">
        <v>0</v>
      </c>
      <c r="CY225">
        <v>0</v>
      </c>
      <c r="CZ225">
        <v>0</v>
      </c>
      <c r="DA225">
        <v>0</v>
      </c>
      <c r="DB225">
        <v>0</v>
      </c>
      <c r="DC225">
        <v>0</v>
      </c>
      <c r="DD225">
        <v>0</v>
      </c>
      <c r="DE225">
        <v>0</v>
      </c>
      <c r="DF225">
        <v>0</v>
      </c>
      <c r="DG225">
        <v>0</v>
      </c>
      <c r="DH225">
        <v>0</v>
      </c>
      <c r="DI225">
        <v>0</v>
      </c>
      <c r="DJ225">
        <v>0</v>
      </c>
      <c r="DK225">
        <v>0</v>
      </c>
      <c r="DL225">
        <v>0</v>
      </c>
      <c r="DM225">
        <v>0</v>
      </c>
      <c r="DN225">
        <v>0</v>
      </c>
      <c r="DO225">
        <v>0</v>
      </c>
      <c r="DP225">
        <v>0</v>
      </c>
      <c r="DQ225">
        <v>0</v>
      </c>
      <c r="DR225">
        <v>0</v>
      </c>
      <c r="DS225">
        <v>0</v>
      </c>
      <c r="DT225">
        <v>0</v>
      </c>
      <c r="DU225">
        <v>0</v>
      </c>
      <c r="DV225">
        <v>0</v>
      </c>
      <c r="DW225">
        <v>0</v>
      </c>
      <c r="DX225">
        <v>0</v>
      </c>
      <c r="DY225">
        <v>0</v>
      </c>
      <c r="DZ225">
        <v>0</v>
      </c>
      <c r="EA225">
        <v>0</v>
      </c>
      <c r="EB225">
        <v>0</v>
      </c>
      <c r="EC225">
        <v>0</v>
      </c>
      <c r="ED225">
        <v>0</v>
      </c>
      <c r="EE225">
        <v>0</v>
      </c>
      <c r="EF225">
        <v>0</v>
      </c>
      <c r="EG225">
        <v>0</v>
      </c>
      <c r="EH225">
        <v>0</v>
      </c>
      <c r="EI225">
        <v>0</v>
      </c>
      <c r="EJ225">
        <v>0</v>
      </c>
      <c r="EK225">
        <v>0</v>
      </c>
      <c r="EL225">
        <v>0</v>
      </c>
      <c r="EM225">
        <v>0</v>
      </c>
      <c r="EN225">
        <v>0</v>
      </c>
      <c r="EO225">
        <v>0</v>
      </c>
      <c r="EP225">
        <v>0</v>
      </c>
      <c r="EQ225">
        <v>0</v>
      </c>
      <c r="ER225">
        <v>0</v>
      </c>
      <c r="ES225">
        <v>0</v>
      </c>
      <c r="ET225">
        <v>0</v>
      </c>
      <c r="EU225">
        <v>0</v>
      </c>
      <c r="EV225">
        <v>0</v>
      </c>
      <c r="EW225">
        <v>0</v>
      </c>
      <c r="EX225">
        <v>0</v>
      </c>
      <c r="EY225">
        <v>0</v>
      </c>
      <c r="EZ225">
        <v>0</v>
      </c>
      <c r="FA225">
        <v>0</v>
      </c>
      <c r="FB225">
        <v>0</v>
      </c>
      <c r="FC225">
        <v>0</v>
      </c>
      <c r="FD225">
        <v>0</v>
      </c>
      <c r="FE225">
        <v>0</v>
      </c>
      <c r="FF225">
        <v>0</v>
      </c>
      <c r="FG225">
        <v>0</v>
      </c>
      <c r="FH225">
        <v>0</v>
      </c>
      <c r="FI225">
        <v>0</v>
      </c>
      <c r="FJ225">
        <v>0</v>
      </c>
      <c r="FK225">
        <v>0</v>
      </c>
      <c r="FL225">
        <v>0</v>
      </c>
      <c r="FM225">
        <v>0</v>
      </c>
      <c r="FN225">
        <v>0</v>
      </c>
      <c r="FO225">
        <v>0</v>
      </c>
      <c r="FP225">
        <v>0</v>
      </c>
      <c r="FQ225">
        <v>0</v>
      </c>
      <c r="FR225">
        <v>0</v>
      </c>
      <c r="FS225">
        <v>0</v>
      </c>
      <c r="FT225">
        <v>0</v>
      </c>
      <c r="FU225">
        <v>0</v>
      </c>
      <c r="FV225">
        <v>0</v>
      </c>
      <c r="FW225">
        <v>0</v>
      </c>
      <c r="FX225">
        <v>0</v>
      </c>
      <c r="FY225">
        <v>0</v>
      </c>
      <c r="FZ225">
        <v>0</v>
      </c>
      <c r="GA225">
        <v>0</v>
      </c>
      <c r="GB225">
        <v>0</v>
      </c>
      <c r="GC225">
        <v>0</v>
      </c>
      <c r="GD225">
        <v>0</v>
      </c>
      <c r="GE225">
        <v>0</v>
      </c>
      <c r="GF225">
        <v>0</v>
      </c>
      <c r="GG225">
        <v>0</v>
      </c>
      <c r="GH225">
        <v>0</v>
      </c>
      <c r="GI225">
        <v>0</v>
      </c>
      <c r="GJ225">
        <v>0</v>
      </c>
      <c r="GK225">
        <v>0</v>
      </c>
      <c r="GL225">
        <v>0</v>
      </c>
      <c r="GM225">
        <v>0</v>
      </c>
      <c r="GN225">
        <v>0</v>
      </c>
      <c r="GO225">
        <v>0</v>
      </c>
      <c r="GP225">
        <v>0</v>
      </c>
      <c r="GQ225">
        <v>0</v>
      </c>
      <c r="GR225">
        <v>0</v>
      </c>
      <c r="GS225">
        <v>0</v>
      </c>
      <c r="GT225">
        <v>0</v>
      </c>
      <c r="GU225">
        <v>0</v>
      </c>
      <c r="GV225">
        <v>0</v>
      </c>
      <c r="GW225">
        <v>0</v>
      </c>
      <c r="GX225">
        <v>0</v>
      </c>
      <c r="GY225">
        <v>0</v>
      </c>
      <c r="GZ225">
        <v>0</v>
      </c>
      <c r="HA225">
        <v>0</v>
      </c>
      <c r="HB225">
        <v>0</v>
      </c>
      <c r="HC225">
        <v>0</v>
      </c>
      <c r="HD225">
        <v>0</v>
      </c>
      <c r="HE225">
        <v>0</v>
      </c>
      <c r="HF225">
        <v>0</v>
      </c>
      <c r="HG225">
        <v>0</v>
      </c>
      <c r="HH225">
        <v>0</v>
      </c>
      <c r="HI225">
        <v>0</v>
      </c>
      <c r="HJ225">
        <v>0</v>
      </c>
      <c r="HK225">
        <v>0</v>
      </c>
      <c r="HL225">
        <v>0</v>
      </c>
      <c r="HM225">
        <v>0</v>
      </c>
      <c r="HN225">
        <v>0</v>
      </c>
      <c r="HO225">
        <v>0</v>
      </c>
      <c r="HP225">
        <v>0</v>
      </c>
      <c r="HQ225">
        <v>0</v>
      </c>
      <c r="HR225">
        <v>0</v>
      </c>
      <c r="HS225">
        <v>0</v>
      </c>
      <c r="HT225">
        <v>0</v>
      </c>
      <c r="HU225">
        <v>0</v>
      </c>
      <c r="HV225">
        <v>0</v>
      </c>
      <c r="HW225">
        <v>0</v>
      </c>
      <c r="HX225">
        <v>0</v>
      </c>
      <c r="HY225">
        <v>0</v>
      </c>
      <c r="HZ225">
        <v>0</v>
      </c>
      <c r="IA225">
        <v>0</v>
      </c>
      <c r="IB225">
        <v>0</v>
      </c>
      <c r="IC225">
        <v>0</v>
      </c>
      <c r="ID225">
        <v>0</v>
      </c>
      <c r="IE225">
        <v>0</v>
      </c>
      <c r="IF225">
        <v>0</v>
      </c>
      <c r="IG225">
        <v>0</v>
      </c>
      <c r="IH225">
        <v>0</v>
      </c>
      <c r="II225">
        <v>0</v>
      </c>
      <c r="IJ225">
        <v>0</v>
      </c>
      <c r="IK225">
        <v>0</v>
      </c>
      <c r="IL225">
        <v>0</v>
      </c>
      <c r="IM225">
        <v>0</v>
      </c>
      <c r="IN225">
        <v>0</v>
      </c>
      <c r="IO225">
        <v>0</v>
      </c>
      <c r="IP225">
        <v>0</v>
      </c>
      <c r="IQ225">
        <v>0</v>
      </c>
      <c r="IR225">
        <v>0</v>
      </c>
      <c r="IS225">
        <v>0</v>
      </c>
      <c r="IT225">
        <v>0</v>
      </c>
      <c r="IU225">
        <v>0</v>
      </c>
      <c r="IV225">
        <v>0</v>
      </c>
      <c r="IW225">
        <v>0</v>
      </c>
      <c r="IX225">
        <v>0</v>
      </c>
      <c r="IY225">
        <v>0</v>
      </c>
      <c r="IZ225">
        <v>0</v>
      </c>
      <c r="JA225">
        <v>0</v>
      </c>
      <c r="JB225">
        <v>0</v>
      </c>
      <c r="JC225">
        <v>0</v>
      </c>
      <c r="JD225">
        <v>0</v>
      </c>
      <c r="JE225">
        <v>0</v>
      </c>
      <c r="JF225">
        <v>0</v>
      </c>
      <c r="JG225">
        <v>0</v>
      </c>
      <c r="JH225">
        <v>0</v>
      </c>
      <c r="JI225">
        <v>0</v>
      </c>
      <c r="JJ225">
        <v>0</v>
      </c>
      <c r="JK225">
        <v>0</v>
      </c>
      <c r="JL225">
        <v>0</v>
      </c>
      <c r="JM225">
        <v>0</v>
      </c>
      <c r="JN225">
        <v>0</v>
      </c>
      <c r="JO225">
        <v>0</v>
      </c>
      <c r="JP225">
        <v>0</v>
      </c>
      <c r="JQ225">
        <v>0</v>
      </c>
      <c r="JR225">
        <v>0</v>
      </c>
      <c r="JS225">
        <v>0</v>
      </c>
      <c r="JT225">
        <v>0</v>
      </c>
      <c r="JU225">
        <v>0</v>
      </c>
      <c r="JV225">
        <v>0</v>
      </c>
      <c r="JW225">
        <v>0</v>
      </c>
      <c r="JX225">
        <v>0</v>
      </c>
      <c r="JY225">
        <v>0</v>
      </c>
      <c r="JZ225">
        <v>0</v>
      </c>
      <c r="KA225">
        <v>0</v>
      </c>
      <c r="KB225">
        <v>0</v>
      </c>
      <c r="KC225">
        <v>0</v>
      </c>
      <c r="KD225">
        <v>0</v>
      </c>
      <c r="KE225">
        <v>0</v>
      </c>
      <c r="KF225">
        <v>0</v>
      </c>
      <c r="KG225">
        <v>0</v>
      </c>
      <c r="KH225">
        <v>0</v>
      </c>
      <c r="KI225">
        <v>0</v>
      </c>
      <c r="KJ225">
        <v>0</v>
      </c>
      <c r="KK225">
        <v>0</v>
      </c>
      <c r="KL225">
        <v>0</v>
      </c>
      <c r="KM225">
        <v>0</v>
      </c>
      <c r="KN225">
        <v>0</v>
      </c>
      <c r="KO225">
        <v>0</v>
      </c>
      <c r="KP225">
        <v>0</v>
      </c>
      <c r="KQ225">
        <v>0</v>
      </c>
      <c r="KR225">
        <v>0</v>
      </c>
      <c r="KS225">
        <v>0</v>
      </c>
      <c r="KT225">
        <v>0</v>
      </c>
      <c r="KU225">
        <v>0</v>
      </c>
      <c r="KV225">
        <v>0</v>
      </c>
      <c r="KW225">
        <v>0</v>
      </c>
      <c r="KX225">
        <v>0</v>
      </c>
      <c r="KY225">
        <v>0</v>
      </c>
      <c r="KZ225">
        <v>0</v>
      </c>
      <c r="LA225">
        <v>0</v>
      </c>
      <c r="LB225">
        <v>0</v>
      </c>
      <c r="LC225">
        <v>0</v>
      </c>
      <c r="LD225">
        <v>0</v>
      </c>
      <c r="LE225">
        <v>0</v>
      </c>
      <c r="LF225">
        <v>0</v>
      </c>
      <c r="LG225">
        <v>0</v>
      </c>
      <c r="LH225">
        <v>0</v>
      </c>
      <c r="LI225">
        <v>0</v>
      </c>
      <c r="LJ225">
        <v>0</v>
      </c>
      <c r="LK225">
        <v>0</v>
      </c>
      <c r="LL225">
        <v>0</v>
      </c>
      <c r="LM225">
        <v>0</v>
      </c>
      <c r="LN225">
        <v>0</v>
      </c>
      <c r="LO225">
        <v>0</v>
      </c>
      <c r="LP225">
        <v>0</v>
      </c>
      <c r="LQ225">
        <v>0</v>
      </c>
      <c r="LR225">
        <v>0</v>
      </c>
      <c r="LS225">
        <v>0</v>
      </c>
      <c r="LT225">
        <v>0</v>
      </c>
      <c r="LU225">
        <v>0</v>
      </c>
      <c r="LV225">
        <v>0</v>
      </c>
      <c r="LW225">
        <v>0</v>
      </c>
      <c r="LX225">
        <v>0</v>
      </c>
      <c r="LY225">
        <v>0</v>
      </c>
      <c r="LZ225">
        <v>0</v>
      </c>
      <c r="MA225">
        <v>0</v>
      </c>
      <c r="MB225">
        <v>0</v>
      </c>
      <c r="MC225">
        <v>0</v>
      </c>
      <c r="MD225">
        <v>0</v>
      </c>
      <c r="ME225">
        <v>0</v>
      </c>
      <c r="MF225">
        <v>0</v>
      </c>
      <c r="MG225">
        <v>0</v>
      </c>
      <c r="MH225">
        <v>0</v>
      </c>
      <c r="MI225">
        <v>0</v>
      </c>
      <c r="MJ225">
        <v>0</v>
      </c>
      <c r="MK225">
        <v>0</v>
      </c>
      <c r="ML225">
        <v>0</v>
      </c>
      <c r="MM225">
        <v>0</v>
      </c>
      <c r="MN225">
        <v>0</v>
      </c>
      <c r="MO225">
        <v>0</v>
      </c>
      <c r="MP225">
        <v>0</v>
      </c>
      <c r="MQ225">
        <v>0</v>
      </c>
      <c r="MR225">
        <v>0</v>
      </c>
      <c r="MS225">
        <v>0</v>
      </c>
      <c r="MT225">
        <v>0</v>
      </c>
      <c r="MU225">
        <v>0</v>
      </c>
      <c r="MV225">
        <v>0</v>
      </c>
      <c r="MW225">
        <v>0</v>
      </c>
      <c r="MX225">
        <v>0</v>
      </c>
      <c r="MY225">
        <v>0</v>
      </c>
      <c r="MZ225">
        <v>0</v>
      </c>
      <c r="NA225">
        <v>0</v>
      </c>
      <c r="NB225">
        <v>0</v>
      </c>
      <c r="NC225">
        <v>0</v>
      </c>
      <c r="ND225">
        <v>0</v>
      </c>
      <c r="NE225">
        <v>0</v>
      </c>
    </row>
    <row r="226" spans="41:369" x14ac:dyDescent="0.45">
      <c r="AO226" t="str">
        <v>D102</v>
      </c>
      <c r="AP226" t="str">
        <v>JALALUDHEEN K</v>
      </c>
      <c r="AQ226" t="str">
        <v>DAHF</v>
      </c>
      <c r="AR226" t="str">
        <v>SUPER SENIOR</v>
      </c>
      <c r="AS226">
        <v>8</v>
      </c>
      <c r="AT226">
        <v>4</v>
      </c>
      <c r="AU226">
        <v>0</v>
      </c>
      <c r="AV226">
        <v>4</v>
      </c>
      <c r="AW226">
        <v>4</v>
      </c>
      <c r="AX226">
        <v>197</v>
      </c>
      <c r="AY226" s="5">
        <v>197</v>
      </c>
      <c r="AZ226">
        <v>0</v>
      </c>
      <c r="BA226">
        <v>0</v>
      </c>
      <c r="BB226">
        <v>0</v>
      </c>
      <c r="BC226">
        <v>0</v>
      </c>
      <c r="BD226">
        <v>0</v>
      </c>
      <c r="BE226">
        <v>0</v>
      </c>
      <c r="BF226">
        <v>0</v>
      </c>
      <c r="BG226">
        <v>0</v>
      </c>
      <c r="BH226">
        <v>0</v>
      </c>
      <c r="BI226" t="str">
        <v/>
      </c>
      <c r="BK226">
        <v>220</v>
      </c>
      <c r="BL226">
        <v>0</v>
      </c>
      <c r="BM226">
        <v>0</v>
      </c>
      <c r="BN226">
        <v>0</v>
      </c>
      <c r="BO226">
        <v>0</v>
      </c>
      <c r="BP226">
        <v>0</v>
      </c>
      <c r="BQ226">
        <v>0</v>
      </c>
      <c r="BR226">
        <v>0</v>
      </c>
      <c r="BS226">
        <v>0</v>
      </c>
      <c r="BT226">
        <v>0</v>
      </c>
      <c r="BU226">
        <v>0</v>
      </c>
      <c r="BV226">
        <v>0</v>
      </c>
      <c r="BW226">
        <v>0</v>
      </c>
      <c r="BX226">
        <v>0</v>
      </c>
      <c r="BY226">
        <v>0</v>
      </c>
      <c r="BZ226">
        <v>0</v>
      </c>
      <c r="CA226">
        <v>0</v>
      </c>
      <c r="CB226">
        <v>0</v>
      </c>
      <c r="CC226">
        <v>0</v>
      </c>
      <c r="CD226">
        <v>0</v>
      </c>
      <c r="CE226">
        <v>0</v>
      </c>
      <c r="CF226">
        <v>0</v>
      </c>
      <c r="CG226">
        <v>0</v>
      </c>
      <c r="CH226">
        <v>0</v>
      </c>
      <c r="CI226">
        <v>0</v>
      </c>
      <c r="CJ226">
        <v>0</v>
      </c>
      <c r="CK226">
        <v>0</v>
      </c>
      <c r="CL226">
        <v>0</v>
      </c>
      <c r="CM226">
        <v>0</v>
      </c>
      <c r="CN226">
        <v>0</v>
      </c>
      <c r="CO226">
        <v>0</v>
      </c>
      <c r="CP226">
        <v>0</v>
      </c>
      <c r="CQ226">
        <v>0</v>
      </c>
      <c r="CR226">
        <v>0</v>
      </c>
      <c r="CS226">
        <v>0</v>
      </c>
      <c r="CT226">
        <v>0</v>
      </c>
      <c r="CU226">
        <v>0</v>
      </c>
      <c r="CV226">
        <v>0</v>
      </c>
      <c r="CW226">
        <v>0</v>
      </c>
      <c r="CX226">
        <v>0</v>
      </c>
      <c r="CY226">
        <v>0</v>
      </c>
      <c r="CZ226">
        <v>0</v>
      </c>
      <c r="DA226">
        <v>0</v>
      </c>
      <c r="DB226">
        <v>0</v>
      </c>
      <c r="DC226">
        <v>0</v>
      </c>
      <c r="DD226">
        <v>0</v>
      </c>
      <c r="DE226">
        <v>0</v>
      </c>
      <c r="DF226">
        <v>0</v>
      </c>
      <c r="DG226">
        <v>0</v>
      </c>
      <c r="DH226">
        <v>0</v>
      </c>
      <c r="DI226">
        <v>0</v>
      </c>
      <c r="DJ226">
        <v>0</v>
      </c>
      <c r="DK226">
        <v>0</v>
      </c>
      <c r="DL226">
        <v>0</v>
      </c>
      <c r="DM226">
        <v>0</v>
      </c>
      <c r="DN226">
        <v>0</v>
      </c>
      <c r="DO226">
        <v>0</v>
      </c>
      <c r="DP226">
        <v>0</v>
      </c>
      <c r="DQ226">
        <v>0</v>
      </c>
      <c r="DR226">
        <v>0</v>
      </c>
      <c r="DS226">
        <v>0</v>
      </c>
      <c r="DT226">
        <v>0</v>
      </c>
      <c r="DU226">
        <v>0</v>
      </c>
      <c r="DV226">
        <v>0</v>
      </c>
      <c r="DW226">
        <v>0</v>
      </c>
      <c r="DX226">
        <v>0</v>
      </c>
      <c r="DY226">
        <v>0</v>
      </c>
      <c r="DZ226">
        <v>0</v>
      </c>
      <c r="EA226">
        <v>0</v>
      </c>
      <c r="EB226">
        <v>0</v>
      </c>
      <c r="EC226">
        <v>0</v>
      </c>
      <c r="ED226">
        <v>0</v>
      </c>
      <c r="EE226">
        <v>0</v>
      </c>
      <c r="EF226">
        <v>0</v>
      </c>
      <c r="EG226">
        <v>0</v>
      </c>
      <c r="EH226">
        <v>0</v>
      </c>
      <c r="EI226">
        <v>0</v>
      </c>
      <c r="EJ226">
        <v>0</v>
      </c>
      <c r="EK226">
        <v>0</v>
      </c>
      <c r="EL226">
        <v>0</v>
      </c>
      <c r="EM226">
        <v>0</v>
      </c>
      <c r="EN226">
        <v>0</v>
      </c>
      <c r="EO226">
        <v>0</v>
      </c>
      <c r="EP226">
        <v>0</v>
      </c>
      <c r="EQ226">
        <v>0</v>
      </c>
      <c r="ER226">
        <v>0</v>
      </c>
      <c r="ES226">
        <v>0</v>
      </c>
      <c r="ET226">
        <v>0</v>
      </c>
      <c r="EU226">
        <v>0</v>
      </c>
      <c r="EV226">
        <v>0</v>
      </c>
      <c r="EW226">
        <v>0</v>
      </c>
      <c r="EX226">
        <v>0</v>
      </c>
      <c r="EY226">
        <v>0</v>
      </c>
      <c r="EZ226">
        <v>0</v>
      </c>
      <c r="FA226">
        <v>0</v>
      </c>
      <c r="FB226">
        <v>0</v>
      </c>
      <c r="FC226">
        <v>0</v>
      </c>
      <c r="FD226">
        <v>0</v>
      </c>
      <c r="FE226">
        <v>0</v>
      </c>
      <c r="FF226">
        <v>0</v>
      </c>
      <c r="FG226">
        <v>0</v>
      </c>
      <c r="FH226">
        <v>0</v>
      </c>
      <c r="FI226">
        <v>0</v>
      </c>
      <c r="FJ226">
        <v>0</v>
      </c>
      <c r="FK226">
        <v>0</v>
      </c>
      <c r="FL226">
        <v>0</v>
      </c>
      <c r="FM226">
        <v>0</v>
      </c>
      <c r="FN226">
        <v>0</v>
      </c>
      <c r="FO226">
        <v>0</v>
      </c>
      <c r="FP226">
        <v>0</v>
      </c>
      <c r="FQ226">
        <v>0</v>
      </c>
      <c r="FR226">
        <v>0</v>
      </c>
      <c r="FS226">
        <v>0</v>
      </c>
      <c r="FT226">
        <v>0</v>
      </c>
      <c r="FU226">
        <v>0</v>
      </c>
      <c r="FV226">
        <v>0</v>
      </c>
      <c r="FW226">
        <v>0</v>
      </c>
      <c r="FX226">
        <v>0</v>
      </c>
      <c r="FY226">
        <v>0</v>
      </c>
      <c r="FZ226">
        <v>0</v>
      </c>
      <c r="GA226">
        <v>0</v>
      </c>
      <c r="GB226">
        <v>0</v>
      </c>
      <c r="GC226">
        <v>0</v>
      </c>
      <c r="GD226">
        <v>0</v>
      </c>
      <c r="GE226">
        <v>0</v>
      </c>
      <c r="GF226">
        <v>0</v>
      </c>
      <c r="GG226">
        <v>0</v>
      </c>
      <c r="GH226">
        <v>0</v>
      </c>
      <c r="GI226">
        <v>0</v>
      </c>
      <c r="GJ226">
        <v>0</v>
      </c>
      <c r="GK226">
        <v>0</v>
      </c>
      <c r="GL226">
        <v>0</v>
      </c>
      <c r="GM226">
        <v>0</v>
      </c>
      <c r="GN226">
        <v>0</v>
      </c>
      <c r="GO226">
        <v>0</v>
      </c>
      <c r="GP226">
        <v>0</v>
      </c>
      <c r="GQ226">
        <v>0</v>
      </c>
      <c r="GR226">
        <v>0</v>
      </c>
      <c r="GS226">
        <v>0</v>
      </c>
      <c r="GT226">
        <v>0</v>
      </c>
      <c r="GU226">
        <v>0</v>
      </c>
      <c r="GV226">
        <v>0</v>
      </c>
      <c r="GW226">
        <v>0</v>
      </c>
      <c r="GX226">
        <v>0</v>
      </c>
      <c r="GY226">
        <v>0</v>
      </c>
      <c r="GZ226">
        <v>0</v>
      </c>
      <c r="HA226">
        <v>0</v>
      </c>
      <c r="HB226">
        <v>0</v>
      </c>
      <c r="HC226">
        <v>0</v>
      </c>
      <c r="HD226">
        <v>0</v>
      </c>
      <c r="HE226">
        <v>0</v>
      </c>
      <c r="HF226">
        <v>0</v>
      </c>
      <c r="HG226">
        <v>0</v>
      </c>
      <c r="HH226">
        <v>0</v>
      </c>
      <c r="HI226">
        <v>0</v>
      </c>
      <c r="HJ226">
        <v>0</v>
      </c>
      <c r="HK226">
        <v>0</v>
      </c>
      <c r="HL226">
        <v>0</v>
      </c>
      <c r="HM226">
        <v>0</v>
      </c>
      <c r="HN226">
        <v>0</v>
      </c>
      <c r="HO226">
        <v>0</v>
      </c>
      <c r="HP226">
        <v>0</v>
      </c>
      <c r="HQ226">
        <v>0</v>
      </c>
      <c r="HR226">
        <v>0</v>
      </c>
      <c r="HS226">
        <v>0</v>
      </c>
      <c r="HT226">
        <v>0</v>
      </c>
      <c r="HU226">
        <v>0</v>
      </c>
      <c r="HV226">
        <v>0</v>
      </c>
      <c r="HW226">
        <v>0</v>
      </c>
      <c r="HX226">
        <v>0</v>
      </c>
      <c r="HY226">
        <v>0</v>
      </c>
      <c r="HZ226">
        <v>0</v>
      </c>
      <c r="IA226">
        <v>0</v>
      </c>
      <c r="IB226">
        <v>0</v>
      </c>
      <c r="IC226">
        <v>0</v>
      </c>
      <c r="ID226">
        <v>0</v>
      </c>
      <c r="IE226">
        <v>0</v>
      </c>
      <c r="IF226">
        <v>0</v>
      </c>
      <c r="IG226">
        <v>0</v>
      </c>
      <c r="IH226">
        <v>0</v>
      </c>
      <c r="II226">
        <v>0</v>
      </c>
      <c r="IJ226">
        <v>0</v>
      </c>
      <c r="IK226">
        <v>0</v>
      </c>
      <c r="IL226">
        <v>0</v>
      </c>
      <c r="IM226">
        <v>0</v>
      </c>
      <c r="IN226">
        <v>0</v>
      </c>
      <c r="IO226">
        <v>0</v>
      </c>
      <c r="IP226">
        <v>0</v>
      </c>
      <c r="IQ226">
        <v>0</v>
      </c>
      <c r="IR226">
        <v>0</v>
      </c>
      <c r="IS226">
        <v>0</v>
      </c>
      <c r="IT226">
        <v>0</v>
      </c>
      <c r="IU226">
        <v>0</v>
      </c>
      <c r="IV226">
        <v>0</v>
      </c>
      <c r="IW226">
        <v>0</v>
      </c>
      <c r="IX226">
        <v>0</v>
      </c>
      <c r="IY226">
        <v>0</v>
      </c>
      <c r="IZ226">
        <v>0</v>
      </c>
      <c r="JA226">
        <v>0</v>
      </c>
      <c r="JB226">
        <v>0</v>
      </c>
      <c r="JC226">
        <v>0</v>
      </c>
      <c r="JD226">
        <v>0</v>
      </c>
      <c r="JE226">
        <v>0</v>
      </c>
      <c r="JF226">
        <v>0</v>
      </c>
      <c r="JG226">
        <v>0</v>
      </c>
      <c r="JH226">
        <v>0</v>
      </c>
      <c r="JI226">
        <v>0</v>
      </c>
      <c r="JJ226">
        <v>0</v>
      </c>
      <c r="JK226">
        <v>0</v>
      </c>
      <c r="JL226">
        <v>0</v>
      </c>
      <c r="JM226">
        <v>0</v>
      </c>
      <c r="JN226">
        <v>0</v>
      </c>
      <c r="JO226">
        <v>0</v>
      </c>
      <c r="JP226">
        <v>0</v>
      </c>
      <c r="JQ226">
        <v>0</v>
      </c>
      <c r="JR226">
        <v>0</v>
      </c>
      <c r="JS226">
        <v>0</v>
      </c>
      <c r="JT226">
        <v>0</v>
      </c>
      <c r="JU226">
        <v>0</v>
      </c>
      <c r="JV226">
        <v>0</v>
      </c>
      <c r="JW226">
        <v>0</v>
      </c>
      <c r="JX226">
        <v>0</v>
      </c>
      <c r="JY226">
        <v>0</v>
      </c>
      <c r="JZ226">
        <v>0</v>
      </c>
      <c r="KA226">
        <v>0</v>
      </c>
      <c r="KB226">
        <v>0</v>
      </c>
      <c r="KC226">
        <v>0</v>
      </c>
      <c r="KD226">
        <v>0</v>
      </c>
      <c r="KE226">
        <v>0</v>
      </c>
      <c r="KF226">
        <v>0</v>
      </c>
      <c r="KG226">
        <v>0</v>
      </c>
      <c r="KH226">
        <v>0</v>
      </c>
      <c r="KI226">
        <v>0</v>
      </c>
      <c r="KJ226">
        <v>0</v>
      </c>
      <c r="KK226">
        <v>0</v>
      </c>
      <c r="KL226">
        <v>0</v>
      </c>
      <c r="KM226">
        <v>0</v>
      </c>
      <c r="KN226">
        <v>0</v>
      </c>
      <c r="KO226">
        <v>0</v>
      </c>
      <c r="KP226">
        <v>0</v>
      </c>
      <c r="KQ226">
        <v>0</v>
      </c>
      <c r="KR226">
        <v>0</v>
      </c>
      <c r="KS226">
        <v>0</v>
      </c>
      <c r="KT226">
        <v>0</v>
      </c>
      <c r="KU226">
        <v>0</v>
      </c>
      <c r="KV226">
        <v>0</v>
      </c>
      <c r="KW226">
        <v>0</v>
      </c>
      <c r="KX226">
        <v>0</v>
      </c>
      <c r="KY226">
        <v>0</v>
      </c>
      <c r="KZ226">
        <v>0</v>
      </c>
      <c r="LA226">
        <v>0</v>
      </c>
      <c r="LB226">
        <v>0</v>
      </c>
      <c r="LC226">
        <v>0</v>
      </c>
      <c r="LD226">
        <v>0</v>
      </c>
      <c r="LE226">
        <v>0</v>
      </c>
      <c r="LF226">
        <v>0</v>
      </c>
      <c r="LG226">
        <v>0</v>
      </c>
      <c r="LH226">
        <v>0</v>
      </c>
      <c r="LI226">
        <v>0</v>
      </c>
      <c r="LJ226">
        <v>0</v>
      </c>
      <c r="LK226">
        <v>0</v>
      </c>
      <c r="LL226">
        <v>0</v>
      </c>
      <c r="LM226">
        <v>0</v>
      </c>
      <c r="LN226">
        <v>0</v>
      </c>
      <c r="LO226">
        <v>0</v>
      </c>
      <c r="LP226">
        <v>0</v>
      </c>
      <c r="LQ226">
        <v>0</v>
      </c>
      <c r="LR226">
        <v>0</v>
      </c>
      <c r="LS226">
        <v>0</v>
      </c>
      <c r="LT226">
        <v>0</v>
      </c>
      <c r="LU226">
        <v>0</v>
      </c>
      <c r="LV226">
        <v>0</v>
      </c>
      <c r="LW226">
        <v>0</v>
      </c>
      <c r="LX226">
        <v>0</v>
      </c>
      <c r="LY226">
        <v>0</v>
      </c>
      <c r="LZ226">
        <v>0</v>
      </c>
      <c r="MA226">
        <v>0</v>
      </c>
      <c r="MB226">
        <v>0</v>
      </c>
      <c r="MC226">
        <v>0</v>
      </c>
      <c r="MD226">
        <v>0</v>
      </c>
      <c r="ME226">
        <v>0</v>
      </c>
      <c r="MF226">
        <v>0</v>
      </c>
      <c r="MG226">
        <v>0</v>
      </c>
      <c r="MH226">
        <v>0</v>
      </c>
      <c r="MI226">
        <v>0</v>
      </c>
      <c r="MJ226">
        <v>0</v>
      </c>
      <c r="MK226">
        <v>0</v>
      </c>
      <c r="ML226">
        <v>0</v>
      </c>
      <c r="MM226">
        <v>0</v>
      </c>
      <c r="MN226">
        <v>0</v>
      </c>
      <c r="MO226">
        <v>0</v>
      </c>
      <c r="MP226">
        <v>0</v>
      </c>
      <c r="MQ226">
        <v>0</v>
      </c>
      <c r="MR226">
        <v>0</v>
      </c>
      <c r="MS226">
        <v>0</v>
      </c>
      <c r="MT226">
        <v>0</v>
      </c>
      <c r="MU226">
        <v>0</v>
      </c>
      <c r="MV226">
        <v>0</v>
      </c>
      <c r="MW226">
        <v>0</v>
      </c>
      <c r="MX226">
        <v>0</v>
      </c>
      <c r="MY226">
        <v>0</v>
      </c>
      <c r="MZ226">
        <v>0</v>
      </c>
      <c r="NA226">
        <v>0</v>
      </c>
      <c r="NB226">
        <v>0</v>
      </c>
      <c r="NC226">
        <v>0</v>
      </c>
      <c r="ND226">
        <v>0</v>
      </c>
      <c r="NE226">
        <v>0</v>
      </c>
    </row>
    <row r="227" spans="41:369" x14ac:dyDescent="0.45">
      <c r="AO227" t="str">
        <v>D103</v>
      </c>
      <c r="AP227" t="str">
        <v>MUHAMMAD RAZI</v>
      </c>
      <c r="AQ227" t="str">
        <v>DAHF</v>
      </c>
      <c r="AR227" t="str">
        <v>SUPER SENIOR</v>
      </c>
      <c r="AS227">
        <v>8</v>
      </c>
      <c r="AT227">
        <v>0</v>
      </c>
      <c r="AU227">
        <v>0</v>
      </c>
      <c r="AV227">
        <v>0</v>
      </c>
      <c r="AW227">
        <v>0</v>
      </c>
      <c r="AX227">
        <v>255</v>
      </c>
      <c r="AY227" s="5">
        <v>255</v>
      </c>
      <c r="AZ227">
        <v>0</v>
      </c>
      <c r="BA227">
        <v>0</v>
      </c>
      <c r="BB227">
        <v>0</v>
      </c>
      <c r="BC227">
        <v>0</v>
      </c>
      <c r="BD227">
        <v>0</v>
      </c>
      <c r="BE227">
        <v>0</v>
      </c>
      <c r="BF227">
        <v>0</v>
      </c>
      <c r="BG227">
        <v>0</v>
      </c>
      <c r="BH227">
        <v>0</v>
      </c>
      <c r="BI227" t="str">
        <v/>
      </c>
      <c r="BK227">
        <v>221</v>
      </c>
      <c r="BL227">
        <v>0</v>
      </c>
      <c r="BM227">
        <v>0</v>
      </c>
      <c r="BN227">
        <v>0</v>
      </c>
      <c r="BO227">
        <v>0</v>
      </c>
      <c r="BP227">
        <v>0</v>
      </c>
      <c r="BQ227">
        <v>0</v>
      </c>
      <c r="BR227">
        <v>0</v>
      </c>
      <c r="BS227">
        <v>0</v>
      </c>
      <c r="BT227">
        <v>0</v>
      </c>
      <c r="BU227">
        <v>0</v>
      </c>
      <c r="BV227">
        <v>0</v>
      </c>
      <c r="BW227">
        <v>0</v>
      </c>
      <c r="BX227">
        <v>0</v>
      </c>
      <c r="BY227">
        <v>0</v>
      </c>
      <c r="BZ227">
        <v>0</v>
      </c>
      <c r="CA227">
        <v>0</v>
      </c>
      <c r="CB227">
        <v>0</v>
      </c>
      <c r="CC227">
        <v>0</v>
      </c>
      <c r="CD227">
        <v>0</v>
      </c>
      <c r="CE227">
        <v>0</v>
      </c>
      <c r="CF227">
        <v>0</v>
      </c>
      <c r="CG227">
        <v>0</v>
      </c>
      <c r="CH227">
        <v>0</v>
      </c>
      <c r="CI227">
        <v>0</v>
      </c>
      <c r="CJ227">
        <v>0</v>
      </c>
      <c r="CK227">
        <v>0</v>
      </c>
      <c r="CL227">
        <v>0</v>
      </c>
      <c r="CM227">
        <v>0</v>
      </c>
      <c r="CN227">
        <v>0</v>
      </c>
      <c r="CO227">
        <v>0</v>
      </c>
      <c r="CP227">
        <v>0</v>
      </c>
      <c r="CQ227">
        <v>0</v>
      </c>
      <c r="CR227">
        <v>0</v>
      </c>
      <c r="CS227">
        <v>0</v>
      </c>
      <c r="CT227">
        <v>0</v>
      </c>
      <c r="CU227">
        <v>0</v>
      </c>
      <c r="CV227">
        <v>0</v>
      </c>
      <c r="CW227">
        <v>0</v>
      </c>
      <c r="CX227">
        <v>0</v>
      </c>
      <c r="CY227">
        <v>0</v>
      </c>
      <c r="CZ227">
        <v>0</v>
      </c>
      <c r="DA227">
        <v>0</v>
      </c>
      <c r="DB227">
        <v>0</v>
      </c>
      <c r="DC227">
        <v>0</v>
      </c>
      <c r="DD227">
        <v>0</v>
      </c>
      <c r="DE227">
        <v>0</v>
      </c>
      <c r="DF227">
        <v>0</v>
      </c>
      <c r="DG227">
        <v>0</v>
      </c>
      <c r="DH227">
        <v>0</v>
      </c>
      <c r="DI227">
        <v>0</v>
      </c>
      <c r="DJ227">
        <v>0</v>
      </c>
      <c r="DK227">
        <v>0</v>
      </c>
      <c r="DL227">
        <v>0</v>
      </c>
      <c r="DM227">
        <v>0</v>
      </c>
      <c r="DN227">
        <v>0</v>
      </c>
      <c r="DO227">
        <v>0</v>
      </c>
      <c r="DP227">
        <v>0</v>
      </c>
      <c r="DQ227">
        <v>0</v>
      </c>
      <c r="DR227">
        <v>0</v>
      </c>
      <c r="DS227">
        <v>0</v>
      </c>
      <c r="DT227">
        <v>0</v>
      </c>
      <c r="DU227">
        <v>0</v>
      </c>
      <c r="DV227">
        <v>0</v>
      </c>
      <c r="DW227">
        <v>0</v>
      </c>
      <c r="DX227">
        <v>0</v>
      </c>
      <c r="DY227">
        <v>0</v>
      </c>
      <c r="DZ227">
        <v>0</v>
      </c>
      <c r="EA227">
        <v>0</v>
      </c>
      <c r="EB227">
        <v>0</v>
      </c>
      <c r="EC227">
        <v>0</v>
      </c>
      <c r="ED227">
        <v>0</v>
      </c>
      <c r="EE227">
        <v>0</v>
      </c>
      <c r="EF227">
        <v>0</v>
      </c>
      <c r="EG227">
        <v>0</v>
      </c>
      <c r="EH227">
        <v>0</v>
      </c>
      <c r="EI227">
        <v>0</v>
      </c>
      <c r="EJ227">
        <v>0</v>
      </c>
      <c r="EK227">
        <v>0</v>
      </c>
      <c r="EL227">
        <v>0</v>
      </c>
      <c r="EM227">
        <v>0</v>
      </c>
      <c r="EN227">
        <v>0</v>
      </c>
      <c r="EO227">
        <v>0</v>
      </c>
      <c r="EP227">
        <v>0</v>
      </c>
      <c r="EQ227">
        <v>0</v>
      </c>
      <c r="ER227">
        <v>0</v>
      </c>
      <c r="ES227">
        <v>0</v>
      </c>
      <c r="ET227">
        <v>0</v>
      </c>
      <c r="EU227">
        <v>0</v>
      </c>
      <c r="EV227">
        <v>0</v>
      </c>
      <c r="EW227">
        <v>0</v>
      </c>
      <c r="EX227">
        <v>0</v>
      </c>
      <c r="EY227">
        <v>0</v>
      </c>
      <c r="EZ227">
        <v>0</v>
      </c>
      <c r="FA227">
        <v>0</v>
      </c>
      <c r="FB227">
        <v>0</v>
      </c>
      <c r="FC227">
        <v>0</v>
      </c>
      <c r="FD227">
        <v>0</v>
      </c>
      <c r="FE227">
        <v>0</v>
      </c>
      <c r="FF227">
        <v>0</v>
      </c>
      <c r="FG227">
        <v>0</v>
      </c>
      <c r="FH227">
        <v>0</v>
      </c>
      <c r="FI227">
        <v>0</v>
      </c>
      <c r="FJ227">
        <v>0</v>
      </c>
      <c r="FK227">
        <v>0</v>
      </c>
      <c r="FL227">
        <v>0</v>
      </c>
      <c r="FM227">
        <v>0</v>
      </c>
      <c r="FN227">
        <v>0</v>
      </c>
      <c r="FO227">
        <v>0</v>
      </c>
      <c r="FP227">
        <v>0</v>
      </c>
      <c r="FQ227">
        <v>0</v>
      </c>
      <c r="FR227">
        <v>0</v>
      </c>
      <c r="FS227">
        <v>0</v>
      </c>
      <c r="FT227">
        <v>0</v>
      </c>
      <c r="FU227">
        <v>0</v>
      </c>
      <c r="FV227">
        <v>0</v>
      </c>
      <c r="FW227">
        <v>0</v>
      </c>
      <c r="FX227">
        <v>0</v>
      </c>
      <c r="FY227">
        <v>0</v>
      </c>
      <c r="FZ227">
        <v>0</v>
      </c>
      <c r="GA227">
        <v>0</v>
      </c>
      <c r="GB227">
        <v>0</v>
      </c>
      <c r="GC227">
        <v>0</v>
      </c>
      <c r="GD227">
        <v>0</v>
      </c>
      <c r="GE227">
        <v>0</v>
      </c>
      <c r="GF227">
        <v>0</v>
      </c>
      <c r="GG227">
        <v>0</v>
      </c>
      <c r="GH227">
        <v>0</v>
      </c>
      <c r="GI227">
        <v>0</v>
      </c>
      <c r="GJ227">
        <v>0</v>
      </c>
      <c r="GK227">
        <v>0</v>
      </c>
      <c r="GL227">
        <v>0</v>
      </c>
      <c r="GM227">
        <v>0</v>
      </c>
      <c r="GN227">
        <v>0</v>
      </c>
      <c r="GO227">
        <v>0</v>
      </c>
      <c r="GP227">
        <v>0</v>
      </c>
      <c r="GQ227">
        <v>0</v>
      </c>
      <c r="GR227">
        <v>0</v>
      </c>
      <c r="GS227">
        <v>0</v>
      </c>
      <c r="GT227">
        <v>0</v>
      </c>
      <c r="GU227">
        <v>0</v>
      </c>
      <c r="GV227">
        <v>0</v>
      </c>
      <c r="GW227">
        <v>0</v>
      </c>
      <c r="GX227">
        <v>0</v>
      </c>
      <c r="GY227">
        <v>0</v>
      </c>
      <c r="GZ227">
        <v>0</v>
      </c>
      <c r="HA227">
        <v>0</v>
      </c>
      <c r="HB227">
        <v>0</v>
      </c>
      <c r="HC227">
        <v>0</v>
      </c>
      <c r="HD227">
        <v>0</v>
      </c>
      <c r="HE227">
        <v>0</v>
      </c>
      <c r="HF227">
        <v>0</v>
      </c>
      <c r="HG227">
        <v>0</v>
      </c>
      <c r="HH227">
        <v>0</v>
      </c>
      <c r="HI227">
        <v>0</v>
      </c>
      <c r="HJ227">
        <v>0</v>
      </c>
      <c r="HK227">
        <v>0</v>
      </c>
      <c r="HL227">
        <v>0</v>
      </c>
      <c r="HM227">
        <v>0</v>
      </c>
      <c r="HN227">
        <v>0</v>
      </c>
      <c r="HO227">
        <v>0</v>
      </c>
      <c r="HP227">
        <v>0</v>
      </c>
      <c r="HQ227">
        <v>0</v>
      </c>
      <c r="HR227">
        <v>0</v>
      </c>
      <c r="HS227">
        <v>0</v>
      </c>
      <c r="HT227">
        <v>0</v>
      </c>
      <c r="HU227">
        <v>0</v>
      </c>
      <c r="HV227">
        <v>0</v>
      </c>
      <c r="HW227">
        <v>0</v>
      </c>
      <c r="HX227">
        <v>0</v>
      </c>
      <c r="HY227">
        <v>0</v>
      </c>
      <c r="HZ227">
        <v>0</v>
      </c>
      <c r="IA227">
        <v>0</v>
      </c>
      <c r="IB227">
        <v>0</v>
      </c>
      <c r="IC227">
        <v>0</v>
      </c>
      <c r="ID227">
        <v>0</v>
      </c>
      <c r="IE227">
        <v>0</v>
      </c>
      <c r="IF227">
        <v>0</v>
      </c>
      <c r="IG227">
        <v>0</v>
      </c>
      <c r="IH227">
        <v>0</v>
      </c>
      <c r="II227">
        <v>0</v>
      </c>
      <c r="IJ227">
        <v>0</v>
      </c>
      <c r="IK227">
        <v>0</v>
      </c>
      <c r="IL227">
        <v>0</v>
      </c>
      <c r="IM227">
        <v>0</v>
      </c>
      <c r="IN227">
        <v>0</v>
      </c>
      <c r="IO227">
        <v>0</v>
      </c>
      <c r="IP227">
        <v>0</v>
      </c>
      <c r="IQ227">
        <v>0</v>
      </c>
      <c r="IR227">
        <v>0</v>
      </c>
      <c r="IS227">
        <v>0</v>
      </c>
      <c r="IT227">
        <v>0</v>
      </c>
      <c r="IU227">
        <v>0</v>
      </c>
      <c r="IV227">
        <v>0</v>
      </c>
      <c r="IW227">
        <v>0</v>
      </c>
      <c r="IX227">
        <v>0</v>
      </c>
      <c r="IY227">
        <v>0</v>
      </c>
      <c r="IZ227">
        <v>0</v>
      </c>
      <c r="JA227">
        <v>0</v>
      </c>
      <c r="JB227">
        <v>0</v>
      </c>
      <c r="JC227">
        <v>0</v>
      </c>
      <c r="JD227">
        <v>0</v>
      </c>
      <c r="JE227">
        <v>0</v>
      </c>
      <c r="JF227">
        <v>0</v>
      </c>
      <c r="JG227">
        <v>0</v>
      </c>
      <c r="JH227">
        <v>0</v>
      </c>
      <c r="JI227">
        <v>0</v>
      </c>
      <c r="JJ227">
        <v>0</v>
      </c>
      <c r="JK227">
        <v>0</v>
      </c>
      <c r="JL227">
        <v>0</v>
      </c>
      <c r="JM227">
        <v>0</v>
      </c>
      <c r="JN227">
        <v>0</v>
      </c>
      <c r="JO227">
        <v>0</v>
      </c>
      <c r="JP227">
        <v>0</v>
      </c>
      <c r="JQ227">
        <v>0</v>
      </c>
      <c r="JR227">
        <v>0</v>
      </c>
      <c r="JS227">
        <v>0</v>
      </c>
      <c r="JT227">
        <v>0</v>
      </c>
      <c r="JU227">
        <v>0</v>
      </c>
      <c r="JV227">
        <v>0</v>
      </c>
      <c r="JW227">
        <v>0</v>
      </c>
      <c r="JX227">
        <v>0</v>
      </c>
      <c r="JY227">
        <v>0</v>
      </c>
      <c r="JZ227">
        <v>0</v>
      </c>
      <c r="KA227">
        <v>0</v>
      </c>
      <c r="KB227">
        <v>0</v>
      </c>
      <c r="KC227">
        <v>0</v>
      </c>
      <c r="KD227">
        <v>0</v>
      </c>
      <c r="KE227">
        <v>0</v>
      </c>
      <c r="KF227">
        <v>0</v>
      </c>
      <c r="KG227">
        <v>0</v>
      </c>
      <c r="KH227">
        <v>0</v>
      </c>
      <c r="KI227">
        <v>0</v>
      </c>
      <c r="KJ227">
        <v>0</v>
      </c>
      <c r="KK227">
        <v>0</v>
      </c>
      <c r="KL227">
        <v>0</v>
      </c>
      <c r="KM227">
        <v>0</v>
      </c>
      <c r="KN227">
        <v>0</v>
      </c>
      <c r="KO227">
        <v>0</v>
      </c>
      <c r="KP227">
        <v>0</v>
      </c>
      <c r="KQ227">
        <v>0</v>
      </c>
      <c r="KR227">
        <v>0</v>
      </c>
      <c r="KS227">
        <v>0</v>
      </c>
      <c r="KT227">
        <v>0</v>
      </c>
      <c r="KU227">
        <v>0</v>
      </c>
      <c r="KV227">
        <v>0</v>
      </c>
      <c r="KW227">
        <v>0</v>
      </c>
      <c r="KX227">
        <v>0</v>
      </c>
      <c r="KY227">
        <v>0</v>
      </c>
      <c r="KZ227">
        <v>0</v>
      </c>
      <c r="LA227">
        <v>0</v>
      </c>
      <c r="LB227">
        <v>0</v>
      </c>
      <c r="LC227">
        <v>0</v>
      </c>
      <c r="LD227">
        <v>0</v>
      </c>
      <c r="LE227">
        <v>0</v>
      </c>
      <c r="LF227">
        <v>0</v>
      </c>
      <c r="LG227">
        <v>0</v>
      </c>
      <c r="LH227">
        <v>0</v>
      </c>
      <c r="LI227">
        <v>0</v>
      </c>
      <c r="LJ227">
        <v>0</v>
      </c>
      <c r="LK227">
        <v>0</v>
      </c>
      <c r="LL227">
        <v>0</v>
      </c>
      <c r="LM227">
        <v>0</v>
      </c>
      <c r="LN227">
        <v>0</v>
      </c>
      <c r="LO227">
        <v>0</v>
      </c>
      <c r="LP227">
        <v>0</v>
      </c>
      <c r="LQ227">
        <v>0</v>
      </c>
      <c r="LR227">
        <v>0</v>
      </c>
      <c r="LS227">
        <v>0</v>
      </c>
      <c r="LT227">
        <v>0</v>
      </c>
      <c r="LU227">
        <v>0</v>
      </c>
      <c r="LV227">
        <v>0</v>
      </c>
      <c r="LW227">
        <v>0</v>
      </c>
      <c r="LX227">
        <v>0</v>
      </c>
      <c r="LY227">
        <v>0</v>
      </c>
      <c r="LZ227">
        <v>0</v>
      </c>
      <c r="MA227">
        <v>0</v>
      </c>
      <c r="MB227">
        <v>0</v>
      </c>
      <c r="MC227">
        <v>0</v>
      </c>
      <c r="MD227">
        <v>0</v>
      </c>
      <c r="ME227">
        <v>0</v>
      </c>
      <c r="MF227">
        <v>0</v>
      </c>
      <c r="MG227">
        <v>0</v>
      </c>
      <c r="MH227">
        <v>0</v>
      </c>
      <c r="MI227">
        <v>0</v>
      </c>
      <c r="MJ227">
        <v>0</v>
      </c>
      <c r="MK227">
        <v>0</v>
      </c>
      <c r="ML227">
        <v>0</v>
      </c>
      <c r="MM227">
        <v>0</v>
      </c>
      <c r="MN227">
        <v>0</v>
      </c>
      <c r="MO227">
        <v>0</v>
      </c>
      <c r="MP227">
        <v>0</v>
      </c>
      <c r="MQ227">
        <v>0</v>
      </c>
      <c r="MR227">
        <v>0</v>
      </c>
      <c r="MS227">
        <v>0</v>
      </c>
      <c r="MT227">
        <v>0</v>
      </c>
      <c r="MU227">
        <v>0</v>
      </c>
      <c r="MV227">
        <v>0</v>
      </c>
      <c r="MW227">
        <v>0</v>
      </c>
      <c r="MX227">
        <v>0</v>
      </c>
      <c r="MY227">
        <v>0</v>
      </c>
      <c r="MZ227">
        <v>0</v>
      </c>
      <c r="NA227">
        <v>0</v>
      </c>
      <c r="NB227">
        <v>0</v>
      </c>
      <c r="NC227">
        <v>0</v>
      </c>
      <c r="ND227">
        <v>0</v>
      </c>
      <c r="NE227">
        <v>0</v>
      </c>
    </row>
    <row r="228" spans="41:369" x14ac:dyDescent="0.45">
      <c r="AO228" t="str">
        <v>D104</v>
      </c>
      <c r="AP228" t="str">
        <v>MUHAMMAD SHANEED.</v>
      </c>
      <c r="AQ228" t="str">
        <v>JARF</v>
      </c>
      <c r="AR228" t="str">
        <v>SUPER SENIOR</v>
      </c>
      <c r="AS228">
        <v>8</v>
      </c>
      <c r="AT228">
        <v>3</v>
      </c>
      <c r="AU228">
        <v>0</v>
      </c>
      <c r="AV228">
        <v>3</v>
      </c>
      <c r="AW228">
        <v>3</v>
      </c>
      <c r="AX228">
        <v>209</v>
      </c>
      <c r="AY228" s="5">
        <v>209</v>
      </c>
      <c r="AZ228">
        <v>0</v>
      </c>
      <c r="BA228">
        <v>0</v>
      </c>
      <c r="BB228">
        <v>0</v>
      </c>
      <c r="BC228">
        <v>0</v>
      </c>
      <c r="BD228">
        <v>0</v>
      </c>
      <c r="BE228">
        <v>0</v>
      </c>
      <c r="BF228">
        <v>0</v>
      </c>
      <c r="BG228">
        <v>0</v>
      </c>
      <c r="BH228">
        <v>0</v>
      </c>
      <c r="BI228" t="str">
        <v/>
      </c>
      <c r="BK228">
        <v>222</v>
      </c>
      <c r="BL228">
        <v>0</v>
      </c>
      <c r="BM228">
        <v>0</v>
      </c>
      <c r="BN228">
        <v>0</v>
      </c>
      <c r="BO228">
        <v>0</v>
      </c>
      <c r="BP228">
        <v>0</v>
      </c>
      <c r="BQ228">
        <v>0</v>
      </c>
      <c r="BR228">
        <v>0</v>
      </c>
      <c r="BS228">
        <v>0</v>
      </c>
      <c r="BT228">
        <v>0</v>
      </c>
      <c r="BU228">
        <v>0</v>
      </c>
      <c r="BV228">
        <v>0</v>
      </c>
      <c r="BW228">
        <v>0</v>
      </c>
      <c r="BX228">
        <v>0</v>
      </c>
      <c r="BY228">
        <v>0</v>
      </c>
      <c r="BZ228">
        <v>0</v>
      </c>
      <c r="CA228">
        <v>0</v>
      </c>
      <c r="CB228">
        <v>0</v>
      </c>
      <c r="CC228">
        <v>0</v>
      </c>
      <c r="CD228">
        <v>0</v>
      </c>
      <c r="CE228">
        <v>0</v>
      </c>
      <c r="CF228">
        <v>0</v>
      </c>
      <c r="CG228">
        <v>0</v>
      </c>
      <c r="CH228">
        <v>0</v>
      </c>
      <c r="CI228">
        <v>0</v>
      </c>
      <c r="CJ228">
        <v>0</v>
      </c>
      <c r="CK228">
        <v>0</v>
      </c>
      <c r="CL228">
        <v>0</v>
      </c>
      <c r="CM228">
        <v>0</v>
      </c>
      <c r="CN228">
        <v>0</v>
      </c>
      <c r="CO228">
        <v>0</v>
      </c>
      <c r="CP228">
        <v>0</v>
      </c>
      <c r="CQ228">
        <v>0</v>
      </c>
      <c r="CR228">
        <v>0</v>
      </c>
      <c r="CS228">
        <v>0</v>
      </c>
      <c r="CT228">
        <v>0</v>
      </c>
      <c r="CU228">
        <v>0</v>
      </c>
      <c r="CV228">
        <v>0</v>
      </c>
      <c r="CW228">
        <v>0</v>
      </c>
      <c r="CX228">
        <v>0</v>
      </c>
      <c r="CY228">
        <v>0</v>
      </c>
      <c r="CZ228">
        <v>0</v>
      </c>
      <c r="DA228">
        <v>0</v>
      </c>
      <c r="DB228">
        <v>0</v>
      </c>
      <c r="DC228">
        <v>0</v>
      </c>
      <c r="DD228">
        <v>0</v>
      </c>
      <c r="DE228">
        <v>0</v>
      </c>
      <c r="DF228">
        <v>0</v>
      </c>
      <c r="DG228">
        <v>0</v>
      </c>
      <c r="DH228">
        <v>0</v>
      </c>
      <c r="DI228">
        <v>0</v>
      </c>
      <c r="DJ228">
        <v>0</v>
      </c>
      <c r="DK228">
        <v>0</v>
      </c>
      <c r="DL228">
        <v>0</v>
      </c>
      <c r="DM228">
        <v>0</v>
      </c>
      <c r="DN228">
        <v>0</v>
      </c>
      <c r="DO228">
        <v>0</v>
      </c>
      <c r="DP228">
        <v>0</v>
      </c>
      <c r="DQ228">
        <v>0</v>
      </c>
      <c r="DR228">
        <v>0</v>
      </c>
      <c r="DS228">
        <v>0</v>
      </c>
      <c r="DT228">
        <v>0</v>
      </c>
      <c r="DU228">
        <v>0</v>
      </c>
      <c r="DV228">
        <v>0</v>
      </c>
      <c r="DW228">
        <v>0</v>
      </c>
      <c r="DX228">
        <v>0</v>
      </c>
      <c r="DY228">
        <v>0</v>
      </c>
      <c r="DZ228">
        <v>0</v>
      </c>
      <c r="EA228">
        <v>0</v>
      </c>
      <c r="EB228">
        <v>0</v>
      </c>
      <c r="EC228">
        <v>0</v>
      </c>
      <c r="ED228">
        <v>0</v>
      </c>
      <c r="EE228">
        <v>0</v>
      </c>
      <c r="EF228">
        <v>0</v>
      </c>
      <c r="EG228">
        <v>0</v>
      </c>
      <c r="EH228">
        <v>0</v>
      </c>
      <c r="EI228">
        <v>0</v>
      </c>
      <c r="EJ228">
        <v>0</v>
      </c>
      <c r="EK228">
        <v>0</v>
      </c>
      <c r="EL228">
        <v>0</v>
      </c>
      <c r="EM228">
        <v>0</v>
      </c>
      <c r="EN228">
        <v>0</v>
      </c>
      <c r="EO228">
        <v>0</v>
      </c>
      <c r="EP228">
        <v>0</v>
      </c>
      <c r="EQ228">
        <v>0</v>
      </c>
      <c r="ER228">
        <v>0</v>
      </c>
      <c r="ES228">
        <v>0</v>
      </c>
      <c r="ET228">
        <v>0</v>
      </c>
      <c r="EU228">
        <v>0</v>
      </c>
      <c r="EV228">
        <v>0</v>
      </c>
      <c r="EW228">
        <v>0</v>
      </c>
      <c r="EX228">
        <v>0</v>
      </c>
      <c r="EY228">
        <v>0</v>
      </c>
      <c r="EZ228">
        <v>0</v>
      </c>
      <c r="FA228">
        <v>0</v>
      </c>
      <c r="FB228">
        <v>0</v>
      </c>
      <c r="FC228">
        <v>0</v>
      </c>
      <c r="FD228">
        <v>0</v>
      </c>
      <c r="FE228">
        <v>0</v>
      </c>
      <c r="FF228">
        <v>0</v>
      </c>
      <c r="FG228">
        <v>0</v>
      </c>
      <c r="FH228">
        <v>0</v>
      </c>
      <c r="FI228">
        <v>0</v>
      </c>
      <c r="FJ228">
        <v>0</v>
      </c>
      <c r="FK228">
        <v>0</v>
      </c>
      <c r="FL228">
        <v>0</v>
      </c>
      <c r="FM228">
        <v>0</v>
      </c>
      <c r="FN228">
        <v>0</v>
      </c>
      <c r="FO228">
        <v>0</v>
      </c>
      <c r="FP228">
        <v>0</v>
      </c>
      <c r="FQ228">
        <v>0</v>
      </c>
      <c r="FR228">
        <v>0</v>
      </c>
      <c r="FS228">
        <v>0</v>
      </c>
      <c r="FT228">
        <v>0</v>
      </c>
      <c r="FU228">
        <v>0</v>
      </c>
      <c r="FV228">
        <v>0</v>
      </c>
      <c r="FW228">
        <v>0</v>
      </c>
      <c r="FX228">
        <v>0</v>
      </c>
      <c r="FY228">
        <v>0</v>
      </c>
      <c r="FZ228">
        <v>0</v>
      </c>
      <c r="GA228">
        <v>0</v>
      </c>
      <c r="GB228">
        <v>0</v>
      </c>
      <c r="GC228">
        <v>0</v>
      </c>
      <c r="GD228">
        <v>0</v>
      </c>
      <c r="GE228">
        <v>0</v>
      </c>
      <c r="GF228">
        <v>0</v>
      </c>
      <c r="GG228">
        <v>0</v>
      </c>
      <c r="GH228">
        <v>0</v>
      </c>
      <c r="GI228">
        <v>0</v>
      </c>
      <c r="GJ228">
        <v>0</v>
      </c>
      <c r="GK228">
        <v>0</v>
      </c>
      <c r="GL228">
        <v>0</v>
      </c>
      <c r="GM228">
        <v>0</v>
      </c>
      <c r="GN228">
        <v>0</v>
      </c>
      <c r="GO228">
        <v>0</v>
      </c>
      <c r="GP228">
        <v>0</v>
      </c>
      <c r="GQ228">
        <v>0</v>
      </c>
      <c r="GR228">
        <v>0</v>
      </c>
      <c r="GS228">
        <v>0</v>
      </c>
      <c r="GT228">
        <v>0</v>
      </c>
      <c r="GU228">
        <v>0</v>
      </c>
      <c r="GV228">
        <v>0</v>
      </c>
      <c r="GW228">
        <v>0</v>
      </c>
      <c r="GX228">
        <v>0</v>
      </c>
      <c r="GY228">
        <v>0</v>
      </c>
      <c r="GZ228">
        <v>0</v>
      </c>
      <c r="HA228">
        <v>0</v>
      </c>
      <c r="HB228">
        <v>0</v>
      </c>
      <c r="HC228">
        <v>0</v>
      </c>
      <c r="HD228">
        <v>0</v>
      </c>
      <c r="HE228">
        <v>0</v>
      </c>
      <c r="HF228">
        <v>0</v>
      </c>
      <c r="HG228">
        <v>0</v>
      </c>
      <c r="HH228">
        <v>0</v>
      </c>
      <c r="HI228">
        <v>0</v>
      </c>
      <c r="HJ228">
        <v>0</v>
      </c>
      <c r="HK228">
        <v>0</v>
      </c>
      <c r="HL228">
        <v>0</v>
      </c>
      <c r="HM228">
        <v>0</v>
      </c>
      <c r="HN228">
        <v>0</v>
      </c>
      <c r="HO228">
        <v>0</v>
      </c>
      <c r="HP228">
        <v>0</v>
      </c>
      <c r="HQ228">
        <v>0</v>
      </c>
      <c r="HR228">
        <v>0</v>
      </c>
      <c r="HS228">
        <v>0</v>
      </c>
      <c r="HT228">
        <v>0</v>
      </c>
      <c r="HU228">
        <v>0</v>
      </c>
      <c r="HV228">
        <v>0</v>
      </c>
      <c r="HW228">
        <v>0</v>
      </c>
      <c r="HX228">
        <v>0</v>
      </c>
      <c r="HY228">
        <v>0</v>
      </c>
      <c r="HZ228">
        <v>0</v>
      </c>
      <c r="IA228">
        <v>0</v>
      </c>
      <c r="IB228">
        <v>0</v>
      </c>
      <c r="IC228">
        <v>0</v>
      </c>
      <c r="ID228">
        <v>0</v>
      </c>
      <c r="IE228">
        <v>0</v>
      </c>
      <c r="IF228">
        <v>0</v>
      </c>
      <c r="IG228">
        <v>0</v>
      </c>
      <c r="IH228">
        <v>0</v>
      </c>
      <c r="II228">
        <v>0</v>
      </c>
      <c r="IJ228">
        <v>0</v>
      </c>
      <c r="IK228">
        <v>0</v>
      </c>
      <c r="IL228">
        <v>0</v>
      </c>
      <c r="IM228">
        <v>0</v>
      </c>
      <c r="IN228">
        <v>0</v>
      </c>
      <c r="IO228">
        <v>0</v>
      </c>
      <c r="IP228">
        <v>0</v>
      </c>
      <c r="IQ228">
        <v>0</v>
      </c>
      <c r="IR228">
        <v>0</v>
      </c>
      <c r="IS228">
        <v>0</v>
      </c>
      <c r="IT228">
        <v>0</v>
      </c>
      <c r="IU228">
        <v>0</v>
      </c>
      <c r="IV228">
        <v>0</v>
      </c>
      <c r="IW228">
        <v>0</v>
      </c>
      <c r="IX228">
        <v>0</v>
      </c>
      <c r="IY228">
        <v>0</v>
      </c>
      <c r="IZ228">
        <v>0</v>
      </c>
      <c r="JA228">
        <v>0</v>
      </c>
      <c r="JB228">
        <v>0</v>
      </c>
      <c r="JC228">
        <v>0</v>
      </c>
      <c r="JD228">
        <v>0</v>
      </c>
      <c r="JE228">
        <v>0</v>
      </c>
      <c r="JF228">
        <v>0</v>
      </c>
      <c r="JG228">
        <v>0</v>
      </c>
      <c r="JH228">
        <v>0</v>
      </c>
      <c r="JI228">
        <v>0</v>
      </c>
      <c r="JJ228">
        <v>0</v>
      </c>
      <c r="JK228">
        <v>0</v>
      </c>
      <c r="JL228">
        <v>0</v>
      </c>
      <c r="JM228">
        <v>0</v>
      </c>
      <c r="JN228">
        <v>0</v>
      </c>
      <c r="JO228">
        <v>0</v>
      </c>
      <c r="JP228">
        <v>0</v>
      </c>
      <c r="JQ228">
        <v>0</v>
      </c>
      <c r="JR228">
        <v>0</v>
      </c>
      <c r="JS228">
        <v>0</v>
      </c>
      <c r="JT228">
        <v>0</v>
      </c>
      <c r="JU228">
        <v>0</v>
      </c>
      <c r="JV228">
        <v>0</v>
      </c>
      <c r="JW228">
        <v>0</v>
      </c>
      <c r="JX228">
        <v>0</v>
      </c>
      <c r="JY228">
        <v>0</v>
      </c>
      <c r="JZ228">
        <v>0</v>
      </c>
      <c r="KA228">
        <v>0</v>
      </c>
      <c r="KB228">
        <v>0</v>
      </c>
      <c r="KC228">
        <v>0</v>
      </c>
      <c r="KD228">
        <v>0</v>
      </c>
      <c r="KE228">
        <v>0</v>
      </c>
      <c r="KF228">
        <v>0</v>
      </c>
      <c r="KG228">
        <v>0</v>
      </c>
      <c r="KH228">
        <v>0</v>
      </c>
      <c r="KI228">
        <v>0</v>
      </c>
      <c r="KJ228">
        <v>0</v>
      </c>
      <c r="KK228">
        <v>0</v>
      </c>
      <c r="KL228">
        <v>0</v>
      </c>
      <c r="KM228">
        <v>0</v>
      </c>
      <c r="KN228">
        <v>0</v>
      </c>
      <c r="KO228">
        <v>0</v>
      </c>
      <c r="KP228">
        <v>0</v>
      </c>
      <c r="KQ228">
        <v>0</v>
      </c>
      <c r="KR228">
        <v>0</v>
      </c>
      <c r="KS228">
        <v>0</v>
      </c>
      <c r="KT228">
        <v>0</v>
      </c>
      <c r="KU228">
        <v>0</v>
      </c>
      <c r="KV228">
        <v>0</v>
      </c>
      <c r="KW228">
        <v>0</v>
      </c>
      <c r="KX228">
        <v>0</v>
      </c>
      <c r="KY228">
        <v>0</v>
      </c>
      <c r="KZ228">
        <v>0</v>
      </c>
      <c r="LA228">
        <v>0</v>
      </c>
      <c r="LB228">
        <v>0</v>
      </c>
      <c r="LC228">
        <v>0</v>
      </c>
      <c r="LD228">
        <v>0</v>
      </c>
      <c r="LE228">
        <v>0</v>
      </c>
      <c r="LF228">
        <v>0</v>
      </c>
      <c r="LG228">
        <v>0</v>
      </c>
      <c r="LH228">
        <v>0</v>
      </c>
      <c r="LI228">
        <v>0</v>
      </c>
      <c r="LJ228">
        <v>0</v>
      </c>
      <c r="LK228">
        <v>0</v>
      </c>
      <c r="LL228">
        <v>0</v>
      </c>
      <c r="LM228">
        <v>0</v>
      </c>
      <c r="LN228">
        <v>0</v>
      </c>
      <c r="LO228">
        <v>0</v>
      </c>
      <c r="LP228">
        <v>0</v>
      </c>
      <c r="LQ228">
        <v>0</v>
      </c>
      <c r="LR228">
        <v>0</v>
      </c>
      <c r="LS228">
        <v>0</v>
      </c>
      <c r="LT228">
        <v>0</v>
      </c>
      <c r="LU228">
        <v>0</v>
      </c>
      <c r="LV228">
        <v>0</v>
      </c>
      <c r="LW228">
        <v>0</v>
      </c>
      <c r="LX228">
        <v>0</v>
      </c>
      <c r="LY228">
        <v>0</v>
      </c>
      <c r="LZ228">
        <v>0</v>
      </c>
      <c r="MA228">
        <v>0</v>
      </c>
      <c r="MB228">
        <v>0</v>
      </c>
      <c r="MC228">
        <v>0</v>
      </c>
      <c r="MD228">
        <v>0</v>
      </c>
      <c r="ME228">
        <v>0</v>
      </c>
      <c r="MF228">
        <v>0</v>
      </c>
      <c r="MG228">
        <v>0</v>
      </c>
      <c r="MH228">
        <v>0</v>
      </c>
      <c r="MI228">
        <v>0</v>
      </c>
      <c r="MJ228">
        <v>0</v>
      </c>
      <c r="MK228">
        <v>0</v>
      </c>
      <c r="ML228">
        <v>0</v>
      </c>
      <c r="MM228">
        <v>0</v>
      </c>
      <c r="MN228">
        <v>0</v>
      </c>
      <c r="MO228">
        <v>0</v>
      </c>
      <c r="MP228">
        <v>0</v>
      </c>
      <c r="MQ228">
        <v>0</v>
      </c>
      <c r="MR228">
        <v>0</v>
      </c>
      <c r="MS228">
        <v>0</v>
      </c>
      <c r="MT228">
        <v>0</v>
      </c>
      <c r="MU228">
        <v>0</v>
      </c>
      <c r="MV228">
        <v>0</v>
      </c>
      <c r="MW228">
        <v>0</v>
      </c>
      <c r="MX228">
        <v>0</v>
      </c>
      <c r="MY228">
        <v>0</v>
      </c>
      <c r="MZ228">
        <v>0</v>
      </c>
      <c r="NA228">
        <v>0</v>
      </c>
      <c r="NB228">
        <v>0</v>
      </c>
      <c r="NC228">
        <v>0</v>
      </c>
      <c r="ND228">
        <v>0</v>
      </c>
      <c r="NE228">
        <v>0</v>
      </c>
    </row>
    <row r="229" spans="41:369" x14ac:dyDescent="0.45">
      <c r="AO229" t="str">
        <v>D105</v>
      </c>
      <c r="AP229" t="str">
        <v>ABDUL WADHOOD</v>
      </c>
      <c r="AQ229" t="str">
        <v>FANT</v>
      </c>
      <c r="AR229" t="str">
        <v>SUPER SENIOR</v>
      </c>
      <c r="AS229">
        <v>8</v>
      </c>
      <c r="AT229">
        <v>8</v>
      </c>
      <c r="AU229">
        <v>0</v>
      </c>
      <c r="AV229">
        <v>8</v>
      </c>
      <c r="AW229">
        <v>8</v>
      </c>
      <c r="AX229">
        <v>147</v>
      </c>
      <c r="AY229" s="5">
        <v>147</v>
      </c>
      <c r="AZ229">
        <v>0</v>
      </c>
      <c r="BA229">
        <v>0</v>
      </c>
      <c r="BB229">
        <v>0</v>
      </c>
      <c r="BC229">
        <v>0</v>
      </c>
      <c r="BD229">
        <v>0</v>
      </c>
      <c r="BE229">
        <v>0</v>
      </c>
      <c r="BF229">
        <v>0</v>
      </c>
      <c r="BG229">
        <v>0</v>
      </c>
      <c r="BH229">
        <v>0</v>
      </c>
      <c r="BI229" t="str">
        <v/>
      </c>
      <c r="BK229">
        <v>223</v>
      </c>
      <c r="BL229">
        <v>0</v>
      </c>
      <c r="BM229">
        <v>0</v>
      </c>
      <c r="BN229">
        <v>0</v>
      </c>
      <c r="BO229">
        <v>0</v>
      </c>
      <c r="BP229">
        <v>0</v>
      </c>
      <c r="BQ229">
        <v>0</v>
      </c>
      <c r="BR229">
        <v>0</v>
      </c>
      <c r="BS229">
        <v>0</v>
      </c>
      <c r="BT229">
        <v>0</v>
      </c>
      <c r="BU229">
        <v>0</v>
      </c>
      <c r="BV229">
        <v>0</v>
      </c>
      <c r="BW229">
        <v>0</v>
      </c>
      <c r="BX229">
        <v>0</v>
      </c>
      <c r="BY229">
        <v>0</v>
      </c>
      <c r="BZ229">
        <v>0</v>
      </c>
      <c r="CA229">
        <v>0</v>
      </c>
      <c r="CB229">
        <v>0</v>
      </c>
      <c r="CC229">
        <v>0</v>
      </c>
      <c r="CD229">
        <v>0</v>
      </c>
      <c r="CE229">
        <v>0</v>
      </c>
      <c r="CF229">
        <v>0</v>
      </c>
      <c r="CG229">
        <v>0</v>
      </c>
      <c r="CH229">
        <v>0</v>
      </c>
      <c r="CI229">
        <v>0</v>
      </c>
      <c r="CJ229">
        <v>0</v>
      </c>
      <c r="CK229">
        <v>0</v>
      </c>
      <c r="CL229">
        <v>0</v>
      </c>
      <c r="CM229">
        <v>0</v>
      </c>
      <c r="CN229">
        <v>0</v>
      </c>
      <c r="CO229">
        <v>0</v>
      </c>
      <c r="CP229">
        <v>0</v>
      </c>
      <c r="CQ229">
        <v>0</v>
      </c>
      <c r="CR229">
        <v>0</v>
      </c>
      <c r="CS229">
        <v>0</v>
      </c>
      <c r="CT229">
        <v>0</v>
      </c>
      <c r="CU229">
        <v>0</v>
      </c>
      <c r="CV229">
        <v>0</v>
      </c>
      <c r="CW229">
        <v>0</v>
      </c>
      <c r="CX229">
        <v>0</v>
      </c>
      <c r="CY229">
        <v>0</v>
      </c>
      <c r="CZ229">
        <v>0</v>
      </c>
      <c r="DA229">
        <v>0</v>
      </c>
      <c r="DB229">
        <v>0</v>
      </c>
      <c r="DC229">
        <v>0</v>
      </c>
      <c r="DD229">
        <v>0</v>
      </c>
      <c r="DE229">
        <v>0</v>
      </c>
      <c r="DF229">
        <v>0</v>
      </c>
      <c r="DG229">
        <v>0</v>
      </c>
      <c r="DH229">
        <v>0</v>
      </c>
      <c r="DI229">
        <v>0</v>
      </c>
      <c r="DJ229">
        <v>0</v>
      </c>
      <c r="DK229">
        <v>0</v>
      </c>
      <c r="DL229">
        <v>0</v>
      </c>
      <c r="DM229">
        <v>0</v>
      </c>
      <c r="DN229">
        <v>0</v>
      </c>
      <c r="DO229">
        <v>0</v>
      </c>
      <c r="DP229">
        <v>0</v>
      </c>
      <c r="DQ229">
        <v>0</v>
      </c>
      <c r="DR229">
        <v>0</v>
      </c>
      <c r="DS229">
        <v>0</v>
      </c>
      <c r="DT229">
        <v>0</v>
      </c>
      <c r="DU229">
        <v>0</v>
      </c>
      <c r="DV229">
        <v>0</v>
      </c>
      <c r="DW229">
        <v>0</v>
      </c>
      <c r="DX229">
        <v>0</v>
      </c>
      <c r="DY229">
        <v>0</v>
      </c>
      <c r="DZ229">
        <v>0</v>
      </c>
      <c r="EA229">
        <v>0</v>
      </c>
      <c r="EB229">
        <v>0</v>
      </c>
      <c r="EC229">
        <v>0</v>
      </c>
      <c r="ED229">
        <v>0</v>
      </c>
      <c r="EE229">
        <v>0</v>
      </c>
      <c r="EF229">
        <v>0</v>
      </c>
      <c r="EG229">
        <v>0</v>
      </c>
      <c r="EH229">
        <v>0</v>
      </c>
      <c r="EI229">
        <v>0</v>
      </c>
      <c r="EJ229">
        <v>0</v>
      </c>
      <c r="EK229">
        <v>0</v>
      </c>
      <c r="EL229">
        <v>0</v>
      </c>
      <c r="EM229">
        <v>0</v>
      </c>
      <c r="EN229">
        <v>0</v>
      </c>
      <c r="EO229">
        <v>0</v>
      </c>
      <c r="EP229">
        <v>0</v>
      </c>
      <c r="EQ229">
        <v>0</v>
      </c>
      <c r="ER229">
        <v>0</v>
      </c>
      <c r="ES229">
        <v>0</v>
      </c>
      <c r="ET229">
        <v>0</v>
      </c>
      <c r="EU229">
        <v>0</v>
      </c>
      <c r="EV229">
        <v>0</v>
      </c>
      <c r="EW229">
        <v>0</v>
      </c>
      <c r="EX229">
        <v>0</v>
      </c>
      <c r="EY229">
        <v>0</v>
      </c>
      <c r="EZ229">
        <v>0</v>
      </c>
      <c r="FA229">
        <v>0</v>
      </c>
      <c r="FB229">
        <v>0</v>
      </c>
      <c r="FC229">
        <v>0</v>
      </c>
      <c r="FD229">
        <v>0</v>
      </c>
      <c r="FE229">
        <v>0</v>
      </c>
      <c r="FF229">
        <v>0</v>
      </c>
      <c r="FG229">
        <v>0</v>
      </c>
      <c r="FH229">
        <v>0</v>
      </c>
      <c r="FI229">
        <v>0</v>
      </c>
      <c r="FJ229">
        <v>0</v>
      </c>
      <c r="FK229">
        <v>0</v>
      </c>
      <c r="FL229">
        <v>0</v>
      </c>
      <c r="FM229">
        <v>0</v>
      </c>
      <c r="FN229">
        <v>0</v>
      </c>
      <c r="FO229">
        <v>0</v>
      </c>
      <c r="FP229">
        <v>0</v>
      </c>
      <c r="FQ229">
        <v>0</v>
      </c>
      <c r="FR229">
        <v>0</v>
      </c>
      <c r="FS229">
        <v>0</v>
      </c>
      <c r="FT229">
        <v>0</v>
      </c>
      <c r="FU229">
        <v>0</v>
      </c>
      <c r="FV229">
        <v>0</v>
      </c>
      <c r="FW229">
        <v>0</v>
      </c>
      <c r="FX229">
        <v>0</v>
      </c>
      <c r="FY229">
        <v>0</v>
      </c>
      <c r="FZ229">
        <v>0</v>
      </c>
      <c r="GA229">
        <v>0</v>
      </c>
      <c r="GB229">
        <v>0</v>
      </c>
      <c r="GC229">
        <v>0</v>
      </c>
      <c r="GD229">
        <v>0</v>
      </c>
      <c r="GE229">
        <v>0</v>
      </c>
      <c r="GF229">
        <v>0</v>
      </c>
      <c r="GG229">
        <v>0</v>
      </c>
      <c r="GH229">
        <v>0</v>
      </c>
      <c r="GI229">
        <v>0</v>
      </c>
      <c r="GJ229">
        <v>0</v>
      </c>
      <c r="GK229">
        <v>0</v>
      </c>
      <c r="GL229">
        <v>0</v>
      </c>
      <c r="GM229">
        <v>0</v>
      </c>
      <c r="GN229">
        <v>0</v>
      </c>
      <c r="GO229">
        <v>0</v>
      </c>
      <c r="GP229">
        <v>0</v>
      </c>
      <c r="GQ229">
        <v>0</v>
      </c>
      <c r="GR229">
        <v>0</v>
      </c>
      <c r="GS229">
        <v>0</v>
      </c>
      <c r="GT229">
        <v>0</v>
      </c>
      <c r="GU229">
        <v>0</v>
      </c>
      <c r="GV229">
        <v>0</v>
      </c>
      <c r="GW229">
        <v>0</v>
      </c>
      <c r="GX229">
        <v>0</v>
      </c>
      <c r="GY229">
        <v>0</v>
      </c>
      <c r="GZ229">
        <v>0</v>
      </c>
      <c r="HA229">
        <v>0</v>
      </c>
      <c r="HB229">
        <v>0</v>
      </c>
      <c r="HC229">
        <v>0</v>
      </c>
      <c r="HD229">
        <v>0</v>
      </c>
      <c r="HE229">
        <v>0</v>
      </c>
      <c r="HF229">
        <v>0</v>
      </c>
      <c r="HG229">
        <v>0</v>
      </c>
      <c r="HH229">
        <v>0</v>
      </c>
      <c r="HI229">
        <v>0</v>
      </c>
      <c r="HJ229">
        <v>0</v>
      </c>
      <c r="HK229">
        <v>0</v>
      </c>
      <c r="HL229">
        <v>0</v>
      </c>
      <c r="HM229">
        <v>0</v>
      </c>
      <c r="HN229">
        <v>0</v>
      </c>
      <c r="HO229">
        <v>0</v>
      </c>
      <c r="HP229">
        <v>0</v>
      </c>
      <c r="HQ229">
        <v>0</v>
      </c>
      <c r="HR229">
        <v>0</v>
      </c>
      <c r="HS229">
        <v>0</v>
      </c>
      <c r="HT229">
        <v>0</v>
      </c>
      <c r="HU229">
        <v>0</v>
      </c>
      <c r="HV229">
        <v>0</v>
      </c>
      <c r="HW229">
        <v>0</v>
      </c>
      <c r="HX229">
        <v>0</v>
      </c>
      <c r="HY229">
        <v>0</v>
      </c>
      <c r="HZ229">
        <v>0</v>
      </c>
      <c r="IA229">
        <v>0</v>
      </c>
      <c r="IB229">
        <v>0</v>
      </c>
      <c r="IC229">
        <v>0</v>
      </c>
      <c r="ID229">
        <v>0</v>
      </c>
      <c r="IE229">
        <v>0</v>
      </c>
      <c r="IF229">
        <v>0</v>
      </c>
      <c r="IG229">
        <v>0</v>
      </c>
      <c r="IH229">
        <v>0</v>
      </c>
      <c r="II229">
        <v>0</v>
      </c>
      <c r="IJ229">
        <v>0</v>
      </c>
      <c r="IK229">
        <v>0</v>
      </c>
      <c r="IL229">
        <v>0</v>
      </c>
      <c r="IM229">
        <v>0</v>
      </c>
      <c r="IN229">
        <v>0</v>
      </c>
      <c r="IO229">
        <v>0</v>
      </c>
      <c r="IP229">
        <v>0</v>
      </c>
      <c r="IQ229">
        <v>0</v>
      </c>
      <c r="IR229">
        <v>0</v>
      </c>
      <c r="IS229">
        <v>0</v>
      </c>
      <c r="IT229">
        <v>0</v>
      </c>
      <c r="IU229">
        <v>0</v>
      </c>
      <c r="IV229">
        <v>0</v>
      </c>
      <c r="IW229">
        <v>0</v>
      </c>
      <c r="IX229">
        <v>0</v>
      </c>
      <c r="IY229">
        <v>0</v>
      </c>
      <c r="IZ229">
        <v>0</v>
      </c>
      <c r="JA229">
        <v>0</v>
      </c>
      <c r="JB229">
        <v>0</v>
      </c>
      <c r="JC229">
        <v>0</v>
      </c>
      <c r="JD229">
        <v>0</v>
      </c>
      <c r="JE229">
        <v>0</v>
      </c>
      <c r="JF229">
        <v>0</v>
      </c>
      <c r="JG229">
        <v>0</v>
      </c>
      <c r="JH229">
        <v>0</v>
      </c>
      <c r="JI229">
        <v>0</v>
      </c>
      <c r="JJ229">
        <v>0</v>
      </c>
      <c r="JK229">
        <v>0</v>
      </c>
      <c r="JL229">
        <v>0</v>
      </c>
      <c r="JM229">
        <v>0</v>
      </c>
      <c r="JN229">
        <v>0</v>
      </c>
      <c r="JO229">
        <v>0</v>
      </c>
      <c r="JP229">
        <v>0</v>
      </c>
      <c r="JQ229">
        <v>0</v>
      </c>
      <c r="JR229">
        <v>0</v>
      </c>
      <c r="JS229">
        <v>0</v>
      </c>
      <c r="JT229">
        <v>0</v>
      </c>
      <c r="JU229">
        <v>0</v>
      </c>
      <c r="JV229">
        <v>0</v>
      </c>
      <c r="JW229">
        <v>0</v>
      </c>
      <c r="JX229">
        <v>0</v>
      </c>
      <c r="JY229">
        <v>0</v>
      </c>
      <c r="JZ229">
        <v>0</v>
      </c>
      <c r="KA229">
        <v>0</v>
      </c>
      <c r="KB229">
        <v>0</v>
      </c>
      <c r="KC229">
        <v>0</v>
      </c>
      <c r="KD229">
        <v>0</v>
      </c>
      <c r="KE229">
        <v>0</v>
      </c>
      <c r="KF229">
        <v>0</v>
      </c>
      <c r="KG229">
        <v>0</v>
      </c>
      <c r="KH229">
        <v>0</v>
      </c>
      <c r="KI229">
        <v>0</v>
      </c>
      <c r="KJ229">
        <v>0</v>
      </c>
      <c r="KK229">
        <v>0</v>
      </c>
      <c r="KL229">
        <v>0</v>
      </c>
      <c r="KM229">
        <v>0</v>
      </c>
      <c r="KN229">
        <v>0</v>
      </c>
      <c r="KO229">
        <v>0</v>
      </c>
      <c r="KP229">
        <v>0</v>
      </c>
      <c r="KQ229">
        <v>0</v>
      </c>
      <c r="KR229">
        <v>0</v>
      </c>
      <c r="KS229">
        <v>0</v>
      </c>
      <c r="KT229">
        <v>0</v>
      </c>
      <c r="KU229">
        <v>0</v>
      </c>
      <c r="KV229">
        <v>0</v>
      </c>
      <c r="KW229">
        <v>0</v>
      </c>
      <c r="KX229">
        <v>0</v>
      </c>
      <c r="KY229">
        <v>0</v>
      </c>
      <c r="KZ229">
        <v>0</v>
      </c>
      <c r="LA229">
        <v>0</v>
      </c>
      <c r="LB229">
        <v>0</v>
      </c>
      <c r="LC229">
        <v>0</v>
      </c>
      <c r="LD229">
        <v>0</v>
      </c>
      <c r="LE229">
        <v>0</v>
      </c>
      <c r="LF229">
        <v>0</v>
      </c>
      <c r="LG229">
        <v>0</v>
      </c>
      <c r="LH229">
        <v>0</v>
      </c>
      <c r="LI229">
        <v>0</v>
      </c>
      <c r="LJ229">
        <v>0</v>
      </c>
      <c r="LK229">
        <v>0</v>
      </c>
      <c r="LL229">
        <v>0</v>
      </c>
      <c r="LM229">
        <v>0</v>
      </c>
      <c r="LN229">
        <v>0</v>
      </c>
      <c r="LO229">
        <v>0</v>
      </c>
      <c r="LP229">
        <v>0</v>
      </c>
      <c r="LQ229">
        <v>0</v>
      </c>
      <c r="LR229">
        <v>0</v>
      </c>
      <c r="LS229">
        <v>0</v>
      </c>
      <c r="LT229">
        <v>0</v>
      </c>
      <c r="LU229">
        <v>0</v>
      </c>
      <c r="LV229">
        <v>0</v>
      </c>
      <c r="LW229">
        <v>0</v>
      </c>
      <c r="LX229">
        <v>0</v>
      </c>
      <c r="LY229">
        <v>0</v>
      </c>
      <c r="LZ229">
        <v>0</v>
      </c>
      <c r="MA229">
        <v>0</v>
      </c>
      <c r="MB229">
        <v>0</v>
      </c>
      <c r="MC229">
        <v>0</v>
      </c>
      <c r="MD229">
        <v>0</v>
      </c>
      <c r="ME229">
        <v>0</v>
      </c>
      <c r="MF229">
        <v>0</v>
      </c>
      <c r="MG229">
        <v>0</v>
      </c>
      <c r="MH229">
        <v>0</v>
      </c>
      <c r="MI229">
        <v>0</v>
      </c>
      <c r="MJ229">
        <v>0</v>
      </c>
      <c r="MK229">
        <v>0</v>
      </c>
      <c r="ML229">
        <v>0</v>
      </c>
      <c r="MM229">
        <v>0</v>
      </c>
      <c r="MN229">
        <v>0</v>
      </c>
      <c r="MO229">
        <v>0</v>
      </c>
      <c r="MP229">
        <v>0</v>
      </c>
      <c r="MQ229">
        <v>0</v>
      </c>
      <c r="MR229">
        <v>0</v>
      </c>
      <c r="MS229">
        <v>0</v>
      </c>
      <c r="MT229">
        <v>0</v>
      </c>
      <c r="MU229">
        <v>0</v>
      </c>
      <c r="MV229">
        <v>0</v>
      </c>
      <c r="MW229">
        <v>0</v>
      </c>
      <c r="MX229">
        <v>0</v>
      </c>
      <c r="MY229">
        <v>0</v>
      </c>
      <c r="MZ229">
        <v>0</v>
      </c>
      <c r="NA229">
        <v>0</v>
      </c>
      <c r="NB229">
        <v>0</v>
      </c>
      <c r="NC229">
        <v>0</v>
      </c>
      <c r="ND229">
        <v>0</v>
      </c>
      <c r="NE229">
        <v>0</v>
      </c>
    </row>
    <row r="230" spans="41:369" x14ac:dyDescent="0.45">
      <c r="AO230" t="str">
        <v>D106</v>
      </c>
      <c r="AP230" t="str">
        <v>MOHAMMED SHAMMAS S.I</v>
      </c>
      <c r="AQ230" t="str">
        <v>DAHF</v>
      </c>
      <c r="AR230" t="str">
        <v>SUPER SENIOR</v>
      </c>
      <c r="AS230">
        <v>8</v>
      </c>
      <c r="AT230">
        <v>0</v>
      </c>
      <c r="AU230">
        <v>0</v>
      </c>
      <c r="AV230">
        <v>0</v>
      </c>
      <c r="AW230">
        <v>0</v>
      </c>
      <c r="AX230">
        <v>255</v>
      </c>
      <c r="AY230" s="5">
        <v>255</v>
      </c>
      <c r="AZ230">
        <v>0</v>
      </c>
      <c r="BA230">
        <v>0</v>
      </c>
      <c r="BB230">
        <v>0</v>
      </c>
      <c r="BC230">
        <v>0</v>
      </c>
      <c r="BD230">
        <v>0</v>
      </c>
      <c r="BE230">
        <v>0</v>
      </c>
      <c r="BF230">
        <v>0</v>
      </c>
      <c r="BG230">
        <v>0</v>
      </c>
      <c r="BH230">
        <v>0</v>
      </c>
      <c r="BI230" t="str">
        <v/>
      </c>
      <c r="BK230">
        <v>224</v>
      </c>
      <c r="BL230">
        <v>0</v>
      </c>
      <c r="BM230">
        <v>0</v>
      </c>
      <c r="BN230">
        <v>0</v>
      </c>
      <c r="BO230">
        <v>0</v>
      </c>
      <c r="BP230">
        <v>0</v>
      </c>
      <c r="BQ230">
        <v>0</v>
      </c>
      <c r="BR230">
        <v>0</v>
      </c>
      <c r="BS230">
        <v>0</v>
      </c>
      <c r="BT230">
        <v>0</v>
      </c>
      <c r="BU230">
        <v>0</v>
      </c>
      <c r="BV230">
        <v>0</v>
      </c>
      <c r="BW230">
        <v>0</v>
      </c>
      <c r="BX230">
        <v>0</v>
      </c>
      <c r="BY230">
        <v>0</v>
      </c>
      <c r="BZ230">
        <v>0</v>
      </c>
      <c r="CA230">
        <v>0</v>
      </c>
      <c r="CB230">
        <v>0</v>
      </c>
      <c r="CC230">
        <v>0</v>
      </c>
      <c r="CD230">
        <v>0</v>
      </c>
      <c r="CE230">
        <v>0</v>
      </c>
      <c r="CF230">
        <v>0</v>
      </c>
      <c r="CG230">
        <v>0</v>
      </c>
      <c r="CH230">
        <v>0</v>
      </c>
      <c r="CI230">
        <v>0</v>
      </c>
      <c r="CJ230">
        <v>0</v>
      </c>
      <c r="CK230">
        <v>0</v>
      </c>
      <c r="CL230">
        <v>0</v>
      </c>
      <c r="CM230">
        <v>0</v>
      </c>
      <c r="CN230">
        <v>0</v>
      </c>
      <c r="CO230">
        <v>0</v>
      </c>
      <c r="CP230">
        <v>0</v>
      </c>
      <c r="CQ230">
        <v>0</v>
      </c>
      <c r="CR230">
        <v>0</v>
      </c>
      <c r="CS230">
        <v>0</v>
      </c>
      <c r="CT230">
        <v>0</v>
      </c>
      <c r="CU230">
        <v>0</v>
      </c>
      <c r="CV230">
        <v>0</v>
      </c>
      <c r="CW230">
        <v>0</v>
      </c>
      <c r="CX230">
        <v>0</v>
      </c>
      <c r="CY230">
        <v>0</v>
      </c>
      <c r="CZ230">
        <v>0</v>
      </c>
      <c r="DA230">
        <v>0</v>
      </c>
      <c r="DB230">
        <v>0</v>
      </c>
      <c r="DC230">
        <v>0</v>
      </c>
      <c r="DD230">
        <v>0</v>
      </c>
      <c r="DE230">
        <v>0</v>
      </c>
      <c r="DF230">
        <v>0</v>
      </c>
      <c r="DG230">
        <v>0</v>
      </c>
      <c r="DH230">
        <v>0</v>
      </c>
      <c r="DI230">
        <v>0</v>
      </c>
      <c r="DJ230">
        <v>0</v>
      </c>
      <c r="DK230">
        <v>0</v>
      </c>
      <c r="DL230">
        <v>0</v>
      </c>
      <c r="DM230">
        <v>0</v>
      </c>
      <c r="DN230">
        <v>0</v>
      </c>
      <c r="DO230">
        <v>0</v>
      </c>
      <c r="DP230">
        <v>0</v>
      </c>
      <c r="DQ230">
        <v>0</v>
      </c>
      <c r="DR230">
        <v>0</v>
      </c>
      <c r="DS230">
        <v>0</v>
      </c>
      <c r="DT230">
        <v>0</v>
      </c>
      <c r="DU230">
        <v>0</v>
      </c>
      <c r="DV230">
        <v>0</v>
      </c>
      <c r="DW230">
        <v>0</v>
      </c>
      <c r="DX230">
        <v>0</v>
      </c>
      <c r="DY230">
        <v>0</v>
      </c>
      <c r="DZ230">
        <v>0</v>
      </c>
      <c r="EA230">
        <v>0</v>
      </c>
      <c r="EB230">
        <v>0</v>
      </c>
      <c r="EC230">
        <v>0</v>
      </c>
      <c r="ED230">
        <v>0</v>
      </c>
      <c r="EE230">
        <v>0</v>
      </c>
      <c r="EF230">
        <v>0</v>
      </c>
      <c r="EG230">
        <v>0</v>
      </c>
      <c r="EH230">
        <v>0</v>
      </c>
      <c r="EI230">
        <v>0</v>
      </c>
      <c r="EJ230">
        <v>0</v>
      </c>
      <c r="EK230">
        <v>0</v>
      </c>
      <c r="EL230">
        <v>0</v>
      </c>
      <c r="EM230">
        <v>0</v>
      </c>
      <c r="EN230">
        <v>0</v>
      </c>
      <c r="EO230">
        <v>0</v>
      </c>
      <c r="EP230">
        <v>0</v>
      </c>
      <c r="EQ230">
        <v>0</v>
      </c>
      <c r="ER230">
        <v>0</v>
      </c>
      <c r="ES230">
        <v>0</v>
      </c>
      <c r="ET230">
        <v>0</v>
      </c>
      <c r="EU230">
        <v>0</v>
      </c>
      <c r="EV230">
        <v>0</v>
      </c>
      <c r="EW230">
        <v>0</v>
      </c>
      <c r="EX230">
        <v>0</v>
      </c>
      <c r="EY230">
        <v>0</v>
      </c>
      <c r="EZ230">
        <v>0</v>
      </c>
      <c r="FA230">
        <v>0</v>
      </c>
      <c r="FB230">
        <v>0</v>
      </c>
      <c r="FC230">
        <v>0</v>
      </c>
      <c r="FD230">
        <v>0</v>
      </c>
      <c r="FE230">
        <v>0</v>
      </c>
      <c r="FF230">
        <v>0</v>
      </c>
      <c r="FG230">
        <v>0</v>
      </c>
      <c r="FH230">
        <v>0</v>
      </c>
      <c r="FI230">
        <v>0</v>
      </c>
      <c r="FJ230">
        <v>0</v>
      </c>
      <c r="FK230">
        <v>0</v>
      </c>
      <c r="FL230">
        <v>0</v>
      </c>
      <c r="FM230">
        <v>0</v>
      </c>
      <c r="FN230">
        <v>0</v>
      </c>
      <c r="FO230">
        <v>0</v>
      </c>
      <c r="FP230">
        <v>0</v>
      </c>
      <c r="FQ230">
        <v>0</v>
      </c>
      <c r="FR230">
        <v>0</v>
      </c>
      <c r="FS230">
        <v>0</v>
      </c>
      <c r="FT230">
        <v>0</v>
      </c>
      <c r="FU230">
        <v>0</v>
      </c>
      <c r="FV230">
        <v>0</v>
      </c>
      <c r="FW230">
        <v>0</v>
      </c>
      <c r="FX230">
        <v>0</v>
      </c>
      <c r="FY230">
        <v>0</v>
      </c>
      <c r="FZ230">
        <v>0</v>
      </c>
      <c r="GA230">
        <v>0</v>
      </c>
      <c r="GB230">
        <v>0</v>
      </c>
      <c r="GC230">
        <v>0</v>
      </c>
      <c r="GD230">
        <v>0</v>
      </c>
      <c r="GE230">
        <v>0</v>
      </c>
      <c r="GF230">
        <v>0</v>
      </c>
      <c r="GG230">
        <v>0</v>
      </c>
      <c r="GH230">
        <v>0</v>
      </c>
      <c r="GI230">
        <v>0</v>
      </c>
      <c r="GJ230">
        <v>0</v>
      </c>
      <c r="GK230">
        <v>0</v>
      </c>
      <c r="GL230">
        <v>0</v>
      </c>
      <c r="GM230">
        <v>0</v>
      </c>
      <c r="GN230">
        <v>0</v>
      </c>
      <c r="GO230">
        <v>0</v>
      </c>
      <c r="GP230">
        <v>0</v>
      </c>
      <c r="GQ230">
        <v>0</v>
      </c>
      <c r="GR230">
        <v>0</v>
      </c>
      <c r="GS230">
        <v>0</v>
      </c>
      <c r="GT230">
        <v>0</v>
      </c>
      <c r="GU230">
        <v>0</v>
      </c>
      <c r="GV230">
        <v>0</v>
      </c>
      <c r="GW230">
        <v>0</v>
      </c>
      <c r="GX230">
        <v>0</v>
      </c>
      <c r="GY230">
        <v>0</v>
      </c>
      <c r="GZ230">
        <v>0</v>
      </c>
      <c r="HA230">
        <v>0</v>
      </c>
      <c r="HB230">
        <v>0</v>
      </c>
      <c r="HC230">
        <v>0</v>
      </c>
      <c r="HD230">
        <v>0</v>
      </c>
      <c r="HE230">
        <v>0</v>
      </c>
      <c r="HF230">
        <v>0</v>
      </c>
      <c r="HG230">
        <v>0</v>
      </c>
      <c r="HH230">
        <v>0</v>
      </c>
      <c r="HI230">
        <v>0</v>
      </c>
      <c r="HJ230">
        <v>0</v>
      </c>
      <c r="HK230">
        <v>0</v>
      </c>
      <c r="HL230">
        <v>0</v>
      </c>
      <c r="HM230">
        <v>0</v>
      </c>
      <c r="HN230">
        <v>0</v>
      </c>
      <c r="HO230">
        <v>0</v>
      </c>
      <c r="HP230">
        <v>0</v>
      </c>
      <c r="HQ230">
        <v>0</v>
      </c>
      <c r="HR230">
        <v>0</v>
      </c>
      <c r="HS230">
        <v>0</v>
      </c>
      <c r="HT230">
        <v>0</v>
      </c>
      <c r="HU230">
        <v>0</v>
      </c>
      <c r="HV230">
        <v>0</v>
      </c>
      <c r="HW230">
        <v>0</v>
      </c>
      <c r="HX230">
        <v>0</v>
      </c>
      <c r="HY230">
        <v>0</v>
      </c>
      <c r="HZ230">
        <v>0</v>
      </c>
      <c r="IA230">
        <v>0</v>
      </c>
      <c r="IB230">
        <v>0</v>
      </c>
      <c r="IC230">
        <v>0</v>
      </c>
      <c r="ID230">
        <v>0</v>
      </c>
      <c r="IE230">
        <v>0</v>
      </c>
      <c r="IF230">
        <v>0</v>
      </c>
      <c r="IG230">
        <v>0</v>
      </c>
      <c r="IH230">
        <v>0</v>
      </c>
      <c r="II230">
        <v>0</v>
      </c>
      <c r="IJ230">
        <v>0</v>
      </c>
      <c r="IK230">
        <v>0</v>
      </c>
      <c r="IL230">
        <v>0</v>
      </c>
      <c r="IM230">
        <v>0</v>
      </c>
      <c r="IN230">
        <v>0</v>
      </c>
      <c r="IO230">
        <v>0</v>
      </c>
      <c r="IP230">
        <v>0</v>
      </c>
      <c r="IQ230">
        <v>0</v>
      </c>
      <c r="IR230">
        <v>0</v>
      </c>
      <c r="IS230">
        <v>0</v>
      </c>
      <c r="IT230">
        <v>0</v>
      </c>
      <c r="IU230">
        <v>0</v>
      </c>
      <c r="IV230">
        <v>0</v>
      </c>
      <c r="IW230">
        <v>0</v>
      </c>
      <c r="IX230">
        <v>0</v>
      </c>
      <c r="IY230">
        <v>0</v>
      </c>
      <c r="IZ230">
        <v>0</v>
      </c>
      <c r="JA230">
        <v>0</v>
      </c>
      <c r="JB230">
        <v>0</v>
      </c>
      <c r="JC230">
        <v>0</v>
      </c>
      <c r="JD230">
        <v>0</v>
      </c>
      <c r="JE230">
        <v>0</v>
      </c>
      <c r="JF230">
        <v>0</v>
      </c>
      <c r="JG230">
        <v>0</v>
      </c>
      <c r="JH230">
        <v>0</v>
      </c>
      <c r="JI230">
        <v>0</v>
      </c>
      <c r="JJ230">
        <v>0</v>
      </c>
      <c r="JK230">
        <v>0</v>
      </c>
      <c r="JL230">
        <v>0</v>
      </c>
      <c r="JM230">
        <v>0</v>
      </c>
      <c r="JN230">
        <v>0</v>
      </c>
      <c r="JO230">
        <v>0</v>
      </c>
      <c r="JP230">
        <v>0</v>
      </c>
      <c r="JQ230">
        <v>0</v>
      </c>
      <c r="JR230">
        <v>0</v>
      </c>
      <c r="JS230">
        <v>0</v>
      </c>
      <c r="JT230">
        <v>0</v>
      </c>
      <c r="JU230">
        <v>0</v>
      </c>
      <c r="JV230">
        <v>0</v>
      </c>
      <c r="JW230">
        <v>0</v>
      </c>
      <c r="JX230">
        <v>0</v>
      </c>
      <c r="JY230">
        <v>0</v>
      </c>
      <c r="JZ230">
        <v>0</v>
      </c>
      <c r="KA230">
        <v>0</v>
      </c>
      <c r="KB230">
        <v>0</v>
      </c>
      <c r="KC230">
        <v>0</v>
      </c>
      <c r="KD230">
        <v>0</v>
      </c>
      <c r="KE230">
        <v>0</v>
      </c>
      <c r="KF230">
        <v>0</v>
      </c>
      <c r="KG230">
        <v>0</v>
      </c>
      <c r="KH230">
        <v>0</v>
      </c>
      <c r="KI230">
        <v>0</v>
      </c>
      <c r="KJ230">
        <v>0</v>
      </c>
      <c r="KK230">
        <v>0</v>
      </c>
      <c r="KL230">
        <v>0</v>
      </c>
      <c r="KM230">
        <v>0</v>
      </c>
      <c r="KN230">
        <v>0</v>
      </c>
      <c r="KO230">
        <v>0</v>
      </c>
      <c r="KP230">
        <v>0</v>
      </c>
      <c r="KQ230">
        <v>0</v>
      </c>
      <c r="KR230">
        <v>0</v>
      </c>
      <c r="KS230">
        <v>0</v>
      </c>
      <c r="KT230">
        <v>0</v>
      </c>
      <c r="KU230">
        <v>0</v>
      </c>
      <c r="KV230">
        <v>0</v>
      </c>
      <c r="KW230">
        <v>0</v>
      </c>
      <c r="KX230">
        <v>0</v>
      </c>
      <c r="KY230">
        <v>0</v>
      </c>
      <c r="KZ230">
        <v>0</v>
      </c>
      <c r="LA230">
        <v>0</v>
      </c>
      <c r="LB230">
        <v>0</v>
      </c>
      <c r="LC230">
        <v>0</v>
      </c>
      <c r="LD230">
        <v>0</v>
      </c>
      <c r="LE230">
        <v>0</v>
      </c>
      <c r="LF230">
        <v>0</v>
      </c>
      <c r="LG230">
        <v>0</v>
      </c>
      <c r="LH230">
        <v>0</v>
      </c>
      <c r="LI230">
        <v>0</v>
      </c>
      <c r="LJ230">
        <v>0</v>
      </c>
      <c r="LK230">
        <v>0</v>
      </c>
      <c r="LL230">
        <v>0</v>
      </c>
      <c r="LM230">
        <v>0</v>
      </c>
      <c r="LN230">
        <v>0</v>
      </c>
      <c r="LO230">
        <v>0</v>
      </c>
      <c r="LP230">
        <v>0</v>
      </c>
      <c r="LQ230">
        <v>0</v>
      </c>
      <c r="LR230">
        <v>0</v>
      </c>
      <c r="LS230">
        <v>0</v>
      </c>
      <c r="LT230">
        <v>0</v>
      </c>
      <c r="LU230">
        <v>0</v>
      </c>
      <c r="LV230">
        <v>0</v>
      </c>
      <c r="LW230">
        <v>0</v>
      </c>
      <c r="LX230">
        <v>0</v>
      </c>
      <c r="LY230">
        <v>0</v>
      </c>
      <c r="LZ230">
        <v>0</v>
      </c>
      <c r="MA230">
        <v>0</v>
      </c>
      <c r="MB230">
        <v>0</v>
      </c>
      <c r="MC230">
        <v>0</v>
      </c>
      <c r="MD230">
        <v>0</v>
      </c>
      <c r="ME230">
        <v>0</v>
      </c>
      <c r="MF230">
        <v>0</v>
      </c>
      <c r="MG230">
        <v>0</v>
      </c>
      <c r="MH230">
        <v>0</v>
      </c>
      <c r="MI230">
        <v>0</v>
      </c>
      <c r="MJ230">
        <v>0</v>
      </c>
      <c r="MK230">
        <v>0</v>
      </c>
      <c r="ML230">
        <v>0</v>
      </c>
      <c r="MM230">
        <v>0</v>
      </c>
      <c r="MN230">
        <v>0</v>
      </c>
      <c r="MO230">
        <v>0</v>
      </c>
      <c r="MP230">
        <v>0</v>
      </c>
      <c r="MQ230">
        <v>0</v>
      </c>
      <c r="MR230">
        <v>0</v>
      </c>
      <c r="MS230">
        <v>0</v>
      </c>
      <c r="MT230">
        <v>0</v>
      </c>
      <c r="MU230">
        <v>0</v>
      </c>
      <c r="MV230">
        <v>0</v>
      </c>
      <c r="MW230">
        <v>0</v>
      </c>
      <c r="MX230">
        <v>0</v>
      </c>
      <c r="MY230">
        <v>0</v>
      </c>
      <c r="MZ230">
        <v>0</v>
      </c>
      <c r="NA230">
        <v>0</v>
      </c>
      <c r="NB230">
        <v>0</v>
      </c>
      <c r="NC230">
        <v>0</v>
      </c>
      <c r="ND230">
        <v>0</v>
      </c>
      <c r="NE230">
        <v>0</v>
      </c>
    </row>
    <row r="231" spans="41:369" x14ac:dyDescent="0.45">
      <c r="AO231" t="str">
        <v>D107</v>
      </c>
      <c r="AP231" t="str">
        <v>AHMMED HASHIM M</v>
      </c>
      <c r="AQ231" t="str">
        <v>DAHF</v>
      </c>
      <c r="AR231" t="str">
        <v>SUPER SENIOR</v>
      </c>
      <c r="AS231">
        <v>8</v>
      </c>
      <c r="AT231">
        <v>1</v>
      </c>
      <c r="AU231">
        <v>0</v>
      </c>
      <c r="AV231">
        <v>1</v>
      </c>
      <c r="AW231">
        <v>1</v>
      </c>
      <c r="AX231">
        <v>231</v>
      </c>
      <c r="AY231" s="5">
        <v>231</v>
      </c>
      <c r="AZ231">
        <v>0</v>
      </c>
      <c r="BA231">
        <v>0</v>
      </c>
      <c r="BB231">
        <v>0</v>
      </c>
      <c r="BC231">
        <v>0</v>
      </c>
      <c r="BD231">
        <v>0</v>
      </c>
      <c r="BE231">
        <v>0</v>
      </c>
      <c r="BF231">
        <v>0</v>
      </c>
      <c r="BG231">
        <v>0</v>
      </c>
      <c r="BH231">
        <v>0</v>
      </c>
      <c r="BI231" t="str">
        <v/>
      </c>
      <c r="BK231">
        <v>225</v>
      </c>
      <c r="BL231">
        <v>0</v>
      </c>
      <c r="BM231">
        <v>0</v>
      </c>
      <c r="BN231">
        <v>0</v>
      </c>
      <c r="BO231">
        <v>0</v>
      </c>
      <c r="BP231">
        <v>0</v>
      </c>
      <c r="BQ231">
        <v>0</v>
      </c>
      <c r="BR231">
        <v>0</v>
      </c>
      <c r="BS231">
        <v>0</v>
      </c>
      <c r="BT231">
        <v>0</v>
      </c>
      <c r="BU231">
        <v>0</v>
      </c>
      <c r="BV231">
        <v>0</v>
      </c>
      <c r="BW231">
        <v>0</v>
      </c>
      <c r="BX231">
        <v>0</v>
      </c>
      <c r="BY231">
        <v>0</v>
      </c>
      <c r="BZ231">
        <v>0</v>
      </c>
      <c r="CA231">
        <v>0</v>
      </c>
      <c r="CB231">
        <v>0</v>
      </c>
      <c r="CC231">
        <v>0</v>
      </c>
      <c r="CD231">
        <v>0</v>
      </c>
      <c r="CE231">
        <v>0</v>
      </c>
      <c r="CF231">
        <v>0</v>
      </c>
      <c r="CG231">
        <v>0</v>
      </c>
      <c r="CH231">
        <v>0</v>
      </c>
      <c r="CI231">
        <v>0</v>
      </c>
      <c r="CJ231">
        <v>0</v>
      </c>
      <c r="CK231">
        <v>0</v>
      </c>
      <c r="CL231">
        <v>0</v>
      </c>
      <c r="CM231">
        <v>0</v>
      </c>
      <c r="CN231">
        <v>0</v>
      </c>
      <c r="CO231">
        <v>0</v>
      </c>
      <c r="CP231">
        <v>0</v>
      </c>
      <c r="CQ231">
        <v>0</v>
      </c>
      <c r="CR231">
        <v>0</v>
      </c>
      <c r="CS231">
        <v>0</v>
      </c>
      <c r="CT231">
        <v>0</v>
      </c>
      <c r="CU231">
        <v>0</v>
      </c>
      <c r="CV231">
        <v>0</v>
      </c>
      <c r="CW231">
        <v>0</v>
      </c>
      <c r="CX231">
        <v>0</v>
      </c>
      <c r="CY231">
        <v>0</v>
      </c>
      <c r="CZ231">
        <v>0</v>
      </c>
      <c r="DA231">
        <v>0</v>
      </c>
      <c r="DB231">
        <v>0</v>
      </c>
      <c r="DC231">
        <v>0</v>
      </c>
      <c r="DD231">
        <v>0</v>
      </c>
      <c r="DE231">
        <v>0</v>
      </c>
      <c r="DF231">
        <v>0</v>
      </c>
      <c r="DG231">
        <v>0</v>
      </c>
      <c r="DH231">
        <v>0</v>
      </c>
      <c r="DI231">
        <v>0</v>
      </c>
      <c r="DJ231">
        <v>0</v>
      </c>
      <c r="DK231">
        <v>0</v>
      </c>
      <c r="DL231">
        <v>0</v>
      </c>
      <c r="DM231">
        <v>0</v>
      </c>
      <c r="DN231">
        <v>0</v>
      </c>
      <c r="DO231">
        <v>0</v>
      </c>
      <c r="DP231">
        <v>0</v>
      </c>
      <c r="DQ231">
        <v>0</v>
      </c>
      <c r="DR231">
        <v>0</v>
      </c>
      <c r="DS231">
        <v>0</v>
      </c>
      <c r="DT231">
        <v>0</v>
      </c>
      <c r="DU231">
        <v>0</v>
      </c>
      <c r="DV231">
        <v>0</v>
      </c>
      <c r="DW231">
        <v>0</v>
      </c>
      <c r="DX231">
        <v>0</v>
      </c>
      <c r="DY231">
        <v>0</v>
      </c>
      <c r="DZ231">
        <v>0</v>
      </c>
      <c r="EA231">
        <v>0</v>
      </c>
      <c r="EB231">
        <v>0</v>
      </c>
      <c r="EC231">
        <v>0</v>
      </c>
      <c r="ED231">
        <v>0</v>
      </c>
      <c r="EE231">
        <v>0</v>
      </c>
      <c r="EF231">
        <v>0</v>
      </c>
      <c r="EG231">
        <v>0</v>
      </c>
      <c r="EH231">
        <v>0</v>
      </c>
      <c r="EI231">
        <v>0</v>
      </c>
      <c r="EJ231">
        <v>0</v>
      </c>
      <c r="EK231">
        <v>0</v>
      </c>
      <c r="EL231">
        <v>0</v>
      </c>
      <c r="EM231">
        <v>0</v>
      </c>
      <c r="EN231">
        <v>0</v>
      </c>
      <c r="EO231">
        <v>0</v>
      </c>
      <c r="EP231">
        <v>0</v>
      </c>
      <c r="EQ231">
        <v>0</v>
      </c>
      <c r="ER231">
        <v>0</v>
      </c>
      <c r="ES231">
        <v>0</v>
      </c>
      <c r="ET231">
        <v>0</v>
      </c>
      <c r="EU231">
        <v>0</v>
      </c>
      <c r="EV231">
        <v>0</v>
      </c>
      <c r="EW231">
        <v>0</v>
      </c>
      <c r="EX231">
        <v>0</v>
      </c>
      <c r="EY231">
        <v>0</v>
      </c>
      <c r="EZ231">
        <v>0</v>
      </c>
      <c r="FA231">
        <v>0</v>
      </c>
      <c r="FB231">
        <v>0</v>
      </c>
      <c r="FC231">
        <v>0</v>
      </c>
      <c r="FD231">
        <v>0</v>
      </c>
      <c r="FE231">
        <v>0</v>
      </c>
      <c r="FF231">
        <v>0</v>
      </c>
      <c r="FG231">
        <v>0</v>
      </c>
      <c r="FH231">
        <v>0</v>
      </c>
      <c r="FI231">
        <v>0</v>
      </c>
      <c r="FJ231">
        <v>0</v>
      </c>
      <c r="FK231">
        <v>0</v>
      </c>
      <c r="FL231">
        <v>0</v>
      </c>
      <c r="FM231">
        <v>0</v>
      </c>
      <c r="FN231">
        <v>0</v>
      </c>
      <c r="FO231">
        <v>0</v>
      </c>
      <c r="FP231">
        <v>0</v>
      </c>
      <c r="FQ231">
        <v>0</v>
      </c>
      <c r="FR231">
        <v>0</v>
      </c>
      <c r="FS231">
        <v>0</v>
      </c>
      <c r="FT231">
        <v>0</v>
      </c>
      <c r="FU231">
        <v>0</v>
      </c>
      <c r="FV231">
        <v>0</v>
      </c>
      <c r="FW231">
        <v>0</v>
      </c>
      <c r="FX231">
        <v>0</v>
      </c>
      <c r="FY231">
        <v>0</v>
      </c>
      <c r="FZ231">
        <v>0</v>
      </c>
      <c r="GA231">
        <v>0</v>
      </c>
      <c r="GB231">
        <v>0</v>
      </c>
      <c r="GC231">
        <v>0</v>
      </c>
      <c r="GD231">
        <v>0</v>
      </c>
      <c r="GE231">
        <v>0</v>
      </c>
      <c r="GF231">
        <v>0</v>
      </c>
      <c r="GG231">
        <v>0</v>
      </c>
      <c r="GH231">
        <v>0</v>
      </c>
      <c r="GI231">
        <v>0</v>
      </c>
      <c r="GJ231">
        <v>0</v>
      </c>
      <c r="GK231">
        <v>0</v>
      </c>
      <c r="GL231">
        <v>0</v>
      </c>
      <c r="GM231">
        <v>0</v>
      </c>
      <c r="GN231">
        <v>0</v>
      </c>
      <c r="GO231">
        <v>0</v>
      </c>
      <c r="GP231">
        <v>0</v>
      </c>
      <c r="GQ231">
        <v>0</v>
      </c>
      <c r="GR231">
        <v>0</v>
      </c>
      <c r="GS231">
        <v>0</v>
      </c>
      <c r="GT231">
        <v>0</v>
      </c>
      <c r="GU231">
        <v>0</v>
      </c>
      <c r="GV231">
        <v>0</v>
      </c>
      <c r="GW231">
        <v>0</v>
      </c>
      <c r="GX231">
        <v>0</v>
      </c>
      <c r="GY231">
        <v>0</v>
      </c>
      <c r="GZ231">
        <v>0</v>
      </c>
      <c r="HA231">
        <v>0</v>
      </c>
      <c r="HB231">
        <v>0</v>
      </c>
      <c r="HC231">
        <v>0</v>
      </c>
      <c r="HD231">
        <v>0</v>
      </c>
      <c r="HE231">
        <v>0</v>
      </c>
      <c r="HF231">
        <v>0</v>
      </c>
      <c r="HG231">
        <v>0</v>
      </c>
      <c r="HH231">
        <v>0</v>
      </c>
      <c r="HI231">
        <v>0</v>
      </c>
      <c r="HJ231">
        <v>0</v>
      </c>
      <c r="HK231">
        <v>0</v>
      </c>
      <c r="HL231">
        <v>0</v>
      </c>
      <c r="HM231">
        <v>0</v>
      </c>
      <c r="HN231">
        <v>0</v>
      </c>
      <c r="HO231">
        <v>0</v>
      </c>
      <c r="HP231">
        <v>0</v>
      </c>
      <c r="HQ231">
        <v>0</v>
      </c>
      <c r="HR231">
        <v>0</v>
      </c>
      <c r="HS231">
        <v>0</v>
      </c>
      <c r="HT231">
        <v>0</v>
      </c>
      <c r="HU231">
        <v>0</v>
      </c>
      <c r="HV231">
        <v>0</v>
      </c>
      <c r="HW231">
        <v>0</v>
      </c>
      <c r="HX231">
        <v>0</v>
      </c>
      <c r="HY231">
        <v>0</v>
      </c>
      <c r="HZ231">
        <v>0</v>
      </c>
      <c r="IA231">
        <v>0</v>
      </c>
      <c r="IB231">
        <v>0</v>
      </c>
      <c r="IC231">
        <v>0</v>
      </c>
      <c r="ID231">
        <v>0</v>
      </c>
      <c r="IE231">
        <v>0</v>
      </c>
      <c r="IF231">
        <v>0</v>
      </c>
      <c r="IG231">
        <v>0</v>
      </c>
      <c r="IH231">
        <v>0</v>
      </c>
      <c r="II231">
        <v>0</v>
      </c>
      <c r="IJ231">
        <v>0</v>
      </c>
      <c r="IK231">
        <v>0</v>
      </c>
      <c r="IL231">
        <v>0</v>
      </c>
      <c r="IM231">
        <v>0</v>
      </c>
      <c r="IN231">
        <v>0</v>
      </c>
      <c r="IO231">
        <v>0</v>
      </c>
      <c r="IP231">
        <v>0</v>
      </c>
      <c r="IQ231">
        <v>0</v>
      </c>
      <c r="IR231">
        <v>0</v>
      </c>
      <c r="IS231">
        <v>0</v>
      </c>
      <c r="IT231">
        <v>0</v>
      </c>
      <c r="IU231">
        <v>0</v>
      </c>
      <c r="IV231">
        <v>0</v>
      </c>
      <c r="IW231">
        <v>0</v>
      </c>
      <c r="IX231">
        <v>0</v>
      </c>
      <c r="IY231">
        <v>0</v>
      </c>
      <c r="IZ231">
        <v>0</v>
      </c>
      <c r="JA231">
        <v>0</v>
      </c>
      <c r="JB231">
        <v>0</v>
      </c>
      <c r="JC231">
        <v>0</v>
      </c>
      <c r="JD231">
        <v>0</v>
      </c>
      <c r="JE231">
        <v>0</v>
      </c>
      <c r="JF231">
        <v>0</v>
      </c>
      <c r="JG231">
        <v>0</v>
      </c>
      <c r="JH231">
        <v>0</v>
      </c>
      <c r="JI231">
        <v>0</v>
      </c>
      <c r="JJ231">
        <v>0</v>
      </c>
      <c r="JK231">
        <v>0</v>
      </c>
      <c r="JL231">
        <v>0</v>
      </c>
      <c r="JM231">
        <v>0</v>
      </c>
      <c r="JN231">
        <v>0</v>
      </c>
      <c r="JO231">
        <v>0</v>
      </c>
      <c r="JP231">
        <v>0</v>
      </c>
      <c r="JQ231">
        <v>0</v>
      </c>
      <c r="JR231">
        <v>0</v>
      </c>
      <c r="JS231">
        <v>0</v>
      </c>
      <c r="JT231">
        <v>0</v>
      </c>
      <c r="JU231">
        <v>0</v>
      </c>
      <c r="JV231">
        <v>0</v>
      </c>
      <c r="JW231">
        <v>0</v>
      </c>
      <c r="JX231">
        <v>0</v>
      </c>
      <c r="JY231">
        <v>0</v>
      </c>
      <c r="JZ231">
        <v>0</v>
      </c>
      <c r="KA231">
        <v>0</v>
      </c>
      <c r="KB231">
        <v>0</v>
      </c>
      <c r="KC231">
        <v>0</v>
      </c>
      <c r="KD231">
        <v>0</v>
      </c>
      <c r="KE231">
        <v>0</v>
      </c>
      <c r="KF231">
        <v>0</v>
      </c>
      <c r="KG231">
        <v>0</v>
      </c>
      <c r="KH231">
        <v>0</v>
      </c>
      <c r="KI231">
        <v>0</v>
      </c>
      <c r="KJ231">
        <v>0</v>
      </c>
      <c r="KK231">
        <v>0</v>
      </c>
      <c r="KL231">
        <v>0</v>
      </c>
      <c r="KM231">
        <v>0</v>
      </c>
      <c r="KN231">
        <v>0</v>
      </c>
      <c r="KO231">
        <v>0</v>
      </c>
      <c r="KP231">
        <v>0</v>
      </c>
      <c r="KQ231">
        <v>0</v>
      </c>
      <c r="KR231">
        <v>0</v>
      </c>
      <c r="KS231">
        <v>0</v>
      </c>
      <c r="KT231">
        <v>0</v>
      </c>
      <c r="KU231">
        <v>0</v>
      </c>
      <c r="KV231">
        <v>0</v>
      </c>
      <c r="KW231">
        <v>0</v>
      </c>
      <c r="KX231">
        <v>0</v>
      </c>
      <c r="KY231">
        <v>0</v>
      </c>
      <c r="KZ231">
        <v>0</v>
      </c>
      <c r="LA231">
        <v>0</v>
      </c>
      <c r="LB231">
        <v>0</v>
      </c>
      <c r="LC231">
        <v>0</v>
      </c>
      <c r="LD231">
        <v>0</v>
      </c>
      <c r="LE231">
        <v>0</v>
      </c>
      <c r="LF231">
        <v>0</v>
      </c>
      <c r="LG231">
        <v>0</v>
      </c>
      <c r="LH231">
        <v>0</v>
      </c>
      <c r="LI231">
        <v>0</v>
      </c>
      <c r="LJ231">
        <v>0</v>
      </c>
      <c r="LK231">
        <v>0</v>
      </c>
      <c r="LL231">
        <v>0</v>
      </c>
      <c r="LM231">
        <v>0</v>
      </c>
      <c r="LN231">
        <v>0</v>
      </c>
      <c r="LO231">
        <v>0</v>
      </c>
      <c r="LP231">
        <v>0</v>
      </c>
      <c r="LQ231">
        <v>0</v>
      </c>
      <c r="LR231">
        <v>0</v>
      </c>
      <c r="LS231">
        <v>0</v>
      </c>
      <c r="LT231">
        <v>0</v>
      </c>
      <c r="LU231">
        <v>0</v>
      </c>
      <c r="LV231">
        <v>0</v>
      </c>
      <c r="LW231">
        <v>0</v>
      </c>
      <c r="LX231">
        <v>0</v>
      </c>
      <c r="LY231">
        <v>0</v>
      </c>
      <c r="LZ231">
        <v>0</v>
      </c>
      <c r="MA231">
        <v>0</v>
      </c>
      <c r="MB231">
        <v>0</v>
      </c>
      <c r="MC231">
        <v>0</v>
      </c>
      <c r="MD231">
        <v>0</v>
      </c>
      <c r="ME231">
        <v>0</v>
      </c>
      <c r="MF231">
        <v>0</v>
      </c>
      <c r="MG231">
        <v>0</v>
      </c>
      <c r="MH231">
        <v>0</v>
      </c>
      <c r="MI231">
        <v>0</v>
      </c>
      <c r="MJ231">
        <v>0</v>
      </c>
      <c r="MK231">
        <v>0</v>
      </c>
      <c r="ML231">
        <v>0</v>
      </c>
      <c r="MM231">
        <v>0</v>
      </c>
      <c r="MN231">
        <v>0</v>
      </c>
      <c r="MO231">
        <v>0</v>
      </c>
      <c r="MP231">
        <v>0</v>
      </c>
      <c r="MQ231">
        <v>0</v>
      </c>
      <c r="MR231">
        <v>0</v>
      </c>
      <c r="MS231">
        <v>0</v>
      </c>
      <c r="MT231">
        <v>0</v>
      </c>
      <c r="MU231">
        <v>0</v>
      </c>
      <c r="MV231">
        <v>0</v>
      </c>
      <c r="MW231">
        <v>0</v>
      </c>
      <c r="MX231">
        <v>0</v>
      </c>
      <c r="MY231">
        <v>0</v>
      </c>
      <c r="MZ231">
        <v>0</v>
      </c>
      <c r="NA231">
        <v>0</v>
      </c>
      <c r="NB231">
        <v>0</v>
      </c>
      <c r="NC231">
        <v>0</v>
      </c>
      <c r="ND231">
        <v>0</v>
      </c>
      <c r="NE231">
        <v>0</v>
      </c>
    </row>
    <row r="232" spans="41:369" x14ac:dyDescent="0.45">
      <c r="AO232" t="str">
        <v>D108</v>
      </c>
      <c r="AP232" t="str">
        <v>MOHAMMED HASHIR</v>
      </c>
      <c r="AQ232" t="str">
        <v>DAHF</v>
      </c>
      <c r="AR232" t="str">
        <v>SUPER SENIOR</v>
      </c>
      <c r="AS232">
        <v>8</v>
      </c>
      <c r="AT232">
        <v>46</v>
      </c>
      <c r="AU232">
        <v>0</v>
      </c>
      <c r="AV232">
        <v>46</v>
      </c>
      <c r="AW232">
        <v>46</v>
      </c>
      <c r="AX232">
        <v>17</v>
      </c>
      <c r="AY232" s="5">
        <v>17</v>
      </c>
      <c r="AZ232">
        <v>0</v>
      </c>
      <c r="BA232">
        <v>0</v>
      </c>
      <c r="BB232">
        <v>0</v>
      </c>
      <c r="BC232">
        <v>0</v>
      </c>
      <c r="BD232">
        <v>0</v>
      </c>
      <c r="BE232">
        <v>0</v>
      </c>
      <c r="BF232">
        <v>0</v>
      </c>
      <c r="BG232">
        <v>0</v>
      </c>
      <c r="BH232">
        <v>0</v>
      </c>
      <c r="BI232" t="str">
        <v/>
      </c>
      <c r="BK232">
        <v>226</v>
      </c>
      <c r="BL232">
        <v>0</v>
      </c>
      <c r="BM232">
        <v>0</v>
      </c>
      <c r="BN232">
        <v>0</v>
      </c>
      <c r="BO232">
        <v>0</v>
      </c>
      <c r="BP232">
        <v>0</v>
      </c>
      <c r="BQ232">
        <v>0</v>
      </c>
      <c r="BR232">
        <v>0</v>
      </c>
      <c r="BS232">
        <v>0</v>
      </c>
      <c r="BT232">
        <v>0</v>
      </c>
      <c r="BU232">
        <v>0</v>
      </c>
      <c r="BV232">
        <v>0</v>
      </c>
      <c r="BW232">
        <v>0</v>
      </c>
      <c r="BX232">
        <v>0</v>
      </c>
      <c r="BY232">
        <v>0</v>
      </c>
      <c r="BZ232">
        <v>0</v>
      </c>
      <c r="CA232">
        <v>0</v>
      </c>
      <c r="CB232">
        <v>0</v>
      </c>
      <c r="CC232">
        <v>0</v>
      </c>
      <c r="CD232">
        <v>0</v>
      </c>
      <c r="CE232">
        <v>0</v>
      </c>
      <c r="CF232">
        <v>0</v>
      </c>
      <c r="CG232">
        <v>0</v>
      </c>
      <c r="CH232">
        <v>0</v>
      </c>
      <c r="CI232">
        <v>0</v>
      </c>
      <c r="CJ232">
        <v>0</v>
      </c>
      <c r="CK232">
        <v>0</v>
      </c>
      <c r="CL232">
        <v>0</v>
      </c>
      <c r="CM232">
        <v>0</v>
      </c>
      <c r="CN232">
        <v>0</v>
      </c>
      <c r="CO232">
        <v>0</v>
      </c>
      <c r="CP232">
        <v>0</v>
      </c>
      <c r="CQ232">
        <v>0</v>
      </c>
      <c r="CR232">
        <v>0</v>
      </c>
      <c r="CS232">
        <v>0</v>
      </c>
      <c r="CT232">
        <v>0</v>
      </c>
      <c r="CU232">
        <v>0</v>
      </c>
      <c r="CV232">
        <v>0</v>
      </c>
      <c r="CW232">
        <v>0</v>
      </c>
      <c r="CX232">
        <v>0</v>
      </c>
      <c r="CY232">
        <v>0</v>
      </c>
      <c r="CZ232">
        <v>0</v>
      </c>
      <c r="DA232">
        <v>0</v>
      </c>
      <c r="DB232">
        <v>0</v>
      </c>
      <c r="DC232">
        <v>0</v>
      </c>
      <c r="DD232">
        <v>0</v>
      </c>
      <c r="DE232">
        <v>0</v>
      </c>
      <c r="DF232">
        <v>0</v>
      </c>
      <c r="DG232">
        <v>0</v>
      </c>
      <c r="DH232">
        <v>0</v>
      </c>
      <c r="DI232">
        <v>0</v>
      </c>
      <c r="DJ232">
        <v>0</v>
      </c>
      <c r="DK232">
        <v>0</v>
      </c>
      <c r="DL232">
        <v>0</v>
      </c>
      <c r="DM232">
        <v>0</v>
      </c>
      <c r="DN232">
        <v>0</v>
      </c>
      <c r="DO232">
        <v>0</v>
      </c>
      <c r="DP232">
        <v>0</v>
      </c>
      <c r="DQ232">
        <v>0</v>
      </c>
      <c r="DR232">
        <v>0</v>
      </c>
      <c r="DS232">
        <v>0</v>
      </c>
      <c r="DT232">
        <v>0</v>
      </c>
      <c r="DU232">
        <v>0</v>
      </c>
      <c r="DV232">
        <v>0</v>
      </c>
      <c r="DW232">
        <v>0</v>
      </c>
      <c r="DX232">
        <v>0</v>
      </c>
      <c r="DY232">
        <v>0</v>
      </c>
      <c r="DZ232">
        <v>0</v>
      </c>
      <c r="EA232">
        <v>0</v>
      </c>
      <c r="EB232">
        <v>0</v>
      </c>
      <c r="EC232">
        <v>0</v>
      </c>
      <c r="ED232">
        <v>0</v>
      </c>
      <c r="EE232">
        <v>0</v>
      </c>
      <c r="EF232">
        <v>0</v>
      </c>
      <c r="EG232">
        <v>0</v>
      </c>
      <c r="EH232">
        <v>0</v>
      </c>
      <c r="EI232">
        <v>0</v>
      </c>
      <c r="EJ232">
        <v>0</v>
      </c>
      <c r="EK232">
        <v>0</v>
      </c>
      <c r="EL232">
        <v>0</v>
      </c>
      <c r="EM232">
        <v>0</v>
      </c>
      <c r="EN232">
        <v>0</v>
      </c>
      <c r="EO232">
        <v>0</v>
      </c>
      <c r="EP232">
        <v>0</v>
      </c>
      <c r="EQ232">
        <v>0</v>
      </c>
      <c r="ER232">
        <v>0</v>
      </c>
      <c r="ES232">
        <v>0</v>
      </c>
      <c r="ET232">
        <v>0</v>
      </c>
      <c r="EU232">
        <v>0</v>
      </c>
      <c r="EV232">
        <v>0</v>
      </c>
      <c r="EW232">
        <v>0</v>
      </c>
      <c r="EX232">
        <v>0</v>
      </c>
      <c r="EY232">
        <v>0</v>
      </c>
      <c r="EZ232">
        <v>0</v>
      </c>
      <c r="FA232">
        <v>0</v>
      </c>
      <c r="FB232">
        <v>0</v>
      </c>
      <c r="FC232">
        <v>0</v>
      </c>
      <c r="FD232">
        <v>0</v>
      </c>
      <c r="FE232">
        <v>0</v>
      </c>
      <c r="FF232">
        <v>0</v>
      </c>
      <c r="FG232">
        <v>0</v>
      </c>
      <c r="FH232">
        <v>0</v>
      </c>
      <c r="FI232">
        <v>0</v>
      </c>
      <c r="FJ232">
        <v>0</v>
      </c>
      <c r="FK232">
        <v>0</v>
      </c>
      <c r="FL232">
        <v>0</v>
      </c>
      <c r="FM232">
        <v>0</v>
      </c>
      <c r="FN232">
        <v>0</v>
      </c>
      <c r="FO232">
        <v>0</v>
      </c>
      <c r="FP232">
        <v>0</v>
      </c>
      <c r="FQ232">
        <v>0</v>
      </c>
      <c r="FR232">
        <v>0</v>
      </c>
      <c r="FS232">
        <v>0</v>
      </c>
      <c r="FT232">
        <v>0</v>
      </c>
      <c r="FU232">
        <v>0</v>
      </c>
      <c r="FV232">
        <v>0</v>
      </c>
      <c r="FW232">
        <v>0</v>
      </c>
      <c r="FX232">
        <v>0</v>
      </c>
      <c r="FY232">
        <v>0</v>
      </c>
      <c r="FZ232">
        <v>0</v>
      </c>
      <c r="GA232">
        <v>0</v>
      </c>
      <c r="GB232">
        <v>0</v>
      </c>
      <c r="GC232">
        <v>0</v>
      </c>
      <c r="GD232">
        <v>0</v>
      </c>
      <c r="GE232">
        <v>0</v>
      </c>
      <c r="GF232">
        <v>0</v>
      </c>
      <c r="GG232">
        <v>0</v>
      </c>
      <c r="GH232">
        <v>0</v>
      </c>
      <c r="GI232">
        <v>0</v>
      </c>
      <c r="GJ232">
        <v>0</v>
      </c>
      <c r="GK232">
        <v>0</v>
      </c>
      <c r="GL232">
        <v>0</v>
      </c>
      <c r="GM232">
        <v>0</v>
      </c>
      <c r="GN232">
        <v>0</v>
      </c>
      <c r="GO232">
        <v>0</v>
      </c>
      <c r="GP232">
        <v>0</v>
      </c>
      <c r="GQ232">
        <v>0</v>
      </c>
      <c r="GR232">
        <v>0</v>
      </c>
      <c r="GS232">
        <v>0</v>
      </c>
      <c r="GT232">
        <v>0</v>
      </c>
      <c r="GU232">
        <v>0</v>
      </c>
      <c r="GV232">
        <v>0</v>
      </c>
      <c r="GW232">
        <v>0</v>
      </c>
      <c r="GX232">
        <v>0</v>
      </c>
      <c r="GY232">
        <v>0</v>
      </c>
      <c r="GZ232">
        <v>0</v>
      </c>
      <c r="HA232">
        <v>0</v>
      </c>
      <c r="HB232">
        <v>0</v>
      </c>
      <c r="HC232">
        <v>0</v>
      </c>
      <c r="HD232">
        <v>0</v>
      </c>
      <c r="HE232">
        <v>0</v>
      </c>
      <c r="HF232">
        <v>0</v>
      </c>
      <c r="HG232">
        <v>0</v>
      </c>
      <c r="HH232">
        <v>0</v>
      </c>
      <c r="HI232">
        <v>0</v>
      </c>
      <c r="HJ232">
        <v>0</v>
      </c>
      <c r="HK232">
        <v>0</v>
      </c>
      <c r="HL232">
        <v>0</v>
      </c>
      <c r="HM232">
        <v>0</v>
      </c>
      <c r="HN232">
        <v>0</v>
      </c>
      <c r="HO232">
        <v>0</v>
      </c>
      <c r="HP232">
        <v>0</v>
      </c>
      <c r="HQ232">
        <v>0</v>
      </c>
      <c r="HR232">
        <v>0</v>
      </c>
      <c r="HS232">
        <v>0</v>
      </c>
      <c r="HT232">
        <v>0</v>
      </c>
      <c r="HU232">
        <v>0</v>
      </c>
      <c r="HV232">
        <v>0</v>
      </c>
      <c r="HW232">
        <v>0</v>
      </c>
      <c r="HX232">
        <v>0</v>
      </c>
      <c r="HY232">
        <v>0</v>
      </c>
      <c r="HZ232">
        <v>0</v>
      </c>
      <c r="IA232">
        <v>0</v>
      </c>
      <c r="IB232">
        <v>0</v>
      </c>
      <c r="IC232">
        <v>0</v>
      </c>
      <c r="ID232">
        <v>0</v>
      </c>
      <c r="IE232">
        <v>0</v>
      </c>
      <c r="IF232">
        <v>0</v>
      </c>
      <c r="IG232">
        <v>0</v>
      </c>
      <c r="IH232">
        <v>0</v>
      </c>
      <c r="II232">
        <v>0</v>
      </c>
      <c r="IJ232">
        <v>0</v>
      </c>
      <c r="IK232">
        <v>0</v>
      </c>
      <c r="IL232">
        <v>0</v>
      </c>
      <c r="IM232">
        <v>0</v>
      </c>
      <c r="IN232">
        <v>0</v>
      </c>
      <c r="IO232">
        <v>0</v>
      </c>
      <c r="IP232">
        <v>0</v>
      </c>
      <c r="IQ232">
        <v>0</v>
      </c>
      <c r="IR232">
        <v>0</v>
      </c>
      <c r="IS232">
        <v>0</v>
      </c>
      <c r="IT232">
        <v>0</v>
      </c>
      <c r="IU232">
        <v>0</v>
      </c>
      <c r="IV232">
        <v>0</v>
      </c>
      <c r="IW232">
        <v>0</v>
      </c>
      <c r="IX232">
        <v>0</v>
      </c>
      <c r="IY232">
        <v>0</v>
      </c>
      <c r="IZ232">
        <v>0</v>
      </c>
      <c r="JA232">
        <v>0</v>
      </c>
      <c r="JB232">
        <v>0</v>
      </c>
      <c r="JC232">
        <v>0</v>
      </c>
      <c r="JD232">
        <v>0</v>
      </c>
      <c r="JE232">
        <v>0</v>
      </c>
      <c r="JF232">
        <v>0</v>
      </c>
      <c r="JG232">
        <v>0</v>
      </c>
      <c r="JH232">
        <v>0</v>
      </c>
      <c r="JI232">
        <v>0</v>
      </c>
      <c r="JJ232">
        <v>0</v>
      </c>
      <c r="JK232">
        <v>0</v>
      </c>
      <c r="JL232">
        <v>0</v>
      </c>
      <c r="JM232">
        <v>0</v>
      </c>
      <c r="JN232">
        <v>0</v>
      </c>
      <c r="JO232">
        <v>0</v>
      </c>
      <c r="JP232">
        <v>0</v>
      </c>
      <c r="JQ232">
        <v>0</v>
      </c>
      <c r="JR232">
        <v>0</v>
      </c>
      <c r="JS232">
        <v>0</v>
      </c>
      <c r="JT232">
        <v>0</v>
      </c>
      <c r="JU232">
        <v>0</v>
      </c>
      <c r="JV232">
        <v>0</v>
      </c>
      <c r="JW232">
        <v>0</v>
      </c>
      <c r="JX232">
        <v>0</v>
      </c>
      <c r="JY232">
        <v>0</v>
      </c>
      <c r="JZ232">
        <v>0</v>
      </c>
      <c r="KA232">
        <v>0</v>
      </c>
      <c r="KB232">
        <v>0</v>
      </c>
      <c r="KC232">
        <v>0</v>
      </c>
      <c r="KD232">
        <v>0</v>
      </c>
      <c r="KE232">
        <v>0</v>
      </c>
      <c r="KF232">
        <v>0</v>
      </c>
      <c r="KG232">
        <v>0</v>
      </c>
      <c r="KH232">
        <v>0</v>
      </c>
      <c r="KI232">
        <v>0</v>
      </c>
      <c r="KJ232">
        <v>0</v>
      </c>
      <c r="KK232">
        <v>0</v>
      </c>
      <c r="KL232">
        <v>0</v>
      </c>
      <c r="KM232">
        <v>0</v>
      </c>
      <c r="KN232">
        <v>0</v>
      </c>
      <c r="KO232">
        <v>0</v>
      </c>
      <c r="KP232">
        <v>0</v>
      </c>
      <c r="KQ232">
        <v>0</v>
      </c>
      <c r="KR232">
        <v>0</v>
      </c>
      <c r="KS232">
        <v>0</v>
      </c>
      <c r="KT232">
        <v>0</v>
      </c>
      <c r="KU232">
        <v>0</v>
      </c>
      <c r="KV232">
        <v>0</v>
      </c>
      <c r="KW232">
        <v>0</v>
      </c>
      <c r="KX232">
        <v>0</v>
      </c>
      <c r="KY232">
        <v>0</v>
      </c>
      <c r="KZ232">
        <v>0</v>
      </c>
      <c r="LA232">
        <v>0</v>
      </c>
      <c r="LB232">
        <v>0</v>
      </c>
      <c r="LC232">
        <v>0</v>
      </c>
      <c r="LD232">
        <v>0</v>
      </c>
      <c r="LE232">
        <v>0</v>
      </c>
      <c r="LF232">
        <v>0</v>
      </c>
      <c r="LG232">
        <v>0</v>
      </c>
      <c r="LH232">
        <v>0</v>
      </c>
      <c r="LI232">
        <v>0</v>
      </c>
      <c r="LJ232">
        <v>0</v>
      </c>
      <c r="LK232">
        <v>0</v>
      </c>
      <c r="LL232">
        <v>0</v>
      </c>
      <c r="LM232">
        <v>0</v>
      </c>
      <c r="LN232">
        <v>0</v>
      </c>
      <c r="LO232">
        <v>0</v>
      </c>
      <c r="LP232">
        <v>0</v>
      </c>
      <c r="LQ232">
        <v>0</v>
      </c>
      <c r="LR232">
        <v>0</v>
      </c>
      <c r="LS232">
        <v>0</v>
      </c>
      <c r="LT232">
        <v>0</v>
      </c>
      <c r="LU232">
        <v>0</v>
      </c>
      <c r="LV232">
        <v>0</v>
      </c>
      <c r="LW232">
        <v>0</v>
      </c>
      <c r="LX232">
        <v>0</v>
      </c>
      <c r="LY232">
        <v>0</v>
      </c>
      <c r="LZ232">
        <v>0</v>
      </c>
      <c r="MA232">
        <v>0</v>
      </c>
      <c r="MB232">
        <v>0</v>
      </c>
      <c r="MC232">
        <v>0</v>
      </c>
      <c r="MD232">
        <v>0</v>
      </c>
      <c r="ME232">
        <v>0</v>
      </c>
      <c r="MF232">
        <v>0</v>
      </c>
      <c r="MG232">
        <v>0</v>
      </c>
      <c r="MH232">
        <v>0</v>
      </c>
      <c r="MI232">
        <v>0</v>
      </c>
      <c r="MJ232">
        <v>0</v>
      </c>
      <c r="MK232">
        <v>0</v>
      </c>
      <c r="ML232">
        <v>0</v>
      </c>
      <c r="MM232">
        <v>0</v>
      </c>
      <c r="MN232">
        <v>0</v>
      </c>
      <c r="MO232">
        <v>0</v>
      </c>
      <c r="MP232">
        <v>0</v>
      </c>
      <c r="MQ232">
        <v>0</v>
      </c>
      <c r="MR232">
        <v>0</v>
      </c>
      <c r="MS232">
        <v>0</v>
      </c>
      <c r="MT232">
        <v>0</v>
      </c>
      <c r="MU232">
        <v>0</v>
      </c>
      <c r="MV232">
        <v>0</v>
      </c>
      <c r="MW232">
        <v>0</v>
      </c>
      <c r="MX232">
        <v>0</v>
      </c>
      <c r="MY232">
        <v>0</v>
      </c>
      <c r="MZ232">
        <v>0</v>
      </c>
      <c r="NA232">
        <v>0</v>
      </c>
      <c r="NB232">
        <v>0</v>
      </c>
      <c r="NC232">
        <v>0</v>
      </c>
      <c r="ND232">
        <v>0</v>
      </c>
      <c r="NE232">
        <v>0</v>
      </c>
    </row>
    <row r="233" spans="41:369" x14ac:dyDescent="0.45">
      <c r="AO233" t="str">
        <v>D109</v>
      </c>
      <c r="AP233" t="str">
        <v>AHAMMED AJEER</v>
      </c>
      <c r="AQ233" t="str">
        <v>BADF</v>
      </c>
      <c r="AR233" t="str">
        <v>SUPER SENIOR</v>
      </c>
      <c r="AS233">
        <v>8</v>
      </c>
      <c r="AT233">
        <v>0</v>
      </c>
      <c r="AU233">
        <v>0</v>
      </c>
      <c r="AV233">
        <v>0</v>
      </c>
      <c r="AW233">
        <v>0</v>
      </c>
      <c r="AX233">
        <v>255</v>
      </c>
      <c r="AY233" s="5">
        <v>255</v>
      </c>
      <c r="AZ233">
        <v>0</v>
      </c>
      <c r="BA233">
        <v>0</v>
      </c>
      <c r="BB233">
        <v>0</v>
      </c>
      <c r="BC233">
        <v>0</v>
      </c>
      <c r="BD233">
        <v>0</v>
      </c>
      <c r="BE233">
        <v>0</v>
      </c>
      <c r="BF233">
        <v>0</v>
      </c>
      <c r="BG233">
        <v>0</v>
      </c>
      <c r="BH233">
        <v>0</v>
      </c>
      <c r="BI233" t="str">
        <v/>
      </c>
      <c r="BK233">
        <v>227</v>
      </c>
      <c r="BL233">
        <v>0</v>
      </c>
      <c r="BM233">
        <v>0</v>
      </c>
      <c r="BN233">
        <v>0</v>
      </c>
      <c r="BO233">
        <v>0</v>
      </c>
      <c r="BP233">
        <v>0</v>
      </c>
      <c r="BQ233">
        <v>0</v>
      </c>
      <c r="BR233">
        <v>0</v>
      </c>
      <c r="BS233">
        <v>0</v>
      </c>
      <c r="BT233">
        <v>0</v>
      </c>
      <c r="BU233">
        <v>0</v>
      </c>
      <c r="BV233">
        <v>0</v>
      </c>
      <c r="BW233">
        <v>0</v>
      </c>
      <c r="BX233">
        <v>0</v>
      </c>
      <c r="BY233">
        <v>0</v>
      </c>
      <c r="BZ233">
        <v>0</v>
      </c>
      <c r="CA233">
        <v>0</v>
      </c>
      <c r="CB233">
        <v>0</v>
      </c>
      <c r="CC233">
        <v>0</v>
      </c>
      <c r="CD233">
        <v>0</v>
      </c>
      <c r="CE233">
        <v>0</v>
      </c>
      <c r="CF233">
        <v>0</v>
      </c>
      <c r="CG233">
        <v>0</v>
      </c>
      <c r="CH233">
        <v>0</v>
      </c>
      <c r="CI233">
        <v>0</v>
      </c>
      <c r="CJ233">
        <v>0</v>
      </c>
      <c r="CK233">
        <v>0</v>
      </c>
      <c r="CL233">
        <v>0</v>
      </c>
      <c r="CM233">
        <v>0</v>
      </c>
      <c r="CN233">
        <v>0</v>
      </c>
      <c r="CO233">
        <v>0</v>
      </c>
      <c r="CP233">
        <v>0</v>
      </c>
      <c r="CQ233">
        <v>0</v>
      </c>
      <c r="CR233">
        <v>0</v>
      </c>
      <c r="CS233">
        <v>0</v>
      </c>
      <c r="CT233">
        <v>0</v>
      </c>
      <c r="CU233">
        <v>0</v>
      </c>
      <c r="CV233">
        <v>0</v>
      </c>
      <c r="CW233">
        <v>0</v>
      </c>
      <c r="CX233">
        <v>0</v>
      </c>
      <c r="CY233">
        <v>0</v>
      </c>
      <c r="CZ233">
        <v>0</v>
      </c>
      <c r="DA233">
        <v>0</v>
      </c>
      <c r="DB233">
        <v>0</v>
      </c>
      <c r="DC233">
        <v>0</v>
      </c>
      <c r="DD233">
        <v>0</v>
      </c>
      <c r="DE233">
        <v>0</v>
      </c>
      <c r="DF233">
        <v>0</v>
      </c>
      <c r="DG233">
        <v>0</v>
      </c>
      <c r="DH233">
        <v>0</v>
      </c>
      <c r="DI233">
        <v>0</v>
      </c>
      <c r="DJ233">
        <v>0</v>
      </c>
      <c r="DK233">
        <v>0</v>
      </c>
      <c r="DL233">
        <v>0</v>
      </c>
      <c r="DM233">
        <v>0</v>
      </c>
      <c r="DN233">
        <v>0</v>
      </c>
      <c r="DO233">
        <v>0</v>
      </c>
      <c r="DP233">
        <v>0</v>
      </c>
      <c r="DQ233">
        <v>0</v>
      </c>
      <c r="DR233">
        <v>0</v>
      </c>
      <c r="DS233">
        <v>0</v>
      </c>
      <c r="DT233">
        <v>0</v>
      </c>
      <c r="DU233">
        <v>0</v>
      </c>
      <c r="DV233">
        <v>0</v>
      </c>
      <c r="DW233">
        <v>0</v>
      </c>
      <c r="DX233">
        <v>0</v>
      </c>
      <c r="DY233">
        <v>0</v>
      </c>
      <c r="DZ233">
        <v>0</v>
      </c>
      <c r="EA233">
        <v>0</v>
      </c>
      <c r="EB233">
        <v>0</v>
      </c>
      <c r="EC233">
        <v>0</v>
      </c>
      <c r="ED233">
        <v>0</v>
      </c>
      <c r="EE233">
        <v>0</v>
      </c>
      <c r="EF233">
        <v>0</v>
      </c>
      <c r="EG233">
        <v>0</v>
      </c>
      <c r="EH233">
        <v>0</v>
      </c>
      <c r="EI233">
        <v>0</v>
      </c>
      <c r="EJ233">
        <v>0</v>
      </c>
      <c r="EK233">
        <v>0</v>
      </c>
      <c r="EL233">
        <v>0</v>
      </c>
      <c r="EM233">
        <v>0</v>
      </c>
      <c r="EN233">
        <v>0</v>
      </c>
      <c r="EO233">
        <v>0</v>
      </c>
      <c r="EP233">
        <v>0</v>
      </c>
      <c r="EQ233">
        <v>0</v>
      </c>
      <c r="ER233">
        <v>0</v>
      </c>
      <c r="ES233">
        <v>0</v>
      </c>
      <c r="ET233">
        <v>0</v>
      </c>
      <c r="EU233">
        <v>0</v>
      </c>
      <c r="EV233">
        <v>0</v>
      </c>
      <c r="EW233">
        <v>0</v>
      </c>
      <c r="EX233">
        <v>0</v>
      </c>
      <c r="EY233">
        <v>0</v>
      </c>
      <c r="EZ233">
        <v>0</v>
      </c>
      <c r="FA233">
        <v>0</v>
      </c>
      <c r="FB233">
        <v>0</v>
      </c>
      <c r="FC233">
        <v>0</v>
      </c>
      <c r="FD233">
        <v>0</v>
      </c>
      <c r="FE233">
        <v>0</v>
      </c>
      <c r="FF233">
        <v>0</v>
      </c>
      <c r="FG233">
        <v>0</v>
      </c>
      <c r="FH233">
        <v>0</v>
      </c>
      <c r="FI233">
        <v>0</v>
      </c>
      <c r="FJ233">
        <v>0</v>
      </c>
      <c r="FK233">
        <v>0</v>
      </c>
      <c r="FL233">
        <v>0</v>
      </c>
      <c r="FM233">
        <v>0</v>
      </c>
      <c r="FN233">
        <v>0</v>
      </c>
      <c r="FO233">
        <v>0</v>
      </c>
      <c r="FP233">
        <v>0</v>
      </c>
      <c r="FQ233">
        <v>0</v>
      </c>
      <c r="FR233">
        <v>0</v>
      </c>
      <c r="FS233">
        <v>0</v>
      </c>
      <c r="FT233">
        <v>0</v>
      </c>
      <c r="FU233">
        <v>0</v>
      </c>
      <c r="FV233">
        <v>0</v>
      </c>
      <c r="FW233">
        <v>0</v>
      </c>
      <c r="FX233">
        <v>0</v>
      </c>
      <c r="FY233">
        <v>0</v>
      </c>
      <c r="FZ233">
        <v>0</v>
      </c>
      <c r="GA233">
        <v>0</v>
      </c>
      <c r="GB233">
        <v>0</v>
      </c>
      <c r="GC233">
        <v>0</v>
      </c>
      <c r="GD233">
        <v>0</v>
      </c>
      <c r="GE233">
        <v>0</v>
      </c>
      <c r="GF233">
        <v>0</v>
      </c>
      <c r="GG233">
        <v>0</v>
      </c>
      <c r="GH233">
        <v>0</v>
      </c>
      <c r="GI233">
        <v>0</v>
      </c>
      <c r="GJ233">
        <v>0</v>
      </c>
      <c r="GK233">
        <v>0</v>
      </c>
      <c r="GL233">
        <v>0</v>
      </c>
      <c r="GM233">
        <v>0</v>
      </c>
      <c r="GN233">
        <v>0</v>
      </c>
      <c r="GO233">
        <v>0</v>
      </c>
      <c r="GP233">
        <v>0</v>
      </c>
      <c r="GQ233">
        <v>0</v>
      </c>
      <c r="GR233">
        <v>0</v>
      </c>
      <c r="GS233">
        <v>0</v>
      </c>
      <c r="GT233">
        <v>0</v>
      </c>
      <c r="GU233">
        <v>0</v>
      </c>
      <c r="GV233">
        <v>0</v>
      </c>
      <c r="GW233">
        <v>0</v>
      </c>
      <c r="GX233">
        <v>0</v>
      </c>
      <c r="GY233">
        <v>0</v>
      </c>
      <c r="GZ233">
        <v>0</v>
      </c>
      <c r="HA233">
        <v>0</v>
      </c>
      <c r="HB233">
        <v>0</v>
      </c>
      <c r="HC233">
        <v>0</v>
      </c>
      <c r="HD233">
        <v>0</v>
      </c>
      <c r="HE233">
        <v>0</v>
      </c>
      <c r="HF233">
        <v>0</v>
      </c>
      <c r="HG233">
        <v>0</v>
      </c>
      <c r="HH233">
        <v>0</v>
      </c>
      <c r="HI233">
        <v>0</v>
      </c>
      <c r="HJ233">
        <v>0</v>
      </c>
      <c r="HK233">
        <v>0</v>
      </c>
      <c r="HL233">
        <v>0</v>
      </c>
      <c r="HM233">
        <v>0</v>
      </c>
      <c r="HN233">
        <v>0</v>
      </c>
      <c r="HO233">
        <v>0</v>
      </c>
      <c r="HP233">
        <v>0</v>
      </c>
      <c r="HQ233">
        <v>0</v>
      </c>
      <c r="HR233">
        <v>0</v>
      </c>
      <c r="HS233">
        <v>0</v>
      </c>
      <c r="HT233">
        <v>0</v>
      </c>
      <c r="HU233">
        <v>0</v>
      </c>
      <c r="HV233">
        <v>0</v>
      </c>
      <c r="HW233">
        <v>0</v>
      </c>
      <c r="HX233">
        <v>0</v>
      </c>
      <c r="HY233">
        <v>0</v>
      </c>
      <c r="HZ233">
        <v>0</v>
      </c>
      <c r="IA233">
        <v>0</v>
      </c>
      <c r="IB233">
        <v>0</v>
      </c>
      <c r="IC233">
        <v>0</v>
      </c>
      <c r="ID233">
        <v>0</v>
      </c>
      <c r="IE233">
        <v>0</v>
      </c>
      <c r="IF233">
        <v>0</v>
      </c>
      <c r="IG233">
        <v>0</v>
      </c>
      <c r="IH233">
        <v>0</v>
      </c>
      <c r="II233">
        <v>0</v>
      </c>
      <c r="IJ233">
        <v>0</v>
      </c>
      <c r="IK233">
        <v>0</v>
      </c>
      <c r="IL233">
        <v>0</v>
      </c>
      <c r="IM233">
        <v>0</v>
      </c>
      <c r="IN233">
        <v>0</v>
      </c>
      <c r="IO233">
        <v>0</v>
      </c>
      <c r="IP233">
        <v>0</v>
      </c>
      <c r="IQ233">
        <v>0</v>
      </c>
      <c r="IR233">
        <v>0</v>
      </c>
      <c r="IS233">
        <v>0</v>
      </c>
      <c r="IT233">
        <v>0</v>
      </c>
      <c r="IU233">
        <v>0</v>
      </c>
      <c r="IV233">
        <v>0</v>
      </c>
      <c r="IW233">
        <v>0</v>
      </c>
      <c r="IX233">
        <v>0</v>
      </c>
      <c r="IY233">
        <v>0</v>
      </c>
      <c r="IZ233">
        <v>0</v>
      </c>
      <c r="JA233">
        <v>0</v>
      </c>
      <c r="JB233">
        <v>0</v>
      </c>
      <c r="JC233">
        <v>0</v>
      </c>
      <c r="JD233">
        <v>0</v>
      </c>
      <c r="JE233">
        <v>0</v>
      </c>
      <c r="JF233">
        <v>0</v>
      </c>
      <c r="JG233">
        <v>0</v>
      </c>
      <c r="JH233">
        <v>0</v>
      </c>
      <c r="JI233">
        <v>0</v>
      </c>
      <c r="JJ233">
        <v>0</v>
      </c>
      <c r="JK233">
        <v>0</v>
      </c>
      <c r="JL233">
        <v>0</v>
      </c>
      <c r="JM233">
        <v>0</v>
      </c>
      <c r="JN233">
        <v>0</v>
      </c>
      <c r="JO233">
        <v>0</v>
      </c>
      <c r="JP233">
        <v>0</v>
      </c>
      <c r="JQ233">
        <v>0</v>
      </c>
      <c r="JR233">
        <v>0</v>
      </c>
      <c r="JS233">
        <v>0</v>
      </c>
      <c r="JT233">
        <v>0</v>
      </c>
      <c r="JU233">
        <v>0</v>
      </c>
      <c r="JV233">
        <v>0</v>
      </c>
      <c r="JW233">
        <v>0</v>
      </c>
      <c r="JX233">
        <v>0</v>
      </c>
      <c r="JY233">
        <v>0</v>
      </c>
      <c r="JZ233">
        <v>0</v>
      </c>
      <c r="KA233">
        <v>0</v>
      </c>
      <c r="KB233">
        <v>0</v>
      </c>
      <c r="KC233">
        <v>0</v>
      </c>
      <c r="KD233">
        <v>0</v>
      </c>
      <c r="KE233">
        <v>0</v>
      </c>
      <c r="KF233">
        <v>0</v>
      </c>
      <c r="KG233">
        <v>0</v>
      </c>
      <c r="KH233">
        <v>0</v>
      </c>
      <c r="KI233">
        <v>0</v>
      </c>
      <c r="KJ233">
        <v>0</v>
      </c>
      <c r="KK233">
        <v>0</v>
      </c>
      <c r="KL233">
        <v>0</v>
      </c>
      <c r="KM233">
        <v>0</v>
      </c>
      <c r="KN233">
        <v>0</v>
      </c>
      <c r="KO233">
        <v>0</v>
      </c>
      <c r="KP233">
        <v>0</v>
      </c>
      <c r="KQ233">
        <v>0</v>
      </c>
      <c r="KR233">
        <v>0</v>
      </c>
      <c r="KS233">
        <v>0</v>
      </c>
      <c r="KT233">
        <v>0</v>
      </c>
      <c r="KU233">
        <v>0</v>
      </c>
      <c r="KV233">
        <v>0</v>
      </c>
      <c r="KW233">
        <v>0</v>
      </c>
      <c r="KX233">
        <v>0</v>
      </c>
      <c r="KY233">
        <v>0</v>
      </c>
      <c r="KZ233">
        <v>0</v>
      </c>
      <c r="LA233">
        <v>0</v>
      </c>
      <c r="LB233">
        <v>0</v>
      </c>
      <c r="LC233">
        <v>0</v>
      </c>
      <c r="LD233">
        <v>0</v>
      </c>
      <c r="LE233">
        <v>0</v>
      </c>
      <c r="LF233">
        <v>0</v>
      </c>
      <c r="LG233">
        <v>0</v>
      </c>
      <c r="LH233">
        <v>0</v>
      </c>
      <c r="LI233">
        <v>0</v>
      </c>
      <c r="LJ233">
        <v>0</v>
      </c>
      <c r="LK233">
        <v>0</v>
      </c>
      <c r="LL233">
        <v>0</v>
      </c>
      <c r="LM233">
        <v>0</v>
      </c>
      <c r="LN233">
        <v>0</v>
      </c>
      <c r="LO233">
        <v>0</v>
      </c>
      <c r="LP233">
        <v>0</v>
      </c>
      <c r="LQ233">
        <v>0</v>
      </c>
      <c r="LR233">
        <v>0</v>
      </c>
      <c r="LS233">
        <v>0</v>
      </c>
      <c r="LT233">
        <v>0</v>
      </c>
      <c r="LU233">
        <v>0</v>
      </c>
      <c r="LV233">
        <v>0</v>
      </c>
      <c r="LW233">
        <v>0</v>
      </c>
      <c r="LX233">
        <v>0</v>
      </c>
      <c r="LY233">
        <v>0</v>
      </c>
      <c r="LZ233">
        <v>0</v>
      </c>
      <c r="MA233">
        <v>0</v>
      </c>
      <c r="MB233">
        <v>0</v>
      </c>
      <c r="MC233">
        <v>0</v>
      </c>
      <c r="MD233">
        <v>0</v>
      </c>
      <c r="ME233">
        <v>0</v>
      </c>
      <c r="MF233">
        <v>0</v>
      </c>
      <c r="MG233">
        <v>0</v>
      </c>
      <c r="MH233">
        <v>0</v>
      </c>
      <c r="MI233">
        <v>0</v>
      </c>
      <c r="MJ233">
        <v>0</v>
      </c>
      <c r="MK233">
        <v>0</v>
      </c>
      <c r="ML233">
        <v>0</v>
      </c>
      <c r="MM233">
        <v>0</v>
      </c>
      <c r="MN233">
        <v>0</v>
      </c>
      <c r="MO233">
        <v>0</v>
      </c>
      <c r="MP233">
        <v>0</v>
      </c>
      <c r="MQ233">
        <v>0</v>
      </c>
      <c r="MR233">
        <v>0</v>
      </c>
      <c r="MS233">
        <v>0</v>
      </c>
      <c r="MT233">
        <v>0</v>
      </c>
      <c r="MU233">
        <v>0</v>
      </c>
      <c r="MV233">
        <v>0</v>
      </c>
      <c r="MW233">
        <v>0</v>
      </c>
      <c r="MX233">
        <v>0</v>
      </c>
      <c r="MY233">
        <v>0</v>
      </c>
      <c r="MZ233">
        <v>0</v>
      </c>
      <c r="NA233">
        <v>0</v>
      </c>
      <c r="NB233">
        <v>0</v>
      </c>
      <c r="NC233">
        <v>0</v>
      </c>
      <c r="ND233">
        <v>0</v>
      </c>
      <c r="NE233">
        <v>0</v>
      </c>
    </row>
    <row r="234" spans="41:369" x14ac:dyDescent="0.45">
      <c r="AO234" t="str">
        <v>D110</v>
      </c>
      <c r="AP234" t="str">
        <v>ABBAS AZNAB M.A</v>
      </c>
      <c r="AQ234" t="str">
        <v>BADF</v>
      </c>
      <c r="AR234" t="str">
        <v>SUPER SENIOR</v>
      </c>
      <c r="AS234">
        <v>8</v>
      </c>
      <c r="AT234">
        <v>8</v>
      </c>
      <c r="AU234">
        <v>0</v>
      </c>
      <c r="AV234">
        <v>8</v>
      </c>
      <c r="AW234">
        <v>8</v>
      </c>
      <c r="AX234">
        <v>147</v>
      </c>
      <c r="AY234" s="5">
        <v>147</v>
      </c>
      <c r="AZ234">
        <v>0</v>
      </c>
      <c r="BA234">
        <v>0</v>
      </c>
      <c r="BB234">
        <v>0</v>
      </c>
      <c r="BC234">
        <v>0</v>
      </c>
      <c r="BD234">
        <v>0</v>
      </c>
      <c r="BE234">
        <v>0</v>
      </c>
      <c r="BF234">
        <v>0</v>
      </c>
      <c r="BG234">
        <v>0</v>
      </c>
      <c r="BH234">
        <v>0</v>
      </c>
      <c r="BI234" t="str">
        <v/>
      </c>
      <c r="BK234">
        <v>228</v>
      </c>
      <c r="BL234">
        <v>0</v>
      </c>
      <c r="BM234">
        <v>0</v>
      </c>
      <c r="BN234">
        <v>0</v>
      </c>
      <c r="BO234">
        <v>0</v>
      </c>
      <c r="BP234">
        <v>0</v>
      </c>
      <c r="BQ234">
        <v>0</v>
      </c>
      <c r="BR234">
        <v>0</v>
      </c>
      <c r="BS234">
        <v>0</v>
      </c>
      <c r="BT234">
        <v>0</v>
      </c>
      <c r="BU234">
        <v>0</v>
      </c>
      <c r="BV234">
        <v>0</v>
      </c>
      <c r="BW234">
        <v>0</v>
      </c>
      <c r="BX234">
        <v>0</v>
      </c>
      <c r="BY234">
        <v>0</v>
      </c>
      <c r="BZ234">
        <v>0</v>
      </c>
      <c r="CA234">
        <v>0</v>
      </c>
      <c r="CB234">
        <v>0</v>
      </c>
      <c r="CC234">
        <v>0</v>
      </c>
      <c r="CD234">
        <v>0</v>
      </c>
      <c r="CE234">
        <v>0</v>
      </c>
      <c r="CF234">
        <v>0</v>
      </c>
      <c r="CG234">
        <v>0</v>
      </c>
      <c r="CH234">
        <v>0</v>
      </c>
      <c r="CI234">
        <v>0</v>
      </c>
      <c r="CJ234">
        <v>0</v>
      </c>
      <c r="CK234">
        <v>0</v>
      </c>
      <c r="CL234">
        <v>0</v>
      </c>
      <c r="CM234">
        <v>0</v>
      </c>
      <c r="CN234">
        <v>0</v>
      </c>
      <c r="CO234">
        <v>0</v>
      </c>
      <c r="CP234">
        <v>0</v>
      </c>
      <c r="CQ234">
        <v>0</v>
      </c>
      <c r="CR234">
        <v>0</v>
      </c>
      <c r="CS234">
        <v>0</v>
      </c>
      <c r="CT234">
        <v>0</v>
      </c>
      <c r="CU234">
        <v>0</v>
      </c>
      <c r="CV234">
        <v>0</v>
      </c>
      <c r="CW234">
        <v>0</v>
      </c>
      <c r="CX234">
        <v>0</v>
      </c>
      <c r="CY234">
        <v>0</v>
      </c>
      <c r="CZ234">
        <v>0</v>
      </c>
      <c r="DA234">
        <v>0</v>
      </c>
      <c r="DB234">
        <v>0</v>
      </c>
      <c r="DC234">
        <v>0</v>
      </c>
      <c r="DD234">
        <v>0</v>
      </c>
      <c r="DE234">
        <v>0</v>
      </c>
      <c r="DF234">
        <v>0</v>
      </c>
      <c r="DG234">
        <v>0</v>
      </c>
      <c r="DH234">
        <v>0</v>
      </c>
      <c r="DI234">
        <v>0</v>
      </c>
      <c r="DJ234">
        <v>0</v>
      </c>
      <c r="DK234">
        <v>0</v>
      </c>
      <c r="DL234">
        <v>0</v>
      </c>
      <c r="DM234">
        <v>0</v>
      </c>
      <c r="DN234">
        <v>0</v>
      </c>
      <c r="DO234">
        <v>0</v>
      </c>
      <c r="DP234">
        <v>0</v>
      </c>
      <c r="DQ234">
        <v>0</v>
      </c>
      <c r="DR234">
        <v>0</v>
      </c>
      <c r="DS234">
        <v>0</v>
      </c>
      <c r="DT234">
        <v>0</v>
      </c>
      <c r="DU234">
        <v>0</v>
      </c>
      <c r="DV234">
        <v>0</v>
      </c>
      <c r="DW234">
        <v>0</v>
      </c>
      <c r="DX234">
        <v>0</v>
      </c>
      <c r="DY234">
        <v>0</v>
      </c>
      <c r="DZ234">
        <v>0</v>
      </c>
      <c r="EA234">
        <v>0</v>
      </c>
      <c r="EB234">
        <v>0</v>
      </c>
      <c r="EC234">
        <v>0</v>
      </c>
      <c r="ED234">
        <v>0</v>
      </c>
      <c r="EE234">
        <v>0</v>
      </c>
      <c r="EF234">
        <v>0</v>
      </c>
      <c r="EG234">
        <v>0</v>
      </c>
      <c r="EH234">
        <v>0</v>
      </c>
      <c r="EI234">
        <v>0</v>
      </c>
      <c r="EJ234">
        <v>0</v>
      </c>
      <c r="EK234">
        <v>0</v>
      </c>
      <c r="EL234">
        <v>0</v>
      </c>
      <c r="EM234">
        <v>0</v>
      </c>
      <c r="EN234">
        <v>0</v>
      </c>
      <c r="EO234">
        <v>0</v>
      </c>
      <c r="EP234">
        <v>0</v>
      </c>
      <c r="EQ234">
        <v>0</v>
      </c>
      <c r="ER234">
        <v>0</v>
      </c>
      <c r="ES234">
        <v>0</v>
      </c>
      <c r="ET234">
        <v>0</v>
      </c>
      <c r="EU234">
        <v>0</v>
      </c>
      <c r="EV234">
        <v>0</v>
      </c>
      <c r="EW234">
        <v>0</v>
      </c>
      <c r="EX234">
        <v>0</v>
      </c>
      <c r="EY234">
        <v>0</v>
      </c>
      <c r="EZ234">
        <v>0</v>
      </c>
      <c r="FA234">
        <v>0</v>
      </c>
      <c r="FB234">
        <v>0</v>
      </c>
      <c r="FC234">
        <v>0</v>
      </c>
      <c r="FD234">
        <v>0</v>
      </c>
      <c r="FE234">
        <v>0</v>
      </c>
      <c r="FF234">
        <v>0</v>
      </c>
      <c r="FG234">
        <v>0</v>
      </c>
      <c r="FH234">
        <v>0</v>
      </c>
      <c r="FI234">
        <v>0</v>
      </c>
      <c r="FJ234">
        <v>0</v>
      </c>
      <c r="FK234">
        <v>0</v>
      </c>
      <c r="FL234">
        <v>0</v>
      </c>
      <c r="FM234">
        <v>0</v>
      </c>
      <c r="FN234">
        <v>0</v>
      </c>
      <c r="FO234">
        <v>0</v>
      </c>
      <c r="FP234">
        <v>0</v>
      </c>
      <c r="FQ234">
        <v>0</v>
      </c>
      <c r="FR234">
        <v>0</v>
      </c>
      <c r="FS234">
        <v>0</v>
      </c>
      <c r="FT234">
        <v>0</v>
      </c>
      <c r="FU234">
        <v>0</v>
      </c>
      <c r="FV234">
        <v>0</v>
      </c>
      <c r="FW234">
        <v>0</v>
      </c>
      <c r="FX234">
        <v>0</v>
      </c>
      <c r="FY234">
        <v>0</v>
      </c>
      <c r="FZ234">
        <v>0</v>
      </c>
      <c r="GA234">
        <v>0</v>
      </c>
      <c r="GB234">
        <v>0</v>
      </c>
      <c r="GC234">
        <v>0</v>
      </c>
      <c r="GD234">
        <v>0</v>
      </c>
      <c r="GE234">
        <v>0</v>
      </c>
      <c r="GF234">
        <v>0</v>
      </c>
      <c r="GG234">
        <v>0</v>
      </c>
      <c r="GH234">
        <v>0</v>
      </c>
      <c r="GI234">
        <v>0</v>
      </c>
      <c r="GJ234">
        <v>0</v>
      </c>
      <c r="GK234">
        <v>0</v>
      </c>
      <c r="GL234">
        <v>0</v>
      </c>
      <c r="GM234">
        <v>0</v>
      </c>
      <c r="GN234">
        <v>0</v>
      </c>
      <c r="GO234">
        <v>0</v>
      </c>
      <c r="GP234">
        <v>0</v>
      </c>
      <c r="GQ234">
        <v>0</v>
      </c>
      <c r="GR234">
        <v>0</v>
      </c>
      <c r="GS234">
        <v>0</v>
      </c>
      <c r="GT234">
        <v>0</v>
      </c>
      <c r="GU234">
        <v>0</v>
      </c>
      <c r="GV234">
        <v>0</v>
      </c>
      <c r="GW234">
        <v>0</v>
      </c>
      <c r="GX234">
        <v>0</v>
      </c>
      <c r="GY234">
        <v>0</v>
      </c>
      <c r="GZ234">
        <v>0</v>
      </c>
      <c r="HA234">
        <v>0</v>
      </c>
      <c r="HB234">
        <v>0</v>
      </c>
      <c r="HC234">
        <v>0</v>
      </c>
      <c r="HD234">
        <v>0</v>
      </c>
      <c r="HE234">
        <v>0</v>
      </c>
      <c r="HF234">
        <v>0</v>
      </c>
      <c r="HG234">
        <v>0</v>
      </c>
      <c r="HH234">
        <v>0</v>
      </c>
      <c r="HI234">
        <v>0</v>
      </c>
      <c r="HJ234">
        <v>0</v>
      </c>
      <c r="HK234">
        <v>0</v>
      </c>
      <c r="HL234">
        <v>0</v>
      </c>
      <c r="HM234">
        <v>0</v>
      </c>
      <c r="HN234">
        <v>0</v>
      </c>
      <c r="HO234">
        <v>0</v>
      </c>
      <c r="HP234">
        <v>0</v>
      </c>
      <c r="HQ234">
        <v>0</v>
      </c>
      <c r="HR234">
        <v>0</v>
      </c>
      <c r="HS234">
        <v>0</v>
      </c>
      <c r="HT234">
        <v>0</v>
      </c>
      <c r="HU234">
        <v>0</v>
      </c>
      <c r="HV234">
        <v>0</v>
      </c>
      <c r="HW234">
        <v>0</v>
      </c>
      <c r="HX234">
        <v>0</v>
      </c>
      <c r="HY234">
        <v>0</v>
      </c>
      <c r="HZ234">
        <v>0</v>
      </c>
      <c r="IA234">
        <v>0</v>
      </c>
      <c r="IB234">
        <v>0</v>
      </c>
      <c r="IC234">
        <v>0</v>
      </c>
      <c r="ID234">
        <v>0</v>
      </c>
      <c r="IE234">
        <v>0</v>
      </c>
      <c r="IF234">
        <v>0</v>
      </c>
      <c r="IG234">
        <v>0</v>
      </c>
      <c r="IH234">
        <v>0</v>
      </c>
      <c r="II234">
        <v>0</v>
      </c>
      <c r="IJ234">
        <v>0</v>
      </c>
      <c r="IK234">
        <v>0</v>
      </c>
      <c r="IL234">
        <v>0</v>
      </c>
      <c r="IM234">
        <v>0</v>
      </c>
      <c r="IN234">
        <v>0</v>
      </c>
      <c r="IO234">
        <v>0</v>
      </c>
      <c r="IP234">
        <v>0</v>
      </c>
      <c r="IQ234">
        <v>0</v>
      </c>
      <c r="IR234">
        <v>0</v>
      </c>
      <c r="IS234">
        <v>0</v>
      </c>
      <c r="IT234">
        <v>0</v>
      </c>
      <c r="IU234">
        <v>0</v>
      </c>
      <c r="IV234">
        <v>0</v>
      </c>
      <c r="IW234">
        <v>0</v>
      </c>
      <c r="IX234">
        <v>0</v>
      </c>
      <c r="IY234">
        <v>0</v>
      </c>
      <c r="IZ234">
        <v>0</v>
      </c>
      <c r="JA234">
        <v>0</v>
      </c>
      <c r="JB234">
        <v>0</v>
      </c>
      <c r="JC234">
        <v>0</v>
      </c>
      <c r="JD234">
        <v>0</v>
      </c>
      <c r="JE234">
        <v>0</v>
      </c>
      <c r="JF234">
        <v>0</v>
      </c>
      <c r="JG234">
        <v>0</v>
      </c>
      <c r="JH234">
        <v>0</v>
      </c>
      <c r="JI234">
        <v>0</v>
      </c>
      <c r="JJ234">
        <v>0</v>
      </c>
      <c r="JK234">
        <v>0</v>
      </c>
      <c r="JL234">
        <v>0</v>
      </c>
      <c r="JM234">
        <v>0</v>
      </c>
      <c r="JN234">
        <v>0</v>
      </c>
      <c r="JO234">
        <v>0</v>
      </c>
      <c r="JP234">
        <v>0</v>
      </c>
      <c r="JQ234">
        <v>0</v>
      </c>
      <c r="JR234">
        <v>0</v>
      </c>
      <c r="JS234">
        <v>0</v>
      </c>
      <c r="JT234">
        <v>0</v>
      </c>
      <c r="JU234">
        <v>0</v>
      </c>
      <c r="JV234">
        <v>0</v>
      </c>
      <c r="JW234">
        <v>0</v>
      </c>
      <c r="JX234">
        <v>0</v>
      </c>
      <c r="JY234">
        <v>0</v>
      </c>
      <c r="JZ234">
        <v>0</v>
      </c>
      <c r="KA234">
        <v>0</v>
      </c>
      <c r="KB234">
        <v>0</v>
      </c>
      <c r="KC234">
        <v>0</v>
      </c>
      <c r="KD234">
        <v>0</v>
      </c>
      <c r="KE234">
        <v>0</v>
      </c>
      <c r="KF234">
        <v>0</v>
      </c>
      <c r="KG234">
        <v>0</v>
      </c>
      <c r="KH234">
        <v>0</v>
      </c>
      <c r="KI234">
        <v>0</v>
      </c>
      <c r="KJ234">
        <v>0</v>
      </c>
      <c r="KK234">
        <v>0</v>
      </c>
      <c r="KL234">
        <v>0</v>
      </c>
      <c r="KM234">
        <v>0</v>
      </c>
      <c r="KN234">
        <v>0</v>
      </c>
      <c r="KO234">
        <v>0</v>
      </c>
      <c r="KP234">
        <v>0</v>
      </c>
      <c r="KQ234">
        <v>0</v>
      </c>
      <c r="KR234">
        <v>0</v>
      </c>
      <c r="KS234">
        <v>0</v>
      </c>
      <c r="KT234">
        <v>0</v>
      </c>
      <c r="KU234">
        <v>0</v>
      </c>
      <c r="KV234">
        <v>0</v>
      </c>
      <c r="KW234">
        <v>0</v>
      </c>
      <c r="KX234">
        <v>0</v>
      </c>
      <c r="KY234">
        <v>0</v>
      </c>
      <c r="KZ234">
        <v>0</v>
      </c>
      <c r="LA234">
        <v>0</v>
      </c>
      <c r="LB234">
        <v>0</v>
      </c>
      <c r="LC234">
        <v>0</v>
      </c>
      <c r="LD234">
        <v>0</v>
      </c>
      <c r="LE234">
        <v>0</v>
      </c>
      <c r="LF234">
        <v>0</v>
      </c>
      <c r="LG234">
        <v>0</v>
      </c>
      <c r="LH234">
        <v>0</v>
      </c>
      <c r="LI234">
        <v>0</v>
      </c>
      <c r="LJ234">
        <v>0</v>
      </c>
      <c r="LK234">
        <v>0</v>
      </c>
      <c r="LL234">
        <v>0</v>
      </c>
      <c r="LM234">
        <v>0</v>
      </c>
      <c r="LN234">
        <v>0</v>
      </c>
      <c r="LO234">
        <v>0</v>
      </c>
      <c r="LP234">
        <v>0</v>
      </c>
      <c r="LQ234">
        <v>0</v>
      </c>
      <c r="LR234">
        <v>0</v>
      </c>
      <c r="LS234">
        <v>0</v>
      </c>
      <c r="LT234">
        <v>0</v>
      </c>
      <c r="LU234">
        <v>0</v>
      </c>
      <c r="LV234">
        <v>0</v>
      </c>
      <c r="LW234">
        <v>0</v>
      </c>
      <c r="LX234">
        <v>0</v>
      </c>
      <c r="LY234">
        <v>0</v>
      </c>
      <c r="LZ234">
        <v>0</v>
      </c>
      <c r="MA234">
        <v>0</v>
      </c>
      <c r="MB234">
        <v>0</v>
      </c>
      <c r="MC234">
        <v>0</v>
      </c>
      <c r="MD234">
        <v>0</v>
      </c>
      <c r="ME234">
        <v>0</v>
      </c>
      <c r="MF234">
        <v>0</v>
      </c>
      <c r="MG234">
        <v>0</v>
      </c>
      <c r="MH234">
        <v>0</v>
      </c>
      <c r="MI234">
        <v>0</v>
      </c>
      <c r="MJ234">
        <v>0</v>
      </c>
      <c r="MK234">
        <v>0</v>
      </c>
      <c r="ML234">
        <v>0</v>
      </c>
      <c r="MM234">
        <v>0</v>
      </c>
      <c r="MN234">
        <v>0</v>
      </c>
      <c r="MO234">
        <v>0</v>
      </c>
      <c r="MP234">
        <v>0</v>
      </c>
      <c r="MQ234">
        <v>0</v>
      </c>
      <c r="MR234">
        <v>0</v>
      </c>
      <c r="MS234">
        <v>0</v>
      </c>
      <c r="MT234">
        <v>0</v>
      </c>
      <c r="MU234">
        <v>0</v>
      </c>
      <c r="MV234">
        <v>0</v>
      </c>
      <c r="MW234">
        <v>0</v>
      </c>
      <c r="MX234">
        <v>0</v>
      </c>
      <c r="MY234">
        <v>0</v>
      </c>
      <c r="MZ234">
        <v>0</v>
      </c>
      <c r="NA234">
        <v>0</v>
      </c>
      <c r="NB234">
        <v>0</v>
      </c>
      <c r="NC234">
        <v>0</v>
      </c>
      <c r="ND234">
        <v>0</v>
      </c>
      <c r="NE234">
        <v>0</v>
      </c>
    </row>
    <row r="235" spans="41:369" x14ac:dyDescent="0.45">
      <c r="AO235" t="str">
        <v>D111</v>
      </c>
      <c r="AP235" t="str">
        <v>MAHAMMED SHAMEEL</v>
      </c>
      <c r="AQ235" t="str">
        <v>JARF</v>
      </c>
      <c r="AR235" t="str">
        <v>SUPER SENIOR</v>
      </c>
      <c r="AS235">
        <v>8</v>
      </c>
      <c r="AT235">
        <v>70.5</v>
      </c>
      <c r="AU235">
        <v>0</v>
      </c>
      <c r="AV235">
        <v>70.5</v>
      </c>
      <c r="AW235">
        <v>70.5</v>
      </c>
      <c r="AX235">
        <v>4</v>
      </c>
      <c r="AY235" s="5">
        <v>4</v>
      </c>
      <c r="AZ235">
        <v>0</v>
      </c>
      <c r="BA235">
        <v>0</v>
      </c>
      <c r="BB235">
        <v>0</v>
      </c>
      <c r="BC235">
        <v>0</v>
      </c>
      <c r="BD235">
        <v>0</v>
      </c>
      <c r="BE235">
        <v>0</v>
      </c>
      <c r="BF235">
        <v>0</v>
      </c>
      <c r="BG235">
        <v>0</v>
      </c>
      <c r="BH235">
        <v>0</v>
      </c>
      <c r="BI235" t="str">
        <v/>
      </c>
      <c r="BK235">
        <v>229</v>
      </c>
      <c r="BL235">
        <v>0</v>
      </c>
      <c r="BM235">
        <v>0</v>
      </c>
      <c r="BN235">
        <v>0</v>
      </c>
      <c r="BO235">
        <v>0</v>
      </c>
      <c r="BP235">
        <v>0</v>
      </c>
      <c r="BQ235">
        <v>0</v>
      </c>
      <c r="BR235">
        <v>0</v>
      </c>
      <c r="BS235">
        <v>0</v>
      </c>
      <c r="BT235">
        <v>0</v>
      </c>
      <c r="BU235">
        <v>0</v>
      </c>
      <c r="BV235">
        <v>0</v>
      </c>
      <c r="BW235">
        <v>0</v>
      </c>
      <c r="BX235">
        <v>0</v>
      </c>
      <c r="BY235">
        <v>0</v>
      </c>
      <c r="BZ235">
        <v>0</v>
      </c>
      <c r="CA235">
        <v>0</v>
      </c>
      <c r="CB235">
        <v>0</v>
      </c>
      <c r="CC235">
        <v>0</v>
      </c>
      <c r="CD235">
        <v>0</v>
      </c>
      <c r="CE235">
        <v>0</v>
      </c>
      <c r="CF235">
        <v>0</v>
      </c>
      <c r="CG235">
        <v>0</v>
      </c>
      <c r="CH235">
        <v>0</v>
      </c>
      <c r="CI235">
        <v>0</v>
      </c>
      <c r="CJ235">
        <v>0</v>
      </c>
      <c r="CK235">
        <v>0</v>
      </c>
      <c r="CL235">
        <v>0</v>
      </c>
      <c r="CM235">
        <v>0</v>
      </c>
      <c r="CN235">
        <v>0</v>
      </c>
      <c r="CO235">
        <v>0</v>
      </c>
      <c r="CP235">
        <v>0</v>
      </c>
      <c r="CQ235">
        <v>0</v>
      </c>
      <c r="CR235">
        <v>0</v>
      </c>
      <c r="CS235">
        <v>0</v>
      </c>
      <c r="CT235">
        <v>0</v>
      </c>
      <c r="CU235">
        <v>0</v>
      </c>
      <c r="CV235">
        <v>0</v>
      </c>
      <c r="CW235">
        <v>0</v>
      </c>
      <c r="CX235">
        <v>0</v>
      </c>
      <c r="CY235">
        <v>0</v>
      </c>
      <c r="CZ235">
        <v>0</v>
      </c>
      <c r="DA235">
        <v>0</v>
      </c>
      <c r="DB235">
        <v>0</v>
      </c>
      <c r="DC235">
        <v>0</v>
      </c>
      <c r="DD235">
        <v>0</v>
      </c>
      <c r="DE235">
        <v>0</v>
      </c>
      <c r="DF235">
        <v>0</v>
      </c>
      <c r="DG235">
        <v>0</v>
      </c>
      <c r="DH235">
        <v>0</v>
      </c>
      <c r="DI235">
        <v>0</v>
      </c>
      <c r="DJ235">
        <v>0</v>
      </c>
      <c r="DK235">
        <v>0</v>
      </c>
      <c r="DL235">
        <v>0</v>
      </c>
      <c r="DM235">
        <v>0</v>
      </c>
      <c r="DN235">
        <v>0</v>
      </c>
      <c r="DO235">
        <v>0</v>
      </c>
      <c r="DP235">
        <v>0</v>
      </c>
      <c r="DQ235">
        <v>0</v>
      </c>
      <c r="DR235">
        <v>0</v>
      </c>
      <c r="DS235">
        <v>0</v>
      </c>
      <c r="DT235">
        <v>0</v>
      </c>
      <c r="DU235">
        <v>0</v>
      </c>
      <c r="DV235">
        <v>0</v>
      </c>
      <c r="DW235">
        <v>0</v>
      </c>
      <c r="DX235">
        <v>0</v>
      </c>
      <c r="DY235">
        <v>0</v>
      </c>
      <c r="DZ235">
        <v>0</v>
      </c>
      <c r="EA235">
        <v>0</v>
      </c>
      <c r="EB235">
        <v>0</v>
      </c>
      <c r="EC235">
        <v>0</v>
      </c>
      <c r="ED235">
        <v>0</v>
      </c>
      <c r="EE235">
        <v>0</v>
      </c>
      <c r="EF235">
        <v>0</v>
      </c>
      <c r="EG235">
        <v>0</v>
      </c>
      <c r="EH235">
        <v>0</v>
      </c>
      <c r="EI235">
        <v>0</v>
      </c>
      <c r="EJ235">
        <v>0</v>
      </c>
      <c r="EK235">
        <v>0</v>
      </c>
      <c r="EL235">
        <v>0</v>
      </c>
      <c r="EM235">
        <v>0</v>
      </c>
      <c r="EN235">
        <v>0</v>
      </c>
      <c r="EO235">
        <v>0</v>
      </c>
      <c r="EP235">
        <v>0</v>
      </c>
      <c r="EQ235">
        <v>0</v>
      </c>
      <c r="ER235">
        <v>0</v>
      </c>
      <c r="ES235">
        <v>0</v>
      </c>
      <c r="ET235">
        <v>0</v>
      </c>
      <c r="EU235">
        <v>0</v>
      </c>
      <c r="EV235">
        <v>0</v>
      </c>
      <c r="EW235">
        <v>0</v>
      </c>
      <c r="EX235">
        <v>0</v>
      </c>
      <c r="EY235">
        <v>0</v>
      </c>
      <c r="EZ235">
        <v>0</v>
      </c>
      <c r="FA235">
        <v>0</v>
      </c>
      <c r="FB235">
        <v>0</v>
      </c>
      <c r="FC235">
        <v>0</v>
      </c>
      <c r="FD235">
        <v>0</v>
      </c>
      <c r="FE235">
        <v>0</v>
      </c>
      <c r="FF235">
        <v>0</v>
      </c>
      <c r="FG235">
        <v>0</v>
      </c>
      <c r="FH235">
        <v>0</v>
      </c>
      <c r="FI235">
        <v>0</v>
      </c>
      <c r="FJ235">
        <v>0</v>
      </c>
      <c r="FK235">
        <v>0</v>
      </c>
      <c r="FL235">
        <v>0</v>
      </c>
      <c r="FM235">
        <v>0</v>
      </c>
      <c r="FN235">
        <v>0</v>
      </c>
      <c r="FO235">
        <v>0</v>
      </c>
      <c r="FP235">
        <v>0</v>
      </c>
      <c r="FQ235">
        <v>0</v>
      </c>
      <c r="FR235">
        <v>0</v>
      </c>
      <c r="FS235">
        <v>0</v>
      </c>
      <c r="FT235">
        <v>0</v>
      </c>
      <c r="FU235">
        <v>0</v>
      </c>
      <c r="FV235">
        <v>0</v>
      </c>
      <c r="FW235">
        <v>0</v>
      </c>
      <c r="FX235">
        <v>0</v>
      </c>
      <c r="FY235">
        <v>0</v>
      </c>
      <c r="FZ235">
        <v>0</v>
      </c>
      <c r="GA235">
        <v>0</v>
      </c>
      <c r="GB235">
        <v>0</v>
      </c>
      <c r="GC235">
        <v>0</v>
      </c>
      <c r="GD235">
        <v>0</v>
      </c>
      <c r="GE235">
        <v>0</v>
      </c>
      <c r="GF235">
        <v>0</v>
      </c>
      <c r="GG235">
        <v>0</v>
      </c>
      <c r="GH235">
        <v>0</v>
      </c>
      <c r="GI235">
        <v>0</v>
      </c>
      <c r="GJ235">
        <v>0</v>
      </c>
      <c r="GK235">
        <v>0</v>
      </c>
      <c r="GL235">
        <v>0</v>
      </c>
      <c r="GM235">
        <v>0</v>
      </c>
      <c r="GN235">
        <v>0</v>
      </c>
      <c r="GO235">
        <v>0</v>
      </c>
      <c r="GP235">
        <v>0</v>
      </c>
      <c r="GQ235">
        <v>0</v>
      </c>
      <c r="GR235">
        <v>0</v>
      </c>
      <c r="GS235">
        <v>0</v>
      </c>
      <c r="GT235">
        <v>0</v>
      </c>
      <c r="GU235">
        <v>0</v>
      </c>
      <c r="GV235">
        <v>0</v>
      </c>
      <c r="GW235">
        <v>0</v>
      </c>
      <c r="GX235">
        <v>0</v>
      </c>
      <c r="GY235">
        <v>0</v>
      </c>
      <c r="GZ235">
        <v>0</v>
      </c>
      <c r="HA235">
        <v>0</v>
      </c>
      <c r="HB235">
        <v>0</v>
      </c>
      <c r="HC235">
        <v>0</v>
      </c>
      <c r="HD235">
        <v>0</v>
      </c>
      <c r="HE235">
        <v>0</v>
      </c>
      <c r="HF235">
        <v>0</v>
      </c>
      <c r="HG235">
        <v>0</v>
      </c>
      <c r="HH235">
        <v>0</v>
      </c>
      <c r="HI235">
        <v>0</v>
      </c>
      <c r="HJ235">
        <v>0</v>
      </c>
      <c r="HK235">
        <v>0</v>
      </c>
      <c r="HL235">
        <v>0</v>
      </c>
      <c r="HM235">
        <v>0</v>
      </c>
      <c r="HN235">
        <v>0</v>
      </c>
      <c r="HO235">
        <v>0</v>
      </c>
      <c r="HP235">
        <v>0</v>
      </c>
      <c r="HQ235">
        <v>0</v>
      </c>
      <c r="HR235">
        <v>0</v>
      </c>
      <c r="HS235">
        <v>0</v>
      </c>
      <c r="HT235">
        <v>0</v>
      </c>
      <c r="HU235">
        <v>0</v>
      </c>
      <c r="HV235">
        <v>0</v>
      </c>
      <c r="HW235">
        <v>0</v>
      </c>
      <c r="HX235">
        <v>0</v>
      </c>
      <c r="HY235">
        <v>0</v>
      </c>
      <c r="HZ235">
        <v>0</v>
      </c>
      <c r="IA235">
        <v>0</v>
      </c>
      <c r="IB235">
        <v>0</v>
      </c>
      <c r="IC235">
        <v>0</v>
      </c>
      <c r="ID235">
        <v>0</v>
      </c>
      <c r="IE235">
        <v>0</v>
      </c>
      <c r="IF235">
        <v>0</v>
      </c>
      <c r="IG235">
        <v>0</v>
      </c>
      <c r="IH235">
        <v>0</v>
      </c>
      <c r="II235">
        <v>0</v>
      </c>
      <c r="IJ235">
        <v>0</v>
      </c>
      <c r="IK235">
        <v>0</v>
      </c>
      <c r="IL235">
        <v>0</v>
      </c>
      <c r="IM235">
        <v>0</v>
      </c>
      <c r="IN235">
        <v>0</v>
      </c>
      <c r="IO235">
        <v>0</v>
      </c>
      <c r="IP235">
        <v>0</v>
      </c>
      <c r="IQ235">
        <v>0</v>
      </c>
      <c r="IR235">
        <v>0</v>
      </c>
      <c r="IS235">
        <v>0</v>
      </c>
      <c r="IT235">
        <v>0</v>
      </c>
      <c r="IU235">
        <v>0</v>
      </c>
      <c r="IV235">
        <v>0</v>
      </c>
      <c r="IW235">
        <v>0</v>
      </c>
      <c r="IX235">
        <v>0</v>
      </c>
      <c r="IY235">
        <v>0</v>
      </c>
      <c r="IZ235">
        <v>0</v>
      </c>
      <c r="JA235">
        <v>0</v>
      </c>
      <c r="JB235">
        <v>0</v>
      </c>
      <c r="JC235">
        <v>0</v>
      </c>
      <c r="JD235">
        <v>0</v>
      </c>
      <c r="JE235">
        <v>0</v>
      </c>
      <c r="JF235">
        <v>0</v>
      </c>
      <c r="JG235">
        <v>0</v>
      </c>
      <c r="JH235">
        <v>0</v>
      </c>
      <c r="JI235">
        <v>0</v>
      </c>
      <c r="JJ235">
        <v>0</v>
      </c>
      <c r="JK235">
        <v>0</v>
      </c>
      <c r="JL235">
        <v>0</v>
      </c>
      <c r="JM235">
        <v>0</v>
      </c>
      <c r="JN235">
        <v>0</v>
      </c>
      <c r="JO235">
        <v>0</v>
      </c>
      <c r="JP235">
        <v>0</v>
      </c>
      <c r="JQ235">
        <v>0</v>
      </c>
      <c r="JR235">
        <v>0</v>
      </c>
      <c r="JS235">
        <v>0</v>
      </c>
      <c r="JT235">
        <v>0</v>
      </c>
      <c r="JU235">
        <v>0</v>
      </c>
      <c r="JV235">
        <v>0</v>
      </c>
      <c r="JW235">
        <v>0</v>
      </c>
      <c r="JX235">
        <v>0</v>
      </c>
      <c r="JY235">
        <v>0</v>
      </c>
      <c r="JZ235">
        <v>0</v>
      </c>
      <c r="KA235">
        <v>0</v>
      </c>
      <c r="KB235">
        <v>0</v>
      </c>
      <c r="KC235">
        <v>0</v>
      </c>
      <c r="KD235">
        <v>0</v>
      </c>
      <c r="KE235">
        <v>0</v>
      </c>
      <c r="KF235">
        <v>0</v>
      </c>
      <c r="KG235">
        <v>0</v>
      </c>
      <c r="KH235">
        <v>0</v>
      </c>
      <c r="KI235">
        <v>0</v>
      </c>
      <c r="KJ235">
        <v>0</v>
      </c>
      <c r="KK235">
        <v>0</v>
      </c>
      <c r="KL235">
        <v>0</v>
      </c>
      <c r="KM235">
        <v>0</v>
      </c>
      <c r="KN235">
        <v>0</v>
      </c>
      <c r="KO235">
        <v>0</v>
      </c>
      <c r="KP235">
        <v>0</v>
      </c>
      <c r="KQ235">
        <v>0</v>
      </c>
      <c r="KR235">
        <v>0</v>
      </c>
      <c r="KS235">
        <v>0</v>
      </c>
      <c r="KT235">
        <v>0</v>
      </c>
      <c r="KU235">
        <v>0</v>
      </c>
      <c r="KV235">
        <v>0</v>
      </c>
      <c r="KW235">
        <v>0</v>
      </c>
      <c r="KX235">
        <v>0</v>
      </c>
      <c r="KY235">
        <v>0</v>
      </c>
      <c r="KZ235">
        <v>0</v>
      </c>
      <c r="LA235">
        <v>0</v>
      </c>
      <c r="LB235">
        <v>0</v>
      </c>
      <c r="LC235">
        <v>0</v>
      </c>
      <c r="LD235">
        <v>0</v>
      </c>
      <c r="LE235">
        <v>0</v>
      </c>
      <c r="LF235">
        <v>0</v>
      </c>
      <c r="LG235">
        <v>0</v>
      </c>
      <c r="LH235">
        <v>0</v>
      </c>
      <c r="LI235">
        <v>0</v>
      </c>
      <c r="LJ235">
        <v>0</v>
      </c>
      <c r="LK235">
        <v>0</v>
      </c>
      <c r="LL235">
        <v>0</v>
      </c>
      <c r="LM235">
        <v>0</v>
      </c>
      <c r="LN235">
        <v>0</v>
      </c>
      <c r="LO235">
        <v>0</v>
      </c>
      <c r="LP235">
        <v>0</v>
      </c>
      <c r="LQ235">
        <v>0</v>
      </c>
      <c r="LR235">
        <v>0</v>
      </c>
      <c r="LS235">
        <v>0</v>
      </c>
      <c r="LT235">
        <v>0</v>
      </c>
      <c r="LU235">
        <v>0</v>
      </c>
      <c r="LV235">
        <v>0</v>
      </c>
      <c r="LW235">
        <v>0</v>
      </c>
      <c r="LX235">
        <v>0</v>
      </c>
      <c r="LY235">
        <v>0</v>
      </c>
      <c r="LZ235">
        <v>0</v>
      </c>
      <c r="MA235">
        <v>0</v>
      </c>
      <c r="MB235">
        <v>0</v>
      </c>
      <c r="MC235">
        <v>0</v>
      </c>
      <c r="MD235">
        <v>0</v>
      </c>
      <c r="ME235">
        <v>0</v>
      </c>
      <c r="MF235">
        <v>0</v>
      </c>
      <c r="MG235">
        <v>0</v>
      </c>
      <c r="MH235">
        <v>0</v>
      </c>
      <c r="MI235">
        <v>0</v>
      </c>
      <c r="MJ235">
        <v>0</v>
      </c>
      <c r="MK235">
        <v>0</v>
      </c>
      <c r="ML235">
        <v>0</v>
      </c>
      <c r="MM235">
        <v>0</v>
      </c>
      <c r="MN235">
        <v>0</v>
      </c>
      <c r="MO235">
        <v>0</v>
      </c>
      <c r="MP235">
        <v>0</v>
      </c>
      <c r="MQ235">
        <v>0</v>
      </c>
      <c r="MR235">
        <v>0</v>
      </c>
      <c r="MS235">
        <v>0</v>
      </c>
      <c r="MT235">
        <v>0</v>
      </c>
      <c r="MU235">
        <v>0</v>
      </c>
      <c r="MV235">
        <v>0</v>
      </c>
      <c r="MW235">
        <v>0</v>
      </c>
      <c r="MX235">
        <v>0</v>
      </c>
      <c r="MY235">
        <v>0</v>
      </c>
      <c r="MZ235">
        <v>0</v>
      </c>
      <c r="NA235">
        <v>0</v>
      </c>
      <c r="NB235">
        <v>0</v>
      </c>
      <c r="NC235">
        <v>0</v>
      </c>
      <c r="ND235">
        <v>0</v>
      </c>
      <c r="NE235">
        <v>0</v>
      </c>
    </row>
    <row r="236" spans="41:369" x14ac:dyDescent="0.45">
      <c r="AO236" t="str">
        <v>D112</v>
      </c>
      <c r="AP236" t="str">
        <v>AMEEN ABDULLA</v>
      </c>
      <c r="AQ236" t="str">
        <v>FANT</v>
      </c>
      <c r="AR236" t="str">
        <v>SUPER SENIOR</v>
      </c>
      <c r="AS236">
        <v>8</v>
      </c>
      <c r="AT236">
        <v>16</v>
      </c>
      <c r="AU236">
        <v>0</v>
      </c>
      <c r="AV236">
        <v>16</v>
      </c>
      <c r="AW236">
        <v>16</v>
      </c>
      <c r="AX236">
        <v>94</v>
      </c>
      <c r="AY236" s="5">
        <v>94</v>
      </c>
      <c r="AZ236">
        <v>0</v>
      </c>
      <c r="BA236">
        <v>0</v>
      </c>
      <c r="BB236">
        <v>0</v>
      </c>
      <c r="BC236">
        <v>0</v>
      </c>
      <c r="BD236">
        <v>0</v>
      </c>
      <c r="BE236">
        <v>0</v>
      </c>
      <c r="BF236">
        <v>0</v>
      </c>
      <c r="BG236">
        <v>0</v>
      </c>
      <c r="BH236">
        <v>0</v>
      </c>
      <c r="BI236" t="str">
        <v/>
      </c>
      <c r="BK236">
        <v>230</v>
      </c>
      <c r="BL236">
        <v>0</v>
      </c>
      <c r="BM236">
        <v>0</v>
      </c>
      <c r="BN236">
        <v>0</v>
      </c>
      <c r="BO236">
        <v>0</v>
      </c>
      <c r="BP236">
        <v>0</v>
      </c>
      <c r="BQ236">
        <v>0</v>
      </c>
      <c r="BR236">
        <v>0</v>
      </c>
      <c r="BS236">
        <v>0</v>
      </c>
      <c r="BT236">
        <v>0</v>
      </c>
      <c r="BU236">
        <v>0</v>
      </c>
      <c r="BV236">
        <v>0</v>
      </c>
      <c r="BW236">
        <v>0</v>
      </c>
      <c r="BX236">
        <v>0</v>
      </c>
      <c r="BY236">
        <v>0</v>
      </c>
      <c r="BZ236">
        <v>0</v>
      </c>
      <c r="CA236">
        <v>0</v>
      </c>
      <c r="CB236">
        <v>0</v>
      </c>
      <c r="CC236">
        <v>0</v>
      </c>
      <c r="CD236">
        <v>0</v>
      </c>
      <c r="CE236">
        <v>0</v>
      </c>
      <c r="CF236">
        <v>0</v>
      </c>
      <c r="CG236">
        <v>0</v>
      </c>
      <c r="CH236">
        <v>0</v>
      </c>
      <c r="CI236">
        <v>0</v>
      </c>
      <c r="CJ236">
        <v>0</v>
      </c>
      <c r="CK236">
        <v>0</v>
      </c>
      <c r="CL236">
        <v>0</v>
      </c>
      <c r="CM236">
        <v>0</v>
      </c>
      <c r="CN236">
        <v>0</v>
      </c>
      <c r="CO236">
        <v>0</v>
      </c>
      <c r="CP236">
        <v>0</v>
      </c>
      <c r="CQ236">
        <v>0</v>
      </c>
      <c r="CR236">
        <v>0</v>
      </c>
      <c r="CS236">
        <v>0</v>
      </c>
      <c r="CT236">
        <v>0</v>
      </c>
      <c r="CU236">
        <v>0</v>
      </c>
      <c r="CV236">
        <v>0</v>
      </c>
      <c r="CW236">
        <v>0</v>
      </c>
      <c r="CX236">
        <v>0</v>
      </c>
      <c r="CY236">
        <v>0</v>
      </c>
      <c r="CZ236">
        <v>0</v>
      </c>
      <c r="DA236">
        <v>0</v>
      </c>
      <c r="DB236">
        <v>0</v>
      </c>
      <c r="DC236">
        <v>0</v>
      </c>
      <c r="DD236">
        <v>0</v>
      </c>
      <c r="DE236">
        <v>0</v>
      </c>
      <c r="DF236">
        <v>0</v>
      </c>
      <c r="DG236">
        <v>0</v>
      </c>
      <c r="DH236">
        <v>0</v>
      </c>
      <c r="DI236">
        <v>0</v>
      </c>
      <c r="DJ236">
        <v>0</v>
      </c>
      <c r="DK236">
        <v>0</v>
      </c>
      <c r="DL236">
        <v>0</v>
      </c>
      <c r="DM236">
        <v>0</v>
      </c>
      <c r="DN236">
        <v>0</v>
      </c>
      <c r="DO236">
        <v>0</v>
      </c>
      <c r="DP236">
        <v>0</v>
      </c>
      <c r="DQ236">
        <v>0</v>
      </c>
      <c r="DR236">
        <v>0</v>
      </c>
      <c r="DS236">
        <v>0</v>
      </c>
      <c r="DT236">
        <v>0</v>
      </c>
      <c r="DU236">
        <v>0</v>
      </c>
      <c r="DV236">
        <v>0</v>
      </c>
      <c r="DW236">
        <v>0</v>
      </c>
      <c r="DX236">
        <v>0</v>
      </c>
      <c r="DY236">
        <v>0</v>
      </c>
      <c r="DZ236">
        <v>0</v>
      </c>
      <c r="EA236">
        <v>0</v>
      </c>
      <c r="EB236">
        <v>0</v>
      </c>
      <c r="EC236">
        <v>0</v>
      </c>
      <c r="ED236">
        <v>0</v>
      </c>
      <c r="EE236">
        <v>0</v>
      </c>
      <c r="EF236">
        <v>0</v>
      </c>
      <c r="EG236">
        <v>0</v>
      </c>
      <c r="EH236">
        <v>0</v>
      </c>
      <c r="EI236">
        <v>0</v>
      </c>
      <c r="EJ236">
        <v>0</v>
      </c>
      <c r="EK236">
        <v>0</v>
      </c>
      <c r="EL236">
        <v>0</v>
      </c>
      <c r="EM236">
        <v>0</v>
      </c>
      <c r="EN236">
        <v>0</v>
      </c>
      <c r="EO236">
        <v>0</v>
      </c>
      <c r="EP236">
        <v>0</v>
      </c>
      <c r="EQ236">
        <v>0</v>
      </c>
      <c r="ER236">
        <v>0</v>
      </c>
      <c r="ES236">
        <v>0</v>
      </c>
      <c r="ET236">
        <v>0</v>
      </c>
      <c r="EU236">
        <v>0</v>
      </c>
      <c r="EV236">
        <v>0</v>
      </c>
      <c r="EW236">
        <v>0</v>
      </c>
      <c r="EX236">
        <v>0</v>
      </c>
      <c r="EY236">
        <v>0</v>
      </c>
      <c r="EZ236">
        <v>0</v>
      </c>
      <c r="FA236">
        <v>0</v>
      </c>
      <c r="FB236">
        <v>0</v>
      </c>
      <c r="FC236">
        <v>0</v>
      </c>
      <c r="FD236">
        <v>0</v>
      </c>
      <c r="FE236">
        <v>0</v>
      </c>
      <c r="FF236">
        <v>0</v>
      </c>
      <c r="FG236">
        <v>0</v>
      </c>
      <c r="FH236">
        <v>0</v>
      </c>
      <c r="FI236">
        <v>0</v>
      </c>
      <c r="FJ236">
        <v>0</v>
      </c>
      <c r="FK236">
        <v>0</v>
      </c>
      <c r="FL236">
        <v>0</v>
      </c>
      <c r="FM236">
        <v>0</v>
      </c>
      <c r="FN236">
        <v>0</v>
      </c>
      <c r="FO236">
        <v>0</v>
      </c>
      <c r="FP236">
        <v>0</v>
      </c>
      <c r="FQ236">
        <v>0</v>
      </c>
      <c r="FR236">
        <v>0</v>
      </c>
      <c r="FS236">
        <v>0</v>
      </c>
      <c r="FT236">
        <v>0</v>
      </c>
      <c r="FU236">
        <v>0</v>
      </c>
      <c r="FV236">
        <v>0</v>
      </c>
      <c r="FW236">
        <v>0</v>
      </c>
      <c r="FX236">
        <v>0</v>
      </c>
      <c r="FY236">
        <v>0</v>
      </c>
      <c r="FZ236">
        <v>0</v>
      </c>
      <c r="GA236">
        <v>0</v>
      </c>
      <c r="GB236">
        <v>0</v>
      </c>
      <c r="GC236">
        <v>0</v>
      </c>
      <c r="GD236">
        <v>0</v>
      </c>
      <c r="GE236">
        <v>0</v>
      </c>
      <c r="GF236">
        <v>0</v>
      </c>
      <c r="GG236">
        <v>0</v>
      </c>
      <c r="GH236">
        <v>0</v>
      </c>
      <c r="GI236">
        <v>0</v>
      </c>
      <c r="GJ236">
        <v>0</v>
      </c>
      <c r="GK236">
        <v>0</v>
      </c>
      <c r="GL236">
        <v>0</v>
      </c>
      <c r="GM236">
        <v>0</v>
      </c>
      <c r="GN236">
        <v>0</v>
      </c>
      <c r="GO236">
        <v>0</v>
      </c>
      <c r="GP236">
        <v>0</v>
      </c>
      <c r="GQ236">
        <v>0</v>
      </c>
      <c r="GR236">
        <v>0</v>
      </c>
      <c r="GS236">
        <v>0</v>
      </c>
      <c r="GT236">
        <v>0</v>
      </c>
      <c r="GU236">
        <v>0</v>
      </c>
      <c r="GV236">
        <v>0</v>
      </c>
      <c r="GW236">
        <v>0</v>
      </c>
      <c r="GX236">
        <v>0</v>
      </c>
      <c r="GY236">
        <v>0</v>
      </c>
      <c r="GZ236">
        <v>0</v>
      </c>
      <c r="HA236">
        <v>0</v>
      </c>
      <c r="HB236">
        <v>0</v>
      </c>
      <c r="HC236">
        <v>0</v>
      </c>
      <c r="HD236">
        <v>0</v>
      </c>
      <c r="HE236">
        <v>0</v>
      </c>
      <c r="HF236">
        <v>0</v>
      </c>
      <c r="HG236">
        <v>0</v>
      </c>
      <c r="HH236">
        <v>0</v>
      </c>
      <c r="HI236">
        <v>0</v>
      </c>
      <c r="HJ236">
        <v>0</v>
      </c>
      <c r="HK236">
        <v>0</v>
      </c>
      <c r="HL236">
        <v>0</v>
      </c>
      <c r="HM236">
        <v>0</v>
      </c>
      <c r="HN236">
        <v>0</v>
      </c>
      <c r="HO236">
        <v>0</v>
      </c>
      <c r="HP236">
        <v>0</v>
      </c>
      <c r="HQ236">
        <v>0</v>
      </c>
      <c r="HR236">
        <v>0</v>
      </c>
      <c r="HS236">
        <v>0</v>
      </c>
      <c r="HT236">
        <v>0</v>
      </c>
      <c r="HU236">
        <v>0</v>
      </c>
      <c r="HV236">
        <v>0</v>
      </c>
      <c r="HW236">
        <v>0</v>
      </c>
      <c r="HX236">
        <v>0</v>
      </c>
      <c r="HY236">
        <v>0</v>
      </c>
      <c r="HZ236">
        <v>0</v>
      </c>
      <c r="IA236">
        <v>0</v>
      </c>
      <c r="IB236">
        <v>0</v>
      </c>
      <c r="IC236">
        <v>0</v>
      </c>
      <c r="ID236">
        <v>0</v>
      </c>
      <c r="IE236">
        <v>0</v>
      </c>
      <c r="IF236">
        <v>0</v>
      </c>
      <c r="IG236">
        <v>0</v>
      </c>
      <c r="IH236">
        <v>0</v>
      </c>
      <c r="II236">
        <v>0</v>
      </c>
      <c r="IJ236">
        <v>0</v>
      </c>
      <c r="IK236">
        <v>0</v>
      </c>
      <c r="IL236">
        <v>0</v>
      </c>
      <c r="IM236">
        <v>0</v>
      </c>
      <c r="IN236">
        <v>0</v>
      </c>
      <c r="IO236">
        <v>0</v>
      </c>
      <c r="IP236">
        <v>0</v>
      </c>
      <c r="IQ236">
        <v>0</v>
      </c>
      <c r="IR236">
        <v>0</v>
      </c>
      <c r="IS236">
        <v>0</v>
      </c>
      <c r="IT236">
        <v>0</v>
      </c>
      <c r="IU236">
        <v>0</v>
      </c>
      <c r="IV236">
        <v>0</v>
      </c>
      <c r="IW236">
        <v>0</v>
      </c>
      <c r="IX236">
        <v>0</v>
      </c>
      <c r="IY236">
        <v>0</v>
      </c>
      <c r="IZ236">
        <v>0</v>
      </c>
      <c r="JA236">
        <v>0</v>
      </c>
      <c r="JB236">
        <v>0</v>
      </c>
      <c r="JC236">
        <v>0</v>
      </c>
      <c r="JD236">
        <v>0</v>
      </c>
      <c r="JE236">
        <v>0</v>
      </c>
      <c r="JF236">
        <v>0</v>
      </c>
      <c r="JG236">
        <v>0</v>
      </c>
      <c r="JH236">
        <v>0</v>
      </c>
      <c r="JI236">
        <v>0</v>
      </c>
      <c r="JJ236">
        <v>0</v>
      </c>
      <c r="JK236">
        <v>0</v>
      </c>
      <c r="JL236">
        <v>0</v>
      </c>
      <c r="JM236">
        <v>0</v>
      </c>
      <c r="JN236">
        <v>0</v>
      </c>
      <c r="JO236">
        <v>0</v>
      </c>
      <c r="JP236">
        <v>0</v>
      </c>
      <c r="JQ236">
        <v>0</v>
      </c>
      <c r="JR236">
        <v>0</v>
      </c>
      <c r="JS236">
        <v>0</v>
      </c>
      <c r="JT236">
        <v>0</v>
      </c>
      <c r="JU236">
        <v>0</v>
      </c>
      <c r="JV236">
        <v>0</v>
      </c>
      <c r="JW236">
        <v>0</v>
      </c>
      <c r="JX236">
        <v>0</v>
      </c>
      <c r="JY236">
        <v>0</v>
      </c>
      <c r="JZ236">
        <v>0</v>
      </c>
      <c r="KA236">
        <v>0</v>
      </c>
      <c r="KB236">
        <v>0</v>
      </c>
      <c r="KC236">
        <v>0</v>
      </c>
      <c r="KD236">
        <v>0</v>
      </c>
      <c r="KE236">
        <v>0</v>
      </c>
      <c r="KF236">
        <v>0</v>
      </c>
      <c r="KG236">
        <v>0</v>
      </c>
      <c r="KH236">
        <v>0</v>
      </c>
      <c r="KI236">
        <v>0</v>
      </c>
      <c r="KJ236">
        <v>0</v>
      </c>
      <c r="KK236">
        <v>0</v>
      </c>
      <c r="KL236">
        <v>0</v>
      </c>
      <c r="KM236">
        <v>0</v>
      </c>
      <c r="KN236">
        <v>0</v>
      </c>
      <c r="KO236">
        <v>0</v>
      </c>
      <c r="KP236">
        <v>0</v>
      </c>
      <c r="KQ236">
        <v>0</v>
      </c>
      <c r="KR236">
        <v>0</v>
      </c>
      <c r="KS236">
        <v>0</v>
      </c>
      <c r="KT236">
        <v>0</v>
      </c>
      <c r="KU236">
        <v>0</v>
      </c>
      <c r="KV236">
        <v>0</v>
      </c>
      <c r="KW236">
        <v>0</v>
      </c>
      <c r="KX236">
        <v>0</v>
      </c>
      <c r="KY236">
        <v>0</v>
      </c>
      <c r="KZ236">
        <v>0</v>
      </c>
      <c r="LA236">
        <v>0</v>
      </c>
      <c r="LB236">
        <v>0</v>
      </c>
      <c r="LC236">
        <v>0</v>
      </c>
      <c r="LD236">
        <v>0</v>
      </c>
      <c r="LE236">
        <v>0</v>
      </c>
      <c r="LF236">
        <v>0</v>
      </c>
      <c r="LG236">
        <v>0</v>
      </c>
      <c r="LH236">
        <v>0</v>
      </c>
      <c r="LI236">
        <v>0</v>
      </c>
      <c r="LJ236">
        <v>0</v>
      </c>
      <c r="LK236">
        <v>0</v>
      </c>
      <c r="LL236">
        <v>0</v>
      </c>
      <c r="LM236">
        <v>0</v>
      </c>
      <c r="LN236">
        <v>0</v>
      </c>
      <c r="LO236">
        <v>0</v>
      </c>
      <c r="LP236">
        <v>0</v>
      </c>
      <c r="LQ236">
        <v>0</v>
      </c>
      <c r="LR236">
        <v>0</v>
      </c>
      <c r="LS236">
        <v>0</v>
      </c>
      <c r="LT236">
        <v>0</v>
      </c>
      <c r="LU236">
        <v>0</v>
      </c>
      <c r="LV236">
        <v>0</v>
      </c>
      <c r="LW236">
        <v>0</v>
      </c>
      <c r="LX236">
        <v>0</v>
      </c>
      <c r="LY236">
        <v>0</v>
      </c>
      <c r="LZ236">
        <v>0</v>
      </c>
      <c r="MA236">
        <v>0</v>
      </c>
      <c r="MB236">
        <v>0</v>
      </c>
      <c r="MC236">
        <v>0</v>
      </c>
      <c r="MD236">
        <v>0</v>
      </c>
      <c r="ME236">
        <v>0</v>
      </c>
      <c r="MF236">
        <v>0</v>
      </c>
      <c r="MG236">
        <v>0</v>
      </c>
      <c r="MH236">
        <v>0</v>
      </c>
      <c r="MI236">
        <v>0</v>
      </c>
      <c r="MJ236">
        <v>0</v>
      </c>
      <c r="MK236">
        <v>0</v>
      </c>
      <c r="ML236">
        <v>0</v>
      </c>
      <c r="MM236">
        <v>0</v>
      </c>
      <c r="MN236">
        <v>0</v>
      </c>
      <c r="MO236">
        <v>0</v>
      </c>
      <c r="MP236">
        <v>0</v>
      </c>
      <c r="MQ236">
        <v>0</v>
      </c>
      <c r="MR236">
        <v>0</v>
      </c>
      <c r="MS236">
        <v>0</v>
      </c>
      <c r="MT236">
        <v>0</v>
      </c>
      <c r="MU236">
        <v>0</v>
      </c>
      <c r="MV236">
        <v>0</v>
      </c>
      <c r="MW236">
        <v>0</v>
      </c>
      <c r="MX236">
        <v>0</v>
      </c>
      <c r="MY236">
        <v>0</v>
      </c>
      <c r="MZ236">
        <v>0</v>
      </c>
      <c r="NA236">
        <v>0</v>
      </c>
      <c r="NB236">
        <v>0</v>
      </c>
      <c r="NC236">
        <v>0</v>
      </c>
      <c r="ND236">
        <v>0</v>
      </c>
      <c r="NE236">
        <v>0</v>
      </c>
    </row>
    <row r="237" spans="41:369" x14ac:dyDescent="0.45">
      <c r="AO237" t="str">
        <v>D113</v>
      </c>
      <c r="AP237" t="str">
        <v>ZULFIKARALI</v>
      </c>
      <c r="AQ237" t="str">
        <v>JARF</v>
      </c>
      <c r="AR237" t="str">
        <v>SUPER SENIOR</v>
      </c>
      <c r="AS237">
        <v>8</v>
      </c>
      <c r="AT237">
        <v>4</v>
      </c>
      <c r="AU237">
        <v>0</v>
      </c>
      <c r="AV237">
        <v>4</v>
      </c>
      <c r="AW237">
        <v>4</v>
      </c>
      <c r="AX237">
        <v>197</v>
      </c>
      <c r="AY237" s="5">
        <v>197</v>
      </c>
      <c r="AZ237">
        <v>0</v>
      </c>
      <c r="BA237">
        <v>0</v>
      </c>
      <c r="BB237">
        <v>0</v>
      </c>
      <c r="BC237">
        <v>0</v>
      </c>
      <c r="BD237">
        <v>0</v>
      </c>
      <c r="BE237">
        <v>0</v>
      </c>
      <c r="BF237">
        <v>0</v>
      </c>
      <c r="BG237">
        <v>0</v>
      </c>
      <c r="BH237">
        <v>0</v>
      </c>
      <c r="BI237" t="str">
        <v/>
      </c>
      <c r="BK237">
        <v>231</v>
      </c>
      <c r="BL237">
        <v>0</v>
      </c>
      <c r="BM237">
        <v>0</v>
      </c>
      <c r="BN237">
        <v>0</v>
      </c>
      <c r="BO237">
        <v>0</v>
      </c>
      <c r="BP237">
        <v>0</v>
      </c>
      <c r="BQ237">
        <v>0</v>
      </c>
      <c r="BR237">
        <v>0</v>
      </c>
      <c r="BS237">
        <v>0</v>
      </c>
      <c r="BT237">
        <v>0</v>
      </c>
      <c r="BU237">
        <v>0</v>
      </c>
      <c r="BV237">
        <v>0</v>
      </c>
      <c r="BW237">
        <v>0</v>
      </c>
      <c r="BX237">
        <v>0</v>
      </c>
      <c r="BY237">
        <v>0</v>
      </c>
      <c r="BZ237">
        <v>0</v>
      </c>
      <c r="CA237">
        <v>0</v>
      </c>
      <c r="CB237">
        <v>0</v>
      </c>
      <c r="CC237">
        <v>0</v>
      </c>
      <c r="CD237">
        <v>0</v>
      </c>
      <c r="CE237">
        <v>0</v>
      </c>
      <c r="CF237">
        <v>0</v>
      </c>
      <c r="CG237">
        <v>0</v>
      </c>
      <c r="CH237">
        <v>0</v>
      </c>
      <c r="CI237">
        <v>0</v>
      </c>
      <c r="CJ237">
        <v>0</v>
      </c>
      <c r="CK237">
        <v>0</v>
      </c>
      <c r="CL237">
        <v>0</v>
      </c>
      <c r="CM237">
        <v>0</v>
      </c>
      <c r="CN237">
        <v>0</v>
      </c>
      <c r="CO237">
        <v>0</v>
      </c>
      <c r="CP237">
        <v>0</v>
      </c>
      <c r="CQ237">
        <v>0</v>
      </c>
      <c r="CR237">
        <v>0</v>
      </c>
      <c r="CS237">
        <v>0</v>
      </c>
      <c r="CT237">
        <v>0</v>
      </c>
      <c r="CU237">
        <v>0</v>
      </c>
      <c r="CV237">
        <v>0</v>
      </c>
      <c r="CW237">
        <v>0</v>
      </c>
      <c r="CX237">
        <v>0</v>
      </c>
      <c r="CY237">
        <v>0</v>
      </c>
      <c r="CZ237">
        <v>0</v>
      </c>
      <c r="DA237">
        <v>0</v>
      </c>
      <c r="DB237">
        <v>0</v>
      </c>
      <c r="DC237">
        <v>0</v>
      </c>
      <c r="DD237">
        <v>0</v>
      </c>
      <c r="DE237">
        <v>0</v>
      </c>
      <c r="DF237">
        <v>0</v>
      </c>
      <c r="DG237">
        <v>0</v>
      </c>
      <c r="DH237">
        <v>0</v>
      </c>
      <c r="DI237">
        <v>0</v>
      </c>
      <c r="DJ237">
        <v>0</v>
      </c>
      <c r="DK237">
        <v>0</v>
      </c>
      <c r="DL237">
        <v>0</v>
      </c>
      <c r="DM237">
        <v>0</v>
      </c>
      <c r="DN237">
        <v>0</v>
      </c>
      <c r="DO237">
        <v>0</v>
      </c>
      <c r="DP237">
        <v>0</v>
      </c>
      <c r="DQ237">
        <v>0</v>
      </c>
      <c r="DR237">
        <v>0</v>
      </c>
      <c r="DS237">
        <v>0</v>
      </c>
      <c r="DT237">
        <v>0</v>
      </c>
      <c r="DU237">
        <v>0</v>
      </c>
      <c r="DV237">
        <v>0</v>
      </c>
      <c r="DW237">
        <v>0</v>
      </c>
      <c r="DX237">
        <v>0</v>
      </c>
      <c r="DY237">
        <v>0</v>
      </c>
      <c r="DZ237">
        <v>0</v>
      </c>
      <c r="EA237">
        <v>0</v>
      </c>
      <c r="EB237">
        <v>0</v>
      </c>
      <c r="EC237">
        <v>0</v>
      </c>
      <c r="ED237">
        <v>0</v>
      </c>
      <c r="EE237">
        <v>0</v>
      </c>
      <c r="EF237">
        <v>0</v>
      </c>
      <c r="EG237">
        <v>0</v>
      </c>
      <c r="EH237">
        <v>0</v>
      </c>
      <c r="EI237">
        <v>0</v>
      </c>
      <c r="EJ237">
        <v>0</v>
      </c>
      <c r="EK237">
        <v>0</v>
      </c>
      <c r="EL237">
        <v>0</v>
      </c>
      <c r="EM237">
        <v>0</v>
      </c>
      <c r="EN237">
        <v>0</v>
      </c>
      <c r="EO237">
        <v>0</v>
      </c>
      <c r="EP237">
        <v>0</v>
      </c>
      <c r="EQ237">
        <v>0</v>
      </c>
      <c r="ER237">
        <v>0</v>
      </c>
      <c r="ES237">
        <v>0</v>
      </c>
      <c r="ET237">
        <v>0</v>
      </c>
      <c r="EU237">
        <v>0</v>
      </c>
      <c r="EV237">
        <v>0</v>
      </c>
      <c r="EW237">
        <v>0</v>
      </c>
      <c r="EX237">
        <v>0</v>
      </c>
      <c r="EY237">
        <v>0</v>
      </c>
      <c r="EZ237">
        <v>0</v>
      </c>
      <c r="FA237">
        <v>0</v>
      </c>
      <c r="FB237">
        <v>0</v>
      </c>
      <c r="FC237">
        <v>0</v>
      </c>
      <c r="FD237">
        <v>0</v>
      </c>
      <c r="FE237">
        <v>0</v>
      </c>
      <c r="FF237">
        <v>0</v>
      </c>
      <c r="FG237">
        <v>0</v>
      </c>
      <c r="FH237">
        <v>0</v>
      </c>
      <c r="FI237">
        <v>0</v>
      </c>
      <c r="FJ237">
        <v>0</v>
      </c>
      <c r="FK237">
        <v>0</v>
      </c>
      <c r="FL237">
        <v>0</v>
      </c>
      <c r="FM237">
        <v>0</v>
      </c>
      <c r="FN237">
        <v>0</v>
      </c>
      <c r="FO237">
        <v>0</v>
      </c>
      <c r="FP237">
        <v>0</v>
      </c>
      <c r="FQ237">
        <v>0</v>
      </c>
      <c r="FR237">
        <v>0</v>
      </c>
      <c r="FS237">
        <v>0</v>
      </c>
      <c r="FT237">
        <v>0</v>
      </c>
      <c r="FU237">
        <v>0</v>
      </c>
      <c r="FV237">
        <v>0</v>
      </c>
      <c r="FW237">
        <v>0</v>
      </c>
      <c r="FX237">
        <v>0</v>
      </c>
      <c r="FY237">
        <v>0</v>
      </c>
      <c r="FZ237">
        <v>0</v>
      </c>
      <c r="GA237">
        <v>0</v>
      </c>
      <c r="GB237">
        <v>0</v>
      </c>
      <c r="GC237">
        <v>0</v>
      </c>
      <c r="GD237">
        <v>0</v>
      </c>
      <c r="GE237">
        <v>0</v>
      </c>
      <c r="GF237">
        <v>0</v>
      </c>
      <c r="GG237">
        <v>0</v>
      </c>
      <c r="GH237">
        <v>0</v>
      </c>
      <c r="GI237">
        <v>0</v>
      </c>
      <c r="GJ237">
        <v>0</v>
      </c>
      <c r="GK237">
        <v>0</v>
      </c>
      <c r="GL237">
        <v>0</v>
      </c>
      <c r="GM237">
        <v>0</v>
      </c>
      <c r="GN237">
        <v>0</v>
      </c>
      <c r="GO237">
        <v>0</v>
      </c>
      <c r="GP237">
        <v>0</v>
      </c>
      <c r="GQ237">
        <v>0</v>
      </c>
      <c r="GR237">
        <v>0</v>
      </c>
      <c r="GS237">
        <v>0</v>
      </c>
      <c r="GT237">
        <v>0</v>
      </c>
      <c r="GU237">
        <v>0</v>
      </c>
      <c r="GV237">
        <v>0</v>
      </c>
      <c r="GW237">
        <v>0</v>
      </c>
      <c r="GX237">
        <v>0</v>
      </c>
      <c r="GY237">
        <v>0</v>
      </c>
      <c r="GZ237">
        <v>0</v>
      </c>
      <c r="HA237">
        <v>0</v>
      </c>
      <c r="HB237">
        <v>0</v>
      </c>
      <c r="HC237">
        <v>0</v>
      </c>
      <c r="HD237">
        <v>0</v>
      </c>
      <c r="HE237">
        <v>0</v>
      </c>
      <c r="HF237">
        <v>0</v>
      </c>
      <c r="HG237">
        <v>0</v>
      </c>
      <c r="HH237">
        <v>0</v>
      </c>
      <c r="HI237">
        <v>0</v>
      </c>
      <c r="HJ237">
        <v>0</v>
      </c>
      <c r="HK237">
        <v>0</v>
      </c>
      <c r="HL237">
        <v>0</v>
      </c>
      <c r="HM237">
        <v>0</v>
      </c>
      <c r="HN237">
        <v>0</v>
      </c>
      <c r="HO237">
        <v>0</v>
      </c>
      <c r="HP237">
        <v>0</v>
      </c>
      <c r="HQ237">
        <v>0</v>
      </c>
      <c r="HR237">
        <v>0</v>
      </c>
      <c r="HS237">
        <v>0</v>
      </c>
      <c r="HT237">
        <v>0</v>
      </c>
      <c r="HU237">
        <v>0</v>
      </c>
      <c r="HV237">
        <v>0</v>
      </c>
      <c r="HW237">
        <v>0</v>
      </c>
      <c r="HX237">
        <v>0</v>
      </c>
      <c r="HY237">
        <v>0</v>
      </c>
      <c r="HZ237">
        <v>0</v>
      </c>
      <c r="IA237">
        <v>0</v>
      </c>
      <c r="IB237">
        <v>0</v>
      </c>
      <c r="IC237">
        <v>0</v>
      </c>
      <c r="ID237">
        <v>0</v>
      </c>
      <c r="IE237">
        <v>0</v>
      </c>
      <c r="IF237">
        <v>0</v>
      </c>
      <c r="IG237">
        <v>0</v>
      </c>
      <c r="IH237">
        <v>0</v>
      </c>
      <c r="II237">
        <v>0</v>
      </c>
      <c r="IJ237">
        <v>0</v>
      </c>
      <c r="IK237">
        <v>0</v>
      </c>
      <c r="IL237">
        <v>0</v>
      </c>
      <c r="IM237">
        <v>0</v>
      </c>
      <c r="IN237">
        <v>0</v>
      </c>
      <c r="IO237">
        <v>0</v>
      </c>
      <c r="IP237">
        <v>0</v>
      </c>
      <c r="IQ237">
        <v>0</v>
      </c>
      <c r="IR237">
        <v>0</v>
      </c>
      <c r="IS237">
        <v>0</v>
      </c>
      <c r="IT237">
        <v>0</v>
      </c>
      <c r="IU237">
        <v>0</v>
      </c>
      <c r="IV237">
        <v>0</v>
      </c>
      <c r="IW237">
        <v>0</v>
      </c>
      <c r="IX237">
        <v>0</v>
      </c>
      <c r="IY237">
        <v>0</v>
      </c>
      <c r="IZ237">
        <v>0</v>
      </c>
      <c r="JA237">
        <v>0</v>
      </c>
      <c r="JB237">
        <v>0</v>
      </c>
      <c r="JC237">
        <v>0</v>
      </c>
      <c r="JD237">
        <v>0</v>
      </c>
      <c r="JE237">
        <v>0</v>
      </c>
      <c r="JF237">
        <v>0</v>
      </c>
      <c r="JG237">
        <v>0</v>
      </c>
      <c r="JH237">
        <v>0</v>
      </c>
      <c r="JI237">
        <v>0</v>
      </c>
      <c r="JJ237">
        <v>0</v>
      </c>
      <c r="JK237">
        <v>0</v>
      </c>
      <c r="JL237">
        <v>0</v>
      </c>
      <c r="JM237">
        <v>0</v>
      </c>
      <c r="JN237">
        <v>0</v>
      </c>
      <c r="JO237">
        <v>0</v>
      </c>
      <c r="JP237">
        <v>0</v>
      </c>
      <c r="JQ237">
        <v>0</v>
      </c>
      <c r="JR237">
        <v>0</v>
      </c>
      <c r="JS237">
        <v>0</v>
      </c>
      <c r="JT237">
        <v>0</v>
      </c>
      <c r="JU237">
        <v>0</v>
      </c>
      <c r="JV237">
        <v>0</v>
      </c>
      <c r="JW237">
        <v>0</v>
      </c>
      <c r="JX237">
        <v>0</v>
      </c>
      <c r="JY237">
        <v>0</v>
      </c>
      <c r="JZ237">
        <v>0</v>
      </c>
      <c r="KA237">
        <v>0</v>
      </c>
      <c r="KB237">
        <v>0</v>
      </c>
      <c r="KC237">
        <v>0</v>
      </c>
      <c r="KD237">
        <v>0</v>
      </c>
      <c r="KE237">
        <v>0</v>
      </c>
      <c r="KF237">
        <v>0</v>
      </c>
      <c r="KG237">
        <v>0</v>
      </c>
      <c r="KH237">
        <v>0</v>
      </c>
      <c r="KI237">
        <v>0</v>
      </c>
      <c r="KJ237">
        <v>0</v>
      </c>
      <c r="KK237">
        <v>0</v>
      </c>
      <c r="KL237">
        <v>0</v>
      </c>
      <c r="KM237">
        <v>0</v>
      </c>
      <c r="KN237">
        <v>0</v>
      </c>
      <c r="KO237">
        <v>0</v>
      </c>
      <c r="KP237">
        <v>0</v>
      </c>
      <c r="KQ237">
        <v>0</v>
      </c>
      <c r="KR237">
        <v>0</v>
      </c>
      <c r="KS237">
        <v>0</v>
      </c>
      <c r="KT237">
        <v>0</v>
      </c>
      <c r="KU237">
        <v>0</v>
      </c>
      <c r="KV237">
        <v>0</v>
      </c>
      <c r="KW237">
        <v>0</v>
      </c>
      <c r="KX237">
        <v>0</v>
      </c>
      <c r="KY237">
        <v>0</v>
      </c>
      <c r="KZ237">
        <v>0</v>
      </c>
      <c r="LA237">
        <v>0</v>
      </c>
      <c r="LB237">
        <v>0</v>
      </c>
      <c r="LC237">
        <v>0</v>
      </c>
      <c r="LD237">
        <v>0</v>
      </c>
      <c r="LE237">
        <v>0</v>
      </c>
      <c r="LF237">
        <v>0</v>
      </c>
      <c r="LG237">
        <v>0</v>
      </c>
      <c r="LH237">
        <v>0</v>
      </c>
      <c r="LI237">
        <v>0</v>
      </c>
      <c r="LJ237">
        <v>0</v>
      </c>
      <c r="LK237">
        <v>0</v>
      </c>
      <c r="LL237">
        <v>0</v>
      </c>
      <c r="LM237">
        <v>0</v>
      </c>
      <c r="LN237">
        <v>0</v>
      </c>
      <c r="LO237">
        <v>0</v>
      </c>
      <c r="LP237">
        <v>0</v>
      </c>
      <c r="LQ237">
        <v>0</v>
      </c>
      <c r="LR237">
        <v>0</v>
      </c>
      <c r="LS237">
        <v>0</v>
      </c>
      <c r="LT237">
        <v>0</v>
      </c>
      <c r="LU237">
        <v>0</v>
      </c>
      <c r="LV237">
        <v>0</v>
      </c>
      <c r="LW237">
        <v>0</v>
      </c>
      <c r="LX237">
        <v>0</v>
      </c>
      <c r="LY237">
        <v>0</v>
      </c>
      <c r="LZ237">
        <v>0</v>
      </c>
      <c r="MA237">
        <v>0</v>
      </c>
      <c r="MB237">
        <v>0</v>
      </c>
      <c r="MC237">
        <v>0</v>
      </c>
      <c r="MD237">
        <v>0</v>
      </c>
      <c r="ME237">
        <v>0</v>
      </c>
      <c r="MF237">
        <v>0</v>
      </c>
      <c r="MG237">
        <v>0</v>
      </c>
      <c r="MH237">
        <v>0</v>
      </c>
      <c r="MI237">
        <v>0</v>
      </c>
      <c r="MJ237">
        <v>0</v>
      </c>
      <c r="MK237">
        <v>0</v>
      </c>
      <c r="ML237">
        <v>0</v>
      </c>
      <c r="MM237">
        <v>0</v>
      </c>
      <c r="MN237">
        <v>0</v>
      </c>
      <c r="MO237">
        <v>0</v>
      </c>
      <c r="MP237">
        <v>0</v>
      </c>
      <c r="MQ237">
        <v>0</v>
      </c>
      <c r="MR237">
        <v>0</v>
      </c>
      <c r="MS237">
        <v>0</v>
      </c>
      <c r="MT237">
        <v>0</v>
      </c>
      <c r="MU237">
        <v>0</v>
      </c>
      <c r="MV237">
        <v>0</v>
      </c>
      <c r="MW237">
        <v>0</v>
      </c>
      <c r="MX237">
        <v>0</v>
      </c>
      <c r="MY237">
        <v>0</v>
      </c>
      <c r="MZ237">
        <v>0</v>
      </c>
      <c r="NA237">
        <v>0</v>
      </c>
      <c r="NB237">
        <v>0</v>
      </c>
      <c r="NC237">
        <v>0</v>
      </c>
      <c r="ND237">
        <v>0</v>
      </c>
      <c r="NE237">
        <v>0</v>
      </c>
    </row>
    <row r="238" spans="41:369" x14ac:dyDescent="0.45">
      <c r="AO238" t="str">
        <v>D114</v>
      </c>
      <c r="AP238" t="str">
        <v>MUHAMMED ANAS M.N</v>
      </c>
      <c r="AQ238" t="str">
        <v>FANT</v>
      </c>
      <c r="AR238" t="str">
        <v>SUPER SENIOR</v>
      </c>
      <c r="AS238">
        <v>8</v>
      </c>
      <c r="AT238">
        <v>1</v>
      </c>
      <c r="AU238">
        <v>0</v>
      </c>
      <c r="AV238">
        <v>1</v>
      </c>
      <c r="AW238">
        <v>1</v>
      </c>
      <c r="AX238">
        <v>231</v>
      </c>
      <c r="AY238" s="5">
        <v>231</v>
      </c>
      <c r="AZ238">
        <v>0</v>
      </c>
      <c r="BA238">
        <v>0</v>
      </c>
      <c r="BB238">
        <v>0</v>
      </c>
      <c r="BC238">
        <v>0</v>
      </c>
      <c r="BD238">
        <v>0</v>
      </c>
      <c r="BE238">
        <v>0</v>
      </c>
      <c r="BF238">
        <v>0</v>
      </c>
      <c r="BG238">
        <v>0</v>
      </c>
      <c r="BH238">
        <v>0</v>
      </c>
      <c r="BI238" t="str">
        <v/>
      </c>
      <c r="BK238">
        <v>232</v>
      </c>
      <c r="BL238">
        <v>0</v>
      </c>
      <c r="BM238">
        <v>0</v>
      </c>
      <c r="BN238">
        <v>0</v>
      </c>
      <c r="BO238">
        <v>0</v>
      </c>
      <c r="BP238">
        <v>0</v>
      </c>
      <c r="BQ238">
        <v>0</v>
      </c>
      <c r="BR238">
        <v>0</v>
      </c>
      <c r="BS238">
        <v>0</v>
      </c>
      <c r="BT238">
        <v>0</v>
      </c>
      <c r="BU238">
        <v>0</v>
      </c>
      <c r="BV238">
        <v>0</v>
      </c>
      <c r="BW238">
        <v>0</v>
      </c>
      <c r="BX238">
        <v>0</v>
      </c>
      <c r="BY238">
        <v>0</v>
      </c>
      <c r="BZ238">
        <v>0</v>
      </c>
      <c r="CA238">
        <v>0</v>
      </c>
      <c r="CB238">
        <v>0</v>
      </c>
      <c r="CC238">
        <v>0</v>
      </c>
      <c r="CD238">
        <v>0</v>
      </c>
      <c r="CE238">
        <v>0</v>
      </c>
      <c r="CF238">
        <v>0</v>
      </c>
      <c r="CG238">
        <v>0</v>
      </c>
      <c r="CH238">
        <v>0</v>
      </c>
      <c r="CI238">
        <v>0</v>
      </c>
      <c r="CJ238">
        <v>0</v>
      </c>
      <c r="CK238">
        <v>0</v>
      </c>
      <c r="CL238">
        <v>0</v>
      </c>
      <c r="CM238">
        <v>0</v>
      </c>
      <c r="CN238">
        <v>0</v>
      </c>
      <c r="CO238">
        <v>0</v>
      </c>
      <c r="CP238">
        <v>0</v>
      </c>
      <c r="CQ238">
        <v>0</v>
      </c>
      <c r="CR238">
        <v>0</v>
      </c>
      <c r="CS238">
        <v>0</v>
      </c>
      <c r="CT238">
        <v>0</v>
      </c>
      <c r="CU238">
        <v>0</v>
      </c>
      <c r="CV238">
        <v>0</v>
      </c>
      <c r="CW238">
        <v>0</v>
      </c>
      <c r="CX238">
        <v>0</v>
      </c>
      <c r="CY238">
        <v>0</v>
      </c>
      <c r="CZ238">
        <v>0</v>
      </c>
      <c r="DA238">
        <v>0</v>
      </c>
      <c r="DB238">
        <v>0</v>
      </c>
      <c r="DC238">
        <v>0</v>
      </c>
      <c r="DD238">
        <v>0</v>
      </c>
      <c r="DE238">
        <v>0</v>
      </c>
      <c r="DF238">
        <v>0</v>
      </c>
      <c r="DG238">
        <v>0</v>
      </c>
      <c r="DH238">
        <v>0</v>
      </c>
      <c r="DI238">
        <v>0</v>
      </c>
      <c r="DJ238">
        <v>0</v>
      </c>
      <c r="DK238">
        <v>0</v>
      </c>
      <c r="DL238">
        <v>0</v>
      </c>
      <c r="DM238">
        <v>0</v>
      </c>
      <c r="DN238">
        <v>0</v>
      </c>
      <c r="DO238">
        <v>0</v>
      </c>
      <c r="DP238">
        <v>0</v>
      </c>
      <c r="DQ238">
        <v>0</v>
      </c>
      <c r="DR238">
        <v>0</v>
      </c>
      <c r="DS238">
        <v>0</v>
      </c>
      <c r="DT238">
        <v>0</v>
      </c>
      <c r="DU238">
        <v>0</v>
      </c>
      <c r="DV238">
        <v>0</v>
      </c>
      <c r="DW238">
        <v>0</v>
      </c>
      <c r="DX238">
        <v>0</v>
      </c>
      <c r="DY238">
        <v>0</v>
      </c>
      <c r="DZ238">
        <v>0</v>
      </c>
      <c r="EA238">
        <v>0</v>
      </c>
      <c r="EB238">
        <v>0</v>
      </c>
      <c r="EC238">
        <v>0</v>
      </c>
      <c r="ED238">
        <v>0</v>
      </c>
      <c r="EE238">
        <v>0</v>
      </c>
      <c r="EF238">
        <v>0</v>
      </c>
      <c r="EG238">
        <v>0</v>
      </c>
      <c r="EH238">
        <v>0</v>
      </c>
      <c r="EI238">
        <v>0</v>
      </c>
      <c r="EJ238">
        <v>0</v>
      </c>
      <c r="EK238">
        <v>0</v>
      </c>
      <c r="EL238">
        <v>0</v>
      </c>
      <c r="EM238">
        <v>0</v>
      </c>
      <c r="EN238">
        <v>0</v>
      </c>
      <c r="EO238">
        <v>0</v>
      </c>
      <c r="EP238">
        <v>0</v>
      </c>
      <c r="EQ238">
        <v>0</v>
      </c>
      <c r="ER238">
        <v>0</v>
      </c>
      <c r="ES238">
        <v>0</v>
      </c>
      <c r="ET238">
        <v>0</v>
      </c>
      <c r="EU238">
        <v>0</v>
      </c>
      <c r="EV238">
        <v>0</v>
      </c>
      <c r="EW238">
        <v>0</v>
      </c>
      <c r="EX238">
        <v>0</v>
      </c>
      <c r="EY238">
        <v>0</v>
      </c>
      <c r="EZ238">
        <v>0</v>
      </c>
      <c r="FA238">
        <v>0</v>
      </c>
      <c r="FB238">
        <v>0</v>
      </c>
      <c r="FC238">
        <v>0</v>
      </c>
      <c r="FD238">
        <v>0</v>
      </c>
      <c r="FE238">
        <v>0</v>
      </c>
      <c r="FF238">
        <v>0</v>
      </c>
      <c r="FG238">
        <v>0</v>
      </c>
      <c r="FH238">
        <v>0</v>
      </c>
      <c r="FI238">
        <v>0</v>
      </c>
      <c r="FJ238">
        <v>0</v>
      </c>
      <c r="FK238">
        <v>0</v>
      </c>
      <c r="FL238">
        <v>0</v>
      </c>
      <c r="FM238">
        <v>0</v>
      </c>
      <c r="FN238">
        <v>0</v>
      </c>
      <c r="FO238">
        <v>0</v>
      </c>
      <c r="FP238">
        <v>0</v>
      </c>
      <c r="FQ238">
        <v>0</v>
      </c>
      <c r="FR238">
        <v>0</v>
      </c>
      <c r="FS238">
        <v>0</v>
      </c>
      <c r="FT238">
        <v>0</v>
      </c>
      <c r="FU238">
        <v>0</v>
      </c>
      <c r="FV238">
        <v>0</v>
      </c>
      <c r="FW238">
        <v>0</v>
      </c>
      <c r="FX238">
        <v>0</v>
      </c>
      <c r="FY238">
        <v>0</v>
      </c>
      <c r="FZ238">
        <v>0</v>
      </c>
      <c r="GA238">
        <v>0</v>
      </c>
      <c r="GB238">
        <v>0</v>
      </c>
      <c r="GC238">
        <v>0</v>
      </c>
      <c r="GD238">
        <v>0</v>
      </c>
      <c r="GE238">
        <v>0</v>
      </c>
      <c r="GF238">
        <v>0</v>
      </c>
      <c r="GG238">
        <v>0</v>
      </c>
      <c r="GH238">
        <v>0</v>
      </c>
      <c r="GI238">
        <v>0</v>
      </c>
      <c r="GJ238">
        <v>0</v>
      </c>
      <c r="GK238">
        <v>0</v>
      </c>
      <c r="GL238">
        <v>0</v>
      </c>
      <c r="GM238">
        <v>0</v>
      </c>
      <c r="GN238">
        <v>0</v>
      </c>
      <c r="GO238">
        <v>0</v>
      </c>
      <c r="GP238">
        <v>0</v>
      </c>
      <c r="GQ238">
        <v>0</v>
      </c>
      <c r="GR238">
        <v>0</v>
      </c>
      <c r="GS238">
        <v>0</v>
      </c>
      <c r="GT238">
        <v>0</v>
      </c>
      <c r="GU238">
        <v>0</v>
      </c>
      <c r="GV238">
        <v>0</v>
      </c>
      <c r="GW238">
        <v>0</v>
      </c>
      <c r="GX238">
        <v>0</v>
      </c>
      <c r="GY238">
        <v>0</v>
      </c>
      <c r="GZ238">
        <v>0</v>
      </c>
      <c r="HA238">
        <v>0</v>
      </c>
      <c r="HB238">
        <v>0</v>
      </c>
      <c r="HC238">
        <v>0</v>
      </c>
      <c r="HD238">
        <v>0</v>
      </c>
      <c r="HE238">
        <v>0</v>
      </c>
      <c r="HF238">
        <v>0</v>
      </c>
      <c r="HG238">
        <v>0</v>
      </c>
      <c r="HH238">
        <v>0</v>
      </c>
      <c r="HI238">
        <v>0</v>
      </c>
      <c r="HJ238">
        <v>0</v>
      </c>
      <c r="HK238">
        <v>0</v>
      </c>
      <c r="HL238">
        <v>0</v>
      </c>
      <c r="HM238">
        <v>0</v>
      </c>
      <c r="HN238">
        <v>0</v>
      </c>
      <c r="HO238">
        <v>0</v>
      </c>
      <c r="HP238">
        <v>0</v>
      </c>
      <c r="HQ238">
        <v>0</v>
      </c>
      <c r="HR238">
        <v>0</v>
      </c>
      <c r="HS238">
        <v>0</v>
      </c>
      <c r="HT238">
        <v>0</v>
      </c>
      <c r="HU238">
        <v>0</v>
      </c>
      <c r="HV238">
        <v>0</v>
      </c>
      <c r="HW238">
        <v>0</v>
      </c>
      <c r="HX238">
        <v>0</v>
      </c>
      <c r="HY238">
        <v>0</v>
      </c>
      <c r="HZ238">
        <v>0</v>
      </c>
      <c r="IA238">
        <v>0</v>
      </c>
      <c r="IB238">
        <v>0</v>
      </c>
      <c r="IC238">
        <v>0</v>
      </c>
      <c r="ID238">
        <v>0</v>
      </c>
      <c r="IE238">
        <v>0</v>
      </c>
      <c r="IF238">
        <v>0</v>
      </c>
      <c r="IG238">
        <v>0</v>
      </c>
      <c r="IH238">
        <v>0</v>
      </c>
      <c r="II238">
        <v>0</v>
      </c>
      <c r="IJ238">
        <v>0</v>
      </c>
      <c r="IK238">
        <v>0</v>
      </c>
      <c r="IL238">
        <v>0</v>
      </c>
      <c r="IM238">
        <v>0</v>
      </c>
      <c r="IN238">
        <v>0</v>
      </c>
      <c r="IO238">
        <v>0</v>
      </c>
      <c r="IP238">
        <v>0</v>
      </c>
      <c r="IQ238">
        <v>0</v>
      </c>
      <c r="IR238">
        <v>0</v>
      </c>
      <c r="IS238">
        <v>0</v>
      </c>
      <c r="IT238">
        <v>0</v>
      </c>
      <c r="IU238">
        <v>0</v>
      </c>
      <c r="IV238">
        <v>0</v>
      </c>
      <c r="IW238">
        <v>0</v>
      </c>
      <c r="IX238">
        <v>0</v>
      </c>
      <c r="IY238">
        <v>0</v>
      </c>
      <c r="IZ238">
        <v>0</v>
      </c>
      <c r="JA238">
        <v>0</v>
      </c>
      <c r="JB238">
        <v>0</v>
      </c>
      <c r="JC238">
        <v>0</v>
      </c>
      <c r="JD238">
        <v>0</v>
      </c>
      <c r="JE238">
        <v>0</v>
      </c>
      <c r="JF238">
        <v>0</v>
      </c>
      <c r="JG238">
        <v>0</v>
      </c>
      <c r="JH238">
        <v>0</v>
      </c>
      <c r="JI238">
        <v>0</v>
      </c>
      <c r="JJ238">
        <v>0</v>
      </c>
      <c r="JK238">
        <v>0</v>
      </c>
      <c r="JL238">
        <v>0</v>
      </c>
      <c r="JM238">
        <v>0</v>
      </c>
      <c r="JN238">
        <v>0</v>
      </c>
      <c r="JO238">
        <v>0</v>
      </c>
      <c r="JP238">
        <v>0</v>
      </c>
      <c r="JQ238">
        <v>0</v>
      </c>
      <c r="JR238">
        <v>0</v>
      </c>
      <c r="JS238">
        <v>0</v>
      </c>
      <c r="JT238">
        <v>0</v>
      </c>
      <c r="JU238">
        <v>0</v>
      </c>
      <c r="JV238">
        <v>0</v>
      </c>
      <c r="JW238">
        <v>0</v>
      </c>
      <c r="JX238">
        <v>0</v>
      </c>
      <c r="JY238">
        <v>0</v>
      </c>
      <c r="JZ238">
        <v>0</v>
      </c>
      <c r="KA238">
        <v>0</v>
      </c>
      <c r="KB238">
        <v>0</v>
      </c>
      <c r="KC238">
        <v>0</v>
      </c>
      <c r="KD238">
        <v>0</v>
      </c>
      <c r="KE238">
        <v>0</v>
      </c>
      <c r="KF238">
        <v>0</v>
      </c>
      <c r="KG238">
        <v>0</v>
      </c>
      <c r="KH238">
        <v>0</v>
      </c>
      <c r="KI238">
        <v>0</v>
      </c>
      <c r="KJ238">
        <v>0</v>
      </c>
      <c r="KK238">
        <v>0</v>
      </c>
      <c r="KL238">
        <v>0</v>
      </c>
      <c r="KM238">
        <v>0</v>
      </c>
      <c r="KN238">
        <v>0</v>
      </c>
      <c r="KO238">
        <v>0</v>
      </c>
      <c r="KP238">
        <v>0</v>
      </c>
      <c r="KQ238">
        <v>0</v>
      </c>
      <c r="KR238">
        <v>0</v>
      </c>
      <c r="KS238">
        <v>0</v>
      </c>
      <c r="KT238">
        <v>0</v>
      </c>
      <c r="KU238">
        <v>0</v>
      </c>
      <c r="KV238">
        <v>0</v>
      </c>
      <c r="KW238">
        <v>0</v>
      </c>
      <c r="KX238">
        <v>0</v>
      </c>
      <c r="KY238">
        <v>0</v>
      </c>
      <c r="KZ238">
        <v>0</v>
      </c>
      <c r="LA238">
        <v>0</v>
      </c>
      <c r="LB238">
        <v>0</v>
      </c>
      <c r="LC238">
        <v>0</v>
      </c>
      <c r="LD238">
        <v>0</v>
      </c>
      <c r="LE238">
        <v>0</v>
      </c>
      <c r="LF238">
        <v>0</v>
      </c>
      <c r="LG238">
        <v>0</v>
      </c>
      <c r="LH238">
        <v>0</v>
      </c>
      <c r="LI238">
        <v>0</v>
      </c>
      <c r="LJ238">
        <v>0</v>
      </c>
      <c r="LK238">
        <v>0</v>
      </c>
      <c r="LL238">
        <v>0</v>
      </c>
      <c r="LM238">
        <v>0</v>
      </c>
      <c r="LN238">
        <v>0</v>
      </c>
      <c r="LO238">
        <v>0</v>
      </c>
      <c r="LP238">
        <v>0</v>
      </c>
      <c r="LQ238">
        <v>0</v>
      </c>
      <c r="LR238">
        <v>0</v>
      </c>
      <c r="LS238">
        <v>0</v>
      </c>
      <c r="LT238">
        <v>0</v>
      </c>
      <c r="LU238">
        <v>0</v>
      </c>
      <c r="LV238">
        <v>0</v>
      </c>
      <c r="LW238">
        <v>0</v>
      </c>
      <c r="LX238">
        <v>0</v>
      </c>
      <c r="LY238">
        <v>0</v>
      </c>
      <c r="LZ238">
        <v>0</v>
      </c>
      <c r="MA238">
        <v>0</v>
      </c>
      <c r="MB238">
        <v>0</v>
      </c>
      <c r="MC238">
        <v>0</v>
      </c>
      <c r="MD238">
        <v>0</v>
      </c>
      <c r="ME238">
        <v>0</v>
      </c>
      <c r="MF238">
        <v>0</v>
      </c>
      <c r="MG238">
        <v>0</v>
      </c>
      <c r="MH238">
        <v>0</v>
      </c>
      <c r="MI238">
        <v>0</v>
      </c>
      <c r="MJ238">
        <v>0</v>
      </c>
      <c r="MK238">
        <v>0</v>
      </c>
      <c r="ML238">
        <v>0</v>
      </c>
      <c r="MM238">
        <v>0</v>
      </c>
      <c r="MN238">
        <v>0</v>
      </c>
      <c r="MO238">
        <v>0</v>
      </c>
      <c r="MP238">
        <v>0</v>
      </c>
      <c r="MQ238">
        <v>0</v>
      </c>
      <c r="MR238">
        <v>0</v>
      </c>
      <c r="MS238">
        <v>0</v>
      </c>
      <c r="MT238">
        <v>0</v>
      </c>
      <c r="MU238">
        <v>0</v>
      </c>
      <c r="MV238">
        <v>0</v>
      </c>
      <c r="MW238">
        <v>0</v>
      </c>
      <c r="MX238">
        <v>0</v>
      </c>
      <c r="MY238">
        <v>0</v>
      </c>
      <c r="MZ238">
        <v>0</v>
      </c>
      <c r="NA238">
        <v>0</v>
      </c>
      <c r="NB238">
        <v>0</v>
      </c>
      <c r="NC238">
        <v>0</v>
      </c>
      <c r="ND238">
        <v>0</v>
      </c>
      <c r="NE238">
        <v>0</v>
      </c>
    </row>
    <row r="239" spans="41:369" x14ac:dyDescent="0.45">
      <c r="AO239" t="str">
        <v>D115</v>
      </c>
      <c r="AP239" t="str">
        <v>ABDULLA M HAKEEM</v>
      </c>
      <c r="AQ239" t="str">
        <v>DAHF</v>
      </c>
      <c r="AR239" t="str">
        <v>SUPER SENIOR</v>
      </c>
      <c r="AS239">
        <v>8</v>
      </c>
      <c r="AT239">
        <v>4</v>
      </c>
      <c r="AU239">
        <v>0</v>
      </c>
      <c r="AV239">
        <v>4</v>
      </c>
      <c r="AW239">
        <v>4</v>
      </c>
      <c r="AX239">
        <v>197</v>
      </c>
      <c r="AY239" s="5">
        <v>197</v>
      </c>
      <c r="AZ239">
        <v>0</v>
      </c>
      <c r="BA239">
        <v>0</v>
      </c>
      <c r="BB239">
        <v>0</v>
      </c>
      <c r="BC239">
        <v>0</v>
      </c>
      <c r="BD239">
        <v>0</v>
      </c>
      <c r="BE239">
        <v>0</v>
      </c>
      <c r="BF239">
        <v>0</v>
      </c>
      <c r="BG239">
        <v>0</v>
      </c>
      <c r="BH239">
        <v>0</v>
      </c>
      <c r="BI239" t="str">
        <v/>
      </c>
      <c r="BK239">
        <v>233</v>
      </c>
      <c r="BL239">
        <v>0</v>
      </c>
      <c r="BM239">
        <v>0</v>
      </c>
      <c r="BN239">
        <v>0</v>
      </c>
      <c r="BO239">
        <v>0</v>
      </c>
      <c r="BP239">
        <v>0</v>
      </c>
      <c r="BQ239">
        <v>0</v>
      </c>
      <c r="BR239">
        <v>0</v>
      </c>
      <c r="BS239">
        <v>0</v>
      </c>
      <c r="BT239">
        <v>0</v>
      </c>
      <c r="BU239">
        <v>0</v>
      </c>
      <c r="BV239">
        <v>0</v>
      </c>
      <c r="BW239">
        <v>0</v>
      </c>
      <c r="BX239">
        <v>0</v>
      </c>
      <c r="BY239">
        <v>0</v>
      </c>
      <c r="BZ239">
        <v>0</v>
      </c>
      <c r="CA239">
        <v>0</v>
      </c>
      <c r="CB239">
        <v>0</v>
      </c>
      <c r="CC239">
        <v>0</v>
      </c>
      <c r="CD239">
        <v>0</v>
      </c>
      <c r="CE239">
        <v>0</v>
      </c>
      <c r="CF239">
        <v>0</v>
      </c>
      <c r="CG239">
        <v>0</v>
      </c>
      <c r="CH239">
        <v>0</v>
      </c>
      <c r="CI239">
        <v>0</v>
      </c>
      <c r="CJ239">
        <v>0</v>
      </c>
      <c r="CK239">
        <v>0</v>
      </c>
      <c r="CL239">
        <v>0</v>
      </c>
      <c r="CM239">
        <v>0</v>
      </c>
      <c r="CN239">
        <v>0</v>
      </c>
      <c r="CO239">
        <v>0</v>
      </c>
      <c r="CP239">
        <v>0</v>
      </c>
      <c r="CQ239">
        <v>0</v>
      </c>
      <c r="CR239">
        <v>0</v>
      </c>
      <c r="CS239">
        <v>0</v>
      </c>
      <c r="CT239">
        <v>0</v>
      </c>
      <c r="CU239">
        <v>0</v>
      </c>
      <c r="CV239">
        <v>0</v>
      </c>
      <c r="CW239">
        <v>0</v>
      </c>
      <c r="CX239">
        <v>0</v>
      </c>
      <c r="CY239">
        <v>0</v>
      </c>
      <c r="CZ239">
        <v>0</v>
      </c>
      <c r="DA239">
        <v>0</v>
      </c>
      <c r="DB239">
        <v>0</v>
      </c>
      <c r="DC239">
        <v>0</v>
      </c>
      <c r="DD239">
        <v>0</v>
      </c>
      <c r="DE239">
        <v>0</v>
      </c>
      <c r="DF239">
        <v>0</v>
      </c>
      <c r="DG239">
        <v>0</v>
      </c>
      <c r="DH239">
        <v>0</v>
      </c>
      <c r="DI239">
        <v>0</v>
      </c>
      <c r="DJ239">
        <v>0</v>
      </c>
      <c r="DK239">
        <v>0</v>
      </c>
      <c r="DL239">
        <v>0</v>
      </c>
      <c r="DM239">
        <v>0</v>
      </c>
      <c r="DN239">
        <v>0</v>
      </c>
      <c r="DO239">
        <v>0</v>
      </c>
      <c r="DP239">
        <v>0</v>
      </c>
      <c r="DQ239">
        <v>0</v>
      </c>
      <c r="DR239">
        <v>0</v>
      </c>
      <c r="DS239">
        <v>0</v>
      </c>
      <c r="DT239">
        <v>0</v>
      </c>
      <c r="DU239">
        <v>0</v>
      </c>
      <c r="DV239">
        <v>0</v>
      </c>
      <c r="DW239">
        <v>0</v>
      </c>
      <c r="DX239">
        <v>0</v>
      </c>
      <c r="DY239">
        <v>0</v>
      </c>
      <c r="DZ239">
        <v>0</v>
      </c>
      <c r="EA239">
        <v>0</v>
      </c>
      <c r="EB239">
        <v>0</v>
      </c>
      <c r="EC239">
        <v>0</v>
      </c>
      <c r="ED239">
        <v>0</v>
      </c>
      <c r="EE239">
        <v>0</v>
      </c>
      <c r="EF239">
        <v>0</v>
      </c>
      <c r="EG239">
        <v>0</v>
      </c>
      <c r="EH239">
        <v>0</v>
      </c>
      <c r="EI239">
        <v>0</v>
      </c>
      <c r="EJ239">
        <v>0</v>
      </c>
      <c r="EK239">
        <v>0</v>
      </c>
      <c r="EL239">
        <v>0</v>
      </c>
      <c r="EM239">
        <v>0</v>
      </c>
      <c r="EN239">
        <v>0</v>
      </c>
      <c r="EO239">
        <v>0</v>
      </c>
      <c r="EP239">
        <v>0</v>
      </c>
      <c r="EQ239">
        <v>0</v>
      </c>
      <c r="ER239">
        <v>0</v>
      </c>
      <c r="ES239">
        <v>0</v>
      </c>
      <c r="ET239">
        <v>0</v>
      </c>
      <c r="EU239">
        <v>0</v>
      </c>
      <c r="EV239">
        <v>0</v>
      </c>
      <c r="EW239">
        <v>0</v>
      </c>
      <c r="EX239">
        <v>0</v>
      </c>
      <c r="EY239">
        <v>0</v>
      </c>
      <c r="EZ239">
        <v>0</v>
      </c>
      <c r="FA239">
        <v>0</v>
      </c>
      <c r="FB239">
        <v>0</v>
      </c>
      <c r="FC239">
        <v>0</v>
      </c>
      <c r="FD239">
        <v>0</v>
      </c>
      <c r="FE239">
        <v>0</v>
      </c>
      <c r="FF239">
        <v>0</v>
      </c>
      <c r="FG239">
        <v>0</v>
      </c>
      <c r="FH239">
        <v>0</v>
      </c>
      <c r="FI239">
        <v>0</v>
      </c>
      <c r="FJ239">
        <v>0</v>
      </c>
      <c r="FK239">
        <v>0</v>
      </c>
      <c r="FL239">
        <v>0</v>
      </c>
      <c r="FM239">
        <v>0</v>
      </c>
      <c r="FN239">
        <v>0</v>
      </c>
      <c r="FO239">
        <v>0</v>
      </c>
      <c r="FP239">
        <v>0</v>
      </c>
      <c r="FQ239">
        <v>0</v>
      </c>
      <c r="FR239">
        <v>0</v>
      </c>
      <c r="FS239">
        <v>0</v>
      </c>
      <c r="FT239">
        <v>0</v>
      </c>
      <c r="FU239">
        <v>0</v>
      </c>
      <c r="FV239">
        <v>0</v>
      </c>
      <c r="FW239">
        <v>0</v>
      </c>
      <c r="FX239">
        <v>0</v>
      </c>
      <c r="FY239">
        <v>0</v>
      </c>
      <c r="FZ239">
        <v>0</v>
      </c>
      <c r="GA239">
        <v>0</v>
      </c>
      <c r="GB239">
        <v>0</v>
      </c>
      <c r="GC239">
        <v>0</v>
      </c>
      <c r="GD239">
        <v>0</v>
      </c>
      <c r="GE239">
        <v>0</v>
      </c>
      <c r="GF239">
        <v>0</v>
      </c>
      <c r="GG239">
        <v>0</v>
      </c>
      <c r="GH239">
        <v>0</v>
      </c>
      <c r="GI239">
        <v>0</v>
      </c>
      <c r="GJ239">
        <v>0</v>
      </c>
      <c r="GK239">
        <v>0</v>
      </c>
      <c r="GL239">
        <v>0</v>
      </c>
      <c r="GM239">
        <v>0</v>
      </c>
      <c r="GN239">
        <v>0</v>
      </c>
      <c r="GO239">
        <v>0</v>
      </c>
      <c r="GP239">
        <v>0</v>
      </c>
      <c r="GQ239">
        <v>0</v>
      </c>
      <c r="GR239">
        <v>0</v>
      </c>
      <c r="GS239">
        <v>0</v>
      </c>
      <c r="GT239">
        <v>0</v>
      </c>
      <c r="GU239">
        <v>0</v>
      </c>
      <c r="GV239">
        <v>0</v>
      </c>
      <c r="GW239">
        <v>0</v>
      </c>
      <c r="GX239">
        <v>0</v>
      </c>
      <c r="GY239">
        <v>0</v>
      </c>
      <c r="GZ239">
        <v>0</v>
      </c>
      <c r="HA239">
        <v>0</v>
      </c>
      <c r="HB239">
        <v>0</v>
      </c>
      <c r="HC239">
        <v>0</v>
      </c>
      <c r="HD239">
        <v>0</v>
      </c>
      <c r="HE239">
        <v>0</v>
      </c>
      <c r="HF239">
        <v>0</v>
      </c>
      <c r="HG239">
        <v>0</v>
      </c>
      <c r="HH239">
        <v>0</v>
      </c>
      <c r="HI239">
        <v>0</v>
      </c>
      <c r="HJ239">
        <v>0</v>
      </c>
      <c r="HK239">
        <v>0</v>
      </c>
      <c r="HL239">
        <v>0</v>
      </c>
      <c r="HM239">
        <v>0</v>
      </c>
      <c r="HN239">
        <v>0</v>
      </c>
      <c r="HO239">
        <v>0</v>
      </c>
      <c r="HP239">
        <v>0</v>
      </c>
      <c r="HQ239">
        <v>0</v>
      </c>
      <c r="HR239">
        <v>0</v>
      </c>
      <c r="HS239">
        <v>0</v>
      </c>
      <c r="HT239">
        <v>0</v>
      </c>
      <c r="HU239">
        <v>0</v>
      </c>
      <c r="HV239">
        <v>0</v>
      </c>
      <c r="HW239">
        <v>0</v>
      </c>
      <c r="HX239">
        <v>0</v>
      </c>
      <c r="HY239">
        <v>0</v>
      </c>
      <c r="HZ239">
        <v>0</v>
      </c>
      <c r="IA239">
        <v>0</v>
      </c>
      <c r="IB239">
        <v>0</v>
      </c>
      <c r="IC239">
        <v>0</v>
      </c>
      <c r="ID239">
        <v>0</v>
      </c>
      <c r="IE239">
        <v>0</v>
      </c>
      <c r="IF239">
        <v>0</v>
      </c>
      <c r="IG239">
        <v>0</v>
      </c>
      <c r="IH239">
        <v>0</v>
      </c>
      <c r="II239">
        <v>0</v>
      </c>
      <c r="IJ239">
        <v>0</v>
      </c>
      <c r="IK239">
        <v>0</v>
      </c>
      <c r="IL239">
        <v>0</v>
      </c>
      <c r="IM239">
        <v>0</v>
      </c>
      <c r="IN239">
        <v>0</v>
      </c>
      <c r="IO239">
        <v>0</v>
      </c>
      <c r="IP239">
        <v>0</v>
      </c>
      <c r="IQ239">
        <v>0</v>
      </c>
      <c r="IR239">
        <v>0</v>
      </c>
      <c r="IS239">
        <v>0</v>
      </c>
      <c r="IT239">
        <v>0</v>
      </c>
      <c r="IU239">
        <v>0</v>
      </c>
      <c r="IV239">
        <v>0</v>
      </c>
      <c r="IW239">
        <v>0</v>
      </c>
      <c r="IX239">
        <v>0</v>
      </c>
      <c r="IY239">
        <v>0</v>
      </c>
      <c r="IZ239">
        <v>0</v>
      </c>
      <c r="JA239">
        <v>0</v>
      </c>
      <c r="JB239">
        <v>0</v>
      </c>
      <c r="JC239">
        <v>0</v>
      </c>
      <c r="JD239">
        <v>0</v>
      </c>
      <c r="JE239">
        <v>0</v>
      </c>
      <c r="JF239">
        <v>0</v>
      </c>
      <c r="JG239">
        <v>0</v>
      </c>
      <c r="JH239">
        <v>0</v>
      </c>
      <c r="JI239">
        <v>0</v>
      </c>
      <c r="JJ239">
        <v>0</v>
      </c>
      <c r="JK239">
        <v>0</v>
      </c>
      <c r="JL239">
        <v>0</v>
      </c>
      <c r="JM239">
        <v>0</v>
      </c>
      <c r="JN239">
        <v>0</v>
      </c>
      <c r="JO239">
        <v>0</v>
      </c>
      <c r="JP239">
        <v>0</v>
      </c>
      <c r="JQ239">
        <v>0</v>
      </c>
      <c r="JR239">
        <v>0</v>
      </c>
      <c r="JS239">
        <v>0</v>
      </c>
      <c r="JT239">
        <v>0</v>
      </c>
      <c r="JU239">
        <v>0</v>
      </c>
      <c r="JV239">
        <v>0</v>
      </c>
      <c r="JW239">
        <v>0</v>
      </c>
      <c r="JX239">
        <v>0</v>
      </c>
      <c r="JY239">
        <v>0</v>
      </c>
      <c r="JZ239">
        <v>0</v>
      </c>
      <c r="KA239">
        <v>0</v>
      </c>
      <c r="KB239">
        <v>0</v>
      </c>
      <c r="KC239">
        <v>0</v>
      </c>
      <c r="KD239">
        <v>0</v>
      </c>
      <c r="KE239">
        <v>0</v>
      </c>
      <c r="KF239">
        <v>0</v>
      </c>
      <c r="KG239">
        <v>0</v>
      </c>
      <c r="KH239">
        <v>0</v>
      </c>
      <c r="KI239">
        <v>0</v>
      </c>
      <c r="KJ239">
        <v>0</v>
      </c>
      <c r="KK239">
        <v>0</v>
      </c>
      <c r="KL239">
        <v>0</v>
      </c>
      <c r="KM239">
        <v>0</v>
      </c>
      <c r="KN239">
        <v>0</v>
      </c>
      <c r="KO239">
        <v>0</v>
      </c>
      <c r="KP239">
        <v>0</v>
      </c>
      <c r="KQ239">
        <v>0</v>
      </c>
      <c r="KR239">
        <v>0</v>
      </c>
      <c r="KS239">
        <v>0</v>
      </c>
      <c r="KT239">
        <v>0</v>
      </c>
      <c r="KU239">
        <v>0</v>
      </c>
      <c r="KV239">
        <v>0</v>
      </c>
      <c r="KW239">
        <v>0</v>
      </c>
      <c r="KX239">
        <v>0</v>
      </c>
      <c r="KY239">
        <v>0</v>
      </c>
      <c r="KZ239">
        <v>0</v>
      </c>
      <c r="LA239">
        <v>0</v>
      </c>
      <c r="LB239">
        <v>0</v>
      </c>
      <c r="LC239">
        <v>0</v>
      </c>
      <c r="LD239">
        <v>0</v>
      </c>
      <c r="LE239">
        <v>0</v>
      </c>
      <c r="LF239">
        <v>0</v>
      </c>
      <c r="LG239">
        <v>0</v>
      </c>
      <c r="LH239">
        <v>0</v>
      </c>
      <c r="LI239">
        <v>0</v>
      </c>
      <c r="LJ239">
        <v>0</v>
      </c>
      <c r="LK239">
        <v>0</v>
      </c>
      <c r="LL239">
        <v>0</v>
      </c>
      <c r="LM239">
        <v>0</v>
      </c>
      <c r="LN239">
        <v>0</v>
      </c>
      <c r="LO239">
        <v>0</v>
      </c>
      <c r="LP239">
        <v>0</v>
      </c>
      <c r="LQ239">
        <v>0</v>
      </c>
      <c r="LR239">
        <v>0</v>
      </c>
      <c r="LS239">
        <v>0</v>
      </c>
      <c r="LT239">
        <v>0</v>
      </c>
      <c r="LU239">
        <v>0</v>
      </c>
      <c r="LV239">
        <v>0</v>
      </c>
      <c r="LW239">
        <v>0</v>
      </c>
      <c r="LX239">
        <v>0</v>
      </c>
      <c r="LY239">
        <v>0</v>
      </c>
      <c r="LZ239">
        <v>0</v>
      </c>
      <c r="MA239">
        <v>0</v>
      </c>
      <c r="MB239">
        <v>0</v>
      </c>
      <c r="MC239">
        <v>0</v>
      </c>
      <c r="MD239">
        <v>0</v>
      </c>
      <c r="ME239">
        <v>0</v>
      </c>
      <c r="MF239">
        <v>0</v>
      </c>
      <c r="MG239">
        <v>0</v>
      </c>
      <c r="MH239">
        <v>0</v>
      </c>
      <c r="MI239">
        <v>0</v>
      </c>
      <c r="MJ239">
        <v>0</v>
      </c>
      <c r="MK239">
        <v>0</v>
      </c>
      <c r="ML239">
        <v>0</v>
      </c>
      <c r="MM239">
        <v>0</v>
      </c>
      <c r="MN239">
        <v>0</v>
      </c>
      <c r="MO239">
        <v>0</v>
      </c>
      <c r="MP239">
        <v>0</v>
      </c>
      <c r="MQ239">
        <v>0</v>
      </c>
      <c r="MR239">
        <v>0</v>
      </c>
      <c r="MS239">
        <v>0</v>
      </c>
      <c r="MT239">
        <v>0</v>
      </c>
      <c r="MU239">
        <v>0</v>
      </c>
      <c r="MV239">
        <v>0</v>
      </c>
      <c r="MW239">
        <v>0</v>
      </c>
      <c r="MX239">
        <v>0</v>
      </c>
      <c r="MY239">
        <v>0</v>
      </c>
      <c r="MZ239">
        <v>0</v>
      </c>
      <c r="NA239">
        <v>0</v>
      </c>
      <c r="NB239">
        <v>0</v>
      </c>
      <c r="NC239">
        <v>0</v>
      </c>
      <c r="ND239">
        <v>0</v>
      </c>
      <c r="NE239">
        <v>0</v>
      </c>
    </row>
    <row r="240" spans="41:369" x14ac:dyDescent="0.45">
      <c r="AO240" t="str">
        <v>D116</v>
      </c>
      <c r="AP240" t="str">
        <v>HASSAN SHADDAD UM</v>
      </c>
      <c r="AQ240" t="str">
        <v>JARF</v>
      </c>
      <c r="AR240" t="str">
        <v>SUPER SENIOR</v>
      </c>
      <c r="AS240">
        <v>8</v>
      </c>
      <c r="AT240">
        <v>1</v>
      </c>
      <c r="AU240">
        <v>0</v>
      </c>
      <c r="AV240">
        <v>1</v>
      </c>
      <c r="AW240">
        <v>1</v>
      </c>
      <c r="AX240">
        <v>231</v>
      </c>
      <c r="AY240" s="5">
        <v>231</v>
      </c>
      <c r="AZ240">
        <v>0</v>
      </c>
      <c r="BA240">
        <v>0</v>
      </c>
      <c r="BB240">
        <v>0</v>
      </c>
      <c r="BC240">
        <v>0</v>
      </c>
      <c r="BD240">
        <v>0</v>
      </c>
      <c r="BE240">
        <v>0</v>
      </c>
      <c r="BF240">
        <v>0</v>
      </c>
      <c r="BG240">
        <v>0</v>
      </c>
      <c r="BH240">
        <v>0</v>
      </c>
      <c r="BI240" t="str">
        <v/>
      </c>
      <c r="BK240">
        <v>234</v>
      </c>
      <c r="BL240">
        <v>0</v>
      </c>
      <c r="BM240">
        <v>0</v>
      </c>
      <c r="BN240">
        <v>0</v>
      </c>
      <c r="BO240">
        <v>0</v>
      </c>
      <c r="BP240">
        <v>0</v>
      </c>
      <c r="BQ240">
        <v>0</v>
      </c>
      <c r="BR240">
        <v>0</v>
      </c>
      <c r="BS240">
        <v>0</v>
      </c>
      <c r="BT240">
        <v>0</v>
      </c>
      <c r="BU240">
        <v>0</v>
      </c>
      <c r="BV240">
        <v>0</v>
      </c>
      <c r="BW240">
        <v>0</v>
      </c>
      <c r="BX240">
        <v>0</v>
      </c>
      <c r="BY240">
        <v>0</v>
      </c>
      <c r="BZ240">
        <v>0</v>
      </c>
      <c r="CA240">
        <v>0</v>
      </c>
      <c r="CB240">
        <v>0</v>
      </c>
      <c r="CC240">
        <v>0</v>
      </c>
      <c r="CD240">
        <v>0</v>
      </c>
      <c r="CE240">
        <v>0</v>
      </c>
      <c r="CF240">
        <v>0</v>
      </c>
      <c r="CG240">
        <v>0</v>
      </c>
      <c r="CH240">
        <v>0</v>
      </c>
      <c r="CI240">
        <v>0</v>
      </c>
      <c r="CJ240">
        <v>0</v>
      </c>
      <c r="CK240">
        <v>0</v>
      </c>
      <c r="CL240">
        <v>0</v>
      </c>
      <c r="CM240">
        <v>0</v>
      </c>
      <c r="CN240">
        <v>0</v>
      </c>
      <c r="CO240">
        <v>0</v>
      </c>
      <c r="CP240">
        <v>0</v>
      </c>
      <c r="CQ240">
        <v>0</v>
      </c>
      <c r="CR240">
        <v>0</v>
      </c>
      <c r="CS240">
        <v>0</v>
      </c>
      <c r="CT240">
        <v>0</v>
      </c>
      <c r="CU240">
        <v>0</v>
      </c>
      <c r="CV240">
        <v>0</v>
      </c>
      <c r="CW240">
        <v>0</v>
      </c>
      <c r="CX240">
        <v>0</v>
      </c>
      <c r="CY240">
        <v>0</v>
      </c>
      <c r="CZ240">
        <v>0</v>
      </c>
      <c r="DA240">
        <v>0</v>
      </c>
      <c r="DB240">
        <v>0</v>
      </c>
      <c r="DC240">
        <v>0</v>
      </c>
      <c r="DD240">
        <v>0</v>
      </c>
      <c r="DE240">
        <v>0</v>
      </c>
      <c r="DF240">
        <v>0</v>
      </c>
      <c r="DG240">
        <v>0</v>
      </c>
      <c r="DH240">
        <v>0</v>
      </c>
      <c r="DI240">
        <v>0</v>
      </c>
      <c r="DJ240">
        <v>0</v>
      </c>
      <c r="DK240">
        <v>0</v>
      </c>
      <c r="DL240">
        <v>0</v>
      </c>
      <c r="DM240">
        <v>0</v>
      </c>
      <c r="DN240">
        <v>0</v>
      </c>
      <c r="DO240">
        <v>0</v>
      </c>
      <c r="DP240">
        <v>0</v>
      </c>
      <c r="DQ240">
        <v>0</v>
      </c>
      <c r="DR240">
        <v>0</v>
      </c>
      <c r="DS240">
        <v>0</v>
      </c>
      <c r="DT240">
        <v>0</v>
      </c>
      <c r="DU240">
        <v>0</v>
      </c>
      <c r="DV240">
        <v>0</v>
      </c>
      <c r="DW240">
        <v>0</v>
      </c>
      <c r="DX240">
        <v>0</v>
      </c>
      <c r="DY240">
        <v>0</v>
      </c>
      <c r="DZ240">
        <v>0</v>
      </c>
      <c r="EA240">
        <v>0</v>
      </c>
      <c r="EB240">
        <v>0</v>
      </c>
      <c r="EC240">
        <v>0</v>
      </c>
      <c r="ED240">
        <v>0</v>
      </c>
      <c r="EE240">
        <v>0</v>
      </c>
      <c r="EF240">
        <v>0</v>
      </c>
      <c r="EG240">
        <v>0</v>
      </c>
      <c r="EH240">
        <v>0</v>
      </c>
      <c r="EI240">
        <v>0</v>
      </c>
      <c r="EJ240">
        <v>0</v>
      </c>
      <c r="EK240">
        <v>0</v>
      </c>
      <c r="EL240">
        <v>0</v>
      </c>
      <c r="EM240">
        <v>0</v>
      </c>
      <c r="EN240">
        <v>0</v>
      </c>
      <c r="EO240">
        <v>0</v>
      </c>
      <c r="EP240">
        <v>0</v>
      </c>
      <c r="EQ240">
        <v>0</v>
      </c>
      <c r="ER240">
        <v>0</v>
      </c>
      <c r="ES240">
        <v>0</v>
      </c>
      <c r="ET240">
        <v>0</v>
      </c>
      <c r="EU240">
        <v>0</v>
      </c>
      <c r="EV240">
        <v>0</v>
      </c>
      <c r="EW240">
        <v>0</v>
      </c>
      <c r="EX240">
        <v>0</v>
      </c>
      <c r="EY240">
        <v>0</v>
      </c>
      <c r="EZ240">
        <v>0</v>
      </c>
      <c r="FA240">
        <v>0</v>
      </c>
      <c r="FB240">
        <v>0</v>
      </c>
      <c r="FC240">
        <v>0</v>
      </c>
      <c r="FD240">
        <v>0</v>
      </c>
      <c r="FE240">
        <v>0</v>
      </c>
      <c r="FF240">
        <v>0</v>
      </c>
      <c r="FG240">
        <v>0</v>
      </c>
      <c r="FH240">
        <v>0</v>
      </c>
      <c r="FI240">
        <v>0</v>
      </c>
      <c r="FJ240">
        <v>0</v>
      </c>
      <c r="FK240">
        <v>0</v>
      </c>
      <c r="FL240">
        <v>0</v>
      </c>
      <c r="FM240">
        <v>0</v>
      </c>
      <c r="FN240">
        <v>0</v>
      </c>
      <c r="FO240">
        <v>0</v>
      </c>
      <c r="FP240">
        <v>0</v>
      </c>
      <c r="FQ240">
        <v>0</v>
      </c>
      <c r="FR240">
        <v>0</v>
      </c>
      <c r="FS240">
        <v>0</v>
      </c>
      <c r="FT240">
        <v>0</v>
      </c>
      <c r="FU240">
        <v>0</v>
      </c>
      <c r="FV240">
        <v>0</v>
      </c>
      <c r="FW240">
        <v>0</v>
      </c>
      <c r="FX240">
        <v>0</v>
      </c>
      <c r="FY240">
        <v>0</v>
      </c>
      <c r="FZ240">
        <v>0</v>
      </c>
      <c r="GA240">
        <v>0</v>
      </c>
      <c r="GB240">
        <v>0</v>
      </c>
      <c r="GC240">
        <v>0</v>
      </c>
      <c r="GD240">
        <v>0</v>
      </c>
      <c r="GE240">
        <v>0</v>
      </c>
      <c r="GF240">
        <v>0</v>
      </c>
      <c r="GG240">
        <v>0</v>
      </c>
      <c r="GH240">
        <v>0</v>
      </c>
      <c r="GI240">
        <v>0</v>
      </c>
      <c r="GJ240">
        <v>0</v>
      </c>
      <c r="GK240">
        <v>0</v>
      </c>
      <c r="GL240">
        <v>0</v>
      </c>
      <c r="GM240">
        <v>0</v>
      </c>
      <c r="GN240">
        <v>0</v>
      </c>
      <c r="GO240">
        <v>0</v>
      </c>
      <c r="GP240">
        <v>0</v>
      </c>
      <c r="GQ240">
        <v>0</v>
      </c>
      <c r="GR240">
        <v>0</v>
      </c>
      <c r="GS240">
        <v>0</v>
      </c>
      <c r="GT240">
        <v>0</v>
      </c>
      <c r="GU240">
        <v>0</v>
      </c>
      <c r="GV240">
        <v>0</v>
      </c>
      <c r="GW240">
        <v>0</v>
      </c>
      <c r="GX240">
        <v>0</v>
      </c>
      <c r="GY240">
        <v>0</v>
      </c>
      <c r="GZ240">
        <v>0</v>
      </c>
      <c r="HA240">
        <v>0</v>
      </c>
      <c r="HB240">
        <v>0</v>
      </c>
      <c r="HC240">
        <v>0</v>
      </c>
      <c r="HD240">
        <v>0</v>
      </c>
      <c r="HE240">
        <v>0</v>
      </c>
      <c r="HF240">
        <v>0</v>
      </c>
      <c r="HG240">
        <v>0</v>
      </c>
      <c r="HH240">
        <v>0</v>
      </c>
      <c r="HI240">
        <v>0</v>
      </c>
      <c r="HJ240">
        <v>0</v>
      </c>
      <c r="HK240">
        <v>0</v>
      </c>
      <c r="HL240">
        <v>0</v>
      </c>
      <c r="HM240">
        <v>0</v>
      </c>
      <c r="HN240">
        <v>0</v>
      </c>
      <c r="HO240">
        <v>0</v>
      </c>
      <c r="HP240">
        <v>0</v>
      </c>
      <c r="HQ240">
        <v>0</v>
      </c>
      <c r="HR240">
        <v>0</v>
      </c>
      <c r="HS240">
        <v>0</v>
      </c>
      <c r="HT240">
        <v>0</v>
      </c>
      <c r="HU240">
        <v>0</v>
      </c>
      <c r="HV240">
        <v>0</v>
      </c>
      <c r="HW240">
        <v>0</v>
      </c>
      <c r="HX240">
        <v>0</v>
      </c>
      <c r="HY240">
        <v>0</v>
      </c>
      <c r="HZ240">
        <v>0</v>
      </c>
      <c r="IA240">
        <v>0</v>
      </c>
      <c r="IB240">
        <v>0</v>
      </c>
      <c r="IC240">
        <v>0</v>
      </c>
      <c r="ID240">
        <v>0</v>
      </c>
      <c r="IE240">
        <v>0</v>
      </c>
      <c r="IF240">
        <v>0</v>
      </c>
      <c r="IG240">
        <v>0</v>
      </c>
      <c r="IH240">
        <v>0</v>
      </c>
      <c r="II240">
        <v>0</v>
      </c>
      <c r="IJ240">
        <v>0</v>
      </c>
      <c r="IK240">
        <v>0</v>
      </c>
      <c r="IL240">
        <v>0</v>
      </c>
      <c r="IM240">
        <v>0</v>
      </c>
      <c r="IN240">
        <v>0</v>
      </c>
      <c r="IO240">
        <v>0</v>
      </c>
      <c r="IP240">
        <v>0</v>
      </c>
      <c r="IQ240">
        <v>0</v>
      </c>
      <c r="IR240">
        <v>0</v>
      </c>
      <c r="IS240">
        <v>0</v>
      </c>
      <c r="IT240">
        <v>0</v>
      </c>
      <c r="IU240">
        <v>0</v>
      </c>
      <c r="IV240">
        <v>0</v>
      </c>
      <c r="IW240">
        <v>0</v>
      </c>
      <c r="IX240">
        <v>0</v>
      </c>
      <c r="IY240">
        <v>0</v>
      </c>
      <c r="IZ240">
        <v>0</v>
      </c>
      <c r="JA240">
        <v>0</v>
      </c>
      <c r="JB240">
        <v>0</v>
      </c>
      <c r="JC240">
        <v>0</v>
      </c>
      <c r="JD240">
        <v>0</v>
      </c>
      <c r="JE240">
        <v>0</v>
      </c>
      <c r="JF240">
        <v>0</v>
      </c>
      <c r="JG240">
        <v>0</v>
      </c>
      <c r="JH240">
        <v>0</v>
      </c>
      <c r="JI240">
        <v>0</v>
      </c>
      <c r="JJ240">
        <v>0</v>
      </c>
      <c r="JK240">
        <v>0</v>
      </c>
      <c r="JL240">
        <v>0</v>
      </c>
      <c r="JM240">
        <v>0</v>
      </c>
      <c r="JN240">
        <v>0</v>
      </c>
      <c r="JO240">
        <v>0</v>
      </c>
      <c r="JP240">
        <v>0</v>
      </c>
      <c r="JQ240">
        <v>0</v>
      </c>
      <c r="JR240">
        <v>0</v>
      </c>
      <c r="JS240">
        <v>0</v>
      </c>
      <c r="JT240">
        <v>0</v>
      </c>
      <c r="JU240">
        <v>0</v>
      </c>
      <c r="JV240">
        <v>0</v>
      </c>
      <c r="JW240">
        <v>0</v>
      </c>
      <c r="JX240">
        <v>0</v>
      </c>
      <c r="JY240">
        <v>0</v>
      </c>
      <c r="JZ240">
        <v>0</v>
      </c>
      <c r="KA240">
        <v>0</v>
      </c>
      <c r="KB240">
        <v>0</v>
      </c>
      <c r="KC240">
        <v>0</v>
      </c>
      <c r="KD240">
        <v>0</v>
      </c>
      <c r="KE240">
        <v>0</v>
      </c>
      <c r="KF240">
        <v>0</v>
      </c>
      <c r="KG240">
        <v>0</v>
      </c>
      <c r="KH240">
        <v>0</v>
      </c>
      <c r="KI240">
        <v>0</v>
      </c>
      <c r="KJ240">
        <v>0</v>
      </c>
      <c r="KK240">
        <v>0</v>
      </c>
      <c r="KL240">
        <v>0</v>
      </c>
      <c r="KM240">
        <v>0</v>
      </c>
      <c r="KN240">
        <v>0</v>
      </c>
      <c r="KO240">
        <v>0</v>
      </c>
      <c r="KP240">
        <v>0</v>
      </c>
      <c r="KQ240">
        <v>0</v>
      </c>
      <c r="KR240">
        <v>0</v>
      </c>
      <c r="KS240">
        <v>0</v>
      </c>
      <c r="KT240">
        <v>0</v>
      </c>
      <c r="KU240">
        <v>0</v>
      </c>
      <c r="KV240">
        <v>0</v>
      </c>
      <c r="KW240">
        <v>0</v>
      </c>
      <c r="KX240">
        <v>0</v>
      </c>
      <c r="KY240">
        <v>0</v>
      </c>
      <c r="KZ240">
        <v>0</v>
      </c>
      <c r="LA240">
        <v>0</v>
      </c>
      <c r="LB240">
        <v>0</v>
      </c>
      <c r="LC240">
        <v>0</v>
      </c>
      <c r="LD240">
        <v>0</v>
      </c>
      <c r="LE240">
        <v>0</v>
      </c>
      <c r="LF240">
        <v>0</v>
      </c>
      <c r="LG240">
        <v>0</v>
      </c>
      <c r="LH240">
        <v>0</v>
      </c>
      <c r="LI240">
        <v>0</v>
      </c>
      <c r="LJ240">
        <v>0</v>
      </c>
      <c r="LK240">
        <v>0</v>
      </c>
      <c r="LL240">
        <v>0</v>
      </c>
      <c r="LM240">
        <v>0</v>
      </c>
      <c r="LN240">
        <v>0</v>
      </c>
      <c r="LO240">
        <v>0</v>
      </c>
      <c r="LP240">
        <v>0</v>
      </c>
      <c r="LQ240">
        <v>0</v>
      </c>
      <c r="LR240">
        <v>0</v>
      </c>
      <c r="LS240">
        <v>0</v>
      </c>
      <c r="LT240">
        <v>0</v>
      </c>
      <c r="LU240">
        <v>0</v>
      </c>
      <c r="LV240">
        <v>0</v>
      </c>
      <c r="LW240">
        <v>0</v>
      </c>
      <c r="LX240">
        <v>0</v>
      </c>
      <c r="LY240">
        <v>0</v>
      </c>
      <c r="LZ240">
        <v>0</v>
      </c>
      <c r="MA240">
        <v>0</v>
      </c>
      <c r="MB240">
        <v>0</v>
      </c>
      <c r="MC240">
        <v>0</v>
      </c>
      <c r="MD240">
        <v>0</v>
      </c>
      <c r="ME240">
        <v>0</v>
      </c>
      <c r="MF240">
        <v>0</v>
      </c>
      <c r="MG240">
        <v>0</v>
      </c>
      <c r="MH240">
        <v>0</v>
      </c>
      <c r="MI240">
        <v>0</v>
      </c>
      <c r="MJ240">
        <v>0</v>
      </c>
      <c r="MK240">
        <v>0</v>
      </c>
      <c r="ML240">
        <v>0</v>
      </c>
      <c r="MM240">
        <v>0</v>
      </c>
      <c r="MN240">
        <v>0</v>
      </c>
      <c r="MO240">
        <v>0</v>
      </c>
      <c r="MP240">
        <v>0</v>
      </c>
      <c r="MQ240">
        <v>0</v>
      </c>
      <c r="MR240">
        <v>0</v>
      </c>
      <c r="MS240">
        <v>0</v>
      </c>
      <c r="MT240">
        <v>0</v>
      </c>
      <c r="MU240">
        <v>0</v>
      </c>
      <c r="MV240">
        <v>0</v>
      </c>
      <c r="MW240">
        <v>0</v>
      </c>
      <c r="MX240">
        <v>0</v>
      </c>
      <c r="MY240">
        <v>0</v>
      </c>
      <c r="MZ240">
        <v>0</v>
      </c>
      <c r="NA240">
        <v>0</v>
      </c>
      <c r="NB240">
        <v>0</v>
      </c>
      <c r="NC240">
        <v>0</v>
      </c>
      <c r="ND240">
        <v>0</v>
      </c>
      <c r="NE240">
        <v>0</v>
      </c>
    </row>
    <row r="241" spans="41:369" x14ac:dyDescent="0.45">
      <c r="AO241" t="str">
        <v>D117</v>
      </c>
      <c r="AP241" t="str">
        <v>MOHAMMED SAHL CS</v>
      </c>
      <c r="AQ241" t="str">
        <v>FANT</v>
      </c>
      <c r="AR241" t="str">
        <v>SUPER SENIOR</v>
      </c>
      <c r="AS241">
        <v>8</v>
      </c>
      <c r="AT241">
        <v>16</v>
      </c>
      <c r="AU241">
        <v>0</v>
      </c>
      <c r="AV241">
        <v>16</v>
      </c>
      <c r="AW241">
        <v>16</v>
      </c>
      <c r="AX241">
        <v>94</v>
      </c>
      <c r="AY241" s="5">
        <v>94</v>
      </c>
      <c r="AZ241">
        <v>0</v>
      </c>
      <c r="BA241">
        <v>0</v>
      </c>
      <c r="BB241">
        <v>0</v>
      </c>
      <c r="BC241">
        <v>0</v>
      </c>
      <c r="BD241">
        <v>0</v>
      </c>
      <c r="BE241">
        <v>0</v>
      </c>
      <c r="BF241">
        <v>0</v>
      </c>
      <c r="BG241">
        <v>0</v>
      </c>
      <c r="BH241">
        <v>0</v>
      </c>
      <c r="BI241" t="str">
        <v/>
      </c>
      <c r="BK241">
        <v>235</v>
      </c>
      <c r="BL241">
        <v>0</v>
      </c>
      <c r="BM241">
        <v>0</v>
      </c>
      <c r="BN241">
        <v>0</v>
      </c>
      <c r="BO241">
        <v>0</v>
      </c>
      <c r="BP241">
        <v>0</v>
      </c>
      <c r="BQ241">
        <v>0</v>
      </c>
      <c r="BR241">
        <v>0</v>
      </c>
      <c r="BS241">
        <v>0</v>
      </c>
      <c r="BT241">
        <v>0</v>
      </c>
      <c r="BU241">
        <v>0</v>
      </c>
      <c r="BV241">
        <v>0</v>
      </c>
      <c r="BW241">
        <v>0</v>
      </c>
      <c r="BX241">
        <v>0</v>
      </c>
      <c r="BY241">
        <v>0</v>
      </c>
      <c r="BZ241">
        <v>0</v>
      </c>
      <c r="CA241">
        <v>0</v>
      </c>
      <c r="CB241">
        <v>0</v>
      </c>
      <c r="CC241">
        <v>0</v>
      </c>
      <c r="CD241">
        <v>0</v>
      </c>
      <c r="CE241">
        <v>0</v>
      </c>
      <c r="CF241">
        <v>0</v>
      </c>
      <c r="CG241">
        <v>0</v>
      </c>
      <c r="CH241">
        <v>0</v>
      </c>
      <c r="CI241">
        <v>0</v>
      </c>
      <c r="CJ241">
        <v>0</v>
      </c>
      <c r="CK241">
        <v>0</v>
      </c>
      <c r="CL241">
        <v>0</v>
      </c>
      <c r="CM241">
        <v>0</v>
      </c>
      <c r="CN241">
        <v>0</v>
      </c>
      <c r="CO241">
        <v>0</v>
      </c>
      <c r="CP241">
        <v>0</v>
      </c>
      <c r="CQ241">
        <v>0</v>
      </c>
      <c r="CR241">
        <v>0</v>
      </c>
      <c r="CS241">
        <v>0</v>
      </c>
      <c r="CT241">
        <v>0</v>
      </c>
      <c r="CU241">
        <v>0</v>
      </c>
      <c r="CV241">
        <v>0</v>
      </c>
      <c r="CW241">
        <v>0</v>
      </c>
      <c r="CX241">
        <v>0</v>
      </c>
      <c r="CY241">
        <v>0</v>
      </c>
      <c r="CZ241">
        <v>0</v>
      </c>
      <c r="DA241">
        <v>0</v>
      </c>
      <c r="DB241">
        <v>0</v>
      </c>
      <c r="DC241">
        <v>0</v>
      </c>
      <c r="DD241">
        <v>0</v>
      </c>
      <c r="DE241">
        <v>0</v>
      </c>
      <c r="DF241">
        <v>0</v>
      </c>
      <c r="DG241">
        <v>0</v>
      </c>
      <c r="DH241">
        <v>0</v>
      </c>
      <c r="DI241">
        <v>0</v>
      </c>
      <c r="DJ241">
        <v>0</v>
      </c>
      <c r="DK241">
        <v>0</v>
      </c>
      <c r="DL241">
        <v>0</v>
      </c>
      <c r="DM241">
        <v>0</v>
      </c>
      <c r="DN241">
        <v>0</v>
      </c>
      <c r="DO241">
        <v>0</v>
      </c>
      <c r="DP241">
        <v>0</v>
      </c>
      <c r="DQ241">
        <v>0</v>
      </c>
      <c r="DR241">
        <v>0</v>
      </c>
      <c r="DS241">
        <v>0</v>
      </c>
      <c r="DT241">
        <v>0</v>
      </c>
      <c r="DU241">
        <v>0</v>
      </c>
      <c r="DV241">
        <v>0</v>
      </c>
      <c r="DW241">
        <v>0</v>
      </c>
      <c r="DX241">
        <v>0</v>
      </c>
      <c r="DY241">
        <v>0</v>
      </c>
      <c r="DZ241">
        <v>0</v>
      </c>
      <c r="EA241">
        <v>0</v>
      </c>
      <c r="EB241">
        <v>0</v>
      </c>
      <c r="EC241">
        <v>0</v>
      </c>
      <c r="ED241">
        <v>0</v>
      </c>
      <c r="EE241">
        <v>0</v>
      </c>
      <c r="EF241">
        <v>0</v>
      </c>
      <c r="EG241">
        <v>0</v>
      </c>
      <c r="EH241">
        <v>0</v>
      </c>
      <c r="EI241">
        <v>0</v>
      </c>
      <c r="EJ241">
        <v>0</v>
      </c>
      <c r="EK241">
        <v>0</v>
      </c>
      <c r="EL241">
        <v>0</v>
      </c>
      <c r="EM241">
        <v>0</v>
      </c>
      <c r="EN241">
        <v>0</v>
      </c>
      <c r="EO241">
        <v>0</v>
      </c>
      <c r="EP241">
        <v>0</v>
      </c>
      <c r="EQ241">
        <v>0</v>
      </c>
      <c r="ER241">
        <v>0</v>
      </c>
      <c r="ES241">
        <v>0</v>
      </c>
      <c r="ET241">
        <v>0</v>
      </c>
      <c r="EU241">
        <v>0</v>
      </c>
      <c r="EV241">
        <v>0</v>
      </c>
      <c r="EW241">
        <v>0</v>
      </c>
      <c r="EX241">
        <v>0</v>
      </c>
      <c r="EY241">
        <v>0</v>
      </c>
      <c r="EZ241">
        <v>0</v>
      </c>
      <c r="FA241">
        <v>0</v>
      </c>
      <c r="FB241">
        <v>0</v>
      </c>
      <c r="FC241">
        <v>0</v>
      </c>
      <c r="FD241">
        <v>0</v>
      </c>
      <c r="FE241">
        <v>0</v>
      </c>
      <c r="FF241">
        <v>0</v>
      </c>
      <c r="FG241">
        <v>0</v>
      </c>
      <c r="FH241">
        <v>0</v>
      </c>
      <c r="FI241">
        <v>0</v>
      </c>
      <c r="FJ241">
        <v>0</v>
      </c>
      <c r="FK241">
        <v>0</v>
      </c>
      <c r="FL241">
        <v>0</v>
      </c>
      <c r="FM241">
        <v>0</v>
      </c>
      <c r="FN241">
        <v>0</v>
      </c>
      <c r="FO241">
        <v>0</v>
      </c>
      <c r="FP241">
        <v>0</v>
      </c>
      <c r="FQ241">
        <v>0</v>
      </c>
      <c r="FR241">
        <v>0</v>
      </c>
      <c r="FS241">
        <v>0</v>
      </c>
      <c r="FT241">
        <v>0</v>
      </c>
      <c r="FU241">
        <v>0</v>
      </c>
      <c r="FV241">
        <v>0</v>
      </c>
      <c r="FW241">
        <v>0</v>
      </c>
      <c r="FX241">
        <v>0</v>
      </c>
      <c r="FY241">
        <v>0</v>
      </c>
      <c r="FZ241">
        <v>0</v>
      </c>
      <c r="GA241">
        <v>0</v>
      </c>
      <c r="GB241">
        <v>0</v>
      </c>
      <c r="GC241">
        <v>0</v>
      </c>
      <c r="GD241">
        <v>0</v>
      </c>
      <c r="GE241">
        <v>0</v>
      </c>
      <c r="GF241">
        <v>0</v>
      </c>
      <c r="GG241">
        <v>0</v>
      </c>
      <c r="GH241">
        <v>0</v>
      </c>
      <c r="GI241">
        <v>0</v>
      </c>
      <c r="GJ241">
        <v>0</v>
      </c>
      <c r="GK241">
        <v>0</v>
      </c>
      <c r="GL241">
        <v>0</v>
      </c>
      <c r="GM241">
        <v>0</v>
      </c>
      <c r="GN241">
        <v>0</v>
      </c>
      <c r="GO241">
        <v>0</v>
      </c>
      <c r="GP241">
        <v>0</v>
      </c>
      <c r="GQ241">
        <v>0</v>
      </c>
      <c r="GR241">
        <v>0</v>
      </c>
      <c r="GS241">
        <v>0</v>
      </c>
      <c r="GT241">
        <v>0</v>
      </c>
      <c r="GU241">
        <v>0</v>
      </c>
      <c r="GV241">
        <v>0</v>
      </c>
      <c r="GW241">
        <v>0</v>
      </c>
      <c r="GX241">
        <v>0</v>
      </c>
      <c r="GY241">
        <v>0</v>
      </c>
      <c r="GZ241">
        <v>0</v>
      </c>
      <c r="HA241">
        <v>0</v>
      </c>
      <c r="HB241">
        <v>0</v>
      </c>
      <c r="HC241">
        <v>0</v>
      </c>
      <c r="HD241">
        <v>0</v>
      </c>
      <c r="HE241">
        <v>0</v>
      </c>
      <c r="HF241">
        <v>0</v>
      </c>
      <c r="HG241">
        <v>0</v>
      </c>
      <c r="HH241">
        <v>0</v>
      </c>
      <c r="HI241">
        <v>0</v>
      </c>
      <c r="HJ241">
        <v>0</v>
      </c>
      <c r="HK241">
        <v>0</v>
      </c>
      <c r="HL241">
        <v>0</v>
      </c>
      <c r="HM241">
        <v>0</v>
      </c>
      <c r="HN241">
        <v>0</v>
      </c>
      <c r="HO241">
        <v>0</v>
      </c>
      <c r="HP241">
        <v>0</v>
      </c>
      <c r="HQ241">
        <v>0</v>
      </c>
      <c r="HR241">
        <v>0</v>
      </c>
      <c r="HS241">
        <v>0</v>
      </c>
      <c r="HT241">
        <v>0</v>
      </c>
      <c r="HU241">
        <v>0</v>
      </c>
      <c r="HV241">
        <v>0</v>
      </c>
      <c r="HW241">
        <v>0</v>
      </c>
      <c r="HX241">
        <v>0</v>
      </c>
      <c r="HY241">
        <v>0</v>
      </c>
      <c r="HZ241">
        <v>0</v>
      </c>
      <c r="IA241">
        <v>0</v>
      </c>
      <c r="IB241">
        <v>0</v>
      </c>
      <c r="IC241">
        <v>0</v>
      </c>
      <c r="ID241">
        <v>0</v>
      </c>
      <c r="IE241">
        <v>0</v>
      </c>
      <c r="IF241">
        <v>0</v>
      </c>
      <c r="IG241">
        <v>0</v>
      </c>
      <c r="IH241">
        <v>0</v>
      </c>
      <c r="II241">
        <v>0</v>
      </c>
      <c r="IJ241">
        <v>0</v>
      </c>
      <c r="IK241">
        <v>0</v>
      </c>
      <c r="IL241">
        <v>0</v>
      </c>
      <c r="IM241">
        <v>0</v>
      </c>
      <c r="IN241">
        <v>0</v>
      </c>
      <c r="IO241">
        <v>0</v>
      </c>
      <c r="IP241">
        <v>0</v>
      </c>
      <c r="IQ241">
        <v>0</v>
      </c>
      <c r="IR241">
        <v>0</v>
      </c>
      <c r="IS241">
        <v>0</v>
      </c>
      <c r="IT241">
        <v>0</v>
      </c>
      <c r="IU241">
        <v>0</v>
      </c>
      <c r="IV241">
        <v>0</v>
      </c>
      <c r="IW241">
        <v>0</v>
      </c>
      <c r="IX241">
        <v>0</v>
      </c>
      <c r="IY241">
        <v>0</v>
      </c>
      <c r="IZ241">
        <v>0</v>
      </c>
      <c r="JA241">
        <v>0</v>
      </c>
      <c r="JB241">
        <v>0</v>
      </c>
      <c r="JC241">
        <v>0</v>
      </c>
      <c r="JD241">
        <v>0</v>
      </c>
      <c r="JE241">
        <v>0</v>
      </c>
      <c r="JF241">
        <v>0</v>
      </c>
      <c r="JG241">
        <v>0</v>
      </c>
      <c r="JH241">
        <v>0</v>
      </c>
      <c r="JI241">
        <v>0</v>
      </c>
      <c r="JJ241">
        <v>0</v>
      </c>
      <c r="JK241">
        <v>0</v>
      </c>
      <c r="JL241">
        <v>0</v>
      </c>
      <c r="JM241">
        <v>0</v>
      </c>
      <c r="JN241">
        <v>0</v>
      </c>
      <c r="JO241">
        <v>0</v>
      </c>
      <c r="JP241">
        <v>0</v>
      </c>
      <c r="JQ241">
        <v>0</v>
      </c>
      <c r="JR241">
        <v>0</v>
      </c>
      <c r="JS241">
        <v>0</v>
      </c>
      <c r="JT241">
        <v>0</v>
      </c>
      <c r="JU241">
        <v>0</v>
      </c>
      <c r="JV241">
        <v>0</v>
      </c>
      <c r="JW241">
        <v>0</v>
      </c>
      <c r="JX241">
        <v>0</v>
      </c>
      <c r="JY241">
        <v>0</v>
      </c>
      <c r="JZ241">
        <v>0</v>
      </c>
      <c r="KA241">
        <v>0</v>
      </c>
      <c r="KB241">
        <v>0</v>
      </c>
      <c r="KC241">
        <v>0</v>
      </c>
      <c r="KD241">
        <v>0</v>
      </c>
      <c r="KE241">
        <v>0</v>
      </c>
      <c r="KF241">
        <v>0</v>
      </c>
      <c r="KG241">
        <v>0</v>
      </c>
      <c r="KH241">
        <v>0</v>
      </c>
      <c r="KI241">
        <v>0</v>
      </c>
      <c r="KJ241">
        <v>0</v>
      </c>
      <c r="KK241">
        <v>0</v>
      </c>
      <c r="KL241">
        <v>0</v>
      </c>
      <c r="KM241">
        <v>0</v>
      </c>
      <c r="KN241">
        <v>0</v>
      </c>
      <c r="KO241">
        <v>0</v>
      </c>
      <c r="KP241">
        <v>0</v>
      </c>
      <c r="KQ241">
        <v>0</v>
      </c>
      <c r="KR241">
        <v>0</v>
      </c>
      <c r="KS241">
        <v>0</v>
      </c>
      <c r="KT241">
        <v>0</v>
      </c>
      <c r="KU241">
        <v>0</v>
      </c>
      <c r="KV241">
        <v>0</v>
      </c>
      <c r="KW241">
        <v>0</v>
      </c>
      <c r="KX241">
        <v>0</v>
      </c>
      <c r="KY241">
        <v>0</v>
      </c>
      <c r="KZ241">
        <v>0</v>
      </c>
      <c r="LA241">
        <v>0</v>
      </c>
      <c r="LB241">
        <v>0</v>
      </c>
      <c r="LC241">
        <v>0</v>
      </c>
      <c r="LD241">
        <v>0</v>
      </c>
      <c r="LE241">
        <v>0</v>
      </c>
      <c r="LF241">
        <v>0</v>
      </c>
      <c r="LG241">
        <v>0</v>
      </c>
      <c r="LH241">
        <v>0</v>
      </c>
      <c r="LI241">
        <v>0</v>
      </c>
      <c r="LJ241">
        <v>0</v>
      </c>
      <c r="LK241">
        <v>0</v>
      </c>
      <c r="LL241">
        <v>0</v>
      </c>
      <c r="LM241">
        <v>0</v>
      </c>
      <c r="LN241">
        <v>0</v>
      </c>
      <c r="LO241">
        <v>0</v>
      </c>
      <c r="LP241">
        <v>0</v>
      </c>
      <c r="LQ241">
        <v>0</v>
      </c>
      <c r="LR241">
        <v>0</v>
      </c>
      <c r="LS241">
        <v>0</v>
      </c>
      <c r="LT241">
        <v>0</v>
      </c>
      <c r="LU241">
        <v>0</v>
      </c>
      <c r="LV241">
        <v>0</v>
      </c>
      <c r="LW241">
        <v>0</v>
      </c>
      <c r="LX241">
        <v>0</v>
      </c>
      <c r="LY241">
        <v>0</v>
      </c>
      <c r="LZ241">
        <v>0</v>
      </c>
      <c r="MA241">
        <v>0</v>
      </c>
      <c r="MB241">
        <v>0</v>
      </c>
      <c r="MC241">
        <v>0</v>
      </c>
      <c r="MD241">
        <v>0</v>
      </c>
      <c r="ME241">
        <v>0</v>
      </c>
      <c r="MF241">
        <v>0</v>
      </c>
      <c r="MG241">
        <v>0</v>
      </c>
      <c r="MH241">
        <v>0</v>
      </c>
      <c r="MI241">
        <v>0</v>
      </c>
      <c r="MJ241">
        <v>0</v>
      </c>
      <c r="MK241">
        <v>0</v>
      </c>
      <c r="ML241">
        <v>0</v>
      </c>
      <c r="MM241">
        <v>0</v>
      </c>
      <c r="MN241">
        <v>0</v>
      </c>
      <c r="MO241">
        <v>0</v>
      </c>
      <c r="MP241">
        <v>0</v>
      </c>
      <c r="MQ241">
        <v>0</v>
      </c>
      <c r="MR241">
        <v>0</v>
      </c>
      <c r="MS241">
        <v>0</v>
      </c>
      <c r="MT241">
        <v>0</v>
      </c>
      <c r="MU241">
        <v>0</v>
      </c>
      <c r="MV241">
        <v>0</v>
      </c>
      <c r="MW241">
        <v>0</v>
      </c>
      <c r="MX241">
        <v>0</v>
      </c>
      <c r="MY241">
        <v>0</v>
      </c>
      <c r="MZ241">
        <v>0</v>
      </c>
      <c r="NA241">
        <v>0</v>
      </c>
      <c r="NB241">
        <v>0</v>
      </c>
      <c r="NC241">
        <v>0</v>
      </c>
      <c r="ND241">
        <v>0</v>
      </c>
      <c r="NE241">
        <v>0</v>
      </c>
    </row>
    <row r="242" spans="41:369" x14ac:dyDescent="0.45">
      <c r="AO242" t="str">
        <v>D118</v>
      </c>
      <c r="AP242" t="str">
        <v>MOHAMMAD KHALANDAR ZIYAD</v>
      </c>
      <c r="AQ242" t="str">
        <v>BADF</v>
      </c>
      <c r="AR242" t="str">
        <v>SUPER SENIOR</v>
      </c>
      <c r="AS242">
        <v>8</v>
      </c>
      <c r="AT242">
        <v>31</v>
      </c>
      <c r="AU242">
        <v>0</v>
      </c>
      <c r="AV242">
        <v>31</v>
      </c>
      <c r="AW242">
        <v>31</v>
      </c>
      <c r="AX242">
        <v>42</v>
      </c>
      <c r="AY242" s="5">
        <v>42</v>
      </c>
      <c r="AZ242">
        <v>0</v>
      </c>
      <c r="BA242">
        <v>0</v>
      </c>
      <c r="BB242">
        <v>0</v>
      </c>
      <c r="BC242">
        <v>0</v>
      </c>
      <c r="BD242">
        <v>0</v>
      </c>
      <c r="BE242">
        <v>0</v>
      </c>
      <c r="BF242">
        <v>0</v>
      </c>
      <c r="BG242">
        <v>0</v>
      </c>
      <c r="BH242">
        <v>0</v>
      </c>
      <c r="BI242" t="str">
        <v/>
      </c>
      <c r="BK242">
        <v>236</v>
      </c>
      <c r="BL242">
        <v>0</v>
      </c>
      <c r="BM242">
        <v>0</v>
      </c>
      <c r="BN242">
        <v>0</v>
      </c>
      <c r="BO242">
        <v>0</v>
      </c>
      <c r="BP242">
        <v>0</v>
      </c>
      <c r="BQ242">
        <v>0</v>
      </c>
      <c r="BR242">
        <v>0</v>
      </c>
      <c r="BS242">
        <v>0</v>
      </c>
      <c r="BT242">
        <v>0</v>
      </c>
      <c r="BU242">
        <v>0</v>
      </c>
      <c r="BV242">
        <v>0</v>
      </c>
      <c r="BW242">
        <v>0</v>
      </c>
      <c r="BX242">
        <v>0</v>
      </c>
      <c r="BY242">
        <v>0</v>
      </c>
      <c r="BZ242">
        <v>0</v>
      </c>
      <c r="CA242">
        <v>0</v>
      </c>
      <c r="CB242">
        <v>0</v>
      </c>
      <c r="CC242">
        <v>0</v>
      </c>
      <c r="CD242">
        <v>0</v>
      </c>
      <c r="CE242">
        <v>0</v>
      </c>
      <c r="CF242">
        <v>0</v>
      </c>
      <c r="CG242">
        <v>0</v>
      </c>
      <c r="CH242">
        <v>0</v>
      </c>
      <c r="CI242">
        <v>0</v>
      </c>
      <c r="CJ242">
        <v>0</v>
      </c>
      <c r="CK242">
        <v>0</v>
      </c>
      <c r="CL242">
        <v>0</v>
      </c>
      <c r="CM242">
        <v>0</v>
      </c>
      <c r="CN242">
        <v>0</v>
      </c>
      <c r="CO242">
        <v>0</v>
      </c>
      <c r="CP242">
        <v>0</v>
      </c>
      <c r="CQ242">
        <v>0</v>
      </c>
      <c r="CR242">
        <v>0</v>
      </c>
      <c r="CS242">
        <v>0</v>
      </c>
      <c r="CT242">
        <v>0</v>
      </c>
      <c r="CU242">
        <v>0</v>
      </c>
      <c r="CV242">
        <v>0</v>
      </c>
      <c r="CW242">
        <v>0</v>
      </c>
      <c r="CX242">
        <v>0</v>
      </c>
      <c r="CY242">
        <v>0</v>
      </c>
      <c r="CZ242">
        <v>0</v>
      </c>
      <c r="DA242">
        <v>0</v>
      </c>
      <c r="DB242">
        <v>0</v>
      </c>
      <c r="DC242">
        <v>0</v>
      </c>
      <c r="DD242">
        <v>0</v>
      </c>
      <c r="DE242">
        <v>0</v>
      </c>
      <c r="DF242">
        <v>0</v>
      </c>
      <c r="DG242">
        <v>0</v>
      </c>
      <c r="DH242">
        <v>0</v>
      </c>
      <c r="DI242">
        <v>0</v>
      </c>
      <c r="DJ242">
        <v>0</v>
      </c>
      <c r="DK242">
        <v>0</v>
      </c>
      <c r="DL242">
        <v>0</v>
      </c>
      <c r="DM242">
        <v>0</v>
      </c>
      <c r="DN242">
        <v>0</v>
      </c>
      <c r="DO242">
        <v>0</v>
      </c>
      <c r="DP242">
        <v>0</v>
      </c>
      <c r="DQ242">
        <v>0</v>
      </c>
      <c r="DR242">
        <v>0</v>
      </c>
      <c r="DS242">
        <v>0</v>
      </c>
      <c r="DT242">
        <v>0</v>
      </c>
      <c r="DU242">
        <v>0</v>
      </c>
      <c r="DV242">
        <v>0</v>
      </c>
      <c r="DW242">
        <v>0</v>
      </c>
      <c r="DX242">
        <v>0</v>
      </c>
      <c r="DY242">
        <v>0</v>
      </c>
      <c r="DZ242">
        <v>0</v>
      </c>
      <c r="EA242">
        <v>0</v>
      </c>
      <c r="EB242">
        <v>0</v>
      </c>
      <c r="EC242">
        <v>0</v>
      </c>
      <c r="ED242">
        <v>0</v>
      </c>
      <c r="EE242">
        <v>0</v>
      </c>
      <c r="EF242">
        <v>0</v>
      </c>
      <c r="EG242">
        <v>0</v>
      </c>
      <c r="EH242">
        <v>0</v>
      </c>
      <c r="EI242">
        <v>0</v>
      </c>
      <c r="EJ242">
        <v>0</v>
      </c>
      <c r="EK242">
        <v>0</v>
      </c>
      <c r="EL242">
        <v>0</v>
      </c>
      <c r="EM242">
        <v>0</v>
      </c>
      <c r="EN242">
        <v>0</v>
      </c>
      <c r="EO242">
        <v>0</v>
      </c>
      <c r="EP242">
        <v>0</v>
      </c>
      <c r="EQ242">
        <v>0</v>
      </c>
      <c r="ER242">
        <v>0</v>
      </c>
      <c r="ES242">
        <v>0</v>
      </c>
      <c r="ET242">
        <v>0</v>
      </c>
      <c r="EU242">
        <v>0</v>
      </c>
      <c r="EV242">
        <v>0</v>
      </c>
      <c r="EW242">
        <v>0</v>
      </c>
      <c r="EX242">
        <v>0</v>
      </c>
      <c r="EY242">
        <v>0</v>
      </c>
      <c r="EZ242">
        <v>0</v>
      </c>
      <c r="FA242">
        <v>0</v>
      </c>
      <c r="FB242">
        <v>0</v>
      </c>
      <c r="FC242">
        <v>0</v>
      </c>
      <c r="FD242">
        <v>0</v>
      </c>
      <c r="FE242">
        <v>0</v>
      </c>
      <c r="FF242">
        <v>0</v>
      </c>
      <c r="FG242">
        <v>0</v>
      </c>
      <c r="FH242">
        <v>0</v>
      </c>
      <c r="FI242">
        <v>0</v>
      </c>
      <c r="FJ242">
        <v>0</v>
      </c>
      <c r="FK242">
        <v>0</v>
      </c>
      <c r="FL242">
        <v>0</v>
      </c>
      <c r="FM242">
        <v>0</v>
      </c>
      <c r="FN242">
        <v>0</v>
      </c>
      <c r="FO242">
        <v>0</v>
      </c>
      <c r="FP242">
        <v>0</v>
      </c>
      <c r="FQ242">
        <v>0</v>
      </c>
      <c r="FR242">
        <v>0</v>
      </c>
      <c r="FS242">
        <v>0</v>
      </c>
      <c r="FT242">
        <v>0</v>
      </c>
      <c r="FU242">
        <v>0</v>
      </c>
      <c r="FV242">
        <v>0</v>
      </c>
      <c r="FW242">
        <v>0</v>
      </c>
      <c r="FX242">
        <v>0</v>
      </c>
      <c r="FY242">
        <v>0</v>
      </c>
      <c r="FZ242">
        <v>0</v>
      </c>
      <c r="GA242">
        <v>0</v>
      </c>
      <c r="GB242">
        <v>0</v>
      </c>
      <c r="GC242">
        <v>0</v>
      </c>
      <c r="GD242">
        <v>0</v>
      </c>
      <c r="GE242">
        <v>0</v>
      </c>
      <c r="GF242">
        <v>0</v>
      </c>
      <c r="GG242">
        <v>0</v>
      </c>
      <c r="GH242">
        <v>0</v>
      </c>
      <c r="GI242">
        <v>0</v>
      </c>
      <c r="GJ242">
        <v>0</v>
      </c>
      <c r="GK242">
        <v>0</v>
      </c>
      <c r="GL242">
        <v>0</v>
      </c>
      <c r="GM242">
        <v>0</v>
      </c>
      <c r="GN242">
        <v>0</v>
      </c>
      <c r="GO242">
        <v>0</v>
      </c>
      <c r="GP242">
        <v>0</v>
      </c>
      <c r="GQ242">
        <v>0</v>
      </c>
      <c r="GR242">
        <v>0</v>
      </c>
      <c r="GS242">
        <v>0</v>
      </c>
      <c r="GT242">
        <v>0</v>
      </c>
      <c r="GU242">
        <v>0</v>
      </c>
      <c r="GV242">
        <v>0</v>
      </c>
      <c r="GW242">
        <v>0</v>
      </c>
      <c r="GX242">
        <v>0</v>
      </c>
      <c r="GY242">
        <v>0</v>
      </c>
      <c r="GZ242">
        <v>0</v>
      </c>
      <c r="HA242">
        <v>0</v>
      </c>
      <c r="HB242">
        <v>0</v>
      </c>
      <c r="HC242">
        <v>0</v>
      </c>
      <c r="HD242">
        <v>0</v>
      </c>
      <c r="HE242">
        <v>0</v>
      </c>
      <c r="HF242">
        <v>0</v>
      </c>
      <c r="HG242">
        <v>0</v>
      </c>
      <c r="HH242">
        <v>0</v>
      </c>
      <c r="HI242">
        <v>0</v>
      </c>
      <c r="HJ242">
        <v>0</v>
      </c>
      <c r="HK242">
        <v>0</v>
      </c>
      <c r="HL242">
        <v>0</v>
      </c>
      <c r="HM242">
        <v>0</v>
      </c>
      <c r="HN242">
        <v>0</v>
      </c>
      <c r="HO242">
        <v>0</v>
      </c>
      <c r="HP242">
        <v>0</v>
      </c>
      <c r="HQ242">
        <v>0</v>
      </c>
      <c r="HR242">
        <v>0</v>
      </c>
      <c r="HS242">
        <v>0</v>
      </c>
      <c r="HT242">
        <v>0</v>
      </c>
      <c r="HU242">
        <v>0</v>
      </c>
      <c r="HV242">
        <v>0</v>
      </c>
      <c r="HW242">
        <v>0</v>
      </c>
      <c r="HX242">
        <v>0</v>
      </c>
      <c r="HY242">
        <v>0</v>
      </c>
      <c r="HZ242">
        <v>0</v>
      </c>
      <c r="IA242">
        <v>0</v>
      </c>
      <c r="IB242">
        <v>0</v>
      </c>
      <c r="IC242">
        <v>0</v>
      </c>
      <c r="ID242">
        <v>0</v>
      </c>
      <c r="IE242">
        <v>0</v>
      </c>
      <c r="IF242">
        <v>0</v>
      </c>
      <c r="IG242">
        <v>0</v>
      </c>
      <c r="IH242">
        <v>0</v>
      </c>
      <c r="II242">
        <v>0</v>
      </c>
      <c r="IJ242">
        <v>0</v>
      </c>
      <c r="IK242">
        <v>0</v>
      </c>
      <c r="IL242">
        <v>0</v>
      </c>
      <c r="IM242">
        <v>0</v>
      </c>
      <c r="IN242">
        <v>0</v>
      </c>
      <c r="IO242">
        <v>0</v>
      </c>
      <c r="IP242">
        <v>0</v>
      </c>
      <c r="IQ242">
        <v>0</v>
      </c>
      <c r="IR242">
        <v>0</v>
      </c>
      <c r="IS242">
        <v>0</v>
      </c>
      <c r="IT242">
        <v>0</v>
      </c>
      <c r="IU242">
        <v>0</v>
      </c>
      <c r="IV242">
        <v>0</v>
      </c>
      <c r="IW242">
        <v>0</v>
      </c>
      <c r="IX242">
        <v>0</v>
      </c>
      <c r="IY242">
        <v>0</v>
      </c>
      <c r="IZ242">
        <v>0</v>
      </c>
      <c r="JA242">
        <v>0</v>
      </c>
      <c r="JB242">
        <v>0</v>
      </c>
      <c r="JC242">
        <v>0</v>
      </c>
      <c r="JD242">
        <v>0</v>
      </c>
      <c r="JE242">
        <v>0</v>
      </c>
      <c r="JF242">
        <v>0</v>
      </c>
      <c r="JG242">
        <v>0</v>
      </c>
      <c r="JH242">
        <v>0</v>
      </c>
      <c r="JI242">
        <v>0</v>
      </c>
      <c r="JJ242">
        <v>0</v>
      </c>
      <c r="JK242">
        <v>0</v>
      </c>
      <c r="JL242">
        <v>0</v>
      </c>
      <c r="JM242">
        <v>0</v>
      </c>
      <c r="JN242">
        <v>0</v>
      </c>
      <c r="JO242">
        <v>0</v>
      </c>
      <c r="JP242">
        <v>0</v>
      </c>
      <c r="JQ242">
        <v>0</v>
      </c>
      <c r="JR242">
        <v>0</v>
      </c>
      <c r="JS242">
        <v>0</v>
      </c>
      <c r="JT242">
        <v>0</v>
      </c>
      <c r="JU242">
        <v>0</v>
      </c>
      <c r="JV242">
        <v>0</v>
      </c>
      <c r="JW242">
        <v>0</v>
      </c>
      <c r="JX242">
        <v>0</v>
      </c>
      <c r="JY242">
        <v>0</v>
      </c>
      <c r="JZ242">
        <v>0</v>
      </c>
      <c r="KA242">
        <v>0</v>
      </c>
      <c r="KB242">
        <v>0</v>
      </c>
      <c r="KC242">
        <v>0</v>
      </c>
      <c r="KD242">
        <v>0</v>
      </c>
      <c r="KE242">
        <v>0</v>
      </c>
      <c r="KF242">
        <v>0</v>
      </c>
      <c r="KG242">
        <v>0</v>
      </c>
      <c r="KH242">
        <v>0</v>
      </c>
      <c r="KI242">
        <v>0</v>
      </c>
      <c r="KJ242">
        <v>0</v>
      </c>
      <c r="KK242">
        <v>0</v>
      </c>
      <c r="KL242">
        <v>0</v>
      </c>
      <c r="KM242">
        <v>0</v>
      </c>
      <c r="KN242">
        <v>0</v>
      </c>
      <c r="KO242">
        <v>0</v>
      </c>
      <c r="KP242">
        <v>0</v>
      </c>
      <c r="KQ242">
        <v>0</v>
      </c>
      <c r="KR242">
        <v>0</v>
      </c>
      <c r="KS242">
        <v>0</v>
      </c>
      <c r="KT242">
        <v>0</v>
      </c>
      <c r="KU242">
        <v>0</v>
      </c>
      <c r="KV242">
        <v>0</v>
      </c>
      <c r="KW242">
        <v>0</v>
      </c>
      <c r="KX242">
        <v>0</v>
      </c>
      <c r="KY242">
        <v>0</v>
      </c>
      <c r="KZ242">
        <v>0</v>
      </c>
      <c r="LA242">
        <v>0</v>
      </c>
      <c r="LB242">
        <v>0</v>
      </c>
      <c r="LC242">
        <v>0</v>
      </c>
      <c r="LD242">
        <v>0</v>
      </c>
      <c r="LE242">
        <v>0</v>
      </c>
      <c r="LF242">
        <v>0</v>
      </c>
      <c r="LG242">
        <v>0</v>
      </c>
      <c r="LH242">
        <v>0</v>
      </c>
      <c r="LI242">
        <v>0</v>
      </c>
      <c r="LJ242">
        <v>0</v>
      </c>
      <c r="LK242">
        <v>0</v>
      </c>
      <c r="LL242">
        <v>0</v>
      </c>
      <c r="LM242">
        <v>0</v>
      </c>
      <c r="LN242">
        <v>0</v>
      </c>
      <c r="LO242">
        <v>0</v>
      </c>
      <c r="LP242">
        <v>0</v>
      </c>
      <c r="LQ242">
        <v>0</v>
      </c>
      <c r="LR242">
        <v>0</v>
      </c>
      <c r="LS242">
        <v>0</v>
      </c>
      <c r="LT242">
        <v>0</v>
      </c>
      <c r="LU242">
        <v>0</v>
      </c>
      <c r="LV242">
        <v>0</v>
      </c>
      <c r="LW242">
        <v>0</v>
      </c>
      <c r="LX242">
        <v>0</v>
      </c>
      <c r="LY242">
        <v>0</v>
      </c>
      <c r="LZ242">
        <v>0</v>
      </c>
      <c r="MA242">
        <v>0</v>
      </c>
      <c r="MB242">
        <v>0</v>
      </c>
      <c r="MC242">
        <v>0</v>
      </c>
      <c r="MD242">
        <v>0</v>
      </c>
      <c r="ME242">
        <v>0</v>
      </c>
      <c r="MF242">
        <v>0</v>
      </c>
      <c r="MG242">
        <v>0</v>
      </c>
      <c r="MH242">
        <v>0</v>
      </c>
      <c r="MI242">
        <v>0</v>
      </c>
      <c r="MJ242">
        <v>0</v>
      </c>
      <c r="MK242">
        <v>0</v>
      </c>
      <c r="ML242">
        <v>0</v>
      </c>
      <c r="MM242">
        <v>0</v>
      </c>
      <c r="MN242">
        <v>0</v>
      </c>
      <c r="MO242">
        <v>0</v>
      </c>
      <c r="MP242">
        <v>0</v>
      </c>
      <c r="MQ242">
        <v>0</v>
      </c>
      <c r="MR242">
        <v>0</v>
      </c>
      <c r="MS242">
        <v>0</v>
      </c>
      <c r="MT242">
        <v>0</v>
      </c>
      <c r="MU242">
        <v>0</v>
      </c>
      <c r="MV242">
        <v>0</v>
      </c>
      <c r="MW242">
        <v>0</v>
      </c>
      <c r="MX242">
        <v>0</v>
      </c>
      <c r="MY242">
        <v>0</v>
      </c>
      <c r="MZ242">
        <v>0</v>
      </c>
      <c r="NA242">
        <v>0</v>
      </c>
      <c r="NB242">
        <v>0</v>
      </c>
      <c r="NC242">
        <v>0</v>
      </c>
      <c r="ND242">
        <v>0</v>
      </c>
      <c r="NE242">
        <v>0</v>
      </c>
    </row>
    <row r="243" spans="41:369" x14ac:dyDescent="0.45">
      <c r="AO243" t="str">
        <v>D119</v>
      </c>
      <c r="AP243" t="str">
        <v>ABU THAHIR</v>
      </c>
      <c r="AQ243" t="str">
        <v>BADF</v>
      </c>
      <c r="AR243" t="str">
        <v>SUPER SENIOR</v>
      </c>
      <c r="AS243">
        <v>8</v>
      </c>
      <c r="AT243">
        <v>10</v>
      </c>
      <c r="AU243">
        <v>0</v>
      </c>
      <c r="AV243">
        <v>10</v>
      </c>
      <c r="AW243">
        <v>10</v>
      </c>
      <c r="AX243">
        <v>131</v>
      </c>
      <c r="AY243" s="5">
        <v>131</v>
      </c>
      <c r="AZ243">
        <v>0</v>
      </c>
      <c r="BA243">
        <v>0</v>
      </c>
      <c r="BB243">
        <v>0</v>
      </c>
      <c r="BC243">
        <v>0</v>
      </c>
      <c r="BD243">
        <v>0</v>
      </c>
      <c r="BE243">
        <v>0</v>
      </c>
      <c r="BF243">
        <v>0</v>
      </c>
      <c r="BG243">
        <v>0</v>
      </c>
      <c r="BH243">
        <v>0</v>
      </c>
      <c r="BI243" t="str">
        <v/>
      </c>
      <c r="BK243">
        <v>237</v>
      </c>
      <c r="BL243">
        <v>0</v>
      </c>
      <c r="BM243">
        <v>0</v>
      </c>
      <c r="BN243">
        <v>0</v>
      </c>
      <c r="BO243">
        <v>0</v>
      </c>
      <c r="BP243">
        <v>0</v>
      </c>
      <c r="BQ243">
        <v>0</v>
      </c>
      <c r="BR243">
        <v>0</v>
      </c>
      <c r="BS243">
        <v>0</v>
      </c>
      <c r="BT243">
        <v>0</v>
      </c>
      <c r="BU243">
        <v>0</v>
      </c>
      <c r="BV243">
        <v>0</v>
      </c>
      <c r="BW243">
        <v>0</v>
      </c>
      <c r="BX243">
        <v>0</v>
      </c>
      <c r="BY243">
        <v>0</v>
      </c>
      <c r="BZ243">
        <v>0</v>
      </c>
      <c r="CA243">
        <v>0</v>
      </c>
      <c r="CB243">
        <v>0</v>
      </c>
      <c r="CC243">
        <v>0</v>
      </c>
      <c r="CD243">
        <v>0</v>
      </c>
      <c r="CE243">
        <v>0</v>
      </c>
      <c r="CF243">
        <v>0</v>
      </c>
      <c r="CG243">
        <v>0</v>
      </c>
      <c r="CH243">
        <v>0</v>
      </c>
      <c r="CI243">
        <v>0</v>
      </c>
      <c r="CJ243">
        <v>0</v>
      </c>
      <c r="CK243">
        <v>0</v>
      </c>
      <c r="CL243">
        <v>0</v>
      </c>
      <c r="CM243">
        <v>0</v>
      </c>
      <c r="CN243">
        <v>0</v>
      </c>
      <c r="CO243">
        <v>0</v>
      </c>
      <c r="CP243">
        <v>0</v>
      </c>
      <c r="CQ243">
        <v>0</v>
      </c>
      <c r="CR243">
        <v>0</v>
      </c>
      <c r="CS243">
        <v>0</v>
      </c>
      <c r="CT243">
        <v>0</v>
      </c>
      <c r="CU243">
        <v>0</v>
      </c>
      <c r="CV243">
        <v>0</v>
      </c>
      <c r="CW243">
        <v>0</v>
      </c>
      <c r="CX243">
        <v>0</v>
      </c>
      <c r="CY243">
        <v>0</v>
      </c>
      <c r="CZ243">
        <v>0</v>
      </c>
      <c r="DA243">
        <v>0</v>
      </c>
      <c r="DB243">
        <v>0</v>
      </c>
      <c r="DC243">
        <v>0</v>
      </c>
      <c r="DD243">
        <v>0</v>
      </c>
      <c r="DE243">
        <v>0</v>
      </c>
      <c r="DF243">
        <v>0</v>
      </c>
      <c r="DG243">
        <v>0</v>
      </c>
      <c r="DH243">
        <v>0</v>
      </c>
      <c r="DI243">
        <v>0</v>
      </c>
      <c r="DJ243">
        <v>0</v>
      </c>
      <c r="DK243">
        <v>0</v>
      </c>
      <c r="DL243">
        <v>0</v>
      </c>
      <c r="DM243">
        <v>0</v>
      </c>
      <c r="DN243">
        <v>0</v>
      </c>
      <c r="DO243">
        <v>0</v>
      </c>
      <c r="DP243">
        <v>0</v>
      </c>
      <c r="DQ243">
        <v>0</v>
      </c>
      <c r="DR243">
        <v>0</v>
      </c>
      <c r="DS243">
        <v>0</v>
      </c>
      <c r="DT243">
        <v>0</v>
      </c>
      <c r="DU243">
        <v>0</v>
      </c>
      <c r="DV243">
        <v>0</v>
      </c>
      <c r="DW243">
        <v>0</v>
      </c>
      <c r="DX243">
        <v>0</v>
      </c>
      <c r="DY243">
        <v>0</v>
      </c>
      <c r="DZ243">
        <v>0</v>
      </c>
      <c r="EA243">
        <v>0</v>
      </c>
      <c r="EB243">
        <v>0</v>
      </c>
      <c r="EC243">
        <v>0</v>
      </c>
      <c r="ED243">
        <v>0</v>
      </c>
      <c r="EE243">
        <v>0</v>
      </c>
      <c r="EF243">
        <v>0</v>
      </c>
      <c r="EG243">
        <v>0</v>
      </c>
      <c r="EH243">
        <v>0</v>
      </c>
      <c r="EI243">
        <v>0</v>
      </c>
      <c r="EJ243">
        <v>0</v>
      </c>
      <c r="EK243">
        <v>0</v>
      </c>
      <c r="EL243">
        <v>0</v>
      </c>
      <c r="EM243">
        <v>0</v>
      </c>
      <c r="EN243">
        <v>0</v>
      </c>
      <c r="EO243">
        <v>0</v>
      </c>
      <c r="EP243">
        <v>0</v>
      </c>
      <c r="EQ243">
        <v>0</v>
      </c>
      <c r="ER243">
        <v>0</v>
      </c>
      <c r="ES243">
        <v>0</v>
      </c>
      <c r="ET243">
        <v>0</v>
      </c>
      <c r="EU243">
        <v>0</v>
      </c>
      <c r="EV243">
        <v>0</v>
      </c>
      <c r="EW243">
        <v>0</v>
      </c>
      <c r="EX243">
        <v>0</v>
      </c>
      <c r="EY243">
        <v>0</v>
      </c>
      <c r="EZ243">
        <v>0</v>
      </c>
      <c r="FA243">
        <v>0</v>
      </c>
      <c r="FB243">
        <v>0</v>
      </c>
      <c r="FC243">
        <v>0</v>
      </c>
      <c r="FD243">
        <v>0</v>
      </c>
      <c r="FE243">
        <v>0</v>
      </c>
      <c r="FF243">
        <v>0</v>
      </c>
      <c r="FG243">
        <v>0</v>
      </c>
      <c r="FH243">
        <v>0</v>
      </c>
      <c r="FI243">
        <v>0</v>
      </c>
      <c r="FJ243">
        <v>0</v>
      </c>
      <c r="FK243">
        <v>0</v>
      </c>
      <c r="FL243">
        <v>0</v>
      </c>
      <c r="FM243">
        <v>0</v>
      </c>
      <c r="FN243">
        <v>0</v>
      </c>
      <c r="FO243">
        <v>0</v>
      </c>
      <c r="FP243">
        <v>0</v>
      </c>
      <c r="FQ243">
        <v>0</v>
      </c>
      <c r="FR243">
        <v>0</v>
      </c>
      <c r="FS243">
        <v>0</v>
      </c>
      <c r="FT243">
        <v>0</v>
      </c>
      <c r="FU243">
        <v>0</v>
      </c>
      <c r="FV243">
        <v>0</v>
      </c>
      <c r="FW243">
        <v>0</v>
      </c>
      <c r="FX243">
        <v>0</v>
      </c>
      <c r="FY243">
        <v>0</v>
      </c>
      <c r="FZ243">
        <v>0</v>
      </c>
      <c r="GA243">
        <v>0</v>
      </c>
      <c r="GB243">
        <v>0</v>
      </c>
      <c r="GC243">
        <v>0</v>
      </c>
      <c r="GD243">
        <v>0</v>
      </c>
      <c r="GE243">
        <v>0</v>
      </c>
      <c r="GF243">
        <v>0</v>
      </c>
      <c r="GG243">
        <v>0</v>
      </c>
      <c r="GH243">
        <v>0</v>
      </c>
      <c r="GI243">
        <v>0</v>
      </c>
      <c r="GJ243">
        <v>0</v>
      </c>
      <c r="GK243">
        <v>0</v>
      </c>
      <c r="GL243">
        <v>0</v>
      </c>
      <c r="GM243">
        <v>0</v>
      </c>
      <c r="GN243">
        <v>0</v>
      </c>
      <c r="GO243">
        <v>0</v>
      </c>
      <c r="GP243">
        <v>0</v>
      </c>
      <c r="GQ243">
        <v>0</v>
      </c>
      <c r="GR243">
        <v>0</v>
      </c>
      <c r="GS243">
        <v>0</v>
      </c>
      <c r="GT243">
        <v>0</v>
      </c>
      <c r="GU243">
        <v>0</v>
      </c>
      <c r="GV243">
        <v>0</v>
      </c>
      <c r="GW243">
        <v>0</v>
      </c>
      <c r="GX243">
        <v>0</v>
      </c>
      <c r="GY243">
        <v>0</v>
      </c>
      <c r="GZ243">
        <v>0</v>
      </c>
      <c r="HA243">
        <v>0</v>
      </c>
      <c r="HB243">
        <v>0</v>
      </c>
      <c r="HC243">
        <v>0</v>
      </c>
      <c r="HD243">
        <v>0</v>
      </c>
      <c r="HE243">
        <v>0</v>
      </c>
      <c r="HF243">
        <v>0</v>
      </c>
      <c r="HG243">
        <v>0</v>
      </c>
      <c r="HH243">
        <v>0</v>
      </c>
      <c r="HI243">
        <v>0</v>
      </c>
      <c r="HJ243">
        <v>0</v>
      </c>
      <c r="HK243">
        <v>0</v>
      </c>
      <c r="HL243">
        <v>0</v>
      </c>
      <c r="HM243">
        <v>0</v>
      </c>
      <c r="HN243">
        <v>0</v>
      </c>
      <c r="HO243">
        <v>0</v>
      </c>
      <c r="HP243">
        <v>0</v>
      </c>
      <c r="HQ243">
        <v>0</v>
      </c>
      <c r="HR243">
        <v>0</v>
      </c>
      <c r="HS243">
        <v>0</v>
      </c>
      <c r="HT243">
        <v>0</v>
      </c>
      <c r="HU243">
        <v>0</v>
      </c>
      <c r="HV243">
        <v>0</v>
      </c>
      <c r="HW243">
        <v>0</v>
      </c>
      <c r="HX243">
        <v>0</v>
      </c>
      <c r="HY243">
        <v>0</v>
      </c>
      <c r="HZ243">
        <v>0</v>
      </c>
      <c r="IA243">
        <v>0</v>
      </c>
      <c r="IB243">
        <v>0</v>
      </c>
      <c r="IC243">
        <v>0</v>
      </c>
      <c r="ID243">
        <v>0</v>
      </c>
      <c r="IE243">
        <v>0</v>
      </c>
      <c r="IF243">
        <v>0</v>
      </c>
      <c r="IG243">
        <v>0</v>
      </c>
      <c r="IH243">
        <v>0</v>
      </c>
      <c r="II243">
        <v>0</v>
      </c>
      <c r="IJ243">
        <v>0</v>
      </c>
      <c r="IK243">
        <v>0</v>
      </c>
      <c r="IL243">
        <v>0</v>
      </c>
      <c r="IM243">
        <v>0</v>
      </c>
      <c r="IN243">
        <v>0</v>
      </c>
      <c r="IO243">
        <v>0</v>
      </c>
      <c r="IP243">
        <v>0</v>
      </c>
      <c r="IQ243">
        <v>0</v>
      </c>
      <c r="IR243">
        <v>0</v>
      </c>
      <c r="IS243">
        <v>0</v>
      </c>
      <c r="IT243">
        <v>0</v>
      </c>
      <c r="IU243">
        <v>0</v>
      </c>
      <c r="IV243">
        <v>0</v>
      </c>
      <c r="IW243">
        <v>0</v>
      </c>
      <c r="IX243">
        <v>0</v>
      </c>
      <c r="IY243">
        <v>0</v>
      </c>
      <c r="IZ243">
        <v>0</v>
      </c>
      <c r="JA243">
        <v>0</v>
      </c>
      <c r="JB243">
        <v>0</v>
      </c>
      <c r="JC243">
        <v>0</v>
      </c>
      <c r="JD243">
        <v>0</v>
      </c>
      <c r="JE243">
        <v>0</v>
      </c>
      <c r="JF243">
        <v>0</v>
      </c>
      <c r="JG243">
        <v>0</v>
      </c>
      <c r="JH243">
        <v>0</v>
      </c>
      <c r="JI243">
        <v>0</v>
      </c>
      <c r="JJ243">
        <v>0</v>
      </c>
      <c r="JK243">
        <v>0</v>
      </c>
      <c r="JL243">
        <v>0</v>
      </c>
      <c r="JM243">
        <v>0</v>
      </c>
      <c r="JN243">
        <v>0</v>
      </c>
      <c r="JO243">
        <v>0</v>
      </c>
      <c r="JP243">
        <v>0</v>
      </c>
      <c r="JQ243">
        <v>0</v>
      </c>
      <c r="JR243">
        <v>0</v>
      </c>
      <c r="JS243">
        <v>0</v>
      </c>
      <c r="JT243">
        <v>0</v>
      </c>
      <c r="JU243">
        <v>0</v>
      </c>
      <c r="JV243">
        <v>0</v>
      </c>
      <c r="JW243">
        <v>0</v>
      </c>
      <c r="JX243">
        <v>0</v>
      </c>
      <c r="JY243">
        <v>0</v>
      </c>
      <c r="JZ243">
        <v>0</v>
      </c>
      <c r="KA243">
        <v>0</v>
      </c>
      <c r="KB243">
        <v>0</v>
      </c>
      <c r="KC243">
        <v>0</v>
      </c>
      <c r="KD243">
        <v>0</v>
      </c>
      <c r="KE243">
        <v>0</v>
      </c>
      <c r="KF243">
        <v>0</v>
      </c>
      <c r="KG243">
        <v>0</v>
      </c>
      <c r="KH243">
        <v>0</v>
      </c>
      <c r="KI243">
        <v>0</v>
      </c>
      <c r="KJ243">
        <v>0</v>
      </c>
      <c r="KK243">
        <v>0</v>
      </c>
      <c r="KL243">
        <v>0</v>
      </c>
      <c r="KM243">
        <v>0</v>
      </c>
      <c r="KN243">
        <v>0</v>
      </c>
      <c r="KO243">
        <v>0</v>
      </c>
      <c r="KP243">
        <v>0</v>
      </c>
      <c r="KQ243">
        <v>0</v>
      </c>
      <c r="KR243">
        <v>0</v>
      </c>
      <c r="KS243">
        <v>0</v>
      </c>
      <c r="KT243">
        <v>0</v>
      </c>
      <c r="KU243">
        <v>0</v>
      </c>
      <c r="KV243">
        <v>0</v>
      </c>
      <c r="KW243">
        <v>0</v>
      </c>
      <c r="KX243">
        <v>0</v>
      </c>
      <c r="KY243">
        <v>0</v>
      </c>
      <c r="KZ243">
        <v>0</v>
      </c>
      <c r="LA243">
        <v>0</v>
      </c>
      <c r="LB243">
        <v>0</v>
      </c>
      <c r="LC243">
        <v>0</v>
      </c>
      <c r="LD243">
        <v>0</v>
      </c>
      <c r="LE243">
        <v>0</v>
      </c>
      <c r="LF243">
        <v>0</v>
      </c>
      <c r="LG243">
        <v>0</v>
      </c>
      <c r="LH243">
        <v>0</v>
      </c>
      <c r="LI243">
        <v>0</v>
      </c>
      <c r="LJ243">
        <v>0</v>
      </c>
      <c r="LK243">
        <v>0</v>
      </c>
      <c r="LL243">
        <v>0</v>
      </c>
      <c r="LM243">
        <v>0</v>
      </c>
      <c r="LN243">
        <v>0</v>
      </c>
      <c r="LO243">
        <v>0</v>
      </c>
      <c r="LP243">
        <v>0</v>
      </c>
      <c r="LQ243">
        <v>0</v>
      </c>
      <c r="LR243">
        <v>0</v>
      </c>
      <c r="LS243">
        <v>0</v>
      </c>
      <c r="LT243">
        <v>0</v>
      </c>
      <c r="LU243">
        <v>0</v>
      </c>
      <c r="LV243">
        <v>0</v>
      </c>
      <c r="LW243">
        <v>0</v>
      </c>
      <c r="LX243">
        <v>0</v>
      </c>
      <c r="LY243">
        <v>0</v>
      </c>
      <c r="LZ243">
        <v>0</v>
      </c>
      <c r="MA243">
        <v>0</v>
      </c>
      <c r="MB243">
        <v>0</v>
      </c>
      <c r="MC243">
        <v>0</v>
      </c>
      <c r="MD243">
        <v>0</v>
      </c>
      <c r="ME243">
        <v>0</v>
      </c>
      <c r="MF243">
        <v>0</v>
      </c>
      <c r="MG243">
        <v>0</v>
      </c>
      <c r="MH243">
        <v>0</v>
      </c>
      <c r="MI243">
        <v>0</v>
      </c>
      <c r="MJ243">
        <v>0</v>
      </c>
      <c r="MK243">
        <v>0</v>
      </c>
      <c r="ML243">
        <v>0</v>
      </c>
      <c r="MM243">
        <v>0</v>
      </c>
      <c r="MN243">
        <v>0</v>
      </c>
      <c r="MO243">
        <v>0</v>
      </c>
      <c r="MP243">
        <v>0</v>
      </c>
      <c r="MQ243">
        <v>0</v>
      </c>
      <c r="MR243">
        <v>0</v>
      </c>
      <c r="MS243">
        <v>0</v>
      </c>
      <c r="MT243">
        <v>0</v>
      </c>
      <c r="MU243">
        <v>0</v>
      </c>
      <c r="MV243">
        <v>0</v>
      </c>
      <c r="MW243">
        <v>0</v>
      </c>
      <c r="MX243">
        <v>0</v>
      </c>
      <c r="MY243">
        <v>0</v>
      </c>
      <c r="MZ243">
        <v>0</v>
      </c>
      <c r="NA243">
        <v>0</v>
      </c>
      <c r="NB243">
        <v>0</v>
      </c>
      <c r="NC243">
        <v>0</v>
      </c>
      <c r="ND243">
        <v>0</v>
      </c>
      <c r="NE243">
        <v>0</v>
      </c>
    </row>
    <row r="244" spans="41:369" x14ac:dyDescent="0.45">
      <c r="AO244" t="str">
        <v>D120</v>
      </c>
      <c r="AP244" t="str">
        <v>MUHAMMAD SINAN NP</v>
      </c>
      <c r="AQ244" t="str">
        <v>FANT</v>
      </c>
      <c r="AR244" t="str">
        <v>SUPER SENIOR</v>
      </c>
      <c r="AS244">
        <v>8</v>
      </c>
      <c r="AT244">
        <v>0</v>
      </c>
      <c r="AU244">
        <v>0</v>
      </c>
      <c r="AV244">
        <v>0</v>
      </c>
      <c r="AW244">
        <v>0</v>
      </c>
      <c r="AX244">
        <v>255</v>
      </c>
      <c r="AY244" s="5">
        <v>255</v>
      </c>
      <c r="AZ244">
        <v>0</v>
      </c>
      <c r="BA244">
        <v>0</v>
      </c>
      <c r="BB244">
        <v>0</v>
      </c>
      <c r="BC244">
        <v>0</v>
      </c>
      <c r="BD244">
        <v>0</v>
      </c>
      <c r="BE244">
        <v>0</v>
      </c>
      <c r="BF244">
        <v>0</v>
      </c>
      <c r="BG244">
        <v>0</v>
      </c>
      <c r="BH244">
        <v>0</v>
      </c>
      <c r="BI244" t="str">
        <v/>
      </c>
      <c r="BK244">
        <v>238</v>
      </c>
      <c r="BL244">
        <v>0</v>
      </c>
      <c r="BM244">
        <v>0</v>
      </c>
      <c r="BN244">
        <v>0</v>
      </c>
      <c r="BO244">
        <v>0</v>
      </c>
      <c r="BP244">
        <v>0</v>
      </c>
      <c r="BQ244">
        <v>0</v>
      </c>
      <c r="BR244">
        <v>0</v>
      </c>
      <c r="BS244">
        <v>0</v>
      </c>
      <c r="BT244">
        <v>0</v>
      </c>
      <c r="BU244">
        <v>0</v>
      </c>
      <c r="BV244">
        <v>0</v>
      </c>
      <c r="BW244">
        <v>0</v>
      </c>
      <c r="BX244">
        <v>0</v>
      </c>
      <c r="BY244">
        <v>0</v>
      </c>
      <c r="BZ244">
        <v>0</v>
      </c>
      <c r="CA244">
        <v>0</v>
      </c>
      <c r="CB244">
        <v>0</v>
      </c>
      <c r="CC244">
        <v>0</v>
      </c>
      <c r="CD244">
        <v>0</v>
      </c>
      <c r="CE244">
        <v>0</v>
      </c>
      <c r="CF244">
        <v>0</v>
      </c>
      <c r="CG244">
        <v>0</v>
      </c>
      <c r="CH244">
        <v>0</v>
      </c>
      <c r="CI244">
        <v>0</v>
      </c>
      <c r="CJ244">
        <v>0</v>
      </c>
      <c r="CK244">
        <v>0</v>
      </c>
      <c r="CL244">
        <v>0</v>
      </c>
      <c r="CM244">
        <v>0</v>
      </c>
      <c r="CN244">
        <v>0</v>
      </c>
      <c r="CO244">
        <v>0</v>
      </c>
      <c r="CP244">
        <v>0</v>
      </c>
      <c r="CQ244">
        <v>0</v>
      </c>
      <c r="CR244">
        <v>0</v>
      </c>
      <c r="CS244">
        <v>0</v>
      </c>
      <c r="CT244">
        <v>0</v>
      </c>
      <c r="CU244">
        <v>0</v>
      </c>
      <c r="CV244">
        <v>0</v>
      </c>
      <c r="CW244">
        <v>0</v>
      </c>
      <c r="CX244">
        <v>0</v>
      </c>
      <c r="CY244">
        <v>0</v>
      </c>
      <c r="CZ244">
        <v>0</v>
      </c>
      <c r="DA244">
        <v>0</v>
      </c>
      <c r="DB244">
        <v>0</v>
      </c>
      <c r="DC244">
        <v>0</v>
      </c>
      <c r="DD244">
        <v>0</v>
      </c>
      <c r="DE244">
        <v>0</v>
      </c>
      <c r="DF244">
        <v>0</v>
      </c>
      <c r="DG244">
        <v>0</v>
      </c>
      <c r="DH244">
        <v>0</v>
      </c>
      <c r="DI244">
        <v>0</v>
      </c>
      <c r="DJ244">
        <v>0</v>
      </c>
      <c r="DK244">
        <v>0</v>
      </c>
      <c r="DL244">
        <v>0</v>
      </c>
      <c r="DM244">
        <v>0</v>
      </c>
      <c r="DN244">
        <v>0</v>
      </c>
      <c r="DO244">
        <v>0</v>
      </c>
      <c r="DP244">
        <v>0</v>
      </c>
      <c r="DQ244">
        <v>0</v>
      </c>
      <c r="DR244">
        <v>0</v>
      </c>
      <c r="DS244">
        <v>0</v>
      </c>
      <c r="DT244">
        <v>0</v>
      </c>
      <c r="DU244">
        <v>0</v>
      </c>
      <c r="DV244">
        <v>0</v>
      </c>
      <c r="DW244">
        <v>0</v>
      </c>
      <c r="DX244">
        <v>0</v>
      </c>
      <c r="DY244">
        <v>0</v>
      </c>
      <c r="DZ244">
        <v>0</v>
      </c>
      <c r="EA244">
        <v>0</v>
      </c>
      <c r="EB244">
        <v>0</v>
      </c>
      <c r="EC244">
        <v>0</v>
      </c>
      <c r="ED244">
        <v>0</v>
      </c>
      <c r="EE244">
        <v>0</v>
      </c>
      <c r="EF244">
        <v>0</v>
      </c>
      <c r="EG244">
        <v>0</v>
      </c>
      <c r="EH244">
        <v>0</v>
      </c>
      <c r="EI244">
        <v>0</v>
      </c>
      <c r="EJ244">
        <v>0</v>
      </c>
      <c r="EK244">
        <v>0</v>
      </c>
      <c r="EL244">
        <v>0</v>
      </c>
      <c r="EM244">
        <v>0</v>
      </c>
      <c r="EN244">
        <v>0</v>
      </c>
      <c r="EO244">
        <v>0</v>
      </c>
      <c r="EP244">
        <v>0</v>
      </c>
      <c r="EQ244">
        <v>0</v>
      </c>
      <c r="ER244">
        <v>0</v>
      </c>
      <c r="ES244">
        <v>0</v>
      </c>
      <c r="ET244">
        <v>0</v>
      </c>
      <c r="EU244">
        <v>0</v>
      </c>
      <c r="EV244">
        <v>0</v>
      </c>
      <c r="EW244">
        <v>0</v>
      </c>
      <c r="EX244">
        <v>0</v>
      </c>
      <c r="EY244">
        <v>0</v>
      </c>
      <c r="EZ244">
        <v>0</v>
      </c>
      <c r="FA244">
        <v>0</v>
      </c>
      <c r="FB244">
        <v>0</v>
      </c>
      <c r="FC244">
        <v>0</v>
      </c>
      <c r="FD244">
        <v>0</v>
      </c>
      <c r="FE244">
        <v>0</v>
      </c>
      <c r="FF244">
        <v>0</v>
      </c>
      <c r="FG244">
        <v>0</v>
      </c>
      <c r="FH244">
        <v>0</v>
      </c>
      <c r="FI244">
        <v>0</v>
      </c>
      <c r="FJ244">
        <v>0</v>
      </c>
      <c r="FK244">
        <v>0</v>
      </c>
      <c r="FL244">
        <v>0</v>
      </c>
      <c r="FM244">
        <v>0</v>
      </c>
      <c r="FN244">
        <v>0</v>
      </c>
      <c r="FO244">
        <v>0</v>
      </c>
      <c r="FP244">
        <v>0</v>
      </c>
      <c r="FQ244">
        <v>0</v>
      </c>
      <c r="FR244">
        <v>0</v>
      </c>
      <c r="FS244">
        <v>0</v>
      </c>
      <c r="FT244">
        <v>0</v>
      </c>
      <c r="FU244">
        <v>0</v>
      </c>
      <c r="FV244">
        <v>0</v>
      </c>
      <c r="FW244">
        <v>0</v>
      </c>
      <c r="FX244">
        <v>0</v>
      </c>
      <c r="FY244">
        <v>0</v>
      </c>
      <c r="FZ244">
        <v>0</v>
      </c>
      <c r="GA244">
        <v>0</v>
      </c>
      <c r="GB244">
        <v>0</v>
      </c>
      <c r="GC244">
        <v>0</v>
      </c>
      <c r="GD244">
        <v>0</v>
      </c>
      <c r="GE244">
        <v>0</v>
      </c>
      <c r="GF244">
        <v>0</v>
      </c>
      <c r="GG244">
        <v>0</v>
      </c>
      <c r="GH244">
        <v>0</v>
      </c>
      <c r="GI244">
        <v>0</v>
      </c>
      <c r="GJ244">
        <v>0</v>
      </c>
      <c r="GK244">
        <v>0</v>
      </c>
      <c r="GL244">
        <v>0</v>
      </c>
      <c r="GM244">
        <v>0</v>
      </c>
      <c r="GN244">
        <v>0</v>
      </c>
      <c r="GO244">
        <v>0</v>
      </c>
      <c r="GP244">
        <v>0</v>
      </c>
      <c r="GQ244">
        <v>0</v>
      </c>
      <c r="GR244">
        <v>0</v>
      </c>
      <c r="GS244">
        <v>0</v>
      </c>
      <c r="GT244">
        <v>0</v>
      </c>
      <c r="GU244">
        <v>0</v>
      </c>
      <c r="GV244">
        <v>0</v>
      </c>
      <c r="GW244">
        <v>0</v>
      </c>
      <c r="GX244">
        <v>0</v>
      </c>
      <c r="GY244">
        <v>0</v>
      </c>
      <c r="GZ244">
        <v>0</v>
      </c>
      <c r="HA244">
        <v>0</v>
      </c>
      <c r="HB244">
        <v>0</v>
      </c>
      <c r="HC244">
        <v>0</v>
      </c>
      <c r="HD244">
        <v>0</v>
      </c>
      <c r="HE244">
        <v>0</v>
      </c>
      <c r="HF244">
        <v>0</v>
      </c>
      <c r="HG244">
        <v>0</v>
      </c>
      <c r="HH244">
        <v>0</v>
      </c>
      <c r="HI244">
        <v>0</v>
      </c>
      <c r="HJ244">
        <v>0</v>
      </c>
      <c r="HK244">
        <v>0</v>
      </c>
      <c r="HL244">
        <v>0</v>
      </c>
      <c r="HM244">
        <v>0</v>
      </c>
      <c r="HN244">
        <v>0</v>
      </c>
      <c r="HO244">
        <v>0</v>
      </c>
      <c r="HP244">
        <v>0</v>
      </c>
      <c r="HQ244">
        <v>0</v>
      </c>
      <c r="HR244">
        <v>0</v>
      </c>
      <c r="HS244">
        <v>0</v>
      </c>
      <c r="HT244">
        <v>0</v>
      </c>
      <c r="HU244">
        <v>0</v>
      </c>
      <c r="HV244">
        <v>0</v>
      </c>
      <c r="HW244">
        <v>0</v>
      </c>
      <c r="HX244">
        <v>0</v>
      </c>
      <c r="HY244">
        <v>0</v>
      </c>
      <c r="HZ244">
        <v>0</v>
      </c>
      <c r="IA244">
        <v>0</v>
      </c>
      <c r="IB244">
        <v>0</v>
      </c>
      <c r="IC244">
        <v>0</v>
      </c>
      <c r="ID244">
        <v>0</v>
      </c>
      <c r="IE244">
        <v>0</v>
      </c>
      <c r="IF244">
        <v>0</v>
      </c>
      <c r="IG244">
        <v>0</v>
      </c>
      <c r="IH244">
        <v>0</v>
      </c>
      <c r="II244">
        <v>0</v>
      </c>
      <c r="IJ244">
        <v>0</v>
      </c>
      <c r="IK244">
        <v>0</v>
      </c>
      <c r="IL244">
        <v>0</v>
      </c>
      <c r="IM244">
        <v>0</v>
      </c>
      <c r="IN244">
        <v>0</v>
      </c>
      <c r="IO244">
        <v>0</v>
      </c>
      <c r="IP244">
        <v>0</v>
      </c>
      <c r="IQ244">
        <v>0</v>
      </c>
      <c r="IR244">
        <v>0</v>
      </c>
      <c r="IS244">
        <v>0</v>
      </c>
      <c r="IT244">
        <v>0</v>
      </c>
      <c r="IU244">
        <v>0</v>
      </c>
      <c r="IV244">
        <v>0</v>
      </c>
      <c r="IW244">
        <v>0</v>
      </c>
      <c r="IX244">
        <v>0</v>
      </c>
      <c r="IY244">
        <v>0</v>
      </c>
      <c r="IZ244">
        <v>0</v>
      </c>
      <c r="JA244">
        <v>0</v>
      </c>
      <c r="JB244">
        <v>0</v>
      </c>
      <c r="JC244">
        <v>0</v>
      </c>
      <c r="JD244">
        <v>0</v>
      </c>
      <c r="JE244">
        <v>0</v>
      </c>
      <c r="JF244">
        <v>0</v>
      </c>
      <c r="JG244">
        <v>0</v>
      </c>
      <c r="JH244">
        <v>0</v>
      </c>
      <c r="JI244">
        <v>0</v>
      </c>
      <c r="JJ244">
        <v>0</v>
      </c>
      <c r="JK244">
        <v>0</v>
      </c>
      <c r="JL244">
        <v>0</v>
      </c>
      <c r="JM244">
        <v>0</v>
      </c>
      <c r="JN244">
        <v>0</v>
      </c>
      <c r="JO244">
        <v>0</v>
      </c>
      <c r="JP244">
        <v>0</v>
      </c>
      <c r="JQ244">
        <v>0</v>
      </c>
      <c r="JR244">
        <v>0</v>
      </c>
      <c r="JS244">
        <v>0</v>
      </c>
      <c r="JT244">
        <v>0</v>
      </c>
      <c r="JU244">
        <v>0</v>
      </c>
      <c r="JV244">
        <v>0</v>
      </c>
      <c r="JW244">
        <v>0</v>
      </c>
      <c r="JX244">
        <v>0</v>
      </c>
      <c r="JY244">
        <v>0</v>
      </c>
      <c r="JZ244">
        <v>0</v>
      </c>
      <c r="KA244">
        <v>0</v>
      </c>
      <c r="KB244">
        <v>0</v>
      </c>
      <c r="KC244">
        <v>0</v>
      </c>
      <c r="KD244">
        <v>0</v>
      </c>
      <c r="KE244">
        <v>0</v>
      </c>
      <c r="KF244">
        <v>0</v>
      </c>
      <c r="KG244">
        <v>0</v>
      </c>
      <c r="KH244">
        <v>0</v>
      </c>
      <c r="KI244">
        <v>0</v>
      </c>
      <c r="KJ244">
        <v>0</v>
      </c>
      <c r="KK244">
        <v>0</v>
      </c>
      <c r="KL244">
        <v>0</v>
      </c>
      <c r="KM244">
        <v>0</v>
      </c>
      <c r="KN244">
        <v>0</v>
      </c>
      <c r="KO244">
        <v>0</v>
      </c>
      <c r="KP244">
        <v>0</v>
      </c>
      <c r="KQ244">
        <v>0</v>
      </c>
      <c r="KR244">
        <v>0</v>
      </c>
      <c r="KS244">
        <v>0</v>
      </c>
      <c r="KT244">
        <v>0</v>
      </c>
      <c r="KU244">
        <v>0</v>
      </c>
      <c r="KV244">
        <v>0</v>
      </c>
      <c r="KW244">
        <v>0</v>
      </c>
      <c r="KX244">
        <v>0</v>
      </c>
      <c r="KY244">
        <v>0</v>
      </c>
      <c r="KZ244">
        <v>0</v>
      </c>
      <c r="LA244">
        <v>0</v>
      </c>
      <c r="LB244">
        <v>0</v>
      </c>
      <c r="LC244">
        <v>0</v>
      </c>
      <c r="LD244">
        <v>0</v>
      </c>
      <c r="LE244">
        <v>0</v>
      </c>
      <c r="LF244">
        <v>0</v>
      </c>
      <c r="LG244">
        <v>0</v>
      </c>
      <c r="LH244">
        <v>0</v>
      </c>
      <c r="LI244">
        <v>0</v>
      </c>
      <c r="LJ244">
        <v>0</v>
      </c>
      <c r="LK244">
        <v>0</v>
      </c>
      <c r="LL244">
        <v>0</v>
      </c>
      <c r="LM244">
        <v>0</v>
      </c>
      <c r="LN244">
        <v>0</v>
      </c>
      <c r="LO244">
        <v>0</v>
      </c>
      <c r="LP244">
        <v>0</v>
      </c>
      <c r="LQ244">
        <v>0</v>
      </c>
      <c r="LR244">
        <v>0</v>
      </c>
      <c r="LS244">
        <v>0</v>
      </c>
      <c r="LT244">
        <v>0</v>
      </c>
      <c r="LU244">
        <v>0</v>
      </c>
      <c r="LV244">
        <v>0</v>
      </c>
      <c r="LW244">
        <v>0</v>
      </c>
      <c r="LX244">
        <v>0</v>
      </c>
      <c r="LY244">
        <v>0</v>
      </c>
      <c r="LZ244">
        <v>0</v>
      </c>
      <c r="MA244">
        <v>0</v>
      </c>
      <c r="MB244">
        <v>0</v>
      </c>
      <c r="MC244">
        <v>0</v>
      </c>
      <c r="MD244">
        <v>0</v>
      </c>
      <c r="ME244">
        <v>0</v>
      </c>
      <c r="MF244">
        <v>0</v>
      </c>
      <c r="MG244">
        <v>0</v>
      </c>
      <c r="MH244">
        <v>0</v>
      </c>
      <c r="MI244">
        <v>0</v>
      </c>
      <c r="MJ244">
        <v>0</v>
      </c>
      <c r="MK244">
        <v>0</v>
      </c>
      <c r="ML244">
        <v>0</v>
      </c>
      <c r="MM244">
        <v>0</v>
      </c>
      <c r="MN244">
        <v>0</v>
      </c>
      <c r="MO244">
        <v>0</v>
      </c>
      <c r="MP244">
        <v>0</v>
      </c>
      <c r="MQ244">
        <v>0</v>
      </c>
      <c r="MR244">
        <v>0</v>
      </c>
      <c r="MS244">
        <v>0</v>
      </c>
      <c r="MT244">
        <v>0</v>
      </c>
      <c r="MU244">
        <v>0</v>
      </c>
      <c r="MV244">
        <v>0</v>
      </c>
      <c r="MW244">
        <v>0</v>
      </c>
      <c r="MX244">
        <v>0</v>
      </c>
      <c r="MY244">
        <v>0</v>
      </c>
      <c r="MZ244">
        <v>0</v>
      </c>
      <c r="NA244">
        <v>0</v>
      </c>
      <c r="NB244">
        <v>0</v>
      </c>
      <c r="NC244">
        <v>0</v>
      </c>
      <c r="ND244">
        <v>0</v>
      </c>
      <c r="NE244">
        <v>0</v>
      </c>
    </row>
    <row r="245" spans="41:369" x14ac:dyDescent="0.45">
      <c r="AO245" t="str">
        <v>D121</v>
      </c>
      <c r="AP245" t="str">
        <v>ABDUL RAHMAN MUNZIR</v>
      </c>
      <c r="AQ245" t="str">
        <v>DAHF</v>
      </c>
      <c r="AR245" t="str">
        <v>SUPER SENIOR</v>
      </c>
      <c r="AS245">
        <v>8</v>
      </c>
      <c r="AT245">
        <v>0</v>
      </c>
      <c r="AU245">
        <v>0</v>
      </c>
      <c r="AV245">
        <v>0</v>
      </c>
      <c r="AW245">
        <v>0</v>
      </c>
      <c r="AX245">
        <v>255</v>
      </c>
      <c r="AY245" s="5">
        <v>255</v>
      </c>
      <c r="AZ245">
        <v>0</v>
      </c>
      <c r="BA245">
        <v>0</v>
      </c>
      <c r="BB245">
        <v>0</v>
      </c>
      <c r="BC245">
        <v>0</v>
      </c>
      <c r="BD245">
        <v>0</v>
      </c>
      <c r="BE245">
        <v>0</v>
      </c>
      <c r="BF245">
        <v>0</v>
      </c>
      <c r="BG245">
        <v>0</v>
      </c>
      <c r="BH245">
        <v>0</v>
      </c>
      <c r="BI245" t="str">
        <v/>
      </c>
      <c r="BK245">
        <v>239</v>
      </c>
      <c r="BL245">
        <v>0</v>
      </c>
      <c r="BM245">
        <v>0</v>
      </c>
      <c r="BN245">
        <v>0</v>
      </c>
      <c r="BO245">
        <v>0</v>
      </c>
      <c r="BP245">
        <v>0</v>
      </c>
      <c r="BQ245">
        <v>0</v>
      </c>
      <c r="BR245">
        <v>0</v>
      </c>
      <c r="BS245">
        <v>0</v>
      </c>
      <c r="BT245">
        <v>0</v>
      </c>
      <c r="BU245">
        <v>0</v>
      </c>
      <c r="BV245">
        <v>0</v>
      </c>
      <c r="BW245">
        <v>0</v>
      </c>
      <c r="BX245">
        <v>0</v>
      </c>
      <c r="BY245">
        <v>0</v>
      </c>
      <c r="BZ245">
        <v>0</v>
      </c>
      <c r="CA245">
        <v>0</v>
      </c>
      <c r="CB245">
        <v>0</v>
      </c>
      <c r="CC245">
        <v>0</v>
      </c>
      <c r="CD245">
        <v>0</v>
      </c>
      <c r="CE245">
        <v>0</v>
      </c>
      <c r="CF245">
        <v>0</v>
      </c>
      <c r="CG245">
        <v>0</v>
      </c>
      <c r="CH245">
        <v>0</v>
      </c>
      <c r="CI245">
        <v>0</v>
      </c>
      <c r="CJ245">
        <v>0</v>
      </c>
      <c r="CK245">
        <v>0</v>
      </c>
      <c r="CL245">
        <v>0</v>
      </c>
      <c r="CM245">
        <v>0</v>
      </c>
      <c r="CN245">
        <v>0</v>
      </c>
      <c r="CO245">
        <v>0</v>
      </c>
      <c r="CP245">
        <v>0</v>
      </c>
      <c r="CQ245">
        <v>0</v>
      </c>
      <c r="CR245">
        <v>0</v>
      </c>
      <c r="CS245">
        <v>0</v>
      </c>
      <c r="CT245">
        <v>0</v>
      </c>
      <c r="CU245">
        <v>0</v>
      </c>
      <c r="CV245">
        <v>0</v>
      </c>
      <c r="CW245">
        <v>0</v>
      </c>
      <c r="CX245">
        <v>0</v>
      </c>
      <c r="CY245">
        <v>0</v>
      </c>
      <c r="CZ245">
        <v>0</v>
      </c>
      <c r="DA245">
        <v>0</v>
      </c>
      <c r="DB245">
        <v>0</v>
      </c>
      <c r="DC245">
        <v>0</v>
      </c>
      <c r="DD245">
        <v>0</v>
      </c>
      <c r="DE245">
        <v>0</v>
      </c>
      <c r="DF245">
        <v>0</v>
      </c>
      <c r="DG245">
        <v>0</v>
      </c>
      <c r="DH245">
        <v>0</v>
      </c>
      <c r="DI245">
        <v>0</v>
      </c>
      <c r="DJ245">
        <v>0</v>
      </c>
      <c r="DK245">
        <v>0</v>
      </c>
      <c r="DL245">
        <v>0</v>
      </c>
      <c r="DM245">
        <v>0</v>
      </c>
      <c r="DN245">
        <v>0</v>
      </c>
      <c r="DO245">
        <v>0</v>
      </c>
      <c r="DP245">
        <v>0</v>
      </c>
      <c r="DQ245">
        <v>0</v>
      </c>
      <c r="DR245">
        <v>0</v>
      </c>
      <c r="DS245">
        <v>0</v>
      </c>
      <c r="DT245">
        <v>0</v>
      </c>
      <c r="DU245">
        <v>0</v>
      </c>
      <c r="DV245">
        <v>0</v>
      </c>
      <c r="DW245">
        <v>0</v>
      </c>
      <c r="DX245">
        <v>0</v>
      </c>
      <c r="DY245">
        <v>0</v>
      </c>
      <c r="DZ245">
        <v>0</v>
      </c>
      <c r="EA245">
        <v>0</v>
      </c>
      <c r="EB245">
        <v>0</v>
      </c>
      <c r="EC245">
        <v>0</v>
      </c>
      <c r="ED245">
        <v>0</v>
      </c>
      <c r="EE245">
        <v>0</v>
      </c>
      <c r="EF245">
        <v>0</v>
      </c>
      <c r="EG245">
        <v>0</v>
      </c>
      <c r="EH245">
        <v>0</v>
      </c>
      <c r="EI245">
        <v>0</v>
      </c>
      <c r="EJ245">
        <v>0</v>
      </c>
      <c r="EK245">
        <v>0</v>
      </c>
      <c r="EL245">
        <v>0</v>
      </c>
      <c r="EM245">
        <v>0</v>
      </c>
      <c r="EN245">
        <v>0</v>
      </c>
      <c r="EO245">
        <v>0</v>
      </c>
      <c r="EP245">
        <v>0</v>
      </c>
      <c r="EQ245">
        <v>0</v>
      </c>
      <c r="ER245">
        <v>0</v>
      </c>
      <c r="ES245">
        <v>0</v>
      </c>
      <c r="ET245">
        <v>0</v>
      </c>
      <c r="EU245">
        <v>0</v>
      </c>
      <c r="EV245">
        <v>0</v>
      </c>
      <c r="EW245">
        <v>0</v>
      </c>
      <c r="EX245">
        <v>0</v>
      </c>
      <c r="EY245">
        <v>0</v>
      </c>
      <c r="EZ245">
        <v>0</v>
      </c>
      <c r="FA245">
        <v>0</v>
      </c>
      <c r="FB245">
        <v>0</v>
      </c>
      <c r="FC245">
        <v>0</v>
      </c>
      <c r="FD245">
        <v>0</v>
      </c>
      <c r="FE245">
        <v>0</v>
      </c>
      <c r="FF245">
        <v>0</v>
      </c>
      <c r="FG245">
        <v>0</v>
      </c>
      <c r="FH245">
        <v>0</v>
      </c>
      <c r="FI245">
        <v>0</v>
      </c>
      <c r="FJ245">
        <v>0</v>
      </c>
      <c r="FK245">
        <v>0</v>
      </c>
      <c r="FL245">
        <v>0</v>
      </c>
      <c r="FM245">
        <v>0</v>
      </c>
      <c r="FN245">
        <v>0</v>
      </c>
      <c r="FO245">
        <v>0</v>
      </c>
      <c r="FP245">
        <v>0</v>
      </c>
      <c r="FQ245">
        <v>0</v>
      </c>
      <c r="FR245">
        <v>0</v>
      </c>
      <c r="FS245">
        <v>0</v>
      </c>
      <c r="FT245">
        <v>0</v>
      </c>
      <c r="FU245">
        <v>0</v>
      </c>
      <c r="FV245">
        <v>0</v>
      </c>
      <c r="FW245">
        <v>0</v>
      </c>
      <c r="FX245">
        <v>0</v>
      </c>
      <c r="FY245">
        <v>0</v>
      </c>
      <c r="FZ245">
        <v>0</v>
      </c>
      <c r="GA245">
        <v>0</v>
      </c>
      <c r="GB245">
        <v>0</v>
      </c>
      <c r="GC245">
        <v>0</v>
      </c>
      <c r="GD245">
        <v>0</v>
      </c>
      <c r="GE245">
        <v>0</v>
      </c>
      <c r="GF245">
        <v>0</v>
      </c>
      <c r="GG245">
        <v>0</v>
      </c>
      <c r="GH245">
        <v>0</v>
      </c>
      <c r="GI245">
        <v>0</v>
      </c>
      <c r="GJ245">
        <v>0</v>
      </c>
      <c r="GK245">
        <v>0</v>
      </c>
      <c r="GL245">
        <v>0</v>
      </c>
      <c r="GM245">
        <v>0</v>
      </c>
      <c r="GN245">
        <v>0</v>
      </c>
      <c r="GO245">
        <v>0</v>
      </c>
      <c r="GP245">
        <v>0</v>
      </c>
      <c r="GQ245">
        <v>0</v>
      </c>
      <c r="GR245">
        <v>0</v>
      </c>
      <c r="GS245">
        <v>0</v>
      </c>
      <c r="GT245">
        <v>0</v>
      </c>
      <c r="GU245">
        <v>0</v>
      </c>
      <c r="GV245">
        <v>0</v>
      </c>
      <c r="GW245">
        <v>0</v>
      </c>
      <c r="GX245">
        <v>0</v>
      </c>
      <c r="GY245">
        <v>0</v>
      </c>
      <c r="GZ245">
        <v>0</v>
      </c>
      <c r="HA245">
        <v>0</v>
      </c>
      <c r="HB245">
        <v>0</v>
      </c>
      <c r="HC245">
        <v>0</v>
      </c>
      <c r="HD245">
        <v>0</v>
      </c>
      <c r="HE245">
        <v>0</v>
      </c>
      <c r="HF245">
        <v>0</v>
      </c>
      <c r="HG245">
        <v>0</v>
      </c>
      <c r="HH245">
        <v>0</v>
      </c>
      <c r="HI245">
        <v>0</v>
      </c>
      <c r="HJ245">
        <v>0</v>
      </c>
      <c r="HK245">
        <v>0</v>
      </c>
      <c r="HL245">
        <v>0</v>
      </c>
      <c r="HM245">
        <v>0</v>
      </c>
      <c r="HN245">
        <v>0</v>
      </c>
      <c r="HO245">
        <v>0</v>
      </c>
      <c r="HP245">
        <v>0</v>
      </c>
      <c r="HQ245">
        <v>0</v>
      </c>
      <c r="HR245">
        <v>0</v>
      </c>
      <c r="HS245">
        <v>0</v>
      </c>
      <c r="HT245">
        <v>0</v>
      </c>
      <c r="HU245">
        <v>0</v>
      </c>
      <c r="HV245">
        <v>0</v>
      </c>
      <c r="HW245">
        <v>0</v>
      </c>
      <c r="HX245">
        <v>0</v>
      </c>
      <c r="HY245">
        <v>0</v>
      </c>
      <c r="HZ245">
        <v>0</v>
      </c>
      <c r="IA245">
        <v>0</v>
      </c>
      <c r="IB245">
        <v>0</v>
      </c>
      <c r="IC245">
        <v>0</v>
      </c>
      <c r="ID245">
        <v>0</v>
      </c>
      <c r="IE245">
        <v>0</v>
      </c>
      <c r="IF245">
        <v>0</v>
      </c>
      <c r="IG245">
        <v>0</v>
      </c>
      <c r="IH245">
        <v>0</v>
      </c>
      <c r="II245">
        <v>0</v>
      </c>
      <c r="IJ245">
        <v>0</v>
      </c>
      <c r="IK245">
        <v>0</v>
      </c>
      <c r="IL245">
        <v>0</v>
      </c>
      <c r="IM245">
        <v>0</v>
      </c>
      <c r="IN245">
        <v>0</v>
      </c>
      <c r="IO245">
        <v>0</v>
      </c>
      <c r="IP245">
        <v>0</v>
      </c>
      <c r="IQ245">
        <v>0</v>
      </c>
      <c r="IR245">
        <v>0</v>
      </c>
      <c r="IS245">
        <v>0</v>
      </c>
      <c r="IT245">
        <v>0</v>
      </c>
      <c r="IU245">
        <v>0</v>
      </c>
      <c r="IV245">
        <v>0</v>
      </c>
      <c r="IW245">
        <v>0</v>
      </c>
      <c r="IX245">
        <v>0</v>
      </c>
      <c r="IY245">
        <v>0</v>
      </c>
      <c r="IZ245">
        <v>0</v>
      </c>
      <c r="JA245">
        <v>0</v>
      </c>
      <c r="JB245">
        <v>0</v>
      </c>
      <c r="JC245">
        <v>0</v>
      </c>
      <c r="JD245">
        <v>0</v>
      </c>
      <c r="JE245">
        <v>0</v>
      </c>
      <c r="JF245">
        <v>0</v>
      </c>
      <c r="JG245">
        <v>0</v>
      </c>
      <c r="JH245">
        <v>0</v>
      </c>
      <c r="JI245">
        <v>0</v>
      </c>
      <c r="JJ245">
        <v>0</v>
      </c>
      <c r="JK245">
        <v>0</v>
      </c>
      <c r="JL245">
        <v>0</v>
      </c>
      <c r="JM245">
        <v>0</v>
      </c>
      <c r="JN245">
        <v>0</v>
      </c>
      <c r="JO245">
        <v>0</v>
      </c>
      <c r="JP245">
        <v>0</v>
      </c>
      <c r="JQ245">
        <v>0</v>
      </c>
      <c r="JR245">
        <v>0</v>
      </c>
      <c r="JS245">
        <v>0</v>
      </c>
      <c r="JT245">
        <v>0</v>
      </c>
      <c r="JU245">
        <v>0</v>
      </c>
      <c r="JV245">
        <v>0</v>
      </c>
      <c r="JW245">
        <v>0</v>
      </c>
      <c r="JX245">
        <v>0</v>
      </c>
      <c r="JY245">
        <v>0</v>
      </c>
      <c r="JZ245">
        <v>0</v>
      </c>
      <c r="KA245">
        <v>0</v>
      </c>
      <c r="KB245">
        <v>0</v>
      </c>
      <c r="KC245">
        <v>0</v>
      </c>
      <c r="KD245">
        <v>0</v>
      </c>
      <c r="KE245">
        <v>0</v>
      </c>
      <c r="KF245">
        <v>0</v>
      </c>
      <c r="KG245">
        <v>0</v>
      </c>
      <c r="KH245">
        <v>0</v>
      </c>
      <c r="KI245">
        <v>0</v>
      </c>
      <c r="KJ245">
        <v>0</v>
      </c>
      <c r="KK245">
        <v>0</v>
      </c>
      <c r="KL245">
        <v>0</v>
      </c>
      <c r="KM245">
        <v>0</v>
      </c>
      <c r="KN245">
        <v>0</v>
      </c>
      <c r="KO245">
        <v>0</v>
      </c>
      <c r="KP245">
        <v>0</v>
      </c>
      <c r="KQ245">
        <v>0</v>
      </c>
      <c r="KR245">
        <v>0</v>
      </c>
      <c r="KS245">
        <v>0</v>
      </c>
      <c r="KT245">
        <v>0</v>
      </c>
      <c r="KU245">
        <v>0</v>
      </c>
      <c r="KV245">
        <v>0</v>
      </c>
      <c r="KW245">
        <v>0</v>
      </c>
      <c r="KX245">
        <v>0</v>
      </c>
      <c r="KY245">
        <v>0</v>
      </c>
      <c r="KZ245">
        <v>0</v>
      </c>
      <c r="LA245">
        <v>0</v>
      </c>
      <c r="LB245">
        <v>0</v>
      </c>
      <c r="LC245">
        <v>0</v>
      </c>
      <c r="LD245">
        <v>0</v>
      </c>
      <c r="LE245">
        <v>0</v>
      </c>
      <c r="LF245">
        <v>0</v>
      </c>
      <c r="LG245">
        <v>0</v>
      </c>
      <c r="LH245">
        <v>0</v>
      </c>
      <c r="LI245">
        <v>0</v>
      </c>
      <c r="LJ245">
        <v>0</v>
      </c>
      <c r="LK245">
        <v>0</v>
      </c>
      <c r="LL245">
        <v>0</v>
      </c>
      <c r="LM245">
        <v>0</v>
      </c>
      <c r="LN245">
        <v>0</v>
      </c>
      <c r="LO245">
        <v>0</v>
      </c>
      <c r="LP245">
        <v>0</v>
      </c>
      <c r="LQ245">
        <v>0</v>
      </c>
      <c r="LR245">
        <v>0</v>
      </c>
      <c r="LS245">
        <v>0</v>
      </c>
      <c r="LT245">
        <v>0</v>
      </c>
      <c r="LU245">
        <v>0</v>
      </c>
      <c r="LV245">
        <v>0</v>
      </c>
      <c r="LW245">
        <v>0</v>
      </c>
      <c r="LX245">
        <v>0</v>
      </c>
      <c r="LY245">
        <v>0</v>
      </c>
      <c r="LZ245">
        <v>0</v>
      </c>
      <c r="MA245">
        <v>0</v>
      </c>
      <c r="MB245">
        <v>0</v>
      </c>
      <c r="MC245">
        <v>0</v>
      </c>
      <c r="MD245">
        <v>0</v>
      </c>
      <c r="ME245">
        <v>0</v>
      </c>
      <c r="MF245">
        <v>0</v>
      </c>
      <c r="MG245">
        <v>0</v>
      </c>
      <c r="MH245">
        <v>0</v>
      </c>
      <c r="MI245">
        <v>0</v>
      </c>
      <c r="MJ245">
        <v>0</v>
      </c>
      <c r="MK245">
        <v>0</v>
      </c>
      <c r="ML245">
        <v>0</v>
      </c>
      <c r="MM245">
        <v>0</v>
      </c>
      <c r="MN245">
        <v>0</v>
      </c>
      <c r="MO245">
        <v>0</v>
      </c>
      <c r="MP245">
        <v>0</v>
      </c>
      <c r="MQ245">
        <v>0</v>
      </c>
      <c r="MR245">
        <v>0</v>
      </c>
      <c r="MS245">
        <v>0</v>
      </c>
      <c r="MT245">
        <v>0</v>
      </c>
      <c r="MU245">
        <v>0</v>
      </c>
      <c r="MV245">
        <v>0</v>
      </c>
      <c r="MW245">
        <v>0</v>
      </c>
      <c r="MX245">
        <v>0</v>
      </c>
      <c r="MY245">
        <v>0</v>
      </c>
      <c r="MZ245">
        <v>0</v>
      </c>
      <c r="NA245">
        <v>0</v>
      </c>
      <c r="NB245">
        <v>0</v>
      </c>
      <c r="NC245">
        <v>0</v>
      </c>
      <c r="ND245">
        <v>0</v>
      </c>
      <c r="NE245">
        <v>0</v>
      </c>
    </row>
    <row r="246" spans="41:369" x14ac:dyDescent="0.45">
      <c r="AO246" t="str">
        <v>D122</v>
      </c>
      <c r="AP246" t="str">
        <v>MUHAMMED MUZAMMIL P.M</v>
      </c>
      <c r="AQ246">
        <v>0</v>
      </c>
      <c r="AR246" t="str">
        <v>SUPER SENIOR</v>
      </c>
      <c r="AS246">
        <v>8</v>
      </c>
      <c r="AT246">
        <v>0</v>
      </c>
      <c r="AU246">
        <v>0</v>
      </c>
      <c r="AV246">
        <v>0</v>
      </c>
      <c r="AW246">
        <v>0</v>
      </c>
      <c r="AX246">
        <v>255</v>
      </c>
      <c r="AY246" s="5">
        <v>255</v>
      </c>
      <c r="AZ246">
        <v>0</v>
      </c>
      <c r="BA246">
        <v>0</v>
      </c>
      <c r="BB246">
        <v>0</v>
      </c>
      <c r="BC246">
        <v>0</v>
      </c>
      <c r="BD246">
        <v>0</v>
      </c>
      <c r="BE246">
        <v>0</v>
      </c>
      <c r="BF246">
        <v>0</v>
      </c>
      <c r="BG246">
        <v>0</v>
      </c>
      <c r="BH246">
        <v>0</v>
      </c>
      <c r="BI246" t="str">
        <v/>
      </c>
      <c r="BK246">
        <v>240</v>
      </c>
      <c r="BL246">
        <v>0</v>
      </c>
      <c r="BM246">
        <v>0</v>
      </c>
      <c r="BN246">
        <v>0</v>
      </c>
      <c r="BO246">
        <v>0</v>
      </c>
      <c r="BP246">
        <v>0</v>
      </c>
      <c r="BQ246">
        <v>0</v>
      </c>
      <c r="BR246">
        <v>0</v>
      </c>
      <c r="BS246">
        <v>0</v>
      </c>
      <c r="BT246">
        <v>0</v>
      </c>
      <c r="BU246">
        <v>0</v>
      </c>
      <c r="BV246">
        <v>0</v>
      </c>
      <c r="BW246">
        <v>0</v>
      </c>
      <c r="BX246">
        <v>0</v>
      </c>
      <c r="BY246">
        <v>0</v>
      </c>
      <c r="BZ246">
        <v>0</v>
      </c>
      <c r="CA246">
        <v>0</v>
      </c>
      <c r="CB246">
        <v>0</v>
      </c>
      <c r="CC246">
        <v>0</v>
      </c>
      <c r="CD246">
        <v>0</v>
      </c>
      <c r="CE246">
        <v>0</v>
      </c>
      <c r="CF246">
        <v>0</v>
      </c>
      <c r="CG246">
        <v>0</v>
      </c>
      <c r="CH246">
        <v>0</v>
      </c>
      <c r="CI246">
        <v>0</v>
      </c>
      <c r="CJ246">
        <v>0</v>
      </c>
      <c r="CK246">
        <v>0</v>
      </c>
      <c r="CL246">
        <v>0</v>
      </c>
      <c r="CM246">
        <v>0</v>
      </c>
      <c r="CN246">
        <v>0</v>
      </c>
      <c r="CO246">
        <v>0</v>
      </c>
      <c r="CP246">
        <v>0</v>
      </c>
      <c r="CQ246">
        <v>0</v>
      </c>
      <c r="CR246">
        <v>0</v>
      </c>
      <c r="CS246">
        <v>0</v>
      </c>
      <c r="CT246">
        <v>0</v>
      </c>
      <c r="CU246">
        <v>0</v>
      </c>
      <c r="CV246">
        <v>0</v>
      </c>
      <c r="CW246">
        <v>0</v>
      </c>
      <c r="CX246">
        <v>0</v>
      </c>
      <c r="CY246">
        <v>0</v>
      </c>
      <c r="CZ246">
        <v>0</v>
      </c>
      <c r="DA246">
        <v>0</v>
      </c>
      <c r="DB246">
        <v>0</v>
      </c>
      <c r="DC246">
        <v>0</v>
      </c>
      <c r="DD246">
        <v>0</v>
      </c>
      <c r="DE246">
        <v>0</v>
      </c>
      <c r="DF246">
        <v>0</v>
      </c>
      <c r="DG246">
        <v>0</v>
      </c>
      <c r="DH246">
        <v>0</v>
      </c>
      <c r="DI246">
        <v>0</v>
      </c>
      <c r="DJ246">
        <v>0</v>
      </c>
      <c r="DK246">
        <v>0</v>
      </c>
      <c r="DL246">
        <v>0</v>
      </c>
      <c r="DM246">
        <v>0</v>
      </c>
      <c r="DN246">
        <v>0</v>
      </c>
      <c r="DO246">
        <v>0</v>
      </c>
      <c r="DP246">
        <v>0</v>
      </c>
      <c r="DQ246">
        <v>0</v>
      </c>
      <c r="DR246">
        <v>0</v>
      </c>
      <c r="DS246">
        <v>0</v>
      </c>
      <c r="DT246">
        <v>0</v>
      </c>
      <c r="DU246">
        <v>0</v>
      </c>
      <c r="DV246">
        <v>0</v>
      </c>
      <c r="DW246">
        <v>0</v>
      </c>
      <c r="DX246">
        <v>0</v>
      </c>
      <c r="DY246">
        <v>0</v>
      </c>
      <c r="DZ246">
        <v>0</v>
      </c>
      <c r="EA246">
        <v>0</v>
      </c>
      <c r="EB246">
        <v>0</v>
      </c>
      <c r="EC246">
        <v>0</v>
      </c>
      <c r="ED246">
        <v>0</v>
      </c>
      <c r="EE246">
        <v>0</v>
      </c>
      <c r="EF246">
        <v>0</v>
      </c>
      <c r="EG246">
        <v>0</v>
      </c>
      <c r="EH246">
        <v>0</v>
      </c>
      <c r="EI246">
        <v>0</v>
      </c>
      <c r="EJ246">
        <v>0</v>
      </c>
      <c r="EK246">
        <v>0</v>
      </c>
      <c r="EL246">
        <v>0</v>
      </c>
      <c r="EM246">
        <v>0</v>
      </c>
      <c r="EN246">
        <v>0</v>
      </c>
      <c r="EO246">
        <v>0</v>
      </c>
      <c r="EP246">
        <v>0</v>
      </c>
      <c r="EQ246">
        <v>0</v>
      </c>
      <c r="ER246">
        <v>0</v>
      </c>
      <c r="ES246">
        <v>0</v>
      </c>
      <c r="ET246">
        <v>0</v>
      </c>
      <c r="EU246">
        <v>0</v>
      </c>
      <c r="EV246">
        <v>0</v>
      </c>
      <c r="EW246">
        <v>0</v>
      </c>
      <c r="EX246">
        <v>0</v>
      </c>
      <c r="EY246">
        <v>0</v>
      </c>
      <c r="EZ246">
        <v>0</v>
      </c>
      <c r="FA246">
        <v>0</v>
      </c>
      <c r="FB246">
        <v>0</v>
      </c>
      <c r="FC246">
        <v>0</v>
      </c>
      <c r="FD246">
        <v>0</v>
      </c>
      <c r="FE246">
        <v>0</v>
      </c>
      <c r="FF246">
        <v>0</v>
      </c>
      <c r="FG246">
        <v>0</v>
      </c>
      <c r="FH246">
        <v>0</v>
      </c>
      <c r="FI246">
        <v>0</v>
      </c>
      <c r="FJ246">
        <v>0</v>
      </c>
      <c r="FK246">
        <v>0</v>
      </c>
      <c r="FL246">
        <v>0</v>
      </c>
      <c r="FM246">
        <v>0</v>
      </c>
      <c r="FN246">
        <v>0</v>
      </c>
      <c r="FO246">
        <v>0</v>
      </c>
      <c r="FP246">
        <v>0</v>
      </c>
      <c r="FQ246">
        <v>0</v>
      </c>
      <c r="FR246">
        <v>0</v>
      </c>
      <c r="FS246">
        <v>0</v>
      </c>
      <c r="FT246">
        <v>0</v>
      </c>
      <c r="FU246">
        <v>0</v>
      </c>
      <c r="FV246">
        <v>0</v>
      </c>
      <c r="FW246">
        <v>0</v>
      </c>
      <c r="FX246">
        <v>0</v>
      </c>
      <c r="FY246">
        <v>0</v>
      </c>
      <c r="FZ246">
        <v>0</v>
      </c>
      <c r="GA246">
        <v>0</v>
      </c>
      <c r="GB246">
        <v>0</v>
      </c>
      <c r="GC246">
        <v>0</v>
      </c>
      <c r="GD246">
        <v>0</v>
      </c>
      <c r="GE246">
        <v>0</v>
      </c>
      <c r="GF246">
        <v>0</v>
      </c>
      <c r="GG246">
        <v>0</v>
      </c>
      <c r="GH246">
        <v>0</v>
      </c>
      <c r="GI246">
        <v>0</v>
      </c>
      <c r="GJ246">
        <v>0</v>
      </c>
      <c r="GK246">
        <v>0</v>
      </c>
      <c r="GL246">
        <v>0</v>
      </c>
      <c r="GM246">
        <v>0</v>
      </c>
      <c r="GN246">
        <v>0</v>
      </c>
      <c r="GO246">
        <v>0</v>
      </c>
      <c r="GP246">
        <v>0</v>
      </c>
      <c r="GQ246">
        <v>0</v>
      </c>
      <c r="GR246">
        <v>0</v>
      </c>
      <c r="GS246">
        <v>0</v>
      </c>
      <c r="GT246">
        <v>0</v>
      </c>
      <c r="GU246">
        <v>0</v>
      </c>
      <c r="GV246">
        <v>0</v>
      </c>
      <c r="GW246">
        <v>0</v>
      </c>
      <c r="GX246">
        <v>0</v>
      </c>
      <c r="GY246">
        <v>0</v>
      </c>
      <c r="GZ246">
        <v>0</v>
      </c>
      <c r="HA246">
        <v>0</v>
      </c>
      <c r="HB246">
        <v>0</v>
      </c>
      <c r="HC246">
        <v>0</v>
      </c>
      <c r="HD246">
        <v>0</v>
      </c>
      <c r="HE246">
        <v>0</v>
      </c>
      <c r="HF246">
        <v>0</v>
      </c>
      <c r="HG246">
        <v>0</v>
      </c>
      <c r="HH246">
        <v>0</v>
      </c>
      <c r="HI246">
        <v>0</v>
      </c>
      <c r="HJ246">
        <v>0</v>
      </c>
      <c r="HK246">
        <v>0</v>
      </c>
      <c r="HL246">
        <v>0</v>
      </c>
      <c r="HM246">
        <v>0</v>
      </c>
      <c r="HN246">
        <v>0</v>
      </c>
      <c r="HO246">
        <v>0</v>
      </c>
      <c r="HP246">
        <v>0</v>
      </c>
      <c r="HQ246">
        <v>0</v>
      </c>
      <c r="HR246">
        <v>0</v>
      </c>
      <c r="HS246">
        <v>0</v>
      </c>
      <c r="HT246">
        <v>0</v>
      </c>
      <c r="HU246">
        <v>0</v>
      </c>
      <c r="HV246">
        <v>0</v>
      </c>
      <c r="HW246">
        <v>0</v>
      </c>
      <c r="HX246">
        <v>0</v>
      </c>
      <c r="HY246">
        <v>0</v>
      </c>
      <c r="HZ246">
        <v>0</v>
      </c>
      <c r="IA246">
        <v>0</v>
      </c>
      <c r="IB246">
        <v>0</v>
      </c>
      <c r="IC246">
        <v>0</v>
      </c>
      <c r="ID246">
        <v>0</v>
      </c>
      <c r="IE246">
        <v>0</v>
      </c>
      <c r="IF246">
        <v>0</v>
      </c>
      <c r="IG246">
        <v>0</v>
      </c>
      <c r="IH246">
        <v>0</v>
      </c>
      <c r="II246">
        <v>0</v>
      </c>
      <c r="IJ246">
        <v>0</v>
      </c>
      <c r="IK246">
        <v>0</v>
      </c>
      <c r="IL246">
        <v>0</v>
      </c>
      <c r="IM246">
        <v>0</v>
      </c>
      <c r="IN246">
        <v>0</v>
      </c>
      <c r="IO246">
        <v>0</v>
      </c>
      <c r="IP246">
        <v>0</v>
      </c>
      <c r="IQ246">
        <v>0</v>
      </c>
      <c r="IR246">
        <v>0</v>
      </c>
      <c r="IS246">
        <v>0</v>
      </c>
      <c r="IT246">
        <v>0</v>
      </c>
      <c r="IU246">
        <v>0</v>
      </c>
      <c r="IV246">
        <v>0</v>
      </c>
      <c r="IW246">
        <v>0</v>
      </c>
      <c r="IX246">
        <v>0</v>
      </c>
      <c r="IY246">
        <v>0</v>
      </c>
      <c r="IZ246">
        <v>0</v>
      </c>
      <c r="JA246">
        <v>0</v>
      </c>
      <c r="JB246">
        <v>0</v>
      </c>
      <c r="JC246">
        <v>0</v>
      </c>
      <c r="JD246">
        <v>0</v>
      </c>
      <c r="JE246">
        <v>0</v>
      </c>
      <c r="JF246">
        <v>0</v>
      </c>
      <c r="JG246">
        <v>0</v>
      </c>
      <c r="JH246">
        <v>0</v>
      </c>
      <c r="JI246">
        <v>0</v>
      </c>
      <c r="JJ246">
        <v>0</v>
      </c>
      <c r="JK246">
        <v>0</v>
      </c>
      <c r="JL246">
        <v>0</v>
      </c>
      <c r="JM246">
        <v>0</v>
      </c>
      <c r="JN246">
        <v>0</v>
      </c>
      <c r="JO246">
        <v>0</v>
      </c>
      <c r="JP246">
        <v>0</v>
      </c>
      <c r="JQ246">
        <v>0</v>
      </c>
      <c r="JR246">
        <v>0</v>
      </c>
      <c r="JS246">
        <v>0</v>
      </c>
      <c r="JT246">
        <v>0</v>
      </c>
      <c r="JU246">
        <v>0</v>
      </c>
      <c r="JV246">
        <v>0</v>
      </c>
      <c r="JW246">
        <v>0</v>
      </c>
      <c r="JX246">
        <v>0</v>
      </c>
      <c r="JY246">
        <v>0</v>
      </c>
      <c r="JZ246">
        <v>0</v>
      </c>
      <c r="KA246">
        <v>0</v>
      </c>
      <c r="KB246">
        <v>0</v>
      </c>
      <c r="KC246">
        <v>0</v>
      </c>
      <c r="KD246">
        <v>0</v>
      </c>
      <c r="KE246">
        <v>0</v>
      </c>
      <c r="KF246">
        <v>0</v>
      </c>
      <c r="KG246">
        <v>0</v>
      </c>
      <c r="KH246">
        <v>0</v>
      </c>
      <c r="KI246">
        <v>0</v>
      </c>
      <c r="KJ246">
        <v>0</v>
      </c>
      <c r="KK246">
        <v>0</v>
      </c>
      <c r="KL246">
        <v>0</v>
      </c>
      <c r="KM246">
        <v>0</v>
      </c>
      <c r="KN246">
        <v>0</v>
      </c>
      <c r="KO246">
        <v>0</v>
      </c>
      <c r="KP246">
        <v>0</v>
      </c>
      <c r="KQ246">
        <v>0</v>
      </c>
      <c r="KR246">
        <v>0</v>
      </c>
      <c r="KS246">
        <v>0</v>
      </c>
      <c r="KT246">
        <v>0</v>
      </c>
      <c r="KU246">
        <v>0</v>
      </c>
      <c r="KV246">
        <v>0</v>
      </c>
      <c r="KW246">
        <v>0</v>
      </c>
      <c r="KX246">
        <v>0</v>
      </c>
      <c r="KY246">
        <v>0</v>
      </c>
      <c r="KZ246">
        <v>0</v>
      </c>
      <c r="LA246">
        <v>0</v>
      </c>
      <c r="LB246">
        <v>0</v>
      </c>
      <c r="LC246">
        <v>0</v>
      </c>
      <c r="LD246">
        <v>0</v>
      </c>
      <c r="LE246">
        <v>0</v>
      </c>
      <c r="LF246">
        <v>0</v>
      </c>
      <c r="LG246">
        <v>0</v>
      </c>
      <c r="LH246">
        <v>0</v>
      </c>
      <c r="LI246">
        <v>0</v>
      </c>
      <c r="LJ246">
        <v>0</v>
      </c>
      <c r="LK246">
        <v>0</v>
      </c>
      <c r="LL246">
        <v>0</v>
      </c>
      <c r="LM246">
        <v>0</v>
      </c>
      <c r="LN246">
        <v>0</v>
      </c>
      <c r="LO246">
        <v>0</v>
      </c>
      <c r="LP246">
        <v>0</v>
      </c>
      <c r="LQ246">
        <v>0</v>
      </c>
      <c r="LR246">
        <v>0</v>
      </c>
      <c r="LS246">
        <v>0</v>
      </c>
      <c r="LT246">
        <v>0</v>
      </c>
      <c r="LU246">
        <v>0</v>
      </c>
      <c r="LV246">
        <v>0</v>
      </c>
      <c r="LW246">
        <v>0</v>
      </c>
      <c r="LX246">
        <v>0</v>
      </c>
      <c r="LY246">
        <v>0</v>
      </c>
      <c r="LZ246">
        <v>0</v>
      </c>
      <c r="MA246">
        <v>0</v>
      </c>
      <c r="MB246">
        <v>0</v>
      </c>
      <c r="MC246">
        <v>0</v>
      </c>
      <c r="MD246">
        <v>0</v>
      </c>
      <c r="ME246">
        <v>0</v>
      </c>
      <c r="MF246">
        <v>0</v>
      </c>
      <c r="MG246">
        <v>0</v>
      </c>
      <c r="MH246">
        <v>0</v>
      </c>
      <c r="MI246">
        <v>0</v>
      </c>
      <c r="MJ246">
        <v>0</v>
      </c>
      <c r="MK246">
        <v>0</v>
      </c>
      <c r="ML246">
        <v>0</v>
      </c>
      <c r="MM246">
        <v>0</v>
      </c>
      <c r="MN246">
        <v>0</v>
      </c>
      <c r="MO246">
        <v>0</v>
      </c>
      <c r="MP246">
        <v>0</v>
      </c>
      <c r="MQ246">
        <v>0</v>
      </c>
      <c r="MR246">
        <v>0</v>
      </c>
      <c r="MS246">
        <v>0</v>
      </c>
      <c r="MT246">
        <v>0</v>
      </c>
      <c r="MU246">
        <v>0</v>
      </c>
      <c r="MV246">
        <v>0</v>
      </c>
      <c r="MW246">
        <v>0</v>
      </c>
      <c r="MX246">
        <v>0</v>
      </c>
      <c r="MY246">
        <v>0</v>
      </c>
      <c r="MZ246">
        <v>0</v>
      </c>
      <c r="NA246">
        <v>0</v>
      </c>
      <c r="NB246">
        <v>0</v>
      </c>
      <c r="NC246">
        <v>0</v>
      </c>
      <c r="ND246">
        <v>0</v>
      </c>
      <c r="NE246">
        <v>0</v>
      </c>
    </row>
    <row r="247" spans="41:369" x14ac:dyDescent="0.45">
      <c r="AO247" t="str">
        <v>D123</v>
      </c>
      <c r="AP247" t="str">
        <v>MOHAMMED SALIH</v>
      </c>
      <c r="AQ247" t="str">
        <v>JARF</v>
      </c>
      <c r="AR247" t="str">
        <v>SUPER SENIOR</v>
      </c>
      <c r="AS247">
        <v>8</v>
      </c>
      <c r="AT247">
        <v>8</v>
      </c>
      <c r="AU247">
        <v>0</v>
      </c>
      <c r="AV247">
        <v>8</v>
      </c>
      <c r="AW247">
        <v>8</v>
      </c>
      <c r="AX247">
        <v>147</v>
      </c>
      <c r="AY247" s="5">
        <v>147</v>
      </c>
      <c r="AZ247">
        <v>0</v>
      </c>
      <c r="BA247">
        <v>0</v>
      </c>
      <c r="BB247">
        <v>0</v>
      </c>
      <c r="BC247">
        <v>0</v>
      </c>
      <c r="BD247">
        <v>0</v>
      </c>
      <c r="BE247">
        <v>0</v>
      </c>
      <c r="BF247">
        <v>0</v>
      </c>
      <c r="BG247">
        <v>0</v>
      </c>
      <c r="BH247">
        <v>0</v>
      </c>
      <c r="BI247" t="str">
        <v/>
      </c>
      <c r="BK247">
        <v>241</v>
      </c>
      <c r="BL247">
        <v>0</v>
      </c>
      <c r="BM247">
        <v>0</v>
      </c>
      <c r="BN247">
        <v>0</v>
      </c>
      <c r="BO247">
        <v>0</v>
      </c>
      <c r="BP247">
        <v>0</v>
      </c>
      <c r="BQ247">
        <v>0</v>
      </c>
      <c r="BR247">
        <v>0</v>
      </c>
      <c r="BS247">
        <v>0</v>
      </c>
      <c r="BT247">
        <v>0</v>
      </c>
      <c r="BU247">
        <v>0</v>
      </c>
      <c r="BV247">
        <v>0</v>
      </c>
      <c r="BW247">
        <v>0</v>
      </c>
      <c r="BX247">
        <v>0</v>
      </c>
      <c r="BY247">
        <v>0</v>
      </c>
      <c r="BZ247">
        <v>0</v>
      </c>
      <c r="CA247">
        <v>0</v>
      </c>
      <c r="CB247">
        <v>0</v>
      </c>
      <c r="CC247">
        <v>0</v>
      </c>
      <c r="CD247">
        <v>0</v>
      </c>
      <c r="CE247">
        <v>0</v>
      </c>
      <c r="CF247">
        <v>0</v>
      </c>
      <c r="CG247">
        <v>0</v>
      </c>
      <c r="CH247">
        <v>0</v>
      </c>
      <c r="CI247">
        <v>0</v>
      </c>
      <c r="CJ247">
        <v>0</v>
      </c>
      <c r="CK247">
        <v>0</v>
      </c>
      <c r="CL247">
        <v>0</v>
      </c>
      <c r="CM247">
        <v>0</v>
      </c>
      <c r="CN247">
        <v>0</v>
      </c>
      <c r="CO247">
        <v>0</v>
      </c>
      <c r="CP247">
        <v>0</v>
      </c>
      <c r="CQ247">
        <v>0</v>
      </c>
      <c r="CR247">
        <v>0</v>
      </c>
      <c r="CS247">
        <v>0</v>
      </c>
      <c r="CT247">
        <v>0</v>
      </c>
      <c r="CU247">
        <v>0</v>
      </c>
      <c r="CV247">
        <v>0</v>
      </c>
      <c r="CW247">
        <v>0</v>
      </c>
      <c r="CX247">
        <v>0</v>
      </c>
      <c r="CY247">
        <v>0</v>
      </c>
      <c r="CZ247">
        <v>0</v>
      </c>
      <c r="DA247">
        <v>0</v>
      </c>
      <c r="DB247">
        <v>0</v>
      </c>
      <c r="DC247">
        <v>0</v>
      </c>
      <c r="DD247">
        <v>0</v>
      </c>
      <c r="DE247">
        <v>0</v>
      </c>
      <c r="DF247">
        <v>0</v>
      </c>
      <c r="DG247">
        <v>0</v>
      </c>
      <c r="DH247">
        <v>0</v>
      </c>
      <c r="DI247">
        <v>0</v>
      </c>
      <c r="DJ247">
        <v>0</v>
      </c>
      <c r="DK247">
        <v>0</v>
      </c>
      <c r="DL247">
        <v>0</v>
      </c>
      <c r="DM247">
        <v>0</v>
      </c>
      <c r="DN247">
        <v>0</v>
      </c>
      <c r="DO247">
        <v>0</v>
      </c>
      <c r="DP247">
        <v>0</v>
      </c>
      <c r="DQ247">
        <v>0</v>
      </c>
      <c r="DR247">
        <v>0</v>
      </c>
      <c r="DS247">
        <v>0</v>
      </c>
      <c r="DT247">
        <v>0</v>
      </c>
      <c r="DU247">
        <v>0</v>
      </c>
      <c r="DV247">
        <v>0</v>
      </c>
      <c r="DW247">
        <v>0</v>
      </c>
      <c r="DX247">
        <v>0</v>
      </c>
      <c r="DY247">
        <v>0</v>
      </c>
      <c r="DZ247">
        <v>0</v>
      </c>
      <c r="EA247">
        <v>0</v>
      </c>
      <c r="EB247">
        <v>0</v>
      </c>
      <c r="EC247">
        <v>0</v>
      </c>
      <c r="ED247">
        <v>0</v>
      </c>
      <c r="EE247">
        <v>0</v>
      </c>
      <c r="EF247">
        <v>0</v>
      </c>
      <c r="EG247">
        <v>0</v>
      </c>
      <c r="EH247">
        <v>0</v>
      </c>
      <c r="EI247">
        <v>0</v>
      </c>
      <c r="EJ247">
        <v>0</v>
      </c>
      <c r="EK247">
        <v>0</v>
      </c>
      <c r="EL247">
        <v>0</v>
      </c>
      <c r="EM247">
        <v>0</v>
      </c>
      <c r="EN247">
        <v>0</v>
      </c>
      <c r="EO247">
        <v>0</v>
      </c>
      <c r="EP247">
        <v>0</v>
      </c>
      <c r="EQ247">
        <v>0</v>
      </c>
      <c r="ER247">
        <v>0</v>
      </c>
      <c r="ES247">
        <v>0</v>
      </c>
      <c r="ET247">
        <v>0</v>
      </c>
      <c r="EU247">
        <v>0</v>
      </c>
      <c r="EV247">
        <v>0</v>
      </c>
      <c r="EW247">
        <v>0</v>
      </c>
      <c r="EX247">
        <v>0</v>
      </c>
      <c r="EY247">
        <v>0</v>
      </c>
      <c r="EZ247">
        <v>0</v>
      </c>
      <c r="FA247">
        <v>0</v>
      </c>
      <c r="FB247">
        <v>0</v>
      </c>
      <c r="FC247">
        <v>0</v>
      </c>
      <c r="FD247">
        <v>0</v>
      </c>
      <c r="FE247">
        <v>0</v>
      </c>
      <c r="FF247">
        <v>0</v>
      </c>
      <c r="FG247">
        <v>0</v>
      </c>
      <c r="FH247">
        <v>0</v>
      </c>
      <c r="FI247">
        <v>0</v>
      </c>
      <c r="FJ247">
        <v>0</v>
      </c>
      <c r="FK247">
        <v>0</v>
      </c>
      <c r="FL247">
        <v>0</v>
      </c>
      <c r="FM247">
        <v>0</v>
      </c>
      <c r="FN247">
        <v>0</v>
      </c>
      <c r="FO247">
        <v>0</v>
      </c>
      <c r="FP247">
        <v>0</v>
      </c>
      <c r="FQ247">
        <v>0</v>
      </c>
      <c r="FR247">
        <v>0</v>
      </c>
      <c r="FS247">
        <v>0</v>
      </c>
      <c r="FT247">
        <v>0</v>
      </c>
      <c r="FU247">
        <v>0</v>
      </c>
      <c r="FV247">
        <v>0</v>
      </c>
      <c r="FW247">
        <v>0</v>
      </c>
      <c r="FX247">
        <v>0</v>
      </c>
      <c r="FY247">
        <v>0</v>
      </c>
      <c r="FZ247">
        <v>0</v>
      </c>
      <c r="GA247">
        <v>0</v>
      </c>
      <c r="GB247">
        <v>0</v>
      </c>
      <c r="GC247">
        <v>0</v>
      </c>
      <c r="GD247">
        <v>0</v>
      </c>
      <c r="GE247">
        <v>0</v>
      </c>
      <c r="GF247">
        <v>0</v>
      </c>
      <c r="GG247">
        <v>0</v>
      </c>
      <c r="GH247">
        <v>0</v>
      </c>
      <c r="GI247">
        <v>0</v>
      </c>
      <c r="GJ247">
        <v>0</v>
      </c>
      <c r="GK247">
        <v>0</v>
      </c>
      <c r="GL247">
        <v>0</v>
      </c>
      <c r="GM247">
        <v>0</v>
      </c>
      <c r="GN247">
        <v>0</v>
      </c>
      <c r="GO247">
        <v>0</v>
      </c>
      <c r="GP247">
        <v>0</v>
      </c>
      <c r="GQ247">
        <v>0</v>
      </c>
      <c r="GR247">
        <v>0</v>
      </c>
      <c r="GS247">
        <v>0</v>
      </c>
      <c r="GT247">
        <v>0</v>
      </c>
      <c r="GU247">
        <v>0</v>
      </c>
      <c r="GV247">
        <v>0</v>
      </c>
      <c r="GW247">
        <v>0</v>
      </c>
      <c r="GX247">
        <v>0</v>
      </c>
      <c r="GY247">
        <v>0</v>
      </c>
      <c r="GZ247">
        <v>0</v>
      </c>
      <c r="HA247">
        <v>0</v>
      </c>
      <c r="HB247">
        <v>0</v>
      </c>
      <c r="HC247">
        <v>0</v>
      </c>
      <c r="HD247">
        <v>0</v>
      </c>
      <c r="HE247">
        <v>0</v>
      </c>
      <c r="HF247">
        <v>0</v>
      </c>
      <c r="HG247">
        <v>0</v>
      </c>
      <c r="HH247">
        <v>0</v>
      </c>
      <c r="HI247">
        <v>0</v>
      </c>
      <c r="HJ247">
        <v>0</v>
      </c>
      <c r="HK247">
        <v>0</v>
      </c>
      <c r="HL247">
        <v>0</v>
      </c>
      <c r="HM247">
        <v>0</v>
      </c>
      <c r="HN247">
        <v>0</v>
      </c>
      <c r="HO247">
        <v>0</v>
      </c>
      <c r="HP247">
        <v>0</v>
      </c>
      <c r="HQ247">
        <v>0</v>
      </c>
      <c r="HR247">
        <v>0</v>
      </c>
      <c r="HS247">
        <v>0</v>
      </c>
      <c r="HT247">
        <v>0</v>
      </c>
      <c r="HU247">
        <v>0</v>
      </c>
      <c r="HV247">
        <v>0</v>
      </c>
      <c r="HW247">
        <v>0</v>
      </c>
      <c r="HX247">
        <v>0</v>
      </c>
      <c r="HY247">
        <v>0</v>
      </c>
      <c r="HZ247">
        <v>0</v>
      </c>
      <c r="IA247">
        <v>0</v>
      </c>
      <c r="IB247">
        <v>0</v>
      </c>
      <c r="IC247">
        <v>0</v>
      </c>
      <c r="ID247">
        <v>0</v>
      </c>
      <c r="IE247">
        <v>0</v>
      </c>
      <c r="IF247">
        <v>0</v>
      </c>
      <c r="IG247">
        <v>0</v>
      </c>
      <c r="IH247">
        <v>0</v>
      </c>
      <c r="II247">
        <v>0</v>
      </c>
      <c r="IJ247">
        <v>0</v>
      </c>
      <c r="IK247">
        <v>0</v>
      </c>
      <c r="IL247">
        <v>0</v>
      </c>
      <c r="IM247">
        <v>0</v>
      </c>
      <c r="IN247">
        <v>0</v>
      </c>
      <c r="IO247">
        <v>0</v>
      </c>
      <c r="IP247">
        <v>0</v>
      </c>
      <c r="IQ247">
        <v>0</v>
      </c>
      <c r="IR247">
        <v>0</v>
      </c>
      <c r="IS247">
        <v>0</v>
      </c>
      <c r="IT247">
        <v>0</v>
      </c>
      <c r="IU247">
        <v>0</v>
      </c>
      <c r="IV247">
        <v>0</v>
      </c>
      <c r="IW247">
        <v>0</v>
      </c>
      <c r="IX247">
        <v>0</v>
      </c>
      <c r="IY247">
        <v>0</v>
      </c>
      <c r="IZ247">
        <v>0</v>
      </c>
      <c r="JA247">
        <v>0</v>
      </c>
      <c r="JB247">
        <v>0</v>
      </c>
      <c r="JC247">
        <v>0</v>
      </c>
      <c r="JD247">
        <v>0</v>
      </c>
      <c r="JE247">
        <v>0</v>
      </c>
      <c r="JF247">
        <v>0</v>
      </c>
      <c r="JG247">
        <v>0</v>
      </c>
      <c r="JH247">
        <v>0</v>
      </c>
      <c r="JI247">
        <v>0</v>
      </c>
      <c r="JJ247">
        <v>0</v>
      </c>
      <c r="JK247">
        <v>0</v>
      </c>
      <c r="JL247">
        <v>0</v>
      </c>
      <c r="JM247">
        <v>0</v>
      </c>
      <c r="JN247">
        <v>0</v>
      </c>
      <c r="JO247">
        <v>0</v>
      </c>
      <c r="JP247">
        <v>0</v>
      </c>
      <c r="JQ247">
        <v>0</v>
      </c>
      <c r="JR247">
        <v>0</v>
      </c>
      <c r="JS247">
        <v>0</v>
      </c>
      <c r="JT247">
        <v>0</v>
      </c>
      <c r="JU247">
        <v>0</v>
      </c>
      <c r="JV247">
        <v>0</v>
      </c>
      <c r="JW247">
        <v>0</v>
      </c>
      <c r="JX247">
        <v>0</v>
      </c>
      <c r="JY247">
        <v>0</v>
      </c>
      <c r="JZ247">
        <v>0</v>
      </c>
      <c r="KA247">
        <v>0</v>
      </c>
      <c r="KB247">
        <v>0</v>
      </c>
      <c r="KC247">
        <v>0</v>
      </c>
      <c r="KD247">
        <v>0</v>
      </c>
      <c r="KE247">
        <v>0</v>
      </c>
      <c r="KF247">
        <v>0</v>
      </c>
      <c r="KG247">
        <v>0</v>
      </c>
      <c r="KH247">
        <v>0</v>
      </c>
      <c r="KI247">
        <v>0</v>
      </c>
      <c r="KJ247">
        <v>0</v>
      </c>
      <c r="KK247">
        <v>0</v>
      </c>
      <c r="KL247">
        <v>0</v>
      </c>
      <c r="KM247">
        <v>0</v>
      </c>
      <c r="KN247">
        <v>0</v>
      </c>
      <c r="KO247">
        <v>0</v>
      </c>
      <c r="KP247">
        <v>0</v>
      </c>
      <c r="KQ247">
        <v>0</v>
      </c>
      <c r="KR247">
        <v>0</v>
      </c>
      <c r="KS247">
        <v>0</v>
      </c>
      <c r="KT247">
        <v>0</v>
      </c>
      <c r="KU247">
        <v>0</v>
      </c>
      <c r="KV247">
        <v>0</v>
      </c>
      <c r="KW247">
        <v>0</v>
      </c>
      <c r="KX247">
        <v>0</v>
      </c>
      <c r="KY247">
        <v>0</v>
      </c>
      <c r="KZ247">
        <v>0</v>
      </c>
      <c r="LA247">
        <v>0</v>
      </c>
      <c r="LB247">
        <v>0</v>
      </c>
      <c r="LC247">
        <v>0</v>
      </c>
      <c r="LD247">
        <v>0</v>
      </c>
      <c r="LE247">
        <v>0</v>
      </c>
      <c r="LF247">
        <v>0</v>
      </c>
      <c r="LG247">
        <v>0</v>
      </c>
      <c r="LH247">
        <v>0</v>
      </c>
      <c r="LI247">
        <v>0</v>
      </c>
      <c r="LJ247">
        <v>0</v>
      </c>
      <c r="LK247">
        <v>0</v>
      </c>
      <c r="LL247">
        <v>0</v>
      </c>
      <c r="LM247">
        <v>0</v>
      </c>
      <c r="LN247">
        <v>0</v>
      </c>
      <c r="LO247">
        <v>0</v>
      </c>
      <c r="LP247">
        <v>0</v>
      </c>
      <c r="LQ247">
        <v>0</v>
      </c>
      <c r="LR247">
        <v>0</v>
      </c>
      <c r="LS247">
        <v>0</v>
      </c>
      <c r="LT247">
        <v>0</v>
      </c>
      <c r="LU247">
        <v>0</v>
      </c>
      <c r="LV247">
        <v>0</v>
      </c>
      <c r="LW247">
        <v>0</v>
      </c>
      <c r="LX247">
        <v>0</v>
      </c>
      <c r="LY247">
        <v>0</v>
      </c>
      <c r="LZ247">
        <v>0</v>
      </c>
      <c r="MA247">
        <v>0</v>
      </c>
      <c r="MB247">
        <v>0</v>
      </c>
      <c r="MC247">
        <v>0</v>
      </c>
      <c r="MD247">
        <v>0</v>
      </c>
      <c r="ME247">
        <v>0</v>
      </c>
      <c r="MF247">
        <v>0</v>
      </c>
      <c r="MG247">
        <v>0</v>
      </c>
      <c r="MH247">
        <v>0</v>
      </c>
      <c r="MI247">
        <v>0</v>
      </c>
      <c r="MJ247">
        <v>0</v>
      </c>
      <c r="MK247">
        <v>0</v>
      </c>
      <c r="ML247">
        <v>0</v>
      </c>
      <c r="MM247">
        <v>0</v>
      </c>
      <c r="MN247">
        <v>0</v>
      </c>
      <c r="MO247">
        <v>0</v>
      </c>
      <c r="MP247">
        <v>0</v>
      </c>
      <c r="MQ247">
        <v>0</v>
      </c>
      <c r="MR247">
        <v>0</v>
      </c>
      <c r="MS247">
        <v>0</v>
      </c>
      <c r="MT247">
        <v>0</v>
      </c>
      <c r="MU247">
        <v>0</v>
      </c>
      <c r="MV247">
        <v>0</v>
      </c>
      <c r="MW247">
        <v>0</v>
      </c>
      <c r="MX247">
        <v>0</v>
      </c>
      <c r="MY247">
        <v>0</v>
      </c>
      <c r="MZ247">
        <v>0</v>
      </c>
      <c r="NA247">
        <v>0</v>
      </c>
      <c r="NB247">
        <v>0</v>
      </c>
      <c r="NC247">
        <v>0</v>
      </c>
      <c r="ND247">
        <v>0</v>
      </c>
      <c r="NE247">
        <v>0</v>
      </c>
    </row>
    <row r="248" spans="41:369" x14ac:dyDescent="0.45">
      <c r="AO248" t="str">
        <v>D124</v>
      </c>
      <c r="AP248" t="str">
        <v>MUHAMMED SUFAZ P</v>
      </c>
      <c r="AQ248" t="str">
        <v>BADF</v>
      </c>
      <c r="AR248" t="str">
        <v>SUPER SENIOR</v>
      </c>
      <c r="AS248">
        <v>8</v>
      </c>
      <c r="AT248">
        <v>0</v>
      </c>
      <c r="AU248">
        <v>0</v>
      </c>
      <c r="AV248">
        <v>0</v>
      </c>
      <c r="AW248">
        <v>0</v>
      </c>
      <c r="AX248">
        <v>255</v>
      </c>
      <c r="AY248" s="5">
        <v>255</v>
      </c>
      <c r="AZ248">
        <v>0</v>
      </c>
      <c r="BA248">
        <v>0</v>
      </c>
      <c r="BB248">
        <v>0</v>
      </c>
      <c r="BC248">
        <v>0</v>
      </c>
      <c r="BD248">
        <v>0</v>
      </c>
      <c r="BE248">
        <v>0</v>
      </c>
      <c r="BF248">
        <v>0</v>
      </c>
      <c r="BG248">
        <v>0</v>
      </c>
      <c r="BH248">
        <v>0</v>
      </c>
      <c r="BI248" t="str">
        <v/>
      </c>
      <c r="BK248">
        <v>242</v>
      </c>
      <c r="BL248">
        <v>0</v>
      </c>
      <c r="BM248">
        <v>0</v>
      </c>
      <c r="BN248">
        <v>0</v>
      </c>
      <c r="BO248">
        <v>0</v>
      </c>
      <c r="BP248">
        <v>0</v>
      </c>
      <c r="BQ248">
        <v>0</v>
      </c>
      <c r="BR248">
        <v>0</v>
      </c>
      <c r="BS248">
        <v>0</v>
      </c>
      <c r="BT248">
        <v>0</v>
      </c>
      <c r="BU248">
        <v>0</v>
      </c>
      <c r="BV248">
        <v>0</v>
      </c>
      <c r="BW248">
        <v>0</v>
      </c>
      <c r="BX248">
        <v>0</v>
      </c>
      <c r="BY248">
        <v>0</v>
      </c>
      <c r="BZ248">
        <v>0</v>
      </c>
      <c r="CA248">
        <v>0</v>
      </c>
      <c r="CB248">
        <v>0</v>
      </c>
      <c r="CC248">
        <v>0</v>
      </c>
      <c r="CD248">
        <v>0</v>
      </c>
      <c r="CE248">
        <v>0</v>
      </c>
      <c r="CF248">
        <v>0</v>
      </c>
      <c r="CG248">
        <v>0</v>
      </c>
      <c r="CH248">
        <v>0</v>
      </c>
      <c r="CI248">
        <v>0</v>
      </c>
      <c r="CJ248">
        <v>0</v>
      </c>
      <c r="CK248">
        <v>0</v>
      </c>
      <c r="CL248">
        <v>0</v>
      </c>
      <c r="CM248">
        <v>0</v>
      </c>
      <c r="CN248">
        <v>0</v>
      </c>
      <c r="CO248">
        <v>0</v>
      </c>
      <c r="CP248">
        <v>0</v>
      </c>
      <c r="CQ248">
        <v>0</v>
      </c>
      <c r="CR248">
        <v>0</v>
      </c>
      <c r="CS248">
        <v>0</v>
      </c>
      <c r="CT248">
        <v>0</v>
      </c>
      <c r="CU248">
        <v>0</v>
      </c>
      <c r="CV248">
        <v>0</v>
      </c>
      <c r="CW248">
        <v>0</v>
      </c>
      <c r="CX248">
        <v>0</v>
      </c>
      <c r="CY248">
        <v>0</v>
      </c>
      <c r="CZ248">
        <v>0</v>
      </c>
      <c r="DA248">
        <v>0</v>
      </c>
      <c r="DB248">
        <v>0</v>
      </c>
      <c r="DC248">
        <v>0</v>
      </c>
      <c r="DD248">
        <v>0</v>
      </c>
      <c r="DE248">
        <v>0</v>
      </c>
      <c r="DF248">
        <v>0</v>
      </c>
      <c r="DG248">
        <v>0</v>
      </c>
      <c r="DH248">
        <v>0</v>
      </c>
      <c r="DI248">
        <v>0</v>
      </c>
      <c r="DJ248">
        <v>0</v>
      </c>
      <c r="DK248">
        <v>0</v>
      </c>
      <c r="DL248">
        <v>0</v>
      </c>
      <c r="DM248">
        <v>0</v>
      </c>
      <c r="DN248">
        <v>0</v>
      </c>
      <c r="DO248">
        <v>0</v>
      </c>
      <c r="DP248">
        <v>0</v>
      </c>
      <c r="DQ248">
        <v>0</v>
      </c>
      <c r="DR248">
        <v>0</v>
      </c>
      <c r="DS248">
        <v>0</v>
      </c>
      <c r="DT248">
        <v>0</v>
      </c>
      <c r="DU248">
        <v>0</v>
      </c>
      <c r="DV248">
        <v>0</v>
      </c>
      <c r="DW248">
        <v>0</v>
      </c>
      <c r="DX248">
        <v>0</v>
      </c>
      <c r="DY248">
        <v>0</v>
      </c>
      <c r="DZ248">
        <v>0</v>
      </c>
      <c r="EA248">
        <v>0</v>
      </c>
      <c r="EB248">
        <v>0</v>
      </c>
      <c r="EC248">
        <v>0</v>
      </c>
      <c r="ED248">
        <v>0</v>
      </c>
      <c r="EE248">
        <v>0</v>
      </c>
      <c r="EF248">
        <v>0</v>
      </c>
      <c r="EG248">
        <v>0</v>
      </c>
      <c r="EH248">
        <v>0</v>
      </c>
      <c r="EI248">
        <v>0</v>
      </c>
      <c r="EJ248">
        <v>0</v>
      </c>
      <c r="EK248">
        <v>0</v>
      </c>
      <c r="EL248">
        <v>0</v>
      </c>
      <c r="EM248">
        <v>0</v>
      </c>
      <c r="EN248">
        <v>0</v>
      </c>
      <c r="EO248">
        <v>0</v>
      </c>
      <c r="EP248">
        <v>0</v>
      </c>
      <c r="EQ248">
        <v>0</v>
      </c>
      <c r="ER248">
        <v>0</v>
      </c>
      <c r="ES248">
        <v>0</v>
      </c>
      <c r="ET248">
        <v>0</v>
      </c>
      <c r="EU248">
        <v>0</v>
      </c>
      <c r="EV248">
        <v>0</v>
      </c>
      <c r="EW248">
        <v>0</v>
      </c>
      <c r="EX248">
        <v>0</v>
      </c>
      <c r="EY248">
        <v>0</v>
      </c>
      <c r="EZ248">
        <v>0</v>
      </c>
      <c r="FA248">
        <v>0</v>
      </c>
      <c r="FB248">
        <v>0</v>
      </c>
      <c r="FC248">
        <v>0</v>
      </c>
      <c r="FD248">
        <v>0</v>
      </c>
      <c r="FE248">
        <v>0</v>
      </c>
      <c r="FF248">
        <v>0</v>
      </c>
      <c r="FG248">
        <v>0</v>
      </c>
      <c r="FH248">
        <v>0</v>
      </c>
      <c r="FI248">
        <v>0</v>
      </c>
      <c r="FJ248">
        <v>0</v>
      </c>
      <c r="FK248">
        <v>0</v>
      </c>
      <c r="FL248">
        <v>0</v>
      </c>
      <c r="FM248">
        <v>0</v>
      </c>
      <c r="FN248">
        <v>0</v>
      </c>
      <c r="FO248">
        <v>0</v>
      </c>
      <c r="FP248">
        <v>0</v>
      </c>
      <c r="FQ248">
        <v>0</v>
      </c>
      <c r="FR248">
        <v>0</v>
      </c>
      <c r="FS248">
        <v>0</v>
      </c>
      <c r="FT248">
        <v>0</v>
      </c>
      <c r="FU248">
        <v>0</v>
      </c>
      <c r="FV248">
        <v>0</v>
      </c>
      <c r="FW248">
        <v>0</v>
      </c>
      <c r="FX248">
        <v>0</v>
      </c>
      <c r="FY248">
        <v>0</v>
      </c>
      <c r="FZ248">
        <v>0</v>
      </c>
      <c r="GA248">
        <v>0</v>
      </c>
      <c r="GB248">
        <v>0</v>
      </c>
      <c r="GC248">
        <v>0</v>
      </c>
      <c r="GD248">
        <v>0</v>
      </c>
      <c r="GE248">
        <v>0</v>
      </c>
      <c r="GF248">
        <v>0</v>
      </c>
      <c r="GG248">
        <v>0</v>
      </c>
      <c r="GH248">
        <v>0</v>
      </c>
      <c r="GI248">
        <v>0</v>
      </c>
      <c r="GJ248">
        <v>0</v>
      </c>
      <c r="GK248">
        <v>0</v>
      </c>
      <c r="GL248">
        <v>0</v>
      </c>
      <c r="GM248">
        <v>0</v>
      </c>
      <c r="GN248">
        <v>0</v>
      </c>
      <c r="GO248">
        <v>0</v>
      </c>
      <c r="GP248">
        <v>0</v>
      </c>
      <c r="GQ248">
        <v>0</v>
      </c>
      <c r="GR248">
        <v>0</v>
      </c>
      <c r="GS248">
        <v>0</v>
      </c>
      <c r="GT248">
        <v>0</v>
      </c>
      <c r="GU248">
        <v>0</v>
      </c>
      <c r="GV248">
        <v>0</v>
      </c>
      <c r="GW248">
        <v>0</v>
      </c>
      <c r="GX248">
        <v>0</v>
      </c>
      <c r="GY248">
        <v>0</v>
      </c>
      <c r="GZ248">
        <v>0</v>
      </c>
      <c r="HA248">
        <v>0</v>
      </c>
      <c r="HB248">
        <v>0</v>
      </c>
      <c r="HC248">
        <v>0</v>
      </c>
      <c r="HD248">
        <v>0</v>
      </c>
      <c r="HE248">
        <v>0</v>
      </c>
      <c r="HF248">
        <v>0</v>
      </c>
      <c r="HG248">
        <v>0</v>
      </c>
      <c r="HH248">
        <v>0</v>
      </c>
      <c r="HI248">
        <v>0</v>
      </c>
      <c r="HJ248">
        <v>0</v>
      </c>
      <c r="HK248">
        <v>0</v>
      </c>
      <c r="HL248">
        <v>0</v>
      </c>
      <c r="HM248">
        <v>0</v>
      </c>
      <c r="HN248">
        <v>0</v>
      </c>
      <c r="HO248">
        <v>0</v>
      </c>
      <c r="HP248">
        <v>0</v>
      </c>
      <c r="HQ248">
        <v>0</v>
      </c>
      <c r="HR248">
        <v>0</v>
      </c>
      <c r="HS248">
        <v>0</v>
      </c>
      <c r="HT248">
        <v>0</v>
      </c>
      <c r="HU248">
        <v>0</v>
      </c>
      <c r="HV248">
        <v>0</v>
      </c>
      <c r="HW248">
        <v>0</v>
      </c>
      <c r="HX248">
        <v>0</v>
      </c>
      <c r="HY248">
        <v>0</v>
      </c>
      <c r="HZ248">
        <v>0</v>
      </c>
      <c r="IA248">
        <v>0</v>
      </c>
      <c r="IB248">
        <v>0</v>
      </c>
      <c r="IC248">
        <v>0</v>
      </c>
      <c r="ID248">
        <v>0</v>
      </c>
      <c r="IE248">
        <v>0</v>
      </c>
      <c r="IF248">
        <v>0</v>
      </c>
      <c r="IG248">
        <v>0</v>
      </c>
      <c r="IH248">
        <v>0</v>
      </c>
      <c r="II248">
        <v>0</v>
      </c>
      <c r="IJ248">
        <v>0</v>
      </c>
      <c r="IK248">
        <v>0</v>
      </c>
      <c r="IL248">
        <v>0</v>
      </c>
      <c r="IM248">
        <v>0</v>
      </c>
      <c r="IN248">
        <v>0</v>
      </c>
      <c r="IO248">
        <v>0</v>
      </c>
      <c r="IP248">
        <v>0</v>
      </c>
      <c r="IQ248">
        <v>0</v>
      </c>
      <c r="IR248">
        <v>0</v>
      </c>
      <c r="IS248">
        <v>0</v>
      </c>
      <c r="IT248">
        <v>0</v>
      </c>
      <c r="IU248">
        <v>0</v>
      </c>
      <c r="IV248">
        <v>0</v>
      </c>
      <c r="IW248">
        <v>0</v>
      </c>
      <c r="IX248">
        <v>0</v>
      </c>
      <c r="IY248">
        <v>0</v>
      </c>
      <c r="IZ248">
        <v>0</v>
      </c>
      <c r="JA248">
        <v>0</v>
      </c>
      <c r="JB248">
        <v>0</v>
      </c>
      <c r="JC248">
        <v>0</v>
      </c>
      <c r="JD248">
        <v>0</v>
      </c>
      <c r="JE248">
        <v>0</v>
      </c>
      <c r="JF248">
        <v>0</v>
      </c>
      <c r="JG248">
        <v>0</v>
      </c>
      <c r="JH248">
        <v>0</v>
      </c>
      <c r="JI248">
        <v>0</v>
      </c>
      <c r="JJ248">
        <v>0</v>
      </c>
      <c r="JK248">
        <v>0</v>
      </c>
      <c r="JL248">
        <v>0</v>
      </c>
      <c r="JM248">
        <v>0</v>
      </c>
      <c r="JN248">
        <v>0</v>
      </c>
      <c r="JO248">
        <v>0</v>
      </c>
      <c r="JP248">
        <v>0</v>
      </c>
      <c r="JQ248">
        <v>0</v>
      </c>
      <c r="JR248">
        <v>0</v>
      </c>
      <c r="JS248">
        <v>0</v>
      </c>
      <c r="JT248">
        <v>0</v>
      </c>
      <c r="JU248">
        <v>0</v>
      </c>
      <c r="JV248">
        <v>0</v>
      </c>
      <c r="JW248">
        <v>0</v>
      </c>
      <c r="JX248">
        <v>0</v>
      </c>
      <c r="JY248">
        <v>0</v>
      </c>
      <c r="JZ248">
        <v>0</v>
      </c>
      <c r="KA248">
        <v>0</v>
      </c>
      <c r="KB248">
        <v>0</v>
      </c>
      <c r="KC248">
        <v>0</v>
      </c>
      <c r="KD248">
        <v>0</v>
      </c>
      <c r="KE248">
        <v>0</v>
      </c>
      <c r="KF248">
        <v>0</v>
      </c>
      <c r="KG248">
        <v>0</v>
      </c>
      <c r="KH248">
        <v>0</v>
      </c>
      <c r="KI248">
        <v>0</v>
      </c>
      <c r="KJ248">
        <v>0</v>
      </c>
      <c r="KK248">
        <v>0</v>
      </c>
      <c r="KL248">
        <v>0</v>
      </c>
      <c r="KM248">
        <v>0</v>
      </c>
      <c r="KN248">
        <v>0</v>
      </c>
      <c r="KO248">
        <v>0</v>
      </c>
      <c r="KP248">
        <v>0</v>
      </c>
      <c r="KQ248">
        <v>0</v>
      </c>
      <c r="KR248">
        <v>0</v>
      </c>
      <c r="KS248">
        <v>0</v>
      </c>
      <c r="KT248">
        <v>0</v>
      </c>
      <c r="KU248">
        <v>0</v>
      </c>
      <c r="KV248">
        <v>0</v>
      </c>
      <c r="KW248">
        <v>0</v>
      </c>
      <c r="KX248">
        <v>0</v>
      </c>
      <c r="KY248">
        <v>0</v>
      </c>
      <c r="KZ248">
        <v>0</v>
      </c>
      <c r="LA248">
        <v>0</v>
      </c>
      <c r="LB248">
        <v>0</v>
      </c>
      <c r="LC248">
        <v>0</v>
      </c>
      <c r="LD248">
        <v>0</v>
      </c>
      <c r="LE248">
        <v>0</v>
      </c>
      <c r="LF248">
        <v>0</v>
      </c>
      <c r="LG248">
        <v>0</v>
      </c>
      <c r="LH248">
        <v>0</v>
      </c>
      <c r="LI248">
        <v>0</v>
      </c>
      <c r="LJ248">
        <v>0</v>
      </c>
      <c r="LK248">
        <v>0</v>
      </c>
      <c r="LL248">
        <v>0</v>
      </c>
      <c r="LM248">
        <v>0</v>
      </c>
      <c r="LN248">
        <v>0</v>
      </c>
      <c r="LO248">
        <v>0</v>
      </c>
      <c r="LP248">
        <v>0</v>
      </c>
      <c r="LQ248">
        <v>0</v>
      </c>
      <c r="LR248">
        <v>0</v>
      </c>
      <c r="LS248">
        <v>0</v>
      </c>
      <c r="LT248">
        <v>0</v>
      </c>
      <c r="LU248">
        <v>0</v>
      </c>
      <c r="LV248">
        <v>0</v>
      </c>
      <c r="LW248">
        <v>0</v>
      </c>
      <c r="LX248">
        <v>0</v>
      </c>
      <c r="LY248">
        <v>0</v>
      </c>
      <c r="LZ248">
        <v>0</v>
      </c>
      <c r="MA248">
        <v>0</v>
      </c>
      <c r="MB248">
        <v>0</v>
      </c>
      <c r="MC248">
        <v>0</v>
      </c>
      <c r="MD248">
        <v>0</v>
      </c>
      <c r="ME248">
        <v>0</v>
      </c>
      <c r="MF248">
        <v>0</v>
      </c>
      <c r="MG248">
        <v>0</v>
      </c>
      <c r="MH248">
        <v>0</v>
      </c>
      <c r="MI248">
        <v>0</v>
      </c>
      <c r="MJ248">
        <v>0</v>
      </c>
      <c r="MK248">
        <v>0</v>
      </c>
      <c r="ML248">
        <v>0</v>
      </c>
      <c r="MM248">
        <v>0</v>
      </c>
      <c r="MN248">
        <v>0</v>
      </c>
      <c r="MO248">
        <v>0</v>
      </c>
      <c r="MP248">
        <v>0</v>
      </c>
      <c r="MQ248">
        <v>0</v>
      </c>
      <c r="MR248">
        <v>0</v>
      </c>
      <c r="MS248">
        <v>0</v>
      </c>
      <c r="MT248">
        <v>0</v>
      </c>
      <c r="MU248">
        <v>0</v>
      </c>
      <c r="MV248">
        <v>0</v>
      </c>
      <c r="MW248">
        <v>0</v>
      </c>
      <c r="MX248">
        <v>0</v>
      </c>
      <c r="MY248">
        <v>0</v>
      </c>
      <c r="MZ248">
        <v>0</v>
      </c>
      <c r="NA248">
        <v>0</v>
      </c>
      <c r="NB248">
        <v>0</v>
      </c>
      <c r="NC248">
        <v>0</v>
      </c>
      <c r="ND248">
        <v>0</v>
      </c>
      <c r="NE248">
        <v>0</v>
      </c>
    </row>
    <row r="249" spans="41:369" x14ac:dyDescent="0.45">
      <c r="AO249" t="str">
        <v>D125</v>
      </c>
      <c r="AP249" t="str">
        <v>SAYYAD MOHAMMED VASIL</v>
      </c>
      <c r="AQ249" t="str">
        <v>DAHF</v>
      </c>
      <c r="AR249" t="str">
        <v>SUPER SENIOR</v>
      </c>
      <c r="AS249">
        <v>8</v>
      </c>
      <c r="AT249">
        <v>0</v>
      </c>
      <c r="AU249">
        <v>0</v>
      </c>
      <c r="AV249">
        <v>0</v>
      </c>
      <c r="AW249">
        <v>0</v>
      </c>
      <c r="AX249">
        <v>255</v>
      </c>
      <c r="AY249" s="5">
        <v>255</v>
      </c>
      <c r="AZ249">
        <v>0</v>
      </c>
      <c r="BA249">
        <v>0</v>
      </c>
      <c r="BB249">
        <v>0</v>
      </c>
      <c r="BC249">
        <v>0</v>
      </c>
      <c r="BD249">
        <v>0</v>
      </c>
      <c r="BE249">
        <v>0</v>
      </c>
      <c r="BF249">
        <v>0</v>
      </c>
      <c r="BG249">
        <v>0</v>
      </c>
      <c r="BH249">
        <v>0</v>
      </c>
      <c r="BI249" t="str">
        <v/>
      </c>
      <c r="BK249">
        <v>243</v>
      </c>
      <c r="BL249">
        <v>0</v>
      </c>
      <c r="BM249">
        <v>0</v>
      </c>
      <c r="BN249">
        <v>0</v>
      </c>
      <c r="BO249">
        <v>0</v>
      </c>
      <c r="BP249">
        <v>0</v>
      </c>
      <c r="BQ249">
        <v>0</v>
      </c>
      <c r="BR249">
        <v>0</v>
      </c>
      <c r="BS249">
        <v>0</v>
      </c>
      <c r="BT249">
        <v>0</v>
      </c>
      <c r="BU249">
        <v>0</v>
      </c>
      <c r="BV249">
        <v>0</v>
      </c>
      <c r="BW249">
        <v>0</v>
      </c>
      <c r="BX249">
        <v>0</v>
      </c>
      <c r="BY249">
        <v>0</v>
      </c>
      <c r="BZ249">
        <v>0</v>
      </c>
      <c r="CA249">
        <v>0</v>
      </c>
      <c r="CB249">
        <v>0</v>
      </c>
      <c r="CC249">
        <v>0</v>
      </c>
      <c r="CD249">
        <v>0</v>
      </c>
      <c r="CE249">
        <v>0</v>
      </c>
      <c r="CF249">
        <v>0</v>
      </c>
      <c r="CG249">
        <v>0</v>
      </c>
      <c r="CH249">
        <v>0</v>
      </c>
      <c r="CI249">
        <v>0</v>
      </c>
      <c r="CJ249">
        <v>0</v>
      </c>
      <c r="CK249">
        <v>0</v>
      </c>
      <c r="CL249">
        <v>0</v>
      </c>
      <c r="CM249">
        <v>0</v>
      </c>
      <c r="CN249">
        <v>0</v>
      </c>
      <c r="CO249">
        <v>0</v>
      </c>
      <c r="CP249">
        <v>0</v>
      </c>
      <c r="CQ249">
        <v>0</v>
      </c>
      <c r="CR249">
        <v>0</v>
      </c>
      <c r="CS249">
        <v>0</v>
      </c>
      <c r="CT249">
        <v>0</v>
      </c>
      <c r="CU249">
        <v>0</v>
      </c>
      <c r="CV249">
        <v>0</v>
      </c>
      <c r="CW249">
        <v>0</v>
      </c>
      <c r="CX249">
        <v>0</v>
      </c>
      <c r="CY249">
        <v>0</v>
      </c>
      <c r="CZ249">
        <v>0</v>
      </c>
      <c r="DA249">
        <v>0</v>
      </c>
      <c r="DB249">
        <v>0</v>
      </c>
      <c r="DC249">
        <v>0</v>
      </c>
      <c r="DD249">
        <v>0</v>
      </c>
      <c r="DE249">
        <v>0</v>
      </c>
      <c r="DF249">
        <v>0</v>
      </c>
      <c r="DG249">
        <v>0</v>
      </c>
      <c r="DH249">
        <v>0</v>
      </c>
      <c r="DI249">
        <v>0</v>
      </c>
      <c r="DJ249">
        <v>0</v>
      </c>
      <c r="DK249">
        <v>0</v>
      </c>
      <c r="DL249">
        <v>0</v>
      </c>
      <c r="DM249">
        <v>0</v>
      </c>
      <c r="DN249">
        <v>0</v>
      </c>
      <c r="DO249">
        <v>0</v>
      </c>
      <c r="DP249">
        <v>0</v>
      </c>
      <c r="DQ249">
        <v>0</v>
      </c>
      <c r="DR249">
        <v>0</v>
      </c>
      <c r="DS249">
        <v>0</v>
      </c>
      <c r="DT249">
        <v>0</v>
      </c>
      <c r="DU249">
        <v>0</v>
      </c>
      <c r="DV249">
        <v>0</v>
      </c>
      <c r="DW249">
        <v>0</v>
      </c>
      <c r="DX249">
        <v>0</v>
      </c>
      <c r="DY249">
        <v>0</v>
      </c>
      <c r="DZ249">
        <v>0</v>
      </c>
      <c r="EA249">
        <v>0</v>
      </c>
      <c r="EB249">
        <v>0</v>
      </c>
      <c r="EC249">
        <v>0</v>
      </c>
      <c r="ED249">
        <v>0</v>
      </c>
      <c r="EE249">
        <v>0</v>
      </c>
      <c r="EF249">
        <v>0</v>
      </c>
      <c r="EG249">
        <v>0</v>
      </c>
      <c r="EH249">
        <v>0</v>
      </c>
      <c r="EI249">
        <v>0</v>
      </c>
      <c r="EJ249">
        <v>0</v>
      </c>
      <c r="EK249">
        <v>0</v>
      </c>
      <c r="EL249">
        <v>0</v>
      </c>
      <c r="EM249">
        <v>0</v>
      </c>
      <c r="EN249">
        <v>0</v>
      </c>
      <c r="EO249">
        <v>0</v>
      </c>
      <c r="EP249">
        <v>0</v>
      </c>
      <c r="EQ249">
        <v>0</v>
      </c>
      <c r="ER249">
        <v>0</v>
      </c>
      <c r="ES249">
        <v>0</v>
      </c>
      <c r="ET249">
        <v>0</v>
      </c>
      <c r="EU249">
        <v>0</v>
      </c>
      <c r="EV249">
        <v>0</v>
      </c>
      <c r="EW249">
        <v>0</v>
      </c>
      <c r="EX249">
        <v>0</v>
      </c>
      <c r="EY249">
        <v>0</v>
      </c>
      <c r="EZ249">
        <v>0</v>
      </c>
      <c r="FA249">
        <v>0</v>
      </c>
      <c r="FB249">
        <v>0</v>
      </c>
      <c r="FC249">
        <v>0</v>
      </c>
      <c r="FD249">
        <v>0</v>
      </c>
      <c r="FE249">
        <v>0</v>
      </c>
      <c r="FF249">
        <v>0</v>
      </c>
      <c r="FG249">
        <v>0</v>
      </c>
      <c r="FH249">
        <v>0</v>
      </c>
      <c r="FI249">
        <v>0</v>
      </c>
      <c r="FJ249">
        <v>0</v>
      </c>
      <c r="FK249">
        <v>0</v>
      </c>
      <c r="FL249">
        <v>0</v>
      </c>
      <c r="FM249">
        <v>0</v>
      </c>
      <c r="FN249">
        <v>0</v>
      </c>
      <c r="FO249">
        <v>0</v>
      </c>
      <c r="FP249">
        <v>0</v>
      </c>
      <c r="FQ249">
        <v>0</v>
      </c>
      <c r="FR249">
        <v>0</v>
      </c>
      <c r="FS249">
        <v>0</v>
      </c>
      <c r="FT249">
        <v>0</v>
      </c>
      <c r="FU249">
        <v>0</v>
      </c>
      <c r="FV249">
        <v>0</v>
      </c>
      <c r="FW249">
        <v>0</v>
      </c>
      <c r="FX249">
        <v>0</v>
      </c>
      <c r="FY249">
        <v>0</v>
      </c>
      <c r="FZ249">
        <v>0</v>
      </c>
      <c r="GA249">
        <v>0</v>
      </c>
      <c r="GB249">
        <v>0</v>
      </c>
      <c r="GC249">
        <v>0</v>
      </c>
      <c r="GD249">
        <v>0</v>
      </c>
      <c r="GE249">
        <v>0</v>
      </c>
      <c r="GF249">
        <v>0</v>
      </c>
      <c r="GG249">
        <v>0</v>
      </c>
      <c r="GH249">
        <v>0</v>
      </c>
      <c r="GI249">
        <v>0</v>
      </c>
      <c r="GJ249">
        <v>0</v>
      </c>
      <c r="GK249">
        <v>0</v>
      </c>
      <c r="GL249">
        <v>0</v>
      </c>
      <c r="GM249">
        <v>0</v>
      </c>
      <c r="GN249">
        <v>0</v>
      </c>
      <c r="GO249">
        <v>0</v>
      </c>
      <c r="GP249">
        <v>0</v>
      </c>
      <c r="GQ249">
        <v>0</v>
      </c>
      <c r="GR249">
        <v>0</v>
      </c>
      <c r="GS249">
        <v>0</v>
      </c>
      <c r="GT249">
        <v>0</v>
      </c>
      <c r="GU249">
        <v>0</v>
      </c>
      <c r="GV249">
        <v>0</v>
      </c>
      <c r="GW249">
        <v>0</v>
      </c>
      <c r="GX249">
        <v>0</v>
      </c>
      <c r="GY249">
        <v>0</v>
      </c>
      <c r="GZ249">
        <v>0</v>
      </c>
      <c r="HA249">
        <v>0</v>
      </c>
      <c r="HB249">
        <v>0</v>
      </c>
      <c r="HC249">
        <v>0</v>
      </c>
      <c r="HD249">
        <v>0</v>
      </c>
      <c r="HE249">
        <v>0</v>
      </c>
      <c r="HF249">
        <v>0</v>
      </c>
      <c r="HG249">
        <v>0</v>
      </c>
      <c r="HH249">
        <v>0</v>
      </c>
      <c r="HI249">
        <v>0</v>
      </c>
      <c r="HJ249">
        <v>0</v>
      </c>
      <c r="HK249">
        <v>0</v>
      </c>
      <c r="HL249">
        <v>0</v>
      </c>
      <c r="HM249">
        <v>0</v>
      </c>
      <c r="HN249">
        <v>0</v>
      </c>
      <c r="HO249">
        <v>0</v>
      </c>
      <c r="HP249">
        <v>0</v>
      </c>
      <c r="HQ249">
        <v>0</v>
      </c>
      <c r="HR249">
        <v>0</v>
      </c>
      <c r="HS249">
        <v>0</v>
      </c>
      <c r="HT249">
        <v>0</v>
      </c>
      <c r="HU249">
        <v>0</v>
      </c>
      <c r="HV249">
        <v>0</v>
      </c>
      <c r="HW249">
        <v>0</v>
      </c>
      <c r="HX249">
        <v>0</v>
      </c>
      <c r="HY249">
        <v>0</v>
      </c>
      <c r="HZ249">
        <v>0</v>
      </c>
      <c r="IA249">
        <v>0</v>
      </c>
      <c r="IB249">
        <v>0</v>
      </c>
      <c r="IC249">
        <v>0</v>
      </c>
      <c r="ID249">
        <v>0</v>
      </c>
      <c r="IE249">
        <v>0</v>
      </c>
      <c r="IF249">
        <v>0</v>
      </c>
      <c r="IG249">
        <v>0</v>
      </c>
      <c r="IH249">
        <v>0</v>
      </c>
      <c r="II249">
        <v>0</v>
      </c>
      <c r="IJ249">
        <v>0</v>
      </c>
      <c r="IK249">
        <v>0</v>
      </c>
      <c r="IL249">
        <v>0</v>
      </c>
      <c r="IM249">
        <v>0</v>
      </c>
      <c r="IN249">
        <v>0</v>
      </c>
      <c r="IO249">
        <v>0</v>
      </c>
      <c r="IP249">
        <v>0</v>
      </c>
      <c r="IQ249">
        <v>0</v>
      </c>
      <c r="IR249">
        <v>0</v>
      </c>
      <c r="IS249">
        <v>0</v>
      </c>
      <c r="IT249">
        <v>0</v>
      </c>
      <c r="IU249">
        <v>0</v>
      </c>
      <c r="IV249">
        <v>0</v>
      </c>
      <c r="IW249">
        <v>0</v>
      </c>
      <c r="IX249">
        <v>0</v>
      </c>
      <c r="IY249">
        <v>0</v>
      </c>
      <c r="IZ249">
        <v>0</v>
      </c>
      <c r="JA249">
        <v>0</v>
      </c>
      <c r="JB249">
        <v>0</v>
      </c>
      <c r="JC249">
        <v>0</v>
      </c>
      <c r="JD249">
        <v>0</v>
      </c>
      <c r="JE249">
        <v>0</v>
      </c>
      <c r="JF249">
        <v>0</v>
      </c>
      <c r="JG249">
        <v>0</v>
      </c>
      <c r="JH249">
        <v>0</v>
      </c>
      <c r="JI249">
        <v>0</v>
      </c>
      <c r="JJ249">
        <v>0</v>
      </c>
      <c r="JK249">
        <v>0</v>
      </c>
      <c r="JL249">
        <v>0</v>
      </c>
      <c r="JM249">
        <v>0</v>
      </c>
      <c r="JN249">
        <v>0</v>
      </c>
      <c r="JO249">
        <v>0</v>
      </c>
      <c r="JP249">
        <v>0</v>
      </c>
      <c r="JQ249">
        <v>0</v>
      </c>
      <c r="JR249">
        <v>0</v>
      </c>
      <c r="JS249">
        <v>0</v>
      </c>
      <c r="JT249">
        <v>0</v>
      </c>
      <c r="JU249">
        <v>0</v>
      </c>
      <c r="JV249">
        <v>0</v>
      </c>
      <c r="JW249">
        <v>0</v>
      </c>
      <c r="JX249">
        <v>0</v>
      </c>
      <c r="JY249">
        <v>0</v>
      </c>
      <c r="JZ249">
        <v>0</v>
      </c>
      <c r="KA249">
        <v>0</v>
      </c>
      <c r="KB249">
        <v>0</v>
      </c>
      <c r="KC249">
        <v>0</v>
      </c>
      <c r="KD249">
        <v>0</v>
      </c>
      <c r="KE249">
        <v>0</v>
      </c>
      <c r="KF249">
        <v>0</v>
      </c>
      <c r="KG249">
        <v>0</v>
      </c>
      <c r="KH249">
        <v>0</v>
      </c>
      <c r="KI249">
        <v>0</v>
      </c>
      <c r="KJ249">
        <v>0</v>
      </c>
      <c r="KK249">
        <v>0</v>
      </c>
      <c r="KL249">
        <v>0</v>
      </c>
      <c r="KM249">
        <v>0</v>
      </c>
      <c r="KN249">
        <v>0</v>
      </c>
      <c r="KO249">
        <v>0</v>
      </c>
      <c r="KP249">
        <v>0</v>
      </c>
      <c r="KQ249">
        <v>0</v>
      </c>
      <c r="KR249">
        <v>0</v>
      </c>
      <c r="KS249">
        <v>0</v>
      </c>
      <c r="KT249">
        <v>0</v>
      </c>
      <c r="KU249">
        <v>0</v>
      </c>
      <c r="KV249">
        <v>0</v>
      </c>
      <c r="KW249">
        <v>0</v>
      </c>
      <c r="KX249">
        <v>0</v>
      </c>
      <c r="KY249">
        <v>0</v>
      </c>
      <c r="KZ249">
        <v>0</v>
      </c>
      <c r="LA249">
        <v>0</v>
      </c>
      <c r="LB249">
        <v>0</v>
      </c>
      <c r="LC249">
        <v>0</v>
      </c>
      <c r="LD249">
        <v>0</v>
      </c>
      <c r="LE249">
        <v>0</v>
      </c>
      <c r="LF249">
        <v>0</v>
      </c>
      <c r="LG249">
        <v>0</v>
      </c>
      <c r="LH249">
        <v>0</v>
      </c>
      <c r="LI249">
        <v>0</v>
      </c>
      <c r="LJ249">
        <v>0</v>
      </c>
      <c r="LK249">
        <v>0</v>
      </c>
      <c r="LL249">
        <v>0</v>
      </c>
      <c r="LM249">
        <v>0</v>
      </c>
      <c r="LN249">
        <v>0</v>
      </c>
      <c r="LO249">
        <v>0</v>
      </c>
      <c r="LP249">
        <v>0</v>
      </c>
      <c r="LQ249">
        <v>0</v>
      </c>
      <c r="LR249">
        <v>0</v>
      </c>
      <c r="LS249">
        <v>0</v>
      </c>
      <c r="LT249">
        <v>0</v>
      </c>
      <c r="LU249">
        <v>0</v>
      </c>
      <c r="LV249">
        <v>0</v>
      </c>
      <c r="LW249">
        <v>0</v>
      </c>
      <c r="LX249">
        <v>0</v>
      </c>
      <c r="LY249">
        <v>0</v>
      </c>
      <c r="LZ249">
        <v>0</v>
      </c>
      <c r="MA249">
        <v>0</v>
      </c>
      <c r="MB249">
        <v>0</v>
      </c>
      <c r="MC249">
        <v>0</v>
      </c>
      <c r="MD249">
        <v>0</v>
      </c>
      <c r="ME249">
        <v>0</v>
      </c>
      <c r="MF249">
        <v>0</v>
      </c>
      <c r="MG249">
        <v>0</v>
      </c>
      <c r="MH249">
        <v>0</v>
      </c>
      <c r="MI249">
        <v>0</v>
      </c>
      <c r="MJ249">
        <v>0</v>
      </c>
      <c r="MK249">
        <v>0</v>
      </c>
      <c r="ML249">
        <v>0</v>
      </c>
      <c r="MM249">
        <v>0</v>
      </c>
      <c r="MN249">
        <v>0</v>
      </c>
      <c r="MO249">
        <v>0</v>
      </c>
      <c r="MP249">
        <v>0</v>
      </c>
      <c r="MQ249">
        <v>0</v>
      </c>
      <c r="MR249">
        <v>0</v>
      </c>
      <c r="MS249">
        <v>0</v>
      </c>
      <c r="MT249">
        <v>0</v>
      </c>
      <c r="MU249">
        <v>0</v>
      </c>
      <c r="MV249">
        <v>0</v>
      </c>
      <c r="MW249">
        <v>0</v>
      </c>
      <c r="MX249">
        <v>0</v>
      </c>
      <c r="MY249">
        <v>0</v>
      </c>
      <c r="MZ249">
        <v>0</v>
      </c>
      <c r="NA249">
        <v>0</v>
      </c>
      <c r="NB249">
        <v>0</v>
      </c>
      <c r="NC249">
        <v>0</v>
      </c>
      <c r="ND249">
        <v>0</v>
      </c>
      <c r="NE249">
        <v>0</v>
      </c>
    </row>
    <row r="250" spans="41:369" x14ac:dyDescent="0.45">
      <c r="AO250" t="str">
        <v>D126</v>
      </c>
      <c r="AP250" t="str">
        <v>MUHAMMED MIDHLAJ KK</v>
      </c>
      <c r="AQ250" t="str">
        <v>BADF</v>
      </c>
      <c r="AR250" t="str">
        <v>SUPER SENIOR</v>
      </c>
      <c r="AS250">
        <v>8</v>
      </c>
      <c r="AT250">
        <v>10</v>
      </c>
      <c r="AU250">
        <v>0</v>
      </c>
      <c r="AV250">
        <v>10</v>
      </c>
      <c r="AW250">
        <v>10</v>
      </c>
      <c r="AX250">
        <v>131</v>
      </c>
      <c r="AY250" s="5">
        <v>131</v>
      </c>
      <c r="AZ250">
        <v>0</v>
      </c>
      <c r="BA250">
        <v>0</v>
      </c>
      <c r="BB250">
        <v>0</v>
      </c>
      <c r="BC250">
        <v>0</v>
      </c>
      <c r="BD250">
        <v>0</v>
      </c>
      <c r="BE250">
        <v>0</v>
      </c>
      <c r="BF250">
        <v>0</v>
      </c>
      <c r="BG250">
        <v>0</v>
      </c>
      <c r="BH250">
        <v>0</v>
      </c>
      <c r="BI250" t="str">
        <v/>
      </c>
      <c r="BK250">
        <v>244</v>
      </c>
      <c r="BL250">
        <v>0</v>
      </c>
      <c r="BM250">
        <v>0</v>
      </c>
      <c r="BN250">
        <v>0</v>
      </c>
      <c r="BO250">
        <v>0</v>
      </c>
      <c r="BP250">
        <v>0</v>
      </c>
      <c r="BQ250">
        <v>0</v>
      </c>
      <c r="BR250">
        <v>0</v>
      </c>
      <c r="BS250">
        <v>0</v>
      </c>
      <c r="BT250">
        <v>0</v>
      </c>
      <c r="BU250">
        <v>0</v>
      </c>
      <c r="BV250">
        <v>0</v>
      </c>
      <c r="BW250">
        <v>0</v>
      </c>
      <c r="BX250">
        <v>0</v>
      </c>
      <c r="BY250">
        <v>0</v>
      </c>
      <c r="BZ250">
        <v>0</v>
      </c>
      <c r="CA250">
        <v>0</v>
      </c>
      <c r="CB250">
        <v>0</v>
      </c>
      <c r="CC250">
        <v>0</v>
      </c>
      <c r="CD250">
        <v>0</v>
      </c>
      <c r="CE250">
        <v>0</v>
      </c>
      <c r="CF250">
        <v>0</v>
      </c>
      <c r="CG250">
        <v>0</v>
      </c>
      <c r="CH250">
        <v>0</v>
      </c>
      <c r="CI250">
        <v>0</v>
      </c>
      <c r="CJ250">
        <v>0</v>
      </c>
      <c r="CK250">
        <v>0</v>
      </c>
      <c r="CL250">
        <v>0</v>
      </c>
      <c r="CM250">
        <v>0</v>
      </c>
      <c r="CN250">
        <v>0</v>
      </c>
      <c r="CO250">
        <v>0</v>
      </c>
      <c r="CP250">
        <v>0</v>
      </c>
      <c r="CQ250">
        <v>0</v>
      </c>
      <c r="CR250">
        <v>0</v>
      </c>
      <c r="CS250">
        <v>0</v>
      </c>
      <c r="CT250">
        <v>0</v>
      </c>
      <c r="CU250">
        <v>0</v>
      </c>
      <c r="CV250">
        <v>0</v>
      </c>
      <c r="CW250">
        <v>0</v>
      </c>
      <c r="CX250">
        <v>0</v>
      </c>
      <c r="CY250">
        <v>0</v>
      </c>
      <c r="CZ250">
        <v>0</v>
      </c>
      <c r="DA250">
        <v>0</v>
      </c>
      <c r="DB250">
        <v>0</v>
      </c>
      <c r="DC250">
        <v>0</v>
      </c>
      <c r="DD250">
        <v>0</v>
      </c>
      <c r="DE250">
        <v>0</v>
      </c>
      <c r="DF250">
        <v>0</v>
      </c>
      <c r="DG250">
        <v>0</v>
      </c>
      <c r="DH250">
        <v>0</v>
      </c>
      <c r="DI250">
        <v>0</v>
      </c>
      <c r="DJ250">
        <v>0</v>
      </c>
      <c r="DK250">
        <v>0</v>
      </c>
      <c r="DL250">
        <v>0</v>
      </c>
      <c r="DM250">
        <v>0</v>
      </c>
      <c r="DN250">
        <v>0</v>
      </c>
      <c r="DO250">
        <v>0</v>
      </c>
      <c r="DP250">
        <v>0</v>
      </c>
      <c r="DQ250">
        <v>0</v>
      </c>
      <c r="DR250">
        <v>0</v>
      </c>
      <c r="DS250">
        <v>0</v>
      </c>
      <c r="DT250">
        <v>0</v>
      </c>
      <c r="DU250">
        <v>0</v>
      </c>
      <c r="DV250">
        <v>0</v>
      </c>
      <c r="DW250">
        <v>0</v>
      </c>
      <c r="DX250">
        <v>0</v>
      </c>
      <c r="DY250">
        <v>0</v>
      </c>
      <c r="DZ250">
        <v>0</v>
      </c>
      <c r="EA250">
        <v>0</v>
      </c>
      <c r="EB250">
        <v>0</v>
      </c>
      <c r="EC250">
        <v>0</v>
      </c>
      <c r="ED250">
        <v>0</v>
      </c>
      <c r="EE250">
        <v>0</v>
      </c>
      <c r="EF250">
        <v>0</v>
      </c>
      <c r="EG250">
        <v>0</v>
      </c>
      <c r="EH250">
        <v>0</v>
      </c>
      <c r="EI250">
        <v>0</v>
      </c>
      <c r="EJ250">
        <v>0</v>
      </c>
      <c r="EK250">
        <v>0</v>
      </c>
      <c r="EL250">
        <v>0</v>
      </c>
      <c r="EM250">
        <v>0</v>
      </c>
      <c r="EN250">
        <v>0</v>
      </c>
      <c r="EO250">
        <v>0</v>
      </c>
      <c r="EP250">
        <v>0</v>
      </c>
      <c r="EQ250">
        <v>0</v>
      </c>
      <c r="ER250">
        <v>0</v>
      </c>
      <c r="ES250">
        <v>0</v>
      </c>
      <c r="ET250">
        <v>0</v>
      </c>
      <c r="EU250">
        <v>0</v>
      </c>
      <c r="EV250">
        <v>0</v>
      </c>
      <c r="EW250">
        <v>0</v>
      </c>
      <c r="EX250">
        <v>0</v>
      </c>
      <c r="EY250">
        <v>0</v>
      </c>
      <c r="EZ250">
        <v>0</v>
      </c>
      <c r="FA250">
        <v>0</v>
      </c>
      <c r="FB250">
        <v>0</v>
      </c>
      <c r="FC250">
        <v>0</v>
      </c>
      <c r="FD250">
        <v>0</v>
      </c>
      <c r="FE250">
        <v>0</v>
      </c>
      <c r="FF250">
        <v>0</v>
      </c>
      <c r="FG250">
        <v>0</v>
      </c>
      <c r="FH250">
        <v>0</v>
      </c>
      <c r="FI250">
        <v>0</v>
      </c>
      <c r="FJ250">
        <v>0</v>
      </c>
      <c r="FK250">
        <v>0</v>
      </c>
      <c r="FL250">
        <v>0</v>
      </c>
      <c r="FM250">
        <v>0</v>
      </c>
      <c r="FN250">
        <v>0</v>
      </c>
      <c r="FO250">
        <v>0</v>
      </c>
      <c r="FP250">
        <v>0</v>
      </c>
      <c r="FQ250">
        <v>0</v>
      </c>
      <c r="FR250">
        <v>0</v>
      </c>
      <c r="FS250">
        <v>0</v>
      </c>
      <c r="FT250">
        <v>0</v>
      </c>
      <c r="FU250">
        <v>0</v>
      </c>
      <c r="FV250">
        <v>0</v>
      </c>
      <c r="FW250">
        <v>0</v>
      </c>
      <c r="FX250">
        <v>0</v>
      </c>
      <c r="FY250">
        <v>0</v>
      </c>
      <c r="FZ250">
        <v>0</v>
      </c>
      <c r="GA250">
        <v>0</v>
      </c>
      <c r="GB250">
        <v>0</v>
      </c>
      <c r="GC250">
        <v>0</v>
      </c>
      <c r="GD250">
        <v>0</v>
      </c>
      <c r="GE250">
        <v>0</v>
      </c>
      <c r="GF250">
        <v>0</v>
      </c>
      <c r="GG250">
        <v>0</v>
      </c>
      <c r="GH250">
        <v>0</v>
      </c>
      <c r="GI250">
        <v>0</v>
      </c>
      <c r="GJ250">
        <v>0</v>
      </c>
      <c r="GK250">
        <v>0</v>
      </c>
      <c r="GL250">
        <v>0</v>
      </c>
      <c r="GM250">
        <v>0</v>
      </c>
      <c r="GN250">
        <v>0</v>
      </c>
      <c r="GO250">
        <v>0</v>
      </c>
      <c r="GP250">
        <v>0</v>
      </c>
      <c r="GQ250">
        <v>0</v>
      </c>
      <c r="GR250">
        <v>0</v>
      </c>
      <c r="GS250">
        <v>0</v>
      </c>
      <c r="GT250">
        <v>0</v>
      </c>
      <c r="GU250">
        <v>0</v>
      </c>
      <c r="GV250">
        <v>0</v>
      </c>
      <c r="GW250">
        <v>0</v>
      </c>
      <c r="GX250">
        <v>0</v>
      </c>
      <c r="GY250">
        <v>0</v>
      </c>
      <c r="GZ250">
        <v>0</v>
      </c>
      <c r="HA250">
        <v>0</v>
      </c>
      <c r="HB250">
        <v>0</v>
      </c>
      <c r="HC250">
        <v>0</v>
      </c>
      <c r="HD250">
        <v>0</v>
      </c>
      <c r="HE250">
        <v>0</v>
      </c>
      <c r="HF250">
        <v>0</v>
      </c>
      <c r="HG250">
        <v>0</v>
      </c>
      <c r="HH250">
        <v>0</v>
      </c>
      <c r="HI250">
        <v>0</v>
      </c>
      <c r="HJ250">
        <v>0</v>
      </c>
      <c r="HK250">
        <v>0</v>
      </c>
      <c r="HL250">
        <v>0</v>
      </c>
      <c r="HM250">
        <v>0</v>
      </c>
      <c r="HN250">
        <v>0</v>
      </c>
      <c r="HO250">
        <v>0</v>
      </c>
      <c r="HP250">
        <v>0</v>
      </c>
      <c r="HQ250">
        <v>0</v>
      </c>
      <c r="HR250">
        <v>0</v>
      </c>
      <c r="HS250">
        <v>0</v>
      </c>
      <c r="HT250">
        <v>0</v>
      </c>
      <c r="HU250">
        <v>0</v>
      </c>
      <c r="HV250">
        <v>0</v>
      </c>
      <c r="HW250">
        <v>0</v>
      </c>
      <c r="HX250">
        <v>0</v>
      </c>
      <c r="HY250">
        <v>0</v>
      </c>
      <c r="HZ250">
        <v>0</v>
      </c>
      <c r="IA250">
        <v>0</v>
      </c>
      <c r="IB250">
        <v>0</v>
      </c>
      <c r="IC250">
        <v>0</v>
      </c>
      <c r="ID250">
        <v>0</v>
      </c>
      <c r="IE250">
        <v>0</v>
      </c>
      <c r="IF250">
        <v>0</v>
      </c>
      <c r="IG250">
        <v>0</v>
      </c>
      <c r="IH250">
        <v>0</v>
      </c>
      <c r="II250">
        <v>0</v>
      </c>
      <c r="IJ250">
        <v>0</v>
      </c>
      <c r="IK250">
        <v>0</v>
      </c>
      <c r="IL250">
        <v>0</v>
      </c>
      <c r="IM250">
        <v>0</v>
      </c>
      <c r="IN250">
        <v>0</v>
      </c>
      <c r="IO250">
        <v>0</v>
      </c>
      <c r="IP250">
        <v>0</v>
      </c>
      <c r="IQ250">
        <v>0</v>
      </c>
      <c r="IR250">
        <v>0</v>
      </c>
      <c r="IS250">
        <v>0</v>
      </c>
      <c r="IT250">
        <v>0</v>
      </c>
      <c r="IU250">
        <v>0</v>
      </c>
      <c r="IV250">
        <v>0</v>
      </c>
      <c r="IW250">
        <v>0</v>
      </c>
      <c r="IX250">
        <v>0</v>
      </c>
      <c r="IY250">
        <v>0</v>
      </c>
      <c r="IZ250">
        <v>0</v>
      </c>
      <c r="JA250">
        <v>0</v>
      </c>
      <c r="JB250">
        <v>0</v>
      </c>
      <c r="JC250">
        <v>0</v>
      </c>
      <c r="JD250">
        <v>0</v>
      </c>
      <c r="JE250">
        <v>0</v>
      </c>
      <c r="JF250">
        <v>0</v>
      </c>
      <c r="JG250">
        <v>0</v>
      </c>
      <c r="JH250">
        <v>0</v>
      </c>
      <c r="JI250">
        <v>0</v>
      </c>
      <c r="JJ250">
        <v>0</v>
      </c>
      <c r="JK250">
        <v>0</v>
      </c>
      <c r="JL250">
        <v>0</v>
      </c>
      <c r="JM250">
        <v>0</v>
      </c>
      <c r="JN250">
        <v>0</v>
      </c>
      <c r="JO250">
        <v>0</v>
      </c>
      <c r="JP250">
        <v>0</v>
      </c>
      <c r="JQ250">
        <v>0</v>
      </c>
      <c r="JR250">
        <v>0</v>
      </c>
      <c r="JS250">
        <v>0</v>
      </c>
      <c r="JT250">
        <v>0</v>
      </c>
      <c r="JU250">
        <v>0</v>
      </c>
      <c r="JV250">
        <v>0</v>
      </c>
      <c r="JW250">
        <v>0</v>
      </c>
      <c r="JX250">
        <v>0</v>
      </c>
      <c r="JY250">
        <v>0</v>
      </c>
      <c r="JZ250">
        <v>0</v>
      </c>
      <c r="KA250">
        <v>0</v>
      </c>
      <c r="KB250">
        <v>0</v>
      </c>
      <c r="KC250">
        <v>0</v>
      </c>
      <c r="KD250">
        <v>0</v>
      </c>
      <c r="KE250">
        <v>0</v>
      </c>
      <c r="KF250">
        <v>0</v>
      </c>
      <c r="KG250">
        <v>0</v>
      </c>
      <c r="KH250">
        <v>0</v>
      </c>
      <c r="KI250">
        <v>0</v>
      </c>
      <c r="KJ250">
        <v>0</v>
      </c>
      <c r="KK250">
        <v>0</v>
      </c>
      <c r="KL250">
        <v>0</v>
      </c>
      <c r="KM250">
        <v>0</v>
      </c>
      <c r="KN250">
        <v>0</v>
      </c>
      <c r="KO250">
        <v>0</v>
      </c>
      <c r="KP250">
        <v>0</v>
      </c>
      <c r="KQ250">
        <v>0</v>
      </c>
      <c r="KR250">
        <v>0</v>
      </c>
      <c r="KS250">
        <v>0</v>
      </c>
      <c r="KT250">
        <v>0</v>
      </c>
      <c r="KU250">
        <v>0</v>
      </c>
      <c r="KV250">
        <v>0</v>
      </c>
      <c r="KW250">
        <v>0</v>
      </c>
      <c r="KX250">
        <v>0</v>
      </c>
      <c r="KY250">
        <v>0</v>
      </c>
      <c r="KZ250">
        <v>0</v>
      </c>
      <c r="LA250">
        <v>0</v>
      </c>
      <c r="LB250">
        <v>0</v>
      </c>
      <c r="LC250">
        <v>0</v>
      </c>
      <c r="LD250">
        <v>0</v>
      </c>
      <c r="LE250">
        <v>0</v>
      </c>
      <c r="LF250">
        <v>0</v>
      </c>
      <c r="LG250">
        <v>0</v>
      </c>
      <c r="LH250">
        <v>0</v>
      </c>
      <c r="LI250">
        <v>0</v>
      </c>
      <c r="LJ250">
        <v>0</v>
      </c>
      <c r="LK250">
        <v>0</v>
      </c>
      <c r="LL250">
        <v>0</v>
      </c>
      <c r="LM250">
        <v>0</v>
      </c>
      <c r="LN250">
        <v>0</v>
      </c>
      <c r="LO250">
        <v>0</v>
      </c>
      <c r="LP250">
        <v>0</v>
      </c>
      <c r="LQ250">
        <v>0</v>
      </c>
      <c r="LR250">
        <v>0</v>
      </c>
      <c r="LS250">
        <v>0</v>
      </c>
      <c r="LT250">
        <v>0</v>
      </c>
      <c r="LU250">
        <v>0</v>
      </c>
      <c r="LV250">
        <v>0</v>
      </c>
      <c r="LW250">
        <v>0</v>
      </c>
      <c r="LX250">
        <v>0</v>
      </c>
      <c r="LY250">
        <v>0</v>
      </c>
      <c r="LZ250">
        <v>0</v>
      </c>
      <c r="MA250">
        <v>0</v>
      </c>
      <c r="MB250">
        <v>0</v>
      </c>
      <c r="MC250">
        <v>0</v>
      </c>
      <c r="MD250">
        <v>0</v>
      </c>
      <c r="ME250">
        <v>0</v>
      </c>
      <c r="MF250">
        <v>0</v>
      </c>
      <c r="MG250">
        <v>0</v>
      </c>
      <c r="MH250">
        <v>0</v>
      </c>
      <c r="MI250">
        <v>0</v>
      </c>
      <c r="MJ250">
        <v>0</v>
      </c>
      <c r="MK250">
        <v>0</v>
      </c>
      <c r="ML250">
        <v>0</v>
      </c>
      <c r="MM250">
        <v>0</v>
      </c>
      <c r="MN250">
        <v>0</v>
      </c>
      <c r="MO250">
        <v>0</v>
      </c>
      <c r="MP250">
        <v>0</v>
      </c>
      <c r="MQ250">
        <v>0</v>
      </c>
      <c r="MR250">
        <v>0</v>
      </c>
      <c r="MS250">
        <v>0</v>
      </c>
      <c r="MT250">
        <v>0</v>
      </c>
      <c r="MU250">
        <v>0</v>
      </c>
      <c r="MV250">
        <v>0</v>
      </c>
      <c r="MW250">
        <v>0</v>
      </c>
      <c r="MX250">
        <v>0</v>
      </c>
      <c r="MY250">
        <v>0</v>
      </c>
      <c r="MZ250">
        <v>0</v>
      </c>
      <c r="NA250">
        <v>0</v>
      </c>
      <c r="NB250">
        <v>0</v>
      </c>
      <c r="NC250">
        <v>0</v>
      </c>
      <c r="ND250">
        <v>0</v>
      </c>
      <c r="NE250">
        <v>0</v>
      </c>
    </row>
    <row r="251" spans="41:369" x14ac:dyDescent="0.45">
      <c r="AO251" t="str">
        <v>D127</v>
      </c>
      <c r="AP251" t="str">
        <v>SHADIN G</v>
      </c>
      <c r="AQ251" t="str">
        <v>FANT</v>
      </c>
      <c r="AR251" t="str">
        <v>SUPER SENIOR</v>
      </c>
      <c r="AS251">
        <v>8</v>
      </c>
      <c r="AT251">
        <v>50</v>
      </c>
      <c r="AU251">
        <v>0</v>
      </c>
      <c r="AV251">
        <v>50</v>
      </c>
      <c r="AW251">
        <v>50</v>
      </c>
      <c r="AX251">
        <v>15</v>
      </c>
      <c r="AY251" s="5">
        <v>15</v>
      </c>
      <c r="AZ251">
        <v>0</v>
      </c>
      <c r="BA251">
        <v>0</v>
      </c>
      <c r="BB251">
        <v>0</v>
      </c>
      <c r="BC251">
        <v>0</v>
      </c>
      <c r="BD251">
        <v>0</v>
      </c>
      <c r="BE251">
        <v>0</v>
      </c>
      <c r="BF251">
        <v>0</v>
      </c>
      <c r="BG251">
        <v>0</v>
      </c>
      <c r="BH251">
        <v>0</v>
      </c>
      <c r="BI251" t="str">
        <v/>
      </c>
      <c r="BK251">
        <v>245</v>
      </c>
      <c r="BL251">
        <v>0</v>
      </c>
      <c r="BM251">
        <v>0</v>
      </c>
      <c r="BN251">
        <v>0</v>
      </c>
      <c r="BO251">
        <v>0</v>
      </c>
      <c r="BP251">
        <v>0</v>
      </c>
      <c r="BQ251">
        <v>0</v>
      </c>
      <c r="BR251">
        <v>0</v>
      </c>
      <c r="BS251">
        <v>0</v>
      </c>
      <c r="BT251">
        <v>0</v>
      </c>
      <c r="BU251">
        <v>0</v>
      </c>
      <c r="BV251">
        <v>0</v>
      </c>
      <c r="BW251">
        <v>0</v>
      </c>
      <c r="BX251">
        <v>0</v>
      </c>
      <c r="BY251">
        <v>0</v>
      </c>
      <c r="BZ251">
        <v>0</v>
      </c>
      <c r="CA251">
        <v>0</v>
      </c>
      <c r="CB251">
        <v>0</v>
      </c>
      <c r="CC251">
        <v>0</v>
      </c>
      <c r="CD251">
        <v>0</v>
      </c>
      <c r="CE251">
        <v>0</v>
      </c>
      <c r="CF251">
        <v>0</v>
      </c>
      <c r="CG251">
        <v>0</v>
      </c>
      <c r="CH251">
        <v>0</v>
      </c>
      <c r="CI251">
        <v>0</v>
      </c>
      <c r="CJ251">
        <v>0</v>
      </c>
      <c r="CK251">
        <v>0</v>
      </c>
      <c r="CL251">
        <v>0</v>
      </c>
      <c r="CM251">
        <v>0</v>
      </c>
      <c r="CN251">
        <v>0</v>
      </c>
      <c r="CO251">
        <v>0</v>
      </c>
      <c r="CP251">
        <v>0</v>
      </c>
      <c r="CQ251">
        <v>0</v>
      </c>
      <c r="CR251">
        <v>0</v>
      </c>
      <c r="CS251">
        <v>0</v>
      </c>
      <c r="CT251">
        <v>0</v>
      </c>
      <c r="CU251">
        <v>0</v>
      </c>
      <c r="CV251">
        <v>0</v>
      </c>
      <c r="CW251">
        <v>0</v>
      </c>
      <c r="CX251">
        <v>0</v>
      </c>
      <c r="CY251">
        <v>0</v>
      </c>
      <c r="CZ251">
        <v>0</v>
      </c>
      <c r="DA251">
        <v>0</v>
      </c>
      <c r="DB251">
        <v>0</v>
      </c>
      <c r="DC251">
        <v>0</v>
      </c>
      <c r="DD251">
        <v>0</v>
      </c>
      <c r="DE251">
        <v>0</v>
      </c>
      <c r="DF251">
        <v>0</v>
      </c>
      <c r="DG251">
        <v>0</v>
      </c>
      <c r="DH251">
        <v>0</v>
      </c>
      <c r="DI251">
        <v>0</v>
      </c>
      <c r="DJ251">
        <v>0</v>
      </c>
      <c r="DK251">
        <v>0</v>
      </c>
      <c r="DL251">
        <v>0</v>
      </c>
      <c r="DM251">
        <v>0</v>
      </c>
      <c r="DN251">
        <v>0</v>
      </c>
      <c r="DO251">
        <v>0</v>
      </c>
      <c r="DP251">
        <v>0</v>
      </c>
      <c r="DQ251">
        <v>0</v>
      </c>
      <c r="DR251">
        <v>0</v>
      </c>
      <c r="DS251">
        <v>0</v>
      </c>
      <c r="DT251">
        <v>0</v>
      </c>
      <c r="DU251">
        <v>0</v>
      </c>
      <c r="DV251">
        <v>0</v>
      </c>
      <c r="DW251">
        <v>0</v>
      </c>
      <c r="DX251">
        <v>0</v>
      </c>
      <c r="DY251">
        <v>0</v>
      </c>
      <c r="DZ251">
        <v>0</v>
      </c>
      <c r="EA251">
        <v>0</v>
      </c>
      <c r="EB251">
        <v>0</v>
      </c>
      <c r="EC251">
        <v>0</v>
      </c>
      <c r="ED251">
        <v>0</v>
      </c>
      <c r="EE251">
        <v>0</v>
      </c>
      <c r="EF251">
        <v>0</v>
      </c>
      <c r="EG251">
        <v>0</v>
      </c>
      <c r="EH251">
        <v>0</v>
      </c>
      <c r="EI251">
        <v>0</v>
      </c>
      <c r="EJ251">
        <v>0</v>
      </c>
      <c r="EK251">
        <v>0</v>
      </c>
      <c r="EL251">
        <v>0</v>
      </c>
      <c r="EM251">
        <v>0</v>
      </c>
      <c r="EN251">
        <v>0</v>
      </c>
      <c r="EO251">
        <v>0</v>
      </c>
      <c r="EP251">
        <v>0</v>
      </c>
      <c r="EQ251">
        <v>0</v>
      </c>
      <c r="ER251">
        <v>0</v>
      </c>
      <c r="ES251">
        <v>0</v>
      </c>
      <c r="ET251">
        <v>0</v>
      </c>
      <c r="EU251">
        <v>0</v>
      </c>
      <c r="EV251">
        <v>0</v>
      </c>
      <c r="EW251">
        <v>0</v>
      </c>
      <c r="EX251">
        <v>0</v>
      </c>
      <c r="EY251">
        <v>0</v>
      </c>
      <c r="EZ251">
        <v>0</v>
      </c>
      <c r="FA251">
        <v>0</v>
      </c>
      <c r="FB251">
        <v>0</v>
      </c>
      <c r="FC251">
        <v>0</v>
      </c>
      <c r="FD251">
        <v>0</v>
      </c>
      <c r="FE251">
        <v>0</v>
      </c>
      <c r="FF251">
        <v>0</v>
      </c>
      <c r="FG251">
        <v>0</v>
      </c>
      <c r="FH251">
        <v>0</v>
      </c>
      <c r="FI251">
        <v>0</v>
      </c>
      <c r="FJ251">
        <v>0</v>
      </c>
      <c r="FK251">
        <v>0</v>
      </c>
      <c r="FL251">
        <v>0</v>
      </c>
      <c r="FM251">
        <v>0</v>
      </c>
      <c r="FN251">
        <v>0</v>
      </c>
      <c r="FO251">
        <v>0</v>
      </c>
      <c r="FP251">
        <v>0</v>
      </c>
      <c r="FQ251">
        <v>0</v>
      </c>
      <c r="FR251">
        <v>0</v>
      </c>
      <c r="FS251">
        <v>0</v>
      </c>
      <c r="FT251">
        <v>0</v>
      </c>
      <c r="FU251">
        <v>0</v>
      </c>
      <c r="FV251">
        <v>0</v>
      </c>
      <c r="FW251">
        <v>0</v>
      </c>
      <c r="FX251">
        <v>0</v>
      </c>
      <c r="FY251">
        <v>0</v>
      </c>
      <c r="FZ251">
        <v>0</v>
      </c>
      <c r="GA251">
        <v>0</v>
      </c>
      <c r="GB251">
        <v>0</v>
      </c>
      <c r="GC251">
        <v>0</v>
      </c>
      <c r="GD251">
        <v>0</v>
      </c>
      <c r="GE251">
        <v>0</v>
      </c>
      <c r="GF251">
        <v>0</v>
      </c>
      <c r="GG251">
        <v>0</v>
      </c>
      <c r="GH251">
        <v>0</v>
      </c>
      <c r="GI251">
        <v>0</v>
      </c>
      <c r="GJ251">
        <v>0</v>
      </c>
      <c r="GK251">
        <v>0</v>
      </c>
      <c r="GL251">
        <v>0</v>
      </c>
      <c r="GM251">
        <v>0</v>
      </c>
      <c r="GN251">
        <v>0</v>
      </c>
      <c r="GO251">
        <v>0</v>
      </c>
      <c r="GP251">
        <v>0</v>
      </c>
      <c r="GQ251">
        <v>0</v>
      </c>
      <c r="GR251">
        <v>0</v>
      </c>
      <c r="GS251">
        <v>0</v>
      </c>
      <c r="GT251">
        <v>0</v>
      </c>
      <c r="GU251">
        <v>0</v>
      </c>
      <c r="GV251">
        <v>0</v>
      </c>
      <c r="GW251">
        <v>0</v>
      </c>
      <c r="GX251">
        <v>0</v>
      </c>
      <c r="GY251">
        <v>0</v>
      </c>
      <c r="GZ251">
        <v>0</v>
      </c>
      <c r="HA251">
        <v>0</v>
      </c>
      <c r="HB251">
        <v>0</v>
      </c>
      <c r="HC251">
        <v>0</v>
      </c>
      <c r="HD251">
        <v>0</v>
      </c>
      <c r="HE251">
        <v>0</v>
      </c>
      <c r="HF251">
        <v>0</v>
      </c>
      <c r="HG251">
        <v>0</v>
      </c>
      <c r="HH251">
        <v>0</v>
      </c>
      <c r="HI251">
        <v>0</v>
      </c>
      <c r="HJ251">
        <v>0</v>
      </c>
      <c r="HK251">
        <v>0</v>
      </c>
      <c r="HL251">
        <v>0</v>
      </c>
      <c r="HM251">
        <v>0</v>
      </c>
      <c r="HN251">
        <v>0</v>
      </c>
      <c r="HO251">
        <v>0</v>
      </c>
      <c r="HP251">
        <v>0</v>
      </c>
      <c r="HQ251">
        <v>0</v>
      </c>
      <c r="HR251">
        <v>0</v>
      </c>
      <c r="HS251">
        <v>0</v>
      </c>
      <c r="HT251">
        <v>0</v>
      </c>
      <c r="HU251">
        <v>0</v>
      </c>
      <c r="HV251">
        <v>0</v>
      </c>
      <c r="HW251">
        <v>0</v>
      </c>
      <c r="HX251">
        <v>0</v>
      </c>
      <c r="HY251">
        <v>0</v>
      </c>
      <c r="HZ251">
        <v>0</v>
      </c>
      <c r="IA251">
        <v>0</v>
      </c>
      <c r="IB251">
        <v>0</v>
      </c>
      <c r="IC251">
        <v>0</v>
      </c>
      <c r="ID251">
        <v>0</v>
      </c>
      <c r="IE251">
        <v>0</v>
      </c>
      <c r="IF251">
        <v>0</v>
      </c>
      <c r="IG251">
        <v>0</v>
      </c>
      <c r="IH251">
        <v>0</v>
      </c>
      <c r="II251">
        <v>0</v>
      </c>
      <c r="IJ251">
        <v>0</v>
      </c>
      <c r="IK251">
        <v>0</v>
      </c>
      <c r="IL251">
        <v>0</v>
      </c>
      <c r="IM251">
        <v>0</v>
      </c>
      <c r="IN251">
        <v>0</v>
      </c>
      <c r="IO251">
        <v>0</v>
      </c>
      <c r="IP251">
        <v>0</v>
      </c>
      <c r="IQ251">
        <v>0</v>
      </c>
      <c r="IR251">
        <v>0</v>
      </c>
      <c r="IS251">
        <v>0</v>
      </c>
      <c r="IT251">
        <v>0</v>
      </c>
      <c r="IU251">
        <v>0</v>
      </c>
      <c r="IV251">
        <v>0</v>
      </c>
      <c r="IW251">
        <v>0</v>
      </c>
      <c r="IX251">
        <v>0</v>
      </c>
      <c r="IY251">
        <v>0</v>
      </c>
      <c r="IZ251">
        <v>0</v>
      </c>
      <c r="JA251">
        <v>0</v>
      </c>
      <c r="JB251">
        <v>0</v>
      </c>
      <c r="JC251">
        <v>0</v>
      </c>
      <c r="JD251">
        <v>0</v>
      </c>
      <c r="JE251">
        <v>0</v>
      </c>
      <c r="JF251">
        <v>0</v>
      </c>
      <c r="JG251">
        <v>0</v>
      </c>
      <c r="JH251">
        <v>0</v>
      </c>
      <c r="JI251">
        <v>0</v>
      </c>
      <c r="JJ251">
        <v>0</v>
      </c>
      <c r="JK251">
        <v>0</v>
      </c>
      <c r="JL251">
        <v>0</v>
      </c>
      <c r="JM251">
        <v>0</v>
      </c>
      <c r="JN251">
        <v>0</v>
      </c>
      <c r="JO251">
        <v>0</v>
      </c>
      <c r="JP251">
        <v>0</v>
      </c>
      <c r="JQ251">
        <v>0</v>
      </c>
      <c r="JR251">
        <v>0</v>
      </c>
      <c r="JS251">
        <v>0</v>
      </c>
      <c r="JT251">
        <v>0</v>
      </c>
      <c r="JU251">
        <v>0</v>
      </c>
      <c r="JV251">
        <v>0</v>
      </c>
      <c r="JW251">
        <v>0</v>
      </c>
      <c r="JX251">
        <v>0</v>
      </c>
      <c r="JY251">
        <v>0</v>
      </c>
      <c r="JZ251">
        <v>0</v>
      </c>
      <c r="KA251">
        <v>0</v>
      </c>
      <c r="KB251">
        <v>0</v>
      </c>
      <c r="KC251">
        <v>0</v>
      </c>
      <c r="KD251">
        <v>0</v>
      </c>
      <c r="KE251">
        <v>0</v>
      </c>
      <c r="KF251">
        <v>0</v>
      </c>
      <c r="KG251">
        <v>0</v>
      </c>
      <c r="KH251">
        <v>0</v>
      </c>
      <c r="KI251">
        <v>0</v>
      </c>
      <c r="KJ251">
        <v>0</v>
      </c>
      <c r="KK251">
        <v>0</v>
      </c>
      <c r="KL251">
        <v>0</v>
      </c>
      <c r="KM251">
        <v>0</v>
      </c>
      <c r="KN251">
        <v>0</v>
      </c>
      <c r="KO251">
        <v>0</v>
      </c>
      <c r="KP251">
        <v>0</v>
      </c>
      <c r="KQ251">
        <v>0</v>
      </c>
      <c r="KR251">
        <v>0</v>
      </c>
      <c r="KS251">
        <v>0</v>
      </c>
      <c r="KT251">
        <v>0</v>
      </c>
      <c r="KU251">
        <v>0</v>
      </c>
      <c r="KV251">
        <v>0</v>
      </c>
      <c r="KW251">
        <v>0</v>
      </c>
      <c r="KX251">
        <v>0</v>
      </c>
      <c r="KY251">
        <v>0</v>
      </c>
      <c r="KZ251">
        <v>0</v>
      </c>
      <c r="LA251">
        <v>0</v>
      </c>
      <c r="LB251">
        <v>0</v>
      </c>
      <c r="LC251">
        <v>0</v>
      </c>
      <c r="LD251">
        <v>0</v>
      </c>
      <c r="LE251">
        <v>0</v>
      </c>
      <c r="LF251">
        <v>0</v>
      </c>
      <c r="LG251">
        <v>0</v>
      </c>
      <c r="LH251">
        <v>0</v>
      </c>
      <c r="LI251">
        <v>0</v>
      </c>
      <c r="LJ251">
        <v>0</v>
      </c>
      <c r="LK251">
        <v>0</v>
      </c>
      <c r="LL251">
        <v>0</v>
      </c>
      <c r="LM251">
        <v>0</v>
      </c>
      <c r="LN251">
        <v>0</v>
      </c>
      <c r="LO251">
        <v>0</v>
      </c>
      <c r="LP251">
        <v>0</v>
      </c>
      <c r="LQ251">
        <v>0</v>
      </c>
      <c r="LR251">
        <v>0</v>
      </c>
      <c r="LS251">
        <v>0</v>
      </c>
      <c r="LT251">
        <v>0</v>
      </c>
      <c r="LU251">
        <v>0</v>
      </c>
      <c r="LV251">
        <v>0</v>
      </c>
      <c r="LW251">
        <v>0</v>
      </c>
      <c r="LX251">
        <v>0</v>
      </c>
      <c r="LY251">
        <v>0</v>
      </c>
      <c r="LZ251">
        <v>0</v>
      </c>
      <c r="MA251">
        <v>0</v>
      </c>
      <c r="MB251">
        <v>0</v>
      </c>
      <c r="MC251">
        <v>0</v>
      </c>
      <c r="MD251">
        <v>0</v>
      </c>
      <c r="ME251">
        <v>0</v>
      </c>
      <c r="MF251">
        <v>0</v>
      </c>
      <c r="MG251">
        <v>0</v>
      </c>
      <c r="MH251">
        <v>0</v>
      </c>
      <c r="MI251">
        <v>0</v>
      </c>
      <c r="MJ251">
        <v>0</v>
      </c>
      <c r="MK251">
        <v>0</v>
      </c>
      <c r="ML251">
        <v>0</v>
      </c>
      <c r="MM251">
        <v>0</v>
      </c>
      <c r="MN251">
        <v>0</v>
      </c>
      <c r="MO251">
        <v>0</v>
      </c>
      <c r="MP251">
        <v>0</v>
      </c>
      <c r="MQ251">
        <v>0</v>
      </c>
      <c r="MR251">
        <v>0</v>
      </c>
      <c r="MS251">
        <v>0</v>
      </c>
      <c r="MT251">
        <v>0</v>
      </c>
      <c r="MU251">
        <v>0</v>
      </c>
      <c r="MV251">
        <v>0</v>
      </c>
      <c r="MW251">
        <v>0</v>
      </c>
      <c r="MX251">
        <v>0</v>
      </c>
      <c r="MY251">
        <v>0</v>
      </c>
      <c r="MZ251">
        <v>0</v>
      </c>
      <c r="NA251">
        <v>0</v>
      </c>
      <c r="NB251">
        <v>0</v>
      </c>
      <c r="NC251">
        <v>0</v>
      </c>
      <c r="ND251">
        <v>0</v>
      </c>
      <c r="NE251">
        <v>0</v>
      </c>
    </row>
    <row r="252" spans="41:369" x14ac:dyDescent="0.45">
      <c r="AO252" t="str">
        <v>D128</v>
      </c>
      <c r="AP252" t="str">
        <v>MEHAZIN AMAN T</v>
      </c>
      <c r="AQ252" t="str">
        <v>FANT</v>
      </c>
      <c r="AR252" t="str">
        <v>SUPER SENIOR</v>
      </c>
      <c r="AS252">
        <v>8</v>
      </c>
      <c r="AT252">
        <v>28</v>
      </c>
      <c r="AU252">
        <v>0</v>
      </c>
      <c r="AV252">
        <v>28</v>
      </c>
      <c r="AW252">
        <v>28</v>
      </c>
      <c r="AX252">
        <v>51</v>
      </c>
      <c r="AY252" s="5">
        <v>51</v>
      </c>
      <c r="AZ252">
        <v>0</v>
      </c>
      <c r="BA252">
        <v>0</v>
      </c>
      <c r="BB252">
        <v>0</v>
      </c>
      <c r="BC252">
        <v>0</v>
      </c>
      <c r="BD252">
        <v>0</v>
      </c>
      <c r="BE252">
        <v>0</v>
      </c>
      <c r="BF252">
        <v>0</v>
      </c>
      <c r="BG252">
        <v>0</v>
      </c>
      <c r="BH252">
        <v>0</v>
      </c>
      <c r="BI252" t="str">
        <v/>
      </c>
      <c r="BK252">
        <v>246</v>
      </c>
      <c r="BL252">
        <v>0</v>
      </c>
      <c r="BM252">
        <v>0</v>
      </c>
      <c r="BN252">
        <v>0</v>
      </c>
      <c r="BO252">
        <v>0</v>
      </c>
      <c r="BP252">
        <v>0</v>
      </c>
      <c r="BQ252">
        <v>0</v>
      </c>
      <c r="BR252">
        <v>0</v>
      </c>
      <c r="BS252">
        <v>0</v>
      </c>
      <c r="BT252">
        <v>0</v>
      </c>
      <c r="BU252">
        <v>0</v>
      </c>
      <c r="BV252">
        <v>0</v>
      </c>
      <c r="BW252">
        <v>0</v>
      </c>
      <c r="BX252">
        <v>0</v>
      </c>
      <c r="BY252">
        <v>0</v>
      </c>
      <c r="BZ252">
        <v>0</v>
      </c>
      <c r="CA252">
        <v>0</v>
      </c>
      <c r="CB252">
        <v>0</v>
      </c>
      <c r="CC252">
        <v>0</v>
      </c>
      <c r="CD252">
        <v>0</v>
      </c>
      <c r="CE252">
        <v>0</v>
      </c>
      <c r="CF252">
        <v>0</v>
      </c>
      <c r="CG252">
        <v>0</v>
      </c>
      <c r="CH252">
        <v>0</v>
      </c>
      <c r="CI252">
        <v>0</v>
      </c>
      <c r="CJ252">
        <v>0</v>
      </c>
      <c r="CK252">
        <v>0</v>
      </c>
      <c r="CL252">
        <v>0</v>
      </c>
      <c r="CM252">
        <v>0</v>
      </c>
      <c r="CN252">
        <v>0</v>
      </c>
      <c r="CO252">
        <v>0</v>
      </c>
      <c r="CP252">
        <v>0</v>
      </c>
      <c r="CQ252">
        <v>0</v>
      </c>
      <c r="CR252">
        <v>0</v>
      </c>
      <c r="CS252">
        <v>0</v>
      </c>
      <c r="CT252">
        <v>0</v>
      </c>
      <c r="CU252">
        <v>0</v>
      </c>
      <c r="CV252">
        <v>0</v>
      </c>
      <c r="CW252">
        <v>0</v>
      </c>
      <c r="CX252">
        <v>0</v>
      </c>
      <c r="CY252">
        <v>0</v>
      </c>
      <c r="CZ252">
        <v>0</v>
      </c>
      <c r="DA252">
        <v>0</v>
      </c>
      <c r="DB252">
        <v>0</v>
      </c>
      <c r="DC252">
        <v>0</v>
      </c>
      <c r="DD252">
        <v>0</v>
      </c>
      <c r="DE252">
        <v>0</v>
      </c>
      <c r="DF252">
        <v>0</v>
      </c>
      <c r="DG252">
        <v>0</v>
      </c>
      <c r="DH252">
        <v>0</v>
      </c>
      <c r="DI252">
        <v>0</v>
      </c>
      <c r="DJ252">
        <v>0</v>
      </c>
      <c r="DK252">
        <v>0</v>
      </c>
      <c r="DL252">
        <v>0</v>
      </c>
      <c r="DM252">
        <v>0</v>
      </c>
      <c r="DN252">
        <v>0</v>
      </c>
      <c r="DO252">
        <v>0</v>
      </c>
      <c r="DP252">
        <v>0</v>
      </c>
      <c r="DQ252">
        <v>0</v>
      </c>
      <c r="DR252">
        <v>0</v>
      </c>
      <c r="DS252">
        <v>0</v>
      </c>
      <c r="DT252">
        <v>0</v>
      </c>
      <c r="DU252">
        <v>0</v>
      </c>
      <c r="DV252">
        <v>0</v>
      </c>
      <c r="DW252">
        <v>0</v>
      </c>
      <c r="DX252">
        <v>0</v>
      </c>
      <c r="DY252">
        <v>0</v>
      </c>
      <c r="DZ252">
        <v>0</v>
      </c>
      <c r="EA252">
        <v>0</v>
      </c>
      <c r="EB252">
        <v>0</v>
      </c>
      <c r="EC252">
        <v>0</v>
      </c>
      <c r="ED252">
        <v>0</v>
      </c>
      <c r="EE252">
        <v>0</v>
      </c>
      <c r="EF252">
        <v>0</v>
      </c>
      <c r="EG252">
        <v>0</v>
      </c>
      <c r="EH252">
        <v>0</v>
      </c>
      <c r="EI252">
        <v>0</v>
      </c>
      <c r="EJ252">
        <v>0</v>
      </c>
      <c r="EK252">
        <v>0</v>
      </c>
      <c r="EL252">
        <v>0</v>
      </c>
      <c r="EM252">
        <v>0</v>
      </c>
      <c r="EN252">
        <v>0</v>
      </c>
      <c r="EO252">
        <v>0</v>
      </c>
      <c r="EP252">
        <v>0</v>
      </c>
      <c r="EQ252">
        <v>0</v>
      </c>
      <c r="ER252">
        <v>0</v>
      </c>
      <c r="ES252">
        <v>0</v>
      </c>
      <c r="ET252">
        <v>0</v>
      </c>
      <c r="EU252">
        <v>0</v>
      </c>
      <c r="EV252">
        <v>0</v>
      </c>
      <c r="EW252">
        <v>0</v>
      </c>
      <c r="EX252">
        <v>0</v>
      </c>
      <c r="EY252">
        <v>0</v>
      </c>
      <c r="EZ252">
        <v>0</v>
      </c>
      <c r="FA252">
        <v>0</v>
      </c>
      <c r="FB252">
        <v>0</v>
      </c>
      <c r="FC252">
        <v>0</v>
      </c>
      <c r="FD252">
        <v>0</v>
      </c>
      <c r="FE252">
        <v>0</v>
      </c>
      <c r="FF252">
        <v>0</v>
      </c>
      <c r="FG252">
        <v>0</v>
      </c>
      <c r="FH252">
        <v>0</v>
      </c>
      <c r="FI252">
        <v>0</v>
      </c>
      <c r="FJ252">
        <v>0</v>
      </c>
      <c r="FK252">
        <v>0</v>
      </c>
      <c r="FL252">
        <v>0</v>
      </c>
      <c r="FM252">
        <v>0</v>
      </c>
      <c r="FN252">
        <v>0</v>
      </c>
      <c r="FO252">
        <v>0</v>
      </c>
      <c r="FP252">
        <v>0</v>
      </c>
      <c r="FQ252">
        <v>0</v>
      </c>
      <c r="FR252">
        <v>0</v>
      </c>
      <c r="FS252">
        <v>0</v>
      </c>
      <c r="FT252">
        <v>0</v>
      </c>
      <c r="FU252">
        <v>0</v>
      </c>
      <c r="FV252">
        <v>0</v>
      </c>
      <c r="FW252">
        <v>0</v>
      </c>
      <c r="FX252">
        <v>0</v>
      </c>
      <c r="FY252">
        <v>0</v>
      </c>
      <c r="FZ252">
        <v>0</v>
      </c>
      <c r="GA252">
        <v>0</v>
      </c>
      <c r="GB252">
        <v>0</v>
      </c>
      <c r="GC252">
        <v>0</v>
      </c>
      <c r="GD252">
        <v>0</v>
      </c>
      <c r="GE252">
        <v>0</v>
      </c>
      <c r="GF252">
        <v>0</v>
      </c>
      <c r="GG252">
        <v>0</v>
      </c>
      <c r="GH252">
        <v>0</v>
      </c>
      <c r="GI252">
        <v>0</v>
      </c>
      <c r="GJ252">
        <v>0</v>
      </c>
      <c r="GK252">
        <v>0</v>
      </c>
      <c r="GL252">
        <v>0</v>
      </c>
      <c r="GM252">
        <v>0</v>
      </c>
      <c r="GN252">
        <v>0</v>
      </c>
      <c r="GO252">
        <v>0</v>
      </c>
      <c r="GP252">
        <v>0</v>
      </c>
      <c r="GQ252">
        <v>0</v>
      </c>
      <c r="GR252">
        <v>0</v>
      </c>
      <c r="GS252">
        <v>0</v>
      </c>
      <c r="GT252">
        <v>0</v>
      </c>
      <c r="GU252">
        <v>0</v>
      </c>
      <c r="GV252">
        <v>0</v>
      </c>
      <c r="GW252">
        <v>0</v>
      </c>
      <c r="GX252">
        <v>0</v>
      </c>
      <c r="GY252">
        <v>0</v>
      </c>
      <c r="GZ252">
        <v>0</v>
      </c>
      <c r="HA252">
        <v>0</v>
      </c>
      <c r="HB252">
        <v>0</v>
      </c>
      <c r="HC252">
        <v>0</v>
      </c>
      <c r="HD252">
        <v>0</v>
      </c>
      <c r="HE252">
        <v>0</v>
      </c>
      <c r="HF252">
        <v>0</v>
      </c>
      <c r="HG252">
        <v>0</v>
      </c>
      <c r="HH252">
        <v>0</v>
      </c>
      <c r="HI252">
        <v>0</v>
      </c>
      <c r="HJ252">
        <v>0</v>
      </c>
      <c r="HK252">
        <v>0</v>
      </c>
      <c r="HL252">
        <v>0</v>
      </c>
      <c r="HM252">
        <v>0</v>
      </c>
      <c r="HN252">
        <v>0</v>
      </c>
      <c r="HO252">
        <v>0</v>
      </c>
      <c r="HP252">
        <v>0</v>
      </c>
      <c r="HQ252">
        <v>0</v>
      </c>
      <c r="HR252">
        <v>0</v>
      </c>
      <c r="HS252">
        <v>0</v>
      </c>
      <c r="HT252">
        <v>0</v>
      </c>
      <c r="HU252">
        <v>0</v>
      </c>
      <c r="HV252">
        <v>0</v>
      </c>
      <c r="HW252">
        <v>0</v>
      </c>
      <c r="HX252">
        <v>0</v>
      </c>
      <c r="HY252">
        <v>0</v>
      </c>
      <c r="HZ252">
        <v>0</v>
      </c>
      <c r="IA252">
        <v>0</v>
      </c>
      <c r="IB252">
        <v>0</v>
      </c>
      <c r="IC252">
        <v>0</v>
      </c>
      <c r="ID252">
        <v>0</v>
      </c>
      <c r="IE252">
        <v>0</v>
      </c>
      <c r="IF252">
        <v>0</v>
      </c>
      <c r="IG252">
        <v>0</v>
      </c>
      <c r="IH252">
        <v>0</v>
      </c>
      <c r="II252">
        <v>0</v>
      </c>
      <c r="IJ252">
        <v>0</v>
      </c>
      <c r="IK252">
        <v>0</v>
      </c>
      <c r="IL252">
        <v>0</v>
      </c>
      <c r="IM252">
        <v>0</v>
      </c>
      <c r="IN252">
        <v>0</v>
      </c>
      <c r="IO252">
        <v>0</v>
      </c>
      <c r="IP252">
        <v>0</v>
      </c>
      <c r="IQ252">
        <v>0</v>
      </c>
      <c r="IR252">
        <v>0</v>
      </c>
      <c r="IS252">
        <v>0</v>
      </c>
      <c r="IT252">
        <v>0</v>
      </c>
      <c r="IU252">
        <v>0</v>
      </c>
      <c r="IV252">
        <v>0</v>
      </c>
      <c r="IW252">
        <v>0</v>
      </c>
      <c r="IX252">
        <v>0</v>
      </c>
      <c r="IY252">
        <v>0</v>
      </c>
      <c r="IZ252">
        <v>0</v>
      </c>
      <c r="JA252">
        <v>0</v>
      </c>
      <c r="JB252">
        <v>0</v>
      </c>
      <c r="JC252">
        <v>0</v>
      </c>
      <c r="JD252">
        <v>0</v>
      </c>
      <c r="JE252">
        <v>0</v>
      </c>
      <c r="JF252">
        <v>0</v>
      </c>
      <c r="JG252">
        <v>0</v>
      </c>
      <c r="JH252">
        <v>0</v>
      </c>
      <c r="JI252">
        <v>0</v>
      </c>
      <c r="JJ252">
        <v>0</v>
      </c>
      <c r="JK252">
        <v>0</v>
      </c>
      <c r="JL252">
        <v>0</v>
      </c>
      <c r="JM252">
        <v>0</v>
      </c>
      <c r="JN252">
        <v>0</v>
      </c>
      <c r="JO252">
        <v>0</v>
      </c>
      <c r="JP252">
        <v>0</v>
      </c>
      <c r="JQ252">
        <v>0</v>
      </c>
      <c r="JR252">
        <v>0</v>
      </c>
      <c r="JS252">
        <v>0</v>
      </c>
      <c r="JT252">
        <v>0</v>
      </c>
      <c r="JU252">
        <v>0</v>
      </c>
      <c r="JV252">
        <v>0</v>
      </c>
      <c r="JW252">
        <v>0</v>
      </c>
      <c r="JX252">
        <v>0</v>
      </c>
      <c r="JY252">
        <v>0</v>
      </c>
      <c r="JZ252">
        <v>0</v>
      </c>
      <c r="KA252">
        <v>0</v>
      </c>
      <c r="KB252">
        <v>0</v>
      </c>
      <c r="KC252">
        <v>0</v>
      </c>
      <c r="KD252">
        <v>0</v>
      </c>
      <c r="KE252">
        <v>0</v>
      </c>
      <c r="KF252">
        <v>0</v>
      </c>
      <c r="KG252">
        <v>0</v>
      </c>
      <c r="KH252">
        <v>0</v>
      </c>
      <c r="KI252">
        <v>0</v>
      </c>
      <c r="KJ252">
        <v>0</v>
      </c>
      <c r="KK252">
        <v>0</v>
      </c>
      <c r="KL252">
        <v>0</v>
      </c>
      <c r="KM252">
        <v>0</v>
      </c>
      <c r="KN252">
        <v>0</v>
      </c>
      <c r="KO252">
        <v>0</v>
      </c>
      <c r="KP252">
        <v>0</v>
      </c>
      <c r="KQ252">
        <v>0</v>
      </c>
      <c r="KR252">
        <v>0</v>
      </c>
      <c r="KS252">
        <v>0</v>
      </c>
      <c r="KT252">
        <v>0</v>
      </c>
      <c r="KU252">
        <v>0</v>
      </c>
      <c r="KV252">
        <v>0</v>
      </c>
      <c r="KW252">
        <v>0</v>
      </c>
      <c r="KX252">
        <v>0</v>
      </c>
      <c r="KY252">
        <v>0</v>
      </c>
      <c r="KZ252">
        <v>0</v>
      </c>
      <c r="LA252">
        <v>0</v>
      </c>
      <c r="LB252">
        <v>0</v>
      </c>
      <c r="LC252">
        <v>0</v>
      </c>
      <c r="LD252">
        <v>0</v>
      </c>
      <c r="LE252">
        <v>0</v>
      </c>
      <c r="LF252">
        <v>0</v>
      </c>
      <c r="LG252">
        <v>0</v>
      </c>
      <c r="LH252">
        <v>0</v>
      </c>
      <c r="LI252">
        <v>0</v>
      </c>
      <c r="LJ252">
        <v>0</v>
      </c>
      <c r="LK252">
        <v>0</v>
      </c>
      <c r="LL252">
        <v>0</v>
      </c>
      <c r="LM252">
        <v>0</v>
      </c>
      <c r="LN252">
        <v>0</v>
      </c>
      <c r="LO252">
        <v>0</v>
      </c>
      <c r="LP252">
        <v>0</v>
      </c>
      <c r="LQ252">
        <v>0</v>
      </c>
      <c r="LR252">
        <v>0</v>
      </c>
      <c r="LS252">
        <v>0</v>
      </c>
      <c r="LT252">
        <v>0</v>
      </c>
      <c r="LU252">
        <v>0</v>
      </c>
      <c r="LV252">
        <v>0</v>
      </c>
      <c r="LW252">
        <v>0</v>
      </c>
      <c r="LX252">
        <v>0</v>
      </c>
      <c r="LY252">
        <v>0</v>
      </c>
      <c r="LZ252">
        <v>0</v>
      </c>
      <c r="MA252">
        <v>0</v>
      </c>
      <c r="MB252">
        <v>0</v>
      </c>
      <c r="MC252">
        <v>0</v>
      </c>
      <c r="MD252">
        <v>0</v>
      </c>
      <c r="ME252">
        <v>0</v>
      </c>
      <c r="MF252">
        <v>0</v>
      </c>
      <c r="MG252">
        <v>0</v>
      </c>
      <c r="MH252">
        <v>0</v>
      </c>
      <c r="MI252">
        <v>0</v>
      </c>
      <c r="MJ252">
        <v>0</v>
      </c>
      <c r="MK252">
        <v>0</v>
      </c>
      <c r="ML252">
        <v>0</v>
      </c>
      <c r="MM252">
        <v>0</v>
      </c>
      <c r="MN252">
        <v>0</v>
      </c>
      <c r="MO252">
        <v>0</v>
      </c>
      <c r="MP252">
        <v>0</v>
      </c>
      <c r="MQ252">
        <v>0</v>
      </c>
      <c r="MR252">
        <v>0</v>
      </c>
      <c r="MS252">
        <v>0</v>
      </c>
      <c r="MT252">
        <v>0</v>
      </c>
      <c r="MU252">
        <v>0</v>
      </c>
      <c r="MV252">
        <v>0</v>
      </c>
      <c r="MW252">
        <v>0</v>
      </c>
      <c r="MX252">
        <v>0</v>
      </c>
      <c r="MY252">
        <v>0</v>
      </c>
      <c r="MZ252">
        <v>0</v>
      </c>
      <c r="NA252">
        <v>0</v>
      </c>
      <c r="NB252">
        <v>0</v>
      </c>
      <c r="NC252">
        <v>0</v>
      </c>
      <c r="ND252">
        <v>0</v>
      </c>
      <c r="NE252">
        <v>0</v>
      </c>
    </row>
    <row r="253" spans="41:369" x14ac:dyDescent="0.45">
      <c r="AO253" t="str">
        <v>D129</v>
      </c>
      <c r="AP253" t="str">
        <v>MUHAMMED UNAIS CK</v>
      </c>
      <c r="AQ253" t="str">
        <v>BADF</v>
      </c>
      <c r="AR253" t="str">
        <v>SUPER SENIOR</v>
      </c>
      <c r="AS253">
        <v>8</v>
      </c>
      <c r="AT253">
        <v>25</v>
      </c>
      <c r="AU253">
        <v>0</v>
      </c>
      <c r="AV253">
        <v>25</v>
      </c>
      <c r="AW253">
        <v>25</v>
      </c>
      <c r="AX253">
        <v>60</v>
      </c>
      <c r="AY253" s="5">
        <v>60</v>
      </c>
      <c r="AZ253">
        <v>0</v>
      </c>
      <c r="BA253">
        <v>0</v>
      </c>
      <c r="BB253">
        <v>0</v>
      </c>
      <c r="BC253">
        <v>0</v>
      </c>
      <c r="BD253">
        <v>0</v>
      </c>
      <c r="BE253">
        <v>0</v>
      </c>
      <c r="BF253">
        <v>0</v>
      </c>
      <c r="BG253">
        <v>0</v>
      </c>
      <c r="BH253">
        <v>0</v>
      </c>
      <c r="BI253" t="str">
        <v/>
      </c>
      <c r="BK253">
        <v>247</v>
      </c>
      <c r="BL253">
        <v>0</v>
      </c>
      <c r="BM253">
        <v>0</v>
      </c>
      <c r="BN253">
        <v>0</v>
      </c>
      <c r="BO253">
        <v>0</v>
      </c>
      <c r="BP253">
        <v>0</v>
      </c>
      <c r="BQ253">
        <v>0</v>
      </c>
      <c r="BR253">
        <v>0</v>
      </c>
      <c r="BS253">
        <v>0</v>
      </c>
      <c r="BT253">
        <v>0</v>
      </c>
      <c r="BU253">
        <v>0</v>
      </c>
      <c r="BV253">
        <v>0</v>
      </c>
      <c r="BW253">
        <v>0</v>
      </c>
      <c r="BX253">
        <v>0</v>
      </c>
      <c r="BY253">
        <v>0</v>
      </c>
      <c r="BZ253">
        <v>0</v>
      </c>
      <c r="CA253">
        <v>0</v>
      </c>
      <c r="CB253">
        <v>0</v>
      </c>
      <c r="CC253">
        <v>0</v>
      </c>
      <c r="CD253">
        <v>0</v>
      </c>
      <c r="CE253">
        <v>0</v>
      </c>
      <c r="CF253">
        <v>0</v>
      </c>
      <c r="CG253">
        <v>0</v>
      </c>
      <c r="CH253">
        <v>0</v>
      </c>
      <c r="CI253">
        <v>0</v>
      </c>
      <c r="CJ253">
        <v>0</v>
      </c>
      <c r="CK253">
        <v>0</v>
      </c>
      <c r="CL253">
        <v>0</v>
      </c>
      <c r="CM253">
        <v>0</v>
      </c>
      <c r="CN253">
        <v>0</v>
      </c>
      <c r="CO253">
        <v>0</v>
      </c>
      <c r="CP253">
        <v>0</v>
      </c>
      <c r="CQ253">
        <v>0</v>
      </c>
      <c r="CR253">
        <v>0</v>
      </c>
      <c r="CS253">
        <v>0</v>
      </c>
      <c r="CT253">
        <v>0</v>
      </c>
      <c r="CU253">
        <v>0</v>
      </c>
      <c r="CV253">
        <v>0</v>
      </c>
      <c r="CW253">
        <v>0</v>
      </c>
      <c r="CX253">
        <v>0</v>
      </c>
      <c r="CY253">
        <v>0</v>
      </c>
      <c r="CZ253">
        <v>0</v>
      </c>
      <c r="DA253">
        <v>0</v>
      </c>
      <c r="DB253">
        <v>0</v>
      </c>
      <c r="DC253">
        <v>0</v>
      </c>
      <c r="DD253">
        <v>0</v>
      </c>
      <c r="DE253">
        <v>0</v>
      </c>
      <c r="DF253">
        <v>0</v>
      </c>
      <c r="DG253">
        <v>0</v>
      </c>
      <c r="DH253">
        <v>0</v>
      </c>
      <c r="DI253">
        <v>0</v>
      </c>
      <c r="DJ253">
        <v>0</v>
      </c>
      <c r="DK253">
        <v>0</v>
      </c>
      <c r="DL253">
        <v>0</v>
      </c>
      <c r="DM253">
        <v>0</v>
      </c>
      <c r="DN253">
        <v>0</v>
      </c>
      <c r="DO253">
        <v>0</v>
      </c>
      <c r="DP253">
        <v>0</v>
      </c>
      <c r="DQ253">
        <v>0</v>
      </c>
      <c r="DR253">
        <v>0</v>
      </c>
      <c r="DS253">
        <v>0</v>
      </c>
      <c r="DT253">
        <v>0</v>
      </c>
      <c r="DU253">
        <v>0</v>
      </c>
      <c r="DV253">
        <v>0</v>
      </c>
      <c r="DW253">
        <v>0</v>
      </c>
      <c r="DX253">
        <v>0</v>
      </c>
      <c r="DY253">
        <v>0</v>
      </c>
      <c r="DZ253">
        <v>0</v>
      </c>
      <c r="EA253">
        <v>0</v>
      </c>
      <c r="EB253">
        <v>0</v>
      </c>
      <c r="EC253">
        <v>0</v>
      </c>
      <c r="ED253">
        <v>0</v>
      </c>
      <c r="EE253">
        <v>0</v>
      </c>
      <c r="EF253">
        <v>0</v>
      </c>
      <c r="EG253">
        <v>0</v>
      </c>
      <c r="EH253">
        <v>0</v>
      </c>
      <c r="EI253">
        <v>0</v>
      </c>
      <c r="EJ253">
        <v>0</v>
      </c>
      <c r="EK253">
        <v>0</v>
      </c>
      <c r="EL253">
        <v>0</v>
      </c>
      <c r="EM253">
        <v>0</v>
      </c>
      <c r="EN253">
        <v>0</v>
      </c>
      <c r="EO253">
        <v>0</v>
      </c>
      <c r="EP253">
        <v>0</v>
      </c>
      <c r="EQ253">
        <v>0</v>
      </c>
      <c r="ER253">
        <v>0</v>
      </c>
      <c r="ES253">
        <v>0</v>
      </c>
      <c r="ET253">
        <v>0</v>
      </c>
      <c r="EU253">
        <v>0</v>
      </c>
      <c r="EV253">
        <v>0</v>
      </c>
      <c r="EW253">
        <v>0</v>
      </c>
      <c r="EX253">
        <v>0</v>
      </c>
      <c r="EY253">
        <v>0</v>
      </c>
      <c r="EZ253">
        <v>0</v>
      </c>
      <c r="FA253">
        <v>0</v>
      </c>
      <c r="FB253">
        <v>0</v>
      </c>
      <c r="FC253">
        <v>0</v>
      </c>
      <c r="FD253">
        <v>0</v>
      </c>
      <c r="FE253">
        <v>0</v>
      </c>
      <c r="FF253">
        <v>0</v>
      </c>
      <c r="FG253">
        <v>0</v>
      </c>
      <c r="FH253">
        <v>0</v>
      </c>
      <c r="FI253">
        <v>0</v>
      </c>
      <c r="FJ253">
        <v>0</v>
      </c>
      <c r="FK253">
        <v>0</v>
      </c>
      <c r="FL253">
        <v>0</v>
      </c>
      <c r="FM253">
        <v>0</v>
      </c>
      <c r="FN253">
        <v>0</v>
      </c>
      <c r="FO253">
        <v>0</v>
      </c>
      <c r="FP253">
        <v>0</v>
      </c>
      <c r="FQ253">
        <v>0</v>
      </c>
      <c r="FR253">
        <v>0</v>
      </c>
      <c r="FS253">
        <v>0</v>
      </c>
      <c r="FT253">
        <v>0</v>
      </c>
      <c r="FU253">
        <v>0</v>
      </c>
      <c r="FV253">
        <v>0</v>
      </c>
      <c r="FW253">
        <v>0</v>
      </c>
      <c r="FX253">
        <v>0</v>
      </c>
      <c r="FY253">
        <v>0</v>
      </c>
      <c r="FZ253">
        <v>0</v>
      </c>
      <c r="GA253">
        <v>0</v>
      </c>
      <c r="GB253">
        <v>0</v>
      </c>
      <c r="GC253">
        <v>0</v>
      </c>
      <c r="GD253">
        <v>0</v>
      </c>
      <c r="GE253">
        <v>0</v>
      </c>
      <c r="GF253">
        <v>0</v>
      </c>
      <c r="GG253">
        <v>0</v>
      </c>
      <c r="GH253">
        <v>0</v>
      </c>
      <c r="GI253">
        <v>0</v>
      </c>
      <c r="GJ253">
        <v>0</v>
      </c>
      <c r="GK253">
        <v>0</v>
      </c>
      <c r="GL253">
        <v>0</v>
      </c>
      <c r="GM253">
        <v>0</v>
      </c>
      <c r="GN253">
        <v>0</v>
      </c>
      <c r="GO253">
        <v>0</v>
      </c>
      <c r="GP253">
        <v>0</v>
      </c>
      <c r="GQ253">
        <v>0</v>
      </c>
      <c r="GR253">
        <v>0</v>
      </c>
      <c r="GS253">
        <v>0</v>
      </c>
      <c r="GT253">
        <v>0</v>
      </c>
      <c r="GU253">
        <v>0</v>
      </c>
      <c r="GV253">
        <v>0</v>
      </c>
      <c r="GW253">
        <v>0</v>
      </c>
      <c r="GX253">
        <v>0</v>
      </c>
      <c r="GY253">
        <v>0</v>
      </c>
      <c r="GZ253">
        <v>0</v>
      </c>
      <c r="HA253">
        <v>0</v>
      </c>
      <c r="HB253">
        <v>0</v>
      </c>
      <c r="HC253">
        <v>0</v>
      </c>
      <c r="HD253">
        <v>0</v>
      </c>
      <c r="HE253">
        <v>0</v>
      </c>
      <c r="HF253">
        <v>0</v>
      </c>
      <c r="HG253">
        <v>0</v>
      </c>
      <c r="HH253">
        <v>0</v>
      </c>
      <c r="HI253">
        <v>0</v>
      </c>
      <c r="HJ253">
        <v>0</v>
      </c>
      <c r="HK253">
        <v>0</v>
      </c>
      <c r="HL253">
        <v>0</v>
      </c>
      <c r="HM253">
        <v>0</v>
      </c>
      <c r="HN253">
        <v>0</v>
      </c>
      <c r="HO253">
        <v>0</v>
      </c>
      <c r="HP253">
        <v>0</v>
      </c>
      <c r="HQ253">
        <v>0</v>
      </c>
      <c r="HR253">
        <v>0</v>
      </c>
      <c r="HS253">
        <v>0</v>
      </c>
      <c r="HT253">
        <v>0</v>
      </c>
      <c r="HU253">
        <v>0</v>
      </c>
      <c r="HV253">
        <v>0</v>
      </c>
      <c r="HW253">
        <v>0</v>
      </c>
      <c r="HX253">
        <v>0</v>
      </c>
      <c r="HY253">
        <v>0</v>
      </c>
      <c r="HZ253">
        <v>0</v>
      </c>
      <c r="IA253">
        <v>0</v>
      </c>
      <c r="IB253">
        <v>0</v>
      </c>
      <c r="IC253">
        <v>0</v>
      </c>
      <c r="ID253">
        <v>0</v>
      </c>
      <c r="IE253">
        <v>0</v>
      </c>
      <c r="IF253">
        <v>0</v>
      </c>
      <c r="IG253">
        <v>0</v>
      </c>
      <c r="IH253">
        <v>0</v>
      </c>
      <c r="II253">
        <v>0</v>
      </c>
      <c r="IJ253">
        <v>0</v>
      </c>
      <c r="IK253">
        <v>0</v>
      </c>
      <c r="IL253">
        <v>0</v>
      </c>
      <c r="IM253">
        <v>0</v>
      </c>
      <c r="IN253">
        <v>0</v>
      </c>
      <c r="IO253">
        <v>0</v>
      </c>
      <c r="IP253">
        <v>0</v>
      </c>
      <c r="IQ253">
        <v>0</v>
      </c>
      <c r="IR253">
        <v>0</v>
      </c>
      <c r="IS253">
        <v>0</v>
      </c>
      <c r="IT253">
        <v>0</v>
      </c>
      <c r="IU253">
        <v>0</v>
      </c>
      <c r="IV253">
        <v>0</v>
      </c>
      <c r="IW253">
        <v>0</v>
      </c>
      <c r="IX253">
        <v>0</v>
      </c>
      <c r="IY253">
        <v>0</v>
      </c>
      <c r="IZ253">
        <v>0</v>
      </c>
      <c r="JA253">
        <v>0</v>
      </c>
      <c r="JB253">
        <v>0</v>
      </c>
      <c r="JC253">
        <v>0</v>
      </c>
      <c r="JD253">
        <v>0</v>
      </c>
      <c r="JE253">
        <v>0</v>
      </c>
      <c r="JF253">
        <v>0</v>
      </c>
      <c r="JG253">
        <v>0</v>
      </c>
      <c r="JH253">
        <v>0</v>
      </c>
      <c r="JI253">
        <v>0</v>
      </c>
      <c r="JJ253">
        <v>0</v>
      </c>
      <c r="JK253">
        <v>0</v>
      </c>
      <c r="JL253">
        <v>0</v>
      </c>
      <c r="JM253">
        <v>0</v>
      </c>
      <c r="JN253">
        <v>0</v>
      </c>
      <c r="JO253">
        <v>0</v>
      </c>
      <c r="JP253">
        <v>0</v>
      </c>
      <c r="JQ253">
        <v>0</v>
      </c>
      <c r="JR253">
        <v>0</v>
      </c>
      <c r="JS253">
        <v>0</v>
      </c>
      <c r="JT253">
        <v>0</v>
      </c>
      <c r="JU253">
        <v>0</v>
      </c>
      <c r="JV253">
        <v>0</v>
      </c>
      <c r="JW253">
        <v>0</v>
      </c>
      <c r="JX253">
        <v>0</v>
      </c>
      <c r="JY253">
        <v>0</v>
      </c>
      <c r="JZ253">
        <v>0</v>
      </c>
      <c r="KA253">
        <v>0</v>
      </c>
      <c r="KB253">
        <v>0</v>
      </c>
      <c r="KC253">
        <v>0</v>
      </c>
      <c r="KD253">
        <v>0</v>
      </c>
      <c r="KE253">
        <v>0</v>
      </c>
      <c r="KF253">
        <v>0</v>
      </c>
      <c r="KG253">
        <v>0</v>
      </c>
      <c r="KH253">
        <v>0</v>
      </c>
      <c r="KI253">
        <v>0</v>
      </c>
      <c r="KJ253">
        <v>0</v>
      </c>
      <c r="KK253">
        <v>0</v>
      </c>
      <c r="KL253">
        <v>0</v>
      </c>
      <c r="KM253">
        <v>0</v>
      </c>
      <c r="KN253">
        <v>0</v>
      </c>
      <c r="KO253">
        <v>0</v>
      </c>
      <c r="KP253">
        <v>0</v>
      </c>
      <c r="KQ253">
        <v>0</v>
      </c>
      <c r="KR253">
        <v>0</v>
      </c>
      <c r="KS253">
        <v>0</v>
      </c>
      <c r="KT253">
        <v>0</v>
      </c>
      <c r="KU253">
        <v>0</v>
      </c>
      <c r="KV253">
        <v>0</v>
      </c>
      <c r="KW253">
        <v>0</v>
      </c>
      <c r="KX253">
        <v>0</v>
      </c>
      <c r="KY253">
        <v>0</v>
      </c>
      <c r="KZ253">
        <v>0</v>
      </c>
      <c r="LA253">
        <v>0</v>
      </c>
      <c r="LB253">
        <v>0</v>
      </c>
      <c r="LC253">
        <v>0</v>
      </c>
      <c r="LD253">
        <v>0</v>
      </c>
      <c r="LE253">
        <v>0</v>
      </c>
      <c r="LF253">
        <v>0</v>
      </c>
      <c r="LG253">
        <v>0</v>
      </c>
      <c r="LH253">
        <v>0</v>
      </c>
      <c r="LI253">
        <v>0</v>
      </c>
      <c r="LJ253">
        <v>0</v>
      </c>
      <c r="LK253">
        <v>0</v>
      </c>
      <c r="LL253">
        <v>0</v>
      </c>
      <c r="LM253">
        <v>0</v>
      </c>
      <c r="LN253">
        <v>0</v>
      </c>
      <c r="LO253">
        <v>0</v>
      </c>
      <c r="LP253">
        <v>0</v>
      </c>
      <c r="LQ253">
        <v>0</v>
      </c>
      <c r="LR253">
        <v>0</v>
      </c>
      <c r="LS253">
        <v>0</v>
      </c>
      <c r="LT253">
        <v>0</v>
      </c>
      <c r="LU253">
        <v>0</v>
      </c>
      <c r="LV253">
        <v>0</v>
      </c>
      <c r="LW253">
        <v>0</v>
      </c>
      <c r="LX253">
        <v>0</v>
      </c>
      <c r="LY253">
        <v>0</v>
      </c>
      <c r="LZ253">
        <v>0</v>
      </c>
      <c r="MA253">
        <v>0</v>
      </c>
      <c r="MB253">
        <v>0</v>
      </c>
      <c r="MC253">
        <v>0</v>
      </c>
      <c r="MD253">
        <v>0</v>
      </c>
      <c r="ME253">
        <v>0</v>
      </c>
      <c r="MF253">
        <v>0</v>
      </c>
      <c r="MG253">
        <v>0</v>
      </c>
      <c r="MH253">
        <v>0</v>
      </c>
      <c r="MI253">
        <v>0</v>
      </c>
      <c r="MJ253">
        <v>0</v>
      </c>
      <c r="MK253">
        <v>0</v>
      </c>
      <c r="ML253">
        <v>0</v>
      </c>
      <c r="MM253">
        <v>0</v>
      </c>
      <c r="MN253">
        <v>0</v>
      </c>
      <c r="MO253">
        <v>0</v>
      </c>
      <c r="MP253">
        <v>0</v>
      </c>
      <c r="MQ253">
        <v>0</v>
      </c>
      <c r="MR253">
        <v>0</v>
      </c>
      <c r="MS253">
        <v>0</v>
      </c>
      <c r="MT253">
        <v>0</v>
      </c>
      <c r="MU253">
        <v>0</v>
      </c>
      <c r="MV253">
        <v>0</v>
      </c>
      <c r="MW253">
        <v>0</v>
      </c>
      <c r="MX253">
        <v>0</v>
      </c>
      <c r="MY253">
        <v>0</v>
      </c>
      <c r="MZ253">
        <v>0</v>
      </c>
      <c r="NA253">
        <v>0</v>
      </c>
      <c r="NB253">
        <v>0</v>
      </c>
      <c r="NC253">
        <v>0</v>
      </c>
      <c r="ND253">
        <v>0</v>
      </c>
      <c r="NE253">
        <v>0</v>
      </c>
    </row>
    <row r="254" spans="41:369" x14ac:dyDescent="0.45">
      <c r="AO254" t="str">
        <v>D130</v>
      </c>
      <c r="AP254" t="str">
        <v>ZAINUDEEN</v>
      </c>
      <c r="AQ254" t="str">
        <v>DAHF</v>
      </c>
      <c r="AR254" t="str">
        <v>SUPER SENIOR</v>
      </c>
      <c r="AS254">
        <v>9</v>
      </c>
      <c r="AT254">
        <v>0</v>
      </c>
      <c r="AU254">
        <v>0</v>
      </c>
      <c r="AV254">
        <v>0</v>
      </c>
      <c r="AW254">
        <v>0</v>
      </c>
      <c r="AX254">
        <v>255</v>
      </c>
      <c r="AY254" s="5">
        <v>255</v>
      </c>
      <c r="AZ254">
        <v>0</v>
      </c>
      <c r="BA254">
        <v>0</v>
      </c>
      <c r="BB254">
        <v>0</v>
      </c>
      <c r="BC254">
        <v>0</v>
      </c>
      <c r="BD254">
        <v>0</v>
      </c>
      <c r="BE254">
        <v>0</v>
      </c>
      <c r="BF254">
        <v>0</v>
      </c>
      <c r="BG254">
        <v>0</v>
      </c>
      <c r="BH254">
        <v>0</v>
      </c>
      <c r="BI254" t="str">
        <v/>
      </c>
      <c r="BK254">
        <v>248</v>
      </c>
      <c r="BL254">
        <v>0</v>
      </c>
      <c r="BM254">
        <v>0</v>
      </c>
      <c r="BN254">
        <v>0</v>
      </c>
      <c r="BO254">
        <v>0</v>
      </c>
      <c r="BP254">
        <v>0</v>
      </c>
      <c r="BQ254">
        <v>0</v>
      </c>
      <c r="BR254">
        <v>0</v>
      </c>
      <c r="BS254">
        <v>0</v>
      </c>
      <c r="BT254">
        <v>0</v>
      </c>
      <c r="BU254">
        <v>0</v>
      </c>
      <c r="BV254">
        <v>0</v>
      </c>
      <c r="BW254">
        <v>0</v>
      </c>
      <c r="BX254">
        <v>0</v>
      </c>
      <c r="BY254">
        <v>0</v>
      </c>
      <c r="BZ254">
        <v>0</v>
      </c>
      <c r="CA254">
        <v>0</v>
      </c>
      <c r="CB254">
        <v>0</v>
      </c>
      <c r="CC254">
        <v>0</v>
      </c>
      <c r="CD254">
        <v>0</v>
      </c>
      <c r="CE254">
        <v>0</v>
      </c>
      <c r="CF254">
        <v>0</v>
      </c>
      <c r="CG254">
        <v>0</v>
      </c>
      <c r="CH254">
        <v>0</v>
      </c>
      <c r="CI254">
        <v>0</v>
      </c>
      <c r="CJ254">
        <v>0</v>
      </c>
      <c r="CK254">
        <v>0</v>
      </c>
      <c r="CL254">
        <v>0</v>
      </c>
      <c r="CM254">
        <v>0</v>
      </c>
      <c r="CN254">
        <v>0</v>
      </c>
      <c r="CO254">
        <v>0</v>
      </c>
      <c r="CP254">
        <v>0</v>
      </c>
      <c r="CQ254">
        <v>0</v>
      </c>
      <c r="CR254">
        <v>0</v>
      </c>
      <c r="CS254">
        <v>0</v>
      </c>
      <c r="CT254">
        <v>0</v>
      </c>
      <c r="CU254">
        <v>0</v>
      </c>
      <c r="CV254">
        <v>0</v>
      </c>
      <c r="CW254">
        <v>0</v>
      </c>
      <c r="CX254">
        <v>0</v>
      </c>
      <c r="CY254">
        <v>0</v>
      </c>
      <c r="CZ254">
        <v>0</v>
      </c>
      <c r="DA254">
        <v>0</v>
      </c>
      <c r="DB254">
        <v>0</v>
      </c>
      <c r="DC254">
        <v>0</v>
      </c>
      <c r="DD254">
        <v>0</v>
      </c>
      <c r="DE254">
        <v>0</v>
      </c>
      <c r="DF254">
        <v>0</v>
      </c>
      <c r="DG254">
        <v>0</v>
      </c>
      <c r="DH254">
        <v>0</v>
      </c>
      <c r="DI254">
        <v>0</v>
      </c>
      <c r="DJ254">
        <v>0</v>
      </c>
      <c r="DK254">
        <v>0</v>
      </c>
      <c r="DL254">
        <v>0</v>
      </c>
      <c r="DM254">
        <v>0</v>
      </c>
      <c r="DN254">
        <v>0</v>
      </c>
      <c r="DO254">
        <v>0</v>
      </c>
      <c r="DP254">
        <v>0</v>
      </c>
      <c r="DQ254">
        <v>0</v>
      </c>
      <c r="DR254">
        <v>0</v>
      </c>
      <c r="DS254">
        <v>0</v>
      </c>
      <c r="DT254">
        <v>0</v>
      </c>
      <c r="DU254">
        <v>0</v>
      </c>
      <c r="DV254">
        <v>0</v>
      </c>
      <c r="DW254">
        <v>0</v>
      </c>
      <c r="DX254">
        <v>0</v>
      </c>
      <c r="DY254">
        <v>0</v>
      </c>
      <c r="DZ254">
        <v>0</v>
      </c>
      <c r="EA254">
        <v>0</v>
      </c>
      <c r="EB254">
        <v>0</v>
      </c>
      <c r="EC254">
        <v>0</v>
      </c>
      <c r="ED254">
        <v>0</v>
      </c>
      <c r="EE254">
        <v>0</v>
      </c>
      <c r="EF254">
        <v>0</v>
      </c>
      <c r="EG254">
        <v>0</v>
      </c>
      <c r="EH254">
        <v>0</v>
      </c>
      <c r="EI254">
        <v>0</v>
      </c>
      <c r="EJ254">
        <v>0</v>
      </c>
      <c r="EK254">
        <v>0</v>
      </c>
      <c r="EL254">
        <v>0</v>
      </c>
      <c r="EM254">
        <v>0</v>
      </c>
      <c r="EN254">
        <v>0</v>
      </c>
      <c r="EO254">
        <v>0</v>
      </c>
      <c r="EP254">
        <v>0</v>
      </c>
      <c r="EQ254">
        <v>0</v>
      </c>
      <c r="ER254">
        <v>0</v>
      </c>
      <c r="ES254">
        <v>0</v>
      </c>
      <c r="ET254">
        <v>0</v>
      </c>
      <c r="EU254">
        <v>0</v>
      </c>
      <c r="EV254">
        <v>0</v>
      </c>
      <c r="EW254">
        <v>0</v>
      </c>
      <c r="EX254">
        <v>0</v>
      </c>
      <c r="EY254">
        <v>0</v>
      </c>
      <c r="EZ254">
        <v>0</v>
      </c>
      <c r="FA254">
        <v>0</v>
      </c>
      <c r="FB254">
        <v>0</v>
      </c>
      <c r="FC254">
        <v>0</v>
      </c>
      <c r="FD254">
        <v>0</v>
      </c>
      <c r="FE254">
        <v>0</v>
      </c>
      <c r="FF254">
        <v>0</v>
      </c>
      <c r="FG254">
        <v>0</v>
      </c>
      <c r="FH254">
        <v>0</v>
      </c>
      <c r="FI254">
        <v>0</v>
      </c>
      <c r="FJ254">
        <v>0</v>
      </c>
      <c r="FK254">
        <v>0</v>
      </c>
      <c r="FL254">
        <v>0</v>
      </c>
      <c r="FM254">
        <v>0</v>
      </c>
      <c r="FN254">
        <v>0</v>
      </c>
      <c r="FO254">
        <v>0</v>
      </c>
      <c r="FP254">
        <v>0</v>
      </c>
      <c r="FQ254">
        <v>0</v>
      </c>
      <c r="FR254">
        <v>0</v>
      </c>
      <c r="FS254">
        <v>0</v>
      </c>
      <c r="FT254">
        <v>0</v>
      </c>
      <c r="FU254">
        <v>0</v>
      </c>
      <c r="FV254">
        <v>0</v>
      </c>
      <c r="FW254">
        <v>0</v>
      </c>
      <c r="FX254">
        <v>0</v>
      </c>
      <c r="FY254">
        <v>0</v>
      </c>
      <c r="FZ254">
        <v>0</v>
      </c>
      <c r="GA254">
        <v>0</v>
      </c>
      <c r="GB254">
        <v>0</v>
      </c>
      <c r="GC254">
        <v>0</v>
      </c>
      <c r="GD254">
        <v>0</v>
      </c>
      <c r="GE254">
        <v>0</v>
      </c>
      <c r="GF254">
        <v>0</v>
      </c>
      <c r="GG254">
        <v>0</v>
      </c>
      <c r="GH254">
        <v>0</v>
      </c>
      <c r="GI254">
        <v>0</v>
      </c>
      <c r="GJ254">
        <v>0</v>
      </c>
      <c r="GK254">
        <v>0</v>
      </c>
      <c r="GL254">
        <v>0</v>
      </c>
      <c r="GM254">
        <v>0</v>
      </c>
      <c r="GN254">
        <v>0</v>
      </c>
      <c r="GO254">
        <v>0</v>
      </c>
      <c r="GP254">
        <v>0</v>
      </c>
      <c r="GQ254">
        <v>0</v>
      </c>
      <c r="GR254">
        <v>0</v>
      </c>
      <c r="GS254">
        <v>0</v>
      </c>
      <c r="GT254">
        <v>0</v>
      </c>
      <c r="GU254">
        <v>0</v>
      </c>
      <c r="GV254">
        <v>0</v>
      </c>
      <c r="GW254">
        <v>0</v>
      </c>
      <c r="GX254">
        <v>0</v>
      </c>
      <c r="GY254">
        <v>0</v>
      </c>
      <c r="GZ254">
        <v>0</v>
      </c>
      <c r="HA254">
        <v>0</v>
      </c>
      <c r="HB254">
        <v>0</v>
      </c>
      <c r="HC254">
        <v>0</v>
      </c>
      <c r="HD254">
        <v>0</v>
      </c>
      <c r="HE254">
        <v>0</v>
      </c>
      <c r="HF254">
        <v>0</v>
      </c>
      <c r="HG254">
        <v>0</v>
      </c>
      <c r="HH254">
        <v>0</v>
      </c>
      <c r="HI254">
        <v>0</v>
      </c>
      <c r="HJ254">
        <v>0</v>
      </c>
      <c r="HK254">
        <v>0</v>
      </c>
      <c r="HL254">
        <v>0</v>
      </c>
      <c r="HM254">
        <v>0</v>
      </c>
      <c r="HN254">
        <v>0</v>
      </c>
      <c r="HO254">
        <v>0</v>
      </c>
      <c r="HP254">
        <v>0</v>
      </c>
      <c r="HQ254">
        <v>0</v>
      </c>
      <c r="HR254">
        <v>0</v>
      </c>
      <c r="HS254">
        <v>0</v>
      </c>
      <c r="HT254">
        <v>0</v>
      </c>
      <c r="HU254">
        <v>0</v>
      </c>
      <c r="HV254">
        <v>0</v>
      </c>
      <c r="HW254">
        <v>0</v>
      </c>
      <c r="HX254">
        <v>0</v>
      </c>
      <c r="HY254">
        <v>0</v>
      </c>
      <c r="HZ254">
        <v>0</v>
      </c>
      <c r="IA254">
        <v>0</v>
      </c>
      <c r="IB254">
        <v>0</v>
      </c>
      <c r="IC254">
        <v>0</v>
      </c>
      <c r="ID254">
        <v>0</v>
      </c>
      <c r="IE254">
        <v>0</v>
      </c>
      <c r="IF254">
        <v>0</v>
      </c>
      <c r="IG254">
        <v>0</v>
      </c>
      <c r="IH254">
        <v>0</v>
      </c>
      <c r="II254">
        <v>0</v>
      </c>
      <c r="IJ254">
        <v>0</v>
      </c>
      <c r="IK254">
        <v>0</v>
      </c>
      <c r="IL254">
        <v>0</v>
      </c>
      <c r="IM254">
        <v>0</v>
      </c>
      <c r="IN254">
        <v>0</v>
      </c>
      <c r="IO254">
        <v>0</v>
      </c>
      <c r="IP254">
        <v>0</v>
      </c>
      <c r="IQ254">
        <v>0</v>
      </c>
      <c r="IR254">
        <v>0</v>
      </c>
      <c r="IS254">
        <v>0</v>
      </c>
      <c r="IT254">
        <v>0</v>
      </c>
      <c r="IU254">
        <v>0</v>
      </c>
      <c r="IV254">
        <v>0</v>
      </c>
      <c r="IW254">
        <v>0</v>
      </c>
      <c r="IX254">
        <v>0</v>
      </c>
      <c r="IY254">
        <v>0</v>
      </c>
      <c r="IZ254">
        <v>0</v>
      </c>
      <c r="JA254">
        <v>0</v>
      </c>
      <c r="JB254">
        <v>0</v>
      </c>
      <c r="JC254">
        <v>0</v>
      </c>
      <c r="JD254">
        <v>0</v>
      </c>
      <c r="JE254">
        <v>0</v>
      </c>
      <c r="JF254">
        <v>0</v>
      </c>
      <c r="JG254">
        <v>0</v>
      </c>
      <c r="JH254">
        <v>0</v>
      </c>
      <c r="JI254">
        <v>0</v>
      </c>
      <c r="JJ254">
        <v>0</v>
      </c>
      <c r="JK254">
        <v>0</v>
      </c>
      <c r="JL254">
        <v>0</v>
      </c>
      <c r="JM254">
        <v>0</v>
      </c>
      <c r="JN254">
        <v>0</v>
      </c>
      <c r="JO254">
        <v>0</v>
      </c>
      <c r="JP254">
        <v>0</v>
      </c>
      <c r="JQ254">
        <v>0</v>
      </c>
      <c r="JR254">
        <v>0</v>
      </c>
      <c r="JS254">
        <v>0</v>
      </c>
      <c r="JT254">
        <v>0</v>
      </c>
      <c r="JU254">
        <v>0</v>
      </c>
      <c r="JV254">
        <v>0</v>
      </c>
      <c r="JW254">
        <v>0</v>
      </c>
      <c r="JX254">
        <v>0</v>
      </c>
      <c r="JY254">
        <v>0</v>
      </c>
      <c r="JZ254">
        <v>0</v>
      </c>
      <c r="KA254">
        <v>0</v>
      </c>
      <c r="KB254">
        <v>0</v>
      </c>
      <c r="KC254">
        <v>0</v>
      </c>
      <c r="KD254">
        <v>0</v>
      </c>
      <c r="KE254">
        <v>0</v>
      </c>
      <c r="KF254">
        <v>0</v>
      </c>
      <c r="KG254">
        <v>0</v>
      </c>
      <c r="KH254">
        <v>0</v>
      </c>
      <c r="KI254">
        <v>0</v>
      </c>
      <c r="KJ254">
        <v>0</v>
      </c>
      <c r="KK254">
        <v>0</v>
      </c>
      <c r="KL254">
        <v>0</v>
      </c>
      <c r="KM254">
        <v>0</v>
      </c>
      <c r="KN254">
        <v>0</v>
      </c>
      <c r="KO254">
        <v>0</v>
      </c>
      <c r="KP254">
        <v>0</v>
      </c>
      <c r="KQ254">
        <v>0</v>
      </c>
      <c r="KR254">
        <v>0</v>
      </c>
      <c r="KS254">
        <v>0</v>
      </c>
      <c r="KT254">
        <v>0</v>
      </c>
      <c r="KU254">
        <v>0</v>
      </c>
      <c r="KV254">
        <v>0</v>
      </c>
      <c r="KW254">
        <v>0</v>
      </c>
      <c r="KX254">
        <v>0</v>
      </c>
      <c r="KY254">
        <v>0</v>
      </c>
      <c r="KZ254">
        <v>0</v>
      </c>
      <c r="LA254">
        <v>0</v>
      </c>
      <c r="LB254">
        <v>0</v>
      </c>
      <c r="LC254">
        <v>0</v>
      </c>
      <c r="LD254">
        <v>0</v>
      </c>
      <c r="LE254">
        <v>0</v>
      </c>
      <c r="LF254">
        <v>0</v>
      </c>
      <c r="LG254">
        <v>0</v>
      </c>
      <c r="LH254">
        <v>0</v>
      </c>
      <c r="LI254">
        <v>0</v>
      </c>
      <c r="LJ254">
        <v>0</v>
      </c>
      <c r="LK254">
        <v>0</v>
      </c>
      <c r="LL254">
        <v>0</v>
      </c>
      <c r="LM254">
        <v>0</v>
      </c>
      <c r="LN254">
        <v>0</v>
      </c>
      <c r="LO254">
        <v>0</v>
      </c>
      <c r="LP254">
        <v>0</v>
      </c>
      <c r="LQ254">
        <v>0</v>
      </c>
      <c r="LR254">
        <v>0</v>
      </c>
      <c r="LS254">
        <v>0</v>
      </c>
      <c r="LT254">
        <v>0</v>
      </c>
      <c r="LU254">
        <v>0</v>
      </c>
      <c r="LV254">
        <v>0</v>
      </c>
      <c r="LW254">
        <v>0</v>
      </c>
      <c r="LX254">
        <v>0</v>
      </c>
      <c r="LY254">
        <v>0</v>
      </c>
      <c r="LZ254">
        <v>0</v>
      </c>
      <c r="MA254">
        <v>0</v>
      </c>
      <c r="MB254">
        <v>0</v>
      </c>
      <c r="MC254">
        <v>0</v>
      </c>
      <c r="MD254">
        <v>0</v>
      </c>
      <c r="ME254">
        <v>0</v>
      </c>
      <c r="MF254">
        <v>0</v>
      </c>
      <c r="MG254">
        <v>0</v>
      </c>
      <c r="MH254">
        <v>0</v>
      </c>
      <c r="MI254">
        <v>0</v>
      </c>
      <c r="MJ254">
        <v>0</v>
      </c>
      <c r="MK254">
        <v>0</v>
      </c>
      <c r="ML254">
        <v>0</v>
      </c>
      <c r="MM254">
        <v>0</v>
      </c>
      <c r="MN254">
        <v>0</v>
      </c>
      <c r="MO254">
        <v>0</v>
      </c>
      <c r="MP254">
        <v>0</v>
      </c>
      <c r="MQ254">
        <v>0</v>
      </c>
      <c r="MR254">
        <v>0</v>
      </c>
      <c r="MS254">
        <v>0</v>
      </c>
      <c r="MT254">
        <v>0</v>
      </c>
      <c r="MU254">
        <v>0</v>
      </c>
      <c r="MV254">
        <v>0</v>
      </c>
      <c r="MW254">
        <v>0</v>
      </c>
      <c r="MX254">
        <v>0</v>
      </c>
      <c r="MY254">
        <v>0</v>
      </c>
      <c r="MZ254">
        <v>0</v>
      </c>
      <c r="NA254">
        <v>0</v>
      </c>
      <c r="NB254">
        <v>0</v>
      </c>
      <c r="NC254">
        <v>0</v>
      </c>
      <c r="ND254">
        <v>0</v>
      </c>
      <c r="NE254">
        <v>0</v>
      </c>
    </row>
    <row r="255" spans="41:369" x14ac:dyDescent="0.45">
      <c r="AO255" t="str">
        <v>D131</v>
      </c>
      <c r="AP255" t="str">
        <v>MAHAMMAD RIYAZ</v>
      </c>
      <c r="AQ255" t="str">
        <v>DAHF</v>
      </c>
      <c r="AR255" t="str">
        <v>SUPER SENIOR</v>
      </c>
      <c r="AS255">
        <v>9</v>
      </c>
      <c r="AT255">
        <v>6</v>
      </c>
      <c r="AU255">
        <v>0</v>
      </c>
      <c r="AV255">
        <v>6</v>
      </c>
      <c r="AW255">
        <v>6</v>
      </c>
      <c r="AX255">
        <v>171</v>
      </c>
      <c r="AY255" s="5">
        <v>171</v>
      </c>
      <c r="AZ255">
        <v>0</v>
      </c>
      <c r="BA255">
        <v>0</v>
      </c>
      <c r="BB255">
        <v>0</v>
      </c>
      <c r="BC255">
        <v>0</v>
      </c>
      <c r="BD255">
        <v>0</v>
      </c>
      <c r="BE255">
        <v>0</v>
      </c>
      <c r="BF255">
        <v>0</v>
      </c>
      <c r="BG255">
        <v>0</v>
      </c>
      <c r="BH255">
        <v>0</v>
      </c>
      <c r="BI255" t="str">
        <v/>
      </c>
      <c r="BK255">
        <v>249</v>
      </c>
      <c r="BL255">
        <v>0</v>
      </c>
      <c r="BM255">
        <v>0</v>
      </c>
      <c r="BN255">
        <v>0</v>
      </c>
      <c r="BO255">
        <v>0</v>
      </c>
      <c r="BP255">
        <v>0</v>
      </c>
      <c r="BQ255">
        <v>0</v>
      </c>
      <c r="BR255">
        <v>0</v>
      </c>
      <c r="BS255">
        <v>0</v>
      </c>
      <c r="BT255">
        <v>0</v>
      </c>
      <c r="BU255">
        <v>0</v>
      </c>
      <c r="BV255">
        <v>0</v>
      </c>
      <c r="BW255">
        <v>0</v>
      </c>
      <c r="BX255">
        <v>0</v>
      </c>
      <c r="BY255">
        <v>0</v>
      </c>
      <c r="BZ255">
        <v>0</v>
      </c>
      <c r="CA255">
        <v>0</v>
      </c>
      <c r="CB255">
        <v>0</v>
      </c>
      <c r="CC255">
        <v>0</v>
      </c>
      <c r="CD255">
        <v>0</v>
      </c>
      <c r="CE255">
        <v>0</v>
      </c>
      <c r="CF255">
        <v>0</v>
      </c>
      <c r="CG255">
        <v>0</v>
      </c>
      <c r="CH255">
        <v>0</v>
      </c>
      <c r="CI255">
        <v>0</v>
      </c>
      <c r="CJ255">
        <v>0</v>
      </c>
      <c r="CK255">
        <v>0</v>
      </c>
      <c r="CL255">
        <v>0</v>
      </c>
      <c r="CM255">
        <v>0</v>
      </c>
      <c r="CN255">
        <v>0</v>
      </c>
      <c r="CO255">
        <v>0</v>
      </c>
      <c r="CP255">
        <v>0</v>
      </c>
      <c r="CQ255">
        <v>0</v>
      </c>
      <c r="CR255">
        <v>0</v>
      </c>
      <c r="CS255">
        <v>0</v>
      </c>
      <c r="CT255">
        <v>0</v>
      </c>
      <c r="CU255">
        <v>0</v>
      </c>
      <c r="CV255">
        <v>0</v>
      </c>
      <c r="CW255">
        <v>0</v>
      </c>
      <c r="CX255">
        <v>0</v>
      </c>
      <c r="CY255">
        <v>0</v>
      </c>
      <c r="CZ255">
        <v>0</v>
      </c>
      <c r="DA255">
        <v>0</v>
      </c>
      <c r="DB255">
        <v>0</v>
      </c>
      <c r="DC255">
        <v>0</v>
      </c>
      <c r="DD255">
        <v>0</v>
      </c>
      <c r="DE255">
        <v>0</v>
      </c>
      <c r="DF255">
        <v>0</v>
      </c>
      <c r="DG255">
        <v>0</v>
      </c>
      <c r="DH255">
        <v>0</v>
      </c>
      <c r="DI255">
        <v>0</v>
      </c>
      <c r="DJ255">
        <v>0</v>
      </c>
      <c r="DK255">
        <v>0</v>
      </c>
      <c r="DL255">
        <v>0</v>
      </c>
      <c r="DM255">
        <v>0</v>
      </c>
      <c r="DN255">
        <v>0</v>
      </c>
      <c r="DO255">
        <v>0</v>
      </c>
      <c r="DP255">
        <v>0</v>
      </c>
      <c r="DQ255">
        <v>0</v>
      </c>
      <c r="DR255">
        <v>0</v>
      </c>
      <c r="DS255">
        <v>0</v>
      </c>
      <c r="DT255">
        <v>0</v>
      </c>
      <c r="DU255">
        <v>0</v>
      </c>
      <c r="DV255">
        <v>0</v>
      </c>
      <c r="DW255">
        <v>0</v>
      </c>
      <c r="DX255">
        <v>0</v>
      </c>
      <c r="DY255">
        <v>0</v>
      </c>
      <c r="DZ255">
        <v>0</v>
      </c>
      <c r="EA255">
        <v>0</v>
      </c>
      <c r="EB255">
        <v>0</v>
      </c>
      <c r="EC255">
        <v>0</v>
      </c>
      <c r="ED255">
        <v>0</v>
      </c>
      <c r="EE255">
        <v>0</v>
      </c>
      <c r="EF255">
        <v>0</v>
      </c>
      <c r="EG255">
        <v>0</v>
      </c>
      <c r="EH255">
        <v>0</v>
      </c>
      <c r="EI255">
        <v>0</v>
      </c>
      <c r="EJ255">
        <v>0</v>
      </c>
      <c r="EK255">
        <v>0</v>
      </c>
      <c r="EL255">
        <v>0</v>
      </c>
      <c r="EM255">
        <v>0</v>
      </c>
      <c r="EN255">
        <v>0</v>
      </c>
      <c r="EO255">
        <v>0</v>
      </c>
      <c r="EP255">
        <v>0</v>
      </c>
      <c r="EQ255">
        <v>0</v>
      </c>
      <c r="ER255">
        <v>0</v>
      </c>
      <c r="ES255">
        <v>0</v>
      </c>
      <c r="ET255">
        <v>0</v>
      </c>
      <c r="EU255">
        <v>0</v>
      </c>
      <c r="EV255">
        <v>0</v>
      </c>
      <c r="EW255">
        <v>0</v>
      </c>
      <c r="EX255">
        <v>0</v>
      </c>
      <c r="EY255">
        <v>0</v>
      </c>
      <c r="EZ255">
        <v>0</v>
      </c>
      <c r="FA255">
        <v>0</v>
      </c>
      <c r="FB255">
        <v>0</v>
      </c>
      <c r="FC255">
        <v>0</v>
      </c>
      <c r="FD255">
        <v>0</v>
      </c>
      <c r="FE255">
        <v>0</v>
      </c>
      <c r="FF255">
        <v>0</v>
      </c>
      <c r="FG255">
        <v>0</v>
      </c>
      <c r="FH255">
        <v>0</v>
      </c>
      <c r="FI255">
        <v>0</v>
      </c>
      <c r="FJ255">
        <v>0</v>
      </c>
      <c r="FK255">
        <v>0</v>
      </c>
      <c r="FL255">
        <v>0</v>
      </c>
      <c r="FM255">
        <v>0</v>
      </c>
      <c r="FN255">
        <v>0</v>
      </c>
      <c r="FO255">
        <v>0</v>
      </c>
      <c r="FP255">
        <v>0</v>
      </c>
      <c r="FQ255">
        <v>0</v>
      </c>
      <c r="FR255">
        <v>0</v>
      </c>
      <c r="FS255">
        <v>0</v>
      </c>
      <c r="FT255">
        <v>0</v>
      </c>
      <c r="FU255">
        <v>0</v>
      </c>
      <c r="FV255">
        <v>0</v>
      </c>
      <c r="FW255">
        <v>0</v>
      </c>
      <c r="FX255">
        <v>0</v>
      </c>
      <c r="FY255">
        <v>0</v>
      </c>
      <c r="FZ255">
        <v>0</v>
      </c>
      <c r="GA255">
        <v>0</v>
      </c>
      <c r="GB255">
        <v>0</v>
      </c>
      <c r="GC255">
        <v>0</v>
      </c>
      <c r="GD255">
        <v>0</v>
      </c>
      <c r="GE255">
        <v>0</v>
      </c>
      <c r="GF255">
        <v>0</v>
      </c>
      <c r="GG255">
        <v>0</v>
      </c>
      <c r="GH255">
        <v>0</v>
      </c>
      <c r="GI255">
        <v>0</v>
      </c>
      <c r="GJ255">
        <v>0</v>
      </c>
      <c r="GK255">
        <v>0</v>
      </c>
      <c r="GL255">
        <v>0</v>
      </c>
      <c r="GM255">
        <v>0</v>
      </c>
      <c r="GN255">
        <v>0</v>
      </c>
      <c r="GO255">
        <v>0</v>
      </c>
      <c r="GP255">
        <v>0</v>
      </c>
      <c r="GQ255">
        <v>0</v>
      </c>
      <c r="GR255">
        <v>0</v>
      </c>
      <c r="GS255">
        <v>0</v>
      </c>
      <c r="GT255">
        <v>0</v>
      </c>
      <c r="GU255">
        <v>0</v>
      </c>
      <c r="GV255">
        <v>0</v>
      </c>
      <c r="GW255">
        <v>0</v>
      </c>
      <c r="GX255">
        <v>0</v>
      </c>
      <c r="GY255">
        <v>0</v>
      </c>
      <c r="GZ255">
        <v>0</v>
      </c>
      <c r="HA255">
        <v>0</v>
      </c>
      <c r="HB255">
        <v>0</v>
      </c>
      <c r="HC255">
        <v>0</v>
      </c>
      <c r="HD255">
        <v>0</v>
      </c>
      <c r="HE255">
        <v>0</v>
      </c>
      <c r="HF255">
        <v>0</v>
      </c>
      <c r="HG255">
        <v>0</v>
      </c>
      <c r="HH255">
        <v>0</v>
      </c>
      <c r="HI255">
        <v>0</v>
      </c>
      <c r="HJ255">
        <v>0</v>
      </c>
      <c r="HK255">
        <v>0</v>
      </c>
      <c r="HL255">
        <v>0</v>
      </c>
      <c r="HM255">
        <v>0</v>
      </c>
      <c r="HN255">
        <v>0</v>
      </c>
      <c r="HO255">
        <v>0</v>
      </c>
      <c r="HP255">
        <v>0</v>
      </c>
      <c r="HQ255">
        <v>0</v>
      </c>
      <c r="HR255">
        <v>0</v>
      </c>
      <c r="HS255">
        <v>0</v>
      </c>
      <c r="HT255">
        <v>0</v>
      </c>
      <c r="HU255">
        <v>0</v>
      </c>
      <c r="HV255">
        <v>0</v>
      </c>
      <c r="HW255">
        <v>0</v>
      </c>
      <c r="HX255">
        <v>0</v>
      </c>
      <c r="HY255">
        <v>0</v>
      </c>
      <c r="HZ255">
        <v>0</v>
      </c>
      <c r="IA255">
        <v>0</v>
      </c>
      <c r="IB255">
        <v>0</v>
      </c>
      <c r="IC255">
        <v>0</v>
      </c>
      <c r="ID255">
        <v>0</v>
      </c>
      <c r="IE255">
        <v>0</v>
      </c>
      <c r="IF255">
        <v>0</v>
      </c>
      <c r="IG255">
        <v>0</v>
      </c>
      <c r="IH255">
        <v>0</v>
      </c>
      <c r="II255">
        <v>0</v>
      </c>
      <c r="IJ255">
        <v>0</v>
      </c>
      <c r="IK255">
        <v>0</v>
      </c>
      <c r="IL255">
        <v>0</v>
      </c>
      <c r="IM255">
        <v>0</v>
      </c>
      <c r="IN255">
        <v>0</v>
      </c>
      <c r="IO255">
        <v>0</v>
      </c>
      <c r="IP255">
        <v>0</v>
      </c>
      <c r="IQ255">
        <v>0</v>
      </c>
      <c r="IR255">
        <v>0</v>
      </c>
      <c r="IS255">
        <v>0</v>
      </c>
      <c r="IT255">
        <v>0</v>
      </c>
      <c r="IU255">
        <v>0</v>
      </c>
      <c r="IV255">
        <v>0</v>
      </c>
      <c r="IW255">
        <v>0</v>
      </c>
      <c r="IX255">
        <v>0</v>
      </c>
      <c r="IY255">
        <v>0</v>
      </c>
      <c r="IZ255">
        <v>0</v>
      </c>
      <c r="JA255">
        <v>0</v>
      </c>
      <c r="JB255">
        <v>0</v>
      </c>
      <c r="JC255">
        <v>0</v>
      </c>
      <c r="JD255">
        <v>0</v>
      </c>
      <c r="JE255">
        <v>0</v>
      </c>
      <c r="JF255">
        <v>0</v>
      </c>
      <c r="JG255">
        <v>0</v>
      </c>
      <c r="JH255">
        <v>0</v>
      </c>
      <c r="JI255">
        <v>0</v>
      </c>
      <c r="JJ255">
        <v>0</v>
      </c>
      <c r="JK255">
        <v>0</v>
      </c>
      <c r="JL255">
        <v>0</v>
      </c>
      <c r="JM255">
        <v>0</v>
      </c>
      <c r="JN255">
        <v>0</v>
      </c>
      <c r="JO255">
        <v>0</v>
      </c>
      <c r="JP255">
        <v>0</v>
      </c>
      <c r="JQ255">
        <v>0</v>
      </c>
      <c r="JR255">
        <v>0</v>
      </c>
      <c r="JS255">
        <v>0</v>
      </c>
      <c r="JT255">
        <v>0</v>
      </c>
      <c r="JU255">
        <v>0</v>
      </c>
      <c r="JV255">
        <v>0</v>
      </c>
      <c r="JW255">
        <v>0</v>
      </c>
      <c r="JX255">
        <v>0</v>
      </c>
      <c r="JY255">
        <v>0</v>
      </c>
      <c r="JZ255">
        <v>0</v>
      </c>
      <c r="KA255">
        <v>0</v>
      </c>
      <c r="KB255">
        <v>0</v>
      </c>
      <c r="KC255">
        <v>0</v>
      </c>
      <c r="KD255">
        <v>0</v>
      </c>
      <c r="KE255">
        <v>0</v>
      </c>
      <c r="KF255">
        <v>0</v>
      </c>
      <c r="KG255">
        <v>0</v>
      </c>
      <c r="KH255">
        <v>0</v>
      </c>
      <c r="KI255">
        <v>0</v>
      </c>
      <c r="KJ255">
        <v>0</v>
      </c>
      <c r="KK255">
        <v>0</v>
      </c>
      <c r="KL255">
        <v>0</v>
      </c>
      <c r="KM255">
        <v>0</v>
      </c>
      <c r="KN255">
        <v>0</v>
      </c>
      <c r="KO255">
        <v>0</v>
      </c>
      <c r="KP255">
        <v>0</v>
      </c>
      <c r="KQ255">
        <v>0</v>
      </c>
      <c r="KR255">
        <v>0</v>
      </c>
      <c r="KS255">
        <v>0</v>
      </c>
      <c r="KT255">
        <v>0</v>
      </c>
      <c r="KU255">
        <v>0</v>
      </c>
      <c r="KV255">
        <v>0</v>
      </c>
      <c r="KW255">
        <v>0</v>
      </c>
      <c r="KX255">
        <v>0</v>
      </c>
      <c r="KY255">
        <v>0</v>
      </c>
      <c r="KZ255">
        <v>0</v>
      </c>
      <c r="LA255">
        <v>0</v>
      </c>
      <c r="LB255">
        <v>0</v>
      </c>
      <c r="LC255">
        <v>0</v>
      </c>
      <c r="LD255">
        <v>0</v>
      </c>
      <c r="LE255">
        <v>0</v>
      </c>
      <c r="LF255">
        <v>0</v>
      </c>
      <c r="LG255">
        <v>0</v>
      </c>
      <c r="LH255">
        <v>0</v>
      </c>
      <c r="LI255">
        <v>0</v>
      </c>
      <c r="LJ255">
        <v>0</v>
      </c>
      <c r="LK255">
        <v>0</v>
      </c>
      <c r="LL255">
        <v>0</v>
      </c>
      <c r="LM255">
        <v>0</v>
      </c>
      <c r="LN255">
        <v>0</v>
      </c>
      <c r="LO255">
        <v>0</v>
      </c>
      <c r="LP255">
        <v>0</v>
      </c>
      <c r="LQ255">
        <v>0</v>
      </c>
      <c r="LR255">
        <v>0</v>
      </c>
      <c r="LS255">
        <v>0</v>
      </c>
      <c r="LT255">
        <v>0</v>
      </c>
      <c r="LU255">
        <v>0</v>
      </c>
      <c r="LV255">
        <v>0</v>
      </c>
      <c r="LW255">
        <v>0</v>
      </c>
      <c r="LX255">
        <v>0</v>
      </c>
      <c r="LY255">
        <v>0</v>
      </c>
      <c r="LZ255">
        <v>0</v>
      </c>
      <c r="MA255">
        <v>0</v>
      </c>
      <c r="MB255">
        <v>0</v>
      </c>
      <c r="MC255">
        <v>0</v>
      </c>
      <c r="MD255">
        <v>0</v>
      </c>
      <c r="ME255">
        <v>0</v>
      </c>
      <c r="MF255">
        <v>0</v>
      </c>
      <c r="MG255">
        <v>0</v>
      </c>
      <c r="MH255">
        <v>0</v>
      </c>
      <c r="MI255">
        <v>0</v>
      </c>
      <c r="MJ255">
        <v>0</v>
      </c>
      <c r="MK255">
        <v>0</v>
      </c>
      <c r="ML255">
        <v>0</v>
      </c>
      <c r="MM255">
        <v>0</v>
      </c>
      <c r="MN255">
        <v>0</v>
      </c>
      <c r="MO255">
        <v>0</v>
      </c>
      <c r="MP255">
        <v>0</v>
      </c>
      <c r="MQ255">
        <v>0</v>
      </c>
      <c r="MR255">
        <v>0</v>
      </c>
      <c r="MS255">
        <v>0</v>
      </c>
      <c r="MT255">
        <v>0</v>
      </c>
      <c r="MU255">
        <v>0</v>
      </c>
      <c r="MV255">
        <v>0</v>
      </c>
      <c r="MW255">
        <v>0</v>
      </c>
      <c r="MX255">
        <v>0</v>
      </c>
      <c r="MY255">
        <v>0</v>
      </c>
      <c r="MZ255">
        <v>0</v>
      </c>
      <c r="NA255">
        <v>0</v>
      </c>
      <c r="NB255">
        <v>0</v>
      </c>
      <c r="NC255">
        <v>0</v>
      </c>
      <c r="ND255">
        <v>0</v>
      </c>
      <c r="NE255">
        <v>0</v>
      </c>
    </row>
    <row r="256" spans="41:369" x14ac:dyDescent="0.45">
      <c r="AO256" t="str">
        <v>D132</v>
      </c>
      <c r="AP256" t="str">
        <v>ABOOBAKR MA'ROOF</v>
      </c>
      <c r="AQ256" t="str">
        <v>FANT</v>
      </c>
      <c r="AR256" t="str">
        <v>SUPER SENIOR</v>
      </c>
      <c r="AS256">
        <v>9</v>
      </c>
      <c r="AT256">
        <v>7</v>
      </c>
      <c r="AU256">
        <v>0</v>
      </c>
      <c r="AV256">
        <v>7</v>
      </c>
      <c r="AW256">
        <v>7</v>
      </c>
      <c r="AX256">
        <v>167</v>
      </c>
      <c r="AY256" s="5">
        <v>167</v>
      </c>
      <c r="AZ256">
        <v>0</v>
      </c>
      <c r="BA256">
        <v>0</v>
      </c>
      <c r="BB256">
        <v>0</v>
      </c>
      <c r="BC256">
        <v>0</v>
      </c>
      <c r="BD256">
        <v>0</v>
      </c>
      <c r="BE256">
        <v>0</v>
      </c>
      <c r="BF256">
        <v>0</v>
      </c>
      <c r="BG256">
        <v>0</v>
      </c>
      <c r="BH256">
        <v>0</v>
      </c>
      <c r="BI256" t="str">
        <v/>
      </c>
      <c r="BK256">
        <v>250</v>
      </c>
      <c r="BL256">
        <v>0</v>
      </c>
      <c r="BM256">
        <v>0</v>
      </c>
      <c r="BN256">
        <v>0</v>
      </c>
      <c r="BO256">
        <v>0</v>
      </c>
      <c r="BP256">
        <v>0</v>
      </c>
      <c r="BQ256">
        <v>0</v>
      </c>
      <c r="BR256">
        <v>0</v>
      </c>
      <c r="BS256">
        <v>0</v>
      </c>
      <c r="BT256">
        <v>0</v>
      </c>
      <c r="BU256">
        <v>0</v>
      </c>
      <c r="BV256">
        <v>0</v>
      </c>
      <c r="BW256">
        <v>0</v>
      </c>
      <c r="BX256">
        <v>0</v>
      </c>
      <c r="BY256">
        <v>0</v>
      </c>
      <c r="BZ256">
        <v>0</v>
      </c>
      <c r="CA256">
        <v>0</v>
      </c>
      <c r="CB256">
        <v>0</v>
      </c>
      <c r="CC256">
        <v>0</v>
      </c>
      <c r="CD256">
        <v>0</v>
      </c>
      <c r="CE256">
        <v>0</v>
      </c>
      <c r="CF256">
        <v>0</v>
      </c>
      <c r="CG256">
        <v>0</v>
      </c>
      <c r="CH256">
        <v>0</v>
      </c>
      <c r="CI256">
        <v>0</v>
      </c>
      <c r="CJ256">
        <v>0</v>
      </c>
      <c r="CK256">
        <v>0</v>
      </c>
      <c r="CL256">
        <v>0</v>
      </c>
      <c r="CM256">
        <v>0</v>
      </c>
      <c r="CN256">
        <v>0</v>
      </c>
      <c r="CO256">
        <v>0</v>
      </c>
      <c r="CP256">
        <v>0</v>
      </c>
      <c r="CQ256">
        <v>0</v>
      </c>
      <c r="CR256">
        <v>0</v>
      </c>
      <c r="CS256">
        <v>0</v>
      </c>
      <c r="CT256">
        <v>0</v>
      </c>
      <c r="CU256">
        <v>0</v>
      </c>
      <c r="CV256">
        <v>0</v>
      </c>
      <c r="CW256">
        <v>0</v>
      </c>
      <c r="CX256">
        <v>0</v>
      </c>
      <c r="CY256">
        <v>0</v>
      </c>
      <c r="CZ256">
        <v>0</v>
      </c>
      <c r="DA256">
        <v>0</v>
      </c>
      <c r="DB256">
        <v>0</v>
      </c>
      <c r="DC256">
        <v>0</v>
      </c>
      <c r="DD256">
        <v>0</v>
      </c>
      <c r="DE256">
        <v>0</v>
      </c>
      <c r="DF256">
        <v>0</v>
      </c>
      <c r="DG256">
        <v>0</v>
      </c>
      <c r="DH256">
        <v>0</v>
      </c>
      <c r="DI256">
        <v>0</v>
      </c>
      <c r="DJ256">
        <v>0</v>
      </c>
      <c r="DK256">
        <v>0</v>
      </c>
      <c r="DL256">
        <v>0</v>
      </c>
      <c r="DM256">
        <v>0</v>
      </c>
      <c r="DN256">
        <v>0</v>
      </c>
      <c r="DO256">
        <v>0</v>
      </c>
      <c r="DP256">
        <v>0</v>
      </c>
      <c r="DQ256">
        <v>0</v>
      </c>
      <c r="DR256">
        <v>0</v>
      </c>
      <c r="DS256">
        <v>0</v>
      </c>
      <c r="DT256">
        <v>0</v>
      </c>
      <c r="DU256">
        <v>0</v>
      </c>
      <c r="DV256">
        <v>0</v>
      </c>
      <c r="DW256">
        <v>0</v>
      </c>
      <c r="DX256">
        <v>0</v>
      </c>
      <c r="DY256">
        <v>0</v>
      </c>
      <c r="DZ256">
        <v>0</v>
      </c>
      <c r="EA256">
        <v>0</v>
      </c>
      <c r="EB256">
        <v>0</v>
      </c>
      <c r="EC256">
        <v>0</v>
      </c>
      <c r="ED256">
        <v>0</v>
      </c>
      <c r="EE256">
        <v>0</v>
      </c>
      <c r="EF256">
        <v>0</v>
      </c>
      <c r="EG256">
        <v>0</v>
      </c>
      <c r="EH256">
        <v>0</v>
      </c>
      <c r="EI256">
        <v>0</v>
      </c>
      <c r="EJ256">
        <v>0</v>
      </c>
      <c r="EK256">
        <v>0</v>
      </c>
      <c r="EL256">
        <v>0</v>
      </c>
      <c r="EM256">
        <v>0</v>
      </c>
      <c r="EN256">
        <v>0</v>
      </c>
      <c r="EO256">
        <v>0</v>
      </c>
      <c r="EP256">
        <v>0</v>
      </c>
      <c r="EQ256">
        <v>0</v>
      </c>
      <c r="ER256">
        <v>0</v>
      </c>
      <c r="ES256">
        <v>0</v>
      </c>
      <c r="ET256">
        <v>0</v>
      </c>
      <c r="EU256">
        <v>0</v>
      </c>
      <c r="EV256">
        <v>0</v>
      </c>
      <c r="EW256">
        <v>0</v>
      </c>
      <c r="EX256">
        <v>0</v>
      </c>
      <c r="EY256">
        <v>0</v>
      </c>
      <c r="EZ256">
        <v>0</v>
      </c>
      <c r="FA256">
        <v>0</v>
      </c>
      <c r="FB256">
        <v>0</v>
      </c>
      <c r="FC256">
        <v>0</v>
      </c>
      <c r="FD256">
        <v>0</v>
      </c>
      <c r="FE256">
        <v>0</v>
      </c>
      <c r="FF256">
        <v>0</v>
      </c>
      <c r="FG256">
        <v>0</v>
      </c>
      <c r="FH256">
        <v>0</v>
      </c>
      <c r="FI256">
        <v>0</v>
      </c>
      <c r="FJ256">
        <v>0</v>
      </c>
      <c r="FK256">
        <v>0</v>
      </c>
      <c r="FL256">
        <v>0</v>
      </c>
      <c r="FM256">
        <v>0</v>
      </c>
      <c r="FN256">
        <v>0</v>
      </c>
      <c r="FO256">
        <v>0</v>
      </c>
      <c r="FP256">
        <v>0</v>
      </c>
      <c r="FQ256">
        <v>0</v>
      </c>
      <c r="FR256">
        <v>0</v>
      </c>
      <c r="FS256">
        <v>0</v>
      </c>
      <c r="FT256">
        <v>0</v>
      </c>
      <c r="FU256">
        <v>0</v>
      </c>
      <c r="FV256">
        <v>0</v>
      </c>
      <c r="FW256">
        <v>0</v>
      </c>
      <c r="FX256">
        <v>0</v>
      </c>
      <c r="FY256">
        <v>0</v>
      </c>
      <c r="FZ256">
        <v>0</v>
      </c>
      <c r="GA256">
        <v>0</v>
      </c>
      <c r="GB256">
        <v>0</v>
      </c>
      <c r="GC256">
        <v>0</v>
      </c>
      <c r="GD256">
        <v>0</v>
      </c>
      <c r="GE256">
        <v>0</v>
      </c>
      <c r="GF256">
        <v>0</v>
      </c>
      <c r="GG256">
        <v>0</v>
      </c>
      <c r="GH256">
        <v>0</v>
      </c>
      <c r="GI256">
        <v>0</v>
      </c>
      <c r="GJ256">
        <v>0</v>
      </c>
      <c r="GK256">
        <v>0</v>
      </c>
      <c r="GL256">
        <v>0</v>
      </c>
      <c r="GM256">
        <v>0</v>
      </c>
      <c r="GN256">
        <v>0</v>
      </c>
      <c r="GO256">
        <v>0</v>
      </c>
      <c r="GP256">
        <v>0</v>
      </c>
      <c r="GQ256">
        <v>0</v>
      </c>
      <c r="GR256">
        <v>0</v>
      </c>
      <c r="GS256">
        <v>0</v>
      </c>
      <c r="GT256">
        <v>0</v>
      </c>
      <c r="GU256">
        <v>0</v>
      </c>
      <c r="GV256">
        <v>0</v>
      </c>
      <c r="GW256">
        <v>0</v>
      </c>
      <c r="GX256">
        <v>0</v>
      </c>
      <c r="GY256">
        <v>0</v>
      </c>
      <c r="GZ256">
        <v>0</v>
      </c>
      <c r="HA256">
        <v>0</v>
      </c>
      <c r="HB256">
        <v>0</v>
      </c>
      <c r="HC256">
        <v>0</v>
      </c>
      <c r="HD256">
        <v>0</v>
      </c>
      <c r="HE256">
        <v>0</v>
      </c>
      <c r="HF256">
        <v>0</v>
      </c>
      <c r="HG256">
        <v>0</v>
      </c>
      <c r="HH256">
        <v>0</v>
      </c>
      <c r="HI256">
        <v>0</v>
      </c>
      <c r="HJ256">
        <v>0</v>
      </c>
      <c r="HK256">
        <v>0</v>
      </c>
      <c r="HL256">
        <v>0</v>
      </c>
      <c r="HM256">
        <v>0</v>
      </c>
      <c r="HN256">
        <v>0</v>
      </c>
      <c r="HO256">
        <v>0</v>
      </c>
      <c r="HP256">
        <v>0</v>
      </c>
      <c r="HQ256">
        <v>0</v>
      </c>
      <c r="HR256">
        <v>0</v>
      </c>
      <c r="HS256">
        <v>0</v>
      </c>
      <c r="HT256">
        <v>0</v>
      </c>
      <c r="HU256">
        <v>0</v>
      </c>
      <c r="HV256">
        <v>0</v>
      </c>
      <c r="HW256">
        <v>0</v>
      </c>
      <c r="HX256">
        <v>0</v>
      </c>
      <c r="HY256">
        <v>0</v>
      </c>
      <c r="HZ256">
        <v>0</v>
      </c>
      <c r="IA256">
        <v>0</v>
      </c>
      <c r="IB256">
        <v>0</v>
      </c>
      <c r="IC256">
        <v>0</v>
      </c>
      <c r="ID256">
        <v>0</v>
      </c>
      <c r="IE256">
        <v>0</v>
      </c>
      <c r="IF256">
        <v>0</v>
      </c>
      <c r="IG256">
        <v>0</v>
      </c>
      <c r="IH256">
        <v>0</v>
      </c>
      <c r="II256">
        <v>0</v>
      </c>
      <c r="IJ256">
        <v>0</v>
      </c>
      <c r="IK256">
        <v>0</v>
      </c>
      <c r="IL256">
        <v>0</v>
      </c>
      <c r="IM256">
        <v>0</v>
      </c>
      <c r="IN256">
        <v>0</v>
      </c>
      <c r="IO256">
        <v>0</v>
      </c>
      <c r="IP256">
        <v>0</v>
      </c>
      <c r="IQ256">
        <v>0</v>
      </c>
      <c r="IR256">
        <v>0</v>
      </c>
      <c r="IS256">
        <v>0</v>
      </c>
      <c r="IT256">
        <v>0</v>
      </c>
      <c r="IU256">
        <v>0</v>
      </c>
      <c r="IV256">
        <v>0</v>
      </c>
      <c r="IW256">
        <v>0</v>
      </c>
      <c r="IX256">
        <v>0</v>
      </c>
      <c r="IY256">
        <v>0</v>
      </c>
      <c r="IZ256">
        <v>0</v>
      </c>
      <c r="JA256">
        <v>0</v>
      </c>
      <c r="JB256">
        <v>0</v>
      </c>
      <c r="JC256">
        <v>0</v>
      </c>
      <c r="JD256">
        <v>0</v>
      </c>
      <c r="JE256">
        <v>0</v>
      </c>
      <c r="JF256">
        <v>0</v>
      </c>
      <c r="JG256">
        <v>0</v>
      </c>
      <c r="JH256">
        <v>0</v>
      </c>
      <c r="JI256">
        <v>0</v>
      </c>
      <c r="JJ256">
        <v>0</v>
      </c>
      <c r="JK256">
        <v>0</v>
      </c>
      <c r="JL256">
        <v>0</v>
      </c>
      <c r="JM256">
        <v>0</v>
      </c>
      <c r="JN256">
        <v>0</v>
      </c>
      <c r="JO256">
        <v>0</v>
      </c>
      <c r="JP256">
        <v>0</v>
      </c>
      <c r="JQ256">
        <v>0</v>
      </c>
      <c r="JR256">
        <v>0</v>
      </c>
      <c r="JS256">
        <v>0</v>
      </c>
      <c r="JT256">
        <v>0</v>
      </c>
      <c r="JU256">
        <v>0</v>
      </c>
      <c r="JV256">
        <v>0</v>
      </c>
      <c r="JW256">
        <v>0</v>
      </c>
      <c r="JX256">
        <v>0</v>
      </c>
      <c r="JY256">
        <v>0</v>
      </c>
      <c r="JZ256">
        <v>0</v>
      </c>
      <c r="KA256">
        <v>0</v>
      </c>
      <c r="KB256">
        <v>0</v>
      </c>
      <c r="KC256">
        <v>0</v>
      </c>
      <c r="KD256">
        <v>0</v>
      </c>
      <c r="KE256">
        <v>0</v>
      </c>
      <c r="KF256">
        <v>0</v>
      </c>
      <c r="KG256">
        <v>0</v>
      </c>
      <c r="KH256">
        <v>0</v>
      </c>
      <c r="KI256">
        <v>0</v>
      </c>
      <c r="KJ256">
        <v>0</v>
      </c>
      <c r="KK256">
        <v>0</v>
      </c>
      <c r="KL256">
        <v>0</v>
      </c>
      <c r="KM256">
        <v>0</v>
      </c>
      <c r="KN256">
        <v>0</v>
      </c>
      <c r="KO256">
        <v>0</v>
      </c>
      <c r="KP256">
        <v>0</v>
      </c>
      <c r="KQ256">
        <v>0</v>
      </c>
      <c r="KR256">
        <v>0</v>
      </c>
      <c r="KS256">
        <v>0</v>
      </c>
      <c r="KT256">
        <v>0</v>
      </c>
      <c r="KU256">
        <v>0</v>
      </c>
      <c r="KV256">
        <v>0</v>
      </c>
      <c r="KW256">
        <v>0</v>
      </c>
      <c r="KX256">
        <v>0</v>
      </c>
      <c r="KY256">
        <v>0</v>
      </c>
      <c r="KZ256">
        <v>0</v>
      </c>
      <c r="LA256">
        <v>0</v>
      </c>
      <c r="LB256">
        <v>0</v>
      </c>
      <c r="LC256">
        <v>0</v>
      </c>
      <c r="LD256">
        <v>0</v>
      </c>
      <c r="LE256">
        <v>0</v>
      </c>
      <c r="LF256">
        <v>0</v>
      </c>
      <c r="LG256">
        <v>0</v>
      </c>
      <c r="LH256">
        <v>0</v>
      </c>
      <c r="LI256">
        <v>0</v>
      </c>
      <c r="LJ256">
        <v>0</v>
      </c>
      <c r="LK256">
        <v>0</v>
      </c>
      <c r="LL256">
        <v>0</v>
      </c>
      <c r="LM256">
        <v>0</v>
      </c>
      <c r="LN256">
        <v>0</v>
      </c>
      <c r="LO256">
        <v>0</v>
      </c>
      <c r="LP256">
        <v>0</v>
      </c>
      <c r="LQ256">
        <v>0</v>
      </c>
      <c r="LR256">
        <v>0</v>
      </c>
      <c r="LS256">
        <v>0</v>
      </c>
      <c r="LT256">
        <v>0</v>
      </c>
      <c r="LU256">
        <v>0</v>
      </c>
      <c r="LV256">
        <v>0</v>
      </c>
      <c r="LW256">
        <v>0</v>
      </c>
      <c r="LX256">
        <v>0</v>
      </c>
      <c r="LY256">
        <v>0</v>
      </c>
      <c r="LZ256">
        <v>0</v>
      </c>
      <c r="MA256">
        <v>0</v>
      </c>
      <c r="MB256">
        <v>0</v>
      </c>
      <c r="MC256">
        <v>0</v>
      </c>
      <c r="MD256">
        <v>0</v>
      </c>
      <c r="ME256">
        <v>0</v>
      </c>
      <c r="MF256">
        <v>0</v>
      </c>
      <c r="MG256">
        <v>0</v>
      </c>
      <c r="MH256">
        <v>0</v>
      </c>
      <c r="MI256">
        <v>0</v>
      </c>
      <c r="MJ256">
        <v>0</v>
      </c>
      <c r="MK256">
        <v>0</v>
      </c>
      <c r="ML256">
        <v>0</v>
      </c>
      <c r="MM256">
        <v>0</v>
      </c>
      <c r="MN256">
        <v>0</v>
      </c>
      <c r="MO256">
        <v>0</v>
      </c>
      <c r="MP256">
        <v>0</v>
      </c>
      <c r="MQ256">
        <v>0</v>
      </c>
      <c r="MR256">
        <v>0</v>
      </c>
      <c r="MS256">
        <v>0</v>
      </c>
      <c r="MT256">
        <v>0</v>
      </c>
      <c r="MU256">
        <v>0</v>
      </c>
      <c r="MV256">
        <v>0</v>
      </c>
      <c r="MW256">
        <v>0</v>
      </c>
      <c r="MX256">
        <v>0</v>
      </c>
      <c r="MY256">
        <v>0</v>
      </c>
      <c r="MZ256">
        <v>0</v>
      </c>
      <c r="NA256">
        <v>0</v>
      </c>
      <c r="NB256">
        <v>0</v>
      </c>
      <c r="NC256">
        <v>0</v>
      </c>
      <c r="ND256">
        <v>0</v>
      </c>
      <c r="NE256">
        <v>0</v>
      </c>
    </row>
    <row r="257" spans="41:369" x14ac:dyDescent="0.45">
      <c r="AO257" t="str">
        <v>D133</v>
      </c>
      <c r="AP257" t="str">
        <v>MOHAMMED SHAMSHEER</v>
      </c>
      <c r="AQ257" t="str">
        <v>FANT</v>
      </c>
      <c r="AR257" t="str">
        <v>SUPER SENIOR</v>
      </c>
      <c r="AS257">
        <v>9</v>
      </c>
      <c r="AT257">
        <v>25</v>
      </c>
      <c r="AU257">
        <v>0</v>
      </c>
      <c r="AV257">
        <v>25</v>
      </c>
      <c r="AW257">
        <v>25</v>
      </c>
      <c r="AX257">
        <v>60</v>
      </c>
      <c r="AY257" s="5">
        <v>60</v>
      </c>
      <c r="AZ257">
        <v>0</v>
      </c>
      <c r="BA257">
        <v>0</v>
      </c>
      <c r="BB257">
        <v>0</v>
      </c>
      <c r="BC257">
        <v>0</v>
      </c>
      <c r="BD257">
        <v>0</v>
      </c>
      <c r="BE257">
        <v>0</v>
      </c>
      <c r="BF257">
        <v>0</v>
      </c>
      <c r="BG257">
        <v>0</v>
      </c>
      <c r="BH257">
        <v>0</v>
      </c>
      <c r="BI257" t="str">
        <v/>
      </c>
      <c r="BK257">
        <v>251</v>
      </c>
      <c r="BL257">
        <v>0</v>
      </c>
      <c r="BM257">
        <v>0</v>
      </c>
      <c r="BN257">
        <v>0</v>
      </c>
      <c r="BO257">
        <v>0</v>
      </c>
      <c r="BP257">
        <v>0</v>
      </c>
      <c r="BQ257">
        <v>0</v>
      </c>
      <c r="BR257">
        <v>0</v>
      </c>
      <c r="BS257">
        <v>0</v>
      </c>
      <c r="BT257">
        <v>0</v>
      </c>
      <c r="BU257">
        <v>0</v>
      </c>
      <c r="BV257">
        <v>0</v>
      </c>
      <c r="BW257">
        <v>0</v>
      </c>
      <c r="BX257">
        <v>0</v>
      </c>
      <c r="BY257">
        <v>0</v>
      </c>
      <c r="BZ257">
        <v>0</v>
      </c>
      <c r="CA257">
        <v>0</v>
      </c>
      <c r="CB257">
        <v>0</v>
      </c>
      <c r="CC257">
        <v>0</v>
      </c>
      <c r="CD257">
        <v>0</v>
      </c>
      <c r="CE257">
        <v>0</v>
      </c>
      <c r="CF257">
        <v>0</v>
      </c>
      <c r="CG257">
        <v>0</v>
      </c>
      <c r="CH257">
        <v>0</v>
      </c>
      <c r="CI257">
        <v>0</v>
      </c>
      <c r="CJ257">
        <v>0</v>
      </c>
      <c r="CK257">
        <v>0</v>
      </c>
      <c r="CL257">
        <v>0</v>
      </c>
      <c r="CM257">
        <v>0</v>
      </c>
      <c r="CN257">
        <v>0</v>
      </c>
      <c r="CO257">
        <v>0</v>
      </c>
      <c r="CP257">
        <v>0</v>
      </c>
      <c r="CQ257">
        <v>0</v>
      </c>
      <c r="CR257">
        <v>0</v>
      </c>
      <c r="CS257">
        <v>0</v>
      </c>
      <c r="CT257">
        <v>0</v>
      </c>
      <c r="CU257">
        <v>0</v>
      </c>
      <c r="CV257">
        <v>0</v>
      </c>
      <c r="CW257">
        <v>0</v>
      </c>
      <c r="CX257">
        <v>0</v>
      </c>
      <c r="CY257">
        <v>0</v>
      </c>
      <c r="CZ257">
        <v>0</v>
      </c>
      <c r="DA257">
        <v>0</v>
      </c>
      <c r="DB257">
        <v>0</v>
      </c>
      <c r="DC257">
        <v>0</v>
      </c>
      <c r="DD257">
        <v>0</v>
      </c>
      <c r="DE257">
        <v>0</v>
      </c>
      <c r="DF257">
        <v>0</v>
      </c>
      <c r="DG257">
        <v>0</v>
      </c>
      <c r="DH257">
        <v>0</v>
      </c>
      <c r="DI257">
        <v>0</v>
      </c>
      <c r="DJ257">
        <v>0</v>
      </c>
      <c r="DK257">
        <v>0</v>
      </c>
      <c r="DL257">
        <v>0</v>
      </c>
      <c r="DM257">
        <v>0</v>
      </c>
      <c r="DN257">
        <v>0</v>
      </c>
      <c r="DO257">
        <v>0</v>
      </c>
      <c r="DP257">
        <v>0</v>
      </c>
      <c r="DQ257">
        <v>0</v>
      </c>
      <c r="DR257">
        <v>0</v>
      </c>
      <c r="DS257">
        <v>0</v>
      </c>
      <c r="DT257">
        <v>0</v>
      </c>
      <c r="DU257">
        <v>0</v>
      </c>
      <c r="DV257">
        <v>0</v>
      </c>
      <c r="DW257">
        <v>0</v>
      </c>
      <c r="DX257">
        <v>0</v>
      </c>
      <c r="DY257">
        <v>0</v>
      </c>
      <c r="DZ257">
        <v>0</v>
      </c>
      <c r="EA257">
        <v>0</v>
      </c>
      <c r="EB257">
        <v>0</v>
      </c>
      <c r="EC257">
        <v>0</v>
      </c>
      <c r="ED257">
        <v>0</v>
      </c>
      <c r="EE257">
        <v>0</v>
      </c>
      <c r="EF257">
        <v>0</v>
      </c>
      <c r="EG257">
        <v>0</v>
      </c>
      <c r="EH257">
        <v>0</v>
      </c>
      <c r="EI257">
        <v>0</v>
      </c>
      <c r="EJ257">
        <v>0</v>
      </c>
      <c r="EK257">
        <v>0</v>
      </c>
      <c r="EL257">
        <v>0</v>
      </c>
      <c r="EM257">
        <v>0</v>
      </c>
      <c r="EN257">
        <v>0</v>
      </c>
      <c r="EO257">
        <v>0</v>
      </c>
      <c r="EP257">
        <v>0</v>
      </c>
      <c r="EQ257">
        <v>0</v>
      </c>
      <c r="ER257">
        <v>0</v>
      </c>
      <c r="ES257">
        <v>0</v>
      </c>
      <c r="ET257">
        <v>0</v>
      </c>
      <c r="EU257">
        <v>0</v>
      </c>
      <c r="EV257">
        <v>0</v>
      </c>
      <c r="EW257">
        <v>0</v>
      </c>
      <c r="EX257">
        <v>0</v>
      </c>
      <c r="EY257">
        <v>0</v>
      </c>
      <c r="EZ257">
        <v>0</v>
      </c>
      <c r="FA257">
        <v>0</v>
      </c>
      <c r="FB257">
        <v>0</v>
      </c>
      <c r="FC257">
        <v>0</v>
      </c>
      <c r="FD257">
        <v>0</v>
      </c>
      <c r="FE257">
        <v>0</v>
      </c>
      <c r="FF257">
        <v>0</v>
      </c>
      <c r="FG257">
        <v>0</v>
      </c>
      <c r="FH257">
        <v>0</v>
      </c>
      <c r="FI257">
        <v>0</v>
      </c>
      <c r="FJ257">
        <v>0</v>
      </c>
      <c r="FK257">
        <v>0</v>
      </c>
      <c r="FL257">
        <v>0</v>
      </c>
      <c r="FM257">
        <v>0</v>
      </c>
      <c r="FN257">
        <v>0</v>
      </c>
      <c r="FO257">
        <v>0</v>
      </c>
      <c r="FP257">
        <v>0</v>
      </c>
      <c r="FQ257">
        <v>0</v>
      </c>
      <c r="FR257">
        <v>0</v>
      </c>
      <c r="FS257">
        <v>0</v>
      </c>
      <c r="FT257">
        <v>0</v>
      </c>
      <c r="FU257">
        <v>0</v>
      </c>
      <c r="FV257">
        <v>0</v>
      </c>
      <c r="FW257">
        <v>0</v>
      </c>
      <c r="FX257">
        <v>0</v>
      </c>
      <c r="FY257">
        <v>0</v>
      </c>
      <c r="FZ257">
        <v>0</v>
      </c>
      <c r="GA257">
        <v>0</v>
      </c>
      <c r="GB257">
        <v>0</v>
      </c>
      <c r="GC257">
        <v>0</v>
      </c>
      <c r="GD257">
        <v>0</v>
      </c>
      <c r="GE257">
        <v>0</v>
      </c>
      <c r="GF257">
        <v>0</v>
      </c>
      <c r="GG257">
        <v>0</v>
      </c>
      <c r="GH257">
        <v>0</v>
      </c>
      <c r="GI257">
        <v>0</v>
      </c>
      <c r="GJ257">
        <v>0</v>
      </c>
      <c r="GK257">
        <v>0</v>
      </c>
      <c r="GL257">
        <v>0</v>
      </c>
      <c r="GM257">
        <v>0</v>
      </c>
      <c r="GN257">
        <v>0</v>
      </c>
      <c r="GO257">
        <v>0</v>
      </c>
      <c r="GP257">
        <v>0</v>
      </c>
      <c r="GQ257">
        <v>0</v>
      </c>
      <c r="GR257">
        <v>0</v>
      </c>
      <c r="GS257">
        <v>0</v>
      </c>
      <c r="GT257">
        <v>0</v>
      </c>
      <c r="GU257">
        <v>0</v>
      </c>
      <c r="GV257">
        <v>0</v>
      </c>
      <c r="GW257">
        <v>0</v>
      </c>
      <c r="GX257">
        <v>0</v>
      </c>
      <c r="GY257">
        <v>0</v>
      </c>
      <c r="GZ257">
        <v>0</v>
      </c>
      <c r="HA257">
        <v>0</v>
      </c>
      <c r="HB257">
        <v>0</v>
      </c>
      <c r="HC257">
        <v>0</v>
      </c>
      <c r="HD257">
        <v>0</v>
      </c>
      <c r="HE257">
        <v>0</v>
      </c>
      <c r="HF257">
        <v>0</v>
      </c>
      <c r="HG257">
        <v>0</v>
      </c>
      <c r="HH257">
        <v>0</v>
      </c>
      <c r="HI257">
        <v>0</v>
      </c>
      <c r="HJ257">
        <v>0</v>
      </c>
      <c r="HK257">
        <v>0</v>
      </c>
      <c r="HL257">
        <v>0</v>
      </c>
      <c r="HM257">
        <v>0</v>
      </c>
      <c r="HN257">
        <v>0</v>
      </c>
      <c r="HO257">
        <v>0</v>
      </c>
      <c r="HP257">
        <v>0</v>
      </c>
      <c r="HQ257">
        <v>0</v>
      </c>
      <c r="HR257">
        <v>0</v>
      </c>
      <c r="HS257">
        <v>0</v>
      </c>
      <c r="HT257">
        <v>0</v>
      </c>
      <c r="HU257">
        <v>0</v>
      </c>
      <c r="HV257">
        <v>0</v>
      </c>
      <c r="HW257">
        <v>0</v>
      </c>
      <c r="HX257">
        <v>0</v>
      </c>
      <c r="HY257">
        <v>0</v>
      </c>
      <c r="HZ257">
        <v>0</v>
      </c>
      <c r="IA257">
        <v>0</v>
      </c>
      <c r="IB257">
        <v>0</v>
      </c>
      <c r="IC257">
        <v>0</v>
      </c>
      <c r="ID257">
        <v>0</v>
      </c>
      <c r="IE257">
        <v>0</v>
      </c>
      <c r="IF257">
        <v>0</v>
      </c>
      <c r="IG257">
        <v>0</v>
      </c>
      <c r="IH257">
        <v>0</v>
      </c>
      <c r="II257">
        <v>0</v>
      </c>
      <c r="IJ257">
        <v>0</v>
      </c>
      <c r="IK257">
        <v>0</v>
      </c>
      <c r="IL257">
        <v>0</v>
      </c>
      <c r="IM257">
        <v>0</v>
      </c>
      <c r="IN257">
        <v>0</v>
      </c>
      <c r="IO257">
        <v>0</v>
      </c>
      <c r="IP257">
        <v>0</v>
      </c>
      <c r="IQ257">
        <v>0</v>
      </c>
      <c r="IR257">
        <v>0</v>
      </c>
      <c r="IS257">
        <v>0</v>
      </c>
      <c r="IT257">
        <v>0</v>
      </c>
      <c r="IU257">
        <v>0</v>
      </c>
      <c r="IV257">
        <v>0</v>
      </c>
      <c r="IW257">
        <v>0</v>
      </c>
      <c r="IX257">
        <v>0</v>
      </c>
      <c r="IY257">
        <v>0</v>
      </c>
      <c r="IZ257">
        <v>0</v>
      </c>
      <c r="JA257">
        <v>0</v>
      </c>
      <c r="JB257">
        <v>0</v>
      </c>
      <c r="JC257">
        <v>0</v>
      </c>
      <c r="JD257">
        <v>0</v>
      </c>
      <c r="JE257">
        <v>0</v>
      </c>
      <c r="JF257">
        <v>0</v>
      </c>
      <c r="JG257">
        <v>0</v>
      </c>
      <c r="JH257">
        <v>0</v>
      </c>
      <c r="JI257">
        <v>0</v>
      </c>
      <c r="JJ257">
        <v>0</v>
      </c>
      <c r="JK257">
        <v>0</v>
      </c>
      <c r="JL257">
        <v>0</v>
      </c>
      <c r="JM257">
        <v>0</v>
      </c>
      <c r="JN257">
        <v>0</v>
      </c>
      <c r="JO257">
        <v>0</v>
      </c>
      <c r="JP257">
        <v>0</v>
      </c>
      <c r="JQ257">
        <v>0</v>
      </c>
      <c r="JR257">
        <v>0</v>
      </c>
      <c r="JS257">
        <v>0</v>
      </c>
      <c r="JT257">
        <v>0</v>
      </c>
      <c r="JU257">
        <v>0</v>
      </c>
      <c r="JV257">
        <v>0</v>
      </c>
      <c r="JW257">
        <v>0</v>
      </c>
      <c r="JX257">
        <v>0</v>
      </c>
      <c r="JY257">
        <v>0</v>
      </c>
      <c r="JZ257">
        <v>0</v>
      </c>
      <c r="KA257">
        <v>0</v>
      </c>
      <c r="KB257">
        <v>0</v>
      </c>
      <c r="KC257">
        <v>0</v>
      </c>
      <c r="KD257">
        <v>0</v>
      </c>
      <c r="KE257">
        <v>0</v>
      </c>
      <c r="KF257">
        <v>0</v>
      </c>
      <c r="KG257">
        <v>0</v>
      </c>
      <c r="KH257">
        <v>0</v>
      </c>
      <c r="KI257">
        <v>0</v>
      </c>
      <c r="KJ257">
        <v>0</v>
      </c>
      <c r="KK257">
        <v>0</v>
      </c>
      <c r="KL257">
        <v>0</v>
      </c>
      <c r="KM257">
        <v>0</v>
      </c>
      <c r="KN257">
        <v>0</v>
      </c>
      <c r="KO257">
        <v>0</v>
      </c>
      <c r="KP257">
        <v>0</v>
      </c>
      <c r="KQ257">
        <v>0</v>
      </c>
      <c r="KR257">
        <v>0</v>
      </c>
      <c r="KS257">
        <v>0</v>
      </c>
      <c r="KT257">
        <v>0</v>
      </c>
      <c r="KU257">
        <v>0</v>
      </c>
      <c r="KV257">
        <v>0</v>
      </c>
      <c r="KW257">
        <v>0</v>
      </c>
      <c r="KX257">
        <v>0</v>
      </c>
      <c r="KY257">
        <v>0</v>
      </c>
      <c r="KZ257">
        <v>0</v>
      </c>
      <c r="LA257">
        <v>0</v>
      </c>
      <c r="LB257">
        <v>0</v>
      </c>
      <c r="LC257">
        <v>0</v>
      </c>
      <c r="LD257">
        <v>0</v>
      </c>
      <c r="LE257">
        <v>0</v>
      </c>
      <c r="LF257">
        <v>0</v>
      </c>
      <c r="LG257">
        <v>0</v>
      </c>
      <c r="LH257">
        <v>0</v>
      </c>
      <c r="LI257">
        <v>0</v>
      </c>
      <c r="LJ257">
        <v>0</v>
      </c>
      <c r="LK257">
        <v>0</v>
      </c>
      <c r="LL257">
        <v>0</v>
      </c>
      <c r="LM257">
        <v>0</v>
      </c>
      <c r="LN257">
        <v>0</v>
      </c>
      <c r="LO257">
        <v>0</v>
      </c>
      <c r="LP257">
        <v>0</v>
      </c>
      <c r="LQ257">
        <v>0</v>
      </c>
      <c r="LR257">
        <v>0</v>
      </c>
      <c r="LS257">
        <v>0</v>
      </c>
      <c r="LT257">
        <v>0</v>
      </c>
      <c r="LU257">
        <v>0</v>
      </c>
      <c r="LV257">
        <v>0</v>
      </c>
      <c r="LW257">
        <v>0</v>
      </c>
      <c r="LX257">
        <v>0</v>
      </c>
      <c r="LY257">
        <v>0</v>
      </c>
      <c r="LZ257">
        <v>0</v>
      </c>
      <c r="MA257">
        <v>0</v>
      </c>
      <c r="MB257">
        <v>0</v>
      </c>
      <c r="MC257">
        <v>0</v>
      </c>
      <c r="MD257">
        <v>0</v>
      </c>
      <c r="ME257">
        <v>0</v>
      </c>
      <c r="MF257">
        <v>0</v>
      </c>
      <c r="MG257">
        <v>0</v>
      </c>
      <c r="MH257">
        <v>0</v>
      </c>
      <c r="MI257">
        <v>0</v>
      </c>
      <c r="MJ257">
        <v>0</v>
      </c>
      <c r="MK257">
        <v>0</v>
      </c>
      <c r="ML257">
        <v>0</v>
      </c>
      <c r="MM257">
        <v>0</v>
      </c>
      <c r="MN257">
        <v>0</v>
      </c>
      <c r="MO257">
        <v>0</v>
      </c>
      <c r="MP257">
        <v>0</v>
      </c>
      <c r="MQ257">
        <v>0</v>
      </c>
      <c r="MR257">
        <v>0</v>
      </c>
      <c r="MS257">
        <v>0</v>
      </c>
      <c r="MT257">
        <v>0</v>
      </c>
      <c r="MU257">
        <v>0</v>
      </c>
      <c r="MV257">
        <v>0</v>
      </c>
      <c r="MW257">
        <v>0</v>
      </c>
      <c r="MX257">
        <v>0</v>
      </c>
      <c r="MY257">
        <v>0</v>
      </c>
      <c r="MZ257">
        <v>0</v>
      </c>
      <c r="NA257">
        <v>0</v>
      </c>
      <c r="NB257">
        <v>0</v>
      </c>
      <c r="NC257">
        <v>0</v>
      </c>
      <c r="ND257">
        <v>0</v>
      </c>
      <c r="NE257">
        <v>0</v>
      </c>
    </row>
    <row r="258" spans="41:369" x14ac:dyDescent="0.45">
      <c r="AO258" t="str">
        <v>D134</v>
      </c>
      <c r="AP258" t="str">
        <v>AJMAL ANEES</v>
      </c>
      <c r="AQ258" t="str">
        <v>FANT</v>
      </c>
      <c r="AR258" t="str">
        <v>SUPER SENIOR</v>
      </c>
      <c r="AS258">
        <v>9</v>
      </c>
      <c r="AT258">
        <v>0</v>
      </c>
      <c r="AU258">
        <v>0</v>
      </c>
      <c r="AV258">
        <v>0</v>
      </c>
      <c r="AW258">
        <v>0</v>
      </c>
      <c r="AX258">
        <v>255</v>
      </c>
      <c r="AY258" s="5">
        <v>255</v>
      </c>
      <c r="AZ258">
        <v>0</v>
      </c>
      <c r="BA258">
        <v>0</v>
      </c>
      <c r="BB258">
        <v>0</v>
      </c>
      <c r="BC258">
        <v>0</v>
      </c>
      <c r="BD258">
        <v>0</v>
      </c>
      <c r="BE258">
        <v>0</v>
      </c>
      <c r="BF258">
        <v>0</v>
      </c>
      <c r="BG258">
        <v>0</v>
      </c>
      <c r="BH258">
        <v>0</v>
      </c>
      <c r="BI258" t="str">
        <v/>
      </c>
      <c r="BK258">
        <v>252</v>
      </c>
      <c r="BL258">
        <v>0</v>
      </c>
      <c r="BM258">
        <v>0</v>
      </c>
      <c r="BN258">
        <v>0</v>
      </c>
      <c r="BO258">
        <v>0</v>
      </c>
      <c r="BP258">
        <v>0</v>
      </c>
      <c r="BQ258">
        <v>0</v>
      </c>
      <c r="BR258">
        <v>0</v>
      </c>
      <c r="BS258">
        <v>0</v>
      </c>
      <c r="BT258">
        <v>0</v>
      </c>
      <c r="BU258">
        <v>0</v>
      </c>
      <c r="BV258">
        <v>0</v>
      </c>
      <c r="BW258">
        <v>0</v>
      </c>
      <c r="BX258">
        <v>0</v>
      </c>
      <c r="BY258">
        <v>0</v>
      </c>
      <c r="BZ258">
        <v>0</v>
      </c>
      <c r="CA258">
        <v>0</v>
      </c>
      <c r="CB258">
        <v>0</v>
      </c>
      <c r="CC258">
        <v>0</v>
      </c>
      <c r="CD258">
        <v>0</v>
      </c>
      <c r="CE258">
        <v>0</v>
      </c>
      <c r="CF258">
        <v>0</v>
      </c>
      <c r="CG258">
        <v>0</v>
      </c>
      <c r="CH258">
        <v>0</v>
      </c>
      <c r="CI258">
        <v>0</v>
      </c>
      <c r="CJ258">
        <v>0</v>
      </c>
      <c r="CK258">
        <v>0</v>
      </c>
      <c r="CL258">
        <v>0</v>
      </c>
      <c r="CM258">
        <v>0</v>
      </c>
      <c r="CN258">
        <v>0</v>
      </c>
      <c r="CO258">
        <v>0</v>
      </c>
      <c r="CP258">
        <v>0</v>
      </c>
      <c r="CQ258">
        <v>0</v>
      </c>
      <c r="CR258">
        <v>0</v>
      </c>
      <c r="CS258">
        <v>0</v>
      </c>
      <c r="CT258">
        <v>0</v>
      </c>
      <c r="CU258">
        <v>0</v>
      </c>
      <c r="CV258">
        <v>0</v>
      </c>
      <c r="CW258">
        <v>0</v>
      </c>
      <c r="CX258">
        <v>0</v>
      </c>
      <c r="CY258">
        <v>0</v>
      </c>
      <c r="CZ258">
        <v>0</v>
      </c>
      <c r="DA258">
        <v>0</v>
      </c>
      <c r="DB258">
        <v>0</v>
      </c>
      <c r="DC258">
        <v>0</v>
      </c>
      <c r="DD258">
        <v>0</v>
      </c>
      <c r="DE258">
        <v>0</v>
      </c>
      <c r="DF258">
        <v>0</v>
      </c>
      <c r="DG258">
        <v>0</v>
      </c>
      <c r="DH258">
        <v>0</v>
      </c>
      <c r="DI258">
        <v>0</v>
      </c>
      <c r="DJ258">
        <v>0</v>
      </c>
      <c r="DK258">
        <v>0</v>
      </c>
      <c r="DL258">
        <v>0</v>
      </c>
      <c r="DM258">
        <v>0</v>
      </c>
      <c r="DN258">
        <v>0</v>
      </c>
      <c r="DO258">
        <v>0</v>
      </c>
      <c r="DP258">
        <v>0</v>
      </c>
      <c r="DQ258">
        <v>0</v>
      </c>
      <c r="DR258">
        <v>0</v>
      </c>
      <c r="DS258">
        <v>0</v>
      </c>
      <c r="DT258">
        <v>0</v>
      </c>
      <c r="DU258">
        <v>0</v>
      </c>
      <c r="DV258">
        <v>0</v>
      </c>
      <c r="DW258">
        <v>0</v>
      </c>
      <c r="DX258">
        <v>0</v>
      </c>
      <c r="DY258">
        <v>0</v>
      </c>
      <c r="DZ258">
        <v>0</v>
      </c>
      <c r="EA258">
        <v>0</v>
      </c>
      <c r="EB258">
        <v>0</v>
      </c>
      <c r="EC258">
        <v>0</v>
      </c>
      <c r="ED258">
        <v>0</v>
      </c>
      <c r="EE258">
        <v>0</v>
      </c>
      <c r="EF258">
        <v>0</v>
      </c>
      <c r="EG258">
        <v>0</v>
      </c>
      <c r="EH258">
        <v>0</v>
      </c>
      <c r="EI258">
        <v>0</v>
      </c>
      <c r="EJ258">
        <v>0</v>
      </c>
      <c r="EK258">
        <v>0</v>
      </c>
      <c r="EL258">
        <v>0</v>
      </c>
      <c r="EM258">
        <v>0</v>
      </c>
      <c r="EN258">
        <v>0</v>
      </c>
      <c r="EO258">
        <v>0</v>
      </c>
      <c r="EP258">
        <v>0</v>
      </c>
      <c r="EQ258">
        <v>0</v>
      </c>
      <c r="ER258">
        <v>0</v>
      </c>
      <c r="ES258">
        <v>0</v>
      </c>
      <c r="ET258">
        <v>0</v>
      </c>
      <c r="EU258">
        <v>0</v>
      </c>
      <c r="EV258">
        <v>0</v>
      </c>
      <c r="EW258">
        <v>0</v>
      </c>
      <c r="EX258">
        <v>0</v>
      </c>
      <c r="EY258">
        <v>0</v>
      </c>
      <c r="EZ258">
        <v>0</v>
      </c>
      <c r="FA258">
        <v>0</v>
      </c>
      <c r="FB258">
        <v>0</v>
      </c>
      <c r="FC258">
        <v>0</v>
      </c>
      <c r="FD258">
        <v>0</v>
      </c>
      <c r="FE258">
        <v>0</v>
      </c>
      <c r="FF258">
        <v>0</v>
      </c>
      <c r="FG258">
        <v>0</v>
      </c>
      <c r="FH258">
        <v>0</v>
      </c>
      <c r="FI258">
        <v>0</v>
      </c>
      <c r="FJ258">
        <v>0</v>
      </c>
      <c r="FK258">
        <v>0</v>
      </c>
      <c r="FL258">
        <v>0</v>
      </c>
      <c r="FM258">
        <v>0</v>
      </c>
      <c r="FN258">
        <v>0</v>
      </c>
      <c r="FO258">
        <v>0</v>
      </c>
      <c r="FP258">
        <v>0</v>
      </c>
      <c r="FQ258">
        <v>0</v>
      </c>
      <c r="FR258">
        <v>0</v>
      </c>
      <c r="FS258">
        <v>0</v>
      </c>
      <c r="FT258">
        <v>0</v>
      </c>
      <c r="FU258">
        <v>0</v>
      </c>
      <c r="FV258">
        <v>0</v>
      </c>
      <c r="FW258">
        <v>0</v>
      </c>
      <c r="FX258">
        <v>0</v>
      </c>
      <c r="FY258">
        <v>0</v>
      </c>
      <c r="FZ258">
        <v>0</v>
      </c>
      <c r="GA258">
        <v>0</v>
      </c>
      <c r="GB258">
        <v>0</v>
      </c>
      <c r="GC258">
        <v>0</v>
      </c>
      <c r="GD258">
        <v>0</v>
      </c>
      <c r="GE258">
        <v>0</v>
      </c>
      <c r="GF258">
        <v>0</v>
      </c>
      <c r="GG258">
        <v>0</v>
      </c>
      <c r="GH258">
        <v>0</v>
      </c>
      <c r="GI258">
        <v>0</v>
      </c>
      <c r="GJ258">
        <v>0</v>
      </c>
      <c r="GK258">
        <v>0</v>
      </c>
      <c r="GL258">
        <v>0</v>
      </c>
      <c r="GM258">
        <v>0</v>
      </c>
      <c r="GN258">
        <v>0</v>
      </c>
      <c r="GO258">
        <v>0</v>
      </c>
      <c r="GP258">
        <v>0</v>
      </c>
      <c r="GQ258">
        <v>0</v>
      </c>
      <c r="GR258">
        <v>0</v>
      </c>
      <c r="GS258">
        <v>0</v>
      </c>
      <c r="GT258">
        <v>0</v>
      </c>
      <c r="GU258">
        <v>0</v>
      </c>
      <c r="GV258">
        <v>0</v>
      </c>
      <c r="GW258">
        <v>0</v>
      </c>
      <c r="GX258">
        <v>0</v>
      </c>
      <c r="GY258">
        <v>0</v>
      </c>
      <c r="GZ258">
        <v>0</v>
      </c>
      <c r="HA258">
        <v>0</v>
      </c>
      <c r="HB258">
        <v>0</v>
      </c>
      <c r="HC258">
        <v>0</v>
      </c>
      <c r="HD258">
        <v>0</v>
      </c>
      <c r="HE258">
        <v>0</v>
      </c>
      <c r="HF258">
        <v>0</v>
      </c>
      <c r="HG258">
        <v>0</v>
      </c>
      <c r="HH258">
        <v>0</v>
      </c>
      <c r="HI258">
        <v>0</v>
      </c>
      <c r="HJ258">
        <v>0</v>
      </c>
      <c r="HK258">
        <v>0</v>
      </c>
      <c r="HL258">
        <v>0</v>
      </c>
      <c r="HM258">
        <v>0</v>
      </c>
      <c r="HN258">
        <v>0</v>
      </c>
      <c r="HO258">
        <v>0</v>
      </c>
      <c r="HP258">
        <v>0</v>
      </c>
      <c r="HQ258">
        <v>0</v>
      </c>
      <c r="HR258">
        <v>0</v>
      </c>
      <c r="HS258">
        <v>0</v>
      </c>
      <c r="HT258">
        <v>0</v>
      </c>
      <c r="HU258">
        <v>0</v>
      </c>
      <c r="HV258">
        <v>0</v>
      </c>
      <c r="HW258">
        <v>0</v>
      </c>
      <c r="HX258">
        <v>0</v>
      </c>
      <c r="HY258">
        <v>0</v>
      </c>
      <c r="HZ258">
        <v>0</v>
      </c>
      <c r="IA258">
        <v>0</v>
      </c>
      <c r="IB258">
        <v>0</v>
      </c>
      <c r="IC258">
        <v>0</v>
      </c>
      <c r="ID258">
        <v>0</v>
      </c>
      <c r="IE258">
        <v>0</v>
      </c>
      <c r="IF258">
        <v>0</v>
      </c>
      <c r="IG258">
        <v>0</v>
      </c>
      <c r="IH258">
        <v>0</v>
      </c>
      <c r="II258">
        <v>0</v>
      </c>
      <c r="IJ258">
        <v>0</v>
      </c>
      <c r="IK258">
        <v>0</v>
      </c>
      <c r="IL258">
        <v>0</v>
      </c>
      <c r="IM258">
        <v>0</v>
      </c>
      <c r="IN258">
        <v>0</v>
      </c>
      <c r="IO258">
        <v>0</v>
      </c>
      <c r="IP258">
        <v>0</v>
      </c>
      <c r="IQ258">
        <v>0</v>
      </c>
      <c r="IR258">
        <v>0</v>
      </c>
      <c r="IS258">
        <v>0</v>
      </c>
      <c r="IT258">
        <v>0</v>
      </c>
      <c r="IU258">
        <v>0</v>
      </c>
      <c r="IV258">
        <v>0</v>
      </c>
      <c r="IW258">
        <v>0</v>
      </c>
      <c r="IX258">
        <v>0</v>
      </c>
      <c r="IY258">
        <v>0</v>
      </c>
      <c r="IZ258">
        <v>0</v>
      </c>
      <c r="JA258">
        <v>0</v>
      </c>
      <c r="JB258">
        <v>0</v>
      </c>
      <c r="JC258">
        <v>0</v>
      </c>
      <c r="JD258">
        <v>0</v>
      </c>
      <c r="JE258">
        <v>0</v>
      </c>
      <c r="JF258">
        <v>0</v>
      </c>
      <c r="JG258">
        <v>0</v>
      </c>
      <c r="JH258">
        <v>0</v>
      </c>
      <c r="JI258">
        <v>0</v>
      </c>
      <c r="JJ258">
        <v>0</v>
      </c>
      <c r="JK258">
        <v>0</v>
      </c>
      <c r="JL258">
        <v>0</v>
      </c>
      <c r="JM258">
        <v>0</v>
      </c>
      <c r="JN258">
        <v>0</v>
      </c>
      <c r="JO258">
        <v>0</v>
      </c>
      <c r="JP258">
        <v>0</v>
      </c>
      <c r="JQ258">
        <v>0</v>
      </c>
      <c r="JR258">
        <v>0</v>
      </c>
      <c r="JS258">
        <v>0</v>
      </c>
      <c r="JT258">
        <v>0</v>
      </c>
      <c r="JU258">
        <v>0</v>
      </c>
      <c r="JV258">
        <v>0</v>
      </c>
      <c r="JW258">
        <v>0</v>
      </c>
      <c r="JX258">
        <v>0</v>
      </c>
      <c r="JY258">
        <v>0</v>
      </c>
      <c r="JZ258">
        <v>0</v>
      </c>
      <c r="KA258">
        <v>0</v>
      </c>
      <c r="KB258">
        <v>0</v>
      </c>
      <c r="KC258">
        <v>0</v>
      </c>
      <c r="KD258">
        <v>0</v>
      </c>
      <c r="KE258">
        <v>0</v>
      </c>
      <c r="KF258">
        <v>0</v>
      </c>
      <c r="KG258">
        <v>0</v>
      </c>
      <c r="KH258">
        <v>0</v>
      </c>
      <c r="KI258">
        <v>0</v>
      </c>
      <c r="KJ258">
        <v>0</v>
      </c>
      <c r="KK258">
        <v>0</v>
      </c>
      <c r="KL258">
        <v>0</v>
      </c>
      <c r="KM258">
        <v>0</v>
      </c>
      <c r="KN258">
        <v>0</v>
      </c>
      <c r="KO258">
        <v>0</v>
      </c>
      <c r="KP258">
        <v>0</v>
      </c>
      <c r="KQ258">
        <v>0</v>
      </c>
      <c r="KR258">
        <v>0</v>
      </c>
      <c r="KS258">
        <v>0</v>
      </c>
      <c r="KT258">
        <v>0</v>
      </c>
      <c r="KU258">
        <v>0</v>
      </c>
      <c r="KV258">
        <v>0</v>
      </c>
      <c r="KW258">
        <v>0</v>
      </c>
      <c r="KX258">
        <v>0</v>
      </c>
      <c r="KY258">
        <v>0</v>
      </c>
      <c r="KZ258">
        <v>0</v>
      </c>
      <c r="LA258">
        <v>0</v>
      </c>
      <c r="LB258">
        <v>0</v>
      </c>
      <c r="LC258">
        <v>0</v>
      </c>
      <c r="LD258">
        <v>0</v>
      </c>
      <c r="LE258">
        <v>0</v>
      </c>
      <c r="LF258">
        <v>0</v>
      </c>
      <c r="LG258">
        <v>0</v>
      </c>
      <c r="LH258">
        <v>0</v>
      </c>
      <c r="LI258">
        <v>0</v>
      </c>
      <c r="LJ258">
        <v>0</v>
      </c>
      <c r="LK258">
        <v>0</v>
      </c>
      <c r="LL258">
        <v>0</v>
      </c>
      <c r="LM258">
        <v>0</v>
      </c>
      <c r="LN258">
        <v>0</v>
      </c>
      <c r="LO258">
        <v>0</v>
      </c>
      <c r="LP258">
        <v>0</v>
      </c>
      <c r="LQ258">
        <v>0</v>
      </c>
      <c r="LR258">
        <v>0</v>
      </c>
      <c r="LS258">
        <v>0</v>
      </c>
      <c r="LT258">
        <v>0</v>
      </c>
      <c r="LU258">
        <v>0</v>
      </c>
      <c r="LV258">
        <v>0</v>
      </c>
      <c r="LW258">
        <v>0</v>
      </c>
      <c r="LX258">
        <v>0</v>
      </c>
      <c r="LY258">
        <v>0</v>
      </c>
      <c r="LZ258">
        <v>0</v>
      </c>
      <c r="MA258">
        <v>0</v>
      </c>
      <c r="MB258">
        <v>0</v>
      </c>
      <c r="MC258">
        <v>0</v>
      </c>
      <c r="MD258">
        <v>0</v>
      </c>
      <c r="ME258">
        <v>0</v>
      </c>
      <c r="MF258">
        <v>0</v>
      </c>
      <c r="MG258">
        <v>0</v>
      </c>
      <c r="MH258">
        <v>0</v>
      </c>
      <c r="MI258">
        <v>0</v>
      </c>
      <c r="MJ258">
        <v>0</v>
      </c>
      <c r="MK258">
        <v>0</v>
      </c>
      <c r="ML258">
        <v>0</v>
      </c>
      <c r="MM258">
        <v>0</v>
      </c>
      <c r="MN258">
        <v>0</v>
      </c>
      <c r="MO258">
        <v>0</v>
      </c>
      <c r="MP258">
        <v>0</v>
      </c>
      <c r="MQ258">
        <v>0</v>
      </c>
      <c r="MR258">
        <v>0</v>
      </c>
      <c r="MS258">
        <v>0</v>
      </c>
      <c r="MT258">
        <v>0</v>
      </c>
      <c r="MU258">
        <v>0</v>
      </c>
      <c r="MV258">
        <v>0</v>
      </c>
      <c r="MW258">
        <v>0</v>
      </c>
      <c r="MX258">
        <v>0</v>
      </c>
      <c r="MY258">
        <v>0</v>
      </c>
      <c r="MZ258">
        <v>0</v>
      </c>
      <c r="NA258">
        <v>0</v>
      </c>
      <c r="NB258">
        <v>0</v>
      </c>
      <c r="NC258">
        <v>0</v>
      </c>
      <c r="ND258">
        <v>0</v>
      </c>
      <c r="NE258">
        <v>0</v>
      </c>
    </row>
    <row r="259" spans="41:369" x14ac:dyDescent="0.45">
      <c r="AO259" t="str">
        <v>D135</v>
      </c>
      <c r="AP259" t="str">
        <v>HASHIR HUSSAIN IK</v>
      </c>
      <c r="AQ259" t="str">
        <v>DAHF</v>
      </c>
      <c r="AR259" t="str">
        <v>SUPER SENIOR</v>
      </c>
      <c r="AS259">
        <v>9</v>
      </c>
      <c r="AT259">
        <v>10</v>
      </c>
      <c r="AU259">
        <v>0</v>
      </c>
      <c r="AV259">
        <v>10</v>
      </c>
      <c r="AW259">
        <v>10</v>
      </c>
      <c r="AX259">
        <v>131</v>
      </c>
      <c r="AY259" s="5">
        <v>131</v>
      </c>
      <c r="AZ259">
        <v>0</v>
      </c>
      <c r="BA259">
        <v>0</v>
      </c>
      <c r="BB259">
        <v>0</v>
      </c>
      <c r="BC259">
        <v>0</v>
      </c>
      <c r="BD259">
        <v>0</v>
      </c>
      <c r="BE259">
        <v>0</v>
      </c>
      <c r="BF259">
        <v>0</v>
      </c>
      <c r="BG259">
        <v>0</v>
      </c>
      <c r="BH259">
        <v>0</v>
      </c>
      <c r="BI259" t="str">
        <v/>
      </c>
      <c r="BK259">
        <v>253</v>
      </c>
      <c r="BL259">
        <v>0</v>
      </c>
      <c r="BM259">
        <v>0</v>
      </c>
      <c r="BN259">
        <v>0</v>
      </c>
      <c r="BO259">
        <v>0</v>
      </c>
      <c r="BP259">
        <v>0</v>
      </c>
      <c r="BQ259">
        <v>0</v>
      </c>
      <c r="BR259">
        <v>0</v>
      </c>
      <c r="BS259">
        <v>0</v>
      </c>
      <c r="BT259">
        <v>0</v>
      </c>
      <c r="BU259">
        <v>0</v>
      </c>
      <c r="BV259">
        <v>0</v>
      </c>
      <c r="BW259">
        <v>0</v>
      </c>
      <c r="BX259">
        <v>0</v>
      </c>
      <c r="BY259">
        <v>0</v>
      </c>
      <c r="BZ259">
        <v>0</v>
      </c>
      <c r="CA259">
        <v>0</v>
      </c>
      <c r="CB259">
        <v>0</v>
      </c>
      <c r="CC259">
        <v>0</v>
      </c>
      <c r="CD259">
        <v>0</v>
      </c>
      <c r="CE259">
        <v>0</v>
      </c>
      <c r="CF259">
        <v>0</v>
      </c>
      <c r="CG259">
        <v>0</v>
      </c>
      <c r="CH259">
        <v>0</v>
      </c>
      <c r="CI259">
        <v>0</v>
      </c>
      <c r="CJ259">
        <v>0</v>
      </c>
      <c r="CK259">
        <v>0</v>
      </c>
      <c r="CL259">
        <v>0</v>
      </c>
      <c r="CM259">
        <v>0</v>
      </c>
      <c r="CN259">
        <v>0</v>
      </c>
      <c r="CO259">
        <v>0</v>
      </c>
      <c r="CP259">
        <v>0</v>
      </c>
      <c r="CQ259">
        <v>0</v>
      </c>
      <c r="CR259">
        <v>0</v>
      </c>
      <c r="CS259">
        <v>0</v>
      </c>
      <c r="CT259">
        <v>0</v>
      </c>
      <c r="CU259">
        <v>0</v>
      </c>
      <c r="CV259">
        <v>0</v>
      </c>
      <c r="CW259">
        <v>0</v>
      </c>
      <c r="CX259">
        <v>0</v>
      </c>
      <c r="CY259">
        <v>0</v>
      </c>
      <c r="CZ259">
        <v>0</v>
      </c>
      <c r="DA259">
        <v>0</v>
      </c>
      <c r="DB259">
        <v>0</v>
      </c>
      <c r="DC259">
        <v>0</v>
      </c>
      <c r="DD259">
        <v>0</v>
      </c>
      <c r="DE259">
        <v>0</v>
      </c>
      <c r="DF259">
        <v>0</v>
      </c>
      <c r="DG259">
        <v>0</v>
      </c>
      <c r="DH259">
        <v>0</v>
      </c>
      <c r="DI259">
        <v>0</v>
      </c>
      <c r="DJ259">
        <v>0</v>
      </c>
      <c r="DK259">
        <v>0</v>
      </c>
      <c r="DL259">
        <v>0</v>
      </c>
      <c r="DM259">
        <v>0</v>
      </c>
      <c r="DN259">
        <v>0</v>
      </c>
      <c r="DO259">
        <v>0</v>
      </c>
      <c r="DP259">
        <v>0</v>
      </c>
      <c r="DQ259">
        <v>0</v>
      </c>
      <c r="DR259">
        <v>0</v>
      </c>
      <c r="DS259">
        <v>0</v>
      </c>
      <c r="DT259">
        <v>0</v>
      </c>
      <c r="DU259">
        <v>0</v>
      </c>
      <c r="DV259">
        <v>0</v>
      </c>
      <c r="DW259">
        <v>0</v>
      </c>
      <c r="DX259">
        <v>0</v>
      </c>
      <c r="DY259">
        <v>0</v>
      </c>
      <c r="DZ259">
        <v>0</v>
      </c>
      <c r="EA259">
        <v>0</v>
      </c>
      <c r="EB259">
        <v>0</v>
      </c>
      <c r="EC259">
        <v>0</v>
      </c>
      <c r="ED259">
        <v>0</v>
      </c>
      <c r="EE259">
        <v>0</v>
      </c>
      <c r="EF259">
        <v>0</v>
      </c>
      <c r="EG259">
        <v>0</v>
      </c>
      <c r="EH259">
        <v>0</v>
      </c>
      <c r="EI259">
        <v>0</v>
      </c>
      <c r="EJ259">
        <v>0</v>
      </c>
      <c r="EK259">
        <v>0</v>
      </c>
      <c r="EL259">
        <v>0</v>
      </c>
      <c r="EM259">
        <v>0</v>
      </c>
      <c r="EN259">
        <v>0</v>
      </c>
      <c r="EO259">
        <v>0</v>
      </c>
      <c r="EP259">
        <v>0</v>
      </c>
      <c r="EQ259">
        <v>0</v>
      </c>
      <c r="ER259">
        <v>0</v>
      </c>
      <c r="ES259">
        <v>0</v>
      </c>
      <c r="ET259">
        <v>0</v>
      </c>
      <c r="EU259">
        <v>0</v>
      </c>
      <c r="EV259">
        <v>0</v>
      </c>
      <c r="EW259">
        <v>0</v>
      </c>
      <c r="EX259">
        <v>0</v>
      </c>
      <c r="EY259">
        <v>0</v>
      </c>
      <c r="EZ259">
        <v>0</v>
      </c>
      <c r="FA259">
        <v>0</v>
      </c>
      <c r="FB259">
        <v>0</v>
      </c>
      <c r="FC259">
        <v>0</v>
      </c>
      <c r="FD259">
        <v>0</v>
      </c>
      <c r="FE259">
        <v>0</v>
      </c>
      <c r="FF259">
        <v>0</v>
      </c>
      <c r="FG259">
        <v>0</v>
      </c>
      <c r="FH259">
        <v>0</v>
      </c>
      <c r="FI259">
        <v>0</v>
      </c>
      <c r="FJ259">
        <v>0</v>
      </c>
      <c r="FK259">
        <v>0</v>
      </c>
      <c r="FL259">
        <v>0</v>
      </c>
      <c r="FM259">
        <v>0</v>
      </c>
      <c r="FN259">
        <v>0</v>
      </c>
      <c r="FO259">
        <v>0</v>
      </c>
      <c r="FP259">
        <v>0</v>
      </c>
      <c r="FQ259">
        <v>0</v>
      </c>
      <c r="FR259">
        <v>0</v>
      </c>
      <c r="FS259">
        <v>0</v>
      </c>
      <c r="FT259">
        <v>0</v>
      </c>
      <c r="FU259">
        <v>0</v>
      </c>
      <c r="FV259">
        <v>0</v>
      </c>
      <c r="FW259">
        <v>0</v>
      </c>
      <c r="FX259">
        <v>0</v>
      </c>
      <c r="FY259">
        <v>0</v>
      </c>
      <c r="FZ259">
        <v>0</v>
      </c>
      <c r="GA259">
        <v>0</v>
      </c>
      <c r="GB259">
        <v>0</v>
      </c>
      <c r="GC259">
        <v>0</v>
      </c>
      <c r="GD259">
        <v>0</v>
      </c>
      <c r="GE259">
        <v>0</v>
      </c>
      <c r="GF259">
        <v>0</v>
      </c>
      <c r="GG259">
        <v>0</v>
      </c>
      <c r="GH259">
        <v>0</v>
      </c>
      <c r="GI259">
        <v>0</v>
      </c>
      <c r="GJ259">
        <v>0</v>
      </c>
      <c r="GK259">
        <v>0</v>
      </c>
      <c r="GL259">
        <v>0</v>
      </c>
      <c r="GM259">
        <v>0</v>
      </c>
      <c r="GN259">
        <v>0</v>
      </c>
      <c r="GO259">
        <v>0</v>
      </c>
      <c r="GP259">
        <v>0</v>
      </c>
      <c r="GQ259">
        <v>0</v>
      </c>
      <c r="GR259">
        <v>0</v>
      </c>
      <c r="GS259">
        <v>0</v>
      </c>
      <c r="GT259">
        <v>0</v>
      </c>
      <c r="GU259">
        <v>0</v>
      </c>
      <c r="GV259">
        <v>0</v>
      </c>
      <c r="GW259">
        <v>0</v>
      </c>
      <c r="GX259">
        <v>0</v>
      </c>
      <c r="GY259">
        <v>0</v>
      </c>
      <c r="GZ259">
        <v>0</v>
      </c>
      <c r="HA259">
        <v>0</v>
      </c>
      <c r="HB259">
        <v>0</v>
      </c>
      <c r="HC259">
        <v>0</v>
      </c>
      <c r="HD259">
        <v>0</v>
      </c>
      <c r="HE259">
        <v>0</v>
      </c>
      <c r="HF259">
        <v>0</v>
      </c>
      <c r="HG259">
        <v>0</v>
      </c>
      <c r="HH259">
        <v>0</v>
      </c>
      <c r="HI259">
        <v>0</v>
      </c>
      <c r="HJ259">
        <v>0</v>
      </c>
      <c r="HK259">
        <v>0</v>
      </c>
      <c r="HL259">
        <v>0</v>
      </c>
      <c r="HM259">
        <v>0</v>
      </c>
      <c r="HN259">
        <v>0</v>
      </c>
      <c r="HO259">
        <v>0</v>
      </c>
      <c r="HP259">
        <v>0</v>
      </c>
      <c r="HQ259">
        <v>0</v>
      </c>
      <c r="HR259">
        <v>0</v>
      </c>
      <c r="HS259">
        <v>0</v>
      </c>
      <c r="HT259">
        <v>0</v>
      </c>
      <c r="HU259">
        <v>0</v>
      </c>
      <c r="HV259">
        <v>0</v>
      </c>
      <c r="HW259">
        <v>0</v>
      </c>
      <c r="HX259">
        <v>0</v>
      </c>
      <c r="HY259">
        <v>0</v>
      </c>
      <c r="HZ259">
        <v>0</v>
      </c>
      <c r="IA259">
        <v>0</v>
      </c>
      <c r="IB259">
        <v>0</v>
      </c>
      <c r="IC259">
        <v>0</v>
      </c>
      <c r="ID259">
        <v>0</v>
      </c>
      <c r="IE259">
        <v>0</v>
      </c>
      <c r="IF259">
        <v>0</v>
      </c>
      <c r="IG259">
        <v>0</v>
      </c>
      <c r="IH259">
        <v>0</v>
      </c>
      <c r="II259">
        <v>0</v>
      </c>
      <c r="IJ259">
        <v>0</v>
      </c>
      <c r="IK259">
        <v>0</v>
      </c>
      <c r="IL259">
        <v>0</v>
      </c>
      <c r="IM259">
        <v>0</v>
      </c>
      <c r="IN259">
        <v>0</v>
      </c>
      <c r="IO259">
        <v>0</v>
      </c>
      <c r="IP259">
        <v>0</v>
      </c>
      <c r="IQ259">
        <v>0</v>
      </c>
      <c r="IR259">
        <v>0</v>
      </c>
      <c r="IS259">
        <v>0</v>
      </c>
      <c r="IT259">
        <v>0</v>
      </c>
      <c r="IU259">
        <v>0</v>
      </c>
      <c r="IV259">
        <v>0</v>
      </c>
      <c r="IW259">
        <v>0</v>
      </c>
      <c r="IX259">
        <v>0</v>
      </c>
      <c r="IY259">
        <v>0</v>
      </c>
      <c r="IZ259">
        <v>0</v>
      </c>
      <c r="JA259">
        <v>0</v>
      </c>
      <c r="JB259">
        <v>0</v>
      </c>
      <c r="JC259">
        <v>0</v>
      </c>
      <c r="JD259">
        <v>0</v>
      </c>
      <c r="JE259">
        <v>0</v>
      </c>
      <c r="JF259">
        <v>0</v>
      </c>
      <c r="JG259">
        <v>0</v>
      </c>
      <c r="JH259">
        <v>0</v>
      </c>
      <c r="JI259">
        <v>0</v>
      </c>
      <c r="JJ259">
        <v>0</v>
      </c>
      <c r="JK259">
        <v>0</v>
      </c>
      <c r="JL259">
        <v>0</v>
      </c>
      <c r="JM259">
        <v>0</v>
      </c>
      <c r="JN259">
        <v>0</v>
      </c>
      <c r="JO259">
        <v>0</v>
      </c>
      <c r="JP259">
        <v>0</v>
      </c>
      <c r="JQ259">
        <v>0</v>
      </c>
      <c r="JR259">
        <v>0</v>
      </c>
      <c r="JS259">
        <v>0</v>
      </c>
      <c r="JT259">
        <v>0</v>
      </c>
      <c r="JU259">
        <v>0</v>
      </c>
      <c r="JV259">
        <v>0</v>
      </c>
      <c r="JW259">
        <v>0</v>
      </c>
      <c r="JX259">
        <v>0</v>
      </c>
      <c r="JY259">
        <v>0</v>
      </c>
      <c r="JZ259">
        <v>0</v>
      </c>
      <c r="KA259">
        <v>0</v>
      </c>
      <c r="KB259">
        <v>0</v>
      </c>
      <c r="KC259">
        <v>0</v>
      </c>
      <c r="KD259">
        <v>0</v>
      </c>
      <c r="KE259">
        <v>0</v>
      </c>
      <c r="KF259">
        <v>0</v>
      </c>
      <c r="KG259">
        <v>0</v>
      </c>
      <c r="KH259">
        <v>0</v>
      </c>
      <c r="KI259">
        <v>0</v>
      </c>
      <c r="KJ259">
        <v>0</v>
      </c>
      <c r="KK259">
        <v>0</v>
      </c>
      <c r="KL259">
        <v>0</v>
      </c>
      <c r="KM259">
        <v>0</v>
      </c>
      <c r="KN259">
        <v>0</v>
      </c>
      <c r="KO259">
        <v>0</v>
      </c>
      <c r="KP259">
        <v>0</v>
      </c>
      <c r="KQ259">
        <v>0</v>
      </c>
      <c r="KR259">
        <v>0</v>
      </c>
      <c r="KS259">
        <v>0</v>
      </c>
      <c r="KT259">
        <v>0</v>
      </c>
      <c r="KU259">
        <v>0</v>
      </c>
      <c r="KV259">
        <v>0</v>
      </c>
      <c r="KW259">
        <v>0</v>
      </c>
      <c r="KX259">
        <v>0</v>
      </c>
      <c r="KY259">
        <v>0</v>
      </c>
      <c r="KZ259">
        <v>0</v>
      </c>
      <c r="LA259">
        <v>0</v>
      </c>
      <c r="LB259">
        <v>0</v>
      </c>
      <c r="LC259">
        <v>0</v>
      </c>
      <c r="LD259">
        <v>0</v>
      </c>
      <c r="LE259">
        <v>0</v>
      </c>
      <c r="LF259">
        <v>0</v>
      </c>
      <c r="LG259">
        <v>0</v>
      </c>
      <c r="LH259">
        <v>0</v>
      </c>
      <c r="LI259">
        <v>0</v>
      </c>
      <c r="LJ259">
        <v>0</v>
      </c>
      <c r="LK259">
        <v>0</v>
      </c>
      <c r="LL259">
        <v>0</v>
      </c>
      <c r="LM259">
        <v>0</v>
      </c>
      <c r="LN259">
        <v>0</v>
      </c>
      <c r="LO259">
        <v>0</v>
      </c>
      <c r="LP259">
        <v>0</v>
      </c>
      <c r="LQ259">
        <v>0</v>
      </c>
      <c r="LR259">
        <v>0</v>
      </c>
      <c r="LS259">
        <v>0</v>
      </c>
      <c r="LT259">
        <v>0</v>
      </c>
      <c r="LU259">
        <v>0</v>
      </c>
      <c r="LV259">
        <v>0</v>
      </c>
      <c r="LW259">
        <v>0</v>
      </c>
      <c r="LX259">
        <v>0</v>
      </c>
      <c r="LY259">
        <v>0</v>
      </c>
      <c r="LZ259">
        <v>0</v>
      </c>
      <c r="MA259">
        <v>0</v>
      </c>
      <c r="MB259">
        <v>0</v>
      </c>
      <c r="MC259">
        <v>0</v>
      </c>
      <c r="MD259">
        <v>0</v>
      </c>
      <c r="ME259">
        <v>0</v>
      </c>
      <c r="MF259">
        <v>0</v>
      </c>
      <c r="MG259">
        <v>0</v>
      </c>
      <c r="MH259">
        <v>0</v>
      </c>
      <c r="MI259">
        <v>0</v>
      </c>
      <c r="MJ259">
        <v>0</v>
      </c>
      <c r="MK259">
        <v>0</v>
      </c>
      <c r="ML259">
        <v>0</v>
      </c>
      <c r="MM259">
        <v>0</v>
      </c>
      <c r="MN259">
        <v>0</v>
      </c>
      <c r="MO259">
        <v>0</v>
      </c>
      <c r="MP259">
        <v>0</v>
      </c>
      <c r="MQ259">
        <v>0</v>
      </c>
      <c r="MR259">
        <v>0</v>
      </c>
      <c r="MS259">
        <v>0</v>
      </c>
      <c r="MT259">
        <v>0</v>
      </c>
      <c r="MU259">
        <v>0</v>
      </c>
      <c r="MV259">
        <v>0</v>
      </c>
      <c r="MW259">
        <v>0</v>
      </c>
      <c r="MX259">
        <v>0</v>
      </c>
      <c r="MY259">
        <v>0</v>
      </c>
      <c r="MZ259">
        <v>0</v>
      </c>
      <c r="NA259">
        <v>0</v>
      </c>
      <c r="NB259">
        <v>0</v>
      </c>
      <c r="NC259">
        <v>0</v>
      </c>
      <c r="ND259">
        <v>0</v>
      </c>
      <c r="NE259">
        <v>0</v>
      </c>
    </row>
    <row r="260" spans="41:369" x14ac:dyDescent="0.45">
      <c r="AO260" t="str">
        <v>D136</v>
      </c>
      <c r="AP260" t="str">
        <v>MUHAMMED ASBAQUE</v>
      </c>
      <c r="AQ260" t="str">
        <v>JARF</v>
      </c>
      <c r="AR260" t="str">
        <v>SUPER SENIOR</v>
      </c>
      <c r="AS260">
        <v>9</v>
      </c>
      <c r="AT260">
        <v>0</v>
      </c>
      <c r="AU260">
        <v>0</v>
      </c>
      <c r="AV260">
        <v>0</v>
      </c>
      <c r="AW260">
        <v>0</v>
      </c>
      <c r="AX260">
        <v>255</v>
      </c>
      <c r="AY260" s="5">
        <v>255</v>
      </c>
      <c r="AZ260">
        <v>0</v>
      </c>
      <c r="BA260">
        <v>0</v>
      </c>
      <c r="BB260">
        <v>0</v>
      </c>
      <c r="BC260">
        <v>0</v>
      </c>
      <c r="BD260">
        <v>0</v>
      </c>
      <c r="BE260">
        <v>0</v>
      </c>
      <c r="BF260">
        <v>0</v>
      </c>
      <c r="BG260">
        <v>0</v>
      </c>
      <c r="BH260">
        <v>0</v>
      </c>
      <c r="BI260" t="str">
        <v/>
      </c>
      <c r="BK260">
        <v>254</v>
      </c>
      <c r="BL260">
        <v>0</v>
      </c>
      <c r="BM260">
        <v>0</v>
      </c>
      <c r="BN260">
        <v>0</v>
      </c>
      <c r="BO260">
        <v>0</v>
      </c>
      <c r="BP260">
        <v>0</v>
      </c>
      <c r="BQ260">
        <v>0</v>
      </c>
      <c r="BR260">
        <v>0</v>
      </c>
      <c r="BS260">
        <v>0</v>
      </c>
      <c r="BT260">
        <v>0</v>
      </c>
      <c r="BU260">
        <v>0</v>
      </c>
      <c r="BV260">
        <v>0</v>
      </c>
      <c r="BW260">
        <v>0</v>
      </c>
      <c r="BX260">
        <v>0</v>
      </c>
      <c r="BY260">
        <v>0</v>
      </c>
      <c r="BZ260">
        <v>0</v>
      </c>
      <c r="CA260">
        <v>0</v>
      </c>
      <c r="CB260">
        <v>0</v>
      </c>
      <c r="CC260">
        <v>0</v>
      </c>
      <c r="CD260">
        <v>0</v>
      </c>
      <c r="CE260">
        <v>0</v>
      </c>
      <c r="CF260">
        <v>0</v>
      </c>
      <c r="CG260">
        <v>0</v>
      </c>
      <c r="CH260">
        <v>0</v>
      </c>
      <c r="CI260">
        <v>0</v>
      </c>
      <c r="CJ260">
        <v>0</v>
      </c>
      <c r="CK260">
        <v>0</v>
      </c>
      <c r="CL260">
        <v>0</v>
      </c>
      <c r="CM260">
        <v>0</v>
      </c>
      <c r="CN260">
        <v>0</v>
      </c>
      <c r="CO260">
        <v>0</v>
      </c>
      <c r="CP260">
        <v>0</v>
      </c>
      <c r="CQ260">
        <v>0</v>
      </c>
      <c r="CR260">
        <v>0</v>
      </c>
      <c r="CS260">
        <v>0</v>
      </c>
      <c r="CT260">
        <v>0</v>
      </c>
      <c r="CU260">
        <v>0</v>
      </c>
      <c r="CV260">
        <v>0</v>
      </c>
      <c r="CW260">
        <v>0</v>
      </c>
      <c r="CX260">
        <v>0</v>
      </c>
      <c r="CY260">
        <v>0</v>
      </c>
      <c r="CZ260">
        <v>0</v>
      </c>
      <c r="DA260">
        <v>0</v>
      </c>
      <c r="DB260">
        <v>0</v>
      </c>
      <c r="DC260">
        <v>0</v>
      </c>
      <c r="DD260">
        <v>0</v>
      </c>
      <c r="DE260">
        <v>0</v>
      </c>
      <c r="DF260">
        <v>0</v>
      </c>
      <c r="DG260">
        <v>0</v>
      </c>
      <c r="DH260">
        <v>0</v>
      </c>
      <c r="DI260">
        <v>0</v>
      </c>
      <c r="DJ260">
        <v>0</v>
      </c>
      <c r="DK260">
        <v>0</v>
      </c>
      <c r="DL260">
        <v>0</v>
      </c>
      <c r="DM260">
        <v>0</v>
      </c>
      <c r="DN260">
        <v>0</v>
      </c>
      <c r="DO260">
        <v>0</v>
      </c>
      <c r="DP260">
        <v>0</v>
      </c>
      <c r="DQ260">
        <v>0</v>
      </c>
      <c r="DR260">
        <v>0</v>
      </c>
      <c r="DS260">
        <v>0</v>
      </c>
      <c r="DT260">
        <v>0</v>
      </c>
      <c r="DU260">
        <v>0</v>
      </c>
      <c r="DV260">
        <v>0</v>
      </c>
      <c r="DW260">
        <v>0</v>
      </c>
      <c r="DX260">
        <v>0</v>
      </c>
      <c r="DY260">
        <v>0</v>
      </c>
      <c r="DZ260">
        <v>0</v>
      </c>
      <c r="EA260">
        <v>0</v>
      </c>
      <c r="EB260">
        <v>0</v>
      </c>
      <c r="EC260">
        <v>0</v>
      </c>
      <c r="ED260">
        <v>0</v>
      </c>
      <c r="EE260">
        <v>0</v>
      </c>
      <c r="EF260">
        <v>0</v>
      </c>
      <c r="EG260">
        <v>0</v>
      </c>
      <c r="EH260">
        <v>0</v>
      </c>
      <c r="EI260">
        <v>0</v>
      </c>
      <c r="EJ260">
        <v>0</v>
      </c>
      <c r="EK260">
        <v>0</v>
      </c>
      <c r="EL260">
        <v>0</v>
      </c>
      <c r="EM260">
        <v>0</v>
      </c>
      <c r="EN260">
        <v>0</v>
      </c>
      <c r="EO260">
        <v>0</v>
      </c>
      <c r="EP260">
        <v>0</v>
      </c>
      <c r="EQ260">
        <v>0</v>
      </c>
      <c r="ER260">
        <v>0</v>
      </c>
      <c r="ES260">
        <v>0</v>
      </c>
      <c r="ET260">
        <v>0</v>
      </c>
      <c r="EU260">
        <v>0</v>
      </c>
      <c r="EV260">
        <v>0</v>
      </c>
      <c r="EW260">
        <v>0</v>
      </c>
      <c r="EX260">
        <v>0</v>
      </c>
      <c r="EY260">
        <v>0</v>
      </c>
      <c r="EZ260">
        <v>0</v>
      </c>
      <c r="FA260">
        <v>0</v>
      </c>
      <c r="FB260">
        <v>0</v>
      </c>
      <c r="FC260">
        <v>0</v>
      </c>
      <c r="FD260">
        <v>0</v>
      </c>
      <c r="FE260">
        <v>0</v>
      </c>
      <c r="FF260">
        <v>0</v>
      </c>
      <c r="FG260">
        <v>0</v>
      </c>
      <c r="FH260">
        <v>0</v>
      </c>
      <c r="FI260">
        <v>0</v>
      </c>
      <c r="FJ260">
        <v>0</v>
      </c>
      <c r="FK260">
        <v>0</v>
      </c>
      <c r="FL260">
        <v>0</v>
      </c>
      <c r="FM260">
        <v>0</v>
      </c>
      <c r="FN260">
        <v>0</v>
      </c>
      <c r="FO260">
        <v>0</v>
      </c>
      <c r="FP260">
        <v>0</v>
      </c>
      <c r="FQ260">
        <v>0</v>
      </c>
      <c r="FR260">
        <v>0</v>
      </c>
      <c r="FS260">
        <v>0</v>
      </c>
      <c r="FT260">
        <v>0</v>
      </c>
      <c r="FU260">
        <v>0</v>
      </c>
      <c r="FV260">
        <v>0</v>
      </c>
      <c r="FW260">
        <v>0</v>
      </c>
      <c r="FX260">
        <v>0</v>
      </c>
      <c r="FY260">
        <v>0</v>
      </c>
      <c r="FZ260">
        <v>0</v>
      </c>
      <c r="GA260">
        <v>0</v>
      </c>
      <c r="GB260">
        <v>0</v>
      </c>
      <c r="GC260">
        <v>0</v>
      </c>
      <c r="GD260">
        <v>0</v>
      </c>
      <c r="GE260">
        <v>0</v>
      </c>
      <c r="GF260">
        <v>0</v>
      </c>
      <c r="GG260">
        <v>0</v>
      </c>
      <c r="GH260">
        <v>0</v>
      </c>
      <c r="GI260">
        <v>0</v>
      </c>
      <c r="GJ260">
        <v>0</v>
      </c>
      <c r="GK260">
        <v>0</v>
      </c>
      <c r="GL260">
        <v>0</v>
      </c>
      <c r="GM260">
        <v>0</v>
      </c>
      <c r="GN260">
        <v>0</v>
      </c>
      <c r="GO260">
        <v>0</v>
      </c>
      <c r="GP260">
        <v>0</v>
      </c>
      <c r="GQ260">
        <v>0</v>
      </c>
      <c r="GR260">
        <v>0</v>
      </c>
      <c r="GS260">
        <v>0</v>
      </c>
      <c r="GT260">
        <v>0</v>
      </c>
      <c r="GU260">
        <v>0</v>
      </c>
      <c r="GV260">
        <v>0</v>
      </c>
      <c r="GW260">
        <v>0</v>
      </c>
      <c r="GX260">
        <v>0</v>
      </c>
      <c r="GY260">
        <v>0</v>
      </c>
      <c r="GZ260">
        <v>0</v>
      </c>
      <c r="HA260">
        <v>0</v>
      </c>
      <c r="HB260">
        <v>0</v>
      </c>
      <c r="HC260">
        <v>0</v>
      </c>
      <c r="HD260">
        <v>0</v>
      </c>
      <c r="HE260">
        <v>0</v>
      </c>
      <c r="HF260">
        <v>0</v>
      </c>
      <c r="HG260">
        <v>0</v>
      </c>
      <c r="HH260">
        <v>0</v>
      </c>
      <c r="HI260">
        <v>0</v>
      </c>
      <c r="HJ260">
        <v>0</v>
      </c>
      <c r="HK260">
        <v>0</v>
      </c>
      <c r="HL260">
        <v>0</v>
      </c>
      <c r="HM260">
        <v>0</v>
      </c>
      <c r="HN260">
        <v>0</v>
      </c>
      <c r="HO260">
        <v>0</v>
      </c>
      <c r="HP260">
        <v>0</v>
      </c>
      <c r="HQ260">
        <v>0</v>
      </c>
      <c r="HR260">
        <v>0</v>
      </c>
      <c r="HS260">
        <v>0</v>
      </c>
      <c r="HT260">
        <v>0</v>
      </c>
      <c r="HU260">
        <v>0</v>
      </c>
      <c r="HV260">
        <v>0</v>
      </c>
      <c r="HW260">
        <v>0</v>
      </c>
      <c r="HX260">
        <v>0</v>
      </c>
      <c r="HY260">
        <v>0</v>
      </c>
      <c r="HZ260">
        <v>0</v>
      </c>
      <c r="IA260">
        <v>0</v>
      </c>
      <c r="IB260">
        <v>0</v>
      </c>
      <c r="IC260">
        <v>0</v>
      </c>
      <c r="ID260">
        <v>0</v>
      </c>
      <c r="IE260">
        <v>0</v>
      </c>
      <c r="IF260">
        <v>0</v>
      </c>
      <c r="IG260">
        <v>0</v>
      </c>
      <c r="IH260">
        <v>0</v>
      </c>
      <c r="II260">
        <v>0</v>
      </c>
      <c r="IJ260">
        <v>0</v>
      </c>
      <c r="IK260">
        <v>0</v>
      </c>
      <c r="IL260">
        <v>0</v>
      </c>
      <c r="IM260">
        <v>0</v>
      </c>
      <c r="IN260">
        <v>0</v>
      </c>
      <c r="IO260">
        <v>0</v>
      </c>
      <c r="IP260">
        <v>0</v>
      </c>
      <c r="IQ260">
        <v>0</v>
      </c>
      <c r="IR260">
        <v>0</v>
      </c>
      <c r="IS260">
        <v>0</v>
      </c>
      <c r="IT260">
        <v>0</v>
      </c>
      <c r="IU260">
        <v>0</v>
      </c>
      <c r="IV260">
        <v>0</v>
      </c>
      <c r="IW260">
        <v>0</v>
      </c>
      <c r="IX260">
        <v>0</v>
      </c>
      <c r="IY260">
        <v>0</v>
      </c>
      <c r="IZ260">
        <v>0</v>
      </c>
      <c r="JA260">
        <v>0</v>
      </c>
      <c r="JB260">
        <v>0</v>
      </c>
      <c r="JC260">
        <v>0</v>
      </c>
      <c r="JD260">
        <v>0</v>
      </c>
      <c r="JE260">
        <v>0</v>
      </c>
      <c r="JF260">
        <v>0</v>
      </c>
      <c r="JG260">
        <v>0</v>
      </c>
      <c r="JH260">
        <v>0</v>
      </c>
      <c r="JI260">
        <v>0</v>
      </c>
      <c r="JJ260">
        <v>0</v>
      </c>
      <c r="JK260">
        <v>0</v>
      </c>
      <c r="JL260">
        <v>0</v>
      </c>
      <c r="JM260">
        <v>0</v>
      </c>
      <c r="JN260">
        <v>0</v>
      </c>
      <c r="JO260">
        <v>0</v>
      </c>
      <c r="JP260">
        <v>0</v>
      </c>
      <c r="JQ260">
        <v>0</v>
      </c>
      <c r="JR260">
        <v>0</v>
      </c>
      <c r="JS260">
        <v>0</v>
      </c>
      <c r="JT260">
        <v>0</v>
      </c>
      <c r="JU260">
        <v>0</v>
      </c>
      <c r="JV260">
        <v>0</v>
      </c>
      <c r="JW260">
        <v>0</v>
      </c>
      <c r="JX260">
        <v>0</v>
      </c>
      <c r="JY260">
        <v>0</v>
      </c>
      <c r="JZ260">
        <v>0</v>
      </c>
      <c r="KA260">
        <v>0</v>
      </c>
      <c r="KB260">
        <v>0</v>
      </c>
      <c r="KC260">
        <v>0</v>
      </c>
      <c r="KD260">
        <v>0</v>
      </c>
      <c r="KE260">
        <v>0</v>
      </c>
      <c r="KF260">
        <v>0</v>
      </c>
      <c r="KG260">
        <v>0</v>
      </c>
      <c r="KH260">
        <v>0</v>
      </c>
      <c r="KI260">
        <v>0</v>
      </c>
      <c r="KJ260">
        <v>0</v>
      </c>
      <c r="KK260">
        <v>0</v>
      </c>
      <c r="KL260">
        <v>0</v>
      </c>
      <c r="KM260">
        <v>0</v>
      </c>
      <c r="KN260">
        <v>0</v>
      </c>
      <c r="KO260">
        <v>0</v>
      </c>
      <c r="KP260">
        <v>0</v>
      </c>
      <c r="KQ260">
        <v>0</v>
      </c>
      <c r="KR260">
        <v>0</v>
      </c>
      <c r="KS260">
        <v>0</v>
      </c>
      <c r="KT260">
        <v>0</v>
      </c>
      <c r="KU260">
        <v>0</v>
      </c>
      <c r="KV260">
        <v>0</v>
      </c>
      <c r="KW260">
        <v>0</v>
      </c>
      <c r="KX260">
        <v>0</v>
      </c>
      <c r="KY260">
        <v>0</v>
      </c>
      <c r="KZ260">
        <v>0</v>
      </c>
      <c r="LA260">
        <v>0</v>
      </c>
      <c r="LB260">
        <v>0</v>
      </c>
      <c r="LC260">
        <v>0</v>
      </c>
      <c r="LD260">
        <v>0</v>
      </c>
      <c r="LE260">
        <v>0</v>
      </c>
      <c r="LF260">
        <v>0</v>
      </c>
      <c r="LG260">
        <v>0</v>
      </c>
      <c r="LH260">
        <v>0</v>
      </c>
      <c r="LI260">
        <v>0</v>
      </c>
      <c r="LJ260">
        <v>0</v>
      </c>
      <c r="LK260">
        <v>0</v>
      </c>
      <c r="LL260">
        <v>0</v>
      </c>
      <c r="LM260">
        <v>0</v>
      </c>
      <c r="LN260">
        <v>0</v>
      </c>
      <c r="LO260">
        <v>0</v>
      </c>
      <c r="LP260">
        <v>0</v>
      </c>
      <c r="LQ260">
        <v>0</v>
      </c>
      <c r="LR260">
        <v>0</v>
      </c>
      <c r="LS260">
        <v>0</v>
      </c>
      <c r="LT260">
        <v>0</v>
      </c>
      <c r="LU260">
        <v>0</v>
      </c>
      <c r="LV260">
        <v>0</v>
      </c>
      <c r="LW260">
        <v>0</v>
      </c>
      <c r="LX260">
        <v>0</v>
      </c>
      <c r="LY260">
        <v>0</v>
      </c>
      <c r="LZ260">
        <v>0</v>
      </c>
      <c r="MA260">
        <v>0</v>
      </c>
      <c r="MB260">
        <v>0</v>
      </c>
      <c r="MC260">
        <v>0</v>
      </c>
      <c r="MD260">
        <v>0</v>
      </c>
      <c r="ME260">
        <v>0</v>
      </c>
      <c r="MF260">
        <v>0</v>
      </c>
      <c r="MG260">
        <v>0</v>
      </c>
      <c r="MH260">
        <v>0</v>
      </c>
      <c r="MI260">
        <v>0</v>
      </c>
      <c r="MJ260">
        <v>0</v>
      </c>
      <c r="MK260">
        <v>0</v>
      </c>
      <c r="ML260">
        <v>0</v>
      </c>
      <c r="MM260">
        <v>0</v>
      </c>
      <c r="MN260">
        <v>0</v>
      </c>
      <c r="MO260">
        <v>0</v>
      </c>
      <c r="MP260">
        <v>0</v>
      </c>
      <c r="MQ260">
        <v>0</v>
      </c>
      <c r="MR260">
        <v>0</v>
      </c>
      <c r="MS260">
        <v>0</v>
      </c>
      <c r="MT260">
        <v>0</v>
      </c>
      <c r="MU260">
        <v>0</v>
      </c>
      <c r="MV260">
        <v>0</v>
      </c>
      <c r="MW260">
        <v>0</v>
      </c>
      <c r="MX260">
        <v>0</v>
      </c>
      <c r="MY260">
        <v>0</v>
      </c>
      <c r="MZ260">
        <v>0</v>
      </c>
      <c r="NA260">
        <v>0</v>
      </c>
      <c r="NB260">
        <v>0</v>
      </c>
      <c r="NC260">
        <v>0</v>
      </c>
      <c r="ND260">
        <v>0</v>
      </c>
      <c r="NE260">
        <v>0</v>
      </c>
    </row>
    <row r="261" spans="41:369" x14ac:dyDescent="0.45">
      <c r="AO261" t="str">
        <v>D137</v>
      </c>
      <c r="AP261" t="str">
        <v>AYYOOB V.N</v>
      </c>
      <c r="AQ261" t="str">
        <v>BADF</v>
      </c>
      <c r="AR261" t="str">
        <v>SUPER SENIOR</v>
      </c>
      <c r="AS261">
        <v>9</v>
      </c>
      <c r="AT261">
        <v>9</v>
      </c>
      <c r="AU261">
        <v>0</v>
      </c>
      <c r="AV261">
        <v>9</v>
      </c>
      <c r="AW261">
        <v>9</v>
      </c>
      <c r="AX261">
        <v>139</v>
      </c>
      <c r="AY261" s="5">
        <v>139</v>
      </c>
      <c r="AZ261">
        <v>0</v>
      </c>
      <c r="BA261">
        <v>0</v>
      </c>
      <c r="BB261">
        <v>0</v>
      </c>
      <c r="BC261">
        <v>0</v>
      </c>
      <c r="BD261">
        <v>0</v>
      </c>
      <c r="BE261">
        <v>0</v>
      </c>
      <c r="BF261">
        <v>0</v>
      </c>
      <c r="BG261">
        <v>0</v>
      </c>
      <c r="BH261">
        <v>0</v>
      </c>
      <c r="BI261" t="str">
        <v/>
      </c>
      <c r="BK261">
        <v>255</v>
      </c>
      <c r="BL261">
        <v>0</v>
      </c>
      <c r="BM261">
        <v>0</v>
      </c>
      <c r="BN261">
        <v>0</v>
      </c>
      <c r="BO261">
        <v>0</v>
      </c>
      <c r="BP261">
        <v>0</v>
      </c>
      <c r="BQ261">
        <v>0</v>
      </c>
      <c r="BR261">
        <v>0</v>
      </c>
      <c r="BS261">
        <v>0</v>
      </c>
      <c r="BT261">
        <v>0</v>
      </c>
      <c r="BU261">
        <v>0</v>
      </c>
      <c r="BV261">
        <v>0</v>
      </c>
      <c r="BW261">
        <v>0</v>
      </c>
      <c r="BX261">
        <v>0</v>
      </c>
      <c r="BY261">
        <v>0</v>
      </c>
      <c r="BZ261">
        <v>0</v>
      </c>
      <c r="CA261">
        <v>0</v>
      </c>
      <c r="CB261">
        <v>0</v>
      </c>
      <c r="CC261">
        <v>0</v>
      </c>
      <c r="CD261">
        <v>0</v>
      </c>
      <c r="CE261">
        <v>0</v>
      </c>
      <c r="CF261">
        <v>0</v>
      </c>
      <c r="CG261">
        <v>0</v>
      </c>
      <c r="CH261">
        <v>0</v>
      </c>
      <c r="CI261">
        <v>0</v>
      </c>
      <c r="CJ261">
        <v>0</v>
      </c>
      <c r="CK261">
        <v>0</v>
      </c>
      <c r="CL261">
        <v>0</v>
      </c>
      <c r="CM261">
        <v>0</v>
      </c>
      <c r="CN261">
        <v>0</v>
      </c>
      <c r="CO261">
        <v>0</v>
      </c>
      <c r="CP261">
        <v>0</v>
      </c>
      <c r="CQ261">
        <v>0</v>
      </c>
      <c r="CR261">
        <v>0</v>
      </c>
      <c r="CS261">
        <v>0</v>
      </c>
      <c r="CT261">
        <v>0</v>
      </c>
      <c r="CU261">
        <v>0</v>
      </c>
      <c r="CV261">
        <v>0</v>
      </c>
      <c r="CW261">
        <v>0</v>
      </c>
      <c r="CX261">
        <v>0</v>
      </c>
      <c r="CY261">
        <v>0</v>
      </c>
      <c r="CZ261">
        <v>0</v>
      </c>
      <c r="DA261">
        <v>0</v>
      </c>
      <c r="DB261">
        <v>0</v>
      </c>
      <c r="DC261">
        <v>0</v>
      </c>
      <c r="DD261">
        <v>0</v>
      </c>
      <c r="DE261">
        <v>0</v>
      </c>
      <c r="DF261">
        <v>0</v>
      </c>
      <c r="DG261">
        <v>0</v>
      </c>
      <c r="DH261">
        <v>0</v>
      </c>
      <c r="DI261">
        <v>0</v>
      </c>
      <c r="DJ261">
        <v>0</v>
      </c>
      <c r="DK261">
        <v>0</v>
      </c>
      <c r="DL261">
        <v>0</v>
      </c>
      <c r="DM261">
        <v>0</v>
      </c>
      <c r="DN261">
        <v>0</v>
      </c>
      <c r="DO261">
        <v>0</v>
      </c>
      <c r="DP261">
        <v>0</v>
      </c>
      <c r="DQ261">
        <v>0</v>
      </c>
      <c r="DR261">
        <v>0</v>
      </c>
      <c r="DS261">
        <v>0</v>
      </c>
      <c r="DT261">
        <v>0</v>
      </c>
      <c r="DU261">
        <v>0</v>
      </c>
      <c r="DV261">
        <v>0</v>
      </c>
      <c r="DW261">
        <v>0</v>
      </c>
      <c r="DX261">
        <v>0</v>
      </c>
      <c r="DY261">
        <v>0</v>
      </c>
      <c r="DZ261">
        <v>0</v>
      </c>
      <c r="EA261">
        <v>0</v>
      </c>
      <c r="EB261">
        <v>0</v>
      </c>
      <c r="EC261">
        <v>0</v>
      </c>
      <c r="ED261">
        <v>0</v>
      </c>
      <c r="EE261">
        <v>0</v>
      </c>
      <c r="EF261">
        <v>0</v>
      </c>
      <c r="EG261">
        <v>0</v>
      </c>
      <c r="EH261">
        <v>0</v>
      </c>
      <c r="EI261">
        <v>0</v>
      </c>
      <c r="EJ261">
        <v>0</v>
      </c>
      <c r="EK261">
        <v>0</v>
      </c>
      <c r="EL261">
        <v>0</v>
      </c>
      <c r="EM261">
        <v>0</v>
      </c>
      <c r="EN261">
        <v>0</v>
      </c>
      <c r="EO261">
        <v>0</v>
      </c>
      <c r="EP261">
        <v>0</v>
      </c>
      <c r="EQ261">
        <v>0</v>
      </c>
      <c r="ER261">
        <v>0</v>
      </c>
      <c r="ES261">
        <v>0</v>
      </c>
      <c r="ET261">
        <v>0</v>
      </c>
      <c r="EU261">
        <v>0</v>
      </c>
      <c r="EV261">
        <v>0</v>
      </c>
      <c r="EW261">
        <v>0</v>
      </c>
      <c r="EX261">
        <v>0</v>
      </c>
      <c r="EY261">
        <v>0</v>
      </c>
      <c r="EZ261">
        <v>0</v>
      </c>
      <c r="FA261">
        <v>0</v>
      </c>
      <c r="FB261">
        <v>0</v>
      </c>
      <c r="FC261">
        <v>0</v>
      </c>
      <c r="FD261">
        <v>0</v>
      </c>
      <c r="FE261">
        <v>0</v>
      </c>
      <c r="FF261">
        <v>0</v>
      </c>
      <c r="FG261">
        <v>0</v>
      </c>
      <c r="FH261">
        <v>0</v>
      </c>
      <c r="FI261">
        <v>0</v>
      </c>
      <c r="FJ261">
        <v>0</v>
      </c>
      <c r="FK261">
        <v>0</v>
      </c>
      <c r="FL261">
        <v>0</v>
      </c>
      <c r="FM261">
        <v>0</v>
      </c>
      <c r="FN261">
        <v>0</v>
      </c>
      <c r="FO261">
        <v>0</v>
      </c>
      <c r="FP261">
        <v>0</v>
      </c>
      <c r="FQ261">
        <v>0</v>
      </c>
      <c r="FR261">
        <v>0</v>
      </c>
      <c r="FS261">
        <v>0</v>
      </c>
      <c r="FT261">
        <v>0</v>
      </c>
      <c r="FU261">
        <v>0</v>
      </c>
      <c r="FV261">
        <v>0</v>
      </c>
      <c r="FW261">
        <v>0</v>
      </c>
      <c r="FX261">
        <v>0</v>
      </c>
      <c r="FY261">
        <v>0</v>
      </c>
      <c r="FZ261">
        <v>0</v>
      </c>
      <c r="GA261">
        <v>0</v>
      </c>
      <c r="GB261">
        <v>0</v>
      </c>
      <c r="GC261">
        <v>0</v>
      </c>
      <c r="GD261">
        <v>0</v>
      </c>
      <c r="GE261">
        <v>0</v>
      </c>
      <c r="GF261">
        <v>0</v>
      </c>
      <c r="GG261">
        <v>0</v>
      </c>
      <c r="GH261">
        <v>0</v>
      </c>
      <c r="GI261">
        <v>0</v>
      </c>
      <c r="GJ261">
        <v>0</v>
      </c>
      <c r="GK261">
        <v>0</v>
      </c>
      <c r="GL261">
        <v>0</v>
      </c>
      <c r="GM261">
        <v>0</v>
      </c>
      <c r="GN261">
        <v>0</v>
      </c>
      <c r="GO261">
        <v>0</v>
      </c>
      <c r="GP261">
        <v>0</v>
      </c>
      <c r="GQ261">
        <v>0</v>
      </c>
      <c r="GR261">
        <v>0</v>
      </c>
      <c r="GS261">
        <v>0</v>
      </c>
      <c r="GT261">
        <v>0</v>
      </c>
      <c r="GU261">
        <v>0</v>
      </c>
      <c r="GV261">
        <v>0</v>
      </c>
      <c r="GW261">
        <v>0</v>
      </c>
      <c r="GX261">
        <v>0</v>
      </c>
      <c r="GY261">
        <v>0</v>
      </c>
      <c r="GZ261">
        <v>0</v>
      </c>
      <c r="HA261">
        <v>0</v>
      </c>
      <c r="HB261">
        <v>0</v>
      </c>
      <c r="HC261">
        <v>0</v>
      </c>
      <c r="HD261">
        <v>0</v>
      </c>
      <c r="HE261">
        <v>0</v>
      </c>
      <c r="HF261">
        <v>0</v>
      </c>
      <c r="HG261">
        <v>0</v>
      </c>
      <c r="HH261">
        <v>0</v>
      </c>
      <c r="HI261">
        <v>0</v>
      </c>
      <c r="HJ261">
        <v>0</v>
      </c>
      <c r="HK261">
        <v>0</v>
      </c>
      <c r="HL261">
        <v>0</v>
      </c>
      <c r="HM261">
        <v>0</v>
      </c>
      <c r="HN261">
        <v>0</v>
      </c>
      <c r="HO261">
        <v>0</v>
      </c>
      <c r="HP261">
        <v>0</v>
      </c>
      <c r="HQ261">
        <v>0</v>
      </c>
      <c r="HR261">
        <v>0</v>
      </c>
      <c r="HS261">
        <v>0</v>
      </c>
      <c r="HT261">
        <v>0</v>
      </c>
      <c r="HU261">
        <v>0</v>
      </c>
      <c r="HV261">
        <v>0</v>
      </c>
      <c r="HW261">
        <v>0</v>
      </c>
      <c r="HX261">
        <v>0</v>
      </c>
      <c r="HY261">
        <v>0</v>
      </c>
      <c r="HZ261">
        <v>0</v>
      </c>
      <c r="IA261">
        <v>0</v>
      </c>
      <c r="IB261">
        <v>0</v>
      </c>
      <c r="IC261">
        <v>0</v>
      </c>
      <c r="ID261">
        <v>0</v>
      </c>
      <c r="IE261">
        <v>0</v>
      </c>
      <c r="IF261">
        <v>0</v>
      </c>
      <c r="IG261">
        <v>0</v>
      </c>
      <c r="IH261">
        <v>0</v>
      </c>
      <c r="II261">
        <v>0</v>
      </c>
      <c r="IJ261">
        <v>0</v>
      </c>
      <c r="IK261">
        <v>0</v>
      </c>
      <c r="IL261">
        <v>0</v>
      </c>
      <c r="IM261">
        <v>0</v>
      </c>
      <c r="IN261">
        <v>0</v>
      </c>
      <c r="IO261">
        <v>0</v>
      </c>
      <c r="IP261">
        <v>0</v>
      </c>
      <c r="IQ261">
        <v>0</v>
      </c>
      <c r="IR261">
        <v>0</v>
      </c>
      <c r="IS261">
        <v>0</v>
      </c>
      <c r="IT261">
        <v>0</v>
      </c>
      <c r="IU261">
        <v>0</v>
      </c>
      <c r="IV261">
        <v>0</v>
      </c>
      <c r="IW261">
        <v>0</v>
      </c>
      <c r="IX261">
        <v>0</v>
      </c>
      <c r="IY261">
        <v>0</v>
      </c>
      <c r="IZ261">
        <v>0</v>
      </c>
      <c r="JA261">
        <v>0</v>
      </c>
      <c r="JB261">
        <v>0</v>
      </c>
      <c r="JC261">
        <v>0</v>
      </c>
      <c r="JD261">
        <v>0</v>
      </c>
      <c r="JE261">
        <v>0</v>
      </c>
      <c r="JF261">
        <v>0</v>
      </c>
      <c r="JG261">
        <v>0</v>
      </c>
      <c r="JH261">
        <v>0</v>
      </c>
      <c r="JI261">
        <v>0</v>
      </c>
      <c r="JJ261">
        <v>0</v>
      </c>
      <c r="JK261">
        <v>0</v>
      </c>
      <c r="JL261">
        <v>0</v>
      </c>
      <c r="JM261">
        <v>0</v>
      </c>
      <c r="JN261">
        <v>0</v>
      </c>
      <c r="JO261">
        <v>0</v>
      </c>
      <c r="JP261">
        <v>0</v>
      </c>
      <c r="JQ261">
        <v>0</v>
      </c>
      <c r="JR261">
        <v>0</v>
      </c>
      <c r="JS261">
        <v>0</v>
      </c>
      <c r="JT261">
        <v>0</v>
      </c>
      <c r="JU261">
        <v>0</v>
      </c>
      <c r="JV261">
        <v>0</v>
      </c>
      <c r="JW261">
        <v>0</v>
      </c>
      <c r="JX261">
        <v>0</v>
      </c>
      <c r="JY261">
        <v>0</v>
      </c>
      <c r="JZ261">
        <v>0</v>
      </c>
      <c r="KA261">
        <v>0</v>
      </c>
      <c r="KB261">
        <v>0</v>
      </c>
      <c r="KC261">
        <v>0</v>
      </c>
      <c r="KD261">
        <v>0</v>
      </c>
      <c r="KE261">
        <v>0</v>
      </c>
      <c r="KF261">
        <v>0</v>
      </c>
      <c r="KG261">
        <v>0</v>
      </c>
      <c r="KH261">
        <v>0</v>
      </c>
      <c r="KI261">
        <v>0</v>
      </c>
      <c r="KJ261">
        <v>0</v>
      </c>
      <c r="KK261">
        <v>0</v>
      </c>
      <c r="KL261">
        <v>0</v>
      </c>
      <c r="KM261">
        <v>0</v>
      </c>
      <c r="KN261">
        <v>0</v>
      </c>
      <c r="KO261">
        <v>0</v>
      </c>
      <c r="KP261">
        <v>0</v>
      </c>
      <c r="KQ261">
        <v>0</v>
      </c>
      <c r="KR261">
        <v>0</v>
      </c>
      <c r="KS261">
        <v>0</v>
      </c>
      <c r="KT261">
        <v>0</v>
      </c>
      <c r="KU261">
        <v>0</v>
      </c>
      <c r="KV261">
        <v>0</v>
      </c>
      <c r="KW261">
        <v>0</v>
      </c>
      <c r="KX261">
        <v>0</v>
      </c>
      <c r="KY261">
        <v>0</v>
      </c>
      <c r="KZ261">
        <v>0</v>
      </c>
      <c r="LA261">
        <v>0</v>
      </c>
      <c r="LB261">
        <v>0</v>
      </c>
      <c r="LC261">
        <v>0</v>
      </c>
      <c r="LD261">
        <v>0</v>
      </c>
      <c r="LE261">
        <v>0</v>
      </c>
      <c r="LF261">
        <v>0</v>
      </c>
      <c r="LG261">
        <v>0</v>
      </c>
      <c r="LH261">
        <v>0</v>
      </c>
      <c r="LI261">
        <v>0</v>
      </c>
      <c r="LJ261">
        <v>0</v>
      </c>
      <c r="LK261">
        <v>0</v>
      </c>
      <c r="LL261">
        <v>0</v>
      </c>
      <c r="LM261">
        <v>0</v>
      </c>
      <c r="LN261">
        <v>0</v>
      </c>
      <c r="LO261">
        <v>0</v>
      </c>
      <c r="LP261">
        <v>0</v>
      </c>
      <c r="LQ261">
        <v>0</v>
      </c>
      <c r="LR261">
        <v>0</v>
      </c>
      <c r="LS261">
        <v>0</v>
      </c>
      <c r="LT261">
        <v>0</v>
      </c>
      <c r="LU261">
        <v>0</v>
      </c>
      <c r="LV261">
        <v>0</v>
      </c>
      <c r="LW261">
        <v>0</v>
      </c>
      <c r="LX261">
        <v>0</v>
      </c>
      <c r="LY261">
        <v>0</v>
      </c>
      <c r="LZ261">
        <v>0</v>
      </c>
      <c r="MA261">
        <v>0</v>
      </c>
      <c r="MB261">
        <v>0</v>
      </c>
      <c r="MC261">
        <v>0</v>
      </c>
      <c r="MD261">
        <v>0</v>
      </c>
      <c r="ME261">
        <v>0</v>
      </c>
      <c r="MF261">
        <v>0</v>
      </c>
      <c r="MG261">
        <v>0</v>
      </c>
      <c r="MH261">
        <v>0</v>
      </c>
      <c r="MI261">
        <v>0</v>
      </c>
      <c r="MJ261">
        <v>0</v>
      </c>
      <c r="MK261">
        <v>0</v>
      </c>
      <c r="ML261">
        <v>0</v>
      </c>
      <c r="MM261">
        <v>0</v>
      </c>
      <c r="MN261">
        <v>0</v>
      </c>
      <c r="MO261">
        <v>0</v>
      </c>
      <c r="MP261">
        <v>0</v>
      </c>
      <c r="MQ261">
        <v>0</v>
      </c>
      <c r="MR261">
        <v>0</v>
      </c>
      <c r="MS261">
        <v>0</v>
      </c>
      <c r="MT261">
        <v>0</v>
      </c>
      <c r="MU261">
        <v>0</v>
      </c>
      <c r="MV261">
        <v>0</v>
      </c>
      <c r="MW261">
        <v>0</v>
      </c>
      <c r="MX261">
        <v>0</v>
      </c>
      <c r="MY261">
        <v>0</v>
      </c>
      <c r="MZ261">
        <v>0</v>
      </c>
      <c r="NA261">
        <v>0</v>
      </c>
      <c r="NB261">
        <v>0</v>
      </c>
      <c r="NC261">
        <v>0</v>
      </c>
      <c r="ND261">
        <v>0</v>
      </c>
      <c r="NE261">
        <v>0</v>
      </c>
    </row>
    <row r="262" spans="41:369" x14ac:dyDescent="0.45">
      <c r="AO262" t="str">
        <v>D138</v>
      </c>
      <c r="AP262" t="str">
        <v>MOHAMMED JAWAD A</v>
      </c>
      <c r="AQ262" t="str">
        <v>FANT</v>
      </c>
      <c r="AR262" t="str">
        <v>SUPER SENIOR</v>
      </c>
      <c r="AS262">
        <v>9</v>
      </c>
      <c r="AT262">
        <v>0</v>
      </c>
      <c r="AU262">
        <v>0</v>
      </c>
      <c r="AV262">
        <v>0</v>
      </c>
      <c r="AW262">
        <v>0</v>
      </c>
      <c r="AX262">
        <v>255</v>
      </c>
      <c r="AY262" s="5">
        <v>255</v>
      </c>
      <c r="AZ262">
        <v>0</v>
      </c>
      <c r="BA262">
        <v>0</v>
      </c>
      <c r="BB262">
        <v>0</v>
      </c>
      <c r="BC262">
        <v>0</v>
      </c>
      <c r="BD262">
        <v>0</v>
      </c>
      <c r="BE262">
        <v>0</v>
      </c>
      <c r="BF262">
        <v>0</v>
      </c>
      <c r="BG262">
        <v>0</v>
      </c>
      <c r="BH262">
        <v>0</v>
      </c>
      <c r="BI262" t="str">
        <v/>
      </c>
      <c r="BK262">
        <v>256</v>
      </c>
      <c r="BL262">
        <v>0</v>
      </c>
      <c r="BM262">
        <v>0</v>
      </c>
      <c r="BN262">
        <v>0</v>
      </c>
      <c r="BO262">
        <v>0</v>
      </c>
      <c r="BP262">
        <v>0</v>
      </c>
      <c r="BQ262">
        <v>0</v>
      </c>
      <c r="BR262">
        <v>0</v>
      </c>
      <c r="BS262">
        <v>0</v>
      </c>
      <c r="BT262">
        <v>0</v>
      </c>
      <c r="BU262">
        <v>0</v>
      </c>
      <c r="BV262">
        <v>0</v>
      </c>
      <c r="BW262">
        <v>0</v>
      </c>
      <c r="BX262">
        <v>0</v>
      </c>
      <c r="BY262">
        <v>0</v>
      </c>
      <c r="BZ262">
        <v>0</v>
      </c>
      <c r="CA262">
        <v>0</v>
      </c>
      <c r="CB262">
        <v>0</v>
      </c>
      <c r="CC262">
        <v>0</v>
      </c>
      <c r="CD262">
        <v>0</v>
      </c>
      <c r="CE262">
        <v>0</v>
      </c>
      <c r="CF262">
        <v>0</v>
      </c>
      <c r="CG262">
        <v>0</v>
      </c>
      <c r="CH262">
        <v>0</v>
      </c>
      <c r="CI262">
        <v>0</v>
      </c>
      <c r="CJ262">
        <v>0</v>
      </c>
      <c r="CK262">
        <v>0</v>
      </c>
      <c r="CL262">
        <v>0</v>
      </c>
      <c r="CM262">
        <v>0</v>
      </c>
      <c r="CN262">
        <v>0</v>
      </c>
      <c r="CO262">
        <v>0</v>
      </c>
      <c r="CP262">
        <v>0</v>
      </c>
      <c r="CQ262">
        <v>0</v>
      </c>
      <c r="CR262">
        <v>0</v>
      </c>
      <c r="CS262">
        <v>0</v>
      </c>
      <c r="CT262">
        <v>0</v>
      </c>
      <c r="CU262">
        <v>0</v>
      </c>
      <c r="CV262">
        <v>0</v>
      </c>
      <c r="CW262">
        <v>0</v>
      </c>
      <c r="CX262">
        <v>0</v>
      </c>
      <c r="CY262">
        <v>0</v>
      </c>
      <c r="CZ262">
        <v>0</v>
      </c>
      <c r="DA262">
        <v>0</v>
      </c>
      <c r="DB262">
        <v>0</v>
      </c>
      <c r="DC262">
        <v>0</v>
      </c>
      <c r="DD262">
        <v>0</v>
      </c>
      <c r="DE262">
        <v>0</v>
      </c>
      <c r="DF262">
        <v>0</v>
      </c>
      <c r="DG262">
        <v>0</v>
      </c>
      <c r="DH262">
        <v>0</v>
      </c>
      <c r="DI262">
        <v>0</v>
      </c>
      <c r="DJ262">
        <v>0</v>
      </c>
      <c r="DK262">
        <v>0</v>
      </c>
      <c r="DL262">
        <v>0</v>
      </c>
      <c r="DM262">
        <v>0</v>
      </c>
      <c r="DN262">
        <v>0</v>
      </c>
      <c r="DO262">
        <v>0</v>
      </c>
      <c r="DP262">
        <v>0</v>
      </c>
      <c r="DQ262">
        <v>0</v>
      </c>
      <c r="DR262">
        <v>0</v>
      </c>
      <c r="DS262">
        <v>0</v>
      </c>
      <c r="DT262">
        <v>0</v>
      </c>
      <c r="DU262">
        <v>0</v>
      </c>
      <c r="DV262">
        <v>0</v>
      </c>
      <c r="DW262">
        <v>0</v>
      </c>
      <c r="DX262">
        <v>0</v>
      </c>
      <c r="DY262">
        <v>0</v>
      </c>
      <c r="DZ262">
        <v>0</v>
      </c>
      <c r="EA262">
        <v>0</v>
      </c>
      <c r="EB262">
        <v>0</v>
      </c>
      <c r="EC262">
        <v>0</v>
      </c>
      <c r="ED262">
        <v>0</v>
      </c>
      <c r="EE262">
        <v>0</v>
      </c>
      <c r="EF262">
        <v>0</v>
      </c>
      <c r="EG262">
        <v>0</v>
      </c>
      <c r="EH262">
        <v>0</v>
      </c>
      <c r="EI262">
        <v>0</v>
      </c>
      <c r="EJ262">
        <v>0</v>
      </c>
      <c r="EK262">
        <v>0</v>
      </c>
      <c r="EL262">
        <v>0</v>
      </c>
      <c r="EM262">
        <v>0</v>
      </c>
      <c r="EN262">
        <v>0</v>
      </c>
      <c r="EO262">
        <v>0</v>
      </c>
      <c r="EP262">
        <v>0</v>
      </c>
      <c r="EQ262">
        <v>0</v>
      </c>
      <c r="ER262">
        <v>0</v>
      </c>
      <c r="ES262">
        <v>0</v>
      </c>
      <c r="ET262">
        <v>0</v>
      </c>
      <c r="EU262">
        <v>0</v>
      </c>
      <c r="EV262">
        <v>0</v>
      </c>
      <c r="EW262">
        <v>0</v>
      </c>
      <c r="EX262">
        <v>0</v>
      </c>
      <c r="EY262">
        <v>0</v>
      </c>
      <c r="EZ262">
        <v>0</v>
      </c>
      <c r="FA262">
        <v>0</v>
      </c>
      <c r="FB262">
        <v>0</v>
      </c>
      <c r="FC262">
        <v>0</v>
      </c>
      <c r="FD262">
        <v>0</v>
      </c>
      <c r="FE262">
        <v>0</v>
      </c>
      <c r="FF262">
        <v>0</v>
      </c>
      <c r="FG262">
        <v>0</v>
      </c>
      <c r="FH262">
        <v>0</v>
      </c>
      <c r="FI262">
        <v>0</v>
      </c>
      <c r="FJ262">
        <v>0</v>
      </c>
      <c r="FK262">
        <v>0</v>
      </c>
      <c r="FL262">
        <v>0</v>
      </c>
      <c r="FM262">
        <v>0</v>
      </c>
      <c r="FN262">
        <v>0</v>
      </c>
      <c r="FO262">
        <v>0</v>
      </c>
      <c r="FP262">
        <v>0</v>
      </c>
      <c r="FQ262">
        <v>0</v>
      </c>
      <c r="FR262">
        <v>0</v>
      </c>
      <c r="FS262">
        <v>0</v>
      </c>
      <c r="FT262">
        <v>0</v>
      </c>
      <c r="FU262">
        <v>0</v>
      </c>
      <c r="FV262">
        <v>0</v>
      </c>
      <c r="FW262">
        <v>0</v>
      </c>
      <c r="FX262">
        <v>0</v>
      </c>
      <c r="FY262">
        <v>0</v>
      </c>
      <c r="FZ262">
        <v>0</v>
      </c>
      <c r="GA262">
        <v>0</v>
      </c>
      <c r="GB262">
        <v>0</v>
      </c>
      <c r="GC262">
        <v>0</v>
      </c>
      <c r="GD262">
        <v>0</v>
      </c>
      <c r="GE262">
        <v>0</v>
      </c>
      <c r="GF262">
        <v>0</v>
      </c>
      <c r="GG262">
        <v>0</v>
      </c>
      <c r="GH262">
        <v>0</v>
      </c>
      <c r="GI262">
        <v>0</v>
      </c>
      <c r="GJ262">
        <v>0</v>
      </c>
      <c r="GK262">
        <v>0</v>
      </c>
      <c r="GL262">
        <v>0</v>
      </c>
      <c r="GM262">
        <v>0</v>
      </c>
      <c r="GN262">
        <v>0</v>
      </c>
      <c r="GO262">
        <v>0</v>
      </c>
      <c r="GP262">
        <v>0</v>
      </c>
      <c r="GQ262">
        <v>0</v>
      </c>
      <c r="GR262">
        <v>0</v>
      </c>
      <c r="GS262">
        <v>0</v>
      </c>
      <c r="GT262">
        <v>0</v>
      </c>
      <c r="GU262">
        <v>0</v>
      </c>
      <c r="GV262">
        <v>0</v>
      </c>
      <c r="GW262">
        <v>0</v>
      </c>
      <c r="GX262">
        <v>0</v>
      </c>
      <c r="GY262">
        <v>0</v>
      </c>
      <c r="GZ262">
        <v>0</v>
      </c>
      <c r="HA262">
        <v>0</v>
      </c>
      <c r="HB262">
        <v>0</v>
      </c>
      <c r="HC262">
        <v>0</v>
      </c>
      <c r="HD262">
        <v>0</v>
      </c>
      <c r="HE262">
        <v>0</v>
      </c>
      <c r="HF262">
        <v>0</v>
      </c>
      <c r="HG262">
        <v>0</v>
      </c>
      <c r="HH262">
        <v>0</v>
      </c>
      <c r="HI262">
        <v>0</v>
      </c>
      <c r="HJ262">
        <v>0</v>
      </c>
      <c r="HK262">
        <v>0</v>
      </c>
      <c r="HL262">
        <v>0</v>
      </c>
      <c r="HM262">
        <v>0</v>
      </c>
      <c r="HN262">
        <v>0</v>
      </c>
      <c r="HO262">
        <v>0</v>
      </c>
      <c r="HP262">
        <v>0</v>
      </c>
      <c r="HQ262">
        <v>0</v>
      </c>
      <c r="HR262">
        <v>0</v>
      </c>
      <c r="HS262">
        <v>0</v>
      </c>
      <c r="HT262">
        <v>0</v>
      </c>
      <c r="HU262">
        <v>0</v>
      </c>
      <c r="HV262">
        <v>0</v>
      </c>
      <c r="HW262">
        <v>0</v>
      </c>
      <c r="HX262">
        <v>0</v>
      </c>
      <c r="HY262">
        <v>0</v>
      </c>
      <c r="HZ262">
        <v>0</v>
      </c>
      <c r="IA262">
        <v>0</v>
      </c>
      <c r="IB262">
        <v>0</v>
      </c>
      <c r="IC262">
        <v>0</v>
      </c>
      <c r="ID262">
        <v>0</v>
      </c>
      <c r="IE262">
        <v>0</v>
      </c>
      <c r="IF262">
        <v>0</v>
      </c>
      <c r="IG262">
        <v>0</v>
      </c>
      <c r="IH262">
        <v>0</v>
      </c>
      <c r="II262">
        <v>0</v>
      </c>
      <c r="IJ262">
        <v>0</v>
      </c>
      <c r="IK262">
        <v>0</v>
      </c>
      <c r="IL262">
        <v>0</v>
      </c>
      <c r="IM262">
        <v>0</v>
      </c>
      <c r="IN262">
        <v>0</v>
      </c>
      <c r="IO262">
        <v>0</v>
      </c>
      <c r="IP262">
        <v>0</v>
      </c>
      <c r="IQ262">
        <v>0</v>
      </c>
      <c r="IR262">
        <v>0</v>
      </c>
      <c r="IS262">
        <v>0</v>
      </c>
      <c r="IT262">
        <v>0</v>
      </c>
      <c r="IU262">
        <v>0</v>
      </c>
      <c r="IV262">
        <v>0</v>
      </c>
      <c r="IW262">
        <v>0</v>
      </c>
      <c r="IX262">
        <v>0</v>
      </c>
      <c r="IY262">
        <v>0</v>
      </c>
      <c r="IZ262">
        <v>0</v>
      </c>
      <c r="JA262">
        <v>0</v>
      </c>
      <c r="JB262">
        <v>0</v>
      </c>
      <c r="JC262">
        <v>0</v>
      </c>
      <c r="JD262">
        <v>0</v>
      </c>
      <c r="JE262">
        <v>0</v>
      </c>
      <c r="JF262">
        <v>0</v>
      </c>
      <c r="JG262">
        <v>0</v>
      </c>
      <c r="JH262">
        <v>0</v>
      </c>
      <c r="JI262">
        <v>0</v>
      </c>
      <c r="JJ262">
        <v>0</v>
      </c>
      <c r="JK262">
        <v>0</v>
      </c>
      <c r="JL262">
        <v>0</v>
      </c>
      <c r="JM262">
        <v>0</v>
      </c>
      <c r="JN262">
        <v>0</v>
      </c>
      <c r="JO262">
        <v>0</v>
      </c>
      <c r="JP262">
        <v>0</v>
      </c>
      <c r="JQ262">
        <v>0</v>
      </c>
      <c r="JR262">
        <v>0</v>
      </c>
      <c r="JS262">
        <v>0</v>
      </c>
      <c r="JT262">
        <v>0</v>
      </c>
      <c r="JU262">
        <v>0</v>
      </c>
      <c r="JV262">
        <v>0</v>
      </c>
      <c r="JW262">
        <v>0</v>
      </c>
      <c r="JX262">
        <v>0</v>
      </c>
      <c r="JY262">
        <v>0</v>
      </c>
      <c r="JZ262">
        <v>0</v>
      </c>
      <c r="KA262">
        <v>0</v>
      </c>
      <c r="KB262">
        <v>0</v>
      </c>
      <c r="KC262">
        <v>0</v>
      </c>
      <c r="KD262">
        <v>0</v>
      </c>
      <c r="KE262">
        <v>0</v>
      </c>
      <c r="KF262">
        <v>0</v>
      </c>
      <c r="KG262">
        <v>0</v>
      </c>
      <c r="KH262">
        <v>0</v>
      </c>
      <c r="KI262">
        <v>0</v>
      </c>
      <c r="KJ262">
        <v>0</v>
      </c>
      <c r="KK262">
        <v>0</v>
      </c>
      <c r="KL262">
        <v>0</v>
      </c>
      <c r="KM262">
        <v>0</v>
      </c>
      <c r="KN262">
        <v>0</v>
      </c>
      <c r="KO262">
        <v>0</v>
      </c>
      <c r="KP262">
        <v>0</v>
      </c>
      <c r="KQ262">
        <v>0</v>
      </c>
      <c r="KR262">
        <v>0</v>
      </c>
      <c r="KS262">
        <v>0</v>
      </c>
      <c r="KT262">
        <v>0</v>
      </c>
      <c r="KU262">
        <v>0</v>
      </c>
      <c r="KV262">
        <v>0</v>
      </c>
      <c r="KW262">
        <v>0</v>
      </c>
      <c r="KX262">
        <v>0</v>
      </c>
      <c r="KY262">
        <v>0</v>
      </c>
      <c r="KZ262">
        <v>0</v>
      </c>
      <c r="LA262">
        <v>0</v>
      </c>
      <c r="LB262">
        <v>0</v>
      </c>
      <c r="LC262">
        <v>0</v>
      </c>
      <c r="LD262">
        <v>0</v>
      </c>
      <c r="LE262">
        <v>0</v>
      </c>
      <c r="LF262">
        <v>0</v>
      </c>
      <c r="LG262">
        <v>0</v>
      </c>
      <c r="LH262">
        <v>0</v>
      </c>
      <c r="LI262">
        <v>0</v>
      </c>
      <c r="LJ262">
        <v>0</v>
      </c>
      <c r="LK262">
        <v>0</v>
      </c>
      <c r="LL262">
        <v>0</v>
      </c>
      <c r="LM262">
        <v>0</v>
      </c>
      <c r="LN262">
        <v>0</v>
      </c>
      <c r="LO262">
        <v>0</v>
      </c>
      <c r="LP262">
        <v>0</v>
      </c>
      <c r="LQ262">
        <v>0</v>
      </c>
      <c r="LR262">
        <v>0</v>
      </c>
      <c r="LS262">
        <v>0</v>
      </c>
      <c r="LT262">
        <v>0</v>
      </c>
      <c r="LU262">
        <v>0</v>
      </c>
      <c r="LV262">
        <v>0</v>
      </c>
      <c r="LW262">
        <v>0</v>
      </c>
      <c r="LX262">
        <v>0</v>
      </c>
      <c r="LY262">
        <v>0</v>
      </c>
      <c r="LZ262">
        <v>0</v>
      </c>
      <c r="MA262">
        <v>0</v>
      </c>
      <c r="MB262">
        <v>0</v>
      </c>
      <c r="MC262">
        <v>0</v>
      </c>
      <c r="MD262">
        <v>0</v>
      </c>
      <c r="ME262">
        <v>0</v>
      </c>
      <c r="MF262">
        <v>0</v>
      </c>
      <c r="MG262">
        <v>0</v>
      </c>
      <c r="MH262">
        <v>0</v>
      </c>
      <c r="MI262">
        <v>0</v>
      </c>
      <c r="MJ262">
        <v>0</v>
      </c>
      <c r="MK262">
        <v>0</v>
      </c>
      <c r="ML262">
        <v>0</v>
      </c>
      <c r="MM262">
        <v>0</v>
      </c>
      <c r="MN262">
        <v>0</v>
      </c>
      <c r="MO262">
        <v>0</v>
      </c>
      <c r="MP262">
        <v>0</v>
      </c>
      <c r="MQ262">
        <v>0</v>
      </c>
      <c r="MR262">
        <v>0</v>
      </c>
      <c r="MS262">
        <v>0</v>
      </c>
      <c r="MT262">
        <v>0</v>
      </c>
      <c r="MU262">
        <v>0</v>
      </c>
      <c r="MV262">
        <v>0</v>
      </c>
      <c r="MW262">
        <v>0</v>
      </c>
      <c r="MX262">
        <v>0</v>
      </c>
      <c r="MY262">
        <v>0</v>
      </c>
      <c r="MZ262">
        <v>0</v>
      </c>
      <c r="NA262">
        <v>0</v>
      </c>
      <c r="NB262">
        <v>0</v>
      </c>
      <c r="NC262">
        <v>0</v>
      </c>
      <c r="ND262">
        <v>0</v>
      </c>
      <c r="NE262">
        <v>0</v>
      </c>
    </row>
    <row r="263" spans="41:369" x14ac:dyDescent="0.45">
      <c r="AO263" t="str">
        <v>D139</v>
      </c>
      <c r="AP263" t="str">
        <v>AHAMMED MUBARAK KA</v>
      </c>
      <c r="AQ263" t="str">
        <v>JARF</v>
      </c>
      <c r="AR263" t="str">
        <v>SUPER SENIOR</v>
      </c>
      <c r="AS263">
        <v>9</v>
      </c>
      <c r="AT263">
        <v>0</v>
      </c>
      <c r="AU263">
        <v>0</v>
      </c>
      <c r="AV263">
        <v>0</v>
      </c>
      <c r="AW263">
        <v>0</v>
      </c>
      <c r="AX263">
        <v>255</v>
      </c>
      <c r="AY263" s="5">
        <v>255</v>
      </c>
      <c r="AZ263">
        <v>0</v>
      </c>
      <c r="BA263">
        <v>0</v>
      </c>
      <c r="BB263">
        <v>0</v>
      </c>
      <c r="BC263">
        <v>0</v>
      </c>
      <c r="BD263">
        <v>0</v>
      </c>
      <c r="BE263">
        <v>0</v>
      </c>
      <c r="BF263">
        <v>0</v>
      </c>
      <c r="BG263">
        <v>0</v>
      </c>
      <c r="BH263">
        <v>0</v>
      </c>
      <c r="BI263" t="str">
        <v/>
      </c>
      <c r="BK263">
        <v>257</v>
      </c>
      <c r="BL263">
        <v>0</v>
      </c>
      <c r="BM263">
        <v>0</v>
      </c>
      <c r="BN263">
        <v>0</v>
      </c>
      <c r="BO263">
        <v>0</v>
      </c>
      <c r="BP263">
        <v>0</v>
      </c>
      <c r="BQ263">
        <v>0</v>
      </c>
      <c r="BR263">
        <v>0</v>
      </c>
      <c r="BS263">
        <v>0</v>
      </c>
      <c r="BT263">
        <v>0</v>
      </c>
      <c r="BU263">
        <v>0</v>
      </c>
      <c r="BV263">
        <v>0</v>
      </c>
      <c r="BW263">
        <v>0</v>
      </c>
      <c r="BX263">
        <v>0</v>
      </c>
      <c r="BY263">
        <v>0</v>
      </c>
      <c r="BZ263">
        <v>0</v>
      </c>
      <c r="CA263">
        <v>0</v>
      </c>
      <c r="CB263">
        <v>0</v>
      </c>
      <c r="CC263">
        <v>0</v>
      </c>
      <c r="CD263">
        <v>0</v>
      </c>
      <c r="CE263">
        <v>0</v>
      </c>
      <c r="CF263">
        <v>0</v>
      </c>
      <c r="CG263">
        <v>0</v>
      </c>
      <c r="CH263">
        <v>0</v>
      </c>
      <c r="CI263">
        <v>0</v>
      </c>
      <c r="CJ263">
        <v>0</v>
      </c>
      <c r="CK263">
        <v>0</v>
      </c>
      <c r="CL263">
        <v>0</v>
      </c>
      <c r="CM263">
        <v>0</v>
      </c>
      <c r="CN263">
        <v>0</v>
      </c>
      <c r="CO263">
        <v>0</v>
      </c>
      <c r="CP263">
        <v>0</v>
      </c>
      <c r="CQ263">
        <v>0</v>
      </c>
      <c r="CR263">
        <v>0</v>
      </c>
      <c r="CS263">
        <v>0</v>
      </c>
      <c r="CT263">
        <v>0</v>
      </c>
      <c r="CU263">
        <v>0</v>
      </c>
      <c r="CV263">
        <v>0</v>
      </c>
      <c r="CW263">
        <v>0</v>
      </c>
      <c r="CX263">
        <v>0</v>
      </c>
      <c r="CY263">
        <v>0</v>
      </c>
      <c r="CZ263">
        <v>0</v>
      </c>
      <c r="DA263">
        <v>0</v>
      </c>
      <c r="DB263">
        <v>0</v>
      </c>
      <c r="DC263">
        <v>0</v>
      </c>
      <c r="DD263">
        <v>0</v>
      </c>
      <c r="DE263">
        <v>0</v>
      </c>
      <c r="DF263">
        <v>0</v>
      </c>
      <c r="DG263">
        <v>0</v>
      </c>
      <c r="DH263">
        <v>0</v>
      </c>
      <c r="DI263">
        <v>0</v>
      </c>
      <c r="DJ263">
        <v>0</v>
      </c>
      <c r="DK263">
        <v>0</v>
      </c>
      <c r="DL263">
        <v>0</v>
      </c>
      <c r="DM263">
        <v>0</v>
      </c>
      <c r="DN263">
        <v>0</v>
      </c>
      <c r="DO263">
        <v>0</v>
      </c>
      <c r="DP263">
        <v>0</v>
      </c>
      <c r="DQ263">
        <v>0</v>
      </c>
      <c r="DR263">
        <v>0</v>
      </c>
      <c r="DS263">
        <v>0</v>
      </c>
      <c r="DT263">
        <v>0</v>
      </c>
      <c r="DU263">
        <v>0</v>
      </c>
      <c r="DV263">
        <v>0</v>
      </c>
      <c r="DW263">
        <v>0</v>
      </c>
      <c r="DX263">
        <v>0</v>
      </c>
      <c r="DY263">
        <v>0</v>
      </c>
      <c r="DZ263">
        <v>0</v>
      </c>
      <c r="EA263">
        <v>0</v>
      </c>
      <c r="EB263">
        <v>0</v>
      </c>
      <c r="EC263">
        <v>0</v>
      </c>
      <c r="ED263">
        <v>0</v>
      </c>
      <c r="EE263">
        <v>0</v>
      </c>
      <c r="EF263">
        <v>0</v>
      </c>
      <c r="EG263">
        <v>0</v>
      </c>
      <c r="EH263">
        <v>0</v>
      </c>
      <c r="EI263">
        <v>0</v>
      </c>
      <c r="EJ263">
        <v>0</v>
      </c>
      <c r="EK263">
        <v>0</v>
      </c>
      <c r="EL263">
        <v>0</v>
      </c>
      <c r="EM263">
        <v>0</v>
      </c>
      <c r="EN263">
        <v>0</v>
      </c>
      <c r="EO263">
        <v>0</v>
      </c>
      <c r="EP263">
        <v>0</v>
      </c>
      <c r="EQ263">
        <v>0</v>
      </c>
      <c r="ER263">
        <v>0</v>
      </c>
      <c r="ES263">
        <v>0</v>
      </c>
      <c r="ET263">
        <v>0</v>
      </c>
      <c r="EU263">
        <v>0</v>
      </c>
      <c r="EV263">
        <v>0</v>
      </c>
      <c r="EW263">
        <v>0</v>
      </c>
      <c r="EX263">
        <v>0</v>
      </c>
      <c r="EY263">
        <v>0</v>
      </c>
      <c r="EZ263">
        <v>0</v>
      </c>
      <c r="FA263">
        <v>0</v>
      </c>
      <c r="FB263">
        <v>0</v>
      </c>
      <c r="FC263">
        <v>0</v>
      </c>
      <c r="FD263">
        <v>0</v>
      </c>
      <c r="FE263">
        <v>0</v>
      </c>
      <c r="FF263">
        <v>0</v>
      </c>
      <c r="FG263">
        <v>0</v>
      </c>
      <c r="FH263">
        <v>0</v>
      </c>
      <c r="FI263">
        <v>0</v>
      </c>
      <c r="FJ263">
        <v>0</v>
      </c>
      <c r="FK263">
        <v>0</v>
      </c>
      <c r="FL263">
        <v>0</v>
      </c>
      <c r="FM263">
        <v>0</v>
      </c>
      <c r="FN263">
        <v>0</v>
      </c>
      <c r="FO263">
        <v>0</v>
      </c>
      <c r="FP263">
        <v>0</v>
      </c>
      <c r="FQ263">
        <v>0</v>
      </c>
      <c r="FR263">
        <v>0</v>
      </c>
      <c r="FS263">
        <v>0</v>
      </c>
      <c r="FT263">
        <v>0</v>
      </c>
      <c r="FU263">
        <v>0</v>
      </c>
      <c r="FV263">
        <v>0</v>
      </c>
      <c r="FW263">
        <v>0</v>
      </c>
      <c r="FX263">
        <v>0</v>
      </c>
      <c r="FY263">
        <v>0</v>
      </c>
      <c r="FZ263">
        <v>0</v>
      </c>
      <c r="GA263">
        <v>0</v>
      </c>
      <c r="GB263">
        <v>0</v>
      </c>
      <c r="GC263">
        <v>0</v>
      </c>
      <c r="GD263">
        <v>0</v>
      </c>
      <c r="GE263">
        <v>0</v>
      </c>
      <c r="GF263">
        <v>0</v>
      </c>
      <c r="GG263">
        <v>0</v>
      </c>
      <c r="GH263">
        <v>0</v>
      </c>
      <c r="GI263">
        <v>0</v>
      </c>
      <c r="GJ263">
        <v>0</v>
      </c>
      <c r="GK263">
        <v>0</v>
      </c>
      <c r="GL263">
        <v>0</v>
      </c>
      <c r="GM263">
        <v>0</v>
      </c>
      <c r="GN263">
        <v>0</v>
      </c>
      <c r="GO263">
        <v>0</v>
      </c>
      <c r="GP263">
        <v>0</v>
      </c>
      <c r="GQ263">
        <v>0</v>
      </c>
      <c r="GR263">
        <v>0</v>
      </c>
      <c r="GS263">
        <v>0</v>
      </c>
      <c r="GT263">
        <v>0</v>
      </c>
      <c r="GU263">
        <v>0</v>
      </c>
      <c r="GV263">
        <v>0</v>
      </c>
      <c r="GW263">
        <v>0</v>
      </c>
      <c r="GX263">
        <v>0</v>
      </c>
      <c r="GY263">
        <v>0</v>
      </c>
      <c r="GZ263">
        <v>0</v>
      </c>
      <c r="HA263">
        <v>0</v>
      </c>
      <c r="HB263">
        <v>0</v>
      </c>
      <c r="HC263">
        <v>0</v>
      </c>
      <c r="HD263">
        <v>0</v>
      </c>
      <c r="HE263">
        <v>0</v>
      </c>
      <c r="HF263">
        <v>0</v>
      </c>
      <c r="HG263">
        <v>0</v>
      </c>
      <c r="HH263">
        <v>0</v>
      </c>
      <c r="HI263">
        <v>0</v>
      </c>
      <c r="HJ263">
        <v>0</v>
      </c>
      <c r="HK263">
        <v>0</v>
      </c>
      <c r="HL263">
        <v>0</v>
      </c>
      <c r="HM263">
        <v>0</v>
      </c>
      <c r="HN263">
        <v>0</v>
      </c>
      <c r="HO263">
        <v>0</v>
      </c>
      <c r="HP263">
        <v>0</v>
      </c>
      <c r="HQ263">
        <v>0</v>
      </c>
      <c r="HR263">
        <v>0</v>
      </c>
      <c r="HS263">
        <v>0</v>
      </c>
      <c r="HT263">
        <v>0</v>
      </c>
      <c r="HU263">
        <v>0</v>
      </c>
      <c r="HV263">
        <v>0</v>
      </c>
      <c r="HW263">
        <v>0</v>
      </c>
      <c r="HX263">
        <v>0</v>
      </c>
      <c r="HY263">
        <v>0</v>
      </c>
      <c r="HZ263">
        <v>0</v>
      </c>
      <c r="IA263">
        <v>0</v>
      </c>
      <c r="IB263">
        <v>0</v>
      </c>
      <c r="IC263">
        <v>0</v>
      </c>
      <c r="ID263">
        <v>0</v>
      </c>
      <c r="IE263">
        <v>0</v>
      </c>
      <c r="IF263">
        <v>0</v>
      </c>
      <c r="IG263">
        <v>0</v>
      </c>
      <c r="IH263">
        <v>0</v>
      </c>
      <c r="II263">
        <v>0</v>
      </c>
      <c r="IJ263">
        <v>0</v>
      </c>
      <c r="IK263">
        <v>0</v>
      </c>
      <c r="IL263">
        <v>0</v>
      </c>
      <c r="IM263">
        <v>0</v>
      </c>
      <c r="IN263">
        <v>0</v>
      </c>
      <c r="IO263">
        <v>0</v>
      </c>
      <c r="IP263">
        <v>0</v>
      </c>
      <c r="IQ263">
        <v>0</v>
      </c>
      <c r="IR263">
        <v>0</v>
      </c>
      <c r="IS263">
        <v>0</v>
      </c>
      <c r="IT263">
        <v>0</v>
      </c>
      <c r="IU263">
        <v>0</v>
      </c>
      <c r="IV263">
        <v>0</v>
      </c>
      <c r="IW263">
        <v>0</v>
      </c>
      <c r="IX263">
        <v>0</v>
      </c>
      <c r="IY263">
        <v>0</v>
      </c>
      <c r="IZ263">
        <v>0</v>
      </c>
      <c r="JA263">
        <v>0</v>
      </c>
      <c r="JB263">
        <v>0</v>
      </c>
      <c r="JC263">
        <v>0</v>
      </c>
      <c r="JD263">
        <v>0</v>
      </c>
      <c r="JE263">
        <v>0</v>
      </c>
      <c r="JF263">
        <v>0</v>
      </c>
      <c r="JG263">
        <v>0</v>
      </c>
      <c r="JH263">
        <v>0</v>
      </c>
      <c r="JI263">
        <v>0</v>
      </c>
      <c r="JJ263">
        <v>0</v>
      </c>
      <c r="JK263">
        <v>0</v>
      </c>
      <c r="JL263">
        <v>0</v>
      </c>
      <c r="JM263">
        <v>0</v>
      </c>
      <c r="JN263">
        <v>0</v>
      </c>
      <c r="JO263">
        <v>0</v>
      </c>
      <c r="JP263">
        <v>0</v>
      </c>
      <c r="JQ263">
        <v>0</v>
      </c>
      <c r="JR263">
        <v>0</v>
      </c>
      <c r="JS263">
        <v>0</v>
      </c>
      <c r="JT263">
        <v>0</v>
      </c>
      <c r="JU263">
        <v>0</v>
      </c>
      <c r="JV263">
        <v>0</v>
      </c>
      <c r="JW263">
        <v>0</v>
      </c>
      <c r="JX263">
        <v>0</v>
      </c>
      <c r="JY263">
        <v>0</v>
      </c>
      <c r="JZ263">
        <v>0</v>
      </c>
      <c r="KA263">
        <v>0</v>
      </c>
      <c r="KB263">
        <v>0</v>
      </c>
      <c r="KC263">
        <v>0</v>
      </c>
      <c r="KD263">
        <v>0</v>
      </c>
      <c r="KE263">
        <v>0</v>
      </c>
      <c r="KF263">
        <v>0</v>
      </c>
      <c r="KG263">
        <v>0</v>
      </c>
      <c r="KH263">
        <v>0</v>
      </c>
      <c r="KI263">
        <v>0</v>
      </c>
      <c r="KJ263">
        <v>0</v>
      </c>
      <c r="KK263">
        <v>0</v>
      </c>
      <c r="KL263">
        <v>0</v>
      </c>
      <c r="KM263">
        <v>0</v>
      </c>
      <c r="KN263">
        <v>0</v>
      </c>
      <c r="KO263">
        <v>0</v>
      </c>
      <c r="KP263">
        <v>0</v>
      </c>
      <c r="KQ263">
        <v>0</v>
      </c>
      <c r="KR263">
        <v>0</v>
      </c>
      <c r="KS263">
        <v>0</v>
      </c>
      <c r="KT263">
        <v>0</v>
      </c>
      <c r="KU263">
        <v>0</v>
      </c>
      <c r="KV263">
        <v>0</v>
      </c>
      <c r="KW263">
        <v>0</v>
      </c>
      <c r="KX263">
        <v>0</v>
      </c>
      <c r="KY263">
        <v>0</v>
      </c>
      <c r="KZ263">
        <v>0</v>
      </c>
      <c r="LA263">
        <v>0</v>
      </c>
      <c r="LB263">
        <v>0</v>
      </c>
      <c r="LC263">
        <v>0</v>
      </c>
      <c r="LD263">
        <v>0</v>
      </c>
      <c r="LE263">
        <v>0</v>
      </c>
      <c r="LF263">
        <v>0</v>
      </c>
      <c r="LG263">
        <v>0</v>
      </c>
      <c r="LH263">
        <v>0</v>
      </c>
      <c r="LI263">
        <v>0</v>
      </c>
      <c r="LJ263">
        <v>0</v>
      </c>
      <c r="LK263">
        <v>0</v>
      </c>
      <c r="LL263">
        <v>0</v>
      </c>
      <c r="LM263">
        <v>0</v>
      </c>
      <c r="LN263">
        <v>0</v>
      </c>
      <c r="LO263">
        <v>0</v>
      </c>
      <c r="LP263">
        <v>0</v>
      </c>
      <c r="LQ263">
        <v>0</v>
      </c>
      <c r="LR263">
        <v>0</v>
      </c>
      <c r="LS263">
        <v>0</v>
      </c>
      <c r="LT263">
        <v>0</v>
      </c>
      <c r="LU263">
        <v>0</v>
      </c>
      <c r="LV263">
        <v>0</v>
      </c>
      <c r="LW263">
        <v>0</v>
      </c>
      <c r="LX263">
        <v>0</v>
      </c>
      <c r="LY263">
        <v>0</v>
      </c>
      <c r="LZ263">
        <v>0</v>
      </c>
      <c r="MA263">
        <v>0</v>
      </c>
      <c r="MB263">
        <v>0</v>
      </c>
      <c r="MC263">
        <v>0</v>
      </c>
      <c r="MD263">
        <v>0</v>
      </c>
      <c r="ME263">
        <v>0</v>
      </c>
      <c r="MF263">
        <v>0</v>
      </c>
      <c r="MG263">
        <v>0</v>
      </c>
      <c r="MH263">
        <v>0</v>
      </c>
      <c r="MI263">
        <v>0</v>
      </c>
      <c r="MJ263">
        <v>0</v>
      </c>
      <c r="MK263">
        <v>0</v>
      </c>
      <c r="ML263">
        <v>0</v>
      </c>
      <c r="MM263">
        <v>0</v>
      </c>
      <c r="MN263">
        <v>0</v>
      </c>
      <c r="MO263">
        <v>0</v>
      </c>
      <c r="MP263">
        <v>0</v>
      </c>
      <c r="MQ263">
        <v>0</v>
      </c>
      <c r="MR263">
        <v>0</v>
      </c>
      <c r="MS263">
        <v>0</v>
      </c>
      <c r="MT263">
        <v>0</v>
      </c>
      <c r="MU263">
        <v>0</v>
      </c>
      <c r="MV263">
        <v>0</v>
      </c>
      <c r="MW263">
        <v>0</v>
      </c>
      <c r="MX263">
        <v>0</v>
      </c>
      <c r="MY263">
        <v>0</v>
      </c>
      <c r="MZ263">
        <v>0</v>
      </c>
      <c r="NA263">
        <v>0</v>
      </c>
      <c r="NB263">
        <v>0</v>
      </c>
      <c r="NC263">
        <v>0</v>
      </c>
      <c r="ND263">
        <v>0</v>
      </c>
      <c r="NE263">
        <v>0</v>
      </c>
    </row>
    <row r="264" spans="41:369" x14ac:dyDescent="0.45">
      <c r="AO264" t="str">
        <v>D140</v>
      </c>
      <c r="AP264" t="str">
        <v>MUHAMMED FAISAL A K</v>
      </c>
      <c r="AQ264" t="str">
        <v>DAHF</v>
      </c>
      <c r="AR264" t="str">
        <v>SUPER SENIOR</v>
      </c>
      <c r="AS264">
        <v>9</v>
      </c>
      <c r="AT264">
        <v>75</v>
      </c>
      <c r="AU264">
        <v>0</v>
      </c>
      <c r="AV264">
        <v>75</v>
      </c>
      <c r="AW264">
        <v>75</v>
      </c>
      <c r="AX264">
        <v>1</v>
      </c>
      <c r="AY264" s="5">
        <v>1</v>
      </c>
      <c r="AZ264">
        <v>0</v>
      </c>
      <c r="BA264">
        <v>0</v>
      </c>
      <c r="BB264">
        <v>0</v>
      </c>
      <c r="BC264">
        <v>0</v>
      </c>
      <c r="BD264">
        <v>0</v>
      </c>
      <c r="BE264">
        <v>0</v>
      </c>
      <c r="BF264">
        <v>0</v>
      </c>
      <c r="BG264">
        <v>0</v>
      </c>
      <c r="BH264">
        <v>0</v>
      </c>
      <c r="BI264" t="str">
        <v/>
      </c>
      <c r="BK264">
        <v>258</v>
      </c>
      <c r="BL264">
        <v>0</v>
      </c>
      <c r="BM264">
        <v>0</v>
      </c>
      <c r="BN264">
        <v>0</v>
      </c>
      <c r="BO264">
        <v>0</v>
      </c>
      <c r="BP264">
        <v>0</v>
      </c>
      <c r="BQ264">
        <v>0</v>
      </c>
      <c r="BR264">
        <v>0</v>
      </c>
      <c r="BS264">
        <v>0</v>
      </c>
      <c r="BT264">
        <v>0</v>
      </c>
      <c r="BU264">
        <v>0</v>
      </c>
      <c r="BV264">
        <v>0</v>
      </c>
      <c r="BW264">
        <v>0</v>
      </c>
      <c r="BX264">
        <v>0</v>
      </c>
      <c r="BY264">
        <v>0</v>
      </c>
      <c r="BZ264">
        <v>0</v>
      </c>
      <c r="CA264">
        <v>0</v>
      </c>
      <c r="CB264">
        <v>0</v>
      </c>
      <c r="CC264">
        <v>0</v>
      </c>
      <c r="CD264">
        <v>0</v>
      </c>
      <c r="CE264">
        <v>0</v>
      </c>
      <c r="CF264">
        <v>0</v>
      </c>
      <c r="CG264">
        <v>0</v>
      </c>
      <c r="CH264">
        <v>0</v>
      </c>
      <c r="CI264">
        <v>0</v>
      </c>
      <c r="CJ264">
        <v>0</v>
      </c>
      <c r="CK264">
        <v>0</v>
      </c>
      <c r="CL264">
        <v>0</v>
      </c>
      <c r="CM264">
        <v>0</v>
      </c>
      <c r="CN264">
        <v>0</v>
      </c>
      <c r="CO264">
        <v>0</v>
      </c>
      <c r="CP264">
        <v>0</v>
      </c>
      <c r="CQ264">
        <v>0</v>
      </c>
      <c r="CR264">
        <v>0</v>
      </c>
      <c r="CS264">
        <v>0</v>
      </c>
      <c r="CT264">
        <v>0</v>
      </c>
      <c r="CU264">
        <v>0</v>
      </c>
      <c r="CV264">
        <v>0</v>
      </c>
      <c r="CW264">
        <v>0</v>
      </c>
      <c r="CX264">
        <v>0</v>
      </c>
      <c r="CY264">
        <v>0</v>
      </c>
      <c r="CZ264">
        <v>0</v>
      </c>
      <c r="DA264">
        <v>0</v>
      </c>
      <c r="DB264">
        <v>0</v>
      </c>
      <c r="DC264">
        <v>0</v>
      </c>
      <c r="DD264">
        <v>0</v>
      </c>
      <c r="DE264">
        <v>0</v>
      </c>
      <c r="DF264">
        <v>0</v>
      </c>
      <c r="DG264">
        <v>0</v>
      </c>
      <c r="DH264">
        <v>0</v>
      </c>
      <c r="DI264">
        <v>0</v>
      </c>
      <c r="DJ264">
        <v>0</v>
      </c>
      <c r="DK264">
        <v>0</v>
      </c>
      <c r="DL264">
        <v>0</v>
      </c>
      <c r="DM264">
        <v>0</v>
      </c>
      <c r="DN264">
        <v>0</v>
      </c>
      <c r="DO264">
        <v>0</v>
      </c>
      <c r="DP264">
        <v>0</v>
      </c>
      <c r="DQ264">
        <v>0</v>
      </c>
      <c r="DR264">
        <v>0</v>
      </c>
      <c r="DS264">
        <v>0</v>
      </c>
      <c r="DT264">
        <v>0</v>
      </c>
      <c r="DU264">
        <v>0</v>
      </c>
      <c r="DV264">
        <v>0</v>
      </c>
      <c r="DW264">
        <v>0</v>
      </c>
      <c r="DX264">
        <v>0</v>
      </c>
      <c r="DY264">
        <v>0</v>
      </c>
      <c r="DZ264">
        <v>0</v>
      </c>
      <c r="EA264">
        <v>0</v>
      </c>
      <c r="EB264">
        <v>0</v>
      </c>
      <c r="EC264">
        <v>0</v>
      </c>
      <c r="ED264">
        <v>0</v>
      </c>
      <c r="EE264">
        <v>0</v>
      </c>
      <c r="EF264">
        <v>0</v>
      </c>
      <c r="EG264">
        <v>0</v>
      </c>
      <c r="EH264">
        <v>0</v>
      </c>
      <c r="EI264">
        <v>0</v>
      </c>
      <c r="EJ264">
        <v>0</v>
      </c>
      <c r="EK264">
        <v>0</v>
      </c>
      <c r="EL264">
        <v>0</v>
      </c>
      <c r="EM264">
        <v>0</v>
      </c>
      <c r="EN264">
        <v>0</v>
      </c>
      <c r="EO264">
        <v>0</v>
      </c>
      <c r="EP264">
        <v>0</v>
      </c>
      <c r="EQ264">
        <v>0</v>
      </c>
      <c r="ER264">
        <v>0</v>
      </c>
      <c r="ES264">
        <v>0</v>
      </c>
      <c r="ET264">
        <v>0</v>
      </c>
      <c r="EU264">
        <v>0</v>
      </c>
      <c r="EV264">
        <v>0</v>
      </c>
      <c r="EW264">
        <v>0</v>
      </c>
      <c r="EX264">
        <v>0</v>
      </c>
      <c r="EY264">
        <v>0</v>
      </c>
      <c r="EZ264">
        <v>0</v>
      </c>
      <c r="FA264">
        <v>0</v>
      </c>
      <c r="FB264">
        <v>0</v>
      </c>
      <c r="FC264">
        <v>0</v>
      </c>
      <c r="FD264">
        <v>0</v>
      </c>
      <c r="FE264">
        <v>0</v>
      </c>
      <c r="FF264">
        <v>0</v>
      </c>
      <c r="FG264">
        <v>0</v>
      </c>
      <c r="FH264">
        <v>0</v>
      </c>
      <c r="FI264">
        <v>0</v>
      </c>
      <c r="FJ264">
        <v>0</v>
      </c>
      <c r="FK264">
        <v>0</v>
      </c>
      <c r="FL264">
        <v>0</v>
      </c>
      <c r="FM264">
        <v>0</v>
      </c>
      <c r="FN264">
        <v>0</v>
      </c>
      <c r="FO264">
        <v>0</v>
      </c>
      <c r="FP264">
        <v>0</v>
      </c>
      <c r="FQ264">
        <v>0</v>
      </c>
      <c r="FR264">
        <v>0</v>
      </c>
      <c r="FS264">
        <v>0</v>
      </c>
      <c r="FT264">
        <v>0</v>
      </c>
      <c r="FU264">
        <v>0</v>
      </c>
      <c r="FV264">
        <v>0</v>
      </c>
      <c r="FW264">
        <v>0</v>
      </c>
      <c r="FX264">
        <v>0</v>
      </c>
      <c r="FY264">
        <v>0</v>
      </c>
      <c r="FZ264">
        <v>0</v>
      </c>
      <c r="GA264">
        <v>0</v>
      </c>
      <c r="GB264">
        <v>0</v>
      </c>
      <c r="GC264">
        <v>0</v>
      </c>
      <c r="GD264">
        <v>0</v>
      </c>
      <c r="GE264">
        <v>0</v>
      </c>
      <c r="GF264">
        <v>0</v>
      </c>
      <c r="GG264">
        <v>0</v>
      </c>
      <c r="GH264">
        <v>0</v>
      </c>
      <c r="GI264">
        <v>0</v>
      </c>
      <c r="GJ264">
        <v>0</v>
      </c>
      <c r="GK264">
        <v>0</v>
      </c>
      <c r="GL264">
        <v>0</v>
      </c>
      <c r="GM264">
        <v>0</v>
      </c>
      <c r="GN264">
        <v>0</v>
      </c>
      <c r="GO264">
        <v>0</v>
      </c>
      <c r="GP264">
        <v>0</v>
      </c>
      <c r="GQ264">
        <v>0</v>
      </c>
      <c r="GR264">
        <v>0</v>
      </c>
      <c r="GS264">
        <v>0</v>
      </c>
      <c r="GT264">
        <v>0</v>
      </c>
      <c r="GU264">
        <v>0</v>
      </c>
      <c r="GV264">
        <v>0</v>
      </c>
      <c r="GW264">
        <v>0</v>
      </c>
      <c r="GX264">
        <v>0</v>
      </c>
      <c r="GY264">
        <v>0</v>
      </c>
      <c r="GZ264">
        <v>0</v>
      </c>
      <c r="HA264">
        <v>0</v>
      </c>
      <c r="HB264">
        <v>0</v>
      </c>
      <c r="HC264">
        <v>0</v>
      </c>
      <c r="HD264">
        <v>0</v>
      </c>
      <c r="HE264">
        <v>0</v>
      </c>
      <c r="HF264">
        <v>0</v>
      </c>
      <c r="HG264">
        <v>0</v>
      </c>
      <c r="HH264">
        <v>0</v>
      </c>
      <c r="HI264">
        <v>0</v>
      </c>
      <c r="HJ264">
        <v>0</v>
      </c>
      <c r="HK264">
        <v>0</v>
      </c>
      <c r="HL264">
        <v>0</v>
      </c>
      <c r="HM264">
        <v>0</v>
      </c>
      <c r="HN264">
        <v>0</v>
      </c>
      <c r="HO264">
        <v>0</v>
      </c>
      <c r="HP264">
        <v>0</v>
      </c>
      <c r="HQ264">
        <v>0</v>
      </c>
      <c r="HR264">
        <v>0</v>
      </c>
      <c r="HS264">
        <v>0</v>
      </c>
      <c r="HT264">
        <v>0</v>
      </c>
      <c r="HU264">
        <v>0</v>
      </c>
      <c r="HV264">
        <v>0</v>
      </c>
      <c r="HW264">
        <v>0</v>
      </c>
      <c r="HX264">
        <v>0</v>
      </c>
      <c r="HY264">
        <v>0</v>
      </c>
      <c r="HZ264">
        <v>0</v>
      </c>
      <c r="IA264">
        <v>0</v>
      </c>
      <c r="IB264">
        <v>0</v>
      </c>
      <c r="IC264">
        <v>0</v>
      </c>
      <c r="ID264">
        <v>0</v>
      </c>
      <c r="IE264">
        <v>0</v>
      </c>
      <c r="IF264">
        <v>0</v>
      </c>
      <c r="IG264">
        <v>0</v>
      </c>
      <c r="IH264">
        <v>0</v>
      </c>
      <c r="II264">
        <v>0</v>
      </c>
      <c r="IJ264">
        <v>0</v>
      </c>
      <c r="IK264">
        <v>0</v>
      </c>
      <c r="IL264">
        <v>0</v>
      </c>
      <c r="IM264">
        <v>0</v>
      </c>
      <c r="IN264">
        <v>0</v>
      </c>
      <c r="IO264">
        <v>0</v>
      </c>
      <c r="IP264">
        <v>0</v>
      </c>
      <c r="IQ264">
        <v>0</v>
      </c>
      <c r="IR264">
        <v>0</v>
      </c>
      <c r="IS264">
        <v>0</v>
      </c>
      <c r="IT264">
        <v>0</v>
      </c>
      <c r="IU264">
        <v>0</v>
      </c>
      <c r="IV264">
        <v>0</v>
      </c>
      <c r="IW264">
        <v>0</v>
      </c>
      <c r="IX264">
        <v>0</v>
      </c>
      <c r="IY264">
        <v>0</v>
      </c>
      <c r="IZ264">
        <v>0</v>
      </c>
      <c r="JA264">
        <v>0</v>
      </c>
      <c r="JB264">
        <v>0</v>
      </c>
      <c r="JC264">
        <v>0</v>
      </c>
      <c r="JD264">
        <v>0</v>
      </c>
      <c r="JE264">
        <v>0</v>
      </c>
      <c r="JF264">
        <v>0</v>
      </c>
      <c r="JG264">
        <v>0</v>
      </c>
      <c r="JH264">
        <v>0</v>
      </c>
      <c r="JI264">
        <v>0</v>
      </c>
      <c r="JJ264">
        <v>0</v>
      </c>
      <c r="JK264">
        <v>0</v>
      </c>
      <c r="JL264">
        <v>0</v>
      </c>
      <c r="JM264">
        <v>0</v>
      </c>
      <c r="JN264">
        <v>0</v>
      </c>
      <c r="JO264">
        <v>0</v>
      </c>
      <c r="JP264">
        <v>0</v>
      </c>
      <c r="JQ264">
        <v>0</v>
      </c>
      <c r="JR264">
        <v>0</v>
      </c>
      <c r="JS264">
        <v>0</v>
      </c>
      <c r="JT264">
        <v>0</v>
      </c>
      <c r="JU264">
        <v>0</v>
      </c>
      <c r="JV264">
        <v>0</v>
      </c>
      <c r="JW264">
        <v>0</v>
      </c>
      <c r="JX264">
        <v>0</v>
      </c>
      <c r="JY264">
        <v>0</v>
      </c>
      <c r="JZ264">
        <v>0</v>
      </c>
      <c r="KA264">
        <v>0</v>
      </c>
      <c r="KB264">
        <v>0</v>
      </c>
      <c r="KC264">
        <v>0</v>
      </c>
      <c r="KD264">
        <v>0</v>
      </c>
      <c r="KE264">
        <v>0</v>
      </c>
      <c r="KF264">
        <v>0</v>
      </c>
      <c r="KG264">
        <v>0</v>
      </c>
      <c r="KH264">
        <v>0</v>
      </c>
      <c r="KI264">
        <v>0</v>
      </c>
      <c r="KJ264">
        <v>0</v>
      </c>
      <c r="KK264">
        <v>0</v>
      </c>
      <c r="KL264">
        <v>0</v>
      </c>
      <c r="KM264">
        <v>0</v>
      </c>
      <c r="KN264">
        <v>0</v>
      </c>
      <c r="KO264">
        <v>0</v>
      </c>
      <c r="KP264">
        <v>0</v>
      </c>
      <c r="KQ264">
        <v>0</v>
      </c>
      <c r="KR264">
        <v>0</v>
      </c>
      <c r="KS264">
        <v>0</v>
      </c>
      <c r="KT264">
        <v>0</v>
      </c>
      <c r="KU264">
        <v>0</v>
      </c>
      <c r="KV264">
        <v>0</v>
      </c>
      <c r="KW264">
        <v>0</v>
      </c>
      <c r="KX264">
        <v>0</v>
      </c>
      <c r="KY264">
        <v>0</v>
      </c>
      <c r="KZ264">
        <v>0</v>
      </c>
      <c r="LA264">
        <v>0</v>
      </c>
      <c r="LB264">
        <v>0</v>
      </c>
      <c r="LC264">
        <v>0</v>
      </c>
      <c r="LD264">
        <v>0</v>
      </c>
      <c r="LE264">
        <v>0</v>
      </c>
      <c r="LF264">
        <v>0</v>
      </c>
      <c r="LG264">
        <v>0</v>
      </c>
      <c r="LH264">
        <v>0</v>
      </c>
      <c r="LI264">
        <v>0</v>
      </c>
      <c r="LJ264">
        <v>0</v>
      </c>
      <c r="LK264">
        <v>0</v>
      </c>
      <c r="LL264">
        <v>0</v>
      </c>
      <c r="LM264">
        <v>0</v>
      </c>
      <c r="LN264">
        <v>0</v>
      </c>
      <c r="LO264">
        <v>0</v>
      </c>
      <c r="LP264">
        <v>0</v>
      </c>
      <c r="LQ264">
        <v>0</v>
      </c>
      <c r="LR264">
        <v>0</v>
      </c>
      <c r="LS264">
        <v>0</v>
      </c>
      <c r="LT264">
        <v>0</v>
      </c>
      <c r="LU264">
        <v>0</v>
      </c>
      <c r="LV264">
        <v>0</v>
      </c>
      <c r="LW264">
        <v>0</v>
      </c>
      <c r="LX264">
        <v>0</v>
      </c>
      <c r="LY264">
        <v>0</v>
      </c>
      <c r="LZ264">
        <v>0</v>
      </c>
      <c r="MA264">
        <v>0</v>
      </c>
      <c r="MB264">
        <v>0</v>
      </c>
      <c r="MC264">
        <v>0</v>
      </c>
      <c r="MD264">
        <v>0</v>
      </c>
      <c r="ME264">
        <v>0</v>
      </c>
      <c r="MF264">
        <v>0</v>
      </c>
      <c r="MG264">
        <v>0</v>
      </c>
      <c r="MH264">
        <v>0</v>
      </c>
      <c r="MI264">
        <v>0</v>
      </c>
      <c r="MJ264">
        <v>0</v>
      </c>
      <c r="MK264">
        <v>0</v>
      </c>
      <c r="ML264">
        <v>0</v>
      </c>
      <c r="MM264">
        <v>0</v>
      </c>
      <c r="MN264">
        <v>0</v>
      </c>
      <c r="MO264">
        <v>0</v>
      </c>
      <c r="MP264">
        <v>0</v>
      </c>
      <c r="MQ264">
        <v>0</v>
      </c>
      <c r="MR264">
        <v>0</v>
      </c>
      <c r="MS264">
        <v>0</v>
      </c>
      <c r="MT264">
        <v>0</v>
      </c>
      <c r="MU264">
        <v>0</v>
      </c>
      <c r="MV264">
        <v>0</v>
      </c>
      <c r="MW264">
        <v>0</v>
      </c>
      <c r="MX264">
        <v>0</v>
      </c>
      <c r="MY264">
        <v>0</v>
      </c>
      <c r="MZ264">
        <v>0</v>
      </c>
      <c r="NA264">
        <v>0</v>
      </c>
      <c r="NB264">
        <v>0</v>
      </c>
      <c r="NC264">
        <v>0</v>
      </c>
      <c r="ND264">
        <v>0</v>
      </c>
      <c r="NE264">
        <v>0</v>
      </c>
    </row>
    <row r="265" spans="41:369" x14ac:dyDescent="0.45">
      <c r="AO265" t="str">
        <v>D141</v>
      </c>
      <c r="AP265" t="str">
        <v>MUHAMMAD MUSTHAFA P.K</v>
      </c>
      <c r="AQ265" t="str">
        <v>BADF</v>
      </c>
      <c r="AR265" t="str">
        <v>SUPER SENIOR</v>
      </c>
      <c r="AS265">
        <v>9</v>
      </c>
      <c r="AT265">
        <v>14</v>
      </c>
      <c r="AU265">
        <v>0</v>
      </c>
      <c r="AV265">
        <v>14</v>
      </c>
      <c r="AW265">
        <v>14</v>
      </c>
      <c r="AX265">
        <v>104</v>
      </c>
      <c r="AY265" s="5">
        <v>104</v>
      </c>
      <c r="AZ265">
        <v>0</v>
      </c>
      <c r="BA265">
        <v>0</v>
      </c>
      <c r="BB265">
        <v>0</v>
      </c>
      <c r="BC265">
        <v>0</v>
      </c>
      <c r="BD265">
        <v>0</v>
      </c>
      <c r="BE265">
        <v>0</v>
      </c>
      <c r="BF265">
        <v>0</v>
      </c>
      <c r="BG265">
        <v>0</v>
      </c>
      <c r="BH265">
        <v>0</v>
      </c>
      <c r="BI265" t="str">
        <v/>
      </c>
      <c r="BK265">
        <v>259</v>
      </c>
      <c r="BL265">
        <v>0</v>
      </c>
      <c r="BM265">
        <v>0</v>
      </c>
      <c r="BN265">
        <v>0</v>
      </c>
      <c r="BO265">
        <v>0</v>
      </c>
      <c r="BP265">
        <v>0</v>
      </c>
      <c r="BQ265">
        <v>0</v>
      </c>
      <c r="BR265">
        <v>0</v>
      </c>
      <c r="BS265">
        <v>0</v>
      </c>
      <c r="BT265">
        <v>0</v>
      </c>
      <c r="BU265">
        <v>0</v>
      </c>
      <c r="BV265">
        <v>0</v>
      </c>
      <c r="BW265">
        <v>0</v>
      </c>
      <c r="BX265">
        <v>0</v>
      </c>
      <c r="BY265">
        <v>0</v>
      </c>
      <c r="BZ265">
        <v>0</v>
      </c>
      <c r="CA265">
        <v>0</v>
      </c>
      <c r="CB265">
        <v>0</v>
      </c>
      <c r="CC265">
        <v>0</v>
      </c>
      <c r="CD265">
        <v>0</v>
      </c>
      <c r="CE265">
        <v>0</v>
      </c>
      <c r="CF265">
        <v>0</v>
      </c>
      <c r="CG265">
        <v>0</v>
      </c>
      <c r="CH265">
        <v>0</v>
      </c>
      <c r="CI265">
        <v>0</v>
      </c>
      <c r="CJ265">
        <v>0</v>
      </c>
      <c r="CK265">
        <v>0</v>
      </c>
      <c r="CL265">
        <v>0</v>
      </c>
      <c r="CM265">
        <v>0</v>
      </c>
      <c r="CN265">
        <v>0</v>
      </c>
      <c r="CO265">
        <v>0</v>
      </c>
      <c r="CP265">
        <v>0</v>
      </c>
      <c r="CQ265">
        <v>0</v>
      </c>
      <c r="CR265">
        <v>0</v>
      </c>
      <c r="CS265">
        <v>0</v>
      </c>
      <c r="CT265">
        <v>0</v>
      </c>
      <c r="CU265">
        <v>0</v>
      </c>
      <c r="CV265">
        <v>0</v>
      </c>
      <c r="CW265">
        <v>0</v>
      </c>
      <c r="CX265">
        <v>0</v>
      </c>
      <c r="CY265">
        <v>0</v>
      </c>
      <c r="CZ265">
        <v>0</v>
      </c>
      <c r="DA265">
        <v>0</v>
      </c>
      <c r="DB265">
        <v>0</v>
      </c>
      <c r="DC265">
        <v>0</v>
      </c>
      <c r="DD265">
        <v>0</v>
      </c>
      <c r="DE265">
        <v>0</v>
      </c>
      <c r="DF265">
        <v>0</v>
      </c>
      <c r="DG265">
        <v>0</v>
      </c>
      <c r="DH265">
        <v>0</v>
      </c>
      <c r="DI265">
        <v>0</v>
      </c>
      <c r="DJ265">
        <v>0</v>
      </c>
      <c r="DK265">
        <v>0</v>
      </c>
      <c r="DL265">
        <v>0</v>
      </c>
      <c r="DM265">
        <v>0</v>
      </c>
      <c r="DN265">
        <v>0</v>
      </c>
      <c r="DO265">
        <v>0</v>
      </c>
      <c r="DP265">
        <v>0</v>
      </c>
      <c r="DQ265">
        <v>0</v>
      </c>
      <c r="DR265">
        <v>0</v>
      </c>
      <c r="DS265">
        <v>0</v>
      </c>
      <c r="DT265">
        <v>0</v>
      </c>
      <c r="DU265">
        <v>0</v>
      </c>
      <c r="DV265">
        <v>0</v>
      </c>
      <c r="DW265">
        <v>0</v>
      </c>
      <c r="DX265">
        <v>0</v>
      </c>
      <c r="DY265">
        <v>0</v>
      </c>
      <c r="DZ265">
        <v>0</v>
      </c>
      <c r="EA265">
        <v>0</v>
      </c>
      <c r="EB265">
        <v>0</v>
      </c>
      <c r="EC265">
        <v>0</v>
      </c>
      <c r="ED265">
        <v>0</v>
      </c>
      <c r="EE265">
        <v>0</v>
      </c>
      <c r="EF265">
        <v>0</v>
      </c>
      <c r="EG265">
        <v>0</v>
      </c>
      <c r="EH265">
        <v>0</v>
      </c>
      <c r="EI265">
        <v>0</v>
      </c>
      <c r="EJ265">
        <v>0</v>
      </c>
      <c r="EK265">
        <v>0</v>
      </c>
      <c r="EL265">
        <v>0</v>
      </c>
      <c r="EM265">
        <v>0</v>
      </c>
      <c r="EN265">
        <v>0</v>
      </c>
      <c r="EO265">
        <v>0</v>
      </c>
      <c r="EP265">
        <v>0</v>
      </c>
      <c r="EQ265">
        <v>0</v>
      </c>
      <c r="ER265">
        <v>0</v>
      </c>
      <c r="ES265">
        <v>0</v>
      </c>
      <c r="ET265">
        <v>0</v>
      </c>
      <c r="EU265">
        <v>0</v>
      </c>
      <c r="EV265">
        <v>0</v>
      </c>
      <c r="EW265">
        <v>0</v>
      </c>
      <c r="EX265">
        <v>0</v>
      </c>
      <c r="EY265">
        <v>0</v>
      </c>
      <c r="EZ265">
        <v>0</v>
      </c>
      <c r="FA265">
        <v>0</v>
      </c>
      <c r="FB265">
        <v>0</v>
      </c>
      <c r="FC265">
        <v>0</v>
      </c>
      <c r="FD265">
        <v>0</v>
      </c>
      <c r="FE265">
        <v>0</v>
      </c>
      <c r="FF265">
        <v>0</v>
      </c>
      <c r="FG265">
        <v>0</v>
      </c>
      <c r="FH265">
        <v>0</v>
      </c>
      <c r="FI265">
        <v>0</v>
      </c>
      <c r="FJ265">
        <v>0</v>
      </c>
      <c r="FK265">
        <v>0</v>
      </c>
      <c r="FL265">
        <v>0</v>
      </c>
      <c r="FM265">
        <v>0</v>
      </c>
      <c r="FN265">
        <v>0</v>
      </c>
      <c r="FO265">
        <v>0</v>
      </c>
      <c r="FP265">
        <v>0</v>
      </c>
      <c r="FQ265">
        <v>0</v>
      </c>
      <c r="FR265">
        <v>0</v>
      </c>
      <c r="FS265">
        <v>0</v>
      </c>
      <c r="FT265">
        <v>0</v>
      </c>
      <c r="FU265">
        <v>0</v>
      </c>
      <c r="FV265">
        <v>0</v>
      </c>
      <c r="FW265">
        <v>0</v>
      </c>
      <c r="FX265">
        <v>0</v>
      </c>
      <c r="FY265">
        <v>0</v>
      </c>
      <c r="FZ265">
        <v>0</v>
      </c>
      <c r="GA265">
        <v>0</v>
      </c>
      <c r="GB265">
        <v>0</v>
      </c>
      <c r="GC265">
        <v>0</v>
      </c>
      <c r="GD265">
        <v>0</v>
      </c>
      <c r="GE265">
        <v>0</v>
      </c>
      <c r="GF265">
        <v>0</v>
      </c>
      <c r="GG265">
        <v>0</v>
      </c>
      <c r="GH265">
        <v>0</v>
      </c>
      <c r="GI265">
        <v>0</v>
      </c>
      <c r="GJ265">
        <v>0</v>
      </c>
      <c r="GK265">
        <v>0</v>
      </c>
      <c r="GL265">
        <v>0</v>
      </c>
      <c r="GM265">
        <v>0</v>
      </c>
      <c r="GN265">
        <v>0</v>
      </c>
      <c r="GO265">
        <v>0</v>
      </c>
      <c r="GP265">
        <v>0</v>
      </c>
      <c r="GQ265">
        <v>0</v>
      </c>
      <c r="GR265">
        <v>0</v>
      </c>
      <c r="GS265">
        <v>0</v>
      </c>
      <c r="GT265">
        <v>0</v>
      </c>
      <c r="GU265">
        <v>0</v>
      </c>
      <c r="GV265">
        <v>0</v>
      </c>
      <c r="GW265">
        <v>0</v>
      </c>
      <c r="GX265">
        <v>0</v>
      </c>
      <c r="GY265">
        <v>0</v>
      </c>
      <c r="GZ265">
        <v>0</v>
      </c>
      <c r="HA265">
        <v>0</v>
      </c>
      <c r="HB265">
        <v>0</v>
      </c>
      <c r="HC265">
        <v>0</v>
      </c>
      <c r="HD265">
        <v>0</v>
      </c>
      <c r="HE265">
        <v>0</v>
      </c>
      <c r="HF265">
        <v>0</v>
      </c>
      <c r="HG265">
        <v>0</v>
      </c>
      <c r="HH265">
        <v>0</v>
      </c>
      <c r="HI265">
        <v>0</v>
      </c>
      <c r="HJ265">
        <v>0</v>
      </c>
      <c r="HK265">
        <v>0</v>
      </c>
      <c r="HL265">
        <v>0</v>
      </c>
      <c r="HM265">
        <v>0</v>
      </c>
      <c r="HN265">
        <v>0</v>
      </c>
      <c r="HO265">
        <v>0</v>
      </c>
      <c r="HP265">
        <v>0</v>
      </c>
      <c r="HQ265">
        <v>0</v>
      </c>
      <c r="HR265">
        <v>0</v>
      </c>
      <c r="HS265">
        <v>0</v>
      </c>
      <c r="HT265">
        <v>0</v>
      </c>
      <c r="HU265">
        <v>0</v>
      </c>
      <c r="HV265">
        <v>0</v>
      </c>
      <c r="HW265">
        <v>0</v>
      </c>
      <c r="HX265">
        <v>0</v>
      </c>
      <c r="HY265">
        <v>0</v>
      </c>
      <c r="HZ265">
        <v>0</v>
      </c>
      <c r="IA265">
        <v>0</v>
      </c>
      <c r="IB265">
        <v>0</v>
      </c>
      <c r="IC265">
        <v>0</v>
      </c>
      <c r="ID265">
        <v>0</v>
      </c>
      <c r="IE265">
        <v>0</v>
      </c>
      <c r="IF265">
        <v>0</v>
      </c>
      <c r="IG265">
        <v>0</v>
      </c>
      <c r="IH265">
        <v>0</v>
      </c>
      <c r="II265">
        <v>0</v>
      </c>
      <c r="IJ265">
        <v>0</v>
      </c>
      <c r="IK265">
        <v>0</v>
      </c>
      <c r="IL265">
        <v>0</v>
      </c>
      <c r="IM265">
        <v>0</v>
      </c>
      <c r="IN265">
        <v>0</v>
      </c>
      <c r="IO265">
        <v>0</v>
      </c>
      <c r="IP265">
        <v>0</v>
      </c>
      <c r="IQ265">
        <v>0</v>
      </c>
      <c r="IR265">
        <v>0</v>
      </c>
      <c r="IS265">
        <v>0</v>
      </c>
      <c r="IT265">
        <v>0</v>
      </c>
      <c r="IU265">
        <v>0</v>
      </c>
      <c r="IV265">
        <v>0</v>
      </c>
      <c r="IW265">
        <v>0</v>
      </c>
      <c r="IX265">
        <v>0</v>
      </c>
      <c r="IY265">
        <v>0</v>
      </c>
      <c r="IZ265">
        <v>0</v>
      </c>
      <c r="JA265">
        <v>0</v>
      </c>
      <c r="JB265">
        <v>0</v>
      </c>
      <c r="JC265">
        <v>0</v>
      </c>
      <c r="JD265">
        <v>0</v>
      </c>
      <c r="JE265">
        <v>0</v>
      </c>
      <c r="JF265">
        <v>0</v>
      </c>
      <c r="JG265">
        <v>0</v>
      </c>
      <c r="JH265">
        <v>0</v>
      </c>
      <c r="JI265">
        <v>0</v>
      </c>
      <c r="JJ265">
        <v>0</v>
      </c>
      <c r="JK265">
        <v>0</v>
      </c>
      <c r="JL265">
        <v>0</v>
      </c>
      <c r="JM265">
        <v>0</v>
      </c>
      <c r="JN265">
        <v>0</v>
      </c>
      <c r="JO265">
        <v>0</v>
      </c>
      <c r="JP265">
        <v>0</v>
      </c>
      <c r="JQ265">
        <v>0</v>
      </c>
      <c r="JR265">
        <v>0</v>
      </c>
      <c r="JS265">
        <v>0</v>
      </c>
      <c r="JT265">
        <v>0</v>
      </c>
      <c r="JU265">
        <v>0</v>
      </c>
      <c r="JV265">
        <v>0</v>
      </c>
      <c r="JW265">
        <v>0</v>
      </c>
      <c r="JX265">
        <v>0</v>
      </c>
      <c r="JY265">
        <v>0</v>
      </c>
      <c r="JZ265">
        <v>0</v>
      </c>
      <c r="KA265">
        <v>0</v>
      </c>
      <c r="KB265">
        <v>0</v>
      </c>
      <c r="KC265">
        <v>0</v>
      </c>
      <c r="KD265">
        <v>0</v>
      </c>
      <c r="KE265">
        <v>0</v>
      </c>
      <c r="KF265">
        <v>0</v>
      </c>
      <c r="KG265">
        <v>0</v>
      </c>
      <c r="KH265">
        <v>0</v>
      </c>
      <c r="KI265">
        <v>0</v>
      </c>
      <c r="KJ265">
        <v>0</v>
      </c>
      <c r="KK265">
        <v>0</v>
      </c>
      <c r="KL265">
        <v>0</v>
      </c>
      <c r="KM265">
        <v>0</v>
      </c>
      <c r="KN265">
        <v>0</v>
      </c>
      <c r="KO265">
        <v>0</v>
      </c>
      <c r="KP265">
        <v>0</v>
      </c>
      <c r="KQ265">
        <v>0</v>
      </c>
      <c r="KR265">
        <v>0</v>
      </c>
      <c r="KS265">
        <v>0</v>
      </c>
      <c r="KT265">
        <v>0</v>
      </c>
      <c r="KU265">
        <v>0</v>
      </c>
      <c r="KV265">
        <v>0</v>
      </c>
      <c r="KW265">
        <v>0</v>
      </c>
      <c r="KX265">
        <v>0</v>
      </c>
      <c r="KY265">
        <v>0</v>
      </c>
      <c r="KZ265">
        <v>0</v>
      </c>
      <c r="LA265">
        <v>0</v>
      </c>
      <c r="LB265">
        <v>0</v>
      </c>
      <c r="LC265">
        <v>0</v>
      </c>
      <c r="LD265">
        <v>0</v>
      </c>
      <c r="LE265">
        <v>0</v>
      </c>
      <c r="LF265">
        <v>0</v>
      </c>
      <c r="LG265">
        <v>0</v>
      </c>
      <c r="LH265">
        <v>0</v>
      </c>
      <c r="LI265">
        <v>0</v>
      </c>
      <c r="LJ265">
        <v>0</v>
      </c>
      <c r="LK265">
        <v>0</v>
      </c>
      <c r="LL265">
        <v>0</v>
      </c>
      <c r="LM265">
        <v>0</v>
      </c>
      <c r="LN265">
        <v>0</v>
      </c>
      <c r="LO265">
        <v>0</v>
      </c>
      <c r="LP265">
        <v>0</v>
      </c>
      <c r="LQ265">
        <v>0</v>
      </c>
      <c r="LR265">
        <v>0</v>
      </c>
      <c r="LS265">
        <v>0</v>
      </c>
      <c r="LT265">
        <v>0</v>
      </c>
      <c r="LU265">
        <v>0</v>
      </c>
      <c r="LV265">
        <v>0</v>
      </c>
      <c r="LW265">
        <v>0</v>
      </c>
      <c r="LX265">
        <v>0</v>
      </c>
      <c r="LY265">
        <v>0</v>
      </c>
      <c r="LZ265">
        <v>0</v>
      </c>
      <c r="MA265">
        <v>0</v>
      </c>
      <c r="MB265">
        <v>0</v>
      </c>
      <c r="MC265">
        <v>0</v>
      </c>
      <c r="MD265">
        <v>0</v>
      </c>
      <c r="ME265">
        <v>0</v>
      </c>
      <c r="MF265">
        <v>0</v>
      </c>
      <c r="MG265">
        <v>0</v>
      </c>
      <c r="MH265">
        <v>0</v>
      </c>
      <c r="MI265">
        <v>0</v>
      </c>
      <c r="MJ265">
        <v>0</v>
      </c>
      <c r="MK265">
        <v>0</v>
      </c>
      <c r="ML265">
        <v>0</v>
      </c>
      <c r="MM265">
        <v>0</v>
      </c>
      <c r="MN265">
        <v>0</v>
      </c>
      <c r="MO265">
        <v>0</v>
      </c>
      <c r="MP265">
        <v>0</v>
      </c>
      <c r="MQ265">
        <v>0</v>
      </c>
      <c r="MR265">
        <v>0</v>
      </c>
      <c r="MS265">
        <v>0</v>
      </c>
      <c r="MT265">
        <v>0</v>
      </c>
      <c r="MU265">
        <v>0</v>
      </c>
      <c r="MV265">
        <v>0</v>
      </c>
      <c r="MW265">
        <v>0</v>
      </c>
      <c r="MX265">
        <v>0</v>
      </c>
      <c r="MY265">
        <v>0</v>
      </c>
      <c r="MZ265">
        <v>0</v>
      </c>
      <c r="NA265">
        <v>0</v>
      </c>
      <c r="NB265">
        <v>0</v>
      </c>
      <c r="NC265">
        <v>0</v>
      </c>
      <c r="ND265">
        <v>0</v>
      </c>
      <c r="NE265">
        <v>0</v>
      </c>
    </row>
    <row r="266" spans="41:369" x14ac:dyDescent="0.45">
      <c r="AO266" t="str">
        <v>D142</v>
      </c>
      <c r="AP266" t="str">
        <v>ISHAM V.K</v>
      </c>
      <c r="AQ266" t="str">
        <v>FANT</v>
      </c>
      <c r="AR266" t="str">
        <v>SUPER SENIOR</v>
      </c>
      <c r="AS266">
        <v>9</v>
      </c>
      <c r="AT266">
        <v>0</v>
      </c>
      <c r="AU266">
        <v>0</v>
      </c>
      <c r="AV266">
        <v>0</v>
      </c>
      <c r="AW266">
        <v>0</v>
      </c>
      <c r="AX266">
        <v>255</v>
      </c>
      <c r="AY266" s="5">
        <v>255</v>
      </c>
      <c r="AZ266">
        <v>0</v>
      </c>
      <c r="BA266">
        <v>0</v>
      </c>
      <c r="BB266">
        <v>0</v>
      </c>
      <c r="BC266">
        <v>0</v>
      </c>
      <c r="BD266">
        <v>0</v>
      </c>
      <c r="BE266">
        <v>0</v>
      </c>
      <c r="BF266">
        <v>0</v>
      </c>
      <c r="BG266">
        <v>0</v>
      </c>
      <c r="BH266">
        <v>0</v>
      </c>
      <c r="BI266" t="str">
        <v/>
      </c>
      <c r="BK266">
        <v>260</v>
      </c>
      <c r="BL266">
        <v>0</v>
      </c>
      <c r="BM266">
        <v>0</v>
      </c>
      <c r="BN266">
        <v>0</v>
      </c>
      <c r="BO266">
        <v>0</v>
      </c>
      <c r="BP266">
        <v>0</v>
      </c>
      <c r="BQ266">
        <v>0</v>
      </c>
      <c r="BR266">
        <v>0</v>
      </c>
      <c r="BS266">
        <v>0</v>
      </c>
      <c r="BT266">
        <v>0</v>
      </c>
      <c r="BU266">
        <v>0</v>
      </c>
      <c r="BV266">
        <v>0</v>
      </c>
      <c r="BW266">
        <v>0</v>
      </c>
      <c r="BX266">
        <v>0</v>
      </c>
      <c r="BY266">
        <v>0</v>
      </c>
      <c r="BZ266">
        <v>0</v>
      </c>
      <c r="CA266">
        <v>0</v>
      </c>
      <c r="CB266">
        <v>0</v>
      </c>
      <c r="CC266">
        <v>0</v>
      </c>
      <c r="CD266">
        <v>0</v>
      </c>
      <c r="CE266">
        <v>0</v>
      </c>
      <c r="CF266">
        <v>0</v>
      </c>
      <c r="CG266">
        <v>0</v>
      </c>
      <c r="CH266">
        <v>0</v>
      </c>
      <c r="CI266">
        <v>0</v>
      </c>
      <c r="CJ266">
        <v>0</v>
      </c>
      <c r="CK266">
        <v>0</v>
      </c>
      <c r="CL266">
        <v>0</v>
      </c>
      <c r="CM266">
        <v>0</v>
      </c>
      <c r="CN266">
        <v>0</v>
      </c>
      <c r="CO266">
        <v>0</v>
      </c>
      <c r="CP266">
        <v>0</v>
      </c>
      <c r="CQ266">
        <v>0</v>
      </c>
      <c r="CR266">
        <v>0</v>
      </c>
      <c r="CS266">
        <v>0</v>
      </c>
      <c r="CT266">
        <v>0</v>
      </c>
      <c r="CU266">
        <v>0</v>
      </c>
      <c r="CV266">
        <v>0</v>
      </c>
      <c r="CW266">
        <v>0</v>
      </c>
      <c r="CX266">
        <v>0</v>
      </c>
      <c r="CY266">
        <v>0</v>
      </c>
      <c r="CZ266">
        <v>0</v>
      </c>
      <c r="DA266">
        <v>0</v>
      </c>
      <c r="DB266">
        <v>0</v>
      </c>
      <c r="DC266">
        <v>0</v>
      </c>
      <c r="DD266">
        <v>0</v>
      </c>
      <c r="DE266">
        <v>0</v>
      </c>
      <c r="DF266">
        <v>0</v>
      </c>
      <c r="DG266">
        <v>0</v>
      </c>
      <c r="DH266">
        <v>0</v>
      </c>
      <c r="DI266">
        <v>0</v>
      </c>
      <c r="DJ266">
        <v>0</v>
      </c>
      <c r="DK266">
        <v>0</v>
      </c>
      <c r="DL266">
        <v>0</v>
      </c>
      <c r="DM266">
        <v>0</v>
      </c>
      <c r="DN266">
        <v>0</v>
      </c>
      <c r="DO266">
        <v>0</v>
      </c>
      <c r="DP266">
        <v>0</v>
      </c>
      <c r="DQ266">
        <v>0</v>
      </c>
      <c r="DR266">
        <v>0</v>
      </c>
      <c r="DS266">
        <v>0</v>
      </c>
      <c r="DT266">
        <v>0</v>
      </c>
      <c r="DU266">
        <v>0</v>
      </c>
      <c r="DV266">
        <v>0</v>
      </c>
      <c r="DW266">
        <v>0</v>
      </c>
      <c r="DX266">
        <v>0</v>
      </c>
      <c r="DY266">
        <v>0</v>
      </c>
      <c r="DZ266">
        <v>0</v>
      </c>
      <c r="EA266">
        <v>0</v>
      </c>
      <c r="EB266">
        <v>0</v>
      </c>
      <c r="EC266">
        <v>0</v>
      </c>
      <c r="ED266">
        <v>0</v>
      </c>
      <c r="EE266">
        <v>0</v>
      </c>
      <c r="EF266">
        <v>0</v>
      </c>
      <c r="EG266">
        <v>0</v>
      </c>
      <c r="EH266">
        <v>0</v>
      </c>
      <c r="EI266">
        <v>0</v>
      </c>
      <c r="EJ266">
        <v>0</v>
      </c>
      <c r="EK266">
        <v>0</v>
      </c>
      <c r="EL266">
        <v>0</v>
      </c>
      <c r="EM266">
        <v>0</v>
      </c>
      <c r="EN266">
        <v>0</v>
      </c>
      <c r="EO266">
        <v>0</v>
      </c>
      <c r="EP266">
        <v>0</v>
      </c>
      <c r="EQ266">
        <v>0</v>
      </c>
      <c r="ER266">
        <v>0</v>
      </c>
      <c r="ES266">
        <v>0</v>
      </c>
      <c r="ET266">
        <v>0</v>
      </c>
      <c r="EU266">
        <v>0</v>
      </c>
      <c r="EV266">
        <v>0</v>
      </c>
      <c r="EW266">
        <v>0</v>
      </c>
      <c r="EX266">
        <v>0</v>
      </c>
      <c r="EY266">
        <v>0</v>
      </c>
      <c r="EZ266">
        <v>0</v>
      </c>
      <c r="FA266">
        <v>0</v>
      </c>
      <c r="FB266">
        <v>0</v>
      </c>
      <c r="FC266">
        <v>0</v>
      </c>
      <c r="FD266">
        <v>0</v>
      </c>
      <c r="FE266">
        <v>0</v>
      </c>
      <c r="FF266">
        <v>0</v>
      </c>
      <c r="FG266">
        <v>0</v>
      </c>
      <c r="FH266">
        <v>0</v>
      </c>
      <c r="FI266">
        <v>0</v>
      </c>
      <c r="FJ266">
        <v>0</v>
      </c>
      <c r="FK266">
        <v>0</v>
      </c>
      <c r="FL266">
        <v>0</v>
      </c>
      <c r="FM266">
        <v>0</v>
      </c>
      <c r="FN266">
        <v>0</v>
      </c>
      <c r="FO266">
        <v>0</v>
      </c>
      <c r="FP266">
        <v>0</v>
      </c>
      <c r="FQ266">
        <v>0</v>
      </c>
      <c r="FR266">
        <v>0</v>
      </c>
      <c r="FS266">
        <v>0</v>
      </c>
      <c r="FT266">
        <v>0</v>
      </c>
      <c r="FU266">
        <v>0</v>
      </c>
      <c r="FV266">
        <v>0</v>
      </c>
      <c r="FW266">
        <v>0</v>
      </c>
      <c r="FX266">
        <v>0</v>
      </c>
      <c r="FY266">
        <v>0</v>
      </c>
      <c r="FZ266">
        <v>0</v>
      </c>
      <c r="GA266">
        <v>0</v>
      </c>
      <c r="GB266">
        <v>0</v>
      </c>
      <c r="GC266">
        <v>0</v>
      </c>
      <c r="GD266">
        <v>0</v>
      </c>
      <c r="GE266">
        <v>0</v>
      </c>
      <c r="GF266">
        <v>0</v>
      </c>
      <c r="GG266">
        <v>0</v>
      </c>
      <c r="GH266">
        <v>0</v>
      </c>
      <c r="GI266">
        <v>0</v>
      </c>
      <c r="GJ266">
        <v>0</v>
      </c>
      <c r="GK266">
        <v>0</v>
      </c>
      <c r="GL266">
        <v>0</v>
      </c>
      <c r="GM266">
        <v>0</v>
      </c>
      <c r="GN266">
        <v>0</v>
      </c>
      <c r="GO266">
        <v>0</v>
      </c>
      <c r="GP266">
        <v>0</v>
      </c>
      <c r="GQ266">
        <v>0</v>
      </c>
      <c r="GR266">
        <v>0</v>
      </c>
      <c r="GS266">
        <v>0</v>
      </c>
      <c r="GT266">
        <v>0</v>
      </c>
      <c r="GU266">
        <v>0</v>
      </c>
      <c r="GV266">
        <v>0</v>
      </c>
      <c r="GW266">
        <v>0</v>
      </c>
      <c r="GX266">
        <v>0</v>
      </c>
      <c r="GY266">
        <v>0</v>
      </c>
      <c r="GZ266">
        <v>0</v>
      </c>
      <c r="HA266">
        <v>0</v>
      </c>
      <c r="HB266">
        <v>0</v>
      </c>
      <c r="HC266">
        <v>0</v>
      </c>
      <c r="HD266">
        <v>0</v>
      </c>
      <c r="HE266">
        <v>0</v>
      </c>
      <c r="HF266">
        <v>0</v>
      </c>
      <c r="HG266">
        <v>0</v>
      </c>
      <c r="HH266">
        <v>0</v>
      </c>
      <c r="HI266">
        <v>0</v>
      </c>
      <c r="HJ266">
        <v>0</v>
      </c>
      <c r="HK266">
        <v>0</v>
      </c>
      <c r="HL266">
        <v>0</v>
      </c>
      <c r="HM266">
        <v>0</v>
      </c>
      <c r="HN266">
        <v>0</v>
      </c>
      <c r="HO266">
        <v>0</v>
      </c>
      <c r="HP266">
        <v>0</v>
      </c>
      <c r="HQ266">
        <v>0</v>
      </c>
      <c r="HR266">
        <v>0</v>
      </c>
      <c r="HS266">
        <v>0</v>
      </c>
      <c r="HT266">
        <v>0</v>
      </c>
      <c r="HU266">
        <v>0</v>
      </c>
      <c r="HV266">
        <v>0</v>
      </c>
      <c r="HW266">
        <v>0</v>
      </c>
      <c r="HX266">
        <v>0</v>
      </c>
      <c r="HY266">
        <v>0</v>
      </c>
      <c r="HZ266">
        <v>0</v>
      </c>
      <c r="IA266">
        <v>0</v>
      </c>
      <c r="IB266">
        <v>0</v>
      </c>
      <c r="IC266">
        <v>0</v>
      </c>
      <c r="ID266">
        <v>0</v>
      </c>
      <c r="IE266">
        <v>0</v>
      </c>
      <c r="IF266">
        <v>0</v>
      </c>
      <c r="IG266">
        <v>0</v>
      </c>
      <c r="IH266">
        <v>0</v>
      </c>
      <c r="II266">
        <v>0</v>
      </c>
      <c r="IJ266">
        <v>0</v>
      </c>
      <c r="IK266">
        <v>0</v>
      </c>
      <c r="IL266">
        <v>0</v>
      </c>
      <c r="IM266">
        <v>0</v>
      </c>
      <c r="IN266">
        <v>0</v>
      </c>
      <c r="IO266">
        <v>0</v>
      </c>
      <c r="IP266">
        <v>0</v>
      </c>
      <c r="IQ266">
        <v>0</v>
      </c>
      <c r="IR266">
        <v>0</v>
      </c>
      <c r="IS266">
        <v>0</v>
      </c>
      <c r="IT266">
        <v>0</v>
      </c>
      <c r="IU266">
        <v>0</v>
      </c>
      <c r="IV266">
        <v>0</v>
      </c>
      <c r="IW266">
        <v>0</v>
      </c>
      <c r="IX266">
        <v>0</v>
      </c>
      <c r="IY266">
        <v>0</v>
      </c>
      <c r="IZ266">
        <v>0</v>
      </c>
      <c r="JA266">
        <v>0</v>
      </c>
      <c r="JB266">
        <v>0</v>
      </c>
      <c r="JC266">
        <v>0</v>
      </c>
      <c r="JD266">
        <v>0</v>
      </c>
      <c r="JE266">
        <v>0</v>
      </c>
      <c r="JF266">
        <v>0</v>
      </c>
      <c r="JG266">
        <v>0</v>
      </c>
      <c r="JH266">
        <v>0</v>
      </c>
      <c r="JI266">
        <v>0</v>
      </c>
      <c r="JJ266">
        <v>0</v>
      </c>
      <c r="JK266">
        <v>0</v>
      </c>
      <c r="JL266">
        <v>0</v>
      </c>
      <c r="JM266">
        <v>0</v>
      </c>
      <c r="JN266">
        <v>0</v>
      </c>
      <c r="JO266">
        <v>0</v>
      </c>
      <c r="JP266">
        <v>0</v>
      </c>
      <c r="JQ266">
        <v>0</v>
      </c>
      <c r="JR266">
        <v>0</v>
      </c>
      <c r="JS266">
        <v>0</v>
      </c>
      <c r="JT266">
        <v>0</v>
      </c>
      <c r="JU266">
        <v>0</v>
      </c>
      <c r="JV266">
        <v>0</v>
      </c>
      <c r="JW266">
        <v>0</v>
      </c>
      <c r="JX266">
        <v>0</v>
      </c>
      <c r="JY266">
        <v>0</v>
      </c>
      <c r="JZ266">
        <v>0</v>
      </c>
      <c r="KA266">
        <v>0</v>
      </c>
      <c r="KB266">
        <v>0</v>
      </c>
      <c r="KC266">
        <v>0</v>
      </c>
      <c r="KD266">
        <v>0</v>
      </c>
      <c r="KE266">
        <v>0</v>
      </c>
      <c r="KF266">
        <v>0</v>
      </c>
      <c r="KG266">
        <v>0</v>
      </c>
      <c r="KH266">
        <v>0</v>
      </c>
      <c r="KI266">
        <v>0</v>
      </c>
      <c r="KJ266">
        <v>0</v>
      </c>
      <c r="KK266">
        <v>0</v>
      </c>
      <c r="KL266">
        <v>0</v>
      </c>
      <c r="KM266">
        <v>0</v>
      </c>
      <c r="KN266">
        <v>0</v>
      </c>
      <c r="KO266">
        <v>0</v>
      </c>
      <c r="KP266">
        <v>0</v>
      </c>
      <c r="KQ266">
        <v>0</v>
      </c>
      <c r="KR266">
        <v>0</v>
      </c>
      <c r="KS266">
        <v>0</v>
      </c>
      <c r="KT266">
        <v>0</v>
      </c>
      <c r="KU266">
        <v>0</v>
      </c>
      <c r="KV266">
        <v>0</v>
      </c>
      <c r="KW266">
        <v>0</v>
      </c>
      <c r="KX266">
        <v>0</v>
      </c>
      <c r="KY266">
        <v>0</v>
      </c>
      <c r="KZ266">
        <v>0</v>
      </c>
      <c r="LA266">
        <v>0</v>
      </c>
      <c r="LB266">
        <v>0</v>
      </c>
      <c r="LC266">
        <v>0</v>
      </c>
      <c r="LD266">
        <v>0</v>
      </c>
      <c r="LE266">
        <v>0</v>
      </c>
      <c r="LF266">
        <v>0</v>
      </c>
      <c r="LG266">
        <v>0</v>
      </c>
      <c r="LH266">
        <v>0</v>
      </c>
      <c r="LI266">
        <v>0</v>
      </c>
      <c r="LJ266">
        <v>0</v>
      </c>
      <c r="LK266">
        <v>0</v>
      </c>
      <c r="LL266">
        <v>0</v>
      </c>
      <c r="LM266">
        <v>0</v>
      </c>
      <c r="LN266">
        <v>0</v>
      </c>
      <c r="LO266">
        <v>0</v>
      </c>
      <c r="LP266">
        <v>0</v>
      </c>
      <c r="LQ266">
        <v>0</v>
      </c>
      <c r="LR266">
        <v>0</v>
      </c>
      <c r="LS266">
        <v>0</v>
      </c>
      <c r="LT266">
        <v>0</v>
      </c>
      <c r="LU266">
        <v>0</v>
      </c>
      <c r="LV266">
        <v>0</v>
      </c>
      <c r="LW266">
        <v>0</v>
      </c>
      <c r="LX266">
        <v>0</v>
      </c>
      <c r="LY266">
        <v>0</v>
      </c>
      <c r="LZ266">
        <v>0</v>
      </c>
      <c r="MA266">
        <v>0</v>
      </c>
      <c r="MB266">
        <v>0</v>
      </c>
      <c r="MC266">
        <v>0</v>
      </c>
      <c r="MD266">
        <v>0</v>
      </c>
      <c r="ME266">
        <v>0</v>
      </c>
      <c r="MF266">
        <v>0</v>
      </c>
      <c r="MG266">
        <v>0</v>
      </c>
      <c r="MH266">
        <v>0</v>
      </c>
      <c r="MI266">
        <v>0</v>
      </c>
      <c r="MJ266">
        <v>0</v>
      </c>
      <c r="MK266">
        <v>0</v>
      </c>
      <c r="ML266">
        <v>0</v>
      </c>
      <c r="MM266">
        <v>0</v>
      </c>
      <c r="MN266">
        <v>0</v>
      </c>
      <c r="MO266">
        <v>0</v>
      </c>
      <c r="MP266">
        <v>0</v>
      </c>
      <c r="MQ266">
        <v>0</v>
      </c>
      <c r="MR266">
        <v>0</v>
      </c>
      <c r="MS266">
        <v>0</v>
      </c>
      <c r="MT266">
        <v>0</v>
      </c>
      <c r="MU266">
        <v>0</v>
      </c>
      <c r="MV266">
        <v>0</v>
      </c>
      <c r="MW266">
        <v>0</v>
      </c>
      <c r="MX266">
        <v>0</v>
      </c>
      <c r="MY266">
        <v>0</v>
      </c>
      <c r="MZ266">
        <v>0</v>
      </c>
      <c r="NA266">
        <v>0</v>
      </c>
      <c r="NB266">
        <v>0</v>
      </c>
      <c r="NC266">
        <v>0</v>
      </c>
      <c r="ND266">
        <v>0</v>
      </c>
      <c r="NE266">
        <v>0</v>
      </c>
    </row>
    <row r="267" spans="41:369" x14ac:dyDescent="0.45">
      <c r="AO267" t="str">
        <v>D143</v>
      </c>
      <c r="AP267" t="str">
        <v>MUHAMMED MA</v>
      </c>
      <c r="AQ267" t="str">
        <v>BADF</v>
      </c>
      <c r="AR267" t="str">
        <v>SUPER SENIOR</v>
      </c>
      <c r="AS267">
        <v>9</v>
      </c>
      <c r="AT267">
        <v>6</v>
      </c>
      <c r="AU267">
        <v>0</v>
      </c>
      <c r="AV267">
        <v>6</v>
      </c>
      <c r="AW267">
        <v>6</v>
      </c>
      <c r="AX267">
        <v>171</v>
      </c>
      <c r="AY267" s="5">
        <v>171</v>
      </c>
      <c r="AZ267">
        <v>0</v>
      </c>
      <c r="BA267">
        <v>0</v>
      </c>
      <c r="BB267">
        <v>0</v>
      </c>
      <c r="BC267">
        <v>0</v>
      </c>
      <c r="BD267">
        <v>0</v>
      </c>
      <c r="BE267">
        <v>0</v>
      </c>
      <c r="BF267">
        <v>0</v>
      </c>
      <c r="BG267">
        <v>0</v>
      </c>
      <c r="BH267">
        <v>0</v>
      </c>
      <c r="BI267" t="str">
        <v/>
      </c>
      <c r="BK267">
        <v>261</v>
      </c>
      <c r="BL267">
        <v>0</v>
      </c>
      <c r="BM267">
        <v>0</v>
      </c>
      <c r="BN267">
        <v>0</v>
      </c>
      <c r="BO267">
        <v>0</v>
      </c>
      <c r="BP267">
        <v>0</v>
      </c>
      <c r="BQ267">
        <v>0</v>
      </c>
      <c r="BR267">
        <v>0</v>
      </c>
      <c r="BS267">
        <v>0</v>
      </c>
      <c r="BT267">
        <v>0</v>
      </c>
      <c r="BU267">
        <v>0</v>
      </c>
      <c r="BV267">
        <v>0</v>
      </c>
      <c r="BW267">
        <v>0</v>
      </c>
      <c r="BX267">
        <v>0</v>
      </c>
      <c r="BY267">
        <v>0</v>
      </c>
      <c r="BZ267">
        <v>0</v>
      </c>
      <c r="CA267">
        <v>0</v>
      </c>
      <c r="CB267">
        <v>0</v>
      </c>
      <c r="CC267">
        <v>0</v>
      </c>
      <c r="CD267">
        <v>0</v>
      </c>
      <c r="CE267">
        <v>0</v>
      </c>
      <c r="CF267">
        <v>0</v>
      </c>
      <c r="CG267">
        <v>0</v>
      </c>
      <c r="CH267">
        <v>0</v>
      </c>
      <c r="CI267">
        <v>0</v>
      </c>
      <c r="CJ267">
        <v>0</v>
      </c>
      <c r="CK267">
        <v>0</v>
      </c>
      <c r="CL267">
        <v>0</v>
      </c>
      <c r="CM267">
        <v>0</v>
      </c>
      <c r="CN267">
        <v>0</v>
      </c>
      <c r="CO267">
        <v>0</v>
      </c>
      <c r="CP267">
        <v>0</v>
      </c>
      <c r="CQ267">
        <v>0</v>
      </c>
      <c r="CR267">
        <v>0</v>
      </c>
      <c r="CS267">
        <v>0</v>
      </c>
      <c r="CT267">
        <v>0</v>
      </c>
      <c r="CU267">
        <v>0</v>
      </c>
      <c r="CV267">
        <v>0</v>
      </c>
      <c r="CW267">
        <v>0</v>
      </c>
      <c r="CX267">
        <v>0</v>
      </c>
      <c r="CY267">
        <v>0</v>
      </c>
      <c r="CZ267">
        <v>0</v>
      </c>
      <c r="DA267">
        <v>0</v>
      </c>
      <c r="DB267">
        <v>0</v>
      </c>
      <c r="DC267">
        <v>0</v>
      </c>
      <c r="DD267">
        <v>0</v>
      </c>
      <c r="DE267">
        <v>0</v>
      </c>
      <c r="DF267">
        <v>0</v>
      </c>
      <c r="DG267">
        <v>0</v>
      </c>
      <c r="DH267">
        <v>0</v>
      </c>
      <c r="DI267">
        <v>0</v>
      </c>
      <c r="DJ267">
        <v>0</v>
      </c>
      <c r="DK267">
        <v>0</v>
      </c>
      <c r="DL267">
        <v>0</v>
      </c>
      <c r="DM267">
        <v>0</v>
      </c>
      <c r="DN267">
        <v>0</v>
      </c>
      <c r="DO267">
        <v>0</v>
      </c>
      <c r="DP267">
        <v>0</v>
      </c>
      <c r="DQ267">
        <v>0</v>
      </c>
      <c r="DR267">
        <v>0</v>
      </c>
      <c r="DS267">
        <v>0</v>
      </c>
      <c r="DT267">
        <v>0</v>
      </c>
      <c r="DU267">
        <v>0</v>
      </c>
      <c r="DV267">
        <v>0</v>
      </c>
      <c r="DW267">
        <v>0</v>
      </c>
      <c r="DX267">
        <v>0</v>
      </c>
      <c r="DY267">
        <v>0</v>
      </c>
      <c r="DZ267">
        <v>0</v>
      </c>
      <c r="EA267">
        <v>0</v>
      </c>
      <c r="EB267">
        <v>0</v>
      </c>
      <c r="EC267">
        <v>0</v>
      </c>
      <c r="ED267">
        <v>0</v>
      </c>
      <c r="EE267">
        <v>0</v>
      </c>
      <c r="EF267">
        <v>0</v>
      </c>
      <c r="EG267">
        <v>0</v>
      </c>
      <c r="EH267">
        <v>0</v>
      </c>
      <c r="EI267">
        <v>0</v>
      </c>
      <c r="EJ267">
        <v>0</v>
      </c>
      <c r="EK267">
        <v>0</v>
      </c>
      <c r="EL267">
        <v>0</v>
      </c>
      <c r="EM267">
        <v>0</v>
      </c>
      <c r="EN267">
        <v>0</v>
      </c>
      <c r="EO267">
        <v>0</v>
      </c>
      <c r="EP267">
        <v>0</v>
      </c>
      <c r="EQ267">
        <v>0</v>
      </c>
      <c r="ER267">
        <v>0</v>
      </c>
      <c r="ES267">
        <v>0</v>
      </c>
      <c r="ET267">
        <v>0</v>
      </c>
      <c r="EU267">
        <v>0</v>
      </c>
      <c r="EV267">
        <v>0</v>
      </c>
      <c r="EW267">
        <v>0</v>
      </c>
      <c r="EX267">
        <v>0</v>
      </c>
      <c r="EY267">
        <v>0</v>
      </c>
      <c r="EZ267">
        <v>0</v>
      </c>
      <c r="FA267">
        <v>0</v>
      </c>
      <c r="FB267">
        <v>0</v>
      </c>
      <c r="FC267">
        <v>0</v>
      </c>
      <c r="FD267">
        <v>0</v>
      </c>
      <c r="FE267">
        <v>0</v>
      </c>
      <c r="FF267">
        <v>0</v>
      </c>
      <c r="FG267">
        <v>0</v>
      </c>
      <c r="FH267">
        <v>0</v>
      </c>
      <c r="FI267">
        <v>0</v>
      </c>
      <c r="FJ267">
        <v>0</v>
      </c>
      <c r="FK267">
        <v>0</v>
      </c>
      <c r="FL267">
        <v>0</v>
      </c>
      <c r="FM267">
        <v>0</v>
      </c>
      <c r="FN267">
        <v>0</v>
      </c>
      <c r="FO267">
        <v>0</v>
      </c>
      <c r="FP267">
        <v>0</v>
      </c>
      <c r="FQ267">
        <v>0</v>
      </c>
      <c r="FR267">
        <v>0</v>
      </c>
      <c r="FS267">
        <v>0</v>
      </c>
      <c r="FT267">
        <v>0</v>
      </c>
      <c r="FU267">
        <v>0</v>
      </c>
      <c r="FV267">
        <v>0</v>
      </c>
      <c r="FW267">
        <v>0</v>
      </c>
      <c r="FX267">
        <v>0</v>
      </c>
      <c r="FY267">
        <v>0</v>
      </c>
      <c r="FZ267">
        <v>0</v>
      </c>
      <c r="GA267">
        <v>0</v>
      </c>
      <c r="GB267">
        <v>0</v>
      </c>
      <c r="GC267">
        <v>0</v>
      </c>
      <c r="GD267">
        <v>0</v>
      </c>
      <c r="GE267">
        <v>0</v>
      </c>
      <c r="GF267">
        <v>0</v>
      </c>
      <c r="GG267">
        <v>0</v>
      </c>
      <c r="GH267">
        <v>0</v>
      </c>
      <c r="GI267">
        <v>0</v>
      </c>
      <c r="GJ267">
        <v>0</v>
      </c>
      <c r="GK267">
        <v>0</v>
      </c>
      <c r="GL267">
        <v>0</v>
      </c>
      <c r="GM267">
        <v>0</v>
      </c>
      <c r="GN267">
        <v>0</v>
      </c>
      <c r="GO267">
        <v>0</v>
      </c>
      <c r="GP267">
        <v>0</v>
      </c>
      <c r="GQ267">
        <v>0</v>
      </c>
      <c r="GR267">
        <v>0</v>
      </c>
      <c r="GS267">
        <v>0</v>
      </c>
      <c r="GT267">
        <v>0</v>
      </c>
      <c r="GU267">
        <v>0</v>
      </c>
      <c r="GV267">
        <v>0</v>
      </c>
      <c r="GW267">
        <v>0</v>
      </c>
      <c r="GX267">
        <v>0</v>
      </c>
      <c r="GY267">
        <v>0</v>
      </c>
      <c r="GZ267">
        <v>0</v>
      </c>
      <c r="HA267">
        <v>0</v>
      </c>
      <c r="HB267">
        <v>0</v>
      </c>
      <c r="HC267">
        <v>0</v>
      </c>
      <c r="HD267">
        <v>0</v>
      </c>
      <c r="HE267">
        <v>0</v>
      </c>
      <c r="HF267">
        <v>0</v>
      </c>
      <c r="HG267">
        <v>0</v>
      </c>
      <c r="HH267">
        <v>0</v>
      </c>
      <c r="HI267">
        <v>0</v>
      </c>
      <c r="HJ267">
        <v>0</v>
      </c>
      <c r="HK267">
        <v>0</v>
      </c>
      <c r="HL267">
        <v>0</v>
      </c>
      <c r="HM267">
        <v>0</v>
      </c>
      <c r="HN267">
        <v>0</v>
      </c>
      <c r="HO267">
        <v>0</v>
      </c>
      <c r="HP267">
        <v>0</v>
      </c>
      <c r="HQ267">
        <v>0</v>
      </c>
      <c r="HR267">
        <v>0</v>
      </c>
      <c r="HS267">
        <v>0</v>
      </c>
      <c r="HT267">
        <v>0</v>
      </c>
      <c r="HU267">
        <v>0</v>
      </c>
      <c r="HV267">
        <v>0</v>
      </c>
      <c r="HW267">
        <v>0</v>
      </c>
      <c r="HX267">
        <v>0</v>
      </c>
      <c r="HY267">
        <v>0</v>
      </c>
      <c r="HZ267">
        <v>0</v>
      </c>
      <c r="IA267">
        <v>0</v>
      </c>
      <c r="IB267">
        <v>0</v>
      </c>
      <c r="IC267">
        <v>0</v>
      </c>
      <c r="ID267">
        <v>0</v>
      </c>
      <c r="IE267">
        <v>0</v>
      </c>
      <c r="IF267">
        <v>0</v>
      </c>
      <c r="IG267">
        <v>0</v>
      </c>
      <c r="IH267">
        <v>0</v>
      </c>
      <c r="II267">
        <v>0</v>
      </c>
      <c r="IJ267">
        <v>0</v>
      </c>
      <c r="IK267">
        <v>0</v>
      </c>
      <c r="IL267">
        <v>0</v>
      </c>
      <c r="IM267">
        <v>0</v>
      </c>
      <c r="IN267">
        <v>0</v>
      </c>
      <c r="IO267">
        <v>0</v>
      </c>
      <c r="IP267">
        <v>0</v>
      </c>
      <c r="IQ267">
        <v>0</v>
      </c>
      <c r="IR267">
        <v>0</v>
      </c>
      <c r="IS267">
        <v>0</v>
      </c>
      <c r="IT267">
        <v>0</v>
      </c>
      <c r="IU267">
        <v>0</v>
      </c>
      <c r="IV267">
        <v>0</v>
      </c>
      <c r="IW267">
        <v>0</v>
      </c>
      <c r="IX267">
        <v>0</v>
      </c>
      <c r="IY267">
        <v>0</v>
      </c>
      <c r="IZ267">
        <v>0</v>
      </c>
      <c r="JA267">
        <v>0</v>
      </c>
      <c r="JB267">
        <v>0</v>
      </c>
      <c r="JC267">
        <v>0</v>
      </c>
      <c r="JD267">
        <v>0</v>
      </c>
      <c r="JE267">
        <v>0</v>
      </c>
      <c r="JF267">
        <v>0</v>
      </c>
      <c r="JG267">
        <v>0</v>
      </c>
      <c r="JH267">
        <v>0</v>
      </c>
      <c r="JI267">
        <v>0</v>
      </c>
      <c r="JJ267">
        <v>0</v>
      </c>
      <c r="JK267">
        <v>0</v>
      </c>
      <c r="JL267">
        <v>0</v>
      </c>
      <c r="JM267">
        <v>0</v>
      </c>
      <c r="JN267">
        <v>0</v>
      </c>
      <c r="JO267">
        <v>0</v>
      </c>
      <c r="JP267">
        <v>0</v>
      </c>
      <c r="JQ267">
        <v>0</v>
      </c>
      <c r="JR267">
        <v>0</v>
      </c>
      <c r="JS267">
        <v>0</v>
      </c>
      <c r="JT267">
        <v>0</v>
      </c>
      <c r="JU267">
        <v>0</v>
      </c>
      <c r="JV267">
        <v>0</v>
      </c>
      <c r="JW267">
        <v>0</v>
      </c>
      <c r="JX267">
        <v>0</v>
      </c>
      <c r="JY267">
        <v>0</v>
      </c>
      <c r="JZ267">
        <v>0</v>
      </c>
      <c r="KA267">
        <v>0</v>
      </c>
      <c r="KB267">
        <v>0</v>
      </c>
      <c r="KC267">
        <v>0</v>
      </c>
      <c r="KD267">
        <v>0</v>
      </c>
      <c r="KE267">
        <v>0</v>
      </c>
      <c r="KF267">
        <v>0</v>
      </c>
      <c r="KG267">
        <v>0</v>
      </c>
      <c r="KH267">
        <v>0</v>
      </c>
      <c r="KI267">
        <v>0</v>
      </c>
      <c r="KJ267">
        <v>0</v>
      </c>
      <c r="KK267">
        <v>0</v>
      </c>
      <c r="KL267">
        <v>0</v>
      </c>
      <c r="KM267">
        <v>0</v>
      </c>
      <c r="KN267">
        <v>0</v>
      </c>
      <c r="KO267">
        <v>0</v>
      </c>
      <c r="KP267">
        <v>0</v>
      </c>
      <c r="KQ267">
        <v>0</v>
      </c>
      <c r="KR267">
        <v>0</v>
      </c>
      <c r="KS267">
        <v>0</v>
      </c>
      <c r="KT267">
        <v>0</v>
      </c>
      <c r="KU267">
        <v>0</v>
      </c>
      <c r="KV267">
        <v>0</v>
      </c>
      <c r="KW267">
        <v>0</v>
      </c>
      <c r="KX267">
        <v>0</v>
      </c>
      <c r="KY267">
        <v>0</v>
      </c>
      <c r="KZ267">
        <v>0</v>
      </c>
      <c r="LA267">
        <v>0</v>
      </c>
      <c r="LB267">
        <v>0</v>
      </c>
      <c r="LC267">
        <v>0</v>
      </c>
      <c r="LD267">
        <v>0</v>
      </c>
      <c r="LE267">
        <v>0</v>
      </c>
      <c r="LF267">
        <v>0</v>
      </c>
      <c r="LG267">
        <v>0</v>
      </c>
      <c r="LH267">
        <v>0</v>
      </c>
      <c r="LI267">
        <v>0</v>
      </c>
      <c r="LJ267">
        <v>0</v>
      </c>
      <c r="LK267">
        <v>0</v>
      </c>
      <c r="LL267">
        <v>0</v>
      </c>
      <c r="LM267">
        <v>0</v>
      </c>
      <c r="LN267">
        <v>0</v>
      </c>
      <c r="LO267">
        <v>0</v>
      </c>
      <c r="LP267">
        <v>0</v>
      </c>
      <c r="LQ267">
        <v>0</v>
      </c>
      <c r="LR267">
        <v>0</v>
      </c>
      <c r="LS267">
        <v>0</v>
      </c>
      <c r="LT267">
        <v>0</v>
      </c>
      <c r="LU267">
        <v>0</v>
      </c>
      <c r="LV267">
        <v>0</v>
      </c>
      <c r="LW267">
        <v>0</v>
      </c>
      <c r="LX267">
        <v>0</v>
      </c>
      <c r="LY267">
        <v>0</v>
      </c>
      <c r="LZ267">
        <v>0</v>
      </c>
      <c r="MA267">
        <v>0</v>
      </c>
      <c r="MB267">
        <v>0</v>
      </c>
      <c r="MC267">
        <v>0</v>
      </c>
      <c r="MD267">
        <v>0</v>
      </c>
      <c r="ME267">
        <v>0</v>
      </c>
      <c r="MF267">
        <v>0</v>
      </c>
      <c r="MG267">
        <v>0</v>
      </c>
      <c r="MH267">
        <v>0</v>
      </c>
      <c r="MI267">
        <v>0</v>
      </c>
      <c r="MJ267">
        <v>0</v>
      </c>
      <c r="MK267">
        <v>0</v>
      </c>
      <c r="ML267">
        <v>0</v>
      </c>
      <c r="MM267">
        <v>0</v>
      </c>
      <c r="MN267">
        <v>0</v>
      </c>
      <c r="MO267">
        <v>0</v>
      </c>
      <c r="MP267">
        <v>0</v>
      </c>
      <c r="MQ267">
        <v>0</v>
      </c>
      <c r="MR267">
        <v>0</v>
      </c>
      <c r="MS267">
        <v>0</v>
      </c>
      <c r="MT267">
        <v>0</v>
      </c>
      <c r="MU267">
        <v>0</v>
      </c>
      <c r="MV267">
        <v>0</v>
      </c>
      <c r="MW267">
        <v>0</v>
      </c>
      <c r="MX267">
        <v>0</v>
      </c>
      <c r="MY267">
        <v>0</v>
      </c>
      <c r="MZ267">
        <v>0</v>
      </c>
      <c r="NA267">
        <v>0</v>
      </c>
      <c r="NB267">
        <v>0</v>
      </c>
      <c r="NC267">
        <v>0</v>
      </c>
      <c r="ND267">
        <v>0</v>
      </c>
      <c r="NE267">
        <v>0</v>
      </c>
    </row>
    <row r="268" spans="41:369" x14ac:dyDescent="0.45">
      <c r="AO268" t="str">
        <v>D144</v>
      </c>
      <c r="AP268" t="str">
        <v>MUHAMMED RASHAD KA</v>
      </c>
      <c r="AQ268" t="str">
        <v>JARF</v>
      </c>
      <c r="AR268" t="str">
        <v>SUPER SENIOR</v>
      </c>
      <c r="AS268">
        <v>9</v>
      </c>
      <c r="AT268">
        <v>0</v>
      </c>
      <c r="AU268">
        <v>0</v>
      </c>
      <c r="AV268">
        <v>0</v>
      </c>
      <c r="AW268">
        <v>0</v>
      </c>
      <c r="AX268">
        <v>255</v>
      </c>
      <c r="AY268" s="5">
        <v>255</v>
      </c>
      <c r="AZ268">
        <v>0</v>
      </c>
      <c r="BA268">
        <v>0</v>
      </c>
      <c r="BB268">
        <v>0</v>
      </c>
      <c r="BC268">
        <v>0</v>
      </c>
      <c r="BD268">
        <v>0</v>
      </c>
      <c r="BE268">
        <v>0</v>
      </c>
      <c r="BF268">
        <v>0</v>
      </c>
      <c r="BG268">
        <v>0</v>
      </c>
      <c r="BH268">
        <v>0</v>
      </c>
      <c r="BI268" t="str">
        <v/>
      </c>
      <c r="BK268">
        <v>262</v>
      </c>
      <c r="BL268">
        <v>0</v>
      </c>
      <c r="BM268">
        <v>0</v>
      </c>
      <c r="BN268">
        <v>0</v>
      </c>
      <c r="BO268">
        <v>0</v>
      </c>
      <c r="BP268">
        <v>0</v>
      </c>
      <c r="BQ268">
        <v>0</v>
      </c>
      <c r="BR268">
        <v>0</v>
      </c>
      <c r="BS268">
        <v>0</v>
      </c>
      <c r="BT268">
        <v>0</v>
      </c>
      <c r="BU268">
        <v>0</v>
      </c>
      <c r="BV268">
        <v>0</v>
      </c>
      <c r="BW268">
        <v>0</v>
      </c>
      <c r="BX268">
        <v>0</v>
      </c>
      <c r="BY268">
        <v>0</v>
      </c>
      <c r="BZ268">
        <v>0</v>
      </c>
      <c r="CA268">
        <v>0</v>
      </c>
      <c r="CB268">
        <v>0</v>
      </c>
      <c r="CC268">
        <v>0</v>
      </c>
      <c r="CD268">
        <v>0</v>
      </c>
      <c r="CE268">
        <v>0</v>
      </c>
      <c r="CF268">
        <v>0</v>
      </c>
      <c r="CG268">
        <v>0</v>
      </c>
      <c r="CH268">
        <v>0</v>
      </c>
      <c r="CI268">
        <v>0</v>
      </c>
      <c r="CJ268">
        <v>0</v>
      </c>
      <c r="CK268">
        <v>0</v>
      </c>
      <c r="CL268">
        <v>0</v>
      </c>
      <c r="CM268">
        <v>0</v>
      </c>
      <c r="CN268">
        <v>0</v>
      </c>
      <c r="CO268">
        <v>0</v>
      </c>
      <c r="CP268">
        <v>0</v>
      </c>
      <c r="CQ268">
        <v>0</v>
      </c>
      <c r="CR268">
        <v>0</v>
      </c>
      <c r="CS268">
        <v>0</v>
      </c>
      <c r="CT268">
        <v>0</v>
      </c>
      <c r="CU268">
        <v>0</v>
      </c>
      <c r="CV268">
        <v>0</v>
      </c>
      <c r="CW268">
        <v>0</v>
      </c>
      <c r="CX268">
        <v>0</v>
      </c>
      <c r="CY268">
        <v>0</v>
      </c>
      <c r="CZ268">
        <v>0</v>
      </c>
      <c r="DA268">
        <v>0</v>
      </c>
      <c r="DB268">
        <v>0</v>
      </c>
      <c r="DC268">
        <v>0</v>
      </c>
      <c r="DD268">
        <v>0</v>
      </c>
      <c r="DE268">
        <v>0</v>
      </c>
      <c r="DF268">
        <v>0</v>
      </c>
      <c r="DG268">
        <v>0</v>
      </c>
      <c r="DH268">
        <v>0</v>
      </c>
      <c r="DI268">
        <v>0</v>
      </c>
      <c r="DJ268">
        <v>0</v>
      </c>
      <c r="DK268">
        <v>0</v>
      </c>
      <c r="DL268">
        <v>0</v>
      </c>
      <c r="DM268">
        <v>0</v>
      </c>
      <c r="DN268">
        <v>0</v>
      </c>
      <c r="DO268">
        <v>0</v>
      </c>
      <c r="DP268">
        <v>0</v>
      </c>
      <c r="DQ268">
        <v>0</v>
      </c>
      <c r="DR268">
        <v>0</v>
      </c>
      <c r="DS268">
        <v>0</v>
      </c>
      <c r="DT268">
        <v>0</v>
      </c>
      <c r="DU268">
        <v>0</v>
      </c>
      <c r="DV268">
        <v>0</v>
      </c>
      <c r="DW268">
        <v>0</v>
      </c>
      <c r="DX268">
        <v>0</v>
      </c>
      <c r="DY268">
        <v>0</v>
      </c>
      <c r="DZ268">
        <v>0</v>
      </c>
      <c r="EA268">
        <v>0</v>
      </c>
      <c r="EB268">
        <v>0</v>
      </c>
      <c r="EC268">
        <v>0</v>
      </c>
      <c r="ED268">
        <v>0</v>
      </c>
      <c r="EE268">
        <v>0</v>
      </c>
      <c r="EF268">
        <v>0</v>
      </c>
      <c r="EG268">
        <v>0</v>
      </c>
      <c r="EH268">
        <v>0</v>
      </c>
      <c r="EI268">
        <v>0</v>
      </c>
      <c r="EJ268">
        <v>0</v>
      </c>
      <c r="EK268">
        <v>0</v>
      </c>
      <c r="EL268">
        <v>0</v>
      </c>
      <c r="EM268">
        <v>0</v>
      </c>
      <c r="EN268">
        <v>0</v>
      </c>
      <c r="EO268">
        <v>0</v>
      </c>
      <c r="EP268">
        <v>0</v>
      </c>
      <c r="EQ268">
        <v>0</v>
      </c>
      <c r="ER268">
        <v>0</v>
      </c>
      <c r="ES268">
        <v>0</v>
      </c>
      <c r="ET268">
        <v>0</v>
      </c>
      <c r="EU268">
        <v>0</v>
      </c>
      <c r="EV268">
        <v>0</v>
      </c>
      <c r="EW268">
        <v>0</v>
      </c>
      <c r="EX268">
        <v>0</v>
      </c>
      <c r="EY268">
        <v>0</v>
      </c>
      <c r="EZ268">
        <v>0</v>
      </c>
      <c r="FA268">
        <v>0</v>
      </c>
      <c r="FB268">
        <v>0</v>
      </c>
      <c r="FC268">
        <v>0</v>
      </c>
      <c r="FD268">
        <v>0</v>
      </c>
      <c r="FE268">
        <v>0</v>
      </c>
      <c r="FF268">
        <v>0</v>
      </c>
      <c r="FG268">
        <v>0</v>
      </c>
      <c r="FH268">
        <v>0</v>
      </c>
      <c r="FI268">
        <v>0</v>
      </c>
      <c r="FJ268">
        <v>0</v>
      </c>
      <c r="FK268">
        <v>0</v>
      </c>
      <c r="FL268">
        <v>0</v>
      </c>
      <c r="FM268">
        <v>0</v>
      </c>
      <c r="FN268">
        <v>0</v>
      </c>
      <c r="FO268">
        <v>0</v>
      </c>
      <c r="FP268">
        <v>0</v>
      </c>
      <c r="FQ268">
        <v>0</v>
      </c>
      <c r="FR268">
        <v>0</v>
      </c>
      <c r="FS268">
        <v>0</v>
      </c>
      <c r="FT268">
        <v>0</v>
      </c>
      <c r="FU268">
        <v>0</v>
      </c>
      <c r="FV268">
        <v>0</v>
      </c>
      <c r="FW268">
        <v>0</v>
      </c>
      <c r="FX268">
        <v>0</v>
      </c>
      <c r="FY268">
        <v>0</v>
      </c>
      <c r="FZ268">
        <v>0</v>
      </c>
      <c r="GA268">
        <v>0</v>
      </c>
      <c r="GB268">
        <v>0</v>
      </c>
      <c r="GC268">
        <v>0</v>
      </c>
      <c r="GD268">
        <v>0</v>
      </c>
      <c r="GE268">
        <v>0</v>
      </c>
      <c r="GF268">
        <v>0</v>
      </c>
      <c r="GG268">
        <v>0</v>
      </c>
      <c r="GH268">
        <v>0</v>
      </c>
      <c r="GI268">
        <v>0</v>
      </c>
      <c r="GJ268">
        <v>0</v>
      </c>
      <c r="GK268">
        <v>0</v>
      </c>
      <c r="GL268">
        <v>0</v>
      </c>
      <c r="GM268">
        <v>0</v>
      </c>
      <c r="GN268">
        <v>0</v>
      </c>
      <c r="GO268">
        <v>0</v>
      </c>
      <c r="GP268">
        <v>0</v>
      </c>
      <c r="GQ268">
        <v>0</v>
      </c>
      <c r="GR268">
        <v>0</v>
      </c>
      <c r="GS268">
        <v>0</v>
      </c>
      <c r="GT268">
        <v>0</v>
      </c>
      <c r="GU268">
        <v>0</v>
      </c>
      <c r="GV268">
        <v>0</v>
      </c>
      <c r="GW268">
        <v>0</v>
      </c>
      <c r="GX268">
        <v>0</v>
      </c>
      <c r="GY268">
        <v>0</v>
      </c>
      <c r="GZ268">
        <v>0</v>
      </c>
      <c r="HA268">
        <v>0</v>
      </c>
      <c r="HB268">
        <v>0</v>
      </c>
      <c r="HC268">
        <v>0</v>
      </c>
      <c r="HD268">
        <v>0</v>
      </c>
      <c r="HE268">
        <v>0</v>
      </c>
      <c r="HF268">
        <v>0</v>
      </c>
      <c r="HG268">
        <v>0</v>
      </c>
      <c r="HH268">
        <v>0</v>
      </c>
      <c r="HI268">
        <v>0</v>
      </c>
      <c r="HJ268">
        <v>0</v>
      </c>
      <c r="HK268">
        <v>0</v>
      </c>
      <c r="HL268">
        <v>0</v>
      </c>
      <c r="HM268">
        <v>0</v>
      </c>
      <c r="HN268">
        <v>0</v>
      </c>
      <c r="HO268">
        <v>0</v>
      </c>
      <c r="HP268">
        <v>0</v>
      </c>
      <c r="HQ268">
        <v>0</v>
      </c>
      <c r="HR268">
        <v>0</v>
      </c>
      <c r="HS268">
        <v>0</v>
      </c>
      <c r="HT268">
        <v>0</v>
      </c>
      <c r="HU268">
        <v>0</v>
      </c>
      <c r="HV268">
        <v>0</v>
      </c>
      <c r="HW268">
        <v>0</v>
      </c>
      <c r="HX268">
        <v>0</v>
      </c>
      <c r="HY268">
        <v>0</v>
      </c>
      <c r="HZ268">
        <v>0</v>
      </c>
      <c r="IA268">
        <v>0</v>
      </c>
      <c r="IB268">
        <v>0</v>
      </c>
      <c r="IC268">
        <v>0</v>
      </c>
      <c r="ID268">
        <v>0</v>
      </c>
      <c r="IE268">
        <v>0</v>
      </c>
      <c r="IF268">
        <v>0</v>
      </c>
      <c r="IG268">
        <v>0</v>
      </c>
      <c r="IH268">
        <v>0</v>
      </c>
      <c r="II268">
        <v>0</v>
      </c>
      <c r="IJ268">
        <v>0</v>
      </c>
      <c r="IK268">
        <v>0</v>
      </c>
      <c r="IL268">
        <v>0</v>
      </c>
      <c r="IM268">
        <v>0</v>
      </c>
      <c r="IN268">
        <v>0</v>
      </c>
      <c r="IO268">
        <v>0</v>
      </c>
      <c r="IP268">
        <v>0</v>
      </c>
      <c r="IQ268">
        <v>0</v>
      </c>
      <c r="IR268">
        <v>0</v>
      </c>
      <c r="IS268">
        <v>0</v>
      </c>
      <c r="IT268">
        <v>0</v>
      </c>
      <c r="IU268">
        <v>0</v>
      </c>
      <c r="IV268">
        <v>0</v>
      </c>
      <c r="IW268">
        <v>0</v>
      </c>
      <c r="IX268">
        <v>0</v>
      </c>
      <c r="IY268">
        <v>0</v>
      </c>
      <c r="IZ268">
        <v>0</v>
      </c>
      <c r="JA268">
        <v>0</v>
      </c>
      <c r="JB268">
        <v>0</v>
      </c>
      <c r="JC268">
        <v>0</v>
      </c>
      <c r="JD268">
        <v>0</v>
      </c>
      <c r="JE268">
        <v>0</v>
      </c>
      <c r="JF268">
        <v>0</v>
      </c>
      <c r="JG268">
        <v>0</v>
      </c>
      <c r="JH268">
        <v>0</v>
      </c>
      <c r="JI268">
        <v>0</v>
      </c>
      <c r="JJ268">
        <v>0</v>
      </c>
      <c r="JK268">
        <v>0</v>
      </c>
      <c r="JL268">
        <v>0</v>
      </c>
      <c r="JM268">
        <v>0</v>
      </c>
      <c r="JN268">
        <v>0</v>
      </c>
      <c r="JO268">
        <v>0</v>
      </c>
      <c r="JP268">
        <v>0</v>
      </c>
      <c r="JQ268">
        <v>0</v>
      </c>
      <c r="JR268">
        <v>0</v>
      </c>
      <c r="JS268">
        <v>0</v>
      </c>
      <c r="JT268">
        <v>0</v>
      </c>
      <c r="JU268">
        <v>0</v>
      </c>
      <c r="JV268">
        <v>0</v>
      </c>
      <c r="JW268">
        <v>0</v>
      </c>
      <c r="JX268">
        <v>0</v>
      </c>
      <c r="JY268">
        <v>0</v>
      </c>
      <c r="JZ268">
        <v>0</v>
      </c>
      <c r="KA268">
        <v>0</v>
      </c>
      <c r="KB268">
        <v>0</v>
      </c>
      <c r="KC268">
        <v>0</v>
      </c>
      <c r="KD268">
        <v>0</v>
      </c>
      <c r="KE268">
        <v>0</v>
      </c>
      <c r="KF268">
        <v>0</v>
      </c>
      <c r="KG268">
        <v>0</v>
      </c>
      <c r="KH268">
        <v>0</v>
      </c>
      <c r="KI268">
        <v>0</v>
      </c>
      <c r="KJ268">
        <v>0</v>
      </c>
      <c r="KK268">
        <v>0</v>
      </c>
      <c r="KL268">
        <v>0</v>
      </c>
      <c r="KM268">
        <v>0</v>
      </c>
      <c r="KN268">
        <v>0</v>
      </c>
      <c r="KO268">
        <v>0</v>
      </c>
      <c r="KP268">
        <v>0</v>
      </c>
      <c r="KQ268">
        <v>0</v>
      </c>
      <c r="KR268">
        <v>0</v>
      </c>
      <c r="KS268">
        <v>0</v>
      </c>
      <c r="KT268">
        <v>0</v>
      </c>
      <c r="KU268">
        <v>0</v>
      </c>
      <c r="KV268">
        <v>0</v>
      </c>
      <c r="KW268">
        <v>0</v>
      </c>
      <c r="KX268">
        <v>0</v>
      </c>
      <c r="KY268">
        <v>0</v>
      </c>
      <c r="KZ268">
        <v>0</v>
      </c>
      <c r="LA268">
        <v>0</v>
      </c>
      <c r="LB268">
        <v>0</v>
      </c>
      <c r="LC268">
        <v>0</v>
      </c>
      <c r="LD268">
        <v>0</v>
      </c>
      <c r="LE268">
        <v>0</v>
      </c>
      <c r="LF268">
        <v>0</v>
      </c>
      <c r="LG268">
        <v>0</v>
      </c>
      <c r="LH268">
        <v>0</v>
      </c>
      <c r="LI268">
        <v>0</v>
      </c>
      <c r="LJ268">
        <v>0</v>
      </c>
      <c r="LK268">
        <v>0</v>
      </c>
      <c r="LL268">
        <v>0</v>
      </c>
      <c r="LM268">
        <v>0</v>
      </c>
      <c r="LN268">
        <v>0</v>
      </c>
      <c r="LO268">
        <v>0</v>
      </c>
      <c r="LP268">
        <v>0</v>
      </c>
      <c r="LQ268">
        <v>0</v>
      </c>
      <c r="LR268">
        <v>0</v>
      </c>
      <c r="LS268">
        <v>0</v>
      </c>
      <c r="LT268">
        <v>0</v>
      </c>
      <c r="LU268">
        <v>0</v>
      </c>
      <c r="LV268">
        <v>0</v>
      </c>
      <c r="LW268">
        <v>0</v>
      </c>
      <c r="LX268">
        <v>0</v>
      </c>
      <c r="LY268">
        <v>0</v>
      </c>
      <c r="LZ268">
        <v>0</v>
      </c>
      <c r="MA268">
        <v>0</v>
      </c>
      <c r="MB268">
        <v>0</v>
      </c>
      <c r="MC268">
        <v>0</v>
      </c>
      <c r="MD268">
        <v>0</v>
      </c>
      <c r="ME268">
        <v>0</v>
      </c>
      <c r="MF268">
        <v>0</v>
      </c>
      <c r="MG268">
        <v>0</v>
      </c>
      <c r="MH268">
        <v>0</v>
      </c>
      <c r="MI268">
        <v>0</v>
      </c>
      <c r="MJ268">
        <v>0</v>
      </c>
      <c r="MK268">
        <v>0</v>
      </c>
      <c r="ML268">
        <v>0</v>
      </c>
      <c r="MM268">
        <v>0</v>
      </c>
      <c r="MN268">
        <v>0</v>
      </c>
      <c r="MO268">
        <v>0</v>
      </c>
      <c r="MP268">
        <v>0</v>
      </c>
      <c r="MQ268">
        <v>0</v>
      </c>
      <c r="MR268">
        <v>0</v>
      </c>
      <c r="MS268">
        <v>0</v>
      </c>
      <c r="MT268">
        <v>0</v>
      </c>
      <c r="MU268">
        <v>0</v>
      </c>
      <c r="MV268">
        <v>0</v>
      </c>
      <c r="MW268">
        <v>0</v>
      </c>
      <c r="MX268">
        <v>0</v>
      </c>
      <c r="MY268">
        <v>0</v>
      </c>
      <c r="MZ268">
        <v>0</v>
      </c>
      <c r="NA268">
        <v>0</v>
      </c>
      <c r="NB268">
        <v>0</v>
      </c>
      <c r="NC268">
        <v>0</v>
      </c>
      <c r="ND268">
        <v>0</v>
      </c>
      <c r="NE268">
        <v>0</v>
      </c>
    </row>
    <row r="269" spans="41:369" x14ac:dyDescent="0.45">
      <c r="AO269" t="str">
        <v>D145</v>
      </c>
      <c r="AP269" t="str">
        <v>ABBAS ARFAS O.R</v>
      </c>
      <c r="AQ269" t="str">
        <v>BADF</v>
      </c>
      <c r="AR269" t="str">
        <v>SUPER SENIOR</v>
      </c>
      <c r="AS269">
        <v>9</v>
      </c>
      <c r="AT269">
        <v>10</v>
      </c>
      <c r="AU269">
        <v>0</v>
      </c>
      <c r="AV269">
        <v>10</v>
      </c>
      <c r="AW269">
        <v>10</v>
      </c>
      <c r="AX269">
        <v>131</v>
      </c>
      <c r="AY269" s="5">
        <v>131</v>
      </c>
      <c r="AZ269">
        <v>0</v>
      </c>
      <c r="BA269">
        <v>0</v>
      </c>
      <c r="BB269">
        <v>0</v>
      </c>
      <c r="BC269">
        <v>0</v>
      </c>
      <c r="BD269">
        <v>0</v>
      </c>
      <c r="BE269">
        <v>0</v>
      </c>
      <c r="BF269">
        <v>0</v>
      </c>
      <c r="BG269">
        <v>0</v>
      </c>
      <c r="BH269">
        <v>0</v>
      </c>
      <c r="BI269" t="str">
        <v/>
      </c>
      <c r="BK269">
        <v>263</v>
      </c>
      <c r="BL269">
        <v>0</v>
      </c>
      <c r="BM269">
        <v>0</v>
      </c>
      <c r="BN269">
        <v>0</v>
      </c>
      <c r="BO269">
        <v>0</v>
      </c>
      <c r="BP269">
        <v>0</v>
      </c>
      <c r="BQ269">
        <v>0</v>
      </c>
      <c r="BR269">
        <v>0</v>
      </c>
      <c r="BS269">
        <v>0</v>
      </c>
      <c r="BT269">
        <v>0</v>
      </c>
      <c r="BU269">
        <v>0</v>
      </c>
      <c r="BV269">
        <v>0</v>
      </c>
      <c r="BW269">
        <v>0</v>
      </c>
      <c r="BX269">
        <v>0</v>
      </c>
      <c r="BY269">
        <v>0</v>
      </c>
      <c r="BZ269">
        <v>0</v>
      </c>
      <c r="CA269">
        <v>0</v>
      </c>
      <c r="CB269">
        <v>0</v>
      </c>
      <c r="CC269">
        <v>0</v>
      </c>
      <c r="CD269">
        <v>0</v>
      </c>
      <c r="CE269">
        <v>0</v>
      </c>
      <c r="CF269">
        <v>0</v>
      </c>
      <c r="CG269">
        <v>0</v>
      </c>
      <c r="CH269">
        <v>0</v>
      </c>
      <c r="CI269">
        <v>0</v>
      </c>
      <c r="CJ269">
        <v>0</v>
      </c>
      <c r="CK269">
        <v>0</v>
      </c>
      <c r="CL269">
        <v>0</v>
      </c>
      <c r="CM269">
        <v>0</v>
      </c>
      <c r="CN269">
        <v>0</v>
      </c>
      <c r="CO269">
        <v>0</v>
      </c>
      <c r="CP269">
        <v>0</v>
      </c>
      <c r="CQ269">
        <v>0</v>
      </c>
      <c r="CR269">
        <v>0</v>
      </c>
      <c r="CS269">
        <v>0</v>
      </c>
      <c r="CT269">
        <v>0</v>
      </c>
      <c r="CU269">
        <v>0</v>
      </c>
      <c r="CV269">
        <v>0</v>
      </c>
      <c r="CW269">
        <v>0</v>
      </c>
      <c r="CX269">
        <v>0</v>
      </c>
      <c r="CY269">
        <v>0</v>
      </c>
      <c r="CZ269">
        <v>0</v>
      </c>
      <c r="DA269">
        <v>0</v>
      </c>
      <c r="DB269">
        <v>0</v>
      </c>
      <c r="DC269">
        <v>0</v>
      </c>
      <c r="DD269">
        <v>0</v>
      </c>
      <c r="DE269">
        <v>0</v>
      </c>
      <c r="DF269">
        <v>0</v>
      </c>
      <c r="DG269">
        <v>0</v>
      </c>
      <c r="DH269">
        <v>0</v>
      </c>
      <c r="DI269">
        <v>0</v>
      </c>
      <c r="DJ269">
        <v>0</v>
      </c>
      <c r="DK269">
        <v>0</v>
      </c>
      <c r="DL269">
        <v>0</v>
      </c>
      <c r="DM269">
        <v>0</v>
      </c>
      <c r="DN269">
        <v>0</v>
      </c>
      <c r="DO269">
        <v>0</v>
      </c>
      <c r="DP269">
        <v>0</v>
      </c>
      <c r="DQ269">
        <v>0</v>
      </c>
      <c r="DR269">
        <v>0</v>
      </c>
      <c r="DS269">
        <v>0</v>
      </c>
      <c r="DT269">
        <v>0</v>
      </c>
      <c r="DU269">
        <v>0</v>
      </c>
      <c r="DV269">
        <v>0</v>
      </c>
      <c r="DW269">
        <v>0</v>
      </c>
      <c r="DX269">
        <v>0</v>
      </c>
      <c r="DY269">
        <v>0</v>
      </c>
      <c r="DZ269">
        <v>0</v>
      </c>
      <c r="EA269">
        <v>0</v>
      </c>
      <c r="EB269">
        <v>0</v>
      </c>
      <c r="EC269">
        <v>0</v>
      </c>
      <c r="ED269">
        <v>0</v>
      </c>
      <c r="EE269">
        <v>0</v>
      </c>
      <c r="EF269">
        <v>0</v>
      </c>
      <c r="EG269">
        <v>0</v>
      </c>
      <c r="EH269">
        <v>0</v>
      </c>
      <c r="EI269">
        <v>0</v>
      </c>
      <c r="EJ269">
        <v>0</v>
      </c>
      <c r="EK269">
        <v>0</v>
      </c>
      <c r="EL269">
        <v>0</v>
      </c>
      <c r="EM269">
        <v>0</v>
      </c>
      <c r="EN269">
        <v>0</v>
      </c>
      <c r="EO269">
        <v>0</v>
      </c>
      <c r="EP269">
        <v>0</v>
      </c>
      <c r="EQ269">
        <v>0</v>
      </c>
      <c r="ER269">
        <v>0</v>
      </c>
      <c r="ES269">
        <v>0</v>
      </c>
      <c r="ET269">
        <v>0</v>
      </c>
      <c r="EU269">
        <v>0</v>
      </c>
      <c r="EV269">
        <v>0</v>
      </c>
      <c r="EW269">
        <v>0</v>
      </c>
      <c r="EX269">
        <v>0</v>
      </c>
      <c r="EY269">
        <v>0</v>
      </c>
      <c r="EZ269">
        <v>0</v>
      </c>
      <c r="FA269">
        <v>0</v>
      </c>
      <c r="FB269">
        <v>0</v>
      </c>
      <c r="FC269">
        <v>0</v>
      </c>
      <c r="FD269">
        <v>0</v>
      </c>
      <c r="FE269">
        <v>0</v>
      </c>
      <c r="FF269">
        <v>0</v>
      </c>
      <c r="FG269">
        <v>0</v>
      </c>
      <c r="FH269">
        <v>0</v>
      </c>
      <c r="FI269">
        <v>0</v>
      </c>
      <c r="FJ269">
        <v>0</v>
      </c>
      <c r="FK269">
        <v>0</v>
      </c>
      <c r="FL269">
        <v>0</v>
      </c>
      <c r="FM269">
        <v>0</v>
      </c>
      <c r="FN269">
        <v>0</v>
      </c>
      <c r="FO269">
        <v>0</v>
      </c>
      <c r="FP269">
        <v>0</v>
      </c>
      <c r="FQ269">
        <v>0</v>
      </c>
      <c r="FR269">
        <v>0</v>
      </c>
      <c r="FS269">
        <v>0</v>
      </c>
      <c r="FT269">
        <v>0</v>
      </c>
      <c r="FU269">
        <v>0</v>
      </c>
      <c r="FV269">
        <v>0</v>
      </c>
      <c r="FW269">
        <v>0</v>
      </c>
      <c r="FX269">
        <v>0</v>
      </c>
      <c r="FY269">
        <v>0</v>
      </c>
      <c r="FZ269">
        <v>0</v>
      </c>
      <c r="GA269">
        <v>0</v>
      </c>
      <c r="GB269">
        <v>0</v>
      </c>
      <c r="GC269">
        <v>0</v>
      </c>
      <c r="GD269">
        <v>0</v>
      </c>
      <c r="GE269">
        <v>0</v>
      </c>
      <c r="GF269">
        <v>0</v>
      </c>
      <c r="GG269">
        <v>0</v>
      </c>
      <c r="GH269">
        <v>0</v>
      </c>
      <c r="GI269">
        <v>0</v>
      </c>
      <c r="GJ269">
        <v>0</v>
      </c>
      <c r="GK269">
        <v>0</v>
      </c>
      <c r="GL269">
        <v>0</v>
      </c>
      <c r="GM269">
        <v>0</v>
      </c>
      <c r="GN269">
        <v>0</v>
      </c>
      <c r="GO269">
        <v>0</v>
      </c>
      <c r="GP269">
        <v>0</v>
      </c>
      <c r="GQ269">
        <v>0</v>
      </c>
      <c r="GR269">
        <v>0</v>
      </c>
      <c r="GS269">
        <v>0</v>
      </c>
      <c r="GT269">
        <v>0</v>
      </c>
      <c r="GU269">
        <v>0</v>
      </c>
      <c r="GV269">
        <v>0</v>
      </c>
      <c r="GW269">
        <v>0</v>
      </c>
      <c r="GX269">
        <v>0</v>
      </c>
      <c r="GY269">
        <v>0</v>
      </c>
      <c r="GZ269">
        <v>0</v>
      </c>
      <c r="HA269">
        <v>0</v>
      </c>
      <c r="HB269">
        <v>0</v>
      </c>
      <c r="HC269">
        <v>0</v>
      </c>
      <c r="HD269">
        <v>0</v>
      </c>
      <c r="HE269">
        <v>0</v>
      </c>
      <c r="HF269">
        <v>0</v>
      </c>
      <c r="HG269">
        <v>0</v>
      </c>
      <c r="HH269">
        <v>0</v>
      </c>
      <c r="HI269">
        <v>0</v>
      </c>
      <c r="HJ269">
        <v>0</v>
      </c>
      <c r="HK269">
        <v>0</v>
      </c>
      <c r="HL269">
        <v>0</v>
      </c>
      <c r="HM269">
        <v>0</v>
      </c>
      <c r="HN269">
        <v>0</v>
      </c>
      <c r="HO269">
        <v>0</v>
      </c>
      <c r="HP269">
        <v>0</v>
      </c>
      <c r="HQ269">
        <v>0</v>
      </c>
      <c r="HR269">
        <v>0</v>
      </c>
      <c r="HS269">
        <v>0</v>
      </c>
      <c r="HT269">
        <v>0</v>
      </c>
      <c r="HU269">
        <v>0</v>
      </c>
      <c r="HV269">
        <v>0</v>
      </c>
      <c r="HW269">
        <v>0</v>
      </c>
      <c r="HX269">
        <v>0</v>
      </c>
      <c r="HY269">
        <v>0</v>
      </c>
      <c r="HZ269">
        <v>0</v>
      </c>
      <c r="IA269">
        <v>0</v>
      </c>
      <c r="IB269">
        <v>0</v>
      </c>
      <c r="IC269">
        <v>0</v>
      </c>
      <c r="ID269">
        <v>0</v>
      </c>
      <c r="IE269">
        <v>0</v>
      </c>
      <c r="IF269">
        <v>0</v>
      </c>
      <c r="IG269">
        <v>0</v>
      </c>
      <c r="IH269">
        <v>0</v>
      </c>
      <c r="II269">
        <v>0</v>
      </c>
      <c r="IJ269">
        <v>0</v>
      </c>
      <c r="IK269">
        <v>0</v>
      </c>
      <c r="IL269">
        <v>0</v>
      </c>
      <c r="IM269">
        <v>0</v>
      </c>
      <c r="IN269">
        <v>0</v>
      </c>
      <c r="IO269">
        <v>0</v>
      </c>
      <c r="IP269">
        <v>0</v>
      </c>
      <c r="IQ269">
        <v>0</v>
      </c>
      <c r="IR269">
        <v>0</v>
      </c>
      <c r="IS269">
        <v>0</v>
      </c>
      <c r="IT269">
        <v>0</v>
      </c>
      <c r="IU269">
        <v>0</v>
      </c>
      <c r="IV269">
        <v>0</v>
      </c>
      <c r="IW269">
        <v>0</v>
      </c>
      <c r="IX269">
        <v>0</v>
      </c>
      <c r="IY269">
        <v>0</v>
      </c>
      <c r="IZ269">
        <v>0</v>
      </c>
      <c r="JA269">
        <v>0</v>
      </c>
      <c r="JB269">
        <v>0</v>
      </c>
      <c r="JC269">
        <v>0</v>
      </c>
      <c r="JD269">
        <v>0</v>
      </c>
      <c r="JE269">
        <v>0</v>
      </c>
      <c r="JF269">
        <v>0</v>
      </c>
      <c r="JG269">
        <v>0</v>
      </c>
      <c r="JH269">
        <v>0</v>
      </c>
      <c r="JI269">
        <v>0</v>
      </c>
      <c r="JJ269">
        <v>0</v>
      </c>
      <c r="JK269">
        <v>0</v>
      </c>
      <c r="JL269">
        <v>0</v>
      </c>
      <c r="JM269">
        <v>0</v>
      </c>
      <c r="JN269">
        <v>0</v>
      </c>
      <c r="JO269">
        <v>0</v>
      </c>
      <c r="JP269">
        <v>0</v>
      </c>
      <c r="JQ269">
        <v>0</v>
      </c>
      <c r="JR269">
        <v>0</v>
      </c>
      <c r="JS269">
        <v>0</v>
      </c>
      <c r="JT269">
        <v>0</v>
      </c>
      <c r="JU269">
        <v>0</v>
      </c>
      <c r="JV269">
        <v>0</v>
      </c>
      <c r="JW269">
        <v>0</v>
      </c>
      <c r="JX269">
        <v>0</v>
      </c>
      <c r="JY269">
        <v>0</v>
      </c>
      <c r="JZ269">
        <v>0</v>
      </c>
      <c r="KA269">
        <v>0</v>
      </c>
      <c r="KB269">
        <v>0</v>
      </c>
      <c r="KC269">
        <v>0</v>
      </c>
      <c r="KD269">
        <v>0</v>
      </c>
      <c r="KE269">
        <v>0</v>
      </c>
      <c r="KF269">
        <v>0</v>
      </c>
      <c r="KG269">
        <v>0</v>
      </c>
      <c r="KH269">
        <v>0</v>
      </c>
      <c r="KI269">
        <v>0</v>
      </c>
      <c r="KJ269">
        <v>0</v>
      </c>
      <c r="KK269">
        <v>0</v>
      </c>
      <c r="KL269">
        <v>0</v>
      </c>
      <c r="KM269">
        <v>0</v>
      </c>
      <c r="KN269">
        <v>0</v>
      </c>
      <c r="KO269">
        <v>0</v>
      </c>
      <c r="KP269">
        <v>0</v>
      </c>
      <c r="KQ269">
        <v>0</v>
      </c>
      <c r="KR269">
        <v>0</v>
      </c>
      <c r="KS269">
        <v>0</v>
      </c>
      <c r="KT269">
        <v>0</v>
      </c>
      <c r="KU269">
        <v>0</v>
      </c>
      <c r="KV269">
        <v>0</v>
      </c>
      <c r="KW269">
        <v>0</v>
      </c>
      <c r="KX269">
        <v>0</v>
      </c>
      <c r="KY269">
        <v>0</v>
      </c>
      <c r="KZ269">
        <v>0</v>
      </c>
      <c r="LA269">
        <v>0</v>
      </c>
      <c r="LB269">
        <v>0</v>
      </c>
      <c r="LC269">
        <v>0</v>
      </c>
      <c r="LD269">
        <v>0</v>
      </c>
      <c r="LE269">
        <v>0</v>
      </c>
      <c r="LF269">
        <v>0</v>
      </c>
      <c r="LG269">
        <v>0</v>
      </c>
      <c r="LH269">
        <v>0</v>
      </c>
      <c r="LI269">
        <v>0</v>
      </c>
      <c r="LJ269">
        <v>0</v>
      </c>
      <c r="LK269">
        <v>0</v>
      </c>
      <c r="LL269">
        <v>0</v>
      </c>
      <c r="LM269">
        <v>0</v>
      </c>
      <c r="LN269">
        <v>0</v>
      </c>
      <c r="LO269">
        <v>0</v>
      </c>
      <c r="LP269">
        <v>0</v>
      </c>
      <c r="LQ269">
        <v>0</v>
      </c>
      <c r="LR269">
        <v>0</v>
      </c>
      <c r="LS269">
        <v>0</v>
      </c>
      <c r="LT269">
        <v>0</v>
      </c>
      <c r="LU269">
        <v>0</v>
      </c>
      <c r="LV269">
        <v>0</v>
      </c>
      <c r="LW269">
        <v>0</v>
      </c>
      <c r="LX269">
        <v>0</v>
      </c>
      <c r="LY269">
        <v>0</v>
      </c>
      <c r="LZ269">
        <v>0</v>
      </c>
      <c r="MA269">
        <v>0</v>
      </c>
      <c r="MB269">
        <v>0</v>
      </c>
      <c r="MC269">
        <v>0</v>
      </c>
      <c r="MD269">
        <v>0</v>
      </c>
      <c r="ME269">
        <v>0</v>
      </c>
      <c r="MF269">
        <v>0</v>
      </c>
      <c r="MG269">
        <v>0</v>
      </c>
      <c r="MH269">
        <v>0</v>
      </c>
      <c r="MI269">
        <v>0</v>
      </c>
      <c r="MJ269">
        <v>0</v>
      </c>
      <c r="MK269">
        <v>0</v>
      </c>
      <c r="ML269">
        <v>0</v>
      </c>
      <c r="MM269">
        <v>0</v>
      </c>
      <c r="MN269">
        <v>0</v>
      </c>
      <c r="MO269">
        <v>0</v>
      </c>
      <c r="MP269">
        <v>0</v>
      </c>
      <c r="MQ269">
        <v>0</v>
      </c>
      <c r="MR269">
        <v>0</v>
      </c>
      <c r="MS269">
        <v>0</v>
      </c>
      <c r="MT269">
        <v>0</v>
      </c>
      <c r="MU269">
        <v>0</v>
      </c>
      <c r="MV269">
        <v>0</v>
      </c>
      <c r="MW269">
        <v>0</v>
      </c>
      <c r="MX269">
        <v>0</v>
      </c>
      <c r="MY269">
        <v>0</v>
      </c>
      <c r="MZ269">
        <v>0</v>
      </c>
      <c r="NA269">
        <v>0</v>
      </c>
      <c r="NB269">
        <v>0</v>
      </c>
      <c r="NC269">
        <v>0</v>
      </c>
      <c r="ND269">
        <v>0</v>
      </c>
      <c r="NE269">
        <v>0</v>
      </c>
    </row>
    <row r="270" spans="41:369" x14ac:dyDescent="0.45">
      <c r="AO270" t="str">
        <v>D146</v>
      </c>
      <c r="AP270" t="str">
        <v>ABDUL YOUNUS</v>
      </c>
      <c r="AQ270" t="str">
        <v>DAHF</v>
      </c>
      <c r="AR270" t="str">
        <v>SUPER SENIOR</v>
      </c>
      <c r="AS270">
        <v>9</v>
      </c>
      <c r="AT270">
        <v>6</v>
      </c>
      <c r="AU270">
        <v>0</v>
      </c>
      <c r="AV270">
        <v>6</v>
      </c>
      <c r="AW270">
        <v>6</v>
      </c>
      <c r="AX270">
        <v>171</v>
      </c>
      <c r="AY270" s="5">
        <v>171</v>
      </c>
      <c r="AZ270">
        <v>0</v>
      </c>
      <c r="BA270">
        <v>0</v>
      </c>
      <c r="BB270">
        <v>0</v>
      </c>
      <c r="BC270">
        <v>0</v>
      </c>
      <c r="BD270">
        <v>0</v>
      </c>
      <c r="BE270">
        <v>0</v>
      </c>
      <c r="BF270">
        <v>0</v>
      </c>
      <c r="BG270">
        <v>0</v>
      </c>
      <c r="BH270">
        <v>0</v>
      </c>
      <c r="BI270" t="str">
        <v/>
      </c>
      <c r="BK270">
        <v>264</v>
      </c>
      <c r="BL270">
        <v>0</v>
      </c>
      <c r="BM270">
        <v>0</v>
      </c>
      <c r="BN270">
        <v>0</v>
      </c>
      <c r="BO270">
        <v>0</v>
      </c>
      <c r="BP270">
        <v>0</v>
      </c>
      <c r="BQ270">
        <v>0</v>
      </c>
      <c r="BR270">
        <v>0</v>
      </c>
      <c r="BS270">
        <v>0</v>
      </c>
      <c r="BT270">
        <v>0</v>
      </c>
      <c r="BU270">
        <v>0</v>
      </c>
      <c r="BV270">
        <v>0</v>
      </c>
      <c r="BW270">
        <v>0</v>
      </c>
      <c r="BX270">
        <v>0</v>
      </c>
      <c r="BY270">
        <v>0</v>
      </c>
      <c r="BZ270">
        <v>0</v>
      </c>
      <c r="CA270">
        <v>0</v>
      </c>
      <c r="CB270">
        <v>0</v>
      </c>
      <c r="CC270">
        <v>0</v>
      </c>
      <c r="CD270">
        <v>0</v>
      </c>
      <c r="CE270">
        <v>0</v>
      </c>
      <c r="CF270">
        <v>0</v>
      </c>
      <c r="CG270">
        <v>0</v>
      </c>
      <c r="CH270">
        <v>0</v>
      </c>
      <c r="CI270">
        <v>0</v>
      </c>
      <c r="CJ270">
        <v>0</v>
      </c>
      <c r="CK270">
        <v>0</v>
      </c>
      <c r="CL270">
        <v>0</v>
      </c>
      <c r="CM270">
        <v>0</v>
      </c>
      <c r="CN270">
        <v>0</v>
      </c>
      <c r="CO270">
        <v>0</v>
      </c>
      <c r="CP270">
        <v>0</v>
      </c>
      <c r="CQ270">
        <v>0</v>
      </c>
      <c r="CR270">
        <v>0</v>
      </c>
      <c r="CS270">
        <v>0</v>
      </c>
      <c r="CT270">
        <v>0</v>
      </c>
      <c r="CU270">
        <v>0</v>
      </c>
      <c r="CV270">
        <v>0</v>
      </c>
      <c r="CW270">
        <v>0</v>
      </c>
      <c r="CX270">
        <v>0</v>
      </c>
      <c r="CY270">
        <v>0</v>
      </c>
      <c r="CZ270">
        <v>0</v>
      </c>
      <c r="DA270">
        <v>0</v>
      </c>
      <c r="DB270">
        <v>0</v>
      </c>
      <c r="DC270">
        <v>0</v>
      </c>
      <c r="DD270">
        <v>0</v>
      </c>
      <c r="DE270">
        <v>0</v>
      </c>
      <c r="DF270">
        <v>0</v>
      </c>
      <c r="DG270">
        <v>0</v>
      </c>
      <c r="DH270">
        <v>0</v>
      </c>
      <c r="DI270">
        <v>0</v>
      </c>
      <c r="DJ270">
        <v>0</v>
      </c>
      <c r="DK270">
        <v>0</v>
      </c>
      <c r="DL270">
        <v>0</v>
      </c>
      <c r="DM270">
        <v>0</v>
      </c>
      <c r="DN270">
        <v>0</v>
      </c>
      <c r="DO270">
        <v>0</v>
      </c>
      <c r="DP270">
        <v>0</v>
      </c>
      <c r="DQ270">
        <v>0</v>
      </c>
      <c r="DR270">
        <v>0</v>
      </c>
      <c r="DS270">
        <v>0</v>
      </c>
      <c r="DT270">
        <v>0</v>
      </c>
      <c r="DU270">
        <v>0</v>
      </c>
      <c r="DV270">
        <v>0</v>
      </c>
      <c r="DW270">
        <v>0</v>
      </c>
      <c r="DX270">
        <v>0</v>
      </c>
      <c r="DY270">
        <v>0</v>
      </c>
      <c r="DZ270">
        <v>0</v>
      </c>
      <c r="EA270">
        <v>0</v>
      </c>
      <c r="EB270">
        <v>0</v>
      </c>
      <c r="EC270">
        <v>0</v>
      </c>
      <c r="ED270">
        <v>0</v>
      </c>
      <c r="EE270">
        <v>0</v>
      </c>
      <c r="EF270">
        <v>0</v>
      </c>
      <c r="EG270">
        <v>0</v>
      </c>
      <c r="EH270">
        <v>0</v>
      </c>
      <c r="EI270">
        <v>0</v>
      </c>
      <c r="EJ270">
        <v>0</v>
      </c>
      <c r="EK270">
        <v>0</v>
      </c>
      <c r="EL270">
        <v>0</v>
      </c>
      <c r="EM270">
        <v>0</v>
      </c>
      <c r="EN270">
        <v>0</v>
      </c>
      <c r="EO270">
        <v>0</v>
      </c>
      <c r="EP270">
        <v>0</v>
      </c>
      <c r="EQ270">
        <v>0</v>
      </c>
      <c r="ER270">
        <v>0</v>
      </c>
      <c r="ES270">
        <v>0</v>
      </c>
      <c r="ET270">
        <v>0</v>
      </c>
      <c r="EU270">
        <v>0</v>
      </c>
      <c r="EV270">
        <v>0</v>
      </c>
      <c r="EW270">
        <v>0</v>
      </c>
      <c r="EX270">
        <v>0</v>
      </c>
      <c r="EY270">
        <v>0</v>
      </c>
      <c r="EZ270">
        <v>0</v>
      </c>
      <c r="FA270">
        <v>0</v>
      </c>
      <c r="FB270">
        <v>0</v>
      </c>
      <c r="FC270">
        <v>0</v>
      </c>
      <c r="FD270">
        <v>0</v>
      </c>
      <c r="FE270">
        <v>0</v>
      </c>
      <c r="FF270">
        <v>0</v>
      </c>
      <c r="FG270">
        <v>0</v>
      </c>
      <c r="FH270">
        <v>0</v>
      </c>
      <c r="FI270">
        <v>0</v>
      </c>
      <c r="FJ270">
        <v>0</v>
      </c>
      <c r="FK270">
        <v>0</v>
      </c>
      <c r="FL270">
        <v>0</v>
      </c>
      <c r="FM270">
        <v>0</v>
      </c>
      <c r="FN270">
        <v>0</v>
      </c>
      <c r="FO270">
        <v>0</v>
      </c>
      <c r="FP270">
        <v>0</v>
      </c>
      <c r="FQ270">
        <v>0</v>
      </c>
      <c r="FR270">
        <v>0</v>
      </c>
      <c r="FS270">
        <v>0</v>
      </c>
      <c r="FT270">
        <v>0</v>
      </c>
      <c r="FU270">
        <v>0</v>
      </c>
      <c r="FV270">
        <v>0</v>
      </c>
      <c r="FW270">
        <v>0</v>
      </c>
      <c r="FX270">
        <v>0</v>
      </c>
      <c r="FY270">
        <v>0</v>
      </c>
      <c r="FZ270">
        <v>0</v>
      </c>
      <c r="GA270">
        <v>0</v>
      </c>
      <c r="GB270">
        <v>0</v>
      </c>
      <c r="GC270">
        <v>0</v>
      </c>
      <c r="GD270">
        <v>0</v>
      </c>
      <c r="GE270">
        <v>0</v>
      </c>
      <c r="GF270">
        <v>0</v>
      </c>
      <c r="GG270">
        <v>0</v>
      </c>
      <c r="GH270">
        <v>0</v>
      </c>
      <c r="GI270">
        <v>0</v>
      </c>
      <c r="GJ270">
        <v>0</v>
      </c>
      <c r="GK270">
        <v>0</v>
      </c>
      <c r="GL270">
        <v>0</v>
      </c>
      <c r="GM270">
        <v>0</v>
      </c>
      <c r="GN270">
        <v>0</v>
      </c>
      <c r="GO270">
        <v>0</v>
      </c>
      <c r="GP270">
        <v>0</v>
      </c>
      <c r="GQ270">
        <v>0</v>
      </c>
      <c r="GR270">
        <v>0</v>
      </c>
      <c r="GS270">
        <v>0</v>
      </c>
      <c r="GT270">
        <v>0</v>
      </c>
      <c r="GU270">
        <v>0</v>
      </c>
      <c r="GV270">
        <v>0</v>
      </c>
      <c r="GW270">
        <v>0</v>
      </c>
      <c r="GX270">
        <v>0</v>
      </c>
      <c r="GY270">
        <v>0</v>
      </c>
      <c r="GZ270">
        <v>0</v>
      </c>
      <c r="HA270">
        <v>0</v>
      </c>
      <c r="HB270">
        <v>0</v>
      </c>
      <c r="HC270">
        <v>0</v>
      </c>
      <c r="HD270">
        <v>0</v>
      </c>
      <c r="HE270">
        <v>0</v>
      </c>
      <c r="HF270">
        <v>0</v>
      </c>
      <c r="HG270">
        <v>0</v>
      </c>
      <c r="HH270">
        <v>0</v>
      </c>
      <c r="HI270">
        <v>0</v>
      </c>
      <c r="HJ270">
        <v>0</v>
      </c>
      <c r="HK270">
        <v>0</v>
      </c>
      <c r="HL270">
        <v>0</v>
      </c>
      <c r="HM270">
        <v>0</v>
      </c>
      <c r="HN270">
        <v>0</v>
      </c>
      <c r="HO270">
        <v>0</v>
      </c>
      <c r="HP270">
        <v>0</v>
      </c>
      <c r="HQ270">
        <v>0</v>
      </c>
      <c r="HR270">
        <v>0</v>
      </c>
      <c r="HS270">
        <v>0</v>
      </c>
      <c r="HT270">
        <v>0</v>
      </c>
      <c r="HU270">
        <v>0</v>
      </c>
      <c r="HV270">
        <v>0</v>
      </c>
      <c r="HW270">
        <v>0</v>
      </c>
      <c r="HX270">
        <v>0</v>
      </c>
      <c r="HY270">
        <v>0</v>
      </c>
      <c r="HZ270">
        <v>0</v>
      </c>
      <c r="IA270">
        <v>0</v>
      </c>
      <c r="IB270">
        <v>0</v>
      </c>
      <c r="IC270">
        <v>0</v>
      </c>
      <c r="ID270">
        <v>0</v>
      </c>
      <c r="IE270">
        <v>0</v>
      </c>
      <c r="IF270">
        <v>0</v>
      </c>
      <c r="IG270">
        <v>0</v>
      </c>
      <c r="IH270">
        <v>0</v>
      </c>
      <c r="II270">
        <v>0</v>
      </c>
      <c r="IJ270">
        <v>0</v>
      </c>
      <c r="IK270">
        <v>0</v>
      </c>
      <c r="IL270">
        <v>0</v>
      </c>
      <c r="IM270">
        <v>0</v>
      </c>
      <c r="IN270">
        <v>0</v>
      </c>
      <c r="IO270">
        <v>0</v>
      </c>
      <c r="IP270">
        <v>0</v>
      </c>
      <c r="IQ270">
        <v>0</v>
      </c>
      <c r="IR270">
        <v>0</v>
      </c>
      <c r="IS270">
        <v>0</v>
      </c>
      <c r="IT270">
        <v>0</v>
      </c>
      <c r="IU270">
        <v>0</v>
      </c>
      <c r="IV270">
        <v>0</v>
      </c>
      <c r="IW270">
        <v>0</v>
      </c>
      <c r="IX270">
        <v>0</v>
      </c>
      <c r="IY270">
        <v>0</v>
      </c>
      <c r="IZ270">
        <v>0</v>
      </c>
      <c r="JA270">
        <v>0</v>
      </c>
      <c r="JB270">
        <v>0</v>
      </c>
      <c r="JC270">
        <v>0</v>
      </c>
      <c r="JD270">
        <v>0</v>
      </c>
      <c r="JE270">
        <v>0</v>
      </c>
      <c r="JF270">
        <v>0</v>
      </c>
      <c r="JG270">
        <v>0</v>
      </c>
      <c r="JH270">
        <v>0</v>
      </c>
      <c r="JI270">
        <v>0</v>
      </c>
      <c r="JJ270">
        <v>0</v>
      </c>
      <c r="JK270">
        <v>0</v>
      </c>
      <c r="JL270">
        <v>0</v>
      </c>
      <c r="JM270">
        <v>0</v>
      </c>
      <c r="JN270">
        <v>0</v>
      </c>
      <c r="JO270">
        <v>0</v>
      </c>
      <c r="JP270">
        <v>0</v>
      </c>
      <c r="JQ270">
        <v>0</v>
      </c>
      <c r="JR270">
        <v>0</v>
      </c>
      <c r="JS270">
        <v>0</v>
      </c>
      <c r="JT270">
        <v>0</v>
      </c>
      <c r="JU270">
        <v>0</v>
      </c>
      <c r="JV270">
        <v>0</v>
      </c>
      <c r="JW270">
        <v>0</v>
      </c>
      <c r="JX270">
        <v>0</v>
      </c>
      <c r="JY270">
        <v>0</v>
      </c>
      <c r="JZ270">
        <v>0</v>
      </c>
      <c r="KA270">
        <v>0</v>
      </c>
      <c r="KB270">
        <v>0</v>
      </c>
      <c r="KC270">
        <v>0</v>
      </c>
      <c r="KD270">
        <v>0</v>
      </c>
      <c r="KE270">
        <v>0</v>
      </c>
      <c r="KF270">
        <v>0</v>
      </c>
      <c r="KG270">
        <v>0</v>
      </c>
      <c r="KH270">
        <v>0</v>
      </c>
      <c r="KI270">
        <v>0</v>
      </c>
      <c r="KJ270">
        <v>0</v>
      </c>
      <c r="KK270">
        <v>0</v>
      </c>
      <c r="KL270">
        <v>0</v>
      </c>
      <c r="KM270">
        <v>0</v>
      </c>
      <c r="KN270">
        <v>0</v>
      </c>
      <c r="KO270">
        <v>0</v>
      </c>
      <c r="KP270">
        <v>0</v>
      </c>
      <c r="KQ270">
        <v>0</v>
      </c>
      <c r="KR270">
        <v>0</v>
      </c>
      <c r="KS270">
        <v>0</v>
      </c>
      <c r="KT270">
        <v>0</v>
      </c>
      <c r="KU270">
        <v>0</v>
      </c>
      <c r="KV270">
        <v>0</v>
      </c>
      <c r="KW270">
        <v>0</v>
      </c>
      <c r="KX270">
        <v>0</v>
      </c>
      <c r="KY270">
        <v>0</v>
      </c>
      <c r="KZ270">
        <v>0</v>
      </c>
      <c r="LA270">
        <v>0</v>
      </c>
      <c r="LB270">
        <v>0</v>
      </c>
      <c r="LC270">
        <v>0</v>
      </c>
      <c r="LD270">
        <v>0</v>
      </c>
      <c r="LE270">
        <v>0</v>
      </c>
      <c r="LF270">
        <v>0</v>
      </c>
      <c r="LG270">
        <v>0</v>
      </c>
      <c r="LH270">
        <v>0</v>
      </c>
      <c r="LI270">
        <v>0</v>
      </c>
      <c r="LJ270">
        <v>0</v>
      </c>
      <c r="LK270">
        <v>0</v>
      </c>
      <c r="LL270">
        <v>0</v>
      </c>
      <c r="LM270">
        <v>0</v>
      </c>
      <c r="LN270">
        <v>0</v>
      </c>
      <c r="LO270">
        <v>0</v>
      </c>
      <c r="LP270">
        <v>0</v>
      </c>
      <c r="LQ270">
        <v>0</v>
      </c>
      <c r="LR270">
        <v>0</v>
      </c>
      <c r="LS270">
        <v>0</v>
      </c>
      <c r="LT270">
        <v>0</v>
      </c>
      <c r="LU270">
        <v>0</v>
      </c>
      <c r="LV270">
        <v>0</v>
      </c>
      <c r="LW270">
        <v>0</v>
      </c>
      <c r="LX270">
        <v>0</v>
      </c>
      <c r="LY270">
        <v>0</v>
      </c>
      <c r="LZ270">
        <v>0</v>
      </c>
      <c r="MA270">
        <v>0</v>
      </c>
      <c r="MB270">
        <v>0</v>
      </c>
      <c r="MC270">
        <v>0</v>
      </c>
      <c r="MD270">
        <v>0</v>
      </c>
      <c r="ME270">
        <v>0</v>
      </c>
      <c r="MF270">
        <v>0</v>
      </c>
      <c r="MG270">
        <v>0</v>
      </c>
      <c r="MH270">
        <v>0</v>
      </c>
      <c r="MI270">
        <v>0</v>
      </c>
      <c r="MJ270">
        <v>0</v>
      </c>
      <c r="MK270">
        <v>0</v>
      </c>
      <c r="ML270">
        <v>0</v>
      </c>
      <c r="MM270">
        <v>0</v>
      </c>
      <c r="MN270">
        <v>0</v>
      </c>
      <c r="MO270">
        <v>0</v>
      </c>
      <c r="MP270">
        <v>0</v>
      </c>
      <c r="MQ270">
        <v>0</v>
      </c>
      <c r="MR270">
        <v>0</v>
      </c>
      <c r="MS270">
        <v>0</v>
      </c>
      <c r="MT270">
        <v>0</v>
      </c>
      <c r="MU270">
        <v>0</v>
      </c>
      <c r="MV270">
        <v>0</v>
      </c>
      <c r="MW270">
        <v>0</v>
      </c>
      <c r="MX270">
        <v>0</v>
      </c>
      <c r="MY270">
        <v>0</v>
      </c>
      <c r="MZ270">
        <v>0</v>
      </c>
      <c r="NA270">
        <v>0</v>
      </c>
      <c r="NB270">
        <v>0</v>
      </c>
      <c r="NC270">
        <v>0</v>
      </c>
      <c r="ND270">
        <v>0</v>
      </c>
      <c r="NE270">
        <v>0</v>
      </c>
    </row>
    <row r="271" spans="41:369" x14ac:dyDescent="0.45">
      <c r="AO271" t="str">
        <v>D147</v>
      </c>
      <c r="AP271" t="str">
        <v>MOHAMMED SHAHZAN T.K</v>
      </c>
      <c r="AQ271" t="str">
        <v>FANT</v>
      </c>
      <c r="AR271" t="str">
        <v>SUPER SENIOR</v>
      </c>
      <c r="AS271">
        <v>9</v>
      </c>
      <c r="AT271">
        <v>54</v>
      </c>
      <c r="AU271">
        <v>0</v>
      </c>
      <c r="AV271">
        <v>54</v>
      </c>
      <c r="AW271">
        <v>54</v>
      </c>
      <c r="AX271">
        <v>9</v>
      </c>
      <c r="AY271" s="5">
        <v>9</v>
      </c>
      <c r="AZ271">
        <v>0</v>
      </c>
      <c r="BA271">
        <v>0</v>
      </c>
      <c r="BB271">
        <v>0</v>
      </c>
      <c r="BC271">
        <v>0</v>
      </c>
      <c r="BD271">
        <v>0</v>
      </c>
      <c r="BE271">
        <v>0</v>
      </c>
      <c r="BF271">
        <v>0</v>
      </c>
      <c r="BG271">
        <v>0</v>
      </c>
      <c r="BH271">
        <v>0</v>
      </c>
      <c r="BI271" t="str">
        <v/>
      </c>
      <c r="BK271">
        <v>265</v>
      </c>
      <c r="BL271">
        <v>0</v>
      </c>
      <c r="BM271">
        <v>0</v>
      </c>
      <c r="BN271">
        <v>0</v>
      </c>
      <c r="BO271">
        <v>0</v>
      </c>
      <c r="BP271">
        <v>0</v>
      </c>
      <c r="BQ271">
        <v>0</v>
      </c>
      <c r="BR271">
        <v>0</v>
      </c>
      <c r="BS271">
        <v>0</v>
      </c>
      <c r="BT271">
        <v>0</v>
      </c>
      <c r="BU271">
        <v>0</v>
      </c>
      <c r="BV271">
        <v>0</v>
      </c>
      <c r="BW271">
        <v>0</v>
      </c>
      <c r="BX271">
        <v>0</v>
      </c>
      <c r="BY271">
        <v>0</v>
      </c>
      <c r="BZ271">
        <v>0</v>
      </c>
      <c r="CA271">
        <v>0</v>
      </c>
      <c r="CB271">
        <v>0</v>
      </c>
      <c r="CC271">
        <v>0</v>
      </c>
      <c r="CD271">
        <v>0</v>
      </c>
      <c r="CE271">
        <v>0</v>
      </c>
      <c r="CF271">
        <v>0</v>
      </c>
      <c r="CG271">
        <v>0</v>
      </c>
      <c r="CH271">
        <v>0</v>
      </c>
      <c r="CI271">
        <v>0</v>
      </c>
      <c r="CJ271">
        <v>0</v>
      </c>
      <c r="CK271">
        <v>0</v>
      </c>
      <c r="CL271">
        <v>0</v>
      </c>
      <c r="CM271">
        <v>0</v>
      </c>
      <c r="CN271">
        <v>0</v>
      </c>
      <c r="CO271">
        <v>0</v>
      </c>
      <c r="CP271">
        <v>0</v>
      </c>
      <c r="CQ271">
        <v>0</v>
      </c>
      <c r="CR271">
        <v>0</v>
      </c>
      <c r="CS271">
        <v>0</v>
      </c>
      <c r="CT271">
        <v>0</v>
      </c>
      <c r="CU271">
        <v>0</v>
      </c>
      <c r="CV271">
        <v>0</v>
      </c>
      <c r="CW271">
        <v>0</v>
      </c>
      <c r="CX271">
        <v>0</v>
      </c>
      <c r="CY271">
        <v>0</v>
      </c>
      <c r="CZ271">
        <v>0</v>
      </c>
      <c r="DA271">
        <v>0</v>
      </c>
      <c r="DB271">
        <v>0</v>
      </c>
      <c r="DC271">
        <v>0</v>
      </c>
      <c r="DD271">
        <v>0</v>
      </c>
      <c r="DE271">
        <v>0</v>
      </c>
      <c r="DF271">
        <v>0</v>
      </c>
      <c r="DG271">
        <v>0</v>
      </c>
      <c r="DH271">
        <v>0</v>
      </c>
      <c r="DI271">
        <v>0</v>
      </c>
      <c r="DJ271">
        <v>0</v>
      </c>
      <c r="DK271">
        <v>0</v>
      </c>
      <c r="DL271">
        <v>0</v>
      </c>
      <c r="DM271">
        <v>0</v>
      </c>
      <c r="DN271">
        <v>0</v>
      </c>
      <c r="DO271">
        <v>0</v>
      </c>
      <c r="DP271">
        <v>0</v>
      </c>
      <c r="DQ271">
        <v>0</v>
      </c>
      <c r="DR271">
        <v>0</v>
      </c>
      <c r="DS271">
        <v>0</v>
      </c>
      <c r="DT271">
        <v>0</v>
      </c>
      <c r="DU271">
        <v>0</v>
      </c>
      <c r="DV271">
        <v>0</v>
      </c>
      <c r="DW271">
        <v>0</v>
      </c>
      <c r="DX271">
        <v>0</v>
      </c>
      <c r="DY271">
        <v>0</v>
      </c>
      <c r="DZ271">
        <v>0</v>
      </c>
      <c r="EA271">
        <v>0</v>
      </c>
      <c r="EB271">
        <v>0</v>
      </c>
      <c r="EC271">
        <v>0</v>
      </c>
      <c r="ED271">
        <v>0</v>
      </c>
      <c r="EE271">
        <v>0</v>
      </c>
      <c r="EF271">
        <v>0</v>
      </c>
      <c r="EG271">
        <v>0</v>
      </c>
      <c r="EH271">
        <v>0</v>
      </c>
      <c r="EI271">
        <v>0</v>
      </c>
      <c r="EJ271">
        <v>0</v>
      </c>
      <c r="EK271">
        <v>0</v>
      </c>
      <c r="EL271">
        <v>0</v>
      </c>
      <c r="EM271">
        <v>0</v>
      </c>
      <c r="EN271">
        <v>0</v>
      </c>
      <c r="EO271">
        <v>0</v>
      </c>
      <c r="EP271">
        <v>0</v>
      </c>
      <c r="EQ271">
        <v>0</v>
      </c>
      <c r="ER271">
        <v>0</v>
      </c>
      <c r="ES271">
        <v>0</v>
      </c>
      <c r="ET271">
        <v>0</v>
      </c>
      <c r="EU271">
        <v>0</v>
      </c>
      <c r="EV271">
        <v>0</v>
      </c>
      <c r="EW271">
        <v>0</v>
      </c>
      <c r="EX271">
        <v>0</v>
      </c>
      <c r="EY271">
        <v>0</v>
      </c>
      <c r="EZ271">
        <v>0</v>
      </c>
      <c r="FA271">
        <v>0</v>
      </c>
      <c r="FB271">
        <v>0</v>
      </c>
      <c r="FC271">
        <v>0</v>
      </c>
      <c r="FD271">
        <v>0</v>
      </c>
      <c r="FE271">
        <v>0</v>
      </c>
      <c r="FF271">
        <v>0</v>
      </c>
      <c r="FG271">
        <v>0</v>
      </c>
      <c r="FH271">
        <v>0</v>
      </c>
      <c r="FI271">
        <v>0</v>
      </c>
      <c r="FJ271">
        <v>0</v>
      </c>
      <c r="FK271">
        <v>0</v>
      </c>
      <c r="FL271">
        <v>0</v>
      </c>
      <c r="FM271">
        <v>0</v>
      </c>
      <c r="FN271">
        <v>0</v>
      </c>
      <c r="FO271">
        <v>0</v>
      </c>
      <c r="FP271">
        <v>0</v>
      </c>
      <c r="FQ271">
        <v>0</v>
      </c>
      <c r="FR271">
        <v>0</v>
      </c>
      <c r="FS271">
        <v>0</v>
      </c>
      <c r="FT271">
        <v>0</v>
      </c>
      <c r="FU271">
        <v>0</v>
      </c>
      <c r="FV271">
        <v>0</v>
      </c>
      <c r="FW271">
        <v>0</v>
      </c>
      <c r="FX271">
        <v>0</v>
      </c>
      <c r="FY271">
        <v>0</v>
      </c>
      <c r="FZ271">
        <v>0</v>
      </c>
      <c r="GA271">
        <v>0</v>
      </c>
      <c r="GB271">
        <v>0</v>
      </c>
      <c r="GC271">
        <v>0</v>
      </c>
      <c r="GD271">
        <v>0</v>
      </c>
      <c r="GE271">
        <v>0</v>
      </c>
      <c r="GF271">
        <v>0</v>
      </c>
      <c r="GG271">
        <v>0</v>
      </c>
      <c r="GH271">
        <v>0</v>
      </c>
      <c r="GI271">
        <v>0</v>
      </c>
      <c r="GJ271">
        <v>0</v>
      </c>
      <c r="GK271">
        <v>0</v>
      </c>
      <c r="GL271">
        <v>0</v>
      </c>
      <c r="GM271">
        <v>0</v>
      </c>
      <c r="GN271">
        <v>0</v>
      </c>
      <c r="GO271">
        <v>0</v>
      </c>
      <c r="GP271">
        <v>0</v>
      </c>
      <c r="GQ271">
        <v>0</v>
      </c>
      <c r="GR271">
        <v>0</v>
      </c>
      <c r="GS271">
        <v>0</v>
      </c>
      <c r="GT271">
        <v>0</v>
      </c>
      <c r="GU271">
        <v>0</v>
      </c>
      <c r="GV271">
        <v>0</v>
      </c>
      <c r="GW271">
        <v>0</v>
      </c>
      <c r="GX271">
        <v>0</v>
      </c>
      <c r="GY271">
        <v>0</v>
      </c>
      <c r="GZ271">
        <v>0</v>
      </c>
      <c r="HA271">
        <v>0</v>
      </c>
      <c r="HB271">
        <v>0</v>
      </c>
      <c r="HC271">
        <v>0</v>
      </c>
      <c r="HD271">
        <v>0</v>
      </c>
      <c r="HE271">
        <v>0</v>
      </c>
      <c r="HF271">
        <v>0</v>
      </c>
      <c r="HG271">
        <v>0</v>
      </c>
      <c r="HH271">
        <v>0</v>
      </c>
      <c r="HI271">
        <v>0</v>
      </c>
      <c r="HJ271">
        <v>0</v>
      </c>
      <c r="HK271">
        <v>0</v>
      </c>
      <c r="HL271">
        <v>0</v>
      </c>
      <c r="HM271">
        <v>0</v>
      </c>
      <c r="HN271">
        <v>0</v>
      </c>
      <c r="HO271">
        <v>0</v>
      </c>
      <c r="HP271">
        <v>0</v>
      </c>
      <c r="HQ271">
        <v>0</v>
      </c>
      <c r="HR271">
        <v>0</v>
      </c>
      <c r="HS271">
        <v>0</v>
      </c>
      <c r="HT271">
        <v>0</v>
      </c>
      <c r="HU271">
        <v>0</v>
      </c>
      <c r="HV271">
        <v>0</v>
      </c>
      <c r="HW271">
        <v>0</v>
      </c>
      <c r="HX271">
        <v>0</v>
      </c>
      <c r="HY271">
        <v>0</v>
      </c>
      <c r="HZ271">
        <v>0</v>
      </c>
      <c r="IA271">
        <v>0</v>
      </c>
      <c r="IB271">
        <v>0</v>
      </c>
      <c r="IC271">
        <v>0</v>
      </c>
      <c r="ID271">
        <v>0</v>
      </c>
      <c r="IE271">
        <v>0</v>
      </c>
      <c r="IF271">
        <v>0</v>
      </c>
      <c r="IG271">
        <v>0</v>
      </c>
      <c r="IH271">
        <v>0</v>
      </c>
      <c r="II271">
        <v>0</v>
      </c>
      <c r="IJ271">
        <v>0</v>
      </c>
      <c r="IK271">
        <v>0</v>
      </c>
      <c r="IL271">
        <v>0</v>
      </c>
      <c r="IM271">
        <v>0</v>
      </c>
      <c r="IN271">
        <v>0</v>
      </c>
      <c r="IO271">
        <v>0</v>
      </c>
      <c r="IP271">
        <v>0</v>
      </c>
      <c r="IQ271">
        <v>0</v>
      </c>
      <c r="IR271">
        <v>0</v>
      </c>
      <c r="IS271">
        <v>0</v>
      </c>
      <c r="IT271">
        <v>0</v>
      </c>
      <c r="IU271">
        <v>0</v>
      </c>
      <c r="IV271">
        <v>0</v>
      </c>
      <c r="IW271">
        <v>0</v>
      </c>
      <c r="IX271">
        <v>0</v>
      </c>
      <c r="IY271">
        <v>0</v>
      </c>
      <c r="IZ271">
        <v>0</v>
      </c>
      <c r="JA271">
        <v>0</v>
      </c>
      <c r="JB271">
        <v>0</v>
      </c>
      <c r="JC271">
        <v>0</v>
      </c>
      <c r="JD271">
        <v>0</v>
      </c>
      <c r="JE271">
        <v>0</v>
      </c>
      <c r="JF271">
        <v>0</v>
      </c>
      <c r="JG271">
        <v>0</v>
      </c>
      <c r="JH271">
        <v>0</v>
      </c>
      <c r="JI271">
        <v>0</v>
      </c>
      <c r="JJ271">
        <v>0</v>
      </c>
      <c r="JK271">
        <v>0</v>
      </c>
      <c r="JL271">
        <v>0</v>
      </c>
      <c r="JM271">
        <v>0</v>
      </c>
      <c r="JN271">
        <v>0</v>
      </c>
      <c r="JO271">
        <v>0</v>
      </c>
      <c r="JP271">
        <v>0</v>
      </c>
      <c r="JQ271">
        <v>0</v>
      </c>
      <c r="JR271">
        <v>0</v>
      </c>
      <c r="JS271">
        <v>0</v>
      </c>
      <c r="JT271">
        <v>0</v>
      </c>
      <c r="JU271">
        <v>0</v>
      </c>
      <c r="JV271">
        <v>0</v>
      </c>
      <c r="JW271">
        <v>0</v>
      </c>
      <c r="JX271">
        <v>0</v>
      </c>
      <c r="JY271">
        <v>0</v>
      </c>
      <c r="JZ271">
        <v>0</v>
      </c>
      <c r="KA271">
        <v>0</v>
      </c>
      <c r="KB271">
        <v>0</v>
      </c>
      <c r="KC271">
        <v>0</v>
      </c>
      <c r="KD271">
        <v>0</v>
      </c>
      <c r="KE271">
        <v>0</v>
      </c>
      <c r="KF271">
        <v>0</v>
      </c>
      <c r="KG271">
        <v>0</v>
      </c>
      <c r="KH271">
        <v>0</v>
      </c>
      <c r="KI271">
        <v>0</v>
      </c>
      <c r="KJ271">
        <v>0</v>
      </c>
      <c r="KK271">
        <v>0</v>
      </c>
      <c r="KL271">
        <v>0</v>
      </c>
      <c r="KM271">
        <v>0</v>
      </c>
      <c r="KN271">
        <v>0</v>
      </c>
      <c r="KO271">
        <v>0</v>
      </c>
      <c r="KP271">
        <v>0</v>
      </c>
      <c r="KQ271">
        <v>0</v>
      </c>
      <c r="KR271">
        <v>0</v>
      </c>
      <c r="KS271">
        <v>0</v>
      </c>
      <c r="KT271">
        <v>0</v>
      </c>
      <c r="KU271">
        <v>0</v>
      </c>
      <c r="KV271">
        <v>0</v>
      </c>
      <c r="KW271">
        <v>0</v>
      </c>
      <c r="KX271">
        <v>0</v>
      </c>
      <c r="KY271">
        <v>0</v>
      </c>
      <c r="KZ271">
        <v>0</v>
      </c>
      <c r="LA271">
        <v>0</v>
      </c>
      <c r="LB271">
        <v>0</v>
      </c>
      <c r="LC271">
        <v>0</v>
      </c>
      <c r="LD271">
        <v>0</v>
      </c>
      <c r="LE271">
        <v>0</v>
      </c>
      <c r="LF271">
        <v>0</v>
      </c>
      <c r="LG271">
        <v>0</v>
      </c>
      <c r="LH271">
        <v>0</v>
      </c>
      <c r="LI271">
        <v>0</v>
      </c>
      <c r="LJ271">
        <v>0</v>
      </c>
      <c r="LK271">
        <v>0</v>
      </c>
      <c r="LL271">
        <v>0</v>
      </c>
      <c r="LM271">
        <v>0</v>
      </c>
      <c r="LN271">
        <v>0</v>
      </c>
      <c r="LO271">
        <v>0</v>
      </c>
      <c r="LP271">
        <v>0</v>
      </c>
      <c r="LQ271">
        <v>0</v>
      </c>
      <c r="LR271">
        <v>0</v>
      </c>
      <c r="LS271">
        <v>0</v>
      </c>
      <c r="LT271">
        <v>0</v>
      </c>
      <c r="LU271">
        <v>0</v>
      </c>
      <c r="LV271">
        <v>0</v>
      </c>
      <c r="LW271">
        <v>0</v>
      </c>
      <c r="LX271">
        <v>0</v>
      </c>
      <c r="LY271">
        <v>0</v>
      </c>
      <c r="LZ271">
        <v>0</v>
      </c>
      <c r="MA271">
        <v>0</v>
      </c>
      <c r="MB271">
        <v>0</v>
      </c>
      <c r="MC271">
        <v>0</v>
      </c>
      <c r="MD271">
        <v>0</v>
      </c>
      <c r="ME271">
        <v>0</v>
      </c>
      <c r="MF271">
        <v>0</v>
      </c>
      <c r="MG271">
        <v>0</v>
      </c>
      <c r="MH271">
        <v>0</v>
      </c>
      <c r="MI271">
        <v>0</v>
      </c>
      <c r="MJ271">
        <v>0</v>
      </c>
      <c r="MK271">
        <v>0</v>
      </c>
      <c r="ML271">
        <v>0</v>
      </c>
      <c r="MM271">
        <v>0</v>
      </c>
      <c r="MN271">
        <v>0</v>
      </c>
      <c r="MO271">
        <v>0</v>
      </c>
      <c r="MP271">
        <v>0</v>
      </c>
      <c r="MQ271">
        <v>0</v>
      </c>
      <c r="MR271">
        <v>0</v>
      </c>
      <c r="MS271">
        <v>0</v>
      </c>
      <c r="MT271">
        <v>0</v>
      </c>
      <c r="MU271">
        <v>0</v>
      </c>
      <c r="MV271">
        <v>0</v>
      </c>
      <c r="MW271">
        <v>0</v>
      </c>
      <c r="MX271">
        <v>0</v>
      </c>
      <c r="MY271">
        <v>0</v>
      </c>
      <c r="MZ271">
        <v>0</v>
      </c>
      <c r="NA271">
        <v>0</v>
      </c>
      <c r="NB271">
        <v>0</v>
      </c>
      <c r="NC271">
        <v>0</v>
      </c>
      <c r="ND271">
        <v>0</v>
      </c>
      <c r="NE271">
        <v>0</v>
      </c>
    </row>
    <row r="272" spans="41:369" x14ac:dyDescent="0.45">
      <c r="AO272" t="str">
        <v>D148</v>
      </c>
      <c r="AP272" t="str">
        <v>UMARUL FAROOK K .K</v>
      </c>
      <c r="AQ272" t="str">
        <v>DAHF</v>
      </c>
      <c r="AR272" t="str">
        <v>SUPER SENIOR</v>
      </c>
      <c r="AS272">
        <v>9</v>
      </c>
      <c r="AT272">
        <v>0</v>
      </c>
      <c r="AU272">
        <v>0</v>
      </c>
      <c r="AV272">
        <v>0</v>
      </c>
      <c r="AW272">
        <v>0</v>
      </c>
      <c r="AX272">
        <v>255</v>
      </c>
      <c r="AY272" s="5">
        <v>255</v>
      </c>
      <c r="AZ272">
        <v>0</v>
      </c>
      <c r="BA272">
        <v>0</v>
      </c>
      <c r="BB272">
        <v>0</v>
      </c>
      <c r="BC272">
        <v>0</v>
      </c>
      <c r="BD272">
        <v>0</v>
      </c>
      <c r="BE272">
        <v>0</v>
      </c>
      <c r="BF272">
        <v>0</v>
      </c>
      <c r="BG272">
        <v>0</v>
      </c>
      <c r="BH272">
        <v>0</v>
      </c>
      <c r="BI272" t="str">
        <v/>
      </c>
      <c r="BK272">
        <v>266</v>
      </c>
      <c r="BL272">
        <v>0</v>
      </c>
      <c r="BM272">
        <v>0</v>
      </c>
      <c r="BN272">
        <v>0</v>
      </c>
      <c r="BO272">
        <v>0</v>
      </c>
      <c r="BP272">
        <v>0</v>
      </c>
      <c r="BQ272">
        <v>0</v>
      </c>
      <c r="BR272">
        <v>0</v>
      </c>
      <c r="BS272">
        <v>0</v>
      </c>
      <c r="BT272">
        <v>0</v>
      </c>
      <c r="BU272">
        <v>0</v>
      </c>
      <c r="BV272">
        <v>0</v>
      </c>
      <c r="BW272">
        <v>0</v>
      </c>
      <c r="BX272">
        <v>0</v>
      </c>
      <c r="BY272">
        <v>0</v>
      </c>
      <c r="BZ272">
        <v>0</v>
      </c>
      <c r="CA272">
        <v>0</v>
      </c>
      <c r="CB272">
        <v>0</v>
      </c>
      <c r="CC272">
        <v>0</v>
      </c>
      <c r="CD272">
        <v>0</v>
      </c>
      <c r="CE272">
        <v>0</v>
      </c>
      <c r="CF272">
        <v>0</v>
      </c>
      <c r="CG272">
        <v>0</v>
      </c>
      <c r="CH272">
        <v>0</v>
      </c>
      <c r="CI272">
        <v>0</v>
      </c>
      <c r="CJ272">
        <v>0</v>
      </c>
      <c r="CK272">
        <v>0</v>
      </c>
      <c r="CL272">
        <v>0</v>
      </c>
      <c r="CM272">
        <v>0</v>
      </c>
      <c r="CN272">
        <v>0</v>
      </c>
      <c r="CO272">
        <v>0</v>
      </c>
      <c r="CP272">
        <v>0</v>
      </c>
      <c r="CQ272">
        <v>0</v>
      </c>
      <c r="CR272">
        <v>0</v>
      </c>
      <c r="CS272">
        <v>0</v>
      </c>
      <c r="CT272">
        <v>0</v>
      </c>
      <c r="CU272">
        <v>0</v>
      </c>
      <c r="CV272">
        <v>0</v>
      </c>
      <c r="CW272">
        <v>0</v>
      </c>
      <c r="CX272">
        <v>0</v>
      </c>
      <c r="CY272">
        <v>0</v>
      </c>
      <c r="CZ272">
        <v>0</v>
      </c>
      <c r="DA272">
        <v>0</v>
      </c>
      <c r="DB272">
        <v>0</v>
      </c>
      <c r="DC272">
        <v>0</v>
      </c>
      <c r="DD272">
        <v>0</v>
      </c>
      <c r="DE272">
        <v>0</v>
      </c>
      <c r="DF272">
        <v>0</v>
      </c>
      <c r="DG272">
        <v>0</v>
      </c>
      <c r="DH272">
        <v>0</v>
      </c>
      <c r="DI272">
        <v>0</v>
      </c>
      <c r="DJ272">
        <v>0</v>
      </c>
      <c r="DK272">
        <v>0</v>
      </c>
      <c r="DL272">
        <v>0</v>
      </c>
      <c r="DM272">
        <v>0</v>
      </c>
      <c r="DN272">
        <v>0</v>
      </c>
      <c r="DO272">
        <v>0</v>
      </c>
      <c r="DP272">
        <v>0</v>
      </c>
      <c r="DQ272">
        <v>0</v>
      </c>
      <c r="DR272">
        <v>0</v>
      </c>
      <c r="DS272">
        <v>0</v>
      </c>
      <c r="DT272">
        <v>0</v>
      </c>
      <c r="DU272">
        <v>0</v>
      </c>
      <c r="DV272">
        <v>0</v>
      </c>
      <c r="DW272">
        <v>0</v>
      </c>
      <c r="DX272">
        <v>0</v>
      </c>
      <c r="DY272">
        <v>0</v>
      </c>
      <c r="DZ272">
        <v>0</v>
      </c>
      <c r="EA272">
        <v>0</v>
      </c>
      <c r="EB272">
        <v>0</v>
      </c>
      <c r="EC272">
        <v>0</v>
      </c>
      <c r="ED272">
        <v>0</v>
      </c>
      <c r="EE272">
        <v>0</v>
      </c>
      <c r="EF272">
        <v>0</v>
      </c>
      <c r="EG272">
        <v>0</v>
      </c>
      <c r="EH272">
        <v>0</v>
      </c>
      <c r="EI272">
        <v>0</v>
      </c>
      <c r="EJ272">
        <v>0</v>
      </c>
      <c r="EK272">
        <v>0</v>
      </c>
      <c r="EL272">
        <v>0</v>
      </c>
      <c r="EM272">
        <v>0</v>
      </c>
      <c r="EN272">
        <v>0</v>
      </c>
      <c r="EO272">
        <v>0</v>
      </c>
      <c r="EP272">
        <v>0</v>
      </c>
      <c r="EQ272">
        <v>0</v>
      </c>
      <c r="ER272">
        <v>0</v>
      </c>
      <c r="ES272">
        <v>0</v>
      </c>
      <c r="ET272">
        <v>0</v>
      </c>
      <c r="EU272">
        <v>0</v>
      </c>
      <c r="EV272">
        <v>0</v>
      </c>
      <c r="EW272">
        <v>0</v>
      </c>
      <c r="EX272">
        <v>0</v>
      </c>
      <c r="EY272">
        <v>0</v>
      </c>
      <c r="EZ272">
        <v>0</v>
      </c>
      <c r="FA272">
        <v>0</v>
      </c>
      <c r="FB272">
        <v>0</v>
      </c>
      <c r="FC272">
        <v>0</v>
      </c>
      <c r="FD272">
        <v>0</v>
      </c>
      <c r="FE272">
        <v>0</v>
      </c>
      <c r="FF272">
        <v>0</v>
      </c>
      <c r="FG272">
        <v>0</v>
      </c>
      <c r="FH272">
        <v>0</v>
      </c>
      <c r="FI272">
        <v>0</v>
      </c>
      <c r="FJ272">
        <v>0</v>
      </c>
      <c r="FK272">
        <v>0</v>
      </c>
      <c r="FL272">
        <v>0</v>
      </c>
      <c r="FM272">
        <v>0</v>
      </c>
      <c r="FN272">
        <v>0</v>
      </c>
      <c r="FO272">
        <v>0</v>
      </c>
      <c r="FP272">
        <v>0</v>
      </c>
      <c r="FQ272">
        <v>0</v>
      </c>
      <c r="FR272">
        <v>0</v>
      </c>
      <c r="FS272">
        <v>0</v>
      </c>
      <c r="FT272">
        <v>0</v>
      </c>
      <c r="FU272">
        <v>0</v>
      </c>
      <c r="FV272">
        <v>0</v>
      </c>
      <c r="FW272">
        <v>0</v>
      </c>
      <c r="FX272">
        <v>0</v>
      </c>
      <c r="FY272">
        <v>0</v>
      </c>
      <c r="FZ272">
        <v>0</v>
      </c>
      <c r="GA272">
        <v>0</v>
      </c>
      <c r="GB272">
        <v>0</v>
      </c>
      <c r="GC272">
        <v>0</v>
      </c>
      <c r="GD272">
        <v>0</v>
      </c>
      <c r="GE272">
        <v>0</v>
      </c>
      <c r="GF272">
        <v>0</v>
      </c>
      <c r="GG272">
        <v>0</v>
      </c>
      <c r="GH272">
        <v>0</v>
      </c>
      <c r="GI272">
        <v>0</v>
      </c>
      <c r="GJ272">
        <v>0</v>
      </c>
      <c r="GK272">
        <v>0</v>
      </c>
      <c r="GL272">
        <v>0</v>
      </c>
      <c r="GM272">
        <v>0</v>
      </c>
      <c r="GN272">
        <v>0</v>
      </c>
      <c r="GO272">
        <v>0</v>
      </c>
      <c r="GP272">
        <v>0</v>
      </c>
      <c r="GQ272">
        <v>0</v>
      </c>
      <c r="GR272">
        <v>0</v>
      </c>
      <c r="GS272">
        <v>0</v>
      </c>
      <c r="GT272">
        <v>0</v>
      </c>
      <c r="GU272">
        <v>0</v>
      </c>
      <c r="GV272">
        <v>0</v>
      </c>
      <c r="GW272">
        <v>0</v>
      </c>
      <c r="GX272">
        <v>0</v>
      </c>
      <c r="GY272">
        <v>0</v>
      </c>
      <c r="GZ272">
        <v>0</v>
      </c>
      <c r="HA272">
        <v>0</v>
      </c>
      <c r="HB272">
        <v>0</v>
      </c>
      <c r="HC272">
        <v>0</v>
      </c>
      <c r="HD272">
        <v>0</v>
      </c>
      <c r="HE272">
        <v>0</v>
      </c>
      <c r="HF272">
        <v>0</v>
      </c>
      <c r="HG272">
        <v>0</v>
      </c>
      <c r="HH272">
        <v>0</v>
      </c>
      <c r="HI272">
        <v>0</v>
      </c>
      <c r="HJ272">
        <v>0</v>
      </c>
      <c r="HK272">
        <v>0</v>
      </c>
      <c r="HL272">
        <v>0</v>
      </c>
      <c r="HM272">
        <v>0</v>
      </c>
      <c r="HN272">
        <v>0</v>
      </c>
      <c r="HO272">
        <v>0</v>
      </c>
      <c r="HP272">
        <v>0</v>
      </c>
      <c r="HQ272">
        <v>0</v>
      </c>
      <c r="HR272">
        <v>0</v>
      </c>
      <c r="HS272">
        <v>0</v>
      </c>
      <c r="HT272">
        <v>0</v>
      </c>
      <c r="HU272">
        <v>0</v>
      </c>
      <c r="HV272">
        <v>0</v>
      </c>
      <c r="HW272">
        <v>0</v>
      </c>
      <c r="HX272">
        <v>0</v>
      </c>
      <c r="HY272">
        <v>0</v>
      </c>
      <c r="HZ272">
        <v>0</v>
      </c>
      <c r="IA272">
        <v>0</v>
      </c>
      <c r="IB272">
        <v>0</v>
      </c>
      <c r="IC272">
        <v>0</v>
      </c>
      <c r="ID272">
        <v>0</v>
      </c>
      <c r="IE272">
        <v>0</v>
      </c>
      <c r="IF272">
        <v>0</v>
      </c>
      <c r="IG272">
        <v>0</v>
      </c>
      <c r="IH272">
        <v>0</v>
      </c>
      <c r="II272">
        <v>0</v>
      </c>
      <c r="IJ272">
        <v>0</v>
      </c>
      <c r="IK272">
        <v>0</v>
      </c>
      <c r="IL272">
        <v>0</v>
      </c>
      <c r="IM272">
        <v>0</v>
      </c>
      <c r="IN272">
        <v>0</v>
      </c>
      <c r="IO272">
        <v>0</v>
      </c>
      <c r="IP272">
        <v>0</v>
      </c>
      <c r="IQ272">
        <v>0</v>
      </c>
      <c r="IR272">
        <v>0</v>
      </c>
      <c r="IS272">
        <v>0</v>
      </c>
      <c r="IT272">
        <v>0</v>
      </c>
      <c r="IU272">
        <v>0</v>
      </c>
      <c r="IV272">
        <v>0</v>
      </c>
      <c r="IW272">
        <v>0</v>
      </c>
      <c r="IX272">
        <v>0</v>
      </c>
      <c r="IY272">
        <v>0</v>
      </c>
      <c r="IZ272">
        <v>0</v>
      </c>
      <c r="JA272">
        <v>0</v>
      </c>
      <c r="JB272">
        <v>0</v>
      </c>
      <c r="JC272">
        <v>0</v>
      </c>
      <c r="JD272">
        <v>0</v>
      </c>
      <c r="JE272">
        <v>0</v>
      </c>
      <c r="JF272">
        <v>0</v>
      </c>
      <c r="JG272">
        <v>0</v>
      </c>
      <c r="JH272">
        <v>0</v>
      </c>
      <c r="JI272">
        <v>0</v>
      </c>
      <c r="JJ272">
        <v>0</v>
      </c>
      <c r="JK272">
        <v>0</v>
      </c>
      <c r="JL272">
        <v>0</v>
      </c>
      <c r="JM272">
        <v>0</v>
      </c>
      <c r="JN272">
        <v>0</v>
      </c>
      <c r="JO272">
        <v>0</v>
      </c>
      <c r="JP272">
        <v>0</v>
      </c>
      <c r="JQ272">
        <v>0</v>
      </c>
      <c r="JR272">
        <v>0</v>
      </c>
      <c r="JS272">
        <v>0</v>
      </c>
      <c r="JT272">
        <v>0</v>
      </c>
      <c r="JU272">
        <v>0</v>
      </c>
      <c r="JV272">
        <v>0</v>
      </c>
      <c r="JW272">
        <v>0</v>
      </c>
      <c r="JX272">
        <v>0</v>
      </c>
      <c r="JY272">
        <v>0</v>
      </c>
      <c r="JZ272">
        <v>0</v>
      </c>
      <c r="KA272">
        <v>0</v>
      </c>
      <c r="KB272">
        <v>0</v>
      </c>
      <c r="KC272">
        <v>0</v>
      </c>
      <c r="KD272">
        <v>0</v>
      </c>
      <c r="KE272">
        <v>0</v>
      </c>
      <c r="KF272">
        <v>0</v>
      </c>
      <c r="KG272">
        <v>0</v>
      </c>
      <c r="KH272">
        <v>0</v>
      </c>
      <c r="KI272">
        <v>0</v>
      </c>
      <c r="KJ272">
        <v>0</v>
      </c>
      <c r="KK272">
        <v>0</v>
      </c>
      <c r="KL272">
        <v>0</v>
      </c>
      <c r="KM272">
        <v>0</v>
      </c>
      <c r="KN272">
        <v>0</v>
      </c>
      <c r="KO272">
        <v>0</v>
      </c>
      <c r="KP272">
        <v>0</v>
      </c>
      <c r="KQ272">
        <v>0</v>
      </c>
      <c r="KR272">
        <v>0</v>
      </c>
      <c r="KS272">
        <v>0</v>
      </c>
      <c r="KT272">
        <v>0</v>
      </c>
      <c r="KU272">
        <v>0</v>
      </c>
      <c r="KV272">
        <v>0</v>
      </c>
      <c r="KW272">
        <v>0</v>
      </c>
      <c r="KX272">
        <v>0</v>
      </c>
      <c r="KY272">
        <v>0</v>
      </c>
      <c r="KZ272">
        <v>0</v>
      </c>
      <c r="LA272">
        <v>0</v>
      </c>
      <c r="LB272">
        <v>0</v>
      </c>
      <c r="LC272">
        <v>0</v>
      </c>
      <c r="LD272">
        <v>0</v>
      </c>
      <c r="LE272">
        <v>0</v>
      </c>
      <c r="LF272">
        <v>0</v>
      </c>
      <c r="LG272">
        <v>0</v>
      </c>
      <c r="LH272">
        <v>0</v>
      </c>
      <c r="LI272">
        <v>0</v>
      </c>
      <c r="LJ272">
        <v>0</v>
      </c>
      <c r="LK272">
        <v>0</v>
      </c>
      <c r="LL272">
        <v>0</v>
      </c>
      <c r="LM272">
        <v>0</v>
      </c>
      <c r="LN272">
        <v>0</v>
      </c>
      <c r="LO272">
        <v>0</v>
      </c>
      <c r="LP272">
        <v>0</v>
      </c>
      <c r="LQ272">
        <v>0</v>
      </c>
      <c r="LR272">
        <v>0</v>
      </c>
      <c r="LS272">
        <v>0</v>
      </c>
      <c r="LT272">
        <v>0</v>
      </c>
      <c r="LU272">
        <v>0</v>
      </c>
      <c r="LV272">
        <v>0</v>
      </c>
      <c r="LW272">
        <v>0</v>
      </c>
      <c r="LX272">
        <v>0</v>
      </c>
      <c r="LY272">
        <v>0</v>
      </c>
      <c r="LZ272">
        <v>0</v>
      </c>
      <c r="MA272">
        <v>0</v>
      </c>
      <c r="MB272">
        <v>0</v>
      </c>
      <c r="MC272">
        <v>0</v>
      </c>
      <c r="MD272">
        <v>0</v>
      </c>
      <c r="ME272">
        <v>0</v>
      </c>
      <c r="MF272">
        <v>0</v>
      </c>
      <c r="MG272">
        <v>0</v>
      </c>
      <c r="MH272">
        <v>0</v>
      </c>
      <c r="MI272">
        <v>0</v>
      </c>
      <c r="MJ272">
        <v>0</v>
      </c>
      <c r="MK272">
        <v>0</v>
      </c>
      <c r="ML272">
        <v>0</v>
      </c>
      <c r="MM272">
        <v>0</v>
      </c>
      <c r="MN272">
        <v>0</v>
      </c>
      <c r="MO272">
        <v>0</v>
      </c>
      <c r="MP272">
        <v>0</v>
      </c>
      <c r="MQ272">
        <v>0</v>
      </c>
      <c r="MR272">
        <v>0</v>
      </c>
      <c r="MS272">
        <v>0</v>
      </c>
      <c r="MT272">
        <v>0</v>
      </c>
      <c r="MU272">
        <v>0</v>
      </c>
      <c r="MV272">
        <v>0</v>
      </c>
      <c r="MW272">
        <v>0</v>
      </c>
      <c r="MX272">
        <v>0</v>
      </c>
      <c r="MY272">
        <v>0</v>
      </c>
      <c r="MZ272">
        <v>0</v>
      </c>
      <c r="NA272">
        <v>0</v>
      </c>
      <c r="NB272">
        <v>0</v>
      </c>
      <c r="NC272">
        <v>0</v>
      </c>
      <c r="ND272">
        <v>0</v>
      </c>
      <c r="NE272">
        <v>0</v>
      </c>
    </row>
    <row r="273" spans="41:369" x14ac:dyDescent="0.45">
      <c r="AO273" t="str">
        <v>D149</v>
      </c>
      <c r="AP273" t="str">
        <v>MOHAMMED MARZOOK AM</v>
      </c>
      <c r="AQ273" t="str">
        <v>JARF</v>
      </c>
      <c r="AR273" t="str">
        <v>SUPER SENIOR</v>
      </c>
      <c r="AS273">
        <v>9</v>
      </c>
      <c r="AT273">
        <v>8</v>
      </c>
      <c r="AU273">
        <v>0</v>
      </c>
      <c r="AV273">
        <v>8</v>
      </c>
      <c r="AW273">
        <v>8</v>
      </c>
      <c r="AX273">
        <v>147</v>
      </c>
      <c r="AY273" s="5">
        <v>147</v>
      </c>
      <c r="AZ273">
        <v>0</v>
      </c>
      <c r="BA273">
        <v>0</v>
      </c>
      <c r="BB273">
        <v>0</v>
      </c>
      <c r="BC273">
        <v>0</v>
      </c>
      <c r="BD273">
        <v>0</v>
      </c>
      <c r="BE273">
        <v>0</v>
      </c>
      <c r="BF273">
        <v>0</v>
      </c>
      <c r="BG273">
        <v>0</v>
      </c>
      <c r="BH273">
        <v>0</v>
      </c>
      <c r="BI273" t="str">
        <v/>
      </c>
      <c r="BK273">
        <v>267</v>
      </c>
      <c r="BL273">
        <v>0</v>
      </c>
      <c r="BM273">
        <v>0</v>
      </c>
      <c r="BN273">
        <v>0</v>
      </c>
      <c r="BO273">
        <v>0</v>
      </c>
      <c r="BP273">
        <v>0</v>
      </c>
      <c r="BQ273">
        <v>0</v>
      </c>
      <c r="BR273">
        <v>0</v>
      </c>
      <c r="BS273">
        <v>0</v>
      </c>
      <c r="BT273">
        <v>0</v>
      </c>
      <c r="BU273">
        <v>0</v>
      </c>
      <c r="BV273">
        <v>0</v>
      </c>
      <c r="BW273">
        <v>0</v>
      </c>
      <c r="BX273">
        <v>0</v>
      </c>
      <c r="BY273">
        <v>0</v>
      </c>
      <c r="BZ273">
        <v>0</v>
      </c>
      <c r="CA273">
        <v>0</v>
      </c>
      <c r="CB273">
        <v>0</v>
      </c>
      <c r="CC273">
        <v>0</v>
      </c>
      <c r="CD273">
        <v>0</v>
      </c>
      <c r="CE273">
        <v>0</v>
      </c>
      <c r="CF273">
        <v>0</v>
      </c>
      <c r="CG273">
        <v>0</v>
      </c>
      <c r="CH273">
        <v>0</v>
      </c>
      <c r="CI273">
        <v>0</v>
      </c>
      <c r="CJ273">
        <v>0</v>
      </c>
      <c r="CK273">
        <v>0</v>
      </c>
      <c r="CL273">
        <v>0</v>
      </c>
      <c r="CM273">
        <v>0</v>
      </c>
      <c r="CN273">
        <v>0</v>
      </c>
      <c r="CO273">
        <v>0</v>
      </c>
      <c r="CP273">
        <v>0</v>
      </c>
      <c r="CQ273">
        <v>0</v>
      </c>
      <c r="CR273">
        <v>0</v>
      </c>
      <c r="CS273">
        <v>0</v>
      </c>
      <c r="CT273">
        <v>0</v>
      </c>
      <c r="CU273">
        <v>0</v>
      </c>
      <c r="CV273">
        <v>0</v>
      </c>
      <c r="CW273">
        <v>0</v>
      </c>
      <c r="CX273">
        <v>0</v>
      </c>
      <c r="CY273">
        <v>0</v>
      </c>
      <c r="CZ273">
        <v>0</v>
      </c>
      <c r="DA273">
        <v>0</v>
      </c>
      <c r="DB273">
        <v>0</v>
      </c>
      <c r="DC273">
        <v>0</v>
      </c>
      <c r="DD273">
        <v>0</v>
      </c>
      <c r="DE273">
        <v>0</v>
      </c>
      <c r="DF273">
        <v>0</v>
      </c>
      <c r="DG273">
        <v>0</v>
      </c>
      <c r="DH273">
        <v>0</v>
      </c>
      <c r="DI273">
        <v>0</v>
      </c>
      <c r="DJ273">
        <v>0</v>
      </c>
      <c r="DK273">
        <v>0</v>
      </c>
      <c r="DL273">
        <v>0</v>
      </c>
      <c r="DM273">
        <v>0</v>
      </c>
      <c r="DN273">
        <v>0</v>
      </c>
      <c r="DO273">
        <v>0</v>
      </c>
      <c r="DP273">
        <v>0</v>
      </c>
      <c r="DQ273">
        <v>0</v>
      </c>
      <c r="DR273">
        <v>0</v>
      </c>
      <c r="DS273">
        <v>0</v>
      </c>
      <c r="DT273">
        <v>0</v>
      </c>
      <c r="DU273">
        <v>0</v>
      </c>
      <c r="DV273">
        <v>0</v>
      </c>
      <c r="DW273">
        <v>0</v>
      </c>
      <c r="DX273">
        <v>0</v>
      </c>
      <c r="DY273">
        <v>0</v>
      </c>
      <c r="DZ273">
        <v>0</v>
      </c>
      <c r="EA273">
        <v>0</v>
      </c>
      <c r="EB273">
        <v>0</v>
      </c>
      <c r="EC273">
        <v>0</v>
      </c>
      <c r="ED273">
        <v>0</v>
      </c>
      <c r="EE273">
        <v>0</v>
      </c>
      <c r="EF273">
        <v>0</v>
      </c>
      <c r="EG273">
        <v>0</v>
      </c>
      <c r="EH273">
        <v>0</v>
      </c>
      <c r="EI273">
        <v>0</v>
      </c>
      <c r="EJ273">
        <v>0</v>
      </c>
      <c r="EK273">
        <v>0</v>
      </c>
      <c r="EL273">
        <v>0</v>
      </c>
      <c r="EM273">
        <v>0</v>
      </c>
      <c r="EN273">
        <v>0</v>
      </c>
      <c r="EO273">
        <v>0</v>
      </c>
      <c r="EP273">
        <v>0</v>
      </c>
      <c r="EQ273">
        <v>0</v>
      </c>
      <c r="ER273">
        <v>0</v>
      </c>
      <c r="ES273">
        <v>0</v>
      </c>
      <c r="ET273">
        <v>0</v>
      </c>
      <c r="EU273">
        <v>0</v>
      </c>
      <c r="EV273">
        <v>0</v>
      </c>
      <c r="EW273">
        <v>0</v>
      </c>
      <c r="EX273">
        <v>0</v>
      </c>
      <c r="EY273">
        <v>0</v>
      </c>
      <c r="EZ273">
        <v>0</v>
      </c>
      <c r="FA273">
        <v>0</v>
      </c>
      <c r="FB273">
        <v>0</v>
      </c>
      <c r="FC273">
        <v>0</v>
      </c>
      <c r="FD273">
        <v>0</v>
      </c>
      <c r="FE273">
        <v>0</v>
      </c>
      <c r="FF273">
        <v>0</v>
      </c>
      <c r="FG273">
        <v>0</v>
      </c>
      <c r="FH273">
        <v>0</v>
      </c>
      <c r="FI273">
        <v>0</v>
      </c>
      <c r="FJ273">
        <v>0</v>
      </c>
      <c r="FK273">
        <v>0</v>
      </c>
      <c r="FL273">
        <v>0</v>
      </c>
      <c r="FM273">
        <v>0</v>
      </c>
      <c r="FN273">
        <v>0</v>
      </c>
      <c r="FO273">
        <v>0</v>
      </c>
      <c r="FP273">
        <v>0</v>
      </c>
      <c r="FQ273">
        <v>0</v>
      </c>
      <c r="FR273">
        <v>0</v>
      </c>
      <c r="FS273">
        <v>0</v>
      </c>
      <c r="FT273">
        <v>0</v>
      </c>
      <c r="FU273">
        <v>0</v>
      </c>
      <c r="FV273">
        <v>0</v>
      </c>
      <c r="FW273">
        <v>0</v>
      </c>
      <c r="FX273">
        <v>0</v>
      </c>
      <c r="FY273">
        <v>0</v>
      </c>
      <c r="FZ273">
        <v>0</v>
      </c>
      <c r="GA273">
        <v>0</v>
      </c>
      <c r="GB273">
        <v>0</v>
      </c>
      <c r="GC273">
        <v>0</v>
      </c>
      <c r="GD273">
        <v>0</v>
      </c>
      <c r="GE273">
        <v>0</v>
      </c>
      <c r="GF273">
        <v>0</v>
      </c>
      <c r="GG273">
        <v>0</v>
      </c>
      <c r="GH273">
        <v>0</v>
      </c>
      <c r="GI273">
        <v>0</v>
      </c>
      <c r="GJ273">
        <v>0</v>
      </c>
      <c r="GK273">
        <v>0</v>
      </c>
      <c r="GL273">
        <v>0</v>
      </c>
      <c r="GM273">
        <v>0</v>
      </c>
      <c r="GN273">
        <v>0</v>
      </c>
      <c r="GO273">
        <v>0</v>
      </c>
      <c r="GP273">
        <v>0</v>
      </c>
      <c r="GQ273">
        <v>0</v>
      </c>
      <c r="GR273">
        <v>0</v>
      </c>
      <c r="GS273">
        <v>0</v>
      </c>
      <c r="GT273">
        <v>0</v>
      </c>
      <c r="GU273">
        <v>0</v>
      </c>
      <c r="GV273">
        <v>0</v>
      </c>
      <c r="GW273">
        <v>0</v>
      </c>
      <c r="GX273">
        <v>0</v>
      </c>
      <c r="GY273">
        <v>0</v>
      </c>
      <c r="GZ273">
        <v>0</v>
      </c>
      <c r="HA273">
        <v>0</v>
      </c>
      <c r="HB273">
        <v>0</v>
      </c>
      <c r="HC273">
        <v>0</v>
      </c>
      <c r="HD273">
        <v>0</v>
      </c>
      <c r="HE273">
        <v>0</v>
      </c>
      <c r="HF273">
        <v>0</v>
      </c>
      <c r="HG273">
        <v>0</v>
      </c>
      <c r="HH273">
        <v>0</v>
      </c>
      <c r="HI273">
        <v>0</v>
      </c>
      <c r="HJ273">
        <v>0</v>
      </c>
      <c r="HK273">
        <v>0</v>
      </c>
      <c r="HL273">
        <v>0</v>
      </c>
      <c r="HM273">
        <v>0</v>
      </c>
      <c r="HN273">
        <v>0</v>
      </c>
      <c r="HO273">
        <v>0</v>
      </c>
      <c r="HP273">
        <v>0</v>
      </c>
      <c r="HQ273">
        <v>0</v>
      </c>
      <c r="HR273">
        <v>0</v>
      </c>
      <c r="HS273">
        <v>0</v>
      </c>
      <c r="HT273">
        <v>0</v>
      </c>
      <c r="HU273">
        <v>0</v>
      </c>
      <c r="HV273">
        <v>0</v>
      </c>
      <c r="HW273">
        <v>0</v>
      </c>
      <c r="HX273">
        <v>0</v>
      </c>
      <c r="HY273">
        <v>0</v>
      </c>
      <c r="HZ273">
        <v>0</v>
      </c>
      <c r="IA273">
        <v>0</v>
      </c>
      <c r="IB273">
        <v>0</v>
      </c>
      <c r="IC273">
        <v>0</v>
      </c>
      <c r="ID273">
        <v>0</v>
      </c>
      <c r="IE273">
        <v>0</v>
      </c>
      <c r="IF273">
        <v>0</v>
      </c>
      <c r="IG273">
        <v>0</v>
      </c>
      <c r="IH273">
        <v>0</v>
      </c>
      <c r="II273">
        <v>0</v>
      </c>
      <c r="IJ273">
        <v>0</v>
      </c>
      <c r="IK273">
        <v>0</v>
      </c>
      <c r="IL273">
        <v>0</v>
      </c>
      <c r="IM273">
        <v>0</v>
      </c>
      <c r="IN273">
        <v>0</v>
      </c>
      <c r="IO273">
        <v>0</v>
      </c>
      <c r="IP273">
        <v>0</v>
      </c>
      <c r="IQ273">
        <v>0</v>
      </c>
      <c r="IR273">
        <v>0</v>
      </c>
      <c r="IS273">
        <v>0</v>
      </c>
      <c r="IT273">
        <v>0</v>
      </c>
      <c r="IU273">
        <v>0</v>
      </c>
      <c r="IV273">
        <v>0</v>
      </c>
      <c r="IW273">
        <v>0</v>
      </c>
      <c r="IX273">
        <v>0</v>
      </c>
      <c r="IY273">
        <v>0</v>
      </c>
      <c r="IZ273">
        <v>0</v>
      </c>
      <c r="JA273">
        <v>0</v>
      </c>
      <c r="JB273">
        <v>0</v>
      </c>
      <c r="JC273">
        <v>0</v>
      </c>
      <c r="JD273">
        <v>0</v>
      </c>
      <c r="JE273">
        <v>0</v>
      </c>
      <c r="JF273">
        <v>0</v>
      </c>
      <c r="JG273">
        <v>0</v>
      </c>
      <c r="JH273">
        <v>0</v>
      </c>
      <c r="JI273">
        <v>0</v>
      </c>
      <c r="JJ273">
        <v>0</v>
      </c>
      <c r="JK273">
        <v>0</v>
      </c>
      <c r="JL273">
        <v>0</v>
      </c>
      <c r="JM273">
        <v>0</v>
      </c>
      <c r="JN273">
        <v>0</v>
      </c>
      <c r="JO273">
        <v>0</v>
      </c>
      <c r="JP273">
        <v>0</v>
      </c>
      <c r="JQ273">
        <v>0</v>
      </c>
      <c r="JR273">
        <v>0</v>
      </c>
      <c r="JS273">
        <v>0</v>
      </c>
      <c r="JT273">
        <v>0</v>
      </c>
      <c r="JU273">
        <v>0</v>
      </c>
      <c r="JV273">
        <v>0</v>
      </c>
      <c r="JW273">
        <v>0</v>
      </c>
      <c r="JX273">
        <v>0</v>
      </c>
      <c r="JY273">
        <v>0</v>
      </c>
      <c r="JZ273">
        <v>0</v>
      </c>
      <c r="KA273">
        <v>0</v>
      </c>
      <c r="KB273">
        <v>0</v>
      </c>
      <c r="KC273">
        <v>0</v>
      </c>
      <c r="KD273">
        <v>0</v>
      </c>
      <c r="KE273">
        <v>0</v>
      </c>
      <c r="KF273">
        <v>0</v>
      </c>
      <c r="KG273">
        <v>0</v>
      </c>
      <c r="KH273">
        <v>0</v>
      </c>
      <c r="KI273">
        <v>0</v>
      </c>
      <c r="KJ273">
        <v>0</v>
      </c>
      <c r="KK273">
        <v>0</v>
      </c>
      <c r="KL273">
        <v>0</v>
      </c>
      <c r="KM273">
        <v>0</v>
      </c>
      <c r="KN273">
        <v>0</v>
      </c>
      <c r="KO273">
        <v>0</v>
      </c>
      <c r="KP273">
        <v>0</v>
      </c>
      <c r="KQ273">
        <v>0</v>
      </c>
      <c r="KR273">
        <v>0</v>
      </c>
      <c r="KS273">
        <v>0</v>
      </c>
      <c r="KT273">
        <v>0</v>
      </c>
      <c r="KU273">
        <v>0</v>
      </c>
      <c r="KV273">
        <v>0</v>
      </c>
      <c r="KW273">
        <v>0</v>
      </c>
      <c r="KX273">
        <v>0</v>
      </c>
      <c r="KY273">
        <v>0</v>
      </c>
      <c r="KZ273">
        <v>0</v>
      </c>
      <c r="LA273">
        <v>0</v>
      </c>
      <c r="LB273">
        <v>0</v>
      </c>
      <c r="LC273">
        <v>0</v>
      </c>
      <c r="LD273">
        <v>0</v>
      </c>
      <c r="LE273">
        <v>0</v>
      </c>
      <c r="LF273">
        <v>0</v>
      </c>
      <c r="LG273">
        <v>0</v>
      </c>
      <c r="LH273">
        <v>0</v>
      </c>
      <c r="LI273">
        <v>0</v>
      </c>
      <c r="LJ273">
        <v>0</v>
      </c>
      <c r="LK273">
        <v>0</v>
      </c>
      <c r="LL273">
        <v>0</v>
      </c>
      <c r="LM273">
        <v>0</v>
      </c>
      <c r="LN273">
        <v>0</v>
      </c>
      <c r="LO273">
        <v>0</v>
      </c>
      <c r="LP273">
        <v>0</v>
      </c>
      <c r="LQ273">
        <v>0</v>
      </c>
      <c r="LR273">
        <v>0</v>
      </c>
      <c r="LS273">
        <v>0</v>
      </c>
      <c r="LT273">
        <v>0</v>
      </c>
      <c r="LU273">
        <v>0</v>
      </c>
      <c r="LV273">
        <v>0</v>
      </c>
      <c r="LW273">
        <v>0</v>
      </c>
      <c r="LX273">
        <v>0</v>
      </c>
      <c r="LY273">
        <v>0</v>
      </c>
      <c r="LZ273">
        <v>0</v>
      </c>
      <c r="MA273">
        <v>0</v>
      </c>
      <c r="MB273">
        <v>0</v>
      </c>
      <c r="MC273">
        <v>0</v>
      </c>
      <c r="MD273">
        <v>0</v>
      </c>
      <c r="ME273">
        <v>0</v>
      </c>
      <c r="MF273">
        <v>0</v>
      </c>
      <c r="MG273">
        <v>0</v>
      </c>
      <c r="MH273">
        <v>0</v>
      </c>
      <c r="MI273">
        <v>0</v>
      </c>
      <c r="MJ273">
        <v>0</v>
      </c>
      <c r="MK273">
        <v>0</v>
      </c>
      <c r="ML273">
        <v>0</v>
      </c>
      <c r="MM273">
        <v>0</v>
      </c>
      <c r="MN273">
        <v>0</v>
      </c>
      <c r="MO273">
        <v>0</v>
      </c>
      <c r="MP273">
        <v>0</v>
      </c>
      <c r="MQ273">
        <v>0</v>
      </c>
      <c r="MR273">
        <v>0</v>
      </c>
      <c r="MS273">
        <v>0</v>
      </c>
      <c r="MT273">
        <v>0</v>
      </c>
      <c r="MU273">
        <v>0</v>
      </c>
      <c r="MV273">
        <v>0</v>
      </c>
      <c r="MW273">
        <v>0</v>
      </c>
      <c r="MX273">
        <v>0</v>
      </c>
      <c r="MY273">
        <v>0</v>
      </c>
      <c r="MZ273">
        <v>0</v>
      </c>
      <c r="NA273">
        <v>0</v>
      </c>
      <c r="NB273">
        <v>0</v>
      </c>
      <c r="NC273">
        <v>0</v>
      </c>
      <c r="ND273">
        <v>0</v>
      </c>
      <c r="NE273">
        <v>0</v>
      </c>
    </row>
    <row r="274" spans="41:369" x14ac:dyDescent="0.45">
      <c r="AO274" t="str">
        <v>D150</v>
      </c>
      <c r="AP274" t="str">
        <v>ABDUL KHADER</v>
      </c>
      <c r="AQ274" t="str">
        <v>DAHF</v>
      </c>
      <c r="AR274" t="str">
        <v>SUPER SENIOR</v>
      </c>
      <c r="AS274">
        <v>9</v>
      </c>
      <c r="AT274">
        <v>44</v>
      </c>
      <c r="AU274">
        <v>0</v>
      </c>
      <c r="AV274">
        <v>44</v>
      </c>
      <c r="AW274">
        <v>44</v>
      </c>
      <c r="AX274">
        <v>19</v>
      </c>
      <c r="AY274" s="5">
        <v>19</v>
      </c>
      <c r="AZ274">
        <v>0</v>
      </c>
      <c r="BA274">
        <v>0</v>
      </c>
      <c r="BB274">
        <v>0</v>
      </c>
      <c r="BC274">
        <v>0</v>
      </c>
      <c r="BD274">
        <v>0</v>
      </c>
      <c r="BE274">
        <v>0</v>
      </c>
      <c r="BF274">
        <v>0</v>
      </c>
      <c r="BG274">
        <v>0</v>
      </c>
      <c r="BH274">
        <v>0</v>
      </c>
      <c r="BI274" t="str">
        <v/>
      </c>
      <c r="BK274">
        <v>268</v>
      </c>
      <c r="BL274">
        <v>0</v>
      </c>
      <c r="BM274">
        <v>0</v>
      </c>
      <c r="BN274">
        <v>0</v>
      </c>
      <c r="BO274">
        <v>0</v>
      </c>
      <c r="BP274">
        <v>0</v>
      </c>
      <c r="BQ274">
        <v>0</v>
      </c>
      <c r="BR274">
        <v>0</v>
      </c>
      <c r="BS274">
        <v>0</v>
      </c>
      <c r="BT274">
        <v>0</v>
      </c>
      <c r="BU274">
        <v>0</v>
      </c>
      <c r="BV274">
        <v>0</v>
      </c>
      <c r="BW274">
        <v>0</v>
      </c>
      <c r="BX274">
        <v>0</v>
      </c>
      <c r="BY274">
        <v>0</v>
      </c>
      <c r="BZ274">
        <v>0</v>
      </c>
      <c r="CA274">
        <v>0</v>
      </c>
      <c r="CB274">
        <v>0</v>
      </c>
      <c r="CC274">
        <v>0</v>
      </c>
      <c r="CD274">
        <v>0</v>
      </c>
      <c r="CE274">
        <v>0</v>
      </c>
      <c r="CF274">
        <v>0</v>
      </c>
      <c r="CG274">
        <v>0</v>
      </c>
      <c r="CH274">
        <v>0</v>
      </c>
      <c r="CI274">
        <v>0</v>
      </c>
      <c r="CJ274">
        <v>0</v>
      </c>
      <c r="CK274">
        <v>0</v>
      </c>
      <c r="CL274">
        <v>0</v>
      </c>
      <c r="CM274">
        <v>0</v>
      </c>
      <c r="CN274">
        <v>0</v>
      </c>
      <c r="CO274">
        <v>0</v>
      </c>
      <c r="CP274">
        <v>0</v>
      </c>
      <c r="CQ274">
        <v>0</v>
      </c>
      <c r="CR274">
        <v>0</v>
      </c>
      <c r="CS274">
        <v>0</v>
      </c>
      <c r="CT274">
        <v>0</v>
      </c>
      <c r="CU274">
        <v>0</v>
      </c>
      <c r="CV274">
        <v>0</v>
      </c>
      <c r="CW274">
        <v>0</v>
      </c>
      <c r="CX274">
        <v>0</v>
      </c>
      <c r="CY274">
        <v>0</v>
      </c>
      <c r="CZ274">
        <v>0</v>
      </c>
      <c r="DA274">
        <v>0</v>
      </c>
      <c r="DB274">
        <v>0</v>
      </c>
      <c r="DC274">
        <v>0</v>
      </c>
      <c r="DD274">
        <v>0</v>
      </c>
      <c r="DE274">
        <v>0</v>
      </c>
      <c r="DF274">
        <v>0</v>
      </c>
      <c r="DG274">
        <v>0</v>
      </c>
      <c r="DH274">
        <v>0</v>
      </c>
      <c r="DI274">
        <v>0</v>
      </c>
      <c r="DJ274">
        <v>0</v>
      </c>
      <c r="DK274">
        <v>0</v>
      </c>
      <c r="DL274">
        <v>0</v>
      </c>
      <c r="DM274">
        <v>0</v>
      </c>
      <c r="DN274">
        <v>0</v>
      </c>
      <c r="DO274">
        <v>0</v>
      </c>
      <c r="DP274">
        <v>0</v>
      </c>
      <c r="DQ274">
        <v>0</v>
      </c>
      <c r="DR274">
        <v>0</v>
      </c>
      <c r="DS274">
        <v>0</v>
      </c>
      <c r="DT274">
        <v>0</v>
      </c>
      <c r="DU274">
        <v>0</v>
      </c>
      <c r="DV274">
        <v>0</v>
      </c>
      <c r="DW274">
        <v>0</v>
      </c>
      <c r="DX274">
        <v>0</v>
      </c>
      <c r="DY274">
        <v>0</v>
      </c>
      <c r="DZ274">
        <v>0</v>
      </c>
      <c r="EA274">
        <v>0</v>
      </c>
      <c r="EB274">
        <v>0</v>
      </c>
      <c r="EC274">
        <v>0</v>
      </c>
      <c r="ED274">
        <v>0</v>
      </c>
      <c r="EE274">
        <v>0</v>
      </c>
      <c r="EF274">
        <v>0</v>
      </c>
      <c r="EG274">
        <v>0</v>
      </c>
      <c r="EH274">
        <v>0</v>
      </c>
      <c r="EI274">
        <v>0</v>
      </c>
      <c r="EJ274">
        <v>0</v>
      </c>
      <c r="EK274">
        <v>0</v>
      </c>
      <c r="EL274">
        <v>0</v>
      </c>
      <c r="EM274">
        <v>0</v>
      </c>
      <c r="EN274">
        <v>0</v>
      </c>
      <c r="EO274">
        <v>0</v>
      </c>
      <c r="EP274">
        <v>0</v>
      </c>
      <c r="EQ274">
        <v>0</v>
      </c>
      <c r="ER274">
        <v>0</v>
      </c>
      <c r="ES274">
        <v>0</v>
      </c>
      <c r="ET274">
        <v>0</v>
      </c>
      <c r="EU274">
        <v>0</v>
      </c>
      <c r="EV274">
        <v>0</v>
      </c>
      <c r="EW274">
        <v>0</v>
      </c>
      <c r="EX274">
        <v>0</v>
      </c>
      <c r="EY274">
        <v>0</v>
      </c>
      <c r="EZ274">
        <v>0</v>
      </c>
      <c r="FA274">
        <v>0</v>
      </c>
      <c r="FB274">
        <v>0</v>
      </c>
      <c r="FC274">
        <v>0</v>
      </c>
      <c r="FD274">
        <v>0</v>
      </c>
      <c r="FE274">
        <v>0</v>
      </c>
      <c r="FF274">
        <v>0</v>
      </c>
      <c r="FG274">
        <v>0</v>
      </c>
      <c r="FH274">
        <v>0</v>
      </c>
      <c r="FI274">
        <v>0</v>
      </c>
      <c r="FJ274">
        <v>0</v>
      </c>
      <c r="FK274">
        <v>0</v>
      </c>
      <c r="FL274">
        <v>0</v>
      </c>
      <c r="FM274">
        <v>0</v>
      </c>
      <c r="FN274">
        <v>0</v>
      </c>
      <c r="FO274">
        <v>0</v>
      </c>
      <c r="FP274">
        <v>0</v>
      </c>
      <c r="FQ274">
        <v>0</v>
      </c>
      <c r="FR274">
        <v>0</v>
      </c>
      <c r="FS274">
        <v>0</v>
      </c>
      <c r="FT274">
        <v>0</v>
      </c>
      <c r="FU274">
        <v>0</v>
      </c>
      <c r="FV274">
        <v>0</v>
      </c>
      <c r="FW274">
        <v>0</v>
      </c>
      <c r="FX274">
        <v>0</v>
      </c>
      <c r="FY274">
        <v>0</v>
      </c>
      <c r="FZ274">
        <v>0</v>
      </c>
      <c r="GA274">
        <v>0</v>
      </c>
      <c r="GB274">
        <v>0</v>
      </c>
      <c r="GC274">
        <v>0</v>
      </c>
      <c r="GD274">
        <v>0</v>
      </c>
      <c r="GE274">
        <v>0</v>
      </c>
      <c r="GF274">
        <v>0</v>
      </c>
      <c r="GG274">
        <v>0</v>
      </c>
      <c r="GH274">
        <v>0</v>
      </c>
      <c r="GI274">
        <v>0</v>
      </c>
      <c r="GJ274">
        <v>0</v>
      </c>
      <c r="GK274">
        <v>0</v>
      </c>
      <c r="GL274">
        <v>0</v>
      </c>
      <c r="GM274">
        <v>0</v>
      </c>
      <c r="GN274">
        <v>0</v>
      </c>
      <c r="GO274">
        <v>0</v>
      </c>
      <c r="GP274">
        <v>0</v>
      </c>
      <c r="GQ274">
        <v>0</v>
      </c>
      <c r="GR274">
        <v>0</v>
      </c>
      <c r="GS274">
        <v>0</v>
      </c>
      <c r="GT274">
        <v>0</v>
      </c>
      <c r="GU274">
        <v>0</v>
      </c>
      <c r="GV274">
        <v>0</v>
      </c>
      <c r="GW274">
        <v>0</v>
      </c>
      <c r="GX274">
        <v>0</v>
      </c>
      <c r="GY274">
        <v>0</v>
      </c>
      <c r="GZ274">
        <v>0</v>
      </c>
      <c r="HA274">
        <v>0</v>
      </c>
      <c r="HB274">
        <v>0</v>
      </c>
      <c r="HC274">
        <v>0</v>
      </c>
      <c r="HD274">
        <v>0</v>
      </c>
      <c r="HE274">
        <v>0</v>
      </c>
      <c r="HF274">
        <v>0</v>
      </c>
      <c r="HG274">
        <v>0</v>
      </c>
      <c r="HH274">
        <v>0</v>
      </c>
      <c r="HI274">
        <v>0</v>
      </c>
      <c r="HJ274">
        <v>0</v>
      </c>
      <c r="HK274">
        <v>0</v>
      </c>
      <c r="HL274">
        <v>0</v>
      </c>
      <c r="HM274">
        <v>0</v>
      </c>
      <c r="HN274">
        <v>0</v>
      </c>
      <c r="HO274">
        <v>0</v>
      </c>
      <c r="HP274">
        <v>0</v>
      </c>
      <c r="HQ274">
        <v>0</v>
      </c>
      <c r="HR274">
        <v>0</v>
      </c>
      <c r="HS274">
        <v>0</v>
      </c>
      <c r="HT274">
        <v>0</v>
      </c>
      <c r="HU274">
        <v>0</v>
      </c>
      <c r="HV274">
        <v>0</v>
      </c>
      <c r="HW274">
        <v>0</v>
      </c>
      <c r="HX274">
        <v>0</v>
      </c>
      <c r="HY274">
        <v>0</v>
      </c>
      <c r="HZ274">
        <v>0</v>
      </c>
      <c r="IA274">
        <v>0</v>
      </c>
      <c r="IB274">
        <v>0</v>
      </c>
      <c r="IC274">
        <v>0</v>
      </c>
      <c r="ID274">
        <v>0</v>
      </c>
      <c r="IE274">
        <v>0</v>
      </c>
      <c r="IF274">
        <v>0</v>
      </c>
      <c r="IG274">
        <v>0</v>
      </c>
      <c r="IH274">
        <v>0</v>
      </c>
      <c r="II274">
        <v>0</v>
      </c>
      <c r="IJ274">
        <v>0</v>
      </c>
      <c r="IK274">
        <v>0</v>
      </c>
      <c r="IL274">
        <v>0</v>
      </c>
      <c r="IM274">
        <v>0</v>
      </c>
      <c r="IN274">
        <v>0</v>
      </c>
      <c r="IO274">
        <v>0</v>
      </c>
      <c r="IP274">
        <v>0</v>
      </c>
      <c r="IQ274">
        <v>0</v>
      </c>
      <c r="IR274">
        <v>0</v>
      </c>
      <c r="IS274">
        <v>0</v>
      </c>
      <c r="IT274">
        <v>0</v>
      </c>
      <c r="IU274">
        <v>0</v>
      </c>
      <c r="IV274">
        <v>0</v>
      </c>
      <c r="IW274">
        <v>0</v>
      </c>
      <c r="IX274">
        <v>0</v>
      </c>
      <c r="IY274">
        <v>0</v>
      </c>
      <c r="IZ274">
        <v>0</v>
      </c>
      <c r="JA274">
        <v>0</v>
      </c>
      <c r="JB274">
        <v>0</v>
      </c>
      <c r="JC274">
        <v>0</v>
      </c>
      <c r="JD274">
        <v>0</v>
      </c>
      <c r="JE274">
        <v>0</v>
      </c>
      <c r="JF274">
        <v>0</v>
      </c>
      <c r="JG274">
        <v>0</v>
      </c>
      <c r="JH274">
        <v>0</v>
      </c>
      <c r="JI274">
        <v>0</v>
      </c>
      <c r="JJ274">
        <v>0</v>
      </c>
      <c r="JK274">
        <v>0</v>
      </c>
      <c r="JL274">
        <v>0</v>
      </c>
      <c r="JM274">
        <v>0</v>
      </c>
      <c r="JN274">
        <v>0</v>
      </c>
      <c r="JO274">
        <v>0</v>
      </c>
      <c r="JP274">
        <v>0</v>
      </c>
      <c r="JQ274">
        <v>0</v>
      </c>
      <c r="JR274">
        <v>0</v>
      </c>
      <c r="JS274">
        <v>0</v>
      </c>
      <c r="JT274">
        <v>0</v>
      </c>
      <c r="JU274">
        <v>0</v>
      </c>
      <c r="JV274">
        <v>0</v>
      </c>
      <c r="JW274">
        <v>0</v>
      </c>
      <c r="JX274">
        <v>0</v>
      </c>
      <c r="JY274">
        <v>0</v>
      </c>
      <c r="JZ274">
        <v>0</v>
      </c>
      <c r="KA274">
        <v>0</v>
      </c>
      <c r="KB274">
        <v>0</v>
      </c>
      <c r="KC274">
        <v>0</v>
      </c>
      <c r="KD274">
        <v>0</v>
      </c>
      <c r="KE274">
        <v>0</v>
      </c>
      <c r="KF274">
        <v>0</v>
      </c>
      <c r="KG274">
        <v>0</v>
      </c>
      <c r="KH274">
        <v>0</v>
      </c>
      <c r="KI274">
        <v>0</v>
      </c>
      <c r="KJ274">
        <v>0</v>
      </c>
      <c r="KK274">
        <v>0</v>
      </c>
      <c r="KL274">
        <v>0</v>
      </c>
      <c r="KM274">
        <v>0</v>
      </c>
      <c r="KN274">
        <v>0</v>
      </c>
      <c r="KO274">
        <v>0</v>
      </c>
      <c r="KP274">
        <v>0</v>
      </c>
      <c r="KQ274">
        <v>0</v>
      </c>
      <c r="KR274">
        <v>0</v>
      </c>
      <c r="KS274">
        <v>0</v>
      </c>
      <c r="KT274">
        <v>0</v>
      </c>
      <c r="KU274">
        <v>0</v>
      </c>
      <c r="KV274">
        <v>0</v>
      </c>
      <c r="KW274">
        <v>0</v>
      </c>
      <c r="KX274">
        <v>0</v>
      </c>
      <c r="KY274">
        <v>0</v>
      </c>
      <c r="KZ274">
        <v>0</v>
      </c>
      <c r="LA274">
        <v>0</v>
      </c>
      <c r="LB274">
        <v>0</v>
      </c>
      <c r="LC274">
        <v>0</v>
      </c>
      <c r="LD274">
        <v>0</v>
      </c>
      <c r="LE274">
        <v>0</v>
      </c>
      <c r="LF274">
        <v>0</v>
      </c>
      <c r="LG274">
        <v>0</v>
      </c>
      <c r="LH274">
        <v>0</v>
      </c>
      <c r="LI274">
        <v>0</v>
      </c>
      <c r="LJ274">
        <v>0</v>
      </c>
      <c r="LK274">
        <v>0</v>
      </c>
      <c r="LL274">
        <v>0</v>
      </c>
      <c r="LM274">
        <v>0</v>
      </c>
      <c r="LN274">
        <v>0</v>
      </c>
      <c r="LO274">
        <v>0</v>
      </c>
      <c r="LP274">
        <v>0</v>
      </c>
      <c r="LQ274">
        <v>0</v>
      </c>
      <c r="LR274">
        <v>0</v>
      </c>
      <c r="LS274">
        <v>0</v>
      </c>
      <c r="LT274">
        <v>0</v>
      </c>
      <c r="LU274">
        <v>0</v>
      </c>
      <c r="LV274">
        <v>0</v>
      </c>
      <c r="LW274">
        <v>0</v>
      </c>
      <c r="LX274">
        <v>0</v>
      </c>
      <c r="LY274">
        <v>0</v>
      </c>
      <c r="LZ274">
        <v>0</v>
      </c>
      <c r="MA274">
        <v>0</v>
      </c>
      <c r="MB274">
        <v>0</v>
      </c>
      <c r="MC274">
        <v>0</v>
      </c>
      <c r="MD274">
        <v>0</v>
      </c>
      <c r="ME274">
        <v>0</v>
      </c>
      <c r="MF274">
        <v>0</v>
      </c>
      <c r="MG274">
        <v>0</v>
      </c>
      <c r="MH274">
        <v>0</v>
      </c>
      <c r="MI274">
        <v>0</v>
      </c>
      <c r="MJ274">
        <v>0</v>
      </c>
      <c r="MK274">
        <v>0</v>
      </c>
      <c r="ML274">
        <v>0</v>
      </c>
      <c r="MM274">
        <v>0</v>
      </c>
      <c r="MN274">
        <v>0</v>
      </c>
      <c r="MO274">
        <v>0</v>
      </c>
      <c r="MP274">
        <v>0</v>
      </c>
      <c r="MQ274">
        <v>0</v>
      </c>
      <c r="MR274">
        <v>0</v>
      </c>
      <c r="MS274">
        <v>0</v>
      </c>
      <c r="MT274">
        <v>0</v>
      </c>
      <c r="MU274">
        <v>0</v>
      </c>
      <c r="MV274">
        <v>0</v>
      </c>
      <c r="MW274">
        <v>0</v>
      </c>
      <c r="MX274">
        <v>0</v>
      </c>
      <c r="MY274">
        <v>0</v>
      </c>
      <c r="MZ274">
        <v>0</v>
      </c>
      <c r="NA274">
        <v>0</v>
      </c>
      <c r="NB274">
        <v>0</v>
      </c>
      <c r="NC274">
        <v>0</v>
      </c>
      <c r="ND274">
        <v>0</v>
      </c>
      <c r="NE274">
        <v>0</v>
      </c>
    </row>
    <row r="275" spans="41:369" x14ac:dyDescent="0.45">
      <c r="AO275" t="str">
        <v>D151</v>
      </c>
      <c r="AP275" t="str">
        <v>MUHAMMED SHANAVAS M.A</v>
      </c>
      <c r="AQ275" t="str">
        <v>JARF</v>
      </c>
      <c r="AR275" t="str">
        <v>SUPER SENIOR</v>
      </c>
      <c r="AS275">
        <v>9</v>
      </c>
      <c r="AT275">
        <v>3</v>
      </c>
      <c r="AU275">
        <v>0</v>
      </c>
      <c r="AV275">
        <v>3</v>
      </c>
      <c r="AW275">
        <v>3</v>
      </c>
      <c r="AX275">
        <v>209</v>
      </c>
      <c r="AY275" s="5">
        <v>209</v>
      </c>
      <c r="AZ275">
        <v>0</v>
      </c>
      <c r="BA275">
        <v>0</v>
      </c>
      <c r="BB275">
        <v>0</v>
      </c>
      <c r="BC275">
        <v>0</v>
      </c>
      <c r="BD275">
        <v>0</v>
      </c>
      <c r="BE275">
        <v>0</v>
      </c>
      <c r="BF275">
        <v>0</v>
      </c>
      <c r="BG275">
        <v>0</v>
      </c>
      <c r="BH275">
        <v>0</v>
      </c>
      <c r="BI275" t="str">
        <v/>
      </c>
      <c r="BK275">
        <v>269</v>
      </c>
      <c r="BL275">
        <v>0</v>
      </c>
      <c r="BM275">
        <v>0</v>
      </c>
      <c r="BN275">
        <v>0</v>
      </c>
      <c r="BO275">
        <v>0</v>
      </c>
      <c r="BP275">
        <v>0</v>
      </c>
      <c r="BQ275">
        <v>0</v>
      </c>
      <c r="BR275">
        <v>0</v>
      </c>
      <c r="BS275">
        <v>0</v>
      </c>
      <c r="BT275">
        <v>0</v>
      </c>
      <c r="BU275">
        <v>0</v>
      </c>
      <c r="BV275">
        <v>0</v>
      </c>
      <c r="BW275">
        <v>0</v>
      </c>
      <c r="BX275">
        <v>0</v>
      </c>
      <c r="BY275">
        <v>0</v>
      </c>
      <c r="BZ275">
        <v>0</v>
      </c>
      <c r="CA275">
        <v>0</v>
      </c>
      <c r="CB275">
        <v>0</v>
      </c>
      <c r="CC275">
        <v>0</v>
      </c>
      <c r="CD275">
        <v>0</v>
      </c>
      <c r="CE275">
        <v>0</v>
      </c>
      <c r="CF275">
        <v>0</v>
      </c>
      <c r="CG275">
        <v>0</v>
      </c>
      <c r="CH275">
        <v>0</v>
      </c>
      <c r="CI275">
        <v>0</v>
      </c>
      <c r="CJ275">
        <v>0</v>
      </c>
      <c r="CK275">
        <v>0</v>
      </c>
      <c r="CL275">
        <v>0</v>
      </c>
      <c r="CM275">
        <v>0</v>
      </c>
      <c r="CN275">
        <v>0</v>
      </c>
      <c r="CO275">
        <v>0</v>
      </c>
      <c r="CP275">
        <v>0</v>
      </c>
      <c r="CQ275">
        <v>0</v>
      </c>
      <c r="CR275">
        <v>0</v>
      </c>
      <c r="CS275">
        <v>0</v>
      </c>
      <c r="CT275">
        <v>0</v>
      </c>
      <c r="CU275">
        <v>0</v>
      </c>
      <c r="CV275">
        <v>0</v>
      </c>
      <c r="CW275">
        <v>0</v>
      </c>
      <c r="CX275">
        <v>0</v>
      </c>
      <c r="CY275">
        <v>0</v>
      </c>
      <c r="CZ275">
        <v>0</v>
      </c>
      <c r="DA275">
        <v>0</v>
      </c>
      <c r="DB275">
        <v>0</v>
      </c>
      <c r="DC275">
        <v>0</v>
      </c>
      <c r="DD275">
        <v>0</v>
      </c>
      <c r="DE275">
        <v>0</v>
      </c>
      <c r="DF275">
        <v>0</v>
      </c>
      <c r="DG275">
        <v>0</v>
      </c>
      <c r="DH275">
        <v>0</v>
      </c>
      <c r="DI275">
        <v>0</v>
      </c>
      <c r="DJ275">
        <v>0</v>
      </c>
      <c r="DK275">
        <v>0</v>
      </c>
      <c r="DL275">
        <v>0</v>
      </c>
      <c r="DM275">
        <v>0</v>
      </c>
      <c r="DN275">
        <v>0</v>
      </c>
      <c r="DO275">
        <v>0</v>
      </c>
      <c r="DP275">
        <v>0</v>
      </c>
      <c r="DQ275">
        <v>0</v>
      </c>
      <c r="DR275">
        <v>0</v>
      </c>
      <c r="DS275">
        <v>0</v>
      </c>
      <c r="DT275">
        <v>0</v>
      </c>
      <c r="DU275">
        <v>0</v>
      </c>
      <c r="DV275">
        <v>0</v>
      </c>
      <c r="DW275">
        <v>0</v>
      </c>
      <c r="DX275">
        <v>0</v>
      </c>
      <c r="DY275">
        <v>0</v>
      </c>
      <c r="DZ275">
        <v>0</v>
      </c>
      <c r="EA275">
        <v>0</v>
      </c>
      <c r="EB275">
        <v>0</v>
      </c>
      <c r="EC275">
        <v>0</v>
      </c>
      <c r="ED275">
        <v>0</v>
      </c>
      <c r="EE275">
        <v>0</v>
      </c>
      <c r="EF275">
        <v>0</v>
      </c>
      <c r="EG275">
        <v>0</v>
      </c>
      <c r="EH275">
        <v>0</v>
      </c>
      <c r="EI275">
        <v>0</v>
      </c>
      <c r="EJ275">
        <v>0</v>
      </c>
      <c r="EK275">
        <v>0</v>
      </c>
      <c r="EL275">
        <v>0</v>
      </c>
      <c r="EM275">
        <v>0</v>
      </c>
      <c r="EN275">
        <v>0</v>
      </c>
      <c r="EO275">
        <v>0</v>
      </c>
      <c r="EP275">
        <v>0</v>
      </c>
      <c r="EQ275">
        <v>0</v>
      </c>
      <c r="ER275">
        <v>0</v>
      </c>
      <c r="ES275">
        <v>0</v>
      </c>
      <c r="ET275">
        <v>0</v>
      </c>
      <c r="EU275">
        <v>0</v>
      </c>
      <c r="EV275">
        <v>0</v>
      </c>
      <c r="EW275">
        <v>0</v>
      </c>
      <c r="EX275">
        <v>0</v>
      </c>
      <c r="EY275">
        <v>0</v>
      </c>
      <c r="EZ275">
        <v>0</v>
      </c>
      <c r="FA275">
        <v>0</v>
      </c>
      <c r="FB275">
        <v>0</v>
      </c>
      <c r="FC275">
        <v>0</v>
      </c>
      <c r="FD275">
        <v>0</v>
      </c>
      <c r="FE275">
        <v>0</v>
      </c>
      <c r="FF275">
        <v>0</v>
      </c>
      <c r="FG275">
        <v>0</v>
      </c>
      <c r="FH275">
        <v>0</v>
      </c>
      <c r="FI275">
        <v>0</v>
      </c>
      <c r="FJ275">
        <v>0</v>
      </c>
      <c r="FK275">
        <v>0</v>
      </c>
      <c r="FL275">
        <v>0</v>
      </c>
      <c r="FM275">
        <v>0</v>
      </c>
      <c r="FN275">
        <v>0</v>
      </c>
      <c r="FO275">
        <v>0</v>
      </c>
      <c r="FP275">
        <v>0</v>
      </c>
      <c r="FQ275">
        <v>0</v>
      </c>
      <c r="FR275">
        <v>0</v>
      </c>
      <c r="FS275">
        <v>0</v>
      </c>
      <c r="FT275">
        <v>0</v>
      </c>
      <c r="FU275">
        <v>0</v>
      </c>
      <c r="FV275">
        <v>0</v>
      </c>
      <c r="FW275">
        <v>0</v>
      </c>
      <c r="FX275">
        <v>0</v>
      </c>
      <c r="FY275">
        <v>0</v>
      </c>
      <c r="FZ275">
        <v>0</v>
      </c>
      <c r="GA275">
        <v>0</v>
      </c>
      <c r="GB275">
        <v>0</v>
      </c>
      <c r="GC275">
        <v>0</v>
      </c>
      <c r="GD275">
        <v>0</v>
      </c>
      <c r="GE275">
        <v>0</v>
      </c>
      <c r="GF275">
        <v>0</v>
      </c>
      <c r="GG275">
        <v>0</v>
      </c>
      <c r="GH275">
        <v>0</v>
      </c>
      <c r="GI275">
        <v>0</v>
      </c>
      <c r="GJ275">
        <v>0</v>
      </c>
      <c r="GK275">
        <v>0</v>
      </c>
      <c r="GL275">
        <v>0</v>
      </c>
      <c r="GM275">
        <v>0</v>
      </c>
      <c r="GN275">
        <v>0</v>
      </c>
      <c r="GO275">
        <v>0</v>
      </c>
      <c r="GP275">
        <v>0</v>
      </c>
      <c r="GQ275">
        <v>0</v>
      </c>
      <c r="GR275">
        <v>0</v>
      </c>
      <c r="GS275">
        <v>0</v>
      </c>
      <c r="GT275">
        <v>0</v>
      </c>
      <c r="GU275">
        <v>0</v>
      </c>
      <c r="GV275">
        <v>0</v>
      </c>
      <c r="GW275">
        <v>0</v>
      </c>
      <c r="GX275">
        <v>0</v>
      </c>
      <c r="GY275">
        <v>0</v>
      </c>
      <c r="GZ275">
        <v>0</v>
      </c>
      <c r="HA275">
        <v>0</v>
      </c>
      <c r="HB275">
        <v>0</v>
      </c>
      <c r="HC275">
        <v>0</v>
      </c>
      <c r="HD275">
        <v>0</v>
      </c>
      <c r="HE275">
        <v>0</v>
      </c>
      <c r="HF275">
        <v>0</v>
      </c>
      <c r="HG275">
        <v>0</v>
      </c>
      <c r="HH275">
        <v>0</v>
      </c>
      <c r="HI275">
        <v>0</v>
      </c>
      <c r="HJ275">
        <v>0</v>
      </c>
      <c r="HK275">
        <v>0</v>
      </c>
      <c r="HL275">
        <v>0</v>
      </c>
      <c r="HM275">
        <v>0</v>
      </c>
      <c r="HN275">
        <v>0</v>
      </c>
      <c r="HO275">
        <v>0</v>
      </c>
      <c r="HP275">
        <v>0</v>
      </c>
      <c r="HQ275">
        <v>0</v>
      </c>
      <c r="HR275">
        <v>0</v>
      </c>
      <c r="HS275">
        <v>0</v>
      </c>
      <c r="HT275">
        <v>0</v>
      </c>
      <c r="HU275">
        <v>0</v>
      </c>
      <c r="HV275">
        <v>0</v>
      </c>
      <c r="HW275">
        <v>0</v>
      </c>
      <c r="HX275">
        <v>0</v>
      </c>
      <c r="HY275">
        <v>0</v>
      </c>
      <c r="HZ275">
        <v>0</v>
      </c>
      <c r="IA275">
        <v>0</v>
      </c>
      <c r="IB275">
        <v>0</v>
      </c>
      <c r="IC275">
        <v>0</v>
      </c>
      <c r="ID275">
        <v>0</v>
      </c>
      <c r="IE275">
        <v>0</v>
      </c>
      <c r="IF275">
        <v>0</v>
      </c>
      <c r="IG275">
        <v>0</v>
      </c>
      <c r="IH275">
        <v>0</v>
      </c>
      <c r="II275">
        <v>0</v>
      </c>
      <c r="IJ275">
        <v>0</v>
      </c>
      <c r="IK275">
        <v>0</v>
      </c>
      <c r="IL275">
        <v>0</v>
      </c>
      <c r="IM275">
        <v>0</v>
      </c>
      <c r="IN275">
        <v>0</v>
      </c>
      <c r="IO275">
        <v>0</v>
      </c>
      <c r="IP275">
        <v>0</v>
      </c>
      <c r="IQ275">
        <v>0</v>
      </c>
      <c r="IR275">
        <v>0</v>
      </c>
      <c r="IS275">
        <v>0</v>
      </c>
      <c r="IT275">
        <v>0</v>
      </c>
      <c r="IU275">
        <v>0</v>
      </c>
      <c r="IV275">
        <v>0</v>
      </c>
      <c r="IW275">
        <v>0</v>
      </c>
      <c r="IX275">
        <v>0</v>
      </c>
      <c r="IY275">
        <v>0</v>
      </c>
      <c r="IZ275">
        <v>0</v>
      </c>
      <c r="JA275">
        <v>0</v>
      </c>
      <c r="JB275">
        <v>0</v>
      </c>
      <c r="JC275">
        <v>0</v>
      </c>
      <c r="JD275">
        <v>0</v>
      </c>
      <c r="JE275">
        <v>0</v>
      </c>
      <c r="JF275">
        <v>0</v>
      </c>
      <c r="JG275">
        <v>0</v>
      </c>
      <c r="JH275">
        <v>0</v>
      </c>
      <c r="JI275">
        <v>0</v>
      </c>
      <c r="JJ275">
        <v>0</v>
      </c>
      <c r="JK275">
        <v>0</v>
      </c>
      <c r="JL275">
        <v>0</v>
      </c>
      <c r="JM275">
        <v>0</v>
      </c>
      <c r="JN275">
        <v>0</v>
      </c>
      <c r="JO275">
        <v>0</v>
      </c>
      <c r="JP275">
        <v>0</v>
      </c>
      <c r="JQ275">
        <v>0</v>
      </c>
      <c r="JR275">
        <v>0</v>
      </c>
      <c r="JS275">
        <v>0</v>
      </c>
      <c r="JT275">
        <v>0</v>
      </c>
      <c r="JU275">
        <v>0</v>
      </c>
      <c r="JV275">
        <v>0</v>
      </c>
      <c r="JW275">
        <v>0</v>
      </c>
      <c r="JX275">
        <v>0</v>
      </c>
      <c r="JY275">
        <v>0</v>
      </c>
      <c r="JZ275">
        <v>0</v>
      </c>
      <c r="KA275">
        <v>0</v>
      </c>
      <c r="KB275">
        <v>0</v>
      </c>
      <c r="KC275">
        <v>0</v>
      </c>
      <c r="KD275">
        <v>0</v>
      </c>
      <c r="KE275">
        <v>0</v>
      </c>
      <c r="KF275">
        <v>0</v>
      </c>
      <c r="KG275">
        <v>0</v>
      </c>
      <c r="KH275">
        <v>0</v>
      </c>
      <c r="KI275">
        <v>0</v>
      </c>
      <c r="KJ275">
        <v>0</v>
      </c>
      <c r="KK275">
        <v>0</v>
      </c>
      <c r="KL275">
        <v>0</v>
      </c>
      <c r="KM275">
        <v>0</v>
      </c>
      <c r="KN275">
        <v>0</v>
      </c>
      <c r="KO275">
        <v>0</v>
      </c>
      <c r="KP275">
        <v>0</v>
      </c>
      <c r="KQ275">
        <v>0</v>
      </c>
      <c r="KR275">
        <v>0</v>
      </c>
      <c r="KS275">
        <v>0</v>
      </c>
      <c r="KT275">
        <v>0</v>
      </c>
      <c r="KU275">
        <v>0</v>
      </c>
      <c r="KV275">
        <v>0</v>
      </c>
      <c r="KW275">
        <v>0</v>
      </c>
      <c r="KX275">
        <v>0</v>
      </c>
      <c r="KY275">
        <v>0</v>
      </c>
      <c r="KZ275">
        <v>0</v>
      </c>
      <c r="LA275">
        <v>0</v>
      </c>
      <c r="LB275">
        <v>0</v>
      </c>
      <c r="LC275">
        <v>0</v>
      </c>
      <c r="LD275">
        <v>0</v>
      </c>
      <c r="LE275">
        <v>0</v>
      </c>
      <c r="LF275">
        <v>0</v>
      </c>
      <c r="LG275">
        <v>0</v>
      </c>
      <c r="LH275">
        <v>0</v>
      </c>
      <c r="LI275">
        <v>0</v>
      </c>
      <c r="LJ275">
        <v>0</v>
      </c>
      <c r="LK275">
        <v>0</v>
      </c>
      <c r="LL275">
        <v>0</v>
      </c>
      <c r="LM275">
        <v>0</v>
      </c>
      <c r="LN275">
        <v>0</v>
      </c>
      <c r="LO275">
        <v>0</v>
      </c>
      <c r="LP275">
        <v>0</v>
      </c>
      <c r="LQ275">
        <v>0</v>
      </c>
      <c r="LR275">
        <v>0</v>
      </c>
      <c r="LS275">
        <v>0</v>
      </c>
      <c r="LT275">
        <v>0</v>
      </c>
      <c r="LU275">
        <v>0</v>
      </c>
      <c r="LV275">
        <v>0</v>
      </c>
      <c r="LW275">
        <v>0</v>
      </c>
      <c r="LX275">
        <v>0</v>
      </c>
      <c r="LY275">
        <v>0</v>
      </c>
      <c r="LZ275">
        <v>0</v>
      </c>
      <c r="MA275">
        <v>0</v>
      </c>
      <c r="MB275">
        <v>0</v>
      </c>
      <c r="MC275">
        <v>0</v>
      </c>
      <c r="MD275">
        <v>0</v>
      </c>
      <c r="ME275">
        <v>0</v>
      </c>
      <c r="MF275">
        <v>0</v>
      </c>
      <c r="MG275">
        <v>0</v>
      </c>
      <c r="MH275">
        <v>0</v>
      </c>
      <c r="MI275">
        <v>0</v>
      </c>
      <c r="MJ275">
        <v>0</v>
      </c>
      <c r="MK275">
        <v>0</v>
      </c>
      <c r="ML275">
        <v>0</v>
      </c>
      <c r="MM275">
        <v>0</v>
      </c>
      <c r="MN275">
        <v>0</v>
      </c>
      <c r="MO275">
        <v>0</v>
      </c>
      <c r="MP275">
        <v>0</v>
      </c>
      <c r="MQ275">
        <v>0</v>
      </c>
      <c r="MR275">
        <v>0</v>
      </c>
      <c r="MS275">
        <v>0</v>
      </c>
      <c r="MT275">
        <v>0</v>
      </c>
      <c r="MU275">
        <v>0</v>
      </c>
      <c r="MV275">
        <v>0</v>
      </c>
      <c r="MW275">
        <v>0</v>
      </c>
      <c r="MX275">
        <v>0</v>
      </c>
      <c r="MY275">
        <v>0</v>
      </c>
      <c r="MZ275">
        <v>0</v>
      </c>
      <c r="NA275">
        <v>0</v>
      </c>
      <c r="NB275">
        <v>0</v>
      </c>
      <c r="NC275">
        <v>0</v>
      </c>
      <c r="ND275">
        <v>0</v>
      </c>
      <c r="NE275">
        <v>0</v>
      </c>
    </row>
    <row r="276" spans="41:369" x14ac:dyDescent="0.45">
      <c r="AO276" t="str">
        <v>D152</v>
      </c>
      <c r="AP276" t="str">
        <v>MOHAMMAD ISMAIL SINAN KM</v>
      </c>
      <c r="AQ276" t="str">
        <v>DAHF</v>
      </c>
      <c r="AR276" t="str">
        <v>SUPER SENIOR</v>
      </c>
      <c r="AS276">
        <v>9</v>
      </c>
      <c r="AT276">
        <v>4</v>
      </c>
      <c r="AU276">
        <v>0</v>
      </c>
      <c r="AV276">
        <v>4</v>
      </c>
      <c r="AW276">
        <v>4</v>
      </c>
      <c r="AX276">
        <v>197</v>
      </c>
      <c r="AY276" s="5">
        <v>197</v>
      </c>
      <c r="AZ276">
        <v>0</v>
      </c>
      <c r="BA276">
        <v>0</v>
      </c>
      <c r="BB276">
        <v>0</v>
      </c>
      <c r="BC276">
        <v>0</v>
      </c>
      <c r="BD276">
        <v>0</v>
      </c>
      <c r="BE276">
        <v>0</v>
      </c>
      <c r="BF276">
        <v>0</v>
      </c>
      <c r="BG276">
        <v>0</v>
      </c>
      <c r="BH276">
        <v>0</v>
      </c>
      <c r="BI276" t="str">
        <v/>
      </c>
      <c r="BK276">
        <v>270</v>
      </c>
      <c r="BL276">
        <v>0</v>
      </c>
      <c r="BM276">
        <v>0</v>
      </c>
      <c r="BN276">
        <v>0</v>
      </c>
      <c r="BO276">
        <v>0</v>
      </c>
      <c r="BP276">
        <v>0</v>
      </c>
      <c r="BQ276">
        <v>0</v>
      </c>
      <c r="BR276">
        <v>0</v>
      </c>
      <c r="BS276">
        <v>0</v>
      </c>
      <c r="BT276">
        <v>0</v>
      </c>
      <c r="BU276">
        <v>0</v>
      </c>
      <c r="BV276">
        <v>0</v>
      </c>
      <c r="BW276">
        <v>0</v>
      </c>
      <c r="BX276">
        <v>0</v>
      </c>
      <c r="BY276">
        <v>0</v>
      </c>
      <c r="BZ276">
        <v>0</v>
      </c>
      <c r="CA276">
        <v>0</v>
      </c>
      <c r="CB276">
        <v>0</v>
      </c>
      <c r="CC276">
        <v>0</v>
      </c>
      <c r="CD276">
        <v>0</v>
      </c>
      <c r="CE276">
        <v>0</v>
      </c>
      <c r="CF276">
        <v>0</v>
      </c>
      <c r="CG276">
        <v>0</v>
      </c>
      <c r="CH276">
        <v>0</v>
      </c>
      <c r="CI276">
        <v>0</v>
      </c>
      <c r="CJ276">
        <v>0</v>
      </c>
      <c r="CK276">
        <v>0</v>
      </c>
      <c r="CL276">
        <v>0</v>
      </c>
      <c r="CM276">
        <v>0</v>
      </c>
      <c r="CN276">
        <v>0</v>
      </c>
      <c r="CO276">
        <v>0</v>
      </c>
      <c r="CP276">
        <v>0</v>
      </c>
      <c r="CQ276">
        <v>0</v>
      </c>
      <c r="CR276">
        <v>0</v>
      </c>
      <c r="CS276">
        <v>0</v>
      </c>
      <c r="CT276">
        <v>0</v>
      </c>
      <c r="CU276">
        <v>0</v>
      </c>
      <c r="CV276">
        <v>0</v>
      </c>
      <c r="CW276">
        <v>0</v>
      </c>
      <c r="CX276">
        <v>0</v>
      </c>
      <c r="CY276">
        <v>0</v>
      </c>
      <c r="CZ276">
        <v>0</v>
      </c>
      <c r="DA276">
        <v>0</v>
      </c>
      <c r="DB276">
        <v>0</v>
      </c>
      <c r="DC276">
        <v>0</v>
      </c>
      <c r="DD276">
        <v>0</v>
      </c>
      <c r="DE276">
        <v>0</v>
      </c>
      <c r="DF276">
        <v>0</v>
      </c>
      <c r="DG276">
        <v>0</v>
      </c>
      <c r="DH276">
        <v>0</v>
      </c>
      <c r="DI276">
        <v>0</v>
      </c>
      <c r="DJ276">
        <v>0</v>
      </c>
      <c r="DK276">
        <v>0</v>
      </c>
      <c r="DL276">
        <v>0</v>
      </c>
      <c r="DM276">
        <v>0</v>
      </c>
      <c r="DN276">
        <v>0</v>
      </c>
      <c r="DO276">
        <v>0</v>
      </c>
      <c r="DP276">
        <v>0</v>
      </c>
      <c r="DQ276">
        <v>0</v>
      </c>
      <c r="DR276">
        <v>0</v>
      </c>
      <c r="DS276">
        <v>0</v>
      </c>
      <c r="DT276">
        <v>0</v>
      </c>
      <c r="DU276">
        <v>0</v>
      </c>
      <c r="DV276">
        <v>0</v>
      </c>
      <c r="DW276">
        <v>0</v>
      </c>
      <c r="DX276">
        <v>0</v>
      </c>
      <c r="DY276">
        <v>0</v>
      </c>
      <c r="DZ276">
        <v>0</v>
      </c>
      <c r="EA276">
        <v>0</v>
      </c>
      <c r="EB276">
        <v>0</v>
      </c>
      <c r="EC276">
        <v>0</v>
      </c>
      <c r="ED276">
        <v>0</v>
      </c>
      <c r="EE276">
        <v>0</v>
      </c>
      <c r="EF276">
        <v>0</v>
      </c>
      <c r="EG276">
        <v>0</v>
      </c>
      <c r="EH276">
        <v>0</v>
      </c>
      <c r="EI276">
        <v>0</v>
      </c>
      <c r="EJ276">
        <v>0</v>
      </c>
      <c r="EK276">
        <v>0</v>
      </c>
      <c r="EL276">
        <v>0</v>
      </c>
      <c r="EM276">
        <v>0</v>
      </c>
      <c r="EN276">
        <v>0</v>
      </c>
      <c r="EO276">
        <v>0</v>
      </c>
      <c r="EP276">
        <v>0</v>
      </c>
      <c r="EQ276">
        <v>0</v>
      </c>
      <c r="ER276">
        <v>0</v>
      </c>
      <c r="ES276">
        <v>0</v>
      </c>
      <c r="ET276">
        <v>0</v>
      </c>
      <c r="EU276">
        <v>0</v>
      </c>
      <c r="EV276">
        <v>0</v>
      </c>
      <c r="EW276">
        <v>0</v>
      </c>
      <c r="EX276">
        <v>0</v>
      </c>
      <c r="EY276">
        <v>0</v>
      </c>
      <c r="EZ276">
        <v>0</v>
      </c>
      <c r="FA276">
        <v>0</v>
      </c>
      <c r="FB276">
        <v>0</v>
      </c>
      <c r="FC276">
        <v>0</v>
      </c>
      <c r="FD276">
        <v>0</v>
      </c>
      <c r="FE276">
        <v>0</v>
      </c>
      <c r="FF276">
        <v>0</v>
      </c>
      <c r="FG276">
        <v>0</v>
      </c>
      <c r="FH276">
        <v>0</v>
      </c>
      <c r="FI276">
        <v>0</v>
      </c>
      <c r="FJ276">
        <v>0</v>
      </c>
      <c r="FK276">
        <v>0</v>
      </c>
      <c r="FL276">
        <v>0</v>
      </c>
      <c r="FM276">
        <v>0</v>
      </c>
      <c r="FN276">
        <v>0</v>
      </c>
      <c r="FO276">
        <v>0</v>
      </c>
      <c r="FP276">
        <v>0</v>
      </c>
      <c r="FQ276">
        <v>0</v>
      </c>
      <c r="FR276">
        <v>0</v>
      </c>
      <c r="FS276">
        <v>0</v>
      </c>
      <c r="FT276">
        <v>0</v>
      </c>
      <c r="FU276">
        <v>0</v>
      </c>
      <c r="FV276">
        <v>0</v>
      </c>
      <c r="FW276">
        <v>0</v>
      </c>
      <c r="FX276">
        <v>0</v>
      </c>
      <c r="FY276">
        <v>0</v>
      </c>
      <c r="FZ276">
        <v>0</v>
      </c>
      <c r="GA276">
        <v>0</v>
      </c>
      <c r="GB276">
        <v>0</v>
      </c>
      <c r="GC276">
        <v>0</v>
      </c>
      <c r="GD276">
        <v>0</v>
      </c>
      <c r="GE276">
        <v>0</v>
      </c>
      <c r="GF276">
        <v>0</v>
      </c>
      <c r="GG276">
        <v>0</v>
      </c>
      <c r="GH276">
        <v>0</v>
      </c>
      <c r="GI276">
        <v>0</v>
      </c>
      <c r="GJ276">
        <v>0</v>
      </c>
      <c r="GK276">
        <v>0</v>
      </c>
      <c r="GL276">
        <v>0</v>
      </c>
      <c r="GM276">
        <v>0</v>
      </c>
      <c r="GN276">
        <v>0</v>
      </c>
      <c r="GO276">
        <v>0</v>
      </c>
      <c r="GP276">
        <v>0</v>
      </c>
      <c r="GQ276">
        <v>0</v>
      </c>
      <c r="GR276">
        <v>0</v>
      </c>
      <c r="GS276">
        <v>0</v>
      </c>
      <c r="GT276">
        <v>0</v>
      </c>
      <c r="GU276">
        <v>0</v>
      </c>
      <c r="GV276">
        <v>0</v>
      </c>
      <c r="GW276">
        <v>0</v>
      </c>
      <c r="GX276">
        <v>0</v>
      </c>
      <c r="GY276">
        <v>0</v>
      </c>
      <c r="GZ276">
        <v>0</v>
      </c>
      <c r="HA276">
        <v>0</v>
      </c>
      <c r="HB276">
        <v>0</v>
      </c>
      <c r="HC276">
        <v>0</v>
      </c>
      <c r="HD276">
        <v>0</v>
      </c>
      <c r="HE276">
        <v>0</v>
      </c>
      <c r="HF276">
        <v>0</v>
      </c>
      <c r="HG276">
        <v>0</v>
      </c>
      <c r="HH276">
        <v>0</v>
      </c>
      <c r="HI276">
        <v>0</v>
      </c>
      <c r="HJ276">
        <v>0</v>
      </c>
      <c r="HK276">
        <v>0</v>
      </c>
      <c r="HL276">
        <v>0</v>
      </c>
      <c r="HM276">
        <v>0</v>
      </c>
      <c r="HN276">
        <v>0</v>
      </c>
      <c r="HO276">
        <v>0</v>
      </c>
      <c r="HP276">
        <v>0</v>
      </c>
      <c r="HQ276">
        <v>0</v>
      </c>
      <c r="HR276">
        <v>0</v>
      </c>
      <c r="HS276">
        <v>0</v>
      </c>
      <c r="HT276">
        <v>0</v>
      </c>
      <c r="HU276">
        <v>0</v>
      </c>
      <c r="HV276">
        <v>0</v>
      </c>
      <c r="HW276">
        <v>0</v>
      </c>
      <c r="HX276">
        <v>0</v>
      </c>
      <c r="HY276">
        <v>0</v>
      </c>
      <c r="HZ276">
        <v>0</v>
      </c>
      <c r="IA276">
        <v>0</v>
      </c>
      <c r="IB276">
        <v>0</v>
      </c>
      <c r="IC276">
        <v>0</v>
      </c>
      <c r="ID276">
        <v>0</v>
      </c>
      <c r="IE276">
        <v>0</v>
      </c>
      <c r="IF276">
        <v>0</v>
      </c>
      <c r="IG276">
        <v>0</v>
      </c>
      <c r="IH276">
        <v>0</v>
      </c>
      <c r="II276">
        <v>0</v>
      </c>
      <c r="IJ276">
        <v>0</v>
      </c>
      <c r="IK276">
        <v>0</v>
      </c>
      <c r="IL276">
        <v>0</v>
      </c>
      <c r="IM276">
        <v>0</v>
      </c>
      <c r="IN276">
        <v>0</v>
      </c>
      <c r="IO276">
        <v>0</v>
      </c>
      <c r="IP276">
        <v>0</v>
      </c>
      <c r="IQ276">
        <v>0</v>
      </c>
      <c r="IR276">
        <v>0</v>
      </c>
      <c r="IS276">
        <v>0</v>
      </c>
      <c r="IT276">
        <v>0</v>
      </c>
      <c r="IU276">
        <v>0</v>
      </c>
      <c r="IV276">
        <v>0</v>
      </c>
      <c r="IW276">
        <v>0</v>
      </c>
      <c r="IX276">
        <v>0</v>
      </c>
      <c r="IY276">
        <v>0</v>
      </c>
      <c r="IZ276">
        <v>0</v>
      </c>
      <c r="JA276">
        <v>0</v>
      </c>
      <c r="JB276">
        <v>0</v>
      </c>
      <c r="JC276">
        <v>0</v>
      </c>
      <c r="JD276">
        <v>0</v>
      </c>
      <c r="JE276">
        <v>0</v>
      </c>
      <c r="JF276">
        <v>0</v>
      </c>
      <c r="JG276">
        <v>0</v>
      </c>
      <c r="JH276">
        <v>0</v>
      </c>
      <c r="JI276">
        <v>0</v>
      </c>
      <c r="JJ276">
        <v>0</v>
      </c>
      <c r="JK276">
        <v>0</v>
      </c>
      <c r="JL276">
        <v>0</v>
      </c>
      <c r="JM276">
        <v>0</v>
      </c>
      <c r="JN276">
        <v>0</v>
      </c>
      <c r="JO276">
        <v>0</v>
      </c>
      <c r="JP276">
        <v>0</v>
      </c>
      <c r="JQ276">
        <v>0</v>
      </c>
      <c r="JR276">
        <v>0</v>
      </c>
      <c r="JS276">
        <v>0</v>
      </c>
      <c r="JT276">
        <v>0</v>
      </c>
      <c r="JU276">
        <v>0</v>
      </c>
      <c r="JV276">
        <v>0</v>
      </c>
      <c r="JW276">
        <v>0</v>
      </c>
      <c r="JX276">
        <v>0</v>
      </c>
      <c r="JY276">
        <v>0</v>
      </c>
      <c r="JZ276">
        <v>0</v>
      </c>
      <c r="KA276">
        <v>0</v>
      </c>
      <c r="KB276">
        <v>0</v>
      </c>
      <c r="KC276">
        <v>0</v>
      </c>
      <c r="KD276">
        <v>0</v>
      </c>
      <c r="KE276">
        <v>0</v>
      </c>
      <c r="KF276">
        <v>0</v>
      </c>
      <c r="KG276">
        <v>0</v>
      </c>
      <c r="KH276">
        <v>0</v>
      </c>
      <c r="KI276">
        <v>0</v>
      </c>
      <c r="KJ276">
        <v>0</v>
      </c>
      <c r="KK276">
        <v>0</v>
      </c>
      <c r="KL276">
        <v>0</v>
      </c>
      <c r="KM276">
        <v>0</v>
      </c>
      <c r="KN276">
        <v>0</v>
      </c>
      <c r="KO276">
        <v>0</v>
      </c>
      <c r="KP276">
        <v>0</v>
      </c>
      <c r="KQ276">
        <v>0</v>
      </c>
      <c r="KR276">
        <v>0</v>
      </c>
      <c r="KS276">
        <v>0</v>
      </c>
      <c r="KT276">
        <v>0</v>
      </c>
      <c r="KU276">
        <v>0</v>
      </c>
      <c r="KV276">
        <v>0</v>
      </c>
      <c r="KW276">
        <v>0</v>
      </c>
      <c r="KX276">
        <v>0</v>
      </c>
      <c r="KY276">
        <v>0</v>
      </c>
      <c r="KZ276">
        <v>0</v>
      </c>
      <c r="LA276">
        <v>0</v>
      </c>
      <c r="LB276">
        <v>0</v>
      </c>
      <c r="LC276">
        <v>0</v>
      </c>
      <c r="LD276">
        <v>0</v>
      </c>
      <c r="LE276">
        <v>0</v>
      </c>
      <c r="LF276">
        <v>0</v>
      </c>
      <c r="LG276">
        <v>0</v>
      </c>
      <c r="LH276">
        <v>0</v>
      </c>
      <c r="LI276">
        <v>0</v>
      </c>
      <c r="LJ276">
        <v>0</v>
      </c>
      <c r="LK276">
        <v>0</v>
      </c>
      <c r="LL276">
        <v>0</v>
      </c>
      <c r="LM276">
        <v>0</v>
      </c>
      <c r="LN276">
        <v>0</v>
      </c>
      <c r="LO276">
        <v>0</v>
      </c>
      <c r="LP276">
        <v>0</v>
      </c>
      <c r="LQ276">
        <v>0</v>
      </c>
      <c r="LR276">
        <v>0</v>
      </c>
      <c r="LS276">
        <v>0</v>
      </c>
      <c r="LT276">
        <v>0</v>
      </c>
      <c r="LU276">
        <v>0</v>
      </c>
      <c r="LV276">
        <v>0</v>
      </c>
      <c r="LW276">
        <v>0</v>
      </c>
      <c r="LX276">
        <v>0</v>
      </c>
      <c r="LY276">
        <v>0</v>
      </c>
      <c r="LZ276">
        <v>0</v>
      </c>
      <c r="MA276">
        <v>0</v>
      </c>
      <c r="MB276">
        <v>0</v>
      </c>
      <c r="MC276">
        <v>0</v>
      </c>
      <c r="MD276">
        <v>0</v>
      </c>
      <c r="ME276">
        <v>0</v>
      </c>
      <c r="MF276">
        <v>0</v>
      </c>
      <c r="MG276">
        <v>0</v>
      </c>
      <c r="MH276">
        <v>0</v>
      </c>
      <c r="MI276">
        <v>0</v>
      </c>
      <c r="MJ276">
        <v>0</v>
      </c>
      <c r="MK276">
        <v>0</v>
      </c>
      <c r="ML276">
        <v>0</v>
      </c>
      <c r="MM276">
        <v>0</v>
      </c>
      <c r="MN276">
        <v>0</v>
      </c>
      <c r="MO276">
        <v>0</v>
      </c>
      <c r="MP276">
        <v>0</v>
      </c>
      <c r="MQ276">
        <v>0</v>
      </c>
      <c r="MR276">
        <v>0</v>
      </c>
      <c r="MS276">
        <v>0</v>
      </c>
      <c r="MT276">
        <v>0</v>
      </c>
      <c r="MU276">
        <v>0</v>
      </c>
      <c r="MV276">
        <v>0</v>
      </c>
      <c r="MW276">
        <v>0</v>
      </c>
      <c r="MX276">
        <v>0</v>
      </c>
      <c r="MY276">
        <v>0</v>
      </c>
      <c r="MZ276">
        <v>0</v>
      </c>
      <c r="NA276">
        <v>0</v>
      </c>
      <c r="NB276">
        <v>0</v>
      </c>
      <c r="NC276">
        <v>0</v>
      </c>
      <c r="ND276">
        <v>0</v>
      </c>
      <c r="NE276">
        <v>0</v>
      </c>
    </row>
    <row r="277" spans="41:369" x14ac:dyDescent="0.45">
      <c r="AO277" t="str">
        <v>D153</v>
      </c>
      <c r="AP277" t="str">
        <v>MUHAMMED UNAIS PT</v>
      </c>
      <c r="AQ277" t="str">
        <v>JARF</v>
      </c>
      <c r="AR277" t="str">
        <v>SUPER SENIOR</v>
      </c>
      <c r="AS277">
        <v>9</v>
      </c>
      <c r="AT277">
        <v>11</v>
      </c>
      <c r="AU277">
        <v>0</v>
      </c>
      <c r="AV277">
        <v>11</v>
      </c>
      <c r="AW277">
        <v>11</v>
      </c>
      <c r="AX277">
        <v>123</v>
      </c>
      <c r="AY277" s="5">
        <v>123</v>
      </c>
      <c r="AZ277">
        <v>0</v>
      </c>
      <c r="BA277">
        <v>0</v>
      </c>
      <c r="BB277">
        <v>0</v>
      </c>
      <c r="BC277">
        <v>0</v>
      </c>
      <c r="BD277">
        <v>0</v>
      </c>
      <c r="BE277">
        <v>0</v>
      </c>
      <c r="BF277">
        <v>0</v>
      </c>
      <c r="BG277">
        <v>0</v>
      </c>
      <c r="BH277">
        <v>0</v>
      </c>
      <c r="BI277" t="str">
        <v/>
      </c>
      <c r="BK277">
        <v>271</v>
      </c>
      <c r="BL277">
        <v>0</v>
      </c>
      <c r="BM277">
        <v>0</v>
      </c>
      <c r="BN277">
        <v>0</v>
      </c>
      <c r="BO277">
        <v>0</v>
      </c>
      <c r="BP277">
        <v>0</v>
      </c>
      <c r="BQ277">
        <v>0</v>
      </c>
      <c r="BR277">
        <v>0</v>
      </c>
      <c r="BS277">
        <v>0</v>
      </c>
      <c r="BT277">
        <v>0</v>
      </c>
      <c r="BU277">
        <v>0</v>
      </c>
      <c r="BV277">
        <v>0</v>
      </c>
      <c r="BW277">
        <v>0</v>
      </c>
      <c r="BX277">
        <v>0</v>
      </c>
      <c r="BY277">
        <v>0</v>
      </c>
      <c r="BZ277">
        <v>0</v>
      </c>
      <c r="CA277">
        <v>0</v>
      </c>
      <c r="CB277">
        <v>0</v>
      </c>
      <c r="CC277">
        <v>0</v>
      </c>
      <c r="CD277">
        <v>0</v>
      </c>
      <c r="CE277">
        <v>0</v>
      </c>
      <c r="CF277">
        <v>0</v>
      </c>
      <c r="CG277">
        <v>0</v>
      </c>
      <c r="CH277">
        <v>0</v>
      </c>
      <c r="CI277">
        <v>0</v>
      </c>
      <c r="CJ277">
        <v>0</v>
      </c>
      <c r="CK277">
        <v>0</v>
      </c>
      <c r="CL277">
        <v>0</v>
      </c>
      <c r="CM277">
        <v>0</v>
      </c>
      <c r="CN277">
        <v>0</v>
      </c>
      <c r="CO277">
        <v>0</v>
      </c>
      <c r="CP277">
        <v>0</v>
      </c>
      <c r="CQ277">
        <v>0</v>
      </c>
      <c r="CR277">
        <v>0</v>
      </c>
      <c r="CS277">
        <v>0</v>
      </c>
      <c r="CT277">
        <v>0</v>
      </c>
      <c r="CU277">
        <v>0</v>
      </c>
      <c r="CV277">
        <v>0</v>
      </c>
      <c r="CW277">
        <v>0</v>
      </c>
      <c r="CX277">
        <v>0</v>
      </c>
      <c r="CY277">
        <v>0</v>
      </c>
      <c r="CZ277">
        <v>0</v>
      </c>
      <c r="DA277">
        <v>0</v>
      </c>
      <c r="DB277">
        <v>0</v>
      </c>
      <c r="DC277">
        <v>0</v>
      </c>
      <c r="DD277">
        <v>0</v>
      </c>
      <c r="DE277">
        <v>0</v>
      </c>
      <c r="DF277">
        <v>0</v>
      </c>
      <c r="DG277">
        <v>0</v>
      </c>
      <c r="DH277">
        <v>0</v>
      </c>
      <c r="DI277">
        <v>0</v>
      </c>
      <c r="DJ277">
        <v>0</v>
      </c>
      <c r="DK277">
        <v>0</v>
      </c>
      <c r="DL277">
        <v>0</v>
      </c>
      <c r="DM277">
        <v>0</v>
      </c>
      <c r="DN277">
        <v>0</v>
      </c>
      <c r="DO277">
        <v>0</v>
      </c>
      <c r="DP277">
        <v>0</v>
      </c>
      <c r="DQ277">
        <v>0</v>
      </c>
      <c r="DR277">
        <v>0</v>
      </c>
      <c r="DS277">
        <v>0</v>
      </c>
      <c r="DT277">
        <v>0</v>
      </c>
      <c r="DU277">
        <v>0</v>
      </c>
      <c r="DV277">
        <v>0</v>
      </c>
      <c r="DW277">
        <v>0</v>
      </c>
      <c r="DX277">
        <v>0</v>
      </c>
      <c r="DY277">
        <v>0</v>
      </c>
      <c r="DZ277">
        <v>0</v>
      </c>
      <c r="EA277">
        <v>0</v>
      </c>
      <c r="EB277">
        <v>0</v>
      </c>
      <c r="EC277">
        <v>0</v>
      </c>
      <c r="ED277">
        <v>0</v>
      </c>
      <c r="EE277">
        <v>0</v>
      </c>
      <c r="EF277">
        <v>0</v>
      </c>
      <c r="EG277">
        <v>0</v>
      </c>
      <c r="EH277">
        <v>0</v>
      </c>
      <c r="EI277">
        <v>0</v>
      </c>
      <c r="EJ277">
        <v>0</v>
      </c>
      <c r="EK277">
        <v>0</v>
      </c>
      <c r="EL277">
        <v>0</v>
      </c>
      <c r="EM277">
        <v>0</v>
      </c>
      <c r="EN277">
        <v>0</v>
      </c>
      <c r="EO277">
        <v>0</v>
      </c>
      <c r="EP277">
        <v>0</v>
      </c>
      <c r="EQ277">
        <v>0</v>
      </c>
      <c r="ER277">
        <v>0</v>
      </c>
      <c r="ES277">
        <v>0</v>
      </c>
      <c r="ET277">
        <v>0</v>
      </c>
      <c r="EU277">
        <v>0</v>
      </c>
      <c r="EV277">
        <v>0</v>
      </c>
      <c r="EW277">
        <v>0</v>
      </c>
      <c r="EX277">
        <v>0</v>
      </c>
      <c r="EY277">
        <v>0</v>
      </c>
      <c r="EZ277">
        <v>0</v>
      </c>
      <c r="FA277">
        <v>0</v>
      </c>
      <c r="FB277">
        <v>0</v>
      </c>
      <c r="FC277">
        <v>0</v>
      </c>
      <c r="FD277">
        <v>0</v>
      </c>
      <c r="FE277">
        <v>0</v>
      </c>
      <c r="FF277">
        <v>0</v>
      </c>
      <c r="FG277">
        <v>0</v>
      </c>
      <c r="FH277">
        <v>0</v>
      </c>
      <c r="FI277">
        <v>0</v>
      </c>
      <c r="FJ277">
        <v>0</v>
      </c>
      <c r="FK277">
        <v>0</v>
      </c>
      <c r="FL277">
        <v>0</v>
      </c>
      <c r="FM277">
        <v>0</v>
      </c>
      <c r="FN277">
        <v>0</v>
      </c>
      <c r="FO277">
        <v>0</v>
      </c>
      <c r="FP277">
        <v>0</v>
      </c>
      <c r="FQ277">
        <v>0</v>
      </c>
      <c r="FR277">
        <v>0</v>
      </c>
      <c r="FS277">
        <v>0</v>
      </c>
      <c r="FT277">
        <v>0</v>
      </c>
      <c r="FU277">
        <v>0</v>
      </c>
      <c r="FV277">
        <v>0</v>
      </c>
      <c r="FW277">
        <v>0</v>
      </c>
      <c r="FX277">
        <v>0</v>
      </c>
      <c r="FY277">
        <v>0</v>
      </c>
      <c r="FZ277">
        <v>0</v>
      </c>
      <c r="GA277">
        <v>0</v>
      </c>
      <c r="GB277">
        <v>0</v>
      </c>
      <c r="GC277">
        <v>0</v>
      </c>
      <c r="GD277">
        <v>0</v>
      </c>
      <c r="GE277">
        <v>0</v>
      </c>
      <c r="GF277">
        <v>0</v>
      </c>
      <c r="GG277">
        <v>0</v>
      </c>
      <c r="GH277">
        <v>0</v>
      </c>
      <c r="GI277">
        <v>0</v>
      </c>
      <c r="GJ277">
        <v>0</v>
      </c>
      <c r="GK277">
        <v>0</v>
      </c>
      <c r="GL277">
        <v>0</v>
      </c>
      <c r="GM277">
        <v>0</v>
      </c>
      <c r="GN277">
        <v>0</v>
      </c>
      <c r="GO277">
        <v>0</v>
      </c>
      <c r="GP277">
        <v>0</v>
      </c>
      <c r="GQ277">
        <v>0</v>
      </c>
      <c r="GR277">
        <v>0</v>
      </c>
      <c r="GS277">
        <v>0</v>
      </c>
      <c r="GT277">
        <v>0</v>
      </c>
      <c r="GU277">
        <v>0</v>
      </c>
      <c r="GV277">
        <v>0</v>
      </c>
      <c r="GW277">
        <v>0</v>
      </c>
      <c r="GX277">
        <v>0</v>
      </c>
      <c r="GY277">
        <v>0</v>
      </c>
      <c r="GZ277">
        <v>0</v>
      </c>
      <c r="HA277">
        <v>0</v>
      </c>
      <c r="HB277">
        <v>0</v>
      </c>
      <c r="HC277">
        <v>0</v>
      </c>
      <c r="HD277">
        <v>0</v>
      </c>
      <c r="HE277">
        <v>0</v>
      </c>
      <c r="HF277">
        <v>0</v>
      </c>
      <c r="HG277">
        <v>0</v>
      </c>
      <c r="HH277">
        <v>0</v>
      </c>
      <c r="HI277">
        <v>0</v>
      </c>
      <c r="HJ277">
        <v>0</v>
      </c>
      <c r="HK277">
        <v>0</v>
      </c>
      <c r="HL277">
        <v>0</v>
      </c>
      <c r="HM277">
        <v>0</v>
      </c>
      <c r="HN277">
        <v>0</v>
      </c>
      <c r="HO277">
        <v>0</v>
      </c>
      <c r="HP277">
        <v>0</v>
      </c>
      <c r="HQ277">
        <v>0</v>
      </c>
      <c r="HR277">
        <v>0</v>
      </c>
      <c r="HS277">
        <v>0</v>
      </c>
      <c r="HT277">
        <v>0</v>
      </c>
      <c r="HU277">
        <v>0</v>
      </c>
      <c r="HV277">
        <v>0</v>
      </c>
      <c r="HW277">
        <v>0</v>
      </c>
      <c r="HX277">
        <v>0</v>
      </c>
      <c r="HY277">
        <v>0</v>
      </c>
      <c r="HZ277">
        <v>0</v>
      </c>
      <c r="IA277">
        <v>0</v>
      </c>
      <c r="IB277">
        <v>0</v>
      </c>
      <c r="IC277">
        <v>0</v>
      </c>
      <c r="ID277">
        <v>0</v>
      </c>
      <c r="IE277">
        <v>0</v>
      </c>
      <c r="IF277">
        <v>0</v>
      </c>
      <c r="IG277">
        <v>0</v>
      </c>
      <c r="IH277">
        <v>0</v>
      </c>
      <c r="II277">
        <v>0</v>
      </c>
      <c r="IJ277">
        <v>0</v>
      </c>
      <c r="IK277">
        <v>0</v>
      </c>
      <c r="IL277">
        <v>0</v>
      </c>
      <c r="IM277">
        <v>0</v>
      </c>
      <c r="IN277">
        <v>0</v>
      </c>
      <c r="IO277">
        <v>0</v>
      </c>
      <c r="IP277">
        <v>0</v>
      </c>
      <c r="IQ277">
        <v>0</v>
      </c>
      <c r="IR277">
        <v>0</v>
      </c>
      <c r="IS277">
        <v>0</v>
      </c>
      <c r="IT277">
        <v>0</v>
      </c>
      <c r="IU277">
        <v>0</v>
      </c>
      <c r="IV277">
        <v>0</v>
      </c>
      <c r="IW277">
        <v>0</v>
      </c>
      <c r="IX277">
        <v>0</v>
      </c>
      <c r="IY277">
        <v>0</v>
      </c>
      <c r="IZ277">
        <v>0</v>
      </c>
      <c r="JA277">
        <v>0</v>
      </c>
      <c r="JB277">
        <v>0</v>
      </c>
      <c r="JC277">
        <v>0</v>
      </c>
      <c r="JD277">
        <v>0</v>
      </c>
      <c r="JE277">
        <v>0</v>
      </c>
      <c r="JF277">
        <v>0</v>
      </c>
      <c r="JG277">
        <v>0</v>
      </c>
      <c r="JH277">
        <v>0</v>
      </c>
      <c r="JI277">
        <v>0</v>
      </c>
      <c r="JJ277">
        <v>0</v>
      </c>
      <c r="JK277">
        <v>0</v>
      </c>
      <c r="JL277">
        <v>0</v>
      </c>
      <c r="JM277">
        <v>0</v>
      </c>
      <c r="JN277">
        <v>0</v>
      </c>
      <c r="JO277">
        <v>0</v>
      </c>
      <c r="JP277">
        <v>0</v>
      </c>
      <c r="JQ277">
        <v>0</v>
      </c>
      <c r="JR277">
        <v>0</v>
      </c>
      <c r="JS277">
        <v>0</v>
      </c>
      <c r="JT277">
        <v>0</v>
      </c>
      <c r="JU277">
        <v>0</v>
      </c>
      <c r="JV277">
        <v>0</v>
      </c>
      <c r="JW277">
        <v>0</v>
      </c>
      <c r="JX277">
        <v>0</v>
      </c>
      <c r="JY277">
        <v>0</v>
      </c>
      <c r="JZ277">
        <v>0</v>
      </c>
      <c r="KA277">
        <v>0</v>
      </c>
      <c r="KB277">
        <v>0</v>
      </c>
      <c r="KC277">
        <v>0</v>
      </c>
      <c r="KD277">
        <v>0</v>
      </c>
      <c r="KE277">
        <v>0</v>
      </c>
      <c r="KF277">
        <v>0</v>
      </c>
      <c r="KG277">
        <v>0</v>
      </c>
      <c r="KH277">
        <v>0</v>
      </c>
      <c r="KI277">
        <v>0</v>
      </c>
      <c r="KJ277">
        <v>0</v>
      </c>
      <c r="KK277">
        <v>0</v>
      </c>
      <c r="KL277">
        <v>0</v>
      </c>
      <c r="KM277">
        <v>0</v>
      </c>
      <c r="KN277">
        <v>0</v>
      </c>
      <c r="KO277">
        <v>0</v>
      </c>
      <c r="KP277">
        <v>0</v>
      </c>
      <c r="KQ277">
        <v>0</v>
      </c>
      <c r="KR277">
        <v>0</v>
      </c>
      <c r="KS277">
        <v>0</v>
      </c>
      <c r="KT277">
        <v>0</v>
      </c>
      <c r="KU277">
        <v>0</v>
      </c>
      <c r="KV277">
        <v>0</v>
      </c>
      <c r="KW277">
        <v>0</v>
      </c>
      <c r="KX277">
        <v>0</v>
      </c>
      <c r="KY277">
        <v>0</v>
      </c>
      <c r="KZ277">
        <v>0</v>
      </c>
      <c r="LA277">
        <v>0</v>
      </c>
      <c r="LB277">
        <v>0</v>
      </c>
      <c r="LC277">
        <v>0</v>
      </c>
      <c r="LD277">
        <v>0</v>
      </c>
      <c r="LE277">
        <v>0</v>
      </c>
      <c r="LF277">
        <v>0</v>
      </c>
      <c r="LG277">
        <v>0</v>
      </c>
      <c r="LH277">
        <v>0</v>
      </c>
      <c r="LI277">
        <v>0</v>
      </c>
      <c r="LJ277">
        <v>0</v>
      </c>
      <c r="LK277">
        <v>0</v>
      </c>
      <c r="LL277">
        <v>0</v>
      </c>
      <c r="LM277">
        <v>0</v>
      </c>
      <c r="LN277">
        <v>0</v>
      </c>
      <c r="LO277">
        <v>0</v>
      </c>
      <c r="LP277">
        <v>0</v>
      </c>
      <c r="LQ277">
        <v>0</v>
      </c>
      <c r="LR277">
        <v>0</v>
      </c>
      <c r="LS277">
        <v>0</v>
      </c>
      <c r="LT277">
        <v>0</v>
      </c>
      <c r="LU277">
        <v>0</v>
      </c>
      <c r="LV277">
        <v>0</v>
      </c>
      <c r="LW277">
        <v>0</v>
      </c>
      <c r="LX277">
        <v>0</v>
      </c>
      <c r="LY277">
        <v>0</v>
      </c>
      <c r="LZ277">
        <v>0</v>
      </c>
      <c r="MA277">
        <v>0</v>
      </c>
      <c r="MB277">
        <v>0</v>
      </c>
      <c r="MC277">
        <v>0</v>
      </c>
      <c r="MD277">
        <v>0</v>
      </c>
      <c r="ME277">
        <v>0</v>
      </c>
      <c r="MF277">
        <v>0</v>
      </c>
      <c r="MG277">
        <v>0</v>
      </c>
      <c r="MH277">
        <v>0</v>
      </c>
      <c r="MI277">
        <v>0</v>
      </c>
      <c r="MJ277">
        <v>0</v>
      </c>
      <c r="MK277">
        <v>0</v>
      </c>
      <c r="ML277">
        <v>0</v>
      </c>
      <c r="MM277">
        <v>0</v>
      </c>
      <c r="MN277">
        <v>0</v>
      </c>
      <c r="MO277">
        <v>0</v>
      </c>
      <c r="MP277">
        <v>0</v>
      </c>
      <c r="MQ277">
        <v>0</v>
      </c>
      <c r="MR277">
        <v>0</v>
      </c>
      <c r="MS277">
        <v>0</v>
      </c>
      <c r="MT277">
        <v>0</v>
      </c>
      <c r="MU277">
        <v>0</v>
      </c>
      <c r="MV277">
        <v>0</v>
      </c>
      <c r="MW277">
        <v>0</v>
      </c>
      <c r="MX277">
        <v>0</v>
      </c>
      <c r="MY277">
        <v>0</v>
      </c>
      <c r="MZ277">
        <v>0</v>
      </c>
      <c r="NA277">
        <v>0</v>
      </c>
      <c r="NB277">
        <v>0</v>
      </c>
      <c r="NC277">
        <v>0</v>
      </c>
      <c r="ND277">
        <v>0</v>
      </c>
      <c r="NE277">
        <v>0</v>
      </c>
    </row>
    <row r="278" spans="41:369" x14ac:dyDescent="0.45">
      <c r="AO278" t="str">
        <v>D154</v>
      </c>
      <c r="AP278" t="str">
        <v>ASHIKK.I</v>
      </c>
      <c r="AQ278" t="str">
        <v>JARF</v>
      </c>
      <c r="AR278" t="str">
        <v>SUPER SENIOR</v>
      </c>
      <c r="AS278">
        <v>9</v>
      </c>
      <c r="AT278">
        <v>0</v>
      </c>
      <c r="AU278">
        <v>0</v>
      </c>
      <c r="AV278">
        <v>0</v>
      </c>
      <c r="AW278">
        <v>0</v>
      </c>
      <c r="AX278">
        <v>255</v>
      </c>
      <c r="AY278" s="5">
        <v>255</v>
      </c>
      <c r="AZ278">
        <v>0</v>
      </c>
      <c r="BA278">
        <v>0</v>
      </c>
      <c r="BB278">
        <v>0</v>
      </c>
      <c r="BC278">
        <v>0</v>
      </c>
      <c r="BD278">
        <v>0</v>
      </c>
      <c r="BE278">
        <v>0</v>
      </c>
      <c r="BF278">
        <v>0</v>
      </c>
      <c r="BG278">
        <v>0</v>
      </c>
      <c r="BH278">
        <v>0</v>
      </c>
      <c r="BI278" t="str">
        <v/>
      </c>
      <c r="BK278">
        <v>272</v>
      </c>
      <c r="BL278">
        <v>0</v>
      </c>
      <c r="BM278">
        <v>0</v>
      </c>
      <c r="BN278">
        <v>0</v>
      </c>
      <c r="BO278">
        <v>0</v>
      </c>
      <c r="BP278">
        <v>0</v>
      </c>
      <c r="BQ278">
        <v>0</v>
      </c>
      <c r="BR278">
        <v>0</v>
      </c>
      <c r="BS278">
        <v>0</v>
      </c>
      <c r="BT278">
        <v>0</v>
      </c>
      <c r="BU278">
        <v>0</v>
      </c>
      <c r="BV278">
        <v>0</v>
      </c>
      <c r="BW278">
        <v>0</v>
      </c>
      <c r="BX278">
        <v>0</v>
      </c>
      <c r="BY278">
        <v>0</v>
      </c>
      <c r="BZ278">
        <v>0</v>
      </c>
      <c r="CA278">
        <v>0</v>
      </c>
      <c r="CB278">
        <v>0</v>
      </c>
      <c r="CC278">
        <v>0</v>
      </c>
      <c r="CD278">
        <v>0</v>
      </c>
      <c r="CE278">
        <v>0</v>
      </c>
      <c r="CF278">
        <v>0</v>
      </c>
      <c r="CG278">
        <v>0</v>
      </c>
      <c r="CH278">
        <v>0</v>
      </c>
      <c r="CI278">
        <v>0</v>
      </c>
      <c r="CJ278">
        <v>0</v>
      </c>
      <c r="CK278">
        <v>0</v>
      </c>
      <c r="CL278">
        <v>0</v>
      </c>
      <c r="CM278">
        <v>0</v>
      </c>
      <c r="CN278">
        <v>0</v>
      </c>
      <c r="CO278">
        <v>0</v>
      </c>
      <c r="CP278">
        <v>0</v>
      </c>
      <c r="CQ278">
        <v>0</v>
      </c>
      <c r="CR278">
        <v>0</v>
      </c>
      <c r="CS278">
        <v>0</v>
      </c>
      <c r="CT278">
        <v>0</v>
      </c>
      <c r="CU278">
        <v>0</v>
      </c>
      <c r="CV278">
        <v>0</v>
      </c>
      <c r="CW278">
        <v>0</v>
      </c>
      <c r="CX278">
        <v>0</v>
      </c>
      <c r="CY278">
        <v>0</v>
      </c>
      <c r="CZ278">
        <v>0</v>
      </c>
      <c r="DA278">
        <v>0</v>
      </c>
      <c r="DB278">
        <v>0</v>
      </c>
      <c r="DC278">
        <v>0</v>
      </c>
      <c r="DD278">
        <v>0</v>
      </c>
      <c r="DE278">
        <v>0</v>
      </c>
      <c r="DF278">
        <v>0</v>
      </c>
      <c r="DG278">
        <v>0</v>
      </c>
      <c r="DH278">
        <v>0</v>
      </c>
      <c r="DI278">
        <v>0</v>
      </c>
      <c r="DJ278">
        <v>0</v>
      </c>
      <c r="DK278">
        <v>0</v>
      </c>
      <c r="DL278">
        <v>0</v>
      </c>
      <c r="DM278">
        <v>0</v>
      </c>
      <c r="DN278">
        <v>0</v>
      </c>
      <c r="DO278">
        <v>0</v>
      </c>
      <c r="DP278">
        <v>0</v>
      </c>
      <c r="DQ278">
        <v>0</v>
      </c>
      <c r="DR278">
        <v>0</v>
      </c>
      <c r="DS278">
        <v>0</v>
      </c>
      <c r="DT278">
        <v>0</v>
      </c>
      <c r="DU278">
        <v>0</v>
      </c>
      <c r="DV278">
        <v>0</v>
      </c>
      <c r="DW278">
        <v>0</v>
      </c>
      <c r="DX278">
        <v>0</v>
      </c>
      <c r="DY278">
        <v>0</v>
      </c>
      <c r="DZ278">
        <v>0</v>
      </c>
      <c r="EA278">
        <v>0</v>
      </c>
      <c r="EB278">
        <v>0</v>
      </c>
      <c r="EC278">
        <v>0</v>
      </c>
      <c r="ED278">
        <v>0</v>
      </c>
      <c r="EE278">
        <v>0</v>
      </c>
      <c r="EF278">
        <v>0</v>
      </c>
      <c r="EG278">
        <v>0</v>
      </c>
      <c r="EH278">
        <v>0</v>
      </c>
      <c r="EI278">
        <v>0</v>
      </c>
      <c r="EJ278">
        <v>0</v>
      </c>
      <c r="EK278">
        <v>0</v>
      </c>
      <c r="EL278">
        <v>0</v>
      </c>
      <c r="EM278">
        <v>0</v>
      </c>
      <c r="EN278">
        <v>0</v>
      </c>
      <c r="EO278">
        <v>0</v>
      </c>
      <c r="EP278">
        <v>0</v>
      </c>
      <c r="EQ278">
        <v>0</v>
      </c>
      <c r="ER278">
        <v>0</v>
      </c>
      <c r="ES278">
        <v>0</v>
      </c>
      <c r="ET278">
        <v>0</v>
      </c>
      <c r="EU278">
        <v>0</v>
      </c>
      <c r="EV278">
        <v>0</v>
      </c>
      <c r="EW278">
        <v>0</v>
      </c>
      <c r="EX278">
        <v>0</v>
      </c>
      <c r="EY278">
        <v>0</v>
      </c>
      <c r="EZ278">
        <v>0</v>
      </c>
      <c r="FA278">
        <v>0</v>
      </c>
      <c r="FB278">
        <v>0</v>
      </c>
      <c r="FC278">
        <v>0</v>
      </c>
      <c r="FD278">
        <v>0</v>
      </c>
      <c r="FE278">
        <v>0</v>
      </c>
      <c r="FF278">
        <v>0</v>
      </c>
      <c r="FG278">
        <v>0</v>
      </c>
      <c r="FH278">
        <v>0</v>
      </c>
      <c r="FI278">
        <v>0</v>
      </c>
      <c r="FJ278">
        <v>0</v>
      </c>
      <c r="FK278">
        <v>0</v>
      </c>
      <c r="FL278">
        <v>0</v>
      </c>
      <c r="FM278">
        <v>0</v>
      </c>
      <c r="FN278">
        <v>0</v>
      </c>
      <c r="FO278">
        <v>0</v>
      </c>
      <c r="FP278">
        <v>0</v>
      </c>
      <c r="FQ278">
        <v>0</v>
      </c>
      <c r="FR278">
        <v>0</v>
      </c>
      <c r="FS278">
        <v>0</v>
      </c>
      <c r="FT278">
        <v>0</v>
      </c>
      <c r="FU278">
        <v>0</v>
      </c>
      <c r="FV278">
        <v>0</v>
      </c>
      <c r="FW278">
        <v>0</v>
      </c>
      <c r="FX278">
        <v>0</v>
      </c>
      <c r="FY278">
        <v>0</v>
      </c>
      <c r="FZ278">
        <v>0</v>
      </c>
      <c r="GA278">
        <v>0</v>
      </c>
      <c r="GB278">
        <v>0</v>
      </c>
      <c r="GC278">
        <v>0</v>
      </c>
      <c r="GD278">
        <v>0</v>
      </c>
      <c r="GE278">
        <v>0</v>
      </c>
      <c r="GF278">
        <v>0</v>
      </c>
      <c r="GG278">
        <v>0</v>
      </c>
      <c r="GH278">
        <v>0</v>
      </c>
      <c r="GI278">
        <v>0</v>
      </c>
      <c r="GJ278">
        <v>0</v>
      </c>
      <c r="GK278">
        <v>0</v>
      </c>
      <c r="GL278">
        <v>0</v>
      </c>
      <c r="GM278">
        <v>0</v>
      </c>
      <c r="GN278">
        <v>0</v>
      </c>
      <c r="GO278">
        <v>0</v>
      </c>
      <c r="GP278">
        <v>0</v>
      </c>
      <c r="GQ278">
        <v>0</v>
      </c>
      <c r="GR278">
        <v>0</v>
      </c>
      <c r="GS278">
        <v>0</v>
      </c>
      <c r="GT278">
        <v>0</v>
      </c>
      <c r="GU278">
        <v>0</v>
      </c>
      <c r="GV278">
        <v>0</v>
      </c>
      <c r="GW278">
        <v>0</v>
      </c>
      <c r="GX278">
        <v>0</v>
      </c>
      <c r="GY278">
        <v>0</v>
      </c>
      <c r="GZ278">
        <v>0</v>
      </c>
      <c r="HA278">
        <v>0</v>
      </c>
      <c r="HB278">
        <v>0</v>
      </c>
      <c r="HC278">
        <v>0</v>
      </c>
      <c r="HD278">
        <v>0</v>
      </c>
      <c r="HE278">
        <v>0</v>
      </c>
      <c r="HF278">
        <v>0</v>
      </c>
      <c r="HG278">
        <v>0</v>
      </c>
      <c r="HH278">
        <v>0</v>
      </c>
      <c r="HI278">
        <v>0</v>
      </c>
      <c r="HJ278">
        <v>0</v>
      </c>
      <c r="HK278">
        <v>0</v>
      </c>
      <c r="HL278">
        <v>0</v>
      </c>
      <c r="HM278">
        <v>0</v>
      </c>
      <c r="HN278">
        <v>0</v>
      </c>
      <c r="HO278">
        <v>0</v>
      </c>
      <c r="HP278">
        <v>0</v>
      </c>
      <c r="HQ278">
        <v>0</v>
      </c>
      <c r="HR278">
        <v>0</v>
      </c>
      <c r="HS278">
        <v>0</v>
      </c>
      <c r="HT278">
        <v>0</v>
      </c>
      <c r="HU278">
        <v>0</v>
      </c>
      <c r="HV278">
        <v>0</v>
      </c>
      <c r="HW278">
        <v>0</v>
      </c>
      <c r="HX278">
        <v>0</v>
      </c>
      <c r="HY278">
        <v>0</v>
      </c>
      <c r="HZ278">
        <v>0</v>
      </c>
      <c r="IA278">
        <v>0</v>
      </c>
      <c r="IB278">
        <v>0</v>
      </c>
      <c r="IC278">
        <v>0</v>
      </c>
      <c r="ID278">
        <v>0</v>
      </c>
      <c r="IE278">
        <v>0</v>
      </c>
      <c r="IF278">
        <v>0</v>
      </c>
      <c r="IG278">
        <v>0</v>
      </c>
      <c r="IH278">
        <v>0</v>
      </c>
      <c r="II278">
        <v>0</v>
      </c>
      <c r="IJ278">
        <v>0</v>
      </c>
      <c r="IK278">
        <v>0</v>
      </c>
      <c r="IL278">
        <v>0</v>
      </c>
      <c r="IM278">
        <v>0</v>
      </c>
      <c r="IN278">
        <v>0</v>
      </c>
      <c r="IO278">
        <v>0</v>
      </c>
      <c r="IP278">
        <v>0</v>
      </c>
      <c r="IQ278">
        <v>0</v>
      </c>
      <c r="IR278">
        <v>0</v>
      </c>
      <c r="IS278">
        <v>0</v>
      </c>
      <c r="IT278">
        <v>0</v>
      </c>
      <c r="IU278">
        <v>0</v>
      </c>
      <c r="IV278">
        <v>0</v>
      </c>
      <c r="IW278">
        <v>0</v>
      </c>
      <c r="IX278">
        <v>0</v>
      </c>
      <c r="IY278">
        <v>0</v>
      </c>
      <c r="IZ278">
        <v>0</v>
      </c>
      <c r="JA278">
        <v>0</v>
      </c>
      <c r="JB278">
        <v>0</v>
      </c>
      <c r="JC278">
        <v>0</v>
      </c>
      <c r="JD278">
        <v>0</v>
      </c>
      <c r="JE278">
        <v>0</v>
      </c>
      <c r="JF278">
        <v>0</v>
      </c>
      <c r="JG278">
        <v>0</v>
      </c>
      <c r="JH278">
        <v>0</v>
      </c>
      <c r="JI278">
        <v>0</v>
      </c>
      <c r="JJ278">
        <v>0</v>
      </c>
      <c r="JK278">
        <v>0</v>
      </c>
      <c r="JL278">
        <v>0</v>
      </c>
      <c r="JM278">
        <v>0</v>
      </c>
      <c r="JN278">
        <v>0</v>
      </c>
      <c r="JO278">
        <v>0</v>
      </c>
      <c r="JP278">
        <v>0</v>
      </c>
      <c r="JQ278">
        <v>0</v>
      </c>
      <c r="JR278">
        <v>0</v>
      </c>
      <c r="JS278">
        <v>0</v>
      </c>
      <c r="JT278">
        <v>0</v>
      </c>
      <c r="JU278">
        <v>0</v>
      </c>
      <c r="JV278">
        <v>0</v>
      </c>
      <c r="JW278">
        <v>0</v>
      </c>
      <c r="JX278">
        <v>0</v>
      </c>
      <c r="JY278">
        <v>0</v>
      </c>
      <c r="JZ278">
        <v>0</v>
      </c>
      <c r="KA278">
        <v>0</v>
      </c>
      <c r="KB278">
        <v>0</v>
      </c>
      <c r="KC278">
        <v>0</v>
      </c>
      <c r="KD278">
        <v>0</v>
      </c>
      <c r="KE278">
        <v>0</v>
      </c>
      <c r="KF278">
        <v>0</v>
      </c>
      <c r="KG278">
        <v>0</v>
      </c>
      <c r="KH278">
        <v>0</v>
      </c>
      <c r="KI278">
        <v>0</v>
      </c>
      <c r="KJ278">
        <v>0</v>
      </c>
      <c r="KK278">
        <v>0</v>
      </c>
      <c r="KL278">
        <v>0</v>
      </c>
      <c r="KM278">
        <v>0</v>
      </c>
      <c r="KN278">
        <v>0</v>
      </c>
      <c r="KO278">
        <v>0</v>
      </c>
      <c r="KP278">
        <v>0</v>
      </c>
      <c r="KQ278">
        <v>0</v>
      </c>
      <c r="KR278">
        <v>0</v>
      </c>
      <c r="KS278">
        <v>0</v>
      </c>
      <c r="KT278">
        <v>0</v>
      </c>
      <c r="KU278">
        <v>0</v>
      </c>
      <c r="KV278">
        <v>0</v>
      </c>
      <c r="KW278">
        <v>0</v>
      </c>
      <c r="KX278">
        <v>0</v>
      </c>
      <c r="KY278">
        <v>0</v>
      </c>
      <c r="KZ278">
        <v>0</v>
      </c>
      <c r="LA278">
        <v>0</v>
      </c>
      <c r="LB278">
        <v>0</v>
      </c>
      <c r="LC278">
        <v>0</v>
      </c>
      <c r="LD278">
        <v>0</v>
      </c>
      <c r="LE278">
        <v>0</v>
      </c>
      <c r="LF278">
        <v>0</v>
      </c>
      <c r="LG278">
        <v>0</v>
      </c>
      <c r="LH278">
        <v>0</v>
      </c>
      <c r="LI278">
        <v>0</v>
      </c>
      <c r="LJ278">
        <v>0</v>
      </c>
      <c r="LK278">
        <v>0</v>
      </c>
      <c r="LL278">
        <v>0</v>
      </c>
      <c r="LM278">
        <v>0</v>
      </c>
      <c r="LN278">
        <v>0</v>
      </c>
      <c r="LO278">
        <v>0</v>
      </c>
      <c r="LP278">
        <v>0</v>
      </c>
      <c r="LQ278">
        <v>0</v>
      </c>
      <c r="LR278">
        <v>0</v>
      </c>
      <c r="LS278">
        <v>0</v>
      </c>
      <c r="LT278">
        <v>0</v>
      </c>
      <c r="LU278">
        <v>0</v>
      </c>
      <c r="LV278">
        <v>0</v>
      </c>
      <c r="LW278">
        <v>0</v>
      </c>
      <c r="LX278">
        <v>0</v>
      </c>
      <c r="LY278">
        <v>0</v>
      </c>
      <c r="LZ278">
        <v>0</v>
      </c>
      <c r="MA278">
        <v>0</v>
      </c>
      <c r="MB278">
        <v>0</v>
      </c>
      <c r="MC278">
        <v>0</v>
      </c>
      <c r="MD278">
        <v>0</v>
      </c>
      <c r="ME278">
        <v>0</v>
      </c>
      <c r="MF278">
        <v>0</v>
      </c>
      <c r="MG278">
        <v>0</v>
      </c>
      <c r="MH278">
        <v>0</v>
      </c>
      <c r="MI278">
        <v>0</v>
      </c>
      <c r="MJ278">
        <v>0</v>
      </c>
      <c r="MK278">
        <v>0</v>
      </c>
      <c r="ML278">
        <v>0</v>
      </c>
      <c r="MM278">
        <v>0</v>
      </c>
      <c r="MN278">
        <v>0</v>
      </c>
      <c r="MO278">
        <v>0</v>
      </c>
      <c r="MP278">
        <v>0</v>
      </c>
      <c r="MQ278">
        <v>0</v>
      </c>
      <c r="MR278">
        <v>0</v>
      </c>
      <c r="MS278">
        <v>0</v>
      </c>
      <c r="MT278">
        <v>0</v>
      </c>
      <c r="MU278">
        <v>0</v>
      </c>
      <c r="MV278">
        <v>0</v>
      </c>
      <c r="MW278">
        <v>0</v>
      </c>
      <c r="MX278">
        <v>0</v>
      </c>
      <c r="MY278">
        <v>0</v>
      </c>
      <c r="MZ278">
        <v>0</v>
      </c>
      <c r="NA278">
        <v>0</v>
      </c>
      <c r="NB278">
        <v>0</v>
      </c>
      <c r="NC278">
        <v>0</v>
      </c>
      <c r="ND278">
        <v>0</v>
      </c>
      <c r="NE278">
        <v>0</v>
      </c>
    </row>
    <row r="279" spans="41:369" x14ac:dyDescent="0.45">
      <c r="AO279" t="str">
        <v>D155</v>
      </c>
      <c r="AP279" t="str">
        <v>MUHAMMED YASIR K</v>
      </c>
      <c r="AQ279" t="str">
        <v>BADF</v>
      </c>
      <c r="AR279" t="str">
        <v>SUPER SENIOR</v>
      </c>
      <c r="AS279">
        <v>9</v>
      </c>
      <c r="AT279">
        <v>24</v>
      </c>
      <c r="AU279">
        <v>0</v>
      </c>
      <c r="AV279">
        <v>24</v>
      </c>
      <c r="AW279">
        <v>24</v>
      </c>
      <c r="AX279">
        <v>64</v>
      </c>
      <c r="AY279" s="5">
        <v>64</v>
      </c>
      <c r="AZ279">
        <v>0</v>
      </c>
      <c r="BA279">
        <v>0</v>
      </c>
      <c r="BB279">
        <v>0</v>
      </c>
      <c r="BC279">
        <v>0</v>
      </c>
      <c r="BD279">
        <v>0</v>
      </c>
      <c r="BE279">
        <v>0</v>
      </c>
      <c r="BF279">
        <v>0</v>
      </c>
      <c r="BG279">
        <v>0</v>
      </c>
      <c r="BH279">
        <v>0</v>
      </c>
      <c r="BI279" t="str">
        <v/>
      </c>
      <c r="BK279">
        <v>273</v>
      </c>
      <c r="BL279">
        <v>0</v>
      </c>
      <c r="BM279">
        <v>0</v>
      </c>
      <c r="BN279">
        <v>0</v>
      </c>
      <c r="BO279">
        <v>0</v>
      </c>
      <c r="BP279">
        <v>0</v>
      </c>
      <c r="BQ279">
        <v>0</v>
      </c>
      <c r="BR279">
        <v>0</v>
      </c>
      <c r="BS279">
        <v>0</v>
      </c>
      <c r="BT279">
        <v>0</v>
      </c>
      <c r="BU279">
        <v>0</v>
      </c>
      <c r="BV279">
        <v>0</v>
      </c>
      <c r="BW279">
        <v>0</v>
      </c>
      <c r="BX279">
        <v>0</v>
      </c>
      <c r="BY279">
        <v>0</v>
      </c>
      <c r="BZ279">
        <v>0</v>
      </c>
      <c r="CA279">
        <v>0</v>
      </c>
      <c r="CB279">
        <v>0</v>
      </c>
      <c r="CC279">
        <v>0</v>
      </c>
      <c r="CD279">
        <v>0</v>
      </c>
      <c r="CE279">
        <v>0</v>
      </c>
      <c r="CF279">
        <v>0</v>
      </c>
      <c r="CG279">
        <v>0</v>
      </c>
      <c r="CH279">
        <v>0</v>
      </c>
      <c r="CI279">
        <v>0</v>
      </c>
      <c r="CJ279">
        <v>0</v>
      </c>
      <c r="CK279">
        <v>0</v>
      </c>
      <c r="CL279">
        <v>0</v>
      </c>
      <c r="CM279">
        <v>0</v>
      </c>
      <c r="CN279">
        <v>0</v>
      </c>
      <c r="CO279">
        <v>0</v>
      </c>
      <c r="CP279">
        <v>0</v>
      </c>
      <c r="CQ279">
        <v>0</v>
      </c>
      <c r="CR279">
        <v>0</v>
      </c>
      <c r="CS279">
        <v>0</v>
      </c>
      <c r="CT279">
        <v>0</v>
      </c>
      <c r="CU279">
        <v>0</v>
      </c>
      <c r="CV279">
        <v>0</v>
      </c>
      <c r="CW279">
        <v>0</v>
      </c>
      <c r="CX279">
        <v>0</v>
      </c>
      <c r="CY279">
        <v>0</v>
      </c>
      <c r="CZ279">
        <v>0</v>
      </c>
      <c r="DA279">
        <v>0</v>
      </c>
      <c r="DB279">
        <v>0</v>
      </c>
      <c r="DC279">
        <v>0</v>
      </c>
      <c r="DD279">
        <v>0</v>
      </c>
      <c r="DE279">
        <v>0</v>
      </c>
      <c r="DF279">
        <v>0</v>
      </c>
      <c r="DG279">
        <v>0</v>
      </c>
      <c r="DH279">
        <v>0</v>
      </c>
      <c r="DI279">
        <v>0</v>
      </c>
      <c r="DJ279">
        <v>0</v>
      </c>
      <c r="DK279">
        <v>0</v>
      </c>
      <c r="DL279">
        <v>0</v>
      </c>
      <c r="DM279">
        <v>0</v>
      </c>
      <c r="DN279">
        <v>0</v>
      </c>
      <c r="DO279">
        <v>0</v>
      </c>
      <c r="DP279">
        <v>0</v>
      </c>
      <c r="DQ279">
        <v>0</v>
      </c>
      <c r="DR279">
        <v>0</v>
      </c>
      <c r="DS279">
        <v>0</v>
      </c>
      <c r="DT279">
        <v>0</v>
      </c>
      <c r="DU279">
        <v>0</v>
      </c>
      <c r="DV279">
        <v>0</v>
      </c>
      <c r="DW279">
        <v>0</v>
      </c>
      <c r="DX279">
        <v>0</v>
      </c>
      <c r="DY279">
        <v>0</v>
      </c>
      <c r="DZ279">
        <v>0</v>
      </c>
      <c r="EA279">
        <v>0</v>
      </c>
      <c r="EB279">
        <v>0</v>
      </c>
      <c r="EC279">
        <v>0</v>
      </c>
      <c r="ED279">
        <v>0</v>
      </c>
      <c r="EE279">
        <v>0</v>
      </c>
      <c r="EF279">
        <v>0</v>
      </c>
      <c r="EG279">
        <v>0</v>
      </c>
      <c r="EH279">
        <v>0</v>
      </c>
      <c r="EI279">
        <v>0</v>
      </c>
      <c r="EJ279">
        <v>0</v>
      </c>
      <c r="EK279">
        <v>0</v>
      </c>
      <c r="EL279">
        <v>0</v>
      </c>
      <c r="EM279">
        <v>0</v>
      </c>
      <c r="EN279">
        <v>0</v>
      </c>
      <c r="EO279">
        <v>0</v>
      </c>
      <c r="EP279">
        <v>0</v>
      </c>
      <c r="EQ279">
        <v>0</v>
      </c>
      <c r="ER279">
        <v>0</v>
      </c>
      <c r="ES279">
        <v>0</v>
      </c>
      <c r="ET279">
        <v>0</v>
      </c>
      <c r="EU279">
        <v>0</v>
      </c>
      <c r="EV279">
        <v>0</v>
      </c>
      <c r="EW279">
        <v>0</v>
      </c>
      <c r="EX279">
        <v>0</v>
      </c>
      <c r="EY279">
        <v>0</v>
      </c>
      <c r="EZ279">
        <v>0</v>
      </c>
      <c r="FA279">
        <v>0</v>
      </c>
      <c r="FB279">
        <v>0</v>
      </c>
      <c r="FC279">
        <v>0</v>
      </c>
      <c r="FD279">
        <v>0</v>
      </c>
      <c r="FE279">
        <v>0</v>
      </c>
      <c r="FF279">
        <v>0</v>
      </c>
      <c r="FG279">
        <v>0</v>
      </c>
      <c r="FH279">
        <v>0</v>
      </c>
      <c r="FI279">
        <v>0</v>
      </c>
      <c r="FJ279">
        <v>0</v>
      </c>
      <c r="FK279">
        <v>0</v>
      </c>
      <c r="FL279">
        <v>0</v>
      </c>
      <c r="FM279">
        <v>0</v>
      </c>
      <c r="FN279">
        <v>0</v>
      </c>
      <c r="FO279">
        <v>0</v>
      </c>
      <c r="FP279">
        <v>0</v>
      </c>
      <c r="FQ279">
        <v>0</v>
      </c>
      <c r="FR279">
        <v>0</v>
      </c>
      <c r="FS279">
        <v>0</v>
      </c>
      <c r="FT279">
        <v>0</v>
      </c>
      <c r="FU279">
        <v>0</v>
      </c>
      <c r="FV279">
        <v>0</v>
      </c>
      <c r="FW279">
        <v>0</v>
      </c>
      <c r="FX279">
        <v>0</v>
      </c>
      <c r="FY279">
        <v>0</v>
      </c>
      <c r="FZ279">
        <v>0</v>
      </c>
      <c r="GA279">
        <v>0</v>
      </c>
      <c r="GB279">
        <v>0</v>
      </c>
      <c r="GC279">
        <v>0</v>
      </c>
      <c r="GD279">
        <v>0</v>
      </c>
      <c r="GE279">
        <v>0</v>
      </c>
      <c r="GF279">
        <v>0</v>
      </c>
      <c r="GG279">
        <v>0</v>
      </c>
      <c r="GH279">
        <v>0</v>
      </c>
      <c r="GI279">
        <v>0</v>
      </c>
      <c r="GJ279">
        <v>0</v>
      </c>
      <c r="GK279">
        <v>0</v>
      </c>
      <c r="GL279">
        <v>0</v>
      </c>
      <c r="GM279">
        <v>0</v>
      </c>
      <c r="GN279">
        <v>0</v>
      </c>
      <c r="GO279">
        <v>0</v>
      </c>
      <c r="GP279">
        <v>0</v>
      </c>
      <c r="GQ279">
        <v>0</v>
      </c>
      <c r="GR279">
        <v>0</v>
      </c>
      <c r="GS279">
        <v>0</v>
      </c>
      <c r="GT279">
        <v>0</v>
      </c>
      <c r="GU279">
        <v>0</v>
      </c>
      <c r="GV279">
        <v>0</v>
      </c>
      <c r="GW279">
        <v>0</v>
      </c>
      <c r="GX279">
        <v>0</v>
      </c>
      <c r="GY279">
        <v>0</v>
      </c>
      <c r="GZ279">
        <v>0</v>
      </c>
      <c r="HA279">
        <v>0</v>
      </c>
      <c r="HB279">
        <v>0</v>
      </c>
      <c r="HC279">
        <v>0</v>
      </c>
      <c r="HD279">
        <v>0</v>
      </c>
      <c r="HE279">
        <v>0</v>
      </c>
      <c r="HF279">
        <v>0</v>
      </c>
      <c r="HG279">
        <v>0</v>
      </c>
      <c r="HH279">
        <v>0</v>
      </c>
      <c r="HI279">
        <v>0</v>
      </c>
      <c r="HJ279">
        <v>0</v>
      </c>
      <c r="HK279">
        <v>0</v>
      </c>
      <c r="HL279">
        <v>0</v>
      </c>
      <c r="HM279">
        <v>0</v>
      </c>
      <c r="HN279">
        <v>0</v>
      </c>
      <c r="HO279">
        <v>0</v>
      </c>
      <c r="HP279">
        <v>0</v>
      </c>
      <c r="HQ279">
        <v>0</v>
      </c>
      <c r="HR279">
        <v>0</v>
      </c>
      <c r="HS279">
        <v>0</v>
      </c>
      <c r="HT279">
        <v>0</v>
      </c>
      <c r="HU279">
        <v>0</v>
      </c>
      <c r="HV279">
        <v>0</v>
      </c>
      <c r="HW279">
        <v>0</v>
      </c>
      <c r="HX279">
        <v>0</v>
      </c>
      <c r="HY279">
        <v>0</v>
      </c>
      <c r="HZ279">
        <v>0</v>
      </c>
      <c r="IA279">
        <v>0</v>
      </c>
      <c r="IB279">
        <v>0</v>
      </c>
      <c r="IC279">
        <v>0</v>
      </c>
      <c r="ID279">
        <v>0</v>
      </c>
      <c r="IE279">
        <v>0</v>
      </c>
      <c r="IF279">
        <v>0</v>
      </c>
      <c r="IG279">
        <v>0</v>
      </c>
      <c r="IH279">
        <v>0</v>
      </c>
      <c r="II279">
        <v>0</v>
      </c>
      <c r="IJ279">
        <v>0</v>
      </c>
      <c r="IK279">
        <v>0</v>
      </c>
      <c r="IL279">
        <v>0</v>
      </c>
      <c r="IM279">
        <v>0</v>
      </c>
      <c r="IN279">
        <v>0</v>
      </c>
      <c r="IO279">
        <v>0</v>
      </c>
      <c r="IP279">
        <v>0</v>
      </c>
      <c r="IQ279">
        <v>0</v>
      </c>
      <c r="IR279">
        <v>0</v>
      </c>
      <c r="IS279">
        <v>0</v>
      </c>
      <c r="IT279">
        <v>0</v>
      </c>
      <c r="IU279">
        <v>0</v>
      </c>
      <c r="IV279">
        <v>0</v>
      </c>
      <c r="IW279">
        <v>0</v>
      </c>
      <c r="IX279">
        <v>0</v>
      </c>
      <c r="IY279">
        <v>0</v>
      </c>
      <c r="IZ279">
        <v>0</v>
      </c>
      <c r="JA279">
        <v>0</v>
      </c>
      <c r="JB279">
        <v>0</v>
      </c>
      <c r="JC279">
        <v>0</v>
      </c>
      <c r="JD279">
        <v>0</v>
      </c>
      <c r="JE279">
        <v>0</v>
      </c>
      <c r="JF279">
        <v>0</v>
      </c>
      <c r="JG279">
        <v>0</v>
      </c>
      <c r="JH279">
        <v>0</v>
      </c>
      <c r="JI279">
        <v>0</v>
      </c>
      <c r="JJ279">
        <v>0</v>
      </c>
      <c r="JK279">
        <v>0</v>
      </c>
      <c r="JL279">
        <v>0</v>
      </c>
      <c r="JM279">
        <v>0</v>
      </c>
      <c r="JN279">
        <v>0</v>
      </c>
      <c r="JO279">
        <v>0</v>
      </c>
      <c r="JP279">
        <v>0</v>
      </c>
      <c r="JQ279">
        <v>0</v>
      </c>
      <c r="JR279">
        <v>0</v>
      </c>
      <c r="JS279">
        <v>0</v>
      </c>
      <c r="JT279">
        <v>0</v>
      </c>
      <c r="JU279">
        <v>0</v>
      </c>
      <c r="JV279">
        <v>0</v>
      </c>
      <c r="JW279">
        <v>0</v>
      </c>
      <c r="JX279">
        <v>0</v>
      </c>
      <c r="JY279">
        <v>0</v>
      </c>
      <c r="JZ279">
        <v>0</v>
      </c>
      <c r="KA279">
        <v>0</v>
      </c>
      <c r="KB279">
        <v>0</v>
      </c>
      <c r="KC279">
        <v>0</v>
      </c>
      <c r="KD279">
        <v>0</v>
      </c>
      <c r="KE279">
        <v>0</v>
      </c>
      <c r="KF279">
        <v>0</v>
      </c>
      <c r="KG279">
        <v>0</v>
      </c>
      <c r="KH279">
        <v>0</v>
      </c>
      <c r="KI279">
        <v>0</v>
      </c>
      <c r="KJ279">
        <v>0</v>
      </c>
      <c r="KK279">
        <v>0</v>
      </c>
      <c r="KL279">
        <v>0</v>
      </c>
      <c r="KM279">
        <v>0</v>
      </c>
      <c r="KN279">
        <v>0</v>
      </c>
      <c r="KO279">
        <v>0</v>
      </c>
      <c r="KP279">
        <v>0</v>
      </c>
      <c r="KQ279">
        <v>0</v>
      </c>
      <c r="KR279">
        <v>0</v>
      </c>
      <c r="KS279">
        <v>0</v>
      </c>
      <c r="KT279">
        <v>0</v>
      </c>
      <c r="KU279">
        <v>0</v>
      </c>
      <c r="KV279">
        <v>0</v>
      </c>
      <c r="KW279">
        <v>0</v>
      </c>
      <c r="KX279">
        <v>0</v>
      </c>
      <c r="KY279">
        <v>0</v>
      </c>
      <c r="KZ279">
        <v>0</v>
      </c>
      <c r="LA279">
        <v>0</v>
      </c>
      <c r="LB279">
        <v>0</v>
      </c>
      <c r="LC279">
        <v>0</v>
      </c>
      <c r="LD279">
        <v>0</v>
      </c>
      <c r="LE279">
        <v>0</v>
      </c>
      <c r="LF279">
        <v>0</v>
      </c>
      <c r="LG279">
        <v>0</v>
      </c>
      <c r="LH279">
        <v>0</v>
      </c>
      <c r="LI279">
        <v>0</v>
      </c>
      <c r="LJ279">
        <v>0</v>
      </c>
      <c r="LK279">
        <v>0</v>
      </c>
      <c r="LL279">
        <v>0</v>
      </c>
      <c r="LM279">
        <v>0</v>
      </c>
      <c r="LN279">
        <v>0</v>
      </c>
      <c r="LO279">
        <v>0</v>
      </c>
      <c r="LP279">
        <v>0</v>
      </c>
      <c r="LQ279">
        <v>0</v>
      </c>
      <c r="LR279">
        <v>0</v>
      </c>
      <c r="LS279">
        <v>0</v>
      </c>
      <c r="LT279">
        <v>0</v>
      </c>
      <c r="LU279">
        <v>0</v>
      </c>
      <c r="LV279">
        <v>0</v>
      </c>
      <c r="LW279">
        <v>0</v>
      </c>
      <c r="LX279">
        <v>0</v>
      </c>
      <c r="LY279">
        <v>0</v>
      </c>
      <c r="LZ279">
        <v>0</v>
      </c>
      <c r="MA279">
        <v>0</v>
      </c>
      <c r="MB279">
        <v>0</v>
      </c>
      <c r="MC279">
        <v>0</v>
      </c>
      <c r="MD279">
        <v>0</v>
      </c>
      <c r="ME279">
        <v>0</v>
      </c>
      <c r="MF279">
        <v>0</v>
      </c>
      <c r="MG279">
        <v>0</v>
      </c>
      <c r="MH279">
        <v>0</v>
      </c>
      <c r="MI279">
        <v>0</v>
      </c>
      <c r="MJ279">
        <v>0</v>
      </c>
      <c r="MK279">
        <v>0</v>
      </c>
      <c r="ML279">
        <v>0</v>
      </c>
      <c r="MM279">
        <v>0</v>
      </c>
      <c r="MN279">
        <v>0</v>
      </c>
      <c r="MO279">
        <v>0</v>
      </c>
      <c r="MP279">
        <v>0</v>
      </c>
      <c r="MQ279">
        <v>0</v>
      </c>
      <c r="MR279">
        <v>0</v>
      </c>
      <c r="MS279">
        <v>0</v>
      </c>
      <c r="MT279">
        <v>0</v>
      </c>
      <c r="MU279">
        <v>0</v>
      </c>
      <c r="MV279">
        <v>0</v>
      </c>
      <c r="MW279">
        <v>0</v>
      </c>
      <c r="MX279">
        <v>0</v>
      </c>
      <c r="MY279">
        <v>0</v>
      </c>
      <c r="MZ279">
        <v>0</v>
      </c>
      <c r="NA279">
        <v>0</v>
      </c>
      <c r="NB279">
        <v>0</v>
      </c>
      <c r="NC279">
        <v>0</v>
      </c>
      <c r="ND279">
        <v>0</v>
      </c>
      <c r="NE279">
        <v>0</v>
      </c>
    </row>
    <row r="280" spans="41:369" x14ac:dyDescent="0.45">
      <c r="AO280" t="str">
        <v>D156</v>
      </c>
      <c r="AP280" t="str">
        <v>MUHAMMED BIN ABDUL KADHAR</v>
      </c>
      <c r="AQ280">
        <v>0</v>
      </c>
      <c r="AR280" t="str">
        <v>SUPER SENIOR</v>
      </c>
      <c r="AS280">
        <v>9</v>
      </c>
      <c r="AT280">
        <v>0</v>
      </c>
      <c r="AU280">
        <v>0</v>
      </c>
      <c r="AV280">
        <v>0</v>
      </c>
      <c r="AW280">
        <v>0</v>
      </c>
      <c r="AX280">
        <v>255</v>
      </c>
      <c r="AY280" s="5">
        <v>255</v>
      </c>
      <c r="AZ280">
        <v>0</v>
      </c>
      <c r="BA280">
        <v>0</v>
      </c>
      <c r="BB280">
        <v>0</v>
      </c>
      <c r="BC280">
        <v>0</v>
      </c>
      <c r="BD280">
        <v>0</v>
      </c>
      <c r="BE280">
        <v>0</v>
      </c>
      <c r="BF280">
        <v>0</v>
      </c>
      <c r="BG280">
        <v>0</v>
      </c>
      <c r="BH280">
        <v>0</v>
      </c>
      <c r="BI280" t="str">
        <v/>
      </c>
      <c r="BK280">
        <v>274</v>
      </c>
      <c r="BL280">
        <v>0</v>
      </c>
      <c r="BM280">
        <v>0</v>
      </c>
      <c r="BN280">
        <v>0</v>
      </c>
      <c r="BO280">
        <v>0</v>
      </c>
      <c r="BP280">
        <v>0</v>
      </c>
      <c r="BQ280">
        <v>0</v>
      </c>
      <c r="BR280">
        <v>0</v>
      </c>
      <c r="BS280">
        <v>0</v>
      </c>
      <c r="BT280">
        <v>0</v>
      </c>
      <c r="BU280">
        <v>0</v>
      </c>
      <c r="BV280">
        <v>0</v>
      </c>
      <c r="BW280">
        <v>0</v>
      </c>
      <c r="BX280">
        <v>0</v>
      </c>
      <c r="BY280">
        <v>0</v>
      </c>
      <c r="BZ280">
        <v>0</v>
      </c>
      <c r="CA280">
        <v>0</v>
      </c>
      <c r="CB280">
        <v>0</v>
      </c>
      <c r="CC280">
        <v>0</v>
      </c>
      <c r="CD280">
        <v>0</v>
      </c>
      <c r="CE280">
        <v>0</v>
      </c>
      <c r="CF280">
        <v>0</v>
      </c>
      <c r="CG280">
        <v>0</v>
      </c>
      <c r="CH280">
        <v>0</v>
      </c>
      <c r="CI280">
        <v>0</v>
      </c>
      <c r="CJ280">
        <v>0</v>
      </c>
      <c r="CK280">
        <v>0</v>
      </c>
      <c r="CL280">
        <v>0</v>
      </c>
      <c r="CM280">
        <v>0</v>
      </c>
      <c r="CN280">
        <v>0</v>
      </c>
      <c r="CO280">
        <v>0</v>
      </c>
      <c r="CP280">
        <v>0</v>
      </c>
      <c r="CQ280">
        <v>0</v>
      </c>
      <c r="CR280">
        <v>0</v>
      </c>
      <c r="CS280">
        <v>0</v>
      </c>
      <c r="CT280">
        <v>0</v>
      </c>
      <c r="CU280">
        <v>0</v>
      </c>
      <c r="CV280">
        <v>0</v>
      </c>
      <c r="CW280">
        <v>0</v>
      </c>
      <c r="CX280">
        <v>0</v>
      </c>
      <c r="CY280">
        <v>0</v>
      </c>
      <c r="CZ280">
        <v>0</v>
      </c>
      <c r="DA280">
        <v>0</v>
      </c>
      <c r="DB280">
        <v>0</v>
      </c>
      <c r="DC280">
        <v>0</v>
      </c>
      <c r="DD280">
        <v>0</v>
      </c>
      <c r="DE280">
        <v>0</v>
      </c>
      <c r="DF280">
        <v>0</v>
      </c>
      <c r="DG280">
        <v>0</v>
      </c>
      <c r="DH280">
        <v>0</v>
      </c>
      <c r="DI280">
        <v>0</v>
      </c>
      <c r="DJ280">
        <v>0</v>
      </c>
      <c r="DK280">
        <v>0</v>
      </c>
      <c r="DL280">
        <v>0</v>
      </c>
      <c r="DM280">
        <v>0</v>
      </c>
      <c r="DN280">
        <v>0</v>
      </c>
      <c r="DO280">
        <v>0</v>
      </c>
      <c r="DP280">
        <v>0</v>
      </c>
      <c r="DQ280">
        <v>0</v>
      </c>
      <c r="DR280">
        <v>0</v>
      </c>
      <c r="DS280">
        <v>0</v>
      </c>
      <c r="DT280">
        <v>0</v>
      </c>
      <c r="DU280">
        <v>0</v>
      </c>
      <c r="DV280">
        <v>0</v>
      </c>
      <c r="DW280">
        <v>0</v>
      </c>
      <c r="DX280">
        <v>0</v>
      </c>
      <c r="DY280">
        <v>0</v>
      </c>
      <c r="DZ280">
        <v>0</v>
      </c>
      <c r="EA280">
        <v>0</v>
      </c>
      <c r="EB280">
        <v>0</v>
      </c>
      <c r="EC280">
        <v>0</v>
      </c>
      <c r="ED280">
        <v>0</v>
      </c>
      <c r="EE280">
        <v>0</v>
      </c>
      <c r="EF280">
        <v>0</v>
      </c>
      <c r="EG280">
        <v>0</v>
      </c>
      <c r="EH280">
        <v>0</v>
      </c>
      <c r="EI280">
        <v>0</v>
      </c>
      <c r="EJ280">
        <v>0</v>
      </c>
      <c r="EK280">
        <v>0</v>
      </c>
      <c r="EL280">
        <v>0</v>
      </c>
      <c r="EM280">
        <v>0</v>
      </c>
      <c r="EN280">
        <v>0</v>
      </c>
      <c r="EO280">
        <v>0</v>
      </c>
      <c r="EP280">
        <v>0</v>
      </c>
      <c r="EQ280">
        <v>0</v>
      </c>
      <c r="ER280">
        <v>0</v>
      </c>
      <c r="ES280">
        <v>0</v>
      </c>
      <c r="ET280">
        <v>0</v>
      </c>
      <c r="EU280">
        <v>0</v>
      </c>
      <c r="EV280">
        <v>0</v>
      </c>
      <c r="EW280">
        <v>0</v>
      </c>
      <c r="EX280">
        <v>0</v>
      </c>
      <c r="EY280">
        <v>0</v>
      </c>
      <c r="EZ280">
        <v>0</v>
      </c>
      <c r="FA280">
        <v>0</v>
      </c>
      <c r="FB280">
        <v>0</v>
      </c>
      <c r="FC280">
        <v>0</v>
      </c>
      <c r="FD280">
        <v>0</v>
      </c>
      <c r="FE280">
        <v>0</v>
      </c>
      <c r="FF280">
        <v>0</v>
      </c>
      <c r="FG280">
        <v>0</v>
      </c>
      <c r="FH280">
        <v>0</v>
      </c>
      <c r="FI280">
        <v>0</v>
      </c>
      <c r="FJ280">
        <v>0</v>
      </c>
      <c r="FK280">
        <v>0</v>
      </c>
      <c r="FL280">
        <v>0</v>
      </c>
      <c r="FM280">
        <v>0</v>
      </c>
      <c r="FN280">
        <v>0</v>
      </c>
      <c r="FO280">
        <v>0</v>
      </c>
      <c r="FP280">
        <v>0</v>
      </c>
      <c r="FQ280">
        <v>0</v>
      </c>
      <c r="FR280">
        <v>0</v>
      </c>
      <c r="FS280">
        <v>0</v>
      </c>
      <c r="FT280">
        <v>0</v>
      </c>
      <c r="FU280">
        <v>0</v>
      </c>
      <c r="FV280">
        <v>0</v>
      </c>
      <c r="FW280">
        <v>0</v>
      </c>
      <c r="FX280">
        <v>0</v>
      </c>
      <c r="FY280">
        <v>0</v>
      </c>
      <c r="FZ280">
        <v>0</v>
      </c>
      <c r="GA280">
        <v>0</v>
      </c>
      <c r="GB280">
        <v>0</v>
      </c>
      <c r="GC280">
        <v>0</v>
      </c>
      <c r="GD280">
        <v>0</v>
      </c>
      <c r="GE280">
        <v>0</v>
      </c>
      <c r="GF280">
        <v>0</v>
      </c>
      <c r="GG280">
        <v>0</v>
      </c>
      <c r="GH280">
        <v>0</v>
      </c>
      <c r="GI280">
        <v>0</v>
      </c>
      <c r="GJ280">
        <v>0</v>
      </c>
      <c r="GK280">
        <v>0</v>
      </c>
      <c r="GL280">
        <v>0</v>
      </c>
      <c r="GM280">
        <v>0</v>
      </c>
      <c r="GN280">
        <v>0</v>
      </c>
      <c r="GO280">
        <v>0</v>
      </c>
      <c r="GP280">
        <v>0</v>
      </c>
      <c r="GQ280">
        <v>0</v>
      </c>
      <c r="GR280">
        <v>0</v>
      </c>
      <c r="GS280">
        <v>0</v>
      </c>
      <c r="GT280">
        <v>0</v>
      </c>
      <c r="GU280">
        <v>0</v>
      </c>
      <c r="GV280">
        <v>0</v>
      </c>
      <c r="GW280">
        <v>0</v>
      </c>
      <c r="GX280">
        <v>0</v>
      </c>
      <c r="GY280">
        <v>0</v>
      </c>
      <c r="GZ280">
        <v>0</v>
      </c>
      <c r="HA280">
        <v>0</v>
      </c>
      <c r="HB280">
        <v>0</v>
      </c>
      <c r="HC280">
        <v>0</v>
      </c>
      <c r="HD280">
        <v>0</v>
      </c>
      <c r="HE280">
        <v>0</v>
      </c>
      <c r="HF280">
        <v>0</v>
      </c>
      <c r="HG280">
        <v>0</v>
      </c>
      <c r="HH280">
        <v>0</v>
      </c>
      <c r="HI280">
        <v>0</v>
      </c>
      <c r="HJ280">
        <v>0</v>
      </c>
      <c r="HK280">
        <v>0</v>
      </c>
      <c r="HL280">
        <v>0</v>
      </c>
      <c r="HM280">
        <v>0</v>
      </c>
      <c r="HN280">
        <v>0</v>
      </c>
      <c r="HO280">
        <v>0</v>
      </c>
      <c r="HP280">
        <v>0</v>
      </c>
      <c r="HQ280">
        <v>0</v>
      </c>
      <c r="HR280">
        <v>0</v>
      </c>
      <c r="HS280">
        <v>0</v>
      </c>
      <c r="HT280">
        <v>0</v>
      </c>
      <c r="HU280">
        <v>0</v>
      </c>
      <c r="HV280">
        <v>0</v>
      </c>
      <c r="HW280">
        <v>0</v>
      </c>
      <c r="HX280">
        <v>0</v>
      </c>
      <c r="HY280">
        <v>0</v>
      </c>
      <c r="HZ280">
        <v>0</v>
      </c>
      <c r="IA280">
        <v>0</v>
      </c>
      <c r="IB280">
        <v>0</v>
      </c>
      <c r="IC280">
        <v>0</v>
      </c>
      <c r="ID280">
        <v>0</v>
      </c>
      <c r="IE280">
        <v>0</v>
      </c>
      <c r="IF280">
        <v>0</v>
      </c>
      <c r="IG280">
        <v>0</v>
      </c>
      <c r="IH280">
        <v>0</v>
      </c>
      <c r="II280">
        <v>0</v>
      </c>
      <c r="IJ280">
        <v>0</v>
      </c>
      <c r="IK280">
        <v>0</v>
      </c>
      <c r="IL280">
        <v>0</v>
      </c>
      <c r="IM280">
        <v>0</v>
      </c>
      <c r="IN280">
        <v>0</v>
      </c>
      <c r="IO280">
        <v>0</v>
      </c>
      <c r="IP280">
        <v>0</v>
      </c>
      <c r="IQ280">
        <v>0</v>
      </c>
      <c r="IR280">
        <v>0</v>
      </c>
      <c r="IS280">
        <v>0</v>
      </c>
      <c r="IT280">
        <v>0</v>
      </c>
      <c r="IU280">
        <v>0</v>
      </c>
      <c r="IV280">
        <v>0</v>
      </c>
      <c r="IW280">
        <v>0</v>
      </c>
      <c r="IX280">
        <v>0</v>
      </c>
      <c r="IY280">
        <v>0</v>
      </c>
      <c r="IZ280">
        <v>0</v>
      </c>
      <c r="JA280">
        <v>0</v>
      </c>
      <c r="JB280">
        <v>0</v>
      </c>
      <c r="JC280">
        <v>0</v>
      </c>
      <c r="JD280">
        <v>0</v>
      </c>
      <c r="JE280">
        <v>0</v>
      </c>
      <c r="JF280">
        <v>0</v>
      </c>
      <c r="JG280">
        <v>0</v>
      </c>
      <c r="JH280">
        <v>0</v>
      </c>
      <c r="JI280">
        <v>0</v>
      </c>
      <c r="JJ280">
        <v>0</v>
      </c>
      <c r="JK280">
        <v>0</v>
      </c>
      <c r="JL280">
        <v>0</v>
      </c>
      <c r="JM280">
        <v>0</v>
      </c>
      <c r="JN280">
        <v>0</v>
      </c>
      <c r="JO280">
        <v>0</v>
      </c>
      <c r="JP280">
        <v>0</v>
      </c>
      <c r="JQ280">
        <v>0</v>
      </c>
      <c r="JR280">
        <v>0</v>
      </c>
      <c r="JS280">
        <v>0</v>
      </c>
      <c r="JT280">
        <v>0</v>
      </c>
      <c r="JU280">
        <v>0</v>
      </c>
      <c r="JV280">
        <v>0</v>
      </c>
      <c r="JW280">
        <v>0</v>
      </c>
      <c r="JX280">
        <v>0</v>
      </c>
      <c r="JY280">
        <v>0</v>
      </c>
      <c r="JZ280">
        <v>0</v>
      </c>
      <c r="KA280">
        <v>0</v>
      </c>
      <c r="KB280">
        <v>0</v>
      </c>
      <c r="KC280">
        <v>0</v>
      </c>
      <c r="KD280">
        <v>0</v>
      </c>
      <c r="KE280">
        <v>0</v>
      </c>
      <c r="KF280">
        <v>0</v>
      </c>
      <c r="KG280">
        <v>0</v>
      </c>
      <c r="KH280">
        <v>0</v>
      </c>
      <c r="KI280">
        <v>0</v>
      </c>
      <c r="KJ280">
        <v>0</v>
      </c>
      <c r="KK280">
        <v>0</v>
      </c>
      <c r="KL280">
        <v>0</v>
      </c>
      <c r="KM280">
        <v>0</v>
      </c>
      <c r="KN280">
        <v>0</v>
      </c>
      <c r="KO280">
        <v>0</v>
      </c>
      <c r="KP280">
        <v>0</v>
      </c>
      <c r="KQ280">
        <v>0</v>
      </c>
      <c r="KR280">
        <v>0</v>
      </c>
      <c r="KS280">
        <v>0</v>
      </c>
      <c r="KT280">
        <v>0</v>
      </c>
      <c r="KU280">
        <v>0</v>
      </c>
      <c r="KV280">
        <v>0</v>
      </c>
      <c r="KW280">
        <v>0</v>
      </c>
      <c r="KX280">
        <v>0</v>
      </c>
      <c r="KY280">
        <v>0</v>
      </c>
      <c r="KZ280">
        <v>0</v>
      </c>
      <c r="LA280">
        <v>0</v>
      </c>
      <c r="LB280">
        <v>0</v>
      </c>
      <c r="LC280">
        <v>0</v>
      </c>
      <c r="LD280">
        <v>0</v>
      </c>
      <c r="LE280">
        <v>0</v>
      </c>
      <c r="LF280">
        <v>0</v>
      </c>
      <c r="LG280">
        <v>0</v>
      </c>
      <c r="LH280">
        <v>0</v>
      </c>
      <c r="LI280">
        <v>0</v>
      </c>
      <c r="LJ280">
        <v>0</v>
      </c>
      <c r="LK280">
        <v>0</v>
      </c>
      <c r="LL280">
        <v>0</v>
      </c>
      <c r="LM280">
        <v>0</v>
      </c>
      <c r="LN280">
        <v>0</v>
      </c>
      <c r="LO280">
        <v>0</v>
      </c>
      <c r="LP280">
        <v>0</v>
      </c>
      <c r="LQ280">
        <v>0</v>
      </c>
      <c r="LR280">
        <v>0</v>
      </c>
      <c r="LS280">
        <v>0</v>
      </c>
      <c r="LT280">
        <v>0</v>
      </c>
      <c r="LU280">
        <v>0</v>
      </c>
      <c r="LV280">
        <v>0</v>
      </c>
      <c r="LW280">
        <v>0</v>
      </c>
      <c r="LX280">
        <v>0</v>
      </c>
      <c r="LY280">
        <v>0</v>
      </c>
      <c r="LZ280">
        <v>0</v>
      </c>
      <c r="MA280">
        <v>0</v>
      </c>
      <c r="MB280">
        <v>0</v>
      </c>
      <c r="MC280">
        <v>0</v>
      </c>
      <c r="MD280">
        <v>0</v>
      </c>
      <c r="ME280">
        <v>0</v>
      </c>
      <c r="MF280">
        <v>0</v>
      </c>
      <c r="MG280">
        <v>0</v>
      </c>
      <c r="MH280">
        <v>0</v>
      </c>
      <c r="MI280">
        <v>0</v>
      </c>
      <c r="MJ280">
        <v>0</v>
      </c>
      <c r="MK280">
        <v>0</v>
      </c>
      <c r="ML280">
        <v>0</v>
      </c>
      <c r="MM280">
        <v>0</v>
      </c>
      <c r="MN280">
        <v>0</v>
      </c>
      <c r="MO280">
        <v>0</v>
      </c>
      <c r="MP280">
        <v>0</v>
      </c>
      <c r="MQ280">
        <v>0</v>
      </c>
      <c r="MR280">
        <v>0</v>
      </c>
      <c r="MS280">
        <v>0</v>
      </c>
      <c r="MT280">
        <v>0</v>
      </c>
      <c r="MU280">
        <v>0</v>
      </c>
      <c r="MV280">
        <v>0</v>
      </c>
      <c r="MW280">
        <v>0</v>
      </c>
      <c r="MX280">
        <v>0</v>
      </c>
      <c r="MY280">
        <v>0</v>
      </c>
      <c r="MZ280">
        <v>0</v>
      </c>
      <c r="NA280">
        <v>0</v>
      </c>
      <c r="NB280">
        <v>0</v>
      </c>
      <c r="NC280">
        <v>0</v>
      </c>
      <c r="ND280">
        <v>0</v>
      </c>
      <c r="NE280">
        <v>0</v>
      </c>
    </row>
    <row r="281" spans="41:369" x14ac:dyDescent="0.45">
      <c r="AO281" t="str">
        <v>D157</v>
      </c>
      <c r="AP281" t="str">
        <v>MUHAMMAD MUZAMMIL E.A</v>
      </c>
      <c r="AQ281" t="str">
        <v>BADF</v>
      </c>
      <c r="AR281" t="str">
        <v>SUPER SENIOR</v>
      </c>
      <c r="AS281">
        <v>9</v>
      </c>
      <c r="AT281">
        <v>8</v>
      </c>
      <c r="AU281">
        <v>0</v>
      </c>
      <c r="AV281">
        <v>8</v>
      </c>
      <c r="AW281">
        <v>8</v>
      </c>
      <c r="AX281">
        <v>147</v>
      </c>
      <c r="AY281" s="5">
        <v>147</v>
      </c>
      <c r="AZ281">
        <v>0</v>
      </c>
      <c r="BA281">
        <v>0</v>
      </c>
      <c r="BB281">
        <v>0</v>
      </c>
      <c r="BC281">
        <v>0</v>
      </c>
      <c r="BD281">
        <v>0</v>
      </c>
      <c r="BE281">
        <v>0</v>
      </c>
      <c r="BF281">
        <v>0</v>
      </c>
      <c r="BG281">
        <v>0</v>
      </c>
      <c r="BH281">
        <v>0</v>
      </c>
      <c r="BI281" t="str">
        <v/>
      </c>
      <c r="BK281">
        <v>275</v>
      </c>
      <c r="BL281">
        <v>0</v>
      </c>
      <c r="BM281">
        <v>0</v>
      </c>
      <c r="BN281">
        <v>0</v>
      </c>
      <c r="BO281">
        <v>0</v>
      </c>
      <c r="BP281">
        <v>0</v>
      </c>
      <c r="BQ281">
        <v>0</v>
      </c>
      <c r="BR281">
        <v>0</v>
      </c>
      <c r="BS281">
        <v>0</v>
      </c>
      <c r="BT281">
        <v>0</v>
      </c>
      <c r="BU281">
        <v>0</v>
      </c>
      <c r="BV281">
        <v>0</v>
      </c>
      <c r="BW281">
        <v>0</v>
      </c>
      <c r="BX281">
        <v>0</v>
      </c>
      <c r="BY281">
        <v>0</v>
      </c>
      <c r="BZ281">
        <v>0</v>
      </c>
      <c r="CA281">
        <v>0</v>
      </c>
      <c r="CB281">
        <v>0</v>
      </c>
      <c r="CC281">
        <v>0</v>
      </c>
      <c r="CD281">
        <v>0</v>
      </c>
      <c r="CE281">
        <v>0</v>
      </c>
      <c r="CF281">
        <v>0</v>
      </c>
      <c r="CG281">
        <v>0</v>
      </c>
      <c r="CH281">
        <v>0</v>
      </c>
      <c r="CI281">
        <v>0</v>
      </c>
      <c r="CJ281">
        <v>0</v>
      </c>
      <c r="CK281">
        <v>0</v>
      </c>
      <c r="CL281">
        <v>0</v>
      </c>
      <c r="CM281">
        <v>0</v>
      </c>
      <c r="CN281">
        <v>0</v>
      </c>
      <c r="CO281">
        <v>0</v>
      </c>
      <c r="CP281">
        <v>0</v>
      </c>
      <c r="CQ281">
        <v>0</v>
      </c>
      <c r="CR281">
        <v>0</v>
      </c>
      <c r="CS281">
        <v>0</v>
      </c>
      <c r="CT281">
        <v>0</v>
      </c>
      <c r="CU281">
        <v>0</v>
      </c>
      <c r="CV281">
        <v>0</v>
      </c>
      <c r="CW281">
        <v>0</v>
      </c>
      <c r="CX281">
        <v>0</v>
      </c>
      <c r="CY281">
        <v>0</v>
      </c>
      <c r="CZ281">
        <v>0</v>
      </c>
      <c r="DA281">
        <v>0</v>
      </c>
      <c r="DB281">
        <v>0</v>
      </c>
      <c r="DC281">
        <v>0</v>
      </c>
      <c r="DD281">
        <v>0</v>
      </c>
      <c r="DE281">
        <v>0</v>
      </c>
      <c r="DF281">
        <v>0</v>
      </c>
      <c r="DG281">
        <v>0</v>
      </c>
      <c r="DH281">
        <v>0</v>
      </c>
      <c r="DI281">
        <v>0</v>
      </c>
      <c r="DJ281">
        <v>0</v>
      </c>
      <c r="DK281">
        <v>0</v>
      </c>
      <c r="DL281">
        <v>0</v>
      </c>
      <c r="DM281">
        <v>0</v>
      </c>
      <c r="DN281">
        <v>0</v>
      </c>
      <c r="DO281">
        <v>0</v>
      </c>
      <c r="DP281">
        <v>0</v>
      </c>
      <c r="DQ281">
        <v>0</v>
      </c>
      <c r="DR281">
        <v>0</v>
      </c>
      <c r="DS281">
        <v>0</v>
      </c>
      <c r="DT281">
        <v>0</v>
      </c>
      <c r="DU281">
        <v>0</v>
      </c>
      <c r="DV281">
        <v>0</v>
      </c>
      <c r="DW281">
        <v>0</v>
      </c>
      <c r="DX281">
        <v>0</v>
      </c>
      <c r="DY281">
        <v>0</v>
      </c>
      <c r="DZ281">
        <v>0</v>
      </c>
      <c r="EA281">
        <v>0</v>
      </c>
      <c r="EB281">
        <v>0</v>
      </c>
      <c r="EC281">
        <v>0</v>
      </c>
      <c r="ED281">
        <v>0</v>
      </c>
      <c r="EE281">
        <v>0</v>
      </c>
      <c r="EF281">
        <v>0</v>
      </c>
      <c r="EG281">
        <v>0</v>
      </c>
      <c r="EH281">
        <v>0</v>
      </c>
      <c r="EI281">
        <v>0</v>
      </c>
      <c r="EJ281">
        <v>0</v>
      </c>
      <c r="EK281">
        <v>0</v>
      </c>
      <c r="EL281">
        <v>0</v>
      </c>
      <c r="EM281">
        <v>0</v>
      </c>
      <c r="EN281">
        <v>0</v>
      </c>
      <c r="EO281">
        <v>0</v>
      </c>
      <c r="EP281">
        <v>0</v>
      </c>
      <c r="EQ281">
        <v>0</v>
      </c>
      <c r="ER281">
        <v>0</v>
      </c>
      <c r="ES281">
        <v>0</v>
      </c>
      <c r="ET281">
        <v>0</v>
      </c>
      <c r="EU281">
        <v>0</v>
      </c>
      <c r="EV281">
        <v>0</v>
      </c>
      <c r="EW281">
        <v>0</v>
      </c>
      <c r="EX281">
        <v>0</v>
      </c>
      <c r="EY281">
        <v>0</v>
      </c>
      <c r="EZ281">
        <v>0</v>
      </c>
      <c r="FA281">
        <v>0</v>
      </c>
      <c r="FB281">
        <v>0</v>
      </c>
      <c r="FC281">
        <v>0</v>
      </c>
      <c r="FD281">
        <v>0</v>
      </c>
      <c r="FE281">
        <v>0</v>
      </c>
      <c r="FF281">
        <v>0</v>
      </c>
      <c r="FG281">
        <v>0</v>
      </c>
      <c r="FH281">
        <v>0</v>
      </c>
      <c r="FI281">
        <v>0</v>
      </c>
      <c r="FJ281">
        <v>0</v>
      </c>
      <c r="FK281">
        <v>0</v>
      </c>
      <c r="FL281">
        <v>0</v>
      </c>
      <c r="FM281">
        <v>0</v>
      </c>
      <c r="FN281">
        <v>0</v>
      </c>
      <c r="FO281">
        <v>0</v>
      </c>
      <c r="FP281">
        <v>0</v>
      </c>
      <c r="FQ281">
        <v>0</v>
      </c>
      <c r="FR281">
        <v>0</v>
      </c>
      <c r="FS281">
        <v>0</v>
      </c>
      <c r="FT281">
        <v>0</v>
      </c>
      <c r="FU281">
        <v>0</v>
      </c>
      <c r="FV281">
        <v>0</v>
      </c>
      <c r="FW281">
        <v>0</v>
      </c>
      <c r="FX281">
        <v>0</v>
      </c>
      <c r="FY281">
        <v>0</v>
      </c>
      <c r="FZ281">
        <v>0</v>
      </c>
      <c r="GA281">
        <v>0</v>
      </c>
      <c r="GB281">
        <v>0</v>
      </c>
      <c r="GC281">
        <v>0</v>
      </c>
      <c r="GD281">
        <v>0</v>
      </c>
      <c r="GE281">
        <v>0</v>
      </c>
      <c r="GF281">
        <v>0</v>
      </c>
      <c r="GG281">
        <v>0</v>
      </c>
      <c r="GH281">
        <v>0</v>
      </c>
      <c r="GI281">
        <v>0</v>
      </c>
      <c r="GJ281">
        <v>0</v>
      </c>
      <c r="GK281">
        <v>0</v>
      </c>
      <c r="GL281">
        <v>0</v>
      </c>
      <c r="GM281">
        <v>0</v>
      </c>
      <c r="GN281">
        <v>0</v>
      </c>
      <c r="GO281">
        <v>0</v>
      </c>
      <c r="GP281">
        <v>0</v>
      </c>
      <c r="GQ281">
        <v>0</v>
      </c>
      <c r="GR281">
        <v>0</v>
      </c>
      <c r="GS281">
        <v>0</v>
      </c>
      <c r="GT281">
        <v>0</v>
      </c>
      <c r="GU281">
        <v>0</v>
      </c>
      <c r="GV281">
        <v>0</v>
      </c>
      <c r="GW281">
        <v>0</v>
      </c>
      <c r="GX281">
        <v>0</v>
      </c>
      <c r="GY281">
        <v>0</v>
      </c>
      <c r="GZ281">
        <v>0</v>
      </c>
      <c r="HA281">
        <v>0</v>
      </c>
      <c r="HB281">
        <v>0</v>
      </c>
      <c r="HC281">
        <v>0</v>
      </c>
      <c r="HD281">
        <v>0</v>
      </c>
      <c r="HE281">
        <v>0</v>
      </c>
      <c r="HF281">
        <v>0</v>
      </c>
      <c r="HG281">
        <v>0</v>
      </c>
      <c r="HH281">
        <v>0</v>
      </c>
      <c r="HI281">
        <v>0</v>
      </c>
      <c r="HJ281">
        <v>0</v>
      </c>
      <c r="HK281">
        <v>0</v>
      </c>
      <c r="HL281">
        <v>0</v>
      </c>
      <c r="HM281">
        <v>0</v>
      </c>
      <c r="HN281">
        <v>0</v>
      </c>
      <c r="HO281">
        <v>0</v>
      </c>
      <c r="HP281">
        <v>0</v>
      </c>
      <c r="HQ281">
        <v>0</v>
      </c>
      <c r="HR281">
        <v>0</v>
      </c>
      <c r="HS281">
        <v>0</v>
      </c>
      <c r="HT281">
        <v>0</v>
      </c>
      <c r="HU281">
        <v>0</v>
      </c>
      <c r="HV281">
        <v>0</v>
      </c>
      <c r="HW281">
        <v>0</v>
      </c>
      <c r="HX281">
        <v>0</v>
      </c>
      <c r="HY281">
        <v>0</v>
      </c>
      <c r="HZ281">
        <v>0</v>
      </c>
      <c r="IA281">
        <v>0</v>
      </c>
      <c r="IB281">
        <v>0</v>
      </c>
      <c r="IC281">
        <v>0</v>
      </c>
      <c r="ID281">
        <v>0</v>
      </c>
      <c r="IE281">
        <v>0</v>
      </c>
      <c r="IF281">
        <v>0</v>
      </c>
      <c r="IG281">
        <v>0</v>
      </c>
      <c r="IH281">
        <v>0</v>
      </c>
      <c r="II281">
        <v>0</v>
      </c>
      <c r="IJ281">
        <v>0</v>
      </c>
      <c r="IK281">
        <v>0</v>
      </c>
      <c r="IL281">
        <v>0</v>
      </c>
      <c r="IM281">
        <v>0</v>
      </c>
      <c r="IN281">
        <v>0</v>
      </c>
      <c r="IO281">
        <v>0</v>
      </c>
      <c r="IP281">
        <v>0</v>
      </c>
      <c r="IQ281">
        <v>0</v>
      </c>
      <c r="IR281">
        <v>0</v>
      </c>
      <c r="IS281">
        <v>0</v>
      </c>
      <c r="IT281">
        <v>0</v>
      </c>
      <c r="IU281">
        <v>0</v>
      </c>
      <c r="IV281">
        <v>0</v>
      </c>
      <c r="IW281">
        <v>0</v>
      </c>
      <c r="IX281">
        <v>0</v>
      </c>
      <c r="IY281">
        <v>0</v>
      </c>
      <c r="IZ281">
        <v>0</v>
      </c>
      <c r="JA281">
        <v>0</v>
      </c>
      <c r="JB281">
        <v>0</v>
      </c>
      <c r="JC281">
        <v>0</v>
      </c>
      <c r="JD281">
        <v>0</v>
      </c>
      <c r="JE281">
        <v>0</v>
      </c>
      <c r="JF281">
        <v>0</v>
      </c>
      <c r="JG281">
        <v>0</v>
      </c>
      <c r="JH281">
        <v>0</v>
      </c>
      <c r="JI281">
        <v>0</v>
      </c>
      <c r="JJ281">
        <v>0</v>
      </c>
      <c r="JK281">
        <v>0</v>
      </c>
      <c r="JL281">
        <v>0</v>
      </c>
      <c r="JM281">
        <v>0</v>
      </c>
      <c r="JN281">
        <v>0</v>
      </c>
      <c r="JO281">
        <v>0</v>
      </c>
      <c r="JP281">
        <v>0</v>
      </c>
      <c r="JQ281">
        <v>0</v>
      </c>
      <c r="JR281">
        <v>0</v>
      </c>
      <c r="JS281">
        <v>0</v>
      </c>
      <c r="JT281">
        <v>0</v>
      </c>
      <c r="JU281">
        <v>0</v>
      </c>
      <c r="JV281">
        <v>0</v>
      </c>
      <c r="JW281">
        <v>0</v>
      </c>
      <c r="JX281">
        <v>0</v>
      </c>
      <c r="JY281">
        <v>0</v>
      </c>
      <c r="JZ281">
        <v>0</v>
      </c>
      <c r="KA281">
        <v>0</v>
      </c>
      <c r="KB281">
        <v>0</v>
      </c>
      <c r="KC281">
        <v>0</v>
      </c>
      <c r="KD281">
        <v>0</v>
      </c>
      <c r="KE281">
        <v>0</v>
      </c>
      <c r="KF281">
        <v>0</v>
      </c>
      <c r="KG281">
        <v>0</v>
      </c>
      <c r="KH281">
        <v>0</v>
      </c>
      <c r="KI281">
        <v>0</v>
      </c>
      <c r="KJ281">
        <v>0</v>
      </c>
      <c r="KK281">
        <v>0</v>
      </c>
      <c r="KL281">
        <v>0</v>
      </c>
      <c r="KM281">
        <v>0</v>
      </c>
      <c r="KN281">
        <v>0</v>
      </c>
      <c r="KO281">
        <v>0</v>
      </c>
      <c r="KP281">
        <v>0</v>
      </c>
      <c r="KQ281">
        <v>0</v>
      </c>
      <c r="KR281">
        <v>0</v>
      </c>
      <c r="KS281">
        <v>0</v>
      </c>
      <c r="KT281">
        <v>0</v>
      </c>
      <c r="KU281">
        <v>0</v>
      </c>
      <c r="KV281">
        <v>0</v>
      </c>
      <c r="KW281">
        <v>0</v>
      </c>
      <c r="KX281">
        <v>0</v>
      </c>
      <c r="KY281">
        <v>0</v>
      </c>
      <c r="KZ281">
        <v>0</v>
      </c>
      <c r="LA281">
        <v>0</v>
      </c>
      <c r="LB281">
        <v>0</v>
      </c>
      <c r="LC281">
        <v>0</v>
      </c>
      <c r="LD281">
        <v>0</v>
      </c>
      <c r="LE281">
        <v>0</v>
      </c>
      <c r="LF281">
        <v>0</v>
      </c>
      <c r="LG281">
        <v>0</v>
      </c>
      <c r="LH281">
        <v>0</v>
      </c>
      <c r="LI281">
        <v>0</v>
      </c>
      <c r="LJ281">
        <v>0</v>
      </c>
      <c r="LK281">
        <v>0</v>
      </c>
      <c r="LL281">
        <v>0</v>
      </c>
      <c r="LM281">
        <v>0</v>
      </c>
      <c r="LN281">
        <v>0</v>
      </c>
      <c r="LO281">
        <v>0</v>
      </c>
      <c r="LP281">
        <v>0</v>
      </c>
      <c r="LQ281">
        <v>0</v>
      </c>
      <c r="LR281">
        <v>0</v>
      </c>
      <c r="LS281">
        <v>0</v>
      </c>
      <c r="LT281">
        <v>0</v>
      </c>
      <c r="LU281">
        <v>0</v>
      </c>
      <c r="LV281">
        <v>0</v>
      </c>
      <c r="LW281">
        <v>0</v>
      </c>
      <c r="LX281">
        <v>0</v>
      </c>
      <c r="LY281">
        <v>0</v>
      </c>
      <c r="LZ281">
        <v>0</v>
      </c>
      <c r="MA281">
        <v>0</v>
      </c>
      <c r="MB281">
        <v>0</v>
      </c>
      <c r="MC281">
        <v>0</v>
      </c>
      <c r="MD281">
        <v>0</v>
      </c>
      <c r="ME281">
        <v>0</v>
      </c>
      <c r="MF281">
        <v>0</v>
      </c>
      <c r="MG281">
        <v>0</v>
      </c>
      <c r="MH281">
        <v>0</v>
      </c>
      <c r="MI281">
        <v>0</v>
      </c>
      <c r="MJ281">
        <v>0</v>
      </c>
      <c r="MK281">
        <v>0</v>
      </c>
      <c r="ML281">
        <v>0</v>
      </c>
      <c r="MM281">
        <v>0</v>
      </c>
      <c r="MN281">
        <v>0</v>
      </c>
      <c r="MO281">
        <v>0</v>
      </c>
      <c r="MP281">
        <v>0</v>
      </c>
      <c r="MQ281">
        <v>0</v>
      </c>
      <c r="MR281">
        <v>0</v>
      </c>
      <c r="MS281">
        <v>0</v>
      </c>
      <c r="MT281">
        <v>0</v>
      </c>
      <c r="MU281">
        <v>0</v>
      </c>
      <c r="MV281">
        <v>0</v>
      </c>
      <c r="MW281">
        <v>0</v>
      </c>
      <c r="MX281">
        <v>0</v>
      </c>
      <c r="MY281">
        <v>0</v>
      </c>
      <c r="MZ281">
        <v>0</v>
      </c>
      <c r="NA281">
        <v>0</v>
      </c>
      <c r="NB281">
        <v>0</v>
      </c>
      <c r="NC281">
        <v>0</v>
      </c>
      <c r="ND281">
        <v>0</v>
      </c>
      <c r="NE281">
        <v>0</v>
      </c>
    </row>
    <row r="282" spans="41:369" x14ac:dyDescent="0.45">
      <c r="AO282" t="str">
        <v>D158</v>
      </c>
      <c r="AP282" t="str">
        <v>MUHAMMED UNAIS</v>
      </c>
      <c r="AQ282">
        <v>0</v>
      </c>
      <c r="AR282" t="str">
        <v>SUPER SENIOR</v>
      </c>
      <c r="AS282">
        <v>9</v>
      </c>
      <c r="AT282">
        <v>0</v>
      </c>
      <c r="AU282">
        <v>0</v>
      </c>
      <c r="AV282">
        <v>0</v>
      </c>
      <c r="AW282">
        <v>0</v>
      </c>
      <c r="AX282">
        <v>255</v>
      </c>
      <c r="AY282" s="5">
        <v>255</v>
      </c>
      <c r="AZ282">
        <v>0</v>
      </c>
      <c r="BA282">
        <v>0</v>
      </c>
      <c r="BB282">
        <v>0</v>
      </c>
      <c r="BC282">
        <v>0</v>
      </c>
      <c r="BD282">
        <v>0</v>
      </c>
      <c r="BE282">
        <v>0</v>
      </c>
      <c r="BF282">
        <v>0</v>
      </c>
      <c r="BG282">
        <v>0</v>
      </c>
      <c r="BH282">
        <v>0</v>
      </c>
      <c r="BI282" t="str">
        <v/>
      </c>
      <c r="BK282">
        <v>276</v>
      </c>
      <c r="BL282">
        <v>0</v>
      </c>
      <c r="BM282">
        <v>0</v>
      </c>
      <c r="BN282">
        <v>0</v>
      </c>
      <c r="BO282">
        <v>0</v>
      </c>
      <c r="BP282">
        <v>0</v>
      </c>
      <c r="BQ282">
        <v>0</v>
      </c>
      <c r="BR282">
        <v>0</v>
      </c>
      <c r="BS282">
        <v>0</v>
      </c>
      <c r="BT282">
        <v>0</v>
      </c>
      <c r="BU282">
        <v>0</v>
      </c>
      <c r="BV282">
        <v>0</v>
      </c>
      <c r="BW282">
        <v>0</v>
      </c>
      <c r="BX282">
        <v>0</v>
      </c>
      <c r="BY282">
        <v>0</v>
      </c>
      <c r="BZ282">
        <v>0</v>
      </c>
      <c r="CA282">
        <v>0</v>
      </c>
      <c r="CB282">
        <v>0</v>
      </c>
      <c r="CC282">
        <v>0</v>
      </c>
      <c r="CD282">
        <v>0</v>
      </c>
      <c r="CE282">
        <v>0</v>
      </c>
      <c r="CF282">
        <v>0</v>
      </c>
      <c r="CG282">
        <v>0</v>
      </c>
      <c r="CH282">
        <v>0</v>
      </c>
      <c r="CI282">
        <v>0</v>
      </c>
      <c r="CJ282">
        <v>0</v>
      </c>
      <c r="CK282">
        <v>0</v>
      </c>
      <c r="CL282">
        <v>0</v>
      </c>
      <c r="CM282">
        <v>0</v>
      </c>
      <c r="CN282">
        <v>0</v>
      </c>
      <c r="CO282">
        <v>0</v>
      </c>
      <c r="CP282">
        <v>0</v>
      </c>
      <c r="CQ282">
        <v>0</v>
      </c>
      <c r="CR282">
        <v>0</v>
      </c>
      <c r="CS282">
        <v>0</v>
      </c>
      <c r="CT282">
        <v>0</v>
      </c>
      <c r="CU282">
        <v>0</v>
      </c>
      <c r="CV282">
        <v>0</v>
      </c>
      <c r="CW282">
        <v>0</v>
      </c>
      <c r="CX282">
        <v>0</v>
      </c>
      <c r="CY282">
        <v>0</v>
      </c>
      <c r="CZ282">
        <v>0</v>
      </c>
      <c r="DA282">
        <v>0</v>
      </c>
      <c r="DB282">
        <v>0</v>
      </c>
      <c r="DC282">
        <v>0</v>
      </c>
      <c r="DD282">
        <v>0</v>
      </c>
      <c r="DE282">
        <v>0</v>
      </c>
      <c r="DF282">
        <v>0</v>
      </c>
      <c r="DG282">
        <v>0</v>
      </c>
      <c r="DH282">
        <v>0</v>
      </c>
      <c r="DI282">
        <v>0</v>
      </c>
      <c r="DJ282">
        <v>0</v>
      </c>
      <c r="DK282">
        <v>0</v>
      </c>
      <c r="DL282">
        <v>0</v>
      </c>
      <c r="DM282">
        <v>0</v>
      </c>
      <c r="DN282">
        <v>0</v>
      </c>
      <c r="DO282">
        <v>0</v>
      </c>
      <c r="DP282">
        <v>0</v>
      </c>
      <c r="DQ282">
        <v>0</v>
      </c>
      <c r="DR282">
        <v>0</v>
      </c>
      <c r="DS282">
        <v>0</v>
      </c>
      <c r="DT282">
        <v>0</v>
      </c>
      <c r="DU282">
        <v>0</v>
      </c>
      <c r="DV282">
        <v>0</v>
      </c>
      <c r="DW282">
        <v>0</v>
      </c>
      <c r="DX282">
        <v>0</v>
      </c>
      <c r="DY282">
        <v>0</v>
      </c>
      <c r="DZ282">
        <v>0</v>
      </c>
      <c r="EA282">
        <v>0</v>
      </c>
      <c r="EB282">
        <v>0</v>
      </c>
      <c r="EC282">
        <v>0</v>
      </c>
      <c r="ED282">
        <v>0</v>
      </c>
      <c r="EE282">
        <v>0</v>
      </c>
      <c r="EF282">
        <v>0</v>
      </c>
      <c r="EG282">
        <v>0</v>
      </c>
      <c r="EH282">
        <v>0</v>
      </c>
      <c r="EI282">
        <v>0</v>
      </c>
      <c r="EJ282">
        <v>0</v>
      </c>
      <c r="EK282">
        <v>0</v>
      </c>
      <c r="EL282">
        <v>0</v>
      </c>
      <c r="EM282">
        <v>0</v>
      </c>
      <c r="EN282">
        <v>0</v>
      </c>
      <c r="EO282">
        <v>0</v>
      </c>
      <c r="EP282">
        <v>0</v>
      </c>
      <c r="EQ282">
        <v>0</v>
      </c>
      <c r="ER282">
        <v>0</v>
      </c>
      <c r="ES282">
        <v>0</v>
      </c>
      <c r="ET282">
        <v>0</v>
      </c>
      <c r="EU282">
        <v>0</v>
      </c>
      <c r="EV282">
        <v>0</v>
      </c>
      <c r="EW282">
        <v>0</v>
      </c>
      <c r="EX282">
        <v>0</v>
      </c>
      <c r="EY282">
        <v>0</v>
      </c>
      <c r="EZ282">
        <v>0</v>
      </c>
      <c r="FA282">
        <v>0</v>
      </c>
      <c r="FB282">
        <v>0</v>
      </c>
      <c r="FC282">
        <v>0</v>
      </c>
      <c r="FD282">
        <v>0</v>
      </c>
      <c r="FE282">
        <v>0</v>
      </c>
      <c r="FF282">
        <v>0</v>
      </c>
      <c r="FG282">
        <v>0</v>
      </c>
      <c r="FH282">
        <v>0</v>
      </c>
      <c r="FI282">
        <v>0</v>
      </c>
      <c r="FJ282">
        <v>0</v>
      </c>
      <c r="FK282">
        <v>0</v>
      </c>
      <c r="FL282">
        <v>0</v>
      </c>
      <c r="FM282">
        <v>0</v>
      </c>
      <c r="FN282">
        <v>0</v>
      </c>
      <c r="FO282">
        <v>0</v>
      </c>
      <c r="FP282">
        <v>0</v>
      </c>
      <c r="FQ282">
        <v>0</v>
      </c>
      <c r="FR282">
        <v>0</v>
      </c>
      <c r="FS282">
        <v>0</v>
      </c>
      <c r="FT282">
        <v>0</v>
      </c>
      <c r="FU282">
        <v>0</v>
      </c>
      <c r="FV282">
        <v>0</v>
      </c>
      <c r="FW282">
        <v>0</v>
      </c>
      <c r="FX282">
        <v>0</v>
      </c>
      <c r="FY282">
        <v>0</v>
      </c>
      <c r="FZ282">
        <v>0</v>
      </c>
      <c r="GA282">
        <v>0</v>
      </c>
      <c r="GB282">
        <v>0</v>
      </c>
      <c r="GC282">
        <v>0</v>
      </c>
      <c r="GD282">
        <v>0</v>
      </c>
      <c r="GE282">
        <v>0</v>
      </c>
      <c r="GF282">
        <v>0</v>
      </c>
      <c r="GG282">
        <v>0</v>
      </c>
      <c r="GH282">
        <v>0</v>
      </c>
      <c r="GI282">
        <v>0</v>
      </c>
      <c r="GJ282">
        <v>0</v>
      </c>
      <c r="GK282">
        <v>0</v>
      </c>
      <c r="GL282">
        <v>0</v>
      </c>
      <c r="GM282">
        <v>0</v>
      </c>
      <c r="GN282">
        <v>0</v>
      </c>
      <c r="GO282">
        <v>0</v>
      </c>
      <c r="GP282">
        <v>0</v>
      </c>
      <c r="GQ282">
        <v>0</v>
      </c>
      <c r="GR282">
        <v>0</v>
      </c>
      <c r="GS282">
        <v>0</v>
      </c>
      <c r="GT282">
        <v>0</v>
      </c>
      <c r="GU282">
        <v>0</v>
      </c>
      <c r="GV282">
        <v>0</v>
      </c>
      <c r="GW282">
        <v>0</v>
      </c>
      <c r="GX282">
        <v>0</v>
      </c>
      <c r="GY282">
        <v>0</v>
      </c>
      <c r="GZ282">
        <v>0</v>
      </c>
      <c r="HA282">
        <v>0</v>
      </c>
      <c r="HB282">
        <v>0</v>
      </c>
      <c r="HC282">
        <v>0</v>
      </c>
      <c r="HD282">
        <v>0</v>
      </c>
      <c r="HE282">
        <v>0</v>
      </c>
      <c r="HF282">
        <v>0</v>
      </c>
      <c r="HG282">
        <v>0</v>
      </c>
      <c r="HH282">
        <v>0</v>
      </c>
      <c r="HI282">
        <v>0</v>
      </c>
      <c r="HJ282">
        <v>0</v>
      </c>
      <c r="HK282">
        <v>0</v>
      </c>
      <c r="HL282">
        <v>0</v>
      </c>
      <c r="HM282">
        <v>0</v>
      </c>
      <c r="HN282">
        <v>0</v>
      </c>
      <c r="HO282">
        <v>0</v>
      </c>
      <c r="HP282">
        <v>0</v>
      </c>
      <c r="HQ282">
        <v>0</v>
      </c>
      <c r="HR282">
        <v>0</v>
      </c>
      <c r="HS282">
        <v>0</v>
      </c>
      <c r="HT282">
        <v>0</v>
      </c>
      <c r="HU282">
        <v>0</v>
      </c>
      <c r="HV282">
        <v>0</v>
      </c>
      <c r="HW282">
        <v>0</v>
      </c>
      <c r="HX282">
        <v>0</v>
      </c>
      <c r="HY282">
        <v>0</v>
      </c>
      <c r="HZ282">
        <v>0</v>
      </c>
      <c r="IA282">
        <v>0</v>
      </c>
      <c r="IB282">
        <v>0</v>
      </c>
      <c r="IC282">
        <v>0</v>
      </c>
      <c r="ID282">
        <v>0</v>
      </c>
      <c r="IE282">
        <v>0</v>
      </c>
      <c r="IF282">
        <v>0</v>
      </c>
      <c r="IG282">
        <v>0</v>
      </c>
      <c r="IH282">
        <v>0</v>
      </c>
      <c r="II282">
        <v>0</v>
      </c>
      <c r="IJ282">
        <v>0</v>
      </c>
      <c r="IK282">
        <v>0</v>
      </c>
      <c r="IL282">
        <v>0</v>
      </c>
      <c r="IM282">
        <v>0</v>
      </c>
      <c r="IN282">
        <v>0</v>
      </c>
      <c r="IO282">
        <v>0</v>
      </c>
      <c r="IP282">
        <v>0</v>
      </c>
      <c r="IQ282">
        <v>0</v>
      </c>
      <c r="IR282">
        <v>0</v>
      </c>
      <c r="IS282">
        <v>0</v>
      </c>
      <c r="IT282">
        <v>0</v>
      </c>
      <c r="IU282">
        <v>0</v>
      </c>
      <c r="IV282">
        <v>0</v>
      </c>
      <c r="IW282">
        <v>0</v>
      </c>
      <c r="IX282">
        <v>0</v>
      </c>
      <c r="IY282">
        <v>0</v>
      </c>
      <c r="IZ282">
        <v>0</v>
      </c>
      <c r="JA282">
        <v>0</v>
      </c>
      <c r="JB282">
        <v>0</v>
      </c>
      <c r="JC282">
        <v>0</v>
      </c>
      <c r="JD282">
        <v>0</v>
      </c>
      <c r="JE282">
        <v>0</v>
      </c>
      <c r="JF282">
        <v>0</v>
      </c>
      <c r="JG282">
        <v>0</v>
      </c>
      <c r="JH282">
        <v>0</v>
      </c>
      <c r="JI282">
        <v>0</v>
      </c>
      <c r="JJ282">
        <v>0</v>
      </c>
      <c r="JK282">
        <v>0</v>
      </c>
      <c r="JL282">
        <v>0</v>
      </c>
      <c r="JM282">
        <v>0</v>
      </c>
      <c r="JN282">
        <v>0</v>
      </c>
      <c r="JO282">
        <v>0</v>
      </c>
      <c r="JP282">
        <v>0</v>
      </c>
      <c r="JQ282">
        <v>0</v>
      </c>
      <c r="JR282">
        <v>0</v>
      </c>
      <c r="JS282">
        <v>0</v>
      </c>
      <c r="JT282">
        <v>0</v>
      </c>
      <c r="JU282">
        <v>0</v>
      </c>
      <c r="JV282">
        <v>0</v>
      </c>
      <c r="JW282">
        <v>0</v>
      </c>
      <c r="JX282">
        <v>0</v>
      </c>
      <c r="JY282">
        <v>0</v>
      </c>
      <c r="JZ282">
        <v>0</v>
      </c>
      <c r="KA282">
        <v>0</v>
      </c>
      <c r="KB282">
        <v>0</v>
      </c>
      <c r="KC282">
        <v>0</v>
      </c>
      <c r="KD282">
        <v>0</v>
      </c>
      <c r="KE282">
        <v>0</v>
      </c>
      <c r="KF282">
        <v>0</v>
      </c>
      <c r="KG282">
        <v>0</v>
      </c>
      <c r="KH282">
        <v>0</v>
      </c>
      <c r="KI282">
        <v>0</v>
      </c>
      <c r="KJ282">
        <v>0</v>
      </c>
      <c r="KK282">
        <v>0</v>
      </c>
      <c r="KL282">
        <v>0</v>
      </c>
      <c r="KM282">
        <v>0</v>
      </c>
      <c r="KN282">
        <v>0</v>
      </c>
      <c r="KO282">
        <v>0</v>
      </c>
      <c r="KP282">
        <v>0</v>
      </c>
      <c r="KQ282">
        <v>0</v>
      </c>
      <c r="KR282">
        <v>0</v>
      </c>
      <c r="KS282">
        <v>0</v>
      </c>
      <c r="KT282">
        <v>0</v>
      </c>
      <c r="KU282">
        <v>0</v>
      </c>
      <c r="KV282">
        <v>0</v>
      </c>
      <c r="KW282">
        <v>0</v>
      </c>
      <c r="KX282">
        <v>0</v>
      </c>
      <c r="KY282">
        <v>0</v>
      </c>
      <c r="KZ282">
        <v>0</v>
      </c>
      <c r="LA282">
        <v>0</v>
      </c>
      <c r="LB282">
        <v>0</v>
      </c>
      <c r="LC282">
        <v>0</v>
      </c>
      <c r="LD282">
        <v>0</v>
      </c>
      <c r="LE282">
        <v>0</v>
      </c>
      <c r="LF282">
        <v>0</v>
      </c>
      <c r="LG282">
        <v>0</v>
      </c>
      <c r="LH282">
        <v>0</v>
      </c>
      <c r="LI282">
        <v>0</v>
      </c>
      <c r="LJ282">
        <v>0</v>
      </c>
      <c r="LK282">
        <v>0</v>
      </c>
      <c r="LL282">
        <v>0</v>
      </c>
      <c r="LM282">
        <v>0</v>
      </c>
      <c r="LN282">
        <v>0</v>
      </c>
      <c r="LO282">
        <v>0</v>
      </c>
      <c r="LP282">
        <v>0</v>
      </c>
      <c r="LQ282">
        <v>0</v>
      </c>
      <c r="LR282">
        <v>0</v>
      </c>
      <c r="LS282">
        <v>0</v>
      </c>
      <c r="LT282">
        <v>0</v>
      </c>
      <c r="LU282">
        <v>0</v>
      </c>
      <c r="LV282">
        <v>0</v>
      </c>
      <c r="LW282">
        <v>0</v>
      </c>
      <c r="LX282">
        <v>0</v>
      </c>
      <c r="LY282">
        <v>0</v>
      </c>
      <c r="LZ282">
        <v>0</v>
      </c>
      <c r="MA282">
        <v>0</v>
      </c>
      <c r="MB282">
        <v>0</v>
      </c>
      <c r="MC282">
        <v>0</v>
      </c>
      <c r="MD282">
        <v>0</v>
      </c>
      <c r="ME282">
        <v>0</v>
      </c>
      <c r="MF282">
        <v>0</v>
      </c>
      <c r="MG282">
        <v>0</v>
      </c>
      <c r="MH282">
        <v>0</v>
      </c>
      <c r="MI282">
        <v>0</v>
      </c>
      <c r="MJ282">
        <v>0</v>
      </c>
      <c r="MK282">
        <v>0</v>
      </c>
      <c r="ML282">
        <v>0</v>
      </c>
      <c r="MM282">
        <v>0</v>
      </c>
      <c r="MN282">
        <v>0</v>
      </c>
      <c r="MO282">
        <v>0</v>
      </c>
      <c r="MP282">
        <v>0</v>
      </c>
      <c r="MQ282">
        <v>0</v>
      </c>
      <c r="MR282">
        <v>0</v>
      </c>
      <c r="MS282">
        <v>0</v>
      </c>
      <c r="MT282">
        <v>0</v>
      </c>
      <c r="MU282">
        <v>0</v>
      </c>
      <c r="MV282">
        <v>0</v>
      </c>
      <c r="MW282">
        <v>0</v>
      </c>
      <c r="MX282">
        <v>0</v>
      </c>
      <c r="MY282">
        <v>0</v>
      </c>
      <c r="MZ282">
        <v>0</v>
      </c>
      <c r="NA282">
        <v>0</v>
      </c>
      <c r="NB282">
        <v>0</v>
      </c>
      <c r="NC282">
        <v>0</v>
      </c>
      <c r="ND282">
        <v>0</v>
      </c>
      <c r="NE282">
        <v>0</v>
      </c>
    </row>
    <row r="283" spans="41:369" x14ac:dyDescent="0.45">
      <c r="AO283" t="str">
        <v>D159</v>
      </c>
      <c r="AP283" t="str">
        <v>MUHAMMED MUZAMMIL</v>
      </c>
      <c r="AQ283" t="str">
        <v>FANT</v>
      </c>
      <c r="AR283" t="str">
        <v>SUPER SENIOR</v>
      </c>
      <c r="AS283">
        <v>9</v>
      </c>
      <c r="AT283">
        <v>1</v>
      </c>
      <c r="AU283">
        <v>0</v>
      </c>
      <c r="AV283">
        <v>1</v>
      </c>
      <c r="AW283">
        <v>1</v>
      </c>
      <c r="AX283">
        <v>231</v>
      </c>
      <c r="AY283" s="5">
        <v>231</v>
      </c>
      <c r="AZ283">
        <v>0</v>
      </c>
      <c r="BA283">
        <v>0</v>
      </c>
      <c r="BB283">
        <v>0</v>
      </c>
      <c r="BC283">
        <v>0</v>
      </c>
      <c r="BD283">
        <v>0</v>
      </c>
      <c r="BE283">
        <v>0</v>
      </c>
      <c r="BF283">
        <v>0</v>
      </c>
      <c r="BG283">
        <v>0</v>
      </c>
      <c r="BH283">
        <v>0</v>
      </c>
      <c r="BI283" t="str">
        <v/>
      </c>
      <c r="BK283">
        <v>277</v>
      </c>
      <c r="BL283">
        <v>0</v>
      </c>
      <c r="BM283">
        <v>0</v>
      </c>
      <c r="BN283">
        <v>0</v>
      </c>
      <c r="BO283">
        <v>0</v>
      </c>
      <c r="BP283">
        <v>0</v>
      </c>
      <c r="BQ283">
        <v>0</v>
      </c>
      <c r="BR283">
        <v>0</v>
      </c>
      <c r="BS283">
        <v>0</v>
      </c>
      <c r="BT283">
        <v>0</v>
      </c>
      <c r="BU283">
        <v>0</v>
      </c>
      <c r="BV283">
        <v>0</v>
      </c>
      <c r="BW283">
        <v>0</v>
      </c>
      <c r="BX283">
        <v>0</v>
      </c>
      <c r="BY283">
        <v>0</v>
      </c>
      <c r="BZ283">
        <v>0</v>
      </c>
      <c r="CA283">
        <v>0</v>
      </c>
      <c r="CB283">
        <v>0</v>
      </c>
      <c r="CC283">
        <v>0</v>
      </c>
      <c r="CD283">
        <v>0</v>
      </c>
      <c r="CE283">
        <v>0</v>
      </c>
      <c r="CF283">
        <v>0</v>
      </c>
      <c r="CG283">
        <v>0</v>
      </c>
      <c r="CH283">
        <v>0</v>
      </c>
      <c r="CI283">
        <v>0</v>
      </c>
      <c r="CJ283">
        <v>0</v>
      </c>
      <c r="CK283">
        <v>0</v>
      </c>
      <c r="CL283">
        <v>0</v>
      </c>
      <c r="CM283">
        <v>0</v>
      </c>
      <c r="CN283">
        <v>0</v>
      </c>
      <c r="CO283">
        <v>0</v>
      </c>
      <c r="CP283">
        <v>0</v>
      </c>
      <c r="CQ283">
        <v>0</v>
      </c>
      <c r="CR283">
        <v>0</v>
      </c>
      <c r="CS283">
        <v>0</v>
      </c>
      <c r="CT283">
        <v>0</v>
      </c>
      <c r="CU283">
        <v>0</v>
      </c>
      <c r="CV283">
        <v>0</v>
      </c>
      <c r="CW283">
        <v>0</v>
      </c>
      <c r="CX283">
        <v>0</v>
      </c>
      <c r="CY283">
        <v>0</v>
      </c>
      <c r="CZ283">
        <v>0</v>
      </c>
      <c r="DA283">
        <v>0</v>
      </c>
      <c r="DB283">
        <v>0</v>
      </c>
      <c r="DC283">
        <v>0</v>
      </c>
      <c r="DD283">
        <v>0</v>
      </c>
      <c r="DE283">
        <v>0</v>
      </c>
      <c r="DF283">
        <v>0</v>
      </c>
      <c r="DG283">
        <v>0</v>
      </c>
      <c r="DH283">
        <v>0</v>
      </c>
      <c r="DI283">
        <v>0</v>
      </c>
      <c r="DJ283">
        <v>0</v>
      </c>
      <c r="DK283">
        <v>0</v>
      </c>
      <c r="DL283">
        <v>0</v>
      </c>
      <c r="DM283">
        <v>0</v>
      </c>
      <c r="DN283">
        <v>0</v>
      </c>
      <c r="DO283">
        <v>0</v>
      </c>
      <c r="DP283">
        <v>0</v>
      </c>
      <c r="DQ283">
        <v>0</v>
      </c>
      <c r="DR283">
        <v>0</v>
      </c>
      <c r="DS283">
        <v>0</v>
      </c>
      <c r="DT283">
        <v>0</v>
      </c>
      <c r="DU283">
        <v>0</v>
      </c>
      <c r="DV283">
        <v>0</v>
      </c>
      <c r="DW283">
        <v>0</v>
      </c>
      <c r="DX283">
        <v>0</v>
      </c>
      <c r="DY283">
        <v>0</v>
      </c>
      <c r="DZ283">
        <v>0</v>
      </c>
      <c r="EA283">
        <v>0</v>
      </c>
      <c r="EB283">
        <v>0</v>
      </c>
      <c r="EC283">
        <v>0</v>
      </c>
      <c r="ED283">
        <v>0</v>
      </c>
      <c r="EE283">
        <v>0</v>
      </c>
      <c r="EF283">
        <v>0</v>
      </c>
      <c r="EG283">
        <v>0</v>
      </c>
      <c r="EH283">
        <v>0</v>
      </c>
      <c r="EI283">
        <v>0</v>
      </c>
      <c r="EJ283">
        <v>0</v>
      </c>
      <c r="EK283">
        <v>0</v>
      </c>
      <c r="EL283">
        <v>0</v>
      </c>
      <c r="EM283">
        <v>0</v>
      </c>
      <c r="EN283">
        <v>0</v>
      </c>
      <c r="EO283">
        <v>0</v>
      </c>
      <c r="EP283">
        <v>0</v>
      </c>
      <c r="EQ283">
        <v>0</v>
      </c>
      <c r="ER283">
        <v>0</v>
      </c>
      <c r="ES283">
        <v>0</v>
      </c>
      <c r="ET283">
        <v>0</v>
      </c>
      <c r="EU283">
        <v>0</v>
      </c>
      <c r="EV283">
        <v>0</v>
      </c>
      <c r="EW283">
        <v>0</v>
      </c>
      <c r="EX283">
        <v>0</v>
      </c>
      <c r="EY283">
        <v>0</v>
      </c>
      <c r="EZ283">
        <v>0</v>
      </c>
      <c r="FA283">
        <v>0</v>
      </c>
      <c r="FB283">
        <v>0</v>
      </c>
      <c r="FC283">
        <v>0</v>
      </c>
      <c r="FD283">
        <v>0</v>
      </c>
      <c r="FE283">
        <v>0</v>
      </c>
      <c r="FF283">
        <v>0</v>
      </c>
      <c r="FG283">
        <v>0</v>
      </c>
      <c r="FH283">
        <v>0</v>
      </c>
      <c r="FI283">
        <v>0</v>
      </c>
      <c r="FJ283">
        <v>0</v>
      </c>
      <c r="FK283">
        <v>0</v>
      </c>
      <c r="FL283">
        <v>0</v>
      </c>
      <c r="FM283">
        <v>0</v>
      </c>
      <c r="FN283">
        <v>0</v>
      </c>
      <c r="FO283">
        <v>0</v>
      </c>
      <c r="FP283">
        <v>0</v>
      </c>
      <c r="FQ283">
        <v>0</v>
      </c>
      <c r="FR283">
        <v>0</v>
      </c>
      <c r="FS283">
        <v>0</v>
      </c>
      <c r="FT283">
        <v>0</v>
      </c>
      <c r="FU283">
        <v>0</v>
      </c>
      <c r="FV283">
        <v>0</v>
      </c>
      <c r="FW283">
        <v>0</v>
      </c>
      <c r="FX283">
        <v>0</v>
      </c>
      <c r="FY283">
        <v>0</v>
      </c>
      <c r="FZ283">
        <v>0</v>
      </c>
      <c r="GA283">
        <v>0</v>
      </c>
      <c r="GB283">
        <v>0</v>
      </c>
      <c r="GC283">
        <v>0</v>
      </c>
      <c r="GD283">
        <v>0</v>
      </c>
      <c r="GE283">
        <v>0</v>
      </c>
      <c r="GF283">
        <v>0</v>
      </c>
      <c r="GG283">
        <v>0</v>
      </c>
      <c r="GH283">
        <v>0</v>
      </c>
      <c r="GI283">
        <v>0</v>
      </c>
      <c r="GJ283">
        <v>0</v>
      </c>
      <c r="GK283">
        <v>0</v>
      </c>
      <c r="GL283">
        <v>0</v>
      </c>
      <c r="GM283">
        <v>0</v>
      </c>
      <c r="GN283">
        <v>0</v>
      </c>
      <c r="GO283">
        <v>0</v>
      </c>
      <c r="GP283">
        <v>0</v>
      </c>
      <c r="GQ283">
        <v>0</v>
      </c>
      <c r="GR283">
        <v>0</v>
      </c>
      <c r="GS283">
        <v>0</v>
      </c>
      <c r="GT283">
        <v>0</v>
      </c>
      <c r="GU283">
        <v>0</v>
      </c>
      <c r="GV283">
        <v>0</v>
      </c>
      <c r="GW283">
        <v>0</v>
      </c>
      <c r="GX283">
        <v>0</v>
      </c>
      <c r="GY283">
        <v>0</v>
      </c>
      <c r="GZ283">
        <v>0</v>
      </c>
      <c r="HA283">
        <v>0</v>
      </c>
      <c r="HB283">
        <v>0</v>
      </c>
      <c r="HC283">
        <v>0</v>
      </c>
      <c r="HD283">
        <v>0</v>
      </c>
      <c r="HE283">
        <v>0</v>
      </c>
      <c r="HF283">
        <v>0</v>
      </c>
      <c r="HG283">
        <v>0</v>
      </c>
      <c r="HH283">
        <v>0</v>
      </c>
      <c r="HI283">
        <v>0</v>
      </c>
      <c r="HJ283">
        <v>0</v>
      </c>
      <c r="HK283">
        <v>0</v>
      </c>
      <c r="HL283">
        <v>0</v>
      </c>
      <c r="HM283">
        <v>0</v>
      </c>
      <c r="HN283">
        <v>0</v>
      </c>
      <c r="HO283">
        <v>0</v>
      </c>
      <c r="HP283">
        <v>0</v>
      </c>
      <c r="HQ283">
        <v>0</v>
      </c>
      <c r="HR283">
        <v>0</v>
      </c>
      <c r="HS283">
        <v>0</v>
      </c>
      <c r="HT283">
        <v>0</v>
      </c>
      <c r="HU283">
        <v>0</v>
      </c>
      <c r="HV283">
        <v>0</v>
      </c>
      <c r="HW283">
        <v>0</v>
      </c>
      <c r="HX283">
        <v>0</v>
      </c>
      <c r="HY283">
        <v>0</v>
      </c>
      <c r="HZ283">
        <v>0</v>
      </c>
      <c r="IA283">
        <v>0</v>
      </c>
      <c r="IB283">
        <v>0</v>
      </c>
      <c r="IC283">
        <v>0</v>
      </c>
      <c r="ID283">
        <v>0</v>
      </c>
      <c r="IE283">
        <v>0</v>
      </c>
      <c r="IF283">
        <v>0</v>
      </c>
      <c r="IG283">
        <v>0</v>
      </c>
      <c r="IH283">
        <v>0</v>
      </c>
      <c r="II283">
        <v>0</v>
      </c>
      <c r="IJ283">
        <v>0</v>
      </c>
      <c r="IK283">
        <v>0</v>
      </c>
      <c r="IL283">
        <v>0</v>
      </c>
      <c r="IM283">
        <v>0</v>
      </c>
      <c r="IN283">
        <v>0</v>
      </c>
      <c r="IO283">
        <v>0</v>
      </c>
      <c r="IP283">
        <v>0</v>
      </c>
      <c r="IQ283">
        <v>0</v>
      </c>
      <c r="IR283">
        <v>0</v>
      </c>
      <c r="IS283">
        <v>0</v>
      </c>
      <c r="IT283">
        <v>0</v>
      </c>
      <c r="IU283">
        <v>0</v>
      </c>
      <c r="IV283">
        <v>0</v>
      </c>
      <c r="IW283">
        <v>0</v>
      </c>
      <c r="IX283">
        <v>0</v>
      </c>
      <c r="IY283">
        <v>0</v>
      </c>
      <c r="IZ283">
        <v>0</v>
      </c>
      <c r="JA283">
        <v>0</v>
      </c>
      <c r="JB283">
        <v>0</v>
      </c>
      <c r="JC283">
        <v>0</v>
      </c>
      <c r="JD283">
        <v>0</v>
      </c>
      <c r="JE283">
        <v>0</v>
      </c>
      <c r="JF283">
        <v>0</v>
      </c>
      <c r="JG283">
        <v>0</v>
      </c>
      <c r="JH283">
        <v>0</v>
      </c>
      <c r="JI283">
        <v>0</v>
      </c>
      <c r="JJ283">
        <v>0</v>
      </c>
      <c r="JK283">
        <v>0</v>
      </c>
      <c r="JL283">
        <v>0</v>
      </c>
      <c r="JM283">
        <v>0</v>
      </c>
      <c r="JN283">
        <v>0</v>
      </c>
      <c r="JO283">
        <v>0</v>
      </c>
      <c r="JP283">
        <v>0</v>
      </c>
      <c r="JQ283">
        <v>0</v>
      </c>
      <c r="JR283">
        <v>0</v>
      </c>
      <c r="JS283">
        <v>0</v>
      </c>
      <c r="JT283">
        <v>0</v>
      </c>
      <c r="JU283">
        <v>0</v>
      </c>
      <c r="JV283">
        <v>0</v>
      </c>
      <c r="JW283">
        <v>0</v>
      </c>
      <c r="JX283">
        <v>0</v>
      </c>
      <c r="JY283">
        <v>0</v>
      </c>
      <c r="JZ283">
        <v>0</v>
      </c>
      <c r="KA283">
        <v>0</v>
      </c>
      <c r="KB283">
        <v>0</v>
      </c>
      <c r="KC283">
        <v>0</v>
      </c>
      <c r="KD283">
        <v>0</v>
      </c>
      <c r="KE283">
        <v>0</v>
      </c>
      <c r="KF283">
        <v>0</v>
      </c>
      <c r="KG283">
        <v>0</v>
      </c>
      <c r="KH283">
        <v>0</v>
      </c>
      <c r="KI283">
        <v>0</v>
      </c>
      <c r="KJ283">
        <v>0</v>
      </c>
      <c r="KK283">
        <v>0</v>
      </c>
      <c r="KL283">
        <v>0</v>
      </c>
      <c r="KM283">
        <v>0</v>
      </c>
      <c r="KN283">
        <v>0</v>
      </c>
      <c r="KO283">
        <v>0</v>
      </c>
      <c r="KP283">
        <v>0</v>
      </c>
      <c r="KQ283">
        <v>0</v>
      </c>
      <c r="KR283">
        <v>0</v>
      </c>
      <c r="KS283">
        <v>0</v>
      </c>
      <c r="KT283">
        <v>0</v>
      </c>
      <c r="KU283">
        <v>0</v>
      </c>
      <c r="KV283">
        <v>0</v>
      </c>
      <c r="KW283">
        <v>0</v>
      </c>
      <c r="KX283">
        <v>0</v>
      </c>
      <c r="KY283">
        <v>0</v>
      </c>
      <c r="KZ283">
        <v>0</v>
      </c>
      <c r="LA283">
        <v>0</v>
      </c>
      <c r="LB283">
        <v>0</v>
      </c>
      <c r="LC283">
        <v>0</v>
      </c>
      <c r="LD283">
        <v>0</v>
      </c>
      <c r="LE283">
        <v>0</v>
      </c>
      <c r="LF283">
        <v>0</v>
      </c>
      <c r="LG283">
        <v>0</v>
      </c>
      <c r="LH283">
        <v>0</v>
      </c>
      <c r="LI283">
        <v>0</v>
      </c>
      <c r="LJ283">
        <v>0</v>
      </c>
      <c r="LK283">
        <v>0</v>
      </c>
      <c r="LL283">
        <v>0</v>
      </c>
      <c r="LM283">
        <v>0</v>
      </c>
      <c r="LN283">
        <v>0</v>
      </c>
      <c r="LO283">
        <v>0</v>
      </c>
      <c r="LP283">
        <v>0</v>
      </c>
      <c r="LQ283">
        <v>0</v>
      </c>
      <c r="LR283">
        <v>0</v>
      </c>
      <c r="LS283">
        <v>0</v>
      </c>
      <c r="LT283">
        <v>0</v>
      </c>
      <c r="LU283">
        <v>0</v>
      </c>
      <c r="LV283">
        <v>0</v>
      </c>
      <c r="LW283">
        <v>0</v>
      </c>
      <c r="LX283">
        <v>0</v>
      </c>
      <c r="LY283">
        <v>0</v>
      </c>
      <c r="LZ283">
        <v>0</v>
      </c>
      <c r="MA283">
        <v>0</v>
      </c>
      <c r="MB283">
        <v>0</v>
      </c>
      <c r="MC283">
        <v>0</v>
      </c>
      <c r="MD283">
        <v>0</v>
      </c>
      <c r="ME283">
        <v>0</v>
      </c>
      <c r="MF283">
        <v>0</v>
      </c>
      <c r="MG283">
        <v>0</v>
      </c>
      <c r="MH283">
        <v>0</v>
      </c>
      <c r="MI283">
        <v>0</v>
      </c>
      <c r="MJ283">
        <v>0</v>
      </c>
      <c r="MK283">
        <v>0</v>
      </c>
      <c r="ML283">
        <v>0</v>
      </c>
      <c r="MM283">
        <v>0</v>
      </c>
      <c r="MN283">
        <v>0</v>
      </c>
      <c r="MO283">
        <v>0</v>
      </c>
      <c r="MP283">
        <v>0</v>
      </c>
      <c r="MQ283">
        <v>0</v>
      </c>
      <c r="MR283">
        <v>0</v>
      </c>
      <c r="MS283">
        <v>0</v>
      </c>
      <c r="MT283">
        <v>0</v>
      </c>
      <c r="MU283">
        <v>0</v>
      </c>
      <c r="MV283">
        <v>0</v>
      </c>
      <c r="MW283">
        <v>0</v>
      </c>
      <c r="MX283">
        <v>0</v>
      </c>
      <c r="MY283">
        <v>0</v>
      </c>
      <c r="MZ283">
        <v>0</v>
      </c>
      <c r="NA283">
        <v>0</v>
      </c>
      <c r="NB283">
        <v>0</v>
      </c>
      <c r="NC283">
        <v>0</v>
      </c>
      <c r="ND283">
        <v>0</v>
      </c>
      <c r="NE283">
        <v>0</v>
      </c>
    </row>
    <row r="284" spans="41:369" x14ac:dyDescent="0.45">
      <c r="AO284" t="str">
        <v>D160</v>
      </c>
      <c r="AP284" t="str">
        <v>SALMAN FARIS</v>
      </c>
      <c r="AQ284" t="str">
        <v>JARF</v>
      </c>
      <c r="AR284" t="str">
        <v>SUPER SENIOR</v>
      </c>
      <c r="AS284">
        <v>9</v>
      </c>
      <c r="AT284">
        <v>1</v>
      </c>
      <c r="AU284">
        <v>0</v>
      </c>
      <c r="AV284">
        <v>1</v>
      </c>
      <c r="AW284">
        <v>1</v>
      </c>
      <c r="AX284">
        <v>231</v>
      </c>
      <c r="AY284" s="5">
        <v>231</v>
      </c>
      <c r="AZ284">
        <v>0</v>
      </c>
      <c r="BA284">
        <v>0</v>
      </c>
      <c r="BB284">
        <v>0</v>
      </c>
      <c r="BC284">
        <v>0</v>
      </c>
      <c r="BD284">
        <v>0</v>
      </c>
      <c r="BE284">
        <v>0</v>
      </c>
      <c r="BF284">
        <v>0</v>
      </c>
      <c r="BG284">
        <v>0</v>
      </c>
      <c r="BH284">
        <v>0</v>
      </c>
      <c r="BI284" t="str">
        <v/>
      </c>
      <c r="BK284">
        <v>278</v>
      </c>
      <c r="BL284">
        <v>0</v>
      </c>
      <c r="BM284">
        <v>0</v>
      </c>
      <c r="BN284">
        <v>0</v>
      </c>
      <c r="BO284">
        <v>0</v>
      </c>
      <c r="BP284">
        <v>0</v>
      </c>
      <c r="BQ284">
        <v>0</v>
      </c>
      <c r="BR284">
        <v>0</v>
      </c>
      <c r="BS284">
        <v>0</v>
      </c>
      <c r="BT284">
        <v>0</v>
      </c>
      <c r="BU284">
        <v>0</v>
      </c>
      <c r="BV284">
        <v>0</v>
      </c>
      <c r="BW284">
        <v>0</v>
      </c>
      <c r="BX284">
        <v>0</v>
      </c>
      <c r="BY284">
        <v>0</v>
      </c>
      <c r="BZ284">
        <v>0</v>
      </c>
      <c r="CA284">
        <v>0</v>
      </c>
      <c r="CB284">
        <v>0</v>
      </c>
      <c r="CC284">
        <v>0</v>
      </c>
      <c r="CD284">
        <v>0</v>
      </c>
      <c r="CE284">
        <v>0</v>
      </c>
      <c r="CF284">
        <v>0</v>
      </c>
      <c r="CG284">
        <v>0</v>
      </c>
      <c r="CH284">
        <v>0</v>
      </c>
      <c r="CI284">
        <v>0</v>
      </c>
      <c r="CJ284">
        <v>0</v>
      </c>
      <c r="CK284">
        <v>0</v>
      </c>
      <c r="CL284">
        <v>0</v>
      </c>
      <c r="CM284">
        <v>0</v>
      </c>
      <c r="CN284">
        <v>0</v>
      </c>
      <c r="CO284">
        <v>0</v>
      </c>
      <c r="CP284">
        <v>0</v>
      </c>
      <c r="CQ284">
        <v>0</v>
      </c>
      <c r="CR284">
        <v>0</v>
      </c>
      <c r="CS284">
        <v>0</v>
      </c>
      <c r="CT284">
        <v>0</v>
      </c>
      <c r="CU284">
        <v>0</v>
      </c>
      <c r="CV284">
        <v>0</v>
      </c>
      <c r="CW284">
        <v>0</v>
      </c>
      <c r="CX284">
        <v>0</v>
      </c>
      <c r="CY284">
        <v>0</v>
      </c>
      <c r="CZ284">
        <v>0</v>
      </c>
      <c r="DA284">
        <v>0</v>
      </c>
      <c r="DB284">
        <v>0</v>
      </c>
      <c r="DC284">
        <v>0</v>
      </c>
      <c r="DD284">
        <v>0</v>
      </c>
      <c r="DE284">
        <v>0</v>
      </c>
      <c r="DF284">
        <v>0</v>
      </c>
      <c r="DG284">
        <v>0</v>
      </c>
      <c r="DH284">
        <v>0</v>
      </c>
      <c r="DI284">
        <v>0</v>
      </c>
      <c r="DJ284">
        <v>0</v>
      </c>
      <c r="DK284">
        <v>0</v>
      </c>
      <c r="DL284">
        <v>0</v>
      </c>
      <c r="DM284">
        <v>0</v>
      </c>
      <c r="DN284">
        <v>0</v>
      </c>
      <c r="DO284">
        <v>0</v>
      </c>
      <c r="DP284">
        <v>0</v>
      </c>
      <c r="DQ284">
        <v>0</v>
      </c>
      <c r="DR284">
        <v>0</v>
      </c>
      <c r="DS284">
        <v>0</v>
      </c>
      <c r="DT284">
        <v>0</v>
      </c>
      <c r="DU284">
        <v>0</v>
      </c>
      <c r="DV284">
        <v>0</v>
      </c>
      <c r="DW284">
        <v>0</v>
      </c>
      <c r="DX284">
        <v>0</v>
      </c>
      <c r="DY284">
        <v>0</v>
      </c>
      <c r="DZ284">
        <v>0</v>
      </c>
      <c r="EA284">
        <v>0</v>
      </c>
      <c r="EB284">
        <v>0</v>
      </c>
      <c r="EC284">
        <v>0</v>
      </c>
      <c r="ED284">
        <v>0</v>
      </c>
      <c r="EE284">
        <v>0</v>
      </c>
      <c r="EF284">
        <v>0</v>
      </c>
      <c r="EG284">
        <v>0</v>
      </c>
      <c r="EH284">
        <v>0</v>
      </c>
      <c r="EI284">
        <v>0</v>
      </c>
      <c r="EJ284">
        <v>0</v>
      </c>
      <c r="EK284">
        <v>0</v>
      </c>
      <c r="EL284">
        <v>0</v>
      </c>
      <c r="EM284">
        <v>0</v>
      </c>
      <c r="EN284">
        <v>0</v>
      </c>
      <c r="EO284">
        <v>0</v>
      </c>
      <c r="EP284">
        <v>0</v>
      </c>
      <c r="EQ284">
        <v>0</v>
      </c>
      <c r="ER284">
        <v>0</v>
      </c>
      <c r="ES284">
        <v>0</v>
      </c>
      <c r="ET284">
        <v>0</v>
      </c>
      <c r="EU284">
        <v>0</v>
      </c>
      <c r="EV284">
        <v>0</v>
      </c>
      <c r="EW284">
        <v>0</v>
      </c>
      <c r="EX284">
        <v>0</v>
      </c>
      <c r="EY284">
        <v>0</v>
      </c>
      <c r="EZ284">
        <v>0</v>
      </c>
      <c r="FA284">
        <v>0</v>
      </c>
      <c r="FB284">
        <v>0</v>
      </c>
      <c r="FC284">
        <v>0</v>
      </c>
      <c r="FD284">
        <v>0</v>
      </c>
      <c r="FE284">
        <v>0</v>
      </c>
      <c r="FF284">
        <v>0</v>
      </c>
      <c r="FG284">
        <v>0</v>
      </c>
      <c r="FH284">
        <v>0</v>
      </c>
      <c r="FI284">
        <v>0</v>
      </c>
      <c r="FJ284">
        <v>0</v>
      </c>
      <c r="FK284">
        <v>0</v>
      </c>
      <c r="FL284">
        <v>0</v>
      </c>
      <c r="FM284">
        <v>0</v>
      </c>
      <c r="FN284">
        <v>0</v>
      </c>
      <c r="FO284">
        <v>0</v>
      </c>
      <c r="FP284">
        <v>0</v>
      </c>
      <c r="FQ284">
        <v>0</v>
      </c>
      <c r="FR284">
        <v>0</v>
      </c>
      <c r="FS284">
        <v>0</v>
      </c>
      <c r="FT284">
        <v>0</v>
      </c>
      <c r="FU284">
        <v>0</v>
      </c>
      <c r="FV284">
        <v>0</v>
      </c>
      <c r="FW284">
        <v>0</v>
      </c>
      <c r="FX284">
        <v>0</v>
      </c>
      <c r="FY284">
        <v>0</v>
      </c>
      <c r="FZ284">
        <v>0</v>
      </c>
      <c r="GA284">
        <v>0</v>
      </c>
      <c r="GB284">
        <v>0</v>
      </c>
      <c r="GC284">
        <v>0</v>
      </c>
      <c r="GD284">
        <v>0</v>
      </c>
      <c r="GE284">
        <v>0</v>
      </c>
      <c r="GF284">
        <v>0</v>
      </c>
      <c r="GG284">
        <v>0</v>
      </c>
      <c r="GH284">
        <v>0</v>
      </c>
      <c r="GI284">
        <v>0</v>
      </c>
      <c r="GJ284">
        <v>0</v>
      </c>
      <c r="GK284">
        <v>0</v>
      </c>
      <c r="GL284">
        <v>0</v>
      </c>
      <c r="GM284">
        <v>0</v>
      </c>
      <c r="GN284">
        <v>0</v>
      </c>
      <c r="GO284">
        <v>0</v>
      </c>
      <c r="GP284">
        <v>0</v>
      </c>
      <c r="GQ284">
        <v>0</v>
      </c>
      <c r="GR284">
        <v>0</v>
      </c>
      <c r="GS284">
        <v>0</v>
      </c>
      <c r="GT284">
        <v>0</v>
      </c>
      <c r="GU284">
        <v>0</v>
      </c>
      <c r="GV284">
        <v>0</v>
      </c>
      <c r="GW284">
        <v>0</v>
      </c>
      <c r="GX284">
        <v>0</v>
      </c>
      <c r="GY284">
        <v>0</v>
      </c>
      <c r="GZ284">
        <v>0</v>
      </c>
      <c r="HA284">
        <v>0</v>
      </c>
      <c r="HB284">
        <v>0</v>
      </c>
      <c r="HC284">
        <v>0</v>
      </c>
      <c r="HD284">
        <v>0</v>
      </c>
      <c r="HE284">
        <v>0</v>
      </c>
      <c r="HF284">
        <v>0</v>
      </c>
      <c r="HG284">
        <v>0</v>
      </c>
      <c r="HH284">
        <v>0</v>
      </c>
      <c r="HI284">
        <v>0</v>
      </c>
      <c r="HJ284">
        <v>0</v>
      </c>
      <c r="HK284">
        <v>0</v>
      </c>
      <c r="HL284">
        <v>0</v>
      </c>
      <c r="HM284">
        <v>0</v>
      </c>
      <c r="HN284">
        <v>0</v>
      </c>
      <c r="HO284">
        <v>0</v>
      </c>
      <c r="HP284">
        <v>0</v>
      </c>
      <c r="HQ284">
        <v>0</v>
      </c>
      <c r="HR284">
        <v>0</v>
      </c>
      <c r="HS284">
        <v>0</v>
      </c>
      <c r="HT284">
        <v>0</v>
      </c>
      <c r="HU284">
        <v>0</v>
      </c>
      <c r="HV284">
        <v>0</v>
      </c>
      <c r="HW284">
        <v>0</v>
      </c>
      <c r="HX284">
        <v>0</v>
      </c>
      <c r="HY284">
        <v>0</v>
      </c>
      <c r="HZ284">
        <v>0</v>
      </c>
      <c r="IA284">
        <v>0</v>
      </c>
      <c r="IB284">
        <v>0</v>
      </c>
      <c r="IC284">
        <v>0</v>
      </c>
      <c r="ID284">
        <v>0</v>
      </c>
      <c r="IE284">
        <v>0</v>
      </c>
      <c r="IF284">
        <v>0</v>
      </c>
      <c r="IG284">
        <v>0</v>
      </c>
      <c r="IH284">
        <v>0</v>
      </c>
      <c r="II284">
        <v>0</v>
      </c>
      <c r="IJ284">
        <v>0</v>
      </c>
      <c r="IK284">
        <v>0</v>
      </c>
      <c r="IL284">
        <v>0</v>
      </c>
      <c r="IM284">
        <v>0</v>
      </c>
      <c r="IN284">
        <v>0</v>
      </c>
      <c r="IO284">
        <v>0</v>
      </c>
      <c r="IP284">
        <v>0</v>
      </c>
      <c r="IQ284">
        <v>0</v>
      </c>
      <c r="IR284">
        <v>0</v>
      </c>
      <c r="IS284">
        <v>0</v>
      </c>
      <c r="IT284">
        <v>0</v>
      </c>
      <c r="IU284">
        <v>0</v>
      </c>
      <c r="IV284">
        <v>0</v>
      </c>
      <c r="IW284">
        <v>0</v>
      </c>
      <c r="IX284">
        <v>0</v>
      </c>
      <c r="IY284">
        <v>0</v>
      </c>
      <c r="IZ284">
        <v>0</v>
      </c>
      <c r="JA284">
        <v>0</v>
      </c>
      <c r="JB284">
        <v>0</v>
      </c>
      <c r="JC284">
        <v>0</v>
      </c>
      <c r="JD284">
        <v>0</v>
      </c>
      <c r="JE284">
        <v>0</v>
      </c>
      <c r="JF284">
        <v>0</v>
      </c>
      <c r="JG284">
        <v>0</v>
      </c>
      <c r="JH284">
        <v>0</v>
      </c>
      <c r="JI284">
        <v>0</v>
      </c>
      <c r="JJ284">
        <v>0</v>
      </c>
      <c r="JK284">
        <v>0</v>
      </c>
      <c r="JL284">
        <v>0</v>
      </c>
      <c r="JM284">
        <v>0</v>
      </c>
      <c r="JN284">
        <v>0</v>
      </c>
      <c r="JO284">
        <v>0</v>
      </c>
      <c r="JP284">
        <v>0</v>
      </c>
      <c r="JQ284">
        <v>0</v>
      </c>
      <c r="JR284">
        <v>0</v>
      </c>
      <c r="JS284">
        <v>0</v>
      </c>
      <c r="JT284">
        <v>0</v>
      </c>
      <c r="JU284">
        <v>0</v>
      </c>
      <c r="JV284">
        <v>0</v>
      </c>
      <c r="JW284">
        <v>0</v>
      </c>
      <c r="JX284">
        <v>0</v>
      </c>
      <c r="JY284">
        <v>0</v>
      </c>
      <c r="JZ284">
        <v>0</v>
      </c>
      <c r="KA284">
        <v>0</v>
      </c>
      <c r="KB284">
        <v>0</v>
      </c>
      <c r="KC284">
        <v>0</v>
      </c>
      <c r="KD284">
        <v>0</v>
      </c>
      <c r="KE284">
        <v>0</v>
      </c>
      <c r="KF284">
        <v>0</v>
      </c>
      <c r="KG284">
        <v>0</v>
      </c>
      <c r="KH284">
        <v>0</v>
      </c>
      <c r="KI284">
        <v>0</v>
      </c>
      <c r="KJ284">
        <v>0</v>
      </c>
      <c r="KK284">
        <v>0</v>
      </c>
      <c r="KL284">
        <v>0</v>
      </c>
      <c r="KM284">
        <v>0</v>
      </c>
      <c r="KN284">
        <v>0</v>
      </c>
      <c r="KO284">
        <v>0</v>
      </c>
      <c r="KP284">
        <v>0</v>
      </c>
      <c r="KQ284">
        <v>0</v>
      </c>
      <c r="KR284">
        <v>0</v>
      </c>
      <c r="KS284">
        <v>0</v>
      </c>
      <c r="KT284">
        <v>0</v>
      </c>
      <c r="KU284">
        <v>0</v>
      </c>
      <c r="KV284">
        <v>0</v>
      </c>
      <c r="KW284">
        <v>0</v>
      </c>
      <c r="KX284">
        <v>0</v>
      </c>
      <c r="KY284">
        <v>0</v>
      </c>
      <c r="KZ284">
        <v>0</v>
      </c>
      <c r="LA284">
        <v>0</v>
      </c>
      <c r="LB284">
        <v>0</v>
      </c>
      <c r="LC284">
        <v>0</v>
      </c>
      <c r="LD284">
        <v>0</v>
      </c>
      <c r="LE284">
        <v>0</v>
      </c>
      <c r="LF284">
        <v>0</v>
      </c>
      <c r="LG284">
        <v>0</v>
      </c>
      <c r="LH284">
        <v>0</v>
      </c>
      <c r="LI284">
        <v>0</v>
      </c>
      <c r="LJ284">
        <v>0</v>
      </c>
      <c r="LK284">
        <v>0</v>
      </c>
      <c r="LL284">
        <v>0</v>
      </c>
      <c r="LM284">
        <v>0</v>
      </c>
      <c r="LN284">
        <v>0</v>
      </c>
      <c r="LO284">
        <v>0</v>
      </c>
      <c r="LP284">
        <v>0</v>
      </c>
      <c r="LQ284">
        <v>0</v>
      </c>
      <c r="LR284">
        <v>0</v>
      </c>
      <c r="LS284">
        <v>0</v>
      </c>
      <c r="LT284">
        <v>0</v>
      </c>
      <c r="LU284">
        <v>0</v>
      </c>
      <c r="LV284">
        <v>0</v>
      </c>
      <c r="LW284">
        <v>0</v>
      </c>
      <c r="LX284">
        <v>0</v>
      </c>
      <c r="LY284">
        <v>0</v>
      </c>
      <c r="LZ284">
        <v>0</v>
      </c>
      <c r="MA284">
        <v>0</v>
      </c>
      <c r="MB284">
        <v>0</v>
      </c>
      <c r="MC284">
        <v>0</v>
      </c>
      <c r="MD284">
        <v>0</v>
      </c>
      <c r="ME284">
        <v>0</v>
      </c>
      <c r="MF284">
        <v>0</v>
      </c>
      <c r="MG284">
        <v>0</v>
      </c>
      <c r="MH284">
        <v>0</v>
      </c>
      <c r="MI284">
        <v>0</v>
      </c>
      <c r="MJ284">
        <v>0</v>
      </c>
      <c r="MK284">
        <v>0</v>
      </c>
      <c r="ML284">
        <v>0</v>
      </c>
      <c r="MM284">
        <v>0</v>
      </c>
      <c r="MN284">
        <v>0</v>
      </c>
      <c r="MO284">
        <v>0</v>
      </c>
      <c r="MP284">
        <v>0</v>
      </c>
      <c r="MQ284">
        <v>0</v>
      </c>
      <c r="MR284">
        <v>0</v>
      </c>
      <c r="MS284">
        <v>0</v>
      </c>
      <c r="MT284">
        <v>0</v>
      </c>
      <c r="MU284">
        <v>0</v>
      </c>
      <c r="MV284">
        <v>0</v>
      </c>
      <c r="MW284">
        <v>0</v>
      </c>
      <c r="MX284">
        <v>0</v>
      </c>
      <c r="MY284">
        <v>0</v>
      </c>
      <c r="MZ284">
        <v>0</v>
      </c>
      <c r="NA284">
        <v>0</v>
      </c>
      <c r="NB284">
        <v>0</v>
      </c>
      <c r="NC284">
        <v>0</v>
      </c>
      <c r="ND284">
        <v>0</v>
      </c>
      <c r="NE284">
        <v>0</v>
      </c>
    </row>
    <row r="285" spans="41:369" x14ac:dyDescent="0.45">
      <c r="AO285" t="str">
        <v>D161</v>
      </c>
      <c r="AP285" t="str">
        <v>MOHAMMED ATHHAR THAYYIB MS</v>
      </c>
      <c r="AQ285" t="str">
        <v>BADF</v>
      </c>
      <c r="AR285" t="str">
        <v>SUPER SENIOR</v>
      </c>
      <c r="AS285">
        <v>9</v>
      </c>
      <c r="AT285">
        <v>3</v>
      </c>
      <c r="AU285">
        <v>0</v>
      </c>
      <c r="AV285">
        <v>3</v>
      </c>
      <c r="AW285">
        <v>3</v>
      </c>
      <c r="AX285">
        <v>209</v>
      </c>
      <c r="AY285" s="5">
        <v>209</v>
      </c>
      <c r="AZ285">
        <v>0</v>
      </c>
      <c r="BA285">
        <v>0</v>
      </c>
      <c r="BB285">
        <v>0</v>
      </c>
      <c r="BC285">
        <v>0</v>
      </c>
      <c r="BD285">
        <v>0</v>
      </c>
      <c r="BE285">
        <v>0</v>
      </c>
      <c r="BF285">
        <v>0</v>
      </c>
      <c r="BG285">
        <v>0</v>
      </c>
      <c r="BH285">
        <v>0</v>
      </c>
      <c r="BI285" t="str">
        <v/>
      </c>
      <c r="BK285">
        <v>279</v>
      </c>
      <c r="BL285">
        <v>0</v>
      </c>
      <c r="BM285">
        <v>0</v>
      </c>
      <c r="BN285">
        <v>0</v>
      </c>
      <c r="BO285">
        <v>0</v>
      </c>
      <c r="BP285">
        <v>0</v>
      </c>
      <c r="BQ285">
        <v>0</v>
      </c>
      <c r="BR285">
        <v>0</v>
      </c>
      <c r="BS285">
        <v>0</v>
      </c>
      <c r="BT285">
        <v>0</v>
      </c>
      <c r="BU285">
        <v>0</v>
      </c>
      <c r="BV285">
        <v>0</v>
      </c>
      <c r="BW285">
        <v>0</v>
      </c>
      <c r="BX285">
        <v>0</v>
      </c>
      <c r="BY285">
        <v>0</v>
      </c>
      <c r="BZ285">
        <v>0</v>
      </c>
      <c r="CA285">
        <v>0</v>
      </c>
      <c r="CB285">
        <v>0</v>
      </c>
      <c r="CC285">
        <v>0</v>
      </c>
      <c r="CD285">
        <v>0</v>
      </c>
      <c r="CE285">
        <v>0</v>
      </c>
      <c r="CF285">
        <v>0</v>
      </c>
      <c r="CG285">
        <v>0</v>
      </c>
      <c r="CH285">
        <v>0</v>
      </c>
      <c r="CI285">
        <v>0</v>
      </c>
      <c r="CJ285">
        <v>0</v>
      </c>
      <c r="CK285">
        <v>0</v>
      </c>
      <c r="CL285">
        <v>0</v>
      </c>
      <c r="CM285">
        <v>0</v>
      </c>
      <c r="CN285">
        <v>0</v>
      </c>
      <c r="CO285">
        <v>0</v>
      </c>
      <c r="CP285">
        <v>0</v>
      </c>
      <c r="CQ285">
        <v>0</v>
      </c>
      <c r="CR285">
        <v>0</v>
      </c>
      <c r="CS285">
        <v>0</v>
      </c>
      <c r="CT285">
        <v>0</v>
      </c>
      <c r="CU285">
        <v>0</v>
      </c>
      <c r="CV285">
        <v>0</v>
      </c>
      <c r="CW285">
        <v>0</v>
      </c>
      <c r="CX285">
        <v>0</v>
      </c>
      <c r="CY285">
        <v>0</v>
      </c>
      <c r="CZ285">
        <v>0</v>
      </c>
      <c r="DA285">
        <v>0</v>
      </c>
      <c r="DB285">
        <v>0</v>
      </c>
      <c r="DC285">
        <v>0</v>
      </c>
      <c r="DD285">
        <v>0</v>
      </c>
      <c r="DE285">
        <v>0</v>
      </c>
      <c r="DF285">
        <v>0</v>
      </c>
      <c r="DG285">
        <v>0</v>
      </c>
      <c r="DH285">
        <v>0</v>
      </c>
      <c r="DI285">
        <v>0</v>
      </c>
      <c r="DJ285">
        <v>0</v>
      </c>
      <c r="DK285">
        <v>0</v>
      </c>
      <c r="DL285">
        <v>0</v>
      </c>
      <c r="DM285">
        <v>0</v>
      </c>
      <c r="DN285">
        <v>0</v>
      </c>
      <c r="DO285">
        <v>0</v>
      </c>
      <c r="DP285">
        <v>0</v>
      </c>
      <c r="DQ285">
        <v>0</v>
      </c>
      <c r="DR285">
        <v>0</v>
      </c>
      <c r="DS285">
        <v>0</v>
      </c>
      <c r="DT285">
        <v>0</v>
      </c>
      <c r="DU285">
        <v>0</v>
      </c>
      <c r="DV285">
        <v>0</v>
      </c>
      <c r="DW285">
        <v>0</v>
      </c>
      <c r="DX285">
        <v>0</v>
      </c>
      <c r="DY285">
        <v>0</v>
      </c>
      <c r="DZ285">
        <v>0</v>
      </c>
      <c r="EA285">
        <v>0</v>
      </c>
      <c r="EB285">
        <v>0</v>
      </c>
      <c r="EC285">
        <v>0</v>
      </c>
      <c r="ED285">
        <v>0</v>
      </c>
      <c r="EE285">
        <v>0</v>
      </c>
      <c r="EF285">
        <v>0</v>
      </c>
      <c r="EG285">
        <v>0</v>
      </c>
      <c r="EH285">
        <v>0</v>
      </c>
      <c r="EI285">
        <v>0</v>
      </c>
      <c r="EJ285">
        <v>0</v>
      </c>
      <c r="EK285">
        <v>0</v>
      </c>
      <c r="EL285">
        <v>0</v>
      </c>
      <c r="EM285">
        <v>0</v>
      </c>
      <c r="EN285">
        <v>0</v>
      </c>
      <c r="EO285">
        <v>0</v>
      </c>
      <c r="EP285">
        <v>0</v>
      </c>
      <c r="EQ285">
        <v>0</v>
      </c>
      <c r="ER285">
        <v>0</v>
      </c>
      <c r="ES285">
        <v>0</v>
      </c>
      <c r="ET285">
        <v>0</v>
      </c>
      <c r="EU285">
        <v>0</v>
      </c>
      <c r="EV285">
        <v>0</v>
      </c>
      <c r="EW285">
        <v>0</v>
      </c>
      <c r="EX285">
        <v>0</v>
      </c>
      <c r="EY285">
        <v>0</v>
      </c>
      <c r="EZ285">
        <v>0</v>
      </c>
      <c r="FA285">
        <v>0</v>
      </c>
      <c r="FB285">
        <v>0</v>
      </c>
      <c r="FC285">
        <v>0</v>
      </c>
      <c r="FD285">
        <v>0</v>
      </c>
      <c r="FE285">
        <v>0</v>
      </c>
      <c r="FF285">
        <v>0</v>
      </c>
      <c r="FG285">
        <v>0</v>
      </c>
      <c r="FH285">
        <v>0</v>
      </c>
      <c r="FI285">
        <v>0</v>
      </c>
      <c r="FJ285">
        <v>0</v>
      </c>
      <c r="FK285">
        <v>0</v>
      </c>
      <c r="FL285">
        <v>0</v>
      </c>
      <c r="FM285">
        <v>0</v>
      </c>
      <c r="FN285">
        <v>0</v>
      </c>
      <c r="FO285">
        <v>0</v>
      </c>
      <c r="FP285">
        <v>0</v>
      </c>
      <c r="FQ285">
        <v>0</v>
      </c>
      <c r="FR285">
        <v>0</v>
      </c>
      <c r="FS285">
        <v>0</v>
      </c>
      <c r="FT285">
        <v>0</v>
      </c>
      <c r="FU285">
        <v>0</v>
      </c>
      <c r="FV285">
        <v>0</v>
      </c>
      <c r="FW285">
        <v>0</v>
      </c>
      <c r="FX285">
        <v>0</v>
      </c>
      <c r="FY285">
        <v>0</v>
      </c>
      <c r="FZ285">
        <v>0</v>
      </c>
      <c r="GA285">
        <v>0</v>
      </c>
      <c r="GB285">
        <v>0</v>
      </c>
      <c r="GC285">
        <v>0</v>
      </c>
      <c r="GD285">
        <v>0</v>
      </c>
      <c r="GE285">
        <v>0</v>
      </c>
      <c r="GF285">
        <v>0</v>
      </c>
      <c r="GG285">
        <v>0</v>
      </c>
      <c r="GH285">
        <v>0</v>
      </c>
      <c r="GI285">
        <v>0</v>
      </c>
      <c r="GJ285">
        <v>0</v>
      </c>
      <c r="GK285">
        <v>0</v>
      </c>
      <c r="GL285">
        <v>0</v>
      </c>
      <c r="GM285">
        <v>0</v>
      </c>
      <c r="GN285">
        <v>0</v>
      </c>
      <c r="GO285">
        <v>0</v>
      </c>
      <c r="GP285">
        <v>0</v>
      </c>
      <c r="GQ285">
        <v>0</v>
      </c>
      <c r="GR285">
        <v>0</v>
      </c>
      <c r="GS285">
        <v>0</v>
      </c>
      <c r="GT285">
        <v>0</v>
      </c>
      <c r="GU285">
        <v>0</v>
      </c>
      <c r="GV285">
        <v>0</v>
      </c>
      <c r="GW285">
        <v>0</v>
      </c>
      <c r="GX285">
        <v>0</v>
      </c>
      <c r="GY285">
        <v>0</v>
      </c>
      <c r="GZ285">
        <v>0</v>
      </c>
      <c r="HA285">
        <v>0</v>
      </c>
      <c r="HB285">
        <v>0</v>
      </c>
      <c r="HC285">
        <v>0</v>
      </c>
      <c r="HD285">
        <v>0</v>
      </c>
      <c r="HE285">
        <v>0</v>
      </c>
      <c r="HF285">
        <v>0</v>
      </c>
      <c r="HG285">
        <v>0</v>
      </c>
      <c r="HH285">
        <v>0</v>
      </c>
      <c r="HI285">
        <v>0</v>
      </c>
      <c r="HJ285">
        <v>0</v>
      </c>
      <c r="HK285">
        <v>0</v>
      </c>
      <c r="HL285">
        <v>0</v>
      </c>
      <c r="HM285">
        <v>0</v>
      </c>
      <c r="HN285">
        <v>0</v>
      </c>
      <c r="HO285">
        <v>0</v>
      </c>
      <c r="HP285">
        <v>0</v>
      </c>
      <c r="HQ285">
        <v>0</v>
      </c>
      <c r="HR285">
        <v>0</v>
      </c>
      <c r="HS285">
        <v>0</v>
      </c>
      <c r="HT285">
        <v>0</v>
      </c>
      <c r="HU285">
        <v>0</v>
      </c>
      <c r="HV285">
        <v>0</v>
      </c>
      <c r="HW285">
        <v>0</v>
      </c>
      <c r="HX285">
        <v>0</v>
      </c>
      <c r="HY285">
        <v>0</v>
      </c>
      <c r="HZ285">
        <v>0</v>
      </c>
      <c r="IA285">
        <v>0</v>
      </c>
      <c r="IB285">
        <v>0</v>
      </c>
      <c r="IC285">
        <v>0</v>
      </c>
      <c r="ID285">
        <v>0</v>
      </c>
      <c r="IE285">
        <v>0</v>
      </c>
      <c r="IF285">
        <v>0</v>
      </c>
      <c r="IG285">
        <v>0</v>
      </c>
      <c r="IH285">
        <v>0</v>
      </c>
      <c r="II285">
        <v>0</v>
      </c>
      <c r="IJ285">
        <v>0</v>
      </c>
      <c r="IK285">
        <v>0</v>
      </c>
      <c r="IL285">
        <v>0</v>
      </c>
      <c r="IM285">
        <v>0</v>
      </c>
      <c r="IN285">
        <v>0</v>
      </c>
      <c r="IO285">
        <v>0</v>
      </c>
      <c r="IP285">
        <v>0</v>
      </c>
      <c r="IQ285">
        <v>0</v>
      </c>
      <c r="IR285">
        <v>0</v>
      </c>
      <c r="IS285">
        <v>0</v>
      </c>
      <c r="IT285">
        <v>0</v>
      </c>
      <c r="IU285">
        <v>0</v>
      </c>
      <c r="IV285">
        <v>0</v>
      </c>
      <c r="IW285">
        <v>0</v>
      </c>
      <c r="IX285">
        <v>0</v>
      </c>
      <c r="IY285">
        <v>0</v>
      </c>
      <c r="IZ285">
        <v>0</v>
      </c>
      <c r="JA285">
        <v>0</v>
      </c>
      <c r="JB285">
        <v>0</v>
      </c>
      <c r="JC285">
        <v>0</v>
      </c>
      <c r="JD285">
        <v>0</v>
      </c>
      <c r="JE285">
        <v>0</v>
      </c>
      <c r="JF285">
        <v>0</v>
      </c>
      <c r="JG285">
        <v>0</v>
      </c>
      <c r="JH285">
        <v>0</v>
      </c>
      <c r="JI285">
        <v>0</v>
      </c>
      <c r="JJ285">
        <v>0</v>
      </c>
      <c r="JK285">
        <v>0</v>
      </c>
      <c r="JL285">
        <v>0</v>
      </c>
      <c r="JM285">
        <v>0</v>
      </c>
      <c r="JN285">
        <v>0</v>
      </c>
      <c r="JO285">
        <v>0</v>
      </c>
      <c r="JP285">
        <v>0</v>
      </c>
      <c r="JQ285">
        <v>0</v>
      </c>
      <c r="JR285">
        <v>0</v>
      </c>
      <c r="JS285">
        <v>0</v>
      </c>
      <c r="JT285">
        <v>0</v>
      </c>
      <c r="JU285">
        <v>0</v>
      </c>
      <c r="JV285">
        <v>0</v>
      </c>
      <c r="JW285">
        <v>0</v>
      </c>
      <c r="JX285">
        <v>0</v>
      </c>
      <c r="JY285">
        <v>0</v>
      </c>
      <c r="JZ285">
        <v>0</v>
      </c>
      <c r="KA285">
        <v>0</v>
      </c>
      <c r="KB285">
        <v>0</v>
      </c>
      <c r="KC285">
        <v>0</v>
      </c>
      <c r="KD285">
        <v>0</v>
      </c>
      <c r="KE285">
        <v>0</v>
      </c>
      <c r="KF285">
        <v>0</v>
      </c>
      <c r="KG285">
        <v>0</v>
      </c>
      <c r="KH285">
        <v>0</v>
      </c>
      <c r="KI285">
        <v>0</v>
      </c>
      <c r="KJ285">
        <v>0</v>
      </c>
      <c r="KK285">
        <v>0</v>
      </c>
      <c r="KL285">
        <v>0</v>
      </c>
      <c r="KM285">
        <v>0</v>
      </c>
      <c r="KN285">
        <v>0</v>
      </c>
      <c r="KO285">
        <v>0</v>
      </c>
      <c r="KP285">
        <v>0</v>
      </c>
      <c r="KQ285">
        <v>0</v>
      </c>
      <c r="KR285">
        <v>0</v>
      </c>
      <c r="KS285">
        <v>0</v>
      </c>
      <c r="KT285">
        <v>0</v>
      </c>
      <c r="KU285">
        <v>0</v>
      </c>
      <c r="KV285">
        <v>0</v>
      </c>
      <c r="KW285">
        <v>0</v>
      </c>
      <c r="KX285">
        <v>0</v>
      </c>
      <c r="KY285">
        <v>0</v>
      </c>
      <c r="KZ285">
        <v>0</v>
      </c>
      <c r="LA285">
        <v>0</v>
      </c>
      <c r="LB285">
        <v>0</v>
      </c>
      <c r="LC285">
        <v>0</v>
      </c>
      <c r="LD285">
        <v>0</v>
      </c>
      <c r="LE285">
        <v>0</v>
      </c>
      <c r="LF285">
        <v>0</v>
      </c>
      <c r="LG285">
        <v>0</v>
      </c>
      <c r="LH285">
        <v>0</v>
      </c>
      <c r="LI285">
        <v>0</v>
      </c>
      <c r="LJ285">
        <v>0</v>
      </c>
      <c r="LK285">
        <v>0</v>
      </c>
      <c r="LL285">
        <v>0</v>
      </c>
      <c r="LM285">
        <v>0</v>
      </c>
      <c r="LN285">
        <v>0</v>
      </c>
      <c r="LO285">
        <v>0</v>
      </c>
      <c r="LP285">
        <v>0</v>
      </c>
      <c r="LQ285">
        <v>0</v>
      </c>
      <c r="LR285">
        <v>0</v>
      </c>
      <c r="LS285">
        <v>0</v>
      </c>
      <c r="LT285">
        <v>0</v>
      </c>
      <c r="LU285">
        <v>0</v>
      </c>
      <c r="LV285">
        <v>0</v>
      </c>
      <c r="LW285">
        <v>0</v>
      </c>
      <c r="LX285">
        <v>0</v>
      </c>
      <c r="LY285">
        <v>0</v>
      </c>
      <c r="LZ285">
        <v>0</v>
      </c>
      <c r="MA285">
        <v>0</v>
      </c>
      <c r="MB285">
        <v>0</v>
      </c>
      <c r="MC285">
        <v>0</v>
      </c>
      <c r="MD285">
        <v>0</v>
      </c>
      <c r="ME285">
        <v>0</v>
      </c>
      <c r="MF285">
        <v>0</v>
      </c>
      <c r="MG285">
        <v>0</v>
      </c>
      <c r="MH285">
        <v>0</v>
      </c>
      <c r="MI285">
        <v>0</v>
      </c>
      <c r="MJ285">
        <v>0</v>
      </c>
      <c r="MK285">
        <v>0</v>
      </c>
      <c r="ML285">
        <v>0</v>
      </c>
      <c r="MM285">
        <v>0</v>
      </c>
      <c r="MN285">
        <v>0</v>
      </c>
      <c r="MO285">
        <v>0</v>
      </c>
      <c r="MP285">
        <v>0</v>
      </c>
      <c r="MQ285">
        <v>0</v>
      </c>
      <c r="MR285">
        <v>0</v>
      </c>
      <c r="MS285">
        <v>0</v>
      </c>
      <c r="MT285">
        <v>0</v>
      </c>
      <c r="MU285">
        <v>0</v>
      </c>
      <c r="MV285">
        <v>0</v>
      </c>
      <c r="MW285">
        <v>0</v>
      </c>
      <c r="MX285">
        <v>0</v>
      </c>
      <c r="MY285">
        <v>0</v>
      </c>
      <c r="MZ285">
        <v>0</v>
      </c>
      <c r="NA285">
        <v>0</v>
      </c>
      <c r="NB285">
        <v>0</v>
      </c>
      <c r="NC285">
        <v>0</v>
      </c>
      <c r="ND285">
        <v>0</v>
      </c>
      <c r="NE285">
        <v>0</v>
      </c>
    </row>
    <row r="286" spans="41:369" x14ac:dyDescent="0.45">
      <c r="AO286" t="str">
        <v>D162</v>
      </c>
      <c r="AP286" t="str">
        <v>ABDURAHMAN P.H</v>
      </c>
      <c r="AQ286" t="str">
        <v>BADF</v>
      </c>
      <c r="AR286" t="str">
        <v>SUPER SENIOR</v>
      </c>
      <c r="AS286">
        <v>9</v>
      </c>
      <c r="AT286">
        <v>38</v>
      </c>
      <c r="AU286">
        <v>0</v>
      </c>
      <c r="AV286">
        <v>38</v>
      </c>
      <c r="AW286">
        <v>38</v>
      </c>
      <c r="AX286">
        <v>26</v>
      </c>
      <c r="AY286" s="5">
        <v>26</v>
      </c>
      <c r="AZ286">
        <v>0</v>
      </c>
      <c r="BA286">
        <v>0</v>
      </c>
      <c r="BB286">
        <v>0</v>
      </c>
      <c r="BC286">
        <v>0</v>
      </c>
      <c r="BD286">
        <v>0</v>
      </c>
      <c r="BE286">
        <v>0</v>
      </c>
      <c r="BF286">
        <v>0</v>
      </c>
      <c r="BG286">
        <v>0</v>
      </c>
      <c r="BH286">
        <v>0</v>
      </c>
      <c r="BI286" t="str">
        <v/>
      </c>
      <c r="BK286">
        <v>280</v>
      </c>
      <c r="BL286">
        <v>0</v>
      </c>
      <c r="BM286">
        <v>0</v>
      </c>
      <c r="BN286">
        <v>0</v>
      </c>
      <c r="BO286">
        <v>0</v>
      </c>
      <c r="BP286">
        <v>0</v>
      </c>
      <c r="BQ286">
        <v>0</v>
      </c>
      <c r="BR286">
        <v>0</v>
      </c>
      <c r="BS286">
        <v>0</v>
      </c>
      <c r="BT286">
        <v>0</v>
      </c>
      <c r="BU286">
        <v>0</v>
      </c>
      <c r="BV286">
        <v>0</v>
      </c>
      <c r="BW286">
        <v>0</v>
      </c>
      <c r="BX286">
        <v>0</v>
      </c>
      <c r="BY286">
        <v>0</v>
      </c>
      <c r="BZ286">
        <v>0</v>
      </c>
      <c r="CA286">
        <v>0</v>
      </c>
      <c r="CB286">
        <v>0</v>
      </c>
      <c r="CC286">
        <v>0</v>
      </c>
      <c r="CD286">
        <v>0</v>
      </c>
      <c r="CE286">
        <v>0</v>
      </c>
      <c r="CF286">
        <v>0</v>
      </c>
      <c r="CG286">
        <v>0</v>
      </c>
      <c r="CH286">
        <v>0</v>
      </c>
      <c r="CI286">
        <v>0</v>
      </c>
      <c r="CJ286">
        <v>0</v>
      </c>
      <c r="CK286">
        <v>0</v>
      </c>
      <c r="CL286">
        <v>0</v>
      </c>
      <c r="CM286">
        <v>0</v>
      </c>
      <c r="CN286">
        <v>0</v>
      </c>
      <c r="CO286">
        <v>0</v>
      </c>
      <c r="CP286">
        <v>0</v>
      </c>
      <c r="CQ286">
        <v>0</v>
      </c>
      <c r="CR286">
        <v>0</v>
      </c>
      <c r="CS286">
        <v>0</v>
      </c>
      <c r="CT286">
        <v>0</v>
      </c>
      <c r="CU286">
        <v>0</v>
      </c>
      <c r="CV286">
        <v>0</v>
      </c>
      <c r="CW286">
        <v>0</v>
      </c>
      <c r="CX286">
        <v>0</v>
      </c>
      <c r="CY286">
        <v>0</v>
      </c>
      <c r="CZ286">
        <v>0</v>
      </c>
      <c r="DA286">
        <v>0</v>
      </c>
      <c r="DB286">
        <v>0</v>
      </c>
      <c r="DC286">
        <v>0</v>
      </c>
      <c r="DD286">
        <v>0</v>
      </c>
      <c r="DE286">
        <v>0</v>
      </c>
      <c r="DF286">
        <v>0</v>
      </c>
      <c r="DG286">
        <v>0</v>
      </c>
      <c r="DH286">
        <v>0</v>
      </c>
      <c r="DI286">
        <v>0</v>
      </c>
      <c r="DJ286">
        <v>0</v>
      </c>
      <c r="DK286">
        <v>0</v>
      </c>
      <c r="DL286">
        <v>0</v>
      </c>
      <c r="DM286">
        <v>0</v>
      </c>
      <c r="DN286">
        <v>0</v>
      </c>
      <c r="DO286">
        <v>0</v>
      </c>
      <c r="DP286">
        <v>0</v>
      </c>
      <c r="DQ286">
        <v>0</v>
      </c>
      <c r="DR286">
        <v>0</v>
      </c>
      <c r="DS286">
        <v>0</v>
      </c>
      <c r="DT286">
        <v>0</v>
      </c>
      <c r="DU286">
        <v>0</v>
      </c>
      <c r="DV286">
        <v>0</v>
      </c>
      <c r="DW286">
        <v>0</v>
      </c>
      <c r="DX286">
        <v>0</v>
      </c>
      <c r="DY286">
        <v>0</v>
      </c>
      <c r="DZ286">
        <v>0</v>
      </c>
      <c r="EA286">
        <v>0</v>
      </c>
      <c r="EB286">
        <v>0</v>
      </c>
      <c r="EC286">
        <v>0</v>
      </c>
      <c r="ED286">
        <v>0</v>
      </c>
      <c r="EE286">
        <v>0</v>
      </c>
      <c r="EF286">
        <v>0</v>
      </c>
      <c r="EG286">
        <v>0</v>
      </c>
      <c r="EH286">
        <v>0</v>
      </c>
      <c r="EI286">
        <v>0</v>
      </c>
      <c r="EJ286">
        <v>0</v>
      </c>
      <c r="EK286">
        <v>0</v>
      </c>
      <c r="EL286">
        <v>0</v>
      </c>
      <c r="EM286">
        <v>0</v>
      </c>
      <c r="EN286">
        <v>0</v>
      </c>
      <c r="EO286">
        <v>0</v>
      </c>
      <c r="EP286">
        <v>0</v>
      </c>
      <c r="EQ286">
        <v>0</v>
      </c>
      <c r="ER286">
        <v>0</v>
      </c>
      <c r="ES286">
        <v>0</v>
      </c>
      <c r="ET286">
        <v>0</v>
      </c>
      <c r="EU286">
        <v>0</v>
      </c>
      <c r="EV286">
        <v>0</v>
      </c>
      <c r="EW286">
        <v>0</v>
      </c>
      <c r="EX286">
        <v>0</v>
      </c>
      <c r="EY286">
        <v>0</v>
      </c>
      <c r="EZ286">
        <v>0</v>
      </c>
      <c r="FA286">
        <v>0</v>
      </c>
      <c r="FB286">
        <v>0</v>
      </c>
      <c r="FC286">
        <v>0</v>
      </c>
      <c r="FD286">
        <v>0</v>
      </c>
      <c r="FE286">
        <v>0</v>
      </c>
      <c r="FF286">
        <v>0</v>
      </c>
      <c r="FG286">
        <v>0</v>
      </c>
      <c r="FH286">
        <v>0</v>
      </c>
      <c r="FI286">
        <v>0</v>
      </c>
      <c r="FJ286">
        <v>0</v>
      </c>
      <c r="FK286">
        <v>0</v>
      </c>
      <c r="FL286">
        <v>0</v>
      </c>
      <c r="FM286">
        <v>0</v>
      </c>
      <c r="FN286">
        <v>0</v>
      </c>
      <c r="FO286">
        <v>0</v>
      </c>
      <c r="FP286">
        <v>0</v>
      </c>
      <c r="FQ286">
        <v>0</v>
      </c>
      <c r="FR286">
        <v>0</v>
      </c>
      <c r="FS286">
        <v>0</v>
      </c>
      <c r="FT286">
        <v>0</v>
      </c>
      <c r="FU286">
        <v>0</v>
      </c>
      <c r="FV286">
        <v>0</v>
      </c>
      <c r="FW286">
        <v>0</v>
      </c>
      <c r="FX286">
        <v>0</v>
      </c>
      <c r="FY286">
        <v>0</v>
      </c>
      <c r="FZ286">
        <v>0</v>
      </c>
      <c r="GA286">
        <v>0</v>
      </c>
      <c r="GB286">
        <v>0</v>
      </c>
      <c r="GC286">
        <v>0</v>
      </c>
      <c r="GD286">
        <v>0</v>
      </c>
      <c r="GE286">
        <v>0</v>
      </c>
      <c r="GF286">
        <v>0</v>
      </c>
      <c r="GG286">
        <v>0</v>
      </c>
      <c r="GH286">
        <v>0</v>
      </c>
      <c r="GI286">
        <v>0</v>
      </c>
      <c r="GJ286">
        <v>0</v>
      </c>
      <c r="GK286">
        <v>0</v>
      </c>
      <c r="GL286">
        <v>0</v>
      </c>
      <c r="GM286">
        <v>0</v>
      </c>
      <c r="GN286">
        <v>0</v>
      </c>
      <c r="GO286">
        <v>0</v>
      </c>
      <c r="GP286">
        <v>0</v>
      </c>
      <c r="GQ286">
        <v>0</v>
      </c>
      <c r="GR286">
        <v>0</v>
      </c>
      <c r="GS286">
        <v>0</v>
      </c>
      <c r="GT286">
        <v>0</v>
      </c>
      <c r="GU286">
        <v>0</v>
      </c>
      <c r="GV286">
        <v>0</v>
      </c>
      <c r="GW286">
        <v>0</v>
      </c>
      <c r="GX286">
        <v>0</v>
      </c>
      <c r="GY286">
        <v>0</v>
      </c>
      <c r="GZ286">
        <v>0</v>
      </c>
      <c r="HA286">
        <v>0</v>
      </c>
      <c r="HB286">
        <v>0</v>
      </c>
      <c r="HC286">
        <v>0</v>
      </c>
      <c r="HD286">
        <v>0</v>
      </c>
      <c r="HE286">
        <v>0</v>
      </c>
      <c r="HF286">
        <v>0</v>
      </c>
      <c r="HG286">
        <v>0</v>
      </c>
      <c r="HH286">
        <v>0</v>
      </c>
      <c r="HI286">
        <v>0</v>
      </c>
      <c r="HJ286">
        <v>0</v>
      </c>
      <c r="HK286">
        <v>0</v>
      </c>
      <c r="HL286">
        <v>0</v>
      </c>
      <c r="HM286">
        <v>0</v>
      </c>
      <c r="HN286">
        <v>0</v>
      </c>
      <c r="HO286">
        <v>0</v>
      </c>
      <c r="HP286">
        <v>0</v>
      </c>
      <c r="HQ286">
        <v>0</v>
      </c>
      <c r="HR286">
        <v>0</v>
      </c>
      <c r="HS286">
        <v>0</v>
      </c>
      <c r="HT286">
        <v>0</v>
      </c>
      <c r="HU286">
        <v>0</v>
      </c>
      <c r="HV286">
        <v>0</v>
      </c>
      <c r="HW286">
        <v>0</v>
      </c>
      <c r="HX286">
        <v>0</v>
      </c>
      <c r="HY286">
        <v>0</v>
      </c>
      <c r="HZ286">
        <v>0</v>
      </c>
      <c r="IA286">
        <v>0</v>
      </c>
      <c r="IB286">
        <v>0</v>
      </c>
      <c r="IC286">
        <v>0</v>
      </c>
      <c r="ID286">
        <v>0</v>
      </c>
      <c r="IE286">
        <v>0</v>
      </c>
      <c r="IF286">
        <v>0</v>
      </c>
      <c r="IG286">
        <v>0</v>
      </c>
      <c r="IH286">
        <v>0</v>
      </c>
      <c r="II286">
        <v>0</v>
      </c>
      <c r="IJ286">
        <v>0</v>
      </c>
      <c r="IK286">
        <v>0</v>
      </c>
      <c r="IL286">
        <v>0</v>
      </c>
      <c r="IM286">
        <v>0</v>
      </c>
      <c r="IN286">
        <v>0</v>
      </c>
      <c r="IO286">
        <v>0</v>
      </c>
      <c r="IP286">
        <v>0</v>
      </c>
      <c r="IQ286">
        <v>0</v>
      </c>
      <c r="IR286">
        <v>0</v>
      </c>
      <c r="IS286">
        <v>0</v>
      </c>
      <c r="IT286">
        <v>0</v>
      </c>
      <c r="IU286">
        <v>0</v>
      </c>
      <c r="IV286">
        <v>0</v>
      </c>
      <c r="IW286">
        <v>0</v>
      </c>
      <c r="IX286">
        <v>0</v>
      </c>
      <c r="IY286">
        <v>0</v>
      </c>
      <c r="IZ286">
        <v>0</v>
      </c>
      <c r="JA286">
        <v>0</v>
      </c>
      <c r="JB286">
        <v>0</v>
      </c>
      <c r="JC286">
        <v>0</v>
      </c>
      <c r="JD286">
        <v>0</v>
      </c>
      <c r="JE286">
        <v>0</v>
      </c>
      <c r="JF286">
        <v>0</v>
      </c>
      <c r="JG286">
        <v>0</v>
      </c>
      <c r="JH286">
        <v>0</v>
      </c>
      <c r="JI286">
        <v>0</v>
      </c>
      <c r="JJ286">
        <v>0</v>
      </c>
      <c r="JK286">
        <v>0</v>
      </c>
      <c r="JL286">
        <v>0</v>
      </c>
      <c r="JM286">
        <v>0</v>
      </c>
      <c r="JN286">
        <v>0</v>
      </c>
      <c r="JO286">
        <v>0</v>
      </c>
      <c r="JP286">
        <v>0</v>
      </c>
      <c r="JQ286">
        <v>0</v>
      </c>
      <c r="JR286">
        <v>0</v>
      </c>
      <c r="JS286">
        <v>0</v>
      </c>
      <c r="JT286">
        <v>0</v>
      </c>
      <c r="JU286">
        <v>0</v>
      </c>
      <c r="JV286">
        <v>0</v>
      </c>
      <c r="JW286">
        <v>0</v>
      </c>
      <c r="JX286">
        <v>0</v>
      </c>
      <c r="JY286">
        <v>0</v>
      </c>
      <c r="JZ286">
        <v>0</v>
      </c>
      <c r="KA286">
        <v>0</v>
      </c>
      <c r="KB286">
        <v>0</v>
      </c>
      <c r="KC286">
        <v>0</v>
      </c>
      <c r="KD286">
        <v>0</v>
      </c>
      <c r="KE286">
        <v>0</v>
      </c>
      <c r="KF286">
        <v>0</v>
      </c>
      <c r="KG286">
        <v>0</v>
      </c>
      <c r="KH286">
        <v>0</v>
      </c>
      <c r="KI286">
        <v>0</v>
      </c>
      <c r="KJ286">
        <v>0</v>
      </c>
      <c r="KK286">
        <v>0</v>
      </c>
      <c r="KL286">
        <v>0</v>
      </c>
      <c r="KM286">
        <v>0</v>
      </c>
      <c r="KN286">
        <v>0</v>
      </c>
      <c r="KO286">
        <v>0</v>
      </c>
      <c r="KP286">
        <v>0</v>
      </c>
      <c r="KQ286">
        <v>0</v>
      </c>
      <c r="KR286">
        <v>0</v>
      </c>
      <c r="KS286">
        <v>0</v>
      </c>
      <c r="KT286">
        <v>0</v>
      </c>
      <c r="KU286">
        <v>0</v>
      </c>
      <c r="KV286">
        <v>0</v>
      </c>
      <c r="KW286">
        <v>0</v>
      </c>
      <c r="KX286">
        <v>0</v>
      </c>
      <c r="KY286">
        <v>0</v>
      </c>
      <c r="KZ286">
        <v>0</v>
      </c>
      <c r="LA286">
        <v>0</v>
      </c>
      <c r="LB286">
        <v>0</v>
      </c>
      <c r="LC286">
        <v>0</v>
      </c>
      <c r="LD286">
        <v>0</v>
      </c>
      <c r="LE286">
        <v>0</v>
      </c>
      <c r="LF286">
        <v>0</v>
      </c>
      <c r="LG286">
        <v>0</v>
      </c>
      <c r="LH286">
        <v>0</v>
      </c>
      <c r="LI286">
        <v>0</v>
      </c>
      <c r="LJ286">
        <v>0</v>
      </c>
      <c r="LK286">
        <v>0</v>
      </c>
      <c r="LL286">
        <v>0</v>
      </c>
      <c r="LM286">
        <v>0</v>
      </c>
      <c r="LN286">
        <v>0</v>
      </c>
      <c r="LO286">
        <v>0</v>
      </c>
      <c r="LP286">
        <v>0</v>
      </c>
      <c r="LQ286">
        <v>0</v>
      </c>
      <c r="LR286">
        <v>0</v>
      </c>
      <c r="LS286">
        <v>0</v>
      </c>
      <c r="LT286">
        <v>0</v>
      </c>
      <c r="LU286">
        <v>0</v>
      </c>
      <c r="LV286">
        <v>0</v>
      </c>
      <c r="LW286">
        <v>0</v>
      </c>
      <c r="LX286">
        <v>0</v>
      </c>
      <c r="LY286">
        <v>0</v>
      </c>
      <c r="LZ286">
        <v>0</v>
      </c>
      <c r="MA286">
        <v>0</v>
      </c>
      <c r="MB286">
        <v>0</v>
      </c>
      <c r="MC286">
        <v>0</v>
      </c>
      <c r="MD286">
        <v>0</v>
      </c>
      <c r="ME286">
        <v>0</v>
      </c>
      <c r="MF286">
        <v>0</v>
      </c>
      <c r="MG286">
        <v>0</v>
      </c>
      <c r="MH286">
        <v>0</v>
      </c>
      <c r="MI286">
        <v>0</v>
      </c>
      <c r="MJ286">
        <v>0</v>
      </c>
      <c r="MK286">
        <v>0</v>
      </c>
      <c r="ML286">
        <v>0</v>
      </c>
      <c r="MM286">
        <v>0</v>
      </c>
      <c r="MN286">
        <v>0</v>
      </c>
      <c r="MO286">
        <v>0</v>
      </c>
      <c r="MP286">
        <v>0</v>
      </c>
      <c r="MQ286">
        <v>0</v>
      </c>
      <c r="MR286">
        <v>0</v>
      </c>
      <c r="MS286">
        <v>0</v>
      </c>
      <c r="MT286">
        <v>0</v>
      </c>
      <c r="MU286">
        <v>0</v>
      </c>
      <c r="MV286">
        <v>0</v>
      </c>
      <c r="MW286">
        <v>0</v>
      </c>
      <c r="MX286">
        <v>0</v>
      </c>
      <c r="MY286">
        <v>0</v>
      </c>
      <c r="MZ286">
        <v>0</v>
      </c>
      <c r="NA286">
        <v>0</v>
      </c>
      <c r="NB286">
        <v>0</v>
      </c>
      <c r="NC286">
        <v>0</v>
      </c>
      <c r="ND286">
        <v>0</v>
      </c>
      <c r="NE286">
        <v>0</v>
      </c>
    </row>
    <row r="287" spans="41:369" x14ac:dyDescent="0.45">
      <c r="AO287" t="str">
        <v>D163</v>
      </c>
      <c r="AP287" t="str">
        <v>ABDUL JANIS</v>
      </c>
      <c r="AQ287" t="str">
        <v>FANT</v>
      </c>
      <c r="AR287" t="str">
        <v>SUPER SENIOR</v>
      </c>
      <c r="AS287">
        <v>9</v>
      </c>
      <c r="AT287">
        <v>0</v>
      </c>
      <c r="AU287">
        <v>0</v>
      </c>
      <c r="AV287">
        <v>0</v>
      </c>
      <c r="AW287">
        <v>0</v>
      </c>
      <c r="AX287">
        <v>255</v>
      </c>
      <c r="AY287" s="5">
        <v>255</v>
      </c>
      <c r="AZ287">
        <v>0</v>
      </c>
      <c r="BA287">
        <v>0</v>
      </c>
      <c r="BB287">
        <v>0</v>
      </c>
      <c r="BC287">
        <v>0</v>
      </c>
      <c r="BD287">
        <v>0</v>
      </c>
      <c r="BE287">
        <v>0</v>
      </c>
      <c r="BF287">
        <v>0</v>
      </c>
      <c r="BG287">
        <v>0</v>
      </c>
      <c r="BH287">
        <v>0</v>
      </c>
      <c r="BI287" t="str">
        <v/>
      </c>
      <c r="BK287">
        <v>281</v>
      </c>
      <c r="BL287">
        <v>0</v>
      </c>
      <c r="BM287">
        <v>0</v>
      </c>
      <c r="BN287">
        <v>0</v>
      </c>
      <c r="BO287">
        <v>0</v>
      </c>
      <c r="BP287">
        <v>0</v>
      </c>
      <c r="BQ287">
        <v>0</v>
      </c>
      <c r="BR287">
        <v>0</v>
      </c>
      <c r="BS287">
        <v>0</v>
      </c>
      <c r="BT287">
        <v>0</v>
      </c>
      <c r="BU287">
        <v>0</v>
      </c>
      <c r="BV287">
        <v>0</v>
      </c>
      <c r="BW287">
        <v>0</v>
      </c>
      <c r="BX287">
        <v>0</v>
      </c>
      <c r="BY287">
        <v>0</v>
      </c>
      <c r="BZ287">
        <v>0</v>
      </c>
      <c r="CA287">
        <v>0</v>
      </c>
      <c r="CB287">
        <v>0</v>
      </c>
      <c r="CC287">
        <v>0</v>
      </c>
      <c r="CD287">
        <v>0</v>
      </c>
      <c r="CE287">
        <v>0</v>
      </c>
      <c r="CF287">
        <v>0</v>
      </c>
      <c r="CG287">
        <v>0</v>
      </c>
      <c r="CH287">
        <v>0</v>
      </c>
      <c r="CI287">
        <v>0</v>
      </c>
      <c r="CJ287">
        <v>0</v>
      </c>
      <c r="CK287">
        <v>0</v>
      </c>
      <c r="CL287">
        <v>0</v>
      </c>
      <c r="CM287">
        <v>0</v>
      </c>
      <c r="CN287">
        <v>0</v>
      </c>
      <c r="CO287">
        <v>0</v>
      </c>
      <c r="CP287">
        <v>0</v>
      </c>
      <c r="CQ287">
        <v>0</v>
      </c>
      <c r="CR287">
        <v>0</v>
      </c>
      <c r="CS287">
        <v>0</v>
      </c>
      <c r="CT287">
        <v>0</v>
      </c>
      <c r="CU287">
        <v>0</v>
      </c>
      <c r="CV287">
        <v>0</v>
      </c>
      <c r="CW287">
        <v>0</v>
      </c>
      <c r="CX287">
        <v>0</v>
      </c>
      <c r="CY287">
        <v>0</v>
      </c>
      <c r="CZ287">
        <v>0</v>
      </c>
      <c r="DA287">
        <v>0</v>
      </c>
      <c r="DB287">
        <v>0</v>
      </c>
      <c r="DC287">
        <v>0</v>
      </c>
      <c r="DD287">
        <v>0</v>
      </c>
      <c r="DE287">
        <v>0</v>
      </c>
      <c r="DF287">
        <v>0</v>
      </c>
      <c r="DG287">
        <v>0</v>
      </c>
      <c r="DH287">
        <v>0</v>
      </c>
      <c r="DI287">
        <v>0</v>
      </c>
      <c r="DJ287">
        <v>0</v>
      </c>
      <c r="DK287">
        <v>0</v>
      </c>
      <c r="DL287">
        <v>0</v>
      </c>
      <c r="DM287">
        <v>0</v>
      </c>
      <c r="DN287">
        <v>0</v>
      </c>
      <c r="DO287">
        <v>0</v>
      </c>
      <c r="DP287">
        <v>0</v>
      </c>
      <c r="DQ287">
        <v>0</v>
      </c>
      <c r="DR287">
        <v>0</v>
      </c>
      <c r="DS287">
        <v>0</v>
      </c>
      <c r="DT287">
        <v>0</v>
      </c>
      <c r="DU287">
        <v>0</v>
      </c>
      <c r="DV287">
        <v>0</v>
      </c>
      <c r="DW287">
        <v>0</v>
      </c>
      <c r="DX287">
        <v>0</v>
      </c>
      <c r="DY287">
        <v>0</v>
      </c>
      <c r="DZ287">
        <v>0</v>
      </c>
      <c r="EA287">
        <v>0</v>
      </c>
      <c r="EB287">
        <v>0</v>
      </c>
      <c r="EC287">
        <v>0</v>
      </c>
      <c r="ED287">
        <v>0</v>
      </c>
      <c r="EE287">
        <v>0</v>
      </c>
      <c r="EF287">
        <v>0</v>
      </c>
      <c r="EG287">
        <v>0</v>
      </c>
      <c r="EH287">
        <v>0</v>
      </c>
      <c r="EI287">
        <v>0</v>
      </c>
      <c r="EJ287">
        <v>0</v>
      </c>
      <c r="EK287">
        <v>0</v>
      </c>
      <c r="EL287">
        <v>0</v>
      </c>
      <c r="EM287">
        <v>0</v>
      </c>
      <c r="EN287">
        <v>0</v>
      </c>
      <c r="EO287">
        <v>0</v>
      </c>
      <c r="EP287">
        <v>0</v>
      </c>
      <c r="EQ287">
        <v>0</v>
      </c>
      <c r="ER287">
        <v>0</v>
      </c>
      <c r="ES287">
        <v>0</v>
      </c>
      <c r="ET287">
        <v>0</v>
      </c>
      <c r="EU287">
        <v>0</v>
      </c>
      <c r="EV287">
        <v>0</v>
      </c>
      <c r="EW287">
        <v>0</v>
      </c>
      <c r="EX287">
        <v>0</v>
      </c>
      <c r="EY287">
        <v>0</v>
      </c>
      <c r="EZ287">
        <v>0</v>
      </c>
      <c r="FA287">
        <v>0</v>
      </c>
      <c r="FB287">
        <v>0</v>
      </c>
      <c r="FC287">
        <v>0</v>
      </c>
      <c r="FD287">
        <v>0</v>
      </c>
      <c r="FE287">
        <v>0</v>
      </c>
      <c r="FF287">
        <v>0</v>
      </c>
      <c r="FG287">
        <v>0</v>
      </c>
      <c r="FH287">
        <v>0</v>
      </c>
      <c r="FI287">
        <v>0</v>
      </c>
      <c r="FJ287">
        <v>0</v>
      </c>
      <c r="FK287">
        <v>0</v>
      </c>
      <c r="FL287">
        <v>0</v>
      </c>
      <c r="FM287">
        <v>0</v>
      </c>
      <c r="FN287">
        <v>0</v>
      </c>
      <c r="FO287">
        <v>0</v>
      </c>
      <c r="FP287">
        <v>0</v>
      </c>
      <c r="FQ287">
        <v>0</v>
      </c>
      <c r="FR287">
        <v>0</v>
      </c>
      <c r="FS287">
        <v>0</v>
      </c>
      <c r="FT287">
        <v>0</v>
      </c>
      <c r="FU287">
        <v>0</v>
      </c>
      <c r="FV287">
        <v>0</v>
      </c>
      <c r="FW287">
        <v>0</v>
      </c>
      <c r="FX287">
        <v>0</v>
      </c>
      <c r="FY287">
        <v>0</v>
      </c>
      <c r="FZ287">
        <v>0</v>
      </c>
      <c r="GA287">
        <v>0</v>
      </c>
      <c r="GB287">
        <v>0</v>
      </c>
      <c r="GC287">
        <v>0</v>
      </c>
      <c r="GD287">
        <v>0</v>
      </c>
      <c r="GE287">
        <v>0</v>
      </c>
      <c r="GF287">
        <v>0</v>
      </c>
      <c r="GG287">
        <v>0</v>
      </c>
      <c r="GH287">
        <v>0</v>
      </c>
      <c r="GI287">
        <v>0</v>
      </c>
      <c r="GJ287">
        <v>0</v>
      </c>
      <c r="GK287">
        <v>0</v>
      </c>
      <c r="GL287">
        <v>0</v>
      </c>
      <c r="GM287">
        <v>0</v>
      </c>
      <c r="GN287">
        <v>0</v>
      </c>
      <c r="GO287">
        <v>0</v>
      </c>
      <c r="GP287">
        <v>0</v>
      </c>
      <c r="GQ287">
        <v>0</v>
      </c>
      <c r="GR287">
        <v>0</v>
      </c>
      <c r="GS287">
        <v>0</v>
      </c>
      <c r="GT287">
        <v>0</v>
      </c>
      <c r="GU287">
        <v>0</v>
      </c>
      <c r="GV287">
        <v>0</v>
      </c>
      <c r="GW287">
        <v>0</v>
      </c>
      <c r="GX287">
        <v>0</v>
      </c>
      <c r="GY287">
        <v>0</v>
      </c>
      <c r="GZ287">
        <v>0</v>
      </c>
      <c r="HA287">
        <v>0</v>
      </c>
      <c r="HB287">
        <v>0</v>
      </c>
      <c r="HC287">
        <v>0</v>
      </c>
      <c r="HD287">
        <v>0</v>
      </c>
      <c r="HE287">
        <v>0</v>
      </c>
      <c r="HF287">
        <v>0</v>
      </c>
      <c r="HG287">
        <v>0</v>
      </c>
      <c r="HH287">
        <v>0</v>
      </c>
      <c r="HI287">
        <v>0</v>
      </c>
      <c r="HJ287">
        <v>0</v>
      </c>
      <c r="HK287">
        <v>0</v>
      </c>
      <c r="HL287">
        <v>0</v>
      </c>
      <c r="HM287">
        <v>0</v>
      </c>
      <c r="HN287">
        <v>0</v>
      </c>
      <c r="HO287">
        <v>0</v>
      </c>
      <c r="HP287">
        <v>0</v>
      </c>
      <c r="HQ287">
        <v>0</v>
      </c>
      <c r="HR287">
        <v>0</v>
      </c>
      <c r="HS287">
        <v>0</v>
      </c>
      <c r="HT287">
        <v>0</v>
      </c>
      <c r="HU287">
        <v>0</v>
      </c>
      <c r="HV287">
        <v>0</v>
      </c>
      <c r="HW287">
        <v>0</v>
      </c>
      <c r="HX287">
        <v>0</v>
      </c>
      <c r="HY287">
        <v>0</v>
      </c>
      <c r="HZ287">
        <v>0</v>
      </c>
      <c r="IA287">
        <v>0</v>
      </c>
      <c r="IB287">
        <v>0</v>
      </c>
      <c r="IC287">
        <v>0</v>
      </c>
      <c r="ID287">
        <v>0</v>
      </c>
      <c r="IE287">
        <v>0</v>
      </c>
      <c r="IF287">
        <v>0</v>
      </c>
      <c r="IG287">
        <v>0</v>
      </c>
      <c r="IH287">
        <v>0</v>
      </c>
      <c r="II287">
        <v>0</v>
      </c>
      <c r="IJ287">
        <v>0</v>
      </c>
      <c r="IK287">
        <v>0</v>
      </c>
      <c r="IL287">
        <v>0</v>
      </c>
      <c r="IM287">
        <v>0</v>
      </c>
      <c r="IN287">
        <v>0</v>
      </c>
      <c r="IO287">
        <v>0</v>
      </c>
      <c r="IP287">
        <v>0</v>
      </c>
      <c r="IQ287">
        <v>0</v>
      </c>
      <c r="IR287">
        <v>0</v>
      </c>
      <c r="IS287">
        <v>0</v>
      </c>
      <c r="IT287">
        <v>0</v>
      </c>
      <c r="IU287">
        <v>0</v>
      </c>
      <c r="IV287">
        <v>0</v>
      </c>
      <c r="IW287">
        <v>0</v>
      </c>
      <c r="IX287">
        <v>0</v>
      </c>
      <c r="IY287">
        <v>0</v>
      </c>
      <c r="IZ287">
        <v>0</v>
      </c>
      <c r="JA287">
        <v>0</v>
      </c>
      <c r="JB287">
        <v>0</v>
      </c>
      <c r="JC287">
        <v>0</v>
      </c>
      <c r="JD287">
        <v>0</v>
      </c>
      <c r="JE287">
        <v>0</v>
      </c>
      <c r="JF287">
        <v>0</v>
      </c>
      <c r="JG287">
        <v>0</v>
      </c>
      <c r="JH287">
        <v>0</v>
      </c>
      <c r="JI287">
        <v>0</v>
      </c>
      <c r="JJ287">
        <v>0</v>
      </c>
      <c r="JK287">
        <v>0</v>
      </c>
      <c r="JL287">
        <v>0</v>
      </c>
      <c r="JM287">
        <v>0</v>
      </c>
      <c r="JN287">
        <v>0</v>
      </c>
      <c r="JO287">
        <v>0</v>
      </c>
      <c r="JP287">
        <v>0</v>
      </c>
      <c r="JQ287">
        <v>0</v>
      </c>
      <c r="JR287">
        <v>0</v>
      </c>
      <c r="JS287">
        <v>0</v>
      </c>
      <c r="JT287">
        <v>0</v>
      </c>
      <c r="JU287">
        <v>0</v>
      </c>
      <c r="JV287">
        <v>0</v>
      </c>
      <c r="JW287">
        <v>0</v>
      </c>
      <c r="JX287">
        <v>0</v>
      </c>
      <c r="JY287">
        <v>0</v>
      </c>
      <c r="JZ287">
        <v>0</v>
      </c>
      <c r="KA287">
        <v>0</v>
      </c>
      <c r="KB287">
        <v>0</v>
      </c>
      <c r="KC287">
        <v>0</v>
      </c>
      <c r="KD287">
        <v>0</v>
      </c>
      <c r="KE287">
        <v>0</v>
      </c>
      <c r="KF287">
        <v>0</v>
      </c>
      <c r="KG287">
        <v>0</v>
      </c>
      <c r="KH287">
        <v>0</v>
      </c>
      <c r="KI287">
        <v>0</v>
      </c>
      <c r="KJ287">
        <v>0</v>
      </c>
      <c r="KK287">
        <v>0</v>
      </c>
      <c r="KL287">
        <v>0</v>
      </c>
      <c r="KM287">
        <v>0</v>
      </c>
      <c r="KN287">
        <v>0</v>
      </c>
      <c r="KO287">
        <v>0</v>
      </c>
      <c r="KP287">
        <v>0</v>
      </c>
      <c r="KQ287">
        <v>0</v>
      </c>
      <c r="KR287">
        <v>0</v>
      </c>
      <c r="KS287">
        <v>0</v>
      </c>
      <c r="KT287">
        <v>0</v>
      </c>
      <c r="KU287">
        <v>0</v>
      </c>
      <c r="KV287">
        <v>0</v>
      </c>
      <c r="KW287">
        <v>0</v>
      </c>
      <c r="KX287">
        <v>0</v>
      </c>
      <c r="KY287">
        <v>0</v>
      </c>
      <c r="KZ287">
        <v>0</v>
      </c>
      <c r="LA287">
        <v>0</v>
      </c>
      <c r="LB287">
        <v>0</v>
      </c>
      <c r="LC287">
        <v>0</v>
      </c>
      <c r="LD287">
        <v>0</v>
      </c>
      <c r="LE287">
        <v>0</v>
      </c>
      <c r="LF287">
        <v>0</v>
      </c>
      <c r="LG287">
        <v>0</v>
      </c>
      <c r="LH287">
        <v>0</v>
      </c>
      <c r="LI287">
        <v>0</v>
      </c>
      <c r="LJ287">
        <v>0</v>
      </c>
      <c r="LK287">
        <v>0</v>
      </c>
      <c r="LL287">
        <v>0</v>
      </c>
      <c r="LM287">
        <v>0</v>
      </c>
      <c r="LN287">
        <v>0</v>
      </c>
      <c r="LO287">
        <v>0</v>
      </c>
      <c r="LP287">
        <v>0</v>
      </c>
      <c r="LQ287">
        <v>0</v>
      </c>
      <c r="LR287">
        <v>0</v>
      </c>
      <c r="LS287">
        <v>0</v>
      </c>
      <c r="LT287">
        <v>0</v>
      </c>
      <c r="LU287">
        <v>0</v>
      </c>
      <c r="LV287">
        <v>0</v>
      </c>
      <c r="LW287">
        <v>0</v>
      </c>
      <c r="LX287">
        <v>0</v>
      </c>
      <c r="LY287">
        <v>0</v>
      </c>
      <c r="LZ287">
        <v>0</v>
      </c>
      <c r="MA287">
        <v>0</v>
      </c>
      <c r="MB287">
        <v>0</v>
      </c>
      <c r="MC287">
        <v>0</v>
      </c>
      <c r="MD287">
        <v>0</v>
      </c>
      <c r="ME287">
        <v>0</v>
      </c>
      <c r="MF287">
        <v>0</v>
      </c>
      <c r="MG287">
        <v>0</v>
      </c>
      <c r="MH287">
        <v>0</v>
      </c>
      <c r="MI287">
        <v>0</v>
      </c>
      <c r="MJ287">
        <v>0</v>
      </c>
      <c r="MK287">
        <v>0</v>
      </c>
      <c r="ML287">
        <v>0</v>
      </c>
      <c r="MM287">
        <v>0</v>
      </c>
      <c r="MN287">
        <v>0</v>
      </c>
      <c r="MO287">
        <v>0</v>
      </c>
      <c r="MP287">
        <v>0</v>
      </c>
      <c r="MQ287">
        <v>0</v>
      </c>
      <c r="MR287">
        <v>0</v>
      </c>
      <c r="MS287">
        <v>0</v>
      </c>
      <c r="MT287">
        <v>0</v>
      </c>
      <c r="MU287">
        <v>0</v>
      </c>
      <c r="MV287">
        <v>0</v>
      </c>
      <c r="MW287">
        <v>0</v>
      </c>
      <c r="MX287">
        <v>0</v>
      </c>
      <c r="MY287">
        <v>0</v>
      </c>
      <c r="MZ287">
        <v>0</v>
      </c>
      <c r="NA287">
        <v>0</v>
      </c>
      <c r="NB287">
        <v>0</v>
      </c>
      <c r="NC287">
        <v>0</v>
      </c>
      <c r="ND287">
        <v>0</v>
      </c>
      <c r="NE287">
        <v>0</v>
      </c>
    </row>
    <row r="288" spans="41:369" x14ac:dyDescent="0.45">
      <c r="AO288" t="str">
        <v>D164</v>
      </c>
      <c r="AP288" t="str">
        <v>AHMED SULTHAN</v>
      </c>
      <c r="AQ288" t="str">
        <v>JARF</v>
      </c>
      <c r="AR288" t="str">
        <v>SUPER SENIOR</v>
      </c>
      <c r="AS288">
        <v>9</v>
      </c>
      <c r="AT288">
        <v>37</v>
      </c>
      <c r="AU288">
        <v>0</v>
      </c>
      <c r="AV288">
        <v>37</v>
      </c>
      <c r="AW288">
        <v>37</v>
      </c>
      <c r="AX288">
        <v>30</v>
      </c>
      <c r="AY288" s="5">
        <v>30</v>
      </c>
      <c r="AZ288">
        <v>0</v>
      </c>
      <c r="BA288">
        <v>0</v>
      </c>
      <c r="BB288">
        <v>0</v>
      </c>
      <c r="BC288">
        <v>0</v>
      </c>
      <c r="BD288">
        <v>0</v>
      </c>
      <c r="BE288">
        <v>0</v>
      </c>
      <c r="BF288">
        <v>0</v>
      </c>
      <c r="BG288">
        <v>0</v>
      </c>
      <c r="BH288">
        <v>0</v>
      </c>
      <c r="BI288" t="str">
        <v/>
      </c>
      <c r="BK288">
        <v>282</v>
      </c>
      <c r="BL288">
        <v>0</v>
      </c>
      <c r="BM288">
        <v>0</v>
      </c>
      <c r="BN288">
        <v>0</v>
      </c>
      <c r="BO288">
        <v>0</v>
      </c>
      <c r="BP288">
        <v>0</v>
      </c>
      <c r="BQ288">
        <v>0</v>
      </c>
      <c r="BR288">
        <v>0</v>
      </c>
      <c r="BS288">
        <v>0</v>
      </c>
      <c r="BT288">
        <v>0</v>
      </c>
      <c r="BU288">
        <v>0</v>
      </c>
      <c r="BV288">
        <v>0</v>
      </c>
      <c r="BW288">
        <v>0</v>
      </c>
      <c r="BX288">
        <v>0</v>
      </c>
      <c r="BY288">
        <v>0</v>
      </c>
      <c r="BZ288">
        <v>0</v>
      </c>
      <c r="CA288">
        <v>0</v>
      </c>
      <c r="CB288">
        <v>0</v>
      </c>
      <c r="CC288">
        <v>0</v>
      </c>
      <c r="CD288">
        <v>0</v>
      </c>
      <c r="CE288">
        <v>0</v>
      </c>
      <c r="CF288">
        <v>0</v>
      </c>
      <c r="CG288">
        <v>0</v>
      </c>
      <c r="CH288">
        <v>0</v>
      </c>
      <c r="CI288">
        <v>0</v>
      </c>
      <c r="CJ288">
        <v>0</v>
      </c>
      <c r="CK288">
        <v>0</v>
      </c>
      <c r="CL288">
        <v>0</v>
      </c>
      <c r="CM288">
        <v>0</v>
      </c>
      <c r="CN288">
        <v>0</v>
      </c>
      <c r="CO288">
        <v>0</v>
      </c>
      <c r="CP288">
        <v>0</v>
      </c>
      <c r="CQ288">
        <v>0</v>
      </c>
      <c r="CR288">
        <v>0</v>
      </c>
      <c r="CS288">
        <v>0</v>
      </c>
      <c r="CT288">
        <v>0</v>
      </c>
      <c r="CU288">
        <v>0</v>
      </c>
      <c r="CV288">
        <v>0</v>
      </c>
      <c r="CW288">
        <v>0</v>
      </c>
      <c r="CX288">
        <v>0</v>
      </c>
      <c r="CY288">
        <v>0</v>
      </c>
      <c r="CZ288">
        <v>0</v>
      </c>
      <c r="DA288">
        <v>0</v>
      </c>
      <c r="DB288">
        <v>0</v>
      </c>
      <c r="DC288">
        <v>0</v>
      </c>
      <c r="DD288">
        <v>0</v>
      </c>
      <c r="DE288">
        <v>0</v>
      </c>
      <c r="DF288">
        <v>0</v>
      </c>
      <c r="DG288">
        <v>0</v>
      </c>
      <c r="DH288">
        <v>0</v>
      </c>
      <c r="DI288">
        <v>0</v>
      </c>
      <c r="DJ288">
        <v>0</v>
      </c>
      <c r="DK288">
        <v>0</v>
      </c>
      <c r="DL288">
        <v>0</v>
      </c>
      <c r="DM288">
        <v>0</v>
      </c>
      <c r="DN288">
        <v>0</v>
      </c>
      <c r="DO288">
        <v>0</v>
      </c>
      <c r="DP288">
        <v>0</v>
      </c>
      <c r="DQ288">
        <v>0</v>
      </c>
      <c r="DR288">
        <v>0</v>
      </c>
      <c r="DS288">
        <v>0</v>
      </c>
      <c r="DT288">
        <v>0</v>
      </c>
      <c r="DU288">
        <v>0</v>
      </c>
      <c r="DV288">
        <v>0</v>
      </c>
      <c r="DW288">
        <v>0</v>
      </c>
      <c r="DX288">
        <v>0</v>
      </c>
      <c r="DY288">
        <v>0</v>
      </c>
      <c r="DZ288">
        <v>0</v>
      </c>
      <c r="EA288">
        <v>0</v>
      </c>
      <c r="EB288">
        <v>0</v>
      </c>
      <c r="EC288">
        <v>0</v>
      </c>
      <c r="ED288">
        <v>0</v>
      </c>
      <c r="EE288">
        <v>0</v>
      </c>
      <c r="EF288">
        <v>0</v>
      </c>
      <c r="EG288">
        <v>0</v>
      </c>
      <c r="EH288">
        <v>0</v>
      </c>
      <c r="EI288">
        <v>0</v>
      </c>
      <c r="EJ288">
        <v>0</v>
      </c>
      <c r="EK288">
        <v>0</v>
      </c>
      <c r="EL288">
        <v>0</v>
      </c>
      <c r="EM288">
        <v>0</v>
      </c>
      <c r="EN288">
        <v>0</v>
      </c>
      <c r="EO288">
        <v>0</v>
      </c>
      <c r="EP288">
        <v>0</v>
      </c>
      <c r="EQ288">
        <v>0</v>
      </c>
      <c r="ER288">
        <v>0</v>
      </c>
      <c r="ES288">
        <v>0</v>
      </c>
      <c r="ET288">
        <v>0</v>
      </c>
      <c r="EU288">
        <v>0</v>
      </c>
      <c r="EV288">
        <v>0</v>
      </c>
      <c r="EW288">
        <v>0</v>
      </c>
      <c r="EX288">
        <v>0</v>
      </c>
      <c r="EY288">
        <v>0</v>
      </c>
      <c r="EZ288">
        <v>0</v>
      </c>
      <c r="FA288">
        <v>0</v>
      </c>
      <c r="FB288">
        <v>0</v>
      </c>
      <c r="FC288">
        <v>0</v>
      </c>
      <c r="FD288">
        <v>0</v>
      </c>
      <c r="FE288">
        <v>0</v>
      </c>
      <c r="FF288">
        <v>0</v>
      </c>
      <c r="FG288">
        <v>0</v>
      </c>
      <c r="FH288">
        <v>0</v>
      </c>
      <c r="FI288">
        <v>0</v>
      </c>
      <c r="FJ288">
        <v>0</v>
      </c>
      <c r="FK288">
        <v>0</v>
      </c>
      <c r="FL288">
        <v>0</v>
      </c>
      <c r="FM288">
        <v>0</v>
      </c>
      <c r="FN288">
        <v>0</v>
      </c>
      <c r="FO288">
        <v>0</v>
      </c>
      <c r="FP288">
        <v>0</v>
      </c>
      <c r="FQ288">
        <v>0</v>
      </c>
      <c r="FR288">
        <v>0</v>
      </c>
      <c r="FS288">
        <v>0</v>
      </c>
      <c r="FT288">
        <v>0</v>
      </c>
      <c r="FU288">
        <v>0</v>
      </c>
      <c r="FV288">
        <v>0</v>
      </c>
      <c r="FW288">
        <v>0</v>
      </c>
      <c r="FX288">
        <v>0</v>
      </c>
      <c r="FY288">
        <v>0</v>
      </c>
      <c r="FZ288">
        <v>0</v>
      </c>
      <c r="GA288">
        <v>0</v>
      </c>
      <c r="GB288">
        <v>0</v>
      </c>
      <c r="GC288">
        <v>0</v>
      </c>
      <c r="GD288">
        <v>0</v>
      </c>
      <c r="GE288">
        <v>0</v>
      </c>
      <c r="GF288">
        <v>0</v>
      </c>
      <c r="GG288">
        <v>0</v>
      </c>
      <c r="GH288">
        <v>0</v>
      </c>
      <c r="GI288">
        <v>0</v>
      </c>
      <c r="GJ288">
        <v>0</v>
      </c>
      <c r="GK288">
        <v>0</v>
      </c>
      <c r="GL288">
        <v>0</v>
      </c>
      <c r="GM288">
        <v>0</v>
      </c>
      <c r="GN288">
        <v>0</v>
      </c>
      <c r="GO288">
        <v>0</v>
      </c>
      <c r="GP288">
        <v>0</v>
      </c>
      <c r="GQ288">
        <v>0</v>
      </c>
      <c r="GR288">
        <v>0</v>
      </c>
      <c r="GS288">
        <v>0</v>
      </c>
      <c r="GT288">
        <v>0</v>
      </c>
      <c r="GU288">
        <v>0</v>
      </c>
      <c r="GV288">
        <v>0</v>
      </c>
      <c r="GW288">
        <v>0</v>
      </c>
      <c r="GX288">
        <v>0</v>
      </c>
      <c r="GY288">
        <v>0</v>
      </c>
      <c r="GZ288">
        <v>0</v>
      </c>
      <c r="HA288">
        <v>0</v>
      </c>
      <c r="HB288">
        <v>0</v>
      </c>
      <c r="HC288">
        <v>0</v>
      </c>
      <c r="HD288">
        <v>0</v>
      </c>
      <c r="HE288">
        <v>0</v>
      </c>
      <c r="HF288">
        <v>0</v>
      </c>
      <c r="HG288">
        <v>0</v>
      </c>
      <c r="HH288">
        <v>0</v>
      </c>
      <c r="HI288">
        <v>0</v>
      </c>
      <c r="HJ288">
        <v>0</v>
      </c>
      <c r="HK288">
        <v>0</v>
      </c>
      <c r="HL288">
        <v>0</v>
      </c>
      <c r="HM288">
        <v>0</v>
      </c>
      <c r="HN288">
        <v>0</v>
      </c>
      <c r="HO288">
        <v>0</v>
      </c>
      <c r="HP288">
        <v>0</v>
      </c>
      <c r="HQ288">
        <v>0</v>
      </c>
      <c r="HR288">
        <v>0</v>
      </c>
      <c r="HS288">
        <v>0</v>
      </c>
      <c r="HT288">
        <v>0</v>
      </c>
      <c r="HU288">
        <v>0</v>
      </c>
      <c r="HV288">
        <v>0</v>
      </c>
      <c r="HW288">
        <v>0</v>
      </c>
      <c r="HX288">
        <v>0</v>
      </c>
      <c r="HY288">
        <v>0</v>
      </c>
      <c r="HZ288">
        <v>0</v>
      </c>
      <c r="IA288">
        <v>0</v>
      </c>
      <c r="IB288">
        <v>0</v>
      </c>
      <c r="IC288">
        <v>0</v>
      </c>
      <c r="ID288">
        <v>0</v>
      </c>
      <c r="IE288">
        <v>0</v>
      </c>
      <c r="IF288">
        <v>0</v>
      </c>
      <c r="IG288">
        <v>0</v>
      </c>
      <c r="IH288">
        <v>0</v>
      </c>
      <c r="II288">
        <v>0</v>
      </c>
      <c r="IJ288">
        <v>0</v>
      </c>
      <c r="IK288">
        <v>0</v>
      </c>
      <c r="IL288">
        <v>0</v>
      </c>
      <c r="IM288">
        <v>0</v>
      </c>
      <c r="IN288">
        <v>0</v>
      </c>
      <c r="IO288">
        <v>0</v>
      </c>
      <c r="IP288">
        <v>0</v>
      </c>
      <c r="IQ288">
        <v>0</v>
      </c>
      <c r="IR288">
        <v>0</v>
      </c>
      <c r="IS288">
        <v>0</v>
      </c>
      <c r="IT288">
        <v>0</v>
      </c>
      <c r="IU288">
        <v>0</v>
      </c>
      <c r="IV288">
        <v>0</v>
      </c>
      <c r="IW288">
        <v>0</v>
      </c>
      <c r="IX288">
        <v>0</v>
      </c>
      <c r="IY288">
        <v>0</v>
      </c>
      <c r="IZ288">
        <v>0</v>
      </c>
      <c r="JA288">
        <v>0</v>
      </c>
      <c r="JB288">
        <v>0</v>
      </c>
      <c r="JC288">
        <v>0</v>
      </c>
      <c r="JD288">
        <v>0</v>
      </c>
      <c r="JE288">
        <v>0</v>
      </c>
      <c r="JF288">
        <v>0</v>
      </c>
      <c r="JG288">
        <v>0</v>
      </c>
      <c r="JH288">
        <v>0</v>
      </c>
      <c r="JI288">
        <v>0</v>
      </c>
      <c r="JJ288">
        <v>0</v>
      </c>
      <c r="JK288">
        <v>0</v>
      </c>
      <c r="JL288">
        <v>0</v>
      </c>
      <c r="JM288">
        <v>0</v>
      </c>
      <c r="JN288">
        <v>0</v>
      </c>
      <c r="JO288">
        <v>0</v>
      </c>
      <c r="JP288">
        <v>0</v>
      </c>
      <c r="JQ288">
        <v>0</v>
      </c>
      <c r="JR288">
        <v>0</v>
      </c>
      <c r="JS288">
        <v>0</v>
      </c>
      <c r="JT288">
        <v>0</v>
      </c>
      <c r="JU288">
        <v>0</v>
      </c>
      <c r="JV288">
        <v>0</v>
      </c>
      <c r="JW288">
        <v>0</v>
      </c>
      <c r="JX288">
        <v>0</v>
      </c>
      <c r="JY288">
        <v>0</v>
      </c>
      <c r="JZ288">
        <v>0</v>
      </c>
      <c r="KA288">
        <v>0</v>
      </c>
      <c r="KB288">
        <v>0</v>
      </c>
      <c r="KC288">
        <v>0</v>
      </c>
      <c r="KD288">
        <v>0</v>
      </c>
      <c r="KE288">
        <v>0</v>
      </c>
      <c r="KF288">
        <v>0</v>
      </c>
      <c r="KG288">
        <v>0</v>
      </c>
      <c r="KH288">
        <v>0</v>
      </c>
      <c r="KI288">
        <v>0</v>
      </c>
      <c r="KJ288">
        <v>0</v>
      </c>
      <c r="KK288">
        <v>0</v>
      </c>
      <c r="KL288">
        <v>0</v>
      </c>
      <c r="KM288">
        <v>0</v>
      </c>
      <c r="KN288">
        <v>0</v>
      </c>
      <c r="KO288">
        <v>0</v>
      </c>
      <c r="KP288">
        <v>0</v>
      </c>
      <c r="KQ288">
        <v>0</v>
      </c>
      <c r="KR288">
        <v>0</v>
      </c>
      <c r="KS288">
        <v>0</v>
      </c>
      <c r="KT288">
        <v>0</v>
      </c>
      <c r="KU288">
        <v>0</v>
      </c>
      <c r="KV288">
        <v>0</v>
      </c>
      <c r="KW288">
        <v>0</v>
      </c>
      <c r="KX288">
        <v>0</v>
      </c>
      <c r="KY288">
        <v>0</v>
      </c>
      <c r="KZ288">
        <v>0</v>
      </c>
      <c r="LA288">
        <v>0</v>
      </c>
      <c r="LB288">
        <v>0</v>
      </c>
      <c r="LC288">
        <v>0</v>
      </c>
      <c r="LD288">
        <v>0</v>
      </c>
      <c r="LE288">
        <v>0</v>
      </c>
      <c r="LF288">
        <v>0</v>
      </c>
      <c r="LG288">
        <v>0</v>
      </c>
      <c r="LH288">
        <v>0</v>
      </c>
      <c r="LI288">
        <v>0</v>
      </c>
      <c r="LJ288">
        <v>0</v>
      </c>
      <c r="LK288">
        <v>0</v>
      </c>
      <c r="LL288">
        <v>0</v>
      </c>
      <c r="LM288">
        <v>0</v>
      </c>
      <c r="LN288">
        <v>0</v>
      </c>
      <c r="LO288">
        <v>0</v>
      </c>
      <c r="LP288">
        <v>0</v>
      </c>
      <c r="LQ288">
        <v>0</v>
      </c>
      <c r="LR288">
        <v>0</v>
      </c>
      <c r="LS288">
        <v>0</v>
      </c>
      <c r="LT288">
        <v>0</v>
      </c>
      <c r="LU288">
        <v>0</v>
      </c>
      <c r="LV288">
        <v>0</v>
      </c>
      <c r="LW288">
        <v>0</v>
      </c>
      <c r="LX288">
        <v>0</v>
      </c>
      <c r="LY288">
        <v>0</v>
      </c>
      <c r="LZ288">
        <v>0</v>
      </c>
      <c r="MA288">
        <v>0</v>
      </c>
      <c r="MB288">
        <v>0</v>
      </c>
      <c r="MC288">
        <v>0</v>
      </c>
      <c r="MD288">
        <v>0</v>
      </c>
      <c r="ME288">
        <v>0</v>
      </c>
      <c r="MF288">
        <v>0</v>
      </c>
      <c r="MG288">
        <v>0</v>
      </c>
      <c r="MH288">
        <v>0</v>
      </c>
      <c r="MI288">
        <v>0</v>
      </c>
      <c r="MJ288">
        <v>0</v>
      </c>
      <c r="MK288">
        <v>0</v>
      </c>
      <c r="ML288">
        <v>0</v>
      </c>
      <c r="MM288">
        <v>0</v>
      </c>
      <c r="MN288">
        <v>0</v>
      </c>
      <c r="MO288">
        <v>0</v>
      </c>
      <c r="MP288">
        <v>0</v>
      </c>
      <c r="MQ288">
        <v>0</v>
      </c>
      <c r="MR288">
        <v>0</v>
      </c>
      <c r="MS288">
        <v>0</v>
      </c>
      <c r="MT288">
        <v>0</v>
      </c>
      <c r="MU288">
        <v>0</v>
      </c>
      <c r="MV288">
        <v>0</v>
      </c>
      <c r="MW288">
        <v>0</v>
      </c>
      <c r="MX288">
        <v>0</v>
      </c>
      <c r="MY288">
        <v>0</v>
      </c>
      <c r="MZ288">
        <v>0</v>
      </c>
      <c r="NA288">
        <v>0</v>
      </c>
      <c r="NB288">
        <v>0</v>
      </c>
      <c r="NC288">
        <v>0</v>
      </c>
      <c r="ND288">
        <v>0</v>
      </c>
      <c r="NE288">
        <v>0</v>
      </c>
    </row>
    <row r="289" spans="41:369" x14ac:dyDescent="0.45">
      <c r="AO289" t="str">
        <v>D165</v>
      </c>
      <c r="AP289" t="str">
        <v>AJMAL KI</v>
      </c>
      <c r="AQ289" t="str">
        <v>FANT</v>
      </c>
      <c r="AR289" t="str">
        <v>SUPER SENIOR</v>
      </c>
      <c r="AS289">
        <v>9</v>
      </c>
      <c r="AT289">
        <v>42.5</v>
      </c>
      <c r="AU289">
        <v>0</v>
      </c>
      <c r="AV289">
        <v>42.5</v>
      </c>
      <c r="AW289">
        <v>42.5</v>
      </c>
      <c r="AX289">
        <v>20</v>
      </c>
      <c r="AY289" s="5">
        <v>20</v>
      </c>
      <c r="AZ289">
        <v>0</v>
      </c>
      <c r="BA289">
        <v>0</v>
      </c>
      <c r="BB289">
        <v>0</v>
      </c>
      <c r="BC289">
        <v>0</v>
      </c>
      <c r="BD289">
        <v>0</v>
      </c>
      <c r="BE289">
        <v>0</v>
      </c>
      <c r="BF289">
        <v>0</v>
      </c>
      <c r="BG289">
        <v>0</v>
      </c>
      <c r="BH289">
        <v>0</v>
      </c>
      <c r="BI289" t="str">
        <v/>
      </c>
      <c r="BK289">
        <v>283</v>
      </c>
      <c r="BL289">
        <v>0</v>
      </c>
      <c r="BM289">
        <v>0</v>
      </c>
      <c r="BN289">
        <v>0</v>
      </c>
      <c r="BO289">
        <v>0</v>
      </c>
      <c r="BP289">
        <v>0</v>
      </c>
      <c r="BQ289">
        <v>0</v>
      </c>
      <c r="BR289">
        <v>0</v>
      </c>
      <c r="BS289">
        <v>0</v>
      </c>
      <c r="BT289">
        <v>0</v>
      </c>
      <c r="BU289">
        <v>0</v>
      </c>
      <c r="BV289">
        <v>0</v>
      </c>
      <c r="BW289">
        <v>0</v>
      </c>
      <c r="BX289">
        <v>0</v>
      </c>
      <c r="BY289">
        <v>0</v>
      </c>
      <c r="BZ289">
        <v>0</v>
      </c>
      <c r="CA289">
        <v>0</v>
      </c>
      <c r="CB289">
        <v>0</v>
      </c>
      <c r="CC289">
        <v>0</v>
      </c>
      <c r="CD289">
        <v>0</v>
      </c>
      <c r="CE289">
        <v>0</v>
      </c>
      <c r="CF289">
        <v>0</v>
      </c>
      <c r="CG289">
        <v>0</v>
      </c>
      <c r="CH289">
        <v>0</v>
      </c>
      <c r="CI289">
        <v>0</v>
      </c>
      <c r="CJ289">
        <v>0</v>
      </c>
      <c r="CK289">
        <v>0</v>
      </c>
      <c r="CL289">
        <v>0</v>
      </c>
      <c r="CM289">
        <v>0</v>
      </c>
      <c r="CN289">
        <v>0</v>
      </c>
      <c r="CO289">
        <v>0</v>
      </c>
      <c r="CP289">
        <v>0</v>
      </c>
      <c r="CQ289">
        <v>0</v>
      </c>
      <c r="CR289">
        <v>0</v>
      </c>
      <c r="CS289">
        <v>0</v>
      </c>
      <c r="CT289">
        <v>0</v>
      </c>
      <c r="CU289">
        <v>0</v>
      </c>
      <c r="CV289">
        <v>0</v>
      </c>
      <c r="CW289">
        <v>0</v>
      </c>
      <c r="CX289">
        <v>0</v>
      </c>
      <c r="CY289">
        <v>0</v>
      </c>
      <c r="CZ289">
        <v>0</v>
      </c>
      <c r="DA289">
        <v>0</v>
      </c>
      <c r="DB289">
        <v>0</v>
      </c>
      <c r="DC289">
        <v>0</v>
      </c>
      <c r="DD289">
        <v>0</v>
      </c>
      <c r="DE289">
        <v>0</v>
      </c>
      <c r="DF289">
        <v>0</v>
      </c>
      <c r="DG289">
        <v>0</v>
      </c>
      <c r="DH289">
        <v>0</v>
      </c>
      <c r="DI289">
        <v>0</v>
      </c>
      <c r="DJ289">
        <v>0</v>
      </c>
      <c r="DK289">
        <v>0</v>
      </c>
      <c r="DL289">
        <v>0</v>
      </c>
      <c r="DM289">
        <v>0</v>
      </c>
      <c r="DN289">
        <v>0</v>
      </c>
      <c r="DO289">
        <v>0</v>
      </c>
      <c r="DP289">
        <v>0</v>
      </c>
      <c r="DQ289">
        <v>0</v>
      </c>
      <c r="DR289">
        <v>0</v>
      </c>
      <c r="DS289">
        <v>0</v>
      </c>
      <c r="DT289">
        <v>0</v>
      </c>
      <c r="DU289">
        <v>0</v>
      </c>
      <c r="DV289">
        <v>0</v>
      </c>
      <c r="DW289">
        <v>0</v>
      </c>
      <c r="DX289">
        <v>0</v>
      </c>
      <c r="DY289">
        <v>0</v>
      </c>
      <c r="DZ289">
        <v>0</v>
      </c>
      <c r="EA289">
        <v>0</v>
      </c>
      <c r="EB289">
        <v>0</v>
      </c>
      <c r="EC289">
        <v>0</v>
      </c>
      <c r="ED289">
        <v>0</v>
      </c>
      <c r="EE289">
        <v>0</v>
      </c>
      <c r="EF289">
        <v>0</v>
      </c>
      <c r="EG289">
        <v>0</v>
      </c>
      <c r="EH289">
        <v>0</v>
      </c>
      <c r="EI289">
        <v>0</v>
      </c>
      <c r="EJ289">
        <v>0</v>
      </c>
      <c r="EK289">
        <v>0</v>
      </c>
      <c r="EL289">
        <v>0</v>
      </c>
      <c r="EM289">
        <v>0</v>
      </c>
      <c r="EN289">
        <v>0</v>
      </c>
      <c r="EO289">
        <v>0</v>
      </c>
      <c r="EP289">
        <v>0</v>
      </c>
      <c r="EQ289">
        <v>0</v>
      </c>
      <c r="ER289">
        <v>0</v>
      </c>
      <c r="ES289">
        <v>0</v>
      </c>
      <c r="ET289">
        <v>0</v>
      </c>
      <c r="EU289">
        <v>0</v>
      </c>
      <c r="EV289">
        <v>0</v>
      </c>
      <c r="EW289">
        <v>0</v>
      </c>
      <c r="EX289">
        <v>0</v>
      </c>
      <c r="EY289">
        <v>0</v>
      </c>
      <c r="EZ289">
        <v>0</v>
      </c>
      <c r="FA289">
        <v>0</v>
      </c>
      <c r="FB289">
        <v>0</v>
      </c>
      <c r="FC289">
        <v>0</v>
      </c>
      <c r="FD289">
        <v>0</v>
      </c>
      <c r="FE289">
        <v>0</v>
      </c>
      <c r="FF289">
        <v>0</v>
      </c>
      <c r="FG289">
        <v>0</v>
      </c>
      <c r="FH289">
        <v>0</v>
      </c>
      <c r="FI289">
        <v>0</v>
      </c>
      <c r="FJ289">
        <v>0</v>
      </c>
      <c r="FK289">
        <v>0</v>
      </c>
      <c r="FL289">
        <v>0</v>
      </c>
      <c r="FM289">
        <v>0</v>
      </c>
      <c r="FN289">
        <v>0</v>
      </c>
      <c r="FO289">
        <v>0</v>
      </c>
      <c r="FP289">
        <v>0</v>
      </c>
      <c r="FQ289">
        <v>0</v>
      </c>
      <c r="FR289">
        <v>0</v>
      </c>
      <c r="FS289">
        <v>0</v>
      </c>
      <c r="FT289">
        <v>0</v>
      </c>
      <c r="FU289">
        <v>0</v>
      </c>
      <c r="FV289">
        <v>0</v>
      </c>
      <c r="FW289">
        <v>0</v>
      </c>
      <c r="FX289">
        <v>0</v>
      </c>
      <c r="FY289">
        <v>0</v>
      </c>
      <c r="FZ289">
        <v>0</v>
      </c>
      <c r="GA289">
        <v>0</v>
      </c>
      <c r="GB289">
        <v>0</v>
      </c>
      <c r="GC289">
        <v>0</v>
      </c>
      <c r="GD289">
        <v>0</v>
      </c>
      <c r="GE289">
        <v>0</v>
      </c>
      <c r="GF289">
        <v>0</v>
      </c>
      <c r="GG289">
        <v>0</v>
      </c>
      <c r="GH289">
        <v>0</v>
      </c>
      <c r="GI289">
        <v>0</v>
      </c>
      <c r="GJ289">
        <v>0</v>
      </c>
      <c r="GK289">
        <v>0</v>
      </c>
      <c r="GL289">
        <v>0</v>
      </c>
      <c r="GM289">
        <v>0</v>
      </c>
      <c r="GN289">
        <v>0</v>
      </c>
      <c r="GO289">
        <v>0</v>
      </c>
      <c r="GP289">
        <v>0</v>
      </c>
      <c r="GQ289">
        <v>0</v>
      </c>
      <c r="GR289">
        <v>0</v>
      </c>
      <c r="GS289">
        <v>0</v>
      </c>
      <c r="GT289">
        <v>0</v>
      </c>
      <c r="GU289">
        <v>0</v>
      </c>
      <c r="GV289">
        <v>0</v>
      </c>
      <c r="GW289">
        <v>0</v>
      </c>
      <c r="GX289">
        <v>0</v>
      </c>
      <c r="GY289">
        <v>0</v>
      </c>
      <c r="GZ289">
        <v>0</v>
      </c>
      <c r="HA289">
        <v>0</v>
      </c>
      <c r="HB289">
        <v>0</v>
      </c>
      <c r="HC289">
        <v>0</v>
      </c>
      <c r="HD289">
        <v>0</v>
      </c>
      <c r="HE289">
        <v>0</v>
      </c>
      <c r="HF289">
        <v>0</v>
      </c>
      <c r="HG289">
        <v>0</v>
      </c>
      <c r="HH289">
        <v>0</v>
      </c>
      <c r="HI289">
        <v>0</v>
      </c>
      <c r="HJ289">
        <v>0</v>
      </c>
      <c r="HK289">
        <v>0</v>
      </c>
      <c r="HL289">
        <v>0</v>
      </c>
      <c r="HM289">
        <v>0</v>
      </c>
      <c r="HN289">
        <v>0</v>
      </c>
      <c r="HO289">
        <v>0</v>
      </c>
      <c r="HP289">
        <v>0</v>
      </c>
      <c r="HQ289">
        <v>0</v>
      </c>
      <c r="HR289">
        <v>0</v>
      </c>
      <c r="HS289">
        <v>0</v>
      </c>
      <c r="HT289">
        <v>0</v>
      </c>
      <c r="HU289">
        <v>0</v>
      </c>
      <c r="HV289">
        <v>0</v>
      </c>
      <c r="HW289">
        <v>0</v>
      </c>
      <c r="HX289">
        <v>0</v>
      </c>
      <c r="HY289">
        <v>0</v>
      </c>
      <c r="HZ289">
        <v>0</v>
      </c>
      <c r="IA289">
        <v>0</v>
      </c>
      <c r="IB289">
        <v>0</v>
      </c>
      <c r="IC289">
        <v>0</v>
      </c>
      <c r="ID289">
        <v>0</v>
      </c>
      <c r="IE289">
        <v>0</v>
      </c>
      <c r="IF289">
        <v>0</v>
      </c>
      <c r="IG289">
        <v>0</v>
      </c>
      <c r="IH289">
        <v>0</v>
      </c>
      <c r="II289">
        <v>0</v>
      </c>
      <c r="IJ289">
        <v>0</v>
      </c>
      <c r="IK289">
        <v>0</v>
      </c>
      <c r="IL289">
        <v>0</v>
      </c>
      <c r="IM289">
        <v>0</v>
      </c>
      <c r="IN289">
        <v>0</v>
      </c>
      <c r="IO289">
        <v>0</v>
      </c>
      <c r="IP289">
        <v>0</v>
      </c>
      <c r="IQ289">
        <v>0</v>
      </c>
      <c r="IR289">
        <v>0</v>
      </c>
      <c r="IS289">
        <v>0</v>
      </c>
      <c r="IT289">
        <v>0</v>
      </c>
      <c r="IU289">
        <v>0</v>
      </c>
      <c r="IV289">
        <v>0</v>
      </c>
      <c r="IW289">
        <v>0</v>
      </c>
      <c r="IX289">
        <v>0</v>
      </c>
      <c r="IY289">
        <v>0</v>
      </c>
      <c r="IZ289">
        <v>0</v>
      </c>
      <c r="JA289">
        <v>0</v>
      </c>
      <c r="JB289">
        <v>0</v>
      </c>
      <c r="JC289">
        <v>0</v>
      </c>
      <c r="JD289">
        <v>0</v>
      </c>
      <c r="JE289">
        <v>0</v>
      </c>
      <c r="JF289">
        <v>0</v>
      </c>
      <c r="JG289">
        <v>0</v>
      </c>
      <c r="JH289">
        <v>0</v>
      </c>
      <c r="JI289">
        <v>0</v>
      </c>
      <c r="JJ289">
        <v>0</v>
      </c>
      <c r="JK289">
        <v>0</v>
      </c>
      <c r="JL289">
        <v>0</v>
      </c>
      <c r="JM289">
        <v>0</v>
      </c>
      <c r="JN289">
        <v>0</v>
      </c>
      <c r="JO289">
        <v>0</v>
      </c>
      <c r="JP289">
        <v>0</v>
      </c>
      <c r="JQ289">
        <v>0</v>
      </c>
      <c r="JR289">
        <v>0</v>
      </c>
      <c r="JS289">
        <v>0</v>
      </c>
      <c r="JT289">
        <v>0</v>
      </c>
      <c r="JU289">
        <v>0</v>
      </c>
      <c r="JV289">
        <v>0</v>
      </c>
      <c r="JW289">
        <v>0</v>
      </c>
      <c r="JX289">
        <v>0</v>
      </c>
      <c r="JY289">
        <v>0</v>
      </c>
      <c r="JZ289">
        <v>0</v>
      </c>
      <c r="KA289">
        <v>0</v>
      </c>
      <c r="KB289">
        <v>0</v>
      </c>
      <c r="KC289">
        <v>0</v>
      </c>
      <c r="KD289">
        <v>0</v>
      </c>
      <c r="KE289">
        <v>0</v>
      </c>
      <c r="KF289">
        <v>0</v>
      </c>
      <c r="KG289">
        <v>0</v>
      </c>
      <c r="KH289">
        <v>0</v>
      </c>
      <c r="KI289">
        <v>0</v>
      </c>
      <c r="KJ289">
        <v>0</v>
      </c>
      <c r="KK289">
        <v>0</v>
      </c>
      <c r="KL289">
        <v>0</v>
      </c>
      <c r="KM289">
        <v>0</v>
      </c>
      <c r="KN289">
        <v>0</v>
      </c>
      <c r="KO289">
        <v>0</v>
      </c>
      <c r="KP289">
        <v>0</v>
      </c>
      <c r="KQ289">
        <v>0</v>
      </c>
      <c r="KR289">
        <v>0</v>
      </c>
      <c r="KS289">
        <v>0</v>
      </c>
      <c r="KT289">
        <v>0</v>
      </c>
      <c r="KU289">
        <v>0</v>
      </c>
      <c r="KV289">
        <v>0</v>
      </c>
      <c r="KW289">
        <v>0</v>
      </c>
      <c r="KX289">
        <v>0</v>
      </c>
      <c r="KY289">
        <v>0</v>
      </c>
      <c r="KZ289">
        <v>0</v>
      </c>
      <c r="LA289">
        <v>0</v>
      </c>
      <c r="LB289">
        <v>0</v>
      </c>
      <c r="LC289">
        <v>0</v>
      </c>
      <c r="LD289">
        <v>0</v>
      </c>
      <c r="LE289">
        <v>0</v>
      </c>
      <c r="LF289">
        <v>0</v>
      </c>
      <c r="LG289">
        <v>0</v>
      </c>
      <c r="LH289">
        <v>0</v>
      </c>
      <c r="LI289">
        <v>0</v>
      </c>
      <c r="LJ289">
        <v>0</v>
      </c>
      <c r="LK289">
        <v>0</v>
      </c>
      <c r="LL289">
        <v>0</v>
      </c>
      <c r="LM289">
        <v>0</v>
      </c>
      <c r="LN289">
        <v>0</v>
      </c>
      <c r="LO289">
        <v>0</v>
      </c>
      <c r="LP289">
        <v>0</v>
      </c>
      <c r="LQ289">
        <v>0</v>
      </c>
      <c r="LR289">
        <v>0</v>
      </c>
      <c r="LS289">
        <v>0</v>
      </c>
      <c r="LT289">
        <v>0</v>
      </c>
      <c r="LU289">
        <v>0</v>
      </c>
      <c r="LV289">
        <v>0</v>
      </c>
      <c r="LW289">
        <v>0</v>
      </c>
      <c r="LX289">
        <v>0</v>
      </c>
      <c r="LY289">
        <v>0</v>
      </c>
      <c r="LZ289">
        <v>0</v>
      </c>
      <c r="MA289">
        <v>0</v>
      </c>
      <c r="MB289">
        <v>0</v>
      </c>
      <c r="MC289">
        <v>0</v>
      </c>
      <c r="MD289">
        <v>0</v>
      </c>
      <c r="ME289">
        <v>0</v>
      </c>
      <c r="MF289">
        <v>0</v>
      </c>
      <c r="MG289">
        <v>0</v>
      </c>
      <c r="MH289">
        <v>0</v>
      </c>
      <c r="MI289">
        <v>0</v>
      </c>
      <c r="MJ289">
        <v>0</v>
      </c>
      <c r="MK289">
        <v>0</v>
      </c>
      <c r="ML289">
        <v>0</v>
      </c>
      <c r="MM289">
        <v>0</v>
      </c>
      <c r="MN289">
        <v>0</v>
      </c>
      <c r="MO289">
        <v>0</v>
      </c>
      <c r="MP289">
        <v>0</v>
      </c>
      <c r="MQ289">
        <v>0</v>
      </c>
      <c r="MR289">
        <v>0</v>
      </c>
      <c r="MS289">
        <v>0</v>
      </c>
      <c r="MT289">
        <v>0</v>
      </c>
      <c r="MU289">
        <v>0</v>
      </c>
      <c r="MV289">
        <v>0</v>
      </c>
      <c r="MW289">
        <v>0</v>
      </c>
      <c r="MX289">
        <v>0</v>
      </c>
      <c r="MY289">
        <v>0</v>
      </c>
      <c r="MZ289">
        <v>0</v>
      </c>
      <c r="NA289">
        <v>0</v>
      </c>
      <c r="NB289">
        <v>0</v>
      </c>
      <c r="NC289">
        <v>0</v>
      </c>
      <c r="ND289">
        <v>0</v>
      </c>
      <c r="NE289">
        <v>0</v>
      </c>
    </row>
    <row r="290" spans="41:369" x14ac:dyDescent="0.45">
      <c r="AO290" t="str">
        <v>D166</v>
      </c>
      <c r="AP290" t="str">
        <v>MOHAMMED IRFAN C</v>
      </c>
      <c r="AQ290" t="str">
        <v>DAHF</v>
      </c>
      <c r="AR290" t="str">
        <v>SUPER SENIOR</v>
      </c>
      <c r="AS290">
        <v>9</v>
      </c>
      <c r="AT290">
        <v>32</v>
      </c>
      <c r="AU290">
        <v>0</v>
      </c>
      <c r="AV290">
        <v>32</v>
      </c>
      <c r="AW290">
        <v>32</v>
      </c>
      <c r="AX290">
        <v>40</v>
      </c>
      <c r="AY290" s="5">
        <v>40</v>
      </c>
      <c r="AZ290">
        <v>0</v>
      </c>
      <c r="BA290">
        <v>0</v>
      </c>
      <c r="BB290">
        <v>0</v>
      </c>
      <c r="BC290">
        <v>0</v>
      </c>
      <c r="BD290">
        <v>0</v>
      </c>
      <c r="BE290">
        <v>0</v>
      </c>
      <c r="BF290">
        <v>0</v>
      </c>
      <c r="BG290">
        <v>0</v>
      </c>
      <c r="BH290">
        <v>0</v>
      </c>
      <c r="BI290" t="str">
        <v/>
      </c>
      <c r="BK290">
        <v>284</v>
      </c>
      <c r="BL290">
        <v>0</v>
      </c>
      <c r="BM290">
        <v>0</v>
      </c>
      <c r="BN290">
        <v>0</v>
      </c>
      <c r="BO290">
        <v>0</v>
      </c>
      <c r="BP290">
        <v>0</v>
      </c>
      <c r="BQ290">
        <v>0</v>
      </c>
      <c r="BR290">
        <v>0</v>
      </c>
      <c r="BS290">
        <v>0</v>
      </c>
      <c r="BT290">
        <v>0</v>
      </c>
      <c r="BU290">
        <v>0</v>
      </c>
      <c r="BV290">
        <v>0</v>
      </c>
      <c r="BW290">
        <v>0</v>
      </c>
      <c r="BX290">
        <v>0</v>
      </c>
      <c r="BY290">
        <v>0</v>
      </c>
      <c r="BZ290">
        <v>0</v>
      </c>
      <c r="CA290">
        <v>0</v>
      </c>
      <c r="CB290">
        <v>0</v>
      </c>
      <c r="CC290">
        <v>0</v>
      </c>
      <c r="CD290">
        <v>0</v>
      </c>
      <c r="CE290">
        <v>0</v>
      </c>
      <c r="CF290">
        <v>0</v>
      </c>
      <c r="CG290">
        <v>0</v>
      </c>
      <c r="CH290">
        <v>0</v>
      </c>
      <c r="CI290">
        <v>0</v>
      </c>
      <c r="CJ290">
        <v>0</v>
      </c>
      <c r="CK290">
        <v>0</v>
      </c>
      <c r="CL290">
        <v>0</v>
      </c>
      <c r="CM290">
        <v>0</v>
      </c>
      <c r="CN290">
        <v>0</v>
      </c>
      <c r="CO290">
        <v>0</v>
      </c>
      <c r="CP290">
        <v>0</v>
      </c>
      <c r="CQ290">
        <v>0</v>
      </c>
      <c r="CR290">
        <v>0</v>
      </c>
      <c r="CS290">
        <v>0</v>
      </c>
      <c r="CT290">
        <v>0</v>
      </c>
      <c r="CU290">
        <v>0</v>
      </c>
      <c r="CV290">
        <v>0</v>
      </c>
      <c r="CW290">
        <v>0</v>
      </c>
      <c r="CX290">
        <v>0</v>
      </c>
      <c r="CY290">
        <v>0</v>
      </c>
      <c r="CZ290">
        <v>0</v>
      </c>
      <c r="DA290">
        <v>0</v>
      </c>
      <c r="DB290">
        <v>0</v>
      </c>
      <c r="DC290">
        <v>0</v>
      </c>
      <c r="DD290">
        <v>0</v>
      </c>
      <c r="DE290">
        <v>0</v>
      </c>
      <c r="DF290">
        <v>0</v>
      </c>
      <c r="DG290">
        <v>0</v>
      </c>
      <c r="DH290">
        <v>0</v>
      </c>
      <c r="DI290">
        <v>0</v>
      </c>
      <c r="DJ290">
        <v>0</v>
      </c>
      <c r="DK290">
        <v>0</v>
      </c>
      <c r="DL290">
        <v>0</v>
      </c>
      <c r="DM290">
        <v>0</v>
      </c>
      <c r="DN290">
        <v>0</v>
      </c>
      <c r="DO290">
        <v>0</v>
      </c>
      <c r="DP290">
        <v>0</v>
      </c>
      <c r="DQ290">
        <v>0</v>
      </c>
      <c r="DR290">
        <v>0</v>
      </c>
      <c r="DS290">
        <v>0</v>
      </c>
      <c r="DT290">
        <v>0</v>
      </c>
      <c r="DU290">
        <v>0</v>
      </c>
      <c r="DV290">
        <v>0</v>
      </c>
      <c r="DW290">
        <v>0</v>
      </c>
      <c r="DX290">
        <v>0</v>
      </c>
      <c r="DY290">
        <v>0</v>
      </c>
      <c r="DZ290">
        <v>0</v>
      </c>
      <c r="EA290">
        <v>0</v>
      </c>
      <c r="EB290">
        <v>0</v>
      </c>
      <c r="EC290">
        <v>0</v>
      </c>
      <c r="ED290">
        <v>0</v>
      </c>
      <c r="EE290">
        <v>0</v>
      </c>
      <c r="EF290">
        <v>0</v>
      </c>
      <c r="EG290">
        <v>0</v>
      </c>
      <c r="EH290">
        <v>0</v>
      </c>
      <c r="EI290">
        <v>0</v>
      </c>
      <c r="EJ290">
        <v>0</v>
      </c>
      <c r="EK290">
        <v>0</v>
      </c>
      <c r="EL290">
        <v>0</v>
      </c>
      <c r="EM290">
        <v>0</v>
      </c>
      <c r="EN290">
        <v>0</v>
      </c>
      <c r="EO290">
        <v>0</v>
      </c>
      <c r="EP290">
        <v>0</v>
      </c>
      <c r="EQ290">
        <v>0</v>
      </c>
      <c r="ER290">
        <v>0</v>
      </c>
      <c r="ES290">
        <v>0</v>
      </c>
      <c r="ET290">
        <v>0</v>
      </c>
      <c r="EU290">
        <v>0</v>
      </c>
      <c r="EV290">
        <v>0</v>
      </c>
      <c r="EW290">
        <v>0</v>
      </c>
      <c r="EX290">
        <v>0</v>
      </c>
      <c r="EY290">
        <v>0</v>
      </c>
      <c r="EZ290">
        <v>0</v>
      </c>
      <c r="FA290">
        <v>0</v>
      </c>
      <c r="FB290">
        <v>0</v>
      </c>
      <c r="FC290">
        <v>0</v>
      </c>
      <c r="FD290">
        <v>0</v>
      </c>
      <c r="FE290">
        <v>0</v>
      </c>
      <c r="FF290">
        <v>0</v>
      </c>
      <c r="FG290">
        <v>0</v>
      </c>
      <c r="FH290">
        <v>0</v>
      </c>
      <c r="FI290">
        <v>0</v>
      </c>
      <c r="FJ290">
        <v>0</v>
      </c>
      <c r="FK290">
        <v>0</v>
      </c>
      <c r="FL290">
        <v>0</v>
      </c>
      <c r="FM290">
        <v>0</v>
      </c>
      <c r="FN290">
        <v>0</v>
      </c>
      <c r="FO290">
        <v>0</v>
      </c>
      <c r="FP290">
        <v>0</v>
      </c>
      <c r="FQ290">
        <v>0</v>
      </c>
      <c r="FR290">
        <v>0</v>
      </c>
      <c r="FS290">
        <v>0</v>
      </c>
      <c r="FT290">
        <v>0</v>
      </c>
      <c r="FU290">
        <v>0</v>
      </c>
      <c r="FV290">
        <v>0</v>
      </c>
      <c r="FW290">
        <v>0</v>
      </c>
      <c r="FX290">
        <v>0</v>
      </c>
      <c r="FY290">
        <v>0</v>
      </c>
      <c r="FZ290">
        <v>0</v>
      </c>
      <c r="GA290">
        <v>0</v>
      </c>
      <c r="GB290">
        <v>0</v>
      </c>
      <c r="GC290">
        <v>0</v>
      </c>
      <c r="GD290">
        <v>0</v>
      </c>
      <c r="GE290">
        <v>0</v>
      </c>
      <c r="GF290">
        <v>0</v>
      </c>
      <c r="GG290">
        <v>0</v>
      </c>
      <c r="GH290">
        <v>0</v>
      </c>
      <c r="GI290">
        <v>0</v>
      </c>
      <c r="GJ290">
        <v>0</v>
      </c>
      <c r="GK290">
        <v>0</v>
      </c>
      <c r="GL290">
        <v>0</v>
      </c>
      <c r="GM290">
        <v>0</v>
      </c>
      <c r="GN290">
        <v>0</v>
      </c>
      <c r="GO290">
        <v>0</v>
      </c>
      <c r="GP290">
        <v>0</v>
      </c>
      <c r="GQ290">
        <v>0</v>
      </c>
      <c r="GR290">
        <v>0</v>
      </c>
      <c r="GS290">
        <v>0</v>
      </c>
      <c r="GT290">
        <v>0</v>
      </c>
      <c r="GU290">
        <v>0</v>
      </c>
      <c r="GV290">
        <v>0</v>
      </c>
      <c r="GW290">
        <v>0</v>
      </c>
      <c r="GX290">
        <v>0</v>
      </c>
      <c r="GY290">
        <v>0</v>
      </c>
      <c r="GZ290">
        <v>0</v>
      </c>
      <c r="HA290">
        <v>0</v>
      </c>
      <c r="HB290">
        <v>0</v>
      </c>
      <c r="HC290">
        <v>0</v>
      </c>
      <c r="HD290">
        <v>0</v>
      </c>
      <c r="HE290">
        <v>0</v>
      </c>
      <c r="HF290">
        <v>0</v>
      </c>
      <c r="HG290">
        <v>0</v>
      </c>
      <c r="HH290">
        <v>0</v>
      </c>
      <c r="HI290">
        <v>0</v>
      </c>
      <c r="HJ290">
        <v>0</v>
      </c>
      <c r="HK290">
        <v>0</v>
      </c>
      <c r="HL290">
        <v>0</v>
      </c>
      <c r="HM290">
        <v>0</v>
      </c>
      <c r="HN290">
        <v>0</v>
      </c>
      <c r="HO290">
        <v>0</v>
      </c>
      <c r="HP290">
        <v>0</v>
      </c>
      <c r="HQ290">
        <v>0</v>
      </c>
      <c r="HR290">
        <v>0</v>
      </c>
      <c r="HS290">
        <v>0</v>
      </c>
      <c r="HT290">
        <v>0</v>
      </c>
      <c r="HU290">
        <v>0</v>
      </c>
      <c r="HV290">
        <v>0</v>
      </c>
      <c r="HW290">
        <v>0</v>
      </c>
      <c r="HX290">
        <v>0</v>
      </c>
      <c r="HY290">
        <v>0</v>
      </c>
      <c r="HZ290">
        <v>0</v>
      </c>
      <c r="IA290">
        <v>0</v>
      </c>
      <c r="IB290">
        <v>0</v>
      </c>
      <c r="IC290">
        <v>0</v>
      </c>
      <c r="ID290">
        <v>0</v>
      </c>
      <c r="IE290">
        <v>0</v>
      </c>
      <c r="IF290">
        <v>0</v>
      </c>
      <c r="IG290">
        <v>0</v>
      </c>
      <c r="IH290">
        <v>0</v>
      </c>
      <c r="II290">
        <v>0</v>
      </c>
      <c r="IJ290">
        <v>0</v>
      </c>
      <c r="IK290">
        <v>0</v>
      </c>
      <c r="IL290">
        <v>0</v>
      </c>
      <c r="IM290">
        <v>0</v>
      </c>
      <c r="IN290">
        <v>0</v>
      </c>
      <c r="IO290">
        <v>0</v>
      </c>
      <c r="IP290">
        <v>0</v>
      </c>
      <c r="IQ290">
        <v>0</v>
      </c>
      <c r="IR290">
        <v>0</v>
      </c>
      <c r="IS290">
        <v>0</v>
      </c>
      <c r="IT290">
        <v>0</v>
      </c>
      <c r="IU290">
        <v>0</v>
      </c>
      <c r="IV290">
        <v>0</v>
      </c>
      <c r="IW290">
        <v>0</v>
      </c>
      <c r="IX290">
        <v>0</v>
      </c>
      <c r="IY290">
        <v>0</v>
      </c>
      <c r="IZ290">
        <v>0</v>
      </c>
      <c r="JA290">
        <v>0</v>
      </c>
      <c r="JB290">
        <v>0</v>
      </c>
      <c r="JC290">
        <v>0</v>
      </c>
      <c r="JD290">
        <v>0</v>
      </c>
      <c r="JE290">
        <v>0</v>
      </c>
      <c r="JF290">
        <v>0</v>
      </c>
      <c r="JG290">
        <v>0</v>
      </c>
      <c r="JH290">
        <v>0</v>
      </c>
      <c r="JI290">
        <v>0</v>
      </c>
      <c r="JJ290">
        <v>0</v>
      </c>
      <c r="JK290">
        <v>0</v>
      </c>
      <c r="JL290">
        <v>0</v>
      </c>
      <c r="JM290">
        <v>0</v>
      </c>
      <c r="JN290">
        <v>0</v>
      </c>
      <c r="JO290">
        <v>0</v>
      </c>
      <c r="JP290">
        <v>0</v>
      </c>
      <c r="JQ290">
        <v>0</v>
      </c>
      <c r="JR290">
        <v>0</v>
      </c>
      <c r="JS290">
        <v>0</v>
      </c>
      <c r="JT290">
        <v>0</v>
      </c>
      <c r="JU290">
        <v>0</v>
      </c>
      <c r="JV290">
        <v>0</v>
      </c>
      <c r="JW290">
        <v>0</v>
      </c>
      <c r="JX290">
        <v>0</v>
      </c>
      <c r="JY290">
        <v>0</v>
      </c>
      <c r="JZ290">
        <v>0</v>
      </c>
      <c r="KA290">
        <v>0</v>
      </c>
      <c r="KB290">
        <v>0</v>
      </c>
      <c r="KC290">
        <v>0</v>
      </c>
      <c r="KD290">
        <v>0</v>
      </c>
      <c r="KE290">
        <v>0</v>
      </c>
      <c r="KF290">
        <v>0</v>
      </c>
      <c r="KG290">
        <v>0</v>
      </c>
      <c r="KH290">
        <v>0</v>
      </c>
      <c r="KI290">
        <v>0</v>
      </c>
      <c r="KJ290">
        <v>0</v>
      </c>
      <c r="KK290">
        <v>0</v>
      </c>
      <c r="KL290">
        <v>0</v>
      </c>
      <c r="KM290">
        <v>0</v>
      </c>
      <c r="KN290">
        <v>0</v>
      </c>
      <c r="KO290">
        <v>0</v>
      </c>
      <c r="KP290">
        <v>0</v>
      </c>
      <c r="KQ290">
        <v>0</v>
      </c>
      <c r="KR290">
        <v>0</v>
      </c>
      <c r="KS290">
        <v>0</v>
      </c>
      <c r="KT290">
        <v>0</v>
      </c>
      <c r="KU290">
        <v>0</v>
      </c>
      <c r="KV290">
        <v>0</v>
      </c>
      <c r="KW290">
        <v>0</v>
      </c>
      <c r="KX290">
        <v>0</v>
      </c>
      <c r="KY290">
        <v>0</v>
      </c>
      <c r="KZ290">
        <v>0</v>
      </c>
      <c r="LA290">
        <v>0</v>
      </c>
      <c r="LB290">
        <v>0</v>
      </c>
      <c r="LC290">
        <v>0</v>
      </c>
      <c r="LD290">
        <v>0</v>
      </c>
      <c r="LE290">
        <v>0</v>
      </c>
      <c r="LF290">
        <v>0</v>
      </c>
      <c r="LG290">
        <v>0</v>
      </c>
      <c r="LH290">
        <v>0</v>
      </c>
      <c r="LI290">
        <v>0</v>
      </c>
      <c r="LJ290">
        <v>0</v>
      </c>
      <c r="LK290">
        <v>0</v>
      </c>
      <c r="LL290">
        <v>0</v>
      </c>
      <c r="LM290">
        <v>0</v>
      </c>
      <c r="LN290">
        <v>0</v>
      </c>
      <c r="LO290">
        <v>0</v>
      </c>
      <c r="LP290">
        <v>0</v>
      </c>
      <c r="LQ290">
        <v>0</v>
      </c>
      <c r="LR290">
        <v>0</v>
      </c>
      <c r="LS290">
        <v>0</v>
      </c>
      <c r="LT290">
        <v>0</v>
      </c>
      <c r="LU290">
        <v>0</v>
      </c>
      <c r="LV290">
        <v>0</v>
      </c>
      <c r="LW290">
        <v>0</v>
      </c>
      <c r="LX290">
        <v>0</v>
      </c>
      <c r="LY290">
        <v>0</v>
      </c>
      <c r="LZ290">
        <v>0</v>
      </c>
      <c r="MA290">
        <v>0</v>
      </c>
      <c r="MB290">
        <v>0</v>
      </c>
      <c r="MC290">
        <v>0</v>
      </c>
      <c r="MD290">
        <v>0</v>
      </c>
      <c r="ME290">
        <v>0</v>
      </c>
      <c r="MF290">
        <v>0</v>
      </c>
      <c r="MG290">
        <v>0</v>
      </c>
      <c r="MH290">
        <v>0</v>
      </c>
      <c r="MI290">
        <v>0</v>
      </c>
      <c r="MJ290">
        <v>0</v>
      </c>
      <c r="MK290">
        <v>0</v>
      </c>
      <c r="ML290">
        <v>0</v>
      </c>
      <c r="MM290">
        <v>0</v>
      </c>
      <c r="MN290">
        <v>0</v>
      </c>
      <c r="MO290">
        <v>0</v>
      </c>
      <c r="MP290">
        <v>0</v>
      </c>
      <c r="MQ290">
        <v>0</v>
      </c>
      <c r="MR290">
        <v>0</v>
      </c>
      <c r="MS290">
        <v>0</v>
      </c>
      <c r="MT290">
        <v>0</v>
      </c>
      <c r="MU290">
        <v>0</v>
      </c>
      <c r="MV290">
        <v>0</v>
      </c>
      <c r="MW290">
        <v>0</v>
      </c>
      <c r="MX290">
        <v>0</v>
      </c>
      <c r="MY290">
        <v>0</v>
      </c>
      <c r="MZ290">
        <v>0</v>
      </c>
      <c r="NA290">
        <v>0</v>
      </c>
      <c r="NB290">
        <v>0</v>
      </c>
      <c r="NC290">
        <v>0</v>
      </c>
      <c r="ND290">
        <v>0</v>
      </c>
      <c r="NE290">
        <v>0</v>
      </c>
    </row>
    <row r="291" spans="41:369" x14ac:dyDescent="0.45">
      <c r="AO291" t="str">
        <v>D167</v>
      </c>
      <c r="AP291" t="str">
        <v>AHMAD BINYAMUL ASHIQUE</v>
      </c>
      <c r="AQ291" t="str">
        <v>JARF</v>
      </c>
      <c r="AR291" t="str">
        <v>SUPER SENIOR</v>
      </c>
      <c r="AS291">
        <v>10</v>
      </c>
      <c r="AT291">
        <v>0</v>
      </c>
      <c r="AU291">
        <v>0</v>
      </c>
      <c r="AV291">
        <v>0</v>
      </c>
      <c r="AW291">
        <v>0</v>
      </c>
      <c r="AX291">
        <v>255</v>
      </c>
      <c r="AY291" s="5">
        <v>255</v>
      </c>
      <c r="AZ291">
        <v>0</v>
      </c>
      <c r="BA291">
        <v>0</v>
      </c>
      <c r="BB291">
        <v>0</v>
      </c>
      <c r="BC291">
        <v>0</v>
      </c>
      <c r="BD291">
        <v>0</v>
      </c>
      <c r="BE291">
        <v>0</v>
      </c>
      <c r="BF291">
        <v>0</v>
      </c>
      <c r="BG291">
        <v>0</v>
      </c>
      <c r="BH291">
        <v>0</v>
      </c>
      <c r="BI291" t="str">
        <v/>
      </c>
      <c r="BK291">
        <v>285</v>
      </c>
      <c r="BL291">
        <v>0</v>
      </c>
      <c r="BM291">
        <v>0</v>
      </c>
      <c r="BN291">
        <v>0</v>
      </c>
      <c r="BO291">
        <v>0</v>
      </c>
      <c r="BP291">
        <v>0</v>
      </c>
      <c r="BQ291">
        <v>0</v>
      </c>
      <c r="BR291">
        <v>0</v>
      </c>
      <c r="BS291">
        <v>0</v>
      </c>
      <c r="BT291">
        <v>0</v>
      </c>
      <c r="BU291">
        <v>0</v>
      </c>
      <c r="BV291">
        <v>0</v>
      </c>
      <c r="BW291">
        <v>0</v>
      </c>
      <c r="BX291">
        <v>0</v>
      </c>
      <c r="BY291">
        <v>0</v>
      </c>
      <c r="BZ291">
        <v>0</v>
      </c>
      <c r="CA291">
        <v>0</v>
      </c>
      <c r="CB291">
        <v>0</v>
      </c>
      <c r="CC291">
        <v>0</v>
      </c>
      <c r="CD291">
        <v>0</v>
      </c>
      <c r="CE291">
        <v>0</v>
      </c>
      <c r="CF291">
        <v>0</v>
      </c>
      <c r="CG291">
        <v>0</v>
      </c>
      <c r="CH291">
        <v>0</v>
      </c>
      <c r="CI291">
        <v>0</v>
      </c>
      <c r="CJ291">
        <v>0</v>
      </c>
      <c r="CK291">
        <v>0</v>
      </c>
      <c r="CL291">
        <v>0</v>
      </c>
      <c r="CM291">
        <v>0</v>
      </c>
      <c r="CN291">
        <v>0</v>
      </c>
      <c r="CO291">
        <v>0</v>
      </c>
      <c r="CP291">
        <v>0</v>
      </c>
      <c r="CQ291">
        <v>0</v>
      </c>
      <c r="CR291">
        <v>0</v>
      </c>
      <c r="CS291">
        <v>0</v>
      </c>
      <c r="CT291">
        <v>0</v>
      </c>
      <c r="CU291">
        <v>0</v>
      </c>
      <c r="CV291">
        <v>0</v>
      </c>
      <c r="CW291">
        <v>0</v>
      </c>
      <c r="CX291">
        <v>0</v>
      </c>
      <c r="CY291">
        <v>0</v>
      </c>
      <c r="CZ291">
        <v>0</v>
      </c>
      <c r="DA291">
        <v>0</v>
      </c>
      <c r="DB291">
        <v>0</v>
      </c>
      <c r="DC291">
        <v>0</v>
      </c>
      <c r="DD291">
        <v>0</v>
      </c>
      <c r="DE291">
        <v>0</v>
      </c>
      <c r="DF291">
        <v>0</v>
      </c>
      <c r="DG291">
        <v>0</v>
      </c>
      <c r="DH291">
        <v>0</v>
      </c>
      <c r="DI291">
        <v>0</v>
      </c>
      <c r="DJ291">
        <v>0</v>
      </c>
      <c r="DK291">
        <v>0</v>
      </c>
      <c r="DL291">
        <v>0</v>
      </c>
      <c r="DM291">
        <v>0</v>
      </c>
      <c r="DN291">
        <v>0</v>
      </c>
      <c r="DO291">
        <v>0</v>
      </c>
      <c r="DP291">
        <v>0</v>
      </c>
      <c r="DQ291">
        <v>0</v>
      </c>
      <c r="DR291">
        <v>0</v>
      </c>
      <c r="DS291">
        <v>0</v>
      </c>
      <c r="DT291">
        <v>0</v>
      </c>
      <c r="DU291">
        <v>0</v>
      </c>
      <c r="DV291">
        <v>0</v>
      </c>
      <c r="DW291">
        <v>0</v>
      </c>
      <c r="DX291">
        <v>0</v>
      </c>
      <c r="DY291">
        <v>0</v>
      </c>
      <c r="DZ291">
        <v>0</v>
      </c>
      <c r="EA291">
        <v>0</v>
      </c>
      <c r="EB291">
        <v>0</v>
      </c>
      <c r="EC291">
        <v>0</v>
      </c>
      <c r="ED291">
        <v>0</v>
      </c>
      <c r="EE291">
        <v>0</v>
      </c>
      <c r="EF291">
        <v>0</v>
      </c>
      <c r="EG291">
        <v>0</v>
      </c>
      <c r="EH291">
        <v>0</v>
      </c>
      <c r="EI291">
        <v>0</v>
      </c>
      <c r="EJ291">
        <v>0</v>
      </c>
      <c r="EK291">
        <v>0</v>
      </c>
      <c r="EL291">
        <v>0</v>
      </c>
      <c r="EM291">
        <v>0</v>
      </c>
      <c r="EN291">
        <v>0</v>
      </c>
      <c r="EO291">
        <v>0</v>
      </c>
      <c r="EP291">
        <v>0</v>
      </c>
      <c r="EQ291">
        <v>0</v>
      </c>
      <c r="ER291">
        <v>0</v>
      </c>
      <c r="ES291">
        <v>0</v>
      </c>
      <c r="ET291">
        <v>0</v>
      </c>
      <c r="EU291">
        <v>0</v>
      </c>
      <c r="EV291">
        <v>0</v>
      </c>
      <c r="EW291">
        <v>0</v>
      </c>
      <c r="EX291">
        <v>0</v>
      </c>
      <c r="EY291">
        <v>0</v>
      </c>
      <c r="EZ291">
        <v>0</v>
      </c>
      <c r="FA291">
        <v>0</v>
      </c>
      <c r="FB291">
        <v>0</v>
      </c>
      <c r="FC291">
        <v>0</v>
      </c>
      <c r="FD291">
        <v>0</v>
      </c>
      <c r="FE291">
        <v>0</v>
      </c>
      <c r="FF291">
        <v>0</v>
      </c>
      <c r="FG291">
        <v>0</v>
      </c>
      <c r="FH291">
        <v>0</v>
      </c>
      <c r="FI291">
        <v>0</v>
      </c>
      <c r="FJ291">
        <v>0</v>
      </c>
      <c r="FK291">
        <v>0</v>
      </c>
      <c r="FL291">
        <v>0</v>
      </c>
      <c r="FM291">
        <v>0</v>
      </c>
      <c r="FN291">
        <v>0</v>
      </c>
      <c r="FO291">
        <v>0</v>
      </c>
      <c r="FP291">
        <v>0</v>
      </c>
      <c r="FQ291">
        <v>0</v>
      </c>
      <c r="FR291">
        <v>0</v>
      </c>
      <c r="FS291">
        <v>0</v>
      </c>
      <c r="FT291">
        <v>0</v>
      </c>
      <c r="FU291">
        <v>0</v>
      </c>
      <c r="FV291">
        <v>0</v>
      </c>
      <c r="FW291">
        <v>0</v>
      </c>
      <c r="FX291">
        <v>0</v>
      </c>
      <c r="FY291">
        <v>0</v>
      </c>
      <c r="FZ291">
        <v>0</v>
      </c>
      <c r="GA291">
        <v>0</v>
      </c>
      <c r="GB291">
        <v>0</v>
      </c>
      <c r="GC291">
        <v>0</v>
      </c>
      <c r="GD291">
        <v>0</v>
      </c>
      <c r="GE291">
        <v>0</v>
      </c>
      <c r="GF291">
        <v>0</v>
      </c>
      <c r="GG291">
        <v>0</v>
      </c>
      <c r="GH291">
        <v>0</v>
      </c>
      <c r="GI291">
        <v>0</v>
      </c>
      <c r="GJ291">
        <v>0</v>
      </c>
      <c r="GK291">
        <v>0</v>
      </c>
      <c r="GL291">
        <v>0</v>
      </c>
      <c r="GM291">
        <v>0</v>
      </c>
      <c r="GN291">
        <v>0</v>
      </c>
      <c r="GO291">
        <v>0</v>
      </c>
      <c r="GP291">
        <v>0</v>
      </c>
      <c r="GQ291">
        <v>0</v>
      </c>
      <c r="GR291">
        <v>0</v>
      </c>
      <c r="GS291">
        <v>0</v>
      </c>
      <c r="GT291">
        <v>0</v>
      </c>
      <c r="GU291">
        <v>0</v>
      </c>
      <c r="GV291">
        <v>0</v>
      </c>
      <c r="GW291">
        <v>0</v>
      </c>
      <c r="GX291">
        <v>0</v>
      </c>
      <c r="GY291">
        <v>0</v>
      </c>
      <c r="GZ291">
        <v>0</v>
      </c>
      <c r="HA291">
        <v>0</v>
      </c>
      <c r="HB291">
        <v>0</v>
      </c>
      <c r="HC291">
        <v>0</v>
      </c>
      <c r="HD291">
        <v>0</v>
      </c>
      <c r="HE291">
        <v>0</v>
      </c>
      <c r="HF291">
        <v>0</v>
      </c>
      <c r="HG291">
        <v>0</v>
      </c>
      <c r="HH291">
        <v>0</v>
      </c>
      <c r="HI291">
        <v>0</v>
      </c>
      <c r="HJ291">
        <v>0</v>
      </c>
      <c r="HK291">
        <v>0</v>
      </c>
      <c r="HL291">
        <v>0</v>
      </c>
      <c r="HM291">
        <v>0</v>
      </c>
      <c r="HN291">
        <v>0</v>
      </c>
      <c r="HO291">
        <v>0</v>
      </c>
      <c r="HP291">
        <v>0</v>
      </c>
      <c r="HQ291">
        <v>0</v>
      </c>
      <c r="HR291">
        <v>0</v>
      </c>
      <c r="HS291">
        <v>0</v>
      </c>
      <c r="HT291">
        <v>0</v>
      </c>
      <c r="HU291">
        <v>0</v>
      </c>
      <c r="HV291">
        <v>0</v>
      </c>
      <c r="HW291">
        <v>0</v>
      </c>
      <c r="HX291">
        <v>0</v>
      </c>
      <c r="HY291">
        <v>0</v>
      </c>
      <c r="HZ291">
        <v>0</v>
      </c>
      <c r="IA291">
        <v>0</v>
      </c>
      <c r="IB291">
        <v>0</v>
      </c>
      <c r="IC291">
        <v>0</v>
      </c>
      <c r="ID291">
        <v>0</v>
      </c>
      <c r="IE291">
        <v>0</v>
      </c>
      <c r="IF291">
        <v>0</v>
      </c>
      <c r="IG291">
        <v>0</v>
      </c>
      <c r="IH291">
        <v>0</v>
      </c>
      <c r="II291">
        <v>0</v>
      </c>
      <c r="IJ291">
        <v>0</v>
      </c>
      <c r="IK291">
        <v>0</v>
      </c>
      <c r="IL291">
        <v>0</v>
      </c>
      <c r="IM291">
        <v>0</v>
      </c>
      <c r="IN291">
        <v>0</v>
      </c>
      <c r="IO291">
        <v>0</v>
      </c>
      <c r="IP291">
        <v>0</v>
      </c>
      <c r="IQ291">
        <v>0</v>
      </c>
      <c r="IR291">
        <v>0</v>
      </c>
      <c r="IS291">
        <v>0</v>
      </c>
      <c r="IT291">
        <v>0</v>
      </c>
      <c r="IU291">
        <v>0</v>
      </c>
      <c r="IV291">
        <v>0</v>
      </c>
      <c r="IW291">
        <v>0</v>
      </c>
      <c r="IX291">
        <v>0</v>
      </c>
      <c r="IY291">
        <v>0</v>
      </c>
      <c r="IZ291">
        <v>0</v>
      </c>
      <c r="JA291">
        <v>0</v>
      </c>
      <c r="JB291">
        <v>0</v>
      </c>
      <c r="JC291">
        <v>0</v>
      </c>
      <c r="JD291">
        <v>0</v>
      </c>
      <c r="JE291">
        <v>0</v>
      </c>
      <c r="JF291">
        <v>0</v>
      </c>
      <c r="JG291">
        <v>0</v>
      </c>
      <c r="JH291">
        <v>0</v>
      </c>
      <c r="JI291">
        <v>0</v>
      </c>
      <c r="JJ291">
        <v>0</v>
      </c>
      <c r="JK291">
        <v>0</v>
      </c>
      <c r="JL291">
        <v>0</v>
      </c>
      <c r="JM291">
        <v>0</v>
      </c>
      <c r="JN291">
        <v>0</v>
      </c>
      <c r="JO291">
        <v>0</v>
      </c>
      <c r="JP291">
        <v>0</v>
      </c>
      <c r="JQ291">
        <v>0</v>
      </c>
      <c r="JR291">
        <v>0</v>
      </c>
      <c r="JS291">
        <v>0</v>
      </c>
      <c r="JT291">
        <v>0</v>
      </c>
      <c r="JU291">
        <v>0</v>
      </c>
      <c r="JV291">
        <v>0</v>
      </c>
      <c r="JW291">
        <v>0</v>
      </c>
      <c r="JX291">
        <v>0</v>
      </c>
      <c r="JY291">
        <v>0</v>
      </c>
      <c r="JZ291">
        <v>0</v>
      </c>
      <c r="KA291">
        <v>0</v>
      </c>
      <c r="KB291">
        <v>0</v>
      </c>
      <c r="KC291">
        <v>0</v>
      </c>
      <c r="KD291">
        <v>0</v>
      </c>
      <c r="KE291">
        <v>0</v>
      </c>
      <c r="KF291">
        <v>0</v>
      </c>
      <c r="KG291">
        <v>0</v>
      </c>
      <c r="KH291">
        <v>0</v>
      </c>
      <c r="KI291">
        <v>0</v>
      </c>
      <c r="KJ291">
        <v>0</v>
      </c>
      <c r="KK291">
        <v>0</v>
      </c>
      <c r="KL291">
        <v>0</v>
      </c>
      <c r="KM291">
        <v>0</v>
      </c>
      <c r="KN291">
        <v>0</v>
      </c>
      <c r="KO291">
        <v>0</v>
      </c>
      <c r="KP291">
        <v>0</v>
      </c>
      <c r="KQ291">
        <v>0</v>
      </c>
      <c r="KR291">
        <v>0</v>
      </c>
      <c r="KS291">
        <v>0</v>
      </c>
      <c r="KT291">
        <v>0</v>
      </c>
      <c r="KU291">
        <v>0</v>
      </c>
      <c r="KV291">
        <v>0</v>
      </c>
      <c r="KW291">
        <v>0</v>
      </c>
      <c r="KX291">
        <v>0</v>
      </c>
      <c r="KY291">
        <v>0</v>
      </c>
      <c r="KZ291">
        <v>0</v>
      </c>
      <c r="LA291">
        <v>0</v>
      </c>
      <c r="LB291">
        <v>0</v>
      </c>
      <c r="LC291">
        <v>0</v>
      </c>
      <c r="LD291">
        <v>0</v>
      </c>
      <c r="LE291">
        <v>0</v>
      </c>
      <c r="LF291">
        <v>0</v>
      </c>
      <c r="LG291">
        <v>0</v>
      </c>
      <c r="LH291">
        <v>0</v>
      </c>
      <c r="LI291">
        <v>0</v>
      </c>
      <c r="LJ291">
        <v>0</v>
      </c>
      <c r="LK291">
        <v>0</v>
      </c>
      <c r="LL291">
        <v>0</v>
      </c>
      <c r="LM291">
        <v>0</v>
      </c>
      <c r="LN291">
        <v>0</v>
      </c>
      <c r="LO291">
        <v>0</v>
      </c>
      <c r="LP291">
        <v>0</v>
      </c>
      <c r="LQ291">
        <v>0</v>
      </c>
      <c r="LR291">
        <v>0</v>
      </c>
      <c r="LS291">
        <v>0</v>
      </c>
      <c r="LT291">
        <v>0</v>
      </c>
      <c r="LU291">
        <v>0</v>
      </c>
      <c r="LV291">
        <v>0</v>
      </c>
      <c r="LW291">
        <v>0</v>
      </c>
      <c r="LX291">
        <v>0</v>
      </c>
      <c r="LY291">
        <v>0</v>
      </c>
      <c r="LZ291">
        <v>0</v>
      </c>
      <c r="MA291">
        <v>0</v>
      </c>
      <c r="MB291">
        <v>0</v>
      </c>
      <c r="MC291">
        <v>0</v>
      </c>
      <c r="MD291">
        <v>0</v>
      </c>
      <c r="ME291">
        <v>0</v>
      </c>
      <c r="MF291">
        <v>0</v>
      </c>
      <c r="MG291">
        <v>0</v>
      </c>
      <c r="MH291">
        <v>0</v>
      </c>
      <c r="MI291">
        <v>0</v>
      </c>
      <c r="MJ291">
        <v>0</v>
      </c>
      <c r="MK291">
        <v>0</v>
      </c>
      <c r="ML291">
        <v>0</v>
      </c>
      <c r="MM291">
        <v>0</v>
      </c>
      <c r="MN291">
        <v>0</v>
      </c>
      <c r="MO291">
        <v>0</v>
      </c>
      <c r="MP291">
        <v>0</v>
      </c>
      <c r="MQ291">
        <v>0</v>
      </c>
      <c r="MR291">
        <v>0</v>
      </c>
      <c r="MS291">
        <v>0</v>
      </c>
      <c r="MT291">
        <v>0</v>
      </c>
      <c r="MU291">
        <v>0</v>
      </c>
      <c r="MV291">
        <v>0</v>
      </c>
      <c r="MW291">
        <v>0</v>
      </c>
      <c r="MX291">
        <v>0</v>
      </c>
      <c r="MY291">
        <v>0</v>
      </c>
      <c r="MZ291">
        <v>0</v>
      </c>
      <c r="NA291">
        <v>0</v>
      </c>
      <c r="NB291">
        <v>0</v>
      </c>
      <c r="NC291">
        <v>0</v>
      </c>
      <c r="ND291">
        <v>0</v>
      </c>
      <c r="NE291">
        <v>0</v>
      </c>
    </row>
    <row r="292" spans="41:369" x14ac:dyDescent="0.45">
      <c r="AO292" t="str">
        <v>D168</v>
      </c>
      <c r="AP292" t="str">
        <v>MOHAMMED NAFIH KA</v>
      </c>
      <c r="AQ292" t="str">
        <v>FANT</v>
      </c>
      <c r="AR292" t="str">
        <v>SUPER SENIOR</v>
      </c>
      <c r="AS292">
        <v>10</v>
      </c>
      <c r="AT292">
        <v>0</v>
      </c>
      <c r="AU292">
        <v>0</v>
      </c>
      <c r="AV292">
        <v>0</v>
      </c>
      <c r="AW292">
        <v>0</v>
      </c>
      <c r="AX292">
        <v>255</v>
      </c>
      <c r="AY292" s="5">
        <v>255</v>
      </c>
      <c r="AZ292">
        <v>0</v>
      </c>
      <c r="BA292">
        <v>0</v>
      </c>
      <c r="BB292">
        <v>0</v>
      </c>
      <c r="BC292">
        <v>0</v>
      </c>
      <c r="BD292">
        <v>0</v>
      </c>
      <c r="BE292">
        <v>0</v>
      </c>
      <c r="BF292">
        <v>0</v>
      </c>
      <c r="BG292">
        <v>0</v>
      </c>
      <c r="BH292">
        <v>0</v>
      </c>
      <c r="BI292" t="str">
        <v/>
      </c>
      <c r="BK292">
        <v>286</v>
      </c>
      <c r="BL292">
        <v>0</v>
      </c>
      <c r="BM292">
        <v>0</v>
      </c>
      <c r="BN292">
        <v>0</v>
      </c>
      <c r="BO292">
        <v>0</v>
      </c>
      <c r="BP292">
        <v>0</v>
      </c>
      <c r="BQ292">
        <v>0</v>
      </c>
      <c r="BR292">
        <v>0</v>
      </c>
      <c r="BS292">
        <v>0</v>
      </c>
      <c r="BT292">
        <v>0</v>
      </c>
      <c r="BU292">
        <v>0</v>
      </c>
      <c r="BV292">
        <v>0</v>
      </c>
      <c r="BW292">
        <v>0</v>
      </c>
      <c r="BX292">
        <v>0</v>
      </c>
      <c r="BY292">
        <v>0</v>
      </c>
      <c r="BZ292">
        <v>0</v>
      </c>
      <c r="CA292">
        <v>0</v>
      </c>
      <c r="CB292">
        <v>0</v>
      </c>
      <c r="CC292">
        <v>0</v>
      </c>
      <c r="CD292">
        <v>0</v>
      </c>
      <c r="CE292">
        <v>0</v>
      </c>
      <c r="CF292">
        <v>0</v>
      </c>
      <c r="CG292">
        <v>0</v>
      </c>
      <c r="CH292">
        <v>0</v>
      </c>
      <c r="CI292">
        <v>0</v>
      </c>
      <c r="CJ292">
        <v>0</v>
      </c>
      <c r="CK292">
        <v>0</v>
      </c>
      <c r="CL292">
        <v>0</v>
      </c>
      <c r="CM292">
        <v>0</v>
      </c>
      <c r="CN292">
        <v>0</v>
      </c>
      <c r="CO292">
        <v>0</v>
      </c>
      <c r="CP292">
        <v>0</v>
      </c>
      <c r="CQ292">
        <v>0</v>
      </c>
      <c r="CR292">
        <v>0</v>
      </c>
      <c r="CS292">
        <v>0</v>
      </c>
      <c r="CT292">
        <v>0</v>
      </c>
      <c r="CU292">
        <v>0</v>
      </c>
      <c r="CV292">
        <v>0</v>
      </c>
      <c r="CW292">
        <v>0</v>
      </c>
      <c r="CX292">
        <v>0</v>
      </c>
      <c r="CY292">
        <v>0</v>
      </c>
      <c r="CZ292">
        <v>0</v>
      </c>
      <c r="DA292">
        <v>0</v>
      </c>
      <c r="DB292">
        <v>0</v>
      </c>
      <c r="DC292">
        <v>0</v>
      </c>
      <c r="DD292">
        <v>0</v>
      </c>
      <c r="DE292">
        <v>0</v>
      </c>
      <c r="DF292">
        <v>0</v>
      </c>
      <c r="DG292">
        <v>0</v>
      </c>
      <c r="DH292">
        <v>0</v>
      </c>
      <c r="DI292">
        <v>0</v>
      </c>
      <c r="DJ292">
        <v>0</v>
      </c>
      <c r="DK292">
        <v>0</v>
      </c>
      <c r="DL292">
        <v>0</v>
      </c>
      <c r="DM292">
        <v>0</v>
      </c>
      <c r="DN292">
        <v>0</v>
      </c>
      <c r="DO292">
        <v>0</v>
      </c>
      <c r="DP292">
        <v>0</v>
      </c>
      <c r="DQ292">
        <v>0</v>
      </c>
      <c r="DR292">
        <v>0</v>
      </c>
      <c r="DS292">
        <v>0</v>
      </c>
      <c r="DT292">
        <v>0</v>
      </c>
      <c r="DU292">
        <v>0</v>
      </c>
      <c r="DV292">
        <v>0</v>
      </c>
      <c r="DW292">
        <v>0</v>
      </c>
      <c r="DX292">
        <v>0</v>
      </c>
      <c r="DY292">
        <v>0</v>
      </c>
      <c r="DZ292">
        <v>0</v>
      </c>
      <c r="EA292">
        <v>0</v>
      </c>
      <c r="EB292">
        <v>0</v>
      </c>
      <c r="EC292">
        <v>0</v>
      </c>
      <c r="ED292">
        <v>0</v>
      </c>
      <c r="EE292">
        <v>0</v>
      </c>
      <c r="EF292">
        <v>0</v>
      </c>
      <c r="EG292">
        <v>0</v>
      </c>
      <c r="EH292">
        <v>0</v>
      </c>
      <c r="EI292">
        <v>0</v>
      </c>
      <c r="EJ292">
        <v>0</v>
      </c>
      <c r="EK292">
        <v>0</v>
      </c>
      <c r="EL292">
        <v>0</v>
      </c>
      <c r="EM292">
        <v>0</v>
      </c>
      <c r="EN292">
        <v>0</v>
      </c>
      <c r="EO292">
        <v>0</v>
      </c>
      <c r="EP292">
        <v>0</v>
      </c>
      <c r="EQ292">
        <v>0</v>
      </c>
      <c r="ER292">
        <v>0</v>
      </c>
      <c r="ES292">
        <v>0</v>
      </c>
      <c r="ET292">
        <v>0</v>
      </c>
      <c r="EU292">
        <v>0</v>
      </c>
      <c r="EV292">
        <v>0</v>
      </c>
      <c r="EW292">
        <v>0</v>
      </c>
      <c r="EX292">
        <v>0</v>
      </c>
      <c r="EY292">
        <v>0</v>
      </c>
      <c r="EZ292">
        <v>0</v>
      </c>
      <c r="FA292">
        <v>0</v>
      </c>
      <c r="FB292">
        <v>0</v>
      </c>
      <c r="FC292">
        <v>0</v>
      </c>
      <c r="FD292">
        <v>0</v>
      </c>
      <c r="FE292">
        <v>0</v>
      </c>
      <c r="FF292">
        <v>0</v>
      </c>
      <c r="FG292">
        <v>0</v>
      </c>
      <c r="FH292">
        <v>0</v>
      </c>
      <c r="FI292">
        <v>0</v>
      </c>
      <c r="FJ292">
        <v>0</v>
      </c>
      <c r="FK292">
        <v>0</v>
      </c>
      <c r="FL292">
        <v>0</v>
      </c>
      <c r="FM292">
        <v>0</v>
      </c>
      <c r="FN292">
        <v>0</v>
      </c>
      <c r="FO292">
        <v>0</v>
      </c>
      <c r="FP292">
        <v>0</v>
      </c>
      <c r="FQ292">
        <v>0</v>
      </c>
      <c r="FR292">
        <v>0</v>
      </c>
      <c r="FS292">
        <v>0</v>
      </c>
      <c r="FT292">
        <v>0</v>
      </c>
      <c r="FU292">
        <v>0</v>
      </c>
      <c r="FV292">
        <v>0</v>
      </c>
      <c r="FW292">
        <v>0</v>
      </c>
      <c r="FX292">
        <v>0</v>
      </c>
      <c r="FY292">
        <v>0</v>
      </c>
      <c r="FZ292">
        <v>0</v>
      </c>
      <c r="GA292">
        <v>0</v>
      </c>
      <c r="GB292">
        <v>0</v>
      </c>
      <c r="GC292">
        <v>0</v>
      </c>
      <c r="GD292">
        <v>0</v>
      </c>
      <c r="GE292">
        <v>0</v>
      </c>
      <c r="GF292">
        <v>0</v>
      </c>
      <c r="GG292">
        <v>0</v>
      </c>
      <c r="GH292">
        <v>0</v>
      </c>
      <c r="GI292">
        <v>0</v>
      </c>
      <c r="GJ292">
        <v>0</v>
      </c>
      <c r="GK292">
        <v>0</v>
      </c>
      <c r="GL292">
        <v>0</v>
      </c>
      <c r="GM292">
        <v>0</v>
      </c>
      <c r="GN292">
        <v>0</v>
      </c>
      <c r="GO292">
        <v>0</v>
      </c>
      <c r="GP292">
        <v>0</v>
      </c>
      <c r="GQ292">
        <v>0</v>
      </c>
      <c r="GR292">
        <v>0</v>
      </c>
      <c r="GS292">
        <v>0</v>
      </c>
      <c r="GT292">
        <v>0</v>
      </c>
      <c r="GU292">
        <v>0</v>
      </c>
      <c r="GV292">
        <v>0</v>
      </c>
      <c r="GW292">
        <v>0</v>
      </c>
      <c r="GX292">
        <v>0</v>
      </c>
      <c r="GY292">
        <v>0</v>
      </c>
      <c r="GZ292">
        <v>0</v>
      </c>
      <c r="HA292">
        <v>0</v>
      </c>
      <c r="HB292">
        <v>0</v>
      </c>
      <c r="HC292">
        <v>0</v>
      </c>
      <c r="HD292">
        <v>0</v>
      </c>
      <c r="HE292">
        <v>0</v>
      </c>
      <c r="HF292">
        <v>0</v>
      </c>
      <c r="HG292">
        <v>0</v>
      </c>
      <c r="HH292">
        <v>0</v>
      </c>
      <c r="HI292">
        <v>0</v>
      </c>
      <c r="HJ292">
        <v>0</v>
      </c>
      <c r="HK292">
        <v>0</v>
      </c>
      <c r="HL292">
        <v>0</v>
      </c>
      <c r="HM292">
        <v>0</v>
      </c>
      <c r="HN292">
        <v>0</v>
      </c>
      <c r="HO292">
        <v>0</v>
      </c>
      <c r="HP292">
        <v>0</v>
      </c>
      <c r="HQ292">
        <v>0</v>
      </c>
      <c r="HR292">
        <v>0</v>
      </c>
      <c r="HS292">
        <v>0</v>
      </c>
      <c r="HT292">
        <v>0</v>
      </c>
      <c r="HU292">
        <v>0</v>
      </c>
      <c r="HV292">
        <v>0</v>
      </c>
      <c r="HW292">
        <v>0</v>
      </c>
      <c r="HX292">
        <v>0</v>
      </c>
      <c r="HY292">
        <v>0</v>
      </c>
      <c r="HZ292">
        <v>0</v>
      </c>
      <c r="IA292">
        <v>0</v>
      </c>
      <c r="IB292">
        <v>0</v>
      </c>
      <c r="IC292">
        <v>0</v>
      </c>
      <c r="ID292">
        <v>0</v>
      </c>
      <c r="IE292">
        <v>0</v>
      </c>
      <c r="IF292">
        <v>0</v>
      </c>
      <c r="IG292">
        <v>0</v>
      </c>
      <c r="IH292">
        <v>0</v>
      </c>
      <c r="II292">
        <v>0</v>
      </c>
      <c r="IJ292">
        <v>0</v>
      </c>
      <c r="IK292">
        <v>0</v>
      </c>
      <c r="IL292">
        <v>0</v>
      </c>
      <c r="IM292">
        <v>0</v>
      </c>
      <c r="IN292">
        <v>0</v>
      </c>
      <c r="IO292">
        <v>0</v>
      </c>
      <c r="IP292">
        <v>0</v>
      </c>
      <c r="IQ292">
        <v>0</v>
      </c>
      <c r="IR292">
        <v>0</v>
      </c>
      <c r="IS292">
        <v>0</v>
      </c>
      <c r="IT292">
        <v>0</v>
      </c>
      <c r="IU292">
        <v>0</v>
      </c>
      <c r="IV292">
        <v>0</v>
      </c>
      <c r="IW292">
        <v>0</v>
      </c>
      <c r="IX292">
        <v>0</v>
      </c>
      <c r="IY292">
        <v>0</v>
      </c>
      <c r="IZ292">
        <v>0</v>
      </c>
      <c r="JA292">
        <v>0</v>
      </c>
      <c r="JB292">
        <v>0</v>
      </c>
      <c r="JC292">
        <v>0</v>
      </c>
      <c r="JD292">
        <v>0</v>
      </c>
      <c r="JE292">
        <v>0</v>
      </c>
      <c r="JF292">
        <v>0</v>
      </c>
      <c r="JG292">
        <v>0</v>
      </c>
      <c r="JH292">
        <v>0</v>
      </c>
      <c r="JI292">
        <v>0</v>
      </c>
      <c r="JJ292">
        <v>0</v>
      </c>
      <c r="JK292">
        <v>0</v>
      </c>
      <c r="JL292">
        <v>0</v>
      </c>
      <c r="JM292">
        <v>0</v>
      </c>
      <c r="JN292">
        <v>0</v>
      </c>
      <c r="JO292">
        <v>0</v>
      </c>
      <c r="JP292">
        <v>0</v>
      </c>
      <c r="JQ292">
        <v>0</v>
      </c>
      <c r="JR292">
        <v>0</v>
      </c>
      <c r="JS292">
        <v>0</v>
      </c>
      <c r="JT292">
        <v>0</v>
      </c>
      <c r="JU292">
        <v>0</v>
      </c>
      <c r="JV292">
        <v>0</v>
      </c>
      <c r="JW292">
        <v>0</v>
      </c>
      <c r="JX292">
        <v>0</v>
      </c>
      <c r="JY292">
        <v>0</v>
      </c>
      <c r="JZ292">
        <v>0</v>
      </c>
      <c r="KA292">
        <v>0</v>
      </c>
      <c r="KB292">
        <v>0</v>
      </c>
      <c r="KC292">
        <v>0</v>
      </c>
      <c r="KD292">
        <v>0</v>
      </c>
      <c r="KE292">
        <v>0</v>
      </c>
      <c r="KF292">
        <v>0</v>
      </c>
      <c r="KG292">
        <v>0</v>
      </c>
      <c r="KH292">
        <v>0</v>
      </c>
      <c r="KI292">
        <v>0</v>
      </c>
      <c r="KJ292">
        <v>0</v>
      </c>
      <c r="KK292">
        <v>0</v>
      </c>
      <c r="KL292">
        <v>0</v>
      </c>
      <c r="KM292">
        <v>0</v>
      </c>
      <c r="KN292">
        <v>0</v>
      </c>
      <c r="KO292">
        <v>0</v>
      </c>
      <c r="KP292">
        <v>0</v>
      </c>
      <c r="KQ292">
        <v>0</v>
      </c>
      <c r="KR292">
        <v>0</v>
      </c>
      <c r="KS292">
        <v>0</v>
      </c>
      <c r="KT292">
        <v>0</v>
      </c>
      <c r="KU292">
        <v>0</v>
      </c>
      <c r="KV292">
        <v>0</v>
      </c>
      <c r="KW292">
        <v>0</v>
      </c>
      <c r="KX292">
        <v>0</v>
      </c>
      <c r="KY292">
        <v>0</v>
      </c>
      <c r="KZ292">
        <v>0</v>
      </c>
      <c r="LA292">
        <v>0</v>
      </c>
      <c r="LB292">
        <v>0</v>
      </c>
      <c r="LC292">
        <v>0</v>
      </c>
      <c r="LD292">
        <v>0</v>
      </c>
      <c r="LE292">
        <v>0</v>
      </c>
      <c r="LF292">
        <v>0</v>
      </c>
      <c r="LG292">
        <v>0</v>
      </c>
      <c r="LH292">
        <v>0</v>
      </c>
      <c r="LI292">
        <v>0</v>
      </c>
      <c r="LJ292">
        <v>0</v>
      </c>
      <c r="LK292">
        <v>0</v>
      </c>
      <c r="LL292">
        <v>0</v>
      </c>
      <c r="LM292">
        <v>0</v>
      </c>
      <c r="LN292">
        <v>0</v>
      </c>
      <c r="LO292">
        <v>0</v>
      </c>
      <c r="LP292">
        <v>0</v>
      </c>
      <c r="LQ292">
        <v>0</v>
      </c>
      <c r="LR292">
        <v>0</v>
      </c>
      <c r="LS292">
        <v>0</v>
      </c>
      <c r="LT292">
        <v>0</v>
      </c>
      <c r="LU292">
        <v>0</v>
      </c>
      <c r="LV292">
        <v>0</v>
      </c>
      <c r="LW292">
        <v>0</v>
      </c>
      <c r="LX292">
        <v>0</v>
      </c>
      <c r="LY292">
        <v>0</v>
      </c>
      <c r="LZ292">
        <v>0</v>
      </c>
      <c r="MA292">
        <v>0</v>
      </c>
      <c r="MB292">
        <v>0</v>
      </c>
      <c r="MC292">
        <v>0</v>
      </c>
      <c r="MD292">
        <v>0</v>
      </c>
      <c r="ME292">
        <v>0</v>
      </c>
      <c r="MF292">
        <v>0</v>
      </c>
      <c r="MG292">
        <v>0</v>
      </c>
      <c r="MH292">
        <v>0</v>
      </c>
      <c r="MI292">
        <v>0</v>
      </c>
      <c r="MJ292">
        <v>0</v>
      </c>
      <c r="MK292">
        <v>0</v>
      </c>
      <c r="ML292">
        <v>0</v>
      </c>
      <c r="MM292">
        <v>0</v>
      </c>
      <c r="MN292">
        <v>0</v>
      </c>
      <c r="MO292">
        <v>0</v>
      </c>
      <c r="MP292">
        <v>0</v>
      </c>
      <c r="MQ292">
        <v>0</v>
      </c>
      <c r="MR292">
        <v>0</v>
      </c>
      <c r="MS292">
        <v>0</v>
      </c>
      <c r="MT292">
        <v>0</v>
      </c>
      <c r="MU292">
        <v>0</v>
      </c>
      <c r="MV292">
        <v>0</v>
      </c>
      <c r="MW292">
        <v>0</v>
      </c>
      <c r="MX292">
        <v>0</v>
      </c>
      <c r="MY292">
        <v>0</v>
      </c>
      <c r="MZ292">
        <v>0</v>
      </c>
      <c r="NA292">
        <v>0</v>
      </c>
      <c r="NB292">
        <v>0</v>
      </c>
      <c r="NC292">
        <v>0</v>
      </c>
      <c r="ND292">
        <v>0</v>
      </c>
      <c r="NE292">
        <v>0</v>
      </c>
    </row>
    <row r="293" spans="41:369" x14ac:dyDescent="0.45">
      <c r="AO293" t="str">
        <v>D169</v>
      </c>
      <c r="AP293" t="str">
        <v>MUHAMMED AYIZ</v>
      </c>
      <c r="AQ293" t="str">
        <v>BADF</v>
      </c>
      <c r="AR293" t="str">
        <v>SUPER SENIOR</v>
      </c>
      <c r="AS293">
        <v>10</v>
      </c>
      <c r="AT293">
        <v>0</v>
      </c>
      <c r="AU293">
        <v>0</v>
      </c>
      <c r="AV293">
        <v>0</v>
      </c>
      <c r="AW293">
        <v>0</v>
      </c>
      <c r="AX293">
        <v>255</v>
      </c>
      <c r="AY293" s="5">
        <v>255</v>
      </c>
      <c r="AZ293">
        <v>0</v>
      </c>
      <c r="BA293">
        <v>0</v>
      </c>
      <c r="BB293">
        <v>0</v>
      </c>
      <c r="BC293">
        <v>0</v>
      </c>
      <c r="BD293">
        <v>0</v>
      </c>
      <c r="BE293">
        <v>0</v>
      </c>
      <c r="BF293">
        <v>0</v>
      </c>
      <c r="BG293">
        <v>0</v>
      </c>
      <c r="BH293">
        <v>0</v>
      </c>
      <c r="BI293" t="str">
        <v/>
      </c>
      <c r="BK293">
        <v>287</v>
      </c>
      <c r="BL293">
        <v>0</v>
      </c>
      <c r="BM293">
        <v>0</v>
      </c>
      <c r="BN293">
        <v>0</v>
      </c>
      <c r="BO293">
        <v>0</v>
      </c>
      <c r="BP293">
        <v>0</v>
      </c>
      <c r="BQ293">
        <v>0</v>
      </c>
      <c r="BR293">
        <v>0</v>
      </c>
      <c r="BS293">
        <v>0</v>
      </c>
      <c r="BT293">
        <v>0</v>
      </c>
      <c r="BU293">
        <v>0</v>
      </c>
      <c r="BV293">
        <v>0</v>
      </c>
      <c r="BW293">
        <v>0</v>
      </c>
      <c r="BX293">
        <v>0</v>
      </c>
      <c r="BY293">
        <v>0</v>
      </c>
      <c r="BZ293">
        <v>0</v>
      </c>
      <c r="CA293">
        <v>0</v>
      </c>
      <c r="CB293">
        <v>0</v>
      </c>
      <c r="CC293">
        <v>0</v>
      </c>
      <c r="CD293">
        <v>0</v>
      </c>
      <c r="CE293">
        <v>0</v>
      </c>
      <c r="CF293">
        <v>0</v>
      </c>
      <c r="CG293">
        <v>0</v>
      </c>
      <c r="CH293">
        <v>0</v>
      </c>
      <c r="CI293">
        <v>0</v>
      </c>
      <c r="CJ293">
        <v>0</v>
      </c>
      <c r="CK293">
        <v>0</v>
      </c>
      <c r="CL293">
        <v>0</v>
      </c>
      <c r="CM293">
        <v>0</v>
      </c>
      <c r="CN293">
        <v>0</v>
      </c>
      <c r="CO293">
        <v>0</v>
      </c>
      <c r="CP293">
        <v>0</v>
      </c>
      <c r="CQ293">
        <v>0</v>
      </c>
      <c r="CR293">
        <v>0</v>
      </c>
      <c r="CS293">
        <v>0</v>
      </c>
      <c r="CT293">
        <v>0</v>
      </c>
      <c r="CU293">
        <v>0</v>
      </c>
      <c r="CV293">
        <v>0</v>
      </c>
      <c r="CW293">
        <v>0</v>
      </c>
      <c r="CX293">
        <v>0</v>
      </c>
      <c r="CY293">
        <v>0</v>
      </c>
      <c r="CZ293">
        <v>0</v>
      </c>
      <c r="DA293">
        <v>0</v>
      </c>
      <c r="DB293">
        <v>0</v>
      </c>
      <c r="DC293">
        <v>0</v>
      </c>
      <c r="DD293">
        <v>0</v>
      </c>
      <c r="DE293">
        <v>0</v>
      </c>
      <c r="DF293">
        <v>0</v>
      </c>
      <c r="DG293">
        <v>0</v>
      </c>
      <c r="DH293">
        <v>0</v>
      </c>
      <c r="DI293">
        <v>0</v>
      </c>
      <c r="DJ293">
        <v>0</v>
      </c>
      <c r="DK293">
        <v>0</v>
      </c>
      <c r="DL293">
        <v>0</v>
      </c>
      <c r="DM293">
        <v>0</v>
      </c>
      <c r="DN293">
        <v>0</v>
      </c>
      <c r="DO293">
        <v>0</v>
      </c>
      <c r="DP293">
        <v>0</v>
      </c>
      <c r="DQ293">
        <v>0</v>
      </c>
      <c r="DR293">
        <v>0</v>
      </c>
      <c r="DS293">
        <v>0</v>
      </c>
      <c r="DT293">
        <v>0</v>
      </c>
      <c r="DU293">
        <v>0</v>
      </c>
      <c r="DV293">
        <v>0</v>
      </c>
      <c r="DW293">
        <v>0</v>
      </c>
      <c r="DX293">
        <v>0</v>
      </c>
      <c r="DY293">
        <v>0</v>
      </c>
      <c r="DZ293">
        <v>0</v>
      </c>
      <c r="EA293">
        <v>0</v>
      </c>
      <c r="EB293">
        <v>0</v>
      </c>
      <c r="EC293">
        <v>0</v>
      </c>
      <c r="ED293">
        <v>0</v>
      </c>
      <c r="EE293">
        <v>0</v>
      </c>
      <c r="EF293">
        <v>0</v>
      </c>
      <c r="EG293">
        <v>0</v>
      </c>
      <c r="EH293">
        <v>0</v>
      </c>
      <c r="EI293">
        <v>0</v>
      </c>
      <c r="EJ293">
        <v>0</v>
      </c>
      <c r="EK293">
        <v>0</v>
      </c>
      <c r="EL293">
        <v>0</v>
      </c>
      <c r="EM293">
        <v>0</v>
      </c>
      <c r="EN293">
        <v>0</v>
      </c>
      <c r="EO293">
        <v>0</v>
      </c>
      <c r="EP293">
        <v>0</v>
      </c>
      <c r="EQ293">
        <v>0</v>
      </c>
      <c r="ER293">
        <v>0</v>
      </c>
      <c r="ES293">
        <v>0</v>
      </c>
      <c r="ET293">
        <v>0</v>
      </c>
      <c r="EU293">
        <v>0</v>
      </c>
      <c r="EV293">
        <v>0</v>
      </c>
      <c r="EW293">
        <v>0</v>
      </c>
      <c r="EX293">
        <v>0</v>
      </c>
      <c r="EY293">
        <v>0</v>
      </c>
      <c r="EZ293">
        <v>0</v>
      </c>
      <c r="FA293">
        <v>0</v>
      </c>
      <c r="FB293">
        <v>0</v>
      </c>
      <c r="FC293">
        <v>0</v>
      </c>
      <c r="FD293">
        <v>0</v>
      </c>
      <c r="FE293">
        <v>0</v>
      </c>
      <c r="FF293">
        <v>0</v>
      </c>
      <c r="FG293">
        <v>0</v>
      </c>
      <c r="FH293">
        <v>0</v>
      </c>
      <c r="FI293">
        <v>0</v>
      </c>
      <c r="FJ293">
        <v>0</v>
      </c>
      <c r="FK293">
        <v>0</v>
      </c>
      <c r="FL293">
        <v>0</v>
      </c>
      <c r="FM293">
        <v>0</v>
      </c>
      <c r="FN293">
        <v>0</v>
      </c>
      <c r="FO293">
        <v>0</v>
      </c>
      <c r="FP293">
        <v>0</v>
      </c>
      <c r="FQ293">
        <v>0</v>
      </c>
      <c r="FR293">
        <v>0</v>
      </c>
      <c r="FS293">
        <v>0</v>
      </c>
      <c r="FT293">
        <v>0</v>
      </c>
      <c r="FU293">
        <v>0</v>
      </c>
      <c r="FV293">
        <v>0</v>
      </c>
      <c r="FW293">
        <v>0</v>
      </c>
      <c r="FX293">
        <v>0</v>
      </c>
      <c r="FY293">
        <v>0</v>
      </c>
      <c r="FZ293">
        <v>0</v>
      </c>
      <c r="GA293">
        <v>0</v>
      </c>
      <c r="GB293">
        <v>0</v>
      </c>
      <c r="GC293">
        <v>0</v>
      </c>
      <c r="GD293">
        <v>0</v>
      </c>
      <c r="GE293">
        <v>0</v>
      </c>
      <c r="GF293">
        <v>0</v>
      </c>
      <c r="GG293">
        <v>0</v>
      </c>
      <c r="GH293">
        <v>0</v>
      </c>
      <c r="GI293">
        <v>0</v>
      </c>
      <c r="GJ293">
        <v>0</v>
      </c>
      <c r="GK293">
        <v>0</v>
      </c>
      <c r="GL293">
        <v>0</v>
      </c>
      <c r="GM293">
        <v>0</v>
      </c>
      <c r="GN293">
        <v>0</v>
      </c>
      <c r="GO293">
        <v>0</v>
      </c>
      <c r="GP293">
        <v>0</v>
      </c>
      <c r="GQ293">
        <v>0</v>
      </c>
      <c r="GR293">
        <v>0</v>
      </c>
      <c r="GS293">
        <v>0</v>
      </c>
      <c r="GT293">
        <v>0</v>
      </c>
      <c r="GU293">
        <v>0</v>
      </c>
      <c r="GV293">
        <v>0</v>
      </c>
      <c r="GW293">
        <v>0</v>
      </c>
      <c r="GX293">
        <v>0</v>
      </c>
      <c r="GY293">
        <v>0</v>
      </c>
      <c r="GZ293">
        <v>0</v>
      </c>
      <c r="HA293">
        <v>0</v>
      </c>
      <c r="HB293">
        <v>0</v>
      </c>
      <c r="HC293">
        <v>0</v>
      </c>
      <c r="HD293">
        <v>0</v>
      </c>
      <c r="HE293">
        <v>0</v>
      </c>
      <c r="HF293">
        <v>0</v>
      </c>
      <c r="HG293">
        <v>0</v>
      </c>
      <c r="HH293">
        <v>0</v>
      </c>
      <c r="HI293">
        <v>0</v>
      </c>
      <c r="HJ293">
        <v>0</v>
      </c>
      <c r="HK293">
        <v>0</v>
      </c>
      <c r="HL293">
        <v>0</v>
      </c>
      <c r="HM293">
        <v>0</v>
      </c>
      <c r="HN293">
        <v>0</v>
      </c>
      <c r="HO293">
        <v>0</v>
      </c>
      <c r="HP293">
        <v>0</v>
      </c>
      <c r="HQ293">
        <v>0</v>
      </c>
      <c r="HR293">
        <v>0</v>
      </c>
      <c r="HS293">
        <v>0</v>
      </c>
      <c r="HT293">
        <v>0</v>
      </c>
      <c r="HU293">
        <v>0</v>
      </c>
      <c r="HV293">
        <v>0</v>
      </c>
      <c r="HW293">
        <v>0</v>
      </c>
      <c r="HX293">
        <v>0</v>
      </c>
      <c r="HY293">
        <v>0</v>
      </c>
      <c r="HZ293">
        <v>0</v>
      </c>
      <c r="IA293">
        <v>0</v>
      </c>
      <c r="IB293">
        <v>0</v>
      </c>
      <c r="IC293">
        <v>0</v>
      </c>
      <c r="ID293">
        <v>0</v>
      </c>
      <c r="IE293">
        <v>0</v>
      </c>
      <c r="IF293">
        <v>0</v>
      </c>
      <c r="IG293">
        <v>0</v>
      </c>
      <c r="IH293">
        <v>0</v>
      </c>
      <c r="II293">
        <v>0</v>
      </c>
      <c r="IJ293">
        <v>0</v>
      </c>
      <c r="IK293">
        <v>0</v>
      </c>
      <c r="IL293">
        <v>0</v>
      </c>
      <c r="IM293">
        <v>0</v>
      </c>
      <c r="IN293">
        <v>0</v>
      </c>
      <c r="IO293">
        <v>0</v>
      </c>
      <c r="IP293">
        <v>0</v>
      </c>
      <c r="IQ293">
        <v>0</v>
      </c>
      <c r="IR293">
        <v>0</v>
      </c>
      <c r="IS293">
        <v>0</v>
      </c>
      <c r="IT293">
        <v>0</v>
      </c>
      <c r="IU293">
        <v>0</v>
      </c>
      <c r="IV293">
        <v>0</v>
      </c>
      <c r="IW293">
        <v>0</v>
      </c>
      <c r="IX293">
        <v>0</v>
      </c>
      <c r="IY293">
        <v>0</v>
      </c>
      <c r="IZ293">
        <v>0</v>
      </c>
      <c r="JA293">
        <v>0</v>
      </c>
      <c r="JB293">
        <v>0</v>
      </c>
      <c r="JC293">
        <v>0</v>
      </c>
      <c r="JD293">
        <v>0</v>
      </c>
      <c r="JE293">
        <v>0</v>
      </c>
      <c r="JF293">
        <v>0</v>
      </c>
      <c r="JG293">
        <v>0</v>
      </c>
      <c r="JH293">
        <v>0</v>
      </c>
      <c r="JI293">
        <v>0</v>
      </c>
      <c r="JJ293">
        <v>0</v>
      </c>
      <c r="JK293">
        <v>0</v>
      </c>
      <c r="JL293">
        <v>0</v>
      </c>
      <c r="JM293">
        <v>0</v>
      </c>
      <c r="JN293">
        <v>0</v>
      </c>
      <c r="JO293">
        <v>0</v>
      </c>
      <c r="JP293">
        <v>0</v>
      </c>
      <c r="JQ293">
        <v>0</v>
      </c>
      <c r="JR293">
        <v>0</v>
      </c>
      <c r="JS293">
        <v>0</v>
      </c>
      <c r="JT293">
        <v>0</v>
      </c>
      <c r="JU293">
        <v>0</v>
      </c>
      <c r="JV293">
        <v>0</v>
      </c>
      <c r="JW293">
        <v>0</v>
      </c>
      <c r="JX293">
        <v>0</v>
      </c>
      <c r="JY293">
        <v>0</v>
      </c>
      <c r="JZ293">
        <v>0</v>
      </c>
      <c r="KA293">
        <v>0</v>
      </c>
      <c r="KB293">
        <v>0</v>
      </c>
      <c r="KC293">
        <v>0</v>
      </c>
      <c r="KD293">
        <v>0</v>
      </c>
      <c r="KE293">
        <v>0</v>
      </c>
      <c r="KF293">
        <v>0</v>
      </c>
      <c r="KG293">
        <v>0</v>
      </c>
      <c r="KH293">
        <v>0</v>
      </c>
      <c r="KI293">
        <v>0</v>
      </c>
      <c r="KJ293">
        <v>0</v>
      </c>
      <c r="KK293">
        <v>0</v>
      </c>
      <c r="KL293">
        <v>0</v>
      </c>
      <c r="KM293">
        <v>0</v>
      </c>
      <c r="KN293">
        <v>0</v>
      </c>
      <c r="KO293">
        <v>0</v>
      </c>
      <c r="KP293">
        <v>0</v>
      </c>
      <c r="KQ293">
        <v>0</v>
      </c>
      <c r="KR293">
        <v>0</v>
      </c>
      <c r="KS293">
        <v>0</v>
      </c>
      <c r="KT293">
        <v>0</v>
      </c>
      <c r="KU293">
        <v>0</v>
      </c>
      <c r="KV293">
        <v>0</v>
      </c>
      <c r="KW293">
        <v>0</v>
      </c>
      <c r="KX293">
        <v>0</v>
      </c>
      <c r="KY293">
        <v>0</v>
      </c>
      <c r="KZ293">
        <v>0</v>
      </c>
      <c r="LA293">
        <v>0</v>
      </c>
      <c r="LB293">
        <v>0</v>
      </c>
      <c r="LC293">
        <v>0</v>
      </c>
      <c r="LD293">
        <v>0</v>
      </c>
      <c r="LE293">
        <v>0</v>
      </c>
      <c r="LF293">
        <v>0</v>
      </c>
      <c r="LG293">
        <v>0</v>
      </c>
      <c r="LH293">
        <v>0</v>
      </c>
      <c r="LI293">
        <v>0</v>
      </c>
      <c r="LJ293">
        <v>0</v>
      </c>
      <c r="LK293">
        <v>0</v>
      </c>
      <c r="LL293">
        <v>0</v>
      </c>
      <c r="LM293">
        <v>0</v>
      </c>
      <c r="LN293">
        <v>0</v>
      </c>
      <c r="LO293">
        <v>0</v>
      </c>
      <c r="LP293">
        <v>0</v>
      </c>
      <c r="LQ293">
        <v>0</v>
      </c>
      <c r="LR293">
        <v>0</v>
      </c>
      <c r="LS293">
        <v>0</v>
      </c>
      <c r="LT293">
        <v>0</v>
      </c>
      <c r="LU293">
        <v>0</v>
      </c>
      <c r="LV293">
        <v>0</v>
      </c>
      <c r="LW293">
        <v>0</v>
      </c>
      <c r="LX293">
        <v>0</v>
      </c>
      <c r="LY293">
        <v>0</v>
      </c>
      <c r="LZ293">
        <v>0</v>
      </c>
      <c r="MA293">
        <v>0</v>
      </c>
      <c r="MB293">
        <v>0</v>
      </c>
      <c r="MC293">
        <v>0</v>
      </c>
      <c r="MD293">
        <v>0</v>
      </c>
      <c r="ME293">
        <v>0</v>
      </c>
      <c r="MF293">
        <v>0</v>
      </c>
      <c r="MG293">
        <v>0</v>
      </c>
      <c r="MH293">
        <v>0</v>
      </c>
      <c r="MI293">
        <v>0</v>
      </c>
      <c r="MJ293">
        <v>0</v>
      </c>
      <c r="MK293">
        <v>0</v>
      </c>
      <c r="ML293">
        <v>0</v>
      </c>
      <c r="MM293">
        <v>0</v>
      </c>
      <c r="MN293">
        <v>0</v>
      </c>
      <c r="MO293">
        <v>0</v>
      </c>
      <c r="MP293">
        <v>0</v>
      </c>
      <c r="MQ293">
        <v>0</v>
      </c>
      <c r="MR293">
        <v>0</v>
      </c>
      <c r="MS293">
        <v>0</v>
      </c>
      <c r="MT293">
        <v>0</v>
      </c>
      <c r="MU293">
        <v>0</v>
      </c>
      <c r="MV293">
        <v>0</v>
      </c>
      <c r="MW293">
        <v>0</v>
      </c>
      <c r="MX293">
        <v>0</v>
      </c>
      <c r="MY293">
        <v>0</v>
      </c>
      <c r="MZ293">
        <v>0</v>
      </c>
      <c r="NA293">
        <v>0</v>
      </c>
      <c r="NB293">
        <v>0</v>
      </c>
      <c r="NC293">
        <v>0</v>
      </c>
      <c r="ND293">
        <v>0</v>
      </c>
      <c r="NE293">
        <v>0</v>
      </c>
    </row>
    <row r="294" spans="41:369" x14ac:dyDescent="0.45">
      <c r="AO294" t="str">
        <v>D170</v>
      </c>
      <c r="AP294" t="str">
        <v>AHMED ADIL B.K</v>
      </c>
      <c r="AQ294" t="str">
        <v>JARF</v>
      </c>
      <c r="AR294" t="str">
        <v>SUPER SENIOR</v>
      </c>
      <c r="AS294">
        <v>10</v>
      </c>
      <c r="AT294">
        <v>18</v>
      </c>
      <c r="AU294">
        <v>0</v>
      </c>
      <c r="AV294">
        <v>18</v>
      </c>
      <c r="AW294">
        <v>18</v>
      </c>
      <c r="AX294">
        <v>81</v>
      </c>
      <c r="AY294" s="5">
        <v>81</v>
      </c>
      <c r="AZ294">
        <v>0</v>
      </c>
      <c r="BA294">
        <v>0</v>
      </c>
      <c r="BB294">
        <v>0</v>
      </c>
      <c r="BC294">
        <v>0</v>
      </c>
      <c r="BD294">
        <v>0</v>
      </c>
      <c r="BE294">
        <v>0</v>
      </c>
      <c r="BF294">
        <v>0</v>
      </c>
      <c r="BG294">
        <v>0</v>
      </c>
      <c r="BH294">
        <v>0</v>
      </c>
      <c r="BI294" t="str">
        <v/>
      </c>
      <c r="BK294">
        <v>288</v>
      </c>
      <c r="BL294">
        <v>0</v>
      </c>
      <c r="BM294">
        <v>0</v>
      </c>
      <c r="BN294">
        <v>0</v>
      </c>
      <c r="BO294">
        <v>0</v>
      </c>
      <c r="BP294">
        <v>0</v>
      </c>
      <c r="BQ294">
        <v>0</v>
      </c>
      <c r="BR294">
        <v>0</v>
      </c>
      <c r="BS294">
        <v>0</v>
      </c>
      <c r="BT294">
        <v>0</v>
      </c>
      <c r="BU294">
        <v>0</v>
      </c>
      <c r="BV294">
        <v>0</v>
      </c>
      <c r="BW294">
        <v>0</v>
      </c>
      <c r="BX294">
        <v>0</v>
      </c>
      <c r="BY294">
        <v>0</v>
      </c>
      <c r="BZ294">
        <v>0</v>
      </c>
      <c r="CA294">
        <v>0</v>
      </c>
      <c r="CB294">
        <v>0</v>
      </c>
      <c r="CC294">
        <v>0</v>
      </c>
      <c r="CD294">
        <v>0</v>
      </c>
      <c r="CE294">
        <v>0</v>
      </c>
      <c r="CF294">
        <v>0</v>
      </c>
      <c r="CG294">
        <v>0</v>
      </c>
      <c r="CH294">
        <v>0</v>
      </c>
      <c r="CI294">
        <v>0</v>
      </c>
      <c r="CJ294">
        <v>0</v>
      </c>
      <c r="CK294">
        <v>0</v>
      </c>
      <c r="CL294">
        <v>0</v>
      </c>
      <c r="CM294">
        <v>0</v>
      </c>
      <c r="CN294">
        <v>0</v>
      </c>
      <c r="CO294">
        <v>0</v>
      </c>
      <c r="CP294">
        <v>0</v>
      </c>
      <c r="CQ294">
        <v>0</v>
      </c>
      <c r="CR294">
        <v>0</v>
      </c>
      <c r="CS294">
        <v>0</v>
      </c>
      <c r="CT294">
        <v>0</v>
      </c>
      <c r="CU294">
        <v>0</v>
      </c>
      <c r="CV294">
        <v>0</v>
      </c>
      <c r="CW294">
        <v>0</v>
      </c>
      <c r="CX294">
        <v>0</v>
      </c>
      <c r="CY294">
        <v>0</v>
      </c>
      <c r="CZ294">
        <v>0</v>
      </c>
      <c r="DA294">
        <v>0</v>
      </c>
      <c r="DB294">
        <v>0</v>
      </c>
      <c r="DC294">
        <v>0</v>
      </c>
      <c r="DD294">
        <v>0</v>
      </c>
      <c r="DE294">
        <v>0</v>
      </c>
      <c r="DF294">
        <v>0</v>
      </c>
      <c r="DG294">
        <v>0</v>
      </c>
      <c r="DH294">
        <v>0</v>
      </c>
      <c r="DI294">
        <v>0</v>
      </c>
      <c r="DJ294">
        <v>0</v>
      </c>
      <c r="DK294">
        <v>0</v>
      </c>
      <c r="DL294">
        <v>0</v>
      </c>
      <c r="DM294">
        <v>0</v>
      </c>
      <c r="DN294">
        <v>0</v>
      </c>
      <c r="DO294">
        <v>0</v>
      </c>
      <c r="DP294">
        <v>0</v>
      </c>
      <c r="DQ294">
        <v>0</v>
      </c>
      <c r="DR294">
        <v>0</v>
      </c>
      <c r="DS294">
        <v>0</v>
      </c>
      <c r="DT294">
        <v>0</v>
      </c>
      <c r="DU294">
        <v>0</v>
      </c>
      <c r="DV294">
        <v>0</v>
      </c>
      <c r="DW294">
        <v>0</v>
      </c>
      <c r="DX294">
        <v>0</v>
      </c>
      <c r="DY294">
        <v>0</v>
      </c>
      <c r="DZ294">
        <v>0</v>
      </c>
      <c r="EA294">
        <v>0</v>
      </c>
      <c r="EB294">
        <v>0</v>
      </c>
      <c r="EC294">
        <v>0</v>
      </c>
      <c r="ED294">
        <v>0</v>
      </c>
      <c r="EE294">
        <v>0</v>
      </c>
      <c r="EF294">
        <v>0</v>
      </c>
      <c r="EG294">
        <v>0</v>
      </c>
      <c r="EH294">
        <v>0</v>
      </c>
      <c r="EI294">
        <v>0</v>
      </c>
      <c r="EJ294">
        <v>0</v>
      </c>
      <c r="EK294">
        <v>0</v>
      </c>
      <c r="EL294">
        <v>0</v>
      </c>
      <c r="EM294">
        <v>0</v>
      </c>
      <c r="EN294">
        <v>0</v>
      </c>
      <c r="EO294">
        <v>0</v>
      </c>
      <c r="EP294">
        <v>0</v>
      </c>
      <c r="EQ294">
        <v>0</v>
      </c>
      <c r="ER294">
        <v>0</v>
      </c>
      <c r="ES294">
        <v>0</v>
      </c>
      <c r="ET294">
        <v>0</v>
      </c>
      <c r="EU294">
        <v>0</v>
      </c>
      <c r="EV294">
        <v>0</v>
      </c>
      <c r="EW294">
        <v>0</v>
      </c>
      <c r="EX294">
        <v>0</v>
      </c>
      <c r="EY294">
        <v>0</v>
      </c>
      <c r="EZ294">
        <v>0</v>
      </c>
      <c r="FA294">
        <v>0</v>
      </c>
      <c r="FB294">
        <v>0</v>
      </c>
      <c r="FC294">
        <v>0</v>
      </c>
      <c r="FD294">
        <v>0</v>
      </c>
      <c r="FE294">
        <v>0</v>
      </c>
      <c r="FF294">
        <v>0</v>
      </c>
      <c r="FG294">
        <v>0</v>
      </c>
      <c r="FH294">
        <v>0</v>
      </c>
      <c r="FI294">
        <v>0</v>
      </c>
      <c r="FJ294">
        <v>0</v>
      </c>
      <c r="FK294">
        <v>0</v>
      </c>
      <c r="FL294">
        <v>0</v>
      </c>
      <c r="FM294">
        <v>0</v>
      </c>
      <c r="FN294">
        <v>0</v>
      </c>
      <c r="FO294">
        <v>0</v>
      </c>
      <c r="FP294">
        <v>0</v>
      </c>
      <c r="FQ294">
        <v>0</v>
      </c>
      <c r="FR294">
        <v>0</v>
      </c>
      <c r="FS294">
        <v>0</v>
      </c>
      <c r="FT294">
        <v>0</v>
      </c>
      <c r="FU294">
        <v>0</v>
      </c>
      <c r="FV294">
        <v>0</v>
      </c>
      <c r="FW294">
        <v>0</v>
      </c>
      <c r="FX294">
        <v>0</v>
      </c>
      <c r="FY294">
        <v>0</v>
      </c>
      <c r="FZ294">
        <v>0</v>
      </c>
      <c r="GA294">
        <v>0</v>
      </c>
      <c r="GB294">
        <v>0</v>
      </c>
      <c r="GC294">
        <v>0</v>
      </c>
      <c r="GD294">
        <v>0</v>
      </c>
      <c r="GE294">
        <v>0</v>
      </c>
      <c r="GF294">
        <v>0</v>
      </c>
      <c r="GG294">
        <v>0</v>
      </c>
      <c r="GH294">
        <v>0</v>
      </c>
      <c r="GI294">
        <v>0</v>
      </c>
      <c r="GJ294">
        <v>0</v>
      </c>
      <c r="GK294">
        <v>0</v>
      </c>
      <c r="GL294">
        <v>0</v>
      </c>
      <c r="GM294">
        <v>0</v>
      </c>
      <c r="GN294">
        <v>0</v>
      </c>
      <c r="GO294">
        <v>0</v>
      </c>
      <c r="GP294">
        <v>0</v>
      </c>
      <c r="GQ294">
        <v>0</v>
      </c>
      <c r="GR294">
        <v>0</v>
      </c>
      <c r="GS294">
        <v>0</v>
      </c>
      <c r="GT294">
        <v>0</v>
      </c>
      <c r="GU294">
        <v>0</v>
      </c>
      <c r="GV294">
        <v>0</v>
      </c>
      <c r="GW294">
        <v>0</v>
      </c>
      <c r="GX294">
        <v>0</v>
      </c>
      <c r="GY294">
        <v>0</v>
      </c>
      <c r="GZ294">
        <v>0</v>
      </c>
      <c r="HA294">
        <v>0</v>
      </c>
      <c r="HB294">
        <v>0</v>
      </c>
      <c r="HC294">
        <v>0</v>
      </c>
      <c r="HD294">
        <v>0</v>
      </c>
      <c r="HE294">
        <v>0</v>
      </c>
      <c r="HF294">
        <v>0</v>
      </c>
      <c r="HG294">
        <v>0</v>
      </c>
      <c r="HH294">
        <v>0</v>
      </c>
      <c r="HI294">
        <v>0</v>
      </c>
      <c r="HJ294">
        <v>0</v>
      </c>
      <c r="HK294">
        <v>0</v>
      </c>
      <c r="HL294">
        <v>0</v>
      </c>
      <c r="HM294">
        <v>0</v>
      </c>
      <c r="HN294">
        <v>0</v>
      </c>
      <c r="HO294">
        <v>0</v>
      </c>
      <c r="HP294">
        <v>0</v>
      </c>
      <c r="HQ294">
        <v>0</v>
      </c>
      <c r="HR294">
        <v>0</v>
      </c>
      <c r="HS294">
        <v>0</v>
      </c>
      <c r="HT294">
        <v>0</v>
      </c>
      <c r="HU294">
        <v>0</v>
      </c>
      <c r="HV294">
        <v>0</v>
      </c>
      <c r="HW294">
        <v>0</v>
      </c>
      <c r="HX294">
        <v>0</v>
      </c>
      <c r="HY294">
        <v>0</v>
      </c>
      <c r="HZ294">
        <v>0</v>
      </c>
      <c r="IA294">
        <v>0</v>
      </c>
      <c r="IB294">
        <v>0</v>
      </c>
      <c r="IC294">
        <v>0</v>
      </c>
      <c r="ID294">
        <v>0</v>
      </c>
      <c r="IE294">
        <v>0</v>
      </c>
      <c r="IF294">
        <v>0</v>
      </c>
      <c r="IG294">
        <v>0</v>
      </c>
      <c r="IH294">
        <v>0</v>
      </c>
      <c r="II294">
        <v>0</v>
      </c>
      <c r="IJ294">
        <v>0</v>
      </c>
      <c r="IK294">
        <v>0</v>
      </c>
      <c r="IL294">
        <v>0</v>
      </c>
      <c r="IM294">
        <v>0</v>
      </c>
      <c r="IN294">
        <v>0</v>
      </c>
      <c r="IO294">
        <v>0</v>
      </c>
      <c r="IP294">
        <v>0</v>
      </c>
      <c r="IQ294">
        <v>0</v>
      </c>
      <c r="IR294">
        <v>0</v>
      </c>
      <c r="IS294">
        <v>0</v>
      </c>
      <c r="IT294">
        <v>0</v>
      </c>
      <c r="IU294">
        <v>0</v>
      </c>
      <c r="IV294">
        <v>0</v>
      </c>
      <c r="IW294">
        <v>0</v>
      </c>
      <c r="IX294">
        <v>0</v>
      </c>
      <c r="IY294">
        <v>0</v>
      </c>
      <c r="IZ294">
        <v>0</v>
      </c>
      <c r="JA294">
        <v>0</v>
      </c>
      <c r="JB294">
        <v>0</v>
      </c>
      <c r="JC294">
        <v>0</v>
      </c>
      <c r="JD294">
        <v>0</v>
      </c>
      <c r="JE294">
        <v>0</v>
      </c>
      <c r="JF294">
        <v>0</v>
      </c>
      <c r="JG294">
        <v>0</v>
      </c>
      <c r="JH294">
        <v>0</v>
      </c>
      <c r="JI294">
        <v>0</v>
      </c>
      <c r="JJ294">
        <v>0</v>
      </c>
      <c r="JK294">
        <v>0</v>
      </c>
      <c r="JL294">
        <v>0</v>
      </c>
      <c r="JM294">
        <v>0</v>
      </c>
      <c r="JN294">
        <v>0</v>
      </c>
      <c r="JO294">
        <v>0</v>
      </c>
      <c r="JP294">
        <v>0</v>
      </c>
      <c r="JQ294">
        <v>0</v>
      </c>
      <c r="JR294">
        <v>0</v>
      </c>
      <c r="JS294">
        <v>0</v>
      </c>
      <c r="JT294">
        <v>0</v>
      </c>
      <c r="JU294">
        <v>0</v>
      </c>
      <c r="JV294">
        <v>0</v>
      </c>
      <c r="JW294">
        <v>0</v>
      </c>
      <c r="JX294">
        <v>0</v>
      </c>
      <c r="JY294">
        <v>0</v>
      </c>
      <c r="JZ294">
        <v>0</v>
      </c>
      <c r="KA294">
        <v>0</v>
      </c>
      <c r="KB294">
        <v>0</v>
      </c>
      <c r="KC294">
        <v>0</v>
      </c>
      <c r="KD294">
        <v>0</v>
      </c>
      <c r="KE294">
        <v>0</v>
      </c>
      <c r="KF294">
        <v>0</v>
      </c>
      <c r="KG294">
        <v>0</v>
      </c>
      <c r="KH294">
        <v>0</v>
      </c>
      <c r="KI294">
        <v>0</v>
      </c>
      <c r="KJ294">
        <v>0</v>
      </c>
      <c r="KK294">
        <v>0</v>
      </c>
      <c r="KL294">
        <v>0</v>
      </c>
      <c r="KM294">
        <v>0</v>
      </c>
      <c r="KN294">
        <v>0</v>
      </c>
      <c r="KO294">
        <v>0</v>
      </c>
      <c r="KP294">
        <v>0</v>
      </c>
      <c r="KQ294">
        <v>0</v>
      </c>
      <c r="KR294">
        <v>0</v>
      </c>
      <c r="KS294">
        <v>0</v>
      </c>
      <c r="KT294">
        <v>0</v>
      </c>
      <c r="KU294">
        <v>0</v>
      </c>
      <c r="KV294">
        <v>0</v>
      </c>
      <c r="KW294">
        <v>0</v>
      </c>
      <c r="KX294">
        <v>0</v>
      </c>
      <c r="KY294">
        <v>0</v>
      </c>
      <c r="KZ294">
        <v>0</v>
      </c>
      <c r="LA294">
        <v>0</v>
      </c>
      <c r="LB294">
        <v>0</v>
      </c>
      <c r="LC294">
        <v>0</v>
      </c>
      <c r="LD294">
        <v>0</v>
      </c>
      <c r="LE294">
        <v>0</v>
      </c>
      <c r="LF294">
        <v>0</v>
      </c>
      <c r="LG294">
        <v>0</v>
      </c>
      <c r="LH294">
        <v>0</v>
      </c>
      <c r="LI294">
        <v>0</v>
      </c>
      <c r="LJ294">
        <v>0</v>
      </c>
      <c r="LK294">
        <v>0</v>
      </c>
      <c r="LL294">
        <v>0</v>
      </c>
      <c r="LM294">
        <v>0</v>
      </c>
      <c r="LN294">
        <v>0</v>
      </c>
      <c r="LO294">
        <v>0</v>
      </c>
      <c r="LP294">
        <v>0</v>
      </c>
      <c r="LQ294">
        <v>0</v>
      </c>
      <c r="LR294">
        <v>0</v>
      </c>
      <c r="LS294">
        <v>0</v>
      </c>
      <c r="LT294">
        <v>0</v>
      </c>
      <c r="LU294">
        <v>0</v>
      </c>
      <c r="LV294">
        <v>0</v>
      </c>
      <c r="LW294">
        <v>0</v>
      </c>
      <c r="LX294">
        <v>0</v>
      </c>
      <c r="LY294">
        <v>0</v>
      </c>
      <c r="LZ294">
        <v>0</v>
      </c>
      <c r="MA294">
        <v>0</v>
      </c>
      <c r="MB294">
        <v>0</v>
      </c>
      <c r="MC294">
        <v>0</v>
      </c>
      <c r="MD294">
        <v>0</v>
      </c>
      <c r="ME294">
        <v>0</v>
      </c>
      <c r="MF294">
        <v>0</v>
      </c>
      <c r="MG294">
        <v>0</v>
      </c>
      <c r="MH294">
        <v>0</v>
      </c>
      <c r="MI294">
        <v>0</v>
      </c>
      <c r="MJ294">
        <v>0</v>
      </c>
      <c r="MK294">
        <v>0</v>
      </c>
      <c r="ML294">
        <v>0</v>
      </c>
      <c r="MM294">
        <v>0</v>
      </c>
      <c r="MN294">
        <v>0</v>
      </c>
      <c r="MO294">
        <v>0</v>
      </c>
      <c r="MP294">
        <v>0</v>
      </c>
      <c r="MQ294">
        <v>0</v>
      </c>
      <c r="MR294">
        <v>0</v>
      </c>
      <c r="MS294">
        <v>0</v>
      </c>
      <c r="MT294">
        <v>0</v>
      </c>
      <c r="MU294">
        <v>0</v>
      </c>
      <c r="MV294">
        <v>0</v>
      </c>
      <c r="MW294">
        <v>0</v>
      </c>
      <c r="MX294">
        <v>0</v>
      </c>
      <c r="MY294">
        <v>0</v>
      </c>
      <c r="MZ294">
        <v>0</v>
      </c>
      <c r="NA294">
        <v>0</v>
      </c>
      <c r="NB294">
        <v>0</v>
      </c>
      <c r="NC294">
        <v>0</v>
      </c>
      <c r="ND294">
        <v>0</v>
      </c>
      <c r="NE294">
        <v>0</v>
      </c>
    </row>
    <row r="295" spans="41:369" x14ac:dyDescent="0.45">
      <c r="AO295" t="str">
        <v>D171</v>
      </c>
      <c r="AP295" t="str">
        <v>MOHAMMED ANFAHUDEEN T.A</v>
      </c>
      <c r="AQ295" t="str">
        <v>FANT</v>
      </c>
      <c r="AR295" t="str">
        <v>SUPER SENIOR</v>
      </c>
      <c r="AS295">
        <v>10</v>
      </c>
      <c r="AT295">
        <v>2</v>
      </c>
      <c r="AU295">
        <v>0</v>
      </c>
      <c r="AV295">
        <v>2</v>
      </c>
      <c r="AW295">
        <v>2</v>
      </c>
      <c r="AX295">
        <v>224</v>
      </c>
      <c r="AY295" s="5">
        <v>224</v>
      </c>
      <c r="AZ295">
        <v>0</v>
      </c>
      <c r="BA295">
        <v>0</v>
      </c>
      <c r="BB295">
        <v>0</v>
      </c>
      <c r="BC295">
        <v>0</v>
      </c>
      <c r="BD295">
        <v>0</v>
      </c>
      <c r="BE295">
        <v>0</v>
      </c>
      <c r="BF295">
        <v>0</v>
      </c>
      <c r="BG295">
        <v>0</v>
      </c>
      <c r="BH295">
        <v>0</v>
      </c>
      <c r="BI295" t="str">
        <v/>
      </c>
      <c r="BK295">
        <v>289</v>
      </c>
      <c r="BL295">
        <v>0</v>
      </c>
      <c r="BM295">
        <v>0</v>
      </c>
      <c r="BN295">
        <v>0</v>
      </c>
      <c r="BO295">
        <v>0</v>
      </c>
      <c r="BP295">
        <v>0</v>
      </c>
      <c r="BQ295">
        <v>0</v>
      </c>
      <c r="BR295">
        <v>0</v>
      </c>
      <c r="BS295">
        <v>0</v>
      </c>
      <c r="BT295">
        <v>0</v>
      </c>
      <c r="BU295">
        <v>0</v>
      </c>
      <c r="BV295">
        <v>0</v>
      </c>
      <c r="BW295">
        <v>0</v>
      </c>
      <c r="BX295">
        <v>0</v>
      </c>
      <c r="BY295">
        <v>0</v>
      </c>
      <c r="BZ295">
        <v>0</v>
      </c>
      <c r="CA295">
        <v>0</v>
      </c>
      <c r="CB295">
        <v>0</v>
      </c>
      <c r="CC295">
        <v>0</v>
      </c>
      <c r="CD295">
        <v>0</v>
      </c>
      <c r="CE295">
        <v>0</v>
      </c>
      <c r="CF295">
        <v>0</v>
      </c>
      <c r="CG295">
        <v>0</v>
      </c>
      <c r="CH295">
        <v>0</v>
      </c>
      <c r="CI295">
        <v>0</v>
      </c>
      <c r="CJ295">
        <v>0</v>
      </c>
      <c r="CK295">
        <v>0</v>
      </c>
      <c r="CL295">
        <v>0</v>
      </c>
      <c r="CM295">
        <v>0</v>
      </c>
      <c r="CN295">
        <v>0</v>
      </c>
      <c r="CO295">
        <v>0</v>
      </c>
      <c r="CP295">
        <v>0</v>
      </c>
      <c r="CQ295">
        <v>0</v>
      </c>
      <c r="CR295">
        <v>0</v>
      </c>
      <c r="CS295">
        <v>0</v>
      </c>
      <c r="CT295">
        <v>0</v>
      </c>
      <c r="CU295">
        <v>0</v>
      </c>
      <c r="CV295">
        <v>0</v>
      </c>
      <c r="CW295">
        <v>0</v>
      </c>
      <c r="CX295">
        <v>0</v>
      </c>
      <c r="CY295">
        <v>0</v>
      </c>
      <c r="CZ295">
        <v>0</v>
      </c>
      <c r="DA295">
        <v>0</v>
      </c>
      <c r="DB295">
        <v>0</v>
      </c>
      <c r="DC295">
        <v>0</v>
      </c>
      <c r="DD295">
        <v>0</v>
      </c>
      <c r="DE295">
        <v>0</v>
      </c>
      <c r="DF295">
        <v>0</v>
      </c>
      <c r="DG295">
        <v>0</v>
      </c>
      <c r="DH295">
        <v>0</v>
      </c>
      <c r="DI295">
        <v>0</v>
      </c>
      <c r="DJ295">
        <v>0</v>
      </c>
      <c r="DK295">
        <v>0</v>
      </c>
      <c r="DL295">
        <v>0</v>
      </c>
      <c r="DM295">
        <v>0</v>
      </c>
      <c r="DN295">
        <v>0</v>
      </c>
      <c r="DO295">
        <v>0</v>
      </c>
      <c r="DP295">
        <v>0</v>
      </c>
      <c r="DQ295">
        <v>0</v>
      </c>
      <c r="DR295">
        <v>0</v>
      </c>
      <c r="DS295">
        <v>0</v>
      </c>
      <c r="DT295">
        <v>0</v>
      </c>
      <c r="DU295">
        <v>0</v>
      </c>
      <c r="DV295">
        <v>0</v>
      </c>
      <c r="DW295">
        <v>0</v>
      </c>
      <c r="DX295">
        <v>0</v>
      </c>
      <c r="DY295">
        <v>0</v>
      </c>
      <c r="DZ295">
        <v>0</v>
      </c>
      <c r="EA295">
        <v>0</v>
      </c>
      <c r="EB295">
        <v>0</v>
      </c>
      <c r="EC295">
        <v>0</v>
      </c>
      <c r="ED295">
        <v>0</v>
      </c>
      <c r="EE295">
        <v>0</v>
      </c>
      <c r="EF295">
        <v>0</v>
      </c>
      <c r="EG295">
        <v>0</v>
      </c>
      <c r="EH295">
        <v>0</v>
      </c>
      <c r="EI295">
        <v>0</v>
      </c>
      <c r="EJ295">
        <v>0</v>
      </c>
      <c r="EK295">
        <v>0</v>
      </c>
      <c r="EL295">
        <v>0</v>
      </c>
      <c r="EM295">
        <v>0</v>
      </c>
      <c r="EN295">
        <v>0</v>
      </c>
      <c r="EO295">
        <v>0</v>
      </c>
      <c r="EP295">
        <v>0</v>
      </c>
      <c r="EQ295">
        <v>0</v>
      </c>
      <c r="ER295">
        <v>0</v>
      </c>
      <c r="ES295">
        <v>0</v>
      </c>
      <c r="ET295">
        <v>0</v>
      </c>
      <c r="EU295">
        <v>0</v>
      </c>
      <c r="EV295">
        <v>0</v>
      </c>
      <c r="EW295">
        <v>0</v>
      </c>
      <c r="EX295">
        <v>0</v>
      </c>
      <c r="EY295">
        <v>0</v>
      </c>
      <c r="EZ295">
        <v>0</v>
      </c>
      <c r="FA295">
        <v>0</v>
      </c>
      <c r="FB295">
        <v>0</v>
      </c>
      <c r="FC295">
        <v>0</v>
      </c>
      <c r="FD295">
        <v>0</v>
      </c>
      <c r="FE295">
        <v>0</v>
      </c>
      <c r="FF295">
        <v>0</v>
      </c>
      <c r="FG295">
        <v>0</v>
      </c>
      <c r="FH295">
        <v>0</v>
      </c>
      <c r="FI295">
        <v>0</v>
      </c>
      <c r="FJ295">
        <v>0</v>
      </c>
      <c r="FK295">
        <v>0</v>
      </c>
      <c r="FL295">
        <v>0</v>
      </c>
      <c r="FM295">
        <v>0</v>
      </c>
      <c r="FN295">
        <v>0</v>
      </c>
      <c r="FO295">
        <v>0</v>
      </c>
      <c r="FP295">
        <v>0</v>
      </c>
      <c r="FQ295">
        <v>0</v>
      </c>
      <c r="FR295">
        <v>0</v>
      </c>
      <c r="FS295">
        <v>0</v>
      </c>
      <c r="FT295">
        <v>0</v>
      </c>
      <c r="FU295">
        <v>0</v>
      </c>
      <c r="FV295">
        <v>0</v>
      </c>
      <c r="FW295">
        <v>0</v>
      </c>
      <c r="FX295">
        <v>0</v>
      </c>
      <c r="FY295">
        <v>0</v>
      </c>
      <c r="FZ295">
        <v>0</v>
      </c>
      <c r="GA295">
        <v>0</v>
      </c>
      <c r="GB295">
        <v>0</v>
      </c>
      <c r="GC295">
        <v>0</v>
      </c>
      <c r="GD295">
        <v>0</v>
      </c>
      <c r="GE295">
        <v>0</v>
      </c>
      <c r="GF295">
        <v>0</v>
      </c>
      <c r="GG295">
        <v>0</v>
      </c>
      <c r="GH295">
        <v>0</v>
      </c>
      <c r="GI295">
        <v>0</v>
      </c>
      <c r="GJ295">
        <v>0</v>
      </c>
      <c r="GK295">
        <v>0</v>
      </c>
      <c r="GL295">
        <v>0</v>
      </c>
      <c r="GM295">
        <v>0</v>
      </c>
      <c r="GN295">
        <v>0</v>
      </c>
      <c r="GO295">
        <v>0</v>
      </c>
      <c r="GP295">
        <v>0</v>
      </c>
      <c r="GQ295">
        <v>0</v>
      </c>
      <c r="GR295">
        <v>0</v>
      </c>
      <c r="GS295">
        <v>0</v>
      </c>
      <c r="GT295">
        <v>0</v>
      </c>
      <c r="GU295">
        <v>0</v>
      </c>
      <c r="GV295">
        <v>0</v>
      </c>
      <c r="GW295">
        <v>0</v>
      </c>
      <c r="GX295">
        <v>0</v>
      </c>
      <c r="GY295">
        <v>0</v>
      </c>
      <c r="GZ295">
        <v>0</v>
      </c>
      <c r="HA295">
        <v>0</v>
      </c>
      <c r="HB295">
        <v>0</v>
      </c>
      <c r="HC295">
        <v>0</v>
      </c>
      <c r="HD295">
        <v>0</v>
      </c>
      <c r="HE295">
        <v>0</v>
      </c>
      <c r="HF295">
        <v>0</v>
      </c>
      <c r="HG295">
        <v>0</v>
      </c>
      <c r="HH295">
        <v>0</v>
      </c>
      <c r="HI295">
        <v>0</v>
      </c>
      <c r="HJ295">
        <v>0</v>
      </c>
      <c r="HK295">
        <v>0</v>
      </c>
      <c r="HL295">
        <v>0</v>
      </c>
      <c r="HM295">
        <v>0</v>
      </c>
      <c r="HN295">
        <v>0</v>
      </c>
      <c r="HO295">
        <v>0</v>
      </c>
      <c r="HP295">
        <v>0</v>
      </c>
      <c r="HQ295">
        <v>0</v>
      </c>
      <c r="HR295">
        <v>0</v>
      </c>
      <c r="HS295">
        <v>0</v>
      </c>
      <c r="HT295">
        <v>0</v>
      </c>
      <c r="HU295">
        <v>0</v>
      </c>
      <c r="HV295">
        <v>0</v>
      </c>
      <c r="HW295">
        <v>0</v>
      </c>
      <c r="HX295">
        <v>0</v>
      </c>
      <c r="HY295">
        <v>0</v>
      </c>
      <c r="HZ295">
        <v>0</v>
      </c>
      <c r="IA295">
        <v>0</v>
      </c>
      <c r="IB295">
        <v>0</v>
      </c>
      <c r="IC295">
        <v>0</v>
      </c>
      <c r="ID295">
        <v>0</v>
      </c>
      <c r="IE295">
        <v>0</v>
      </c>
      <c r="IF295">
        <v>0</v>
      </c>
      <c r="IG295">
        <v>0</v>
      </c>
      <c r="IH295">
        <v>0</v>
      </c>
      <c r="II295">
        <v>0</v>
      </c>
      <c r="IJ295">
        <v>0</v>
      </c>
      <c r="IK295">
        <v>0</v>
      </c>
      <c r="IL295">
        <v>0</v>
      </c>
      <c r="IM295">
        <v>0</v>
      </c>
      <c r="IN295">
        <v>0</v>
      </c>
      <c r="IO295">
        <v>0</v>
      </c>
      <c r="IP295">
        <v>0</v>
      </c>
      <c r="IQ295">
        <v>0</v>
      </c>
      <c r="IR295">
        <v>0</v>
      </c>
      <c r="IS295">
        <v>0</v>
      </c>
      <c r="IT295">
        <v>0</v>
      </c>
      <c r="IU295">
        <v>0</v>
      </c>
      <c r="IV295">
        <v>0</v>
      </c>
      <c r="IW295">
        <v>0</v>
      </c>
      <c r="IX295">
        <v>0</v>
      </c>
      <c r="IY295">
        <v>0</v>
      </c>
      <c r="IZ295">
        <v>0</v>
      </c>
      <c r="JA295">
        <v>0</v>
      </c>
      <c r="JB295">
        <v>0</v>
      </c>
      <c r="JC295">
        <v>0</v>
      </c>
      <c r="JD295">
        <v>0</v>
      </c>
      <c r="JE295">
        <v>0</v>
      </c>
      <c r="JF295">
        <v>0</v>
      </c>
      <c r="JG295">
        <v>0</v>
      </c>
      <c r="JH295">
        <v>0</v>
      </c>
      <c r="JI295">
        <v>0</v>
      </c>
      <c r="JJ295">
        <v>0</v>
      </c>
      <c r="JK295">
        <v>0</v>
      </c>
      <c r="JL295">
        <v>0</v>
      </c>
      <c r="JM295">
        <v>0</v>
      </c>
      <c r="JN295">
        <v>0</v>
      </c>
      <c r="JO295">
        <v>0</v>
      </c>
      <c r="JP295">
        <v>0</v>
      </c>
      <c r="JQ295">
        <v>0</v>
      </c>
      <c r="JR295">
        <v>0</v>
      </c>
      <c r="JS295">
        <v>0</v>
      </c>
      <c r="JT295">
        <v>0</v>
      </c>
      <c r="JU295">
        <v>0</v>
      </c>
      <c r="JV295">
        <v>0</v>
      </c>
      <c r="JW295">
        <v>0</v>
      </c>
      <c r="JX295">
        <v>0</v>
      </c>
      <c r="JY295">
        <v>0</v>
      </c>
      <c r="JZ295">
        <v>0</v>
      </c>
      <c r="KA295">
        <v>0</v>
      </c>
      <c r="KB295">
        <v>0</v>
      </c>
      <c r="KC295">
        <v>0</v>
      </c>
      <c r="KD295">
        <v>0</v>
      </c>
      <c r="KE295">
        <v>0</v>
      </c>
      <c r="KF295">
        <v>0</v>
      </c>
      <c r="KG295">
        <v>0</v>
      </c>
      <c r="KH295">
        <v>0</v>
      </c>
      <c r="KI295">
        <v>0</v>
      </c>
      <c r="KJ295">
        <v>0</v>
      </c>
      <c r="KK295">
        <v>0</v>
      </c>
      <c r="KL295">
        <v>0</v>
      </c>
      <c r="KM295">
        <v>0</v>
      </c>
      <c r="KN295">
        <v>0</v>
      </c>
      <c r="KO295">
        <v>0</v>
      </c>
      <c r="KP295">
        <v>0</v>
      </c>
      <c r="KQ295">
        <v>0</v>
      </c>
      <c r="KR295">
        <v>0</v>
      </c>
      <c r="KS295">
        <v>0</v>
      </c>
      <c r="KT295">
        <v>0</v>
      </c>
      <c r="KU295">
        <v>0</v>
      </c>
      <c r="KV295">
        <v>0</v>
      </c>
      <c r="KW295">
        <v>0</v>
      </c>
      <c r="KX295">
        <v>0</v>
      </c>
      <c r="KY295">
        <v>0</v>
      </c>
      <c r="KZ295">
        <v>0</v>
      </c>
      <c r="LA295">
        <v>0</v>
      </c>
      <c r="LB295">
        <v>0</v>
      </c>
      <c r="LC295">
        <v>0</v>
      </c>
      <c r="LD295">
        <v>0</v>
      </c>
      <c r="LE295">
        <v>0</v>
      </c>
      <c r="LF295">
        <v>0</v>
      </c>
      <c r="LG295">
        <v>0</v>
      </c>
      <c r="LH295">
        <v>0</v>
      </c>
      <c r="LI295">
        <v>0</v>
      </c>
      <c r="LJ295">
        <v>0</v>
      </c>
      <c r="LK295">
        <v>0</v>
      </c>
      <c r="LL295">
        <v>0</v>
      </c>
      <c r="LM295">
        <v>0</v>
      </c>
      <c r="LN295">
        <v>0</v>
      </c>
      <c r="LO295">
        <v>0</v>
      </c>
      <c r="LP295">
        <v>0</v>
      </c>
      <c r="LQ295">
        <v>0</v>
      </c>
      <c r="LR295">
        <v>0</v>
      </c>
      <c r="LS295">
        <v>0</v>
      </c>
      <c r="LT295">
        <v>0</v>
      </c>
      <c r="LU295">
        <v>0</v>
      </c>
      <c r="LV295">
        <v>0</v>
      </c>
      <c r="LW295">
        <v>0</v>
      </c>
      <c r="LX295">
        <v>0</v>
      </c>
      <c r="LY295">
        <v>0</v>
      </c>
      <c r="LZ295">
        <v>0</v>
      </c>
      <c r="MA295">
        <v>0</v>
      </c>
      <c r="MB295">
        <v>0</v>
      </c>
      <c r="MC295">
        <v>0</v>
      </c>
      <c r="MD295">
        <v>0</v>
      </c>
      <c r="ME295">
        <v>0</v>
      </c>
      <c r="MF295">
        <v>0</v>
      </c>
      <c r="MG295">
        <v>0</v>
      </c>
      <c r="MH295">
        <v>0</v>
      </c>
      <c r="MI295">
        <v>0</v>
      </c>
      <c r="MJ295">
        <v>0</v>
      </c>
      <c r="MK295">
        <v>0</v>
      </c>
      <c r="ML295">
        <v>0</v>
      </c>
      <c r="MM295">
        <v>0</v>
      </c>
      <c r="MN295">
        <v>0</v>
      </c>
      <c r="MO295">
        <v>0</v>
      </c>
      <c r="MP295">
        <v>0</v>
      </c>
      <c r="MQ295">
        <v>0</v>
      </c>
      <c r="MR295">
        <v>0</v>
      </c>
      <c r="MS295">
        <v>0</v>
      </c>
      <c r="MT295">
        <v>0</v>
      </c>
      <c r="MU295">
        <v>0</v>
      </c>
      <c r="MV295">
        <v>0</v>
      </c>
      <c r="MW295">
        <v>0</v>
      </c>
      <c r="MX295">
        <v>0</v>
      </c>
      <c r="MY295">
        <v>0</v>
      </c>
      <c r="MZ295">
        <v>0</v>
      </c>
      <c r="NA295">
        <v>0</v>
      </c>
      <c r="NB295">
        <v>0</v>
      </c>
      <c r="NC295">
        <v>0</v>
      </c>
      <c r="ND295">
        <v>0</v>
      </c>
      <c r="NE295">
        <v>0</v>
      </c>
    </row>
    <row r="296" spans="41:369" x14ac:dyDescent="0.45">
      <c r="AO296" t="str">
        <v>D172</v>
      </c>
      <c r="AP296" t="str">
        <v>MUHAMMED MUFEED</v>
      </c>
      <c r="AQ296" t="str">
        <v>DAHF</v>
      </c>
      <c r="AR296" t="str">
        <v>SUPER SENIOR</v>
      </c>
      <c r="AS296">
        <v>10</v>
      </c>
      <c r="AT296">
        <v>2</v>
      </c>
      <c r="AU296">
        <v>0</v>
      </c>
      <c r="AV296">
        <v>2</v>
      </c>
      <c r="AW296">
        <v>2</v>
      </c>
      <c r="AX296">
        <v>224</v>
      </c>
      <c r="AY296" s="5">
        <v>224</v>
      </c>
      <c r="AZ296">
        <v>0</v>
      </c>
      <c r="BA296">
        <v>0</v>
      </c>
      <c r="BB296">
        <v>0</v>
      </c>
      <c r="BC296">
        <v>0</v>
      </c>
      <c r="BD296">
        <v>0</v>
      </c>
      <c r="BE296">
        <v>0</v>
      </c>
      <c r="BF296">
        <v>0</v>
      </c>
      <c r="BG296">
        <v>0</v>
      </c>
      <c r="BH296">
        <v>0</v>
      </c>
      <c r="BI296" t="str">
        <v/>
      </c>
      <c r="BK296">
        <v>290</v>
      </c>
      <c r="BL296">
        <v>0</v>
      </c>
      <c r="BM296">
        <v>0</v>
      </c>
      <c r="BN296">
        <v>0</v>
      </c>
      <c r="BO296">
        <v>0</v>
      </c>
      <c r="BP296">
        <v>0</v>
      </c>
      <c r="BQ296">
        <v>0</v>
      </c>
      <c r="BR296">
        <v>0</v>
      </c>
      <c r="BS296">
        <v>0</v>
      </c>
      <c r="BT296">
        <v>0</v>
      </c>
      <c r="BU296">
        <v>0</v>
      </c>
      <c r="BV296">
        <v>0</v>
      </c>
      <c r="BW296">
        <v>0</v>
      </c>
      <c r="BX296">
        <v>0</v>
      </c>
      <c r="BY296">
        <v>0</v>
      </c>
      <c r="BZ296">
        <v>0</v>
      </c>
      <c r="CA296">
        <v>0</v>
      </c>
      <c r="CB296">
        <v>0</v>
      </c>
      <c r="CC296">
        <v>0</v>
      </c>
      <c r="CD296">
        <v>0</v>
      </c>
      <c r="CE296">
        <v>0</v>
      </c>
      <c r="CF296">
        <v>0</v>
      </c>
      <c r="CG296">
        <v>0</v>
      </c>
      <c r="CH296">
        <v>0</v>
      </c>
      <c r="CI296">
        <v>0</v>
      </c>
      <c r="CJ296">
        <v>0</v>
      </c>
      <c r="CK296">
        <v>0</v>
      </c>
      <c r="CL296">
        <v>0</v>
      </c>
      <c r="CM296">
        <v>0</v>
      </c>
      <c r="CN296">
        <v>0</v>
      </c>
      <c r="CO296">
        <v>0</v>
      </c>
      <c r="CP296">
        <v>0</v>
      </c>
      <c r="CQ296">
        <v>0</v>
      </c>
      <c r="CR296">
        <v>0</v>
      </c>
      <c r="CS296">
        <v>0</v>
      </c>
      <c r="CT296">
        <v>0</v>
      </c>
      <c r="CU296">
        <v>0</v>
      </c>
      <c r="CV296">
        <v>0</v>
      </c>
      <c r="CW296">
        <v>0</v>
      </c>
      <c r="CX296">
        <v>0</v>
      </c>
      <c r="CY296">
        <v>0</v>
      </c>
      <c r="CZ296">
        <v>0</v>
      </c>
      <c r="DA296">
        <v>0</v>
      </c>
      <c r="DB296">
        <v>0</v>
      </c>
      <c r="DC296">
        <v>0</v>
      </c>
      <c r="DD296">
        <v>0</v>
      </c>
      <c r="DE296">
        <v>0</v>
      </c>
      <c r="DF296">
        <v>0</v>
      </c>
      <c r="DG296">
        <v>0</v>
      </c>
      <c r="DH296">
        <v>0</v>
      </c>
      <c r="DI296">
        <v>0</v>
      </c>
      <c r="DJ296">
        <v>0</v>
      </c>
      <c r="DK296">
        <v>0</v>
      </c>
      <c r="DL296">
        <v>0</v>
      </c>
      <c r="DM296">
        <v>0</v>
      </c>
      <c r="DN296">
        <v>0</v>
      </c>
      <c r="DO296">
        <v>0</v>
      </c>
      <c r="DP296">
        <v>0</v>
      </c>
      <c r="DQ296">
        <v>0</v>
      </c>
      <c r="DR296">
        <v>0</v>
      </c>
      <c r="DS296">
        <v>0</v>
      </c>
      <c r="DT296">
        <v>0</v>
      </c>
      <c r="DU296">
        <v>0</v>
      </c>
      <c r="DV296">
        <v>0</v>
      </c>
      <c r="DW296">
        <v>0</v>
      </c>
      <c r="DX296">
        <v>0</v>
      </c>
      <c r="DY296">
        <v>0</v>
      </c>
      <c r="DZ296">
        <v>0</v>
      </c>
      <c r="EA296">
        <v>0</v>
      </c>
      <c r="EB296">
        <v>0</v>
      </c>
      <c r="EC296">
        <v>0</v>
      </c>
      <c r="ED296">
        <v>0</v>
      </c>
      <c r="EE296">
        <v>0</v>
      </c>
      <c r="EF296">
        <v>0</v>
      </c>
      <c r="EG296">
        <v>0</v>
      </c>
      <c r="EH296">
        <v>0</v>
      </c>
      <c r="EI296">
        <v>0</v>
      </c>
      <c r="EJ296">
        <v>0</v>
      </c>
      <c r="EK296">
        <v>0</v>
      </c>
      <c r="EL296">
        <v>0</v>
      </c>
      <c r="EM296">
        <v>0</v>
      </c>
      <c r="EN296">
        <v>0</v>
      </c>
      <c r="EO296">
        <v>0</v>
      </c>
      <c r="EP296">
        <v>0</v>
      </c>
      <c r="EQ296">
        <v>0</v>
      </c>
      <c r="ER296">
        <v>0</v>
      </c>
      <c r="ES296">
        <v>0</v>
      </c>
      <c r="ET296">
        <v>0</v>
      </c>
      <c r="EU296">
        <v>0</v>
      </c>
      <c r="EV296">
        <v>0</v>
      </c>
      <c r="EW296">
        <v>0</v>
      </c>
      <c r="EX296">
        <v>0</v>
      </c>
      <c r="EY296">
        <v>0</v>
      </c>
      <c r="EZ296">
        <v>0</v>
      </c>
      <c r="FA296">
        <v>0</v>
      </c>
      <c r="FB296">
        <v>0</v>
      </c>
      <c r="FC296">
        <v>0</v>
      </c>
      <c r="FD296">
        <v>0</v>
      </c>
      <c r="FE296">
        <v>0</v>
      </c>
      <c r="FF296">
        <v>0</v>
      </c>
      <c r="FG296">
        <v>0</v>
      </c>
      <c r="FH296">
        <v>0</v>
      </c>
      <c r="FI296">
        <v>0</v>
      </c>
      <c r="FJ296">
        <v>0</v>
      </c>
      <c r="FK296">
        <v>0</v>
      </c>
      <c r="FL296">
        <v>0</v>
      </c>
      <c r="FM296">
        <v>0</v>
      </c>
      <c r="FN296">
        <v>0</v>
      </c>
      <c r="FO296">
        <v>0</v>
      </c>
      <c r="FP296">
        <v>0</v>
      </c>
      <c r="FQ296">
        <v>0</v>
      </c>
      <c r="FR296">
        <v>0</v>
      </c>
      <c r="FS296">
        <v>0</v>
      </c>
      <c r="FT296">
        <v>0</v>
      </c>
      <c r="FU296">
        <v>0</v>
      </c>
      <c r="FV296">
        <v>0</v>
      </c>
      <c r="FW296">
        <v>0</v>
      </c>
      <c r="FX296">
        <v>0</v>
      </c>
      <c r="FY296">
        <v>0</v>
      </c>
      <c r="FZ296">
        <v>0</v>
      </c>
      <c r="GA296">
        <v>0</v>
      </c>
      <c r="GB296">
        <v>0</v>
      </c>
      <c r="GC296">
        <v>0</v>
      </c>
      <c r="GD296">
        <v>0</v>
      </c>
      <c r="GE296">
        <v>0</v>
      </c>
      <c r="GF296">
        <v>0</v>
      </c>
      <c r="GG296">
        <v>0</v>
      </c>
      <c r="GH296">
        <v>0</v>
      </c>
      <c r="GI296">
        <v>0</v>
      </c>
      <c r="GJ296">
        <v>0</v>
      </c>
      <c r="GK296">
        <v>0</v>
      </c>
      <c r="GL296">
        <v>0</v>
      </c>
      <c r="GM296">
        <v>0</v>
      </c>
      <c r="GN296">
        <v>0</v>
      </c>
      <c r="GO296">
        <v>0</v>
      </c>
      <c r="GP296">
        <v>0</v>
      </c>
      <c r="GQ296">
        <v>0</v>
      </c>
      <c r="GR296">
        <v>0</v>
      </c>
      <c r="GS296">
        <v>0</v>
      </c>
      <c r="GT296">
        <v>0</v>
      </c>
      <c r="GU296">
        <v>0</v>
      </c>
      <c r="GV296">
        <v>0</v>
      </c>
      <c r="GW296">
        <v>0</v>
      </c>
      <c r="GX296">
        <v>0</v>
      </c>
      <c r="GY296">
        <v>0</v>
      </c>
      <c r="GZ296">
        <v>0</v>
      </c>
      <c r="HA296">
        <v>0</v>
      </c>
      <c r="HB296">
        <v>0</v>
      </c>
      <c r="HC296">
        <v>0</v>
      </c>
      <c r="HD296">
        <v>0</v>
      </c>
      <c r="HE296">
        <v>0</v>
      </c>
      <c r="HF296">
        <v>0</v>
      </c>
      <c r="HG296">
        <v>0</v>
      </c>
      <c r="HH296">
        <v>0</v>
      </c>
      <c r="HI296">
        <v>0</v>
      </c>
      <c r="HJ296">
        <v>0</v>
      </c>
      <c r="HK296">
        <v>0</v>
      </c>
      <c r="HL296">
        <v>0</v>
      </c>
      <c r="HM296">
        <v>0</v>
      </c>
      <c r="HN296">
        <v>0</v>
      </c>
      <c r="HO296">
        <v>0</v>
      </c>
      <c r="HP296">
        <v>0</v>
      </c>
      <c r="HQ296">
        <v>0</v>
      </c>
      <c r="HR296">
        <v>0</v>
      </c>
      <c r="HS296">
        <v>0</v>
      </c>
      <c r="HT296">
        <v>0</v>
      </c>
      <c r="HU296">
        <v>0</v>
      </c>
      <c r="HV296">
        <v>0</v>
      </c>
      <c r="HW296">
        <v>0</v>
      </c>
      <c r="HX296">
        <v>0</v>
      </c>
      <c r="HY296">
        <v>0</v>
      </c>
      <c r="HZ296">
        <v>0</v>
      </c>
      <c r="IA296">
        <v>0</v>
      </c>
      <c r="IB296">
        <v>0</v>
      </c>
      <c r="IC296">
        <v>0</v>
      </c>
      <c r="ID296">
        <v>0</v>
      </c>
      <c r="IE296">
        <v>0</v>
      </c>
      <c r="IF296">
        <v>0</v>
      </c>
      <c r="IG296">
        <v>0</v>
      </c>
      <c r="IH296">
        <v>0</v>
      </c>
      <c r="II296">
        <v>0</v>
      </c>
      <c r="IJ296">
        <v>0</v>
      </c>
      <c r="IK296">
        <v>0</v>
      </c>
      <c r="IL296">
        <v>0</v>
      </c>
      <c r="IM296">
        <v>0</v>
      </c>
      <c r="IN296">
        <v>0</v>
      </c>
      <c r="IO296">
        <v>0</v>
      </c>
      <c r="IP296">
        <v>0</v>
      </c>
      <c r="IQ296">
        <v>0</v>
      </c>
      <c r="IR296">
        <v>0</v>
      </c>
      <c r="IS296">
        <v>0</v>
      </c>
      <c r="IT296">
        <v>0</v>
      </c>
      <c r="IU296">
        <v>0</v>
      </c>
      <c r="IV296">
        <v>0</v>
      </c>
      <c r="IW296">
        <v>0</v>
      </c>
      <c r="IX296">
        <v>0</v>
      </c>
      <c r="IY296">
        <v>0</v>
      </c>
      <c r="IZ296">
        <v>0</v>
      </c>
      <c r="JA296">
        <v>0</v>
      </c>
      <c r="JB296">
        <v>0</v>
      </c>
      <c r="JC296">
        <v>0</v>
      </c>
      <c r="JD296">
        <v>0</v>
      </c>
      <c r="JE296">
        <v>0</v>
      </c>
      <c r="JF296">
        <v>0</v>
      </c>
      <c r="JG296">
        <v>0</v>
      </c>
      <c r="JH296">
        <v>0</v>
      </c>
      <c r="JI296">
        <v>0</v>
      </c>
      <c r="JJ296">
        <v>0</v>
      </c>
      <c r="JK296">
        <v>0</v>
      </c>
      <c r="JL296">
        <v>0</v>
      </c>
      <c r="JM296">
        <v>0</v>
      </c>
      <c r="JN296">
        <v>0</v>
      </c>
      <c r="JO296">
        <v>0</v>
      </c>
      <c r="JP296">
        <v>0</v>
      </c>
      <c r="JQ296">
        <v>0</v>
      </c>
      <c r="JR296">
        <v>0</v>
      </c>
      <c r="JS296">
        <v>0</v>
      </c>
      <c r="JT296">
        <v>0</v>
      </c>
      <c r="JU296">
        <v>0</v>
      </c>
      <c r="JV296">
        <v>0</v>
      </c>
      <c r="JW296">
        <v>0</v>
      </c>
      <c r="JX296">
        <v>0</v>
      </c>
      <c r="JY296">
        <v>0</v>
      </c>
      <c r="JZ296">
        <v>0</v>
      </c>
      <c r="KA296">
        <v>0</v>
      </c>
      <c r="KB296">
        <v>0</v>
      </c>
      <c r="KC296">
        <v>0</v>
      </c>
      <c r="KD296">
        <v>0</v>
      </c>
      <c r="KE296">
        <v>0</v>
      </c>
      <c r="KF296">
        <v>0</v>
      </c>
      <c r="KG296">
        <v>0</v>
      </c>
      <c r="KH296">
        <v>0</v>
      </c>
      <c r="KI296">
        <v>0</v>
      </c>
      <c r="KJ296">
        <v>0</v>
      </c>
      <c r="KK296">
        <v>0</v>
      </c>
      <c r="KL296">
        <v>0</v>
      </c>
      <c r="KM296">
        <v>0</v>
      </c>
      <c r="KN296">
        <v>0</v>
      </c>
      <c r="KO296">
        <v>0</v>
      </c>
      <c r="KP296">
        <v>0</v>
      </c>
      <c r="KQ296">
        <v>0</v>
      </c>
      <c r="KR296">
        <v>0</v>
      </c>
      <c r="KS296">
        <v>0</v>
      </c>
      <c r="KT296">
        <v>0</v>
      </c>
      <c r="KU296">
        <v>0</v>
      </c>
      <c r="KV296">
        <v>0</v>
      </c>
      <c r="KW296">
        <v>0</v>
      </c>
      <c r="KX296">
        <v>0</v>
      </c>
      <c r="KY296">
        <v>0</v>
      </c>
      <c r="KZ296">
        <v>0</v>
      </c>
      <c r="LA296">
        <v>0</v>
      </c>
      <c r="LB296">
        <v>0</v>
      </c>
      <c r="LC296">
        <v>0</v>
      </c>
      <c r="LD296">
        <v>0</v>
      </c>
      <c r="LE296">
        <v>0</v>
      </c>
      <c r="LF296">
        <v>0</v>
      </c>
      <c r="LG296">
        <v>0</v>
      </c>
      <c r="LH296">
        <v>0</v>
      </c>
      <c r="LI296">
        <v>0</v>
      </c>
      <c r="LJ296">
        <v>0</v>
      </c>
      <c r="LK296">
        <v>0</v>
      </c>
      <c r="LL296">
        <v>0</v>
      </c>
      <c r="LM296">
        <v>0</v>
      </c>
      <c r="LN296">
        <v>0</v>
      </c>
      <c r="LO296">
        <v>0</v>
      </c>
      <c r="LP296">
        <v>0</v>
      </c>
      <c r="LQ296">
        <v>0</v>
      </c>
      <c r="LR296">
        <v>0</v>
      </c>
      <c r="LS296">
        <v>0</v>
      </c>
      <c r="LT296">
        <v>0</v>
      </c>
      <c r="LU296">
        <v>0</v>
      </c>
      <c r="LV296">
        <v>0</v>
      </c>
      <c r="LW296">
        <v>0</v>
      </c>
      <c r="LX296">
        <v>0</v>
      </c>
      <c r="LY296">
        <v>0</v>
      </c>
      <c r="LZ296">
        <v>0</v>
      </c>
      <c r="MA296">
        <v>0</v>
      </c>
      <c r="MB296">
        <v>0</v>
      </c>
      <c r="MC296">
        <v>0</v>
      </c>
      <c r="MD296">
        <v>0</v>
      </c>
      <c r="ME296">
        <v>0</v>
      </c>
      <c r="MF296">
        <v>0</v>
      </c>
      <c r="MG296">
        <v>0</v>
      </c>
      <c r="MH296">
        <v>0</v>
      </c>
      <c r="MI296">
        <v>0</v>
      </c>
      <c r="MJ296">
        <v>0</v>
      </c>
      <c r="MK296">
        <v>0</v>
      </c>
      <c r="ML296">
        <v>0</v>
      </c>
      <c r="MM296">
        <v>0</v>
      </c>
      <c r="MN296">
        <v>0</v>
      </c>
      <c r="MO296">
        <v>0</v>
      </c>
      <c r="MP296">
        <v>0</v>
      </c>
      <c r="MQ296">
        <v>0</v>
      </c>
      <c r="MR296">
        <v>0</v>
      </c>
      <c r="MS296">
        <v>0</v>
      </c>
      <c r="MT296">
        <v>0</v>
      </c>
      <c r="MU296">
        <v>0</v>
      </c>
      <c r="MV296">
        <v>0</v>
      </c>
      <c r="MW296">
        <v>0</v>
      </c>
      <c r="MX296">
        <v>0</v>
      </c>
      <c r="MY296">
        <v>0</v>
      </c>
      <c r="MZ296">
        <v>0</v>
      </c>
      <c r="NA296">
        <v>0</v>
      </c>
      <c r="NB296">
        <v>0</v>
      </c>
      <c r="NC296">
        <v>0</v>
      </c>
      <c r="ND296">
        <v>0</v>
      </c>
      <c r="NE296">
        <v>0</v>
      </c>
    </row>
    <row r="297" spans="41:369" x14ac:dyDescent="0.45">
      <c r="AO297" t="str">
        <v>D173</v>
      </c>
      <c r="AP297" t="str">
        <v>ABOOBACKER SIDDIK</v>
      </c>
      <c r="AQ297" t="str">
        <v>BADF</v>
      </c>
      <c r="AR297" t="str">
        <v>SUPER SENIOR</v>
      </c>
      <c r="AS297">
        <v>10</v>
      </c>
      <c r="AT297">
        <v>5</v>
      </c>
      <c r="AU297">
        <v>0</v>
      </c>
      <c r="AV297">
        <v>5</v>
      </c>
      <c r="AW297">
        <v>5</v>
      </c>
      <c r="AX297">
        <v>190</v>
      </c>
      <c r="AY297" s="5">
        <v>190</v>
      </c>
      <c r="AZ297">
        <v>0</v>
      </c>
      <c r="BA297">
        <v>0</v>
      </c>
      <c r="BB297">
        <v>0</v>
      </c>
      <c r="BC297">
        <v>0</v>
      </c>
      <c r="BD297">
        <v>0</v>
      </c>
      <c r="BE297">
        <v>0</v>
      </c>
      <c r="BF297">
        <v>0</v>
      </c>
      <c r="BG297">
        <v>0</v>
      </c>
      <c r="BH297">
        <v>0</v>
      </c>
      <c r="BI297" t="str">
        <v/>
      </c>
      <c r="BK297">
        <v>291</v>
      </c>
      <c r="BL297">
        <v>0</v>
      </c>
      <c r="BM297">
        <v>0</v>
      </c>
      <c r="BN297">
        <v>0</v>
      </c>
      <c r="BO297">
        <v>0</v>
      </c>
      <c r="BP297">
        <v>0</v>
      </c>
      <c r="BQ297">
        <v>0</v>
      </c>
      <c r="BR297">
        <v>0</v>
      </c>
      <c r="BS297">
        <v>0</v>
      </c>
      <c r="BT297">
        <v>0</v>
      </c>
      <c r="BU297">
        <v>0</v>
      </c>
      <c r="BV297">
        <v>0</v>
      </c>
      <c r="BW297">
        <v>0</v>
      </c>
      <c r="BX297">
        <v>0</v>
      </c>
      <c r="BY297">
        <v>0</v>
      </c>
      <c r="BZ297">
        <v>0</v>
      </c>
      <c r="CA297">
        <v>0</v>
      </c>
      <c r="CB297">
        <v>0</v>
      </c>
      <c r="CC297">
        <v>0</v>
      </c>
      <c r="CD297">
        <v>0</v>
      </c>
      <c r="CE297">
        <v>0</v>
      </c>
      <c r="CF297">
        <v>0</v>
      </c>
      <c r="CG297">
        <v>0</v>
      </c>
      <c r="CH297">
        <v>0</v>
      </c>
      <c r="CI297">
        <v>0</v>
      </c>
      <c r="CJ297">
        <v>0</v>
      </c>
      <c r="CK297">
        <v>0</v>
      </c>
      <c r="CL297">
        <v>0</v>
      </c>
      <c r="CM297">
        <v>0</v>
      </c>
      <c r="CN297">
        <v>0</v>
      </c>
      <c r="CO297">
        <v>0</v>
      </c>
      <c r="CP297">
        <v>0</v>
      </c>
      <c r="CQ297">
        <v>0</v>
      </c>
      <c r="CR297">
        <v>0</v>
      </c>
      <c r="CS297">
        <v>0</v>
      </c>
      <c r="CT297">
        <v>0</v>
      </c>
      <c r="CU297">
        <v>0</v>
      </c>
      <c r="CV297">
        <v>0</v>
      </c>
      <c r="CW297">
        <v>0</v>
      </c>
      <c r="CX297">
        <v>0</v>
      </c>
      <c r="CY297">
        <v>0</v>
      </c>
      <c r="CZ297">
        <v>0</v>
      </c>
      <c r="DA297">
        <v>0</v>
      </c>
      <c r="DB297">
        <v>0</v>
      </c>
      <c r="DC297">
        <v>0</v>
      </c>
      <c r="DD297">
        <v>0</v>
      </c>
      <c r="DE297">
        <v>0</v>
      </c>
      <c r="DF297">
        <v>0</v>
      </c>
      <c r="DG297">
        <v>0</v>
      </c>
      <c r="DH297">
        <v>0</v>
      </c>
      <c r="DI297">
        <v>0</v>
      </c>
      <c r="DJ297">
        <v>0</v>
      </c>
      <c r="DK297">
        <v>0</v>
      </c>
      <c r="DL297">
        <v>0</v>
      </c>
      <c r="DM297">
        <v>0</v>
      </c>
      <c r="DN297">
        <v>0</v>
      </c>
      <c r="DO297">
        <v>0</v>
      </c>
      <c r="DP297">
        <v>0</v>
      </c>
      <c r="DQ297">
        <v>0</v>
      </c>
      <c r="DR297">
        <v>0</v>
      </c>
      <c r="DS297">
        <v>0</v>
      </c>
      <c r="DT297">
        <v>0</v>
      </c>
      <c r="DU297">
        <v>0</v>
      </c>
      <c r="DV297">
        <v>0</v>
      </c>
      <c r="DW297">
        <v>0</v>
      </c>
      <c r="DX297">
        <v>0</v>
      </c>
      <c r="DY297">
        <v>0</v>
      </c>
      <c r="DZ297">
        <v>0</v>
      </c>
      <c r="EA297">
        <v>0</v>
      </c>
      <c r="EB297">
        <v>0</v>
      </c>
      <c r="EC297">
        <v>0</v>
      </c>
      <c r="ED297">
        <v>0</v>
      </c>
      <c r="EE297">
        <v>0</v>
      </c>
      <c r="EF297">
        <v>0</v>
      </c>
      <c r="EG297">
        <v>0</v>
      </c>
      <c r="EH297">
        <v>0</v>
      </c>
      <c r="EI297">
        <v>0</v>
      </c>
      <c r="EJ297">
        <v>0</v>
      </c>
      <c r="EK297">
        <v>0</v>
      </c>
      <c r="EL297">
        <v>0</v>
      </c>
      <c r="EM297">
        <v>0</v>
      </c>
      <c r="EN297">
        <v>0</v>
      </c>
      <c r="EO297">
        <v>0</v>
      </c>
      <c r="EP297">
        <v>0</v>
      </c>
      <c r="EQ297">
        <v>0</v>
      </c>
      <c r="ER297">
        <v>0</v>
      </c>
      <c r="ES297">
        <v>0</v>
      </c>
      <c r="ET297">
        <v>0</v>
      </c>
      <c r="EU297">
        <v>0</v>
      </c>
      <c r="EV297">
        <v>0</v>
      </c>
      <c r="EW297">
        <v>0</v>
      </c>
      <c r="EX297">
        <v>0</v>
      </c>
      <c r="EY297">
        <v>0</v>
      </c>
      <c r="EZ297">
        <v>0</v>
      </c>
      <c r="FA297">
        <v>0</v>
      </c>
      <c r="FB297">
        <v>0</v>
      </c>
      <c r="FC297">
        <v>0</v>
      </c>
      <c r="FD297">
        <v>0</v>
      </c>
      <c r="FE297">
        <v>0</v>
      </c>
      <c r="FF297">
        <v>0</v>
      </c>
      <c r="FG297">
        <v>0</v>
      </c>
      <c r="FH297">
        <v>0</v>
      </c>
      <c r="FI297">
        <v>0</v>
      </c>
      <c r="FJ297">
        <v>0</v>
      </c>
      <c r="FK297">
        <v>0</v>
      </c>
      <c r="FL297">
        <v>0</v>
      </c>
      <c r="FM297">
        <v>0</v>
      </c>
      <c r="FN297">
        <v>0</v>
      </c>
      <c r="FO297">
        <v>0</v>
      </c>
      <c r="FP297">
        <v>0</v>
      </c>
      <c r="FQ297">
        <v>0</v>
      </c>
      <c r="FR297">
        <v>0</v>
      </c>
      <c r="FS297">
        <v>0</v>
      </c>
      <c r="FT297">
        <v>0</v>
      </c>
      <c r="FU297">
        <v>0</v>
      </c>
      <c r="FV297">
        <v>0</v>
      </c>
      <c r="FW297">
        <v>0</v>
      </c>
      <c r="FX297">
        <v>0</v>
      </c>
      <c r="FY297">
        <v>0</v>
      </c>
      <c r="FZ297">
        <v>0</v>
      </c>
      <c r="GA297">
        <v>0</v>
      </c>
      <c r="GB297">
        <v>0</v>
      </c>
      <c r="GC297">
        <v>0</v>
      </c>
      <c r="GD297">
        <v>0</v>
      </c>
      <c r="GE297">
        <v>0</v>
      </c>
      <c r="GF297">
        <v>0</v>
      </c>
      <c r="GG297">
        <v>0</v>
      </c>
      <c r="GH297">
        <v>0</v>
      </c>
      <c r="GI297">
        <v>0</v>
      </c>
      <c r="GJ297">
        <v>0</v>
      </c>
      <c r="GK297">
        <v>0</v>
      </c>
      <c r="GL297">
        <v>0</v>
      </c>
      <c r="GM297">
        <v>0</v>
      </c>
      <c r="GN297">
        <v>0</v>
      </c>
      <c r="GO297">
        <v>0</v>
      </c>
      <c r="GP297">
        <v>0</v>
      </c>
      <c r="GQ297">
        <v>0</v>
      </c>
      <c r="GR297">
        <v>0</v>
      </c>
      <c r="GS297">
        <v>0</v>
      </c>
      <c r="GT297">
        <v>0</v>
      </c>
      <c r="GU297">
        <v>0</v>
      </c>
      <c r="GV297">
        <v>0</v>
      </c>
      <c r="GW297">
        <v>0</v>
      </c>
      <c r="GX297">
        <v>0</v>
      </c>
      <c r="GY297">
        <v>0</v>
      </c>
      <c r="GZ297">
        <v>0</v>
      </c>
      <c r="HA297">
        <v>0</v>
      </c>
      <c r="HB297">
        <v>0</v>
      </c>
      <c r="HC297">
        <v>0</v>
      </c>
      <c r="HD297">
        <v>0</v>
      </c>
      <c r="HE297">
        <v>0</v>
      </c>
      <c r="HF297">
        <v>0</v>
      </c>
      <c r="HG297">
        <v>0</v>
      </c>
      <c r="HH297">
        <v>0</v>
      </c>
      <c r="HI297">
        <v>0</v>
      </c>
      <c r="HJ297">
        <v>0</v>
      </c>
      <c r="HK297">
        <v>0</v>
      </c>
      <c r="HL297">
        <v>0</v>
      </c>
      <c r="HM297">
        <v>0</v>
      </c>
      <c r="HN297">
        <v>0</v>
      </c>
      <c r="HO297">
        <v>0</v>
      </c>
      <c r="HP297">
        <v>0</v>
      </c>
      <c r="HQ297">
        <v>0</v>
      </c>
      <c r="HR297">
        <v>0</v>
      </c>
      <c r="HS297">
        <v>0</v>
      </c>
      <c r="HT297">
        <v>0</v>
      </c>
      <c r="HU297">
        <v>0</v>
      </c>
      <c r="HV297">
        <v>0</v>
      </c>
      <c r="HW297">
        <v>0</v>
      </c>
      <c r="HX297">
        <v>0</v>
      </c>
      <c r="HY297">
        <v>0</v>
      </c>
      <c r="HZ297">
        <v>0</v>
      </c>
      <c r="IA297">
        <v>0</v>
      </c>
      <c r="IB297">
        <v>0</v>
      </c>
      <c r="IC297">
        <v>0</v>
      </c>
      <c r="ID297">
        <v>0</v>
      </c>
      <c r="IE297">
        <v>0</v>
      </c>
      <c r="IF297">
        <v>0</v>
      </c>
      <c r="IG297">
        <v>0</v>
      </c>
      <c r="IH297">
        <v>0</v>
      </c>
      <c r="II297">
        <v>0</v>
      </c>
      <c r="IJ297">
        <v>0</v>
      </c>
      <c r="IK297">
        <v>0</v>
      </c>
      <c r="IL297">
        <v>0</v>
      </c>
      <c r="IM297">
        <v>0</v>
      </c>
      <c r="IN297">
        <v>0</v>
      </c>
      <c r="IO297">
        <v>0</v>
      </c>
      <c r="IP297">
        <v>0</v>
      </c>
      <c r="IQ297">
        <v>0</v>
      </c>
      <c r="IR297">
        <v>0</v>
      </c>
      <c r="IS297">
        <v>0</v>
      </c>
      <c r="IT297">
        <v>0</v>
      </c>
      <c r="IU297">
        <v>0</v>
      </c>
      <c r="IV297">
        <v>0</v>
      </c>
      <c r="IW297">
        <v>0</v>
      </c>
      <c r="IX297">
        <v>0</v>
      </c>
      <c r="IY297">
        <v>0</v>
      </c>
      <c r="IZ297">
        <v>0</v>
      </c>
      <c r="JA297">
        <v>0</v>
      </c>
      <c r="JB297">
        <v>0</v>
      </c>
      <c r="JC297">
        <v>0</v>
      </c>
      <c r="JD297">
        <v>0</v>
      </c>
      <c r="JE297">
        <v>0</v>
      </c>
      <c r="JF297">
        <v>0</v>
      </c>
      <c r="JG297">
        <v>0</v>
      </c>
      <c r="JH297">
        <v>0</v>
      </c>
      <c r="JI297">
        <v>0</v>
      </c>
      <c r="JJ297">
        <v>0</v>
      </c>
      <c r="JK297">
        <v>0</v>
      </c>
      <c r="JL297">
        <v>0</v>
      </c>
      <c r="JM297">
        <v>0</v>
      </c>
      <c r="JN297">
        <v>0</v>
      </c>
      <c r="JO297">
        <v>0</v>
      </c>
      <c r="JP297">
        <v>0</v>
      </c>
      <c r="JQ297">
        <v>0</v>
      </c>
      <c r="JR297">
        <v>0</v>
      </c>
      <c r="JS297">
        <v>0</v>
      </c>
      <c r="JT297">
        <v>0</v>
      </c>
      <c r="JU297">
        <v>0</v>
      </c>
      <c r="JV297">
        <v>0</v>
      </c>
      <c r="JW297">
        <v>0</v>
      </c>
      <c r="JX297">
        <v>0</v>
      </c>
      <c r="JY297">
        <v>0</v>
      </c>
      <c r="JZ297">
        <v>0</v>
      </c>
      <c r="KA297">
        <v>0</v>
      </c>
      <c r="KB297">
        <v>0</v>
      </c>
      <c r="KC297">
        <v>0</v>
      </c>
      <c r="KD297">
        <v>0</v>
      </c>
      <c r="KE297">
        <v>0</v>
      </c>
      <c r="KF297">
        <v>0</v>
      </c>
      <c r="KG297">
        <v>0</v>
      </c>
      <c r="KH297">
        <v>0</v>
      </c>
      <c r="KI297">
        <v>0</v>
      </c>
      <c r="KJ297">
        <v>0</v>
      </c>
      <c r="KK297">
        <v>0</v>
      </c>
      <c r="KL297">
        <v>0</v>
      </c>
      <c r="KM297">
        <v>0</v>
      </c>
      <c r="KN297">
        <v>0</v>
      </c>
      <c r="KO297">
        <v>0</v>
      </c>
      <c r="KP297">
        <v>0</v>
      </c>
      <c r="KQ297">
        <v>0</v>
      </c>
      <c r="KR297">
        <v>0</v>
      </c>
      <c r="KS297">
        <v>0</v>
      </c>
      <c r="KT297">
        <v>0</v>
      </c>
      <c r="KU297">
        <v>0</v>
      </c>
      <c r="KV297">
        <v>0</v>
      </c>
      <c r="KW297">
        <v>0</v>
      </c>
      <c r="KX297">
        <v>0</v>
      </c>
      <c r="KY297">
        <v>0</v>
      </c>
      <c r="KZ297">
        <v>0</v>
      </c>
      <c r="LA297">
        <v>0</v>
      </c>
      <c r="LB297">
        <v>0</v>
      </c>
      <c r="LC297">
        <v>0</v>
      </c>
      <c r="LD297">
        <v>0</v>
      </c>
      <c r="LE297">
        <v>0</v>
      </c>
      <c r="LF297">
        <v>0</v>
      </c>
      <c r="LG297">
        <v>0</v>
      </c>
      <c r="LH297">
        <v>0</v>
      </c>
      <c r="LI297">
        <v>0</v>
      </c>
      <c r="LJ297">
        <v>0</v>
      </c>
      <c r="LK297">
        <v>0</v>
      </c>
      <c r="LL297">
        <v>0</v>
      </c>
      <c r="LM297">
        <v>0</v>
      </c>
      <c r="LN297">
        <v>0</v>
      </c>
      <c r="LO297">
        <v>0</v>
      </c>
      <c r="LP297">
        <v>0</v>
      </c>
      <c r="LQ297">
        <v>0</v>
      </c>
      <c r="LR297">
        <v>0</v>
      </c>
      <c r="LS297">
        <v>0</v>
      </c>
      <c r="LT297">
        <v>0</v>
      </c>
      <c r="LU297">
        <v>0</v>
      </c>
      <c r="LV297">
        <v>0</v>
      </c>
      <c r="LW297">
        <v>0</v>
      </c>
      <c r="LX297">
        <v>0</v>
      </c>
      <c r="LY297">
        <v>0</v>
      </c>
      <c r="LZ297">
        <v>0</v>
      </c>
      <c r="MA297">
        <v>0</v>
      </c>
      <c r="MB297">
        <v>0</v>
      </c>
      <c r="MC297">
        <v>0</v>
      </c>
      <c r="MD297">
        <v>0</v>
      </c>
      <c r="ME297">
        <v>0</v>
      </c>
      <c r="MF297">
        <v>0</v>
      </c>
      <c r="MG297">
        <v>0</v>
      </c>
      <c r="MH297">
        <v>0</v>
      </c>
      <c r="MI297">
        <v>0</v>
      </c>
      <c r="MJ297">
        <v>0</v>
      </c>
      <c r="MK297">
        <v>0</v>
      </c>
      <c r="ML297">
        <v>0</v>
      </c>
      <c r="MM297">
        <v>0</v>
      </c>
      <c r="MN297">
        <v>0</v>
      </c>
      <c r="MO297">
        <v>0</v>
      </c>
      <c r="MP297">
        <v>0</v>
      </c>
      <c r="MQ297">
        <v>0</v>
      </c>
      <c r="MR297">
        <v>0</v>
      </c>
      <c r="MS297">
        <v>0</v>
      </c>
      <c r="MT297">
        <v>0</v>
      </c>
      <c r="MU297">
        <v>0</v>
      </c>
      <c r="MV297">
        <v>0</v>
      </c>
      <c r="MW297">
        <v>0</v>
      </c>
      <c r="MX297">
        <v>0</v>
      </c>
      <c r="MY297">
        <v>0</v>
      </c>
      <c r="MZ297">
        <v>0</v>
      </c>
      <c r="NA297">
        <v>0</v>
      </c>
      <c r="NB297">
        <v>0</v>
      </c>
      <c r="NC297">
        <v>0</v>
      </c>
      <c r="ND297">
        <v>0</v>
      </c>
      <c r="NE297">
        <v>0</v>
      </c>
    </row>
    <row r="298" spans="41:369" x14ac:dyDescent="0.45">
      <c r="AO298" t="str">
        <v>D174</v>
      </c>
      <c r="AP298" t="str">
        <v>BADRUDHIN A</v>
      </c>
      <c r="AQ298" t="str">
        <v>BADF</v>
      </c>
      <c r="AR298" t="str">
        <v>SUPER SENIOR</v>
      </c>
      <c r="AS298">
        <v>10</v>
      </c>
      <c r="AT298">
        <v>0</v>
      </c>
      <c r="AU298">
        <v>0</v>
      </c>
      <c r="AV298">
        <v>0</v>
      </c>
      <c r="AW298">
        <v>0</v>
      </c>
      <c r="AX298">
        <v>255</v>
      </c>
      <c r="AY298" s="5">
        <v>255</v>
      </c>
      <c r="AZ298">
        <v>0</v>
      </c>
      <c r="BA298">
        <v>0</v>
      </c>
      <c r="BB298">
        <v>0</v>
      </c>
      <c r="BC298">
        <v>0</v>
      </c>
      <c r="BD298">
        <v>0</v>
      </c>
      <c r="BE298">
        <v>0</v>
      </c>
      <c r="BF298">
        <v>0</v>
      </c>
      <c r="BG298">
        <v>0</v>
      </c>
      <c r="BH298">
        <v>0</v>
      </c>
      <c r="BI298" t="str">
        <v/>
      </c>
      <c r="BK298">
        <v>292</v>
      </c>
      <c r="BL298">
        <v>0</v>
      </c>
      <c r="BM298">
        <v>0</v>
      </c>
      <c r="BN298">
        <v>0</v>
      </c>
      <c r="BO298">
        <v>0</v>
      </c>
      <c r="BP298">
        <v>0</v>
      </c>
      <c r="BQ298">
        <v>0</v>
      </c>
      <c r="BR298">
        <v>0</v>
      </c>
      <c r="BS298">
        <v>0</v>
      </c>
      <c r="BT298">
        <v>0</v>
      </c>
      <c r="BU298">
        <v>0</v>
      </c>
      <c r="BV298">
        <v>0</v>
      </c>
      <c r="BW298">
        <v>0</v>
      </c>
      <c r="BX298">
        <v>0</v>
      </c>
      <c r="BY298">
        <v>0</v>
      </c>
      <c r="BZ298">
        <v>0</v>
      </c>
      <c r="CA298">
        <v>0</v>
      </c>
      <c r="CB298">
        <v>0</v>
      </c>
      <c r="CC298">
        <v>0</v>
      </c>
      <c r="CD298">
        <v>0</v>
      </c>
      <c r="CE298">
        <v>0</v>
      </c>
      <c r="CF298">
        <v>0</v>
      </c>
      <c r="CG298">
        <v>0</v>
      </c>
      <c r="CH298">
        <v>0</v>
      </c>
      <c r="CI298">
        <v>0</v>
      </c>
      <c r="CJ298">
        <v>0</v>
      </c>
      <c r="CK298">
        <v>0</v>
      </c>
      <c r="CL298">
        <v>0</v>
      </c>
      <c r="CM298">
        <v>0</v>
      </c>
      <c r="CN298">
        <v>0</v>
      </c>
      <c r="CO298">
        <v>0</v>
      </c>
      <c r="CP298">
        <v>0</v>
      </c>
      <c r="CQ298">
        <v>0</v>
      </c>
      <c r="CR298">
        <v>0</v>
      </c>
      <c r="CS298">
        <v>0</v>
      </c>
      <c r="CT298">
        <v>0</v>
      </c>
      <c r="CU298">
        <v>0</v>
      </c>
      <c r="CV298">
        <v>0</v>
      </c>
      <c r="CW298">
        <v>0</v>
      </c>
      <c r="CX298">
        <v>0</v>
      </c>
      <c r="CY298">
        <v>0</v>
      </c>
      <c r="CZ298">
        <v>0</v>
      </c>
      <c r="DA298">
        <v>0</v>
      </c>
      <c r="DB298">
        <v>0</v>
      </c>
      <c r="DC298">
        <v>0</v>
      </c>
      <c r="DD298">
        <v>0</v>
      </c>
      <c r="DE298">
        <v>0</v>
      </c>
      <c r="DF298">
        <v>0</v>
      </c>
      <c r="DG298">
        <v>0</v>
      </c>
      <c r="DH298">
        <v>0</v>
      </c>
      <c r="DI298">
        <v>0</v>
      </c>
      <c r="DJ298">
        <v>0</v>
      </c>
      <c r="DK298">
        <v>0</v>
      </c>
      <c r="DL298">
        <v>0</v>
      </c>
      <c r="DM298">
        <v>0</v>
      </c>
      <c r="DN298">
        <v>0</v>
      </c>
      <c r="DO298">
        <v>0</v>
      </c>
      <c r="DP298">
        <v>0</v>
      </c>
      <c r="DQ298">
        <v>0</v>
      </c>
      <c r="DR298">
        <v>0</v>
      </c>
      <c r="DS298">
        <v>0</v>
      </c>
      <c r="DT298">
        <v>0</v>
      </c>
      <c r="DU298">
        <v>0</v>
      </c>
      <c r="DV298">
        <v>0</v>
      </c>
      <c r="DW298">
        <v>0</v>
      </c>
      <c r="DX298">
        <v>0</v>
      </c>
      <c r="DY298">
        <v>0</v>
      </c>
      <c r="DZ298">
        <v>0</v>
      </c>
      <c r="EA298">
        <v>0</v>
      </c>
      <c r="EB298">
        <v>0</v>
      </c>
      <c r="EC298">
        <v>0</v>
      </c>
      <c r="ED298">
        <v>0</v>
      </c>
      <c r="EE298">
        <v>0</v>
      </c>
      <c r="EF298">
        <v>0</v>
      </c>
      <c r="EG298">
        <v>0</v>
      </c>
      <c r="EH298">
        <v>0</v>
      </c>
      <c r="EI298">
        <v>0</v>
      </c>
      <c r="EJ298">
        <v>0</v>
      </c>
      <c r="EK298">
        <v>0</v>
      </c>
      <c r="EL298">
        <v>0</v>
      </c>
      <c r="EM298">
        <v>0</v>
      </c>
      <c r="EN298">
        <v>0</v>
      </c>
      <c r="EO298">
        <v>0</v>
      </c>
      <c r="EP298">
        <v>0</v>
      </c>
      <c r="EQ298">
        <v>0</v>
      </c>
      <c r="ER298">
        <v>0</v>
      </c>
      <c r="ES298">
        <v>0</v>
      </c>
      <c r="ET298">
        <v>0</v>
      </c>
      <c r="EU298">
        <v>0</v>
      </c>
      <c r="EV298">
        <v>0</v>
      </c>
      <c r="EW298">
        <v>0</v>
      </c>
      <c r="EX298">
        <v>0</v>
      </c>
      <c r="EY298">
        <v>0</v>
      </c>
      <c r="EZ298">
        <v>0</v>
      </c>
      <c r="FA298">
        <v>0</v>
      </c>
      <c r="FB298">
        <v>0</v>
      </c>
      <c r="FC298">
        <v>0</v>
      </c>
      <c r="FD298">
        <v>0</v>
      </c>
      <c r="FE298">
        <v>0</v>
      </c>
      <c r="FF298">
        <v>0</v>
      </c>
      <c r="FG298">
        <v>0</v>
      </c>
      <c r="FH298">
        <v>0</v>
      </c>
      <c r="FI298">
        <v>0</v>
      </c>
      <c r="FJ298">
        <v>0</v>
      </c>
      <c r="FK298">
        <v>0</v>
      </c>
      <c r="FL298">
        <v>0</v>
      </c>
      <c r="FM298">
        <v>0</v>
      </c>
      <c r="FN298">
        <v>0</v>
      </c>
      <c r="FO298">
        <v>0</v>
      </c>
      <c r="FP298">
        <v>0</v>
      </c>
      <c r="FQ298">
        <v>0</v>
      </c>
      <c r="FR298">
        <v>0</v>
      </c>
      <c r="FS298">
        <v>0</v>
      </c>
      <c r="FT298">
        <v>0</v>
      </c>
      <c r="FU298">
        <v>0</v>
      </c>
      <c r="FV298">
        <v>0</v>
      </c>
      <c r="FW298">
        <v>0</v>
      </c>
      <c r="FX298">
        <v>0</v>
      </c>
      <c r="FY298">
        <v>0</v>
      </c>
      <c r="FZ298">
        <v>0</v>
      </c>
      <c r="GA298">
        <v>0</v>
      </c>
      <c r="GB298">
        <v>0</v>
      </c>
      <c r="GC298">
        <v>0</v>
      </c>
      <c r="GD298">
        <v>0</v>
      </c>
      <c r="GE298">
        <v>0</v>
      </c>
      <c r="GF298">
        <v>0</v>
      </c>
      <c r="GG298">
        <v>0</v>
      </c>
      <c r="GH298">
        <v>0</v>
      </c>
      <c r="GI298">
        <v>0</v>
      </c>
      <c r="GJ298">
        <v>0</v>
      </c>
      <c r="GK298">
        <v>0</v>
      </c>
      <c r="GL298">
        <v>0</v>
      </c>
      <c r="GM298">
        <v>0</v>
      </c>
      <c r="GN298">
        <v>0</v>
      </c>
      <c r="GO298">
        <v>0</v>
      </c>
      <c r="GP298">
        <v>0</v>
      </c>
      <c r="GQ298">
        <v>0</v>
      </c>
      <c r="GR298">
        <v>0</v>
      </c>
      <c r="GS298">
        <v>0</v>
      </c>
      <c r="GT298">
        <v>0</v>
      </c>
      <c r="GU298">
        <v>0</v>
      </c>
      <c r="GV298">
        <v>0</v>
      </c>
      <c r="GW298">
        <v>0</v>
      </c>
      <c r="GX298">
        <v>0</v>
      </c>
      <c r="GY298">
        <v>0</v>
      </c>
      <c r="GZ298">
        <v>0</v>
      </c>
      <c r="HA298">
        <v>0</v>
      </c>
      <c r="HB298">
        <v>0</v>
      </c>
      <c r="HC298">
        <v>0</v>
      </c>
      <c r="HD298">
        <v>0</v>
      </c>
      <c r="HE298">
        <v>0</v>
      </c>
      <c r="HF298">
        <v>0</v>
      </c>
      <c r="HG298">
        <v>0</v>
      </c>
      <c r="HH298">
        <v>0</v>
      </c>
      <c r="HI298">
        <v>0</v>
      </c>
      <c r="HJ298">
        <v>0</v>
      </c>
      <c r="HK298">
        <v>0</v>
      </c>
      <c r="HL298">
        <v>0</v>
      </c>
      <c r="HM298">
        <v>0</v>
      </c>
      <c r="HN298">
        <v>0</v>
      </c>
      <c r="HO298">
        <v>0</v>
      </c>
      <c r="HP298">
        <v>0</v>
      </c>
      <c r="HQ298">
        <v>0</v>
      </c>
      <c r="HR298">
        <v>0</v>
      </c>
      <c r="HS298">
        <v>0</v>
      </c>
      <c r="HT298">
        <v>0</v>
      </c>
      <c r="HU298">
        <v>0</v>
      </c>
      <c r="HV298">
        <v>0</v>
      </c>
      <c r="HW298">
        <v>0</v>
      </c>
      <c r="HX298">
        <v>0</v>
      </c>
      <c r="HY298">
        <v>0</v>
      </c>
      <c r="HZ298">
        <v>0</v>
      </c>
      <c r="IA298">
        <v>0</v>
      </c>
      <c r="IB298">
        <v>0</v>
      </c>
      <c r="IC298">
        <v>0</v>
      </c>
      <c r="ID298">
        <v>0</v>
      </c>
      <c r="IE298">
        <v>0</v>
      </c>
      <c r="IF298">
        <v>0</v>
      </c>
      <c r="IG298">
        <v>0</v>
      </c>
      <c r="IH298">
        <v>0</v>
      </c>
      <c r="II298">
        <v>0</v>
      </c>
      <c r="IJ298">
        <v>0</v>
      </c>
      <c r="IK298">
        <v>0</v>
      </c>
      <c r="IL298">
        <v>0</v>
      </c>
      <c r="IM298">
        <v>0</v>
      </c>
      <c r="IN298">
        <v>0</v>
      </c>
      <c r="IO298">
        <v>0</v>
      </c>
      <c r="IP298">
        <v>0</v>
      </c>
      <c r="IQ298">
        <v>0</v>
      </c>
      <c r="IR298">
        <v>0</v>
      </c>
      <c r="IS298">
        <v>0</v>
      </c>
      <c r="IT298">
        <v>0</v>
      </c>
      <c r="IU298">
        <v>0</v>
      </c>
      <c r="IV298">
        <v>0</v>
      </c>
      <c r="IW298">
        <v>0</v>
      </c>
      <c r="IX298">
        <v>0</v>
      </c>
      <c r="IY298">
        <v>0</v>
      </c>
      <c r="IZ298">
        <v>0</v>
      </c>
      <c r="JA298">
        <v>0</v>
      </c>
      <c r="JB298">
        <v>0</v>
      </c>
      <c r="JC298">
        <v>0</v>
      </c>
      <c r="JD298">
        <v>0</v>
      </c>
      <c r="JE298">
        <v>0</v>
      </c>
      <c r="JF298">
        <v>0</v>
      </c>
      <c r="JG298">
        <v>0</v>
      </c>
      <c r="JH298">
        <v>0</v>
      </c>
      <c r="JI298">
        <v>0</v>
      </c>
      <c r="JJ298">
        <v>0</v>
      </c>
      <c r="JK298">
        <v>0</v>
      </c>
      <c r="JL298">
        <v>0</v>
      </c>
      <c r="JM298">
        <v>0</v>
      </c>
      <c r="JN298">
        <v>0</v>
      </c>
      <c r="JO298">
        <v>0</v>
      </c>
      <c r="JP298">
        <v>0</v>
      </c>
      <c r="JQ298">
        <v>0</v>
      </c>
      <c r="JR298">
        <v>0</v>
      </c>
      <c r="JS298">
        <v>0</v>
      </c>
      <c r="JT298">
        <v>0</v>
      </c>
      <c r="JU298">
        <v>0</v>
      </c>
      <c r="JV298">
        <v>0</v>
      </c>
      <c r="JW298">
        <v>0</v>
      </c>
      <c r="JX298">
        <v>0</v>
      </c>
      <c r="JY298">
        <v>0</v>
      </c>
      <c r="JZ298">
        <v>0</v>
      </c>
      <c r="KA298">
        <v>0</v>
      </c>
      <c r="KB298">
        <v>0</v>
      </c>
      <c r="KC298">
        <v>0</v>
      </c>
      <c r="KD298">
        <v>0</v>
      </c>
      <c r="KE298">
        <v>0</v>
      </c>
      <c r="KF298">
        <v>0</v>
      </c>
      <c r="KG298">
        <v>0</v>
      </c>
      <c r="KH298">
        <v>0</v>
      </c>
      <c r="KI298">
        <v>0</v>
      </c>
      <c r="KJ298">
        <v>0</v>
      </c>
      <c r="KK298">
        <v>0</v>
      </c>
      <c r="KL298">
        <v>0</v>
      </c>
      <c r="KM298">
        <v>0</v>
      </c>
      <c r="KN298">
        <v>0</v>
      </c>
      <c r="KO298">
        <v>0</v>
      </c>
      <c r="KP298">
        <v>0</v>
      </c>
      <c r="KQ298">
        <v>0</v>
      </c>
      <c r="KR298">
        <v>0</v>
      </c>
      <c r="KS298">
        <v>0</v>
      </c>
      <c r="KT298">
        <v>0</v>
      </c>
      <c r="KU298">
        <v>0</v>
      </c>
      <c r="KV298">
        <v>0</v>
      </c>
      <c r="KW298">
        <v>0</v>
      </c>
      <c r="KX298">
        <v>0</v>
      </c>
      <c r="KY298">
        <v>0</v>
      </c>
      <c r="KZ298">
        <v>0</v>
      </c>
      <c r="LA298">
        <v>0</v>
      </c>
      <c r="LB298">
        <v>0</v>
      </c>
      <c r="LC298">
        <v>0</v>
      </c>
      <c r="LD298">
        <v>0</v>
      </c>
      <c r="LE298">
        <v>0</v>
      </c>
      <c r="LF298">
        <v>0</v>
      </c>
      <c r="LG298">
        <v>0</v>
      </c>
      <c r="LH298">
        <v>0</v>
      </c>
      <c r="LI298">
        <v>0</v>
      </c>
      <c r="LJ298">
        <v>0</v>
      </c>
      <c r="LK298">
        <v>0</v>
      </c>
      <c r="LL298">
        <v>0</v>
      </c>
      <c r="LM298">
        <v>0</v>
      </c>
      <c r="LN298">
        <v>0</v>
      </c>
      <c r="LO298">
        <v>0</v>
      </c>
      <c r="LP298">
        <v>0</v>
      </c>
      <c r="LQ298">
        <v>0</v>
      </c>
      <c r="LR298">
        <v>0</v>
      </c>
      <c r="LS298">
        <v>0</v>
      </c>
      <c r="LT298">
        <v>0</v>
      </c>
      <c r="LU298">
        <v>0</v>
      </c>
      <c r="LV298">
        <v>0</v>
      </c>
      <c r="LW298">
        <v>0</v>
      </c>
      <c r="LX298">
        <v>0</v>
      </c>
      <c r="LY298">
        <v>0</v>
      </c>
      <c r="LZ298">
        <v>0</v>
      </c>
      <c r="MA298">
        <v>0</v>
      </c>
      <c r="MB298">
        <v>0</v>
      </c>
      <c r="MC298">
        <v>0</v>
      </c>
      <c r="MD298">
        <v>0</v>
      </c>
      <c r="ME298">
        <v>0</v>
      </c>
      <c r="MF298">
        <v>0</v>
      </c>
      <c r="MG298">
        <v>0</v>
      </c>
      <c r="MH298">
        <v>0</v>
      </c>
      <c r="MI298">
        <v>0</v>
      </c>
      <c r="MJ298">
        <v>0</v>
      </c>
      <c r="MK298">
        <v>0</v>
      </c>
      <c r="ML298">
        <v>0</v>
      </c>
      <c r="MM298">
        <v>0</v>
      </c>
      <c r="MN298">
        <v>0</v>
      </c>
      <c r="MO298">
        <v>0</v>
      </c>
      <c r="MP298">
        <v>0</v>
      </c>
      <c r="MQ298">
        <v>0</v>
      </c>
      <c r="MR298">
        <v>0</v>
      </c>
      <c r="MS298">
        <v>0</v>
      </c>
      <c r="MT298">
        <v>0</v>
      </c>
      <c r="MU298">
        <v>0</v>
      </c>
      <c r="MV298">
        <v>0</v>
      </c>
      <c r="MW298">
        <v>0</v>
      </c>
      <c r="MX298">
        <v>0</v>
      </c>
      <c r="MY298">
        <v>0</v>
      </c>
      <c r="MZ298">
        <v>0</v>
      </c>
      <c r="NA298">
        <v>0</v>
      </c>
      <c r="NB298">
        <v>0</v>
      </c>
      <c r="NC298">
        <v>0</v>
      </c>
      <c r="ND298">
        <v>0</v>
      </c>
      <c r="NE298">
        <v>0</v>
      </c>
    </row>
    <row r="299" spans="41:369" x14ac:dyDescent="0.45">
      <c r="AO299" t="str">
        <v>D175</v>
      </c>
      <c r="AP299" t="str">
        <v>AKBAR P</v>
      </c>
      <c r="AQ299" t="str">
        <v>FANT</v>
      </c>
      <c r="AR299" t="str">
        <v>SUPER SENIOR</v>
      </c>
      <c r="AS299">
        <v>10</v>
      </c>
      <c r="AT299">
        <v>18</v>
      </c>
      <c r="AU299">
        <v>0</v>
      </c>
      <c r="AV299">
        <v>18</v>
      </c>
      <c r="AW299">
        <v>18</v>
      </c>
      <c r="AX299">
        <v>81</v>
      </c>
      <c r="AY299" s="5">
        <v>81</v>
      </c>
      <c r="AZ299">
        <v>0</v>
      </c>
      <c r="BA299">
        <v>0</v>
      </c>
      <c r="BB299">
        <v>0</v>
      </c>
      <c r="BC299">
        <v>0</v>
      </c>
      <c r="BD299">
        <v>0</v>
      </c>
      <c r="BE299">
        <v>0</v>
      </c>
      <c r="BF299">
        <v>0</v>
      </c>
      <c r="BG299">
        <v>0</v>
      </c>
      <c r="BH299">
        <v>0</v>
      </c>
      <c r="BI299" t="str">
        <v/>
      </c>
      <c r="BK299">
        <v>293</v>
      </c>
      <c r="BL299">
        <v>0</v>
      </c>
      <c r="BM299">
        <v>0</v>
      </c>
      <c r="BN299">
        <v>0</v>
      </c>
      <c r="BO299">
        <v>0</v>
      </c>
      <c r="BP299">
        <v>0</v>
      </c>
      <c r="BQ299">
        <v>0</v>
      </c>
      <c r="BR299">
        <v>0</v>
      </c>
      <c r="BS299">
        <v>0</v>
      </c>
      <c r="BT299">
        <v>0</v>
      </c>
      <c r="BU299">
        <v>0</v>
      </c>
      <c r="BV299">
        <v>0</v>
      </c>
      <c r="BW299">
        <v>0</v>
      </c>
      <c r="BX299">
        <v>0</v>
      </c>
      <c r="BY299">
        <v>0</v>
      </c>
      <c r="BZ299">
        <v>0</v>
      </c>
      <c r="CA299">
        <v>0</v>
      </c>
      <c r="CB299">
        <v>0</v>
      </c>
      <c r="CC299">
        <v>0</v>
      </c>
      <c r="CD299">
        <v>0</v>
      </c>
      <c r="CE299">
        <v>0</v>
      </c>
      <c r="CF299">
        <v>0</v>
      </c>
      <c r="CG299">
        <v>0</v>
      </c>
      <c r="CH299">
        <v>0</v>
      </c>
      <c r="CI299">
        <v>0</v>
      </c>
      <c r="CJ299">
        <v>0</v>
      </c>
      <c r="CK299">
        <v>0</v>
      </c>
      <c r="CL299">
        <v>0</v>
      </c>
      <c r="CM299">
        <v>0</v>
      </c>
      <c r="CN299">
        <v>0</v>
      </c>
      <c r="CO299">
        <v>0</v>
      </c>
      <c r="CP299">
        <v>0</v>
      </c>
      <c r="CQ299">
        <v>0</v>
      </c>
      <c r="CR299">
        <v>0</v>
      </c>
      <c r="CS299">
        <v>0</v>
      </c>
      <c r="CT299">
        <v>0</v>
      </c>
      <c r="CU299">
        <v>0</v>
      </c>
      <c r="CV299">
        <v>0</v>
      </c>
      <c r="CW299">
        <v>0</v>
      </c>
      <c r="CX299">
        <v>0</v>
      </c>
      <c r="CY299">
        <v>0</v>
      </c>
      <c r="CZ299">
        <v>0</v>
      </c>
      <c r="DA299">
        <v>0</v>
      </c>
      <c r="DB299">
        <v>0</v>
      </c>
      <c r="DC299">
        <v>0</v>
      </c>
      <c r="DD299">
        <v>0</v>
      </c>
      <c r="DE299">
        <v>0</v>
      </c>
      <c r="DF299">
        <v>0</v>
      </c>
      <c r="DG299">
        <v>0</v>
      </c>
      <c r="DH299">
        <v>0</v>
      </c>
      <c r="DI299">
        <v>0</v>
      </c>
      <c r="DJ299">
        <v>0</v>
      </c>
      <c r="DK299">
        <v>0</v>
      </c>
      <c r="DL299">
        <v>0</v>
      </c>
      <c r="DM299">
        <v>0</v>
      </c>
      <c r="DN299">
        <v>0</v>
      </c>
      <c r="DO299">
        <v>0</v>
      </c>
      <c r="DP299">
        <v>0</v>
      </c>
      <c r="DQ299">
        <v>0</v>
      </c>
      <c r="DR299">
        <v>0</v>
      </c>
      <c r="DS299">
        <v>0</v>
      </c>
      <c r="DT299">
        <v>0</v>
      </c>
      <c r="DU299">
        <v>0</v>
      </c>
      <c r="DV299">
        <v>0</v>
      </c>
      <c r="DW299">
        <v>0</v>
      </c>
      <c r="DX299">
        <v>0</v>
      </c>
      <c r="DY299">
        <v>0</v>
      </c>
      <c r="DZ299">
        <v>0</v>
      </c>
      <c r="EA299">
        <v>0</v>
      </c>
      <c r="EB299">
        <v>0</v>
      </c>
      <c r="EC299">
        <v>0</v>
      </c>
      <c r="ED299">
        <v>0</v>
      </c>
      <c r="EE299">
        <v>0</v>
      </c>
      <c r="EF299">
        <v>0</v>
      </c>
      <c r="EG299">
        <v>0</v>
      </c>
      <c r="EH299">
        <v>0</v>
      </c>
      <c r="EI299">
        <v>0</v>
      </c>
      <c r="EJ299">
        <v>0</v>
      </c>
      <c r="EK299">
        <v>0</v>
      </c>
      <c r="EL299">
        <v>0</v>
      </c>
      <c r="EM299">
        <v>0</v>
      </c>
      <c r="EN299">
        <v>0</v>
      </c>
      <c r="EO299">
        <v>0</v>
      </c>
      <c r="EP299">
        <v>0</v>
      </c>
      <c r="EQ299">
        <v>0</v>
      </c>
      <c r="ER299">
        <v>0</v>
      </c>
      <c r="ES299">
        <v>0</v>
      </c>
      <c r="ET299">
        <v>0</v>
      </c>
      <c r="EU299">
        <v>0</v>
      </c>
      <c r="EV299">
        <v>0</v>
      </c>
      <c r="EW299">
        <v>0</v>
      </c>
      <c r="EX299">
        <v>0</v>
      </c>
      <c r="EY299">
        <v>0</v>
      </c>
      <c r="EZ299">
        <v>0</v>
      </c>
      <c r="FA299">
        <v>0</v>
      </c>
      <c r="FB299">
        <v>0</v>
      </c>
      <c r="FC299">
        <v>0</v>
      </c>
      <c r="FD299">
        <v>0</v>
      </c>
      <c r="FE299">
        <v>0</v>
      </c>
      <c r="FF299">
        <v>0</v>
      </c>
      <c r="FG299">
        <v>0</v>
      </c>
      <c r="FH299">
        <v>0</v>
      </c>
      <c r="FI299">
        <v>0</v>
      </c>
      <c r="FJ299">
        <v>0</v>
      </c>
      <c r="FK299">
        <v>0</v>
      </c>
      <c r="FL299">
        <v>0</v>
      </c>
      <c r="FM299">
        <v>0</v>
      </c>
      <c r="FN299">
        <v>0</v>
      </c>
      <c r="FO299">
        <v>0</v>
      </c>
      <c r="FP299">
        <v>0</v>
      </c>
      <c r="FQ299">
        <v>0</v>
      </c>
      <c r="FR299">
        <v>0</v>
      </c>
      <c r="FS299">
        <v>0</v>
      </c>
      <c r="FT299">
        <v>0</v>
      </c>
      <c r="FU299">
        <v>0</v>
      </c>
      <c r="FV299">
        <v>0</v>
      </c>
      <c r="FW299">
        <v>0</v>
      </c>
      <c r="FX299">
        <v>0</v>
      </c>
      <c r="FY299">
        <v>0</v>
      </c>
      <c r="FZ299">
        <v>0</v>
      </c>
      <c r="GA299">
        <v>0</v>
      </c>
      <c r="GB299">
        <v>0</v>
      </c>
      <c r="GC299">
        <v>0</v>
      </c>
      <c r="GD299">
        <v>0</v>
      </c>
      <c r="GE299">
        <v>0</v>
      </c>
      <c r="GF299">
        <v>0</v>
      </c>
      <c r="GG299">
        <v>0</v>
      </c>
      <c r="GH299">
        <v>0</v>
      </c>
      <c r="GI299">
        <v>0</v>
      </c>
      <c r="GJ299">
        <v>0</v>
      </c>
      <c r="GK299">
        <v>0</v>
      </c>
      <c r="GL299">
        <v>0</v>
      </c>
      <c r="GM299">
        <v>0</v>
      </c>
      <c r="GN299">
        <v>0</v>
      </c>
      <c r="GO299">
        <v>0</v>
      </c>
      <c r="GP299">
        <v>0</v>
      </c>
      <c r="GQ299">
        <v>0</v>
      </c>
      <c r="GR299">
        <v>0</v>
      </c>
      <c r="GS299">
        <v>0</v>
      </c>
      <c r="GT299">
        <v>0</v>
      </c>
      <c r="GU299">
        <v>0</v>
      </c>
      <c r="GV299">
        <v>0</v>
      </c>
      <c r="GW299">
        <v>0</v>
      </c>
      <c r="GX299">
        <v>0</v>
      </c>
      <c r="GY299">
        <v>0</v>
      </c>
      <c r="GZ299">
        <v>0</v>
      </c>
      <c r="HA299">
        <v>0</v>
      </c>
      <c r="HB299">
        <v>0</v>
      </c>
      <c r="HC299">
        <v>0</v>
      </c>
      <c r="HD299">
        <v>0</v>
      </c>
      <c r="HE299">
        <v>0</v>
      </c>
      <c r="HF299">
        <v>0</v>
      </c>
      <c r="HG299">
        <v>0</v>
      </c>
      <c r="HH299">
        <v>0</v>
      </c>
      <c r="HI299">
        <v>0</v>
      </c>
      <c r="HJ299">
        <v>0</v>
      </c>
      <c r="HK299">
        <v>0</v>
      </c>
      <c r="HL299">
        <v>0</v>
      </c>
      <c r="HM299">
        <v>0</v>
      </c>
      <c r="HN299">
        <v>0</v>
      </c>
      <c r="HO299">
        <v>0</v>
      </c>
      <c r="HP299">
        <v>0</v>
      </c>
      <c r="HQ299">
        <v>0</v>
      </c>
      <c r="HR299">
        <v>0</v>
      </c>
      <c r="HS299">
        <v>0</v>
      </c>
      <c r="HT299">
        <v>0</v>
      </c>
      <c r="HU299">
        <v>0</v>
      </c>
      <c r="HV299">
        <v>0</v>
      </c>
      <c r="HW299">
        <v>0</v>
      </c>
      <c r="HX299">
        <v>0</v>
      </c>
      <c r="HY299">
        <v>0</v>
      </c>
      <c r="HZ299">
        <v>0</v>
      </c>
      <c r="IA299">
        <v>0</v>
      </c>
      <c r="IB299">
        <v>0</v>
      </c>
      <c r="IC299">
        <v>0</v>
      </c>
      <c r="ID299">
        <v>0</v>
      </c>
      <c r="IE299">
        <v>0</v>
      </c>
      <c r="IF299">
        <v>0</v>
      </c>
      <c r="IG299">
        <v>0</v>
      </c>
      <c r="IH299">
        <v>0</v>
      </c>
      <c r="II299">
        <v>0</v>
      </c>
      <c r="IJ299">
        <v>0</v>
      </c>
      <c r="IK299">
        <v>0</v>
      </c>
      <c r="IL299">
        <v>0</v>
      </c>
      <c r="IM299">
        <v>0</v>
      </c>
      <c r="IN299">
        <v>0</v>
      </c>
      <c r="IO299">
        <v>0</v>
      </c>
      <c r="IP299">
        <v>0</v>
      </c>
      <c r="IQ299">
        <v>0</v>
      </c>
      <c r="IR299">
        <v>0</v>
      </c>
      <c r="IS299">
        <v>0</v>
      </c>
      <c r="IT299">
        <v>0</v>
      </c>
      <c r="IU299">
        <v>0</v>
      </c>
      <c r="IV299">
        <v>0</v>
      </c>
      <c r="IW299">
        <v>0</v>
      </c>
      <c r="IX299">
        <v>0</v>
      </c>
      <c r="IY299">
        <v>0</v>
      </c>
      <c r="IZ299">
        <v>0</v>
      </c>
      <c r="JA299">
        <v>0</v>
      </c>
      <c r="JB299">
        <v>0</v>
      </c>
      <c r="JC299">
        <v>0</v>
      </c>
      <c r="JD299">
        <v>0</v>
      </c>
      <c r="JE299">
        <v>0</v>
      </c>
      <c r="JF299">
        <v>0</v>
      </c>
      <c r="JG299">
        <v>0</v>
      </c>
      <c r="JH299">
        <v>0</v>
      </c>
      <c r="JI299">
        <v>0</v>
      </c>
      <c r="JJ299">
        <v>0</v>
      </c>
      <c r="JK299">
        <v>0</v>
      </c>
      <c r="JL299">
        <v>0</v>
      </c>
      <c r="JM299">
        <v>0</v>
      </c>
      <c r="JN299">
        <v>0</v>
      </c>
      <c r="JO299">
        <v>0</v>
      </c>
      <c r="JP299">
        <v>0</v>
      </c>
      <c r="JQ299">
        <v>0</v>
      </c>
      <c r="JR299">
        <v>0</v>
      </c>
      <c r="JS299">
        <v>0</v>
      </c>
      <c r="JT299">
        <v>0</v>
      </c>
      <c r="JU299">
        <v>0</v>
      </c>
      <c r="JV299">
        <v>0</v>
      </c>
      <c r="JW299">
        <v>0</v>
      </c>
      <c r="JX299">
        <v>0</v>
      </c>
      <c r="JY299">
        <v>0</v>
      </c>
      <c r="JZ299">
        <v>0</v>
      </c>
      <c r="KA299">
        <v>0</v>
      </c>
      <c r="KB299">
        <v>0</v>
      </c>
      <c r="KC299">
        <v>0</v>
      </c>
      <c r="KD299">
        <v>0</v>
      </c>
      <c r="KE299">
        <v>0</v>
      </c>
      <c r="KF299">
        <v>0</v>
      </c>
      <c r="KG299">
        <v>0</v>
      </c>
      <c r="KH299">
        <v>0</v>
      </c>
      <c r="KI299">
        <v>0</v>
      </c>
      <c r="KJ299">
        <v>0</v>
      </c>
      <c r="KK299">
        <v>0</v>
      </c>
      <c r="KL299">
        <v>0</v>
      </c>
      <c r="KM299">
        <v>0</v>
      </c>
      <c r="KN299">
        <v>0</v>
      </c>
      <c r="KO299">
        <v>0</v>
      </c>
      <c r="KP299">
        <v>0</v>
      </c>
      <c r="KQ299">
        <v>0</v>
      </c>
      <c r="KR299">
        <v>0</v>
      </c>
      <c r="KS299">
        <v>0</v>
      </c>
      <c r="KT299">
        <v>0</v>
      </c>
      <c r="KU299">
        <v>0</v>
      </c>
      <c r="KV299">
        <v>0</v>
      </c>
      <c r="KW299">
        <v>0</v>
      </c>
      <c r="KX299">
        <v>0</v>
      </c>
      <c r="KY299">
        <v>0</v>
      </c>
      <c r="KZ299">
        <v>0</v>
      </c>
      <c r="LA299">
        <v>0</v>
      </c>
      <c r="LB299">
        <v>0</v>
      </c>
      <c r="LC299">
        <v>0</v>
      </c>
      <c r="LD299">
        <v>0</v>
      </c>
      <c r="LE299">
        <v>0</v>
      </c>
      <c r="LF299">
        <v>0</v>
      </c>
      <c r="LG299">
        <v>0</v>
      </c>
      <c r="LH299">
        <v>0</v>
      </c>
      <c r="LI299">
        <v>0</v>
      </c>
      <c r="LJ299">
        <v>0</v>
      </c>
      <c r="LK299">
        <v>0</v>
      </c>
      <c r="LL299">
        <v>0</v>
      </c>
      <c r="LM299">
        <v>0</v>
      </c>
      <c r="LN299">
        <v>0</v>
      </c>
      <c r="LO299">
        <v>0</v>
      </c>
      <c r="LP299">
        <v>0</v>
      </c>
      <c r="LQ299">
        <v>0</v>
      </c>
      <c r="LR299">
        <v>0</v>
      </c>
      <c r="LS299">
        <v>0</v>
      </c>
      <c r="LT299">
        <v>0</v>
      </c>
      <c r="LU299">
        <v>0</v>
      </c>
      <c r="LV299">
        <v>0</v>
      </c>
      <c r="LW299">
        <v>0</v>
      </c>
      <c r="LX299">
        <v>0</v>
      </c>
      <c r="LY299">
        <v>0</v>
      </c>
      <c r="LZ299">
        <v>0</v>
      </c>
      <c r="MA299">
        <v>0</v>
      </c>
      <c r="MB299">
        <v>0</v>
      </c>
      <c r="MC299">
        <v>0</v>
      </c>
      <c r="MD299">
        <v>0</v>
      </c>
      <c r="ME299">
        <v>0</v>
      </c>
      <c r="MF299">
        <v>0</v>
      </c>
      <c r="MG299">
        <v>0</v>
      </c>
      <c r="MH299">
        <v>0</v>
      </c>
      <c r="MI299">
        <v>0</v>
      </c>
      <c r="MJ299">
        <v>0</v>
      </c>
      <c r="MK299">
        <v>0</v>
      </c>
      <c r="ML299">
        <v>0</v>
      </c>
      <c r="MM299">
        <v>0</v>
      </c>
      <c r="MN299">
        <v>0</v>
      </c>
      <c r="MO299">
        <v>0</v>
      </c>
      <c r="MP299">
        <v>0</v>
      </c>
      <c r="MQ299">
        <v>0</v>
      </c>
      <c r="MR299">
        <v>0</v>
      </c>
      <c r="MS299">
        <v>0</v>
      </c>
      <c r="MT299">
        <v>0</v>
      </c>
      <c r="MU299">
        <v>0</v>
      </c>
      <c r="MV299">
        <v>0</v>
      </c>
      <c r="MW299">
        <v>0</v>
      </c>
      <c r="MX299">
        <v>0</v>
      </c>
      <c r="MY299">
        <v>0</v>
      </c>
      <c r="MZ299">
        <v>0</v>
      </c>
      <c r="NA299">
        <v>0</v>
      </c>
      <c r="NB299">
        <v>0</v>
      </c>
      <c r="NC299">
        <v>0</v>
      </c>
      <c r="ND299">
        <v>0</v>
      </c>
      <c r="NE299">
        <v>0</v>
      </c>
    </row>
    <row r="300" spans="41:369" x14ac:dyDescent="0.45">
      <c r="AO300" t="str">
        <v>D176</v>
      </c>
      <c r="AP300" t="str">
        <v>MOHAMMED NASFAR AFNAN H</v>
      </c>
      <c r="AQ300" t="str">
        <v>JARF</v>
      </c>
      <c r="AR300" t="str">
        <v>SUPER SENIOR</v>
      </c>
      <c r="AS300">
        <v>10</v>
      </c>
      <c r="AT300">
        <v>0</v>
      </c>
      <c r="AU300">
        <v>0</v>
      </c>
      <c r="AV300">
        <v>0</v>
      </c>
      <c r="AW300">
        <v>0</v>
      </c>
      <c r="AX300">
        <v>255</v>
      </c>
      <c r="AY300" s="5">
        <v>255</v>
      </c>
      <c r="AZ300">
        <v>0</v>
      </c>
      <c r="BA300">
        <v>0</v>
      </c>
      <c r="BB300">
        <v>0</v>
      </c>
      <c r="BC300">
        <v>0</v>
      </c>
      <c r="BD300">
        <v>0</v>
      </c>
      <c r="BE300">
        <v>0</v>
      </c>
      <c r="BF300">
        <v>0</v>
      </c>
      <c r="BG300">
        <v>0</v>
      </c>
      <c r="BH300">
        <v>0</v>
      </c>
      <c r="BI300" t="str">
        <v/>
      </c>
      <c r="BK300">
        <v>294</v>
      </c>
      <c r="BL300">
        <v>0</v>
      </c>
      <c r="BM300">
        <v>0</v>
      </c>
      <c r="BN300">
        <v>0</v>
      </c>
      <c r="BO300">
        <v>0</v>
      </c>
      <c r="BP300">
        <v>0</v>
      </c>
      <c r="BQ300">
        <v>0</v>
      </c>
      <c r="BR300">
        <v>0</v>
      </c>
      <c r="BS300">
        <v>0</v>
      </c>
      <c r="BT300">
        <v>0</v>
      </c>
      <c r="BU300">
        <v>0</v>
      </c>
      <c r="BV300">
        <v>0</v>
      </c>
      <c r="BW300">
        <v>0</v>
      </c>
      <c r="BX300">
        <v>0</v>
      </c>
      <c r="BY300">
        <v>0</v>
      </c>
      <c r="BZ300">
        <v>0</v>
      </c>
      <c r="CA300">
        <v>0</v>
      </c>
      <c r="CB300">
        <v>0</v>
      </c>
      <c r="CC300">
        <v>0</v>
      </c>
      <c r="CD300">
        <v>0</v>
      </c>
      <c r="CE300">
        <v>0</v>
      </c>
      <c r="CF300">
        <v>0</v>
      </c>
      <c r="CG300">
        <v>0</v>
      </c>
      <c r="CH300">
        <v>0</v>
      </c>
      <c r="CI300">
        <v>0</v>
      </c>
      <c r="CJ300">
        <v>0</v>
      </c>
      <c r="CK300">
        <v>0</v>
      </c>
      <c r="CL300">
        <v>0</v>
      </c>
      <c r="CM300">
        <v>0</v>
      </c>
      <c r="CN300">
        <v>0</v>
      </c>
      <c r="CO300">
        <v>0</v>
      </c>
      <c r="CP300">
        <v>0</v>
      </c>
      <c r="CQ300">
        <v>0</v>
      </c>
      <c r="CR300">
        <v>0</v>
      </c>
      <c r="CS300">
        <v>0</v>
      </c>
      <c r="CT300">
        <v>0</v>
      </c>
      <c r="CU300">
        <v>0</v>
      </c>
      <c r="CV300">
        <v>0</v>
      </c>
      <c r="CW300">
        <v>0</v>
      </c>
      <c r="CX300">
        <v>0</v>
      </c>
      <c r="CY300">
        <v>0</v>
      </c>
      <c r="CZ300">
        <v>0</v>
      </c>
      <c r="DA300">
        <v>0</v>
      </c>
      <c r="DB300">
        <v>0</v>
      </c>
      <c r="DC300">
        <v>0</v>
      </c>
      <c r="DD300">
        <v>0</v>
      </c>
      <c r="DE300">
        <v>0</v>
      </c>
      <c r="DF300">
        <v>0</v>
      </c>
      <c r="DG300">
        <v>0</v>
      </c>
      <c r="DH300">
        <v>0</v>
      </c>
      <c r="DI300">
        <v>0</v>
      </c>
      <c r="DJ300">
        <v>0</v>
      </c>
      <c r="DK300">
        <v>0</v>
      </c>
      <c r="DL300">
        <v>0</v>
      </c>
      <c r="DM300">
        <v>0</v>
      </c>
      <c r="DN300">
        <v>0</v>
      </c>
      <c r="DO300">
        <v>0</v>
      </c>
      <c r="DP300">
        <v>0</v>
      </c>
      <c r="DQ300">
        <v>0</v>
      </c>
      <c r="DR300">
        <v>0</v>
      </c>
      <c r="DS300">
        <v>0</v>
      </c>
      <c r="DT300">
        <v>0</v>
      </c>
      <c r="DU300">
        <v>0</v>
      </c>
      <c r="DV300">
        <v>0</v>
      </c>
      <c r="DW300">
        <v>0</v>
      </c>
      <c r="DX300">
        <v>0</v>
      </c>
      <c r="DY300">
        <v>0</v>
      </c>
      <c r="DZ300">
        <v>0</v>
      </c>
      <c r="EA300">
        <v>0</v>
      </c>
      <c r="EB300">
        <v>0</v>
      </c>
      <c r="EC300">
        <v>0</v>
      </c>
      <c r="ED300">
        <v>0</v>
      </c>
      <c r="EE300">
        <v>0</v>
      </c>
      <c r="EF300">
        <v>0</v>
      </c>
      <c r="EG300">
        <v>0</v>
      </c>
      <c r="EH300">
        <v>0</v>
      </c>
      <c r="EI300">
        <v>0</v>
      </c>
      <c r="EJ300">
        <v>0</v>
      </c>
      <c r="EK300">
        <v>0</v>
      </c>
      <c r="EL300">
        <v>0</v>
      </c>
      <c r="EM300">
        <v>0</v>
      </c>
      <c r="EN300">
        <v>0</v>
      </c>
      <c r="EO300">
        <v>0</v>
      </c>
      <c r="EP300">
        <v>0</v>
      </c>
      <c r="EQ300">
        <v>0</v>
      </c>
      <c r="ER300">
        <v>0</v>
      </c>
      <c r="ES300">
        <v>0</v>
      </c>
      <c r="ET300">
        <v>0</v>
      </c>
      <c r="EU300">
        <v>0</v>
      </c>
      <c r="EV300">
        <v>0</v>
      </c>
      <c r="EW300">
        <v>0</v>
      </c>
      <c r="EX300">
        <v>0</v>
      </c>
      <c r="EY300">
        <v>0</v>
      </c>
      <c r="EZ300">
        <v>0</v>
      </c>
      <c r="FA300">
        <v>0</v>
      </c>
      <c r="FB300">
        <v>0</v>
      </c>
      <c r="FC300">
        <v>0</v>
      </c>
      <c r="FD300">
        <v>0</v>
      </c>
      <c r="FE300">
        <v>0</v>
      </c>
      <c r="FF300">
        <v>0</v>
      </c>
      <c r="FG300">
        <v>0</v>
      </c>
      <c r="FH300">
        <v>0</v>
      </c>
      <c r="FI300">
        <v>0</v>
      </c>
      <c r="FJ300">
        <v>0</v>
      </c>
      <c r="FK300">
        <v>0</v>
      </c>
      <c r="FL300">
        <v>0</v>
      </c>
      <c r="FM300">
        <v>0</v>
      </c>
      <c r="FN300">
        <v>0</v>
      </c>
      <c r="FO300">
        <v>0</v>
      </c>
      <c r="FP300">
        <v>0</v>
      </c>
      <c r="FQ300">
        <v>0</v>
      </c>
      <c r="FR300">
        <v>0</v>
      </c>
      <c r="FS300">
        <v>0</v>
      </c>
      <c r="FT300">
        <v>0</v>
      </c>
      <c r="FU300">
        <v>0</v>
      </c>
      <c r="FV300">
        <v>0</v>
      </c>
      <c r="FW300">
        <v>0</v>
      </c>
      <c r="FX300">
        <v>0</v>
      </c>
      <c r="FY300">
        <v>0</v>
      </c>
      <c r="FZ300">
        <v>0</v>
      </c>
      <c r="GA300">
        <v>0</v>
      </c>
      <c r="GB300">
        <v>0</v>
      </c>
      <c r="GC300">
        <v>0</v>
      </c>
      <c r="GD300">
        <v>0</v>
      </c>
      <c r="GE300">
        <v>0</v>
      </c>
      <c r="GF300">
        <v>0</v>
      </c>
      <c r="GG300">
        <v>0</v>
      </c>
      <c r="GH300">
        <v>0</v>
      </c>
      <c r="GI300">
        <v>0</v>
      </c>
      <c r="GJ300">
        <v>0</v>
      </c>
      <c r="GK300">
        <v>0</v>
      </c>
      <c r="GL300">
        <v>0</v>
      </c>
      <c r="GM300">
        <v>0</v>
      </c>
      <c r="GN300">
        <v>0</v>
      </c>
      <c r="GO300">
        <v>0</v>
      </c>
      <c r="GP300">
        <v>0</v>
      </c>
      <c r="GQ300">
        <v>0</v>
      </c>
      <c r="GR300">
        <v>0</v>
      </c>
      <c r="GS300">
        <v>0</v>
      </c>
      <c r="GT300">
        <v>0</v>
      </c>
      <c r="GU300">
        <v>0</v>
      </c>
      <c r="GV300">
        <v>0</v>
      </c>
      <c r="GW300">
        <v>0</v>
      </c>
      <c r="GX300">
        <v>0</v>
      </c>
      <c r="GY300">
        <v>0</v>
      </c>
      <c r="GZ300">
        <v>0</v>
      </c>
      <c r="HA300">
        <v>0</v>
      </c>
      <c r="HB300">
        <v>0</v>
      </c>
      <c r="HC300">
        <v>0</v>
      </c>
      <c r="HD300">
        <v>0</v>
      </c>
      <c r="HE300">
        <v>0</v>
      </c>
      <c r="HF300">
        <v>0</v>
      </c>
      <c r="HG300">
        <v>0</v>
      </c>
      <c r="HH300">
        <v>0</v>
      </c>
      <c r="HI300">
        <v>0</v>
      </c>
      <c r="HJ300">
        <v>0</v>
      </c>
      <c r="HK300">
        <v>0</v>
      </c>
      <c r="HL300">
        <v>0</v>
      </c>
      <c r="HM300">
        <v>0</v>
      </c>
      <c r="HN300">
        <v>0</v>
      </c>
      <c r="HO300">
        <v>0</v>
      </c>
      <c r="HP300">
        <v>0</v>
      </c>
      <c r="HQ300">
        <v>0</v>
      </c>
      <c r="HR300">
        <v>0</v>
      </c>
      <c r="HS300">
        <v>0</v>
      </c>
      <c r="HT300">
        <v>0</v>
      </c>
      <c r="HU300">
        <v>0</v>
      </c>
      <c r="HV300">
        <v>0</v>
      </c>
      <c r="HW300">
        <v>0</v>
      </c>
      <c r="HX300">
        <v>0</v>
      </c>
      <c r="HY300">
        <v>0</v>
      </c>
      <c r="HZ300">
        <v>0</v>
      </c>
      <c r="IA300">
        <v>0</v>
      </c>
      <c r="IB300">
        <v>0</v>
      </c>
      <c r="IC300">
        <v>0</v>
      </c>
      <c r="ID300">
        <v>0</v>
      </c>
      <c r="IE300">
        <v>0</v>
      </c>
      <c r="IF300">
        <v>0</v>
      </c>
      <c r="IG300">
        <v>0</v>
      </c>
      <c r="IH300">
        <v>0</v>
      </c>
      <c r="II300">
        <v>0</v>
      </c>
      <c r="IJ300">
        <v>0</v>
      </c>
      <c r="IK300">
        <v>0</v>
      </c>
      <c r="IL300">
        <v>0</v>
      </c>
      <c r="IM300">
        <v>0</v>
      </c>
      <c r="IN300">
        <v>0</v>
      </c>
      <c r="IO300">
        <v>0</v>
      </c>
      <c r="IP300">
        <v>0</v>
      </c>
      <c r="IQ300">
        <v>0</v>
      </c>
      <c r="IR300">
        <v>0</v>
      </c>
      <c r="IS300">
        <v>0</v>
      </c>
      <c r="IT300">
        <v>0</v>
      </c>
      <c r="IU300">
        <v>0</v>
      </c>
      <c r="IV300">
        <v>0</v>
      </c>
      <c r="IW300">
        <v>0</v>
      </c>
      <c r="IX300">
        <v>0</v>
      </c>
      <c r="IY300">
        <v>0</v>
      </c>
      <c r="IZ300">
        <v>0</v>
      </c>
      <c r="JA300">
        <v>0</v>
      </c>
      <c r="JB300">
        <v>0</v>
      </c>
      <c r="JC300">
        <v>0</v>
      </c>
      <c r="JD300">
        <v>0</v>
      </c>
      <c r="JE300">
        <v>0</v>
      </c>
      <c r="JF300">
        <v>0</v>
      </c>
      <c r="JG300">
        <v>0</v>
      </c>
      <c r="JH300">
        <v>0</v>
      </c>
      <c r="JI300">
        <v>0</v>
      </c>
      <c r="JJ300">
        <v>0</v>
      </c>
      <c r="JK300">
        <v>0</v>
      </c>
      <c r="JL300">
        <v>0</v>
      </c>
      <c r="JM300">
        <v>0</v>
      </c>
      <c r="JN300">
        <v>0</v>
      </c>
      <c r="JO300">
        <v>0</v>
      </c>
      <c r="JP300">
        <v>0</v>
      </c>
      <c r="JQ300">
        <v>0</v>
      </c>
      <c r="JR300">
        <v>0</v>
      </c>
      <c r="JS300">
        <v>0</v>
      </c>
      <c r="JT300">
        <v>0</v>
      </c>
      <c r="JU300">
        <v>0</v>
      </c>
      <c r="JV300">
        <v>0</v>
      </c>
      <c r="JW300">
        <v>0</v>
      </c>
      <c r="JX300">
        <v>0</v>
      </c>
      <c r="JY300">
        <v>0</v>
      </c>
      <c r="JZ300">
        <v>0</v>
      </c>
      <c r="KA300">
        <v>0</v>
      </c>
      <c r="KB300">
        <v>0</v>
      </c>
      <c r="KC300">
        <v>0</v>
      </c>
      <c r="KD300">
        <v>0</v>
      </c>
      <c r="KE300">
        <v>0</v>
      </c>
      <c r="KF300">
        <v>0</v>
      </c>
      <c r="KG300">
        <v>0</v>
      </c>
      <c r="KH300">
        <v>0</v>
      </c>
      <c r="KI300">
        <v>0</v>
      </c>
      <c r="KJ300">
        <v>0</v>
      </c>
      <c r="KK300">
        <v>0</v>
      </c>
      <c r="KL300">
        <v>0</v>
      </c>
      <c r="KM300">
        <v>0</v>
      </c>
      <c r="KN300">
        <v>0</v>
      </c>
      <c r="KO300">
        <v>0</v>
      </c>
      <c r="KP300">
        <v>0</v>
      </c>
      <c r="KQ300">
        <v>0</v>
      </c>
      <c r="KR300">
        <v>0</v>
      </c>
      <c r="KS300">
        <v>0</v>
      </c>
      <c r="KT300">
        <v>0</v>
      </c>
      <c r="KU300">
        <v>0</v>
      </c>
      <c r="KV300">
        <v>0</v>
      </c>
      <c r="KW300">
        <v>0</v>
      </c>
      <c r="KX300">
        <v>0</v>
      </c>
      <c r="KY300">
        <v>0</v>
      </c>
      <c r="KZ300">
        <v>0</v>
      </c>
      <c r="LA300">
        <v>0</v>
      </c>
      <c r="LB300">
        <v>0</v>
      </c>
      <c r="LC300">
        <v>0</v>
      </c>
      <c r="LD300">
        <v>0</v>
      </c>
      <c r="LE300">
        <v>0</v>
      </c>
      <c r="LF300">
        <v>0</v>
      </c>
      <c r="LG300">
        <v>0</v>
      </c>
      <c r="LH300">
        <v>0</v>
      </c>
      <c r="LI300">
        <v>0</v>
      </c>
      <c r="LJ300">
        <v>0</v>
      </c>
      <c r="LK300">
        <v>0</v>
      </c>
      <c r="LL300">
        <v>0</v>
      </c>
      <c r="LM300">
        <v>0</v>
      </c>
      <c r="LN300">
        <v>0</v>
      </c>
      <c r="LO300">
        <v>0</v>
      </c>
      <c r="LP300">
        <v>0</v>
      </c>
      <c r="LQ300">
        <v>0</v>
      </c>
      <c r="LR300">
        <v>0</v>
      </c>
      <c r="LS300">
        <v>0</v>
      </c>
      <c r="LT300">
        <v>0</v>
      </c>
      <c r="LU300">
        <v>0</v>
      </c>
      <c r="LV300">
        <v>0</v>
      </c>
      <c r="LW300">
        <v>0</v>
      </c>
      <c r="LX300">
        <v>0</v>
      </c>
      <c r="LY300">
        <v>0</v>
      </c>
      <c r="LZ300">
        <v>0</v>
      </c>
      <c r="MA300">
        <v>0</v>
      </c>
      <c r="MB300">
        <v>0</v>
      </c>
      <c r="MC300">
        <v>0</v>
      </c>
      <c r="MD300">
        <v>0</v>
      </c>
      <c r="ME300">
        <v>0</v>
      </c>
      <c r="MF300">
        <v>0</v>
      </c>
      <c r="MG300">
        <v>0</v>
      </c>
      <c r="MH300">
        <v>0</v>
      </c>
      <c r="MI300">
        <v>0</v>
      </c>
      <c r="MJ300">
        <v>0</v>
      </c>
      <c r="MK300">
        <v>0</v>
      </c>
      <c r="ML300">
        <v>0</v>
      </c>
      <c r="MM300">
        <v>0</v>
      </c>
      <c r="MN300">
        <v>0</v>
      </c>
      <c r="MO300">
        <v>0</v>
      </c>
      <c r="MP300">
        <v>0</v>
      </c>
      <c r="MQ300">
        <v>0</v>
      </c>
      <c r="MR300">
        <v>0</v>
      </c>
      <c r="MS300">
        <v>0</v>
      </c>
      <c r="MT300">
        <v>0</v>
      </c>
      <c r="MU300">
        <v>0</v>
      </c>
      <c r="MV300">
        <v>0</v>
      </c>
      <c r="MW300">
        <v>0</v>
      </c>
      <c r="MX300">
        <v>0</v>
      </c>
      <c r="MY300">
        <v>0</v>
      </c>
      <c r="MZ300">
        <v>0</v>
      </c>
      <c r="NA300">
        <v>0</v>
      </c>
      <c r="NB300">
        <v>0</v>
      </c>
      <c r="NC300">
        <v>0</v>
      </c>
      <c r="ND300">
        <v>0</v>
      </c>
      <c r="NE300">
        <v>0</v>
      </c>
    </row>
    <row r="301" spans="41:369" x14ac:dyDescent="0.45">
      <c r="AO301" t="str">
        <v>D177</v>
      </c>
      <c r="AP301" t="str">
        <v>SHAMEEM ABDULLA P.S</v>
      </c>
      <c r="AQ301" t="str">
        <v>FANT</v>
      </c>
      <c r="AR301" t="str">
        <v>SUPER SENIOR</v>
      </c>
      <c r="AS301">
        <v>10</v>
      </c>
      <c r="AT301">
        <v>51</v>
      </c>
      <c r="AU301">
        <v>0</v>
      </c>
      <c r="AV301">
        <v>51</v>
      </c>
      <c r="AW301">
        <v>51</v>
      </c>
      <c r="AX301">
        <v>13</v>
      </c>
      <c r="AY301" s="5">
        <v>13</v>
      </c>
      <c r="AZ301">
        <v>0</v>
      </c>
      <c r="BA301">
        <v>0</v>
      </c>
      <c r="BB301">
        <v>0</v>
      </c>
      <c r="BC301">
        <v>0</v>
      </c>
      <c r="BD301">
        <v>0</v>
      </c>
      <c r="BE301">
        <v>0</v>
      </c>
      <c r="BF301">
        <v>0</v>
      </c>
      <c r="BG301">
        <v>0</v>
      </c>
      <c r="BH301">
        <v>0</v>
      </c>
      <c r="BI301" t="str">
        <v/>
      </c>
      <c r="BK301">
        <v>295</v>
      </c>
      <c r="BL301">
        <v>0</v>
      </c>
      <c r="BM301">
        <v>0</v>
      </c>
      <c r="BN301">
        <v>0</v>
      </c>
      <c r="BO301">
        <v>0</v>
      </c>
      <c r="BP301">
        <v>0</v>
      </c>
      <c r="BQ301">
        <v>0</v>
      </c>
      <c r="BR301">
        <v>0</v>
      </c>
      <c r="BS301">
        <v>0</v>
      </c>
      <c r="BT301">
        <v>0</v>
      </c>
      <c r="BU301">
        <v>0</v>
      </c>
      <c r="BV301">
        <v>0</v>
      </c>
      <c r="BW301">
        <v>0</v>
      </c>
      <c r="BX301">
        <v>0</v>
      </c>
      <c r="BY301">
        <v>0</v>
      </c>
      <c r="BZ301">
        <v>0</v>
      </c>
      <c r="CA301">
        <v>0</v>
      </c>
      <c r="CB301">
        <v>0</v>
      </c>
      <c r="CC301">
        <v>0</v>
      </c>
      <c r="CD301">
        <v>0</v>
      </c>
      <c r="CE301">
        <v>0</v>
      </c>
      <c r="CF301">
        <v>0</v>
      </c>
      <c r="CG301">
        <v>0</v>
      </c>
      <c r="CH301">
        <v>0</v>
      </c>
      <c r="CI301">
        <v>0</v>
      </c>
      <c r="CJ301">
        <v>0</v>
      </c>
      <c r="CK301">
        <v>0</v>
      </c>
      <c r="CL301">
        <v>0</v>
      </c>
      <c r="CM301">
        <v>0</v>
      </c>
      <c r="CN301">
        <v>0</v>
      </c>
      <c r="CO301">
        <v>0</v>
      </c>
      <c r="CP301">
        <v>0</v>
      </c>
      <c r="CQ301">
        <v>0</v>
      </c>
      <c r="CR301">
        <v>0</v>
      </c>
      <c r="CS301">
        <v>0</v>
      </c>
      <c r="CT301">
        <v>0</v>
      </c>
      <c r="CU301">
        <v>0</v>
      </c>
      <c r="CV301">
        <v>0</v>
      </c>
      <c r="CW301">
        <v>0</v>
      </c>
      <c r="CX301">
        <v>0</v>
      </c>
      <c r="CY301">
        <v>0</v>
      </c>
      <c r="CZ301">
        <v>0</v>
      </c>
      <c r="DA301">
        <v>0</v>
      </c>
      <c r="DB301">
        <v>0</v>
      </c>
      <c r="DC301">
        <v>0</v>
      </c>
      <c r="DD301">
        <v>0</v>
      </c>
      <c r="DE301">
        <v>0</v>
      </c>
      <c r="DF301">
        <v>0</v>
      </c>
      <c r="DG301">
        <v>0</v>
      </c>
      <c r="DH301">
        <v>0</v>
      </c>
      <c r="DI301">
        <v>0</v>
      </c>
      <c r="DJ301">
        <v>0</v>
      </c>
      <c r="DK301">
        <v>0</v>
      </c>
      <c r="DL301">
        <v>0</v>
      </c>
      <c r="DM301">
        <v>0</v>
      </c>
      <c r="DN301">
        <v>0</v>
      </c>
      <c r="DO301">
        <v>0</v>
      </c>
      <c r="DP301">
        <v>0</v>
      </c>
      <c r="DQ301">
        <v>0</v>
      </c>
      <c r="DR301">
        <v>0</v>
      </c>
      <c r="DS301">
        <v>0</v>
      </c>
      <c r="DT301">
        <v>0</v>
      </c>
      <c r="DU301">
        <v>0</v>
      </c>
      <c r="DV301">
        <v>0</v>
      </c>
      <c r="DW301">
        <v>0</v>
      </c>
      <c r="DX301">
        <v>0</v>
      </c>
      <c r="DY301">
        <v>0</v>
      </c>
      <c r="DZ301">
        <v>0</v>
      </c>
      <c r="EA301">
        <v>0</v>
      </c>
      <c r="EB301">
        <v>0</v>
      </c>
      <c r="EC301">
        <v>0</v>
      </c>
      <c r="ED301">
        <v>0</v>
      </c>
      <c r="EE301">
        <v>0</v>
      </c>
      <c r="EF301">
        <v>0</v>
      </c>
      <c r="EG301">
        <v>0</v>
      </c>
      <c r="EH301">
        <v>0</v>
      </c>
      <c r="EI301">
        <v>0</v>
      </c>
      <c r="EJ301">
        <v>0</v>
      </c>
      <c r="EK301">
        <v>0</v>
      </c>
      <c r="EL301">
        <v>0</v>
      </c>
      <c r="EM301">
        <v>0</v>
      </c>
      <c r="EN301">
        <v>0</v>
      </c>
      <c r="EO301">
        <v>0</v>
      </c>
      <c r="EP301">
        <v>0</v>
      </c>
      <c r="EQ301">
        <v>0</v>
      </c>
      <c r="ER301">
        <v>0</v>
      </c>
      <c r="ES301">
        <v>0</v>
      </c>
      <c r="ET301">
        <v>0</v>
      </c>
      <c r="EU301">
        <v>0</v>
      </c>
      <c r="EV301">
        <v>0</v>
      </c>
      <c r="EW301">
        <v>0</v>
      </c>
      <c r="EX301">
        <v>0</v>
      </c>
      <c r="EY301">
        <v>0</v>
      </c>
      <c r="EZ301">
        <v>0</v>
      </c>
      <c r="FA301">
        <v>0</v>
      </c>
      <c r="FB301">
        <v>0</v>
      </c>
      <c r="FC301">
        <v>0</v>
      </c>
      <c r="FD301">
        <v>0</v>
      </c>
      <c r="FE301">
        <v>0</v>
      </c>
      <c r="FF301">
        <v>0</v>
      </c>
      <c r="FG301">
        <v>0</v>
      </c>
      <c r="FH301">
        <v>0</v>
      </c>
      <c r="FI301">
        <v>0</v>
      </c>
      <c r="FJ301">
        <v>0</v>
      </c>
      <c r="FK301">
        <v>0</v>
      </c>
      <c r="FL301">
        <v>0</v>
      </c>
      <c r="FM301">
        <v>0</v>
      </c>
      <c r="FN301">
        <v>0</v>
      </c>
      <c r="FO301">
        <v>0</v>
      </c>
      <c r="FP301">
        <v>0</v>
      </c>
      <c r="FQ301">
        <v>0</v>
      </c>
      <c r="FR301">
        <v>0</v>
      </c>
      <c r="FS301">
        <v>0</v>
      </c>
      <c r="FT301">
        <v>0</v>
      </c>
      <c r="FU301">
        <v>0</v>
      </c>
      <c r="FV301">
        <v>0</v>
      </c>
      <c r="FW301">
        <v>0</v>
      </c>
      <c r="FX301">
        <v>0</v>
      </c>
      <c r="FY301">
        <v>0</v>
      </c>
      <c r="FZ301">
        <v>0</v>
      </c>
      <c r="GA301">
        <v>0</v>
      </c>
      <c r="GB301">
        <v>0</v>
      </c>
      <c r="GC301">
        <v>0</v>
      </c>
      <c r="GD301">
        <v>0</v>
      </c>
      <c r="GE301">
        <v>0</v>
      </c>
      <c r="GF301">
        <v>0</v>
      </c>
      <c r="GG301">
        <v>0</v>
      </c>
      <c r="GH301">
        <v>0</v>
      </c>
      <c r="GI301">
        <v>0</v>
      </c>
      <c r="GJ301">
        <v>0</v>
      </c>
      <c r="GK301">
        <v>0</v>
      </c>
      <c r="GL301">
        <v>0</v>
      </c>
      <c r="GM301">
        <v>0</v>
      </c>
      <c r="GN301">
        <v>0</v>
      </c>
      <c r="GO301">
        <v>0</v>
      </c>
      <c r="GP301">
        <v>0</v>
      </c>
      <c r="GQ301">
        <v>0</v>
      </c>
      <c r="GR301">
        <v>0</v>
      </c>
      <c r="GS301">
        <v>0</v>
      </c>
      <c r="GT301">
        <v>0</v>
      </c>
      <c r="GU301">
        <v>0</v>
      </c>
      <c r="GV301">
        <v>0</v>
      </c>
      <c r="GW301">
        <v>0</v>
      </c>
      <c r="GX301">
        <v>0</v>
      </c>
      <c r="GY301">
        <v>0</v>
      </c>
      <c r="GZ301">
        <v>0</v>
      </c>
      <c r="HA301">
        <v>0</v>
      </c>
      <c r="HB301">
        <v>0</v>
      </c>
      <c r="HC301">
        <v>0</v>
      </c>
      <c r="HD301">
        <v>0</v>
      </c>
      <c r="HE301">
        <v>0</v>
      </c>
      <c r="HF301">
        <v>0</v>
      </c>
      <c r="HG301">
        <v>0</v>
      </c>
      <c r="HH301">
        <v>0</v>
      </c>
      <c r="HI301">
        <v>0</v>
      </c>
      <c r="HJ301">
        <v>0</v>
      </c>
      <c r="HK301">
        <v>0</v>
      </c>
      <c r="HL301">
        <v>0</v>
      </c>
      <c r="HM301">
        <v>0</v>
      </c>
      <c r="HN301">
        <v>0</v>
      </c>
      <c r="HO301">
        <v>0</v>
      </c>
      <c r="HP301">
        <v>0</v>
      </c>
      <c r="HQ301">
        <v>0</v>
      </c>
      <c r="HR301">
        <v>0</v>
      </c>
      <c r="HS301">
        <v>0</v>
      </c>
      <c r="HT301">
        <v>0</v>
      </c>
      <c r="HU301">
        <v>0</v>
      </c>
      <c r="HV301">
        <v>0</v>
      </c>
      <c r="HW301">
        <v>0</v>
      </c>
      <c r="HX301">
        <v>0</v>
      </c>
      <c r="HY301">
        <v>0</v>
      </c>
      <c r="HZ301">
        <v>0</v>
      </c>
      <c r="IA301">
        <v>0</v>
      </c>
      <c r="IB301">
        <v>0</v>
      </c>
      <c r="IC301">
        <v>0</v>
      </c>
      <c r="ID301">
        <v>0</v>
      </c>
      <c r="IE301">
        <v>0</v>
      </c>
      <c r="IF301">
        <v>0</v>
      </c>
      <c r="IG301">
        <v>0</v>
      </c>
      <c r="IH301">
        <v>0</v>
      </c>
      <c r="II301">
        <v>0</v>
      </c>
      <c r="IJ301">
        <v>0</v>
      </c>
      <c r="IK301">
        <v>0</v>
      </c>
      <c r="IL301">
        <v>0</v>
      </c>
      <c r="IM301">
        <v>0</v>
      </c>
      <c r="IN301">
        <v>0</v>
      </c>
      <c r="IO301">
        <v>0</v>
      </c>
      <c r="IP301">
        <v>0</v>
      </c>
      <c r="IQ301">
        <v>0</v>
      </c>
      <c r="IR301">
        <v>0</v>
      </c>
      <c r="IS301">
        <v>0</v>
      </c>
      <c r="IT301">
        <v>0</v>
      </c>
      <c r="IU301">
        <v>0</v>
      </c>
      <c r="IV301">
        <v>0</v>
      </c>
      <c r="IW301">
        <v>0</v>
      </c>
      <c r="IX301">
        <v>0</v>
      </c>
      <c r="IY301">
        <v>0</v>
      </c>
      <c r="IZ301">
        <v>0</v>
      </c>
      <c r="JA301">
        <v>0</v>
      </c>
      <c r="JB301">
        <v>0</v>
      </c>
      <c r="JC301">
        <v>0</v>
      </c>
      <c r="JD301">
        <v>0</v>
      </c>
      <c r="JE301">
        <v>0</v>
      </c>
      <c r="JF301">
        <v>0</v>
      </c>
      <c r="JG301">
        <v>0</v>
      </c>
      <c r="JH301">
        <v>0</v>
      </c>
      <c r="JI301">
        <v>0</v>
      </c>
      <c r="JJ301">
        <v>0</v>
      </c>
      <c r="JK301">
        <v>0</v>
      </c>
      <c r="JL301">
        <v>0</v>
      </c>
      <c r="JM301">
        <v>0</v>
      </c>
      <c r="JN301">
        <v>0</v>
      </c>
      <c r="JO301">
        <v>0</v>
      </c>
      <c r="JP301">
        <v>0</v>
      </c>
      <c r="JQ301">
        <v>0</v>
      </c>
      <c r="JR301">
        <v>0</v>
      </c>
      <c r="JS301">
        <v>0</v>
      </c>
      <c r="JT301">
        <v>0</v>
      </c>
      <c r="JU301">
        <v>0</v>
      </c>
      <c r="JV301">
        <v>0</v>
      </c>
      <c r="JW301">
        <v>0</v>
      </c>
      <c r="JX301">
        <v>0</v>
      </c>
      <c r="JY301">
        <v>0</v>
      </c>
      <c r="JZ301">
        <v>0</v>
      </c>
      <c r="KA301">
        <v>0</v>
      </c>
      <c r="KB301">
        <v>0</v>
      </c>
      <c r="KC301">
        <v>0</v>
      </c>
      <c r="KD301">
        <v>0</v>
      </c>
      <c r="KE301">
        <v>0</v>
      </c>
      <c r="KF301">
        <v>0</v>
      </c>
      <c r="KG301">
        <v>0</v>
      </c>
      <c r="KH301">
        <v>0</v>
      </c>
      <c r="KI301">
        <v>0</v>
      </c>
      <c r="KJ301">
        <v>0</v>
      </c>
      <c r="KK301">
        <v>0</v>
      </c>
      <c r="KL301">
        <v>0</v>
      </c>
      <c r="KM301">
        <v>0</v>
      </c>
      <c r="KN301">
        <v>0</v>
      </c>
      <c r="KO301">
        <v>0</v>
      </c>
      <c r="KP301">
        <v>0</v>
      </c>
      <c r="KQ301">
        <v>0</v>
      </c>
      <c r="KR301">
        <v>0</v>
      </c>
      <c r="KS301">
        <v>0</v>
      </c>
      <c r="KT301">
        <v>0</v>
      </c>
      <c r="KU301">
        <v>0</v>
      </c>
      <c r="KV301">
        <v>0</v>
      </c>
      <c r="KW301">
        <v>0</v>
      </c>
      <c r="KX301">
        <v>0</v>
      </c>
      <c r="KY301">
        <v>0</v>
      </c>
      <c r="KZ301">
        <v>0</v>
      </c>
      <c r="LA301">
        <v>0</v>
      </c>
      <c r="LB301">
        <v>0</v>
      </c>
      <c r="LC301">
        <v>0</v>
      </c>
      <c r="LD301">
        <v>0</v>
      </c>
      <c r="LE301">
        <v>0</v>
      </c>
      <c r="LF301">
        <v>0</v>
      </c>
      <c r="LG301">
        <v>0</v>
      </c>
      <c r="LH301">
        <v>0</v>
      </c>
      <c r="LI301">
        <v>0</v>
      </c>
      <c r="LJ301">
        <v>0</v>
      </c>
      <c r="LK301">
        <v>0</v>
      </c>
      <c r="LL301">
        <v>0</v>
      </c>
      <c r="LM301">
        <v>0</v>
      </c>
      <c r="LN301">
        <v>0</v>
      </c>
      <c r="LO301">
        <v>0</v>
      </c>
      <c r="LP301">
        <v>0</v>
      </c>
      <c r="LQ301">
        <v>0</v>
      </c>
      <c r="LR301">
        <v>0</v>
      </c>
      <c r="LS301">
        <v>0</v>
      </c>
      <c r="LT301">
        <v>0</v>
      </c>
      <c r="LU301">
        <v>0</v>
      </c>
      <c r="LV301">
        <v>0</v>
      </c>
      <c r="LW301">
        <v>0</v>
      </c>
      <c r="LX301">
        <v>0</v>
      </c>
      <c r="LY301">
        <v>0</v>
      </c>
      <c r="LZ301">
        <v>0</v>
      </c>
      <c r="MA301">
        <v>0</v>
      </c>
      <c r="MB301">
        <v>0</v>
      </c>
      <c r="MC301">
        <v>0</v>
      </c>
      <c r="MD301">
        <v>0</v>
      </c>
      <c r="ME301">
        <v>0</v>
      </c>
      <c r="MF301">
        <v>0</v>
      </c>
      <c r="MG301">
        <v>0</v>
      </c>
      <c r="MH301">
        <v>0</v>
      </c>
      <c r="MI301">
        <v>0</v>
      </c>
      <c r="MJ301">
        <v>0</v>
      </c>
      <c r="MK301">
        <v>0</v>
      </c>
      <c r="ML301">
        <v>0</v>
      </c>
      <c r="MM301">
        <v>0</v>
      </c>
      <c r="MN301">
        <v>0</v>
      </c>
      <c r="MO301">
        <v>0</v>
      </c>
      <c r="MP301">
        <v>0</v>
      </c>
      <c r="MQ301">
        <v>0</v>
      </c>
      <c r="MR301">
        <v>0</v>
      </c>
      <c r="MS301">
        <v>0</v>
      </c>
      <c r="MT301">
        <v>0</v>
      </c>
      <c r="MU301">
        <v>0</v>
      </c>
      <c r="MV301">
        <v>0</v>
      </c>
      <c r="MW301">
        <v>0</v>
      </c>
      <c r="MX301">
        <v>0</v>
      </c>
      <c r="MY301">
        <v>0</v>
      </c>
      <c r="MZ301">
        <v>0</v>
      </c>
      <c r="NA301">
        <v>0</v>
      </c>
      <c r="NB301">
        <v>0</v>
      </c>
      <c r="NC301">
        <v>0</v>
      </c>
      <c r="ND301">
        <v>0</v>
      </c>
      <c r="NE301">
        <v>0</v>
      </c>
    </row>
    <row r="302" spans="41:369" x14ac:dyDescent="0.45">
      <c r="AO302" t="str">
        <v>D178</v>
      </c>
      <c r="AP302" t="str">
        <v>AHMED BK</v>
      </c>
      <c r="AQ302" t="str">
        <v>BADF</v>
      </c>
      <c r="AR302" t="str">
        <v>SUPER SENIOR</v>
      </c>
      <c r="AS302">
        <v>10</v>
      </c>
      <c r="AT302">
        <v>31</v>
      </c>
      <c r="AU302">
        <v>0</v>
      </c>
      <c r="AV302">
        <v>31</v>
      </c>
      <c r="AW302">
        <v>31</v>
      </c>
      <c r="AX302">
        <v>42</v>
      </c>
      <c r="AY302" s="5">
        <v>42</v>
      </c>
      <c r="AZ302">
        <v>0</v>
      </c>
      <c r="BA302">
        <v>0</v>
      </c>
      <c r="BB302">
        <v>0</v>
      </c>
      <c r="BC302">
        <v>0</v>
      </c>
      <c r="BD302">
        <v>0</v>
      </c>
      <c r="BE302">
        <v>0</v>
      </c>
      <c r="BF302">
        <v>0</v>
      </c>
      <c r="BG302">
        <v>0</v>
      </c>
      <c r="BH302">
        <v>0</v>
      </c>
      <c r="BI302" t="str">
        <v/>
      </c>
      <c r="BK302">
        <v>296</v>
      </c>
      <c r="BL302">
        <v>0</v>
      </c>
      <c r="BM302">
        <v>0</v>
      </c>
      <c r="BN302">
        <v>0</v>
      </c>
      <c r="BO302">
        <v>0</v>
      </c>
      <c r="BP302">
        <v>0</v>
      </c>
      <c r="BQ302">
        <v>0</v>
      </c>
      <c r="BR302">
        <v>0</v>
      </c>
      <c r="BS302">
        <v>0</v>
      </c>
      <c r="BT302">
        <v>0</v>
      </c>
      <c r="BU302">
        <v>0</v>
      </c>
      <c r="BV302">
        <v>0</v>
      </c>
      <c r="BW302">
        <v>0</v>
      </c>
      <c r="BX302">
        <v>0</v>
      </c>
      <c r="BY302">
        <v>0</v>
      </c>
      <c r="BZ302">
        <v>0</v>
      </c>
      <c r="CA302">
        <v>0</v>
      </c>
      <c r="CB302">
        <v>0</v>
      </c>
      <c r="CC302">
        <v>0</v>
      </c>
      <c r="CD302">
        <v>0</v>
      </c>
      <c r="CE302">
        <v>0</v>
      </c>
      <c r="CF302">
        <v>0</v>
      </c>
      <c r="CG302">
        <v>0</v>
      </c>
      <c r="CH302">
        <v>0</v>
      </c>
      <c r="CI302">
        <v>0</v>
      </c>
      <c r="CJ302">
        <v>0</v>
      </c>
      <c r="CK302">
        <v>0</v>
      </c>
      <c r="CL302">
        <v>0</v>
      </c>
      <c r="CM302">
        <v>0</v>
      </c>
      <c r="CN302">
        <v>0</v>
      </c>
      <c r="CO302">
        <v>0</v>
      </c>
      <c r="CP302">
        <v>0</v>
      </c>
      <c r="CQ302">
        <v>0</v>
      </c>
      <c r="CR302">
        <v>0</v>
      </c>
      <c r="CS302">
        <v>0</v>
      </c>
      <c r="CT302">
        <v>0</v>
      </c>
      <c r="CU302">
        <v>0</v>
      </c>
      <c r="CV302">
        <v>0</v>
      </c>
      <c r="CW302">
        <v>0</v>
      </c>
      <c r="CX302">
        <v>0</v>
      </c>
      <c r="CY302">
        <v>0</v>
      </c>
      <c r="CZ302">
        <v>0</v>
      </c>
      <c r="DA302">
        <v>0</v>
      </c>
      <c r="DB302">
        <v>0</v>
      </c>
      <c r="DC302">
        <v>0</v>
      </c>
      <c r="DD302">
        <v>0</v>
      </c>
      <c r="DE302">
        <v>0</v>
      </c>
      <c r="DF302">
        <v>0</v>
      </c>
      <c r="DG302">
        <v>0</v>
      </c>
      <c r="DH302">
        <v>0</v>
      </c>
      <c r="DI302">
        <v>0</v>
      </c>
      <c r="DJ302">
        <v>0</v>
      </c>
      <c r="DK302">
        <v>0</v>
      </c>
      <c r="DL302">
        <v>0</v>
      </c>
      <c r="DM302">
        <v>0</v>
      </c>
      <c r="DN302">
        <v>0</v>
      </c>
      <c r="DO302">
        <v>0</v>
      </c>
      <c r="DP302">
        <v>0</v>
      </c>
      <c r="DQ302">
        <v>0</v>
      </c>
      <c r="DR302">
        <v>0</v>
      </c>
      <c r="DS302">
        <v>0</v>
      </c>
      <c r="DT302">
        <v>0</v>
      </c>
      <c r="DU302">
        <v>0</v>
      </c>
      <c r="DV302">
        <v>0</v>
      </c>
      <c r="DW302">
        <v>0</v>
      </c>
      <c r="DX302">
        <v>0</v>
      </c>
      <c r="DY302">
        <v>0</v>
      </c>
      <c r="DZ302">
        <v>0</v>
      </c>
      <c r="EA302">
        <v>0</v>
      </c>
      <c r="EB302">
        <v>0</v>
      </c>
      <c r="EC302">
        <v>0</v>
      </c>
      <c r="ED302">
        <v>0</v>
      </c>
      <c r="EE302">
        <v>0</v>
      </c>
      <c r="EF302">
        <v>0</v>
      </c>
      <c r="EG302">
        <v>0</v>
      </c>
      <c r="EH302">
        <v>0</v>
      </c>
      <c r="EI302">
        <v>0</v>
      </c>
      <c r="EJ302">
        <v>0</v>
      </c>
      <c r="EK302">
        <v>0</v>
      </c>
      <c r="EL302">
        <v>0</v>
      </c>
      <c r="EM302">
        <v>0</v>
      </c>
      <c r="EN302">
        <v>0</v>
      </c>
      <c r="EO302">
        <v>0</v>
      </c>
      <c r="EP302">
        <v>0</v>
      </c>
      <c r="EQ302">
        <v>0</v>
      </c>
      <c r="ER302">
        <v>0</v>
      </c>
      <c r="ES302">
        <v>0</v>
      </c>
      <c r="ET302">
        <v>0</v>
      </c>
      <c r="EU302">
        <v>0</v>
      </c>
      <c r="EV302">
        <v>0</v>
      </c>
      <c r="EW302">
        <v>0</v>
      </c>
      <c r="EX302">
        <v>0</v>
      </c>
      <c r="EY302">
        <v>0</v>
      </c>
      <c r="EZ302">
        <v>0</v>
      </c>
      <c r="FA302">
        <v>0</v>
      </c>
      <c r="FB302">
        <v>0</v>
      </c>
      <c r="FC302">
        <v>0</v>
      </c>
      <c r="FD302">
        <v>0</v>
      </c>
      <c r="FE302">
        <v>0</v>
      </c>
      <c r="FF302">
        <v>0</v>
      </c>
      <c r="FG302">
        <v>0</v>
      </c>
      <c r="FH302">
        <v>0</v>
      </c>
      <c r="FI302">
        <v>0</v>
      </c>
      <c r="FJ302">
        <v>0</v>
      </c>
      <c r="FK302">
        <v>0</v>
      </c>
      <c r="FL302">
        <v>0</v>
      </c>
      <c r="FM302">
        <v>0</v>
      </c>
      <c r="FN302">
        <v>0</v>
      </c>
      <c r="FO302">
        <v>0</v>
      </c>
      <c r="FP302">
        <v>0</v>
      </c>
      <c r="FQ302">
        <v>0</v>
      </c>
      <c r="FR302">
        <v>0</v>
      </c>
      <c r="FS302">
        <v>0</v>
      </c>
      <c r="FT302">
        <v>0</v>
      </c>
      <c r="FU302">
        <v>0</v>
      </c>
      <c r="FV302">
        <v>0</v>
      </c>
      <c r="FW302">
        <v>0</v>
      </c>
      <c r="FX302">
        <v>0</v>
      </c>
      <c r="FY302">
        <v>0</v>
      </c>
      <c r="FZ302">
        <v>0</v>
      </c>
      <c r="GA302">
        <v>0</v>
      </c>
      <c r="GB302">
        <v>0</v>
      </c>
      <c r="GC302">
        <v>0</v>
      </c>
      <c r="GD302">
        <v>0</v>
      </c>
      <c r="GE302">
        <v>0</v>
      </c>
      <c r="GF302">
        <v>0</v>
      </c>
      <c r="GG302">
        <v>0</v>
      </c>
      <c r="GH302">
        <v>0</v>
      </c>
      <c r="GI302">
        <v>0</v>
      </c>
      <c r="GJ302">
        <v>0</v>
      </c>
      <c r="GK302">
        <v>0</v>
      </c>
      <c r="GL302">
        <v>0</v>
      </c>
      <c r="GM302">
        <v>0</v>
      </c>
      <c r="GN302">
        <v>0</v>
      </c>
      <c r="GO302">
        <v>0</v>
      </c>
      <c r="GP302">
        <v>0</v>
      </c>
      <c r="GQ302">
        <v>0</v>
      </c>
      <c r="GR302">
        <v>0</v>
      </c>
      <c r="GS302">
        <v>0</v>
      </c>
      <c r="GT302">
        <v>0</v>
      </c>
      <c r="GU302">
        <v>0</v>
      </c>
      <c r="GV302">
        <v>0</v>
      </c>
      <c r="GW302">
        <v>0</v>
      </c>
      <c r="GX302">
        <v>0</v>
      </c>
      <c r="GY302">
        <v>0</v>
      </c>
      <c r="GZ302">
        <v>0</v>
      </c>
      <c r="HA302">
        <v>0</v>
      </c>
      <c r="HB302">
        <v>0</v>
      </c>
      <c r="HC302">
        <v>0</v>
      </c>
      <c r="HD302">
        <v>0</v>
      </c>
      <c r="HE302">
        <v>0</v>
      </c>
      <c r="HF302">
        <v>0</v>
      </c>
      <c r="HG302">
        <v>0</v>
      </c>
      <c r="HH302">
        <v>0</v>
      </c>
      <c r="HI302">
        <v>0</v>
      </c>
      <c r="HJ302">
        <v>0</v>
      </c>
      <c r="HK302">
        <v>0</v>
      </c>
      <c r="HL302">
        <v>0</v>
      </c>
      <c r="HM302">
        <v>0</v>
      </c>
      <c r="HN302">
        <v>0</v>
      </c>
      <c r="HO302">
        <v>0</v>
      </c>
      <c r="HP302">
        <v>0</v>
      </c>
      <c r="HQ302">
        <v>0</v>
      </c>
      <c r="HR302">
        <v>0</v>
      </c>
      <c r="HS302">
        <v>0</v>
      </c>
      <c r="HT302">
        <v>0</v>
      </c>
      <c r="HU302">
        <v>0</v>
      </c>
      <c r="HV302">
        <v>0</v>
      </c>
      <c r="HW302">
        <v>0</v>
      </c>
      <c r="HX302">
        <v>0</v>
      </c>
      <c r="HY302">
        <v>0</v>
      </c>
      <c r="HZ302">
        <v>0</v>
      </c>
      <c r="IA302">
        <v>0</v>
      </c>
      <c r="IB302">
        <v>0</v>
      </c>
      <c r="IC302">
        <v>0</v>
      </c>
      <c r="ID302">
        <v>0</v>
      </c>
      <c r="IE302">
        <v>0</v>
      </c>
      <c r="IF302">
        <v>0</v>
      </c>
      <c r="IG302">
        <v>0</v>
      </c>
      <c r="IH302">
        <v>0</v>
      </c>
      <c r="II302">
        <v>0</v>
      </c>
      <c r="IJ302">
        <v>0</v>
      </c>
      <c r="IK302">
        <v>0</v>
      </c>
      <c r="IL302">
        <v>0</v>
      </c>
      <c r="IM302">
        <v>0</v>
      </c>
      <c r="IN302">
        <v>0</v>
      </c>
      <c r="IO302">
        <v>0</v>
      </c>
      <c r="IP302">
        <v>0</v>
      </c>
      <c r="IQ302">
        <v>0</v>
      </c>
      <c r="IR302">
        <v>0</v>
      </c>
      <c r="IS302">
        <v>0</v>
      </c>
      <c r="IT302">
        <v>0</v>
      </c>
      <c r="IU302">
        <v>0</v>
      </c>
      <c r="IV302">
        <v>0</v>
      </c>
      <c r="IW302">
        <v>0</v>
      </c>
      <c r="IX302">
        <v>0</v>
      </c>
      <c r="IY302">
        <v>0</v>
      </c>
      <c r="IZ302">
        <v>0</v>
      </c>
      <c r="JA302">
        <v>0</v>
      </c>
      <c r="JB302">
        <v>0</v>
      </c>
      <c r="JC302">
        <v>0</v>
      </c>
      <c r="JD302">
        <v>0</v>
      </c>
      <c r="JE302">
        <v>0</v>
      </c>
      <c r="JF302">
        <v>0</v>
      </c>
      <c r="JG302">
        <v>0</v>
      </c>
      <c r="JH302">
        <v>0</v>
      </c>
      <c r="JI302">
        <v>0</v>
      </c>
      <c r="JJ302">
        <v>0</v>
      </c>
      <c r="JK302">
        <v>0</v>
      </c>
      <c r="JL302">
        <v>0</v>
      </c>
      <c r="JM302">
        <v>0</v>
      </c>
      <c r="JN302">
        <v>0</v>
      </c>
      <c r="JO302">
        <v>0</v>
      </c>
      <c r="JP302">
        <v>0</v>
      </c>
      <c r="JQ302">
        <v>0</v>
      </c>
      <c r="JR302">
        <v>0</v>
      </c>
      <c r="JS302">
        <v>0</v>
      </c>
      <c r="JT302">
        <v>0</v>
      </c>
      <c r="JU302">
        <v>0</v>
      </c>
      <c r="JV302">
        <v>0</v>
      </c>
      <c r="JW302">
        <v>0</v>
      </c>
      <c r="JX302">
        <v>0</v>
      </c>
      <c r="JY302">
        <v>0</v>
      </c>
      <c r="JZ302">
        <v>0</v>
      </c>
      <c r="KA302">
        <v>0</v>
      </c>
      <c r="KB302">
        <v>0</v>
      </c>
      <c r="KC302">
        <v>0</v>
      </c>
      <c r="KD302">
        <v>0</v>
      </c>
      <c r="KE302">
        <v>0</v>
      </c>
      <c r="KF302">
        <v>0</v>
      </c>
      <c r="KG302">
        <v>0</v>
      </c>
      <c r="KH302">
        <v>0</v>
      </c>
      <c r="KI302">
        <v>0</v>
      </c>
      <c r="KJ302">
        <v>0</v>
      </c>
      <c r="KK302">
        <v>0</v>
      </c>
      <c r="KL302">
        <v>0</v>
      </c>
      <c r="KM302">
        <v>0</v>
      </c>
      <c r="KN302">
        <v>0</v>
      </c>
      <c r="KO302">
        <v>0</v>
      </c>
      <c r="KP302">
        <v>0</v>
      </c>
      <c r="KQ302">
        <v>0</v>
      </c>
      <c r="KR302">
        <v>0</v>
      </c>
      <c r="KS302">
        <v>0</v>
      </c>
      <c r="KT302">
        <v>0</v>
      </c>
      <c r="KU302">
        <v>0</v>
      </c>
      <c r="KV302">
        <v>0</v>
      </c>
      <c r="KW302">
        <v>0</v>
      </c>
      <c r="KX302">
        <v>0</v>
      </c>
      <c r="KY302">
        <v>0</v>
      </c>
      <c r="KZ302">
        <v>0</v>
      </c>
      <c r="LA302">
        <v>0</v>
      </c>
      <c r="LB302">
        <v>0</v>
      </c>
      <c r="LC302">
        <v>0</v>
      </c>
      <c r="LD302">
        <v>0</v>
      </c>
      <c r="LE302">
        <v>0</v>
      </c>
      <c r="LF302">
        <v>0</v>
      </c>
      <c r="LG302">
        <v>0</v>
      </c>
      <c r="LH302">
        <v>0</v>
      </c>
      <c r="LI302">
        <v>0</v>
      </c>
      <c r="LJ302">
        <v>0</v>
      </c>
      <c r="LK302">
        <v>0</v>
      </c>
      <c r="LL302">
        <v>0</v>
      </c>
      <c r="LM302">
        <v>0</v>
      </c>
      <c r="LN302">
        <v>0</v>
      </c>
      <c r="LO302">
        <v>0</v>
      </c>
      <c r="LP302">
        <v>0</v>
      </c>
      <c r="LQ302">
        <v>0</v>
      </c>
      <c r="LR302">
        <v>0</v>
      </c>
      <c r="LS302">
        <v>0</v>
      </c>
      <c r="LT302">
        <v>0</v>
      </c>
      <c r="LU302">
        <v>0</v>
      </c>
      <c r="LV302">
        <v>0</v>
      </c>
      <c r="LW302">
        <v>0</v>
      </c>
      <c r="LX302">
        <v>0</v>
      </c>
      <c r="LY302">
        <v>0</v>
      </c>
      <c r="LZ302">
        <v>0</v>
      </c>
      <c r="MA302">
        <v>0</v>
      </c>
      <c r="MB302">
        <v>0</v>
      </c>
      <c r="MC302">
        <v>0</v>
      </c>
      <c r="MD302">
        <v>0</v>
      </c>
      <c r="ME302">
        <v>0</v>
      </c>
      <c r="MF302">
        <v>0</v>
      </c>
      <c r="MG302">
        <v>0</v>
      </c>
      <c r="MH302">
        <v>0</v>
      </c>
      <c r="MI302">
        <v>0</v>
      </c>
      <c r="MJ302">
        <v>0</v>
      </c>
      <c r="MK302">
        <v>0</v>
      </c>
      <c r="ML302">
        <v>0</v>
      </c>
      <c r="MM302">
        <v>0</v>
      </c>
      <c r="MN302">
        <v>0</v>
      </c>
      <c r="MO302">
        <v>0</v>
      </c>
      <c r="MP302">
        <v>0</v>
      </c>
      <c r="MQ302">
        <v>0</v>
      </c>
      <c r="MR302">
        <v>0</v>
      </c>
      <c r="MS302">
        <v>0</v>
      </c>
      <c r="MT302">
        <v>0</v>
      </c>
      <c r="MU302">
        <v>0</v>
      </c>
      <c r="MV302">
        <v>0</v>
      </c>
      <c r="MW302">
        <v>0</v>
      </c>
      <c r="MX302">
        <v>0</v>
      </c>
      <c r="MY302">
        <v>0</v>
      </c>
      <c r="MZ302">
        <v>0</v>
      </c>
      <c r="NA302">
        <v>0</v>
      </c>
      <c r="NB302">
        <v>0</v>
      </c>
      <c r="NC302">
        <v>0</v>
      </c>
      <c r="ND302">
        <v>0</v>
      </c>
      <c r="NE302">
        <v>0</v>
      </c>
    </row>
    <row r="303" spans="41:369" x14ac:dyDescent="0.45">
      <c r="AO303" t="str">
        <v>D179</v>
      </c>
      <c r="AP303" t="str">
        <v>MUHAMMED AKBAR NP</v>
      </c>
      <c r="AQ303" t="str">
        <v>DAHF</v>
      </c>
      <c r="AR303" t="str">
        <v>SUPER SENIOR</v>
      </c>
      <c r="AS303">
        <v>10</v>
      </c>
      <c r="AT303">
        <v>0</v>
      </c>
      <c r="AU303">
        <v>0</v>
      </c>
      <c r="AV303">
        <v>0</v>
      </c>
      <c r="AW303">
        <v>0</v>
      </c>
      <c r="AX303">
        <v>255</v>
      </c>
      <c r="AY303" s="5">
        <v>255</v>
      </c>
      <c r="AZ303">
        <v>0</v>
      </c>
      <c r="BA303">
        <v>0</v>
      </c>
      <c r="BB303">
        <v>0</v>
      </c>
      <c r="BC303">
        <v>0</v>
      </c>
      <c r="BD303">
        <v>0</v>
      </c>
      <c r="BE303">
        <v>0</v>
      </c>
      <c r="BF303">
        <v>0</v>
      </c>
      <c r="BG303">
        <v>0</v>
      </c>
      <c r="BH303">
        <v>0</v>
      </c>
      <c r="BI303" t="str">
        <v/>
      </c>
      <c r="BK303">
        <v>297</v>
      </c>
      <c r="BL303">
        <v>0</v>
      </c>
      <c r="BM303">
        <v>0</v>
      </c>
      <c r="BN303">
        <v>0</v>
      </c>
      <c r="BO303">
        <v>0</v>
      </c>
      <c r="BP303">
        <v>0</v>
      </c>
      <c r="BQ303">
        <v>0</v>
      </c>
      <c r="BR303">
        <v>0</v>
      </c>
      <c r="BS303">
        <v>0</v>
      </c>
      <c r="BT303">
        <v>0</v>
      </c>
      <c r="BU303">
        <v>0</v>
      </c>
      <c r="BV303">
        <v>0</v>
      </c>
      <c r="BW303">
        <v>0</v>
      </c>
      <c r="BX303">
        <v>0</v>
      </c>
      <c r="BY303">
        <v>0</v>
      </c>
      <c r="BZ303">
        <v>0</v>
      </c>
      <c r="CA303">
        <v>0</v>
      </c>
      <c r="CB303">
        <v>0</v>
      </c>
      <c r="CC303">
        <v>0</v>
      </c>
      <c r="CD303">
        <v>0</v>
      </c>
      <c r="CE303">
        <v>0</v>
      </c>
      <c r="CF303">
        <v>0</v>
      </c>
      <c r="CG303">
        <v>0</v>
      </c>
      <c r="CH303">
        <v>0</v>
      </c>
      <c r="CI303">
        <v>0</v>
      </c>
      <c r="CJ303">
        <v>0</v>
      </c>
      <c r="CK303">
        <v>0</v>
      </c>
      <c r="CL303">
        <v>0</v>
      </c>
      <c r="CM303">
        <v>0</v>
      </c>
      <c r="CN303">
        <v>0</v>
      </c>
      <c r="CO303">
        <v>0</v>
      </c>
      <c r="CP303">
        <v>0</v>
      </c>
      <c r="CQ303">
        <v>0</v>
      </c>
      <c r="CR303">
        <v>0</v>
      </c>
      <c r="CS303">
        <v>0</v>
      </c>
      <c r="CT303">
        <v>0</v>
      </c>
      <c r="CU303">
        <v>0</v>
      </c>
      <c r="CV303">
        <v>0</v>
      </c>
      <c r="CW303">
        <v>0</v>
      </c>
      <c r="CX303">
        <v>0</v>
      </c>
      <c r="CY303">
        <v>0</v>
      </c>
      <c r="CZ303">
        <v>0</v>
      </c>
      <c r="DA303">
        <v>0</v>
      </c>
      <c r="DB303">
        <v>0</v>
      </c>
      <c r="DC303">
        <v>0</v>
      </c>
      <c r="DD303">
        <v>0</v>
      </c>
      <c r="DE303">
        <v>0</v>
      </c>
      <c r="DF303">
        <v>0</v>
      </c>
      <c r="DG303">
        <v>0</v>
      </c>
      <c r="DH303">
        <v>0</v>
      </c>
      <c r="DI303">
        <v>0</v>
      </c>
      <c r="DJ303">
        <v>0</v>
      </c>
      <c r="DK303">
        <v>0</v>
      </c>
      <c r="DL303">
        <v>0</v>
      </c>
      <c r="DM303">
        <v>0</v>
      </c>
      <c r="DN303">
        <v>0</v>
      </c>
      <c r="DO303">
        <v>0</v>
      </c>
      <c r="DP303">
        <v>0</v>
      </c>
      <c r="DQ303">
        <v>0</v>
      </c>
      <c r="DR303">
        <v>0</v>
      </c>
      <c r="DS303">
        <v>0</v>
      </c>
      <c r="DT303">
        <v>0</v>
      </c>
      <c r="DU303">
        <v>0</v>
      </c>
      <c r="DV303">
        <v>0</v>
      </c>
      <c r="DW303">
        <v>0</v>
      </c>
      <c r="DX303">
        <v>0</v>
      </c>
      <c r="DY303">
        <v>0</v>
      </c>
      <c r="DZ303">
        <v>0</v>
      </c>
      <c r="EA303">
        <v>0</v>
      </c>
      <c r="EB303">
        <v>0</v>
      </c>
      <c r="EC303">
        <v>0</v>
      </c>
      <c r="ED303">
        <v>0</v>
      </c>
      <c r="EE303">
        <v>0</v>
      </c>
      <c r="EF303">
        <v>0</v>
      </c>
      <c r="EG303">
        <v>0</v>
      </c>
      <c r="EH303">
        <v>0</v>
      </c>
      <c r="EI303">
        <v>0</v>
      </c>
      <c r="EJ303">
        <v>0</v>
      </c>
      <c r="EK303">
        <v>0</v>
      </c>
      <c r="EL303">
        <v>0</v>
      </c>
      <c r="EM303">
        <v>0</v>
      </c>
      <c r="EN303">
        <v>0</v>
      </c>
      <c r="EO303">
        <v>0</v>
      </c>
      <c r="EP303">
        <v>0</v>
      </c>
      <c r="EQ303">
        <v>0</v>
      </c>
      <c r="ER303">
        <v>0</v>
      </c>
      <c r="ES303">
        <v>0</v>
      </c>
      <c r="ET303">
        <v>0</v>
      </c>
      <c r="EU303">
        <v>0</v>
      </c>
      <c r="EV303">
        <v>0</v>
      </c>
      <c r="EW303">
        <v>0</v>
      </c>
      <c r="EX303">
        <v>0</v>
      </c>
      <c r="EY303">
        <v>0</v>
      </c>
      <c r="EZ303">
        <v>0</v>
      </c>
      <c r="FA303">
        <v>0</v>
      </c>
      <c r="FB303">
        <v>0</v>
      </c>
      <c r="FC303">
        <v>0</v>
      </c>
      <c r="FD303">
        <v>0</v>
      </c>
      <c r="FE303">
        <v>0</v>
      </c>
      <c r="FF303">
        <v>0</v>
      </c>
      <c r="FG303">
        <v>0</v>
      </c>
      <c r="FH303">
        <v>0</v>
      </c>
      <c r="FI303">
        <v>0</v>
      </c>
      <c r="FJ303">
        <v>0</v>
      </c>
      <c r="FK303">
        <v>0</v>
      </c>
      <c r="FL303">
        <v>0</v>
      </c>
      <c r="FM303">
        <v>0</v>
      </c>
      <c r="FN303">
        <v>0</v>
      </c>
      <c r="FO303">
        <v>0</v>
      </c>
      <c r="FP303">
        <v>0</v>
      </c>
      <c r="FQ303">
        <v>0</v>
      </c>
      <c r="FR303">
        <v>0</v>
      </c>
      <c r="FS303">
        <v>0</v>
      </c>
      <c r="FT303">
        <v>0</v>
      </c>
      <c r="FU303">
        <v>0</v>
      </c>
      <c r="FV303">
        <v>0</v>
      </c>
      <c r="FW303">
        <v>0</v>
      </c>
      <c r="FX303">
        <v>0</v>
      </c>
      <c r="FY303">
        <v>0</v>
      </c>
      <c r="FZ303">
        <v>0</v>
      </c>
      <c r="GA303">
        <v>0</v>
      </c>
      <c r="GB303">
        <v>0</v>
      </c>
      <c r="GC303">
        <v>0</v>
      </c>
      <c r="GD303">
        <v>0</v>
      </c>
      <c r="GE303">
        <v>0</v>
      </c>
      <c r="GF303">
        <v>0</v>
      </c>
      <c r="GG303">
        <v>0</v>
      </c>
      <c r="GH303">
        <v>0</v>
      </c>
      <c r="GI303">
        <v>0</v>
      </c>
      <c r="GJ303">
        <v>0</v>
      </c>
      <c r="GK303">
        <v>0</v>
      </c>
      <c r="GL303">
        <v>0</v>
      </c>
      <c r="GM303">
        <v>0</v>
      </c>
      <c r="GN303">
        <v>0</v>
      </c>
      <c r="GO303">
        <v>0</v>
      </c>
      <c r="GP303">
        <v>0</v>
      </c>
      <c r="GQ303">
        <v>0</v>
      </c>
      <c r="GR303">
        <v>0</v>
      </c>
      <c r="GS303">
        <v>0</v>
      </c>
      <c r="GT303">
        <v>0</v>
      </c>
      <c r="GU303">
        <v>0</v>
      </c>
      <c r="GV303">
        <v>0</v>
      </c>
      <c r="GW303">
        <v>0</v>
      </c>
      <c r="GX303">
        <v>0</v>
      </c>
      <c r="GY303">
        <v>0</v>
      </c>
      <c r="GZ303">
        <v>0</v>
      </c>
      <c r="HA303">
        <v>0</v>
      </c>
      <c r="HB303">
        <v>0</v>
      </c>
      <c r="HC303">
        <v>0</v>
      </c>
      <c r="HD303">
        <v>0</v>
      </c>
      <c r="HE303">
        <v>0</v>
      </c>
      <c r="HF303">
        <v>0</v>
      </c>
      <c r="HG303">
        <v>0</v>
      </c>
      <c r="HH303">
        <v>0</v>
      </c>
      <c r="HI303">
        <v>0</v>
      </c>
      <c r="HJ303">
        <v>0</v>
      </c>
      <c r="HK303">
        <v>0</v>
      </c>
      <c r="HL303">
        <v>0</v>
      </c>
      <c r="HM303">
        <v>0</v>
      </c>
      <c r="HN303">
        <v>0</v>
      </c>
      <c r="HO303">
        <v>0</v>
      </c>
      <c r="HP303">
        <v>0</v>
      </c>
      <c r="HQ303">
        <v>0</v>
      </c>
      <c r="HR303">
        <v>0</v>
      </c>
      <c r="HS303">
        <v>0</v>
      </c>
      <c r="HT303">
        <v>0</v>
      </c>
      <c r="HU303">
        <v>0</v>
      </c>
      <c r="HV303">
        <v>0</v>
      </c>
      <c r="HW303">
        <v>0</v>
      </c>
      <c r="HX303">
        <v>0</v>
      </c>
      <c r="HY303">
        <v>0</v>
      </c>
      <c r="HZ303">
        <v>0</v>
      </c>
      <c r="IA303">
        <v>0</v>
      </c>
      <c r="IB303">
        <v>0</v>
      </c>
      <c r="IC303">
        <v>0</v>
      </c>
      <c r="ID303">
        <v>0</v>
      </c>
      <c r="IE303">
        <v>0</v>
      </c>
      <c r="IF303">
        <v>0</v>
      </c>
      <c r="IG303">
        <v>0</v>
      </c>
      <c r="IH303">
        <v>0</v>
      </c>
      <c r="II303">
        <v>0</v>
      </c>
      <c r="IJ303">
        <v>0</v>
      </c>
      <c r="IK303">
        <v>0</v>
      </c>
      <c r="IL303">
        <v>0</v>
      </c>
      <c r="IM303">
        <v>0</v>
      </c>
      <c r="IN303">
        <v>0</v>
      </c>
      <c r="IO303">
        <v>0</v>
      </c>
      <c r="IP303">
        <v>0</v>
      </c>
      <c r="IQ303">
        <v>0</v>
      </c>
      <c r="IR303">
        <v>0</v>
      </c>
      <c r="IS303">
        <v>0</v>
      </c>
      <c r="IT303">
        <v>0</v>
      </c>
      <c r="IU303">
        <v>0</v>
      </c>
      <c r="IV303">
        <v>0</v>
      </c>
      <c r="IW303">
        <v>0</v>
      </c>
      <c r="IX303">
        <v>0</v>
      </c>
      <c r="IY303">
        <v>0</v>
      </c>
      <c r="IZ303">
        <v>0</v>
      </c>
      <c r="JA303">
        <v>0</v>
      </c>
      <c r="JB303">
        <v>0</v>
      </c>
      <c r="JC303">
        <v>0</v>
      </c>
      <c r="JD303">
        <v>0</v>
      </c>
      <c r="JE303">
        <v>0</v>
      </c>
      <c r="JF303">
        <v>0</v>
      </c>
      <c r="JG303">
        <v>0</v>
      </c>
      <c r="JH303">
        <v>0</v>
      </c>
      <c r="JI303">
        <v>0</v>
      </c>
      <c r="JJ303">
        <v>0</v>
      </c>
      <c r="JK303">
        <v>0</v>
      </c>
      <c r="JL303">
        <v>0</v>
      </c>
      <c r="JM303">
        <v>0</v>
      </c>
      <c r="JN303">
        <v>0</v>
      </c>
      <c r="JO303">
        <v>0</v>
      </c>
      <c r="JP303">
        <v>0</v>
      </c>
      <c r="JQ303">
        <v>0</v>
      </c>
      <c r="JR303">
        <v>0</v>
      </c>
      <c r="JS303">
        <v>0</v>
      </c>
      <c r="JT303">
        <v>0</v>
      </c>
      <c r="JU303">
        <v>0</v>
      </c>
      <c r="JV303">
        <v>0</v>
      </c>
      <c r="JW303">
        <v>0</v>
      </c>
      <c r="JX303">
        <v>0</v>
      </c>
      <c r="JY303">
        <v>0</v>
      </c>
      <c r="JZ303">
        <v>0</v>
      </c>
      <c r="KA303">
        <v>0</v>
      </c>
      <c r="KB303">
        <v>0</v>
      </c>
      <c r="KC303">
        <v>0</v>
      </c>
      <c r="KD303">
        <v>0</v>
      </c>
      <c r="KE303">
        <v>0</v>
      </c>
      <c r="KF303">
        <v>0</v>
      </c>
      <c r="KG303">
        <v>0</v>
      </c>
      <c r="KH303">
        <v>0</v>
      </c>
      <c r="KI303">
        <v>0</v>
      </c>
      <c r="KJ303">
        <v>0</v>
      </c>
      <c r="KK303">
        <v>0</v>
      </c>
      <c r="KL303">
        <v>0</v>
      </c>
      <c r="KM303">
        <v>0</v>
      </c>
      <c r="KN303">
        <v>0</v>
      </c>
      <c r="KO303">
        <v>0</v>
      </c>
      <c r="KP303">
        <v>0</v>
      </c>
      <c r="KQ303">
        <v>0</v>
      </c>
      <c r="KR303">
        <v>0</v>
      </c>
      <c r="KS303">
        <v>0</v>
      </c>
      <c r="KT303">
        <v>0</v>
      </c>
      <c r="KU303">
        <v>0</v>
      </c>
      <c r="KV303">
        <v>0</v>
      </c>
      <c r="KW303">
        <v>0</v>
      </c>
      <c r="KX303">
        <v>0</v>
      </c>
      <c r="KY303">
        <v>0</v>
      </c>
      <c r="KZ303">
        <v>0</v>
      </c>
      <c r="LA303">
        <v>0</v>
      </c>
      <c r="LB303">
        <v>0</v>
      </c>
      <c r="LC303">
        <v>0</v>
      </c>
      <c r="LD303">
        <v>0</v>
      </c>
      <c r="LE303">
        <v>0</v>
      </c>
      <c r="LF303">
        <v>0</v>
      </c>
      <c r="LG303">
        <v>0</v>
      </c>
      <c r="LH303">
        <v>0</v>
      </c>
      <c r="LI303">
        <v>0</v>
      </c>
      <c r="LJ303">
        <v>0</v>
      </c>
      <c r="LK303">
        <v>0</v>
      </c>
      <c r="LL303">
        <v>0</v>
      </c>
      <c r="LM303">
        <v>0</v>
      </c>
      <c r="LN303">
        <v>0</v>
      </c>
      <c r="LO303">
        <v>0</v>
      </c>
      <c r="LP303">
        <v>0</v>
      </c>
      <c r="LQ303">
        <v>0</v>
      </c>
      <c r="LR303">
        <v>0</v>
      </c>
      <c r="LS303">
        <v>0</v>
      </c>
      <c r="LT303">
        <v>0</v>
      </c>
      <c r="LU303">
        <v>0</v>
      </c>
      <c r="LV303">
        <v>0</v>
      </c>
      <c r="LW303">
        <v>0</v>
      </c>
      <c r="LX303">
        <v>0</v>
      </c>
      <c r="LY303">
        <v>0</v>
      </c>
      <c r="LZ303">
        <v>0</v>
      </c>
      <c r="MA303">
        <v>0</v>
      </c>
      <c r="MB303">
        <v>0</v>
      </c>
      <c r="MC303">
        <v>0</v>
      </c>
      <c r="MD303">
        <v>0</v>
      </c>
      <c r="ME303">
        <v>0</v>
      </c>
      <c r="MF303">
        <v>0</v>
      </c>
      <c r="MG303">
        <v>0</v>
      </c>
      <c r="MH303">
        <v>0</v>
      </c>
      <c r="MI303">
        <v>0</v>
      </c>
      <c r="MJ303">
        <v>0</v>
      </c>
      <c r="MK303">
        <v>0</v>
      </c>
      <c r="ML303">
        <v>0</v>
      </c>
      <c r="MM303">
        <v>0</v>
      </c>
      <c r="MN303">
        <v>0</v>
      </c>
      <c r="MO303">
        <v>0</v>
      </c>
      <c r="MP303">
        <v>0</v>
      </c>
      <c r="MQ303">
        <v>0</v>
      </c>
      <c r="MR303">
        <v>0</v>
      </c>
      <c r="MS303">
        <v>0</v>
      </c>
      <c r="MT303">
        <v>0</v>
      </c>
      <c r="MU303">
        <v>0</v>
      </c>
      <c r="MV303">
        <v>0</v>
      </c>
      <c r="MW303">
        <v>0</v>
      </c>
      <c r="MX303">
        <v>0</v>
      </c>
      <c r="MY303">
        <v>0</v>
      </c>
      <c r="MZ303">
        <v>0</v>
      </c>
      <c r="NA303">
        <v>0</v>
      </c>
      <c r="NB303">
        <v>0</v>
      </c>
      <c r="NC303">
        <v>0</v>
      </c>
      <c r="ND303">
        <v>0</v>
      </c>
      <c r="NE303">
        <v>0</v>
      </c>
    </row>
    <row r="304" spans="41:369" x14ac:dyDescent="0.45">
      <c r="AO304" t="str">
        <v>D180</v>
      </c>
      <c r="AP304" t="str">
        <v>ATHIF ABDULKHADER</v>
      </c>
      <c r="AQ304" t="str">
        <v>FANT</v>
      </c>
      <c r="AR304" t="str">
        <v>SUPER SENIOR</v>
      </c>
      <c r="AS304">
        <v>10</v>
      </c>
      <c r="AT304">
        <v>0</v>
      </c>
      <c r="AU304">
        <v>0</v>
      </c>
      <c r="AV304">
        <v>0</v>
      </c>
      <c r="AW304">
        <v>0</v>
      </c>
      <c r="AX304">
        <v>255</v>
      </c>
      <c r="AY304" s="5">
        <v>255</v>
      </c>
      <c r="AZ304">
        <v>0</v>
      </c>
      <c r="BA304">
        <v>0</v>
      </c>
      <c r="BB304">
        <v>0</v>
      </c>
      <c r="BC304">
        <v>0</v>
      </c>
      <c r="BD304">
        <v>0</v>
      </c>
      <c r="BE304">
        <v>0</v>
      </c>
      <c r="BF304">
        <v>0</v>
      </c>
      <c r="BG304">
        <v>0</v>
      </c>
      <c r="BH304">
        <v>0</v>
      </c>
      <c r="BI304" t="str">
        <v/>
      </c>
      <c r="BK304">
        <v>298</v>
      </c>
      <c r="BL304">
        <v>0</v>
      </c>
      <c r="BM304">
        <v>0</v>
      </c>
      <c r="BN304">
        <v>0</v>
      </c>
      <c r="BO304">
        <v>0</v>
      </c>
      <c r="BP304">
        <v>0</v>
      </c>
      <c r="BQ304">
        <v>0</v>
      </c>
      <c r="BR304">
        <v>0</v>
      </c>
      <c r="BS304">
        <v>0</v>
      </c>
      <c r="BT304">
        <v>0</v>
      </c>
      <c r="BU304">
        <v>0</v>
      </c>
      <c r="BV304">
        <v>0</v>
      </c>
      <c r="BW304">
        <v>0</v>
      </c>
      <c r="BX304">
        <v>0</v>
      </c>
      <c r="BY304">
        <v>0</v>
      </c>
      <c r="BZ304">
        <v>0</v>
      </c>
      <c r="CA304">
        <v>0</v>
      </c>
      <c r="CB304">
        <v>0</v>
      </c>
      <c r="CC304">
        <v>0</v>
      </c>
      <c r="CD304">
        <v>0</v>
      </c>
      <c r="CE304">
        <v>0</v>
      </c>
      <c r="CF304">
        <v>0</v>
      </c>
      <c r="CG304">
        <v>0</v>
      </c>
      <c r="CH304">
        <v>0</v>
      </c>
      <c r="CI304">
        <v>0</v>
      </c>
      <c r="CJ304">
        <v>0</v>
      </c>
      <c r="CK304">
        <v>0</v>
      </c>
      <c r="CL304">
        <v>0</v>
      </c>
      <c r="CM304">
        <v>0</v>
      </c>
      <c r="CN304">
        <v>0</v>
      </c>
      <c r="CO304">
        <v>0</v>
      </c>
      <c r="CP304">
        <v>0</v>
      </c>
      <c r="CQ304">
        <v>0</v>
      </c>
      <c r="CR304">
        <v>0</v>
      </c>
      <c r="CS304">
        <v>0</v>
      </c>
      <c r="CT304">
        <v>0</v>
      </c>
      <c r="CU304">
        <v>0</v>
      </c>
      <c r="CV304">
        <v>0</v>
      </c>
      <c r="CW304">
        <v>0</v>
      </c>
      <c r="CX304">
        <v>0</v>
      </c>
      <c r="CY304">
        <v>0</v>
      </c>
      <c r="CZ304">
        <v>0</v>
      </c>
      <c r="DA304">
        <v>0</v>
      </c>
      <c r="DB304">
        <v>0</v>
      </c>
      <c r="DC304">
        <v>0</v>
      </c>
      <c r="DD304">
        <v>0</v>
      </c>
      <c r="DE304">
        <v>0</v>
      </c>
      <c r="DF304">
        <v>0</v>
      </c>
      <c r="DG304">
        <v>0</v>
      </c>
      <c r="DH304">
        <v>0</v>
      </c>
      <c r="DI304">
        <v>0</v>
      </c>
      <c r="DJ304">
        <v>0</v>
      </c>
      <c r="DK304">
        <v>0</v>
      </c>
      <c r="DL304">
        <v>0</v>
      </c>
      <c r="DM304">
        <v>0</v>
      </c>
      <c r="DN304">
        <v>0</v>
      </c>
      <c r="DO304">
        <v>0</v>
      </c>
      <c r="DP304">
        <v>0</v>
      </c>
      <c r="DQ304">
        <v>0</v>
      </c>
      <c r="DR304">
        <v>0</v>
      </c>
      <c r="DS304">
        <v>0</v>
      </c>
      <c r="DT304">
        <v>0</v>
      </c>
      <c r="DU304">
        <v>0</v>
      </c>
      <c r="DV304">
        <v>0</v>
      </c>
      <c r="DW304">
        <v>0</v>
      </c>
      <c r="DX304">
        <v>0</v>
      </c>
      <c r="DY304">
        <v>0</v>
      </c>
      <c r="DZ304">
        <v>0</v>
      </c>
      <c r="EA304">
        <v>0</v>
      </c>
      <c r="EB304">
        <v>0</v>
      </c>
      <c r="EC304">
        <v>0</v>
      </c>
      <c r="ED304">
        <v>0</v>
      </c>
      <c r="EE304">
        <v>0</v>
      </c>
      <c r="EF304">
        <v>0</v>
      </c>
      <c r="EG304">
        <v>0</v>
      </c>
      <c r="EH304">
        <v>0</v>
      </c>
      <c r="EI304">
        <v>0</v>
      </c>
      <c r="EJ304">
        <v>0</v>
      </c>
      <c r="EK304">
        <v>0</v>
      </c>
      <c r="EL304">
        <v>0</v>
      </c>
      <c r="EM304">
        <v>0</v>
      </c>
      <c r="EN304">
        <v>0</v>
      </c>
      <c r="EO304">
        <v>0</v>
      </c>
      <c r="EP304">
        <v>0</v>
      </c>
      <c r="EQ304">
        <v>0</v>
      </c>
      <c r="ER304">
        <v>0</v>
      </c>
      <c r="ES304">
        <v>0</v>
      </c>
      <c r="ET304">
        <v>0</v>
      </c>
      <c r="EU304">
        <v>0</v>
      </c>
      <c r="EV304">
        <v>0</v>
      </c>
      <c r="EW304">
        <v>0</v>
      </c>
      <c r="EX304">
        <v>0</v>
      </c>
      <c r="EY304">
        <v>0</v>
      </c>
      <c r="EZ304">
        <v>0</v>
      </c>
      <c r="FA304">
        <v>0</v>
      </c>
      <c r="FB304">
        <v>0</v>
      </c>
      <c r="FC304">
        <v>0</v>
      </c>
      <c r="FD304">
        <v>0</v>
      </c>
      <c r="FE304">
        <v>0</v>
      </c>
      <c r="FF304">
        <v>0</v>
      </c>
      <c r="FG304">
        <v>0</v>
      </c>
      <c r="FH304">
        <v>0</v>
      </c>
      <c r="FI304">
        <v>0</v>
      </c>
      <c r="FJ304">
        <v>0</v>
      </c>
      <c r="FK304">
        <v>0</v>
      </c>
      <c r="FL304">
        <v>0</v>
      </c>
      <c r="FM304">
        <v>0</v>
      </c>
      <c r="FN304">
        <v>0</v>
      </c>
      <c r="FO304">
        <v>0</v>
      </c>
      <c r="FP304">
        <v>0</v>
      </c>
      <c r="FQ304">
        <v>0</v>
      </c>
      <c r="FR304">
        <v>0</v>
      </c>
      <c r="FS304">
        <v>0</v>
      </c>
      <c r="FT304">
        <v>0</v>
      </c>
      <c r="FU304">
        <v>0</v>
      </c>
      <c r="FV304">
        <v>0</v>
      </c>
      <c r="FW304">
        <v>0</v>
      </c>
      <c r="FX304">
        <v>0</v>
      </c>
      <c r="FY304">
        <v>0</v>
      </c>
      <c r="FZ304">
        <v>0</v>
      </c>
      <c r="GA304">
        <v>0</v>
      </c>
      <c r="GB304">
        <v>0</v>
      </c>
      <c r="GC304">
        <v>0</v>
      </c>
      <c r="GD304">
        <v>0</v>
      </c>
      <c r="GE304">
        <v>0</v>
      </c>
      <c r="GF304">
        <v>0</v>
      </c>
      <c r="GG304">
        <v>0</v>
      </c>
      <c r="GH304">
        <v>0</v>
      </c>
      <c r="GI304">
        <v>0</v>
      </c>
      <c r="GJ304">
        <v>0</v>
      </c>
      <c r="GK304">
        <v>0</v>
      </c>
      <c r="GL304">
        <v>0</v>
      </c>
      <c r="GM304">
        <v>0</v>
      </c>
      <c r="GN304">
        <v>0</v>
      </c>
      <c r="GO304">
        <v>0</v>
      </c>
      <c r="GP304">
        <v>0</v>
      </c>
      <c r="GQ304">
        <v>0</v>
      </c>
      <c r="GR304">
        <v>0</v>
      </c>
      <c r="GS304">
        <v>0</v>
      </c>
      <c r="GT304">
        <v>0</v>
      </c>
      <c r="GU304">
        <v>0</v>
      </c>
      <c r="GV304">
        <v>0</v>
      </c>
      <c r="GW304">
        <v>0</v>
      </c>
      <c r="GX304">
        <v>0</v>
      </c>
      <c r="GY304">
        <v>0</v>
      </c>
      <c r="GZ304">
        <v>0</v>
      </c>
      <c r="HA304">
        <v>0</v>
      </c>
      <c r="HB304">
        <v>0</v>
      </c>
      <c r="HC304">
        <v>0</v>
      </c>
      <c r="HD304">
        <v>0</v>
      </c>
      <c r="HE304">
        <v>0</v>
      </c>
      <c r="HF304">
        <v>0</v>
      </c>
      <c r="HG304">
        <v>0</v>
      </c>
      <c r="HH304">
        <v>0</v>
      </c>
      <c r="HI304">
        <v>0</v>
      </c>
      <c r="HJ304">
        <v>0</v>
      </c>
      <c r="HK304">
        <v>0</v>
      </c>
      <c r="HL304">
        <v>0</v>
      </c>
      <c r="HM304">
        <v>0</v>
      </c>
      <c r="HN304">
        <v>0</v>
      </c>
      <c r="HO304">
        <v>0</v>
      </c>
      <c r="HP304">
        <v>0</v>
      </c>
      <c r="HQ304">
        <v>0</v>
      </c>
      <c r="HR304">
        <v>0</v>
      </c>
      <c r="HS304">
        <v>0</v>
      </c>
      <c r="HT304">
        <v>0</v>
      </c>
      <c r="HU304">
        <v>0</v>
      </c>
      <c r="HV304">
        <v>0</v>
      </c>
      <c r="HW304">
        <v>0</v>
      </c>
      <c r="HX304">
        <v>0</v>
      </c>
      <c r="HY304">
        <v>0</v>
      </c>
      <c r="HZ304">
        <v>0</v>
      </c>
      <c r="IA304">
        <v>0</v>
      </c>
      <c r="IB304">
        <v>0</v>
      </c>
      <c r="IC304">
        <v>0</v>
      </c>
      <c r="ID304">
        <v>0</v>
      </c>
      <c r="IE304">
        <v>0</v>
      </c>
      <c r="IF304">
        <v>0</v>
      </c>
      <c r="IG304">
        <v>0</v>
      </c>
      <c r="IH304">
        <v>0</v>
      </c>
      <c r="II304">
        <v>0</v>
      </c>
      <c r="IJ304">
        <v>0</v>
      </c>
      <c r="IK304">
        <v>0</v>
      </c>
      <c r="IL304">
        <v>0</v>
      </c>
      <c r="IM304">
        <v>0</v>
      </c>
      <c r="IN304">
        <v>0</v>
      </c>
      <c r="IO304">
        <v>0</v>
      </c>
      <c r="IP304">
        <v>0</v>
      </c>
      <c r="IQ304">
        <v>0</v>
      </c>
      <c r="IR304">
        <v>0</v>
      </c>
      <c r="IS304">
        <v>0</v>
      </c>
      <c r="IT304">
        <v>0</v>
      </c>
      <c r="IU304">
        <v>0</v>
      </c>
      <c r="IV304">
        <v>0</v>
      </c>
      <c r="IW304">
        <v>0</v>
      </c>
      <c r="IX304">
        <v>0</v>
      </c>
      <c r="IY304">
        <v>0</v>
      </c>
      <c r="IZ304">
        <v>0</v>
      </c>
      <c r="JA304">
        <v>0</v>
      </c>
      <c r="JB304">
        <v>0</v>
      </c>
      <c r="JC304">
        <v>0</v>
      </c>
      <c r="JD304">
        <v>0</v>
      </c>
      <c r="JE304">
        <v>0</v>
      </c>
      <c r="JF304">
        <v>0</v>
      </c>
      <c r="JG304">
        <v>0</v>
      </c>
      <c r="JH304">
        <v>0</v>
      </c>
      <c r="JI304">
        <v>0</v>
      </c>
      <c r="JJ304">
        <v>0</v>
      </c>
      <c r="JK304">
        <v>0</v>
      </c>
      <c r="JL304">
        <v>0</v>
      </c>
      <c r="JM304">
        <v>0</v>
      </c>
      <c r="JN304">
        <v>0</v>
      </c>
      <c r="JO304">
        <v>0</v>
      </c>
      <c r="JP304">
        <v>0</v>
      </c>
      <c r="JQ304">
        <v>0</v>
      </c>
      <c r="JR304">
        <v>0</v>
      </c>
      <c r="JS304">
        <v>0</v>
      </c>
      <c r="JT304">
        <v>0</v>
      </c>
      <c r="JU304">
        <v>0</v>
      </c>
      <c r="JV304">
        <v>0</v>
      </c>
      <c r="JW304">
        <v>0</v>
      </c>
      <c r="JX304">
        <v>0</v>
      </c>
      <c r="JY304">
        <v>0</v>
      </c>
      <c r="JZ304">
        <v>0</v>
      </c>
      <c r="KA304">
        <v>0</v>
      </c>
      <c r="KB304">
        <v>0</v>
      </c>
      <c r="KC304">
        <v>0</v>
      </c>
      <c r="KD304">
        <v>0</v>
      </c>
      <c r="KE304">
        <v>0</v>
      </c>
      <c r="KF304">
        <v>0</v>
      </c>
      <c r="KG304">
        <v>0</v>
      </c>
      <c r="KH304">
        <v>0</v>
      </c>
      <c r="KI304">
        <v>0</v>
      </c>
      <c r="KJ304">
        <v>0</v>
      </c>
      <c r="KK304">
        <v>0</v>
      </c>
      <c r="KL304">
        <v>0</v>
      </c>
      <c r="KM304">
        <v>0</v>
      </c>
      <c r="KN304">
        <v>0</v>
      </c>
      <c r="KO304">
        <v>0</v>
      </c>
      <c r="KP304">
        <v>0</v>
      </c>
      <c r="KQ304">
        <v>0</v>
      </c>
      <c r="KR304">
        <v>0</v>
      </c>
      <c r="KS304">
        <v>0</v>
      </c>
      <c r="KT304">
        <v>0</v>
      </c>
      <c r="KU304">
        <v>0</v>
      </c>
      <c r="KV304">
        <v>0</v>
      </c>
      <c r="KW304">
        <v>0</v>
      </c>
      <c r="KX304">
        <v>0</v>
      </c>
      <c r="KY304">
        <v>0</v>
      </c>
      <c r="KZ304">
        <v>0</v>
      </c>
      <c r="LA304">
        <v>0</v>
      </c>
      <c r="LB304">
        <v>0</v>
      </c>
      <c r="LC304">
        <v>0</v>
      </c>
      <c r="LD304">
        <v>0</v>
      </c>
      <c r="LE304">
        <v>0</v>
      </c>
      <c r="LF304">
        <v>0</v>
      </c>
      <c r="LG304">
        <v>0</v>
      </c>
      <c r="LH304">
        <v>0</v>
      </c>
      <c r="LI304">
        <v>0</v>
      </c>
      <c r="LJ304">
        <v>0</v>
      </c>
      <c r="LK304">
        <v>0</v>
      </c>
      <c r="LL304">
        <v>0</v>
      </c>
      <c r="LM304">
        <v>0</v>
      </c>
      <c r="LN304">
        <v>0</v>
      </c>
      <c r="LO304">
        <v>0</v>
      </c>
      <c r="LP304">
        <v>0</v>
      </c>
      <c r="LQ304">
        <v>0</v>
      </c>
      <c r="LR304">
        <v>0</v>
      </c>
      <c r="LS304">
        <v>0</v>
      </c>
      <c r="LT304">
        <v>0</v>
      </c>
      <c r="LU304">
        <v>0</v>
      </c>
      <c r="LV304">
        <v>0</v>
      </c>
      <c r="LW304">
        <v>0</v>
      </c>
      <c r="LX304">
        <v>0</v>
      </c>
      <c r="LY304">
        <v>0</v>
      </c>
      <c r="LZ304">
        <v>0</v>
      </c>
      <c r="MA304">
        <v>0</v>
      </c>
      <c r="MB304">
        <v>0</v>
      </c>
      <c r="MC304">
        <v>0</v>
      </c>
      <c r="MD304">
        <v>0</v>
      </c>
      <c r="ME304">
        <v>0</v>
      </c>
      <c r="MF304">
        <v>0</v>
      </c>
      <c r="MG304">
        <v>0</v>
      </c>
      <c r="MH304">
        <v>0</v>
      </c>
      <c r="MI304">
        <v>0</v>
      </c>
      <c r="MJ304">
        <v>0</v>
      </c>
      <c r="MK304">
        <v>0</v>
      </c>
      <c r="ML304">
        <v>0</v>
      </c>
      <c r="MM304">
        <v>0</v>
      </c>
      <c r="MN304">
        <v>0</v>
      </c>
      <c r="MO304">
        <v>0</v>
      </c>
      <c r="MP304">
        <v>0</v>
      </c>
      <c r="MQ304">
        <v>0</v>
      </c>
      <c r="MR304">
        <v>0</v>
      </c>
      <c r="MS304">
        <v>0</v>
      </c>
      <c r="MT304">
        <v>0</v>
      </c>
      <c r="MU304">
        <v>0</v>
      </c>
      <c r="MV304">
        <v>0</v>
      </c>
      <c r="MW304">
        <v>0</v>
      </c>
      <c r="MX304">
        <v>0</v>
      </c>
      <c r="MY304">
        <v>0</v>
      </c>
      <c r="MZ304">
        <v>0</v>
      </c>
      <c r="NA304">
        <v>0</v>
      </c>
      <c r="NB304">
        <v>0</v>
      </c>
      <c r="NC304">
        <v>0</v>
      </c>
      <c r="ND304">
        <v>0</v>
      </c>
      <c r="NE304">
        <v>0</v>
      </c>
    </row>
    <row r="305" spans="41:369" x14ac:dyDescent="0.45">
      <c r="AO305" t="str">
        <v>D181</v>
      </c>
      <c r="AP305" t="str">
        <v>MUHAMMED SAJJAD</v>
      </c>
      <c r="AQ305" t="str">
        <v>DAHF</v>
      </c>
      <c r="AR305" t="str">
        <v>SUPER SENIOR</v>
      </c>
      <c r="AS305">
        <v>10</v>
      </c>
      <c r="AT305">
        <v>1</v>
      </c>
      <c r="AU305">
        <v>0</v>
      </c>
      <c r="AV305">
        <v>1</v>
      </c>
      <c r="AW305">
        <v>1</v>
      </c>
      <c r="AX305">
        <v>231</v>
      </c>
      <c r="AY305" s="5">
        <v>231</v>
      </c>
      <c r="AZ305">
        <v>0</v>
      </c>
      <c r="BA305">
        <v>0</v>
      </c>
      <c r="BB305">
        <v>0</v>
      </c>
      <c r="BC305">
        <v>0</v>
      </c>
      <c r="BD305">
        <v>0</v>
      </c>
      <c r="BE305">
        <v>0</v>
      </c>
      <c r="BF305">
        <v>0</v>
      </c>
      <c r="BG305">
        <v>0</v>
      </c>
      <c r="BH305">
        <v>0</v>
      </c>
      <c r="BI305" t="str">
        <v/>
      </c>
      <c r="BK305">
        <v>299</v>
      </c>
      <c r="BL305">
        <v>0</v>
      </c>
      <c r="BM305">
        <v>0</v>
      </c>
      <c r="BN305">
        <v>0</v>
      </c>
      <c r="BO305">
        <v>0</v>
      </c>
      <c r="BP305">
        <v>0</v>
      </c>
      <c r="BQ305">
        <v>0</v>
      </c>
      <c r="BR305">
        <v>0</v>
      </c>
      <c r="BS305">
        <v>0</v>
      </c>
      <c r="BT305">
        <v>0</v>
      </c>
      <c r="BU305">
        <v>0</v>
      </c>
      <c r="BV305">
        <v>0</v>
      </c>
      <c r="BW305">
        <v>0</v>
      </c>
      <c r="BX305">
        <v>0</v>
      </c>
      <c r="BY305">
        <v>0</v>
      </c>
      <c r="BZ305">
        <v>0</v>
      </c>
      <c r="CA305">
        <v>0</v>
      </c>
      <c r="CB305">
        <v>0</v>
      </c>
      <c r="CC305">
        <v>0</v>
      </c>
      <c r="CD305">
        <v>0</v>
      </c>
      <c r="CE305">
        <v>0</v>
      </c>
      <c r="CF305">
        <v>0</v>
      </c>
      <c r="CG305">
        <v>0</v>
      </c>
      <c r="CH305">
        <v>0</v>
      </c>
      <c r="CI305">
        <v>0</v>
      </c>
      <c r="CJ305">
        <v>0</v>
      </c>
      <c r="CK305">
        <v>0</v>
      </c>
      <c r="CL305">
        <v>0</v>
      </c>
      <c r="CM305">
        <v>0</v>
      </c>
      <c r="CN305">
        <v>0</v>
      </c>
      <c r="CO305">
        <v>0</v>
      </c>
      <c r="CP305">
        <v>0</v>
      </c>
      <c r="CQ305">
        <v>0</v>
      </c>
      <c r="CR305">
        <v>0</v>
      </c>
      <c r="CS305">
        <v>0</v>
      </c>
      <c r="CT305">
        <v>0</v>
      </c>
      <c r="CU305">
        <v>0</v>
      </c>
      <c r="CV305">
        <v>0</v>
      </c>
      <c r="CW305">
        <v>0</v>
      </c>
      <c r="CX305">
        <v>0</v>
      </c>
      <c r="CY305">
        <v>0</v>
      </c>
      <c r="CZ305">
        <v>0</v>
      </c>
      <c r="DA305">
        <v>0</v>
      </c>
      <c r="DB305">
        <v>0</v>
      </c>
      <c r="DC305">
        <v>0</v>
      </c>
      <c r="DD305">
        <v>0</v>
      </c>
      <c r="DE305">
        <v>0</v>
      </c>
      <c r="DF305">
        <v>0</v>
      </c>
      <c r="DG305">
        <v>0</v>
      </c>
      <c r="DH305">
        <v>0</v>
      </c>
      <c r="DI305">
        <v>0</v>
      </c>
      <c r="DJ305">
        <v>0</v>
      </c>
      <c r="DK305">
        <v>0</v>
      </c>
      <c r="DL305">
        <v>0</v>
      </c>
      <c r="DM305">
        <v>0</v>
      </c>
      <c r="DN305">
        <v>0</v>
      </c>
      <c r="DO305">
        <v>0</v>
      </c>
      <c r="DP305">
        <v>0</v>
      </c>
      <c r="DQ305">
        <v>0</v>
      </c>
      <c r="DR305">
        <v>0</v>
      </c>
      <c r="DS305">
        <v>0</v>
      </c>
      <c r="DT305">
        <v>0</v>
      </c>
      <c r="DU305">
        <v>0</v>
      </c>
      <c r="DV305">
        <v>0</v>
      </c>
      <c r="DW305">
        <v>0</v>
      </c>
      <c r="DX305">
        <v>0</v>
      </c>
      <c r="DY305">
        <v>0</v>
      </c>
      <c r="DZ305">
        <v>0</v>
      </c>
      <c r="EA305">
        <v>0</v>
      </c>
      <c r="EB305">
        <v>0</v>
      </c>
      <c r="EC305">
        <v>0</v>
      </c>
      <c r="ED305">
        <v>0</v>
      </c>
      <c r="EE305">
        <v>0</v>
      </c>
      <c r="EF305">
        <v>0</v>
      </c>
      <c r="EG305">
        <v>0</v>
      </c>
      <c r="EH305">
        <v>0</v>
      </c>
      <c r="EI305">
        <v>0</v>
      </c>
      <c r="EJ305">
        <v>0</v>
      </c>
      <c r="EK305">
        <v>0</v>
      </c>
      <c r="EL305">
        <v>0</v>
      </c>
      <c r="EM305">
        <v>0</v>
      </c>
      <c r="EN305">
        <v>0</v>
      </c>
      <c r="EO305">
        <v>0</v>
      </c>
      <c r="EP305">
        <v>0</v>
      </c>
      <c r="EQ305">
        <v>0</v>
      </c>
      <c r="ER305">
        <v>0</v>
      </c>
      <c r="ES305">
        <v>0</v>
      </c>
      <c r="ET305">
        <v>0</v>
      </c>
      <c r="EU305">
        <v>0</v>
      </c>
      <c r="EV305">
        <v>0</v>
      </c>
      <c r="EW305">
        <v>0</v>
      </c>
      <c r="EX305">
        <v>0</v>
      </c>
      <c r="EY305">
        <v>0</v>
      </c>
      <c r="EZ305">
        <v>0</v>
      </c>
      <c r="FA305">
        <v>0</v>
      </c>
      <c r="FB305">
        <v>0</v>
      </c>
      <c r="FC305">
        <v>0</v>
      </c>
      <c r="FD305">
        <v>0</v>
      </c>
      <c r="FE305">
        <v>0</v>
      </c>
      <c r="FF305">
        <v>0</v>
      </c>
      <c r="FG305">
        <v>0</v>
      </c>
      <c r="FH305">
        <v>0</v>
      </c>
      <c r="FI305">
        <v>0</v>
      </c>
      <c r="FJ305">
        <v>0</v>
      </c>
      <c r="FK305">
        <v>0</v>
      </c>
      <c r="FL305">
        <v>0</v>
      </c>
      <c r="FM305">
        <v>0</v>
      </c>
      <c r="FN305">
        <v>0</v>
      </c>
      <c r="FO305">
        <v>0</v>
      </c>
      <c r="FP305">
        <v>0</v>
      </c>
      <c r="FQ305">
        <v>0</v>
      </c>
      <c r="FR305">
        <v>0</v>
      </c>
      <c r="FS305">
        <v>0</v>
      </c>
      <c r="FT305">
        <v>0</v>
      </c>
      <c r="FU305">
        <v>0</v>
      </c>
      <c r="FV305">
        <v>0</v>
      </c>
      <c r="FW305">
        <v>0</v>
      </c>
      <c r="FX305">
        <v>0</v>
      </c>
      <c r="FY305">
        <v>0</v>
      </c>
      <c r="FZ305">
        <v>0</v>
      </c>
      <c r="GA305">
        <v>0</v>
      </c>
      <c r="GB305">
        <v>0</v>
      </c>
      <c r="GC305">
        <v>0</v>
      </c>
      <c r="GD305">
        <v>0</v>
      </c>
      <c r="GE305">
        <v>0</v>
      </c>
      <c r="GF305">
        <v>0</v>
      </c>
      <c r="GG305">
        <v>0</v>
      </c>
      <c r="GH305">
        <v>0</v>
      </c>
      <c r="GI305">
        <v>0</v>
      </c>
      <c r="GJ305">
        <v>0</v>
      </c>
      <c r="GK305">
        <v>0</v>
      </c>
      <c r="GL305">
        <v>0</v>
      </c>
      <c r="GM305">
        <v>0</v>
      </c>
      <c r="GN305">
        <v>0</v>
      </c>
      <c r="GO305">
        <v>0</v>
      </c>
      <c r="GP305">
        <v>0</v>
      </c>
      <c r="GQ305">
        <v>0</v>
      </c>
      <c r="GR305">
        <v>0</v>
      </c>
      <c r="GS305">
        <v>0</v>
      </c>
      <c r="GT305">
        <v>0</v>
      </c>
      <c r="GU305">
        <v>0</v>
      </c>
      <c r="GV305">
        <v>0</v>
      </c>
      <c r="GW305">
        <v>0</v>
      </c>
      <c r="GX305">
        <v>0</v>
      </c>
      <c r="GY305">
        <v>0</v>
      </c>
      <c r="GZ305">
        <v>0</v>
      </c>
      <c r="HA305">
        <v>0</v>
      </c>
      <c r="HB305">
        <v>0</v>
      </c>
      <c r="HC305">
        <v>0</v>
      </c>
      <c r="HD305">
        <v>0</v>
      </c>
      <c r="HE305">
        <v>0</v>
      </c>
      <c r="HF305">
        <v>0</v>
      </c>
      <c r="HG305">
        <v>0</v>
      </c>
      <c r="HH305">
        <v>0</v>
      </c>
      <c r="HI305">
        <v>0</v>
      </c>
      <c r="HJ305">
        <v>0</v>
      </c>
      <c r="HK305">
        <v>0</v>
      </c>
      <c r="HL305">
        <v>0</v>
      </c>
      <c r="HM305">
        <v>0</v>
      </c>
      <c r="HN305">
        <v>0</v>
      </c>
      <c r="HO305">
        <v>0</v>
      </c>
      <c r="HP305">
        <v>0</v>
      </c>
      <c r="HQ305">
        <v>0</v>
      </c>
      <c r="HR305">
        <v>0</v>
      </c>
      <c r="HS305">
        <v>0</v>
      </c>
      <c r="HT305">
        <v>0</v>
      </c>
      <c r="HU305">
        <v>0</v>
      </c>
      <c r="HV305">
        <v>0</v>
      </c>
      <c r="HW305">
        <v>0</v>
      </c>
      <c r="HX305">
        <v>0</v>
      </c>
      <c r="HY305">
        <v>0</v>
      </c>
      <c r="HZ305">
        <v>0</v>
      </c>
      <c r="IA305">
        <v>0</v>
      </c>
      <c r="IB305">
        <v>0</v>
      </c>
      <c r="IC305">
        <v>0</v>
      </c>
      <c r="ID305">
        <v>0</v>
      </c>
      <c r="IE305">
        <v>0</v>
      </c>
      <c r="IF305">
        <v>0</v>
      </c>
      <c r="IG305">
        <v>0</v>
      </c>
      <c r="IH305">
        <v>0</v>
      </c>
      <c r="II305">
        <v>0</v>
      </c>
      <c r="IJ305">
        <v>0</v>
      </c>
      <c r="IK305">
        <v>0</v>
      </c>
      <c r="IL305">
        <v>0</v>
      </c>
      <c r="IM305">
        <v>0</v>
      </c>
      <c r="IN305">
        <v>0</v>
      </c>
      <c r="IO305">
        <v>0</v>
      </c>
      <c r="IP305">
        <v>0</v>
      </c>
      <c r="IQ305">
        <v>0</v>
      </c>
      <c r="IR305">
        <v>0</v>
      </c>
      <c r="IS305">
        <v>0</v>
      </c>
      <c r="IT305">
        <v>0</v>
      </c>
      <c r="IU305">
        <v>0</v>
      </c>
      <c r="IV305">
        <v>0</v>
      </c>
      <c r="IW305">
        <v>0</v>
      </c>
      <c r="IX305">
        <v>0</v>
      </c>
      <c r="IY305">
        <v>0</v>
      </c>
      <c r="IZ305">
        <v>0</v>
      </c>
      <c r="JA305">
        <v>0</v>
      </c>
      <c r="JB305">
        <v>0</v>
      </c>
      <c r="JC305">
        <v>0</v>
      </c>
      <c r="JD305">
        <v>0</v>
      </c>
      <c r="JE305">
        <v>0</v>
      </c>
      <c r="JF305">
        <v>0</v>
      </c>
      <c r="JG305">
        <v>0</v>
      </c>
      <c r="JH305">
        <v>0</v>
      </c>
      <c r="JI305">
        <v>0</v>
      </c>
      <c r="JJ305">
        <v>0</v>
      </c>
      <c r="JK305">
        <v>0</v>
      </c>
      <c r="JL305">
        <v>0</v>
      </c>
      <c r="JM305">
        <v>0</v>
      </c>
      <c r="JN305">
        <v>0</v>
      </c>
      <c r="JO305">
        <v>0</v>
      </c>
      <c r="JP305">
        <v>0</v>
      </c>
      <c r="JQ305">
        <v>0</v>
      </c>
      <c r="JR305">
        <v>0</v>
      </c>
      <c r="JS305">
        <v>0</v>
      </c>
      <c r="JT305">
        <v>0</v>
      </c>
      <c r="JU305">
        <v>0</v>
      </c>
      <c r="JV305">
        <v>0</v>
      </c>
      <c r="JW305">
        <v>0</v>
      </c>
      <c r="JX305">
        <v>0</v>
      </c>
      <c r="JY305">
        <v>0</v>
      </c>
      <c r="JZ305">
        <v>0</v>
      </c>
      <c r="KA305">
        <v>0</v>
      </c>
      <c r="KB305">
        <v>0</v>
      </c>
      <c r="KC305">
        <v>0</v>
      </c>
      <c r="KD305">
        <v>0</v>
      </c>
      <c r="KE305">
        <v>0</v>
      </c>
      <c r="KF305">
        <v>0</v>
      </c>
      <c r="KG305">
        <v>0</v>
      </c>
      <c r="KH305">
        <v>0</v>
      </c>
      <c r="KI305">
        <v>0</v>
      </c>
      <c r="KJ305">
        <v>0</v>
      </c>
      <c r="KK305">
        <v>0</v>
      </c>
      <c r="KL305">
        <v>0</v>
      </c>
      <c r="KM305">
        <v>0</v>
      </c>
      <c r="KN305">
        <v>0</v>
      </c>
      <c r="KO305">
        <v>0</v>
      </c>
      <c r="KP305">
        <v>0</v>
      </c>
      <c r="KQ305">
        <v>0</v>
      </c>
      <c r="KR305">
        <v>0</v>
      </c>
      <c r="KS305">
        <v>0</v>
      </c>
      <c r="KT305">
        <v>0</v>
      </c>
      <c r="KU305">
        <v>0</v>
      </c>
      <c r="KV305">
        <v>0</v>
      </c>
      <c r="KW305">
        <v>0</v>
      </c>
      <c r="KX305">
        <v>0</v>
      </c>
      <c r="KY305">
        <v>0</v>
      </c>
      <c r="KZ305">
        <v>0</v>
      </c>
      <c r="LA305">
        <v>0</v>
      </c>
      <c r="LB305">
        <v>0</v>
      </c>
      <c r="LC305">
        <v>0</v>
      </c>
      <c r="LD305">
        <v>0</v>
      </c>
      <c r="LE305">
        <v>0</v>
      </c>
      <c r="LF305">
        <v>0</v>
      </c>
      <c r="LG305">
        <v>0</v>
      </c>
      <c r="LH305">
        <v>0</v>
      </c>
      <c r="LI305">
        <v>0</v>
      </c>
      <c r="LJ305">
        <v>0</v>
      </c>
      <c r="LK305">
        <v>0</v>
      </c>
      <c r="LL305">
        <v>0</v>
      </c>
      <c r="LM305">
        <v>0</v>
      </c>
      <c r="LN305">
        <v>0</v>
      </c>
      <c r="LO305">
        <v>0</v>
      </c>
      <c r="LP305">
        <v>0</v>
      </c>
      <c r="LQ305">
        <v>0</v>
      </c>
      <c r="LR305">
        <v>0</v>
      </c>
      <c r="LS305">
        <v>0</v>
      </c>
      <c r="LT305">
        <v>0</v>
      </c>
      <c r="LU305">
        <v>0</v>
      </c>
      <c r="LV305">
        <v>0</v>
      </c>
      <c r="LW305">
        <v>0</v>
      </c>
      <c r="LX305">
        <v>0</v>
      </c>
      <c r="LY305">
        <v>0</v>
      </c>
      <c r="LZ305">
        <v>0</v>
      </c>
      <c r="MA305">
        <v>0</v>
      </c>
      <c r="MB305">
        <v>0</v>
      </c>
      <c r="MC305">
        <v>0</v>
      </c>
      <c r="MD305">
        <v>0</v>
      </c>
      <c r="ME305">
        <v>0</v>
      </c>
      <c r="MF305">
        <v>0</v>
      </c>
      <c r="MG305">
        <v>0</v>
      </c>
      <c r="MH305">
        <v>0</v>
      </c>
      <c r="MI305">
        <v>0</v>
      </c>
      <c r="MJ305">
        <v>0</v>
      </c>
      <c r="MK305">
        <v>0</v>
      </c>
      <c r="ML305">
        <v>0</v>
      </c>
      <c r="MM305">
        <v>0</v>
      </c>
      <c r="MN305">
        <v>0</v>
      </c>
      <c r="MO305">
        <v>0</v>
      </c>
      <c r="MP305">
        <v>0</v>
      </c>
      <c r="MQ305">
        <v>0</v>
      </c>
      <c r="MR305">
        <v>0</v>
      </c>
      <c r="MS305">
        <v>0</v>
      </c>
      <c r="MT305">
        <v>0</v>
      </c>
      <c r="MU305">
        <v>0</v>
      </c>
      <c r="MV305">
        <v>0</v>
      </c>
      <c r="MW305">
        <v>0</v>
      </c>
      <c r="MX305">
        <v>0</v>
      </c>
      <c r="MY305">
        <v>0</v>
      </c>
      <c r="MZ305">
        <v>0</v>
      </c>
      <c r="NA305">
        <v>0</v>
      </c>
      <c r="NB305">
        <v>0</v>
      </c>
      <c r="NC305">
        <v>0</v>
      </c>
      <c r="ND305">
        <v>0</v>
      </c>
      <c r="NE305">
        <v>0</v>
      </c>
    </row>
    <row r="306" spans="41:369" x14ac:dyDescent="0.45">
      <c r="AO306" t="str">
        <v>D182</v>
      </c>
      <c r="AP306" t="str">
        <v>AHAMED ASIF M</v>
      </c>
      <c r="AQ306" t="str">
        <v>JARF</v>
      </c>
      <c r="AR306" t="str">
        <v>SUPER SENIOR</v>
      </c>
      <c r="AS306">
        <v>10</v>
      </c>
      <c r="AT306">
        <v>0</v>
      </c>
      <c r="AU306">
        <v>0</v>
      </c>
      <c r="AV306">
        <v>0</v>
      </c>
      <c r="AW306">
        <v>0</v>
      </c>
      <c r="AX306">
        <v>255</v>
      </c>
      <c r="AY306" s="5">
        <v>255</v>
      </c>
      <c r="AZ306">
        <v>0</v>
      </c>
      <c r="BA306">
        <v>0</v>
      </c>
      <c r="BB306">
        <v>0</v>
      </c>
      <c r="BC306">
        <v>0</v>
      </c>
      <c r="BD306">
        <v>0</v>
      </c>
      <c r="BE306">
        <v>0</v>
      </c>
      <c r="BF306">
        <v>0</v>
      </c>
      <c r="BG306">
        <v>0</v>
      </c>
      <c r="BH306">
        <v>0</v>
      </c>
      <c r="BI306" t="str">
        <v/>
      </c>
      <c r="BK306">
        <v>300</v>
      </c>
      <c r="BL306">
        <v>0</v>
      </c>
      <c r="BM306">
        <v>0</v>
      </c>
      <c r="BN306">
        <v>0</v>
      </c>
      <c r="BO306">
        <v>0</v>
      </c>
      <c r="BP306">
        <v>0</v>
      </c>
      <c r="BQ306">
        <v>0</v>
      </c>
      <c r="BR306">
        <v>0</v>
      </c>
      <c r="BS306">
        <v>0</v>
      </c>
      <c r="BT306">
        <v>0</v>
      </c>
      <c r="BU306">
        <v>0</v>
      </c>
      <c r="BV306">
        <v>0</v>
      </c>
      <c r="BW306">
        <v>0</v>
      </c>
      <c r="BX306">
        <v>0</v>
      </c>
      <c r="BY306">
        <v>0</v>
      </c>
      <c r="BZ306">
        <v>0</v>
      </c>
      <c r="CA306">
        <v>0</v>
      </c>
      <c r="CB306">
        <v>0</v>
      </c>
      <c r="CC306">
        <v>0</v>
      </c>
      <c r="CD306">
        <v>0</v>
      </c>
      <c r="CE306">
        <v>0</v>
      </c>
      <c r="CF306">
        <v>0</v>
      </c>
      <c r="CG306">
        <v>0</v>
      </c>
      <c r="CH306">
        <v>0</v>
      </c>
      <c r="CI306">
        <v>0</v>
      </c>
      <c r="CJ306">
        <v>0</v>
      </c>
      <c r="CK306">
        <v>0</v>
      </c>
      <c r="CL306">
        <v>0</v>
      </c>
      <c r="CM306">
        <v>0</v>
      </c>
      <c r="CN306">
        <v>0</v>
      </c>
      <c r="CO306">
        <v>0</v>
      </c>
      <c r="CP306">
        <v>0</v>
      </c>
      <c r="CQ306">
        <v>0</v>
      </c>
      <c r="CR306">
        <v>0</v>
      </c>
      <c r="CS306">
        <v>0</v>
      </c>
      <c r="CT306">
        <v>0</v>
      </c>
      <c r="CU306">
        <v>0</v>
      </c>
      <c r="CV306">
        <v>0</v>
      </c>
      <c r="CW306">
        <v>0</v>
      </c>
      <c r="CX306">
        <v>0</v>
      </c>
      <c r="CY306">
        <v>0</v>
      </c>
      <c r="CZ306">
        <v>0</v>
      </c>
      <c r="DA306">
        <v>0</v>
      </c>
      <c r="DB306">
        <v>0</v>
      </c>
      <c r="DC306">
        <v>0</v>
      </c>
      <c r="DD306">
        <v>0</v>
      </c>
      <c r="DE306">
        <v>0</v>
      </c>
      <c r="DF306">
        <v>0</v>
      </c>
      <c r="DG306">
        <v>0</v>
      </c>
      <c r="DH306">
        <v>0</v>
      </c>
      <c r="DI306">
        <v>0</v>
      </c>
      <c r="DJ306">
        <v>0</v>
      </c>
      <c r="DK306">
        <v>0</v>
      </c>
      <c r="DL306">
        <v>0</v>
      </c>
      <c r="DM306">
        <v>0</v>
      </c>
      <c r="DN306">
        <v>0</v>
      </c>
      <c r="DO306">
        <v>0</v>
      </c>
      <c r="DP306">
        <v>0</v>
      </c>
      <c r="DQ306">
        <v>0</v>
      </c>
      <c r="DR306">
        <v>0</v>
      </c>
      <c r="DS306">
        <v>0</v>
      </c>
      <c r="DT306">
        <v>0</v>
      </c>
      <c r="DU306">
        <v>0</v>
      </c>
      <c r="DV306">
        <v>0</v>
      </c>
      <c r="DW306">
        <v>0</v>
      </c>
      <c r="DX306">
        <v>0</v>
      </c>
      <c r="DY306">
        <v>0</v>
      </c>
      <c r="DZ306">
        <v>0</v>
      </c>
      <c r="EA306">
        <v>0</v>
      </c>
      <c r="EB306">
        <v>0</v>
      </c>
      <c r="EC306">
        <v>0</v>
      </c>
      <c r="ED306">
        <v>0</v>
      </c>
      <c r="EE306">
        <v>0</v>
      </c>
      <c r="EF306">
        <v>0</v>
      </c>
      <c r="EG306">
        <v>0</v>
      </c>
      <c r="EH306">
        <v>0</v>
      </c>
      <c r="EI306">
        <v>0</v>
      </c>
      <c r="EJ306">
        <v>0</v>
      </c>
      <c r="EK306">
        <v>0</v>
      </c>
      <c r="EL306">
        <v>0</v>
      </c>
      <c r="EM306">
        <v>0</v>
      </c>
      <c r="EN306">
        <v>0</v>
      </c>
      <c r="EO306">
        <v>0</v>
      </c>
      <c r="EP306">
        <v>0</v>
      </c>
      <c r="EQ306">
        <v>0</v>
      </c>
      <c r="ER306">
        <v>0</v>
      </c>
      <c r="ES306">
        <v>0</v>
      </c>
      <c r="ET306">
        <v>0</v>
      </c>
      <c r="EU306">
        <v>0</v>
      </c>
      <c r="EV306">
        <v>0</v>
      </c>
      <c r="EW306">
        <v>0</v>
      </c>
      <c r="EX306">
        <v>0</v>
      </c>
      <c r="EY306">
        <v>0</v>
      </c>
      <c r="EZ306">
        <v>0</v>
      </c>
      <c r="FA306">
        <v>0</v>
      </c>
      <c r="FB306">
        <v>0</v>
      </c>
      <c r="FC306">
        <v>0</v>
      </c>
      <c r="FD306">
        <v>0</v>
      </c>
      <c r="FE306">
        <v>0</v>
      </c>
      <c r="FF306">
        <v>0</v>
      </c>
      <c r="FG306">
        <v>0</v>
      </c>
      <c r="FH306">
        <v>0</v>
      </c>
      <c r="FI306">
        <v>0</v>
      </c>
      <c r="FJ306">
        <v>0</v>
      </c>
      <c r="FK306">
        <v>0</v>
      </c>
      <c r="FL306">
        <v>0</v>
      </c>
      <c r="FM306">
        <v>0</v>
      </c>
      <c r="FN306">
        <v>0</v>
      </c>
      <c r="FO306">
        <v>0</v>
      </c>
      <c r="FP306">
        <v>0</v>
      </c>
      <c r="FQ306">
        <v>0</v>
      </c>
      <c r="FR306">
        <v>0</v>
      </c>
      <c r="FS306">
        <v>0</v>
      </c>
      <c r="FT306">
        <v>0</v>
      </c>
      <c r="FU306">
        <v>0</v>
      </c>
      <c r="FV306">
        <v>0</v>
      </c>
      <c r="FW306">
        <v>0</v>
      </c>
      <c r="FX306">
        <v>0</v>
      </c>
      <c r="FY306">
        <v>0</v>
      </c>
      <c r="FZ306">
        <v>0</v>
      </c>
      <c r="GA306">
        <v>0</v>
      </c>
      <c r="GB306">
        <v>0</v>
      </c>
      <c r="GC306">
        <v>0</v>
      </c>
      <c r="GD306">
        <v>0</v>
      </c>
      <c r="GE306">
        <v>0</v>
      </c>
      <c r="GF306">
        <v>0</v>
      </c>
      <c r="GG306">
        <v>0</v>
      </c>
      <c r="GH306">
        <v>0</v>
      </c>
      <c r="GI306">
        <v>0</v>
      </c>
      <c r="GJ306">
        <v>0</v>
      </c>
      <c r="GK306">
        <v>0</v>
      </c>
      <c r="GL306">
        <v>0</v>
      </c>
      <c r="GM306">
        <v>0</v>
      </c>
      <c r="GN306">
        <v>0</v>
      </c>
      <c r="GO306">
        <v>0</v>
      </c>
      <c r="GP306">
        <v>0</v>
      </c>
      <c r="GQ306">
        <v>0</v>
      </c>
      <c r="GR306">
        <v>0</v>
      </c>
      <c r="GS306">
        <v>0</v>
      </c>
      <c r="GT306">
        <v>0</v>
      </c>
      <c r="GU306">
        <v>0</v>
      </c>
      <c r="GV306">
        <v>0</v>
      </c>
      <c r="GW306">
        <v>0</v>
      </c>
      <c r="GX306">
        <v>0</v>
      </c>
      <c r="GY306">
        <v>0</v>
      </c>
      <c r="GZ306">
        <v>0</v>
      </c>
      <c r="HA306">
        <v>0</v>
      </c>
      <c r="HB306">
        <v>0</v>
      </c>
      <c r="HC306">
        <v>0</v>
      </c>
      <c r="HD306">
        <v>0</v>
      </c>
      <c r="HE306">
        <v>0</v>
      </c>
      <c r="HF306">
        <v>0</v>
      </c>
      <c r="HG306">
        <v>0</v>
      </c>
      <c r="HH306">
        <v>0</v>
      </c>
      <c r="HI306">
        <v>0</v>
      </c>
      <c r="HJ306">
        <v>0</v>
      </c>
      <c r="HK306">
        <v>0</v>
      </c>
      <c r="HL306">
        <v>0</v>
      </c>
      <c r="HM306">
        <v>0</v>
      </c>
      <c r="HN306">
        <v>0</v>
      </c>
      <c r="HO306">
        <v>0</v>
      </c>
      <c r="HP306">
        <v>0</v>
      </c>
      <c r="HQ306">
        <v>0</v>
      </c>
      <c r="HR306">
        <v>0</v>
      </c>
      <c r="HS306">
        <v>0</v>
      </c>
      <c r="HT306">
        <v>0</v>
      </c>
      <c r="HU306">
        <v>0</v>
      </c>
      <c r="HV306">
        <v>0</v>
      </c>
      <c r="HW306">
        <v>0</v>
      </c>
      <c r="HX306">
        <v>0</v>
      </c>
      <c r="HY306">
        <v>0</v>
      </c>
      <c r="HZ306">
        <v>0</v>
      </c>
      <c r="IA306">
        <v>0</v>
      </c>
      <c r="IB306">
        <v>0</v>
      </c>
      <c r="IC306">
        <v>0</v>
      </c>
      <c r="ID306">
        <v>0</v>
      </c>
      <c r="IE306">
        <v>0</v>
      </c>
      <c r="IF306">
        <v>0</v>
      </c>
      <c r="IG306">
        <v>0</v>
      </c>
      <c r="IH306">
        <v>0</v>
      </c>
      <c r="II306">
        <v>0</v>
      </c>
      <c r="IJ306">
        <v>0</v>
      </c>
      <c r="IK306">
        <v>0</v>
      </c>
      <c r="IL306">
        <v>0</v>
      </c>
      <c r="IM306">
        <v>0</v>
      </c>
      <c r="IN306">
        <v>0</v>
      </c>
      <c r="IO306">
        <v>0</v>
      </c>
      <c r="IP306">
        <v>0</v>
      </c>
      <c r="IQ306">
        <v>0</v>
      </c>
      <c r="IR306">
        <v>0</v>
      </c>
      <c r="IS306">
        <v>0</v>
      </c>
      <c r="IT306">
        <v>0</v>
      </c>
      <c r="IU306">
        <v>0</v>
      </c>
      <c r="IV306">
        <v>0</v>
      </c>
      <c r="IW306">
        <v>0</v>
      </c>
      <c r="IX306">
        <v>0</v>
      </c>
      <c r="IY306">
        <v>0</v>
      </c>
      <c r="IZ306">
        <v>0</v>
      </c>
      <c r="JA306">
        <v>0</v>
      </c>
      <c r="JB306">
        <v>0</v>
      </c>
      <c r="JC306">
        <v>0</v>
      </c>
      <c r="JD306">
        <v>0</v>
      </c>
      <c r="JE306">
        <v>0</v>
      </c>
      <c r="JF306">
        <v>0</v>
      </c>
      <c r="JG306">
        <v>0</v>
      </c>
      <c r="JH306">
        <v>0</v>
      </c>
      <c r="JI306">
        <v>0</v>
      </c>
      <c r="JJ306">
        <v>0</v>
      </c>
      <c r="JK306">
        <v>0</v>
      </c>
      <c r="JL306">
        <v>0</v>
      </c>
      <c r="JM306">
        <v>0</v>
      </c>
      <c r="JN306">
        <v>0</v>
      </c>
      <c r="JO306">
        <v>0</v>
      </c>
      <c r="JP306">
        <v>0</v>
      </c>
      <c r="JQ306">
        <v>0</v>
      </c>
      <c r="JR306">
        <v>0</v>
      </c>
      <c r="JS306">
        <v>0</v>
      </c>
      <c r="JT306">
        <v>0</v>
      </c>
      <c r="JU306">
        <v>0</v>
      </c>
      <c r="JV306">
        <v>0</v>
      </c>
      <c r="JW306">
        <v>0</v>
      </c>
      <c r="JX306">
        <v>0</v>
      </c>
      <c r="JY306">
        <v>0</v>
      </c>
      <c r="JZ306">
        <v>0</v>
      </c>
      <c r="KA306">
        <v>0</v>
      </c>
      <c r="KB306">
        <v>0</v>
      </c>
      <c r="KC306">
        <v>0</v>
      </c>
      <c r="KD306">
        <v>0</v>
      </c>
      <c r="KE306">
        <v>0</v>
      </c>
      <c r="KF306">
        <v>0</v>
      </c>
      <c r="KG306">
        <v>0</v>
      </c>
      <c r="KH306">
        <v>0</v>
      </c>
      <c r="KI306">
        <v>0</v>
      </c>
      <c r="KJ306">
        <v>0</v>
      </c>
      <c r="KK306">
        <v>0</v>
      </c>
      <c r="KL306">
        <v>0</v>
      </c>
      <c r="KM306">
        <v>0</v>
      </c>
      <c r="KN306">
        <v>0</v>
      </c>
      <c r="KO306">
        <v>0</v>
      </c>
      <c r="KP306">
        <v>0</v>
      </c>
      <c r="KQ306">
        <v>0</v>
      </c>
      <c r="KR306">
        <v>0</v>
      </c>
      <c r="KS306">
        <v>0</v>
      </c>
      <c r="KT306">
        <v>0</v>
      </c>
      <c r="KU306">
        <v>0</v>
      </c>
      <c r="KV306">
        <v>0</v>
      </c>
      <c r="KW306">
        <v>0</v>
      </c>
      <c r="KX306">
        <v>0</v>
      </c>
      <c r="KY306">
        <v>0</v>
      </c>
      <c r="KZ306">
        <v>0</v>
      </c>
      <c r="LA306">
        <v>0</v>
      </c>
      <c r="LB306">
        <v>0</v>
      </c>
      <c r="LC306">
        <v>0</v>
      </c>
      <c r="LD306">
        <v>0</v>
      </c>
      <c r="LE306">
        <v>0</v>
      </c>
      <c r="LF306">
        <v>0</v>
      </c>
      <c r="LG306">
        <v>0</v>
      </c>
      <c r="LH306">
        <v>0</v>
      </c>
      <c r="LI306">
        <v>0</v>
      </c>
      <c r="LJ306">
        <v>0</v>
      </c>
      <c r="LK306">
        <v>0</v>
      </c>
      <c r="LL306">
        <v>0</v>
      </c>
      <c r="LM306">
        <v>0</v>
      </c>
      <c r="LN306">
        <v>0</v>
      </c>
      <c r="LO306">
        <v>0</v>
      </c>
      <c r="LP306">
        <v>0</v>
      </c>
      <c r="LQ306">
        <v>0</v>
      </c>
      <c r="LR306">
        <v>0</v>
      </c>
      <c r="LS306">
        <v>0</v>
      </c>
      <c r="LT306">
        <v>0</v>
      </c>
      <c r="LU306">
        <v>0</v>
      </c>
      <c r="LV306">
        <v>0</v>
      </c>
      <c r="LW306">
        <v>0</v>
      </c>
      <c r="LX306">
        <v>0</v>
      </c>
      <c r="LY306">
        <v>0</v>
      </c>
      <c r="LZ306">
        <v>0</v>
      </c>
      <c r="MA306">
        <v>0</v>
      </c>
      <c r="MB306">
        <v>0</v>
      </c>
      <c r="MC306">
        <v>0</v>
      </c>
      <c r="MD306">
        <v>0</v>
      </c>
      <c r="ME306">
        <v>0</v>
      </c>
      <c r="MF306">
        <v>0</v>
      </c>
      <c r="MG306">
        <v>0</v>
      </c>
      <c r="MH306">
        <v>0</v>
      </c>
      <c r="MI306">
        <v>0</v>
      </c>
      <c r="MJ306">
        <v>0</v>
      </c>
      <c r="MK306">
        <v>0</v>
      </c>
      <c r="ML306">
        <v>0</v>
      </c>
      <c r="MM306">
        <v>0</v>
      </c>
      <c r="MN306">
        <v>0</v>
      </c>
      <c r="MO306">
        <v>0</v>
      </c>
      <c r="MP306">
        <v>0</v>
      </c>
      <c r="MQ306">
        <v>0</v>
      </c>
      <c r="MR306">
        <v>0</v>
      </c>
      <c r="MS306">
        <v>0</v>
      </c>
      <c r="MT306">
        <v>0</v>
      </c>
      <c r="MU306">
        <v>0</v>
      </c>
      <c r="MV306">
        <v>0</v>
      </c>
      <c r="MW306">
        <v>0</v>
      </c>
      <c r="MX306">
        <v>0</v>
      </c>
      <c r="MY306">
        <v>0</v>
      </c>
      <c r="MZ306">
        <v>0</v>
      </c>
      <c r="NA306">
        <v>0</v>
      </c>
      <c r="NB306">
        <v>0</v>
      </c>
      <c r="NC306">
        <v>0</v>
      </c>
      <c r="ND306">
        <v>0</v>
      </c>
      <c r="NE306">
        <v>0</v>
      </c>
    </row>
    <row r="307" spans="41:369" x14ac:dyDescent="0.45">
      <c r="AO307" t="str">
        <v>D183</v>
      </c>
      <c r="AP307" t="str">
        <v>MOHAMMAD SWALIH K</v>
      </c>
      <c r="AQ307" t="str">
        <v>DAHF</v>
      </c>
      <c r="AR307" t="str">
        <v>SUPER SENIOR</v>
      </c>
      <c r="AS307">
        <v>10</v>
      </c>
      <c r="AT307">
        <v>16</v>
      </c>
      <c r="AU307">
        <v>0</v>
      </c>
      <c r="AV307">
        <v>16</v>
      </c>
      <c r="AW307">
        <v>16</v>
      </c>
      <c r="AX307">
        <v>94</v>
      </c>
      <c r="AY307" s="5">
        <v>94</v>
      </c>
      <c r="AZ307">
        <v>0</v>
      </c>
      <c r="BA307">
        <v>0</v>
      </c>
      <c r="BB307">
        <v>0</v>
      </c>
      <c r="BC307">
        <v>0</v>
      </c>
      <c r="BD307">
        <v>0</v>
      </c>
      <c r="BE307">
        <v>0</v>
      </c>
      <c r="BF307">
        <v>0</v>
      </c>
      <c r="BG307">
        <v>0</v>
      </c>
      <c r="BH307">
        <v>0</v>
      </c>
      <c r="BI307" t="str">
        <v/>
      </c>
      <c r="BK307">
        <v>301</v>
      </c>
      <c r="BL307">
        <v>0</v>
      </c>
      <c r="BM307">
        <v>0</v>
      </c>
      <c r="BN307">
        <v>0</v>
      </c>
      <c r="BO307">
        <v>0</v>
      </c>
      <c r="BP307">
        <v>0</v>
      </c>
      <c r="BQ307">
        <v>0</v>
      </c>
      <c r="BR307">
        <v>0</v>
      </c>
      <c r="BS307">
        <v>0</v>
      </c>
      <c r="BT307">
        <v>0</v>
      </c>
      <c r="BU307">
        <v>0</v>
      </c>
      <c r="BV307">
        <v>0</v>
      </c>
      <c r="BW307">
        <v>0</v>
      </c>
      <c r="BX307">
        <v>0</v>
      </c>
      <c r="BY307">
        <v>0</v>
      </c>
      <c r="BZ307">
        <v>0</v>
      </c>
      <c r="CA307">
        <v>0</v>
      </c>
      <c r="CB307">
        <v>0</v>
      </c>
      <c r="CC307">
        <v>0</v>
      </c>
      <c r="CD307">
        <v>0</v>
      </c>
      <c r="CE307">
        <v>0</v>
      </c>
      <c r="CF307">
        <v>0</v>
      </c>
      <c r="CG307">
        <v>0</v>
      </c>
      <c r="CH307">
        <v>0</v>
      </c>
      <c r="CI307">
        <v>0</v>
      </c>
      <c r="CJ307">
        <v>0</v>
      </c>
      <c r="CK307">
        <v>0</v>
      </c>
      <c r="CL307">
        <v>0</v>
      </c>
      <c r="CM307">
        <v>0</v>
      </c>
      <c r="CN307">
        <v>0</v>
      </c>
      <c r="CO307">
        <v>0</v>
      </c>
      <c r="CP307">
        <v>0</v>
      </c>
      <c r="CQ307">
        <v>0</v>
      </c>
      <c r="CR307">
        <v>0</v>
      </c>
      <c r="CS307">
        <v>0</v>
      </c>
      <c r="CT307">
        <v>0</v>
      </c>
      <c r="CU307">
        <v>0</v>
      </c>
      <c r="CV307">
        <v>0</v>
      </c>
      <c r="CW307">
        <v>0</v>
      </c>
      <c r="CX307">
        <v>0</v>
      </c>
      <c r="CY307">
        <v>0</v>
      </c>
      <c r="CZ307">
        <v>0</v>
      </c>
      <c r="DA307">
        <v>0</v>
      </c>
      <c r="DB307">
        <v>0</v>
      </c>
      <c r="DC307">
        <v>0</v>
      </c>
      <c r="DD307">
        <v>0</v>
      </c>
      <c r="DE307">
        <v>0</v>
      </c>
      <c r="DF307">
        <v>0</v>
      </c>
      <c r="DG307">
        <v>0</v>
      </c>
      <c r="DH307">
        <v>0</v>
      </c>
      <c r="DI307">
        <v>0</v>
      </c>
      <c r="DJ307">
        <v>0</v>
      </c>
      <c r="DK307">
        <v>0</v>
      </c>
      <c r="DL307">
        <v>0</v>
      </c>
      <c r="DM307">
        <v>0</v>
      </c>
      <c r="DN307">
        <v>0</v>
      </c>
      <c r="DO307">
        <v>0</v>
      </c>
      <c r="DP307">
        <v>0</v>
      </c>
      <c r="DQ307">
        <v>0</v>
      </c>
      <c r="DR307">
        <v>0</v>
      </c>
      <c r="DS307">
        <v>0</v>
      </c>
      <c r="DT307">
        <v>0</v>
      </c>
      <c r="DU307">
        <v>0</v>
      </c>
      <c r="DV307">
        <v>0</v>
      </c>
      <c r="DW307">
        <v>0</v>
      </c>
      <c r="DX307">
        <v>0</v>
      </c>
      <c r="DY307">
        <v>0</v>
      </c>
      <c r="DZ307">
        <v>0</v>
      </c>
      <c r="EA307">
        <v>0</v>
      </c>
      <c r="EB307">
        <v>0</v>
      </c>
      <c r="EC307">
        <v>0</v>
      </c>
      <c r="ED307">
        <v>0</v>
      </c>
      <c r="EE307">
        <v>0</v>
      </c>
      <c r="EF307">
        <v>0</v>
      </c>
      <c r="EG307">
        <v>0</v>
      </c>
      <c r="EH307">
        <v>0</v>
      </c>
      <c r="EI307">
        <v>0</v>
      </c>
      <c r="EJ307">
        <v>0</v>
      </c>
      <c r="EK307">
        <v>0</v>
      </c>
      <c r="EL307">
        <v>0</v>
      </c>
      <c r="EM307">
        <v>0</v>
      </c>
      <c r="EN307">
        <v>0</v>
      </c>
      <c r="EO307">
        <v>0</v>
      </c>
      <c r="EP307">
        <v>0</v>
      </c>
      <c r="EQ307">
        <v>0</v>
      </c>
      <c r="ER307">
        <v>0</v>
      </c>
      <c r="ES307">
        <v>0</v>
      </c>
      <c r="ET307">
        <v>0</v>
      </c>
      <c r="EU307">
        <v>0</v>
      </c>
      <c r="EV307">
        <v>0</v>
      </c>
      <c r="EW307">
        <v>0</v>
      </c>
      <c r="EX307">
        <v>0</v>
      </c>
      <c r="EY307">
        <v>0</v>
      </c>
      <c r="EZ307">
        <v>0</v>
      </c>
      <c r="FA307">
        <v>0</v>
      </c>
      <c r="FB307">
        <v>0</v>
      </c>
      <c r="FC307">
        <v>0</v>
      </c>
      <c r="FD307">
        <v>0</v>
      </c>
      <c r="FE307">
        <v>0</v>
      </c>
      <c r="FF307">
        <v>0</v>
      </c>
      <c r="FG307">
        <v>0</v>
      </c>
      <c r="FH307">
        <v>0</v>
      </c>
      <c r="FI307">
        <v>0</v>
      </c>
      <c r="FJ307">
        <v>0</v>
      </c>
      <c r="FK307">
        <v>0</v>
      </c>
      <c r="FL307">
        <v>0</v>
      </c>
      <c r="FM307">
        <v>0</v>
      </c>
      <c r="FN307">
        <v>0</v>
      </c>
      <c r="FO307">
        <v>0</v>
      </c>
      <c r="FP307">
        <v>0</v>
      </c>
      <c r="FQ307">
        <v>0</v>
      </c>
      <c r="FR307">
        <v>0</v>
      </c>
      <c r="FS307">
        <v>0</v>
      </c>
      <c r="FT307">
        <v>0</v>
      </c>
      <c r="FU307">
        <v>0</v>
      </c>
      <c r="FV307">
        <v>0</v>
      </c>
      <c r="FW307">
        <v>0</v>
      </c>
      <c r="FX307">
        <v>0</v>
      </c>
      <c r="FY307">
        <v>0</v>
      </c>
      <c r="FZ307">
        <v>0</v>
      </c>
      <c r="GA307">
        <v>0</v>
      </c>
      <c r="GB307">
        <v>0</v>
      </c>
      <c r="GC307">
        <v>0</v>
      </c>
      <c r="GD307">
        <v>0</v>
      </c>
      <c r="GE307">
        <v>0</v>
      </c>
      <c r="GF307">
        <v>0</v>
      </c>
      <c r="GG307">
        <v>0</v>
      </c>
      <c r="GH307">
        <v>0</v>
      </c>
      <c r="GI307">
        <v>0</v>
      </c>
      <c r="GJ307">
        <v>0</v>
      </c>
      <c r="GK307">
        <v>0</v>
      </c>
      <c r="GL307">
        <v>0</v>
      </c>
      <c r="GM307">
        <v>0</v>
      </c>
      <c r="GN307">
        <v>0</v>
      </c>
      <c r="GO307">
        <v>0</v>
      </c>
      <c r="GP307">
        <v>0</v>
      </c>
      <c r="GQ307">
        <v>0</v>
      </c>
      <c r="GR307">
        <v>0</v>
      </c>
      <c r="GS307">
        <v>0</v>
      </c>
      <c r="GT307">
        <v>0</v>
      </c>
      <c r="GU307">
        <v>0</v>
      </c>
      <c r="GV307">
        <v>0</v>
      </c>
      <c r="GW307">
        <v>0</v>
      </c>
      <c r="GX307">
        <v>0</v>
      </c>
      <c r="GY307">
        <v>0</v>
      </c>
      <c r="GZ307">
        <v>0</v>
      </c>
      <c r="HA307">
        <v>0</v>
      </c>
      <c r="HB307">
        <v>0</v>
      </c>
      <c r="HC307">
        <v>0</v>
      </c>
      <c r="HD307">
        <v>0</v>
      </c>
      <c r="HE307">
        <v>0</v>
      </c>
      <c r="HF307">
        <v>0</v>
      </c>
      <c r="HG307">
        <v>0</v>
      </c>
      <c r="HH307">
        <v>0</v>
      </c>
      <c r="HI307">
        <v>0</v>
      </c>
      <c r="HJ307">
        <v>0</v>
      </c>
      <c r="HK307">
        <v>0</v>
      </c>
      <c r="HL307">
        <v>0</v>
      </c>
      <c r="HM307">
        <v>0</v>
      </c>
      <c r="HN307">
        <v>0</v>
      </c>
      <c r="HO307">
        <v>0</v>
      </c>
      <c r="HP307">
        <v>0</v>
      </c>
      <c r="HQ307">
        <v>0</v>
      </c>
      <c r="HR307">
        <v>0</v>
      </c>
      <c r="HS307">
        <v>0</v>
      </c>
      <c r="HT307">
        <v>0</v>
      </c>
      <c r="HU307">
        <v>0</v>
      </c>
      <c r="HV307">
        <v>0</v>
      </c>
      <c r="HW307">
        <v>0</v>
      </c>
      <c r="HX307">
        <v>0</v>
      </c>
      <c r="HY307">
        <v>0</v>
      </c>
      <c r="HZ307">
        <v>0</v>
      </c>
      <c r="IA307">
        <v>0</v>
      </c>
      <c r="IB307">
        <v>0</v>
      </c>
      <c r="IC307">
        <v>0</v>
      </c>
      <c r="ID307">
        <v>0</v>
      </c>
      <c r="IE307">
        <v>0</v>
      </c>
      <c r="IF307">
        <v>0</v>
      </c>
      <c r="IG307">
        <v>0</v>
      </c>
      <c r="IH307">
        <v>0</v>
      </c>
      <c r="II307">
        <v>0</v>
      </c>
      <c r="IJ307">
        <v>0</v>
      </c>
      <c r="IK307">
        <v>0</v>
      </c>
      <c r="IL307">
        <v>0</v>
      </c>
      <c r="IM307">
        <v>0</v>
      </c>
      <c r="IN307">
        <v>0</v>
      </c>
      <c r="IO307">
        <v>0</v>
      </c>
      <c r="IP307">
        <v>0</v>
      </c>
      <c r="IQ307">
        <v>0</v>
      </c>
      <c r="IR307">
        <v>0</v>
      </c>
      <c r="IS307">
        <v>0</v>
      </c>
      <c r="IT307">
        <v>0</v>
      </c>
      <c r="IU307">
        <v>0</v>
      </c>
      <c r="IV307">
        <v>0</v>
      </c>
      <c r="IW307">
        <v>0</v>
      </c>
      <c r="IX307">
        <v>0</v>
      </c>
      <c r="IY307">
        <v>0</v>
      </c>
      <c r="IZ307">
        <v>0</v>
      </c>
      <c r="JA307">
        <v>0</v>
      </c>
      <c r="JB307">
        <v>0</v>
      </c>
      <c r="JC307">
        <v>0</v>
      </c>
      <c r="JD307">
        <v>0</v>
      </c>
      <c r="JE307">
        <v>0</v>
      </c>
      <c r="JF307">
        <v>0</v>
      </c>
      <c r="JG307">
        <v>0</v>
      </c>
      <c r="JH307">
        <v>0</v>
      </c>
      <c r="JI307">
        <v>0</v>
      </c>
      <c r="JJ307">
        <v>0</v>
      </c>
      <c r="JK307">
        <v>0</v>
      </c>
      <c r="JL307">
        <v>0</v>
      </c>
      <c r="JM307">
        <v>0</v>
      </c>
      <c r="JN307">
        <v>0</v>
      </c>
      <c r="JO307">
        <v>0</v>
      </c>
      <c r="JP307">
        <v>0</v>
      </c>
      <c r="JQ307">
        <v>0</v>
      </c>
      <c r="JR307">
        <v>0</v>
      </c>
      <c r="JS307">
        <v>0</v>
      </c>
      <c r="JT307">
        <v>0</v>
      </c>
      <c r="JU307">
        <v>0</v>
      </c>
      <c r="JV307">
        <v>0</v>
      </c>
      <c r="JW307">
        <v>0</v>
      </c>
      <c r="JX307">
        <v>0</v>
      </c>
      <c r="JY307">
        <v>0</v>
      </c>
      <c r="JZ307">
        <v>0</v>
      </c>
      <c r="KA307">
        <v>0</v>
      </c>
      <c r="KB307">
        <v>0</v>
      </c>
      <c r="KC307">
        <v>0</v>
      </c>
      <c r="KD307">
        <v>0</v>
      </c>
      <c r="KE307">
        <v>0</v>
      </c>
      <c r="KF307">
        <v>0</v>
      </c>
      <c r="KG307">
        <v>0</v>
      </c>
      <c r="KH307">
        <v>0</v>
      </c>
      <c r="KI307">
        <v>0</v>
      </c>
      <c r="KJ307">
        <v>0</v>
      </c>
      <c r="KK307">
        <v>0</v>
      </c>
      <c r="KL307">
        <v>0</v>
      </c>
      <c r="KM307">
        <v>0</v>
      </c>
      <c r="KN307">
        <v>0</v>
      </c>
      <c r="KO307">
        <v>0</v>
      </c>
      <c r="KP307">
        <v>0</v>
      </c>
      <c r="KQ307">
        <v>0</v>
      </c>
      <c r="KR307">
        <v>0</v>
      </c>
      <c r="KS307">
        <v>0</v>
      </c>
      <c r="KT307">
        <v>0</v>
      </c>
      <c r="KU307">
        <v>0</v>
      </c>
      <c r="KV307">
        <v>0</v>
      </c>
      <c r="KW307">
        <v>0</v>
      </c>
      <c r="KX307">
        <v>0</v>
      </c>
      <c r="KY307">
        <v>0</v>
      </c>
      <c r="KZ307">
        <v>0</v>
      </c>
      <c r="LA307">
        <v>0</v>
      </c>
      <c r="LB307">
        <v>0</v>
      </c>
      <c r="LC307">
        <v>0</v>
      </c>
      <c r="LD307">
        <v>0</v>
      </c>
      <c r="LE307">
        <v>0</v>
      </c>
      <c r="LF307">
        <v>0</v>
      </c>
      <c r="LG307">
        <v>0</v>
      </c>
      <c r="LH307">
        <v>0</v>
      </c>
      <c r="LI307">
        <v>0</v>
      </c>
      <c r="LJ307">
        <v>0</v>
      </c>
      <c r="LK307">
        <v>0</v>
      </c>
      <c r="LL307">
        <v>0</v>
      </c>
      <c r="LM307">
        <v>0</v>
      </c>
      <c r="LN307">
        <v>0</v>
      </c>
      <c r="LO307">
        <v>0</v>
      </c>
      <c r="LP307">
        <v>0</v>
      </c>
      <c r="LQ307">
        <v>0</v>
      </c>
      <c r="LR307">
        <v>0</v>
      </c>
      <c r="LS307">
        <v>0</v>
      </c>
      <c r="LT307">
        <v>0</v>
      </c>
      <c r="LU307">
        <v>0</v>
      </c>
      <c r="LV307">
        <v>0</v>
      </c>
      <c r="LW307">
        <v>0</v>
      </c>
      <c r="LX307">
        <v>0</v>
      </c>
      <c r="LY307">
        <v>0</v>
      </c>
      <c r="LZ307">
        <v>0</v>
      </c>
      <c r="MA307">
        <v>0</v>
      </c>
      <c r="MB307">
        <v>0</v>
      </c>
      <c r="MC307">
        <v>0</v>
      </c>
      <c r="MD307">
        <v>0</v>
      </c>
      <c r="ME307">
        <v>0</v>
      </c>
      <c r="MF307">
        <v>0</v>
      </c>
      <c r="MG307">
        <v>0</v>
      </c>
      <c r="MH307">
        <v>0</v>
      </c>
      <c r="MI307">
        <v>0</v>
      </c>
      <c r="MJ307">
        <v>0</v>
      </c>
      <c r="MK307">
        <v>0</v>
      </c>
      <c r="ML307">
        <v>0</v>
      </c>
      <c r="MM307">
        <v>0</v>
      </c>
      <c r="MN307">
        <v>0</v>
      </c>
      <c r="MO307">
        <v>0</v>
      </c>
      <c r="MP307">
        <v>0</v>
      </c>
      <c r="MQ307">
        <v>0</v>
      </c>
      <c r="MR307">
        <v>0</v>
      </c>
      <c r="MS307">
        <v>0</v>
      </c>
      <c r="MT307">
        <v>0</v>
      </c>
      <c r="MU307">
        <v>0</v>
      </c>
      <c r="MV307">
        <v>0</v>
      </c>
      <c r="MW307">
        <v>0</v>
      </c>
      <c r="MX307">
        <v>0</v>
      </c>
      <c r="MY307">
        <v>0</v>
      </c>
      <c r="MZ307">
        <v>0</v>
      </c>
      <c r="NA307">
        <v>0</v>
      </c>
      <c r="NB307">
        <v>0</v>
      </c>
      <c r="NC307">
        <v>0</v>
      </c>
      <c r="ND307">
        <v>0</v>
      </c>
      <c r="NE307">
        <v>0</v>
      </c>
    </row>
    <row r="308" spans="41:369" x14ac:dyDescent="0.45">
      <c r="AO308" t="str">
        <v>D184</v>
      </c>
      <c r="AP308" t="str">
        <v>YASEEN</v>
      </c>
      <c r="AQ308" t="str">
        <v>FANT</v>
      </c>
      <c r="AR308" t="str">
        <v>SUPER SENIOR</v>
      </c>
      <c r="AS308">
        <v>10</v>
      </c>
      <c r="AT308">
        <v>0</v>
      </c>
      <c r="AU308">
        <v>0</v>
      </c>
      <c r="AV308">
        <v>0</v>
      </c>
      <c r="AW308">
        <v>0</v>
      </c>
      <c r="AX308">
        <v>255</v>
      </c>
      <c r="AY308" s="5">
        <v>255</v>
      </c>
      <c r="AZ308">
        <v>0</v>
      </c>
      <c r="BA308">
        <v>0</v>
      </c>
      <c r="BB308">
        <v>0</v>
      </c>
      <c r="BC308">
        <v>0</v>
      </c>
      <c r="BD308">
        <v>0</v>
      </c>
      <c r="BE308">
        <v>0</v>
      </c>
      <c r="BF308">
        <v>0</v>
      </c>
      <c r="BG308">
        <v>0</v>
      </c>
      <c r="BH308">
        <v>0</v>
      </c>
      <c r="BI308" t="str">
        <v/>
      </c>
      <c r="BK308">
        <v>302</v>
      </c>
      <c r="BL308">
        <v>0</v>
      </c>
      <c r="BM308">
        <v>0</v>
      </c>
      <c r="BN308">
        <v>0</v>
      </c>
      <c r="BO308">
        <v>0</v>
      </c>
      <c r="BP308">
        <v>0</v>
      </c>
      <c r="BQ308">
        <v>0</v>
      </c>
      <c r="BR308">
        <v>0</v>
      </c>
      <c r="BS308">
        <v>0</v>
      </c>
      <c r="BT308">
        <v>0</v>
      </c>
      <c r="BU308">
        <v>0</v>
      </c>
      <c r="BV308">
        <v>0</v>
      </c>
      <c r="BW308">
        <v>0</v>
      </c>
      <c r="BX308">
        <v>0</v>
      </c>
      <c r="BY308">
        <v>0</v>
      </c>
      <c r="BZ308">
        <v>0</v>
      </c>
      <c r="CA308">
        <v>0</v>
      </c>
      <c r="CB308">
        <v>0</v>
      </c>
      <c r="CC308">
        <v>0</v>
      </c>
      <c r="CD308">
        <v>0</v>
      </c>
      <c r="CE308">
        <v>0</v>
      </c>
      <c r="CF308">
        <v>0</v>
      </c>
      <c r="CG308">
        <v>0</v>
      </c>
      <c r="CH308">
        <v>0</v>
      </c>
      <c r="CI308">
        <v>0</v>
      </c>
      <c r="CJ308">
        <v>0</v>
      </c>
      <c r="CK308">
        <v>0</v>
      </c>
      <c r="CL308">
        <v>0</v>
      </c>
      <c r="CM308">
        <v>0</v>
      </c>
      <c r="CN308">
        <v>0</v>
      </c>
      <c r="CO308">
        <v>0</v>
      </c>
      <c r="CP308">
        <v>0</v>
      </c>
      <c r="CQ308">
        <v>0</v>
      </c>
      <c r="CR308">
        <v>0</v>
      </c>
      <c r="CS308">
        <v>0</v>
      </c>
      <c r="CT308">
        <v>0</v>
      </c>
      <c r="CU308">
        <v>0</v>
      </c>
      <c r="CV308">
        <v>0</v>
      </c>
      <c r="CW308">
        <v>0</v>
      </c>
      <c r="CX308">
        <v>0</v>
      </c>
      <c r="CY308">
        <v>0</v>
      </c>
      <c r="CZ308">
        <v>0</v>
      </c>
      <c r="DA308">
        <v>0</v>
      </c>
      <c r="DB308">
        <v>0</v>
      </c>
      <c r="DC308">
        <v>0</v>
      </c>
      <c r="DD308">
        <v>0</v>
      </c>
      <c r="DE308">
        <v>0</v>
      </c>
      <c r="DF308">
        <v>0</v>
      </c>
      <c r="DG308">
        <v>0</v>
      </c>
      <c r="DH308">
        <v>0</v>
      </c>
      <c r="DI308">
        <v>0</v>
      </c>
      <c r="DJ308">
        <v>0</v>
      </c>
      <c r="DK308">
        <v>0</v>
      </c>
      <c r="DL308">
        <v>0</v>
      </c>
      <c r="DM308">
        <v>0</v>
      </c>
      <c r="DN308">
        <v>0</v>
      </c>
      <c r="DO308">
        <v>0</v>
      </c>
      <c r="DP308">
        <v>0</v>
      </c>
      <c r="DQ308">
        <v>0</v>
      </c>
      <c r="DR308">
        <v>0</v>
      </c>
      <c r="DS308">
        <v>0</v>
      </c>
      <c r="DT308">
        <v>0</v>
      </c>
      <c r="DU308">
        <v>0</v>
      </c>
      <c r="DV308">
        <v>0</v>
      </c>
      <c r="DW308">
        <v>0</v>
      </c>
      <c r="DX308">
        <v>0</v>
      </c>
      <c r="DY308">
        <v>0</v>
      </c>
      <c r="DZ308">
        <v>0</v>
      </c>
      <c r="EA308">
        <v>0</v>
      </c>
      <c r="EB308">
        <v>0</v>
      </c>
      <c r="EC308">
        <v>0</v>
      </c>
      <c r="ED308">
        <v>0</v>
      </c>
      <c r="EE308">
        <v>0</v>
      </c>
      <c r="EF308">
        <v>0</v>
      </c>
      <c r="EG308">
        <v>0</v>
      </c>
      <c r="EH308">
        <v>0</v>
      </c>
      <c r="EI308">
        <v>0</v>
      </c>
      <c r="EJ308">
        <v>0</v>
      </c>
      <c r="EK308">
        <v>0</v>
      </c>
      <c r="EL308">
        <v>0</v>
      </c>
      <c r="EM308">
        <v>0</v>
      </c>
      <c r="EN308">
        <v>0</v>
      </c>
      <c r="EO308">
        <v>0</v>
      </c>
      <c r="EP308">
        <v>0</v>
      </c>
      <c r="EQ308">
        <v>0</v>
      </c>
      <c r="ER308">
        <v>0</v>
      </c>
      <c r="ES308">
        <v>0</v>
      </c>
      <c r="ET308">
        <v>0</v>
      </c>
      <c r="EU308">
        <v>0</v>
      </c>
      <c r="EV308">
        <v>0</v>
      </c>
      <c r="EW308">
        <v>0</v>
      </c>
      <c r="EX308">
        <v>0</v>
      </c>
      <c r="EY308">
        <v>0</v>
      </c>
      <c r="EZ308">
        <v>0</v>
      </c>
      <c r="FA308">
        <v>0</v>
      </c>
      <c r="FB308">
        <v>0</v>
      </c>
      <c r="FC308">
        <v>0</v>
      </c>
      <c r="FD308">
        <v>0</v>
      </c>
      <c r="FE308">
        <v>0</v>
      </c>
      <c r="FF308">
        <v>0</v>
      </c>
      <c r="FG308">
        <v>0</v>
      </c>
      <c r="FH308">
        <v>0</v>
      </c>
      <c r="FI308">
        <v>0</v>
      </c>
      <c r="FJ308">
        <v>0</v>
      </c>
      <c r="FK308">
        <v>0</v>
      </c>
      <c r="FL308">
        <v>0</v>
      </c>
      <c r="FM308">
        <v>0</v>
      </c>
      <c r="FN308">
        <v>0</v>
      </c>
      <c r="FO308">
        <v>0</v>
      </c>
      <c r="FP308">
        <v>0</v>
      </c>
      <c r="FQ308">
        <v>0</v>
      </c>
      <c r="FR308">
        <v>0</v>
      </c>
      <c r="FS308">
        <v>0</v>
      </c>
      <c r="FT308">
        <v>0</v>
      </c>
      <c r="FU308">
        <v>0</v>
      </c>
      <c r="FV308">
        <v>0</v>
      </c>
      <c r="FW308">
        <v>0</v>
      </c>
      <c r="FX308">
        <v>0</v>
      </c>
      <c r="FY308">
        <v>0</v>
      </c>
      <c r="FZ308">
        <v>0</v>
      </c>
      <c r="GA308">
        <v>0</v>
      </c>
      <c r="GB308">
        <v>0</v>
      </c>
      <c r="GC308">
        <v>0</v>
      </c>
      <c r="GD308">
        <v>0</v>
      </c>
      <c r="GE308">
        <v>0</v>
      </c>
      <c r="GF308">
        <v>0</v>
      </c>
      <c r="GG308">
        <v>0</v>
      </c>
      <c r="GH308">
        <v>0</v>
      </c>
      <c r="GI308">
        <v>0</v>
      </c>
      <c r="GJ308">
        <v>0</v>
      </c>
      <c r="GK308">
        <v>0</v>
      </c>
      <c r="GL308">
        <v>0</v>
      </c>
      <c r="GM308">
        <v>0</v>
      </c>
      <c r="GN308">
        <v>0</v>
      </c>
      <c r="GO308">
        <v>0</v>
      </c>
      <c r="GP308">
        <v>0</v>
      </c>
      <c r="GQ308">
        <v>0</v>
      </c>
      <c r="GR308">
        <v>0</v>
      </c>
      <c r="GS308">
        <v>0</v>
      </c>
      <c r="GT308">
        <v>0</v>
      </c>
      <c r="GU308">
        <v>0</v>
      </c>
      <c r="GV308">
        <v>0</v>
      </c>
      <c r="GW308">
        <v>0</v>
      </c>
      <c r="GX308">
        <v>0</v>
      </c>
      <c r="GY308">
        <v>0</v>
      </c>
      <c r="GZ308">
        <v>0</v>
      </c>
      <c r="HA308">
        <v>0</v>
      </c>
      <c r="HB308">
        <v>0</v>
      </c>
      <c r="HC308">
        <v>0</v>
      </c>
      <c r="HD308">
        <v>0</v>
      </c>
      <c r="HE308">
        <v>0</v>
      </c>
      <c r="HF308">
        <v>0</v>
      </c>
      <c r="HG308">
        <v>0</v>
      </c>
      <c r="HH308">
        <v>0</v>
      </c>
      <c r="HI308">
        <v>0</v>
      </c>
      <c r="HJ308">
        <v>0</v>
      </c>
      <c r="HK308">
        <v>0</v>
      </c>
      <c r="HL308">
        <v>0</v>
      </c>
      <c r="HM308">
        <v>0</v>
      </c>
      <c r="HN308">
        <v>0</v>
      </c>
      <c r="HO308">
        <v>0</v>
      </c>
      <c r="HP308">
        <v>0</v>
      </c>
      <c r="HQ308">
        <v>0</v>
      </c>
      <c r="HR308">
        <v>0</v>
      </c>
      <c r="HS308">
        <v>0</v>
      </c>
      <c r="HT308">
        <v>0</v>
      </c>
      <c r="HU308">
        <v>0</v>
      </c>
      <c r="HV308">
        <v>0</v>
      </c>
      <c r="HW308">
        <v>0</v>
      </c>
      <c r="HX308">
        <v>0</v>
      </c>
      <c r="HY308">
        <v>0</v>
      </c>
      <c r="HZ308">
        <v>0</v>
      </c>
      <c r="IA308">
        <v>0</v>
      </c>
      <c r="IB308">
        <v>0</v>
      </c>
      <c r="IC308">
        <v>0</v>
      </c>
      <c r="ID308">
        <v>0</v>
      </c>
      <c r="IE308">
        <v>0</v>
      </c>
      <c r="IF308">
        <v>0</v>
      </c>
      <c r="IG308">
        <v>0</v>
      </c>
      <c r="IH308">
        <v>0</v>
      </c>
      <c r="II308">
        <v>0</v>
      </c>
      <c r="IJ308">
        <v>0</v>
      </c>
      <c r="IK308">
        <v>0</v>
      </c>
      <c r="IL308">
        <v>0</v>
      </c>
      <c r="IM308">
        <v>0</v>
      </c>
      <c r="IN308">
        <v>0</v>
      </c>
      <c r="IO308">
        <v>0</v>
      </c>
      <c r="IP308">
        <v>0</v>
      </c>
      <c r="IQ308">
        <v>0</v>
      </c>
      <c r="IR308">
        <v>0</v>
      </c>
      <c r="IS308">
        <v>0</v>
      </c>
      <c r="IT308">
        <v>0</v>
      </c>
      <c r="IU308">
        <v>0</v>
      </c>
      <c r="IV308">
        <v>0</v>
      </c>
      <c r="IW308">
        <v>0</v>
      </c>
      <c r="IX308">
        <v>0</v>
      </c>
      <c r="IY308">
        <v>0</v>
      </c>
      <c r="IZ308">
        <v>0</v>
      </c>
      <c r="JA308">
        <v>0</v>
      </c>
      <c r="JB308">
        <v>0</v>
      </c>
      <c r="JC308">
        <v>0</v>
      </c>
      <c r="JD308">
        <v>0</v>
      </c>
      <c r="JE308">
        <v>0</v>
      </c>
      <c r="JF308">
        <v>0</v>
      </c>
      <c r="JG308">
        <v>0</v>
      </c>
      <c r="JH308">
        <v>0</v>
      </c>
      <c r="JI308">
        <v>0</v>
      </c>
      <c r="JJ308">
        <v>0</v>
      </c>
      <c r="JK308">
        <v>0</v>
      </c>
      <c r="JL308">
        <v>0</v>
      </c>
      <c r="JM308">
        <v>0</v>
      </c>
      <c r="JN308">
        <v>0</v>
      </c>
      <c r="JO308">
        <v>0</v>
      </c>
      <c r="JP308">
        <v>0</v>
      </c>
      <c r="JQ308">
        <v>0</v>
      </c>
      <c r="JR308">
        <v>0</v>
      </c>
      <c r="JS308">
        <v>0</v>
      </c>
      <c r="JT308">
        <v>0</v>
      </c>
      <c r="JU308">
        <v>0</v>
      </c>
      <c r="JV308">
        <v>0</v>
      </c>
      <c r="JW308">
        <v>0</v>
      </c>
      <c r="JX308">
        <v>0</v>
      </c>
      <c r="JY308">
        <v>0</v>
      </c>
      <c r="JZ308">
        <v>0</v>
      </c>
      <c r="KA308">
        <v>0</v>
      </c>
      <c r="KB308">
        <v>0</v>
      </c>
      <c r="KC308">
        <v>0</v>
      </c>
      <c r="KD308">
        <v>0</v>
      </c>
      <c r="KE308">
        <v>0</v>
      </c>
      <c r="KF308">
        <v>0</v>
      </c>
      <c r="KG308">
        <v>0</v>
      </c>
      <c r="KH308">
        <v>0</v>
      </c>
      <c r="KI308">
        <v>0</v>
      </c>
      <c r="KJ308">
        <v>0</v>
      </c>
      <c r="KK308">
        <v>0</v>
      </c>
      <c r="KL308">
        <v>0</v>
      </c>
      <c r="KM308">
        <v>0</v>
      </c>
      <c r="KN308">
        <v>0</v>
      </c>
      <c r="KO308">
        <v>0</v>
      </c>
      <c r="KP308">
        <v>0</v>
      </c>
      <c r="KQ308">
        <v>0</v>
      </c>
      <c r="KR308">
        <v>0</v>
      </c>
      <c r="KS308">
        <v>0</v>
      </c>
      <c r="KT308">
        <v>0</v>
      </c>
      <c r="KU308">
        <v>0</v>
      </c>
      <c r="KV308">
        <v>0</v>
      </c>
      <c r="KW308">
        <v>0</v>
      </c>
      <c r="KX308">
        <v>0</v>
      </c>
      <c r="KY308">
        <v>0</v>
      </c>
      <c r="KZ308">
        <v>0</v>
      </c>
      <c r="LA308">
        <v>0</v>
      </c>
      <c r="LB308">
        <v>0</v>
      </c>
      <c r="LC308">
        <v>0</v>
      </c>
      <c r="LD308">
        <v>0</v>
      </c>
      <c r="LE308">
        <v>0</v>
      </c>
      <c r="LF308">
        <v>0</v>
      </c>
      <c r="LG308">
        <v>0</v>
      </c>
      <c r="LH308">
        <v>0</v>
      </c>
      <c r="LI308">
        <v>0</v>
      </c>
      <c r="LJ308">
        <v>0</v>
      </c>
      <c r="LK308">
        <v>0</v>
      </c>
      <c r="LL308">
        <v>0</v>
      </c>
      <c r="LM308">
        <v>0</v>
      </c>
      <c r="LN308">
        <v>0</v>
      </c>
      <c r="LO308">
        <v>0</v>
      </c>
      <c r="LP308">
        <v>0</v>
      </c>
      <c r="LQ308">
        <v>0</v>
      </c>
      <c r="LR308">
        <v>0</v>
      </c>
      <c r="LS308">
        <v>0</v>
      </c>
      <c r="LT308">
        <v>0</v>
      </c>
      <c r="LU308">
        <v>0</v>
      </c>
      <c r="LV308">
        <v>0</v>
      </c>
      <c r="LW308">
        <v>0</v>
      </c>
      <c r="LX308">
        <v>0</v>
      </c>
      <c r="LY308">
        <v>0</v>
      </c>
      <c r="LZ308">
        <v>0</v>
      </c>
      <c r="MA308">
        <v>0</v>
      </c>
      <c r="MB308">
        <v>0</v>
      </c>
      <c r="MC308">
        <v>0</v>
      </c>
      <c r="MD308">
        <v>0</v>
      </c>
      <c r="ME308">
        <v>0</v>
      </c>
      <c r="MF308">
        <v>0</v>
      </c>
      <c r="MG308">
        <v>0</v>
      </c>
      <c r="MH308">
        <v>0</v>
      </c>
      <c r="MI308">
        <v>0</v>
      </c>
      <c r="MJ308">
        <v>0</v>
      </c>
      <c r="MK308">
        <v>0</v>
      </c>
      <c r="ML308">
        <v>0</v>
      </c>
      <c r="MM308">
        <v>0</v>
      </c>
      <c r="MN308">
        <v>0</v>
      </c>
      <c r="MO308">
        <v>0</v>
      </c>
      <c r="MP308">
        <v>0</v>
      </c>
      <c r="MQ308">
        <v>0</v>
      </c>
      <c r="MR308">
        <v>0</v>
      </c>
      <c r="MS308">
        <v>0</v>
      </c>
      <c r="MT308">
        <v>0</v>
      </c>
      <c r="MU308">
        <v>0</v>
      </c>
      <c r="MV308">
        <v>0</v>
      </c>
      <c r="MW308">
        <v>0</v>
      </c>
      <c r="MX308">
        <v>0</v>
      </c>
      <c r="MY308">
        <v>0</v>
      </c>
      <c r="MZ308">
        <v>0</v>
      </c>
      <c r="NA308">
        <v>0</v>
      </c>
      <c r="NB308">
        <v>0</v>
      </c>
      <c r="NC308">
        <v>0</v>
      </c>
      <c r="ND308">
        <v>0</v>
      </c>
      <c r="NE308">
        <v>0</v>
      </c>
    </row>
    <row r="309" spans="41:369" x14ac:dyDescent="0.45">
      <c r="AO309" t="str">
        <v>D185</v>
      </c>
      <c r="AP309" t="str">
        <v>MAHAMMED ASHIK</v>
      </c>
      <c r="AQ309">
        <v>0</v>
      </c>
      <c r="AR309" t="str">
        <v>SUPER SENIOR</v>
      </c>
      <c r="AS309">
        <v>10</v>
      </c>
      <c r="AT309">
        <v>0</v>
      </c>
      <c r="AU309">
        <v>0</v>
      </c>
      <c r="AV309">
        <v>0</v>
      </c>
      <c r="AW309">
        <v>0</v>
      </c>
      <c r="AX309">
        <v>255</v>
      </c>
      <c r="AY309" s="5">
        <v>255</v>
      </c>
      <c r="AZ309">
        <v>0</v>
      </c>
      <c r="BA309">
        <v>0</v>
      </c>
      <c r="BB309">
        <v>0</v>
      </c>
      <c r="BC309">
        <v>0</v>
      </c>
      <c r="BD309">
        <v>0</v>
      </c>
      <c r="BE309">
        <v>0</v>
      </c>
      <c r="BF309">
        <v>0</v>
      </c>
      <c r="BG309">
        <v>0</v>
      </c>
      <c r="BH309">
        <v>0</v>
      </c>
      <c r="BI309" t="str">
        <v/>
      </c>
      <c r="BK309">
        <v>303</v>
      </c>
      <c r="BL309">
        <v>0</v>
      </c>
      <c r="BM309">
        <v>0</v>
      </c>
      <c r="BN309">
        <v>0</v>
      </c>
      <c r="BO309">
        <v>0</v>
      </c>
      <c r="BP309">
        <v>0</v>
      </c>
      <c r="BQ309">
        <v>0</v>
      </c>
      <c r="BR309">
        <v>0</v>
      </c>
      <c r="BS309">
        <v>0</v>
      </c>
      <c r="BT309">
        <v>0</v>
      </c>
      <c r="BU309">
        <v>0</v>
      </c>
      <c r="BV309">
        <v>0</v>
      </c>
      <c r="BW309">
        <v>0</v>
      </c>
      <c r="BX309">
        <v>0</v>
      </c>
      <c r="BY309">
        <v>0</v>
      </c>
      <c r="BZ309">
        <v>0</v>
      </c>
      <c r="CA309">
        <v>0</v>
      </c>
      <c r="CB309">
        <v>0</v>
      </c>
      <c r="CC309">
        <v>0</v>
      </c>
      <c r="CD309">
        <v>0</v>
      </c>
      <c r="CE309">
        <v>0</v>
      </c>
      <c r="CF309">
        <v>0</v>
      </c>
      <c r="CG309">
        <v>0</v>
      </c>
      <c r="CH309">
        <v>0</v>
      </c>
      <c r="CI309">
        <v>0</v>
      </c>
      <c r="CJ309">
        <v>0</v>
      </c>
      <c r="CK309">
        <v>0</v>
      </c>
      <c r="CL309">
        <v>0</v>
      </c>
      <c r="CM309">
        <v>0</v>
      </c>
      <c r="CN309">
        <v>0</v>
      </c>
      <c r="CO309">
        <v>0</v>
      </c>
      <c r="CP309">
        <v>0</v>
      </c>
      <c r="CQ309">
        <v>0</v>
      </c>
      <c r="CR309">
        <v>0</v>
      </c>
      <c r="CS309">
        <v>0</v>
      </c>
      <c r="CT309">
        <v>0</v>
      </c>
      <c r="CU309">
        <v>0</v>
      </c>
      <c r="CV309">
        <v>0</v>
      </c>
      <c r="CW309">
        <v>0</v>
      </c>
      <c r="CX309">
        <v>0</v>
      </c>
      <c r="CY309">
        <v>0</v>
      </c>
      <c r="CZ309">
        <v>0</v>
      </c>
      <c r="DA309">
        <v>0</v>
      </c>
      <c r="DB309">
        <v>0</v>
      </c>
      <c r="DC309">
        <v>0</v>
      </c>
      <c r="DD309">
        <v>0</v>
      </c>
      <c r="DE309">
        <v>0</v>
      </c>
      <c r="DF309">
        <v>0</v>
      </c>
      <c r="DG309">
        <v>0</v>
      </c>
      <c r="DH309">
        <v>0</v>
      </c>
      <c r="DI309">
        <v>0</v>
      </c>
      <c r="DJ309">
        <v>0</v>
      </c>
      <c r="DK309">
        <v>0</v>
      </c>
      <c r="DL309">
        <v>0</v>
      </c>
      <c r="DM309">
        <v>0</v>
      </c>
      <c r="DN309">
        <v>0</v>
      </c>
      <c r="DO309">
        <v>0</v>
      </c>
      <c r="DP309">
        <v>0</v>
      </c>
      <c r="DQ309">
        <v>0</v>
      </c>
      <c r="DR309">
        <v>0</v>
      </c>
      <c r="DS309">
        <v>0</v>
      </c>
      <c r="DT309">
        <v>0</v>
      </c>
      <c r="DU309">
        <v>0</v>
      </c>
      <c r="DV309">
        <v>0</v>
      </c>
      <c r="DW309">
        <v>0</v>
      </c>
      <c r="DX309">
        <v>0</v>
      </c>
      <c r="DY309">
        <v>0</v>
      </c>
      <c r="DZ309">
        <v>0</v>
      </c>
      <c r="EA309">
        <v>0</v>
      </c>
      <c r="EB309">
        <v>0</v>
      </c>
      <c r="EC309">
        <v>0</v>
      </c>
      <c r="ED309">
        <v>0</v>
      </c>
      <c r="EE309">
        <v>0</v>
      </c>
      <c r="EF309">
        <v>0</v>
      </c>
      <c r="EG309">
        <v>0</v>
      </c>
      <c r="EH309">
        <v>0</v>
      </c>
      <c r="EI309">
        <v>0</v>
      </c>
      <c r="EJ309">
        <v>0</v>
      </c>
      <c r="EK309">
        <v>0</v>
      </c>
      <c r="EL309">
        <v>0</v>
      </c>
      <c r="EM309">
        <v>0</v>
      </c>
      <c r="EN309">
        <v>0</v>
      </c>
      <c r="EO309">
        <v>0</v>
      </c>
      <c r="EP309">
        <v>0</v>
      </c>
      <c r="EQ309">
        <v>0</v>
      </c>
      <c r="ER309">
        <v>0</v>
      </c>
      <c r="ES309">
        <v>0</v>
      </c>
      <c r="ET309">
        <v>0</v>
      </c>
      <c r="EU309">
        <v>0</v>
      </c>
      <c r="EV309">
        <v>0</v>
      </c>
      <c r="EW309">
        <v>0</v>
      </c>
      <c r="EX309">
        <v>0</v>
      </c>
      <c r="EY309">
        <v>0</v>
      </c>
      <c r="EZ309">
        <v>0</v>
      </c>
      <c r="FA309">
        <v>0</v>
      </c>
      <c r="FB309">
        <v>0</v>
      </c>
      <c r="FC309">
        <v>0</v>
      </c>
      <c r="FD309">
        <v>0</v>
      </c>
      <c r="FE309">
        <v>0</v>
      </c>
      <c r="FF309">
        <v>0</v>
      </c>
      <c r="FG309">
        <v>0</v>
      </c>
      <c r="FH309">
        <v>0</v>
      </c>
      <c r="FI309">
        <v>0</v>
      </c>
      <c r="FJ309">
        <v>0</v>
      </c>
      <c r="FK309">
        <v>0</v>
      </c>
      <c r="FL309">
        <v>0</v>
      </c>
      <c r="FM309">
        <v>0</v>
      </c>
      <c r="FN309">
        <v>0</v>
      </c>
      <c r="FO309">
        <v>0</v>
      </c>
      <c r="FP309">
        <v>0</v>
      </c>
      <c r="FQ309">
        <v>0</v>
      </c>
      <c r="FR309">
        <v>0</v>
      </c>
      <c r="FS309">
        <v>0</v>
      </c>
      <c r="FT309">
        <v>0</v>
      </c>
      <c r="FU309">
        <v>0</v>
      </c>
      <c r="FV309">
        <v>0</v>
      </c>
      <c r="FW309">
        <v>0</v>
      </c>
      <c r="FX309">
        <v>0</v>
      </c>
      <c r="FY309">
        <v>0</v>
      </c>
      <c r="FZ309">
        <v>0</v>
      </c>
      <c r="GA309">
        <v>0</v>
      </c>
      <c r="GB309">
        <v>0</v>
      </c>
      <c r="GC309">
        <v>0</v>
      </c>
      <c r="GD309">
        <v>0</v>
      </c>
      <c r="GE309">
        <v>0</v>
      </c>
      <c r="GF309">
        <v>0</v>
      </c>
      <c r="GG309">
        <v>0</v>
      </c>
      <c r="GH309">
        <v>0</v>
      </c>
      <c r="GI309">
        <v>0</v>
      </c>
      <c r="GJ309">
        <v>0</v>
      </c>
      <c r="GK309">
        <v>0</v>
      </c>
      <c r="GL309">
        <v>0</v>
      </c>
      <c r="GM309">
        <v>0</v>
      </c>
      <c r="GN309">
        <v>0</v>
      </c>
      <c r="GO309">
        <v>0</v>
      </c>
      <c r="GP309">
        <v>0</v>
      </c>
      <c r="GQ309">
        <v>0</v>
      </c>
      <c r="GR309">
        <v>0</v>
      </c>
      <c r="GS309">
        <v>0</v>
      </c>
      <c r="GT309">
        <v>0</v>
      </c>
      <c r="GU309">
        <v>0</v>
      </c>
      <c r="GV309">
        <v>0</v>
      </c>
      <c r="GW309">
        <v>0</v>
      </c>
      <c r="GX309">
        <v>0</v>
      </c>
      <c r="GY309">
        <v>0</v>
      </c>
      <c r="GZ309">
        <v>0</v>
      </c>
      <c r="HA309">
        <v>0</v>
      </c>
      <c r="HB309">
        <v>0</v>
      </c>
      <c r="HC309">
        <v>0</v>
      </c>
      <c r="HD309">
        <v>0</v>
      </c>
      <c r="HE309">
        <v>0</v>
      </c>
      <c r="HF309">
        <v>0</v>
      </c>
      <c r="HG309">
        <v>0</v>
      </c>
      <c r="HH309">
        <v>0</v>
      </c>
      <c r="HI309">
        <v>0</v>
      </c>
      <c r="HJ309">
        <v>0</v>
      </c>
      <c r="HK309">
        <v>0</v>
      </c>
      <c r="HL309">
        <v>0</v>
      </c>
      <c r="HM309">
        <v>0</v>
      </c>
      <c r="HN309">
        <v>0</v>
      </c>
      <c r="HO309">
        <v>0</v>
      </c>
      <c r="HP309">
        <v>0</v>
      </c>
      <c r="HQ309">
        <v>0</v>
      </c>
      <c r="HR309">
        <v>0</v>
      </c>
      <c r="HS309">
        <v>0</v>
      </c>
      <c r="HT309">
        <v>0</v>
      </c>
      <c r="HU309">
        <v>0</v>
      </c>
      <c r="HV309">
        <v>0</v>
      </c>
      <c r="HW309">
        <v>0</v>
      </c>
      <c r="HX309">
        <v>0</v>
      </c>
      <c r="HY309">
        <v>0</v>
      </c>
      <c r="HZ309">
        <v>0</v>
      </c>
      <c r="IA309">
        <v>0</v>
      </c>
      <c r="IB309">
        <v>0</v>
      </c>
      <c r="IC309">
        <v>0</v>
      </c>
      <c r="ID309">
        <v>0</v>
      </c>
      <c r="IE309">
        <v>0</v>
      </c>
      <c r="IF309">
        <v>0</v>
      </c>
      <c r="IG309">
        <v>0</v>
      </c>
      <c r="IH309">
        <v>0</v>
      </c>
      <c r="II309">
        <v>0</v>
      </c>
      <c r="IJ309">
        <v>0</v>
      </c>
      <c r="IK309">
        <v>0</v>
      </c>
      <c r="IL309">
        <v>0</v>
      </c>
      <c r="IM309">
        <v>0</v>
      </c>
      <c r="IN309">
        <v>0</v>
      </c>
      <c r="IO309">
        <v>0</v>
      </c>
      <c r="IP309">
        <v>0</v>
      </c>
      <c r="IQ309">
        <v>0</v>
      </c>
      <c r="IR309">
        <v>0</v>
      </c>
      <c r="IS309">
        <v>0</v>
      </c>
      <c r="IT309">
        <v>0</v>
      </c>
      <c r="IU309">
        <v>0</v>
      </c>
      <c r="IV309">
        <v>0</v>
      </c>
      <c r="IW309">
        <v>0</v>
      </c>
      <c r="IX309">
        <v>0</v>
      </c>
      <c r="IY309">
        <v>0</v>
      </c>
      <c r="IZ309">
        <v>0</v>
      </c>
      <c r="JA309">
        <v>0</v>
      </c>
      <c r="JB309">
        <v>0</v>
      </c>
      <c r="JC309">
        <v>0</v>
      </c>
      <c r="JD309">
        <v>0</v>
      </c>
      <c r="JE309">
        <v>0</v>
      </c>
      <c r="JF309">
        <v>0</v>
      </c>
      <c r="JG309">
        <v>0</v>
      </c>
      <c r="JH309">
        <v>0</v>
      </c>
      <c r="JI309">
        <v>0</v>
      </c>
      <c r="JJ309">
        <v>0</v>
      </c>
      <c r="JK309">
        <v>0</v>
      </c>
      <c r="JL309">
        <v>0</v>
      </c>
      <c r="JM309">
        <v>0</v>
      </c>
      <c r="JN309">
        <v>0</v>
      </c>
      <c r="JO309">
        <v>0</v>
      </c>
      <c r="JP309">
        <v>0</v>
      </c>
      <c r="JQ309">
        <v>0</v>
      </c>
      <c r="JR309">
        <v>0</v>
      </c>
      <c r="JS309">
        <v>0</v>
      </c>
      <c r="JT309">
        <v>0</v>
      </c>
      <c r="JU309">
        <v>0</v>
      </c>
      <c r="JV309">
        <v>0</v>
      </c>
      <c r="JW309">
        <v>0</v>
      </c>
      <c r="JX309">
        <v>0</v>
      </c>
      <c r="JY309">
        <v>0</v>
      </c>
      <c r="JZ309">
        <v>0</v>
      </c>
      <c r="KA309">
        <v>0</v>
      </c>
      <c r="KB309">
        <v>0</v>
      </c>
      <c r="KC309">
        <v>0</v>
      </c>
      <c r="KD309">
        <v>0</v>
      </c>
      <c r="KE309">
        <v>0</v>
      </c>
      <c r="KF309">
        <v>0</v>
      </c>
      <c r="KG309">
        <v>0</v>
      </c>
      <c r="KH309">
        <v>0</v>
      </c>
      <c r="KI309">
        <v>0</v>
      </c>
      <c r="KJ309">
        <v>0</v>
      </c>
      <c r="KK309">
        <v>0</v>
      </c>
      <c r="KL309">
        <v>0</v>
      </c>
      <c r="KM309">
        <v>0</v>
      </c>
      <c r="KN309">
        <v>0</v>
      </c>
      <c r="KO309">
        <v>0</v>
      </c>
      <c r="KP309">
        <v>0</v>
      </c>
      <c r="KQ309">
        <v>0</v>
      </c>
      <c r="KR309">
        <v>0</v>
      </c>
      <c r="KS309">
        <v>0</v>
      </c>
      <c r="KT309">
        <v>0</v>
      </c>
      <c r="KU309">
        <v>0</v>
      </c>
      <c r="KV309">
        <v>0</v>
      </c>
      <c r="KW309">
        <v>0</v>
      </c>
      <c r="KX309">
        <v>0</v>
      </c>
      <c r="KY309">
        <v>0</v>
      </c>
      <c r="KZ309">
        <v>0</v>
      </c>
      <c r="LA309">
        <v>0</v>
      </c>
      <c r="LB309">
        <v>0</v>
      </c>
      <c r="LC309">
        <v>0</v>
      </c>
      <c r="LD309">
        <v>0</v>
      </c>
      <c r="LE309">
        <v>0</v>
      </c>
      <c r="LF309">
        <v>0</v>
      </c>
      <c r="LG309">
        <v>0</v>
      </c>
      <c r="LH309">
        <v>0</v>
      </c>
      <c r="LI309">
        <v>0</v>
      </c>
      <c r="LJ309">
        <v>0</v>
      </c>
      <c r="LK309">
        <v>0</v>
      </c>
      <c r="LL309">
        <v>0</v>
      </c>
      <c r="LM309">
        <v>0</v>
      </c>
      <c r="LN309">
        <v>0</v>
      </c>
      <c r="LO309">
        <v>0</v>
      </c>
      <c r="LP309">
        <v>0</v>
      </c>
      <c r="LQ309">
        <v>0</v>
      </c>
      <c r="LR309">
        <v>0</v>
      </c>
      <c r="LS309">
        <v>0</v>
      </c>
      <c r="LT309">
        <v>0</v>
      </c>
      <c r="LU309">
        <v>0</v>
      </c>
      <c r="LV309">
        <v>0</v>
      </c>
      <c r="LW309">
        <v>0</v>
      </c>
      <c r="LX309">
        <v>0</v>
      </c>
      <c r="LY309">
        <v>0</v>
      </c>
      <c r="LZ309">
        <v>0</v>
      </c>
      <c r="MA309">
        <v>0</v>
      </c>
      <c r="MB309">
        <v>0</v>
      </c>
      <c r="MC309">
        <v>0</v>
      </c>
      <c r="MD309">
        <v>0</v>
      </c>
      <c r="ME309">
        <v>0</v>
      </c>
      <c r="MF309">
        <v>0</v>
      </c>
      <c r="MG309">
        <v>0</v>
      </c>
      <c r="MH309">
        <v>0</v>
      </c>
      <c r="MI309">
        <v>0</v>
      </c>
      <c r="MJ309">
        <v>0</v>
      </c>
      <c r="MK309">
        <v>0</v>
      </c>
      <c r="ML309">
        <v>0</v>
      </c>
      <c r="MM309">
        <v>0</v>
      </c>
      <c r="MN309">
        <v>0</v>
      </c>
      <c r="MO309">
        <v>0</v>
      </c>
      <c r="MP309">
        <v>0</v>
      </c>
      <c r="MQ309">
        <v>0</v>
      </c>
      <c r="MR309">
        <v>0</v>
      </c>
      <c r="MS309">
        <v>0</v>
      </c>
      <c r="MT309">
        <v>0</v>
      </c>
      <c r="MU309">
        <v>0</v>
      </c>
      <c r="MV309">
        <v>0</v>
      </c>
      <c r="MW309">
        <v>0</v>
      </c>
      <c r="MX309">
        <v>0</v>
      </c>
      <c r="MY309">
        <v>0</v>
      </c>
      <c r="MZ309">
        <v>0</v>
      </c>
      <c r="NA309">
        <v>0</v>
      </c>
      <c r="NB309">
        <v>0</v>
      </c>
      <c r="NC309">
        <v>0</v>
      </c>
      <c r="ND309">
        <v>0</v>
      </c>
      <c r="NE309">
        <v>0</v>
      </c>
    </row>
    <row r="310" spans="41:369" x14ac:dyDescent="0.45">
      <c r="AO310" t="str">
        <v>D186</v>
      </c>
      <c r="AP310" t="str">
        <v>SALAHUDDEEN AYYOOBI KM</v>
      </c>
      <c r="AQ310" t="str">
        <v>FANT</v>
      </c>
      <c r="AR310" t="str">
        <v>SUPER SENIOR</v>
      </c>
      <c r="AS310">
        <v>10</v>
      </c>
      <c r="AT310">
        <v>8</v>
      </c>
      <c r="AU310">
        <v>0</v>
      </c>
      <c r="AV310">
        <v>8</v>
      </c>
      <c r="AW310">
        <v>8</v>
      </c>
      <c r="AX310">
        <v>147</v>
      </c>
      <c r="AY310" s="5">
        <v>147</v>
      </c>
      <c r="AZ310">
        <v>0</v>
      </c>
      <c r="BA310">
        <v>0</v>
      </c>
      <c r="BB310">
        <v>0</v>
      </c>
      <c r="BC310">
        <v>0</v>
      </c>
      <c r="BD310">
        <v>0</v>
      </c>
      <c r="BE310">
        <v>0</v>
      </c>
      <c r="BF310">
        <v>0</v>
      </c>
      <c r="BG310">
        <v>0</v>
      </c>
      <c r="BH310">
        <v>0</v>
      </c>
      <c r="BI310" t="str">
        <v/>
      </c>
      <c r="BK310">
        <v>304</v>
      </c>
      <c r="BL310">
        <v>0</v>
      </c>
      <c r="BM310">
        <v>0</v>
      </c>
      <c r="BN310">
        <v>0</v>
      </c>
      <c r="BO310">
        <v>0</v>
      </c>
      <c r="BP310">
        <v>0</v>
      </c>
      <c r="BQ310">
        <v>0</v>
      </c>
      <c r="BR310">
        <v>0</v>
      </c>
      <c r="BS310">
        <v>0</v>
      </c>
      <c r="BT310">
        <v>0</v>
      </c>
      <c r="BU310">
        <v>0</v>
      </c>
      <c r="BV310">
        <v>0</v>
      </c>
      <c r="BW310">
        <v>0</v>
      </c>
      <c r="BX310">
        <v>0</v>
      </c>
      <c r="BY310">
        <v>0</v>
      </c>
      <c r="BZ310">
        <v>0</v>
      </c>
      <c r="CA310">
        <v>0</v>
      </c>
      <c r="CB310">
        <v>0</v>
      </c>
      <c r="CC310">
        <v>0</v>
      </c>
      <c r="CD310">
        <v>0</v>
      </c>
      <c r="CE310">
        <v>0</v>
      </c>
      <c r="CF310">
        <v>0</v>
      </c>
      <c r="CG310">
        <v>0</v>
      </c>
      <c r="CH310">
        <v>0</v>
      </c>
      <c r="CI310">
        <v>0</v>
      </c>
      <c r="CJ310">
        <v>0</v>
      </c>
      <c r="CK310">
        <v>0</v>
      </c>
      <c r="CL310">
        <v>0</v>
      </c>
      <c r="CM310">
        <v>0</v>
      </c>
      <c r="CN310">
        <v>0</v>
      </c>
      <c r="CO310">
        <v>0</v>
      </c>
      <c r="CP310">
        <v>0</v>
      </c>
      <c r="CQ310">
        <v>0</v>
      </c>
      <c r="CR310">
        <v>0</v>
      </c>
      <c r="CS310">
        <v>0</v>
      </c>
      <c r="CT310">
        <v>0</v>
      </c>
      <c r="CU310">
        <v>0</v>
      </c>
      <c r="CV310">
        <v>0</v>
      </c>
      <c r="CW310">
        <v>0</v>
      </c>
      <c r="CX310">
        <v>0</v>
      </c>
      <c r="CY310">
        <v>0</v>
      </c>
      <c r="CZ310">
        <v>0</v>
      </c>
      <c r="DA310">
        <v>0</v>
      </c>
      <c r="DB310">
        <v>0</v>
      </c>
      <c r="DC310">
        <v>0</v>
      </c>
      <c r="DD310">
        <v>0</v>
      </c>
      <c r="DE310">
        <v>0</v>
      </c>
      <c r="DF310">
        <v>0</v>
      </c>
      <c r="DG310">
        <v>0</v>
      </c>
      <c r="DH310">
        <v>0</v>
      </c>
      <c r="DI310">
        <v>0</v>
      </c>
      <c r="DJ310">
        <v>0</v>
      </c>
      <c r="DK310">
        <v>0</v>
      </c>
      <c r="DL310">
        <v>0</v>
      </c>
      <c r="DM310">
        <v>0</v>
      </c>
      <c r="DN310">
        <v>0</v>
      </c>
      <c r="DO310">
        <v>0</v>
      </c>
      <c r="DP310">
        <v>0</v>
      </c>
      <c r="DQ310">
        <v>0</v>
      </c>
      <c r="DR310">
        <v>0</v>
      </c>
      <c r="DS310">
        <v>0</v>
      </c>
      <c r="DT310">
        <v>0</v>
      </c>
      <c r="DU310">
        <v>0</v>
      </c>
      <c r="DV310">
        <v>0</v>
      </c>
      <c r="DW310">
        <v>0</v>
      </c>
      <c r="DX310">
        <v>0</v>
      </c>
      <c r="DY310">
        <v>0</v>
      </c>
      <c r="DZ310">
        <v>0</v>
      </c>
      <c r="EA310">
        <v>0</v>
      </c>
      <c r="EB310">
        <v>0</v>
      </c>
      <c r="EC310">
        <v>0</v>
      </c>
      <c r="ED310">
        <v>0</v>
      </c>
      <c r="EE310">
        <v>0</v>
      </c>
      <c r="EF310">
        <v>0</v>
      </c>
      <c r="EG310">
        <v>0</v>
      </c>
      <c r="EH310">
        <v>0</v>
      </c>
      <c r="EI310">
        <v>0</v>
      </c>
      <c r="EJ310">
        <v>0</v>
      </c>
      <c r="EK310">
        <v>0</v>
      </c>
      <c r="EL310">
        <v>0</v>
      </c>
      <c r="EM310">
        <v>0</v>
      </c>
      <c r="EN310">
        <v>0</v>
      </c>
      <c r="EO310">
        <v>0</v>
      </c>
      <c r="EP310">
        <v>0</v>
      </c>
      <c r="EQ310">
        <v>0</v>
      </c>
      <c r="ER310">
        <v>0</v>
      </c>
      <c r="ES310">
        <v>0</v>
      </c>
      <c r="ET310">
        <v>0</v>
      </c>
      <c r="EU310">
        <v>0</v>
      </c>
      <c r="EV310">
        <v>0</v>
      </c>
      <c r="EW310">
        <v>0</v>
      </c>
      <c r="EX310">
        <v>0</v>
      </c>
      <c r="EY310">
        <v>0</v>
      </c>
      <c r="EZ310">
        <v>0</v>
      </c>
      <c r="FA310">
        <v>0</v>
      </c>
      <c r="FB310">
        <v>0</v>
      </c>
      <c r="FC310">
        <v>0</v>
      </c>
      <c r="FD310">
        <v>0</v>
      </c>
      <c r="FE310">
        <v>0</v>
      </c>
      <c r="FF310">
        <v>0</v>
      </c>
      <c r="FG310">
        <v>0</v>
      </c>
      <c r="FH310">
        <v>0</v>
      </c>
      <c r="FI310">
        <v>0</v>
      </c>
      <c r="FJ310">
        <v>0</v>
      </c>
      <c r="FK310">
        <v>0</v>
      </c>
      <c r="FL310">
        <v>0</v>
      </c>
      <c r="FM310">
        <v>0</v>
      </c>
      <c r="FN310">
        <v>0</v>
      </c>
      <c r="FO310">
        <v>0</v>
      </c>
      <c r="FP310">
        <v>0</v>
      </c>
      <c r="FQ310">
        <v>0</v>
      </c>
      <c r="FR310">
        <v>0</v>
      </c>
      <c r="FS310">
        <v>0</v>
      </c>
      <c r="FT310">
        <v>0</v>
      </c>
      <c r="FU310">
        <v>0</v>
      </c>
      <c r="FV310">
        <v>0</v>
      </c>
      <c r="FW310">
        <v>0</v>
      </c>
      <c r="FX310">
        <v>0</v>
      </c>
      <c r="FY310">
        <v>0</v>
      </c>
      <c r="FZ310">
        <v>0</v>
      </c>
      <c r="GA310">
        <v>0</v>
      </c>
      <c r="GB310">
        <v>0</v>
      </c>
      <c r="GC310">
        <v>0</v>
      </c>
      <c r="GD310">
        <v>0</v>
      </c>
      <c r="GE310">
        <v>0</v>
      </c>
      <c r="GF310">
        <v>0</v>
      </c>
      <c r="GG310">
        <v>0</v>
      </c>
      <c r="GH310">
        <v>0</v>
      </c>
      <c r="GI310">
        <v>0</v>
      </c>
      <c r="GJ310">
        <v>0</v>
      </c>
      <c r="GK310">
        <v>0</v>
      </c>
      <c r="GL310">
        <v>0</v>
      </c>
      <c r="GM310">
        <v>0</v>
      </c>
      <c r="GN310">
        <v>0</v>
      </c>
      <c r="GO310">
        <v>0</v>
      </c>
      <c r="GP310">
        <v>0</v>
      </c>
      <c r="GQ310">
        <v>0</v>
      </c>
      <c r="GR310">
        <v>0</v>
      </c>
      <c r="GS310">
        <v>0</v>
      </c>
      <c r="GT310">
        <v>0</v>
      </c>
      <c r="GU310">
        <v>0</v>
      </c>
      <c r="GV310">
        <v>0</v>
      </c>
      <c r="GW310">
        <v>0</v>
      </c>
      <c r="GX310">
        <v>0</v>
      </c>
      <c r="GY310">
        <v>0</v>
      </c>
      <c r="GZ310">
        <v>0</v>
      </c>
      <c r="HA310">
        <v>0</v>
      </c>
      <c r="HB310">
        <v>0</v>
      </c>
      <c r="HC310">
        <v>0</v>
      </c>
      <c r="HD310">
        <v>0</v>
      </c>
      <c r="HE310">
        <v>0</v>
      </c>
      <c r="HF310">
        <v>0</v>
      </c>
      <c r="HG310">
        <v>0</v>
      </c>
      <c r="HH310">
        <v>0</v>
      </c>
      <c r="HI310">
        <v>0</v>
      </c>
      <c r="HJ310">
        <v>0</v>
      </c>
      <c r="HK310">
        <v>0</v>
      </c>
      <c r="HL310">
        <v>0</v>
      </c>
      <c r="HM310">
        <v>0</v>
      </c>
      <c r="HN310">
        <v>0</v>
      </c>
      <c r="HO310">
        <v>0</v>
      </c>
      <c r="HP310">
        <v>0</v>
      </c>
      <c r="HQ310">
        <v>0</v>
      </c>
      <c r="HR310">
        <v>0</v>
      </c>
      <c r="HS310">
        <v>0</v>
      </c>
      <c r="HT310">
        <v>0</v>
      </c>
      <c r="HU310">
        <v>0</v>
      </c>
      <c r="HV310">
        <v>0</v>
      </c>
      <c r="HW310">
        <v>0</v>
      </c>
      <c r="HX310">
        <v>0</v>
      </c>
      <c r="HY310">
        <v>0</v>
      </c>
      <c r="HZ310">
        <v>0</v>
      </c>
      <c r="IA310">
        <v>0</v>
      </c>
      <c r="IB310">
        <v>0</v>
      </c>
      <c r="IC310">
        <v>0</v>
      </c>
      <c r="ID310">
        <v>0</v>
      </c>
      <c r="IE310">
        <v>0</v>
      </c>
      <c r="IF310">
        <v>0</v>
      </c>
      <c r="IG310">
        <v>0</v>
      </c>
      <c r="IH310">
        <v>0</v>
      </c>
      <c r="II310">
        <v>0</v>
      </c>
      <c r="IJ310">
        <v>0</v>
      </c>
      <c r="IK310">
        <v>0</v>
      </c>
      <c r="IL310">
        <v>0</v>
      </c>
      <c r="IM310">
        <v>0</v>
      </c>
      <c r="IN310">
        <v>0</v>
      </c>
      <c r="IO310">
        <v>0</v>
      </c>
      <c r="IP310">
        <v>0</v>
      </c>
      <c r="IQ310">
        <v>0</v>
      </c>
      <c r="IR310">
        <v>0</v>
      </c>
      <c r="IS310">
        <v>0</v>
      </c>
      <c r="IT310">
        <v>0</v>
      </c>
      <c r="IU310">
        <v>0</v>
      </c>
      <c r="IV310">
        <v>0</v>
      </c>
      <c r="IW310">
        <v>0</v>
      </c>
      <c r="IX310">
        <v>0</v>
      </c>
      <c r="IY310">
        <v>0</v>
      </c>
      <c r="IZ310">
        <v>0</v>
      </c>
      <c r="JA310">
        <v>0</v>
      </c>
      <c r="JB310">
        <v>0</v>
      </c>
      <c r="JC310">
        <v>0</v>
      </c>
      <c r="JD310">
        <v>0</v>
      </c>
      <c r="JE310">
        <v>0</v>
      </c>
      <c r="JF310">
        <v>0</v>
      </c>
      <c r="JG310">
        <v>0</v>
      </c>
      <c r="JH310">
        <v>0</v>
      </c>
      <c r="JI310">
        <v>0</v>
      </c>
      <c r="JJ310">
        <v>0</v>
      </c>
      <c r="JK310">
        <v>0</v>
      </c>
      <c r="JL310">
        <v>0</v>
      </c>
      <c r="JM310">
        <v>0</v>
      </c>
      <c r="JN310">
        <v>0</v>
      </c>
      <c r="JO310">
        <v>0</v>
      </c>
      <c r="JP310">
        <v>0</v>
      </c>
      <c r="JQ310">
        <v>0</v>
      </c>
      <c r="JR310">
        <v>0</v>
      </c>
      <c r="JS310">
        <v>0</v>
      </c>
      <c r="JT310">
        <v>0</v>
      </c>
      <c r="JU310">
        <v>0</v>
      </c>
      <c r="JV310">
        <v>0</v>
      </c>
      <c r="JW310">
        <v>0</v>
      </c>
      <c r="JX310">
        <v>0</v>
      </c>
      <c r="JY310">
        <v>0</v>
      </c>
      <c r="JZ310">
        <v>0</v>
      </c>
      <c r="KA310">
        <v>0</v>
      </c>
      <c r="KB310">
        <v>0</v>
      </c>
      <c r="KC310">
        <v>0</v>
      </c>
      <c r="KD310">
        <v>0</v>
      </c>
      <c r="KE310">
        <v>0</v>
      </c>
      <c r="KF310">
        <v>0</v>
      </c>
      <c r="KG310">
        <v>0</v>
      </c>
      <c r="KH310">
        <v>0</v>
      </c>
      <c r="KI310">
        <v>0</v>
      </c>
      <c r="KJ310">
        <v>0</v>
      </c>
      <c r="KK310">
        <v>0</v>
      </c>
      <c r="KL310">
        <v>0</v>
      </c>
      <c r="KM310">
        <v>0</v>
      </c>
      <c r="KN310">
        <v>0</v>
      </c>
      <c r="KO310">
        <v>0</v>
      </c>
      <c r="KP310">
        <v>0</v>
      </c>
      <c r="KQ310">
        <v>0</v>
      </c>
      <c r="KR310">
        <v>0</v>
      </c>
      <c r="KS310">
        <v>0</v>
      </c>
      <c r="KT310">
        <v>0</v>
      </c>
      <c r="KU310">
        <v>0</v>
      </c>
      <c r="KV310">
        <v>0</v>
      </c>
      <c r="KW310">
        <v>0</v>
      </c>
      <c r="KX310">
        <v>0</v>
      </c>
      <c r="KY310">
        <v>0</v>
      </c>
      <c r="KZ310">
        <v>0</v>
      </c>
      <c r="LA310">
        <v>0</v>
      </c>
      <c r="LB310">
        <v>0</v>
      </c>
      <c r="LC310">
        <v>0</v>
      </c>
      <c r="LD310">
        <v>0</v>
      </c>
      <c r="LE310">
        <v>0</v>
      </c>
      <c r="LF310">
        <v>0</v>
      </c>
      <c r="LG310">
        <v>0</v>
      </c>
      <c r="LH310">
        <v>0</v>
      </c>
      <c r="LI310">
        <v>0</v>
      </c>
      <c r="LJ310">
        <v>0</v>
      </c>
      <c r="LK310">
        <v>0</v>
      </c>
      <c r="LL310">
        <v>0</v>
      </c>
      <c r="LM310">
        <v>0</v>
      </c>
      <c r="LN310">
        <v>0</v>
      </c>
      <c r="LO310">
        <v>0</v>
      </c>
      <c r="LP310">
        <v>0</v>
      </c>
      <c r="LQ310">
        <v>0</v>
      </c>
      <c r="LR310">
        <v>0</v>
      </c>
      <c r="LS310">
        <v>0</v>
      </c>
      <c r="LT310">
        <v>0</v>
      </c>
      <c r="LU310">
        <v>0</v>
      </c>
      <c r="LV310">
        <v>0</v>
      </c>
      <c r="LW310">
        <v>0</v>
      </c>
      <c r="LX310">
        <v>0</v>
      </c>
      <c r="LY310">
        <v>0</v>
      </c>
      <c r="LZ310">
        <v>0</v>
      </c>
      <c r="MA310">
        <v>0</v>
      </c>
      <c r="MB310">
        <v>0</v>
      </c>
      <c r="MC310">
        <v>0</v>
      </c>
      <c r="MD310">
        <v>0</v>
      </c>
      <c r="ME310">
        <v>0</v>
      </c>
      <c r="MF310">
        <v>0</v>
      </c>
      <c r="MG310">
        <v>0</v>
      </c>
      <c r="MH310">
        <v>0</v>
      </c>
      <c r="MI310">
        <v>0</v>
      </c>
      <c r="MJ310">
        <v>0</v>
      </c>
      <c r="MK310">
        <v>0</v>
      </c>
      <c r="ML310">
        <v>0</v>
      </c>
      <c r="MM310">
        <v>0</v>
      </c>
      <c r="MN310">
        <v>0</v>
      </c>
      <c r="MO310">
        <v>0</v>
      </c>
      <c r="MP310">
        <v>0</v>
      </c>
      <c r="MQ310">
        <v>0</v>
      </c>
      <c r="MR310">
        <v>0</v>
      </c>
      <c r="MS310">
        <v>0</v>
      </c>
      <c r="MT310">
        <v>0</v>
      </c>
      <c r="MU310">
        <v>0</v>
      </c>
      <c r="MV310">
        <v>0</v>
      </c>
      <c r="MW310">
        <v>0</v>
      </c>
      <c r="MX310">
        <v>0</v>
      </c>
      <c r="MY310">
        <v>0</v>
      </c>
      <c r="MZ310">
        <v>0</v>
      </c>
      <c r="NA310">
        <v>0</v>
      </c>
      <c r="NB310">
        <v>0</v>
      </c>
      <c r="NC310">
        <v>0</v>
      </c>
      <c r="ND310">
        <v>0</v>
      </c>
      <c r="NE310">
        <v>0</v>
      </c>
    </row>
    <row r="311" spans="41:369" x14ac:dyDescent="0.45">
      <c r="AO311" t="str">
        <v>D187</v>
      </c>
      <c r="AP311" t="str">
        <v>ABDUL RAHMAN</v>
      </c>
      <c r="AQ311" t="str">
        <v>DAHF</v>
      </c>
      <c r="AR311" t="str">
        <v>SUPER SENIOR</v>
      </c>
      <c r="AS311">
        <v>10</v>
      </c>
      <c r="AT311">
        <v>0</v>
      </c>
      <c r="AU311">
        <v>0</v>
      </c>
      <c r="AV311">
        <v>0</v>
      </c>
      <c r="AW311">
        <v>0</v>
      </c>
      <c r="AX311">
        <v>255</v>
      </c>
      <c r="AY311" s="5">
        <v>255</v>
      </c>
      <c r="AZ311">
        <v>0</v>
      </c>
      <c r="BA311">
        <v>0</v>
      </c>
      <c r="BB311">
        <v>0</v>
      </c>
      <c r="BC311">
        <v>0</v>
      </c>
      <c r="BD311">
        <v>0</v>
      </c>
      <c r="BE311">
        <v>0</v>
      </c>
      <c r="BF311">
        <v>0</v>
      </c>
      <c r="BG311">
        <v>0</v>
      </c>
      <c r="BH311">
        <v>0</v>
      </c>
      <c r="BI311" t="str">
        <v/>
      </c>
      <c r="BK311">
        <v>305</v>
      </c>
      <c r="BL311">
        <v>0</v>
      </c>
      <c r="BM311">
        <v>0</v>
      </c>
      <c r="BN311">
        <v>0</v>
      </c>
      <c r="BO311">
        <v>0</v>
      </c>
      <c r="BP311">
        <v>0</v>
      </c>
      <c r="BQ311">
        <v>0</v>
      </c>
      <c r="BR311">
        <v>0</v>
      </c>
      <c r="BS311">
        <v>0</v>
      </c>
      <c r="BT311">
        <v>0</v>
      </c>
      <c r="BU311">
        <v>0</v>
      </c>
      <c r="BV311">
        <v>0</v>
      </c>
      <c r="BW311">
        <v>0</v>
      </c>
      <c r="BX311">
        <v>0</v>
      </c>
      <c r="BY311">
        <v>0</v>
      </c>
      <c r="BZ311">
        <v>0</v>
      </c>
      <c r="CA311">
        <v>0</v>
      </c>
      <c r="CB311">
        <v>0</v>
      </c>
      <c r="CC311">
        <v>0</v>
      </c>
      <c r="CD311">
        <v>0</v>
      </c>
      <c r="CE311">
        <v>0</v>
      </c>
      <c r="CF311">
        <v>0</v>
      </c>
      <c r="CG311">
        <v>0</v>
      </c>
      <c r="CH311">
        <v>0</v>
      </c>
      <c r="CI311">
        <v>0</v>
      </c>
      <c r="CJ311">
        <v>0</v>
      </c>
      <c r="CK311">
        <v>0</v>
      </c>
      <c r="CL311">
        <v>0</v>
      </c>
      <c r="CM311">
        <v>0</v>
      </c>
      <c r="CN311">
        <v>0</v>
      </c>
      <c r="CO311">
        <v>0</v>
      </c>
      <c r="CP311">
        <v>0</v>
      </c>
      <c r="CQ311">
        <v>0</v>
      </c>
      <c r="CR311">
        <v>0</v>
      </c>
      <c r="CS311">
        <v>0</v>
      </c>
      <c r="CT311">
        <v>0</v>
      </c>
      <c r="CU311">
        <v>0</v>
      </c>
      <c r="CV311">
        <v>0</v>
      </c>
      <c r="CW311">
        <v>0</v>
      </c>
      <c r="CX311">
        <v>0</v>
      </c>
      <c r="CY311">
        <v>0</v>
      </c>
      <c r="CZ311">
        <v>0</v>
      </c>
      <c r="DA311">
        <v>0</v>
      </c>
      <c r="DB311">
        <v>0</v>
      </c>
      <c r="DC311">
        <v>0</v>
      </c>
      <c r="DD311">
        <v>0</v>
      </c>
      <c r="DE311">
        <v>0</v>
      </c>
      <c r="DF311">
        <v>0</v>
      </c>
      <c r="DG311">
        <v>0</v>
      </c>
      <c r="DH311">
        <v>0</v>
      </c>
      <c r="DI311">
        <v>0</v>
      </c>
      <c r="DJ311">
        <v>0</v>
      </c>
      <c r="DK311">
        <v>0</v>
      </c>
      <c r="DL311">
        <v>0</v>
      </c>
      <c r="DM311">
        <v>0</v>
      </c>
      <c r="DN311">
        <v>0</v>
      </c>
      <c r="DO311">
        <v>0</v>
      </c>
      <c r="DP311">
        <v>0</v>
      </c>
      <c r="DQ311">
        <v>0</v>
      </c>
      <c r="DR311">
        <v>0</v>
      </c>
      <c r="DS311">
        <v>0</v>
      </c>
      <c r="DT311">
        <v>0</v>
      </c>
      <c r="DU311">
        <v>0</v>
      </c>
      <c r="DV311">
        <v>0</v>
      </c>
      <c r="DW311">
        <v>0</v>
      </c>
      <c r="DX311">
        <v>0</v>
      </c>
      <c r="DY311">
        <v>0</v>
      </c>
      <c r="DZ311">
        <v>0</v>
      </c>
      <c r="EA311">
        <v>0</v>
      </c>
      <c r="EB311">
        <v>0</v>
      </c>
      <c r="EC311">
        <v>0</v>
      </c>
      <c r="ED311">
        <v>0</v>
      </c>
      <c r="EE311">
        <v>0</v>
      </c>
      <c r="EF311">
        <v>0</v>
      </c>
      <c r="EG311">
        <v>0</v>
      </c>
      <c r="EH311">
        <v>0</v>
      </c>
      <c r="EI311">
        <v>0</v>
      </c>
      <c r="EJ311">
        <v>0</v>
      </c>
      <c r="EK311">
        <v>0</v>
      </c>
      <c r="EL311">
        <v>0</v>
      </c>
      <c r="EM311">
        <v>0</v>
      </c>
      <c r="EN311">
        <v>0</v>
      </c>
      <c r="EO311">
        <v>0</v>
      </c>
      <c r="EP311">
        <v>0</v>
      </c>
      <c r="EQ311">
        <v>0</v>
      </c>
      <c r="ER311">
        <v>0</v>
      </c>
      <c r="ES311">
        <v>0</v>
      </c>
      <c r="ET311">
        <v>0</v>
      </c>
      <c r="EU311">
        <v>0</v>
      </c>
      <c r="EV311">
        <v>0</v>
      </c>
      <c r="EW311">
        <v>0</v>
      </c>
      <c r="EX311">
        <v>0</v>
      </c>
      <c r="EY311">
        <v>0</v>
      </c>
      <c r="EZ311">
        <v>0</v>
      </c>
      <c r="FA311">
        <v>0</v>
      </c>
      <c r="FB311">
        <v>0</v>
      </c>
      <c r="FC311">
        <v>0</v>
      </c>
      <c r="FD311">
        <v>0</v>
      </c>
      <c r="FE311">
        <v>0</v>
      </c>
      <c r="FF311">
        <v>0</v>
      </c>
      <c r="FG311">
        <v>0</v>
      </c>
      <c r="FH311">
        <v>0</v>
      </c>
      <c r="FI311">
        <v>0</v>
      </c>
      <c r="FJ311">
        <v>0</v>
      </c>
      <c r="FK311">
        <v>0</v>
      </c>
      <c r="FL311">
        <v>0</v>
      </c>
      <c r="FM311">
        <v>0</v>
      </c>
      <c r="FN311">
        <v>0</v>
      </c>
      <c r="FO311">
        <v>0</v>
      </c>
      <c r="FP311">
        <v>0</v>
      </c>
      <c r="FQ311">
        <v>0</v>
      </c>
      <c r="FR311">
        <v>0</v>
      </c>
      <c r="FS311">
        <v>0</v>
      </c>
      <c r="FT311">
        <v>0</v>
      </c>
      <c r="FU311">
        <v>0</v>
      </c>
      <c r="FV311">
        <v>0</v>
      </c>
      <c r="FW311">
        <v>0</v>
      </c>
      <c r="FX311">
        <v>0</v>
      </c>
      <c r="FY311">
        <v>0</v>
      </c>
      <c r="FZ311">
        <v>0</v>
      </c>
      <c r="GA311">
        <v>0</v>
      </c>
      <c r="GB311">
        <v>0</v>
      </c>
      <c r="GC311">
        <v>0</v>
      </c>
      <c r="GD311">
        <v>0</v>
      </c>
      <c r="GE311">
        <v>0</v>
      </c>
      <c r="GF311">
        <v>0</v>
      </c>
      <c r="GG311">
        <v>0</v>
      </c>
      <c r="GH311">
        <v>0</v>
      </c>
      <c r="GI311">
        <v>0</v>
      </c>
      <c r="GJ311">
        <v>0</v>
      </c>
      <c r="GK311">
        <v>0</v>
      </c>
      <c r="GL311">
        <v>0</v>
      </c>
      <c r="GM311">
        <v>0</v>
      </c>
      <c r="GN311">
        <v>0</v>
      </c>
      <c r="GO311">
        <v>0</v>
      </c>
      <c r="GP311">
        <v>0</v>
      </c>
      <c r="GQ311">
        <v>0</v>
      </c>
      <c r="GR311">
        <v>0</v>
      </c>
      <c r="GS311">
        <v>0</v>
      </c>
      <c r="GT311">
        <v>0</v>
      </c>
      <c r="GU311">
        <v>0</v>
      </c>
      <c r="GV311">
        <v>0</v>
      </c>
      <c r="GW311">
        <v>0</v>
      </c>
      <c r="GX311">
        <v>0</v>
      </c>
      <c r="GY311">
        <v>0</v>
      </c>
      <c r="GZ311">
        <v>0</v>
      </c>
      <c r="HA311">
        <v>0</v>
      </c>
      <c r="HB311">
        <v>0</v>
      </c>
      <c r="HC311">
        <v>0</v>
      </c>
      <c r="HD311">
        <v>0</v>
      </c>
      <c r="HE311">
        <v>0</v>
      </c>
      <c r="HF311">
        <v>0</v>
      </c>
      <c r="HG311">
        <v>0</v>
      </c>
      <c r="HH311">
        <v>0</v>
      </c>
      <c r="HI311">
        <v>0</v>
      </c>
      <c r="HJ311">
        <v>0</v>
      </c>
      <c r="HK311">
        <v>0</v>
      </c>
      <c r="HL311">
        <v>0</v>
      </c>
      <c r="HM311">
        <v>0</v>
      </c>
      <c r="HN311">
        <v>0</v>
      </c>
      <c r="HO311">
        <v>0</v>
      </c>
      <c r="HP311">
        <v>0</v>
      </c>
      <c r="HQ311">
        <v>0</v>
      </c>
      <c r="HR311">
        <v>0</v>
      </c>
      <c r="HS311">
        <v>0</v>
      </c>
      <c r="HT311">
        <v>0</v>
      </c>
      <c r="HU311">
        <v>0</v>
      </c>
      <c r="HV311">
        <v>0</v>
      </c>
      <c r="HW311">
        <v>0</v>
      </c>
      <c r="HX311">
        <v>0</v>
      </c>
      <c r="HY311">
        <v>0</v>
      </c>
      <c r="HZ311">
        <v>0</v>
      </c>
      <c r="IA311">
        <v>0</v>
      </c>
      <c r="IB311">
        <v>0</v>
      </c>
      <c r="IC311">
        <v>0</v>
      </c>
      <c r="ID311">
        <v>0</v>
      </c>
      <c r="IE311">
        <v>0</v>
      </c>
      <c r="IF311">
        <v>0</v>
      </c>
      <c r="IG311">
        <v>0</v>
      </c>
      <c r="IH311">
        <v>0</v>
      </c>
      <c r="II311">
        <v>0</v>
      </c>
      <c r="IJ311">
        <v>0</v>
      </c>
      <c r="IK311">
        <v>0</v>
      </c>
      <c r="IL311">
        <v>0</v>
      </c>
      <c r="IM311">
        <v>0</v>
      </c>
      <c r="IN311">
        <v>0</v>
      </c>
      <c r="IO311">
        <v>0</v>
      </c>
      <c r="IP311">
        <v>0</v>
      </c>
      <c r="IQ311">
        <v>0</v>
      </c>
      <c r="IR311">
        <v>0</v>
      </c>
      <c r="IS311">
        <v>0</v>
      </c>
      <c r="IT311">
        <v>0</v>
      </c>
      <c r="IU311">
        <v>0</v>
      </c>
      <c r="IV311">
        <v>0</v>
      </c>
      <c r="IW311">
        <v>0</v>
      </c>
      <c r="IX311">
        <v>0</v>
      </c>
      <c r="IY311">
        <v>0</v>
      </c>
      <c r="IZ311">
        <v>0</v>
      </c>
      <c r="JA311">
        <v>0</v>
      </c>
      <c r="JB311">
        <v>0</v>
      </c>
      <c r="JC311">
        <v>0</v>
      </c>
      <c r="JD311">
        <v>0</v>
      </c>
      <c r="JE311">
        <v>0</v>
      </c>
      <c r="JF311">
        <v>0</v>
      </c>
      <c r="JG311">
        <v>0</v>
      </c>
      <c r="JH311">
        <v>0</v>
      </c>
      <c r="JI311">
        <v>0</v>
      </c>
      <c r="JJ311">
        <v>0</v>
      </c>
      <c r="JK311">
        <v>0</v>
      </c>
      <c r="JL311">
        <v>0</v>
      </c>
      <c r="JM311">
        <v>0</v>
      </c>
      <c r="JN311">
        <v>0</v>
      </c>
      <c r="JO311">
        <v>0</v>
      </c>
      <c r="JP311">
        <v>0</v>
      </c>
      <c r="JQ311">
        <v>0</v>
      </c>
      <c r="JR311">
        <v>0</v>
      </c>
      <c r="JS311">
        <v>0</v>
      </c>
      <c r="JT311">
        <v>0</v>
      </c>
      <c r="JU311">
        <v>0</v>
      </c>
      <c r="JV311">
        <v>0</v>
      </c>
      <c r="JW311">
        <v>0</v>
      </c>
      <c r="JX311">
        <v>0</v>
      </c>
      <c r="JY311">
        <v>0</v>
      </c>
      <c r="JZ311">
        <v>0</v>
      </c>
      <c r="KA311">
        <v>0</v>
      </c>
      <c r="KB311">
        <v>0</v>
      </c>
      <c r="KC311">
        <v>0</v>
      </c>
      <c r="KD311">
        <v>0</v>
      </c>
      <c r="KE311">
        <v>0</v>
      </c>
      <c r="KF311">
        <v>0</v>
      </c>
      <c r="KG311">
        <v>0</v>
      </c>
      <c r="KH311">
        <v>0</v>
      </c>
      <c r="KI311">
        <v>0</v>
      </c>
      <c r="KJ311">
        <v>0</v>
      </c>
      <c r="KK311">
        <v>0</v>
      </c>
      <c r="KL311">
        <v>0</v>
      </c>
      <c r="KM311">
        <v>0</v>
      </c>
      <c r="KN311">
        <v>0</v>
      </c>
      <c r="KO311">
        <v>0</v>
      </c>
      <c r="KP311">
        <v>0</v>
      </c>
      <c r="KQ311">
        <v>0</v>
      </c>
      <c r="KR311">
        <v>0</v>
      </c>
      <c r="KS311">
        <v>0</v>
      </c>
      <c r="KT311">
        <v>0</v>
      </c>
      <c r="KU311">
        <v>0</v>
      </c>
      <c r="KV311">
        <v>0</v>
      </c>
      <c r="KW311">
        <v>0</v>
      </c>
      <c r="KX311">
        <v>0</v>
      </c>
      <c r="KY311">
        <v>0</v>
      </c>
      <c r="KZ311">
        <v>0</v>
      </c>
      <c r="LA311">
        <v>0</v>
      </c>
      <c r="LB311">
        <v>0</v>
      </c>
      <c r="LC311">
        <v>0</v>
      </c>
      <c r="LD311">
        <v>0</v>
      </c>
      <c r="LE311">
        <v>0</v>
      </c>
      <c r="LF311">
        <v>0</v>
      </c>
      <c r="LG311">
        <v>0</v>
      </c>
      <c r="LH311">
        <v>0</v>
      </c>
      <c r="LI311">
        <v>0</v>
      </c>
      <c r="LJ311">
        <v>0</v>
      </c>
      <c r="LK311">
        <v>0</v>
      </c>
      <c r="LL311">
        <v>0</v>
      </c>
      <c r="LM311">
        <v>0</v>
      </c>
      <c r="LN311">
        <v>0</v>
      </c>
      <c r="LO311">
        <v>0</v>
      </c>
      <c r="LP311">
        <v>0</v>
      </c>
      <c r="LQ311">
        <v>0</v>
      </c>
      <c r="LR311">
        <v>0</v>
      </c>
      <c r="LS311">
        <v>0</v>
      </c>
      <c r="LT311">
        <v>0</v>
      </c>
      <c r="LU311">
        <v>0</v>
      </c>
      <c r="LV311">
        <v>0</v>
      </c>
      <c r="LW311">
        <v>0</v>
      </c>
      <c r="LX311">
        <v>0</v>
      </c>
      <c r="LY311">
        <v>0</v>
      </c>
      <c r="LZ311">
        <v>0</v>
      </c>
      <c r="MA311">
        <v>0</v>
      </c>
      <c r="MB311">
        <v>0</v>
      </c>
      <c r="MC311">
        <v>0</v>
      </c>
      <c r="MD311">
        <v>0</v>
      </c>
      <c r="ME311">
        <v>0</v>
      </c>
      <c r="MF311">
        <v>0</v>
      </c>
      <c r="MG311">
        <v>0</v>
      </c>
      <c r="MH311">
        <v>0</v>
      </c>
      <c r="MI311">
        <v>0</v>
      </c>
      <c r="MJ311">
        <v>0</v>
      </c>
      <c r="MK311">
        <v>0</v>
      </c>
      <c r="ML311">
        <v>0</v>
      </c>
      <c r="MM311">
        <v>0</v>
      </c>
      <c r="MN311">
        <v>0</v>
      </c>
      <c r="MO311">
        <v>0</v>
      </c>
      <c r="MP311">
        <v>0</v>
      </c>
      <c r="MQ311">
        <v>0</v>
      </c>
      <c r="MR311">
        <v>0</v>
      </c>
      <c r="MS311">
        <v>0</v>
      </c>
      <c r="MT311">
        <v>0</v>
      </c>
      <c r="MU311">
        <v>0</v>
      </c>
      <c r="MV311">
        <v>0</v>
      </c>
      <c r="MW311">
        <v>0</v>
      </c>
      <c r="MX311">
        <v>0</v>
      </c>
      <c r="MY311">
        <v>0</v>
      </c>
      <c r="MZ311">
        <v>0</v>
      </c>
      <c r="NA311">
        <v>0</v>
      </c>
      <c r="NB311">
        <v>0</v>
      </c>
      <c r="NC311">
        <v>0</v>
      </c>
      <c r="ND311">
        <v>0</v>
      </c>
      <c r="NE311">
        <v>0</v>
      </c>
    </row>
    <row r="312" spans="41:369" x14ac:dyDescent="0.45">
      <c r="AO312" t="str">
        <v>D188</v>
      </c>
      <c r="AP312" t="str">
        <v>AHMED MANHAL HUSSAIN</v>
      </c>
      <c r="AQ312" t="str">
        <v>FANT</v>
      </c>
      <c r="AR312" t="str">
        <v>SUPER SENIOR</v>
      </c>
      <c r="AS312">
        <v>10</v>
      </c>
      <c r="AT312">
        <v>0</v>
      </c>
      <c r="AU312">
        <v>0</v>
      </c>
      <c r="AV312">
        <v>0</v>
      </c>
      <c r="AW312">
        <v>0</v>
      </c>
      <c r="AX312">
        <v>255</v>
      </c>
      <c r="AY312" s="5">
        <v>255</v>
      </c>
      <c r="AZ312">
        <v>0</v>
      </c>
      <c r="BA312">
        <v>0</v>
      </c>
      <c r="BB312">
        <v>0</v>
      </c>
      <c r="BC312">
        <v>0</v>
      </c>
      <c r="BD312">
        <v>0</v>
      </c>
      <c r="BE312">
        <v>0</v>
      </c>
      <c r="BF312">
        <v>0</v>
      </c>
      <c r="BG312">
        <v>0</v>
      </c>
      <c r="BH312">
        <v>0</v>
      </c>
      <c r="BI312" t="str">
        <v/>
      </c>
      <c r="BK312">
        <v>306</v>
      </c>
      <c r="BL312">
        <v>0</v>
      </c>
      <c r="BM312">
        <v>0</v>
      </c>
      <c r="BN312">
        <v>0</v>
      </c>
      <c r="BO312">
        <v>0</v>
      </c>
      <c r="BP312">
        <v>0</v>
      </c>
      <c r="BQ312">
        <v>0</v>
      </c>
      <c r="BR312">
        <v>0</v>
      </c>
      <c r="BS312">
        <v>0</v>
      </c>
      <c r="BT312">
        <v>0</v>
      </c>
      <c r="BU312">
        <v>0</v>
      </c>
      <c r="BV312">
        <v>0</v>
      </c>
      <c r="BW312">
        <v>0</v>
      </c>
      <c r="BX312">
        <v>0</v>
      </c>
      <c r="BY312">
        <v>0</v>
      </c>
      <c r="BZ312">
        <v>0</v>
      </c>
      <c r="CA312">
        <v>0</v>
      </c>
      <c r="CB312">
        <v>0</v>
      </c>
      <c r="CC312">
        <v>0</v>
      </c>
      <c r="CD312">
        <v>0</v>
      </c>
      <c r="CE312">
        <v>0</v>
      </c>
      <c r="CF312">
        <v>0</v>
      </c>
      <c r="CG312">
        <v>0</v>
      </c>
      <c r="CH312">
        <v>0</v>
      </c>
      <c r="CI312">
        <v>0</v>
      </c>
      <c r="CJ312">
        <v>0</v>
      </c>
      <c r="CK312">
        <v>0</v>
      </c>
      <c r="CL312">
        <v>0</v>
      </c>
      <c r="CM312">
        <v>0</v>
      </c>
      <c r="CN312">
        <v>0</v>
      </c>
      <c r="CO312">
        <v>0</v>
      </c>
      <c r="CP312">
        <v>0</v>
      </c>
      <c r="CQ312">
        <v>0</v>
      </c>
      <c r="CR312">
        <v>0</v>
      </c>
      <c r="CS312">
        <v>0</v>
      </c>
      <c r="CT312">
        <v>0</v>
      </c>
      <c r="CU312">
        <v>0</v>
      </c>
      <c r="CV312">
        <v>0</v>
      </c>
      <c r="CW312">
        <v>0</v>
      </c>
      <c r="CX312">
        <v>0</v>
      </c>
      <c r="CY312">
        <v>0</v>
      </c>
      <c r="CZ312">
        <v>0</v>
      </c>
      <c r="DA312">
        <v>0</v>
      </c>
      <c r="DB312">
        <v>0</v>
      </c>
      <c r="DC312">
        <v>0</v>
      </c>
      <c r="DD312">
        <v>0</v>
      </c>
      <c r="DE312">
        <v>0</v>
      </c>
      <c r="DF312">
        <v>0</v>
      </c>
      <c r="DG312">
        <v>0</v>
      </c>
      <c r="DH312">
        <v>0</v>
      </c>
      <c r="DI312">
        <v>0</v>
      </c>
      <c r="DJ312">
        <v>0</v>
      </c>
      <c r="DK312">
        <v>0</v>
      </c>
      <c r="DL312">
        <v>0</v>
      </c>
      <c r="DM312">
        <v>0</v>
      </c>
      <c r="DN312">
        <v>0</v>
      </c>
      <c r="DO312">
        <v>0</v>
      </c>
      <c r="DP312">
        <v>0</v>
      </c>
      <c r="DQ312">
        <v>0</v>
      </c>
      <c r="DR312">
        <v>0</v>
      </c>
      <c r="DS312">
        <v>0</v>
      </c>
      <c r="DT312">
        <v>0</v>
      </c>
      <c r="DU312">
        <v>0</v>
      </c>
      <c r="DV312">
        <v>0</v>
      </c>
      <c r="DW312">
        <v>0</v>
      </c>
      <c r="DX312">
        <v>0</v>
      </c>
      <c r="DY312">
        <v>0</v>
      </c>
      <c r="DZ312">
        <v>0</v>
      </c>
      <c r="EA312">
        <v>0</v>
      </c>
      <c r="EB312">
        <v>0</v>
      </c>
      <c r="EC312">
        <v>0</v>
      </c>
      <c r="ED312">
        <v>0</v>
      </c>
      <c r="EE312">
        <v>0</v>
      </c>
      <c r="EF312">
        <v>0</v>
      </c>
      <c r="EG312">
        <v>0</v>
      </c>
      <c r="EH312">
        <v>0</v>
      </c>
      <c r="EI312">
        <v>0</v>
      </c>
      <c r="EJ312">
        <v>0</v>
      </c>
      <c r="EK312">
        <v>0</v>
      </c>
      <c r="EL312">
        <v>0</v>
      </c>
      <c r="EM312">
        <v>0</v>
      </c>
      <c r="EN312">
        <v>0</v>
      </c>
      <c r="EO312">
        <v>0</v>
      </c>
      <c r="EP312">
        <v>0</v>
      </c>
      <c r="EQ312">
        <v>0</v>
      </c>
      <c r="ER312">
        <v>0</v>
      </c>
      <c r="ES312">
        <v>0</v>
      </c>
      <c r="ET312">
        <v>0</v>
      </c>
      <c r="EU312">
        <v>0</v>
      </c>
      <c r="EV312">
        <v>0</v>
      </c>
      <c r="EW312">
        <v>0</v>
      </c>
      <c r="EX312">
        <v>0</v>
      </c>
      <c r="EY312">
        <v>0</v>
      </c>
      <c r="EZ312">
        <v>0</v>
      </c>
      <c r="FA312">
        <v>0</v>
      </c>
      <c r="FB312">
        <v>0</v>
      </c>
      <c r="FC312">
        <v>0</v>
      </c>
      <c r="FD312">
        <v>0</v>
      </c>
      <c r="FE312">
        <v>0</v>
      </c>
      <c r="FF312">
        <v>0</v>
      </c>
      <c r="FG312">
        <v>0</v>
      </c>
      <c r="FH312">
        <v>0</v>
      </c>
      <c r="FI312">
        <v>0</v>
      </c>
      <c r="FJ312">
        <v>0</v>
      </c>
      <c r="FK312">
        <v>0</v>
      </c>
      <c r="FL312">
        <v>0</v>
      </c>
      <c r="FM312">
        <v>0</v>
      </c>
      <c r="FN312">
        <v>0</v>
      </c>
      <c r="FO312">
        <v>0</v>
      </c>
      <c r="FP312">
        <v>0</v>
      </c>
      <c r="FQ312">
        <v>0</v>
      </c>
      <c r="FR312">
        <v>0</v>
      </c>
      <c r="FS312">
        <v>0</v>
      </c>
      <c r="FT312">
        <v>0</v>
      </c>
      <c r="FU312">
        <v>0</v>
      </c>
      <c r="FV312">
        <v>0</v>
      </c>
      <c r="FW312">
        <v>0</v>
      </c>
      <c r="FX312">
        <v>0</v>
      </c>
      <c r="FY312">
        <v>0</v>
      </c>
      <c r="FZ312">
        <v>0</v>
      </c>
      <c r="GA312">
        <v>0</v>
      </c>
      <c r="GB312">
        <v>0</v>
      </c>
      <c r="GC312">
        <v>0</v>
      </c>
      <c r="GD312">
        <v>0</v>
      </c>
      <c r="GE312">
        <v>0</v>
      </c>
      <c r="GF312">
        <v>0</v>
      </c>
      <c r="GG312">
        <v>0</v>
      </c>
      <c r="GH312">
        <v>0</v>
      </c>
      <c r="GI312">
        <v>0</v>
      </c>
      <c r="GJ312">
        <v>0</v>
      </c>
      <c r="GK312">
        <v>0</v>
      </c>
      <c r="GL312">
        <v>0</v>
      </c>
      <c r="GM312">
        <v>0</v>
      </c>
      <c r="GN312">
        <v>0</v>
      </c>
      <c r="GO312">
        <v>0</v>
      </c>
      <c r="GP312">
        <v>0</v>
      </c>
      <c r="GQ312">
        <v>0</v>
      </c>
      <c r="GR312">
        <v>0</v>
      </c>
      <c r="GS312">
        <v>0</v>
      </c>
      <c r="GT312">
        <v>0</v>
      </c>
      <c r="GU312">
        <v>0</v>
      </c>
      <c r="GV312">
        <v>0</v>
      </c>
      <c r="GW312">
        <v>0</v>
      </c>
      <c r="GX312">
        <v>0</v>
      </c>
      <c r="GY312">
        <v>0</v>
      </c>
      <c r="GZ312">
        <v>0</v>
      </c>
      <c r="HA312">
        <v>0</v>
      </c>
      <c r="HB312">
        <v>0</v>
      </c>
      <c r="HC312">
        <v>0</v>
      </c>
      <c r="HD312">
        <v>0</v>
      </c>
      <c r="HE312">
        <v>0</v>
      </c>
      <c r="HF312">
        <v>0</v>
      </c>
      <c r="HG312">
        <v>0</v>
      </c>
      <c r="HH312">
        <v>0</v>
      </c>
      <c r="HI312">
        <v>0</v>
      </c>
      <c r="HJ312">
        <v>0</v>
      </c>
      <c r="HK312">
        <v>0</v>
      </c>
      <c r="HL312">
        <v>0</v>
      </c>
      <c r="HM312">
        <v>0</v>
      </c>
      <c r="HN312">
        <v>0</v>
      </c>
      <c r="HO312">
        <v>0</v>
      </c>
      <c r="HP312">
        <v>0</v>
      </c>
      <c r="HQ312">
        <v>0</v>
      </c>
      <c r="HR312">
        <v>0</v>
      </c>
      <c r="HS312">
        <v>0</v>
      </c>
      <c r="HT312">
        <v>0</v>
      </c>
      <c r="HU312">
        <v>0</v>
      </c>
      <c r="HV312">
        <v>0</v>
      </c>
      <c r="HW312">
        <v>0</v>
      </c>
      <c r="HX312">
        <v>0</v>
      </c>
      <c r="HY312">
        <v>0</v>
      </c>
      <c r="HZ312">
        <v>0</v>
      </c>
      <c r="IA312">
        <v>0</v>
      </c>
      <c r="IB312">
        <v>0</v>
      </c>
      <c r="IC312">
        <v>0</v>
      </c>
      <c r="ID312">
        <v>0</v>
      </c>
      <c r="IE312">
        <v>0</v>
      </c>
      <c r="IF312">
        <v>0</v>
      </c>
      <c r="IG312">
        <v>0</v>
      </c>
      <c r="IH312">
        <v>0</v>
      </c>
      <c r="II312">
        <v>0</v>
      </c>
      <c r="IJ312">
        <v>0</v>
      </c>
      <c r="IK312">
        <v>0</v>
      </c>
      <c r="IL312">
        <v>0</v>
      </c>
      <c r="IM312">
        <v>0</v>
      </c>
      <c r="IN312">
        <v>0</v>
      </c>
      <c r="IO312">
        <v>0</v>
      </c>
      <c r="IP312">
        <v>0</v>
      </c>
      <c r="IQ312">
        <v>0</v>
      </c>
      <c r="IR312">
        <v>0</v>
      </c>
      <c r="IS312">
        <v>0</v>
      </c>
      <c r="IT312">
        <v>0</v>
      </c>
      <c r="IU312">
        <v>0</v>
      </c>
      <c r="IV312">
        <v>0</v>
      </c>
      <c r="IW312">
        <v>0</v>
      </c>
      <c r="IX312">
        <v>0</v>
      </c>
      <c r="IY312">
        <v>0</v>
      </c>
      <c r="IZ312">
        <v>0</v>
      </c>
      <c r="JA312">
        <v>0</v>
      </c>
      <c r="JB312">
        <v>0</v>
      </c>
      <c r="JC312">
        <v>0</v>
      </c>
      <c r="JD312">
        <v>0</v>
      </c>
      <c r="JE312">
        <v>0</v>
      </c>
      <c r="JF312">
        <v>0</v>
      </c>
      <c r="JG312">
        <v>0</v>
      </c>
      <c r="JH312">
        <v>0</v>
      </c>
      <c r="JI312">
        <v>0</v>
      </c>
      <c r="JJ312">
        <v>0</v>
      </c>
      <c r="JK312">
        <v>0</v>
      </c>
      <c r="JL312">
        <v>0</v>
      </c>
      <c r="JM312">
        <v>0</v>
      </c>
      <c r="JN312">
        <v>0</v>
      </c>
      <c r="JO312">
        <v>0</v>
      </c>
      <c r="JP312">
        <v>0</v>
      </c>
      <c r="JQ312">
        <v>0</v>
      </c>
      <c r="JR312">
        <v>0</v>
      </c>
      <c r="JS312">
        <v>0</v>
      </c>
      <c r="JT312">
        <v>0</v>
      </c>
      <c r="JU312">
        <v>0</v>
      </c>
      <c r="JV312">
        <v>0</v>
      </c>
      <c r="JW312">
        <v>0</v>
      </c>
      <c r="JX312">
        <v>0</v>
      </c>
      <c r="JY312">
        <v>0</v>
      </c>
      <c r="JZ312">
        <v>0</v>
      </c>
      <c r="KA312">
        <v>0</v>
      </c>
      <c r="KB312">
        <v>0</v>
      </c>
      <c r="KC312">
        <v>0</v>
      </c>
      <c r="KD312">
        <v>0</v>
      </c>
      <c r="KE312">
        <v>0</v>
      </c>
      <c r="KF312">
        <v>0</v>
      </c>
      <c r="KG312">
        <v>0</v>
      </c>
      <c r="KH312">
        <v>0</v>
      </c>
      <c r="KI312">
        <v>0</v>
      </c>
      <c r="KJ312">
        <v>0</v>
      </c>
      <c r="KK312">
        <v>0</v>
      </c>
      <c r="KL312">
        <v>0</v>
      </c>
      <c r="KM312">
        <v>0</v>
      </c>
      <c r="KN312">
        <v>0</v>
      </c>
      <c r="KO312">
        <v>0</v>
      </c>
      <c r="KP312">
        <v>0</v>
      </c>
      <c r="KQ312">
        <v>0</v>
      </c>
      <c r="KR312">
        <v>0</v>
      </c>
      <c r="KS312">
        <v>0</v>
      </c>
      <c r="KT312">
        <v>0</v>
      </c>
      <c r="KU312">
        <v>0</v>
      </c>
      <c r="KV312">
        <v>0</v>
      </c>
      <c r="KW312">
        <v>0</v>
      </c>
      <c r="KX312">
        <v>0</v>
      </c>
      <c r="KY312">
        <v>0</v>
      </c>
      <c r="KZ312">
        <v>0</v>
      </c>
      <c r="LA312">
        <v>0</v>
      </c>
      <c r="LB312">
        <v>0</v>
      </c>
      <c r="LC312">
        <v>0</v>
      </c>
      <c r="LD312">
        <v>0</v>
      </c>
      <c r="LE312">
        <v>0</v>
      </c>
      <c r="LF312">
        <v>0</v>
      </c>
      <c r="LG312">
        <v>0</v>
      </c>
      <c r="LH312">
        <v>0</v>
      </c>
      <c r="LI312">
        <v>0</v>
      </c>
      <c r="LJ312">
        <v>0</v>
      </c>
      <c r="LK312">
        <v>0</v>
      </c>
      <c r="LL312">
        <v>0</v>
      </c>
      <c r="LM312">
        <v>0</v>
      </c>
      <c r="LN312">
        <v>0</v>
      </c>
      <c r="LO312">
        <v>0</v>
      </c>
      <c r="LP312">
        <v>0</v>
      </c>
      <c r="LQ312">
        <v>0</v>
      </c>
      <c r="LR312">
        <v>0</v>
      </c>
      <c r="LS312">
        <v>0</v>
      </c>
      <c r="LT312">
        <v>0</v>
      </c>
      <c r="LU312">
        <v>0</v>
      </c>
      <c r="LV312">
        <v>0</v>
      </c>
      <c r="LW312">
        <v>0</v>
      </c>
      <c r="LX312">
        <v>0</v>
      </c>
      <c r="LY312">
        <v>0</v>
      </c>
      <c r="LZ312">
        <v>0</v>
      </c>
      <c r="MA312">
        <v>0</v>
      </c>
      <c r="MB312">
        <v>0</v>
      </c>
      <c r="MC312">
        <v>0</v>
      </c>
      <c r="MD312">
        <v>0</v>
      </c>
      <c r="ME312">
        <v>0</v>
      </c>
      <c r="MF312">
        <v>0</v>
      </c>
      <c r="MG312">
        <v>0</v>
      </c>
      <c r="MH312">
        <v>0</v>
      </c>
      <c r="MI312">
        <v>0</v>
      </c>
      <c r="MJ312">
        <v>0</v>
      </c>
      <c r="MK312">
        <v>0</v>
      </c>
      <c r="ML312">
        <v>0</v>
      </c>
      <c r="MM312">
        <v>0</v>
      </c>
      <c r="MN312">
        <v>0</v>
      </c>
      <c r="MO312">
        <v>0</v>
      </c>
      <c r="MP312">
        <v>0</v>
      </c>
      <c r="MQ312">
        <v>0</v>
      </c>
      <c r="MR312">
        <v>0</v>
      </c>
      <c r="MS312">
        <v>0</v>
      </c>
      <c r="MT312">
        <v>0</v>
      </c>
      <c r="MU312">
        <v>0</v>
      </c>
      <c r="MV312">
        <v>0</v>
      </c>
      <c r="MW312">
        <v>0</v>
      </c>
      <c r="MX312">
        <v>0</v>
      </c>
      <c r="MY312">
        <v>0</v>
      </c>
      <c r="MZ312">
        <v>0</v>
      </c>
      <c r="NA312">
        <v>0</v>
      </c>
      <c r="NB312">
        <v>0</v>
      </c>
      <c r="NC312">
        <v>0</v>
      </c>
      <c r="ND312">
        <v>0</v>
      </c>
      <c r="NE312">
        <v>0</v>
      </c>
    </row>
    <row r="313" spans="41:369" x14ac:dyDescent="0.45">
      <c r="AO313" t="str">
        <v>D189</v>
      </c>
      <c r="AP313" t="str">
        <v>ASGAR ALI</v>
      </c>
      <c r="AQ313" t="str">
        <v>BADF</v>
      </c>
      <c r="AR313" t="str">
        <v>SUPER SENIOR</v>
      </c>
      <c r="AS313">
        <v>10</v>
      </c>
      <c r="AT313">
        <v>4</v>
      </c>
      <c r="AU313">
        <v>0</v>
      </c>
      <c r="AV313">
        <v>4</v>
      </c>
      <c r="AW313">
        <v>4</v>
      </c>
      <c r="AX313">
        <v>197</v>
      </c>
      <c r="AY313" s="5">
        <v>197</v>
      </c>
      <c r="AZ313">
        <v>0</v>
      </c>
      <c r="BA313">
        <v>0</v>
      </c>
      <c r="BB313">
        <v>0</v>
      </c>
      <c r="BC313">
        <v>0</v>
      </c>
      <c r="BD313">
        <v>0</v>
      </c>
      <c r="BE313">
        <v>0</v>
      </c>
      <c r="BF313">
        <v>0</v>
      </c>
      <c r="BG313">
        <v>0</v>
      </c>
      <c r="BH313">
        <v>0</v>
      </c>
      <c r="BI313" t="str">
        <v/>
      </c>
      <c r="BK313">
        <v>307</v>
      </c>
      <c r="BL313">
        <v>0</v>
      </c>
      <c r="BM313">
        <v>0</v>
      </c>
      <c r="BN313">
        <v>0</v>
      </c>
      <c r="BO313">
        <v>0</v>
      </c>
      <c r="BP313">
        <v>0</v>
      </c>
      <c r="BQ313">
        <v>0</v>
      </c>
      <c r="BR313">
        <v>0</v>
      </c>
      <c r="BS313">
        <v>0</v>
      </c>
      <c r="BT313">
        <v>0</v>
      </c>
      <c r="BU313">
        <v>0</v>
      </c>
      <c r="BV313">
        <v>0</v>
      </c>
      <c r="BW313">
        <v>0</v>
      </c>
      <c r="BX313">
        <v>0</v>
      </c>
      <c r="BY313">
        <v>0</v>
      </c>
      <c r="BZ313">
        <v>0</v>
      </c>
      <c r="CA313">
        <v>0</v>
      </c>
      <c r="CB313">
        <v>0</v>
      </c>
      <c r="CC313">
        <v>0</v>
      </c>
      <c r="CD313">
        <v>0</v>
      </c>
      <c r="CE313">
        <v>0</v>
      </c>
      <c r="CF313">
        <v>0</v>
      </c>
      <c r="CG313">
        <v>0</v>
      </c>
      <c r="CH313">
        <v>0</v>
      </c>
      <c r="CI313">
        <v>0</v>
      </c>
      <c r="CJ313">
        <v>0</v>
      </c>
      <c r="CK313">
        <v>0</v>
      </c>
      <c r="CL313">
        <v>0</v>
      </c>
      <c r="CM313">
        <v>0</v>
      </c>
      <c r="CN313">
        <v>0</v>
      </c>
      <c r="CO313">
        <v>0</v>
      </c>
      <c r="CP313">
        <v>0</v>
      </c>
      <c r="CQ313">
        <v>0</v>
      </c>
      <c r="CR313">
        <v>0</v>
      </c>
      <c r="CS313">
        <v>0</v>
      </c>
      <c r="CT313">
        <v>0</v>
      </c>
      <c r="CU313">
        <v>0</v>
      </c>
      <c r="CV313">
        <v>0</v>
      </c>
      <c r="CW313">
        <v>0</v>
      </c>
      <c r="CX313">
        <v>0</v>
      </c>
      <c r="CY313">
        <v>0</v>
      </c>
      <c r="CZ313">
        <v>0</v>
      </c>
      <c r="DA313">
        <v>0</v>
      </c>
      <c r="DB313">
        <v>0</v>
      </c>
      <c r="DC313">
        <v>0</v>
      </c>
      <c r="DD313">
        <v>0</v>
      </c>
      <c r="DE313">
        <v>0</v>
      </c>
      <c r="DF313">
        <v>0</v>
      </c>
      <c r="DG313">
        <v>0</v>
      </c>
      <c r="DH313">
        <v>0</v>
      </c>
      <c r="DI313">
        <v>0</v>
      </c>
      <c r="DJ313">
        <v>0</v>
      </c>
      <c r="DK313">
        <v>0</v>
      </c>
      <c r="DL313">
        <v>0</v>
      </c>
      <c r="DM313">
        <v>0</v>
      </c>
      <c r="DN313">
        <v>0</v>
      </c>
      <c r="DO313">
        <v>0</v>
      </c>
      <c r="DP313">
        <v>0</v>
      </c>
      <c r="DQ313">
        <v>0</v>
      </c>
      <c r="DR313">
        <v>0</v>
      </c>
      <c r="DS313">
        <v>0</v>
      </c>
      <c r="DT313">
        <v>0</v>
      </c>
      <c r="DU313">
        <v>0</v>
      </c>
      <c r="DV313">
        <v>0</v>
      </c>
      <c r="DW313">
        <v>0</v>
      </c>
      <c r="DX313">
        <v>0</v>
      </c>
      <c r="DY313">
        <v>0</v>
      </c>
      <c r="DZ313">
        <v>0</v>
      </c>
      <c r="EA313">
        <v>0</v>
      </c>
      <c r="EB313">
        <v>0</v>
      </c>
      <c r="EC313">
        <v>0</v>
      </c>
      <c r="ED313">
        <v>0</v>
      </c>
      <c r="EE313">
        <v>0</v>
      </c>
      <c r="EF313">
        <v>0</v>
      </c>
      <c r="EG313">
        <v>0</v>
      </c>
      <c r="EH313">
        <v>0</v>
      </c>
      <c r="EI313">
        <v>0</v>
      </c>
      <c r="EJ313">
        <v>0</v>
      </c>
      <c r="EK313">
        <v>0</v>
      </c>
      <c r="EL313">
        <v>0</v>
      </c>
      <c r="EM313">
        <v>0</v>
      </c>
      <c r="EN313">
        <v>0</v>
      </c>
      <c r="EO313">
        <v>0</v>
      </c>
      <c r="EP313">
        <v>0</v>
      </c>
      <c r="EQ313">
        <v>0</v>
      </c>
      <c r="ER313">
        <v>0</v>
      </c>
      <c r="ES313">
        <v>0</v>
      </c>
      <c r="ET313">
        <v>0</v>
      </c>
      <c r="EU313">
        <v>0</v>
      </c>
      <c r="EV313">
        <v>0</v>
      </c>
      <c r="EW313">
        <v>0</v>
      </c>
      <c r="EX313">
        <v>0</v>
      </c>
      <c r="EY313">
        <v>0</v>
      </c>
      <c r="EZ313">
        <v>0</v>
      </c>
      <c r="FA313">
        <v>0</v>
      </c>
      <c r="FB313">
        <v>0</v>
      </c>
      <c r="FC313">
        <v>0</v>
      </c>
      <c r="FD313">
        <v>0</v>
      </c>
      <c r="FE313">
        <v>0</v>
      </c>
      <c r="FF313">
        <v>0</v>
      </c>
      <c r="FG313">
        <v>0</v>
      </c>
      <c r="FH313">
        <v>0</v>
      </c>
      <c r="FI313">
        <v>0</v>
      </c>
      <c r="FJ313">
        <v>0</v>
      </c>
      <c r="FK313">
        <v>0</v>
      </c>
      <c r="FL313">
        <v>0</v>
      </c>
      <c r="FM313">
        <v>0</v>
      </c>
      <c r="FN313">
        <v>0</v>
      </c>
      <c r="FO313">
        <v>0</v>
      </c>
      <c r="FP313">
        <v>0</v>
      </c>
      <c r="FQ313">
        <v>0</v>
      </c>
      <c r="FR313">
        <v>0</v>
      </c>
      <c r="FS313">
        <v>0</v>
      </c>
      <c r="FT313">
        <v>0</v>
      </c>
      <c r="FU313">
        <v>0</v>
      </c>
      <c r="FV313">
        <v>0</v>
      </c>
      <c r="FW313">
        <v>0</v>
      </c>
      <c r="FX313">
        <v>0</v>
      </c>
      <c r="FY313">
        <v>0</v>
      </c>
      <c r="FZ313">
        <v>0</v>
      </c>
      <c r="GA313">
        <v>0</v>
      </c>
      <c r="GB313">
        <v>0</v>
      </c>
      <c r="GC313">
        <v>0</v>
      </c>
      <c r="GD313">
        <v>0</v>
      </c>
      <c r="GE313">
        <v>0</v>
      </c>
      <c r="GF313">
        <v>0</v>
      </c>
      <c r="GG313">
        <v>0</v>
      </c>
      <c r="GH313">
        <v>0</v>
      </c>
      <c r="GI313">
        <v>0</v>
      </c>
      <c r="GJ313">
        <v>0</v>
      </c>
      <c r="GK313">
        <v>0</v>
      </c>
      <c r="GL313">
        <v>0</v>
      </c>
      <c r="GM313">
        <v>0</v>
      </c>
      <c r="GN313">
        <v>0</v>
      </c>
      <c r="GO313">
        <v>0</v>
      </c>
      <c r="GP313">
        <v>0</v>
      </c>
      <c r="GQ313">
        <v>0</v>
      </c>
      <c r="GR313">
        <v>0</v>
      </c>
      <c r="GS313">
        <v>0</v>
      </c>
      <c r="GT313">
        <v>0</v>
      </c>
      <c r="GU313">
        <v>0</v>
      </c>
      <c r="GV313">
        <v>0</v>
      </c>
      <c r="GW313">
        <v>0</v>
      </c>
      <c r="GX313">
        <v>0</v>
      </c>
      <c r="GY313">
        <v>0</v>
      </c>
      <c r="GZ313">
        <v>0</v>
      </c>
      <c r="HA313">
        <v>0</v>
      </c>
      <c r="HB313">
        <v>0</v>
      </c>
      <c r="HC313">
        <v>0</v>
      </c>
      <c r="HD313">
        <v>0</v>
      </c>
      <c r="HE313">
        <v>0</v>
      </c>
      <c r="HF313">
        <v>0</v>
      </c>
      <c r="HG313">
        <v>0</v>
      </c>
      <c r="HH313">
        <v>0</v>
      </c>
      <c r="HI313">
        <v>0</v>
      </c>
      <c r="HJ313">
        <v>0</v>
      </c>
      <c r="HK313">
        <v>0</v>
      </c>
      <c r="HL313">
        <v>0</v>
      </c>
      <c r="HM313">
        <v>0</v>
      </c>
      <c r="HN313">
        <v>0</v>
      </c>
      <c r="HO313">
        <v>0</v>
      </c>
      <c r="HP313">
        <v>0</v>
      </c>
      <c r="HQ313">
        <v>0</v>
      </c>
      <c r="HR313">
        <v>0</v>
      </c>
      <c r="HS313">
        <v>0</v>
      </c>
      <c r="HT313">
        <v>0</v>
      </c>
      <c r="HU313">
        <v>0</v>
      </c>
      <c r="HV313">
        <v>0</v>
      </c>
      <c r="HW313">
        <v>0</v>
      </c>
      <c r="HX313">
        <v>0</v>
      </c>
      <c r="HY313">
        <v>0</v>
      </c>
      <c r="HZ313">
        <v>0</v>
      </c>
      <c r="IA313">
        <v>0</v>
      </c>
      <c r="IB313">
        <v>0</v>
      </c>
      <c r="IC313">
        <v>0</v>
      </c>
      <c r="ID313">
        <v>0</v>
      </c>
      <c r="IE313">
        <v>0</v>
      </c>
      <c r="IF313">
        <v>0</v>
      </c>
      <c r="IG313">
        <v>0</v>
      </c>
      <c r="IH313">
        <v>0</v>
      </c>
      <c r="II313">
        <v>0</v>
      </c>
      <c r="IJ313">
        <v>0</v>
      </c>
      <c r="IK313">
        <v>0</v>
      </c>
      <c r="IL313">
        <v>0</v>
      </c>
      <c r="IM313">
        <v>0</v>
      </c>
      <c r="IN313">
        <v>0</v>
      </c>
      <c r="IO313">
        <v>0</v>
      </c>
      <c r="IP313">
        <v>0</v>
      </c>
      <c r="IQ313">
        <v>0</v>
      </c>
      <c r="IR313">
        <v>0</v>
      </c>
      <c r="IS313">
        <v>0</v>
      </c>
      <c r="IT313">
        <v>0</v>
      </c>
      <c r="IU313">
        <v>0</v>
      </c>
      <c r="IV313">
        <v>0</v>
      </c>
      <c r="IW313">
        <v>0</v>
      </c>
      <c r="IX313">
        <v>0</v>
      </c>
      <c r="IY313">
        <v>0</v>
      </c>
      <c r="IZ313">
        <v>0</v>
      </c>
      <c r="JA313">
        <v>0</v>
      </c>
      <c r="JB313">
        <v>0</v>
      </c>
      <c r="JC313">
        <v>0</v>
      </c>
      <c r="JD313">
        <v>0</v>
      </c>
      <c r="JE313">
        <v>0</v>
      </c>
      <c r="JF313">
        <v>0</v>
      </c>
      <c r="JG313">
        <v>0</v>
      </c>
      <c r="JH313">
        <v>0</v>
      </c>
      <c r="JI313">
        <v>0</v>
      </c>
      <c r="JJ313">
        <v>0</v>
      </c>
      <c r="JK313">
        <v>0</v>
      </c>
      <c r="JL313">
        <v>0</v>
      </c>
      <c r="JM313">
        <v>0</v>
      </c>
      <c r="JN313">
        <v>0</v>
      </c>
      <c r="JO313">
        <v>0</v>
      </c>
      <c r="JP313">
        <v>0</v>
      </c>
      <c r="JQ313">
        <v>0</v>
      </c>
      <c r="JR313">
        <v>0</v>
      </c>
      <c r="JS313">
        <v>0</v>
      </c>
      <c r="JT313">
        <v>0</v>
      </c>
      <c r="JU313">
        <v>0</v>
      </c>
      <c r="JV313">
        <v>0</v>
      </c>
      <c r="JW313">
        <v>0</v>
      </c>
      <c r="JX313">
        <v>0</v>
      </c>
      <c r="JY313">
        <v>0</v>
      </c>
      <c r="JZ313">
        <v>0</v>
      </c>
      <c r="KA313">
        <v>0</v>
      </c>
      <c r="KB313">
        <v>0</v>
      </c>
      <c r="KC313">
        <v>0</v>
      </c>
      <c r="KD313">
        <v>0</v>
      </c>
      <c r="KE313">
        <v>0</v>
      </c>
      <c r="KF313">
        <v>0</v>
      </c>
      <c r="KG313">
        <v>0</v>
      </c>
      <c r="KH313">
        <v>0</v>
      </c>
      <c r="KI313">
        <v>0</v>
      </c>
      <c r="KJ313">
        <v>0</v>
      </c>
      <c r="KK313">
        <v>0</v>
      </c>
      <c r="KL313">
        <v>0</v>
      </c>
      <c r="KM313">
        <v>0</v>
      </c>
      <c r="KN313">
        <v>0</v>
      </c>
      <c r="KO313">
        <v>0</v>
      </c>
      <c r="KP313">
        <v>0</v>
      </c>
      <c r="KQ313">
        <v>0</v>
      </c>
      <c r="KR313">
        <v>0</v>
      </c>
      <c r="KS313">
        <v>0</v>
      </c>
      <c r="KT313">
        <v>0</v>
      </c>
      <c r="KU313">
        <v>0</v>
      </c>
      <c r="KV313">
        <v>0</v>
      </c>
      <c r="KW313">
        <v>0</v>
      </c>
      <c r="KX313">
        <v>0</v>
      </c>
      <c r="KY313">
        <v>0</v>
      </c>
      <c r="KZ313">
        <v>0</v>
      </c>
      <c r="LA313">
        <v>0</v>
      </c>
      <c r="LB313">
        <v>0</v>
      </c>
      <c r="LC313">
        <v>0</v>
      </c>
      <c r="LD313">
        <v>0</v>
      </c>
      <c r="LE313">
        <v>0</v>
      </c>
      <c r="LF313">
        <v>0</v>
      </c>
      <c r="LG313">
        <v>0</v>
      </c>
      <c r="LH313">
        <v>0</v>
      </c>
      <c r="LI313">
        <v>0</v>
      </c>
      <c r="LJ313">
        <v>0</v>
      </c>
      <c r="LK313">
        <v>0</v>
      </c>
      <c r="LL313">
        <v>0</v>
      </c>
      <c r="LM313">
        <v>0</v>
      </c>
      <c r="LN313">
        <v>0</v>
      </c>
      <c r="LO313">
        <v>0</v>
      </c>
      <c r="LP313">
        <v>0</v>
      </c>
      <c r="LQ313">
        <v>0</v>
      </c>
      <c r="LR313">
        <v>0</v>
      </c>
      <c r="LS313">
        <v>0</v>
      </c>
      <c r="LT313">
        <v>0</v>
      </c>
      <c r="LU313">
        <v>0</v>
      </c>
      <c r="LV313">
        <v>0</v>
      </c>
      <c r="LW313">
        <v>0</v>
      </c>
      <c r="LX313">
        <v>0</v>
      </c>
      <c r="LY313">
        <v>0</v>
      </c>
      <c r="LZ313">
        <v>0</v>
      </c>
      <c r="MA313">
        <v>0</v>
      </c>
      <c r="MB313">
        <v>0</v>
      </c>
      <c r="MC313">
        <v>0</v>
      </c>
      <c r="MD313">
        <v>0</v>
      </c>
      <c r="ME313">
        <v>0</v>
      </c>
      <c r="MF313">
        <v>0</v>
      </c>
      <c r="MG313">
        <v>0</v>
      </c>
      <c r="MH313">
        <v>0</v>
      </c>
      <c r="MI313">
        <v>0</v>
      </c>
      <c r="MJ313">
        <v>0</v>
      </c>
      <c r="MK313">
        <v>0</v>
      </c>
      <c r="ML313">
        <v>0</v>
      </c>
      <c r="MM313">
        <v>0</v>
      </c>
      <c r="MN313">
        <v>0</v>
      </c>
      <c r="MO313">
        <v>0</v>
      </c>
      <c r="MP313">
        <v>0</v>
      </c>
      <c r="MQ313">
        <v>0</v>
      </c>
      <c r="MR313">
        <v>0</v>
      </c>
      <c r="MS313">
        <v>0</v>
      </c>
      <c r="MT313">
        <v>0</v>
      </c>
      <c r="MU313">
        <v>0</v>
      </c>
      <c r="MV313">
        <v>0</v>
      </c>
      <c r="MW313">
        <v>0</v>
      </c>
      <c r="MX313">
        <v>0</v>
      </c>
      <c r="MY313">
        <v>0</v>
      </c>
      <c r="MZ313">
        <v>0</v>
      </c>
      <c r="NA313">
        <v>0</v>
      </c>
      <c r="NB313">
        <v>0</v>
      </c>
      <c r="NC313">
        <v>0</v>
      </c>
      <c r="ND313">
        <v>0</v>
      </c>
      <c r="NE313">
        <v>0</v>
      </c>
    </row>
    <row r="314" spans="41:369" x14ac:dyDescent="0.45">
      <c r="AO314" t="str">
        <v>D190</v>
      </c>
      <c r="AP314" t="str">
        <v>MOHAMMED AMEEN B.A</v>
      </c>
      <c r="AQ314" t="str">
        <v>BADF</v>
      </c>
      <c r="AR314" t="str">
        <v>SUPER SENIOR</v>
      </c>
      <c r="AS314">
        <v>10</v>
      </c>
      <c r="AT314">
        <v>0</v>
      </c>
      <c r="AU314">
        <v>0</v>
      </c>
      <c r="AV314">
        <v>0</v>
      </c>
      <c r="AW314">
        <v>0</v>
      </c>
      <c r="AX314">
        <v>255</v>
      </c>
      <c r="AY314" s="5">
        <v>255</v>
      </c>
      <c r="AZ314">
        <v>0</v>
      </c>
      <c r="BA314">
        <v>0</v>
      </c>
      <c r="BB314">
        <v>0</v>
      </c>
      <c r="BC314">
        <v>0</v>
      </c>
      <c r="BD314">
        <v>0</v>
      </c>
      <c r="BE314">
        <v>0</v>
      </c>
      <c r="BF314">
        <v>0</v>
      </c>
      <c r="BG314">
        <v>0</v>
      </c>
      <c r="BH314">
        <v>0</v>
      </c>
      <c r="BI314" t="str">
        <v/>
      </c>
      <c r="BK314">
        <v>308</v>
      </c>
      <c r="BL314">
        <v>0</v>
      </c>
      <c r="BM314">
        <v>0</v>
      </c>
      <c r="BN314">
        <v>0</v>
      </c>
      <c r="BO314">
        <v>0</v>
      </c>
      <c r="BP314">
        <v>0</v>
      </c>
      <c r="BQ314">
        <v>0</v>
      </c>
      <c r="BR314">
        <v>0</v>
      </c>
      <c r="BS314">
        <v>0</v>
      </c>
      <c r="BT314">
        <v>0</v>
      </c>
      <c r="BU314">
        <v>0</v>
      </c>
      <c r="BV314">
        <v>0</v>
      </c>
      <c r="BW314">
        <v>0</v>
      </c>
      <c r="BX314">
        <v>0</v>
      </c>
      <c r="BY314">
        <v>0</v>
      </c>
      <c r="BZ314">
        <v>0</v>
      </c>
      <c r="CA314">
        <v>0</v>
      </c>
      <c r="CB314">
        <v>0</v>
      </c>
      <c r="CC314">
        <v>0</v>
      </c>
      <c r="CD314">
        <v>0</v>
      </c>
      <c r="CE314">
        <v>0</v>
      </c>
      <c r="CF314">
        <v>0</v>
      </c>
      <c r="CG314">
        <v>0</v>
      </c>
      <c r="CH314">
        <v>0</v>
      </c>
      <c r="CI314">
        <v>0</v>
      </c>
      <c r="CJ314">
        <v>0</v>
      </c>
      <c r="CK314">
        <v>0</v>
      </c>
      <c r="CL314">
        <v>0</v>
      </c>
      <c r="CM314">
        <v>0</v>
      </c>
      <c r="CN314">
        <v>0</v>
      </c>
      <c r="CO314">
        <v>0</v>
      </c>
      <c r="CP314">
        <v>0</v>
      </c>
      <c r="CQ314">
        <v>0</v>
      </c>
      <c r="CR314">
        <v>0</v>
      </c>
      <c r="CS314">
        <v>0</v>
      </c>
      <c r="CT314">
        <v>0</v>
      </c>
      <c r="CU314">
        <v>0</v>
      </c>
      <c r="CV314">
        <v>0</v>
      </c>
      <c r="CW314">
        <v>0</v>
      </c>
      <c r="CX314">
        <v>0</v>
      </c>
      <c r="CY314">
        <v>0</v>
      </c>
      <c r="CZ314">
        <v>0</v>
      </c>
      <c r="DA314">
        <v>0</v>
      </c>
      <c r="DB314">
        <v>0</v>
      </c>
      <c r="DC314">
        <v>0</v>
      </c>
      <c r="DD314">
        <v>0</v>
      </c>
      <c r="DE314">
        <v>0</v>
      </c>
      <c r="DF314">
        <v>0</v>
      </c>
      <c r="DG314">
        <v>0</v>
      </c>
      <c r="DH314">
        <v>0</v>
      </c>
      <c r="DI314">
        <v>0</v>
      </c>
      <c r="DJ314">
        <v>0</v>
      </c>
      <c r="DK314">
        <v>0</v>
      </c>
      <c r="DL314">
        <v>0</v>
      </c>
      <c r="DM314">
        <v>0</v>
      </c>
      <c r="DN314">
        <v>0</v>
      </c>
      <c r="DO314">
        <v>0</v>
      </c>
      <c r="DP314">
        <v>0</v>
      </c>
      <c r="DQ314">
        <v>0</v>
      </c>
      <c r="DR314">
        <v>0</v>
      </c>
      <c r="DS314">
        <v>0</v>
      </c>
      <c r="DT314">
        <v>0</v>
      </c>
      <c r="DU314">
        <v>0</v>
      </c>
      <c r="DV314">
        <v>0</v>
      </c>
      <c r="DW314">
        <v>0</v>
      </c>
      <c r="DX314">
        <v>0</v>
      </c>
      <c r="DY314">
        <v>0</v>
      </c>
      <c r="DZ314">
        <v>0</v>
      </c>
      <c r="EA314">
        <v>0</v>
      </c>
      <c r="EB314">
        <v>0</v>
      </c>
      <c r="EC314">
        <v>0</v>
      </c>
      <c r="ED314">
        <v>0</v>
      </c>
      <c r="EE314">
        <v>0</v>
      </c>
      <c r="EF314">
        <v>0</v>
      </c>
      <c r="EG314">
        <v>0</v>
      </c>
      <c r="EH314">
        <v>0</v>
      </c>
      <c r="EI314">
        <v>0</v>
      </c>
      <c r="EJ314">
        <v>0</v>
      </c>
      <c r="EK314">
        <v>0</v>
      </c>
      <c r="EL314">
        <v>0</v>
      </c>
      <c r="EM314">
        <v>0</v>
      </c>
      <c r="EN314">
        <v>0</v>
      </c>
      <c r="EO314">
        <v>0</v>
      </c>
      <c r="EP314">
        <v>0</v>
      </c>
      <c r="EQ314">
        <v>0</v>
      </c>
      <c r="ER314">
        <v>0</v>
      </c>
      <c r="ES314">
        <v>0</v>
      </c>
      <c r="ET314">
        <v>0</v>
      </c>
      <c r="EU314">
        <v>0</v>
      </c>
      <c r="EV314">
        <v>0</v>
      </c>
      <c r="EW314">
        <v>0</v>
      </c>
      <c r="EX314">
        <v>0</v>
      </c>
      <c r="EY314">
        <v>0</v>
      </c>
      <c r="EZ314">
        <v>0</v>
      </c>
      <c r="FA314">
        <v>0</v>
      </c>
      <c r="FB314">
        <v>0</v>
      </c>
      <c r="FC314">
        <v>0</v>
      </c>
      <c r="FD314">
        <v>0</v>
      </c>
      <c r="FE314">
        <v>0</v>
      </c>
      <c r="FF314">
        <v>0</v>
      </c>
      <c r="FG314">
        <v>0</v>
      </c>
      <c r="FH314">
        <v>0</v>
      </c>
      <c r="FI314">
        <v>0</v>
      </c>
      <c r="FJ314">
        <v>0</v>
      </c>
      <c r="FK314">
        <v>0</v>
      </c>
      <c r="FL314">
        <v>0</v>
      </c>
      <c r="FM314">
        <v>0</v>
      </c>
      <c r="FN314">
        <v>0</v>
      </c>
      <c r="FO314">
        <v>0</v>
      </c>
      <c r="FP314">
        <v>0</v>
      </c>
      <c r="FQ314">
        <v>0</v>
      </c>
      <c r="FR314">
        <v>0</v>
      </c>
      <c r="FS314">
        <v>0</v>
      </c>
      <c r="FT314">
        <v>0</v>
      </c>
      <c r="FU314">
        <v>0</v>
      </c>
      <c r="FV314">
        <v>0</v>
      </c>
      <c r="FW314">
        <v>0</v>
      </c>
      <c r="FX314">
        <v>0</v>
      </c>
      <c r="FY314">
        <v>0</v>
      </c>
      <c r="FZ314">
        <v>0</v>
      </c>
      <c r="GA314">
        <v>0</v>
      </c>
      <c r="GB314">
        <v>0</v>
      </c>
      <c r="GC314">
        <v>0</v>
      </c>
      <c r="GD314">
        <v>0</v>
      </c>
      <c r="GE314">
        <v>0</v>
      </c>
      <c r="GF314">
        <v>0</v>
      </c>
      <c r="GG314">
        <v>0</v>
      </c>
      <c r="GH314">
        <v>0</v>
      </c>
      <c r="GI314">
        <v>0</v>
      </c>
      <c r="GJ314">
        <v>0</v>
      </c>
      <c r="GK314">
        <v>0</v>
      </c>
      <c r="GL314">
        <v>0</v>
      </c>
      <c r="GM314">
        <v>0</v>
      </c>
      <c r="GN314">
        <v>0</v>
      </c>
      <c r="GO314">
        <v>0</v>
      </c>
      <c r="GP314">
        <v>0</v>
      </c>
      <c r="GQ314">
        <v>0</v>
      </c>
      <c r="GR314">
        <v>0</v>
      </c>
      <c r="GS314">
        <v>0</v>
      </c>
      <c r="GT314">
        <v>0</v>
      </c>
      <c r="GU314">
        <v>0</v>
      </c>
      <c r="GV314">
        <v>0</v>
      </c>
      <c r="GW314">
        <v>0</v>
      </c>
      <c r="GX314">
        <v>0</v>
      </c>
      <c r="GY314">
        <v>0</v>
      </c>
      <c r="GZ314">
        <v>0</v>
      </c>
      <c r="HA314">
        <v>0</v>
      </c>
      <c r="HB314">
        <v>0</v>
      </c>
      <c r="HC314">
        <v>0</v>
      </c>
      <c r="HD314">
        <v>0</v>
      </c>
      <c r="HE314">
        <v>0</v>
      </c>
      <c r="HF314">
        <v>0</v>
      </c>
      <c r="HG314">
        <v>0</v>
      </c>
      <c r="HH314">
        <v>0</v>
      </c>
      <c r="HI314">
        <v>0</v>
      </c>
      <c r="HJ314">
        <v>0</v>
      </c>
      <c r="HK314">
        <v>0</v>
      </c>
      <c r="HL314">
        <v>0</v>
      </c>
      <c r="HM314">
        <v>0</v>
      </c>
      <c r="HN314">
        <v>0</v>
      </c>
      <c r="HO314">
        <v>0</v>
      </c>
      <c r="HP314">
        <v>0</v>
      </c>
      <c r="HQ314">
        <v>0</v>
      </c>
      <c r="HR314">
        <v>0</v>
      </c>
      <c r="HS314">
        <v>0</v>
      </c>
      <c r="HT314">
        <v>0</v>
      </c>
      <c r="HU314">
        <v>0</v>
      </c>
      <c r="HV314">
        <v>0</v>
      </c>
      <c r="HW314">
        <v>0</v>
      </c>
      <c r="HX314">
        <v>0</v>
      </c>
      <c r="HY314">
        <v>0</v>
      </c>
      <c r="HZ314">
        <v>0</v>
      </c>
      <c r="IA314">
        <v>0</v>
      </c>
      <c r="IB314">
        <v>0</v>
      </c>
      <c r="IC314">
        <v>0</v>
      </c>
      <c r="ID314">
        <v>0</v>
      </c>
      <c r="IE314">
        <v>0</v>
      </c>
      <c r="IF314">
        <v>0</v>
      </c>
      <c r="IG314">
        <v>0</v>
      </c>
      <c r="IH314">
        <v>0</v>
      </c>
      <c r="II314">
        <v>0</v>
      </c>
      <c r="IJ314">
        <v>0</v>
      </c>
      <c r="IK314">
        <v>0</v>
      </c>
      <c r="IL314">
        <v>0</v>
      </c>
      <c r="IM314">
        <v>0</v>
      </c>
      <c r="IN314">
        <v>0</v>
      </c>
      <c r="IO314">
        <v>0</v>
      </c>
      <c r="IP314">
        <v>0</v>
      </c>
      <c r="IQ314">
        <v>0</v>
      </c>
      <c r="IR314">
        <v>0</v>
      </c>
      <c r="IS314">
        <v>0</v>
      </c>
      <c r="IT314">
        <v>0</v>
      </c>
      <c r="IU314">
        <v>0</v>
      </c>
      <c r="IV314">
        <v>0</v>
      </c>
      <c r="IW314">
        <v>0</v>
      </c>
      <c r="IX314">
        <v>0</v>
      </c>
      <c r="IY314">
        <v>0</v>
      </c>
      <c r="IZ314">
        <v>0</v>
      </c>
      <c r="JA314">
        <v>0</v>
      </c>
      <c r="JB314">
        <v>0</v>
      </c>
      <c r="JC314">
        <v>0</v>
      </c>
      <c r="JD314">
        <v>0</v>
      </c>
      <c r="JE314">
        <v>0</v>
      </c>
      <c r="JF314">
        <v>0</v>
      </c>
      <c r="JG314">
        <v>0</v>
      </c>
      <c r="JH314">
        <v>0</v>
      </c>
      <c r="JI314">
        <v>0</v>
      </c>
      <c r="JJ314">
        <v>0</v>
      </c>
      <c r="JK314">
        <v>0</v>
      </c>
      <c r="JL314">
        <v>0</v>
      </c>
      <c r="JM314">
        <v>0</v>
      </c>
      <c r="JN314">
        <v>0</v>
      </c>
      <c r="JO314">
        <v>0</v>
      </c>
      <c r="JP314">
        <v>0</v>
      </c>
      <c r="JQ314">
        <v>0</v>
      </c>
      <c r="JR314">
        <v>0</v>
      </c>
      <c r="JS314">
        <v>0</v>
      </c>
      <c r="JT314">
        <v>0</v>
      </c>
      <c r="JU314">
        <v>0</v>
      </c>
      <c r="JV314">
        <v>0</v>
      </c>
      <c r="JW314">
        <v>0</v>
      </c>
      <c r="JX314">
        <v>0</v>
      </c>
      <c r="JY314">
        <v>0</v>
      </c>
      <c r="JZ314">
        <v>0</v>
      </c>
      <c r="KA314">
        <v>0</v>
      </c>
      <c r="KB314">
        <v>0</v>
      </c>
      <c r="KC314">
        <v>0</v>
      </c>
      <c r="KD314">
        <v>0</v>
      </c>
      <c r="KE314">
        <v>0</v>
      </c>
      <c r="KF314">
        <v>0</v>
      </c>
      <c r="KG314">
        <v>0</v>
      </c>
      <c r="KH314">
        <v>0</v>
      </c>
      <c r="KI314">
        <v>0</v>
      </c>
      <c r="KJ314">
        <v>0</v>
      </c>
      <c r="KK314">
        <v>0</v>
      </c>
      <c r="KL314">
        <v>0</v>
      </c>
      <c r="KM314">
        <v>0</v>
      </c>
      <c r="KN314">
        <v>0</v>
      </c>
      <c r="KO314">
        <v>0</v>
      </c>
      <c r="KP314">
        <v>0</v>
      </c>
      <c r="KQ314">
        <v>0</v>
      </c>
      <c r="KR314">
        <v>0</v>
      </c>
      <c r="KS314">
        <v>0</v>
      </c>
      <c r="KT314">
        <v>0</v>
      </c>
      <c r="KU314">
        <v>0</v>
      </c>
      <c r="KV314">
        <v>0</v>
      </c>
      <c r="KW314">
        <v>0</v>
      </c>
      <c r="KX314">
        <v>0</v>
      </c>
      <c r="KY314">
        <v>0</v>
      </c>
      <c r="KZ314">
        <v>0</v>
      </c>
      <c r="LA314">
        <v>0</v>
      </c>
      <c r="LB314">
        <v>0</v>
      </c>
      <c r="LC314">
        <v>0</v>
      </c>
      <c r="LD314">
        <v>0</v>
      </c>
      <c r="LE314">
        <v>0</v>
      </c>
      <c r="LF314">
        <v>0</v>
      </c>
      <c r="LG314">
        <v>0</v>
      </c>
      <c r="LH314">
        <v>0</v>
      </c>
      <c r="LI314">
        <v>0</v>
      </c>
      <c r="LJ314">
        <v>0</v>
      </c>
      <c r="LK314">
        <v>0</v>
      </c>
      <c r="LL314">
        <v>0</v>
      </c>
      <c r="LM314">
        <v>0</v>
      </c>
      <c r="LN314">
        <v>0</v>
      </c>
      <c r="LO314">
        <v>0</v>
      </c>
      <c r="LP314">
        <v>0</v>
      </c>
      <c r="LQ314">
        <v>0</v>
      </c>
      <c r="LR314">
        <v>0</v>
      </c>
      <c r="LS314">
        <v>0</v>
      </c>
      <c r="LT314">
        <v>0</v>
      </c>
      <c r="LU314">
        <v>0</v>
      </c>
      <c r="LV314">
        <v>0</v>
      </c>
      <c r="LW314">
        <v>0</v>
      </c>
      <c r="LX314">
        <v>0</v>
      </c>
      <c r="LY314">
        <v>0</v>
      </c>
      <c r="LZ314">
        <v>0</v>
      </c>
      <c r="MA314">
        <v>0</v>
      </c>
      <c r="MB314">
        <v>0</v>
      </c>
      <c r="MC314">
        <v>0</v>
      </c>
      <c r="MD314">
        <v>0</v>
      </c>
      <c r="ME314">
        <v>0</v>
      </c>
      <c r="MF314">
        <v>0</v>
      </c>
      <c r="MG314">
        <v>0</v>
      </c>
      <c r="MH314">
        <v>0</v>
      </c>
      <c r="MI314">
        <v>0</v>
      </c>
      <c r="MJ314">
        <v>0</v>
      </c>
      <c r="MK314">
        <v>0</v>
      </c>
      <c r="ML314">
        <v>0</v>
      </c>
      <c r="MM314">
        <v>0</v>
      </c>
      <c r="MN314">
        <v>0</v>
      </c>
      <c r="MO314">
        <v>0</v>
      </c>
      <c r="MP314">
        <v>0</v>
      </c>
      <c r="MQ314">
        <v>0</v>
      </c>
      <c r="MR314">
        <v>0</v>
      </c>
      <c r="MS314">
        <v>0</v>
      </c>
      <c r="MT314">
        <v>0</v>
      </c>
      <c r="MU314">
        <v>0</v>
      </c>
      <c r="MV314">
        <v>0</v>
      </c>
      <c r="MW314">
        <v>0</v>
      </c>
      <c r="MX314">
        <v>0</v>
      </c>
      <c r="MY314">
        <v>0</v>
      </c>
      <c r="MZ314">
        <v>0</v>
      </c>
      <c r="NA314">
        <v>0</v>
      </c>
      <c r="NB314">
        <v>0</v>
      </c>
      <c r="NC314">
        <v>0</v>
      </c>
      <c r="ND314">
        <v>0</v>
      </c>
      <c r="NE314">
        <v>0</v>
      </c>
    </row>
    <row r="315" spans="41:369" x14ac:dyDescent="0.45">
      <c r="AO315" t="str">
        <v>D191</v>
      </c>
      <c r="AP315" t="str">
        <v>THAMJEED TM</v>
      </c>
      <c r="AQ315" t="str">
        <v>JARF</v>
      </c>
      <c r="AR315" t="str">
        <v>SUPER SENIOR</v>
      </c>
      <c r="AS315">
        <v>10</v>
      </c>
      <c r="AT315">
        <v>6</v>
      </c>
      <c r="AU315">
        <v>0</v>
      </c>
      <c r="AV315">
        <v>6</v>
      </c>
      <c r="AW315">
        <v>6</v>
      </c>
      <c r="AX315">
        <v>171</v>
      </c>
      <c r="AY315" s="5">
        <v>171</v>
      </c>
      <c r="AZ315">
        <v>0</v>
      </c>
      <c r="BA315">
        <v>0</v>
      </c>
      <c r="BB315">
        <v>0</v>
      </c>
      <c r="BC315">
        <v>0</v>
      </c>
      <c r="BD315">
        <v>0</v>
      </c>
      <c r="BE315">
        <v>0</v>
      </c>
      <c r="BF315">
        <v>0</v>
      </c>
      <c r="BG315">
        <v>0</v>
      </c>
      <c r="BH315">
        <v>0</v>
      </c>
      <c r="BI315" t="str">
        <v/>
      </c>
      <c r="BK315">
        <v>309</v>
      </c>
      <c r="BL315">
        <v>0</v>
      </c>
      <c r="BM315">
        <v>0</v>
      </c>
      <c r="BN315">
        <v>0</v>
      </c>
      <c r="BO315">
        <v>0</v>
      </c>
      <c r="BP315">
        <v>0</v>
      </c>
      <c r="BQ315">
        <v>0</v>
      </c>
      <c r="BR315">
        <v>0</v>
      </c>
      <c r="BS315">
        <v>0</v>
      </c>
      <c r="BT315">
        <v>0</v>
      </c>
      <c r="BU315">
        <v>0</v>
      </c>
      <c r="BV315">
        <v>0</v>
      </c>
      <c r="BW315">
        <v>0</v>
      </c>
      <c r="BX315">
        <v>0</v>
      </c>
      <c r="BY315">
        <v>0</v>
      </c>
      <c r="BZ315">
        <v>0</v>
      </c>
      <c r="CA315">
        <v>0</v>
      </c>
      <c r="CB315">
        <v>0</v>
      </c>
      <c r="CC315">
        <v>0</v>
      </c>
      <c r="CD315">
        <v>0</v>
      </c>
      <c r="CE315">
        <v>0</v>
      </c>
      <c r="CF315">
        <v>0</v>
      </c>
      <c r="CG315">
        <v>0</v>
      </c>
      <c r="CH315">
        <v>0</v>
      </c>
      <c r="CI315">
        <v>0</v>
      </c>
      <c r="CJ315">
        <v>0</v>
      </c>
      <c r="CK315">
        <v>0</v>
      </c>
      <c r="CL315">
        <v>0</v>
      </c>
      <c r="CM315">
        <v>0</v>
      </c>
      <c r="CN315">
        <v>0</v>
      </c>
      <c r="CO315">
        <v>0</v>
      </c>
      <c r="CP315">
        <v>0</v>
      </c>
      <c r="CQ315">
        <v>0</v>
      </c>
      <c r="CR315">
        <v>0</v>
      </c>
      <c r="CS315">
        <v>0</v>
      </c>
      <c r="CT315">
        <v>0</v>
      </c>
      <c r="CU315">
        <v>0</v>
      </c>
      <c r="CV315">
        <v>0</v>
      </c>
      <c r="CW315">
        <v>0</v>
      </c>
      <c r="CX315">
        <v>0</v>
      </c>
      <c r="CY315">
        <v>0</v>
      </c>
      <c r="CZ315">
        <v>0</v>
      </c>
      <c r="DA315">
        <v>0</v>
      </c>
      <c r="DB315">
        <v>0</v>
      </c>
      <c r="DC315">
        <v>0</v>
      </c>
      <c r="DD315">
        <v>0</v>
      </c>
      <c r="DE315">
        <v>0</v>
      </c>
      <c r="DF315">
        <v>0</v>
      </c>
      <c r="DG315">
        <v>0</v>
      </c>
      <c r="DH315">
        <v>0</v>
      </c>
      <c r="DI315">
        <v>0</v>
      </c>
      <c r="DJ315">
        <v>0</v>
      </c>
      <c r="DK315">
        <v>0</v>
      </c>
      <c r="DL315">
        <v>0</v>
      </c>
      <c r="DM315">
        <v>0</v>
      </c>
      <c r="DN315">
        <v>0</v>
      </c>
      <c r="DO315">
        <v>0</v>
      </c>
      <c r="DP315">
        <v>0</v>
      </c>
      <c r="DQ315">
        <v>0</v>
      </c>
      <c r="DR315">
        <v>0</v>
      </c>
      <c r="DS315">
        <v>0</v>
      </c>
      <c r="DT315">
        <v>0</v>
      </c>
      <c r="DU315">
        <v>0</v>
      </c>
      <c r="DV315">
        <v>0</v>
      </c>
      <c r="DW315">
        <v>0</v>
      </c>
      <c r="DX315">
        <v>0</v>
      </c>
      <c r="DY315">
        <v>0</v>
      </c>
      <c r="DZ315">
        <v>0</v>
      </c>
      <c r="EA315">
        <v>0</v>
      </c>
      <c r="EB315">
        <v>0</v>
      </c>
      <c r="EC315">
        <v>0</v>
      </c>
      <c r="ED315">
        <v>0</v>
      </c>
      <c r="EE315">
        <v>0</v>
      </c>
      <c r="EF315">
        <v>0</v>
      </c>
      <c r="EG315">
        <v>0</v>
      </c>
      <c r="EH315">
        <v>0</v>
      </c>
      <c r="EI315">
        <v>0</v>
      </c>
      <c r="EJ315">
        <v>0</v>
      </c>
      <c r="EK315">
        <v>0</v>
      </c>
      <c r="EL315">
        <v>0</v>
      </c>
      <c r="EM315">
        <v>0</v>
      </c>
      <c r="EN315">
        <v>0</v>
      </c>
      <c r="EO315">
        <v>0</v>
      </c>
      <c r="EP315">
        <v>0</v>
      </c>
      <c r="EQ315">
        <v>0</v>
      </c>
      <c r="ER315">
        <v>0</v>
      </c>
      <c r="ES315">
        <v>0</v>
      </c>
      <c r="ET315">
        <v>0</v>
      </c>
      <c r="EU315">
        <v>0</v>
      </c>
      <c r="EV315">
        <v>0</v>
      </c>
      <c r="EW315">
        <v>0</v>
      </c>
      <c r="EX315">
        <v>0</v>
      </c>
      <c r="EY315">
        <v>0</v>
      </c>
      <c r="EZ315">
        <v>0</v>
      </c>
      <c r="FA315">
        <v>0</v>
      </c>
      <c r="FB315">
        <v>0</v>
      </c>
      <c r="FC315">
        <v>0</v>
      </c>
      <c r="FD315">
        <v>0</v>
      </c>
      <c r="FE315">
        <v>0</v>
      </c>
      <c r="FF315">
        <v>0</v>
      </c>
      <c r="FG315">
        <v>0</v>
      </c>
      <c r="FH315">
        <v>0</v>
      </c>
      <c r="FI315">
        <v>0</v>
      </c>
      <c r="FJ315">
        <v>0</v>
      </c>
      <c r="FK315">
        <v>0</v>
      </c>
      <c r="FL315">
        <v>0</v>
      </c>
      <c r="FM315">
        <v>0</v>
      </c>
      <c r="FN315">
        <v>0</v>
      </c>
      <c r="FO315">
        <v>0</v>
      </c>
      <c r="FP315">
        <v>0</v>
      </c>
      <c r="FQ315">
        <v>0</v>
      </c>
      <c r="FR315">
        <v>0</v>
      </c>
      <c r="FS315">
        <v>0</v>
      </c>
      <c r="FT315">
        <v>0</v>
      </c>
      <c r="FU315">
        <v>0</v>
      </c>
      <c r="FV315">
        <v>0</v>
      </c>
      <c r="FW315">
        <v>0</v>
      </c>
      <c r="FX315">
        <v>0</v>
      </c>
      <c r="FY315">
        <v>0</v>
      </c>
      <c r="FZ315">
        <v>0</v>
      </c>
      <c r="GA315">
        <v>0</v>
      </c>
      <c r="GB315">
        <v>0</v>
      </c>
      <c r="GC315">
        <v>0</v>
      </c>
      <c r="GD315">
        <v>0</v>
      </c>
      <c r="GE315">
        <v>0</v>
      </c>
      <c r="GF315">
        <v>0</v>
      </c>
      <c r="GG315">
        <v>0</v>
      </c>
      <c r="GH315">
        <v>0</v>
      </c>
      <c r="GI315">
        <v>0</v>
      </c>
      <c r="GJ315">
        <v>0</v>
      </c>
      <c r="GK315">
        <v>0</v>
      </c>
      <c r="GL315">
        <v>0</v>
      </c>
      <c r="GM315">
        <v>0</v>
      </c>
      <c r="GN315">
        <v>0</v>
      </c>
      <c r="GO315">
        <v>0</v>
      </c>
      <c r="GP315">
        <v>0</v>
      </c>
      <c r="GQ315">
        <v>0</v>
      </c>
      <c r="GR315">
        <v>0</v>
      </c>
      <c r="GS315">
        <v>0</v>
      </c>
      <c r="GT315">
        <v>0</v>
      </c>
      <c r="GU315">
        <v>0</v>
      </c>
      <c r="GV315">
        <v>0</v>
      </c>
      <c r="GW315">
        <v>0</v>
      </c>
      <c r="GX315">
        <v>0</v>
      </c>
      <c r="GY315">
        <v>0</v>
      </c>
      <c r="GZ315">
        <v>0</v>
      </c>
      <c r="HA315">
        <v>0</v>
      </c>
      <c r="HB315">
        <v>0</v>
      </c>
      <c r="HC315">
        <v>0</v>
      </c>
      <c r="HD315">
        <v>0</v>
      </c>
      <c r="HE315">
        <v>0</v>
      </c>
      <c r="HF315">
        <v>0</v>
      </c>
      <c r="HG315">
        <v>0</v>
      </c>
      <c r="HH315">
        <v>0</v>
      </c>
      <c r="HI315">
        <v>0</v>
      </c>
      <c r="HJ315">
        <v>0</v>
      </c>
      <c r="HK315">
        <v>0</v>
      </c>
      <c r="HL315">
        <v>0</v>
      </c>
      <c r="HM315">
        <v>0</v>
      </c>
      <c r="HN315">
        <v>0</v>
      </c>
      <c r="HO315">
        <v>0</v>
      </c>
      <c r="HP315">
        <v>0</v>
      </c>
      <c r="HQ315">
        <v>0</v>
      </c>
      <c r="HR315">
        <v>0</v>
      </c>
      <c r="HS315">
        <v>0</v>
      </c>
      <c r="HT315">
        <v>0</v>
      </c>
      <c r="HU315">
        <v>0</v>
      </c>
      <c r="HV315">
        <v>0</v>
      </c>
      <c r="HW315">
        <v>0</v>
      </c>
      <c r="HX315">
        <v>0</v>
      </c>
      <c r="HY315">
        <v>0</v>
      </c>
      <c r="HZ315">
        <v>0</v>
      </c>
      <c r="IA315">
        <v>0</v>
      </c>
      <c r="IB315">
        <v>0</v>
      </c>
      <c r="IC315">
        <v>0</v>
      </c>
      <c r="ID315">
        <v>0</v>
      </c>
      <c r="IE315">
        <v>0</v>
      </c>
      <c r="IF315">
        <v>0</v>
      </c>
      <c r="IG315">
        <v>0</v>
      </c>
      <c r="IH315">
        <v>0</v>
      </c>
      <c r="II315">
        <v>0</v>
      </c>
      <c r="IJ315">
        <v>0</v>
      </c>
      <c r="IK315">
        <v>0</v>
      </c>
      <c r="IL315">
        <v>0</v>
      </c>
      <c r="IM315">
        <v>0</v>
      </c>
      <c r="IN315">
        <v>0</v>
      </c>
      <c r="IO315">
        <v>0</v>
      </c>
      <c r="IP315">
        <v>0</v>
      </c>
      <c r="IQ315">
        <v>0</v>
      </c>
      <c r="IR315">
        <v>0</v>
      </c>
      <c r="IS315">
        <v>0</v>
      </c>
      <c r="IT315">
        <v>0</v>
      </c>
      <c r="IU315">
        <v>0</v>
      </c>
      <c r="IV315">
        <v>0</v>
      </c>
      <c r="IW315">
        <v>0</v>
      </c>
      <c r="IX315">
        <v>0</v>
      </c>
      <c r="IY315">
        <v>0</v>
      </c>
      <c r="IZ315">
        <v>0</v>
      </c>
      <c r="JA315">
        <v>0</v>
      </c>
      <c r="JB315">
        <v>0</v>
      </c>
      <c r="JC315">
        <v>0</v>
      </c>
      <c r="JD315">
        <v>0</v>
      </c>
      <c r="JE315">
        <v>0</v>
      </c>
      <c r="JF315">
        <v>0</v>
      </c>
      <c r="JG315">
        <v>0</v>
      </c>
      <c r="JH315">
        <v>0</v>
      </c>
      <c r="JI315">
        <v>0</v>
      </c>
      <c r="JJ315">
        <v>0</v>
      </c>
      <c r="JK315">
        <v>0</v>
      </c>
      <c r="JL315">
        <v>0</v>
      </c>
      <c r="JM315">
        <v>0</v>
      </c>
      <c r="JN315">
        <v>0</v>
      </c>
      <c r="JO315">
        <v>0</v>
      </c>
      <c r="JP315">
        <v>0</v>
      </c>
      <c r="JQ315">
        <v>0</v>
      </c>
      <c r="JR315">
        <v>0</v>
      </c>
      <c r="JS315">
        <v>0</v>
      </c>
      <c r="JT315">
        <v>0</v>
      </c>
      <c r="JU315">
        <v>0</v>
      </c>
      <c r="JV315">
        <v>0</v>
      </c>
      <c r="JW315">
        <v>0</v>
      </c>
      <c r="JX315">
        <v>0</v>
      </c>
      <c r="JY315">
        <v>0</v>
      </c>
      <c r="JZ315">
        <v>0</v>
      </c>
      <c r="KA315">
        <v>0</v>
      </c>
      <c r="KB315">
        <v>0</v>
      </c>
      <c r="KC315">
        <v>0</v>
      </c>
      <c r="KD315">
        <v>0</v>
      </c>
      <c r="KE315">
        <v>0</v>
      </c>
      <c r="KF315">
        <v>0</v>
      </c>
      <c r="KG315">
        <v>0</v>
      </c>
      <c r="KH315">
        <v>0</v>
      </c>
      <c r="KI315">
        <v>0</v>
      </c>
      <c r="KJ315">
        <v>0</v>
      </c>
      <c r="KK315">
        <v>0</v>
      </c>
      <c r="KL315">
        <v>0</v>
      </c>
      <c r="KM315">
        <v>0</v>
      </c>
      <c r="KN315">
        <v>0</v>
      </c>
      <c r="KO315">
        <v>0</v>
      </c>
      <c r="KP315">
        <v>0</v>
      </c>
      <c r="KQ315">
        <v>0</v>
      </c>
      <c r="KR315">
        <v>0</v>
      </c>
      <c r="KS315">
        <v>0</v>
      </c>
      <c r="KT315">
        <v>0</v>
      </c>
      <c r="KU315">
        <v>0</v>
      </c>
      <c r="KV315">
        <v>0</v>
      </c>
      <c r="KW315">
        <v>0</v>
      </c>
      <c r="KX315">
        <v>0</v>
      </c>
      <c r="KY315">
        <v>0</v>
      </c>
      <c r="KZ315">
        <v>0</v>
      </c>
      <c r="LA315">
        <v>0</v>
      </c>
      <c r="LB315">
        <v>0</v>
      </c>
      <c r="LC315">
        <v>0</v>
      </c>
      <c r="LD315">
        <v>0</v>
      </c>
      <c r="LE315">
        <v>0</v>
      </c>
      <c r="LF315">
        <v>0</v>
      </c>
      <c r="LG315">
        <v>0</v>
      </c>
      <c r="LH315">
        <v>0</v>
      </c>
      <c r="LI315">
        <v>0</v>
      </c>
      <c r="LJ315">
        <v>0</v>
      </c>
      <c r="LK315">
        <v>0</v>
      </c>
      <c r="LL315">
        <v>0</v>
      </c>
      <c r="LM315">
        <v>0</v>
      </c>
      <c r="LN315">
        <v>0</v>
      </c>
      <c r="LO315">
        <v>0</v>
      </c>
      <c r="LP315">
        <v>0</v>
      </c>
      <c r="LQ315">
        <v>0</v>
      </c>
      <c r="LR315">
        <v>0</v>
      </c>
      <c r="LS315">
        <v>0</v>
      </c>
      <c r="LT315">
        <v>0</v>
      </c>
      <c r="LU315">
        <v>0</v>
      </c>
      <c r="LV315">
        <v>0</v>
      </c>
      <c r="LW315">
        <v>0</v>
      </c>
      <c r="LX315">
        <v>0</v>
      </c>
      <c r="LY315">
        <v>0</v>
      </c>
      <c r="LZ315">
        <v>0</v>
      </c>
      <c r="MA315">
        <v>0</v>
      </c>
      <c r="MB315">
        <v>0</v>
      </c>
      <c r="MC315">
        <v>0</v>
      </c>
      <c r="MD315">
        <v>0</v>
      </c>
      <c r="ME315">
        <v>0</v>
      </c>
      <c r="MF315">
        <v>0</v>
      </c>
      <c r="MG315">
        <v>0</v>
      </c>
      <c r="MH315">
        <v>0</v>
      </c>
      <c r="MI315">
        <v>0</v>
      </c>
      <c r="MJ315">
        <v>0</v>
      </c>
      <c r="MK315">
        <v>0</v>
      </c>
      <c r="ML315">
        <v>0</v>
      </c>
      <c r="MM315">
        <v>0</v>
      </c>
      <c r="MN315">
        <v>0</v>
      </c>
      <c r="MO315">
        <v>0</v>
      </c>
      <c r="MP315">
        <v>0</v>
      </c>
      <c r="MQ315">
        <v>0</v>
      </c>
      <c r="MR315">
        <v>0</v>
      </c>
      <c r="MS315">
        <v>0</v>
      </c>
      <c r="MT315">
        <v>0</v>
      </c>
      <c r="MU315">
        <v>0</v>
      </c>
      <c r="MV315">
        <v>0</v>
      </c>
      <c r="MW315">
        <v>0</v>
      </c>
      <c r="MX315">
        <v>0</v>
      </c>
      <c r="MY315">
        <v>0</v>
      </c>
      <c r="MZ315">
        <v>0</v>
      </c>
      <c r="NA315">
        <v>0</v>
      </c>
      <c r="NB315">
        <v>0</v>
      </c>
      <c r="NC315">
        <v>0</v>
      </c>
      <c r="ND315">
        <v>0</v>
      </c>
      <c r="NE315">
        <v>0</v>
      </c>
    </row>
    <row r="316" spans="41:369" x14ac:dyDescent="0.45">
      <c r="AO316" t="str">
        <v>D192</v>
      </c>
      <c r="AP316" t="str">
        <v>MUHAMMED SIFARATH T A</v>
      </c>
      <c r="AQ316" t="str">
        <v>DAHF</v>
      </c>
      <c r="AR316" t="str">
        <v>SUPER SENIOR</v>
      </c>
      <c r="AS316">
        <v>10</v>
      </c>
      <c r="AT316">
        <v>3</v>
      </c>
      <c r="AU316">
        <v>0</v>
      </c>
      <c r="AV316">
        <v>3</v>
      </c>
      <c r="AW316">
        <v>3</v>
      </c>
      <c r="AX316">
        <v>209</v>
      </c>
      <c r="AY316" s="5">
        <v>209</v>
      </c>
      <c r="AZ316">
        <v>0</v>
      </c>
      <c r="BA316">
        <v>0</v>
      </c>
      <c r="BB316">
        <v>0</v>
      </c>
      <c r="BC316">
        <v>0</v>
      </c>
      <c r="BD316">
        <v>0</v>
      </c>
      <c r="BE316">
        <v>0</v>
      </c>
      <c r="BF316">
        <v>0</v>
      </c>
      <c r="BG316">
        <v>0</v>
      </c>
      <c r="BH316">
        <v>0</v>
      </c>
      <c r="BI316" t="str">
        <v/>
      </c>
      <c r="BK316">
        <v>310</v>
      </c>
      <c r="BL316">
        <v>0</v>
      </c>
      <c r="BM316">
        <v>0</v>
      </c>
      <c r="BN316">
        <v>0</v>
      </c>
      <c r="BO316">
        <v>0</v>
      </c>
      <c r="BP316">
        <v>0</v>
      </c>
      <c r="BQ316">
        <v>0</v>
      </c>
      <c r="BR316">
        <v>0</v>
      </c>
      <c r="BS316">
        <v>0</v>
      </c>
      <c r="BT316">
        <v>0</v>
      </c>
      <c r="BU316">
        <v>0</v>
      </c>
      <c r="BV316">
        <v>0</v>
      </c>
      <c r="BW316">
        <v>0</v>
      </c>
      <c r="BX316">
        <v>0</v>
      </c>
      <c r="BY316">
        <v>0</v>
      </c>
      <c r="BZ316">
        <v>0</v>
      </c>
      <c r="CA316">
        <v>0</v>
      </c>
      <c r="CB316">
        <v>0</v>
      </c>
      <c r="CC316">
        <v>0</v>
      </c>
      <c r="CD316">
        <v>0</v>
      </c>
      <c r="CE316">
        <v>0</v>
      </c>
      <c r="CF316">
        <v>0</v>
      </c>
      <c r="CG316">
        <v>0</v>
      </c>
      <c r="CH316">
        <v>0</v>
      </c>
      <c r="CI316">
        <v>0</v>
      </c>
      <c r="CJ316">
        <v>0</v>
      </c>
      <c r="CK316">
        <v>0</v>
      </c>
      <c r="CL316">
        <v>0</v>
      </c>
      <c r="CM316">
        <v>0</v>
      </c>
      <c r="CN316">
        <v>0</v>
      </c>
      <c r="CO316">
        <v>0</v>
      </c>
      <c r="CP316">
        <v>0</v>
      </c>
      <c r="CQ316">
        <v>0</v>
      </c>
      <c r="CR316">
        <v>0</v>
      </c>
      <c r="CS316">
        <v>0</v>
      </c>
      <c r="CT316">
        <v>0</v>
      </c>
      <c r="CU316">
        <v>0</v>
      </c>
      <c r="CV316">
        <v>0</v>
      </c>
      <c r="CW316">
        <v>0</v>
      </c>
      <c r="CX316">
        <v>0</v>
      </c>
      <c r="CY316">
        <v>0</v>
      </c>
      <c r="CZ316">
        <v>0</v>
      </c>
      <c r="DA316">
        <v>0</v>
      </c>
      <c r="DB316">
        <v>0</v>
      </c>
      <c r="DC316">
        <v>0</v>
      </c>
      <c r="DD316">
        <v>0</v>
      </c>
      <c r="DE316">
        <v>0</v>
      </c>
      <c r="DF316">
        <v>0</v>
      </c>
      <c r="DG316">
        <v>0</v>
      </c>
      <c r="DH316">
        <v>0</v>
      </c>
      <c r="DI316">
        <v>0</v>
      </c>
      <c r="DJ316">
        <v>0</v>
      </c>
      <c r="DK316">
        <v>0</v>
      </c>
      <c r="DL316">
        <v>0</v>
      </c>
      <c r="DM316">
        <v>0</v>
      </c>
      <c r="DN316">
        <v>0</v>
      </c>
      <c r="DO316">
        <v>0</v>
      </c>
      <c r="DP316">
        <v>0</v>
      </c>
      <c r="DQ316">
        <v>0</v>
      </c>
      <c r="DR316">
        <v>0</v>
      </c>
      <c r="DS316">
        <v>0</v>
      </c>
      <c r="DT316">
        <v>0</v>
      </c>
      <c r="DU316">
        <v>0</v>
      </c>
      <c r="DV316">
        <v>0</v>
      </c>
      <c r="DW316">
        <v>0</v>
      </c>
      <c r="DX316">
        <v>0</v>
      </c>
      <c r="DY316">
        <v>0</v>
      </c>
      <c r="DZ316">
        <v>0</v>
      </c>
      <c r="EA316">
        <v>0</v>
      </c>
      <c r="EB316">
        <v>0</v>
      </c>
      <c r="EC316">
        <v>0</v>
      </c>
      <c r="ED316">
        <v>0</v>
      </c>
      <c r="EE316">
        <v>0</v>
      </c>
      <c r="EF316">
        <v>0</v>
      </c>
      <c r="EG316">
        <v>0</v>
      </c>
      <c r="EH316">
        <v>0</v>
      </c>
      <c r="EI316">
        <v>0</v>
      </c>
      <c r="EJ316">
        <v>0</v>
      </c>
      <c r="EK316">
        <v>0</v>
      </c>
      <c r="EL316">
        <v>0</v>
      </c>
      <c r="EM316">
        <v>0</v>
      </c>
      <c r="EN316">
        <v>0</v>
      </c>
      <c r="EO316">
        <v>0</v>
      </c>
      <c r="EP316">
        <v>0</v>
      </c>
      <c r="EQ316">
        <v>0</v>
      </c>
      <c r="ER316">
        <v>0</v>
      </c>
      <c r="ES316">
        <v>0</v>
      </c>
      <c r="ET316">
        <v>0</v>
      </c>
      <c r="EU316">
        <v>0</v>
      </c>
      <c r="EV316">
        <v>0</v>
      </c>
      <c r="EW316">
        <v>0</v>
      </c>
      <c r="EX316">
        <v>0</v>
      </c>
      <c r="EY316">
        <v>0</v>
      </c>
      <c r="EZ316">
        <v>0</v>
      </c>
      <c r="FA316">
        <v>0</v>
      </c>
      <c r="FB316">
        <v>0</v>
      </c>
      <c r="FC316">
        <v>0</v>
      </c>
      <c r="FD316">
        <v>0</v>
      </c>
      <c r="FE316">
        <v>0</v>
      </c>
      <c r="FF316">
        <v>0</v>
      </c>
      <c r="FG316">
        <v>0</v>
      </c>
      <c r="FH316">
        <v>0</v>
      </c>
      <c r="FI316">
        <v>0</v>
      </c>
      <c r="FJ316">
        <v>0</v>
      </c>
      <c r="FK316">
        <v>0</v>
      </c>
      <c r="FL316">
        <v>0</v>
      </c>
      <c r="FM316">
        <v>0</v>
      </c>
      <c r="FN316">
        <v>0</v>
      </c>
      <c r="FO316">
        <v>0</v>
      </c>
      <c r="FP316">
        <v>0</v>
      </c>
      <c r="FQ316">
        <v>0</v>
      </c>
      <c r="FR316">
        <v>0</v>
      </c>
      <c r="FS316">
        <v>0</v>
      </c>
      <c r="FT316">
        <v>0</v>
      </c>
      <c r="FU316">
        <v>0</v>
      </c>
      <c r="FV316">
        <v>0</v>
      </c>
      <c r="FW316">
        <v>0</v>
      </c>
      <c r="FX316">
        <v>0</v>
      </c>
      <c r="FY316">
        <v>0</v>
      </c>
      <c r="FZ316">
        <v>0</v>
      </c>
      <c r="GA316">
        <v>0</v>
      </c>
      <c r="GB316">
        <v>0</v>
      </c>
      <c r="GC316">
        <v>0</v>
      </c>
      <c r="GD316">
        <v>0</v>
      </c>
      <c r="GE316">
        <v>0</v>
      </c>
      <c r="GF316">
        <v>0</v>
      </c>
      <c r="GG316">
        <v>0</v>
      </c>
      <c r="GH316">
        <v>0</v>
      </c>
      <c r="GI316">
        <v>0</v>
      </c>
      <c r="GJ316">
        <v>0</v>
      </c>
      <c r="GK316">
        <v>0</v>
      </c>
      <c r="GL316">
        <v>0</v>
      </c>
      <c r="GM316">
        <v>0</v>
      </c>
      <c r="GN316">
        <v>0</v>
      </c>
      <c r="GO316">
        <v>0</v>
      </c>
      <c r="GP316">
        <v>0</v>
      </c>
      <c r="GQ316">
        <v>0</v>
      </c>
      <c r="GR316">
        <v>0</v>
      </c>
      <c r="GS316">
        <v>0</v>
      </c>
      <c r="GT316">
        <v>0</v>
      </c>
      <c r="GU316">
        <v>0</v>
      </c>
      <c r="GV316">
        <v>0</v>
      </c>
      <c r="GW316">
        <v>0</v>
      </c>
      <c r="GX316">
        <v>0</v>
      </c>
      <c r="GY316">
        <v>0</v>
      </c>
      <c r="GZ316">
        <v>0</v>
      </c>
      <c r="HA316">
        <v>0</v>
      </c>
      <c r="HB316">
        <v>0</v>
      </c>
      <c r="HC316">
        <v>0</v>
      </c>
      <c r="HD316">
        <v>0</v>
      </c>
      <c r="HE316">
        <v>0</v>
      </c>
      <c r="HF316">
        <v>0</v>
      </c>
      <c r="HG316">
        <v>0</v>
      </c>
      <c r="HH316">
        <v>0</v>
      </c>
      <c r="HI316">
        <v>0</v>
      </c>
      <c r="HJ316">
        <v>0</v>
      </c>
      <c r="HK316">
        <v>0</v>
      </c>
      <c r="HL316">
        <v>0</v>
      </c>
      <c r="HM316">
        <v>0</v>
      </c>
      <c r="HN316">
        <v>0</v>
      </c>
      <c r="HO316">
        <v>0</v>
      </c>
      <c r="HP316">
        <v>0</v>
      </c>
      <c r="HQ316">
        <v>0</v>
      </c>
      <c r="HR316">
        <v>0</v>
      </c>
      <c r="HS316">
        <v>0</v>
      </c>
      <c r="HT316">
        <v>0</v>
      </c>
      <c r="HU316">
        <v>0</v>
      </c>
      <c r="HV316">
        <v>0</v>
      </c>
      <c r="HW316">
        <v>0</v>
      </c>
      <c r="HX316">
        <v>0</v>
      </c>
      <c r="HY316">
        <v>0</v>
      </c>
      <c r="HZ316">
        <v>0</v>
      </c>
      <c r="IA316">
        <v>0</v>
      </c>
      <c r="IB316">
        <v>0</v>
      </c>
      <c r="IC316">
        <v>0</v>
      </c>
      <c r="ID316">
        <v>0</v>
      </c>
      <c r="IE316">
        <v>0</v>
      </c>
      <c r="IF316">
        <v>0</v>
      </c>
      <c r="IG316">
        <v>0</v>
      </c>
      <c r="IH316">
        <v>0</v>
      </c>
      <c r="II316">
        <v>0</v>
      </c>
      <c r="IJ316">
        <v>0</v>
      </c>
      <c r="IK316">
        <v>0</v>
      </c>
      <c r="IL316">
        <v>0</v>
      </c>
      <c r="IM316">
        <v>0</v>
      </c>
      <c r="IN316">
        <v>0</v>
      </c>
      <c r="IO316">
        <v>0</v>
      </c>
      <c r="IP316">
        <v>0</v>
      </c>
      <c r="IQ316">
        <v>0</v>
      </c>
      <c r="IR316">
        <v>0</v>
      </c>
      <c r="IS316">
        <v>0</v>
      </c>
      <c r="IT316">
        <v>0</v>
      </c>
      <c r="IU316">
        <v>0</v>
      </c>
      <c r="IV316">
        <v>0</v>
      </c>
      <c r="IW316">
        <v>0</v>
      </c>
      <c r="IX316">
        <v>0</v>
      </c>
      <c r="IY316">
        <v>0</v>
      </c>
      <c r="IZ316">
        <v>0</v>
      </c>
      <c r="JA316">
        <v>0</v>
      </c>
      <c r="JB316">
        <v>0</v>
      </c>
      <c r="JC316">
        <v>0</v>
      </c>
      <c r="JD316">
        <v>0</v>
      </c>
      <c r="JE316">
        <v>0</v>
      </c>
      <c r="JF316">
        <v>0</v>
      </c>
      <c r="JG316">
        <v>0</v>
      </c>
      <c r="JH316">
        <v>0</v>
      </c>
      <c r="JI316">
        <v>0</v>
      </c>
      <c r="JJ316">
        <v>0</v>
      </c>
      <c r="JK316">
        <v>0</v>
      </c>
      <c r="JL316">
        <v>0</v>
      </c>
      <c r="JM316">
        <v>0</v>
      </c>
      <c r="JN316">
        <v>0</v>
      </c>
      <c r="JO316">
        <v>0</v>
      </c>
      <c r="JP316">
        <v>0</v>
      </c>
      <c r="JQ316">
        <v>0</v>
      </c>
      <c r="JR316">
        <v>0</v>
      </c>
      <c r="JS316">
        <v>0</v>
      </c>
      <c r="JT316">
        <v>0</v>
      </c>
      <c r="JU316">
        <v>0</v>
      </c>
      <c r="JV316">
        <v>0</v>
      </c>
      <c r="JW316">
        <v>0</v>
      </c>
      <c r="JX316">
        <v>0</v>
      </c>
      <c r="JY316">
        <v>0</v>
      </c>
      <c r="JZ316">
        <v>0</v>
      </c>
      <c r="KA316">
        <v>0</v>
      </c>
      <c r="KB316">
        <v>0</v>
      </c>
      <c r="KC316">
        <v>0</v>
      </c>
      <c r="KD316">
        <v>0</v>
      </c>
      <c r="KE316">
        <v>0</v>
      </c>
      <c r="KF316">
        <v>0</v>
      </c>
      <c r="KG316">
        <v>0</v>
      </c>
      <c r="KH316">
        <v>0</v>
      </c>
      <c r="KI316">
        <v>0</v>
      </c>
      <c r="KJ316">
        <v>0</v>
      </c>
      <c r="KK316">
        <v>0</v>
      </c>
      <c r="KL316">
        <v>0</v>
      </c>
      <c r="KM316">
        <v>0</v>
      </c>
      <c r="KN316">
        <v>0</v>
      </c>
      <c r="KO316">
        <v>0</v>
      </c>
      <c r="KP316">
        <v>0</v>
      </c>
      <c r="KQ316">
        <v>0</v>
      </c>
      <c r="KR316">
        <v>0</v>
      </c>
      <c r="KS316">
        <v>0</v>
      </c>
      <c r="KT316">
        <v>0</v>
      </c>
      <c r="KU316">
        <v>0</v>
      </c>
      <c r="KV316">
        <v>0</v>
      </c>
      <c r="KW316">
        <v>0</v>
      </c>
      <c r="KX316">
        <v>0</v>
      </c>
      <c r="KY316">
        <v>0</v>
      </c>
      <c r="KZ316">
        <v>0</v>
      </c>
      <c r="LA316">
        <v>0</v>
      </c>
      <c r="LB316">
        <v>0</v>
      </c>
      <c r="LC316">
        <v>0</v>
      </c>
      <c r="LD316">
        <v>0</v>
      </c>
      <c r="LE316">
        <v>0</v>
      </c>
      <c r="LF316">
        <v>0</v>
      </c>
      <c r="LG316">
        <v>0</v>
      </c>
      <c r="LH316">
        <v>0</v>
      </c>
      <c r="LI316">
        <v>0</v>
      </c>
      <c r="LJ316">
        <v>0</v>
      </c>
      <c r="LK316">
        <v>0</v>
      </c>
      <c r="LL316">
        <v>0</v>
      </c>
      <c r="LM316">
        <v>0</v>
      </c>
      <c r="LN316">
        <v>0</v>
      </c>
      <c r="LO316">
        <v>0</v>
      </c>
      <c r="LP316">
        <v>0</v>
      </c>
      <c r="LQ316">
        <v>0</v>
      </c>
      <c r="LR316">
        <v>0</v>
      </c>
      <c r="LS316">
        <v>0</v>
      </c>
      <c r="LT316">
        <v>0</v>
      </c>
      <c r="LU316">
        <v>0</v>
      </c>
      <c r="LV316">
        <v>0</v>
      </c>
      <c r="LW316">
        <v>0</v>
      </c>
      <c r="LX316">
        <v>0</v>
      </c>
      <c r="LY316">
        <v>0</v>
      </c>
      <c r="LZ316">
        <v>0</v>
      </c>
      <c r="MA316">
        <v>0</v>
      </c>
      <c r="MB316">
        <v>0</v>
      </c>
      <c r="MC316">
        <v>0</v>
      </c>
      <c r="MD316">
        <v>0</v>
      </c>
      <c r="ME316">
        <v>0</v>
      </c>
      <c r="MF316">
        <v>0</v>
      </c>
      <c r="MG316">
        <v>0</v>
      </c>
      <c r="MH316">
        <v>0</v>
      </c>
      <c r="MI316">
        <v>0</v>
      </c>
      <c r="MJ316">
        <v>0</v>
      </c>
      <c r="MK316">
        <v>0</v>
      </c>
      <c r="ML316">
        <v>0</v>
      </c>
      <c r="MM316">
        <v>0</v>
      </c>
      <c r="MN316">
        <v>0</v>
      </c>
      <c r="MO316">
        <v>0</v>
      </c>
      <c r="MP316">
        <v>0</v>
      </c>
      <c r="MQ316">
        <v>0</v>
      </c>
      <c r="MR316">
        <v>0</v>
      </c>
      <c r="MS316">
        <v>0</v>
      </c>
      <c r="MT316">
        <v>0</v>
      </c>
      <c r="MU316">
        <v>0</v>
      </c>
      <c r="MV316">
        <v>0</v>
      </c>
      <c r="MW316">
        <v>0</v>
      </c>
      <c r="MX316">
        <v>0</v>
      </c>
      <c r="MY316">
        <v>0</v>
      </c>
      <c r="MZ316">
        <v>0</v>
      </c>
      <c r="NA316">
        <v>0</v>
      </c>
      <c r="NB316">
        <v>0</v>
      </c>
      <c r="NC316">
        <v>0</v>
      </c>
      <c r="ND316">
        <v>0</v>
      </c>
      <c r="NE316">
        <v>0</v>
      </c>
    </row>
    <row r="317" spans="41:369" x14ac:dyDescent="0.45">
      <c r="AO317" t="str">
        <v>D193</v>
      </c>
      <c r="AP317" t="str">
        <v>MUHAMMED ABDUL GHANI M.A</v>
      </c>
      <c r="AQ317" t="str">
        <v>JARF</v>
      </c>
      <c r="AR317" t="str">
        <v>SUPER SENIOR</v>
      </c>
      <c r="AS317">
        <v>10</v>
      </c>
      <c r="AT317">
        <v>0</v>
      </c>
      <c r="AU317">
        <v>0</v>
      </c>
      <c r="AV317">
        <v>0</v>
      </c>
      <c r="AW317">
        <v>0</v>
      </c>
      <c r="AX317">
        <v>255</v>
      </c>
      <c r="AY317" s="5">
        <v>255</v>
      </c>
      <c r="AZ317">
        <v>0</v>
      </c>
      <c r="BA317">
        <v>0</v>
      </c>
      <c r="BB317">
        <v>0</v>
      </c>
      <c r="BC317">
        <v>0</v>
      </c>
      <c r="BD317">
        <v>0</v>
      </c>
      <c r="BE317">
        <v>0</v>
      </c>
      <c r="BF317">
        <v>0</v>
      </c>
      <c r="BG317">
        <v>0</v>
      </c>
      <c r="BH317">
        <v>0</v>
      </c>
      <c r="BI317" t="str">
        <v/>
      </c>
      <c r="BK317">
        <v>311</v>
      </c>
      <c r="BL317">
        <v>0</v>
      </c>
      <c r="BM317">
        <v>0</v>
      </c>
      <c r="BN317">
        <v>0</v>
      </c>
      <c r="BO317">
        <v>0</v>
      </c>
      <c r="BP317">
        <v>0</v>
      </c>
      <c r="BQ317">
        <v>0</v>
      </c>
      <c r="BR317">
        <v>0</v>
      </c>
      <c r="BS317">
        <v>0</v>
      </c>
      <c r="BT317">
        <v>0</v>
      </c>
      <c r="BU317">
        <v>0</v>
      </c>
      <c r="BV317">
        <v>0</v>
      </c>
      <c r="BW317">
        <v>0</v>
      </c>
      <c r="BX317">
        <v>0</v>
      </c>
      <c r="BY317">
        <v>0</v>
      </c>
      <c r="BZ317">
        <v>0</v>
      </c>
      <c r="CA317">
        <v>0</v>
      </c>
      <c r="CB317">
        <v>0</v>
      </c>
      <c r="CC317">
        <v>0</v>
      </c>
      <c r="CD317">
        <v>0</v>
      </c>
      <c r="CE317">
        <v>0</v>
      </c>
      <c r="CF317">
        <v>0</v>
      </c>
      <c r="CG317">
        <v>0</v>
      </c>
      <c r="CH317">
        <v>0</v>
      </c>
      <c r="CI317">
        <v>0</v>
      </c>
      <c r="CJ317">
        <v>0</v>
      </c>
      <c r="CK317">
        <v>0</v>
      </c>
      <c r="CL317">
        <v>0</v>
      </c>
      <c r="CM317">
        <v>0</v>
      </c>
      <c r="CN317">
        <v>0</v>
      </c>
      <c r="CO317">
        <v>0</v>
      </c>
      <c r="CP317">
        <v>0</v>
      </c>
      <c r="CQ317">
        <v>0</v>
      </c>
      <c r="CR317">
        <v>0</v>
      </c>
      <c r="CS317">
        <v>0</v>
      </c>
      <c r="CT317">
        <v>0</v>
      </c>
      <c r="CU317">
        <v>0</v>
      </c>
      <c r="CV317">
        <v>0</v>
      </c>
      <c r="CW317">
        <v>0</v>
      </c>
      <c r="CX317">
        <v>0</v>
      </c>
      <c r="CY317">
        <v>0</v>
      </c>
      <c r="CZ317">
        <v>0</v>
      </c>
      <c r="DA317">
        <v>0</v>
      </c>
      <c r="DB317">
        <v>0</v>
      </c>
      <c r="DC317">
        <v>0</v>
      </c>
      <c r="DD317">
        <v>0</v>
      </c>
      <c r="DE317">
        <v>0</v>
      </c>
      <c r="DF317">
        <v>0</v>
      </c>
      <c r="DG317">
        <v>0</v>
      </c>
      <c r="DH317">
        <v>0</v>
      </c>
      <c r="DI317">
        <v>0</v>
      </c>
      <c r="DJ317">
        <v>0</v>
      </c>
      <c r="DK317">
        <v>0</v>
      </c>
      <c r="DL317">
        <v>0</v>
      </c>
      <c r="DM317">
        <v>0</v>
      </c>
      <c r="DN317">
        <v>0</v>
      </c>
      <c r="DO317">
        <v>0</v>
      </c>
      <c r="DP317">
        <v>0</v>
      </c>
      <c r="DQ317">
        <v>0</v>
      </c>
      <c r="DR317">
        <v>0</v>
      </c>
      <c r="DS317">
        <v>0</v>
      </c>
      <c r="DT317">
        <v>0</v>
      </c>
      <c r="DU317">
        <v>0</v>
      </c>
      <c r="DV317">
        <v>0</v>
      </c>
      <c r="DW317">
        <v>0</v>
      </c>
      <c r="DX317">
        <v>0</v>
      </c>
      <c r="DY317">
        <v>0</v>
      </c>
      <c r="DZ317">
        <v>0</v>
      </c>
      <c r="EA317">
        <v>0</v>
      </c>
      <c r="EB317">
        <v>0</v>
      </c>
      <c r="EC317">
        <v>0</v>
      </c>
      <c r="ED317">
        <v>0</v>
      </c>
      <c r="EE317">
        <v>0</v>
      </c>
      <c r="EF317">
        <v>0</v>
      </c>
      <c r="EG317">
        <v>0</v>
      </c>
      <c r="EH317">
        <v>0</v>
      </c>
      <c r="EI317">
        <v>0</v>
      </c>
      <c r="EJ317">
        <v>0</v>
      </c>
      <c r="EK317">
        <v>0</v>
      </c>
      <c r="EL317">
        <v>0</v>
      </c>
      <c r="EM317">
        <v>0</v>
      </c>
      <c r="EN317">
        <v>0</v>
      </c>
      <c r="EO317">
        <v>0</v>
      </c>
      <c r="EP317">
        <v>0</v>
      </c>
      <c r="EQ317">
        <v>0</v>
      </c>
      <c r="ER317">
        <v>0</v>
      </c>
      <c r="ES317">
        <v>0</v>
      </c>
      <c r="ET317">
        <v>0</v>
      </c>
      <c r="EU317">
        <v>0</v>
      </c>
      <c r="EV317">
        <v>0</v>
      </c>
      <c r="EW317">
        <v>0</v>
      </c>
      <c r="EX317">
        <v>0</v>
      </c>
      <c r="EY317">
        <v>0</v>
      </c>
      <c r="EZ317">
        <v>0</v>
      </c>
      <c r="FA317">
        <v>0</v>
      </c>
      <c r="FB317">
        <v>0</v>
      </c>
      <c r="FC317">
        <v>0</v>
      </c>
      <c r="FD317">
        <v>0</v>
      </c>
      <c r="FE317">
        <v>0</v>
      </c>
      <c r="FF317">
        <v>0</v>
      </c>
      <c r="FG317">
        <v>0</v>
      </c>
      <c r="FH317">
        <v>0</v>
      </c>
      <c r="FI317">
        <v>0</v>
      </c>
      <c r="FJ317">
        <v>0</v>
      </c>
      <c r="FK317">
        <v>0</v>
      </c>
      <c r="FL317">
        <v>0</v>
      </c>
      <c r="FM317">
        <v>0</v>
      </c>
      <c r="FN317">
        <v>0</v>
      </c>
      <c r="FO317">
        <v>0</v>
      </c>
      <c r="FP317">
        <v>0</v>
      </c>
      <c r="FQ317">
        <v>0</v>
      </c>
      <c r="FR317">
        <v>0</v>
      </c>
      <c r="FS317">
        <v>0</v>
      </c>
      <c r="FT317">
        <v>0</v>
      </c>
      <c r="FU317">
        <v>0</v>
      </c>
      <c r="FV317">
        <v>0</v>
      </c>
      <c r="FW317">
        <v>0</v>
      </c>
      <c r="FX317">
        <v>0</v>
      </c>
      <c r="FY317">
        <v>0</v>
      </c>
      <c r="FZ317">
        <v>0</v>
      </c>
      <c r="GA317">
        <v>0</v>
      </c>
      <c r="GB317">
        <v>0</v>
      </c>
      <c r="GC317">
        <v>0</v>
      </c>
      <c r="GD317">
        <v>0</v>
      </c>
      <c r="GE317">
        <v>0</v>
      </c>
      <c r="GF317">
        <v>0</v>
      </c>
      <c r="GG317">
        <v>0</v>
      </c>
      <c r="GH317">
        <v>0</v>
      </c>
      <c r="GI317">
        <v>0</v>
      </c>
      <c r="GJ317">
        <v>0</v>
      </c>
      <c r="GK317">
        <v>0</v>
      </c>
      <c r="GL317">
        <v>0</v>
      </c>
      <c r="GM317">
        <v>0</v>
      </c>
      <c r="GN317">
        <v>0</v>
      </c>
      <c r="GO317">
        <v>0</v>
      </c>
      <c r="GP317">
        <v>0</v>
      </c>
      <c r="GQ317">
        <v>0</v>
      </c>
      <c r="GR317">
        <v>0</v>
      </c>
      <c r="GS317">
        <v>0</v>
      </c>
      <c r="GT317">
        <v>0</v>
      </c>
      <c r="GU317">
        <v>0</v>
      </c>
      <c r="GV317">
        <v>0</v>
      </c>
      <c r="GW317">
        <v>0</v>
      </c>
      <c r="GX317">
        <v>0</v>
      </c>
      <c r="GY317">
        <v>0</v>
      </c>
      <c r="GZ317">
        <v>0</v>
      </c>
      <c r="HA317">
        <v>0</v>
      </c>
      <c r="HB317">
        <v>0</v>
      </c>
      <c r="HC317">
        <v>0</v>
      </c>
      <c r="HD317">
        <v>0</v>
      </c>
      <c r="HE317">
        <v>0</v>
      </c>
      <c r="HF317">
        <v>0</v>
      </c>
      <c r="HG317">
        <v>0</v>
      </c>
      <c r="HH317">
        <v>0</v>
      </c>
      <c r="HI317">
        <v>0</v>
      </c>
      <c r="HJ317">
        <v>0</v>
      </c>
      <c r="HK317">
        <v>0</v>
      </c>
      <c r="HL317">
        <v>0</v>
      </c>
      <c r="HM317">
        <v>0</v>
      </c>
      <c r="HN317">
        <v>0</v>
      </c>
      <c r="HO317">
        <v>0</v>
      </c>
      <c r="HP317">
        <v>0</v>
      </c>
      <c r="HQ317">
        <v>0</v>
      </c>
      <c r="HR317">
        <v>0</v>
      </c>
      <c r="HS317">
        <v>0</v>
      </c>
      <c r="HT317">
        <v>0</v>
      </c>
      <c r="HU317">
        <v>0</v>
      </c>
      <c r="HV317">
        <v>0</v>
      </c>
      <c r="HW317">
        <v>0</v>
      </c>
      <c r="HX317">
        <v>0</v>
      </c>
      <c r="HY317">
        <v>0</v>
      </c>
      <c r="HZ317">
        <v>0</v>
      </c>
      <c r="IA317">
        <v>0</v>
      </c>
      <c r="IB317">
        <v>0</v>
      </c>
      <c r="IC317">
        <v>0</v>
      </c>
      <c r="ID317">
        <v>0</v>
      </c>
      <c r="IE317">
        <v>0</v>
      </c>
      <c r="IF317">
        <v>0</v>
      </c>
      <c r="IG317">
        <v>0</v>
      </c>
      <c r="IH317">
        <v>0</v>
      </c>
      <c r="II317">
        <v>0</v>
      </c>
      <c r="IJ317">
        <v>0</v>
      </c>
      <c r="IK317">
        <v>0</v>
      </c>
      <c r="IL317">
        <v>0</v>
      </c>
      <c r="IM317">
        <v>0</v>
      </c>
      <c r="IN317">
        <v>0</v>
      </c>
      <c r="IO317">
        <v>0</v>
      </c>
      <c r="IP317">
        <v>0</v>
      </c>
      <c r="IQ317">
        <v>0</v>
      </c>
      <c r="IR317">
        <v>0</v>
      </c>
      <c r="IS317">
        <v>0</v>
      </c>
      <c r="IT317">
        <v>0</v>
      </c>
      <c r="IU317">
        <v>0</v>
      </c>
      <c r="IV317">
        <v>0</v>
      </c>
      <c r="IW317">
        <v>0</v>
      </c>
      <c r="IX317">
        <v>0</v>
      </c>
      <c r="IY317">
        <v>0</v>
      </c>
      <c r="IZ317">
        <v>0</v>
      </c>
      <c r="JA317">
        <v>0</v>
      </c>
      <c r="JB317">
        <v>0</v>
      </c>
      <c r="JC317">
        <v>0</v>
      </c>
      <c r="JD317">
        <v>0</v>
      </c>
      <c r="JE317">
        <v>0</v>
      </c>
      <c r="JF317">
        <v>0</v>
      </c>
      <c r="JG317">
        <v>0</v>
      </c>
      <c r="JH317">
        <v>0</v>
      </c>
      <c r="JI317">
        <v>0</v>
      </c>
      <c r="JJ317">
        <v>0</v>
      </c>
      <c r="JK317">
        <v>0</v>
      </c>
      <c r="JL317">
        <v>0</v>
      </c>
      <c r="JM317">
        <v>0</v>
      </c>
      <c r="JN317">
        <v>0</v>
      </c>
      <c r="JO317">
        <v>0</v>
      </c>
      <c r="JP317">
        <v>0</v>
      </c>
      <c r="JQ317">
        <v>0</v>
      </c>
      <c r="JR317">
        <v>0</v>
      </c>
      <c r="JS317">
        <v>0</v>
      </c>
      <c r="JT317">
        <v>0</v>
      </c>
      <c r="JU317">
        <v>0</v>
      </c>
      <c r="JV317">
        <v>0</v>
      </c>
      <c r="JW317">
        <v>0</v>
      </c>
      <c r="JX317">
        <v>0</v>
      </c>
      <c r="JY317">
        <v>0</v>
      </c>
      <c r="JZ317">
        <v>0</v>
      </c>
      <c r="KA317">
        <v>0</v>
      </c>
      <c r="KB317">
        <v>0</v>
      </c>
      <c r="KC317">
        <v>0</v>
      </c>
      <c r="KD317">
        <v>0</v>
      </c>
      <c r="KE317">
        <v>0</v>
      </c>
      <c r="KF317">
        <v>0</v>
      </c>
      <c r="KG317">
        <v>0</v>
      </c>
      <c r="KH317">
        <v>0</v>
      </c>
      <c r="KI317">
        <v>0</v>
      </c>
      <c r="KJ317">
        <v>0</v>
      </c>
      <c r="KK317">
        <v>0</v>
      </c>
      <c r="KL317">
        <v>0</v>
      </c>
      <c r="KM317">
        <v>0</v>
      </c>
      <c r="KN317">
        <v>0</v>
      </c>
      <c r="KO317">
        <v>0</v>
      </c>
      <c r="KP317">
        <v>0</v>
      </c>
      <c r="KQ317">
        <v>0</v>
      </c>
      <c r="KR317">
        <v>0</v>
      </c>
      <c r="KS317">
        <v>0</v>
      </c>
      <c r="KT317">
        <v>0</v>
      </c>
      <c r="KU317">
        <v>0</v>
      </c>
      <c r="KV317">
        <v>0</v>
      </c>
      <c r="KW317">
        <v>0</v>
      </c>
      <c r="KX317">
        <v>0</v>
      </c>
      <c r="KY317">
        <v>0</v>
      </c>
      <c r="KZ317">
        <v>0</v>
      </c>
      <c r="LA317">
        <v>0</v>
      </c>
      <c r="LB317">
        <v>0</v>
      </c>
      <c r="LC317">
        <v>0</v>
      </c>
      <c r="LD317">
        <v>0</v>
      </c>
      <c r="LE317">
        <v>0</v>
      </c>
      <c r="LF317">
        <v>0</v>
      </c>
      <c r="LG317">
        <v>0</v>
      </c>
      <c r="LH317">
        <v>0</v>
      </c>
      <c r="LI317">
        <v>0</v>
      </c>
      <c r="LJ317">
        <v>0</v>
      </c>
      <c r="LK317">
        <v>0</v>
      </c>
      <c r="LL317">
        <v>0</v>
      </c>
      <c r="LM317">
        <v>0</v>
      </c>
      <c r="LN317">
        <v>0</v>
      </c>
      <c r="LO317">
        <v>0</v>
      </c>
      <c r="LP317">
        <v>0</v>
      </c>
      <c r="LQ317">
        <v>0</v>
      </c>
      <c r="LR317">
        <v>0</v>
      </c>
      <c r="LS317">
        <v>0</v>
      </c>
      <c r="LT317">
        <v>0</v>
      </c>
      <c r="LU317">
        <v>0</v>
      </c>
      <c r="LV317">
        <v>0</v>
      </c>
      <c r="LW317">
        <v>0</v>
      </c>
      <c r="LX317">
        <v>0</v>
      </c>
      <c r="LY317">
        <v>0</v>
      </c>
      <c r="LZ317">
        <v>0</v>
      </c>
      <c r="MA317">
        <v>0</v>
      </c>
      <c r="MB317">
        <v>0</v>
      </c>
      <c r="MC317">
        <v>0</v>
      </c>
      <c r="MD317">
        <v>0</v>
      </c>
      <c r="ME317">
        <v>0</v>
      </c>
      <c r="MF317">
        <v>0</v>
      </c>
      <c r="MG317">
        <v>0</v>
      </c>
      <c r="MH317">
        <v>0</v>
      </c>
      <c r="MI317">
        <v>0</v>
      </c>
      <c r="MJ317">
        <v>0</v>
      </c>
      <c r="MK317">
        <v>0</v>
      </c>
      <c r="ML317">
        <v>0</v>
      </c>
      <c r="MM317">
        <v>0</v>
      </c>
      <c r="MN317">
        <v>0</v>
      </c>
      <c r="MO317">
        <v>0</v>
      </c>
      <c r="MP317">
        <v>0</v>
      </c>
      <c r="MQ317">
        <v>0</v>
      </c>
      <c r="MR317">
        <v>0</v>
      </c>
      <c r="MS317">
        <v>0</v>
      </c>
      <c r="MT317">
        <v>0</v>
      </c>
      <c r="MU317">
        <v>0</v>
      </c>
      <c r="MV317">
        <v>0</v>
      </c>
      <c r="MW317">
        <v>0</v>
      </c>
      <c r="MX317">
        <v>0</v>
      </c>
      <c r="MY317">
        <v>0</v>
      </c>
      <c r="MZ317">
        <v>0</v>
      </c>
      <c r="NA317">
        <v>0</v>
      </c>
      <c r="NB317">
        <v>0</v>
      </c>
      <c r="NC317">
        <v>0</v>
      </c>
      <c r="ND317">
        <v>0</v>
      </c>
      <c r="NE317">
        <v>0</v>
      </c>
    </row>
    <row r="318" spans="41:369" x14ac:dyDescent="0.45">
      <c r="AO318" t="str">
        <v>D194</v>
      </c>
      <c r="AP318" t="str">
        <v>AYAZ RAHMAN T</v>
      </c>
      <c r="AQ318" t="str">
        <v>JARF</v>
      </c>
      <c r="AR318" t="str">
        <v>SUPER SENIOR</v>
      </c>
      <c r="AS318">
        <v>10</v>
      </c>
      <c r="AT318">
        <v>58</v>
      </c>
      <c r="AU318">
        <v>0</v>
      </c>
      <c r="AV318">
        <v>58</v>
      </c>
      <c r="AW318">
        <v>58</v>
      </c>
      <c r="AX318">
        <v>6</v>
      </c>
      <c r="AY318" s="5">
        <v>6</v>
      </c>
      <c r="AZ318">
        <v>0</v>
      </c>
      <c r="BA318">
        <v>0</v>
      </c>
      <c r="BB318">
        <v>0</v>
      </c>
      <c r="BC318">
        <v>0</v>
      </c>
      <c r="BD318">
        <v>0</v>
      </c>
      <c r="BE318">
        <v>0</v>
      </c>
      <c r="BF318">
        <v>0</v>
      </c>
      <c r="BG318">
        <v>0</v>
      </c>
      <c r="BH318">
        <v>0</v>
      </c>
      <c r="BI318" t="str">
        <v/>
      </c>
      <c r="BK318">
        <v>312</v>
      </c>
      <c r="BL318">
        <v>0</v>
      </c>
      <c r="BM318">
        <v>0</v>
      </c>
      <c r="BN318">
        <v>0</v>
      </c>
      <c r="BO318">
        <v>0</v>
      </c>
      <c r="BP318">
        <v>0</v>
      </c>
      <c r="BQ318">
        <v>0</v>
      </c>
      <c r="BR318">
        <v>0</v>
      </c>
      <c r="BS318">
        <v>0</v>
      </c>
      <c r="BT318">
        <v>0</v>
      </c>
      <c r="BU318">
        <v>0</v>
      </c>
      <c r="BV318">
        <v>0</v>
      </c>
      <c r="BW318">
        <v>0</v>
      </c>
      <c r="BX318">
        <v>0</v>
      </c>
      <c r="BY318">
        <v>0</v>
      </c>
      <c r="BZ318">
        <v>0</v>
      </c>
      <c r="CA318">
        <v>0</v>
      </c>
      <c r="CB318">
        <v>0</v>
      </c>
      <c r="CC318">
        <v>0</v>
      </c>
      <c r="CD318">
        <v>0</v>
      </c>
      <c r="CE318">
        <v>0</v>
      </c>
      <c r="CF318">
        <v>0</v>
      </c>
      <c r="CG318">
        <v>0</v>
      </c>
      <c r="CH318">
        <v>0</v>
      </c>
      <c r="CI318">
        <v>0</v>
      </c>
      <c r="CJ318">
        <v>0</v>
      </c>
      <c r="CK318">
        <v>0</v>
      </c>
      <c r="CL318">
        <v>0</v>
      </c>
      <c r="CM318">
        <v>0</v>
      </c>
      <c r="CN318">
        <v>0</v>
      </c>
      <c r="CO318">
        <v>0</v>
      </c>
      <c r="CP318">
        <v>0</v>
      </c>
      <c r="CQ318">
        <v>0</v>
      </c>
      <c r="CR318">
        <v>0</v>
      </c>
      <c r="CS318">
        <v>0</v>
      </c>
      <c r="CT318">
        <v>0</v>
      </c>
      <c r="CU318">
        <v>0</v>
      </c>
      <c r="CV318">
        <v>0</v>
      </c>
      <c r="CW318">
        <v>0</v>
      </c>
      <c r="CX318">
        <v>0</v>
      </c>
      <c r="CY318">
        <v>0</v>
      </c>
      <c r="CZ318">
        <v>0</v>
      </c>
      <c r="DA318">
        <v>0</v>
      </c>
      <c r="DB318">
        <v>0</v>
      </c>
      <c r="DC318">
        <v>0</v>
      </c>
      <c r="DD318">
        <v>0</v>
      </c>
      <c r="DE318">
        <v>0</v>
      </c>
      <c r="DF318">
        <v>0</v>
      </c>
      <c r="DG318">
        <v>0</v>
      </c>
      <c r="DH318">
        <v>0</v>
      </c>
      <c r="DI318">
        <v>0</v>
      </c>
      <c r="DJ318">
        <v>0</v>
      </c>
      <c r="DK318">
        <v>0</v>
      </c>
      <c r="DL318">
        <v>0</v>
      </c>
      <c r="DM318">
        <v>0</v>
      </c>
      <c r="DN318">
        <v>0</v>
      </c>
      <c r="DO318">
        <v>0</v>
      </c>
      <c r="DP318">
        <v>0</v>
      </c>
      <c r="DQ318">
        <v>0</v>
      </c>
      <c r="DR318">
        <v>0</v>
      </c>
      <c r="DS318">
        <v>0</v>
      </c>
      <c r="DT318">
        <v>0</v>
      </c>
      <c r="DU318">
        <v>0</v>
      </c>
      <c r="DV318">
        <v>0</v>
      </c>
      <c r="DW318">
        <v>0</v>
      </c>
      <c r="DX318">
        <v>0</v>
      </c>
      <c r="DY318">
        <v>0</v>
      </c>
      <c r="DZ318">
        <v>0</v>
      </c>
      <c r="EA318">
        <v>0</v>
      </c>
      <c r="EB318">
        <v>0</v>
      </c>
      <c r="EC318">
        <v>0</v>
      </c>
      <c r="ED318">
        <v>0</v>
      </c>
      <c r="EE318">
        <v>0</v>
      </c>
      <c r="EF318">
        <v>0</v>
      </c>
      <c r="EG318">
        <v>0</v>
      </c>
      <c r="EH318">
        <v>0</v>
      </c>
      <c r="EI318">
        <v>0</v>
      </c>
      <c r="EJ318">
        <v>0</v>
      </c>
      <c r="EK318">
        <v>0</v>
      </c>
      <c r="EL318">
        <v>0</v>
      </c>
      <c r="EM318">
        <v>0</v>
      </c>
      <c r="EN318">
        <v>0</v>
      </c>
      <c r="EO318">
        <v>0</v>
      </c>
      <c r="EP318">
        <v>0</v>
      </c>
      <c r="EQ318">
        <v>0</v>
      </c>
      <c r="ER318">
        <v>0</v>
      </c>
      <c r="ES318">
        <v>0</v>
      </c>
      <c r="ET318">
        <v>0</v>
      </c>
      <c r="EU318">
        <v>0</v>
      </c>
      <c r="EV318">
        <v>0</v>
      </c>
      <c r="EW318">
        <v>0</v>
      </c>
      <c r="EX318">
        <v>0</v>
      </c>
      <c r="EY318">
        <v>0</v>
      </c>
      <c r="EZ318">
        <v>0</v>
      </c>
      <c r="FA318">
        <v>0</v>
      </c>
      <c r="FB318">
        <v>0</v>
      </c>
      <c r="FC318">
        <v>0</v>
      </c>
      <c r="FD318">
        <v>0</v>
      </c>
      <c r="FE318">
        <v>0</v>
      </c>
      <c r="FF318">
        <v>0</v>
      </c>
      <c r="FG318">
        <v>0</v>
      </c>
      <c r="FH318">
        <v>0</v>
      </c>
      <c r="FI318">
        <v>0</v>
      </c>
      <c r="FJ318">
        <v>0</v>
      </c>
      <c r="FK318">
        <v>0</v>
      </c>
      <c r="FL318">
        <v>0</v>
      </c>
      <c r="FM318">
        <v>0</v>
      </c>
      <c r="FN318">
        <v>0</v>
      </c>
      <c r="FO318">
        <v>0</v>
      </c>
      <c r="FP318">
        <v>0</v>
      </c>
      <c r="FQ318">
        <v>0</v>
      </c>
      <c r="FR318">
        <v>0</v>
      </c>
      <c r="FS318">
        <v>0</v>
      </c>
      <c r="FT318">
        <v>0</v>
      </c>
      <c r="FU318">
        <v>0</v>
      </c>
      <c r="FV318">
        <v>0</v>
      </c>
      <c r="FW318">
        <v>0</v>
      </c>
      <c r="FX318">
        <v>0</v>
      </c>
      <c r="FY318">
        <v>0</v>
      </c>
      <c r="FZ318">
        <v>0</v>
      </c>
      <c r="GA318">
        <v>0</v>
      </c>
      <c r="GB318">
        <v>0</v>
      </c>
      <c r="GC318">
        <v>0</v>
      </c>
      <c r="GD318">
        <v>0</v>
      </c>
      <c r="GE318">
        <v>0</v>
      </c>
      <c r="GF318">
        <v>0</v>
      </c>
      <c r="GG318">
        <v>0</v>
      </c>
      <c r="GH318">
        <v>0</v>
      </c>
      <c r="GI318">
        <v>0</v>
      </c>
      <c r="GJ318">
        <v>0</v>
      </c>
      <c r="GK318">
        <v>0</v>
      </c>
      <c r="GL318">
        <v>0</v>
      </c>
      <c r="GM318">
        <v>0</v>
      </c>
      <c r="GN318">
        <v>0</v>
      </c>
      <c r="GO318">
        <v>0</v>
      </c>
      <c r="GP318">
        <v>0</v>
      </c>
      <c r="GQ318">
        <v>0</v>
      </c>
      <c r="GR318">
        <v>0</v>
      </c>
      <c r="GS318">
        <v>0</v>
      </c>
      <c r="GT318">
        <v>0</v>
      </c>
      <c r="GU318">
        <v>0</v>
      </c>
      <c r="GV318">
        <v>0</v>
      </c>
      <c r="GW318">
        <v>0</v>
      </c>
      <c r="GX318">
        <v>0</v>
      </c>
      <c r="GY318">
        <v>0</v>
      </c>
      <c r="GZ318">
        <v>0</v>
      </c>
      <c r="HA318">
        <v>0</v>
      </c>
      <c r="HB318">
        <v>0</v>
      </c>
      <c r="HC318">
        <v>0</v>
      </c>
      <c r="HD318">
        <v>0</v>
      </c>
      <c r="HE318">
        <v>0</v>
      </c>
      <c r="HF318">
        <v>0</v>
      </c>
      <c r="HG318">
        <v>0</v>
      </c>
      <c r="HH318">
        <v>0</v>
      </c>
      <c r="HI318">
        <v>0</v>
      </c>
      <c r="HJ318">
        <v>0</v>
      </c>
      <c r="HK318">
        <v>0</v>
      </c>
      <c r="HL318">
        <v>0</v>
      </c>
      <c r="HM318">
        <v>0</v>
      </c>
      <c r="HN318">
        <v>0</v>
      </c>
      <c r="HO318">
        <v>0</v>
      </c>
      <c r="HP318">
        <v>0</v>
      </c>
      <c r="HQ318">
        <v>0</v>
      </c>
      <c r="HR318">
        <v>0</v>
      </c>
      <c r="HS318">
        <v>0</v>
      </c>
      <c r="HT318">
        <v>0</v>
      </c>
      <c r="HU318">
        <v>0</v>
      </c>
      <c r="HV318">
        <v>0</v>
      </c>
      <c r="HW318">
        <v>0</v>
      </c>
      <c r="HX318">
        <v>0</v>
      </c>
      <c r="HY318">
        <v>0</v>
      </c>
      <c r="HZ318">
        <v>0</v>
      </c>
      <c r="IA318">
        <v>0</v>
      </c>
      <c r="IB318">
        <v>0</v>
      </c>
      <c r="IC318">
        <v>0</v>
      </c>
      <c r="ID318">
        <v>0</v>
      </c>
      <c r="IE318">
        <v>0</v>
      </c>
      <c r="IF318">
        <v>0</v>
      </c>
      <c r="IG318">
        <v>0</v>
      </c>
      <c r="IH318">
        <v>0</v>
      </c>
      <c r="II318">
        <v>0</v>
      </c>
      <c r="IJ318">
        <v>0</v>
      </c>
      <c r="IK318">
        <v>0</v>
      </c>
      <c r="IL318">
        <v>0</v>
      </c>
      <c r="IM318">
        <v>0</v>
      </c>
      <c r="IN318">
        <v>0</v>
      </c>
      <c r="IO318">
        <v>0</v>
      </c>
      <c r="IP318">
        <v>0</v>
      </c>
      <c r="IQ318">
        <v>0</v>
      </c>
      <c r="IR318">
        <v>0</v>
      </c>
      <c r="IS318">
        <v>0</v>
      </c>
      <c r="IT318">
        <v>0</v>
      </c>
      <c r="IU318">
        <v>0</v>
      </c>
      <c r="IV318">
        <v>0</v>
      </c>
      <c r="IW318">
        <v>0</v>
      </c>
      <c r="IX318">
        <v>0</v>
      </c>
      <c r="IY318">
        <v>0</v>
      </c>
      <c r="IZ318">
        <v>0</v>
      </c>
      <c r="JA318">
        <v>0</v>
      </c>
      <c r="JB318">
        <v>0</v>
      </c>
      <c r="JC318">
        <v>0</v>
      </c>
      <c r="JD318">
        <v>0</v>
      </c>
      <c r="JE318">
        <v>0</v>
      </c>
      <c r="JF318">
        <v>0</v>
      </c>
      <c r="JG318">
        <v>0</v>
      </c>
      <c r="JH318">
        <v>0</v>
      </c>
      <c r="JI318">
        <v>0</v>
      </c>
      <c r="JJ318">
        <v>0</v>
      </c>
      <c r="JK318">
        <v>0</v>
      </c>
      <c r="JL318">
        <v>0</v>
      </c>
      <c r="JM318">
        <v>0</v>
      </c>
      <c r="JN318">
        <v>0</v>
      </c>
      <c r="JO318">
        <v>0</v>
      </c>
      <c r="JP318">
        <v>0</v>
      </c>
      <c r="JQ318">
        <v>0</v>
      </c>
      <c r="JR318">
        <v>0</v>
      </c>
      <c r="JS318">
        <v>0</v>
      </c>
      <c r="JT318">
        <v>0</v>
      </c>
      <c r="JU318">
        <v>0</v>
      </c>
      <c r="JV318">
        <v>0</v>
      </c>
      <c r="JW318">
        <v>0</v>
      </c>
      <c r="JX318">
        <v>0</v>
      </c>
      <c r="JY318">
        <v>0</v>
      </c>
      <c r="JZ318">
        <v>0</v>
      </c>
      <c r="KA318">
        <v>0</v>
      </c>
      <c r="KB318">
        <v>0</v>
      </c>
      <c r="KC318">
        <v>0</v>
      </c>
      <c r="KD318">
        <v>0</v>
      </c>
      <c r="KE318">
        <v>0</v>
      </c>
      <c r="KF318">
        <v>0</v>
      </c>
      <c r="KG318">
        <v>0</v>
      </c>
      <c r="KH318">
        <v>0</v>
      </c>
      <c r="KI318">
        <v>0</v>
      </c>
      <c r="KJ318">
        <v>0</v>
      </c>
      <c r="KK318">
        <v>0</v>
      </c>
      <c r="KL318">
        <v>0</v>
      </c>
      <c r="KM318">
        <v>0</v>
      </c>
      <c r="KN318">
        <v>0</v>
      </c>
      <c r="KO318">
        <v>0</v>
      </c>
      <c r="KP318">
        <v>0</v>
      </c>
      <c r="KQ318">
        <v>0</v>
      </c>
      <c r="KR318">
        <v>0</v>
      </c>
      <c r="KS318">
        <v>0</v>
      </c>
      <c r="KT318">
        <v>0</v>
      </c>
      <c r="KU318">
        <v>0</v>
      </c>
      <c r="KV318">
        <v>0</v>
      </c>
      <c r="KW318">
        <v>0</v>
      </c>
      <c r="KX318">
        <v>0</v>
      </c>
      <c r="KY318">
        <v>0</v>
      </c>
      <c r="KZ318">
        <v>0</v>
      </c>
      <c r="LA318">
        <v>0</v>
      </c>
      <c r="LB318">
        <v>0</v>
      </c>
      <c r="LC318">
        <v>0</v>
      </c>
      <c r="LD318">
        <v>0</v>
      </c>
      <c r="LE318">
        <v>0</v>
      </c>
      <c r="LF318">
        <v>0</v>
      </c>
      <c r="LG318">
        <v>0</v>
      </c>
      <c r="LH318">
        <v>0</v>
      </c>
      <c r="LI318">
        <v>0</v>
      </c>
      <c r="LJ318">
        <v>0</v>
      </c>
      <c r="LK318">
        <v>0</v>
      </c>
      <c r="LL318">
        <v>0</v>
      </c>
      <c r="LM318">
        <v>0</v>
      </c>
      <c r="LN318">
        <v>0</v>
      </c>
      <c r="LO318">
        <v>0</v>
      </c>
      <c r="LP318">
        <v>0</v>
      </c>
      <c r="LQ318">
        <v>0</v>
      </c>
      <c r="LR318">
        <v>0</v>
      </c>
      <c r="LS318">
        <v>0</v>
      </c>
      <c r="LT318">
        <v>0</v>
      </c>
      <c r="LU318">
        <v>0</v>
      </c>
      <c r="LV318">
        <v>0</v>
      </c>
      <c r="LW318">
        <v>0</v>
      </c>
      <c r="LX318">
        <v>0</v>
      </c>
      <c r="LY318">
        <v>0</v>
      </c>
      <c r="LZ318">
        <v>0</v>
      </c>
      <c r="MA318">
        <v>0</v>
      </c>
      <c r="MB318">
        <v>0</v>
      </c>
      <c r="MC318">
        <v>0</v>
      </c>
      <c r="MD318">
        <v>0</v>
      </c>
      <c r="ME318">
        <v>0</v>
      </c>
      <c r="MF318">
        <v>0</v>
      </c>
      <c r="MG318">
        <v>0</v>
      </c>
      <c r="MH318">
        <v>0</v>
      </c>
      <c r="MI318">
        <v>0</v>
      </c>
      <c r="MJ318">
        <v>0</v>
      </c>
      <c r="MK318">
        <v>0</v>
      </c>
      <c r="ML318">
        <v>0</v>
      </c>
      <c r="MM318">
        <v>0</v>
      </c>
      <c r="MN318">
        <v>0</v>
      </c>
      <c r="MO318">
        <v>0</v>
      </c>
      <c r="MP318">
        <v>0</v>
      </c>
      <c r="MQ318">
        <v>0</v>
      </c>
      <c r="MR318">
        <v>0</v>
      </c>
      <c r="MS318">
        <v>0</v>
      </c>
      <c r="MT318">
        <v>0</v>
      </c>
      <c r="MU318">
        <v>0</v>
      </c>
      <c r="MV318">
        <v>0</v>
      </c>
      <c r="MW318">
        <v>0</v>
      </c>
      <c r="MX318">
        <v>0</v>
      </c>
      <c r="MY318">
        <v>0</v>
      </c>
      <c r="MZ318">
        <v>0</v>
      </c>
      <c r="NA318">
        <v>0</v>
      </c>
      <c r="NB318">
        <v>0</v>
      </c>
      <c r="NC318">
        <v>0</v>
      </c>
      <c r="ND318">
        <v>0</v>
      </c>
      <c r="NE318">
        <v>0</v>
      </c>
    </row>
    <row r="319" spans="41:369" x14ac:dyDescent="0.45">
      <c r="AO319" t="str">
        <v>D195</v>
      </c>
      <c r="AP319" t="str">
        <v>AHMED SWALAHUDHEEN PI</v>
      </c>
      <c r="AQ319" t="str">
        <v>BADF</v>
      </c>
      <c r="AR319" t="str">
        <v>SUPER SENIOR</v>
      </c>
      <c r="AS319">
        <v>10</v>
      </c>
      <c r="AT319">
        <v>36</v>
      </c>
      <c r="AU319">
        <v>0</v>
      </c>
      <c r="AV319">
        <v>36</v>
      </c>
      <c r="AW319">
        <v>36</v>
      </c>
      <c r="AX319">
        <v>31</v>
      </c>
      <c r="AY319" s="5">
        <v>31</v>
      </c>
      <c r="AZ319">
        <v>0</v>
      </c>
      <c r="BA319">
        <v>0</v>
      </c>
      <c r="BB319">
        <v>0</v>
      </c>
      <c r="BC319">
        <v>0</v>
      </c>
      <c r="BD319">
        <v>0</v>
      </c>
      <c r="BE319">
        <v>0</v>
      </c>
      <c r="BF319">
        <v>0</v>
      </c>
      <c r="BG319">
        <v>0</v>
      </c>
      <c r="BH319">
        <v>0</v>
      </c>
      <c r="BI319" t="str">
        <v/>
      </c>
      <c r="BK319">
        <v>313</v>
      </c>
      <c r="BL319">
        <v>0</v>
      </c>
      <c r="BM319">
        <v>0</v>
      </c>
      <c r="BN319">
        <v>0</v>
      </c>
      <c r="BO319">
        <v>0</v>
      </c>
      <c r="BP319">
        <v>0</v>
      </c>
      <c r="BQ319">
        <v>0</v>
      </c>
      <c r="BR319">
        <v>0</v>
      </c>
      <c r="BS319">
        <v>0</v>
      </c>
      <c r="BT319">
        <v>0</v>
      </c>
      <c r="BU319">
        <v>0</v>
      </c>
      <c r="BV319">
        <v>0</v>
      </c>
      <c r="BW319">
        <v>0</v>
      </c>
      <c r="BX319">
        <v>0</v>
      </c>
      <c r="BY319">
        <v>0</v>
      </c>
      <c r="BZ319">
        <v>0</v>
      </c>
      <c r="CA319">
        <v>0</v>
      </c>
      <c r="CB319">
        <v>0</v>
      </c>
      <c r="CC319">
        <v>0</v>
      </c>
      <c r="CD319">
        <v>0</v>
      </c>
      <c r="CE319">
        <v>0</v>
      </c>
      <c r="CF319">
        <v>0</v>
      </c>
      <c r="CG319">
        <v>0</v>
      </c>
      <c r="CH319">
        <v>0</v>
      </c>
      <c r="CI319">
        <v>0</v>
      </c>
      <c r="CJ319">
        <v>0</v>
      </c>
      <c r="CK319">
        <v>0</v>
      </c>
      <c r="CL319">
        <v>0</v>
      </c>
      <c r="CM319">
        <v>0</v>
      </c>
      <c r="CN319">
        <v>0</v>
      </c>
      <c r="CO319">
        <v>0</v>
      </c>
      <c r="CP319">
        <v>0</v>
      </c>
      <c r="CQ319">
        <v>0</v>
      </c>
      <c r="CR319">
        <v>0</v>
      </c>
      <c r="CS319">
        <v>0</v>
      </c>
      <c r="CT319">
        <v>0</v>
      </c>
      <c r="CU319">
        <v>0</v>
      </c>
      <c r="CV319">
        <v>0</v>
      </c>
      <c r="CW319">
        <v>0</v>
      </c>
      <c r="CX319">
        <v>0</v>
      </c>
      <c r="CY319">
        <v>0</v>
      </c>
      <c r="CZ319">
        <v>0</v>
      </c>
      <c r="DA319">
        <v>0</v>
      </c>
      <c r="DB319">
        <v>0</v>
      </c>
      <c r="DC319">
        <v>0</v>
      </c>
      <c r="DD319">
        <v>0</v>
      </c>
      <c r="DE319">
        <v>0</v>
      </c>
      <c r="DF319">
        <v>0</v>
      </c>
      <c r="DG319">
        <v>0</v>
      </c>
      <c r="DH319">
        <v>0</v>
      </c>
      <c r="DI319">
        <v>0</v>
      </c>
      <c r="DJ319">
        <v>0</v>
      </c>
      <c r="DK319">
        <v>0</v>
      </c>
      <c r="DL319">
        <v>0</v>
      </c>
      <c r="DM319">
        <v>0</v>
      </c>
      <c r="DN319">
        <v>0</v>
      </c>
      <c r="DO319">
        <v>0</v>
      </c>
      <c r="DP319">
        <v>0</v>
      </c>
      <c r="DQ319">
        <v>0</v>
      </c>
      <c r="DR319">
        <v>0</v>
      </c>
      <c r="DS319">
        <v>0</v>
      </c>
      <c r="DT319">
        <v>0</v>
      </c>
      <c r="DU319">
        <v>0</v>
      </c>
      <c r="DV319">
        <v>0</v>
      </c>
      <c r="DW319">
        <v>0</v>
      </c>
      <c r="DX319">
        <v>0</v>
      </c>
      <c r="DY319">
        <v>0</v>
      </c>
      <c r="DZ319">
        <v>0</v>
      </c>
      <c r="EA319">
        <v>0</v>
      </c>
      <c r="EB319">
        <v>0</v>
      </c>
      <c r="EC319">
        <v>0</v>
      </c>
      <c r="ED319">
        <v>0</v>
      </c>
      <c r="EE319">
        <v>0</v>
      </c>
      <c r="EF319">
        <v>0</v>
      </c>
      <c r="EG319">
        <v>0</v>
      </c>
      <c r="EH319">
        <v>0</v>
      </c>
      <c r="EI319">
        <v>0</v>
      </c>
      <c r="EJ319">
        <v>0</v>
      </c>
      <c r="EK319">
        <v>0</v>
      </c>
      <c r="EL319">
        <v>0</v>
      </c>
      <c r="EM319">
        <v>0</v>
      </c>
      <c r="EN319">
        <v>0</v>
      </c>
      <c r="EO319">
        <v>0</v>
      </c>
      <c r="EP319">
        <v>0</v>
      </c>
      <c r="EQ319">
        <v>0</v>
      </c>
      <c r="ER319">
        <v>0</v>
      </c>
      <c r="ES319">
        <v>0</v>
      </c>
      <c r="ET319">
        <v>0</v>
      </c>
      <c r="EU319">
        <v>0</v>
      </c>
      <c r="EV319">
        <v>0</v>
      </c>
      <c r="EW319">
        <v>0</v>
      </c>
      <c r="EX319">
        <v>0</v>
      </c>
      <c r="EY319">
        <v>0</v>
      </c>
      <c r="EZ319">
        <v>0</v>
      </c>
      <c r="FA319">
        <v>0</v>
      </c>
      <c r="FB319">
        <v>0</v>
      </c>
      <c r="FC319">
        <v>0</v>
      </c>
      <c r="FD319">
        <v>0</v>
      </c>
      <c r="FE319">
        <v>0</v>
      </c>
      <c r="FF319">
        <v>0</v>
      </c>
      <c r="FG319">
        <v>0</v>
      </c>
      <c r="FH319">
        <v>0</v>
      </c>
      <c r="FI319">
        <v>0</v>
      </c>
      <c r="FJ319">
        <v>0</v>
      </c>
      <c r="FK319">
        <v>0</v>
      </c>
      <c r="FL319">
        <v>0</v>
      </c>
      <c r="FM319">
        <v>0</v>
      </c>
      <c r="FN319">
        <v>0</v>
      </c>
      <c r="FO319">
        <v>0</v>
      </c>
      <c r="FP319">
        <v>0</v>
      </c>
      <c r="FQ319">
        <v>0</v>
      </c>
      <c r="FR319">
        <v>0</v>
      </c>
      <c r="FS319">
        <v>0</v>
      </c>
      <c r="FT319">
        <v>0</v>
      </c>
      <c r="FU319">
        <v>0</v>
      </c>
      <c r="FV319">
        <v>0</v>
      </c>
      <c r="FW319">
        <v>0</v>
      </c>
      <c r="FX319">
        <v>0</v>
      </c>
      <c r="FY319">
        <v>0</v>
      </c>
      <c r="FZ319">
        <v>0</v>
      </c>
      <c r="GA319">
        <v>0</v>
      </c>
      <c r="GB319">
        <v>0</v>
      </c>
      <c r="GC319">
        <v>0</v>
      </c>
      <c r="GD319">
        <v>0</v>
      </c>
      <c r="GE319">
        <v>0</v>
      </c>
      <c r="GF319">
        <v>0</v>
      </c>
      <c r="GG319">
        <v>0</v>
      </c>
      <c r="GH319">
        <v>0</v>
      </c>
      <c r="GI319">
        <v>0</v>
      </c>
      <c r="GJ319">
        <v>0</v>
      </c>
      <c r="GK319">
        <v>0</v>
      </c>
      <c r="GL319">
        <v>0</v>
      </c>
      <c r="GM319">
        <v>0</v>
      </c>
      <c r="GN319">
        <v>0</v>
      </c>
      <c r="GO319">
        <v>0</v>
      </c>
      <c r="GP319">
        <v>0</v>
      </c>
      <c r="GQ319">
        <v>0</v>
      </c>
      <c r="GR319">
        <v>0</v>
      </c>
      <c r="GS319">
        <v>0</v>
      </c>
      <c r="GT319">
        <v>0</v>
      </c>
      <c r="GU319">
        <v>0</v>
      </c>
      <c r="GV319">
        <v>0</v>
      </c>
      <c r="GW319">
        <v>0</v>
      </c>
      <c r="GX319">
        <v>0</v>
      </c>
      <c r="GY319">
        <v>0</v>
      </c>
      <c r="GZ319">
        <v>0</v>
      </c>
      <c r="HA319">
        <v>0</v>
      </c>
      <c r="HB319">
        <v>0</v>
      </c>
      <c r="HC319">
        <v>0</v>
      </c>
      <c r="HD319">
        <v>0</v>
      </c>
      <c r="HE319">
        <v>0</v>
      </c>
      <c r="HF319">
        <v>0</v>
      </c>
      <c r="HG319">
        <v>0</v>
      </c>
      <c r="HH319">
        <v>0</v>
      </c>
      <c r="HI319">
        <v>0</v>
      </c>
      <c r="HJ319">
        <v>0</v>
      </c>
      <c r="HK319">
        <v>0</v>
      </c>
      <c r="HL319">
        <v>0</v>
      </c>
      <c r="HM319">
        <v>0</v>
      </c>
      <c r="HN319">
        <v>0</v>
      </c>
      <c r="HO319">
        <v>0</v>
      </c>
      <c r="HP319">
        <v>0</v>
      </c>
      <c r="HQ319">
        <v>0</v>
      </c>
      <c r="HR319">
        <v>0</v>
      </c>
      <c r="HS319">
        <v>0</v>
      </c>
      <c r="HT319">
        <v>0</v>
      </c>
      <c r="HU319">
        <v>0</v>
      </c>
      <c r="HV319">
        <v>0</v>
      </c>
      <c r="HW319">
        <v>0</v>
      </c>
      <c r="HX319">
        <v>0</v>
      </c>
      <c r="HY319">
        <v>0</v>
      </c>
      <c r="HZ319">
        <v>0</v>
      </c>
      <c r="IA319">
        <v>0</v>
      </c>
      <c r="IB319">
        <v>0</v>
      </c>
      <c r="IC319">
        <v>0</v>
      </c>
      <c r="ID319">
        <v>0</v>
      </c>
      <c r="IE319">
        <v>0</v>
      </c>
      <c r="IF319">
        <v>0</v>
      </c>
      <c r="IG319">
        <v>0</v>
      </c>
      <c r="IH319">
        <v>0</v>
      </c>
      <c r="II319">
        <v>0</v>
      </c>
      <c r="IJ319">
        <v>0</v>
      </c>
      <c r="IK319">
        <v>0</v>
      </c>
      <c r="IL319">
        <v>0</v>
      </c>
      <c r="IM319">
        <v>0</v>
      </c>
      <c r="IN319">
        <v>0</v>
      </c>
      <c r="IO319">
        <v>0</v>
      </c>
      <c r="IP319">
        <v>0</v>
      </c>
      <c r="IQ319">
        <v>0</v>
      </c>
      <c r="IR319">
        <v>0</v>
      </c>
      <c r="IS319">
        <v>0</v>
      </c>
      <c r="IT319">
        <v>0</v>
      </c>
      <c r="IU319">
        <v>0</v>
      </c>
      <c r="IV319">
        <v>0</v>
      </c>
      <c r="IW319">
        <v>0</v>
      </c>
      <c r="IX319">
        <v>0</v>
      </c>
      <c r="IY319">
        <v>0</v>
      </c>
      <c r="IZ319">
        <v>0</v>
      </c>
      <c r="JA319">
        <v>0</v>
      </c>
      <c r="JB319">
        <v>0</v>
      </c>
      <c r="JC319">
        <v>0</v>
      </c>
      <c r="JD319">
        <v>0</v>
      </c>
      <c r="JE319">
        <v>0</v>
      </c>
      <c r="JF319">
        <v>0</v>
      </c>
      <c r="JG319">
        <v>0</v>
      </c>
      <c r="JH319">
        <v>0</v>
      </c>
      <c r="JI319">
        <v>0</v>
      </c>
      <c r="JJ319">
        <v>0</v>
      </c>
      <c r="JK319">
        <v>0</v>
      </c>
      <c r="JL319">
        <v>0</v>
      </c>
      <c r="JM319">
        <v>0</v>
      </c>
      <c r="JN319">
        <v>0</v>
      </c>
      <c r="JO319">
        <v>0</v>
      </c>
      <c r="JP319">
        <v>0</v>
      </c>
      <c r="JQ319">
        <v>0</v>
      </c>
      <c r="JR319">
        <v>0</v>
      </c>
      <c r="JS319">
        <v>0</v>
      </c>
      <c r="JT319">
        <v>0</v>
      </c>
      <c r="JU319">
        <v>0</v>
      </c>
      <c r="JV319">
        <v>0</v>
      </c>
      <c r="JW319">
        <v>0</v>
      </c>
      <c r="JX319">
        <v>0</v>
      </c>
      <c r="JY319">
        <v>0</v>
      </c>
      <c r="JZ319">
        <v>0</v>
      </c>
      <c r="KA319">
        <v>0</v>
      </c>
      <c r="KB319">
        <v>0</v>
      </c>
      <c r="KC319">
        <v>0</v>
      </c>
      <c r="KD319">
        <v>0</v>
      </c>
      <c r="KE319">
        <v>0</v>
      </c>
      <c r="KF319">
        <v>0</v>
      </c>
      <c r="KG319">
        <v>0</v>
      </c>
      <c r="KH319">
        <v>0</v>
      </c>
      <c r="KI319">
        <v>0</v>
      </c>
      <c r="KJ319">
        <v>0</v>
      </c>
      <c r="KK319">
        <v>0</v>
      </c>
      <c r="KL319">
        <v>0</v>
      </c>
      <c r="KM319">
        <v>0</v>
      </c>
      <c r="KN319">
        <v>0</v>
      </c>
      <c r="KO319">
        <v>0</v>
      </c>
      <c r="KP319">
        <v>0</v>
      </c>
      <c r="KQ319">
        <v>0</v>
      </c>
      <c r="KR319">
        <v>0</v>
      </c>
      <c r="KS319">
        <v>0</v>
      </c>
      <c r="KT319">
        <v>0</v>
      </c>
      <c r="KU319">
        <v>0</v>
      </c>
      <c r="KV319">
        <v>0</v>
      </c>
      <c r="KW319">
        <v>0</v>
      </c>
      <c r="KX319">
        <v>0</v>
      </c>
      <c r="KY319">
        <v>0</v>
      </c>
      <c r="KZ319">
        <v>0</v>
      </c>
      <c r="LA319">
        <v>0</v>
      </c>
      <c r="LB319">
        <v>0</v>
      </c>
      <c r="LC319">
        <v>0</v>
      </c>
      <c r="LD319">
        <v>0</v>
      </c>
      <c r="LE319">
        <v>0</v>
      </c>
      <c r="LF319">
        <v>0</v>
      </c>
      <c r="LG319">
        <v>0</v>
      </c>
      <c r="LH319">
        <v>0</v>
      </c>
      <c r="LI319">
        <v>0</v>
      </c>
      <c r="LJ319">
        <v>0</v>
      </c>
      <c r="LK319">
        <v>0</v>
      </c>
      <c r="LL319">
        <v>0</v>
      </c>
      <c r="LM319">
        <v>0</v>
      </c>
      <c r="LN319">
        <v>0</v>
      </c>
      <c r="LO319">
        <v>0</v>
      </c>
      <c r="LP319">
        <v>0</v>
      </c>
      <c r="LQ319">
        <v>0</v>
      </c>
      <c r="LR319">
        <v>0</v>
      </c>
      <c r="LS319">
        <v>0</v>
      </c>
      <c r="LT319">
        <v>0</v>
      </c>
      <c r="LU319">
        <v>0</v>
      </c>
      <c r="LV319">
        <v>0</v>
      </c>
      <c r="LW319">
        <v>0</v>
      </c>
      <c r="LX319">
        <v>0</v>
      </c>
      <c r="LY319">
        <v>0</v>
      </c>
      <c r="LZ319">
        <v>0</v>
      </c>
      <c r="MA319">
        <v>0</v>
      </c>
      <c r="MB319">
        <v>0</v>
      </c>
      <c r="MC319">
        <v>0</v>
      </c>
      <c r="MD319">
        <v>0</v>
      </c>
      <c r="ME319">
        <v>0</v>
      </c>
      <c r="MF319">
        <v>0</v>
      </c>
      <c r="MG319">
        <v>0</v>
      </c>
      <c r="MH319">
        <v>0</v>
      </c>
      <c r="MI319">
        <v>0</v>
      </c>
      <c r="MJ319">
        <v>0</v>
      </c>
      <c r="MK319">
        <v>0</v>
      </c>
      <c r="ML319">
        <v>0</v>
      </c>
      <c r="MM319">
        <v>0</v>
      </c>
      <c r="MN319">
        <v>0</v>
      </c>
      <c r="MO319">
        <v>0</v>
      </c>
      <c r="MP319">
        <v>0</v>
      </c>
      <c r="MQ319">
        <v>0</v>
      </c>
      <c r="MR319">
        <v>0</v>
      </c>
      <c r="MS319">
        <v>0</v>
      </c>
      <c r="MT319">
        <v>0</v>
      </c>
      <c r="MU319">
        <v>0</v>
      </c>
      <c r="MV319">
        <v>0</v>
      </c>
      <c r="MW319">
        <v>0</v>
      </c>
      <c r="MX319">
        <v>0</v>
      </c>
      <c r="MY319">
        <v>0</v>
      </c>
      <c r="MZ319">
        <v>0</v>
      </c>
      <c r="NA319">
        <v>0</v>
      </c>
      <c r="NB319">
        <v>0</v>
      </c>
      <c r="NC319">
        <v>0</v>
      </c>
      <c r="ND319">
        <v>0</v>
      </c>
      <c r="NE319">
        <v>0</v>
      </c>
    </row>
    <row r="320" spans="41:369" x14ac:dyDescent="0.45">
      <c r="AO320" t="str">
        <v>D196</v>
      </c>
      <c r="AP320" t="str">
        <v>ABDUL VAJID K</v>
      </c>
      <c r="AQ320" t="str">
        <v>DAHF</v>
      </c>
      <c r="AR320" t="str">
        <v>SUPER SENIOR</v>
      </c>
      <c r="AS320">
        <v>10</v>
      </c>
      <c r="AT320">
        <v>18</v>
      </c>
      <c r="AU320">
        <v>0</v>
      </c>
      <c r="AV320">
        <v>18</v>
      </c>
      <c r="AW320">
        <v>18</v>
      </c>
      <c r="AX320">
        <v>81</v>
      </c>
      <c r="AY320" s="5">
        <v>81</v>
      </c>
      <c r="AZ320">
        <v>0</v>
      </c>
      <c r="BA320">
        <v>0</v>
      </c>
      <c r="BB320">
        <v>0</v>
      </c>
      <c r="BC320">
        <v>0</v>
      </c>
      <c r="BD320">
        <v>0</v>
      </c>
      <c r="BE320">
        <v>0</v>
      </c>
      <c r="BF320">
        <v>0</v>
      </c>
      <c r="BG320">
        <v>0</v>
      </c>
      <c r="BH320">
        <v>0</v>
      </c>
      <c r="BI320" t="str">
        <v/>
      </c>
      <c r="BK320">
        <v>314</v>
      </c>
      <c r="BL320">
        <v>0</v>
      </c>
      <c r="BM320">
        <v>0</v>
      </c>
      <c r="BN320">
        <v>0</v>
      </c>
      <c r="BO320">
        <v>0</v>
      </c>
      <c r="BP320">
        <v>0</v>
      </c>
      <c r="BQ320">
        <v>0</v>
      </c>
      <c r="BR320">
        <v>0</v>
      </c>
      <c r="BS320">
        <v>0</v>
      </c>
      <c r="BT320">
        <v>0</v>
      </c>
      <c r="BU320">
        <v>0</v>
      </c>
      <c r="BV320">
        <v>0</v>
      </c>
      <c r="BW320">
        <v>0</v>
      </c>
      <c r="BX320">
        <v>0</v>
      </c>
      <c r="BY320">
        <v>0</v>
      </c>
      <c r="BZ320">
        <v>0</v>
      </c>
      <c r="CA320">
        <v>0</v>
      </c>
      <c r="CB320">
        <v>0</v>
      </c>
      <c r="CC320">
        <v>0</v>
      </c>
      <c r="CD320">
        <v>0</v>
      </c>
      <c r="CE320">
        <v>0</v>
      </c>
      <c r="CF320">
        <v>0</v>
      </c>
      <c r="CG320">
        <v>0</v>
      </c>
      <c r="CH320">
        <v>0</v>
      </c>
      <c r="CI320">
        <v>0</v>
      </c>
      <c r="CJ320">
        <v>0</v>
      </c>
      <c r="CK320">
        <v>0</v>
      </c>
      <c r="CL320">
        <v>0</v>
      </c>
      <c r="CM320">
        <v>0</v>
      </c>
      <c r="CN320">
        <v>0</v>
      </c>
      <c r="CO320">
        <v>0</v>
      </c>
      <c r="CP320">
        <v>0</v>
      </c>
      <c r="CQ320">
        <v>0</v>
      </c>
      <c r="CR320">
        <v>0</v>
      </c>
      <c r="CS320">
        <v>0</v>
      </c>
      <c r="CT320">
        <v>0</v>
      </c>
      <c r="CU320">
        <v>0</v>
      </c>
      <c r="CV320">
        <v>0</v>
      </c>
      <c r="CW320">
        <v>0</v>
      </c>
      <c r="CX320">
        <v>0</v>
      </c>
      <c r="CY320">
        <v>0</v>
      </c>
      <c r="CZ320">
        <v>0</v>
      </c>
      <c r="DA320">
        <v>0</v>
      </c>
      <c r="DB320">
        <v>0</v>
      </c>
      <c r="DC320">
        <v>0</v>
      </c>
      <c r="DD320">
        <v>0</v>
      </c>
      <c r="DE320">
        <v>0</v>
      </c>
      <c r="DF320">
        <v>0</v>
      </c>
      <c r="DG320">
        <v>0</v>
      </c>
      <c r="DH320">
        <v>0</v>
      </c>
      <c r="DI320">
        <v>0</v>
      </c>
      <c r="DJ320">
        <v>0</v>
      </c>
      <c r="DK320">
        <v>0</v>
      </c>
      <c r="DL320">
        <v>0</v>
      </c>
      <c r="DM320">
        <v>0</v>
      </c>
      <c r="DN320">
        <v>0</v>
      </c>
      <c r="DO320">
        <v>0</v>
      </c>
      <c r="DP320">
        <v>0</v>
      </c>
      <c r="DQ320">
        <v>0</v>
      </c>
      <c r="DR320">
        <v>0</v>
      </c>
      <c r="DS320">
        <v>0</v>
      </c>
      <c r="DT320">
        <v>0</v>
      </c>
      <c r="DU320">
        <v>0</v>
      </c>
      <c r="DV320">
        <v>0</v>
      </c>
      <c r="DW320">
        <v>0</v>
      </c>
      <c r="DX320">
        <v>0</v>
      </c>
      <c r="DY320">
        <v>0</v>
      </c>
      <c r="DZ320">
        <v>0</v>
      </c>
      <c r="EA320">
        <v>0</v>
      </c>
      <c r="EB320">
        <v>0</v>
      </c>
      <c r="EC320">
        <v>0</v>
      </c>
      <c r="ED320">
        <v>0</v>
      </c>
      <c r="EE320">
        <v>0</v>
      </c>
      <c r="EF320">
        <v>0</v>
      </c>
      <c r="EG320">
        <v>0</v>
      </c>
      <c r="EH320">
        <v>0</v>
      </c>
      <c r="EI320">
        <v>0</v>
      </c>
      <c r="EJ320">
        <v>0</v>
      </c>
      <c r="EK320">
        <v>0</v>
      </c>
      <c r="EL320">
        <v>0</v>
      </c>
      <c r="EM320">
        <v>0</v>
      </c>
      <c r="EN320">
        <v>0</v>
      </c>
      <c r="EO320">
        <v>0</v>
      </c>
      <c r="EP320">
        <v>0</v>
      </c>
      <c r="EQ320">
        <v>0</v>
      </c>
      <c r="ER320">
        <v>0</v>
      </c>
      <c r="ES320">
        <v>0</v>
      </c>
      <c r="ET320">
        <v>0</v>
      </c>
      <c r="EU320">
        <v>0</v>
      </c>
      <c r="EV320">
        <v>0</v>
      </c>
      <c r="EW320">
        <v>0</v>
      </c>
      <c r="EX320">
        <v>0</v>
      </c>
      <c r="EY320">
        <v>0</v>
      </c>
      <c r="EZ320">
        <v>0</v>
      </c>
      <c r="FA320">
        <v>0</v>
      </c>
      <c r="FB320">
        <v>0</v>
      </c>
      <c r="FC320">
        <v>0</v>
      </c>
      <c r="FD320">
        <v>0</v>
      </c>
      <c r="FE320">
        <v>0</v>
      </c>
      <c r="FF320">
        <v>0</v>
      </c>
      <c r="FG320">
        <v>0</v>
      </c>
      <c r="FH320">
        <v>0</v>
      </c>
      <c r="FI320">
        <v>0</v>
      </c>
      <c r="FJ320">
        <v>0</v>
      </c>
      <c r="FK320">
        <v>0</v>
      </c>
      <c r="FL320">
        <v>0</v>
      </c>
      <c r="FM320">
        <v>0</v>
      </c>
      <c r="FN320">
        <v>0</v>
      </c>
      <c r="FO320">
        <v>0</v>
      </c>
      <c r="FP320">
        <v>0</v>
      </c>
      <c r="FQ320">
        <v>0</v>
      </c>
      <c r="FR320">
        <v>0</v>
      </c>
      <c r="FS320">
        <v>0</v>
      </c>
      <c r="FT320">
        <v>0</v>
      </c>
      <c r="FU320">
        <v>0</v>
      </c>
      <c r="FV320">
        <v>0</v>
      </c>
      <c r="FW320">
        <v>0</v>
      </c>
      <c r="FX320">
        <v>0</v>
      </c>
      <c r="FY320">
        <v>0</v>
      </c>
      <c r="FZ320">
        <v>0</v>
      </c>
      <c r="GA320">
        <v>0</v>
      </c>
      <c r="GB320">
        <v>0</v>
      </c>
      <c r="GC320">
        <v>0</v>
      </c>
      <c r="GD320">
        <v>0</v>
      </c>
      <c r="GE320">
        <v>0</v>
      </c>
      <c r="GF320">
        <v>0</v>
      </c>
      <c r="GG320">
        <v>0</v>
      </c>
      <c r="GH320">
        <v>0</v>
      </c>
      <c r="GI320">
        <v>0</v>
      </c>
      <c r="GJ320">
        <v>0</v>
      </c>
      <c r="GK320">
        <v>0</v>
      </c>
      <c r="GL320">
        <v>0</v>
      </c>
      <c r="GM320">
        <v>0</v>
      </c>
      <c r="GN320">
        <v>0</v>
      </c>
      <c r="GO320">
        <v>0</v>
      </c>
      <c r="GP320">
        <v>0</v>
      </c>
      <c r="GQ320">
        <v>0</v>
      </c>
      <c r="GR320">
        <v>0</v>
      </c>
      <c r="GS320">
        <v>0</v>
      </c>
      <c r="GT320">
        <v>0</v>
      </c>
      <c r="GU320">
        <v>0</v>
      </c>
      <c r="GV320">
        <v>0</v>
      </c>
      <c r="GW320">
        <v>0</v>
      </c>
      <c r="GX320">
        <v>0</v>
      </c>
      <c r="GY320">
        <v>0</v>
      </c>
      <c r="GZ320">
        <v>0</v>
      </c>
      <c r="HA320">
        <v>0</v>
      </c>
      <c r="HB320">
        <v>0</v>
      </c>
      <c r="HC320">
        <v>0</v>
      </c>
      <c r="HD320">
        <v>0</v>
      </c>
      <c r="HE320">
        <v>0</v>
      </c>
      <c r="HF320">
        <v>0</v>
      </c>
      <c r="HG320">
        <v>0</v>
      </c>
      <c r="HH320">
        <v>0</v>
      </c>
      <c r="HI320">
        <v>0</v>
      </c>
      <c r="HJ320">
        <v>0</v>
      </c>
      <c r="HK320">
        <v>0</v>
      </c>
      <c r="HL320">
        <v>0</v>
      </c>
      <c r="HM320">
        <v>0</v>
      </c>
      <c r="HN320">
        <v>0</v>
      </c>
      <c r="HO320">
        <v>0</v>
      </c>
      <c r="HP320">
        <v>0</v>
      </c>
      <c r="HQ320">
        <v>0</v>
      </c>
      <c r="HR320">
        <v>0</v>
      </c>
      <c r="HS320">
        <v>0</v>
      </c>
      <c r="HT320">
        <v>0</v>
      </c>
      <c r="HU320">
        <v>0</v>
      </c>
      <c r="HV320">
        <v>0</v>
      </c>
      <c r="HW320">
        <v>0</v>
      </c>
      <c r="HX320">
        <v>0</v>
      </c>
      <c r="HY320">
        <v>0</v>
      </c>
      <c r="HZ320">
        <v>0</v>
      </c>
      <c r="IA320">
        <v>0</v>
      </c>
      <c r="IB320">
        <v>0</v>
      </c>
      <c r="IC320">
        <v>0</v>
      </c>
      <c r="ID320">
        <v>0</v>
      </c>
      <c r="IE320">
        <v>0</v>
      </c>
      <c r="IF320">
        <v>0</v>
      </c>
      <c r="IG320">
        <v>0</v>
      </c>
      <c r="IH320">
        <v>0</v>
      </c>
      <c r="II320">
        <v>0</v>
      </c>
      <c r="IJ320">
        <v>0</v>
      </c>
      <c r="IK320">
        <v>0</v>
      </c>
      <c r="IL320">
        <v>0</v>
      </c>
      <c r="IM320">
        <v>0</v>
      </c>
      <c r="IN320">
        <v>0</v>
      </c>
      <c r="IO320">
        <v>0</v>
      </c>
      <c r="IP320">
        <v>0</v>
      </c>
      <c r="IQ320">
        <v>0</v>
      </c>
      <c r="IR320">
        <v>0</v>
      </c>
      <c r="IS320">
        <v>0</v>
      </c>
      <c r="IT320">
        <v>0</v>
      </c>
      <c r="IU320">
        <v>0</v>
      </c>
      <c r="IV320">
        <v>0</v>
      </c>
      <c r="IW320">
        <v>0</v>
      </c>
      <c r="IX320">
        <v>0</v>
      </c>
      <c r="IY320">
        <v>0</v>
      </c>
      <c r="IZ320">
        <v>0</v>
      </c>
      <c r="JA320">
        <v>0</v>
      </c>
      <c r="JB320">
        <v>0</v>
      </c>
      <c r="JC320">
        <v>0</v>
      </c>
      <c r="JD320">
        <v>0</v>
      </c>
      <c r="JE320">
        <v>0</v>
      </c>
      <c r="JF320">
        <v>0</v>
      </c>
      <c r="JG320">
        <v>0</v>
      </c>
      <c r="JH320">
        <v>0</v>
      </c>
      <c r="JI320">
        <v>0</v>
      </c>
      <c r="JJ320">
        <v>0</v>
      </c>
      <c r="JK320">
        <v>0</v>
      </c>
      <c r="JL320">
        <v>0</v>
      </c>
      <c r="JM320">
        <v>0</v>
      </c>
      <c r="JN320">
        <v>0</v>
      </c>
      <c r="JO320">
        <v>0</v>
      </c>
      <c r="JP320">
        <v>0</v>
      </c>
      <c r="JQ320">
        <v>0</v>
      </c>
      <c r="JR320">
        <v>0</v>
      </c>
      <c r="JS320">
        <v>0</v>
      </c>
      <c r="JT320">
        <v>0</v>
      </c>
      <c r="JU320">
        <v>0</v>
      </c>
      <c r="JV320">
        <v>0</v>
      </c>
      <c r="JW320">
        <v>0</v>
      </c>
      <c r="JX320">
        <v>0</v>
      </c>
      <c r="JY320">
        <v>0</v>
      </c>
      <c r="JZ320">
        <v>0</v>
      </c>
      <c r="KA320">
        <v>0</v>
      </c>
      <c r="KB320">
        <v>0</v>
      </c>
      <c r="KC320">
        <v>0</v>
      </c>
      <c r="KD320">
        <v>0</v>
      </c>
      <c r="KE320">
        <v>0</v>
      </c>
      <c r="KF320">
        <v>0</v>
      </c>
      <c r="KG320">
        <v>0</v>
      </c>
      <c r="KH320">
        <v>0</v>
      </c>
      <c r="KI320">
        <v>0</v>
      </c>
      <c r="KJ320">
        <v>0</v>
      </c>
      <c r="KK320">
        <v>0</v>
      </c>
      <c r="KL320">
        <v>0</v>
      </c>
      <c r="KM320">
        <v>0</v>
      </c>
      <c r="KN320">
        <v>0</v>
      </c>
      <c r="KO320">
        <v>0</v>
      </c>
      <c r="KP320">
        <v>0</v>
      </c>
      <c r="KQ320">
        <v>0</v>
      </c>
      <c r="KR320">
        <v>0</v>
      </c>
      <c r="KS320">
        <v>0</v>
      </c>
      <c r="KT320">
        <v>0</v>
      </c>
      <c r="KU320">
        <v>0</v>
      </c>
      <c r="KV320">
        <v>0</v>
      </c>
      <c r="KW320">
        <v>0</v>
      </c>
      <c r="KX320">
        <v>0</v>
      </c>
      <c r="KY320">
        <v>0</v>
      </c>
      <c r="KZ320">
        <v>0</v>
      </c>
      <c r="LA320">
        <v>0</v>
      </c>
      <c r="LB320">
        <v>0</v>
      </c>
      <c r="LC320">
        <v>0</v>
      </c>
      <c r="LD320">
        <v>0</v>
      </c>
      <c r="LE320">
        <v>0</v>
      </c>
      <c r="LF320">
        <v>0</v>
      </c>
      <c r="LG320">
        <v>0</v>
      </c>
      <c r="LH320">
        <v>0</v>
      </c>
      <c r="LI320">
        <v>0</v>
      </c>
      <c r="LJ320">
        <v>0</v>
      </c>
      <c r="LK320">
        <v>0</v>
      </c>
      <c r="LL320">
        <v>0</v>
      </c>
      <c r="LM320">
        <v>0</v>
      </c>
      <c r="LN320">
        <v>0</v>
      </c>
      <c r="LO320">
        <v>0</v>
      </c>
      <c r="LP320">
        <v>0</v>
      </c>
      <c r="LQ320">
        <v>0</v>
      </c>
      <c r="LR320">
        <v>0</v>
      </c>
      <c r="LS320">
        <v>0</v>
      </c>
      <c r="LT320">
        <v>0</v>
      </c>
      <c r="LU320">
        <v>0</v>
      </c>
      <c r="LV320">
        <v>0</v>
      </c>
      <c r="LW320">
        <v>0</v>
      </c>
      <c r="LX320">
        <v>0</v>
      </c>
      <c r="LY320">
        <v>0</v>
      </c>
      <c r="LZ320">
        <v>0</v>
      </c>
      <c r="MA320">
        <v>0</v>
      </c>
      <c r="MB320">
        <v>0</v>
      </c>
      <c r="MC320">
        <v>0</v>
      </c>
      <c r="MD320">
        <v>0</v>
      </c>
      <c r="ME320">
        <v>0</v>
      </c>
      <c r="MF320">
        <v>0</v>
      </c>
      <c r="MG320">
        <v>0</v>
      </c>
      <c r="MH320">
        <v>0</v>
      </c>
      <c r="MI320">
        <v>0</v>
      </c>
      <c r="MJ320">
        <v>0</v>
      </c>
      <c r="MK320">
        <v>0</v>
      </c>
      <c r="ML320">
        <v>0</v>
      </c>
      <c r="MM320">
        <v>0</v>
      </c>
      <c r="MN320">
        <v>0</v>
      </c>
      <c r="MO320">
        <v>0</v>
      </c>
      <c r="MP320">
        <v>0</v>
      </c>
      <c r="MQ320">
        <v>0</v>
      </c>
      <c r="MR320">
        <v>0</v>
      </c>
      <c r="MS320">
        <v>0</v>
      </c>
      <c r="MT320">
        <v>0</v>
      </c>
      <c r="MU320">
        <v>0</v>
      </c>
      <c r="MV320">
        <v>0</v>
      </c>
      <c r="MW320">
        <v>0</v>
      </c>
      <c r="MX320">
        <v>0</v>
      </c>
      <c r="MY320">
        <v>0</v>
      </c>
      <c r="MZ320">
        <v>0</v>
      </c>
      <c r="NA320">
        <v>0</v>
      </c>
      <c r="NB320">
        <v>0</v>
      </c>
      <c r="NC320">
        <v>0</v>
      </c>
      <c r="ND320">
        <v>0</v>
      </c>
      <c r="NE320">
        <v>0</v>
      </c>
    </row>
    <row r="321" spans="41:369" x14ac:dyDescent="0.45">
      <c r="AO321" t="str">
        <v>D197</v>
      </c>
      <c r="AP321" t="str">
        <v>MUHAMMED ASHFAK K</v>
      </c>
      <c r="AQ321" t="str">
        <v>DAHF</v>
      </c>
      <c r="AR321" t="str">
        <v>SUPER SENIOR</v>
      </c>
      <c r="AS321">
        <v>10</v>
      </c>
      <c r="AT321">
        <v>0</v>
      </c>
      <c r="AU321">
        <v>0</v>
      </c>
      <c r="AV321">
        <v>0</v>
      </c>
      <c r="AW321">
        <v>0</v>
      </c>
      <c r="AX321">
        <v>255</v>
      </c>
      <c r="AY321" s="5">
        <v>255</v>
      </c>
      <c r="AZ321">
        <v>0</v>
      </c>
      <c r="BA321">
        <v>0</v>
      </c>
      <c r="BB321">
        <v>0</v>
      </c>
      <c r="BC321">
        <v>0</v>
      </c>
      <c r="BD321">
        <v>0</v>
      </c>
      <c r="BE321">
        <v>0</v>
      </c>
      <c r="BF321">
        <v>0</v>
      </c>
      <c r="BG321">
        <v>0</v>
      </c>
      <c r="BH321">
        <v>0</v>
      </c>
      <c r="BI321" t="str">
        <v/>
      </c>
      <c r="BK321">
        <v>315</v>
      </c>
      <c r="BL321">
        <v>0</v>
      </c>
      <c r="BM321">
        <v>0</v>
      </c>
      <c r="BN321">
        <v>0</v>
      </c>
      <c r="BO321">
        <v>0</v>
      </c>
      <c r="BP321">
        <v>0</v>
      </c>
      <c r="BQ321">
        <v>0</v>
      </c>
      <c r="BR321">
        <v>0</v>
      </c>
      <c r="BS321">
        <v>0</v>
      </c>
      <c r="BT321">
        <v>0</v>
      </c>
      <c r="BU321">
        <v>0</v>
      </c>
      <c r="BV321">
        <v>0</v>
      </c>
      <c r="BW321">
        <v>0</v>
      </c>
      <c r="BX321">
        <v>0</v>
      </c>
      <c r="BY321">
        <v>0</v>
      </c>
      <c r="BZ321">
        <v>0</v>
      </c>
      <c r="CA321">
        <v>0</v>
      </c>
      <c r="CB321">
        <v>0</v>
      </c>
      <c r="CC321">
        <v>0</v>
      </c>
      <c r="CD321">
        <v>0</v>
      </c>
      <c r="CE321">
        <v>0</v>
      </c>
      <c r="CF321">
        <v>0</v>
      </c>
      <c r="CG321">
        <v>0</v>
      </c>
      <c r="CH321">
        <v>0</v>
      </c>
      <c r="CI321">
        <v>0</v>
      </c>
      <c r="CJ321">
        <v>0</v>
      </c>
      <c r="CK321">
        <v>0</v>
      </c>
      <c r="CL321">
        <v>0</v>
      </c>
      <c r="CM321">
        <v>0</v>
      </c>
      <c r="CN321">
        <v>0</v>
      </c>
      <c r="CO321">
        <v>0</v>
      </c>
      <c r="CP321">
        <v>0</v>
      </c>
      <c r="CQ321">
        <v>0</v>
      </c>
      <c r="CR321">
        <v>0</v>
      </c>
      <c r="CS321">
        <v>0</v>
      </c>
      <c r="CT321">
        <v>0</v>
      </c>
      <c r="CU321">
        <v>0</v>
      </c>
      <c r="CV321">
        <v>0</v>
      </c>
      <c r="CW321">
        <v>0</v>
      </c>
      <c r="CX321">
        <v>0</v>
      </c>
      <c r="CY321">
        <v>0</v>
      </c>
      <c r="CZ321">
        <v>0</v>
      </c>
      <c r="DA321">
        <v>0</v>
      </c>
      <c r="DB321">
        <v>0</v>
      </c>
      <c r="DC321">
        <v>0</v>
      </c>
      <c r="DD321">
        <v>0</v>
      </c>
      <c r="DE321">
        <v>0</v>
      </c>
      <c r="DF321">
        <v>0</v>
      </c>
      <c r="DG321">
        <v>0</v>
      </c>
      <c r="DH321">
        <v>0</v>
      </c>
      <c r="DI321">
        <v>0</v>
      </c>
      <c r="DJ321">
        <v>0</v>
      </c>
      <c r="DK321">
        <v>0</v>
      </c>
      <c r="DL321">
        <v>0</v>
      </c>
      <c r="DM321">
        <v>0</v>
      </c>
      <c r="DN321">
        <v>0</v>
      </c>
      <c r="DO321">
        <v>0</v>
      </c>
      <c r="DP321">
        <v>0</v>
      </c>
      <c r="DQ321">
        <v>0</v>
      </c>
      <c r="DR321">
        <v>0</v>
      </c>
      <c r="DS321">
        <v>0</v>
      </c>
      <c r="DT321">
        <v>0</v>
      </c>
      <c r="DU321">
        <v>0</v>
      </c>
      <c r="DV321">
        <v>0</v>
      </c>
      <c r="DW321">
        <v>0</v>
      </c>
      <c r="DX321">
        <v>0</v>
      </c>
      <c r="DY321">
        <v>0</v>
      </c>
      <c r="DZ321">
        <v>0</v>
      </c>
      <c r="EA321">
        <v>0</v>
      </c>
      <c r="EB321">
        <v>0</v>
      </c>
      <c r="EC321">
        <v>0</v>
      </c>
      <c r="ED321">
        <v>0</v>
      </c>
      <c r="EE321">
        <v>0</v>
      </c>
      <c r="EF321">
        <v>0</v>
      </c>
      <c r="EG321">
        <v>0</v>
      </c>
      <c r="EH321">
        <v>0</v>
      </c>
      <c r="EI321">
        <v>0</v>
      </c>
      <c r="EJ321">
        <v>0</v>
      </c>
      <c r="EK321">
        <v>0</v>
      </c>
      <c r="EL321">
        <v>0</v>
      </c>
      <c r="EM321">
        <v>0</v>
      </c>
      <c r="EN321">
        <v>0</v>
      </c>
      <c r="EO321">
        <v>0</v>
      </c>
      <c r="EP321">
        <v>0</v>
      </c>
      <c r="EQ321">
        <v>0</v>
      </c>
      <c r="ER321">
        <v>0</v>
      </c>
      <c r="ES321">
        <v>0</v>
      </c>
      <c r="ET321">
        <v>0</v>
      </c>
      <c r="EU321">
        <v>0</v>
      </c>
      <c r="EV321">
        <v>0</v>
      </c>
      <c r="EW321">
        <v>0</v>
      </c>
      <c r="EX321">
        <v>0</v>
      </c>
      <c r="EY321">
        <v>0</v>
      </c>
      <c r="EZ321">
        <v>0</v>
      </c>
      <c r="FA321">
        <v>0</v>
      </c>
      <c r="FB321">
        <v>0</v>
      </c>
      <c r="FC321">
        <v>0</v>
      </c>
      <c r="FD321">
        <v>0</v>
      </c>
      <c r="FE321">
        <v>0</v>
      </c>
      <c r="FF321">
        <v>0</v>
      </c>
      <c r="FG321">
        <v>0</v>
      </c>
      <c r="FH321">
        <v>0</v>
      </c>
      <c r="FI321">
        <v>0</v>
      </c>
      <c r="FJ321">
        <v>0</v>
      </c>
      <c r="FK321">
        <v>0</v>
      </c>
      <c r="FL321">
        <v>0</v>
      </c>
      <c r="FM321">
        <v>0</v>
      </c>
      <c r="FN321">
        <v>0</v>
      </c>
      <c r="FO321">
        <v>0</v>
      </c>
      <c r="FP321">
        <v>0</v>
      </c>
      <c r="FQ321">
        <v>0</v>
      </c>
      <c r="FR321">
        <v>0</v>
      </c>
      <c r="FS321">
        <v>0</v>
      </c>
      <c r="FT321">
        <v>0</v>
      </c>
      <c r="FU321">
        <v>0</v>
      </c>
      <c r="FV321">
        <v>0</v>
      </c>
      <c r="FW321">
        <v>0</v>
      </c>
      <c r="FX321">
        <v>0</v>
      </c>
      <c r="FY321">
        <v>0</v>
      </c>
      <c r="FZ321">
        <v>0</v>
      </c>
      <c r="GA321">
        <v>0</v>
      </c>
      <c r="GB321">
        <v>0</v>
      </c>
      <c r="GC321">
        <v>0</v>
      </c>
      <c r="GD321">
        <v>0</v>
      </c>
      <c r="GE321">
        <v>0</v>
      </c>
      <c r="GF321">
        <v>0</v>
      </c>
      <c r="GG321">
        <v>0</v>
      </c>
      <c r="GH321">
        <v>0</v>
      </c>
      <c r="GI321">
        <v>0</v>
      </c>
      <c r="GJ321">
        <v>0</v>
      </c>
      <c r="GK321">
        <v>0</v>
      </c>
      <c r="GL321">
        <v>0</v>
      </c>
      <c r="GM321">
        <v>0</v>
      </c>
      <c r="GN321">
        <v>0</v>
      </c>
      <c r="GO321">
        <v>0</v>
      </c>
      <c r="GP321">
        <v>0</v>
      </c>
      <c r="GQ321">
        <v>0</v>
      </c>
      <c r="GR321">
        <v>0</v>
      </c>
      <c r="GS321">
        <v>0</v>
      </c>
      <c r="GT321">
        <v>0</v>
      </c>
      <c r="GU321">
        <v>0</v>
      </c>
      <c r="GV321">
        <v>0</v>
      </c>
      <c r="GW321">
        <v>0</v>
      </c>
      <c r="GX321">
        <v>0</v>
      </c>
      <c r="GY321">
        <v>0</v>
      </c>
      <c r="GZ321">
        <v>0</v>
      </c>
      <c r="HA321">
        <v>0</v>
      </c>
      <c r="HB321">
        <v>0</v>
      </c>
      <c r="HC321">
        <v>0</v>
      </c>
      <c r="HD321">
        <v>0</v>
      </c>
      <c r="HE321">
        <v>0</v>
      </c>
      <c r="HF321">
        <v>0</v>
      </c>
      <c r="HG321">
        <v>0</v>
      </c>
      <c r="HH321">
        <v>0</v>
      </c>
      <c r="HI321">
        <v>0</v>
      </c>
      <c r="HJ321">
        <v>0</v>
      </c>
      <c r="HK321">
        <v>0</v>
      </c>
      <c r="HL321">
        <v>0</v>
      </c>
      <c r="HM321">
        <v>0</v>
      </c>
      <c r="HN321">
        <v>0</v>
      </c>
      <c r="HO321">
        <v>0</v>
      </c>
      <c r="HP321">
        <v>0</v>
      </c>
      <c r="HQ321">
        <v>0</v>
      </c>
      <c r="HR321">
        <v>0</v>
      </c>
      <c r="HS321">
        <v>0</v>
      </c>
      <c r="HT321">
        <v>0</v>
      </c>
      <c r="HU321">
        <v>0</v>
      </c>
      <c r="HV321">
        <v>0</v>
      </c>
      <c r="HW321">
        <v>0</v>
      </c>
      <c r="HX321">
        <v>0</v>
      </c>
      <c r="HY321">
        <v>0</v>
      </c>
      <c r="HZ321">
        <v>0</v>
      </c>
      <c r="IA321">
        <v>0</v>
      </c>
      <c r="IB321">
        <v>0</v>
      </c>
      <c r="IC321">
        <v>0</v>
      </c>
      <c r="ID321">
        <v>0</v>
      </c>
      <c r="IE321">
        <v>0</v>
      </c>
      <c r="IF321">
        <v>0</v>
      </c>
      <c r="IG321">
        <v>0</v>
      </c>
      <c r="IH321">
        <v>0</v>
      </c>
      <c r="II321">
        <v>0</v>
      </c>
      <c r="IJ321">
        <v>0</v>
      </c>
      <c r="IK321">
        <v>0</v>
      </c>
      <c r="IL321">
        <v>0</v>
      </c>
      <c r="IM321">
        <v>0</v>
      </c>
      <c r="IN321">
        <v>0</v>
      </c>
      <c r="IO321">
        <v>0</v>
      </c>
      <c r="IP321">
        <v>0</v>
      </c>
      <c r="IQ321">
        <v>0</v>
      </c>
      <c r="IR321">
        <v>0</v>
      </c>
      <c r="IS321">
        <v>0</v>
      </c>
      <c r="IT321">
        <v>0</v>
      </c>
      <c r="IU321">
        <v>0</v>
      </c>
      <c r="IV321">
        <v>0</v>
      </c>
      <c r="IW321">
        <v>0</v>
      </c>
      <c r="IX321">
        <v>0</v>
      </c>
      <c r="IY321">
        <v>0</v>
      </c>
      <c r="IZ321">
        <v>0</v>
      </c>
      <c r="JA321">
        <v>0</v>
      </c>
      <c r="JB321">
        <v>0</v>
      </c>
      <c r="JC321">
        <v>0</v>
      </c>
      <c r="JD321">
        <v>0</v>
      </c>
      <c r="JE321">
        <v>0</v>
      </c>
      <c r="JF321">
        <v>0</v>
      </c>
      <c r="JG321">
        <v>0</v>
      </c>
      <c r="JH321">
        <v>0</v>
      </c>
      <c r="JI321">
        <v>0</v>
      </c>
      <c r="JJ321">
        <v>0</v>
      </c>
      <c r="JK321">
        <v>0</v>
      </c>
      <c r="JL321">
        <v>0</v>
      </c>
      <c r="JM321">
        <v>0</v>
      </c>
      <c r="JN321">
        <v>0</v>
      </c>
      <c r="JO321">
        <v>0</v>
      </c>
      <c r="JP321">
        <v>0</v>
      </c>
      <c r="JQ321">
        <v>0</v>
      </c>
      <c r="JR321">
        <v>0</v>
      </c>
      <c r="JS321">
        <v>0</v>
      </c>
      <c r="JT321">
        <v>0</v>
      </c>
      <c r="JU321">
        <v>0</v>
      </c>
      <c r="JV321">
        <v>0</v>
      </c>
      <c r="JW321">
        <v>0</v>
      </c>
      <c r="JX321">
        <v>0</v>
      </c>
      <c r="JY321">
        <v>0</v>
      </c>
      <c r="JZ321">
        <v>0</v>
      </c>
      <c r="KA321">
        <v>0</v>
      </c>
      <c r="KB321">
        <v>0</v>
      </c>
      <c r="KC321">
        <v>0</v>
      </c>
      <c r="KD321">
        <v>0</v>
      </c>
      <c r="KE321">
        <v>0</v>
      </c>
      <c r="KF321">
        <v>0</v>
      </c>
      <c r="KG321">
        <v>0</v>
      </c>
      <c r="KH321">
        <v>0</v>
      </c>
      <c r="KI321">
        <v>0</v>
      </c>
      <c r="KJ321">
        <v>0</v>
      </c>
      <c r="KK321">
        <v>0</v>
      </c>
      <c r="KL321">
        <v>0</v>
      </c>
      <c r="KM321">
        <v>0</v>
      </c>
      <c r="KN321">
        <v>0</v>
      </c>
      <c r="KO321">
        <v>0</v>
      </c>
      <c r="KP321">
        <v>0</v>
      </c>
      <c r="KQ321">
        <v>0</v>
      </c>
      <c r="KR321">
        <v>0</v>
      </c>
      <c r="KS321">
        <v>0</v>
      </c>
      <c r="KT321">
        <v>0</v>
      </c>
      <c r="KU321">
        <v>0</v>
      </c>
      <c r="KV321">
        <v>0</v>
      </c>
      <c r="KW321">
        <v>0</v>
      </c>
      <c r="KX321">
        <v>0</v>
      </c>
      <c r="KY321">
        <v>0</v>
      </c>
      <c r="KZ321">
        <v>0</v>
      </c>
      <c r="LA321">
        <v>0</v>
      </c>
      <c r="LB321">
        <v>0</v>
      </c>
      <c r="LC321">
        <v>0</v>
      </c>
      <c r="LD321">
        <v>0</v>
      </c>
      <c r="LE321">
        <v>0</v>
      </c>
      <c r="LF321">
        <v>0</v>
      </c>
      <c r="LG321">
        <v>0</v>
      </c>
      <c r="LH321">
        <v>0</v>
      </c>
      <c r="LI321">
        <v>0</v>
      </c>
      <c r="LJ321">
        <v>0</v>
      </c>
      <c r="LK321">
        <v>0</v>
      </c>
      <c r="LL321">
        <v>0</v>
      </c>
      <c r="LM321">
        <v>0</v>
      </c>
      <c r="LN321">
        <v>0</v>
      </c>
      <c r="LO321">
        <v>0</v>
      </c>
      <c r="LP321">
        <v>0</v>
      </c>
      <c r="LQ321">
        <v>0</v>
      </c>
      <c r="LR321">
        <v>0</v>
      </c>
      <c r="LS321">
        <v>0</v>
      </c>
      <c r="LT321">
        <v>0</v>
      </c>
      <c r="LU321">
        <v>0</v>
      </c>
      <c r="LV321">
        <v>0</v>
      </c>
      <c r="LW321">
        <v>0</v>
      </c>
      <c r="LX321">
        <v>0</v>
      </c>
      <c r="LY321">
        <v>0</v>
      </c>
      <c r="LZ321">
        <v>0</v>
      </c>
      <c r="MA321">
        <v>0</v>
      </c>
      <c r="MB321">
        <v>0</v>
      </c>
      <c r="MC321">
        <v>0</v>
      </c>
      <c r="MD321">
        <v>0</v>
      </c>
      <c r="ME321">
        <v>0</v>
      </c>
      <c r="MF321">
        <v>0</v>
      </c>
      <c r="MG321">
        <v>0</v>
      </c>
      <c r="MH321">
        <v>0</v>
      </c>
      <c r="MI321">
        <v>0</v>
      </c>
      <c r="MJ321">
        <v>0</v>
      </c>
      <c r="MK321">
        <v>0</v>
      </c>
      <c r="ML321">
        <v>0</v>
      </c>
      <c r="MM321">
        <v>0</v>
      </c>
      <c r="MN321">
        <v>0</v>
      </c>
      <c r="MO321">
        <v>0</v>
      </c>
      <c r="MP321">
        <v>0</v>
      </c>
      <c r="MQ321">
        <v>0</v>
      </c>
      <c r="MR321">
        <v>0</v>
      </c>
      <c r="MS321">
        <v>0</v>
      </c>
      <c r="MT321">
        <v>0</v>
      </c>
      <c r="MU321">
        <v>0</v>
      </c>
      <c r="MV321">
        <v>0</v>
      </c>
      <c r="MW321">
        <v>0</v>
      </c>
      <c r="MX321">
        <v>0</v>
      </c>
      <c r="MY321">
        <v>0</v>
      </c>
      <c r="MZ321">
        <v>0</v>
      </c>
      <c r="NA321">
        <v>0</v>
      </c>
      <c r="NB321">
        <v>0</v>
      </c>
      <c r="NC321">
        <v>0</v>
      </c>
      <c r="ND321">
        <v>0</v>
      </c>
      <c r="NE321">
        <v>0</v>
      </c>
    </row>
    <row r="322" spans="41:369" x14ac:dyDescent="0.45">
      <c r="AO322" t="str">
        <v>D198</v>
      </c>
      <c r="AP322" t="str">
        <v>MUHAMMED SAFWAN</v>
      </c>
      <c r="AQ322" t="str">
        <v>FANT</v>
      </c>
      <c r="AR322" t="str">
        <v>SUPER SENIOR</v>
      </c>
      <c r="AS322">
        <v>10</v>
      </c>
      <c r="AT322">
        <v>7</v>
      </c>
      <c r="AU322">
        <v>0</v>
      </c>
      <c r="AV322">
        <v>7</v>
      </c>
      <c r="AW322">
        <v>7</v>
      </c>
      <c r="AX322">
        <v>167</v>
      </c>
      <c r="AY322" s="5">
        <v>167</v>
      </c>
      <c r="AZ322">
        <v>0</v>
      </c>
      <c r="BA322">
        <v>0</v>
      </c>
      <c r="BB322">
        <v>0</v>
      </c>
      <c r="BC322">
        <v>0</v>
      </c>
      <c r="BD322">
        <v>0</v>
      </c>
      <c r="BE322">
        <v>0</v>
      </c>
      <c r="BF322">
        <v>0</v>
      </c>
      <c r="BG322">
        <v>0</v>
      </c>
      <c r="BH322">
        <v>0</v>
      </c>
      <c r="BI322" t="str">
        <v/>
      </c>
      <c r="BK322">
        <v>316</v>
      </c>
      <c r="BL322">
        <v>0</v>
      </c>
      <c r="BM322">
        <v>0</v>
      </c>
      <c r="BN322">
        <v>0</v>
      </c>
      <c r="BO322">
        <v>0</v>
      </c>
      <c r="BP322">
        <v>0</v>
      </c>
      <c r="BQ322">
        <v>0</v>
      </c>
      <c r="BR322">
        <v>0</v>
      </c>
      <c r="BS322">
        <v>0</v>
      </c>
      <c r="BT322">
        <v>0</v>
      </c>
      <c r="BU322">
        <v>0</v>
      </c>
      <c r="BV322">
        <v>0</v>
      </c>
      <c r="BW322">
        <v>0</v>
      </c>
      <c r="BX322">
        <v>0</v>
      </c>
      <c r="BY322">
        <v>0</v>
      </c>
      <c r="BZ322">
        <v>0</v>
      </c>
      <c r="CA322">
        <v>0</v>
      </c>
      <c r="CB322">
        <v>0</v>
      </c>
      <c r="CC322">
        <v>0</v>
      </c>
      <c r="CD322">
        <v>0</v>
      </c>
      <c r="CE322">
        <v>0</v>
      </c>
      <c r="CF322">
        <v>0</v>
      </c>
      <c r="CG322">
        <v>0</v>
      </c>
      <c r="CH322">
        <v>0</v>
      </c>
      <c r="CI322">
        <v>0</v>
      </c>
      <c r="CJ322">
        <v>0</v>
      </c>
      <c r="CK322">
        <v>0</v>
      </c>
      <c r="CL322">
        <v>0</v>
      </c>
      <c r="CM322">
        <v>0</v>
      </c>
      <c r="CN322">
        <v>0</v>
      </c>
      <c r="CO322">
        <v>0</v>
      </c>
      <c r="CP322">
        <v>0</v>
      </c>
      <c r="CQ322">
        <v>0</v>
      </c>
      <c r="CR322">
        <v>0</v>
      </c>
      <c r="CS322">
        <v>0</v>
      </c>
      <c r="CT322">
        <v>0</v>
      </c>
      <c r="CU322">
        <v>0</v>
      </c>
      <c r="CV322">
        <v>0</v>
      </c>
      <c r="CW322">
        <v>0</v>
      </c>
      <c r="CX322">
        <v>0</v>
      </c>
      <c r="CY322">
        <v>0</v>
      </c>
      <c r="CZ322">
        <v>0</v>
      </c>
      <c r="DA322">
        <v>0</v>
      </c>
      <c r="DB322">
        <v>0</v>
      </c>
      <c r="DC322">
        <v>0</v>
      </c>
      <c r="DD322">
        <v>0</v>
      </c>
      <c r="DE322">
        <v>0</v>
      </c>
      <c r="DF322">
        <v>0</v>
      </c>
      <c r="DG322">
        <v>0</v>
      </c>
      <c r="DH322">
        <v>0</v>
      </c>
      <c r="DI322">
        <v>0</v>
      </c>
      <c r="DJ322">
        <v>0</v>
      </c>
      <c r="DK322">
        <v>0</v>
      </c>
      <c r="DL322">
        <v>0</v>
      </c>
      <c r="DM322">
        <v>0</v>
      </c>
      <c r="DN322">
        <v>0</v>
      </c>
      <c r="DO322">
        <v>0</v>
      </c>
      <c r="DP322">
        <v>0</v>
      </c>
      <c r="DQ322">
        <v>0</v>
      </c>
      <c r="DR322">
        <v>0</v>
      </c>
      <c r="DS322">
        <v>0</v>
      </c>
      <c r="DT322">
        <v>0</v>
      </c>
      <c r="DU322">
        <v>0</v>
      </c>
      <c r="DV322">
        <v>0</v>
      </c>
      <c r="DW322">
        <v>0</v>
      </c>
      <c r="DX322">
        <v>0</v>
      </c>
      <c r="DY322">
        <v>0</v>
      </c>
      <c r="DZ322">
        <v>0</v>
      </c>
      <c r="EA322">
        <v>0</v>
      </c>
      <c r="EB322">
        <v>0</v>
      </c>
      <c r="EC322">
        <v>0</v>
      </c>
      <c r="ED322">
        <v>0</v>
      </c>
      <c r="EE322">
        <v>0</v>
      </c>
      <c r="EF322">
        <v>0</v>
      </c>
      <c r="EG322">
        <v>0</v>
      </c>
      <c r="EH322">
        <v>0</v>
      </c>
      <c r="EI322">
        <v>0</v>
      </c>
      <c r="EJ322">
        <v>0</v>
      </c>
      <c r="EK322">
        <v>0</v>
      </c>
      <c r="EL322">
        <v>0</v>
      </c>
      <c r="EM322">
        <v>0</v>
      </c>
      <c r="EN322">
        <v>0</v>
      </c>
      <c r="EO322">
        <v>0</v>
      </c>
      <c r="EP322">
        <v>0</v>
      </c>
      <c r="EQ322">
        <v>0</v>
      </c>
      <c r="ER322">
        <v>0</v>
      </c>
      <c r="ES322">
        <v>0</v>
      </c>
      <c r="ET322">
        <v>0</v>
      </c>
      <c r="EU322">
        <v>0</v>
      </c>
      <c r="EV322">
        <v>0</v>
      </c>
      <c r="EW322">
        <v>0</v>
      </c>
      <c r="EX322">
        <v>0</v>
      </c>
      <c r="EY322">
        <v>0</v>
      </c>
      <c r="EZ322">
        <v>0</v>
      </c>
      <c r="FA322">
        <v>0</v>
      </c>
      <c r="FB322">
        <v>0</v>
      </c>
      <c r="FC322">
        <v>0</v>
      </c>
      <c r="FD322">
        <v>0</v>
      </c>
      <c r="FE322">
        <v>0</v>
      </c>
      <c r="FF322">
        <v>0</v>
      </c>
      <c r="FG322">
        <v>0</v>
      </c>
      <c r="FH322">
        <v>0</v>
      </c>
      <c r="FI322">
        <v>0</v>
      </c>
      <c r="FJ322">
        <v>0</v>
      </c>
      <c r="FK322">
        <v>0</v>
      </c>
      <c r="FL322">
        <v>0</v>
      </c>
      <c r="FM322">
        <v>0</v>
      </c>
      <c r="FN322">
        <v>0</v>
      </c>
      <c r="FO322">
        <v>0</v>
      </c>
      <c r="FP322">
        <v>0</v>
      </c>
      <c r="FQ322">
        <v>0</v>
      </c>
      <c r="FR322">
        <v>0</v>
      </c>
      <c r="FS322">
        <v>0</v>
      </c>
      <c r="FT322">
        <v>0</v>
      </c>
      <c r="FU322">
        <v>0</v>
      </c>
      <c r="FV322">
        <v>0</v>
      </c>
      <c r="FW322">
        <v>0</v>
      </c>
      <c r="FX322">
        <v>0</v>
      </c>
      <c r="FY322">
        <v>0</v>
      </c>
      <c r="FZ322">
        <v>0</v>
      </c>
      <c r="GA322">
        <v>0</v>
      </c>
      <c r="GB322">
        <v>0</v>
      </c>
      <c r="GC322">
        <v>0</v>
      </c>
      <c r="GD322">
        <v>0</v>
      </c>
      <c r="GE322">
        <v>0</v>
      </c>
      <c r="GF322">
        <v>0</v>
      </c>
      <c r="GG322">
        <v>0</v>
      </c>
      <c r="GH322">
        <v>0</v>
      </c>
      <c r="GI322">
        <v>0</v>
      </c>
      <c r="GJ322">
        <v>0</v>
      </c>
      <c r="GK322">
        <v>0</v>
      </c>
      <c r="GL322">
        <v>0</v>
      </c>
      <c r="GM322">
        <v>0</v>
      </c>
      <c r="GN322">
        <v>0</v>
      </c>
      <c r="GO322">
        <v>0</v>
      </c>
      <c r="GP322">
        <v>0</v>
      </c>
      <c r="GQ322">
        <v>0</v>
      </c>
      <c r="GR322">
        <v>0</v>
      </c>
      <c r="GS322">
        <v>0</v>
      </c>
      <c r="GT322">
        <v>0</v>
      </c>
      <c r="GU322">
        <v>0</v>
      </c>
      <c r="GV322">
        <v>0</v>
      </c>
      <c r="GW322">
        <v>0</v>
      </c>
      <c r="GX322">
        <v>0</v>
      </c>
      <c r="GY322">
        <v>0</v>
      </c>
      <c r="GZ322">
        <v>0</v>
      </c>
      <c r="HA322">
        <v>0</v>
      </c>
      <c r="HB322">
        <v>0</v>
      </c>
      <c r="HC322">
        <v>0</v>
      </c>
      <c r="HD322">
        <v>0</v>
      </c>
      <c r="HE322">
        <v>0</v>
      </c>
      <c r="HF322">
        <v>0</v>
      </c>
      <c r="HG322">
        <v>0</v>
      </c>
      <c r="HH322">
        <v>0</v>
      </c>
      <c r="HI322">
        <v>0</v>
      </c>
      <c r="HJ322">
        <v>0</v>
      </c>
      <c r="HK322">
        <v>0</v>
      </c>
      <c r="HL322">
        <v>0</v>
      </c>
      <c r="HM322">
        <v>0</v>
      </c>
      <c r="HN322">
        <v>0</v>
      </c>
      <c r="HO322">
        <v>0</v>
      </c>
      <c r="HP322">
        <v>0</v>
      </c>
      <c r="HQ322">
        <v>0</v>
      </c>
      <c r="HR322">
        <v>0</v>
      </c>
      <c r="HS322">
        <v>0</v>
      </c>
      <c r="HT322">
        <v>0</v>
      </c>
      <c r="HU322">
        <v>0</v>
      </c>
      <c r="HV322">
        <v>0</v>
      </c>
      <c r="HW322">
        <v>0</v>
      </c>
      <c r="HX322">
        <v>0</v>
      </c>
      <c r="HY322">
        <v>0</v>
      </c>
      <c r="HZ322">
        <v>0</v>
      </c>
      <c r="IA322">
        <v>0</v>
      </c>
      <c r="IB322">
        <v>0</v>
      </c>
      <c r="IC322">
        <v>0</v>
      </c>
      <c r="ID322">
        <v>0</v>
      </c>
      <c r="IE322">
        <v>0</v>
      </c>
      <c r="IF322">
        <v>0</v>
      </c>
      <c r="IG322">
        <v>0</v>
      </c>
      <c r="IH322">
        <v>0</v>
      </c>
      <c r="II322">
        <v>0</v>
      </c>
      <c r="IJ322">
        <v>0</v>
      </c>
      <c r="IK322">
        <v>0</v>
      </c>
      <c r="IL322">
        <v>0</v>
      </c>
      <c r="IM322">
        <v>0</v>
      </c>
      <c r="IN322">
        <v>0</v>
      </c>
      <c r="IO322">
        <v>0</v>
      </c>
      <c r="IP322">
        <v>0</v>
      </c>
      <c r="IQ322">
        <v>0</v>
      </c>
      <c r="IR322">
        <v>0</v>
      </c>
      <c r="IS322">
        <v>0</v>
      </c>
      <c r="IT322">
        <v>0</v>
      </c>
      <c r="IU322">
        <v>0</v>
      </c>
      <c r="IV322">
        <v>0</v>
      </c>
      <c r="IW322">
        <v>0</v>
      </c>
      <c r="IX322">
        <v>0</v>
      </c>
      <c r="IY322">
        <v>0</v>
      </c>
      <c r="IZ322">
        <v>0</v>
      </c>
      <c r="JA322">
        <v>0</v>
      </c>
      <c r="JB322">
        <v>0</v>
      </c>
      <c r="JC322">
        <v>0</v>
      </c>
      <c r="JD322">
        <v>0</v>
      </c>
      <c r="JE322">
        <v>0</v>
      </c>
      <c r="JF322">
        <v>0</v>
      </c>
      <c r="JG322">
        <v>0</v>
      </c>
      <c r="JH322">
        <v>0</v>
      </c>
      <c r="JI322">
        <v>0</v>
      </c>
      <c r="JJ322">
        <v>0</v>
      </c>
      <c r="JK322">
        <v>0</v>
      </c>
      <c r="JL322">
        <v>0</v>
      </c>
      <c r="JM322">
        <v>0</v>
      </c>
      <c r="JN322">
        <v>0</v>
      </c>
      <c r="JO322">
        <v>0</v>
      </c>
      <c r="JP322">
        <v>0</v>
      </c>
      <c r="JQ322">
        <v>0</v>
      </c>
      <c r="JR322">
        <v>0</v>
      </c>
      <c r="JS322">
        <v>0</v>
      </c>
      <c r="JT322">
        <v>0</v>
      </c>
      <c r="JU322">
        <v>0</v>
      </c>
      <c r="JV322">
        <v>0</v>
      </c>
      <c r="JW322">
        <v>0</v>
      </c>
      <c r="JX322">
        <v>0</v>
      </c>
      <c r="JY322">
        <v>0</v>
      </c>
      <c r="JZ322">
        <v>0</v>
      </c>
      <c r="KA322">
        <v>0</v>
      </c>
      <c r="KB322">
        <v>0</v>
      </c>
      <c r="KC322">
        <v>0</v>
      </c>
      <c r="KD322">
        <v>0</v>
      </c>
      <c r="KE322">
        <v>0</v>
      </c>
      <c r="KF322">
        <v>0</v>
      </c>
      <c r="KG322">
        <v>0</v>
      </c>
      <c r="KH322">
        <v>0</v>
      </c>
      <c r="KI322">
        <v>0</v>
      </c>
      <c r="KJ322">
        <v>0</v>
      </c>
      <c r="KK322">
        <v>0</v>
      </c>
      <c r="KL322">
        <v>0</v>
      </c>
      <c r="KM322">
        <v>0</v>
      </c>
      <c r="KN322">
        <v>0</v>
      </c>
      <c r="KO322">
        <v>0</v>
      </c>
      <c r="KP322">
        <v>0</v>
      </c>
      <c r="KQ322">
        <v>0</v>
      </c>
      <c r="KR322">
        <v>0</v>
      </c>
      <c r="KS322">
        <v>0</v>
      </c>
      <c r="KT322">
        <v>0</v>
      </c>
      <c r="KU322">
        <v>0</v>
      </c>
      <c r="KV322">
        <v>0</v>
      </c>
      <c r="KW322">
        <v>0</v>
      </c>
      <c r="KX322">
        <v>0</v>
      </c>
      <c r="KY322">
        <v>0</v>
      </c>
      <c r="KZ322">
        <v>0</v>
      </c>
      <c r="LA322">
        <v>0</v>
      </c>
      <c r="LB322">
        <v>0</v>
      </c>
      <c r="LC322">
        <v>0</v>
      </c>
      <c r="LD322">
        <v>0</v>
      </c>
      <c r="LE322">
        <v>0</v>
      </c>
      <c r="LF322">
        <v>0</v>
      </c>
      <c r="LG322">
        <v>0</v>
      </c>
      <c r="LH322">
        <v>0</v>
      </c>
      <c r="LI322">
        <v>0</v>
      </c>
      <c r="LJ322">
        <v>0</v>
      </c>
      <c r="LK322">
        <v>0</v>
      </c>
      <c r="LL322">
        <v>0</v>
      </c>
      <c r="LM322">
        <v>0</v>
      </c>
      <c r="LN322">
        <v>0</v>
      </c>
      <c r="LO322">
        <v>0</v>
      </c>
      <c r="LP322">
        <v>0</v>
      </c>
      <c r="LQ322">
        <v>0</v>
      </c>
      <c r="LR322">
        <v>0</v>
      </c>
      <c r="LS322">
        <v>0</v>
      </c>
      <c r="LT322">
        <v>0</v>
      </c>
      <c r="LU322">
        <v>0</v>
      </c>
      <c r="LV322">
        <v>0</v>
      </c>
      <c r="LW322">
        <v>0</v>
      </c>
      <c r="LX322">
        <v>0</v>
      </c>
      <c r="LY322">
        <v>0</v>
      </c>
      <c r="LZ322">
        <v>0</v>
      </c>
      <c r="MA322">
        <v>0</v>
      </c>
      <c r="MB322">
        <v>0</v>
      </c>
      <c r="MC322">
        <v>0</v>
      </c>
      <c r="MD322">
        <v>0</v>
      </c>
      <c r="ME322">
        <v>0</v>
      </c>
      <c r="MF322">
        <v>0</v>
      </c>
      <c r="MG322">
        <v>0</v>
      </c>
      <c r="MH322">
        <v>0</v>
      </c>
      <c r="MI322">
        <v>0</v>
      </c>
      <c r="MJ322">
        <v>0</v>
      </c>
      <c r="MK322">
        <v>0</v>
      </c>
      <c r="ML322">
        <v>0</v>
      </c>
      <c r="MM322">
        <v>0</v>
      </c>
      <c r="MN322">
        <v>0</v>
      </c>
      <c r="MO322">
        <v>0</v>
      </c>
      <c r="MP322">
        <v>0</v>
      </c>
      <c r="MQ322">
        <v>0</v>
      </c>
      <c r="MR322">
        <v>0</v>
      </c>
      <c r="MS322">
        <v>0</v>
      </c>
      <c r="MT322">
        <v>0</v>
      </c>
      <c r="MU322">
        <v>0</v>
      </c>
      <c r="MV322">
        <v>0</v>
      </c>
      <c r="MW322">
        <v>0</v>
      </c>
      <c r="MX322">
        <v>0</v>
      </c>
      <c r="MY322">
        <v>0</v>
      </c>
      <c r="MZ322">
        <v>0</v>
      </c>
      <c r="NA322">
        <v>0</v>
      </c>
      <c r="NB322">
        <v>0</v>
      </c>
      <c r="NC322">
        <v>0</v>
      </c>
      <c r="ND322">
        <v>0</v>
      </c>
      <c r="NE322">
        <v>0</v>
      </c>
    </row>
    <row r="323" spans="41:369" x14ac:dyDescent="0.45">
      <c r="AO323" t="str">
        <v>D199</v>
      </c>
      <c r="AP323" t="str">
        <v>Simsarul Haq VPM</v>
      </c>
      <c r="AQ323" t="str">
        <v>BADF</v>
      </c>
      <c r="AR323" t="str">
        <v>SUPER SENIOR</v>
      </c>
      <c r="AS323">
        <v>10</v>
      </c>
      <c r="AT323">
        <v>0</v>
      </c>
      <c r="AU323">
        <v>0</v>
      </c>
      <c r="AV323">
        <v>0</v>
      </c>
      <c r="AW323">
        <v>0</v>
      </c>
      <c r="AX323">
        <v>255</v>
      </c>
      <c r="AY323" s="5">
        <v>255</v>
      </c>
      <c r="AZ323">
        <v>0</v>
      </c>
      <c r="BA323">
        <v>0</v>
      </c>
      <c r="BB323">
        <v>0</v>
      </c>
      <c r="BC323">
        <v>0</v>
      </c>
      <c r="BD323">
        <v>0</v>
      </c>
      <c r="BE323">
        <v>0</v>
      </c>
      <c r="BF323">
        <v>0</v>
      </c>
      <c r="BG323">
        <v>0</v>
      </c>
      <c r="BH323">
        <v>0</v>
      </c>
      <c r="BI323" t="str">
        <v/>
      </c>
      <c r="BK323">
        <v>317</v>
      </c>
      <c r="BL323">
        <v>0</v>
      </c>
      <c r="BM323">
        <v>0</v>
      </c>
      <c r="BN323">
        <v>0</v>
      </c>
      <c r="BO323">
        <v>0</v>
      </c>
      <c r="BP323">
        <v>0</v>
      </c>
      <c r="BQ323">
        <v>0</v>
      </c>
      <c r="BR323">
        <v>0</v>
      </c>
      <c r="BS323">
        <v>0</v>
      </c>
      <c r="BT323">
        <v>0</v>
      </c>
      <c r="BU323">
        <v>0</v>
      </c>
      <c r="BV323">
        <v>0</v>
      </c>
      <c r="BW323">
        <v>0</v>
      </c>
      <c r="BX323">
        <v>0</v>
      </c>
      <c r="BY323">
        <v>0</v>
      </c>
      <c r="BZ323">
        <v>0</v>
      </c>
      <c r="CA323">
        <v>0</v>
      </c>
      <c r="CB323">
        <v>0</v>
      </c>
      <c r="CC323">
        <v>0</v>
      </c>
      <c r="CD323">
        <v>0</v>
      </c>
      <c r="CE323">
        <v>0</v>
      </c>
      <c r="CF323">
        <v>0</v>
      </c>
      <c r="CG323">
        <v>0</v>
      </c>
      <c r="CH323">
        <v>0</v>
      </c>
      <c r="CI323">
        <v>0</v>
      </c>
      <c r="CJ323">
        <v>0</v>
      </c>
      <c r="CK323">
        <v>0</v>
      </c>
      <c r="CL323">
        <v>0</v>
      </c>
      <c r="CM323">
        <v>0</v>
      </c>
      <c r="CN323">
        <v>0</v>
      </c>
      <c r="CO323">
        <v>0</v>
      </c>
      <c r="CP323">
        <v>0</v>
      </c>
      <c r="CQ323">
        <v>0</v>
      </c>
      <c r="CR323">
        <v>0</v>
      </c>
      <c r="CS323">
        <v>0</v>
      </c>
      <c r="CT323">
        <v>0</v>
      </c>
      <c r="CU323">
        <v>0</v>
      </c>
      <c r="CV323">
        <v>0</v>
      </c>
      <c r="CW323">
        <v>0</v>
      </c>
      <c r="CX323">
        <v>0</v>
      </c>
      <c r="CY323">
        <v>0</v>
      </c>
      <c r="CZ323">
        <v>0</v>
      </c>
      <c r="DA323">
        <v>0</v>
      </c>
      <c r="DB323">
        <v>0</v>
      </c>
      <c r="DC323">
        <v>0</v>
      </c>
      <c r="DD323">
        <v>0</v>
      </c>
      <c r="DE323">
        <v>0</v>
      </c>
      <c r="DF323">
        <v>0</v>
      </c>
      <c r="DG323">
        <v>0</v>
      </c>
      <c r="DH323">
        <v>0</v>
      </c>
      <c r="DI323">
        <v>0</v>
      </c>
      <c r="DJ323">
        <v>0</v>
      </c>
      <c r="DK323">
        <v>0</v>
      </c>
      <c r="DL323">
        <v>0</v>
      </c>
      <c r="DM323">
        <v>0</v>
      </c>
      <c r="DN323">
        <v>0</v>
      </c>
      <c r="DO323">
        <v>0</v>
      </c>
      <c r="DP323">
        <v>0</v>
      </c>
      <c r="DQ323">
        <v>0</v>
      </c>
      <c r="DR323">
        <v>0</v>
      </c>
      <c r="DS323">
        <v>0</v>
      </c>
      <c r="DT323">
        <v>0</v>
      </c>
      <c r="DU323">
        <v>0</v>
      </c>
      <c r="DV323">
        <v>0</v>
      </c>
      <c r="DW323">
        <v>0</v>
      </c>
      <c r="DX323">
        <v>0</v>
      </c>
      <c r="DY323">
        <v>0</v>
      </c>
      <c r="DZ323">
        <v>0</v>
      </c>
      <c r="EA323">
        <v>0</v>
      </c>
      <c r="EB323">
        <v>0</v>
      </c>
      <c r="EC323">
        <v>0</v>
      </c>
      <c r="ED323">
        <v>0</v>
      </c>
      <c r="EE323">
        <v>0</v>
      </c>
      <c r="EF323">
        <v>0</v>
      </c>
      <c r="EG323">
        <v>0</v>
      </c>
      <c r="EH323">
        <v>0</v>
      </c>
      <c r="EI323">
        <v>0</v>
      </c>
      <c r="EJ323">
        <v>0</v>
      </c>
      <c r="EK323">
        <v>0</v>
      </c>
      <c r="EL323">
        <v>0</v>
      </c>
      <c r="EM323">
        <v>0</v>
      </c>
      <c r="EN323">
        <v>0</v>
      </c>
      <c r="EO323">
        <v>0</v>
      </c>
      <c r="EP323">
        <v>0</v>
      </c>
      <c r="EQ323">
        <v>0</v>
      </c>
      <c r="ER323">
        <v>0</v>
      </c>
      <c r="ES323">
        <v>0</v>
      </c>
      <c r="ET323">
        <v>0</v>
      </c>
      <c r="EU323">
        <v>0</v>
      </c>
      <c r="EV323">
        <v>0</v>
      </c>
      <c r="EW323">
        <v>0</v>
      </c>
      <c r="EX323">
        <v>0</v>
      </c>
      <c r="EY323">
        <v>0</v>
      </c>
      <c r="EZ323">
        <v>0</v>
      </c>
      <c r="FA323">
        <v>0</v>
      </c>
      <c r="FB323">
        <v>0</v>
      </c>
      <c r="FC323">
        <v>0</v>
      </c>
      <c r="FD323">
        <v>0</v>
      </c>
      <c r="FE323">
        <v>0</v>
      </c>
      <c r="FF323">
        <v>0</v>
      </c>
      <c r="FG323">
        <v>0</v>
      </c>
      <c r="FH323">
        <v>0</v>
      </c>
      <c r="FI323">
        <v>0</v>
      </c>
      <c r="FJ323">
        <v>0</v>
      </c>
      <c r="FK323">
        <v>0</v>
      </c>
      <c r="FL323">
        <v>0</v>
      </c>
      <c r="FM323">
        <v>0</v>
      </c>
      <c r="FN323">
        <v>0</v>
      </c>
      <c r="FO323">
        <v>0</v>
      </c>
      <c r="FP323">
        <v>0</v>
      </c>
      <c r="FQ323">
        <v>0</v>
      </c>
      <c r="FR323">
        <v>0</v>
      </c>
      <c r="FS323">
        <v>0</v>
      </c>
      <c r="FT323">
        <v>0</v>
      </c>
      <c r="FU323">
        <v>0</v>
      </c>
      <c r="FV323">
        <v>0</v>
      </c>
      <c r="FW323">
        <v>0</v>
      </c>
      <c r="FX323">
        <v>0</v>
      </c>
      <c r="FY323">
        <v>0</v>
      </c>
      <c r="FZ323">
        <v>0</v>
      </c>
      <c r="GA323">
        <v>0</v>
      </c>
      <c r="GB323">
        <v>0</v>
      </c>
      <c r="GC323">
        <v>0</v>
      </c>
      <c r="GD323">
        <v>0</v>
      </c>
      <c r="GE323">
        <v>0</v>
      </c>
      <c r="GF323">
        <v>0</v>
      </c>
      <c r="GG323">
        <v>0</v>
      </c>
      <c r="GH323">
        <v>0</v>
      </c>
      <c r="GI323">
        <v>0</v>
      </c>
      <c r="GJ323">
        <v>0</v>
      </c>
      <c r="GK323">
        <v>0</v>
      </c>
      <c r="GL323">
        <v>0</v>
      </c>
      <c r="GM323">
        <v>0</v>
      </c>
      <c r="GN323">
        <v>0</v>
      </c>
      <c r="GO323">
        <v>0</v>
      </c>
      <c r="GP323">
        <v>0</v>
      </c>
      <c r="GQ323">
        <v>0</v>
      </c>
      <c r="GR323">
        <v>0</v>
      </c>
      <c r="GS323">
        <v>0</v>
      </c>
      <c r="GT323">
        <v>0</v>
      </c>
      <c r="GU323">
        <v>0</v>
      </c>
      <c r="GV323">
        <v>0</v>
      </c>
      <c r="GW323">
        <v>0</v>
      </c>
      <c r="GX323">
        <v>0</v>
      </c>
      <c r="GY323">
        <v>0</v>
      </c>
      <c r="GZ323">
        <v>0</v>
      </c>
      <c r="HA323">
        <v>0</v>
      </c>
      <c r="HB323">
        <v>0</v>
      </c>
      <c r="HC323">
        <v>0</v>
      </c>
      <c r="HD323">
        <v>0</v>
      </c>
      <c r="HE323">
        <v>0</v>
      </c>
      <c r="HF323">
        <v>0</v>
      </c>
      <c r="HG323">
        <v>0</v>
      </c>
      <c r="HH323">
        <v>0</v>
      </c>
      <c r="HI323">
        <v>0</v>
      </c>
      <c r="HJ323">
        <v>0</v>
      </c>
      <c r="HK323">
        <v>0</v>
      </c>
      <c r="HL323">
        <v>0</v>
      </c>
      <c r="HM323">
        <v>0</v>
      </c>
      <c r="HN323">
        <v>0</v>
      </c>
      <c r="HO323">
        <v>0</v>
      </c>
      <c r="HP323">
        <v>0</v>
      </c>
      <c r="HQ323">
        <v>0</v>
      </c>
      <c r="HR323">
        <v>0</v>
      </c>
      <c r="HS323">
        <v>0</v>
      </c>
      <c r="HT323">
        <v>0</v>
      </c>
      <c r="HU323">
        <v>0</v>
      </c>
      <c r="HV323">
        <v>0</v>
      </c>
      <c r="HW323">
        <v>0</v>
      </c>
      <c r="HX323">
        <v>0</v>
      </c>
      <c r="HY323">
        <v>0</v>
      </c>
      <c r="HZ323">
        <v>0</v>
      </c>
      <c r="IA323">
        <v>0</v>
      </c>
      <c r="IB323">
        <v>0</v>
      </c>
      <c r="IC323">
        <v>0</v>
      </c>
      <c r="ID323">
        <v>0</v>
      </c>
      <c r="IE323">
        <v>0</v>
      </c>
      <c r="IF323">
        <v>0</v>
      </c>
      <c r="IG323">
        <v>0</v>
      </c>
      <c r="IH323">
        <v>0</v>
      </c>
      <c r="II323">
        <v>0</v>
      </c>
      <c r="IJ323">
        <v>0</v>
      </c>
      <c r="IK323">
        <v>0</v>
      </c>
      <c r="IL323">
        <v>0</v>
      </c>
      <c r="IM323">
        <v>0</v>
      </c>
      <c r="IN323">
        <v>0</v>
      </c>
      <c r="IO323">
        <v>0</v>
      </c>
      <c r="IP323">
        <v>0</v>
      </c>
      <c r="IQ323">
        <v>0</v>
      </c>
      <c r="IR323">
        <v>0</v>
      </c>
      <c r="IS323">
        <v>0</v>
      </c>
      <c r="IT323">
        <v>0</v>
      </c>
      <c r="IU323">
        <v>0</v>
      </c>
      <c r="IV323">
        <v>0</v>
      </c>
      <c r="IW323">
        <v>0</v>
      </c>
      <c r="IX323">
        <v>0</v>
      </c>
      <c r="IY323">
        <v>0</v>
      </c>
      <c r="IZ323">
        <v>0</v>
      </c>
      <c r="JA323">
        <v>0</v>
      </c>
      <c r="JB323">
        <v>0</v>
      </c>
      <c r="JC323">
        <v>0</v>
      </c>
      <c r="JD323">
        <v>0</v>
      </c>
      <c r="JE323">
        <v>0</v>
      </c>
      <c r="JF323">
        <v>0</v>
      </c>
      <c r="JG323">
        <v>0</v>
      </c>
      <c r="JH323">
        <v>0</v>
      </c>
      <c r="JI323">
        <v>0</v>
      </c>
      <c r="JJ323">
        <v>0</v>
      </c>
      <c r="JK323">
        <v>0</v>
      </c>
      <c r="JL323">
        <v>0</v>
      </c>
      <c r="JM323">
        <v>0</v>
      </c>
      <c r="JN323">
        <v>0</v>
      </c>
      <c r="JO323">
        <v>0</v>
      </c>
      <c r="JP323">
        <v>0</v>
      </c>
      <c r="JQ323">
        <v>0</v>
      </c>
      <c r="JR323">
        <v>0</v>
      </c>
      <c r="JS323">
        <v>0</v>
      </c>
      <c r="JT323">
        <v>0</v>
      </c>
      <c r="JU323">
        <v>0</v>
      </c>
      <c r="JV323">
        <v>0</v>
      </c>
      <c r="JW323">
        <v>0</v>
      </c>
      <c r="JX323">
        <v>0</v>
      </c>
      <c r="JY323">
        <v>0</v>
      </c>
      <c r="JZ323">
        <v>0</v>
      </c>
      <c r="KA323">
        <v>0</v>
      </c>
      <c r="KB323">
        <v>0</v>
      </c>
      <c r="KC323">
        <v>0</v>
      </c>
      <c r="KD323">
        <v>0</v>
      </c>
      <c r="KE323">
        <v>0</v>
      </c>
      <c r="KF323">
        <v>0</v>
      </c>
      <c r="KG323">
        <v>0</v>
      </c>
      <c r="KH323">
        <v>0</v>
      </c>
      <c r="KI323">
        <v>0</v>
      </c>
      <c r="KJ323">
        <v>0</v>
      </c>
      <c r="KK323">
        <v>0</v>
      </c>
      <c r="KL323">
        <v>0</v>
      </c>
      <c r="KM323">
        <v>0</v>
      </c>
      <c r="KN323">
        <v>0</v>
      </c>
      <c r="KO323">
        <v>0</v>
      </c>
      <c r="KP323">
        <v>0</v>
      </c>
      <c r="KQ323">
        <v>0</v>
      </c>
      <c r="KR323">
        <v>0</v>
      </c>
      <c r="KS323">
        <v>0</v>
      </c>
      <c r="KT323">
        <v>0</v>
      </c>
      <c r="KU323">
        <v>0</v>
      </c>
      <c r="KV323">
        <v>0</v>
      </c>
      <c r="KW323">
        <v>0</v>
      </c>
      <c r="KX323">
        <v>0</v>
      </c>
      <c r="KY323">
        <v>0</v>
      </c>
      <c r="KZ323">
        <v>0</v>
      </c>
      <c r="LA323">
        <v>0</v>
      </c>
      <c r="LB323">
        <v>0</v>
      </c>
      <c r="LC323">
        <v>0</v>
      </c>
      <c r="LD323">
        <v>0</v>
      </c>
      <c r="LE323">
        <v>0</v>
      </c>
      <c r="LF323">
        <v>0</v>
      </c>
      <c r="LG323">
        <v>0</v>
      </c>
      <c r="LH323">
        <v>0</v>
      </c>
      <c r="LI323">
        <v>0</v>
      </c>
      <c r="LJ323">
        <v>0</v>
      </c>
      <c r="LK323">
        <v>0</v>
      </c>
      <c r="LL323">
        <v>0</v>
      </c>
      <c r="LM323">
        <v>0</v>
      </c>
      <c r="LN323">
        <v>0</v>
      </c>
      <c r="LO323">
        <v>0</v>
      </c>
      <c r="LP323">
        <v>0</v>
      </c>
      <c r="LQ323">
        <v>0</v>
      </c>
      <c r="LR323">
        <v>0</v>
      </c>
      <c r="LS323">
        <v>0</v>
      </c>
      <c r="LT323">
        <v>0</v>
      </c>
      <c r="LU323">
        <v>0</v>
      </c>
      <c r="LV323">
        <v>0</v>
      </c>
      <c r="LW323">
        <v>0</v>
      </c>
      <c r="LX323">
        <v>0</v>
      </c>
      <c r="LY323">
        <v>0</v>
      </c>
      <c r="LZ323">
        <v>0</v>
      </c>
      <c r="MA323">
        <v>0</v>
      </c>
      <c r="MB323">
        <v>0</v>
      </c>
      <c r="MC323">
        <v>0</v>
      </c>
      <c r="MD323">
        <v>0</v>
      </c>
      <c r="ME323">
        <v>0</v>
      </c>
      <c r="MF323">
        <v>0</v>
      </c>
      <c r="MG323">
        <v>0</v>
      </c>
      <c r="MH323">
        <v>0</v>
      </c>
      <c r="MI323">
        <v>0</v>
      </c>
      <c r="MJ323">
        <v>0</v>
      </c>
      <c r="MK323">
        <v>0</v>
      </c>
      <c r="ML323">
        <v>0</v>
      </c>
      <c r="MM323">
        <v>0</v>
      </c>
      <c r="MN323">
        <v>0</v>
      </c>
      <c r="MO323">
        <v>0</v>
      </c>
      <c r="MP323">
        <v>0</v>
      </c>
      <c r="MQ323">
        <v>0</v>
      </c>
      <c r="MR323">
        <v>0</v>
      </c>
      <c r="MS323">
        <v>0</v>
      </c>
      <c r="MT323">
        <v>0</v>
      </c>
      <c r="MU323">
        <v>0</v>
      </c>
      <c r="MV323">
        <v>0</v>
      </c>
      <c r="MW323">
        <v>0</v>
      </c>
      <c r="MX323">
        <v>0</v>
      </c>
      <c r="MY323">
        <v>0</v>
      </c>
      <c r="MZ323">
        <v>0</v>
      </c>
      <c r="NA323">
        <v>0</v>
      </c>
      <c r="NB323">
        <v>0</v>
      </c>
      <c r="NC323">
        <v>0</v>
      </c>
      <c r="ND323">
        <v>0</v>
      </c>
      <c r="NE323">
        <v>0</v>
      </c>
    </row>
    <row r="324" spans="41:369" x14ac:dyDescent="0.45">
      <c r="AO324">
        <v>0</v>
      </c>
      <c r="AP324">
        <v>0</v>
      </c>
      <c r="AQ324">
        <v>0</v>
      </c>
      <c r="AR324">
        <v>0</v>
      </c>
      <c r="AS324">
        <v>0</v>
      </c>
      <c r="AT324">
        <v>0</v>
      </c>
      <c r="AU324">
        <v>0</v>
      </c>
      <c r="AV324">
        <v>0</v>
      </c>
      <c r="AW324" t="str">
        <v/>
      </c>
      <c r="AX324">
        <v>255</v>
      </c>
      <c r="AY324" s="5" t="str">
        <v/>
      </c>
      <c r="AZ324">
        <v>0</v>
      </c>
      <c r="BA324">
        <v>0</v>
      </c>
      <c r="BB324">
        <v>0</v>
      </c>
      <c r="BC324">
        <v>0</v>
      </c>
      <c r="BD324">
        <v>0</v>
      </c>
      <c r="BE324">
        <v>0</v>
      </c>
      <c r="BF324">
        <v>0</v>
      </c>
      <c r="BG324">
        <v>0</v>
      </c>
      <c r="BH324">
        <v>0</v>
      </c>
      <c r="BI324" t="str">
        <v/>
      </c>
      <c r="BK324">
        <v>318</v>
      </c>
      <c r="BL324">
        <v>0</v>
      </c>
      <c r="BM324">
        <v>0</v>
      </c>
      <c r="BN324">
        <v>0</v>
      </c>
      <c r="BO324">
        <v>0</v>
      </c>
      <c r="BP324">
        <v>0</v>
      </c>
      <c r="BQ324">
        <v>0</v>
      </c>
      <c r="BR324">
        <v>0</v>
      </c>
      <c r="BS324">
        <v>0</v>
      </c>
      <c r="BT324">
        <v>0</v>
      </c>
      <c r="BU324">
        <v>0</v>
      </c>
      <c r="BV324">
        <v>0</v>
      </c>
      <c r="BW324">
        <v>0</v>
      </c>
      <c r="BX324">
        <v>0</v>
      </c>
      <c r="BY324">
        <v>0</v>
      </c>
      <c r="BZ324">
        <v>0</v>
      </c>
      <c r="CA324">
        <v>0</v>
      </c>
      <c r="CB324">
        <v>0</v>
      </c>
      <c r="CC324">
        <v>0</v>
      </c>
      <c r="CD324">
        <v>0</v>
      </c>
      <c r="CE324">
        <v>0</v>
      </c>
      <c r="CF324">
        <v>0</v>
      </c>
      <c r="CG324">
        <v>0</v>
      </c>
      <c r="CH324">
        <v>0</v>
      </c>
      <c r="CI324">
        <v>0</v>
      </c>
      <c r="CJ324">
        <v>0</v>
      </c>
      <c r="CK324">
        <v>0</v>
      </c>
      <c r="CL324">
        <v>0</v>
      </c>
      <c r="CM324">
        <v>0</v>
      </c>
      <c r="CN324">
        <v>0</v>
      </c>
      <c r="CO324">
        <v>0</v>
      </c>
      <c r="CP324">
        <v>0</v>
      </c>
      <c r="CQ324">
        <v>0</v>
      </c>
      <c r="CR324">
        <v>0</v>
      </c>
      <c r="CS324">
        <v>0</v>
      </c>
      <c r="CT324">
        <v>0</v>
      </c>
      <c r="CU324">
        <v>0</v>
      </c>
      <c r="CV324">
        <v>0</v>
      </c>
      <c r="CW324">
        <v>0</v>
      </c>
      <c r="CX324">
        <v>0</v>
      </c>
      <c r="CY324">
        <v>0</v>
      </c>
      <c r="CZ324">
        <v>0</v>
      </c>
      <c r="DA324">
        <v>0</v>
      </c>
      <c r="DB324">
        <v>0</v>
      </c>
      <c r="DC324">
        <v>0</v>
      </c>
      <c r="DD324">
        <v>0</v>
      </c>
      <c r="DE324">
        <v>0</v>
      </c>
      <c r="DF324">
        <v>0</v>
      </c>
      <c r="DG324">
        <v>0</v>
      </c>
      <c r="DH324">
        <v>0</v>
      </c>
      <c r="DI324">
        <v>0</v>
      </c>
      <c r="DJ324">
        <v>0</v>
      </c>
      <c r="DK324">
        <v>0</v>
      </c>
      <c r="DL324">
        <v>0</v>
      </c>
      <c r="DM324">
        <v>0</v>
      </c>
      <c r="DN324">
        <v>0</v>
      </c>
      <c r="DO324">
        <v>0</v>
      </c>
      <c r="DP324">
        <v>0</v>
      </c>
      <c r="DQ324">
        <v>0</v>
      </c>
      <c r="DR324">
        <v>0</v>
      </c>
      <c r="DS324">
        <v>0</v>
      </c>
      <c r="DT324">
        <v>0</v>
      </c>
      <c r="DU324">
        <v>0</v>
      </c>
      <c r="DV324">
        <v>0</v>
      </c>
      <c r="DW324">
        <v>0</v>
      </c>
      <c r="DX324">
        <v>0</v>
      </c>
      <c r="DY324">
        <v>0</v>
      </c>
      <c r="DZ324">
        <v>0</v>
      </c>
      <c r="EA324">
        <v>0</v>
      </c>
      <c r="EB324">
        <v>0</v>
      </c>
      <c r="EC324">
        <v>0</v>
      </c>
      <c r="ED324">
        <v>0</v>
      </c>
      <c r="EE324">
        <v>0</v>
      </c>
      <c r="EF324">
        <v>0</v>
      </c>
      <c r="EG324">
        <v>0</v>
      </c>
      <c r="EH324">
        <v>0</v>
      </c>
      <c r="EI324">
        <v>0</v>
      </c>
      <c r="EJ324">
        <v>0</v>
      </c>
      <c r="EK324">
        <v>0</v>
      </c>
      <c r="EL324">
        <v>0</v>
      </c>
      <c r="EM324">
        <v>0</v>
      </c>
      <c r="EN324">
        <v>0</v>
      </c>
      <c r="EO324">
        <v>0</v>
      </c>
      <c r="EP324">
        <v>0</v>
      </c>
      <c r="EQ324">
        <v>0</v>
      </c>
      <c r="ER324">
        <v>0</v>
      </c>
      <c r="ES324">
        <v>0</v>
      </c>
      <c r="ET324">
        <v>0</v>
      </c>
      <c r="EU324">
        <v>0</v>
      </c>
      <c r="EV324">
        <v>0</v>
      </c>
      <c r="EW324">
        <v>0</v>
      </c>
      <c r="EX324">
        <v>0</v>
      </c>
      <c r="EY324">
        <v>0</v>
      </c>
      <c r="EZ324">
        <v>0</v>
      </c>
      <c r="FA324">
        <v>0</v>
      </c>
      <c r="FB324">
        <v>0</v>
      </c>
      <c r="FC324">
        <v>0</v>
      </c>
      <c r="FD324">
        <v>0</v>
      </c>
      <c r="FE324">
        <v>0</v>
      </c>
      <c r="FF324">
        <v>0</v>
      </c>
      <c r="FG324">
        <v>0</v>
      </c>
      <c r="FH324">
        <v>0</v>
      </c>
      <c r="FI324">
        <v>0</v>
      </c>
      <c r="FJ324">
        <v>0</v>
      </c>
      <c r="FK324">
        <v>0</v>
      </c>
      <c r="FL324">
        <v>0</v>
      </c>
      <c r="FM324">
        <v>0</v>
      </c>
      <c r="FN324">
        <v>0</v>
      </c>
      <c r="FO324">
        <v>0</v>
      </c>
      <c r="FP324">
        <v>0</v>
      </c>
      <c r="FQ324">
        <v>0</v>
      </c>
      <c r="FR324">
        <v>0</v>
      </c>
      <c r="FS324">
        <v>0</v>
      </c>
      <c r="FT324">
        <v>0</v>
      </c>
      <c r="FU324">
        <v>0</v>
      </c>
      <c r="FV324">
        <v>0</v>
      </c>
      <c r="FW324">
        <v>0</v>
      </c>
      <c r="FX324">
        <v>0</v>
      </c>
      <c r="FY324">
        <v>0</v>
      </c>
      <c r="FZ324">
        <v>0</v>
      </c>
      <c r="GA324">
        <v>0</v>
      </c>
      <c r="GB324">
        <v>0</v>
      </c>
      <c r="GC324">
        <v>0</v>
      </c>
      <c r="GD324">
        <v>0</v>
      </c>
      <c r="GE324">
        <v>0</v>
      </c>
      <c r="GF324">
        <v>0</v>
      </c>
      <c r="GG324">
        <v>0</v>
      </c>
      <c r="GH324">
        <v>0</v>
      </c>
      <c r="GI324">
        <v>0</v>
      </c>
      <c r="GJ324">
        <v>0</v>
      </c>
      <c r="GK324">
        <v>0</v>
      </c>
      <c r="GL324">
        <v>0</v>
      </c>
      <c r="GM324">
        <v>0</v>
      </c>
      <c r="GN324">
        <v>0</v>
      </c>
      <c r="GO324">
        <v>0</v>
      </c>
      <c r="GP324">
        <v>0</v>
      </c>
      <c r="GQ324">
        <v>0</v>
      </c>
      <c r="GR324">
        <v>0</v>
      </c>
      <c r="GS324">
        <v>0</v>
      </c>
      <c r="GT324">
        <v>0</v>
      </c>
      <c r="GU324">
        <v>0</v>
      </c>
      <c r="GV324">
        <v>0</v>
      </c>
      <c r="GW324">
        <v>0</v>
      </c>
      <c r="GX324">
        <v>0</v>
      </c>
      <c r="GY324">
        <v>0</v>
      </c>
      <c r="GZ324">
        <v>0</v>
      </c>
      <c r="HA324">
        <v>0</v>
      </c>
      <c r="HB324">
        <v>0</v>
      </c>
      <c r="HC324">
        <v>0</v>
      </c>
      <c r="HD324">
        <v>0</v>
      </c>
      <c r="HE324">
        <v>0</v>
      </c>
      <c r="HF324">
        <v>0</v>
      </c>
      <c r="HG324">
        <v>0</v>
      </c>
      <c r="HH324">
        <v>0</v>
      </c>
      <c r="HI324">
        <v>0</v>
      </c>
      <c r="HJ324">
        <v>0</v>
      </c>
      <c r="HK324">
        <v>0</v>
      </c>
      <c r="HL324">
        <v>0</v>
      </c>
      <c r="HM324">
        <v>0</v>
      </c>
      <c r="HN324">
        <v>0</v>
      </c>
      <c r="HO324">
        <v>0</v>
      </c>
      <c r="HP324">
        <v>0</v>
      </c>
      <c r="HQ324">
        <v>0</v>
      </c>
      <c r="HR324">
        <v>0</v>
      </c>
      <c r="HS324">
        <v>0</v>
      </c>
      <c r="HT324">
        <v>0</v>
      </c>
      <c r="HU324">
        <v>0</v>
      </c>
      <c r="HV324">
        <v>0</v>
      </c>
      <c r="HW324">
        <v>0</v>
      </c>
      <c r="HX324">
        <v>0</v>
      </c>
      <c r="HY324">
        <v>0</v>
      </c>
      <c r="HZ324">
        <v>0</v>
      </c>
      <c r="IA324">
        <v>0</v>
      </c>
      <c r="IB324">
        <v>0</v>
      </c>
      <c r="IC324">
        <v>0</v>
      </c>
      <c r="ID324">
        <v>0</v>
      </c>
      <c r="IE324">
        <v>0</v>
      </c>
      <c r="IF324">
        <v>0</v>
      </c>
      <c r="IG324">
        <v>0</v>
      </c>
      <c r="IH324">
        <v>0</v>
      </c>
      <c r="II324">
        <v>0</v>
      </c>
      <c r="IJ324">
        <v>0</v>
      </c>
      <c r="IK324">
        <v>0</v>
      </c>
      <c r="IL324">
        <v>0</v>
      </c>
      <c r="IM324">
        <v>0</v>
      </c>
      <c r="IN324">
        <v>0</v>
      </c>
      <c r="IO324">
        <v>0</v>
      </c>
      <c r="IP324">
        <v>0</v>
      </c>
      <c r="IQ324">
        <v>0</v>
      </c>
      <c r="IR324">
        <v>0</v>
      </c>
      <c r="IS324">
        <v>0</v>
      </c>
      <c r="IT324">
        <v>0</v>
      </c>
      <c r="IU324">
        <v>0</v>
      </c>
      <c r="IV324">
        <v>0</v>
      </c>
      <c r="IW324">
        <v>0</v>
      </c>
      <c r="IX324">
        <v>0</v>
      </c>
      <c r="IY324">
        <v>0</v>
      </c>
      <c r="IZ324">
        <v>0</v>
      </c>
      <c r="JA324">
        <v>0</v>
      </c>
      <c r="JB324">
        <v>0</v>
      </c>
      <c r="JC324">
        <v>0</v>
      </c>
      <c r="JD324">
        <v>0</v>
      </c>
      <c r="JE324">
        <v>0</v>
      </c>
      <c r="JF324">
        <v>0</v>
      </c>
      <c r="JG324">
        <v>0</v>
      </c>
      <c r="JH324">
        <v>0</v>
      </c>
      <c r="JI324">
        <v>0</v>
      </c>
      <c r="JJ324">
        <v>0</v>
      </c>
      <c r="JK324">
        <v>0</v>
      </c>
      <c r="JL324">
        <v>0</v>
      </c>
      <c r="JM324">
        <v>0</v>
      </c>
      <c r="JN324">
        <v>0</v>
      </c>
      <c r="JO324">
        <v>0</v>
      </c>
      <c r="JP324">
        <v>0</v>
      </c>
      <c r="JQ324">
        <v>0</v>
      </c>
      <c r="JR324">
        <v>0</v>
      </c>
      <c r="JS324">
        <v>0</v>
      </c>
      <c r="JT324">
        <v>0</v>
      </c>
      <c r="JU324">
        <v>0</v>
      </c>
      <c r="JV324">
        <v>0</v>
      </c>
      <c r="JW324">
        <v>0</v>
      </c>
      <c r="JX324">
        <v>0</v>
      </c>
      <c r="JY324">
        <v>0</v>
      </c>
      <c r="JZ324">
        <v>0</v>
      </c>
      <c r="KA324">
        <v>0</v>
      </c>
      <c r="KB324">
        <v>0</v>
      </c>
      <c r="KC324">
        <v>0</v>
      </c>
      <c r="KD324">
        <v>0</v>
      </c>
      <c r="KE324">
        <v>0</v>
      </c>
      <c r="KF324">
        <v>0</v>
      </c>
      <c r="KG324">
        <v>0</v>
      </c>
      <c r="KH324">
        <v>0</v>
      </c>
      <c r="KI324">
        <v>0</v>
      </c>
      <c r="KJ324">
        <v>0</v>
      </c>
      <c r="KK324">
        <v>0</v>
      </c>
      <c r="KL324">
        <v>0</v>
      </c>
      <c r="KM324">
        <v>0</v>
      </c>
      <c r="KN324">
        <v>0</v>
      </c>
      <c r="KO324">
        <v>0</v>
      </c>
      <c r="KP324">
        <v>0</v>
      </c>
      <c r="KQ324">
        <v>0</v>
      </c>
      <c r="KR324">
        <v>0</v>
      </c>
      <c r="KS324">
        <v>0</v>
      </c>
      <c r="KT324">
        <v>0</v>
      </c>
      <c r="KU324">
        <v>0</v>
      </c>
      <c r="KV324">
        <v>0</v>
      </c>
      <c r="KW324">
        <v>0</v>
      </c>
      <c r="KX324">
        <v>0</v>
      </c>
      <c r="KY324">
        <v>0</v>
      </c>
      <c r="KZ324">
        <v>0</v>
      </c>
      <c r="LA324">
        <v>0</v>
      </c>
      <c r="LB324">
        <v>0</v>
      </c>
      <c r="LC324">
        <v>0</v>
      </c>
      <c r="LD324">
        <v>0</v>
      </c>
      <c r="LE324">
        <v>0</v>
      </c>
      <c r="LF324">
        <v>0</v>
      </c>
      <c r="LG324">
        <v>0</v>
      </c>
      <c r="LH324">
        <v>0</v>
      </c>
      <c r="LI324">
        <v>0</v>
      </c>
      <c r="LJ324">
        <v>0</v>
      </c>
      <c r="LK324">
        <v>0</v>
      </c>
      <c r="LL324">
        <v>0</v>
      </c>
      <c r="LM324">
        <v>0</v>
      </c>
      <c r="LN324">
        <v>0</v>
      </c>
      <c r="LO324">
        <v>0</v>
      </c>
      <c r="LP324">
        <v>0</v>
      </c>
      <c r="LQ324">
        <v>0</v>
      </c>
      <c r="LR324">
        <v>0</v>
      </c>
      <c r="LS324">
        <v>0</v>
      </c>
      <c r="LT324">
        <v>0</v>
      </c>
      <c r="LU324">
        <v>0</v>
      </c>
      <c r="LV324">
        <v>0</v>
      </c>
      <c r="LW324">
        <v>0</v>
      </c>
      <c r="LX324">
        <v>0</v>
      </c>
      <c r="LY324">
        <v>0</v>
      </c>
      <c r="LZ324">
        <v>0</v>
      </c>
      <c r="MA324">
        <v>0</v>
      </c>
      <c r="MB324">
        <v>0</v>
      </c>
      <c r="MC324">
        <v>0</v>
      </c>
      <c r="MD324">
        <v>0</v>
      </c>
      <c r="ME324">
        <v>0</v>
      </c>
      <c r="MF324">
        <v>0</v>
      </c>
      <c r="MG324">
        <v>0</v>
      </c>
      <c r="MH324">
        <v>0</v>
      </c>
      <c r="MI324">
        <v>0</v>
      </c>
      <c r="MJ324">
        <v>0</v>
      </c>
      <c r="MK324">
        <v>0</v>
      </c>
      <c r="ML324">
        <v>0</v>
      </c>
      <c r="MM324">
        <v>0</v>
      </c>
      <c r="MN324">
        <v>0</v>
      </c>
      <c r="MO324">
        <v>0</v>
      </c>
      <c r="MP324">
        <v>0</v>
      </c>
      <c r="MQ324">
        <v>0</v>
      </c>
      <c r="MR324">
        <v>0</v>
      </c>
      <c r="MS324">
        <v>0</v>
      </c>
      <c r="MT324">
        <v>0</v>
      </c>
      <c r="MU324">
        <v>0</v>
      </c>
      <c r="MV324">
        <v>0</v>
      </c>
      <c r="MW324">
        <v>0</v>
      </c>
      <c r="MX324">
        <v>0</v>
      </c>
      <c r="MY324">
        <v>0</v>
      </c>
      <c r="MZ324">
        <v>0</v>
      </c>
      <c r="NA324">
        <v>0</v>
      </c>
      <c r="NB324">
        <v>0</v>
      </c>
      <c r="NC324">
        <v>0</v>
      </c>
      <c r="ND324">
        <v>0</v>
      </c>
      <c r="NE324">
        <v>0</v>
      </c>
    </row>
    <row r="325" spans="41:369" x14ac:dyDescent="0.45">
      <c r="AO325">
        <v>0</v>
      </c>
      <c r="AP325">
        <v>0</v>
      </c>
      <c r="AQ325">
        <v>0</v>
      </c>
      <c r="AR325">
        <v>0</v>
      </c>
      <c r="AS325">
        <v>0</v>
      </c>
      <c r="AT325">
        <v>0</v>
      </c>
      <c r="AU325">
        <v>0</v>
      </c>
      <c r="AV325">
        <v>0</v>
      </c>
      <c r="AW325" t="str">
        <v/>
      </c>
      <c r="AX325">
        <v>255</v>
      </c>
      <c r="AY325" s="5" t="str">
        <v/>
      </c>
      <c r="AZ325">
        <v>0</v>
      </c>
      <c r="BA325">
        <v>0</v>
      </c>
      <c r="BB325">
        <v>0</v>
      </c>
      <c r="BC325">
        <v>0</v>
      </c>
      <c r="BD325">
        <v>0</v>
      </c>
      <c r="BE325">
        <v>0</v>
      </c>
      <c r="BF325">
        <v>0</v>
      </c>
      <c r="BG325">
        <v>0</v>
      </c>
      <c r="BH325">
        <v>0</v>
      </c>
      <c r="BI325" t="str">
        <v/>
      </c>
      <c r="BK325">
        <v>319</v>
      </c>
      <c r="BL325">
        <v>0</v>
      </c>
      <c r="BM325">
        <v>0</v>
      </c>
      <c r="BN325">
        <v>0</v>
      </c>
      <c r="BO325">
        <v>0</v>
      </c>
      <c r="BP325">
        <v>0</v>
      </c>
      <c r="BQ325">
        <v>0</v>
      </c>
      <c r="BR325">
        <v>0</v>
      </c>
      <c r="BS325">
        <v>0</v>
      </c>
      <c r="BT325">
        <v>0</v>
      </c>
      <c r="BU325">
        <v>0</v>
      </c>
      <c r="BV325">
        <v>0</v>
      </c>
      <c r="BW325">
        <v>0</v>
      </c>
      <c r="BX325">
        <v>0</v>
      </c>
      <c r="BY325">
        <v>0</v>
      </c>
      <c r="BZ325">
        <v>0</v>
      </c>
      <c r="CA325">
        <v>0</v>
      </c>
      <c r="CB325">
        <v>0</v>
      </c>
      <c r="CC325">
        <v>0</v>
      </c>
      <c r="CD325">
        <v>0</v>
      </c>
      <c r="CE325">
        <v>0</v>
      </c>
      <c r="CF325">
        <v>0</v>
      </c>
      <c r="CG325">
        <v>0</v>
      </c>
      <c r="CH325">
        <v>0</v>
      </c>
      <c r="CI325">
        <v>0</v>
      </c>
      <c r="CJ325">
        <v>0</v>
      </c>
      <c r="CK325">
        <v>0</v>
      </c>
      <c r="CL325">
        <v>0</v>
      </c>
      <c r="CM325">
        <v>0</v>
      </c>
      <c r="CN325">
        <v>0</v>
      </c>
      <c r="CO325">
        <v>0</v>
      </c>
      <c r="CP325">
        <v>0</v>
      </c>
      <c r="CQ325">
        <v>0</v>
      </c>
      <c r="CR325">
        <v>0</v>
      </c>
      <c r="CS325">
        <v>0</v>
      </c>
      <c r="CT325">
        <v>0</v>
      </c>
      <c r="CU325">
        <v>0</v>
      </c>
      <c r="CV325">
        <v>0</v>
      </c>
      <c r="CW325">
        <v>0</v>
      </c>
      <c r="CX325">
        <v>0</v>
      </c>
      <c r="CY325">
        <v>0</v>
      </c>
      <c r="CZ325">
        <v>0</v>
      </c>
      <c r="DA325">
        <v>0</v>
      </c>
      <c r="DB325">
        <v>0</v>
      </c>
      <c r="DC325">
        <v>0</v>
      </c>
      <c r="DD325">
        <v>0</v>
      </c>
      <c r="DE325">
        <v>0</v>
      </c>
      <c r="DF325">
        <v>0</v>
      </c>
      <c r="DG325">
        <v>0</v>
      </c>
      <c r="DH325">
        <v>0</v>
      </c>
      <c r="DI325">
        <v>0</v>
      </c>
      <c r="DJ325">
        <v>0</v>
      </c>
      <c r="DK325">
        <v>0</v>
      </c>
      <c r="DL325">
        <v>0</v>
      </c>
      <c r="DM325">
        <v>0</v>
      </c>
      <c r="DN325">
        <v>0</v>
      </c>
      <c r="DO325">
        <v>0</v>
      </c>
      <c r="DP325">
        <v>0</v>
      </c>
      <c r="DQ325">
        <v>0</v>
      </c>
      <c r="DR325">
        <v>0</v>
      </c>
      <c r="DS325">
        <v>0</v>
      </c>
      <c r="DT325">
        <v>0</v>
      </c>
      <c r="DU325">
        <v>0</v>
      </c>
      <c r="DV325">
        <v>0</v>
      </c>
      <c r="DW325">
        <v>0</v>
      </c>
      <c r="DX325">
        <v>0</v>
      </c>
      <c r="DY325">
        <v>0</v>
      </c>
      <c r="DZ325">
        <v>0</v>
      </c>
      <c r="EA325">
        <v>0</v>
      </c>
      <c r="EB325">
        <v>0</v>
      </c>
      <c r="EC325">
        <v>0</v>
      </c>
      <c r="ED325">
        <v>0</v>
      </c>
      <c r="EE325">
        <v>0</v>
      </c>
      <c r="EF325">
        <v>0</v>
      </c>
      <c r="EG325">
        <v>0</v>
      </c>
      <c r="EH325">
        <v>0</v>
      </c>
      <c r="EI325">
        <v>0</v>
      </c>
      <c r="EJ325">
        <v>0</v>
      </c>
      <c r="EK325">
        <v>0</v>
      </c>
      <c r="EL325">
        <v>0</v>
      </c>
      <c r="EM325">
        <v>0</v>
      </c>
      <c r="EN325">
        <v>0</v>
      </c>
      <c r="EO325">
        <v>0</v>
      </c>
      <c r="EP325">
        <v>0</v>
      </c>
      <c r="EQ325">
        <v>0</v>
      </c>
      <c r="ER325">
        <v>0</v>
      </c>
      <c r="ES325">
        <v>0</v>
      </c>
      <c r="ET325">
        <v>0</v>
      </c>
      <c r="EU325">
        <v>0</v>
      </c>
      <c r="EV325">
        <v>0</v>
      </c>
      <c r="EW325">
        <v>0</v>
      </c>
      <c r="EX325">
        <v>0</v>
      </c>
      <c r="EY325">
        <v>0</v>
      </c>
      <c r="EZ325">
        <v>0</v>
      </c>
      <c r="FA325">
        <v>0</v>
      </c>
      <c r="FB325">
        <v>0</v>
      </c>
      <c r="FC325">
        <v>0</v>
      </c>
      <c r="FD325">
        <v>0</v>
      </c>
      <c r="FE325">
        <v>0</v>
      </c>
      <c r="FF325">
        <v>0</v>
      </c>
      <c r="FG325">
        <v>0</v>
      </c>
      <c r="FH325">
        <v>0</v>
      </c>
      <c r="FI325">
        <v>0</v>
      </c>
      <c r="FJ325">
        <v>0</v>
      </c>
      <c r="FK325">
        <v>0</v>
      </c>
      <c r="FL325">
        <v>0</v>
      </c>
      <c r="FM325">
        <v>0</v>
      </c>
      <c r="FN325">
        <v>0</v>
      </c>
      <c r="FO325">
        <v>0</v>
      </c>
      <c r="FP325">
        <v>0</v>
      </c>
      <c r="FQ325">
        <v>0</v>
      </c>
      <c r="FR325">
        <v>0</v>
      </c>
      <c r="FS325">
        <v>0</v>
      </c>
      <c r="FT325">
        <v>0</v>
      </c>
      <c r="FU325">
        <v>0</v>
      </c>
      <c r="FV325">
        <v>0</v>
      </c>
      <c r="FW325">
        <v>0</v>
      </c>
      <c r="FX325">
        <v>0</v>
      </c>
      <c r="FY325">
        <v>0</v>
      </c>
      <c r="FZ325">
        <v>0</v>
      </c>
      <c r="GA325">
        <v>0</v>
      </c>
      <c r="GB325">
        <v>0</v>
      </c>
      <c r="GC325">
        <v>0</v>
      </c>
      <c r="GD325">
        <v>0</v>
      </c>
      <c r="GE325">
        <v>0</v>
      </c>
      <c r="GF325">
        <v>0</v>
      </c>
      <c r="GG325">
        <v>0</v>
      </c>
      <c r="GH325">
        <v>0</v>
      </c>
      <c r="GI325">
        <v>0</v>
      </c>
      <c r="GJ325">
        <v>0</v>
      </c>
      <c r="GK325">
        <v>0</v>
      </c>
      <c r="GL325">
        <v>0</v>
      </c>
      <c r="GM325">
        <v>0</v>
      </c>
      <c r="GN325">
        <v>0</v>
      </c>
      <c r="GO325">
        <v>0</v>
      </c>
      <c r="GP325">
        <v>0</v>
      </c>
      <c r="GQ325">
        <v>0</v>
      </c>
      <c r="GR325">
        <v>0</v>
      </c>
      <c r="GS325">
        <v>0</v>
      </c>
      <c r="GT325">
        <v>0</v>
      </c>
      <c r="GU325">
        <v>0</v>
      </c>
      <c r="GV325">
        <v>0</v>
      </c>
      <c r="GW325">
        <v>0</v>
      </c>
      <c r="GX325">
        <v>0</v>
      </c>
      <c r="GY325">
        <v>0</v>
      </c>
      <c r="GZ325">
        <v>0</v>
      </c>
      <c r="HA325">
        <v>0</v>
      </c>
      <c r="HB325">
        <v>0</v>
      </c>
      <c r="HC325">
        <v>0</v>
      </c>
      <c r="HD325">
        <v>0</v>
      </c>
      <c r="HE325">
        <v>0</v>
      </c>
      <c r="HF325">
        <v>0</v>
      </c>
      <c r="HG325">
        <v>0</v>
      </c>
      <c r="HH325">
        <v>0</v>
      </c>
      <c r="HI325">
        <v>0</v>
      </c>
      <c r="HJ325">
        <v>0</v>
      </c>
      <c r="HK325">
        <v>0</v>
      </c>
      <c r="HL325">
        <v>0</v>
      </c>
      <c r="HM325">
        <v>0</v>
      </c>
      <c r="HN325">
        <v>0</v>
      </c>
      <c r="HO325">
        <v>0</v>
      </c>
      <c r="HP325">
        <v>0</v>
      </c>
      <c r="HQ325">
        <v>0</v>
      </c>
      <c r="HR325">
        <v>0</v>
      </c>
      <c r="HS325">
        <v>0</v>
      </c>
      <c r="HT325">
        <v>0</v>
      </c>
      <c r="HU325">
        <v>0</v>
      </c>
      <c r="HV325">
        <v>0</v>
      </c>
      <c r="HW325">
        <v>0</v>
      </c>
      <c r="HX325">
        <v>0</v>
      </c>
      <c r="HY325">
        <v>0</v>
      </c>
      <c r="HZ325">
        <v>0</v>
      </c>
      <c r="IA325">
        <v>0</v>
      </c>
      <c r="IB325">
        <v>0</v>
      </c>
      <c r="IC325">
        <v>0</v>
      </c>
      <c r="ID325">
        <v>0</v>
      </c>
      <c r="IE325">
        <v>0</v>
      </c>
      <c r="IF325">
        <v>0</v>
      </c>
      <c r="IG325">
        <v>0</v>
      </c>
      <c r="IH325">
        <v>0</v>
      </c>
      <c r="II325">
        <v>0</v>
      </c>
      <c r="IJ325">
        <v>0</v>
      </c>
      <c r="IK325">
        <v>0</v>
      </c>
      <c r="IL325">
        <v>0</v>
      </c>
      <c r="IM325">
        <v>0</v>
      </c>
      <c r="IN325">
        <v>0</v>
      </c>
      <c r="IO325">
        <v>0</v>
      </c>
      <c r="IP325">
        <v>0</v>
      </c>
      <c r="IQ325">
        <v>0</v>
      </c>
      <c r="IR325">
        <v>0</v>
      </c>
      <c r="IS325">
        <v>0</v>
      </c>
      <c r="IT325">
        <v>0</v>
      </c>
      <c r="IU325">
        <v>0</v>
      </c>
      <c r="IV325">
        <v>0</v>
      </c>
      <c r="IW325">
        <v>0</v>
      </c>
      <c r="IX325">
        <v>0</v>
      </c>
      <c r="IY325">
        <v>0</v>
      </c>
      <c r="IZ325">
        <v>0</v>
      </c>
      <c r="JA325">
        <v>0</v>
      </c>
      <c r="JB325">
        <v>0</v>
      </c>
      <c r="JC325">
        <v>0</v>
      </c>
      <c r="JD325">
        <v>0</v>
      </c>
      <c r="JE325">
        <v>0</v>
      </c>
      <c r="JF325">
        <v>0</v>
      </c>
      <c r="JG325">
        <v>0</v>
      </c>
      <c r="JH325">
        <v>0</v>
      </c>
      <c r="JI325">
        <v>0</v>
      </c>
      <c r="JJ325">
        <v>0</v>
      </c>
      <c r="JK325">
        <v>0</v>
      </c>
      <c r="JL325">
        <v>0</v>
      </c>
      <c r="JM325">
        <v>0</v>
      </c>
      <c r="JN325">
        <v>0</v>
      </c>
      <c r="JO325">
        <v>0</v>
      </c>
      <c r="JP325">
        <v>0</v>
      </c>
      <c r="JQ325">
        <v>0</v>
      </c>
      <c r="JR325">
        <v>0</v>
      </c>
      <c r="JS325">
        <v>0</v>
      </c>
      <c r="JT325">
        <v>0</v>
      </c>
      <c r="JU325">
        <v>0</v>
      </c>
      <c r="JV325">
        <v>0</v>
      </c>
      <c r="JW325">
        <v>0</v>
      </c>
      <c r="JX325">
        <v>0</v>
      </c>
      <c r="JY325">
        <v>0</v>
      </c>
      <c r="JZ325">
        <v>0</v>
      </c>
      <c r="KA325">
        <v>0</v>
      </c>
      <c r="KB325">
        <v>0</v>
      </c>
      <c r="KC325">
        <v>0</v>
      </c>
      <c r="KD325">
        <v>0</v>
      </c>
      <c r="KE325">
        <v>0</v>
      </c>
      <c r="KF325">
        <v>0</v>
      </c>
      <c r="KG325">
        <v>0</v>
      </c>
      <c r="KH325">
        <v>0</v>
      </c>
      <c r="KI325">
        <v>0</v>
      </c>
      <c r="KJ325">
        <v>0</v>
      </c>
      <c r="KK325">
        <v>0</v>
      </c>
      <c r="KL325">
        <v>0</v>
      </c>
      <c r="KM325">
        <v>0</v>
      </c>
      <c r="KN325">
        <v>0</v>
      </c>
      <c r="KO325">
        <v>0</v>
      </c>
      <c r="KP325">
        <v>0</v>
      </c>
      <c r="KQ325">
        <v>0</v>
      </c>
      <c r="KR325">
        <v>0</v>
      </c>
      <c r="KS325">
        <v>0</v>
      </c>
      <c r="KT325">
        <v>0</v>
      </c>
      <c r="KU325">
        <v>0</v>
      </c>
      <c r="KV325">
        <v>0</v>
      </c>
      <c r="KW325">
        <v>0</v>
      </c>
      <c r="KX325">
        <v>0</v>
      </c>
      <c r="KY325">
        <v>0</v>
      </c>
      <c r="KZ325">
        <v>0</v>
      </c>
      <c r="LA325">
        <v>0</v>
      </c>
      <c r="LB325">
        <v>0</v>
      </c>
      <c r="LC325">
        <v>0</v>
      </c>
      <c r="LD325">
        <v>0</v>
      </c>
      <c r="LE325">
        <v>0</v>
      </c>
      <c r="LF325">
        <v>0</v>
      </c>
      <c r="LG325">
        <v>0</v>
      </c>
      <c r="LH325">
        <v>0</v>
      </c>
      <c r="LI325">
        <v>0</v>
      </c>
      <c r="LJ325">
        <v>0</v>
      </c>
      <c r="LK325">
        <v>0</v>
      </c>
      <c r="LL325">
        <v>0</v>
      </c>
      <c r="LM325">
        <v>0</v>
      </c>
      <c r="LN325">
        <v>0</v>
      </c>
      <c r="LO325">
        <v>0</v>
      </c>
      <c r="LP325">
        <v>0</v>
      </c>
      <c r="LQ325">
        <v>0</v>
      </c>
      <c r="LR325">
        <v>0</v>
      </c>
      <c r="LS325">
        <v>0</v>
      </c>
      <c r="LT325">
        <v>0</v>
      </c>
      <c r="LU325">
        <v>0</v>
      </c>
      <c r="LV325">
        <v>0</v>
      </c>
      <c r="LW325">
        <v>0</v>
      </c>
      <c r="LX325">
        <v>0</v>
      </c>
      <c r="LY325">
        <v>0</v>
      </c>
      <c r="LZ325">
        <v>0</v>
      </c>
      <c r="MA325">
        <v>0</v>
      </c>
      <c r="MB325">
        <v>0</v>
      </c>
      <c r="MC325">
        <v>0</v>
      </c>
      <c r="MD325">
        <v>0</v>
      </c>
      <c r="ME325">
        <v>0</v>
      </c>
      <c r="MF325">
        <v>0</v>
      </c>
      <c r="MG325">
        <v>0</v>
      </c>
      <c r="MH325">
        <v>0</v>
      </c>
      <c r="MI325">
        <v>0</v>
      </c>
      <c r="MJ325">
        <v>0</v>
      </c>
      <c r="MK325">
        <v>0</v>
      </c>
      <c r="ML325">
        <v>0</v>
      </c>
      <c r="MM325">
        <v>0</v>
      </c>
      <c r="MN325">
        <v>0</v>
      </c>
      <c r="MO325">
        <v>0</v>
      </c>
      <c r="MP325">
        <v>0</v>
      </c>
      <c r="MQ325">
        <v>0</v>
      </c>
      <c r="MR325">
        <v>0</v>
      </c>
      <c r="MS325">
        <v>0</v>
      </c>
      <c r="MT325">
        <v>0</v>
      </c>
      <c r="MU325">
        <v>0</v>
      </c>
      <c r="MV325">
        <v>0</v>
      </c>
      <c r="MW325">
        <v>0</v>
      </c>
      <c r="MX325">
        <v>0</v>
      </c>
      <c r="MY325">
        <v>0</v>
      </c>
      <c r="MZ325">
        <v>0</v>
      </c>
      <c r="NA325">
        <v>0</v>
      </c>
      <c r="NB325">
        <v>0</v>
      </c>
      <c r="NC325">
        <v>0</v>
      </c>
      <c r="ND325">
        <v>0</v>
      </c>
      <c r="NE325">
        <v>0</v>
      </c>
    </row>
    <row r="326" spans="41:369" x14ac:dyDescent="0.45">
      <c r="AO326">
        <v>0</v>
      </c>
      <c r="AP326">
        <v>0</v>
      </c>
      <c r="AQ326">
        <v>0</v>
      </c>
      <c r="AR326">
        <v>0</v>
      </c>
      <c r="AS326">
        <v>0</v>
      </c>
      <c r="AT326">
        <v>0</v>
      </c>
      <c r="AU326">
        <v>0</v>
      </c>
      <c r="AV326">
        <v>0</v>
      </c>
      <c r="AW326" t="str">
        <v/>
      </c>
      <c r="AX326">
        <v>255</v>
      </c>
      <c r="AY326" s="5" t="str">
        <v/>
      </c>
      <c r="AZ326">
        <v>0</v>
      </c>
      <c r="BA326">
        <v>0</v>
      </c>
      <c r="BB326">
        <v>0</v>
      </c>
      <c r="BC326">
        <v>0</v>
      </c>
      <c r="BD326">
        <v>0</v>
      </c>
      <c r="BE326">
        <v>0</v>
      </c>
      <c r="BF326">
        <v>0</v>
      </c>
      <c r="BG326">
        <v>0</v>
      </c>
      <c r="BH326">
        <v>0</v>
      </c>
      <c r="BI326" t="str">
        <v/>
      </c>
      <c r="BK326">
        <v>320</v>
      </c>
      <c r="BL326">
        <v>0</v>
      </c>
      <c r="BM326">
        <v>0</v>
      </c>
      <c r="BN326">
        <v>0</v>
      </c>
      <c r="BO326">
        <v>0</v>
      </c>
      <c r="BP326">
        <v>0</v>
      </c>
      <c r="BQ326">
        <v>0</v>
      </c>
      <c r="BR326">
        <v>0</v>
      </c>
      <c r="BS326">
        <v>0</v>
      </c>
      <c r="BT326">
        <v>0</v>
      </c>
      <c r="BU326">
        <v>0</v>
      </c>
      <c r="BV326">
        <v>0</v>
      </c>
      <c r="BW326">
        <v>0</v>
      </c>
      <c r="BX326">
        <v>0</v>
      </c>
      <c r="BY326">
        <v>0</v>
      </c>
      <c r="BZ326">
        <v>0</v>
      </c>
      <c r="CA326">
        <v>0</v>
      </c>
      <c r="CB326">
        <v>0</v>
      </c>
      <c r="CC326">
        <v>0</v>
      </c>
      <c r="CD326">
        <v>0</v>
      </c>
      <c r="CE326">
        <v>0</v>
      </c>
      <c r="CF326">
        <v>0</v>
      </c>
      <c r="CG326">
        <v>0</v>
      </c>
      <c r="CH326">
        <v>0</v>
      </c>
      <c r="CI326">
        <v>0</v>
      </c>
      <c r="CJ326">
        <v>0</v>
      </c>
      <c r="CK326">
        <v>0</v>
      </c>
      <c r="CL326">
        <v>0</v>
      </c>
      <c r="CM326">
        <v>0</v>
      </c>
      <c r="CN326">
        <v>0</v>
      </c>
      <c r="CO326">
        <v>0</v>
      </c>
      <c r="CP326">
        <v>0</v>
      </c>
      <c r="CQ326">
        <v>0</v>
      </c>
      <c r="CR326">
        <v>0</v>
      </c>
      <c r="CS326">
        <v>0</v>
      </c>
      <c r="CT326">
        <v>0</v>
      </c>
      <c r="CU326">
        <v>0</v>
      </c>
      <c r="CV326">
        <v>0</v>
      </c>
      <c r="CW326">
        <v>0</v>
      </c>
      <c r="CX326">
        <v>0</v>
      </c>
      <c r="CY326">
        <v>0</v>
      </c>
      <c r="CZ326">
        <v>0</v>
      </c>
      <c r="DA326">
        <v>0</v>
      </c>
      <c r="DB326">
        <v>0</v>
      </c>
      <c r="DC326">
        <v>0</v>
      </c>
      <c r="DD326">
        <v>0</v>
      </c>
      <c r="DE326">
        <v>0</v>
      </c>
      <c r="DF326">
        <v>0</v>
      </c>
      <c r="DG326">
        <v>0</v>
      </c>
      <c r="DH326">
        <v>0</v>
      </c>
      <c r="DI326">
        <v>0</v>
      </c>
      <c r="DJ326">
        <v>0</v>
      </c>
      <c r="DK326">
        <v>0</v>
      </c>
      <c r="DL326">
        <v>0</v>
      </c>
      <c r="DM326">
        <v>0</v>
      </c>
      <c r="DN326">
        <v>0</v>
      </c>
      <c r="DO326">
        <v>0</v>
      </c>
      <c r="DP326">
        <v>0</v>
      </c>
      <c r="DQ326">
        <v>0</v>
      </c>
      <c r="DR326">
        <v>0</v>
      </c>
      <c r="DS326">
        <v>0</v>
      </c>
      <c r="DT326">
        <v>0</v>
      </c>
      <c r="DU326">
        <v>0</v>
      </c>
      <c r="DV326">
        <v>0</v>
      </c>
      <c r="DW326">
        <v>0</v>
      </c>
      <c r="DX326">
        <v>0</v>
      </c>
      <c r="DY326">
        <v>0</v>
      </c>
      <c r="DZ326">
        <v>0</v>
      </c>
      <c r="EA326">
        <v>0</v>
      </c>
      <c r="EB326">
        <v>0</v>
      </c>
      <c r="EC326">
        <v>0</v>
      </c>
      <c r="ED326">
        <v>0</v>
      </c>
      <c r="EE326">
        <v>0</v>
      </c>
      <c r="EF326">
        <v>0</v>
      </c>
      <c r="EG326">
        <v>0</v>
      </c>
      <c r="EH326">
        <v>0</v>
      </c>
      <c r="EI326">
        <v>0</v>
      </c>
      <c r="EJ326">
        <v>0</v>
      </c>
      <c r="EK326">
        <v>0</v>
      </c>
      <c r="EL326">
        <v>0</v>
      </c>
      <c r="EM326">
        <v>0</v>
      </c>
      <c r="EN326">
        <v>0</v>
      </c>
      <c r="EO326">
        <v>0</v>
      </c>
      <c r="EP326">
        <v>0</v>
      </c>
      <c r="EQ326">
        <v>0</v>
      </c>
      <c r="ER326">
        <v>0</v>
      </c>
      <c r="ES326">
        <v>0</v>
      </c>
      <c r="ET326">
        <v>0</v>
      </c>
      <c r="EU326">
        <v>0</v>
      </c>
      <c r="EV326">
        <v>0</v>
      </c>
      <c r="EW326">
        <v>0</v>
      </c>
      <c r="EX326">
        <v>0</v>
      </c>
      <c r="EY326">
        <v>0</v>
      </c>
      <c r="EZ326">
        <v>0</v>
      </c>
      <c r="FA326">
        <v>0</v>
      </c>
      <c r="FB326">
        <v>0</v>
      </c>
      <c r="FC326">
        <v>0</v>
      </c>
      <c r="FD326">
        <v>0</v>
      </c>
      <c r="FE326">
        <v>0</v>
      </c>
      <c r="FF326">
        <v>0</v>
      </c>
      <c r="FG326">
        <v>0</v>
      </c>
      <c r="FH326">
        <v>0</v>
      </c>
      <c r="FI326">
        <v>0</v>
      </c>
      <c r="FJ326">
        <v>0</v>
      </c>
      <c r="FK326">
        <v>0</v>
      </c>
      <c r="FL326">
        <v>0</v>
      </c>
      <c r="FM326">
        <v>0</v>
      </c>
      <c r="FN326">
        <v>0</v>
      </c>
      <c r="FO326">
        <v>0</v>
      </c>
      <c r="FP326">
        <v>0</v>
      </c>
      <c r="FQ326">
        <v>0</v>
      </c>
      <c r="FR326">
        <v>0</v>
      </c>
      <c r="FS326">
        <v>0</v>
      </c>
      <c r="FT326">
        <v>0</v>
      </c>
      <c r="FU326">
        <v>0</v>
      </c>
      <c r="FV326">
        <v>0</v>
      </c>
      <c r="FW326">
        <v>0</v>
      </c>
      <c r="FX326">
        <v>0</v>
      </c>
      <c r="FY326">
        <v>0</v>
      </c>
      <c r="FZ326">
        <v>0</v>
      </c>
      <c r="GA326">
        <v>0</v>
      </c>
      <c r="GB326">
        <v>0</v>
      </c>
      <c r="GC326">
        <v>0</v>
      </c>
      <c r="GD326">
        <v>0</v>
      </c>
      <c r="GE326">
        <v>0</v>
      </c>
      <c r="GF326">
        <v>0</v>
      </c>
      <c r="GG326">
        <v>0</v>
      </c>
      <c r="GH326">
        <v>0</v>
      </c>
      <c r="GI326">
        <v>0</v>
      </c>
      <c r="GJ326">
        <v>0</v>
      </c>
      <c r="GK326">
        <v>0</v>
      </c>
      <c r="GL326">
        <v>0</v>
      </c>
      <c r="GM326">
        <v>0</v>
      </c>
      <c r="GN326">
        <v>0</v>
      </c>
      <c r="GO326">
        <v>0</v>
      </c>
      <c r="GP326">
        <v>0</v>
      </c>
      <c r="GQ326">
        <v>0</v>
      </c>
      <c r="GR326">
        <v>0</v>
      </c>
      <c r="GS326">
        <v>0</v>
      </c>
      <c r="GT326">
        <v>0</v>
      </c>
      <c r="GU326">
        <v>0</v>
      </c>
      <c r="GV326">
        <v>0</v>
      </c>
      <c r="GW326">
        <v>0</v>
      </c>
      <c r="GX326">
        <v>0</v>
      </c>
      <c r="GY326">
        <v>0</v>
      </c>
      <c r="GZ326">
        <v>0</v>
      </c>
      <c r="HA326">
        <v>0</v>
      </c>
      <c r="HB326">
        <v>0</v>
      </c>
      <c r="HC326">
        <v>0</v>
      </c>
      <c r="HD326">
        <v>0</v>
      </c>
      <c r="HE326">
        <v>0</v>
      </c>
      <c r="HF326">
        <v>0</v>
      </c>
      <c r="HG326">
        <v>0</v>
      </c>
      <c r="HH326">
        <v>0</v>
      </c>
      <c r="HI326">
        <v>0</v>
      </c>
      <c r="HJ326">
        <v>0</v>
      </c>
      <c r="HK326">
        <v>0</v>
      </c>
      <c r="HL326">
        <v>0</v>
      </c>
      <c r="HM326">
        <v>0</v>
      </c>
      <c r="HN326">
        <v>0</v>
      </c>
      <c r="HO326">
        <v>0</v>
      </c>
      <c r="HP326">
        <v>0</v>
      </c>
      <c r="HQ326">
        <v>0</v>
      </c>
      <c r="HR326">
        <v>0</v>
      </c>
      <c r="HS326">
        <v>0</v>
      </c>
      <c r="HT326">
        <v>0</v>
      </c>
      <c r="HU326">
        <v>0</v>
      </c>
      <c r="HV326">
        <v>0</v>
      </c>
      <c r="HW326">
        <v>0</v>
      </c>
      <c r="HX326">
        <v>0</v>
      </c>
      <c r="HY326">
        <v>0</v>
      </c>
      <c r="HZ326">
        <v>0</v>
      </c>
      <c r="IA326">
        <v>0</v>
      </c>
      <c r="IB326">
        <v>0</v>
      </c>
      <c r="IC326">
        <v>0</v>
      </c>
      <c r="ID326">
        <v>0</v>
      </c>
      <c r="IE326">
        <v>0</v>
      </c>
      <c r="IF326">
        <v>0</v>
      </c>
      <c r="IG326">
        <v>0</v>
      </c>
      <c r="IH326">
        <v>0</v>
      </c>
      <c r="II326">
        <v>0</v>
      </c>
      <c r="IJ326">
        <v>0</v>
      </c>
      <c r="IK326">
        <v>0</v>
      </c>
      <c r="IL326">
        <v>0</v>
      </c>
      <c r="IM326">
        <v>0</v>
      </c>
      <c r="IN326">
        <v>0</v>
      </c>
      <c r="IO326">
        <v>0</v>
      </c>
      <c r="IP326">
        <v>0</v>
      </c>
      <c r="IQ326">
        <v>0</v>
      </c>
      <c r="IR326">
        <v>0</v>
      </c>
      <c r="IS326">
        <v>0</v>
      </c>
      <c r="IT326">
        <v>0</v>
      </c>
      <c r="IU326">
        <v>0</v>
      </c>
      <c r="IV326">
        <v>0</v>
      </c>
      <c r="IW326">
        <v>0</v>
      </c>
      <c r="IX326">
        <v>0</v>
      </c>
      <c r="IY326">
        <v>0</v>
      </c>
      <c r="IZ326">
        <v>0</v>
      </c>
      <c r="JA326">
        <v>0</v>
      </c>
      <c r="JB326">
        <v>0</v>
      </c>
      <c r="JC326">
        <v>0</v>
      </c>
      <c r="JD326">
        <v>0</v>
      </c>
      <c r="JE326">
        <v>0</v>
      </c>
      <c r="JF326">
        <v>0</v>
      </c>
      <c r="JG326">
        <v>0</v>
      </c>
      <c r="JH326">
        <v>0</v>
      </c>
      <c r="JI326">
        <v>0</v>
      </c>
      <c r="JJ326">
        <v>0</v>
      </c>
      <c r="JK326">
        <v>0</v>
      </c>
      <c r="JL326">
        <v>0</v>
      </c>
      <c r="JM326">
        <v>0</v>
      </c>
      <c r="JN326">
        <v>0</v>
      </c>
      <c r="JO326">
        <v>0</v>
      </c>
      <c r="JP326">
        <v>0</v>
      </c>
      <c r="JQ326">
        <v>0</v>
      </c>
      <c r="JR326">
        <v>0</v>
      </c>
      <c r="JS326">
        <v>0</v>
      </c>
      <c r="JT326">
        <v>0</v>
      </c>
      <c r="JU326">
        <v>0</v>
      </c>
      <c r="JV326">
        <v>0</v>
      </c>
      <c r="JW326">
        <v>0</v>
      </c>
      <c r="JX326">
        <v>0</v>
      </c>
      <c r="JY326">
        <v>0</v>
      </c>
      <c r="JZ326">
        <v>0</v>
      </c>
      <c r="KA326">
        <v>0</v>
      </c>
      <c r="KB326">
        <v>0</v>
      </c>
      <c r="KC326">
        <v>0</v>
      </c>
      <c r="KD326">
        <v>0</v>
      </c>
      <c r="KE326">
        <v>0</v>
      </c>
      <c r="KF326">
        <v>0</v>
      </c>
      <c r="KG326">
        <v>0</v>
      </c>
      <c r="KH326">
        <v>0</v>
      </c>
      <c r="KI326">
        <v>0</v>
      </c>
      <c r="KJ326">
        <v>0</v>
      </c>
      <c r="KK326">
        <v>0</v>
      </c>
      <c r="KL326">
        <v>0</v>
      </c>
      <c r="KM326">
        <v>0</v>
      </c>
      <c r="KN326">
        <v>0</v>
      </c>
      <c r="KO326">
        <v>0</v>
      </c>
      <c r="KP326">
        <v>0</v>
      </c>
      <c r="KQ326">
        <v>0</v>
      </c>
      <c r="KR326">
        <v>0</v>
      </c>
      <c r="KS326">
        <v>0</v>
      </c>
      <c r="KT326">
        <v>0</v>
      </c>
      <c r="KU326">
        <v>0</v>
      </c>
      <c r="KV326">
        <v>0</v>
      </c>
      <c r="KW326">
        <v>0</v>
      </c>
      <c r="KX326">
        <v>0</v>
      </c>
      <c r="KY326">
        <v>0</v>
      </c>
      <c r="KZ326">
        <v>0</v>
      </c>
      <c r="LA326">
        <v>0</v>
      </c>
      <c r="LB326">
        <v>0</v>
      </c>
      <c r="LC326">
        <v>0</v>
      </c>
      <c r="LD326">
        <v>0</v>
      </c>
      <c r="LE326">
        <v>0</v>
      </c>
      <c r="LF326">
        <v>0</v>
      </c>
      <c r="LG326">
        <v>0</v>
      </c>
      <c r="LH326">
        <v>0</v>
      </c>
      <c r="LI326">
        <v>0</v>
      </c>
      <c r="LJ326">
        <v>0</v>
      </c>
      <c r="LK326">
        <v>0</v>
      </c>
      <c r="LL326">
        <v>0</v>
      </c>
      <c r="LM326">
        <v>0</v>
      </c>
      <c r="LN326">
        <v>0</v>
      </c>
      <c r="LO326">
        <v>0</v>
      </c>
      <c r="LP326">
        <v>0</v>
      </c>
      <c r="LQ326">
        <v>0</v>
      </c>
      <c r="LR326">
        <v>0</v>
      </c>
      <c r="LS326">
        <v>0</v>
      </c>
      <c r="LT326">
        <v>0</v>
      </c>
      <c r="LU326">
        <v>0</v>
      </c>
      <c r="LV326">
        <v>0</v>
      </c>
      <c r="LW326">
        <v>0</v>
      </c>
      <c r="LX326">
        <v>0</v>
      </c>
      <c r="LY326">
        <v>0</v>
      </c>
      <c r="LZ326">
        <v>0</v>
      </c>
      <c r="MA326">
        <v>0</v>
      </c>
      <c r="MB326">
        <v>0</v>
      </c>
      <c r="MC326">
        <v>0</v>
      </c>
      <c r="MD326">
        <v>0</v>
      </c>
      <c r="ME326">
        <v>0</v>
      </c>
      <c r="MF326">
        <v>0</v>
      </c>
      <c r="MG326">
        <v>0</v>
      </c>
      <c r="MH326">
        <v>0</v>
      </c>
      <c r="MI326">
        <v>0</v>
      </c>
      <c r="MJ326">
        <v>0</v>
      </c>
      <c r="MK326">
        <v>0</v>
      </c>
      <c r="ML326">
        <v>0</v>
      </c>
      <c r="MM326">
        <v>0</v>
      </c>
      <c r="MN326">
        <v>0</v>
      </c>
      <c r="MO326">
        <v>0</v>
      </c>
      <c r="MP326">
        <v>0</v>
      </c>
      <c r="MQ326">
        <v>0</v>
      </c>
      <c r="MR326">
        <v>0</v>
      </c>
      <c r="MS326">
        <v>0</v>
      </c>
      <c r="MT326">
        <v>0</v>
      </c>
      <c r="MU326">
        <v>0</v>
      </c>
      <c r="MV326">
        <v>0</v>
      </c>
      <c r="MW326">
        <v>0</v>
      </c>
      <c r="MX326">
        <v>0</v>
      </c>
      <c r="MY326">
        <v>0</v>
      </c>
      <c r="MZ326">
        <v>0</v>
      </c>
      <c r="NA326">
        <v>0</v>
      </c>
      <c r="NB326">
        <v>0</v>
      </c>
      <c r="NC326">
        <v>0</v>
      </c>
      <c r="ND326">
        <v>0</v>
      </c>
      <c r="NE326">
        <v>0</v>
      </c>
    </row>
    <row r="327" spans="41:369" x14ac:dyDescent="0.45">
      <c r="AO327">
        <v>0</v>
      </c>
      <c r="AP327">
        <v>0</v>
      </c>
      <c r="AQ327">
        <v>0</v>
      </c>
      <c r="AR327">
        <v>0</v>
      </c>
      <c r="AS327">
        <v>0</v>
      </c>
      <c r="AT327">
        <v>0</v>
      </c>
      <c r="AU327">
        <v>0</v>
      </c>
      <c r="AV327">
        <v>0</v>
      </c>
      <c r="AW327" t="str">
        <v/>
      </c>
      <c r="AX327">
        <v>255</v>
      </c>
      <c r="AY327" s="5" t="str">
        <v/>
      </c>
      <c r="AZ327">
        <v>0</v>
      </c>
      <c r="BA327">
        <v>0</v>
      </c>
      <c r="BB327">
        <v>0</v>
      </c>
      <c r="BC327">
        <v>0</v>
      </c>
      <c r="BD327">
        <v>0</v>
      </c>
      <c r="BE327">
        <v>0</v>
      </c>
      <c r="BF327">
        <v>0</v>
      </c>
      <c r="BG327">
        <v>0</v>
      </c>
      <c r="BH327">
        <v>0</v>
      </c>
      <c r="BI327" t="str">
        <v/>
      </c>
      <c r="BK327">
        <v>321</v>
      </c>
      <c r="BL327">
        <v>0</v>
      </c>
      <c r="BM327">
        <v>0</v>
      </c>
      <c r="BN327">
        <v>0</v>
      </c>
      <c r="BO327">
        <v>0</v>
      </c>
      <c r="BP327">
        <v>0</v>
      </c>
      <c r="BQ327">
        <v>0</v>
      </c>
      <c r="BR327">
        <v>0</v>
      </c>
      <c r="BS327">
        <v>0</v>
      </c>
      <c r="BT327">
        <v>0</v>
      </c>
      <c r="BU327">
        <v>0</v>
      </c>
      <c r="BV327">
        <v>0</v>
      </c>
      <c r="BW327">
        <v>0</v>
      </c>
      <c r="BX327">
        <v>0</v>
      </c>
      <c r="BY327">
        <v>0</v>
      </c>
      <c r="BZ327">
        <v>0</v>
      </c>
      <c r="CA327">
        <v>0</v>
      </c>
      <c r="CB327">
        <v>0</v>
      </c>
      <c r="CC327">
        <v>0</v>
      </c>
      <c r="CD327">
        <v>0</v>
      </c>
      <c r="CE327">
        <v>0</v>
      </c>
      <c r="CF327">
        <v>0</v>
      </c>
      <c r="CG327">
        <v>0</v>
      </c>
      <c r="CH327">
        <v>0</v>
      </c>
      <c r="CI327">
        <v>0</v>
      </c>
      <c r="CJ327">
        <v>0</v>
      </c>
      <c r="CK327">
        <v>0</v>
      </c>
      <c r="CL327">
        <v>0</v>
      </c>
      <c r="CM327">
        <v>0</v>
      </c>
      <c r="CN327">
        <v>0</v>
      </c>
      <c r="CO327">
        <v>0</v>
      </c>
      <c r="CP327">
        <v>0</v>
      </c>
      <c r="CQ327">
        <v>0</v>
      </c>
      <c r="CR327">
        <v>0</v>
      </c>
      <c r="CS327">
        <v>0</v>
      </c>
      <c r="CT327">
        <v>0</v>
      </c>
      <c r="CU327">
        <v>0</v>
      </c>
      <c r="CV327">
        <v>0</v>
      </c>
      <c r="CW327">
        <v>0</v>
      </c>
      <c r="CX327">
        <v>0</v>
      </c>
      <c r="CY327">
        <v>0</v>
      </c>
      <c r="CZ327">
        <v>0</v>
      </c>
      <c r="DA327">
        <v>0</v>
      </c>
      <c r="DB327">
        <v>0</v>
      </c>
      <c r="DC327">
        <v>0</v>
      </c>
      <c r="DD327">
        <v>0</v>
      </c>
      <c r="DE327">
        <v>0</v>
      </c>
      <c r="DF327">
        <v>0</v>
      </c>
      <c r="DG327">
        <v>0</v>
      </c>
      <c r="DH327">
        <v>0</v>
      </c>
      <c r="DI327">
        <v>0</v>
      </c>
      <c r="DJ327">
        <v>0</v>
      </c>
      <c r="DK327">
        <v>0</v>
      </c>
      <c r="DL327">
        <v>0</v>
      </c>
      <c r="DM327">
        <v>0</v>
      </c>
      <c r="DN327">
        <v>0</v>
      </c>
      <c r="DO327">
        <v>0</v>
      </c>
      <c r="DP327">
        <v>0</v>
      </c>
      <c r="DQ327">
        <v>0</v>
      </c>
      <c r="DR327">
        <v>0</v>
      </c>
      <c r="DS327">
        <v>0</v>
      </c>
      <c r="DT327">
        <v>0</v>
      </c>
      <c r="DU327">
        <v>0</v>
      </c>
      <c r="DV327">
        <v>0</v>
      </c>
      <c r="DW327">
        <v>0</v>
      </c>
      <c r="DX327">
        <v>0</v>
      </c>
      <c r="DY327">
        <v>0</v>
      </c>
      <c r="DZ327">
        <v>0</v>
      </c>
      <c r="EA327">
        <v>0</v>
      </c>
      <c r="EB327">
        <v>0</v>
      </c>
      <c r="EC327">
        <v>0</v>
      </c>
      <c r="ED327">
        <v>0</v>
      </c>
      <c r="EE327">
        <v>0</v>
      </c>
      <c r="EF327">
        <v>0</v>
      </c>
      <c r="EG327">
        <v>0</v>
      </c>
      <c r="EH327">
        <v>0</v>
      </c>
      <c r="EI327">
        <v>0</v>
      </c>
      <c r="EJ327">
        <v>0</v>
      </c>
      <c r="EK327">
        <v>0</v>
      </c>
      <c r="EL327">
        <v>0</v>
      </c>
      <c r="EM327">
        <v>0</v>
      </c>
      <c r="EN327">
        <v>0</v>
      </c>
      <c r="EO327">
        <v>0</v>
      </c>
      <c r="EP327">
        <v>0</v>
      </c>
      <c r="EQ327">
        <v>0</v>
      </c>
      <c r="ER327">
        <v>0</v>
      </c>
      <c r="ES327">
        <v>0</v>
      </c>
      <c r="ET327">
        <v>0</v>
      </c>
      <c r="EU327">
        <v>0</v>
      </c>
      <c r="EV327">
        <v>0</v>
      </c>
      <c r="EW327">
        <v>0</v>
      </c>
      <c r="EX327">
        <v>0</v>
      </c>
      <c r="EY327">
        <v>0</v>
      </c>
      <c r="EZ327">
        <v>0</v>
      </c>
      <c r="FA327">
        <v>0</v>
      </c>
      <c r="FB327">
        <v>0</v>
      </c>
      <c r="FC327">
        <v>0</v>
      </c>
      <c r="FD327">
        <v>0</v>
      </c>
      <c r="FE327">
        <v>0</v>
      </c>
      <c r="FF327">
        <v>0</v>
      </c>
      <c r="FG327">
        <v>0</v>
      </c>
      <c r="FH327">
        <v>0</v>
      </c>
      <c r="FI327">
        <v>0</v>
      </c>
      <c r="FJ327">
        <v>0</v>
      </c>
      <c r="FK327">
        <v>0</v>
      </c>
      <c r="FL327">
        <v>0</v>
      </c>
      <c r="FM327">
        <v>0</v>
      </c>
      <c r="FN327">
        <v>0</v>
      </c>
      <c r="FO327">
        <v>0</v>
      </c>
      <c r="FP327">
        <v>0</v>
      </c>
      <c r="FQ327">
        <v>0</v>
      </c>
      <c r="FR327">
        <v>0</v>
      </c>
      <c r="FS327">
        <v>0</v>
      </c>
      <c r="FT327">
        <v>0</v>
      </c>
      <c r="FU327">
        <v>0</v>
      </c>
      <c r="FV327">
        <v>0</v>
      </c>
      <c r="FW327">
        <v>0</v>
      </c>
      <c r="FX327">
        <v>0</v>
      </c>
      <c r="FY327">
        <v>0</v>
      </c>
      <c r="FZ327">
        <v>0</v>
      </c>
      <c r="GA327">
        <v>0</v>
      </c>
      <c r="GB327">
        <v>0</v>
      </c>
      <c r="GC327">
        <v>0</v>
      </c>
      <c r="GD327">
        <v>0</v>
      </c>
      <c r="GE327">
        <v>0</v>
      </c>
      <c r="GF327">
        <v>0</v>
      </c>
      <c r="GG327">
        <v>0</v>
      </c>
      <c r="GH327">
        <v>0</v>
      </c>
      <c r="GI327">
        <v>0</v>
      </c>
      <c r="GJ327">
        <v>0</v>
      </c>
      <c r="GK327">
        <v>0</v>
      </c>
      <c r="GL327">
        <v>0</v>
      </c>
      <c r="GM327">
        <v>0</v>
      </c>
      <c r="GN327">
        <v>0</v>
      </c>
      <c r="GO327">
        <v>0</v>
      </c>
      <c r="GP327">
        <v>0</v>
      </c>
      <c r="GQ327">
        <v>0</v>
      </c>
      <c r="GR327">
        <v>0</v>
      </c>
      <c r="GS327">
        <v>0</v>
      </c>
      <c r="GT327">
        <v>0</v>
      </c>
      <c r="GU327">
        <v>0</v>
      </c>
      <c r="GV327">
        <v>0</v>
      </c>
      <c r="GW327">
        <v>0</v>
      </c>
      <c r="GX327">
        <v>0</v>
      </c>
      <c r="GY327">
        <v>0</v>
      </c>
      <c r="GZ327">
        <v>0</v>
      </c>
      <c r="HA327">
        <v>0</v>
      </c>
      <c r="HB327">
        <v>0</v>
      </c>
      <c r="HC327">
        <v>0</v>
      </c>
      <c r="HD327">
        <v>0</v>
      </c>
      <c r="HE327">
        <v>0</v>
      </c>
      <c r="HF327">
        <v>0</v>
      </c>
      <c r="HG327">
        <v>0</v>
      </c>
      <c r="HH327">
        <v>0</v>
      </c>
      <c r="HI327">
        <v>0</v>
      </c>
      <c r="HJ327">
        <v>0</v>
      </c>
      <c r="HK327">
        <v>0</v>
      </c>
      <c r="HL327">
        <v>0</v>
      </c>
      <c r="HM327">
        <v>0</v>
      </c>
      <c r="HN327">
        <v>0</v>
      </c>
      <c r="HO327">
        <v>0</v>
      </c>
      <c r="HP327">
        <v>0</v>
      </c>
      <c r="HQ327">
        <v>0</v>
      </c>
      <c r="HR327">
        <v>0</v>
      </c>
      <c r="HS327">
        <v>0</v>
      </c>
      <c r="HT327">
        <v>0</v>
      </c>
      <c r="HU327">
        <v>0</v>
      </c>
      <c r="HV327">
        <v>0</v>
      </c>
      <c r="HW327">
        <v>0</v>
      </c>
      <c r="HX327">
        <v>0</v>
      </c>
      <c r="HY327">
        <v>0</v>
      </c>
      <c r="HZ327">
        <v>0</v>
      </c>
      <c r="IA327">
        <v>0</v>
      </c>
      <c r="IB327">
        <v>0</v>
      </c>
      <c r="IC327">
        <v>0</v>
      </c>
      <c r="ID327">
        <v>0</v>
      </c>
      <c r="IE327">
        <v>0</v>
      </c>
      <c r="IF327">
        <v>0</v>
      </c>
      <c r="IG327">
        <v>0</v>
      </c>
      <c r="IH327">
        <v>0</v>
      </c>
      <c r="II327">
        <v>0</v>
      </c>
      <c r="IJ327">
        <v>0</v>
      </c>
      <c r="IK327">
        <v>0</v>
      </c>
      <c r="IL327">
        <v>0</v>
      </c>
      <c r="IM327">
        <v>0</v>
      </c>
      <c r="IN327">
        <v>0</v>
      </c>
      <c r="IO327">
        <v>0</v>
      </c>
      <c r="IP327">
        <v>0</v>
      </c>
      <c r="IQ327">
        <v>0</v>
      </c>
      <c r="IR327">
        <v>0</v>
      </c>
      <c r="IS327">
        <v>0</v>
      </c>
      <c r="IT327">
        <v>0</v>
      </c>
      <c r="IU327">
        <v>0</v>
      </c>
      <c r="IV327">
        <v>0</v>
      </c>
      <c r="IW327">
        <v>0</v>
      </c>
      <c r="IX327">
        <v>0</v>
      </c>
      <c r="IY327">
        <v>0</v>
      </c>
      <c r="IZ327">
        <v>0</v>
      </c>
      <c r="JA327">
        <v>0</v>
      </c>
      <c r="JB327">
        <v>0</v>
      </c>
      <c r="JC327">
        <v>0</v>
      </c>
      <c r="JD327">
        <v>0</v>
      </c>
      <c r="JE327">
        <v>0</v>
      </c>
      <c r="JF327">
        <v>0</v>
      </c>
      <c r="JG327">
        <v>0</v>
      </c>
      <c r="JH327">
        <v>0</v>
      </c>
      <c r="JI327">
        <v>0</v>
      </c>
      <c r="JJ327">
        <v>0</v>
      </c>
      <c r="JK327">
        <v>0</v>
      </c>
      <c r="JL327">
        <v>0</v>
      </c>
      <c r="JM327">
        <v>0</v>
      </c>
      <c r="JN327">
        <v>0</v>
      </c>
      <c r="JO327">
        <v>0</v>
      </c>
      <c r="JP327">
        <v>0</v>
      </c>
      <c r="JQ327">
        <v>0</v>
      </c>
      <c r="JR327">
        <v>0</v>
      </c>
      <c r="JS327">
        <v>0</v>
      </c>
      <c r="JT327">
        <v>0</v>
      </c>
      <c r="JU327">
        <v>0</v>
      </c>
      <c r="JV327">
        <v>0</v>
      </c>
      <c r="JW327">
        <v>0</v>
      </c>
      <c r="JX327">
        <v>0</v>
      </c>
      <c r="JY327">
        <v>0</v>
      </c>
      <c r="JZ327">
        <v>0</v>
      </c>
      <c r="KA327">
        <v>0</v>
      </c>
      <c r="KB327">
        <v>0</v>
      </c>
      <c r="KC327">
        <v>0</v>
      </c>
      <c r="KD327">
        <v>0</v>
      </c>
      <c r="KE327">
        <v>0</v>
      </c>
      <c r="KF327">
        <v>0</v>
      </c>
      <c r="KG327">
        <v>0</v>
      </c>
      <c r="KH327">
        <v>0</v>
      </c>
      <c r="KI327">
        <v>0</v>
      </c>
      <c r="KJ327">
        <v>0</v>
      </c>
      <c r="KK327">
        <v>0</v>
      </c>
      <c r="KL327">
        <v>0</v>
      </c>
      <c r="KM327">
        <v>0</v>
      </c>
      <c r="KN327">
        <v>0</v>
      </c>
      <c r="KO327">
        <v>0</v>
      </c>
      <c r="KP327">
        <v>0</v>
      </c>
      <c r="KQ327">
        <v>0</v>
      </c>
      <c r="KR327">
        <v>0</v>
      </c>
      <c r="KS327">
        <v>0</v>
      </c>
      <c r="KT327">
        <v>0</v>
      </c>
      <c r="KU327">
        <v>0</v>
      </c>
      <c r="KV327">
        <v>0</v>
      </c>
      <c r="KW327">
        <v>0</v>
      </c>
      <c r="KX327">
        <v>0</v>
      </c>
      <c r="KY327">
        <v>0</v>
      </c>
      <c r="KZ327">
        <v>0</v>
      </c>
      <c r="LA327">
        <v>0</v>
      </c>
      <c r="LB327">
        <v>0</v>
      </c>
      <c r="LC327">
        <v>0</v>
      </c>
      <c r="LD327">
        <v>0</v>
      </c>
      <c r="LE327">
        <v>0</v>
      </c>
      <c r="LF327">
        <v>0</v>
      </c>
      <c r="LG327">
        <v>0</v>
      </c>
      <c r="LH327">
        <v>0</v>
      </c>
      <c r="LI327">
        <v>0</v>
      </c>
      <c r="LJ327">
        <v>0</v>
      </c>
      <c r="LK327">
        <v>0</v>
      </c>
      <c r="LL327">
        <v>0</v>
      </c>
      <c r="LM327">
        <v>0</v>
      </c>
      <c r="LN327">
        <v>0</v>
      </c>
      <c r="LO327">
        <v>0</v>
      </c>
      <c r="LP327">
        <v>0</v>
      </c>
      <c r="LQ327">
        <v>0</v>
      </c>
      <c r="LR327">
        <v>0</v>
      </c>
      <c r="LS327">
        <v>0</v>
      </c>
      <c r="LT327">
        <v>0</v>
      </c>
      <c r="LU327">
        <v>0</v>
      </c>
      <c r="LV327">
        <v>0</v>
      </c>
      <c r="LW327">
        <v>0</v>
      </c>
      <c r="LX327">
        <v>0</v>
      </c>
      <c r="LY327">
        <v>0</v>
      </c>
      <c r="LZ327">
        <v>0</v>
      </c>
      <c r="MA327">
        <v>0</v>
      </c>
      <c r="MB327">
        <v>0</v>
      </c>
      <c r="MC327">
        <v>0</v>
      </c>
      <c r="MD327">
        <v>0</v>
      </c>
      <c r="ME327">
        <v>0</v>
      </c>
      <c r="MF327">
        <v>0</v>
      </c>
      <c r="MG327">
        <v>0</v>
      </c>
      <c r="MH327">
        <v>0</v>
      </c>
      <c r="MI327">
        <v>0</v>
      </c>
      <c r="MJ327">
        <v>0</v>
      </c>
      <c r="MK327">
        <v>0</v>
      </c>
      <c r="ML327">
        <v>0</v>
      </c>
      <c r="MM327">
        <v>0</v>
      </c>
      <c r="MN327">
        <v>0</v>
      </c>
      <c r="MO327">
        <v>0</v>
      </c>
      <c r="MP327">
        <v>0</v>
      </c>
      <c r="MQ327">
        <v>0</v>
      </c>
      <c r="MR327">
        <v>0</v>
      </c>
      <c r="MS327">
        <v>0</v>
      </c>
      <c r="MT327">
        <v>0</v>
      </c>
      <c r="MU327">
        <v>0</v>
      </c>
      <c r="MV327">
        <v>0</v>
      </c>
      <c r="MW327">
        <v>0</v>
      </c>
      <c r="MX327">
        <v>0</v>
      </c>
      <c r="MY327">
        <v>0</v>
      </c>
      <c r="MZ327">
        <v>0</v>
      </c>
      <c r="NA327">
        <v>0</v>
      </c>
      <c r="NB327">
        <v>0</v>
      </c>
      <c r="NC327">
        <v>0</v>
      </c>
      <c r="ND327">
        <v>0</v>
      </c>
      <c r="NE327">
        <v>0</v>
      </c>
    </row>
    <row r="328" spans="41:369" x14ac:dyDescent="0.45">
      <c r="AO328">
        <v>0</v>
      </c>
      <c r="AP328">
        <v>0</v>
      </c>
      <c r="AQ328">
        <v>0</v>
      </c>
      <c r="AR328">
        <v>0</v>
      </c>
      <c r="AS328">
        <v>0</v>
      </c>
      <c r="AT328">
        <v>0</v>
      </c>
      <c r="AU328">
        <v>0</v>
      </c>
      <c r="AV328">
        <v>0</v>
      </c>
      <c r="AW328" t="str">
        <v/>
      </c>
      <c r="AX328">
        <v>255</v>
      </c>
      <c r="AY328" s="5" t="str">
        <v/>
      </c>
      <c r="AZ328">
        <v>0</v>
      </c>
      <c r="BA328">
        <v>0</v>
      </c>
      <c r="BB328">
        <v>0</v>
      </c>
      <c r="BC328">
        <v>0</v>
      </c>
      <c r="BD328">
        <v>0</v>
      </c>
      <c r="BE328">
        <v>0</v>
      </c>
      <c r="BF328">
        <v>0</v>
      </c>
      <c r="BG328">
        <v>0</v>
      </c>
      <c r="BH328">
        <v>0</v>
      </c>
      <c r="BI328" t="str">
        <v/>
      </c>
      <c r="BK328">
        <v>322</v>
      </c>
      <c r="BL328">
        <v>0</v>
      </c>
      <c r="BM328">
        <v>0</v>
      </c>
      <c r="BN328">
        <v>0</v>
      </c>
      <c r="BO328">
        <v>0</v>
      </c>
      <c r="BP328">
        <v>0</v>
      </c>
      <c r="BQ328">
        <v>0</v>
      </c>
      <c r="BR328">
        <v>0</v>
      </c>
      <c r="BS328">
        <v>0</v>
      </c>
      <c r="BT328">
        <v>0</v>
      </c>
      <c r="BU328">
        <v>0</v>
      </c>
      <c r="BV328">
        <v>0</v>
      </c>
      <c r="BW328">
        <v>0</v>
      </c>
      <c r="BX328">
        <v>0</v>
      </c>
      <c r="BY328">
        <v>0</v>
      </c>
      <c r="BZ328">
        <v>0</v>
      </c>
      <c r="CA328">
        <v>0</v>
      </c>
      <c r="CB328">
        <v>0</v>
      </c>
      <c r="CC328">
        <v>0</v>
      </c>
      <c r="CD328">
        <v>0</v>
      </c>
      <c r="CE328">
        <v>0</v>
      </c>
      <c r="CF328">
        <v>0</v>
      </c>
      <c r="CG328">
        <v>0</v>
      </c>
      <c r="CH328">
        <v>0</v>
      </c>
      <c r="CI328">
        <v>0</v>
      </c>
      <c r="CJ328">
        <v>0</v>
      </c>
      <c r="CK328">
        <v>0</v>
      </c>
      <c r="CL328">
        <v>0</v>
      </c>
      <c r="CM328">
        <v>0</v>
      </c>
      <c r="CN328">
        <v>0</v>
      </c>
      <c r="CO328">
        <v>0</v>
      </c>
      <c r="CP328">
        <v>0</v>
      </c>
      <c r="CQ328">
        <v>0</v>
      </c>
      <c r="CR328">
        <v>0</v>
      </c>
      <c r="CS328">
        <v>0</v>
      </c>
      <c r="CT328">
        <v>0</v>
      </c>
      <c r="CU328">
        <v>0</v>
      </c>
      <c r="CV328">
        <v>0</v>
      </c>
      <c r="CW328">
        <v>0</v>
      </c>
      <c r="CX328">
        <v>0</v>
      </c>
      <c r="CY328">
        <v>0</v>
      </c>
      <c r="CZ328">
        <v>0</v>
      </c>
      <c r="DA328">
        <v>0</v>
      </c>
      <c r="DB328">
        <v>0</v>
      </c>
      <c r="DC328">
        <v>0</v>
      </c>
      <c r="DD328">
        <v>0</v>
      </c>
      <c r="DE328">
        <v>0</v>
      </c>
      <c r="DF328">
        <v>0</v>
      </c>
      <c r="DG328">
        <v>0</v>
      </c>
      <c r="DH328">
        <v>0</v>
      </c>
      <c r="DI328">
        <v>0</v>
      </c>
      <c r="DJ328">
        <v>0</v>
      </c>
      <c r="DK328">
        <v>0</v>
      </c>
      <c r="DL328">
        <v>0</v>
      </c>
      <c r="DM328">
        <v>0</v>
      </c>
      <c r="DN328">
        <v>0</v>
      </c>
      <c r="DO328">
        <v>0</v>
      </c>
      <c r="DP328">
        <v>0</v>
      </c>
      <c r="DQ328">
        <v>0</v>
      </c>
      <c r="DR328">
        <v>0</v>
      </c>
      <c r="DS328">
        <v>0</v>
      </c>
      <c r="DT328">
        <v>0</v>
      </c>
      <c r="DU328">
        <v>0</v>
      </c>
      <c r="DV328">
        <v>0</v>
      </c>
      <c r="DW328">
        <v>0</v>
      </c>
      <c r="DX328">
        <v>0</v>
      </c>
      <c r="DY328">
        <v>0</v>
      </c>
      <c r="DZ328">
        <v>0</v>
      </c>
      <c r="EA328">
        <v>0</v>
      </c>
      <c r="EB328">
        <v>0</v>
      </c>
      <c r="EC328">
        <v>0</v>
      </c>
      <c r="ED328">
        <v>0</v>
      </c>
      <c r="EE328">
        <v>0</v>
      </c>
      <c r="EF328">
        <v>0</v>
      </c>
      <c r="EG328">
        <v>0</v>
      </c>
      <c r="EH328">
        <v>0</v>
      </c>
      <c r="EI328">
        <v>0</v>
      </c>
      <c r="EJ328">
        <v>0</v>
      </c>
      <c r="EK328">
        <v>0</v>
      </c>
      <c r="EL328">
        <v>0</v>
      </c>
      <c r="EM328">
        <v>0</v>
      </c>
      <c r="EN328">
        <v>0</v>
      </c>
      <c r="EO328">
        <v>0</v>
      </c>
      <c r="EP328">
        <v>0</v>
      </c>
      <c r="EQ328">
        <v>0</v>
      </c>
      <c r="ER328">
        <v>0</v>
      </c>
      <c r="ES328">
        <v>0</v>
      </c>
      <c r="ET328">
        <v>0</v>
      </c>
      <c r="EU328">
        <v>0</v>
      </c>
      <c r="EV328">
        <v>0</v>
      </c>
      <c r="EW328">
        <v>0</v>
      </c>
      <c r="EX328">
        <v>0</v>
      </c>
      <c r="EY328">
        <v>0</v>
      </c>
      <c r="EZ328">
        <v>0</v>
      </c>
      <c r="FA328">
        <v>0</v>
      </c>
      <c r="FB328">
        <v>0</v>
      </c>
      <c r="FC328">
        <v>0</v>
      </c>
      <c r="FD328">
        <v>0</v>
      </c>
      <c r="FE328">
        <v>0</v>
      </c>
      <c r="FF328">
        <v>0</v>
      </c>
      <c r="FG328">
        <v>0</v>
      </c>
      <c r="FH328">
        <v>0</v>
      </c>
      <c r="FI328">
        <v>0</v>
      </c>
      <c r="FJ328">
        <v>0</v>
      </c>
      <c r="FK328">
        <v>0</v>
      </c>
      <c r="FL328">
        <v>0</v>
      </c>
      <c r="FM328">
        <v>0</v>
      </c>
      <c r="FN328">
        <v>0</v>
      </c>
      <c r="FO328">
        <v>0</v>
      </c>
      <c r="FP328">
        <v>0</v>
      </c>
      <c r="FQ328">
        <v>0</v>
      </c>
      <c r="FR328">
        <v>0</v>
      </c>
      <c r="FS328">
        <v>0</v>
      </c>
      <c r="FT328">
        <v>0</v>
      </c>
      <c r="FU328">
        <v>0</v>
      </c>
      <c r="FV328">
        <v>0</v>
      </c>
      <c r="FW328">
        <v>0</v>
      </c>
      <c r="FX328">
        <v>0</v>
      </c>
      <c r="FY328">
        <v>0</v>
      </c>
      <c r="FZ328">
        <v>0</v>
      </c>
      <c r="GA328">
        <v>0</v>
      </c>
      <c r="GB328">
        <v>0</v>
      </c>
      <c r="GC328">
        <v>0</v>
      </c>
      <c r="GD328">
        <v>0</v>
      </c>
      <c r="GE328">
        <v>0</v>
      </c>
      <c r="GF328">
        <v>0</v>
      </c>
      <c r="GG328">
        <v>0</v>
      </c>
      <c r="GH328">
        <v>0</v>
      </c>
      <c r="GI328">
        <v>0</v>
      </c>
      <c r="GJ328">
        <v>0</v>
      </c>
      <c r="GK328">
        <v>0</v>
      </c>
      <c r="GL328">
        <v>0</v>
      </c>
      <c r="GM328">
        <v>0</v>
      </c>
      <c r="GN328">
        <v>0</v>
      </c>
      <c r="GO328">
        <v>0</v>
      </c>
      <c r="GP328">
        <v>0</v>
      </c>
      <c r="GQ328">
        <v>0</v>
      </c>
      <c r="GR328">
        <v>0</v>
      </c>
      <c r="GS328">
        <v>0</v>
      </c>
      <c r="GT328">
        <v>0</v>
      </c>
      <c r="GU328">
        <v>0</v>
      </c>
      <c r="GV328">
        <v>0</v>
      </c>
      <c r="GW328">
        <v>0</v>
      </c>
      <c r="GX328">
        <v>0</v>
      </c>
      <c r="GY328">
        <v>0</v>
      </c>
      <c r="GZ328">
        <v>0</v>
      </c>
      <c r="HA328">
        <v>0</v>
      </c>
      <c r="HB328">
        <v>0</v>
      </c>
      <c r="HC328">
        <v>0</v>
      </c>
      <c r="HD328">
        <v>0</v>
      </c>
      <c r="HE328">
        <v>0</v>
      </c>
      <c r="HF328">
        <v>0</v>
      </c>
      <c r="HG328">
        <v>0</v>
      </c>
      <c r="HH328">
        <v>0</v>
      </c>
      <c r="HI328">
        <v>0</v>
      </c>
      <c r="HJ328">
        <v>0</v>
      </c>
      <c r="HK328">
        <v>0</v>
      </c>
      <c r="HL328">
        <v>0</v>
      </c>
      <c r="HM328">
        <v>0</v>
      </c>
      <c r="HN328">
        <v>0</v>
      </c>
      <c r="HO328">
        <v>0</v>
      </c>
      <c r="HP328">
        <v>0</v>
      </c>
      <c r="HQ328">
        <v>0</v>
      </c>
      <c r="HR328">
        <v>0</v>
      </c>
      <c r="HS328">
        <v>0</v>
      </c>
      <c r="HT328">
        <v>0</v>
      </c>
      <c r="HU328">
        <v>0</v>
      </c>
      <c r="HV328">
        <v>0</v>
      </c>
      <c r="HW328">
        <v>0</v>
      </c>
      <c r="HX328">
        <v>0</v>
      </c>
      <c r="HY328">
        <v>0</v>
      </c>
      <c r="HZ328">
        <v>0</v>
      </c>
      <c r="IA328">
        <v>0</v>
      </c>
      <c r="IB328">
        <v>0</v>
      </c>
      <c r="IC328">
        <v>0</v>
      </c>
      <c r="ID328">
        <v>0</v>
      </c>
      <c r="IE328">
        <v>0</v>
      </c>
      <c r="IF328">
        <v>0</v>
      </c>
      <c r="IG328">
        <v>0</v>
      </c>
      <c r="IH328">
        <v>0</v>
      </c>
      <c r="II328">
        <v>0</v>
      </c>
      <c r="IJ328">
        <v>0</v>
      </c>
      <c r="IK328">
        <v>0</v>
      </c>
      <c r="IL328">
        <v>0</v>
      </c>
      <c r="IM328">
        <v>0</v>
      </c>
      <c r="IN328">
        <v>0</v>
      </c>
      <c r="IO328">
        <v>0</v>
      </c>
      <c r="IP328">
        <v>0</v>
      </c>
      <c r="IQ328">
        <v>0</v>
      </c>
      <c r="IR328">
        <v>0</v>
      </c>
      <c r="IS328">
        <v>0</v>
      </c>
      <c r="IT328">
        <v>0</v>
      </c>
      <c r="IU328">
        <v>0</v>
      </c>
      <c r="IV328">
        <v>0</v>
      </c>
      <c r="IW328">
        <v>0</v>
      </c>
      <c r="IX328">
        <v>0</v>
      </c>
      <c r="IY328">
        <v>0</v>
      </c>
      <c r="IZ328">
        <v>0</v>
      </c>
      <c r="JA328">
        <v>0</v>
      </c>
      <c r="JB328">
        <v>0</v>
      </c>
      <c r="JC328">
        <v>0</v>
      </c>
      <c r="JD328">
        <v>0</v>
      </c>
      <c r="JE328">
        <v>0</v>
      </c>
      <c r="JF328">
        <v>0</v>
      </c>
      <c r="JG328">
        <v>0</v>
      </c>
      <c r="JH328">
        <v>0</v>
      </c>
      <c r="JI328">
        <v>0</v>
      </c>
      <c r="JJ328">
        <v>0</v>
      </c>
      <c r="JK328">
        <v>0</v>
      </c>
      <c r="JL328">
        <v>0</v>
      </c>
      <c r="JM328">
        <v>0</v>
      </c>
      <c r="JN328">
        <v>0</v>
      </c>
      <c r="JO328">
        <v>0</v>
      </c>
      <c r="JP328">
        <v>0</v>
      </c>
      <c r="JQ328">
        <v>0</v>
      </c>
      <c r="JR328">
        <v>0</v>
      </c>
      <c r="JS328">
        <v>0</v>
      </c>
      <c r="JT328">
        <v>0</v>
      </c>
      <c r="JU328">
        <v>0</v>
      </c>
      <c r="JV328">
        <v>0</v>
      </c>
      <c r="JW328">
        <v>0</v>
      </c>
      <c r="JX328">
        <v>0</v>
      </c>
      <c r="JY328">
        <v>0</v>
      </c>
      <c r="JZ328">
        <v>0</v>
      </c>
      <c r="KA328">
        <v>0</v>
      </c>
      <c r="KB328">
        <v>0</v>
      </c>
      <c r="KC328">
        <v>0</v>
      </c>
      <c r="KD328">
        <v>0</v>
      </c>
      <c r="KE328">
        <v>0</v>
      </c>
      <c r="KF328">
        <v>0</v>
      </c>
      <c r="KG328">
        <v>0</v>
      </c>
      <c r="KH328">
        <v>0</v>
      </c>
      <c r="KI328">
        <v>0</v>
      </c>
      <c r="KJ328">
        <v>0</v>
      </c>
      <c r="KK328">
        <v>0</v>
      </c>
      <c r="KL328">
        <v>0</v>
      </c>
      <c r="KM328">
        <v>0</v>
      </c>
      <c r="KN328">
        <v>0</v>
      </c>
      <c r="KO328">
        <v>0</v>
      </c>
      <c r="KP328">
        <v>0</v>
      </c>
      <c r="KQ328">
        <v>0</v>
      </c>
      <c r="KR328">
        <v>0</v>
      </c>
      <c r="KS328">
        <v>0</v>
      </c>
      <c r="KT328">
        <v>0</v>
      </c>
      <c r="KU328">
        <v>0</v>
      </c>
      <c r="KV328">
        <v>0</v>
      </c>
      <c r="KW328">
        <v>0</v>
      </c>
      <c r="KX328">
        <v>0</v>
      </c>
      <c r="KY328">
        <v>0</v>
      </c>
      <c r="KZ328">
        <v>0</v>
      </c>
      <c r="LA328">
        <v>0</v>
      </c>
      <c r="LB328">
        <v>0</v>
      </c>
      <c r="LC328">
        <v>0</v>
      </c>
      <c r="LD328">
        <v>0</v>
      </c>
      <c r="LE328">
        <v>0</v>
      </c>
      <c r="LF328">
        <v>0</v>
      </c>
      <c r="LG328">
        <v>0</v>
      </c>
      <c r="LH328">
        <v>0</v>
      </c>
      <c r="LI328">
        <v>0</v>
      </c>
      <c r="LJ328">
        <v>0</v>
      </c>
      <c r="LK328">
        <v>0</v>
      </c>
      <c r="LL328">
        <v>0</v>
      </c>
      <c r="LM328">
        <v>0</v>
      </c>
      <c r="LN328">
        <v>0</v>
      </c>
      <c r="LO328">
        <v>0</v>
      </c>
      <c r="LP328">
        <v>0</v>
      </c>
      <c r="LQ328">
        <v>0</v>
      </c>
      <c r="LR328">
        <v>0</v>
      </c>
      <c r="LS328">
        <v>0</v>
      </c>
      <c r="LT328">
        <v>0</v>
      </c>
      <c r="LU328">
        <v>0</v>
      </c>
      <c r="LV328">
        <v>0</v>
      </c>
      <c r="LW328">
        <v>0</v>
      </c>
      <c r="LX328">
        <v>0</v>
      </c>
      <c r="LY328">
        <v>0</v>
      </c>
      <c r="LZ328">
        <v>0</v>
      </c>
      <c r="MA328">
        <v>0</v>
      </c>
      <c r="MB328">
        <v>0</v>
      </c>
      <c r="MC328">
        <v>0</v>
      </c>
      <c r="MD328">
        <v>0</v>
      </c>
      <c r="ME328">
        <v>0</v>
      </c>
      <c r="MF328">
        <v>0</v>
      </c>
      <c r="MG328">
        <v>0</v>
      </c>
      <c r="MH328">
        <v>0</v>
      </c>
      <c r="MI328">
        <v>0</v>
      </c>
      <c r="MJ328">
        <v>0</v>
      </c>
      <c r="MK328">
        <v>0</v>
      </c>
      <c r="ML328">
        <v>0</v>
      </c>
      <c r="MM328">
        <v>0</v>
      </c>
      <c r="MN328">
        <v>0</v>
      </c>
      <c r="MO328">
        <v>0</v>
      </c>
      <c r="MP328">
        <v>0</v>
      </c>
      <c r="MQ328">
        <v>0</v>
      </c>
      <c r="MR328">
        <v>0</v>
      </c>
      <c r="MS328">
        <v>0</v>
      </c>
      <c r="MT328">
        <v>0</v>
      </c>
      <c r="MU328">
        <v>0</v>
      </c>
      <c r="MV328">
        <v>0</v>
      </c>
      <c r="MW328">
        <v>0</v>
      </c>
      <c r="MX328">
        <v>0</v>
      </c>
      <c r="MY328">
        <v>0</v>
      </c>
      <c r="MZ328">
        <v>0</v>
      </c>
      <c r="NA328">
        <v>0</v>
      </c>
      <c r="NB328">
        <v>0</v>
      </c>
      <c r="NC328">
        <v>0</v>
      </c>
      <c r="ND328">
        <v>0</v>
      </c>
      <c r="NE328">
        <v>0</v>
      </c>
    </row>
    <row r="329" spans="41:369" x14ac:dyDescent="0.45">
      <c r="AO329">
        <v>0</v>
      </c>
      <c r="AP329">
        <v>0</v>
      </c>
      <c r="AQ329">
        <v>0</v>
      </c>
      <c r="AR329">
        <v>0</v>
      </c>
      <c r="AS329">
        <v>0</v>
      </c>
      <c r="AT329">
        <v>0</v>
      </c>
      <c r="AU329">
        <v>0</v>
      </c>
      <c r="AV329">
        <v>0</v>
      </c>
      <c r="AW329" t="str">
        <v/>
      </c>
      <c r="AX329">
        <v>255</v>
      </c>
      <c r="AY329" s="5" t="str">
        <v/>
      </c>
      <c r="AZ329">
        <v>0</v>
      </c>
      <c r="BA329">
        <v>0</v>
      </c>
      <c r="BB329">
        <v>0</v>
      </c>
      <c r="BC329">
        <v>0</v>
      </c>
      <c r="BD329">
        <v>0</v>
      </c>
      <c r="BE329">
        <v>0</v>
      </c>
      <c r="BF329">
        <v>0</v>
      </c>
      <c r="BG329">
        <v>0</v>
      </c>
      <c r="BH329">
        <v>0</v>
      </c>
      <c r="BI329" t="str">
        <v/>
      </c>
      <c r="BK329">
        <v>323</v>
      </c>
      <c r="BL329">
        <v>0</v>
      </c>
      <c r="BM329">
        <v>0</v>
      </c>
      <c r="BN329">
        <v>0</v>
      </c>
      <c r="BO329">
        <v>0</v>
      </c>
      <c r="BP329">
        <v>0</v>
      </c>
      <c r="BQ329">
        <v>0</v>
      </c>
      <c r="BR329">
        <v>0</v>
      </c>
      <c r="BS329">
        <v>0</v>
      </c>
      <c r="BT329">
        <v>0</v>
      </c>
      <c r="BU329">
        <v>0</v>
      </c>
      <c r="BV329">
        <v>0</v>
      </c>
      <c r="BW329">
        <v>0</v>
      </c>
      <c r="BX329">
        <v>0</v>
      </c>
      <c r="BY329">
        <v>0</v>
      </c>
      <c r="BZ329">
        <v>0</v>
      </c>
      <c r="CA329">
        <v>0</v>
      </c>
      <c r="CB329">
        <v>0</v>
      </c>
      <c r="CC329">
        <v>0</v>
      </c>
      <c r="CD329">
        <v>0</v>
      </c>
      <c r="CE329">
        <v>0</v>
      </c>
      <c r="CF329">
        <v>0</v>
      </c>
      <c r="CG329">
        <v>0</v>
      </c>
      <c r="CH329">
        <v>0</v>
      </c>
      <c r="CI329">
        <v>0</v>
      </c>
      <c r="CJ329">
        <v>0</v>
      </c>
      <c r="CK329">
        <v>0</v>
      </c>
      <c r="CL329">
        <v>0</v>
      </c>
      <c r="CM329">
        <v>0</v>
      </c>
      <c r="CN329">
        <v>0</v>
      </c>
      <c r="CO329">
        <v>0</v>
      </c>
      <c r="CP329">
        <v>0</v>
      </c>
      <c r="CQ329">
        <v>0</v>
      </c>
      <c r="CR329">
        <v>0</v>
      </c>
      <c r="CS329">
        <v>0</v>
      </c>
      <c r="CT329">
        <v>0</v>
      </c>
      <c r="CU329">
        <v>0</v>
      </c>
      <c r="CV329">
        <v>0</v>
      </c>
      <c r="CW329">
        <v>0</v>
      </c>
      <c r="CX329">
        <v>0</v>
      </c>
      <c r="CY329">
        <v>0</v>
      </c>
      <c r="CZ329">
        <v>0</v>
      </c>
      <c r="DA329">
        <v>0</v>
      </c>
      <c r="DB329">
        <v>0</v>
      </c>
      <c r="DC329">
        <v>0</v>
      </c>
      <c r="DD329">
        <v>0</v>
      </c>
      <c r="DE329">
        <v>0</v>
      </c>
      <c r="DF329">
        <v>0</v>
      </c>
      <c r="DG329">
        <v>0</v>
      </c>
      <c r="DH329">
        <v>0</v>
      </c>
      <c r="DI329">
        <v>0</v>
      </c>
      <c r="DJ329">
        <v>0</v>
      </c>
      <c r="DK329">
        <v>0</v>
      </c>
      <c r="DL329">
        <v>0</v>
      </c>
      <c r="DM329">
        <v>0</v>
      </c>
      <c r="DN329">
        <v>0</v>
      </c>
      <c r="DO329">
        <v>0</v>
      </c>
      <c r="DP329">
        <v>0</v>
      </c>
      <c r="DQ329">
        <v>0</v>
      </c>
      <c r="DR329">
        <v>0</v>
      </c>
      <c r="DS329">
        <v>0</v>
      </c>
      <c r="DT329">
        <v>0</v>
      </c>
      <c r="DU329">
        <v>0</v>
      </c>
      <c r="DV329">
        <v>0</v>
      </c>
      <c r="DW329">
        <v>0</v>
      </c>
      <c r="DX329">
        <v>0</v>
      </c>
      <c r="DY329">
        <v>0</v>
      </c>
      <c r="DZ329">
        <v>0</v>
      </c>
      <c r="EA329">
        <v>0</v>
      </c>
      <c r="EB329">
        <v>0</v>
      </c>
      <c r="EC329">
        <v>0</v>
      </c>
      <c r="ED329">
        <v>0</v>
      </c>
      <c r="EE329">
        <v>0</v>
      </c>
      <c r="EF329">
        <v>0</v>
      </c>
      <c r="EG329">
        <v>0</v>
      </c>
      <c r="EH329">
        <v>0</v>
      </c>
      <c r="EI329">
        <v>0</v>
      </c>
      <c r="EJ329">
        <v>0</v>
      </c>
      <c r="EK329">
        <v>0</v>
      </c>
      <c r="EL329">
        <v>0</v>
      </c>
      <c r="EM329">
        <v>0</v>
      </c>
      <c r="EN329">
        <v>0</v>
      </c>
      <c r="EO329">
        <v>0</v>
      </c>
      <c r="EP329">
        <v>0</v>
      </c>
      <c r="EQ329">
        <v>0</v>
      </c>
      <c r="ER329">
        <v>0</v>
      </c>
      <c r="ES329">
        <v>0</v>
      </c>
      <c r="ET329">
        <v>0</v>
      </c>
      <c r="EU329">
        <v>0</v>
      </c>
      <c r="EV329">
        <v>0</v>
      </c>
      <c r="EW329">
        <v>0</v>
      </c>
      <c r="EX329">
        <v>0</v>
      </c>
      <c r="EY329">
        <v>0</v>
      </c>
      <c r="EZ329">
        <v>0</v>
      </c>
      <c r="FA329">
        <v>0</v>
      </c>
      <c r="FB329">
        <v>0</v>
      </c>
      <c r="FC329">
        <v>0</v>
      </c>
      <c r="FD329">
        <v>0</v>
      </c>
      <c r="FE329">
        <v>0</v>
      </c>
      <c r="FF329">
        <v>0</v>
      </c>
      <c r="FG329">
        <v>0</v>
      </c>
      <c r="FH329">
        <v>0</v>
      </c>
      <c r="FI329">
        <v>0</v>
      </c>
      <c r="FJ329">
        <v>0</v>
      </c>
      <c r="FK329">
        <v>0</v>
      </c>
      <c r="FL329">
        <v>0</v>
      </c>
      <c r="FM329">
        <v>0</v>
      </c>
      <c r="FN329">
        <v>0</v>
      </c>
      <c r="FO329">
        <v>0</v>
      </c>
      <c r="FP329">
        <v>0</v>
      </c>
      <c r="FQ329">
        <v>0</v>
      </c>
      <c r="FR329">
        <v>0</v>
      </c>
      <c r="FS329">
        <v>0</v>
      </c>
      <c r="FT329">
        <v>0</v>
      </c>
      <c r="FU329">
        <v>0</v>
      </c>
      <c r="FV329">
        <v>0</v>
      </c>
      <c r="FW329">
        <v>0</v>
      </c>
      <c r="FX329">
        <v>0</v>
      </c>
      <c r="FY329">
        <v>0</v>
      </c>
      <c r="FZ329">
        <v>0</v>
      </c>
      <c r="GA329">
        <v>0</v>
      </c>
      <c r="GB329">
        <v>0</v>
      </c>
      <c r="GC329">
        <v>0</v>
      </c>
      <c r="GD329">
        <v>0</v>
      </c>
      <c r="GE329">
        <v>0</v>
      </c>
      <c r="GF329">
        <v>0</v>
      </c>
      <c r="GG329">
        <v>0</v>
      </c>
      <c r="GH329">
        <v>0</v>
      </c>
      <c r="GI329">
        <v>0</v>
      </c>
      <c r="GJ329">
        <v>0</v>
      </c>
      <c r="GK329">
        <v>0</v>
      </c>
      <c r="GL329">
        <v>0</v>
      </c>
      <c r="GM329">
        <v>0</v>
      </c>
      <c r="GN329">
        <v>0</v>
      </c>
      <c r="GO329">
        <v>0</v>
      </c>
      <c r="GP329">
        <v>0</v>
      </c>
      <c r="GQ329">
        <v>0</v>
      </c>
      <c r="GR329">
        <v>0</v>
      </c>
      <c r="GS329">
        <v>0</v>
      </c>
      <c r="GT329">
        <v>0</v>
      </c>
      <c r="GU329">
        <v>0</v>
      </c>
      <c r="GV329">
        <v>0</v>
      </c>
      <c r="GW329">
        <v>0</v>
      </c>
      <c r="GX329">
        <v>0</v>
      </c>
      <c r="GY329">
        <v>0</v>
      </c>
      <c r="GZ329">
        <v>0</v>
      </c>
      <c r="HA329">
        <v>0</v>
      </c>
      <c r="HB329">
        <v>0</v>
      </c>
      <c r="HC329">
        <v>0</v>
      </c>
      <c r="HD329">
        <v>0</v>
      </c>
      <c r="HE329">
        <v>0</v>
      </c>
      <c r="HF329">
        <v>0</v>
      </c>
      <c r="HG329">
        <v>0</v>
      </c>
      <c r="HH329">
        <v>0</v>
      </c>
      <c r="HI329">
        <v>0</v>
      </c>
      <c r="HJ329">
        <v>0</v>
      </c>
      <c r="HK329">
        <v>0</v>
      </c>
      <c r="HL329">
        <v>0</v>
      </c>
      <c r="HM329">
        <v>0</v>
      </c>
      <c r="HN329">
        <v>0</v>
      </c>
      <c r="HO329">
        <v>0</v>
      </c>
      <c r="HP329">
        <v>0</v>
      </c>
      <c r="HQ329">
        <v>0</v>
      </c>
      <c r="HR329">
        <v>0</v>
      </c>
      <c r="HS329">
        <v>0</v>
      </c>
      <c r="HT329">
        <v>0</v>
      </c>
      <c r="HU329">
        <v>0</v>
      </c>
      <c r="HV329">
        <v>0</v>
      </c>
      <c r="HW329">
        <v>0</v>
      </c>
      <c r="HX329">
        <v>0</v>
      </c>
      <c r="HY329">
        <v>0</v>
      </c>
      <c r="HZ329">
        <v>0</v>
      </c>
      <c r="IA329">
        <v>0</v>
      </c>
      <c r="IB329">
        <v>0</v>
      </c>
      <c r="IC329">
        <v>0</v>
      </c>
      <c r="ID329">
        <v>0</v>
      </c>
      <c r="IE329">
        <v>0</v>
      </c>
      <c r="IF329">
        <v>0</v>
      </c>
      <c r="IG329">
        <v>0</v>
      </c>
      <c r="IH329">
        <v>0</v>
      </c>
      <c r="II329">
        <v>0</v>
      </c>
      <c r="IJ329">
        <v>0</v>
      </c>
      <c r="IK329">
        <v>0</v>
      </c>
      <c r="IL329">
        <v>0</v>
      </c>
      <c r="IM329">
        <v>0</v>
      </c>
      <c r="IN329">
        <v>0</v>
      </c>
      <c r="IO329">
        <v>0</v>
      </c>
      <c r="IP329">
        <v>0</v>
      </c>
      <c r="IQ329">
        <v>0</v>
      </c>
      <c r="IR329">
        <v>0</v>
      </c>
      <c r="IS329">
        <v>0</v>
      </c>
      <c r="IT329">
        <v>0</v>
      </c>
      <c r="IU329">
        <v>0</v>
      </c>
      <c r="IV329">
        <v>0</v>
      </c>
      <c r="IW329">
        <v>0</v>
      </c>
      <c r="IX329">
        <v>0</v>
      </c>
      <c r="IY329">
        <v>0</v>
      </c>
      <c r="IZ329">
        <v>0</v>
      </c>
      <c r="JA329">
        <v>0</v>
      </c>
      <c r="JB329">
        <v>0</v>
      </c>
      <c r="JC329">
        <v>0</v>
      </c>
      <c r="JD329">
        <v>0</v>
      </c>
      <c r="JE329">
        <v>0</v>
      </c>
      <c r="JF329">
        <v>0</v>
      </c>
      <c r="JG329">
        <v>0</v>
      </c>
      <c r="JH329">
        <v>0</v>
      </c>
      <c r="JI329">
        <v>0</v>
      </c>
      <c r="JJ329">
        <v>0</v>
      </c>
      <c r="JK329">
        <v>0</v>
      </c>
      <c r="JL329">
        <v>0</v>
      </c>
      <c r="JM329">
        <v>0</v>
      </c>
      <c r="JN329">
        <v>0</v>
      </c>
      <c r="JO329">
        <v>0</v>
      </c>
      <c r="JP329">
        <v>0</v>
      </c>
      <c r="JQ329">
        <v>0</v>
      </c>
      <c r="JR329">
        <v>0</v>
      </c>
      <c r="JS329">
        <v>0</v>
      </c>
      <c r="JT329">
        <v>0</v>
      </c>
      <c r="JU329">
        <v>0</v>
      </c>
      <c r="JV329">
        <v>0</v>
      </c>
      <c r="JW329">
        <v>0</v>
      </c>
      <c r="JX329">
        <v>0</v>
      </c>
      <c r="JY329">
        <v>0</v>
      </c>
      <c r="JZ329">
        <v>0</v>
      </c>
      <c r="KA329">
        <v>0</v>
      </c>
      <c r="KB329">
        <v>0</v>
      </c>
      <c r="KC329">
        <v>0</v>
      </c>
      <c r="KD329">
        <v>0</v>
      </c>
      <c r="KE329">
        <v>0</v>
      </c>
      <c r="KF329">
        <v>0</v>
      </c>
      <c r="KG329">
        <v>0</v>
      </c>
      <c r="KH329">
        <v>0</v>
      </c>
      <c r="KI329">
        <v>0</v>
      </c>
      <c r="KJ329">
        <v>0</v>
      </c>
      <c r="KK329">
        <v>0</v>
      </c>
      <c r="KL329">
        <v>0</v>
      </c>
      <c r="KM329">
        <v>0</v>
      </c>
      <c r="KN329">
        <v>0</v>
      </c>
      <c r="KO329">
        <v>0</v>
      </c>
      <c r="KP329">
        <v>0</v>
      </c>
      <c r="KQ329">
        <v>0</v>
      </c>
      <c r="KR329">
        <v>0</v>
      </c>
      <c r="KS329">
        <v>0</v>
      </c>
      <c r="KT329">
        <v>0</v>
      </c>
      <c r="KU329">
        <v>0</v>
      </c>
      <c r="KV329">
        <v>0</v>
      </c>
      <c r="KW329">
        <v>0</v>
      </c>
      <c r="KX329">
        <v>0</v>
      </c>
      <c r="KY329">
        <v>0</v>
      </c>
      <c r="KZ329">
        <v>0</v>
      </c>
      <c r="LA329">
        <v>0</v>
      </c>
      <c r="LB329">
        <v>0</v>
      </c>
      <c r="LC329">
        <v>0</v>
      </c>
      <c r="LD329">
        <v>0</v>
      </c>
      <c r="LE329">
        <v>0</v>
      </c>
      <c r="LF329">
        <v>0</v>
      </c>
      <c r="LG329">
        <v>0</v>
      </c>
      <c r="LH329">
        <v>0</v>
      </c>
      <c r="LI329">
        <v>0</v>
      </c>
      <c r="LJ329">
        <v>0</v>
      </c>
      <c r="LK329">
        <v>0</v>
      </c>
      <c r="LL329">
        <v>0</v>
      </c>
      <c r="LM329">
        <v>0</v>
      </c>
      <c r="LN329">
        <v>0</v>
      </c>
      <c r="LO329">
        <v>0</v>
      </c>
      <c r="LP329">
        <v>0</v>
      </c>
      <c r="LQ329">
        <v>0</v>
      </c>
      <c r="LR329">
        <v>0</v>
      </c>
      <c r="LS329">
        <v>0</v>
      </c>
      <c r="LT329">
        <v>0</v>
      </c>
      <c r="LU329">
        <v>0</v>
      </c>
      <c r="LV329">
        <v>0</v>
      </c>
      <c r="LW329">
        <v>0</v>
      </c>
      <c r="LX329">
        <v>0</v>
      </c>
      <c r="LY329">
        <v>0</v>
      </c>
      <c r="LZ329">
        <v>0</v>
      </c>
      <c r="MA329">
        <v>0</v>
      </c>
      <c r="MB329">
        <v>0</v>
      </c>
      <c r="MC329">
        <v>0</v>
      </c>
      <c r="MD329">
        <v>0</v>
      </c>
      <c r="ME329">
        <v>0</v>
      </c>
      <c r="MF329">
        <v>0</v>
      </c>
      <c r="MG329">
        <v>0</v>
      </c>
      <c r="MH329">
        <v>0</v>
      </c>
      <c r="MI329">
        <v>0</v>
      </c>
      <c r="MJ329">
        <v>0</v>
      </c>
      <c r="MK329">
        <v>0</v>
      </c>
      <c r="ML329">
        <v>0</v>
      </c>
      <c r="MM329">
        <v>0</v>
      </c>
      <c r="MN329">
        <v>0</v>
      </c>
      <c r="MO329">
        <v>0</v>
      </c>
      <c r="MP329">
        <v>0</v>
      </c>
      <c r="MQ329">
        <v>0</v>
      </c>
      <c r="MR329">
        <v>0</v>
      </c>
      <c r="MS329">
        <v>0</v>
      </c>
      <c r="MT329">
        <v>0</v>
      </c>
      <c r="MU329">
        <v>0</v>
      </c>
      <c r="MV329">
        <v>0</v>
      </c>
      <c r="MW329">
        <v>0</v>
      </c>
      <c r="MX329">
        <v>0</v>
      </c>
      <c r="MY329">
        <v>0</v>
      </c>
      <c r="MZ329">
        <v>0</v>
      </c>
      <c r="NA329">
        <v>0</v>
      </c>
      <c r="NB329">
        <v>0</v>
      </c>
      <c r="NC329">
        <v>0</v>
      </c>
      <c r="ND329">
        <v>0</v>
      </c>
      <c r="NE329">
        <v>0</v>
      </c>
    </row>
    <row r="330" spans="41:369" x14ac:dyDescent="0.45">
      <c r="AO330">
        <v>0</v>
      </c>
      <c r="AP330">
        <v>0</v>
      </c>
      <c r="AQ330">
        <v>0</v>
      </c>
      <c r="AR330">
        <v>0</v>
      </c>
      <c r="AS330">
        <v>0</v>
      </c>
      <c r="AT330">
        <v>0</v>
      </c>
      <c r="AU330">
        <v>0</v>
      </c>
      <c r="AV330">
        <v>0</v>
      </c>
      <c r="AW330" t="str">
        <v/>
      </c>
      <c r="AX330">
        <v>255</v>
      </c>
      <c r="AY330" s="5" t="str">
        <v/>
      </c>
      <c r="AZ330">
        <v>0</v>
      </c>
      <c r="BA330">
        <v>0</v>
      </c>
      <c r="BB330">
        <v>0</v>
      </c>
      <c r="BC330">
        <v>0</v>
      </c>
      <c r="BD330">
        <v>0</v>
      </c>
      <c r="BE330">
        <v>0</v>
      </c>
      <c r="BF330">
        <v>0</v>
      </c>
      <c r="BG330">
        <v>0</v>
      </c>
      <c r="BH330">
        <v>0</v>
      </c>
      <c r="BI330" t="str">
        <v/>
      </c>
      <c r="BK330">
        <v>324</v>
      </c>
      <c r="BL330">
        <v>0</v>
      </c>
      <c r="BM330">
        <v>0</v>
      </c>
      <c r="BN330">
        <v>0</v>
      </c>
      <c r="BO330">
        <v>0</v>
      </c>
      <c r="BP330">
        <v>0</v>
      </c>
      <c r="BQ330">
        <v>0</v>
      </c>
      <c r="BR330">
        <v>0</v>
      </c>
      <c r="BS330">
        <v>0</v>
      </c>
      <c r="BT330">
        <v>0</v>
      </c>
      <c r="BU330">
        <v>0</v>
      </c>
      <c r="BV330">
        <v>0</v>
      </c>
      <c r="BW330">
        <v>0</v>
      </c>
      <c r="BX330">
        <v>0</v>
      </c>
      <c r="BY330">
        <v>0</v>
      </c>
      <c r="BZ330">
        <v>0</v>
      </c>
      <c r="CA330">
        <v>0</v>
      </c>
      <c r="CB330">
        <v>0</v>
      </c>
      <c r="CC330">
        <v>0</v>
      </c>
      <c r="CD330">
        <v>0</v>
      </c>
      <c r="CE330">
        <v>0</v>
      </c>
      <c r="CF330">
        <v>0</v>
      </c>
      <c r="CG330">
        <v>0</v>
      </c>
      <c r="CH330">
        <v>0</v>
      </c>
      <c r="CI330">
        <v>0</v>
      </c>
      <c r="CJ330">
        <v>0</v>
      </c>
      <c r="CK330">
        <v>0</v>
      </c>
      <c r="CL330">
        <v>0</v>
      </c>
      <c r="CM330">
        <v>0</v>
      </c>
      <c r="CN330">
        <v>0</v>
      </c>
      <c r="CO330">
        <v>0</v>
      </c>
      <c r="CP330">
        <v>0</v>
      </c>
      <c r="CQ330">
        <v>0</v>
      </c>
      <c r="CR330">
        <v>0</v>
      </c>
      <c r="CS330">
        <v>0</v>
      </c>
      <c r="CT330">
        <v>0</v>
      </c>
      <c r="CU330">
        <v>0</v>
      </c>
      <c r="CV330">
        <v>0</v>
      </c>
      <c r="CW330">
        <v>0</v>
      </c>
      <c r="CX330">
        <v>0</v>
      </c>
      <c r="CY330">
        <v>0</v>
      </c>
      <c r="CZ330">
        <v>0</v>
      </c>
      <c r="DA330">
        <v>0</v>
      </c>
      <c r="DB330">
        <v>0</v>
      </c>
      <c r="DC330">
        <v>0</v>
      </c>
      <c r="DD330">
        <v>0</v>
      </c>
      <c r="DE330">
        <v>0</v>
      </c>
      <c r="DF330">
        <v>0</v>
      </c>
      <c r="DG330">
        <v>0</v>
      </c>
      <c r="DH330">
        <v>0</v>
      </c>
      <c r="DI330">
        <v>0</v>
      </c>
      <c r="DJ330">
        <v>0</v>
      </c>
      <c r="DK330">
        <v>0</v>
      </c>
      <c r="DL330">
        <v>0</v>
      </c>
      <c r="DM330">
        <v>0</v>
      </c>
      <c r="DN330">
        <v>0</v>
      </c>
      <c r="DO330">
        <v>0</v>
      </c>
      <c r="DP330">
        <v>0</v>
      </c>
      <c r="DQ330">
        <v>0</v>
      </c>
      <c r="DR330">
        <v>0</v>
      </c>
      <c r="DS330">
        <v>0</v>
      </c>
      <c r="DT330">
        <v>0</v>
      </c>
      <c r="DU330">
        <v>0</v>
      </c>
      <c r="DV330">
        <v>0</v>
      </c>
      <c r="DW330">
        <v>0</v>
      </c>
      <c r="DX330">
        <v>0</v>
      </c>
      <c r="DY330">
        <v>0</v>
      </c>
      <c r="DZ330">
        <v>0</v>
      </c>
      <c r="EA330">
        <v>0</v>
      </c>
      <c r="EB330">
        <v>0</v>
      </c>
      <c r="EC330">
        <v>0</v>
      </c>
      <c r="ED330">
        <v>0</v>
      </c>
      <c r="EE330">
        <v>0</v>
      </c>
      <c r="EF330">
        <v>0</v>
      </c>
      <c r="EG330">
        <v>0</v>
      </c>
      <c r="EH330">
        <v>0</v>
      </c>
      <c r="EI330">
        <v>0</v>
      </c>
      <c r="EJ330">
        <v>0</v>
      </c>
      <c r="EK330">
        <v>0</v>
      </c>
      <c r="EL330">
        <v>0</v>
      </c>
      <c r="EM330">
        <v>0</v>
      </c>
      <c r="EN330">
        <v>0</v>
      </c>
      <c r="EO330">
        <v>0</v>
      </c>
      <c r="EP330">
        <v>0</v>
      </c>
      <c r="EQ330">
        <v>0</v>
      </c>
      <c r="ER330">
        <v>0</v>
      </c>
      <c r="ES330">
        <v>0</v>
      </c>
      <c r="ET330">
        <v>0</v>
      </c>
      <c r="EU330">
        <v>0</v>
      </c>
      <c r="EV330">
        <v>0</v>
      </c>
      <c r="EW330">
        <v>0</v>
      </c>
      <c r="EX330">
        <v>0</v>
      </c>
      <c r="EY330">
        <v>0</v>
      </c>
      <c r="EZ330">
        <v>0</v>
      </c>
      <c r="FA330">
        <v>0</v>
      </c>
      <c r="FB330">
        <v>0</v>
      </c>
      <c r="FC330">
        <v>0</v>
      </c>
      <c r="FD330">
        <v>0</v>
      </c>
      <c r="FE330">
        <v>0</v>
      </c>
      <c r="FF330">
        <v>0</v>
      </c>
      <c r="FG330">
        <v>0</v>
      </c>
      <c r="FH330">
        <v>0</v>
      </c>
      <c r="FI330">
        <v>0</v>
      </c>
      <c r="FJ330">
        <v>0</v>
      </c>
      <c r="FK330">
        <v>0</v>
      </c>
      <c r="FL330">
        <v>0</v>
      </c>
      <c r="FM330">
        <v>0</v>
      </c>
      <c r="FN330">
        <v>0</v>
      </c>
      <c r="FO330">
        <v>0</v>
      </c>
      <c r="FP330">
        <v>0</v>
      </c>
      <c r="FQ330">
        <v>0</v>
      </c>
      <c r="FR330">
        <v>0</v>
      </c>
      <c r="FS330">
        <v>0</v>
      </c>
      <c r="FT330">
        <v>0</v>
      </c>
      <c r="FU330">
        <v>0</v>
      </c>
      <c r="FV330">
        <v>0</v>
      </c>
      <c r="FW330">
        <v>0</v>
      </c>
      <c r="FX330">
        <v>0</v>
      </c>
      <c r="FY330">
        <v>0</v>
      </c>
      <c r="FZ330">
        <v>0</v>
      </c>
      <c r="GA330">
        <v>0</v>
      </c>
      <c r="GB330">
        <v>0</v>
      </c>
      <c r="GC330">
        <v>0</v>
      </c>
      <c r="GD330">
        <v>0</v>
      </c>
      <c r="GE330">
        <v>0</v>
      </c>
      <c r="GF330">
        <v>0</v>
      </c>
      <c r="GG330">
        <v>0</v>
      </c>
      <c r="GH330">
        <v>0</v>
      </c>
      <c r="GI330">
        <v>0</v>
      </c>
      <c r="GJ330">
        <v>0</v>
      </c>
      <c r="GK330">
        <v>0</v>
      </c>
      <c r="GL330">
        <v>0</v>
      </c>
      <c r="GM330">
        <v>0</v>
      </c>
      <c r="GN330">
        <v>0</v>
      </c>
      <c r="GO330">
        <v>0</v>
      </c>
      <c r="GP330">
        <v>0</v>
      </c>
      <c r="GQ330">
        <v>0</v>
      </c>
      <c r="GR330">
        <v>0</v>
      </c>
      <c r="GS330">
        <v>0</v>
      </c>
      <c r="GT330">
        <v>0</v>
      </c>
      <c r="GU330">
        <v>0</v>
      </c>
      <c r="GV330">
        <v>0</v>
      </c>
      <c r="GW330">
        <v>0</v>
      </c>
      <c r="GX330">
        <v>0</v>
      </c>
      <c r="GY330">
        <v>0</v>
      </c>
      <c r="GZ330">
        <v>0</v>
      </c>
      <c r="HA330">
        <v>0</v>
      </c>
      <c r="HB330">
        <v>0</v>
      </c>
      <c r="HC330">
        <v>0</v>
      </c>
      <c r="HD330">
        <v>0</v>
      </c>
      <c r="HE330">
        <v>0</v>
      </c>
      <c r="HF330">
        <v>0</v>
      </c>
      <c r="HG330">
        <v>0</v>
      </c>
      <c r="HH330">
        <v>0</v>
      </c>
      <c r="HI330">
        <v>0</v>
      </c>
      <c r="HJ330">
        <v>0</v>
      </c>
      <c r="HK330">
        <v>0</v>
      </c>
      <c r="HL330">
        <v>0</v>
      </c>
      <c r="HM330">
        <v>0</v>
      </c>
      <c r="HN330">
        <v>0</v>
      </c>
      <c r="HO330">
        <v>0</v>
      </c>
      <c r="HP330">
        <v>0</v>
      </c>
      <c r="HQ330">
        <v>0</v>
      </c>
      <c r="HR330">
        <v>0</v>
      </c>
      <c r="HS330">
        <v>0</v>
      </c>
      <c r="HT330">
        <v>0</v>
      </c>
      <c r="HU330">
        <v>0</v>
      </c>
      <c r="HV330">
        <v>0</v>
      </c>
      <c r="HW330">
        <v>0</v>
      </c>
      <c r="HX330">
        <v>0</v>
      </c>
      <c r="HY330">
        <v>0</v>
      </c>
      <c r="HZ330">
        <v>0</v>
      </c>
      <c r="IA330">
        <v>0</v>
      </c>
      <c r="IB330">
        <v>0</v>
      </c>
      <c r="IC330">
        <v>0</v>
      </c>
      <c r="ID330">
        <v>0</v>
      </c>
      <c r="IE330">
        <v>0</v>
      </c>
      <c r="IF330">
        <v>0</v>
      </c>
      <c r="IG330">
        <v>0</v>
      </c>
      <c r="IH330">
        <v>0</v>
      </c>
      <c r="II330">
        <v>0</v>
      </c>
      <c r="IJ330">
        <v>0</v>
      </c>
      <c r="IK330">
        <v>0</v>
      </c>
      <c r="IL330">
        <v>0</v>
      </c>
      <c r="IM330">
        <v>0</v>
      </c>
      <c r="IN330">
        <v>0</v>
      </c>
      <c r="IO330">
        <v>0</v>
      </c>
      <c r="IP330">
        <v>0</v>
      </c>
      <c r="IQ330">
        <v>0</v>
      </c>
      <c r="IR330">
        <v>0</v>
      </c>
      <c r="IS330">
        <v>0</v>
      </c>
      <c r="IT330">
        <v>0</v>
      </c>
      <c r="IU330">
        <v>0</v>
      </c>
      <c r="IV330">
        <v>0</v>
      </c>
      <c r="IW330">
        <v>0</v>
      </c>
      <c r="IX330">
        <v>0</v>
      </c>
      <c r="IY330">
        <v>0</v>
      </c>
      <c r="IZ330">
        <v>0</v>
      </c>
      <c r="JA330">
        <v>0</v>
      </c>
      <c r="JB330">
        <v>0</v>
      </c>
      <c r="JC330">
        <v>0</v>
      </c>
      <c r="JD330">
        <v>0</v>
      </c>
      <c r="JE330">
        <v>0</v>
      </c>
      <c r="JF330">
        <v>0</v>
      </c>
      <c r="JG330">
        <v>0</v>
      </c>
      <c r="JH330">
        <v>0</v>
      </c>
      <c r="JI330">
        <v>0</v>
      </c>
      <c r="JJ330">
        <v>0</v>
      </c>
      <c r="JK330">
        <v>0</v>
      </c>
      <c r="JL330">
        <v>0</v>
      </c>
      <c r="JM330">
        <v>0</v>
      </c>
      <c r="JN330">
        <v>0</v>
      </c>
      <c r="JO330">
        <v>0</v>
      </c>
      <c r="JP330">
        <v>0</v>
      </c>
      <c r="JQ330">
        <v>0</v>
      </c>
      <c r="JR330">
        <v>0</v>
      </c>
      <c r="JS330">
        <v>0</v>
      </c>
      <c r="JT330">
        <v>0</v>
      </c>
      <c r="JU330">
        <v>0</v>
      </c>
      <c r="JV330">
        <v>0</v>
      </c>
      <c r="JW330">
        <v>0</v>
      </c>
      <c r="JX330">
        <v>0</v>
      </c>
      <c r="JY330">
        <v>0</v>
      </c>
      <c r="JZ330">
        <v>0</v>
      </c>
      <c r="KA330">
        <v>0</v>
      </c>
      <c r="KB330">
        <v>0</v>
      </c>
      <c r="KC330">
        <v>0</v>
      </c>
      <c r="KD330">
        <v>0</v>
      </c>
      <c r="KE330">
        <v>0</v>
      </c>
      <c r="KF330">
        <v>0</v>
      </c>
      <c r="KG330">
        <v>0</v>
      </c>
      <c r="KH330">
        <v>0</v>
      </c>
      <c r="KI330">
        <v>0</v>
      </c>
      <c r="KJ330">
        <v>0</v>
      </c>
      <c r="KK330">
        <v>0</v>
      </c>
      <c r="KL330">
        <v>0</v>
      </c>
      <c r="KM330">
        <v>0</v>
      </c>
      <c r="KN330">
        <v>0</v>
      </c>
      <c r="KO330">
        <v>0</v>
      </c>
      <c r="KP330">
        <v>0</v>
      </c>
      <c r="KQ330">
        <v>0</v>
      </c>
      <c r="KR330">
        <v>0</v>
      </c>
      <c r="KS330">
        <v>0</v>
      </c>
      <c r="KT330">
        <v>0</v>
      </c>
      <c r="KU330">
        <v>0</v>
      </c>
      <c r="KV330">
        <v>0</v>
      </c>
      <c r="KW330">
        <v>0</v>
      </c>
      <c r="KX330">
        <v>0</v>
      </c>
      <c r="KY330">
        <v>0</v>
      </c>
      <c r="KZ330">
        <v>0</v>
      </c>
      <c r="LA330">
        <v>0</v>
      </c>
      <c r="LB330">
        <v>0</v>
      </c>
      <c r="LC330">
        <v>0</v>
      </c>
      <c r="LD330">
        <v>0</v>
      </c>
      <c r="LE330">
        <v>0</v>
      </c>
      <c r="LF330">
        <v>0</v>
      </c>
      <c r="LG330">
        <v>0</v>
      </c>
      <c r="LH330">
        <v>0</v>
      </c>
      <c r="LI330">
        <v>0</v>
      </c>
      <c r="LJ330">
        <v>0</v>
      </c>
      <c r="LK330">
        <v>0</v>
      </c>
      <c r="LL330">
        <v>0</v>
      </c>
      <c r="LM330">
        <v>0</v>
      </c>
      <c r="LN330">
        <v>0</v>
      </c>
      <c r="LO330">
        <v>0</v>
      </c>
      <c r="LP330">
        <v>0</v>
      </c>
      <c r="LQ330">
        <v>0</v>
      </c>
      <c r="LR330">
        <v>0</v>
      </c>
      <c r="LS330">
        <v>0</v>
      </c>
      <c r="LT330">
        <v>0</v>
      </c>
      <c r="LU330">
        <v>0</v>
      </c>
      <c r="LV330">
        <v>0</v>
      </c>
      <c r="LW330">
        <v>0</v>
      </c>
      <c r="LX330">
        <v>0</v>
      </c>
      <c r="LY330">
        <v>0</v>
      </c>
      <c r="LZ330">
        <v>0</v>
      </c>
      <c r="MA330">
        <v>0</v>
      </c>
      <c r="MB330">
        <v>0</v>
      </c>
      <c r="MC330">
        <v>0</v>
      </c>
      <c r="MD330">
        <v>0</v>
      </c>
      <c r="ME330">
        <v>0</v>
      </c>
      <c r="MF330">
        <v>0</v>
      </c>
      <c r="MG330">
        <v>0</v>
      </c>
      <c r="MH330">
        <v>0</v>
      </c>
      <c r="MI330">
        <v>0</v>
      </c>
      <c r="MJ330">
        <v>0</v>
      </c>
      <c r="MK330">
        <v>0</v>
      </c>
      <c r="ML330">
        <v>0</v>
      </c>
      <c r="MM330">
        <v>0</v>
      </c>
      <c r="MN330">
        <v>0</v>
      </c>
      <c r="MO330">
        <v>0</v>
      </c>
      <c r="MP330">
        <v>0</v>
      </c>
      <c r="MQ330">
        <v>0</v>
      </c>
      <c r="MR330">
        <v>0</v>
      </c>
      <c r="MS330">
        <v>0</v>
      </c>
      <c r="MT330">
        <v>0</v>
      </c>
      <c r="MU330">
        <v>0</v>
      </c>
      <c r="MV330">
        <v>0</v>
      </c>
      <c r="MW330">
        <v>0</v>
      </c>
      <c r="MX330">
        <v>0</v>
      </c>
      <c r="MY330">
        <v>0</v>
      </c>
      <c r="MZ330">
        <v>0</v>
      </c>
      <c r="NA330">
        <v>0</v>
      </c>
      <c r="NB330">
        <v>0</v>
      </c>
      <c r="NC330">
        <v>0</v>
      </c>
      <c r="ND330">
        <v>0</v>
      </c>
      <c r="NE330">
        <v>0</v>
      </c>
    </row>
    <row r="331" spans="41:369" x14ac:dyDescent="0.45">
      <c r="AO331">
        <v>0</v>
      </c>
      <c r="AP331">
        <v>0</v>
      </c>
      <c r="AQ331">
        <v>0</v>
      </c>
      <c r="AR331">
        <v>0</v>
      </c>
      <c r="AS331">
        <v>0</v>
      </c>
      <c r="AT331">
        <v>0</v>
      </c>
      <c r="AU331">
        <v>0</v>
      </c>
      <c r="AV331">
        <v>0</v>
      </c>
      <c r="AW331" t="str">
        <v/>
      </c>
      <c r="AX331">
        <v>255</v>
      </c>
      <c r="AY331" s="5" t="str">
        <v/>
      </c>
      <c r="AZ331">
        <v>0</v>
      </c>
      <c r="BA331">
        <v>0</v>
      </c>
      <c r="BB331">
        <v>0</v>
      </c>
      <c r="BC331">
        <v>0</v>
      </c>
      <c r="BD331">
        <v>0</v>
      </c>
      <c r="BE331">
        <v>0</v>
      </c>
      <c r="BF331">
        <v>0</v>
      </c>
      <c r="BG331">
        <v>0</v>
      </c>
      <c r="BH331">
        <v>0</v>
      </c>
      <c r="BI331" t="str">
        <v/>
      </c>
      <c r="BK331">
        <v>325</v>
      </c>
      <c r="BL331">
        <v>0</v>
      </c>
      <c r="BM331">
        <v>0</v>
      </c>
      <c r="BN331">
        <v>0</v>
      </c>
      <c r="BO331">
        <v>0</v>
      </c>
      <c r="BP331">
        <v>0</v>
      </c>
      <c r="BQ331">
        <v>0</v>
      </c>
      <c r="BR331">
        <v>0</v>
      </c>
      <c r="BS331">
        <v>0</v>
      </c>
      <c r="BT331">
        <v>0</v>
      </c>
      <c r="BU331">
        <v>0</v>
      </c>
      <c r="BV331">
        <v>0</v>
      </c>
      <c r="BW331">
        <v>0</v>
      </c>
      <c r="BX331">
        <v>0</v>
      </c>
      <c r="BY331">
        <v>0</v>
      </c>
      <c r="BZ331">
        <v>0</v>
      </c>
      <c r="CA331">
        <v>0</v>
      </c>
      <c r="CB331">
        <v>0</v>
      </c>
      <c r="CC331">
        <v>0</v>
      </c>
      <c r="CD331">
        <v>0</v>
      </c>
      <c r="CE331">
        <v>0</v>
      </c>
      <c r="CF331">
        <v>0</v>
      </c>
      <c r="CG331">
        <v>0</v>
      </c>
      <c r="CH331">
        <v>0</v>
      </c>
      <c r="CI331">
        <v>0</v>
      </c>
      <c r="CJ331">
        <v>0</v>
      </c>
      <c r="CK331">
        <v>0</v>
      </c>
      <c r="CL331">
        <v>0</v>
      </c>
      <c r="CM331">
        <v>0</v>
      </c>
      <c r="CN331">
        <v>0</v>
      </c>
      <c r="CO331">
        <v>0</v>
      </c>
      <c r="CP331">
        <v>0</v>
      </c>
      <c r="CQ331">
        <v>0</v>
      </c>
      <c r="CR331">
        <v>0</v>
      </c>
      <c r="CS331">
        <v>0</v>
      </c>
      <c r="CT331">
        <v>0</v>
      </c>
      <c r="CU331">
        <v>0</v>
      </c>
      <c r="CV331">
        <v>0</v>
      </c>
      <c r="CW331">
        <v>0</v>
      </c>
      <c r="CX331">
        <v>0</v>
      </c>
      <c r="CY331">
        <v>0</v>
      </c>
      <c r="CZ331">
        <v>0</v>
      </c>
      <c r="DA331">
        <v>0</v>
      </c>
      <c r="DB331">
        <v>0</v>
      </c>
      <c r="DC331">
        <v>0</v>
      </c>
      <c r="DD331">
        <v>0</v>
      </c>
      <c r="DE331">
        <v>0</v>
      </c>
      <c r="DF331">
        <v>0</v>
      </c>
      <c r="DG331">
        <v>0</v>
      </c>
      <c r="DH331">
        <v>0</v>
      </c>
      <c r="DI331">
        <v>0</v>
      </c>
      <c r="DJ331">
        <v>0</v>
      </c>
      <c r="DK331">
        <v>0</v>
      </c>
      <c r="DL331">
        <v>0</v>
      </c>
      <c r="DM331">
        <v>0</v>
      </c>
      <c r="DN331">
        <v>0</v>
      </c>
      <c r="DO331">
        <v>0</v>
      </c>
      <c r="DP331">
        <v>0</v>
      </c>
      <c r="DQ331">
        <v>0</v>
      </c>
      <c r="DR331">
        <v>0</v>
      </c>
      <c r="DS331">
        <v>0</v>
      </c>
      <c r="DT331">
        <v>0</v>
      </c>
      <c r="DU331">
        <v>0</v>
      </c>
      <c r="DV331">
        <v>0</v>
      </c>
      <c r="DW331">
        <v>0</v>
      </c>
      <c r="DX331">
        <v>0</v>
      </c>
      <c r="DY331">
        <v>0</v>
      </c>
      <c r="DZ331">
        <v>0</v>
      </c>
      <c r="EA331">
        <v>0</v>
      </c>
      <c r="EB331">
        <v>0</v>
      </c>
      <c r="EC331">
        <v>0</v>
      </c>
      <c r="ED331">
        <v>0</v>
      </c>
      <c r="EE331">
        <v>0</v>
      </c>
      <c r="EF331">
        <v>0</v>
      </c>
      <c r="EG331">
        <v>0</v>
      </c>
      <c r="EH331">
        <v>0</v>
      </c>
      <c r="EI331">
        <v>0</v>
      </c>
      <c r="EJ331">
        <v>0</v>
      </c>
      <c r="EK331">
        <v>0</v>
      </c>
      <c r="EL331">
        <v>0</v>
      </c>
      <c r="EM331">
        <v>0</v>
      </c>
      <c r="EN331">
        <v>0</v>
      </c>
      <c r="EO331">
        <v>0</v>
      </c>
      <c r="EP331">
        <v>0</v>
      </c>
      <c r="EQ331">
        <v>0</v>
      </c>
      <c r="ER331">
        <v>0</v>
      </c>
      <c r="ES331">
        <v>0</v>
      </c>
      <c r="ET331">
        <v>0</v>
      </c>
      <c r="EU331">
        <v>0</v>
      </c>
      <c r="EV331">
        <v>0</v>
      </c>
      <c r="EW331">
        <v>0</v>
      </c>
      <c r="EX331">
        <v>0</v>
      </c>
      <c r="EY331">
        <v>0</v>
      </c>
      <c r="EZ331">
        <v>0</v>
      </c>
      <c r="FA331">
        <v>0</v>
      </c>
      <c r="FB331">
        <v>0</v>
      </c>
      <c r="FC331">
        <v>0</v>
      </c>
      <c r="FD331">
        <v>0</v>
      </c>
      <c r="FE331">
        <v>0</v>
      </c>
      <c r="FF331">
        <v>0</v>
      </c>
      <c r="FG331">
        <v>0</v>
      </c>
      <c r="FH331">
        <v>0</v>
      </c>
      <c r="FI331">
        <v>0</v>
      </c>
      <c r="FJ331">
        <v>0</v>
      </c>
      <c r="FK331">
        <v>0</v>
      </c>
      <c r="FL331">
        <v>0</v>
      </c>
      <c r="FM331">
        <v>0</v>
      </c>
      <c r="FN331">
        <v>0</v>
      </c>
      <c r="FO331">
        <v>0</v>
      </c>
      <c r="FP331">
        <v>0</v>
      </c>
      <c r="FQ331">
        <v>0</v>
      </c>
      <c r="FR331">
        <v>0</v>
      </c>
      <c r="FS331">
        <v>0</v>
      </c>
      <c r="FT331">
        <v>0</v>
      </c>
      <c r="FU331">
        <v>0</v>
      </c>
      <c r="FV331">
        <v>0</v>
      </c>
      <c r="FW331">
        <v>0</v>
      </c>
      <c r="FX331">
        <v>0</v>
      </c>
      <c r="FY331">
        <v>0</v>
      </c>
      <c r="FZ331">
        <v>0</v>
      </c>
      <c r="GA331">
        <v>0</v>
      </c>
      <c r="GB331">
        <v>0</v>
      </c>
      <c r="GC331">
        <v>0</v>
      </c>
      <c r="GD331">
        <v>0</v>
      </c>
      <c r="GE331">
        <v>0</v>
      </c>
      <c r="GF331">
        <v>0</v>
      </c>
      <c r="GG331">
        <v>0</v>
      </c>
      <c r="GH331">
        <v>0</v>
      </c>
      <c r="GI331">
        <v>0</v>
      </c>
      <c r="GJ331">
        <v>0</v>
      </c>
      <c r="GK331">
        <v>0</v>
      </c>
      <c r="GL331">
        <v>0</v>
      </c>
      <c r="GM331">
        <v>0</v>
      </c>
      <c r="GN331">
        <v>0</v>
      </c>
      <c r="GO331">
        <v>0</v>
      </c>
      <c r="GP331">
        <v>0</v>
      </c>
      <c r="GQ331">
        <v>0</v>
      </c>
      <c r="GR331">
        <v>0</v>
      </c>
      <c r="GS331">
        <v>0</v>
      </c>
      <c r="GT331">
        <v>0</v>
      </c>
      <c r="GU331">
        <v>0</v>
      </c>
      <c r="GV331">
        <v>0</v>
      </c>
      <c r="GW331">
        <v>0</v>
      </c>
      <c r="GX331">
        <v>0</v>
      </c>
      <c r="GY331">
        <v>0</v>
      </c>
      <c r="GZ331">
        <v>0</v>
      </c>
      <c r="HA331">
        <v>0</v>
      </c>
      <c r="HB331">
        <v>0</v>
      </c>
      <c r="HC331">
        <v>0</v>
      </c>
      <c r="HD331">
        <v>0</v>
      </c>
      <c r="HE331">
        <v>0</v>
      </c>
      <c r="HF331">
        <v>0</v>
      </c>
      <c r="HG331">
        <v>0</v>
      </c>
      <c r="HH331">
        <v>0</v>
      </c>
      <c r="HI331">
        <v>0</v>
      </c>
      <c r="HJ331">
        <v>0</v>
      </c>
      <c r="HK331">
        <v>0</v>
      </c>
      <c r="HL331">
        <v>0</v>
      </c>
      <c r="HM331">
        <v>0</v>
      </c>
      <c r="HN331">
        <v>0</v>
      </c>
      <c r="HO331">
        <v>0</v>
      </c>
      <c r="HP331">
        <v>0</v>
      </c>
      <c r="HQ331">
        <v>0</v>
      </c>
      <c r="HR331">
        <v>0</v>
      </c>
      <c r="HS331">
        <v>0</v>
      </c>
      <c r="HT331">
        <v>0</v>
      </c>
      <c r="HU331">
        <v>0</v>
      </c>
      <c r="HV331">
        <v>0</v>
      </c>
      <c r="HW331">
        <v>0</v>
      </c>
      <c r="HX331">
        <v>0</v>
      </c>
      <c r="HY331">
        <v>0</v>
      </c>
      <c r="HZ331">
        <v>0</v>
      </c>
      <c r="IA331">
        <v>0</v>
      </c>
      <c r="IB331">
        <v>0</v>
      </c>
      <c r="IC331">
        <v>0</v>
      </c>
      <c r="ID331">
        <v>0</v>
      </c>
      <c r="IE331">
        <v>0</v>
      </c>
      <c r="IF331">
        <v>0</v>
      </c>
      <c r="IG331">
        <v>0</v>
      </c>
      <c r="IH331">
        <v>0</v>
      </c>
      <c r="II331">
        <v>0</v>
      </c>
      <c r="IJ331">
        <v>0</v>
      </c>
      <c r="IK331">
        <v>0</v>
      </c>
      <c r="IL331">
        <v>0</v>
      </c>
      <c r="IM331">
        <v>0</v>
      </c>
      <c r="IN331">
        <v>0</v>
      </c>
      <c r="IO331">
        <v>0</v>
      </c>
      <c r="IP331">
        <v>0</v>
      </c>
      <c r="IQ331">
        <v>0</v>
      </c>
      <c r="IR331">
        <v>0</v>
      </c>
      <c r="IS331">
        <v>0</v>
      </c>
      <c r="IT331">
        <v>0</v>
      </c>
      <c r="IU331">
        <v>0</v>
      </c>
      <c r="IV331">
        <v>0</v>
      </c>
      <c r="IW331">
        <v>0</v>
      </c>
      <c r="IX331">
        <v>0</v>
      </c>
      <c r="IY331">
        <v>0</v>
      </c>
      <c r="IZ331">
        <v>0</v>
      </c>
      <c r="JA331">
        <v>0</v>
      </c>
      <c r="JB331">
        <v>0</v>
      </c>
      <c r="JC331">
        <v>0</v>
      </c>
      <c r="JD331">
        <v>0</v>
      </c>
      <c r="JE331">
        <v>0</v>
      </c>
      <c r="JF331">
        <v>0</v>
      </c>
      <c r="JG331">
        <v>0</v>
      </c>
      <c r="JH331">
        <v>0</v>
      </c>
      <c r="JI331">
        <v>0</v>
      </c>
      <c r="JJ331">
        <v>0</v>
      </c>
      <c r="JK331">
        <v>0</v>
      </c>
      <c r="JL331">
        <v>0</v>
      </c>
      <c r="JM331">
        <v>0</v>
      </c>
      <c r="JN331">
        <v>0</v>
      </c>
      <c r="JO331">
        <v>0</v>
      </c>
      <c r="JP331">
        <v>0</v>
      </c>
      <c r="JQ331">
        <v>0</v>
      </c>
      <c r="JR331">
        <v>0</v>
      </c>
      <c r="JS331">
        <v>0</v>
      </c>
      <c r="JT331">
        <v>0</v>
      </c>
      <c r="JU331">
        <v>0</v>
      </c>
      <c r="JV331">
        <v>0</v>
      </c>
      <c r="JW331">
        <v>0</v>
      </c>
      <c r="JX331">
        <v>0</v>
      </c>
      <c r="JY331">
        <v>0</v>
      </c>
      <c r="JZ331">
        <v>0</v>
      </c>
      <c r="KA331">
        <v>0</v>
      </c>
      <c r="KB331">
        <v>0</v>
      </c>
      <c r="KC331">
        <v>0</v>
      </c>
      <c r="KD331">
        <v>0</v>
      </c>
      <c r="KE331">
        <v>0</v>
      </c>
      <c r="KF331">
        <v>0</v>
      </c>
      <c r="KG331">
        <v>0</v>
      </c>
      <c r="KH331">
        <v>0</v>
      </c>
      <c r="KI331">
        <v>0</v>
      </c>
      <c r="KJ331">
        <v>0</v>
      </c>
      <c r="KK331">
        <v>0</v>
      </c>
      <c r="KL331">
        <v>0</v>
      </c>
      <c r="KM331">
        <v>0</v>
      </c>
      <c r="KN331">
        <v>0</v>
      </c>
      <c r="KO331">
        <v>0</v>
      </c>
      <c r="KP331">
        <v>0</v>
      </c>
      <c r="KQ331">
        <v>0</v>
      </c>
      <c r="KR331">
        <v>0</v>
      </c>
      <c r="KS331">
        <v>0</v>
      </c>
      <c r="KT331">
        <v>0</v>
      </c>
      <c r="KU331">
        <v>0</v>
      </c>
      <c r="KV331">
        <v>0</v>
      </c>
      <c r="KW331">
        <v>0</v>
      </c>
      <c r="KX331">
        <v>0</v>
      </c>
      <c r="KY331">
        <v>0</v>
      </c>
      <c r="KZ331">
        <v>0</v>
      </c>
      <c r="LA331">
        <v>0</v>
      </c>
      <c r="LB331">
        <v>0</v>
      </c>
      <c r="LC331">
        <v>0</v>
      </c>
      <c r="LD331">
        <v>0</v>
      </c>
      <c r="LE331">
        <v>0</v>
      </c>
      <c r="LF331">
        <v>0</v>
      </c>
      <c r="LG331">
        <v>0</v>
      </c>
      <c r="LH331">
        <v>0</v>
      </c>
      <c r="LI331">
        <v>0</v>
      </c>
      <c r="LJ331">
        <v>0</v>
      </c>
      <c r="LK331">
        <v>0</v>
      </c>
      <c r="LL331">
        <v>0</v>
      </c>
      <c r="LM331">
        <v>0</v>
      </c>
      <c r="LN331">
        <v>0</v>
      </c>
      <c r="LO331">
        <v>0</v>
      </c>
      <c r="LP331">
        <v>0</v>
      </c>
      <c r="LQ331">
        <v>0</v>
      </c>
      <c r="LR331">
        <v>0</v>
      </c>
      <c r="LS331">
        <v>0</v>
      </c>
      <c r="LT331">
        <v>0</v>
      </c>
      <c r="LU331">
        <v>0</v>
      </c>
      <c r="LV331">
        <v>0</v>
      </c>
      <c r="LW331">
        <v>0</v>
      </c>
      <c r="LX331">
        <v>0</v>
      </c>
      <c r="LY331">
        <v>0</v>
      </c>
      <c r="LZ331">
        <v>0</v>
      </c>
      <c r="MA331">
        <v>0</v>
      </c>
      <c r="MB331">
        <v>0</v>
      </c>
      <c r="MC331">
        <v>0</v>
      </c>
      <c r="MD331">
        <v>0</v>
      </c>
      <c r="ME331">
        <v>0</v>
      </c>
      <c r="MF331">
        <v>0</v>
      </c>
      <c r="MG331">
        <v>0</v>
      </c>
      <c r="MH331">
        <v>0</v>
      </c>
      <c r="MI331">
        <v>0</v>
      </c>
      <c r="MJ331">
        <v>0</v>
      </c>
      <c r="MK331">
        <v>0</v>
      </c>
      <c r="ML331">
        <v>0</v>
      </c>
      <c r="MM331">
        <v>0</v>
      </c>
      <c r="MN331">
        <v>0</v>
      </c>
      <c r="MO331">
        <v>0</v>
      </c>
      <c r="MP331">
        <v>0</v>
      </c>
      <c r="MQ331">
        <v>0</v>
      </c>
      <c r="MR331">
        <v>0</v>
      </c>
      <c r="MS331">
        <v>0</v>
      </c>
      <c r="MT331">
        <v>0</v>
      </c>
      <c r="MU331">
        <v>0</v>
      </c>
      <c r="MV331">
        <v>0</v>
      </c>
      <c r="MW331">
        <v>0</v>
      </c>
      <c r="MX331">
        <v>0</v>
      </c>
      <c r="MY331">
        <v>0</v>
      </c>
      <c r="MZ331">
        <v>0</v>
      </c>
      <c r="NA331">
        <v>0</v>
      </c>
      <c r="NB331">
        <v>0</v>
      </c>
      <c r="NC331">
        <v>0</v>
      </c>
      <c r="ND331">
        <v>0</v>
      </c>
      <c r="NE331">
        <v>0</v>
      </c>
    </row>
    <row r="332" spans="41:369" x14ac:dyDescent="0.45">
      <c r="AO332">
        <v>0</v>
      </c>
      <c r="AP332">
        <v>0</v>
      </c>
      <c r="AQ332">
        <v>0</v>
      </c>
      <c r="AR332">
        <v>0</v>
      </c>
      <c r="AS332">
        <v>0</v>
      </c>
      <c r="AT332">
        <v>0</v>
      </c>
      <c r="AU332">
        <v>0</v>
      </c>
      <c r="AV332">
        <v>0</v>
      </c>
      <c r="AW332" t="str">
        <v/>
      </c>
      <c r="AX332">
        <v>255</v>
      </c>
      <c r="AY332" s="5" t="str">
        <v/>
      </c>
      <c r="AZ332">
        <v>0</v>
      </c>
      <c r="BA332">
        <v>0</v>
      </c>
      <c r="BB332">
        <v>0</v>
      </c>
      <c r="BC332">
        <v>0</v>
      </c>
      <c r="BD332">
        <v>0</v>
      </c>
      <c r="BE332">
        <v>0</v>
      </c>
      <c r="BF332">
        <v>0</v>
      </c>
      <c r="BG332">
        <v>0</v>
      </c>
      <c r="BH332">
        <v>0</v>
      </c>
      <c r="BI332" t="str">
        <v/>
      </c>
      <c r="BK332">
        <v>326</v>
      </c>
      <c r="BL332">
        <v>0</v>
      </c>
      <c r="BM332">
        <v>0</v>
      </c>
      <c r="BN332">
        <v>0</v>
      </c>
      <c r="BO332">
        <v>0</v>
      </c>
      <c r="BP332">
        <v>0</v>
      </c>
      <c r="BQ332">
        <v>0</v>
      </c>
      <c r="BR332">
        <v>0</v>
      </c>
      <c r="BS332">
        <v>0</v>
      </c>
      <c r="BT332">
        <v>0</v>
      </c>
      <c r="BU332">
        <v>0</v>
      </c>
      <c r="BV332">
        <v>0</v>
      </c>
      <c r="BW332">
        <v>0</v>
      </c>
      <c r="BX332">
        <v>0</v>
      </c>
      <c r="BY332">
        <v>0</v>
      </c>
      <c r="BZ332">
        <v>0</v>
      </c>
      <c r="CA332">
        <v>0</v>
      </c>
      <c r="CB332">
        <v>0</v>
      </c>
      <c r="CC332">
        <v>0</v>
      </c>
      <c r="CD332">
        <v>0</v>
      </c>
      <c r="CE332">
        <v>0</v>
      </c>
      <c r="CF332">
        <v>0</v>
      </c>
      <c r="CG332">
        <v>0</v>
      </c>
      <c r="CH332">
        <v>0</v>
      </c>
      <c r="CI332">
        <v>0</v>
      </c>
      <c r="CJ332">
        <v>0</v>
      </c>
      <c r="CK332">
        <v>0</v>
      </c>
      <c r="CL332">
        <v>0</v>
      </c>
      <c r="CM332">
        <v>0</v>
      </c>
      <c r="CN332">
        <v>0</v>
      </c>
      <c r="CO332">
        <v>0</v>
      </c>
      <c r="CP332">
        <v>0</v>
      </c>
      <c r="CQ332">
        <v>0</v>
      </c>
      <c r="CR332">
        <v>0</v>
      </c>
      <c r="CS332">
        <v>0</v>
      </c>
      <c r="CT332">
        <v>0</v>
      </c>
      <c r="CU332">
        <v>0</v>
      </c>
      <c r="CV332">
        <v>0</v>
      </c>
      <c r="CW332">
        <v>0</v>
      </c>
      <c r="CX332">
        <v>0</v>
      </c>
      <c r="CY332">
        <v>0</v>
      </c>
      <c r="CZ332">
        <v>0</v>
      </c>
      <c r="DA332">
        <v>0</v>
      </c>
      <c r="DB332">
        <v>0</v>
      </c>
      <c r="DC332">
        <v>0</v>
      </c>
      <c r="DD332">
        <v>0</v>
      </c>
      <c r="DE332">
        <v>0</v>
      </c>
      <c r="DF332">
        <v>0</v>
      </c>
      <c r="DG332">
        <v>0</v>
      </c>
      <c r="DH332">
        <v>0</v>
      </c>
      <c r="DI332">
        <v>0</v>
      </c>
      <c r="DJ332">
        <v>0</v>
      </c>
      <c r="DK332">
        <v>0</v>
      </c>
      <c r="DL332">
        <v>0</v>
      </c>
      <c r="DM332">
        <v>0</v>
      </c>
      <c r="DN332">
        <v>0</v>
      </c>
      <c r="DO332">
        <v>0</v>
      </c>
      <c r="DP332">
        <v>0</v>
      </c>
      <c r="DQ332">
        <v>0</v>
      </c>
      <c r="DR332">
        <v>0</v>
      </c>
      <c r="DS332">
        <v>0</v>
      </c>
      <c r="DT332">
        <v>0</v>
      </c>
      <c r="DU332">
        <v>0</v>
      </c>
      <c r="DV332">
        <v>0</v>
      </c>
      <c r="DW332">
        <v>0</v>
      </c>
      <c r="DX332">
        <v>0</v>
      </c>
      <c r="DY332">
        <v>0</v>
      </c>
      <c r="DZ332">
        <v>0</v>
      </c>
      <c r="EA332">
        <v>0</v>
      </c>
      <c r="EB332">
        <v>0</v>
      </c>
      <c r="EC332">
        <v>0</v>
      </c>
      <c r="ED332">
        <v>0</v>
      </c>
      <c r="EE332">
        <v>0</v>
      </c>
      <c r="EF332">
        <v>0</v>
      </c>
      <c r="EG332">
        <v>0</v>
      </c>
      <c r="EH332">
        <v>0</v>
      </c>
      <c r="EI332">
        <v>0</v>
      </c>
      <c r="EJ332">
        <v>0</v>
      </c>
      <c r="EK332">
        <v>0</v>
      </c>
      <c r="EL332">
        <v>0</v>
      </c>
      <c r="EM332">
        <v>0</v>
      </c>
      <c r="EN332">
        <v>0</v>
      </c>
      <c r="EO332">
        <v>0</v>
      </c>
      <c r="EP332">
        <v>0</v>
      </c>
      <c r="EQ332">
        <v>0</v>
      </c>
      <c r="ER332">
        <v>0</v>
      </c>
      <c r="ES332">
        <v>0</v>
      </c>
      <c r="ET332">
        <v>0</v>
      </c>
      <c r="EU332">
        <v>0</v>
      </c>
      <c r="EV332">
        <v>0</v>
      </c>
      <c r="EW332">
        <v>0</v>
      </c>
      <c r="EX332">
        <v>0</v>
      </c>
      <c r="EY332">
        <v>0</v>
      </c>
      <c r="EZ332">
        <v>0</v>
      </c>
      <c r="FA332">
        <v>0</v>
      </c>
      <c r="FB332">
        <v>0</v>
      </c>
      <c r="FC332">
        <v>0</v>
      </c>
      <c r="FD332">
        <v>0</v>
      </c>
      <c r="FE332">
        <v>0</v>
      </c>
      <c r="FF332">
        <v>0</v>
      </c>
      <c r="FG332">
        <v>0</v>
      </c>
      <c r="FH332">
        <v>0</v>
      </c>
      <c r="FI332">
        <v>0</v>
      </c>
      <c r="FJ332">
        <v>0</v>
      </c>
      <c r="FK332">
        <v>0</v>
      </c>
      <c r="FL332">
        <v>0</v>
      </c>
      <c r="FM332">
        <v>0</v>
      </c>
      <c r="FN332">
        <v>0</v>
      </c>
      <c r="FO332">
        <v>0</v>
      </c>
      <c r="FP332">
        <v>0</v>
      </c>
      <c r="FQ332">
        <v>0</v>
      </c>
      <c r="FR332">
        <v>0</v>
      </c>
      <c r="FS332">
        <v>0</v>
      </c>
      <c r="FT332">
        <v>0</v>
      </c>
      <c r="FU332">
        <v>0</v>
      </c>
      <c r="FV332">
        <v>0</v>
      </c>
      <c r="FW332">
        <v>0</v>
      </c>
      <c r="FX332">
        <v>0</v>
      </c>
      <c r="FY332">
        <v>0</v>
      </c>
      <c r="FZ332">
        <v>0</v>
      </c>
      <c r="GA332">
        <v>0</v>
      </c>
      <c r="GB332">
        <v>0</v>
      </c>
      <c r="GC332">
        <v>0</v>
      </c>
      <c r="GD332">
        <v>0</v>
      </c>
      <c r="GE332">
        <v>0</v>
      </c>
      <c r="GF332">
        <v>0</v>
      </c>
      <c r="GG332">
        <v>0</v>
      </c>
      <c r="GH332">
        <v>0</v>
      </c>
      <c r="GI332">
        <v>0</v>
      </c>
      <c r="GJ332">
        <v>0</v>
      </c>
      <c r="GK332">
        <v>0</v>
      </c>
      <c r="GL332">
        <v>0</v>
      </c>
      <c r="GM332">
        <v>0</v>
      </c>
      <c r="GN332">
        <v>0</v>
      </c>
      <c r="GO332">
        <v>0</v>
      </c>
      <c r="GP332">
        <v>0</v>
      </c>
      <c r="GQ332">
        <v>0</v>
      </c>
      <c r="GR332">
        <v>0</v>
      </c>
      <c r="GS332">
        <v>0</v>
      </c>
      <c r="GT332">
        <v>0</v>
      </c>
      <c r="GU332">
        <v>0</v>
      </c>
      <c r="GV332">
        <v>0</v>
      </c>
      <c r="GW332">
        <v>0</v>
      </c>
      <c r="GX332">
        <v>0</v>
      </c>
      <c r="GY332">
        <v>0</v>
      </c>
      <c r="GZ332">
        <v>0</v>
      </c>
      <c r="HA332">
        <v>0</v>
      </c>
      <c r="HB332">
        <v>0</v>
      </c>
      <c r="HC332">
        <v>0</v>
      </c>
      <c r="HD332">
        <v>0</v>
      </c>
      <c r="HE332">
        <v>0</v>
      </c>
      <c r="HF332">
        <v>0</v>
      </c>
      <c r="HG332">
        <v>0</v>
      </c>
      <c r="HH332">
        <v>0</v>
      </c>
      <c r="HI332">
        <v>0</v>
      </c>
      <c r="HJ332">
        <v>0</v>
      </c>
      <c r="HK332">
        <v>0</v>
      </c>
      <c r="HL332">
        <v>0</v>
      </c>
      <c r="HM332">
        <v>0</v>
      </c>
      <c r="HN332">
        <v>0</v>
      </c>
      <c r="HO332">
        <v>0</v>
      </c>
      <c r="HP332">
        <v>0</v>
      </c>
      <c r="HQ332">
        <v>0</v>
      </c>
      <c r="HR332">
        <v>0</v>
      </c>
      <c r="HS332">
        <v>0</v>
      </c>
      <c r="HT332">
        <v>0</v>
      </c>
      <c r="HU332">
        <v>0</v>
      </c>
      <c r="HV332">
        <v>0</v>
      </c>
      <c r="HW332">
        <v>0</v>
      </c>
      <c r="HX332">
        <v>0</v>
      </c>
      <c r="HY332">
        <v>0</v>
      </c>
      <c r="HZ332">
        <v>0</v>
      </c>
      <c r="IA332">
        <v>0</v>
      </c>
      <c r="IB332">
        <v>0</v>
      </c>
      <c r="IC332">
        <v>0</v>
      </c>
      <c r="ID332">
        <v>0</v>
      </c>
      <c r="IE332">
        <v>0</v>
      </c>
      <c r="IF332">
        <v>0</v>
      </c>
      <c r="IG332">
        <v>0</v>
      </c>
      <c r="IH332">
        <v>0</v>
      </c>
      <c r="II332">
        <v>0</v>
      </c>
      <c r="IJ332">
        <v>0</v>
      </c>
      <c r="IK332">
        <v>0</v>
      </c>
      <c r="IL332">
        <v>0</v>
      </c>
      <c r="IM332">
        <v>0</v>
      </c>
      <c r="IN332">
        <v>0</v>
      </c>
      <c r="IO332">
        <v>0</v>
      </c>
      <c r="IP332">
        <v>0</v>
      </c>
      <c r="IQ332">
        <v>0</v>
      </c>
      <c r="IR332">
        <v>0</v>
      </c>
      <c r="IS332">
        <v>0</v>
      </c>
      <c r="IT332">
        <v>0</v>
      </c>
      <c r="IU332">
        <v>0</v>
      </c>
      <c r="IV332">
        <v>0</v>
      </c>
      <c r="IW332">
        <v>0</v>
      </c>
      <c r="IX332">
        <v>0</v>
      </c>
      <c r="IY332">
        <v>0</v>
      </c>
      <c r="IZ332">
        <v>0</v>
      </c>
      <c r="JA332">
        <v>0</v>
      </c>
      <c r="JB332">
        <v>0</v>
      </c>
      <c r="JC332">
        <v>0</v>
      </c>
      <c r="JD332">
        <v>0</v>
      </c>
      <c r="JE332">
        <v>0</v>
      </c>
      <c r="JF332">
        <v>0</v>
      </c>
      <c r="JG332">
        <v>0</v>
      </c>
      <c r="JH332">
        <v>0</v>
      </c>
      <c r="JI332">
        <v>0</v>
      </c>
      <c r="JJ332">
        <v>0</v>
      </c>
      <c r="JK332">
        <v>0</v>
      </c>
      <c r="JL332">
        <v>0</v>
      </c>
      <c r="JM332">
        <v>0</v>
      </c>
      <c r="JN332">
        <v>0</v>
      </c>
      <c r="JO332">
        <v>0</v>
      </c>
      <c r="JP332">
        <v>0</v>
      </c>
      <c r="JQ332">
        <v>0</v>
      </c>
      <c r="JR332">
        <v>0</v>
      </c>
      <c r="JS332">
        <v>0</v>
      </c>
      <c r="JT332">
        <v>0</v>
      </c>
      <c r="JU332">
        <v>0</v>
      </c>
      <c r="JV332">
        <v>0</v>
      </c>
      <c r="JW332">
        <v>0</v>
      </c>
      <c r="JX332">
        <v>0</v>
      </c>
      <c r="JY332">
        <v>0</v>
      </c>
      <c r="JZ332">
        <v>0</v>
      </c>
      <c r="KA332">
        <v>0</v>
      </c>
      <c r="KB332">
        <v>0</v>
      </c>
      <c r="KC332">
        <v>0</v>
      </c>
      <c r="KD332">
        <v>0</v>
      </c>
      <c r="KE332">
        <v>0</v>
      </c>
      <c r="KF332">
        <v>0</v>
      </c>
      <c r="KG332">
        <v>0</v>
      </c>
      <c r="KH332">
        <v>0</v>
      </c>
      <c r="KI332">
        <v>0</v>
      </c>
      <c r="KJ332">
        <v>0</v>
      </c>
      <c r="KK332">
        <v>0</v>
      </c>
      <c r="KL332">
        <v>0</v>
      </c>
      <c r="KM332">
        <v>0</v>
      </c>
      <c r="KN332">
        <v>0</v>
      </c>
      <c r="KO332">
        <v>0</v>
      </c>
      <c r="KP332">
        <v>0</v>
      </c>
      <c r="KQ332">
        <v>0</v>
      </c>
      <c r="KR332">
        <v>0</v>
      </c>
      <c r="KS332">
        <v>0</v>
      </c>
      <c r="KT332">
        <v>0</v>
      </c>
      <c r="KU332">
        <v>0</v>
      </c>
      <c r="KV332">
        <v>0</v>
      </c>
      <c r="KW332">
        <v>0</v>
      </c>
      <c r="KX332">
        <v>0</v>
      </c>
      <c r="KY332">
        <v>0</v>
      </c>
      <c r="KZ332">
        <v>0</v>
      </c>
      <c r="LA332">
        <v>0</v>
      </c>
      <c r="LB332">
        <v>0</v>
      </c>
      <c r="LC332">
        <v>0</v>
      </c>
      <c r="LD332">
        <v>0</v>
      </c>
      <c r="LE332">
        <v>0</v>
      </c>
      <c r="LF332">
        <v>0</v>
      </c>
      <c r="LG332">
        <v>0</v>
      </c>
      <c r="LH332">
        <v>0</v>
      </c>
      <c r="LI332">
        <v>0</v>
      </c>
      <c r="LJ332">
        <v>0</v>
      </c>
      <c r="LK332">
        <v>0</v>
      </c>
      <c r="LL332">
        <v>0</v>
      </c>
      <c r="LM332">
        <v>0</v>
      </c>
      <c r="LN332">
        <v>0</v>
      </c>
      <c r="LO332">
        <v>0</v>
      </c>
      <c r="LP332">
        <v>0</v>
      </c>
      <c r="LQ332">
        <v>0</v>
      </c>
      <c r="LR332">
        <v>0</v>
      </c>
      <c r="LS332">
        <v>0</v>
      </c>
      <c r="LT332">
        <v>0</v>
      </c>
      <c r="LU332">
        <v>0</v>
      </c>
      <c r="LV332">
        <v>0</v>
      </c>
      <c r="LW332">
        <v>0</v>
      </c>
      <c r="LX332">
        <v>0</v>
      </c>
      <c r="LY332">
        <v>0</v>
      </c>
      <c r="LZ332">
        <v>0</v>
      </c>
      <c r="MA332">
        <v>0</v>
      </c>
      <c r="MB332">
        <v>0</v>
      </c>
      <c r="MC332">
        <v>0</v>
      </c>
      <c r="MD332">
        <v>0</v>
      </c>
      <c r="ME332">
        <v>0</v>
      </c>
      <c r="MF332">
        <v>0</v>
      </c>
      <c r="MG332">
        <v>0</v>
      </c>
      <c r="MH332">
        <v>0</v>
      </c>
      <c r="MI332">
        <v>0</v>
      </c>
      <c r="MJ332">
        <v>0</v>
      </c>
      <c r="MK332">
        <v>0</v>
      </c>
      <c r="ML332">
        <v>0</v>
      </c>
      <c r="MM332">
        <v>0</v>
      </c>
      <c r="MN332">
        <v>0</v>
      </c>
      <c r="MO332">
        <v>0</v>
      </c>
      <c r="MP332">
        <v>0</v>
      </c>
      <c r="MQ332">
        <v>0</v>
      </c>
      <c r="MR332">
        <v>0</v>
      </c>
      <c r="MS332">
        <v>0</v>
      </c>
      <c r="MT332">
        <v>0</v>
      </c>
      <c r="MU332">
        <v>0</v>
      </c>
      <c r="MV332">
        <v>0</v>
      </c>
      <c r="MW332">
        <v>0</v>
      </c>
      <c r="MX332">
        <v>0</v>
      </c>
      <c r="MY332">
        <v>0</v>
      </c>
      <c r="MZ332">
        <v>0</v>
      </c>
      <c r="NA332">
        <v>0</v>
      </c>
      <c r="NB332">
        <v>0</v>
      </c>
      <c r="NC332">
        <v>0</v>
      </c>
      <c r="ND332">
        <v>0</v>
      </c>
      <c r="NE332">
        <v>0</v>
      </c>
    </row>
    <row r="333" spans="41:369" x14ac:dyDescent="0.45">
      <c r="AO333">
        <v>0</v>
      </c>
      <c r="AP333">
        <v>0</v>
      </c>
      <c r="AQ333">
        <v>0</v>
      </c>
      <c r="AR333">
        <v>0</v>
      </c>
      <c r="AS333">
        <v>0</v>
      </c>
      <c r="AT333">
        <v>0</v>
      </c>
      <c r="AU333">
        <v>0</v>
      </c>
      <c r="AV333">
        <v>0</v>
      </c>
      <c r="AW333" t="str">
        <v/>
      </c>
      <c r="AX333">
        <v>255</v>
      </c>
      <c r="AY333" s="5" t="str">
        <v/>
      </c>
      <c r="AZ333">
        <v>0</v>
      </c>
      <c r="BA333">
        <v>0</v>
      </c>
      <c r="BB333">
        <v>0</v>
      </c>
      <c r="BC333">
        <v>0</v>
      </c>
      <c r="BD333">
        <v>0</v>
      </c>
      <c r="BE333">
        <v>0</v>
      </c>
      <c r="BF333">
        <v>0</v>
      </c>
      <c r="BG333">
        <v>0</v>
      </c>
      <c r="BH333">
        <v>0</v>
      </c>
      <c r="BI333" t="str">
        <v/>
      </c>
      <c r="BK333">
        <v>327</v>
      </c>
      <c r="BL333">
        <v>0</v>
      </c>
      <c r="BM333">
        <v>0</v>
      </c>
      <c r="BN333">
        <v>0</v>
      </c>
      <c r="BO333">
        <v>0</v>
      </c>
      <c r="BP333">
        <v>0</v>
      </c>
      <c r="BQ333">
        <v>0</v>
      </c>
      <c r="BR333">
        <v>0</v>
      </c>
      <c r="BS333">
        <v>0</v>
      </c>
      <c r="BT333">
        <v>0</v>
      </c>
      <c r="BU333">
        <v>0</v>
      </c>
      <c r="BV333">
        <v>0</v>
      </c>
      <c r="BW333">
        <v>0</v>
      </c>
      <c r="BX333">
        <v>0</v>
      </c>
      <c r="BY333">
        <v>0</v>
      </c>
      <c r="BZ333">
        <v>0</v>
      </c>
      <c r="CA333">
        <v>0</v>
      </c>
      <c r="CB333">
        <v>0</v>
      </c>
      <c r="CC333">
        <v>0</v>
      </c>
      <c r="CD333">
        <v>0</v>
      </c>
      <c r="CE333">
        <v>0</v>
      </c>
      <c r="CF333">
        <v>0</v>
      </c>
      <c r="CG333">
        <v>0</v>
      </c>
      <c r="CH333">
        <v>0</v>
      </c>
      <c r="CI333">
        <v>0</v>
      </c>
      <c r="CJ333">
        <v>0</v>
      </c>
      <c r="CK333">
        <v>0</v>
      </c>
      <c r="CL333">
        <v>0</v>
      </c>
      <c r="CM333">
        <v>0</v>
      </c>
      <c r="CN333">
        <v>0</v>
      </c>
      <c r="CO333">
        <v>0</v>
      </c>
      <c r="CP333">
        <v>0</v>
      </c>
      <c r="CQ333">
        <v>0</v>
      </c>
      <c r="CR333">
        <v>0</v>
      </c>
      <c r="CS333">
        <v>0</v>
      </c>
      <c r="CT333">
        <v>0</v>
      </c>
      <c r="CU333">
        <v>0</v>
      </c>
      <c r="CV333">
        <v>0</v>
      </c>
      <c r="CW333">
        <v>0</v>
      </c>
      <c r="CX333">
        <v>0</v>
      </c>
      <c r="CY333">
        <v>0</v>
      </c>
      <c r="CZ333">
        <v>0</v>
      </c>
      <c r="DA333">
        <v>0</v>
      </c>
      <c r="DB333">
        <v>0</v>
      </c>
      <c r="DC333">
        <v>0</v>
      </c>
      <c r="DD333">
        <v>0</v>
      </c>
      <c r="DE333">
        <v>0</v>
      </c>
      <c r="DF333">
        <v>0</v>
      </c>
      <c r="DG333">
        <v>0</v>
      </c>
      <c r="DH333">
        <v>0</v>
      </c>
      <c r="DI333">
        <v>0</v>
      </c>
      <c r="DJ333">
        <v>0</v>
      </c>
      <c r="DK333">
        <v>0</v>
      </c>
      <c r="DL333">
        <v>0</v>
      </c>
      <c r="DM333">
        <v>0</v>
      </c>
      <c r="DN333">
        <v>0</v>
      </c>
      <c r="DO333">
        <v>0</v>
      </c>
      <c r="DP333">
        <v>0</v>
      </c>
      <c r="DQ333">
        <v>0</v>
      </c>
      <c r="DR333">
        <v>0</v>
      </c>
      <c r="DS333">
        <v>0</v>
      </c>
      <c r="DT333">
        <v>0</v>
      </c>
      <c r="DU333">
        <v>0</v>
      </c>
      <c r="DV333">
        <v>0</v>
      </c>
      <c r="DW333">
        <v>0</v>
      </c>
      <c r="DX333">
        <v>0</v>
      </c>
      <c r="DY333">
        <v>0</v>
      </c>
      <c r="DZ333">
        <v>0</v>
      </c>
      <c r="EA333">
        <v>0</v>
      </c>
      <c r="EB333">
        <v>0</v>
      </c>
      <c r="EC333">
        <v>0</v>
      </c>
      <c r="ED333">
        <v>0</v>
      </c>
      <c r="EE333">
        <v>0</v>
      </c>
      <c r="EF333">
        <v>0</v>
      </c>
      <c r="EG333">
        <v>0</v>
      </c>
      <c r="EH333">
        <v>0</v>
      </c>
      <c r="EI333">
        <v>0</v>
      </c>
      <c r="EJ333">
        <v>0</v>
      </c>
      <c r="EK333">
        <v>0</v>
      </c>
      <c r="EL333">
        <v>0</v>
      </c>
      <c r="EM333">
        <v>0</v>
      </c>
      <c r="EN333">
        <v>0</v>
      </c>
      <c r="EO333">
        <v>0</v>
      </c>
      <c r="EP333">
        <v>0</v>
      </c>
      <c r="EQ333">
        <v>0</v>
      </c>
      <c r="ER333">
        <v>0</v>
      </c>
      <c r="ES333">
        <v>0</v>
      </c>
      <c r="ET333">
        <v>0</v>
      </c>
      <c r="EU333">
        <v>0</v>
      </c>
      <c r="EV333">
        <v>0</v>
      </c>
      <c r="EW333">
        <v>0</v>
      </c>
      <c r="EX333">
        <v>0</v>
      </c>
      <c r="EY333">
        <v>0</v>
      </c>
      <c r="EZ333">
        <v>0</v>
      </c>
      <c r="FA333">
        <v>0</v>
      </c>
      <c r="FB333">
        <v>0</v>
      </c>
      <c r="FC333">
        <v>0</v>
      </c>
      <c r="FD333">
        <v>0</v>
      </c>
      <c r="FE333">
        <v>0</v>
      </c>
      <c r="FF333">
        <v>0</v>
      </c>
      <c r="FG333">
        <v>0</v>
      </c>
      <c r="FH333">
        <v>0</v>
      </c>
      <c r="FI333">
        <v>0</v>
      </c>
      <c r="FJ333">
        <v>0</v>
      </c>
      <c r="FK333">
        <v>0</v>
      </c>
      <c r="FL333">
        <v>0</v>
      </c>
      <c r="FM333">
        <v>0</v>
      </c>
      <c r="FN333">
        <v>0</v>
      </c>
      <c r="FO333">
        <v>0</v>
      </c>
      <c r="FP333">
        <v>0</v>
      </c>
      <c r="FQ333">
        <v>0</v>
      </c>
      <c r="FR333">
        <v>0</v>
      </c>
      <c r="FS333">
        <v>0</v>
      </c>
      <c r="FT333">
        <v>0</v>
      </c>
      <c r="FU333">
        <v>0</v>
      </c>
      <c r="FV333">
        <v>0</v>
      </c>
      <c r="FW333">
        <v>0</v>
      </c>
      <c r="FX333">
        <v>0</v>
      </c>
      <c r="FY333">
        <v>0</v>
      </c>
      <c r="FZ333">
        <v>0</v>
      </c>
      <c r="GA333">
        <v>0</v>
      </c>
      <c r="GB333">
        <v>0</v>
      </c>
      <c r="GC333">
        <v>0</v>
      </c>
      <c r="GD333">
        <v>0</v>
      </c>
      <c r="GE333">
        <v>0</v>
      </c>
      <c r="GF333">
        <v>0</v>
      </c>
      <c r="GG333">
        <v>0</v>
      </c>
      <c r="GH333">
        <v>0</v>
      </c>
      <c r="GI333">
        <v>0</v>
      </c>
      <c r="GJ333">
        <v>0</v>
      </c>
      <c r="GK333">
        <v>0</v>
      </c>
      <c r="GL333">
        <v>0</v>
      </c>
      <c r="GM333">
        <v>0</v>
      </c>
      <c r="GN333">
        <v>0</v>
      </c>
      <c r="GO333">
        <v>0</v>
      </c>
      <c r="GP333">
        <v>0</v>
      </c>
      <c r="GQ333">
        <v>0</v>
      </c>
      <c r="GR333">
        <v>0</v>
      </c>
      <c r="GS333">
        <v>0</v>
      </c>
      <c r="GT333">
        <v>0</v>
      </c>
      <c r="GU333">
        <v>0</v>
      </c>
      <c r="GV333">
        <v>0</v>
      </c>
      <c r="GW333">
        <v>0</v>
      </c>
      <c r="GX333">
        <v>0</v>
      </c>
      <c r="GY333">
        <v>0</v>
      </c>
      <c r="GZ333">
        <v>0</v>
      </c>
      <c r="HA333">
        <v>0</v>
      </c>
      <c r="HB333">
        <v>0</v>
      </c>
      <c r="HC333">
        <v>0</v>
      </c>
      <c r="HD333">
        <v>0</v>
      </c>
      <c r="HE333">
        <v>0</v>
      </c>
      <c r="HF333">
        <v>0</v>
      </c>
      <c r="HG333">
        <v>0</v>
      </c>
      <c r="HH333">
        <v>0</v>
      </c>
      <c r="HI333">
        <v>0</v>
      </c>
      <c r="HJ333">
        <v>0</v>
      </c>
      <c r="HK333">
        <v>0</v>
      </c>
      <c r="HL333">
        <v>0</v>
      </c>
      <c r="HM333">
        <v>0</v>
      </c>
      <c r="HN333">
        <v>0</v>
      </c>
      <c r="HO333">
        <v>0</v>
      </c>
      <c r="HP333">
        <v>0</v>
      </c>
      <c r="HQ333">
        <v>0</v>
      </c>
      <c r="HR333">
        <v>0</v>
      </c>
      <c r="HS333">
        <v>0</v>
      </c>
      <c r="HT333">
        <v>0</v>
      </c>
      <c r="HU333">
        <v>0</v>
      </c>
      <c r="HV333">
        <v>0</v>
      </c>
      <c r="HW333">
        <v>0</v>
      </c>
      <c r="HX333">
        <v>0</v>
      </c>
      <c r="HY333">
        <v>0</v>
      </c>
      <c r="HZ333">
        <v>0</v>
      </c>
      <c r="IA333">
        <v>0</v>
      </c>
      <c r="IB333">
        <v>0</v>
      </c>
      <c r="IC333">
        <v>0</v>
      </c>
      <c r="ID333">
        <v>0</v>
      </c>
      <c r="IE333">
        <v>0</v>
      </c>
      <c r="IF333">
        <v>0</v>
      </c>
      <c r="IG333">
        <v>0</v>
      </c>
      <c r="IH333">
        <v>0</v>
      </c>
      <c r="II333">
        <v>0</v>
      </c>
      <c r="IJ333">
        <v>0</v>
      </c>
      <c r="IK333">
        <v>0</v>
      </c>
      <c r="IL333">
        <v>0</v>
      </c>
      <c r="IM333">
        <v>0</v>
      </c>
      <c r="IN333">
        <v>0</v>
      </c>
      <c r="IO333">
        <v>0</v>
      </c>
      <c r="IP333">
        <v>0</v>
      </c>
      <c r="IQ333">
        <v>0</v>
      </c>
      <c r="IR333">
        <v>0</v>
      </c>
      <c r="IS333">
        <v>0</v>
      </c>
      <c r="IT333">
        <v>0</v>
      </c>
      <c r="IU333">
        <v>0</v>
      </c>
      <c r="IV333">
        <v>0</v>
      </c>
      <c r="IW333">
        <v>0</v>
      </c>
      <c r="IX333">
        <v>0</v>
      </c>
      <c r="IY333">
        <v>0</v>
      </c>
      <c r="IZ333">
        <v>0</v>
      </c>
      <c r="JA333">
        <v>0</v>
      </c>
      <c r="JB333">
        <v>0</v>
      </c>
      <c r="JC333">
        <v>0</v>
      </c>
      <c r="JD333">
        <v>0</v>
      </c>
      <c r="JE333">
        <v>0</v>
      </c>
      <c r="JF333">
        <v>0</v>
      </c>
      <c r="JG333">
        <v>0</v>
      </c>
      <c r="JH333">
        <v>0</v>
      </c>
      <c r="JI333">
        <v>0</v>
      </c>
      <c r="JJ333">
        <v>0</v>
      </c>
      <c r="JK333">
        <v>0</v>
      </c>
      <c r="JL333">
        <v>0</v>
      </c>
      <c r="JM333">
        <v>0</v>
      </c>
      <c r="JN333">
        <v>0</v>
      </c>
      <c r="JO333">
        <v>0</v>
      </c>
      <c r="JP333">
        <v>0</v>
      </c>
      <c r="JQ333">
        <v>0</v>
      </c>
      <c r="JR333">
        <v>0</v>
      </c>
      <c r="JS333">
        <v>0</v>
      </c>
      <c r="JT333">
        <v>0</v>
      </c>
      <c r="JU333">
        <v>0</v>
      </c>
      <c r="JV333">
        <v>0</v>
      </c>
      <c r="JW333">
        <v>0</v>
      </c>
      <c r="JX333">
        <v>0</v>
      </c>
      <c r="JY333">
        <v>0</v>
      </c>
      <c r="JZ333">
        <v>0</v>
      </c>
      <c r="KA333">
        <v>0</v>
      </c>
      <c r="KB333">
        <v>0</v>
      </c>
      <c r="KC333">
        <v>0</v>
      </c>
      <c r="KD333">
        <v>0</v>
      </c>
      <c r="KE333">
        <v>0</v>
      </c>
      <c r="KF333">
        <v>0</v>
      </c>
      <c r="KG333">
        <v>0</v>
      </c>
      <c r="KH333">
        <v>0</v>
      </c>
      <c r="KI333">
        <v>0</v>
      </c>
      <c r="KJ333">
        <v>0</v>
      </c>
      <c r="KK333">
        <v>0</v>
      </c>
      <c r="KL333">
        <v>0</v>
      </c>
      <c r="KM333">
        <v>0</v>
      </c>
      <c r="KN333">
        <v>0</v>
      </c>
      <c r="KO333">
        <v>0</v>
      </c>
      <c r="KP333">
        <v>0</v>
      </c>
      <c r="KQ333">
        <v>0</v>
      </c>
      <c r="KR333">
        <v>0</v>
      </c>
      <c r="KS333">
        <v>0</v>
      </c>
      <c r="KT333">
        <v>0</v>
      </c>
      <c r="KU333">
        <v>0</v>
      </c>
      <c r="KV333">
        <v>0</v>
      </c>
      <c r="KW333">
        <v>0</v>
      </c>
      <c r="KX333">
        <v>0</v>
      </c>
      <c r="KY333">
        <v>0</v>
      </c>
      <c r="KZ333">
        <v>0</v>
      </c>
      <c r="LA333">
        <v>0</v>
      </c>
      <c r="LB333">
        <v>0</v>
      </c>
      <c r="LC333">
        <v>0</v>
      </c>
      <c r="LD333">
        <v>0</v>
      </c>
      <c r="LE333">
        <v>0</v>
      </c>
      <c r="LF333">
        <v>0</v>
      </c>
      <c r="LG333">
        <v>0</v>
      </c>
      <c r="LH333">
        <v>0</v>
      </c>
      <c r="LI333">
        <v>0</v>
      </c>
      <c r="LJ333">
        <v>0</v>
      </c>
      <c r="LK333">
        <v>0</v>
      </c>
      <c r="LL333">
        <v>0</v>
      </c>
      <c r="LM333">
        <v>0</v>
      </c>
      <c r="LN333">
        <v>0</v>
      </c>
      <c r="LO333">
        <v>0</v>
      </c>
      <c r="LP333">
        <v>0</v>
      </c>
      <c r="LQ333">
        <v>0</v>
      </c>
      <c r="LR333">
        <v>0</v>
      </c>
      <c r="LS333">
        <v>0</v>
      </c>
      <c r="LT333">
        <v>0</v>
      </c>
      <c r="LU333">
        <v>0</v>
      </c>
      <c r="LV333">
        <v>0</v>
      </c>
      <c r="LW333">
        <v>0</v>
      </c>
      <c r="LX333">
        <v>0</v>
      </c>
      <c r="LY333">
        <v>0</v>
      </c>
      <c r="LZ333">
        <v>0</v>
      </c>
      <c r="MA333">
        <v>0</v>
      </c>
      <c r="MB333">
        <v>0</v>
      </c>
      <c r="MC333">
        <v>0</v>
      </c>
      <c r="MD333">
        <v>0</v>
      </c>
      <c r="ME333">
        <v>0</v>
      </c>
      <c r="MF333">
        <v>0</v>
      </c>
      <c r="MG333">
        <v>0</v>
      </c>
      <c r="MH333">
        <v>0</v>
      </c>
      <c r="MI333">
        <v>0</v>
      </c>
      <c r="MJ333">
        <v>0</v>
      </c>
      <c r="MK333">
        <v>0</v>
      </c>
      <c r="ML333">
        <v>0</v>
      </c>
      <c r="MM333">
        <v>0</v>
      </c>
      <c r="MN333">
        <v>0</v>
      </c>
      <c r="MO333">
        <v>0</v>
      </c>
      <c r="MP333">
        <v>0</v>
      </c>
      <c r="MQ333">
        <v>0</v>
      </c>
      <c r="MR333">
        <v>0</v>
      </c>
      <c r="MS333">
        <v>0</v>
      </c>
      <c r="MT333">
        <v>0</v>
      </c>
      <c r="MU333">
        <v>0</v>
      </c>
      <c r="MV333">
        <v>0</v>
      </c>
      <c r="MW333">
        <v>0</v>
      </c>
      <c r="MX333">
        <v>0</v>
      </c>
      <c r="MY333">
        <v>0</v>
      </c>
      <c r="MZ333">
        <v>0</v>
      </c>
      <c r="NA333">
        <v>0</v>
      </c>
      <c r="NB333">
        <v>0</v>
      </c>
      <c r="NC333">
        <v>0</v>
      </c>
      <c r="ND333">
        <v>0</v>
      </c>
      <c r="NE333">
        <v>0</v>
      </c>
    </row>
    <row r="334" spans="41:369" x14ac:dyDescent="0.45">
      <c r="AO334">
        <v>0</v>
      </c>
      <c r="AP334">
        <v>0</v>
      </c>
      <c r="AQ334">
        <v>0</v>
      </c>
      <c r="AR334">
        <v>0</v>
      </c>
      <c r="AS334">
        <v>0</v>
      </c>
      <c r="AT334">
        <v>0</v>
      </c>
      <c r="AU334">
        <v>0</v>
      </c>
      <c r="AV334">
        <v>0</v>
      </c>
      <c r="AW334" t="str">
        <v/>
      </c>
      <c r="AX334">
        <v>255</v>
      </c>
      <c r="AY334" s="5" t="str">
        <v/>
      </c>
      <c r="AZ334">
        <v>0</v>
      </c>
      <c r="BA334">
        <v>0</v>
      </c>
      <c r="BB334">
        <v>0</v>
      </c>
      <c r="BC334">
        <v>0</v>
      </c>
      <c r="BD334">
        <v>0</v>
      </c>
      <c r="BE334">
        <v>0</v>
      </c>
      <c r="BF334">
        <v>0</v>
      </c>
      <c r="BG334">
        <v>0</v>
      </c>
      <c r="BH334">
        <v>0</v>
      </c>
      <c r="BI334" t="str">
        <v/>
      </c>
      <c r="BK334">
        <v>328</v>
      </c>
      <c r="BL334">
        <v>0</v>
      </c>
      <c r="BM334">
        <v>0</v>
      </c>
      <c r="BN334">
        <v>0</v>
      </c>
      <c r="BO334">
        <v>0</v>
      </c>
      <c r="BP334">
        <v>0</v>
      </c>
      <c r="BQ334">
        <v>0</v>
      </c>
      <c r="BR334">
        <v>0</v>
      </c>
      <c r="BS334">
        <v>0</v>
      </c>
      <c r="BT334">
        <v>0</v>
      </c>
      <c r="BU334">
        <v>0</v>
      </c>
      <c r="BV334">
        <v>0</v>
      </c>
      <c r="BW334">
        <v>0</v>
      </c>
      <c r="BX334">
        <v>0</v>
      </c>
      <c r="BY334">
        <v>0</v>
      </c>
      <c r="BZ334">
        <v>0</v>
      </c>
      <c r="CA334">
        <v>0</v>
      </c>
      <c r="CB334">
        <v>0</v>
      </c>
      <c r="CC334">
        <v>0</v>
      </c>
      <c r="CD334">
        <v>0</v>
      </c>
      <c r="CE334">
        <v>0</v>
      </c>
      <c r="CF334">
        <v>0</v>
      </c>
      <c r="CG334">
        <v>0</v>
      </c>
      <c r="CH334">
        <v>0</v>
      </c>
      <c r="CI334">
        <v>0</v>
      </c>
      <c r="CJ334">
        <v>0</v>
      </c>
      <c r="CK334">
        <v>0</v>
      </c>
      <c r="CL334">
        <v>0</v>
      </c>
      <c r="CM334">
        <v>0</v>
      </c>
      <c r="CN334">
        <v>0</v>
      </c>
      <c r="CO334">
        <v>0</v>
      </c>
      <c r="CP334">
        <v>0</v>
      </c>
      <c r="CQ334">
        <v>0</v>
      </c>
      <c r="CR334">
        <v>0</v>
      </c>
      <c r="CS334">
        <v>0</v>
      </c>
      <c r="CT334">
        <v>0</v>
      </c>
      <c r="CU334">
        <v>0</v>
      </c>
      <c r="CV334">
        <v>0</v>
      </c>
      <c r="CW334">
        <v>0</v>
      </c>
      <c r="CX334">
        <v>0</v>
      </c>
      <c r="CY334">
        <v>0</v>
      </c>
      <c r="CZ334">
        <v>0</v>
      </c>
      <c r="DA334">
        <v>0</v>
      </c>
      <c r="DB334">
        <v>0</v>
      </c>
      <c r="DC334">
        <v>0</v>
      </c>
      <c r="DD334">
        <v>0</v>
      </c>
      <c r="DE334">
        <v>0</v>
      </c>
      <c r="DF334">
        <v>0</v>
      </c>
      <c r="DG334">
        <v>0</v>
      </c>
      <c r="DH334">
        <v>0</v>
      </c>
      <c r="DI334">
        <v>0</v>
      </c>
      <c r="DJ334">
        <v>0</v>
      </c>
      <c r="DK334">
        <v>0</v>
      </c>
      <c r="DL334">
        <v>0</v>
      </c>
      <c r="DM334">
        <v>0</v>
      </c>
      <c r="DN334">
        <v>0</v>
      </c>
      <c r="DO334">
        <v>0</v>
      </c>
      <c r="DP334">
        <v>0</v>
      </c>
      <c r="DQ334">
        <v>0</v>
      </c>
      <c r="DR334">
        <v>0</v>
      </c>
      <c r="DS334">
        <v>0</v>
      </c>
      <c r="DT334">
        <v>0</v>
      </c>
      <c r="DU334">
        <v>0</v>
      </c>
      <c r="DV334">
        <v>0</v>
      </c>
      <c r="DW334">
        <v>0</v>
      </c>
      <c r="DX334">
        <v>0</v>
      </c>
      <c r="DY334">
        <v>0</v>
      </c>
      <c r="DZ334">
        <v>0</v>
      </c>
      <c r="EA334">
        <v>0</v>
      </c>
      <c r="EB334">
        <v>0</v>
      </c>
      <c r="EC334">
        <v>0</v>
      </c>
      <c r="ED334">
        <v>0</v>
      </c>
      <c r="EE334">
        <v>0</v>
      </c>
      <c r="EF334">
        <v>0</v>
      </c>
      <c r="EG334">
        <v>0</v>
      </c>
      <c r="EH334">
        <v>0</v>
      </c>
      <c r="EI334">
        <v>0</v>
      </c>
      <c r="EJ334">
        <v>0</v>
      </c>
      <c r="EK334">
        <v>0</v>
      </c>
      <c r="EL334">
        <v>0</v>
      </c>
      <c r="EM334">
        <v>0</v>
      </c>
      <c r="EN334">
        <v>0</v>
      </c>
      <c r="EO334">
        <v>0</v>
      </c>
      <c r="EP334">
        <v>0</v>
      </c>
      <c r="EQ334">
        <v>0</v>
      </c>
      <c r="ER334">
        <v>0</v>
      </c>
      <c r="ES334">
        <v>0</v>
      </c>
      <c r="ET334">
        <v>0</v>
      </c>
      <c r="EU334">
        <v>0</v>
      </c>
      <c r="EV334">
        <v>0</v>
      </c>
      <c r="EW334">
        <v>0</v>
      </c>
      <c r="EX334">
        <v>0</v>
      </c>
      <c r="EY334">
        <v>0</v>
      </c>
      <c r="EZ334">
        <v>0</v>
      </c>
      <c r="FA334">
        <v>0</v>
      </c>
      <c r="FB334">
        <v>0</v>
      </c>
      <c r="FC334">
        <v>0</v>
      </c>
      <c r="FD334">
        <v>0</v>
      </c>
      <c r="FE334">
        <v>0</v>
      </c>
      <c r="FF334">
        <v>0</v>
      </c>
      <c r="FG334">
        <v>0</v>
      </c>
      <c r="FH334">
        <v>0</v>
      </c>
      <c r="FI334">
        <v>0</v>
      </c>
      <c r="FJ334">
        <v>0</v>
      </c>
      <c r="FK334">
        <v>0</v>
      </c>
      <c r="FL334">
        <v>0</v>
      </c>
      <c r="FM334">
        <v>0</v>
      </c>
      <c r="FN334">
        <v>0</v>
      </c>
      <c r="FO334">
        <v>0</v>
      </c>
      <c r="FP334">
        <v>0</v>
      </c>
      <c r="FQ334">
        <v>0</v>
      </c>
      <c r="FR334">
        <v>0</v>
      </c>
      <c r="FS334">
        <v>0</v>
      </c>
      <c r="FT334">
        <v>0</v>
      </c>
      <c r="FU334">
        <v>0</v>
      </c>
      <c r="FV334">
        <v>0</v>
      </c>
      <c r="FW334">
        <v>0</v>
      </c>
      <c r="FX334">
        <v>0</v>
      </c>
      <c r="FY334">
        <v>0</v>
      </c>
      <c r="FZ334">
        <v>0</v>
      </c>
      <c r="GA334">
        <v>0</v>
      </c>
      <c r="GB334">
        <v>0</v>
      </c>
      <c r="GC334">
        <v>0</v>
      </c>
      <c r="GD334">
        <v>0</v>
      </c>
      <c r="GE334">
        <v>0</v>
      </c>
      <c r="GF334">
        <v>0</v>
      </c>
      <c r="GG334">
        <v>0</v>
      </c>
      <c r="GH334">
        <v>0</v>
      </c>
      <c r="GI334">
        <v>0</v>
      </c>
      <c r="GJ334">
        <v>0</v>
      </c>
      <c r="GK334">
        <v>0</v>
      </c>
      <c r="GL334">
        <v>0</v>
      </c>
      <c r="GM334">
        <v>0</v>
      </c>
      <c r="GN334">
        <v>0</v>
      </c>
      <c r="GO334">
        <v>0</v>
      </c>
      <c r="GP334">
        <v>0</v>
      </c>
      <c r="GQ334">
        <v>0</v>
      </c>
      <c r="GR334">
        <v>0</v>
      </c>
      <c r="GS334">
        <v>0</v>
      </c>
      <c r="GT334">
        <v>0</v>
      </c>
      <c r="GU334">
        <v>0</v>
      </c>
      <c r="GV334">
        <v>0</v>
      </c>
      <c r="GW334">
        <v>0</v>
      </c>
      <c r="GX334">
        <v>0</v>
      </c>
      <c r="GY334">
        <v>0</v>
      </c>
      <c r="GZ334">
        <v>0</v>
      </c>
      <c r="HA334">
        <v>0</v>
      </c>
      <c r="HB334">
        <v>0</v>
      </c>
      <c r="HC334">
        <v>0</v>
      </c>
      <c r="HD334">
        <v>0</v>
      </c>
      <c r="HE334">
        <v>0</v>
      </c>
      <c r="HF334">
        <v>0</v>
      </c>
      <c r="HG334">
        <v>0</v>
      </c>
      <c r="HH334">
        <v>0</v>
      </c>
      <c r="HI334">
        <v>0</v>
      </c>
      <c r="HJ334">
        <v>0</v>
      </c>
      <c r="HK334">
        <v>0</v>
      </c>
      <c r="HL334">
        <v>0</v>
      </c>
      <c r="HM334">
        <v>0</v>
      </c>
      <c r="HN334">
        <v>0</v>
      </c>
      <c r="HO334">
        <v>0</v>
      </c>
      <c r="HP334">
        <v>0</v>
      </c>
      <c r="HQ334">
        <v>0</v>
      </c>
      <c r="HR334">
        <v>0</v>
      </c>
      <c r="HS334">
        <v>0</v>
      </c>
      <c r="HT334">
        <v>0</v>
      </c>
      <c r="HU334">
        <v>0</v>
      </c>
      <c r="HV334">
        <v>0</v>
      </c>
      <c r="HW334">
        <v>0</v>
      </c>
      <c r="HX334">
        <v>0</v>
      </c>
      <c r="HY334">
        <v>0</v>
      </c>
      <c r="HZ334">
        <v>0</v>
      </c>
      <c r="IA334">
        <v>0</v>
      </c>
      <c r="IB334">
        <v>0</v>
      </c>
      <c r="IC334">
        <v>0</v>
      </c>
      <c r="ID334">
        <v>0</v>
      </c>
      <c r="IE334">
        <v>0</v>
      </c>
      <c r="IF334">
        <v>0</v>
      </c>
      <c r="IG334">
        <v>0</v>
      </c>
      <c r="IH334">
        <v>0</v>
      </c>
      <c r="II334">
        <v>0</v>
      </c>
      <c r="IJ334">
        <v>0</v>
      </c>
      <c r="IK334">
        <v>0</v>
      </c>
      <c r="IL334">
        <v>0</v>
      </c>
      <c r="IM334">
        <v>0</v>
      </c>
      <c r="IN334">
        <v>0</v>
      </c>
      <c r="IO334">
        <v>0</v>
      </c>
      <c r="IP334">
        <v>0</v>
      </c>
      <c r="IQ334">
        <v>0</v>
      </c>
      <c r="IR334">
        <v>0</v>
      </c>
      <c r="IS334">
        <v>0</v>
      </c>
      <c r="IT334">
        <v>0</v>
      </c>
      <c r="IU334">
        <v>0</v>
      </c>
      <c r="IV334">
        <v>0</v>
      </c>
      <c r="IW334">
        <v>0</v>
      </c>
      <c r="IX334">
        <v>0</v>
      </c>
      <c r="IY334">
        <v>0</v>
      </c>
      <c r="IZ334">
        <v>0</v>
      </c>
      <c r="JA334">
        <v>0</v>
      </c>
      <c r="JB334">
        <v>0</v>
      </c>
      <c r="JC334">
        <v>0</v>
      </c>
      <c r="JD334">
        <v>0</v>
      </c>
      <c r="JE334">
        <v>0</v>
      </c>
      <c r="JF334">
        <v>0</v>
      </c>
      <c r="JG334">
        <v>0</v>
      </c>
      <c r="JH334">
        <v>0</v>
      </c>
      <c r="JI334">
        <v>0</v>
      </c>
      <c r="JJ334">
        <v>0</v>
      </c>
      <c r="JK334">
        <v>0</v>
      </c>
      <c r="JL334">
        <v>0</v>
      </c>
      <c r="JM334">
        <v>0</v>
      </c>
      <c r="JN334">
        <v>0</v>
      </c>
      <c r="JO334">
        <v>0</v>
      </c>
      <c r="JP334">
        <v>0</v>
      </c>
      <c r="JQ334">
        <v>0</v>
      </c>
      <c r="JR334">
        <v>0</v>
      </c>
      <c r="JS334">
        <v>0</v>
      </c>
      <c r="JT334">
        <v>0</v>
      </c>
      <c r="JU334">
        <v>0</v>
      </c>
      <c r="JV334">
        <v>0</v>
      </c>
      <c r="JW334">
        <v>0</v>
      </c>
      <c r="JX334">
        <v>0</v>
      </c>
      <c r="JY334">
        <v>0</v>
      </c>
      <c r="JZ334">
        <v>0</v>
      </c>
      <c r="KA334">
        <v>0</v>
      </c>
      <c r="KB334">
        <v>0</v>
      </c>
      <c r="KC334">
        <v>0</v>
      </c>
      <c r="KD334">
        <v>0</v>
      </c>
      <c r="KE334">
        <v>0</v>
      </c>
      <c r="KF334">
        <v>0</v>
      </c>
      <c r="KG334">
        <v>0</v>
      </c>
      <c r="KH334">
        <v>0</v>
      </c>
      <c r="KI334">
        <v>0</v>
      </c>
      <c r="KJ334">
        <v>0</v>
      </c>
      <c r="KK334">
        <v>0</v>
      </c>
      <c r="KL334">
        <v>0</v>
      </c>
      <c r="KM334">
        <v>0</v>
      </c>
      <c r="KN334">
        <v>0</v>
      </c>
      <c r="KO334">
        <v>0</v>
      </c>
      <c r="KP334">
        <v>0</v>
      </c>
      <c r="KQ334">
        <v>0</v>
      </c>
      <c r="KR334">
        <v>0</v>
      </c>
      <c r="KS334">
        <v>0</v>
      </c>
      <c r="KT334">
        <v>0</v>
      </c>
      <c r="KU334">
        <v>0</v>
      </c>
      <c r="KV334">
        <v>0</v>
      </c>
      <c r="KW334">
        <v>0</v>
      </c>
      <c r="KX334">
        <v>0</v>
      </c>
      <c r="KY334">
        <v>0</v>
      </c>
      <c r="KZ334">
        <v>0</v>
      </c>
      <c r="LA334">
        <v>0</v>
      </c>
      <c r="LB334">
        <v>0</v>
      </c>
      <c r="LC334">
        <v>0</v>
      </c>
      <c r="LD334">
        <v>0</v>
      </c>
      <c r="LE334">
        <v>0</v>
      </c>
      <c r="LF334">
        <v>0</v>
      </c>
      <c r="LG334">
        <v>0</v>
      </c>
      <c r="LH334">
        <v>0</v>
      </c>
      <c r="LI334">
        <v>0</v>
      </c>
      <c r="LJ334">
        <v>0</v>
      </c>
      <c r="LK334">
        <v>0</v>
      </c>
      <c r="LL334">
        <v>0</v>
      </c>
      <c r="LM334">
        <v>0</v>
      </c>
      <c r="LN334">
        <v>0</v>
      </c>
      <c r="LO334">
        <v>0</v>
      </c>
      <c r="LP334">
        <v>0</v>
      </c>
      <c r="LQ334">
        <v>0</v>
      </c>
      <c r="LR334">
        <v>0</v>
      </c>
      <c r="LS334">
        <v>0</v>
      </c>
      <c r="LT334">
        <v>0</v>
      </c>
      <c r="LU334">
        <v>0</v>
      </c>
      <c r="LV334">
        <v>0</v>
      </c>
      <c r="LW334">
        <v>0</v>
      </c>
      <c r="LX334">
        <v>0</v>
      </c>
      <c r="LY334">
        <v>0</v>
      </c>
      <c r="LZ334">
        <v>0</v>
      </c>
      <c r="MA334">
        <v>0</v>
      </c>
      <c r="MB334">
        <v>0</v>
      </c>
      <c r="MC334">
        <v>0</v>
      </c>
      <c r="MD334">
        <v>0</v>
      </c>
      <c r="ME334">
        <v>0</v>
      </c>
      <c r="MF334">
        <v>0</v>
      </c>
      <c r="MG334">
        <v>0</v>
      </c>
      <c r="MH334">
        <v>0</v>
      </c>
      <c r="MI334">
        <v>0</v>
      </c>
      <c r="MJ334">
        <v>0</v>
      </c>
      <c r="MK334">
        <v>0</v>
      </c>
      <c r="ML334">
        <v>0</v>
      </c>
      <c r="MM334">
        <v>0</v>
      </c>
      <c r="MN334">
        <v>0</v>
      </c>
      <c r="MO334">
        <v>0</v>
      </c>
      <c r="MP334">
        <v>0</v>
      </c>
      <c r="MQ334">
        <v>0</v>
      </c>
      <c r="MR334">
        <v>0</v>
      </c>
      <c r="MS334">
        <v>0</v>
      </c>
      <c r="MT334">
        <v>0</v>
      </c>
      <c r="MU334">
        <v>0</v>
      </c>
      <c r="MV334">
        <v>0</v>
      </c>
      <c r="MW334">
        <v>0</v>
      </c>
      <c r="MX334">
        <v>0</v>
      </c>
      <c r="MY334">
        <v>0</v>
      </c>
      <c r="MZ334">
        <v>0</v>
      </c>
      <c r="NA334">
        <v>0</v>
      </c>
      <c r="NB334">
        <v>0</v>
      </c>
      <c r="NC334">
        <v>0</v>
      </c>
      <c r="ND334">
        <v>0</v>
      </c>
      <c r="NE334">
        <v>0</v>
      </c>
    </row>
    <row r="335" spans="41:369" x14ac:dyDescent="0.45">
      <c r="AO335">
        <v>0</v>
      </c>
      <c r="AP335">
        <v>0</v>
      </c>
      <c r="AQ335">
        <v>0</v>
      </c>
      <c r="AR335">
        <v>0</v>
      </c>
      <c r="AS335">
        <v>0</v>
      </c>
      <c r="AT335">
        <v>0</v>
      </c>
      <c r="AU335">
        <v>0</v>
      </c>
      <c r="AV335">
        <v>0</v>
      </c>
      <c r="AW335" t="str">
        <v/>
      </c>
      <c r="AX335">
        <v>255</v>
      </c>
      <c r="AY335" s="5" t="str">
        <v/>
      </c>
      <c r="AZ335">
        <v>0</v>
      </c>
      <c r="BA335">
        <v>0</v>
      </c>
      <c r="BB335">
        <v>0</v>
      </c>
      <c r="BC335">
        <v>0</v>
      </c>
      <c r="BD335">
        <v>0</v>
      </c>
      <c r="BE335">
        <v>0</v>
      </c>
      <c r="BF335">
        <v>0</v>
      </c>
      <c r="BG335">
        <v>0</v>
      </c>
      <c r="BH335">
        <v>0</v>
      </c>
      <c r="BI335" t="str">
        <v/>
      </c>
      <c r="BK335">
        <v>329</v>
      </c>
      <c r="BL335">
        <v>0</v>
      </c>
      <c r="BM335">
        <v>0</v>
      </c>
      <c r="BN335">
        <v>0</v>
      </c>
      <c r="BO335">
        <v>0</v>
      </c>
      <c r="BP335">
        <v>0</v>
      </c>
      <c r="BQ335">
        <v>0</v>
      </c>
      <c r="BR335">
        <v>0</v>
      </c>
      <c r="BS335">
        <v>0</v>
      </c>
      <c r="BT335">
        <v>0</v>
      </c>
      <c r="BU335">
        <v>0</v>
      </c>
      <c r="BV335">
        <v>0</v>
      </c>
      <c r="BW335">
        <v>0</v>
      </c>
      <c r="BX335">
        <v>0</v>
      </c>
      <c r="BY335">
        <v>0</v>
      </c>
      <c r="BZ335">
        <v>0</v>
      </c>
      <c r="CA335">
        <v>0</v>
      </c>
      <c r="CB335">
        <v>0</v>
      </c>
      <c r="CC335">
        <v>0</v>
      </c>
      <c r="CD335">
        <v>0</v>
      </c>
      <c r="CE335">
        <v>0</v>
      </c>
      <c r="CF335">
        <v>0</v>
      </c>
      <c r="CG335">
        <v>0</v>
      </c>
      <c r="CH335">
        <v>0</v>
      </c>
      <c r="CI335">
        <v>0</v>
      </c>
      <c r="CJ335">
        <v>0</v>
      </c>
      <c r="CK335">
        <v>0</v>
      </c>
      <c r="CL335">
        <v>0</v>
      </c>
      <c r="CM335">
        <v>0</v>
      </c>
      <c r="CN335">
        <v>0</v>
      </c>
      <c r="CO335">
        <v>0</v>
      </c>
      <c r="CP335">
        <v>0</v>
      </c>
      <c r="CQ335">
        <v>0</v>
      </c>
      <c r="CR335">
        <v>0</v>
      </c>
      <c r="CS335">
        <v>0</v>
      </c>
      <c r="CT335">
        <v>0</v>
      </c>
      <c r="CU335">
        <v>0</v>
      </c>
      <c r="CV335">
        <v>0</v>
      </c>
      <c r="CW335">
        <v>0</v>
      </c>
      <c r="CX335">
        <v>0</v>
      </c>
      <c r="CY335">
        <v>0</v>
      </c>
      <c r="CZ335">
        <v>0</v>
      </c>
      <c r="DA335">
        <v>0</v>
      </c>
      <c r="DB335">
        <v>0</v>
      </c>
      <c r="DC335">
        <v>0</v>
      </c>
      <c r="DD335">
        <v>0</v>
      </c>
      <c r="DE335">
        <v>0</v>
      </c>
      <c r="DF335">
        <v>0</v>
      </c>
      <c r="DG335">
        <v>0</v>
      </c>
      <c r="DH335">
        <v>0</v>
      </c>
      <c r="DI335">
        <v>0</v>
      </c>
      <c r="DJ335">
        <v>0</v>
      </c>
      <c r="DK335">
        <v>0</v>
      </c>
      <c r="DL335">
        <v>0</v>
      </c>
      <c r="DM335">
        <v>0</v>
      </c>
      <c r="DN335">
        <v>0</v>
      </c>
      <c r="DO335">
        <v>0</v>
      </c>
      <c r="DP335">
        <v>0</v>
      </c>
      <c r="DQ335">
        <v>0</v>
      </c>
      <c r="DR335">
        <v>0</v>
      </c>
      <c r="DS335">
        <v>0</v>
      </c>
      <c r="DT335">
        <v>0</v>
      </c>
      <c r="DU335">
        <v>0</v>
      </c>
      <c r="DV335">
        <v>0</v>
      </c>
      <c r="DW335">
        <v>0</v>
      </c>
      <c r="DX335">
        <v>0</v>
      </c>
      <c r="DY335">
        <v>0</v>
      </c>
      <c r="DZ335">
        <v>0</v>
      </c>
      <c r="EA335">
        <v>0</v>
      </c>
      <c r="EB335">
        <v>0</v>
      </c>
      <c r="EC335">
        <v>0</v>
      </c>
      <c r="ED335">
        <v>0</v>
      </c>
      <c r="EE335">
        <v>0</v>
      </c>
      <c r="EF335">
        <v>0</v>
      </c>
      <c r="EG335">
        <v>0</v>
      </c>
      <c r="EH335">
        <v>0</v>
      </c>
      <c r="EI335">
        <v>0</v>
      </c>
      <c r="EJ335">
        <v>0</v>
      </c>
      <c r="EK335">
        <v>0</v>
      </c>
      <c r="EL335">
        <v>0</v>
      </c>
      <c r="EM335">
        <v>0</v>
      </c>
      <c r="EN335">
        <v>0</v>
      </c>
      <c r="EO335">
        <v>0</v>
      </c>
      <c r="EP335">
        <v>0</v>
      </c>
      <c r="EQ335">
        <v>0</v>
      </c>
      <c r="ER335">
        <v>0</v>
      </c>
      <c r="ES335">
        <v>0</v>
      </c>
      <c r="ET335">
        <v>0</v>
      </c>
      <c r="EU335">
        <v>0</v>
      </c>
      <c r="EV335">
        <v>0</v>
      </c>
      <c r="EW335">
        <v>0</v>
      </c>
      <c r="EX335">
        <v>0</v>
      </c>
      <c r="EY335">
        <v>0</v>
      </c>
      <c r="EZ335">
        <v>0</v>
      </c>
      <c r="FA335">
        <v>0</v>
      </c>
      <c r="FB335">
        <v>0</v>
      </c>
      <c r="FC335">
        <v>0</v>
      </c>
      <c r="FD335">
        <v>0</v>
      </c>
      <c r="FE335">
        <v>0</v>
      </c>
      <c r="FF335">
        <v>0</v>
      </c>
      <c r="FG335">
        <v>0</v>
      </c>
      <c r="FH335">
        <v>0</v>
      </c>
      <c r="FI335">
        <v>0</v>
      </c>
      <c r="FJ335">
        <v>0</v>
      </c>
      <c r="FK335">
        <v>0</v>
      </c>
      <c r="FL335">
        <v>0</v>
      </c>
      <c r="FM335">
        <v>0</v>
      </c>
      <c r="FN335">
        <v>0</v>
      </c>
      <c r="FO335">
        <v>0</v>
      </c>
      <c r="FP335">
        <v>0</v>
      </c>
      <c r="FQ335">
        <v>0</v>
      </c>
      <c r="FR335">
        <v>0</v>
      </c>
      <c r="FS335">
        <v>0</v>
      </c>
      <c r="FT335">
        <v>0</v>
      </c>
      <c r="FU335">
        <v>0</v>
      </c>
      <c r="FV335">
        <v>0</v>
      </c>
      <c r="FW335">
        <v>0</v>
      </c>
      <c r="FX335">
        <v>0</v>
      </c>
      <c r="FY335">
        <v>0</v>
      </c>
      <c r="FZ335">
        <v>0</v>
      </c>
      <c r="GA335">
        <v>0</v>
      </c>
      <c r="GB335">
        <v>0</v>
      </c>
      <c r="GC335">
        <v>0</v>
      </c>
      <c r="GD335">
        <v>0</v>
      </c>
      <c r="GE335">
        <v>0</v>
      </c>
      <c r="GF335">
        <v>0</v>
      </c>
      <c r="GG335">
        <v>0</v>
      </c>
      <c r="GH335">
        <v>0</v>
      </c>
      <c r="GI335">
        <v>0</v>
      </c>
      <c r="GJ335">
        <v>0</v>
      </c>
      <c r="GK335">
        <v>0</v>
      </c>
      <c r="GL335">
        <v>0</v>
      </c>
      <c r="GM335">
        <v>0</v>
      </c>
      <c r="GN335">
        <v>0</v>
      </c>
      <c r="GO335">
        <v>0</v>
      </c>
      <c r="GP335">
        <v>0</v>
      </c>
      <c r="GQ335">
        <v>0</v>
      </c>
      <c r="GR335">
        <v>0</v>
      </c>
      <c r="GS335">
        <v>0</v>
      </c>
      <c r="GT335">
        <v>0</v>
      </c>
      <c r="GU335">
        <v>0</v>
      </c>
      <c r="GV335">
        <v>0</v>
      </c>
      <c r="GW335">
        <v>0</v>
      </c>
      <c r="GX335">
        <v>0</v>
      </c>
      <c r="GY335">
        <v>0</v>
      </c>
      <c r="GZ335">
        <v>0</v>
      </c>
      <c r="HA335">
        <v>0</v>
      </c>
      <c r="HB335">
        <v>0</v>
      </c>
      <c r="HC335">
        <v>0</v>
      </c>
      <c r="HD335">
        <v>0</v>
      </c>
      <c r="HE335">
        <v>0</v>
      </c>
      <c r="HF335">
        <v>0</v>
      </c>
      <c r="HG335">
        <v>0</v>
      </c>
      <c r="HH335">
        <v>0</v>
      </c>
      <c r="HI335">
        <v>0</v>
      </c>
      <c r="HJ335">
        <v>0</v>
      </c>
      <c r="HK335">
        <v>0</v>
      </c>
      <c r="HL335">
        <v>0</v>
      </c>
      <c r="HM335">
        <v>0</v>
      </c>
      <c r="HN335">
        <v>0</v>
      </c>
      <c r="HO335">
        <v>0</v>
      </c>
      <c r="HP335">
        <v>0</v>
      </c>
      <c r="HQ335">
        <v>0</v>
      </c>
      <c r="HR335">
        <v>0</v>
      </c>
      <c r="HS335">
        <v>0</v>
      </c>
      <c r="HT335">
        <v>0</v>
      </c>
      <c r="HU335">
        <v>0</v>
      </c>
      <c r="HV335">
        <v>0</v>
      </c>
      <c r="HW335">
        <v>0</v>
      </c>
      <c r="HX335">
        <v>0</v>
      </c>
      <c r="HY335">
        <v>0</v>
      </c>
      <c r="HZ335">
        <v>0</v>
      </c>
      <c r="IA335">
        <v>0</v>
      </c>
      <c r="IB335">
        <v>0</v>
      </c>
      <c r="IC335">
        <v>0</v>
      </c>
      <c r="ID335">
        <v>0</v>
      </c>
      <c r="IE335">
        <v>0</v>
      </c>
      <c r="IF335">
        <v>0</v>
      </c>
      <c r="IG335">
        <v>0</v>
      </c>
      <c r="IH335">
        <v>0</v>
      </c>
      <c r="II335">
        <v>0</v>
      </c>
      <c r="IJ335">
        <v>0</v>
      </c>
      <c r="IK335">
        <v>0</v>
      </c>
      <c r="IL335">
        <v>0</v>
      </c>
      <c r="IM335">
        <v>0</v>
      </c>
      <c r="IN335">
        <v>0</v>
      </c>
      <c r="IO335">
        <v>0</v>
      </c>
      <c r="IP335">
        <v>0</v>
      </c>
      <c r="IQ335">
        <v>0</v>
      </c>
      <c r="IR335">
        <v>0</v>
      </c>
      <c r="IS335">
        <v>0</v>
      </c>
      <c r="IT335">
        <v>0</v>
      </c>
      <c r="IU335">
        <v>0</v>
      </c>
      <c r="IV335">
        <v>0</v>
      </c>
      <c r="IW335">
        <v>0</v>
      </c>
      <c r="IX335">
        <v>0</v>
      </c>
      <c r="IY335">
        <v>0</v>
      </c>
      <c r="IZ335">
        <v>0</v>
      </c>
      <c r="JA335">
        <v>0</v>
      </c>
      <c r="JB335">
        <v>0</v>
      </c>
      <c r="JC335">
        <v>0</v>
      </c>
      <c r="JD335">
        <v>0</v>
      </c>
      <c r="JE335">
        <v>0</v>
      </c>
      <c r="JF335">
        <v>0</v>
      </c>
      <c r="JG335">
        <v>0</v>
      </c>
      <c r="JH335">
        <v>0</v>
      </c>
      <c r="JI335">
        <v>0</v>
      </c>
      <c r="JJ335">
        <v>0</v>
      </c>
      <c r="JK335">
        <v>0</v>
      </c>
      <c r="JL335">
        <v>0</v>
      </c>
      <c r="JM335">
        <v>0</v>
      </c>
      <c r="JN335">
        <v>0</v>
      </c>
      <c r="JO335">
        <v>0</v>
      </c>
      <c r="JP335">
        <v>0</v>
      </c>
      <c r="JQ335">
        <v>0</v>
      </c>
      <c r="JR335">
        <v>0</v>
      </c>
      <c r="JS335">
        <v>0</v>
      </c>
      <c r="JT335">
        <v>0</v>
      </c>
      <c r="JU335">
        <v>0</v>
      </c>
      <c r="JV335">
        <v>0</v>
      </c>
      <c r="JW335">
        <v>0</v>
      </c>
      <c r="JX335">
        <v>0</v>
      </c>
      <c r="JY335">
        <v>0</v>
      </c>
      <c r="JZ335">
        <v>0</v>
      </c>
      <c r="KA335">
        <v>0</v>
      </c>
      <c r="KB335">
        <v>0</v>
      </c>
      <c r="KC335">
        <v>0</v>
      </c>
      <c r="KD335">
        <v>0</v>
      </c>
      <c r="KE335">
        <v>0</v>
      </c>
      <c r="KF335">
        <v>0</v>
      </c>
      <c r="KG335">
        <v>0</v>
      </c>
      <c r="KH335">
        <v>0</v>
      </c>
      <c r="KI335">
        <v>0</v>
      </c>
      <c r="KJ335">
        <v>0</v>
      </c>
      <c r="KK335">
        <v>0</v>
      </c>
      <c r="KL335">
        <v>0</v>
      </c>
      <c r="KM335">
        <v>0</v>
      </c>
      <c r="KN335">
        <v>0</v>
      </c>
      <c r="KO335">
        <v>0</v>
      </c>
      <c r="KP335">
        <v>0</v>
      </c>
      <c r="KQ335">
        <v>0</v>
      </c>
      <c r="KR335">
        <v>0</v>
      </c>
      <c r="KS335">
        <v>0</v>
      </c>
      <c r="KT335">
        <v>0</v>
      </c>
      <c r="KU335">
        <v>0</v>
      </c>
      <c r="KV335">
        <v>0</v>
      </c>
      <c r="KW335">
        <v>0</v>
      </c>
      <c r="KX335">
        <v>0</v>
      </c>
      <c r="KY335">
        <v>0</v>
      </c>
      <c r="KZ335">
        <v>0</v>
      </c>
      <c r="LA335">
        <v>0</v>
      </c>
      <c r="LB335">
        <v>0</v>
      </c>
      <c r="LC335">
        <v>0</v>
      </c>
      <c r="LD335">
        <v>0</v>
      </c>
      <c r="LE335">
        <v>0</v>
      </c>
      <c r="LF335">
        <v>0</v>
      </c>
      <c r="LG335">
        <v>0</v>
      </c>
      <c r="LH335">
        <v>0</v>
      </c>
      <c r="LI335">
        <v>0</v>
      </c>
      <c r="LJ335">
        <v>0</v>
      </c>
      <c r="LK335">
        <v>0</v>
      </c>
      <c r="LL335">
        <v>0</v>
      </c>
      <c r="LM335">
        <v>0</v>
      </c>
      <c r="LN335">
        <v>0</v>
      </c>
      <c r="LO335">
        <v>0</v>
      </c>
      <c r="LP335">
        <v>0</v>
      </c>
      <c r="LQ335">
        <v>0</v>
      </c>
      <c r="LR335">
        <v>0</v>
      </c>
      <c r="LS335">
        <v>0</v>
      </c>
      <c r="LT335">
        <v>0</v>
      </c>
      <c r="LU335">
        <v>0</v>
      </c>
      <c r="LV335">
        <v>0</v>
      </c>
      <c r="LW335">
        <v>0</v>
      </c>
      <c r="LX335">
        <v>0</v>
      </c>
      <c r="LY335">
        <v>0</v>
      </c>
      <c r="LZ335">
        <v>0</v>
      </c>
      <c r="MA335">
        <v>0</v>
      </c>
      <c r="MB335">
        <v>0</v>
      </c>
      <c r="MC335">
        <v>0</v>
      </c>
      <c r="MD335">
        <v>0</v>
      </c>
      <c r="ME335">
        <v>0</v>
      </c>
      <c r="MF335">
        <v>0</v>
      </c>
      <c r="MG335">
        <v>0</v>
      </c>
      <c r="MH335">
        <v>0</v>
      </c>
      <c r="MI335">
        <v>0</v>
      </c>
      <c r="MJ335">
        <v>0</v>
      </c>
      <c r="MK335">
        <v>0</v>
      </c>
      <c r="ML335">
        <v>0</v>
      </c>
      <c r="MM335">
        <v>0</v>
      </c>
      <c r="MN335">
        <v>0</v>
      </c>
      <c r="MO335">
        <v>0</v>
      </c>
      <c r="MP335">
        <v>0</v>
      </c>
      <c r="MQ335">
        <v>0</v>
      </c>
      <c r="MR335">
        <v>0</v>
      </c>
      <c r="MS335">
        <v>0</v>
      </c>
      <c r="MT335">
        <v>0</v>
      </c>
      <c r="MU335">
        <v>0</v>
      </c>
      <c r="MV335">
        <v>0</v>
      </c>
      <c r="MW335">
        <v>0</v>
      </c>
      <c r="MX335">
        <v>0</v>
      </c>
      <c r="MY335">
        <v>0</v>
      </c>
      <c r="MZ335">
        <v>0</v>
      </c>
      <c r="NA335">
        <v>0</v>
      </c>
      <c r="NB335">
        <v>0</v>
      </c>
      <c r="NC335">
        <v>0</v>
      </c>
      <c r="ND335">
        <v>0</v>
      </c>
      <c r="NE335">
        <v>0</v>
      </c>
    </row>
    <row r="336" spans="41:369" x14ac:dyDescent="0.45">
      <c r="AO336">
        <v>0</v>
      </c>
      <c r="AP336">
        <v>0</v>
      </c>
      <c r="AQ336">
        <v>0</v>
      </c>
      <c r="AR336">
        <v>0</v>
      </c>
      <c r="AS336">
        <v>0</v>
      </c>
      <c r="AT336">
        <v>0</v>
      </c>
      <c r="AU336">
        <v>0</v>
      </c>
      <c r="AV336">
        <v>0</v>
      </c>
      <c r="AW336" t="str">
        <v/>
      </c>
      <c r="AX336">
        <v>255</v>
      </c>
      <c r="AY336" s="5" t="str">
        <v/>
      </c>
      <c r="AZ336">
        <v>0</v>
      </c>
      <c r="BA336">
        <v>0</v>
      </c>
      <c r="BB336">
        <v>0</v>
      </c>
      <c r="BC336">
        <v>0</v>
      </c>
      <c r="BD336">
        <v>0</v>
      </c>
      <c r="BE336">
        <v>0</v>
      </c>
      <c r="BF336">
        <v>0</v>
      </c>
      <c r="BG336">
        <v>0</v>
      </c>
      <c r="BH336">
        <v>0</v>
      </c>
      <c r="BI336" t="str">
        <v/>
      </c>
      <c r="BK336">
        <v>330</v>
      </c>
      <c r="BL336">
        <v>0</v>
      </c>
      <c r="BM336">
        <v>0</v>
      </c>
      <c r="BN336">
        <v>0</v>
      </c>
      <c r="BO336">
        <v>0</v>
      </c>
      <c r="BP336">
        <v>0</v>
      </c>
      <c r="BQ336">
        <v>0</v>
      </c>
      <c r="BR336">
        <v>0</v>
      </c>
      <c r="BS336">
        <v>0</v>
      </c>
      <c r="BT336">
        <v>0</v>
      </c>
      <c r="BU336">
        <v>0</v>
      </c>
      <c r="BV336">
        <v>0</v>
      </c>
      <c r="BW336">
        <v>0</v>
      </c>
      <c r="BX336">
        <v>0</v>
      </c>
      <c r="BY336">
        <v>0</v>
      </c>
      <c r="BZ336">
        <v>0</v>
      </c>
      <c r="CA336">
        <v>0</v>
      </c>
      <c r="CB336">
        <v>0</v>
      </c>
      <c r="CC336">
        <v>0</v>
      </c>
      <c r="CD336">
        <v>0</v>
      </c>
      <c r="CE336">
        <v>0</v>
      </c>
      <c r="CF336">
        <v>0</v>
      </c>
      <c r="CG336">
        <v>0</v>
      </c>
      <c r="CH336">
        <v>0</v>
      </c>
      <c r="CI336">
        <v>0</v>
      </c>
      <c r="CJ336">
        <v>0</v>
      </c>
      <c r="CK336">
        <v>0</v>
      </c>
      <c r="CL336">
        <v>0</v>
      </c>
      <c r="CM336">
        <v>0</v>
      </c>
      <c r="CN336">
        <v>0</v>
      </c>
      <c r="CO336">
        <v>0</v>
      </c>
      <c r="CP336">
        <v>0</v>
      </c>
      <c r="CQ336">
        <v>0</v>
      </c>
      <c r="CR336">
        <v>0</v>
      </c>
      <c r="CS336">
        <v>0</v>
      </c>
      <c r="CT336">
        <v>0</v>
      </c>
      <c r="CU336">
        <v>0</v>
      </c>
      <c r="CV336">
        <v>0</v>
      </c>
      <c r="CW336">
        <v>0</v>
      </c>
      <c r="CX336">
        <v>0</v>
      </c>
      <c r="CY336">
        <v>0</v>
      </c>
      <c r="CZ336">
        <v>0</v>
      </c>
      <c r="DA336">
        <v>0</v>
      </c>
      <c r="DB336">
        <v>0</v>
      </c>
      <c r="DC336">
        <v>0</v>
      </c>
      <c r="DD336">
        <v>0</v>
      </c>
      <c r="DE336">
        <v>0</v>
      </c>
      <c r="DF336">
        <v>0</v>
      </c>
      <c r="DG336">
        <v>0</v>
      </c>
      <c r="DH336">
        <v>0</v>
      </c>
      <c r="DI336">
        <v>0</v>
      </c>
      <c r="DJ336">
        <v>0</v>
      </c>
      <c r="DK336">
        <v>0</v>
      </c>
      <c r="DL336">
        <v>0</v>
      </c>
      <c r="DM336">
        <v>0</v>
      </c>
      <c r="DN336">
        <v>0</v>
      </c>
      <c r="DO336">
        <v>0</v>
      </c>
      <c r="DP336">
        <v>0</v>
      </c>
      <c r="DQ336">
        <v>0</v>
      </c>
      <c r="DR336">
        <v>0</v>
      </c>
      <c r="DS336">
        <v>0</v>
      </c>
      <c r="DT336">
        <v>0</v>
      </c>
      <c r="DU336">
        <v>0</v>
      </c>
      <c r="DV336">
        <v>0</v>
      </c>
      <c r="DW336">
        <v>0</v>
      </c>
      <c r="DX336">
        <v>0</v>
      </c>
      <c r="DY336">
        <v>0</v>
      </c>
      <c r="DZ336">
        <v>0</v>
      </c>
      <c r="EA336">
        <v>0</v>
      </c>
      <c r="EB336">
        <v>0</v>
      </c>
      <c r="EC336">
        <v>0</v>
      </c>
      <c r="ED336">
        <v>0</v>
      </c>
      <c r="EE336">
        <v>0</v>
      </c>
      <c r="EF336">
        <v>0</v>
      </c>
      <c r="EG336">
        <v>0</v>
      </c>
      <c r="EH336">
        <v>0</v>
      </c>
      <c r="EI336">
        <v>0</v>
      </c>
      <c r="EJ336">
        <v>0</v>
      </c>
      <c r="EK336">
        <v>0</v>
      </c>
      <c r="EL336">
        <v>0</v>
      </c>
      <c r="EM336">
        <v>0</v>
      </c>
      <c r="EN336">
        <v>0</v>
      </c>
      <c r="EO336">
        <v>0</v>
      </c>
      <c r="EP336">
        <v>0</v>
      </c>
      <c r="EQ336">
        <v>0</v>
      </c>
      <c r="ER336">
        <v>0</v>
      </c>
      <c r="ES336">
        <v>0</v>
      </c>
      <c r="ET336">
        <v>0</v>
      </c>
      <c r="EU336">
        <v>0</v>
      </c>
      <c r="EV336">
        <v>0</v>
      </c>
      <c r="EW336">
        <v>0</v>
      </c>
      <c r="EX336">
        <v>0</v>
      </c>
      <c r="EY336">
        <v>0</v>
      </c>
      <c r="EZ336">
        <v>0</v>
      </c>
      <c r="FA336">
        <v>0</v>
      </c>
      <c r="FB336">
        <v>0</v>
      </c>
      <c r="FC336">
        <v>0</v>
      </c>
      <c r="FD336">
        <v>0</v>
      </c>
      <c r="FE336">
        <v>0</v>
      </c>
      <c r="FF336">
        <v>0</v>
      </c>
      <c r="FG336">
        <v>0</v>
      </c>
      <c r="FH336">
        <v>0</v>
      </c>
      <c r="FI336">
        <v>0</v>
      </c>
      <c r="FJ336">
        <v>0</v>
      </c>
      <c r="FK336">
        <v>0</v>
      </c>
      <c r="FL336">
        <v>0</v>
      </c>
      <c r="FM336">
        <v>0</v>
      </c>
      <c r="FN336">
        <v>0</v>
      </c>
      <c r="FO336">
        <v>0</v>
      </c>
      <c r="FP336">
        <v>0</v>
      </c>
      <c r="FQ336">
        <v>0</v>
      </c>
      <c r="FR336">
        <v>0</v>
      </c>
      <c r="FS336">
        <v>0</v>
      </c>
      <c r="FT336">
        <v>0</v>
      </c>
      <c r="FU336">
        <v>0</v>
      </c>
      <c r="FV336">
        <v>0</v>
      </c>
      <c r="FW336">
        <v>0</v>
      </c>
      <c r="FX336">
        <v>0</v>
      </c>
      <c r="FY336">
        <v>0</v>
      </c>
      <c r="FZ336">
        <v>0</v>
      </c>
      <c r="GA336">
        <v>0</v>
      </c>
      <c r="GB336">
        <v>0</v>
      </c>
      <c r="GC336">
        <v>0</v>
      </c>
      <c r="GD336">
        <v>0</v>
      </c>
      <c r="GE336">
        <v>0</v>
      </c>
      <c r="GF336">
        <v>0</v>
      </c>
      <c r="GG336">
        <v>0</v>
      </c>
      <c r="GH336">
        <v>0</v>
      </c>
      <c r="GI336">
        <v>0</v>
      </c>
      <c r="GJ336">
        <v>0</v>
      </c>
      <c r="GK336">
        <v>0</v>
      </c>
      <c r="GL336">
        <v>0</v>
      </c>
      <c r="GM336">
        <v>0</v>
      </c>
      <c r="GN336">
        <v>0</v>
      </c>
      <c r="GO336">
        <v>0</v>
      </c>
      <c r="GP336">
        <v>0</v>
      </c>
      <c r="GQ336">
        <v>0</v>
      </c>
      <c r="GR336">
        <v>0</v>
      </c>
      <c r="GS336">
        <v>0</v>
      </c>
      <c r="GT336">
        <v>0</v>
      </c>
      <c r="GU336">
        <v>0</v>
      </c>
      <c r="GV336">
        <v>0</v>
      </c>
      <c r="GW336">
        <v>0</v>
      </c>
      <c r="GX336">
        <v>0</v>
      </c>
      <c r="GY336">
        <v>0</v>
      </c>
      <c r="GZ336">
        <v>0</v>
      </c>
      <c r="HA336">
        <v>0</v>
      </c>
      <c r="HB336">
        <v>0</v>
      </c>
      <c r="HC336">
        <v>0</v>
      </c>
      <c r="HD336">
        <v>0</v>
      </c>
      <c r="HE336">
        <v>0</v>
      </c>
      <c r="HF336">
        <v>0</v>
      </c>
      <c r="HG336">
        <v>0</v>
      </c>
      <c r="HH336">
        <v>0</v>
      </c>
      <c r="HI336">
        <v>0</v>
      </c>
      <c r="HJ336">
        <v>0</v>
      </c>
      <c r="HK336">
        <v>0</v>
      </c>
      <c r="HL336">
        <v>0</v>
      </c>
      <c r="HM336">
        <v>0</v>
      </c>
      <c r="HN336">
        <v>0</v>
      </c>
      <c r="HO336">
        <v>0</v>
      </c>
      <c r="HP336">
        <v>0</v>
      </c>
      <c r="HQ336">
        <v>0</v>
      </c>
      <c r="HR336">
        <v>0</v>
      </c>
      <c r="HS336">
        <v>0</v>
      </c>
      <c r="HT336">
        <v>0</v>
      </c>
      <c r="HU336">
        <v>0</v>
      </c>
      <c r="HV336">
        <v>0</v>
      </c>
      <c r="HW336">
        <v>0</v>
      </c>
      <c r="HX336">
        <v>0</v>
      </c>
      <c r="HY336">
        <v>0</v>
      </c>
      <c r="HZ336">
        <v>0</v>
      </c>
      <c r="IA336">
        <v>0</v>
      </c>
      <c r="IB336">
        <v>0</v>
      </c>
      <c r="IC336">
        <v>0</v>
      </c>
      <c r="ID336">
        <v>0</v>
      </c>
      <c r="IE336">
        <v>0</v>
      </c>
      <c r="IF336">
        <v>0</v>
      </c>
      <c r="IG336">
        <v>0</v>
      </c>
      <c r="IH336">
        <v>0</v>
      </c>
      <c r="II336">
        <v>0</v>
      </c>
      <c r="IJ336">
        <v>0</v>
      </c>
      <c r="IK336">
        <v>0</v>
      </c>
      <c r="IL336">
        <v>0</v>
      </c>
      <c r="IM336">
        <v>0</v>
      </c>
      <c r="IN336">
        <v>0</v>
      </c>
      <c r="IO336">
        <v>0</v>
      </c>
      <c r="IP336">
        <v>0</v>
      </c>
      <c r="IQ336">
        <v>0</v>
      </c>
      <c r="IR336">
        <v>0</v>
      </c>
      <c r="IS336">
        <v>0</v>
      </c>
      <c r="IT336">
        <v>0</v>
      </c>
      <c r="IU336">
        <v>0</v>
      </c>
      <c r="IV336">
        <v>0</v>
      </c>
      <c r="IW336">
        <v>0</v>
      </c>
      <c r="IX336">
        <v>0</v>
      </c>
      <c r="IY336">
        <v>0</v>
      </c>
      <c r="IZ336">
        <v>0</v>
      </c>
      <c r="JA336">
        <v>0</v>
      </c>
      <c r="JB336">
        <v>0</v>
      </c>
      <c r="JC336">
        <v>0</v>
      </c>
      <c r="JD336">
        <v>0</v>
      </c>
      <c r="JE336">
        <v>0</v>
      </c>
      <c r="JF336">
        <v>0</v>
      </c>
      <c r="JG336">
        <v>0</v>
      </c>
      <c r="JH336">
        <v>0</v>
      </c>
      <c r="JI336">
        <v>0</v>
      </c>
      <c r="JJ336">
        <v>0</v>
      </c>
      <c r="JK336">
        <v>0</v>
      </c>
      <c r="JL336">
        <v>0</v>
      </c>
      <c r="JM336">
        <v>0</v>
      </c>
      <c r="JN336">
        <v>0</v>
      </c>
      <c r="JO336">
        <v>0</v>
      </c>
      <c r="JP336">
        <v>0</v>
      </c>
      <c r="JQ336">
        <v>0</v>
      </c>
      <c r="JR336">
        <v>0</v>
      </c>
      <c r="JS336">
        <v>0</v>
      </c>
      <c r="JT336">
        <v>0</v>
      </c>
      <c r="JU336">
        <v>0</v>
      </c>
      <c r="JV336">
        <v>0</v>
      </c>
      <c r="JW336">
        <v>0</v>
      </c>
      <c r="JX336">
        <v>0</v>
      </c>
      <c r="JY336">
        <v>0</v>
      </c>
      <c r="JZ336">
        <v>0</v>
      </c>
      <c r="KA336">
        <v>0</v>
      </c>
      <c r="KB336">
        <v>0</v>
      </c>
      <c r="KC336">
        <v>0</v>
      </c>
      <c r="KD336">
        <v>0</v>
      </c>
      <c r="KE336">
        <v>0</v>
      </c>
      <c r="KF336">
        <v>0</v>
      </c>
      <c r="KG336">
        <v>0</v>
      </c>
      <c r="KH336">
        <v>0</v>
      </c>
      <c r="KI336">
        <v>0</v>
      </c>
      <c r="KJ336">
        <v>0</v>
      </c>
      <c r="KK336">
        <v>0</v>
      </c>
      <c r="KL336">
        <v>0</v>
      </c>
      <c r="KM336">
        <v>0</v>
      </c>
      <c r="KN336">
        <v>0</v>
      </c>
      <c r="KO336">
        <v>0</v>
      </c>
      <c r="KP336">
        <v>0</v>
      </c>
      <c r="KQ336">
        <v>0</v>
      </c>
      <c r="KR336">
        <v>0</v>
      </c>
      <c r="KS336">
        <v>0</v>
      </c>
      <c r="KT336">
        <v>0</v>
      </c>
      <c r="KU336">
        <v>0</v>
      </c>
      <c r="KV336">
        <v>0</v>
      </c>
      <c r="KW336">
        <v>0</v>
      </c>
      <c r="KX336">
        <v>0</v>
      </c>
      <c r="KY336">
        <v>0</v>
      </c>
      <c r="KZ336">
        <v>0</v>
      </c>
      <c r="LA336">
        <v>0</v>
      </c>
      <c r="LB336">
        <v>0</v>
      </c>
      <c r="LC336">
        <v>0</v>
      </c>
      <c r="LD336">
        <v>0</v>
      </c>
      <c r="LE336">
        <v>0</v>
      </c>
      <c r="LF336">
        <v>0</v>
      </c>
      <c r="LG336">
        <v>0</v>
      </c>
      <c r="LH336">
        <v>0</v>
      </c>
      <c r="LI336">
        <v>0</v>
      </c>
      <c r="LJ336">
        <v>0</v>
      </c>
      <c r="LK336">
        <v>0</v>
      </c>
      <c r="LL336">
        <v>0</v>
      </c>
      <c r="LM336">
        <v>0</v>
      </c>
      <c r="LN336">
        <v>0</v>
      </c>
      <c r="LO336">
        <v>0</v>
      </c>
      <c r="LP336">
        <v>0</v>
      </c>
      <c r="LQ336">
        <v>0</v>
      </c>
      <c r="LR336">
        <v>0</v>
      </c>
      <c r="LS336">
        <v>0</v>
      </c>
      <c r="LT336">
        <v>0</v>
      </c>
      <c r="LU336">
        <v>0</v>
      </c>
      <c r="LV336">
        <v>0</v>
      </c>
      <c r="LW336">
        <v>0</v>
      </c>
      <c r="LX336">
        <v>0</v>
      </c>
      <c r="LY336">
        <v>0</v>
      </c>
      <c r="LZ336">
        <v>0</v>
      </c>
      <c r="MA336">
        <v>0</v>
      </c>
      <c r="MB336">
        <v>0</v>
      </c>
      <c r="MC336">
        <v>0</v>
      </c>
      <c r="MD336">
        <v>0</v>
      </c>
      <c r="ME336">
        <v>0</v>
      </c>
      <c r="MF336">
        <v>0</v>
      </c>
      <c r="MG336">
        <v>0</v>
      </c>
      <c r="MH336">
        <v>0</v>
      </c>
      <c r="MI336">
        <v>0</v>
      </c>
      <c r="MJ336">
        <v>0</v>
      </c>
      <c r="MK336">
        <v>0</v>
      </c>
      <c r="ML336">
        <v>0</v>
      </c>
      <c r="MM336">
        <v>0</v>
      </c>
      <c r="MN336">
        <v>0</v>
      </c>
      <c r="MO336">
        <v>0</v>
      </c>
      <c r="MP336">
        <v>0</v>
      </c>
      <c r="MQ336">
        <v>0</v>
      </c>
      <c r="MR336">
        <v>0</v>
      </c>
      <c r="MS336">
        <v>0</v>
      </c>
      <c r="MT336">
        <v>0</v>
      </c>
      <c r="MU336">
        <v>0</v>
      </c>
      <c r="MV336">
        <v>0</v>
      </c>
      <c r="MW336">
        <v>0</v>
      </c>
      <c r="MX336">
        <v>0</v>
      </c>
      <c r="MY336">
        <v>0</v>
      </c>
      <c r="MZ336">
        <v>0</v>
      </c>
      <c r="NA336">
        <v>0</v>
      </c>
      <c r="NB336">
        <v>0</v>
      </c>
      <c r="NC336">
        <v>0</v>
      </c>
      <c r="ND336">
        <v>0</v>
      </c>
      <c r="NE336">
        <v>0</v>
      </c>
    </row>
    <row r="337" spans="41:369" x14ac:dyDescent="0.45">
      <c r="AO337">
        <v>0</v>
      </c>
      <c r="AP337">
        <v>0</v>
      </c>
      <c r="AQ337">
        <v>0</v>
      </c>
      <c r="AR337">
        <v>0</v>
      </c>
      <c r="AS337">
        <v>0</v>
      </c>
      <c r="AT337">
        <v>0</v>
      </c>
      <c r="AU337">
        <v>0</v>
      </c>
      <c r="AV337">
        <v>0</v>
      </c>
      <c r="AW337" t="str">
        <v/>
      </c>
      <c r="AX337">
        <v>255</v>
      </c>
      <c r="AY337" s="5" t="str">
        <v/>
      </c>
      <c r="AZ337">
        <v>0</v>
      </c>
      <c r="BA337">
        <v>0</v>
      </c>
      <c r="BB337">
        <v>0</v>
      </c>
      <c r="BC337">
        <v>0</v>
      </c>
      <c r="BD337">
        <v>0</v>
      </c>
      <c r="BE337">
        <v>0</v>
      </c>
      <c r="BF337">
        <v>0</v>
      </c>
      <c r="BG337">
        <v>0</v>
      </c>
      <c r="BH337">
        <v>0</v>
      </c>
      <c r="BI337" t="str">
        <v/>
      </c>
      <c r="BK337">
        <v>331</v>
      </c>
      <c r="BL337">
        <v>0</v>
      </c>
      <c r="BM337">
        <v>0</v>
      </c>
      <c r="BN337">
        <v>0</v>
      </c>
      <c r="BO337">
        <v>0</v>
      </c>
      <c r="BP337">
        <v>0</v>
      </c>
      <c r="BQ337">
        <v>0</v>
      </c>
      <c r="BR337">
        <v>0</v>
      </c>
      <c r="BS337">
        <v>0</v>
      </c>
      <c r="BT337">
        <v>0</v>
      </c>
      <c r="BU337">
        <v>0</v>
      </c>
      <c r="BV337">
        <v>0</v>
      </c>
      <c r="BW337">
        <v>0</v>
      </c>
      <c r="BX337">
        <v>0</v>
      </c>
      <c r="BY337">
        <v>0</v>
      </c>
      <c r="BZ337">
        <v>0</v>
      </c>
      <c r="CA337">
        <v>0</v>
      </c>
      <c r="CB337">
        <v>0</v>
      </c>
      <c r="CC337">
        <v>0</v>
      </c>
      <c r="CD337">
        <v>0</v>
      </c>
      <c r="CE337">
        <v>0</v>
      </c>
      <c r="CF337">
        <v>0</v>
      </c>
      <c r="CG337">
        <v>0</v>
      </c>
      <c r="CH337">
        <v>0</v>
      </c>
      <c r="CI337">
        <v>0</v>
      </c>
      <c r="CJ337">
        <v>0</v>
      </c>
      <c r="CK337">
        <v>0</v>
      </c>
      <c r="CL337">
        <v>0</v>
      </c>
      <c r="CM337">
        <v>0</v>
      </c>
      <c r="CN337">
        <v>0</v>
      </c>
      <c r="CO337">
        <v>0</v>
      </c>
      <c r="CP337">
        <v>0</v>
      </c>
      <c r="CQ337">
        <v>0</v>
      </c>
      <c r="CR337">
        <v>0</v>
      </c>
      <c r="CS337">
        <v>0</v>
      </c>
      <c r="CT337">
        <v>0</v>
      </c>
      <c r="CU337">
        <v>0</v>
      </c>
      <c r="CV337">
        <v>0</v>
      </c>
      <c r="CW337">
        <v>0</v>
      </c>
      <c r="CX337">
        <v>0</v>
      </c>
      <c r="CY337">
        <v>0</v>
      </c>
      <c r="CZ337">
        <v>0</v>
      </c>
      <c r="DA337">
        <v>0</v>
      </c>
      <c r="DB337">
        <v>0</v>
      </c>
      <c r="DC337">
        <v>0</v>
      </c>
      <c r="DD337">
        <v>0</v>
      </c>
      <c r="DE337">
        <v>0</v>
      </c>
      <c r="DF337">
        <v>0</v>
      </c>
      <c r="DG337">
        <v>0</v>
      </c>
      <c r="DH337">
        <v>0</v>
      </c>
      <c r="DI337">
        <v>0</v>
      </c>
      <c r="DJ337">
        <v>0</v>
      </c>
      <c r="DK337">
        <v>0</v>
      </c>
      <c r="DL337">
        <v>0</v>
      </c>
      <c r="DM337">
        <v>0</v>
      </c>
      <c r="DN337">
        <v>0</v>
      </c>
      <c r="DO337">
        <v>0</v>
      </c>
      <c r="DP337">
        <v>0</v>
      </c>
      <c r="DQ337">
        <v>0</v>
      </c>
      <c r="DR337">
        <v>0</v>
      </c>
      <c r="DS337">
        <v>0</v>
      </c>
      <c r="DT337">
        <v>0</v>
      </c>
      <c r="DU337">
        <v>0</v>
      </c>
      <c r="DV337">
        <v>0</v>
      </c>
      <c r="DW337">
        <v>0</v>
      </c>
      <c r="DX337">
        <v>0</v>
      </c>
      <c r="DY337">
        <v>0</v>
      </c>
      <c r="DZ337">
        <v>0</v>
      </c>
      <c r="EA337">
        <v>0</v>
      </c>
      <c r="EB337">
        <v>0</v>
      </c>
      <c r="EC337">
        <v>0</v>
      </c>
      <c r="ED337">
        <v>0</v>
      </c>
      <c r="EE337">
        <v>0</v>
      </c>
      <c r="EF337">
        <v>0</v>
      </c>
      <c r="EG337">
        <v>0</v>
      </c>
      <c r="EH337">
        <v>0</v>
      </c>
      <c r="EI337">
        <v>0</v>
      </c>
      <c r="EJ337">
        <v>0</v>
      </c>
      <c r="EK337">
        <v>0</v>
      </c>
      <c r="EL337">
        <v>0</v>
      </c>
      <c r="EM337">
        <v>0</v>
      </c>
      <c r="EN337">
        <v>0</v>
      </c>
      <c r="EO337">
        <v>0</v>
      </c>
      <c r="EP337">
        <v>0</v>
      </c>
      <c r="EQ337">
        <v>0</v>
      </c>
      <c r="ER337">
        <v>0</v>
      </c>
      <c r="ES337">
        <v>0</v>
      </c>
      <c r="ET337">
        <v>0</v>
      </c>
      <c r="EU337">
        <v>0</v>
      </c>
      <c r="EV337">
        <v>0</v>
      </c>
      <c r="EW337">
        <v>0</v>
      </c>
      <c r="EX337">
        <v>0</v>
      </c>
      <c r="EY337">
        <v>0</v>
      </c>
      <c r="EZ337">
        <v>0</v>
      </c>
      <c r="FA337">
        <v>0</v>
      </c>
      <c r="FB337">
        <v>0</v>
      </c>
      <c r="FC337">
        <v>0</v>
      </c>
      <c r="FD337">
        <v>0</v>
      </c>
      <c r="FE337">
        <v>0</v>
      </c>
      <c r="FF337">
        <v>0</v>
      </c>
      <c r="FG337">
        <v>0</v>
      </c>
      <c r="FH337">
        <v>0</v>
      </c>
      <c r="FI337">
        <v>0</v>
      </c>
      <c r="FJ337">
        <v>0</v>
      </c>
      <c r="FK337">
        <v>0</v>
      </c>
      <c r="FL337">
        <v>0</v>
      </c>
      <c r="FM337">
        <v>0</v>
      </c>
      <c r="FN337">
        <v>0</v>
      </c>
      <c r="FO337">
        <v>0</v>
      </c>
      <c r="FP337">
        <v>0</v>
      </c>
      <c r="FQ337">
        <v>0</v>
      </c>
      <c r="FR337">
        <v>0</v>
      </c>
      <c r="FS337">
        <v>0</v>
      </c>
      <c r="FT337">
        <v>0</v>
      </c>
      <c r="FU337">
        <v>0</v>
      </c>
      <c r="FV337">
        <v>0</v>
      </c>
      <c r="FW337">
        <v>0</v>
      </c>
      <c r="FX337">
        <v>0</v>
      </c>
      <c r="FY337">
        <v>0</v>
      </c>
      <c r="FZ337">
        <v>0</v>
      </c>
      <c r="GA337">
        <v>0</v>
      </c>
      <c r="GB337">
        <v>0</v>
      </c>
      <c r="GC337">
        <v>0</v>
      </c>
      <c r="GD337">
        <v>0</v>
      </c>
      <c r="GE337">
        <v>0</v>
      </c>
      <c r="GF337">
        <v>0</v>
      </c>
      <c r="GG337">
        <v>0</v>
      </c>
      <c r="GH337">
        <v>0</v>
      </c>
      <c r="GI337">
        <v>0</v>
      </c>
      <c r="GJ337">
        <v>0</v>
      </c>
      <c r="GK337">
        <v>0</v>
      </c>
      <c r="GL337">
        <v>0</v>
      </c>
      <c r="GM337">
        <v>0</v>
      </c>
      <c r="GN337">
        <v>0</v>
      </c>
      <c r="GO337">
        <v>0</v>
      </c>
      <c r="GP337">
        <v>0</v>
      </c>
      <c r="GQ337">
        <v>0</v>
      </c>
      <c r="GR337">
        <v>0</v>
      </c>
      <c r="GS337">
        <v>0</v>
      </c>
      <c r="GT337">
        <v>0</v>
      </c>
      <c r="GU337">
        <v>0</v>
      </c>
      <c r="GV337">
        <v>0</v>
      </c>
      <c r="GW337">
        <v>0</v>
      </c>
      <c r="GX337">
        <v>0</v>
      </c>
      <c r="GY337">
        <v>0</v>
      </c>
      <c r="GZ337">
        <v>0</v>
      </c>
      <c r="HA337">
        <v>0</v>
      </c>
      <c r="HB337">
        <v>0</v>
      </c>
      <c r="HC337">
        <v>0</v>
      </c>
      <c r="HD337">
        <v>0</v>
      </c>
      <c r="HE337">
        <v>0</v>
      </c>
      <c r="HF337">
        <v>0</v>
      </c>
      <c r="HG337">
        <v>0</v>
      </c>
      <c r="HH337">
        <v>0</v>
      </c>
      <c r="HI337">
        <v>0</v>
      </c>
      <c r="HJ337">
        <v>0</v>
      </c>
      <c r="HK337">
        <v>0</v>
      </c>
      <c r="HL337">
        <v>0</v>
      </c>
      <c r="HM337">
        <v>0</v>
      </c>
      <c r="HN337">
        <v>0</v>
      </c>
      <c r="HO337">
        <v>0</v>
      </c>
      <c r="HP337">
        <v>0</v>
      </c>
      <c r="HQ337">
        <v>0</v>
      </c>
      <c r="HR337">
        <v>0</v>
      </c>
      <c r="HS337">
        <v>0</v>
      </c>
      <c r="HT337">
        <v>0</v>
      </c>
      <c r="HU337">
        <v>0</v>
      </c>
      <c r="HV337">
        <v>0</v>
      </c>
      <c r="HW337">
        <v>0</v>
      </c>
      <c r="HX337">
        <v>0</v>
      </c>
      <c r="HY337">
        <v>0</v>
      </c>
      <c r="HZ337">
        <v>0</v>
      </c>
      <c r="IA337">
        <v>0</v>
      </c>
      <c r="IB337">
        <v>0</v>
      </c>
      <c r="IC337">
        <v>0</v>
      </c>
      <c r="ID337">
        <v>0</v>
      </c>
      <c r="IE337">
        <v>0</v>
      </c>
      <c r="IF337">
        <v>0</v>
      </c>
      <c r="IG337">
        <v>0</v>
      </c>
      <c r="IH337">
        <v>0</v>
      </c>
      <c r="II337">
        <v>0</v>
      </c>
      <c r="IJ337">
        <v>0</v>
      </c>
      <c r="IK337">
        <v>0</v>
      </c>
      <c r="IL337">
        <v>0</v>
      </c>
      <c r="IM337">
        <v>0</v>
      </c>
      <c r="IN337">
        <v>0</v>
      </c>
      <c r="IO337">
        <v>0</v>
      </c>
      <c r="IP337">
        <v>0</v>
      </c>
      <c r="IQ337">
        <v>0</v>
      </c>
      <c r="IR337">
        <v>0</v>
      </c>
      <c r="IS337">
        <v>0</v>
      </c>
      <c r="IT337">
        <v>0</v>
      </c>
      <c r="IU337">
        <v>0</v>
      </c>
      <c r="IV337">
        <v>0</v>
      </c>
      <c r="IW337">
        <v>0</v>
      </c>
      <c r="IX337">
        <v>0</v>
      </c>
      <c r="IY337">
        <v>0</v>
      </c>
      <c r="IZ337">
        <v>0</v>
      </c>
      <c r="JA337">
        <v>0</v>
      </c>
      <c r="JB337">
        <v>0</v>
      </c>
      <c r="JC337">
        <v>0</v>
      </c>
      <c r="JD337">
        <v>0</v>
      </c>
      <c r="JE337">
        <v>0</v>
      </c>
      <c r="JF337">
        <v>0</v>
      </c>
      <c r="JG337">
        <v>0</v>
      </c>
      <c r="JH337">
        <v>0</v>
      </c>
      <c r="JI337">
        <v>0</v>
      </c>
      <c r="JJ337">
        <v>0</v>
      </c>
      <c r="JK337">
        <v>0</v>
      </c>
      <c r="JL337">
        <v>0</v>
      </c>
      <c r="JM337">
        <v>0</v>
      </c>
      <c r="JN337">
        <v>0</v>
      </c>
      <c r="JO337">
        <v>0</v>
      </c>
      <c r="JP337">
        <v>0</v>
      </c>
      <c r="JQ337">
        <v>0</v>
      </c>
      <c r="JR337">
        <v>0</v>
      </c>
      <c r="JS337">
        <v>0</v>
      </c>
      <c r="JT337">
        <v>0</v>
      </c>
      <c r="JU337">
        <v>0</v>
      </c>
      <c r="JV337">
        <v>0</v>
      </c>
      <c r="JW337">
        <v>0</v>
      </c>
      <c r="JX337">
        <v>0</v>
      </c>
      <c r="JY337">
        <v>0</v>
      </c>
      <c r="JZ337">
        <v>0</v>
      </c>
      <c r="KA337">
        <v>0</v>
      </c>
      <c r="KB337">
        <v>0</v>
      </c>
      <c r="KC337">
        <v>0</v>
      </c>
      <c r="KD337">
        <v>0</v>
      </c>
      <c r="KE337">
        <v>0</v>
      </c>
      <c r="KF337">
        <v>0</v>
      </c>
      <c r="KG337">
        <v>0</v>
      </c>
      <c r="KH337">
        <v>0</v>
      </c>
      <c r="KI337">
        <v>0</v>
      </c>
      <c r="KJ337">
        <v>0</v>
      </c>
      <c r="KK337">
        <v>0</v>
      </c>
      <c r="KL337">
        <v>0</v>
      </c>
      <c r="KM337">
        <v>0</v>
      </c>
      <c r="KN337">
        <v>0</v>
      </c>
      <c r="KO337">
        <v>0</v>
      </c>
      <c r="KP337">
        <v>0</v>
      </c>
      <c r="KQ337">
        <v>0</v>
      </c>
      <c r="KR337">
        <v>0</v>
      </c>
      <c r="KS337">
        <v>0</v>
      </c>
      <c r="KT337">
        <v>0</v>
      </c>
      <c r="KU337">
        <v>0</v>
      </c>
      <c r="KV337">
        <v>0</v>
      </c>
      <c r="KW337">
        <v>0</v>
      </c>
      <c r="KX337">
        <v>0</v>
      </c>
      <c r="KY337">
        <v>0</v>
      </c>
      <c r="KZ337">
        <v>0</v>
      </c>
      <c r="LA337">
        <v>0</v>
      </c>
      <c r="LB337">
        <v>0</v>
      </c>
      <c r="LC337">
        <v>0</v>
      </c>
      <c r="LD337">
        <v>0</v>
      </c>
      <c r="LE337">
        <v>0</v>
      </c>
      <c r="LF337">
        <v>0</v>
      </c>
      <c r="LG337">
        <v>0</v>
      </c>
      <c r="LH337">
        <v>0</v>
      </c>
      <c r="LI337">
        <v>0</v>
      </c>
      <c r="LJ337">
        <v>0</v>
      </c>
      <c r="LK337">
        <v>0</v>
      </c>
      <c r="LL337">
        <v>0</v>
      </c>
      <c r="LM337">
        <v>0</v>
      </c>
      <c r="LN337">
        <v>0</v>
      </c>
      <c r="LO337">
        <v>0</v>
      </c>
      <c r="LP337">
        <v>0</v>
      </c>
      <c r="LQ337">
        <v>0</v>
      </c>
      <c r="LR337">
        <v>0</v>
      </c>
      <c r="LS337">
        <v>0</v>
      </c>
      <c r="LT337">
        <v>0</v>
      </c>
      <c r="LU337">
        <v>0</v>
      </c>
      <c r="LV337">
        <v>0</v>
      </c>
      <c r="LW337">
        <v>0</v>
      </c>
      <c r="LX337">
        <v>0</v>
      </c>
      <c r="LY337">
        <v>0</v>
      </c>
      <c r="LZ337">
        <v>0</v>
      </c>
      <c r="MA337">
        <v>0</v>
      </c>
      <c r="MB337">
        <v>0</v>
      </c>
      <c r="MC337">
        <v>0</v>
      </c>
      <c r="MD337">
        <v>0</v>
      </c>
      <c r="ME337">
        <v>0</v>
      </c>
      <c r="MF337">
        <v>0</v>
      </c>
      <c r="MG337">
        <v>0</v>
      </c>
      <c r="MH337">
        <v>0</v>
      </c>
      <c r="MI337">
        <v>0</v>
      </c>
      <c r="MJ337">
        <v>0</v>
      </c>
      <c r="MK337">
        <v>0</v>
      </c>
      <c r="ML337">
        <v>0</v>
      </c>
      <c r="MM337">
        <v>0</v>
      </c>
      <c r="MN337">
        <v>0</v>
      </c>
      <c r="MO337">
        <v>0</v>
      </c>
      <c r="MP337">
        <v>0</v>
      </c>
      <c r="MQ337">
        <v>0</v>
      </c>
      <c r="MR337">
        <v>0</v>
      </c>
      <c r="MS337">
        <v>0</v>
      </c>
      <c r="MT337">
        <v>0</v>
      </c>
      <c r="MU337">
        <v>0</v>
      </c>
      <c r="MV337">
        <v>0</v>
      </c>
      <c r="MW337">
        <v>0</v>
      </c>
      <c r="MX337">
        <v>0</v>
      </c>
      <c r="MY337">
        <v>0</v>
      </c>
      <c r="MZ337">
        <v>0</v>
      </c>
      <c r="NA337">
        <v>0</v>
      </c>
      <c r="NB337">
        <v>0</v>
      </c>
      <c r="NC337">
        <v>0</v>
      </c>
      <c r="ND337">
        <v>0</v>
      </c>
      <c r="NE337">
        <v>0</v>
      </c>
    </row>
    <row r="338" spans="41:369" x14ac:dyDescent="0.45">
      <c r="AO338">
        <v>0</v>
      </c>
      <c r="AP338">
        <v>0</v>
      </c>
      <c r="AQ338">
        <v>0</v>
      </c>
      <c r="AR338">
        <v>0</v>
      </c>
      <c r="AS338">
        <v>0</v>
      </c>
      <c r="AT338">
        <v>0</v>
      </c>
      <c r="AU338">
        <v>0</v>
      </c>
      <c r="AV338">
        <v>0</v>
      </c>
      <c r="AW338" t="str">
        <v/>
      </c>
      <c r="AX338">
        <v>255</v>
      </c>
      <c r="AY338" s="5" t="str">
        <v/>
      </c>
      <c r="AZ338">
        <v>0</v>
      </c>
      <c r="BA338">
        <v>0</v>
      </c>
      <c r="BB338">
        <v>0</v>
      </c>
      <c r="BC338">
        <v>0</v>
      </c>
      <c r="BD338">
        <v>0</v>
      </c>
      <c r="BE338">
        <v>0</v>
      </c>
      <c r="BF338">
        <v>0</v>
      </c>
      <c r="BG338">
        <v>0</v>
      </c>
      <c r="BH338">
        <v>0</v>
      </c>
      <c r="BI338" t="str">
        <v/>
      </c>
      <c r="BK338">
        <v>332</v>
      </c>
      <c r="BL338">
        <v>0</v>
      </c>
      <c r="BM338">
        <v>0</v>
      </c>
      <c r="BN338">
        <v>0</v>
      </c>
      <c r="BO338">
        <v>0</v>
      </c>
      <c r="BP338">
        <v>0</v>
      </c>
      <c r="BQ338">
        <v>0</v>
      </c>
      <c r="BR338">
        <v>0</v>
      </c>
      <c r="BS338">
        <v>0</v>
      </c>
      <c r="BT338">
        <v>0</v>
      </c>
      <c r="BU338">
        <v>0</v>
      </c>
      <c r="BV338">
        <v>0</v>
      </c>
      <c r="BW338">
        <v>0</v>
      </c>
      <c r="BX338">
        <v>0</v>
      </c>
      <c r="BY338">
        <v>0</v>
      </c>
      <c r="BZ338">
        <v>0</v>
      </c>
      <c r="CA338">
        <v>0</v>
      </c>
      <c r="CB338">
        <v>0</v>
      </c>
      <c r="CC338">
        <v>0</v>
      </c>
      <c r="CD338">
        <v>0</v>
      </c>
      <c r="CE338">
        <v>0</v>
      </c>
      <c r="CF338">
        <v>0</v>
      </c>
      <c r="CG338">
        <v>0</v>
      </c>
      <c r="CH338">
        <v>0</v>
      </c>
      <c r="CI338">
        <v>0</v>
      </c>
      <c r="CJ338">
        <v>0</v>
      </c>
      <c r="CK338">
        <v>0</v>
      </c>
      <c r="CL338">
        <v>0</v>
      </c>
      <c r="CM338">
        <v>0</v>
      </c>
      <c r="CN338">
        <v>0</v>
      </c>
      <c r="CO338">
        <v>0</v>
      </c>
      <c r="CP338">
        <v>0</v>
      </c>
      <c r="CQ338">
        <v>0</v>
      </c>
      <c r="CR338">
        <v>0</v>
      </c>
      <c r="CS338">
        <v>0</v>
      </c>
      <c r="CT338">
        <v>0</v>
      </c>
      <c r="CU338">
        <v>0</v>
      </c>
      <c r="CV338">
        <v>0</v>
      </c>
      <c r="CW338">
        <v>0</v>
      </c>
      <c r="CX338">
        <v>0</v>
      </c>
      <c r="CY338">
        <v>0</v>
      </c>
      <c r="CZ338">
        <v>0</v>
      </c>
      <c r="DA338">
        <v>0</v>
      </c>
      <c r="DB338">
        <v>0</v>
      </c>
      <c r="DC338">
        <v>0</v>
      </c>
      <c r="DD338">
        <v>0</v>
      </c>
      <c r="DE338">
        <v>0</v>
      </c>
      <c r="DF338">
        <v>0</v>
      </c>
      <c r="DG338">
        <v>0</v>
      </c>
      <c r="DH338">
        <v>0</v>
      </c>
      <c r="DI338">
        <v>0</v>
      </c>
      <c r="DJ338">
        <v>0</v>
      </c>
      <c r="DK338">
        <v>0</v>
      </c>
      <c r="DL338">
        <v>0</v>
      </c>
      <c r="DM338">
        <v>0</v>
      </c>
      <c r="DN338">
        <v>0</v>
      </c>
      <c r="DO338">
        <v>0</v>
      </c>
      <c r="DP338">
        <v>0</v>
      </c>
      <c r="DQ338">
        <v>0</v>
      </c>
      <c r="DR338">
        <v>0</v>
      </c>
      <c r="DS338">
        <v>0</v>
      </c>
      <c r="DT338">
        <v>0</v>
      </c>
      <c r="DU338">
        <v>0</v>
      </c>
      <c r="DV338">
        <v>0</v>
      </c>
      <c r="DW338">
        <v>0</v>
      </c>
      <c r="DX338">
        <v>0</v>
      </c>
      <c r="DY338">
        <v>0</v>
      </c>
      <c r="DZ338">
        <v>0</v>
      </c>
      <c r="EA338">
        <v>0</v>
      </c>
      <c r="EB338">
        <v>0</v>
      </c>
      <c r="EC338">
        <v>0</v>
      </c>
      <c r="ED338">
        <v>0</v>
      </c>
      <c r="EE338">
        <v>0</v>
      </c>
      <c r="EF338">
        <v>0</v>
      </c>
      <c r="EG338">
        <v>0</v>
      </c>
      <c r="EH338">
        <v>0</v>
      </c>
      <c r="EI338">
        <v>0</v>
      </c>
      <c r="EJ338">
        <v>0</v>
      </c>
      <c r="EK338">
        <v>0</v>
      </c>
      <c r="EL338">
        <v>0</v>
      </c>
      <c r="EM338">
        <v>0</v>
      </c>
      <c r="EN338">
        <v>0</v>
      </c>
      <c r="EO338">
        <v>0</v>
      </c>
      <c r="EP338">
        <v>0</v>
      </c>
      <c r="EQ338">
        <v>0</v>
      </c>
      <c r="ER338">
        <v>0</v>
      </c>
      <c r="ES338">
        <v>0</v>
      </c>
      <c r="ET338">
        <v>0</v>
      </c>
      <c r="EU338">
        <v>0</v>
      </c>
      <c r="EV338">
        <v>0</v>
      </c>
      <c r="EW338">
        <v>0</v>
      </c>
      <c r="EX338">
        <v>0</v>
      </c>
      <c r="EY338">
        <v>0</v>
      </c>
      <c r="EZ338">
        <v>0</v>
      </c>
      <c r="FA338">
        <v>0</v>
      </c>
      <c r="FB338">
        <v>0</v>
      </c>
      <c r="FC338">
        <v>0</v>
      </c>
      <c r="FD338">
        <v>0</v>
      </c>
      <c r="FE338">
        <v>0</v>
      </c>
      <c r="FF338">
        <v>0</v>
      </c>
      <c r="FG338">
        <v>0</v>
      </c>
      <c r="FH338">
        <v>0</v>
      </c>
      <c r="FI338">
        <v>0</v>
      </c>
      <c r="FJ338">
        <v>0</v>
      </c>
      <c r="FK338">
        <v>0</v>
      </c>
      <c r="FL338">
        <v>0</v>
      </c>
      <c r="FM338">
        <v>0</v>
      </c>
      <c r="FN338">
        <v>0</v>
      </c>
      <c r="FO338">
        <v>0</v>
      </c>
      <c r="FP338">
        <v>0</v>
      </c>
      <c r="FQ338">
        <v>0</v>
      </c>
      <c r="FR338">
        <v>0</v>
      </c>
      <c r="FS338">
        <v>0</v>
      </c>
      <c r="FT338">
        <v>0</v>
      </c>
      <c r="FU338">
        <v>0</v>
      </c>
      <c r="FV338">
        <v>0</v>
      </c>
      <c r="FW338">
        <v>0</v>
      </c>
      <c r="FX338">
        <v>0</v>
      </c>
      <c r="FY338">
        <v>0</v>
      </c>
      <c r="FZ338">
        <v>0</v>
      </c>
      <c r="GA338">
        <v>0</v>
      </c>
      <c r="GB338">
        <v>0</v>
      </c>
      <c r="GC338">
        <v>0</v>
      </c>
      <c r="GD338">
        <v>0</v>
      </c>
      <c r="GE338">
        <v>0</v>
      </c>
      <c r="GF338">
        <v>0</v>
      </c>
      <c r="GG338">
        <v>0</v>
      </c>
      <c r="GH338">
        <v>0</v>
      </c>
      <c r="GI338">
        <v>0</v>
      </c>
      <c r="GJ338">
        <v>0</v>
      </c>
      <c r="GK338">
        <v>0</v>
      </c>
      <c r="GL338">
        <v>0</v>
      </c>
      <c r="GM338">
        <v>0</v>
      </c>
      <c r="GN338">
        <v>0</v>
      </c>
      <c r="GO338">
        <v>0</v>
      </c>
      <c r="GP338">
        <v>0</v>
      </c>
      <c r="GQ338">
        <v>0</v>
      </c>
      <c r="GR338">
        <v>0</v>
      </c>
      <c r="GS338">
        <v>0</v>
      </c>
      <c r="GT338">
        <v>0</v>
      </c>
      <c r="GU338">
        <v>0</v>
      </c>
      <c r="GV338">
        <v>0</v>
      </c>
      <c r="GW338">
        <v>0</v>
      </c>
      <c r="GX338">
        <v>0</v>
      </c>
      <c r="GY338">
        <v>0</v>
      </c>
      <c r="GZ338">
        <v>0</v>
      </c>
      <c r="HA338">
        <v>0</v>
      </c>
      <c r="HB338">
        <v>0</v>
      </c>
      <c r="HC338">
        <v>0</v>
      </c>
      <c r="HD338">
        <v>0</v>
      </c>
      <c r="HE338">
        <v>0</v>
      </c>
      <c r="HF338">
        <v>0</v>
      </c>
      <c r="HG338">
        <v>0</v>
      </c>
      <c r="HH338">
        <v>0</v>
      </c>
      <c r="HI338">
        <v>0</v>
      </c>
      <c r="HJ338">
        <v>0</v>
      </c>
      <c r="HK338">
        <v>0</v>
      </c>
      <c r="HL338">
        <v>0</v>
      </c>
      <c r="HM338">
        <v>0</v>
      </c>
      <c r="HN338">
        <v>0</v>
      </c>
      <c r="HO338">
        <v>0</v>
      </c>
      <c r="HP338">
        <v>0</v>
      </c>
      <c r="HQ338">
        <v>0</v>
      </c>
      <c r="HR338">
        <v>0</v>
      </c>
      <c r="HS338">
        <v>0</v>
      </c>
      <c r="HT338">
        <v>0</v>
      </c>
      <c r="HU338">
        <v>0</v>
      </c>
      <c r="HV338">
        <v>0</v>
      </c>
      <c r="HW338">
        <v>0</v>
      </c>
      <c r="HX338">
        <v>0</v>
      </c>
      <c r="HY338">
        <v>0</v>
      </c>
      <c r="HZ338">
        <v>0</v>
      </c>
      <c r="IA338">
        <v>0</v>
      </c>
      <c r="IB338">
        <v>0</v>
      </c>
      <c r="IC338">
        <v>0</v>
      </c>
      <c r="ID338">
        <v>0</v>
      </c>
      <c r="IE338">
        <v>0</v>
      </c>
      <c r="IF338">
        <v>0</v>
      </c>
      <c r="IG338">
        <v>0</v>
      </c>
      <c r="IH338">
        <v>0</v>
      </c>
      <c r="II338">
        <v>0</v>
      </c>
      <c r="IJ338">
        <v>0</v>
      </c>
      <c r="IK338">
        <v>0</v>
      </c>
      <c r="IL338">
        <v>0</v>
      </c>
      <c r="IM338">
        <v>0</v>
      </c>
      <c r="IN338">
        <v>0</v>
      </c>
      <c r="IO338">
        <v>0</v>
      </c>
      <c r="IP338">
        <v>0</v>
      </c>
      <c r="IQ338">
        <v>0</v>
      </c>
      <c r="IR338">
        <v>0</v>
      </c>
      <c r="IS338">
        <v>0</v>
      </c>
      <c r="IT338">
        <v>0</v>
      </c>
      <c r="IU338">
        <v>0</v>
      </c>
      <c r="IV338">
        <v>0</v>
      </c>
      <c r="IW338">
        <v>0</v>
      </c>
      <c r="IX338">
        <v>0</v>
      </c>
      <c r="IY338">
        <v>0</v>
      </c>
      <c r="IZ338">
        <v>0</v>
      </c>
      <c r="JA338">
        <v>0</v>
      </c>
      <c r="JB338">
        <v>0</v>
      </c>
      <c r="JC338">
        <v>0</v>
      </c>
      <c r="JD338">
        <v>0</v>
      </c>
      <c r="JE338">
        <v>0</v>
      </c>
      <c r="JF338">
        <v>0</v>
      </c>
      <c r="JG338">
        <v>0</v>
      </c>
      <c r="JH338">
        <v>0</v>
      </c>
      <c r="JI338">
        <v>0</v>
      </c>
      <c r="JJ338">
        <v>0</v>
      </c>
      <c r="JK338">
        <v>0</v>
      </c>
      <c r="JL338">
        <v>0</v>
      </c>
      <c r="JM338">
        <v>0</v>
      </c>
      <c r="JN338">
        <v>0</v>
      </c>
      <c r="JO338">
        <v>0</v>
      </c>
      <c r="JP338">
        <v>0</v>
      </c>
      <c r="JQ338">
        <v>0</v>
      </c>
      <c r="JR338">
        <v>0</v>
      </c>
      <c r="JS338">
        <v>0</v>
      </c>
      <c r="JT338">
        <v>0</v>
      </c>
      <c r="JU338">
        <v>0</v>
      </c>
      <c r="JV338">
        <v>0</v>
      </c>
      <c r="JW338">
        <v>0</v>
      </c>
      <c r="JX338">
        <v>0</v>
      </c>
      <c r="JY338">
        <v>0</v>
      </c>
      <c r="JZ338">
        <v>0</v>
      </c>
      <c r="KA338">
        <v>0</v>
      </c>
      <c r="KB338">
        <v>0</v>
      </c>
      <c r="KC338">
        <v>0</v>
      </c>
      <c r="KD338">
        <v>0</v>
      </c>
      <c r="KE338">
        <v>0</v>
      </c>
      <c r="KF338">
        <v>0</v>
      </c>
      <c r="KG338">
        <v>0</v>
      </c>
      <c r="KH338">
        <v>0</v>
      </c>
      <c r="KI338">
        <v>0</v>
      </c>
      <c r="KJ338">
        <v>0</v>
      </c>
      <c r="KK338">
        <v>0</v>
      </c>
      <c r="KL338">
        <v>0</v>
      </c>
      <c r="KM338">
        <v>0</v>
      </c>
      <c r="KN338">
        <v>0</v>
      </c>
      <c r="KO338">
        <v>0</v>
      </c>
      <c r="KP338">
        <v>0</v>
      </c>
      <c r="KQ338">
        <v>0</v>
      </c>
      <c r="KR338">
        <v>0</v>
      </c>
      <c r="KS338">
        <v>0</v>
      </c>
      <c r="KT338">
        <v>0</v>
      </c>
      <c r="KU338">
        <v>0</v>
      </c>
      <c r="KV338">
        <v>0</v>
      </c>
      <c r="KW338">
        <v>0</v>
      </c>
      <c r="KX338">
        <v>0</v>
      </c>
      <c r="KY338">
        <v>0</v>
      </c>
      <c r="KZ338">
        <v>0</v>
      </c>
      <c r="LA338">
        <v>0</v>
      </c>
      <c r="LB338">
        <v>0</v>
      </c>
      <c r="LC338">
        <v>0</v>
      </c>
      <c r="LD338">
        <v>0</v>
      </c>
      <c r="LE338">
        <v>0</v>
      </c>
      <c r="LF338">
        <v>0</v>
      </c>
      <c r="LG338">
        <v>0</v>
      </c>
      <c r="LH338">
        <v>0</v>
      </c>
      <c r="LI338">
        <v>0</v>
      </c>
      <c r="LJ338">
        <v>0</v>
      </c>
      <c r="LK338">
        <v>0</v>
      </c>
      <c r="LL338">
        <v>0</v>
      </c>
      <c r="LM338">
        <v>0</v>
      </c>
      <c r="LN338">
        <v>0</v>
      </c>
      <c r="LO338">
        <v>0</v>
      </c>
      <c r="LP338">
        <v>0</v>
      </c>
      <c r="LQ338">
        <v>0</v>
      </c>
      <c r="LR338">
        <v>0</v>
      </c>
      <c r="LS338">
        <v>0</v>
      </c>
      <c r="LT338">
        <v>0</v>
      </c>
      <c r="LU338">
        <v>0</v>
      </c>
      <c r="LV338">
        <v>0</v>
      </c>
      <c r="LW338">
        <v>0</v>
      </c>
      <c r="LX338">
        <v>0</v>
      </c>
      <c r="LY338">
        <v>0</v>
      </c>
      <c r="LZ338">
        <v>0</v>
      </c>
      <c r="MA338">
        <v>0</v>
      </c>
      <c r="MB338">
        <v>0</v>
      </c>
      <c r="MC338">
        <v>0</v>
      </c>
      <c r="MD338">
        <v>0</v>
      </c>
      <c r="ME338">
        <v>0</v>
      </c>
      <c r="MF338">
        <v>0</v>
      </c>
      <c r="MG338">
        <v>0</v>
      </c>
      <c r="MH338">
        <v>0</v>
      </c>
      <c r="MI338">
        <v>0</v>
      </c>
      <c r="MJ338">
        <v>0</v>
      </c>
      <c r="MK338">
        <v>0</v>
      </c>
      <c r="ML338">
        <v>0</v>
      </c>
      <c r="MM338">
        <v>0</v>
      </c>
      <c r="MN338">
        <v>0</v>
      </c>
      <c r="MO338">
        <v>0</v>
      </c>
      <c r="MP338">
        <v>0</v>
      </c>
      <c r="MQ338">
        <v>0</v>
      </c>
      <c r="MR338">
        <v>0</v>
      </c>
      <c r="MS338">
        <v>0</v>
      </c>
      <c r="MT338">
        <v>0</v>
      </c>
      <c r="MU338">
        <v>0</v>
      </c>
      <c r="MV338">
        <v>0</v>
      </c>
      <c r="MW338">
        <v>0</v>
      </c>
      <c r="MX338">
        <v>0</v>
      </c>
      <c r="MY338">
        <v>0</v>
      </c>
      <c r="MZ338">
        <v>0</v>
      </c>
      <c r="NA338">
        <v>0</v>
      </c>
      <c r="NB338">
        <v>0</v>
      </c>
      <c r="NC338">
        <v>0</v>
      </c>
      <c r="ND338">
        <v>0</v>
      </c>
      <c r="NE338">
        <v>0</v>
      </c>
    </row>
    <row r="339" spans="41:369" x14ac:dyDescent="0.45">
      <c r="AO339">
        <v>0</v>
      </c>
      <c r="AP339">
        <v>0</v>
      </c>
      <c r="AQ339">
        <v>0</v>
      </c>
      <c r="AR339">
        <v>0</v>
      </c>
      <c r="AS339">
        <v>0</v>
      </c>
      <c r="AT339">
        <v>0</v>
      </c>
      <c r="AU339">
        <v>0</v>
      </c>
      <c r="AV339">
        <v>0</v>
      </c>
      <c r="AW339" t="str">
        <v/>
      </c>
      <c r="AX339">
        <v>255</v>
      </c>
      <c r="AY339" s="5" t="str">
        <v/>
      </c>
      <c r="AZ339">
        <v>0</v>
      </c>
      <c r="BA339">
        <v>0</v>
      </c>
      <c r="BB339">
        <v>0</v>
      </c>
      <c r="BC339">
        <v>0</v>
      </c>
      <c r="BD339">
        <v>0</v>
      </c>
      <c r="BE339">
        <v>0</v>
      </c>
      <c r="BF339">
        <v>0</v>
      </c>
      <c r="BG339">
        <v>0</v>
      </c>
      <c r="BH339">
        <v>0</v>
      </c>
      <c r="BI339" t="str">
        <v/>
      </c>
      <c r="BK339">
        <v>333</v>
      </c>
      <c r="BL339">
        <v>0</v>
      </c>
      <c r="BM339">
        <v>0</v>
      </c>
      <c r="BN339">
        <v>0</v>
      </c>
      <c r="BO339">
        <v>0</v>
      </c>
      <c r="BP339">
        <v>0</v>
      </c>
      <c r="BQ339">
        <v>0</v>
      </c>
      <c r="BR339">
        <v>0</v>
      </c>
      <c r="BS339">
        <v>0</v>
      </c>
      <c r="BT339">
        <v>0</v>
      </c>
      <c r="BU339">
        <v>0</v>
      </c>
      <c r="BV339">
        <v>0</v>
      </c>
      <c r="BW339">
        <v>0</v>
      </c>
      <c r="BX339">
        <v>0</v>
      </c>
      <c r="BY339">
        <v>0</v>
      </c>
      <c r="BZ339">
        <v>0</v>
      </c>
      <c r="CA339">
        <v>0</v>
      </c>
      <c r="CB339">
        <v>0</v>
      </c>
      <c r="CC339">
        <v>0</v>
      </c>
      <c r="CD339">
        <v>0</v>
      </c>
      <c r="CE339">
        <v>0</v>
      </c>
      <c r="CF339">
        <v>0</v>
      </c>
      <c r="CG339">
        <v>0</v>
      </c>
      <c r="CH339">
        <v>0</v>
      </c>
      <c r="CI339">
        <v>0</v>
      </c>
      <c r="CJ339">
        <v>0</v>
      </c>
      <c r="CK339">
        <v>0</v>
      </c>
      <c r="CL339">
        <v>0</v>
      </c>
      <c r="CM339">
        <v>0</v>
      </c>
      <c r="CN339">
        <v>0</v>
      </c>
      <c r="CO339">
        <v>0</v>
      </c>
      <c r="CP339">
        <v>0</v>
      </c>
      <c r="CQ339">
        <v>0</v>
      </c>
      <c r="CR339">
        <v>0</v>
      </c>
      <c r="CS339">
        <v>0</v>
      </c>
      <c r="CT339">
        <v>0</v>
      </c>
      <c r="CU339">
        <v>0</v>
      </c>
      <c r="CV339">
        <v>0</v>
      </c>
      <c r="CW339">
        <v>0</v>
      </c>
      <c r="CX339">
        <v>0</v>
      </c>
      <c r="CY339">
        <v>0</v>
      </c>
      <c r="CZ339">
        <v>0</v>
      </c>
      <c r="DA339">
        <v>0</v>
      </c>
      <c r="DB339">
        <v>0</v>
      </c>
      <c r="DC339">
        <v>0</v>
      </c>
      <c r="DD339">
        <v>0</v>
      </c>
      <c r="DE339">
        <v>0</v>
      </c>
      <c r="DF339">
        <v>0</v>
      </c>
      <c r="DG339">
        <v>0</v>
      </c>
      <c r="DH339">
        <v>0</v>
      </c>
      <c r="DI339">
        <v>0</v>
      </c>
      <c r="DJ339">
        <v>0</v>
      </c>
      <c r="DK339">
        <v>0</v>
      </c>
      <c r="DL339">
        <v>0</v>
      </c>
      <c r="DM339">
        <v>0</v>
      </c>
      <c r="DN339">
        <v>0</v>
      </c>
      <c r="DO339">
        <v>0</v>
      </c>
      <c r="DP339">
        <v>0</v>
      </c>
      <c r="DQ339">
        <v>0</v>
      </c>
      <c r="DR339">
        <v>0</v>
      </c>
      <c r="DS339">
        <v>0</v>
      </c>
      <c r="DT339">
        <v>0</v>
      </c>
      <c r="DU339">
        <v>0</v>
      </c>
      <c r="DV339">
        <v>0</v>
      </c>
      <c r="DW339">
        <v>0</v>
      </c>
      <c r="DX339">
        <v>0</v>
      </c>
      <c r="DY339">
        <v>0</v>
      </c>
      <c r="DZ339">
        <v>0</v>
      </c>
      <c r="EA339">
        <v>0</v>
      </c>
      <c r="EB339">
        <v>0</v>
      </c>
      <c r="EC339">
        <v>0</v>
      </c>
      <c r="ED339">
        <v>0</v>
      </c>
      <c r="EE339">
        <v>0</v>
      </c>
      <c r="EF339">
        <v>0</v>
      </c>
      <c r="EG339">
        <v>0</v>
      </c>
      <c r="EH339">
        <v>0</v>
      </c>
      <c r="EI339">
        <v>0</v>
      </c>
      <c r="EJ339">
        <v>0</v>
      </c>
      <c r="EK339">
        <v>0</v>
      </c>
      <c r="EL339">
        <v>0</v>
      </c>
      <c r="EM339">
        <v>0</v>
      </c>
      <c r="EN339">
        <v>0</v>
      </c>
      <c r="EO339">
        <v>0</v>
      </c>
      <c r="EP339">
        <v>0</v>
      </c>
      <c r="EQ339">
        <v>0</v>
      </c>
      <c r="ER339">
        <v>0</v>
      </c>
      <c r="ES339">
        <v>0</v>
      </c>
      <c r="ET339">
        <v>0</v>
      </c>
      <c r="EU339">
        <v>0</v>
      </c>
      <c r="EV339">
        <v>0</v>
      </c>
      <c r="EW339">
        <v>0</v>
      </c>
      <c r="EX339">
        <v>0</v>
      </c>
      <c r="EY339">
        <v>0</v>
      </c>
      <c r="EZ339">
        <v>0</v>
      </c>
      <c r="FA339">
        <v>0</v>
      </c>
      <c r="FB339">
        <v>0</v>
      </c>
      <c r="FC339">
        <v>0</v>
      </c>
      <c r="FD339">
        <v>0</v>
      </c>
      <c r="FE339">
        <v>0</v>
      </c>
      <c r="FF339">
        <v>0</v>
      </c>
      <c r="FG339">
        <v>0</v>
      </c>
      <c r="FH339">
        <v>0</v>
      </c>
      <c r="FI339">
        <v>0</v>
      </c>
      <c r="FJ339">
        <v>0</v>
      </c>
      <c r="FK339">
        <v>0</v>
      </c>
      <c r="FL339">
        <v>0</v>
      </c>
      <c r="FM339">
        <v>0</v>
      </c>
      <c r="FN339">
        <v>0</v>
      </c>
      <c r="FO339">
        <v>0</v>
      </c>
      <c r="FP339">
        <v>0</v>
      </c>
      <c r="FQ339">
        <v>0</v>
      </c>
      <c r="FR339">
        <v>0</v>
      </c>
      <c r="FS339">
        <v>0</v>
      </c>
      <c r="FT339">
        <v>0</v>
      </c>
      <c r="FU339">
        <v>0</v>
      </c>
      <c r="FV339">
        <v>0</v>
      </c>
      <c r="FW339">
        <v>0</v>
      </c>
      <c r="FX339">
        <v>0</v>
      </c>
      <c r="FY339">
        <v>0</v>
      </c>
      <c r="FZ339">
        <v>0</v>
      </c>
      <c r="GA339">
        <v>0</v>
      </c>
      <c r="GB339">
        <v>0</v>
      </c>
      <c r="GC339">
        <v>0</v>
      </c>
      <c r="GD339">
        <v>0</v>
      </c>
      <c r="GE339">
        <v>0</v>
      </c>
      <c r="GF339">
        <v>0</v>
      </c>
      <c r="GG339">
        <v>0</v>
      </c>
      <c r="GH339">
        <v>0</v>
      </c>
      <c r="GI339">
        <v>0</v>
      </c>
      <c r="GJ339">
        <v>0</v>
      </c>
      <c r="GK339">
        <v>0</v>
      </c>
      <c r="GL339">
        <v>0</v>
      </c>
      <c r="GM339">
        <v>0</v>
      </c>
      <c r="GN339">
        <v>0</v>
      </c>
      <c r="GO339">
        <v>0</v>
      </c>
      <c r="GP339">
        <v>0</v>
      </c>
      <c r="GQ339">
        <v>0</v>
      </c>
      <c r="GR339">
        <v>0</v>
      </c>
      <c r="GS339">
        <v>0</v>
      </c>
      <c r="GT339">
        <v>0</v>
      </c>
      <c r="GU339">
        <v>0</v>
      </c>
      <c r="GV339">
        <v>0</v>
      </c>
      <c r="GW339">
        <v>0</v>
      </c>
      <c r="GX339">
        <v>0</v>
      </c>
      <c r="GY339">
        <v>0</v>
      </c>
      <c r="GZ339">
        <v>0</v>
      </c>
      <c r="HA339">
        <v>0</v>
      </c>
      <c r="HB339">
        <v>0</v>
      </c>
      <c r="HC339">
        <v>0</v>
      </c>
      <c r="HD339">
        <v>0</v>
      </c>
      <c r="HE339">
        <v>0</v>
      </c>
      <c r="HF339">
        <v>0</v>
      </c>
      <c r="HG339">
        <v>0</v>
      </c>
      <c r="HH339">
        <v>0</v>
      </c>
      <c r="HI339">
        <v>0</v>
      </c>
      <c r="HJ339">
        <v>0</v>
      </c>
      <c r="HK339">
        <v>0</v>
      </c>
      <c r="HL339">
        <v>0</v>
      </c>
      <c r="HM339">
        <v>0</v>
      </c>
      <c r="HN339">
        <v>0</v>
      </c>
      <c r="HO339">
        <v>0</v>
      </c>
      <c r="HP339">
        <v>0</v>
      </c>
      <c r="HQ339">
        <v>0</v>
      </c>
      <c r="HR339">
        <v>0</v>
      </c>
      <c r="HS339">
        <v>0</v>
      </c>
      <c r="HT339">
        <v>0</v>
      </c>
      <c r="HU339">
        <v>0</v>
      </c>
      <c r="HV339">
        <v>0</v>
      </c>
      <c r="HW339">
        <v>0</v>
      </c>
      <c r="HX339">
        <v>0</v>
      </c>
      <c r="HY339">
        <v>0</v>
      </c>
      <c r="HZ339">
        <v>0</v>
      </c>
      <c r="IA339">
        <v>0</v>
      </c>
      <c r="IB339">
        <v>0</v>
      </c>
      <c r="IC339">
        <v>0</v>
      </c>
      <c r="ID339">
        <v>0</v>
      </c>
      <c r="IE339">
        <v>0</v>
      </c>
      <c r="IF339">
        <v>0</v>
      </c>
      <c r="IG339">
        <v>0</v>
      </c>
      <c r="IH339">
        <v>0</v>
      </c>
      <c r="II339">
        <v>0</v>
      </c>
      <c r="IJ339">
        <v>0</v>
      </c>
      <c r="IK339">
        <v>0</v>
      </c>
      <c r="IL339">
        <v>0</v>
      </c>
      <c r="IM339">
        <v>0</v>
      </c>
      <c r="IN339">
        <v>0</v>
      </c>
      <c r="IO339">
        <v>0</v>
      </c>
      <c r="IP339">
        <v>0</v>
      </c>
      <c r="IQ339">
        <v>0</v>
      </c>
      <c r="IR339">
        <v>0</v>
      </c>
      <c r="IS339">
        <v>0</v>
      </c>
      <c r="IT339">
        <v>0</v>
      </c>
      <c r="IU339">
        <v>0</v>
      </c>
      <c r="IV339">
        <v>0</v>
      </c>
      <c r="IW339">
        <v>0</v>
      </c>
      <c r="IX339">
        <v>0</v>
      </c>
      <c r="IY339">
        <v>0</v>
      </c>
      <c r="IZ339">
        <v>0</v>
      </c>
      <c r="JA339">
        <v>0</v>
      </c>
      <c r="JB339">
        <v>0</v>
      </c>
      <c r="JC339">
        <v>0</v>
      </c>
      <c r="JD339">
        <v>0</v>
      </c>
      <c r="JE339">
        <v>0</v>
      </c>
      <c r="JF339">
        <v>0</v>
      </c>
      <c r="JG339">
        <v>0</v>
      </c>
      <c r="JH339">
        <v>0</v>
      </c>
      <c r="JI339">
        <v>0</v>
      </c>
      <c r="JJ339">
        <v>0</v>
      </c>
      <c r="JK339">
        <v>0</v>
      </c>
      <c r="JL339">
        <v>0</v>
      </c>
      <c r="JM339">
        <v>0</v>
      </c>
      <c r="JN339">
        <v>0</v>
      </c>
      <c r="JO339">
        <v>0</v>
      </c>
      <c r="JP339">
        <v>0</v>
      </c>
      <c r="JQ339">
        <v>0</v>
      </c>
      <c r="JR339">
        <v>0</v>
      </c>
      <c r="JS339">
        <v>0</v>
      </c>
      <c r="JT339">
        <v>0</v>
      </c>
      <c r="JU339">
        <v>0</v>
      </c>
      <c r="JV339">
        <v>0</v>
      </c>
      <c r="JW339">
        <v>0</v>
      </c>
      <c r="JX339">
        <v>0</v>
      </c>
      <c r="JY339">
        <v>0</v>
      </c>
      <c r="JZ339">
        <v>0</v>
      </c>
      <c r="KA339">
        <v>0</v>
      </c>
      <c r="KB339">
        <v>0</v>
      </c>
      <c r="KC339">
        <v>0</v>
      </c>
      <c r="KD339">
        <v>0</v>
      </c>
      <c r="KE339">
        <v>0</v>
      </c>
      <c r="KF339">
        <v>0</v>
      </c>
      <c r="KG339">
        <v>0</v>
      </c>
      <c r="KH339">
        <v>0</v>
      </c>
      <c r="KI339">
        <v>0</v>
      </c>
      <c r="KJ339">
        <v>0</v>
      </c>
      <c r="KK339">
        <v>0</v>
      </c>
      <c r="KL339">
        <v>0</v>
      </c>
      <c r="KM339">
        <v>0</v>
      </c>
      <c r="KN339">
        <v>0</v>
      </c>
      <c r="KO339">
        <v>0</v>
      </c>
      <c r="KP339">
        <v>0</v>
      </c>
      <c r="KQ339">
        <v>0</v>
      </c>
      <c r="KR339">
        <v>0</v>
      </c>
      <c r="KS339">
        <v>0</v>
      </c>
      <c r="KT339">
        <v>0</v>
      </c>
      <c r="KU339">
        <v>0</v>
      </c>
      <c r="KV339">
        <v>0</v>
      </c>
      <c r="KW339">
        <v>0</v>
      </c>
      <c r="KX339">
        <v>0</v>
      </c>
      <c r="KY339">
        <v>0</v>
      </c>
      <c r="KZ339">
        <v>0</v>
      </c>
      <c r="LA339">
        <v>0</v>
      </c>
      <c r="LB339">
        <v>0</v>
      </c>
      <c r="LC339">
        <v>0</v>
      </c>
      <c r="LD339">
        <v>0</v>
      </c>
      <c r="LE339">
        <v>0</v>
      </c>
      <c r="LF339">
        <v>0</v>
      </c>
      <c r="LG339">
        <v>0</v>
      </c>
      <c r="LH339">
        <v>0</v>
      </c>
      <c r="LI339">
        <v>0</v>
      </c>
      <c r="LJ339">
        <v>0</v>
      </c>
      <c r="LK339">
        <v>0</v>
      </c>
      <c r="LL339">
        <v>0</v>
      </c>
      <c r="LM339">
        <v>0</v>
      </c>
      <c r="LN339">
        <v>0</v>
      </c>
      <c r="LO339">
        <v>0</v>
      </c>
      <c r="LP339">
        <v>0</v>
      </c>
      <c r="LQ339">
        <v>0</v>
      </c>
      <c r="LR339">
        <v>0</v>
      </c>
      <c r="LS339">
        <v>0</v>
      </c>
      <c r="LT339">
        <v>0</v>
      </c>
      <c r="LU339">
        <v>0</v>
      </c>
      <c r="LV339">
        <v>0</v>
      </c>
      <c r="LW339">
        <v>0</v>
      </c>
      <c r="LX339">
        <v>0</v>
      </c>
      <c r="LY339">
        <v>0</v>
      </c>
      <c r="LZ339">
        <v>0</v>
      </c>
      <c r="MA339">
        <v>0</v>
      </c>
      <c r="MB339">
        <v>0</v>
      </c>
      <c r="MC339">
        <v>0</v>
      </c>
      <c r="MD339">
        <v>0</v>
      </c>
      <c r="ME339">
        <v>0</v>
      </c>
      <c r="MF339">
        <v>0</v>
      </c>
      <c r="MG339">
        <v>0</v>
      </c>
      <c r="MH339">
        <v>0</v>
      </c>
      <c r="MI339">
        <v>0</v>
      </c>
      <c r="MJ339">
        <v>0</v>
      </c>
      <c r="MK339">
        <v>0</v>
      </c>
      <c r="ML339">
        <v>0</v>
      </c>
      <c r="MM339">
        <v>0</v>
      </c>
      <c r="MN339">
        <v>0</v>
      </c>
      <c r="MO339">
        <v>0</v>
      </c>
      <c r="MP339">
        <v>0</v>
      </c>
      <c r="MQ339">
        <v>0</v>
      </c>
      <c r="MR339">
        <v>0</v>
      </c>
      <c r="MS339">
        <v>0</v>
      </c>
      <c r="MT339">
        <v>0</v>
      </c>
      <c r="MU339">
        <v>0</v>
      </c>
      <c r="MV339">
        <v>0</v>
      </c>
      <c r="MW339">
        <v>0</v>
      </c>
      <c r="MX339">
        <v>0</v>
      </c>
      <c r="MY339">
        <v>0</v>
      </c>
      <c r="MZ339">
        <v>0</v>
      </c>
      <c r="NA339">
        <v>0</v>
      </c>
      <c r="NB339">
        <v>0</v>
      </c>
      <c r="NC339">
        <v>0</v>
      </c>
      <c r="ND339">
        <v>0</v>
      </c>
      <c r="NE339">
        <v>0</v>
      </c>
    </row>
    <row r="340" spans="41:369" x14ac:dyDescent="0.45">
      <c r="AO340">
        <v>0</v>
      </c>
      <c r="AP340">
        <v>0</v>
      </c>
      <c r="AQ340">
        <v>0</v>
      </c>
      <c r="AR340">
        <v>0</v>
      </c>
      <c r="AS340">
        <v>0</v>
      </c>
      <c r="AT340">
        <v>0</v>
      </c>
      <c r="AU340">
        <v>0</v>
      </c>
      <c r="AV340">
        <v>0</v>
      </c>
      <c r="AW340" t="str">
        <v/>
      </c>
      <c r="AX340">
        <v>255</v>
      </c>
      <c r="AY340" s="5" t="str">
        <v/>
      </c>
      <c r="AZ340">
        <v>0</v>
      </c>
      <c r="BA340">
        <v>0</v>
      </c>
      <c r="BB340">
        <v>0</v>
      </c>
      <c r="BC340">
        <v>0</v>
      </c>
      <c r="BD340">
        <v>0</v>
      </c>
      <c r="BE340">
        <v>0</v>
      </c>
      <c r="BF340">
        <v>0</v>
      </c>
      <c r="BG340">
        <v>0</v>
      </c>
      <c r="BH340">
        <v>0</v>
      </c>
      <c r="BI340" t="str">
        <v/>
      </c>
      <c r="BK340">
        <v>334</v>
      </c>
      <c r="BL340">
        <v>0</v>
      </c>
      <c r="BM340">
        <v>0</v>
      </c>
      <c r="BN340">
        <v>0</v>
      </c>
      <c r="BO340">
        <v>0</v>
      </c>
      <c r="BP340">
        <v>0</v>
      </c>
      <c r="BQ340">
        <v>0</v>
      </c>
      <c r="BR340">
        <v>0</v>
      </c>
      <c r="BS340">
        <v>0</v>
      </c>
      <c r="BT340">
        <v>0</v>
      </c>
      <c r="BU340">
        <v>0</v>
      </c>
      <c r="BV340">
        <v>0</v>
      </c>
      <c r="BW340">
        <v>0</v>
      </c>
      <c r="BX340">
        <v>0</v>
      </c>
      <c r="BY340">
        <v>0</v>
      </c>
      <c r="BZ340">
        <v>0</v>
      </c>
      <c r="CA340">
        <v>0</v>
      </c>
      <c r="CB340">
        <v>0</v>
      </c>
      <c r="CC340">
        <v>0</v>
      </c>
      <c r="CD340">
        <v>0</v>
      </c>
      <c r="CE340">
        <v>0</v>
      </c>
      <c r="CF340">
        <v>0</v>
      </c>
      <c r="CG340">
        <v>0</v>
      </c>
      <c r="CH340">
        <v>0</v>
      </c>
      <c r="CI340">
        <v>0</v>
      </c>
      <c r="CJ340">
        <v>0</v>
      </c>
      <c r="CK340">
        <v>0</v>
      </c>
      <c r="CL340">
        <v>0</v>
      </c>
      <c r="CM340">
        <v>0</v>
      </c>
      <c r="CN340">
        <v>0</v>
      </c>
      <c r="CO340">
        <v>0</v>
      </c>
      <c r="CP340">
        <v>0</v>
      </c>
      <c r="CQ340">
        <v>0</v>
      </c>
      <c r="CR340">
        <v>0</v>
      </c>
      <c r="CS340">
        <v>0</v>
      </c>
      <c r="CT340">
        <v>0</v>
      </c>
      <c r="CU340">
        <v>0</v>
      </c>
      <c r="CV340">
        <v>0</v>
      </c>
      <c r="CW340">
        <v>0</v>
      </c>
      <c r="CX340">
        <v>0</v>
      </c>
      <c r="CY340">
        <v>0</v>
      </c>
      <c r="CZ340">
        <v>0</v>
      </c>
      <c r="DA340">
        <v>0</v>
      </c>
      <c r="DB340">
        <v>0</v>
      </c>
      <c r="DC340">
        <v>0</v>
      </c>
      <c r="DD340">
        <v>0</v>
      </c>
      <c r="DE340">
        <v>0</v>
      </c>
      <c r="DF340">
        <v>0</v>
      </c>
      <c r="DG340">
        <v>0</v>
      </c>
      <c r="DH340">
        <v>0</v>
      </c>
      <c r="DI340">
        <v>0</v>
      </c>
      <c r="DJ340">
        <v>0</v>
      </c>
      <c r="DK340">
        <v>0</v>
      </c>
      <c r="DL340">
        <v>0</v>
      </c>
      <c r="DM340">
        <v>0</v>
      </c>
      <c r="DN340">
        <v>0</v>
      </c>
      <c r="DO340">
        <v>0</v>
      </c>
      <c r="DP340">
        <v>0</v>
      </c>
      <c r="DQ340">
        <v>0</v>
      </c>
      <c r="DR340">
        <v>0</v>
      </c>
      <c r="DS340">
        <v>0</v>
      </c>
      <c r="DT340">
        <v>0</v>
      </c>
      <c r="DU340">
        <v>0</v>
      </c>
      <c r="DV340">
        <v>0</v>
      </c>
      <c r="DW340">
        <v>0</v>
      </c>
      <c r="DX340">
        <v>0</v>
      </c>
      <c r="DY340">
        <v>0</v>
      </c>
      <c r="DZ340">
        <v>0</v>
      </c>
      <c r="EA340">
        <v>0</v>
      </c>
      <c r="EB340">
        <v>0</v>
      </c>
      <c r="EC340">
        <v>0</v>
      </c>
      <c r="ED340">
        <v>0</v>
      </c>
      <c r="EE340">
        <v>0</v>
      </c>
      <c r="EF340">
        <v>0</v>
      </c>
      <c r="EG340">
        <v>0</v>
      </c>
      <c r="EH340">
        <v>0</v>
      </c>
      <c r="EI340">
        <v>0</v>
      </c>
      <c r="EJ340">
        <v>0</v>
      </c>
      <c r="EK340">
        <v>0</v>
      </c>
      <c r="EL340">
        <v>0</v>
      </c>
      <c r="EM340">
        <v>0</v>
      </c>
      <c r="EN340">
        <v>0</v>
      </c>
      <c r="EO340">
        <v>0</v>
      </c>
      <c r="EP340">
        <v>0</v>
      </c>
      <c r="EQ340">
        <v>0</v>
      </c>
      <c r="ER340">
        <v>0</v>
      </c>
      <c r="ES340">
        <v>0</v>
      </c>
      <c r="ET340">
        <v>0</v>
      </c>
      <c r="EU340">
        <v>0</v>
      </c>
      <c r="EV340">
        <v>0</v>
      </c>
      <c r="EW340">
        <v>0</v>
      </c>
      <c r="EX340">
        <v>0</v>
      </c>
      <c r="EY340">
        <v>0</v>
      </c>
      <c r="EZ340">
        <v>0</v>
      </c>
      <c r="FA340">
        <v>0</v>
      </c>
      <c r="FB340">
        <v>0</v>
      </c>
      <c r="FC340">
        <v>0</v>
      </c>
      <c r="FD340">
        <v>0</v>
      </c>
      <c r="FE340">
        <v>0</v>
      </c>
      <c r="FF340">
        <v>0</v>
      </c>
      <c r="FG340">
        <v>0</v>
      </c>
      <c r="FH340">
        <v>0</v>
      </c>
      <c r="FI340">
        <v>0</v>
      </c>
      <c r="FJ340">
        <v>0</v>
      </c>
      <c r="FK340">
        <v>0</v>
      </c>
      <c r="FL340">
        <v>0</v>
      </c>
      <c r="FM340">
        <v>0</v>
      </c>
      <c r="FN340">
        <v>0</v>
      </c>
      <c r="FO340">
        <v>0</v>
      </c>
      <c r="FP340">
        <v>0</v>
      </c>
      <c r="FQ340">
        <v>0</v>
      </c>
      <c r="FR340">
        <v>0</v>
      </c>
      <c r="FS340">
        <v>0</v>
      </c>
      <c r="FT340">
        <v>0</v>
      </c>
      <c r="FU340">
        <v>0</v>
      </c>
      <c r="FV340">
        <v>0</v>
      </c>
      <c r="FW340">
        <v>0</v>
      </c>
      <c r="FX340">
        <v>0</v>
      </c>
      <c r="FY340">
        <v>0</v>
      </c>
      <c r="FZ340">
        <v>0</v>
      </c>
      <c r="GA340">
        <v>0</v>
      </c>
      <c r="GB340">
        <v>0</v>
      </c>
      <c r="GC340">
        <v>0</v>
      </c>
      <c r="GD340">
        <v>0</v>
      </c>
      <c r="GE340">
        <v>0</v>
      </c>
      <c r="GF340">
        <v>0</v>
      </c>
      <c r="GG340">
        <v>0</v>
      </c>
      <c r="GH340">
        <v>0</v>
      </c>
      <c r="GI340">
        <v>0</v>
      </c>
      <c r="GJ340">
        <v>0</v>
      </c>
      <c r="GK340">
        <v>0</v>
      </c>
      <c r="GL340">
        <v>0</v>
      </c>
      <c r="GM340">
        <v>0</v>
      </c>
      <c r="GN340">
        <v>0</v>
      </c>
      <c r="GO340">
        <v>0</v>
      </c>
      <c r="GP340">
        <v>0</v>
      </c>
      <c r="GQ340">
        <v>0</v>
      </c>
      <c r="GR340">
        <v>0</v>
      </c>
      <c r="GS340">
        <v>0</v>
      </c>
      <c r="GT340">
        <v>0</v>
      </c>
      <c r="GU340">
        <v>0</v>
      </c>
      <c r="GV340">
        <v>0</v>
      </c>
      <c r="GW340">
        <v>0</v>
      </c>
      <c r="GX340">
        <v>0</v>
      </c>
      <c r="GY340">
        <v>0</v>
      </c>
      <c r="GZ340">
        <v>0</v>
      </c>
      <c r="HA340">
        <v>0</v>
      </c>
      <c r="HB340">
        <v>0</v>
      </c>
      <c r="HC340">
        <v>0</v>
      </c>
      <c r="HD340">
        <v>0</v>
      </c>
      <c r="HE340">
        <v>0</v>
      </c>
      <c r="HF340">
        <v>0</v>
      </c>
      <c r="HG340">
        <v>0</v>
      </c>
      <c r="HH340">
        <v>0</v>
      </c>
      <c r="HI340">
        <v>0</v>
      </c>
      <c r="HJ340">
        <v>0</v>
      </c>
      <c r="HK340">
        <v>0</v>
      </c>
      <c r="HL340">
        <v>0</v>
      </c>
      <c r="HM340">
        <v>0</v>
      </c>
      <c r="HN340">
        <v>0</v>
      </c>
      <c r="HO340">
        <v>0</v>
      </c>
      <c r="HP340">
        <v>0</v>
      </c>
      <c r="HQ340">
        <v>0</v>
      </c>
      <c r="HR340">
        <v>0</v>
      </c>
      <c r="HS340">
        <v>0</v>
      </c>
      <c r="HT340">
        <v>0</v>
      </c>
      <c r="HU340">
        <v>0</v>
      </c>
      <c r="HV340">
        <v>0</v>
      </c>
      <c r="HW340">
        <v>0</v>
      </c>
      <c r="HX340">
        <v>0</v>
      </c>
      <c r="HY340">
        <v>0</v>
      </c>
      <c r="HZ340">
        <v>0</v>
      </c>
      <c r="IA340">
        <v>0</v>
      </c>
      <c r="IB340">
        <v>0</v>
      </c>
      <c r="IC340">
        <v>0</v>
      </c>
      <c r="ID340">
        <v>0</v>
      </c>
      <c r="IE340">
        <v>0</v>
      </c>
      <c r="IF340">
        <v>0</v>
      </c>
      <c r="IG340">
        <v>0</v>
      </c>
      <c r="IH340">
        <v>0</v>
      </c>
      <c r="II340">
        <v>0</v>
      </c>
      <c r="IJ340">
        <v>0</v>
      </c>
      <c r="IK340">
        <v>0</v>
      </c>
      <c r="IL340">
        <v>0</v>
      </c>
      <c r="IM340">
        <v>0</v>
      </c>
      <c r="IN340">
        <v>0</v>
      </c>
      <c r="IO340">
        <v>0</v>
      </c>
      <c r="IP340">
        <v>0</v>
      </c>
      <c r="IQ340">
        <v>0</v>
      </c>
      <c r="IR340">
        <v>0</v>
      </c>
      <c r="IS340">
        <v>0</v>
      </c>
      <c r="IT340">
        <v>0</v>
      </c>
      <c r="IU340">
        <v>0</v>
      </c>
      <c r="IV340">
        <v>0</v>
      </c>
      <c r="IW340">
        <v>0</v>
      </c>
      <c r="IX340">
        <v>0</v>
      </c>
      <c r="IY340">
        <v>0</v>
      </c>
      <c r="IZ340">
        <v>0</v>
      </c>
      <c r="JA340">
        <v>0</v>
      </c>
      <c r="JB340">
        <v>0</v>
      </c>
      <c r="JC340">
        <v>0</v>
      </c>
      <c r="JD340">
        <v>0</v>
      </c>
      <c r="JE340">
        <v>0</v>
      </c>
      <c r="JF340">
        <v>0</v>
      </c>
      <c r="JG340">
        <v>0</v>
      </c>
      <c r="JH340">
        <v>0</v>
      </c>
      <c r="JI340">
        <v>0</v>
      </c>
      <c r="JJ340">
        <v>0</v>
      </c>
      <c r="JK340">
        <v>0</v>
      </c>
      <c r="JL340">
        <v>0</v>
      </c>
      <c r="JM340">
        <v>0</v>
      </c>
      <c r="JN340">
        <v>0</v>
      </c>
      <c r="JO340">
        <v>0</v>
      </c>
      <c r="JP340">
        <v>0</v>
      </c>
      <c r="JQ340">
        <v>0</v>
      </c>
      <c r="JR340">
        <v>0</v>
      </c>
      <c r="JS340">
        <v>0</v>
      </c>
      <c r="JT340">
        <v>0</v>
      </c>
      <c r="JU340">
        <v>0</v>
      </c>
      <c r="JV340">
        <v>0</v>
      </c>
      <c r="JW340">
        <v>0</v>
      </c>
      <c r="JX340">
        <v>0</v>
      </c>
      <c r="JY340">
        <v>0</v>
      </c>
      <c r="JZ340">
        <v>0</v>
      </c>
      <c r="KA340">
        <v>0</v>
      </c>
      <c r="KB340">
        <v>0</v>
      </c>
      <c r="KC340">
        <v>0</v>
      </c>
      <c r="KD340">
        <v>0</v>
      </c>
      <c r="KE340">
        <v>0</v>
      </c>
      <c r="KF340">
        <v>0</v>
      </c>
      <c r="KG340">
        <v>0</v>
      </c>
      <c r="KH340">
        <v>0</v>
      </c>
      <c r="KI340">
        <v>0</v>
      </c>
      <c r="KJ340">
        <v>0</v>
      </c>
      <c r="KK340">
        <v>0</v>
      </c>
      <c r="KL340">
        <v>0</v>
      </c>
      <c r="KM340">
        <v>0</v>
      </c>
      <c r="KN340">
        <v>0</v>
      </c>
      <c r="KO340">
        <v>0</v>
      </c>
      <c r="KP340">
        <v>0</v>
      </c>
      <c r="KQ340">
        <v>0</v>
      </c>
      <c r="KR340">
        <v>0</v>
      </c>
      <c r="KS340">
        <v>0</v>
      </c>
      <c r="KT340">
        <v>0</v>
      </c>
      <c r="KU340">
        <v>0</v>
      </c>
      <c r="KV340">
        <v>0</v>
      </c>
      <c r="KW340">
        <v>0</v>
      </c>
      <c r="KX340">
        <v>0</v>
      </c>
      <c r="KY340">
        <v>0</v>
      </c>
      <c r="KZ340">
        <v>0</v>
      </c>
      <c r="LA340">
        <v>0</v>
      </c>
      <c r="LB340">
        <v>0</v>
      </c>
      <c r="LC340">
        <v>0</v>
      </c>
      <c r="LD340">
        <v>0</v>
      </c>
      <c r="LE340">
        <v>0</v>
      </c>
      <c r="LF340">
        <v>0</v>
      </c>
      <c r="LG340">
        <v>0</v>
      </c>
      <c r="LH340">
        <v>0</v>
      </c>
      <c r="LI340">
        <v>0</v>
      </c>
      <c r="LJ340">
        <v>0</v>
      </c>
      <c r="LK340">
        <v>0</v>
      </c>
      <c r="LL340">
        <v>0</v>
      </c>
      <c r="LM340">
        <v>0</v>
      </c>
      <c r="LN340">
        <v>0</v>
      </c>
      <c r="LO340">
        <v>0</v>
      </c>
      <c r="LP340">
        <v>0</v>
      </c>
      <c r="LQ340">
        <v>0</v>
      </c>
      <c r="LR340">
        <v>0</v>
      </c>
      <c r="LS340">
        <v>0</v>
      </c>
      <c r="LT340">
        <v>0</v>
      </c>
      <c r="LU340">
        <v>0</v>
      </c>
      <c r="LV340">
        <v>0</v>
      </c>
      <c r="LW340">
        <v>0</v>
      </c>
      <c r="LX340">
        <v>0</v>
      </c>
      <c r="LY340">
        <v>0</v>
      </c>
      <c r="LZ340">
        <v>0</v>
      </c>
      <c r="MA340">
        <v>0</v>
      </c>
      <c r="MB340">
        <v>0</v>
      </c>
      <c r="MC340">
        <v>0</v>
      </c>
      <c r="MD340">
        <v>0</v>
      </c>
      <c r="ME340">
        <v>0</v>
      </c>
      <c r="MF340">
        <v>0</v>
      </c>
      <c r="MG340">
        <v>0</v>
      </c>
      <c r="MH340">
        <v>0</v>
      </c>
      <c r="MI340">
        <v>0</v>
      </c>
      <c r="MJ340">
        <v>0</v>
      </c>
      <c r="MK340">
        <v>0</v>
      </c>
      <c r="ML340">
        <v>0</v>
      </c>
      <c r="MM340">
        <v>0</v>
      </c>
      <c r="MN340">
        <v>0</v>
      </c>
      <c r="MO340">
        <v>0</v>
      </c>
      <c r="MP340">
        <v>0</v>
      </c>
      <c r="MQ340">
        <v>0</v>
      </c>
      <c r="MR340">
        <v>0</v>
      </c>
      <c r="MS340">
        <v>0</v>
      </c>
      <c r="MT340">
        <v>0</v>
      </c>
      <c r="MU340">
        <v>0</v>
      </c>
      <c r="MV340">
        <v>0</v>
      </c>
      <c r="MW340">
        <v>0</v>
      </c>
      <c r="MX340">
        <v>0</v>
      </c>
      <c r="MY340">
        <v>0</v>
      </c>
      <c r="MZ340">
        <v>0</v>
      </c>
      <c r="NA340">
        <v>0</v>
      </c>
      <c r="NB340">
        <v>0</v>
      </c>
      <c r="NC340">
        <v>0</v>
      </c>
      <c r="ND340">
        <v>0</v>
      </c>
      <c r="NE340">
        <v>0</v>
      </c>
    </row>
    <row r="341" spans="41:369" x14ac:dyDescent="0.45">
      <c r="AO341">
        <v>0</v>
      </c>
      <c r="AP341">
        <v>0</v>
      </c>
      <c r="AQ341">
        <v>0</v>
      </c>
      <c r="AR341">
        <v>0</v>
      </c>
      <c r="AS341">
        <v>0</v>
      </c>
      <c r="AT341">
        <v>0</v>
      </c>
      <c r="AU341">
        <v>0</v>
      </c>
      <c r="AV341">
        <v>0</v>
      </c>
      <c r="AW341" t="str">
        <v/>
      </c>
      <c r="AX341">
        <v>255</v>
      </c>
      <c r="AY341" s="5" t="str">
        <v/>
      </c>
      <c r="AZ341">
        <v>0</v>
      </c>
      <c r="BA341">
        <v>0</v>
      </c>
      <c r="BB341">
        <v>0</v>
      </c>
      <c r="BC341">
        <v>0</v>
      </c>
      <c r="BD341">
        <v>0</v>
      </c>
      <c r="BE341">
        <v>0</v>
      </c>
      <c r="BF341">
        <v>0</v>
      </c>
      <c r="BG341">
        <v>0</v>
      </c>
      <c r="BH341">
        <v>0</v>
      </c>
      <c r="BI341" t="str">
        <v/>
      </c>
      <c r="BK341">
        <v>335</v>
      </c>
      <c r="BL341">
        <v>0</v>
      </c>
      <c r="BM341">
        <v>0</v>
      </c>
      <c r="BN341">
        <v>0</v>
      </c>
      <c r="BO341">
        <v>0</v>
      </c>
      <c r="BP341">
        <v>0</v>
      </c>
      <c r="BQ341">
        <v>0</v>
      </c>
      <c r="BR341">
        <v>0</v>
      </c>
      <c r="BS341">
        <v>0</v>
      </c>
      <c r="BT341">
        <v>0</v>
      </c>
      <c r="BU341">
        <v>0</v>
      </c>
      <c r="BV341">
        <v>0</v>
      </c>
      <c r="BW341">
        <v>0</v>
      </c>
      <c r="BX341">
        <v>0</v>
      </c>
      <c r="BY341">
        <v>0</v>
      </c>
      <c r="BZ341">
        <v>0</v>
      </c>
      <c r="CA341">
        <v>0</v>
      </c>
      <c r="CB341">
        <v>0</v>
      </c>
      <c r="CC341">
        <v>0</v>
      </c>
      <c r="CD341">
        <v>0</v>
      </c>
      <c r="CE341">
        <v>0</v>
      </c>
      <c r="CF341">
        <v>0</v>
      </c>
      <c r="CG341">
        <v>0</v>
      </c>
      <c r="CH341">
        <v>0</v>
      </c>
      <c r="CI341">
        <v>0</v>
      </c>
      <c r="CJ341">
        <v>0</v>
      </c>
      <c r="CK341">
        <v>0</v>
      </c>
      <c r="CL341">
        <v>0</v>
      </c>
      <c r="CM341">
        <v>0</v>
      </c>
      <c r="CN341">
        <v>0</v>
      </c>
      <c r="CO341">
        <v>0</v>
      </c>
      <c r="CP341">
        <v>0</v>
      </c>
      <c r="CQ341">
        <v>0</v>
      </c>
      <c r="CR341">
        <v>0</v>
      </c>
      <c r="CS341">
        <v>0</v>
      </c>
      <c r="CT341">
        <v>0</v>
      </c>
      <c r="CU341">
        <v>0</v>
      </c>
      <c r="CV341">
        <v>0</v>
      </c>
      <c r="CW341">
        <v>0</v>
      </c>
      <c r="CX341">
        <v>0</v>
      </c>
      <c r="CY341">
        <v>0</v>
      </c>
      <c r="CZ341">
        <v>0</v>
      </c>
      <c r="DA341">
        <v>0</v>
      </c>
      <c r="DB341">
        <v>0</v>
      </c>
      <c r="DC341">
        <v>0</v>
      </c>
      <c r="DD341">
        <v>0</v>
      </c>
      <c r="DE341">
        <v>0</v>
      </c>
      <c r="DF341">
        <v>0</v>
      </c>
      <c r="DG341">
        <v>0</v>
      </c>
      <c r="DH341">
        <v>0</v>
      </c>
      <c r="DI341">
        <v>0</v>
      </c>
      <c r="DJ341">
        <v>0</v>
      </c>
      <c r="DK341">
        <v>0</v>
      </c>
      <c r="DL341">
        <v>0</v>
      </c>
      <c r="DM341">
        <v>0</v>
      </c>
      <c r="DN341">
        <v>0</v>
      </c>
      <c r="DO341">
        <v>0</v>
      </c>
      <c r="DP341">
        <v>0</v>
      </c>
      <c r="DQ341">
        <v>0</v>
      </c>
      <c r="DR341">
        <v>0</v>
      </c>
      <c r="DS341">
        <v>0</v>
      </c>
      <c r="DT341">
        <v>0</v>
      </c>
      <c r="DU341">
        <v>0</v>
      </c>
      <c r="DV341">
        <v>0</v>
      </c>
      <c r="DW341">
        <v>0</v>
      </c>
      <c r="DX341">
        <v>0</v>
      </c>
      <c r="DY341">
        <v>0</v>
      </c>
      <c r="DZ341">
        <v>0</v>
      </c>
      <c r="EA341">
        <v>0</v>
      </c>
      <c r="EB341">
        <v>0</v>
      </c>
      <c r="EC341">
        <v>0</v>
      </c>
      <c r="ED341">
        <v>0</v>
      </c>
      <c r="EE341">
        <v>0</v>
      </c>
      <c r="EF341">
        <v>0</v>
      </c>
      <c r="EG341">
        <v>0</v>
      </c>
      <c r="EH341">
        <v>0</v>
      </c>
      <c r="EI341">
        <v>0</v>
      </c>
      <c r="EJ341">
        <v>0</v>
      </c>
      <c r="EK341">
        <v>0</v>
      </c>
      <c r="EL341">
        <v>0</v>
      </c>
      <c r="EM341">
        <v>0</v>
      </c>
      <c r="EN341">
        <v>0</v>
      </c>
      <c r="EO341">
        <v>0</v>
      </c>
      <c r="EP341">
        <v>0</v>
      </c>
      <c r="EQ341">
        <v>0</v>
      </c>
      <c r="ER341">
        <v>0</v>
      </c>
      <c r="ES341">
        <v>0</v>
      </c>
      <c r="ET341">
        <v>0</v>
      </c>
      <c r="EU341">
        <v>0</v>
      </c>
      <c r="EV341">
        <v>0</v>
      </c>
      <c r="EW341">
        <v>0</v>
      </c>
      <c r="EX341">
        <v>0</v>
      </c>
      <c r="EY341">
        <v>0</v>
      </c>
      <c r="EZ341">
        <v>0</v>
      </c>
      <c r="FA341">
        <v>0</v>
      </c>
      <c r="FB341">
        <v>0</v>
      </c>
      <c r="FC341">
        <v>0</v>
      </c>
      <c r="FD341">
        <v>0</v>
      </c>
      <c r="FE341">
        <v>0</v>
      </c>
      <c r="FF341">
        <v>0</v>
      </c>
      <c r="FG341">
        <v>0</v>
      </c>
      <c r="FH341">
        <v>0</v>
      </c>
      <c r="FI341">
        <v>0</v>
      </c>
      <c r="FJ341">
        <v>0</v>
      </c>
      <c r="FK341">
        <v>0</v>
      </c>
      <c r="FL341">
        <v>0</v>
      </c>
      <c r="FM341">
        <v>0</v>
      </c>
      <c r="FN341">
        <v>0</v>
      </c>
      <c r="FO341">
        <v>0</v>
      </c>
      <c r="FP341">
        <v>0</v>
      </c>
      <c r="FQ341">
        <v>0</v>
      </c>
      <c r="FR341">
        <v>0</v>
      </c>
      <c r="FS341">
        <v>0</v>
      </c>
      <c r="FT341">
        <v>0</v>
      </c>
      <c r="FU341">
        <v>0</v>
      </c>
      <c r="FV341">
        <v>0</v>
      </c>
      <c r="FW341">
        <v>0</v>
      </c>
      <c r="FX341">
        <v>0</v>
      </c>
      <c r="FY341">
        <v>0</v>
      </c>
      <c r="FZ341">
        <v>0</v>
      </c>
      <c r="GA341">
        <v>0</v>
      </c>
      <c r="GB341">
        <v>0</v>
      </c>
      <c r="GC341">
        <v>0</v>
      </c>
      <c r="GD341">
        <v>0</v>
      </c>
      <c r="GE341">
        <v>0</v>
      </c>
      <c r="GF341">
        <v>0</v>
      </c>
      <c r="GG341">
        <v>0</v>
      </c>
      <c r="GH341">
        <v>0</v>
      </c>
      <c r="GI341">
        <v>0</v>
      </c>
      <c r="GJ341">
        <v>0</v>
      </c>
      <c r="GK341">
        <v>0</v>
      </c>
      <c r="GL341">
        <v>0</v>
      </c>
      <c r="GM341">
        <v>0</v>
      </c>
      <c r="GN341">
        <v>0</v>
      </c>
      <c r="GO341">
        <v>0</v>
      </c>
      <c r="GP341">
        <v>0</v>
      </c>
      <c r="GQ341">
        <v>0</v>
      </c>
      <c r="GR341">
        <v>0</v>
      </c>
      <c r="GS341">
        <v>0</v>
      </c>
      <c r="GT341">
        <v>0</v>
      </c>
      <c r="GU341">
        <v>0</v>
      </c>
      <c r="GV341">
        <v>0</v>
      </c>
      <c r="GW341">
        <v>0</v>
      </c>
      <c r="GX341">
        <v>0</v>
      </c>
      <c r="GY341">
        <v>0</v>
      </c>
      <c r="GZ341">
        <v>0</v>
      </c>
      <c r="HA341">
        <v>0</v>
      </c>
      <c r="HB341">
        <v>0</v>
      </c>
      <c r="HC341">
        <v>0</v>
      </c>
      <c r="HD341">
        <v>0</v>
      </c>
      <c r="HE341">
        <v>0</v>
      </c>
      <c r="HF341">
        <v>0</v>
      </c>
      <c r="HG341">
        <v>0</v>
      </c>
      <c r="HH341">
        <v>0</v>
      </c>
      <c r="HI341">
        <v>0</v>
      </c>
      <c r="HJ341">
        <v>0</v>
      </c>
      <c r="HK341">
        <v>0</v>
      </c>
      <c r="HL341">
        <v>0</v>
      </c>
      <c r="HM341">
        <v>0</v>
      </c>
      <c r="HN341">
        <v>0</v>
      </c>
      <c r="HO341">
        <v>0</v>
      </c>
      <c r="HP341">
        <v>0</v>
      </c>
      <c r="HQ341">
        <v>0</v>
      </c>
      <c r="HR341">
        <v>0</v>
      </c>
      <c r="HS341">
        <v>0</v>
      </c>
      <c r="HT341">
        <v>0</v>
      </c>
      <c r="HU341">
        <v>0</v>
      </c>
      <c r="HV341">
        <v>0</v>
      </c>
      <c r="HW341">
        <v>0</v>
      </c>
      <c r="HX341">
        <v>0</v>
      </c>
      <c r="HY341">
        <v>0</v>
      </c>
      <c r="HZ341">
        <v>0</v>
      </c>
      <c r="IA341">
        <v>0</v>
      </c>
      <c r="IB341">
        <v>0</v>
      </c>
      <c r="IC341">
        <v>0</v>
      </c>
      <c r="ID341">
        <v>0</v>
      </c>
      <c r="IE341">
        <v>0</v>
      </c>
      <c r="IF341">
        <v>0</v>
      </c>
      <c r="IG341">
        <v>0</v>
      </c>
      <c r="IH341">
        <v>0</v>
      </c>
      <c r="II341">
        <v>0</v>
      </c>
      <c r="IJ341">
        <v>0</v>
      </c>
      <c r="IK341">
        <v>0</v>
      </c>
      <c r="IL341">
        <v>0</v>
      </c>
      <c r="IM341">
        <v>0</v>
      </c>
      <c r="IN341">
        <v>0</v>
      </c>
      <c r="IO341">
        <v>0</v>
      </c>
      <c r="IP341">
        <v>0</v>
      </c>
      <c r="IQ341">
        <v>0</v>
      </c>
      <c r="IR341">
        <v>0</v>
      </c>
      <c r="IS341">
        <v>0</v>
      </c>
      <c r="IT341">
        <v>0</v>
      </c>
      <c r="IU341">
        <v>0</v>
      </c>
      <c r="IV341">
        <v>0</v>
      </c>
      <c r="IW341">
        <v>0</v>
      </c>
      <c r="IX341">
        <v>0</v>
      </c>
      <c r="IY341">
        <v>0</v>
      </c>
      <c r="IZ341">
        <v>0</v>
      </c>
      <c r="JA341">
        <v>0</v>
      </c>
      <c r="JB341">
        <v>0</v>
      </c>
      <c r="JC341">
        <v>0</v>
      </c>
      <c r="JD341">
        <v>0</v>
      </c>
      <c r="JE341">
        <v>0</v>
      </c>
      <c r="JF341">
        <v>0</v>
      </c>
      <c r="JG341">
        <v>0</v>
      </c>
      <c r="JH341">
        <v>0</v>
      </c>
      <c r="JI341">
        <v>0</v>
      </c>
      <c r="JJ341">
        <v>0</v>
      </c>
      <c r="JK341">
        <v>0</v>
      </c>
      <c r="JL341">
        <v>0</v>
      </c>
      <c r="JM341">
        <v>0</v>
      </c>
      <c r="JN341">
        <v>0</v>
      </c>
      <c r="JO341">
        <v>0</v>
      </c>
      <c r="JP341">
        <v>0</v>
      </c>
      <c r="JQ341">
        <v>0</v>
      </c>
      <c r="JR341">
        <v>0</v>
      </c>
      <c r="JS341">
        <v>0</v>
      </c>
      <c r="JT341">
        <v>0</v>
      </c>
      <c r="JU341">
        <v>0</v>
      </c>
      <c r="JV341">
        <v>0</v>
      </c>
      <c r="JW341">
        <v>0</v>
      </c>
      <c r="JX341">
        <v>0</v>
      </c>
      <c r="JY341">
        <v>0</v>
      </c>
      <c r="JZ341">
        <v>0</v>
      </c>
      <c r="KA341">
        <v>0</v>
      </c>
      <c r="KB341">
        <v>0</v>
      </c>
      <c r="KC341">
        <v>0</v>
      </c>
      <c r="KD341">
        <v>0</v>
      </c>
      <c r="KE341">
        <v>0</v>
      </c>
      <c r="KF341">
        <v>0</v>
      </c>
      <c r="KG341">
        <v>0</v>
      </c>
      <c r="KH341">
        <v>0</v>
      </c>
      <c r="KI341">
        <v>0</v>
      </c>
      <c r="KJ341">
        <v>0</v>
      </c>
      <c r="KK341">
        <v>0</v>
      </c>
      <c r="KL341">
        <v>0</v>
      </c>
      <c r="KM341">
        <v>0</v>
      </c>
      <c r="KN341">
        <v>0</v>
      </c>
      <c r="KO341">
        <v>0</v>
      </c>
      <c r="KP341">
        <v>0</v>
      </c>
      <c r="KQ341">
        <v>0</v>
      </c>
      <c r="KR341">
        <v>0</v>
      </c>
      <c r="KS341">
        <v>0</v>
      </c>
      <c r="KT341">
        <v>0</v>
      </c>
      <c r="KU341">
        <v>0</v>
      </c>
      <c r="KV341">
        <v>0</v>
      </c>
      <c r="KW341">
        <v>0</v>
      </c>
      <c r="KX341">
        <v>0</v>
      </c>
      <c r="KY341">
        <v>0</v>
      </c>
      <c r="KZ341">
        <v>0</v>
      </c>
      <c r="LA341">
        <v>0</v>
      </c>
      <c r="LB341">
        <v>0</v>
      </c>
      <c r="LC341">
        <v>0</v>
      </c>
      <c r="LD341">
        <v>0</v>
      </c>
      <c r="LE341">
        <v>0</v>
      </c>
      <c r="LF341">
        <v>0</v>
      </c>
      <c r="LG341">
        <v>0</v>
      </c>
      <c r="LH341">
        <v>0</v>
      </c>
      <c r="LI341">
        <v>0</v>
      </c>
      <c r="LJ341">
        <v>0</v>
      </c>
      <c r="LK341">
        <v>0</v>
      </c>
      <c r="LL341">
        <v>0</v>
      </c>
      <c r="LM341">
        <v>0</v>
      </c>
      <c r="LN341">
        <v>0</v>
      </c>
      <c r="LO341">
        <v>0</v>
      </c>
      <c r="LP341">
        <v>0</v>
      </c>
      <c r="LQ341">
        <v>0</v>
      </c>
      <c r="LR341">
        <v>0</v>
      </c>
      <c r="LS341">
        <v>0</v>
      </c>
      <c r="LT341">
        <v>0</v>
      </c>
      <c r="LU341">
        <v>0</v>
      </c>
      <c r="LV341">
        <v>0</v>
      </c>
      <c r="LW341">
        <v>0</v>
      </c>
      <c r="LX341">
        <v>0</v>
      </c>
      <c r="LY341">
        <v>0</v>
      </c>
      <c r="LZ341">
        <v>0</v>
      </c>
      <c r="MA341">
        <v>0</v>
      </c>
      <c r="MB341">
        <v>0</v>
      </c>
      <c r="MC341">
        <v>0</v>
      </c>
      <c r="MD341">
        <v>0</v>
      </c>
      <c r="ME341">
        <v>0</v>
      </c>
      <c r="MF341">
        <v>0</v>
      </c>
      <c r="MG341">
        <v>0</v>
      </c>
      <c r="MH341">
        <v>0</v>
      </c>
      <c r="MI341">
        <v>0</v>
      </c>
      <c r="MJ341">
        <v>0</v>
      </c>
      <c r="MK341">
        <v>0</v>
      </c>
      <c r="ML341">
        <v>0</v>
      </c>
      <c r="MM341">
        <v>0</v>
      </c>
      <c r="MN341">
        <v>0</v>
      </c>
      <c r="MO341">
        <v>0</v>
      </c>
      <c r="MP341">
        <v>0</v>
      </c>
      <c r="MQ341">
        <v>0</v>
      </c>
      <c r="MR341">
        <v>0</v>
      </c>
      <c r="MS341">
        <v>0</v>
      </c>
      <c r="MT341">
        <v>0</v>
      </c>
      <c r="MU341">
        <v>0</v>
      </c>
      <c r="MV341">
        <v>0</v>
      </c>
      <c r="MW341">
        <v>0</v>
      </c>
      <c r="MX341">
        <v>0</v>
      </c>
      <c r="MY341">
        <v>0</v>
      </c>
      <c r="MZ341">
        <v>0</v>
      </c>
      <c r="NA341">
        <v>0</v>
      </c>
      <c r="NB341">
        <v>0</v>
      </c>
      <c r="NC341">
        <v>0</v>
      </c>
      <c r="ND341">
        <v>0</v>
      </c>
      <c r="NE341">
        <v>0</v>
      </c>
    </row>
    <row r="342" spans="41:369" x14ac:dyDescent="0.45">
      <c r="AO342">
        <v>0</v>
      </c>
      <c r="AP342">
        <v>0</v>
      </c>
      <c r="AQ342">
        <v>0</v>
      </c>
      <c r="AR342">
        <v>0</v>
      </c>
      <c r="AS342">
        <v>0</v>
      </c>
      <c r="AT342">
        <v>0</v>
      </c>
      <c r="AU342">
        <v>0</v>
      </c>
      <c r="AV342">
        <v>0</v>
      </c>
      <c r="AW342" t="str">
        <v/>
      </c>
      <c r="AX342">
        <v>255</v>
      </c>
      <c r="AY342" s="5" t="str">
        <v/>
      </c>
      <c r="AZ342">
        <v>0</v>
      </c>
      <c r="BA342">
        <v>0</v>
      </c>
      <c r="BB342">
        <v>0</v>
      </c>
      <c r="BC342">
        <v>0</v>
      </c>
      <c r="BD342">
        <v>0</v>
      </c>
      <c r="BE342">
        <v>0</v>
      </c>
      <c r="BF342">
        <v>0</v>
      </c>
      <c r="BG342">
        <v>0</v>
      </c>
      <c r="BH342">
        <v>0</v>
      </c>
      <c r="BI342" t="str">
        <v/>
      </c>
      <c r="BK342">
        <v>336</v>
      </c>
      <c r="BL342">
        <v>0</v>
      </c>
      <c r="BM342">
        <v>0</v>
      </c>
      <c r="BN342">
        <v>0</v>
      </c>
      <c r="BO342">
        <v>0</v>
      </c>
      <c r="BP342">
        <v>0</v>
      </c>
      <c r="BQ342">
        <v>0</v>
      </c>
      <c r="BR342">
        <v>0</v>
      </c>
      <c r="BS342">
        <v>0</v>
      </c>
      <c r="BT342">
        <v>0</v>
      </c>
      <c r="BU342">
        <v>0</v>
      </c>
      <c r="BV342">
        <v>0</v>
      </c>
      <c r="BW342">
        <v>0</v>
      </c>
      <c r="BX342">
        <v>0</v>
      </c>
      <c r="BY342">
        <v>0</v>
      </c>
      <c r="BZ342">
        <v>0</v>
      </c>
      <c r="CA342">
        <v>0</v>
      </c>
      <c r="CB342">
        <v>0</v>
      </c>
      <c r="CC342">
        <v>0</v>
      </c>
      <c r="CD342">
        <v>0</v>
      </c>
      <c r="CE342">
        <v>0</v>
      </c>
      <c r="CF342">
        <v>0</v>
      </c>
      <c r="CG342">
        <v>0</v>
      </c>
      <c r="CH342">
        <v>0</v>
      </c>
      <c r="CI342">
        <v>0</v>
      </c>
      <c r="CJ342">
        <v>0</v>
      </c>
      <c r="CK342">
        <v>0</v>
      </c>
      <c r="CL342">
        <v>0</v>
      </c>
      <c r="CM342">
        <v>0</v>
      </c>
      <c r="CN342">
        <v>0</v>
      </c>
      <c r="CO342">
        <v>0</v>
      </c>
      <c r="CP342">
        <v>0</v>
      </c>
      <c r="CQ342">
        <v>0</v>
      </c>
      <c r="CR342">
        <v>0</v>
      </c>
      <c r="CS342">
        <v>0</v>
      </c>
      <c r="CT342">
        <v>0</v>
      </c>
      <c r="CU342">
        <v>0</v>
      </c>
      <c r="CV342">
        <v>0</v>
      </c>
      <c r="CW342">
        <v>0</v>
      </c>
      <c r="CX342">
        <v>0</v>
      </c>
      <c r="CY342">
        <v>0</v>
      </c>
      <c r="CZ342">
        <v>0</v>
      </c>
      <c r="DA342">
        <v>0</v>
      </c>
      <c r="DB342">
        <v>0</v>
      </c>
      <c r="DC342">
        <v>0</v>
      </c>
      <c r="DD342">
        <v>0</v>
      </c>
      <c r="DE342">
        <v>0</v>
      </c>
      <c r="DF342">
        <v>0</v>
      </c>
      <c r="DG342">
        <v>0</v>
      </c>
      <c r="DH342">
        <v>0</v>
      </c>
      <c r="DI342">
        <v>0</v>
      </c>
      <c r="DJ342">
        <v>0</v>
      </c>
      <c r="DK342">
        <v>0</v>
      </c>
      <c r="DL342">
        <v>0</v>
      </c>
      <c r="DM342">
        <v>0</v>
      </c>
      <c r="DN342">
        <v>0</v>
      </c>
      <c r="DO342">
        <v>0</v>
      </c>
      <c r="DP342">
        <v>0</v>
      </c>
      <c r="DQ342">
        <v>0</v>
      </c>
      <c r="DR342">
        <v>0</v>
      </c>
      <c r="DS342">
        <v>0</v>
      </c>
      <c r="DT342">
        <v>0</v>
      </c>
      <c r="DU342">
        <v>0</v>
      </c>
      <c r="DV342">
        <v>0</v>
      </c>
      <c r="DW342">
        <v>0</v>
      </c>
      <c r="DX342">
        <v>0</v>
      </c>
      <c r="DY342">
        <v>0</v>
      </c>
      <c r="DZ342">
        <v>0</v>
      </c>
      <c r="EA342">
        <v>0</v>
      </c>
      <c r="EB342">
        <v>0</v>
      </c>
      <c r="EC342">
        <v>0</v>
      </c>
      <c r="ED342">
        <v>0</v>
      </c>
      <c r="EE342">
        <v>0</v>
      </c>
      <c r="EF342">
        <v>0</v>
      </c>
      <c r="EG342">
        <v>0</v>
      </c>
      <c r="EH342">
        <v>0</v>
      </c>
      <c r="EI342">
        <v>0</v>
      </c>
      <c r="EJ342">
        <v>0</v>
      </c>
      <c r="EK342">
        <v>0</v>
      </c>
      <c r="EL342">
        <v>0</v>
      </c>
      <c r="EM342">
        <v>0</v>
      </c>
      <c r="EN342">
        <v>0</v>
      </c>
      <c r="EO342">
        <v>0</v>
      </c>
      <c r="EP342">
        <v>0</v>
      </c>
      <c r="EQ342">
        <v>0</v>
      </c>
      <c r="ER342">
        <v>0</v>
      </c>
      <c r="ES342">
        <v>0</v>
      </c>
      <c r="ET342">
        <v>0</v>
      </c>
      <c r="EU342">
        <v>0</v>
      </c>
      <c r="EV342">
        <v>0</v>
      </c>
      <c r="EW342">
        <v>0</v>
      </c>
      <c r="EX342">
        <v>0</v>
      </c>
      <c r="EY342">
        <v>0</v>
      </c>
      <c r="EZ342">
        <v>0</v>
      </c>
      <c r="FA342">
        <v>0</v>
      </c>
      <c r="FB342">
        <v>0</v>
      </c>
      <c r="FC342">
        <v>0</v>
      </c>
      <c r="FD342">
        <v>0</v>
      </c>
      <c r="FE342">
        <v>0</v>
      </c>
      <c r="FF342">
        <v>0</v>
      </c>
      <c r="FG342">
        <v>0</v>
      </c>
      <c r="FH342">
        <v>0</v>
      </c>
      <c r="FI342">
        <v>0</v>
      </c>
      <c r="FJ342">
        <v>0</v>
      </c>
      <c r="FK342">
        <v>0</v>
      </c>
      <c r="FL342">
        <v>0</v>
      </c>
      <c r="FM342">
        <v>0</v>
      </c>
      <c r="FN342">
        <v>0</v>
      </c>
      <c r="FO342">
        <v>0</v>
      </c>
      <c r="FP342">
        <v>0</v>
      </c>
      <c r="FQ342">
        <v>0</v>
      </c>
      <c r="FR342">
        <v>0</v>
      </c>
      <c r="FS342">
        <v>0</v>
      </c>
      <c r="FT342">
        <v>0</v>
      </c>
      <c r="FU342">
        <v>0</v>
      </c>
      <c r="FV342">
        <v>0</v>
      </c>
      <c r="FW342">
        <v>0</v>
      </c>
      <c r="FX342">
        <v>0</v>
      </c>
      <c r="FY342">
        <v>0</v>
      </c>
      <c r="FZ342">
        <v>0</v>
      </c>
      <c r="GA342">
        <v>0</v>
      </c>
      <c r="GB342">
        <v>0</v>
      </c>
      <c r="GC342">
        <v>0</v>
      </c>
      <c r="GD342">
        <v>0</v>
      </c>
      <c r="GE342">
        <v>0</v>
      </c>
      <c r="GF342">
        <v>0</v>
      </c>
      <c r="GG342">
        <v>0</v>
      </c>
      <c r="GH342">
        <v>0</v>
      </c>
      <c r="GI342">
        <v>0</v>
      </c>
      <c r="GJ342">
        <v>0</v>
      </c>
      <c r="GK342">
        <v>0</v>
      </c>
      <c r="GL342">
        <v>0</v>
      </c>
      <c r="GM342">
        <v>0</v>
      </c>
      <c r="GN342">
        <v>0</v>
      </c>
      <c r="GO342">
        <v>0</v>
      </c>
      <c r="GP342">
        <v>0</v>
      </c>
      <c r="GQ342">
        <v>0</v>
      </c>
      <c r="GR342">
        <v>0</v>
      </c>
      <c r="GS342">
        <v>0</v>
      </c>
      <c r="GT342">
        <v>0</v>
      </c>
      <c r="GU342">
        <v>0</v>
      </c>
      <c r="GV342">
        <v>0</v>
      </c>
      <c r="GW342">
        <v>0</v>
      </c>
      <c r="GX342">
        <v>0</v>
      </c>
      <c r="GY342">
        <v>0</v>
      </c>
      <c r="GZ342">
        <v>0</v>
      </c>
      <c r="HA342">
        <v>0</v>
      </c>
      <c r="HB342">
        <v>0</v>
      </c>
      <c r="HC342">
        <v>0</v>
      </c>
      <c r="HD342">
        <v>0</v>
      </c>
      <c r="HE342">
        <v>0</v>
      </c>
      <c r="HF342">
        <v>0</v>
      </c>
      <c r="HG342">
        <v>0</v>
      </c>
      <c r="HH342">
        <v>0</v>
      </c>
      <c r="HI342">
        <v>0</v>
      </c>
      <c r="HJ342">
        <v>0</v>
      </c>
      <c r="HK342">
        <v>0</v>
      </c>
      <c r="HL342">
        <v>0</v>
      </c>
      <c r="HM342">
        <v>0</v>
      </c>
      <c r="HN342">
        <v>0</v>
      </c>
      <c r="HO342">
        <v>0</v>
      </c>
      <c r="HP342">
        <v>0</v>
      </c>
      <c r="HQ342">
        <v>0</v>
      </c>
      <c r="HR342">
        <v>0</v>
      </c>
      <c r="HS342">
        <v>0</v>
      </c>
      <c r="HT342">
        <v>0</v>
      </c>
      <c r="HU342">
        <v>0</v>
      </c>
      <c r="HV342">
        <v>0</v>
      </c>
      <c r="HW342">
        <v>0</v>
      </c>
      <c r="HX342">
        <v>0</v>
      </c>
      <c r="HY342">
        <v>0</v>
      </c>
      <c r="HZ342">
        <v>0</v>
      </c>
      <c r="IA342">
        <v>0</v>
      </c>
      <c r="IB342">
        <v>0</v>
      </c>
      <c r="IC342">
        <v>0</v>
      </c>
      <c r="ID342">
        <v>0</v>
      </c>
      <c r="IE342">
        <v>0</v>
      </c>
      <c r="IF342">
        <v>0</v>
      </c>
      <c r="IG342">
        <v>0</v>
      </c>
      <c r="IH342">
        <v>0</v>
      </c>
      <c r="II342">
        <v>0</v>
      </c>
      <c r="IJ342">
        <v>0</v>
      </c>
      <c r="IK342">
        <v>0</v>
      </c>
      <c r="IL342">
        <v>0</v>
      </c>
      <c r="IM342">
        <v>0</v>
      </c>
      <c r="IN342">
        <v>0</v>
      </c>
      <c r="IO342">
        <v>0</v>
      </c>
      <c r="IP342">
        <v>0</v>
      </c>
      <c r="IQ342">
        <v>0</v>
      </c>
      <c r="IR342">
        <v>0</v>
      </c>
      <c r="IS342">
        <v>0</v>
      </c>
      <c r="IT342">
        <v>0</v>
      </c>
      <c r="IU342">
        <v>0</v>
      </c>
      <c r="IV342">
        <v>0</v>
      </c>
      <c r="IW342">
        <v>0</v>
      </c>
      <c r="IX342">
        <v>0</v>
      </c>
      <c r="IY342">
        <v>0</v>
      </c>
      <c r="IZ342">
        <v>0</v>
      </c>
      <c r="JA342">
        <v>0</v>
      </c>
      <c r="JB342">
        <v>0</v>
      </c>
      <c r="JC342">
        <v>0</v>
      </c>
      <c r="JD342">
        <v>0</v>
      </c>
      <c r="JE342">
        <v>0</v>
      </c>
      <c r="JF342">
        <v>0</v>
      </c>
      <c r="JG342">
        <v>0</v>
      </c>
      <c r="JH342">
        <v>0</v>
      </c>
      <c r="JI342">
        <v>0</v>
      </c>
      <c r="JJ342">
        <v>0</v>
      </c>
      <c r="JK342">
        <v>0</v>
      </c>
      <c r="JL342">
        <v>0</v>
      </c>
      <c r="JM342">
        <v>0</v>
      </c>
      <c r="JN342">
        <v>0</v>
      </c>
      <c r="JO342">
        <v>0</v>
      </c>
      <c r="JP342">
        <v>0</v>
      </c>
      <c r="JQ342">
        <v>0</v>
      </c>
      <c r="JR342">
        <v>0</v>
      </c>
      <c r="JS342">
        <v>0</v>
      </c>
      <c r="JT342">
        <v>0</v>
      </c>
      <c r="JU342">
        <v>0</v>
      </c>
      <c r="JV342">
        <v>0</v>
      </c>
      <c r="JW342">
        <v>0</v>
      </c>
      <c r="JX342">
        <v>0</v>
      </c>
      <c r="JY342">
        <v>0</v>
      </c>
      <c r="JZ342">
        <v>0</v>
      </c>
      <c r="KA342">
        <v>0</v>
      </c>
      <c r="KB342">
        <v>0</v>
      </c>
      <c r="KC342">
        <v>0</v>
      </c>
      <c r="KD342">
        <v>0</v>
      </c>
      <c r="KE342">
        <v>0</v>
      </c>
      <c r="KF342">
        <v>0</v>
      </c>
      <c r="KG342">
        <v>0</v>
      </c>
      <c r="KH342">
        <v>0</v>
      </c>
      <c r="KI342">
        <v>0</v>
      </c>
      <c r="KJ342">
        <v>0</v>
      </c>
      <c r="KK342">
        <v>0</v>
      </c>
      <c r="KL342">
        <v>0</v>
      </c>
      <c r="KM342">
        <v>0</v>
      </c>
      <c r="KN342">
        <v>0</v>
      </c>
      <c r="KO342">
        <v>0</v>
      </c>
      <c r="KP342">
        <v>0</v>
      </c>
      <c r="KQ342">
        <v>0</v>
      </c>
      <c r="KR342">
        <v>0</v>
      </c>
      <c r="KS342">
        <v>0</v>
      </c>
      <c r="KT342">
        <v>0</v>
      </c>
      <c r="KU342">
        <v>0</v>
      </c>
      <c r="KV342">
        <v>0</v>
      </c>
      <c r="KW342">
        <v>0</v>
      </c>
      <c r="KX342">
        <v>0</v>
      </c>
      <c r="KY342">
        <v>0</v>
      </c>
      <c r="KZ342">
        <v>0</v>
      </c>
      <c r="LA342">
        <v>0</v>
      </c>
      <c r="LB342">
        <v>0</v>
      </c>
      <c r="LC342">
        <v>0</v>
      </c>
      <c r="LD342">
        <v>0</v>
      </c>
      <c r="LE342">
        <v>0</v>
      </c>
      <c r="LF342">
        <v>0</v>
      </c>
      <c r="LG342">
        <v>0</v>
      </c>
      <c r="LH342">
        <v>0</v>
      </c>
      <c r="LI342">
        <v>0</v>
      </c>
      <c r="LJ342">
        <v>0</v>
      </c>
      <c r="LK342">
        <v>0</v>
      </c>
      <c r="LL342">
        <v>0</v>
      </c>
      <c r="LM342">
        <v>0</v>
      </c>
      <c r="LN342">
        <v>0</v>
      </c>
      <c r="LO342">
        <v>0</v>
      </c>
      <c r="LP342">
        <v>0</v>
      </c>
      <c r="LQ342">
        <v>0</v>
      </c>
      <c r="LR342">
        <v>0</v>
      </c>
      <c r="LS342">
        <v>0</v>
      </c>
      <c r="LT342">
        <v>0</v>
      </c>
      <c r="LU342">
        <v>0</v>
      </c>
      <c r="LV342">
        <v>0</v>
      </c>
      <c r="LW342">
        <v>0</v>
      </c>
      <c r="LX342">
        <v>0</v>
      </c>
      <c r="LY342">
        <v>0</v>
      </c>
      <c r="LZ342">
        <v>0</v>
      </c>
      <c r="MA342">
        <v>0</v>
      </c>
      <c r="MB342">
        <v>0</v>
      </c>
      <c r="MC342">
        <v>0</v>
      </c>
      <c r="MD342">
        <v>0</v>
      </c>
      <c r="ME342">
        <v>0</v>
      </c>
      <c r="MF342">
        <v>0</v>
      </c>
      <c r="MG342">
        <v>0</v>
      </c>
      <c r="MH342">
        <v>0</v>
      </c>
      <c r="MI342">
        <v>0</v>
      </c>
      <c r="MJ342">
        <v>0</v>
      </c>
      <c r="MK342">
        <v>0</v>
      </c>
      <c r="ML342">
        <v>0</v>
      </c>
      <c r="MM342">
        <v>0</v>
      </c>
      <c r="MN342">
        <v>0</v>
      </c>
      <c r="MO342">
        <v>0</v>
      </c>
      <c r="MP342">
        <v>0</v>
      </c>
      <c r="MQ342">
        <v>0</v>
      </c>
      <c r="MR342">
        <v>0</v>
      </c>
      <c r="MS342">
        <v>0</v>
      </c>
      <c r="MT342">
        <v>0</v>
      </c>
      <c r="MU342">
        <v>0</v>
      </c>
      <c r="MV342">
        <v>0</v>
      </c>
      <c r="MW342">
        <v>0</v>
      </c>
      <c r="MX342">
        <v>0</v>
      </c>
      <c r="MY342">
        <v>0</v>
      </c>
      <c r="MZ342">
        <v>0</v>
      </c>
      <c r="NA342">
        <v>0</v>
      </c>
      <c r="NB342">
        <v>0</v>
      </c>
      <c r="NC342">
        <v>0</v>
      </c>
      <c r="ND342">
        <v>0</v>
      </c>
      <c r="NE342">
        <v>0</v>
      </c>
    </row>
    <row r="343" spans="41:369" x14ac:dyDescent="0.45">
      <c r="AO343">
        <v>0</v>
      </c>
      <c r="AP343">
        <v>0</v>
      </c>
      <c r="AQ343">
        <v>0</v>
      </c>
      <c r="AR343">
        <v>0</v>
      </c>
      <c r="AS343">
        <v>0</v>
      </c>
      <c r="AT343">
        <v>0</v>
      </c>
      <c r="AU343">
        <v>0</v>
      </c>
      <c r="AV343">
        <v>0</v>
      </c>
      <c r="AW343" t="str">
        <v/>
      </c>
      <c r="AX343">
        <v>255</v>
      </c>
      <c r="AY343" s="5" t="str">
        <v/>
      </c>
      <c r="AZ343">
        <v>0</v>
      </c>
      <c r="BA343">
        <v>0</v>
      </c>
      <c r="BB343">
        <v>0</v>
      </c>
      <c r="BC343">
        <v>0</v>
      </c>
      <c r="BD343">
        <v>0</v>
      </c>
      <c r="BE343">
        <v>0</v>
      </c>
      <c r="BF343">
        <v>0</v>
      </c>
      <c r="BG343">
        <v>0</v>
      </c>
      <c r="BH343">
        <v>0</v>
      </c>
      <c r="BI343" t="str">
        <v/>
      </c>
      <c r="BK343">
        <v>337</v>
      </c>
      <c r="BL343">
        <v>0</v>
      </c>
      <c r="BM343">
        <v>0</v>
      </c>
      <c r="BN343">
        <v>0</v>
      </c>
      <c r="BO343">
        <v>0</v>
      </c>
      <c r="BP343">
        <v>0</v>
      </c>
      <c r="BQ343">
        <v>0</v>
      </c>
      <c r="BR343">
        <v>0</v>
      </c>
      <c r="BS343">
        <v>0</v>
      </c>
      <c r="BT343">
        <v>0</v>
      </c>
      <c r="BU343">
        <v>0</v>
      </c>
      <c r="BV343">
        <v>0</v>
      </c>
      <c r="BW343">
        <v>0</v>
      </c>
      <c r="BX343">
        <v>0</v>
      </c>
      <c r="BY343">
        <v>0</v>
      </c>
      <c r="BZ343">
        <v>0</v>
      </c>
      <c r="CA343">
        <v>0</v>
      </c>
      <c r="CB343">
        <v>0</v>
      </c>
      <c r="CC343">
        <v>0</v>
      </c>
      <c r="CD343">
        <v>0</v>
      </c>
      <c r="CE343">
        <v>0</v>
      </c>
      <c r="CF343">
        <v>0</v>
      </c>
      <c r="CG343">
        <v>0</v>
      </c>
      <c r="CH343">
        <v>0</v>
      </c>
      <c r="CI343">
        <v>0</v>
      </c>
      <c r="CJ343">
        <v>0</v>
      </c>
      <c r="CK343">
        <v>0</v>
      </c>
      <c r="CL343">
        <v>0</v>
      </c>
      <c r="CM343">
        <v>0</v>
      </c>
      <c r="CN343">
        <v>0</v>
      </c>
      <c r="CO343">
        <v>0</v>
      </c>
      <c r="CP343">
        <v>0</v>
      </c>
      <c r="CQ343">
        <v>0</v>
      </c>
      <c r="CR343">
        <v>0</v>
      </c>
      <c r="CS343">
        <v>0</v>
      </c>
      <c r="CT343">
        <v>0</v>
      </c>
      <c r="CU343">
        <v>0</v>
      </c>
      <c r="CV343">
        <v>0</v>
      </c>
      <c r="CW343">
        <v>0</v>
      </c>
      <c r="CX343">
        <v>0</v>
      </c>
      <c r="CY343">
        <v>0</v>
      </c>
      <c r="CZ343">
        <v>0</v>
      </c>
      <c r="DA343">
        <v>0</v>
      </c>
      <c r="DB343">
        <v>0</v>
      </c>
      <c r="DC343">
        <v>0</v>
      </c>
      <c r="DD343">
        <v>0</v>
      </c>
      <c r="DE343">
        <v>0</v>
      </c>
      <c r="DF343">
        <v>0</v>
      </c>
      <c r="DG343">
        <v>0</v>
      </c>
      <c r="DH343">
        <v>0</v>
      </c>
      <c r="DI343">
        <v>0</v>
      </c>
      <c r="DJ343">
        <v>0</v>
      </c>
      <c r="DK343">
        <v>0</v>
      </c>
      <c r="DL343">
        <v>0</v>
      </c>
      <c r="DM343">
        <v>0</v>
      </c>
      <c r="DN343">
        <v>0</v>
      </c>
      <c r="DO343">
        <v>0</v>
      </c>
      <c r="DP343">
        <v>0</v>
      </c>
      <c r="DQ343">
        <v>0</v>
      </c>
      <c r="DR343">
        <v>0</v>
      </c>
      <c r="DS343">
        <v>0</v>
      </c>
      <c r="DT343">
        <v>0</v>
      </c>
      <c r="DU343">
        <v>0</v>
      </c>
      <c r="DV343">
        <v>0</v>
      </c>
      <c r="DW343">
        <v>0</v>
      </c>
      <c r="DX343">
        <v>0</v>
      </c>
      <c r="DY343">
        <v>0</v>
      </c>
      <c r="DZ343">
        <v>0</v>
      </c>
      <c r="EA343">
        <v>0</v>
      </c>
      <c r="EB343">
        <v>0</v>
      </c>
      <c r="EC343">
        <v>0</v>
      </c>
      <c r="ED343">
        <v>0</v>
      </c>
      <c r="EE343">
        <v>0</v>
      </c>
      <c r="EF343">
        <v>0</v>
      </c>
      <c r="EG343">
        <v>0</v>
      </c>
      <c r="EH343">
        <v>0</v>
      </c>
      <c r="EI343">
        <v>0</v>
      </c>
      <c r="EJ343">
        <v>0</v>
      </c>
      <c r="EK343">
        <v>0</v>
      </c>
      <c r="EL343">
        <v>0</v>
      </c>
      <c r="EM343">
        <v>0</v>
      </c>
      <c r="EN343">
        <v>0</v>
      </c>
      <c r="EO343">
        <v>0</v>
      </c>
      <c r="EP343">
        <v>0</v>
      </c>
      <c r="EQ343">
        <v>0</v>
      </c>
      <c r="ER343">
        <v>0</v>
      </c>
      <c r="ES343">
        <v>0</v>
      </c>
      <c r="ET343">
        <v>0</v>
      </c>
      <c r="EU343">
        <v>0</v>
      </c>
      <c r="EV343">
        <v>0</v>
      </c>
      <c r="EW343">
        <v>0</v>
      </c>
      <c r="EX343">
        <v>0</v>
      </c>
      <c r="EY343">
        <v>0</v>
      </c>
      <c r="EZ343">
        <v>0</v>
      </c>
      <c r="FA343">
        <v>0</v>
      </c>
      <c r="FB343">
        <v>0</v>
      </c>
      <c r="FC343">
        <v>0</v>
      </c>
      <c r="FD343">
        <v>0</v>
      </c>
      <c r="FE343">
        <v>0</v>
      </c>
      <c r="FF343">
        <v>0</v>
      </c>
      <c r="FG343">
        <v>0</v>
      </c>
      <c r="FH343">
        <v>0</v>
      </c>
      <c r="FI343">
        <v>0</v>
      </c>
      <c r="FJ343">
        <v>0</v>
      </c>
      <c r="FK343">
        <v>0</v>
      </c>
      <c r="FL343">
        <v>0</v>
      </c>
      <c r="FM343">
        <v>0</v>
      </c>
      <c r="FN343">
        <v>0</v>
      </c>
      <c r="FO343">
        <v>0</v>
      </c>
      <c r="FP343">
        <v>0</v>
      </c>
      <c r="FQ343">
        <v>0</v>
      </c>
      <c r="FR343">
        <v>0</v>
      </c>
      <c r="FS343">
        <v>0</v>
      </c>
      <c r="FT343">
        <v>0</v>
      </c>
      <c r="FU343">
        <v>0</v>
      </c>
      <c r="FV343">
        <v>0</v>
      </c>
      <c r="FW343">
        <v>0</v>
      </c>
      <c r="FX343">
        <v>0</v>
      </c>
      <c r="FY343">
        <v>0</v>
      </c>
      <c r="FZ343">
        <v>0</v>
      </c>
      <c r="GA343">
        <v>0</v>
      </c>
      <c r="GB343">
        <v>0</v>
      </c>
      <c r="GC343">
        <v>0</v>
      </c>
      <c r="GD343">
        <v>0</v>
      </c>
      <c r="GE343">
        <v>0</v>
      </c>
      <c r="GF343">
        <v>0</v>
      </c>
      <c r="GG343">
        <v>0</v>
      </c>
      <c r="GH343">
        <v>0</v>
      </c>
      <c r="GI343">
        <v>0</v>
      </c>
      <c r="GJ343">
        <v>0</v>
      </c>
      <c r="GK343">
        <v>0</v>
      </c>
      <c r="GL343">
        <v>0</v>
      </c>
      <c r="GM343">
        <v>0</v>
      </c>
      <c r="GN343">
        <v>0</v>
      </c>
      <c r="GO343">
        <v>0</v>
      </c>
      <c r="GP343">
        <v>0</v>
      </c>
      <c r="GQ343">
        <v>0</v>
      </c>
      <c r="GR343">
        <v>0</v>
      </c>
      <c r="GS343">
        <v>0</v>
      </c>
      <c r="GT343">
        <v>0</v>
      </c>
      <c r="GU343">
        <v>0</v>
      </c>
      <c r="GV343">
        <v>0</v>
      </c>
      <c r="GW343">
        <v>0</v>
      </c>
      <c r="GX343">
        <v>0</v>
      </c>
      <c r="GY343">
        <v>0</v>
      </c>
      <c r="GZ343">
        <v>0</v>
      </c>
      <c r="HA343">
        <v>0</v>
      </c>
      <c r="HB343">
        <v>0</v>
      </c>
      <c r="HC343">
        <v>0</v>
      </c>
      <c r="HD343">
        <v>0</v>
      </c>
      <c r="HE343">
        <v>0</v>
      </c>
      <c r="HF343">
        <v>0</v>
      </c>
      <c r="HG343">
        <v>0</v>
      </c>
      <c r="HH343">
        <v>0</v>
      </c>
      <c r="HI343">
        <v>0</v>
      </c>
      <c r="HJ343">
        <v>0</v>
      </c>
      <c r="HK343">
        <v>0</v>
      </c>
      <c r="HL343">
        <v>0</v>
      </c>
      <c r="HM343">
        <v>0</v>
      </c>
      <c r="HN343">
        <v>0</v>
      </c>
      <c r="HO343">
        <v>0</v>
      </c>
      <c r="HP343">
        <v>0</v>
      </c>
      <c r="HQ343">
        <v>0</v>
      </c>
      <c r="HR343">
        <v>0</v>
      </c>
      <c r="HS343">
        <v>0</v>
      </c>
      <c r="HT343">
        <v>0</v>
      </c>
      <c r="HU343">
        <v>0</v>
      </c>
      <c r="HV343">
        <v>0</v>
      </c>
      <c r="HW343">
        <v>0</v>
      </c>
      <c r="HX343">
        <v>0</v>
      </c>
      <c r="HY343">
        <v>0</v>
      </c>
      <c r="HZ343">
        <v>0</v>
      </c>
      <c r="IA343">
        <v>0</v>
      </c>
      <c r="IB343">
        <v>0</v>
      </c>
      <c r="IC343">
        <v>0</v>
      </c>
      <c r="ID343">
        <v>0</v>
      </c>
      <c r="IE343">
        <v>0</v>
      </c>
      <c r="IF343">
        <v>0</v>
      </c>
      <c r="IG343">
        <v>0</v>
      </c>
      <c r="IH343">
        <v>0</v>
      </c>
      <c r="II343">
        <v>0</v>
      </c>
      <c r="IJ343">
        <v>0</v>
      </c>
      <c r="IK343">
        <v>0</v>
      </c>
      <c r="IL343">
        <v>0</v>
      </c>
      <c r="IM343">
        <v>0</v>
      </c>
      <c r="IN343">
        <v>0</v>
      </c>
      <c r="IO343">
        <v>0</v>
      </c>
      <c r="IP343">
        <v>0</v>
      </c>
      <c r="IQ343">
        <v>0</v>
      </c>
      <c r="IR343">
        <v>0</v>
      </c>
      <c r="IS343">
        <v>0</v>
      </c>
      <c r="IT343">
        <v>0</v>
      </c>
      <c r="IU343">
        <v>0</v>
      </c>
      <c r="IV343">
        <v>0</v>
      </c>
      <c r="IW343">
        <v>0</v>
      </c>
      <c r="IX343">
        <v>0</v>
      </c>
      <c r="IY343">
        <v>0</v>
      </c>
      <c r="IZ343">
        <v>0</v>
      </c>
      <c r="JA343">
        <v>0</v>
      </c>
      <c r="JB343">
        <v>0</v>
      </c>
      <c r="JC343">
        <v>0</v>
      </c>
      <c r="JD343">
        <v>0</v>
      </c>
      <c r="JE343">
        <v>0</v>
      </c>
      <c r="JF343">
        <v>0</v>
      </c>
      <c r="JG343">
        <v>0</v>
      </c>
      <c r="JH343">
        <v>0</v>
      </c>
      <c r="JI343">
        <v>0</v>
      </c>
      <c r="JJ343">
        <v>0</v>
      </c>
      <c r="JK343">
        <v>0</v>
      </c>
      <c r="JL343">
        <v>0</v>
      </c>
      <c r="JM343">
        <v>0</v>
      </c>
      <c r="JN343">
        <v>0</v>
      </c>
      <c r="JO343">
        <v>0</v>
      </c>
      <c r="JP343">
        <v>0</v>
      </c>
      <c r="JQ343">
        <v>0</v>
      </c>
      <c r="JR343">
        <v>0</v>
      </c>
      <c r="JS343">
        <v>0</v>
      </c>
      <c r="JT343">
        <v>0</v>
      </c>
      <c r="JU343">
        <v>0</v>
      </c>
      <c r="JV343">
        <v>0</v>
      </c>
      <c r="JW343">
        <v>0</v>
      </c>
      <c r="JX343">
        <v>0</v>
      </c>
      <c r="JY343">
        <v>0</v>
      </c>
      <c r="JZ343">
        <v>0</v>
      </c>
      <c r="KA343">
        <v>0</v>
      </c>
      <c r="KB343">
        <v>0</v>
      </c>
      <c r="KC343">
        <v>0</v>
      </c>
      <c r="KD343">
        <v>0</v>
      </c>
      <c r="KE343">
        <v>0</v>
      </c>
      <c r="KF343">
        <v>0</v>
      </c>
      <c r="KG343">
        <v>0</v>
      </c>
      <c r="KH343">
        <v>0</v>
      </c>
      <c r="KI343">
        <v>0</v>
      </c>
      <c r="KJ343">
        <v>0</v>
      </c>
      <c r="KK343">
        <v>0</v>
      </c>
      <c r="KL343">
        <v>0</v>
      </c>
      <c r="KM343">
        <v>0</v>
      </c>
      <c r="KN343">
        <v>0</v>
      </c>
      <c r="KO343">
        <v>0</v>
      </c>
      <c r="KP343">
        <v>0</v>
      </c>
      <c r="KQ343">
        <v>0</v>
      </c>
      <c r="KR343">
        <v>0</v>
      </c>
      <c r="KS343">
        <v>0</v>
      </c>
      <c r="KT343">
        <v>0</v>
      </c>
      <c r="KU343">
        <v>0</v>
      </c>
      <c r="KV343">
        <v>0</v>
      </c>
      <c r="KW343">
        <v>0</v>
      </c>
      <c r="KX343">
        <v>0</v>
      </c>
      <c r="KY343">
        <v>0</v>
      </c>
      <c r="KZ343">
        <v>0</v>
      </c>
      <c r="LA343">
        <v>0</v>
      </c>
      <c r="LB343">
        <v>0</v>
      </c>
      <c r="LC343">
        <v>0</v>
      </c>
      <c r="LD343">
        <v>0</v>
      </c>
      <c r="LE343">
        <v>0</v>
      </c>
      <c r="LF343">
        <v>0</v>
      </c>
      <c r="LG343">
        <v>0</v>
      </c>
      <c r="LH343">
        <v>0</v>
      </c>
      <c r="LI343">
        <v>0</v>
      </c>
      <c r="LJ343">
        <v>0</v>
      </c>
      <c r="LK343">
        <v>0</v>
      </c>
      <c r="LL343">
        <v>0</v>
      </c>
      <c r="LM343">
        <v>0</v>
      </c>
      <c r="LN343">
        <v>0</v>
      </c>
      <c r="LO343">
        <v>0</v>
      </c>
      <c r="LP343">
        <v>0</v>
      </c>
      <c r="LQ343">
        <v>0</v>
      </c>
      <c r="LR343">
        <v>0</v>
      </c>
      <c r="LS343">
        <v>0</v>
      </c>
      <c r="LT343">
        <v>0</v>
      </c>
      <c r="LU343">
        <v>0</v>
      </c>
      <c r="LV343">
        <v>0</v>
      </c>
      <c r="LW343">
        <v>0</v>
      </c>
      <c r="LX343">
        <v>0</v>
      </c>
      <c r="LY343">
        <v>0</v>
      </c>
      <c r="LZ343">
        <v>0</v>
      </c>
      <c r="MA343">
        <v>0</v>
      </c>
      <c r="MB343">
        <v>0</v>
      </c>
      <c r="MC343">
        <v>0</v>
      </c>
      <c r="MD343">
        <v>0</v>
      </c>
      <c r="ME343">
        <v>0</v>
      </c>
      <c r="MF343">
        <v>0</v>
      </c>
      <c r="MG343">
        <v>0</v>
      </c>
      <c r="MH343">
        <v>0</v>
      </c>
      <c r="MI343">
        <v>0</v>
      </c>
      <c r="MJ343">
        <v>0</v>
      </c>
      <c r="MK343">
        <v>0</v>
      </c>
      <c r="ML343">
        <v>0</v>
      </c>
      <c r="MM343">
        <v>0</v>
      </c>
      <c r="MN343">
        <v>0</v>
      </c>
      <c r="MO343">
        <v>0</v>
      </c>
      <c r="MP343">
        <v>0</v>
      </c>
      <c r="MQ343">
        <v>0</v>
      </c>
      <c r="MR343">
        <v>0</v>
      </c>
      <c r="MS343">
        <v>0</v>
      </c>
      <c r="MT343">
        <v>0</v>
      </c>
      <c r="MU343">
        <v>0</v>
      </c>
      <c r="MV343">
        <v>0</v>
      </c>
      <c r="MW343">
        <v>0</v>
      </c>
      <c r="MX343">
        <v>0</v>
      </c>
      <c r="MY343">
        <v>0</v>
      </c>
      <c r="MZ343">
        <v>0</v>
      </c>
      <c r="NA343">
        <v>0</v>
      </c>
      <c r="NB343">
        <v>0</v>
      </c>
      <c r="NC343">
        <v>0</v>
      </c>
      <c r="ND343">
        <v>0</v>
      </c>
      <c r="NE343">
        <v>0</v>
      </c>
    </row>
    <row r="344" spans="41:369" x14ac:dyDescent="0.45">
      <c r="AO344">
        <v>0</v>
      </c>
      <c r="AP344">
        <v>0</v>
      </c>
      <c r="AQ344">
        <v>0</v>
      </c>
      <c r="AR344">
        <v>0</v>
      </c>
      <c r="AS344">
        <v>0</v>
      </c>
      <c r="AT344">
        <v>0</v>
      </c>
      <c r="AU344">
        <v>0</v>
      </c>
      <c r="AV344">
        <v>0</v>
      </c>
      <c r="AW344" t="str">
        <v/>
      </c>
      <c r="AX344">
        <v>255</v>
      </c>
      <c r="AY344" s="5" t="str">
        <v/>
      </c>
      <c r="AZ344">
        <v>0</v>
      </c>
      <c r="BA344">
        <v>0</v>
      </c>
      <c r="BB344">
        <v>0</v>
      </c>
      <c r="BC344">
        <v>0</v>
      </c>
      <c r="BD344">
        <v>0</v>
      </c>
      <c r="BE344">
        <v>0</v>
      </c>
      <c r="BF344">
        <v>0</v>
      </c>
      <c r="BG344">
        <v>0</v>
      </c>
      <c r="BH344">
        <v>0</v>
      </c>
      <c r="BI344" t="str">
        <v/>
      </c>
      <c r="BK344">
        <v>338</v>
      </c>
      <c r="BL344">
        <v>0</v>
      </c>
      <c r="BM344">
        <v>0</v>
      </c>
      <c r="BN344">
        <v>0</v>
      </c>
      <c r="BO344">
        <v>0</v>
      </c>
      <c r="BP344">
        <v>0</v>
      </c>
      <c r="BQ344">
        <v>0</v>
      </c>
      <c r="BR344">
        <v>0</v>
      </c>
      <c r="BS344">
        <v>0</v>
      </c>
      <c r="BT344">
        <v>0</v>
      </c>
      <c r="BU344">
        <v>0</v>
      </c>
      <c r="BV344">
        <v>0</v>
      </c>
      <c r="BW344">
        <v>0</v>
      </c>
      <c r="BX344">
        <v>0</v>
      </c>
      <c r="BY344">
        <v>0</v>
      </c>
      <c r="BZ344">
        <v>0</v>
      </c>
      <c r="CA344">
        <v>0</v>
      </c>
      <c r="CB344">
        <v>0</v>
      </c>
      <c r="CC344">
        <v>0</v>
      </c>
      <c r="CD344">
        <v>0</v>
      </c>
      <c r="CE344">
        <v>0</v>
      </c>
      <c r="CF344">
        <v>0</v>
      </c>
      <c r="CG344">
        <v>0</v>
      </c>
      <c r="CH344">
        <v>0</v>
      </c>
      <c r="CI344">
        <v>0</v>
      </c>
      <c r="CJ344">
        <v>0</v>
      </c>
      <c r="CK344">
        <v>0</v>
      </c>
      <c r="CL344">
        <v>0</v>
      </c>
      <c r="CM344">
        <v>0</v>
      </c>
      <c r="CN344">
        <v>0</v>
      </c>
      <c r="CO344">
        <v>0</v>
      </c>
      <c r="CP344">
        <v>0</v>
      </c>
      <c r="CQ344">
        <v>0</v>
      </c>
      <c r="CR344">
        <v>0</v>
      </c>
      <c r="CS344">
        <v>0</v>
      </c>
      <c r="CT344">
        <v>0</v>
      </c>
      <c r="CU344">
        <v>0</v>
      </c>
      <c r="CV344">
        <v>0</v>
      </c>
      <c r="CW344">
        <v>0</v>
      </c>
      <c r="CX344">
        <v>0</v>
      </c>
      <c r="CY344">
        <v>0</v>
      </c>
      <c r="CZ344">
        <v>0</v>
      </c>
      <c r="DA344">
        <v>0</v>
      </c>
      <c r="DB344">
        <v>0</v>
      </c>
      <c r="DC344">
        <v>0</v>
      </c>
      <c r="DD344">
        <v>0</v>
      </c>
      <c r="DE344">
        <v>0</v>
      </c>
      <c r="DF344">
        <v>0</v>
      </c>
      <c r="DG344">
        <v>0</v>
      </c>
      <c r="DH344">
        <v>0</v>
      </c>
      <c r="DI344">
        <v>0</v>
      </c>
      <c r="DJ344">
        <v>0</v>
      </c>
      <c r="DK344">
        <v>0</v>
      </c>
      <c r="DL344">
        <v>0</v>
      </c>
      <c r="DM344">
        <v>0</v>
      </c>
      <c r="DN344">
        <v>0</v>
      </c>
      <c r="DO344">
        <v>0</v>
      </c>
      <c r="DP344">
        <v>0</v>
      </c>
      <c r="DQ344">
        <v>0</v>
      </c>
      <c r="DR344">
        <v>0</v>
      </c>
      <c r="DS344">
        <v>0</v>
      </c>
      <c r="DT344">
        <v>0</v>
      </c>
      <c r="DU344">
        <v>0</v>
      </c>
      <c r="DV344">
        <v>0</v>
      </c>
      <c r="DW344">
        <v>0</v>
      </c>
      <c r="DX344">
        <v>0</v>
      </c>
      <c r="DY344">
        <v>0</v>
      </c>
      <c r="DZ344">
        <v>0</v>
      </c>
      <c r="EA344">
        <v>0</v>
      </c>
      <c r="EB344">
        <v>0</v>
      </c>
      <c r="EC344">
        <v>0</v>
      </c>
      <c r="ED344">
        <v>0</v>
      </c>
      <c r="EE344">
        <v>0</v>
      </c>
      <c r="EF344">
        <v>0</v>
      </c>
      <c r="EG344">
        <v>0</v>
      </c>
      <c r="EH344">
        <v>0</v>
      </c>
      <c r="EI344">
        <v>0</v>
      </c>
      <c r="EJ344">
        <v>0</v>
      </c>
      <c r="EK344">
        <v>0</v>
      </c>
      <c r="EL344">
        <v>0</v>
      </c>
      <c r="EM344">
        <v>0</v>
      </c>
      <c r="EN344">
        <v>0</v>
      </c>
      <c r="EO344">
        <v>0</v>
      </c>
      <c r="EP344">
        <v>0</v>
      </c>
      <c r="EQ344">
        <v>0</v>
      </c>
      <c r="ER344">
        <v>0</v>
      </c>
      <c r="ES344">
        <v>0</v>
      </c>
      <c r="ET344">
        <v>0</v>
      </c>
      <c r="EU344">
        <v>0</v>
      </c>
      <c r="EV344">
        <v>0</v>
      </c>
      <c r="EW344">
        <v>0</v>
      </c>
      <c r="EX344">
        <v>0</v>
      </c>
      <c r="EY344">
        <v>0</v>
      </c>
      <c r="EZ344">
        <v>0</v>
      </c>
      <c r="FA344">
        <v>0</v>
      </c>
      <c r="FB344">
        <v>0</v>
      </c>
      <c r="FC344">
        <v>0</v>
      </c>
      <c r="FD344">
        <v>0</v>
      </c>
      <c r="FE344">
        <v>0</v>
      </c>
      <c r="FF344">
        <v>0</v>
      </c>
      <c r="FG344">
        <v>0</v>
      </c>
      <c r="FH344">
        <v>0</v>
      </c>
      <c r="FI344">
        <v>0</v>
      </c>
      <c r="FJ344">
        <v>0</v>
      </c>
      <c r="FK344">
        <v>0</v>
      </c>
      <c r="FL344">
        <v>0</v>
      </c>
      <c r="FM344">
        <v>0</v>
      </c>
      <c r="FN344">
        <v>0</v>
      </c>
      <c r="FO344">
        <v>0</v>
      </c>
      <c r="FP344">
        <v>0</v>
      </c>
      <c r="FQ344">
        <v>0</v>
      </c>
      <c r="FR344">
        <v>0</v>
      </c>
      <c r="FS344">
        <v>0</v>
      </c>
      <c r="FT344">
        <v>0</v>
      </c>
      <c r="FU344">
        <v>0</v>
      </c>
      <c r="FV344">
        <v>0</v>
      </c>
      <c r="FW344">
        <v>0</v>
      </c>
      <c r="FX344">
        <v>0</v>
      </c>
      <c r="FY344">
        <v>0</v>
      </c>
      <c r="FZ344">
        <v>0</v>
      </c>
      <c r="GA344">
        <v>0</v>
      </c>
      <c r="GB344">
        <v>0</v>
      </c>
      <c r="GC344">
        <v>0</v>
      </c>
      <c r="GD344">
        <v>0</v>
      </c>
      <c r="GE344">
        <v>0</v>
      </c>
      <c r="GF344">
        <v>0</v>
      </c>
      <c r="GG344">
        <v>0</v>
      </c>
      <c r="GH344">
        <v>0</v>
      </c>
      <c r="GI344">
        <v>0</v>
      </c>
      <c r="GJ344">
        <v>0</v>
      </c>
      <c r="GK344">
        <v>0</v>
      </c>
      <c r="GL344">
        <v>0</v>
      </c>
      <c r="GM344">
        <v>0</v>
      </c>
      <c r="GN344">
        <v>0</v>
      </c>
      <c r="GO344">
        <v>0</v>
      </c>
      <c r="GP344">
        <v>0</v>
      </c>
      <c r="GQ344">
        <v>0</v>
      </c>
      <c r="GR344">
        <v>0</v>
      </c>
      <c r="GS344">
        <v>0</v>
      </c>
      <c r="GT344">
        <v>0</v>
      </c>
      <c r="GU344">
        <v>0</v>
      </c>
      <c r="GV344">
        <v>0</v>
      </c>
      <c r="GW344">
        <v>0</v>
      </c>
      <c r="GX344">
        <v>0</v>
      </c>
      <c r="GY344">
        <v>0</v>
      </c>
      <c r="GZ344">
        <v>0</v>
      </c>
      <c r="HA344">
        <v>0</v>
      </c>
      <c r="HB344">
        <v>0</v>
      </c>
      <c r="HC344">
        <v>0</v>
      </c>
      <c r="HD344">
        <v>0</v>
      </c>
      <c r="HE344">
        <v>0</v>
      </c>
      <c r="HF344">
        <v>0</v>
      </c>
      <c r="HG344">
        <v>0</v>
      </c>
      <c r="HH344">
        <v>0</v>
      </c>
      <c r="HI344">
        <v>0</v>
      </c>
      <c r="HJ344">
        <v>0</v>
      </c>
      <c r="HK344">
        <v>0</v>
      </c>
      <c r="HL344">
        <v>0</v>
      </c>
      <c r="HM344">
        <v>0</v>
      </c>
      <c r="HN344">
        <v>0</v>
      </c>
      <c r="HO344">
        <v>0</v>
      </c>
      <c r="HP344">
        <v>0</v>
      </c>
      <c r="HQ344">
        <v>0</v>
      </c>
      <c r="HR344">
        <v>0</v>
      </c>
      <c r="HS344">
        <v>0</v>
      </c>
      <c r="HT344">
        <v>0</v>
      </c>
      <c r="HU344">
        <v>0</v>
      </c>
      <c r="HV344">
        <v>0</v>
      </c>
      <c r="HW344">
        <v>0</v>
      </c>
      <c r="HX344">
        <v>0</v>
      </c>
      <c r="HY344">
        <v>0</v>
      </c>
      <c r="HZ344">
        <v>0</v>
      </c>
      <c r="IA344">
        <v>0</v>
      </c>
      <c r="IB344">
        <v>0</v>
      </c>
      <c r="IC344">
        <v>0</v>
      </c>
      <c r="ID344">
        <v>0</v>
      </c>
      <c r="IE344">
        <v>0</v>
      </c>
      <c r="IF344">
        <v>0</v>
      </c>
      <c r="IG344">
        <v>0</v>
      </c>
      <c r="IH344">
        <v>0</v>
      </c>
      <c r="II344">
        <v>0</v>
      </c>
      <c r="IJ344">
        <v>0</v>
      </c>
      <c r="IK344">
        <v>0</v>
      </c>
      <c r="IL344">
        <v>0</v>
      </c>
      <c r="IM344">
        <v>0</v>
      </c>
      <c r="IN344">
        <v>0</v>
      </c>
      <c r="IO344">
        <v>0</v>
      </c>
      <c r="IP344">
        <v>0</v>
      </c>
      <c r="IQ344">
        <v>0</v>
      </c>
      <c r="IR344">
        <v>0</v>
      </c>
      <c r="IS344">
        <v>0</v>
      </c>
      <c r="IT344">
        <v>0</v>
      </c>
      <c r="IU344">
        <v>0</v>
      </c>
      <c r="IV344">
        <v>0</v>
      </c>
      <c r="IW344">
        <v>0</v>
      </c>
      <c r="IX344">
        <v>0</v>
      </c>
      <c r="IY344">
        <v>0</v>
      </c>
      <c r="IZ344">
        <v>0</v>
      </c>
      <c r="JA344">
        <v>0</v>
      </c>
      <c r="JB344">
        <v>0</v>
      </c>
      <c r="JC344">
        <v>0</v>
      </c>
      <c r="JD344">
        <v>0</v>
      </c>
      <c r="JE344">
        <v>0</v>
      </c>
      <c r="JF344">
        <v>0</v>
      </c>
      <c r="JG344">
        <v>0</v>
      </c>
      <c r="JH344">
        <v>0</v>
      </c>
      <c r="JI344">
        <v>0</v>
      </c>
      <c r="JJ344">
        <v>0</v>
      </c>
      <c r="JK344">
        <v>0</v>
      </c>
      <c r="JL344">
        <v>0</v>
      </c>
      <c r="JM344">
        <v>0</v>
      </c>
      <c r="JN344">
        <v>0</v>
      </c>
      <c r="JO344">
        <v>0</v>
      </c>
      <c r="JP344">
        <v>0</v>
      </c>
      <c r="JQ344">
        <v>0</v>
      </c>
      <c r="JR344">
        <v>0</v>
      </c>
      <c r="JS344">
        <v>0</v>
      </c>
      <c r="JT344">
        <v>0</v>
      </c>
      <c r="JU344">
        <v>0</v>
      </c>
      <c r="JV344">
        <v>0</v>
      </c>
      <c r="JW344">
        <v>0</v>
      </c>
      <c r="JX344">
        <v>0</v>
      </c>
      <c r="JY344">
        <v>0</v>
      </c>
      <c r="JZ344">
        <v>0</v>
      </c>
      <c r="KA344">
        <v>0</v>
      </c>
      <c r="KB344">
        <v>0</v>
      </c>
      <c r="KC344">
        <v>0</v>
      </c>
      <c r="KD344">
        <v>0</v>
      </c>
      <c r="KE344">
        <v>0</v>
      </c>
      <c r="KF344">
        <v>0</v>
      </c>
      <c r="KG344">
        <v>0</v>
      </c>
      <c r="KH344">
        <v>0</v>
      </c>
      <c r="KI344">
        <v>0</v>
      </c>
      <c r="KJ344">
        <v>0</v>
      </c>
      <c r="KK344">
        <v>0</v>
      </c>
      <c r="KL344">
        <v>0</v>
      </c>
      <c r="KM344">
        <v>0</v>
      </c>
      <c r="KN344">
        <v>0</v>
      </c>
      <c r="KO344">
        <v>0</v>
      </c>
      <c r="KP344">
        <v>0</v>
      </c>
      <c r="KQ344">
        <v>0</v>
      </c>
      <c r="KR344">
        <v>0</v>
      </c>
      <c r="KS344">
        <v>0</v>
      </c>
      <c r="KT344">
        <v>0</v>
      </c>
      <c r="KU344">
        <v>0</v>
      </c>
      <c r="KV344">
        <v>0</v>
      </c>
      <c r="KW344">
        <v>0</v>
      </c>
      <c r="KX344">
        <v>0</v>
      </c>
      <c r="KY344">
        <v>0</v>
      </c>
      <c r="KZ344">
        <v>0</v>
      </c>
      <c r="LA344">
        <v>0</v>
      </c>
      <c r="LB344">
        <v>0</v>
      </c>
      <c r="LC344">
        <v>0</v>
      </c>
      <c r="LD344">
        <v>0</v>
      </c>
      <c r="LE344">
        <v>0</v>
      </c>
      <c r="LF344">
        <v>0</v>
      </c>
      <c r="LG344">
        <v>0</v>
      </c>
      <c r="LH344">
        <v>0</v>
      </c>
      <c r="LI344">
        <v>0</v>
      </c>
      <c r="LJ344">
        <v>0</v>
      </c>
      <c r="LK344">
        <v>0</v>
      </c>
      <c r="LL344">
        <v>0</v>
      </c>
      <c r="LM344">
        <v>0</v>
      </c>
      <c r="LN344">
        <v>0</v>
      </c>
      <c r="LO344">
        <v>0</v>
      </c>
      <c r="LP344">
        <v>0</v>
      </c>
      <c r="LQ344">
        <v>0</v>
      </c>
      <c r="LR344">
        <v>0</v>
      </c>
      <c r="LS344">
        <v>0</v>
      </c>
      <c r="LT344">
        <v>0</v>
      </c>
      <c r="LU344">
        <v>0</v>
      </c>
      <c r="LV344">
        <v>0</v>
      </c>
      <c r="LW344">
        <v>0</v>
      </c>
      <c r="LX344">
        <v>0</v>
      </c>
      <c r="LY344">
        <v>0</v>
      </c>
      <c r="LZ344">
        <v>0</v>
      </c>
      <c r="MA344">
        <v>0</v>
      </c>
      <c r="MB344">
        <v>0</v>
      </c>
      <c r="MC344">
        <v>0</v>
      </c>
      <c r="MD344">
        <v>0</v>
      </c>
      <c r="ME344">
        <v>0</v>
      </c>
      <c r="MF344">
        <v>0</v>
      </c>
      <c r="MG344">
        <v>0</v>
      </c>
      <c r="MH344">
        <v>0</v>
      </c>
      <c r="MI344">
        <v>0</v>
      </c>
      <c r="MJ344">
        <v>0</v>
      </c>
      <c r="MK344">
        <v>0</v>
      </c>
      <c r="ML344">
        <v>0</v>
      </c>
      <c r="MM344">
        <v>0</v>
      </c>
      <c r="MN344">
        <v>0</v>
      </c>
      <c r="MO344">
        <v>0</v>
      </c>
      <c r="MP344">
        <v>0</v>
      </c>
      <c r="MQ344">
        <v>0</v>
      </c>
      <c r="MR344">
        <v>0</v>
      </c>
      <c r="MS344">
        <v>0</v>
      </c>
      <c r="MT344">
        <v>0</v>
      </c>
      <c r="MU344">
        <v>0</v>
      </c>
      <c r="MV344">
        <v>0</v>
      </c>
      <c r="MW344">
        <v>0</v>
      </c>
      <c r="MX344">
        <v>0</v>
      </c>
      <c r="MY344">
        <v>0</v>
      </c>
      <c r="MZ344">
        <v>0</v>
      </c>
      <c r="NA344">
        <v>0</v>
      </c>
      <c r="NB344">
        <v>0</v>
      </c>
      <c r="NC344">
        <v>0</v>
      </c>
      <c r="ND344">
        <v>0</v>
      </c>
      <c r="NE344">
        <v>0</v>
      </c>
    </row>
    <row r="345" spans="41:369" x14ac:dyDescent="0.45">
      <c r="AO345">
        <v>0</v>
      </c>
      <c r="AP345">
        <v>0</v>
      </c>
      <c r="AQ345">
        <v>0</v>
      </c>
      <c r="AR345">
        <v>0</v>
      </c>
      <c r="AS345">
        <v>0</v>
      </c>
      <c r="AT345">
        <v>0</v>
      </c>
      <c r="AU345">
        <v>0</v>
      </c>
      <c r="AV345">
        <v>0</v>
      </c>
      <c r="AW345" t="str">
        <v/>
      </c>
      <c r="AX345">
        <v>255</v>
      </c>
      <c r="AY345" s="5" t="str">
        <v/>
      </c>
      <c r="AZ345">
        <v>0</v>
      </c>
      <c r="BA345">
        <v>0</v>
      </c>
      <c r="BB345">
        <v>0</v>
      </c>
      <c r="BC345">
        <v>0</v>
      </c>
      <c r="BD345">
        <v>0</v>
      </c>
      <c r="BE345">
        <v>0</v>
      </c>
      <c r="BF345">
        <v>0</v>
      </c>
      <c r="BG345">
        <v>0</v>
      </c>
      <c r="BH345">
        <v>0</v>
      </c>
      <c r="BI345" t="str">
        <v/>
      </c>
      <c r="BK345">
        <v>339</v>
      </c>
      <c r="BL345">
        <v>0</v>
      </c>
      <c r="BM345">
        <v>0</v>
      </c>
      <c r="BN345">
        <v>0</v>
      </c>
      <c r="BO345">
        <v>0</v>
      </c>
      <c r="BP345">
        <v>0</v>
      </c>
      <c r="BQ345">
        <v>0</v>
      </c>
      <c r="BR345">
        <v>0</v>
      </c>
      <c r="BS345">
        <v>0</v>
      </c>
      <c r="BT345">
        <v>0</v>
      </c>
      <c r="BU345">
        <v>0</v>
      </c>
      <c r="BV345">
        <v>0</v>
      </c>
      <c r="BW345">
        <v>0</v>
      </c>
      <c r="BX345">
        <v>0</v>
      </c>
      <c r="BY345">
        <v>0</v>
      </c>
      <c r="BZ345">
        <v>0</v>
      </c>
      <c r="CA345">
        <v>0</v>
      </c>
      <c r="CB345">
        <v>0</v>
      </c>
      <c r="CC345">
        <v>0</v>
      </c>
      <c r="CD345">
        <v>0</v>
      </c>
      <c r="CE345">
        <v>0</v>
      </c>
      <c r="CF345">
        <v>0</v>
      </c>
      <c r="CG345">
        <v>0</v>
      </c>
      <c r="CH345">
        <v>0</v>
      </c>
      <c r="CI345">
        <v>0</v>
      </c>
      <c r="CJ345">
        <v>0</v>
      </c>
      <c r="CK345">
        <v>0</v>
      </c>
      <c r="CL345">
        <v>0</v>
      </c>
      <c r="CM345">
        <v>0</v>
      </c>
      <c r="CN345">
        <v>0</v>
      </c>
      <c r="CO345">
        <v>0</v>
      </c>
      <c r="CP345">
        <v>0</v>
      </c>
      <c r="CQ345">
        <v>0</v>
      </c>
      <c r="CR345">
        <v>0</v>
      </c>
      <c r="CS345">
        <v>0</v>
      </c>
      <c r="CT345">
        <v>0</v>
      </c>
      <c r="CU345">
        <v>0</v>
      </c>
      <c r="CV345">
        <v>0</v>
      </c>
      <c r="CW345">
        <v>0</v>
      </c>
      <c r="CX345">
        <v>0</v>
      </c>
      <c r="CY345">
        <v>0</v>
      </c>
      <c r="CZ345">
        <v>0</v>
      </c>
      <c r="DA345">
        <v>0</v>
      </c>
      <c r="DB345">
        <v>0</v>
      </c>
      <c r="DC345">
        <v>0</v>
      </c>
      <c r="DD345">
        <v>0</v>
      </c>
      <c r="DE345">
        <v>0</v>
      </c>
      <c r="DF345">
        <v>0</v>
      </c>
      <c r="DG345">
        <v>0</v>
      </c>
      <c r="DH345">
        <v>0</v>
      </c>
      <c r="DI345">
        <v>0</v>
      </c>
      <c r="DJ345">
        <v>0</v>
      </c>
      <c r="DK345">
        <v>0</v>
      </c>
      <c r="DL345">
        <v>0</v>
      </c>
      <c r="DM345">
        <v>0</v>
      </c>
      <c r="DN345">
        <v>0</v>
      </c>
      <c r="DO345">
        <v>0</v>
      </c>
      <c r="DP345">
        <v>0</v>
      </c>
      <c r="DQ345">
        <v>0</v>
      </c>
      <c r="DR345">
        <v>0</v>
      </c>
      <c r="DS345">
        <v>0</v>
      </c>
      <c r="DT345">
        <v>0</v>
      </c>
      <c r="DU345">
        <v>0</v>
      </c>
      <c r="DV345">
        <v>0</v>
      </c>
      <c r="DW345">
        <v>0</v>
      </c>
      <c r="DX345">
        <v>0</v>
      </c>
      <c r="DY345">
        <v>0</v>
      </c>
      <c r="DZ345">
        <v>0</v>
      </c>
      <c r="EA345">
        <v>0</v>
      </c>
      <c r="EB345">
        <v>0</v>
      </c>
      <c r="EC345">
        <v>0</v>
      </c>
      <c r="ED345">
        <v>0</v>
      </c>
      <c r="EE345">
        <v>0</v>
      </c>
      <c r="EF345">
        <v>0</v>
      </c>
      <c r="EG345">
        <v>0</v>
      </c>
      <c r="EH345">
        <v>0</v>
      </c>
      <c r="EI345">
        <v>0</v>
      </c>
      <c r="EJ345">
        <v>0</v>
      </c>
      <c r="EK345">
        <v>0</v>
      </c>
      <c r="EL345">
        <v>0</v>
      </c>
      <c r="EM345">
        <v>0</v>
      </c>
      <c r="EN345">
        <v>0</v>
      </c>
      <c r="EO345">
        <v>0</v>
      </c>
      <c r="EP345">
        <v>0</v>
      </c>
      <c r="EQ345">
        <v>0</v>
      </c>
      <c r="ER345">
        <v>0</v>
      </c>
      <c r="ES345">
        <v>0</v>
      </c>
      <c r="ET345">
        <v>0</v>
      </c>
      <c r="EU345">
        <v>0</v>
      </c>
      <c r="EV345">
        <v>0</v>
      </c>
      <c r="EW345">
        <v>0</v>
      </c>
      <c r="EX345">
        <v>0</v>
      </c>
      <c r="EY345">
        <v>0</v>
      </c>
      <c r="EZ345">
        <v>0</v>
      </c>
      <c r="FA345">
        <v>0</v>
      </c>
      <c r="FB345">
        <v>0</v>
      </c>
      <c r="FC345">
        <v>0</v>
      </c>
      <c r="FD345">
        <v>0</v>
      </c>
      <c r="FE345">
        <v>0</v>
      </c>
      <c r="FF345">
        <v>0</v>
      </c>
      <c r="FG345">
        <v>0</v>
      </c>
      <c r="FH345">
        <v>0</v>
      </c>
      <c r="FI345">
        <v>0</v>
      </c>
      <c r="FJ345">
        <v>0</v>
      </c>
      <c r="FK345">
        <v>0</v>
      </c>
      <c r="FL345">
        <v>0</v>
      </c>
      <c r="FM345">
        <v>0</v>
      </c>
      <c r="FN345">
        <v>0</v>
      </c>
      <c r="FO345">
        <v>0</v>
      </c>
      <c r="FP345">
        <v>0</v>
      </c>
      <c r="FQ345">
        <v>0</v>
      </c>
      <c r="FR345">
        <v>0</v>
      </c>
      <c r="FS345">
        <v>0</v>
      </c>
      <c r="FT345">
        <v>0</v>
      </c>
      <c r="FU345">
        <v>0</v>
      </c>
      <c r="FV345">
        <v>0</v>
      </c>
      <c r="FW345">
        <v>0</v>
      </c>
      <c r="FX345">
        <v>0</v>
      </c>
      <c r="FY345">
        <v>0</v>
      </c>
      <c r="FZ345">
        <v>0</v>
      </c>
      <c r="GA345">
        <v>0</v>
      </c>
      <c r="GB345">
        <v>0</v>
      </c>
      <c r="GC345">
        <v>0</v>
      </c>
      <c r="GD345">
        <v>0</v>
      </c>
      <c r="GE345">
        <v>0</v>
      </c>
      <c r="GF345">
        <v>0</v>
      </c>
      <c r="GG345">
        <v>0</v>
      </c>
      <c r="GH345">
        <v>0</v>
      </c>
      <c r="GI345">
        <v>0</v>
      </c>
      <c r="GJ345">
        <v>0</v>
      </c>
      <c r="GK345">
        <v>0</v>
      </c>
      <c r="GL345">
        <v>0</v>
      </c>
      <c r="GM345">
        <v>0</v>
      </c>
      <c r="GN345">
        <v>0</v>
      </c>
      <c r="GO345">
        <v>0</v>
      </c>
      <c r="GP345">
        <v>0</v>
      </c>
      <c r="GQ345">
        <v>0</v>
      </c>
      <c r="GR345">
        <v>0</v>
      </c>
      <c r="GS345">
        <v>0</v>
      </c>
      <c r="GT345">
        <v>0</v>
      </c>
      <c r="GU345">
        <v>0</v>
      </c>
      <c r="GV345">
        <v>0</v>
      </c>
      <c r="GW345">
        <v>0</v>
      </c>
      <c r="GX345">
        <v>0</v>
      </c>
      <c r="GY345">
        <v>0</v>
      </c>
      <c r="GZ345">
        <v>0</v>
      </c>
      <c r="HA345">
        <v>0</v>
      </c>
      <c r="HB345">
        <v>0</v>
      </c>
      <c r="HC345">
        <v>0</v>
      </c>
      <c r="HD345">
        <v>0</v>
      </c>
      <c r="HE345">
        <v>0</v>
      </c>
      <c r="HF345">
        <v>0</v>
      </c>
      <c r="HG345">
        <v>0</v>
      </c>
      <c r="HH345">
        <v>0</v>
      </c>
      <c r="HI345">
        <v>0</v>
      </c>
      <c r="HJ345">
        <v>0</v>
      </c>
      <c r="HK345">
        <v>0</v>
      </c>
      <c r="HL345">
        <v>0</v>
      </c>
      <c r="HM345">
        <v>0</v>
      </c>
      <c r="HN345">
        <v>0</v>
      </c>
      <c r="HO345">
        <v>0</v>
      </c>
      <c r="HP345">
        <v>0</v>
      </c>
      <c r="HQ345">
        <v>0</v>
      </c>
      <c r="HR345">
        <v>0</v>
      </c>
      <c r="HS345">
        <v>0</v>
      </c>
      <c r="HT345">
        <v>0</v>
      </c>
      <c r="HU345">
        <v>0</v>
      </c>
      <c r="HV345">
        <v>0</v>
      </c>
      <c r="HW345">
        <v>0</v>
      </c>
      <c r="HX345">
        <v>0</v>
      </c>
      <c r="HY345">
        <v>0</v>
      </c>
      <c r="HZ345">
        <v>0</v>
      </c>
      <c r="IA345">
        <v>0</v>
      </c>
      <c r="IB345">
        <v>0</v>
      </c>
      <c r="IC345">
        <v>0</v>
      </c>
      <c r="ID345">
        <v>0</v>
      </c>
      <c r="IE345">
        <v>0</v>
      </c>
      <c r="IF345">
        <v>0</v>
      </c>
      <c r="IG345">
        <v>0</v>
      </c>
      <c r="IH345">
        <v>0</v>
      </c>
      <c r="II345">
        <v>0</v>
      </c>
      <c r="IJ345">
        <v>0</v>
      </c>
      <c r="IK345">
        <v>0</v>
      </c>
      <c r="IL345">
        <v>0</v>
      </c>
      <c r="IM345">
        <v>0</v>
      </c>
      <c r="IN345">
        <v>0</v>
      </c>
      <c r="IO345">
        <v>0</v>
      </c>
      <c r="IP345">
        <v>0</v>
      </c>
      <c r="IQ345">
        <v>0</v>
      </c>
      <c r="IR345">
        <v>0</v>
      </c>
      <c r="IS345">
        <v>0</v>
      </c>
      <c r="IT345">
        <v>0</v>
      </c>
      <c r="IU345">
        <v>0</v>
      </c>
      <c r="IV345">
        <v>0</v>
      </c>
      <c r="IW345">
        <v>0</v>
      </c>
      <c r="IX345">
        <v>0</v>
      </c>
      <c r="IY345">
        <v>0</v>
      </c>
      <c r="IZ345">
        <v>0</v>
      </c>
      <c r="JA345">
        <v>0</v>
      </c>
      <c r="JB345">
        <v>0</v>
      </c>
      <c r="JC345">
        <v>0</v>
      </c>
      <c r="JD345">
        <v>0</v>
      </c>
      <c r="JE345">
        <v>0</v>
      </c>
      <c r="JF345">
        <v>0</v>
      </c>
      <c r="JG345">
        <v>0</v>
      </c>
      <c r="JH345">
        <v>0</v>
      </c>
      <c r="JI345">
        <v>0</v>
      </c>
      <c r="JJ345">
        <v>0</v>
      </c>
      <c r="JK345">
        <v>0</v>
      </c>
      <c r="JL345">
        <v>0</v>
      </c>
      <c r="JM345">
        <v>0</v>
      </c>
      <c r="JN345">
        <v>0</v>
      </c>
      <c r="JO345">
        <v>0</v>
      </c>
      <c r="JP345">
        <v>0</v>
      </c>
      <c r="JQ345">
        <v>0</v>
      </c>
      <c r="JR345">
        <v>0</v>
      </c>
      <c r="JS345">
        <v>0</v>
      </c>
      <c r="JT345">
        <v>0</v>
      </c>
      <c r="JU345">
        <v>0</v>
      </c>
      <c r="JV345">
        <v>0</v>
      </c>
      <c r="JW345">
        <v>0</v>
      </c>
      <c r="JX345">
        <v>0</v>
      </c>
      <c r="JY345">
        <v>0</v>
      </c>
      <c r="JZ345">
        <v>0</v>
      </c>
      <c r="KA345">
        <v>0</v>
      </c>
      <c r="KB345">
        <v>0</v>
      </c>
      <c r="KC345">
        <v>0</v>
      </c>
      <c r="KD345">
        <v>0</v>
      </c>
      <c r="KE345">
        <v>0</v>
      </c>
      <c r="KF345">
        <v>0</v>
      </c>
      <c r="KG345">
        <v>0</v>
      </c>
      <c r="KH345">
        <v>0</v>
      </c>
      <c r="KI345">
        <v>0</v>
      </c>
      <c r="KJ345">
        <v>0</v>
      </c>
      <c r="KK345">
        <v>0</v>
      </c>
      <c r="KL345">
        <v>0</v>
      </c>
      <c r="KM345">
        <v>0</v>
      </c>
      <c r="KN345">
        <v>0</v>
      </c>
      <c r="KO345">
        <v>0</v>
      </c>
      <c r="KP345">
        <v>0</v>
      </c>
      <c r="KQ345">
        <v>0</v>
      </c>
      <c r="KR345">
        <v>0</v>
      </c>
      <c r="KS345">
        <v>0</v>
      </c>
      <c r="KT345">
        <v>0</v>
      </c>
      <c r="KU345">
        <v>0</v>
      </c>
      <c r="KV345">
        <v>0</v>
      </c>
      <c r="KW345">
        <v>0</v>
      </c>
      <c r="KX345">
        <v>0</v>
      </c>
      <c r="KY345">
        <v>0</v>
      </c>
      <c r="KZ345">
        <v>0</v>
      </c>
      <c r="LA345">
        <v>0</v>
      </c>
      <c r="LB345">
        <v>0</v>
      </c>
      <c r="LC345">
        <v>0</v>
      </c>
      <c r="LD345">
        <v>0</v>
      </c>
      <c r="LE345">
        <v>0</v>
      </c>
      <c r="LF345">
        <v>0</v>
      </c>
      <c r="LG345">
        <v>0</v>
      </c>
      <c r="LH345">
        <v>0</v>
      </c>
      <c r="LI345">
        <v>0</v>
      </c>
      <c r="LJ345">
        <v>0</v>
      </c>
      <c r="LK345">
        <v>0</v>
      </c>
      <c r="LL345">
        <v>0</v>
      </c>
      <c r="LM345">
        <v>0</v>
      </c>
      <c r="LN345">
        <v>0</v>
      </c>
      <c r="LO345">
        <v>0</v>
      </c>
      <c r="LP345">
        <v>0</v>
      </c>
      <c r="LQ345">
        <v>0</v>
      </c>
      <c r="LR345">
        <v>0</v>
      </c>
      <c r="LS345">
        <v>0</v>
      </c>
      <c r="LT345">
        <v>0</v>
      </c>
      <c r="LU345">
        <v>0</v>
      </c>
      <c r="LV345">
        <v>0</v>
      </c>
      <c r="LW345">
        <v>0</v>
      </c>
      <c r="LX345">
        <v>0</v>
      </c>
      <c r="LY345">
        <v>0</v>
      </c>
      <c r="LZ345">
        <v>0</v>
      </c>
      <c r="MA345">
        <v>0</v>
      </c>
      <c r="MB345">
        <v>0</v>
      </c>
      <c r="MC345">
        <v>0</v>
      </c>
      <c r="MD345">
        <v>0</v>
      </c>
      <c r="ME345">
        <v>0</v>
      </c>
      <c r="MF345">
        <v>0</v>
      </c>
      <c r="MG345">
        <v>0</v>
      </c>
      <c r="MH345">
        <v>0</v>
      </c>
      <c r="MI345">
        <v>0</v>
      </c>
      <c r="MJ345">
        <v>0</v>
      </c>
      <c r="MK345">
        <v>0</v>
      </c>
      <c r="ML345">
        <v>0</v>
      </c>
      <c r="MM345">
        <v>0</v>
      </c>
      <c r="MN345">
        <v>0</v>
      </c>
      <c r="MO345">
        <v>0</v>
      </c>
      <c r="MP345">
        <v>0</v>
      </c>
      <c r="MQ345">
        <v>0</v>
      </c>
      <c r="MR345">
        <v>0</v>
      </c>
      <c r="MS345">
        <v>0</v>
      </c>
      <c r="MT345">
        <v>0</v>
      </c>
      <c r="MU345">
        <v>0</v>
      </c>
      <c r="MV345">
        <v>0</v>
      </c>
      <c r="MW345">
        <v>0</v>
      </c>
      <c r="MX345">
        <v>0</v>
      </c>
      <c r="MY345">
        <v>0</v>
      </c>
      <c r="MZ345">
        <v>0</v>
      </c>
      <c r="NA345">
        <v>0</v>
      </c>
      <c r="NB345">
        <v>0</v>
      </c>
      <c r="NC345">
        <v>0</v>
      </c>
      <c r="ND345">
        <v>0</v>
      </c>
      <c r="NE345">
        <v>0</v>
      </c>
    </row>
    <row r="346" spans="41:369" x14ac:dyDescent="0.45">
      <c r="AO346">
        <v>0</v>
      </c>
      <c r="AP346">
        <v>0</v>
      </c>
      <c r="AQ346">
        <v>0</v>
      </c>
      <c r="AR346">
        <v>0</v>
      </c>
      <c r="AS346">
        <v>0</v>
      </c>
      <c r="AT346">
        <v>0</v>
      </c>
      <c r="AU346">
        <v>0</v>
      </c>
      <c r="AV346">
        <v>0</v>
      </c>
      <c r="AW346" t="str">
        <v/>
      </c>
      <c r="AX346">
        <v>255</v>
      </c>
      <c r="AY346" s="5" t="str">
        <v/>
      </c>
      <c r="AZ346">
        <v>0</v>
      </c>
      <c r="BA346">
        <v>0</v>
      </c>
      <c r="BB346">
        <v>0</v>
      </c>
      <c r="BC346">
        <v>0</v>
      </c>
      <c r="BD346">
        <v>0</v>
      </c>
      <c r="BE346">
        <v>0</v>
      </c>
      <c r="BF346">
        <v>0</v>
      </c>
      <c r="BG346">
        <v>0</v>
      </c>
      <c r="BH346">
        <v>0</v>
      </c>
      <c r="BI346" t="str">
        <v/>
      </c>
      <c r="BK346">
        <v>340</v>
      </c>
      <c r="BL346">
        <v>0</v>
      </c>
      <c r="BM346">
        <v>0</v>
      </c>
      <c r="BN346">
        <v>0</v>
      </c>
      <c r="BO346">
        <v>0</v>
      </c>
      <c r="BP346">
        <v>0</v>
      </c>
      <c r="BQ346">
        <v>0</v>
      </c>
      <c r="BR346">
        <v>0</v>
      </c>
      <c r="BS346">
        <v>0</v>
      </c>
      <c r="BT346">
        <v>0</v>
      </c>
      <c r="BU346">
        <v>0</v>
      </c>
      <c r="BV346">
        <v>0</v>
      </c>
      <c r="BW346">
        <v>0</v>
      </c>
      <c r="BX346">
        <v>0</v>
      </c>
      <c r="BY346">
        <v>0</v>
      </c>
      <c r="BZ346">
        <v>0</v>
      </c>
      <c r="CA346">
        <v>0</v>
      </c>
      <c r="CB346">
        <v>0</v>
      </c>
      <c r="CC346">
        <v>0</v>
      </c>
      <c r="CD346">
        <v>0</v>
      </c>
      <c r="CE346">
        <v>0</v>
      </c>
      <c r="CF346">
        <v>0</v>
      </c>
      <c r="CG346">
        <v>0</v>
      </c>
      <c r="CH346">
        <v>0</v>
      </c>
      <c r="CI346">
        <v>0</v>
      </c>
      <c r="CJ346">
        <v>0</v>
      </c>
      <c r="CK346">
        <v>0</v>
      </c>
      <c r="CL346">
        <v>0</v>
      </c>
      <c r="CM346">
        <v>0</v>
      </c>
      <c r="CN346">
        <v>0</v>
      </c>
      <c r="CO346">
        <v>0</v>
      </c>
      <c r="CP346">
        <v>0</v>
      </c>
      <c r="CQ346">
        <v>0</v>
      </c>
      <c r="CR346">
        <v>0</v>
      </c>
      <c r="CS346">
        <v>0</v>
      </c>
      <c r="CT346">
        <v>0</v>
      </c>
      <c r="CU346">
        <v>0</v>
      </c>
      <c r="CV346">
        <v>0</v>
      </c>
      <c r="CW346">
        <v>0</v>
      </c>
      <c r="CX346">
        <v>0</v>
      </c>
      <c r="CY346">
        <v>0</v>
      </c>
      <c r="CZ346">
        <v>0</v>
      </c>
      <c r="DA346">
        <v>0</v>
      </c>
      <c r="DB346">
        <v>0</v>
      </c>
      <c r="DC346">
        <v>0</v>
      </c>
      <c r="DD346">
        <v>0</v>
      </c>
      <c r="DE346">
        <v>0</v>
      </c>
      <c r="DF346">
        <v>0</v>
      </c>
      <c r="DG346">
        <v>0</v>
      </c>
      <c r="DH346">
        <v>0</v>
      </c>
      <c r="DI346">
        <v>0</v>
      </c>
      <c r="DJ346">
        <v>0</v>
      </c>
      <c r="DK346">
        <v>0</v>
      </c>
      <c r="DL346">
        <v>0</v>
      </c>
      <c r="DM346">
        <v>0</v>
      </c>
      <c r="DN346">
        <v>0</v>
      </c>
      <c r="DO346">
        <v>0</v>
      </c>
      <c r="DP346">
        <v>0</v>
      </c>
      <c r="DQ346">
        <v>0</v>
      </c>
      <c r="DR346">
        <v>0</v>
      </c>
      <c r="DS346">
        <v>0</v>
      </c>
      <c r="DT346">
        <v>0</v>
      </c>
      <c r="DU346">
        <v>0</v>
      </c>
      <c r="DV346">
        <v>0</v>
      </c>
      <c r="DW346">
        <v>0</v>
      </c>
      <c r="DX346">
        <v>0</v>
      </c>
      <c r="DY346">
        <v>0</v>
      </c>
      <c r="DZ346">
        <v>0</v>
      </c>
      <c r="EA346">
        <v>0</v>
      </c>
      <c r="EB346">
        <v>0</v>
      </c>
      <c r="EC346">
        <v>0</v>
      </c>
      <c r="ED346">
        <v>0</v>
      </c>
      <c r="EE346">
        <v>0</v>
      </c>
      <c r="EF346">
        <v>0</v>
      </c>
      <c r="EG346">
        <v>0</v>
      </c>
      <c r="EH346">
        <v>0</v>
      </c>
      <c r="EI346">
        <v>0</v>
      </c>
      <c r="EJ346">
        <v>0</v>
      </c>
      <c r="EK346">
        <v>0</v>
      </c>
      <c r="EL346">
        <v>0</v>
      </c>
      <c r="EM346">
        <v>0</v>
      </c>
      <c r="EN346">
        <v>0</v>
      </c>
      <c r="EO346">
        <v>0</v>
      </c>
      <c r="EP346">
        <v>0</v>
      </c>
      <c r="EQ346">
        <v>0</v>
      </c>
      <c r="ER346">
        <v>0</v>
      </c>
      <c r="ES346">
        <v>0</v>
      </c>
      <c r="ET346">
        <v>0</v>
      </c>
      <c r="EU346">
        <v>0</v>
      </c>
      <c r="EV346">
        <v>0</v>
      </c>
      <c r="EW346">
        <v>0</v>
      </c>
      <c r="EX346">
        <v>0</v>
      </c>
      <c r="EY346">
        <v>0</v>
      </c>
      <c r="EZ346">
        <v>0</v>
      </c>
      <c r="FA346">
        <v>0</v>
      </c>
      <c r="FB346">
        <v>0</v>
      </c>
      <c r="FC346">
        <v>0</v>
      </c>
      <c r="FD346">
        <v>0</v>
      </c>
      <c r="FE346">
        <v>0</v>
      </c>
      <c r="FF346">
        <v>0</v>
      </c>
      <c r="FG346">
        <v>0</v>
      </c>
      <c r="FH346">
        <v>0</v>
      </c>
      <c r="FI346">
        <v>0</v>
      </c>
      <c r="FJ346">
        <v>0</v>
      </c>
      <c r="FK346">
        <v>0</v>
      </c>
      <c r="FL346">
        <v>0</v>
      </c>
      <c r="FM346">
        <v>0</v>
      </c>
      <c r="FN346">
        <v>0</v>
      </c>
      <c r="FO346">
        <v>0</v>
      </c>
      <c r="FP346">
        <v>0</v>
      </c>
      <c r="FQ346">
        <v>0</v>
      </c>
      <c r="FR346">
        <v>0</v>
      </c>
      <c r="FS346">
        <v>0</v>
      </c>
      <c r="FT346">
        <v>0</v>
      </c>
      <c r="FU346">
        <v>0</v>
      </c>
      <c r="FV346">
        <v>0</v>
      </c>
      <c r="FW346">
        <v>0</v>
      </c>
      <c r="FX346">
        <v>0</v>
      </c>
      <c r="FY346">
        <v>0</v>
      </c>
      <c r="FZ346">
        <v>0</v>
      </c>
      <c r="GA346">
        <v>0</v>
      </c>
      <c r="GB346">
        <v>0</v>
      </c>
      <c r="GC346">
        <v>0</v>
      </c>
      <c r="GD346">
        <v>0</v>
      </c>
      <c r="GE346">
        <v>0</v>
      </c>
      <c r="GF346">
        <v>0</v>
      </c>
      <c r="GG346">
        <v>0</v>
      </c>
      <c r="GH346">
        <v>0</v>
      </c>
      <c r="GI346">
        <v>0</v>
      </c>
      <c r="GJ346">
        <v>0</v>
      </c>
      <c r="GK346">
        <v>0</v>
      </c>
      <c r="GL346">
        <v>0</v>
      </c>
      <c r="GM346">
        <v>0</v>
      </c>
      <c r="GN346">
        <v>0</v>
      </c>
      <c r="GO346">
        <v>0</v>
      </c>
      <c r="GP346">
        <v>0</v>
      </c>
      <c r="GQ346">
        <v>0</v>
      </c>
      <c r="GR346">
        <v>0</v>
      </c>
      <c r="GS346">
        <v>0</v>
      </c>
      <c r="GT346">
        <v>0</v>
      </c>
      <c r="GU346">
        <v>0</v>
      </c>
      <c r="GV346">
        <v>0</v>
      </c>
      <c r="GW346">
        <v>0</v>
      </c>
      <c r="GX346">
        <v>0</v>
      </c>
      <c r="GY346">
        <v>0</v>
      </c>
      <c r="GZ346">
        <v>0</v>
      </c>
      <c r="HA346">
        <v>0</v>
      </c>
      <c r="HB346">
        <v>0</v>
      </c>
      <c r="HC346">
        <v>0</v>
      </c>
      <c r="HD346">
        <v>0</v>
      </c>
      <c r="HE346">
        <v>0</v>
      </c>
      <c r="HF346">
        <v>0</v>
      </c>
      <c r="HG346">
        <v>0</v>
      </c>
      <c r="HH346">
        <v>0</v>
      </c>
      <c r="HI346">
        <v>0</v>
      </c>
      <c r="HJ346">
        <v>0</v>
      </c>
      <c r="HK346">
        <v>0</v>
      </c>
      <c r="HL346">
        <v>0</v>
      </c>
      <c r="HM346">
        <v>0</v>
      </c>
      <c r="HN346">
        <v>0</v>
      </c>
      <c r="HO346">
        <v>0</v>
      </c>
      <c r="HP346">
        <v>0</v>
      </c>
      <c r="HQ346">
        <v>0</v>
      </c>
      <c r="HR346">
        <v>0</v>
      </c>
      <c r="HS346">
        <v>0</v>
      </c>
      <c r="HT346">
        <v>0</v>
      </c>
      <c r="HU346">
        <v>0</v>
      </c>
      <c r="HV346">
        <v>0</v>
      </c>
      <c r="HW346">
        <v>0</v>
      </c>
      <c r="HX346">
        <v>0</v>
      </c>
      <c r="HY346">
        <v>0</v>
      </c>
      <c r="HZ346">
        <v>0</v>
      </c>
      <c r="IA346">
        <v>0</v>
      </c>
      <c r="IB346">
        <v>0</v>
      </c>
      <c r="IC346">
        <v>0</v>
      </c>
      <c r="ID346">
        <v>0</v>
      </c>
      <c r="IE346">
        <v>0</v>
      </c>
      <c r="IF346">
        <v>0</v>
      </c>
      <c r="IG346">
        <v>0</v>
      </c>
      <c r="IH346">
        <v>0</v>
      </c>
      <c r="II346">
        <v>0</v>
      </c>
      <c r="IJ346">
        <v>0</v>
      </c>
      <c r="IK346">
        <v>0</v>
      </c>
      <c r="IL346">
        <v>0</v>
      </c>
      <c r="IM346">
        <v>0</v>
      </c>
      <c r="IN346">
        <v>0</v>
      </c>
      <c r="IO346">
        <v>0</v>
      </c>
      <c r="IP346">
        <v>0</v>
      </c>
      <c r="IQ346">
        <v>0</v>
      </c>
      <c r="IR346">
        <v>0</v>
      </c>
      <c r="IS346">
        <v>0</v>
      </c>
      <c r="IT346">
        <v>0</v>
      </c>
      <c r="IU346">
        <v>0</v>
      </c>
      <c r="IV346">
        <v>0</v>
      </c>
      <c r="IW346">
        <v>0</v>
      </c>
      <c r="IX346">
        <v>0</v>
      </c>
      <c r="IY346">
        <v>0</v>
      </c>
      <c r="IZ346">
        <v>0</v>
      </c>
      <c r="JA346">
        <v>0</v>
      </c>
      <c r="JB346">
        <v>0</v>
      </c>
      <c r="JC346">
        <v>0</v>
      </c>
      <c r="JD346">
        <v>0</v>
      </c>
      <c r="JE346">
        <v>0</v>
      </c>
      <c r="JF346">
        <v>0</v>
      </c>
      <c r="JG346">
        <v>0</v>
      </c>
      <c r="JH346">
        <v>0</v>
      </c>
      <c r="JI346">
        <v>0</v>
      </c>
      <c r="JJ346">
        <v>0</v>
      </c>
      <c r="JK346">
        <v>0</v>
      </c>
      <c r="JL346">
        <v>0</v>
      </c>
      <c r="JM346">
        <v>0</v>
      </c>
      <c r="JN346">
        <v>0</v>
      </c>
      <c r="JO346">
        <v>0</v>
      </c>
      <c r="JP346">
        <v>0</v>
      </c>
      <c r="JQ346">
        <v>0</v>
      </c>
      <c r="JR346">
        <v>0</v>
      </c>
      <c r="JS346">
        <v>0</v>
      </c>
      <c r="JT346">
        <v>0</v>
      </c>
      <c r="JU346">
        <v>0</v>
      </c>
      <c r="JV346">
        <v>0</v>
      </c>
      <c r="JW346">
        <v>0</v>
      </c>
      <c r="JX346">
        <v>0</v>
      </c>
      <c r="JY346">
        <v>0</v>
      </c>
      <c r="JZ346">
        <v>0</v>
      </c>
      <c r="KA346">
        <v>0</v>
      </c>
      <c r="KB346">
        <v>0</v>
      </c>
      <c r="KC346">
        <v>0</v>
      </c>
      <c r="KD346">
        <v>0</v>
      </c>
      <c r="KE346">
        <v>0</v>
      </c>
      <c r="KF346">
        <v>0</v>
      </c>
      <c r="KG346">
        <v>0</v>
      </c>
      <c r="KH346">
        <v>0</v>
      </c>
      <c r="KI346">
        <v>0</v>
      </c>
      <c r="KJ346">
        <v>0</v>
      </c>
      <c r="KK346">
        <v>0</v>
      </c>
      <c r="KL346">
        <v>0</v>
      </c>
      <c r="KM346">
        <v>0</v>
      </c>
      <c r="KN346">
        <v>0</v>
      </c>
      <c r="KO346">
        <v>0</v>
      </c>
      <c r="KP346">
        <v>0</v>
      </c>
      <c r="KQ346">
        <v>0</v>
      </c>
      <c r="KR346">
        <v>0</v>
      </c>
      <c r="KS346">
        <v>0</v>
      </c>
      <c r="KT346">
        <v>0</v>
      </c>
      <c r="KU346">
        <v>0</v>
      </c>
      <c r="KV346">
        <v>0</v>
      </c>
      <c r="KW346">
        <v>0</v>
      </c>
      <c r="KX346">
        <v>0</v>
      </c>
      <c r="KY346">
        <v>0</v>
      </c>
      <c r="KZ346">
        <v>0</v>
      </c>
      <c r="LA346">
        <v>0</v>
      </c>
      <c r="LB346">
        <v>0</v>
      </c>
      <c r="LC346">
        <v>0</v>
      </c>
      <c r="LD346">
        <v>0</v>
      </c>
      <c r="LE346">
        <v>0</v>
      </c>
      <c r="LF346">
        <v>0</v>
      </c>
      <c r="LG346">
        <v>0</v>
      </c>
      <c r="LH346">
        <v>0</v>
      </c>
      <c r="LI346">
        <v>0</v>
      </c>
      <c r="LJ346">
        <v>0</v>
      </c>
      <c r="LK346">
        <v>0</v>
      </c>
      <c r="LL346">
        <v>0</v>
      </c>
      <c r="LM346">
        <v>0</v>
      </c>
      <c r="LN346">
        <v>0</v>
      </c>
      <c r="LO346">
        <v>0</v>
      </c>
      <c r="LP346">
        <v>0</v>
      </c>
      <c r="LQ346">
        <v>0</v>
      </c>
      <c r="LR346">
        <v>0</v>
      </c>
      <c r="LS346">
        <v>0</v>
      </c>
      <c r="LT346">
        <v>0</v>
      </c>
      <c r="LU346">
        <v>0</v>
      </c>
      <c r="LV346">
        <v>0</v>
      </c>
      <c r="LW346">
        <v>0</v>
      </c>
      <c r="LX346">
        <v>0</v>
      </c>
      <c r="LY346">
        <v>0</v>
      </c>
      <c r="LZ346">
        <v>0</v>
      </c>
      <c r="MA346">
        <v>0</v>
      </c>
      <c r="MB346">
        <v>0</v>
      </c>
      <c r="MC346">
        <v>0</v>
      </c>
      <c r="MD346">
        <v>0</v>
      </c>
      <c r="ME346">
        <v>0</v>
      </c>
      <c r="MF346">
        <v>0</v>
      </c>
      <c r="MG346">
        <v>0</v>
      </c>
      <c r="MH346">
        <v>0</v>
      </c>
      <c r="MI346">
        <v>0</v>
      </c>
      <c r="MJ346">
        <v>0</v>
      </c>
      <c r="MK346">
        <v>0</v>
      </c>
      <c r="ML346">
        <v>0</v>
      </c>
      <c r="MM346">
        <v>0</v>
      </c>
      <c r="MN346">
        <v>0</v>
      </c>
      <c r="MO346">
        <v>0</v>
      </c>
      <c r="MP346">
        <v>0</v>
      </c>
      <c r="MQ346">
        <v>0</v>
      </c>
      <c r="MR346">
        <v>0</v>
      </c>
      <c r="MS346">
        <v>0</v>
      </c>
      <c r="MT346">
        <v>0</v>
      </c>
      <c r="MU346">
        <v>0</v>
      </c>
      <c r="MV346">
        <v>0</v>
      </c>
      <c r="MW346">
        <v>0</v>
      </c>
      <c r="MX346">
        <v>0</v>
      </c>
      <c r="MY346">
        <v>0</v>
      </c>
      <c r="MZ346">
        <v>0</v>
      </c>
      <c r="NA346">
        <v>0</v>
      </c>
      <c r="NB346">
        <v>0</v>
      </c>
      <c r="NC346">
        <v>0</v>
      </c>
      <c r="ND346">
        <v>0</v>
      </c>
      <c r="NE346">
        <v>0</v>
      </c>
    </row>
    <row r="347" spans="41:369" x14ac:dyDescent="0.45">
      <c r="AO347">
        <v>0</v>
      </c>
      <c r="AP347">
        <v>0</v>
      </c>
      <c r="AQ347">
        <v>0</v>
      </c>
      <c r="AR347">
        <v>0</v>
      </c>
      <c r="AS347">
        <v>0</v>
      </c>
      <c r="AT347">
        <v>0</v>
      </c>
      <c r="AU347">
        <v>0</v>
      </c>
      <c r="AV347">
        <v>0</v>
      </c>
      <c r="AW347" t="str">
        <v/>
      </c>
      <c r="AX347">
        <v>255</v>
      </c>
      <c r="AY347" s="5" t="str">
        <v/>
      </c>
      <c r="AZ347">
        <v>0</v>
      </c>
      <c r="BA347">
        <v>0</v>
      </c>
      <c r="BB347">
        <v>0</v>
      </c>
      <c r="BC347">
        <v>0</v>
      </c>
      <c r="BD347">
        <v>0</v>
      </c>
      <c r="BE347">
        <v>0</v>
      </c>
      <c r="BF347">
        <v>0</v>
      </c>
      <c r="BG347">
        <v>0</v>
      </c>
      <c r="BH347">
        <v>0</v>
      </c>
      <c r="BI347" t="str">
        <v/>
      </c>
      <c r="BK347">
        <v>341</v>
      </c>
      <c r="BL347">
        <v>0</v>
      </c>
      <c r="BM347">
        <v>0</v>
      </c>
      <c r="BN347">
        <v>0</v>
      </c>
      <c r="BO347">
        <v>0</v>
      </c>
      <c r="BP347">
        <v>0</v>
      </c>
      <c r="BQ347">
        <v>0</v>
      </c>
      <c r="BR347">
        <v>0</v>
      </c>
      <c r="BS347">
        <v>0</v>
      </c>
      <c r="BT347">
        <v>0</v>
      </c>
      <c r="BU347">
        <v>0</v>
      </c>
      <c r="BV347">
        <v>0</v>
      </c>
      <c r="BW347">
        <v>0</v>
      </c>
      <c r="BX347">
        <v>0</v>
      </c>
      <c r="BY347">
        <v>0</v>
      </c>
      <c r="BZ347">
        <v>0</v>
      </c>
      <c r="CA347">
        <v>0</v>
      </c>
      <c r="CB347">
        <v>0</v>
      </c>
      <c r="CC347">
        <v>0</v>
      </c>
      <c r="CD347">
        <v>0</v>
      </c>
      <c r="CE347">
        <v>0</v>
      </c>
      <c r="CF347">
        <v>0</v>
      </c>
      <c r="CG347">
        <v>0</v>
      </c>
      <c r="CH347">
        <v>0</v>
      </c>
      <c r="CI347">
        <v>0</v>
      </c>
      <c r="CJ347">
        <v>0</v>
      </c>
      <c r="CK347">
        <v>0</v>
      </c>
      <c r="CL347">
        <v>0</v>
      </c>
      <c r="CM347">
        <v>0</v>
      </c>
      <c r="CN347">
        <v>0</v>
      </c>
      <c r="CO347">
        <v>0</v>
      </c>
      <c r="CP347">
        <v>0</v>
      </c>
      <c r="CQ347">
        <v>0</v>
      </c>
      <c r="CR347">
        <v>0</v>
      </c>
      <c r="CS347">
        <v>0</v>
      </c>
      <c r="CT347">
        <v>0</v>
      </c>
      <c r="CU347">
        <v>0</v>
      </c>
      <c r="CV347">
        <v>0</v>
      </c>
      <c r="CW347">
        <v>0</v>
      </c>
      <c r="CX347">
        <v>0</v>
      </c>
      <c r="CY347">
        <v>0</v>
      </c>
      <c r="CZ347">
        <v>0</v>
      </c>
      <c r="DA347">
        <v>0</v>
      </c>
      <c r="DB347">
        <v>0</v>
      </c>
      <c r="DC347">
        <v>0</v>
      </c>
      <c r="DD347">
        <v>0</v>
      </c>
      <c r="DE347">
        <v>0</v>
      </c>
      <c r="DF347">
        <v>0</v>
      </c>
      <c r="DG347">
        <v>0</v>
      </c>
      <c r="DH347">
        <v>0</v>
      </c>
      <c r="DI347">
        <v>0</v>
      </c>
      <c r="DJ347">
        <v>0</v>
      </c>
      <c r="DK347">
        <v>0</v>
      </c>
      <c r="DL347">
        <v>0</v>
      </c>
      <c r="DM347">
        <v>0</v>
      </c>
      <c r="DN347">
        <v>0</v>
      </c>
      <c r="DO347">
        <v>0</v>
      </c>
      <c r="DP347">
        <v>0</v>
      </c>
      <c r="DQ347">
        <v>0</v>
      </c>
      <c r="DR347">
        <v>0</v>
      </c>
      <c r="DS347">
        <v>0</v>
      </c>
      <c r="DT347">
        <v>0</v>
      </c>
      <c r="DU347">
        <v>0</v>
      </c>
      <c r="DV347">
        <v>0</v>
      </c>
      <c r="DW347">
        <v>0</v>
      </c>
      <c r="DX347">
        <v>0</v>
      </c>
      <c r="DY347">
        <v>0</v>
      </c>
      <c r="DZ347">
        <v>0</v>
      </c>
      <c r="EA347">
        <v>0</v>
      </c>
      <c r="EB347">
        <v>0</v>
      </c>
      <c r="EC347">
        <v>0</v>
      </c>
      <c r="ED347">
        <v>0</v>
      </c>
      <c r="EE347">
        <v>0</v>
      </c>
      <c r="EF347">
        <v>0</v>
      </c>
      <c r="EG347">
        <v>0</v>
      </c>
      <c r="EH347">
        <v>0</v>
      </c>
      <c r="EI347">
        <v>0</v>
      </c>
      <c r="EJ347">
        <v>0</v>
      </c>
      <c r="EK347">
        <v>0</v>
      </c>
      <c r="EL347">
        <v>0</v>
      </c>
      <c r="EM347">
        <v>0</v>
      </c>
      <c r="EN347">
        <v>0</v>
      </c>
      <c r="EO347">
        <v>0</v>
      </c>
      <c r="EP347">
        <v>0</v>
      </c>
      <c r="EQ347">
        <v>0</v>
      </c>
      <c r="ER347">
        <v>0</v>
      </c>
      <c r="ES347">
        <v>0</v>
      </c>
      <c r="ET347">
        <v>0</v>
      </c>
      <c r="EU347">
        <v>0</v>
      </c>
      <c r="EV347">
        <v>0</v>
      </c>
      <c r="EW347">
        <v>0</v>
      </c>
      <c r="EX347">
        <v>0</v>
      </c>
      <c r="EY347">
        <v>0</v>
      </c>
      <c r="EZ347">
        <v>0</v>
      </c>
      <c r="FA347">
        <v>0</v>
      </c>
      <c r="FB347">
        <v>0</v>
      </c>
      <c r="FC347">
        <v>0</v>
      </c>
      <c r="FD347">
        <v>0</v>
      </c>
      <c r="FE347">
        <v>0</v>
      </c>
      <c r="FF347">
        <v>0</v>
      </c>
      <c r="FG347">
        <v>0</v>
      </c>
      <c r="FH347">
        <v>0</v>
      </c>
      <c r="FI347">
        <v>0</v>
      </c>
      <c r="FJ347">
        <v>0</v>
      </c>
      <c r="FK347">
        <v>0</v>
      </c>
      <c r="FL347">
        <v>0</v>
      </c>
      <c r="FM347">
        <v>0</v>
      </c>
      <c r="FN347">
        <v>0</v>
      </c>
      <c r="FO347">
        <v>0</v>
      </c>
      <c r="FP347">
        <v>0</v>
      </c>
      <c r="FQ347">
        <v>0</v>
      </c>
      <c r="FR347">
        <v>0</v>
      </c>
      <c r="FS347">
        <v>0</v>
      </c>
      <c r="FT347">
        <v>0</v>
      </c>
      <c r="FU347">
        <v>0</v>
      </c>
      <c r="FV347">
        <v>0</v>
      </c>
      <c r="FW347">
        <v>0</v>
      </c>
      <c r="FX347">
        <v>0</v>
      </c>
      <c r="FY347">
        <v>0</v>
      </c>
      <c r="FZ347">
        <v>0</v>
      </c>
      <c r="GA347">
        <v>0</v>
      </c>
      <c r="GB347">
        <v>0</v>
      </c>
      <c r="GC347">
        <v>0</v>
      </c>
      <c r="GD347">
        <v>0</v>
      </c>
      <c r="GE347">
        <v>0</v>
      </c>
      <c r="GF347">
        <v>0</v>
      </c>
      <c r="GG347">
        <v>0</v>
      </c>
      <c r="GH347">
        <v>0</v>
      </c>
      <c r="GI347">
        <v>0</v>
      </c>
      <c r="GJ347">
        <v>0</v>
      </c>
      <c r="GK347">
        <v>0</v>
      </c>
      <c r="GL347">
        <v>0</v>
      </c>
      <c r="GM347">
        <v>0</v>
      </c>
      <c r="GN347">
        <v>0</v>
      </c>
      <c r="GO347">
        <v>0</v>
      </c>
      <c r="GP347">
        <v>0</v>
      </c>
      <c r="GQ347">
        <v>0</v>
      </c>
      <c r="GR347">
        <v>0</v>
      </c>
      <c r="GS347">
        <v>0</v>
      </c>
      <c r="GT347">
        <v>0</v>
      </c>
      <c r="GU347">
        <v>0</v>
      </c>
      <c r="GV347">
        <v>0</v>
      </c>
      <c r="GW347">
        <v>0</v>
      </c>
      <c r="GX347">
        <v>0</v>
      </c>
      <c r="GY347">
        <v>0</v>
      </c>
      <c r="GZ347">
        <v>0</v>
      </c>
      <c r="HA347">
        <v>0</v>
      </c>
      <c r="HB347">
        <v>0</v>
      </c>
      <c r="HC347">
        <v>0</v>
      </c>
      <c r="HD347">
        <v>0</v>
      </c>
      <c r="HE347">
        <v>0</v>
      </c>
      <c r="HF347">
        <v>0</v>
      </c>
      <c r="HG347">
        <v>0</v>
      </c>
      <c r="HH347">
        <v>0</v>
      </c>
      <c r="HI347">
        <v>0</v>
      </c>
      <c r="HJ347">
        <v>0</v>
      </c>
      <c r="HK347">
        <v>0</v>
      </c>
      <c r="HL347">
        <v>0</v>
      </c>
      <c r="HM347">
        <v>0</v>
      </c>
      <c r="HN347">
        <v>0</v>
      </c>
      <c r="HO347">
        <v>0</v>
      </c>
      <c r="HP347">
        <v>0</v>
      </c>
      <c r="HQ347">
        <v>0</v>
      </c>
      <c r="HR347">
        <v>0</v>
      </c>
      <c r="HS347">
        <v>0</v>
      </c>
      <c r="HT347">
        <v>0</v>
      </c>
      <c r="HU347">
        <v>0</v>
      </c>
      <c r="HV347">
        <v>0</v>
      </c>
      <c r="HW347">
        <v>0</v>
      </c>
      <c r="HX347">
        <v>0</v>
      </c>
      <c r="HY347">
        <v>0</v>
      </c>
      <c r="HZ347">
        <v>0</v>
      </c>
      <c r="IA347">
        <v>0</v>
      </c>
      <c r="IB347">
        <v>0</v>
      </c>
      <c r="IC347">
        <v>0</v>
      </c>
      <c r="ID347">
        <v>0</v>
      </c>
      <c r="IE347">
        <v>0</v>
      </c>
      <c r="IF347">
        <v>0</v>
      </c>
      <c r="IG347">
        <v>0</v>
      </c>
      <c r="IH347">
        <v>0</v>
      </c>
      <c r="II347">
        <v>0</v>
      </c>
      <c r="IJ347">
        <v>0</v>
      </c>
      <c r="IK347">
        <v>0</v>
      </c>
      <c r="IL347">
        <v>0</v>
      </c>
      <c r="IM347">
        <v>0</v>
      </c>
      <c r="IN347">
        <v>0</v>
      </c>
      <c r="IO347">
        <v>0</v>
      </c>
      <c r="IP347">
        <v>0</v>
      </c>
      <c r="IQ347">
        <v>0</v>
      </c>
      <c r="IR347">
        <v>0</v>
      </c>
      <c r="IS347">
        <v>0</v>
      </c>
      <c r="IT347">
        <v>0</v>
      </c>
      <c r="IU347">
        <v>0</v>
      </c>
      <c r="IV347">
        <v>0</v>
      </c>
      <c r="IW347">
        <v>0</v>
      </c>
      <c r="IX347">
        <v>0</v>
      </c>
      <c r="IY347">
        <v>0</v>
      </c>
      <c r="IZ347">
        <v>0</v>
      </c>
      <c r="JA347">
        <v>0</v>
      </c>
      <c r="JB347">
        <v>0</v>
      </c>
      <c r="JC347">
        <v>0</v>
      </c>
      <c r="JD347">
        <v>0</v>
      </c>
      <c r="JE347">
        <v>0</v>
      </c>
      <c r="JF347">
        <v>0</v>
      </c>
      <c r="JG347">
        <v>0</v>
      </c>
      <c r="JH347">
        <v>0</v>
      </c>
      <c r="JI347">
        <v>0</v>
      </c>
      <c r="JJ347">
        <v>0</v>
      </c>
      <c r="JK347">
        <v>0</v>
      </c>
      <c r="JL347">
        <v>0</v>
      </c>
      <c r="JM347">
        <v>0</v>
      </c>
      <c r="JN347">
        <v>0</v>
      </c>
      <c r="JO347">
        <v>0</v>
      </c>
      <c r="JP347">
        <v>0</v>
      </c>
      <c r="JQ347">
        <v>0</v>
      </c>
      <c r="JR347">
        <v>0</v>
      </c>
      <c r="JS347">
        <v>0</v>
      </c>
      <c r="JT347">
        <v>0</v>
      </c>
      <c r="JU347">
        <v>0</v>
      </c>
      <c r="JV347">
        <v>0</v>
      </c>
      <c r="JW347">
        <v>0</v>
      </c>
      <c r="JX347">
        <v>0</v>
      </c>
      <c r="JY347">
        <v>0</v>
      </c>
      <c r="JZ347">
        <v>0</v>
      </c>
      <c r="KA347">
        <v>0</v>
      </c>
      <c r="KB347">
        <v>0</v>
      </c>
      <c r="KC347">
        <v>0</v>
      </c>
      <c r="KD347">
        <v>0</v>
      </c>
      <c r="KE347">
        <v>0</v>
      </c>
      <c r="KF347">
        <v>0</v>
      </c>
      <c r="KG347">
        <v>0</v>
      </c>
      <c r="KH347">
        <v>0</v>
      </c>
      <c r="KI347">
        <v>0</v>
      </c>
      <c r="KJ347">
        <v>0</v>
      </c>
      <c r="KK347">
        <v>0</v>
      </c>
      <c r="KL347">
        <v>0</v>
      </c>
      <c r="KM347">
        <v>0</v>
      </c>
      <c r="KN347">
        <v>0</v>
      </c>
      <c r="KO347">
        <v>0</v>
      </c>
      <c r="KP347">
        <v>0</v>
      </c>
      <c r="KQ347">
        <v>0</v>
      </c>
      <c r="KR347">
        <v>0</v>
      </c>
      <c r="KS347">
        <v>0</v>
      </c>
      <c r="KT347">
        <v>0</v>
      </c>
      <c r="KU347">
        <v>0</v>
      </c>
      <c r="KV347">
        <v>0</v>
      </c>
      <c r="KW347">
        <v>0</v>
      </c>
      <c r="KX347">
        <v>0</v>
      </c>
      <c r="KY347">
        <v>0</v>
      </c>
      <c r="KZ347">
        <v>0</v>
      </c>
      <c r="LA347">
        <v>0</v>
      </c>
      <c r="LB347">
        <v>0</v>
      </c>
      <c r="LC347">
        <v>0</v>
      </c>
      <c r="LD347">
        <v>0</v>
      </c>
      <c r="LE347">
        <v>0</v>
      </c>
      <c r="LF347">
        <v>0</v>
      </c>
      <c r="LG347">
        <v>0</v>
      </c>
      <c r="LH347">
        <v>0</v>
      </c>
      <c r="LI347">
        <v>0</v>
      </c>
      <c r="LJ347">
        <v>0</v>
      </c>
      <c r="LK347">
        <v>0</v>
      </c>
      <c r="LL347">
        <v>0</v>
      </c>
      <c r="LM347">
        <v>0</v>
      </c>
      <c r="LN347">
        <v>0</v>
      </c>
      <c r="LO347">
        <v>0</v>
      </c>
      <c r="LP347">
        <v>0</v>
      </c>
      <c r="LQ347">
        <v>0</v>
      </c>
      <c r="LR347">
        <v>0</v>
      </c>
      <c r="LS347">
        <v>0</v>
      </c>
      <c r="LT347">
        <v>0</v>
      </c>
      <c r="LU347">
        <v>0</v>
      </c>
      <c r="LV347">
        <v>0</v>
      </c>
      <c r="LW347">
        <v>0</v>
      </c>
      <c r="LX347">
        <v>0</v>
      </c>
      <c r="LY347">
        <v>0</v>
      </c>
      <c r="LZ347">
        <v>0</v>
      </c>
      <c r="MA347">
        <v>0</v>
      </c>
      <c r="MB347">
        <v>0</v>
      </c>
      <c r="MC347">
        <v>0</v>
      </c>
      <c r="MD347">
        <v>0</v>
      </c>
      <c r="ME347">
        <v>0</v>
      </c>
      <c r="MF347">
        <v>0</v>
      </c>
      <c r="MG347">
        <v>0</v>
      </c>
      <c r="MH347">
        <v>0</v>
      </c>
      <c r="MI347">
        <v>0</v>
      </c>
      <c r="MJ347">
        <v>0</v>
      </c>
      <c r="MK347">
        <v>0</v>
      </c>
      <c r="ML347">
        <v>0</v>
      </c>
      <c r="MM347">
        <v>0</v>
      </c>
      <c r="MN347">
        <v>0</v>
      </c>
      <c r="MO347">
        <v>0</v>
      </c>
      <c r="MP347">
        <v>0</v>
      </c>
      <c r="MQ347">
        <v>0</v>
      </c>
      <c r="MR347">
        <v>0</v>
      </c>
      <c r="MS347">
        <v>0</v>
      </c>
      <c r="MT347">
        <v>0</v>
      </c>
      <c r="MU347">
        <v>0</v>
      </c>
      <c r="MV347">
        <v>0</v>
      </c>
      <c r="MW347">
        <v>0</v>
      </c>
      <c r="MX347">
        <v>0</v>
      </c>
      <c r="MY347">
        <v>0</v>
      </c>
      <c r="MZ347">
        <v>0</v>
      </c>
      <c r="NA347">
        <v>0</v>
      </c>
      <c r="NB347">
        <v>0</v>
      </c>
      <c r="NC347">
        <v>0</v>
      </c>
      <c r="ND347">
        <v>0</v>
      </c>
      <c r="NE347">
        <v>0</v>
      </c>
    </row>
    <row r="348" spans="41:369" x14ac:dyDescent="0.45">
      <c r="AO348">
        <v>0</v>
      </c>
      <c r="AP348">
        <v>0</v>
      </c>
      <c r="AQ348">
        <v>0</v>
      </c>
      <c r="AR348">
        <v>0</v>
      </c>
      <c r="AS348">
        <v>0</v>
      </c>
      <c r="AT348">
        <v>0</v>
      </c>
      <c r="AU348">
        <v>0</v>
      </c>
      <c r="AV348">
        <v>0</v>
      </c>
      <c r="AW348" t="str">
        <v/>
      </c>
      <c r="AX348">
        <v>255</v>
      </c>
      <c r="AY348" s="5" t="str">
        <v/>
      </c>
      <c r="AZ348">
        <v>0</v>
      </c>
      <c r="BA348">
        <v>0</v>
      </c>
      <c r="BB348">
        <v>0</v>
      </c>
      <c r="BC348">
        <v>0</v>
      </c>
      <c r="BD348">
        <v>0</v>
      </c>
      <c r="BE348">
        <v>0</v>
      </c>
      <c r="BF348">
        <v>0</v>
      </c>
      <c r="BG348">
        <v>0</v>
      </c>
      <c r="BH348">
        <v>0</v>
      </c>
      <c r="BI348" t="str">
        <v/>
      </c>
      <c r="BK348">
        <v>342</v>
      </c>
      <c r="BL348">
        <v>0</v>
      </c>
      <c r="BM348">
        <v>0</v>
      </c>
      <c r="BN348">
        <v>0</v>
      </c>
      <c r="BO348">
        <v>0</v>
      </c>
      <c r="BP348">
        <v>0</v>
      </c>
      <c r="BQ348">
        <v>0</v>
      </c>
      <c r="BR348">
        <v>0</v>
      </c>
      <c r="BS348">
        <v>0</v>
      </c>
      <c r="BT348">
        <v>0</v>
      </c>
      <c r="BU348">
        <v>0</v>
      </c>
      <c r="BV348">
        <v>0</v>
      </c>
      <c r="BW348">
        <v>0</v>
      </c>
      <c r="BX348">
        <v>0</v>
      </c>
      <c r="BY348">
        <v>0</v>
      </c>
      <c r="BZ348">
        <v>0</v>
      </c>
      <c r="CA348">
        <v>0</v>
      </c>
      <c r="CB348">
        <v>0</v>
      </c>
      <c r="CC348">
        <v>0</v>
      </c>
      <c r="CD348">
        <v>0</v>
      </c>
      <c r="CE348">
        <v>0</v>
      </c>
      <c r="CF348">
        <v>0</v>
      </c>
      <c r="CG348">
        <v>0</v>
      </c>
      <c r="CH348">
        <v>0</v>
      </c>
      <c r="CI348">
        <v>0</v>
      </c>
      <c r="CJ348">
        <v>0</v>
      </c>
      <c r="CK348">
        <v>0</v>
      </c>
      <c r="CL348">
        <v>0</v>
      </c>
      <c r="CM348">
        <v>0</v>
      </c>
      <c r="CN348">
        <v>0</v>
      </c>
      <c r="CO348">
        <v>0</v>
      </c>
      <c r="CP348">
        <v>0</v>
      </c>
      <c r="CQ348">
        <v>0</v>
      </c>
      <c r="CR348">
        <v>0</v>
      </c>
      <c r="CS348">
        <v>0</v>
      </c>
      <c r="CT348">
        <v>0</v>
      </c>
      <c r="CU348">
        <v>0</v>
      </c>
      <c r="CV348">
        <v>0</v>
      </c>
      <c r="CW348">
        <v>0</v>
      </c>
      <c r="CX348">
        <v>0</v>
      </c>
      <c r="CY348">
        <v>0</v>
      </c>
      <c r="CZ348">
        <v>0</v>
      </c>
      <c r="DA348">
        <v>0</v>
      </c>
      <c r="DB348">
        <v>0</v>
      </c>
      <c r="DC348">
        <v>0</v>
      </c>
      <c r="DD348">
        <v>0</v>
      </c>
      <c r="DE348">
        <v>0</v>
      </c>
      <c r="DF348">
        <v>0</v>
      </c>
      <c r="DG348">
        <v>0</v>
      </c>
      <c r="DH348">
        <v>0</v>
      </c>
      <c r="DI348">
        <v>0</v>
      </c>
      <c r="DJ348">
        <v>0</v>
      </c>
      <c r="DK348">
        <v>0</v>
      </c>
      <c r="DL348">
        <v>0</v>
      </c>
      <c r="DM348">
        <v>0</v>
      </c>
      <c r="DN348">
        <v>0</v>
      </c>
      <c r="DO348">
        <v>0</v>
      </c>
      <c r="DP348">
        <v>0</v>
      </c>
      <c r="DQ348">
        <v>0</v>
      </c>
      <c r="DR348">
        <v>0</v>
      </c>
      <c r="DS348">
        <v>0</v>
      </c>
      <c r="DT348">
        <v>0</v>
      </c>
      <c r="DU348">
        <v>0</v>
      </c>
      <c r="DV348">
        <v>0</v>
      </c>
      <c r="DW348">
        <v>0</v>
      </c>
      <c r="DX348">
        <v>0</v>
      </c>
      <c r="DY348">
        <v>0</v>
      </c>
      <c r="DZ348">
        <v>0</v>
      </c>
      <c r="EA348">
        <v>0</v>
      </c>
      <c r="EB348">
        <v>0</v>
      </c>
      <c r="EC348">
        <v>0</v>
      </c>
      <c r="ED348">
        <v>0</v>
      </c>
      <c r="EE348">
        <v>0</v>
      </c>
      <c r="EF348">
        <v>0</v>
      </c>
      <c r="EG348">
        <v>0</v>
      </c>
      <c r="EH348">
        <v>0</v>
      </c>
      <c r="EI348">
        <v>0</v>
      </c>
      <c r="EJ348">
        <v>0</v>
      </c>
      <c r="EK348">
        <v>0</v>
      </c>
      <c r="EL348">
        <v>0</v>
      </c>
      <c r="EM348">
        <v>0</v>
      </c>
      <c r="EN348">
        <v>0</v>
      </c>
      <c r="EO348">
        <v>0</v>
      </c>
      <c r="EP348">
        <v>0</v>
      </c>
      <c r="EQ348">
        <v>0</v>
      </c>
      <c r="ER348">
        <v>0</v>
      </c>
      <c r="ES348">
        <v>0</v>
      </c>
      <c r="ET348">
        <v>0</v>
      </c>
      <c r="EU348">
        <v>0</v>
      </c>
      <c r="EV348">
        <v>0</v>
      </c>
      <c r="EW348">
        <v>0</v>
      </c>
      <c r="EX348">
        <v>0</v>
      </c>
      <c r="EY348">
        <v>0</v>
      </c>
      <c r="EZ348">
        <v>0</v>
      </c>
      <c r="FA348">
        <v>0</v>
      </c>
      <c r="FB348">
        <v>0</v>
      </c>
      <c r="FC348">
        <v>0</v>
      </c>
      <c r="FD348">
        <v>0</v>
      </c>
      <c r="FE348">
        <v>0</v>
      </c>
      <c r="FF348">
        <v>0</v>
      </c>
      <c r="FG348">
        <v>0</v>
      </c>
      <c r="FH348">
        <v>0</v>
      </c>
      <c r="FI348">
        <v>0</v>
      </c>
      <c r="FJ348">
        <v>0</v>
      </c>
      <c r="FK348">
        <v>0</v>
      </c>
      <c r="FL348">
        <v>0</v>
      </c>
      <c r="FM348">
        <v>0</v>
      </c>
      <c r="FN348">
        <v>0</v>
      </c>
      <c r="FO348">
        <v>0</v>
      </c>
      <c r="FP348">
        <v>0</v>
      </c>
      <c r="FQ348">
        <v>0</v>
      </c>
      <c r="FR348">
        <v>0</v>
      </c>
      <c r="FS348">
        <v>0</v>
      </c>
      <c r="FT348">
        <v>0</v>
      </c>
      <c r="FU348">
        <v>0</v>
      </c>
      <c r="FV348">
        <v>0</v>
      </c>
      <c r="FW348">
        <v>0</v>
      </c>
      <c r="FX348">
        <v>0</v>
      </c>
      <c r="FY348">
        <v>0</v>
      </c>
      <c r="FZ348">
        <v>0</v>
      </c>
      <c r="GA348">
        <v>0</v>
      </c>
      <c r="GB348">
        <v>0</v>
      </c>
      <c r="GC348">
        <v>0</v>
      </c>
      <c r="GD348">
        <v>0</v>
      </c>
      <c r="GE348">
        <v>0</v>
      </c>
      <c r="GF348">
        <v>0</v>
      </c>
      <c r="GG348">
        <v>0</v>
      </c>
      <c r="GH348">
        <v>0</v>
      </c>
      <c r="GI348">
        <v>0</v>
      </c>
      <c r="GJ348">
        <v>0</v>
      </c>
      <c r="GK348">
        <v>0</v>
      </c>
      <c r="GL348">
        <v>0</v>
      </c>
      <c r="GM348">
        <v>0</v>
      </c>
      <c r="GN348">
        <v>0</v>
      </c>
      <c r="GO348">
        <v>0</v>
      </c>
      <c r="GP348">
        <v>0</v>
      </c>
      <c r="GQ348">
        <v>0</v>
      </c>
      <c r="GR348">
        <v>0</v>
      </c>
      <c r="GS348">
        <v>0</v>
      </c>
      <c r="GT348">
        <v>0</v>
      </c>
      <c r="GU348">
        <v>0</v>
      </c>
      <c r="GV348">
        <v>0</v>
      </c>
      <c r="GW348">
        <v>0</v>
      </c>
      <c r="GX348">
        <v>0</v>
      </c>
      <c r="GY348">
        <v>0</v>
      </c>
      <c r="GZ348">
        <v>0</v>
      </c>
      <c r="HA348">
        <v>0</v>
      </c>
      <c r="HB348">
        <v>0</v>
      </c>
      <c r="HC348">
        <v>0</v>
      </c>
      <c r="HD348">
        <v>0</v>
      </c>
      <c r="HE348">
        <v>0</v>
      </c>
      <c r="HF348">
        <v>0</v>
      </c>
      <c r="HG348">
        <v>0</v>
      </c>
      <c r="HH348">
        <v>0</v>
      </c>
      <c r="HI348">
        <v>0</v>
      </c>
      <c r="HJ348">
        <v>0</v>
      </c>
      <c r="HK348">
        <v>0</v>
      </c>
      <c r="HL348">
        <v>0</v>
      </c>
      <c r="HM348">
        <v>0</v>
      </c>
      <c r="HN348">
        <v>0</v>
      </c>
      <c r="HO348">
        <v>0</v>
      </c>
      <c r="HP348">
        <v>0</v>
      </c>
      <c r="HQ348">
        <v>0</v>
      </c>
      <c r="HR348">
        <v>0</v>
      </c>
      <c r="HS348">
        <v>0</v>
      </c>
      <c r="HT348">
        <v>0</v>
      </c>
      <c r="HU348">
        <v>0</v>
      </c>
      <c r="HV348">
        <v>0</v>
      </c>
      <c r="HW348">
        <v>0</v>
      </c>
      <c r="HX348">
        <v>0</v>
      </c>
      <c r="HY348">
        <v>0</v>
      </c>
      <c r="HZ348">
        <v>0</v>
      </c>
      <c r="IA348">
        <v>0</v>
      </c>
      <c r="IB348">
        <v>0</v>
      </c>
      <c r="IC348">
        <v>0</v>
      </c>
      <c r="ID348">
        <v>0</v>
      </c>
      <c r="IE348">
        <v>0</v>
      </c>
      <c r="IF348">
        <v>0</v>
      </c>
      <c r="IG348">
        <v>0</v>
      </c>
      <c r="IH348">
        <v>0</v>
      </c>
      <c r="II348">
        <v>0</v>
      </c>
      <c r="IJ348">
        <v>0</v>
      </c>
      <c r="IK348">
        <v>0</v>
      </c>
      <c r="IL348">
        <v>0</v>
      </c>
      <c r="IM348">
        <v>0</v>
      </c>
      <c r="IN348">
        <v>0</v>
      </c>
      <c r="IO348">
        <v>0</v>
      </c>
      <c r="IP348">
        <v>0</v>
      </c>
      <c r="IQ348">
        <v>0</v>
      </c>
      <c r="IR348">
        <v>0</v>
      </c>
      <c r="IS348">
        <v>0</v>
      </c>
      <c r="IT348">
        <v>0</v>
      </c>
      <c r="IU348">
        <v>0</v>
      </c>
      <c r="IV348">
        <v>0</v>
      </c>
      <c r="IW348">
        <v>0</v>
      </c>
      <c r="IX348">
        <v>0</v>
      </c>
      <c r="IY348">
        <v>0</v>
      </c>
      <c r="IZ348">
        <v>0</v>
      </c>
      <c r="JA348">
        <v>0</v>
      </c>
      <c r="JB348">
        <v>0</v>
      </c>
      <c r="JC348">
        <v>0</v>
      </c>
      <c r="JD348">
        <v>0</v>
      </c>
      <c r="JE348">
        <v>0</v>
      </c>
      <c r="JF348">
        <v>0</v>
      </c>
      <c r="JG348">
        <v>0</v>
      </c>
      <c r="JH348">
        <v>0</v>
      </c>
      <c r="JI348">
        <v>0</v>
      </c>
      <c r="JJ348">
        <v>0</v>
      </c>
      <c r="JK348">
        <v>0</v>
      </c>
      <c r="JL348">
        <v>0</v>
      </c>
      <c r="JM348">
        <v>0</v>
      </c>
      <c r="JN348">
        <v>0</v>
      </c>
      <c r="JO348">
        <v>0</v>
      </c>
      <c r="JP348">
        <v>0</v>
      </c>
      <c r="JQ348">
        <v>0</v>
      </c>
      <c r="JR348">
        <v>0</v>
      </c>
      <c r="JS348">
        <v>0</v>
      </c>
      <c r="JT348">
        <v>0</v>
      </c>
      <c r="JU348">
        <v>0</v>
      </c>
      <c r="JV348">
        <v>0</v>
      </c>
      <c r="JW348">
        <v>0</v>
      </c>
      <c r="JX348">
        <v>0</v>
      </c>
      <c r="JY348">
        <v>0</v>
      </c>
      <c r="JZ348">
        <v>0</v>
      </c>
      <c r="KA348">
        <v>0</v>
      </c>
      <c r="KB348">
        <v>0</v>
      </c>
      <c r="KC348">
        <v>0</v>
      </c>
      <c r="KD348">
        <v>0</v>
      </c>
      <c r="KE348">
        <v>0</v>
      </c>
      <c r="KF348">
        <v>0</v>
      </c>
      <c r="KG348">
        <v>0</v>
      </c>
      <c r="KH348">
        <v>0</v>
      </c>
      <c r="KI348">
        <v>0</v>
      </c>
      <c r="KJ348">
        <v>0</v>
      </c>
      <c r="KK348">
        <v>0</v>
      </c>
      <c r="KL348">
        <v>0</v>
      </c>
      <c r="KM348">
        <v>0</v>
      </c>
      <c r="KN348">
        <v>0</v>
      </c>
      <c r="KO348">
        <v>0</v>
      </c>
      <c r="KP348">
        <v>0</v>
      </c>
      <c r="KQ348">
        <v>0</v>
      </c>
      <c r="KR348">
        <v>0</v>
      </c>
      <c r="KS348">
        <v>0</v>
      </c>
      <c r="KT348">
        <v>0</v>
      </c>
      <c r="KU348">
        <v>0</v>
      </c>
      <c r="KV348">
        <v>0</v>
      </c>
      <c r="KW348">
        <v>0</v>
      </c>
      <c r="KX348">
        <v>0</v>
      </c>
      <c r="KY348">
        <v>0</v>
      </c>
      <c r="KZ348">
        <v>0</v>
      </c>
      <c r="LA348">
        <v>0</v>
      </c>
      <c r="LB348">
        <v>0</v>
      </c>
      <c r="LC348">
        <v>0</v>
      </c>
      <c r="LD348">
        <v>0</v>
      </c>
      <c r="LE348">
        <v>0</v>
      </c>
      <c r="LF348">
        <v>0</v>
      </c>
      <c r="LG348">
        <v>0</v>
      </c>
      <c r="LH348">
        <v>0</v>
      </c>
      <c r="LI348">
        <v>0</v>
      </c>
      <c r="LJ348">
        <v>0</v>
      </c>
      <c r="LK348">
        <v>0</v>
      </c>
      <c r="LL348">
        <v>0</v>
      </c>
      <c r="LM348">
        <v>0</v>
      </c>
      <c r="LN348">
        <v>0</v>
      </c>
      <c r="LO348">
        <v>0</v>
      </c>
      <c r="LP348">
        <v>0</v>
      </c>
      <c r="LQ348">
        <v>0</v>
      </c>
      <c r="LR348">
        <v>0</v>
      </c>
      <c r="LS348">
        <v>0</v>
      </c>
      <c r="LT348">
        <v>0</v>
      </c>
      <c r="LU348">
        <v>0</v>
      </c>
      <c r="LV348">
        <v>0</v>
      </c>
      <c r="LW348">
        <v>0</v>
      </c>
      <c r="LX348">
        <v>0</v>
      </c>
      <c r="LY348">
        <v>0</v>
      </c>
      <c r="LZ348">
        <v>0</v>
      </c>
      <c r="MA348">
        <v>0</v>
      </c>
      <c r="MB348">
        <v>0</v>
      </c>
      <c r="MC348">
        <v>0</v>
      </c>
      <c r="MD348">
        <v>0</v>
      </c>
      <c r="ME348">
        <v>0</v>
      </c>
      <c r="MF348">
        <v>0</v>
      </c>
      <c r="MG348">
        <v>0</v>
      </c>
      <c r="MH348">
        <v>0</v>
      </c>
      <c r="MI348">
        <v>0</v>
      </c>
      <c r="MJ348">
        <v>0</v>
      </c>
      <c r="MK348">
        <v>0</v>
      </c>
      <c r="ML348">
        <v>0</v>
      </c>
      <c r="MM348">
        <v>0</v>
      </c>
      <c r="MN348">
        <v>0</v>
      </c>
      <c r="MO348">
        <v>0</v>
      </c>
      <c r="MP348">
        <v>0</v>
      </c>
      <c r="MQ348">
        <v>0</v>
      </c>
      <c r="MR348">
        <v>0</v>
      </c>
      <c r="MS348">
        <v>0</v>
      </c>
      <c r="MT348">
        <v>0</v>
      </c>
      <c r="MU348">
        <v>0</v>
      </c>
      <c r="MV348">
        <v>0</v>
      </c>
      <c r="MW348">
        <v>0</v>
      </c>
      <c r="MX348">
        <v>0</v>
      </c>
      <c r="MY348">
        <v>0</v>
      </c>
      <c r="MZ348">
        <v>0</v>
      </c>
      <c r="NA348">
        <v>0</v>
      </c>
      <c r="NB348">
        <v>0</v>
      </c>
      <c r="NC348">
        <v>0</v>
      </c>
      <c r="ND348">
        <v>0</v>
      </c>
      <c r="NE348">
        <v>0</v>
      </c>
    </row>
    <row r="349" spans="41:369" x14ac:dyDescent="0.45">
      <c r="AO349">
        <v>0</v>
      </c>
      <c r="AP349">
        <v>0</v>
      </c>
      <c r="AQ349">
        <v>0</v>
      </c>
      <c r="AR349">
        <v>0</v>
      </c>
      <c r="AS349">
        <v>0</v>
      </c>
      <c r="AT349">
        <v>0</v>
      </c>
      <c r="AU349">
        <v>0</v>
      </c>
      <c r="AV349">
        <v>0</v>
      </c>
      <c r="AW349" t="str">
        <v/>
      </c>
      <c r="AX349">
        <v>255</v>
      </c>
      <c r="AY349" s="5" t="str">
        <v/>
      </c>
      <c r="AZ349">
        <v>0</v>
      </c>
      <c r="BA349">
        <v>0</v>
      </c>
      <c r="BB349">
        <v>0</v>
      </c>
      <c r="BC349">
        <v>0</v>
      </c>
      <c r="BD349">
        <v>0</v>
      </c>
      <c r="BE349">
        <v>0</v>
      </c>
      <c r="BF349">
        <v>0</v>
      </c>
      <c r="BG349">
        <v>0</v>
      </c>
      <c r="BH349">
        <v>0</v>
      </c>
      <c r="BI349" t="str">
        <v/>
      </c>
      <c r="BK349">
        <v>343</v>
      </c>
      <c r="BL349">
        <v>0</v>
      </c>
      <c r="BM349">
        <v>0</v>
      </c>
      <c r="BN349">
        <v>0</v>
      </c>
      <c r="BO349">
        <v>0</v>
      </c>
      <c r="BP349">
        <v>0</v>
      </c>
      <c r="BQ349">
        <v>0</v>
      </c>
      <c r="BR349">
        <v>0</v>
      </c>
      <c r="BS349">
        <v>0</v>
      </c>
      <c r="BT349">
        <v>0</v>
      </c>
      <c r="BU349">
        <v>0</v>
      </c>
      <c r="BV349">
        <v>0</v>
      </c>
      <c r="BW349">
        <v>0</v>
      </c>
      <c r="BX349">
        <v>0</v>
      </c>
      <c r="BY349">
        <v>0</v>
      </c>
      <c r="BZ349">
        <v>0</v>
      </c>
      <c r="CA349">
        <v>0</v>
      </c>
      <c r="CB349">
        <v>0</v>
      </c>
      <c r="CC349">
        <v>0</v>
      </c>
      <c r="CD349">
        <v>0</v>
      </c>
      <c r="CE349">
        <v>0</v>
      </c>
      <c r="CF349">
        <v>0</v>
      </c>
      <c r="CG349">
        <v>0</v>
      </c>
      <c r="CH349">
        <v>0</v>
      </c>
      <c r="CI349">
        <v>0</v>
      </c>
      <c r="CJ349">
        <v>0</v>
      </c>
      <c r="CK349">
        <v>0</v>
      </c>
      <c r="CL349">
        <v>0</v>
      </c>
      <c r="CM349">
        <v>0</v>
      </c>
      <c r="CN349">
        <v>0</v>
      </c>
      <c r="CO349">
        <v>0</v>
      </c>
      <c r="CP349">
        <v>0</v>
      </c>
      <c r="CQ349">
        <v>0</v>
      </c>
      <c r="CR349">
        <v>0</v>
      </c>
      <c r="CS349">
        <v>0</v>
      </c>
      <c r="CT349">
        <v>0</v>
      </c>
      <c r="CU349">
        <v>0</v>
      </c>
      <c r="CV349">
        <v>0</v>
      </c>
      <c r="CW349">
        <v>0</v>
      </c>
      <c r="CX349">
        <v>0</v>
      </c>
      <c r="CY349">
        <v>0</v>
      </c>
      <c r="CZ349">
        <v>0</v>
      </c>
      <c r="DA349">
        <v>0</v>
      </c>
      <c r="DB349">
        <v>0</v>
      </c>
      <c r="DC349">
        <v>0</v>
      </c>
      <c r="DD349">
        <v>0</v>
      </c>
      <c r="DE349">
        <v>0</v>
      </c>
      <c r="DF349">
        <v>0</v>
      </c>
      <c r="DG349">
        <v>0</v>
      </c>
      <c r="DH349">
        <v>0</v>
      </c>
      <c r="DI349">
        <v>0</v>
      </c>
      <c r="DJ349">
        <v>0</v>
      </c>
      <c r="DK349">
        <v>0</v>
      </c>
      <c r="DL349">
        <v>0</v>
      </c>
      <c r="DM349">
        <v>0</v>
      </c>
      <c r="DN349">
        <v>0</v>
      </c>
      <c r="DO349">
        <v>0</v>
      </c>
      <c r="DP349">
        <v>0</v>
      </c>
      <c r="DQ349">
        <v>0</v>
      </c>
      <c r="DR349">
        <v>0</v>
      </c>
      <c r="DS349">
        <v>0</v>
      </c>
      <c r="DT349">
        <v>0</v>
      </c>
      <c r="DU349">
        <v>0</v>
      </c>
      <c r="DV349">
        <v>0</v>
      </c>
      <c r="DW349">
        <v>0</v>
      </c>
      <c r="DX349">
        <v>0</v>
      </c>
      <c r="DY349">
        <v>0</v>
      </c>
      <c r="DZ349">
        <v>0</v>
      </c>
      <c r="EA349">
        <v>0</v>
      </c>
      <c r="EB349">
        <v>0</v>
      </c>
      <c r="EC349">
        <v>0</v>
      </c>
      <c r="ED349">
        <v>0</v>
      </c>
      <c r="EE349">
        <v>0</v>
      </c>
      <c r="EF349">
        <v>0</v>
      </c>
      <c r="EG349">
        <v>0</v>
      </c>
      <c r="EH349">
        <v>0</v>
      </c>
      <c r="EI349">
        <v>0</v>
      </c>
      <c r="EJ349">
        <v>0</v>
      </c>
      <c r="EK349">
        <v>0</v>
      </c>
      <c r="EL349">
        <v>0</v>
      </c>
      <c r="EM349">
        <v>0</v>
      </c>
      <c r="EN349">
        <v>0</v>
      </c>
      <c r="EO349">
        <v>0</v>
      </c>
      <c r="EP349">
        <v>0</v>
      </c>
      <c r="EQ349">
        <v>0</v>
      </c>
      <c r="ER349">
        <v>0</v>
      </c>
      <c r="ES349">
        <v>0</v>
      </c>
      <c r="ET349">
        <v>0</v>
      </c>
      <c r="EU349">
        <v>0</v>
      </c>
      <c r="EV349">
        <v>0</v>
      </c>
      <c r="EW349">
        <v>0</v>
      </c>
      <c r="EX349">
        <v>0</v>
      </c>
      <c r="EY349">
        <v>0</v>
      </c>
      <c r="EZ349">
        <v>0</v>
      </c>
      <c r="FA349">
        <v>0</v>
      </c>
      <c r="FB349">
        <v>0</v>
      </c>
      <c r="FC349">
        <v>0</v>
      </c>
      <c r="FD349">
        <v>0</v>
      </c>
      <c r="FE349">
        <v>0</v>
      </c>
      <c r="FF349">
        <v>0</v>
      </c>
      <c r="FG349">
        <v>0</v>
      </c>
      <c r="FH349">
        <v>0</v>
      </c>
      <c r="FI349">
        <v>0</v>
      </c>
      <c r="FJ349">
        <v>0</v>
      </c>
      <c r="FK349">
        <v>0</v>
      </c>
      <c r="FL349">
        <v>0</v>
      </c>
      <c r="FM349">
        <v>0</v>
      </c>
      <c r="FN349">
        <v>0</v>
      </c>
      <c r="FO349">
        <v>0</v>
      </c>
      <c r="FP349">
        <v>0</v>
      </c>
      <c r="FQ349">
        <v>0</v>
      </c>
      <c r="FR349">
        <v>0</v>
      </c>
      <c r="FS349">
        <v>0</v>
      </c>
      <c r="FT349">
        <v>0</v>
      </c>
      <c r="FU349">
        <v>0</v>
      </c>
      <c r="FV349">
        <v>0</v>
      </c>
      <c r="FW349">
        <v>0</v>
      </c>
      <c r="FX349">
        <v>0</v>
      </c>
      <c r="FY349">
        <v>0</v>
      </c>
      <c r="FZ349">
        <v>0</v>
      </c>
      <c r="GA349">
        <v>0</v>
      </c>
      <c r="GB349">
        <v>0</v>
      </c>
      <c r="GC349">
        <v>0</v>
      </c>
      <c r="GD349">
        <v>0</v>
      </c>
      <c r="GE349">
        <v>0</v>
      </c>
      <c r="GF349">
        <v>0</v>
      </c>
      <c r="GG349">
        <v>0</v>
      </c>
      <c r="GH349">
        <v>0</v>
      </c>
      <c r="GI349">
        <v>0</v>
      </c>
      <c r="GJ349">
        <v>0</v>
      </c>
      <c r="GK349">
        <v>0</v>
      </c>
      <c r="GL349">
        <v>0</v>
      </c>
      <c r="GM349">
        <v>0</v>
      </c>
      <c r="GN349">
        <v>0</v>
      </c>
      <c r="GO349">
        <v>0</v>
      </c>
      <c r="GP349">
        <v>0</v>
      </c>
      <c r="GQ349">
        <v>0</v>
      </c>
      <c r="GR349">
        <v>0</v>
      </c>
      <c r="GS349">
        <v>0</v>
      </c>
      <c r="GT349">
        <v>0</v>
      </c>
      <c r="GU349">
        <v>0</v>
      </c>
      <c r="GV349">
        <v>0</v>
      </c>
      <c r="GW349">
        <v>0</v>
      </c>
      <c r="GX349">
        <v>0</v>
      </c>
      <c r="GY349">
        <v>0</v>
      </c>
      <c r="GZ349">
        <v>0</v>
      </c>
      <c r="HA349">
        <v>0</v>
      </c>
      <c r="HB349">
        <v>0</v>
      </c>
      <c r="HC349">
        <v>0</v>
      </c>
      <c r="HD349">
        <v>0</v>
      </c>
      <c r="HE349">
        <v>0</v>
      </c>
      <c r="HF349">
        <v>0</v>
      </c>
      <c r="HG349">
        <v>0</v>
      </c>
      <c r="HH349">
        <v>0</v>
      </c>
      <c r="HI349">
        <v>0</v>
      </c>
      <c r="HJ349">
        <v>0</v>
      </c>
      <c r="HK349">
        <v>0</v>
      </c>
      <c r="HL349">
        <v>0</v>
      </c>
      <c r="HM349">
        <v>0</v>
      </c>
      <c r="HN349">
        <v>0</v>
      </c>
      <c r="HO349">
        <v>0</v>
      </c>
      <c r="HP349">
        <v>0</v>
      </c>
      <c r="HQ349">
        <v>0</v>
      </c>
      <c r="HR349">
        <v>0</v>
      </c>
      <c r="HS349">
        <v>0</v>
      </c>
      <c r="HT349">
        <v>0</v>
      </c>
      <c r="HU349">
        <v>0</v>
      </c>
      <c r="HV349">
        <v>0</v>
      </c>
      <c r="HW349">
        <v>0</v>
      </c>
      <c r="HX349">
        <v>0</v>
      </c>
      <c r="HY349">
        <v>0</v>
      </c>
      <c r="HZ349">
        <v>0</v>
      </c>
      <c r="IA349">
        <v>0</v>
      </c>
      <c r="IB349">
        <v>0</v>
      </c>
      <c r="IC349">
        <v>0</v>
      </c>
      <c r="ID349">
        <v>0</v>
      </c>
      <c r="IE349">
        <v>0</v>
      </c>
      <c r="IF349">
        <v>0</v>
      </c>
      <c r="IG349">
        <v>0</v>
      </c>
      <c r="IH349">
        <v>0</v>
      </c>
      <c r="II349">
        <v>0</v>
      </c>
      <c r="IJ349">
        <v>0</v>
      </c>
      <c r="IK349">
        <v>0</v>
      </c>
      <c r="IL349">
        <v>0</v>
      </c>
      <c r="IM349">
        <v>0</v>
      </c>
      <c r="IN349">
        <v>0</v>
      </c>
      <c r="IO349">
        <v>0</v>
      </c>
      <c r="IP349">
        <v>0</v>
      </c>
      <c r="IQ349">
        <v>0</v>
      </c>
      <c r="IR349">
        <v>0</v>
      </c>
      <c r="IS349">
        <v>0</v>
      </c>
      <c r="IT349">
        <v>0</v>
      </c>
      <c r="IU349">
        <v>0</v>
      </c>
      <c r="IV349">
        <v>0</v>
      </c>
      <c r="IW349">
        <v>0</v>
      </c>
      <c r="IX349">
        <v>0</v>
      </c>
      <c r="IY349">
        <v>0</v>
      </c>
      <c r="IZ349">
        <v>0</v>
      </c>
      <c r="JA349">
        <v>0</v>
      </c>
      <c r="JB349">
        <v>0</v>
      </c>
      <c r="JC349">
        <v>0</v>
      </c>
      <c r="JD349">
        <v>0</v>
      </c>
      <c r="JE349">
        <v>0</v>
      </c>
      <c r="JF349">
        <v>0</v>
      </c>
      <c r="JG349">
        <v>0</v>
      </c>
      <c r="JH349">
        <v>0</v>
      </c>
      <c r="JI349">
        <v>0</v>
      </c>
      <c r="JJ349">
        <v>0</v>
      </c>
      <c r="JK349">
        <v>0</v>
      </c>
      <c r="JL349">
        <v>0</v>
      </c>
      <c r="JM349">
        <v>0</v>
      </c>
      <c r="JN349">
        <v>0</v>
      </c>
      <c r="JO349">
        <v>0</v>
      </c>
      <c r="JP349">
        <v>0</v>
      </c>
      <c r="JQ349">
        <v>0</v>
      </c>
      <c r="JR349">
        <v>0</v>
      </c>
      <c r="JS349">
        <v>0</v>
      </c>
      <c r="JT349">
        <v>0</v>
      </c>
      <c r="JU349">
        <v>0</v>
      </c>
      <c r="JV349">
        <v>0</v>
      </c>
      <c r="JW349">
        <v>0</v>
      </c>
      <c r="JX349">
        <v>0</v>
      </c>
      <c r="JY349">
        <v>0</v>
      </c>
      <c r="JZ349">
        <v>0</v>
      </c>
      <c r="KA349">
        <v>0</v>
      </c>
      <c r="KB349">
        <v>0</v>
      </c>
      <c r="KC349">
        <v>0</v>
      </c>
      <c r="KD349">
        <v>0</v>
      </c>
      <c r="KE349">
        <v>0</v>
      </c>
      <c r="KF349">
        <v>0</v>
      </c>
      <c r="KG349">
        <v>0</v>
      </c>
      <c r="KH349">
        <v>0</v>
      </c>
      <c r="KI349">
        <v>0</v>
      </c>
      <c r="KJ349">
        <v>0</v>
      </c>
      <c r="KK349">
        <v>0</v>
      </c>
      <c r="KL349">
        <v>0</v>
      </c>
      <c r="KM349">
        <v>0</v>
      </c>
      <c r="KN349">
        <v>0</v>
      </c>
      <c r="KO349">
        <v>0</v>
      </c>
      <c r="KP349">
        <v>0</v>
      </c>
      <c r="KQ349">
        <v>0</v>
      </c>
      <c r="KR349">
        <v>0</v>
      </c>
      <c r="KS349">
        <v>0</v>
      </c>
      <c r="KT349">
        <v>0</v>
      </c>
      <c r="KU349">
        <v>0</v>
      </c>
      <c r="KV349">
        <v>0</v>
      </c>
      <c r="KW349">
        <v>0</v>
      </c>
      <c r="KX349">
        <v>0</v>
      </c>
      <c r="KY349">
        <v>0</v>
      </c>
      <c r="KZ349">
        <v>0</v>
      </c>
      <c r="LA349">
        <v>0</v>
      </c>
      <c r="LB349">
        <v>0</v>
      </c>
      <c r="LC349">
        <v>0</v>
      </c>
      <c r="LD349">
        <v>0</v>
      </c>
      <c r="LE349">
        <v>0</v>
      </c>
      <c r="LF349">
        <v>0</v>
      </c>
      <c r="LG349">
        <v>0</v>
      </c>
      <c r="LH349">
        <v>0</v>
      </c>
      <c r="LI349">
        <v>0</v>
      </c>
      <c r="LJ349">
        <v>0</v>
      </c>
      <c r="LK349">
        <v>0</v>
      </c>
      <c r="LL349">
        <v>0</v>
      </c>
      <c r="LM349">
        <v>0</v>
      </c>
      <c r="LN349">
        <v>0</v>
      </c>
      <c r="LO349">
        <v>0</v>
      </c>
      <c r="LP349">
        <v>0</v>
      </c>
      <c r="LQ349">
        <v>0</v>
      </c>
      <c r="LR349">
        <v>0</v>
      </c>
      <c r="LS349">
        <v>0</v>
      </c>
      <c r="LT349">
        <v>0</v>
      </c>
      <c r="LU349">
        <v>0</v>
      </c>
      <c r="LV349">
        <v>0</v>
      </c>
      <c r="LW349">
        <v>0</v>
      </c>
      <c r="LX349">
        <v>0</v>
      </c>
      <c r="LY349">
        <v>0</v>
      </c>
      <c r="LZ349">
        <v>0</v>
      </c>
      <c r="MA349">
        <v>0</v>
      </c>
      <c r="MB349">
        <v>0</v>
      </c>
      <c r="MC349">
        <v>0</v>
      </c>
      <c r="MD349">
        <v>0</v>
      </c>
      <c r="ME349">
        <v>0</v>
      </c>
      <c r="MF349">
        <v>0</v>
      </c>
      <c r="MG349">
        <v>0</v>
      </c>
      <c r="MH349">
        <v>0</v>
      </c>
      <c r="MI349">
        <v>0</v>
      </c>
      <c r="MJ349">
        <v>0</v>
      </c>
      <c r="MK349">
        <v>0</v>
      </c>
      <c r="ML349">
        <v>0</v>
      </c>
      <c r="MM349">
        <v>0</v>
      </c>
      <c r="MN349">
        <v>0</v>
      </c>
      <c r="MO349">
        <v>0</v>
      </c>
      <c r="MP349">
        <v>0</v>
      </c>
      <c r="MQ349">
        <v>0</v>
      </c>
      <c r="MR349">
        <v>0</v>
      </c>
      <c r="MS349">
        <v>0</v>
      </c>
      <c r="MT349">
        <v>0</v>
      </c>
      <c r="MU349">
        <v>0</v>
      </c>
      <c r="MV349">
        <v>0</v>
      </c>
      <c r="MW349">
        <v>0</v>
      </c>
      <c r="MX349">
        <v>0</v>
      </c>
      <c r="MY349">
        <v>0</v>
      </c>
      <c r="MZ349">
        <v>0</v>
      </c>
      <c r="NA349">
        <v>0</v>
      </c>
      <c r="NB349">
        <v>0</v>
      </c>
      <c r="NC349">
        <v>0</v>
      </c>
      <c r="ND349">
        <v>0</v>
      </c>
      <c r="NE349">
        <v>0</v>
      </c>
    </row>
    <row r="350" spans="41:369" x14ac:dyDescent="0.45">
      <c r="AO350">
        <v>0</v>
      </c>
      <c r="AP350">
        <v>0</v>
      </c>
      <c r="AQ350">
        <v>0</v>
      </c>
      <c r="AR350">
        <v>0</v>
      </c>
      <c r="AS350">
        <v>0</v>
      </c>
      <c r="AT350">
        <v>0</v>
      </c>
      <c r="AU350">
        <v>0</v>
      </c>
      <c r="AV350">
        <v>0</v>
      </c>
      <c r="AW350" t="str">
        <v/>
      </c>
      <c r="AX350">
        <v>255</v>
      </c>
      <c r="AY350" s="5" t="str">
        <v/>
      </c>
      <c r="AZ350">
        <v>0</v>
      </c>
      <c r="BA350">
        <v>0</v>
      </c>
      <c r="BB350">
        <v>0</v>
      </c>
      <c r="BC350">
        <v>0</v>
      </c>
      <c r="BD350">
        <v>0</v>
      </c>
      <c r="BE350">
        <v>0</v>
      </c>
      <c r="BF350">
        <v>0</v>
      </c>
      <c r="BG350">
        <v>0</v>
      </c>
      <c r="BH350">
        <v>0</v>
      </c>
      <c r="BI350" t="str">
        <v/>
      </c>
      <c r="BK350">
        <v>344</v>
      </c>
      <c r="BL350">
        <v>0</v>
      </c>
      <c r="BM350">
        <v>0</v>
      </c>
      <c r="BN350">
        <v>0</v>
      </c>
      <c r="BO350">
        <v>0</v>
      </c>
      <c r="BP350">
        <v>0</v>
      </c>
      <c r="BQ350">
        <v>0</v>
      </c>
      <c r="BR350">
        <v>0</v>
      </c>
      <c r="BS350">
        <v>0</v>
      </c>
      <c r="BT350">
        <v>0</v>
      </c>
      <c r="BU350">
        <v>0</v>
      </c>
      <c r="BV350">
        <v>0</v>
      </c>
      <c r="BW350">
        <v>0</v>
      </c>
      <c r="BX350">
        <v>0</v>
      </c>
      <c r="BY350">
        <v>0</v>
      </c>
      <c r="BZ350">
        <v>0</v>
      </c>
      <c r="CA350">
        <v>0</v>
      </c>
      <c r="CB350">
        <v>0</v>
      </c>
      <c r="CC350">
        <v>0</v>
      </c>
      <c r="CD350">
        <v>0</v>
      </c>
      <c r="CE350">
        <v>0</v>
      </c>
      <c r="CF350">
        <v>0</v>
      </c>
      <c r="CG350">
        <v>0</v>
      </c>
      <c r="CH350">
        <v>0</v>
      </c>
      <c r="CI350">
        <v>0</v>
      </c>
      <c r="CJ350">
        <v>0</v>
      </c>
      <c r="CK350">
        <v>0</v>
      </c>
      <c r="CL350">
        <v>0</v>
      </c>
      <c r="CM350">
        <v>0</v>
      </c>
      <c r="CN350">
        <v>0</v>
      </c>
      <c r="CO350">
        <v>0</v>
      </c>
      <c r="CP350">
        <v>0</v>
      </c>
      <c r="CQ350">
        <v>0</v>
      </c>
      <c r="CR350">
        <v>0</v>
      </c>
      <c r="CS350">
        <v>0</v>
      </c>
      <c r="CT350">
        <v>0</v>
      </c>
      <c r="CU350">
        <v>0</v>
      </c>
      <c r="CV350">
        <v>0</v>
      </c>
      <c r="CW350">
        <v>0</v>
      </c>
      <c r="CX350">
        <v>0</v>
      </c>
      <c r="CY350">
        <v>0</v>
      </c>
      <c r="CZ350">
        <v>0</v>
      </c>
      <c r="DA350">
        <v>0</v>
      </c>
      <c r="DB350">
        <v>0</v>
      </c>
      <c r="DC350">
        <v>0</v>
      </c>
      <c r="DD350">
        <v>0</v>
      </c>
      <c r="DE350">
        <v>0</v>
      </c>
      <c r="DF350">
        <v>0</v>
      </c>
      <c r="DG350">
        <v>0</v>
      </c>
      <c r="DH350">
        <v>0</v>
      </c>
      <c r="DI350">
        <v>0</v>
      </c>
      <c r="DJ350">
        <v>0</v>
      </c>
      <c r="DK350">
        <v>0</v>
      </c>
      <c r="DL350">
        <v>0</v>
      </c>
      <c r="DM350">
        <v>0</v>
      </c>
      <c r="DN350">
        <v>0</v>
      </c>
      <c r="DO350">
        <v>0</v>
      </c>
      <c r="DP350">
        <v>0</v>
      </c>
      <c r="DQ350">
        <v>0</v>
      </c>
      <c r="DR350">
        <v>0</v>
      </c>
      <c r="DS350">
        <v>0</v>
      </c>
      <c r="DT350">
        <v>0</v>
      </c>
      <c r="DU350">
        <v>0</v>
      </c>
      <c r="DV350">
        <v>0</v>
      </c>
      <c r="DW350">
        <v>0</v>
      </c>
      <c r="DX350">
        <v>0</v>
      </c>
      <c r="DY350">
        <v>0</v>
      </c>
      <c r="DZ350">
        <v>0</v>
      </c>
      <c r="EA350">
        <v>0</v>
      </c>
      <c r="EB350">
        <v>0</v>
      </c>
      <c r="EC350">
        <v>0</v>
      </c>
      <c r="ED350">
        <v>0</v>
      </c>
      <c r="EE350">
        <v>0</v>
      </c>
      <c r="EF350">
        <v>0</v>
      </c>
      <c r="EG350">
        <v>0</v>
      </c>
      <c r="EH350">
        <v>0</v>
      </c>
      <c r="EI350">
        <v>0</v>
      </c>
      <c r="EJ350">
        <v>0</v>
      </c>
      <c r="EK350">
        <v>0</v>
      </c>
      <c r="EL350">
        <v>0</v>
      </c>
      <c r="EM350">
        <v>0</v>
      </c>
      <c r="EN350">
        <v>0</v>
      </c>
      <c r="EO350">
        <v>0</v>
      </c>
      <c r="EP350">
        <v>0</v>
      </c>
      <c r="EQ350">
        <v>0</v>
      </c>
      <c r="ER350">
        <v>0</v>
      </c>
      <c r="ES350">
        <v>0</v>
      </c>
      <c r="ET350">
        <v>0</v>
      </c>
      <c r="EU350">
        <v>0</v>
      </c>
      <c r="EV350">
        <v>0</v>
      </c>
      <c r="EW350">
        <v>0</v>
      </c>
      <c r="EX350">
        <v>0</v>
      </c>
      <c r="EY350">
        <v>0</v>
      </c>
      <c r="EZ350">
        <v>0</v>
      </c>
      <c r="FA350">
        <v>0</v>
      </c>
      <c r="FB350">
        <v>0</v>
      </c>
      <c r="FC350">
        <v>0</v>
      </c>
      <c r="FD350">
        <v>0</v>
      </c>
      <c r="FE350">
        <v>0</v>
      </c>
      <c r="FF350">
        <v>0</v>
      </c>
      <c r="FG350">
        <v>0</v>
      </c>
      <c r="FH350">
        <v>0</v>
      </c>
      <c r="FI350">
        <v>0</v>
      </c>
      <c r="FJ350">
        <v>0</v>
      </c>
      <c r="FK350">
        <v>0</v>
      </c>
      <c r="FL350">
        <v>0</v>
      </c>
      <c r="FM350">
        <v>0</v>
      </c>
      <c r="FN350">
        <v>0</v>
      </c>
      <c r="FO350">
        <v>0</v>
      </c>
      <c r="FP350">
        <v>0</v>
      </c>
      <c r="FQ350">
        <v>0</v>
      </c>
      <c r="FR350">
        <v>0</v>
      </c>
      <c r="FS350">
        <v>0</v>
      </c>
      <c r="FT350">
        <v>0</v>
      </c>
      <c r="FU350">
        <v>0</v>
      </c>
      <c r="FV350">
        <v>0</v>
      </c>
      <c r="FW350">
        <v>0</v>
      </c>
      <c r="FX350">
        <v>0</v>
      </c>
      <c r="FY350">
        <v>0</v>
      </c>
      <c r="FZ350">
        <v>0</v>
      </c>
      <c r="GA350">
        <v>0</v>
      </c>
      <c r="GB350">
        <v>0</v>
      </c>
      <c r="GC350">
        <v>0</v>
      </c>
      <c r="GD350">
        <v>0</v>
      </c>
      <c r="GE350">
        <v>0</v>
      </c>
      <c r="GF350">
        <v>0</v>
      </c>
      <c r="GG350">
        <v>0</v>
      </c>
      <c r="GH350">
        <v>0</v>
      </c>
      <c r="GI350">
        <v>0</v>
      </c>
      <c r="GJ350">
        <v>0</v>
      </c>
      <c r="GK350">
        <v>0</v>
      </c>
      <c r="GL350">
        <v>0</v>
      </c>
      <c r="GM350">
        <v>0</v>
      </c>
      <c r="GN350">
        <v>0</v>
      </c>
      <c r="GO350">
        <v>0</v>
      </c>
      <c r="GP350">
        <v>0</v>
      </c>
      <c r="GQ350">
        <v>0</v>
      </c>
      <c r="GR350">
        <v>0</v>
      </c>
      <c r="GS350">
        <v>0</v>
      </c>
      <c r="GT350">
        <v>0</v>
      </c>
      <c r="GU350">
        <v>0</v>
      </c>
      <c r="GV350">
        <v>0</v>
      </c>
      <c r="GW350">
        <v>0</v>
      </c>
      <c r="GX350">
        <v>0</v>
      </c>
      <c r="GY350">
        <v>0</v>
      </c>
      <c r="GZ350">
        <v>0</v>
      </c>
      <c r="HA350">
        <v>0</v>
      </c>
      <c r="HB350">
        <v>0</v>
      </c>
      <c r="HC350">
        <v>0</v>
      </c>
      <c r="HD350">
        <v>0</v>
      </c>
      <c r="HE350">
        <v>0</v>
      </c>
      <c r="HF350">
        <v>0</v>
      </c>
      <c r="HG350">
        <v>0</v>
      </c>
      <c r="HH350">
        <v>0</v>
      </c>
      <c r="HI350">
        <v>0</v>
      </c>
      <c r="HJ350">
        <v>0</v>
      </c>
      <c r="HK350">
        <v>0</v>
      </c>
      <c r="HL350">
        <v>0</v>
      </c>
      <c r="HM350">
        <v>0</v>
      </c>
      <c r="HN350">
        <v>0</v>
      </c>
      <c r="HO350">
        <v>0</v>
      </c>
      <c r="HP350">
        <v>0</v>
      </c>
      <c r="HQ350">
        <v>0</v>
      </c>
      <c r="HR350">
        <v>0</v>
      </c>
      <c r="HS350">
        <v>0</v>
      </c>
      <c r="HT350">
        <v>0</v>
      </c>
      <c r="HU350">
        <v>0</v>
      </c>
      <c r="HV350">
        <v>0</v>
      </c>
      <c r="HW350">
        <v>0</v>
      </c>
      <c r="HX350">
        <v>0</v>
      </c>
      <c r="HY350">
        <v>0</v>
      </c>
      <c r="HZ350">
        <v>0</v>
      </c>
      <c r="IA350">
        <v>0</v>
      </c>
      <c r="IB350">
        <v>0</v>
      </c>
      <c r="IC350">
        <v>0</v>
      </c>
      <c r="ID350">
        <v>0</v>
      </c>
      <c r="IE350">
        <v>0</v>
      </c>
      <c r="IF350">
        <v>0</v>
      </c>
      <c r="IG350">
        <v>0</v>
      </c>
      <c r="IH350">
        <v>0</v>
      </c>
      <c r="II350">
        <v>0</v>
      </c>
      <c r="IJ350">
        <v>0</v>
      </c>
      <c r="IK350">
        <v>0</v>
      </c>
      <c r="IL350">
        <v>0</v>
      </c>
      <c r="IM350">
        <v>0</v>
      </c>
      <c r="IN350">
        <v>0</v>
      </c>
      <c r="IO350">
        <v>0</v>
      </c>
      <c r="IP350">
        <v>0</v>
      </c>
      <c r="IQ350">
        <v>0</v>
      </c>
      <c r="IR350">
        <v>0</v>
      </c>
      <c r="IS350">
        <v>0</v>
      </c>
      <c r="IT350">
        <v>0</v>
      </c>
      <c r="IU350">
        <v>0</v>
      </c>
      <c r="IV350">
        <v>0</v>
      </c>
      <c r="IW350">
        <v>0</v>
      </c>
      <c r="IX350">
        <v>0</v>
      </c>
      <c r="IY350">
        <v>0</v>
      </c>
      <c r="IZ350">
        <v>0</v>
      </c>
      <c r="JA350">
        <v>0</v>
      </c>
      <c r="JB350">
        <v>0</v>
      </c>
      <c r="JC350">
        <v>0</v>
      </c>
      <c r="JD350">
        <v>0</v>
      </c>
      <c r="JE350">
        <v>0</v>
      </c>
      <c r="JF350">
        <v>0</v>
      </c>
      <c r="JG350">
        <v>0</v>
      </c>
      <c r="JH350">
        <v>0</v>
      </c>
      <c r="JI350">
        <v>0</v>
      </c>
      <c r="JJ350">
        <v>0</v>
      </c>
      <c r="JK350">
        <v>0</v>
      </c>
      <c r="JL350">
        <v>0</v>
      </c>
      <c r="JM350">
        <v>0</v>
      </c>
      <c r="JN350">
        <v>0</v>
      </c>
      <c r="JO350">
        <v>0</v>
      </c>
      <c r="JP350">
        <v>0</v>
      </c>
      <c r="JQ350">
        <v>0</v>
      </c>
      <c r="JR350">
        <v>0</v>
      </c>
      <c r="JS350">
        <v>0</v>
      </c>
      <c r="JT350">
        <v>0</v>
      </c>
      <c r="JU350">
        <v>0</v>
      </c>
      <c r="JV350">
        <v>0</v>
      </c>
      <c r="JW350">
        <v>0</v>
      </c>
      <c r="JX350">
        <v>0</v>
      </c>
      <c r="JY350">
        <v>0</v>
      </c>
      <c r="JZ350">
        <v>0</v>
      </c>
      <c r="KA350">
        <v>0</v>
      </c>
      <c r="KB350">
        <v>0</v>
      </c>
      <c r="KC350">
        <v>0</v>
      </c>
      <c r="KD350">
        <v>0</v>
      </c>
      <c r="KE350">
        <v>0</v>
      </c>
      <c r="KF350">
        <v>0</v>
      </c>
      <c r="KG350">
        <v>0</v>
      </c>
      <c r="KH350">
        <v>0</v>
      </c>
      <c r="KI350">
        <v>0</v>
      </c>
      <c r="KJ350">
        <v>0</v>
      </c>
      <c r="KK350">
        <v>0</v>
      </c>
      <c r="KL350">
        <v>0</v>
      </c>
      <c r="KM350">
        <v>0</v>
      </c>
      <c r="KN350">
        <v>0</v>
      </c>
      <c r="KO350">
        <v>0</v>
      </c>
      <c r="KP350">
        <v>0</v>
      </c>
      <c r="KQ350">
        <v>0</v>
      </c>
      <c r="KR350">
        <v>0</v>
      </c>
      <c r="KS350">
        <v>0</v>
      </c>
      <c r="KT350">
        <v>0</v>
      </c>
      <c r="KU350">
        <v>0</v>
      </c>
      <c r="KV350">
        <v>0</v>
      </c>
      <c r="KW350">
        <v>0</v>
      </c>
      <c r="KX350">
        <v>0</v>
      </c>
      <c r="KY350">
        <v>0</v>
      </c>
      <c r="KZ350">
        <v>0</v>
      </c>
      <c r="LA350">
        <v>0</v>
      </c>
      <c r="LB350">
        <v>0</v>
      </c>
      <c r="LC350">
        <v>0</v>
      </c>
      <c r="LD350">
        <v>0</v>
      </c>
      <c r="LE350">
        <v>0</v>
      </c>
      <c r="LF350">
        <v>0</v>
      </c>
      <c r="LG350">
        <v>0</v>
      </c>
      <c r="LH350">
        <v>0</v>
      </c>
      <c r="LI350">
        <v>0</v>
      </c>
      <c r="LJ350">
        <v>0</v>
      </c>
      <c r="LK350">
        <v>0</v>
      </c>
      <c r="LL350">
        <v>0</v>
      </c>
      <c r="LM350">
        <v>0</v>
      </c>
      <c r="LN350">
        <v>0</v>
      </c>
      <c r="LO350">
        <v>0</v>
      </c>
      <c r="LP350">
        <v>0</v>
      </c>
      <c r="LQ350">
        <v>0</v>
      </c>
      <c r="LR350">
        <v>0</v>
      </c>
      <c r="LS350">
        <v>0</v>
      </c>
      <c r="LT350">
        <v>0</v>
      </c>
      <c r="LU350">
        <v>0</v>
      </c>
      <c r="LV350">
        <v>0</v>
      </c>
      <c r="LW350">
        <v>0</v>
      </c>
      <c r="LX350">
        <v>0</v>
      </c>
      <c r="LY350">
        <v>0</v>
      </c>
      <c r="LZ350">
        <v>0</v>
      </c>
      <c r="MA350">
        <v>0</v>
      </c>
      <c r="MB350">
        <v>0</v>
      </c>
      <c r="MC350">
        <v>0</v>
      </c>
      <c r="MD350">
        <v>0</v>
      </c>
      <c r="ME350">
        <v>0</v>
      </c>
      <c r="MF350">
        <v>0</v>
      </c>
      <c r="MG350">
        <v>0</v>
      </c>
      <c r="MH350">
        <v>0</v>
      </c>
      <c r="MI350">
        <v>0</v>
      </c>
      <c r="MJ350">
        <v>0</v>
      </c>
      <c r="MK350">
        <v>0</v>
      </c>
      <c r="ML350">
        <v>0</v>
      </c>
      <c r="MM350">
        <v>0</v>
      </c>
      <c r="MN350">
        <v>0</v>
      </c>
      <c r="MO350">
        <v>0</v>
      </c>
      <c r="MP350">
        <v>0</v>
      </c>
      <c r="MQ350">
        <v>0</v>
      </c>
      <c r="MR350">
        <v>0</v>
      </c>
      <c r="MS350">
        <v>0</v>
      </c>
      <c r="MT350">
        <v>0</v>
      </c>
      <c r="MU350">
        <v>0</v>
      </c>
      <c r="MV350">
        <v>0</v>
      </c>
      <c r="MW350">
        <v>0</v>
      </c>
      <c r="MX350">
        <v>0</v>
      </c>
      <c r="MY350">
        <v>0</v>
      </c>
      <c r="MZ350">
        <v>0</v>
      </c>
      <c r="NA350">
        <v>0</v>
      </c>
      <c r="NB350">
        <v>0</v>
      </c>
      <c r="NC350">
        <v>0</v>
      </c>
      <c r="ND350">
        <v>0</v>
      </c>
      <c r="NE350">
        <v>0</v>
      </c>
    </row>
    <row r="351" spans="41:369" x14ac:dyDescent="0.45">
      <c r="AO351">
        <v>0</v>
      </c>
      <c r="AP351">
        <v>0</v>
      </c>
      <c r="AQ351">
        <v>0</v>
      </c>
      <c r="AR351">
        <v>0</v>
      </c>
      <c r="AS351">
        <v>0</v>
      </c>
      <c r="AT351">
        <v>0</v>
      </c>
      <c r="AU351">
        <v>0</v>
      </c>
      <c r="AV351">
        <v>0</v>
      </c>
      <c r="AW351" t="str">
        <v/>
      </c>
      <c r="AX351">
        <v>255</v>
      </c>
      <c r="AY351" s="5" t="str">
        <v/>
      </c>
      <c r="AZ351">
        <v>0</v>
      </c>
      <c r="BA351">
        <v>0</v>
      </c>
      <c r="BB351">
        <v>0</v>
      </c>
      <c r="BC351">
        <v>0</v>
      </c>
      <c r="BD351">
        <v>0</v>
      </c>
      <c r="BE351">
        <v>0</v>
      </c>
      <c r="BF351">
        <v>0</v>
      </c>
      <c r="BG351">
        <v>0</v>
      </c>
      <c r="BH351">
        <v>0</v>
      </c>
      <c r="BI351" t="str">
        <v/>
      </c>
      <c r="BK351">
        <v>345</v>
      </c>
      <c r="BL351">
        <v>0</v>
      </c>
      <c r="BM351">
        <v>0</v>
      </c>
      <c r="BN351">
        <v>0</v>
      </c>
      <c r="BO351">
        <v>0</v>
      </c>
      <c r="BP351">
        <v>0</v>
      </c>
      <c r="BQ351">
        <v>0</v>
      </c>
      <c r="BR351">
        <v>0</v>
      </c>
      <c r="BS351">
        <v>0</v>
      </c>
      <c r="BT351">
        <v>0</v>
      </c>
      <c r="BU351">
        <v>0</v>
      </c>
      <c r="BV351">
        <v>0</v>
      </c>
      <c r="BW351">
        <v>0</v>
      </c>
      <c r="BX351">
        <v>0</v>
      </c>
      <c r="BY351">
        <v>0</v>
      </c>
      <c r="BZ351">
        <v>0</v>
      </c>
      <c r="CA351">
        <v>0</v>
      </c>
      <c r="CB351">
        <v>0</v>
      </c>
      <c r="CC351">
        <v>0</v>
      </c>
      <c r="CD351">
        <v>0</v>
      </c>
      <c r="CE351">
        <v>0</v>
      </c>
      <c r="CF351">
        <v>0</v>
      </c>
      <c r="CG351">
        <v>0</v>
      </c>
      <c r="CH351">
        <v>0</v>
      </c>
      <c r="CI351">
        <v>0</v>
      </c>
      <c r="CJ351">
        <v>0</v>
      </c>
      <c r="CK351">
        <v>0</v>
      </c>
      <c r="CL351">
        <v>0</v>
      </c>
      <c r="CM351">
        <v>0</v>
      </c>
      <c r="CN351">
        <v>0</v>
      </c>
      <c r="CO351">
        <v>0</v>
      </c>
      <c r="CP351">
        <v>0</v>
      </c>
      <c r="CQ351">
        <v>0</v>
      </c>
      <c r="CR351">
        <v>0</v>
      </c>
      <c r="CS351">
        <v>0</v>
      </c>
      <c r="CT351">
        <v>0</v>
      </c>
      <c r="CU351">
        <v>0</v>
      </c>
      <c r="CV351">
        <v>0</v>
      </c>
      <c r="CW351">
        <v>0</v>
      </c>
      <c r="CX351">
        <v>0</v>
      </c>
      <c r="CY351">
        <v>0</v>
      </c>
      <c r="CZ351">
        <v>0</v>
      </c>
      <c r="DA351">
        <v>0</v>
      </c>
      <c r="DB351">
        <v>0</v>
      </c>
      <c r="DC351">
        <v>0</v>
      </c>
      <c r="DD351">
        <v>0</v>
      </c>
      <c r="DE351">
        <v>0</v>
      </c>
      <c r="DF351">
        <v>0</v>
      </c>
      <c r="DG351">
        <v>0</v>
      </c>
      <c r="DH351">
        <v>0</v>
      </c>
      <c r="DI351">
        <v>0</v>
      </c>
      <c r="DJ351">
        <v>0</v>
      </c>
      <c r="DK351">
        <v>0</v>
      </c>
      <c r="DL351">
        <v>0</v>
      </c>
      <c r="DM351">
        <v>0</v>
      </c>
      <c r="DN351">
        <v>0</v>
      </c>
      <c r="DO351">
        <v>0</v>
      </c>
      <c r="DP351">
        <v>0</v>
      </c>
      <c r="DQ351">
        <v>0</v>
      </c>
      <c r="DR351">
        <v>0</v>
      </c>
      <c r="DS351">
        <v>0</v>
      </c>
      <c r="DT351">
        <v>0</v>
      </c>
      <c r="DU351">
        <v>0</v>
      </c>
      <c r="DV351">
        <v>0</v>
      </c>
      <c r="DW351">
        <v>0</v>
      </c>
      <c r="DX351">
        <v>0</v>
      </c>
      <c r="DY351">
        <v>0</v>
      </c>
      <c r="DZ351">
        <v>0</v>
      </c>
      <c r="EA351">
        <v>0</v>
      </c>
      <c r="EB351">
        <v>0</v>
      </c>
      <c r="EC351">
        <v>0</v>
      </c>
      <c r="ED351">
        <v>0</v>
      </c>
      <c r="EE351">
        <v>0</v>
      </c>
      <c r="EF351">
        <v>0</v>
      </c>
      <c r="EG351">
        <v>0</v>
      </c>
      <c r="EH351">
        <v>0</v>
      </c>
      <c r="EI351">
        <v>0</v>
      </c>
      <c r="EJ351">
        <v>0</v>
      </c>
      <c r="EK351">
        <v>0</v>
      </c>
      <c r="EL351">
        <v>0</v>
      </c>
      <c r="EM351">
        <v>0</v>
      </c>
      <c r="EN351">
        <v>0</v>
      </c>
      <c r="EO351">
        <v>0</v>
      </c>
      <c r="EP351">
        <v>0</v>
      </c>
      <c r="EQ351">
        <v>0</v>
      </c>
      <c r="ER351">
        <v>0</v>
      </c>
      <c r="ES351">
        <v>0</v>
      </c>
      <c r="ET351">
        <v>0</v>
      </c>
      <c r="EU351">
        <v>0</v>
      </c>
      <c r="EV351">
        <v>0</v>
      </c>
      <c r="EW351">
        <v>0</v>
      </c>
      <c r="EX351">
        <v>0</v>
      </c>
      <c r="EY351">
        <v>0</v>
      </c>
      <c r="EZ351">
        <v>0</v>
      </c>
      <c r="FA351">
        <v>0</v>
      </c>
      <c r="FB351">
        <v>0</v>
      </c>
      <c r="FC351">
        <v>0</v>
      </c>
      <c r="FD351">
        <v>0</v>
      </c>
      <c r="FE351">
        <v>0</v>
      </c>
      <c r="FF351">
        <v>0</v>
      </c>
      <c r="FG351">
        <v>0</v>
      </c>
      <c r="FH351">
        <v>0</v>
      </c>
      <c r="FI351">
        <v>0</v>
      </c>
      <c r="FJ351">
        <v>0</v>
      </c>
      <c r="FK351">
        <v>0</v>
      </c>
      <c r="FL351">
        <v>0</v>
      </c>
      <c r="FM351">
        <v>0</v>
      </c>
      <c r="FN351">
        <v>0</v>
      </c>
      <c r="FO351">
        <v>0</v>
      </c>
      <c r="FP351">
        <v>0</v>
      </c>
      <c r="FQ351">
        <v>0</v>
      </c>
      <c r="FR351">
        <v>0</v>
      </c>
      <c r="FS351">
        <v>0</v>
      </c>
      <c r="FT351">
        <v>0</v>
      </c>
      <c r="FU351">
        <v>0</v>
      </c>
      <c r="FV351">
        <v>0</v>
      </c>
      <c r="FW351">
        <v>0</v>
      </c>
      <c r="FX351">
        <v>0</v>
      </c>
      <c r="FY351">
        <v>0</v>
      </c>
      <c r="FZ351">
        <v>0</v>
      </c>
      <c r="GA351">
        <v>0</v>
      </c>
      <c r="GB351">
        <v>0</v>
      </c>
      <c r="GC351">
        <v>0</v>
      </c>
      <c r="GD351">
        <v>0</v>
      </c>
      <c r="GE351">
        <v>0</v>
      </c>
      <c r="GF351">
        <v>0</v>
      </c>
      <c r="GG351">
        <v>0</v>
      </c>
      <c r="GH351">
        <v>0</v>
      </c>
      <c r="GI351">
        <v>0</v>
      </c>
      <c r="GJ351">
        <v>0</v>
      </c>
      <c r="GK351">
        <v>0</v>
      </c>
      <c r="GL351">
        <v>0</v>
      </c>
      <c r="GM351">
        <v>0</v>
      </c>
      <c r="GN351">
        <v>0</v>
      </c>
      <c r="GO351">
        <v>0</v>
      </c>
      <c r="GP351">
        <v>0</v>
      </c>
      <c r="GQ351">
        <v>0</v>
      </c>
      <c r="GR351">
        <v>0</v>
      </c>
      <c r="GS351">
        <v>0</v>
      </c>
      <c r="GT351">
        <v>0</v>
      </c>
      <c r="GU351">
        <v>0</v>
      </c>
      <c r="GV351">
        <v>0</v>
      </c>
      <c r="GW351">
        <v>0</v>
      </c>
      <c r="GX351">
        <v>0</v>
      </c>
      <c r="GY351">
        <v>0</v>
      </c>
      <c r="GZ351">
        <v>0</v>
      </c>
      <c r="HA351">
        <v>0</v>
      </c>
      <c r="HB351">
        <v>0</v>
      </c>
      <c r="HC351">
        <v>0</v>
      </c>
      <c r="HD351">
        <v>0</v>
      </c>
      <c r="HE351">
        <v>0</v>
      </c>
      <c r="HF351">
        <v>0</v>
      </c>
      <c r="HG351">
        <v>0</v>
      </c>
      <c r="HH351">
        <v>0</v>
      </c>
      <c r="HI351">
        <v>0</v>
      </c>
      <c r="HJ351">
        <v>0</v>
      </c>
      <c r="HK351">
        <v>0</v>
      </c>
      <c r="HL351">
        <v>0</v>
      </c>
      <c r="HM351">
        <v>0</v>
      </c>
      <c r="HN351">
        <v>0</v>
      </c>
      <c r="HO351">
        <v>0</v>
      </c>
      <c r="HP351">
        <v>0</v>
      </c>
      <c r="HQ351">
        <v>0</v>
      </c>
      <c r="HR351">
        <v>0</v>
      </c>
      <c r="HS351">
        <v>0</v>
      </c>
      <c r="HT351">
        <v>0</v>
      </c>
      <c r="HU351">
        <v>0</v>
      </c>
      <c r="HV351">
        <v>0</v>
      </c>
      <c r="HW351">
        <v>0</v>
      </c>
      <c r="HX351">
        <v>0</v>
      </c>
      <c r="HY351">
        <v>0</v>
      </c>
      <c r="HZ351">
        <v>0</v>
      </c>
      <c r="IA351">
        <v>0</v>
      </c>
      <c r="IB351">
        <v>0</v>
      </c>
      <c r="IC351">
        <v>0</v>
      </c>
      <c r="ID351">
        <v>0</v>
      </c>
      <c r="IE351">
        <v>0</v>
      </c>
      <c r="IF351">
        <v>0</v>
      </c>
      <c r="IG351">
        <v>0</v>
      </c>
      <c r="IH351">
        <v>0</v>
      </c>
      <c r="II351">
        <v>0</v>
      </c>
      <c r="IJ351">
        <v>0</v>
      </c>
      <c r="IK351">
        <v>0</v>
      </c>
      <c r="IL351">
        <v>0</v>
      </c>
      <c r="IM351">
        <v>0</v>
      </c>
      <c r="IN351">
        <v>0</v>
      </c>
      <c r="IO351">
        <v>0</v>
      </c>
      <c r="IP351">
        <v>0</v>
      </c>
      <c r="IQ351">
        <v>0</v>
      </c>
      <c r="IR351">
        <v>0</v>
      </c>
      <c r="IS351">
        <v>0</v>
      </c>
      <c r="IT351">
        <v>0</v>
      </c>
      <c r="IU351">
        <v>0</v>
      </c>
      <c r="IV351">
        <v>0</v>
      </c>
      <c r="IW351">
        <v>0</v>
      </c>
      <c r="IX351">
        <v>0</v>
      </c>
      <c r="IY351">
        <v>0</v>
      </c>
      <c r="IZ351">
        <v>0</v>
      </c>
      <c r="JA351">
        <v>0</v>
      </c>
      <c r="JB351">
        <v>0</v>
      </c>
      <c r="JC351">
        <v>0</v>
      </c>
      <c r="JD351">
        <v>0</v>
      </c>
      <c r="JE351">
        <v>0</v>
      </c>
      <c r="JF351">
        <v>0</v>
      </c>
      <c r="JG351">
        <v>0</v>
      </c>
      <c r="JH351">
        <v>0</v>
      </c>
      <c r="JI351">
        <v>0</v>
      </c>
      <c r="JJ351">
        <v>0</v>
      </c>
      <c r="JK351">
        <v>0</v>
      </c>
      <c r="JL351">
        <v>0</v>
      </c>
      <c r="JM351">
        <v>0</v>
      </c>
      <c r="JN351">
        <v>0</v>
      </c>
      <c r="JO351">
        <v>0</v>
      </c>
      <c r="JP351">
        <v>0</v>
      </c>
      <c r="JQ351">
        <v>0</v>
      </c>
      <c r="JR351">
        <v>0</v>
      </c>
      <c r="JS351">
        <v>0</v>
      </c>
      <c r="JT351">
        <v>0</v>
      </c>
      <c r="JU351">
        <v>0</v>
      </c>
      <c r="JV351">
        <v>0</v>
      </c>
      <c r="JW351">
        <v>0</v>
      </c>
      <c r="JX351">
        <v>0</v>
      </c>
      <c r="JY351">
        <v>0</v>
      </c>
      <c r="JZ351">
        <v>0</v>
      </c>
      <c r="KA351">
        <v>0</v>
      </c>
      <c r="KB351">
        <v>0</v>
      </c>
      <c r="KC351">
        <v>0</v>
      </c>
      <c r="KD351">
        <v>0</v>
      </c>
      <c r="KE351">
        <v>0</v>
      </c>
      <c r="KF351">
        <v>0</v>
      </c>
      <c r="KG351">
        <v>0</v>
      </c>
      <c r="KH351">
        <v>0</v>
      </c>
      <c r="KI351">
        <v>0</v>
      </c>
      <c r="KJ351">
        <v>0</v>
      </c>
      <c r="KK351">
        <v>0</v>
      </c>
      <c r="KL351">
        <v>0</v>
      </c>
      <c r="KM351">
        <v>0</v>
      </c>
      <c r="KN351">
        <v>0</v>
      </c>
      <c r="KO351">
        <v>0</v>
      </c>
      <c r="KP351">
        <v>0</v>
      </c>
      <c r="KQ351">
        <v>0</v>
      </c>
      <c r="KR351">
        <v>0</v>
      </c>
      <c r="KS351">
        <v>0</v>
      </c>
      <c r="KT351">
        <v>0</v>
      </c>
      <c r="KU351">
        <v>0</v>
      </c>
      <c r="KV351">
        <v>0</v>
      </c>
      <c r="KW351">
        <v>0</v>
      </c>
      <c r="KX351">
        <v>0</v>
      </c>
      <c r="KY351">
        <v>0</v>
      </c>
      <c r="KZ351">
        <v>0</v>
      </c>
      <c r="LA351">
        <v>0</v>
      </c>
      <c r="LB351">
        <v>0</v>
      </c>
      <c r="LC351">
        <v>0</v>
      </c>
      <c r="LD351">
        <v>0</v>
      </c>
      <c r="LE351">
        <v>0</v>
      </c>
      <c r="LF351">
        <v>0</v>
      </c>
      <c r="LG351">
        <v>0</v>
      </c>
      <c r="LH351">
        <v>0</v>
      </c>
      <c r="LI351">
        <v>0</v>
      </c>
      <c r="LJ351">
        <v>0</v>
      </c>
      <c r="LK351">
        <v>0</v>
      </c>
      <c r="LL351">
        <v>0</v>
      </c>
      <c r="LM351">
        <v>0</v>
      </c>
      <c r="LN351">
        <v>0</v>
      </c>
      <c r="LO351">
        <v>0</v>
      </c>
      <c r="LP351">
        <v>0</v>
      </c>
      <c r="LQ351">
        <v>0</v>
      </c>
      <c r="LR351">
        <v>0</v>
      </c>
      <c r="LS351">
        <v>0</v>
      </c>
      <c r="LT351">
        <v>0</v>
      </c>
      <c r="LU351">
        <v>0</v>
      </c>
      <c r="LV351">
        <v>0</v>
      </c>
      <c r="LW351">
        <v>0</v>
      </c>
      <c r="LX351">
        <v>0</v>
      </c>
      <c r="LY351">
        <v>0</v>
      </c>
      <c r="LZ351">
        <v>0</v>
      </c>
      <c r="MA351">
        <v>0</v>
      </c>
      <c r="MB351">
        <v>0</v>
      </c>
      <c r="MC351">
        <v>0</v>
      </c>
      <c r="MD351">
        <v>0</v>
      </c>
      <c r="ME351">
        <v>0</v>
      </c>
      <c r="MF351">
        <v>0</v>
      </c>
      <c r="MG351">
        <v>0</v>
      </c>
      <c r="MH351">
        <v>0</v>
      </c>
      <c r="MI351">
        <v>0</v>
      </c>
      <c r="MJ351">
        <v>0</v>
      </c>
      <c r="MK351">
        <v>0</v>
      </c>
      <c r="ML351">
        <v>0</v>
      </c>
      <c r="MM351">
        <v>0</v>
      </c>
      <c r="MN351">
        <v>0</v>
      </c>
      <c r="MO351">
        <v>0</v>
      </c>
      <c r="MP351">
        <v>0</v>
      </c>
      <c r="MQ351">
        <v>0</v>
      </c>
      <c r="MR351">
        <v>0</v>
      </c>
      <c r="MS351">
        <v>0</v>
      </c>
      <c r="MT351">
        <v>0</v>
      </c>
      <c r="MU351">
        <v>0</v>
      </c>
      <c r="MV351">
        <v>0</v>
      </c>
      <c r="MW351">
        <v>0</v>
      </c>
      <c r="MX351">
        <v>0</v>
      </c>
      <c r="MY351">
        <v>0</v>
      </c>
      <c r="MZ351">
        <v>0</v>
      </c>
      <c r="NA351">
        <v>0</v>
      </c>
      <c r="NB351">
        <v>0</v>
      </c>
      <c r="NC351">
        <v>0</v>
      </c>
      <c r="ND351">
        <v>0</v>
      </c>
      <c r="NE351">
        <v>0</v>
      </c>
    </row>
    <row r="352" spans="41:369" x14ac:dyDescent="0.45">
      <c r="AO352">
        <v>0</v>
      </c>
      <c r="AP352">
        <v>0</v>
      </c>
      <c r="AQ352">
        <v>0</v>
      </c>
      <c r="AR352">
        <v>0</v>
      </c>
      <c r="AS352">
        <v>0</v>
      </c>
      <c r="AT352">
        <v>0</v>
      </c>
      <c r="AU352">
        <v>0</v>
      </c>
      <c r="AV352">
        <v>0</v>
      </c>
      <c r="AW352" t="str">
        <v/>
      </c>
      <c r="AX352">
        <v>255</v>
      </c>
      <c r="AY352" s="5" t="str">
        <v/>
      </c>
      <c r="AZ352">
        <v>0</v>
      </c>
      <c r="BA352">
        <v>0</v>
      </c>
      <c r="BB352">
        <v>0</v>
      </c>
      <c r="BC352">
        <v>0</v>
      </c>
      <c r="BD352">
        <v>0</v>
      </c>
      <c r="BE352">
        <v>0</v>
      </c>
      <c r="BF352">
        <v>0</v>
      </c>
      <c r="BG352">
        <v>0</v>
      </c>
      <c r="BH352">
        <v>0</v>
      </c>
      <c r="BI352" t="str">
        <v/>
      </c>
      <c r="BK352">
        <v>346</v>
      </c>
      <c r="BL352">
        <v>0</v>
      </c>
      <c r="BM352">
        <v>0</v>
      </c>
      <c r="BN352">
        <v>0</v>
      </c>
      <c r="BO352">
        <v>0</v>
      </c>
      <c r="BP352">
        <v>0</v>
      </c>
      <c r="BQ352">
        <v>0</v>
      </c>
      <c r="BR352">
        <v>0</v>
      </c>
      <c r="BS352">
        <v>0</v>
      </c>
      <c r="BT352">
        <v>0</v>
      </c>
      <c r="BU352">
        <v>0</v>
      </c>
      <c r="BV352">
        <v>0</v>
      </c>
      <c r="BW352">
        <v>0</v>
      </c>
      <c r="BX352">
        <v>0</v>
      </c>
      <c r="BY352">
        <v>0</v>
      </c>
      <c r="BZ352">
        <v>0</v>
      </c>
      <c r="CA352">
        <v>0</v>
      </c>
      <c r="CB352">
        <v>0</v>
      </c>
      <c r="CC352">
        <v>0</v>
      </c>
      <c r="CD352">
        <v>0</v>
      </c>
      <c r="CE352">
        <v>0</v>
      </c>
      <c r="CF352">
        <v>0</v>
      </c>
      <c r="CG352">
        <v>0</v>
      </c>
      <c r="CH352">
        <v>0</v>
      </c>
      <c r="CI352">
        <v>0</v>
      </c>
      <c r="CJ352">
        <v>0</v>
      </c>
      <c r="CK352">
        <v>0</v>
      </c>
      <c r="CL352">
        <v>0</v>
      </c>
      <c r="CM352">
        <v>0</v>
      </c>
      <c r="CN352">
        <v>0</v>
      </c>
      <c r="CO352">
        <v>0</v>
      </c>
      <c r="CP352">
        <v>0</v>
      </c>
      <c r="CQ352">
        <v>0</v>
      </c>
      <c r="CR352">
        <v>0</v>
      </c>
      <c r="CS352">
        <v>0</v>
      </c>
      <c r="CT352">
        <v>0</v>
      </c>
      <c r="CU352">
        <v>0</v>
      </c>
      <c r="CV352">
        <v>0</v>
      </c>
      <c r="CW352">
        <v>0</v>
      </c>
      <c r="CX352">
        <v>0</v>
      </c>
      <c r="CY352">
        <v>0</v>
      </c>
      <c r="CZ352">
        <v>0</v>
      </c>
      <c r="DA352">
        <v>0</v>
      </c>
      <c r="DB352">
        <v>0</v>
      </c>
      <c r="DC352">
        <v>0</v>
      </c>
      <c r="DD352">
        <v>0</v>
      </c>
      <c r="DE352">
        <v>0</v>
      </c>
      <c r="DF352">
        <v>0</v>
      </c>
      <c r="DG352">
        <v>0</v>
      </c>
      <c r="DH352">
        <v>0</v>
      </c>
      <c r="DI352">
        <v>0</v>
      </c>
      <c r="DJ352">
        <v>0</v>
      </c>
      <c r="DK352">
        <v>0</v>
      </c>
      <c r="DL352">
        <v>0</v>
      </c>
      <c r="DM352">
        <v>0</v>
      </c>
      <c r="DN352">
        <v>0</v>
      </c>
      <c r="DO352">
        <v>0</v>
      </c>
      <c r="DP352">
        <v>0</v>
      </c>
      <c r="DQ352">
        <v>0</v>
      </c>
      <c r="DR352">
        <v>0</v>
      </c>
      <c r="DS352">
        <v>0</v>
      </c>
      <c r="DT352">
        <v>0</v>
      </c>
      <c r="DU352">
        <v>0</v>
      </c>
      <c r="DV352">
        <v>0</v>
      </c>
      <c r="DW352">
        <v>0</v>
      </c>
      <c r="DX352">
        <v>0</v>
      </c>
      <c r="DY352">
        <v>0</v>
      </c>
      <c r="DZ352">
        <v>0</v>
      </c>
      <c r="EA352">
        <v>0</v>
      </c>
      <c r="EB352">
        <v>0</v>
      </c>
      <c r="EC352">
        <v>0</v>
      </c>
      <c r="ED352">
        <v>0</v>
      </c>
      <c r="EE352">
        <v>0</v>
      </c>
      <c r="EF352">
        <v>0</v>
      </c>
      <c r="EG352">
        <v>0</v>
      </c>
      <c r="EH352">
        <v>0</v>
      </c>
      <c r="EI352">
        <v>0</v>
      </c>
      <c r="EJ352">
        <v>0</v>
      </c>
      <c r="EK352">
        <v>0</v>
      </c>
      <c r="EL352">
        <v>0</v>
      </c>
      <c r="EM352">
        <v>0</v>
      </c>
      <c r="EN352">
        <v>0</v>
      </c>
      <c r="EO352">
        <v>0</v>
      </c>
      <c r="EP352">
        <v>0</v>
      </c>
      <c r="EQ352">
        <v>0</v>
      </c>
      <c r="ER352">
        <v>0</v>
      </c>
      <c r="ES352">
        <v>0</v>
      </c>
      <c r="ET352">
        <v>0</v>
      </c>
      <c r="EU352">
        <v>0</v>
      </c>
      <c r="EV352">
        <v>0</v>
      </c>
      <c r="EW352">
        <v>0</v>
      </c>
      <c r="EX352">
        <v>0</v>
      </c>
      <c r="EY352">
        <v>0</v>
      </c>
      <c r="EZ352">
        <v>0</v>
      </c>
      <c r="FA352">
        <v>0</v>
      </c>
      <c r="FB352">
        <v>0</v>
      </c>
      <c r="FC352">
        <v>0</v>
      </c>
      <c r="FD352">
        <v>0</v>
      </c>
      <c r="FE352">
        <v>0</v>
      </c>
      <c r="FF352">
        <v>0</v>
      </c>
      <c r="FG352">
        <v>0</v>
      </c>
      <c r="FH352">
        <v>0</v>
      </c>
      <c r="FI352">
        <v>0</v>
      </c>
      <c r="FJ352">
        <v>0</v>
      </c>
      <c r="FK352">
        <v>0</v>
      </c>
      <c r="FL352">
        <v>0</v>
      </c>
      <c r="FM352">
        <v>0</v>
      </c>
      <c r="FN352">
        <v>0</v>
      </c>
      <c r="FO352">
        <v>0</v>
      </c>
      <c r="FP352">
        <v>0</v>
      </c>
      <c r="FQ352">
        <v>0</v>
      </c>
      <c r="FR352">
        <v>0</v>
      </c>
      <c r="FS352">
        <v>0</v>
      </c>
      <c r="FT352">
        <v>0</v>
      </c>
      <c r="FU352">
        <v>0</v>
      </c>
      <c r="FV352">
        <v>0</v>
      </c>
      <c r="FW352">
        <v>0</v>
      </c>
      <c r="FX352">
        <v>0</v>
      </c>
      <c r="FY352">
        <v>0</v>
      </c>
      <c r="FZ352">
        <v>0</v>
      </c>
      <c r="GA352">
        <v>0</v>
      </c>
      <c r="GB352">
        <v>0</v>
      </c>
      <c r="GC352">
        <v>0</v>
      </c>
      <c r="GD352">
        <v>0</v>
      </c>
      <c r="GE352">
        <v>0</v>
      </c>
      <c r="GF352">
        <v>0</v>
      </c>
      <c r="GG352">
        <v>0</v>
      </c>
      <c r="GH352">
        <v>0</v>
      </c>
      <c r="GI352">
        <v>0</v>
      </c>
      <c r="GJ352">
        <v>0</v>
      </c>
      <c r="GK352">
        <v>0</v>
      </c>
      <c r="GL352">
        <v>0</v>
      </c>
      <c r="GM352">
        <v>0</v>
      </c>
      <c r="GN352">
        <v>0</v>
      </c>
      <c r="GO352">
        <v>0</v>
      </c>
      <c r="GP352">
        <v>0</v>
      </c>
      <c r="GQ352">
        <v>0</v>
      </c>
      <c r="GR352">
        <v>0</v>
      </c>
      <c r="GS352">
        <v>0</v>
      </c>
      <c r="GT352">
        <v>0</v>
      </c>
      <c r="GU352">
        <v>0</v>
      </c>
      <c r="GV352">
        <v>0</v>
      </c>
      <c r="GW352">
        <v>0</v>
      </c>
      <c r="GX352">
        <v>0</v>
      </c>
      <c r="GY352">
        <v>0</v>
      </c>
      <c r="GZ352">
        <v>0</v>
      </c>
      <c r="HA352">
        <v>0</v>
      </c>
      <c r="HB352">
        <v>0</v>
      </c>
      <c r="HC352">
        <v>0</v>
      </c>
      <c r="HD352">
        <v>0</v>
      </c>
      <c r="HE352">
        <v>0</v>
      </c>
      <c r="HF352">
        <v>0</v>
      </c>
      <c r="HG352">
        <v>0</v>
      </c>
      <c r="HH352">
        <v>0</v>
      </c>
      <c r="HI352">
        <v>0</v>
      </c>
      <c r="HJ352">
        <v>0</v>
      </c>
      <c r="HK352">
        <v>0</v>
      </c>
      <c r="HL352">
        <v>0</v>
      </c>
      <c r="HM352">
        <v>0</v>
      </c>
      <c r="HN352">
        <v>0</v>
      </c>
      <c r="HO352">
        <v>0</v>
      </c>
      <c r="HP352">
        <v>0</v>
      </c>
      <c r="HQ352">
        <v>0</v>
      </c>
      <c r="HR352">
        <v>0</v>
      </c>
      <c r="HS352">
        <v>0</v>
      </c>
      <c r="HT352">
        <v>0</v>
      </c>
      <c r="HU352">
        <v>0</v>
      </c>
      <c r="HV352">
        <v>0</v>
      </c>
      <c r="HW352">
        <v>0</v>
      </c>
      <c r="HX352">
        <v>0</v>
      </c>
      <c r="HY352">
        <v>0</v>
      </c>
      <c r="HZ352">
        <v>0</v>
      </c>
      <c r="IA352">
        <v>0</v>
      </c>
      <c r="IB352">
        <v>0</v>
      </c>
      <c r="IC352">
        <v>0</v>
      </c>
      <c r="ID352">
        <v>0</v>
      </c>
      <c r="IE352">
        <v>0</v>
      </c>
      <c r="IF352">
        <v>0</v>
      </c>
      <c r="IG352">
        <v>0</v>
      </c>
      <c r="IH352">
        <v>0</v>
      </c>
      <c r="II352">
        <v>0</v>
      </c>
      <c r="IJ352">
        <v>0</v>
      </c>
      <c r="IK352">
        <v>0</v>
      </c>
      <c r="IL352">
        <v>0</v>
      </c>
      <c r="IM352">
        <v>0</v>
      </c>
      <c r="IN352">
        <v>0</v>
      </c>
      <c r="IO352">
        <v>0</v>
      </c>
      <c r="IP352">
        <v>0</v>
      </c>
      <c r="IQ352">
        <v>0</v>
      </c>
      <c r="IR352">
        <v>0</v>
      </c>
      <c r="IS352">
        <v>0</v>
      </c>
      <c r="IT352">
        <v>0</v>
      </c>
      <c r="IU352">
        <v>0</v>
      </c>
      <c r="IV352">
        <v>0</v>
      </c>
      <c r="IW352">
        <v>0</v>
      </c>
      <c r="IX352">
        <v>0</v>
      </c>
      <c r="IY352">
        <v>0</v>
      </c>
      <c r="IZ352">
        <v>0</v>
      </c>
      <c r="JA352">
        <v>0</v>
      </c>
      <c r="JB352">
        <v>0</v>
      </c>
      <c r="JC352">
        <v>0</v>
      </c>
      <c r="JD352">
        <v>0</v>
      </c>
      <c r="JE352">
        <v>0</v>
      </c>
      <c r="JF352">
        <v>0</v>
      </c>
      <c r="JG352">
        <v>0</v>
      </c>
      <c r="JH352">
        <v>0</v>
      </c>
      <c r="JI352">
        <v>0</v>
      </c>
      <c r="JJ352">
        <v>0</v>
      </c>
      <c r="JK352">
        <v>0</v>
      </c>
      <c r="JL352">
        <v>0</v>
      </c>
      <c r="JM352">
        <v>0</v>
      </c>
      <c r="JN352">
        <v>0</v>
      </c>
      <c r="JO352">
        <v>0</v>
      </c>
      <c r="JP352">
        <v>0</v>
      </c>
      <c r="JQ352">
        <v>0</v>
      </c>
      <c r="JR352">
        <v>0</v>
      </c>
      <c r="JS352">
        <v>0</v>
      </c>
      <c r="JT352">
        <v>0</v>
      </c>
      <c r="JU352">
        <v>0</v>
      </c>
      <c r="JV352">
        <v>0</v>
      </c>
      <c r="JW352">
        <v>0</v>
      </c>
      <c r="JX352">
        <v>0</v>
      </c>
      <c r="JY352">
        <v>0</v>
      </c>
      <c r="JZ352">
        <v>0</v>
      </c>
      <c r="KA352">
        <v>0</v>
      </c>
      <c r="KB352">
        <v>0</v>
      </c>
      <c r="KC352">
        <v>0</v>
      </c>
      <c r="KD352">
        <v>0</v>
      </c>
      <c r="KE352">
        <v>0</v>
      </c>
      <c r="KF352">
        <v>0</v>
      </c>
      <c r="KG352">
        <v>0</v>
      </c>
      <c r="KH352">
        <v>0</v>
      </c>
      <c r="KI352">
        <v>0</v>
      </c>
      <c r="KJ352">
        <v>0</v>
      </c>
      <c r="KK352">
        <v>0</v>
      </c>
      <c r="KL352">
        <v>0</v>
      </c>
      <c r="KM352">
        <v>0</v>
      </c>
      <c r="KN352">
        <v>0</v>
      </c>
      <c r="KO352">
        <v>0</v>
      </c>
      <c r="KP352">
        <v>0</v>
      </c>
      <c r="KQ352">
        <v>0</v>
      </c>
      <c r="KR352">
        <v>0</v>
      </c>
      <c r="KS352">
        <v>0</v>
      </c>
      <c r="KT352">
        <v>0</v>
      </c>
      <c r="KU352">
        <v>0</v>
      </c>
      <c r="KV352">
        <v>0</v>
      </c>
      <c r="KW352">
        <v>0</v>
      </c>
      <c r="KX352">
        <v>0</v>
      </c>
      <c r="KY352">
        <v>0</v>
      </c>
      <c r="KZ352">
        <v>0</v>
      </c>
      <c r="LA352">
        <v>0</v>
      </c>
      <c r="LB352">
        <v>0</v>
      </c>
      <c r="LC352">
        <v>0</v>
      </c>
      <c r="LD352">
        <v>0</v>
      </c>
      <c r="LE352">
        <v>0</v>
      </c>
      <c r="LF352">
        <v>0</v>
      </c>
      <c r="LG352">
        <v>0</v>
      </c>
      <c r="LH352">
        <v>0</v>
      </c>
      <c r="LI352">
        <v>0</v>
      </c>
      <c r="LJ352">
        <v>0</v>
      </c>
      <c r="LK352">
        <v>0</v>
      </c>
      <c r="LL352">
        <v>0</v>
      </c>
      <c r="LM352">
        <v>0</v>
      </c>
      <c r="LN352">
        <v>0</v>
      </c>
      <c r="LO352">
        <v>0</v>
      </c>
      <c r="LP352">
        <v>0</v>
      </c>
      <c r="LQ352">
        <v>0</v>
      </c>
      <c r="LR352">
        <v>0</v>
      </c>
      <c r="LS352">
        <v>0</v>
      </c>
      <c r="LT352">
        <v>0</v>
      </c>
      <c r="LU352">
        <v>0</v>
      </c>
      <c r="LV352">
        <v>0</v>
      </c>
      <c r="LW352">
        <v>0</v>
      </c>
      <c r="LX352">
        <v>0</v>
      </c>
      <c r="LY352">
        <v>0</v>
      </c>
      <c r="LZ352">
        <v>0</v>
      </c>
      <c r="MA352">
        <v>0</v>
      </c>
      <c r="MB352">
        <v>0</v>
      </c>
      <c r="MC352">
        <v>0</v>
      </c>
      <c r="MD352">
        <v>0</v>
      </c>
      <c r="ME352">
        <v>0</v>
      </c>
      <c r="MF352">
        <v>0</v>
      </c>
      <c r="MG352">
        <v>0</v>
      </c>
      <c r="MH352">
        <v>0</v>
      </c>
      <c r="MI352">
        <v>0</v>
      </c>
      <c r="MJ352">
        <v>0</v>
      </c>
      <c r="MK352">
        <v>0</v>
      </c>
      <c r="ML352">
        <v>0</v>
      </c>
      <c r="MM352">
        <v>0</v>
      </c>
      <c r="MN352">
        <v>0</v>
      </c>
      <c r="MO352">
        <v>0</v>
      </c>
      <c r="MP352">
        <v>0</v>
      </c>
      <c r="MQ352">
        <v>0</v>
      </c>
      <c r="MR352">
        <v>0</v>
      </c>
      <c r="MS352">
        <v>0</v>
      </c>
      <c r="MT352">
        <v>0</v>
      </c>
      <c r="MU352">
        <v>0</v>
      </c>
      <c r="MV352">
        <v>0</v>
      </c>
      <c r="MW352">
        <v>0</v>
      </c>
      <c r="MX352">
        <v>0</v>
      </c>
      <c r="MY352">
        <v>0</v>
      </c>
      <c r="MZ352">
        <v>0</v>
      </c>
      <c r="NA352">
        <v>0</v>
      </c>
      <c r="NB352">
        <v>0</v>
      </c>
      <c r="NC352">
        <v>0</v>
      </c>
      <c r="ND352">
        <v>0</v>
      </c>
      <c r="NE352">
        <v>0</v>
      </c>
    </row>
    <row r="353" spans="41:369" x14ac:dyDescent="0.45">
      <c r="AO353">
        <v>0</v>
      </c>
      <c r="AP353">
        <v>0</v>
      </c>
      <c r="AQ353">
        <v>0</v>
      </c>
      <c r="AR353">
        <v>0</v>
      </c>
      <c r="AS353">
        <v>0</v>
      </c>
      <c r="AT353">
        <v>0</v>
      </c>
      <c r="AU353">
        <v>0</v>
      </c>
      <c r="AV353">
        <v>0</v>
      </c>
      <c r="AW353" t="str">
        <v/>
      </c>
      <c r="AX353">
        <v>255</v>
      </c>
      <c r="AY353" s="5" t="str">
        <v/>
      </c>
      <c r="AZ353">
        <v>0</v>
      </c>
      <c r="BA353">
        <v>0</v>
      </c>
      <c r="BB353">
        <v>0</v>
      </c>
      <c r="BC353">
        <v>0</v>
      </c>
      <c r="BD353">
        <v>0</v>
      </c>
      <c r="BE353">
        <v>0</v>
      </c>
      <c r="BF353">
        <v>0</v>
      </c>
      <c r="BG353">
        <v>0</v>
      </c>
      <c r="BH353">
        <v>0</v>
      </c>
      <c r="BI353" t="str">
        <v/>
      </c>
      <c r="BK353">
        <v>347</v>
      </c>
      <c r="BL353">
        <v>0</v>
      </c>
      <c r="BM353">
        <v>0</v>
      </c>
      <c r="BN353">
        <v>0</v>
      </c>
      <c r="BO353">
        <v>0</v>
      </c>
      <c r="BP353">
        <v>0</v>
      </c>
      <c r="BQ353">
        <v>0</v>
      </c>
      <c r="BR353">
        <v>0</v>
      </c>
      <c r="BS353">
        <v>0</v>
      </c>
      <c r="BT353">
        <v>0</v>
      </c>
      <c r="BU353">
        <v>0</v>
      </c>
      <c r="BV353">
        <v>0</v>
      </c>
      <c r="BW353">
        <v>0</v>
      </c>
      <c r="BX353">
        <v>0</v>
      </c>
      <c r="BY353">
        <v>0</v>
      </c>
      <c r="BZ353">
        <v>0</v>
      </c>
      <c r="CA353">
        <v>0</v>
      </c>
      <c r="CB353">
        <v>0</v>
      </c>
      <c r="CC353">
        <v>0</v>
      </c>
      <c r="CD353">
        <v>0</v>
      </c>
      <c r="CE353">
        <v>0</v>
      </c>
      <c r="CF353">
        <v>0</v>
      </c>
      <c r="CG353">
        <v>0</v>
      </c>
      <c r="CH353">
        <v>0</v>
      </c>
      <c r="CI353">
        <v>0</v>
      </c>
      <c r="CJ353">
        <v>0</v>
      </c>
      <c r="CK353">
        <v>0</v>
      </c>
      <c r="CL353">
        <v>0</v>
      </c>
      <c r="CM353">
        <v>0</v>
      </c>
      <c r="CN353">
        <v>0</v>
      </c>
      <c r="CO353">
        <v>0</v>
      </c>
      <c r="CP353">
        <v>0</v>
      </c>
      <c r="CQ353">
        <v>0</v>
      </c>
      <c r="CR353">
        <v>0</v>
      </c>
      <c r="CS353">
        <v>0</v>
      </c>
      <c r="CT353">
        <v>0</v>
      </c>
      <c r="CU353">
        <v>0</v>
      </c>
      <c r="CV353">
        <v>0</v>
      </c>
      <c r="CW353">
        <v>0</v>
      </c>
      <c r="CX353">
        <v>0</v>
      </c>
      <c r="CY353">
        <v>0</v>
      </c>
      <c r="CZ353">
        <v>0</v>
      </c>
      <c r="DA353">
        <v>0</v>
      </c>
      <c r="DB353">
        <v>0</v>
      </c>
      <c r="DC353">
        <v>0</v>
      </c>
      <c r="DD353">
        <v>0</v>
      </c>
      <c r="DE353">
        <v>0</v>
      </c>
      <c r="DF353">
        <v>0</v>
      </c>
      <c r="DG353">
        <v>0</v>
      </c>
      <c r="DH353">
        <v>0</v>
      </c>
      <c r="DI353">
        <v>0</v>
      </c>
      <c r="DJ353">
        <v>0</v>
      </c>
      <c r="DK353">
        <v>0</v>
      </c>
      <c r="DL353">
        <v>0</v>
      </c>
      <c r="DM353">
        <v>0</v>
      </c>
      <c r="DN353">
        <v>0</v>
      </c>
      <c r="DO353">
        <v>0</v>
      </c>
      <c r="DP353">
        <v>0</v>
      </c>
      <c r="DQ353">
        <v>0</v>
      </c>
      <c r="DR353">
        <v>0</v>
      </c>
      <c r="DS353">
        <v>0</v>
      </c>
      <c r="DT353">
        <v>0</v>
      </c>
      <c r="DU353">
        <v>0</v>
      </c>
      <c r="DV353">
        <v>0</v>
      </c>
      <c r="DW353">
        <v>0</v>
      </c>
      <c r="DX353">
        <v>0</v>
      </c>
      <c r="DY353">
        <v>0</v>
      </c>
      <c r="DZ353">
        <v>0</v>
      </c>
      <c r="EA353">
        <v>0</v>
      </c>
      <c r="EB353">
        <v>0</v>
      </c>
      <c r="EC353">
        <v>0</v>
      </c>
      <c r="ED353">
        <v>0</v>
      </c>
      <c r="EE353">
        <v>0</v>
      </c>
      <c r="EF353">
        <v>0</v>
      </c>
      <c r="EG353">
        <v>0</v>
      </c>
      <c r="EH353">
        <v>0</v>
      </c>
      <c r="EI353">
        <v>0</v>
      </c>
      <c r="EJ353">
        <v>0</v>
      </c>
      <c r="EK353">
        <v>0</v>
      </c>
      <c r="EL353">
        <v>0</v>
      </c>
      <c r="EM353">
        <v>0</v>
      </c>
      <c r="EN353">
        <v>0</v>
      </c>
      <c r="EO353">
        <v>0</v>
      </c>
      <c r="EP353">
        <v>0</v>
      </c>
      <c r="EQ353">
        <v>0</v>
      </c>
      <c r="ER353">
        <v>0</v>
      </c>
      <c r="ES353">
        <v>0</v>
      </c>
      <c r="ET353">
        <v>0</v>
      </c>
      <c r="EU353">
        <v>0</v>
      </c>
      <c r="EV353">
        <v>0</v>
      </c>
      <c r="EW353">
        <v>0</v>
      </c>
      <c r="EX353">
        <v>0</v>
      </c>
      <c r="EY353">
        <v>0</v>
      </c>
      <c r="EZ353">
        <v>0</v>
      </c>
      <c r="FA353">
        <v>0</v>
      </c>
      <c r="FB353">
        <v>0</v>
      </c>
      <c r="FC353">
        <v>0</v>
      </c>
      <c r="FD353">
        <v>0</v>
      </c>
      <c r="FE353">
        <v>0</v>
      </c>
      <c r="FF353">
        <v>0</v>
      </c>
      <c r="FG353">
        <v>0</v>
      </c>
      <c r="FH353">
        <v>0</v>
      </c>
      <c r="FI353">
        <v>0</v>
      </c>
      <c r="FJ353">
        <v>0</v>
      </c>
      <c r="FK353">
        <v>0</v>
      </c>
      <c r="FL353">
        <v>0</v>
      </c>
      <c r="FM353">
        <v>0</v>
      </c>
      <c r="FN353">
        <v>0</v>
      </c>
      <c r="FO353">
        <v>0</v>
      </c>
      <c r="FP353">
        <v>0</v>
      </c>
      <c r="FQ353">
        <v>0</v>
      </c>
      <c r="FR353">
        <v>0</v>
      </c>
      <c r="FS353">
        <v>0</v>
      </c>
      <c r="FT353">
        <v>0</v>
      </c>
      <c r="FU353">
        <v>0</v>
      </c>
      <c r="FV353">
        <v>0</v>
      </c>
      <c r="FW353">
        <v>0</v>
      </c>
      <c r="FX353">
        <v>0</v>
      </c>
      <c r="FY353">
        <v>0</v>
      </c>
      <c r="FZ353">
        <v>0</v>
      </c>
      <c r="GA353">
        <v>0</v>
      </c>
      <c r="GB353">
        <v>0</v>
      </c>
      <c r="GC353">
        <v>0</v>
      </c>
      <c r="GD353">
        <v>0</v>
      </c>
      <c r="GE353">
        <v>0</v>
      </c>
      <c r="GF353">
        <v>0</v>
      </c>
      <c r="GG353">
        <v>0</v>
      </c>
      <c r="GH353">
        <v>0</v>
      </c>
      <c r="GI353">
        <v>0</v>
      </c>
      <c r="GJ353">
        <v>0</v>
      </c>
      <c r="GK353">
        <v>0</v>
      </c>
      <c r="GL353">
        <v>0</v>
      </c>
      <c r="GM353">
        <v>0</v>
      </c>
      <c r="GN353">
        <v>0</v>
      </c>
      <c r="GO353">
        <v>0</v>
      </c>
      <c r="GP353">
        <v>0</v>
      </c>
      <c r="GQ353">
        <v>0</v>
      </c>
      <c r="GR353">
        <v>0</v>
      </c>
      <c r="GS353">
        <v>0</v>
      </c>
      <c r="GT353">
        <v>0</v>
      </c>
      <c r="GU353">
        <v>0</v>
      </c>
      <c r="GV353">
        <v>0</v>
      </c>
      <c r="GW353">
        <v>0</v>
      </c>
      <c r="GX353">
        <v>0</v>
      </c>
      <c r="GY353">
        <v>0</v>
      </c>
      <c r="GZ353">
        <v>0</v>
      </c>
      <c r="HA353">
        <v>0</v>
      </c>
      <c r="HB353">
        <v>0</v>
      </c>
      <c r="HC353">
        <v>0</v>
      </c>
      <c r="HD353">
        <v>0</v>
      </c>
      <c r="HE353">
        <v>0</v>
      </c>
      <c r="HF353">
        <v>0</v>
      </c>
      <c r="HG353">
        <v>0</v>
      </c>
      <c r="HH353">
        <v>0</v>
      </c>
      <c r="HI353">
        <v>0</v>
      </c>
      <c r="HJ353">
        <v>0</v>
      </c>
      <c r="HK353">
        <v>0</v>
      </c>
      <c r="HL353">
        <v>0</v>
      </c>
      <c r="HM353">
        <v>0</v>
      </c>
      <c r="HN353">
        <v>0</v>
      </c>
      <c r="HO353">
        <v>0</v>
      </c>
      <c r="HP353">
        <v>0</v>
      </c>
      <c r="HQ353">
        <v>0</v>
      </c>
      <c r="HR353">
        <v>0</v>
      </c>
      <c r="HS353">
        <v>0</v>
      </c>
      <c r="HT353">
        <v>0</v>
      </c>
      <c r="HU353">
        <v>0</v>
      </c>
      <c r="HV353">
        <v>0</v>
      </c>
      <c r="HW353">
        <v>0</v>
      </c>
      <c r="HX353">
        <v>0</v>
      </c>
      <c r="HY353">
        <v>0</v>
      </c>
      <c r="HZ353">
        <v>0</v>
      </c>
      <c r="IA353">
        <v>0</v>
      </c>
      <c r="IB353">
        <v>0</v>
      </c>
      <c r="IC353">
        <v>0</v>
      </c>
      <c r="ID353">
        <v>0</v>
      </c>
      <c r="IE353">
        <v>0</v>
      </c>
      <c r="IF353">
        <v>0</v>
      </c>
      <c r="IG353">
        <v>0</v>
      </c>
      <c r="IH353">
        <v>0</v>
      </c>
      <c r="II353">
        <v>0</v>
      </c>
      <c r="IJ353">
        <v>0</v>
      </c>
      <c r="IK353">
        <v>0</v>
      </c>
      <c r="IL353">
        <v>0</v>
      </c>
      <c r="IM353">
        <v>0</v>
      </c>
      <c r="IN353">
        <v>0</v>
      </c>
      <c r="IO353">
        <v>0</v>
      </c>
      <c r="IP353">
        <v>0</v>
      </c>
      <c r="IQ353">
        <v>0</v>
      </c>
      <c r="IR353">
        <v>0</v>
      </c>
      <c r="IS353">
        <v>0</v>
      </c>
      <c r="IT353">
        <v>0</v>
      </c>
      <c r="IU353">
        <v>0</v>
      </c>
      <c r="IV353">
        <v>0</v>
      </c>
      <c r="IW353">
        <v>0</v>
      </c>
      <c r="IX353">
        <v>0</v>
      </c>
      <c r="IY353">
        <v>0</v>
      </c>
      <c r="IZ353">
        <v>0</v>
      </c>
      <c r="JA353">
        <v>0</v>
      </c>
      <c r="JB353">
        <v>0</v>
      </c>
      <c r="JC353">
        <v>0</v>
      </c>
      <c r="JD353">
        <v>0</v>
      </c>
      <c r="JE353">
        <v>0</v>
      </c>
      <c r="JF353">
        <v>0</v>
      </c>
      <c r="JG353">
        <v>0</v>
      </c>
      <c r="JH353">
        <v>0</v>
      </c>
      <c r="JI353">
        <v>0</v>
      </c>
      <c r="JJ353">
        <v>0</v>
      </c>
      <c r="JK353">
        <v>0</v>
      </c>
      <c r="JL353">
        <v>0</v>
      </c>
      <c r="JM353">
        <v>0</v>
      </c>
      <c r="JN353">
        <v>0</v>
      </c>
      <c r="JO353">
        <v>0</v>
      </c>
      <c r="JP353">
        <v>0</v>
      </c>
      <c r="JQ353">
        <v>0</v>
      </c>
      <c r="JR353">
        <v>0</v>
      </c>
      <c r="JS353">
        <v>0</v>
      </c>
      <c r="JT353">
        <v>0</v>
      </c>
      <c r="JU353">
        <v>0</v>
      </c>
      <c r="JV353">
        <v>0</v>
      </c>
      <c r="JW353">
        <v>0</v>
      </c>
      <c r="JX353">
        <v>0</v>
      </c>
      <c r="JY353">
        <v>0</v>
      </c>
      <c r="JZ353">
        <v>0</v>
      </c>
      <c r="KA353">
        <v>0</v>
      </c>
      <c r="KB353">
        <v>0</v>
      </c>
      <c r="KC353">
        <v>0</v>
      </c>
      <c r="KD353">
        <v>0</v>
      </c>
      <c r="KE353">
        <v>0</v>
      </c>
      <c r="KF353">
        <v>0</v>
      </c>
      <c r="KG353">
        <v>0</v>
      </c>
      <c r="KH353">
        <v>0</v>
      </c>
      <c r="KI353">
        <v>0</v>
      </c>
      <c r="KJ353">
        <v>0</v>
      </c>
      <c r="KK353">
        <v>0</v>
      </c>
      <c r="KL353">
        <v>0</v>
      </c>
      <c r="KM353">
        <v>0</v>
      </c>
      <c r="KN353">
        <v>0</v>
      </c>
      <c r="KO353">
        <v>0</v>
      </c>
      <c r="KP353">
        <v>0</v>
      </c>
      <c r="KQ353">
        <v>0</v>
      </c>
      <c r="KR353">
        <v>0</v>
      </c>
      <c r="KS353">
        <v>0</v>
      </c>
      <c r="KT353">
        <v>0</v>
      </c>
      <c r="KU353">
        <v>0</v>
      </c>
      <c r="KV353">
        <v>0</v>
      </c>
      <c r="KW353">
        <v>0</v>
      </c>
      <c r="KX353">
        <v>0</v>
      </c>
      <c r="KY353">
        <v>0</v>
      </c>
      <c r="KZ353">
        <v>0</v>
      </c>
      <c r="LA353">
        <v>0</v>
      </c>
      <c r="LB353">
        <v>0</v>
      </c>
      <c r="LC353">
        <v>0</v>
      </c>
      <c r="LD353">
        <v>0</v>
      </c>
      <c r="LE353">
        <v>0</v>
      </c>
      <c r="LF353">
        <v>0</v>
      </c>
      <c r="LG353">
        <v>0</v>
      </c>
      <c r="LH353">
        <v>0</v>
      </c>
      <c r="LI353">
        <v>0</v>
      </c>
      <c r="LJ353">
        <v>0</v>
      </c>
      <c r="LK353">
        <v>0</v>
      </c>
      <c r="LL353">
        <v>0</v>
      </c>
      <c r="LM353">
        <v>0</v>
      </c>
      <c r="LN353">
        <v>0</v>
      </c>
      <c r="LO353">
        <v>0</v>
      </c>
      <c r="LP353">
        <v>0</v>
      </c>
      <c r="LQ353">
        <v>0</v>
      </c>
      <c r="LR353">
        <v>0</v>
      </c>
      <c r="LS353">
        <v>0</v>
      </c>
      <c r="LT353">
        <v>0</v>
      </c>
      <c r="LU353">
        <v>0</v>
      </c>
      <c r="LV353">
        <v>0</v>
      </c>
      <c r="LW353">
        <v>0</v>
      </c>
      <c r="LX353">
        <v>0</v>
      </c>
      <c r="LY353">
        <v>0</v>
      </c>
      <c r="LZ353">
        <v>0</v>
      </c>
      <c r="MA353">
        <v>0</v>
      </c>
      <c r="MB353">
        <v>0</v>
      </c>
      <c r="MC353">
        <v>0</v>
      </c>
      <c r="MD353">
        <v>0</v>
      </c>
      <c r="ME353">
        <v>0</v>
      </c>
      <c r="MF353">
        <v>0</v>
      </c>
      <c r="MG353">
        <v>0</v>
      </c>
      <c r="MH353">
        <v>0</v>
      </c>
      <c r="MI353">
        <v>0</v>
      </c>
      <c r="MJ353">
        <v>0</v>
      </c>
      <c r="MK353">
        <v>0</v>
      </c>
      <c r="ML353">
        <v>0</v>
      </c>
      <c r="MM353">
        <v>0</v>
      </c>
      <c r="MN353">
        <v>0</v>
      </c>
      <c r="MO353">
        <v>0</v>
      </c>
      <c r="MP353">
        <v>0</v>
      </c>
      <c r="MQ353">
        <v>0</v>
      </c>
      <c r="MR353">
        <v>0</v>
      </c>
      <c r="MS353">
        <v>0</v>
      </c>
      <c r="MT353">
        <v>0</v>
      </c>
      <c r="MU353">
        <v>0</v>
      </c>
      <c r="MV353">
        <v>0</v>
      </c>
      <c r="MW353">
        <v>0</v>
      </c>
      <c r="MX353">
        <v>0</v>
      </c>
      <c r="MY353">
        <v>0</v>
      </c>
      <c r="MZ353">
        <v>0</v>
      </c>
      <c r="NA353">
        <v>0</v>
      </c>
      <c r="NB353">
        <v>0</v>
      </c>
      <c r="NC353">
        <v>0</v>
      </c>
      <c r="ND353">
        <v>0</v>
      </c>
      <c r="NE353">
        <v>0</v>
      </c>
    </row>
    <row r="354" spans="41:369" x14ac:dyDescent="0.45">
      <c r="AO354">
        <v>0</v>
      </c>
      <c r="AP354">
        <v>0</v>
      </c>
      <c r="AQ354">
        <v>0</v>
      </c>
      <c r="AR354">
        <v>0</v>
      </c>
      <c r="AS354">
        <v>0</v>
      </c>
      <c r="AT354">
        <v>0</v>
      </c>
      <c r="AU354">
        <v>0</v>
      </c>
      <c r="AV354">
        <v>0</v>
      </c>
      <c r="AW354" t="str">
        <v/>
      </c>
      <c r="AX354">
        <v>255</v>
      </c>
      <c r="AY354" s="5" t="str">
        <v/>
      </c>
      <c r="AZ354">
        <v>0</v>
      </c>
      <c r="BA354">
        <v>0</v>
      </c>
      <c r="BB354">
        <v>0</v>
      </c>
      <c r="BC354">
        <v>0</v>
      </c>
      <c r="BD354">
        <v>0</v>
      </c>
      <c r="BE354">
        <v>0</v>
      </c>
      <c r="BF354">
        <v>0</v>
      </c>
      <c r="BG354">
        <v>0</v>
      </c>
      <c r="BH354">
        <v>0</v>
      </c>
      <c r="BI354" t="str">
        <v/>
      </c>
      <c r="BK354">
        <v>348</v>
      </c>
      <c r="BL354">
        <v>0</v>
      </c>
      <c r="BM354">
        <v>0</v>
      </c>
      <c r="BN354">
        <v>0</v>
      </c>
      <c r="BO354">
        <v>0</v>
      </c>
      <c r="BP354">
        <v>0</v>
      </c>
      <c r="BQ354">
        <v>0</v>
      </c>
      <c r="BR354">
        <v>0</v>
      </c>
      <c r="BS354">
        <v>0</v>
      </c>
      <c r="BT354">
        <v>0</v>
      </c>
      <c r="BU354">
        <v>0</v>
      </c>
      <c r="BV354">
        <v>0</v>
      </c>
      <c r="BW354">
        <v>0</v>
      </c>
      <c r="BX354">
        <v>0</v>
      </c>
      <c r="BY354">
        <v>0</v>
      </c>
      <c r="BZ354">
        <v>0</v>
      </c>
      <c r="CA354">
        <v>0</v>
      </c>
      <c r="CB354">
        <v>0</v>
      </c>
      <c r="CC354">
        <v>0</v>
      </c>
      <c r="CD354">
        <v>0</v>
      </c>
      <c r="CE354">
        <v>0</v>
      </c>
      <c r="CF354">
        <v>0</v>
      </c>
      <c r="CG354">
        <v>0</v>
      </c>
      <c r="CH354">
        <v>0</v>
      </c>
      <c r="CI354">
        <v>0</v>
      </c>
      <c r="CJ354">
        <v>0</v>
      </c>
      <c r="CK354">
        <v>0</v>
      </c>
      <c r="CL354">
        <v>0</v>
      </c>
      <c r="CM354">
        <v>0</v>
      </c>
      <c r="CN354">
        <v>0</v>
      </c>
      <c r="CO354">
        <v>0</v>
      </c>
      <c r="CP354">
        <v>0</v>
      </c>
      <c r="CQ354">
        <v>0</v>
      </c>
      <c r="CR354">
        <v>0</v>
      </c>
      <c r="CS354">
        <v>0</v>
      </c>
      <c r="CT354">
        <v>0</v>
      </c>
      <c r="CU354">
        <v>0</v>
      </c>
      <c r="CV354">
        <v>0</v>
      </c>
      <c r="CW354">
        <v>0</v>
      </c>
      <c r="CX354">
        <v>0</v>
      </c>
      <c r="CY354">
        <v>0</v>
      </c>
      <c r="CZ354">
        <v>0</v>
      </c>
      <c r="DA354">
        <v>0</v>
      </c>
      <c r="DB354">
        <v>0</v>
      </c>
      <c r="DC354">
        <v>0</v>
      </c>
      <c r="DD354">
        <v>0</v>
      </c>
      <c r="DE354">
        <v>0</v>
      </c>
      <c r="DF354">
        <v>0</v>
      </c>
      <c r="DG354">
        <v>0</v>
      </c>
      <c r="DH354">
        <v>0</v>
      </c>
      <c r="DI354">
        <v>0</v>
      </c>
      <c r="DJ354">
        <v>0</v>
      </c>
      <c r="DK354">
        <v>0</v>
      </c>
      <c r="DL354">
        <v>0</v>
      </c>
      <c r="DM354">
        <v>0</v>
      </c>
      <c r="DN354">
        <v>0</v>
      </c>
      <c r="DO354">
        <v>0</v>
      </c>
      <c r="DP354">
        <v>0</v>
      </c>
      <c r="DQ354">
        <v>0</v>
      </c>
      <c r="DR354">
        <v>0</v>
      </c>
      <c r="DS354">
        <v>0</v>
      </c>
      <c r="DT354">
        <v>0</v>
      </c>
      <c r="DU354">
        <v>0</v>
      </c>
      <c r="DV354">
        <v>0</v>
      </c>
      <c r="DW354">
        <v>0</v>
      </c>
      <c r="DX354">
        <v>0</v>
      </c>
      <c r="DY354">
        <v>0</v>
      </c>
      <c r="DZ354">
        <v>0</v>
      </c>
      <c r="EA354">
        <v>0</v>
      </c>
      <c r="EB354">
        <v>0</v>
      </c>
      <c r="EC354">
        <v>0</v>
      </c>
      <c r="ED354">
        <v>0</v>
      </c>
      <c r="EE354">
        <v>0</v>
      </c>
      <c r="EF354">
        <v>0</v>
      </c>
      <c r="EG354">
        <v>0</v>
      </c>
      <c r="EH354">
        <v>0</v>
      </c>
      <c r="EI354">
        <v>0</v>
      </c>
      <c r="EJ354">
        <v>0</v>
      </c>
      <c r="EK354">
        <v>0</v>
      </c>
      <c r="EL354">
        <v>0</v>
      </c>
      <c r="EM354">
        <v>0</v>
      </c>
      <c r="EN354">
        <v>0</v>
      </c>
      <c r="EO354">
        <v>0</v>
      </c>
      <c r="EP354">
        <v>0</v>
      </c>
      <c r="EQ354">
        <v>0</v>
      </c>
      <c r="ER354">
        <v>0</v>
      </c>
      <c r="ES354">
        <v>0</v>
      </c>
      <c r="ET354">
        <v>0</v>
      </c>
      <c r="EU354">
        <v>0</v>
      </c>
      <c r="EV354">
        <v>0</v>
      </c>
      <c r="EW354">
        <v>0</v>
      </c>
      <c r="EX354">
        <v>0</v>
      </c>
      <c r="EY354">
        <v>0</v>
      </c>
      <c r="EZ354">
        <v>0</v>
      </c>
      <c r="FA354">
        <v>0</v>
      </c>
      <c r="FB354">
        <v>0</v>
      </c>
      <c r="FC354">
        <v>0</v>
      </c>
      <c r="FD354">
        <v>0</v>
      </c>
      <c r="FE354">
        <v>0</v>
      </c>
      <c r="FF354">
        <v>0</v>
      </c>
      <c r="FG354">
        <v>0</v>
      </c>
      <c r="FH354">
        <v>0</v>
      </c>
      <c r="FI354">
        <v>0</v>
      </c>
      <c r="FJ354">
        <v>0</v>
      </c>
      <c r="FK354">
        <v>0</v>
      </c>
      <c r="FL354">
        <v>0</v>
      </c>
      <c r="FM354">
        <v>0</v>
      </c>
      <c r="FN354">
        <v>0</v>
      </c>
      <c r="FO354">
        <v>0</v>
      </c>
      <c r="FP354">
        <v>0</v>
      </c>
      <c r="FQ354">
        <v>0</v>
      </c>
      <c r="FR354">
        <v>0</v>
      </c>
      <c r="FS354">
        <v>0</v>
      </c>
      <c r="FT354">
        <v>0</v>
      </c>
      <c r="FU354">
        <v>0</v>
      </c>
      <c r="FV354">
        <v>0</v>
      </c>
      <c r="FW354">
        <v>0</v>
      </c>
      <c r="FX354">
        <v>0</v>
      </c>
      <c r="FY354">
        <v>0</v>
      </c>
      <c r="FZ354">
        <v>0</v>
      </c>
      <c r="GA354">
        <v>0</v>
      </c>
      <c r="GB354">
        <v>0</v>
      </c>
      <c r="GC354">
        <v>0</v>
      </c>
      <c r="GD354">
        <v>0</v>
      </c>
      <c r="GE354">
        <v>0</v>
      </c>
      <c r="GF354">
        <v>0</v>
      </c>
      <c r="GG354">
        <v>0</v>
      </c>
      <c r="GH354">
        <v>0</v>
      </c>
      <c r="GI354">
        <v>0</v>
      </c>
      <c r="GJ354">
        <v>0</v>
      </c>
      <c r="GK354">
        <v>0</v>
      </c>
      <c r="GL354">
        <v>0</v>
      </c>
      <c r="GM354">
        <v>0</v>
      </c>
      <c r="GN354">
        <v>0</v>
      </c>
      <c r="GO354">
        <v>0</v>
      </c>
      <c r="GP354">
        <v>0</v>
      </c>
      <c r="GQ354">
        <v>0</v>
      </c>
      <c r="GR354">
        <v>0</v>
      </c>
      <c r="GS354">
        <v>0</v>
      </c>
      <c r="GT354">
        <v>0</v>
      </c>
      <c r="GU354">
        <v>0</v>
      </c>
      <c r="GV354">
        <v>0</v>
      </c>
      <c r="GW354">
        <v>0</v>
      </c>
      <c r="GX354">
        <v>0</v>
      </c>
      <c r="GY354">
        <v>0</v>
      </c>
      <c r="GZ354">
        <v>0</v>
      </c>
      <c r="HA354">
        <v>0</v>
      </c>
      <c r="HB354">
        <v>0</v>
      </c>
      <c r="HC354">
        <v>0</v>
      </c>
      <c r="HD354">
        <v>0</v>
      </c>
      <c r="HE354">
        <v>0</v>
      </c>
      <c r="HF354">
        <v>0</v>
      </c>
      <c r="HG354">
        <v>0</v>
      </c>
      <c r="HH354">
        <v>0</v>
      </c>
      <c r="HI354">
        <v>0</v>
      </c>
      <c r="HJ354">
        <v>0</v>
      </c>
      <c r="HK354">
        <v>0</v>
      </c>
      <c r="HL354">
        <v>0</v>
      </c>
      <c r="HM354">
        <v>0</v>
      </c>
      <c r="HN354">
        <v>0</v>
      </c>
      <c r="HO354">
        <v>0</v>
      </c>
      <c r="HP354">
        <v>0</v>
      </c>
      <c r="HQ354">
        <v>0</v>
      </c>
      <c r="HR354">
        <v>0</v>
      </c>
      <c r="HS354">
        <v>0</v>
      </c>
      <c r="HT354">
        <v>0</v>
      </c>
      <c r="HU354">
        <v>0</v>
      </c>
      <c r="HV354">
        <v>0</v>
      </c>
      <c r="HW354">
        <v>0</v>
      </c>
      <c r="HX354">
        <v>0</v>
      </c>
      <c r="HY354">
        <v>0</v>
      </c>
      <c r="HZ354">
        <v>0</v>
      </c>
      <c r="IA354">
        <v>0</v>
      </c>
      <c r="IB354">
        <v>0</v>
      </c>
      <c r="IC354">
        <v>0</v>
      </c>
      <c r="ID354">
        <v>0</v>
      </c>
      <c r="IE354">
        <v>0</v>
      </c>
      <c r="IF354">
        <v>0</v>
      </c>
      <c r="IG354">
        <v>0</v>
      </c>
      <c r="IH354">
        <v>0</v>
      </c>
      <c r="II354">
        <v>0</v>
      </c>
      <c r="IJ354">
        <v>0</v>
      </c>
      <c r="IK354">
        <v>0</v>
      </c>
      <c r="IL354">
        <v>0</v>
      </c>
      <c r="IM354">
        <v>0</v>
      </c>
      <c r="IN354">
        <v>0</v>
      </c>
      <c r="IO354">
        <v>0</v>
      </c>
      <c r="IP354">
        <v>0</v>
      </c>
      <c r="IQ354">
        <v>0</v>
      </c>
      <c r="IR354">
        <v>0</v>
      </c>
      <c r="IS354">
        <v>0</v>
      </c>
      <c r="IT354">
        <v>0</v>
      </c>
      <c r="IU354">
        <v>0</v>
      </c>
      <c r="IV354">
        <v>0</v>
      </c>
      <c r="IW354">
        <v>0</v>
      </c>
      <c r="IX354">
        <v>0</v>
      </c>
      <c r="IY354">
        <v>0</v>
      </c>
      <c r="IZ354">
        <v>0</v>
      </c>
      <c r="JA354">
        <v>0</v>
      </c>
      <c r="JB354">
        <v>0</v>
      </c>
      <c r="JC354">
        <v>0</v>
      </c>
      <c r="JD354">
        <v>0</v>
      </c>
      <c r="JE354">
        <v>0</v>
      </c>
      <c r="JF354">
        <v>0</v>
      </c>
      <c r="JG354">
        <v>0</v>
      </c>
      <c r="JH354">
        <v>0</v>
      </c>
      <c r="JI354">
        <v>0</v>
      </c>
      <c r="JJ354">
        <v>0</v>
      </c>
      <c r="JK354">
        <v>0</v>
      </c>
      <c r="JL354">
        <v>0</v>
      </c>
      <c r="JM354">
        <v>0</v>
      </c>
      <c r="JN354">
        <v>0</v>
      </c>
      <c r="JO354">
        <v>0</v>
      </c>
      <c r="JP354">
        <v>0</v>
      </c>
      <c r="JQ354">
        <v>0</v>
      </c>
      <c r="JR354">
        <v>0</v>
      </c>
      <c r="JS354">
        <v>0</v>
      </c>
      <c r="JT354">
        <v>0</v>
      </c>
      <c r="JU354">
        <v>0</v>
      </c>
      <c r="JV354">
        <v>0</v>
      </c>
      <c r="JW354">
        <v>0</v>
      </c>
      <c r="JX354">
        <v>0</v>
      </c>
      <c r="JY354">
        <v>0</v>
      </c>
      <c r="JZ354">
        <v>0</v>
      </c>
      <c r="KA354">
        <v>0</v>
      </c>
      <c r="KB354">
        <v>0</v>
      </c>
      <c r="KC354">
        <v>0</v>
      </c>
      <c r="KD354">
        <v>0</v>
      </c>
      <c r="KE354">
        <v>0</v>
      </c>
      <c r="KF354">
        <v>0</v>
      </c>
      <c r="KG354">
        <v>0</v>
      </c>
      <c r="KH354">
        <v>0</v>
      </c>
      <c r="KI354">
        <v>0</v>
      </c>
      <c r="KJ354">
        <v>0</v>
      </c>
      <c r="KK354">
        <v>0</v>
      </c>
      <c r="KL354">
        <v>0</v>
      </c>
      <c r="KM354">
        <v>0</v>
      </c>
      <c r="KN354">
        <v>0</v>
      </c>
      <c r="KO354">
        <v>0</v>
      </c>
      <c r="KP354">
        <v>0</v>
      </c>
      <c r="KQ354">
        <v>0</v>
      </c>
      <c r="KR354">
        <v>0</v>
      </c>
      <c r="KS354">
        <v>0</v>
      </c>
      <c r="KT354">
        <v>0</v>
      </c>
      <c r="KU354">
        <v>0</v>
      </c>
      <c r="KV354">
        <v>0</v>
      </c>
      <c r="KW354">
        <v>0</v>
      </c>
      <c r="KX354">
        <v>0</v>
      </c>
      <c r="KY354">
        <v>0</v>
      </c>
      <c r="KZ354">
        <v>0</v>
      </c>
      <c r="LA354">
        <v>0</v>
      </c>
      <c r="LB354">
        <v>0</v>
      </c>
      <c r="LC354">
        <v>0</v>
      </c>
      <c r="LD354">
        <v>0</v>
      </c>
      <c r="LE354">
        <v>0</v>
      </c>
      <c r="LF354">
        <v>0</v>
      </c>
      <c r="LG354">
        <v>0</v>
      </c>
      <c r="LH354">
        <v>0</v>
      </c>
      <c r="LI354">
        <v>0</v>
      </c>
      <c r="LJ354">
        <v>0</v>
      </c>
      <c r="LK354">
        <v>0</v>
      </c>
      <c r="LL354">
        <v>0</v>
      </c>
      <c r="LM354">
        <v>0</v>
      </c>
      <c r="LN354">
        <v>0</v>
      </c>
      <c r="LO354">
        <v>0</v>
      </c>
      <c r="LP354">
        <v>0</v>
      </c>
      <c r="LQ354">
        <v>0</v>
      </c>
      <c r="LR354">
        <v>0</v>
      </c>
      <c r="LS354">
        <v>0</v>
      </c>
      <c r="LT354">
        <v>0</v>
      </c>
      <c r="LU354">
        <v>0</v>
      </c>
      <c r="LV354">
        <v>0</v>
      </c>
      <c r="LW354">
        <v>0</v>
      </c>
      <c r="LX354">
        <v>0</v>
      </c>
      <c r="LY354">
        <v>0</v>
      </c>
      <c r="LZ354">
        <v>0</v>
      </c>
      <c r="MA354">
        <v>0</v>
      </c>
      <c r="MB354">
        <v>0</v>
      </c>
      <c r="MC354">
        <v>0</v>
      </c>
      <c r="MD354">
        <v>0</v>
      </c>
      <c r="ME354">
        <v>0</v>
      </c>
      <c r="MF354">
        <v>0</v>
      </c>
      <c r="MG354">
        <v>0</v>
      </c>
      <c r="MH354">
        <v>0</v>
      </c>
      <c r="MI354">
        <v>0</v>
      </c>
      <c r="MJ354">
        <v>0</v>
      </c>
      <c r="MK354">
        <v>0</v>
      </c>
      <c r="ML354">
        <v>0</v>
      </c>
      <c r="MM354">
        <v>0</v>
      </c>
      <c r="MN354">
        <v>0</v>
      </c>
      <c r="MO354">
        <v>0</v>
      </c>
      <c r="MP354">
        <v>0</v>
      </c>
      <c r="MQ354">
        <v>0</v>
      </c>
      <c r="MR354">
        <v>0</v>
      </c>
      <c r="MS354">
        <v>0</v>
      </c>
      <c r="MT354">
        <v>0</v>
      </c>
      <c r="MU354">
        <v>0</v>
      </c>
      <c r="MV354">
        <v>0</v>
      </c>
      <c r="MW354">
        <v>0</v>
      </c>
      <c r="MX354">
        <v>0</v>
      </c>
      <c r="MY354">
        <v>0</v>
      </c>
      <c r="MZ354">
        <v>0</v>
      </c>
      <c r="NA354">
        <v>0</v>
      </c>
      <c r="NB354">
        <v>0</v>
      </c>
      <c r="NC354">
        <v>0</v>
      </c>
      <c r="ND354">
        <v>0</v>
      </c>
      <c r="NE354">
        <v>0</v>
      </c>
    </row>
    <row r="355" spans="41:369" x14ac:dyDescent="0.45">
      <c r="AO355">
        <v>0</v>
      </c>
      <c r="AP355">
        <v>0</v>
      </c>
      <c r="AQ355">
        <v>0</v>
      </c>
      <c r="AR355">
        <v>0</v>
      </c>
      <c r="AS355">
        <v>0</v>
      </c>
      <c r="AT355">
        <v>0</v>
      </c>
      <c r="AU355">
        <v>0</v>
      </c>
      <c r="AV355">
        <v>0</v>
      </c>
      <c r="AW355" t="str">
        <v/>
      </c>
      <c r="AX355">
        <v>255</v>
      </c>
      <c r="AY355" s="5" t="str">
        <v/>
      </c>
      <c r="AZ355">
        <v>0</v>
      </c>
      <c r="BA355">
        <v>0</v>
      </c>
      <c r="BB355">
        <v>0</v>
      </c>
      <c r="BC355">
        <v>0</v>
      </c>
      <c r="BD355">
        <v>0</v>
      </c>
      <c r="BE355">
        <v>0</v>
      </c>
      <c r="BF355">
        <v>0</v>
      </c>
      <c r="BG355">
        <v>0</v>
      </c>
      <c r="BH355">
        <v>0</v>
      </c>
      <c r="BI355" t="str">
        <v/>
      </c>
      <c r="BK355">
        <v>349</v>
      </c>
      <c r="BL355">
        <v>0</v>
      </c>
      <c r="BM355">
        <v>0</v>
      </c>
      <c r="BN355">
        <v>0</v>
      </c>
      <c r="BO355">
        <v>0</v>
      </c>
      <c r="BP355">
        <v>0</v>
      </c>
      <c r="BQ355">
        <v>0</v>
      </c>
      <c r="BR355">
        <v>0</v>
      </c>
      <c r="BS355">
        <v>0</v>
      </c>
      <c r="BT355">
        <v>0</v>
      </c>
      <c r="BU355">
        <v>0</v>
      </c>
      <c r="BV355">
        <v>0</v>
      </c>
      <c r="BW355">
        <v>0</v>
      </c>
      <c r="BX355">
        <v>0</v>
      </c>
      <c r="BY355">
        <v>0</v>
      </c>
      <c r="BZ355">
        <v>0</v>
      </c>
      <c r="CA355">
        <v>0</v>
      </c>
      <c r="CB355">
        <v>0</v>
      </c>
      <c r="CC355">
        <v>0</v>
      </c>
      <c r="CD355">
        <v>0</v>
      </c>
      <c r="CE355">
        <v>0</v>
      </c>
      <c r="CF355">
        <v>0</v>
      </c>
      <c r="CG355">
        <v>0</v>
      </c>
      <c r="CH355">
        <v>0</v>
      </c>
      <c r="CI355">
        <v>0</v>
      </c>
      <c r="CJ355">
        <v>0</v>
      </c>
      <c r="CK355">
        <v>0</v>
      </c>
      <c r="CL355">
        <v>0</v>
      </c>
      <c r="CM355">
        <v>0</v>
      </c>
      <c r="CN355">
        <v>0</v>
      </c>
      <c r="CO355">
        <v>0</v>
      </c>
      <c r="CP355">
        <v>0</v>
      </c>
      <c r="CQ355">
        <v>0</v>
      </c>
      <c r="CR355">
        <v>0</v>
      </c>
      <c r="CS355">
        <v>0</v>
      </c>
      <c r="CT355">
        <v>0</v>
      </c>
      <c r="CU355">
        <v>0</v>
      </c>
      <c r="CV355">
        <v>0</v>
      </c>
      <c r="CW355">
        <v>0</v>
      </c>
      <c r="CX355">
        <v>0</v>
      </c>
      <c r="CY355">
        <v>0</v>
      </c>
      <c r="CZ355">
        <v>0</v>
      </c>
      <c r="DA355">
        <v>0</v>
      </c>
      <c r="DB355">
        <v>0</v>
      </c>
      <c r="DC355">
        <v>0</v>
      </c>
      <c r="DD355">
        <v>0</v>
      </c>
      <c r="DE355">
        <v>0</v>
      </c>
      <c r="DF355">
        <v>0</v>
      </c>
      <c r="DG355">
        <v>0</v>
      </c>
      <c r="DH355">
        <v>0</v>
      </c>
      <c r="DI355">
        <v>0</v>
      </c>
      <c r="DJ355">
        <v>0</v>
      </c>
      <c r="DK355">
        <v>0</v>
      </c>
      <c r="DL355">
        <v>0</v>
      </c>
      <c r="DM355">
        <v>0</v>
      </c>
      <c r="DN355">
        <v>0</v>
      </c>
      <c r="DO355">
        <v>0</v>
      </c>
      <c r="DP355">
        <v>0</v>
      </c>
      <c r="DQ355">
        <v>0</v>
      </c>
      <c r="DR355">
        <v>0</v>
      </c>
      <c r="DS355">
        <v>0</v>
      </c>
      <c r="DT355">
        <v>0</v>
      </c>
      <c r="DU355">
        <v>0</v>
      </c>
      <c r="DV355">
        <v>0</v>
      </c>
      <c r="DW355">
        <v>0</v>
      </c>
      <c r="DX355">
        <v>0</v>
      </c>
      <c r="DY355">
        <v>0</v>
      </c>
      <c r="DZ355">
        <v>0</v>
      </c>
      <c r="EA355">
        <v>0</v>
      </c>
      <c r="EB355">
        <v>0</v>
      </c>
      <c r="EC355">
        <v>0</v>
      </c>
      <c r="ED355">
        <v>0</v>
      </c>
      <c r="EE355">
        <v>0</v>
      </c>
      <c r="EF355">
        <v>0</v>
      </c>
      <c r="EG355">
        <v>0</v>
      </c>
      <c r="EH355">
        <v>0</v>
      </c>
      <c r="EI355">
        <v>0</v>
      </c>
      <c r="EJ355">
        <v>0</v>
      </c>
      <c r="EK355">
        <v>0</v>
      </c>
      <c r="EL355">
        <v>0</v>
      </c>
      <c r="EM355">
        <v>0</v>
      </c>
      <c r="EN355">
        <v>0</v>
      </c>
      <c r="EO355">
        <v>0</v>
      </c>
      <c r="EP355">
        <v>0</v>
      </c>
      <c r="EQ355">
        <v>0</v>
      </c>
      <c r="ER355">
        <v>0</v>
      </c>
      <c r="ES355">
        <v>0</v>
      </c>
      <c r="ET355">
        <v>0</v>
      </c>
      <c r="EU355">
        <v>0</v>
      </c>
      <c r="EV355">
        <v>0</v>
      </c>
      <c r="EW355">
        <v>0</v>
      </c>
      <c r="EX355">
        <v>0</v>
      </c>
      <c r="EY355">
        <v>0</v>
      </c>
      <c r="EZ355">
        <v>0</v>
      </c>
      <c r="FA355">
        <v>0</v>
      </c>
      <c r="FB355">
        <v>0</v>
      </c>
      <c r="FC355">
        <v>0</v>
      </c>
      <c r="FD355">
        <v>0</v>
      </c>
      <c r="FE355">
        <v>0</v>
      </c>
      <c r="FF355">
        <v>0</v>
      </c>
      <c r="FG355">
        <v>0</v>
      </c>
      <c r="FH355">
        <v>0</v>
      </c>
      <c r="FI355">
        <v>0</v>
      </c>
      <c r="FJ355">
        <v>0</v>
      </c>
      <c r="FK355">
        <v>0</v>
      </c>
      <c r="FL355">
        <v>0</v>
      </c>
      <c r="FM355">
        <v>0</v>
      </c>
      <c r="FN355">
        <v>0</v>
      </c>
      <c r="FO355">
        <v>0</v>
      </c>
      <c r="FP355">
        <v>0</v>
      </c>
      <c r="FQ355">
        <v>0</v>
      </c>
      <c r="FR355">
        <v>0</v>
      </c>
      <c r="FS355">
        <v>0</v>
      </c>
      <c r="FT355">
        <v>0</v>
      </c>
      <c r="FU355">
        <v>0</v>
      </c>
      <c r="FV355">
        <v>0</v>
      </c>
      <c r="FW355">
        <v>0</v>
      </c>
      <c r="FX355">
        <v>0</v>
      </c>
      <c r="FY355">
        <v>0</v>
      </c>
      <c r="FZ355">
        <v>0</v>
      </c>
      <c r="GA355">
        <v>0</v>
      </c>
      <c r="GB355">
        <v>0</v>
      </c>
      <c r="GC355">
        <v>0</v>
      </c>
      <c r="GD355">
        <v>0</v>
      </c>
      <c r="GE355">
        <v>0</v>
      </c>
      <c r="GF355">
        <v>0</v>
      </c>
      <c r="GG355">
        <v>0</v>
      </c>
      <c r="GH355">
        <v>0</v>
      </c>
      <c r="GI355">
        <v>0</v>
      </c>
      <c r="GJ355">
        <v>0</v>
      </c>
      <c r="GK355">
        <v>0</v>
      </c>
      <c r="GL355">
        <v>0</v>
      </c>
      <c r="GM355">
        <v>0</v>
      </c>
      <c r="GN355">
        <v>0</v>
      </c>
      <c r="GO355">
        <v>0</v>
      </c>
      <c r="GP355">
        <v>0</v>
      </c>
      <c r="GQ355">
        <v>0</v>
      </c>
      <c r="GR355">
        <v>0</v>
      </c>
      <c r="GS355">
        <v>0</v>
      </c>
      <c r="GT355">
        <v>0</v>
      </c>
      <c r="GU355">
        <v>0</v>
      </c>
      <c r="GV355">
        <v>0</v>
      </c>
      <c r="GW355">
        <v>0</v>
      </c>
      <c r="GX355">
        <v>0</v>
      </c>
      <c r="GY355">
        <v>0</v>
      </c>
      <c r="GZ355">
        <v>0</v>
      </c>
      <c r="HA355">
        <v>0</v>
      </c>
      <c r="HB355">
        <v>0</v>
      </c>
      <c r="HC355">
        <v>0</v>
      </c>
      <c r="HD355">
        <v>0</v>
      </c>
      <c r="HE355">
        <v>0</v>
      </c>
      <c r="HF355">
        <v>0</v>
      </c>
      <c r="HG355">
        <v>0</v>
      </c>
      <c r="HH355">
        <v>0</v>
      </c>
      <c r="HI355">
        <v>0</v>
      </c>
      <c r="HJ355">
        <v>0</v>
      </c>
      <c r="HK355">
        <v>0</v>
      </c>
      <c r="HL355">
        <v>0</v>
      </c>
      <c r="HM355">
        <v>0</v>
      </c>
      <c r="HN355">
        <v>0</v>
      </c>
      <c r="HO355">
        <v>0</v>
      </c>
      <c r="HP355">
        <v>0</v>
      </c>
      <c r="HQ355">
        <v>0</v>
      </c>
      <c r="HR355">
        <v>0</v>
      </c>
      <c r="HS355">
        <v>0</v>
      </c>
      <c r="HT355">
        <v>0</v>
      </c>
      <c r="HU355">
        <v>0</v>
      </c>
      <c r="HV355">
        <v>0</v>
      </c>
      <c r="HW355">
        <v>0</v>
      </c>
      <c r="HX355">
        <v>0</v>
      </c>
      <c r="HY355">
        <v>0</v>
      </c>
      <c r="HZ355">
        <v>0</v>
      </c>
      <c r="IA355">
        <v>0</v>
      </c>
      <c r="IB355">
        <v>0</v>
      </c>
      <c r="IC355">
        <v>0</v>
      </c>
      <c r="ID355">
        <v>0</v>
      </c>
      <c r="IE355">
        <v>0</v>
      </c>
      <c r="IF355">
        <v>0</v>
      </c>
      <c r="IG355">
        <v>0</v>
      </c>
      <c r="IH355">
        <v>0</v>
      </c>
      <c r="II355">
        <v>0</v>
      </c>
      <c r="IJ355">
        <v>0</v>
      </c>
      <c r="IK355">
        <v>0</v>
      </c>
      <c r="IL355">
        <v>0</v>
      </c>
      <c r="IM355">
        <v>0</v>
      </c>
      <c r="IN355">
        <v>0</v>
      </c>
      <c r="IO355">
        <v>0</v>
      </c>
      <c r="IP355">
        <v>0</v>
      </c>
      <c r="IQ355">
        <v>0</v>
      </c>
      <c r="IR355">
        <v>0</v>
      </c>
      <c r="IS355">
        <v>0</v>
      </c>
      <c r="IT355">
        <v>0</v>
      </c>
      <c r="IU355">
        <v>0</v>
      </c>
      <c r="IV355">
        <v>0</v>
      </c>
      <c r="IW355">
        <v>0</v>
      </c>
      <c r="IX355">
        <v>0</v>
      </c>
      <c r="IY355">
        <v>0</v>
      </c>
      <c r="IZ355">
        <v>0</v>
      </c>
      <c r="JA355">
        <v>0</v>
      </c>
      <c r="JB355">
        <v>0</v>
      </c>
      <c r="JC355">
        <v>0</v>
      </c>
      <c r="JD355">
        <v>0</v>
      </c>
      <c r="JE355">
        <v>0</v>
      </c>
      <c r="JF355">
        <v>0</v>
      </c>
      <c r="JG355">
        <v>0</v>
      </c>
      <c r="JH355">
        <v>0</v>
      </c>
      <c r="JI355">
        <v>0</v>
      </c>
      <c r="JJ355">
        <v>0</v>
      </c>
      <c r="JK355">
        <v>0</v>
      </c>
      <c r="JL355">
        <v>0</v>
      </c>
      <c r="JM355">
        <v>0</v>
      </c>
      <c r="JN355">
        <v>0</v>
      </c>
      <c r="JO355">
        <v>0</v>
      </c>
      <c r="JP355">
        <v>0</v>
      </c>
      <c r="JQ355">
        <v>0</v>
      </c>
      <c r="JR355">
        <v>0</v>
      </c>
      <c r="JS355">
        <v>0</v>
      </c>
      <c r="JT355">
        <v>0</v>
      </c>
      <c r="JU355">
        <v>0</v>
      </c>
      <c r="JV355">
        <v>0</v>
      </c>
      <c r="JW355">
        <v>0</v>
      </c>
      <c r="JX355">
        <v>0</v>
      </c>
      <c r="JY355">
        <v>0</v>
      </c>
      <c r="JZ355">
        <v>0</v>
      </c>
      <c r="KA355">
        <v>0</v>
      </c>
      <c r="KB355">
        <v>0</v>
      </c>
      <c r="KC355">
        <v>0</v>
      </c>
      <c r="KD355">
        <v>0</v>
      </c>
      <c r="KE355">
        <v>0</v>
      </c>
      <c r="KF355">
        <v>0</v>
      </c>
      <c r="KG355">
        <v>0</v>
      </c>
      <c r="KH355">
        <v>0</v>
      </c>
      <c r="KI355">
        <v>0</v>
      </c>
      <c r="KJ355">
        <v>0</v>
      </c>
      <c r="KK355">
        <v>0</v>
      </c>
      <c r="KL355">
        <v>0</v>
      </c>
      <c r="KM355">
        <v>0</v>
      </c>
      <c r="KN355">
        <v>0</v>
      </c>
      <c r="KO355">
        <v>0</v>
      </c>
      <c r="KP355">
        <v>0</v>
      </c>
      <c r="KQ355">
        <v>0</v>
      </c>
      <c r="KR355">
        <v>0</v>
      </c>
      <c r="KS355">
        <v>0</v>
      </c>
      <c r="KT355">
        <v>0</v>
      </c>
      <c r="KU355">
        <v>0</v>
      </c>
      <c r="KV355">
        <v>0</v>
      </c>
      <c r="KW355">
        <v>0</v>
      </c>
      <c r="KX355">
        <v>0</v>
      </c>
      <c r="KY355">
        <v>0</v>
      </c>
      <c r="KZ355">
        <v>0</v>
      </c>
      <c r="LA355">
        <v>0</v>
      </c>
      <c r="LB355">
        <v>0</v>
      </c>
      <c r="LC355">
        <v>0</v>
      </c>
      <c r="LD355">
        <v>0</v>
      </c>
      <c r="LE355">
        <v>0</v>
      </c>
      <c r="LF355">
        <v>0</v>
      </c>
      <c r="LG355">
        <v>0</v>
      </c>
      <c r="LH355">
        <v>0</v>
      </c>
      <c r="LI355">
        <v>0</v>
      </c>
      <c r="LJ355">
        <v>0</v>
      </c>
      <c r="LK355">
        <v>0</v>
      </c>
      <c r="LL355">
        <v>0</v>
      </c>
      <c r="LM355">
        <v>0</v>
      </c>
      <c r="LN355">
        <v>0</v>
      </c>
      <c r="LO355">
        <v>0</v>
      </c>
      <c r="LP355">
        <v>0</v>
      </c>
      <c r="LQ355">
        <v>0</v>
      </c>
      <c r="LR355">
        <v>0</v>
      </c>
      <c r="LS355">
        <v>0</v>
      </c>
      <c r="LT355">
        <v>0</v>
      </c>
      <c r="LU355">
        <v>0</v>
      </c>
      <c r="LV355">
        <v>0</v>
      </c>
      <c r="LW355">
        <v>0</v>
      </c>
      <c r="LX355">
        <v>0</v>
      </c>
      <c r="LY355">
        <v>0</v>
      </c>
      <c r="LZ355">
        <v>0</v>
      </c>
      <c r="MA355">
        <v>0</v>
      </c>
      <c r="MB355">
        <v>0</v>
      </c>
      <c r="MC355">
        <v>0</v>
      </c>
      <c r="MD355">
        <v>0</v>
      </c>
      <c r="ME355">
        <v>0</v>
      </c>
      <c r="MF355">
        <v>0</v>
      </c>
      <c r="MG355">
        <v>0</v>
      </c>
      <c r="MH355">
        <v>0</v>
      </c>
      <c r="MI355">
        <v>0</v>
      </c>
      <c r="MJ355">
        <v>0</v>
      </c>
      <c r="MK355">
        <v>0</v>
      </c>
      <c r="ML355">
        <v>0</v>
      </c>
      <c r="MM355">
        <v>0</v>
      </c>
      <c r="MN355">
        <v>0</v>
      </c>
      <c r="MO355">
        <v>0</v>
      </c>
      <c r="MP355">
        <v>0</v>
      </c>
      <c r="MQ355">
        <v>0</v>
      </c>
      <c r="MR355">
        <v>0</v>
      </c>
      <c r="MS355">
        <v>0</v>
      </c>
      <c r="MT355">
        <v>0</v>
      </c>
      <c r="MU355">
        <v>0</v>
      </c>
      <c r="MV355">
        <v>0</v>
      </c>
      <c r="MW355">
        <v>0</v>
      </c>
      <c r="MX355">
        <v>0</v>
      </c>
      <c r="MY355">
        <v>0</v>
      </c>
      <c r="MZ355">
        <v>0</v>
      </c>
      <c r="NA355">
        <v>0</v>
      </c>
      <c r="NB355">
        <v>0</v>
      </c>
      <c r="NC355">
        <v>0</v>
      </c>
      <c r="ND355">
        <v>0</v>
      </c>
      <c r="NE355">
        <v>0</v>
      </c>
    </row>
    <row r="356" spans="41:369" x14ac:dyDescent="0.45">
      <c r="AO356">
        <v>0</v>
      </c>
      <c r="AP356">
        <v>0</v>
      </c>
      <c r="AQ356">
        <v>0</v>
      </c>
      <c r="AR356">
        <v>0</v>
      </c>
      <c r="AS356">
        <v>0</v>
      </c>
      <c r="AT356">
        <v>0</v>
      </c>
      <c r="AU356">
        <v>0</v>
      </c>
      <c r="AV356">
        <v>0</v>
      </c>
      <c r="AW356" t="str">
        <v/>
      </c>
      <c r="AX356">
        <v>255</v>
      </c>
      <c r="AY356" s="5" t="str">
        <v/>
      </c>
      <c r="AZ356">
        <v>0</v>
      </c>
      <c r="BA356">
        <v>0</v>
      </c>
      <c r="BB356">
        <v>0</v>
      </c>
      <c r="BC356">
        <v>0</v>
      </c>
      <c r="BD356">
        <v>0</v>
      </c>
      <c r="BE356">
        <v>0</v>
      </c>
      <c r="BF356">
        <v>0</v>
      </c>
      <c r="BG356">
        <v>0</v>
      </c>
      <c r="BH356">
        <v>0</v>
      </c>
      <c r="BI356" t="str">
        <v/>
      </c>
      <c r="BK356">
        <v>350</v>
      </c>
      <c r="BL356">
        <v>0</v>
      </c>
      <c r="BM356">
        <v>0</v>
      </c>
      <c r="BN356">
        <v>0</v>
      </c>
      <c r="BO356">
        <v>0</v>
      </c>
      <c r="BP356">
        <v>0</v>
      </c>
      <c r="BQ356">
        <v>0</v>
      </c>
      <c r="BR356">
        <v>0</v>
      </c>
      <c r="BS356">
        <v>0</v>
      </c>
      <c r="BT356">
        <v>0</v>
      </c>
      <c r="BU356">
        <v>0</v>
      </c>
      <c r="BV356">
        <v>0</v>
      </c>
      <c r="BW356">
        <v>0</v>
      </c>
      <c r="BX356">
        <v>0</v>
      </c>
      <c r="BY356">
        <v>0</v>
      </c>
      <c r="BZ356">
        <v>0</v>
      </c>
      <c r="CA356">
        <v>0</v>
      </c>
      <c r="CB356">
        <v>0</v>
      </c>
      <c r="CC356">
        <v>0</v>
      </c>
      <c r="CD356">
        <v>0</v>
      </c>
      <c r="CE356">
        <v>0</v>
      </c>
      <c r="CF356">
        <v>0</v>
      </c>
      <c r="CG356">
        <v>0</v>
      </c>
      <c r="CH356">
        <v>0</v>
      </c>
      <c r="CI356">
        <v>0</v>
      </c>
      <c r="CJ356">
        <v>0</v>
      </c>
      <c r="CK356">
        <v>0</v>
      </c>
      <c r="CL356">
        <v>0</v>
      </c>
      <c r="CM356">
        <v>0</v>
      </c>
      <c r="CN356">
        <v>0</v>
      </c>
      <c r="CO356">
        <v>0</v>
      </c>
      <c r="CP356">
        <v>0</v>
      </c>
      <c r="CQ356">
        <v>0</v>
      </c>
      <c r="CR356">
        <v>0</v>
      </c>
      <c r="CS356">
        <v>0</v>
      </c>
      <c r="CT356">
        <v>0</v>
      </c>
      <c r="CU356">
        <v>0</v>
      </c>
      <c r="CV356">
        <v>0</v>
      </c>
      <c r="CW356">
        <v>0</v>
      </c>
      <c r="CX356">
        <v>0</v>
      </c>
      <c r="CY356">
        <v>0</v>
      </c>
      <c r="CZ356">
        <v>0</v>
      </c>
      <c r="DA356">
        <v>0</v>
      </c>
      <c r="DB356">
        <v>0</v>
      </c>
      <c r="DC356">
        <v>0</v>
      </c>
      <c r="DD356">
        <v>0</v>
      </c>
      <c r="DE356">
        <v>0</v>
      </c>
      <c r="DF356">
        <v>0</v>
      </c>
      <c r="DG356">
        <v>0</v>
      </c>
      <c r="DH356">
        <v>0</v>
      </c>
      <c r="DI356">
        <v>0</v>
      </c>
      <c r="DJ356">
        <v>0</v>
      </c>
      <c r="DK356">
        <v>0</v>
      </c>
      <c r="DL356">
        <v>0</v>
      </c>
      <c r="DM356">
        <v>0</v>
      </c>
      <c r="DN356">
        <v>0</v>
      </c>
      <c r="DO356">
        <v>0</v>
      </c>
      <c r="DP356">
        <v>0</v>
      </c>
      <c r="DQ356">
        <v>0</v>
      </c>
      <c r="DR356">
        <v>0</v>
      </c>
      <c r="DS356">
        <v>0</v>
      </c>
      <c r="DT356">
        <v>0</v>
      </c>
      <c r="DU356">
        <v>0</v>
      </c>
      <c r="DV356">
        <v>0</v>
      </c>
      <c r="DW356">
        <v>0</v>
      </c>
      <c r="DX356">
        <v>0</v>
      </c>
      <c r="DY356">
        <v>0</v>
      </c>
      <c r="DZ356">
        <v>0</v>
      </c>
      <c r="EA356">
        <v>0</v>
      </c>
      <c r="EB356">
        <v>0</v>
      </c>
      <c r="EC356">
        <v>0</v>
      </c>
      <c r="ED356">
        <v>0</v>
      </c>
      <c r="EE356">
        <v>0</v>
      </c>
      <c r="EF356">
        <v>0</v>
      </c>
      <c r="EG356">
        <v>0</v>
      </c>
      <c r="EH356">
        <v>0</v>
      </c>
      <c r="EI356">
        <v>0</v>
      </c>
      <c r="EJ356">
        <v>0</v>
      </c>
      <c r="EK356">
        <v>0</v>
      </c>
      <c r="EL356">
        <v>0</v>
      </c>
      <c r="EM356">
        <v>0</v>
      </c>
      <c r="EN356">
        <v>0</v>
      </c>
      <c r="EO356">
        <v>0</v>
      </c>
      <c r="EP356">
        <v>0</v>
      </c>
      <c r="EQ356">
        <v>0</v>
      </c>
      <c r="ER356">
        <v>0</v>
      </c>
      <c r="ES356">
        <v>0</v>
      </c>
      <c r="ET356">
        <v>0</v>
      </c>
      <c r="EU356">
        <v>0</v>
      </c>
      <c r="EV356">
        <v>0</v>
      </c>
      <c r="EW356">
        <v>0</v>
      </c>
      <c r="EX356">
        <v>0</v>
      </c>
      <c r="EY356">
        <v>0</v>
      </c>
      <c r="EZ356">
        <v>0</v>
      </c>
      <c r="FA356">
        <v>0</v>
      </c>
      <c r="FB356">
        <v>0</v>
      </c>
      <c r="FC356">
        <v>0</v>
      </c>
      <c r="FD356">
        <v>0</v>
      </c>
      <c r="FE356">
        <v>0</v>
      </c>
      <c r="FF356">
        <v>0</v>
      </c>
      <c r="FG356">
        <v>0</v>
      </c>
      <c r="FH356">
        <v>0</v>
      </c>
      <c r="FI356">
        <v>0</v>
      </c>
      <c r="FJ356">
        <v>0</v>
      </c>
      <c r="FK356">
        <v>0</v>
      </c>
      <c r="FL356">
        <v>0</v>
      </c>
      <c r="FM356">
        <v>0</v>
      </c>
      <c r="FN356">
        <v>0</v>
      </c>
      <c r="FO356">
        <v>0</v>
      </c>
      <c r="FP356">
        <v>0</v>
      </c>
      <c r="FQ356">
        <v>0</v>
      </c>
      <c r="FR356">
        <v>0</v>
      </c>
      <c r="FS356">
        <v>0</v>
      </c>
      <c r="FT356">
        <v>0</v>
      </c>
      <c r="FU356">
        <v>0</v>
      </c>
      <c r="FV356">
        <v>0</v>
      </c>
      <c r="FW356">
        <v>0</v>
      </c>
      <c r="FX356">
        <v>0</v>
      </c>
      <c r="FY356">
        <v>0</v>
      </c>
      <c r="FZ356">
        <v>0</v>
      </c>
      <c r="GA356">
        <v>0</v>
      </c>
      <c r="GB356">
        <v>0</v>
      </c>
      <c r="GC356">
        <v>0</v>
      </c>
      <c r="GD356">
        <v>0</v>
      </c>
      <c r="GE356">
        <v>0</v>
      </c>
      <c r="GF356">
        <v>0</v>
      </c>
      <c r="GG356">
        <v>0</v>
      </c>
      <c r="GH356">
        <v>0</v>
      </c>
      <c r="GI356">
        <v>0</v>
      </c>
      <c r="GJ356">
        <v>0</v>
      </c>
      <c r="GK356">
        <v>0</v>
      </c>
      <c r="GL356">
        <v>0</v>
      </c>
      <c r="GM356">
        <v>0</v>
      </c>
      <c r="GN356">
        <v>0</v>
      </c>
      <c r="GO356">
        <v>0</v>
      </c>
      <c r="GP356">
        <v>0</v>
      </c>
      <c r="GQ356">
        <v>0</v>
      </c>
      <c r="GR356">
        <v>0</v>
      </c>
      <c r="GS356">
        <v>0</v>
      </c>
      <c r="GT356">
        <v>0</v>
      </c>
      <c r="GU356">
        <v>0</v>
      </c>
      <c r="GV356">
        <v>0</v>
      </c>
      <c r="GW356">
        <v>0</v>
      </c>
      <c r="GX356">
        <v>0</v>
      </c>
      <c r="GY356">
        <v>0</v>
      </c>
      <c r="GZ356">
        <v>0</v>
      </c>
      <c r="HA356">
        <v>0</v>
      </c>
      <c r="HB356">
        <v>0</v>
      </c>
      <c r="HC356">
        <v>0</v>
      </c>
      <c r="HD356">
        <v>0</v>
      </c>
      <c r="HE356">
        <v>0</v>
      </c>
      <c r="HF356">
        <v>0</v>
      </c>
      <c r="HG356">
        <v>0</v>
      </c>
      <c r="HH356">
        <v>0</v>
      </c>
      <c r="HI356">
        <v>0</v>
      </c>
      <c r="HJ356">
        <v>0</v>
      </c>
      <c r="HK356">
        <v>0</v>
      </c>
      <c r="HL356">
        <v>0</v>
      </c>
      <c r="HM356">
        <v>0</v>
      </c>
      <c r="HN356">
        <v>0</v>
      </c>
      <c r="HO356">
        <v>0</v>
      </c>
      <c r="HP356">
        <v>0</v>
      </c>
      <c r="HQ356">
        <v>0</v>
      </c>
      <c r="HR356">
        <v>0</v>
      </c>
      <c r="HS356">
        <v>0</v>
      </c>
      <c r="HT356">
        <v>0</v>
      </c>
      <c r="HU356">
        <v>0</v>
      </c>
      <c r="HV356">
        <v>0</v>
      </c>
      <c r="HW356">
        <v>0</v>
      </c>
      <c r="HX356">
        <v>0</v>
      </c>
      <c r="HY356">
        <v>0</v>
      </c>
      <c r="HZ356">
        <v>0</v>
      </c>
      <c r="IA356">
        <v>0</v>
      </c>
      <c r="IB356">
        <v>0</v>
      </c>
      <c r="IC356">
        <v>0</v>
      </c>
      <c r="ID356">
        <v>0</v>
      </c>
      <c r="IE356">
        <v>0</v>
      </c>
      <c r="IF356">
        <v>0</v>
      </c>
      <c r="IG356">
        <v>0</v>
      </c>
      <c r="IH356">
        <v>0</v>
      </c>
      <c r="II356">
        <v>0</v>
      </c>
      <c r="IJ356">
        <v>0</v>
      </c>
      <c r="IK356">
        <v>0</v>
      </c>
      <c r="IL356">
        <v>0</v>
      </c>
      <c r="IM356">
        <v>0</v>
      </c>
      <c r="IN356">
        <v>0</v>
      </c>
      <c r="IO356">
        <v>0</v>
      </c>
      <c r="IP356">
        <v>0</v>
      </c>
      <c r="IQ356">
        <v>0</v>
      </c>
      <c r="IR356">
        <v>0</v>
      </c>
      <c r="IS356">
        <v>0</v>
      </c>
      <c r="IT356">
        <v>0</v>
      </c>
      <c r="IU356">
        <v>0</v>
      </c>
      <c r="IV356">
        <v>0</v>
      </c>
      <c r="IW356">
        <v>0</v>
      </c>
      <c r="IX356">
        <v>0</v>
      </c>
      <c r="IY356">
        <v>0</v>
      </c>
      <c r="IZ356">
        <v>0</v>
      </c>
      <c r="JA356">
        <v>0</v>
      </c>
      <c r="JB356">
        <v>0</v>
      </c>
      <c r="JC356">
        <v>0</v>
      </c>
      <c r="JD356">
        <v>0</v>
      </c>
      <c r="JE356">
        <v>0</v>
      </c>
      <c r="JF356">
        <v>0</v>
      </c>
      <c r="JG356">
        <v>0</v>
      </c>
      <c r="JH356">
        <v>0</v>
      </c>
      <c r="JI356">
        <v>0</v>
      </c>
      <c r="JJ356">
        <v>0</v>
      </c>
      <c r="JK356">
        <v>0</v>
      </c>
      <c r="JL356">
        <v>0</v>
      </c>
      <c r="JM356">
        <v>0</v>
      </c>
      <c r="JN356">
        <v>0</v>
      </c>
      <c r="JO356">
        <v>0</v>
      </c>
      <c r="JP356">
        <v>0</v>
      </c>
      <c r="JQ356">
        <v>0</v>
      </c>
      <c r="JR356">
        <v>0</v>
      </c>
      <c r="JS356">
        <v>0</v>
      </c>
      <c r="JT356">
        <v>0</v>
      </c>
      <c r="JU356">
        <v>0</v>
      </c>
      <c r="JV356">
        <v>0</v>
      </c>
      <c r="JW356">
        <v>0</v>
      </c>
      <c r="JX356">
        <v>0</v>
      </c>
      <c r="JY356">
        <v>0</v>
      </c>
      <c r="JZ356">
        <v>0</v>
      </c>
      <c r="KA356">
        <v>0</v>
      </c>
      <c r="KB356">
        <v>0</v>
      </c>
      <c r="KC356">
        <v>0</v>
      </c>
      <c r="KD356">
        <v>0</v>
      </c>
      <c r="KE356">
        <v>0</v>
      </c>
      <c r="KF356">
        <v>0</v>
      </c>
      <c r="KG356">
        <v>0</v>
      </c>
      <c r="KH356">
        <v>0</v>
      </c>
      <c r="KI356">
        <v>0</v>
      </c>
      <c r="KJ356">
        <v>0</v>
      </c>
      <c r="KK356">
        <v>0</v>
      </c>
      <c r="KL356">
        <v>0</v>
      </c>
      <c r="KM356">
        <v>0</v>
      </c>
      <c r="KN356">
        <v>0</v>
      </c>
      <c r="KO356">
        <v>0</v>
      </c>
      <c r="KP356">
        <v>0</v>
      </c>
      <c r="KQ356">
        <v>0</v>
      </c>
      <c r="KR356">
        <v>0</v>
      </c>
      <c r="KS356">
        <v>0</v>
      </c>
      <c r="KT356">
        <v>0</v>
      </c>
      <c r="KU356">
        <v>0</v>
      </c>
      <c r="KV356">
        <v>0</v>
      </c>
      <c r="KW356">
        <v>0</v>
      </c>
      <c r="KX356">
        <v>0</v>
      </c>
      <c r="KY356">
        <v>0</v>
      </c>
      <c r="KZ356">
        <v>0</v>
      </c>
      <c r="LA356">
        <v>0</v>
      </c>
      <c r="LB356">
        <v>0</v>
      </c>
      <c r="LC356">
        <v>0</v>
      </c>
      <c r="LD356">
        <v>0</v>
      </c>
      <c r="LE356">
        <v>0</v>
      </c>
      <c r="LF356">
        <v>0</v>
      </c>
      <c r="LG356">
        <v>0</v>
      </c>
      <c r="LH356">
        <v>0</v>
      </c>
      <c r="LI356">
        <v>0</v>
      </c>
      <c r="LJ356">
        <v>0</v>
      </c>
      <c r="LK356">
        <v>0</v>
      </c>
      <c r="LL356">
        <v>0</v>
      </c>
      <c r="LM356">
        <v>0</v>
      </c>
      <c r="LN356">
        <v>0</v>
      </c>
      <c r="LO356">
        <v>0</v>
      </c>
      <c r="LP356">
        <v>0</v>
      </c>
      <c r="LQ356">
        <v>0</v>
      </c>
      <c r="LR356">
        <v>0</v>
      </c>
      <c r="LS356">
        <v>0</v>
      </c>
      <c r="LT356">
        <v>0</v>
      </c>
      <c r="LU356">
        <v>0</v>
      </c>
      <c r="LV356">
        <v>0</v>
      </c>
      <c r="LW356">
        <v>0</v>
      </c>
      <c r="LX356">
        <v>0</v>
      </c>
      <c r="LY356">
        <v>0</v>
      </c>
      <c r="LZ356">
        <v>0</v>
      </c>
      <c r="MA356">
        <v>0</v>
      </c>
      <c r="MB356">
        <v>0</v>
      </c>
      <c r="MC356">
        <v>0</v>
      </c>
      <c r="MD356">
        <v>0</v>
      </c>
      <c r="ME356">
        <v>0</v>
      </c>
      <c r="MF356">
        <v>0</v>
      </c>
      <c r="MG356">
        <v>0</v>
      </c>
      <c r="MH356">
        <v>0</v>
      </c>
      <c r="MI356">
        <v>0</v>
      </c>
      <c r="MJ356">
        <v>0</v>
      </c>
      <c r="MK356">
        <v>0</v>
      </c>
      <c r="ML356">
        <v>0</v>
      </c>
      <c r="MM356">
        <v>0</v>
      </c>
      <c r="MN356">
        <v>0</v>
      </c>
      <c r="MO356">
        <v>0</v>
      </c>
      <c r="MP356">
        <v>0</v>
      </c>
      <c r="MQ356">
        <v>0</v>
      </c>
      <c r="MR356">
        <v>0</v>
      </c>
      <c r="MS356">
        <v>0</v>
      </c>
      <c r="MT356">
        <v>0</v>
      </c>
      <c r="MU356">
        <v>0</v>
      </c>
      <c r="MV356">
        <v>0</v>
      </c>
      <c r="MW356">
        <v>0</v>
      </c>
      <c r="MX356">
        <v>0</v>
      </c>
      <c r="MY356">
        <v>0</v>
      </c>
      <c r="MZ356">
        <v>0</v>
      </c>
      <c r="NA356">
        <v>0</v>
      </c>
      <c r="NB356">
        <v>0</v>
      </c>
      <c r="NC356">
        <v>0</v>
      </c>
      <c r="ND356">
        <v>0</v>
      </c>
      <c r="NE356">
        <v>0</v>
      </c>
    </row>
    <row r="357" spans="41:369" x14ac:dyDescent="0.45">
      <c r="AO357">
        <v>0</v>
      </c>
      <c r="AP357">
        <v>0</v>
      </c>
      <c r="AQ357">
        <v>0</v>
      </c>
      <c r="AR357">
        <v>0</v>
      </c>
      <c r="AS357">
        <v>0</v>
      </c>
      <c r="AT357">
        <v>0</v>
      </c>
      <c r="AU357">
        <v>0</v>
      </c>
      <c r="AV357">
        <v>0</v>
      </c>
      <c r="AW357" t="str">
        <v/>
      </c>
      <c r="AX357">
        <v>255</v>
      </c>
      <c r="AY357" s="5" t="str">
        <v/>
      </c>
      <c r="AZ357">
        <v>0</v>
      </c>
      <c r="BA357">
        <v>0</v>
      </c>
      <c r="BB357">
        <v>0</v>
      </c>
      <c r="BC357">
        <v>0</v>
      </c>
      <c r="BD357">
        <v>0</v>
      </c>
      <c r="BE357">
        <v>0</v>
      </c>
      <c r="BF357">
        <v>0</v>
      </c>
      <c r="BG357">
        <v>0</v>
      </c>
      <c r="BH357">
        <v>0</v>
      </c>
      <c r="BI357" t="str">
        <v/>
      </c>
      <c r="BK357">
        <v>351</v>
      </c>
      <c r="BL357">
        <v>0</v>
      </c>
      <c r="BM357">
        <v>0</v>
      </c>
      <c r="BN357">
        <v>0</v>
      </c>
      <c r="BO357">
        <v>0</v>
      </c>
      <c r="BP357">
        <v>0</v>
      </c>
      <c r="BQ357">
        <v>0</v>
      </c>
      <c r="BR357">
        <v>0</v>
      </c>
      <c r="BS357">
        <v>0</v>
      </c>
      <c r="BT357">
        <v>0</v>
      </c>
      <c r="BU357">
        <v>0</v>
      </c>
      <c r="BV357">
        <v>0</v>
      </c>
      <c r="BW357">
        <v>0</v>
      </c>
      <c r="BX357">
        <v>0</v>
      </c>
      <c r="BY357">
        <v>0</v>
      </c>
      <c r="BZ357">
        <v>0</v>
      </c>
      <c r="CA357">
        <v>0</v>
      </c>
      <c r="CB357">
        <v>0</v>
      </c>
      <c r="CC357">
        <v>0</v>
      </c>
      <c r="CD357">
        <v>0</v>
      </c>
      <c r="CE357">
        <v>0</v>
      </c>
      <c r="CF357">
        <v>0</v>
      </c>
      <c r="CG357">
        <v>0</v>
      </c>
      <c r="CH357">
        <v>0</v>
      </c>
      <c r="CI357">
        <v>0</v>
      </c>
      <c r="CJ357">
        <v>0</v>
      </c>
      <c r="CK357">
        <v>0</v>
      </c>
      <c r="CL357">
        <v>0</v>
      </c>
      <c r="CM357">
        <v>0</v>
      </c>
      <c r="CN357">
        <v>0</v>
      </c>
      <c r="CO357">
        <v>0</v>
      </c>
      <c r="CP357">
        <v>0</v>
      </c>
      <c r="CQ357">
        <v>0</v>
      </c>
      <c r="CR357">
        <v>0</v>
      </c>
      <c r="CS357">
        <v>0</v>
      </c>
      <c r="CT357">
        <v>0</v>
      </c>
      <c r="CU357">
        <v>0</v>
      </c>
      <c r="CV357">
        <v>0</v>
      </c>
      <c r="CW357">
        <v>0</v>
      </c>
      <c r="CX357">
        <v>0</v>
      </c>
      <c r="CY357">
        <v>0</v>
      </c>
      <c r="CZ357">
        <v>0</v>
      </c>
      <c r="DA357">
        <v>0</v>
      </c>
      <c r="DB357">
        <v>0</v>
      </c>
      <c r="DC357">
        <v>0</v>
      </c>
      <c r="DD357">
        <v>0</v>
      </c>
      <c r="DE357">
        <v>0</v>
      </c>
      <c r="DF357">
        <v>0</v>
      </c>
      <c r="DG357">
        <v>0</v>
      </c>
      <c r="DH357">
        <v>0</v>
      </c>
      <c r="DI357">
        <v>0</v>
      </c>
      <c r="DJ357">
        <v>0</v>
      </c>
      <c r="DK357">
        <v>0</v>
      </c>
      <c r="DL357">
        <v>0</v>
      </c>
      <c r="DM357">
        <v>0</v>
      </c>
      <c r="DN357">
        <v>0</v>
      </c>
      <c r="DO357">
        <v>0</v>
      </c>
      <c r="DP357">
        <v>0</v>
      </c>
      <c r="DQ357">
        <v>0</v>
      </c>
      <c r="DR357">
        <v>0</v>
      </c>
      <c r="DS357">
        <v>0</v>
      </c>
      <c r="DT357">
        <v>0</v>
      </c>
      <c r="DU357">
        <v>0</v>
      </c>
      <c r="DV357">
        <v>0</v>
      </c>
      <c r="DW357">
        <v>0</v>
      </c>
      <c r="DX357">
        <v>0</v>
      </c>
      <c r="DY357">
        <v>0</v>
      </c>
      <c r="DZ357">
        <v>0</v>
      </c>
      <c r="EA357">
        <v>0</v>
      </c>
      <c r="EB357">
        <v>0</v>
      </c>
      <c r="EC357">
        <v>0</v>
      </c>
      <c r="ED357">
        <v>0</v>
      </c>
      <c r="EE357">
        <v>0</v>
      </c>
      <c r="EF357">
        <v>0</v>
      </c>
      <c r="EG357">
        <v>0</v>
      </c>
      <c r="EH357">
        <v>0</v>
      </c>
      <c r="EI357">
        <v>0</v>
      </c>
      <c r="EJ357">
        <v>0</v>
      </c>
      <c r="EK357">
        <v>0</v>
      </c>
      <c r="EL357">
        <v>0</v>
      </c>
      <c r="EM357">
        <v>0</v>
      </c>
      <c r="EN357">
        <v>0</v>
      </c>
      <c r="EO357">
        <v>0</v>
      </c>
      <c r="EP357">
        <v>0</v>
      </c>
      <c r="EQ357">
        <v>0</v>
      </c>
      <c r="ER357">
        <v>0</v>
      </c>
      <c r="ES357">
        <v>0</v>
      </c>
      <c r="ET357">
        <v>0</v>
      </c>
      <c r="EU357">
        <v>0</v>
      </c>
      <c r="EV357">
        <v>0</v>
      </c>
      <c r="EW357">
        <v>0</v>
      </c>
      <c r="EX357">
        <v>0</v>
      </c>
      <c r="EY357">
        <v>0</v>
      </c>
      <c r="EZ357">
        <v>0</v>
      </c>
      <c r="FA357">
        <v>0</v>
      </c>
      <c r="FB357">
        <v>0</v>
      </c>
      <c r="FC357">
        <v>0</v>
      </c>
      <c r="FD357">
        <v>0</v>
      </c>
      <c r="FE357">
        <v>0</v>
      </c>
      <c r="FF357">
        <v>0</v>
      </c>
      <c r="FG357">
        <v>0</v>
      </c>
      <c r="FH357">
        <v>0</v>
      </c>
      <c r="FI357">
        <v>0</v>
      </c>
      <c r="FJ357">
        <v>0</v>
      </c>
      <c r="FK357">
        <v>0</v>
      </c>
      <c r="FL357">
        <v>0</v>
      </c>
      <c r="FM357">
        <v>0</v>
      </c>
      <c r="FN357">
        <v>0</v>
      </c>
      <c r="FO357">
        <v>0</v>
      </c>
      <c r="FP357">
        <v>0</v>
      </c>
      <c r="FQ357">
        <v>0</v>
      </c>
      <c r="FR357">
        <v>0</v>
      </c>
      <c r="FS357">
        <v>0</v>
      </c>
      <c r="FT357">
        <v>0</v>
      </c>
      <c r="FU357">
        <v>0</v>
      </c>
      <c r="FV357">
        <v>0</v>
      </c>
      <c r="FW357">
        <v>0</v>
      </c>
      <c r="FX357">
        <v>0</v>
      </c>
      <c r="FY357">
        <v>0</v>
      </c>
      <c r="FZ357">
        <v>0</v>
      </c>
      <c r="GA357">
        <v>0</v>
      </c>
      <c r="GB357">
        <v>0</v>
      </c>
      <c r="GC357">
        <v>0</v>
      </c>
      <c r="GD357">
        <v>0</v>
      </c>
      <c r="GE357">
        <v>0</v>
      </c>
      <c r="GF357">
        <v>0</v>
      </c>
      <c r="GG357">
        <v>0</v>
      </c>
      <c r="GH357">
        <v>0</v>
      </c>
      <c r="GI357">
        <v>0</v>
      </c>
      <c r="GJ357">
        <v>0</v>
      </c>
      <c r="GK357">
        <v>0</v>
      </c>
      <c r="GL357">
        <v>0</v>
      </c>
      <c r="GM357">
        <v>0</v>
      </c>
      <c r="GN357">
        <v>0</v>
      </c>
      <c r="GO357">
        <v>0</v>
      </c>
      <c r="GP357">
        <v>0</v>
      </c>
      <c r="GQ357">
        <v>0</v>
      </c>
      <c r="GR357">
        <v>0</v>
      </c>
      <c r="GS357">
        <v>0</v>
      </c>
      <c r="GT357">
        <v>0</v>
      </c>
      <c r="GU357">
        <v>0</v>
      </c>
      <c r="GV357">
        <v>0</v>
      </c>
      <c r="GW357">
        <v>0</v>
      </c>
      <c r="GX357">
        <v>0</v>
      </c>
      <c r="GY357">
        <v>0</v>
      </c>
      <c r="GZ357">
        <v>0</v>
      </c>
      <c r="HA357">
        <v>0</v>
      </c>
      <c r="HB357">
        <v>0</v>
      </c>
      <c r="HC357">
        <v>0</v>
      </c>
      <c r="HD357">
        <v>0</v>
      </c>
      <c r="HE357">
        <v>0</v>
      </c>
      <c r="HF357">
        <v>0</v>
      </c>
      <c r="HG357">
        <v>0</v>
      </c>
      <c r="HH357">
        <v>0</v>
      </c>
      <c r="HI357">
        <v>0</v>
      </c>
      <c r="HJ357">
        <v>0</v>
      </c>
      <c r="HK357">
        <v>0</v>
      </c>
      <c r="HL357">
        <v>0</v>
      </c>
      <c r="HM357">
        <v>0</v>
      </c>
      <c r="HN357">
        <v>0</v>
      </c>
      <c r="HO357">
        <v>0</v>
      </c>
      <c r="HP357">
        <v>0</v>
      </c>
      <c r="HQ357">
        <v>0</v>
      </c>
      <c r="HR357">
        <v>0</v>
      </c>
      <c r="HS357">
        <v>0</v>
      </c>
      <c r="HT357">
        <v>0</v>
      </c>
      <c r="HU357">
        <v>0</v>
      </c>
      <c r="HV357">
        <v>0</v>
      </c>
      <c r="HW357">
        <v>0</v>
      </c>
      <c r="HX357">
        <v>0</v>
      </c>
      <c r="HY357">
        <v>0</v>
      </c>
      <c r="HZ357">
        <v>0</v>
      </c>
      <c r="IA357">
        <v>0</v>
      </c>
      <c r="IB357">
        <v>0</v>
      </c>
      <c r="IC357">
        <v>0</v>
      </c>
      <c r="ID357">
        <v>0</v>
      </c>
      <c r="IE357">
        <v>0</v>
      </c>
      <c r="IF357">
        <v>0</v>
      </c>
      <c r="IG357">
        <v>0</v>
      </c>
      <c r="IH357">
        <v>0</v>
      </c>
      <c r="II357">
        <v>0</v>
      </c>
      <c r="IJ357">
        <v>0</v>
      </c>
      <c r="IK357">
        <v>0</v>
      </c>
      <c r="IL357">
        <v>0</v>
      </c>
      <c r="IM357">
        <v>0</v>
      </c>
      <c r="IN357">
        <v>0</v>
      </c>
      <c r="IO357">
        <v>0</v>
      </c>
      <c r="IP357">
        <v>0</v>
      </c>
      <c r="IQ357">
        <v>0</v>
      </c>
      <c r="IR357">
        <v>0</v>
      </c>
      <c r="IS357">
        <v>0</v>
      </c>
      <c r="IT357">
        <v>0</v>
      </c>
      <c r="IU357">
        <v>0</v>
      </c>
      <c r="IV357">
        <v>0</v>
      </c>
      <c r="IW357">
        <v>0</v>
      </c>
      <c r="IX357">
        <v>0</v>
      </c>
      <c r="IY357">
        <v>0</v>
      </c>
      <c r="IZ357">
        <v>0</v>
      </c>
      <c r="JA357">
        <v>0</v>
      </c>
      <c r="JB357">
        <v>0</v>
      </c>
      <c r="JC357">
        <v>0</v>
      </c>
      <c r="JD357">
        <v>0</v>
      </c>
      <c r="JE357">
        <v>0</v>
      </c>
      <c r="JF357">
        <v>0</v>
      </c>
      <c r="JG357">
        <v>0</v>
      </c>
      <c r="JH357">
        <v>0</v>
      </c>
      <c r="JI357">
        <v>0</v>
      </c>
      <c r="JJ357">
        <v>0</v>
      </c>
      <c r="JK357">
        <v>0</v>
      </c>
      <c r="JL357">
        <v>0</v>
      </c>
      <c r="JM357">
        <v>0</v>
      </c>
      <c r="JN357">
        <v>0</v>
      </c>
      <c r="JO357">
        <v>0</v>
      </c>
      <c r="JP357">
        <v>0</v>
      </c>
      <c r="JQ357">
        <v>0</v>
      </c>
      <c r="JR357">
        <v>0</v>
      </c>
      <c r="JS357">
        <v>0</v>
      </c>
      <c r="JT357">
        <v>0</v>
      </c>
      <c r="JU357">
        <v>0</v>
      </c>
      <c r="JV357">
        <v>0</v>
      </c>
      <c r="JW357">
        <v>0</v>
      </c>
      <c r="JX357">
        <v>0</v>
      </c>
      <c r="JY357">
        <v>0</v>
      </c>
      <c r="JZ357">
        <v>0</v>
      </c>
      <c r="KA357">
        <v>0</v>
      </c>
      <c r="KB357">
        <v>0</v>
      </c>
      <c r="KC357">
        <v>0</v>
      </c>
      <c r="KD357">
        <v>0</v>
      </c>
      <c r="KE357">
        <v>0</v>
      </c>
      <c r="KF357">
        <v>0</v>
      </c>
      <c r="KG357">
        <v>0</v>
      </c>
      <c r="KH357">
        <v>0</v>
      </c>
      <c r="KI357">
        <v>0</v>
      </c>
      <c r="KJ357">
        <v>0</v>
      </c>
      <c r="KK357">
        <v>0</v>
      </c>
      <c r="KL357">
        <v>0</v>
      </c>
      <c r="KM357">
        <v>0</v>
      </c>
      <c r="KN357">
        <v>0</v>
      </c>
      <c r="KO357">
        <v>0</v>
      </c>
      <c r="KP357">
        <v>0</v>
      </c>
      <c r="KQ357">
        <v>0</v>
      </c>
      <c r="KR357">
        <v>0</v>
      </c>
      <c r="KS357">
        <v>0</v>
      </c>
      <c r="KT357">
        <v>0</v>
      </c>
      <c r="KU357">
        <v>0</v>
      </c>
      <c r="KV357">
        <v>0</v>
      </c>
      <c r="KW357">
        <v>0</v>
      </c>
      <c r="KX357">
        <v>0</v>
      </c>
      <c r="KY357">
        <v>0</v>
      </c>
      <c r="KZ357">
        <v>0</v>
      </c>
      <c r="LA357">
        <v>0</v>
      </c>
      <c r="LB357">
        <v>0</v>
      </c>
      <c r="LC357">
        <v>0</v>
      </c>
      <c r="LD357">
        <v>0</v>
      </c>
      <c r="LE357">
        <v>0</v>
      </c>
      <c r="LF357">
        <v>0</v>
      </c>
      <c r="LG357">
        <v>0</v>
      </c>
      <c r="LH357">
        <v>0</v>
      </c>
      <c r="LI357">
        <v>0</v>
      </c>
      <c r="LJ357">
        <v>0</v>
      </c>
      <c r="LK357">
        <v>0</v>
      </c>
      <c r="LL357">
        <v>0</v>
      </c>
      <c r="LM357">
        <v>0</v>
      </c>
      <c r="LN357">
        <v>0</v>
      </c>
      <c r="LO357">
        <v>0</v>
      </c>
      <c r="LP357">
        <v>0</v>
      </c>
      <c r="LQ357">
        <v>0</v>
      </c>
      <c r="LR357">
        <v>0</v>
      </c>
      <c r="LS357">
        <v>0</v>
      </c>
      <c r="LT357">
        <v>0</v>
      </c>
      <c r="LU357">
        <v>0</v>
      </c>
      <c r="LV357">
        <v>0</v>
      </c>
      <c r="LW357">
        <v>0</v>
      </c>
      <c r="LX357">
        <v>0</v>
      </c>
      <c r="LY357">
        <v>0</v>
      </c>
      <c r="LZ357">
        <v>0</v>
      </c>
      <c r="MA357">
        <v>0</v>
      </c>
      <c r="MB357">
        <v>0</v>
      </c>
      <c r="MC357">
        <v>0</v>
      </c>
      <c r="MD357">
        <v>0</v>
      </c>
      <c r="ME357">
        <v>0</v>
      </c>
      <c r="MF357">
        <v>0</v>
      </c>
      <c r="MG357">
        <v>0</v>
      </c>
      <c r="MH357">
        <v>0</v>
      </c>
      <c r="MI357">
        <v>0</v>
      </c>
      <c r="MJ357">
        <v>0</v>
      </c>
      <c r="MK357">
        <v>0</v>
      </c>
      <c r="ML357">
        <v>0</v>
      </c>
      <c r="MM357">
        <v>0</v>
      </c>
      <c r="MN357">
        <v>0</v>
      </c>
      <c r="MO357">
        <v>0</v>
      </c>
      <c r="MP357">
        <v>0</v>
      </c>
      <c r="MQ357">
        <v>0</v>
      </c>
      <c r="MR357">
        <v>0</v>
      </c>
      <c r="MS357">
        <v>0</v>
      </c>
      <c r="MT357">
        <v>0</v>
      </c>
      <c r="MU357">
        <v>0</v>
      </c>
      <c r="MV357">
        <v>0</v>
      </c>
      <c r="MW357">
        <v>0</v>
      </c>
      <c r="MX357">
        <v>0</v>
      </c>
      <c r="MY357">
        <v>0</v>
      </c>
      <c r="MZ357">
        <v>0</v>
      </c>
      <c r="NA357">
        <v>0</v>
      </c>
      <c r="NB357">
        <v>0</v>
      </c>
      <c r="NC357">
        <v>0</v>
      </c>
      <c r="ND357">
        <v>0</v>
      </c>
      <c r="NE357">
        <v>0</v>
      </c>
    </row>
    <row r="358" spans="41:369" x14ac:dyDescent="0.45">
      <c r="AO358">
        <v>0</v>
      </c>
      <c r="AP358">
        <v>0</v>
      </c>
      <c r="AQ358">
        <v>0</v>
      </c>
      <c r="AR358">
        <v>0</v>
      </c>
      <c r="AS358">
        <v>0</v>
      </c>
      <c r="AT358">
        <v>0</v>
      </c>
      <c r="AU358">
        <v>0</v>
      </c>
      <c r="AV358">
        <v>0</v>
      </c>
      <c r="AW358" t="str">
        <v/>
      </c>
      <c r="AX358">
        <v>255</v>
      </c>
      <c r="AY358" s="5" t="str">
        <v/>
      </c>
      <c r="AZ358">
        <v>0</v>
      </c>
      <c r="BA358">
        <v>0</v>
      </c>
      <c r="BB358">
        <v>0</v>
      </c>
      <c r="BC358">
        <v>0</v>
      </c>
      <c r="BD358">
        <v>0</v>
      </c>
      <c r="BE358">
        <v>0</v>
      </c>
      <c r="BF358">
        <v>0</v>
      </c>
      <c r="BG358">
        <v>0</v>
      </c>
      <c r="BH358">
        <v>0</v>
      </c>
      <c r="BI358" t="str">
        <v/>
      </c>
      <c r="BK358">
        <v>352</v>
      </c>
      <c r="BL358">
        <v>0</v>
      </c>
      <c r="BM358">
        <v>0</v>
      </c>
      <c r="BN358">
        <v>0</v>
      </c>
      <c r="BO358">
        <v>0</v>
      </c>
      <c r="BP358">
        <v>0</v>
      </c>
      <c r="BQ358">
        <v>0</v>
      </c>
      <c r="BR358">
        <v>0</v>
      </c>
      <c r="BS358">
        <v>0</v>
      </c>
      <c r="BT358">
        <v>0</v>
      </c>
      <c r="BU358">
        <v>0</v>
      </c>
      <c r="BV358">
        <v>0</v>
      </c>
      <c r="BW358">
        <v>0</v>
      </c>
      <c r="BX358">
        <v>0</v>
      </c>
      <c r="BY358">
        <v>0</v>
      </c>
      <c r="BZ358">
        <v>0</v>
      </c>
      <c r="CA358">
        <v>0</v>
      </c>
      <c r="CB358">
        <v>0</v>
      </c>
      <c r="CC358">
        <v>0</v>
      </c>
      <c r="CD358">
        <v>0</v>
      </c>
      <c r="CE358">
        <v>0</v>
      </c>
      <c r="CF358">
        <v>0</v>
      </c>
      <c r="CG358">
        <v>0</v>
      </c>
      <c r="CH358">
        <v>0</v>
      </c>
      <c r="CI358">
        <v>0</v>
      </c>
      <c r="CJ358">
        <v>0</v>
      </c>
      <c r="CK358">
        <v>0</v>
      </c>
      <c r="CL358">
        <v>0</v>
      </c>
      <c r="CM358">
        <v>0</v>
      </c>
      <c r="CN358">
        <v>0</v>
      </c>
      <c r="CO358">
        <v>0</v>
      </c>
      <c r="CP358">
        <v>0</v>
      </c>
      <c r="CQ358">
        <v>0</v>
      </c>
      <c r="CR358">
        <v>0</v>
      </c>
      <c r="CS358">
        <v>0</v>
      </c>
      <c r="CT358">
        <v>0</v>
      </c>
      <c r="CU358">
        <v>0</v>
      </c>
      <c r="CV358">
        <v>0</v>
      </c>
      <c r="CW358">
        <v>0</v>
      </c>
      <c r="CX358">
        <v>0</v>
      </c>
      <c r="CY358">
        <v>0</v>
      </c>
      <c r="CZ358">
        <v>0</v>
      </c>
      <c r="DA358">
        <v>0</v>
      </c>
      <c r="DB358">
        <v>0</v>
      </c>
      <c r="DC358">
        <v>0</v>
      </c>
      <c r="DD358">
        <v>0</v>
      </c>
      <c r="DE358">
        <v>0</v>
      </c>
      <c r="DF358">
        <v>0</v>
      </c>
      <c r="DG358">
        <v>0</v>
      </c>
      <c r="DH358">
        <v>0</v>
      </c>
      <c r="DI358">
        <v>0</v>
      </c>
      <c r="DJ358">
        <v>0</v>
      </c>
      <c r="DK358">
        <v>0</v>
      </c>
      <c r="DL358">
        <v>0</v>
      </c>
      <c r="DM358">
        <v>0</v>
      </c>
      <c r="DN358">
        <v>0</v>
      </c>
      <c r="DO358">
        <v>0</v>
      </c>
      <c r="DP358">
        <v>0</v>
      </c>
      <c r="DQ358">
        <v>0</v>
      </c>
      <c r="DR358">
        <v>0</v>
      </c>
      <c r="DS358">
        <v>0</v>
      </c>
      <c r="DT358">
        <v>0</v>
      </c>
      <c r="DU358">
        <v>0</v>
      </c>
      <c r="DV358">
        <v>0</v>
      </c>
      <c r="DW358">
        <v>0</v>
      </c>
      <c r="DX358">
        <v>0</v>
      </c>
      <c r="DY358">
        <v>0</v>
      </c>
      <c r="DZ358">
        <v>0</v>
      </c>
      <c r="EA358">
        <v>0</v>
      </c>
      <c r="EB358">
        <v>0</v>
      </c>
      <c r="EC358">
        <v>0</v>
      </c>
      <c r="ED358">
        <v>0</v>
      </c>
      <c r="EE358">
        <v>0</v>
      </c>
      <c r="EF358">
        <v>0</v>
      </c>
      <c r="EG358">
        <v>0</v>
      </c>
      <c r="EH358">
        <v>0</v>
      </c>
      <c r="EI358">
        <v>0</v>
      </c>
      <c r="EJ358">
        <v>0</v>
      </c>
      <c r="EK358">
        <v>0</v>
      </c>
      <c r="EL358">
        <v>0</v>
      </c>
      <c r="EM358">
        <v>0</v>
      </c>
      <c r="EN358">
        <v>0</v>
      </c>
      <c r="EO358">
        <v>0</v>
      </c>
      <c r="EP358">
        <v>0</v>
      </c>
      <c r="EQ358">
        <v>0</v>
      </c>
      <c r="ER358">
        <v>0</v>
      </c>
      <c r="ES358">
        <v>0</v>
      </c>
      <c r="ET358">
        <v>0</v>
      </c>
      <c r="EU358">
        <v>0</v>
      </c>
      <c r="EV358">
        <v>0</v>
      </c>
      <c r="EW358">
        <v>0</v>
      </c>
      <c r="EX358">
        <v>0</v>
      </c>
      <c r="EY358">
        <v>0</v>
      </c>
      <c r="EZ358">
        <v>0</v>
      </c>
      <c r="FA358">
        <v>0</v>
      </c>
      <c r="FB358">
        <v>0</v>
      </c>
      <c r="FC358">
        <v>0</v>
      </c>
      <c r="FD358">
        <v>0</v>
      </c>
      <c r="FE358">
        <v>0</v>
      </c>
      <c r="FF358">
        <v>0</v>
      </c>
      <c r="FG358">
        <v>0</v>
      </c>
      <c r="FH358">
        <v>0</v>
      </c>
      <c r="FI358">
        <v>0</v>
      </c>
      <c r="FJ358">
        <v>0</v>
      </c>
      <c r="FK358">
        <v>0</v>
      </c>
      <c r="FL358">
        <v>0</v>
      </c>
      <c r="FM358">
        <v>0</v>
      </c>
      <c r="FN358">
        <v>0</v>
      </c>
      <c r="FO358">
        <v>0</v>
      </c>
      <c r="FP358">
        <v>0</v>
      </c>
      <c r="FQ358">
        <v>0</v>
      </c>
      <c r="FR358">
        <v>0</v>
      </c>
      <c r="FS358">
        <v>0</v>
      </c>
      <c r="FT358">
        <v>0</v>
      </c>
      <c r="FU358">
        <v>0</v>
      </c>
      <c r="FV358">
        <v>0</v>
      </c>
      <c r="FW358">
        <v>0</v>
      </c>
      <c r="FX358">
        <v>0</v>
      </c>
      <c r="FY358">
        <v>0</v>
      </c>
      <c r="FZ358">
        <v>0</v>
      </c>
      <c r="GA358">
        <v>0</v>
      </c>
      <c r="GB358">
        <v>0</v>
      </c>
      <c r="GC358">
        <v>0</v>
      </c>
      <c r="GD358">
        <v>0</v>
      </c>
      <c r="GE358">
        <v>0</v>
      </c>
      <c r="GF358">
        <v>0</v>
      </c>
      <c r="GG358">
        <v>0</v>
      </c>
      <c r="GH358">
        <v>0</v>
      </c>
      <c r="GI358">
        <v>0</v>
      </c>
      <c r="GJ358">
        <v>0</v>
      </c>
      <c r="GK358">
        <v>0</v>
      </c>
      <c r="GL358">
        <v>0</v>
      </c>
      <c r="GM358">
        <v>0</v>
      </c>
      <c r="GN358">
        <v>0</v>
      </c>
      <c r="GO358">
        <v>0</v>
      </c>
      <c r="GP358">
        <v>0</v>
      </c>
      <c r="GQ358">
        <v>0</v>
      </c>
      <c r="GR358">
        <v>0</v>
      </c>
      <c r="GS358">
        <v>0</v>
      </c>
      <c r="GT358">
        <v>0</v>
      </c>
      <c r="GU358">
        <v>0</v>
      </c>
      <c r="GV358">
        <v>0</v>
      </c>
      <c r="GW358">
        <v>0</v>
      </c>
      <c r="GX358">
        <v>0</v>
      </c>
      <c r="GY358">
        <v>0</v>
      </c>
      <c r="GZ358">
        <v>0</v>
      </c>
      <c r="HA358">
        <v>0</v>
      </c>
      <c r="HB358">
        <v>0</v>
      </c>
      <c r="HC358">
        <v>0</v>
      </c>
      <c r="HD358">
        <v>0</v>
      </c>
      <c r="HE358">
        <v>0</v>
      </c>
      <c r="HF358">
        <v>0</v>
      </c>
      <c r="HG358">
        <v>0</v>
      </c>
      <c r="HH358">
        <v>0</v>
      </c>
      <c r="HI358">
        <v>0</v>
      </c>
      <c r="HJ358">
        <v>0</v>
      </c>
      <c r="HK358">
        <v>0</v>
      </c>
      <c r="HL358">
        <v>0</v>
      </c>
      <c r="HM358">
        <v>0</v>
      </c>
      <c r="HN358">
        <v>0</v>
      </c>
      <c r="HO358">
        <v>0</v>
      </c>
      <c r="HP358">
        <v>0</v>
      </c>
      <c r="HQ358">
        <v>0</v>
      </c>
      <c r="HR358">
        <v>0</v>
      </c>
      <c r="HS358">
        <v>0</v>
      </c>
      <c r="HT358">
        <v>0</v>
      </c>
      <c r="HU358">
        <v>0</v>
      </c>
      <c r="HV358">
        <v>0</v>
      </c>
      <c r="HW358">
        <v>0</v>
      </c>
      <c r="HX358">
        <v>0</v>
      </c>
      <c r="HY358">
        <v>0</v>
      </c>
      <c r="HZ358">
        <v>0</v>
      </c>
      <c r="IA358">
        <v>0</v>
      </c>
      <c r="IB358">
        <v>0</v>
      </c>
      <c r="IC358">
        <v>0</v>
      </c>
      <c r="ID358">
        <v>0</v>
      </c>
      <c r="IE358">
        <v>0</v>
      </c>
      <c r="IF358">
        <v>0</v>
      </c>
      <c r="IG358">
        <v>0</v>
      </c>
      <c r="IH358">
        <v>0</v>
      </c>
      <c r="II358">
        <v>0</v>
      </c>
      <c r="IJ358">
        <v>0</v>
      </c>
      <c r="IK358">
        <v>0</v>
      </c>
      <c r="IL358">
        <v>0</v>
      </c>
      <c r="IM358">
        <v>0</v>
      </c>
      <c r="IN358">
        <v>0</v>
      </c>
      <c r="IO358">
        <v>0</v>
      </c>
      <c r="IP358">
        <v>0</v>
      </c>
      <c r="IQ358">
        <v>0</v>
      </c>
      <c r="IR358">
        <v>0</v>
      </c>
      <c r="IS358">
        <v>0</v>
      </c>
      <c r="IT358">
        <v>0</v>
      </c>
      <c r="IU358">
        <v>0</v>
      </c>
      <c r="IV358">
        <v>0</v>
      </c>
      <c r="IW358">
        <v>0</v>
      </c>
      <c r="IX358">
        <v>0</v>
      </c>
      <c r="IY358">
        <v>0</v>
      </c>
      <c r="IZ358">
        <v>0</v>
      </c>
      <c r="JA358">
        <v>0</v>
      </c>
      <c r="JB358">
        <v>0</v>
      </c>
      <c r="JC358">
        <v>0</v>
      </c>
      <c r="JD358">
        <v>0</v>
      </c>
      <c r="JE358">
        <v>0</v>
      </c>
      <c r="JF358">
        <v>0</v>
      </c>
      <c r="JG358">
        <v>0</v>
      </c>
      <c r="JH358">
        <v>0</v>
      </c>
      <c r="JI358">
        <v>0</v>
      </c>
      <c r="JJ358">
        <v>0</v>
      </c>
      <c r="JK358">
        <v>0</v>
      </c>
      <c r="JL358">
        <v>0</v>
      </c>
      <c r="JM358">
        <v>0</v>
      </c>
      <c r="JN358">
        <v>0</v>
      </c>
      <c r="JO358">
        <v>0</v>
      </c>
      <c r="JP358">
        <v>0</v>
      </c>
      <c r="JQ358">
        <v>0</v>
      </c>
      <c r="JR358">
        <v>0</v>
      </c>
      <c r="JS358">
        <v>0</v>
      </c>
      <c r="JT358">
        <v>0</v>
      </c>
      <c r="JU358">
        <v>0</v>
      </c>
      <c r="JV358">
        <v>0</v>
      </c>
      <c r="JW358">
        <v>0</v>
      </c>
      <c r="JX358">
        <v>0</v>
      </c>
      <c r="JY358">
        <v>0</v>
      </c>
      <c r="JZ358">
        <v>0</v>
      </c>
      <c r="KA358">
        <v>0</v>
      </c>
      <c r="KB358">
        <v>0</v>
      </c>
      <c r="KC358">
        <v>0</v>
      </c>
      <c r="KD358">
        <v>0</v>
      </c>
      <c r="KE358">
        <v>0</v>
      </c>
      <c r="KF358">
        <v>0</v>
      </c>
      <c r="KG358">
        <v>0</v>
      </c>
      <c r="KH358">
        <v>0</v>
      </c>
      <c r="KI358">
        <v>0</v>
      </c>
      <c r="KJ358">
        <v>0</v>
      </c>
      <c r="KK358">
        <v>0</v>
      </c>
      <c r="KL358">
        <v>0</v>
      </c>
      <c r="KM358">
        <v>0</v>
      </c>
      <c r="KN358">
        <v>0</v>
      </c>
      <c r="KO358">
        <v>0</v>
      </c>
      <c r="KP358">
        <v>0</v>
      </c>
      <c r="KQ358">
        <v>0</v>
      </c>
      <c r="KR358">
        <v>0</v>
      </c>
      <c r="KS358">
        <v>0</v>
      </c>
      <c r="KT358">
        <v>0</v>
      </c>
      <c r="KU358">
        <v>0</v>
      </c>
      <c r="KV358">
        <v>0</v>
      </c>
      <c r="KW358">
        <v>0</v>
      </c>
      <c r="KX358">
        <v>0</v>
      </c>
      <c r="KY358">
        <v>0</v>
      </c>
      <c r="KZ358">
        <v>0</v>
      </c>
      <c r="LA358">
        <v>0</v>
      </c>
      <c r="LB358">
        <v>0</v>
      </c>
      <c r="LC358">
        <v>0</v>
      </c>
      <c r="LD358">
        <v>0</v>
      </c>
      <c r="LE358">
        <v>0</v>
      </c>
      <c r="LF358">
        <v>0</v>
      </c>
      <c r="LG358">
        <v>0</v>
      </c>
      <c r="LH358">
        <v>0</v>
      </c>
      <c r="LI358">
        <v>0</v>
      </c>
      <c r="LJ358">
        <v>0</v>
      </c>
      <c r="LK358">
        <v>0</v>
      </c>
      <c r="LL358">
        <v>0</v>
      </c>
      <c r="LM358">
        <v>0</v>
      </c>
      <c r="LN358">
        <v>0</v>
      </c>
      <c r="LO358">
        <v>0</v>
      </c>
      <c r="LP358">
        <v>0</v>
      </c>
      <c r="LQ358">
        <v>0</v>
      </c>
      <c r="LR358">
        <v>0</v>
      </c>
      <c r="LS358">
        <v>0</v>
      </c>
      <c r="LT358">
        <v>0</v>
      </c>
      <c r="LU358">
        <v>0</v>
      </c>
      <c r="LV358">
        <v>0</v>
      </c>
      <c r="LW358">
        <v>0</v>
      </c>
      <c r="LX358">
        <v>0</v>
      </c>
      <c r="LY358">
        <v>0</v>
      </c>
      <c r="LZ358">
        <v>0</v>
      </c>
      <c r="MA358">
        <v>0</v>
      </c>
      <c r="MB358">
        <v>0</v>
      </c>
      <c r="MC358">
        <v>0</v>
      </c>
      <c r="MD358">
        <v>0</v>
      </c>
      <c r="ME358">
        <v>0</v>
      </c>
      <c r="MF358">
        <v>0</v>
      </c>
      <c r="MG358">
        <v>0</v>
      </c>
      <c r="MH358">
        <v>0</v>
      </c>
      <c r="MI358">
        <v>0</v>
      </c>
      <c r="MJ358">
        <v>0</v>
      </c>
      <c r="MK358">
        <v>0</v>
      </c>
      <c r="ML358">
        <v>0</v>
      </c>
      <c r="MM358">
        <v>0</v>
      </c>
      <c r="MN358">
        <v>0</v>
      </c>
      <c r="MO358">
        <v>0</v>
      </c>
      <c r="MP358">
        <v>0</v>
      </c>
      <c r="MQ358">
        <v>0</v>
      </c>
      <c r="MR358">
        <v>0</v>
      </c>
      <c r="MS358">
        <v>0</v>
      </c>
      <c r="MT358">
        <v>0</v>
      </c>
      <c r="MU358">
        <v>0</v>
      </c>
      <c r="MV358">
        <v>0</v>
      </c>
      <c r="MW358">
        <v>0</v>
      </c>
      <c r="MX358">
        <v>0</v>
      </c>
      <c r="MY358">
        <v>0</v>
      </c>
      <c r="MZ358">
        <v>0</v>
      </c>
      <c r="NA358">
        <v>0</v>
      </c>
      <c r="NB358">
        <v>0</v>
      </c>
      <c r="NC358">
        <v>0</v>
      </c>
      <c r="ND358">
        <v>0</v>
      </c>
      <c r="NE358">
        <v>0</v>
      </c>
    </row>
    <row r="359" spans="41:369" x14ac:dyDescent="0.45">
      <c r="AO359">
        <v>0</v>
      </c>
      <c r="AP359">
        <v>0</v>
      </c>
      <c r="AQ359">
        <v>0</v>
      </c>
      <c r="AR359">
        <v>0</v>
      </c>
      <c r="AS359">
        <v>0</v>
      </c>
      <c r="AT359">
        <v>0</v>
      </c>
      <c r="AU359">
        <v>0</v>
      </c>
      <c r="AV359">
        <v>0</v>
      </c>
      <c r="AW359" t="str">
        <v/>
      </c>
      <c r="AX359">
        <v>255</v>
      </c>
      <c r="AY359" s="5" t="str">
        <v/>
      </c>
      <c r="AZ359">
        <v>0</v>
      </c>
      <c r="BA359">
        <v>0</v>
      </c>
      <c r="BB359">
        <v>0</v>
      </c>
      <c r="BC359">
        <v>0</v>
      </c>
      <c r="BD359">
        <v>0</v>
      </c>
      <c r="BE359">
        <v>0</v>
      </c>
      <c r="BF359">
        <v>0</v>
      </c>
      <c r="BG359">
        <v>0</v>
      </c>
      <c r="BH359">
        <v>0</v>
      </c>
      <c r="BI359" t="str">
        <v/>
      </c>
      <c r="BK359">
        <v>353</v>
      </c>
      <c r="BL359">
        <v>0</v>
      </c>
      <c r="BM359">
        <v>0</v>
      </c>
      <c r="BN359">
        <v>0</v>
      </c>
      <c r="BO359">
        <v>0</v>
      </c>
      <c r="BP359">
        <v>0</v>
      </c>
      <c r="BQ359">
        <v>0</v>
      </c>
      <c r="BR359">
        <v>0</v>
      </c>
      <c r="BS359">
        <v>0</v>
      </c>
      <c r="BT359">
        <v>0</v>
      </c>
      <c r="BU359">
        <v>0</v>
      </c>
      <c r="BV359">
        <v>0</v>
      </c>
      <c r="BW359">
        <v>0</v>
      </c>
      <c r="BX359">
        <v>0</v>
      </c>
      <c r="BY359">
        <v>0</v>
      </c>
      <c r="BZ359">
        <v>0</v>
      </c>
      <c r="CA359">
        <v>0</v>
      </c>
      <c r="CB359">
        <v>0</v>
      </c>
      <c r="CC359">
        <v>0</v>
      </c>
      <c r="CD359">
        <v>0</v>
      </c>
      <c r="CE359">
        <v>0</v>
      </c>
      <c r="CF359">
        <v>0</v>
      </c>
      <c r="CG359">
        <v>0</v>
      </c>
      <c r="CH359">
        <v>0</v>
      </c>
      <c r="CI359">
        <v>0</v>
      </c>
      <c r="CJ359">
        <v>0</v>
      </c>
      <c r="CK359">
        <v>0</v>
      </c>
      <c r="CL359">
        <v>0</v>
      </c>
      <c r="CM359">
        <v>0</v>
      </c>
      <c r="CN359">
        <v>0</v>
      </c>
      <c r="CO359">
        <v>0</v>
      </c>
      <c r="CP359">
        <v>0</v>
      </c>
      <c r="CQ359">
        <v>0</v>
      </c>
      <c r="CR359">
        <v>0</v>
      </c>
      <c r="CS359">
        <v>0</v>
      </c>
      <c r="CT359">
        <v>0</v>
      </c>
      <c r="CU359">
        <v>0</v>
      </c>
      <c r="CV359">
        <v>0</v>
      </c>
      <c r="CW359">
        <v>0</v>
      </c>
      <c r="CX359">
        <v>0</v>
      </c>
      <c r="CY359">
        <v>0</v>
      </c>
      <c r="CZ359">
        <v>0</v>
      </c>
      <c r="DA359">
        <v>0</v>
      </c>
      <c r="DB359">
        <v>0</v>
      </c>
      <c r="DC359">
        <v>0</v>
      </c>
      <c r="DD359">
        <v>0</v>
      </c>
      <c r="DE359">
        <v>0</v>
      </c>
      <c r="DF359">
        <v>0</v>
      </c>
      <c r="DG359">
        <v>0</v>
      </c>
      <c r="DH359">
        <v>0</v>
      </c>
      <c r="DI359">
        <v>0</v>
      </c>
      <c r="DJ359">
        <v>0</v>
      </c>
      <c r="DK359">
        <v>0</v>
      </c>
      <c r="DL359">
        <v>0</v>
      </c>
      <c r="DM359">
        <v>0</v>
      </c>
      <c r="DN359">
        <v>0</v>
      </c>
      <c r="DO359">
        <v>0</v>
      </c>
      <c r="DP359">
        <v>0</v>
      </c>
      <c r="DQ359">
        <v>0</v>
      </c>
      <c r="DR359">
        <v>0</v>
      </c>
      <c r="DS359">
        <v>0</v>
      </c>
      <c r="DT359">
        <v>0</v>
      </c>
      <c r="DU359">
        <v>0</v>
      </c>
      <c r="DV359">
        <v>0</v>
      </c>
      <c r="DW359">
        <v>0</v>
      </c>
      <c r="DX359">
        <v>0</v>
      </c>
      <c r="DY359">
        <v>0</v>
      </c>
      <c r="DZ359">
        <v>0</v>
      </c>
      <c r="EA359">
        <v>0</v>
      </c>
      <c r="EB359">
        <v>0</v>
      </c>
      <c r="EC359">
        <v>0</v>
      </c>
      <c r="ED359">
        <v>0</v>
      </c>
      <c r="EE359">
        <v>0</v>
      </c>
      <c r="EF359">
        <v>0</v>
      </c>
      <c r="EG359">
        <v>0</v>
      </c>
      <c r="EH359">
        <v>0</v>
      </c>
      <c r="EI359">
        <v>0</v>
      </c>
      <c r="EJ359">
        <v>0</v>
      </c>
      <c r="EK359">
        <v>0</v>
      </c>
      <c r="EL359">
        <v>0</v>
      </c>
      <c r="EM359">
        <v>0</v>
      </c>
      <c r="EN359">
        <v>0</v>
      </c>
      <c r="EO359">
        <v>0</v>
      </c>
      <c r="EP359">
        <v>0</v>
      </c>
      <c r="EQ359">
        <v>0</v>
      </c>
      <c r="ER359">
        <v>0</v>
      </c>
      <c r="ES359">
        <v>0</v>
      </c>
      <c r="ET359">
        <v>0</v>
      </c>
      <c r="EU359">
        <v>0</v>
      </c>
      <c r="EV359">
        <v>0</v>
      </c>
      <c r="EW359">
        <v>0</v>
      </c>
      <c r="EX359">
        <v>0</v>
      </c>
      <c r="EY359">
        <v>0</v>
      </c>
      <c r="EZ359">
        <v>0</v>
      </c>
      <c r="FA359">
        <v>0</v>
      </c>
      <c r="FB359">
        <v>0</v>
      </c>
      <c r="FC359">
        <v>0</v>
      </c>
      <c r="FD359">
        <v>0</v>
      </c>
      <c r="FE359">
        <v>0</v>
      </c>
      <c r="FF359">
        <v>0</v>
      </c>
      <c r="FG359">
        <v>0</v>
      </c>
      <c r="FH359">
        <v>0</v>
      </c>
      <c r="FI359">
        <v>0</v>
      </c>
      <c r="FJ359">
        <v>0</v>
      </c>
      <c r="FK359">
        <v>0</v>
      </c>
      <c r="FL359">
        <v>0</v>
      </c>
      <c r="FM359">
        <v>0</v>
      </c>
      <c r="FN359">
        <v>0</v>
      </c>
      <c r="FO359">
        <v>0</v>
      </c>
      <c r="FP359">
        <v>0</v>
      </c>
      <c r="FQ359">
        <v>0</v>
      </c>
      <c r="FR359">
        <v>0</v>
      </c>
      <c r="FS359">
        <v>0</v>
      </c>
      <c r="FT359">
        <v>0</v>
      </c>
      <c r="FU359">
        <v>0</v>
      </c>
      <c r="FV359">
        <v>0</v>
      </c>
      <c r="FW359">
        <v>0</v>
      </c>
      <c r="FX359">
        <v>0</v>
      </c>
      <c r="FY359">
        <v>0</v>
      </c>
      <c r="FZ359">
        <v>0</v>
      </c>
      <c r="GA359">
        <v>0</v>
      </c>
      <c r="GB359">
        <v>0</v>
      </c>
      <c r="GC359">
        <v>0</v>
      </c>
      <c r="GD359">
        <v>0</v>
      </c>
      <c r="GE359">
        <v>0</v>
      </c>
      <c r="GF359">
        <v>0</v>
      </c>
      <c r="GG359">
        <v>0</v>
      </c>
      <c r="GH359">
        <v>0</v>
      </c>
      <c r="GI359">
        <v>0</v>
      </c>
      <c r="GJ359">
        <v>0</v>
      </c>
      <c r="GK359">
        <v>0</v>
      </c>
      <c r="GL359">
        <v>0</v>
      </c>
      <c r="GM359">
        <v>0</v>
      </c>
      <c r="GN359">
        <v>0</v>
      </c>
      <c r="GO359">
        <v>0</v>
      </c>
      <c r="GP359">
        <v>0</v>
      </c>
      <c r="GQ359">
        <v>0</v>
      </c>
      <c r="GR359">
        <v>0</v>
      </c>
      <c r="GS359">
        <v>0</v>
      </c>
      <c r="GT359">
        <v>0</v>
      </c>
      <c r="GU359">
        <v>0</v>
      </c>
      <c r="GV359">
        <v>0</v>
      </c>
      <c r="GW359">
        <v>0</v>
      </c>
      <c r="GX359">
        <v>0</v>
      </c>
      <c r="GY359">
        <v>0</v>
      </c>
      <c r="GZ359">
        <v>0</v>
      </c>
      <c r="HA359">
        <v>0</v>
      </c>
      <c r="HB359">
        <v>0</v>
      </c>
      <c r="HC359">
        <v>0</v>
      </c>
      <c r="HD359">
        <v>0</v>
      </c>
      <c r="HE359">
        <v>0</v>
      </c>
      <c r="HF359">
        <v>0</v>
      </c>
      <c r="HG359">
        <v>0</v>
      </c>
      <c r="HH359">
        <v>0</v>
      </c>
      <c r="HI359">
        <v>0</v>
      </c>
      <c r="HJ359">
        <v>0</v>
      </c>
      <c r="HK359">
        <v>0</v>
      </c>
      <c r="HL359">
        <v>0</v>
      </c>
      <c r="HM359">
        <v>0</v>
      </c>
      <c r="HN359">
        <v>0</v>
      </c>
      <c r="HO359">
        <v>0</v>
      </c>
      <c r="HP359">
        <v>0</v>
      </c>
      <c r="HQ359">
        <v>0</v>
      </c>
      <c r="HR359">
        <v>0</v>
      </c>
      <c r="HS359">
        <v>0</v>
      </c>
      <c r="HT359">
        <v>0</v>
      </c>
      <c r="HU359">
        <v>0</v>
      </c>
      <c r="HV359">
        <v>0</v>
      </c>
      <c r="HW359">
        <v>0</v>
      </c>
      <c r="HX359">
        <v>0</v>
      </c>
      <c r="HY359">
        <v>0</v>
      </c>
      <c r="HZ359">
        <v>0</v>
      </c>
      <c r="IA359">
        <v>0</v>
      </c>
      <c r="IB359">
        <v>0</v>
      </c>
      <c r="IC359">
        <v>0</v>
      </c>
      <c r="ID359">
        <v>0</v>
      </c>
      <c r="IE359">
        <v>0</v>
      </c>
      <c r="IF359">
        <v>0</v>
      </c>
      <c r="IG359">
        <v>0</v>
      </c>
      <c r="IH359">
        <v>0</v>
      </c>
      <c r="II359">
        <v>0</v>
      </c>
      <c r="IJ359">
        <v>0</v>
      </c>
      <c r="IK359">
        <v>0</v>
      </c>
      <c r="IL359">
        <v>0</v>
      </c>
      <c r="IM359">
        <v>0</v>
      </c>
      <c r="IN359">
        <v>0</v>
      </c>
      <c r="IO359">
        <v>0</v>
      </c>
      <c r="IP359">
        <v>0</v>
      </c>
      <c r="IQ359">
        <v>0</v>
      </c>
      <c r="IR359">
        <v>0</v>
      </c>
      <c r="IS359">
        <v>0</v>
      </c>
      <c r="IT359">
        <v>0</v>
      </c>
      <c r="IU359">
        <v>0</v>
      </c>
      <c r="IV359">
        <v>0</v>
      </c>
      <c r="IW359">
        <v>0</v>
      </c>
      <c r="IX359">
        <v>0</v>
      </c>
      <c r="IY359">
        <v>0</v>
      </c>
      <c r="IZ359">
        <v>0</v>
      </c>
      <c r="JA359">
        <v>0</v>
      </c>
      <c r="JB359">
        <v>0</v>
      </c>
      <c r="JC359">
        <v>0</v>
      </c>
      <c r="JD359">
        <v>0</v>
      </c>
      <c r="JE359">
        <v>0</v>
      </c>
      <c r="JF359">
        <v>0</v>
      </c>
      <c r="JG359">
        <v>0</v>
      </c>
      <c r="JH359">
        <v>0</v>
      </c>
      <c r="JI359">
        <v>0</v>
      </c>
      <c r="JJ359">
        <v>0</v>
      </c>
      <c r="JK359">
        <v>0</v>
      </c>
      <c r="JL359">
        <v>0</v>
      </c>
      <c r="JM359">
        <v>0</v>
      </c>
      <c r="JN359">
        <v>0</v>
      </c>
      <c r="JO359">
        <v>0</v>
      </c>
      <c r="JP359">
        <v>0</v>
      </c>
      <c r="JQ359">
        <v>0</v>
      </c>
      <c r="JR359">
        <v>0</v>
      </c>
      <c r="JS359">
        <v>0</v>
      </c>
      <c r="JT359">
        <v>0</v>
      </c>
      <c r="JU359">
        <v>0</v>
      </c>
      <c r="JV359">
        <v>0</v>
      </c>
      <c r="JW359">
        <v>0</v>
      </c>
      <c r="JX359">
        <v>0</v>
      </c>
      <c r="JY359">
        <v>0</v>
      </c>
      <c r="JZ359">
        <v>0</v>
      </c>
      <c r="KA359">
        <v>0</v>
      </c>
      <c r="KB359">
        <v>0</v>
      </c>
      <c r="KC359">
        <v>0</v>
      </c>
      <c r="KD359">
        <v>0</v>
      </c>
      <c r="KE359">
        <v>0</v>
      </c>
      <c r="KF359">
        <v>0</v>
      </c>
      <c r="KG359">
        <v>0</v>
      </c>
      <c r="KH359">
        <v>0</v>
      </c>
      <c r="KI359">
        <v>0</v>
      </c>
      <c r="KJ359">
        <v>0</v>
      </c>
      <c r="KK359">
        <v>0</v>
      </c>
      <c r="KL359">
        <v>0</v>
      </c>
      <c r="KM359">
        <v>0</v>
      </c>
      <c r="KN359">
        <v>0</v>
      </c>
      <c r="KO359">
        <v>0</v>
      </c>
      <c r="KP359">
        <v>0</v>
      </c>
      <c r="KQ359">
        <v>0</v>
      </c>
      <c r="KR359">
        <v>0</v>
      </c>
      <c r="KS359">
        <v>0</v>
      </c>
      <c r="KT359">
        <v>0</v>
      </c>
      <c r="KU359">
        <v>0</v>
      </c>
      <c r="KV359">
        <v>0</v>
      </c>
      <c r="KW359">
        <v>0</v>
      </c>
      <c r="KX359">
        <v>0</v>
      </c>
      <c r="KY359">
        <v>0</v>
      </c>
      <c r="KZ359">
        <v>0</v>
      </c>
      <c r="LA359">
        <v>0</v>
      </c>
      <c r="LB359">
        <v>0</v>
      </c>
      <c r="LC359">
        <v>0</v>
      </c>
      <c r="LD359">
        <v>0</v>
      </c>
      <c r="LE359">
        <v>0</v>
      </c>
      <c r="LF359">
        <v>0</v>
      </c>
      <c r="LG359">
        <v>0</v>
      </c>
      <c r="LH359">
        <v>0</v>
      </c>
      <c r="LI359">
        <v>0</v>
      </c>
      <c r="LJ359">
        <v>0</v>
      </c>
      <c r="LK359">
        <v>0</v>
      </c>
      <c r="LL359">
        <v>0</v>
      </c>
      <c r="LM359">
        <v>0</v>
      </c>
      <c r="LN359">
        <v>0</v>
      </c>
      <c r="LO359">
        <v>0</v>
      </c>
      <c r="LP359">
        <v>0</v>
      </c>
      <c r="LQ359">
        <v>0</v>
      </c>
      <c r="LR359">
        <v>0</v>
      </c>
      <c r="LS359">
        <v>0</v>
      </c>
      <c r="LT359">
        <v>0</v>
      </c>
      <c r="LU359">
        <v>0</v>
      </c>
      <c r="LV359">
        <v>0</v>
      </c>
      <c r="LW359">
        <v>0</v>
      </c>
      <c r="LX359">
        <v>0</v>
      </c>
      <c r="LY359">
        <v>0</v>
      </c>
      <c r="LZ359">
        <v>0</v>
      </c>
      <c r="MA359">
        <v>0</v>
      </c>
      <c r="MB359">
        <v>0</v>
      </c>
      <c r="MC359">
        <v>0</v>
      </c>
      <c r="MD359">
        <v>0</v>
      </c>
      <c r="ME359">
        <v>0</v>
      </c>
      <c r="MF359">
        <v>0</v>
      </c>
      <c r="MG359">
        <v>0</v>
      </c>
      <c r="MH359">
        <v>0</v>
      </c>
      <c r="MI359">
        <v>0</v>
      </c>
      <c r="MJ359">
        <v>0</v>
      </c>
      <c r="MK359">
        <v>0</v>
      </c>
      <c r="ML359">
        <v>0</v>
      </c>
      <c r="MM359">
        <v>0</v>
      </c>
      <c r="MN359">
        <v>0</v>
      </c>
      <c r="MO359">
        <v>0</v>
      </c>
      <c r="MP359">
        <v>0</v>
      </c>
      <c r="MQ359">
        <v>0</v>
      </c>
      <c r="MR359">
        <v>0</v>
      </c>
      <c r="MS359">
        <v>0</v>
      </c>
      <c r="MT359">
        <v>0</v>
      </c>
      <c r="MU359">
        <v>0</v>
      </c>
      <c r="MV359">
        <v>0</v>
      </c>
      <c r="MW359">
        <v>0</v>
      </c>
      <c r="MX359">
        <v>0</v>
      </c>
      <c r="MY359">
        <v>0</v>
      </c>
      <c r="MZ359">
        <v>0</v>
      </c>
      <c r="NA359">
        <v>0</v>
      </c>
      <c r="NB359">
        <v>0</v>
      </c>
      <c r="NC359">
        <v>0</v>
      </c>
      <c r="ND359">
        <v>0</v>
      </c>
      <c r="NE359">
        <v>0</v>
      </c>
    </row>
    <row r="360" spans="41:369" x14ac:dyDescent="0.45">
      <c r="AO360">
        <v>0</v>
      </c>
      <c r="AP360">
        <v>0</v>
      </c>
      <c r="AQ360">
        <v>0</v>
      </c>
      <c r="AR360">
        <v>0</v>
      </c>
      <c r="AS360">
        <v>0</v>
      </c>
      <c r="AT360">
        <v>0</v>
      </c>
      <c r="AU360">
        <v>0</v>
      </c>
      <c r="AV360">
        <v>0</v>
      </c>
      <c r="AW360" t="str">
        <v/>
      </c>
      <c r="AX360">
        <v>255</v>
      </c>
      <c r="AY360" s="5" t="str">
        <v/>
      </c>
      <c r="AZ360">
        <v>0</v>
      </c>
      <c r="BA360">
        <v>0</v>
      </c>
      <c r="BB360">
        <v>0</v>
      </c>
      <c r="BC360">
        <v>0</v>
      </c>
      <c r="BD360">
        <v>0</v>
      </c>
      <c r="BE360">
        <v>0</v>
      </c>
      <c r="BF360">
        <v>0</v>
      </c>
      <c r="BG360">
        <v>0</v>
      </c>
      <c r="BH360">
        <v>0</v>
      </c>
      <c r="BI360" t="str">
        <v/>
      </c>
      <c r="BK360">
        <v>354</v>
      </c>
      <c r="BL360">
        <v>0</v>
      </c>
      <c r="BM360">
        <v>0</v>
      </c>
      <c r="BN360">
        <v>0</v>
      </c>
      <c r="BO360">
        <v>0</v>
      </c>
      <c r="BP360">
        <v>0</v>
      </c>
      <c r="BQ360">
        <v>0</v>
      </c>
      <c r="BR360">
        <v>0</v>
      </c>
      <c r="BS360">
        <v>0</v>
      </c>
      <c r="BT360">
        <v>0</v>
      </c>
      <c r="BU360">
        <v>0</v>
      </c>
      <c r="BV360">
        <v>0</v>
      </c>
      <c r="BW360">
        <v>0</v>
      </c>
      <c r="BX360">
        <v>0</v>
      </c>
      <c r="BY360">
        <v>0</v>
      </c>
      <c r="BZ360">
        <v>0</v>
      </c>
      <c r="CA360">
        <v>0</v>
      </c>
      <c r="CB360">
        <v>0</v>
      </c>
      <c r="CC360">
        <v>0</v>
      </c>
      <c r="CD360">
        <v>0</v>
      </c>
      <c r="CE360">
        <v>0</v>
      </c>
      <c r="CF360">
        <v>0</v>
      </c>
      <c r="CG360">
        <v>0</v>
      </c>
      <c r="CH360">
        <v>0</v>
      </c>
      <c r="CI360">
        <v>0</v>
      </c>
      <c r="CJ360">
        <v>0</v>
      </c>
      <c r="CK360">
        <v>0</v>
      </c>
      <c r="CL360">
        <v>0</v>
      </c>
      <c r="CM360">
        <v>0</v>
      </c>
      <c r="CN360">
        <v>0</v>
      </c>
      <c r="CO360">
        <v>0</v>
      </c>
      <c r="CP360">
        <v>0</v>
      </c>
      <c r="CQ360">
        <v>0</v>
      </c>
      <c r="CR360">
        <v>0</v>
      </c>
      <c r="CS360">
        <v>0</v>
      </c>
      <c r="CT360">
        <v>0</v>
      </c>
      <c r="CU360">
        <v>0</v>
      </c>
      <c r="CV360">
        <v>0</v>
      </c>
      <c r="CW360">
        <v>0</v>
      </c>
      <c r="CX360">
        <v>0</v>
      </c>
      <c r="CY360">
        <v>0</v>
      </c>
      <c r="CZ360">
        <v>0</v>
      </c>
      <c r="DA360">
        <v>0</v>
      </c>
      <c r="DB360">
        <v>0</v>
      </c>
      <c r="DC360">
        <v>0</v>
      </c>
      <c r="DD360">
        <v>0</v>
      </c>
      <c r="DE360">
        <v>0</v>
      </c>
      <c r="DF360">
        <v>0</v>
      </c>
      <c r="DG360">
        <v>0</v>
      </c>
      <c r="DH360">
        <v>0</v>
      </c>
      <c r="DI360">
        <v>0</v>
      </c>
      <c r="DJ360">
        <v>0</v>
      </c>
      <c r="DK360">
        <v>0</v>
      </c>
      <c r="DL360">
        <v>0</v>
      </c>
      <c r="DM360">
        <v>0</v>
      </c>
      <c r="DN360">
        <v>0</v>
      </c>
      <c r="DO360">
        <v>0</v>
      </c>
      <c r="DP360">
        <v>0</v>
      </c>
      <c r="DQ360">
        <v>0</v>
      </c>
      <c r="DR360">
        <v>0</v>
      </c>
      <c r="DS360">
        <v>0</v>
      </c>
      <c r="DT360">
        <v>0</v>
      </c>
      <c r="DU360">
        <v>0</v>
      </c>
      <c r="DV360">
        <v>0</v>
      </c>
      <c r="DW360">
        <v>0</v>
      </c>
      <c r="DX360">
        <v>0</v>
      </c>
      <c r="DY360">
        <v>0</v>
      </c>
      <c r="DZ360">
        <v>0</v>
      </c>
      <c r="EA360">
        <v>0</v>
      </c>
      <c r="EB360">
        <v>0</v>
      </c>
      <c r="EC360">
        <v>0</v>
      </c>
      <c r="ED360">
        <v>0</v>
      </c>
      <c r="EE360">
        <v>0</v>
      </c>
      <c r="EF360">
        <v>0</v>
      </c>
      <c r="EG360">
        <v>0</v>
      </c>
      <c r="EH360">
        <v>0</v>
      </c>
      <c r="EI360">
        <v>0</v>
      </c>
      <c r="EJ360">
        <v>0</v>
      </c>
      <c r="EK360">
        <v>0</v>
      </c>
      <c r="EL360">
        <v>0</v>
      </c>
      <c r="EM360">
        <v>0</v>
      </c>
      <c r="EN360">
        <v>0</v>
      </c>
      <c r="EO360">
        <v>0</v>
      </c>
      <c r="EP360">
        <v>0</v>
      </c>
      <c r="EQ360">
        <v>0</v>
      </c>
      <c r="ER360">
        <v>0</v>
      </c>
      <c r="ES360">
        <v>0</v>
      </c>
      <c r="ET360">
        <v>0</v>
      </c>
      <c r="EU360">
        <v>0</v>
      </c>
      <c r="EV360">
        <v>0</v>
      </c>
      <c r="EW360">
        <v>0</v>
      </c>
      <c r="EX360">
        <v>0</v>
      </c>
      <c r="EY360">
        <v>0</v>
      </c>
      <c r="EZ360">
        <v>0</v>
      </c>
      <c r="FA360">
        <v>0</v>
      </c>
      <c r="FB360">
        <v>0</v>
      </c>
      <c r="FC360">
        <v>0</v>
      </c>
      <c r="FD360">
        <v>0</v>
      </c>
      <c r="FE360">
        <v>0</v>
      </c>
      <c r="FF360">
        <v>0</v>
      </c>
      <c r="FG360">
        <v>0</v>
      </c>
      <c r="FH360">
        <v>0</v>
      </c>
      <c r="FI360">
        <v>0</v>
      </c>
      <c r="FJ360">
        <v>0</v>
      </c>
      <c r="FK360">
        <v>0</v>
      </c>
      <c r="FL360">
        <v>0</v>
      </c>
      <c r="FM360">
        <v>0</v>
      </c>
      <c r="FN360">
        <v>0</v>
      </c>
      <c r="FO360">
        <v>0</v>
      </c>
      <c r="FP360">
        <v>0</v>
      </c>
      <c r="FQ360">
        <v>0</v>
      </c>
      <c r="FR360">
        <v>0</v>
      </c>
      <c r="FS360">
        <v>0</v>
      </c>
      <c r="FT360">
        <v>0</v>
      </c>
      <c r="FU360">
        <v>0</v>
      </c>
      <c r="FV360">
        <v>0</v>
      </c>
      <c r="FW360">
        <v>0</v>
      </c>
      <c r="FX360">
        <v>0</v>
      </c>
      <c r="FY360">
        <v>0</v>
      </c>
      <c r="FZ360">
        <v>0</v>
      </c>
      <c r="GA360">
        <v>0</v>
      </c>
      <c r="GB360">
        <v>0</v>
      </c>
      <c r="GC360">
        <v>0</v>
      </c>
      <c r="GD360">
        <v>0</v>
      </c>
      <c r="GE360">
        <v>0</v>
      </c>
      <c r="GF360">
        <v>0</v>
      </c>
      <c r="GG360">
        <v>0</v>
      </c>
      <c r="GH360">
        <v>0</v>
      </c>
      <c r="GI360">
        <v>0</v>
      </c>
      <c r="GJ360">
        <v>0</v>
      </c>
      <c r="GK360">
        <v>0</v>
      </c>
      <c r="GL360">
        <v>0</v>
      </c>
      <c r="GM360">
        <v>0</v>
      </c>
      <c r="GN360">
        <v>0</v>
      </c>
      <c r="GO360">
        <v>0</v>
      </c>
      <c r="GP360">
        <v>0</v>
      </c>
      <c r="GQ360">
        <v>0</v>
      </c>
      <c r="GR360">
        <v>0</v>
      </c>
      <c r="GS360">
        <v>0</v>
      </c>
      <c r="GT360">
        <v>0</v>
      </c>
      <c r="GU360">
        <v>0</v>
      </c>
      <c r="GV360">
        <v>0</v>
      </c>
      <c r="GW360">
        <v>0</v>
      </c>
      <c r="GX360">
        <v>0</v>
      </c>
      <c r="GY360">
        <v>0</v>
      </c>
      <c r="GZ360">
        <v>0</v>
      </c>
      <c r="HA360">
        <v>0</v>
      </c>
      <c r="HB360">
        <v>0</v>
      </c>
      <c r="HC360">
        <v>0</v>
      </c>
      <c r="HD360">
        <v>0</v>
      </c>
      <c r="HE360">
        <v>0</v>
      </c>
      <c r="HF360">
        <v>0</v>
      </c>
      <c r="HG360">
        <v>0</v>
      </c>
      <c r="HH360">
        <v>0</v>
      </c>
      <c r="HI360">
        <v>0</v>
      </c>
      <c r="HJ360">
        <v>0</v>
      </c>
      <c r="HK360">
        <v>0</v>
      </c>
      <c r="HL360">
        <v>0</v>
      </c>
      <c r="HM360">
        <v>0</v>
      </c>
      <c r="HN360">
        <v>0</v>
      </c>
      <c r="HO360">
        <v>0</v>
      </c>
      <c r="HP360">
        <v>0</v>
      </c>
      <c r="HQ360">
        <v>0</v>
      </c>
      <c r="HR360">
        <v>0</v>
      </c>
      <c r="HS360">
        <v>0</v>
      </c>
      <c r="HT360">
        <v>0</v>
      </c>
      <c r="HU360">
        <v>0</v>
      </c>
      <c r="HV360">
        <v>0</v>
      </c>
      <c r="HW360">
        <v>0</v>
      </c>
      <c r="HX360">
        <v>0</v>
      </c>
      <c r="HY360">
        <v>0</v>
      </c>
      <c r="HZ360">
        <v>0</v>
      </c>
      <c r="IA360">
        <v>0</v>
      </c>
      <c r="IB360">
        <v>0</v>
      </c>
      <c r="IC360">
        <v>0</v>
      </c>
      <c r="ID360">
        <v>0</v>
      </c>
      <c r="IE360">
        <v>0</v>
      </c>
      <c r="IF360">
        <v>0</v>
      </c>
      <c r="IG360">
        <v>0</v>
      </c>
      <c r="IH360">
        <v>0</v>
      </c>
      <c r="II360">
        <v>0</v>
      </c>
      <c r="IJ360">
        <v>0</v>
      </c>
      <c r="IK360">
        <v>0</v>
      </c>
      <c r="IL360">
        <v>0</v>
      </c>
      <c r="IM360">
        <v>0</v>
      </c>
      <c r="IN360">
        <v>0</v>
      </c>
      <c r="IO360">
        <v>0</v>
      </c>
      <c r="IP360">
        <v>0</v>
      </c>
      <c r="IQ360">
        <v>0</v>
      </c>
      <c r="IR360">
        <v>0</v>
      </c>
      <c r="IS360">
        <v>0</v>
      </c>
      <c r="IT360">
        <v>0</v>
      </c>
      <c r="IU360">
        <v>0</v>
      </c>
      <c r="IV360">
        <v>0</v>
      </c>
      <c r="IW360">
        <v>0</v>
      </c>
      <c r="IX360">
        <v>0</v>
      </c>
      <c r="IY360">
        <v>0</v>
      </c>
      <c r="IZ360">
        <v>0</v>
      </c>
      <c r="JA360">
        <v>0</v>
      </c>
      <c r="JB360">
        <v>0</v>
      </c>
      <c r="JC360">
        <v>0</v>
      </c>
      <c r="JD360">
        <v>0</v>
      </c>
      <c r="JE360">
        <v>0</v>
      </c>
      <c r="JF360">
        <v>0</v>
      </c>
      <c r="JG360">
        <v>0</v>
      </c>
      <c r="JH360">
        <v>0</v>
      </c>
      <c r="JI360">
        <v>0</v>
      </c>
      <c r="JJ360">
        <v>0</v>
      </c>
      <c r="JK360">
        <v>0</v>
      </c>
      <c r="JL360">
        <v>0</v>
      </c>
      <c r="JM360">
        <v>0</v>
      </c>
      <c r="JN360">
        <v>0</v>
      </c>
      <c r="JO360">
        <v>0</v>
      </c>
      <c r="JP360">
        <v>0</v>
      </c>
      <c r="JQ360">
        <v>0</v>
      </c>
      <c r="JR360">
        <v>0</v>
      </c>
      <c r="JS360">
        <v>0</v>
      </c>
      <c r="JT360">
        <v>0</v>
      </c>
      <c r="JU360">
        <v>0</v>
      </c>
      <c r="JV360">
        <v>0</v>
      </c>
      <c r="JW360">
        <v>0</v>
      </c>
      <c r="JX360">
        <v>0</v>
      </c>
      <c r="JY360">
        <v>0</v>
      </c>
      <c r="JZ360">
        <v>0</v>
      </c>
      <c r="KA360">
        <v>0</v>
      </c>
      <c r="KB360">
        <v>0</v>
      </c>
      <c r="KC360">
        <v>0</v>
      </c>
      <c r="KD360">
        <v>0</v>
      </c>
      <c r="KE360">
        <v>0</v>
      </c>
      <c r="KF360">
        <v>0</v>
      </c>
      <c r="KG360">
        <v>0</v>
      </c>
      <c r="KH360">
        <v>0</v>
      </c>
      <c r="KI360">
        <v>0</v>
      </c>
      <c r="KJ360">
        <v>0</v>
      </c>
      <c r="KK360">
        <v>0</v>
      </c>
      <c r="KL360">
        <v>0</v>
      </c>
      <c r="KM360">
        <v>0</v>
      </c>
      <c r="KN360">
        <v>0</v>
      </c>
      <c r="KO360">
        <v>0</v>
      </c>
      <c r="KP360">
        <v>0</v>
      </c>
      <c r="KQ360">
        <v>0</v>
      </c>
      <c r="KR360">
        <v>0</v>
      </c>
      <c r="KS360">
        <v>0</v>
      </c>
      <c r="KT360">
        <v>0</v>
      </c>
      <c r="KU360">
        <v>0</v>
      </c>
      <c r="KV360">
        <v>0</v>
      </c>
      <c r="KW360">
        <v>0</v>
      </c>
      <c r="KX360">
        <v>0</v>
      </c>
      <c r="KY360">
        <v>0</v>
      </c>
      <c r="KZ360">
        <v>0</v>
      </c>
      <c r="LA360">
        <v>0</v>
      </c>
      <c r="LB360">
        <v>0</v>
      </c>
      <c r="LC360">
        <v>0</v>
      </c>
      <c r="LD360">
        <v>0</v>
      </c>
      <c r="LE360">
        <v>0</v>
      </c>
      <c r="LF360">
        <v>0</v>
      </c>
      <c r="LG360">
        <v>0</v>
      </c>
      <c r="LH360">
        <v>0</v>
      </c>
      <c r="LI360">
        <v>0</v>
      </c>
      <c r="LJ360">
        <v>0</v>
      </c>
      <c r="LK360">
        <v>0</v>
      </c>
      <c r="LL360">
        <v>0</v>
      </c>
      <c r="LM360">
        <v>0</v>
      </c>
      <c r="LN360">
        <v>0</v>
      </c>
      <c r="LO360">
        <v>0</v>
      </c>
      <c r="LP360">
        <v>0</v>
      </c>
      <c r="LQ360">
        <v>0</v>
      </c>
      <c r="LR360">
        <v>0</v>
      </c>
      <c r="LS360">
        <v>0</v>
      </c>
      <c r="LT360">
        <v>0</v>
      </c>
      <c r="LU360">
        <v>0</v>
      </c>
      <c r="LV360">
        <v>0</v>
      </c>
      <c r="LW360">
        <v>0</v>
      </c>
      <c r="LX360">
        <v>0</v>
      </c>
      <c r="LY360">
        <v>0</v>
      </c>
      <c r="LZ360">
        <v>0</v>
      </c>
      <c r="MA360">
        <v>0</v>
      </c>
      <c r="MB360">
        <v>0</v>
      </c>
      <c r="MC360">
        <v>0</v>
      </c>
      <c r="MD360">
        <v>0</v>
      </c>
      <c r="ME360">
        <v>0</v>
      </c>
      <c r="MF360">
        <v>0</v>
      </c>
      <c r="MG360">
        <v>0</v>
      </c>
      <c r="MH360">
        <v>0</v>
      </c>
      <c r="MI360">
        <v>0</v>
      </c>
      <c r="MJ360">
        <v>0</v>
      </c>
      <c r="MK360">
        <v>0</v>
      </c>
      <c r="ML360">
        <v>0</v>
      </c>
      <c r="MM360">
        <v>0</v>
      </c>
      <c r="MN360">
        <v>0</v>
      </c>
      <c r="MO360">
        <v>0</v>
      </c>
      <c r="MP360">
        <v>0</v>
      </c>
      <c r="MQ360">
        <v>0</v>
      </c>
      <c r="MR360">
        <v>0</v>
      </c>
      <c r="MS360">
        <v>0</v>
      </c>
      <c r="MT360">
        <v>0</v>
      </c>
      <c r="MU360">
        <v>0</v>
      </c>
      <c r="MV360">
        <v>0</v>
      </c>
      <c r="MW360">
        <v>0</v>
      </c>
      <c r="MX360">
        <v>0</v>
      </c>
      <c r="MY360">
        <v>0</v>
      </c>
      <c r="MZ360">
        <v>0</v>
      </c>
      <c r="NA360">
        <v>0</v>
      </c>
      <c r="NB360">
        <v>0</v>
      </c>
      <c r="NC360">
        <v>0</v>
      </c>
      <c r="ND360">
        <v>0</v>
      </c>
      <c r="NE360">
        <v>0</v>
      </c>
    </row>
    <row r="361" spans="41:369" x14ac:dyDescent="0.45">
      <c r="AO361">
        <v>0</v>
      </c>
      <c r="AP361">
        <v>0</v>
      </c>
      <c r="AQ361">
        <v>0</v>
      </c>
      <c r="AR361">
        <v>0</v>
      </c>
      <c r="AS361">
        <v>0</v>
      </c>
      <c r="AT361">
        <v>0</v>
      </c>
      <c r="AU361">
        <v>0</v>
      </c>
      <c r="AV361">
        <v>0</v>
      </c>
      <c r="AW361" t="str">
        <v/>
      </c>
      <c r="AX361">
        <v>255</v>
      </c>
      <c r="AY361" s="5" t="str">
        <v/>
      </c>
      <c r="AZ361">
        <v>0</v>
      </c>
      <c r="BA361">
        <v>0</v>
      </c>
      <c r="BB361">
        <v>0</v>
      </c>
      <c r="BC361">
        <v>0</v>
      </c>
      <c r="BD361">
        <v>0</v>
      </c>
      <c r="BE361">
        <v>0</v>
      </c>
      <c r="BF361">
        <v>0</v>
      </c>
      <c r="BG361">
        <v>0</v>
      </c>
      <c r="BH361">
        <v>0</v>
      </c>
      <c r="BI361" t="str">
        <v/>
      </c>
      <c r="BK361">
        <v>355</v>
      </c>
      <c r="BL361">
        <v>0</v>
      </c>
      <c r="BM361">
        <v>0</v>
      </c>
      <c r="BN361">
        <v>0</v>
      </c>
      <c r="BO361">
        <v>0</v>
      </c>
      <c r="BP361">
        <v>0</v>
      </c>
      <c r="BQ361">
        <v>0</v>
      </c>
      <c r="BR361">
        <v>0</v>
      </c>
      <c r="BS361">
        <v>0</v>
      </c>
      <c r="BT361">
        <v>0</v>
      </c>
      <c r="BU361">
        <v>0</v>
      </c>
      <c r="BV361">
        <v>0</v>
      </c>
      <c r="BW361">
        <v>0</v>
      </c>
      <c r="BX361">
        <v>0</v>
      </c>
      <c r="BY361">
        <v>0</v>
      </c>
      <c r="BZ361">
        <v>0</v>
      </c>
      <c r="CA361">
        <v>0</v>
      </c>
      <c r="CB361">
        <v>0</v>
      </c>
      <c r="CC361">
        <v>0</v>
      </c>
      <c r="CD361">
        <v>0</v>
      </c>
      <c r="CE361">
        <v>0</v>
      </c>
      <c r="CF361">
        <v>0</v>
      </c>
      <c r="CG361">
        <v>0</v>
      </c>
      <c r="CH361">
        <v>0</v>
      </c>
      <c r="CI361">
        <v>0</v>
      </c>
      <c r="CJ361">
        <v>0</v>
      </c>
      <c r="CK361">
        <v>0</v>
      </c>
      <c r="CL361">
        <v>0</v>
      </c>
      <c r="CM361">
        <v>0</v>
      </c>
      <c r="CN361">
        <v>0</v>
      </c>
      <c r="CO361">
        <v>0</v>
      </c>
      <c r="CP361">
        <v>0</v>
      </c>
      <c r="CQ361">
        <v>0</v>
      </c>
      <c r="CR361">
        <v>0</v>
      </c>
      <c r="CS361">
        <v>0</v>
      </c>
      <c r="CT361">
        <v>0</v>
      </c>
      <c r="CU361">
        <v>0</v>
      </c>
      <c r="CV361">
        <v>0</v>
      </c>
      <c r="CW361">
        <v>0</v>
      </c>
      <c r="CX361">
        <v>0</v>
      </c>
      <c r="CY361">
        <v>0</v>
      </c>
      <c r="CZ361">
        <v>0</v>
      </c>
      <c r="DA361">
        <v>0</v>
      </c>
      <c r="DB361">
        <v>0</v>
      </c>
      <c r="DC361">
        <v>0</v>
      </c>
      <c r="DD361">
        <v>0</v>
      </c>
      <c r="DE361">
        <v>0</v>
      </c>
      <c r="DF361">
        <v>0</v>
      </c>
      <c r="DG361">
        <v>0</v>
      </c>
      <c r="DH361">
        <v>0</v>
      </c>
      <c r="DI361">
        <v>0</v>
      </c>
      <c r="DJ361">
        <v>0</v>
      </c>
      <c r="DK361">
        <v>0</v>
      </c>
      <c r="DL361">
        <v>0</v>
      </c>
      <c r="DM361">
        <v>0</v>
      </c>
      <c r="DN361">
        <v>0</v>
      </c>
      <c r="DO361">
        <v>0</v>
      </c>
      <c r="DP361">
        <v>0</v>
      </c>
      <c r="DQ361">
        <v>0</v>
      </c>
      <c r="DR361">
        <v>0</v>
      </c>
      <c r="DS361">
        <v>0</v>
      </c>
      <c r="DT361">
        <v>0</v>
      </c>
      <c r="DU361">
        <v>0</v>
      </c>
      <c r="DV361">
        <v>0</v>
      </c>
      <c r="DW361">
        <v>0</v>
      </c>
      <c r="DX361">
        <v>0</v>
      </c>
      <c r="DY361">
        <v>0</v>
      </c>
      <c r="DZ361">
        <v>0</v>
      </c>
      <c r="EA361">
        <v>0</v>
      </c>
      <c r="EB361">
        <v>0</v>
      </c>
      <c r="EC361">
        <v>0</v>
      </c>
      <c r="ED361">
        <v>0</v>
      </c>
      <c r="EE361">
        <v>0</v>
      </c>
      <c r="EF361">
        <v>0</v>
      </c>
      <c r="EG361">
        <v>0</v>
      </c>
      <c r="EH361">
        <v>0</v>
      </c>
      <c r="EI361">
        <v>0</v>
      </c>
      <c r="EJ361">
        <v>0</v>
      </c>
      <c r="EK361">
        <v>0</v>
      </c>
      <c r="EL361">
        <v>0</v>
      </c>
      <c r="EM361">
        <v>0</v>
      </c>
      <c r="EN361">
        <v>0</v>
      </c>
      <c r="EO361">
        <v>0</v>
      </c>
      <c r="EP361">
        <v>0</v>
      </c>
      <c r="EQ361">
        <v>0</v>
      </c>
      <c r="ER361">
        <v>0</v>
      </c>
      <c r="ES361">
        <v>0</v>
      </c>
      <c r="ET361">
        <v>0</v>
      </c>
      <c r="EU361">
        <v>0</v>
      </c>
      <c r="EV361">
        <v>0</v>
      </c>
      <c r="EW361">
        <v>0</v>
      </c>
      <c r="EX361">
        <v>0</v>
      </c>
      <c r="EY361">
        <v>0</v>
      </c>
      <c r="EZ361">
        <v>0</v>
      </c>
      <c r="FA361">
        <v>0</v>
      </c>
      <c r="FB361">
        <v>0</v>
      </c>
      <c r="FC361">
        <v>0</v>
      </c>
      <c r="FD361">
        <v>0</v>
      </c>
      <c r="FE361">
        <v>0</v>
      </c>
      <c r="FF361">
        <v>0</v>
      </c>
      <c r="FG361">
        <v>0</v>
      </c>
      <c r="FH361">
        <v>0</v>
      </c>
      <c r="FI361">
        <v>0</v>
      </c>
      <c r="FJ361">
        <v>0</v>
      </c>
      <c r="FK361">
        <v>0</v>
      </c>
      <c r="FL361">
        <v>0</v>
      </c>
      <c r="FM361">
        <v>0</v>
      </c>
      <c r="FN361">
        <v>0</v>
      </c>
      <c r="FO361">
        <v>0</v>
      </c>
      <c r="FP361">
        <v>0</v>
      </c>
      <c r="FQ361">
        <v>0</v>
      </c>
      <c r="FR361">
        <v>0</v>
      </c>
      <c r="FS361">
        <v>0</v>
      </c>
      <c r="FT361">
        <v>0</v>
      </c>
      <c r="FU361">
        <v>0</v>
      </c>
      <c r="FV361">
        <v>0</v>
      </c>
      <c r="FW361">
        <v>0</v>
      </c>
      <c r="FX361">
        <v>0</v>
      </c>
      <c r="FY361">
        <v>0</v>
      </c>
      <c r="FZ361">
        <v>0</v>
      </c>
      <c r="GA361">
        <v>0</v>
      </c>
      <c r="GB361">
        <v>0</v>
      </c>
      <c r="GC361">
        <v>0</v>
      </c>
      <c r="GD361">
        <v>0</v>
      </c>
      <c r="GE361">
        <v>0</v>
      </c>
      <c r="GF361">
        <v>0</v>
      </c>
      <c r="GG361">
        <v>0</v>
      </c>
      <c r="GH361">
        <v>0</v>
      </c>
      <c r="GI361">
        <v>0</v>
      </c>
      <c r="GJ361">
        <v>0</v>
      </c>
      <c r="GK361">
        <v>0</v>
      </c>
      <c r="GL361">
        <v>0</v>
      </c>
      <c r="GM361">
        <v>0</v>
      </c>
      <c r="GN361">
        <v>0</v>
      </c>
      <c r="GO361">
        <v>0</v>
      </c>
      <c r="GP361">
        <v>0</v>
      </c>
      <c r="GQ361">
        <v>0</v>
      </c>
      <c r="GR361">
        <v>0</v>
      </c>
      <c r="GS361">
        <v>0</v>
      </c>
      <c r="GT361">
        <v>0</v>
      </c>
      <c r="GU361">
        <v>0</v>
      </c>
      <c r="GV361">
        <v>0</v>
      </c>
      <c r="GW361">
        <v>0</v>
      </c>
      <c r="GX361">
        <v>0</v>
      </c>
      <c r="GY361">
        <v>0</v>
      </c>
      <c r="GZ361">
        <v>0</v>
      </c>
      <c r="HA361">
        <v>0</v>
      </c>
      <c r="HB361">
        <v>0</v>
      </c>
      <c r="HC361">
        <v>0</v>
      </c>
      <c r="HD361">
        <v>0</v>
      </c>
      <c r="HE361">
        <v>0</v>
      </c>
      <c r="HF361">
        <v>0</v>
      </c>
      <c r="HG361">
        <v>0</v>
      </c>
      <c r="HH361">
        <v>0</v>
      </c>
      <c r="HI361">
        <v>0</v>
      </c>
      <c r="HJ361">
        <v>0</v>
      </c>
      <c r="HK361">
        <v>0</v>
      </c>
      <c r="HL361">
        <v>0</v>
      </c>
      <c r="HM361">
        <v>0</v>
      </c>
      <c r="HN361">
        <v>0</v>
      </c>
      <c r="HO361">
        <v>0</v>
      </c>
      <c r="HP361">
        <v>0</v>
      </c>
      <c r="HQ361">
        <v>0</v>
      </c>
      <c r="HR361">
        <v>0</v>
      </c>
      <c r="HS361">
        <v>0</v>
      </c>
      <c r="HT361">
        <v>0</v>
      </c>
      <c r="HU361">
        <v>0</v>
      </c>
      <c r="HV361">
        <v>0</v>
      </c>
      <c r="HW361">
        <v>0</v>
      </c>
      <c r="HX361">
        <v>0</v>
      </c>
      <c r="HY361">
        <v>0</v>
      </c>
      <c r="HZ361">
        <v>0</v>
      </c>
      <c r="IA361">
        <v>0</v>
      </c>
      <c r="IB361">
        <v>0</v>
      </c>
      <c r="IC361">
        <v>0</v>
      </c>
      <c r="ID361">
        <v>0</v>
      </c>
      <c r="IE361">
        <v>0</v>
      </c>
      <c r="IF361">
        <v>0</v>
      </c>
      <c r="IG361">
        <v>0</v>
      </c>
      <c r="IH361">
        <v>0</v>
      </c>
      <c r="II361">
        <v>0</v>
      </c>
      <c r="IJ361">
        <v>0</v>
      </c>
      <c r="IK361">
        <v>0</v>
      </c>
      <c r="IL361">
        <v>0</v>
      </c>
      <c r="IM361">
        <v>0</v>
      </c>
      <c r="IN361">
        <v>0</v>
      </c>
      <c r="IO361">
        <v>0</v>
      </c>
      <c r="IP361">
        <v>0</v>
      </c>
      <c r="IQ361">
        <v>0</v>
      </c>
      <c r="IR361">
        <v>0</v>
      </c>
      <c r="IS361">
        <v>0</v>
      </c>
      <c r="IT361">
        <v>0</v>
      </c>
      <c r="IU361">
        <v>0</v>
      </c>
      <c r="IV361">
        <v>0</v>
      </c>
      <c r="IW361">
        <v>0</v>
      </c>
      <c r="IX361">
        <v>0</v>
      </c>
      <c r="IY361">
        <v>0</v>
      </c>
      <c r="IZ361">
        <v>0</v>
      </c>
      <c r="JA361">
        <v>0</v>
      </c>
      <c r="JB361">
        <v>0</v>
      </c>
      <c r="JC361">
        <v>0</v>
      </c>
      <c r="JD361">
        <v>0</v>
      </c>
      <c r="JE361">
        <v>0</v>
      </c>
      <c r="JF361">
        <v>0</v>
      </c>
      <c r="JG361">
        <v>0</v>
      </c>
      <c r="JH361">
        <v>0</v>
      </c>
      <c r="JI361">
        <v>0</v>
      </c>
      <c r="JJ361">
        <v>0</v>
      </c>
      <c r="JK361">
        <v>0</v>
      </c>
      <c r="JL361">
        <v>0</v>
      </c>
      <c r="JM361">
        <v>0</v>
      </c>
      <c r="JN361">
        <v>0</v>
      </c>
      <c r="JO361">
        <v>0</v>
      </c>
      <c r="JP361">
        <v>0</v>
      </c>
      <c r="JQ361">
        <v>0</v>
      </c>
      <c r="JR361">
        <v>0</v>
      </c>
      <c r="JS361">
        <v>0</v>
      </c>
      <c r="JT361">
        <v>0</v>
      </c>
      <c r="JU361">
        <v>0</v>
      </c>
      <c r="JV361">
        <v>0</v>
      </c>
      <c r="JW361">
        <v>0</v>
      </c>
      <c r="JX361">
        <v>0</v>
      </c>
      <c r="JY361">
        <v>0</v>
      </c>
      <c r="JZ361">
        <v>0</v>
      </c>
      <c r="KA361">
        <v>0</v>
      </c>
      <c r="KB361">
        <v>0</v>
      </c>
      <c r="KC361">
        <v>0</v>
      </c>
      <c r="KD361">
        <v>0</v>
      </c>
      <c r="KE361">
        <v>0</v>
      </c>
      <c r="KF361">
        <v>0</v>
      </c>
      <c r="KG361">
        <v>0</v>
      </c>
      <c r="KH361">
        <v>0</v>
      </c>
      <c r="KI361">
        <v>0</v>
      </c>
      <c r="KJ361">
        <v>0</v>
      </c>
      <c r="KK361">
        <v>0</v>
      </c>
      <c r="KL361">
        <v>0</v>
      </c>
      <c r="KM361">
        <v>0</v>
      </c>
      <c r="KN361">
        <v>0</v>
      </c>
      <c r="KO361">
        <v>0</v>
      </c>
      <c r="KP361">
        <v>0</v>
      </c>
      <c r="KQ361">
        <v>0</v>
      </c>
      <c r="KR361">
        <v>0</v>
      </c>
      <c r="KS361">
        <v>0</v>
      </c>
      <c r="KT361">
        <v>0</v>
      </c>
      <c r="KU361">
        <v>0</v>
      </c>
      <c r="KV361">
        <v>0</v>
      </c>
      <c r="KW361">
        <v>0</v>
      </c>
      <c r="KX361">
        <v>0</v>
      </c>
      <c r="KY361">
        <v>0</v>
      </c>
      <c r="KZ361">
        <v>0</v>
      </c>
      <c r="LA361">
        <v>0</v>
      </c>
      <c r="LB361">
        <v>0</v>
      </c>
      <c r="LC361">
        <v>0</v>
      </c>
      <c r="LD361">
        <v>0</v>
      </c>
      <c r="LE361">
        <v>0</v>
      </c>
      <c r="LF361">
        <v>0</v>
      </c>
      <c r="LG361">
        <v>0</v>
      </c>
      <c r="LH361">
        <v>0</v>
      </c>
      <c r="LI361">
        <v>0</v>
      </c>
      <c r="LJ361">
        <v>0</v>
      </c>
      <c r="LK361">
        <v>0</v>
      </c>
      <c r="LL361">
        <v>0</v>
      </c>
      <c r="LM361">
        <v>0</v>
      </c>
      <c r="LN361">
        <v>0</v>
      </c>
      <c r="LO361">
        <v>0</v>
      </c>
      <c r="LP361">
        <v>0</v>
      </c>
      <c r="LQ361">
        <v>0</v>
      </c>
      <c r="LR361">
        <v>0</v>
      </c>
      <c r="LS361">
        <v>0</v>
      </c>
      <c r="LT361">
        <v>0</v>
      </c>
      <c r="LU361">
        <v>0</v>
      </c>
      <c r="LV361">
        <v>0</v>
      </c>
      <c r="LW361">
        <v>0</v>
      </c>
      <c r="LX361">
        <v>0</v>
      </c>
      <c r="LY361">
        <v>0</v>
      </c>
      <c r="LZ361">
        <v>0</v>
      </c>
      <c r="MA361">
        <v>0</v>
      </c>
      <c r="MB361">
        <v>0</v>
      </c>
      <c r="MC361">
        <v>0</v>
      </c>
      <c r="MD361">
        <v>0</v>
      </c>
      <c r="ME361">
        <v>0</v>
      </c>
      <c r="MF361">
        <v>0</v>
      </c>
      <c r="MG361">
        <v>0</v>
      </c>
      <c r="MH361">
        <v>0</v>
      </c>
      <c r="MI361">
        <v>0</v>
      </c>
      <c r="MJ361">
        <v>0</v>
      </c>
      <c r="MK361">
        <v>0</v>
      </c>
      <c r="ML361">
        <v>0</v>
      </c>
      <c r="MM361">
        <v>0</v>
      </c>
      <c r="MN361">
        <v>0</v>
      </c>
      <c r="MO361">
        <v>0</v>
      </c>
      <c r="MP361">
        <v>0</v>
      </c>
      <c r="MQ361">
        <v>0</v>
      </c>
      <c r="MR361">
        <v>0</v>
      </c>
      <c r="MS361">
        <v>0</v>
      </c>
      <c r="MT361">
        <v>0</v>
      </c>
      <c r="MU361">
        <v>0</v>
      </c>
      <c r="MV361">
        <v>0</v>
      </c>
      <c r="MW361">
        <v>0</v>
      </c>
      <c r="MX361">
        <v>0</v>
      </c>
      <c r="MY361">
        <v>0</v>
      </c>
      <c r="MZ361">
        <v>0</v>
      </c>
      <c r="NA361">
        <v>0</v>
      </c>
      <c r="NB361">
        <v>0</v>
      </c>
      <c r="NC361">
        <v>0</v>
      </c>
      <c r="ND361">
        <v>0</v>
      </c>
      <c r="NE361">
        <v>0</v>
      </c>
    </row>
    <row r="362" spans="41:369" x14ac:dyDescent="0.45">
      <c r="AO362">
        <v>0</v>
      </c>
      <c r="AP362">
        <v>0</v>
      </c>
      <c r="AQ362">
        <v>0</v>
      </c>
      <c r="AR362">
        <v>0</v>
      </c>
      <c r="AS362">
        <v>0</v>
      </c>
      <c r="AT362">
        <v>0</v>
      </c>
      <c r="AU362">
        <v>0</v>
      </c>
      <c r="AV362">
        <v>0</v>
      </c>
      <c r="AW362" t="str">
        <v/>
      </c>
      <c r="AX362">
        <v>255</v>
      </c>
      <c r="AY362" s="5" t="str">
        <v/>
      </c>
      <c r="AZ362">
        <v>0</v>
      </c>
      <c r="BA362">
        <v>0</v>
      </c>
      <c r="BB362">
        <v>0</v>
      </c>
      <c r="BC362">
        <v>0</v>
      </c>
      <c r="BD362">
        <v>0</v>
      </c>
      <c r="BE362">
        <v>0</v>
      </c>
      <c r="BF362">
        <v>0</v>
      </c>
      <c r="BG362">
        <v>0</v>
      </c>
      <c r="BH362">
        <v>0</v>
      </c>
      <c r="BI362" t="str">
        <v/>
      </c>
      <c r="BK362">
        <v>356</v>
      </c>
      <c r="BL362">
        <v>0</v>
      </c>
      <c r="BM362">
        <v>0</v>
      </c>
      <c r="BN362">
        <v>0</v>
      </c>
      <c r="BO362">
        <v>0</v>
      </c>
      <c r="BP362">
        <v>0</v>
      </c>
      <c r="BQ362">
        <v>0</v>
      </c>
      <c r="BR362">
        <v>0</v>
      </c>
      <c r="BS362">
        <v>0</v>
      </c>
      <c r="BT362">
        <v>0</v>
      </c>
      <c r="BU362">
        <v>0</v>
      </c>
      <c r="BV362">
        <v>0</v>
      </c>
      <c r="BW362">
        <v>0</v>
      </c>
      <c r="BX362">
        <v>0</v>
      </c>
      <c r="BY362">
        <v>0</v>
      </c>
      <c r="BZ362">
        <v>0</v>
      </c>
      <c r="CA362">
        <v>0</v>
      </c>
      <c r="CB362">
        <v>0</v>
      </c>
      <c r="CC362">
        <v>0</v>
      </c>
      <c r="CD362">
        <v>0</v>
      </c>
      <c r="CE362">
        <v>0</v>
      </c>
      <c r="CF362">
        <v>0</v>
      </c>
      <c r="CG362">
        <v>0</v>
      </c>
      <c r="CH362">
        <v>0</v>
      </c>
      <c r="CI362">
        <v>0</v>
      </c>
      <c r="CJ362">
        <v>0</v>
      </c>
      <c r="CK362">
        <v>0</v>
      </c>
      <c r="CL362">
        <v>0</v>
      </c>
      <c r="CM362">
        <v>0</v>
      </c>
      <c r="CN362">
        <v>0</v>
      </c>
      <c r="CO362">
        <v>0</v>
      </c>
      <c r="CP362">
        <v>0</v>
      </c>
      <c r="CQ362">
        <v>0</v>
      </c>
      <c r="CR362">
        <v>0</v>
      </c>
      <c r="CS362">
        <v>0</v>
      </c>
      <c r="CT362">
        <v>0</v>
      </c>
      <c r="CU362">
        <v>0</v>
      </c>
      <c r="CV362">
        <v>0</v>
      </c>
      <c r="CW362">
        <v>0</v>
      </c>
      <c r="CX362">
        <v>0</v>
      </c>
      <c r="CY362">
        <v>0</v>
      </c>
      <c r="CZ362">
        <v>0</v>
      </c>
      <c r="DA362">
        <v>0</v>
      </c>
      <c r="DB362">
        <v>0</v>
      </c>
      <c r="DC362">
        <v>0</v>
      </c>
      <c r="DD362">
        <v>0</v>
      </c>
      <c r="DE362">
        <v>0</v>
      </c>
      <c r="DF362">
        <v>0</v>
      </c>
      <c r="DG362">
        <v>0</v>
      </c>
      <c r="DH362">
        <v>0</v>
      </c>
      <c r="DI362">
        <v>0</v>
      </c>
      <c r="DJ362">
        <v>0</v>
      </c>
      <c r="DK362">
        <v>0</v>
      </c>
      <c r="DL362">
        <v>0</v>
      </c>
      <c r="DM362">
        <v>0</v>
      </c>
      <c r="DN362">
        <v>0</v>
      </c>
      <c r="DO362">
        <v>0</v>
      </c>
      <c r="DP362">
        <v>0</v>
      </c>
      <c r="DQ362">
        <v>0</v>
      </c>
      <c r="DR362">
        <v>0</v>
      </c>
      <c r="DS362">
        <v>0</v>
      </c>
      <c r="DT362">
        <v>0</v>
      </c>
      <c r="DU362">
        <v>0</v>
      </c>
      <c r="DV362">
        <v>0</v>
      </c>
      <c r="DW362">
        <v>0</v>
      </c>
      <c r="DX362">
        <v>0</v>
      </c>
      <c r="DY362">
        <v>0</v>
      </c>
      <c r="DZ362">
        <v>0</v>
      </c>
      <c r="EA362">
        <v>0</v>
      </c>
      <c r="EB362">
        <v>0</v>
      </c>
      <c r="EC362">
        <v>0</v>
      </c>
      <c r="ED362">
        <v>0</v>
      </c>
      <c r="EE362">
        <v>0</v>
      </c>
      <c r="EF362">
        <v>0</v>
      </c>
      <c r="EG362">
        <v>0</v>
      </c>
      <c r="EH362">
        <v>0</v>
      </c>
      <c r="EI362">
        <v>0</v>
      </c>
      <c r="EJ362">
        <v>0</v>
      </c>
      <c r="EK362">
        <v>0</v>
      </c>
      <c r="EL362">
        <v>0</v>
      </c>
      <c r="EM362">
        <v>0</v>
      </c>
      <c r="EN362">
        <v>0</v>
      </c>
      <c r="EO362">
        <v>0</v>
      </c>
      <c r="EP362">
        <v>0</v>
      </c>
      <c r="EQ362">
        <v>0</v>
      </c>
      <c r="ER362">
        <v>0</v>
      </c>
      <c r="ES362">
        <v>0</v>
      </c>
      <c r="ET362">
        <v>0</v>
      </c>
      <c r="EU362">
        <v>0</v>
      </c>
      <c r="EV362">
        <v>0</v>
      </c>
      <c r="EW362">
        <v>0</v>
      </c>
      <c r="EX362">
        <v>0</v>
      </c>
      <c r="EY362">
        <v>0</v>
      </c>
      <c r="EZ362">
        <v>0</v>
      </c>
      <c r="FA362">
        <v>0</v>
      </c>
      <c r="FB362">
        <v>0</v>
      </c>
      <c r="FC362">
        <v>0</v>
      </c>
      <c r="FD362">
        <v>0</v>
      </c>
      <c r="FE362">
        <v>0</v>
      </c>
      <c r="FF362">
        <v>0</v>
      </c>
      <c r="FG362">
        <v>0</v>
      </c>
      <c r="FH362">
        <v>0</v>
      </c>
      <c r="FI362">
        <v>0</v>
      </c>
      <c r="FJ362">
        <v>0</v>
      </c>
      <c r="FK362">
        <v>0</v>
      </c>
      <c r="FL362">
        <v>0</v>
      </c>
      <c r="FM362">
        <v>0</v>
      </c>
      <c r="FN362">
        <v>0</v>
      </c>
      <c r="FO362">
        <v>0</v>
      </c>
      <c r="FP362">
        <v>0</v>
      </c>
      <c r="FQ362">
        <v>0</v>
      </c>
      <c r="FR362">
        <v>0</v>
      </c>
      <c r="FS362">
        <v>0</v>
      </c>
      <c r="FT362">
        <v>0</v>
      </c>
      <c r="FU362">
        <v>0</v>
      </c>
      <c r="FV362">
        <v>0</v>
      </c>
      <c r="FW362">
        <v>0</v>
      </c>
      <c r="FX362">
        <v>0</v>
      </c>
      <c r="FY362">
        <v>0</v>
      </c>
      <c r="FZ362">
        <v>0</v>
      </c>
      <c r="GA362">
        <v>0</v>
      </c>
      <c r="GB362">
        <v>0</v>
      </c>
      <c r="GC362">
        <v>0</v>
      </c>
      <c r="GD362">
        <v>0</v>
      </c>
      <c r="GE362">
        <v>0</v>
      </c>
      <c r="GF362">
        <v>0</v>
      </c>
      <c r="GG362">
        <v>0</v>
      </c>
      <c r="GH362">
        <v>0</v>
      </c>
      <c r="GI362">
        <v>0</v>
      </c>
      <c r="GJ362">
        <v>0</v>
      </c>
      <c r="GK362">
        <v>0</v>
      </c>
      <c r="GL362">
        <v>0</v>
      </c>
      <c r="GM362">
        <v>0</v>
      </c>
      <c r="GN362">
        <v>0</v>
      </c>
      <c r="GO362">
        <v>0</v>
      </c>
      <c r="GP362">
        <v>0</v>
      </c>
      <c r="GQ362">
        <v>0</v>
      </c>
      <c r="GR362">
        <v>0</v>
      </c>
      <c r="GS362">
        <v>0</v>
      </c>
      <c r="GT362">
        <v>0</v>
      </c>
      <c r="GU362">
        <v>0</v>
      </c>
      <c r="GV362">
        <v>0</v>
      </c>
      <c r="GW362">
        <v>0</v>
      </c>
      <c r="GX362">
        <v>0</v>
      </c>
      <c r="GY362">
        <v>0</v>
      </c>
      <c r="GZ362">
        <v>0</v>
      </c>
      <c r="HA362">
        <v>0</v>
      </c>
      <c r="HB362">
        <v>0</v>
      </c>
      <c r="HC362">
        <v>0</v>
      </c>
      <c r="HD362">
        <v>0</v>
      </c>
      <c r="HE362">
        <v>0</v>
      </c>
      <c r="HF362">
        <v>0</v>
      </c>
      <c r="HG362">
        <v>0</v>
      </c>
      <c r="HH362">
        <v>0</v>
      </c>
      <c r="HI362">
        <v>0</v>
      </c>
      <c r="HJ362">
        <v>0</v>
      </c>
      <c r="HK362">
        <v>0</v>
      </c>
      <c r="HL362">
        <v>0</v>
      </c>
      <c r="HM362">
        <v>0</v>
      </c>
      <c r="HN362">
        <v>0</v>
      </c>
      <c r="HO362">
        <v>0</v>
      </c>
      <c r="HP362">
        <v>0</v>
      </c>
      <c r="HQ362">
        <v>0</v>
      </c>
      <c r="HR362">
        <v>0</v>
      </c>
      <c r="HS362">
        <v>0</v>
      </c>
      <c r="HT362">
        <v>0</v>
      </c>
      <c r="HU362">
        <v>0</v>
      </c>
      <c r="HV362">
        <v>0</v>
      </c>
      <c r="HW362">
        <v>0</v>
      </c>
      <c r="HX362">
        <v>0</v>
      </c>
      <c r="HY362">
        <v>0</v>
      </c>
      <c r="HZ362">
        <v>0</v>
      </c>
      <c r="IA362">
        <v>0</v>
      </c>
      <c r="IB362">
        <v>0</v>
      </c>
      <c r="IC362">
        <v>0</v>
      </c>
      <c r="ID362">
        <v>0</v>
      </c>
      <c r="IE362">
        <v>0</v>
      </c>
      <c r="IF362">
        <v>0</v>
      </c>
      <c r="IG362">
        <v>0</v>
      </c>
      <c r="IH362">
        <v>0</v>
      </c>
      <c r="II362">
        <v>0</v>
      </c>
      <c r="IJ362">
        <v>0</v>
      </c>
      <c r="IK362">
        <v>0</v>
      </c>
      <c r="IL362">
        <v>0</v>
      </c>
      <c r="IM362">
        <v>0</v>
      </c>
      <c r="IN362">
        <v>0</v>
      </c>
      <c r="IO362">
        <v>0</v>
      </c>
      <c r="IP362">
        <v>0</v>
      </c>
      <c r="IQ362">
        <v>0</v>
      </c>
      <c r="IR362">
        <v>0</v>
      </c>
      <c r="IS362">
        <v>0</v>
      </c>
      <c r="IT362">
        <v>0</v>
      </c>
      <c r="IU362">
        <v>0</v>
      </c>
      <c r="IV362">
        <v>0</v>
      </c>
      <c r="IW362">
        <v>0</v>
      </c>
      <c r="IX362">
        <v>0</v>
      </c>
      <c r="IY362">
        <v>0</v>
      </c>
      <c r="IZ362">
        <v>0</v>
      </c>
      <c r="JA362">
        <v>0</v>
      </c>
      <c r="JB362">
        <v>0</v>
      </c>
      <c r="JC362">
        <v>0</v>
      </c>
      <c r="JD362">
        <v>0</v>
      </c>
      <c r="JE362">
        <v>0</v>
      </c>
      <c r="JF362">
        <v>0</v>
      </c>
      <c r="JG362">
        <v>0</v>
      </c>
      <c r="JH362">
        <v>0</v>
      </c>
      <c r="JI362">
        <v>0</v>
      </c>
      <c r="JJ362">
        <v>0</v>
      </c>
      <c r="JK362">
        <v>0</v>
      </c>
      <c r="JL362">
        <v>0</v>
      </c>
      <c r="JM362">
        <v>0</v>
      </c>
      <c r="JN362">
        <v>0</v>
      </c>
      <c r="JO362">
        <v>0</v>
      </c>
      <c r="JP362">
        <v>0</v>
      </c>
      <c r="JQ362">
        <v>0</v>
      </c>
      <c r="JR362">
        <v>0</v>
      </c>
      <c r="JS362">
        <v>0</v>
      </c>
      <c r="JT362">
        <v>0</v>
      </c>
      <c r="JU362">
        <v>0</v>
      </c>
      <c r="JV362">
        <v>0</v>
      </c>
      <c r="JW362">
        <v>0</v>
      </c>
      <c r="JX362">
        <v>0</v>
      </c>
      <c r="JY362">
        <v>0</v>
      </c>
      <c r="JZ362">
        <v>0</v>
      </c>
      <c r="KA362">
        <v>0</v>
      </c>
      <c r="KB362">
        <v>0</v>
      </c>
      <c r="KC362">
        <v>0</v>
      </c>
      <c r="KD362">
        <v>0</v>
      </c>
      <c r="KE362">
        <v>0</v>
      </c>
      <c r="KF362">
        <v>0</v>
      </c>
      <c r="KG362">
        <v>0</v>
      </c>
      <c r="KH362">
        <v>0</v>
      </c>
      <c r="KI362">
        <v>0</v>
      </c>
      <c r="KJ362">
        <v>0</v>
      </c>
      <c r="KK362">
        <v>0</v>
      </c>
      <c r="KL362">
        <v>0</v>
      </c>
      <c r="KM362">
        <v>0</v>
      </c>
      <c r="KN362">
        <v>0</v>
      </c>
      <c r="KO362">
        <v>0</v>
      </c>
      <c r="KP362">
        <v>0</v>
      </c>
      <c r="KQ362">
        <v>0</v>
      </c>
      <c r="KR362">
        <v>0</v>
      </c>
      <c r="KS362">
        <v>0</v>
      </c>
      <c r="KT362">
        <v>0</v>
      </c>
      <c r="KU362">
        <v>0</v>
      </c>
      <c r="KV362">
        <v>0</v>
      </c>
      <c r="KW362">
        <v>0</v>
      </c>
      <c r="KX362">
        <v>0</v>
      </c>
      <c r="KY362">
        <v>0</v>
      </c>
      <c r="KZ362">
        <v>0</v>
      </c>
      <c r="LA362">
        <v>0</v>
      </c>
      <c r="LB362">
        <v>0</v>
      </c>
      <c r="LC362">
        <v>0</v>
      </c>
      <c r="LD362">
        <v>0</v>
      </c>
      <c r="LE362">
        <v>0</v>
      </c>
      <c r="LF362">
        <v>0</v>
      </c>
      <c r="LG362">
        <v>0</v>
      </c>
      <c r="LH362">
        <v>0</v>
      </c>
      <c r="LI362">
        <v>0</v>
      </c>
      <c r="LJ362">
        <v>0</v>
      </c>
      <c r="LK362">
        <v>0</v>
      </c>
      <c r="LL362">
        <v>0</v>
      </c>
      <c r="LM362">
        <v>0</v>
      </c>
      <c r="LN362">
        <v>0</v>
      </c>
      <c r="LO362">
        <v>0</v>
      </c>
      <c r="LP362">
        <v>0</v>
      </c>
      <c r="LQ362">
        <v>0</v>
      </c>
      <c r="LR362">
        <v>0</v>
      </c>
      <c r="LS362">
        <v>0</v>
      </c>
      <c r="LT362">
        <v>0</v>
      </c>
      <c r="LU362">
        <v>0</v>
      </c>
      <c r="LV362">
        <v>0</v>
      </c>
      <c r="LW362">
        <v>0</v>
      </c>
      <c r="LX362">
        <v>0</v>
      </c>
      <c r="LY362">
        <v>0</v>
      </c>
      <c r="LZ362">
        <v>0</v>
      </c>
      <c r="MA362">
        <v>0</v>
      </c>
      <c r="MB362">
        <v>0</v>
      </c>
      <c r="MC362">
        <v>0</v>
      </c>
      <c r="MD362">
        <v>0</v>
      </c>
      <c r="ME362">
        <v>0</v>
      </c>
      <c r="MF362">
        <v>0</v>
      </c>
      <c r="MG362">
        <v>0</v>
      </c>
      <c r="MH362">
        <v>0</v>
      </c>
      <c r="MI362">
        <v>0</v>
      </c>
      <c r="MJ362">
        <v>0</v>
      </c>
      <c r="MK362">
        <v>0</v>
      </c>
      <c r="ML362">
        <v>0</v>
      </c>
      <c r="MM362">
        <v>0</v>
      </c>
      <c r="MN362">
        <v>0</v>
      </c>
      <c r="MO362">
        <v>0</v>
      </c>
      <c r="MP362">
        <v>0</v>
      </c>
      <c r="MQ362">
        <v>0</v>
      </c>
      <c r="MR362">
        <v>0</v>
      </c>
      <c r="MS362">
        <v>0</v>
      </c>
      <c r="MT362">
        <v>0</v>
      </c>
      <c r="MU362">
        <v>0</v>
      </c>
      <c r="MV362">
        <v>0</v>
      </c>
      <c r="MW362">
        <v>0</v>
      </c>
      <c r="MX362">
        <v>0</v>
      </c>
      <c r="MY362">
        <v>0</v>
      </c>
      <c r="MZ362">
        <v>0</v>
      </c>
      <c r="NA362">
        <v>0</v>
      </c>
      <c r="NB362">
        <v>0</v>
      </c>
      <c r="NC362">
        <v>0</v>
      </c>
      <c r="ND362">
        <v>0</v>
      </c>
      <c r="NE362">
        <v>0</v>
      </c>
    </row>
    <row r="363" spans="41:369" x14ac:dyDescent="0.45">
      <c r="AO363">
        <v>0</v>
      </c>
      <c r="AP363">
        <v>0</v>
      </c>
      <c r="AQ363">
        <v>0</v>
      </c>
      <c r="AR363">
        <v>0</v>
      </c>
      <c r="AS363">
        <v>0</v>
      </c>
      <c r="AT363">
        <v>0</v>
      </c>
      <c r="AU363">
        <v>0</v>
      </c>
      <c r="AV363">
        <v>0</v>
      </c>
      <c r="AW363" t="str">
        <v/>
      </c>
      <c r="AX363">
        <v>255</v>
      </c>
      <c r="AY363" s="5" t="str">
        <v/>
      </c>
      <c r="AZ363">
        <v>0</v>
      </c>
      <c r="BA363">
        <v>0</v>
      </c>
      <c r="BB363">
        <v>0</v>
      </c>
      <c r="BC363">
        <v>0</v>
      </c>
      <c r="BD363">
        <v>0</v>
      </c>
      <c r="BE363">
        <v>0</v>
      </c>
      <c r="BF363">
        <v>0</v>
      </c>
      <c r="BG363">
        <v>0</v>
      </c>
      <c r="BH363">
        <v>0</v>
      </c>
      <c r="BI363" t="str">
        <v/>
      </c>
      <c r="BK363">
        <v>357</v>
      </c>
      <c r="BL363">
        <v>0</v>
      </c>
      <c r="BM363">
        <v>0</v>
      </c>
      <c r="BN363">
        <v>0</v>
      </c>
      <c r="BO363">
        <v>0</v>
      </c>
      <c r="BP363">
        <v>0</v>
      </c>
      <c r="BQ363">
        <v>0</v>
      </c>
      <c r="BR363">
        <v>0</v>
      </c>
      <c r="BS363">
        <v>0</v>
      </c>
      <c r="BT363">
        <v>0</v>
      </c>
      <c r="BU363">
        <v>0</v>
      </c>
      <c r="BV363">
        <v>0</v>
      </c>
      <c r="BW363">
        <v>0</v>
      </c>
      <c r="BX363">
        <v>0</v>
      </c>
      <c r="BY363">
        <v>0</v>
      </c>
      <c r="BZ363">
        <v>0</v>
      </c>
      <c r="CA363">
        <v>0</v>
      </c>
      <c r="CB363">
        <v>0</v>
      </c>
      <c r="CC363">
        <v>0</v>
      </c>
      <c r="CD363">
        <v>0</v>
      </c>
      <c r="CE363">
        <v>0</v>
      </c>
      <c r="CF363">
        <v>0</v>
      </c>
      <c r="CG363">
        <v>0</v>
      </c>
      <c r="CH363">
        <v>0</v>
      </c>
      <c r="CI363">
        <v>0</v>
      </c>
      <c r="CJ363">
        <v>0</v>
      </c>
      <c r="CK363">
        <v>0</v>
      </c>
      <c r="CL363">
        <v>0</v>
      </c>
      <c r="CM363">
        <v>0</v>
      </c>
      <c r="CN363">
        <v>0</v>
      </c>
      <c r="CO363">
        <v>0</v>
      </c>
      <c r="CP363">
        <v>0</v>
      </c>
      <c r="CQ363">
        <v>0</v>
      </c>
      <c r="CR363">
        <v>0</v>
      </c>
      <c r="CS363">
        <v>0</v>
      </c>
      <c r="CT363">
        <v>0</v>
      </c>
      <c r="CU363">
        <v>0</v>
      </c>
      <c r="CV363">
        <v>0</v>
      </c>
      <c r="CW363">
        <v>0</v>
      </c>
      <c r="CX363">
        <v>0</v>
      </c>
      <c r="CY363">
        <v>0</v>
      </c>
      <c r="CZ363">
        <v>0</v>
      </c>
      <c r="DA363">
        <v>0</v>
      </c>
      <c r="DB363">
        <v>0</v>
      </c>
      <c r="DC363">
        <v>0</v>
      </c>
      <c r="DD363">
        <v>0</v>
      </c>
      <c r="DE363">
        <v>0</v>
      </c>
      <c r="DF363">
        <v>0</v>
      </c>
      <c r="DG363">
        <v>0</v>
      </c>
      <c r="DH363">
        <v>0</v>
      </c>
      <c r="DI363">
        <v>0</v>
      </c>
      <c r="DJ363">
        <v>0</v>
      </c>
      <c r="DK363">
        <v>0</v>
      </c>
      <c r="DL363">
        <v>0</v>
      </c>
      <c r="DM363">
        <v>0</v>
      </c>
      <c r="DN363">
        <v>0</v>
      </c>
      <c r="DO363">
        <v>0</v>
      </c>
      <c r="DP363">
        <v>0</v>
      </c>
      <c r="DQ363">
        <v>0</v>
      </c>
      <c r="DR363">
        <v>0</v>
      </c>
      <c r="DS363">
        <v>0</v>
      </c>
      <c r="DT363">
        <v>0</v>
      </c>
      <c r="DU363">
        <v>0</v>
      </c>
      <c r="DV363">
        <v>0</v>
      </c>
      <c r="DW363">
        <v>0</v>
      </c>
      <c r="DX363">
        <v>0</v>
      </c>
      <c r="DY363">
        <v>0</v>
      </c>
      <c r="DZ363">
        <v>0</v>
      </c>
      <c r="EA363">
        <v>0</v>
      </c>
      <c r="EB363">
        <v>0</v>
      </c>
      <c r="EC363">
        <v>0</v>
      </c>
      <c r="ED363">
        <v>0</v>
      </c>
      <c r="EE363">
        <v>0</v>
      </c>
      <c r="EF363">
        <v>0</v>
      </c>
      <c r="EG363">
        <v>0</v>
      </c>
      <c r="EH363">
        <v>0</v>
      </c>
      <c r="EI363">
        <v>0</v>
      </c>
      <c r="EJ363">
        <v>0</v>
      </c>
      <c r="EK363">
        <v>0</v>
      </c>
      <c r="EL363">
        <v>0</v>
      </c>
      <c r="EM363">
        <v>0</v>
      </c>
      <c r="EN363">
        <v>0</v>
      </c>
      <c r="EO363">
        <v>0</v>
      </c>
      <c r="EP363">
        <v>0</v>
      </c>
      <c r="EQ363">
        <v>0</v>
      </c>
      <c r="ER363">
        <v>0</v>
      </c>
      <c r="ES363">
        <v>0</v>
      </c>
      <c r="ET363">
        <v>0</v>
      </c>
      <c r="EU363">
        <v>0</v>
      </c>
      <c r="EV363">
        <v>0</v>
      </c>
      <c r="EW363">
        <v>0</v>
      </c>
      <c r="EX363">
        <v>0</v>
      </c>
      <c r="EY363">
        <v>0</v>
      </c>
      <c r="EZ363">
        <v>0</v>
      </c>
      <c r="FA363">
        <v>0</v>
      </c>
      <c r="FB363">
        <v>0</v>
      </c>
      <c r="FC363">
        <v>0</v>
      </c>
      <c r="FD363">
        <v>0</v>
      </c>
      <c r="FE363">
        <v>0</v>
      </c>
      <c r="FF363">
        <v>0</v>
      </c>
      <c r="FG363">
        <v>0</v>
      </c>
      <c r="FH363">
        <v>0</v>
      </c>
      <c r="FI363">
        <v>0</v>
      </c>
      <c r="FJ363">
        <v>0</v>
      </c>
      <c r="FK363">
        <v>0</v>
      </c>
      <c r="FL363">
        <v>0</v>
      </c>
      <c r="FM363">
        <v>0</v>
      </c>
      <c r="FN363">
        <v>0</v>
      </c>
      <c r="FO363">
        <v>0</v>
      </c>
      <c r="FP363">
        <v>0</v>
      </c>
      <c r="FQ363">
        <v>0</v>
      </c>
      <c r="FR363">
        <v>0</v>
      </c>
      <c r="FS363">
        <v>0</v>
      </c>
      <c r="FT363">
        <v>0</v>
      </c>
      <c r="FU363">
        <v>0</v>
      </c>
      <c r="FV363">
        <v>0</v>
      </c>
      <c r="FW363">
        <v>0</v>
      </c>
      <c r="FX363">
        <v>0</v>
      </c>
      <c r="FY363">
        <v>0</v>
      </c>
      <c r="FZ363">
        <v>0</v>
      </c>
      <c r="GA363">
        <v>0</v>
      </c>
      <c r="GB363">
        <v>0</v>
      </c>
      <c r="GC363">
        <v>0</v>
      </c>
      <c r="GD363">
        <v>0</v>
      </c>
      <c r="GE363">
        <v>0</v>
      </c>
      <c r="GF363">
        <v>0</v>
      </c>
      <c r="GG363">
        <v>0</v>
      </c>
      <c r="GH363">
        <v>0</v>
      </c>
      <c r="GI363">
        <v>0</v>
      </c>
      <c r="GJ363">
        <v>0</v>
      </c>
      <c r="GK363">
        <v>0</v>
      </c>
      <c r="GL363">
        <v>0</v>
      </c>
      <c r="GM363">
        <v>0</v>
      </c>
      <c r="GN363">
        <v>0</v>
      </c>
      <c r="GO363">
        <v>0</v>
      </c>
      <c r="GP363">
        <v>0</v>
      </c>
      <c r="GQ363">
        <v>0</v>
      </c>
      <c r="GR363">
        <v>0</v>
      </c>
      <c r="GS363">
        <v>0</v>
      </c>
      <c r="GT363">
        <v>0</v>
      </c>
      <c r="GU363">
        <v>0</v>
      </c>
      <c r="GV363">
        <v>0</v>
      </c>
      <c r="GW363">
        <v>0</v>
      </c>
      <c r="GX363">
        <v>0</v>
      </c>
      <c r="GY363">
        <v>0</v>
      </c>
      <c r="GZ363">
        <v>0</v>
      </c>
      <c r="HA363">
        <v>0</v>
      </c>
      <c r="HB363">
        <v>0</v>
      </c>
      <c r="HC363">
        <v>0</v>
      </c>
      <c r="HD363">
        <v>0</v>
      </c>
      <c r="HE363">
        <v>0</v>
      </c>
      <c r="HF363">
        <v>0</v>
      </c>
      <c r="HG363">
        <v>0</v>
      </c>
      <c r="HH363">
        <v>0</v>
      </c>
      <c r="HI363">
        <v>0</v>
      </c>
      <c r="HJ363">
        <v>0</v>
      </c>
      <c r="HK363">
        <v>0</v>
      </c>
      <c r="HL363">
        <v>0</v>
      </c>
      <c r="HM363">
        <v>0</v>
      </c>
      <c r="HN363">
        <v>0</v>
      </c>
      <c r="HO363">
        <v>0</v>
      </c>
      <c r="HP363">
        <v>0</v>
      </c>
      <c r="HQ363">
        <v>0</v>
      </c>
      <c r="HR363">
        <v>0</v>
      </c>
      <c r="HS363">
        <v>0</v>
      </c>
      <c r="HT363">
        <v>0</v>
      </c>
      <c r="HU363">
        <v>0</v>
      </c>
      <c r="HV363">
        <v>0</v>
      </c>
      <c r="HW363">
        <v>0</v>
      </c>
      <c r="HX363">
        <v>0</v>
      </c>
      <c r="HY363">
        <v>0</v>
      </c>
      <c r="HZ363">
        <v>0</v>
      </c>
      <c r="IA363">
        <v>0</v>
      </c>
      <c r="IB363">
        <v>0</v>
      </c>
      <c r="IC363">
        <v>0</v>
      </c>
      <c r="ID363">
        <v>0</v>
      </c>
      <c r="IE363">
        <v>0</v>
      </c>
      <c r="IF363">
        <v>0</v>
      </c>
      <c r="IG363">
        <v>0</v>
      </c>
      <c r="IH363">
        <v>0</v>
      </c>
      <c r="II363">
        <v>0</v>
      </c>
      <c r="IJ363">
        <v>0</v>
      </c>
      <c r="IK363">
        <v>0</v>
      </c>
      <c r="IL363">
        <v>0</v>
      </c>
      <c r="IM363">
        <v>0</v>
      </c>
      <c r="IN363">
        <v>0</v>
      </c>
      <c r="IO363">
        <v>0</v>
      </c>
      <c r="IP363">
        <v>0</v>
      </c>
      <c r="IQ363">
        <v>0</v>
      </c>
      <c r="IR363">
        <v>0</v>
      </c>
      <c r="IS363">
        <v>0</v>
      </c>
      <c r="IT363">
        <v>0</v>
      </c>
      <c r="IU363">
        <v>0</v>
      </c>
      <c r="IV363">
        <v>0</v>
      </c>
      <c r="IW363">
        <v>0</v>
      </c>
      <c r="IX363">
        <v>0</v>
      </c>
      <c r="IY363">
        <v>0</v>
      </c>
      <c r="IZ363">
        <v>0</v>
      </c>
      <c r="JA363">
        <v>0</v>
      </c>
      <c r="JB363">
        <v>0</v>
      </c>
      <c r="JC363">
        <v>0</v>
      </c>
      <c r="JD363">
        <v>0</v>
      </c>
      <c r="JE363">
        <v>0</v>
      </c>
      <c r="JF363">
        <v>0</v>
      </c>
      <c r="JG363">
        <v>0</v>
      </c>
      <c r="JH363">
        <v>0</v>
      </c>
      <c r="JI363">
        <v>0</v>
      </c>
      <c r="JJ363">
        <v>0</v>
      </c>
      <c r="JK363">
        <v>0</v>
      </c>
      <c r="JL363">
        <v>0</v>
      </c>
      <c r="JM363">
        <v>0</v>
      </c>
      <c r="JN363">
        <v>0</v>
      </c>
      <c r="JO363">
        <v>0</v>
      </c>
      <c r="JP363">
        <v>0</v>
      </c>
      <c r="JQ363">
        <v>0</v>
      </c>
      <c r="JR363">
        <v>0</v>
      </c>
      <c r="JS363">
        <v>0</v>
      </c>
      <c r="JT363">
        <v>0</v>
      </c>
      <c r="JU363">
        <v>0</v>
      </c>
      <c r="JV363">
        <v>0</v>
      </c>
      <c r="JW363">
        <v>0</v>
      </c>
      <c r="JX363">
        <v>0</v>
      </c>
      <c r="JY363">
        <v>0</v>
      </c>
      <c r="JZ363">
        <v>0</v>
      </c>
      <c r="KA363">
        <v>0</v>
      </c>
      <c r="KB363">
        <v>0</v>
      </c>
      <c r="KC363">
        <v>0</v>
      </c>
      <c r="KD363">
        <v>0</v>
      </c>
      <c r="KE363">
        <v>0</v>
      </c>
      <c r="KF363">
        <v>0</v>
      </c>
      <c r="KG363">
        <v>0</v>
      </c>
      <c r="KH363">
        <v>0</v>
      </c>
      <c r="KI363">
        <v>0</v>
      </c>
      <c r="KJ363">
        <v>0</v>
      </c>
      <c r="KK363">
        <v>0</v>
      </c>
      <c r="KL363">
        <v>0</v>
      </c>
      <c r="KM363">
        <v>0</v>
      </c>
      <c r="KN363">
        <v>0</v>
      </c>
      <c r="KO363">
        <v>0</v>
      </c>
      <c r="KP363">
        <v>0</v>
      </c>
      <c r="KQ363">
        <v>0</v>
      </c>
      <c r="KR363">
        <v>0</v>
      </c>
      <c r="KS363">
        <v>0</v>
      </c>
      <c r="KT363">
        <v>0</v>
      </c>
      <c r="KU363">
        <v>0</v>
      </c>
      <c r="KV363">
        <v>0</v>
      </c>
      <c r="KW363">
        <v>0</v>
      </c>
      <c r="KX363">
        <v>0</v>
      </c>
      <c r="KY363">
        <v>0</v>
      </c>
      <c r="KZ363">
        <v>0</v>
      </c>
      <c r="LA363">
        <v>0</v>
      </c>
      <c r="LB363">
        <v>0</v>
      </c>
      <c r="LC363">
        <v>0</v>
      </c>
      <c r="LD363">
        <v>0</v>
      </c>
      <c r="LE363">
        <v>0</v>
      </c>
      <c r="LF363">
        <v>0</v>
      </c>
      <c r="LG363">
        <v>0</v>
      </c>
      <c r="LH363">
        <v>0</v>
      </c>
      <c r="LI363">
        <v>0</v>
      </c>
      <c r="LJ363">
        <v>0</v>
      </c>
      <c r="LK363">
        <v>0</v>
      </c>
      <c r="LL363">
        <v>0</v>
      </c>
      <c r="LM363">
        <v>0</v>
      </c>
      <c r="LN363">
        <v>0</v>
      </c>
      <c r="LO363">
        <v>0</v>
      </c>
      <c r="LP363">
        <v>0</v>
      </c>
      <c r="LQ363">
        <v>0</v>
      </c>
      <c r="LR363">
        <v>0</v>
      </c>
      <c r="LS363">
        <v>0</v>
      </c>
      <c r="LT363">
        <v>0</v>
      </c>
      <c r="LU363">
        <v>0</v>
      </c>
      <c r="LV363">
        <v>0</v>
      </c>
      <c r="LW363">
        <v>0</v>
      </c>
      <c r="LX363">
        <v>0</v>
      </c>
      <c r="LY363">
        <v>0</v>
      </c>
      <c r="LZ363">
        <v>0</v>
      </c>
      <c r="MA363">
        <v>0</v>
      </c>
      <c r="MB363">
        <v>0</v>
      </c>
      <c r="MC363">
        <v>0</v>
      </c>
      <c r="MD363">
        <v>0</v>
      </c>
      <c r="ME363">
        <v>0</v>
      </c>
      <c r="MF363">
        <v>0</v>
      </c>
      <c r="MG363">
        <v>0</v>
      </c>
      <c r="MH363">
        <v>0</v>
      </c>
      <c r="MI363">
        <v>0</v>
      </c>
      <c r="MJ363">
        <v>0</v>
      </c>
      <c r="MK363">
        <v>0</v>
      </c>
      <c r="ML363">
        <v>0</v>
      </c>
      <c r="MM363">
        <v>0</v>
      </c>
      <c r="MN363">
        <v>0</v>
      </c>
      <c r="MO363">
        <v>0</v>
      </c>
      <c r="MP363">
        <v>0</v>
      </c>
      <c r="MQ363">
        <v>0</v>
      </c>
      <c r="MR363">
        <v>0</v>
      </c>
      <c r="MS363">
        <v>0</v>
      </c>
      <c r="MT363">
        <v>0</v>
      </c>
      <c r="MU363">
        <v>0</v>
      </c>
      <c r="MV363">
        <v>0</v>
      </c>
      <c r="MW363">
        <v>0</v>
      </c>
      <c r="MX363">
        <v>0</v>
      </c>
      <c r="MY363">
        <v>0</v>
      </c>
      <c r="MZ363">
        <v>0</v>
      </c>
      <c r="NA363">
        <v>0</v>
      </c>
      <c r="NB363">
        <v>0</v>
      </c>
      <c r="NC363">
        <v>0</v>
      </c>
      <c r="ND363">
        <v>0</v>
      </c>
      <c r="NE363">
        <v>0</v>
      </c>
    </row>
    <row r="364" spans="41:369" x14ac:dyDescent="0.45">
      <c r="AO364">
        <v>0</v>
      </c>
      <c r="AP364">
        <v>0</v>
      </c>
      <c r="AQ364">
        <v>0</v>
      </c>
      <c r="AR364">
        <v>0</v>
      </c>
      <c r="AS364">
        <v>0</v>
      </c>
      <c r="AT364">
        <v>0</v>
      </c>
      <c r="AU364">
        <v>0</v>
      </c>
      <c r="AV364">
        <v>0</v>
      </c>
      <c r="AW364" t="str">
        <v/>
      </c>
      <c r="AX364">
        <v>255</v>
      </c>
      <c r="AY364" s="5" t="str">
        <v/>
      </c>
      <c r="AZ364">
        <v>0</v>
      </c>
      <c r="BA364">
        <v>0</v>
      </c>
      <c r="BB364">
        <v>0</v>
      </c>
      <c r="BC364">
        <v>0</v>
      </c>
      <c r="BD364">
        <v>0</v>
      </c>
      <c r="BE364">
        <v>0</v>
      </c>
      <c r="BF364">
        <v>0</v>
      </c>
      <c r="BG364">
        <v>0</v>
      </c>
      <c r="BH364">
        <v>0</v>
      </c>
      <c r="BI364" t="str">
        <v/>
      </c>
      <c r="BK364">
        <v>358</v>
      </c>
      <c r="BL364">
        <v>0</v>
      </c>
      <c r="BM364">
        <v>0</v>
      </c>
      <c r="BN364">
        <v>0</v>
      </c>
      <c r="BO364">
        <v>0</v>
      </c>
      <c r="BP364">
        <v>0</v>
      </c>
      <c r="BQ364">
        <v>0</v>
      </c>
      <c r="BR364">
        <v>0</v>
      </c>
      <c r="BS364">
        <v>0</v>
      </c>
      <c r="BT364">
        <v>0</v>
      </c>
      <c r="BU364">
        <v>0</v>
      </c>
      <c r="BV364">
        <v>0</v>
      </c>
      <c r="BW364">
        <v>0</v>
      </c>
      <c r="BX364">
        <v>0</v>
      </c>
      <c r="BY364">
        <v>0</v>
      </c>
      <c r="BZ364">
        <v>0</v>
      </c>
      <c r="CA364">
        <v>0</v>
      </c>
      <c r="CB364">
        <v>0</v>
      </c>
      <c r="CC364">
        <v>0</v>
      </c>
      <c r="CD364">
        <v>0</v>
      </c>
      <c r="CE364">
        <v>0</v>
      </c>
      <c r="CF364">
        <v>0</v>
      </c>
      <c r="CG364">
        <v>0</v>
      </c>
      <c r="CH364">
        <v>0</v>
      </c>
      <c r="CI364">
        <v>0</v>
      </c>
      <c r="CJ364">
        <v>0</v>
      </c>
      <c r="CK364">
        <v>0</v>
      </c>
      <c r="CL364">
        <v>0</v>
      </c>
      <c r="CM364">
        <v>0</v>
      </c>
      <c r="CN364">
        <v>0</v>
      </c>
      <c r="CO364">
        <v>0</v>
      </c>
      <c r="CP364">
        <v>0</v>
      </c>
      <c r="CQ364">
        <v>0</v>
      </c>
      <c r="CR364">
        <v>0</v>
      </c>
      <c r="CS364">
        <v>0</v>
      </c>
      <c r="CT364">
        <v>0</v>
      </c>
      <c r="CU364">
        <v>0</v>
      </c>
      <c r="CV364">
        <v>0</v>
      </c>
      <c r="CW364">
        <v>0</v>
      </c>
      <c r="CX364">
        <v>0</v>
      </c>
      <c r="CY364">
        <v>0</v>
      </c>
      <c r="CZ364">
        <v>0</v>
      </c>
      <c r="DA364">
        <v>0</v>
      </c>
      <c r="DB364">
        <v>0</v>
      </c>
      <c r="DC364">
        <v>0</v>
      </c>
      <c r="DD364">
        <v>0</v>
      </c>
      <c r="DE364">
        <v>0</v>
      </c>
      <c r="DF364">
        <v>0</v>
      </c>
      <c r="DG364">
        <v>0</v>
      </c>
      <c r="DH364">
        <v>0</v>
      </c>
      <c r="DI364">
        <v>0</v>
      </c>
      <c r="DJ364">
        <v>0</v>
      </c>
      <c r="DK364">
        <v>0</v>
      </c>
      <c r="DL364">
        <v>0</v>
      </c>
      <c r="DM364">
        <v>0</v>
      </c>
      <c r="DN364">
        <v>0</v>
      </c>
      <c r="DO364">
        <v>0</v>
      </c>
      <c r="DP364">
        <v>0</v>
      </c>
      <c r="DQ364">
        <v>0</v>
      </c>
      <c r="DR364">
        <v>0</v>
      </c>
      <c r="DS364">
        <v>0</v>
      </c>
      <c r="DT364">
        <v>0</v>
      </c>
      <c r="DU364">
        <v>0</v>
      </c>
      <c r="DV364">
        <v>0</v>
      </c>
      <c r="DW364">
        <v>0</v>
      </c>
      <c r="DX364">
        <v>0</v>
      </c>
      <c r="DY364">
        <v>0</v>
      </c>
      <c r="DZ364">
        <v>0</v>
      </c>
      <c r="EA364">
        <v>0</v>
      </c>
      <c r="EB364">
        <v>0</v>
      </c>
      <c r="EC364">
        <v>0</v>
      </c>
      <c r="ED364">
        <v>0</v>
      </c>
      <c r="EE364">
        <v>0</v>
      </c>
      <c r="EF364">
        <v>0</v>
      </c>
      <c r="EG364">
        <v>0</v>
      </c>
      <c r="EH364">
        <v>0</v>
      </c>
      <c r="EI364">
        <v>0</v>
      </c>
      <c r="EJ364">
        <v>0</v>
      </c>
      <c r="EK364">
        <v>0</v>
      </c>
      <c r="EL364">
        <v>0</v>
      </c>
      <c r="EM364">
        <v>0</v>
      </c>
      <c r="EN364">
        <v>0</v>
      </c>
      <c r="EO364">
        <v>0</v>
      </c>
      <c r="EP364">
        <v>0</v>
      </c>
      <c r="EQ364">
        <v>0</v>
      </c>
      <c r="ER364">
        <v>0</v>
      </c>
      <c r="ES364">
        <v>0</v>
      </c>
      <c r="ET364">
        <v>0</v>
      </c>
      <c r="EU364">
        <v>0</v>
      </c>
      <c r="EV364">
        <v>0</v>
      </c>
      <c r="EW364">
        <v>0</v>
      </c>
      <c r="EX364">
        <v>0</v>
      </c>
      <c r="EY364">
        <v>0</v>
      </c>
      <c r="EZ364">
        <v>0</v>
      </c>
      <c r="FA364">
        <v>0</v>
      </c>
      <c r="FB364">
        <v>0</v>
      </c>
      <c r="FC364">
        <v>0</v>
      </c>
      <c r="FD364">
        <v>0</v>
      </c>
      <c r="FE364">
        <v>0</v>
      </c>
      <c r="FF364">
        <v>0</v>
      </c>
      <c r="FG364">
        <v>0</v>
      </c>
      <c r="FH364">
        <v>0</v>
      </c>
      <c r="FI364">
        <v>0</v>
      </c>
      <c r="FJ364">
        <v>0</v>
      </c>
      <c r="FK364">
        <v>0</v>
      </c>
      <c r="FL364">
        <v>0</v>
      </c>
      <c r="FM364">
        <v>0</v>
      </c>
      <c r="FN364">
        <v>0</v>
      </c>
      <c r="FO364">
        <v>0</v>
      </c>
      <c r="FP364">
        <v>0</v>
      </c>
      <c r="FQ364">
        <v>0</v>
      </c>
      <c r="FR364">
        <v>0</v>
      </c>
      <c r="FS364">
        <v>0</v>
      </c>
      <c r="FT364">
        <v>0</v>
      </c>
      <c r="FU364">
        <v>0</v>
      </c>
      <c r="FV364">
        <v>0</v>
      </c>
      <c r="FW364">
        <v>0</v>
      </c>
      <c r="FX364">
        <v>0</v>
      </c>
      <c r="FY364">
        <v>0</v>
      </c>
      <c r="FZ364">
        <v>0</v>
      </c>
      <c r="GA364">
        <v>0</v>
      </c>
      <c r="GB364">
        <v>0</v>
      </c>
      <c r="GC364">
        <v>0</v>
      </c>
      <c r="GD364">
        <v>0</v>
      </c>
      <c r="GE364">
        <v>0</v>
      </c>
      <c r="GF364">
        <v>0</v>
      </c>
      <c r="GG364">
        <v>0</v>
      </c>
      <c r="GH364">
        <v>0</v>
      </c>
      <c r="GI364">
        <v>0</v>
      </c>
      <c r="GJ364">
        <v>0</v>
      </c>
      <c r="GK364">
        <v>0</v>
      </c>
      <c r="GL364">
        <v>0</v>
      </c>
      <c r="GM364">
        <v>0</v>
      </c>
      <c r="GN364">
        <v>0</v>
      </c>
      <c r="GO364">
        <v>0</v>
      </c>
      <c r="GP364">
        <v>0</v>
      </c>
      <c r="GQ364">
        <v>0</v>
      </c>
      <c r="GR364">
        <v>0</v>
      </c>
      <c r="GS364">
        <v>0</v>
      </c>
      <c r="GT364">
        <v>0</v>
      </c>
      <c r="GU364">
        <v>0</v>
      </c>
      <c r="GV364">
        <v>0</v>
      </c>
      <c r="GW364">
        <v>0</v>
      </c>
      <c r="GX364">
        <v>0</v>
      </c>
      <c r="GY364">
        <v>0</v>
      </c>
      <c r="GZ364">
        <v>0</v>
      </c>
      <c r="HA364">
        <v>0</v>
      </c>
      <c r="HB364">
        <v>0</v>
      </c>
      <c r="HC364">
        <v>0</v>
      </c>
      <c r="HD364">
        <v>0</v>
      </c>
      <c r="HE364">
        <v>0</v>
      </c>
      <c r="HF364">
        <v>0</v>
      </c>
      <c r="HG364">
        <v>0</v>
      </c>
      <c r="HH364">
        <v>0</v>
      </c>
      <c r="HI364">
        <v>0</v>
      </c>
      <c r="HJ364">
        <v>0</v>
      </c>
      <c r="HK364">
        <v>0</v>
      </c>
      <c r="HL364">
        <v>0</v>
      </c>
      <c r="HM364">
        <v>0</v>
      </c>
      <c r="HN364">
        <v>0</v>
      </c>
      <c r="HO364">
        <v>0</v>
      </c>
      <c r="HP364">
        <v>0</v>
      </c>
      <c r="HQ364">
        <v>0</v>
      </c>
      <c r="HR364">
        <v>0</v>
      </c>
      <c r="HS364">
        <v>0</v>
      </c>
      <c r="HT364">
        <v>0</v>
      </c>
      <c r="HU364">
        <v>0</v>
      </c>
      <c r="HV364">
        <v>0</v>
      </c>
      <c r="HW364">
        <v>0</v>
      </c>
      <c r="HX364">
        <v>0</v>
      </c>
      <c r="HY364">
        <v>0</v>
      </c>
      <c r="HZ364">
        <v>0</v>
      </c>
      <c r="IA364">
        <v>0</v>
      </c>
      <c r="IB364">
        <v>0</v>
      </c>
      <c r="IC364">
        <v>0</v>
      </c>
      <c r="ID364">
        <v>0</v>
      </c>
      <c r="IE364">
        <v>0</v>
      </c>
      <c r="IF364">
        <v>0</v>
      </c>
      <c r="IG364">
        <v>0</v>
      </c>
      <c r="IH364">
        <v>0</v>
      </c>
      <c r="II364">
        <v>0</v>
      </c>
      <c r="IJ364">
        <v>0</v>
      </c>
      <c r="IK364">
        <v>0</v>
      </c>
      <c r="IL364">
        <v>0</v>
      </c>
      <c r="IM364">
        <v>0</v>
      </c>
      <c r="IN364">
        <v>0</v>
      </c>
      <c r="IO364">
        <v>0</v>
      </c>
      <c r="IP364">
        <v>0</v>
      </c>
      <c r="IQ364">
        <v>0</v>
      </c>
      <c r="IR364">
        <v>0</v>
      </c>
      <c r="IS364">
        <v>0</v>
      </c>
      <c r="IT364">
        <v>0</v>
      </c>
      <c r="IU364">
        <v>0</v>
      </c>
      <c r="IV364">
        <v>0</v>
      </c>
      <c r="IW364">
        <v>0</v>
      </c>
      <c r="IX364">
        <v>0</v>
      </c>
      <c r="IY364">
        <v>0</v>
      </c>
      <c r="IZ364">
        <v>0</v>
      </c>
      <c r="JA364">
        <v>0</v>
      </c>
      <c r="JB364">
        <v>0</v>
      </c>
      <c r="JC364">
        <v>0</v>
      </c>
      <c r="JD364">
        <v>0</v>
      </c>
      <c r="JE364">
        <v>0</v>
      </c>
      <c r="JF364">
        <v>0</v>
      </c>
      <c r="JG364">
        <v>0</v>
      </c>
      <c r="JH364">
        <v>0</v>
      </c>
      <c r="JI364">
        <v>0</v>
      </c>
      <c r="JJ364">
        <v>0</v>
      </c>
      <c r="JK364">
        <v>0</v>
      </c>
      <c r="JL364">
        <v>0</v>
      </c>
      <c r="JM364">
        <v>0</v>
      </c>
      <c r="JN364">
        <v>0</v>
      </c>
      <c r="JO364">
        <v>0</v>
      </c>
      <c r="JP364">
        <v>0</v>
      </c>
      <c r="JQ364">
        <v>0</v>
      </c>
      <c r="JR364">
        <v>0</v>
      </c>
      <c r="JS364">
        <v>0</v>
      </c>
      <c r="JT364">
        <v>0</v>
      </c>
      <c r="JU364">
        <v>0</v>
      </c>
      <c r="JV364">
        <v>0</v>
      </c>
      <c r="JW364">
        <v>0</v>
      </c>
      <c r="JX364">
        <v>0</v>
      </c>
      <c r="JY364">
        <v>0</v>
      </c>
      <c r="JZ364">
        <v>0</v>
      </c>
      <c r="KA364">
        <v>0</v>
      </c>
      <c r="KB364">
        <v>0</v>
      </c>
      <c r="KC364">
        <v>0</v>
      </c>
      <c r="KD364">
        <v>0</v>
      </c>
      <c r="KE364">
        <v>0</v>
      </c>
      <c r="KF364">
        <v>0</v>
      </c>
      <c r="KG364">
        <v>0</v>
      </c>
      <c r="KH364">
        <v>0</v>
      </c>
      <c r="KI364">
        <v>0</v>
      </c>
      <c r="KJ364">
        <v>0</v>
      </c>
      <c r="KK364">
        <v>0</v>
      </c>
      <c r="KL364">
        <v>0</v>
      </c>
      <c r="KM364">
        <v>0</v>
      </c>
      <c r="KN364">
        <v>0</v>
      </c>
      <c r="KO364">
        <v>0</v>
      </c>
      <c r="KP364">
        <v>0</v>
      </c>
      <c r="KQ364">
        <v>0</v>
      </c>
      <c r="KR364">
        <v>0</v>
      </c>
      <c r="KS364">
        <v>0</v>
      </c>
      <c r="KT364">
        <v>0</v>
      </c>
      <c r="KU364">
        <v>0</v>
      </c>
      <c r="KV364">
        <v>0</v>
      </c>
      <c r="KW364">
        <v>0</v>
      </c>
      <c r="KX364">
        <v>0</v>
      </c>
      <c r="KY364">
        <v>0</v>
      </c>
      <c r="KZ364">
        <v>0</v>
      </c>
      <c r="LA364">
        <v>0</v>
      </c>
      <c r="LB364">
        <v>0</v>
      </c>
      <c r="LC364">
        <v>0</v>
      </c>
      <c r="LD364">
        <v>0</v>
      </c>
      <c r="LE364">
        <v>0</v>
      </c>
      <c r="LF364">
        <v>0</v>
      </c>
      <c r="LG364">
        <v>0</v>
      </c>
      <c r="LH364">
        <v>0</v>
      </c>
      <c r="LI364">
        <v>0</v>
      </c>
      <c r="LJ364">
        <v>0</v>
      </c>
      <c r="LK364">
        <v>0</v>
      </c>
      <c r="LL364">
        <v>0</v>
      </c>
      <c r="LM364">
        <v>0</v>
      </c>
      <c r="LN364">
        <v>0</v>
      </c>
      <c r="LO364">
        <v>0</v>
      </c>
      <c r="LP364">
        <v>0</v>
      </c>
      <c r="LQ364">
        <v>0</v>
      </c>
      <c r="LR364">
        <v>0</v>
      </c>
      <c r="LS364">
        <v>0</v>
      </c>
      <c r="LT364">
        <v>0</v>
      </c>
      <c r="LU364">
        <v>0</v>
      </c>
      <c r="LV364">
        <v>0</v>
      </c>
      <c r="LW364">
        <v>0</v>
      </c>
      <c r="LX364">
        <v>0</v>
      </c>
      <c r="LY364">
        <v>0</v>
      </c>
      <c r="LZ364">
        <v>0</v>
      </c>
      <c r="MA364">
        <v>0</v>
      </c>
      <c r="MB364">
        <v>0</v>
      </c>
      <c r="MC364">
        <v>0</v>
      </c>
      <c r="MD364">
        <v>0</v>
      </c>
      <c r="ME364">
        <v>0</v>
      </c>
      <c r="MF364">
        <v>0</v>
      </c>
      <c r="MG364">
        <v>0</v>
      </c>
      <c r="MH364">
        <v>0</v>
      </c>
      <c r="MI364">
        <v>0</v>
      </c>
      <c r="MJ364">
        <v>0</v>
      </c>
      <c r="MK364">
        <v>0</v>
      </c>
      <c r="ML364">
        <v>0</v>
      </c>
      <c r="MM364">
        <v>0</v>
      </c>
      <c r="MN364">
        <v>0</v>
      </c>
      <c r="MO364">
        <v>0</v>
      </c>
      <c r="MP364">
        <v>0</v>
      </c>
      <c r="MQ364">
        <v>0</v>
      </c>
      <c r="MR364">
        <v>0</v>
      </c>
      <c r="MS364">
        <v>0</v>
      </c>
      <c r="MT364">
        <v>0</v>
      </c>
      <c r="MU364">
        <v>0</v>
      </c>
      <c r="MV364">
        <v>0</v>
      </c>
      <c r="MW364">
        <v>0</v>
      </c>
      <c r="MX364">
        <v>0</v>
      </c>
      <c r="MY364">
        <v>0</v>
      </c>
      <c r="MZ364">
        <v>0</v>
      </c>
      <c r="NA364">
        <v>0</v>
      </c>
      <c r="NB364">
        <v>0</v>
      </c>
      <c r="NC364">
        <v>0</v>
      </c>
      <c r="ND364">
        <v>0</v>
      </c>
      <c r="NE364">
        <v>0</v>
      </c>
    </row>
    <row r="365" spans="41:369" x14ac:dyDescent="0.45">
      <c r="AO365">
        <v>0</v>
      </c>
      <c r="AP365">
        <v>0</v>
      </c>
      <c r="AQ365">
        <v>0</v>
      </c>
      <c r="AR365">
        <v>0</v>
      </c>
      <c r="AS365">
        <v>0</v>
      </c>
      <c r="AT365">
        <v>0</v>
      </c>
      <c r="AU365">
        <v>0</v>
      </c>
      <c r="AV365">
        <v>0</v>
      </c>
      <c r="AW365" t="str">
        <v/>
      </c>
      <c r="AX365">
        <v>255</v>
      </c>
      <c r="AY365" s="5" t="str">
        <v/>
      </c>
      <c r="AZ365">
        <v>0</v>
      </c>
      <c r="BA365">
        <v>0</v>
      </c>
      <c r="BB365">
        <v>0</v>
      </c>
      <c r="BC365">
        <v>0</v>
      </c>
      <c r="BD365">
        <v>0</v>
      </c>
      <c r="BE365">
        <v>0</v>
      </c>
      <c r="BF365">
        <v>0</v>
      </c>
      <c r="BG365">
        <v>0</v>
      </c>
      <c r="BH365">
        <v>0</v>
      </c>
      <c r="BI365" t="str">
        <v/>
      </c>
      <c r="BK365">
        <v>359</v>
      </c>
      <c r="BL365">
        <v>0</v>
      </c>
      <c r="BM365">
        <v>0</v>
      </c>
      <c r="BN365">
        <v>0</v>
      </c>
      <c r="BO365">
        <v>0</v>
      </c>
      <c r="BP365">
        <v>0</v>
      </c>
      <c r="BQ365">
        <v>0</v>
      </c>
      <c r="BR365">
        <v>0</v>
      </c>
      <c r="BS365">
        <v>0</v>
      </c>
      <c r="BT365">
        <v>0</v>
      </c>
      <c r="BU365">
        <v>0</v>
      </c>
      <c r="BV365">
        <v>0</v>
      </c>
      <c r="BW365">
        <v>0</v>
      </c>
      <c r="BX365">
        <v>0</v>
      </c>
      <c r="BY365">
        <v>0</v>
      </c>
      <c r="BZ365">
        <v>0</v>
      </c>
      <c r="CA365">
        <v>0</v>
      </c>
      <c r="CB365">
        <v>0</v>
      </c>
      <c r="CC365">
        <v>0</v>
      </c>
      <c r="CD365">
        <v>0</v>
      </c>
      <c r="CE365">
        <v>0</v>
      </c>
      <c r="CF365">
        <v>0</v>
      </c>
      <c r="CG365">
        <v>0</v>
      </c>
      <c r="CH365">
        <v>0</v>
      </c>
      <c r="CI365">
        <v>0</v>
      </c>
      <c r="CJ365">
        <v>0</v>
      </c>
      <c r="CK365">
        <v>0</v>
      </c>
      <c r="CL365">
        <v>0</v>
      </c>
      <c r="CM365">
        <v>0</v>
      </c>
      <c r="CN365">
        <v>0</v>
      </c>
      <c r="CO365">
        <v>0</v>
      </c>
      <c r="CP365">
        <v>0</v>
      </c>
      <c r="CQ365">
        <v>0</v>
      </c>
      <c r="CR365">
        <v>0</v>
      </c>
      <c r="CS365">
        <v>0</v>
      </c>
      <c r="CT365">
        <v>0</v>
      </c>
      <c r="CU365">
        <v>0</v>
      </c>
      <c r="CV365">
        <v>0</v>
      </c>
      <c r="CW365">
        <v>0</v>
      </c>
      <c r="CX365">
        <v>0</v>
      </c>
      <c r="CY365">
        <v>0</v>
      </c>
      <c r="CZ365">
        <v>0</v>
      </c>
      <c r="DA365">
        <v>0</v>
      </c>
      <c r="DB365">
        <v>0</v>
      </c>
      <c r="DC365">
        <v>0</v>
      </c>
      <c r="DD365">
        <v>0</v>
      </c>
      <c r="DE365">
        <v>0</v>
      </c>
      <c r="DF365">
        <v>0</v>
      </c>
      <c r="DG365">
        <v>0</v>
      </c>
      <c r="DH365">
        <v>0</v>
      </c>
      <c r="DI365">
        <v>0</v>
      </c>
      <c r="DJ365">
        <v>0</v>
      </c>
      <c r="DK365">
        <v>0</v>
      </c>
      <c r="DL365">
        <v>0</v>
      </c>
      <c r="DM365">
        <v>0</v>
      </c>
      <c r="DN365">
        <v>0</v>
      </c>
      <c r="DO365">
        <v>0</v>
      </c>
      <c r="DP365">
        <v>0</v>
      </c>
      <c r="DQ365">
        <v>0</v>
      </c>
      <c r="DR365">
        <v>0</v>
      </c>
      <c r="DS365">
        <v>0</v>
      </c>
      <c r="DT365">
        <v>0</v>
      </c>
      <c r="DU365">
        <v>0</v>
      </c>
      <c r="DV365">
        <v>0</v>
      </c>
      <c r="DW365">
        <v>0</v>
      </c>
      <c r="DX365">
        <v>0</v>
      </c>
      <c r="DY365">
        <v>0</v>
      </c>
      <c r="DZ365">
        <v>0</v>
      </c>
      <c r="EA365">
        <v>0</v>
      </c>
      <c r="EB365">
        <v>0</v>
      </c>
      <c r="EC365">
        <v>0</v>
      </c>
      <c r="ED365">
        <v>0</v>
      </c>
      <c r="EE365">
        <v>0</v>
      </c>
      <c r="EF365">
        <v>0</v>
      </c>
      <c r="EG365">
        <v>0</v>
      </c>
      <c r="EH365">
        <v>0</v>
      </c>
      <c r="EI365">
        <v>0</v>
      </c>
      <c r="EJ365">
        <v>0</v>
      </c>
      <c r="EK365">
        <v>0</v>
      </c>
      <c r="EL365">
        <v>0</v>
      </c>
      <c r="EM365">
        <v>0</v>
      </c>
      <c r="EN365">
        <v>0</v>
      </c>
      <c r="EO365">
        <v>0</v>
      </c>
      <c r="EP365">
        <v>0</v>
      </c>
      <c r="EQ365">
        <v>0</v>
      </c>
      <c r="ER365">
        <v>0</v>
      </c>
      <c r="ES365">
        <v>0</v>
      </c>
      <c r="ET365">
        <v>0</v>
      </c>
      <c r="EU365">
        <v>0</v>
      </c>
      <c r="EV365">
        <v>0</v>
      </c>
      <c r="EW365">
        <v>0</v>
      </c>
      <c r="EX365">
        <v>0</v>
      </c>
      <c r="EY365">
        <v>0</v>
      </c>
      <c r="EZ365">
        <v>0</v>
      </c>
      <c r="FA365">
        <v>0</v>
      </c>
      <c r="FB365">
        <v>0</v>
      </c>
      <c r="FC365">
        <v>0</v>
      </c>
      <c r="FD365">
        <v>0</v>
      </c>
      <c r="FE365">
        <v>0</v>
      </c>
      <c r="FF365">
        <v>0</v>
      </c>
      <c r="FG365">
        <v>0</v>
      </c>
      <c r="FH365">
        <v>0</v>
      </c>
      <c r="FI365">
        <v>0</v>
      </c>
      <c r="FJ365">
        <v>0</v>
      </c>
      <c r="FK365">
        <v>0</v>
      </c>
      <c r="FL365">
        <v>0</v>
      </c>
      <c r="FM365">
        <v>0</v>
      </c>
      <c r="FN365">
        <v>0</v>
      </c>
      <c r="FO365">
        <v>0</v>
      </c>
      <c r="FP365">
        <v>0</v>
      </c>
      <c r="FQ365">
        <v>0</v>
      </c>
      <c r="FR365">
        <v>0</v>
      </c>
      <c r="FS365">
        <v>0</v>
      </c>
      <c r="FT365">
        <v>0</v>
      </c>
      <c r="FU365">
        <v>0</v>
      </c>
      <c r="FV365">
        <v>0</v>
      </c>
      <c r="FW365">
        <v>0</v>
      </c>
      <c r="FX365">
        <v>0</v>
      </c>
      <c r="FY365">
        <v>0</v>
      </c>
      <c r="FZ365">
        <v>0</v>
      </c>
      <c r="GA365">
        <v>0</v>
      </c>
      <c r="GB365">
        <v>0</v>
      </c>
      <c r="GC365">
        <v>0</v>
      </c>
      <c r="GD365">
        <v>0</v>
      </c>
      <c r="GE365">
        <v>0</v>
      </c>
      <c r="GF365">
        <v>0</v>
      </c>
      <c r="GG365">
        <v>0</v>
      </c>
      <c r="GH365">
        <v>0</v>
      </c>
      <c r="GI365">
        <v>0</v>
      </c>
      <c r="GJ365">
        <v>0</v>
      </c>
      <c r="GK365">
        <v>0</v>
      </c>
      <c r="GL365">
        <v>0</v>
      </c>
      <c r="GM365">
        <v>0</v>
      </c>
      <c r="GN365">
        <v>0</v>
      </c>
      <c r="GO365">
        <v>0</v>
      </c>
      <c r="GP365">
        <v>0</v>
      </c>
      <c r="GQ365">
        <v>0</v>
      </c>
      <c r="GR365">
        <v>0</v>
      </c>
      <c r="GS365">
        <v>0</v>
      </c>
      <c r="GT365">
        <v>0</v>
      </c>
      <c r="GU365">
        <v>0</v>
      </c>
      <c r="GV365">
        <v>0</v>
      </c>
      <c r="GW365">
        <v>0</v>
      </c>
      <c r="GX365">
        <v>0</v>
      </c>
      <c r="GY365">
        <v>0</v>
      </c>
      <c r="GZ365">
        <v>0</v>
      </c>
      <c r="HA365">
        <v>0</v>
      </c>
      <c r="HB365">
        <v>0</v>
      </c>
      <c r="HC365">
        <v>0</v>
      </c>
      <c r="HD365">
        <v>0</v>
      </c>
      <c r="HE365">
        <v>0</v>
      </c>
      <c r="HF365">
        <v>0</v>
      </c>
      <c r="HG365">
        <v>0</v>
      </c>
      <c r="HH365">
        <v>0</v>
      </c>
      <c r="HI365">
        <v>0</v>
      </c>
      <c r="HJ365">
        <v>0</v>
      </c>
      <c r="HK365">
        <v>0</v>
      </c>
      <c r="HL365">
        <v>0</v>
      </c>
      <c r="HM365">
        <v>0</v>
      </c>
      <c r="HN365">
        <v>0</v>
      </c>
      <c r="HO365">
        <v>0</v>
      </c>
      <c r="HP365">
        <v>0</v>
      </c>
      <c r="HQ365">
        <v>0</v>
      </c>
      <c r="HR365">
        <v>0</v>
      </c>
      <c r="HS365">
        <v>0</v>
      </c>
      <c r="HT365">
        <v>0</v>
      </c>
      <c r="HU365">
        <v>0</v>
      </c>
      <c r="HV365">
        <v>0</v>
      </c>
      <c r="HW365">
        <v>0</v>
      </c>
      <c r="HX365">
        <v>0</v>
      </c>
      <c r="HY365">
        <v>0</v>
      </c>
      <c r="HZ365">
        <v>0</v>
      </c>
      <c r="IA365">
        <v>0</v>
      </c>
      <c r="IB365">
        <v>0</v>
      </c>
      <c r="IC365">
        <v>0</v>
      </c>
      <c r="ID365">
        <v>0</v>
      </c>
      <c r="IE365">
        <v>0</v>
      </c>
      <c r="IF365">
        <v>0</v>
      </c>
      <c r="IG365">
        <v>0</v>
      </c>
      <c r="IH365">
        <v>0</v>
      </c>
      <c r="II365">
        <v>0</v>
      </c>
      <c r="IJ365">
        <v>0</v>
      </c>
      <c r="IK365">
        <v>0</v>
      </c>
      <c r="IL365">
        <v>0</v>
      </c>
      <c r="IM365">
        <v>0</v>
      </c>
      <c r="IN365">
        <v>0</v>
      </c>
      <c r="IO365">
        <v>0</v>
      </c>
      <c r="IP365">
        <v>0</v>
      </c>
      <c r="IQ365">
        <v>0</v>
      </c>
      <c r="IR365">
        <v>0</v>
      </c>
      <c r="IS365">
        <v>0</v>
      </c>
      <c r="IT365">
        <v>0</v>
      </c>
      <c r="IU365">
        <v>0</v>
      </c>
      <c r="IV365">
        <v>0</v>
      </c>
      <c r="IW365">
        <v>0</v>
      </c>
      <c r="IX365">
        <v>0</v>
      </c>
      <c r="IY365">
        <v>0</v>
      </c>
      <c r="IZ365">
        <v>0</v>
      </c>
      <c r="JA365">
        <v>0</v>
      </c>
      <c r="JB365">
        <v>0</v>
      </c>
      <c r="JC365">
        <v>0</v>
      </c>
      <c r="JD365">
        <v>0</v>
      </c>
      <c r="JE365">
        <v>0</v>
      </c>
      <c r="JF365">
        <v>0</v>
      </c>
      <c r="JG365">
        <v>0</v>
      </c>
      <c r="JH365">
        <v>0</v>
      </c>
      <c r="JI365">
        <v>0</v>
      </c>
      <c r="JJ365">
        <v>0</v>
      </c>
      <c r="JK365">
        <v>0</v>
      </c>
      <c r="JL365">
        <v>0</v>
      </c>
      <c r="JM365">
        <v>0</v>
      </c>
      <c r="JN365">
        <v>0</v>
      </c>
      <c r="JO365">
        <v>0</v>
      </c>
      <c r="JP365">
        <v>0</v>
      </c>
      <c r="JQ365">
        <v>0</v>
      </c>
      <c r="JR365">
        <v>0</v>
      </c>
      <c r="JS365">
        <v>0</v>
      </c>
      <c r="JT365">
        <v>0</v>
      </c>
      <c r="JU365">
        <v>0</v>
      </c>
      <c r="JV365">
        <v>0</v>
      </c>
      <c r="JW365">
        <v>0</v>
      </c>
      <c r="JX365">
        <v>0</v>
      </c>
      <c r="JY365">
        <v>0</v>
      </c>
      <c r="JZ365">
        <v>0</v>
      </c>
      <c r="KA365">
        <v>0</v>
      </c>
      <c r="KB365">
        <v>0</v>
      </c>
      <c r="KC365">
        <v>0</v>
      </c>
      <c r="KD365">
        <v>0</v>
      </c>
      <c r="KE365">
        <v>0</v>
      </c>
      <c r="KF365">
        <v>0</v>
      </c>
      <c r="KG365">
        <v>0</v>
      </c>
      <c r="KH365">
        <v>0</v>
      </c>
      <c r="KI365">
        <v>0</v>
      </c>
      <c r="KJ365">
        <v>0</v>
      </c>
      <c r="KK365">
        <v>0</v>
      </c>
      <c r="KL365">
        <v>0</v>
      </c>
      <c r="KM365">
        <v>0</v>
      </c>
      <c r="KN365">
        <v>0</v>
      </c>
      <c r="KO365">
        <v>0</v>
      </c>
      <c r="KP365">
        <v>0</v>
      </c>
      <c r="KQ365">
        <v>0</v>
      </c>
      <c r="KR365">
        <v>0</v>
      </c>
      <c r="KS365">
        <v>0</v>
      </c>
      <c r="KT365">
        <v>0</v>
      </c>
      <c r="KU365">
        <v>0</v>
      </c>
      <c r="KV365">
        <v>0</v>
      </c>
      <c r="KW365">
        <v>0</v>
      </c>
      <c r="KX365">
        <v>0</v>
      </c>
      <c r="KY365">
        <v>0</v>
      </c>
      <c r="KZ365">
        <v>0</v>
      </c>
      <c r="LA365">
        <v>0</v>
      </c>
      <c r="LB365">
        <v>0</v>
      </c>
      <c r="LC365">
        <v>0</v>
      </c>
      <c r="LD365">
        <v>0</v>
      </c>
      <c r="LE365">
        <v>0</v>
      </c>
      <c r="LF365">
        <v>0</v>
      </c>
      <c r="LG365">
        <v>0</v>
      </c>
      <c r="LH365">
        <v>0</v>
      </c>
      <c r="LI365">
        <v>0</v>
      </c>
      <c r="LJ365">
        <v>0</v>
      </c>
      <c r="LK365">
        <v>0</v>
      </c>
      <c r="LL365">
        <v>0</v>
      </c>
      <c r="LM365">
        <v>0</v>
      </c>
      <c r="LN365">
        <v>0</v>
      </c>
      <c r="LO365">
        <v>0</v>
      </c>
      <c r="LP365">
        <v>0</v>
      </c>
      <c r="LQ365">
        <v>0</v>
      </c>
      <c r="LR365">
        <v>0</v>
      </c>
      <c r="LS365">
        <v>0</v>
      </c>
      <c r="LT365">
        <v>0</v>
      </c>
      <c r="LU365">
        <v>0</v>
      </c>
      <c r="LV365">
        <v>0</v>
      </c>
      <c r="LW365">
        <v>0</v>
      </c>
      <c r="LX365">
        <v>0</v>
      </c>
      <c r="LY365">
        <v>0</v>
      </c>
      <c r="LZ365">
        <v>0</v>
      </c>
      <c r="MA365">
        <v>0</v>
      </c>
      <c r="MB365">
        <v>0</v>
      </c>
      <c r="MC365">
        <v>0</v>
      </c>
      <c r="MD365">
        <v>0</v>
      </c>
      <c r="ME365">
        <v>0</v>
      </c>
      <c r="MF365">
        <v>0</v>
      </c>
      <c r="MG365">
        <v>0</v>
      </c>
      <c r="MH365">
        <v>0</v>
      </c>
      <c r="MI365">
        <v>0</v>
      </c>
      <c r="MJ365">
        <v>0</v>
      </c>
      <c r="MK365">
        <v>0</v>
      </c>
      <c r="ML365">
        <v>0</v>
      </c>
      <c r="MM365">
        <v>0</v>
      </c>
      <c r="MN365">
        <v>0</v>
      </c>
      <c r="MO365">
        <v>0</v>
      </c>
      <c r="MP365">
        <v>0</v>
      </c>
      <c r="MQ365">
        <v>0</v>
      </c>
      <c r="MR365">
        <v>0</v>
      </c>
      <c r="MS365">
        <v>0</v>
      </c>
      <c r="MT365">
        <v>0</v>
      </c>
      <c r="MU365">
        <v>0</v>
      </c>
      <c r="MV365">
        <v>0</v>
      </c>
      <c r="MW365">
        <v>0</v>
      </c>
      <c r="MX365">
        <v>0</v>
      </c>
      <c r="MY365">
        <v>0</v>
      </c>
      <c r="MZ365">
        <v>0</v>
      </c>
      <c r="NA365">
        <v>0</v>
      </c>
      <c r="NB365">
        <v>0</v>
      </c>
      <c r="NC365">
        <v>0</v>
      </c>
      <c r="ND365">
        <v>0</v>
      </c>
      <c r="NE365">
        <v>0</v>
      </c>
    </row>
    <row r="366" spans="41:369" x14ac:dyDescent="0.45">
      <c r="AO366">
        <v>0</v>
      </c>
      <c r="AP366">
        <v>0</v>
      </c>
      <c r="AQ366">
        <v>0</v>
      </c>
      <c r="AR366">
        <v>0</v>
      </c>
      <c r="AS366">
        <v>0</v>
      </c>
      <c r="AT366">
        <v>0</v>
      </c>
      <c r="AU366">
        <v>0</v>
      </c>
      <c r="AV366">
        <v>0</v>
      </c>
      <c r="AW366" t="str">
        <v/>
      </c>
      <c r="AX366">
        <v>255</v>
      </c>
      <c r="AY366" s="5" t="str">
        <v/>
      </c>
      <c r="AZ366">
        <v>0</v>
      </c>
      <c r="BA366">
        <v>0</v>
      </c>
      <c r="BB366">
        <v>0</v>
      </c>
      <c r="BC366">
        <v>0</v>
      </c>
      <c r="BD366">
        <v>0</v>
      </c>
      <c r="BE366">
        <v>0</v>
      </c>
      <c r="BF366">
        <v>0</v>
      </c>
      <c r="BG366">
        <v>0</v>
      </c>
      <c r="BH366">
        <v>0</v>
      </c>
      <c r="BI366" t="str">
        <v/>
      </c>
      <c r="BK366">
        <v>360</v>
      </c>
      <c r="BL366">
        <v>0</v>
      </c>
      <c r="BM366">
        <v>0</v>
      </c>
      <c r="BN366">
        <v>0</v>
      </c>
      <c r="BO366">
        <v>0</v>
      </c>
      <c r="BP366">
        <v>0</v>
      </c>
      <c r="BQ366">
        <v>0</v>
      </c>
      <c r="BR366">
        <v>0</v>
      </c>
      <c r="BS366">
        <v>0</v>
      </c>
      <c r="BT366">
        <v>0</v>
      </c>
      <c r="BU366">
        <v>0</v>
      </c>
      <c r="BV366">
        <v>0</v>
      </c>
      <c r="BW366">
        <v>0</v>
      </c>
      <c r="BX366">
        <v>0</v>
      </c>
      <c r="BY366">
        <v>0</v>
      </c>
      <c r="BZ366">
        <v>0</v>
      </c>
      <c r="CA366">
        <v>0</v>
      </c>
      <c r="CB366">
        <v>0</v>
      </c>
      <c r="CC366">
        <v>0</v>
      </c>
      <c r="CD366">
        <v>0</v>
      </c>
      <c r="CE366">
        <v>0</v>
      </c>
      <c r="CF366">
        <v>0</v>
      </c>
      <c r="CG366">
        <v>0</v>
      </c>
      <c r="CH366">
        <v>0</v>
      </c>
      <c r="CI366">
        <v>0</v>
      </c>
      <c r="CJ366">
        <v>0</v>
      </c>
      <c r="CK366">
        <v>0</v>
      </c>
      <c r="CL366">
        <v>0</v>
      </c>
      <c r="CM366">
        <v>0</v>
      </c>
      <c r="CN366">
        <v>0</v>
      </c>
      <c r="CO366">
        <v>0</v>
      </c>
      <c r="CP366">
        <v>0</v>
      </c>
      <c r="CQ366">
        <v>0</v>
      </c>
      <c r="CR366">
        <v>0</v>
      </c>
      <c r="CS366">
        <v>0</v>
      </c>
      <c r="CT366">
        <v>0</v>
      </c>
      <c r="CU366">
        <v>0</v>
      </c>
      <c r="CV366">
        <v>0</v>
      </c>
      <c r="CW366">
        <v>0</v>
      </c>
      <c r="CX366">
        <v>0</v>
      </c>
      <c r="CY366">
        <v>0</v>
      </c>
      <c r="CZ366">
        <v>0</v>
      </c>
      <c r="DA366">
        <v>0</v>
      </c>
      <c r="DB366">
        <v>0</v>
      </c>
      <c r="DC366">
        <v>0</v>
      </c>
      <c r="DD366">
        <v>0</v>
      </c>
      <c r="DE366">
        <v>0</v>
      </c>
      <c r="DF366">
        <v>0</v>
      </c>
      <c r="DG366">
        <v>0</v>
      </c>
      <c r="DH366">
        <v>0</v>
      </c>
      <c r="DI366">
        <v>0</v>
      </c>
      <c r="DJ366">
        <v>0</v>
      </c>
      <c r="DK366">
        <v>0</v>
      </c>
      <c r="DL366">
        <v>0</v>
      </c>
      <c r="DM366">
        <v>0</v>
      </c>
      <c r="DN366">
        <v>0</v>
      </c>
      <c r="DO366">
        <v>0</v>
      </c>
      <c r="DP366">
        <v>0</v>
      </c>
      <c r="DQ366">
        <v>0</v>
      </c>
      <c r="DR366">
        <v>0</v>
      </c>
      <c r="DS366">
        <v>0</v>
      </c>
      <c r="DT366">
        <v>0</v>
      </c>
      <c r="DU366">
        <v>0</v>
      </c>
      <c r="DV366">
        <v>0</v>
      </c>
      <c r="DW366">
        <v>0</v>
      </c>
      <c r="DX366">
        <v>0</v>
      </c>
      <c r="DY366">
        <v>0</v>
      </c>
      <c r="DZ366">
        <v>0</v>
      </c>
      <c r="EA366">
        <v>0</v>
      </c>
      <c r="EB366">
        <v>0</v>
      </c>
      <c r="EC366">
        <v>0</v>
      </c>
      <c r="ED366">
        <v>0</v>
      </c>
      <c r="EE366">
        <v>0</v>
      </c>
      <c r="EF366">
        <v>0</v>
      </c>
      <c r="EG366">
        <v>0</v>
      </c>
      <c r="EH366">
        <v>0</v>
      </c>
      <c r="EI366">
        <v>0</v>
      </c>
      <c r="EJ366">
        <v>0</v>
      </c>
      <c r="EK366">
        <v>0</v>
      </c>
      <c r="EL366">
        <v>0</v>
      </c>
      <c r="EM366">
        <v>0</v>
      </c>
      <c r="EN366">
        <v>0</v>
      </c>
      <c r="EO366">
        <v>0</v>
      </c>
      <c r="EP366">
        <v>0</v>
      </c>
      <c r="EQ366">
        <v>0</v>
      </c>
      <c r="ER366">
        <v>0</v>
      </c>
      <c r="ES366">
        <v>0</v>
      </c>
      <c r="ET366">
        <v>0</v>
      </c>
      <c r="EU366">
        <v>0</v>
      </c>
      <c r="EV366">
        <v>0</v>
      </c>
      <c r="EW366">
        <v>0</v>
      </c>
      <c r="EX366">
        <v>0</v>
      </c>
      <c r="EY366">
        <v>0</v>
      </c>
      <c r="EZ366">
        <v>0</v>
      </c>
      <c r="FA366">
        <v>0</v>
      </c>
      <c r="FB366">
        <v>0</v>
      </c>
      <c r="FC366">
        <v>0</v>
      </c>
      <c r="FD366">
        <v>0</v>
      </c>
      <c r="FE366">
        <v>0</v>
      </c>
      <c r="FF366">
        <v>0</v>
      </c>
      <c r="FG366">
        <v>0</v>
      </c>
      <c r="FH366">
        <v>0</v>
      </c>
      <c r="FI366">
        <v>0</v>
      </c>
      <c r="FJ366">
        <v>0</v>
      </c>
      <c r="FK366">
        <v>0</v>
      </c>
      <c r="FL366">
        <v>0</v>
      </c>
      <c r="FM366">
        <v>0</v>
      </c>
      <c r="FN366">
        <v>0</v>
      </c>
      <c r="FO366">
        <v>0</v>
      </c>
      <c r="FP366">
        <v>0</v>
      </c>
      <c r="FQ366">
        <v>0</v>
      </c>
      <c r="FR366">
        <v>0</v>
      </c>
      <c r="FS366">
        <v>0</v>
      </c>
      <c r="FT366">
        <v>0</v>
      </c>
      <c r="FU366">
        <v>0</v>
      </c>
      <c r="FV366">
        <v>0</v>
      </c>
      <c r="FW366">
        <v>0</v>
      </c>
      <c r="FX366">
        <v>0</v>
      </c>
      <c r="FY366">
        <v>0</v>
      </c>
      <c r="FZ366">
        <v>0</v>
      </c>
      <c r="GA366">
        <v>0</v>
      </c>
      <c r="GB366">
        <v>0</v>
      </c>
      <c r="GC366">
        <v>0</v>
      </c>
      <c r="GD366">
        <v>0</v>
      </c>
      <c r="GE366">
        <v>0</v>
      </c>
      <c r="GF366">
        <v>0</v>
      </c>
      <c r="GG366">
        <v>0</v>
      </c>
      <c r="GH366">
        <v>0</v>
      </c>
      <c r="GI366">
        <v>0</v>
      </c>
      <c r="GJ366">
        <v>0</v>
      </c>
      <c r="GK366">
        <v>0</v>
      </c>
      <c r="GL366">
        <v>0</v>
      </c>
      <c r="GM366">
        <v>0</v>
      </c>
      <c r="GN366">
        <v>0</v>
      </c>
      <c r="GO366">
        <v>0</v>
      </c>
      <c r="GP366">
        <v>0</v>
      </c>
      <c r="GQ366">
        <v>0</v>
      </c>
      <c r="GR366">
        <v>0</v>
      </c>
      <c r="GS366">
        <v>0</v>
      </c>
      <c r="GT366">
        <v>0</v>
      </c>
      <c r="GU366">
        <v>0</v>
      </c>
      <c r="GV366">
        <v>0</v>
      </c>
      <c r="GW366">
        <v>0</v>
      </c>
      <c r="GX366">
        <v>0</v>
      </c>
      <c r="GY366">
        <v>0</v>
      </c>
      <c r="GZ366">
        <v>0</v>
      </c>
      <c r="HA366">
        <v>0</v>
      </c>
      <c r="HB366">
        <v>0</v>
      </c>
      <c r="HC366">
        <v>0</v>
      </c>
      <c r="HD366">
        <v>0</v>
      </c>
      <c r="HE366">
        <v>0</v>
      </c>
      <c r="HF366">
        <v>0</v>
      </c>
      <c r="HG366">
        <v>0</v>
      </c>
      <c r="HH366">
        <v>0</v>
      </c>
      <c r="HI366">
        <v>0</v>
      </c>
      <c r="HJ366">
        <v>0</v>
      </c>
      <c r="HK366">
        <v>0</v>
      </c>
      <c r="HL366">
        <v>0</v>
      </c>
      <c r="HM366">
        <v>0</v>
      </c>
      <c r="HN366">
        <v>0</v>
      </c>
      <c r="HO366">
        <v>0</v>
      </c>
      <c r="HP366">
        <v>0</v>
      </c>
      <c r="HQ366">
        <v>0</v>
      </c>
      <c r="HR366">
        <v>0</v>
      </c>
      <c r="HS366">
        <v>0</v>
      </c>
      <c r="HT366">
        <v>0</v>
      </c>
      <c r="HU366">
        <v>0</v>
      </c>
      <c r="HV366">
        <v>0</v>
      </c>
      <c r="HW366">
        <v>0</v>
      </c>
      <c r="HX366">
        <v>0</v>
      </c>
      <c r="HY366">
        <v>0</v>
      </c>
      <c r="HZ366">
        <v>0</v>
      </c>
      <c r="IA366">
        <v>0</v>
      </c>
      <c r="IB366">
        <v>0</v>
      </c>
      <c r="IC366">
        <v>0</v>
      </c>
      <c r="ID366">
        <v>0</v>
      </c>
      <c r="IE366">
        <v>0</v>
      </c>
      <c r="IF366">
        <v>0</v>
      </c>
      <c r="IG366">
        <v>0</v>
      </c>
      <c r="IH366">
        <v>0</v>
      </c>
      <c r="II366">
        <v>0</v>
      </c>
      <c r="IJ366">
        <v>0</v>
      </c>
      <c r="IK366">
        <v>0</v>
      </c>
      <c r="IL366">
        <v>0</v>
      </c>
      <c r="IM366">
        <v>0</v>
      </c>
      <c r="IN366">
        <v>0</v>
      </c>
      <c r="IO366">
        <v>0</v>
      </c>
      <c r="IP366">
        <v>0</v>
      </c>
      <c r="IQ366">
        <v>0</v>
      </c>
      <c r="IR366">
        <v>0</v>
      </c>
      <c r="IS366">
        <v>0</v>
      </c>
      <c r="IT366">
        <v>0</v>
      </c>
      <c r="IU366">
        <v>0</v>
      </c>
      <c r="IV366">
        <v>0</v>
      </c>
      <c r="IW366">
        <v>0</v>
      </c>
      <c r="IX366">
        <v>0</v>
      </c>
      <c r="IY366">
        <v>0</v>
      </c>
      <c r="IZ366">
        <v>0</v>
      </c>
      <c r="JA366">
        <v>0</v>
      </c>
      <c r="JB366">
        <v>0</v>
      </c>
      <c r="JC366">
        <v>0</v>
      </c>
      <c r="JD366">
        <v>0</v>
      </c>
      <c r="JE366">
        <v>0</v>
      </c>
      <c r="JF366">
        <v>0</v>
      </c>
      <c r="JG366">
        <v>0</v>
      </c>
      <c r="JH366">
        <v>0</v>
      </c>
      <c r="JI366">
        <v>0</v>
      </c>
      <c r="JJ366">
        <v>0</v>
      </c>
      <c r="JK366">
        <v>0</v>
      </c>
      <c r="JL366">
        <v>0</v>
      </c>
      <c r="JM366">
        <v>0</v>
      </c>
      <c r="JN366">
        <v>0</v>
      </c>
      <c r="JO366">
        <v>0</v>
      </c>
      <c r="JP366">
        <v>0</v>
      </c>
      <c r="JQ366">
        <v>0</v>
      </c>
      <c r="JR366">
        <v>0</v>
      </c>
      <c r="JS366">
        <v>0</v>
      </c>
      <c r="JT366">
        <v>0</v>
      </c>
      <c r="JU366">
        <v>0</v>
      </c>
      <c r="JV366">
        <v>0</v>
      </c>
      <c r="JW366">
        <v>0</v>
      </c>
      <c r="JX366">
        <v>0</v>
      </c>
      <c r="JY366">
        <v>0</v>
      </c>
      <c r="JZ366">
        <v>0</v>
      </c>
      <c r="KA366">
        <v>0</v>
      </c>
      <c r="KB366">
        <v>0</v>
      </c>
      <c r="KC366">
        <v>0</v>
      </c>
      <c r="KD366">
        <v>0</v>
      </c>
      <c r="KE366">
        <v>0</v>
      </c>
      <c r="KF366">
        <v>0</v>
      </c>
      <c r="KG366">
        <v>0</v>
      </c>
      <c r="KH366">
        <v>0</v>
      </c>
      <c r="KI366">
        <v>0</v>
      </c>
      <c r="KJ366">
        <v>0</v>
      </c>
      <c r="KK366">
        <v>0</v>
      </c>
      <c r="KL366">
        <v>0</v>
      </c>
      <c r="KM366">
        <v>0</v>
      </c>
      <c r="KN366">
        <v>0</v>
      </c>
      <c r="KO366">
        <v>0</v>
      </c>
      <c r="KP366">
        <v>0</v>
      </c>
      <c r="KQ366">
        <v>0</v>
      </c>
      <c r="KR366">
        <v>0</v>
      </c>
      <c r="KS366">
        <v>0</v>
      </c>
      <c r="KT366">
        <v>0</v>
      </c>
      <c r="KU366">
        <v>0</v>
      </c>
      <c r="KV366">
        <v>0</v>
      </c>
      <c r="KW366">
        <v>0</v>
      </c>
      <c r="KX366">
        <v>0</v>
      </c>
      <c r="KY366">
        <v>0</v>
      </c>
      <c r="KZ366">
        <v>0</v>
      </c>
      <c r="LA366">
        <v>0</v>
      </c>
      <c r="LB366">
        <v>0</v>
      </c>
      <c r="LC366">
        <v>0</v>
      </c>
      <c r="LD366">
        <v>0</v>
      </c>
      <c r="LE366">
        <v>0</v>
      </c>
      <c r="LF366">
        <v>0</v>
      </c>
      <c r="LG366">
        <v>0</v>
      </c>
      <c r="LH366">
        <v>0</v>
      </c>
      <c r="LI366">
        <v>0</v>
      </c>
      <c r="LJ366">
        <v>0</v>
      </c>
      <c r="LK366">
        <v>0</v>
      </c>
      <c r="LL366">
        <v>0</v>
      </c>
      <c r="LM366">
        <v>0</v>
      </c>
      <c r="LN366">
        <v>0</v>
      </c>
      <c r="LO366">
        <v>0</v>
      </c>
      <c r="LP366">
        <v>0</v>
      </c>
      <c r="LQ366">
        <v>0</v>
      </c>
      <c r="LR366">
        <v>0</v>
      </c>
      <c r="LS366">
        <v>0</v>
      </c>
      <c r="LT366">
        <v>0</v>
      </c>
      <c r="LU366">
        <v>0</v>
      </c>
      <c r="LV366">
        <v>0</v>
      </c>
      <c r="LW366">
        <v>0</v>
      </c>
      <c r="LX366">
        <v>0</v>
      </c>
      <c r="LY366">
        <v>0</v>
      </c>
      <c r="LZ366">
        <v>0</v>
      </c>
      <c r="MA366">
        <v>0</v>
      </c>
      <c r="MB366">
        <v>0</v>
      </c>
      <c r="MC366">
        <v>0</v>
      </c>
      <c r="MD366">
        <v>0</v>
      </c>
      <c r="ME366">
        <v>0</v>
      </c>
      <c r="MF366">
        <v>0</v>
      </c>
      <c r="MG366">
        <v>0</v>
      </c>
      <c r="MH366">
        <v>0</v>
      </c>
      <c r="MI366">
        <v>0</v>
      </c>
      <c r="MJ366">
        <v>0</v>
      </c>
      <c r="MK366">
        <v>0</v>
      </c>
      <c r="ML366">
        <v>0</v>
      </c>
      <c r="MM366">
        <v>0</v>
      </c>
      <c r="MN366">
        <v>0</v>
      </c>
      <c r="MO366">
        <v>0</v>
      </c>
      <c r="MP366">
        <v>0</v>
      </c>
      <c r="MQ366">
        <v>0</v>
      </c>
      <c r="MR366">
        <v>0</v>
      </c>
      <c r="MS366">
        <v>0</v>
      </c>
      <c r="MT366">
        <v>0</v>
      </c>
      <c r="MU366">
        <v>0</v>
      </c>
      <c r="MV366">
        <v>0</v>
      </c>
      <c r="MW366">
        <v>0</v>
      </c>
      <c r="MX366">
        <v>0</v>
      </c>
      <c r="MY366">
        <v>0</v>
      </c>
      <c r="MZ366">
        <v>0</v>
      </c>
      <c r="NA366">
        <v>0</v>
      </c>
      <c r="NB366">
        <v>0</v>
      </c>
      <c r="NC366">
        <v>0</v>
      </c>
      <c r="ND366">
        <v>0</v>
      </c>
      <c r="NE366">
        <v>0</v>
      </c>
    </row>
    <row r="367" spans="41:369" x14ac:dyDescent="0.45">
      <c r="AO367">
        <v>0</v>
      </c>
      <c r="AP367">
        <v>0</v>
      </c>
      <c r="AQ367">
        <v>0</v>
      </c>
      <c r="AR367">
        <v>0</v>
      </c>
      <c r="AS367">
        <v>0</v>
      </c>
      <c r="AT367">
        <v>0</v>
      </c>
      <c r="AU367">
        <v>0</v>
      </c>
      <c r="AV367">
        <v>0</v>
      </c>
      <c r="AW367" t="str">
        <v/>
      </c>
      <c r="AX367">
        <v>255</v>
      </c>
      <c r="AY367" s="5" t="str">
        <v/>
      </c>
      <c r="AZ367">
        <v>0</v>
      </c>
      <c r="BA367">
        <v>0</v>
      </c>
      <c r="BB367">
        <v>0</v>
      </c>
      <c r="BC367">
        <v>0</v>
      </c>
      <c r="BD367">
        <v>0</v>
      </c>
      <c r="BE367">
        <v>0</v>
      </c>
      <c r="BF367">
        <v>0</v>
      </c>
      <c r="BG367">
        <v>0</v>
      </c>
      <c r="BH367">
        <v>0</v>
      </c>
      <c r="BI367" t="str">
        <v/>
      </c>
      <c r="BK367">
        <v>361</v>
      </c>
      <c r="BL367">
        <v>0</v>
      </c>
      <c r="BM367">
        <v>0</v>
      </c>
      <c r="BN367">
        <v>0</v>
      </c>
      <c r="BO367">
        <v>0</v>
      </c>
      <c r="BP367">
        <v>0</v>
      </c>
      <c r="BQ367">
        <v>0</v>
      </c>
      <c r="BR367">
        <v>0</v>
      </c>
      <c r="BS367">
        <v>0</v>
      </c>
      <c r="BT367">
        <v>0</v>
      </c>
      <c r="BU367">
        <v>0</v>
      </c>
      <c r="BV367">
        <v>0</v>
      </c>
      <c r="BW367">
        <v>0</v>
      </c>
      <c r="BX367">
        <v>0</v>
      </c>
      <c r="BY367">
        <v>0</v>
      </c>
      <c r="BZ367">
        <v>0</v>
      </c>
      <c r="CA367">
        <v>0</v>
      </c>
      <c r="CB367">
        <v>0</v>
      </c>
      <c r="CC367">
        <v>0</v>
      </c>
      <c r="CD367">
        <v>0</v>
      </c>
      <c r="CE367">
        <v>0</v>
      </c>
      <c r="CF367">
        <v>0</v>
      </c>
      <c r="CG367">
        <v>0</v>
      </c>
      <c r="CH367">
        <v>0</v>
      </c>
      <c r="CI367">
        <v>0</v>
      </c>
      <c r="CJ367">
        <v>0</v>
      </c>
      <c r="CK367">
        <v>0</v>
      </c>
      <c r="CL367">
        <v>0</v>
      </c>
      <c r="CM367">
        <v>0</v>
      </c>
      <c r="CN367">
        <v>0</v>
      </c>
      <c r="CO367">
        <v>0</v>
      </c>
      <c r="CP367">
        <v>0</v>
      </c>
      <c r="CQ367">
        <v>0</v>
      </c>
      <c r="CR367">
        <v>0</v>
      </c>
      <c r="CS367">
        <v>0</v>
      </c>
      <c r="CT367">
        <v>0</v>
      </c>
      <c r="CU367">
        <v>0</v>
      </c>
      <c r="CV367">
        <v>0</v>
      </c>
      <c r="CW367">
        <v>0</v>
      </c>
      <c r="CX367">
        <v>0</v>
      </c>
      <c r="CY367">
        <v>0</v>
      </c>
      <c r="CZ367">
        <v>0</v>
      </c>
      <c r="DA367">
        <v>0</v>
      </c>
      <c r="DB367">
        <v>0</v>
      </c>
      <c r="DC367">
        <v>0</v>
      </c>
      <c r="DD367">
        <v>0</v>
      </c>
      <c r="DE367">
        <v>0</v>
      </c>
      <c r="DF367">
        <v>0</v>
      </c>
      <c r="DG367">
        <v>0</v>
      </c>
      <c r="DH367">
        <v>0</v>
      </c>
      <c r="DI367">
        <v>0</v>
      </c>
      <c r="DJ367">
        <v>0</v>
      </c>
      <c r="DK367">
        <v>0</v>
      </c>
      <c r="DL367">
        <v>0</v>
      </c>
      <c r="DM367">
        <v>0</v>
      </c>
      <c r="DN367">
        <v>0</v>
      </c>
      <c r="DO367">
        <v>0</v>
      </c>
      <c r="DP367">
        <v>0</v>
      </c>
      <c r="DQ367">
        <v>0</v>
      </c>
      <c r="DR367">
        <v>0</v>
      </c>
      <c r="DS367">
        <v>0</v>
      </c>
      <c r="DT367">
        <v>0</v>
      </c>
      <c r="DU367">
        <v>0</v>
      </c>
      <c r="DV367">
        <v>0</v>
      </c>
      <c r="DW367">
        <v>0</v>
      </c>
      <c r="DX367">
        <v>0</v>
      </c>
      <c r="DY367">
        <v>0</v>
      </c>
      <c r="DZ367">
        <v>0</v>
      </c>
      <c r="EA367">
        <v>0</v>
      </c>
      <c r="EB367">
        <v>0</v>
      </c>
      <c r="EC367">
        <v>0</v>
      </c>
      <c r="ED367">
        <v>0</v>
      </c>
      <c r="EE367">
        <v>0</v>
      </c>
      <c r="EF367">
        <v>0</v>
      </c>
      <c r="EG367">
        <v>0</v>
      </c>
      <c r="EH367">
        <v>0</v>
      </c>
      <c r="EI367">
        <v>0</v>
      </c>
      <c r="EJ367">
        <v>0</v>
      </c>
      <c r="EK367">
        <v>0</v>
      </c>
      <c r="EL367">
        <v>0</v>
      </c>
      <c r="EM367">
        <v>0</v>
      </c>
      <c r="EN367">
        <v>0</v>
      </c>
      <c r="EO367">
        <v>0</v>
      </c>
      <c r="EP367">
        <v>0</v>
      </c>
      <c r="EQ367">
        <v>0</v>
      </c>
      <c r="ER367">
        <v>0</v>
      </c>
      <c r="ES367">
        <v>0</v>
      </c>
      <c r="ET367">
        <v>0</v>
      </c>
      <c r="EU367">
        <v>0</v>
      </c>
      <c r="EV367">
        <v>0</v>
      </c>
      <c r="EW367">
        <v>0</v>
      </c>
      <c r="EX367">
        <v>0</v>
      </c>
      <c r="EY367">
        <v>0</v>
      </c>
      <c r="EZ367">
        <v>0</v>
      </c>
      <c r="FA367">
        <v>0</v>
      </c>
      <c r="FB367">
        <v>0</v>
      </c>
      <c r="FC367">
        <v>0</v>
      </c>
      <c r="FD367">
        <v>0</v>
      </c>
      <c r="FE367">
        <v>0</v>
      </c>
      <c r="FF367">
        <v>0</v>
      </c>
      <c r="FG367">
        <v>0</v>
      </c>
      <c r="FH367">
        <v>0</v>
      </c>
      <c r="FI367">
        <v>0</v>
      </c>
      <c r="FJ367">
        <v>0</v>
      </c>
      <c r="FK367">
        <v>0</v>
      </c>
      <c r="FL367">
        <v>0</v>
      </c>
      <c r="FM367">
        <v>0</v>
      </c>
      <c r="FN367">
        <v>0</v>
      </c>
      <c r="FO367">
        <v>0</v>
      </c>
      <c r="FP367">
        <v>0</v>
      </c>
      <c r="FQ367">
        <v>0</v>
      </c>
      <c r="FR367">
        <v>0</v>
      </c>
      <c r="FS367">
        <v>0</v>
      </c>
      <c r="FT367">
        <v>0</v>
      </c>
      <c r="FU367">
        <v>0</v>
      </c>
      <c r="FV367">
        <v>0</v>
      </c>
      <c r="FW367">
        <v>0</v>
      </c>
      <c r="FX367">
        <v>0</v>
      </c>
      <c r="FY367">
        <v>0</v>
      </c>
      <c r="FZ367">
        <v>0</v>
      </c>
      <c r="GA367">
        <v>0</v>
      </c>
      <c r="GB367">
        <v>0</v>
      </c>
      <c r="GC367">
        <v>0</v>
      </c>
      <c r="GD367">
        <v>0</v>
      </c>
      <c r="GE367">
        <v>0</v>
      </c>
      <c r="GF367">
        <v>0</v>
      </c>
      <c r="GG367">
        <v>0</v>
      </c>
      <c r="GH367">
        <v>0</v>
      </c>
      <c r="GI367">
        <v>0</v>
      </c>
      <c r="GJ367">
        <v>0</v>
      </c>
      <c r="GK367">
        <v>0</v>
      </c>
      <c r="GL367">
        <v>0</v>
      </c>
      <c r="GM367">
        <v>0</v>
      </c>
      <c r="GN367">
        <v>0</v>
      </c>
      <c r="GO367">
        <v>0</v>
      </c>
      <c r="GP367">
        <v>0</v>
      </c>
      <c r="GQ367">
        <v>0</v>
      </c>
      <c r="GR367">
        <v>0</v>
      </c>
      <c r="GS367">
        <v>0</v>
      </c>
      <c r="GT367">
        <v>0</v>
      </c>
      <c r="GU367">
        <v>0</v>
      </c>
      <c r="GV367">
        <v>0</v>
      </c>
      <c r="GW367">
        <v>0</v>
      </c>
      <c r="GX367">
        <v>0</v>
      </c>
      <c r="GY367">
        <v>0</v>
      </c>
      <c r="GZ367">
        <v>0</v>
      </c>
      <c r="HA367">
        <v>0</v>
      </c>
      <c r="HB367">
        <v>0</v>
      </c>
      <c r="HC367">
        <v>0</v>
      </c>
      <c r="HD367">
        <v>0</v>
      </c>
      <c r="HE367">
        <v>0</v>
      </c>
      <c r="HF367">
        <v>0</v>
      </c>
      <c r="HG367">
        <v>0</v>
      </c>
      <c r="HH367">
        <v>0</v>
      </c>
      <c r="HI367">
        <v>0</v>
      </c>
      <c r="HJ367">
        <v>0</v>
      </c>
      <c r="HK367">
        <v>0</v>
      </c>
      <c r="HL367">
        <v>0</v>
      </c>
      <c r="HM367">
        <v>0</v>
      </c>
      <c r="HN367">
        <v>0</v>
      </c>
      <c r="HO367">
        <v>0</v>
      </c>
      <c r="HP367">
        <v>0</v>
      </c>
      <c r="HQ367">
        <v>0</v>
      </c>
      <c r="HR367">
        <v>0</v>
      </c>
      <c r="HS367">
        <v>0</v>
      </c>
      <c r="HT367">
        <v>0</v>
      </c>
      <c r="HU367">
        <v>0</v>
      </c>
      <c r="HV367">
        <v>0</v>
      </c>
      <c r="HW367">
        <v>0</v>
      </c>
      <c r="HX367">
        <v>0</v>
      </c>
      <c r="HY367">
        <v>0</v>
      </c>
      <c r="HZ367">
        <v>0</v>
      </c>
      <c r="IA367">
        <v>0</v>
      </c>
      <c r="IB367">
        <v>0</v>
      </c>
      <c r="IC367">
        <v>0</v>
      </c>
      <c r="ID367">
        <v>0</v>
      </c>
      <c r="IE367">
        <v>0</v>
      </c>
      <c r="IF367">
        <v>0</v>
      </c>
      <c r="IG367">
        <v>0</v>
      </c>
      <c r="IH367">
        <v>0</v>
      </c>
      <c r="II367">
        <v>0</v>
      </c>
      <c r="IJ367">
        <v>0</v>
      </c>
      <c r="IK367">
        <v>0</v>
      </c>
      <c r="IL367">
        <v>0</v>
      </c>
      <c r="IM367">
        <v>0</v>
      </c>
      <c r="IN367">
        <v>0</v>
      </c>
      <c r="IO367">
        <v>0</v>
      </c>
      <c r="IP367">
        <v>0</v>
      </c>
      <c r="IQ367">
        <v>0</v>
      </c>
      <c r="IR367">
        <v>0</v>
      </c>
      <c r="IS367">
        <v>0</v>
      </c>
      <c r="IT367">
        <v>0</v>
      </c>
      <c r="IU367">
        <v>0</v>
      </c>
      <c r="IV367">
        <v>0</v>
      </c>
      <c r="IW367">
        <v>0</v>
      </c>
      <c r="IX367">
        <v>0</v>
      </c>
      <c r="IY367">
        <v>0</v>
      </c>
      <c r="IZ367">
        <v>0</v>
      </c>
      <c r="JA367">
        <v>0</v>
      </c>
      <c r="JB367">
        <v>0</v>
      </c>
      <c r="JC367">
        <v>0</v>
      </c>
      <c r="JD367">
        <v>0</v>
      </c>
      <c r="JE367">
        <v>0</v>
      </c>
      <c r="JF367">
        <v>0</v>
      </c>
      <c r="JG367">
        <v>0</v>
      </c>
      <c r="JH367">
        <v>0</v>
      </c>
      <c r="JI367">
        <v>0</v>
      </c>
      <c r="JJ367">
        <v>0</v>
      </c>
      <c r="JK367">
        <v>0</v>
      </c>
      <c r="JL367">
        <v>0</v>
      </c>
      <c r="JM367">
        <v>0</v>
      </c>
      <c r="JN367">
        <v>0</v>
      </c>
      <c r="JO367">
        <v>0</v>
      </c>
      <c r="JP367">
        <v>0</v>
      </c>
      <c r="JQ367">
        <v>0</v>
      </c>
      <c r="JR367">
        <v>0</v>
      </c>
      <c r="JS367">
        <v>0</v>
      </c>
      <c r="JT367">
        <v>0</v>
      </c>
      <c r="JU367">
        <v>0</v>
      </c>
      <c r="JV367">
        <v>0</v>
      </c>
      <c r="JW367">
        <v>0</v>
      </c>
      <c r="JX367">
        <v>0</v>
      </c>
      <c r="JY367">
        <v>0</v>
      </c>
      <c r="JZ367">
        <v>0</v>
      </c>
      <c r="KA367">
        <v>0</v>
      </c>
      <c r="KB367">
        <v>0</v>
      </c>
      <c r="KC367">
        <v>0</v>
      </c>
      <c r="KD367">
        <v>0</v>
      </c>
      <c r="KE367">
        <v>0</v>
      </c>
      <c r="KF367">
        <v>0</v>
      </c>
      <c r="KG367">
        <v>0</v>
      </c>
      <c r="KH367">
        <v>0</v>
      </c>
      <c r="KI367">
        <v>0</v>
      </c>
      <c r="KJ367">
        <v>0</v>
      </c>
      <c r="KK367">
        <v>0</v>
      </c>
      <c r="KL367">
        <v>0</v>
      </c>
      <c r="KM367">
        <v>0</v>
      </c>
      <c r="KN367">
        <v>0</v>
      </c>
      <c r="KO367">
        <v>0</v>
      </c>
      <c r="KP367">
        <v>0</v>
      </c>
      <c r="KQ367">
        <v>0</v>
      </c>
      <c r="KR367">
        <v>0</v>
      </c>
      <c r="KS367">
        <v>0</v>
      </c>
      <c r="KT367">
        <v>0</v>
      </c>
      <c r="KU367">
        <v>0</v>
      </c>
      <c r="KV367">
        <v>0</v>
      </c>
      <c r="KW367">
        <v>0</v>
      </c>
      <c r="KX367">
        <v>0</v>
      </c>
      <c r="KY367">
        <v>0</v>
      </c>
      <c r="KZ367">
        <v>0</v>
      </c>
      <c r="LA367">
        <v>0</v>
      </c>
      <c r="LB367">
        <v>0</v>
      </c>
      <c r="LC367">
        <v>0</v>
      </c>
      <c r="LD367">
        <v>0</v>
      </c>
      <c r="LE367">
        <v>0</v>
      </c>
      <c r="LF367">
        <v>0</v>
      </c>
      <c r="LG367">
        <v>0</v>
      </c>
      <c r="LH367">
        <v>0</v>
      </c>
      <c r="LI367">
        <v>0</v>
      </c>
      <c r="LJ367">
        <v>0</v>
      </c>
      <c r="LK367">
        <v>0</v>
      </c>
      <c r="LL367">
        <v>0</v>
      </c>
      <c r="LM367">
        <v>0</v>
      </c>
      <c r="LN367">
        <v>0</v>
      </c>
      <c r="LO367">
        <v>0</v>
      </c>
      <c r="LP367">
        <v>0</v>
      </c>
      <c r="LQ367">
        <v>0</v>
      </c>
      <c r="LR367">
        <v>0</v>
      </c>
      <c r="LS367">
        <v>0</v>
      </c>
      <c r="LT367">
        <v>0</v>
      </c>
      <c r="LU367">
        <v>0</v>
      </c>
      <c r="LV367">
        <v>0</v>
      </c>
      <c r="LW367">
        <v>0</v>
      </c>
      <c r="LX367">
        <v>0</v>
      </c>
      <c r="LY367">
        <v>0</v>
      </c>
      <c r="LZ367">
        <v>0</v>
      </c>
      <c r="MA367">
        <v>0</v>
      </c>
      <c r="MB367">
        <v>0</v>
      </c>
      <c r="MC367">
        <v>0</v>
      </c>
      <c r="MD367">
        <v>0</v>
      </c>
      <c r="ME367">
        <v>0</v>
      </c>
      <c r="MF367">
        <v>0</v>
      </c>
      <c r="MG367">
        <v>0</v>
      </c>
      <c r="MH367">
        <v>0</v>
      </c>
      <c r="MI367">
        <v>0</v>
      </c>
      <c r="MJ367">
        <v>0</v>
      </c>
      <c r="MK367">
        <v>0</v>
      </c>
      <c r="ML367">
        <v>0</v>
      </c>
      <c r="MM367">
        <v>0</v>
      </c>
      <c r="MN367">
        <v>0</v>
      </c>
      <c r="MO367">
        <v>0</v>
      </c>
      <c r="MP367">
        <v>0</v>
      </c>
      <c r="MQ367">
        <v>0</v>
      </c>
      <c r="MR367">
        <v>0</v>
      </c>
      <c r="MS367">
        <v>0</v>
      </c>
      <c r="MT367">
        <v>0</v>
      </c>
      <c r="MU367">
        <v>0</v>
      </c>
      <c r="MV367">
        <v>0</v>
      </c>
      <c r="MW367">
        <v>0</v>
      </c>
      <c r="MX367">
        <v>0</v>
      </c>
      <c r="MY367">
        <v>0</v>
      </c>
      <c r="MZ367">
        <v>0</v>
      </c>
      <c r="NA367">
        <v>0</v>
      </c>
      <c r="NB367">
        <v>0</v>
      </c>
      <c r="NC367">
        <v>0</v>
      </c>
      <c r="ND367">
        <v>0</v>
      </c>
      <c r="NE367">
        <v>0</v>
      </c>
    </row>
    <row r="368" spans="41:369" x14ac:dyDescent="0.45">
      <c r="AO368">
        <v>0</v>
      </c>
      <c r="AP368">
        <v>0</v>
      </c>
      <c r="AQ368">
        <v>0</v>
      </c>
      <c r="AR368">
        <v>0</v>
      </c>
      <c r="AS368">
        <v>0</v>
      </c>
      <c r="AT368">
        <v>0</v>
      </c>
      <c r="AU368">
        <v>0</v>
      </c>
      <c r="AV368">
        <v>0</v>
      </c>
      <c r="AW368" t="str">
        <v/>
      </c>
      <c r="AX368">
        <v>255</v>
      </c>
      <c r="AY368" s="5" t="str">
        <v/>
      </c>
      <c r="AZ368">
        <v>0</v>
      </c>
      <c r="BA368">
        <v>0</v>
      </c>
      <c r="BB368">
        <v>0</v>
      </c>
      <c r="BC368">
        <v>0</v>
      </c>
      <c r="BD368">
        <v>0</v>
      </c>
      <c r="BE368">
        <v>0</v>
      </c>
      <c r="BF368">
        <v>0</v>
      </c>
      <c r="BG368">
        <v>0</v>
      </c>
      <c r="BH368">
        <v>0</v>
      </c>
      <c r="BI368" t="str">
        <v/>
      </c>
      <c r="BK368">
        <v>362</v>
      </c>
      <c r="BL368">
        <v>0</v>
      </c>
      <c r="BM368">
        <v>0</v>
      </c>
      <c r="BN368">
        <v>0</v>
      </c>
      <c r="BO368">
        <v>0</v>
      </c>
      <c r="BP368">
        <v>0</v>
      </c>
      <c r="BQ368">
        <v>0</v>
      </c>
      <c r="BR368">
        <v>0</v>
      </c>
      <c r="BS368">
        <v>0</v>
      </c>
      <c r="BT368">
        <v>0</v>
      </c>
      <c r="BU368">
        <v>0</v>
      </c>
      <c r="BV368">
        <v>0</v>
      </c>
      <c r="BW368">
        <v>0</v>
      </c>
      <c r="BX368">
        <v>0</v>
      </c>
      <c r="BY368">
        <v>0</v>
      </c>
      <c r="BZ368">
        <v>0</v>
      </c>
      <c r="CA368">
        <v>0</v>
      </c>
      <c r="CB368">
        <v>0</v>
      </c>
      <c r="CC368">
        <v>0</v>
      </c>
      <c r="CD368">
        <v>0</v>
      </c>
      <c r="CE368">
        <v>0</v>
      </c>
      <c r="CF368">
        <v>0</v>
      </c>
      <c r="CG368">
        <v>0</v>
      </c>
      <c r="CH368">
        <v>0</v>
      </c>
      <c r="CI368">
        <v>0</v>
      </c>
      <c r="CJ368">
        <v>0</v>
      </c>
      <c r="CK368">
        <v>0</v>
      </c>
      <c r="CL368">
        <v>0</v>
      </c>
      <c r="CM368">
        <v>0</v>
      </c>
      <c r="CN368">
        <v>0</v>
      </c>
      <c r="CO368">
        <v>0</v>
      </c>
      <c r="CP368">
        <v>0</v>
      </c>
      <c r="CQ368">
        <v>0</v>
      </c>
      <c r="CR368">
        <v>0</v>
      </c>
      <c r="CS368">
        <v>0</v>
      </c>
      <c r="CT368">
        <v>0</v>
      </c>
      <c r="CU368">
        <v>0</v>
      </c>
      <c r="CV368">
        <v>0</v>
      </c>
      <c r="CW368">
        <v>0</v>
      </c>
      <c r="CX368">
        <v>0</v>
      </c>
      <c r="CY368">
        <v>0</v>
      </c>
      <c r="CZ368">
        <v>0</v>
      </c>
      <c r="DA368">
        <v>0</v>
      </c>
      <c r="DB368">
        <v>0</v>
      </c>
      <c r="DC368">
        <v>0</v>
      </c>
      <c r="DD368">
        <v>0</v>
      </c>
      <c r="DE368">
        <v>0</v>
      </c>
      <c r="DF368">
        <v>0</v>
      </c>
      <c r="DG368">
        <v>0</v>
      </c>
      <c r="DH368">
        <v>0</v>
      </c>
      <c r="DI368">
        <v>0</v>
      </c>
      <c r="DJ368">
        <v>0</v>
      </c>
      <c r="DK368">
        <v>0</v>
      </c>
      <c r="DL368">
        <v>0</v>
      </c>
      <c r="DM368">
        <v>0</v>
      </c>
      <c r="DN368">
        <v>0</v>
      </c>
      <c r="DO368">
        <v>0</v>
      </c>
      <c r="DP368">
        <v>0</v>
      </c>
      <c r="DQ368">
        <v>0</v>
      </c>
      <c r="DR368">
        <v>0</v>
      </c>
      <c r="DS368">
        <v>0</v>
      </c>
      <c r="DT368">
        <v>0</v>
      </c>
      <c r="DU368">
        <v>0</v>
      </c>
      <c r="DV368">
        <v>0</v>
      </c>
      <c r="DW368">
        <v>0</v>
      </c>
      <c r="DX368">
        <v>0</v>
      </c>
      <c r="DY368">
        <v>0</v>
      </c>
      <c r="DZ368">
        <v>0</v>
      </c>
      <c r="EA368">
        <v>0</v>
      </c>
      <c r="EB368">
        <v>0</v>
      </c>
      <c r="EC368">
        <v>0</v>
      </c>
      <c r="ED368">
        <v>0</v>
      </c>
      <c r="EE368">
        <v>0</v>
      </c>
      <c r="EF368">
        <v>0</v>
      </c>
      <c r="EG368">
        <v>0</v>
      </c>
      <c r="EH368">
        <v>0</v>
      </c>
      <c r="EI368">
        <v>0</v>
      </c>
      <c r="EJ368">
        <v>0</v>
      </c>
      <c r="EK368">
        <v>0</v>
      </c>
      <c r="EL368">
        <v>0</v>
      </c>
      <c r="EM368">
        <v>0</v>
      </c>
      <c r="EN368">
        <v>0</v>
      </c>
      <c r="EO368">
        <v>0</v>
      </c>
      <c r="EP368">
        <v>0</v>
      </c>
      <c r="EQ368">
        <v>0</v>
      </c>
      <c r="ER368">
        <v>0</v>
      </c>
      <c r="ES368">
        <v>0</v>
      </c>
      <c r="ET368">
        <v>0</v>
      </c>
      <c r="EU368">
        <v>0</v>
      </c>
      <c r="EV368">
        <v>0</v>
      </c>
      <c r="EW368">
        <v>0</v>
      </c>
      <c r="EX368">
        <v>0</v>
      </c>
      <c r="EY368">
        <v>0</v>
      </c>
      <c r="EZ368">
        <v>0</v>
      </c>
      <c r="FA368">
        <v>0</v>
      </c>
      <c r="FB368">
        <v>0</v>
      </c>
      <c r="FC368">
        <v>0</v>
      </c>
      <c r="FD368">
        <v>0</v>
      </c>
      <c r="FE368">
        <v>0</v>
      </c>
      <c r="FF368">
        <v>0</v>
      </c>
      <c r="FG368">
        <v>0</v>
      </c>
      <c r="FH368">
        <v>0</v>
      </c>
      <c r="FI368">
        <v>0</v>
      </c>
      <c r="FJ368">
        <v>0</v>
      </c>
      <c r="FK368">
        <v>0</v>
      </c>
      <c r="FL368">
        <v>0</v>
      </c>
      <c r="FM368">
        <v>0</v>
      </c>
      <c r="FN368">
        <v>0</v>
      </c>
      <c r="FO368">
        <v>0</v>
      </c>
      <c r="FP368">
        <v>0</v>
      </c>
      <c r="FQ368">
        <v>0</v>
      </c>
      <c r="FR368">
        <v>0</v>
      </c>
      <c r="FS368">
        <v>0</v>
      </c>
      <c r="FT368">
        <v>0</v>
      </c>
      <c r="FU368">
        <v>0</v>
      </c>
      <c r="FV368">
        <v>0</v>
      </c>
      <c r="FW368">
        <v>0</v>
      </c>
      <c r="FX368">
        <v>0</v>
      </c>
      <c r="FY368">
        <v>0</v>
      </c>
      <c r="FZ368">
        <v>0</v>
      </c>
      <c r="GA368">
        <v>0</v>
      </c>
      <c r="GB368">
        <v>0</v>
      </c>
      <c r="GC368">
        <v>0</v>
      </c>
      <c r="GD368">
        <v>0</v>
      </c>
      <c r="GE368">
        <v>0</v>
      </c>
      <c r="GF368">
        <v>0</v>
      </c>
      <c r="GG368">
        <v>0</v>
      </c>
      <c r="GH368">
        <v>0</v>
      </c>
      <c r="GI368">
        <v>0</v>
      </c>
      <c r="GJ368">
        <v>0</v>
      </c>
      <c r="GK368">
        <v>0</v>
      </c>
      <c r="GL368">
        <v>0</v>
      </c>
      <c r="GM368">
        <v>0</v>
      </c>
      <c r="GN368">
        <v>0</v>
      </c>
      <c r="GO368">
        <v>0</v>
      </c>
      <c r="GP368">
        <v>0</v>
      </c>
      <c r="GQ368">
        <v>0</v>
      </c>
      <c r="GR368">
        <v>0</v>
      </c>
      <c r="GS368">
        <v>0</v>
      </c>
      <c r="GT368">
        <v>0</v>
      </c>
      <c r="GU368">
        <v>0</v>
      </c>
      <c r="GV368">
        <v>0</v>
      </c>
      <c r="GW368">
        <v>0</v>
      </c>
      <c r="GX368">
        <v>0</v>
      </c>
      <c r="GY368">
        <v>0</v>
      </c>
      <c r="GZ368">
        <v>0</v>
      </c>
      <c r="HA368">
        <v>0</v>
      </c>
      <c r="HB368">
        <v>0</v>
      </c>
      <c r="HC368">
        <v>0</v>
      </c>
      <c r="HD368">
        <v>0</v>
      </c>
      <c r="HE368">
        <v>0</v>
      </c>
      <c r="HF368">
        <v>0</v>
      </c>
      <c r="HG368">
        <v>0</v>
      </c>
      <c r="HH368">
        <v>0</v>
      </c>
      <c r="HI368">
        <v>0</v>
      </c>
      <c r="HJ368">
        <v>0</v>
      </c>
      <c r="HK368">
        <v>0</v>
      </c>
      <c r="HL368">
        <v>0</v>
      </c>
      <c r="HM368">
        <v>0</v>
      </c>
      <c r="HN368">
        <v>0</v>
      </c>
      <c r="HO368">
        <v>0</v>
      </c>
      <c r="HP368">
        <v>0</v>
      </c>
      <c r="HQ368">
        <v>0</v>
      </c>
      <c r="HR368">
        <v>0</v>
      </c>
      <c r="HS368">
        <v>0</v>
      </c>
      <c r="HT368">
        <v>0</v>
      </c>
      <c r="HU368">
        <v>0</v>
      </c>
      <c r="HV368">
        <v>0</v>
      </c>
      <c r="HW368">
        <v>0</v>
      </c>
      <c r="HX368">
        <v>0</v>
      </c>
      <c r="HY368">
        <v>0</v>
      </c>
      <c r="HZ368">
        <v>0</v>
      </c>
      <c r="IA368">
        <v>0</v>
      </c>
      <c r="IB368">
        <v>0</v>
      </c>
      <c r="IC368">
        <v>0</v>
      </c>
      <c r="ID368">
        <v>0</v>
      </c>
      <c r="IE368">
        <v>0</v>
      </c>
      <c r="IF368">
        <v>0</v>
      </c>
      <c r="IG368">
        <v>0</v>
      </c>
      <c r="IH368">
        <v>0</v>
      </c>
      <c r="II368">
        <v>0</v>
      </c>
      <c r="IJ368">
        <v>0</v>
      </c>
      <c r="IK368">
        <v>0</v>
      </c>
      <c r="IL368">
        <v>0</v>
      </c>
      <c r="IM368">
        <v>0</v>
      </c>
      <c r="IN368">
        <v>0</v>
      </c>
      <c r="IO368">
        <v>0</v>
      </c>
      <c r="IP368">
        <v>0</v>
      </c>
      <c r="IQ368">
        <v>0</v>
      </c>
      <c r="IR368">
        <v>0</v>
      </c>
      <c r="IS368">
        <v>0</v>
      </c>
      <c r="IT368">
        <v>0</v>
      </c>
      <c r="IU368">
        <v>0</v>
      </c>
      <c r="IV368">
        <v>0</v>
      </c>
      <c r="IW368">
        <v>0</v>
      </c>
      <c r="IX368">
        <v>0</v>
      </c>
      <c r="IY368">
        <v>0</v>
      </c>
      <c r="IZ368">
        <v>0</v>
      </c>
      <c r="JA368">
        <v>0</v>
      </c>
      <c r="JB368">
        <v>0</v>
      </c>
      <c r="JC368">
        <v>0</v>
      </c>
      <c r="JD368">
        <v>0</v>
      </c>
      <c r="JE368">
        <v>0</v>
      </c>
      <c r="JF368">
        <v>0</v>
      </c>
      <c r="JG368">
        <v>0</v>
      </c>
      <c r="JH368">
        <v>0</v>
      </c>
      <c r="JI368">
        <v>0</v>
      </c>
      <c r="JJ368">
        <v>0</v>
      </c>
      <c r="JK368">
        <v>0</v>
      </c>
      <c r="JL368">
        <v>0</v>
      </c>
      <c r="JM368">
        <v>0</v>
      </c>
      <c r="JN368">
        <v>0</v>
      </c>
      <c r="JO368">
        <v>0</v>
      </c>
      <c r="JP368">
        <v>0</v>
      </c>
      <c r="JQ368">
        <v>0</v>
      </c>
      <c r="JR368">
        <v>0</v>
      </c>
      <c r="JS368">
        <v>0</v>
      </c>
      <c r="JT368">
        <v>0</v>
      </c>
      <c r="JU368">
        <v>0</v>
      </c>
      <c r="JV368">
        <v>0</v>
      </c>
      <c r="JW368">
        <v>0</v>
      </c>
      <c r="JX368">
        <v>0</v>
      </c>
      <c r="JY368">
        <v>0</v>
      </c>
      <c r="JZ368">
        <v>0</v>
      </c>
      <c r="KA368">
        <v>0</v>
      </c>
      <c r="KB368">
        <v>0</v>
      </c>
      <c r="KC368">
        <v>0</v>
      </c>
      <c r="KD368">
        <v>0</v>
      </c>
      <c r="KE368">
        <v>0</v>
      </c>
      <c r="KF368">
        <v>0</v>
      </c>
      <c r="KG368">
        <v>0</v>
      </c>
      <c r="KH368">
        <v>0</v>
      </c>
      <c r="KI368">
        <v>0</v>
      </c>
      <c r="KJ368">
        <v>0</v>
      </c>
      <c r="KK368">
        <v>0</v>
      </c>
      <c r="KL368">
        <v>0</v>
      </c>
      <c r="KM368">
        <v>0</v>
      </c>
      <c r="KN368">
        <v>0</v>
      </c>
      <c r="KO368">
        <v>0</v>
      </c>
      <c r="KP368">
        <v>0</v>
      </c>
      <c r="KQ368">
        <v>0</v>
      </c>
      <c r="KR368">
        <v>0</v>
      </c>
      <c r="KS368">
        <v>0</v>
      </c>
      <c r="KT368">
        <v>0</v>
      </c>
      <c r="KU368">
        <v>0</v>
      </c>
      <c r="KV368">
        <v>0</v>
      </c>
      <c r="KW368">
        <v>0</v>
      </c>
      <c r="KX368">
        <v>0</v>
      </c>
      <c r="KY368">
        <v>0</v>
      </c>
      <c r="KZ368">
        <v>0</v>
      </c>
      <c r="LA368">
        <v>0</v>
      </c>
      <c r="LB368">
        <v>0</v>
      </c>
      <c r="LC368">
        <v>0</v>
      </c>
      <c r="LD368">
        <v>0</v>
      </c>
      <c r="LE368">
        <v>0</v>
      </c>
      <c r="LF368">
        <v>0</v>
      </c>
      <c r="LG368">
        <v>0</v>
      </c>
      <c r="LH368">
        <v>0</v>
      </c>
      <c r="LI368">
        <v>0</v>
      </c>
      <c r="LJ368">
        <v>0</v>
      </c>
      <c r="LK368">
        <v>0</v>
      </c>
      <c r="LL368">
        <v>0</v>
      </c>
      <c r="LM368">
        <v>0</v>
      </c>
      <c r="LN368">
        <v>0</v>
      </c>
      <c r="LO368">
        <v>0</v>
      </c>
      <c r="LP368">
        <v>0</v>
      </c>
      <c r="LQ368">
        <v>0</v>
      </c>
      <c r="LR368">
        <v>0</v>
      </c>
      <c r="LS368">
        <v>0</v>
      </c>
      <c r="LT368">
        <v>0</v>
      </c>
      <c r="LU368">
        <v>0</v>
      </c>
      <c r="LV368">
        <v>0</v>
      </c>
      <c r="LW368">
        <v>0</v>
      </c>
      <c r="LX368">
        <v>0</v>
      </c>
      <c r="LY368">
        <v>0</v>
      </c>
      <c r="LZ368">
        <v>0</v>
      </c>
      <c r="MA368">
        <v>0</v>
      </c>
      <c r="MB368">
        <v>0</v>
      </c>
      <c r="MC368">
        <v>0</v>
      </c>
      <c r="MD368">
        <v>0</v>
      </c>
      <c r="ME368">
        <v>0</v>
      </c>
      <c r="MF368">
        <v>0</v>
      </c>
      <c r="MG368">
        <v>0</v>
      </c>
      <c r="MH368">
        <v>0</v>
      </c>
      <c r="MI368">
        <v>0</v>
      </c>
      <c r="MJ368">
        <v>0</v>
      </c>
      <c r="MK368">
        <v>0</v>
      </c>
      <c r="ML368">
        <v>0</v>
      </c>
      <c r="MM368">
        <v>0</v>
      </c>
      <c r="MN368">
        <v>0</v>
      </c>
      <c r="MO368">
        <v>0</v>
      </c>
      <c r="MP368">
        <v>0</v>
      </c>
      <c r="MQ368">
        <v>0</v>
      </c>
      <c r="MR368">
        <v>0</v>
      </c>
      <c r="MS368">
        <v>0</v>
      </c>
      <c r="MT368">
        <v>0</v>
      </c>
      <c r="MU368">
        <v>0</v>
      </c>
      <c r="MV368">
        <v>0</v>
      </c>
      <c r="MW368">
        <v>0</v>
      </c>
      <c r="MX368">
        <v>0</v>
      </c>
      <c r="MY368">
        <v>0</v>
      </c>
      <c r="MZ368">
        <v>0</v>
      </c>
      <c r="NA368">
        <v>0</v>
      </c>
      <c r="NB368">
        <v>0</v>
      </c>
      <c r="NC368">
        <v>0</v>
      </c>
      <c r="ND368">
        <v>0</v>
      </c>
      <c r="NE368">
        <v>0</v>
      </c>
    </row>
    <row r="369" spans="41:369" x14ac:dyDescent="0.45">
      <c r="AO369">
        <v>0</v>
      </c>
      <c r="AP369">
        <v>0</v>
      </c>
      <c r="AQ369">
        <v>0</v>
      </c>
      <c r="AR369">
        <v>0</v>
      </c>
      <c r="AS369">
        <v>0</v>
      </c>
      <c r="AT369">
        <v>0</v>
      </c>
      <c r="AU369">
        <v>0</v>
      </c>
      <c r="AV369">
        <v>0</v>
      </c>
      <c r="AW369" t="str">
        <v/>
      </c>
      <c r="AX369">
        <v>255</v>
      </c>
      <c r="AY369" s="5" t="str">
        <v/>
      </c>
      <c r="AZ369">
        <v>0</v>
      </c>
      <c r="BA369">
        <v>0</v>
      </c>
      <c r="BB369">
        <v>0</v>
      </c>
      <c r="BC369">
        <v>0</v>
      </c>
      <c r="BD369">
        <v>0</v>
      </c>
      <c r="BE369">
        <v>0</v>
      </c>
      <c r="BF369">
        <v>0</v>
      </c>
      <c r="BG369">
        <v>0</v>
      </c>
      <c r="BH369">
        <v>0</v>
      </c>
      <c r="BI369" t="str">
        <v/>
      </c>
      <c r="BK369">
        <v>363</v>
      </c>
      <c r="BL369">
        <v>0</v>
      </c>
      <c r="BM369">
        <v>0</v>
      </c>
      <c r="BN369">
        <v>0</v>
      </c>
      <c r="BO369">
        <v>0</v>
      </c>
      <c r="BP369">
        <v>0</v>
      </c>
      <c r="BQ369">
        <v>0</v>
      </c>
      <c r="BR369">
        <v>0</v>
      </c>
      <c r="BS369">
        <v>0</v>
      </c>
      <c r="BT369">
        <v>0</v>
      </c>
      <c r="BU369">
        <v>0</v>
      </c>
      <c r="BV369">
        <v>0</v>
      </c>
      <c r="BW369">
        <v>0</v>
      </c>
      <c r="BX369">
        <v>0</v>
      </c>
      <c r="BY369">
        <v>0</v>
      </c>
      <c r="BZ369">
        <v>0</v>
      </c>
      <c r="CA369">
        <v>0</v>
      </c>
      <c r="CB369">
        <v>0</v>
      </c>
      <c r="CC369">
        <v>0</v>
      </c>
      <c r="CD369">
        <v>0</v>
      </c>
      <c r="CE369">
        <v>0</v>
      </c>
      <c r="CF369">
        <v>0</v>
      </c>
      <c r="CG369">
        <v>0</v>
      </c>
      <c r="CH369">
        <v>0</v>
      </c>
      <c r="CI369">
        <v>0</v>
      </c>
      <c r="CJ369">
        <v>0</v>
      </c>
      <c r="CK369">
        <v>0</v>
      </c>
      <c r="CL369">
        <v>0</v>
      </c>
      <c r="CM369">
        <v>0</v>
      </c>
      <c r="CN369">
        <v>0</v>
      </c>
      <c r="CO369">
        <v>0</v>
      </c>
      <c r="CP369">
        <v>0</v>
      </c>
      <c r="CQ369">
        <v>0</v>
      </c>
      <c r="CR369">
        <v>0</v>
      </c>
      <c r="CS369">
        <v>0</v>
      </c>
      <c r="CT369">
        <v>0</v>
      </c>
      <c r="CU369">
        <v>0</v>
      </c>
      <c r="CV369">
        <v>0</v>
      </c>
      <c r="CW369">
        <v>0</v>
      </c>
      <c r="CX369">
        <v>0</v>
      </c>
      <c r="CY369">
        <v>0</v>
      </c>
      <c r="CZ369">
        <v>0</v>
      </c>
      <c r="DA369">
        <v>0</v>
      </c>
      <c r="DB369">
        <v>0</v>
      </c>
      <c r="DC369">
        <v>0</v>
      </c>
      <c r="DD369">
        <v>0</v>
      </c>
      <c r="DE369">
        <v>0</v>
      </c>
      <c r="DF369">
        <v>0</v>
      </c>
      <c r="DG369">
        <v>0</v>
      </c>
      <c r="DH369">
        <v>0</v>
      </c>
      <c r="DI369">
        <v>0</v>
      </c>
      <c r="DJ369">
        <v>0</v>
      </c>
      <c r="DK369">
        <v>0</v>
      </c>
      <c r="DL369">
        <v>0</v>
      </c>
      <c r="DM369">
        <v>0</v>
      </c>
      <c r="DN369">
        <v>0</v>
      </c>
      <c r="DO369">
        <v>0</v>
      </c>
      <c r="DP369">
        <v>0</v>
      </c>
      <c r="DQ369">
        <v>0</v>
      </c>
      <c r="DR369">
        <v>0</v>
      </c>
      <c r="DS369">
        <v>0</v>
      </c>
      <c r="DT369">
        <v>0</v>
      </c>
      <c r="DU369">
        <v>0</v>
      </c>
      <c r="DV369">
        <v>0</v>
      </c>
      <c r="DW369">
        <v>0</v>
      </c>
      <c r="DX369">
        <v>0</v>
      </c>
      <c r="DY369">
        <v>0</v>
      </c>
      <c r="DZ369">
        <v>0</v>
      </c>
      <c r="EA369">
        <v>0</v>
      </c>
      <c r="EB369">
        <v>0</v>
      </c>
      <c r="EC369">
        <v>0</v>
      </c>
      <c r="ED369">
        <v>0</v>
      </c>
      <c r="EE369">
        <v>0</v>
      </c>
      <c r="EF369">
        <v>0</v>
      </c>
      <c r="EG369">
        <v>0</v>
      </c>
      <c r="EH369">
        <v>0</v>
      </c>
      <c r="EI369">
        <v>0</v>
      </c>
      <c r="EJ369">
        <v>0</v>
      </c>
      <c r="EK369">
        <v>0</v>
      </c>
      <c r="EL369">
        <v>0</v>
      </c>
      <c r="EM369">
        <v>0</v>
      </c>
      <c r="EN369">
        <v>0</v>
      </c>
      <c r="EO369">
        <v>0</v>
      </c>
      <c r="EP369">
        <v>0</v>
      </c>
      <c r="EQ369">
        <v>0</v>
      </c>
      <c r="ER369">
        <v>0</v>
      </c>
      <c r="ES369">
        <v>0</v>
      </c>
      <c r="ET369">
        <v>0</v>
      </c>
      <c r="EU369">
        <v>0</v>
      </c>
      <c r="EV369">
        <v>0</v>
      </c>
      <c r="EW369">
        <v>0</v>
      </c>
      <c r="EX369">
        <v>0</v>
      </c>
      <c r="EY369">
        <v>0</v>
      </c>
      <c r="EZ369">
        <v>0</v>
      </c>
      <c r="FA369">
        <v>0</v>
      </c>
      <c r="FB369">
        <v>0</v>
      </c>
      <c r="FC369">
        <v>0</v>
      </c>
      <c r="FD369">
        <v>0</v>
      </c>
      <c r="FE369">
        <v>0</v>
      </c>
      <c r="FF369">
        <v>0</v>
      </c>
      <c r="FG369">
        <v>0</v>
      </c>
      <c r="FH369">
        <v>0</v>
      </c>
      <c r="FI369">
        <v>0</v>
      </c>
      <c r="FJ369">
        <v>0</v>
      </c>
      <c r="FK369">
        <v>0</v>
      </c>
      <c r="FL369">
        <v>0</v>
      </c>
      <c r="FM369">
        <v>0</v>
      </c>
      <c r="FN369">
        <v>0</v>
      </c>
      <c r="FO369">
        <v>0</v>
      </c>
      <c r="FP369">
        <v>0</v>
      </c>
      <c r="FQ369">
        <v>0</v>
      </c>
      <c r="FR369">
        <v>0</v>
      </c>
      <c r="FS369">
        <v>0</v>
      </c>
      <c r="FT369">
        <v>0</v>
      </c>
      <c r="FU369">
        <v>0</v>
      </c>
      <c r="FV369">
        <v>0</v>
      </c>
      <c r="FW369">
        <v>0</v>
      </c>
      <c r="FX369">
        <v>0</v>
      </c>
      <c r="FY369">
        <v>0</v>
      </c>
      <c r="FZ369">
        <v>0</v>
      </c>
      <c r="GA369">
        <v>0</v>
      </c>
      <c r="GB369">
        <v>0</v>
      </c>
      <c r="GC369">
        <v>0</v>
      </c>
      <c r="GD369">
        <v>0</v>
      </c>
      <c r="GE369">
        <v>0</v>
      </c>
      <c r="GF369">
        <v>0</v>
      </c>
      <c r="GG369">
        <v>0</v>
      </c>
      <c r="GH369">
        <v>0</v>
      </c>
      <c r="GI369">
        <v>0</v>
      </c>
      <c r="GJ369">
        <v>0</v>
      </c>
      <c r="GK369">
        <v>0</v>
      </c>
      <c r="GL369">
        <v>0</v>
      </c>
      <c r="GM369">
        <v>0</v>
      </c>
      <c r="GN369">
        <v>0</v>
      </c>
      <c r="GO369">
        <v>0</v>
      </c>
      <c r="GP369">
        <v>0</v>
      </c>
      <c r="GQ369">
        <v>0</v>
      </c>
      <c r="GR369">
        <v>0</v>
      </c>
      <c r="GS369">
        <v>0</v>
      </c>
      <c r="GT369">
        <v>0</v>
      </c>
      <c r="GU369">
        <v>0</v>
      </c>
      <c r="GV369">
        <v>0</v>
      </c>
      <c r="GW369">
        <v>0</v>
      </c>
      <c r="GX369">
        <v>0</v>
      </c>
      <c r="GY369">
        <v>0</v>
      </c>
      <c r="GZ369">
        <v>0</v>
      </c>
      <c r="HA369">
        <v>0</v>
      </c>
      <c r="HB369">
        <v>0</v>
      </c>
      <c r="HC369">
        <v>0</v>
      </c>
      <c r="HD369">
        <v>0</v>
      </c>
      <c r="HE369">
        <v>0</v>
      </c>
      <c r="HF369">
        <v>0</v>
      </c>
      <c r="HG369">
        <v>0</v>
      </c>
      <c r="HH369">
        <v>0</v>
      </c>
      <c r="HI369">
        <v>0</v>
      </c>
      <c r="HJ369">
        <v>0</v>
      </c>
      <c r="HK369">
        <v>0</v>
      </c>
      <c r="HL369">
        <v>0</v>
      </c>
      <c r="HM369">
        <v>0</v>
      </c>
      <c r="HN369">
        <v>0</v>
      </c>
      <c r="HO369">
        <v>0</v>
      </c>
      <c r="HP369">
        <v>0</v>
      </c>
      <c r="HQ369">
        <v>0</v>
      </c>
      <c r="HR369">
        <v>0</v>
      </c>
      <c r="HS369">
        <v>0</v>
      </c>
      <c r="HT369">
        <v>0</v>
      </c>
      <c r="HU369">
        <v>0</v>
      </c>
      <c r="HV369">
        <v>0</v>
      </c>
      <c r="HW369">
        <v>0</v>
      </c>
      <c r="HX369">
        <v>0</v>
      </c>
      <c r="HY369">
        <v>0</v>
      </c>
      <c r="HZ369">
        <v>0</v>
      </c>
      <c r="IA369">
        <v>0</v>
      </c>
      <c r="IB369">
        <v>0</v>
      </c>
      <c r="IC369">
        <v>0</v>
      </c>
      <c r="ID369">
        <v>0</v>
      </c>
      <c r="IE369">
        <v>0</v>
      </c>
      <c r="IF369">
        <v>0</v>
      </c>
      <c r="IG369">
        <v>0</v>
      </c>
      <c r="IH369">
        <v>0</v>
      </c>
      <c r="II369">
        <v>0</v>
      </c>
      <c r="IJ369">
        <v>0</v>
      </c>
      <c r="IK369">
        <v>0</v>
      </c>
      <c r="IL369">
        <v>0</v>
      </c>
      <c r="IM369">
        <v>0</v>
      </c>
      <c r="IN369">
        <v>0</v>
      </c>
      <c r="IO369">
        <v>0</v>
      </c>
      <c r="IP369">
        <v>0</v>
      </c>
      <c r="IQ369">
        <v>0</v>
      </c>
      <c r="IR369">
        <v>0</v>
      </c>
      <c r="IS369">
        <v>0</v>
      </c>
      <c r="IT369">
        <v>0</v>
      </c>
      <c r="IU369">
        <v>0</v>
      </c>
      <c r="IV369">
        <v>0</v>
      </c>
      <c r="IW369">
        <v>0</v>
      </c>
      <c r="IX369">
        <v>0</v>
      </c>
      <c r="IY369">
        <v>0</v>
      </c>
      <c r="IZ369">
        <v>0</v>
      </c>
      <c r="JA369">
        <v>0</v>
      </c>
      <c r="JB369">
        <v>0</v>
      </c>
      <c r="JC369">
        <v>0</v>
      </c>
      <c r="JD369">
        <v>0</v>
      </c>
      <c r="JE369">
        <v>0</v>
      </c>
      <c r="JF369">
        <v>0</v>
      </c>
      <c r="JG369">
        <v>0</v>
      </c>
      <c r="JH369">
        <v>0</v>
      </c>
      <c r="JI369">
        <v>0</v>
      </c>
      <c r="JJ369">
        <v>0</v>
      </c>
      <c r="JK369">
        <v>0</v>
      </c>
      <c r="JL369">
        <v>0</v>
      </c>
      <c r="JM369">
        <v>0</v>
      </c>
      <c r="JN369">
        <v>0</v>
      </c>
      <c r="JO369">
        <v>0</v>
      </c>
      <c r="JP369">
        <v>0</v>
      </c>
      <c r="JQ369">
        <v>0</v>
      </c>
      <c r="JR369">
        <v>0</v>
      </c>
      <c r="JS369">
        <v>0</v>
      </c>
      <c r="JT369">
        <v>0</v>
      </c>
      <c r="JU369">
        <v>0</v>
      </c>
      <c r="JV369">
        <v>0</v>
      </c>
      <c r="JW369">
        <v>0</v>
      </c>
      <c r="JX369">
        <v>0</v>
      </c>
      <c r="JY369">
        <v>0</v>
      </c>
      <c r="JZ369">
        <v>0</v>
      </c>
      <c r="KA369">
        <v>0</v>
      </c>
      <c r="KB369">
        <v>0</v>
      </c>
      <c r="KC369">
        <v>0</v>
      </c>
      <c r="KD369">
        <v>0</v>
      </c>
      <c r="KE369">
        <v>0</v>
      </c>
      <c r="KF369">
        <v>0</v>
      </c>
      <c r="KG369">
        <v>0</v>
      </c>
      <c r="KH369">
        <v>0</v>
      </c>
      <c r="KI369">
        <v>0</v>
      </c>
      <c r="KJ369">
        <v>0</v>
      </c>
      <c r="KK369">
        <v>0</v>
      </c>
      <c r="KL369">
        <v>0</v>
      </c>
      <c r="KM369">
        <v>0</v>
      </c>
      <c r="KN369">
        <v>0</v>
      </c>
      <c r="KO369">
        <v>0</v>
      </c>
      <c r="KP369">
        <v>0</v>
      </c>
      <c r="KQ369">
        <v>0</v>
      </c>
      <c r="KR369">
        <v>0</v>
      </c>
      <c r="KS369">
        <v>0</v>
      </c>
      <c r="KT369">
        <v>0</v>
      </c>
      <c r="KU369">
        <v>0</v>
      </c>
      <c r="KV369">
        <v>0</v>
      </c>
      <c r="KW369">
        <v>0</v>
      </c>
      <c r="KX369">
        <v>0</v>
      </c>
      <c r="KY369">
        <v>0</v>
      </c>
      <c r="KZ369">
        <v>0</v>
      </c>
      <c r="LA369">
        <v>0</v>
      </c>
      <c r="LB369">
        <v>0</v>
      </c>
      <c r="LC369">
        <v>0</v>
      </c>
      <c r="LD369">
        <v>0</v>
      </c>
      <c r="LE369">
        <v>0</v>
      </c>
      <c r="LF369">
        <v>0</v>
      </c>
      <c r="LG369">
        <v>0</v>
      </c>
      <c r="LH369">
        <v>0</v>
      </c>
      <c r="LI369">
        <v>0</v>
      </c>
      <c r="LJ369">
        <v>0</v>
      </c>
      <c r="LK369">
        <v>0</v>
      </c>
      <c r="LL369">
        <v>0</v>
      </c>
      <c r="LM369">
        <v>0</v>
      </c>
      <c r="LN369">
        <v>0</v>
      </c>
      <c r="LO369">
        <v>0</v>
      </c>
      <c r="LP369">
        <v>0</v>
      </c>
      <c r="LQ369">
        <v>0</v>
      </c>
      <c r="LR369">
        <v>0</v>
      </c>
      <c r="LS369">
        <v>0</v>
      </c>
      <c r="LT369">
        <v>0</v>
      </c>
      <c r="LU369">
        <v>0</v>
      </c>
      <c r="LV369">
        <v>0</v>
      </c>
      <c r="LW369">
        <v>0</v>
      </c>
      <c r="LX369">
        <v>0</v>
      </c>
      <c r="LY369">
        <v>0</v>
      </c>
      <c r="LZ369">
        <v>0</v>
      </c>
      <c r="MA369">
        <v>0</v>
      </c>
      <c r="MB369">
        <v>0</v>
      </c>
      <c r="MC369">
        <v>0</v>
      </c>
      <c r="MD369">
        <v>0</v>
      </c>
      <c r="ME369">
        <v>0</v>
      </c>
      <c r="MF369">
        <v>0</v>
      </c>
      <c r="MG369">
        <v>0</v>
      </c>
      <c r="MH369">
        <v>0</v>
      </c>
      <c r="MI369">
        <v>0</v>
      </c>
      <c r="MJ369">
        <v>0</v>
      </c>
      <c r="MK369">
        <v>0</v>
      </c>
      <c r="ML369">
        <v>0</v>
      </c>
      <c r="MM369">
        <v>0</v>
      </c>
      <c r="MN369">
        <v>0</v>
      </c>
      <c r="MO369">
        <v>0</v>
      </c>
      <c r="MP369">
        <v>0</v>
      </c>
      <c r="MQ369">
        <v>0</v>
      </c>
      <c r="MR369">
        <v>0</v>
      </c>
      <c r="MS369">
        <v>0</v>
      </c>
      <c r="MT369">
        <v>0</v>
      </c>
      <c r="MU369">
        <v>0</v>
      </c>
      <c r="MV369">
        <v>0</v>
      </c>
      <c r="MW369">
        <v>0</v>
      </c>
      <c r="MX369">
        <v>0</v>
      </c>
      <c r="MY369">
        <v>0</v>
      </c>
      <c r="MZ369">
        <v>0</v>
      </c>
      <c r="NA369">
        <v>0</v>
      </c>
      <c r="NB369">
        <v>0</v>
      </c>
      <c r="NC369">
        <v>0</v>
      </c>
      <c r="ND369">
        <v>0</v>
      </c>
      <c r="NE369">
        <v>0</v>
      </c>
    </row>
    <row r="370" spans="41:369" x14ac:dyDescent="0.45">
      <c r="AO370">
        <v>0</v>
      </c>
      <c r="AP370">
        <v>0</v>
      </c>
      <c r="AQ370">
        <v>0</v>
      </c>
      <c r="AR370">
        <v>0</v>
      </c>
      <c r="AS370">
        <v>0</v>
      </c>
      <c r="AT370">
        <v>0</v>
      </c>
      <c r="AU370">
        <v>0</v>
      </c>
      <c r="AV370">
        <v>0</v>
      </c>
      <c r="AW370" t="str">
        <v/>
      </c>
      <c r="AX370">
        <v>255</v>
      </c>
      <c r="AY370" s="5" t="str">
        <v/>
      </c>
      <c r="AZ370">
        <v>0</v>
      </c>
      <c r="BA370">
        <v>0</v>
      </c>
      <c r="BB370">
        <v>0</v>
      </c>
      <c r="BC370">
        <v>0</v>
      </c>
      <c r="BD370">
        <v>0</v>
      </c>
      <c r="BE370">
        <v>0</v>
      </c>
      <c r="BF370">
        <v>0</v>
      </c>
      <c r="BG370">
        <v>0</v>
      </c>
      <c r="BH370">
        <v>0</v>
      </c>
      <c r="BI370" t="str">
        <v/>
      </c>
      <c r="BK370">
        <v>364</v>
      </c>
      <c r="BL370">
        <v>0</v>
      </c>
      <c r="BM370">
        <v>0</v>
      </c>
      <c r="BN370">
        <v>0</v>
      </c>
      <c r="BO370">
        <v>0</v>
      </c>
      <c r="BP370">
        <v>0</v>
      </c>
      <c r="BQ370">
        <v>0</v>
      </c>
      <c r="BR370">
        <v>0</v>
      </c>
      <c r="BS370">
        <v>0</v>
      </c>
      <c r="BT370">
        <v>0</v>
      </c>
      <c r="BU370">
        <v>0</v>
      </c>
      <c r="BV370">
        <v>0</v>
      </c>
      <c r="BW370">
        <v>0</v>
      </c>
      <c r="BX370">
        <v>0</v>
      </c>
      <c r="BY370">
        <v>0</v>
      </c>
      <c r="BZ370">
        <v>0</v>
      </c>
      <c r="CA370">
        <v>0</v>
      </c>
      <c r="CB370">
        <v>0</v>
      </c>
      <c r="CC370">
        <v>0</v>
      </c>
      <c r="CD370">
        <v>0</v>
      </c>
      <c r="CE370">
        <v>0</v>
      </c>
      <c r="CF370">
        <v>0</v>
      </c>
      <c r="CG370">
        <v>0</v>
      </c>
      <c r="CH370">
        <v>0</v>
      </c>
      <c r="CI370">
        <v>0</v>
      </c>
      <c r="CJ370">
        <v>0</v>
      </c>
      <c r="CK370">
        <v>0</v>
      </c>
      <c r="CL370">
        <v>0</v>
      </c>
      <c r="CM370">
        <v>0</v>
      </c>
      <c r="CN370">
        <v>0</v>
      </c>
      <c r="CO370">
        <v>0</v>
      </c>
      <c r="CP370">
        <v>0</v>
      </c>
      <c r="CQ370">
        <v>0</v>
      </c>
      <c r="CR370">
        <v>0</v>
      </c>
      <c r="CS370">
        <v>0</v>
      </c>
      <c r="CT370">
        <v>0</v>
      </c>
      <c r="CU370">
        <v>0</v>
      </c>
      <c r="CV370">
        <v>0</v>
      </c>
      <c r="CW370">
        <v>0</v>
      </c>
      <c r="CX370">
        <v>0</v>
      </c>
      <c r="CY370">
        <v>0</v>
      </c>
      <c r="CZ370">
        <v>0</v>
      </c>
      <c r="DA370">
        <v>0</v>
      </c>
      <c r="DB370">
        <v>0</v>
      </c>
      <c r="DC370">
        <v>0</v>
      </c>
      <c r="DD370">
        <v>0</v>
      </c>
      <c r="DE370">
        <v>0</v>
      </c>
      <c r="DF370">
        <v>0</v>
      </c>
      <c r="DG370">
        <v>0</v>
      </c>
      <c r="DH370">
        <v>0</v>
      </c>
      <c r="DI370">
        <v>0</v>
      </c>
      <c r="DJ370">
        <v>0</v>
      </c>
      <c r="DK370">
        <v>0</v>
      </c>
      <c r="DL370">
        <v>0</v>
      </c>
      <c r="DM370">
        <v>0</v>
      </c>
      <c r="DN370">
        <v>0</v>
      </c>
      <c r="DO370">
        <v>0</v>
      </c>
      <c r="DP370">
        <v>0</v>
      </c>
      <c r="DQ370">
        <v>0</v>
      </c>
      <c r="DR370">
        <v>0</v>
      </c>
      <c r="DS370">
        <v>0</v>
      </c>
      <c r="DT370">
        <v>0</v>
      </c>
      <c r="DU370">
        <v>0</v>
      </c>
      <c r="DV370">
        <v>0</v>
      </c>
      <c r="DW370">
        <v>0</v>
      </c>
      <c r="DX370">
        <v>0</v>
      </c>
      <c r="DY370">
        <v>0</v>
      </c>
      <c r="DZ370">
        <v>0</v>
      </c>
      <c r="EA370">
        <v>0</v>
      </c>
      <c r="EB370">
        <v>0</v>
      </c>
      <c r="EC370">
        <v>0</v>
      </c>
      <c r="ED370">
        <v>0</v>
      </c>
      <c r="EE370">
        <v>0</v>
      </c>
      <c r="EF370">
        <v>0</v>
      </c>
      <c r="EG370">
        <v>0</v>
      </c>
      <c r="EH370">
        <v>0</v>
      </c>
      <c r="EI370">
        <v>0</v>
      </c>
      <c r="EJ370">
        <v>0</v>
      </c>
      <c r="EK370">
        <v>0</v>
      </c>
      <c r="EL370">
        <v>0</v>
      </c>
      <c r="EM370">
        <v>0</v>
      </c>
      <c r="EN370">
        <v>0</v>
      </c>
      <c r="EO370">
        <v>0</v>
      </c>
      <c r="EP370">
        <v>0</v>
      </c>
      <c r="EQ370">
        <v>0</v>
      </c>
      <c r="ER370">
        <v>0</v>
      </c>
      <c r="ES370">
        <v>0</v>
      </c>
      <c r="ET370">
        <v>0</v>
      </c>
      <c r="EU370">
        <v>0</v>
      </c>
      <c r="EV370">
        <v>0</v>
      </c>
      <c r="EW370">
        <v>0</v>
      </c>
      <c r="EX370">
        <v>0</v>
      </c>
      <c r="EY370">
        <v>0</v>
      </c>
      <c r="EZ370">
        <v>0</v>
      </c>
      <c r="FA370">
        <v>0</v>
      </c>
      <c r="FB370">
        <v>0</v>
      </c>
      <c r="FC370">
        <v>0</v>
      </c>
      <c r="FD370">
        <v>0</v>
      </c>
      <c r="FE370">
        <v>0</v>
      </c>
      <c r="FF370">
        <v>0</v>
      </c>
      <c r="FG370">
        <v>0</v>
      </c>
      <c r="FH370">
        <v>0</v>
      </c>
      <c r="FI370">
        <v>0</v>
      </c>
      <c r="FJ370">
        <v>0</v>
      </c>
      <c r="FK370">
        <v>0</v>
      </c>
      <c r="FL370">
        <v>0</v>
      </c>
      <c r="FM370">
        <v>0</v>
      </c>
      <c r="FN370">
        <v>0</v>
      </c>
      <c r="FO370">
        <v>0</v>
      </c>
      <c r="FP370">
        <v>0</v>
      </c>
      <c r="FQ370">
        <v>0</v>
      </c>
      <c r="FR370">
        <v>0</v>
      </c>
      <c r="FS370">
        <v>0</v>
      </c>
      <c r="FT370">
        <v>0</v>
      </c>
      <c r="FU370">
        <v>0</v>
      </c>
      <c r="FV370">
        <v>0</v>
      </c>
      <c r="FW370">
        <v>0</v>
      </c>
      <c r="FX370">
        <v>0</v>
      </c>
      <c r="FY370">
        <v>0</v>
      </c>
      <c r="FZ370">
        <v>0</v>
      </c>
      <c r="GA370">
        <v>0</v>
      </c>
      <c r="GB370">
        <v>0</v>
      </c>
      <c r="GC370">
        <v>0</v>
      </c>
      <c r="GD370">
        <v>0</v>
      </c>
      <c r="GE370">
        <v>0</v>
      </c>
      <c r="GF370">
        <v>0</v>
      </c>
      <c r="GG370">
        <v>0</v>
      </c>
      <c r="GH370">
        <v>0</v>
      </c>
      <c r="GI370">
        <v>0</v>
      </c>
      <c r="GJ370">
        <v>0</v>
      </c>
      <c r="GK370">
        <v>0</v>
      </c>
      <c r="GL370">
        <v>0</v>
      </c>
      <c r="GM370">
        <v>0</v>
      </c>
      <c r="GN370">
        <v>0</v>
      </c>
      <c r="GO370">
        <v>0</v>
      </c>
      <c r="GP370">
        <v>0</v>
      </c>
      <c r="GQ370">
        <v>0</v>
      </c>
      <c r="GR370">
        <v>0</v>
      </c>
      <c r="GS370">
        <v>0</v>
      </c>
      <c r="GT370">
        <v>0</v>
      </c>
      <c r="GU370">
        <v>0</v>
      </c>
      <c r="GV370">
        <v>0</v>
      </c>
      <c r="GW370">
        <v>0</v>
      </c>
      <c r="GX370">
        <v>0</v>
      </c>
      <c r="GY370">
        <v>0</v>
      </c>
      <c r="GZ370">
        <v>0</v>
      </c>
      <c r="HA370">
        <v>0</v>
      </c>
      <c r="HB370">
        <v>0</v>
      </c>
      <c r="HC370">
        <v>0</v>
      </c>
      <c r="HD370">
        <v>0</v>
      </c>
      <c r="HE370">
        <v>0</v>
      </c>
      <c r="HF370">
        <v>0</v>
      </c>
      <c r="HG370">
        <v>0</v>
      </c>
      <c r="HH370">
        <v>0</v>
      </c>
      <c r="HI370">
        <v>0</v>
      </c>
      <c r="HJ370">
        <v>0</v>
      </c>
      <c r="HK370">
        <v>0</v>
      </c>
      <c r="HL370">
        <v>0</v>
      </c>
      <c r="HM370">
        <v>0</v>
      </c>
      <c r="HN370">
        <v>0</v>
      </c>
      <c r="HO370">
        <v>0</v>
      </c>
      <c r="HP370">
        <v>0</v>
      </c>
      <c r="HQ370">
        <v>0</v>
      </c>
      <c r="HR370">
        <v>0</v>
      </c>
      <c r="HS370">
        <v>0</v>
      </c>
      <c r="HT370">
        <v>0</v>
      </c>
      <c r="HU370">
        <v>0</v>
      </c>
      <c r="HV370">
        <v>0</v>
      </c>
      <c r="HW370">
        <v>0</v>
      </c>
      <c r="HX370">
        <v>0</v>
      </c>
      <c r="HY370">
        <v>0</v>
      </c>
      <c r="HZ370">
        <v>0</v>
      </c>
      <c r="IA370">
        <v>0</v>
      </c>
      <c r="IB370">
        <v>0</v>
      </c>
      <c r="IC370">
        <v>0</v>
      </c>
      <c r="ID370">
        <v>0</v>
      </c>
      <c r="IE370">
        <v>0</v>
      </c>
      <c r="IF370">
        <v>0</v>
      </c>
      <c r="IG370">
        <v>0</v>
      </c>
      <c r="IH370">
        <v>0</v>
      </c>
      <c r="II370">
        <v>0</v>
      </c>
      <c r="IJ370">
        <v>0</v>
      </c>
      <c r="IK370">
        <v>0</v>
      </c>
      <c r="IL370">
        <v>0</v>
      </c>
      <c r="IM370">
        <v>0</v>
      </c>
      <c r="IN370">
        <v>0</v>
      </c>
      <c r="IO370">
        <v>0</v>
      </c>
      <c r="IP370">
        <v>0</v>
      </c>
      <c r="IQ370">
        <v>0</v>
      </c>
      <c r="IR370">
        <v>0</v>
      </c>
      <c r="IS370">
        <v>0</v>
      </c>
      <c r="IT370">
        <v>0</v>
      </c>
      <c r="IU370">
        <v>0</v>
      </c>
      <c r="IV370">
        <v>0</v>
      </c>
      <c r="IW370">
        <v>0</v>
      </c>
      <c r="IX370">
        <v>0</v>
      </c>
      <c r="IY370">
        <v>0</v>
      </c>
      <c r="IZ370">
        <v>0</v>
      </c>
      <c r="JA370">
        <v>0</v>
      </c>
      <c r="JB370">
        <v>0</v>
      </c>
      <c r="JC370">
        <v>0</v>
      </c>
      <c r="JD370">
        <v>0</v>
      </c>
      <c r="JE370">
        <v>0</v>
      </c>
      <c r="JF370">
        <v>0</v>
      </c>
      <c r="JG370">
        <v>0</v>
      </c>
      <c r="JH370">
        <v>0</v>
      </c>
      <c r="JI370">
        <v>0</v>
      </c>
      <c r="JJ370">
        <v>0</v>
      </c>
      <c r="JK370">
        <v>0</v>
      </c>
      <c r="JL370">
        <v>0</v>
      </c>
      <c r="JM370">
        <v>0</v>
      </c>
      <c r="JN370">
        <v>0</v>
      </c>
      <c r="JO370">
        <v>0</v>
      </c>
      <c r="JP370">
        <v>0</v>
      </c>
      <c r="JQ370">
        <v>0</v>
      </c>
      <c r="JR370">
        <v>0</v>
      </c>
      <c r="JS370">
        <v>0</v>
      </c>
      <c r="JT370">
        <v>0</v>
      </c>
      <c r="JU370">
        <v>0</v>
      </c>
      <c r="JV370">
        <v>0</v>
      </c>
      <c r="JW370">
        <v>0</v>
      </c>
      <c r="JX370">
        <v>0</v>
      </c>
      <c r="JY370">
        <v>0</v>
      </c>
      <c r="JZ370">
        <v>0</v>
      </c>
      <c r="KA370">
        <v>0</v>
      </c>
      <c r="KB370">
        <v>0</v>
      </c>
      <c r="KC370">
        <v>0</v>
      </c>
      <c r="KD370">
        <v>0</v>
      </c>
      <c r="KE370">
        <v>0</v>
      </c>
      <c r="KF370">
        <v>0</v>
      </c>
      <c r="KG370">
        <v>0</v>
      </c>
      <c r="KH370">
        <v>0</v>
      </c>
      <c r="KI370">
        <v>0</v>
      </c>
      <c r="KJ370">
        <v>0</v>
      </c>
      <c r="KK370">
        <v>0</v>
      </c>
      <c r="KL370">
        <v>0</v>
      </c>
      <c r="KM370">
        <v>0</v>
      </c>
      <c r="KN370">
        <v>0</v>
      </c>
      <c r="KO370">
        <v>0</v>
      </c>
      <c r="KP370">
        <v>0</v>
      </c>
      <c r="KQ370">
        <v>0</v>
      </c>
      <c r="KR370">
        <v>0</v>
      </c>
      <c r="KS370">
        <v>0</v>
      </c>
      <c r="KT370">
        <v>0</v>
      </c>
      <c r="KU370">
        <v>0</v>
      </c>
      <c r="KV370">
        <v>0</v>
      </c>
      <c r="KW370">
        <v>0</v>
      </c>
      <c r="KX370">
        <v>0</v>
      </c>
      <c r="KY370">
        <v>0</v>
      </c>
      <c r="KZ370">
        <v>0</v>
      </c>
      <c r="LA370">
        <v>0</v>
      </c>
      <c r="LB370">
        <v>0</v>
      </c>
      <c r="LC370">
        <v>0</v>
      </c>
      <c r="LD370">
        <v>0</v>
      </c>
      <c r="LE370">
        <v>0</v>
      </c>
      <c r="LF370">
        <v>0</v>
      </c>
      <c r="LG370">
        <v>0</v>
      </c>
      <c r="LH370">
        <v>0</v>
      </c>
      <c r="LI370">
        <v>0</v>
      </c>
      <c r="LJ370">
        <v>0</v>
      </c>
      <c r="LK370">
        <v>0</v>
      </c>
      <c r="LL370">
        <v>0</v>
      </c>
      <c r="LM370">
        <v>0</v>
      </c>
      <c r="LN370">
        <v>0</v>
      </c>
      <c r="LO370">
        <v>0</v>
      </c>
      <c r="LP370">
        <v>0</v>
      </c>
      <c r="LQ370">
        <v>0</v>
      </c>
      <c r="LR370">
        <v>0</v>
      </c>
      <c r="LS370">
        <v>0</v>
      </c>
      <c r="LT370">
        <v>0</v>
      </c>
      <c r="LU370">
        <v>0</v>
      </c>
      <c r="LV370">
        <v>0</v>
      </c>
      <c r="LW370">
        <v>0</v>
      </c>
      <c r="LX370">
        <v>0</v>
      </c>
      <c r="LY370">
        <v>0</v>
      </c>
      <c r="LZ370">
        <v>0</v>
      </c>
      <c r="MA370">
        <v>0</v>
      </c>
      <c r="MB370">
        <v>0</v>
      </c>
      <c r="MC370">
        <v>0</v>
      </c>
      <c r="MD370">
        <v>0</v>
      </c>
      <c r="ME370">
        <v>0</v>
      </c>
      <c r="MF370">
        <v>0</v>
      </c>
      <c r="MG370">
        <v>0</v>
      </c>
      <c r="MH370">
        <v>0</v>
      </c>
      <c r="MI370">
        <v>0</v>
      </c>
      <c r="MJ370">
        <v>0</v>
      </c>
      <c r="MK370">
        <v>0</v>
      </c>
      <c r="ML370">
        <v>0</v>
      </c>
      <c r="MM370">
        <v>0</v>
      </c>
      <c r="MN370">
        <v>0</v>
      </c>
      <c r="MO370">
        <v>0</v>
      </c>
      <c r="MP370">
        <v>0</v>
      </c>
      <c r="MQ370">
        <v>0</v>
      </c>
      <c r="MR370">
        <v>0</v>
      </c>
      <c r="MS370">
        <v>0</v>
      </c>
      <c r="MT370">
        <v>0</v>
      </c>
      <c r="MU370">
        <v>0</v>
      </c>
      <c r="MV370">
        <v>0</v>
      </c>
      <c r="MW370">
        <v>0</v>
      </c>
      <c r="MX370">
        <v>0</v>
      </c>
      <c r="MY370">
        <v>0</v>
      </c>
      <c r="MZ370">
        <v>0</v>
      </c>
      <c r="NA370">
        <v>0</v>
      </c>
      <c r="NB370">
        <v>0</v>
      </c>
      <c r="NC370">
        <v>0</v>
      </c>
      <c r="ND370">
        <v>0</v>
      </c>
      <c r="NE370">
        <v>0</v>
      </c>
    </row>
    <row r="371" spans="41:369" x14ac:dyDescent="0.45">
      <c r="AO371">
        <v>0</v>
      </c>
      <c r="AP371">
        <v>0</v>
      </c>
      <c r="AQ371">
        <v>0</v>
      </c>
      <c r="AR371">
        <v>0</v>
      </c>
      <c r="AS371">
        <v>0</v>
      </c>
      <c r="AT371">
        <v>0</v>
      </c>
      <c r="AU371">
        <v>0</v>
      </c>
      <c r="AV371">
        <v>0</v>
      </c>
      <c r="AW371" t="str">
        <v/>
      </c>
      <c r="AX371">
        <v>255</v>
      </c>
      <c r="AY371" s="5" t="str">
        <v/>
      </c>
      <c r="AZ371">
        <v>0</v>
      </c>
      <c r="BA371">
        <v>0</v>
      </c>
      <c r="BB371">
        <v>0</v>
      </c>
      <c r="BC371">
        <v>0</v>
      </c>
      <c r="BD371">
        <v>0</v>
      </c>
      <c r="BE371">
        <v>0</v>
      </c>
      <c r="BF371">
        <v>0</v>
      </c>
      <c r="BG371">
        <v>0</v>
      </c>
      <c r="BH371">
        <v>0</v>
      </c>
      <c r="BI371" t="str">
        <v/>
      </c>
      <c r="BK371">
        <v>365</v>
      </c>
      <c r="BL371">
        <v>0</v>
      </c>
      <c r="BM371">
        <v>0</v>
      </c>
      <c r="BN371">
        <v>0</v>
      </c>
      <c r="BO371">
        <v>0</v>
      </c>
      <c r="BP371">
        <v>0</v>
      </c>
      <c r="BQ371">
        <v>0</v>
      </c>
      <c r="BR371">
        <v>0</v>
      </c>
      <c r="BS371">
        <v>0</v>
      </c>
      <c r="BT371">
        <v>0</v>
      </c>
      <c r="BU371">
        <v>0</v>
      </c>
      <c r="BV371">
        <v>0</v>
      </c>
      <c r="BW371">
        <v>0</v>
      </c>
      <c r="BX371">
        <v>0</v>
      </c>
      <c r="BY371">
        <v>0</v>
      </c>
      <c r="BZ371">
        <v>0</v>
      </c>
      <c r="CA371">
        <v>0</v>
      </c>
      <c r="CB371">
        <v>0</v>
      </c>
      <c r="CC371">
        <v>0</v>
      </c>
      <c r="CD371">
        <v>0</v>
      </c>
      <c r="CE371">
        <v>0</v>
      </c>
      <c r="CF371">
        <v>0</v>
      </c>
      <c r="CG371">
        <v>0</v>
      </c>
      <c r="CH371">
        <v>0</v>
      </c>
      <c r="CI371">
        <v>0</v>
      </c>
      <c r="CJ371">
        <v>0</v>
      </c>
      <c r="CK371">
        <v>0</v>
      </c>
      <c r="CL371">
        <v>0</v>
      </c>
      <c r="CM371">
        <v>0</v>
      </c>
      <c r="CN371">
        <v>0</v>
      </c>
      <c r="CO371">
        <v>0</v>
      </c>
      <c r="CP371">
        <v>0</v>
      </c>
      <c r="CQ371">
        <v>0</v>
      </c>
      <c r="CR371">
        <v>0</v>
      </c>
      <c r="CS371">
        <v>0</v>
      </c>
      <c r="CT371">
        <v>0</v>
      </c>
      <c r="CU371">
        <v>0</v>
      </c>
      <c r="CV371">
        <v>0</v>
      </c>
      <c r="CW371">
        <v>0</v>
      </c>
      <c r="CX371">
        <v>0</v>
      </c>
      <c r="CY371">
        <v>0</v>
      </c>
      <c r="CZ371">
        <v>0</v>
      </c>
      <c r="DA371">
        <v>0</v>
      </c>
      <c r="DB371">
        <v>0</v>
      </c>
      <c r="DC371">
        <v>0</v>
      </c>
      <c r="DD371">
        <v>0</v>
      </c>
      <c r="DE371">
        <v>0</v>
      </c>
      <c r="DF371">
        <v>0</v>
      </c>
      <c r="DG371">
        <v>0</v>
      </c>
      <c r="DH371">
        <v>0</v>
      </c>
      <c r="DI371">
        <v>0</v>
      </c>
      <c r="DJ371">
        <v>0</v>
      </c>
      <c r="DK371">
        <v>0</v>
      </c>
      <c r="DL371">
        <v>0</v>
      </c>
      <c r="DM371">
        <v>0</v>
      </c>
      <c r="DN371">
        <v>0</v>
      </c>
      <c r="DO371">
        <v>0</v>
      </c>
      <c r="DP371">
        <v>0</v>
      </c>
      <c r="DQ371">
        <v>0</v>
      </c>
      <c r="DR371">
        <v>0</v>
      </c>
      <c r="DS371">
        <v>0</v>
      </c>
      <c r="DT371">
        <v>0</v>
      </c>
      <c r="DU371">
        <v>0</v>
      </c>
      <c r="DV371">
        <v>0</v>
      </c>
      <c r="DW371">
        <v>0</v>
      </c>
      <c r="DX371">
        <v>0</v>
      </c>
      <c r="DY371">
        <v>0</v>
      </c>
      <c r="DZ371">
        <v>0</v>
      </c>
      <c r="EA371">
        <v>0</v>
      </c>
      <c r="EB371">
        <v>0</v>
      </c>
      <c r="EC371">
        <v>0</v>
      </c>
      <c r="ED371">
        <v>0</v>
      </c>
      <c r="EE371">
        <v>0</v>
      </c>
      <c r="EF371">
        <v>0</v>
      </c>
      <c r="EG371">
        <v>0</v>
      </c>
      <c r="EH371">
        <v>0</v>
      </c>
      <c r="EI371">
        <v>0</v>
      </c>
      <c r="EJ371">
        <v>0</v>
      </c>
      <c r="EK371">
        <v>0</v>
      </c>
      <c r="EL371">
        <v>0</v>
      </c>
      <c r="EM371">
        <v>0</v>
      </c>
      <c r="EN371">
        <v>0</v>
      </c>
      <c r="EO371">
        <v>0</v>
      </c>
      <c r="EP371">
        <v>0</v>
      </c>
      <c r="EQ371">
        <v>0</v>
      </c>
      <c r="ER371">
        <v>0</v>
      </c>
      <c r="ES371">
        <v>0</v>
      </c>
      <c r="ET371">
        <v>0</v>
      </c>
      <c r="EU371">
        <v>0</v>
      </c>
      <c r="EV371">
        <v>0</v>
      </c>
      <c r="EW371">
        <v>0</v>
      </c>
      <c r="EX371">
        <v>0</v>
      </c>
      <c r="EY371">
        <v>0</v>
      </c>
      <c r="EZ371">
        <v>0</v>
      </c>
      <c r="FA371">
        <v>0</v>
      </c>
      <c r="FB371">
        <v>0</v>
      </c>
      <c r="FC371">
        <v>0</v>
      </c>
      <c r="FD371">
        <v>0</v>
      </c>
      <c r="FE371">
        <v>0</v>
      </c>
      <c r="FF371">
        <v>0</v>
      </c>
      <c r="FG371">
        <v>0</v>
      </c>
      <c r="FH371">
        <v>0</v>
      </c>
      <c r="FI371">
        <v>0</v>
      </c>
      <c r="FJ371">
        <v>0</v>
      </c>
      <c r="FK371">
        <v>0</v>
      </c>
      <c r="FL371">
        <v>0</v>
      </c>
      <c r="FM371">
        <v>0</v>
      </c>
      <c r="FN371">
        <v>0</v>
      </c>
      <c r="FO371">
        <v>0</v>
      </c>
      <c r="FP371">
        <v>0</v>
      </c>
      <c r="FQ371">
        <v>0</v>
      </c>
      <c r="FR371">
        <v>0</v>
      </c>
      <c r="FS371">
        <v>0</v>
      </c>
      <c r="FT371">
        <v>0</v>
      </c>
      <c r="FU371">
        <v>0</v>
      </c>
      <c r="FV371">
        <v>0</v>
      </c>
      <c r="FW371">
        <v>0</v>
      </c>
      <c r="FX371">
        <v>0</v>
      </c>
      <c r="FY371">
        <v>0</v>
      </c>
      <c r="FZ371">
        <v>0</v>
      </c>
      <c r="GA371">
        <v>0</v>
      </c>
      <c r="GB371">
        <v>0</v>
      </c>
      <c r="GC371">
        <v>0</v>
      </c>
      <c r="GD371">
        <v>0</v>
      </c>
      <c r="GE371">
        <v>0</v>
      </c>
      <c r="GF371">
        <v>0</v>
      </c>
      <c r="GG371">
        <v>0</v>
      </c>
      <c r="GH371">
        <v>0</v>
      </c>
      <c r="GI371">
        <v>0</v>
      </c>
      <c r="GJ371">
        <v>0</v>
      </c>
      <c r="GK371">
        <v>0</v>
      </c>
      <c r="GL371">
        <v>0</v>
      </c>
      <c r="GM371">
        <v>0</v>
      </c>
      <c r="GN371">
        <v>0</v>
      </c>
      <c r="GO371">
        <v>0</v>
      </c>
      <c r="GP371">
        <v>0</v>
      </c>
      <c r="GQ371">
        <v>0</v>
      </c>
      <c r="GR371">
        <v>0</v>
      </c>
      <c r="GS371">
        <v>0</v>
      </c>
      <c r="GT371">
        <v>0</v>
      </c>
      <c r="GU371">
        <v>0</v>
      </c>
      <c r="GV371">
        <v>0</v>
      </c>
      <c r="GW371">
        <v>0</v>
      </c>
      <c r="GX371">
        <v>0</v>
      </c>
      <c r="GY371">
        <v>0</v>
      </c>
      <c r="GZ371">
        <v>0</v>
      </c>
      <c r="HA371">
        <v>0</v>
      </c>
      <c r="HB371">
        <v>0</v>
      </c>
      <c r="HC371">
        <v>0</v>
      </c>
      <c r="HD371">
        <v>0</v>
      </c>
      <c r="HE371">
        <v>0</v>
      </c>
      <c r="HF371">
        <v>0</v>
      </c>
      <c r="HG371">
        <v>0</v>
      </c>
      <c r="HH371">
        <v>0</v>
      </c>
      <c r="HI371">
        <v>0</v>
      </c>
      <c r="HJ371">
        <v>0</v>
      </c>
      <c r="HK371">
        <v>0</v>
      </c>
      <c r="HL371">
        <v>0</v>
      </c>
      <c r="HM371">
        <v>0</v>
      </c>
      <c r="HN371">
        <v>0</v>
      </c>
      <c r="HO371">
        <v>0</v>
      </c>
      <c r="HP371">
        <v>0</v>
      </c>
      <c r="HQ371">
        <v>0</v>
      </c>
      <c r="HR371">
        <v>0</v>
      </c>
      <c r="HS371">
        <v>0</v>
      </c>
      <c r="HT371">
        <v>0</v>
      </c>
      <c r="HU371">
        <v>0</v>
      </c>
      <c r="HV371">
        <v>0</v>
      </c>
      <c r="HW371">
        <v>0</v>
      </c>
      <c r="HX371">
        <v>0</v>
      </c>
      <c r="HY371">
        <v>0</v>
      </c>
      <c r="HZ371">
        <v>0</v>
      </c>
      <c r="IA371">
        <v>0</v>
      </c>
      <c r="IB371">
        <v>0</v>
      </c>
      <c r="IC371">
        <v>0</v>
      </c>
      <c r="ID371">
        <v>0</v>
      </c>
      <c r="IE371">
        <v>0</v>
      </c>
      <c r="IF371">
        <v>0</v>
      </c>
      <c r="IG371">
        <v>0</v>
      </c>
      <c r="IH371">
        <v>0</v>
      </c>
      <c r="II371">
        <v>0</v>
      </c>
      <c r="IJ371">
        <v>0</v>
      </c>
      <c r="IK371">
        <v>0</v>
      </c>
      <c r="IL371">
        <v>0</v>
      </c>
      <c r="IM371">
        <v>0</v>
      </c>
      <c r="IN371">
        <v>0</v>
      </c>
      <c r="IO371">
        <v>0</v>
      </c>
      <c r="IP371">
        <v>0</v>
      </c>
      <c r="IQ371">
        <v>0</v>
      </c>
      <c r="IR371">
        <v>0</v>
      </c>
      <c r="IS371">
        <v>0</v>
      </c>
      <c r="IT371">
        <v>0</v>
      </c>
      <c r="IU371">
        <v>0</v>
      </c>
      <c r="IV371">
        <v>0</v>
      </c>
      <c r="IW371">
        <v>0</v>
      </c>
      <c r="IX371">
        <v>0</v>
      </c>
      <c r="IY371">
        <v>0</v>
      </c>
      <c r="IZ371">
        <v>0</v>
      </c>
      <c r="JA371">
        <v>0</v>
      </c>
      <c r="JB371">
        <v>0</v>
      </c>
      <c r="JC371">
        <v>0</v>
      </c>
      <c r="JD371">
        <v>0</v>
      </c>
      <c r="JE371">
        <v>0</v>
      </c>
      <c r="JF371">
        <v>0</v>
      </c>
      <c r="JG371">
        <v>0</v>
      </c>
      <c r="JH371">
        <v>0</v>
      </c>
      <c r="JI371">
        <v>0</v>
      </c>
      <c r="JJ371">
        <v>0</v>
      </c>
      <c r="JK371">
        <v>0</v>
      </c>
      <c r="JL371">
        <v>0</v>
      </c>
      <c r="JM371">
        <v>0</v>
      </c>
      <c r="JN371">
        <v>0</v>
      </c>
      <c r="JO371">
        <v>0</v>
      </c>
      <c r="JP371">
        <v>0</v>
      </c>
      <c r="JQ371">
        <v>0</v>
      </c>
      <c r="JR371">
        <v>0</v>
      </c>
      <c r="JS371">
        <v>0</v>
      </c>
      <c r="JT371">
        <v>0</v>
      </c>
      <c r="JU371">
        <v>0</v>
      </c>
      <c r="JV371">
        <v>0</v>
      </c>
      <c r="JW371">
        <v>0</v>
      </c>
      <c r="JX371">
        <v>0</v>
      </c>
      <c r="JY371">
        <v>0</v>
      </c>
      <c r="JZ371">
        <v>0</v>
      </c>
      <c r="KA371">
        <v>0</v>
      </c>
      <c r="KB371">
        <v>0</v>
      </c>
      <c r="KC371">
        <v>0</v>
      </c>
      <c r="KD371">
        <v>0</v>
      </c>
      <c r="KE371">
        <v>0</v>
      </c>
      <c r="KF371">
        <v>0</v>
      </c>
      <c r="KG371">
        <v>0</v>
      </c>
      <c r="KH371">
        <v>0</v>
      </c>
      <c r="KI371">
        <v>0</v>
      </c>
      <c r="KJ371">
        <v>0</v>
      </c>
      <c r="KK371">
        <v>0</v>
      </c>
      <c r="KL371">
        <v>0</v>
      </c>
      <c r="KM371">
        <v>0</v>
      </c>
      <c r="KN371">
        <v>0</v>
      </c>
      <c r="KO371">
        <v>0</v>
      </c>
      <c r="KP371">
        <v>0</v>
      </c>
      <c r="KQ371">
        <v>0</v>
      </c>
      <c r="KR371">
        <v>0</v>
      </c>
      <c r="KS371">
        <v>0</v>
      </c>
      <c r="KT371">
        <v>0</v>
      </c>
      <c r="KU371">
        <v>0</v>
      </c>
      <c r="KV371">
        <v>0</v>
      </c>
      <c r="KW371">
        <v>0</v>
      </c>
      <c r="KX371">
        <v>0</v>
      </c>
      <c r="KY371">
        <v>0</v>
      </c>
      <c r="KZ371">
        <v>0</v>
      </c>
      <c r="LA371">
        <v>0</v>
      </c>
      <c r="LB371">
        <v>0</v>
      </c>
      <c r="LC371">
        <v>0</v>
      </c>
      <c r="LD371">
        <v>0</v>
      </c>
      <c r="LE371">
        <v>0</v>
      </c>
      <c r="LF371">
        <v>0</v>
      </c>
      <c r="LG371">
        <v>0</v>
      </c>
      <c r="LH371">
        <v>0</v>
      </c>
      <c r="LI371">
        <v>0</v>
      </c>
      <c r="LJ371">
        <v>0</v>
      </c>
      <c r="LK371">
        <v>0</v>
      </c>
      <c r="LL371">
        <v>0</v>
      </c>
      <c r="LM371">
        <v>0</v>
      </c>
      <c r="LN371">
        <v>0</v>
      </c>
      <c r="LO371">
        <v>0</v>
      </c>
      <c r="LP371">
        <v>0</v>
      </c>
      <c r="LQ371">
        <v>0</v>
      </c>
      <c r="LR371">
        <v>0</v>
      </c>
      <c r="LS371">
        <v>0</v>
      </c>
      <c r="LT371">
        <v>0</v>
      </c>
      <c r="LU371">
        <v>0</v>
      </c>
      <c r="LV371">
        <v>0</v>
      </c>
      <c r="LW371">
        <v>0</v>
      </c>
      <c r="LX371">
        <v>0</v>
      </c>
      <c r="LY371">
        <v>0</v>
      </c>
      <c r="LZ371">
        <v>0</v>
      </c>
      <c r="MA371">
        <v>0</v>
      </c>
      <c r="MB371">
        <v>0</v>
      </c>
      <c r="MC371">
        <v>0</v>
      </c>
      <c r="MD371">
        <v>0</v>
      </c>
      <c r="ME371">
        <v>0</v>
      </c>
      <c r="MF371">
        <v>0</v>
      </c>
      <c r="MG371">
        <v>0</v>
      </c>
      <c r="MH371">
        <v>0</v>
      </c>
      <c r="MI371">
        <v>0</v>
      </c>
      <c r="MJ371">
        <v>0</v>
      </c>
      <c r="MK371">
        <v>0</v>
      </c>
      <c r="ML371">
        <v>0</v>
      </c>
      <c r="MM371">
        <v>0</v>
      </c>
      <c r="MN371">
        <v>0</v>
      </c>
      <c r="MO371">
        <v>0</v>
      </c>
      <c r="MP371">
        <v>0</v>
      </c>
      <c r="MQ371">
        <v>0</v>
      </c>
      <c r="MR371">
        <v>0</v>
      </c>
      <c r="MS371">
        <v>0</v>
      </c>
      <c r="MT371">
        <v>0</v>
      </c>
      <c r="MU371">
        <v>0</v>
      </c>
      <c r="MV371">
        <v>0</v>
      </c>
      <c r="MW371">
        <v>0</v>
      </c>
      <c r="MX371">
        <v>0</v>
      </c>
      <c r="MY371">
        <v>0</v>
      </c>
      <c r="MZ371">
        <v>0</v>
      </c>
      <c r="NA371">
        <v>0</v>
      </c>
      <c r="NB371">
        <v>0</v>
      </c>
      <c r="NC371">
        <v>0</v>
      </c>
      <c r="ND371">
        <v>0</v>
      </c>
      <c r="NE371">
        <v>0</v>
      </c>
    </row>
    <row r="372" spans="41:369" x14ac:dyDescent="0.45">
      <c r="AO372">
        <v>0</v>
      </c>
      <c r="AP372">
        <v>0</v>
      </c>
      <c r="AQ372">
        <v>0</v>
      </c>
      <c r="AR372">
        <v>0</v>
      </c>
      <c r="AS372">
        <v>0</v>
      </c>
      <c r="AT372">
        <v>0</v>
      </c>
      <c r="AU372">
        <v>0</v>
      </c>
      <c r="AV372">
        <v>0</v>
      </c>
      <c r="AW372" t="str">
        <v/>
      </c>
      <c r="AX372">
        <v>255</v>
      </c>
      <c r="AY372" s="5" t="str">
        <v/>
      </c>
      <c r="AZ372">
        <v>0</v>
      </c>
      <c r="BA372">
        <v>0</v>
      </c>
      <c r="BB372">
        <v>0</v>
      </c>
      <c r="BC372">
        <v>0</v>
      </c>
      <c r="BD372">
        <v>0</v>
      </c>
      <c r="BE372">
        <v>0</v>
      </c>
      <c r="BF372">
        <v>0</v>
      </c>
      <c r="BG372">
        <v>0</v>
      </c>
      <c r="BH372">
        <v>0</v>
      </c>
      <c r="BI372" t="str">
        <v/>
      </c>
      <c r="BK372">
        <v>366</v>
      </c>
      <c r="BL372">
        <v>0</v>
      </c>
      <c r="BM372">
        <v>0</v>
      </c>
      <c r="BN372">
        <v>0</v>
      </c>
      <c r="BO372">
        <v>0</v>
      </c>
      <c r="BP372">
        <v>0</v>
      </c>
      <c r="BQ372">
        <v>0</v>
      </c>
      <c r="BR372">
        <v>0</v>
      </c>
      <c r="BS372">
        <v>0</v>
      </c>
      <c r="BT372">
        <v>0</v>
      </c>
      <c r="BU372">
        <v>0</v>
      </c>
      <c r="BV372">
        <v>0</v>
      </c>
      <c r="BW372">
        <v>0</v>
      </c>
      <c r="BX372">
        <v>0</v>
      </c>
      <c r="BY372">
        <v>0</v>
      </c>
      <c r="BZ372">
        <v>0</v>
      </c>
      <c r="CA372">
        <v>0</v>
      </c>
      <c r="CB372">
        <v>0</v>
      </c>
      <c r="CC372">
        <v>0</v>
      </c>
      <c r="CD372">
        <v>0</v>
      </c>
      <c r="CE372">
        <v>0</v>
      </c>
      <c r="CF372">
        <v>0</v>
      </c>
      <c r="CG372">
        <v>0</v>
      </c>
      <c r="CH372">
        <v>0</v>
      </c>
      <c r="CI372">
        <v>0</v>
      </c>
      <c r="CJ372">
        <v>0</v>
      </c>
      <c r="CK372">
        <v>0</v>
      </c>
      <c r="CL372">
        <v>0</v>
      </c>
      <c r="CM372">
        <v>0</v>
      </c>
      <c r="CN372">
        <v>0</v>
      </c>
      <c r="CO372">
        <v>0</v>
      </c>
      <c r="CP372">
        <v>0</v>
      </c>
      <c r="CQ372">
        <v>0</v>
      </c>
      <c r="CR372">
        <v>0</v>
      </c>
      <c r="CS372">
        <v>0</v>
      </c>
      <c r="CT372">
        <v>0</v>
      </c>
      <c r="CU372">
        <v>0</v>
      </c>
      <c r="CV372">
        <v>0</v>
      </c>
      <c r="CW372">
        <v>0</v>
      </c>
      <c r="CX372">
        <v>0</v>
      </c>
      <c r="CY372">
        <v>0</v>
      </c>
      <c r="CZ372">
        <v>0</v>
      </c>
      <c r="DA372">
        <v>0</v>
      </c>
      <c r="DB372">
        <v>0</v>
      </c>
      <c r="DC372">
        <v>0</v>
      </c>
      <c r="DD372">
        <v>0</v>
      </c>
      <c r="DE372">
        <v>0</v>
      </c>
      <c r="DF372">
        <v>0</v>
      </c>
      <c r="DG372">
        <v>0</v>
      </c>
      <c r="DH372">
        <v>0</v>
      </c>
      <c r="DI372">
        <v>0</v>
      </c>
      <c r="DJ372">
        <v>0</v>
      </c>
      <c r="DK372">
        <v>0</v>
      </c>
      <c r="DL372">
        <v>0</v>
      </c>
      <c r="DM372">
        <v>0</v>
      </c>
      <c r="DN372">
        <v>0</v>
      </c>
      <c r="DO372">
        <v>0</v>
      </c>
      <c r="DP372">
        <v>0</v>
      </c>
      <c r="DQ372">
        <v>0</v>
      </c>
      <c r="DR372">
        <v>0</v>
      </c>
      <c r="DS372">
        <v>0</v>
      </c>
      <c r="DT372">
        <v>0</v>
      </c>
      <c r="DU372">
        <v>0</v>
      </c>
      <c r="DV372">
        <v>0</v>
      </c>
      <c r="DW372">
        <v>0</v>
      </c>
      <c r="DX372">
        <v>0</v>
      </c>
      <c r="DY372">
        <v>0</v>
      </c>
      <c r="DZ372">
        <v>0</v>
      </c>
      <c r="EA372">
        <v>0</v>
      </c>
      <c r="EB372">
        <v>0</v>
      </c>
      <c r="EC372">
        <v>0</v>
      </c>
      <c r="ED372">
        <v>0</v>
      </c>
      <c r="EE372">
        <v>0</v>
      </c>
      <c r="EF372">
        <v>0</v>
      </c>
      <c r="EG372">
        <v>0</v>
      </c>
      <c r="EH372">
        <v>0</v>
      </c>
      <c r="EI372">
        <v>0</v>
      </c>
      <c r="EJ372">
        <v>0</v>
      </c>
      <c r="EK372">
        <v>0</v>
      </c>
      <c r="EL372">
        <v>0</v>
      </c>
      <c r="EM372">
        <v>0</v>
      </c>
      <c r="EN372">
        <v>0</v>
      </c>
      <c r="EO372">
        <v>0</v>
      </c>
      <c r="EP372">
        <v>0</v>
      </c>
      <c r="EQ372">
        <v>0</v>
      </c>
      <c r="ER372">
        <v>0</v>
      </c>
      <c r="ES372">
        <v>0</v>
      </c>
      <c r="ET372">
        <v>0</v>
      </c>
      <c r="EU372">
        <v>0</v>
      </c>
      <c r="EV372">
        <v>0</v>
      </c>
      <c r="EW372">
        <v>0</v>
      </c>
      <c r="EX372">
        <v>0</v>
      </c>
      <c r="EY372">
        <v>0</v>
      </c>
      <c r="EZ372">
        <v>0</v>
      </c>
      <c r="FA372">
        <v>0</v>
      </c>
      <c r="FB372">
        <v>0</v>
      </c>
      <c r="FC372">
        <v>0</v>
      </c>
      <c r="FD372">
        <v>0</v>
      </c>
      <c r="FE372">
        <v>0</v>
      </c>
      <c r="FF372">
        <v>0</v>
      </c>
      <c r="FG372">
        <v>0</v>
      </c>
      <c r="FH372">
        <v>0</v>
      </c>
      <c r="FI372">
        <v>0</v>
      </c>
      <c r="FJ372">
        <v>0</v>
      </c>
      <c r="FK372">
        <v>0</v>
      </c>
      <c r="FL372">
        <v>0</v>
      </c>
      <c r="FM372">
        <v>0</v>
      </c>
      <c r="FN372">
        <v>0</v>
      </c>
      <c r="FO372">
        <v>0</v>
      </c>
      <c r="FP372">
        <v>0</v>
      </c>
      <c r="FQ372">
        <v>0</v>
      </c>
      <c r="FR372">
        <v>0</v>
      </c>
      <c r="FS372">
        <v>0</v>
      </c>
      <c r="FT372">
        <v>0</v>
      </c>
      <c r="FU372">
        <v>0</v>
      </c>
      <c r="FV372">
        <v>0</v>
      </c>
      <c r="FW372">
        <v>0</v>
      </c>
      <c r="FX372">
        <v>0</v>
      </c>
      <c r="FY372">
        <v>0</v>
      </c>
      <c r="FZ372">
        <v>0</v>
      </c>
      <c r="GA372">
        <v>0</v>
      </c>
      <c r="GB372">
        <v>0</v>
      </c>
      <c r="GC372">
        <v>0</v>
      </c>
      <c r="GD372">
        <v>0</v>
      </c>
      <c r="GE372">
        <v>0</v>
      </c>
      <c r="GF372">
        <v>0</v>
      </c>
      <c r="GG372">
        <v>0</v>
      </c>
      <c r="GH372">
        <v>0</v>
      </c>
      <c r="GI372">
        <v>0</v>
      </c>
      <c r="GJ372">
        <v>0</v>
      </c>
      <c r="GK372">
        <v>0</v>
      </c>
      <c r="GL372">
        <v>0</v>
      </c>
      <c r="GM372">
        <v>0</v>
      </c>
      <c r="GN372">
        <v>0</v>
      </c>
      <c r="GO372">
        <v>0</v>
      </c>
      <c r="GP372">
        <v>0</v>
      </c>
      <c r="GQ372">
        <v>0</v>
      </c>
      <c r="GR372">
        <v>0</v>
      </c>
      <c r="GS372">
        <v>0</v>
      </c>
      <c r="GT372">
        <v>0</v>
      </c>
      <c r="GU372">
        <v>0</v>
      </c>
      <c r="GV372">
        <v>0</v>
      </c>
      <c r="GW372">
        <v>0</v>
      </c>
      <c r="GX372">
        <v>0</v>
      </c>
      <c r="GY372">
        <v>0</v>
      </c>
      <c r="GZ372">
        <v>0</v>
      </c>
      <c r="HA372">
        <v>0</v>
      </c>
      <c r="HB372">
        <v>0</v>
      </c>
      <c r="HC372">
        <v>0</v>
      </c>
      <c r="HD372">
        <v>0</v>
      </c>
      <c r="HE372">
        <v>0</v>
      </c>
      <c r="HF372">
        <v>0</v>
      </c>
      <c r="HG372">
        <v>0</v>
      </c>
      <c r="HH372">
        <v>0</v>
      </c>
      <c r="HI372">
        <v>0</v>
      </c>
      <c r="HJ372">
        <v>0</v>
      </c>
      <c r="HK372">
        <v>0</v>
      </c>
      <c r="HL372">
        <v>0</v>
      </c>
      <c r="HM372">
        <v>0</v>
      </c>
      <c r="HN372">
        <v>0</v>
      </c>
      <c r="HO372">
        <v>0</v>
      </c>
      <c r="HP372">
        <v>0</v>
      </c>
      <c r="HQ372">
        <v>0</v>
      </c>
      <c r="HR372">
        <v>0</v>
      </c>
      <c r="HS372">
        <v>0</v>
      </c>
      <c r="HT372">
        <v>0</v>
      </c>
      <c r="HU372">
        <v>0</v>
      </c>
      <c r="HV372">
        <v>0</v>
      </c>
      <c r="HW372">
        <v>0</v>
      </c>
      <c r="HX372">
        <v>0</v>
      </c>
      <c r="HY372">
        <v>0</v>
      </c>
      <c r="HZ372">
        <v>0</v>
      </c>
      <c r="IA372">
        <v>0</v>
      </c>
      <c r="IB372">
        <v>0</v>
      </c>
      <c r="IC372">
        <v>0</v>
      </c>
      <c r="ID372">
        <v>0</v>
      </c>
      <c r="IE372">
        <v>0</v>
      </c>
      <c r="IF372">
        <v>0</v>
      </c>
      <c r="IG372">
        <v>0</v>
      </c>
      <c r="IH372">
        <v>0</v>
      </c>
      <c r="II372">
        <v>0</v>
      </c>
      <c r="IJ372">
        <v>0</v>
      </c>
      <c r="IK372">
        <v>0</v>
      </c>
      <c r="IL372">
        <v>0</v>
      </c>
      <c r="IM372">
        <v>0</v>
      </c>
      <c r="IN372">
        <v>0</v>
      </c>
      <c r="IO372">
        <v>0</v>
      </c>
      <c r="IP372">
        <v>0</v>
      </c>
      <c r="IQ372">
        <v>0</v>
      </c>
      <c r="IR372">
        <v>0</v>
      </c>
      <c r="IS372">
        <v>0</v>
      </c>
      <c r="IT372">
        <v>0</v>
      </c>
      <c r="IU372">
        <v>0</v>
      </c>
      <c r="IV372">
        <v>0</v>
      </c>
      <c r="IW372">
        <v>0</v>
      </c>
      <c r="IX372">
        <v>0</v>
      </c>
      <c r="IY372">
        <v>0</v>
      </c>
      <c r="IZ372">
        <v>0</v>
      </c>
      <c r="JA372">
        <v>0</v>
      </c>
      <c r="JB372">
        <v>0</v>
      </c>
      <c r="JC372">
        <v>0</v>
      </c>
      <c r="JD372">
        <v>0</v>
      </c>
      <c r="JE372">
        <v>0</v>
      </c>
      <c r="JF372">
        <v>0</v>
      </c>
      <c r="JG372">
        <v>0</v>
      </c>
      <c r="JH372">
        <v>0</v>
      </c>
      <c r="JI372">
        <v>0</v>
      </c>
      <c r="JJ372">
        <v>0</v>
      </c>
      <c r="JK372">
        <v>0</v>
      </c>
      <c r="JL372">
        <v>0</v>
      </c>
      <c r="JM372">
        <v>0</v>
      </c>
      <c r="JN372">
        <v>0</v>
      </c>
      <c r="JO372">
        <v>0</v>
      </c>
      <c r="JP372">
        <v>0</v>
      </c>
      <c r="JQ372">
        <v>0</v>
      </c>
      <c r="JR372">
        <v>0</v>
      </c>
      <c r="JS372">
        <v>0</v>
      </c>
      <c r="JT372">
        <v>0</v>
      </c>
      <c r="JU372">
        <v>0</v>
      </c>
      <c r="JV372">
        <v>0</v>
      </c>
      <c r="JW372">
        <v>0</v>
      </c>
      <c r="JX372">
        <v>0</v>
      </c>
      <c r="JY372">
        <v>0</v>
      </c>
      <c r="JZ372">
        <v>0</v>
      </c>
      <c r="KA372">
        <v>0</v>
      </c>
      <c r="KB372">
        <v>0</v>
      </c>
      <c r="KC372">
        <v>0</v>
      </c>
      <c r="KD372">
        <v>0</v>
      </c>
      <c r="KE372">
        <v>0</v>
      </c>
      <c r="KF372">
        <v>0</v>
      </c>
      <c r="KG372">
        <v>0</v>
      </c>
      <c r="KH372">
        <v>0</v>
      </c>
      <c r="KI372">
        <v>0</v>
      </c>
      <c r="KJ372">
        <v>0</v>
      </c>
      <c r="KK372">
        <v>0</v>
      </c>
      <c r="KL372">
        <v>0</v>
      </c>
      <c r="KM372">
        <v>0</v>
      </c>
      <c r="KN372">
        <v>0</v>
      </c>
      <c r="KO372">
        <v>0</v>
      </c>
      <c r="KP372">
        <v>0</v>
      </c>
      <c r="KQ372">
        <v>0</v>
      </c>
      <c r="KR372">
        <v>0</v>
      </c>
      <c r="KS372">
        <v>0</v>
      </c>
      <c r="KT372">
        <v>0</v>
      </c>
      <c r="KU372">
        <v>0</v>
      </c>
      <c r="KV372">
        <v>0</v>
      </c>
      <c r="KW372">
        <v>0</v>
      </c>
      <c r="KX372">
        <v>0</v>
      </c>
      <c r="KY372">
        <v>0</v>
      </c>
      <c r="KZ372">
        <v>0</v>
      </c>
      <c r="LA372">
        <v>0</v>
      </c>
      <c r="LB372">
        <v>0</v>
      </c>
      <c r="LC372">
        <v>0</v>
      </c>
      <c r="LD372">
        <v>0</v>
      </c>
      <c r="LE372">
        <v>0</v>
      </c>
      <c r="LF372">
        <v>0</v>
      </c>
      <c r="LG372">
        <v>0</v>
      </c>
      <c r="LH372">
        <v>0</v>
      </c>
      <c r="LI372">
        <v>0</v>
      </c>
      <c r="LJ372">
        <v>0</v>
      </c>
      <c r="LK372">
        <v>0</v>
      </c>
      <c r="LL372">
        <v>0</v>
      </c>
      <c r="LM372">
        <v>0</v>
      </c>
      <c r="LN372">
        <v>0</v>
      </c>
      <c r="LO372">
        <v>0</v>
      </c>
      <c r="LP372">
        <v>0</v>
      </c>
      <c r="LQ372">
        <v>0</v>
      </c>
      <c r="LR372">
        <v>0</v>
      </c>
      <c r="LS372">
        <v>0</v>
      </c>
      <c r="LT372">
        <v>0</v>
      </c>
      <c r="LU372">
        <v>0</v>
      </c>
      <c r="LV372">
        <v>0</v>
      </c>
      <c r="LW372">
        <v>0</v>
      </c>
      <c r="LX372">
        <v>0</v>
      </c>
      <c r="LY372">
        <v>0</v>
      </c>
      <c r="LZ372">
        <v>0</v>
      </c>
      <c r="MA372">
        <v>0</v>
      </c>
      <c r="MB372">
        <v>0</v>
      </c>
      <c r="MC372">
        <v>0</v>
      </c>
      <c r="MD372">
        <v>0</v>
      </c>
      <c r="ME372">
        <v>0</v>
      </c>
      <c r="MF372">
        <v>0</v>
      </c>
      <c r="MG372">
        <v>0</v>
      </c>
      <c r="MH372">
        <v>0</v>
      </c>
      <c r="MI372">
        <v>0</v>
      </c>
      <c r="MJ372">
        <v>0</v>
      </c>
      <c r="MK372">
        <v>0</v>
      </c>
      <c r="ML372">
        <v>0</v>
      </c>
      <c r="MM372">
        <v>0</v>
      </c>
      <c r="MN372">
        <v>0</v>
      </c>
      <c r="MO372">
        <v>0</v>
      </c>
      <c r="MP372">
        <v>0</v>
      </c>
      <c r="MQ372">
        <v>0</v>
      </c>
      <c r="MR372">
        <v>0</v>
      </c>
      <c r="MS372">
        <v>0</v>
      </c>
      <c r="MT372">
        <v>0</v>
      </c>
      <c r="MU372">
        <v>0</v>
      </c>
      <c r="MV372">
        <v>0</v>
      </c>
      <c r="MW372">
        <v>0</v>
      </c>
      <c r="MX372">
        <v>0</v>
      </c>
      <c r="MY372">
        <v>0</v>
      </c>
      <c r="MZ372">
        <v>0</v>
      </c>
      <c r="NA372">
        <v>0</v>
      </c>
      <c r="NB372">
        <v>0</v>
      </c>
      <c r="NC372">
        <v>0</v>
      </c>
      <c r="ND372">
        <v>0</v>
      </c>
      <c r="NE372">
        <v>0</v>
      </c>
    </row>
    <row r="373" spans="41:369" x14ac:dyDescent="0.45">
      <c r="AO373">
        <v>0</v>
      </c>
      <c r="AP373">
        <v>0</v>
      </c>
      <c r="AQ373">
        <v>0</v>
      </c>
      <c r="AR373">
        <v>0</v>
      </c>
      <c r="AS373">
        <v>0</v>
      </c>
      <c r="AT373">
        <v>0</v>
      </c>
      <c r="AU373">
        <v>0</v>
      </c>
      <c r="AV373">
        <v>0</v>
      </c>
      <c r="AW373" t="str">
        <v/>
      </c>
      <c r="AX373">
        <v>255</v>
      </c>
      <c r="AY373" s="5" t="str">
        <v/>
      </c>
      <c r="AZ373">
        <v>0</v>
      </c>
      <c r="BA373">
        <v>0</v>
      </c>
      <c r="BB373">
        <v>0</v>
      </c>
      <c r="BC373">
        <v>0</v>
      </c>
      <c r="BD373">
        <v>0</v>
      </c>
      <c r="BE373">
        <v>0</v>
      </c>
      <c r="BF373">
        <v>0</v>
      </c>
      <c r="BG373">
        <v>0</v>
      </c>
      <c r="BH373">
        <v>0</v>
      </c>
      <c r="BI373" t="str">
        <v/>
      </c>
      <c r="BK373">
        <v>367</v>
      </c>
      <c r="BL373">
        <v>0</v>
      </c>
      <c r="BM373">
        <v>0</v>
      </c>
      <c r="BN373">
        <v>0</v>
      </c>
      <c r="BO373">
        <v>0</v>
      </c>
      <c r="BP373">
        <v>0</v>
      </c>
      <c r="BQ373">
        <v>0</v>
      </c>
      <c r="BR373">
        <v>0</v>
      </c>
      <c r="BS373">
        <v>0</v>
      </c>
      <c r="BT373">
        <v>0</v>
      </c>
      <c r="BU373">
        <v>0</v>
      </c>
      <c r="BV373">
        <v>0</v>
      </c>
      <c r="BW373">
        <v>0</v>
      </c>
      <c r="BX373">
        <v>0</v>
      </c>
      <c r="BY373">
        <v>0</v>
      </c>
      <c r="BZ373">
        <v>0</v>
      </c>
      <c r="CA373">
        <v>0</v>
      </c>
      <c r="CB373">
        <v>0</v>
      </c>
      <c r="CC373">
        <v>0</v>
      </c>
      <c r="CD373">
        <v>0</v>
      </c>
      <c r="CE373">
        <v>0</v>
      </c>
      <c r="CF373">
        <v>0</v>
      </c>
      <c r="CG373">
        <v>0</v>
      </c>
      <c r="CH373">
        <v>0</v>
      </c>
      <c r="CI373">
        <v>0</v>
      </c>
      <c r="CJ373">
        <v>0</v>
      </c>
      <c r="CK373">
        <v>0</v>
      </c>
      <c r="CL373">
        <v>0</v>
      </c>
      <c r="CM373">
        <v>0</v>
      </c>
      <c r="CN373">
        <v>0</v>
      </c>
      <c r="CO373">
        <v>0</v>
      </c>
      <c r="CP373">
        <v>0</v>
      </c>
      <c r="CQ373">
        <v>0</v>
      </c>
      <c r="CR373">
        <v>0</v>
      </c>
      <c r="CS373">
        <v>0</v>
      </c>
      <c r="CT373">
        <v>0</v>
      </c>
      <c r="CU373">
        <v>0</v>
      </c>
      <c r="CV373">
        <v>0</v>
      </c>
      <c r="CW373">
        <v>0</v>
      </c>
      <c r="CX373">
        <v>0</v>
      </c>
      <c r="CY373">
        <v>0</v>
      </c>
      <c r="CZ373">
        <v>0</v>
      </c>
      <c r="DA373">
        <v>0</v>
      </c>
      <c r="DB373">
        <v>0</v>
      </c>
      <c r="DC373">
        <v>0</v>
      </c>
      <c r="DD373">
        <v>0</v>
      </c>
      <c r="DE373">
        <v>0</v>
      </c>
      <c r="DF373">
        <v>0</v>
      </c>
      <c r="DG373">
        <v>0</v>
      </c>
      <c r="DH373">
        <v>0</v>
      </c>
      <c r="DI373">
        <v>0</v>
      </c>
      <c r="DJ373">
        <v>0</v>
      </c>
      <c r="DK373">
        <v>0</v>
      </c>
      <c r="DL373">
        <v>0</v>
      </c>
      <c r="DM373">
        <v>0</v>
      </c>
      <c r="DN373">
        <v>0</v>
      </c>
      <c r="DO373">
        <v>0</v>
      </c>
      <c r="DP373">
        <v>0</v>
      </c>
      <c r="DQ373">
        <v>0</v>
      </c>
      <c r="DR373">
        <v>0</v>
      </c>
      <c r="DS373">
        <v>0</v>
      </c>
      <c r="DT373">
        <v>0</v>
      </c>
      <c r="DU373">
        <v>0</v>
      </c>
      <c r="DV373">
        <v>0</v>
      </c>
      <c r="DW373">
        <v>0</v>
      </c>
      <c r="DX373">
        <v>0</v>
      </c>
      <c r="DY373">
        <v>0</v>
      </c>
      <c r="DZ373">
        <v>0</v>
      </c>
      <c r="EA373">
        <v>0</v>
      </c>
      <c r="EB373">
        <v>0</v>
      </c>
      <c r="EC373">
        <v>0</v>
      </c>
      <c r="ED373">
        <v>0</v>
      </c>
      <c r="EE373">
        <v>0</v>
      </c>
      <c r="EF373">
        <v>0</v>
      </c>
      <c r="EG373">
        <v>0</v>
      </c>
      <c r="EH373">
        <v>0</v>
      </c>
      <c r="EI373">
        <v>0</v>
      </c>
      <c r="EJ373">
        <v>0</v>
      </c>
      <c r="EK373">
        <v>0</v>
      </c>
      <c r="EL373">
        <v>0</v>
      </c>
      <c r="EM373">
        <v>0</v>
      </c>
      <c r="EN373">
        <v>0</v>
      </c>
      <c r="EO373">
        <v>0</v>
      </c>
      <c r="EP373">
        <v>0</v>
      </c>
      <c r="EQ373">
        <v>0</v>
      </c>
      <c r="ER373">
        <v>0</v>
      </c>
      <c r="ES373">
        <v>0</v>
      </c>
      <c r="ET373">
        <v>0</v>
      </c>
      <c r="EU373">
        <v>0</v>
      </c>
      <c r="EV373">
        <v>0</v>
      </c>
      <c r="EW373">
        <v>0</v>
      </c>
      <c r="EX373">
        <v>0</v>
      </c>
      <c r="EY373">
        <v>0</v>
      </c>
      <c r="EZ373">
        <v>0</v>
      </c>
      <c r="FA373">
        <v>0</v>
      </c>
      <c r="FB373">
        <v>0</v>
      </c>
      <c r="FC373">
        <v>0</v>
      </c>
      <c r="FD373">
        <v>0</v>
      </c>
      <c r="FE373">
        <v>0</v>
      </c>
      <c r="FF373">
        <v>0</v>
      </c>
      <c r="FG373">
        <v>0</v>
      </c>
      <c r="FH373">
        <v>0</v>
      </c>
      <c r="FI373">
        <v>0</v>
      </c>
      <c r="FJ373">
        <v>0</v>
      </c>
      <c r="FK373">
        <v>0</v>
      </c>
      <c r="FL373">
        <v>0</v>
      </c>
      <c r="FM373">
        <v>0</v>
      </c>
      <c r="FN373">
        <v>0</v>
      </c>
      <c r="FO373">
        <v>0</v>
      </c>
      <c r="FP373">
        <v>0</v>
      </c>
      <c r="FQ373">
        <v>0</v>
      </c>
      <c r="FR373">
        <v>0</v>
      </c>
      <c r="FS373">
        <v>0</v>
      </c>
      <c r="FT373">
        <v>0</v>
      </c>
      <c r="FU373">
        <v>0</v>
      </c>
      <c r="FV373">
        <v>0</v>
      </c>
      <c r="FW373">
        <v>0</v>
      </c>
      <c r="FX373">
        <v>0</v>
      </c>
      <c r="FY373">
        <v>0</v>
      </c>
      <c r="FZ373">
        <v>0</v>
      </c>
      <c r="GA373">
        <v>0</v>
      </c>
      <c r="GB373">
        <v>0</v>
      </c>
      <c r="GC373">
        <v>0</v>
      </c>
      <c r="GD373">
        <v>0</v>
      </c>
      <c r="GE373">
        <v>0</v>
      </c>
      <c r="GF373">
        <v>0</v>
      </c>
      <c r="GG373">
        <v>0</v>
      </c>
      <c r="GH373">
        <v>0</v>
      </c>
      <c r="GI373">
        <v>0</v>
      </c>
      <c r="GJ373">
        <v>0</v>
      </c>
      <c r="GK373">
        <v>0</v>
      </c>
      <c r="GL373">
        <v>0</v>
      </c>
      <c r="GM373">
        <v>0</v>
      </c>
      <c r="GN373">
        <v>0</v>
      </c>
      <c r="GO373">
        <v>0</v>
      </c>
      <c r="GP373">
        <v>0</v>
      </c>
      <c r="GQ373">
        <v>0</v>
      </c>
      <c r="GR373">
        <v>0</v>
      </c>
      <c r="GS373">
        <v>0</v>
      </c>
      <c r="GT373">
        <v>0</v>
      </c>
      <c r="GU373">
        <v>0</v>
      </c>
      <c r="GV373">
        <v>0</v>
      </c>
      <c r="GW373">
        <v>0</v>
      </c>
      <c r="GX373">
        <v>0</v>
      </c>
      <c r="GY373">
        <v>0</v>
      </c>
      <c r="GZ373">
        <v>0</v>
      </c>
      <c r="HA373">
        <v>0</v>
      </c>
      <c r="HB373">
        <v>0</v>
      </c>
      <c r="HC373">
        <v>0</v>
      </c>
      <c r="HD373">
        <v>0</v>
      </c>
      <c r="HE373">
        <v>0</v>
      </c>
      <c r="HF373">
        <v>0</v>
      </c>
      <c r="HG373">
        <v>0</v>
      </c>
      <c r="HH373">
        <v>0</v>
      </c>
      <c r="HI373">
        <v>0</v>
      </c>
      <c r="HJ373">
        <v>0</v>
      </c>
      <c r="HK373">
        <v>0</v>
      </c>
      <c r="HL373">
        <v>0</v>
      </c>
      <c r="HM373">
        <v>0</v>
      </c>
      <c r="HN373">
        <v>0</v>
      </c>
      <c r="HO373">
        <v>0</v>
      </c>
      <c r="HP373">
        <v>0</v>
      </c>
      <c r="HQ373">
        <v>0</v>
      </c>
      <c r="HR373">
        <v>0</v>
      </c>
      <c r="HS373">
        <v>0</v>
      </c>
      <c r="HT373">
        <v>0</v>
      </c>
      <c r="HU373">
        <v>0</v>
      </c>
      <c r="HV373">
        <v>0</v>
      </c>
      <c r="HW373">
        <v>0</v>
      </c>
      <c r="HX373">
        <v>0</v>
      </c>
      <c r="HY373">
        <v>0</v>
      </c>
      <c r="HZ373">
        <v>0</v>
      </c>
      <c r="IA373">
        <v>0</v>
      </c>
      <c r="IB373">
        <v>0</v>
      </c>
      <c r="IC373">
        <v>0</v>
      </c>
      <c r="ID373">
        <v>0</v>
      </c>
      <c r="IE373">
        <v>0</v>
      </c>
      <c r="IF373">
        <v>0</v>
      </c>
      <c r="IG373">
        <v>0</v>
      </c>
      <c r="IH373">
        <v>0</v>
      </c>
      <c r="II373">
        <v>0</v>
      </c>
      <c r="IJ373">
        <v>0</v>
      </c>
      <c r="IK373">
        <v>0</v>
      </c>
      <c r="IL373">
        <v>0</v>
      </c>
      <c r="IM373">
        <v>0</v>
      </c>
      <c r="IN373">
        <v>0</v>
      </c>
      <c r="IO373">
        <v>0</v>
      </c>
      <c r="IP373">
        <v>0</v>
      </c>
      <c r="IQ373">
        <v>0</v>
      </c>
      <c r="IR373">
        <v>0</v>
      </c>
      <c r="IS373">
        <v>0</v>
      </c>
      <c r="IT373">
        <v>0</v>
      </c>
      <c r="IU373">
        <v>0</v>
      </c>
      <c r="IV373">
        <v>0</v>
      </c>
      <c r="IW373">
        <v>0</v>
      </c>
      <c r="IX373">
        <v>0</v>
      </c>
      <c r="IY373">
        <v>0</v>
      </c>
      <c r="IZ373">
        <v>0</v>
      </c>
      <c r="JA373">
        <v>0</v>
      </c>
      <c r="JB373">
        <v>0</v>
      </c>
      <c r="JC373">
        <v>0</v>
      </c>
      <c r="JD373">
        <v>0</v>
      </c>
      <c r="JE373">
        <v>0</v>
      </c>
      <c r="JF373">
        <v>0</v>
      </c>
      <c r="JG373">
        <v>0</v>
      </c>
      <c r="JH373">
        <v>0</v>
      </c>
      <c r="JI373">
        <v>0</v>
      </c>
      <c r="JJ373">
        <v>0</v>
      </c>
      <c r="JK373">
        <v>0</v>
      </c>
      <c r="JL373">
        <v>0</v>
      </c>
      <c r="JM373">
        <v>0</v>
      </c>
      <c r="JN373">
        <v>0</v>
      </c>
      <c r="JO373">
        <v>0</v>
      </c>
      <c r="JP373">
        <v>0</v>
      </c>
      <c r="JQ373">
        <v>0</v>
      </c>
      <c r="JR373">
        <v>0</v>
      </c>
      <c r="JS373">
        <v>0</v>
      </c>
      <c r="JT373">
        <v>0</v>
      </c>
      <c r="JU373">
        <v>0</v>
      </c>
      <c r="JV373">
        <v>0</v>
      </c>
      <c r="JW373">
        <v>0</v>
      </c>
      <c r="JX373">
        <v>0</v>
      </c>
      <c r="JY373">
        <v>0</v>
      </c>
      <c r="JZ373">
        <v>0</v>
      </c>
      <c r="KA373">
        <v>0</v>
      </c>
      <c r="KB373">
        <v>0</v>
      </c>
      <c r="KC373">
        <v>0</v>
      </c>
      <c r="KD373">
        <v>0</v>
      </c>
      <c r="KE373">
        <v>0</v>
      </c>
      <c r="KF373">
        <v>0</v>
      </c>
      <c r="KG373">
        <v>0</v>
      </c>
      <c r="KH373">
        <v>0</v>
      </c>
      <c r="KI373">
        <v>0</v>
      </c>
      <c r="KJ373">
        <v>0</v>
      </c>
      <c r="KK373">
        <v>0</v>
      </c>
      <c r="KL373">
        <v>0</v>
      </c>
      <c r="KM373">
        <v>0</v>
      </c>
      <c r="KN373">
        <v>0</v>
      </c>
      <c r="KO373">
        <v>0</v>
      </c>
      <c r="KP373">
        <v>0</v>
      </c>
      <c r="KQ373">
        <v>0</v>
      </c>
      <c r="KR373">
        <v>0</v>
      </c>
      <c r="KS373">
        <v>0</v>
      </c>
      <c r="KT373">
        <v>0</v>
      </c>
      <c r="KU373">
        <v>0</v>
      </c>
      <c r="KV373">
        <v>0</v>
      </c>
      <c r="KW373">
        <v>0</v>
      </c>
      <c r="KX373">
        <v>0</v>
      </c>
      <c r="KY373">
        <v>0</v>
      </c>
      <c r="KZ373">
        <v>0</v>
      </c>
      <c r="LA373">
        <v>0</v>
      </c>
      <c r="LB373">
        <v>0</v>
      </c>
      <c r="LC373">
        <v>0</v>
      </c>
      <c r="LD373">
        <v>0</v>
      </c>
      <c r="LE373">
        <v>0</v>
      </c>
      <c r="LF373">
        <v>0</v>
      </c>
      <c r="LG373">
        <v>0</v>
      </c>
      <c r="LH373">
        <v>0</v>
      </c>
      <c r="LI373">
        <v>0</v>
      </c>
      <c r="LJ373">
        <v>0</v>
      </c>
      <c r="LK373">
        <v>0</v>
      </c>
      <c r="LL373">
        <v>0</v>
      </c>
      <c r="LM373">
        <v>0</v>
      </c>
      <c r="LN373">
        <v>0</v>
      </c>
      <c r="LO373">
        <v>0</v>
      </c>
      <c r="LP373">
        <v>0</v>
      </c>
      <c r="LQ373">
        <v>0</v>
      </c>
      <c r="LR373">
        <v>0</v>
      </c>
      <c r="LS373">
        <v>0</v>
      </c>
      <c r="LT373">
        <v>0</v>
      </c>
      <c r="LU373">
        <v>0</v>
      </c>
      <c r="LV373">
        <v>0</v>
      </c>
      <c r="LW373">
        <v>0</v>
      </c>
      <c r="LX373">
        <v>0</v>
      </c>
      <c r="LY373">
        <v>0</v>
      </c>
      <c r="LZ373">
        <v>0</v>
      </c>
      <c r="MA373">
        <v>0</v>
      </c>
      <c r="MB373">
        <v>0</v>
      </c>
      <c r="MC373">
        <v>0</v>
      </c>
      <c r="MD373">
        <v>0</v>
      </c>
      <c r="ME373">
        <v>0</v>
      </c>
      <c r="MF373">
        <v>0</v>
      </c>
      <c r="MG373">
        <v>0</v>
      </c>
      <c r="MH373">
        <v>0</v>
      </c>
      <c r="MI373">
        <v>0</v>
      </c>
      <c r="MJ373">
        <v>0</v>
      </c>
      <c r="MK373">
        <v>0</v>
      </c>
      <c r="ML373">
        <v>0</v>
      </c>
      <c r="MM373">
        <v>0</v>
      </c>
      <c r="MN373">
        <v>0</v>
      </c>
      <c r="MO373">
        <v>0</v>
      </c>
      <c r="MP373">
        <v>0</v>
      </c>
      <c r="MQ373">
        <v>0</v>
      </c>
      <c r="MR373">
        <v>0</v>
      </c>
      <c r="MS373">
        <v>0</v>
      </c>
      <c r="MT373">
        <v>0</v>
      </c>
      <c r="MU373">
        <v>0</v>
      </c>
      <c r="MV373">
        <v>0</v>
      </c>
      <c r="MW373">
        <v>0</v>
      </c>
      <c r="MX373">
        <v>0</v>
      </c>
      <c r="MY373">
        <v>0</v>
      </c>
      <c r="MZ373">
        <v>0</v>
      </c>
      <c r="NA373">
        <v>0</v>
      </c>
      <c r="NB373">
        <v>0</v>
      </c>
      <c r="NC373">
        <v>0</v>
      </c>
      <c r="ND373">
        <v>0</v>
      </c>
      <c r="NE373">
        <v>0</v>
      </c>
    </row>
    <row r="374" spans="41:369" x14ac:dyDescent="0.45">
      <c r="AO374">
        <v>0</v>
      </c>
      <c r="AP374">
        <v>0</v>
      </c>
      <c r="AQ374">
        <v>0</v>
      </c>
      <c r="AR374">
        <v>0</v>
      </c>
      <c r="AS374">
        <v>0</v>
      </c>
      <c r="AT374">
        <v>0</v>
      </c>
      <c r="AU374">
        <v>0</v>
      </c>
      <c r="AV374">
        <v>0</v>
      </c>
      <c r="AW374" t="str">
        <v/>
      </c>
      <c r="AX374">
        <v>255</v>
      </c>
      <c r="AY374" s="5" t="str">
        <v/>
      </c>
      <c r="AZ374">
        <v>0</v>
      </c>
      <c r="BA374">
        <v>0</v>
      </c>
      <c r="BB374">
        <v>0</v>
      </c>
      <c r="BC374">
        <v>0</v>
      </c>
      <c r="BD374">
        <v>0</v>
      </c>
      <c r="BE374">
        <v>0</v>
      </c>
      <c r="BF374">
        <v>0</v>
      </c>
      <c r="BG374">
        <v>0</v>
      </c>
      <c r="BH374">
        <v>0</v>
      </c>
      <c r="BI374" t="str">
        <v/>
      </c>
      <c r="BK374">
        <v>368</v>
      </c>
      <c r="BL374">
        <v>0</v>
      </c>
      <c r="BM374">
        <v>0</v>
      </c>
      <c r="BN374">
        <v>0</v>
      </c>
      <c r="BO374">
        <v>0</v>
      </c>
      <c r="BP374">
        <v>0</v>
      </c>
      <c r="BQ374">
        <v>0</v>
      </c>
      <c r="BR374">
        <v>0</v>
      </c>
      <c r="BS374">
        <v>0</v>
      </c>
      <c r="BT374">
        <v>0</v>
      </c>
      <c r="BU374">
        <v>0</v>
      </c>
      <c r="BV374">
        <v>0</v>
      </c>
      <c r="BW374">
        <v>0</v>
      </c>
      <c r="BX374">
        <v>0</v>
      </c>
      <c r="BY374">
        <v>0</v>
      </c>
      <c r="BZ374">
        <v>0</v>
      </c>
      <c r="CA374">
        <v>0</v>
      </c>
      <c r="CB374">
        <v>0</v>
      </c>
      <c r="CC374">
        <v>0</v>
      </c>
      <c r="CD374">
        <v>0</v>
      </c>
      <c r="CE374">
        <v>0</v>
      </c>
      <c r="CF374">
        <v>0</v>
      </c>
      <c r="CG374">
        <v>0</v>
      </c>
      <c r="CH374">
        <v>0</v>
      </c>
      <c r="CI374">
        <v>0</v>
      </c>
      <c r="CJ374">
        <v>0</v>
      </c>
      <c r="CK374">
        <v>0</v>
      </c>
      <c r="CL374">
        <v>0</v>
      </c>
      <c r="CM374">
        <v>0</v>
      </c>
      <c r="CN374">
        <v>0</v>
      </c>
      <c r="CO374">
        <v>0</v>
      </c>
      <c r="CP374">
        <v>0</v>
      </c>
      <c r="CQ374">
        <v>0</v>
      </c>
      <c r="CR374">
        <v>0</v>
      </c>
      <c r="CS374">
        <v>0</v>
      </c>
      <c r="CT374">
        <v>0</v>
      </c>
      <c r="CU374">
        <v>0</v>
      </c>
      <c r="CV374">
        <v>0</v>
      </c>
      <c r="CW374">
        <v>0</v>
      </c>
      <c r="CX374">
        <v>0</v>
      </c>
      <c r="CY374">
        <v>0</v>
      </c>
      <c r="CZ374">
        <v>0</v>
      </c>
      <c r="DA374">
        <v>0</v>
      </c>
      <c r="DB374">
        <v>0</v>
      </c>
      <c r="DC374">
        <v>0</v>
      </c>
      <c r="DD374">
        <v>0</v>
      </c>
      <c r="DE374">
        <v>0</v>
      </c>
      <c r="DF374">
        <v>0</v>
      </c>
      <c r="DG374">
        <v>0</v>
      </c>
      <c r="DH374">
        <v>0</v>
      </c>
      <c r="DI374">
        <v>0</v>
      </c>
      <c r="DJ374">
        <v>0</v>
      </c>
      <c r="DK374">
        <v>0</v>
      </c>
      <c r="DL374">
        <v>0</v>
      </c>
      <c r="DM374">
        <v>0</v>
      </c>
      <c r="DN374">
        <v>0</v>
      </c>
      <c r="DO374">
        <v>0</v>
      </c>
      <c r="DP374">
        <v>0</v>
      </c>
      <c r="DQ374">
        <v>0</v>
      </c>
      <c r="DR374">
        <v>0</v>
      </c>
      <c r="DS374">
        <v>0</v>
      </c>
      <c r="DT374">
        <v>0</v>
      </c>
      <c r="DU374">
        <v>0</v>
      </c>
      <c r="DV374">
        <v>0</v>
      </c>
      <c r="DW374">
        <v>0</v>
      </c>
      <c r="DX374">
        <v>0</v>
      </c>
      <c r="DY374">
        <v>0</v>
      </c>
      <c r="DZ374">
        <v>0</v>
      </c>
      <c r="EA374">
        <v>0</v>
      </c>
      <c r="EB374">
        <v>0</v>
      </c>
      <c r="EC374">
        <v>0</v>
      </c>
      <c r="ED374">
        <v>0</v>
      </c>
      <c r="EE374">
        <v>0</v>
      </c>
      <c r="EF374">
        <v>0</v>
      </c>
      <c r="EG374">
        <v>0</v>
      </c>
      <c r="EH374">
        <v>0</v>
      </c>
      <c r="EI374">
        <v>0</v>
      </c>
      <c r="EJ374">
        <v>0</v>
      </c>
      <c r="EK374">
        <v>0</v>
      </c>
      <c r="EL374">
        <v>0</v>
      </c>
      <c r="EM374">
        <v>0</v>
      </c>
      <c r="EN374">
        <v>0</v>
      </c>
      <c r="EO374">
        <v>0</v>
      </c>
      <c r="EP374">
        <v>0</v>
      </c>
      <c r="EQ374">
        <v>0</v>
      </c>
      <c r="ER374">
        <v>0</v>
      </c>
      <c r="ES374">
        <v>0</v>
      </c>
      <c r="ET374">
        <v>0</v>
      </c>
      <c r="EU374">
        <v>0</v>
      </c>
      <c r="EV374">
        <v>0</v>
      </c>
      <c r="EW374">
        <v>0</v>
      </c>
      <c r="EX374">
        <v>0</v>
      </c>
      <c r="EY374">
        <v>0</v>
      </c>
      <c r="EZ374">
        <v>0</v>
      </c>
      <c r="FA374">
        <v>0</v>
      </c>
      <c r="FB374">
        <v>0</v>
      </c>
      <c r="FC374">
        <v>0</v>
      </c>
      <c r="FD374">
        <v>0</v>
      </c>
      <c r="FE374">
        <v>0</v>
      </c>
      <c r="FF374">
        <v>0</v>
      </c>
      <c r="FG374">
        <v>0</v>
      </c>
      <c r="FH374">
        <v>0</v>
      </c>
      <c r="FI374">
        <v>0</v>
      </c>
      <c r="FJ374">
        <v>0</v>
      </c>
      <c r="FK374">
        <v>0</v>
      </c>
      <c r="FL374">
        <v>0</v>
      </c>
      <c r="FM374">
        <v>0</v>
      </c>
      <c r="FN374">
        <v>0</v>
      </c>
      <c r="FO374">
        <v>0</v>
      </c>
      <c r="FP374">
        <v>0</v>
      </c>
      <c r="FQ374">
        <v>0</v>
      </c>
      <c r="FR374">
        <v>0</v>
      </c>
      <c r="FS374">
        <v>0</v>
      </c>
      <c r="FT374">
        <v>0</v>
      </c>
      <c r="FU374">
        <v>0</v>
      </c>
      <c r="FV374">
        <v>0</v>
      </c>
      <c r="FW374">
        <v>0</v>
      </c>
      <c r="FX374">
        <v>0</v>
      </c>
      <c r="FY374">
        <v>0</v>
      </c>
      <c r="FZ374">
        <v>0</v>
      </c>
      <c r="GA374">
        <v>0</v>
      </c>
      <c r="GB374">
        <v>0</v>
      </c>
      <c r="GC374">
        <v>0</v>
      </c>
      <c r="GD374">
        <v>0</v>
      </c>
      <c r="GE374">
        <v>0</v>
      </c>
      <c r="GF374">
        <v>0</v>
      </c>
      <c r="GG374">
        <v>0</v>
      </c>
      <c r="GH374">
        <v>0</v>
      </c>
      <c r="GI374">
        <v>0</v>
      </c>
      <c r="GJ374">
        <v>0</v>
      </c>
      <c r="GK374">
        <v>0</v>
      </c>
      <c r="GL374">
        <v>0</v>
      </c>
      <c r="GM374">
        <v>0</v>
      </c>
      <c r="GN374">
        <v>0</v>
      </c>
      <c r="GO374">
        <v>0</v>
      </c>
      <c r="GP374">
        <v>0</v>
      </c>
      <c r="GQ374">
        <v>0</v>
      </c>
      <c r="GR374">
        <v>0</v>
      </c>
      <c r="GS374">
        <v>0</v>
      </c>
      <c r="GT374">
        <v>0</v>
      </c>
      <c r="GU374">
        <v>0</v>
      </c>
      <c r="GV374">
        <v>0</v>
      </c>
      <c r="GW374">
        <v>0</v>
      </c>
      <c r="GX374">
        <v>0</v>
      </c>
      <c r="GY374">
        <v>0</v>
      </c>
      <c r="GZ374">
        <v>0</v>
      </c>
      <c r="HA374">
        <v>0</v>
      </c>
      <c r="HB374">
        <v>0</v>
      </c>
      <c r="HC374">
        <v>0</v>
      </c>
      <c r="HD374">
        <v>0</v>
      </c>
      <c r="HE374">
        <v>0</v>
      </c>
      <c r="HF374">
        <v>0</v>
      </c>
      <c r="HG374">
        <v>0</v>
      </c>
      <c r="HH374">
        <v>0</v>
      </c>
      <c r="HI374">
        <v>0</v>
      </c>
      <c r="HJ374">
        <v>0</v>
      </c>
      <c r="HK374">
        <v>0</v>
      </c>
      <c r="HL374">
        <v>0</v>
      </c>
      <c r="HM374">
        <v>0</v>
      </c>
      <c r="HN374">
        <v>0</v>
      </c>
      <c r="HO374">
        <v>0</v>
      </c>
      <c r="HP374">
        <v>0</v>
      </c>
      <c r="HQ374">
        <v>0</v>
      </c>
      <c r="HR374">
        <v>0</v>
      </c>
      <c r="HS374">
        <v>0</v>
      </c>
      <c r="HT374">
        <v>0</v>
      </c>
      <c r="HU374">
        <v>0</v>
      </c>
      <c r="HV374">
        <v>0</v>
      </c>
      <c r="HW374">
        <v>0</v>
      </c>
      <c r="HX374">
        <v>0</v>
      </c>
      <c r="HY374">
        <v>0</v>
      </c>
      <c r="HZ374">
        <v>0</v>
      </c>
      <c r="IA374">
        <v>0</v>
      </c>
      <c r="IB374">
        <v>0</v>
      </c>
      <c r="IC374">
        <v>0</v>
      </c>
      <c r="ID374">
        <v>0</v>
      </c>
      <c r="IE374">
        <v>0</v>
      </c>
      <c r="IF374">
        <v>0</v>
      </c>
      <c r="IG374">
        <v>0</v>
      </c>
      <c r="IH374">
        <v>0</v>
      </c>
      <c r="II374">
        <v>0</v>
      </c>
      <c r="IJ374">
        <v>0</v>
      </c>
      <c r="IK374">
        <v>0</v>
      </c>
      <c r="IL374">
        <v>0</v>
      </c>
      <c r="IM374">
        <v>0</v>
      </c>
      <c r="IN374">
        <v>0</v>
      </c>
      <c r="IO374">
        <v>0</v>
      </c>
      <c r="IP374">
        <v>0</v>
      </c>
      <c r="IQ374">
        <v>0</v>
      </c>
      <c r="IR374">
        <v>0</v>
      </c>
      <c r="IS374">
        <v>0</v>
      </c>
      <c r="IT374">
        <v>0</v>
      </c>
      <c r="IU374">
        <v>0</v>
      </c>
      <c r="IV374">
        <v>0</v>
      </c>
      <c r="IW374">
        <v>0</v>
      </c>
      <c r="IX374">
        <v>0</v>
      </c>
      <c r="IY374">
        <v>0</v>
      </c>
      <c r="IZ374">
        <v>0</v>
      </c>
      <c r="JA374">
        <v>0</v>
      </c>
      <c r="JB374">
        <v>0</v>
      </c>
      <c r="JC374">
        <v>0</v>
      </c>
      <c r="JD374">
        <v>0</v>
      </c>
      <c r="JE374">
        <v>0</v>
      </c>
      <c r="JF374">
        <v>0</v>
      </c>
      <c r="JG374">
        <v>0</v>
      </c>
      <c r="JH374">
        <v>0</v>
      </c>
      <c r="JI374">
        <v>0</v>
      </c>
      <c r="JJ374">
        <v>0</v>
      </c>
      <c r="JK374">
        <v>0</v>
      </c>
      <c r="JL374">
        <v>0</v>
      </c>
      <c r="JM374">
        <v>0</v>
      </c>
      <c r="JN374">
        <v>0</v>
      </c>
      <c r="JO374">
        <v>0</v>
      </c>
      <c r="JP374">
        <v>0</v>
      </c>
      <c r="JQ374">
        <v>0</v>
      </c>
      <c r="JR374">
        <v>0</v>
      </c>
      <c r="JS374">
        <v>0</v>
      </c>
      <c r="JT374">
        <v>0</v>
      </c>
      <c r="JU374">
        <v>0</v>
      </c>
      <c r="JV374">
        <v>0</v>
      </c>
      <c r="JW374">
        <v>0</v>
      </c>
      <c r="JX374">
        <v>0</v>
      </c>
      <c r="JY374">
        <v>0</v>
      </c>
      <c r="JZ374">
        <v>0</v>
      </c>
      <c r="KA374">
        <v>0</v>
      </c>
      <c r="KB374">
        <v>0</v>
      </c>
      <c r="KC374">
        <v>0</v>
      </c>
      <c r="KD374">
        <v>0</v>
      </c>
      <c r="KE374">
        <v>0</v>
      </c>
      <c r="KF374">
        <v>0</v>
      </c>
      <c r="KG374">
        <v>0</v>
      </c>
      <c r="KH374">
        <v>0</v>
      </c>
      <c r="KI374">
        <v>0</v>
      </c>
      <c r="KJ374">
        <v>0</v>
      </c>
      <c r="KK374">
        <v>0</v>
      </c>
      <c r="KL374">
        <v>0</v>
      </c>
      <c r="KM374">
        <v>0</v>
      </c>
      <c r="KN374">
        <v>0</v>
      </c>
      <c r="KO374">
        <v>0</v>
      </c>
      <c r="KP374">
        <v>0</v>
      </c>
      <c r="KQ374">
        <v>0</v>
      </c>
      <c r="KR374">
        <v>0</v>
      </c>
      <c r="KS374">
        <v>0</v>
      </c>
      <c r="KT374">
        <v>0</v>
      </c>
      <c r="KU374">
        <v>0</v>
      </c>
      <c r="KV374">
        <v>0</v>
      </c>
      <c r="KW374">
        <v>0</v>
      </c>
      <c r="KX374">
        <v>0</v>
      </c>
      <c r="KY374">
        <v>0</v>
      </c>
      <c r="KZ374">
        <v>0</v>
      </c>
      <c r="LA374">
        <v>0</v>
      </c>
      <c r="LB374">
        <v>0</v>
      </c>
      <c r="LC374">
        <v>0</v>
      </c>
      <c r="LD374">
        <v>0</v>
      </c>
      <c r="LE374">
        <v>0</v>
      </c>
      <c r="LF374">
        <v>0</v>
      </c>
      <c r="LG374">
        <v>0</v>
      </c>
      <c r="LH374">
        <v>0</v>
      </c>
      <c r="LI374">
        <v>0</v>
      </c>
      <c r="LJ374">
        <v>0</v>
      </c>
      <c r="LK374">
        <v>0</v>
      </c>
      <c r="LL374">
        <v>0</v>
      </c>
      <c r="LM374">
        <v>0</v>
      </c>
      <c r="LN374">
        <v>0</v>
      </c>
      <c r="LO374">
        <v>0</v>
      </c>
      <c r="LP374">
        <v>0</v>
      </c>
      <c r="LQ374">
        <v>0</v>
      </c>
      <c r="LR374">
        <v>0</v>
      </c>
      <c r="LS374">
        <v>0</v>
      </c>
      <c r="LT374">
        <v>0</v>
      </c>
      <c r="LU374">
        <v>0</v>
      </c>
      <c r="LV374">
        <v>0</v>
      </c>
      <c r="LW374">
        <v>0</v>
      </c>
      <c r="LX374">
        <v>0</v>
      </c>
      <c r="LY374">
        <v>0</v>
      </c>
      <c r="LZ374">
        <v>0</v>
      </c>
      <c r="MA374">
        <v>0</v>
      </c>
      <c r="MB374">
        <v>0</v>
      </c>
      <c r="MC374">
        <v>0</v>
      </c>
      <c r="MD374">
        <v>0</v>
      </c>
      <c r="ME374">
        <v>0</v>
      </c>
      <c r="MF374">
        <v>0</v>
      </c>
      <c r="MG374">
        <v>0</v>
      </c>
      <c r="MH374">
        <v>0</v>
      </c>
      <c r="MI374">
        <v>0</v>
      </c>
      <c r="MJ374">
        <v>0</v>
      </c>
      <c r="MK374">
        <v>0</v>
      </c>
      <c r="ML374">
        <v>0</v>
      </c>
      <c r="MM374">
        <v>0</v>
      </c>
      <c r="MN374">
        <v>0</v>
      </c>
      <c r="MO374">
        <v>0</v>
      </c>
      <c r="MP374">
        <v>0</v>
      </c>
      <c r="MQ374">
        <v>0</v>
      </c>
      <c r="MR374">
        <v>0</v>
      </c>
      <c r="MS374">
        <v>0</v>
      </c>
      <c r="MT374">
        <v>0</v>
      </c>
      <c r="MU374">
        <v>0</v>
      </c>
      <c r="MV374">
        <v>0</v>
      </c>
      <c r="MW374">
        <v>0</v>
      </c>
      <c r="MX374">
        <v>0</v>
      </c>
      <c r="MY374">
        <v>0</v>
      </c>
      <c r="MZ374">
        <v>0</v>
      </c>
      <c r="NA374">
        <v>0</v>
      </c>
      <c r="NB374">
        <v>0</v>
      </c>
      <c r="NC374">
        <v>0</v>
      </c>
      <c r="ND374">
        <v>0</v>
      </c>
      <c r="NE374">
        <v>0</v>
      </c>
    </row>
    <row r="375" spans="41:369" x14ac:dyDescent="0.45">
      <c r="AO375">
        <v>0</v>
      </c>
      <c r="AP375">
        <v>0</v>
      </c>
      <c r="AQ375">
        <v>0</v>
      </c>
      <c r="AR375">
        <v>0</v>
      </c>
      <c r="AS375">
        <v>0</v>
      </c>
      <c r="AT375">
        <v>0</v>
      </c>
      <c r="AU375">
        <v>0</v>
      </c>
      <c r="AV375">
        <v>0</v>
      </c>
      <c r="AW375" t="str">
        <v/>
      </c>
      <c r="AX375">
        <v>255</v>
      </c>
      <c r="AY375" s="5" t="str">
        <v/>
      </c>
      <c r="AZ375">
        <v>0</v>
      </c>
      <c r="BA375">
        <v>0</v>
      </c>
      <c r="BB375">
        <v>0</v>
      </c>
      <c r="BC375">
        <v>0</v>
      </c>
      <c r="BD375">
        <v>0</v>
      </c>
      <c r="BE375">
        <v>0</v>
      </c>
      <c r="BF375">
        <v>0</v>
      </c>
      <c r="BG375">
        <v>0</v>
      </c>
      <c r="BH375">
        <v>0</v>
      </c>
      <c r="BI375" t="str">
        <v/>
      </c>
      <c r="BK375">
        <v>369</v>
      </c>
      <c r="BL375">
        <v>0</v>
      </c>
      <c r="BM375">
        <v>0</v>
      </c>
      <c r="BN375">
        <v>0</v>
      </c>
      <c r="BO375">
        <v>0</v>
      </c>
      <c r="BP375">
        <v>0</v>
      </c>
      <c r="BQ375">
        <v>0</v>
      </c>
      <c r="BR375">
        <v>0</v>
      </c>
      <c r="BS375">
        <v>0</v>
      </c>
      <c r="BT375">
        <v>0</v>
      </c>
      <c r="BU375">
        <v>0</v>
      </c>
      <c r="BV375">
        <v>0</v>
      </c>
      <c r="BW375">
        <v>0</v>
      </c>
      <c r="BX375">
        <v>0</v>
      </c>
      <c r="BY375">
        <v>0</v>
      </c>
      <c r="BZ375">
        <v>0</v>
      </c>
      <c r="CA375">
        <v>0</v>
      </c>
      <c r="CB375">
        <v>0</v>
      </c>
      <c r="CC375">
        <v>0</v>
      </c>
      <c r="CD375">
        <v>0</v>
      </c>
      <c r="CE375">
        <v>0</v>
      </c>
      <c r="CF375">
        <v>0</v>
      </c>
      <c r="CG375">
        <v>0</v>
      </c>
      <c r="CH375">
        <v>0</v>
      </c>
      <c r="CI375">
        <v>0</v>
      </c>
      <c r="CJ375">
        <v>0</v>
      </c>
      <c r="CK375">
        <v>0</v>
      </c>
      <c r="CL375">
        <v>0</v>
      </c>
      <c r="CM375">
        <v>0</v>
      </c>
      <c r="CN375">
        <v>0</v>
      </c>
      <c r="CO375">
        <v>0</v>
      </c>
      <c r="CP375">
        <v>0</v>
      </c>
      <c r="CQ375">
        <v>0</v>
      </c>
      <c r="CR375">
        <v>0</v>
      </c>
      <c r="CS375">
        <v>0</v>
      </c>
      <c r="CT375">
        <v>0</v>
      </c>
      <c r="CU375">
        <v>0</v>
      </c>
      <c r="CV375">
        <v>0</v>
      </c>
      <c r="CW375">
        <v>0</v>
      </c>
      <c r="CX375">
        <v>0</v>
      </c>
      <c r="CY375">
        <v>0</v>
      </c>
      <c r="CZ375">
        <v>0</v>
      </c>
      <c r="DA375">
        <v>0</v>
      </c>
      <c r="DB375">
        <v>0</v>
      </c>
      <c r="DC375">
        <v>0</v>
      </c>
      <c r="DD375">
        <v>0</v>
      </c>
      <c r="DE375">
        <v>0</v>
      </c>
      <c r="DF375">
        <v>0</v>
      </c>
      <c r="DG375">
        <v>0</v>
      </c>
      <c r="DH375">
        <v>0</v>
      </c>
      <c r="DI375">
        <v>0</v>
      </c>
      <c r="DJ375">
        <v>0</v>
      </c>
      <c r="DK375">
        <v>0</v>
      </c>
      <c r="DL375">
        <v>0</v>
      </c>
      <c r="DM375">
        <v>0</v>
      </c>
      <c r="DN375">
        <v>0</v>
      </c>
      <c r="DO375">
        <v>0</v>
      </c>
      <c r="DP375">
        <v>0</v>
      </c>
      <c r="DQ375">
        <v>0</v>
      </c>
      <c r="DR375">
        <v>0</v>
      </c>
      <c r="DS375">
        <v>0</v>
      </c>
      <c r="DT375">
        <v>0</v>
      </c>
      <c r="DU375">
        <v>0</v>
      </c>
      <c r="DV375">
        <v>0</v>
      </c>
      <c r="DW375">
        <v>0</v>
      </c>
      <c r="DX375">
        <v>0</v>
      </c>
      <c r="DY375">
        <v>0</v>
      </c>
      <c r="DZ375">
        <v>0</v>
      </c>
      <c r="EA375">
        <v>0</v>
      </c>
      <c r="EB375">
        <v>0</v>
      </c>
      <c r="EC375">
        <v>0</v>
      </c>
      <c r="ED375">
        <v>0</v>
      </c>
      <c r="EE375">
        <v>0</v>
      </c>
      <c r="EF375">
        <v>0</v>
      </c>
      <c r="EG375">
        <v>0</v>
      </c>
      <c r="EH375">
        <v>0</v>
      </c>
      <c r="EI375">
        <v>0</v>
      </c>
      <c r="EJ375">
        <v>0</v>
      </c>
      <c r="EK375">
        <v>0</v>
      </c>
      <c r="EL375">
        <v>0</v>
      </c>
      <c r="EM375">
        <v>0</v>
      </c>
      <c r="EN375">
        <v>0</v>
      </c>
      <c r="EO375">
        <v>0</v>
      </c>
      <c r="EP375">
        <v>0</v>
      </c>
      <c r="EQ375">
        <v>0</v>
      </c>
      <c r="ER375">
        <v>0</v>
      </c>
      <c r="ES375">
        <v>0</v>
      </c>
      <c r="ET375">
        <v>0</v>
      </c>
      <c r="EU375">
        <v>0</v>
      </c>
      <c r="EV375">
        <v>0</v>
      </c>
      <c r="EW375">
        <v>0</v>
      </c>
      <c r="EX375">
        <v>0</v>
      </c>
      <c r="EY375">
        <v>0</v>
      </c>
      <c r="EZ375">
        <v>0</v>
      </c>
      <c r="FA375">
        <v>0</v>
      </c>
      <c r="FB375">
        <v>0</v>
      </c>
      <c r="FC375">
        <v>0</v>
      </c>
      <c r="FD375">
        <v>0</v>
      </c>
      <c r="FE375">
        <v>0</v>
      </c>
      <c r="FF375">
        <v>0</v>
      </c>
      <c r="FG375">
        <v>0</v>
      </c>
      <c r="FH375">
        <v>0</v>
      </c>
      <c r="FI375">
        <v>0</v>
      </c>
      <c r="FJ375">
        <v>0</v>
      </c>
      <c r="FK375">
        <v>0</v>
      </c>
      <c r="FL375">
        <v>0</v>
      </c>
      <c r="FM375">
        <v>0</v>
      </c>
      <c r="FN375">
        <v>0</v>
      </c>
      <c r="FO375">
        <v>0</v>
      </c>
      <c r="FP375">
        <v>0</v>
      </c>
      <c r="FQ375">
        <v>0</v>
      </c>
      <c r="FR375">
        <v>0</v>
      </c>
      <c r="FS375">
        <v>0</v>
      </c>
      <c r="FT375">
        <v>0</v>
      </c>
      <c r="FU375">
        <v>0</v>
      </c>
      <c r="FV375">
        <v>0</v>
      </c>
      <c r="FW375">
        <v>0</v>
      </c>
      <c r="FX375">
        <v>0</v>
      </c>
      <c r="FY375">
        <v>0</v>
      </c>
      <c r="FZ375">
        <v>0</v>
      </c>
      <c r="GA375">
        <v>0</v>
      </c>
      <c r="GB375">
        <v>0</v>
      </c>
      <c r="GC375">
        <v>0</v>
      </c>
      <c r="GD375">
        <v>0</v>
      </c>
      <c r="GE375">
        <v>0</v>
      </c>
      <c r="GF375">
        <v>0</v>
      </c>
      <c r="GG375">
        <v>0</v>
      </c>
      <c r="GH375">
        <v>0</v>
      </c>
      <c r="GI375">
        <v>0</v>
      </c>
      <c r="GJ375">
        <v>0</v>
      </c>
      <c r="GK375">
        <v>0</v>
      </c>
      <c r="GL375">
        <v>0</v>
      </c>
      <c r="GM375">
        <v>0</v>
      </c>
      <c r="GN375">
        <v>0</v>
      </c>
      <c r="GO375">
        <v>0</v>
      </c>
      <c r="GP375">
        <v>0</v>
      </c>
      <c r="GQ375">
        <v>0</v>
      </c>
      <c r="GR375">
        <v>0</v>
      </c>
      <c r="GS375">
        <v>0</v>
      </c>
      <c r="GT375">
        <v>0</v>
      </c>
      <c r="GU375">
        <v>0</v>
      </c>
      <c r="GV375">
        <v>0</v>
      </c>
      <c r="GW375">
        <v>0</v>
      </c>
      <c r="GX375">
        <v>0</v>
      </c>
      <c r="GY375">
        <v>0</v>
      </c>
      <c r="GZ375">
        <v>0</v>
      </c>
      <c r="HA375">
        <v>0</v>
      </c>
      <c r="HB375">
        <v>0</v>
      </c>
      <c r="HC375">
        <v>0</v>
      </c>
      <c r="HD375">
        <v>0</v>
      </c>
      <c r="HE375">
        <v>0</v>
      </c>
      <c r="HF375">
        <v>0</v>
      </c>
      <c r="HG375">
        <v>0</v>
      </c>
      <c r="HH375">
        <v>0</v>
      </c>
      <c r="HI375">
        <v>0</v>
      </c>
      <c r="HJ375">
        <v>0</v>
      </c>
      <c r="HK375">
        <v>0</v>
      </c>
      <c r="HL375">
        <v>0</v>
      </c>
      <c r="HM375">
        <v>0</v>
      </c>
      <c r="HN375">
        <v>0</v>
      </c>
      <c r="HO375">
        <v>0</v>
      </c>
      <c r="HP375">
        <v>0</v>
      </c>
      <c r="HQ375">
        <v>0</v>
      </c>
      <c r="HR375">
        <v>0</v>
      </c>
      <c r="HS375">
        <v>0</v>
      </c>
      <c r="HT375">
        <v>0</v>
      </c>
      <c r="HU375">
        <v>0</v>
      </c>
      <c r="HV375">
        <v>0</v>
      </c>
      <c r="HW375">
        <v>0</v>
      </c>
      <c r="HX375">
        <v>0</v>
      </c>
      <c r="HY375">
        <v>0</v>
      </c>
      <c r="HZ375">
        <v>0</v>
      </c>
      <c r="IA375">
        <v>0</v>
      </c>
      <c r="IB375">
        <v>0</v>
      </c>
      <c r="IC375">
        <v>0</v>
      </c>
      <c r="ID375">
        <v>0</v>
      </c>
      <c r="IE375">
        <v>0</v>
      </c>
      <c r="IF375">
        <v>0</v>
      </c>
      <c r="IG375">
        <v>0</v>
      </c>
      <c r="IH375">
        <v>0</v>
      </c>
      <c r="II375">
        <v>0</v>
      </c>
      <c r="IJ375">
        <v>0</v>
      </c>
      <c r="IK375">
        <v>0</v>
      </c>
      <c r="IL375">
        <v>0</v>
      </c>
      <c r="IM375">
        <v>0</v>
      </c>
      <c r="IN375">
        <v>0</v>
      </c>
      <c r="IO375">
        <v>0</v>
      </c>
      <c r="IP375">
        <v>0</v>
      </c>
      <c r="IQ375">
        <v>0</v>
      </c>
      <c r="IR375">
        <v>0</v>
      </c>
      <c r="IS375">
        <v>0</v>
      </c>
      <c r="IT375">
        <v>0</v>
      </c>
      <c r="IU375">
        <v>0</v>
      </c>
      <c r="IV375">
        <v>0</v>
      </c>
      <c r="IW375">
        <v>0</v>
      </c>
      <c r="IX375">
        <v>0</v>
      </c>
      <c r="IY375">
        <v>0</v>
      </c>
      <c r="IZ375">
        <v>0</v>
      </c>
      <c r="JA375">
        <v>0</v>
      </c>
      <c r="JB375">
        <v>0</v>
      </c>
      <c r="JC375">
        <v>0</v>
      </c>
      <c r="JD375">
        <v>0</v>
      </c>
      <c r="JE375">
        <v>0</v>
      </c>
      <c r="JF375">
        <v>0</v>
      </c>
      <c r="JG375">
        <v>0</v>
      </c>
      <c r="JH375">
        <v>0</v>
      </c>
      <c r="JI375">
        <v>0</v>
      </c>
      <c r="JJ375">
        <v>0</v>
      </c>
      <c r="JK375">
        <v>0</v>
      </c>
      <c r="JL375">
        <v>0</v>
      </c>
      <c r="JM375">
        <v>0</v>
      </c>
      <c r="JN375">
        <v>0</v>
      </c>
      <c r="JO375">
        <v>0</v>
      </c>
      <c r="JP375">
        <v>0</v>
      </c>
      <c r="JQ375">
        <v>0</v>
      </c>
      <c r="JR375">
        <v>0</v>
      </c>
      <c r="JS375">
        <v>0</v>
      </c>
      <c r="JT375">
        <v>0</v>
      </c>
      <c r="JU375">
        <v>0</v>
      </c>
      <c r="JV375">
        <v>0</v>
      </c>
      <c r="JW375">
        <v>0</v>
      </c>
      <c r="JX375">
        <v>0</v>
      </c>
      <c r="JY375">
        <v>0</v>
      </c>
      <c r="JZ375">
        <v>0</v>
      </c>
      <c r="KA375">
        <v>0</v>
      </c>
      <c r="KB375">
        <v>0</v>
      </c>
      <c r="KC375">
        <v>0</v>
      </c>
      <c r="KD375">
        <v>0</v>
      </c>
      <c r="KE375">
        <v>0</v>
      </c>
      <c r="KF375">
        <v>0</v>
      </c>
      <c r="KG375">
        <v>0</v>
      </c>
      <c r="KH375">
        <v>0</v>
      </c>
      <c r="KI375">
        <v>0</v>
      </c>
      <c r="KJ375">
        <v>0</v>
      </c>
      <c r="KK375">
        <v>0</v>
      </c>
      <c r="KL375">
        <v>0</v>
      </c>
      <c r="KM375">
        <v>0</v>
      </c>
      <c r="KN375">
        <v>0</v>
      </c>
      <c r="KO375">
        <v>0</v>
      </c>
      <c r="KP375">
        <v>0</v>
      </c>
      <c r="KQ375">
        <v>0</v>
      </c>
      <c r="KR375">
        <v>0</v>
      </c>
      <c r="KS375">
        <v>0</v>
      </c>
      <c r="KT375">
        <v>0</v>
      </c>
      <c r="KU375">
        <v>0</v>
      </c>
      <c r="KV375">
        <v>0</v>
      </c>
      <c r="KW375">
        <v>0</v>
      </c>
      <c r="KX375">
        <v>0</v>
      </c>
      <c r="KY375">
        <v>0</v>
      </c>
      <c r="KZ375">
        <v>0</v>
      </c>
      <c r="LA375">
        <v>0</v>
      </c>
      <c r="LB375">
        <v>0</v>
      </c>
      <c r="LC375">
        <v>0</v>
      </c>
      <c r="LD375">
        <v>0</v>
      </c>
      <c r="LE375">
        <v>0</v>
      </c>
      <c r="LF375">
        <v>0</v>
      </c>
      <c r="LG375">
        <v>0</v>
      </c>
      <c r="LH375">
        <v>0</v>
      </c>
      <c r="LI375">
        <v>0</v>
      </c>
      <c r="LJ375">
        <v>0</v>
      </c>
      <c r="LK375">
        <v>0</v>
      </c>
      <c r="LL375">
        <v>0</v>
      </c>
      <c r="LM375">
        <v>0</v>
      </c>
      <c r="LN375">
        <v>0</v>
      </c>
      <c r="LO375">
        <v>0</v>
      </c>
      <c r="LP375">
        <v>0</v>
      </c>
      <c r="LQ375">
        <v>0</v>
      </c>
      <c r="LR375">
        <v>0</v>
      </c>
      <c r="LS375">
        <v>0</v>
      </c>
      <c r="LT375">
        <v>0</v>
      </c>
      <c r="LU375">
        <v>0</v>
      </c>
      <c r="LV375">
        <v>0</v>
      </c>
      <c r="LW375">
        <v>0</v>
      </c>
      <c r="LX375">
        <v>0</v>
      </c>
      <c r="LY375">
        <v>0</v>
      </c>
      <c r="LZ375">
        <v>0</v>
      </c>
      <c r="MA375">
        <v>0</v>
      </c>
      <c r="MB375">
        <v>0</v>
      </c>
      <c r="MC375">
        <v>0</v>
      </c>
      <c r="MD375">
        <v>0</v>
      </c>
      <c r="ME375">
        <v>0</v>
      </c>
      <c r="MF375">
        <v>0</v>
      </c>
      <c r="MG375">
        <v>0</v>
      </c>
      <c r="MH375">
        <v>0</v>
      </c>
      <c r="MI375">
        <v>0</v>
      </c>
      <c r="MJ375">
        <v>0</v>
      </c>
      <c r="MK375">
        <v>0</v>
      </c>
      <c r="ML375">
        <v>0</v>
      </c>
      <c r="MM375">
        <v>0</v>
      </c>
      <c r="MN375">
        <v>0</v>
      </c>
      <c r="MO375">
        <v>0</v>
      </c>
      <c r="MP375">
        <v>0</v>
      </c>
      <c r="MQ375">
        <v>0</v>
      </c>
      <c r="MR375">
        <v>0</v>
      </c>
      <c r="MS375">
        <v>0</v>
      </c>
      <c r="MT375">
        <v>0</v>
      </c>
      <c r="MU375">
        <v>0</v>
      </c>
      <c r="MV375">
        <v>0</v>
      </c>
      <c r="MW375">
        <v>0</v>
      </c>
      <c r="MX375">
        <v>0</v>
      </c>
      <c r="MY375">
        <v>0</v>
      </c>
      <c r="MZ375">
        <v>0</v>
      </c>
      <c r="NA375">
        <v>0</v>
      </c>
      <c r="NB375">
        <v>0</v>
      </c>
      <c r="NC375">
        <v>0</v>
      </c>
      <c r="ND375">
        <v>0</v>
      </c>
      <c r="NE375">
        <v>0</v>
      </c>
    </row>
    <row r="376" spans="41:369" x14ac:dyDescent="0.45">
      <c r="AO376">
        <v>0</v>
      </c>
      <c r="AP376">
        <v>0</v>
      </c>
      <c r="AQ376">
        <v>0</v>
      </c>
      <c r="AR376">
        <v>0</v>
      </c>
      <c r="AS376">
        <v>0</v>
      </c>
      <c r="AT376">
        <v>0</v>
      </c>
      <c r="AU376">
        <v>0</v>
      </c>
      <c r="AV376">
        <v>0</v>
      </c>
      <c r="AW376" t="str">
        <v/>
      </c>
      <c r="AX376">
        <v>255</v>
      </c>
      <c r="AY376" s="5" t="str">
        <v/>
      </c>
      <c r="AZ376">
        <v>0</v>
      </c>
      <c r="BA376">
        <v>0</v>
      </c>
      <c r="BB376">
        <v>0</v>
      </c>
      <c r="BC376">
        <v>0</v>
      </c>
      <c r="BD376">
        <v>0</v>
      </c>
      <c r="BE376">
        <v>0</v>
      </c>
      <c r="BF376">
        <v>0</v>
      </c>
      <c r="BG376">
        <v>0</v>
      </c>
      <c r="BH376">
        <v>0</v>
      </c>
      <c r="BI376" t="str">
        <v/>
      </c>
      <c r="BK376">
        <v>370</v>
      </c>
      <c r="BL376">
        <v>0</v>
      </c>
      <c r="BM376">
        <v>0</v>
      </c>
      <c r="BN376">
        <v>0</v>
      </c>
      <c r="BO376">
        <v>0</v>
      </c>
      <c r="BP376">
        <v>0</v>
      </c>
      <c r="BQ376">
        <v>0</v>
      </c>
      <c r="BR376">
        <v>0</v>
      </c>
      <c r="BS376">
        <v>0</v>
      </c>
      <c r="BT376">
        <v>0</v>
      </c>
      <c r="BU376">
        <v>0</v>
      </c>
      <c r="BV376">
        <v>0</v>
      </c>
      <c r="BW376">
        <v>0</v>
      </c>
      <c r="BX376">
        <v>0</v>
      </c>
      <c r="BY376">
        <v>0</v>
      </c>
      <c r="BZ376">
        <v>0</v>
      </c>
      <c r="CA376">
        <v>0</v>
      </c>
      <c r="CB376">
        <v>0</v>
      </c>
      <c r="CC376">
        <v>0</v>
      </c>
      <c r="CD376">
        <v>0</v>
      </c>
      <c r="CE376">
        <v>0</v>
      </c>
      <c r="CF376">
        <v>0</v>
      </c>
      <c r="CG376">
        <v>0</v>
      </c>
      <c r="CH376">
        <v>0</v>
      </c>
      <c r="CI376">
        <v>0</v>
      </c>
      <c r="CJ376">
        <v>0</v>
      </c>
      <c r="CK376">
        <v>0</v>
      </c>
      <c r="CL376">
        <v>0</v>
      </c>
      <c r="CM376">
        <v>0</v>
      </c>
      <c r="CN376">
        <v>0</v>
      </c>
      <c r="CO376">
        <v>0</v>
      </c>
      <c r="CP376">
        <v>0</v>
      </c>
      <c r="CQ376">
        <v>0</v>
      </c>
      <c r="CR376">
        <v>0</v>
      </c>
      <c r="CS376">
        <v>0</v>
      </c>
      <c r="CT376">
        <v>0</v>
      </c>
      <c r="CU376">
        <v>0</v>
      </c>
      <c r="CV376">
        <v>0</v>
      </c>
      <c r="CW376">
        <v>0</v>
      </c>
      <c r="CX376">
        <v>0</v>
      </c>
      <c r="CY376">
        <v>0</v>
      </c>
      <c r="CZ376">
        <v>0</v>
      </c>
      <c r="DA376">
        <v>0</v>
      </c>
      <c r="DB376">
        <v>0</v>
      </c>
      <c r="DC376">
        <v>0</v>
      </c>
      <c r="DD376">
        <v>0</v>
      </c>
      <c r="DE376">
        <v>0</v>
      </c>
      <c r="DF376">
        <v>0</v>
      </c>
      <c r="DG376">
        <v>0</v>
      </c>
      <c r="DH376">
        <v>0</v>
      </c>
      <c r="DI376">
        <v>0</v>
      </c>
      <c r="DJ376">
        <v>0</v>
      </c>
      <c r="DK376">
        <v>0</v>
      </c>
      <c r="DL376">
        <v>0</v>
      </c>
      <c r="DM376">
        <v>0</v>
      </c>
      <c r="DN376">
        <v>0</v>
      </c>
      <c r="DO376">
        <v>0</v>
      </c>
      <c r="DP376">
        <v>0</v>
      </c>
      <c r="DQ376">
        <v>0</v>
      </c>
      <c r="DR376">
        <v>0</v>
      </c>
      <c r="DS376">
        <v>0</v>
      </c>
      <c r="DT376">
        <v>0</v>
      </c>
      <c r="DU376">
        <v>0</v>
      </c>
      <c r="DV376">
        <v>0</v>
      </c>
      <c r="DW376">
        <v>0</v>
      </c>
      <c r="DX376">
        <v>0</v>
      </c>
      <c r="DY376">
        <v>0</v>
      </c>
      <c r="DZ376">
        <v>0</v>
      </c>
      <c r="EA376">
        <v>0</v>
      </c>
      <c r="EB376">
        <v>0</v>
      </c>
      <c r="EC376">
        <v>0</v>
      </c>
      <c r="ED376">
        <v>0</v>
      </c>
      <c r="EE376">
        <v>0</v>
      </c>
      <c r="EF376">
        <v>0</v>
      </c>
      <c r="EG376">
        <v>0</v>
      </c>
      <c r="EH376">
        <v>0</v>
      </c>
      <c r="EI376">
        <v>0</v>
      </c>
      <c r="EJ376">
        <v>0</v>
      </c>
      <c r="EK376">
        <v>0</v>
      </c>
      <c r="EL376">
        <v>0</v>
      </c>
      <c r="EM376">
        <v>0</v>
      </c>
      <c r="EN376">
        <v>0</v>
      </c>
      <c r="EO376">
        <v>0</v>
      </c>
      <c r="EP376">
        <v>0</v>
      </c>
      <c r="EQ376">
        <v>0</v>
      </c>
      <c r="ER376">
        <v>0</v>
      </c>
      <c r="ES376">
        <v>0</v>
      </c>
      <c r="ET376">
        <v>0</v>
      </c>
      <c r="EU376">
        <v>0</v>
      </c>
      <c r="EV376">
        <v>0</v>
      </c>
      <c r="EW376">
        <v>0</v>
      </c>
      <c r="EX376">
        <v>0</v>
      </c>
      <c r="EY376">
        <v>0</v>
      </c>
      <c r="EZ376">
        <v>0</v>
      </c>
      <c r="FA376">
        <v>0</v>
      </c>
      <c r="FB376">
        <v>0</v>
      </c>
      <c r="FC376">
        <v>0</v>
      </c>
      <c r="FD376">
        <v>0</v>
      </c>
      <c r="FE376">
        <v>0</v>
      </c>
      <c r="FF376">
        <v>0</v>
      </c>
      <c r="FG376">
        <v>0</v>
      </c>
      <c r="FH376">
        <v>0</v>
      </c>
      <c r="FI376">
        <v>0</v>
      </c>
      <c r="FJ376">
        <v>0</v>
      </c>
      <c r="FK376">
        <v>0</v>
      </c>
      <c r="FL376">
        <v>0</v>
      </c>
      <c r="FM376">
        <v>0</v>
      </c>
      <c r="FN376">
        <v>0</v>
      </c>
      <c r="FO376">
        <v>0</v>
      </c>
      <c r="FP376">
        <v>0</v>
      </c>
      <c r="FQ376">
        <v>0</v>
      </c>
      <c r="FR376">
        <v>0</v>
      </c>
      <c r="FS376">
        <v>0</v>
      </c>
      <c r="FT376">
        <v>0</v>
      </c>
      <c r="FU376">
        <v>0</v>
      </c>
      <c r="FV376">
        <v>0</v>
      </c>
      <c r="FW376">
        <v>0</v>
      </c>
      <c r="FX376">
        <v>0</v>
      </c>
      <c r="FY376">
        <v>0</v>
      </c>
      <c r="FZ376">
        <v>0</v>
      </c>
      <c r="GA376">
        <v>0</v>
      </c>
      <c r="GB376">
        <v>0</v>
      </c>
      <c r="GC376">
        <v>0</v>
      </c>
      <c r="GD376">
        <v>0</v>
      </c>
      <c r="GE376">
        <v>0</v>
      </c>
      <c r="GF376">
        <v>0</v>
      </c>
      <c r="GG376">
        <v>0</v>
      </c>
      <c r="GH376">
        <v>0</v>
      </c>
      <c r="GI376">
        <v>0</v>
      </c>
      <c r="GJ376">
        <v>0</v>
      </c>
      <c r="GK376">
        <v>0</v>
      </c>
      <c r="GL376">
        <v>0</v>
      </c>
      <c r="GM376">
        <v>0</v>
      </c>
      <c r="GN376">
        <v>0</v>
      </c>
      <c r="GO376">
        <v>0</v>
      </c>
      <c r="GP376">
        <v>0</v>
      </c>
      <c r="GQ376">
        <v>0</v>
      </c>
      <c r="GR376">
        <v>0</v>
      </c>
      <c r="GS376">
        <v>0</v>
      </c>
      <c r="GT376">
        <v>0</v>
      </c>
      <c r="GU376">
        <v>0</v>
      </c>
      <c r="GV376">
        <v>0</v>
      </c>
      <c r="GW376">
        <v>0</v>
      </c>
      <c r="GX376">
        <v>0</v>
      </c>
      <c r="GY376">
        <v>0</v>
      </c>
      <c r="GZ376">
        <v>0</v>
      </c>
      <c r="HA376">
        <v>0</v>
      </c>
      <c r="HB376">
        <v>0</v>
      </c>
      <c r="HC376">
        <v>0</v>
      </c>
      <c r="HD376">
        <v>0</v>
      </c>
      <c r="HE376">
        <v>0</v>
      </c>
      <c r="HF376">
        <v>0</v>
      </c>
      <c r="HG376">
        <v>0</v>
      </c>
      <c r="HH376">
        <v>0</v>
      </c>
      <c r="HI376">
        <v>0</v>
      </c>
      <c r="HJ376">
        <v>0</v>
      </c>
      <c r="HK376">
        <v>0</v>
      </c>
      <c r="HL376">
        <v>0</v>
      </c>
      <c r="HM376">
        <v>0</v>
      </c>
      <c r="HN376">
        <v>0</v>
      </c>
      <c r="HO376">
        <v>0</v>
      </c>
      <c r="HP376">
        <v>0</v>
      </c>
      <c r="HQ376">
        <v>0</v>
      </c>
      <c r="HR376">
        <v>0</v>
      </c>
      <c r="HS376">
        <v>0</v>
      </c>
      <c r="HT376">
        <v>0</v>
      </c>
      <c r="HU376">
        <v>0</v>
      </c>
      <c r="HV376">
        <v>0</v>
      </c>
      <c r="HW376">
        <v>0</v>
      </c>
      <c r="HX376">
        <v>0</v>
      </c>
      <c r="HY376">
        <v>0</v>
      </c>
      <c r="HZ376">
        <v>0</v>
      </c>
      <c r="IA376">
        <v>0</v>
      </c>
      <c r="IB376">
        <v>0</v>
      </c>
      <c r="IC376">
        <v>0</v>
      </c>
      <c r="ID376">
        <v>0</v>
      </c>
      <c r="IE376">
        <v>0</v>
      </c>
      <c r="IF376">
        <v>0</v>
      </c>
      <c r="IG376">
        <v>0</v>
      </c>
      <c r="IH376">
        <v>0</v>
      </c>
      <c r="II376">
        <v>0</v>
      </c>
      <c r="IJ376">
        <v>0</v>
      </c>
      <c r="IK376">
        <v>0</v>
      </c>
      <c r="IL376">
        <v>0</v>
      </c>
      <c r="IM376">
        <v>0</v>
      </c>
      <c r="IN376">
        <v>0</v>
      </c>
      <c r="IO376">
        <v>0</v>
      </c>
      <c r="IP376">
        <v>0</v>
      </c>
      <c r="IQ376">
        <v>0</v>
      </c>
      <c r="IR376">
        <v>0</v>
      </c>
      <c r="IS376">
        <v>0</v>
      </c>
      <c r="IT376">
        <v>0</v>
      </c>
      <c r="IU376">
        <v>0</v>
      </c>
      <c r="IV376">
        <v>0</v>
      </c>
      <c r="IW376">
        <v>0</v>
      </c>
      <c r="IX376">
        <v>0</v>
      </c>
      <c r="IY376">
        <v>0</v>
      </c>
      <c r="IZ376">
        <v>0</v>
      </c>
      <c r="JA376">
        <v>0</v>
      </c>
      <c r="JB376">
        <v>0</v>
      </c>
      <c r="JC376">
        <v>0</v>
      </c>
      <c r="JD376">
        <v>0</v>
      </c>
      <c r="JE376">
        <v>0</v>
      </c>
      <c r="JF376">
        <v>0</v>
      </c>
      <c r="JG376">
        <v>0</v>
      </c>
      <c r="JH376">
        <v>0</v>
      </c>
      <c r="JI376">
        <v>0</v>
      </c>
      <c r="JJ376">
        <v>0</v>
      </c>
      <c r="JK376">
        <v>0</v>
      </c>
      <c r="JL376">
        <v>0</v>
      </c>
      <c r="JM376">
        <v>0</v>
      </c>
      <c r="JN376">
        <v>0</v>
      </c>
      <c r="JO376">
        <v>0</v>
      </c>
      <c r="JP376">
        <v>0</v>
      </c>
      <c r="JQ376">
        <v>0</v>
      </c>
      <c r="JR376">
        <v>0</v>
      </c>
      <c r="JS376">
        <v>0</v>
      </c>
      <c r="JT376">
        <v>0</v>
      </c>
      <c r="JU376">
        <v>0</v>
      </c>
      <c r="JV376">
        <v>0</v>
      </c>
      <c r="JW376">
        <v>0</v>
      </c>
      <c r="JX376">
        <v>0</v>
      </c>
      <c r="JY376">
        <v>0</v>
      </c>
      <c r="JZ376">
        <v>0</v>
      </c>
      <c r="KA376">
        <v>0</v>
      </c>
      <c r="KB376">
        <v>0</v>
      </c>
      <c r="KC376">
        <v>0</v>
      </c>
      <c r="KD376">
        <v>0</v>
      </c>
      <c r="KE376">
        <v>0</v>
      </c>
      <c r="KF376">
        <v>0</v>
      </c>
      <c r="KG376">
        <v>0</v>
      </c>
      <c r="KH376">
        <v>0</v>
      </c>
      <c r="KI376">
        <v>0</v>
      </c>
      <c r="KJ376">
        <v>0</v>
      </c>
      <c r="KK376">
        <v>0</v>
      </c>
      <c r="KL376">
        <v>0</v>
      </c>
      <c r="KM376">
        <v>0</v>
      </c>
      <c r="KN376">
        <v>0</v>
      </c>
      <c r="KO376">
        <v>0</v>
      </c>
      <c r="KP376">
        <v>0</v>
      </c>
      <c r="KQ376">
        <v>0</v>
      </c>
      <c r="KR376">
        <v>0</v>
      </c>
      <c r="KS376">
        <v>0</v>
      </c>
      <c r="KT376">
        <v>0</v>
      </c>
      <c r="KU376">
        <v>0</v>
      </c>
      <c r="KV376">
        <v>0</v>
      </c>
      <c r="KW376">
        <v>0</v>
      </c>
      <c r="KX376">
        <v>0</v>
      </c>
      <c r="KY376">
        <v>0</v>
      </c>
      <c r="KZ376">
        <v>0</v>
      </c>
      <c r="LA376">
        <v>0</v>
      </c>
      <c r="LB376">
        <v>0</v>
      </c>
      <c r="LC376">
        <v>0</v>
      </c>
      <c r="LD376">
        <v>0</v>
      </c>
      <c r="LE376">
        <v>0</v>
      </c>
      <c r="LF376">
        <v>0</v>
      </c>
      <c r="LG376">
        <v>0</v>
      </c>
      <c r="LH376">
        <v>0</v>
      </c>
      <c r="LI376">
        <v>0</v>
      </c>
      <c r="LJ376">
        <v>0</v>
      </c>
      <c r="LK376">
        <v>0</v>
      </c>
      <c r="LL376">
        <v>0</v>
      </c>
      <c r="LM376">
        <v>0</v>
      </c>
      <c r="LN376">
        <v>0</v>
      </c>
      <c r="LO376">
        <v>0</v>
      </c>
      <c r="LP376">
        <v>0</v>
      </c>
      <c r="LQ376">
        <v>0</v>
      </c>
      <c r="LR376">
        <v>0</v>
      </c>
      <c r="LS376">
        <v>0</v>
      </c>
      <c r="LT376">
        <v>0</v>
      </c>
      <c r="LU376">
        <v>0</v>
      </c>
      <c r="LV376">
        <v>0</v>
      </c>
      <c r="LW376">
        <v>0</v>
      </c>
      <c r="LX376">
        <v>0</v>
      </c>
      <c r="LY376">
        <v>0</v>
      </c>
      <c r="LZ376">
        <v>0</v>
      </c>
      <c r="MA376">
        <v>0</v>
      </c>
      <c r="MB376">
        <v>0</v>
      </c>
      <c r="MC376">
        <v>0</v>
      </c>
      <c r="MD376">
        <v>0</v>
      </c>
      <c r="ME376">
        <v>0</v>
      </c>
      <c r="MF376">
        <v>0</v>
      </c>
      <c r="MG376">
        <v>0</v>
      </c>
      <c r="MH376">
        <v>0</v>
      </c>
      <c r="MI376">
        <v>0</v>
      </c>
      <c r="MJ376">
        <v>0</v>
      </c>
      <c r="MK376">
        <v>0</v>
      </c>
      <c r="ML376">
        <v>0</v>
      </c>
      <c r="MM376">
        <v>0</v>
      </c>
      <c r="MN376">
        <v>0</v>
      </c>
      <c r="MO376">
        <v>0</v>
      </c>
      <c r="MP376">
        <v>0</v>
      </c>
      <c r="MQ376">
        <v>0</v>
      </c>
      <c r="MR376">
        <v>0</v>
      </c>
      <c r="MS376">
        <v>0</v>
      </c>
      <c r="MT376">
        <v>0</v>
      </c>
      <c r="MU376">
        <v>0</v>
      </c>
      <c r="MV376">
        <v>0</v>
      </c>
      <c r="MW376">
        <v>0</v>
      </c>
      <c r="MX376">
        <v>0</v>
      </c>
      <c r="MY376">
        <v>0</v>
      </c>
      <c r="MZ376">
        <v>0</v>
      </c>
      <c r="NA376">
        <v>0</v>
      </c>
      <c r="NB376">
        <v>0</v>
      </c>
      <c r="NC376">
        <v>0</v>
      </c>
      <c r="ND376">
        <v>0</v>
      </c>
      <c r="NE376">
        <v>0</v>
      </c>
    </row>
    <row r="377" spans="41:369" x14ac:dyDescent="0.45">
      <c r="AO377">
        <v>0</v>
      </c>
      <c r="AP377">
        <v>0</v>
      </c>
      <c r="AQ377">
        <v>0</v>
      </c>
      <c r="AR377">
        <v>0</v>
      </c>
      <c r="AS377">
        <v>0</v>
      </c>
      <c r="AT377">
        <v>0</v>
      </c>
      <c r="AU377">
        <v>0</v>
      </c>
      <c r="AV377">
        <v>0</v>
      </c>
      <c r="AW377" t="str">
        <v/>
      </c>
      <c r="AX377">
        <v>255</v>
      </c>
      <c r="AY377" s="5" t="str">
        <v/>
      </c>
      <c r="AZ377">
        <v>0</v>
      </c>
      <c r="BA377">
        <v>0</v>
      </c>
      <c r="BB377">
        <v>0</v>
      </c>
      <c r="BC377">
        <v>0</v>
      </c>
      <c r="BD377">
        <v>0</v>
      </c>
      <c r="BE377">
        <v>0</v>
      </c>
      <c r="BF377">
        <v>0</v>
      </c>
      <c r="BG377">
        <v>0</v>
      </c>
      <c r="BH377">
        <v>0</v>
      </c>
      <c r="BI377" t="str">
        <v/>
      </c>
      <c r="BK377">
        <v>371</v>
      </c>
      <c r="BL377">
        <v>0</v>
      </c>
      <c r="BM377">
        <v>0</v>
      </c>
      <c r="BN377">
        <v>0</v>
      </c>
      <c r="BO377">
        <v>0</v>
      </c>
      <c r="BP377">
        <v>0</v>
      </c>
      <c r="BQ377">
        <v>0</v>
      </c>
      <c r="BR377">
        <v>0</v>
      </c>
      <c r="BS377">
        <v>0</v>
      </c>
      <c r="BT377">
        <v>0</v>
      </c>
      <c r="BU377">
        <v>0</v>
      </c>
      <c r="BV377">
        <v>0</v>
      </c>
      <c r="BW377">
        <v>0</v>
      </c>
      <c r="BX377">
        <v>0</v>
      </c>
      <c r="BY377">
        <v>0</v>
      </c>
      <c r="BZ377">
        <v>0</v>
      </c>
      <c r="CA377">
        <v>0</v>
      </c>
      <c r="CB377">
        <v>0</v>
      </c>
      <c r="CC377">
        <v>0</v>
      </c>
      <c r="CD377">
        <v>0</v>
      </c>
      <c r="CE377">
        <v>0</v>
      </c>
      <c r="CF377">
        <v>0</v>
      </c>
      <c r="CG377">
        <v>0</v>
      </c>
      <c r="CH377">
        <v>0</v>
      </c>
      <c r="CI377">
        <v>0</v>
      </c>
      <c r="CJ377">
        <v>0</v>
      </c>
      <c r="CK377">
        <v>0</v>
      </c>
      <c r="CL377">
        <v>0</v>
      </c>
      <c r="CM377">
        <v>0</v>
      </c>
      <c r="CN377">
        <v>0</v>
      </c>
      <c r="CO377">
        <v>0</v>
      </c>
      <c r="CP377">
        <v>0</v>
      </c>
      <c r="CQ377">
        <v>0</v>
      </c>
      <c r="CR377">
        <v>0</v>
      </c>
      <c r="CS377">
        <v>0</v>
      </c>
      <c r="CT377">
        <v>0</v>
      </c>
      <c r="CU377">
        <v>0</v>
      </c>
      <c r="CV377">
        <v>0</v>
      </c>
      <c r="CW377">
        <v>0</v>
      </c>
      <c r="CX377">
        <v>0</v>
      </c>
      <c r="CY377">
        <v>0</v>
      </c>
      <c r="CZ377">
        <v>0</v>
      </c>
      <c r="DA377">
        <v>0</v>
      </c>
      <c r="DB377">
        <v>0</v>
      </c>
      <c r="DC377">
        <v>0</v>
      </c>
      <c r="DD377">
        <v>0</v>
      </c>
      <c r="DE377">
        <v>0</v>
      </c>
      <c r="DF377">
        <v>0</v>
      </c>
      <c r="DG377">
        <v>0</v>
      </c>
      <c r="DH377">
        <v>0</v>
      </c>
      <c r="DI377">
        <v>0</v>
      </c>
      <c r="DJ377">
        <v>0</v>
      </c>
      <c r="DK377">
        <v>0</v>
      </c>
      <c r="DL377">
        <v>0</v>
      </c>
      <c r="DM377">
        <v>0</v>
      </c>
      <c r="DN377">
        <v>0</v>
      </c>
      <c r="DO377">
        <v>0</v>
      </c>
      <c r="DP377">
        <v>0</v>
      </c>
      <c r="DQ377">
        <v>0</v>
      </c>
      <c r="DR377">
        <v>0</v>
      </c>
      <c r="DS377">
        <v>0</v>
      </c>
      <c r="DT377">
        <v>0</v>
      </c>
      <c r="DU377">
        <v>0</v>
      </c>
      <c r="DV377">
        <v>0</v>
      </c>
      <c r="DW377">
        <v>0</v>
      </c>
      <c r="DX377">
        <v>0</v>
      </c>
      <c r="DY377">
        <v>0</v>
      </c>
      <c r="DZ377">
        <v>0</v>
      </c>
      <c r="EA377">
        <v>0</v>
      </c>
      <c r="EB377">
        <v>0</v>
      </c>
      <c r="EC377">
        <v>0</v>
      </c>
      <c r="ED377">
        <v>0</v>
      </c>
      <c r="EE377">
        <v>0</v>
      </c>
      <c r="EF377">
        <v>0</v>
      </c>
      <c r="EG377">
        <v>0</v>
      </c>
      <c r="EH377">
        <v>0</v>
      </c>
      <c r="EI377">
        <v>0</v>
      </c>
      <c r="EJ377">
        <v>0</v>
      </c>
      <c r="EK377">
        <v>0</v>
      </c>
      <c r="EL377">
        <v>0</v>
      </c>
      <c r="EM377">
        <v>0</v>
      </c>
      <c r="EN377">
        <v>0</v>
      </c>
      <c r="EO377">
        <v>0</v>
      </c>
      <c r="EP377">
        <v>0</v>
      </c>
      <c r="EQ377">
        <v>0</v>
      </c>
      <c r="ER377">
        <v>0</v>
      </c>
      <c r="ES377">
        <v>0</v>
      </c>
      <c r="ET377">
        <v>0</v>
      </c>
      <c r="EU377">
        <v>0</v>
      </c>
      <c r="EV377">
        <v>0</v>
      </c>
      <c r="EW377">
        <v>0</v>
      </c>
      <c r="EX377">
        <v>0</v>
      </c>
      <c r="EY377">
        <v>0</v>
      </c>
      <c r="EZ377">
        <v>0</v>
      </c>
      <c r="FA377">
        <v>0</v>
      </c>
      <c r="FB377">
        <v>0</v>
      </c>
      <c r="FC377">
        <v>0</v>
      </c>
      <c r="FD377">
        <v>0</v>
      </c>
      <c r="FE377">
        <v>0</v>
      </c>
      <c r="FF377">
        <v>0</v>
      </c>
      <c r="FG377">
        <v>0</v>
      </c>
      <c r="FH377">
        <v>0</v>
      </c>
      <c r="FI377">
        <v>0</v>
      </c>
      <c r="FJ377">
        <v>0</v>
      </c>
      <c r="FK377">
        <v>0</v>
      </c>
      <c r="FL377">
        <v>0</v>
      </c>
      <c r="FM377">
        <v>0</v>
      </c>
      <c r="FN377">
        <v>0</v>
      </c>
      <c r="FO377">
        <v>0</v>
      </c>
      <c r="FP377">
        <v>0</v>
      </c>
      <c r="FQ377">
        <v>0</v>
      </c>
      <c r="FR377">
        <v>0</v>
      </c>
      <c r="FS377">
        <v>0</v>
      </c>
      <c r="FT377">
        <v>0</v>
      </c>
      <c r="FU377">
        <v>0</v>
      </c>
      <c r="FV377">
        <v>0</v>
      </c>
      <c r="FW377">
        <v>0</v>
      </c>
      <c r="FX377">
        <v>0</v>
      </c>
      <c r="FY377">
        <v>0</v>
      </c>
      <c r="FZ377">
        <v>0</v>
      </c>
      <c r="GA377">
        <v>0</v>
      </c>
      <c r="GB377">
        <v>0</v>
      </c>
      <c r="GC377">
        <v>0</v>
      </c>
      <c r="GD377">
        <v>0</v>
      </c>
      <c r="GE377">
        <v>0</v>
      </c>
      <c r="GF377">
        <v>0</v>
      </c>
      <c r="GG377">
        <v>0</v>
      </c>
      <c r="GH377">
        <v>0</v>
      </c>
      <c r="GI377">
        <v>0</v>
      </c>
      <c r="GJ377">
        <v>0</v>
      </c>
      <c r="GK377">
        <v>0</v>
      </c>
      <c r="GL377">
        <v>0</v>
      </c>
      <c r="GM377">
        <v>0</v>
      </c>
      <c r="GN377">
        <v>0</v>
      </c>
      <c r="GO377">
        <v>0</v>
      </c>
      <c r="GP377">
        <v>0</v>
      </c>
      <c r="GQ377">
        <v>0</v>
      </c>
      <c r="GR377">
        <v>0</v>
      </c>
      <c r="GS377">
        <v>0</v>
      </c>
      <c r="GT377">
        <v>0</v>
      </c>
      <c r="GU377">
        <v>0</v>
      </c>
      <c r="GV377">
        <v>0</v>
      </c>
      <c r="GW377">
        <v>0</v>
      </c>
      <c r="GX377">
        <v>0</v>
      </c>
      <c r="GY377">
        <v>0</v>
      </c>
      <c r="GZ377">
        <v>0</v>
      </c>
      <c r="HA377">
        <v>0</v>
      </c>
      <c r="HB377">
        <v>0</v>
      </c>
      <c r="HC377">
        <v>0</v>
      </c>
      <c r="HD377">
        <v>0</v>
      </c>
      <c r="HE377">
        <v>0</v>
      </c>
      <c r="HF377">
        <v>0</v>
      </c>
      <c r="HG377">
        <v>0</v>
      </c>
      <c r="HH377">
        <v>0</v>
      </c>
      <c r="HI377">
        <v>0</v>
      </c>
      <c r="HJ377">
        <v>0</v>
      </c>
      <c r="HK377">
        <v>0</v>
      </c>
      <c r="HL377">
        <v>0</v>
      </c>
      <c r="HM377">
        <v>0</v>
      </c>
      <c r="HN377">
        <v>0</v>
      </c>
      <c r="HO377">
        <v>0</v>
      </c>
      <c r="HP377">
        <v>0</v>
      </c>
      <c r="HQ377">
        <v>0</v>
      </c>
      <c r="HR377">
        <v>0</v>
      </c>
      <c r="HS377">
        <v>0</v>
      </c>
      <c r="HT377">
        <v>0</v>
      </c>
      <c r="HU377">
        <v>0</v>
      </c>
      <c r="HV377">
        <v>0</v>
      </c>
      <c r="HW377">
        <v>0</v>
      </c>
      <c r="HX377">
        <v>0</v>
      </c>
      <c r="HY377">
        <v>0</v>
      </c>
      <c r="HZ377">
        <v>0</v>
      </c>
      <c r="IA377">
        <v>0</v>
      </c>
      <c r="IB377">
        <v>0</v>
      </c>
      <c r="IC377">
        <v>0</v>
      </c>
      <c r="ID377">
        <v>0</v>
      </c>
      <c r="IE377">
        <v>0</v>
      </c>
      <c r="IF377">
        <v>0</v>
      </c>
      <c r="IG377">
        <v>0</v>
      </c>
      <c r="IH377">
        <v>0</v>
      </c>
      <c r="II377">
        <v>0</v>
      </c>
      <c r="IJ377">
        <v>0</v>
      </c>
      <c r="IK377">
        <v>0</v>
      </c>
      <c r="IL377">
        <v>0</v>
      </c>
      <c r="IM377">
        <v>0</v>
      </c>
      <c r="IN377">
        <v>0</v>
      </c>
      <c r="IO377">
        <v>0</v>
      </c>
      <c r="IP377">
        <v>0</v>
      </c>
      <c r="IQ377">
        <v>0</v>
      </c>
      <c r="IR377">
        <v>0</v>
      </c>
      <c r="IS377">
        <v>0</v>
      </c>
      <c r="IT377">
        <v>0</v>
      </c>
      <c r="IU377">
        <v>0</v>
      </c>
      <c r="IV377">
        <v>0</v>
      </c>
      <c r="IW377">
        <v>0</v>
      </c>
      <c r="IX377">
        <v>0</v>
      </c>
      <c r="IY377">
        <v>0</v>
      </c>
      <c r="IZ377">
        <v>0</v>
      </c>
      <c r="JA377">
        <v>0</v>
      </c>
      <c r="JB377">
        <v>0</v>
      </c>
      <c r="JC377">
        <v>0</v>
      </c>
      <c r="JD377">
        <v>0</v>
      </c>
      <c r="JE377">
        <v>0</v>
      </c>
      <c r="JF377">
        <v>0</v>
      </c>
      <c r="JG377">
        <v>0</v>
      </c>
      <c r="JH377">
        <v>0</v>
      </c>
      <c r="JI377">
        <v>0</v>
      </c>
      <c r="JJ377">
        <v>0</v>
      </c>
      <c r="JK377">
        <v>0</v>
      </c>
      <c r="JL377">
        <v>0</v>
      </c>
      <c r="JM377">
        <v>0</v>
      </c>
      <c r="JN377">
        <v>0</v>
      </c>
      <c r="JO377">
        <v>0</v>
      </c>
      <c r="JP377">
        <v>0</v>
      </c>
      <c r="JQ377">
        <v>0</v>
      </c>
      <c r="JR377">
        <v>0</v>
      </c>
      <c r="JS377">
        <v>0</v>
      </c>
      <c r="JT377">
        <v>0</v>
      </c>
      <c r="JU377">
        <v>0</v>
      </c>
      <c r="JV377">
        <v>0</v>
      </c>
      <c r="JW377">
        <v>0</v>
      </c>
      <c r="JX377">
        <v>0</v>
      </c>
      <c r="JY377">
        <v>0</v>
      </c>
      <c r="JZ377">
        <v>0</v>
      </c>
      <c r="KA377">
        <v>0</v>
      </c>
      <c r="KB377">
        <v>0</v>
      </c>
      <c r="KC377">
        <v>0</v>
      </c>
      <c r="KD377">
        <v>0</v>
      </c>
      <c r="KE377">
        <v>0</v>
      </c>
      <c r="KF377">
        <v>0</v>
      </c>
      <c r="KG377">
        <v>0</v>
      </c>
      <c r="KH377">
        <v>0</v>
      </c>
      <c r="KI377">
        <v>0</v>
      </c>
      <c r="KJ377">
        <v>0</v>
      </c>
      <c r="KK377">
        <v>0</v>
      </c>
      <c r="KL377">
        <v>0</v>
      </c>
      <c r="KM377">
        <v>0</v>
      </c>
      <c r="KN377">
        <v>0</v>
      </c>
      <c r="KO377">
        <v>0</v>
      </c>
      <c r="KP377">
        <v>0</v>
      </c>
      <c r="KQ377">
        <v>0</v>
      </c>
      <c r="KR377">
        <v>0</v>
      </c>
      <c r="KS377">
        <v>0</v>
      </c>
      <c r="KT377">
        <v>0</v>
      </c>
      <c r="KU377">
        <v>0</v>
      </c>
      <c r="KV377">
        <v>0</v>
      </c>
      <c r="KW377">
        <v>0</v>
      </c>
      <c r="KX377">
        <v>0</v>
      </c>
      <c r="KY377">
        <v>0</v>
      </c>
      <c r="KZ377">
        <v>0</v>
      </c>
      <c r="LA377">
        <v>0</v>
      </c>
      <c r="LB377">
        <v>0</v>
      </c>
      <c r="LC377">
        <v>0</v>
      </c>
      <c r="LD377">
        <v>0</v>
      </c>
      <c r="LE377">
        <v>0</v>
      </c>
      <c r="LF377">
        <v>0</v>
      </c>
      <c r="LG377">
        <v>0</v>
      </c>
      <c r="LH377">
        <v>0</v>
      </c>
      <c r="LI377">
        <v>0</v>
      </c>
      <c r="LJ377">
        <v>0</v>
      </c>
      <c r="LK377">
        <v>0</v>
      </c>
      <c r="LL377">
        <v>0</v>
      </c>
      <c r="LM377">
        <v>0</v>
      </c>
      <c r="LN377">
        <v>0</v>
      </c>
      <c r="LO377">
        <v>0</v>
      </c>
      <c r="LP377">
        <v>0</v>
      </c>
      <c r="LQ377">
        <v>0</v>
      </c>
      <c r="LR377">
        <v>0</v>
      </c>
      <c r="LS377">
        <v>0</v>
      </c>
      <c r="LT377">
        <v>0</v>
      </c>
      <c r="LU377">
        <v>0</v>
      </c>
      <c r="LV377">
        <v>0</v>
      </c>
      <c r="LW377">
        <v>0</v>
      </c>
      <c r="LX377">
        <v>0</v>
      </c>
      <c r="LY377">
        <v>0</v>
      </c>
      <c r="LZ377">
        <v>0</v>
      </c>
      <c r="MA377">
        <v>0</v>
      </c>
      <c r="MB377">
        <v>0</v>
      </c>
      <c r="MC377">
        <v>0</v>
      </c>
      <c r="MD377">
        <v>0</v>
      </c>
      <c r="ME377">
        <v>0</v>
      </c>
      <c r="MF377">
        <v>0</v>
      </c>
      <c r="MG377">
        <v>0</v>
      </c>
      <c r="MH377">
        <v>0</v>
      </c>
      <c r="MI377">
        <v>0</v>
      </c>
      <c r="MJ377">
        <v>0</v>
      </c>
      <c r="MK377">
        <v>0</v>
      </c>
      <c r="ML377">
        <v>0</v>
      </c>
      <c r="MM377">
        <v>0</v>
      </c>
      <c r="MN377">
        <v>0</v>
      </c>
      <c r="MO377">
        <v>0</v>
      </c>
      <c r="MP377">
        <v>0</v>
      </c>
      <c r="MQ377">
        <v>0</v>
      </c>
      <c r="MR377">
        <v>0</v>
      </c>
      <c r="MS377">
        <v>0</v>
      </c>
      <c r="MT377">
        <v>0</v>
      </c>
      <c r="MU377">
        <v>0</v>
      </c>
      <c r="MV377">
        <v>0</v>
      </c>
      <c r="MW377">
        <v>0</v>
      </c>
      <c r="MX377">
        <v>0</v>
      </c>
      <c r="MY377">
        <v>0</v>
      </c>
      <c r="MZ377">
        <v>0</v>
      </c>
      <c r="NA377">
        <v>0</v>
      </c>
      <c r="NB377">
        <v>0</v>
      </c>
      <c r="NC377">
        <v>0</v>
      </c>
      <c r="ND377">
        <v>0</v>
      </c>
      <c r="NE377">
        <v>0</v>
      </c>
    </row>
    <row r="378" spans="41:369" x14ac:dyDescent="0.45">
      <c r="AO378">
        <v>0</v>
      </c>
      <c r="AP378">
        <v>0</v>
      </c>
      <c r="AQ378">
        <v>0</v>
      </c>
      <c r="AR378">
        <v>0</v>
      </c>
      <c r="AS378">
        <v>0</v>
      </c>
      <c r="AT378">
        <v>0</v>
      </c>
      <c r="AU378">
        <v>0</v>
      </c>
      <c r="AV378">
        <v>0</v>
      </c>
      <c r="AW378" t="str">
        <v/>
      </c>
      <c r="AX378">
        <v>255</v>
      </c>
      <c r="AY378" s="5" t="str">
        <v/>
      </c>
      <c r="AZ378">
        <v>0</v>
      </c>
      <c r="BA378">
        <v>0</v>
      </c>
      <c r="BB378">
        <v>0</v>
      </c>
      <c r="BC378">
        <v>0</v>
      </c>
      <c r="BD378">
        <v>0</v>
      </c>
      <c r="BE378">
        <v>0</v>
      </c>
      <c r="BF378">
        <v>0</v>
      </c>
      <c r="BG378">
        <v>0</v>
      </c>
      <c r="BH378">
        <v>0</v>
      </c>
      <c r="BI378" t="str">
        <v/>
      </c>
      <c r="BK378">
        <v>372</v>
      </c>
      <c r="BL378">
        <v>0</v>
      </c>
      <c r="BM378">
        <v>0</v>
      </c>
      <c r="BN378">
        <v>0</v>
      </c>
      <c r="BO378">
        <v>0</v>
      </c>
      <c r="BP378">
        <v>0</v>
      </c>
      <c r="BQ378">
        <v>0</v>
      </c>
      <c r="BR378">
        <v>0</v>
      </c>
      <c r="BS378">
        <v>0</v>
      </c>
      <c r="BT378">
        <v>0</v>
      </c>
      <c r="BU378">
        <v>0</v>
      </c>
      <c r="BV378">
        <v>0</v>
      </c>
      <c r="BW378">
        <v>0</v>
      </c>
      <c r="BX378">
        <v>0</v>
      </c>
      <c r="BY378">
        <v>0</v>
      </c>
      <c r="BZ378">
        <v>0</v>
      </c>
      <c r="CA378">
        <v>0</v>
      </c>
      <c r="CB378">
        <v>0</v>
      </c>
      <c r="CC378">
        <v>0</v>
      </c>
      <c r="CD378">
        <v>0</v>
      </c>
      <c r="CE378">
        <v>0</v>
      </c>
      <c r="CF378">
        <v>0</v>
      </c>
      <c r="CG378">
        <v>0</v>
      </c>
      <c r="CH378">
        <v>0</v>
      </c>
      <c r="CI378">
        <v>0</v>
      </c>
      <c r="CJ378">
        <v>0</v>
      </c>
      <c r="CK378">
        <v>0</v>
      </c>
      <c r="CL378">
        <v>0</v>
      </c>
      <c r="CM378">
        <v>0</v>
      </c>
      <c r="CN378">
        <v>0</v>
      </c>
      <c r="CO378">
        <v>0</v>
      </c>
      <c r="CP378">
        <v>0</v>
      </c>
      <c r="CQ378">
        <v>0</v>
      </c>
      <c r="CR378">
        <v>0</v>
      </c>
      <c r="CS378">
        <v>0</v>
      </c>
      <c r="CT378">
        <v>0</v>
      </c>
      <c r="CU378">
        <v>0</v>
      </c>
      <c r="CV378">
        <v>0</v>
      </c>
      <c r="CW378">
        <v>0</v>
      </c>
      <c r="CX378">
        <v>0</v>
      </c>
      <c r="CY378">
        <v>0</v>
      </c>
      <c r="CZ378">
        <v>0</v>
      </c>
      <c r="DA378">
        <v>0</v>
      </c>
      <c r="DB378">
        <v>0</v>
      </c>
      <c r="DC378">
        <v>0</v>
      </c>
      <c r="DD378">
        <v>0</v>
      </c>
      <c r="DE378">
        <v>0</v>
      </c>
      <c r="DF378">
        <v>0</v>
      </c>
      <c r="DG378">
        <v>0</v>
      </c>
      <c r="DH378">
        <v>0</v>
      </c>
      <c r="DI378">
        <v>0</v>
      </c>
      <c r="DJ378">
        <v>0</v>
      </c>
      <c r="DK378">
        <v>0</v>
      </c>
      <c r="DL378">
        <v>0</v>
      </c>
      <c r="DM378">
        <v>0</v>
      </c>
      <c r="DN378">
        <v>0</v>
      </c>
      <c r="DO378">
        <v>0</v>
      </c>
      <c r="DP378">
        <v>0</v>
      </c>
      <c r="DQ378">
        <v>0</v>
      </c>
      <c r="DR378">
        <v>0</v>
      </c>
      <c r="DS378">
        <v>0</v>
      </c>
      <c r="DT378">
        <v>0</v>
      </c>
      <c r="DU378">
        <v>0</v>
      </c>
      <c r="DV378">
        <v>0</v>
      </c>
      <c r="DW378">
        <v>0</v>
      </c>
      <c r="DX378">
        <v>0</v>
      </c>
      <c r="DY378">
        <v>0</v>
      </c>
      <c r="DZ378">
        <v>0</v>
      </c>
      <c r="EA378">
        <v>0</v>
      </c>
      <c r="EB378">
        <v>0</v>
      </c>
      <c r="EC378">
        <v>0</v>
      </c>
      <c r="ED378">
        <v>0</v>
      </c>
      <c r="EE378">
        <v>0</v>
      </c>
      <c r="EF378">
        <v>0</v>
      </c>
      <c r="EG378">
        <v>0</v>
      </c>
      <c r="EH378">
        <v>0</v>
      </c>
      <c r="EI378">
        <v>0</v>
      </c>
      <c r="EJ378">
        <v>0</v>
      </c>
      <c r="EK378">
        <v>0</v>
      </c>
      <c r="EL378">
        <v>0</v>
      </c>
      <c r="EM378">
        <v>0</v>
      </c>
      <c r="EN378">
        <v>0</v>
      </c>
      <c r="EO378">
        <v>0</v>
      </c>
      <c r="EP378">
        <v>0</v>
      </c>
      <c r="EQ378">
        <v>0</v>
      </c>
      <c r="ER378">
        <v>0</v>
      </c>
      <c r="ES378">
        <v>0</v>
      </c>
      <c r="ET378">
        <v>0</v>
      </c>
      <c r="EU378">
        <v>0</v>
      </c>
      <c r="EV378">
        <v>0</v>
      </c>
      <c r="EW378">
        <v>0</v>
      </c>
      <c r="EX378">
        <v>0</v>
      </c>
      <c r="EY378">
        <v>0</v>
      </c>
      <c r="EZ378">
        <v>0</v>
      </c>
      <c r="FA378">
        <v>0</v>
      </c>
      <c r="FB378">
        <v>0</v>
      </c>
      <c r="FC378">
        <v>0</v>
      </c>
      <c r="FD378">
        <v>0</v>
      </c>
      <c r="FE378">
        <v>0</v>
      </c>
      <c r="FF378">
        <v>0</v>
      </c>
      <c r="FG378">
        <v>0</v>
      </c>
      <c r="FH378">
        <v>0</v>
      </c>
      <c r="FI378">
        <v>0</v>
      </c>
      <c r="FJ378">
        <v>0</v>
      </c>
      <c r="FK378">
        <v>0</v>
      </c>
      <c r="FL378">
        <v>0</v>
      </c>
      <c r="FM378">
        <v>0</v>
      </c>
      <c r="FN378">
        <v>0</v>
      </c>
      <c r="FO378">
        <v>0</v>
      </c>
      <c r="FP378">
        <v>0</v>
      </c>
      <c r="FQ378">
        <v>0</v>
      </c>
      <c r="FR378">
        <v>0</v>
      </c>
      <c r="FS378">
        <v>0</v>
      </c>
      <c r="FT378">
        <v>0</v>
      </c>
      <c r="FU378">
        <v>0</v>
      </c>
      <c r="FV378">
        <v>0</v>
      </c>
      <c r="FW378">
        <v>0</v>
      </c>
      <c r="FX378">
        <v>0</v>
      </c>
      <c r="FY378">
        <v>0</v>
      </c>
      <c r="FZ378">
        <v>0</v>
      </c>
      <c r="GA378">
        <v>0</v>
      </c>
      <c r="GB378">
        <v>0</v>
      </c>
      <c r="GC378">
        <v>0</v>
      </c>
      <c r="GD378">
        <v>0</v>
      </c>
      <c r="GE378">
        <v>0</v>
      </c>
      <c r="GF378">
        <v>0</v>
      </c>
      <c r="GG378">
        <v>0</v>
      </c>
      <c r="GH378">
        <v>0</v>
      </c>
      <c r="GI378">
        <v>0</v>
      </c>
      <c r="GJ378">
        <v>0</v>
      </c>
      <c r="GK378">
        <v>0</v>
      </c>
      <c r="GL378">
        <v>0</v>
      </c>
      <c r="GM378">
        <v>0</v>
      </c>
      <c r="GN378">
        <v>0</v>
      </c>
      <c r="GO378">
        <v>0</v>
      </c>
      <c r="GP378">
        <v>0</v>
      </c>
      <c r="GQ378">
        <v>0</v>
      </c>
      <c r="GR378">
        <v>0</v>
      </c>
      <c r="GS378">
        <v>0</v>
      </c>
      <c r="GT378">
        <v>0</v>
      </c>
      <c r="GU378">
        <v>0</v>
      </c>
      <c r="GV378">
        <v>0</v>
      </c>
      <c r="GW378">
        <v>0</v>
      </c>
      <c r="GX378">
        <v>0</v>
      </c>
      <c r="GY378">
        <v>0</v>
      </c>
      <c r="GZ378">
        <v>0</v>
      </c>
      <c r="HA378">
        <v>0</v>
      </c>
      <c r="HB378">
        <v>0</v>
      </c>
      <c r="HC378">
        <v>0</v>
      </c>
      <c r="HD378">
        <v>0</v>
      </c>
      <c r="HE378">
        <v>0</v>
      </c>
      <c r="HF378">
        <v>0</v>
      </c>
      <c r="HG378">
        <v>0</v>
      </c>
      <c r="HH378">
        <v>0</v>
      </c>
      <c r="HI378">
        <v>0</v>
      </c>
      <c r="HJ378">
        <v>0</v>
      </c>
      <c r="HK378">
        <v>0</v>
      </c>
      <c r="HL378">
        <v>0</v>
      </c>
      <c r="HM378">
        <v>0</v>
      </c>
      <c r="HN378">
        <v>0</v>
      </c>
      <c r="HO378">
        <v>0</v>
      </c>
      <c r="HP378">
        <v>0</v>
      </c>
      <c r="HQ378">
        <v>0</v>
      </c>
      <c r="HR378">
        <v>0</v>
      </c>
      <c r="HS378">
        <v>0</v>
      </c>
      <c r="HT378">
        <v>0</v>
      </c>
      <c r="HU378">
        <v>0</v>
      </c>
      <c r="HV378">
        <v>0</v>
      </c>
      <c r="HW378">
        <v>0</v>
      </c>
      <c r="HX378">
        <v>0</v>
      </c>
      <c r="HY378">
        <v>0</v>
      </c>
      <c r="HZ378">
        <v>0</v>
      </c>
      <c r="IA378">
        <v>0</v>
      </c>
      <c r="IB378">
        <v>0</v>
      </c>
      <c r="IC378">
        <v>0</v>
      </c>
      <c r="ID378">
        <v>0</v>
      </c>
      <c r="IE378">
        <v>0</v>
      </c>
      <c r="IF378">
        <v>0</v>
      </c>
      <c r="IG378">
        <v>0</v>
      </c>
      <c r="IH378">
        <v>0</v>
      </c>
      <c r="II378">
        <v>0</v>
      </c>
      <c r="IJ378">
        <v>0</v>
      </c>
      <c r="IK378">
        <v>0</v>
      </c>
      <c r="IL378">
        <v>0</v>
      </c>
      <c r="IM378">
        <v>0</v>
      </c>
      <c r="IN378">
        <v>0</v>
      </c>
      <c r="IO378">
        <v>0</v>
      </c>
      <c r="IP378">
        <v>0</v>
      </c>
      <c r="IQ378">
        <v>0</v>
      </c>
      <c r="IR378">
        <v>0</v>
      </c>
      <c r="IS378">
        <v>0</v>
      </c>
      <c r="IT378">
        <v>0</v>
      </c>
      <c r="IU378">
        <v>0</v>
      </c>
      <c r="IV378">
        <v>0</v>
      </c>
      <c r="IW378">
        <v>0</v>
      </c>
      <c r="IX378">
        <v>0</v>
      </c>
      <c r="IY378">
        <v>0</v>
      </c>
      <c r="IZ378">
        <v>0</v>
      </c>
      <c r="JA378">
        <v>0</v>
      </c>
      <c r="JB378">
        <v>0</v>
      </c>
      <c r="JC378">
        <v>0</v>
      </c>
      <c r="JD378">
        <v>0</v>
      </c>
      <c r="JE378">
        <v>0</v>
      </c>
      <c r="JF378">
        <v>0</v>
      </c>
      <c r="JG378">
        <v>0</v>
      </c>
      <c r="JH378">
        <v>0</v>
      </c>
      <c r="JI378">
        <v>0</v>
      </c>
      <c r="JJ378">
        <v>0</v>
      </c>
      <c r="JK378">
        <v>0</v>
      </c>
      <c r="JL378">
        <v>0</v>
      </c>
      <c r="JM378">
        <v>0</v>
      </c>
      <c r="JN378">
        <v>0</v>
      </c>
      <c r="JO378">
        <v>0</v>
      </c>
      <c r="JP378">
        <v>0</v>
      </c>
      <c r="JQ378">
        <v>0</v>
      </c>
      <c r="JR378">
        <v>0</v>
      </c>
      <c r="JS378">
        <v>0</v>
      </c>
      <c r="JT378">
        <v>0</v>
      </c>
      <c r="JU378">
        <v>0</v>
      </c>
      <c r="JV378">
        <v>0</v>
      </c>
      <c r="JW378">
        <v>0</v>
      </c>
      <c r="JX378">
        <v>0</v>
      </c>
      <c r="JY378">
        <v>0</v>
      </c>
      <c r="JZ378">
        <v>0</v>
      </c>
      <c r="KA378">
        <v>0</v>
      </c>
      <c r="KB378">
        <v>0</v>
      </c>
      <c r="KC378">
        <v>0</v>
      </c>
      <c r="KD378">
        <v>0</v>
      </c>
      <c r="KE378">
        <v>0</v>
      </c>
      <c r="KF378">
        <v>0</v>
      </c>
      <c r="KG378">
        <v>0</v>
      </c>
      <c r="KH378">
        <v>0</v>
      </c>
      <c r="KI378">
        <v>0</v>
      </c>
      <c r="KJ378">
        <v>0</v>
      </c>
      <c r="KK378">
        <v>0</v>
      </c>
      <c r="KL378">
        <v>0</v>
      </c>
      <c r="KM378">
        <v>0</v>
      </c>
      <c r="KN378">
        <v>0</v>
      </c>
      <c r="KO378">
        <v>0</v>
      </c>
      <c r="KP378">
        <v>0</v>
      </c>
      <c r="KQ378">
        <v>0</v>
      </c>
      <c r="KR378">
        <v>0</v>
      </c>
      <c r="KS378">
        <v>0</v>
      </c>
      <c r="KT378">
        <v>0</v>
      </c>
      <c r="KU378">
        <v>0</v>
      </c>
      <c r="KV378">
        <v>0</v>
      </c>
      <c r="KW378">
        <v>0</v>
      </c>
      <c r="KX378">
        <v>0</v>
      </c>
      <c r="KY378">
        <v>0</v>
      </c>
      <c r="KZ378">
        <v>0</v>
      </c>
      <c r="LA378">
        <v>0</v>
      </c>
      <c r="LB378">
        <v>0</v>
      </c>
      <c r="LC378">
        <v>0</v>
      </c>
      <c r="LD378">
        <v>0</v>
      </c>
      <c r="LE378">
        <v>0</v>
      </c>
      <c r="LF378">
        <v>0</v>
      </c>
      <c r="LG378">
        <v>0</v>
      </c>
      <c r="LH378">
        <v>0</v>
      </c>
      <c r="LI378">
        <v>0</v>
      </c>
      <c r="LJ378">
        <v>0</v>
      </c>
      <c r="LK378">
        <v>0</v>
      </c>
      <c r="LL378">
        <v>0</v>
      </c>
      <c r="LM378">
        <v>0</v>
      </c>
      <c r="LN378">
        <v>0</v>
      </c>
      <c r="LO378">
        <v>0</v>
      </c>
      <c r="LP378">
        <v>0</v>
      </c>
      <c r="LQ378">
        <v>0</v>
      </c>
      <c r="LR378">
        <v>0</v>
      </c>
      <c r="LS378">
        <v>0</v>
      </c>
      <c r="LT378">
        <v>0</v>
      </c>
      <c r="LU378">
        <v>0</v>
      </c>
      <c r="LV378">
        <v>0</v>
      </c>
      <c r="LW378">
        <v>0</v>
      </c>
      <c r="LX378">
        <v>0</v>
      </c>
      <c r="LY378">
        <v>0</v>
      </c>
      <c r="LZ378">
        <v>0</v>
      </c>
      <c r="MA378">
        <v>0</v>
      </c>
      <c r="MB378">
        <v>0</v>
      </c>
      <c r="MC378">
        <v>0</v>
      </c>
      <c r="MD378">
        <v>0</v>
      </c>
      <c r="ME378">
        <v>0</v>
      </c>
      <c r="MF378">
        <v>0</v>
      </c>
      <c r="MG378">
        <v>0</v>
      </c>
      <c r="MH378">
        <v>0</v>
      </c>
      <c r="MI378">
        <v>0</v>
      </c>
      <c r="MJ378">
        <v>0</v>
      </c>
      <c r="MK378">
        <v>0</v>
      </c>
      <c r="ML378">
        <v>0</v>
      </c>
      <c r="MM378">
        <v>0</v>
      </c>
      <c r="MN378">
        <v>0</v>
      </c>
      <c r="MO378">
        <v>0</v>
      </c>
      <c r="MP378">
        <v>0</v>
      </c>
      <c r="MQ378">
        <v>0</v>
      </c>
      <c r="MR378">
        <v>0</v>
      </c>
      <c r="MS378">
        <v>0</v>
      </c>
      <c r="MT378">
        <v>0</v>
      </c>
      <c r="MU378">
        <v>0</v>
      </c>
      <c r="MV378">
        <v>0</v>
      </c>
      <c r="MW378">
        <v>0</v>
      </c>
      <c r="MX378">
        <v>0</v>
      </c>
      <c r="MY378">
        <v>0</v>
      </c>
      <c r="MZ378">
        <v>0</v>
      </c>
      <c r="NA378">
        <v>0</v>
      </c>
      <c r="NB378">
        <v>0</v>
      </c>
      <c r="NC378">
        <v>0</v>
      </c>
      <c r="ND378">
        <v>0</v>
      </c>
      <c r="NE378">
        <v>0</v>
      </c>
    </row>
    <row r="379" spans="41:369" x14ac:dyDescent="0.45">
      <c r="AO379">
        <v>0</v>
      </c>
      <c r="AP379">
        <v>0</v>
      </c>
      <c r="AQ379">
        <v>0</v>
      </c>
      <c r="AR379">
        <v>0</v>
      </c>
      <c r="AS379">
        <v>0</v>
      </c>
      <c r="AT379">
        <v>0</v>
      </c>
      <c r="AU379">
        <v>0</v>
      </c>
      <c r="AV379">
        <v>0</v>
      </c>
      <c r="AW379" t="str">
        <v/>
      </c>
      <c r="AX379">
        <v>255</v>
      </c>
      <c r="AY379" s="5" t="str">
        <v/>
      </c>
      <c r="AZ379">
        <v>0</v>
      </c>
      <c r="BA379">
        <v>0</v>
      </c>
      <c r="BB379">
        <v>0</v>
      </c>
      <c r="BC379">
        <v>0</v>
      </c>
      <c r="BD379">
        <v>0</v>
      </c>
      <c r="BE379">
        <v>0</v>
      </c>
      <c r="BF379">
        <v>0</v>
      </c>
      <c r="BG379">
        <v>0</v>
      </c>
      <c r="BH379">
        <v>0</v>
      </c>
      <c r="BI379" t="str">
        <v/>
      </c>
      <c r="BK379">
        <v>373</v>
      </c>
      <c r="BL379">
        <v>0</v>
      </c>
      <c r="BM379">
        <v>0</v>
      </c>
      <c r="BN379">
        <v>0</v>
      </c>
      <c r="BO379">
        <v>0</v>
      </c>
      <c r="BP379">
        <v>0</v>
      </c>
      <c r="BQ379">
        <v>0</v>
      </c>
      <c r="BR379">
        <v>0</v>
      </c>
      <c r="BS379">
        <v>0</v>
      </c>
      <c r="BT379">
        <v>0</v>
      </c>
      <c r="BU379">
        <v>0</v>
      </c>
      <c r="BV379">
        <v>0</v>
      </c>
      <c r="BW379">
        <v>0</v>
      </c>
      <c r="BX379">
        <v>0</v>
      </c>
      <c r="BY379">
        <v>0</v>
      </c>
      <c r="BZ379">
        <v>0</v>
      </c>
      <c r="CA379">
        <v>0</v>
      </c>
      <c r="CB379">
        <v>0</v>
      </c>
      <c r="CC379">
        <v>0</v>
      </c>
      <c r="CD379">
        <v>0</v>
      </c>
      <c r="CE379">
        <v>0</v>
      </c>
      <c r="CF379">
        <v>0</v>
      </c>
      <c r="CG379">
        <v>0</v>
      </c>
      <c r="CH379">
        <v>0</v>
      </c>
      <c r="CI379">
        <v>0</v>
      </c>
      <c r="CJ379">
        <v>0</v>
      </c>
      <c r="CK379">
        <v>0</v>
      </c>
      <c r="CL379">
        <v>0</v>
      </c>
      <c r="CM379">
        <v>0</v>
      </c>
      <c r="CN379">
        <v>0</v>
      </c>
      <c r="CO379">
        <v>0</v>
      </c>
      <c r="CP379">
        <v>0</v>
      </c>
      <c r="CQ379">
        <v>0</v>
      </c>
      <c r="CR379">
        <v>0</v>
      </c>
      <c r="CS379">
        <v>0</v>
      </c>
      <c r="CT379">
        <v>0</v>
      </c>
      <c r="CU379">
        <v>0</v>
      </c>
      <c r="CV379">
        <v>0</v>
      </c>
      <c r="CW379">
        <v>0</v>
      </c>
      <c r="CX379">
        <v>0</v>
      </c>
      <c r="CY379">
        <v>0</v>
      </c>
      <c r="CZ379">
        <v>0</v>
      </c>
      <c r="DA379">
        <v>0</v>
      </c>
      <c r="DB379">
        <v>0</v>
      </c>
      <c r="DC379">
        <v>0</v>
      </c>
      <c r="DD379">
        <v>0</v>
      </c>
      <c r="DE379">
        <v>0</v>
      </c>
      <c r="DF379">
        <v>0</v>
      </c>
      <c r="DG379">
        <v>0</v>
      </c>
      <c r="DH379">
        <v>0</v>
      </c>
      <c r="DI379">
        <v>0</v>
      </c>
      <c r="DJ379">
        <v>0</v>
      </c>
      <c r="DK379">
        <v>0</v>
      </c>
      <c r="DL379">
        <v>0</v>
      </c>
      <c r="DM379">
        <v>0</v>
      </c>
      <c r="DN379">
        <v>0</v>
      </c>
      <c r="DO379">
        <v>0</v>
      </c>
      <c r="DP379">
        <v>0</v>
      </c>
      <c r="DQ379">
        <v>0</v>
      </c>
      <c r="DR379">
        <v>0</v>
      </c>
      <c r="DS379">
        <v>0</v>
      </c>
      <c r="DT379">
        <v>0</v>
      </c>
      <c r="DU379">
        <v>0</v>
      </c>
      <c r="DV379">
        <v>0</v>
      </c>
      <c r="DW379">
        <v>0</v>
      </c>
      <c r="DX379">
        <v>0</v>
      </c>
      <c r="DY379">
        <v>0</v>
      </c>
      <c r="DZ379">
        <v>0</v>
      </c>
      <c r="EA379">
        <v>0</v>
      </c>
      <c r="EB379">
        <v>0</v>
      </c>
      <c r="EC379">
        <v>0</v>
      </c>
      <c r="ED379">
        <v>0</v>
      </c>
      <c r="EE379">
        <v>0</v>
      </c>
      <c r="EF379">
        <v>0</v>
      </c>
      <c r="EG379">
        <v>0</v>
      </c>
      <c r="EH379">
        <v>0</v>
      </c>
      <c r="EI379">
        <v>0</v>
      </c>
      <c r="EJ379">
        <v>0</v>
      </c>
      <c r="EK379">
        <v>0</v>
      </c>
      <c r="EL379">
        <v>0</v>
      </c>
      <c r="EM379">
        <v>0</v>
      </c>
      <c r="EN379">
        <v>0</v>
      </c>
      <c r="EO379">
        <v>0</v>
      </c>
      <c r="EP379">
        <v>0</v>
      </c>
      <c r="EQ379">
        <v>0</v>
      </c>
      <c r="ER379">
        <v>0</v>
      </c>
      <c r="ES379">
        <v>0</v>
      </c>
      <c r="ET379">
        <v>0</v>
      </c>
      <c r="EU379">
        <v>0</v>
      </c>
      <c r="EV379">
        <v>0</v>
      </c>
      <c r="EW379">
        <v>0</v>
      </c>
      <c r="EX379">
        <v>0</v>
      </c>
      <c r="EY379">
        <v>0</v>
      </c>
      <c r="EZ379">
        <v>0</v>
      </c>
      <c r="FA379">
        <v>0</v>
      </c>
      <c r="FB379">
        <v>0</v>
      </c>
      <c r="FC379">
        <v>0</v>
      </c>
      <c r="FD379">
        <v>0</v>
      </c>
      <c r="FE379">
        <v>0</v>
      </c>
      <c r="FF379">
        <v>0</v>
      </c>
      <c r="FG379">
        <v>0</v>
      </c>
      <c r="FH379">
        <v>0</v>
      </c>
      <c r="FI379">
        <v>0</v>
      </c>
      <c r="FJ379">
        <v>0</v>
      </c>
      <c r="FK379">
        <v>0</v>
      </c>
      <c r="FL379">
        <v>0</v>
      </c>
      <c r="FM379">
        <v>0</v>
      </c>
      <c r="FN379">
        <v>0</v>
      </c>
      <c r="FO379">
        <v>0</v>
      </c>
      <c r="FP379">
        <v>0</v>
      </c>
      <c r="FQ379">
        <v>0</v>
      </c>
      <c r="FR379">
        <v>0</v>
      </c>
      <c r="FS379">
        <v>0</v>
      </c>
      <c r="FT379">
        <v>0</v>
      </c>
      <c r="FU379">
        <v>0</v>
      </c>
      <c r="FV379">
        <v>0</v>
      </c>
      <c r="FW379">
        <v>0</v>
      </c>
      <c r="FX379">
        <v>0</v>
      </c>
      <c r="FY379">
        <v>0</v>
      </c>
      <c r="FZ379">
        <v>0</v>
      </c>
      <c r="GA379">
        <v>0</v>
      </c>
      <c r="GB379">
        <v>0</v>
      </c>
      <c r="GC379">
        <v>0</v>
      </c>
      <c r="GD379">
        <v>0</v>
      </c>
      <c r="GE379">
        <v>0</v>
      </c>
      <c r="GF379">
        <v>0</v>
      </c>
      <c r="GG379">
        <v>0</v>
      </c>
      <c r="GH379">
        <v>0</v>
      </c>
      <c r="GI379">
        <v>0</v>
      </c>
      <c r="GJ379">
        <v>0</v>
      </c>
      <c r="GK379">
        <v>0</v>
      </c>
      <c r="GL379">
        <v>0</v>
      </c>
      <c r="GM379">
        <v>0</v>
      </c>
      <c r="GN379">
        <v>0</v>
      </c>
      <c r="GO379">
        <v>0</v>
      </c>
      <c r="GP379">
        <v>0</v>
      </c>
      <c r="GQ379">
        <v>0</v>
      </c>
      <c r="GR379">
        <v>0</v>
      </c>
      <c r="GS379">
        <v>0</v>
      </c>
      <c r="GT379">
        <v>0</v>
      </c>
      <c r="GU379">
        <v>0</v>
      </c>
      <c r="GV379">
        <v>0</v>
      </c>
      <c r="GW379">
        <v>0</v>
      </c>
      <c r="GX379">
        <v>0</v>
      </c>
      <c r="GY379">
        <v>0</v>
      </c>
      <c r="GZ379">
        <v>0</v>
      </c>
      <c r="HA379">
        <v>0</v>
      </c>
      <c r="HB379">
        <v>0</v>
      </c>
      <c r="HC379">
        <v>0</v>
      </c>
      <c r="HD379">
        <v>0</v>
      </c>
      <c r="HE379">
        <v>0</v>
      </c>
      <c r="HF379">
        <v>0</v>
      </c>
      <c r="HG379">
        <v>0</v>
      </c>
      <c r="HH379">
        <v>0</v>
      </c>
      <c r="HI379">
        <v>0</v>
      </c>
      <c r="HJ379">
        <v>0</v>
      </c>
      <c r="HK379">
        <v>0</v>
      </c>
      <c r="HL379">
        <v>0</v>
      </c>
      <c r="HM379">
        <v>0</v>
      </c>
      <c r="HN379">
        <v>0</v>
      </c>
      <c r="HO379">
        <v>0</v>
      </c>
      <c r="HP379">
        <v>0</v>
      </c>
      <c r="HQ379">
        <v>0</v>
      </c>
      <c r="HR379">
        <v>0</v>
      </c>
      <c r="HS379">
        <v>0</v>
      </c>
      <c r="HT379">
        <v>0</v>
      </c>
      <c r="HU379">
        <v>0</v>
      </c>
      <c r="HV379">
        <v>0</v>
      </c>
      <c r="HW379">
        <v>0</v>
      </c>
      <c r="HX379">
        <v>0</v>
      </c>
      <c r="HY379">
        <v>0</v>
      </c>
      <c r="HZ379">
        <v>0</v>
      </c>
      <c r="IA379">
        <v>0</v>
      </c>
      <c r="IB379">
        <v>0</v>
      </c>
      <c r="IC379">
        <v>0</v>
      </c>
      <c r="ID379">
        <v>0</v>
      </c>
      <c r="IE379">
        <v>0</v>
      </c>
      <c r="IF379">
        <v>0</v>
      </c>
      <c r="IG379">
        <v>0</v>
      </c>
      <c r="IH379">
        <v>0</v>
      </c>
      <c r="II379">
        <v>0</v>
      </c>
      <c r="IJ379">
        <v>0</v>
      </c>
      <c r="IK379">
        <v>0</v>
      </c>
      <c r="IL379">
        <v>0</v>
      </c>
      <c r="IM379">
        <v>0</v>
      </c>
      <c r="IN379">
        <v>0</v>
      </c>
      <c r="IO379">
        <v>0</v>
      </c>
      <c r="IP379">
        <v>0</v>
      </c>
      <c r="IQ379">
        <v>0</v>
      </c>
      <c r="IR379">
        <v>0</v>
      </c>
      <c r="IS379">
        <v>0</v>
      </c>
      <c r="IT379">
        <v>0</v>
      </c>
      <c r="IU379">
        <v>0</v>
      </c>
      <c r="IV379">
        <v>0</v>
      </c>
      <c r="IW379">
        <v>0</v>
      </c>
      <c r="IX379">
        <v>0</v>
      </c>
      <c r="IY379">
        <v>0</v>
      </c>
      <c r="IZ379">
        <v>0</v>
      </c>
      <c r="JA379">
        <v>0</v>
      </c>
      <c r="JB379">
        <v>0</v>
      </c>
      <c r="JC379">
        <v>0</v>
      </c>
      <c r="JD379">
        <v>0</v>
      </c>
      <c r="JE379">
        <v>0</v>
      </c>
      <c r="JF379">
        <v>0</v>
      </c>
      <c r="JG379">
        <v>0</v>
      </c>
      <c r="JH379">
        <v>0</v>
      </c>
      <c r="JI379">
        <v>0</v>
      </c>
      <c r="JJ379">
        <v>0</v>
      </c>
      <c r="JK379">
        <v>0</v>
      </c>
      <c r="JL379">
        <v>0</v>
      </c>
      <c r="JM379">
        <v>0</v>
      </c>
      <c r="JN379">
        <v>0</v>
      </c>
      <c r="JO379">
        <v>0</v>
      </c>
      <c r="JP379">
        <v>0</v>
      </c>
      <c r="JQ379">
        <v>0</v>
      </c>
      <c r="JR379">
        <v>0</v>
      </c>
      <c r="JS379">
        <v>0</v>
      </c>
      <c r="JT379">
        <v>0</v>
      </c>
      <c r="JU379">
        <v>0</v>
      </c>
      <c r="JV379">
        <v>0</v>
      </c>
      <c r="JW379">
        <v>0</v>
      </c>
      <c r="JX379">
        <v>0</v>
      </c>
      <c r="JY379">
        <v>0</v>
      </c>
      <c r="JZ379">
        <v>0</v>
      </c>
      <c r="KA379">
        <v>0</v>
      </c>
      <c r="KB379">
        <v>0</v>
      </c>
      <c r="KC379">
        <v>0</v>
      </c>
      <c r="KD379">
        <v>0</v>
      </c>
      <c r="KE379">
        <v>0</v>
      </c>
      <c r="KF379">
        <v>0</v>
      </c>
      <c r="KG379">
        <v>0</v>
      </c>
      <c r="KH379">
        <v>0</v>
      </c>
      <c r="KI379">
        <v>0</v>
      </c>
      <c r="KJ379">
        <v>0</v>
      </c>
      <c r="KK379">
        <v>0</v>
      </c>
      <c r="KL379">
        <v>0</v>
      </c>
      <c r="KM379">
        <v>0</v>
      </c>
      <c r="KN379">
        <v>0</v>
      </c>
      <c r="KO379">
        <v>0</v>
      </c>
      <c r="KP379">
        <v>0</v>
      </c>
      <c r="KQ379">
        <v>0</v>
      </c>
      <c r="KR379">
        <v>0</v>
      </c>
      <c r="KS379">
        <v>0</v>
      </c>
      <c r="KT379">
        <v>0</v>
      </c>
      <c r="KU379">
        <v>0</v>
      </c>
      <c r="KV379">
        <v>0</v>
      </c>
      <c r="KW379">
        <v>0</v>
      </c>
      <c r="KX379">
        <v>0</v>
      </c>
      <c r="KY379">
        <v>0</v>
      </c>
      <c r="KZ379">
        <v>0</v>
      </c>
      <c r="LA379">
        <v>0</v>
      </c>
      <c r="LB379">
        <v>0</v>
      </c>
      <c r="LC379">
        <v>0</v>
      </c>
      <c r="LD379">
        <v>0</v>
      </c>
      <c r="LE379">
        <v>0</v>
      </c>
      <c r="LF379">
        <v>0</v>
      </c>
      <c r="LG379">
        <v>0</v>
      </c>
      <c r="LH379">
        <v>0</v>
      </c>
      <c r="LI379">
        <v>0</v>
      </c>
      <c r="LJ379">
        <v>0</v>
      </c>
      <c r="LK379">
        <v>0</v>
      </c>
      <c r="LL379">
        <v>0</v>
      </c>
      <c r="LM379">
        <v>0</v>
      </c>
      <c r="LN379">
        <v>0</v>
      </c>
      <c r="LO379">
        <v>0</v>
      </c>
      <c r="LP379">
        <v>0</v>
      </c>
      <c r="LQ379">
        <v>0</v>
      </c>
      <c r="LR379">
        <v>0</v>
      </c>
      <c r="LS379">
        <v>0</v>
      </c>
      <c r="LT379">
        <v>0</v>
      </c>
      <c r="LU379">
        <v>0</v>
      </c>
      <c r="LV379">
        <v>0</v>
      </c>
      <c r="LW379">
        <v>0</v>
      </c>
      <c r="LX379">
        <v>0</v>
      </c>
      <c r="LY379">
        <v>0</v>
      </c>
      <c r="LZ379">
        <v>0</v>
      </c>
      <c r="MA379">
        <v>0</v>
      </c>
      <c r="MB379">
        <v>0</v>
      </c>
      <c r="MC379">
        <v>0</v>
      </c>
      <c r="MD379">
        <v>0</v>
      </c>
      <c r="ME379">
        <v>0</v>
      </c>
      <c r="MF379">
        <v>0</v>
      </c>
      <c r="MG379">
        <v>0</v>
      </c>
      <c r="MH379">
        <v>0</v>
      </c>
      <c r="MI379">
        <v>0</v>
      </c>
      <c r="MJ379">
        <v>0</v>
      </c>
      <c r="MK379">
        <v>0</v>
      </c>
      <c r="ML379">
        <v>0</v>
      </c>
      <c r="MM379">
        <v>0</v>
      </c>
      <c r="MN379">
        <v>0</v>
      </c>
      <c r="MO379">
        <v>0</v>
      </c>
      <c r="MP379">
        <v>0</v>
      </c>
      <c r="MQ379">
        <v>0</v>
      </c>
      <c r="MR379">
        <v>0</v>
      </c>
      <c r="MS379">
        <v>0</v>
      </c>
      <c r="MT379">
        <v>0</v>
      </c>
      <c r="MU379">
        <v>0</v>
      </c>
      <c r="MV379">
        <v>0</v>
      </c>
      <c r="MW379">
        <v>0</v>
      </c>
      <c r="MX379">
        <v>0</v>
      </c>
      <c r="MY379">
        <v>0</v>
      </c>
      <c r="MZ379">
        <v>0</v>
      </c>
      <c r="NA379">
        <v>0</v>
      </c>
      <c r="NB379">
        <v>0</v>
      </c>
      <c r="NC379">
        <v>0</v>
      </c>
      <c r="ND379">
        <v>0</v>
      </c>
      <c r="NE379">
        <v>0</v>
      </c>
    </row>
    <row r="380" spans="41:369" x14ac:dyDescent="0.45">
      <c r="AO380">
        <v>0</v>
      </c>
      <c r="AP380">
        <v>0</v>
      </c>
      <c r="AQ380">
        <v>0</v>
      </c>
      <c r="AR380">
        <v>0</v>
      </c>
      <c r="AS380">
        <v>0</v>
      </c>
      <c r="AT380">
        <v>0</v>
      </c>
      <c r="AU380">
        <v>0</v>
      </c>
      <c r="AV380">
        <v>0</v>
      </c>
      <c r="AW380" t="str">
        <v/>
      </c>
      <c r="AX380">
        <v>255</v>
      </c>
      <c r="AY380" s="5" t="str">
        <v/>
      </c>
      <c r="AZ380">
        <v>0</v>
      </c>
      <c r="BA380">
        <v>0</v>
      </c>
      <c r="BB380">
        <v>0</v>
      </c>
      <c r="BC380">
        <v>0</v>
      </c>
      <c r="BD380">
        <v>0</v>
      </c>
      <c r="BE380">
        <v>0</v>
      </c>
      <c r="BF380">
        <v>0</v>
      </c>
      <c r="BG380">
        <v>0</v>
      </c>
      <c r="BH380">
        <v>0</v>
      </c>
      <c r="BI380" t="str">
        <v/>
      </c>
      <c r="BK380">
        <v>374</v>
      </c>
      <c r="BL380">
        <v>0</v>
      </c>
      <c r="BM380">
        <v>0</v>
      </c>
      <c r="BN380">
        <v>0</v>
      </c>
      <c r="BO380">
        <v>0</v>
      </c>
      <c r="BP380">
        <v>0</v>
      </c>
      <c r="BQ380">
        <v>0</v>
      </c>
      <c r="BR380">
        <v>0</v>
      </c>
      <c r="BS380">
        <v>0</v>
      </c>
      <c r="BT380">
        <v>0</v>
      </c>
      <c r="BU380">
        <v>0</v>
      </c>
      <c r="BV380">
        <v>0</v>
      </c>
      <c r="BW380">
        <v>0</v>
      </c>
      <c r="BX380">
        <v>0</v>
      </c>
      <c r="BY380">
        <v>0</v>
      </c>
      <c r="BZ380">
        <v>0</v>
      </c>
      <c r="CA380">
        <v>0</v>
      </c>
      <c r="CB380">
        <v>0</v>
      </c>
      <c r="CC380">
        <v>0</v>
      </c>
      <c r="CD380">
        <v>0</v>
      </c>
      <c r="CE380">
        <v>0</v>
      </c>
      <c r="CF380">
        <v>0</v>
      </c>
      <c r="CG380">
        <v>0</v>
      </c>
      <c r="CH380">
        <v>0</v>
      </c>
      <c r="CI380">
        <v>0</v>
      </c>
      <c r="CJ380">
        <v>0</v>
      </c>
      <c r="CK380">
        <v>0</v>
      </c>
      <c r="CL380">
        <v>0</v>
      </c>
      <c r="CM380">
        <v>0</v>
      </c>
      <c r="CN380">
        <v>0</v>
      </c>
      <c r="CO380">
        <v>0</v>
      </c>
      <c r="CP380">
        <v>0</v>
      </c>
      <c r="CQ380">
        <v>0</v>
      </c>
      <c r="CR380">
        <v>0</v>
      </c>
      <c r="CS380">
        <v>0</v>
      </c>
      <c r="CT380">
        <v>0</v>
      </c>
      <c r="CU380">
        <v>0</v>
      </c>
      <c r="CV380">
        <v>0</v>
      </c>
      <c r="CW380">
        <v>0</v>
      </c>
      <c r="CX380">
        <v>0</v>
      </c>
      <c r="CY380">
        <v>0</v>
      </c>
      <c r="CZ380">
        <v>0</v>
      </c>
      <c r="DA380">
        <v>0</v>
      </c>
      <c r="DB380">
        <v>0</v>
      </c>
      <c r="DC380">
        <v>0</v>
      </c>
      <c r="DD380">
        <v>0</v>
      </c>
      <c r="DE380">
        <v>0</v>
      </c>
      <c r="DF380">
        <v>0</v>
      </c>
      <c r="DG380">
        <v>0</v>
      </c>
      <c r="DH380">
        <v>0</v>
      </c>
      <c r="DI380">
        <v>0</v>
      </c>
      <c r="DJ380">
        <v>0</v>
      </c>
      <c r="DK380">
        <v>0</v>
      </c>
      <c r="DL380">
        <v>0</v>
      </c>
      <c r="DM380">
        <v>0</v>
      </c>
      <c r="DN380">
        <v>0</v>
      </c>
      <c r="DO380">
        <v>0</v>
      </c>
      <c r="DP380">
        <v>0</v>
      </c>
      <c r="DQ380">
        <v>0</v>
      </c>
      <c r="DR380">
        <v>0</v>
      </c>
      <c r="DS380">
        <v>0</v>
      </c>
      <c r="DT380">
        <v>0</v>
      </c>
      <c r="DU380">
        <v>0</v>
      </c>
      <c r="DV380">
        <v>0</v>
      </c>
      <c r="DW380">
        <v>0</v>
      </c>
      <c r="DX380">
        <v>0</v>
      </c>
      <c r="DY380">
        <v>0</v>
      </c>
      <c r="DZ380">
        <v>0</v>
      </c>
      <c r="EA380">
        <v>0</v>
      </c>
      <c r="EB380">
        <v>0</v>
      </c>
      <c r="EC380">
        <v>0</v>
      </c>
      <c r="ED380">
        <v>0</v>
      </c>
      <c r="EE380">
        <v>0</v>
      </c>
      <c r="EF380">
        <v>0</v>
      </c>
      <c r="EG380">
        <v>0</v>
      </c>
      <c r="EH380">
        <v>0</v>
      </c>
      <c r="EI380">
        <v>0</v>
      </c>
      <c r="EJ380">
        <v>0</v>
      </c>
      <c r="EK380">
        <v>0</v>
      </c>
      <c r="EL380">
        <v>0</v>
      </c>
      <c r="EM380">
        <v>0</v>
      </c>
      <c r="EN380">
        <v>0</v>
      </c>
      <c r="EO380">
        <v>0</v>
      </c>
      <c r="EP380">
        <v>0</v>
      </c>
      <c r="EQ380">
        <v>0</v>
      </c>
      <c r="ER380">
        <v>0</v>
      </c>
      <c r="ES380">
        <v>0</v>
      </c>
      <c r="ET380">
        <v>0</v>
      </c>
      <c r="EU380">
        <v>0</v>
      </c>
      <c r="EV380">
        <v>0</v>
      </c>
      <c r="EW380">
        <v>0</v>
      </c>
      <c r="EX380">
        <v>0</v>
      </c>
      <c r="EY380">
        <v>0</v>
      </c>
      <c r="EZ380">
        <v>0</v>
      </c>
      <c r="FA380">
        <v>0</v>
      </c>
      <c r="FB380">
        <v>0</v>
      </c>
      <c r="FC380">
        <v>0</v>
      </c>
      <c r="FD380">
        <v>0</v>
      </c>
      <c r="FE380">
        <v>0</v>
      </c>
      <c r="FF380">
        <v>0</v>
      </c>
      <c r="FG380">
        <v>0</v>
      </c>
      <c r="FH380">
        <v>0</v>
      </c>
      <c r="FI380">
        <v>0</v>
      </c>
      <c r="FJ380">
        <v>0</v>
      </c>
      <c r="FK380">
        <v>0</v>
      </c>
      <c r="FL380">
        <v>0</v>
      </c>
      <c r="FM380">
        <v>0</v>
      </c>
      <c r="FN380">
        <v>0</v>
      </c>
      <c r="FO380">
        <v>0</v>
      </c>
      <c r="FP380">
        <v>0</v>
      </c>
      <c r="FQ380">
        <v>0</v>
      </c>
      <c r="FR380">
        <v>0</v>
      </c>
      <c r="FS380">
        <v>0</v>
      </c>
      <c r="FT380">
        <v>0</v>
      </c>
      <c r="FU380">
        <v>0</v>
      </c>
      <c r="FV380">
        <v>0</v>
      </c>
      <c r="FW380">
        <v>0</v>
      </c>
      <c r="FX380">
        <v>0</v>
      </c>
      <c r="FY380">
        <v>0</v>
      </c>
      <c r="FZ380">
        <v>0</v>
      </c>
      <c r="GA380">
        <v>0</v>
      </c>
      <c r="GB380">
        <v>0</v>
      </c>
      <c r="GC380">
        <v>0</v>
      </c>
      <c r="GD380">
        <v>0</v>
      </c>
      <c r="GE380">
        <v>0</v>
      </c>
      <c r="GF380">
        <v>0</v>
      </c>
      <c r="GG380">
        <v>0</v>
      </c>
      <c r="GH380">
        <v>0</v>
      </c>
      <c r="GI380">
        <v>0</v>
      </c>
      <c r="GJ380">
        <v>0</v>
      </c>
      <c r="GK380">
        <v>0</v>
      </c>
      <c r="GL380">
        <v>0</v>
      </c>
      <c r="GM380">
        <v>0</v>
      </c>
      <c r="GN380">
        <v>0</v>
      </c>
      <c r="GO380">
        <v>0</v>
      </c>
      <c r="GP380">
        <v>0</v>
      </c>
      <c r="GQ380">
        <v>0</v>
      </c>
      <c r="GR380">
        <v>0</v>
      </c>
      <c r="GS380">
        <v>0</v>
      </c>
      <c r="GT380">
        <v>0</v>
      </c>
      <c r="GU380">
        <v>0</v>
      </c>
      <c r="GV380">
        <v>0</v>
      </c>
      <c r="GW380">
        <v>0</v>
      </c>
      <c r="GX380">
        <v>0</v>
      </c>
      <c r="GY380">
        <v>0</v>
      </c>
      <c r="GZ380">
        <v>0</v>
      </c>
      <c r="HA380">
        <v>0</v>
      </c>
      <c r="HB380">
        <v>0</v>
      </c>
      <c r="HC380">
        <v>0</v>
      </c>
      <c r="HD380">
        <v>0</v>
      </c>
      <c r="HE380">
        <v>0</v>
      </c>
      <c r="HF380">
        <v>0</v>
      </c>
      <c r="HG380">
        <v>0</v>
      </c>
      <c r="HH380">
        <v>0</v>
      </c>
      <c r="HI380">
        <v>0</v>
      </c>
      <c r="HJ380">
        <v>0</v>
      </c>
      <c r="HK380">
        <v>0</v>
      </c>
      <c r="HL380">
        <v>0</v>
      </c>
      <c r="HM380">
        <v>0</v>
      </c>
      <c r="HN380">
        <v>0</v>
      </c>
      <c r="HO380">
        <v>0</v>
      </c>
      <c r="HP380">
        <v>0</v>
      </c>
      <c r="HQ380">
        <v>0</v>
      </c>
      <c r="HR380">
        <v>0</v>
      </c>
      <c r="HS380">
        <v>0</v>
      </c>
      <c r="HT380">
        <v>0</v>
      </c>
      <c r="HU380">
        <v>0</v>
      </c>
      <c r="HV380">
        <v>0</v>
      </c>
      <c r="HW380">
        <v>0</v>
      </c>
      <c r="HX380">
        <v>0</v>
      </c>
      <c r="HY380">
        <v>0</v>
      </c>
      <c r="HZ380">
        <v>0</v>
      </c>
      <c r="IA380">
        <v>0</v>
      </c>
      <c r="IB380">
        <v>0</v>
      </c>
      <c r="IC380">
        <v>0</v>
      </c>
      <c r="ID380">
        <v>0</v>
      </c>
      <c r="IE380">
        <v>0</v>
      </c>
      <c r="IF380">
        <v>0</v>
      </c>
      <c r="IG380">
        <v>0</v>
      </c>
      <c r="IH380">
        <v>0</v>
      </c>
      <c r="II380">
        <v>0</v>
      </c>
      <c r="IJ380">
        <v>0</v>
      </c>
      <c r="IK380">
        <v>0</v>
      </c>
      <c r="IL380">
        <v>0</v>
      </c>
      <c r="IM380">
        <v>0</v>
      </c>
      <c r="IN380">
        <v>0</v>
      </c>
      <c r="IO380">
        <v>0</v>
      </c>
      <c r="IP380">
        <v>0</v>
      </c>
      <c r="IQ380">
        <v>0</v>
      </c>
      <c r="IR380">
        <v>0</v>
      </c>
      <c r="IS380">
        <v>0</v>
      </c>
      <c r="IT380">
        <v>0</v>
      </c>
      <c r="IU380">
        <v>0</v>
      </c>
      <c r="IV380">
        <v>0</v>
      </c>
      <c r="IW380">
        <v>0</v>
      </c>
      <c r="IX380">
        <v>0</v>
      </c>
      <c r="IY380">
        <v>0</v>
      </c>
      <c r="IZ380">
        <v>0</v>
      </c>
      <c r="JA380">
        <v>0</v>
      </c>
      <c r="JB380">
        <v>0</v>
      </c>
      <c r="JC380">
        <v>0</v>
      </c>
      <c r="JD380">
        <v>0</v>
      </c>
      <c r="JE380">
        <v>0</v>
      </c>
      <c r="JF380">
        <v>0</v>
      </c>
      <c r="JG380">
        <v>0</v>
      </c>
      <c r="JH380">
        <v>0</v>
      </c>
      <c r="JI380">
        <v>0</v>
      </c>
      <c r="JJ380">
        <v>0</v>
      </c>
      <c r="JK380">
        <v>0</v>
      </c>
      <c r="JL380">
        <v>0</v>
      </c>
      <c r="JM380">
        <v>0</v>
      </c>
      <c r="JN380">
        <v>0</v>
      </c>
      <c r="JO380">
        <v>0</v>
      </c>
      <c r="JP380">
        <v>0</v>
      </c>
      <c r="JQ380">
        <v>0</v>
      </c>
      <c r="JR380">
        <v>0</v>
      </c>
      <c r="JS380">
        <v>0</v>
      </c>
      <c r="JT380">
        <v>0</v>
      </c>
      <c r="JU380">
        <v>0</v>
      </c>
      <c r="JV380">
        <v>0</v>
      </c>
      <c r="JW380">
        <v>0</v>
      </c>
      <c r="JX380">
        <v>0</v>
      </c>
      <c r="JY380">
        <v>0</v>
      </c>
      <c r="JZ380">
        <v>0</v>
      </c>
      <c r="KA380">
        <v>0</v>
      </c>
      <c r="KB380">
        <v>0</v>
      </c>
      <c r="KC380">
        <v>0</v>
      </c>
      <c r="KD380">
        <v>0</v>
      </c>
      <c r="KE380">
        <v>0</v>
      </c>
      <c r="KF380">
        <v>0</v>
      </c>
      <c r="KG380">
        <v>0</v>
      </c>
      <c r="KH380">
        <v>0</v>
      </c>
      <c r="KI380">
        <v>0</v>
      </c>
      <c r="KJ380">
        <v>0</v>
      </c>
      <c r="KK380">
        <v>0</v>
      </c>
      <c r="KL380">
        <v>0</v>
      </c>
      <c r="KM380">
        <v>0</v>
      </c>
      <c r="KN380">
        <v>0</v>
      </c>
      <c r="KO380">
        <v>0</v>
      </c>
      <c r="KP380">
        <v>0</v>
      </c>
      <c r="KQ380">
        <v>0</v>
      </c>
      <c r="KR380">
        <v>0</v>
      </c>
      <c r="KS380">
        <v>0</v>
      </c>
      <c r="KT380">
        <v>0</v>
      </c>
      <c r="KU380">
        <v>0</v>
      </c>
      <c r="KV380">
        <v>0</v>
      </c>
      <c r="KW380">
        <v>0</v>
      </c>
      <c r="KX380">
        <v>0</v>
      </c>
      <c r="KY380">
        <v>0</v>
      </c>
      <c r="KZ380">
        <v>0</v>
      </c>
      <c r="LA380">
        <v>0</v>
      </c>
      <c r="LB380">
        <v>0</v>
      </c>
      <c r="LC380">
        <v>0</v>
      </c>
      <c r="LD380">
        <v>0</v>
      </c>
      <c r="LE380">
        <v>0</v>
      </c>
      <c r="LF380">
        <v>0</v>
      </c>
      <c r="LG380">
        <v>0</v>
      </c>
      <c r="LH380">
        <v>0</v>
      </c>
      <c r="LI380">
        <v>0</v>
      </c>
      <c r="LJ380">
        <v>0</v>
      </c>
      <c r="LK380">
        <v>0</v>
      </c>
      <c r="LL380">
        <v>0</v>
      </c>
      <c r="LM380">
        <v>0</v>
      </c>
      <c r="LN380">
        <v>0</v>
      </c>
      <c r="LO380">
        <v>0</v>
      </c>
      <c r="LP380">
        <v>0</v>
      </c>
      <c r="LQ380">
        <v>0</v>
      </c>
      <c r="LR380">
        <v>0</v>
      </c>
      <c r="LS380">
        <v>0</v>
      </c>
      <c r="LT380">
        <v>0</v>
      </c>
      <c r="LU380">
        <v>0</v>
      </c>
      <c r="LV380">
        <v>0</v>
      </c>
      <c r="LW380">
        <v>0</v>
      </c>
      <c r="LX380">
        <v>0</v>
      </c>
      <c r="LY380">
        <v>0</v>
      </c>
      <c r="LZ380">
        <v>0</v>
      </c>
      <c r="MA380">
        <v>0</v>
      </c>
      <c r="MB380">
        <v>0</v>
      </c>
      <c r="MC380">
        <v>0</v>
      </c>
      <c r="MD380">
        <v>0</v>
      </c>
      <c r="ME380">
        <v>0</v>
      </c>
      <c r="MF380">
        <v>0</v>
      </c>
      <c r="MG380">
        <v>0</v>
      </c>
      <c r="MH380">
        <v>0</v>
      </c>
      <c r="MI380">
        <v>0</v>
      </c>
      <c r="MJ380">
        <v>0</v>
      </c>
      <c r="MK380">
        <v>0</v>
      </c>
      <c r="ML380">
        <v>0</v>
      </c>
      <c r="MM380">
        <v>0</v>
      </c>
      <c r="MN380">
        <v>0</v>
      </c>
      <c r="MO380">
        <v>0</v>
      </c>
      <c r="MP380">
        <v>0</v>
      </c>
      <c r="MQ380">
        <v>0</v>
      </c>
      <c r="MR380">
        <v>0</v>
      </c>
      <c r="MS380">
        <v>0</v>
      </c>
      <c r="MT380">
        <v>0</v>
      </c>
      <c r="MU380">
        <v>0</v>
      </c>
      <c r="MV380">
        <v>0</v>
      </c>
      <c r="MW380">
        <v>0</v>
      </c>
      <c r="MX380">
        <v>0</v>
      </c>
      <c r="MY380">
        <v>0</v>
      </c>
      <c r="MZ380">
        <v>0</v>
      </c>
      <c r="NA380">
        <v>0</v>
      </c>
      <c r="NB380">
        <v>0</v>
      </c>
      <c r="NC380">
        <v>0</v>
      </c>
      <c r="ND380">
        <v>0</v>
      </c>
      <c r="NE380">
        <v>0</v>
      </c>
    </row>
    <row r="381" spans="41:369" x14ac:dyDescent="0.45">
      <c r="AO381">
        <v>0</v>
      </c>
      <c r="AP381">
        <v>0</v>
      </c>
      <c r="AQ381">
        <v>0</v>
      </c>
      <c r="AR381">
        <v>0</v>
      </c>
      <c r="AS381">
        <v>0</v>
      </c>
      <c r="AT381">
        <v>0</v>
      </c>
      <c r="AU381">
        <v>0</v>
      </c>
      <c r="AV381">
        <v>0</v>
      </c>
      <c r="AW381" t="str">
        <v/>
      </c>
      <c r="AX381">
        <v>255</v>
      </c>
      <c r="AY381" s="5" t="str">
        <v/>
      </c>
      <c r="AZ381">
        <v>0</v>
      </c>
      <c r="BA381">
        <v>0</v>
      </c>
      <c r="BB381">
        <v>0</v>
      </c>
      <c r="BC381">
        <v>0</v>
      </c>
      <c r="BD381">
        <v>0</v>
      </c>
      <c r="BE381">
        <v>0</v>
      </c>
      <c r="BF381">
        <v>0</v>
      </c>
      <c r="BG381">
        <v>0</v>
      </c>
      <c r="BH381">
        <v>0</v>
      </c>
      <c r="BI381" t="str">
        <v/>
      </c>
      <c r="BK381">
        <v>375</v>
      </c>
      <c r="BL381">
        <v>0</v>
      </c>
      <c r="BM381">
        <v>0</v>
      </c>
      <c r="BN381">
        <v>0</v>
      </c>
      <c r="BO381">
        <v>0</v>
      </c>
      <c r="BP381">
        <v>0</v>
      </c>
      <c r="BQ381">
        <v>0</v>
      </c>
      <c r="BR381">
        <v>0</v>
      </c>
      <c r="BS381">
        <v>0</v>
      </c>
      <c r="BT381">
        <v>0</v>
      </c>
      <c r="BU381">
        <v>0</v>
      </c>
      <c r="BV381">
        <v>0</v>
      </c>
      <c r="BW381">
        <v>0</v>
      </c>
      <c r="BX381">
        <v>0</v>
      </c>
      <c r="BY381">
        <v>0</v>
      </c>
      <c r="BZ381">
        <v>0</v>
      </c>
      <c r="CA381">
        <v>0</v>
      </c>
      <c r="CB381">
        <v>0</v>
      </c>
      <c r="CC381">
        <v>0</v>
      </c>
      <c r="CD381">
        <v>0</v>
      </c>
      <c r="CE381">
        <v>0</v>
      </c>
      <c r="CF381">
        <v>0</v>
      </c>
      <c r="CG381">
        <v>0</v>
      </c>
      <c r="CH381">
        <v>0</v>
      </c>
      <c r="CI381">
        <v>0</v>
      </c>
      <c r="CJ381">
        <v>0</v>
      </c>
      <c r="CK381">
        <v>0</v>
      </c>
      <c r="CL381">
        <v>0</v>
      </c>
      <c r="CM381">
        <v>0</v>
      </c>
      <c r="CN381">
        <v>0</v>
      </c>
      <c r="CO381">
        <v>0</v>
      </c>
      <c r="CP381">
        <v>0</v>
      </c>
      <c r="CQ381">
        <v>0</v>
      </c>
      <c r="CR381">
        <v>0</v>
      </c>
      <c r="CS381">
        <v>0</v>
      </c>
      <c r="CT381">
        <v>0</v>
      </c>
      <c r="CU381">
        <v>0</v>
      </c>
      <c r="CV381">
        <v>0</v>
      </c>
      <c r="CW381">
        <v>0</v>
      </c>
      <c r="CX381">
        <v>0</v>
      </c>
      <c r="CY381">
        <v>0</v>
      </c>
      <c r="CZ381">
        <v>0</v>
      </c>
      <c r="DA381">
        <v>0</v>
      </c>
      <c r="DB381">
        <v>0</v>
      </c>
      <c r="DC381">
        <v>0</v>
      </c>
      <c r="DD381">
        <v>0</v>
      </c>
      <c r="DE381">
        <v>0</v>
      </c>
      <c r="DF381">
        <v>0</v>
      </c>
      <c r="DG381">
        <v>0</v>
      </c>
      <c r="DH381">
        <v>0</v>
      </c>
      <c r="DI381">
        <v>0</v>
      </c>
      <c r="DJ381">
        <v>0</v>
      </c>
      <c r="DK381">
        <v>0</v>
      </c>
      <c r="DL381">
        <v>0</v>
      </c>
      <c r="DM381">
        <v>0</v>
      </c>
      <c r="DN381">
        <v>0</v>
      </c>
      <c r="DO381">
        <v>0</v>
      </c>
      <c r="DP381">
        <v>0</v>
      </c>
      <c r="DQ381">
        <v>0</v>
      </c>
      <c r="DR381">
        <v>0</v>
      </c>
      <c r="DS381">
        <v>0</v>
      </c>
      <c r="DT381">
        <v>0</v>
      </c>
      <c r="DU381">
        <v>0</v>
      </c>
      <c r="DV381">
        <v>0</v>
      </c>
      <c r="DW381">
        <v>0</v>
      </c>
      <c r="DX381">
        <v>0</v>
      </c>
      <c r="DY381">
        <v>0</v>
      </c>
      <c r="DZ381">
        <v>0</v>
      </c>
      <c r="EA381">
        <v>0</v>
      </c>
      <c r="EB381">
        <v>0</v>
      </c>
      <c r="EC381">
        <v>0</v>
      </c>
      <c r="ED381">
        <v>0</v>
      </c>
      <c r="EE381">
        <v>0</v>
      </c>
      <c r="EF381">
        <v>0</v>
      </c>
      <c r="EG381">
        <v>0</v>
      </c>
      <c r="EH381">
        <v>0</v>
      </c>
      <c r="EI381">
        <v>0</v>
      </c>
      <c r="EJ381">
        <v>0</v>
      </c>
      <c r="EK381">
        <v>0</v>
      </c>
      <c r="EL381">
        <v>0</v>
      </c>
      <c r="EM381">
        <v>0</v>
      </c>
      <c r="EN381">
        <v>0</v>
      </c>
      <c r="EO381">
        <v>0</v>
      </c>
      <c r="EP381">
        <v>0</v>
      </c>
      <c r="EQ381">
        <v>0</v>
      </c>
      <c r="ER381">
        <v>0</v>
      </c>
      <c r="ES381">
        <v>0</v>
      </c>
      <c r="ET381">
        <v>0</v>
      </c>
      <c r="EU381">
        <v>0</v>
      </c>
      <c r="EV381">
        <v>0</v>
      </c>
      <c r="EW381">
        <v>0</v>
      </c>
      <c r="EX381">
        <v>0</v>
      </c>
      <c r="EY381">
        <v>0</v>
      </c>
      <c r="EZ381">
        <v>0</v>
      </c>
      <c r="FA381">
        <v>0</v>
      </c>
      <c r="FB381">
        <v>0</v>
      </c>
      <c r="FC381">
        <v>0</v>
      </c>
      <c r="FD381">
        <v>0</v>
      </c>
      <c r="FE381">
        <v>0</v>
      </c>
      <c r="FF381">
        <v>0</v>
      </c>
      <c r="FG381">
        <v>0</v>
      </c>
      <c r="FH381">
        <v>0</v>
      </c>
      <c r="FI381">
        <v>0</v>
      </c>
      <c r="FJ381">
        <v>0</v>
      </c>
      <c r="FK381">
        <v>0</v>
      </c>
      <c r="FL381">
        <v>0</v>
      </c>
      <c r="FM381">
        <v>0</v>
      </c>
      <c r="FN381">
        <v>0</v>
      </c>
      <c r="FO381">
        <v>0</v>
      </c>
      <c r="FP381">
        <v>0</v>
      </c>
      <c r="FQ381">
        <v>0</v>
      </c>
      <c r="FR381">
        <v>0</v>
      </c>
      <c r="FS381">
        <v>0</v>
      </c>
      <c r="FT381">
        <v>0</v>
      </c>
      <c r="FU381">
        <v>0</v>
      </c>
      <c r="FV381">
        <v>0</v>
      </c>
      <c r="FW381">
        <v>0</v>
      </c>
      <c r="FX381">
        <v>0</v>
      </c>
      <c r="FY381">
        <v>0</v>
      </c>
      <c r="FZ381">
        <v>0</v>
      </c>
      <c r="GA381">
        <v>0</v>
      </c>
      <c r="GB381">
        <v>0</v>
      </c>
      <c r="GC381">
        <v>0</v>
      </c>
      <c r="GD381">
        <v>0</v>
      </c>
      <c r="GE381">
        <v>0</v>
      </c>
      <c r="GF381">
        <v>0</v>
      </c>
      <c r="GG381">
        <v>0</v>
      </c>
      <c r="GH381">
        <v>0</v>
      </c>
      <c r="GI381">
        <v>0</v>
      </c>
      <c r="GJ381">
        <v>0</v>
      </c>
      <c r="GK381">
        <v>0</v>
      </c>
      <c r="GL381">
        <v>0</v>
      </c>
      <c r="GM381">
        <v>0</v>
      </c>
      <c r="GN381">
        <v>0</v>
      </c>
      <c r="GO381">
        <v>0</v>
      </c>
      <c r="GP381">
        <v>0</v>
      </c>
      <c r="GQ381">
        <v>0</v>
      </c>
      <c r="GR381">
        <v>0</v>
      </c>
      <c r="GS381">
        <v>0</v>
      </c>
      <c r="GT381">
        <v>0</v>
      </c>
      <c r="GU381">
        <v>0</v>
      </c>
      <c r="GV381">
        <v>0</v>
      </c>
      <c r="GW381">
        <v>0</v>
      </c>
      <c r="GX381">
        <v>0</v>
      </c>
      <c r="GY381">
        <v>0</v>
      </c>
      <c r="GZ381">
        <v>0</v>
      </c>
      <c r="HA381">
        <v>0</v>
      </c>
      <c r="HB381">
        <v>0</v>
      </c>
      <c r="HC381">
        <v>0</v>
      </c>
      <c r="HD381">
        <v>0</v>
      </c>
      <c r="HE381">
        <v>0</v>
      </c>
      <c r="HF381">
        <v>0</v>
      </c>
      <c r="HG381">
        <v>0</v>
      </c>
      <c r="HH381">
        <v>0</v>
      </c>
      <c r="HI381">
        <v>0</v>
      </c>
      <c r="HJ381">
        <v>0</v>
      </c>
      <c r="HK381">
        <v>0</v>
      </c>
      <c r="HL381">
        <v>0</v>
      </c>
      <c r="HM381">
        <v>0</v>
      </c>
      <c r="HN381">
        <v>0</v>
      </c>
      <c r="HO381">
        <v>0</v>
      </c>
      <c r="HP381">
        <v>0</v>
      </c>
      <c r="HQ381">
        <v>0</v>
      </c>
      <c r="HR381">
        <v>0</v>
      </c>
      <c r="HS381">
        <v>0</v>
      </c>
      <c r="HT381">
        <v>0</v>
      </c>
      <c r="HU381">
        <v>0</v>
      </c>
      <c r="HV381">
        <v>0</v>
      </c>
      <c r="HW381">
        <v>0</v>
      </c>
      <c r="HX381">
        <v>0</v>
      </c>
      <c r="HY381">
        <v>0</v>
      </c>
      <c r="HZ381">
        <v>0</v>
      </c>
      <c r="IA381">
        <v>0</v>
      </c>
      <c r="IB381">
        <v>0</v>
      </c>
      <c r="IC381">
        <v>0</v>
      </c>
      <c r="ID381">
        <v>0</v>
      </c>
      <c r="IE381">
        <v>0</v>
      </c>
      <c r="IF381">
        <v>0</v>
      </c>
      <c r="IG381">
        <v>0</v>
      </c>
      <c r="IH381">
        <v>0</v>
      </c>
      <c r="II381">
        <v>0</v>
      </c>
      <c r="IJ381">
        <v>0</v>
      </c>
      <c r="IK381">
        <v>0</v>
      </c>
      <c r="IL381">
        <v>0</v>
      </c>
      <c r="IM381">
        <v>0</v>
      </c>
      <c r="IN381">
        <v>0</v>
      </c>
      <c r="IO381">
        <v>0</v>
      </c>
      <c r="IP381">
        <v>0</v>
      </c>
      <c r="IQ381">
        <v>0</v>
      </c>
      <c r="IR381">
        <v>0</v>
      </c>
      <c r="IS381">
        <v>0</v>
      </c>
      <c r="IT381">
        <v>0</v>
      </c>
      <c r="IU381">
        <v>0</v>
      </c>
      <c r="IV381">
        <v>0</v>
      </c>
      <c r="IW381">
        <v>0</v>
      </c>
      <c r="IX381">
        <v>0</v>
      </c>
      <c r="IY381">
        <v>0</v>
      </c>
      <c r="IZ381">
        <v>0</v>
      </c>
      <c r="JA381">
        <v>0</v>
      </c>
      <c r="JB381">
        <v>0</v>
      </c>
      <c r="JC381">
        <v>0</v>
      </c>
      <c r="JD381">
        <v>0</v>
      </c>
      <c r="JE381">
        <v>0</v>
      </c>
      <c r="JF381">
        <v>0</v>
      </c>
      <c r="JG381">
        <v>0</v>
      </c>
      <c r="JH381">
        <v>0</v>
      </c>
      <c r="JI381">
        <v>0</v>
      </c>
      <c r="JJ381">
        <v>0</v>
      </c>
      <c r="JK381">
        <v>0</v>
      </c>
      <c r="JL381">
        <v>0</v>
      </c>
      <c r="JM381">
        <v>0</v>
      </c>
      <c r="JN381">
        <v>0</v>
      </c>
      <c r="JO381">
        <v>0</v>
      </c>
      <c r="JP381">
        <v>0</v>
      </c>
      <c r="JQ381">
        <v>0</v>
      </c>
      <c r="JR381">
        <v>0</v>
      </c>
      <c r="JS381">
        <v>0</v>
      </c>
      <c r="JT381">
        <v>0</v>
      </c>
      <c r="JU381">
        <v>0</v>
      </c>
      <c r="JV381">
        <v>0</v>
      </c>
      <c r="JW381">
        <v>0</v>
      </c>
      <c r="JX381">
        <v>0</v>
      </c>
      <c r="JY381">
        <v>0</v>
      </c>
      <c r="JZ381">
        <v>0</v>
      </c>
      <c r="KA381">
        <v>0</v>
      </c>
      <c r="KB381">
        <v>0</v>
      </c>
      <c r="KC381">
        <v>0</v>
      </c>
      <c r="KD381">
        <v>0</v>
      </c>
      <c r="KE381">
        <v>0</v>
      </c>
      <c r="KF381">
        <v>0</v>
      </c>
      <c r="KG381">
        <v>0</v>
      </c>
      <c r="KH381">
        <v>0</v>
      </c>
      <c r="KI381">
        <v>0</v>
      </c>
      <c r="KJ381">
        <v>0</v>
      </c>
      <c r="KK381">
        <v>0</v>
      </c>
      <c r="KL381">
        <v>0</v>
      </c>
      <c r="KM381">
        <v>0</v>
      </c>
      <c r="KN381">
        <v>0</v>
      </c>
      <c r="KO381">
        <v>0</v>
      </c>
      <c r="KP381">
        <v>0</v>
      </c>
      <c r="KQ381">
        <v>0</v>
      </c>
      <c r="KR381">
        <v>0</v>
      </c>
      <c r="KS381">
        <v>0</v>
      </c>
      <c r="KT381">
        <v>0</v>
      </c>
      <c r="KU381">
        <v>0</v>
      </c>
      <c r="KV381">
        <v>0</v>
      </c>
      <c r="KW381">
        <v>0</v>
      </c>
      <c r="KX381">
        <v>0</v>
      </c>
      <c r="KY381">
        <v>0</v>
      </c>
      <c r="KZ381">
        <v>0</v>
      </c>
      <c r="LA381">
        <v>0</v>
      </c>
      <c r="LB381">
        <v>0</v>
      </c>
      <c r="LC381">
        <v>0</v>
      </c>
      <c r="LD381">
        <v>0</v>
      </c>
      <c r="LE381">
        <v>0</v>
      </c>
      <c r="LF381">
        <v>0</v>
      </c>
      <c r="LG381">
        <v>0</v>
      </c>
      <c r="LH381">
        <v>0</v>
      </c>
      <c r="LI381">
        <v>0</v>
      </c>
      <c r="LJ381">
        <v>0</v>
      </c>
      <c r="LK381">
        <v>0</v>
      </c>
      <c r="LL381">
        <v>0</v>
      </c>
      <c r="LM381">
        <v>0</v>
      </c>
      <c r="LN381">
        <v>0</v>
      </c>
      <c r="LO381">
        <v>0</v>
      </c>
      <c r="LP381">
        <v>0</v>
      </c>
      <c r="LQ381">
        <v>0</v>
      </c>
      <c r="LR381">
        <v>0</v>
      </c>
      <c r="LS381">
        <v>0</v>
      </c>
      <c r="LT381">
        <v>0</v>
      </c>
      <c r="LU381">
        <v>0</v>
      </c>
      <c r="LV381">
        <v>0</v>
      </c>
      <c r="LW381">
        <v>0</v>
      </c>
      <c r="LX381">
        <v>0</v>
      </c>
      <c r="LY381">
        <v>0</v>
      </c>
      <c r="LZ381">
        <v>0</v>
      </c>
      <c r="MA381">
        <v>0</v>
      </c>
      <c r="MB381">
        <v>0</v>
      </c>
      <c r="MC381">
        <v>0</v>
      </c>
      <c r="MD381">
        <v>0</v>
      </c>
      <c r="ME381">
        <v>0</v>
      </c>
      <c r="MF381">
        <v>0</v>
      </c>
      <c r="MG381">
        <v>0</v>
      </c>
      <c r="MH381">
        <v>0</v>
      </c>
      <c r="MI381">
        <v>0</v>
      </c>
      <c r="MJ381">
        <v>0</v>
      </c>
      <c r="MK381">
        <v>0</v>
      </c>
      <c r="ML381">
        <v>0</v>
      </c>
      <c r="MM381">
        <v>0</v>
      </c>
      <c r="MN381">
        <v>0</v>
      </c>
      <c r="MO381">
        <v>0</v>
      </c>
      <c r="MP381">
        <v>0</v>
      </c>
      <c r="MQ381">
        <v>0</v>
      </c>
      <c r="MR381">
        <v>0</v>
      </c>
      <c r="MS381">
        <v>0</v>
      </c>
      <c r="MT381">
        <v>0</v>
      </c>
      <c r="MU381">
        <v>0</v>
      </c>
      <c r="MV381">
        <v>0</v>
      </c>
      <c r="MW381">
        <v>0</v>
      </c>
      <c r="MX381">
        <v>0</v>
      </c>
      <c r="MY381">
        <v>0</v>
      </c>
      <c r="MZ381">
        <v>0</v>
      </c>
      <c r="NA381">
        <v>0</v>
      </c>
      <c r="NB381">
        <v>0</v>
      </c>
      <c r="NC381">
        <v>0</v>
      </c>
      <c r="ND381">
        <v>0</v>
      </c>
      <c r="NE381">
        <v>0</v>
      </c>
    </row>
    <row r="382" spans="41:369" x14ac:dyDescent="0.45">
      <c r="AO382">
        <v>0</v>
      </c>
      <c r="AP382">
        <v>0</v>
      </c>
      <c r="AQ382">
        <v>0</v>
      </c>
      <c r="AR382">
        <v>0</v>
      </c>
      <c r="AS382">
        <v>0</v>
      </c>
      <c r="AT382">
        <v>0</v>
      </c>
      <c r="AU382">
        <v>0</v>
      </c>
      <c r="AV382">
        <v>0</v>
      </c>
      <c r="AW382" t="str">
        <v/>
      </c>
      <c r="AX382">
        <v>255</v>
      </c>
      <c r="AY382" s="5" t="str">
        <v/>
      </c>
      <c r="AZ382">
        <v>0</v>
      </c>
      <c r="BA382">
        <v>0</v>
      </c>
      <c r="BB382">
        <v>0</v>
      </c>
      <c r="BC382">
        <v>0</v>
      </c>
      <c r="BD382">
        <v>0</v>
      </c>
      <c r="BE382">
        <v>0</v>
      </c>
      <c r="BF382">
        <v>0</v>
      </c>
      <c r="BG382">
        <v>0</v>
      </c>
      <c r="BH382">
        <v>0</v>
      </c>
      <c r="BI382" t="str">
        <v/>
      </c>
      <c r="BK382">
        <v>376</v>
      </c>
      <c r="BL382">
        <v>0</v>
      </c>
      <c r="BM382">
        <v>0</v>
      </c>
      <c r="BN382">
        <v>0</v>
      </c>
      <c r="BO382">
        <v>0</v>
      </c>
      <c r="BP382">
        <v>0</v>
      </c>
      <c r="BQ382">
        <v>0</v>
      </c>
      <c r="BR382">
        <v>0</v>
      </c>
      <c r="BS382">
        <v>0</v>
      </c>
      <c r="BT382">
        <v>0</v>
      </c>
      <c r="BU382">
        <v>0</v>
      </c>
      <c r="BV382">
        <v>0</v>
      </c>
      <c r="BW382">
        <v>0</v>
      </c>
      <c r="BX382">
        <v>0</v>
      </c>
      <c r="BY382">
        <v>0</v>
      </c>
      <c r="BZ382">
        <v>0</v>
      </c>
      <c r="CA382">
        <v>0</v>
      </c>
      <c r="CB382">
        <v>0</v>
      </c>
      <c r="CC382">
        <v>0</v>
      </c>
      <c r="CD382">
        <v>0</v>
      </c>
      <c r="CE382">
        <v>0</v>
      </c>
      <c r="CF382">
        <v>0</v>
      </c>
      <c r="CG382">
        <v>0</v>
      </c>
      <c r="CH382">
        <v>0</v>
      </c>
      <c r="CI382">
        <v>0</v>
      </c>
      <c r="CJ382">
        <v>0</v>
      </c>
      <c r="CK382">
        <v>0</v>
      </c>
      <c r="CL382">
        <v>0</v>
      </c>
      <c r="CM382">
        <v>0</v>
      </c>
      <c r="CN382">
        <v>0</v>
      </c>
      <c r="CO382">
        <v>0</v>
      </c>
      <c r="CP382">
        <v>0</v>
      </c>
      <c r="CQ382">
        <v>0</v>
      </c>
      <c r="CR382">
        <v>0</v>
      </c>
      <c r="CS382">
        <v>0</v>
      </c>
      <c r="CT382">
        <v>0</v>
      </c>
      <c r="CU382">
        <v>0</v>
      </c>
      <c r="CV382">
        <v>0</v>
      </c>
      <c r="CW382">
        <v>0</v>
      </c>
      <c r="CX382">
        <v>0</v>
      </c>
      <c r="CY382">
        <v>0</v>
      </c>
      <c r="CZ382">
        <v>0</v>
      </c>
      <c r="DA382">
        <v>0</v>
      </c>
      <c r="DB382">
        <v>0</v>
      </c>
      <c r="DC382">
        <v>0</v>
      </c>
      <c r="DD382">
        <v>0</v>
      </c>
      <c r="DE382">
        <v>0</v>
      </c>
      <c r="DF382">
        <v>0</v>
      </c>
      <c r="DG382">
        <v>0</v>
      </c>
      <c r="DH382">
        <v>0</v>
      </c>
      <c r="DI382">
        <v>0</v>
      </c>
      <c r="DJ382">
        <v>0</v>
      </c>
      <c r="DK382">
        <v>0</v>
      </c>
      <c r="DL382">
        <v>0</v>
      </c>
      <c r="DM382">
        <v>0</v>
      </c>
      <c r="DN382">
        <v>0</v>
      </c>
      <c r="DO382">
        <v>0</v>
      </c>
      <c r="DP382">
        <v>0</v>
      </c>
      <c r="DQ382">
        <v>0</v>
      </c>
      <c r="DR382">
        <v>0</v>
      </c>
      <c r="DS382">
        <v>0</v>
      </c>
      <c r="DT382">
        <v>0</v>
      </c>
      <c r="DU382">
        <v>0</v>
      </c>
      <c r="DV382">
        <v>0</v>
      </c>
      <c r="DW382">
        <v>0</v>
      </c>
      <c r="DX382">
        <v>0</v>
      </c>
      <c r="DY382">
        <v>0</v>
      </c>
      <c r="DZ382">
        <v>0</v>
      </c>
      <c r="EA382">
        <v>0</v>
      </c>
      <c r="EB382">
        <v>0</v>
      </c>
      <c r="EC382">
        <v>0</v>
      </c>
      <c r="ED382">
        <v>0</v>
      </c>
      <c r="EE382">
        <v>0</v>
      </c>
      <c r="EF382">
        <v>0</v>
      </c>
      <c r="EG382">
        <v>0</v>
      </c>
      <c r="EH382">
        <v>0</v>
      </c>
      <c r="EI382">
        <v>0</v>
      </c>
      <c r="EJ382">
        <v>0</v>
      </c>
      <c r="EK382">
        <v>0</v>
      </c>
      <c r="EL382">
        <v>0</v>
      </c>
      <c r="EM382">
        <v>0</v>
      </c>
      <c r="EN382">
        <v>0</v>
      </c>
      <c r="EO382">
        <v>0</v>
      </c>
      <c r="EP382">
        <v>0</v>
      </c>
      <c r="EQ382">
        <v>0</v>
      </c>
      <c r="ER382">
        <v>0</v>
      </c>
      <c r="ES382">
        <v>0</v>
      </c>
      <c r="ET382">
        <v>0</v>
      </c>
      <c r="EU382">
        <v>0</v>
      </c>
      <c r="EV382">
        <v>0</v>
      </c>
      <c r="EW382">
        <v>0</v>
      </c>
      <c r="EX382">
        <v>0</v>
      </c>
      <c r="EY382">
        <v>0</v>
      </c>
      <c r="EZ382">
        <v>0</v>
      </c>
      <c r="FA382">
        <v>0</v>
      </c>
      <c r="FB382">
        <v>0</v>
      </c>
      <c r="FC382">
        <v>0</v>
      </c>
      <c r="FD382">
        <v>0</v>
      </c>
      <c r="FE382">
        <v>0</v>
      </c>
      <c r="FF382">
        <v>0</v>
      </c>
      <c r="FG382">
        <v>0</v>
      </c>
      <c r="FH382">
        <v>0</v>
      </c>
      <c r="FI382">
        <v>0</v>
      </c>
      <c r="FJ382">
        <v>0</v>
      </c>
      <c r="FK382">
        <v>0</v>
      </c>
      <c r="FL382">
        <v>0</v>
      </c>
      <c r="FM382">
        <v>0</v>
      </c>
      <c r="FN382">
        <v>0</v>
      </c>
      <c r="FO382">
        <v>0</v>
      </c>
      <c r="FP382">
        <v>0</v>
      </c>
      <c r="FQ382">
        <v>0</v>
      </c>
      <c r="FR382">
        <v>0</v>
      </c>
      <c r="FS382">
        <v>0</v>
      </c>
      <c r="FT382">
        <v>0</v>
      </c>
      <c r="FU382">
        <v>0</v>
      </c>
      <c r="FV382">
        <v>0</v>
      </c>
      <c r="FW382">
        <v>0</v>
      </c>
      <c r="FX382">
        <v>0</v>
      </c>
      <c r="FY382">
        <v>0</v>
      </c>
      <c r="FZ382">
        <v>0</v>
      </c>
      <c r="GA382">
        <v>0</v>
      </c>
      <c r="GB382">
        <v>0</v>
      </c>
      <c r="GC382">
        <v>0</v>
      </c>
      <c r="GD382">
        <v>0</v>
      </c>
      <c r="GE382">
        <v>0</v>
      </c>
      <c r="GF382">
        <v>0</v>
      </c>
      <c r="GG382">
        <v>0</v>
      </c>
      <c r="GH382">
        <v>0</v>
      </c>
      <c r="GI382">
        <v>0</v>
      </c>
      <c r="GJ382">
        <v>0</v>
      </c>
      <c r="GK382">
        <v>0</v>
      </c>
      <c r="GL382">
        <v>0</v>
      </c>
      <c r="GM382">
        <v>0</v>
      </c>
      <c r="GN382">
        <v>0</v>
      </c>
      <c r="GO382">
        <v>0</v>
      </c>
      <c r="GP382">
        <v>0</v>
      </c>
      <c r="GQ382">
        <v>0</v>
      </c>
      <c r="GR382">
        <v>0</v>
      </c>
      <c r="GS382">
        <v>0</v>
      </c>
      <c r="GT382">
        <v>0</v>
      </c>
      <c r="GU382">
        <v>0</v>
      </c>
      <c r="GV382">
        <v>0</v>
      </c>
      <c r="GW382">
        <v>0</v>
      </c>
      <c r="GX382">
        <v>0</v>
      </c>
      <c r="GY382">
        <v>0</v>
      </c>
      <c r="GZ382">
        <v>0</v>
      </c>
      <c r="HA382">
        <v>0</v>
      </c>
      <c r="HB382">
        <v>0</v>
      </c>
      <c r="HC382">
        <v>0</v>
      </c>
      <c r="HD382">
        <v>0</v>
      </c>
      <c r="HE382">
        <v>0</v>
      </c>
      <c r="HF382">
        <v>0</v>
      </c>
      <c r="HG382">
        <v>0</v>
      </c>
      <c r="HH382">
        <v>0</v>
      </c>
      <c r="HI382">
        <v>0</v>
      </c>
      <c r="HJ382">
        <v>0</v>
      </c>
      <c r="HK382">
        <v>0</v>
      </c>
      <c r="HL382">
        <v>0</v>
      </c>
      <c r="HM382">
        <v>0</v>
      </c>
      <c r="HN382">
        <v>0</v>
      </c>
      <c r="HO382">
        <v>0</v>
      </c>
      <c r="HP382">
        <v>0</v>
      </c>
      <c r="HQ382">
        <v>0</v>
      </c>
      <c r="HR382">
        <v>0</v>
      </c>
      <c r="HS382">
        <v>0</v>
      </c>
      <c r="HT382">
        <v>0</v>
      </c>
      <c r="HU382">
        <v>0</v>
      </c>
      <c r="HV382">
        <v>0</v>
      </c>
      <c r="HW382">
        <v>0</v>
      </c>
      <c r="HX382">
        <v>0</v>
      </c>
      <c r="HY382">
        <v>0</v>
      </c>
      <c r="HZ382">
        <v>0</v>
      </c>
      <c r="IA382">
        <v>0</v>
      </c>
      <c r="IB382">
        <v>0</v>
      </c>
      <c r="IC382">
        <v>0</v>
      </c>
      <c r="ID382">
        <v>0</v>
      </c>
      <c r="IE382">
        <v>0</v>
      </c>
      <c r="IF382">
        <v>0</v>
      </c>
      <c r="IG382">
        <v>0</v>
      </c>
      <c r="IH382">
        <v>0</v>
      </c>
      <c r="II382">
        <v>0</v>
      </c>
      <c r="IJ382">
        <v>0</v>
      </c>
      <c r="IK382">
        <v>0</v>
      </c>
      <c r="IL382">
        <v>0</v>
      </c>
      <c r="IM382">
        <v>0</v>
      </c>
      <c r="IN382">
        <v>0</v>
      </c>
      <c r="IO382">
        <v>0</v>
      </c>
      <c r="IP382">
        <v>0</v>
      </c>
      <c r="IQ382">
        <v>0</v>
      </c>
      <c r="IR382">
        <v>0</v>
      </c>
      <c r="IS382">
        <v>0</v>
      </c>
      <c r="IT382">
        <v>0</v>
      </c>
      <c r="IU382">
        <v>0</v>
      </c>
      <c r="IV382">
        <v>0</v>
      </c>
      <c r="IW382">
        <v>0</v>
      </c>
      <c r="IX382">
        <v>0</v>
      </c>
      <c r="IY382">
        <v>0</v>
      </c>
      <c r="IZ382">
        <v>0</v>
      </c>
      <c r="JA382">
        <v>0</v>
      </c>
      <c r="JB382">
        <v>0</v>
      </c>
      <c r="JC382">
        <v>0</v>
      </c>
      <c r="JD382">
        <v>0</v>
      </c>
      <c r="JE382">
        <v>0</v>
      </c>
      <c r="JF382">
        <v>0</v>
      </c>
      <c r="JG382">
        <v>0</v>
      </c>
      <c r="JH382">
        <v>0</v>
      </c>
      <c r="JI382">
        <v>0</v>
      </c>
      <c r="JJ382">
        <v>0</v>
      </c>
      <c r="JK382">
        <v>0</v>
      </c>
      <c r="JL382">
        <v>0</v>
      </c>
      <c r="JM382">
        <v>0</v>
      </c>
      <c r="JN382">
        <v>0</v>
      </c>
      <c r="JO382">
        <v>0</v>
      </c>
      <c r="JP382">
        <v>0</v>
      </c>
      <c r="JQ382">
        <v>0</v>
      </c>
      <c r="JR382">
        <v>0</v>
      </c>
      <c r="JS382">
        <v>0</v>
      </c>
      <c r="JT382">
        <v>0</v>
      </c>
      <c r="JU382">
        <v>0</v>
      </c>
      <c r="JV382">
        <v>0</v>
      </c>
      <c r="JW382">
        <v>0</v>
      </c>
      <c r="JX382">
        <v>0</v>
      </c>
      <c r="JY382">
        <v>0</v>
      </c>
      <c r="JZ382">
        <v>0</v>
      </c>
      <c r="KA382">
        <v>0</v>
      </c>
      <c r="KB382">
        <v>0</v>
      </c>
      <c r="KC382">
        <v>0</v>
      </c>
      <c r="KD382">
        <v>0</v>
      </c>
      <c r="KE382">
        <v>0</v>
      </c>
      <c r="KF382">
        <v>0</v>
      </c>
      <c r="KG382">
        <v>0</v>
      </c>
      <c r="KH382">
        <v>0</v>
      </c>
      <c r="KI382">
        <v>0</v>
      </c>
      <c r="KJ382">
        <v>0</v>
      </c>
      <c r="KK382">
        <v>0</v>
      </c>
      <c r="KL382">
        <v>0</v>
      </c>
      <c r="KM382">
        <v>0</v>
      </c>
      <c r="KN382">
        <v>0</v>
      </c>
      <c r="KO382">
        <v>0</v>
      </c>
      <c r="KP382">
        <v>0</v>
      </c>
      <c r="KQ382">
        <v>0</v>
      </c>
      <c r="KR382">
        <v>0</v>
      </c>
      <c r="KS382">
        <v>0</v>
      </c>
      <c r="KT382">
        <v>0</v>
      </c>
      <c r="KU382">
        <v>0</v>
      </c>
      <c r="KV382">
        <v>0</v>
      </c>
      <c r="KW382">
        <v>0</v>
      </c>
      <c r="KX382">
        <v>0</v>
      </c>
      <c r="KY382">
        <v>0</v>
      </c>
      <c r="KZ382">
        <v>0</v>
      </c>
      <c r="LA382">
        <v>0</v>
      </c>
      <c r="LB382">
        <v>0</v>
      </c>
      <c r="LC382">
        <v>0</v>
      </c>
      <c r="LD382">
        <v>0</v>
      </c>
      <c r="LE382">
        <v>0</v>
      </c>
      <c r="LF382">
        <v>0</v>
      </c>
      <c r="LG382">
        <v>0</v>
      </c>
      <c r="LH382">
        <v>0</v>
      </c>
      <c r="LI382">
        <v>0</v>
      </c>
      <c r="LJ382">
        <v>0</v>
      </c>
      <c r="LK382">
        <v>0</v>
      </c>
      <c r="LL382">
        <v>0</v>
      </c>
      <c r="LM382">
        <v>0</v>
      </c>
      <c r="LN382">
        <v>0</v>
      </c>
      <c r="LO382">
        <v>0</v>
      </c>
      <c r="LP382">
        <v>0</v>
      </c>
      <c r="LQ382">
        <v>0</v>
      </c>
      <c r="LR382">
        <v>0</v>
      </c>
      <c r="LS382">
        <v>0</v>
      </c>
      <c r="LT382">
        <v>0</v>
      </c>
      <c r="LU382">
        <v>0</v>
      </c>
      <c r="LV382">
        <v>0</v>
      </c>
      <c r="LW382">
        <v>0</v>
      </c>
      <c r="LX382">
        <v>0</v>
      </c>
      <c r="LY382">
        <v>0</v>
      </c>
      <c r="LZ382">
        <v>0</v>
      </c>
      <c r="MA382">
        <v>0</v>
      </c>
      <c r="MB382">
        <v>0</v>
      </c>
      <c r="MC382">
        <v>0</v>
      </c>
      <c r="MD382">
        <v>0</v>
      </c>
      <c r="ME382">
        <v>0</v>
      </c>
      <c r="MF382">
        <v>0</v>
      </c>
      <c r="MG382">
        <v>0</v>
      </c>
      <c r="MH382">
        <v>0</v>
      </c>
      <c r="MI382">
        <v>0</v>
      </c>
      <c r="MJ382">
        <v>0</v>
      </c>
      <c r="MK382">
        <v>0</v>
      </c>
      <c r="ML382">
        <v>0</v>
      </c>
      <c r="MM382">
        <v>0</v>
      </c>
      <c r="MN382">
        <v>0</v>
      </c>
      <c r="MO382">
        <v>0</v>
      </c>
      <c r="MP382">
        <v>0</v>
      </c>
      <c r="MQ382">
        <v>0</v>
      </c>
      <c r="MR382">
        <v>0</v>
      </c>
      <c r="MS382">
        <v>0</v>
      </c>
      <c r="MT382">
        <v>0</v>
      </c>
      <c r="MU382">
        <v>0</v>
      </c>
      <c r="MV382">
        <v>0</v>
      </c>
      <c r="MW382">
        <v>0</v>
      </c>
      <c r="MX382">
        <v>0</v>
      </c>
      <c r="MY382">
        <v>0</v>
      </c>
      <c r="MZ382">
        <v>0</v>
      </c>
      <c r="NA382">
        <v>0</v>
      </c>
      <c r="NB382">
        <v>0</v>
      </c>
      <c r="NC382">
        <v>0</v>
      </c>
      <c r="ND382">
        <v>0</v>
      </c>
      <c r="NE382">
        <v>0</v>
      </c>
    </row>
    <row r="383" spans="41:369" x14ac:dyDescent="0.45">
      <c r="AO383">
        <v>0</v>
      </c>
      <c r="AP383">
        <v>0</v>
      </c>
      <c r="AQ383">
        <v>0</v>
      </c>
      <c r="AR383">
        <v>0</v>
      </c>
      <c r="AS383">
        <v>0</v>
      </c>
      <c r="AT383">
        <v>0</v>
      </c>
      <c r="AU383">
        <v>0</v>
      </c>
      <c r="AV383">
        <v>0</v>
      </c>
      <c r="AW383" t="str">
        <v/>
      </c>
      <c r="AX383">
        <v>255</v>
      </c>
      <c r="AY383" s="5" t="str">
        <v/>
      </c>
      <c r="AZ383">
        <v>0</v>
      </c>
      <c r="BA383">
        <v>0</v>
      </c>
      <c r="BB383">
        <v>0</v>
      </c>
      <c r="BC383">
        <v>0</v>
      </c>
      <c r="BD383">
        <v>0</v>
      </c>
      <c r="BE383">
        <v>0</v>
      </c>
      <c r="BF383">
        <v>0</v>
      </c>
      <c r="BG383">
        <v>0</v>
      </c>
      <c r="BH383">
        <v>0</v>
      </c>
      <c r="BI383" t="str">
        <v/>
      </c>
      <c r="BK383">
        <v>377</v>
      </c>
      <c r="BL383">
        <v>0</v>
      </c>
      <c r="BM383">
        <v>0</v>
      </c>
      <c r="BN383">
        <v>0</v>
      </c>
      <c r="BO383">
        <v>0</v>
      </c>
      <c r="BP383">
        <v>0</v>
      </c>
      <c r="BQ383">
        <v>0</v>
      </c>
      <c r="BR383">
        <v>0</v>
      </c>
      <c r="BS383">
        <v>0</v>
      </c>
      <c r="BT383">
        <v>0</v>
      </c>
      <c r="BU383">
        <v>0</v>
      </c>
      <c r="BV383">
        <v>0</v>
      </c>
      <c r="BW383">
        <v>0</v>
      </c>
      <c r="BX383">
        <v>0</v>
      </c>
      <c r="BY383">
        <v>0</v>
      </c>
      <c r="BZ383">
        <v>0</v>
      </c>
      <c r="CA383">
        <v>0</v>
      </c>
      <c r="CB383">
        <v>0</v>
      </c>
      <c r="CC383">
        <v>0</v>
      </c>
      <c r="CD383">
        <v>0</v>
      </c>
      <c r="CE383">
        <v>0</v>
      </c>
      <c r="CF383">
        <v>0</v>
      </c>
      <c r="CG383">
        <v>0</v>
      </c>
      <c r="CH383">
        <v>0</v>
      </c>
      <c r="CI383">
        <v>0</v>
      </c>
      <c r="CJ383">
        <v>0</v>
      </c>
      <c r="CK383">
        <v>0</v>
      </c>
      <c r="CL383">
        <v>0</v>
      </c>
      <c r="CM383">
        <v>0</v>
      </c>
      <c r="CN383">
        <v>0</v>
      </c>
      <c r="CO383">
        <v>0</v>
      </c>
      <c r="CP383">
        <v>0</v>
      </c>
      <c r="CQ383">
        <v>0</v>
      </c>
      <c r="CR383">
        <v>0</v>
      </c>
      <c r="CS383">
        <v>0</v>
      </c>
      <c r="CT383">
        <v>0</v>
      </c>
      <c r="CU383">
        <v>0</v>
      </c>
      <c r="CV383">
        <v>0</v>
      </c>
      <c r="CW383">
        <v>0</v>
      </c>
      <c r="CX383">
        <v>0</v>
      </c>
      <c r="CY383">
        <v>0</v>
      </c>
      <c r="CZ383">
        <v>0</v>
      </c>
      <c r="DA383">
        <v>0</v>
      </c>
      <c r="DB383">
        <v>0</v>
      </c>
      <c r="DC383">
        <v>0</v>
      </c>
      <c r="DD383">
        <v>0</v>
      </c>
      <c r="DE383">
        <v>0</v>
      </c>
      <c r="DF383">
        <v>0</v>
      </c>
      <c r="DG383">
        <v>0</v>
      </c>
      <c r="DH383">
        <v>0</v>
      </c>
      <c r="DI383">
        <v>0</v>
      </c>
      <c r="DJ383">
        <v>0</v>
      </c>
      <c r="DK383">
        <v>0</v>
      </c>
      <c r="DL383">
        <v>0</v>
      </c>
      <c r="DM383">
        <v>0</v>
      </c>
      <c r="DN383">
        <v>0</v>
      </c>
      <c r="DO383">
        <v>0</v>
      </c>
      <c r="DP383">
        <v>0</v>
      </c>
      <c r="DQ383">
        <v>0</v>
      </c>
      <c r="DR383">
        <v>0</v>
      </c>
      <c r="DS383">
        <v>0</v>
      </c>
      <c r="DT383">
        <v>0</v>
      </c>
      <c r="DU383">
        <v>0</v>
      </c>
      <c r="DV383">
        <v>0</v>
      </c>
      <c r="DW383">
        <v>0</v>
      </c>
      <c r="DX383">
        <v>0</v>
      </c>
      <c r="DY383">
        <v>0</v>
      </c>
      <c r="DZ383">
        <v>0</v>
      </c>
      <c r="EA383">
        <v>0</v>
      </c>
      <c r="EB383">
        <v>0</v>
      </c>
      <c r="EC383">
        <v>0</v>
      </c>
      <c r="ED383">
        <v>0</v>
      </c>
      <c r="EE383">
        <v>0</v>
      </c>
      <c r="EF383">
        <v>0</v>
      </c>
      <c r="EG383">
        <v>0</v>
      </c>
      <c r="EH383">
        <v>0</v>
      </c>
      <c r="EI383">
        <v>0</v>
      </c>
      <c r="EJ383">
        <v>0</v>
      </c>
      <c r="EK383">
        <v>0</v>
      </c>
      <c r="EL383">
        <v>0</v>
      </c>
      <c r="EM383">
        <v>0</v>
      </c>
      <c r="EN383">
        <v>0</v>
      </c>
      <c r="EO383">
        <v>0</v>
      </c>
      <c r="EP383">
        <v>0</v>
      </c>
      <c r="EQ383">
        <v>0</v>
      </c>
      <c r="ER383">
        <v>0</v>
      </c>
      <c r="ES383">
        <v>0</v>
      </c>
      <c r="ET383">
        <v>0</v>
      </c>
      <c r="EU383">
        <v>0</v>
      </c>
      <c r="EV383">
        <v>0</v>
      </c>
      <c r="EW383">
        <v>0</v>
      </c>
      <c r="EX383">
        <v>0</v>
      </c>
      <c r="EY383">
        <v>0</v>
      </c>
      <c r="EZ383">
        <v>0</v>
      </c>
      <c r="FA383">
        <v>0</v>
      </c>
      <c r="FB383">
        <v>0</v>
      </c>
      <c r="FC383">
        <v>0</v>
      </c>
      <c r="FD383">
        <v>0</v>
      </c>
      <c r="FE383">
        <v>0</v>
      </c>
      <c r="FF383">
        <v>0</v>
      </c>
      <c r="FG383">
        <v>0</v>
      </c>
      <c r="FH383">
        <v>0</v>
      </c>
      <c r="FI383">
        <v>0</v>
      </c>
      <c r="FJ383">
        <v>0</v>
      </c>
      <c r="FK383">
        <v>0</v>
      </c>
      <c r="FL383">
        <v>0</v>
      </c>
      <c r="FM383">
        <v>0</v>
      </c>
      <c r="FN383">
        <v>0</v>
      </c>
      <c r="FO383">
        <v>0</v>
      </c>
      <c r="FP383">
        <v>0</v>
      </c>
      <c r="FQ383">
        <v>0</v>
      </c>
      <c r="FR383">
        <v>0</v>
      </c>
      <c r="FS383">
        <v>0</v>
      </c>
      <c r="FT383">
        <v>0</v>
      </c>
      <c r="FU383">
        <v>0</v>
      </c>
      <c r="FV383">
        <v>0</v>
      </c>
      <c r="FW383">
        <v>0</v>
      </c>
      <c r="FX383">
        <v>0</v>
      </c>
      <c r="FY383">
        <v>0</v>
      </c>
      <c r="FZ383">
        <v>0</v>
      </c>
      <c r="GA383">
        <v>0</v>
      </c>
      <c r="GB383">
        <v>0</v>
      </c>
      <c r="GC383">
        <v>0</v>
      </c>
      <c r="GD383">
        <v>0</v>
      </c>
      <c r="GE383">
        <v>0</v>
      </c>
      <c r="GF383">
        <v>0</v>
      </c>
      <c r="GG383">
        <v>0</v>
      </c>
      <c r="GH383">
        <v>0</v>
      </c>
      <c r="GI383">
        <v>0</v>
      </c>
      <c r="GJ383">
        <v>0</v>
      </c>
      <c r="GK383">
        <v>0</v>
      </c>
      <c r="GL383">
        <v>0</v>
      </c>
      <c r="GM383">
        <v>0</v>
      </c>
      <c r="GN383">
        <v>0</v>
      </c>
      <c r="GO383">
        <v>0</v>
      </c>
      <c r="GP383">
        <v>0</v>
      </c>
      <c r="GQ383">
        <v>0</v>
      </c>
      <c r="GR383">
        <v>0</v>
      </c>
      <c r="GS383">
        <v>0</v>
      </c>
      <c r="GT383">
        <v>0</v>
      </c>
      <c r="GU383">
        <v>0</v>
      </c>
      <c r="GV383">
        <v>0</v>
      </c>
      <c r="GW383">
        <v>0</v>
      </c>
      <c r="GX383">
        <v>0</v>
      </c>
      <c r="GY383">
        <v>0</v>
      </c>
      <c r="GZ383">
        <v>0</v>
      </c>
      <c r="HA383">
        <v>0</v>
      </c>
      <c r="HB383">
        <v>0</v>
      </c>
      <c r="HC383">
        <v>0</v>
      </c>
      <c r="HD383">
        <v>0</v>
      </c>
      <c r="HE383">
        <v>0</v>
      </c>
      <c r="HF383">
        <v>0</v>
      </c>
      <c r="HG383">
        <v>0</v>
      </c>
      <c r="HH383">
        <v>0</v>
      </c>
      <c r="HI383">
        <v>0</v>
      </c>
      <c r="HJ383">
        <v>0</v>
      </c>
      <c r="HK383">
        <v>0</v>
      </c>
      <c r="HL383">
        <v>0</v>
      </c>
      <c r="HM383">
        <v>0</v>
      </c>
      <c r="HN383">
        <v>0</v>
      </c>
      <c r="HO383">
        <v>0</v>
      </c>
      <c r="HP383">
        <v>0</v>
      </c>
      <c r="HQ383">
        <v>0</v>
      </c>
      <c r="HR383">
        <v>0</v>
      </c>
      <c r="HS383">
        <v>0</v>
      </c>
      <c r="HT383">
        <v>0</v>
      </c>
      <c r="HU383">
        <v>0</v>
      </c>
      <c r="HV383">
        <v>0</v>
      </c>
      <c r="HW383">
        <v>0</v>
      </c>
      <c r="HX383">
        <v>0</v>
      </c>
      <c r="HY383">
        <v>0</v>
      </c>
      <c r="HZ383">
        <v>0</v>
      </c>
      <c r="IA383">
        <v>0</v>
      </c>
      <c r="IB383">
        <v>0</v>
      </c>
      <c r="IC383">
        <v>0</v>
      </c>
      <c r="ID383">
        <v>0</v>
      </c>
      <c r="IE383">
        <v>0</v>
      </c>
      <c r="IF383">
        <v>0</v>
      </c>
      <c r="IG383">
        <v>0</v>
      </c>
      <c r="IH383">
        <v>0</v>
      </c>
      <c r="II383">
        <v>0</v>
      </c>
      <c r="IJ383">
        <v>0</v>
      </c>
      <c r="IK383">
        <v>0</v>
      </c>
      <c r="IL383">
        <v>0</v>
      </c>
      <c r="IM383">
        <v>0</v>
      </c>
      <c r="IN383">
        <v>0</v>
      </c>
      <c r="IO383">
        <v>0</v>
      </c>
      <c r="IP383">
        <v>0</v>
      </c>
      <c r="IQ383">
        <v>0</v>
      </c>
      <c r="IR383">
        <v>0</v>
      </c>
      <c r="IS383">
        <v>0</v>
      </c>
      <c r="IT383">
        <v>0</v>
      </c>
      <c r="IU383">
        <v>0</v>
      </c>
      <c r="IV383">
        <v>0</v>
      </c>
      <c r="IW383">
        <v>0</v>
      </c>
      <c r="IX383">
        <v>0</v>
      </c>
      <c r="IY383">
        <v>0</v>
      </c>
      <c r="IZ383">
        <v>0</v>
      </c>
      <c r="JA383">
        <v>0</v>
      </c>
      <c r="JB383">
        <v>0</v>
      </c>
      <c r="JC383">
        <v>0</v>
      </c>
      <c r="JD383">
        <v>0</v>
      </c>
      <c r="JE383">
        <v>0</v>
      </c>
      <c r="JF383">
        <v>0</v>
      </c>
      <c r="JG383">
        <v>0</v>
      </c>
      <c r="JH383">
        <v>0</v>
      </c>
      <c r="JI383">
        <v>0</v>
      </c>
      <c r="JJ383">
        <v>0</v>
      </c>
      <c r="JK383">
        <v>0</v>
      </c>
      <c r="JL383">
        <v>0</v>
      </c>
      <c r="JM383">
        <v>0</v>
      </c>
      <c r="JN383">
        <v>0</v>
      </c>
      <c r="JO383">
        <v>0</v>
      </c>
      <c r="JP383">
        <v>0</v>
      </c>
      <c r="JQ383">
        <v>0</v>
      </c>
      <c r="JR383">
        <v>0</v>
      </c>
      <c r="JS383">
        <v>0</v>
      </c>
      <c r="JT383">
        <v>0</v>
      </c>
      <c r="JU383">
        <v>0</v>
      </c>
      <c r="JV383">
        <v>0</v>
      </c>
      <c r="JW383">
        <v>0</v>
      </c>
      <c r="JX383">
        <v>0</v>
      </c>
      <c r="JY383">
        <v>0</v>
      </c>
      <c r="JZ383">
        <v>0</v>
      </c>
      <c r="KA383">
        <v>0</v>
      </c>
      <c r="KB383">
        <v>0</v>
      </c>
      <c r="KC383">
        <v>0</v>
      </c>
      <c r="KD383">
        <v>0</v>
      </c>
      <c r="KE383">
        <v>0</v>
      </c>
      <c r="KF383">
        <v>0</v>
      </c>
      <c r="KG383">
        <v>0</v>
      </c>
      <c r="KH383">
        <v>0</v>
      </c>
      <c r="KI383">
        <v>0</v>
      </c>
      <c r="KJ383">
        <v>0</v>
      </c>
      <c r="KK383">
        <v>0</v>
      </c>
      <c r="KL383">
        <v>0</v>
      </c>
      <c r="KM383">
        <v>0</v>
      </c>
      <c r="KN383">
        <v>0</v>
      </c>
      <c r="KO383">
        <v>0</v>
      </c>
      <c r="KP383">
        <v>0</v>
      </c>
      <c r="KQ383">
        <v>0</v>
      </c>
      <c r="KR383">
        <v>0</v>
      </c>
      <c r="KS383">
        <v>0</v>
      </c>
      <c r="KT383">
        <v>0</v>
      </c>
      <c r="KU383">
        <v>0</v>
      </c>
      <c r="KV383">
        <v>0</v>
      </c>
      <c r="KW383">
        <v>0</v>
      </c>
      <c r="KX383">
        <v>0</v>
      </c>
      <c r="KY383">
        <v>0</v>
      </c>
      <c r="KZ383">
        <v>0</v>
      </c>
      <c r="LA383">
        <v>0</v>
      </c>
      <c r="LB383">
        <v>0</v>
      </c>
      <c r="LC383">
        <v>0</v>
      </c>
      <c r="LD383">
        <v>0</v>
      </c>
      <c r="LE383">
        <v>0</v>
      </c>
      <c r="LF383">
        <v>0</v>
      </c>
      <c r="LG383">
        <v>0</v>
      </c>
      <c r="LH383">
        <v>0</v>
      </c>
      <c r="LI383">
        <v>0</v>
      </c>
      <c r="LJ383">
        <v>0</v>
      </c>
      <c r="LK383">
        <v>0</v>
      </c>
      <c r="LL383">
        <v>0</v>
      </c>
      <c r="LM383">
        <v>0</v>
      </c>
      <c r="LN383">
        <v>0</v>
      </c>
      <c r="LO383">
        <v>0</v>
      </c>
      <c r="LP383">
        <v>0</v>
      </c>
      <c r="LQ383">
        <v>0</v>
      </c>
      <c r="LR383">
        <v>0</v>
      </c>
      <c r="LS383">
        <v>0</v>
      </c>
      <c r="LT383">
        <v>0</v>
      </c>
      <c r="LU383">
        <v>0</v>
      </c>
      <c r="LV383">
        <v>0</v>
      </c>
      <c r="LW383">
        <v>0</v>
      </c>
      <c r="LX383">
        <v>0</v>
      </c>
      <c r="LY383">
        <v>0</v>
      </c>
      <c r="LZ383">
        <v>0</v>
      </c>
      <c r="MA383">
        <v>0</v>
      </c>
      <c r="MB383">
        <v>0</v>
      </c>
      <c r="MC383">
        <v>0</v>
      </c>
      <c r="MD383">
        <v>0</v>
      </c>
      <c r="ME383">
        <v>0</v>
      </c>
      <c r="MF383">
        <v>0</v>
      </c>
      <c r="MG383">
        <v>0</v>
      </c>
      <c r="MH383">
        <v>0</v>
      </c>
      <c r="MI383">
        <v>0</v>
      </c>
      <c r="MJ383">
        <v>0</v>
      </c>
      <c r="MK383">
        <v>0</v>
      </c>
      <c r="ML383">
        <v>0</v>
      </c>
      <c r="MM383">
        <v>0</v>
      </c>
      <c r="MN383">
        <v>0</v>
      </c>
      <c r="MO383">
        <v>0</v>
      </c>
      <c r="MP383">
        <v>0</v>
      </c>
      <c r="MQ383">
        <v>0</v>
      </c>
      <c r="MR383">
        <v>0</v>
      </c>
      <c r="MS383">
        <v>0</v>
      </c>
      <c r="MT383">
        <v>0</v>
      </c>
      <c r="MU383">
        <v>0</v>
      </c>
      <c r="MV383">
        <v>0</v>
      </c>
      <c r="MW383">
        <v>0</v>
      </c>
      <c r="MX383">
        <v>0</v>
      </c>
      <c r="MY383">
        <v>0</v>
      </c>
      <c r="MZ383">
        <v>0</v>
      </c>
      <c r="NA383">
        <v>0</v>
      </c>
      <c r="NB383">
        <v>0</v>
      </c>
      <c r="NC383">
        <v>0</v>
      </c>
      <c r="ND383">
        <v>0</v>
      </c>
      <c r="NE383">
        <v>0</v>
      </c>
    </row>
    <row r="384" spans="41:369" x14ac:dyDescent="0.45">
      <c r="AO384">
        <v>0</v>
      </c>
      <c r="AP384">
        <v>0</v>
      </c>
      <c r="AQ384">
        <v>0</v>
      </c>
      <c r="AR384">
        <v>0</v>
      </c>
      <c r="AS384">
        <v>0</v>
      </c>
      <c r="AT384">
        <v>0</v>
      </c>
      <c r="AU384">
        <v>0</v>
      </c>
      <c r="AV384">
        <v>0</v>
      </c>
      <c r="AW384" t="str">
        <v/>
      </c>
      <c r="AX384">
        <v>255</v>
      </c>
      <c r="AY384" s="5" t="str">
        <v/>
      </c>
      <c r="AZ384">
        <v>0</v>
      </c>
      <c r="BA384">
        <v>0</v>
      </c>
      <c r="BB384">
        <v>0</v>
      </c>
      <c r="BC384">
        <v>0</v>
      </c>
      <c r="BD384">
        <v>0</v>
      </c>
      <c r="BE384">
        <v>0</v>
      </c>
      <c r="BF384">
        <v>0</v>
      </c>
      <c r="BG384">
        <v>0</v>
      </c>
      <c r="BH384">
        <v>0</v>
      </c>
      <c r="BI384" t="str">
        <v/>
      </c>
      <c r="BK384">
        <v>378</v>
      </c>
      <c r="BL384">
        <v>0</v>
      </c>
      <c r="BM384">
        <v>0</v>
      </c>
      <c r="BN384">
        <v>0</v>
      </c>
      <c r="BO384">
        <v>0</v>
      </c>
      <c r="BP384">
        <v>0</v>
      </c>
      <c r="BQ384">
        <v>0</v>
      </c>
      <c r="BR384">
        <v>0</v>
      </c>
      <c r="BS384">
        <v>0</v>
      </c>
      <c r="BT384">
        <v>0</v>
      </c>
      <c r="BU384">
        <v>0</v>
      </c>
      <c r="BV384">
        <v>0</v>
      </c>
      <c r="BW384">
        <v>0</v>
      </c>
      <c r="BX384">
        <v>0</v>
      </c>
      <c r="BY384">
        <v>0</v>
      </c>
      <c r="BZ384">
        <v>0</v>
      </c>
      <c r="CA384">
        <v>0</v>
      </c>
      <c r="CB384">
        <v>0</v>
      </c>
      <c r="CC384">
        <v>0</v>
      </c>
      <c r="CD384">
        <v>0</v>
      </c>
      <c r="CE384">
        <v>0</v>
      </c>
      <c r="CF384">
        <v>0</v>
      </c>
      <c r="CG384">
        <v>0</v>
      </c>
      <c r="CH384">
        <v>0</v>
      </c>
      <c r="CI384">
        <v>0</v>
      </c>
      <c r="CJ384">
        <v>0</v>
      </c>
      <c r="CK384">
        <v>0</v>
      </c>
      <c r="CL384">
        <v>0</v>
      </c>
      <c r="CM384">
        <v>0</v>
      </c>
      <c r="CN384">
        <v>0</v>
      </c>
      <c r="CO384">
        <v>0</v>
      </c>
      <c r="CP384">
        <v>0</v>
      </c>
      <c r="CQ384">
        <v>0</v>
      </c>
      <c r="CR384">
        <v>0</v>
      </c>
      <c r="CS384">
        <v>0</v>
      </c>
      <c r="CT384">
        <v>0</v>
      </c>
      <c r="CU384">
        <v>0</v>
      </c>
      <c r="CV384">
        <v>0</v>
      </c>
      <c r="CW384">
        <v>0</v>
      </c>
      <c r="CX384">
        <v>0</v>
      </c>
      <c r="CY384">
        <v>0</v>
      </c>
      <c r="CZ384">
        <v>0</v>
      </c>
      <c r="DA384">
        <v>0</v>
      </c>
      <c r="DB384">
        <v>0</v>
      </c>
      <c r="DC384">
        <v>0</v>
      </c>
      <c r="DD384">
        <v>0</v>
      </c>
      <c r="DE384">
        <v>0</v>
      </c>
      <c r="DF384">
        <v>0</v>
      </c>
      <c r="DG384">
        <v>0</v>
      </c>
      <c r="DH384">
        <v>0</v>
      </c>
      <c r="DI384">
        <v>0</v>
      </c>
      <c r="DJ384">
        <v>0</v>
      </c>
      <c r="DK384">
        <v>0</v>
      </c>
      <c r="DL384">
        <v>0</v>
      </c>
      <c r="DM384">
        <v>0</v>
      </c>
      <c r="DN384">
        <v>0</v>
      </c>
      <c r="DO384">
        <v>0</v>
      </c>
      <c r="DP384">
        <v>0</v>
      </c>
      <c r="DQ384">
        <v>0</v>
      </c>
      <c r="DR384">
        <v>0</v>
      </c>
      <c r="DS384">
        <v>0</v>
      </c>
      <c r="DT384">
        <v>0</v>
      </c>
      <c r="DU384">
        <v>0</v>
      </c>
      <c r="DV384">
        <v>0</v>
      </c>
      <c r="DW384">
        <v>0</v>
      </c>
      <c r="DX384">
        <v>0</v>
      </c>
      <c r="DY384">
        <v>0</v>
      </c>
      <c r="DZ384">
        <v>0</v>
      </c>
      <c r="EA384">
        <v>0</v>
      </c>
      <c r="EB384">
        <v>0</v>
      </c>
      <c r="EC384">
        <v>0</v>
      </c>
      <c r="ED384">
        <v>0</v>
      </c>
      <c r="EE384">
        <v>0</v>
      </c>
      <c r="EF384">
        <v>0</v>
      </c>
      <c r="EG384">
        <v>0</v>
      </c>
      <c r="EH384">
        <v>0</v>
      </c>
      <c r="EI384">
        <v>0</v>
      </c>
      <c r="EJ384">
        <v>0</v>
      </c>
      <c r="EK384">
        <v>0</v>
      </c>
      <c r="EL384">
        <v>0</v>
      </c>
      <c r="EM384">
        <v>0</v>
      </c>
      <c r="EN384">
        <v>0</v>
      </c>
      <c r="EO384">
        <v>0</v>
      </c>
      <c r="EP384">
        <v>0</v>
      </c>
      <c r="EQ384">
        <v>0</v>
      </c>
      <c r="ER384">
        <v>0</v>
      </c>
      <c r="ES384">
        <v>0</v>
      </c>
      <c r="ET384">
        <v>0</v>
      </c>
      <c r="EU384">
        <v>0</v>
      </c>
      <c r="EV384">
        <v>0</v>
      </c>
      <c r="EW384">
        <v>0</v>
      </c>
      <c r="EX384">
        <v>0</v>
      </c>
      <c r="EY384">
        <v>0</v>
      </c>
      <c r="EZ384">
        <v>0</v>
      </c>
      <c r="FA384">
        <v>0</v>
      </c>
      <c r="FB384">
        <v>0</v>
      </c>
      <c r="FC384">
        <v>0</v>
      </c>
      <c r="FD384">
        <v>0</v>
      </c>
      <c r="FE384">
        <v>0</v>
      </c>
      <c r="FF384">
        <v>0</v>
      </c>
      <c r="FG384">
        <v>0</v>
      </c>
      <c r="FH384">
        <v>0</v>
      </c>
      <c r="FI384">
        <v>0</v>
      </c>
      <c r="FJ384">
        <v>0</v>
      </c>
      <c r="FK384">
        <v>0</v>
      </c>
      <c r="FL384">
        <v>0</v>
      </c>
      <c r="FM384">
        <v>0</v>
      </c>
      <c r="FN384">
        <v>0</v>
      </c>
      <c r="FO384">
        <v>0</v>
      </c>
      <c r="FP384">
        <v>0</v>
      </c>
      <c r="FQ384">
        <v>0</v>
      </c>
      <c r="FR384">
        <v>0</v>
      </c>
      <c r="FS384">
        <v>0</v>
      </c>
      <c r="FT384">
        <v>0</v>
      </c>
      <c r="FU384">
        <v>0</v>
      </c>
      <c r="FV384">
        <v>0</v>
      </c>
      <c r="FW384">
        <v>0</v>
      </c>
      <c r="FX384">
        <v>0</v>
      </c>
      <c r="FY384">
        <v>0</v>
      </c>
      <c r="FZ384">
        <v>0</v>
      </c>
      <c r="GA384">
        <v>0</v>
      </c>
      <c r="GB384">
        <v>0</v>
      </c>
      <c r="GC384">
        <v>0</v>
      </c>
      <c r="GD384">
        <v>0</v>
      </c>
      <c r="GE384">
        <v>0</v>
      </c>
      <c r="GF384">
        <v>0</v>
      </c>
      <c r="GG384">
        <v>0</v>
      </c>
      <c r="GH384">
        <v>0</v>
      </c>
      <c r="GI384">
        <v>0</v>
      </c>
      <c r="GJ384">
        <v>0</v>
      </c>
      <c r="GK384">
        <v>0</v>
      </c>
      <c r="GL384">
        <v>0</v>
      </c>
      <c r="GM384">
        <v>0</v>
      </c>
      <c r="GN384">
        <v>0</v>
      </c>
      <c r="GO384">
        <v>0</v>
      </c>
      <c r="GP384">
        <v>0</v>
      </c>
      <c r="GQ384">
        <v>0</v>
      </c>
      <c r="GR384">
        <v>0</v>
      </c>
      <c r="GS384">
        <v>0</v>
      </c>
      <c r="GT384">
        <v>0</v>
      </c>
      <c r="GU384">
        <v>0</v>
      </c>
      <c r="GV384">
        <v>0</v>
      </c>
      <c r="GW384">
        <v>0</v>
      </c>
      <c r="GX384">
        <v>0</v>
      </c>
      <c r="GY384">
        <v>0</v>
      </c>
      <c r="GZ384">
        <v>0</v>
      </c>
      <c r="HA384">
        <v>0</v>
      </c>
      <c r="HB384">
        <v>0</v>
      </c>
      <c r="HC384">
        <v>0</v>
      </c>
      <c r="HD384">
        <v>0</v>
      </c>
      <c r="HE384">
        <v>0</v>
      </c>
      <c r="HF384">
        <v>0</v>
      </c>
      <c r="HG384">
        <v>0</v>
      </c>
      <c r="HH384">
        <v>0</v>
      </c>
      <c r="HI384">
        <v>0</v>
      </c>
      <c r="HJ384">
        <v>0</v>
      </c>
      <c r="HK384">
        <v>0</v>
      </c>
      <c r="HL384">
        <v>0</v>
      </c>
      <c r="HM384">
        <v>0</v>
      </c>
      <c r="HN384">
        <v>0</v>
      </c>
      <c r="HO384">
        <v>0</v>
      </c>
      <c r="HP384">
        <v>0</v>
      </c>
      <c r="HQ384">
        <v>0</v>
      </c>
      <c r="HR384">
        <v>0</v>
      </c>
      <c r="HS384">
        <v>0</v>
      </c>
      <c r="HT384">
        <v>0</v>
      </c>
      <c r="HU384">
        <v>0</v>
      </c>
      <c r="HV384">
        <v>0</v>
      </c>
      <c r="HW384">
        <v>0</v>
      </c>
      <c r="HX384">
        <v>0</v>
      </c>
      <c r="HY384">
        <v>0</v>
      </c>
      <c r="HZ384">
        <v>0</v>
      </c>
      <c r="IA384">
        <v>0</v>
      </c>
      <c r="IB384">
        <v>0</v>
      </c>
      <c r="IC384">
        <v>0</v>
      </c>
      <c r="ID384">
        <v>0</v>
      </c>
      <c r="IE384">
        <v>0</v>
      </c>
      <c r="IF384">
        <v>0</v>
      </c>
      <c r="IG384">
        <v>0</v>
      </c>
      <c r="IH384">
        <v>0</v>
      </c>
      <c r="II384">
        <v>0</v>
      </c>
      <c r="IJ384">
        <v>0</v>
      </c>
      <c r="IK384">
        <v>0</v>
      </c>
      <c r="IL384">
        <v>0</v>
      </c>
      <c r="IM384">
        <v>0</v>
      </c>
      <c r="IN384">
        <v>0</v>
      </c>
      <c r="IO384">
        <v>0</v>
      </c>
      <c r="IP384">
        <v>0</v>
      </c>
      <c r="IQ384">
        <v>0</v>
      </c>
      <c r="IR384">
        <v>0</v>
      </c>
      <c r="IS384">
        <v>0</v>
      </c>
      <c r="IT384">
        <v>0</v>
      </c>
      <c r="IU384">
        <v>0</v>
      </c>
      <c r="IV384">
        <v>0</v>
      </c>
      <c r="IW384">
        <v>0</v>
      </c>
      <c r="IX384">
        <v>0</v>
      </c>
      <c r="IY384">
        <v>0</v>
      </c>
      <c r="IZ384">
        <v>0</v>
      </c>
      <c r="JA384">
        <v>0</v>
      </c>
      <c r="JB384">
        <v>0</v>
      </c>
      <c r="JC384">
        <v>0</v>
      </c>
      <c r="JD384">
        <v>0</v>
      </c>
      <c r="JE384">
        <v>0</v>
      </c>
      <c r="JF384">
        <v>0</v>
      </c>
      <c r="JG384">
        <v>0</v>
      </c>
      <c r="JH384">
        <v>0</v>
      </c>
      <c r="JI384">
        <v>0</v>
      </c>
      <c r="JJ384">
        <v>0</v>
      </c>
      <c r="JK384">
        <v>0</v>
      </c>
      <c r="JL384">
        <v>0</v>
      </c>
      <c r="JM384">
        <v>0</v>
      </c>
      <c r="JN384">
        <v>0</v>
      </c>
      <c r="JO384">
        <v>0</v>
      </c>
      <c r="JP384">
        <v>0</v>
      </c>
      <c r="JQ384">
        <v>0</v>
      </c>
      <c r="JR384">
        <v>0</v>
      </c>
      <c r="JS384">
        <v>0</v>
      </c>
      <c r="JT384">
        <v>0</v>
      </c>
      <c r="JU384">
        <v>0</v>
      </c>
      <c r="JV384">
        <v>0</v>
      </c>
      <c r="JW384">
        <v>0</v>
      </c>
      <c r="JX384">
        <v>0</v>
      </c>
      <c r="JY384">
        <v>0</v>
      </c>
      <c r="JZ384">
        <v>0</v>
      </c>
      <c r="KA384">
        <v>0</v>
      </c>
      <c r="KB384">
        <v>0</v>
      </c>
      <c r="KC384">
        <v>0</v>
      </c>
      <c r="KD384">
        <v>0</v>
      </c>
      <c r="KE384">
        <v>0</v>
      </c>
      <c r="KF384">
        <v>0</v>
      </c>
      <c r="KG384">
        <v>0</v>
      </c>
      <c r="KH384">
        <v>0</v>
      </c>
      <c r="KI384">
        <v>0</v>
      </c>
      <c r="KJ384">
        <v>0</v>
      </c>
      <c r="KK384">
        <v>0</v>
      </c>
      <c r="KL384">
        <v>0</v>
      </c>
      <c r="KM384">
        <v>0</v>
      </c>
      <c r="KN384">
        <v>0</v>
      </c>
      <c r="KO384">
        <v>0</v>
      </c>
      <c r="KP384">
        <v>0</v>
      </c>
      <c r="KQ384">
        <v>0</v>
      </c>
      <c r="KR384">
        <v>0</v>
      </c>
      <c r="KS384">
        <v>0</v>
      </c>
      <c r="KT384">
        <v>0</v>
      </c>
      <c r="KU384">
        <v>0</v>
      </c>
      <c r="KV384">
        <v>0</v>
      </c>
      <c r="KW384">
        <v>0</v>
      </c>
      <c r="KX384">
        <v>0</v>
      </c>
      <c r="KY384">
        <v>0</v>
      </c>
      <c r="KZ384">
        <v>0</v>
      </c>
      <c r="LA384">
        <v>0</v>
      </c>
      <c r="LB384">
        <v>0</v>
      </c>
      <c r="LC384">
        <v>0</v>
      </c>
      <c r="LD384">
        <v>0</v>
      </c>
      <c r="LE384">
        <v>0</v>
      </c>
      <c r="LF384">
        <v>0</v>
      </c>
      <c r="LG384">
        <v>0</v>
      </c>
      <c r="LH384">
        <v>0</v>
      </c>
      <c r="LI384">
        <v>0</v>
      </c>
      <c r="LJ384">
        <v>0</v>
      </c>
      <c r="LK384">
        <v>0</v>
      </c>
      <c r="LL384">
        <v>0</v>
      </c>
      <c r="LM384">
        <v>0</v>
      </c>
      <c r="LN384">
        <v>0</v>
      </c>
      <c r="LO384">
        <v>0</v>
      </c>
      <c r="LP384">
        <v>0</v>
      </c>
      <c r="LQ384">
        <v>0</v>
      </c>
      <c r="LR384">
        <v>0</v>
      </c>
      <c r="LS384">
        <v>0</v>
      </c>
      <c r="LT384">
        <v>0</v>
      </c>
      <c r="LU384">
        <v>0</v>
      </c>
      <c r="LV384">
        <v>0</v>
      </c>
      <c r="LW384">
        <v>0</v>
      </c>
      <c r="LX384">
        <v>0</v>
      </c>
      <c r="LY384">
        <v>0</v>
      </c>
      <c r="LZ384">
        <v>0</v>
      </c>
      <c r="MA384">
        <v>0</v>
      </c>
      <c r="MB384">
        <v>0</v>
      </c>
      <c r="MC384">
        <v>0</v>
      </c>
      <c r="MD384">
        <v>0</v>
      </c>
      <c r="ME384">
        <v>0</v>
      </c>
      <c r="MF384">
        <v>0</v>
      </c>
      <c r="MG384">
        <v>0</v>
      </c>
      <c r="MH384">
        <v>0</v>
      </c>
      <c r="MI384">
        <v>0</v>
      </c>
      <c r="MJ384">
        <v>0</v>
      </c>
      <c r="MK384">
        <v>0</v>
      </c>
      <c r="ML384">
        <v>0</v>
      </c>
      <c r="MM384">
        <v>0</v>
      </c>
      <c r="MN384">
        <v>0</v>
      </c>
      <c r="MO384">
        <v>0</v>
      </c>
      <c r="MP384">
        <v>0</v>
      </c>
      <c r="MQ384">
        <v>0</v>
      </c>
      <c r="MR384">
        <v>0</v>
      </c>
      <c r="MS384">
        <v>0</v>
      </c>
      <c r="MT384">
        <v>0</v>
      </c>
      <c r="MU384">
        <v>0</v>
      </c>
      <c r="MV384">
        <v>0</v>
      </c>
      <c r="MW384">
        <v>0</v>
      </c>
      <c r="MX384">
        <v>0</v>
      </c>
      <c r="MY384">
        <v>0</v>
      </c>
      <c r="MZ384">
        <v>0</v>
      </c>
      <c r="NA384">
        <v>0</v>
      </c>
      <c r="NB384">
        <v>0</v>
      </c>
      <c r="NC384">
        <v>0</v>
      </c>
      <c r="ND384">
        <v>0</v>
      </c>
      <c r="NE384">
        <v>0</v>
      </c>
    </row>
    <row r="385" spans="41:369" x14ac:dyDescent="0.45">
      <c r="AO385">
        <v>0</v>
      </c>
      <c r="AP385">
        <v>0</v>
      </c>
      <c r="AQ385">
        <v>0</v>
      </c>
      <c r="AR385">
        <v>0</v>
      </c>
      <c r="AS385">
        <v>0</v>
      </c>
      <c r="AT385">
        <v>0</v>
      </c>
      <c r="AU385">
        <v>0</v>
      </c>
      <c r="AV385">
        <v>0</v>
      </c>
      <c r="AW385" t="str">
        <v/>
      </c>
      <c r="AX385">
        <v>255</v>
      </c>
      <c r="AY385" s="5" t="str">
        <v/>
      </c>
      <c r="AZ385">
        <v>0</v>
      </c>
      <c r="BA385">
        <v>0</v>
      </c>
      <c r="BB385">
        <v>0</v>
      </c>
      <c r="BC385">
        <v>0</v>
      </c>
      <c r="BD385">
        <v>0</v>
      </c>
      <c r="BE385">
        <v>0</v>
      </c>
      <c r="BF385">
        <v>0</v>
      </c>
      <c r="BG385">
        <v>0</v>
      </c>
      <c r="BH385">
        <v>0</v>
      </c>
      <c r="BI385" t="str">
        <v/>
      </c>
      <c r="BK385">
        <v>379</v>
      </c>
      <c r="BL385">
        <v>0</v>
      </c>
      <c r="BM385">
        <v>0</v>
      </c>
      <c r="BN385">
        <v>0</v>
      </c>
      <c r="BO385">
        <v>0</v>
      </c>
      <c r="BP385">
        <v>0</v>
      </c>
      <c r="BQ385">
        <v>0</v>
      </c>
      <c r="BR385">
        <v>0</v>
      </c>
      <c r="BS385">
        <v>0</v>
      </c>
      <c r="BT385">
        <v>0</v>
      </c>
      <c r="BU385">
        <v>0</v>
      </c>
      <c r="BV385">
        <v>0</v>
      </c>
      <c r="BW385">
        <v>0</v>
      </c>
      <c r="BX385">
        <v>0</v>
      </c>
      <c r="BY385">
        <v>0</v>
      </c>
      <c r="BZ385">
        <v>0</v>
      </c>
      <c r="CA385">
        <v>0</v>
      </c>
      <c r="CB385">
        <v>0</v>
      </c>
      <c r="CC385">
        <v>0</v>
      </c>
      <c r="CD385">
        <v>0</v>
      </c>
      <c r="CE385">
        <v>0</v>
      </c>
      <c r="CF385">
        <v>0</v>
      </c>
      <c r="CG385">
        <v>0</v>
      </c>
      <c r="CH385">
        <v>0</v>
      </c>
      <c r="CI385">
        <v>0</v>
      </c>
      <c r="CJ385">
        <v>0</v>
      </c>
      <c r="CK385">
        <v>0</v>
      </c>
      <c r="CL385">
        <v>0</v>
      </c>
      <c r="CM385">
        <v>0</v>
      </c>
      <c r="CN385">
        <v>0</v>
      </c>
      <c r="CO385">
        <v>0</v>
      </c>
      <c r="CP385">
        <v>0</v>
      </c>
      <c r="CQ385">
        <v>0</v>
      </c>
      <c r="CR385">
        <v>0</v>
      </c>
      <c r="CS385">
        <v>0</v>
      </c>
      <c r="CT385">
        <v>0</v>
      </c>
      <c r="CU385">
        <v>0</v>
      </c>
      <c r="CV385">
        <v>0</v>
      </c>
      <c r="CW385">
        <v>0</v>
      </c>
      <c r="CX385">
        <v>0</v>
      </c>
      <c r="CY385">
        <v>0</v>
      </c>
      <c r="CZ385">
        <v>0</v>
      </c>
      <c r="DA385">
        <v>0</v>
      </c>
      <c r="DB385">
        <v>0</v>
      </c>
      <c r="DC385">
        <v>0</v>
      </c>
      <c r="DD385">
        <v>0</v>
      </c>
      <c r="DE385">
        <v>0</v>
      </c>
      <c r="DF385">
        <v>0</v>
      </c>
      <c r="DG385">
        <v>0</v>
      </c>
      <c r="DH385">
        <v>0</v>
      </c>
      <c r="DI385">
        <v>0</v>
      </c>
      <c r="DJ385">
        <v>0</v>
      </c>
      <c r="DK385">
        <v>0</v>
      </c>
      <c r="DL385">
        <v>0</v>
      </c>
      <c r="DM385">
        <v>0</v>
      </c>
      <c r="DN385">
        <v>0</v>
      </c>
      <c r="DO385">
        <v>0</v>
      </c>
      <c r="DP385">
        <v>0</v>
      </c>
      <c r="DQ385">
        <v>0</v>
      </c>
      <c r="DR385">
        <v>0</v>
      </c>
      <c r="DS385">
        <v>0</v>
      </c>
      <c r="DT385">
        <v>0</v>
      </c>
      <c r="DU385">
        <v>0</v>
      </c>
      <c r="DV385">
        <v>0</v>
      </c>
      <c r="DW385">
        <v>0</v>
      </c>
      <c r="DX385">
        <v>0</v>
      </c>
      <c r="DY385">
        <v>0</v>
      </c>
      <c r="DZ385">
        <v>0</v>
      </c>
      <c r="EA385">
        <v>0</v>
      </c>
      <c r="EB385">
        <v>0</v>
      </c>
      <c r="EC385">
        <v>0</v>
      </c>
      <c r="ED385">
        <v>0</v>
      </c>
      <c r="EE385">
        <v>0</v>
      </c>
      <c r="EF385">
        <v>0</v>
      </c>
      <c r="EG385">
        <v>0</v>
      </c>
      <c r="EH385">
        <v>0</v>
      </c>
      <c r="EI385">
        <v>0</v>
      </c>
      <c r="EJ385">
        <v>0</v>
      </c>
      <c r="EK385">
        <v>0</v>
      </c>
      <c r="EL385">
        <v>0</v>
      </c>
      <c r="EM385">
        <v>0</v>
      </c>
      <c r="EN385">
        <v>0</v>
      </c>
      <c r="EO385">
        <v>0</v>
      </c>
      <c r="EP385">
        <v>0</v>
      </c>
      <c r="EQ385">
        <v>0</v>
      </c>
      <c r="ER385">
        <v>0</v>
      </c>
      <c r="ES385">
        <v>0</v>
      </c>
      <c r="ET385">
        <v>0</v>
      </c>
      <c r="EU385">
        <v>0</v>
      </c>
      <c r="EV385">
        <v>0</v>
      </c>
      <c r="EW385">
        <v>0</v>
      </c>
      <c r="EX385">
        <v>0</v>
      </c>
      <c r="EY385">
        <v>0</v>
      </c>
      <c r="EZ385">
        <v>0</v>
      </c>
      <c r="FA385">
        <v>0</v>
      </c>
      <c r="FB385">
        <v>0</v>
      </c>
      <c r="FC385">
        <v>0</v>
      </c>
      <c r="FD385">
        <v>0</v>
      </c>
      <c r="FE385">
        <v>0</v>
      </c>
      <c r="FF385">
        <v>0</v>
      </c>
      <c r="FG385">
        <v>0</v>
      </c>
      <c r="FH385">
        <v>0</v>
      </c>
      <c r="FI385">
        <v>0</v>
      </c>
      <c r="FJ385">
        <v>0</v>
      </c>
      <c r="FK385">
        <v>0</v>
      </c>
      <c r="FL385">
        <v>0</v>
      </c>
      <c r="FM385">
        <v>0</v>
      </c>
      <c r="FN385">
        <v>0</v>
      </c>
      <c r="FO385">
        <v>0</v>
      </c>
      <c r="FP385">
        <v>0</v>
      </c>
      <c r="FQ385">
        <v>0</v>
      </c>
      <c r="FR385">
        <v>0</v>
      </c>
      <c r="FS385">
        <v>0</v>
      </c>
      <c r="FT385">
        <v>0</v>
      </c>
      <c r="FU385">
        <v>0</v>
      </c>
      <c r="FV385">
        <v>0</v>
      </c>
      <c r="FW385">
        <v>0</v>
      </c>
      <c r="FX385">
        <v>0</v>
      </c>
      <c r="FY385">
        <v>0</v>
      </c>
      <c r="FZ385">
        <v>0</v>
      </c>
      <c r="GA385">
        <v>0</v>
      </c>
      <c r="GB385">
        <v>0</v>
      </c>
      <c r="GC385">
        <v>0</v>
      </c>
      <c r="GD385">
        <v>0</v>
      </c>
      <c r="GE385">
        <v>0</v>
      </c>
      <c r="GF385">
        <v>0</v>
      </c>
      <c r="GG385">
        <v>0</v>
      </c>
      <c r="GH385">
        <v>0</v>
      </c>
      <c r="GI385">
        <v>0</v>
      </c>
      <c r="GJ385">
        <v>0</v>
      </c>
      <c r="GK385">
        <v>0</v>
      </c>
      <c r="GL385">
        <v>0</v>
      </c>
      <c r="GM385">
        <v>0</v>
      </c>
      <c r="GN385">
        <v>0</v>
      </c>
      <c r="GO385">
        <v>0</v>
      </c>
      <c r="GP385">
        <v>0</v>
      </c>
      <c r="GQ385">
        <v>0</v>
      </c>
      <c r="GR385">
        <v>0</v>
      </c>
      <c r="GS385">
        <v>0</v>
      </c>
      <c r="GT385">
        <v>0</v>
      </c>
      <c r="GU385">
        <v>0</v>
      </c>
      <c r="GV385">
        <v>0</v>
      </c>
      <c r="GW385">
        <v>0</v>
      </c>
      <c r="GX385">
        <v>0</v>
      </c>
      <c r="GY385">
        <v>0</v>
      </c>
      <c r="GZ385">
        <v>0</v>
      </c>
      <c r="HA385">
        <v>0</v>
      </c>
      <c r="HB385">
        <v>0</v>
      </c>
      <c r="HC385">
        <v>0</v>
      </c>
      <c r="HD385">
        <v>0</v>
      </c>
      <c r="HE385">
        <v>0</v>
      </c>
      <c r="HF385">
        <v>0</v>
      </c>
      <c r="HG385">
        <v>0</v>
      </c>
      <c r="HH385">
        <v>0</v>
      </c>
      <c r="HI385">
        <v>0</v>
      </c>
      <c r="HJ385">
        <v>0</v>
      </c>
      <c r="HK385">
        <v>0</v>
      </c>
      <c r="HL385">
        <v>0</v>
      </c>
      <c r="HM385">
        <v>0</v>
      </c>
      <c r="HN385">
        <v>0</v>
      </c>
      <c r="HO385">
        <v>0</v>
      </c>
      <c r="HP385">
        <v>0</v>
      </c>
      <c r="HQ385">
        <v>0</v>
      </c>
      <c r="HR385">
        <v>0</v>
      </c>
      <c r="HS385">
        <v>0</v>
      </c>
      <c r="HT385">
        <v>0</v>
      </c>
      <c r="HU385">
        <v>0</v>
      </c>
      <c r="HV385">
        <v>0</v>
      </c>
      <c r="HW385">
        <v>0</v>
      </c>
      <c r="HX385">
        <v>0</v>
      </c>
      <c r="HY385">
        <v>0</v>
      </c>
      <c r="HZ385">
        <v>0</v>
      </c>
      <c r="IA385">
        <v>0</v>
      </c>
      <c r="IB385">
        <v>0</v>
      </c>
      <c r="IC385">
        <v>0</v>
      </c>
      <c r="ID385">
        <v>0</v>
      </c>
      <c r="IE385">
        <v>0</v>
      </c>
      <c r="IF385">
        <v>0</v>
      </c>
      <c r="IG385">
        <v>0</v>
      </c>
      <c r="IH385">
        <v>0</v>
      </c>
      <c r="II385">
        <v>0</v>
      </c>
      <c r="IJ385">
        <v>0</v>
      </c>
      <c r="IK385">
        <v>0</v>
      </c>
      <c r="IL385">
        <v>0</v>
      </c>
      <c r="IM385">
        <v>0</v>
      </c>
      <c r="IN385">
        <v>0</v>
      </c>
      <c r="IO385">
        <v>0</v>
      </c>
      <c r="IP385">
        <v>0</v>
      </c>
      <c r="IQ385">
        <v>0</v>
      </c>
      <c r="IR385">
        <v>0</v>
      </c>
      <c r="IS385">
        <v>0</v>
      </c>
      <c r="IT385">
        <v>0</v>
      </c>
      <c r="IU385">
        <v>0</v>
      </c>
      <c r="IV385">
        <v>0</v>
      </c>
      <c r="IW385">
        <v>0</v>
      </c>
      <c r="IX385">
        <v>0</v>
      </c>
      <c r="IY385">
        <v>0</v>
      </c>
      <c r="IZ385">
        <v>0</v>
      </c>
      <c r="JA385">
        <v>0</v>
      </c>
      <c r="JB385">
        <v>0</v>
      </c>
      <c r="JC385">
        <v>0</v>
      </c>
      <c r="JD385">
        <v>0</v>
      </c>
      <c r="JE385">
        <v>0</v>
      </c>
      <c r="JF385">
        <v>0</v>
      </c>
      <c r="JG385">
        <v>0</v>
      </c>
      <c r="JH385">
        <v>0</v>
      </c>
      <c r="JI385">
        <v>0</v>
      </c>
      <c r="JJ385">
        <v>0</v>
      </c>
      <c r="JK385">
        <v>0</v>
      </c>
      <c r="JL385">
        <v>0</v>
      </c>
      <c r="JM385">
        <v>0</v>
      </c>
      <c r="JN385">
        <v>0</v>
      </c>
      <c r="JO385">
        <v>0</v>
      </c>
      <c r="JP385">
        <v>0</v>
      </c>
      <c r="JQ385">
        <v>0</v>
      </c>
      <c r="JR385">
        <v>0</v>
      </c>
      <c r="JS385">
        <v>0</v>
      </c>
      <c r="JT385">
        <v>0</v>
      </c>
      <c r="JU385">
        <v>0</v>
      </c>
      <c r="JV385">
        <v>0</v>
      </c>
      <c r="JW385">
        <v>0</v>
      </c>
      <c r="JX385">
        <v>0</v>
      </c>
      <c r="JY385">
        <v>0</v>
      </c>
      <c r="JZ385">
        <v>0</v>
      </c>
      <c r="KA385">
        <v>0</v>
      </c>
      <c r="KB385">
        <v>0</v>
      </c>
      <c r="KC385">
        <v>0</v>
      </c>
      <c r="KD385">
        <v>0</v>
      </c>
      <c r="KE385">
        <v>0</v>
      </c>
      <c r="KF385">
        <v>0</v>
      </c>
      <c r="KG385">
        <v>0</v>
      </c>
      <c r="KH385">
        <v>0</v>
      </c>
      <c r="KI385">
        <v>0</v>
      </c>
      <c r="KJ385">
        <v>0</v>
      </c>
      <c r="KK385">
        <v>0</v>
      </c>
      <c r="KL385">
        <v>0</v>
      </c>
      <c r="KM385">
        <v>0</v>
      </c>
      <c r="KN385">
        <v>0</v>
      </c>
      <c r="KO385">
        <v>0</v>
      </c>
      <c r="KP385">
        <v>0</v>
      </c>
      <c r="KQ385">
        <v>0</v>
      </c>
      <c r="KR385">
        <v>0</v>
      </c>
      <c r="KS385">
        <v>0</v>
      </c>
      <c r="KT385">
        <v>0</v>
      </c>
      <c r="KU385">
        <v>0</v>
      </c>
      <c r="KV385">
        <v>0</v>
      </c>
      <c r="KW385">
        <v>0</v>
      </c>
      <c r="KX385">
        <v>0</v>
      </c>
      <c r="KY385">
        <v>0</v>
      </c>
      <c r="KZ385">
        <v>0</v>
      </c>
      <c r="LA385">
        <v>0</v>
      </c>
      <c r="LB385">
        <v>0</v>
      </c>
      <c r="LC385">
        <v>0</v>
      </c>
      <c r="LD385">
        <v>0</v>
      </c>
      <c r="LE385">
        <v>0</v>
      </c>
      <c r="LF385">
        <v>0</v>
      </c>
      <c r="LG385">
        <v>0</v>
      </c>
      <c r="LH385">
        <v>0</v>
      </c>
      <c r="LI385">
        <v>0</v>
      </c>
      <c r="LJ385">
        <v>0</v>
      </c>
      <c r="LK385">
        <v>0</v>
      </c>
      <c r="LL385">
        <v>0</v>
      </c>
      <c r="LM385">
        <v>0</v>
      </c>
      <c r="LN385">
        <v>0</v>
      </c>
      <c r="LO385">
        <v>0</v>
      </c>
      <c r="LP385">
        <v>0</v>
      </c>
      <c r="LQ385">
        <v>0</v>
      </c>
      <c r="LR385">
        <v>0</v>
      </c>
      <c r="LS385">
        <v>0</v>
      </c>
      <c r="LT385">
        <v>0</v>
      </c>
      <c r="LU385">
        <v>0</v>
      </c>
      <c r="LV385">
        <v>0</v>
      </c>
      <c r="LW385">
        <v>0</v>
      </c>
      <c r="LX385">
        <v>0</v>
      </c>
      <c r="LY385">
        <v>0</v>
      </c>
      <c r="LZ385">
        <v>0</v>
      </c>
      <c r="MA385">
        <v>0</v>
      </c>
      <c r="MB385">
        <v>0</v>
      </c>
      <c r="MC385">
        <v>0</v>
      </c>
      <c r="MD385">
        <v>0</v>
      </c>
      <c r="ME385">
        <v>0</v>
      </c>
      <c r="MF385">
        <v>0</v>
      </c>
      <c r="MG385">
        <v>0</v>
      </c>
      <c r="MH385">
        <v>0</v>
      </c>
      <c r="MI385">
        <v>0</v>
      </c>
      <c r="MJ385">
        <v>0</v>
      </c>
      <c r="MK385">
        <v>0</v>
      </c>
      <c r="ML385">
        <v>0</v>
      </c>
      <c r="MM385">
        <v>0</v>
      </c>
      <c r="MN385">
        <v>0</v>
      </c>
      <c r="MO385">
        <v>0</v>
      </c>
      <c r="MP385">
        <v>0</v>
      </c>
      <c r="MQ385">
        <v>0</v>
      </c>
      <c r="MR385">
        <v>0</v>
      </c>
      <c r="MS385">
        <v>0</v>
      </c>
      <c r="MT385">
        <v>0</v>
      </c>
      <c r="MU385">
        <v>0</v>
      </c>
      <c r="MV385">
        <v>0</v>
      </c>
      <c r="MW385">
        <v>0</v>
      </c>
      <c r="MX385">
        <v>0</v>
      </c>
      <c r="MY385">
        <v>0</v>
      </c>
      <c r="MZ385">
        <v>0</v>
      </c>
      <c r="NA385">
        <v>0</v>
      </c>
      <c r="NB385">
        <v>0</v>
      </c>
      <c r="NC385">
        <v>0</v>
      </c>
      <c r="ND385">
        <v>0</v>
      </c>
      <c r="NE385">
        <v>0</v>
      </c>
    </row>
    <row r="386" spans="41:369" x14ac:dyDescent="0.45">
      <c r="AO386">
        <v>0</v>
      </c>
      <c r="AP386">
        <v>0</v>
      </c>
      <c r="AQ386">
        <v>0</v>
      </c>
      <c r="AR386">
        <v>0</v>
      </c>
      <c r="AS386">
        <v>0</v>
      </c>
      <c r="AT386">
        <v>0</v>
      </c>
      <c r="AU386">
        <v>0</v>
      </c>
      <c r="AV386">
        <v>0</v>
      </c>
      <c r="AW386" t="str">
        <v/>
      </c>
      <c r="AX386">
        <v>255</v>
      </c>
      <c r="AY386" s="5" t="str">
        <v/>
      </c>
      <c r="AZ386">
        <v>0</v>
      </c>
      <c r="BA386">
        <v>0</v>
      </c>
      <c r="BB386">
        <v>0</v>
      </c>
      <c r="BC386">
        <v>0</v>
      </c>
      <c r="BD386">
        <v>0</v>
      </c>
      <c r="BE386">
        <v>0</v>
      </c>
      <c r="BF386">
        <v>0</v>
      </c>
      <c r="BG386">
        <v>0</v>
      </c>
      <c r="BH386">
        <v>0</v>
      </c>
      <c r="BI386" t="str">
        <v/>
      </c>
      <c r="BK386">
        <v>380</v>
      </c>
      <c r="BL386">
        <v>0</v>
      </c>
      <c r="BM386">
        <v>0</v>
      </c>
      <c r="BN386">
        <v>0</v>
      </c>
      <c r="BO386">
        <v>0</v>
      </c>
      <c r="BP386">
        <v>0</v>
      </c>
      <c r="BQ386">
        <v>0</v>
      </c>
      <c r="BR386">
        <v>0</v>
      </c>
      <c r="BS386">
        <v>0</v>
      </c>
      <c r="BT386">
        <v>0</v>
      </c>
      <c r="BU386">
        <v>0</v>
      </c>
      <c r="BV386">
        <v>0</v>
      </c>
      <c r="BW386">
        <v>0</v>
      </c>
      <c r="BX386">
        <v>0</v>
      </c>
      <c r="BY386">
        <v>0</v>
      </c>
      <c r="BZ386">
        <v>0</v>
      </c>
      <c r="CA386">
        <v>0</v>
      </c>
      <c r="CB386">
        <v>0</v>
      </c>
      <c r="CC386">
        <v>0</v>
      </c>
      <c r="CD386">
        <v>0</v>
      </c>
      <c r="CE386">
        <v>0</v>
      </c>
      <c r="CF386">
        <v>0</v>
      </c>
      <c r="CG386">
        <v>0</v>
      </c>
      <c r="CH386">
        <v>0</v>
      </c>
      <c r="CI386">
        <v>0</v>
      </c>
      <c r="CJ386">
        <v>0</v>
      </c>
      <c r="CK386">
        <v>0</v>
      </c>
      <c r="CL386">
        <v>0</v>
      </c>
      <c r="CM386">
        <v>0</v>
      </c>
      <c r="CN386">
        <v>0</v>
      </c>
      <c r="CO386">
        <v>0</v>
      </c>
      <c r="CP386">
        <v>0</v>
      </c>
      <c r="CQ386">
        <v>0</v>
      </c>
      <c r="CR386">
        <v>0</v>
      </c>
      <c r="CS386">
        <v>0</v>
      </c>
      <c r="CT386">
        <v>0</v>
      </c>
      <c r="CU386">
        <v>0</v>
      </c>
      <c r="CV386">
        <v>0</v>
      </c>
      <c r="CW386">
        <v>0</v>
      </c>
      <c r="CX386">
        <v>0</v>
      </c>
      <c r="CY386">
        <v>0</v>
      </c>
      <c r="CZ386">
        <v>0</v>
      </c>
      <c r="DA386">
        <v>0</v>
      </c>
      <c r="DB386">
        <v>0</v>
      </c>
      <c r="DC386">
        <v>0</v>
      </c>
      <c r="DD386">
        <v>0</v>
      </c>
      <c r="DE386">
        <v>0</v>
      </c>
      <c r="DF386">
        <v>0</v>
      </c>
      <c r="DG386">
        <v>0</v>
      </c>
      <c r="DH386">
        <v>0</v>
      </c>
      <c r="DI386">
        <v>0</v>
      </c>
      <c r="DJ386">
        <v>0</v>
      </c>
      <c r="DK386">
        <v>0</v>
      </c>
      <c r="DL386">
        <v>0</v>
      </c>
      <c r="DM386">
        <v>0</v>
      </c>
      <c r="DN386">
        <v>0</v>
      </c>
      <c r="DO386">
        <v>0</v>
      </c>
      <c r="DP386">
        <v>0</v>
      </c>
      <c r="DQ386">
        <v>0</v>
      </c>
      <c r="DR386">
        <v>0</v>
      </c>
      <c r="DS386">
        <v>0</v>
      </c>
      <c r="DT386">
        <v>0</v>
      </c>
      <c r="DU386">
        <v>0</v>
      </c>
      <c r="DV386">
        <v>0</v>
      </c>
      <c r="DW386">
        <v>0</v>
      </c>
      <c r="DX386">
        <v>0</v>
      </c>
      <c r="DY386">
        <v>0</v>
      </c>
      <c r="DZ386">
        <v>0</v>
      </c>
      <c r="EA386">
        <v>0</v>
      </c>
      <c r="EB386">
        <v>0</v>
      </c>
      <c r="EC386">
        <v>0</v>
      </c>
      <c r="ED386">
        <v>0</v>
      </c>
      <c r="EE386">
        <v>0</v>
      </c>
      <c r="EF386">
        <v>0</v>
      </c>
      <c r="EG386">
        <v>0</v>
      </c>
      <c r="EH386">
        <v>0</v>
      </c>
      <c r="EI386">
        <v>0</v>
      </c>
      <c r="EJ386">
        <v>0</v>
      </c>
      <c r="EK386">
        <v>0</v>
      </c>
      <c r="EL386">
        <v>0</v>
      </c>
      <c r="EM386">
        <v>0</v>
      </c>
      <c r="EN386">
        <v>0</v>
      </c>
      <c r="EO386">
        <v>0</v>
      </c>
      <c r="EP386">
        <v>0</v>
      </c>
      <c r="EQ386">
        <v>0</v>
      </c>
      <c r="ER386">
        <v>0</v>
      </c>
      <c r="ES386">
        <v>0</v>
      </c>
      <c r="ET386">
        <v>0</v>
      </c>
      <c r="EU386">
        <v>0</v>
      </c>
      <c r="EV386">
        <v>0</v>
      </c>
      <c r="EW386">
        <v>0</v>
      </c>
      <c r="EX386">
        <v>0</v>
      </c>
      <c r="EY386">
        <v>0</v>
      </c>
      <c r="EZ386">
        <v>0</v>
      </c>
      <c r="FA386">
        <v>0</v>
      </c>
      <c r="FB386">
        <v>0</v>
      </c>
      <c r="FC386">
        <v>0</v>
      </c>
      <c r="FD386">
        <v>0</v>
      </c>
      <c r="FE386">
        <v>0</v>
      </c>
      <c r="FF386">
        <v>0</v>
      </c>
      <c r="FG386">
        <v>0</v>
      </c>
      <c r="FH386">
        <v>0</v>
      </c>
      <c r="FI386">
        <v>0</v>
      </c>
      <c r="FJ386">
        <v>0</v>
      </c>
      <c r="FK386">
        <v>0</v>
      </c>
      <c r="FL386">
        <v>0</v>
      </c>
      <c r="FM386">
        <v>0</v>
      </c>
      <c r="FN386">
        <v>0</v>
      </c>
      <c r="FO386">
        <v>0</v>
      </c>
      <c r="FP386">
        <v>0</v>
      </c>
      <c r="FQ386">
        <v>0</v>
      </c>
      <c r="FR386">
        <v>0</v>
      </c>
      <c r="FS386">
        <v>0</v>
      </c>
      <c r="FT386">
        <v>0</v>
      </c>
      <c r="FU386">
        <v>0</v>
      </c>
      <c r="FV386">
        <v>0</v>
      </c>
      <c r="FW386">
        <v>0</v>
      </c>
      <c r="FX386">
        <v>0</v>
      </c>
      <c r="FY386">
        <v>0</v>
      </c>
      <c r="FZ386">
        <v>0</v>
      </c>
      <c r="GA386">
        <v>0</v>
      </c>
      <c r="GB386">
        <v>0</v>
      </c>
      <c r="GC386">
        <v>0</v>
      </c>
      <c r="GD386">
        <v>0</v>
      </c>
      <c r="GE386">
        <v>0</v>
      </c>
      <c r="GF386">
        <v>0</v>
      </c>
      <c r="GG386">
        <v>0</v>
      </c>
      <c r="GH386">
        <v>0</v>
      </c>
      <c r="GI386">
        <v>0</v>
      </c>
      <c r="GJ386">
        <v>0</v>
      </c>
      <c r="GK386">
        <v>0</v>
      </c>
      <c r="GL386">
        <v>0</v>
      </c>
      <c r="GM386">
        <v>0</v>
      </c>
      <c r="GN386">
        <v>0</v>
      </c>
      <c r="GO386">
        <v>0</v>
      </c>
      <c r="GP386">
        <v>0</v>
      </c>
      <c r="GQ386">
        <v>0</v>
      </c>
      <c r="GR386">
        <v>0</v>
      </c>
      <c r="GS386">
        <v>0</v>
      </c>
      <c r="GT386">
        <v>0</v>
      </c>
      <c r="GU386">
        <v>0</v>
      </c>
      <c r="GV386">
        <v>0</v>
      </c>
      <c r="GW386">
        <v>0</v>
      </c>
      <c r="GX386">
        <v>0</v>
      </c>
      <c r="GY386">
        <v>0</v>
      </c>
      <c r="GZ386">
        <v>0</v>
      </c>
      <c r="HA386">
        <v>0</v>
      </c>
      <c r="HB386">
        <v>0</v>
      </c>
      <c r="HC386">
        <v>0</v>
      </c>
      <c r="HD386">
        <v>0</v>
      </c>
      <c r="HE386">
        <v>0</v>
      </c>
      <c r="HF386">
        <v>0</v>
      </c>
      <c r="HG386">
        <v>0</v>
      </c>
      <c r="HH386">
        <v>0</v>
      </c>
      <c r="HI386">
        <v>0</v>
      </c>
      <c r="HJ386">
        <v>0</v>
      </c>
      <c r="HK386">
        <v>0</v>
      </c>
      <c r="HL386">
        <v>0</v>
      </c>
      <c r="HM386">
        <v>0</v>
      </c>
      <c r="HN386">
        <v>0</v>
      </c>
      <c r="HO386">
        <v>0</v>
      </c>
      <c r="HP386">
        <v>0</v>
      </c>
      <c r="HQ386">
        <v>0</v>
      </c>
      <c r="HR386">
        <v>0</v>
      </c>
      <c r="HS386">
        <v>0</v>
      </c>
      <c r="HT386">
        <v>0</v>
      </c>
      <c r="HU386">
        <v>0</v>
      </c>
      <c r="HV386">
        <v>0</v>
      </c>
      <c r="HW386">
        <v>0</v>
      </c>
      <c r="HX386">
        <v>0</v>
      </c>
      <c r="HY386">
        <v>0</v>
      </c>
      <c r="HZ386">
        <v>0</v>
      </c>
      <c r="IA386">
        <v>0</v>
      </c>
      <c r="IB386">
        <v>0</v>
      </c>
      <c r="IC386">
        <v>0</v>
      </c>
      <c r="ID386">
        <v>0</v>
      </c>
      <c r="IE386">
        <v>0</v>
      </c>
      <c r="IF386">
        <v>0</v>
      </c>
      <c r="IG386">
        <v>0</v>
      </c>
      <c r="IH386">
        <v>0</v>
      </c>
      <c r="II386">
        <v>0</v>
      </c>
      <c r="IJ386">
        <v>0</v>
      </c>
      <c r="IK386">
        <v>0</v>
      </c>
      <c r="IL386">
        <v>0</v>
      </c>
      <c r="IM386">
        <v>0</v>
      </c>
      <c r="IN386">
        <v>0</v>
      </c>
      <c r="IO386">
        <v>0</v>
      </c>
      <c r="IP386">
        <v>0</v>
      </c>
      <c r="IQ386">
        <v>0</v>
      </c>
      <c r="IR386">
        <v>0</v>
      </c>
      <c r="IS386">
        <v>0</v>
      </c>
      <c r="IT386">
        <v>0</v>
      </c>
      <c r="IU386">
        <v>0</v>
      </c>
      <c r="IV386">
        <v>0</v>
      </c>
      <c r="IW386">
        <v>0</v>
      </c>
      <c r="IX386">
        <v>0</v>
      </c>
      <c r="IY386">
        <v>0</v>
      </c>
      <c r="IZ386">
        <v>0</v>
      </c>
      <c r="JA386">
        <v>0</v>
      </c>
      <c r="JB386">
        <v>0</v>
      </c>
      <c r="JC386">
        <v>0</v>
      </c>
      <c r="JD386">
        <v>0</v>
      </c>
      <c r="JE386">
        <v>0</v>
      </c>
      <c r="JF386">
        <v>0</v>
      </c>
      <c r="JG386">
        <v>0</v>
      </c>
      <c r="JH386">
        <v>0</v>
      </c>
      <c r="JI386">
        <v>0</v>
      </c>
      <c r="JJ386">
        <v>0</v>
      </c>
      <c r="JK386">
        <v>0</v>
      </c>
      <c r="JL386">
        <v>0</v>
      </c>
      <c r="JM386">
        <v>0</v>
      </c>
      <c r="JN386">
        <v>0</v>
      </c>
      <c r="JO386">
        <v>0</v>
      </c>
      <c r="JP386">
        <v>0</v>
      </c>
      <c r="JQ386">
        <v>0</v>
      </c>
      <c r="JR386">
        <v>0</v>
      </c>
      <c r="JS386">
        <v>0</v>
      </c>
      <c r="JT386">
        <v>0</v>
      </c>
      <c r="JU386">
        <v>0</v>
      </c>
      <c r="JV386">
        <v>0</v>
      </c>
      <c r="JW386">
        <v>0</v>
      </c>
      <c r="JX386">
        <v>0</v>
      </c>
      <c r="JY386">
        <v>0</v>
      </c>
      <c r="JZ386">
        <v>0</v>
      </c>
      <c r="KA386">
        <v>0</v>
      </c>
      <c r="KB386">
        <v>0</v>
      </c>
      <c r="KC386">
        <v>0</v>
      </c>
      <c r="KD386">
        <v>0</v>
      </c>
      <c r="KE386">
        <v>0</v>
      </c>
      <c r="KF386">
        <v>0</v>
      </c>
      <c r="KG386">
        <v>0</v>
      </c>
      <c r="KH386">
        <v>0</v>
      </c>
      <c r="KI386">
        <v>0</v>
      </c>
      <c r="KJ386">
        <v>0</v>
      </c>
      <c r="KK386">
        <v>0</v>
      </c>
      <c r="KL386">
        <v>0</v>
      </c>
      <c r="KM386">
        <v>0</v>
      </c>
      <c r="KN386">
        <v>0</v>
      </c>
      <c r="KO386">
        <v>0</v>
      </c>
      <c r="KP386">
        <v>0</v>
      </c>
      <c r="KQ386">
        <v>0</v>
      </c>
      <c r="KR386">
        <v>0</v>
      </c>
      <c r="KS386">
        <v>0</v>
      </c>
      <c r="KT386">
        <v>0</v>
      </c>
      <c r="KU386">
        <v>0</v>
      </c>
      <c r="KV386">
        <v>0</v>
      </c>
      <c r="KW386">
        <v>0</v>
      </c>
      <c r="KX386">
        <v>0</v>
      </c>
      <c r="KY386">
        <v>0</v>
      </c>
      <c r="KZ386">
        <v>0</v>
      </c>
      <c r="LA386">
        <v>0</v>
      </c>
      <c r="LB386">
        <v>0</v>
      </c>
      <c r="LC386">
        <v>0</v>
      </c>
      <c r="LD386">
        <v>0</v>
      </c>
      <c r="LE386">
        <v>0</v>
      </c>
      <c r="LF386">
        <v>0</v>
      </c>
      <c r="LG386">
        <v>0</v>
      </c>
      <c r="LH386">
        <v>0</v>
      </c>
      <c r="LI386">
        <v>0</v>
      </c>
      <c r="LJ386">
        <v>0</v>
      </c>
      <c r="LK386">
        <v>0</v>
      </c>
      <c r="LL386">
        <v>0</v>
      </c>
      <c r="LM386">
        <v>0</v>
      </c>
      <c r="LN386">
        <v>0</v>
      </c>
      <c r="LO386">
        <v>0</v>
      </c>
      <c r="LP386">
        <v>0</v>
      </c>
      <c r="LQ386">
        <v>0</v>
      </c>
      <c r="LR386">
        <v>0</v>
      </c>
      <c r="LS386">
        <v>0</v>
      </c>
      <c r="LT386">
        <v>0</v>
      </c>
      <c r="LU386">
        <v>0</v>
      </c>
      <c r="LV386">
        <v>0</v>
      </c>
      <c r="LW386">
        <v>0</v>
      </c>
      <c r="LX386">
        <v>0</v>
      </c>
      <c r="LY386">
        <v>0</v>
      </c>
      <c r="LZ386">
        <v>0</v>
      </c>
      <c r="MA386">
        <v>0</v>
      </c>
      <c r="MB386">
        <v>0</v>
      </c>
      <c r="MC386">
        <v>0</v>
      </c>
      <c r="MD386">
        <v>0</v>
      </c>
      <c r="ME386">
        <v>0</v>
      </c>
      <c r="MF386">
        <v>0</v>
      </c>
      <c r="MG386">
        <v>0</v>
      </c>
      <c r="MH386">
        <v>0</v>
      </c>
      <c r="MI386">
        <v>0</v>
      </c>
      <c r="MJ386">
        <v>0</v>
      </c>
      <c r="MK386">
        <v>0</v>
      </c>
      <c r="ML386">
        <v>0</v>
      </c>
      <c r="MM386">
        <v>0</v>
      </c>
      <c r="MN386">
        <v>0</v>
      </c>
      <c r="MO386">
        <v>0</v>
      </c>
      <c r="MP386">
        <v>0</v>
      </c>
      <c r="MQ386">
        <v>0</v>
      </c>
      <c r="MR386">
        <v>0</v>
      </c>
      <c r="MS386">
        <v>0</v>
      </c>
      <c r="MT386">
        <v>0</v>
      </c>
      <c r="MU386">
        <v>0</v>
      </c>
      <c r="MV386">
        <v>0</v>
      </c>
      <c r="MW386">
        <v>0</v>
      </c>
      <c r="MX386">
        <v>0</v>
      </c>
      <c r="MY386">
        <v>0</v>
      </c>
      <c r="MZ386">
        <v>0</v>
      </c>
      <c r="NA386">
        <v>0</v>
      </c>
      <c r="NB386">
        <v>0</v>
      </c>
      <c r="NC386">
        <v>0</v>
      </c>
      <c r="ND386">
        <v>0</v>
      </c>
      <c r="NE386">
        <v>0</v>
      </c>
    </row>
    <row r="387" spans="41:369" x14ac:dyDescent="0.45">
      <c r="AO387">
        <v>0</v>
      </c>
      <c r="AP387">
        <v>0</v>
      </c>
      <c r="AQ387">
        <v>0</v>
      </c>
      <c r="AR387">
        <v>0</v>
      </c>
      <c r="AS387">
        <v>0</v>
      </c>
      <c r="AT387">
        <v>0</v>
      </c>
      <c r="AU387">
        <v>0</v>
      </c>
      <c r="AV387">
        <v>0</v>
      </c>
      <c r="AW387" t="str">
        <v/>
      </c>
      <c r="AX387">
        <v>255</v>
      </c>
      <c r="AY387" s="5" t="str">
        <v/>
      </c>
      <c r="AZ387">
        <v>0</v>
      </c>
      <c r="BA387">
        <v>0</v>
      </c>
      <c r="BB387">
        <v>0</v>
      </c>
      <c r="BC387">
        <v>0</v>
      </c>
      <c r="BD387">
        <v>0</v>
      </c>
      <c r="BE387">
        <v>0</v>
      </c>
      <c r="BF387">
        <v>0</v>
      </c>
      <c r="BG387">
        <v>0</v>
      </c>
      <c r="BH387">
        <v>0</v>
      </c>
      <c r="BI387" t="str">
        <v/>
      </c>
      <c r="BK387">
        <v>381</v>
      </c>
      <c r="BL387">
        <v>0</v>
      </c>
      <c r="BM387">
        <v>0</v>
      </c>
      <c r="BN387">
        <v>0</v>
      </c>
      <c r="BO387">
        <v>0</v>
      </c>
      <c r="BP387">
        <v>0</v>
      </c>
      <c r="BQ387">
        <v>0</v>
      </c>
      <c r="BR387">
        <v>0</v>
      </c>
      <c r="BS387">
        <v>0</v>
      </c>
      <c r="BT387">
        <v>0</v>
      </c>
      <c r="BU387">
        <v>0</v>
      </c>
      <c r="BV387">
        <v>0</v>
      </c>
      <c r="BW387">
        <v>0</v>
      </c>
      <c r="BX387">
        <v>0</v>
      </c>
      <c r="BY387">
        <v>0</v>
      </c>
      <c r="BZ387">
        <v>0</v>
      </c>
      <c r="CA387">
        <v>0</v>
      </c>
      <c r="CB387">
        <v>0</v>
      </c>
      <c r="CC387">
        <v>0</v>
      </c>
      <c r="CD387">
        <v>0</v>
      </c>
      <c r="CE387">
        <v>0</v>
      </c>
      <c r="CF387">
        <v>0</v>
      </c>
      <c r="CG387">
        <v>0</v>
      </c>
      <c r="CH387">
        <v>0</v>
      </c>
      <c r="CI387">
        <v>0</v>
      </c>
      <c r="CJ387">
        <v>0</v>
      </c>
      <c r="CK387">
        <v>0</v>
      </c>
      <c r="CL387">
        <v>0</v>
      </c>
      <c r="CM387">
        <v>0</v>
      </c>
      <c r="CN387">
        <v>0</v>
      </c>
      <c r="CO387">
        <v>0</v>
      </c>
      <c r="CP387">
        <v>0</v>
      </c>
      <c r="CQ387">
        <v>0</v>
      </c>
      <c r="CR387">
        <v>0</v>
      </c>
      <c r="CS387">
        <v>0</v>
      </c>
      <c r="CT387">
        <v>0</v>
      </c>
      <c r="CU387">
        <v>0</v>
      </c>
      <c r="CV387">
        <v>0</v>
      </c>
      <c r="CW387">
        <v>0</v>
      </c>
      <c r="CX387">
        <v>0</v>
      </c>
      <c r="CY387">
        <v>0</v>
      </c>
      <c r="CZ387">
        <v>0</v>
      </c>
      <c r="DA387">
        <v>0</v>
      </c>
      <c r="DB387">
        <v>0</v>
      </c>
      <c r="DC387">
        <v>0</v>
      </c>
      <c r="DD387">
        <v>0</v>
      </c>
      <c r="DE387">
        <v>0</v>
      </c>
      <c r="DF387">
        <v>0</v>
      </c>
      <c r="DG387">
        <v>0</v>
      </c>
      <c r="DH387">
        <v>0</v>
      </c>
      <c r="DI387">
        <v>0</v>
      </c>
      <c r="DJ387">
        <v>0</v>
      </c>
      <c r="DK387">
        <v>0</v>
      </c>
      <c r="DL387">
        <v>0</v>
      </c>
      <c r="DM387">
        <v>0</v>
      </c>
      <c r="DN387">
        <v>0</v>
      </c>
      <c r="DO387">
        <v>0</v>
      </c>
      <c r="DP387">
        <v>0</v>
      </c>
      <c r="DQ387">
        <v>0</v>
      </c>
      <c r="DR387">
        <v>0</v>
      </c>
      <c r="DS387">
        <v>0</v>
      </c>
      <c r="DT387">
        <v>0</v>
      </c>
      <c r="DU387">
        <v>0</v>
      </c>
      <c r="DV387">
        <v>0</v>
      </c>
      <c r="DW387">
        <v>0</v>
      </c>
      <c r="DX387">
        <v>0</v>
      </c>
      <c r="DY387">
        <v>0</v>
      </c>
      <c r="DZ387">
        <v>0</v>
      </c>
      <c r="EA387">
        <v>0</v>
      </c>
      <c r="EB387">
        <v>0</v>
      </c>
      <c r="EC387">
        <v>0</v>
      </c>
      <c r="ED387">
        <v>0</v>
      </c>
      <c r="EE387">
        <v>0</v>
      </c>
      <c r="EF387">
        <v>0</v>
      </c>
      <c r="EG387">
        <v>0</v>
      </c>
      <c r="EH387">
        <v>0</v>
      </c>
      <c r="EI387">
        <v>0</v>
      </c>
      <c r="EJ387">
        <v>0</v>
      </c>
      <c r="EK387">
        <v>0</v>
      </c>
      <c r="EL387">
        <v>0</v>
      </c>
      <c r="EM387">
        <v>0</v>
      </c>
      <c r="EN387">
        <v>0</v>
      </c>
      <c r="EO387">
        <v>0</v>
      </c>
      <c r="EP387">
        <v>0</v>
      </c>
      <c r="EQ387">
        <v>0</v>
      </c>
      <c r="ER387">
        <v>0</v>
      </c>
      <c r="ES387">
        <v>0</v>
      </c>
      <c r="ET387">
        <v>0</v>
      </c>
      <c r="EU387">
        <v>0</v>
      </c>
      <c r="EV387">
        <v>0</v>
      </c>
      <c r="EW387">
        <v>0</v>
      </c>
      <c r="EX387">
        <v>0</v>
      </c>
      <c r="EY387">
        <v>0</v>
      </c>
      <c r="EZ387">
        <v>0</v>
      </c>
      <c r="FA387">
        <v>0</v>
      </c>
      <c r="FB387">
        <v>0</v>
      </c>
      <c r="FC387">
        <v>0</v>
      </c>
      <c r="FD387">
        <v>0</v>
      </c>
      <c r="FE387">
        <v>0</v>
      </c>
      <c r="FF387">
        <v>0</v>
      </c>
      <c r="FG387">
        <v>0</v>
      </c>
      <c r="FH387">
        <v>0</v>
      </c>
      <c r="FI387">
        <v>0</v>
      </c>
      <c r="FJ387">
        <v>0</v>
      </c>
      <c r="FK387">
        <v>0</v>
      </c>
      <c r="FL387">
        <v>0</v>
      </c>
      <c r="FM387">
        <v>0</v>
      </c>
      <c r="FN387">
        <v>0</v>
      </c>
      <c r="FO387">
        <v>0</v>
      </c>
      <c r="FP387">
        <v>0</v>
      </c>
      <c r="FQ387">
        <v>0</v>
      </c>
      <c r="FR387">
        <v>0</v>
      </c>
      <c r="FS387">
        <v>0</v>
      </c>
      <c r="FT387">
        <v>0</v>
      </c>
      <c r="FU387">
        <v>0</v>
      </c>
      <c r="FV387">
        <v>0</v>
      </c>
      <c r="FW387">
        <v>0</v>
      </c>
      <c r="FX387">
        <v>0</v>
      </c>
      <c r="FY387">
        <v>0</v>
      </c>
      <c r="FZ387">
        <v>0</v>
      </c>
      <c r="GA387">
        <v>0</v>
      </c>
      <c r="GB387">
        <v>0</v>
      </c>
      <c r="GC387">
        <v>0</v>
      </c>
      <c r="GD387">
        <v>0</v>
      </c>
      <c r="GE387">
        <v>0</v>
      </c>
      <c r="GF387">
        <v>0</v>
      </c>
      <c r="GG387">
        <v>0</v>
      </c>
      <c r="GH387">
        <v>0</v>
      </c>
      <c r="GI387">
        <v>0</v>
      </c>
      <c r="GJ387">
        <v>0</v>
      </c>
      <c r="GK387">
        <v>0</v>
      </c>
      <c r="GL387">
        <v>0</v>
      </c>
      <c r="GM387">
        <v>0</v>
      </c>
      <c r="GN387">
        <v>0</v>
      </c>
      <c r="GO387">
        <v>0</v>
      </c>
      <c r="GP387">
        <v>0</v>
      </c>
      <c r="GQ387">
        <v>0</v>
      </c>
      <c r="GR387">
        <v>0</v>
      </c>
      <c r="GS387">
        <v>0</v>
      </c>
      <c r="GT387">
        <v>0</v>
      </c>
      <c r="GU387">
        <v>0</v>
      </c>
      <c r="GV387">
        <v>0</v>
      </c>
      <c r="GW387">
        <v>0</v>
      </c>
      <c r="GX387">
        <v>0</v>
      </c>
      <c r="GY387">
        <v>0</v>
      </c>
      <c r="GZ387">
        <v>0</v>
      </c>
      <c r="HA387">
        <v>0</v>
      </c>
      <c r="HB387">
        <v>0</v>
      </c>
      <c r="HC387">
        <v>0</v>
      </c>
      <c r="HD387">
        <v>0</v>
      </c>
      <c r="HE387">
        <v>0</v>
      </c>
      <c r="HF387">
        <v>0</v>
      </c>
      <c r="HG387">
        <v>0</v>
      </c>
      <c r="HH387">
        <v>0</v>
      </c>
      <c r="HI387">
        <v>0</v>
      </c>
      <c r="HJ387">
        <v>0</v>
      </c>
      <c r="HK387">
        <v>0</v>
      </c>
      <c r="HL387">
        <v>0</v>
      </c>
      <c r="HM387">
        <v>0</v>
      </c>
      <c r="HN387">
        <v>0</v>
      </c>
      <c r="HO387">
        <v>0</v>
      </c>
      <c r="HP387">
        <v>0</v>
      </c>
      <c r="HQ387">
        <v>0</v>
      </c>
      <c r="HR387">
        <v>0</v>
      </c>
      <c r="HS387">
        <v>0</v>
      </c>
      <c r="HT387">
        <v>0</v>
      </c>
      <c r="HU387">
        <v>0</v>
      </c>
      <c r="HV387">
        <v>0</v>
      </c>
      <c r="HW387">
        <v>0</v>
      </c>
      <c r="HX387">
        <v>0</v>
      </c>
      <c r="HY387">
        <v>0</v>
      </c>
      <c r="HZ387">
        <v>0</v>
      </c>
      <c r="IA387">
        <v>0</v>
      </c>
      <c r="IB387">
        <v>0</v>
      </c>
      <c r="IC387">
        <v>0</v>
      </c>
      <c r="ID387">
        <v>0</v>
      </c>
      <c r="IE387">
        <v>0</v>
      </c>
      <c r="IF387">
        <v>0</v>
      </c>
      <c r="IG387">
        <v>0</v>
      </c>
      <c r="IH387">
        <v>0</v>
      </c>
      <c r="II387">
        <v>0</v>
      </c>
      <c r="IJ387">
        <v>0</v>
      </c>
      <c r="IK387">
        <v>0</v>
      </c>
      <c r="IL387">
        <v>0</v>
      </c>
      <c r="IM387">
        <v>0</v>
      </c>
      <c r="IN387">
        <v>0</v>
      </c>
      <c r="IO387">
        <v>0</v>
      </c>
      <c r="IP387">
        <v>0</v>
      </c>
      <c r="IQ387">
        <v>0</v>
      </c>
      <c r="IR387">
        <v>0</v>
      </c>
      <c r="IS387">
        <v>0</v>
      </c>
      <c r="IT387">
        <v>0</v>
      </c>
      <c r="IU387">
        <v>0</v>
      </c>
      <c r="IV387">
        <v>0</v>
      </c>
      <c r="IW387">
        <v>0</v>
      </c>
      <c r="IX387">
        <v>0</v>
      </c>
      <c r="IY387">
        <v>0</v>
      </c>
      <c r="IZ387">
        <v>0</v>
      </c>
      <c r="JA387">
        <v>0</v>
      </c>
      <c r="JB387">
        <v>0</v>
      </c>
      <c r="JC387">
        <v>0</v>
      </c>
      <c r="JD387">
        <v>0</v>
      </c>
      <c r="JE387">
        <v>0</v>
      </c>
      <c r="JF387">
        <v>0</v>
      </c>
      <c r="JG387">
        <v>0</v>
      </c>
      <c r="JH387">
        <v>0</v>
      </c>
      <c r="JI387">
        <v>0</v>
      </c>
      <c r="JJ387">
        <v>0</v>
      </c>
      <c r="JK387">
        <v>0</v>
      </c>
      <c r="JL387">
        <v>0</v>
      </c>
      <c r="JM387">
        <v>0</v>
      </c>
      <c r="JN387">
        <v>0</v>
      </c>
      <c r="JO387">
        <v>0</v>
      </c>
      <c r="JP387">
        <v>0</v>
      </c>
      <c r="JQ387">
        <v>0</v>
      </c>
      <c r="JR387">
        <v>0</v>
      </c>
      <c r="JS387">
        <v>0</v>
      </c>
      <c r="JT387">
        <v>0</v>
      </c>
      <c r="JU387">
        <v>0</v>
      </c>
      <c r="JV387">
        <v>0</v>
      </c>
      <c r="JW387">
        <v>0</v>
      </c>
      <c r="JX387">
        <v>0</v>
      </c>
      <c r="JY387">
        <v>0</v>
      </c>
      <c r="JZ387">
        <v>0</v>
      </c>
      <c r="KA387">
        <v>0</v>
      </c>
      <c r="KB387">
        <v>0</v>
      </c>
      <c r="KC387">
        <v>0</v>
      </c>
      <c r="KD387">
        <v>0</v>
      </c>
      <c r="KE387">
        <v>0</v>
      </c>
      <c r="KF387">
        <v>0</v>
      </c>
      <c r="KG387">
        <v>0</v>
      </c>
      <c r="KH387">
        <v>0</v>
      </c>
      <c r="KI387">
        <v>0</v>
      </c>
      <c r="KJ387">
        <v>0</v>
      </c>
      <c r="KK387">
        <v>0</v>
      </c>
      <c r="KL387">
        <v>0</v>
      </c>
      <c r="KM387">
        <v>0</v>
      </c>
      <c r="KN387">
        <v>0</v>
      </c>
      <c r="KO387">
        <v>0</v>
      </c>
      <c r="KP387">
        <v>0</v>
      </c>
      <c r="KQ387">
        <v>0</v>
      </c>
      <c r="KR387">
        <v>0</v>
      </c>
      <c r="KS387">
        <v>0</v>
      </c>
      <c r="KT387">
        <v>0</v>
      </c>
      <c r="KU387">
        <v>0</v>
      </c>
      <c r="KV387">
        <v>0</v>
      </c>
      <c r="KW387">
        <v>0</v>
      </c>
      <c r="KX387">
        <v>0</v>
      </c>
      <c r="KY387">
        <v>0</v>
      </c>
      <c r="KZ387">
        <v>0</v>
      </c>
      <c r="LA387">
        <v>0</v>
      </c>
      <c r="LB387">
        <v>0</v>
      </c>
      <c r="LC387">
        <v>0</v>
      </c>
      <c r="LD387">
        <v>0</v>
      </c>
      <c r="LE387">
        <v>0</v>
      </c>
      <c r="LF387">
        <v>0</v>
      </c>
      <c r="LG387">
        <v>0</v>
      </c>
      <c r="LH387">
        <v>0</v>
      </c>
      <c r="LI387">
        <v>0</v>
      </c>
      <c r="LJ387">
        <v>0</v>
      </c>
      <c r="LK387">
        <v>0</v>
      </c>
      <c r="LL387">
        <v>0</v>
      </c>
      <c r="LM387">
        <v>0</v>
      </c>
      <c r="LN387">
        <v>0</v>
      </c>
      <c r="LO387">
        <v>0</v>
      </c>
      <c r="LP387">
        <v>0</v>
      </c>
      <c r="LQ387">
        <v>0</v>
      </c>
      <c r="LR387">
        <v>0</v>
      </c>
      <c r="LS387">
        <v>0</v>
      </c>
      <c r="LT387">
        <v>0</v>
      </c>
      <c r="LU387">
        <v>0</v>
      </c>
      <c r="LV387">
        <v>0</v>
      </c>
      <c r="LW387">
        <v>0</v>
      </c>
      <c r="LX387">
        <v>0</v>
      </c>
      <c r="LY387">
        <v>0</v>
      </c>
      <c r="LZ387">
        <v>0</v>
      </c>
      <c r="MA387">
        <v>0</v>
      </c>
      <c r="MB387">
        <v>0</v>
      </c>
      <c r="MC387">
        <v>0</v>
      </c>
      <c r="MD387">
        <v>0</v>
      </c>
      <c r="ME387">
        <v>0</v>
      </c>
      <c r="MF387">
        <v>0</v>
      </c>
      <c r="MG387">
        <v>0</v>
      </c>
      <c r="MH387">
        <v>0</v>
      </c>
      <c r="MI387">
        <v>0</v>
      </c>
      <c r="MJ387">
        <v>0</v>
      </c>
      <c r="MK387">
        <v>0</v>
      </c>
      <c r="ML387">
        <v>0</v>
      </c>
      <c r="MM387">
        <v>0</v>
      </c>
      <c r="MN387">
        <v>0</v>
      </c>
      <c r="MO387">
        <v>0</v>
      </c>
      <c r="MP387">
        <v>0</v>
      </c>
      <c r="MQ387">
        <v>0</v>
      </c>
      <c r="MR387">
        <v>0</v>
      </c>
      <c r="MS387">
        <v>0</v>
      </c>
      <c r="MT387">
        <v>0</v>
      </c>
      <c r="MU387">
        <v>0</v>
      </c>
      <c r="MV387">
        <v>0</v>
      </c>
      <c r="MW387">
        <v>0</v>
      </c>
      <c r="MX387">
        <v>0</v>
      </c>
      <c r="MY387">
        <v>0</v>
      </c>
      <c r="MZ387">
        <v>0</v>
      </c>
      <c r="NA387">
        <v>0</v>
      </c>
      <c r="NB387">
        <v>0</v>
      </c>
      <c r="NC387">
        <v>0</v>
      </c>
      <c r="ND387">
        <v>0</v>
      </c>
      <c r="NE387">
        <v>0</v>
      </c>
    </row>
    <row r="388" spans="41:369" x14ac:dyDescent="0.45">
      <c r="AO388">
        <v>0</v>
      </c>
      <c r="AP388">
        <v>0</v>
      </c>
      <c r="AQ388">
        <v>0</v>
      </c>
      <c r="AR388">
        <v>0</v>
      </c>
      <c r="AS388">
        <v>0</v>
      </c>
      <c r="AT388">
        <v>0</v>
      </c>
      <c r="AU388">
        <v>0</v>
      </c>
      <c r="AV388">
        <v>0</v>
      </c>
      <c r="AW388" t="str">
        <v/>
      </c>
      <c r="AX388">
        <v>255</v>
      </c>
      <c r="AY388" s="5" t="str">
        <v/>
      </c>
      <c r="AZ388">
        <v>0</v>
      </c>
      <c r="BA388">
        <v>0</v>
      </c>
      <c r="BB388">
        <v>0</v>
      </c>
      <c r="BC388">
        <v>0</v>
      </c>
      <c r="BD388">
        <v>0</v>
      </c>
      <c r="BE388">
        <v>0</v>
      </c>
      <c r="BF388">
        <v>0</v>
      </c>
      <c r="BG388">
        <v>0</v>
      </c>
      <c r="BH388">
        <v>0</v>
      </c>
      <c r="BI388" t="str">
        <v/>
      </c>
      <c r="BK388">
        <v>382</v>
      </c>
      <c r="BL388">
        <v>0</v>
      </c>
      <c r="BM388">
        <v>0</v>
      </c>
      <c r="BN388">
        <v>0</v>
      </c>
      <c r="BO388">
        <v>0</v>
      </c>
      <c r="BP388">
        <v>0</v>
      </c>
      <c r="BQ388">
        <v>0</v>
      </c>
      <c r="BR388">
        <v>0</v>
      </c>
      <c r="BS388">
        <v>0</v>
      </c>
      <c r="BT388">
        <v>0</v>
      </c>
      <c r="BU388">
        <v>0</v>
      </c>
      <c r="BV388">
        <v>0</v>
      </c>
      <c r="BW388">
        <v>0</v>
      </c>
      <c r="BX388">
        <v>0</v>
      </c>
      <c r="BY388">
        <v>0</v>
      </c>
      <c r="BZ388">
        <v>0</v>
      </c>
      <c r="CA388">
        <v>0</v>
      </c>
      <c r="CB388">
        <v>0</v>
      </c>
      <c r="CC388">
        <v>0</v>
      </c>
      <c r="CD388">
        <v>0</v>
      </c>
      <c r="CE388">
        <v>0</v>
      </c>
      <c r="CF388">
        <v>0</v>
      </c>
      <c r="CG388">
        <v>0</v>
      </c>
      <c r="CH388">
        <v>0</v>
      </c>
      <c r="CI388">
        <v>0</v>
      </c>
      <c r="CJ388">
        <v>0</v>
      </c>
      <c r="CK388">
        <v>0</v>
      </c>
      <c r="CL388">
        <v>0</v>
      </c>
      <c r="CM388">
        <v>0</v>
      </c>
      <c r="CN388">
        <v>0</v>
      </c>
      <c r="CO388">
        <v>0</v>
      </c>
      <c r="CP388">
        <v>0</v>
      </c>
      <c r="CQ388">
        <v>0</v>
      </c>
      <c r="CR388">
        <v>0</v>
      </c>
      <c r="CS388">
        <v>0</v>
      </c>
      <c r="CT388">
        <v>0</v>
      </c>
      <c r="CU388">
        <v>0</v>
      </c>
      <c r="CV388">
        <v>0</v>
      </c>
      <c r="CW388">
        <v>0</v>
      </c>
      <c r="CX388">
        <v>0</v>
      </c>
      <c r="CY388">
        <v>0</v>
      </c>
      <c r="CZ388">
        <v>0</v>
      </c>
      <c r="DA388">
        <v>0</v>
      </c>
      <c r="DB388">
        <v>0</v>
      </c>
      <c r="DC388">
        <v>0</v>
      </c>
      <c r="DD388">
        <v>0</v>
      </c>
      <c r="DE388">
        <v>0</v>
      </c>
      <c r="DF388">
        <v>0</v>
      </c>
      <c r="DG388">
        <v>0</v>
      </c>
      <c r="DH388">
        <v>0</v>
      </c>
      <c r="DI388">
        <v>0</v>
      </c>
      <c r="DJ388">
        <v>0</v>
      </c>
      <c r="DK388">
        <v>0</v>
      </c>
      <c r="DL388">
        <v>0</v>
      </c>
      <c r="DM388">
        <v>0</v>
      </c>
      <c r="DN388">
        <v>0</v>
      </c>
      <c r="DO388">
        <v>0</v>
      </c>
      <c r="DP388">
        <v>0</v>
      </c>
      <c r="DQ388">
        <v>0</v>
      </c>
      <c r="DR388">
        <v>0</v>
      </c>
      <c r="DS388">
        <v>0</v>
      </c>
      <c r="DT388">
        <v>0</v>
      </c>
      <c r="DU388">
        <v>0</v>
      </c>
      <c r="DV388">
        <v>0</v>
      </c>
      <c r="DW388">
        <v>0</v>
      </c>
      <c r="DX388">
        <v>0</v>
      </c>
      <c r="DY388">
        <v>0</v>
      </c>
      <c r="DZ388">
        <v>0</v>
      </c>
      <c r="EA388">
        <v>0</v>
      </c>
      <c r="EB388">
        <v>0</v>
      </c>
      <c r="EC388">
        <v>0</v>
      </c>
      <c r="ED388">
        <v>0</v>
      </c>
      <c r="EE388">
        <v>0</v>
      </c>
      <c r="EF388">
        <v>0</v>
      </c>
      <c r="EG388">
        <v>0</v>
      </c>
      <c r="EH388">
        <v>0</v>
      </c>
      <c r="EI388">
        <v>0</v>
      </c>
      <c r="EJ388">
        <v>0</v>
      </c>
      <c r="EK388">
        <v>0</v>
      </c>
      <c r="EL388">
        <v>0</v>
      </c>
      <c r="EM388">
        <v>0</v>
      </c>
      <c r="EN388">
        <v>0</v>
      </c>
      <c r="EO388">
        <v>0</v>
      </c>
      <c r="EP388">
        <v>0</v>
      </c>
      <c r="EQ388">
        <v>0</v>
      </c>
      <c r="ER388">
        <v>0</v>
      </c>
      <c r="ES388">
        <v>0</v>
      </c>
      <c r="ET388">
        <v>0</v>
      </c>
      <c r="EU388">
        <v>0</v>
      </c>
      <c r="EV388">
        <v>0</v>
      </c>
      <c r="EW388">
        <v>0</v>
      </c>
      <c r="EX388">
        <v>0</v>
      </c>
      <c r="EY388">
        <v>0</v>
      </c>
      <c r="EZ388">
        <v>0</v>
      </c>
      <c r="FA388">
        <v>0</v>
      </c>
      <c r="FB388">
        <v>0</v>
      </c>
      <c r="FC388">
        <v>0</v>
      </c>
      <c r="FD388">
        <v>0</v>
      </c>
      <c r="FE388">
        <v>0</v>
      </c>
      <c r="FF388">
        <v>0</v>
      </c>
      <c r="FG388">
        <v>0</v>
      </c>
      <c r="FH388">
        <v>0</v>
      </c>
      <c r="FI388">
        <v>0</v>
      </c>
      <c r="FJ388">
        <v>0</v>
      </c>
      <c r="FK388">
        <v>0</v>
      </c>
      <c r="FL388">
        <v>0</v>
      </c>
      <c r="FM388">
        <v>0</v>
      </c>
      <c r="FN388">
        <v>0</v>
      </c>
      <c r="FO388">
        <v>0</v>
      </c>
      <c r="FP388">
        <v>0</v>
      </c>
      <c r="FQ388">
        <v>0</v>
      </c>
      <c r="FR388">
        <v>0</v>
      </c>
      <c r="FS388">
        <v>0</v>
      </c>
      <c r="FT388">
        <v>0</v>
      </c>
      <c r="FU388">
        <v>0</v>
      </c>
      <c r="FV388">
        <v>0</v>
      </c>
      <c r="FW388">
        <v>0</v>
      </c>
      <c r="FX388">
        <v>0</v>
      </c>
      <c r="FY388">
        <v>0</v>
      </c>
      <c r="FZ388">
        <v>0</v>
      </c>
      <c r="GA388">
        <v>0</v>
      </c>
      <c r="GB388">
        <v>0</v>
      </c>
      <c r="GC388">
        <v>0</v>
      </c>
      <c r="GD388">
        <v>0</v>
      </c>
      <c r="GE388">
        <v>0</v>
      </c>
      <c r="GF388">
        <v>0</v>
      </c>
      <c r="GG388">
        <v>0</v>
      </c>
      <c r="GH388">
        <v>0</v>
      </c>
      <c r="GI388">
        <v>0</v>
      </c>
      <c r="GJ388">
        <v>0</v>
      </c>
      <c r="GK388">
        <v>0</v>
      </c>
      <c r="GL388">
        <v>0</v>
      </c>
      <c r="GM388">
        <v>0</v>
      </c>
      <c r="GN388">
        <v>0</v>
      </c>
      <c r="GO388">
        <v>0</v>
      </c>
      <c r="GP388">
        <v>0</v>
      </c>
      <c r="GQ388">
        <v>0</v>
      </c>
      <c r="GR388">
        <v>0</v>
      </c>
      <c r="GS388">
        <v>0</v>
      </c>
      <c r="GT388">
        <v>0</v>
      </c>
      <c r="GU388">
        <v>0</v>
      </c>
      <c r="GV388">
        <v>0</v>
      </c>
      <c r="GW388">
        <v>0</v>
      </c>
      <c r="GX388">
        <v>0</v>
      </c>
      <c r="GY388">
        <v>0</v>
      </c>
      <c r="GZ388">
        <v>0</v>
      </c>
      <c r="HA388">
        <v>0</v>
      </c>
      <c r="HB388">
        <v>0</v>
      </c>
      <c r="HC388">
        <v>0</v>
      </c>
      <c r="HD388">
        <v>0</v>
      </c>
      <c r="HE388">
        <v>0</v>
      </c>
      <c r="HF388">
        <v>0</v>
      </c>
      <c r="HG388">
        <v>0</v>
      </c>
      <c r="HH388">
        <v>0</v>
      </c>
      <c r="HI388">
        <v>0</v>
      </c>
      <c r="HJ388">
        <v>0</v>
      </c>
      <c r="HK388">
        <v>0</v>
      </c>
      <c r="HL388">
        <v>0</v>
      </c>
      <c r="HM388">
        <v>0</v>
      </c>
      <c r="HN388">
        <v>0</v>
      </c>
      <c r="HO388">
        <v>0</v>
      </c>
      <c r="HP388">
        <v>0</v>
      </c>
      <c r="HQ388">
        <v>0</v>
      </c>
      <c r="HR388">
        <v>0</v>
      </c>
      <c r="HS388">
        <v>0</v>
      </c>
      <c r="HT388">
        <v>0</v>
      </c>
      <c r="HU388">
        <v>0</v>
      </c>
      <c r="HV388">
        <v>0</v>
      </c>
      <c r="HW388">
        <v>0</v>
      </c>
      <c r="HX388">
        <v>0</v>
      </c>
      <c r="HY388">
        <v>0</v>
      </c>
      <c r="HZ388">
        <v>0</v>
      </c>
      <c r="IA388">
        <v>0</v>
      </c>
      <c r="IB388">
        <v>0</v>
      </c>
      <c r="IC388">
        <v>0</v>
      </c>
      <c r="ID388">
        <v>0</v>
      </c>
      <c r="IE388">
        <v>0</v>
      </c>
      <c r="IF388">
        <v>0</v>
      </c>
      <c r="IG388">
        <v>0</v>
      </c>
      <c r="IH388">
        <v>0</v>
      </c>
      <c r="II388">
        <v>0</v>
      </c>
      <c r="IJ388">
        <v>0</v>
      </c>
      <c r="IK388">
        <v>0</v>
      </c>
      <c r="IL388">
        <v>0</v>
      </c>
      <c r="IM388">
        <v>0</v>
      </c>
      <c r="IN388">
        <v>0</v>
      </c>
      <c r="IO388">
        <v>0</v>
      </c>
      <c r="IP388">
        <v>0</v>
      </c>
      <c r="IQ388">
        <v>0</v>
      </c>
      <c r="IR388">
        <v>0</v>
      </c>
      <c r="IS388">
        <v>0</v>
      </c>
      <c r="IT388">
        <v>0</v>
      </c>
      <c r="IU388">
        <v>0</v>
      </c>
      <c r="IV388">
        <v>0</v>
      </c>
      <c r="IW388">
        <v>0</v>
      </c>
      <c r="IX388">
        <v>0</v>
      </c>
      <c r="IY388">
        <v>0</v>
      </c>
      <c r="IZ388">
        <v>0</v>
      </c>
      <c r="JA388">
        <v>0</v>
      </c>
      <c r="JB388">
        <v>0</v>
      </c>
      <c r="JC388">
        <v>0</v>
      </c>
      <c r="JD388">
        <v>0</v>
      </c>
      <c r="JE388">
        <v>0</v>
      </c>
      <c r="JF388">
        <v>0</v>
      </c>
      <c r="JG388">
        <v>0</v>
      </c>
      <c r="JH388">
        <v>0</v>
      </c>
      <c r="JI388">
        <v>0</v>
      </c>
      <c r="JJ388">
        <v>0</v>
      </c>
      <c r="JK388">
        <v>0</v>
      </c>
      <c r="JL388">
        <v>0</v>
      </c>
      <c r="JM388">
        <v>0</v>
      </c>
      <c r="JN388">
        <v>0</v>
      </c>
      <c r="JO388">
        <v>0</v>
      </c>
      <c r="JP388">
        <v>0</v>
      </c>
      <c r="JQ388">
        <v>0</v>
      </c>
      <c r="JR388">
        <v>0</v>
      </c>
      <c r="JS388">
        <v>0</v>
      </c>
      <c r="JT388">
        <v>0</v>
      </c>
      <c r="JU388">
        <v>0</v>
      </c>
      <c r="JV388">
        <v>0</v>
      </c>
      <c r="JW388">
        <v>0</v>
      </c>
      <c r="JX388">
        <v>0</v>
      </c>
      <c r="JY388">
        <v>0</v>
      </c>
      <c r="JZ388">
        <v>0</v>
      </c>
      <c r="KA388">
        <v>0</v>
      </c>
      <c r="KB388">
        <v>0</v>
      </c>
      <c r="KC388">
        <v>0</v>
      </c>
      <c r="KD388">
        <v>0</v>
      </c>
      <c r="KE388">
        <v>0</v>
      </c>
      <c r="KF388">
        <v>0</v>
      </c>
      <c r="KG388">
        <v>0</v>
      </c>
      <c r="KH388">
        <v>0</v>
      </c>
      <c r="KI388">
        <v>0</v>
      </c>
      <c r="KJ388">
        <v>0</v>
      </c>
      <c r="KK388">
        <v>0</v>
      </c>
      <c r="KL388">
        <v>0</v>
      </c>
      <c r="KM388">
        <v>0</v>
      </c>
      <c r="KN388">
        <v>0</v>
      </c>
      <c r="KO388">
        <v>0</v>
      </c>
      <c r="KP388">
        <v>0</v>
      </c>
      <c r="KQ388">
        <v>0</v>
      </c>
      <c r="KR388">
        <v>0</v>
      </c>
      <c r="KS388">
        <v>0</v>
      </c>
      <c r="KT388">
        <v>0</v>
      </c>
      <c r="KU388">
        <v>0</v>
      </c>
      <c r="KV388">
        <v>0</v>
      </c>
      <c r="KW388">
        <v>0</v>
      </c>
      <c r="KX388">
        <v>0</v>
      </c>
      <c r="KY388">
        <v>0</v>
      </c>
      <c r="KZ388">
        <v>0</v>
      </c>
      <c r="LA388">
        <v>0</v>
      </c>
      <c r="LB388">
        <v>0</v>
      </c>
      <c r="LC388">
        <v>0</v>
      </c>
      <c r="LD388">
        <v>0</v>
      </c>
      <c r="LE388">
        <v>0</v>
      </c>
      <c r="LF388">
        <v>0</v>
      </c>
      <c r="LG388">
        <v>0</v>
      </c>
      <c r="LH388">
        <v>0</v>
      </c>
      <c r="LI388">
        <v>0</v>
      </c>
      <c r="LJ388">
        <v>0</v>
      </c>
      <c r="LK388">
        <v>0</v>
      </c>
      <c r="LL388">
        <v>0</v>
      </c>
      <c r="LM388">
        <v>0</v>
      </c>
      <c r="LN388">
        <v>0</v>
      </c>
      <c r="LO388">
        <v>0</v>
      </c>
      <c r="LP388">
        <v>0</v>
      </c>
      <c r="LQ388">
        <v>0</v>
      </c>
      <c r="LR388">
        <v>0</v>
      </c>
      <c r="LS388">
        <v>0</v>
      </c>
      <c r="LT388">
        <v>0</v>
      </c>
      <c r="LU388">
        <v>0</v>
      </c>
      <c r="LV388">
        <v>0</v>
      </c>
      <c r="LW388">
        <v>0</v>
      </c>
      <c r="LX388">
        <v>0</v>
      </c>
      <c r="LY388">
        <v>0</v>
      </c>
      <c r="LZ388">
        <v>0</v>
      </c>
      <c r="MA388">
        <v>0</v>
      </c>
      <c r="MB388">
        <v>0</v>
      </c>
      <c r="MC388">
        <v>0</v>
      </c>
      <c r="MD388">
        <v>0</v>
      </c>
      <c r="ME388">
        <v>0</v>
      </c>
      <c r="MF388">
        <v>0</v>
      </c>
      <c r="MG388">
        <v>0</v>
      </c>
      <c r="MH388">
        <v>0</v>
      </c>
      <c r="MI388">
        <v>0</v>
      </c>
      <c r="MJ388">
        <v>0</v>
      </c>
      <c r="MK388">
        <v>0</v>
      </c>
      <c r="ML388">
        <v>0</v>
      </c>
      <c r="MM388">
        <v>0</v>
      </c>
      <c r="MN388">
        <v>0</v>
      </c>
      <c r="MO388">
        <v>0</v>
      </c>
      <c r="MP388">
        <v>0</v>
      </c>
      <c r="MQ388">
        <v>0</v>
      </c>
      <c r="MR388">
        <v>0</v>
      </c>
      <c r="MS388">
        <v>0</v>
      </c>
      <c r="MT388">
        <v>0</v>
      </c>
      <c r="MU388">
        <v>0</v>
      </c>
      <c r="MV388">
        <v>0</v>
      </c>
      <c r="MW388">
        <v>0</v>
      </c>
      <c r="MX388">
        <v>0</v>
      </c>
      <c r="MY388">
        <v>0</v>
      </c>
      <c r="MZ388">
        <v>0</v>
      </c>
      <c r="NA388">
        <v>0</v>
      </c>
      <c r="NB388">
        <v>0</v>
      </c>
      <c r="NC388">
        <v>0</v>
      </c>
      <c r="ND388">
        <v>0</v>
      </c>
      <c r="NE388">
        <v>0</v>
      </c>
    </row>
    <row r="389" spans="41:369" x14ac:dyDescent="0.45">
      <c r="AO389">
        <v>0</v>
      </c>
      <c r="AP389">
        <v>0</v>
      </c>
      <c r="AQ389">
        <v>0</v>
      </c>
      <c r="AR389">
        <v>0</v>
      </c>
      <c r="AS389">
        <v>0</v>
      </c>
      <c r="AT389">
        <v>0</v>
      </c>
      <c r="AU389">
        <v>0</v>
      </c>
      <c r="AV389">
        <v>0</v>
      </c>
      <c r="AW389" t="str">
        <v/>
      </c>
      <c r="AX389">
        <v>255</v>
      </c>
      <c r="AY389" s="5" t="str">
        <v/>
      </c>
      <c r="AZ389">
        <v>0</v>
      </c>
      <c r="BA389">
        <v>0</v>
      </c>
      <c r="BB389">
        <v>0</v>
      </c>
      <c r="BC389">
        <v>0</v>
      </c>
      <c r="BD389">
        <v>0</v>
      </c>
      <c r="BE389">
        <v>0</v>
      </c>
      <c r="BF389">
        <v>0</v>
      </c>
      <c r="BG389">
        <v>0</v>
      </c>
      <c r="BH389">
        <v>0</v>
      </c>
      <c r="BI389" t="str">
        <v/>
      </c>
      <c r="BK389">
        <v>383</v>
      </c>
      <c r="BL389">
        <v>0</v>
      </c>
      <c r="BM389">
        <v>0</v>
      </c>
      <c r="BN389">
        <v>0</v>
      </c>
      <c r="BO389">
        <v>0</v>
      </c>
      <c r="BP389">
        <v>0</v>
      </c>
      <c r="BQ389">
        <v>0</v>
      </c>
      <c r="BR389">
        <v>0</v>
      </c>
      <c r="BS389">
        <v>0</v>
      </c>
      <c r="BT389">
        <v>0</v>
      </c>
      <c r="BU389">
        <v>0</v>
      </c>
      <c r="BV389">
        <v>0</v>
      </c>
      <c r="BW389">
        <v>0</v>
      </c>
      <c r="BX389">
        <v>0</v>
      </c>
      <c r="BY389">
        <v>0</v>
      </c>
      <c r="BZ389">
        <v>0</v>
      </c>
      <c r="CA389">
        <v>0</v>
      </c>
      <c r="CB389">
        <v>0</v>
      </c>
      <c r="CC389">
        <v>0</v>
      </c>
      <c r="CD389">
        <v>0</v>
      </c>
      <c r="CE389">
        <v>0</v>
      </c>
      <c r="CF389">
        <v>0</v>
      </c>
      <c r="CG389">
        <v>0</v>
      </c>
      <c r="CH389">
        <v>0</v>
      </c>
      <c r="CI389">
        <v>0</v>
      </c>
      <c r="CJ389">
        <v>0</v>
      </c>
      <c r="CK389">
        <v>0</v>
      </c>
      <c r="CL389">
        <v>0</v>
      </c>
      <c r="CM389">
        <v>0</v>
      </c>
      <c r="CN389">
        <v>0</v>
      </c>
      <c r="CO389">
        <v>0</v>
      </c>
      <c r="CP389">
        <v>0</v>
      </c>
      <c r="CQ389">
        <v>0</v>
      </c>
      <c r="CR389">
        <v>0</v>
      </c>
      <c r="CS389">
        <v>0</v>
      </c>
      <c r="CT389">
        <v>0</v>
      </c>
      <c r="CU389">
        <v>0</v>
      </c>
      <c r="CV389">
        <v>0</v>
      </c>
      <c r="CW389">
        <v>0</v>
      </c>
      <c r="CX389">
        <v>0</v>
      </c>
      <c r="CY389">
        <v>0</v>
      </c>
      <c r="CZ389">
        <v>0</v>
      </c>
      <c r="DA389">
        <v>0</v>
      </c>
      <c r="DB389">
        <v>0</v>
      </c>
      <c r="DC389">
        <v>0</v>
      </c>
      <c r="DD389">
        <v>0</v>
      </c>
      <c r="DE389">
        <v>0</v>
      </c>
      <c r="DF389">
        <v>0</v>
      </c>
      <c r="DG389">
        <v>0</v>
      </c>
      <c r="DH389">
        <v>0</v>
      </c>
      <c r="DI389">
        <v>0</v>
      </c>
      <c r="DJ389">
        <v>0</v>
      </c>
      <c r="DK389">
        <v>0</v>
      </c>
      <c r="DL389">
        <v>0</v>
      </c>
      <c r="DM389">
        <v>0</v>
      </c>
      <c r="DN389">
        <v>0</v>
      </c>
      <c r="DO389">
        <v>0</v>
      </c>
      <c r="DP389">
        <v>0</v>
      </c>
      <c r="DQ389">
        <v>0</v>
      </c>
      <c r="DR389">
        <v>0</v>
      </c>
      <c r="DS389">
        <v>0</v>
      </c>
      <c r="DT389">
        <v>0</v>
      </c>
      <c r="DU389">
        <v>0</v>
      </c>
      <c r="DV389">
        <v>0</v>
      </c>
      <c r="DW389">
        <v>0</v>
      </c>
      <c r="DX389">
        <v>0</v>
      </c>
      <c r="DY389">
        <v>0</v>
      </c>
      <c r="DZ389">
        <v>0</v>
      </c>
      <c r="EA389">
        <v>0</v>
      </c>
      <c r="EB389">
        <v>0</v>
      </c>
      <c r="EC389">
        <v>0</v>
      </c>
      <c r="ED389">
        <v>0</v>
      </c>
      <c r="EE389">
        <v>0</v>
      </c>
      <c r="EF389">
        <v>0</v>
      </c>
      <c r="EG389">
        <v>0</v>
      </c>
      <c r="EH389">
        <v>0</v>
      </c>
      <c r="EI389">
        <v>0</v>
      </c>
      <c r="EJ389">
        <v>0</v>
      </c>
      <c r="EK389">
        <v>0</v>
      </c>
      <c r="EL389">
        <v>0</v>
      </c>
      <c r="EM389">
        <v>0</v>
      </c>
      <c r="EN389">
        <v>0</v>
      </c>
      <c r="EO389">
        <v>0</v>
      </c>
      <c r="EP389">
        <v>0</v>
      </c>
      <c r="EQ389">
        <v>0</v>
      </c>
      <c r="ER389">
        <v>0</v>
      </c>
      <c r="ES389">
        <v>0</v>
      </c>
      <c r="ET389">
        <v>0</v>
      </c>
      <c r="EU389">
        <v>0</v>
      </c>
      <c r="EV389">
        <v>0</v>
      </c>
      <c r="EW389">
        <v>0</v>
      </c>
      <c r="EX389">
        <v>0</v>
      </c>
      <c r="EY389">
        <v>0</v>
      </c>
      <c r="EZ389">
        <v>0</v>
      </c>
      <c r="FA389">
        <v>0</v>
      </c>
      <c r="FB389">
        <v>0</v>
      </c>
      <c r="FC389">
        <v>0</v>
      </c>
      <c r="FD389">
        <v>0</v>
      </c>
      <c r="FE389">
        <v>0</v>
      </c>
      <c r="FF389">
        <v>0</v>
      </c>
      <c r="FG389">
        <v>0</v>
      </c>
      <c r="FH389">
        <v>0</v>
      </c>
      <c r="FI389">
        <v>0</v>
      </c>
      <c r="FJ389">
        <v>0</v>
      </c>
      <c r="FK389">
        <v>0</v>
      </c>
      <c r="FL389">
        <v>0</v>
      </c>
      <c r="FM389">
        <v>0</v>
      </c>
      <c r="FN389">
        <v>0</v>
      </c>
      <c r="FO389">
        <v>0</v>
      </c>
      <c r="FP389">
        <v>0</v>
      </c>
      <c r="FQ389">
        <v>0</v>
      </c>
      <c r="FR389">
        <v>0</v>
      </c>
      <c r="FS389">
        <v>0</v>
      </c>
      <c r="FT389">
        <v>0</v>
      </c>
      <c r="FU389">
        <v>0</v>
      </c>
      <c r="FV389">
        <v>0</v>
      </c>
      <c r="FW389">
        <v>0</v>
      </c>
      <c r="FX389">
        <v>0</v>
      </c>
      <c r="FY389">
        <v>0</v>
      </c>
      <c r="FZ389">
        <v>0</v>
      </c>
      <c r="GA389">
        <v>0</v>
      </c>
      <c r="GB389">
        <v>0</v>
      </c>
      <c r="GC389">
        <v>0</v>
      </c>
      <c r="GD389">
        <v>0</v>
      </c>
      <c r="GE389">
        <v>0</v>
      </c>
      <c r="GF389">
        <v>0</v>
      </c>
      <c r="GG389">
        <v>0</v>
      </c>
      <c r="GH389">
        <v>0</v>
      </c>
      <c r="GI389">
        <v>0</v>
      </c>
      <c r="GJ389">
        <v>0</v>
      </c>
      <c r="GK389">
        <v>0</v>
      </c>
      <c r="GL389">
        <v>0</v>
      </c>
      <c r="GM389">
        <v>0</v>
      </c>
      <c r="GN389">
        <v>0</v>
      </c>
      <c r="GO389">
        <v>0</v>
      </c>
      <c r="GP389">
        <v>0</v>
      </c>
      <c r="GQ389">
        <v>0</v>
      </c>
      <c r="GR389">
        <v>0</v>
      </c>
      <c r="GS389">
        <v>0</v>
      </c>
      <c r="GT389">
        <v>0</v>
      </c>
      <c r="GU389">
        <v>0</v>
      </c>
      <c r="GV389">
        <v>0</v>
      </c>
      <c r="GW389">
        <v>0</v>
      </c>
      <c r="GX389">
        <v>0</v>
      </c>
      <c r="GY389">
        <v>0</v>
      </c>
      <c r="GZ389">
        <v>0</v>
      </c>
      <c r="HA389">
        <v>0</v>
      </c>
      <c r="HB389">
        <v>0</v>
      </c>
      <c r="HC389">
        <v>0</v>
      </c>
      <c r="HD389">
        <v>0</v>
      </c>
      <c r="HE389">
        <v>0</v>
      </c>
      <c r="HF389">
        <v>0</v>
      </c>
      <c r="HG389">
        <v>0</v>
      </c>
      <c r="HH389">
        <v>0</v>
      </c>
      <c r="HI389">
        <v>0</v>
      </c>
      <c r="HJ389">
        <v>0</v>
      </c>
      <c r="HK389">
        <v>0</v>
      </c>
      <c r="HL389">
        <v>0</v>
      </c>
      <c r="HM389">
        <v>0</v>
      </c>
      <c r="HN389">
        <v>0</v>
      </c>
      <c r="HO389">
        <v>0</v>
      </c>
      <c r="HP389">
        <v>0</v>
      </c>
      <c r="HQ389">
        <v>0</v>
      </c>
      <c r="HR389">
        <v>0</v>
      </c>
      <c r="HS389">
        <v>0</v>
      </c>
      <c r="HT389">
        <v>0</v>
      </c>
      <c r="HU389">
        <v>0</v>
      </c>
      <c r="HV389">
        <v>0</v>
      </c>
      <c r="HW389">
        <v>0</v>
      </c>
      <c r="HX389">
        <v>0</v>
      </c>
      <c r="HY389">
        <v>0</v>
      </c>
      <c r="HZ389">
        <v>0</v>
      </c>
      <c r="IA389">
        <v>0</v>
      </c>
      <c r="IB389">
        <v>0</v>
      </c>
      <c r="IC389">
        <v>0</v>
      </c>
      <c r="ID389">
        <v>0</v>
      </c>
      <c r="IE389">
        <v>0</v>
      </c>
      <c r="IF389">
        <v>0</v>
      </c>
      <c r="IG389">
        <v>0</v>
      </c>
      <c r="IH389">
        <v>0</v>
      </c>
      <c r="II389">
        <v>0</v>
      </c>
      <c r="IJ389">
        <v>0</v>
      </c>
      <c r="IK389">
        <v>0</v>
      </c>
      <c r="IL389">
        <v>0</v>
      </c>
      <c r="IM389">
        <v>0</v>
      </c>
      <c r="IN389">
        <v>0</v>
      </c>
      <c r="IO389">
        <v>0</v>
      </c>
      <c r="IP389">
        <v>0</v>
      </c>
      <c r="IQ389">
        <v>0</v>
      </c>
      <c r="IR389">
        <v>0</v>
      </c>
      <c r="IS389">
        <v>0</v>
      </c>
      <c r="IT389">
        <v>0</v>
      </c>
      <c r="IU389">
        <v>0</v>
      </c>
      <c r="IV389">
        <v>0</v>
      </c>
      <c r="IW389">
        <v>0</v>
      </c>
      <c r="IX389">
        <v>0</v>
      </c>
      <c r="IY389">
        <v>0</v>
      </c>
      <c r="IZ389">
        <v>0</v>
      </c>
      <c r="JA389">
        <v>0</v>
      </c>
      <c r="JB389">
        <v>0</v>
      </c>
      <c r="JC389">
        <v>0</v>
      </c>
      <c r="JD389">
        <v>0</v>
      </c>
      <c r="JE389">
        <v>0</v>
      </c>
      <c r="JF389">
        <v>0</v>
      </c>
      <c r="JG389">
        <v>0</v>
      </c>
      <c r="JH389">
        <v>0</v>
      </c>
      <c r="JI389">
        <v>0</v>
      </c>
      <c r="JJ389">
        <v>0</v>
      </c>
      <c r="JK389">
        <v>0</v>
      </c>
      <c r="JL389">
        <v>0</v>
      </c>
      <c r="JM389">
        <v>0</v>
      </c>
      <c r="JN389">
        <v>0</v>
      </c>
      <c r="JO389">
        <v>0</v>
      </c>
      <c r="JP389">
        <v>0</v>
      </c>
      <c r="JQ389">
        <v>0</v>
      </c>
      <c r="JR389">
        <v>0</v>
      </c>
      <c r="JS389">
        <v>0</v>
      </c>
      <c r="JT389">
        <v>0</v>
      </c>
      <c r="JU389">
        <v>0</v>
      </c>
      <c r="JV389">
        <v>0</v>
      </c>
      <c r="JW389">
        <v>0</v>
      </c>
      <c r="JX389">
        <v>0</v>
      </c>
      <c r="JY389">
        <v>0</v>
      </c>
      <c r="JZ389">
        <v>0</v>
      </c>
      <c r="KA389">
        <v>0</v>
      </c>
      <c r="KB389">
        <v>0</v>
      </c>
      <c r="KC389">
        <v>0</v>
      </c>
      <c r="KD389">
        <v>0</v>
      </c>
      <c r="KE389">
        <v>0</v>
      </c>
      <c r="KF389">
        <v>0</v>
      </c>
      <c r="KG389">
        <v>0</v>
      </c>
      <c r="KH389">
        <v>0</v>
      </c>
      <c r="KI389">
        <v>0</v>
      </c>
      <c r="KJ389">
        <v>0</v>
      </c>
      <c r="KK389">
        <v>0</v>
      </c>
      <c r="KL389">
        <v>0</v>
      </c>
      <c r="KM389">
        <v>0</v>
      </c>
      <c r="KN389">
        <v>0</v>
      </c>
      <c r="KO389">
        <v>0</v>
      </c>
      <c r="KP389">
        <v>0</v>
      </c>
      <c r="KQ389">
        <v>0</v>
      </c>
      <c r="KR389">
        <v>0</v>
      </c>
      <c r="KS389">
        <v>0</v>
      </c>
      <c r="KT389">
        <v>0</v>
      </c>
      <c r="KU389">
        <v>0</v>
      </c>
      <c r="KV389">
        <v>0</v>
      </c>
      <c r="KW389">
        <v>0</v>
      </c>
      <c r="KX389">
        <v>0</v>
      </c>
      <c r="KY389">
        <v>0</v>
      </c>
      <c r="KZ389">
        <v>0</v>
      </c>
      <c r="LA389">
        <v>0</v>
      </c>
      <c r="LB389">
        <v>0</v>
      </c>
      <c r="LC389">
        <v>0</v>
      </c>
      <c r="LD389">
        <v>0</v>
      </c>
      <c r="LE389">
        <v>0</v>
      </c>
      <c r="LF389">
        <v>0</v>
      </c>
      <c r="LG389">
        <v>0</v>
      </c>
      <c r="LH389">
        <v>0</v>
      </c>
      <c r="LI389">
        <v>0</v>
      </c>
      <c r="LJ389">
        <v>0</v>
      </c>
      <c r="LK389">
        <v>0</v>
      </c>
      <c r="LL389">
        <v>0</v>
      </c>
      <c r="LM389">
        <v>0</v>
      </c>
      <c r="LN389">
        <v>0</v>
      </c>
      <c r="LO389">
        <v>0</v>
      </c>
      <c r="LP389">
        <v>0</v>
      </c>
      <c r="LQ389">
        <v>0</v>
      </c>
      <c r="LR389">
        <v>0</v>
      </c>
      <c r="LS389">
        <v>0</v>
      </c>
      <c r="LT389">
        <v>0</v>
      </c>
      <c r="LU389">
        <v>0</v>
      </c>
      <c r="LV389">
        <v>0</v>
      </c>
      <c r="LW389">
        <v>0</v>
      </c>
      <c r="LX389">
        <v>0</v>
      </c>
      <c r="LY389">
        <v>0</v>
      </c>
      <c r="LZ389">
        <v>0</v>
      </c>
      <c r="MA389">
        <v>0</v>
      </c>
      <c r="MB389">
        <v>0</v>
      </c>
      <c r="MC389">
        <v>0</v>
      </c>
      <c r="MD389">
        <v>0</v>
      </c>
      <c r="ME389">
        <v>0</v>
      </c>
      <c r="MF389">
        <v>0</v>
      </c>
      <c r="MG389">
        <v>0</v>
      </c>
      <c r="MH389">
        <v>0</v>
      </c>
      <c r="MI389">
        <v>0</v>
      </c>
      <c r="MJ389">
        <v>0</v>
      </c>
      <c r="MK389">
        <v>0</v>
      </c>
      <c r="ML389">
        <v>0</v>
      </c>
      <c r="MM389">
        <v>0</v>
      </c>
      <c r="MN389">
        <v>0</v>
      </c>
      <c r="MO389">
        <v>0</v>
      </c>
      <c r="MP389">
        <v>0</v>
      </c>
      <c r="MQ389">
        <v>0</v>
      </c>
      <c r="MR389">
        <v>0</v>
      </c>
      <c r="MS389">
        <v>0</v>
      </c>
      <c r="MT389">
        <v>0</v>
      </c>
      <c r="MU389">
        <v>0</v>
      </c>
      <c r="MV389">
        <v>0</v>
      </c>
      <c r="MW389">
        <v>0</v>
      </c>
      <c r="MX389">
        <v>0</v>
      </c>
      <c r="MY389">
        <v>0</v>
      </c>
      <c r="MZ389">
        <v>0</v>
      </c>
      <c r="NA389">
        <v>0</v>
      </c>
      <c r="NB389">
        <v>0</v>
      </c>
      <c r="NC389">
        <v>0</v>
      </c>
      <c r="ND389">
        <v>0</v>
      </c>
      <c r="NE389">
        <v>0</v>
      </c>
    </row>
    <row r="390" spans="41:369" x14ac:dyDescent="0.45">
      <c r="AO390">
        <v>0</v>
      </c>
      <c r="AP390">
        <v>0</v>
      </c>
      <c r="AQ390">
        <v>0</v>
      </c>
      <c r="AR390">
        <v>0</v>
      </c>
      <c r="AS390">
        <v>0</v>
      </c>
      <c r="AT390">
        <v>0</v>
      </c>
      <c r="AU390">
        <v>0</v>
      </c>
      <c r="AV390">
        <v>0</v>
      </c>
      <c r="AW390" t="str">
        <v/>
      </c>
      <c r="AX390">
        <v>255</v>
      </c>
      <c r="AY390" s="5" t="str">
        <v/>
      </c>
      <c r="AZ390">
        <v>0</v>
      </c>
      <c r="BA390">
        <v>0</v>
      </c>
      <c r="BB390">
        <v>0</v>
      </c>
      <c r="BC390">
        <v>0</v>
      </c>
      <c r="BD390">
        <v>0</v>
      </c>
      <c r="BE390">
        <v>0</v>
      </c>
      <c r="BF390">
        <v>0</v>
      </c>
      <c r="BG390">
        <v>0</v>
      </c>
      <c r="BH390">
        <v>0</v>
      </c>
      <c r="BI390" t="str">
        <v/>
      </c>
      <c r="BK390">
        <v>384</v>
      </c>
      <c r="BL390">
        <v>0</v>
      </c>
      <c r="BM390">
        <v>0</v>
      </c>
      <c r="BN390">
        <v>0</v>
      </c>
      <c r="BO390">
        <v>0</v>
      </c>
      <c r="BP390">
        <v>0</v>
      </c>
      <c r="BQ390">
        <v>0</v>
      </c>
      <c r="BR390">
        <v>0</v>
      </c>
      <c r="BS390">
        <v>0</v>
      </c>
      <c r="BT390">
        <v>0</v>
      </c>
      <c r="BU390">
        <v>0</v>
      </c>
      <c r="BV390">
        <v>0</v>
      </c>
      <c r="BW390">
        <v>0</v>
      </c>
      <c r="BX390">
        <v>0</v>
      </c>
      <c r="BY390">
        <v>0</v>
      </c>
      <c r="BZ390">
        <v>0</v>
      </c>
      <c r="CA390">
        <v>0</v>
      </c>
      <c r="CB390">
        <v>0</v>
      </c>
      <c r="CC390">
        <v>0</v>
      </c>
      <c r="CD390">
        <v>0</v>
      </c>
      <c r="CE390">
        <v>0</v>
      </c>
      <c r="CF390">
        <v>0</v>
      </c>
      <c r="CG390">
        <v>0</v>
      </c>
      <c r="CH390">
        <v>0</v>
      </c>
      <c r="CI390">
        <v>0</v>
      </c>
      <c r="CJ390">
        <v>0</v>
      </c>
      <c r="CK390">
        <v>0</v>
      </c>
      <c r="CL390">
        <v>0</v>
      </c>
      <c r="CM390">
        <v>0</v>
      </c>
      <c r="CN390">
        <v>0</v>
      </c>
      <c r="CO390">
        <v>0</v>
      </c>
      <c r="CP390">
        <v>0</v>
      </c>
      <c r="CQ390">
        <v>0</v>
      </c>
      <c r="CR390">
        <v>0</v>
      </c>
      <c r="CS390">
        <v>0</v>
      </c>
      <c r="CT390">
        <v>0</v>
      </c>
      <c r="CU390">
        <v>0</v>
      </c>
      <c r="CV390">
        <v>0</v>
      </c>
      <c r="CW390">
        <v>0</v>
      </c>
      <c r="CX390">
        <v>0</v>
      </c>
      <c r="CY390">
        <v>0</v>
      </c>
      <c r="CZ390">
        <v>0</v>
      </c>
      <c r="DA390">
        <v>0</v>
      </c>
      <c r="DB390">
        <v>0</v>
      </c>
      <c r="DC390">
        <v>0</v>
      </c>
      <c r="DD390">
        <v>0</v>
      </c>
      <c r="DE390">
        <v>0</v>
      </c>
      <c r="DF390">
        <v>0</v>
      </c>
      <c r="DG390">
        <v>0</v>
      </c>
      <c r="DH390">
        <v>0</v>
      </c>
      <c r="DI390">
        <v>0</v>
      </c>
      <c r="DJ390">
        <v>0</v>
      </c>
      <c r="DK390">
        <v>0</v>
      </c>
      <c r="DL390">
        <v>0</v>
      </c>
      <c r="DM390">
        <v>0</v>
      </c>
      <c r="DN390">
        <v>0</v>
      </c>
      <c r="DO390">
        <v>0</v>
      </c>
      <c r="DP390">
        <v>0</v>
      </c>
      <c r="DQ390">
        <v>0</v>
      </c>
      <c r="DR390">
        <v>0</v>
      </c>
      <c r="DS390">
        <v>0</v>
      </c>
      <c r="DT390">
        <v>0</v>
      </c>
      <c r="DU390">
        <v>0</v>
      </c>
      <c r="DV390">
        <v>0</v>
      </c>
      <c r="DW390">
        <v>0</v>
      </c>
      <c r="DX390">
        <v>0</v>
      </c>
      <c r="DY390">
        <v>0</v>
      </c>
      <c r="DZ390">
        <v>0</v>
      </c>
      <c r="EA390">
        <v>0</v>
      </c>
      <c r="EB390">
        <v>0</v>
      </c>
      <c r="EC390">
        <v>0</v>
      </c>
      <c r="ED390">
        <v>0</v>
      </c>
      <c r="EE390">
        <v>0</v>
      </c>
      <c r="EF390">
        <v>0</v>
      </c>
      <c r="EG390">
        <v>0</v>
      </c>
      <c r="EH390">
        <v>0</v>
      </c>
      <c r="EI390">
        <v>0</v>
      </c>
      <c r="EJ390">
        <v>0</v>
      </c>
      <c r="EK390">
        <v>0</v>
      </c>
      <c r="EL390">
        <v>0</v>
      </c>
      <c r="EM390">
        <v>0</v>
      </c>
      <c r="EN390">
        <v>0</v>
      </c>
      <c r="EO390">
        <v>0</v>
      </c>
      <c r="EP390">
        <v>0</v>
      </c>
      <c r="EQ390">
        <v>0</v>
      </c>
      <c r="ER390">
        <v>0</v>
      </c>
      <c r="ES390">
        <v>0</v>
      </c>
      <c r="ET390">
        <v>0</v>
      </c>
      <c r="EU390">
        <v>0</v>
      </c>
      <c r="EV390">
        <v>0</v>
      </c>
      <c r="EW390">
        <v>0</v>
      </c>
      <c r="EX390">
        <v>0</v>
      </c>
      <c r="EY390">
        <v>0</v>
      </c>
      <c r="EZ390">
        <v>0</v>
      </c>
      <c r="FA390">
        <v>0</v>
      </c>
      <c r="FB390">
        <v>0</v>
      </c>
      <c r="FC390">
        <v>0</v>
      </c>
      <c r="FD390">
        <v>0</v>
      </c>
      <c r="FE390">
        <v>0</v>
      </c>
      <c r="FF390">
        <v>0</v>
      </c>
      <c r="FG390">
        <v>0</v>
      </c>
      <c r="FH390">
        <v>0</v>
      </c>
      <c r="FI390">
        <v>0</v>
      </c>
      <c r="FJ390">
        <v>0</v>
      </c>
      <c r="FK390">
        <v>0</v>
      </c>
      <c r="FL390">
        <v>0</v>
      </c>
      <c r="FM390">
        <v>0</v>
      </c>
      <c r="FN390">
        <v>0</v>
      </c>
      <c r="FO390">
        <v>0</v>
      </c>
      <c r="FP390">
        <v>0</v>
      </c>
      <c r="FQ390">
        <v>0</v>
      </c>
      <c r="FR390">
        <v>0</v>
      </c>
      <c r="FS390">
        <v>0</v>
      </c>
      <c r="FT390">
        <v>0</v>
      </c>
      <c r="FU390">
        <v>0</v>
      </c>
      <c r="FV390">
        <v>0</v>
      </c>
      <c r="FW390">
        <v>0</v>
      </c>
      <c r="FX390">
        <v>0</v>
      </c>
      <c r="FY390">
        <v>0</v>
      </c>
      <c r="FZ390">
        <v>0</v>
      </c>
      <c r="GA390">
        <v>0</v>
      </c>
      <c r="GB390">
        <v>0</v>
      </c>
      <c r="GC390">
        <v>0</v>
      </c>
      <c r="GD390">
        <v>0</v>
      </c>
      <c r="GE390">
        <v>0</v>
      </c>
      <c r="GF390">
        <v>0</v>
      </c>
      <c r="GG390">
        <v>0</v>
      </c>
      <c r="GH390">
        <v>0</v>
      </c>
      <c r="GI390">
        <v>0</v>
      </c>
      <c r="GJ390">
        <v>0</v>
      </c>
      <c r="GK390">
        <v>0</v>
      </c>
      <c r="GL390">
        <v>0</v>
      </c>
      <c r="GM390">
        <v>0</v>
      </c>
      <c r="GN390">
        <v>0</v>
      </c>
      <c r="GO390">
        <v>0</v>
      </c>
      <c r="GP390">
        <v>0</v>
      </c>
      <c r="GQ390">
        <v>0</v>
      </c>
      <c r="GR390">
        <v>0</v>
      </c>
      <c r="GS390">
        <v>0</v>
      </c>
      <c r="GT390">
        <v>0</v>
      </c>
      <c r="GU390">
        <v>0</v>
      </c>
      <c r="GV390">
        <v>0</v>
      </c>
      <c r="GW390">
        <v>0</v>
      </c>
      <c r="GX390">
        <v>0</v>
      </c>
      <c r="GY390">
        <v>0</v>
      </c>
      <c r="GZ390">
        <v>0</v>
      </c>
      <c r="HA390">
        <v>0</v>
      </c>
      <c r="HB390">
        <v>0</v>
      </c>
      <c r="HC390">
        <v>0</v>
      </c>
      <c r="HD390">
        <v>0</v>
      </c>
      <c r="HE390">
        <v>0</v>
      </c>
      <c r="HF390">
        <v>0</v>
      </c>
      <c r="HG390">
        <v>0</v>
      </c>
      <c r="HH390">
        <v>0</v>
      </c>
      <c r="HI390">
        <v>0</v>
      </c>
      <c r="HJ390">
        <v>0</v>
      </c>
      <c r="HK390">
        <v>0</v>
      </c>
      <c r="HL390">
        <v>0</v>
      </c>
      <c r="HM390">
        <v>0</v>
      </c>
      <c r="HN390">
        <v>0</v>
      </c>
      <c r="HO390">
        <v>0</v>
      </c>
      <c r="HP390">
        <v>0</v>
      </c>
      <c r="HQ390">
        <v>0</v>
      </c>
      <c r="HR390">
        <v>0</v>
      </c>
      <c r="HS390">
        <v>0</v>
      </c>
      <c r="HT390">
        <v>0</v>
      </c>
      <c r="HU390">
        <v>0</v>
      </c>
      <c r="HV390">
        <v>0</v>
      </c>
      <c r="HW390">
        <v>0</v>
      </c>
      <c r="HX390">
        <v>0</v>
      </c>
      <c r="HY390">
        <v>0</v>
      </c>
      <c r="HZ390">
        <v>0</v>
      </c>
      <c r="IA390">
        <v>0</v>
      </c>
      <c r="IB390">
        <v>0</v>
      </c>
      <c r="IC390">
        <v>0</v>
      </c>
      <c r="ID390">
        <v>0</v>
      </c>
      <c r="IE390">
        <v>0</v>
      </c>
      <c r="IF390">
        <v>0</v>
      </c>
      <c r="IG390">
        <v>0</v>
      </c>
      <c r="IH390">
        <v>0</v>
      </c>
      <c r="II390">
        <v>0</v>
      </c>
      <c r="IJ390">
        <v>0</v>
      </c>
      <c r="IK390">
        <v>0</v>
      </c>
      <c r="IL390">
        <v>0</v>
      </c>
      <c r="IM390">
        <v>0</v>
      </c>
      <c r="IN390">
        <v>0</v>
      </c>
      <c r="IO390">
        <v>0</v>
      </c>
      <c r="IP390">
        <v>0</v>
      </c>
      <c r="IQ390">
        <v>0</v>
      </c>
      <c r="IR390">
        <v>0</v>
      </c>
      <c r="IS390">
        <v>0</v>
      </c>
      <c r="IT390">
        <v>0</v>
      </c>
      <c r="IU390">
        <v>0</v>
      </c>
      <c r="IV390">
        <v>0</v>
      </c>
      <c r="IW390">
        <v>0</v>
      </c>
      <c r="IX390">
        <v>0</v>
      </c>
      <c r="IY390">
        <v>0</v>
      </c>
      <c r="IZ390">
        <v>0</v>
      </c>
      <c r="JA390">
        <v>0</v>
      </c>
      <c r="JB390">
        <v>0</v>
      </c>
      <c r="JC390">
        <v>0</v>
      </c>
      <c r="JD390">
        <v>0</v>
      </c>
      <c r="JE390">
        <v>0</v>
      </c>
      <c r="JF390">
        <v>0</v>
      </c>
      <c r="JG390">
        <v>0</v>
      </c>
      <c r="JH390">
        <v>0</v>
      </c>
      <c r="JI390">
        <v>0</v>
      </c>
      <c r="JJ390">
        <v>0</v>
      </c>
      <c r="JK390">
        <v>0</v>
      </c>
      <c r="JL390">
        <v>0</v>
      </c>
      <c r="JM390">
        <v>0</v>
      </c>
      <c r="JN390">
        <v>0</v>
      </c>
      <c r="JO390">
        <v>0</v>
      </c>
      <c r="JP390">
        <v>0</v>
      </c>
      <c r="JQ390">
        <v>0</v>
      </c>
      <c r="JR390">
        <v>0</v>
      </c>
      <c r="JS390">
        <v>0</v>
      </c>
      <c r="JT390">
        <v>0</v>
      </c>
      <c r="JU390">
        <v>0</v>
      </c>
      <c r="JV390">
        <v>0</v>
      </c>
      <c r="JW390">
        <v>0</v>
      </c>
      <c r="JX390">
        <v>0</v>
      </c>
      <c r="JY390">
        <v>0</v>
      </c>
      <c r="JZ390">
        <v>0</v>
      </c>
      <c r="KA390">
        <v>0</v>
      </c>
      <c r="KB390">
        <v>0</v>
      </c>
      <c r="KC390">
        <v>0</v>
      </c>
      <c r="KD390">
        <v>0</v>
      </c>
      <c r="KE390">
        <v>0</v>
      </c>
      <c r="KF390">
        <v>0</v>
      </c>
      <c r="KG390">
        <v>0</v>
      </c>
      <c r="KH390">
        <v>0</v>
      </c>
      <c r="KI390">
        <v>0</v>
      </c>
      <c r="KJ390">
        <v>0</v>
      </c>
      <c r="KK390">
        <v>0</v>
      </c>
      <c r="KL390">
        <v>0</v>
      </c>
      <c r="KM390">
        <v>0</v>
      </c>
      <c r="KN390">
        <v>0</v>
      </c>
      <c r="KO390">
        <v>0</v>
      </c>
      <c r="KP390">
        <v>0</v>
      </c>
      <c r="KQ390">
        <v>0</v>
      </c>
      <c r="KR390">
        <v>0</v>
      </c>
      <c r="KS390">
        <v>0</v>
      </c>
      <c r="KT390">
        <v>0</v>
      </c>
      <c r="KU390">
        <v>0</v>
      </c>
      <c r="KV390">
        <v>0</v>
      </c>
      <c r="KW390">
        <v>0</v>
      </c>
      <c r="KX390">
        <v>0</v>
      </c>
      <c r="KY390">
        <v>0</v>
      </c>
      <c r="KZ390">
        <v>0</v>
      </c>
      <c r="LA390">
        <v>0</v>
      </c>
      <c r="LB390">
        <v>0</v>
      </c>
      <c r="LC390">
        <v>0</v>
      </c>
      <c r="LD390">
        <v>0</v>
      </c>
      <c r="LE390">
        <v>0</v>
      </c>
      <c r="LF390">
        <v>0</v>
      </c>
      <c r="LG390">
        <v>0</v>
      </c>
      <c r="LH390">
        <v>0</v>
      </c>
      <c r="LI390">
        <v>0</v>
      </c>
      <c r="LJ390">
        <v>0</v>
      </c>
      <c r="LK390">
        <v>0</v>
      </c>
      <c r="LL390">
        <v>0</v>
      </c>
      <c r="LM390">
        <v>0</v>
      </c>
      <c r="LN390">
        <v>0</v>
      </c>
      <c r="LO390">
        <v>0</v>
      </c>
      <c r="LP390">
        <v>0</v>
      </c>
      <c r="LQ390">
        <v>0</v>
      </c>
      <c r="LR390">
        <v>0</v>
      </c>
      <c r="LS390">
        <v>0</v>
      </c>
      <c r="LT390">
        <v>0</v>
      </c>
      <c r="LU390">
        <v>0</v>
      </c>
      <c r="LV390">
        <v>0</v>
      </c>
      <c r="LW390">
        <v>0</v>
      </c>
      <c r="LX390">
        <v>0</v>
      </c>
      <c r="LY390">
        <v>0</v>
      </c>
      <c r="LZ390">
        <v>0</v>
      </c>
      <c r="MA390">
        <v>0</v>
      </c>
      <c r="MB390">
        <v>0</v>
      </c>
      <c r="MC390">
        <v>0</v>
      </c>
      <c r="MD390">
        <v>0</v>
      </c>
      <c r="ME390">
        <v>0</v>
      </c>
      <c r="MF390">
        <v>0</v>
      </c>
      <c r="MG390">
        <v>0</v>
      </c>
      <c r="MH390">
        <v>0</v>
      </c>
      <c r="MI390">
        <v>0</v>
      </c>
      <c r="MJ390">
        <v>0</v>
      </c>
      <c r="MK390">
        <v>0</v>
      </c>
      <c r="ML390">
        <v>0</v>
      </c>
      <c r="MM390">
        <v>0</v>
      </c>
      <c r="MN390">
        <v>0</v>
      </c>
      <c r="MO390">
        <v>0</v>
      </c>
      <c r="MP390">
        <v>0</v>
      </c>
      <c r="MQ390">
        <v>0</v>
      </c>
      <c r="MR390">
        <v>0</v>
      </c>
      <c r="MS390">
        <v>0</v>
      </c>
      <c r="MT390">
        <v>0</v>
      </c>
      <c r="MU390">
        <v>0</v>
      </c>
      <c r="MV390">
        <v>0</v>
      </c>
      <c r="MW390">
        <v>0</v>
      </c>
      <c r="MX390">
        <v>0</v>
      </c>
      <c r="MY390">
        <v>0</v>
      </c>
      <c r="MZ390">
        <v>0</v>
      </c>
      <c r="NA390">
        <v>0</v>
      </c>
      <c r="NB390">
        <v>0</v>
      </c>
      <c r="NC390">
        <v>0</v>
      </c>
      <c r="ND390">
        <v>0</v>
      </c>
      <c r="NE390">
        <v>0</v>
      </c>
    </row>
    <row r="391" spans="41:369" x14ac:dyDescent="0.45">
      <c r="AO391">
        <v>0</v>
      </c>
      <c r="AP391">
        <v>0</v>
      </c>
      <c r="AQ391">
        <v>0</v>
      </c>
      <c r="AR391">
        <v>0</v>
      </c>
      <c r="AS391">
        <v>0</v>
      </c>
      <c r="AT391">
        <v>0</v>
      </c>
      <c r="AU391">
        <v>0</v>
      </c>
      <c r="AV391">
        <v>0</v>
      </c>
      <c r="AW391" t="str">
        <v/>
      </c>
      <c r="AX391">
        <v>255</v>
      </c>
      <c r="AY391" s="5" t="str">
        <v/>
      </c>
      <c r="AZ391">
        <v>0</v>
      </c>
      <c r="BA391">
        <v>0</v>
      </c>
      <c r="BB391">
        <v>0</v>
      </c>
      <c r="BC391">
        <v>0</v>
      </c>
      <c r="BD391">
        <v>0</v>
      </c>
      <c r="BE391">
        <v>0</v>
      </c>
      <c r="BF391">
        <v>0</v>
      </c>
      <c r="BG391">
        <v>0</v>
      </c>
      <c r="BH391">
        <v>0</v>
      </c>
      <c r="BI391" t="str">
        <v/>
      </c>
      <c r="BK391">
        <v>385</v>
      </c>
      <c r="BL391">
        <v>0</v>
      </c>
      <c r="BM391">
        <v>0</v>
      </c>
      <c r="BN391">
        <v>0</v>
      </c>
      <c r="BO391">
        <v>0</v>
      </c>
      <c r="BP391">
        <v>0</v>
      </c>
      <c r="BQ391">
        <v>0</v>
      </c>
      <c r="BR391">
        <v>0</v>
      </c>
      <c r="BS391">
        <v>0</v>
      </c>
      <c r="BT391">
        <v>0</v>
      </c>
      <c r="BU391">
        <v>0</v>
      </c>
      <c r="BV391">
        <v>0</v>
      </c>
      <c r="BW391">
        <v>0</v>
      </c>
      <c r="BX391">
        <v>0</v>
      </c>
      <c r="BY391">
        <v>0</v>
      </c>
      <c r="BZ391">
        <v>0</v>
      </c>
      <c r="CA391">
        <v>0</v>
      </c>
      <c r="CB391">
        <v>0</v>
      </c>
      <c r="CC391">
        <v>0</v>
      </c>
      <c r="CD391">
        <v>0</v>
      </c>
      <c r="CE391">
        <v>0</v>
      </c>
      <c r="CF391">
        <v>0</v>
      </c>
      <c r="CG391">
        <v>0</v>
      </c>
      <c r="CH391">
        <v>0</v>
      </c>
      <c r="CI391">
        <v>0</v>
      </c>
      <c r="CJ391">
        <v>0</v>
      </c>
      <c r="CK391">
        <v>0</v>
      </c>
      <c r="CL391">
        <v>0</v>
      </c>
      <c r="CM391">
        <v>0</v>
      </c>
      <c r="CN391">
        <v>0</v>
      </c>
      <c r="CO391">
        <v>0</v>
      </c>
      <c r="CP391">
        <v>0</v>
      </c>
      <c r="CQ391">
        <v>0</v>
      </c>
      <c r="CR391">
        <v>0</v>
      </c>
      <c r="CS391">
        <v>0</v>
      </c>
      <c r="CT391">
        <v>0</v>
      </c>
      <c r="CU391">
        <v>0</v>
      </c>
      <c r="CV391">
        <v>0</v>
      </c>
      <c r="CW391">
        <v>0</v>
      </c>
      <c r="CX391">
        <v>0</v>
      </c>
      <c r="CY391">
        <v>0</v>
      </c>
      <c r="CZ391">
        <v>0</v>
      </c>
      <c r="DA391">
        <v>0</v>
      </c>
      <c r="DB391">
        <v>0</v>
      </c>
      <c r="DC391">
        <v>0</v>
      </c>
      <c r="DD391">
        <v>0</v>
      </c>
      <c r="DE391">
        <v>0</v>
      </c>
      <c r="DF391">
        <v>0</v>
      </c>
      <c r="DG391">
        <v>0</v>
      </c>
      <c r="DH391">
        <v>0</v>
      </c>
      <c r="DI391">
        <v>0</v>
      </c>
      <c r="DJ391">
        <v>0</v>
      </c>
      <c r="DK391">
        <v>0</v>
      </c>
      <c r="DL391">
        <v>0</v>
      </c>
      <c r="DM391">
        <v>0</v>
      </c>
      <c r="DN391">
        <v>0</v>
      </c>
      <c r="DO391">
        <v>0</v>
      </c>
      <c r="DP391">
        <v>0</v>
      </c>
      <c r="DQ391">
        <v>0</v>
      </c>
      <c r="DR391">
        <v>0</v>
      </c>
      <c r="DS391">
        <v>0</v>
      </c>
      <c r="DT391">
        <v>0</v>
      </c>
      <c r="DU391">
        <v>0</v>
      </c>
      <c r="DV391">
        <v>0</v>
      </c>
      <c r="DW391">
        <v>0</v>
      </c>
      <c r="DX391">
        <v>0</v>
      </c>
      <c r="DY391">
        <v>0</v>
      </c>
      <c r="DZ391">
        <v>0</v>
      </c>
      <c r="EA391">
        <v>0</v>
      </c>
      <c r="EB391">
        <v>0</v>
      </c>
      <c r="EC391">
        <v>0</v>
      </c>
      <c r="ED391">
        <v>0</v>
      </c>
      <c r="EE391">
        <v>0</v>
      </c>
      <c r="EF391">
        <v>0</v>
      </c>
      <c r="EG391">
        <v>0</v>
      </c>
      <c r="EH391">
        <v>0</v>
      </c>
      <c r="EI391">
        <v>0</v>
      </c>
      <c r="EJ391">
        <v>0</v>
      </c>
      <c r="EK391">
        <v>0</v>
      </c>
      <c r="EL391">
        <v>0</v>
      </c>
      <c r="EM391">
        <v>0</v>
      </c>
      <c r="EN391">
        <v>0</v>
      </c>
      <c r="EO391">
        <v>0</v>
      </c>
      <c r="EP391">
        <v>0</v>
      </c>
      <c r="EQ391">
        <v>0</v>
      </c>
      <c r="ER391">
        <v>0</v>
      </c>
      <c r="ES391">
        <v>0</v>
      </c>
      <c r="ET391">
        <v>0</v>
      </c>
      <c r="EU391">
        <v>0</v>
      </c>
      <c r="EV391">
        <v>0</v>
      </c>
      <c r="EW391">
        <v>0</v>
      </c>
      <c r="EX391">
        <v>0</v>
      </c>
      <c r="EY391">
        <v>0</v>
      </c>
      <c r="EZ391">
        <v>0</v>
      </c>
      <c r="FA391">
        <v>0</v>
      </c>
      <c r="FB391">
        <v>0</v>
      </c>
      <c r="FC391">
        <v>0</v>
      </c>
      <c r="FD391">
        <v>0</v>
      </c>
      <c r="FE391">
        <v>0</v>
      </c>
      <c r="FF391">
        <v>0</v>
      </c>
      <c r="FG391">
        <v>0</v>
      </c>
      <c r="FH391">
        <v>0</v>
      </c>
      <c r="FI391">
        <v>0</v>
      </c>
      <c r="FJ391">
        <v>0</v>
      </c>
      <c r="FK391">
        <v>0</v>
      </c>
      <c r="FL391">
        <v>0</v>
      </c>
      <c r="FM391">
        <v>0</v>
      </c>
      <c r="FN391">
        <v>0</v>
      </c>
      <c r="FO391">
        <v>0</v>
      </c>
      <c r="FP391">
        <v>0</v>
      </c>
      <c r="FQ391">
        <v>0</v>
      </c>
      <c r="FR391">
        <v>0</v>
      </c>
      <c r="FS391">
        <v>0</v>
      </c>
      <c r="FT391">
        <v>0</v>
      </c>
      <c r="FU391">
        <v>0</v>
      </c>
      <c r="FV391">
        <v>0</v>
      </c>
      <c r="FW391">
        <v>0</v>
      </c>
      <c r="FX391">
        <v>0</v>
      </c>
      <c r="FY391">
        <v>0</v>
      </c>
      <c r="FZ391">
        <v>0</v>
      </c>
      <c r="GA391">
        <v>0</v>
      </c>
      <c r="GB391">
        <v>0</v>
      </c>
      <c r="GC391">
        <v>0</v>
      </c>
      <c r="GD391">
        <v>0</v>
      </c>
      <c r="GE391">
        <v>0</v>
      </c>
      <c r="GF391">
        <v>0</v>
      </c>
      <c r="GG391">
        <v>0</v>
      </c>
      <c r="GH391">
        <v>0</v>
      </c>
      <c r="GI391">
        <v>0</v>
      </c>
      <c r="GJ391">
        <v>0</v>
      </c>
      <c r="GK391">
        <v>0</v>
      </c>
      <c r="GL391">
        <v>0</v>
      </c>
      <c r="GM391">
        <v>0</v>
      </c>
      <c r="GN391">
        <v>0</v>
      </c>
      <c r="GO391">
        <v>0</v>
      </c>
      <c r="GP391">
        <v>0</v>
      </c>
      <c r="GQ391">
        <v>0</v>
      </c>
      <c r="GR391">
        <v>0</v>
      </c>
      <c r="GS391">
        <v>0</v>
      </c>
      <c r="GT391">
        <v>0</v>
      </c>
      <c r="GU391">
        <v>0</v>
      </c>
      <c r="GV391">
        <v>0</v>
      </c>
      <c r="GW391">
        <v>0</v>
      </c>
      <c r="GX391">
        <v>0</v>
      </c>
      <c r="GY391">
        <v>0</v>
      </c>
      <c r="GZ391">
        <v>0</v>
      </c>
      <c r="HA391">
        <v>0</v>
      </c>
      <c r="HB391">
        <v>0</v>
      </c>
      <c r="HC391">
        <v>0</v>
      </c>
      <c r="HD391">
        <v>0</v>
      </c>
      <c r="HE391">
        <v>0</v>
      </c>
      <c r="HF391">
        <v>0</v>
      </c>
      <c r="HG391">
        <v>0</v>
      </c>
      <c r="HH391">
        <v>0</v>
      </c>
      <c r="HI391">
        <v>0</v>
      </c>
      <c r="HJ391">
        <v>0</v>
      </c>
      <c r="HK391">
        <v>0</v>
      </c>
      <c r="HL391">
        <v>0</v>
      </c>
      <c r="HM391">
        <v>0</v>
      </c>
      <c r="HN391">
        <v>0</v>
      </c>
      <c r="HO391">
        <v>0</v>
      </c>
      <c r="HP391">
        <v>0</v>
      </c>
      <c r="HQ391">
        <v>0</v>
      </c>
      <c r="HR391">
        <v>0</v>
      </c>
      <c r="HS391">
        <v>0</v>
      </c>
      <c r="HT391">
        <v>0</v>
      </c>
      <c r="HU391">
        <v>0</v>
      </c>
      <c r="HV391">
        <v>0</v>
      </c>
      <c r="HW391">
        <v>0</v>
      </c>
      <c r="HX391">
        <v>0</v>
      </c>
      <c r="HY391">
        <v>0</v>
      </c>
      <c r="HZ391">
        <v>0</v>
      </c>
      <c r="IA391">
        <v>0</v>
      </c>
      <c r="IB391">
        <v>0</v>
      </c>
      <c r="IC391">
        <v>0</v>
      </c>
      <c r="ID391">
        <v>0</v>
      </c>
      <c r="IE391">
        <v>0</v>
      </c>
      <c r="IF391">
        <v>0</v>
      </c>
      <c r="IG391">
        <v>0</v>
      </c>
      <c r="IH391">
        <v>0</v>
      </c>
      <c r="II391">
        <v>0</v>
      </c>
      <c r="IJ391">
        <v>0</v>
      </c>
      <c r="IK391">
        <v>0</v>
      </c>
      <c r="IL391">
        <v>0</v>
      </c>
      <c r="IM391">
        <v>0</v>
      </c>
      <c r="IN391">
        <v>0</v>
      </c>
      <c r="IO391">
        <v>0</v>
      </c>
      <c r="IP391">
        <v>0</v>
      </c>
      <c r="IQ391">
        <v>0</v>
      </c>
      <c r="IR391">
        <v>0</v>
      </c>
      <c r="IS391">
        <v>0</v>
      </c>
      <c r="IT391">
        <v>0</v>
      </c>
      <c r="IU391">
        <v>0</v>
      </c>
      <c r="IV391">
        <v>0</v>
      </c>
      <c r="IW391">
        <v>0</v>
      </c>
      <c r="IX391">
        <v>0</v>
      </c>
      <c r="IY391">
        <v>0</v>
      </c>
      <c r="IZ391">
        <v>0</v>
      </c>
      <c r="JA391">
        <v>0</v>
      </c>
      <c r="JB391">
        <v>0</v>
      </c>
      <c r="JC391">
        <v>0</v>
      </c>
      <c r="JD391">
        <v>0</v>
      </c>
      <c r="JE391">
        <v>0</v>
      </c>
      <c r="JF391">
        <v>0</v>
      </c>
      <c r="JG391">
        <v>0</v>
      </c>
      <c r="JH391">
        <v>0</v>
      </c>
      <c r="JI391">
        <v>0</v>
      </c>
      <c r="JJ391">
        <v>0</v>
      </c>
      <c r="JK391">
        <v>0</v>
      </c>
      <c r="JL391">
        <v>0</v>
      </c>
      <c r="JM391">
        <v>0</v>
      </c>
      <c r="JN391">
        <v>0</v>
      </c>
      <c r="JO391">
        <v>0</v>
      </c>
      <c r="JP391">
        <v>0</v>
      </c>
      <c r="JQ391">
        <v>0</v>
      </c>
      <c r="JR391">
        <v>0</v>
      </c>
      <c r="JS391">
        <v>0</v>
      </c>
      <c r="JT391">
        <v>0</v>
      </c>
      <c r="JU391">
        <v>0</v>
      </c>
      <c r="JV391">
        <v>0</v>
      </c>
      <c r="JW391">
        <v>0</v>
      </c>
      <c r="JX391">
        <v>0</v>
      </c>
      <c r="JY391">
        <v>0</v>
      </c>
      <c r="JZ391">
        <v>0</v>
      </c>
      <c r="KA391">
        <v>0</v>
      </c>
      <c r="KB391">
        <v>0</v>
      </c>
      <c r="KC391">
        <v>0</v>
      </c>
      <c r="KD391">
        <v>0</v>
      </c>
      <c r="KE391">
        <v>0</v>
      </c>
      <c r="KF391">
        <v>0</v>
      </c>
      <c r="KG391">
        <v>0</v>
      </c>
      <c r="KH391">
        <v>0</v>
      </c>
      <c r="KI391">
        <v>0</v>
      </c>
      <c r="KJ391">
        <v>0</v>
      </c>
      <c r="KK391">
        <v>0</v>
      </c>
      <c r="KL391">
        <v>0</v>
      </c>
      <c r="KM391">
        <v>0</v>
      </c>
      <c r="KN391">
        <v>0</v>
      </c>
      <c r="KO391">
        <v>0</v>
      </c>
      <c r="KP391">
        <v>0</v>
      </c>
      <c r="KQ391">
        <v>0</v>
      </c>
      <c r="KR391">
        <v>0</v>
      </c>
      <c r="KS391">
        <v>0</v>
      </c>
      <c r="KT391">
        <v>0</v>
      </c>
      <c r="KU391">
        <v>0</v>
      </c>
      <c r="KV391">
        <v>0</v>
      </c>
      <c r="KW391">
        <v>0</v>
      </c>
      <c r="KX391">
        <v>0</v>
      </c>
      <c r="KY391">
        <v>0</v>
      </c>
      <c r="KZ391">
        <v>0</v>
      </c>
      <c r="LA391">
        <v>0</v>
      </c>
      <c r="LB391">
        <v>0</v>
      </c>
      <c r="LC391">
        <v>0</v>
      </c>
      <c r="LD391">
        <v>0</v>
      </c>
      <c r="LE391">
        <v>0</v>
      </c>
      <c r="LF391">
        <v>0</v>
      </c>
      <c r="LG391">
        <v>0</v>
      </c>
      <c r="LH391">
        <v>0</v>
      </c>
      <c r="LI391">
        <v>0</v>
      </c>
      <c r="LJ391">
        <v>0</v>
      </c>
      <c r="LK391">
        <v>0</v>
      </c>
      <c r="LL391">
        <v>0</v>
      </c>
      <c r="LM391">
        <v>0</v>
      </c>
      <c r="LN391">
        <v>0</v>
      </c>
      <c r="LO391">
        <v>0</v>
      </c>
      <c r="LP391">
        <v>0</v>
      </c>
      <c r="LQ391">
        <v>0</v>
      </c>
      <c r="LR391">
        <v>0</v>
      </c>
      <c r="LS391">
        <v>0</v>
      </c>
      <c r="LT391">
        <v>0</v>
      </c>
      <c r="LU391">
        <v>0</v>
      </c>
      <c r="LV391">
        <v>0</v>
      </c>
      <c r="LW391">
        <v>0</v>
      </c>
      <c r="LX391">
        <v>0</v>
      </c>
      <c r="LY391">
        <v>0</v>
      </c>
      <c r="LZ391">
        <v>0</v>
      </c>
      <c r="MA391">
        <v>0</v>
      </c>
      <c r="MB391">
        <v>0</v>
      </c>
      <c r="MC391">
        <v>0</v>
      </c>
      <c r="MD391">
        <v>0</v>
      </c>
      <c r="ME391">
        <v>0</v>
      </c>
      <c r="MF391">
        <v>0</v>
      </c>
      <c r="MG391">
        <v>0</v>
      </c>
      <c r="MH391">
        <v>0</v>
      </c>
      <c r="MI391">
        <v>0</v>
      </c>
      <c r="MJ391">
        <v>0</v>
      </c>
      <c r="MK391">
        <v>0</v>
      </c>
      <c r="ML391">
        <v>0</v>
      </c>
      <c r="MM391">
        <v>0</v>
      </c>
      <c r="MN391">
        <v>0</v>
      </c>
      <c r="MO391">
        <v>0</v>
      </c>
      <c r="MP391">
        <v>0</v>
      </c>
      <c r="MQ391">
        <v>0</v>
      </c>
      <c r="MR391">
        <v>0</v>
      </c>
      <c r="MS391">
        <v>0</v>
      </c>
      <c r="MT391">
        <v>0</v>
      </c>
      <c r="MU391">
        <v>0</v>
      </c>
      <c r="MV391">
        <v>0</v>
      </c>
      <c r="MW391">
        <v>0</v>
      </c>
      <c r="MX391">
        <v>0</v>
      </c>
      <c r="MY391">
        <v>0</v>
      </c>
      <c r="MZ391">
        <v>0</v>
      </c>
      <c r="NA391">
        <v>0</v>
      </c>
      <c r="NB391">
        <v>0</v>
      </c>
      <c r="NC391">
        <v>0</v>
      </c>
      <c r="ND391">
        <v>0</v>
      </c>
      <c r="NE391">
        <v>0</v>
      </c>
    </row>
    <row r="392" spans="41:369" x14ac:dyDescent="0.45">
      <c r="AO392">
        <v>0</v>
      </c>
      <c r="AP392">
        <v>0</v>
      </c>
      <c r="AQ392">
        <v>0</v>
      </c>
      <c r="AR392">
        <v>0</v>
      </c>
      <c r="AS392">
        <v>0</v>
      </c>
      <c r="AT392">
        <v>0</v>
      </c>
      <c r="AU392">
        <v>0</v>
      </c>
      <c r="AV392">
        <v>0</v>
      </c>
      <c r="AW392" t="str">
        <v/>
      </c>
      <c r="AX392">
        <v>255</v>
      </c>
      <c r="AY392" s="5" t="str">
        <v/>
      </c>
      <c r="AZ392">
        <v>0</v>
      </c>
      <c r="BA392">
        <v>0</v>
      </c>
      <c r="BB392">
        <v>0</v>
      </c>
      <c r="BC392">
        <v>0</v>
      </c>
      <c r="BD392">
        <v>0</v>
      </c>
      <c r="BE392">
        <v>0</v>
      </c>
      <c r="BF392">
        <v>0</v>
      </c>
      <c r="BG392">
        <v>0</v>
      </c>
      <c r="BH392">
        <v>0</v>
      </c>
      <c r="BI392" t="str">
        <v/>
      </c>
      <c r="BK392">
        <v>386</v>
      </c>
      <c r="BL392">
        <v>0</v>
      </c>
      <c r="BM392">
        <v>0</v>
      </c>
      <c r="BN392">
        <v>0</v>
      </c>
      <c r="BO392">
        <v>0</v>
      </c>
      <c r="BP392">
        <v>0</v>
      </c>
      <c r="BQ392">
        <v>0</v>
      </c>
      <c r="BR392">
        <v>0</v>
      </c>
      <c r="BS392">
        <v>0</v>
      </c>
      <c r="BT392">
        <v>0</v>
      </c>
      <c r="BU392">
        <v>0</v>
      </c>
      <c r="BV392">
        <v>0</v>
      </c>
      <c r="BW392">
        <v>0</v>
      </c>
      <c r="BX392">
        <v>0</v>
      </c>
      <c r="BY392">
        <v>0</v>
      </c>
      <c r="BZ392">
        <v>0</v>
      </c>
      <c r="CA392">
        <v>0</v>
      </c>
      <c r="CB392">
        <v>0</v>
      </c>
      <c r="CC392">
        <v>0</v>
      </c>
      <c r="CD392">
        <v>0</v>
      </c>
      <c r="CE392">
        <v>0</v>
      </c>
      <c r="CF392">
        <v>0</v>
      </c>
      <c r="CG392">
        <v>0</v>
      </c>
      <c r="CH392">
        <v>0</v>
      </c>
      <c r="CI392">
        <v>0</v>
      </c>
      <c r="CJ392">
        <v>0</v>
      </c>
      <c r="CK392">
        <v>0</v>
      </c>
      <c r="CL392">
        <v>0</v>
      </c>
      <c r="CM392">
        <v>0</v>
      </c>
      <c r="CN392">
        <v>0</v>
      </c>
      <c r="CO392">
        <v>0</v>
      </c>
      <c r="CP392">
        <v>0</v>
      </c>
      <c r="CQ392">
        <v>0</v>
      </c>
      <c r="CR392">
        <v>0</v>
      </c>
      <c r="CS392">
        <v>0</v>
      </c>
      <c r="CT392">
        <v>0</v>
      </c>
      <c r="CU392">
        <v>0</v>
      </c>
      <c r="CV392">
        <v>0</v>
      </c>
      <c r="CW392">
        <v>0</v>
      </c>
      <c r="CX392">
        <v>0</v>
      </c>
      <c r="CY392">
        <v>0</v>
      </c>
      <c r="CZ392">
        <v>0</v>
      </c>
      <c r="DA392">
        <v>0</v>
      </c>
      <c r="DB392">
        <v>0</v>
      </c>
      <c r="DC392">
        <v>0</v>
      </c>
      <c r="DD392">
        <v>0</v>
      </c>
      <c r="DE392">
        <v>0</v>
      </c>
      <c r="DF392">
        <v>0</v>
      </c>
      <c r="DG392">
        <v>0</v>
      </c>
      <c r="DH392">
        <v>0</v>
      </c>
      <c r="DI392">
        <v>0</v>
      </c>
      <c r="DJ392">
        <v>0</v>
      </c>
      <c r="DK392">
        <v>0</v>
      </c>
      <c r="DL392">
        <v>0</v>
      </c>
      <c r="DM392">
        <v>0</v>
      </c>
      <c r="DN392">
        <v>0</v>
      </c>
      <c r="DO392">
        <v>0</v>
      </c>
      <c r="DP392">
        <v>0</v>
      </c>
      <c r="DQ392">
        <v>0</v>
      </c>
      <c r="DR392">
        <v>0</v>
      </c>
      <c r="DS392">
        <v>0</v>
      </c>
      <c r="DT392">
        <v>0</v>
      </c>
      <c r="DU392">
        <v>0</v>
      </c>
      <c r="DV392">
        <v>0</v>
      </c>
      <c r="DW392">
        <v>0</v>
      </c>
      <c r="DX392">
        <v>0</v>
      </c>
      <c r="DY392">
        <v>0</v>
      </c>
      <c r="DZ392">
        <v>0</v>
      </c>
      <c r="EA392">
        <v>0</v>
      </c>
      <c r="EB392">
        <v>0</v>
      </c>
      <c r="EC392">
        <v>0</v>
      </c>
      <c r="ED392">
        <v>0</v>
      </c>
      <c r="EE392">
        <v>0</v>
      </c>
      <c r="EF392">
        <v>0</v>
      </c>
      <c r="EG392">
        <v>0</v>
      </c>
      <c r="EH392">
        <v>0</v>
      </c>
      <c r="EI392">
        <v>0</v>
      </c>
      <c r="EJ392">
        <v>0</v>
      </c>
      <c r="EK392">
        <v>0</v>
      </c>
      <c r="EL392">
        <v>0</v>
      </c>
      <c r="EM392">
        <v>0</v>
      </c>
      <c r="EN392">
        <v>0</v>
      </c>
      <c r="EO392">
        <v>0</v>
      </c>
      <c r="EP392">
        <v>0</v>
      </c>
      <c r="EQ392">
        <v>0</v>
      </c>
      <c r="ER392">
        <v>0</v>
      </c>
      <c r="ES392">
        <v>0</v>
      </c>
      <c r="ET392">
        <v>0</v>
      </c>
      <c r="EU392">
        <v>0</v>
      </c>
      <c r="EV392">
        <v>0</v>
      </c>
      <c r="EW392">
        <v>0</v>
      </c>
      <c r="EX392">
        <v>0</v>
      </c>
      <c r="EY392">
        <v>0</v>
      </c>
      <c r="EZ392">
        <v>0</v>
      </c>
      <c r="FA392">
        <v>0</v>
      </c>
      <c r="FB392">
        <v>0</v>
      </c>
      <c r="FC392">
        <v>0</v>
      </c>
      <c r="FD392">
        <v>0</v>
      </c>
      <c r="FE392">
        <v>0</v>
      </c>
      <c r="FF392">
        <v>0</v>
      </c>
      <c r="FG392">
        <v>0</v>
      </c>
      <c r="FH392">
        <v>0</v>
      </c>
      <c r="FI392">
        <v>0</v>
      </c>
      <c r="FJ392">
        <v>0</v>
      </c>
      <c r="FK392">
        <v>0</v>
      </c>
      <c r="FL392">
        <v>0</v>
      </c>
      <c r="FM392">
        <v>0</v>
      </c>
      <c r="FN392">
        <v>0</v>
      </c>
      <c r="FO392">
        <v>0</v>
      </c>
      <c r="FP392">
        <v>0</v>
      </c>
      <c r="FQ392">
        <v>0</v>
      </c>
      <c r="FR392">
        <v>0</v>
      </c>
      <c r="FS392">
        <v>0</v>
      </c>
      <c r="FT392">
        <v>0</v>
      </c>
      <c r="FU392">
        <v>0</v>
      </c>
      <c r="FV392">
        <v>0</v>
      </c>
      <c r="FW392">
        <v>0</v>
      </c>
      <c r="FX392">
        <v>0</v>
      </c>
      <c r="FY392">
        <v>0</v>
      </c>
      <c r="FZ392">
        <v>0</v>
      </c>
      <c r="GA392">
        <v>0</v>
      </c>
      <c r="GB392">
        <v>0</v>
      </c>
      <c r="GC392">
        <v>0</v>
      </c>
      <c r="GD392">
        <v>0</v>
      </c>
      <c r="GE392">
        <v>0</v>
      </c>
      <c r="GF392">
        <v>0</v>
      </c>
      <c r="GG392">
        <v>0</v>
      </c>
      <c r="GH392">
        <v>0</v>
      </c>
      <c r="GI392">
        <v>0</v>
      </c>
      <c r="GJ392">
        <v>0</v>
      </c>
      <c r="GK392">
        <v>0</v>
      </c>
      <c r="GL392">
        <v>0</v>
      </c>
      <c r="GM392">
        <v>0</v>
      </c>
      <c r="GN392">
        <v>0</v>
      </c>
      <c r="GO392">
        <v>0</v>
      </c>
      <c r="GP392">
        <v>0</v>
      </c>
      <c r="GQ392">
        <v>0</v>
      </c>
      <c r="GR392">
        <v>0</v>
      </c>
      <c r="GS392">
        <v>0</v>
      </c>
      <c r="GT392">
        <v>0</v>
      </c>
      <c r="GU392">
        <v>0</v>
      </c>
      <c r="GV392">
        <v>0</v>
      </c>
      <c r="GW392">
        <v>0</v>
      </c>
      <c r="GX392">
        <v>0</v>
      </c>
      <c r="GY392">
        <v>0</v>
      </c>
      <c r="GZ392">
        <v>0</v>
      </c>
      <c r="HA392">
        <v>0</v>
      </c>
      <c r="HB392">
        <v>0</v>
      </c>
      <c r="HC392">
        <v>0</v>
      </c>
      <c r="HD392">
        <v>0</v>
      </c>
      <c r="HE392">
        <v>0</v>
      </c>
      <c r="HF392">
        <v>0</v>
      </c>
      <c r="HG392">
        <v>0</v>
      </c>
      <c r="HH392">
        <v>0</v>
      </c>
      <c r="HI392">
        <v>0</v>
      </c>
      <c r="HJ392">
        <v>0</v>
      </c>
      <c r="HK392">
        <v>0</v>
      </c>
      <c r="HL392">
        <v>0</v>
      </c>
      <c r="HM392">
        <v>0</v>
      </c>
      <c r="HN392">
        <v>0</v>
      </c>
      <c r="HO392">
        <v>0</v>
      </c>
      <c r="HP392">
        <v>0</v>
      </c>
      <c r="HQ392">
        <v>0</v>
      </c>
      <c r="HR392">
        <v>0</v>
      </c>
      <c r="HS392">
        <v>0</v>
      </c>
      <c r="HT392">
        <v>0</v>
      </c>
      <c r="HU392">
        <v>0</v>
      </c>
      <c r="HV392">
        <v>0</v>
      </c>
      <c r="HW392">
        <v>0</v>
      </c>
      <c r="HX392">
        <v>0</v>
      </c>
      <c r="HY392">
        <v>0</v>
      </c>
      <c r="HZ392">
        <v>0</v>
      </c>
      <c r="IA392">
        <v>0</v>
      </c>
      <c r="IB392">
        <v>0</v>
      </c>
      <c r="IC392">
        <v>0</v>
      </c>
      <c r="ID392">
        <v>0</v>
      </c>
      <c r="IE392">
        <v>0</v>
      </c>
      <c r="IF392">
        <v>0</v>
      </c>
      <c r="IG392">
        <v>0</v>
      </c>
      <c r="IH392">
        <v>0</v>
      </c>
      <c r="II392">
        <v>0</v>
      </c>
      <c r="IJ392">
        <v>0</v>
      </c>
      <c r="IK392">
        <v>0</v>
      </c>
      <c r="IL392">
        <v>0</v>
      </c>
      <c r="IM392">
        <v>0</v>
      </c>
      <c r="IN392">
        <v>0</v>
      </c>
      <c r="IO392">
        <v>0</v>
      </c>
      <c r="IP392">
        <v>0</v>
      </c>
      <c r="IQ392">
        <v>0</v>
      </c>
      <c r="IR392">
        <v>0</v>
      </c>
      <c r="IS392">
        <v>0</v>
      </c>
      <c r="IT392">
        <v>0</v>
      </c>
      <c r="IU392">
        <v>0</v>
      </c>
      <c r="IV392">
        <v>0</v>
      </c>
      <c r="IW392">
        <v>0</v>
      </c>
      <c r="IX392">
        <v>0</v>
      </c>
      <c r="IY392">
        <v>0</v>
      </c>
      <c r="IZ392">
        <v>0</v>
      </c>
      <c r="JA392">
        <v>0</v>
      </c>
      <c r="JB392">
        <v>0</v>
      </c>
      <c r="JC392">
        <v>0</v>
      </c>
      <c r="JD392">
        <v>0</v>
      </c>
      <c r="JE392">
        <v>0</v>
      </c>
      <c r="JF392">
        <v>0</v>
      </c>
      <c r="JG392">
        <v>0</v>
      </c>
      <c r="JH392">
        <v>0</v>
      </c>
      <c r="JI392">
        <v>0</v>
      </c>
      <c r="JJ392">
        <v>0</v>
      </c>
      <c r="JK392">
        <v>0</v>
      </c>
      <c r="JL392">
        <v>0</v>
      </c>
      <c r="JM392">
        <v>0</v>
      </c>
      <c r="JN392">
        <v>0</v>
      </c>
      <c r="JO392">
        <v>0</v>
      </c>
      <c r="JP392">
        <v>0</v>
      </c>
      <c r="JQ392">
        <v>0</v>
      </c>
      <c r="JR392">
        <v>0</v>
      </c>
      <c r="JS392">
        <v>0</v>
      </c>
      <c r="JT392">
        <v>0</v>
      </c>
      <c r="JU392">
        <v>0</v>
      </c>
      <c r="JV392">
        <v>0</v>
      </c>
      <c r="JW392">
        <v>0</v>
      </c>
      <c r="JX392">
        <v>0</v>
      </c>
      <c r="JY392">
        <v>0</v>
      </c>
      <c r="JZ392">
        <v>0</v>
      </c>
      <c r="KA392">
        <v>0</v>
      </c>
      <c r="KB392">
        <v>0</v>
      </c>
      <c r="KC392">
        <v>0</v>
      </c>
      <c r="KD392">
        <v>0</v>
      </c>
      <c r="KE392">
        <v>0</v>
      </c>
      <c r="KF392">
        <v>0</v>
      </c>
      <c r="KG392">
        <v>0</v>
      </c>
      <c r="KH392">
        <v>0</v>
      </c>
      <c r="KI392">
        <v>0</v>
      </c>
      <c r="KJ392">
        <v>0</v>
      </c>
      <c r="KK392">
        <v>0</v>
      </c>
      <c r="KL392">
        <v>0</v>
      </c>
      <c r="KM392">
        <v>0</v>
      </c>
      <c r="KN392">
        <v>0</v>
      </c>
      <c r="KO392">
        <v>0</v>
      </c>
      <c r="KP392">
        <v>0</v>
      </c>
      <c r="KQ392">
        <v>0</v>
      </c>
      <c r="KR392">
        <v>0</v>
      </c>
      <c r="KS392">
        <v>0</v>
      </c>
      <c r="KT392">
        <v>0</v>
      </c>
      <c r="KU392">
        <v>0</v>
      </c>
      <c r="KV392">
        <v>0</v>
      </c>
      <c r="KW392">
        <v>0</v>
      </c>
      <c r="KX392">
        <v>0</v>
      </c>
      <c r="KY392">
        <v>0</v>
      </c>
      <c r="KZ392">
        <v>0</v>
      </c>
      <c r="LA392">
        <v>0</v>
      </c>
      <c r="LB392">
        <v>0</v>
      </c>
      <c r="LC392">
        <v>0</v>
      </c>
      <c r="LD392">
        <v>0</v>
      </c>
      <c r="LE392">
        <v>0</v>
      </c>
      <c r="LF392">
        <v>0</v>
      </c>
      <c r="LG392">
        <v>0</v>
      </c>
      <c r="LH392">
        <v>0</v>
      </c>
      <c r="LI392">
        <v>0</v>
      </c>
      <c r="LJ392">
        <v>0</v>
      </c>
      <c r="LK392">
        <v>0</v>
      </c>
      <c r="LL392">
        <v>0</v>
      </c>
      <c r="LM392">
        <v>0</v>
      </c>
      <c r="LN392">
        <v>0</v>
      </c>
      <c r="LO392">
        <v>0</v>
      </c>
      <c r="LP392">
        <v>0</v>
      </c>
      <c r="LQ392">
        <v>0</v>
      </c>
      <c r="LR392">
        <v>0</v>
      </c>
      <c r="LS392">
        <v>0</v>
      </c>
      <c r="LT392">
        <v>0</v>
      </c>
      <c r="LU392">
        <v>0</v>
      </c>
      <c r="LV392">
        <v>0</v>
      </c>
      <c r="LW392">
        <v>0</v>
      </c>
      <c r="LX392">
        <v>0</v>
      </c>
      <c r="LY392">
        <v>0</v>
      </c>
      <c r="LZ392">
        <v>0</v>
      </c>
      <c r="MA392">
        <v>0</v>
      </c>
      <c r="MB392">
        <v>0</v>
      </c>
      <c r="MC392">
        <v>0</v>
      </c>
      <c r="MD392">
        <v>0</v>
      </c>
      <c r="ME392">
        <v>0</v>
      </c>
      <c r="MF392">
        <v>0</v>
      </c>
      <c r="MG392">
        <v>0</v>
      </c>
      <c r="MH392">
        <v>0</v>
      </c>
      <c r="MI392">
        <v>0</v>
      </c>
      <c r="MJ392">
        <v>0</v>
      </c>
      <c r="MK392">
        <v>0</v>
      </c>
      <c r="ML392">
        <v>0</v>
      </c>
      <c r="MM392">
        <v>0</v>
      </c>
      <c r="MN392">
        <v>0</v>
      </c>
      <c r="MO392">
        <v>0</v>
      </c>
      <c r="MP392">
        <v>0</v>
      </c>
      <c r="MQ392">
        <v>0</v>
      </c>
      <c r="MR392">
        <v>0</v>
      </c>
      <c r="MS392">
        <v>0</v>
      </c>
      <c r="MT392">
        <v>0</v>
      </c>
      <c r="MU392">
        <v>0</v>
      </c>
      <c r="MV392">
        <v>0</v>
      </c>
      <c r="MW392">
        <v>0</v>
      </c>
      <c r="MX392">
        <v>0</v>
      </c>
      <c r="MY392">
        <v>0</v>
      </c>
      <c r="MZ392">
        <v>0</v>
      </c>
      <c r="NA392">
        <v>0</v>
      </c>
      <c r="NB392">
        <v>0</v>
      </c>
      <c r="NC392">
        <v>0</v>
      </c>
      <c r="ND392">
        <v>0</v>
      </c>
      <c r="NE392">
        <v>0</v>
      </c>
    </row>
    <row r="393" spans="41:369" x14ac:dyDescent="0.45">
      <c r="AO393">
        <v>0</v>
      </c>
      <c r="AP393">
        <v>0</v>
      </c>
      <c r="AQ393">
        <v>0</v>
      </c>
      <c r="AR393">
        <v>0</v>
      </c>
      <c r="AS393">
        <v>0</v>
      </c>
      <c r="AT393">
        <v>0</v>
      </c>
      <c r="AU393">
        <v>0</v>
      </c>
      <c r="AV393">
        <v>0</v>
      </c>
      <c r="AW393" t="str">
        <v/>
      </c>
      <c r="AX393">
        <v>255</v>
      </c>
      <c r="AY393" s="5" t="str">
        <v/>
      </c>
      <c r="AZ393">
        <v>0</v>
      </c>
      <c r="BA393">
        <v>0</v>
      </c>
      <c r="BB393">
        <v>0</v>
      </c>
      <c r="BC393">
        <v>0</v>
      </c>
      <c r="BD393">
        <v>0</v>
      </c>
      <c r="BE393">
        <v>0</v>
      </c>
      <c r="BF393">
        <v>0</v>
      </c>
      <c r="BG393">
        <v>0</v>
      </c>
      <c r="BH393">
        <v>0</v>
      </c>
      <c r="BI393" t="str">
        <v/>
      </c>
      <c r="BK393">
        <v>387</v>
      </c>
      <c r="BL393">
        <v>0</v>
      </c>
      <c r="BM393">
        <v>0</v>
      </c>
      <c r="BN393">
        <v>0</v>
      </c>
      <c r="BO393">
        <v>0</v>
      </c>
      <c r="BP393">
        <v>0</v>
      </c>
      <c r="BQ393">
        <v>0</v>
      </c>
      <c r="BR393">
        <v>0</v>
      </c>
      <c r="BS393">
        <v>0</v>
      </c>
      <c r="BT393">
        <v>0</v>
      </c>
      <c r="BU393">
        <v>0</v>
      </c>
      <c r="BV393">
        <v>0</v>
      </c>
      <c r="BW393">
        <v>0</v>
      </c>
      <c r="BX393">
        <v>0</v>
      </c>
      <c r="BY393">
        <v>0</v>
      </c>
      <c r="BZ393">
        <v>0</v>
      </c>
      <c r="CA393">
        <v>0</v>
      </c>
      <c r="CB393">
        <v>0</v>
      </c>
      <c r="CC393">
        <v>0</v>
      </c>
      <c r="CD393">
        <v>0</v>
      </c>
      <c r="CE393">
        <v>0</v>
      </c>
      <c r="CF393">
        <v>0</v>
      </c>
      <c r="CG393">
        <v>0</v>
      </c>
      <c r="CH393">
        <v>0</v>
      </c>
      <c r="CI393">
        <v>0</v>
      </c>
      <c r="CJ393">
        <v>0</v>
      </c>
      <c r="CK393">
        <v>0</v>
      </c>
      <c r="CL393">
        <v>0</v>
      </c>
      <c r="CM393">
        <v>0</v>
      </c>
      <c r="CN393">
        <v>0</v>
      </c>
      <c r="CO393">
        <v>0</v>
      </c>
      <c r="CP393">
        <v>0</v>
      </c>
      <c r="CQ393">
        <v>0</v>
      </c>
      <c r="CR393">
        <v>0</v>
      </c>
      <c r="CS393">
        <v>0</v>
      </c>
      <c r="CT393">
        <v>0</v>
      </c>
      <c r="CU393">
        <v>0</v>
      </c>
      <c r="CV393">
        <v>0</v>
      </c>
      <c r="CW393">
        <v>0</v>
      </c>
      <c r="CX393">
        <v>0</v>
      </c>
      <c r="CY393">
        <v>0</v>
      </c>
      <c r="CZ393">
        <v>0</v>
      </c>
      <c r="DA393">
        <v>0</v>
      </c>
      <c r="DB393">
        <v>0</v>
      </c>
      <c r="DC393">
        <v>0</v>
      </c>
      <c r="DD393">
        <v>0</v>
      </c>
      <c r="DE393">
        <v>0</v>
      </c>
      <c r="DF393">
        <v>0</v>
      </c>
      <c r="DG393">
        <v>0</v>
      </c>
      <c r="DH393">
        <v>0</v>
      </c>
      <c r="DI393">
        <v>0</v>
      </c>
      <c r="DJ393">
        <v>0</v>
      </c>
      <c r="DK393">
        <v>0</v>
      </c>
      <c r="DL393">
        <v>0</v>
      </c>
      <c r="DM393">
        <v>0</v>
      </c>
      <c r="DN393">
        <v>0</v>
      </c>
      <c r="DO393">
        <v>0</v>
      </c>
      <c r="DP393">
        <v>0</v>
      </c>
      <c r="DQ393">
        <v>0</v>
      </c>
      <c r="DR393">
        <v>0</v>
      </c>
      <c r="DS393">
        <v>0</v>
      </c>
      <c r="DT393">
        <v>0</v>
      </c>
      <c r="DU393">
        <v>0</v>
      </c>
      <c r="DV393">
        <v>0</v>
      </c>
      <c r="DW393">
        <v>0</v>
      </c>
      <c r="DX393">
        <v>0</v>
      </c>
      <c r="DY393">
        <v>0</v>
      </c>
      <c r="DZ393">
        <v>0</v>
      </c>
      <c r="EA393">
        <v>0</v>
      </c>
      <c r="EB393">
        <v>0</v>
      </c>
      <c r="EC393">
        <v>0</v>
      </c>
      <c r="ED393">
        <v>0</v>
      </c>
      <c r="EE393">
        <v>0</v>
      </c>
      <c r="EF393">
        <v>0</v>
      </c>
      <c r="EG393">
        <v>0</v>
      </c>
      <c r="EH393">
        <v>0</v>
      </c>
      <c r="EI393">
        <v>0</v>
      </c>
      <c r="EJ393">
        <v>0</v>
      </c>
      <c r="EK393">
        <v>0</v>
      </c>
      <c r="EL393">
        <v>0</v>
      </c>
      <c r="EM393">
        <v>0</v>
      </c>
      <c r="EN393">
        <v>0</v>
      </c>
      <c r="EO393">
        <v>0</v>
      </c>
      <c r="EP393">
        <v>0</v>
      </c>
      <c r="EQ393">
        <v>0</v>
      </c>
      <c r="ER393">
        <v>0</v>
      </c>
      <c r="ES393">
        <v>0</v>
      </c>
      <c r="ET393">
        <v>0</v>
      </c>
      <c r="EU393">
        <v>0</v>
      </c>
      <c r="EV393">
        <v>0</v>
      </c>
      <c r="EW393">
        <v>0</v>
      </c>
      <c r="EX393">
        <v>0</v>
      </c>
      <c r="EY393">
        <v>0</v>
      </c>
      <c r="EZ393">
        <v>0</v>
      </c>
      <c r="FA393">
        <v>0</v>
      </c>
      <c r="FB393">
        <v>0</v>
      </c>
      <c r="FC393">
        <v>0</v>
      </c>
      <c r="FD393">
        <v>0</v>
      </c>
      <c r="FE393">
        <v>0</v>
      </c>
      <c r="FF393">
        <v>0</v>
      </c>
      <c r="FG393">
        <v>0</v>
      </c>
      <c r="FH393">
        <v>0</v>
      </c>
      <c r="FI393">
        <v>0</v>
      </c>
      <c r="FJ393">
        <v>0</v>
      </c>
      <c r="FK393">
        <v>0</v>
      </c>
      <c r="FL393">
        <v>0</v>
      </c>
      <c r="FM393">
        <v>0</v>
      </c>
      <c r="FN393">
        <v>0</v>
      </c>
      <c r="FO393">
        <v>0</v>
      </c>
      <c r="FP393">
        <v>0</v>
      </c>
      <c r="FQ393">
        <v>0</v>
      </c>
      <c r="FR393">
        <v>0</v>
      </c>
      <c r="FS393">
        <v>0</v>
      </c>
      <c r="FT393">
        <v>0</v>
      </c>
      <c r="FU393">
        <v>0</v>
      </c>
      <c r="FV393">
        <v>0</v>
      </c>
      <c r="FW393">
        <v>0</v>
      </c>
      <c r="FX393">
        <v>0</v>
      </c>
      <c r="FY393">
        <v>0</v>
      </c>
      <c r="FZ393">
        <v>0</v>
      </c>
      <c r="GA393">
        <v>0</v>
      </c>
      <c r="GB393">
        <v>0</v>
      </c>
      <c r="GC393">
        <v>0</v>
      </c>
      <c r="GD393">
        <v>0</v>
      </c>
      <c r="GE393">
        <v>0</v>
      </c>
      <c r="GF393">
        <v>0</v>
      </c>
      <c r="GG393">
        <v>0</v>
      </c>
      <c r="GH393">
        <v>0</v>
      </c>
      <c r="GI393">
        <v>0</v>
      </c>
      <c r="GJ393">
        <v>0</v>
      </c>
      <c r="GK393">
        <v>0</v>
      </c>
      <c r="GL393">
        <v>0</v>
      </c>
      <c r="GM393">
        <v>0</v>
      </c>
      <c r="GN393">
        <v>0</v>
      </c>
      <c r="GO393">
        <v>0</v>
      </c>
      <c r="GP393">
        <v>0</v>
      </c>
      <c r="GQ393">
        <v>0</v>
      </c>
      <c r="GR393">
        <v>0</v>
      </c>
      <c r="GS393">
        <v>0</v>
      </c>
      <c r="GT393">
        <v>0</v>
      </c>
      <c r="GU393">
        <v>0</v>
      </c>
      <c r="GV393">
        <v>0</v>
      </c>
      <c r="GW393">
        <v>0</v>
      </c>
      <c r="GX393">
        <v>0</v>
      </c>
      <c r="GY393">
        <v>0</v>
      </c>
      <c r="GZ393">
        <v>0</v>
      </c>
      <c r="HA393">
        <v>0</v>
      </c>
      <c r="HB393">
        <v>0</v>
      </c>
      <c r="HC393">
        <v>0</v>
      </c>
      <c r="HD393">
        <v>0</v>
      </c>
      <c r="HE393">
        <v>0</v>
      </c>
      <c r="HF393">
        <v>0</v>
      </c>
      <c r="HG393">
        <v>0</v>
      </c>
      <c r="HH393">
        <v>0</v>
      </c>
      <c r="HI393">
        <v>0</v>
      </c>
      <c r="HJ393">
        <v>0</v>
      </c>
      <c r="HK393">
        <v>0</v>
      </c>
      <c r="HL393">
        <v>0</v>
      </c>
      <c r="HM393">
        <v>0</v>
      </c>
      <c r="HN393">
        <v>0</v>
      </c>
      <c r="HO393">
        <v>0</v>
      </c>
      <c r="HP393">
        <v>0</v>
      </c>
      <c r="HQ393">
        <v>0</v>
      </c>
      <c r="HR393">
        <v>0</v>
      </c>
      <c r="HS393">
        <v>0</v>
      </c>
      <c r="HT393">
        <v>0</v>
      </c>
      <c r="HU393">
        <v>0</v>
      </c>
      <c r="HV393">
        <v>0</v>
      </c>
      <c r="HW393">
        <v>0</v>
      </c>
      <c r="HX393">
        <v>0</v>
      </c>
      <c r="HY393">
        <v>0</v>
      </c>
      <c r="HZ393">
        <v>0</v>
      </c>
      <c r="IA393">
        <v>0</v>
      </c>
      <c r="IB393">
        <v>0</v>
      </c>
      <c r="IC393">
        <v>0</v>
      </c>
      <c r="ID393">
        <v>0</v>
      </c>
      <c r="IE393">
        <v>0</v>
      </c>
      <c r="IF393">
        <v>0</v>
      </c>
      <c r="IG393">
        <v>0</v>
      </c>
      <c r="IH393">
        <v>0</v>
      </c>
      <c r="II393">
        <v>0</v>
      </c>
      <c r="IJ393">
        <v>0</v>
      </c>
      <c r="IK393">
        <v>0</v>
      </c>
      <c r="IL393">
        <v>0</v>
      </c>
      <c r="IM393">
        <v>0</v>
      </c>
      <c r="IN393">
        <v>0</v>
      </c>
      <c r="IO393">
        <v>0</v>
      </c>
      <c r="IP393">
        <v>0</v>
      </c>
      <c r="IQ393">
        <v>0</v>
      </c>
      <c r="IR393">
        <v>0</v>
      </c>
      <c r="IS393">
        <v>0</v>
      </c>
      <c r="IT393">
        <v>0</v>
      </c>
      <c r="IU393">
        <v>0</v>
      </c>
      <c r="IV393">
        <v>0</v>
      </c>
      <c r="IW393">
        <v>0</v>
      </c>
      <c r="IX393">
        <v>0</v>
      </c>
      <c r="IY393">
        <v>0</v>
      </c>
      <c r="IZ393">
        <v>0</v>
      </c>
      <c r="JA393">
        <v>0</v>
      </c>
      <c r="JB393">
        <v>0</v>
      </c>
      <c r="JC393">
        <v>0</v>
      </c>
      <c r="JD393">
        <v>0</v>
      </c>
      <c r="JE393">
        <v>0</v>
      </c>
      <c r="JF393">
        <v>0</v>
      </c>
      <c r="JG393">
        <v>0</v>
      </c>
      <c r="JH393">
        <v>0</v>
      </c>
      <c r="JI393">
        <v>0</v>
      </c>
      <c r="JJ393">
        <v>0</v>
      </c>
      <c r="JK393">
        <v>0</v>
      </c>
      <c r="JL393">
        <v>0</v>
      </c>
      <c r="JM393">
        <v>0</v>
      </c>
      <c r="JN393">
        <v>0</v>
      </c>
      <c r="JO393">
        <v>0</v>
      </c>
      <c r="JP393">
        <v>0</v>
      </c>
      <c r="JQ393">
        <v>0</v>
      </c>
      <c r="JR393">
        <v>0</v>
      </c>
      <c r="JS393">
        <v>0</v>
      </c>
      <c r="JT393">
        <v>0</v>
      </c>
      <c r="JU393">
        <v>0</v>
      </c>
      <c r="JV393">
        <v>0</v>
      </c>
      <c r="JW393">
        <v>0</v>
      </c>
      <c r="JX393">
        <v>0</v>
      </c>
      <c r="JY393">
        <v>0</v>
      </c>
      <c r="JZ393">
        <v>0</v>
      </c>
      <c r="KA393">
        <v>0</v>
      </c>
      <c r="KB393">
        <v>0</v>
      </c>
      <c r="KC393">
        <v>0</v>
      </c>
      <c r="KD393">
        <v>0</v>
      </c>
      <c r="KE393">
        <v>0</v>
      </c>
      <c r="KF393">
        <v>0</v>
      </c>
      <c r="KG393">
        <v>0</v>
      </c>
      <c r="KH393">
        <v>0</v>
      </c>
      <c r="KI393">
        <v>0</v>
      </c>
      <c r="KJ393">
        <v>0</v>
      </c>
      <c r="KK393">
        <v>0</v>
      </c>
      <c r="KL393">
        <v>0</v>
      </c>
      <c r="KM393">
        <v>0</v>
      </c>
      <c r="KN393">
        <v>0</v>
      </c>
      <c r="KO393">
        <v>0</v>
      </c>
      <c r="KP393">
        <v>0</v>
      </c>
      <c r="KQ393">
        <v>0</v>
      </c>
      <c r="KR393">
        <v>0</v>
      </c>
      <c r="KS393">
        <v>0</v>
      </c>
      <c r="KT393">
        <v>0</v>
      </c>
      <c r="KU393">
        <v>0</v>
      </c>
      <c r="KV393">
        <v>0</v>
      </c>
      <c r="KW393">
        <v>0</v>
      </c>
      <c r="KX393">
        <v>0</v>
      </c>
      <c r="KY393">
        <v>0</v>
      </c>
      <c r="KZ393">
        <v>0</v>
      </c>
      <c r="LA393">
        <v>0</v>
      </c>
      <c r="LB393">
        <v>0</v>
      </c>
      <c r="LC393">
        <v>0</v>
      </c>
      <c r="LD393">
        <v>0</v>
      </c>
      <c r="LE393">
        <v>0</v>
      </c>
      <c r="LF393">
        <v>0</v>
      </c>
      <c r="LG393">
        <v>0</v>
      </c>
      <c r="LH393">
        <v>0</v>
      </c>
      <c r="LI393">
        <v>0</v>
      </c>
      <c r="LJ393">
        <v>0</v>
      </c>
      <c r="LK393">
        <v>0</v>
      </c>
      <c r="LL393">
        <v>0</v>
      </c>
      <c r="LM393">
        <v>0</v>
      </c>
      <c r="LN393">
        <v>0</v>
      </c>
      <c r="LO393">
        <v>0</v>
      </c>
      <c r="LP393">
        <v>0</v>
      </c>
      <c r="LQ393">
        <v>0</v>
      </c>
      <c r="LR393">
        <v>0</v>
      </c>
      <c r="LS393">
        <v>0</v>
      </c>
      <c r="LT393">
        <v>0</v>
      </c>
      <c r="LU393">
        <v>0</v>
      </c>
      <c r="LV393">
        <v>0</v>
      </c>
      <c r="LW393">
        <v>0</v>
      </c>
      <c r="LX393">
        <v>0</v>
      </c>
      <c r="LY393">
        <v>0</v>
      </c>
      <c r="LZ393">
        <v>0</v>
      </c>
      <c r="MA393">
        <v>0</v>
      </c>
      <c r="MB393">
        <v>0</v>
      </c>
      <c r="MC393">
        <v>0</v>
      </c>
      <c r="MD393">
        <v>0</v>
      </c>
      <c r="ME393">
        <v>0</v>
      </c>
      <c r="MF393">
        <v>0</v>
      </c>
      <c r="MG393">
        <v>0</v>
      </c>
      <c r="MH393">
        <v>0</v>
      </c>
      <c r="MI393">
        <v>0</v>
      </c>
      <c r="MJ393">
        <v>0</v>
      </c>
      <c r="MK393">
        <v>0</v>
      </c>
      <c r="ML393">
        <v>0</v>
      </c>
      <c r="MM393">
        <v>0</v>
      </c>
      <c r="MN393">
        <v>0</v>
      </c>
      <c r="MO393">
        <v>0</v>
      </c>
      <c r="MP393">
        <v>0</v>
      </c>
      <c r="MQ393">
        <v>0</v>
      </c>
      <c r="MR393">
        <v>0</v>
      </c>
      <c r="MS393">
        <v>0</v>
      </c>
      <c r="MT393">
        <v>0</v>
      </c>
      <c r="MU393">
        <v>0</v>
      </c>
      <c r="MV393">
        <v>0</v>
      </c>
      <c r="MW393">
        <v>0</v>
      </c>
      <c r="MX393">
        <v>0</v>
      </c>
      <c r="MY393">
        <v>0</v>
      </c>
      <c r="MZ393">
        <v>0</v>
      </c>
      <c r="NA393">
        <v>0</v>
      </c>
      <c r="NB393">
        <v>0</v>
      </c>
      <c r="NC393">
        <v>0</v>
      </c>
      <c r="ND393">
        <v>0</v>
      </c>
      <c r="NE393">
        <v>0</v>
      </c>
    </row>
    <row r="394" spans="41:369" x14ac:dyDescent="0.45">
      <c r="AO394">
        <v>0</v>
      </c>
      <c r="AP394">
        <v>0</v>
      </c>
      <c r="AQ394">
        <v>0</v>
      </c>
      <c r="AR394">
        <v>0</v>
      </c>
      <c r="AS394">
        <v>0</v>
      </c>
      <c r="AT394">
        <v>0</v>
      </c>
      <c r="AU394">
        <v>0</v>
      </c>
      <c r="AV394">
        <v>0</v>
      </c>
      <c r="AW394" t="str">
        <v/>
      </c>
      <c r="AX394">
        <v>255</v>
      </c>
      <c r="AY394" s="5" t="str">
        <v/>
      </c>
      <c r="AZ394">
        <v>0</v>
      </c>
      <c r="BA394">
        <v>0</v>
      </c>
      <c r="BB394">
        <v>0</v>
      </c>
      <c r="BC394">
        <v>0</v>
      </c>
      <c r="BD394">
        <v>0</v>
      </c>
      <c r="BE394">
        <v>0</v>
      </c>
      <c r="BF394">
        <v>0</v>
      </c>
      <c r="BG394">
        <v>0</v>
      </c>
      <c r="BH394">
        <v>0</v>
      </c>
      <c r="BI394" t="str">
        <v/>
      </c>
      <c r="BK394">
        <v>388</v>
      </c>
      <c r="BL394">
        <v>0</v>
      </c>
      <c r="BM394">
        <v>0</v>
      </c>
      <c r="BN394">
        <v>0</v>
      </c>
      <c r="BO394">
        <v>0</v>
      </c>
      <c r="BP394">
        <v>0</v>
      </c>
      <c r="BQ394">
        <v>0</v>
      </c>
      <c r="BR394">
        <v>0</v>
      </c>
      <c r="BS394">
        <v>0</v>
      </c>
      <c r="BT394">
        <v>0</v>
      </c>
      <c r="BU394">
        <v>0</v>
      </c>
      <c r="BV394">
        <v>0</v>
      </c>
      <c r="BW394">
        <v>0</v>
      </c>
      <c r="BX394">
        <v>0</v>
      </c>
      <c r="BY394">
        <v>0</v>
      </c>
      <c r="BZ394">
        <v>0</v>
      </c>
      <c r="CA394">
        <v>0</v>
      </c>
      <c r="CB394">
        <v>0</v>
      </c>
      <c r="CC394">
        <v>0</v>
      </c>
      <c r="CD394">
        <v>0</v>
      </c>
      <c r="CE394">
        <v>0</v>
      </c>
      <c r="CF394">
        <v>0</v>
      </c>
      <c r="CG394">
        <v>0</v>
      </c>
      <c r="CH394">
        <v>0</v>
      </c>
      <c r="CI394">
        <v>0</v>
      </c>
      <c r="CJ394">
        <v>0</v>
      </c>
      <c r="CK394">
        <v>0</v>
      </c>
      <c r="CL394">
        <v>0</v>
      </c>
      <c r="CM394">
        <v>0</v>
      </c>
      <c r="CN394">
        <v>0</v>
      </c>
      <c r="CO394">
        <v>0</v>
      </c>
      <c r="CP394">
        <v>0</v>
      </c>
      <c r="CQ394">
        <v>0</v>
      </c>
      <c r="CR394">
        <v>0</v>
      </c>
      <c r="CS394">
        <v>0</v>
      </c>
      <c r="CT394">
        <v>0</v>
      </c>
      <c r="CU394">
        <v>0</v>
      </c>
      <c r="CV394">
        <v>0</v>
      </c>
      <c r="CW394">
        <v>0</v>
      </c>
      <c r="CX394">
        <v>0</v>
      </c>
      <c r="CY394">
        <v>0</v>
      </c>
      <c r="CZ394">
        <v>0</v>
      </c>
      <c r="DA394">
        <v>0</v>
      </c>
      <c r="DB394">
        <v>0</v>
      </c>
      <c r="DC394">
        <v>0</v>
      </c>
      <c r="DD394">
        <v>0</v>
      </c>
      <c r="DE394">
        <v>0</v>
      </c>
      <c r="DF394">
        <v>0</v>
      </c>
      <c r="DG394">
        <v>0</v>
      </c>
      <c r="DH394">
        <v>0</v>
      </c>
      <c r="DI394">
        <v>0</v>
      </c>
      <c r="DJ394">
        <v>0</v>
      </c>
      <c r="DK394">
        <v>0</v>
      </c>
      <c r="DL394">
        <v>0</v>
      </c>
      <c r="DM394">
        <v>0</v>
      </c>
      <c r="DN394">
        <v>0</v>
      </c>
      <c r="DO394">
        <v>0</v>
      </c>
      <c r="DP394">
        <v>0</v>
      </c>
      <c r="DQ394">
        <v>0</v>
      </c>
      <c r="DR394">
        <v>0</v>
      </c>
      <c r="DS394">
        <v>0</v>
      </c>
      <c r="DT394">
        <v>0</v>
      </c>
      <c r="DU394">
        <v>0</v>
      </c>
      <c r="DV394">
        <v>0</v>
      </c>
      <c r="DW394">
        <v>0</v>
      </c>
      <c r="DX394">
        <v>0</v>
      </c>
      <c r="DY394">
        <v>0</v>
      </c>
      <c r="DZ394">
        <v>0</v>
      </c>
      <c r="EA394">
        <v>0</v>
      </c>
      <c r="EB394">
        <v>0</v>
      </c>
      <c r="EC394">
        <v>0</v>
      </c>
      <c r="ED394">
        <v>0</v>
      </c>
      <c r="EE394">
        <v>0</v>
      </c>
      <c r="EF394">
        <v>0</v>
      </c>
      <c r="EG394">
        <v>0</v>
      </c>
      <c r="EH394">
        <v>0</v>
      </c>
      <c r="EI394">
        <v>0</v>
      </c>
      <c r="EJ394">
        <v>0</v>
      </c>
      <c r="EK394">
        <v>0</v>
      </c>
      <c r="EL394">
        <v>0</v>
      </c>
      <c r="EM394">
        <v>0</v>
      </c>
      <c r="EN394">
        <v>0</v>
      </c>
      <c r="EO394">
        <v>0</v>
      </c>
      <c r="EP394">
        <v>0</v>
      </c>
      <c r="EQ394">
        <v>0</v>
      </c>
      <c r="ER394">
        <v>0</v>
      </c>
      <c r="ES394">
        <v>0</v>
      </c>
      <c r="ET394">
        <v>0</v>
      </c>
      <c r="EU394">
        <v>0</v>
      </c>
      <c r="EV394">
        <v>0</v>
      </c>
      <c r="EW394">
        <v>0</v>
      </c>
      <c r="EX394">
        <v>0</v>
      </c>
      <c r="EY394">
        <v>0</v>
      </c>
      <c r="EZ394">
        <v>0</v>
      </c>
      <c r="FA394">
        <v>0</v>
      </c>
      <c r="FB394">
        <v>0</v>
      </c>
      <c r="FC394">
        <v>0</v>
      </c>
      <c r="FD394">
        <v>0</v>
      </c>
      <c r="FE394">
        <v>0</v>
      </c>
      <c r="FF394">
        <v>0</v>
      </c>
      <c r="FG394">
        <v>0</v>
      </c>
      <c r="FH394">
        <v>0</v>
      </c>
      <c r="FI394">
        <v>0</v>
      </c>
      <c r="FJ394">
        <v>0</v>
      </c>
      <c r="FK394">
        <v>0</v>
      </c>
      <c r="FL394">
        <v>0</v>
      </c>
      <c r="FM394">
        <v>0</v>
      </c>
      <c r="FN394">
        <v>0</v>
      </c>
      <c r="FO394">
        <v>0</v>
      </c>
      <c r="FP394">
        <v>0</v>
      </c>
      <c r="FQ394">
        <v>0</v>
      </c>
      <c r="FR394">
        <v>0</v>
      </c>
      <c r="FS394">
        <v>0</v>
      </c>
      <c r="FT394">
        <v>0</v>
      </c>
      <c r="FU394">
        <v>0</v>
      </c>
      <c r="FV394">
        <v>0</v>
      </c>
      <c r="FW394">
        <v>0</v>
      </c>
      <c r="FX394">
        <v>0</v>
      </c>
      <c r="FY394">
        <v>0</v>
      </c>
      <c r="FZ394">
        <v>0</v>
      </c>
      <c r="GA394">
        <v>0</v>
      </c>
      <c r="GB394">
        <v>0</v>
      </c>
      <c r="GC394">
        <v>0</v>
      </c>
      <c r="GD394">
        <v>0</v>
      </c>
      <c r="GE394">
        <v>0</v>
      </c>
      <c r="GF394">
        <v>0</v>
      </c>
      <c r="GG394">
        <v>0</v>
      </c>
      <c r="GH394">
        <v>0</v>
      </c>
      <c r="GI394">
        <v>0</v>
      </c>
      <c r="GJ394">
        <v>0</v>
      </c>
      <c r="GK394">
        <v>0</v>
      </c>
      <c r="GL394">
        <v>0</v>
      </c>
      <c r="GM394">
        <v>0</v>
      </c>
      <c r="GN394">
        <v>0</v>
      </c>
      <c r="GO394">
        <v>0</v>
      </c>
      <c r="GP394">
        <v>0</v>
      </c>
      <c r="GQ394">
        <v>0</v>
      </c>
      <c r="GR394">
        <v>0</v>
      </c>
      <c r="GS394">
        <v>0</v>
      </c>
      <c r="GT394">
        <v>0</v>
      </c>
      <c r="GU394">
        <v>0</v>
      </c>
      <c r="GV394">
        <v>0</v>
      </c>
      <c r="GW394">
        <v>0</v>
      </c>
      <c r="GX394">
        <v>0</v>
      </c>
      <c r="GY394">
        <v>0</v>
      </c>
      <c r="GZ394">
        <v>0</v>
      </c>
      <c r="HA394">
        <v>0</v>
      </c>
      <c r="HB394">
        <v>0</v>
      </c>
      <c r="HC394">
        <v>0</v>
      </c>
      <c r="HD394">
        <v>0</v>
      </c>
      <c r="HE394">
        <v>0</v>
      </c>
      <c r="HF394">
        <v>0</v>
      </c>
      <c r="HG394">
        <v>0</v>
      </c>
      <c r="HH394">
        <v>0</v>
      </c>
      <c r="HI394">
        <v>0</v>
      </c>
      <c r="HJ394">
        <v>0</v>
      </c>
      <c r="HK394">
        <v>0</v>
      </c>
      <c r="HL394">
        <v>0</v>
      </c>
      <c r="HM394">
        <v>0</v>
      </c>
      <c r="HN394">
        <v>0</v>
      </c>
      <c r="HO394">
        <v>0</v>
      </c>
      <c r="HP394">
        <v>0</v>
      </c>
      <c r="HQ394">
        <v>0</v>
      </c>
      <c r="HR394">
        <v>0</v>
      </c>
      <c r="HS394">
        <v>0</v>
      </c>
      <c r="HT394">
        <v>0</v>
      </c>
      <c r="HU394">
        <v>0</v>
      </c>
      <c r="HV394">
        <v>0</v>
      </c>
      <c r="HW394">
        <v>0</v>
      </c>
      <c r="HX394">
        <v>0</v>
      </c>
      <c r="HY394">
        <v>0</v>
      </c>
      <c r="HZ394">
        <v>0</v>
      </c>
      <c r="IA394">
        <v>0</v>
      </c>
      <c r="IB394">
        <v>0</v>
      </c>
      <c r="IC394">
        <v>0</v>
      </c>
      <c r="ID394">
        <v>0</v>
      </c>
      <c r="IE394">
        <v>0</v>
      </c>
      <c r="IF394">
        <v>0</v>
      </c>
      <c r="IG394">
        <v>0</v>
      </c>
      <c r="IH394">
        <v>0</v>
      </c>
      <c r="II394">
        <v>0</v>
      </c>
      <c r="IJ394">
        <v>0</v>
      </c>
      <c r="IK394">
        <v>0</v>
      </c>
      <c r="IL394">
        <v>0</v>
      </c>
      <c r="IM394">
        <v>0</v>
      </c>
      <c r="IN394">
        <v>0</v>
      </c>
      <c r="IO394">
        <v>0</v>
      </c>
      <c r="IP394">
        <v>0</v>
      </c>
      <c r="IQ394">
        <v>0</v>
      </c>
      <c r="IR394">
        <v>0</v>
      </c>
      <c r="IS394">
        <v>0</v>
      </c>
      <c r="IT394">
        <v>0</v>
      </c>
      <c r="IU394">
        <v>0</v>
      </c>
      <c r="IV394">
        <v>0</v>
      </c>
      <c r="IW394">
        <v>0</v>
      </c>
      <c r="IX394">
        <v>0</v>
      </c>
      <c r="IY394">
        <v>0</v>
      </c>
      <c r="IZ394">
        <v>0</v>
      </c>
      <c r="JA394">
        <v>0</v>
      </c>
      <c r="JB394">
        <v>0</v>
      </c>
      <c r="JC394">
        <v>0</v>
      </c>
      <c r="JD394">
        <v>0</v>
      </c>
      <c r="JE394">
        <v>0</v>
      </c>
      <c r="JF394">
        <v>0</v>
      </c>
      <c r="JG394">
        <v>0</v>
      </c>
      <c r="JH394">
        <v>0</v>
      </c>
      <c r="JI394">
        <v>0</v>
      </c>
      <c r="JJ394">
        <v>0</v>
      </c>
      <c r="JK394">
        <v>0</v>
      </c>
      <c r="JL394">
        <v>0</v>
      </c>
      <c r="JM394">
        <v>0</v>
      </c>
      <c r="JN394">
        <v>0</v>
      </c>
      <c r="JO394">
        <v>0</v>
      </c>
      <c r="JP394">
        <v>0</v>
      </c>
      <c r="JQ394">
        <v>0</v>
      </c>
      <c r="JR394">
        <v>0</v>
      </c>
      <c r="JS394">
        <v>0</v>
      </c>
      <c r="JT394">
        <v>0</v>
      </c>
      <c r="JU394">
        <v>0</v>
      </c>
      <c r="JV394">
        <v>0</v>
      </c>
      <c r="JW394">
        <v>0</v>
      </c>
      <c r="JX394">
        <v>0</v>
      </c>
      <c r="JY394">
        <v>0</v>
      </c>
      <c r="JZ394">
        <v>0</v>
      </c>
      <c r="KA394">
        <v>0</v>
      </c>
      <c r="KB394">
        <v>0</v>
      </c>
      <c r="KC394">
        <v>0</v>
      </c>
      <c r="KD394">
        <v>0</v>
      </c>
      <c r="KE394">
        <v>0</v>
      </c>
      <c r="KF394">
        <v>0</v>
      </c>
      <c r="KG394">
        <v>0</v>
      </c>
      <c r="KH394">
        <v>0</v>
      </c>
      <c r="KI394">
        <v>0</v>
      </c>
      <c r="KJ394">
        <v>0</v>
      </c>
      <c r="KK394">
        <v>0</v>
      </c>
      <c r="KL394">
        <v>0</v>
      </c>
      <c r="KM394">
        <v>0</v>
      </c>
      <c r="KN394">
        <v>0</v>
      </c>
      <c r="KO394">
        <v>0</v>
      </c>
      <c r="KP394">
        <v>0</v>
      </c>
      <c r="KQ394">
        <v>0</v>
      </c>
      <c r="KR394">
        <v>0</v>
      </c>
      <c r="KS394">
        <v>0</v>
      </c>
      <c r="KT394">
        <v>0</v>
      </c>
      <c r="KU394">
        <v>0</v>
      </c>
      <c r="KV394">
        <v>0</v>
      </c>
      <c r="KW394">
        <v>0</v>
      </c>
      <c r="KX394">
        <v>0</v>
      </c>
      <c r="KY394">
        <v>0</v>
      </c>
      <c r="KZ394">
        <v>0</v>
      </c>
      <c r="LA394">
        <v>0</v>
      </c>
      <c r="LB394">
        <v>0</v>
      </c>
      <c r="LC394">
        <v>0</v>
      </c>
      <c r="LD394">
        <v>0</v>
      </c>
      <c r="LE394">
        <v>0</v>
      </c>
      <c r="LF394">
        <v>0</v>
      </c>
      <c r="LG394">
        <v>0</v>
      </c>
      <c r="LH394">
        <v>0</v>
      </c>
      <c r="LI394">
        <v>0</v>
      </c>
      <c r="LJ394">
        <v>0</v>
      </c>
      <c r="LK394">
        <v>0</v>
      </c>
      <c r="LL394">
        <v>0</v>
      </c>
      <c r="LM394">
        <v>0</v>
      </c>
      <c r="LN394">
        <v>0</v>
      </c>
      <c r="LO394">
        <v>0</v>
      </c>
      <c r="LP394">
        <v>0</v>
      </c>
      <c r="LQ394">
        <v>0</v>
      </c>
      <c r="LR394">
        <v>0</v>
      </c>
      <c r="LS394">
        <v>0</v>
      </c>
      <c r="LT394">
        <v>0</v>
      </c>
      <c r="LU394">
        <v>0</v>
      </c>
      <c r="LV394">
        <v>0</v>
      </c>
      <c r="LW394">
        <v>0</v>
      </c>
      <c r="LX394">
        <v>0</v>
      </c>
      <c r="LY394">
        <v>0</v>
      </c>
      <c r="LZ394">
        <v>0</v>
      </c>
      <c r="MA394">
        <v>0</v>
      </c>
      <c r="MB394">
        <v>0</v>
      </c>
      <c r="MC394">
        <v>0</v>
      </c>
      <c r="MD394">
        <v>0</v>
      </c>
      <c r="ME394">
        <v>0</v>
      </c>
      <c r="MF394">
        <v>0</v>
      </c>
      <c r="MG394">
        <v>0</v>
      </c>
      <c r="MH394">
        <v>0</v>
      </c>
      <c r="MI394">
        <v>0</v>
      </c>
      <c r="MJ394">
        <v>0</v>
      </c>
      <c r="MK394">
        <v>0</v>
      </c>
      <c r="ML394">
        <v>0</v>
      </c>
      <c r="MM394">
        <v>0</v>
      </c>
      <c r="MN394">
        <v>0</v>
      </c>
      <c r="MO394">
        <v>0</v>
      </c>
      <c r="MP394">
        <v>0</v>
      </c>
      <c r="MQ394">
        <v>0</v>
      </c>
      <c r="MR394">
        <v>0</v>
      </c>
      <c r="MS394">
        <v>0</v>
      </c>
      <c r="MT394">
        <v>0</v>
      </c>
      <c r="MU394">
        <v>0</v>
      </c>
      <c r="MV394">
        <v>0</v>
      </c>
      <c r="MW394">
        <v>0</v>
      </c>
      <c r="MX394">
        <v>0</v>
      </c>
      <c r="MY394">
        <v>0</v>
      </c>
      <c r="MZ394">
        <v>0</v>
      </c>
      <c r="NA394">
        <v>0</v>
      </c>
      <c r="NB394">
        <v>0</v>
      </c>
      <c r="NC394">
        <v>0</v>
      </c>
      <c r="ND394">
        <v>0</v>
      </c>
      <c r="NE394">
        <v>0</v>
      </c>
    </row>
    <row r="395" spans="41:369" x14ac:dyDescent="0.45">
      <c r="AO395">
        <v>0</v>
      </c>
      <c r="AP395">
        <v>0</v>
      </c>
      <c r="AQ395">
        <v>0</v>
      </c>
      <c r="AR395">
        <v>0</v>
      </c>
      <c r="AS395">
        <v>0</v>
      </c>
      <c r="AT395">
        <v>0</v>
      </c>
      <c r="AU395">
        <v>0</v>
      </c>
      <c r="AV395">
        <v>0</v>
      </c>
      <c r="AW395" t="str">
        <v/>
      </c>
      <c r="AX395">
        <v>255</v>
      </c>
      <c r="AY395" s="5" t="str">
        <v/>
      </c>
      <c r="AZ395">
        <v>0</v>
      </c>
      <c r="BA395">
        <v>0</v>
      </c>
      <c r="BB395">
        <v>0</v>
      </c>
      <c r="BC395">
        <v>0</v>
      </c>
      <c r="BD395">
        <v>0</v>
      </c>
      <c r="BE395">
        <v>0</v>
      </c>
      <c r="BF395">
        <v>0</v>
      </c>
      <c r="BG395">
        <v>0</v>
      </c>
      <c r="BH395">
        <v>0</v>
      </c>
      <c r="BI395" t="str">
        <v/>
      </c>
      <c r="BK395">
        <v>389</v>
      </c>
      <c r="BL395">
        <v>0</v>
      </c>
      <c r="BM395">
        <v>0</v>
      </c>
      <c r="BN395">
        <v>0</v>
      </c>
      <c r="BO395">
        <v>0</v>
      </c>
      <c r="BP395">
        <v>0</v>
      </c>
      <c r="BQ395">
        <v>0</v>
      </c>
      <c r="BR395">
        <v>0</v>
      </c>
      <c r="BS395">
        <v>0</v>
      </c>
      <c r="BT395">
        <v>0</v>
      </c>
      <c r="BU395">
        <v>0</v>
      </c>
      <c r="BV395">
        <v>0</v>
      </c>
      <c r="BW395">
        <v>0</v>
      </c>
      <c r="BX395">
        <v>0</v>
      </c>
      <c r="BY395">
        <v>0</v>
      </c>
      <c r="BZ395">
        <v>0</v>
      </c>
      <c r="CA395">
        <v>0</v>
      </c>
      <c r="CB395">
        <v>0</v>
      </c>
      <c r="CC395">
        <v>0</v>
      </c>
      <c r="CD395">
        <v>0</v>
      </c>
      <c r="CE395">
        <v>0</v>
      </c>
      <c r="CF395">
        <v>0</v>
      </c>
      <c r="CG395">
        <v>0</v>
      </c>
      <c r="CH395">
        <v>0</v>
      </c>
      <c r="CI395">
        <v>0</v>
      </c>
      <c r="CJ395">
        <v>0</v>
      </c>
      <c r="CK395">
        <v>0</v>
      </c>
      <c r="CL395">
        <v>0</v>
      </c>
      <c r="CM395">
        <v>0</v>
      </c>
      <c r="CN395">
        <v>0</v>
      </c>
      <c r="CO395">
        <v>0</v>
      </c>
      <c r="CP395">
        <v>0</v>
      </c>
      <c r="CQ395">
        <v>0</v>
      </c>
      <c r="CR395">
        <v>0</v>
      </c>
      <c r="CS395">
        <v>0</v>
      </c>
      <c r="CT395">
        <v>0</v>
      </c>
      <c r="CU395">
        <v>0</v>
      </c>
      <c r="CV395">
        <v>0</v>
      </c>
      <c r="CW395">
        <v>0</v>
      </c>
      <c r="CX395">
        <v>0</v>
      </c>
      <c r="CY395">
        <v>0</v>
      </c>
      <c r="CZ395">
        <v>0</v>
      </c>
      <c r="DA395">
        <v>0</v>
      </c>
      <c r="DB395">
        <v>0</v>
      </c>
      <c r="DC395">
        <v>0</v>
      </c>
      <c r="DD395">
        <v>0</v>
      </c>
      <c r="DE395">
        <v>0</v>
      </c>
      <c r="DF395">
        <v>0</v>
      </c>
      <c r="DG395">
        <v>0</v>
      </c>
      <c r="DH395">
        <v>0</v>
      </c>
      <c r="DI395">
        <v>0</v>
      </c>
      <c r="DJ395">
        <v>0</v>
      </c>
      <c r="DK395">
        <v>0</v>
      </c>
      <c r="DL395">
        <v>0</v>
      </c>
      <c r="DM395">
        <v>0</v>
      </c>
      <c r="DN395">
        <v>0</v>
      </c>
      <c r="DO395">
        <v>0</v>
      </c>
      <c r="DP395">
        <v>0</v>
      </c>
      <c r="DQ395">
        <v>0</v>
      </c>
      <c r="DR395">
        <v>0</v>
      </c>
      <c r="DS395">
        <v>0</v>
      </c>
      <c r="DT395">
        <v>0</v>
      </c>
      <c r="DU395">
        <v>0</v>
      </c>
      <c r="DV395">
        <v>0</v>
      </c>
      <c r="DW395">
        <v>0</v>
      </c>
      <c r="DX395">
        <v>0</v>
      </c>
      <c r="DY395">
        <v>0</v>
      </c>
      <c r="DZ395">
        <v>0</v>
      </c>
      <c r="EA395">
        <v>0</v>
      </c>
      <c r="EB395">
        <v>0</v>
      </c>
      <c r="EC395">
        <v>0</v>
      </c>
      <c r="ED395">
        <v>0</v>
      </c>
      <c r="EE395">
        <v>0</v>
      </c>
      <c r="EF395">
        <v>0</v>
      </c>
      <c r="EG395">
        <v>0</v>
      </c>
      <c r="EH395">
        <v>0</v>
      </c>
      <c r="EI395">
        <v>0</v>
      </c>
      <c r="EJ395">
        <v>0</v>
      </c>
      <c r="EK395">
        <v>0</v>
      </c>
      <c r="EL395">
        <v>0</v>
      </c>
      <c r="EM395">
        <v>0</v>
      </c>
      <c r="EN395">
        <v>0</v>
      </c>
      <c r="EO395">
        <v>0</v>
      </c>
      <c r="EP395">
        <v>0</v>
      </c>
      <c r="EQ395">
        <v>0</v>
      </c>
      <c r="ER395">
        <v>0</v>
      </c>
      <c r="ES395">
        <v>0</v>
      </c>
      <c r="ET395">
        <v>0</v>
      </c>
      <c r="EU395">
        <v>0</v>
      </c>
      <c r="EV395">
        <v>0</v>
      </c>
      <c r="EW395">
        <v>0</v>
      </c>
      <c r="EX395">
        <v>0</v>
      </c>
      <c r="EY395">
        <v>0</v>
      </c>
      <c r="EZ395">
        <v>0</v>
      </c>
      <c r="FA395">
        <v>0</v>
      </c>
      <c r="FB395">
        <v>0</v>
      </c>
      <c r="FC395">
        <v>0</v>
      </c>
      <c r="FD395">
        <v>0</v>
      </c>
      <c r="FE395">
        <v>0</v>
      </c>
      <c r="FF395">
        <v>0</v>
      </c>
      <c r="FG395">
        <v>0</v>
      </c>
      <c r="FH395">
        <v>0</v>
      </c>
      <c r="FI395">
        <v>0</v>
      </c>
      <c r="FJ395">
        <v>0</v>
      </c>
      <c r="FK395">
        <v>0</v>
      </c>
      <c r="FL395">
        <v>0</v>
      </c>
      <c r="FM395">
        <v>0</v>
      </c>
      <c r="FN395">
        <v>0</v>
      </c>
      <c r="FO395">
        <v>0</v>
      </c>
      <c r="FP395">
        <v>0</v>
      </c>
      <c r="FQ395">
        <v>0</v>
      </c>
      <c r="FR395">
        <v>0</v>
      </c>
      <c r="FS395">
        <v>0</v>
      </c>
      <c r="FT395">
        <v>0</v>
      </c>
      <c r="FU395">
        <v>0</v>
      </c>
      <c r="FV395">
        <v>0</v>
      </c>
      <c r="FW395">
        <v>0</v>
      </c>
      <c r="FX395">
        <v>0</v>
      </c>
      <c r="FY395">
        <v>0</v>
      </c>
      <c r="FZ395">
        <v>0</v>
      </c>
      <c r="GA395">
        <v>0</v>
      </c>
      <c r="GB395">
        <v>0</v>
      </c>
      <c r="GC395">
        <v>0</v>
      </c>
      <c r="GD395">
        <v>0</v>
      </c>
      <c r="GE395">
        <v>0</v>
      </c>
      <c r="GF395">
        <v>0</v>
      </c>
      <c r="GG395">
        <v>0</v>
      </c>
      <c r="GH395">
        <v>0</v>
      </c>
      <c r="GI395">
        <v>0</v>
      </c>
      <c r="GJ395">
        <v>0</v>
      </c>
      <c r="GK395">
        <v>0</v>
      </c>
      <c r="GL395">
        <v>0</v>
      </c>
      <c r="GM395">
        <v>0</v>
      </c>
      <c r="GN395">
        <v>0</v>
      </c>
      <c r="GO395">
        <v>0</v>
      </c>
      <c r="GP395">
        <v>0</v>
      </c>
      <c r="GQ395">
        <v>0</v>
      </c>
      <c r="GR395">
        <v>0</v>
      </c>
      <c r="GS395">
        <v>0</v>
      </c>
      <c r="GT395">
        <v>0</v>
      </c>
      <c r="GU395">
        <v>0</v>
      </c>
      <c r="GV395">
        <v>0</v>
      </c>
      <c r="GW395">
        <v>0</v>
      </c>
      <c r="GX395">
        <v>0</v>
      </c>
      <c r="GY395">
        <v>0</v>
      </c>
      <c r="GZ395">
        <v>0</v>
      </c>
      <c r="HA395">
        <v>0</v>
      </c>
      <c r="HB395">
        <v>0</v>
      </c>
      <c r="HC395">
        <v>0</v>
      </c>
      <c r="HD395">
        <v>0</v>
      </c>
      <c r="HE395">
        <v>0</v>
      </c>
      <c r="HF395">
        <v>0</v>
      </c>
      <c r="HG395">
        <v>0</v>
      </c>
      <c r="HH395">
        <v>0</v>
      </c>
      <c r="HI395">
        <v>0</v>
      </c>
      <c r="HJ395">
        <v>0</v>
      </c>
      <c r="HK395">
        <v>0</v>
      </c>
      <c r="HL395">
        <v>0</v>
      </c>
      <c r="HM395">
        <v>0</v>
      </c>
      <c r="HN395">
        <v>0</v>
      </c>
      <c r="HO395">
        <v>0</v>
      </c>
      <c r="HP395">
        <v>0</v>
      </c>
      <c r="HQ395">
        <v>0</v>
      </c>
      <c r="HR395">
        <v>0</v>
      </c>
      <c r="HS395">
        <v>0</v>
      </c>
      <c r="HT395">
        <v>0</v>
      </c>
      <c r="HU395">
        <v>0</v>
      </c>
      <c r="HV395">
        <v>0</v>
      </c>
      <c r="HW395">
        <v>0</v>
      </c>
      <c r="HX395">
        <v>0</v>
      </c>
      <c r="HY395">
        <v>0</v>
      </c>
      <c r="HZ395">
        <v>0</v>
      </c>
      <c r="IA395">
        <v>0</v>
      </c>
      <c r="IB395">
        <v>0</v>
      </c>
      <c r="IC395">
        <v>0</v>
      </c>
      <c r="ID395">
        <v>0</v>
      </c>
      <c r="IE395">
        <v>0</v>
      </c>
      <c r="IF395">
        <v>0</v>
      </c>
      <c r="IG395">
        <v>0</v>
      </c>
      <c r="IH395">
        <v>0</v>
      </c>
      <c r="II395">
        <v>0</v>
      </c>
      <c r="IJ395">
        <v>0</v>
      </c>
      <c r="IK395">
        <v>0</v>
      </c>
      <c r="IL395">
        <v>0</v>
      </c>
      <c r="IM395">
        <v>0</v>
      </c>
      <c r="IN395">
        <v>0</v>
      </c>
      <c r="IO395">
        <v>0</v>
      </c>
      <c r="IP395">
        <v>0</v>
      </c>
      <c r="IQ395">
        <v>0</v>
      </c>
      <c r="IR395">
        <v>0</v>
      </c>
      <c r="IS395">
        <v>0</v>
      </c>
      <c r="IT395">
        <v>0</v>
      </c>
      <c r="IU395">
        <v>0</v>
      </c>
      <c r="IV395">
        <v>0</v>
      </c>
      <c r="IW395">
        <v>0</v>
      </c>
      <c r="IX395">
        <v>0</v>
      </c>
      <c r="IY395">
        <v>0</v>
      </c>
      <c r="IZ395">
        <v>0</v>
      </c>
      <c r="JA395">
        <v>0</v>
      </c>
      <c r="JB395">
        <v>0</v>
      </c>
      <c r="JC395">
        <v>0</v>
      </c>
      <c r="JD395">
        <v>0</v>
      </c>
      <c r="JE395">
        <v>0</v>
      </c>
      <c r="JF395">
        <v>0</v>
      </c>
      <c r="JG395">
        <v>0</v>
      </c>
      <c r="JH395">
        <v>0</v>
      </c>
      <c r="JI395">
        <v>0</v>
      </c>
      <c r="JJ395">
        <v>0</v>
      </c>
      <c r="JK395">
        <v>0</v>
      </c>
      <c r="JL395">
        <v>0</v>
      </c>
      <c r="JM395">
        <v>0</v>
      </c>
      <c r="JN395">
        <v>0</v>
      </c>
      <c r="JO395">
        <v>0</v>
      </c>
      <c r="JP395">
        <v>0</v>
      </c>
      <c r="JQ395">
        <v>0</v>
      </c>
      <c r="JR395">
        <v>0</v>
      </c>
      <c r="JS395">
        <v>0</v>
      </c>
      <c r="JT395">
        <v>0</v>
      </c>
      <c r="JU395">
        <v>0</v>
      </c>
      <c r="JV395">
        <v>0</v>
      </c>
      <c r="JW395">
        <v>0</v>
      </c>
      <c r="JX395">
        <v>0</v>
      </c>
      <c r="JY395">
        <v>0</v>
      </c>
      <c r="JZ395">
        <v>0</v>
      </c>
      <c r="KA395">
        <v>0</v>
      </c>
      <c r="KB395">
        <v>0</v>
      </c>
      <c r="KC395">
        <v>0</v>
      </c>
      <c r="KD395">
        <v>0</v>
      </c>
      <c r="KE395">
        <v>0</v>
      </c>
      <c r="KF395">
        <v>0</v>
      </c>
      <c r="KG395">
        <v>0</v>
      </c>
      <c r="KH395">
        <v>0</v>
      </c>
      <c r="KI395">
        <v>0</v>
      </c>
      <c r="KJ395">
        <v>0</v>
      </c>
      <c r="KK395">
        <v>0</v>
      </c>
      <c r="KL395">
        <v>0</v>
      </c>
      <c r="KM395">
        <v>0</v>
      </c>
      <c r="KN395">
        <v>0</v>
      </c>
      <c r="KO395">
        <v>0</v>
      </c>
      <c r="KP395">
        <v>0</v>
      </c>
      <c r="KQ395">
        <v>0</v>
      </c>
      <c r="KR395">
        <v>0</v>
      </c>
      <c r="KS395">
        <v>0</v>
      </c>
      <c r="KT395">
        <v>0</v>
      </c>
      <c r="KU395">
        <v>0</v>
      </c>
      <c r="KV395">
        <v>0</v>
      </c>
      <c r="KW395">
        <v>0</v>
      </c>
      <c r="KX395">
        <v>0</v>
      </c>
      <c r="KY395">
        <v>0</v>
      </c>
      <c r="KZ395">
        <v>0</v>
      </c>
      <c r="LA395">
        <v>0</v>
      </c>
      <c r="LB395">
        <v>0</v>
      </c>
      <c r="LC395">
        <v>0</v>
      </c>
      <c r="LD395">
        <v>0</v>
      </c>
      <c r="LE395">
        <v>0</v>
      </c>
      <c r="LF395">
        <v>0</v>
      </c>
      <c r="LG395">
        <v>0</v>
      </c>
      <c r="LH395">
        <v>0</v>
      </c>
      <c r="LI395">
        <v>0</v>
      </c>
      <c r="LJ395">
        <v>0</v>
      </c>
      <c r="LK395">
        <v>0</v>
      </c>
      <c r="LL395">
        <v>0</v>
      </c>
      <c r="LM395">
        <v>0</v>
      </c>
      <c r="LN395">
        <v>0</v>
      </c>
      <c r="LO395">
        <v>0</v>
      </c>
      <c r="LP395">
        <v>0</v>
      </c>
      <c r="LQ395">
        <v>0</v>
      </c>
      <c r="LR395">
        <v>0</v>
      </c>
      <c r="LS395">
        <v>0</v>
      </c>
      <c r="LT395">
        <v>0</v>
      </c>
      <c r="LU395">
        <v>0</v>
      </c>
      <c r="LV395">
        <v>0</v>
      </c>
      <c r="LW395">
        <v>0</v>
      </c>
      <c r="LX395">
        <v>0</v>
      </c>
      <c r="LY395">
        <v>0</v>
      </c>
      <c r="LZ395">
        <v>0</v>
      </c>
      <c r="MA395">
        <v>0</v>
      </c>
      <c r="MB395">
        <v>0</v>
      </c>
      <c r="MC395">
        <v>0</v>
      </c>
      <c r="MD395">
        <v>0</v>
      </c>
      <c r="ME395">
        <v>0</v>
      </c>
      <c r="MF395">
        <v>0</v>
      </c>
      <c r="MG395">
        <v>0</v>
      </c>
      <c r="MH395">
        <v>0</v>
      </c>
      <c r="MI395">
        <v>0</v>
      </c>
      <c r="MJ395">
        <v>0</v>
      </c>
      <c r="MK395">
        <v>0</v>
      </c>
      <c r="ML395">
        <v>0</v>
      </c>
      <c r="MM395">
        <v>0</v>
      </c>
      <c r="MN395">
        <v>0</v>
      </c>
      <c r="MO395">
        <v>0</v>
      </c>
      <c r="MP395">
        <v>0</v>
      </c>
      <c r="MQ395">
        <v>0</v>
      </c>
      <c r="MR395">
        <v>0</v>
      </c>
      <c r="MS395">
        <v>0</v>
      </c>
      <c r="MT395">
        <v>0</v>
      </c>
      <c r="MU395">
        <v>0</v>
      </c>
      <c r="MV395">
        <v>0</v>
      </c>
      <c r="MW395">
        <v>0</v>
      </c>
      <c r="MX395">
        <v>0</v>
      </c>
      <c r="MY395">
        <v>0</v>
      </c>
      <c r="MZ395">
        <v>0</v>
      </c>
      <c r="NA395">
        <v>0</v>
      </c>
      <c r="NB395">
        <v>0</v>
      </c>
      <c r="NC395">
        <v>0</v>
      </c>
      <c r="ND395">
        <v>0</v>
      </c>
      <c r="NE395">
        <v>0</v>
      </c>
    </row>
    <row r="396" spans="41:369" x14ac:dyDescent="0.45">
      <c r="AO396">
        <v>0</v>
      </c>
      <c r="AP396">
        <v>0</v>
      </c>
      <c r="AQ396">
        <v>0</v>
      </c>
      <c r="AR396">
        <v>0</v>
      </c>
      <c r="AS396">
        <v>0</v>
      </c>
      <c r="AT396">
        <v>0</v>
      </c>
      <c r="AU396">
        <v>0</v>
      </c>
      <c r="AV396">
        <v>0</v>
      </c>
      <c r="AW396" t="str">
        <v/>
      </c>
      <c r="AX396">
        <v>255</v>
      </c>
      <c r="AY396" s="5" t="str">
        <v/>
      </c>
      <c r="AZ396">
        <v>0</v>
      </c>
      <c r="BA396">
        <v>0</v>
      </c>
      <c r="BB396">
        <v>0</v>
      </c>
      <c r="BC396">
        <v>0</v>
      </c>
      <c r="BD396">
        <v>0</v>
      </c>
      <c r="BE396">
        <v>0</v>
      </c>
      <c r="BF396">
        <v>0</v>
      </c>
      <c r="BG396">
        <v>0</v>
      </c>
      <c r="BH396">
        <v>0</v>
      </c>
      <c r="BI396" t="str">
        <v/>
      </c>
      <c r="BK396">
        <v>390</v>
      </c>
      <c r="BL396">
        <v>0</v>
      </c>
      <c r="BM396">
        <v>0</v>
      </c>
      <c r="BN396">
        <v>0</v>
      </c>
      <c r="BO396">
        <v>0</v>
      </c>
      <c r="BP396">
        <v>0</v>
      </c>
      <c r="BQ396">
        <v>0</v>
      </c>
      <c r="BR396">
        <v>0</v>
      </c>
      <c r="BS396">
        <v>0</v>
      </c>
      <c r="BT396">
        <v>0</v>
      </c>
      <c r="BU396">
        <v>0</v>
      </c>
      <c r="BV396">
        <v>0</v>
      </c>
      <c r="BW396">
        <v>0</v>
      </c>
      <c r="BX396">
        <v>0</v>
      </c>
      <c r="BY396">
        <v>0</v>
      </c>
      <c r="BZ396">
        <v>0</v>
      </c>
      <c r="CA396">
        <v>0</v>
      </c>
      <c r="CB396">
        <v>0</v>
      </c>
      <c r="CC396">
        <v>0</v>
      </c>
      <c r="CD396">
        <v>0</v>
      </c>
      <c r="CE396">
        <v>0</v>
      </c>
      <c r="CF396">
        <v>0</v>
      </c>
      <c r="CG396">
        <v>0</v>
      </c>
      <c r="CH396">
        <v>0</v>
      </c>
      <c r="CI396">
        <v>0</v>
      </c>
      <c r="CJ396">
        <v>0</v>
      </c>
      <c r="CK396">
        <v>0</v>
      </c>
      <c r="CL396">
        <v>0</v>
      </c>
      <c r="CM396">
        <v>0</v>
      </c>
      <c r="CN396">
        <v>0</v>
      </c>
      <c r="CO396">
        <v>0</v>
      </c>
      <c r="CP396">
        <v>0</v>
      </c>
      <c r="CQ396">
        <v>0</v>
      </c>
      <c r="CR396">
        <v>0</v>
      </c>
      <c r="CS396">
        <v>0</v>
      </c>
      <c r="CT396">
        <v>0</v>
      </c>
      <c r="CU396">
        <v>0</v>
      </c>
      <c r="CV396">
        <v>0</v>
      </c>
      <c r="CW396">
        <v>0</v>
      </c>
      <c r="CX396">
        <v>0</v>
      </c>
      <c r="CY396">
        <v>0</v>
      </c>
      <c r="CZ396">
        <v>0</v>
      </c>
      <c r="DA396">
        <v>0</v>
      </c>
      <c r="DB396">
        <v>0</v>
      </c>
      <c r="DC396">
        <v>0</v>
      </c>
      <c r="DD396">
        <v>0</v>
      </c>
      <c r="DE396">
        <v>0</v>
      </c>
      <c r="DF396">
        <v>0</v>
      </c>
      <c r="DG396">
        <v>0</v>
      </c>
      <c r="DH396">
        <v>0</v>
      </c>
      <c r="DI396">
        <v>0</v>
      </c>
      <c r="DJ396">
        <v>0</v>
      </c>
      <c r="DK396">
        <v>0</v>
      </c>
      <c r="DL396">
        <v>0</v>
      </c>
      <c r="DM396">
        <v>0</v>
      </c>
      <c r="DN396">
        <v>0</v>
      </c>
      <c r="DO396">
        <v>0</v>
      </c>
      <c r="DP396">
        <v>0</v>
      </c>
      <c r="DQ396">
        <v>0</v>
      </c>
      <c r="DR396">
        <v>0</v>
      </c>
      <c r="DS396">
        <v>0</v>
      </c>
      <c r="DT396">
        <v>0</v>
      </c>
      <c r="DU396">
        <v>0</v>
      </c>
      <c r="DV396">
        <v>0</v>
      </c>
      <c r="DW396">
        <v>0</v>
      </c>
      <c r="DX396">
        <v>0</v>
      </c>
      <c r="DY396">
        <v>0</v>
      </c>
      <c r="DZ396">
        <v>0</v>
      </c>
      <c r="EA396">
        <v>0</v>
      </c>
      <c r="EB396">
        <v>0</v>
      </c>
      <c r="EC396">
        <v>0</v>
      </c>
      <c r="ED396">
        <v>0</v>
      </c>
      <c r="EE396">
        <v>0</v>
      </c>
      <c r="EF396">
        <v>0</v>
      </c>
      <c r="EG396">
        <v>0</v>
      </c>
      <c r="EH396">
        <v>0</v>
      </c>
      <c r="EI396">
        <v>0</v>
      </c>
      <c r="EJ396">
        <v>0</v>
      </c>
      <c r="EK396">
        <v>0</v>
      </c>
      <c r="EL396">
        <v>0</v>
      </c>
      <c r="EM396">
        <v>0</v>
      </c>
      <c r="EN396">
        <v>0</v>
      </c>
      <c r="EO396">
        <v>0</v>
      </c>
      <c r="EP396">
        <v>0</v>
      </c>
      <c r="EQ396">
        <v>0</v>
      </c>
      <c r="ER396">
        <v>0</v>
      </c>
      <c r="ES396">
        <v>0</v>
      </c>
      <c r="ET396">
        <v>0</v>
      </c>
      <c r="EU396">
        <v>0</v>
      </c>
      <c r="EV396">
        <v>0</v>
      </c>
      <c r="EW396">
        <v>0</v>
      </c>
      <c r="EX396">
        <v>0</v>
      </c>
      <c r="EY396">
        <v>0</v>
      </c>
      <c r="EZ396">
        <v>0</v>
      </c>
      <c r="FA396">
        <v>0</v>
      </c>
      <c r="FB396">
        <v>0</v>
      </c>
      <c r="FC396">
        <v>0</v>
      </c>
      <c r="FD396">
        <v>0</v>
      </c>
      <c r="FE396">
        <v>0</v>
      </c>
      <c r="FF396">
        <v>0</v>
      </c>
      <c r="FG396">
        <v>0</v>
      </c>
      <c r="FH396">
        <v>0</v>
      </c>
      <c r="FI396">
        <v>0</v>
      </c>
      <c r="FJ396">
        <v>0</v>
      </c>
      <c r="FK396">
        <v>0</v>
      </c>
      <c r="FL396">
        <v>0</v>
      </c>
      <c r="FM396">
        <v>0</v>
      </c>
      <c r="FN396">
        <v>0</v>
      </c>
      <c r="FO396">
        <v>0</v>
      </c>
      <c r="FP396">
        <v>0</v>
      </c>
      <c r="FQ396">
        <v>0</v>
      </c>
      <c r="FR396">
        <v>0</v>
      </c>
      <c r="FS396">
        <v>0</v>
      </c>
      <c r="FT396">
        <v>0</v>
      </c>
      <c r="FU396">
        <v>0</v>
      </c>
      <c r="FV396">
        <v>0</v>
      </c>
      <c r="FW396">
        <v>0</v>
      </c>
      <c r="FX396">
        <v>0</v>
      </c>
      <c r="FY396">
        <v>0</v>
      </c>
      <c r="FZ396">
        <v>0</v>
      </c>
      <c r="GA396">
        <v>0</v>
      </c>
      <c r="GB396">
        <v>0</v>
      </c>
      <c r="GC396">
        <v>0</v>
      </c>
      <c r="GD396">
        <v>0</v>
      </c>
      <c r="GE396">
        <v>0</v>
      </c>
      <c r="GF396">
        <v>0</v>
      </c>
      <c r="GG396">
        <v>0</v>
      </c>
      <c r="GH396">
        <v>0</v>
      </c>
      <c r="GI396">
        <v>0</v>
      </c>
      <c r="GJ396">
        <v>0</v>
      </c>
      <c r="GK396">
        <v>0</v>
      </c>
      <c r="GL396">
        <v>0</v>
      </c>
      <c r="GM396">
        <v>0</v>
      </c>
      <c r="GN396">
        <v>0</v>
      </c>
      <c r="GO396">
        <v>0</v>
      </c>
      <c r="GP396">
        <v>0</v>
      </c>
      <c r="GQ396">
        <v>0</v>
      </c>
      <c r="GR396">
        <v>0</v>
      </c>
      <c r="GS396">
        <v>0</v>
      </c>
      <c r="GT396">
        <v>0</v>
      </c>
      <c r="GU396">
        <v>0</v>
      </c>
      <c r="GV396">
        <v>0</v>
      </c>
      <c r="GW396">
        <v>0</v>
      </c>
      <c r="GX396">
        <v>0</v>
      </c>
      <c r="GY396">
        <v>0</v>
      </c>
      <c r="GZ396">
        <v>0</v>
      </c>
      <c r="HA396">
        <v>0</v>
      </c>
      <c r="HB396">
        <v>0</v>
      </c>
      <c r="HC396">
        <v>0</v>
      </c>
      <c r="HD396">
        <v>0</v>
      </c>
      <c r="HE396">
        <v>0</v>
      </c>
      <c r="HF396">
        <v>0</v>
      </c>
      <c r="HG396">
        <v>0</v>
      </c>
      <c r="HH396">
        <v>0</v>
      </c>
      <c r="HI396">
        <v>0</v>
      </c>
      <c r="HJ396">
        <v>0</v>
      </c>
      <c r="HK396">
        <v>0</v>
      </c>
      <c r="HL396">
        <v>0</v>
      </c>
      <c r="HM396">
        <v>0</v>
      </c>
      <c r="HN396">
        <v>0</v>
      </c>
      <c r="HO396">
        <v>0</v>
      </c>
      <c r="HP396">
        <v>0</v>
      </c>
      <c r="HQ396">
        <v>0</v>
      </c>
      <c r="HR396">
        <v>0</v>
      </c>
      <c r="HS396">
        <v>0</v>
      </c>
      <c r="HT396">
        <v>0</v>
      </c>
      <c r="HU396">
        <v>0</v>
      </c>
      <c r="HV396">
        <v>0</v>
      </c>
      <c r="HW396">
        <v>0</v>
      </c>
      <c r="HX396">
        <v>0</v>
      </c>
      <c r="HY396">
        <v>0</v>
      </c>
      <c r="HZ396">
        <v>0</v>
      </c>
      <c r="IA396">
        <v>0</v>
      </c>
      <c r="IB396">
        <v>0</v>
      </c>
      <c r="IC396">
        <v>0</v>
      </c>
      <c r="ID396">
        <v>0</v>
      </c>
      <c r="IE396">
        <v>0</v>
      </c>
      <c r="IF396">
        <v>0</v>
      </c>
      <c r="IG396">
        <v>0</v>
      </c>
      <c r="IH396">
        <v>0</v>
      </c>
      <c r="II396">
        <v>0</v>
      </c>
      <c r="IJ396">
        <v>0</v>
      </c>
      <c r="IK396">
        <v>0</v>
      </c>
      <c r="IL396">
        <v>0</v>
      </c>
      <c r="IM396">
        <v>0</v>
      </c>
      <c r="IN396">
        <v>0</v>
      </c>
      <c r="IO396">
        <v>0</v>
      </c>
      <c r="IP396">
        <v>0</v>
      </c>
      <c r="IQ396">
        <v>0</v>
      </c>
      <c r="IR396">
        <v>0</v>
      </c>
      <c r="IS396">
        <v>0</v>
      </c>
      <c r="IT396">
        <v>0</v>
      </c>
      <c r="IU396">
        <v>0</v>
      </c>
      <c r="IV396">
        <v>0</v>
      </c>
      <c r="IW396">
        <v>0</v>
      </c>
      <c r="IX396">
        <v>0</v>
      </c>
      <c r="IY396">
        <v>0</v>
      </c>
      <c r="IZ396">
        <v>0</v>
      </c>
      <c r="JA396">
        <v>0</v>
      </c>
      <c r="JB396">
        <v>0</v>
      </c>
      <c r="JC396">
        <v>0</v>
      </c>
      <c r="JD396">
        <v>0</v>
      </c>
      <c r="JE396">
        <v>0</v>
      </c>
      <c r="JF396">
        <v>0</v>
      </c>
      <c r="JG396">
        <v>0</v>
      </c>
      <c r="JH396">
        <v>0</v>
      </c>
      <c r="JI396">
        <v>0</v>
      </c>
      <c r="JJ396">
        <v>0</v>
      </c>
      <c r="JK396">
        <v>0</v>
      </c>
      <c r="JL396">
        <v>0</v>
      </c>
      <c r="JM396">
        <v>0</v>
      </c>
      <c r="JN396">
        <v>0</v>
      </c>
      <c r="JO396">
        <v>0</v>
      </c>
      <c r="JP396">
        <v>0</v>
      </c>
      <c r="JQ396">
        <v>0</v>
      </c>
      <c r="JR396">
        <v>0</v>
      </c>
      <c r="JS396">
        <v>0</v>
      </c>
      <c r="JT396">
        <v>0</v>
      </c>
      <c r="JU396">
        <v>0</v>
      </c>
      <c r="JV396">
        <v>0</v>
      </c>
      <c r="JW396">
        <v>0</v>
      </c>
      <c r="JX396">
        <v>0</v>
      </c>
      <c r="JY396">
        <v>0</v>
      </c>
      <c r="JZ396">
        <v>0</v>
      </c>
      <c r="KA396">
        <v>0</v>
      </c>
      <c r="KB396">
        <v>0</v>
      </c>
      <c r="KC396">
        <v>0</v>
      </c>
      <c r="KD396">
        <v>0</v>
      </c>
      <c r="KE396">
        <v>0</v>
      </c>
      <c r="KF396">
        <v>0</v>
      </c>
      <c r="KG396">
        <v>0</v>
      </c>
      <c r="KH396">
        <v>0</v>
      </c>
      <c r="KI396">
        <v>0</v>
      </c>
      <c r="KJ396">
        <v>0</v>
      </c>
      <c r="KK396">
        <v>0</v>
      </c>
      <c r="KL396">
        <v>0</v>
      </c>
      <c r="KM396">
        <v>0</v>
      </c>
      <c r="KN396">
        <v>0</v>
      </c>
      <c r="KO396">
        <v>0</v>
      </c>
      <c r="KP396">
        <v>0</v>
      </c>
      <c r="KQ396">
        <v>0</v>
      </c>
      <c r="KR396">
        <v>0</v>
      </c>
      <c r="KS396">
        <v>0</v>
      </c>
      <c r="KT396">
        <v>0</v>
      </c>
      <c r="KU396">
        <v>0</v>
      </c>
      <c r="KV396">
        <v>0</v>
      </c>
      <c r="KW396">
        <v>0</v>
      </c>
      <c r="KX396">
        <v>0</v>
      </c>
      <c r="KY396">
        <v>0</v>
      </c>
      <c r="KZ396">
        <v>0</v>
      </c>
      <c r="LA396">
        <v>0</v>
      </c>
      <c r="LB396">
        <v>0</v>
      </c>
      <c r="LC396">
        <v>0</v>
      </c>
      <c r="LD396">
        <v>0</v>
      </c>
      <c r="LE396">
        <v>0</v>
      </c>
      <c r="LF396">
        <v>0</v>
      </c>
      <c r="LG396">
        <v>0</v>
      </c>
      <c r="LH396">
        <v>0</v>
      </c>
      <c r="LI396">
        <v>0</v>
      </c>
      <c r="LJ396">
        <v>0</v>
      </c>
      <c r="LK396">
        <v>0</v>
      </c>
      <c r="LL396">
        <v>0</v>
      </c>
      <c r="LM396">
        <v>0</v>
      </c>
      <c r="LN396">
        <v>0</v>
      </c>
      <c r="LO396">
        <v>0</v>
      </c>
      <c r="LP396">
        <v>0</v>
      </c>
      <c r="LQ396">
        <v>0</v>
      </c>
      <c r="LR396">
        <v>0</v>
      </c>
      <c r="LS396">
        <v>0</v>
      </c>
      <c r="LT396">
        <v>0</v>
      </c>
      <c r="LU396">
        <v>0</v>
      </c>
      <c r="LV396">
        <v>0</v>
      </c>
      <c r="LW396">
        <v>0</v>
      </c>
      <c r="LX396">
        <v>0</v>
      </c>
      <c r="LY396">
        <v>0</v>
      </c>
      <c r="LZ396">
        <v>0</v>
      </c>
      <c r="MA396">
        <v>0</v>
      </c>
      <c r="MB396">
        <v>0</v>
      </c>
      <c r="MC396">
        <v>0</v>
      </c>
      <c r="MD396">
        <v>0</v>
      </c>
      <c r="ME396">
        <v>0</v>
      </c>
      <c r="MF396">
        <v>0</v>
      </c>
      <c r="MG396">
        <v>0</v>
      </c>
      <c r="MH396">
        <v>0</v>
      </c>
      <c r="MI396">
        <v>0</v>
      </c>
      <c r="MJ396">
        <v>0</v>
      </c>
      <c r="MK396">
        <v>0</v>
      </c>
      <c r="ML396">
        <v>0</v>
      </c>
      <c r="MM396">
        <v>0</v>
      </c>
      <c r="MN396">
        <v>0</v>
      </c>
      <c r="MO396">
        <v>0</v>
      </c>
      <c r="MP396">
        <v>0</v>
      </c>
      <c r="MQ396">
        <v>0</v>
      </c>
      <c r="MR396">
        <v>0</v>
      </c>
      <c r="MS396">
        <v>0</v>
      </c>
      <c r="MT396">
        <v>0</v>
      </c>
      <c r="MU396">
        <v>0</v>
      </c>
      <c r="MV396">
        <v>0</v>
      </c>
      <c r="MW396">
        <v>0</v>
      </c>
      <c r="MX396">
        <v>0</v>
      </c>
      <c r="MY396">
        <v>0</v>
      </c>
      <c r="MZ396">
        <v>0</v>
      </c>
      <c r="NA396">
        <v>0</v>
      </c>
      <c r="NB396">
        <v>0</v>
      </c>
      <c r="NC396">
        <v>0</v>
      </c>
      <c r="ND396">
        <v>0</v>
      </c>
      <c r="NE396">
        <v>0</v>
      </c>
    </row>
    <row r="397" spans="41:369" x14ac:dyDescent="0.45">
      <c r="AO397">
        <v>0</v>
      </c>
      <c r="AP397">
        <v>0</v>
      </c>
      <c r="AQ397">
        <v>0</v>
      </c>
      <c r="AR397">
        <v>0</v>
      </c>
      <c r="AS397">
        <v>0</v>
      </c>
      <c r="AT397">
        <v>0</v>
      </c>
      <c r="AU397">
        <v>0</v>
      </c>
      <c r="AV397">
        <v>0</v>
      </c>
      <c r="AW397" t="str">
        <v/>
      </c>
      <c r="AX397">
        <v>255</v>
      </c>
      <c r="AY397" s="5" t="str">
        <v/>
      </c>
      <c r="AZ397">
        <v>0</v>
      </c>
      <c r="BA397">
        <v>0</v>
      </c>
      <c r="BB397">
        <v>0</v>
      </c>
      <c r="BC397">
        <v>0</v>
      </c>
      <c r="BD397">
        <v>0</v>
      </c>
      <c r="BE397">
        <v>0</v>
      </c>
      <c r="BF397">
        <v>0</v>
      </c>
      <c r="BG397">
        <v>0</v>
      </c>
      <c r="BH397">
        <v>0</v>
      </c>
      <c r="BI397" t="str">
        <v/>
      </c>
      <c r="BK397">
        <v>391</v>
      </c>
      <c r="BL397">
        <v>0</v>
      </c>
      <c r="BM397">
        <v>0</v>
      </c>
      <c r="BN397">
        <v>0</v>
      </c>
      <c r="BO397">
        <v>0</v>
      </c>
      <c r="BP397">
        <v>0</v>
      </c>
      <c r="BQ397">
        <v>0</v>
      </c>
      <c r="BR397">
        <v>0</v>
      </c>
      <c r="BS397">
        <v>0</v>
      </c>
      <c r="BT397">
        <v>0</v>
      </c>
      <c r="BU397">
        <v>0</v>
      </c>
      <c r="BV397">
        <v>0</v>
      </c>
      <c r="BW397">
        <v>0</v>
      </c>
      <c r="BX397">
        <v>0</v>
      </c>
      <c r="BY397">
        <v>0</v>
      </c>
      <c r="BZ397">
        <v>0</v>
      </c>
      <c r="CA397">
        <v>0</v>
      </c>
      <c r="CB397">
        <v>0</v>
      </c>
      <c r="CC397">
        <v>0</v>
      </c>
      <c r="CD397">
        <v>0</v>
      </c>
      <c r="CE397">
        <v>0</v>
      </c>
      <c r="CF397">
        <v>0</v>
      </c>
      <c r="CG397">
        <v>0</v>
      </c>
      <c r="CH397">
        <v>0</v>
      </c>
      <c r="CI397">
        <v>0</v>
      </c>
      <c r="CJ397">
        <v>0</v>
      </c>
      <c r="CK397">
        <v>0</v>
      </c>
      <c r="CL397">
        <v>0</v>
      </c>
      <c r="CM397">
        <v>0</v>
      </c>
      <c r="CN397">
        <v>0</v>
      </c>
      <c r="CO397">
        <v>0</v>
      </c>
      <c r="CP397">
        <v>0</v>
      </c>
      <c r="CQ397">
        <v>0</v>
      </c>
      <c r="CR397">
        <v>0</v>
      </c>
      <c r="CS397">
        <v>0</v>
      </c>
      <c r="CT397">
        <v>0</v>
      </c>
      <c r="CU397">
        <v>0</v>
      </c>
      <c r="CV397">
        <v>0</v>
      </c>
      <c r="CW397">
        <v>0</v>
      </c>
      <c r="CX397">
        <v>0</v>
      </c>
      <c r="CY397">
        <v>0</v>
      </c>
      <c r="CZ397">
        <v>0</v>
      </c>
      <c r="DA397">
        <v>0</v>
      </c>
      <c r="DB397">
        <v>0</v>
      </c>
      <c r="DC397">
        <v>0</v>
      </c>
      <c r="DD397">
        <v>0</v>
      </c>
      <c r="DE397">
        <v>0</v>
      </c>
      <c r="DF397">
        <v>0</v>
      </c>
      <c r="DG397">
        <v>0</v>
      </c>
      <c r="DH397">
        <v>0</v>
      </c>
      <c r="DI397">
        <v>0</v>
      </c>
      <c r="DJ397">
        <v>0</v>
      </c>
      <c r="DK397">
        <v>0</v>
      </c>
      <c r="DL397">
        <v>0</v>
      </c>
      <c r="DM397">
        <v>0</v>
      </c>
      <c r="DN397">
        <v>0</v>
      </c>
      <c r="DO397">
        <v>0</v>
      </c>
      <c r="DP397">
        <v>0</v>
      </c>
      <c r="DQ397">
        <v>0</v>
      </c>
      <c r="DR397">
        <v>0</v>
      </c>
      <c r="DS397">
        <v>0</v>
      </c>
      <c r="DT397">
        <v>0</v>
      </c>
      <c r="DU397">
        <v>0</v>
      </c>
      <c r="DV397">
        <v>0</v>
      </c>
      <c r="DW397">
        <v>0</v>
      </c>
      <c r="DX397">
        <v>0</v>
      </c>
      <c r="DY397">
        <v>0</v>
      </c>
      <c r="DZ397">
        <v>0</v>
      </c>
      <c r="EA397">
        <v>0</v>
      </c>
      <c r="EB397">
        <v>0</v>
      </c>
      <c r="EC397">
        <v>0</v>
      </c>
      <c r="ED397">
        <v>0</v>
      </c>
      <c r="EE397">
        <v>0</v>
      </c>
      <c r="EF397">
        <v>0</v>
      </c>
      <c r="EG397">
        <v>0</v>
      </c>
      <c r="EH397">
        <v>0</v>
      </c>
      <c r="EI397">
        <v>0</v>
      </c>
      <c r="EJ397">
        <v>0</v>
      </c>
      <c r="EK397">
        <v>0</v>
      </c>
      <c r="EL397">
        <v>0</v>
      </c>
      <c r="EM397">
        <v>0</v>
      </c>
      <c r="EN397">
        <v>0</v>
      </c>
      <c r="EO397">
        <v>0</v>
      </c>
      <c r="EP397">
        <v>0</v>
      </c>
      <c r="EQ397">
        <v>0</v>
      </c>
      <c r="ER397">
        <v>0</v>
      </c>
      <c r="ES397">
        <v>0</v>
      </c>
      <c r="ET397">
        <v>0</v>
      </c>
      <c r="EU397">
        <v>0</v>
      </c>
      <c r="EV397">
        <v>0</v>
      </c>
      <c r="EW397">
        <v>0</v>
      </c>
      <c r="EX397">
        <v>0</v>
      </c>
      <c r="EY397">
        <v>0</v>
      </c>
      <c r="EZ397">
        <v>0</v>
      </c>
      <c r="FA397">
        <v>0</v>
      </c>
      <c r="FB397">
        <v>0</v>
      </c>
      <c r="FC397">
        <v>0</v>
      </c>
      <c r="FD397">
        <v>0</v>
      </c>
      <c r="FE397">
        <v>0</v>
      </c>
      <c r="FF397">
        <v>0</v>
      </c>
      <c r="FG397">
        <v>0</v>
      </c>
      <c r="FH397">
        <v>0</v>
      </c>
      <c r="FI397">
        <v>0</v>
      </c>
      <c r="FJ397">
        <v>0</v>
      </c>
      <c r="FK397">
        <v>0</v>
      </c>
      <c r="FL397">
        <v>0</v>
      </c>
      <c r="FM397">
        <v>0</v>
      </c>
      <c r="FN397">
        <v>0</v>
      </c>
      <c r="FO397">
        <v>0</v>
      </c>
      <c r="FP397">
        <v>0</v>
      </c>
      <c r="FQ397">
        <v>0</v>
      </c>
      <c r="FR397">
        <v>0</v>
      </c>
      <c r="FS397">
        <v>0</v>
      </c>
      <c r="FT397">
        <v>0</v>
      </c>
      <c r="FU397">
        <v>0</v>
      </c>
      <c r="FV397">
        <v>0</v>
      </c>
      <c r="FW397">
        <v>0</v>
      </c>
      <c r="FX397">
        <v>0</v>
      </c>
      <c r="FY397">
        <v>0</v>
      </c>
      <c r="FZ397">
        <v>0</v>
      </c>
      <c r="GA397">
        <v>0</v>
      </c>
      <c r="GB397">
        <v>0</v>
      </c>
      <c r="GC397">
        <v>0</v>
      </c>
      <c r="GD397">
        <v>0</v>
      </c>
      <c r="GE397">
        <v>0</v>
      </c>
      <c r="GF397">
        <v>0</v>
      </c>
      <c r="GG397">
        <v>0</v>
      </c>
      <c r="GH397">
        <v>0</v>
      </c>
      <c r="GI397">
        <v>0</v>
      </c>
      <c r="GJ397">
        <v>0</v>
      </c>
      <c r="GK397">
        <v>0</v>
      </c>
      <c r="GL397">
        <v>0</v>
      </c>
      <c r="GM397">
        <v>0</v>
      </c>
      <c r="GN397">
        <v>0</v>
      </c>
      <c r="GO397">
        <v>0</v>
      </c>
      <c r="GP397">
        <v>0</v>
      </c>
      <c r="GQ397">
        <v>0</v>
      </c>
      <c r="GR397">
        <v>0</v>
      </c>
      <c r="GS397">
        <v>0</v>
      </c>
      <c r="GT397">
        <v>0</v>
      </c>
      <c r="GU397">
        <v>0</v>
      </c>
      <c r="GV397">
        <v>0</v>
      </c>
      <c r="GW397">
        <v>0</v>
      </c>
      <c r="GX397">
        <v>0</v>
      </c>
      <c r="GY397">
        <v>0</v>
      </c>
      <c r="GZ397">
        <v>0</v>
      </c>
      <c r="HA397">
        <v>0</v>
      </c>
      <c r="HB397">
        <v>0</v>
      </c>
      <c r="HC397">
        <v>0</v>
      </c>
      <c r="HD397">
        <v>0</v>
      </c>
      <c r="HE397">
        <v>0</v>
      </c>
      <c r="HF397">
        <v>0</v>
      </c>
      <c r="HG397">
        <v>0</v>
      </c>
      <c r="HH397">
        <v>0</v>
      </c>
      <c r="HI397">
        <v>0</v>
      </c>
      <c r="HJ397">
        <v>0</v>
      </c>
      <c r="HK397">
        <v>0</v>
      </c>
      <c r="HL397">
        <v>0</v>
      </c>
      <c r="HM397">
        <v>0</v>
      </c>
      <c r="HN397">
        <v>0</v>
      </c>
      <c r="HO397">
        <v>0</v>
      </c>
      <c r="HP397">
        <v>0</v>
      </c>
      <c r="HQ397">
        <v>0</v>
      </c>
      <c r="HR397">
        <v>0</v>
      </c>
      <c r="HS397">
        <v>0</v>
      </c>
      <c r="HT397">
        <v>0</v>
      </c>
      <c r="HU397">
        <v>0</v>
      </c>
      <c r="HV397">
        <v>0</v>
      </c>
      <c r="HW397">
        <v>0</v>
      </c>
      <c r="HX397">
        <v>0</v>
      </c>
      <c r="HY397">
        <v>0</v>
      </c>
      <c r="HZ397">
        <v>0</v>
      </c>
      <c r="IA397">
        <v>0</v>
      </c>
      <c r="IB397">
        <v>0</v>
      </c>
      <c r="IC397">
        <v>0</v>
      </c>
      <c r="ID397">
        <v>0</v>
      </c>
      <c r="IE397">
        <v>0</v>
      </c>
      <c r="IF397">
        <v>0</v>
      </c>
      <c r="IG397">
        <v>0</v>
      </c>
      <c r="IH397">
        <v>0</v>
      </c>
      <c r="II397">
        <v>0</v>
      </c>
      <c r="IJ397">
        <v>0</v>
      </c>
      <c r="IK397">
        <v>0</v>
      </c>
      <c r="IL397">
        <v>0</v>
      </c>
      <c r="IM397">
        <v>0</v>
      </c>
      <c r="IN397">
        <v>0</v>
      </c>
      <c r="IO397">
        <v>0</v>
      </c>
      <c r="IP397">
        <v>0</v>
      </c>
      <c r="IQ397">
        <v>0</v>
      </c>
      <c r="IR397">
        <v>0</v>
      </c>
      <c r="IS397">
        <v>0</v>
      </c>
      <c r="IT397">
        <v>0</v>
      </c>
      <c r="IU397">
        <v>0</v>
      </c>
      <c r="IV397">
        <v>0</v>
      </c>
      <c r="IW397">
        <v>0</v>
      </c>
      <c r="IX397">
        <v>0</v>
      </c>
      <c r="IY397">
        <v>0</v>
      </c>
      <c r="IZ397">
        <v>0</v>
      </c>
      <c r="JA397">
        <v>0</v>
      </c>
      <c r="JB397">
        <v>0</v>
      </c>
      <c r="JC397">
        <v>0</v>
      </c>
      <c r="JD397">
        <v>0</v>
      </c>
      <c r="JE397">
        <v>0</v>
      </c>
      <c r="JF397">
        <v>0</v>
      </c>
      <c r="JG397">
        <v>0</v>
      </c>
      <c r="JH397">
        <v>0</v>
      </c>
      <c r="JI397">
        <v>0</v>
      </c>
      <c r="JJ397">
        <v>0</v>
      </c>
      <c r="JK397">
        <v>0</v>
      </c>
      <c r="JL397">
        <v>0</v>
      </c>
      <c r="JM397">
        <v>0</v>
      </c>
      <c r="JN397">
        <v>0</v>
      </c>
      <c r="JO397">
        <v>0</v>
      </c>
      <c r="JP397">
        <v>0</v>
      </c>
      <c r="JQ397">
        <v>0</v>
      </c>
      <c r="JR397">
        <v>0</v>
      </c>
      <c r="JS397">
        <v>0</v>
      </c>
      <c r="JT397">
        <v>0</v>
      </c>
      <c r="JU397">
        <v>0</v>
      </c>
      <c r="JV397">
        <v>0</v>
      </c>
      <c r="JW397">
        <v>0</v>
      </c>
      <c r="JX397">
        <v>0</v>
      </c>
      <c r="JY397">
        <v>0</v>
      </c>
      <c r="JZ397">
        <v>0</v>
      </c>
      <c r="KA397">
        <v>0</v>
      </c>
      <c r="KB397">
        <v>0</v>
      </c>
      <c r="KC397">
        <v>0</v>
      </c>
      <c r="KD397">
        <v>0</v>
      </c>
      <c r="KE397">
        <v>0</v>
      </c>
      <c r="KF397">
        <v>0</v>
      </c>
      <c r="KG397">
        <v>0</v>
      </c>
      <c r="KH397">
        <v>0</v>
      </c>
      <c r="KI397">
        <v>0</v>
      </c>
      <c r="KJ397">
        <v>0</v>
      </c>
      <c r="KK397">
        <v>0</v>
      </c>
      <c r="KL397">
        <v>0</v>
      </c>
      <c r="KM397">
        <v>0</v>
      </c>
      <c r="KN397">
        <v>0</v>
      </c>
      <c r="KO397">
        <v>0</v>
      </c>
      <c r="KP397">
        <v>0</v>
      </c>
      <c r="KQ397">
        <v>0</v>
      </c>
      <c r="KR397">
        <v>0</v>
      </c>
      <c r="KS397">
        <v>0</v>
      </c>
      <c r="KT397">
        <v>0</v>
      </c>
      <c r="KU397">
        <v>0</v>
      </c>
      <c r="KV397">
        <v>0</v>
      </c>
      <c r="KW397">
        <v>0</v>
      </c>
      <c r="KX397">
        <v>0</v>
      </c>
      <c r="KY397">
        <v>0</v>
      </c>
      <c r="KZ397">
        <v>0</v>
      </c>
      <c r="LA397">
        <v>0</v>
      </c>
      <c r="LB397">
        <v>0</v>
      </c>
      <c r="LC397">
        <v>0</v>
      </c>
      <c r="LD397">
        <v>0</v>
      </c>
      <c r="LE397">
        <v>0</v>
      </c>
      <c r="LF397">
        <v>0</v>
      </c>
      <c r="LG397">
        <v>0</v>
      </c>
      <c r="LH397">
        <v>0</v>
      </c>
      <c r="LI397">
        <v>0</v>
      </c>
      <c r="LJ397">
        <v>0</v>
      </c>
      <c r="LK397">
        <v>0</v>
      </c>
      <c r="LL397">
        <v>0</v>
      </c>
      <c r="LM397">
        <v>0</v>
      </c>
      <c r="LN397">
        <v>0</v>
      </c>
      <c r="LO397">
        <v>0</v>
      </c>
      <c r="LP397">
        <v>0</v>
      </c>
      <c r="LQ397">
        <v>0</v>
      </c>
      <c r="LR397">
        <v>0</v>
      </c>
      <c r="LS397">
        <v>0</v>
      </c>
      <c r="LT397">
        <v>0</v>
      </c>
      <c r="LU397">
        <v>0</v>
      </c>
      <c r="LV397">
        <v>0</v>
      </c>
      <c r="LW397">
        <v>0</v>
      </c>
      <c r="LX397">
        <v>0</v>
      </c>
      <c r="LY397">
        <v>0</v>
      </c>
      <c r="LZ397">
        <v>0</v>
      </c>
      <c r="MA397">
        <v>0</v>
      </c>
      <c r="MB397">
        <v>0</v>
      </c>
      <c r="MC397">
        <v>0</v>
      </c>
      <c r="MD397">
        <v>0</v>
      </c>
      <c r="ME397">
        <v>0</v>
      </c>
      <c r="MF397">
        <v>0</v>
      </c>
      <c r="MG397">
        <v>0</v>
      </c>
      <c r="MH397">
        <v>0</v>
      </c>
      <c r="MI397">
        <v>0</v>
      </c>
      <c r="MJ397">
        <v>0</v>
      </c>
      <c r="MK397">
        <v>0</v>
      </c>
      <c r="ML397">
        <v>0</v>
      </c>
      <c r="MM397">
        <v>0</v>
      </c>
      <c r="MN397">
        <v>0</v>
      </c>
      <c r="MO397">
        <v>0</v>
      </c>
      <c r="MP397">
        <v>0</v>
      </c>
      <c r="MQ397">
        <v>0</v>
      </c>
      <c r="MR397">
        <v>0</v>
      </c>
      <c r="MS397">
        <v>0</v>
      </c>
      <c r="MT397">
        <v>0</v>
      </c>
      <c r="MU397">
        <v>0</v>
      </c>
      <c r="MV397">
        <v>0</v>
      </c>
      <c r="MW397">
        <v>0</v>
      </c>
      <c r="MX397">
        <v>0</v>
      </c>
      <c r="MY397">
        <v>0</v>
      </c>
      <c r="MZ397">
        <v>0</v>
      </c>
      <c r="NA397">
        <v>0</v>
      </c>
      <c r="NB397">
        <v>0</v>
      </c>
      <c r="NC397">
        <v>0</v>
      </c>
      <c r="ND397">
        <v>0</v>
      </c>
      <c r="NE397">
        <v>0</v>
      </c>
    </row>
    <row r="398" spans="41:369" x14ac:dyDescent="0.45">
      <c r="AO398">
        <v>0</v>
      </c>
      <c r="AP398">
        <v>0</v>
      </c>
      <c r="AQ398">
        <v>0</v>
      </c>
      <c r="AR398">
        <v>0</v>
      </c>
      <c r="AS398">
        <v>0</v>
      </c>
      <c r="AT398">
        <v>0</v>
      </c>
      <c r="AU398">
        <v>0</v>
      </c>
      <c r="AV398">
        <v>0</v>
      </c>
      <c r="AW398" t="str">
        <v/>
      </c>
      <c r="AX398">
        <v>255</v>
      </c>
      <c r="AY398" s="5" t="str">
        <v/>
      </c>
      <c r="AZ398">
        <v>0</v>
      </c>
      <c r="BA398">
        <v>0</v>
      </c>
      <c r="BB398">
        <v>0</v>
      </c>
      <c r="BC398">
        <v>0</v>
      </c>
      <c r="BD398">
        <v>0</v>
      </c>
      <c r="BE398">
        <v>0</v>
      </c>
      <c r="BF398">
        <v>0</v>
      </c>
      <c r="BG398">
        <v>0</v>
      </c>
      <c r="BH398">
        <v>0</v>
      </c>
      <c r="BI398" t="str">
        <v/>
      </c>
      <c r="BK398">
        <v>392</v>
      </c>
      <c r="BL398">
        <v>0</v>
      </c>
      <c r="BM398">
        <v>0</v>
      </c>
      <c r="BN398">
        <v>0</v>
      </c>
      <c r="BO398">
        <v>0</v>
      </c>
      <c r="BP398">
        <v>0</v>
      </c>
      <c r="BQ398">
        <v>0</v>
      </c>
      <c r="BR398">
        <v>0</v>
      </c>
      <c r="BS398">
        <v>0</v>
      </c>
      <c r="BT398">
        <v>0</v>
      </c>
      <c r="BU398">
        <v>0</v>
      </c>
      <c r="BV398">
        <v>0</v>
      </c>
      <c r="BW398">
        <v>0</v>
      </c>
      <c r="BX398">
        <v>0</v>
      </c>
      <c r="BY398">
        <v>0</v>
      </c>
      <c r="BZ398">
        <v>0</v>
      </c>
      <c r="CA398">
        <v>0</v>
      </c>
      <c r="CB398">
        <v>0</v>
      </c>
      <c r="CC398">
        <v>0</v>
      </c>
      <c r="CD398">
        <v>0</v>
      </c>
      <c r="CE398">
        <v>0</v>
      </c>
      <c r="CF398">
        <v>0</v>
      </c>
      <c r="CG398">
        <v>0</v>
      </c>
      <c r="CH398">
        <v>0</v>
      </c>
      <c r="CI398">
        <v>0</v>
      </c>
      <c r="CJ398">
        <v>0</v>
      </c>
      <c r="CK398">
        <v>0</v>
      </c>
      <c r="CL398">
        <v>0</v>
      </c>
      <c r="CM398">
        <v>0</v>
      </c>
      <c r="CN398">
        <v>0</v>
      </c>
      <c r="CO398">
        <v>0</v>
      </c>
      <c r="CP398">
        <v>0</v>
      </c>
      <c r="CQ398">
        <v>0</v>
      </c>
      <c r="CR398">
        <v>0</v>
      </c>
      <c r="CS398">
        <v>0</v>
      </c>
      <c r="CT398">
        <v>0</v>
      </c>
      <c r="CU398">
        <v>0</v>
      </c>
      <c r="CV398">
        <v>0</v>
      </c>
      <c r="CW398">
        <v>0</v>
      </c>
      <c r="CX398">
        <v>0</v>
      </c>
      <c r="CY398">
        <v>0</v>
      </c>
      <c r="CZ398">
        <v>0</v>
      </c>
      <c r="DA398">
        <v>0</v>
      </c>
      <c r="DB398">
        <v>0</v>
      </c>
      <c r="DC398">
        <v>0</v>
      </c>
      <c r="DD398">
        <v>0</v>
      </c>
      <c r="DE398">
        <v>0</v>
      </c>
      <c r="DF398">
        <v>0</v>
      </c>
      <c r="DG398">
        <v>0</v>
      </c>
      <c r="DH398">
        <v>0</v>
      </c>
      <c r="DI398">
        <v>0</v>
      </c>
      <c r="DJ398">
        <v>0</v>
      </c>
      <c r="DK398">
        <v>0</v>
      </c>
      <c r="DL398">
        <v>0</v>
      </c>
      <c r="DM398">
        <v>0</v>
      </c>
      <c r="DN398">
        <v>0</v>
      </c>
      <c r="DO398">
        <v>0</v>
      </c>
      <c r="DP398">
        <v>0</v>
      </c>
      <c r="DQ398">
        <v>0</v>
      </c>
      <c r="DR398">
        <v>0</v>
      </c>
      <c r="DS398">
        <v>0</v>
      </c>
      <c r="DT398">
        <v>0</v>
      </c>
      <c r="DU398">
        <v>0</v>
      </c>
      <c r="DV398">
        <v>0</v>
      </c>
      <c r="DW398">
        <v>0</v>
      </c>
      <c r="DX398">
        <v>0</v>
      </c>
      <c r="DY398">
        <v>0</v>
      </c>
      <c r="DZ398">
        <v>0</v>
      </c>
      <c r="EA398">
        <v>0</v>
      </c>
      <c r="EB398">
        <v>0</v>
      </c>
      <c r="EC398">
        <v>0</v>
      </c>
      <c r="ED398">
        <v>0</v>
      </c>
      <c r="EE398">
        <v>0</v>
      </c>
      <c r="EF398">
        <v>0</v>
      </c>
      <c r="EG398">
        <v>0</v>
      </c>
      <c r="EH398">
        <v>0</v>
      </c>
      <c r="EI398">
        <v>0</v>
      </c>
      <c r="EJ398">
        <v>0</v>
      </c>
      <c r="EK398">
        <v>0</v>
      </c>
      <c r="EL398">
        <v>0</v>
      </c>
      <c r="EM398">
        <v>0</v>
      </c>
      <c r="EN398">
        <v>0</v>
      </c>
      <c r="EO398">
        <v>0</v>
      </c>
      <c r="EP398">
        <v>0</v>
      </c>
      <c r="EQ398">
        <v>0</v>
      </c>
      <c r="ER398">
        <v>0</v>
      </c>
      <c r="ES398">
        <v>0</v>
      </c>
      <c r="ET398">
        <v>0</v>
      </c>
      <c r="EU398">
        <v>0</v>
      </c>
      <c r="EV398">
        <v>0</v>
      </c>
      <c r="EW398">
        <v>0</v>
      </c>
      <c r="EX398">
        <v>0</v>
      </c>
      <c r="EY398">
        <v>0</v>
      </c>
      <c r="EZ398">
        <v>0</v>
      </c>
      <c r="FA398">
        <v>0</v>
      </c>
      <c r="FB398">
        <v>0</v>
      </c>
      <c r="FC398">
        <v>0</v>
      </c>
      <c r="FD398">
        <v>0</v>
      </c>
      <c r="FE398">
        <v>0</v>
      </c>
      <c r="FF398">
        <v>0</v>
      </c>
      <c r="FG398">
        <v>0</v>
      </c>
      <c r="FH398">
        <v>0</v>
      </c>
      <c r="FI398">
        <v>0</v>
      </c>
      <c r="FJ398">
        <v>0</v>
      </c>
      <c r="FK398">
        <v>0</v>
      </c>
      <c r="FL398">
        <v>0</v>
      </c>
      <c r="FM398">
        <v>0</v>
      </c>
      <c r="FN398">
        <v>0</v>
      </c>
      <c r="FO398">
        <v>0</v>
      </c>
      <c r="FP398">
        <v>0</v>
      </c>
      <c r="FQ398">
        <v>0</v>
      </c>
      <c r="FR398">
        <v>0</v>
      </c>
      <c r="FS398">
        <v>0</v>
      </c>
      <c r="FT398">
        <v>0</v>
      </c>
      <c r="FU398">
        <v>0</v>
      </c>
      <c r="FV398">
        <v>0</v>
      </c>
      <c r="FW398">
        <v>0</v>
      </c>
      <c r="FX398">
        <v>0</v>
      </c>
      <c r="FY398">
        <v>0</v>
      </c>
      <c r="FZ398">
        <v>0</v>
      </c>
      <c r="GA398">
        <v>0</v>
      </c>
      <c r="GB398">
        <v>0</v>
      </c>
      <c r="GC398">
        <v>0</v>
      </c>
      <c r="GD398">
        <v>0</v>
      </c>
      <c r="GE398">
        <v>0</v>
      </c>
      <c r="GF398">
        <v>0</v>
      </c>
      <c r="GG398">
        <v>0</v>
      </c>
      <c r="GH398">
        <v>0</v>
      </c>
      <c r="GI398">
        <v>0</v>
      </c>
      <c r="GJ398">
        <v>0</v>
      </c>
      <c r="GK398">
        <v>0</v>
      </c>
      <c r="GL398">
        <v>0</v>
      </c>
      <c r="GM398">
        <v>0</v>
      </c>
      <c r="GN398">
        <v>0</v>
      </c>
      <c r="GO398">
        <v>0</v>
      </c>
      <c r="GP398">
        <v>0</v>
      </c>
      <c r="GQ398">
        <v>0</v>
      </c>
      <c r="GR398">
        <v>0</v>
      </c>
      <c r="GS398">
        <v>0</v>
      </c>
      <c r="GT398">
        <v>0</v>
      </c>
      <c r="GU398">
        <v>0</v>
      </c>
      <c r="GV398">
        <v>0</v>
      </c>
      <c r="GW398">
        <v>0</v>
      </c>
      <c r="GX398">
        <v>0</v>
      </c>
      <c r="GY398">
        <v>0</v>
      </c>
      <c r="GZ398">
        <v>0</v>
      </c>
      <c r="HA398">
        <v>0</v>
      </c>
      <c r="HB398">
        <v>0</v>
      </c>
      <c r="HC398">
        <v>0</v>
      </c>
      <c r="HD398">
        <v>0</v>
      </c>
      <c r="HE398">
        <v>0</v>
      </c>
      <c r="HF398">
        <v>0</v>
      </c>
      <c r="HG398">
        <v>0</v>
      </c>
      <c r="HH398">
        <v>0</v>
      </c>
      <c r="HI398">
        <v>0</v>
      </c>
      <c r="HJ398">
        <v>0</v>
      </c>
      <c r="HK398">
        <v>0</v>
      </c>
      <c r="HL398">
        <v>0</v>
      </c>
      <c r="HM398">
        <v>0</v>
      </c>
      <c r="HN398">
        <v>0</v>
      </c>
      <c r="HO398">
        <v>0</v>
      </c>
      <c r="HP398">
        <v>0</v>
      </c>
      <c r="HQ398">
        <v>0</v>
      </c>
      <c r="HR398">
        <v>0</v>
      </c>
      <c r="HS398">
        <v>0</v>
      </c>
      <c r="HT398">
        <v>0</v>
      </c>
      <c r="HU398">
        <v>0</v>
      </c>
      <c r="HV398">
        <v>0</v>
      </c>
      <c r="HW398">
        <v>0</v>
      </c>
      <c r="HX398">
        <v>0</v>
      </c>
      <c r="HY398">
        <v>0</v>
      </c>
      <c r="HZ398">
        <v>0</v>
      </c>
      <c r="IA398">
        <v>0</v>
      </c>
      <c r="IB398">
        <v>0</v>
      </c>
      <c r="IC398">
        <v>0</v>
      </c>
      <c r="ID398">
        <v>0</v>
      </c>
      <c r="IE398">
        <v>0</v>
      </c>
      <c r="IF398">
        <v>0</v>
      </c>
      <c r="IG398">
        <v>0</v>
      </c>
      <c r="IH398">
        <v>0</v>
      </c>
      <c r="II398">
        <v>0</v>
      </c>
      <c r="IJ398">
        <v>0</v>
      </c>
      <c r="IK398">
        <v>0</v>
      </c>
      <c r="IL398">
        <v>0</v>
      </c>
      <c r="IM398">
        <v>0</v>
      </c>
      <c r="IN398">
        <v>0</v>
      </c>
      <c r="IO398">
        <v>0</v>
      </c>
      <c r="IP398">
        <v>0</v>
      </c>
      <c r="IQ398">
        <v>0</v>
      </c>
      <c r="IR398">
        <v>0</v>
      </c>
      <c r="IS398">
        <v>0</v>
      </c>
      <c r="IT398">
        <v>0</v>
      </c>
      <c r="IU398">
        <v>0</v>
      </c>
      <c r="IV398">
        <v>0</v>
      </c>
      <c r="IW398">
        <v>0</v>
      </c>
      <c r="IX398">
        <v>0</v>
      </c>
      <c r="IY398">
        <v>0</v>
      </c>
      <c r="IZ398">
        <v>0</v>
      </c>
      <c r="JA398">
        <v>0</v>
      </c>
      <c r="JB398">
        <v>0</v>
      </c>
      <c r="JC398">
        <v>0</v>
      </c>
      <c r="JD398">
        <v>0</v>
      </c>
      <c r="JE398">
        <v>0</v>
      </c>
      <c r="JF398">
        <v>0</v>
      </c>
      <c r="JG398">
        <v>0</v>
      </c>
      <c r="JH398">
        <v>0</v>
      </c>
      <c r="JI398">
        <v>0</v>
      </c>
      <c r="JJ398">
        <v>0</v>
      </c>
      <c r="JK398">
        <v>0</v>
      </c>
      <c r="JL398">
        <v>0</v>
      </c>
      <c r="JM398">
        <v>0</v>
      </c>
      <c r="JN398">
        <v>0</v>
      </c>
      <c r="JO398">
        <v>0</v>
      </c>
      <c r="JP398">
        <v>0</v>
      </c>
      <c r="JQ398">
        <v>0</v>
      </c>
      <c r="JR398">
        <v>0</v>
      </c>
      <c r="JS398">
        <v>0</v>
      </c>
      <c r="JT398">
        <v>0</v>
      </c>
      <c r="JU398">
        <v>0</v>
      </c>
      <c r="JV398">
        <v>0</v>
      </c>
      <c r="JW398">
        <v>0</v>
      </c>
      <c r="JX398">
        <v>0</v>
      </c>
      <c r="JY398">
        <v>0</v>
      </c>
      <c r="JZ398">
        <v>0</v>
      </c>
      <c r="KA398">
        <v>0</v>
      </c>
      <c r="KB398">
        <v>0</v>
      </c>
      <c r="KC398">
        <v>0</v>
      </c>
      <c r="KD398">
        <v>0</v>
      </c>
      <c r="KE398">
        <v>0</v>
      </c>
      <c r="KF398">
        <v>0</v>
      </c>
      <c r="KG398">
        <v>0</v>
      </c>
      <c r="KH398">
        <v>0</v>
      </c>
      <c r="KI398">
        <v>0</v>
      </c>
      <c r="KJ398">
        <v>0</v>
      </c>
      <c r="KK398">
        <v>0</v>
      </c>
      <c r="KL398">
        <v>0</v>
      </c>
      <c r="KM398">
        <v>0</v>
      </c>
      <c r="KN398">
        <v>0</v>
      </c>
      <c r="KO398">
        <v>0</v>
      </c>
      <c r="KP398">
        <v>0</v>
      </c>
      <c r="KQ398">
        <v>0</v>
      </c>
      <c r="KR398">
        <v>0</v>
      </c>
      <c r="KS398">
        <v>0</v>
      </c>
      <c r="KT398">
        <v>0</v>
      </c>
      <c r="KU398">
        <v>0</v>
      </c>
      <c r="KV398">
        <v>0</v>
      </c>
      <c r="KW398">
        <v>0</v>
      </c>
      <c r="KX398">
        <v>0</v>
      </c>
      <c r="KY398">
        <v>0</v>
      </c>
      <c r="KZ398">
        <v>0</v>
      </c>
      <c r="LA398">
        <v>0</v>
      </c>
      <c r="LB398">
        <v>0</v>
      </c>
      <c r="LC398">
        <v>0</v>
      </c>
      <c r="LD398">
        <v>0</v>
      </c>
      <c r="LE398">
        <v>0</v>
      </c>
      <c r="LF398">
        <v>0</v>
      </c>
      <c r="LG398">
        <v>0</v>
      </c>
      <c r="LH398">
        <v>0</v>
      </c>
      <c r="LI398">
        <v>0</v>
      </c>
      <c r="LJ398">
        <v>0</v>
      </c>
      <c r="LK398">
        <v>0</v>
      </c>
      <c r="LL398">
        <v>0</v>
      </c>
      <c r="LM398">
        <v>0</v>
      </c>
      <c r="LN398">
        <v>0</v>
      </c>
      <c r="LO398">
        <v>0</v>
      </c>
      <c r="LP398">
        <v>0</v>
      </c>
      <c r="LQ398">
        <v>0</v>
      </c>
      <c r="LR398">
        <v>0</v>
      </c>
      <c r="LS398">
        <v>0</v>
      </c>
      <c r="LT398">
        <v>0</v>
      </c>
      <c r="LU398">
        <v>0</v>
      </c>
      <c r="LV398">
        <v>0</v>
      </c>
      <c r="LW398">
        <v>0</v>
      </c>
      <c r="LX398">
        <v>0</v>
      </c>
      <c r="LY398">
        <v>0</v>
      </c>
      <c r="LZ398">
        <v>0</v>
      </c>
      <c r="MA398">
        <v>0</v>
      </c>
      <c r="MB398">
        <v>0</v>
      </c>
      <c r="MC398">
        <v>0</v>
      </c>
      <c r="MD398">
        <v>0</v>
      </c>
      <c r="ME398">
        <v>0</v>
      </c>
      <c r="MF398">
        <v>0</v>
      </c>
      <c r="MG398">
        <v>0</v>
      </c>
      <c r="MH398">
        <v>0</v>
      </c>
      <c r="MI398">
        <v>0</v>
      </c>
      <c r="MJ398">
        <v>0</v>
      </c>
      <c r="MK398">
        <v>0</v>
      </c>
      <c r="ML398">
        <v>0</v>
      </c>
      <c r="MM398">
        <v>0</v>
      </c>
      <c r="MN398">
        <v>0</v>
      </c>
      <c r="MO398">
        <v>0</v>
      </c>
      <c r="MP398">
        <v>0</v>
      </c>
      <c r="MQ398">
        <v>0</v>
      </c>
      <c r="MR398">
        <v>0</v>
      </c>
      <c r="MS398">
        <v>0</v>
      </c>
      <c r="MT398">
        <v>0</v>
      </c>
      <c r="MU398">
        <v>0</v>
      </c>
      <c r="MV398">
        <v>0</v>
      </c>
      <c r="MW398">
        <v>0</v>
      </c>
      <c r="MX398">
        <v>0</v>
      </c>
      <c r="MY398">
        <v>0</v>
      </c>
      <c r="MZ398">
        <v>0</v>
      </c>
      <c r="NA398">
        <v>0</v>
      </c>
      <c r="NB398">
        <v>0</v>
      </c>
      <c r="NC398">
        <v>0</v>
      </c>
      <c r="ND398">
        <v>0</v>
      </c>
      <c r="NE398">
        <v>0</v>
      </c>
    </row>
    <row r="399" spans="41:369" x14ac:dyDescent="0.45">
      <c r="AO399">
        <v>0</v>
      </c>
      <c r="AP399">
        <v>0</v>
      </c>
      <c r="AQ399">
        <v>0</v>
      </c>
      <c r="AR399">
        <v>0</v>
      </c>
      <c r="AS399">
        <v>0</v>
      </c>
      <c r="AT399">
        <v>0</v>
      </c>
      <c r="AU399">
        <v>0</v>
      </c>
      <c r="AV399">
        <v>0</v>
      </c>
      <c r="AW399" t="str">
        <v/>
      </c>
      <c r="AX399">
        <v>255</v>
      </c>
      <c r="AY399" s="5" t="str">
        <v/>
      </c>
      <c r="AZ399">
        <v>0</v>
      </c>
      <c r="BA399">
        <v>0</v>
      </c>
      <c r="BB399">
        <v>0</v>
      </c>
      <c r="BC399">
        <v>0</v>
      </c>
      <c r="BD399">
        <v>0</v>
      </c>
      <c r="BE399">
        <v>0</v>
      </c>
      <c r="BF399">
        <v>0</v>
      </c>
      <c r="BG399">
        <v>0</v>
      </c>
      <c r="BH399">
        <v>0</v>
      </c>
      <c r="BI399" t="str">
        <v/>
      </c>
      <c r="BK399">
        <v>393</v>
      </c>
      <c r="BL399">
        <v>0</v>
      </c>
      <c r="BM399">
        <v>0</v>
      </c>
      <c r="BN399">
        <v>0</v>
      </c>
      <c r="BO399">
        <v>0</v>
      </c>
      <c r="BP399">
        <v>0</v>
      </c>
      <c r="BQ399">
        <v>0</v>
      </c>
      <c r="BR399">
        <v>0</v>
      </c>
      <c r="BS399">
        <v>0</v>
      </c>
      <c r="BT399">
        <v>0</v>
      </c>
      <c r="BU399">
        <v>0</v>
      </c>
      <c r="BV399">
        <v>0</v>
      </c>
      <c r="BW399">
        <v>0</v>
      </c>
      <c r="BX399">
        <v>0</v>
      </c>
      <c r="BY399">
        <v>0</v>
      </c>
      <c r="BZ399">
        <v>0</v>
      </c>
      <c r="CA399">
        <v>0</v>
      </c>
      <c r="CB399">
        <v>0</v>
      </c>
      <c r="CC399">
        <v>0</v>
      </c>
      <c r="CD399">
        <v>0</v>
      </c>
      <c r="CE399">
        <v>0</v>
      </c>
      <c r="CF399">
        <v>0</v>
      </c>
      <c r="CG399">
        <v>0</v>
      </c>
      <c r="CH399">
        <v>0</v>
      </c>
      <c r="CI399">
        <v>0</v>
      </c>
      <c r="CJ399">
        <v>0</v>
      </c>
      <c r="CK399">
        <v>0</v>
      </c>
      <c r="CL399">
        <v>0</v>
      </c>
      <c r="CM399">
        <v>0</v>
      </c>
      <c r="CN399">
        <v>0</v>
      </c>
      <c r="CO399">
        <v>0</v>
      </c>
      <c r="CP399">
        <v>0</v>
      </c>
      <c r="CQ399">
        <v>0</v>
      </c>
      <c r="CR399">
        <v>0</v>
      </c>
      <c r="CS399">
        <v>0</v>
      </c>
      <c r="CT399">
        <v>0</v>
      </c>
      <c r="CU399">
        <v>0</v>
      </c>
      <c r="CV399">
        <v>0</v>
      </c>
      <c r="CW399">
        <v>0</v>
      </c>
      <c r="CX399">
        <v>0</v>
      </c>
      <c r="CY399">
        <v>0</v>
      </c>
      <c r="CZ399">
        <v>0</v>
      </c>
      <c r="DA399">
        <v>0</v>
      </c>
      <c r="DB399">
        <v>0</v>
      </c>
      <c r="DC399">
        <v>0</v>
      </c>
      <c r="DD399">
        <v>0</v>
      </c>
      <c r="DE399">
        <v>0</v>
      </c>
      <c r="DF399">
        <v>0</v>
      </c>
      <c r="DG399">
        <v>0</v>
      </c>
      <c r="DH399">
        <v>0</v>
      </c>
      <c r="DI399">
        <v>0</v>
      </c>
      <c r="DJ399">
        <v>0</v>
      </c>
      <c r="DK399">
        <v>0</v>
      </c>
      <c r="DL399">
        <v>0</v>
      </c>
      <c r="DM399">
        <v>0</v>
      </c>
      <c r="DN399">
        <v>0</v>
      </c>
      <c r="DO399">
        <v>0</v>
      </c>
      <c r="DP399">
        <v>0</v>
      </c>
      <c r="DQ399">
        <v>0</v>
      </c>
      <c r="DR399">
        <v>0</v>
      </c>
      <c r="DS399">
        <v>0</v>
      </c>
      <c r="DT399">
        <v>0</v>
      </c>
      <c r="DU399">
        <v>0</v>
      </c>
      <c r="DV399">
        <v>0</v>
      </c>
      <c r="DW399">
        <v>0</v>
      </c>
      <c r="DX399">
        <v>0</v>
      </c>
      <c r="DY399">
        <v>0</v>
      </c>
      <c r="DZ399">
        <v>0</v>
      </c>
      <c r="EA399">
        <v>0</v>
      </c>
      <c r="EB399">
        <v>0</v>
      </c>
      <c r="EC399">
        <v>0</v>
      </c>
      <c r="ED399">
        <v>0</v>
      </c>
      <c r="EE399">
        <v>0</v>
      </c>
      <c r="EF399">
        <v>0</v>
      </c>
      <c r="EG399">
        <v>0</v>
      </c>
      <c r="EH399">
        <v>0</v>
      </c>
      <c r="EI399">
        <v>0</v>
      </c>
      <c r="EJ399">
        <v>0</v>
      </c>
      <c r="EK399">
        <v>0</v>
      </c>
      <c r="EL399">
        <v>0</v>
      </c>
      <c r="EM399">
        <v>0</v>
      </c>
      <c r="EN399">
        <v>0</v>
      </c>
      <c r="EO399">
        <v>0</v>
      </c>
      <c r="EP399">
        <v>0</v>
      </c>
      <c r="EQ399">
        <v>0</v>
      </c>
      <c r="ER399">
        <v>0</v>
      </c>
      <c r="ES399">
        <v>0</v>
      </c>
      <c r="ET399">
        <v>0</v>
      </c>
      <c r="EU399">
        <v>0</v>
      </c>
      <c r="EV399">
        <v>0</v>
      </c>
      <c r="EW399">
        <v>0</v>
      </c>
      <c r="EX399">
        <v>0</v>
      </c>
      <c r="EY399">
        <v>0</v>
      </c>
      <c r="EZ399">
        <v>0</v>
      </c>
      <c r="FA399">
        <v>0</v>
      </c>
      <c r="FB399">
        <v>0</v>
      </c>
      <c r="FC399">
        <v>0</v>
      </c>
      <c r="FD399">
        <v>0</v>
      </c>
      <c r="FE399">
        <v>0</v>
      </c>
      <c r="FF399">
        <v>0</v>
      </c>
      <c r="FG399">
        <v>0</v>
      </c>
      <c r="FH399">
        <v>0</v>
      </c>
      <c r="FI399">
        <v>0</v>
      </c>
      <c r="FJ399">
        <v>0</v>
      </c>
      <c r="FK399">
        <v>0</v>
      </c>
      <c r="FL399">
        <v>0</v>
      </c>
      <c r="FM399">
        <v>0</v>
      </c>
      <c r="FN399">
        <v>0</v>
      </c>
      <c r="FO399">
        <v>0</v>
      </c>
      <c r="FP399">
        <v>0</v>
      </c>
      <c r="FQ399">
        <v>0</v>
      </c>
      <c r="FR399">
        <v>0</v>
      </c>
      <c r="FS399">
        <v>0</v>
      </c>
      <c r="FT399">
        <v>0</v>
      </c>
      <c r="FU399">
        <v>0</v>
      </c>
      <c r="FV399">
        <v>0</v>
      </c>
      <c r="FW399">
        <v>0</v>
      </c>
      <c r="FX399">
        <v>0</v>
      </c>
      <c r="FY399">
        <v>0</v>
      </c>
      <c r="FZ399">
        <v>0</v>
      </c>
      <c r="GA399">
        <v>0</v>
      </c>
      <c r="GB399">
        <v>0</v>
      </c>
      <c r="GC399">
        <v>0</v>
      </c>
      <c r="GD399">
        <v>0</v>
      </c>
      <c r="GE399">
        <v>0</v>
      </c>
      <c r="GF399">
        <v>0</v>
      </c>
      <c r="GG399">
        <v>0</v>
      </c>
      <c r="GH399">
        <v>0</v>
      </c>
      <c r="GI399">
        <v>0</v>
      </c>
      <c r="GJ399">
        <v>0</v>
      </c>
      <c r="GK399">
        <v>0</v>
      </c>
      <c r="GL399">
        <v>0</v>
      </c>
      <c r="GM399">
        <v>0</v>
      </c>
      <c r="GN399">
        <v>0</v>
      </c>
      <c r="GO399">
        <v>0</v>
      </c>
      <c r="GP399">
        <v>0</v>
      </c>
      <c r="GQ399">
        <v>0</v>
      </c>
      <c r="GR399">
        <v>0</v>
      </c>
      <c r="GS399">
        <v>0</v>
      </c>
      <c r="GT399">
        <v>0</v>
      </c>
      <c r="GU399">
        <v>0</v>
      </c>
      <c r="GV399">
        <v>0</v>
      </c>
      <c r="GW399">
        <v>0</v>
      </c>
      <c r="GX399">
        <v>0</v>
      </c>
      <c r="GY399">
        <v>0</v>
      </c>
      <c r="GZ399">
        <v>0</v>
      </c>
      <c r="HA399">
        <v>0</v>
      </c>
      <c r="HB399">
        <v>0</v>
      </c>
      <c r="HC399">
        <v>0</v>
      </c>
      <c r="HD399">
        <v>0</v>
      </c>
      <c r="HE399">
        <v>0</v>
      </c>
      <c r="HF399">
        <v>0</v>
      </c>
      <c r="HG399">
        <v>0</v>
      </c>
      <c r="HH399">
        <v>0</v>
      </c>
      <c r="HI399">
        <v>0</v>
      </c>
      <c r="HJ399">
        <v>0</v>
      </c>
      <c r="HK399">
        <v>0</v>
      </c>
      <c r="HL399">
        <v>0</v>
      </c>
      <c r="HM399">
        <v>0</v>
      </c>
      <c r="HN399">
        <v>0</v>
      </c>
      <c r="HO399">
        <v>0</v>
      </c>
      <c r="HP399">
        <v>0</v>
      </c>
      <c r="HQ399">
        <v>0</v>
      </c>
      <c r="HR399">
        <v>0</v>
      </c>
      <c r="HS399">
        <v>0</v>
      </c>
      <c r="HT399">
        <v>0</v>
      </c>
      <c r="HU399">
        <v>0</v>
      </c>
      <c r="HV399">
        <v>0</v>
      </c>
      <c r="HW399">
        <v>0</v>
      </c>
      <c r="HX399">
        <v>0</v>
      </c>
      <c r="HY399">
        <v>0</v>
      </c>
      <c r="HZ399">
        <v>0</v>
      </c>
      <c r="IA399">
        <v>0</v>
      </c>
      <c r="IB399">
        <v>0</v>
      </c>
      <c r="IC399">
        <v>0</v>
      </c>
      <c r="ID399">
        <v>0</v>
      </c>
      <c r="IE399">
        <v>0</v>
      </c>
      <c r="IF399">
        <v>0</v>
      </c>
      <c r="IG399">
        <v>0</v>
      </c>
      <c r="IH399">
        <v>0</v>
      </c>
      <c r="II399">
        <v>0</v>
      </c>
      <c r="IJ399">
        <v>0</v>
      </c>
      <c r="IK399">
        <v>0</v>
      </c>
      <c r="IL399">
        <v>0</v>
      </c>
      <c r="IM399">
        <v>0</v>
      </c>
      <c r="IN399">
        <v>0</v>
      </c>
      <c r="IO399">
        <v>0</v>
      </c>
      <c r="IP399">
        <v>0</v>
      </c>
      <c r="IQ399">
        <v>0</v>
      </c>
      <c r="IR399">
        <v>0</v>
      </c>
      <c r="IS399">
        <v>0</v>
      </c>
      <c r="IT399">
        <v>0</v>
      </c>
      <c r="IU399">
        <v>0</v>
      </c>
      <c r="IV399">
        <v>0</v>
      </c>
      <c r="IW399">
        <v>0</v>
      </c>
      <c r="IX399">
        <v>0</v>
      </c>
      <c r="IY399">
        <v>0</v>
      </c>
      <c r="IZ399">
        <v>0</v>
      </c>
      <c r="JA399">
        <v>0</v>
      </c>
      <c r="JB399">
        <v>0</v>
      </c>
      <c r="JC399">
        <v>0</v>
      </c>
      <c r="JD399">
        <v>0</v>
      </c>
      <c r="JE399">
        <v>0</v>
      </c>
      <c r="JF399">
        <v>0</v>
      </c>
      <c r="JG399">
        <v>0</v>
      </c>
      <c r="JH399">
        <v>0</v>
      </c>
      <c r="JI399">
        <v>0</v>
      </c>
      <c r="JJ399">
        <v>0</v>
      </c>
      <c r="JK399">
        <v>0</v>
      </c>
      <c r="JL399">
        <v>0</v>
      </c>
      <c r="JM399">
        <v>0</v>
      </c>
      <c r="JN399">
        <v>0</v>
      </c>
      <c r="JO399">
        <v>0</v>
      </c>
      <c r="JP399">
        <v>0</v>
      </c>
      <c r="JQ399">
        <v>0</v>
      </c>
      <c r="JR399">
        <v>0</v>
      </c>
      <c r="JS399">
        <v>0</v>
      </c>
      <c r="JT399">
        <v>0</v>
      </c>
      <c r="JU399">
        <v>0</v>
      </c>
      <c r="JV399">
        <v>0</v>
      </c>
      <c r="JW399">
        <v>0</v>
      </c>
      <c r="JX399">
        <v>0</v>
      </c>
      <c r="JY399">
        <v>0</v>
      </c>
      <c r="JZ399">
        <v>0</v>
      </c>
      <c r="KA399">
        <v>0</v>
      </c>
      <c r="KB399">
        <v>0</v>
      </c>
      <c r="KC399">
        <v>0</v>
      </c>
      <c r="KD399">
        <v>0</v>
      </c>
      <c r="KE399">
        <v>0</v>
      </c>
      <c r="KF399">
        <v>0</v>
      </c>
      <c r="KG399">
        <v>0</v>
      </c>
      <c r="KH399">
        <v>0</v>
      </c>
      <c r="KI399">
        <v>0</v>
      </c>
      <c r="KJ399">
        <v>0</v>
      </c>
      <c r="KK399">
        <v>0</v>
      </c>
      <c r="KL399">
        <v>0</v>
      </c>
      <c r="KM399">
        <v>0</v>
      </c>
      <c r="KN399">
        <v>0</v>
      </c>
      <c r="KO399">
        <v>0</v>
      </c>
      <c r="KP399">
        <v>0</v>
      </c>
      <c r="KQ399">
        <v>0</v>
      </c>
      <c r="KR399">
        <v>0</v>
      </c>
      <c r="KS399">
        <v>0</v>
      </c>
      <c r="KT399">
        <v>0</v>
      </c>
      <c r="KU399">
        <v>0</v>
      </c>
      <c r="KV399">
        <v>0</v>
      </c>
      <c r="KW399">
        <v>0</v>
      </c>
      <c r="KX399">
        <v>0</v>
      </c>
      <c r="KY399">
        <v>0</v>
      </c>
      <c r="KZ399">
        <v>0</v>
      </c>
      <c r="LA399">
        <v>0</v>
      </c>
      <c r="LB399">
        <v>0</v>
      </c>
      <c r="LC399">
        <v>0</v>
      </c>
      <c r="LD399">
        <v>0</v>
      </c>
      <c r="LE399">
        <v>0</v>
      </c>
      <c r="LF399">
        <v>0</v>
      </c>
      <c r="LG399">
        <v>0</v>
      </c>
      <c r="LH399">
        <v>0</v>
      </c>
      <c r="LI399">
        <v>0</v>
      </c>
      <c r="LJ399">
        <v>0</v>
      </c>
      <c r="LK399">
        <v>0</v>
      </c>
      <c r="LL399">
        <v>0</v>
      </c>
      <c r="LM399">
        <v>0</v>
      </c>
      <c r="LN399">
        <v>0</v>
      </c>
      <c r="LO399">
        <v>0</v>
      </c>
      <c r="LP399">
        <v>0</v>
      </c>
      <c r="LQ399">
        <v>0</v>
      </c>
      <c r="LR399">
        <v>0</v>
      </c>
      <c r="LS399">
        <v>0</v>
      </c>
      <c r="LT399">
        <v>0</v>
      </c>
      <c r="LU399">
        <v>0</v>
      </c>
      <c r="LV399">
        <v>0</v>
      </c>
      <c r="LW399">
        <v>0</v>
      </c>
      <c r="LX399">
        <v>0</v>
      </c>
      <c r="LY399">
        <v>0</v>
      </c>
      <c r="LZ399">
        <v>0</v>
      </c>
      <c r="MA399">
        <v>0</v>
      </c>
      <c r="MB399">
        <v>0</v>
      </c>
      <c r="MC399">
        <v>0</v>
      </c>
      <c r="MD399">
        <v>0</v>
      </c>
      <c r="ME399">
        <v>0</v>
      </c>
      <c r="MF399">
        <v>0</v>
      </c>
      <c r="MG399">
        <v>0</v>
      </c>
      <c r="MH399">
        <v>0</v>
      </c>
      <c r="MI399">
        <v>0</v>
      </c>
      <c r="MJ399">
        <v>0</v>
      </c>
      <c r="MK399">
        <v>0</v>
      </c>
      <c r="ML399">
        <v>0</v>
      </c>
      <c r="MM399">
        <v>0</v>
      </c>
      <c r="MN399">
        <v>0</v>
      </c>
      <c r="MO399">
        <v>0</v>
      </c>
      <c r="MP399">
        <v>0</v>
      </c>
      <c r="MQ399">
        <v>0</v>
      </c>
      <c r="MR399">
        <v>0</v>
      </c>
      <c r="MS399">
        <v>0</v>
      </c>
      <c r="MT399">
        <v>0</v>
      </c>
      <c r="MU399">
        <v>0</v>
      </c>
      <c r="MV399">
        <v>0</v>
      </c>
      <c r="MW399">
        <v>0</v>
      </c>
      <c r="MX399">
        <v>0</v>
      </c>
      <c r="MY399">
        <v>0</v>
      </c>
      <c r="MZ399">
        <v>0</v>
      </c>
      <c r="NA399">
        <v>0</v>
      </c>
      <c r="NB399">
        <v>0</v>
      </c>
      <c r="NC399">
        <v>0</v>
      </c>
      <c r="ND399">
        <v>0</v>
      </c>
      <c r="NE399">
        <v>0</v>
      </c>
    </row>
    <row r="400" spans="41:369" x14ac:dyDescent="0.45">
      <c r="AO400">
        <v>0</v>
      </c>
      <c r="AP400">
        <v>0</v>
      </c>
      <c r="AQ400">
        <v>0</v>
      </c>
      <c r="AR400">
        <v>0</v>
      </c>
      <c r="AS400">
        <v>0</v>
      </c>
      <c r="AT400">
        <v>0</v>
      </c>
      <c r="AU400">
        <v>0</v>
      </c>
      <c r="AV400">
        <v>0</v>
      </c>
      <c r="AW400" t="str">
        <v/>
      </c>
      <c r="AX400">
        <v>255</v>
      </c>
      <c r="AY400" s="5" t="str">
        <v/>
      </c>
      <c r="AZ400">
        <v>0</v>
      </c>
      <c r="BA400">
        <v>0</v>
      </c>
      <c r="BB400">
        <v>0</v>
      </c>
      <c r="BC400">
        <v>0</v>
      </c>
      <c r="BD400">
        <v>0</v>
      </c>
      <c r="BE400">
        <v>0</v>
      </c>
      <c r="BF400">
        <v>0</v>
      </c>
      <c r="BG400">
        <v>0</v>
      </c>
      <c r="BH400">
        <v>0</v>
      </c>
      <c r="BI400" t="str">
        <v/>
      </c>
      <c r="BK400">
        <v>394</v>
      </c>
      <c r="BL400">
        <v>0</v>
      </c>
      <c r="BM400">
        <v>0</v>
      </c>
      <c r="BN400">
        <v>0</v>
      </c>
      <c r="BO400">
        <v>0</v>
      </c>
      <c r="BP400">
        <v>0</v>
      </c>
      <c r="BQ400">
        <v>0</v>
      </c>
      <c r="BR400">
        <v>0</v>
      </c>
      <c r="BS400">
        <v>0</v>
      </c>
      <c r="BT400">
        <v>0</v>
      </c>
      <c r="BU400">
        <v>0</v>
      </c>
      <c r="BV400">
        <v>0</v>
      </c>
      <c r="BW400">
        <v>0</v>
      </c>
      <c r="BX400">
        <v>0</v>
      </c>
      <c r="BY400">
        <v>0</v>
      </c>
      <c r="BZ400">
        <v>0</v>
      </c>
      <c r="CA400">
        <v>0</v>
      </c>
      <c r="CB400">
        <v>0</v>
      </c>
      <c r="CC400">
        <v>0</v>
      </c>
      <c r="CD400">
        <v>0</v>
      </c>
      <c r="CE400">
        <v>0</v>
      </c>
      <c r="CF400">
        <v>0</v>
      </c>
      <c r="CG400">
        <v>0</v>
      </c>
      <c r="CH400">
        <v>0</v>
      </c>
      <c r="CI400">
        <v>0</v>
      </c>
      <c r="CJ400">
        <v>0</v>
      </c>
      <c r="CK400">
        <v>0</v>
      </c>
      <c r="CL400">
        <v>0</v>
      </c>
      <c r="CM400">
        <v>0</v>
      </c>
      <c r="CN400">
        <v>0</v>
      </c>
      <c r="CO400">
        <v>0</v>
      </c>
      <c r="CP400">
        <v>0</v>
      </c>
      <c r="CQ400">
        <v>0</v>
      </c>
      <c r="CR400">
        <v>0</v>
      </c>
      <c r="CS400">
        <v>0</v>
      </c>
      <c r="CT400">
        <v>0</v>
      </c>
      <c r="CU400">
        <v>0</v>
      </c>
      <c r="CV400">
        <v>0</v>
      </c>
      <c r="CW400">
        <v>0</v>
      </c>
      <c r="CX400">
        <v>0</v>
      </c>
      <c r="CY400">
        <v>0</v>
      </c>
      <c r="CZ400">
        <v>0</v>
      </c>
      <c r="DA400">
        <v>0</v>
      </c>
      <c r="DB400">
        <v>0</v>
      </c>
      <c r="DC400">
        <v>0</v>
      </c>
      <c r="DD400">
        <v>0</v>
      </c>
      <c r="DE400">
        <v>0</v>
      </c>
      <c r="DF400">
        <v>0</v>
      </c>
      <c r="DG400">
        <v>0</v>
      </c>
      <c r="DH400">
        <v>0</v>
      </c>
      <c r="DI400">
        <v>0</v>
      </c>
      <c r="DJ400">
        <v>0</v>
      </c>
      <c r="DK400">
        <v>0</v>
      </c>
      <c r="DL400">
        <v>0</v>
      </c>
      <c r="DM400">
        <v>0</v>
      </c>
      <c r="DN400">
        <v>0</v>
      </c>
      <c r="DO400">
        <v>0</v>
      </c>
      <c r="DP400">
        <v>0</v>
      </c>
      <c r="DQ400">
        <v>0</v>
      </c>
      <c r="DR400">
        <v>0</v>
      </c>
      <c r="DS400">
        <v>0</v>
      </c>
      <c r="DT400">
        <v>0</v>
      </c>
      <c r="DU400">
        <v>0</v>
      </c>
      <c r="DV400">
        <v>0</v>
      </c>
      <c r="DW400">
        <v>0</v>
      </c>
      <c r="DX400">
        <v>0</v>
      </c>
      <c r="DY400">
        <v>0</v>
      </c>
      <c r="DZ400">
        <v>0</v>
      </c>
      <c r="EA400">
        <v>0</v>
      </c>
      <c r="EB400">
        <v>0</v>
      </c>
      <c r="EC400">
        <v>0</v>
      </c>
      <c r="ED400">
        <v>0</v>
      </c>
      <c r="EE400">
        <v>0</v>
      </c>
      <c r="EF400">
        <v>0</v>
      </c>
      <c r="EG400">
        <v>0</v>
      </c>
      <c r="EH400">
        <v>0</v>
      </c>
      <c r="EI400">
        <v>0</v>
      </c>
      <c r="EJ400">
        <v>0</v>
      </c>
      <c r="EK400">
        <v>0</v>
      </c>
      <c r="EL400">
        <v>0</v>
      </c>
      <c r="EM400">
        <v>0</v>
      </c>
      <c r="EN400">
        <v>0</v>
      </c>
      <c r="EO400">
        <v>0</v>
      </c>
      <c r="EP400">
        <v>0</v>
      </c>
      <c r="EQ400">
        <v>0</v>
      </c>
      <c r="ER400">
        <v>0</v>
      </c>
      <c r="ES400">
        <v>0</v>
      </c>
      <c r="ET400">
        <v>0</v>
      </c>
      <c r="EU400">
        <v>0</v>
      </c>
      <c r="EV400">
        <v>0</v>
      </c>
      <c r="EW400">
        <v>0</v>
      </c>
      <c r="EX400">
        <v>0</v>
      </c>
      <c r="EY400">
        <v>0</v>
      </c>
      <c r="EZ400">
        <v>0</v>
      </c>
      <c r="FA400">
        <v>0</v>
      </c>
      <c r="FB400">
        <v>0</v>
      </c>
      <c r="FC400">
        <v>0</v>
      </c>
      <c r="FD400">
        <v>0</v>
      </c>
      <c r="FE400">
        <v>0</v>
      </c>
      <c r="FF400">
        <v>0</v>
      </c>
      <c r="FG400">
        <v>0</v>
      </c>
      <c r="FH400">
        <v>0</v>
      </c>
      <c r="FI400">
        <v>0</v>
      </c>
      <c r="FJ400">
        <v>0</v>
      </c>
      <c r="FK400">
        <v>0</v>
      </c>
      <c r="FL400">
        <v>0</v>
      </c>
      <c r="FM400">
        <v>0</v>
      </c>
      <c r="FN400">
        <v>0</v>
      </c>
      <c r="FO400">
        <v>0</v>
      </c>
      <c r="FP400">
        <v>0</v>
      </c>
      <c r="FQ400">
        <v>0</v>
      </c>
      <c r="FR400">
        <v>0</v>
      </c>
      <c r="FS400">
        <v>0</v>
      </c>
      <c r="FT400">
        <v>0</v>
      </c>
      <c r="FU400">
        <v>0</v>
      </c>
      <c r="FV400">
        <v>0</v>
      </c>
      <c r="FW400">
        <v>0</v>
      </c>
      <c r="FX400">
        <v>0</v>
      </c>
      <c r="FY400">
        <v>0</v>
      </c>
      <c r="FZ400">
        <v>0</v>
      </c>
      <c r="GA400">
        <v>0</v>
      </c>
      <c r="GB400">
        <v>0</v>
      </c>
      <c r="GC400">
        <v>0</v>
      </c>
      <c r="GD400">
        <v>0</v>
      </c>
      <c r="GE400">
        <v>0</v>
      </c>
      <c r="GF400">
        <v>0</v>
      </c>
      <c r="GG400">
        <v>0</v>
      </c>
      <c r="GH400">
        <v>0</v>
      </c>
      <c r="GI400">
        <v>0</v>
      </c>
      <c r="GJ400">
        <v>0</v>
      </c>
      <c r="GK400">
        <v>0</v>
      </c>
      <c r="GL400">
        <v>0</v>
      </c>
      <c r="GM400">
        <v>0</v>
      </c>
      <c r="GN400">
        <v>0</v>
      </c>
      <c r="GO400">
        <v>0</v>
      </c>
      <c r="GP400">
        <v>0</v>
      </c>
      <c r="GQ400">
        <v>0</v>
      </c>
      <c r="GR400">
        <v>0</v>
      </c>
      <c r="GS400">
        <v>0</v>
      </c>
      <c r="GT400">
        <v>0</v>
      </c>
      <c r="GU400">
        <v>0</v>
      </c>
      <c r="GV400">
        <v>0</v>
      </c>
      <c r="GW400">
        <v>0</v>
      </c>
      <c r="GX400">
        <v>0</v>
      </c>
      <c r="GY400">
        <v>0</v>
      </c>
      <c r="GZ400">
        <v>0</v>
      </c>
      <c r="HA400">
        <v>0</v>
      </c>
      <c r="HB400">
        <v>0</v>
      </c>
      <c r="HC400">
        <v>0</v>
      </c>
      <c r="HD400">
        <v>0</v>
      </c>
      <c r="HE400">
        <v>0</v>
      </c>
      <c r="HF400">
        <v>0</v>
      </c>
      <c r="HG400">
        <v>0</v>
      </c>
      <c r="HH400">
        <v>0</v>
      </c>
      <c r="HI400">
        <v>0</v>
      </c>
      <c r="HJ400">
        <v>0</v>
      </c>
      <c r="HK400">
        <v>0</v>
      </c>
      <c r="HL400">
        <v>0</v>
      </c>
      <c r="HM400">
        <v>0</v>
      </c>
      <c r="HN400">
        <v>0</v>
      </c>
      <c r="HO400">
        <v>0</v>
      </c>
      <c r="HP400">
        <v>0</v>
      </c>
      <c r="HQ400">
        <v>0</v>
      </c>
      <c r="HR400">
        <v>0</v>
      </c>
      <c r="HS400">
        <v>0</v>
      </c>
      <c r="HT400">
        <v>0</v>
      </c>
      <c r="HU400">
        <v>0</v>
      </c>
      <c r="HV400">
        <v>0</v>
      </c>
      <c r="HW400">
        <v>0</v>
      </c>
      <c r="HX400">
        <v>0</v>
      </c>
      <c r="HY400">
        <v>0</v>
      </c>
      <c r="HZ400">
        <v>0</v>
      </c>
      <c r="IA400">
        <v>0</v>
      </c>
      <c r="IB400">
        <v>0</v>
      </c>
      <c r="IC400">
        <v>0</v>
      </c>
      <c r="ID400">
        <v>0</v>
      </c>
      <c r="IE400">
        <v>0</v>
      </c>
      <c r="IF400">
        <v>0</v>
      </c>
      <c r="IG400">
        <v>0</v>
      </c>
      <c r="IH400">
        <v>0</v>
      </c>
      <c r="II400">
        <v>0</v>
      </c>
      <c r="IJ400">
        <v>0</v>
      </c>
      <c r="IK400">
        <v>0</v>
      </c>
      <c r="IL400">
        <v>0</v>
      </c>
      <c r="IM400">
        <v>0</v>
      </c>
      <c r="IN400">
        <v>0</v>
      </c>
      <c r="IO400">
        <v>0</v>
      </c>
      <c r="IP400">
        <v>0</v>
      </c>
      <c r="IQ400">
        <v>0</v>
      </c>
      <c r="IR400">
        <v>0</v>
      </c>
      <c r="IS400">
        <v>0</v>
      </c>
      <c r="IT400">
        <v>0</v>
      </c>
      <c r="IU400">
        <v>0</v>
      </c>
      <c r="IV400">
        <v>0</v>
      </c>
      <c r="IW400">
        <v>0</v>
      </c>
      <c r="IX400">
        <v>0</v>
      </c>
      <c r="IY400">
        <v>0</v>
      </c>
      <c r="IZ400">
        <v>0</v>
      </c>
      <c r="JA400">
        <v>0</v>
      </c>
      <c r="JB400">
        <v>0</v>
      </c>
      <c r="JC400">
        <v>0</v>
      </c>
      <c r="JD400">
        <v>0</v>
      </c>
      <c r="JE400">
        <v>0</v>
      </c>
      <c r="JF400">
        <v>0</v>
      </c>
      <c r="JG400">
        <v>0</v>
      </c>
      <c r="JH400">
        <v>0</v>
      </c>
      <c r="JI400">
        <v>0</v>
      </c>
      <c r="JJ400">
        <v>0</v>
      </c>
      <c r="JK400">
        <v>0</v>
      </c>
      <c r="JL400">
        <v>0</v>
      </c>
      <c r="JM400">
        <v>0</v>
      </c>
      <c r="JN400">
        <v>0</v>
      </c>
      <c r="JO400">
        <v>0</v>
      </c>
      <c r="JP400">
        <v>0</v>
      </c>
      <c r="JQ400">
        <v>0</v>
      </c>
      <c r="JR400">
        <v>0</v>
      </c>
      <c r="JS400">
        <v>0</v>
      </c>
      <c r="JT400">
        <v>0</v>
      </c>
      <c r="JU400">
        <v>0</v>
      </c>
      <c r="JV400">
        <v>0</v>
      </c>
      <c r="JW400">
        <v>0</v>
      </c>
      <c r="JX400">
        <v>0</v>
      </c>
      <c r="JY400">
        <v>0</v>
      </c>
      <c r="JZ400">
        <v>0</v>
      </c>
      <c r="KA400">
        <v>0</v>
      </c>
      <c r="KB400">
        <v>0</v>
      </c>
      <c r="KC400">
        <v>0</v>
      </c>
      <c r="KD400">
        <v>0</v>
      </c>
      <c r="KE400">
        <v>0</v>
      </c>
      <c r="KF400">
        <v>0</v>
      </c>
      <c r="KG400">
        <v>0</v>
      </c>
      <c r="KH400">
        <v>0</v>
      </c>
      <c r="KI400">
        <v>0</v>
      </c>
      <c r="KJ400">
        <v>0</v>
      </c>
      <c r="KK400">
        <v>0</v>
      </c>
      <c r="KL400">
        <v>0</v>
      </c>
      <c r="KM400">
        <v>0</v>
      </c>
      <c r="KN400">
        <v>0</v>
      </c>
      <c r="KO400">
        <v>0</v>
      </c>
      <c r="KP400">
        <v>0</v>
      </c>
      <c r="KQ400">
        <v>0</v>
      </c>
      <c r="KR400">
        <v>0</v>
      </c>
      <c r="KS400">
        <v>0</v>
      </c>
      <c r="KT400">
        <v>0</v>
      </c>
      <c r="KU400">
        <v>0</v>
      </c>
      <c r="KV400">
        <v>0</v>
      </c>
      <c r="KW400">
        <v>0</v>
      </c>
      <c r="KX400">
        <v>0</v>
      </c>
      <c r="KY400">
        <v>0</v>
      </c>
      <c r="KZ400">
        <v>0</v>
      </c>
      <c r="LA400">
        <v>0</v>
      </c>
      <c r="LB400">
        <v>0</v>
      </c>
      <c r="LC400">
        <v>0</v>
      </c>
      <c r="LD400">
        <v>0</v>
      </c>
      <c r="LE400">
        <v>0</v>
      </c>
      <c r="LF400">
        <v>0</v>
      </c>
      <c r="LG400">
        <v>0</v>
      </c>
      <c r="LH400">
        <v>0</v>
      </c>
      <c r="LI400">
        <v>0</v>
      </c>
      <c r="LJ400">
        <v>0</v>
      </c>
      <c r="LK400">
        <v>0</v>
      </c>
      <c r="LL400">
        <v>0</v>
      </c>
      <c r="LM400">
        <v>0</v>
      </c>
      <c r="LN400">
        <v>0</v>
      </c>
      <c r="LO400">
        <v>0</v>
      </c>
      <c r="LP400">
        <v>0</v>
      </c>
      <c r="LQ400">
        <v>0</v>
      </c>
      <c r="LR400">
        <v>0</v>
      </c>
      <c r="LS400">
        <v>0</v>
      </c>
      <c r="LT400">
        <v>0</v>
      </c>
      <c r="LU400">
        <v>0</v>
      </c>
      <c r="LV400">
        <v>0</v>
      </c>
      <c r="LW400">
        <v>0</v>
      </c>
      <c r="LX400">
        <v>0</v>
      </c>
      <c r="LY400">
        <v>0</v>
      </c>
      <c r="LZ400">
        <v>0</v>
      </c>
      <c r="MA400">
        <v>0</v>
      </c>
      <c r="MB400">
        <v>0</v>
      </c>
      <c r="MC400">
        <v>0</v>
      </c>
      <c r="MD400">
        <v>0</v>
      </c>
      <c r="ME400">
        <v>0</v>
      </c>
      <c r="MF400">
        <v>0</v>
      </c>
      <c r="MG400">
        <v>0</v>
      </c>
      <c r="MH400">
        <v>0</v>
      </c>
      <c r="MI400">
        <v>0</v>
      </c>
      <c r="MJ400">
        <v>0</v>
      </c>
      <c r="MK400">
        <v>0</v>
      </c>
      <c r="ML400">
        <v>0</v>
      </c>
      <c r="MM400">
        <v>0</v>
      </c>
      <c r="MN400">
        <v>0</v>
      </c>
      <c r="MO400">
        <v>0</v>
      </c>
      <c r="MP400">
        <v>0</v>
      </c>
      <c r="MQ400">
        <v>0</v>
      </c>
      <c r="MR400">
        <v>0</v>
      </c>
      <c r="MS400">
        <v>0</v>
      </c>
      <c r="MT400">
        <v>0</v>
      </c>
      <c r="MU400">
        <v>0</v>
      </c>
      <c r="MV400">
        <v>0</v>
      </c>
      <c r="MW400">
        <v>0</v>
      </c>
      <c r="MX400">
        <v>0</v>
      </c>
      <c r="MY400">
        <v>0</v>
      </c>
      <c r="MZ400">
        <v>0</v>
      </c>
      <c r="NA400">
        <v>0</v>
      </c>
      <c r="NB400">
        <v>0</v>
      </c>
      <c r="NC400">
        <v>0</v>
      </c>
      <c r="ND400">
        <v>0</v>
      </c>
      <c r="NE400">
        <v>0</v>
      </c>
    </row>
    <row r="401" spans="41:369" x14ac:dyDescent="0.45">
      <c r="AO401">
        <v>0</v>
      </c>
      <c r="AP401">
        <v>0</v>
      </c>
      <c r="AQ401">
        <v>0</v>
      </c>
      <c r="AR401">
        <v>0</v>
      </c>
      <c r="AS401">
        <v>0</v>
      </c>
      <c r="AT401">
        <v>0</v>
      </c>
      <c r="AU401">
        <v>0</v>
      </c>
      <c r="AV401">
        <v>0</v>
      </c>
      <c r="AW401" t="str">
        <v/>
      </c>
      <c r="AX401">
        <v>255</v>
      </c>
      <c r="AY401" s="5" t="str">
        <v/>
      </c>
      <c r="AZ401">
        <v>0</v>
      </c>
      <c r="BA401">
        <v>0</v>
      </c>
      <c r="BB401">
        <v>0</v>
      </c>
      <c r="BC401">
        <v>0</v>
      </c>
      <c r="BD401">
        <v>0</v>
      </c>
      <c r="BE401">
        <v>0</v>
      </c>
      <c r="BF401">
        <v>0</v>
      </c>
      <c r="BG401">
        <v>0</v>
      </c>
      <c r="BH401">
        <v>0</v>
      </c>
      <c r="BI401" t="str">
        <v/>
      </c>
      <c r="BK401">
        <v>395</v>
      </c>
      <c r="BL401">
        <v>0</v>
      </c>
      <c r="BM401">
        <v>0</v>
      </c>
      <c r="BN401">
        <v>0</v>
      </c>
      <c r="BO401">
        <v>0</v>
      </c>
      <c r="BP401">
        <v>0</v>
      </c>
      <c r="BQ401">
        <v>0</v>
      </c>
      <c r="BR401">
        <v>0</v>
      </c>
      <c r="BS401">
        <v>0</v>
      </c>
      <c r="BT401">
        <v>0</v>
      </c>
      <c r="BU401">
        <v>0</v>
      </c>
      <c r="BV401">
        <v>0</v>
      </c>
      <c r="BW401">
        <v>0</v>
      </c>
      <c r="BX401">
        <v>0</v>
      </c>
      <c r="BY401">
        <v>0</v>
      </c>
      <c r="BZ401">
        <v>0</v>
      </c>
      <c r="CA401">
        <v>0</v>
      </c>
      <c r="CB401">
        <v>0</v>
      </c>
      <c r="CC401">
        <v>0</v>
      </c>
      <c r="CD401">
        <v>0</v>
      </c>
      <c r="CE401">
        <v>0</v>
      </c>
      <c r="CF401">
        <v>0</v>
      </c>
      <c r="CG401">
        <v>0</v>
      </c>
      <c r="CH401">
        <v>0</v>
      </c>
      <c r="CI401">
        <v>0</v>
      </c>
      <c r="CJ401">
        <v>0</v>
      </c>
      <c r="CK401">
        <v>0</v>
      </c>
      <c r="CL401">
        <v>0</v>
      </c>
      <c r="CM401">
        <v>0</v>
      </c>
      <c r="CN401">
        <v>0</v>
      </c>
      <c r="CO401">
        <v>0</v>
      </c>
      <c r="CP401">
        <v>0</v>
      </c>
      <c r="CQ401">
        <v>0</v>
      </c>
      <c r="CR401">
        <v>0</v>
      </c>
      <c r="CS401">
        <v>0</v>
      </c>
      <c r="CT401">
        <v>0</v>
      </c>
      <c r="CU401">
        <v>0</v>
      </c>
      <c r="CV401">
        <v>0</v>
      </c>
      <c r="CW401">
        <v>0</v>
      </c>
      <c r="CX401">
        <v>0</v>
      </c>
      <c r="CY401">
        <v>0</v>
      </c>
      <c r="CZ401">
        <v>0</v>
      </c>
      <c r="DA401">
        <v>0</v>
      </c>
      <c r="DB401">
        <v>0</v>
      </c>
      <c r="DC401">
        <v>0</v>
      </c>
      <c r="DD401">
        <v>0</v>
      </c>
      <c r="DE401">
        <v>0</v>
      </c>
      <c r="DF401">
        <v>0</v>
      </c>
      <c r="DG401">
        <v>0</v>
      </c>
      <c r="DH401">
        <v>0</v>
      </c>
      <c r="DI401">
        <v>0</v>
      </c>
      <c r="DJ401">
        <v>0</v>
      </c>
      <c r="DK401">
        <v>0</v>
      </c>
      <c r="DL401">
        <v>0</v>
      </c>
      <c r="DM401">
        <v>0</v>
      </c>
      <c r="DN401">
        <v>0</v>
      </c>
      <c r="DO401">
        <v>0</v>
      </c>
      <c r="DP401">
        <v>0</v>
      </c>
      <c r="DQ401">
        <v>0</v>
      </c>
      <c r="DR401">
        <v>0</v>
      </c>
      <c r="DS401">
        <v>0</v>
      </c>
      <c r="DT401">
        <v>0</v>
      </c>
      <c r="DU401">
        <v>0</v>
      </c>
      <c r="DV401">
        <v>0</v>
      </c>
      <c r="DW401">
        <v>0</v>
      </c>
      <c r="DX401">
        <v>0</v>
      </c>
      <c r="DY401">
        <v>0</v>
      </c>
      <c r="DZ401">
        <v>0</v>
      </c>
      <c r="EA401">
        <v>0</v>
      </c>
      <c r="EB401">
        <v>0</v>
      </c>
      <c r="EC401">
        <v>0</v>
      </c>
      <c r="ED401">
        <v>0</v>
      </c>
      <c r="EE401">
        <v>0</v>
      </c>
      <c r="EF401">
        <v>0</v>
      </c>
      <c r="EG401">
        <v>0</v>
      </c>
      <c r="EH401">
        <v>0</v>
      </c>
      <c r="EI401">
        <v>0</v>
      </c>
      <c r="EJ401">
        <v>0</v>
      </c>
      <c r="EK401">
        <v>0</v>
      </c>
      <c r="EL401">
        <v>0</v>
      </c>
      <c r="EM401">
        <v>0</v>
      </c>
      <c r="EN401">
        <v>0</v>
      </c>
      <c r="EO401">
        <v>0</v>
      </c>
      <c r="EP401">
        <v>0</v>
      </c>
      <c r="EQ401">
        <v>0</v>
      </c>
      <c r="ER401">
        <v>0</v>
      </c>
      <c r="ES401">
        <v>0</v>
      </c>
      <c r="ET401">
        <v>0</v>
      </c>
      <c r="EU401">
        <v>0</v>
      </c>
      <c r="EV401">
        <v>0</v>
      </c>
      <c r="EW401">
        <v>0</v>
      </c>
      <c r="EX401">
        <v>0</v>
      </c>
      <c r="EY401">
        <v>0</v>
      </c>
      <c r="EZ401">
        <v>0</v>
      </c>
      <c r="FA401">
        <v>0</v>
      </c>
      <c r="FB401">
        <v>0</v>
      </c>
      <c r="FC401">
        <v>0</v>
      </c>
      <c r="FD401">
        <v>0</v>
      </c>
      <c r="FE401">
        <v>0</v>
      </c>
      <c r="FF401">
        <v>0</v>
      </c>
      <c r="FG401">
        <v>0</v>
      </c>
      <c r="FH401">
        <v>0</v>
      </c>
      <c r="FI401">
        <v>0</v>
      </c>
      <c r="FJ401">
        <v>0</v>
      </c>
      <c r="FK401">
        <v>0</v>
      </c>
      <c r="FL401">
        <v>0</v>
      </c>
      <c r="FM401">
        <v>0</v>
      </c>
      <c r="FN401">
        <v>0</v>
      </c>
      <c r="FO401">
        <v>0</v>
      </c>
      <c r="FP401">
        <v>0</v>
      </c>
      <c r="FQ401">
        <v>0</v>
      </c>
      <c r="FR401">
        <v>0</v>
      </c>
      <c r="FS401">
        <v>0</v>
      </c>
      <c r="FT401">
        <v>0</v>
      </c>
      <c r="FU401">
        <v>0</v>
      </c>
      <c r="FV401">
        <v>0</v>
      </c>
      <c r="FW401">
        <v>0</v>
      </c>
      <c r="FX401">
        <v>0</v>
      </c>
      <c r="FY401">
        <v>0</v>
      </c>
      <c r="FZ401">
        <v>0</v>
      </c>
      <c r="GA401">
        <v>0</v>
      </c>
      <c r="GB401">
        <v>0</v>
      </c>
      <c r="GC401">
        <v>0</v>
      </c>
      <c r="GD401">
        <v>0</v>
      </c>
      <c r="GE401">
        <v>0</v>
      </c>
      <c r="GF401">
        <v>0</v>
      </c>
      <c r="GG401">
        <v>0</v>
      </c>
      <c r="GH401">
        <v>0</v>
      </c>
      <c r="GI401">
        <v>0</v>
      </c>
      <c r="GJ401">
        <v>0</v>
      </c>
      <c r="GK401">
        <v>0</v>
      </c>
      <c r="GL401">
        <v>0</v>
      </c>
      <c r="GM401">
        <v>0</v>
      </c>
      <c r="GN401">
        <v>0</v>
      </c>
      <c r="GO401">
        <v>0</v>
      </c>
      <c r="GP401">
        <v>0</v>
      </c>
      <c r="GQ401">
        <v>0</v>
      </c>
      <c r="GR401">
        <v>0</v>
      </c>
      <c r="GS401">
        <v>0</v>
      </c>
      <c r="GT401">
        <v>0</v>
      </c>
      <c r="GU401">
        <v>0</v>
      </c>
      <c r="GV401">
        <v>0</v>
      </c>
      <c r="GW401">
        <v>0</v>
      </c>
      <c r="GX401">
        <v>0</v>
      </c>
      <c r="GY401">
        <v>0</v>
      </c>
      <c r="GZ401">
        <v>0</v>
      </c>
      <c r="HA401">
        <v>0</v>
      </c>
      <c r="HB401">
        <v>0</v>
      </c>
      <c r="HC401">
        <v>0</v>
      </c>
      <c r="HD401">
        <v>0</v>
      </c>
      <c r="HE401">
        <v>0</v>
      </c>
      <c r="HF401">
        <v>0</v>
      </c>
      <c r="HG401">
        <v>0</v>
      </c>
      <c r="HH401">
        <v>0</v>
      </c>
      <c r="HI401">
        <v>0</v>
      </c>
      <c r="HJ401">
        <v>0</v>
      </c>
      <c r="HK401">
        <v>0</v>
      </c>
      <c r="HL401">
        <v>0</v>
      </c>
      <c r="HM401">
        <v>0</v>
      </c>
      <c r="HN401">
        <v>0</v>
      </c>
      <c r="HO401">
        <v>0</v>
      </c>
      <c r="HP401">
        <v>0</v>
      </c>
      <c r="HQ401">
        <v>0</v>
      </c>
      <c r="HR401">
        <v>0</v>
      </c>
      <c r="HS401">
        <v>0</v>
      </c>
      <c r="HT401">
        <v>0</v>
      </c>
      <c r="HU401">
        <v>0</v>
      </c>
      <c r="HV401">
        <v>0</v>
      </c>
      <c r="HW401">
        <v>0</v>
      </c>
      <c r="HX401">
        <v>0</v>
      </c>
      <c r="HY401">
        <v>0</v>
      </c>
      <c r="HZ401">
        <v>0</v>
      </c>
      <c r="IA401">
        <v>0</v>
      </c>
      <c r="IB401">
        <v>0</v>
      </c>
      <c r="IC401">
        <v>0</v>
      </c>
      <c r="ID401">
        <v>0</v>
      </c>
      <c r="IE401">
        <v>0</v>
      </c>
      <c r="IF401">
        <v>0</v>
      </c>
      <c r="IG401">
        <v>0</v>
      </c>
      <c r="IH401">
        <v>0</v>
      </c>
      <c r="II401">
        <v>0</v>
      </c>
      <c r="IJ401">
        <v>0</v>
      </c>
      <c r="IK401">
        <v>0</v>
      </c>
      <c r="IL401">
        <v>0</v>
      </c>
      <c r="IM401">
        <v>0</v>
      </c>
      <c r="IN401">
        <v>0</v>
      </c>
      <c r="IO401">
        <v>0</v>
      </c>
      <c r="IP401">
        <v>0</v>
      </c>
      <c r="IQ401">
        <v>0</v>
      </c>
      <c r="IR401">
        <v>0</v>
      </c>
      <c r="IS401">
        <v>0</v>
      </c>
      <c r="IT401">
        <v>0</v>
      </c>
      <c r="IU401">
        <v>0</v>
      </c>
      <c r="IV401">
        <v>0</v>
      </c>
      <c r="IW401">
        <v>0</v>
      </c>
      <c r="IX401">
        <v>0</v>
      </c>
      <c r="IY401">
        <v>0</v>
      </c>
      <c r="IZ401">
        <v>0</v>
      </c>
      <c r="JA401">
        <v>0</v>
      </c>
      <c r="JB401">
        <v>0</v>
      </c>
      <c r="JC401">
        <v>0</v>
      </c>
      <c r="JD401">
        <v>0</v>
      </c>
      <c r="JE401">
        <v>0</v>
      </c>
      <c r="JF401">
        <v>0</v>
      </c>
      <c r="JG401">
        <v>0</v>
      </c>
      <c r="JH401">
        <v>0</v>
      </c>
      <c r="JI401">
        <v>0</v>
      </c>
      <c r="JJ401">
        <v>0</v>
      </c>
      <c r="JK401">
        <v>0</v>
      </c>
      <c r="JL401">
        <v>0</v>
      </c>
      <c r="JM401">
        <v>0</v>
      </c>
      <c r="JN401">
        <v>0</v>
      </c>
      <c r="JO401">
        <v>0</v>
      </c>
      <c r="JP401">
        <v>0</v>
      </c>
      <c r="JQ401">
        <v>0</v>
      </c>
      <c r="JR401">
        <v>0</v>
      </c>
      <c r="JS401">
        <v>0</v>
      </c>
      <c r="JT401">
        <v>0</v>
      </c>
      <c r="JU401">
        <v>0</v>
      </c>
      <c r="JV401">
        <v>0</v>
      </c>
      <c r="JW401">
        <v>0</v>
      </c>
      <c r="JX401">
        <v>0</v>
      </c>
      <c r="JY401">
        <v>0</v>
      </c>
      <c r="JZ401">
        <v>0</v>
      </c>
      <c r="KA401">
        <v>0</v>
      </c>
      <c r="KB401">
        <v>0</v>
      </c>
      <c r="KC401">
        <v>0</v>
      </c>
      <c r="KD401">
        <v>0</v>
      </c>
      <c r="KE401">
        <v>0</v>
      </c>
      <c r="KF401">
        <v>0</v>
      </c>
      <c r="KG401">
        <v>0</v>
      </c>
      <c r="KH401">
        <v>0</v>
      </c>
      <c r="KI401">
        <v>0</v>
      </c>
      <c r="KJ401">
        <v>0</v>
      </c>
      <c r="KK401">
        <v>0</v>
      </c>
      <c r="KL401">
        <v>0</v>
      </c>
      <c r="KM401">
        <v>0</v>
      </c>
      <c r="KN401">
        <v>0</v>
      </c>
      <c r="KO401">
        <v>0</v>
      </c>
      <c r="KP401">
        <v>0</v>
      </c>
      <c r="KQ401">
        <v>0</v>
      </c>
      <c r="KR401">
        <v>0</v>
      </c>
      <c r="KS401">
        <v>0</v>
      </c>
      <c r="KT401">
        <v>0</v>
      </c>
      <c r="KU401">
        <v>0</v>
      </c>
      <c r="KV401">
        <v>0</v>
      </c>
      <c r="KW401">
        <v>0</v>
      </c>
      <c r="KX401">
        <v>0</v>
      </c>
      <c r="KY401">
        <v>0</v>
      </c>
      <c r="KZ401">
        <v>0</v>
      </c>
      <c r="LA401">
        <v>0</v>
      </c>
      <c r="LB401">
        <v>0</v>
      </c>
      <c r="LC401">
        <v>0</v>
      </c>
      <c r="LD401">
        <v>0</v>
      </c>
      <c r="LE401">
        <v>0</v>
      </c>
      <c r="LF401">
        <v>0</v>
      </c>
      <c r="LG401">
        <v>0</v>
      </c>
      <c r="LH401">
        <v>0</v>
      </c>
      <c r="LI401">
        <v>0</v>
      </c>
      <c r="LJ401">
        <v>0</v>
      </c>
      <c r="LK401">
        <v>0</v>
      </c>
      <c r="LL401">
        <v>0</v>
      </c>
      <c r="LM401">
        <v>0</v>
      </c>
      <c r="LN401">
        <v>0</v>
      </c>
      <c r="LO401">
        <v>0</v>
      </c>
      <c r="LP401">
        <v>0</v>
      </c>
      <c r="LQ401">
        <v>0</v>
      </c>
      <c r="LR401">
        <v>0</v>
      </c>
      <c r="LS401">
        <v>0</v>
      </c>
      <c r="LT401">
        <v>0</v>
      </c>
      <c r="LU401">
        <v>0</v>
      </c>
      <c r="LV401">
        <v>0</v>
      </c>
      <c r="LW401">
        <v>0</v>
      </c>
      <c r="LX401">
        <v>0</v>
      </c>
      <c r="LY401">
        <v>0</v>
      </c>
      <c r="LZ401">
        <v>0</v>
      </c>
      <c r="MA401">
        <v>0</v>
      </c>
      <c r="MB401">
        <v>0</v>
      </c>
      <c r="MC401">
        <v>0</v>
      </c>
      <c r="MD401">
        <v>0</v>
      </c>
      <c r="ME401">
        <v>0</v>
      </c>
      <c r="MF401">
        <v>0</v>
      </c>
      <c r="MG401">
        <v>0</v>
      </c>
      <c r="MH401">
        <v>0</v>
      </c>
      <c r="MI401">
        <v>0</v>
      </c>
      <c r="MJ401">
        <v>0</v>
      </c>
      <c r="MK401">
        <v>0</v>
      </c>
      <c r="ML401">
        <v>0</v>
      </c>
      <c r="MM401">
        <v>0</v>
      </c>
      <c r="MN401">
        <v>0</v>
      </c>
      <c r="MO401">
        <v>0</v>
      </c>
      <c r="MP401">
        <v>0</v>
      </c>
      <c r="MQ401">
        <v>0</v>
      </c>
      <c r="MR401">
        <v>0</v>
      </c>
      <c r="MS401">
        <v>0</v>
      </c>
      <c r="MT401">
        <v>0</v>
      </c>
      <c r="MU401">
        <v>0</v>
      </c>
      <c r="MV401">
        <v>0</v>
      </c>
      <c r="MW401">
        <v>0</v>
      </c>
      <c r="MX401">
        <v>0</v>
      </c>
      <c r="MY401">
        <v>0</v>
      </c>
      <c r="MZ401">
        <v>0</v>
      </c>
      <c r="NA401">
        <v>0</v>
      </c>
      <c r="NB401">
        <v>0</v>
      </c>
      <c r="NC401">
        <v>0</v>
      </c>
      <c r="ND401">
        <v>0</v>
      </c>
      <c r="NE401">
        <v>0</v>
      </c>
    </row>
    <row r="402" spans="41:369" x14ac:dyDescent="0.45">
      <c r="AO402">
        <v>0</v>
      </c>
      <c r="AP402">
        <v>0</v>
      </c>
      <c r="AQ402">
        <v>0</v>
      </c>
      <c r="AR402">
        <v>0</v>
      </c>
      <c r="AS402">
        <v>0</v>
      </c>
      <c r="AT402">
        <v>0</v>
      </c>
      <c r="AU402">
        <v>0</v>
      </c>
      <c r="AV402">
        <v>0</v>
      </c>
      <c r="AW402" t="str">
        <v/>
      </c>
      <c r="AX402">
        <v>255</v>
      </c>
      <c r="AY402" s="5" t="str">
        <v/>
      </c>
      <c r="AZ402">
        <v>0</v>
      </c>
      <c r="BA402">
        <v>0</v>
      </c>
      <c r="BB402">
        <v>0</v>
      </c>
      <c r="BC402">
        <v>0</v>
      </c>
      <c r="BD402">
        <v>0</v>
      </c>
      <c r="BE402">
        <v>0</v>
      </c>
      <c r="BF402">
        <v>0</v>
      </c>
      <c r="BG402">
        <v>0</v>
      </c>
      <c r="BH402">
        <v>0</v>
      </c>
      <c r="BI402" t="str">
        <v/>
      </c>
      <c r="BK402">
        <v>396</v>
      </c>
      <c r="BL402">
        <v>0</v>
      </c>
      <c r="BM402">
        <v>0</v>
      </c>
      <c r="BN402">
        <v>0</v>
      </c>
      <c r="BO402">
        <v>0</v>
      </c>
      <c r="BP402">
        <v>0</v>
      </c>
      <c r="BQ402">
        <v>0</v>
      </c>
      <c r="BR402">
        <v>0</v>
      </c>
      <c r="BS402">
        <v>0</v>
      </c>
      <c r="BT402">
        <v>0</v>
      </c>
      <c r="BU402">
        <v>0</v>
      </c>
      <c r="BV402">
        <v>0</v>
      </c>
      <c r="BW402">
        <v>0</v>
      </c>
      <c r="BX402">
        <v>0</v>
      </c>
      <c r="BY402">
        <v>0</v>
      </c>
      <c r="BZ402">
        <v>0</v>
      </c>
      <c r="CA402">
        <v>0</v>
      </c>
      <c r="CB402">
        <v>0</v>
      </c>
      <c r="CC402">
        <v>0</v>
      </c>
      <c r="CD402">
        <v>0</v>
      </c>
      <c r="CE402">
        <v>0</v>
      </c>
      <c r="CF402">
        <v>0</v>
      </c>
      <c r="CG402">
        <v>0</v>
      </c>
      <c r="CH402">
        <v>0</v>
      </c>
      <c r="CI402">
        <v>0</v>
      </c>
      <c r="CJ402">
        <v>0</v>
      </c>
      <c r="CK402">
        <v>0</v>
      </c>
      <c r="CL402">
        <v>0</v>
      </c>
      <c r="CM402">
        <v>0</v>
      </c>
      <c r="CN402">
        <v>0</v>
      </c>
      <c r="CO402">
        <v>0</v>
      </c>
      <c r="CP402">
        <v>0</v>
      </c>
      <c r="CQ402">
        <v>0</v>
      </c>
      <c r="CR402">
        <v>0</v>
      </c>
      <c r="CS402">
        <v>0</v>
      </c>
      <c r="CT402">
        <v>0</v>
      </c>
      <c r="CU402">
        <v>0</v>
      </c>
      <c r="CV402">
        <v>0</v>
      </c>
      <c r="CW402">
        <v>0</v>
      </c>
      <c r="CX402">
        <v>0</v>
      </c>
      <c r="CY402">
        <v>0</v>
      </c>
      <c r="CZ402">
        <v>0</v>
      </c>
      <c r="DA402">
        <v>0</v>
      </c>
      <c r="DB402">
        <v>0</v>
      </c>
      <c r="DC402">
        <v>0</v>
      </c>
      <c r="DD402">
        <v>0</v>
      </c>
      <c r="DE402">
        <v>0</v>
      </c>
      <c r="DF402">
        <v>0</v>
      </c>
      <c r="DG402">
        <v>0</v>
      </c>
      <c r="DH402">
        <v>0</v>
      </c>
      <c r="DI402">
        <v>0</v>
      </c>
      <c r="DJ402">
        <v>0</v>
      </c>
      <c r="DK402">
        <v>0</v>
      </c>
      <c r="DL402">
        <v>0</v>
      </c>
      <c r="DM402">
        <v>0</v>
      </c>
      <c r="DN402">
        <v>0</v>
      </c>
      <c r="DO402">
        <v>0</v>
      </c>
      <c r="DP402">
        <v>0</v>
      </c>
      <c r="DQ402">
        <v>0</v>
      </c>
      <c r="DR402">
        <v>0</v>
      </c>
      <c r="DS402">
        <v>0</v>
      </c>
      <c r="DT402">
        <v>0</v>
      </c>
      <c r="DU402">
        <v>0</v>
      </c>
      <c r="DV402">
        <v>0</v>
      </c>
      <c r="DW402">
        <v>0</v>
      </c>
      <c r="DX402">
        <v>0</v>
      </c>
      <c r="DY402">
        <v>0</v>
      </c>
      <c r="DZ402">
        <v>0</v>
      </c>
      <c r="EA402">
        <v>0</v>
      </c>
      <c r="EB402">
        <v>0</v>
      </c>
      <c r="EC402">
        <v>0</v>
      </c>
      <c r="ED402">
        <v>0</v>
      </c>
      <c r="EE402">
        <v>0</v>
      </c>
      <c r="EF402">
        <v>0</v>
      </c>
      <c r="EG402">
        <v>0</v>
      </c>
      <c r="EH402">
        <v>0</v>
      </c>
      <c r="EI402">
        <v>0</v>
      </c>
      <c r="EJ402">
        <v>0</v>
      </c>
      <c r="EK402">
        <v>0</v>
      </c>
      <c r="EL402">
        <v>0</v>
      </c>
      <c r="EM402">
        <v>0</v>
      </c>
      <c r="EN402">
        <v>0</v>
      </c>
      <c r="EO402">
        <v>0</v>
      </c>
      <c r="EP402">
        <v>0</v>
      </c>
      <c r="EQ402">
        <v>0</v>
      </c>
      <c r="ER402">
        <v>0</v>
      </c>
      <c r="ES402">
        <v>0</v>
      </c>
      <c r="ET402">
        <v>0</v>
      </c>
      <c r="EU402">
        <v>0</v>
      </c>
      <c r="EV402">
        <v>0</v>
      </c>
      <c r="EW402">
        <v>0</v>
      </c>
      <c r="EX402">
        <v>0</v>
      </c>
      <c r="EY402">
        <v>0</v>
      </c>
      <c r="EZ402">
        <v>0</v>
      </c>
      <c r="FA402">
        <v>0</v>
      </c>
      <c r="FB402">
        <v>0</v>
      </c>
      <c r="FC402">
        <v>0</v>
      </c>
      <c r="FD402">
        <v>0</v>
      </c>
      <c r="FE402">
        <v>0</v>
      </c>
      <c r="FF402">
        <v>0</v>
      </c>
      <c r="FG402">
        <v>0</v>
      </c>
      <c r="FH402">
        <v>0</v>
      </c>
      <c r="FI402">
        <v>0</v>
      </c>
      <c r="FJ402">
        <v>0</v>
      </c>
      <c r="FK402">
        <v>0</v>
      </c>
      <c r="FL402">
        <v>0</v>
      </c>
      <c r="FM402">
        <v>0</v>
      </c>
      <c r="FN402">
        <v>0</v>
      </c>
      <c r="FO402">
        <v>0</v>
      </c>
      <c r="FP402">
        <v>0</v>
      </c>
      <c r="FQ402">
        <v>0</v>
      </c>
      <c r="FR402">
        <v>0</v>
      </c>
      <c r="FS402">
        <v>0</v>
      </c>
      <c r="FT402">
        <v>0</v>
      </c>
      <c r="FU402">
        <v>0</v>
      </c>
      <c r="FV402">
        <v>0</v>
      </c>
      <c r="FW402">
        <v>0</v>
      </c>
      <c r="FX402">
        <v>0</v>
      </c>
      <c r="FY402">
        <v>0</v>
      </c>
      <c r="FZ402">
        <v>0</v>
      </c>
      <c r="GA402">
        <v>0</v>
      </c>
      <c r="GB402">
        <v>0</v>
      </c>
      <c r="GC402">
        <v>0</v>
      </c>
      <c r="GD402">
        <v>0</v>
      </c>
      <c r="GE402">
        <v>0</v>
      </c>
      <c r="GF402">
        <v>0</v>
      </c>
      <c r="GG402">
        <v>0</v>
      </c>
      <c r="GH402">
        <v>0</v>
      </c>
      <c r="GI402">
        <v>0</v>
      </c>
      <c r="GJ402">
        <v>0</v>
      </c>
      <c r="GK402">
        <v>0</v>
      </c>
      <c r="GL402">
        <v>0</v>
      </c>
      <c r="GM402">
        <v>0</v>
      </c>
      <c r="GN402">
        <v>0</v>
      </c>
      <c r="GO402">
        <v>0</v>
      </c>
      <c r="GP402">
        <v>0</v>
      </c>
      <c r="GQ402">
        <v>0</v>
      </c>
      <c r="GR402">
        <v>0</v>
      </c>
      <c r="GS402">
        <v>0</v>
      </c>
      <c r="GT402">
        <v>0</v>
      </c>
      <c r="GU402">
        <v>0</v>
      </c>
      <c r="GV402">
        <v>0</v>
      </c>
      <c r="GW402">
        <v>0</v>
      </c>
      <c r="GX402">
        <v>0</v>
      </c>
      <c r="GY402">
        <v>0</v>
      </c>
      <c r="GZ402">
        <v>0</v>
      </c>
      <c r="HA402">
        <v>0</v>
      </c>
      <c r="HB402">
        <v>0</v>
      </c>
      <c r="HC402">
        <v>0</v>
      </c>
      <c r="HD402">
        <v>0</v>
      </c>
      <c r="HE402">
        <v>0</v>
      </c>
      <c r="HF402">
        <v>0</v>
      </c>
      <c r="HG402">
        <v>0</v>
      </c>
      <c r="HH402">
        <v>0</v>
      </c>
      <c r="HI402">
        <v>0</v>
      </c>
      <c r="HJ402">
        <v>0</v>
      </c>
      <c r="HK402">
        <v>0</v>
      </c>
      <c r="HL402">
        <v>0</v>
      </c>
      <c r="HM402">
        <v>0</v>
      </c>
      <c r="HN402">
        <v>0</v>
      </c>
      <c r="HO402">
        <v>0</v>
      </c>
      <c r="HP402">
        <v>0</v>
      </c>
      <c r="HQ402">
        <v>0</v>
      </c>
      <c r="HR402">
        <v>0</v>
      </c>
      <c r="HS402">
        <v>0</v>
      </c>
      <c r="HT402">
        <v>0</v>
      </c>
      <c r="HU402">
        <v>0</v>
      </c>
      <c r="HV402">
        <v>0</v>
      </c>
      <c r="HW402">
        <v>0</v>
      </c>
      <c r="HX402">
        <v>0</v>
      </c>
      <c r="HY402">
        <v>0</v>
      </c>
      <c r="HZ402">
        <v>0</v>
      </c>
      <c r="IA402">
        <v>0</v>
      </c>
      <c r="IB402">
        <v>0</v>
      </c>
      <c r="IC402">
        <v>0</v>
      </c>
      <c r="ID402">
        <v>0</v>
      </c>
      <c r="IE402">
        <v>0</v>
      </c>
      <c r="IF402">
        <v>0</v>
      </c>
      <c r="IG402">
        <v>0</v>
      </c>
      <c r="IH402">
        <v>0</v>
      </c>
      <c r="II402">
        <v>0</v>
      </c>
      <c r="IJ402">
        <v>0</v>
      </c>
      <c r="IK402">
        <v>0</v>
      </c>
      <c r="IL402">
        <v>0</v>
      </c>
      <c r="IM402">
        <v>0</v>
      </c>
      <c r="IN402">
        <v>0</v>
      </c>
      <c r="IO402">
        <v>0</v>
      </c>
      <c r="IP402">
        <v>0</v>
      </c>
      <c r="IQ402">
        <v>0</v>
      </c>
      <c r="IR402">
        <v>0</v>
      </c>
      <c r="IS402">
        <v>0</v>
      </c>
      <c r="IT402">
        <v>0</v>
      </c>
      <c r="IU402">
        <v>0</v>
      </c>
      <c r="IV402">
        <v>0</v>
      </c>
      <c r="IW402">
        <v>0</v>
      </c>
      <c r="IX402">
        <v>0</v>
      </c>
      <c r="IY402">
        <v>0</v>
      </c>
      <c r="IZ402">
        <v>0</v>
      </c>
      <c r="JA402">
        <v>0</v>
      </c>
      <c r="JB402">
        <v>0</v>
      </c>
      <c r="JC402">
        <v>0</v>
      </c>
      <c r="JD402">
        <v>0</v>
      </c>
      <c r="JE402">
        <v>0</v>
      </c>
      <c r="JF402">
        <v>0</v>
      </c>
      <c r="JG402">
        <v>0</v>
      </c>
      <c r="JH402">
        <v>0</v>
      </c>
      <c r="JI402">
        <v>0</v>
      </c>
      <c r="JJ402">
        <v>0</v>
      </c>
      <c r="JK402">
        <v>0</v>
      </c>
      <c r="JL402">
        <v>0</v>
      </c>
      <c r="JM402">
        <v>0</v>
      </c>
      <c r="JN402">
        <v>0</v>
      </c>
      <c r="JO402">
        <v>0</v>
      </c>
      <c r="JP402">
        <v>0</v>
      </c>
      <c r="JQ402">
        <v>0</v>
      </c>
      <c r="JR402">
        <v>0</v>
      </c>
      <c r="JS402">
        <v>0</v>
      </c>
      <c r="JT402">
        <v>0</v>
      </c>
      <c r="JU402">
        <v>0</v>
      </c>
      <c r="JV402">
        <v>0</v>
      </c>
      <c r="JW402">
        <v>0</v>
      </c>
      <c r="JX402">
        <v>0</v>
      </c>
      <c r="JY402">
        <v>0</v>
      </c>
      <c r="JZ402">
        <v>0</v>
      </c>
      <c r="KA402">
        <v>0</v>
      </c>
      <c r="KB402">
        <v>0</v>
      </c>
      <c r="KC402">
        <v>0</v>
      </c>
      <c r="KD402">
        <v>0</v>
      </c>
      <c r="KE402">
        <v>0</v>
      </c>
      <c r="KF402">
        <v>0</v>
      </c>
      <c r="KG402">
        <v>0</v>
      </c>
      <c r="KH402">
        <v>0</v>
      </c>
      <c r="KI402">
        <v>0</v>
      </c>
      <c r="KJ402">
        <v>0</v>
      </c>
      <c r="KK402">
        <v>0</v>
      </c>
      <c r="KL402">
        <v>0</v>
      </c>
      <c r="KM402">
        <v>0</v>
      </c>
      <c r="KN402">
        <v>0</v>
      </c>
      <c r="KO402">
        <v>0</v>
      </c>
      <c r="KP402">
        <v>0</v>
      </c>
      <c r="KQ402">
        <v>0</v>
      </c>
      <c r="KR402">
        <v>0</v>
      </c>
      <c r="KS402">
        <v>0</v>
      </c>
      <c r="KT402">
        <v>0</v>
      </c>
      <c r="KU402">
        <v>0</v>
      </c>
      <c r="KV402">
        <v>0</v>
      </c>
      <c r="KW402">
        <v>0</v>
      </c>
      <c r="KX402">
        <v>0</v>
      </c>
      <c r="KY402">
        <v>0</v>
      </c>
      <c r="KZ402">
        <v>0</v>
      </c>
      <c r="LA402">
        <v>0</v>
      </c>
      <c r="LB402">
        <v>0</v>
      </c>
      <c r="LC402">
        <v>0</v>
      </c>
      <c r="LD402">
        <v>0</v>
      </c>
      <c r="LE402">
        <v>0</v>
      </c>
      <c r="LF402">
        <v>0</v>
      </c>
      <c r="LG402">
        <v>0</v>
      </c>
      <c r="LH402">
        <v>0</v>
      </c>
      <c r="LI402">
        <v>0</v>
      </c>
      <c r="LJ402">
        <v>0</v>
      </c>
      <c r="LK402">
        <v>0</v>
      </c>
      <c r="LL402">
        <v>0</v>
      </c>
      <c r="LM402">
        <v>0</v>
      </c>
      <c r="LN402">
        <v>0</v>
      </c>
      <c r="LO402">
        <v>0</v>
      </c>
      <c r="LP402">
        <v>0</v>
      </c>
      <c r="LQ402">
        <v>0</v>
      </c>
      <c r="LR402">
        <v>0</v>
      </c>
      <c r="LS402">
        <v>0</v>
      </c>
      <c r="LT402">
        <v>0</v>
      </c>
      <c r="LU402">
        <v>0</v>
      </c>
      <c r="LV402">
        <v>0</v>
      </c>
      <c r="LW402">
        <v>0</v>
      </c>
      <c r="LX402">
        <v>0</v>
      </c>
      <c r="LY402">
        <v>0</v>
      </c>
      <c r="LZ402">
        <v>0</v>
      </c>
      <c r="MA402">
        <v>0</v>
      </c>
      <c r="MB402">
        <v>0</v>
      </c>
      <c r="MC402">
        <v>0</v>
      </c>
      <c r="MD402">
        <v>0</v>
      </c>
      <c r="ME402">
        <v>0</v>
      </c>
      <c r="MF402">
        <v>0</v>
      </c>
      <c r="MG402">
        <v>0</v>
      </c>
      <c r="MH402">
        <v>0</v>
      </c>
      <c r="MI402">
        <v>0</v>
      </c>
      <c r="MJ402">
        <v>0</v>
      </c>
      <c r="MK402">
        <v>0</v>
      </c>
      <c r="ML402">
        <v>0</v>
      </c>
      <c r="MM402">
        <v>0</v>
      </c>
      <c r="MN402">
        <v>0</v>
      </c>
      <c r="MO402">
        <v>0</v>
      </c>
      <c r="MP402">
        <v>0</v>
      </c>
      <c r="MQ402">
        <v>0</v>
      </c>
      <c r="MR402">
        <v>0</v>
      </c>
      <c r="MS402">
        <v>0</v>
      </c>
      <c r="MT402">
        <v>0</v>
      </c>
      <c r="MU402">
        <v>0</v>
      </c>
      <c r="MV402">
        <v>0</v>
      </c>
      <c r="MW402">
        <v>0</v>
      </c>
      <c r="MX402">
        <v>0</v>
      </c>
      <c r="MY402">
        <v>0</v>
      </c>
      <c r="MZ402">
        <v>0</v>
      </c>
      <c r="NA402">
        <v>0</v>
      </c>
      <c r="NB402">
        <v>0</v>
      </c>
      <c r="NC402">
        <v>0</v>
      </c>
      <c r="ND402">
        <v>0</v>
      </c>
      <c r="NE402">
        <v>0</v>
      </c>
    </row>
    <row r="403" spans="41:369" x14ac:dyDescent="0.45">
      <c r="AO403">
        <v>0</v>
      </c>
      <c r="AP403">
        <v>0</v>
      </c>
      <c r="AQ403">
        <v>0</v>
      </c>
      <c r="AR403">
        <v>0</v>
      </c>
      <c r="AS403">
        <v>0</v>
      </c>
      <c r="AT403">
        <v>0</v>
      </c>
      <c r="AU403">
        <v>0</v>
      </c>
      <c r="AV403">
        <v>0</v>
      </c>
      <c r="AW403" t="str">
        <v/>
      </c>
      <c r="AX403">
        <v>255</v>
      </c>
      <c r="AY403" s="5" t="str">
        <v/>
      </c>
      <c r="AZ403">
        <v>0</v>
      </c>
      <c r="BA403">
        <v>0</v>
      </c>
      <c r="BB403">
        <v>0</v>
      </c>
      <c r="BC403">
        <v>0</v>
      </c>
      <c r="BD403">
        <v>0</v>
      </c>
      <c r="BE403">
        <v>0</v>
      </c>
      <c r="BF403">
        <v>0</v>
      </c>
      <c r="BG403">
        <v>0</v>
      </c>
      <c r="BH403">
        <v>0</v>
      </c>
      <c r="BI403" t="str">
        <v/>
      </c>
      <c r="BK403">
        <v>397</v>
      </c>
      <c r="BL403">
        <v>0</v>
      </c>
      <c r="BM403">
        <v>0</v>
      </c>
      <c r="BN403">
        <v>0</v>
      </c>
      <c r="BO403">
        <v>0</v>
      </c>
      <c r="BP403">
        <v>0</v>
      </c>
      <c r="BQ403">
        <v>0</v>
      </c>
      <c r="BR403">
        <v>0</v>
      </c>
      <c r="BS403">
        <v>0</v>
      </c>
      <c r="BT403">
        <v>0</v>
      </c>
      <c r="BU403">
        <v>0</v>
      </c>
      <c r="BV403">
        <v>0</v>
      </c>
      <c r="BW403">
        <v>0</v>
      </c>
      <c r="BX403">
        <v>0</v>
      </c>
      <c r="BY403">
        <v>0</v>
      </c>
      <c r="BZ403">
        <v>0</v>
      </c>
      <c r="CA403">
        <v>0</v>
      </c>
      <c r="CB403">
        <v>0</v>
      </c>
      <c r="CC403">
        <v>0</v>
      </c>
      <c r="CD403">
        <v>0</v>
      </c>
      <c r="CE403">
        <v>0</v>
      </c>
      <c r="CF403">
        <v>0</v>
      </c>
      <c r="CG403">
        <v>0</v>
      </c>
      <c r="CH403">
        <v>0</v>
      </c>
      <c r="CI403">
        <v>0</v>
      </c>
      <c r="CJ403">
        <v>0</v>
      </c>
      <c r="CK403">
        <v>0</v>
      </c>
      <c r="CL403">
        <v>0</v>
      </c>
      <c r="CM403">
        <v>0</v>
      </c>
      <c r="CN403">
        <v>0</v>
      </c>
      <c r="CO403">
        <v>0</v>
      </c>
      <c r="CP403">
        <v>0</v>
      </c>
      <c r="CQ403">
        <v>0</v>
      </c>
      <c r="CR403">
        <v>0</v>
      </c>
      <c r="CS403">
        <v>0</v>
      </c>
      <c r="CT403">
        <v>0</v>
      </c>
      <c r="CU403">
        <v>0</v>
      </c>
      <c r="CV403">
        <v>0</v>
      </c>
      <c r="CW403">
        <v>0</v>
      </c>
      <c r="CX403">
        <v>0</v>
      </c>
      <c r="CY403">
        <v>0</v>
      </c>
      <c r="CZ403">
        <v>0</v>
      </c>
      <c r="DA403">
        <v>0</v>
      </c>
      <c r="DB403">
        <v>0</v>
      </c>
      <c r="DC403">
        <v>0</v>
      </c>
      <c r="DD403">
        <v>0</v>
      </c>
      <c r="DE403">
        <v>0</v>
      </c>
      <c r="DF403">
        <v>0</v>
      </c>
      <c r="DG403">
        <v>0</v>
      </c>
      <c r="DH403">
        <v>0</v>
      </c>
      <c r="DI403">
        <v>0</v>
      </c>
      <c r="DJ403">
        <v>0</v>
      </c>
      <c r="DK403">
        <v>0</v>
      </c>
      <c r="DL403">
        <v>0</v>
      </c>
      <c r="DM403">
        <v>0</v>
      </c>
      <c r="DN403">
        <v>0</v>
      </c>
      <c r="DO403">
        <v>0</v>
      </c>
      <c r="DP403">
        <v>0</v>
      </c>
      <c r="DQ403">
        <v>0</v>
      </c>
      <c r="DR403">
        <v>0</v>
      </c>
      <c r="DS403">
        <v>0</v>
      </c>
      <c r="DT403">
        <v>0</v>
      </c>
      <c r="DU403">
        <v>0</v>
      </c>
      <c r="DV403">
        <v>0</v>
      </c>
      <c r="DW403">
        <v>0</v>
      </c>
      <c r="DX403">
        <v>0</v>
      </c>
      <c r="DY403">
        <v>0</v>
      </c>
      <c r="DZ403">
        <v>0</v>
      </c>
      <c r="EA403">
        <v>0</v>
      </c>
      <c r="EB403">
        <v>0</v>
      </c>
      <c r="EC403">
        <v>0</v>
      </c>
      <c r="ED403">
        <v>0</v>
      </c>
      <c r="EE403">
        <v>0</v>
      </c>
      <c r="EF403">
        <v>0</v>
      </c>
      <c r="EG403">
        <v>0</v>
      </c>
      <c r="EH403">
        <v>0</v>
      </c>
      <c r="EI403">
        <v>0</v>
      </c>
      <c r="EJ403">
        <v>0</v>
      </c>
      <c r="EK403">
        <v>0</v>
      </c>
      <c r="EL403">
        <v>0</v>
      </c>
      <c r="EM403">
        <v>0</v>
      </c>
      <c r="EN403">
        <v>0</v>
      </c>
      <c r="EO403">
        <v>0</v>
      </c>
      <c r="EP403">
        <v>0</v>
      </c>
      <c r="EQ403">
        <v>0</v>
      </c>
      <c r="ER403">
        <v>0</v>
      </c>
      <c r="ES403">
        <v>0</v>
      </c>
      <c r="ET403">
        <v>0</v>
      </c>
      <c r="EU403">
        <v>0</v>
      </c>
      <c r="EV403">
        <v>0</v>
      </c>
      <c r="EW403">
        <v>0</v>
      </c>
      <c r="EX403">
        <v>0</v>
      </c>
      <c r="EY403">
        <v>0</v>
      </c>
      <c r="EZ403">
        <v>0</v>
      </c>
      <c r="FA403">
        <v>0</v>
      </c>
      <c r="FB403">
        <v>0</v>
      </c>
      <c r="FC403">
        <v>0</v>
      </c>
      <c r="FD403">
        <v>0</v>
      </c>
      <c r="FE403">
        <v>0</v>
      </c>
      <c r="FF403">
        <v>0</v>
      </c>
      <c r="FG403">
        <v>0</v>
      </c>
      <c r="FH403">
        <v>0</v>
      </c>
      <c r="FI403">
        <v>0</v>
      </c>
      <c r="FJ403">
        <v>0</v>
      </c>
      <c r="FK403">
        <v>0</v>
      </c>
      <c r="FL403">
        <v>0</v>
      </c>
      <c r="FM403">
        <v>0</v>
      </c>
      <c r="FN403">
        <v>0</v>
      </c>
      <c r="FO403">
        <v>0</v>
      </c>
      <c r="FP403">
        <v>0</v>
      </c>
      <c r="FQ403">
        <v>0</v>
      </c>
      <c r="FR403">
        <v>0</v>
      </c>
      <c r="FS403">
        <v>0</v>
      </c>
      <c r="FT403">
        <v>0</v>
      </c>
      <c r="FU403">
        <v>0</v>
      </c>
      <c r="FV403">
        <v>0</v>
      </c>
      <c r="FW403">
        <v>0</v>
      </c>
      <c r="FX403">
        <v>0</v>
      </c>
      <c r="FY403">
        <v>0</v>
      </c>
      <c r="FZ403">
        <v>0</v>
      </c>
      <c r="GA403">
        <v>0</v>
      </c>
      <c r="GB403">
        <v>0</v>
      </c>
      <c r="GC403">
        <v>0</v>
      </c>
      <c r="GD403">
        <v>0</v>
      </c>
      <c r="GE403">
        <v>0</v>
      </c>
      <c r="GF403">
        <v>0</v>
      </c>
      <c r="GG403">
        <v>0</v>
      </c>
      <c r="GH403">
        <v>0</v>
      </c>
      <c r="GI403">
        <v>0</v>
      </c>
      <c r="GJ403">
        <v>0</v>
      </c>
      <c r="GK403">
        <v>0</v>
      </c>
      <c r="GL403">
        <v>0</v>
      </c>
      <c r="GM403">
        <v>0</v>
      </c>
      <c r="GN403">
        <v>0</v>
      </c>
      <c r="GO403">
        <v>0</v>
      </c>
      <c r="GP403">
        <v>0</v>
      </c>
      <c r="GQ403">
        <v>0</v>
      </c>
      <c r="GR403">
        <v>0</v>
      </c>
      <c r="GS403">
        <v>0</v>
      </c>
      <c r="GT403">
        <v>0</v>
      </c>
      <c r="GU403">
        <v>0</v>
      </c>
      <c r="GV403">
        <v>0</v>
      </c>
      <c r="GW403">
        <v>0</v>
      </c>
      <c r="GX403">
        <v>0</v>
      </c>
      <c r="GY403">
        <v>0</v>
      </c>
      <c r="GZ403">
        <v>0</v>
      </c>
      <c r="HA403">
        <v>0</v>
      </c>
      <c r="HB403">
        <v>0</v>
      </c>
      <c r="HC403">
        <v>0</v>
      </c>
      <c r="HD403">
        <v>0</v>
      </c>
      <c r="HE403">
        <v>0</v>
      </c>
      <c r="HF403">
        <v>0</v>
      </c>
      <c r="HG403">
        <v>0</v>
      </c>
      <c r="HH403">
        <v>0</v>
      </c>
      <c r="HI403">
        <v>0</v>
      </c>
      <c r="HJ403">
        <v>0</v>
      </c>
      <c r="HK403">
        <v>0</v>
      </c>
      <c r="HL403">
        <v>0</v>
      </c>
      <c r="HM403">
        <v>0</v>
      </c>
      <c r="HN403">
        <v>0</v>
      </c>
      <c r="HO403">
        <v>0</v>
      </c>
      <c r="HP403">
        <v>0</v>
      </c>
      <c r="HQ403">
        <v>0</v>
      </c>
      <c r="HR403">
        <v>0</v>
      </c>
      <c r="HS403">
        <v>0</v>
      </c>
      <c r="HT403">
        <v>0</v>
      </c>
      <c r="HU403">
        <v>0</v>
      </c>
      <c r="HV403">
        <v>0</v>
      </c>
      <c r="HW403">
        <v>0</v>
      </c>
      <c r="HX403">
        <v>0</v>
      </c>
      <c r="HY403">
        <v>0</v>
      </c>
      <c r="HZ403">
        <v>0</v>
      </c>
      <c r="IA403">
        <v>0</v>
      </c>
      <c r="IB403">
        <v>0</v>
      </c>
      <c r="IC403">
        <v>0</v>
      </c>
      <c r="ID403">
        <v>0</v>
      </c>
      <c r="IE403">
        <v>0</v>
      </c>
      <c r="IF403">
        <v>0</v>
      </c>
      <c r="IG403">
        <v>0</v>
      </c>
      <c r="IH403">
        <v>0</v>
      </c>
      <c r="II403">
        <v>0</v>
      </c>
      <c r="IJ403">
        <v>0</v>
      </c>
      <c r="IK403">
        <v>0</v>
      </c>
      <c r="IL403">
        <v>0</v>
      </c>
      <c r="IM403">
        <v>0</v>
      </c>
      <c r="IN403">
        <v>0</v>
      </c>
      <c r="IO403">
        <v>0</v>
      </c>
      <c r="IP403">
        <v>0</v>
      </c>
      <c r="IQ403">
        <v>0</v>
      </c>
      <c r="IR403">
        <v>0</v>
      </c>
      <c r="IS403">
        <v>0</v>
      </c>
      <c r="IT403">
        <v>0</v>
      </c>
      <c r="IU403">
        <v>0</v>
      </c>
      <c r="IV403">
        <v>0</v>
      </c>
      <c r="IW403">
        <v>0</v>
      </c>
      <c r="IX403">
        <v>0</v>
      </c>
      <c r="IY403">
        <v>0</v>
      </c>
      <c r="IZ403">
        <v>0</v>
      </c>
      <c r="JA403">
        <v>0</v>
      </c>
      <c r="JB403">
        <v>0</v>
      </c>
      <c r="JC403">
        <v>0</v>
      </c>
      <c r="JD403">
        <v>0</v>
      </c>
      <c r="JE403">
        <v>0</v>
      </c>
      <c r="JF403">
        <v>0</v>
      </c>
      <c r="JG403">
        <v>0</v>
      </c>
      <c r="JH403">
        <v>0</v>
      </c>
      <c r="JI403">
        <v>0</v>
      </c>
      <c r="JJ403">
        <v>0</v>
      </c>
      <c r="JK403">
        <v>0</v>
      </c>
      <c r="JL403">
        <v>0</v>
      </c>
      <c r="JM403">
        <v>0</v>
      </c>
      <c r="JN403">
        <v>0</v>
      </c>
      <c r="JO403">
        <v>0</v>
      </c>
      <c r="JP403">
        <v>0</v>
      </c>
      <c r="JQ403">
        <v>0</v>
      </c>
      <c r="JR403">
        <v>0</v>
      </c>
      <c r="JS403">
        <v>0</v>
      </c>
      <c r="JT403">
        <v>0</v>
      </c>
      <c r="JU403">
        <v>0</v>
      </c>
      <c r="JV403">
        <v>0</v>
      </c>
      <c r="JW403">
        <v>0</v>
      </c>
      <c r="JX403">
        <v>0</v>
      </c>
      <c r="JY403">
        <v>0</v>
      </c>
      <c r="JZ403">
        <v>0</v>
      </c>
      <c r="KA403">
        <v>0</v>
      </c>
      <c r="KB403">
        <v>0</v>
      </c>
      <c r="KC403">
        <v>0</v>
      </c>
      <c r="KD403">
        <v>0</v>
      </c>
      <c r="KE403">
        <v>0</v>
      </c>
      <c r="KF403">
        <v>0</v>
      </c>
      <c r="KG403">
        <v>0</v>
      </c>
      <c r="KH403">
        <v>0</v>
      </c>
      <c r="KI403">
        <v>0</v>
      </c>
      <c r="KJ403">
        <v>0</v>
      </c>
      <c r="KK403">
        <v>0</v>
      </c>
      <c r="KL403">
        <v>0</v>
      </c>
      <c r="KM403">
        <v>0</v>
      </c>
      <c r="KN403">
        <v>0</v>
      </c>
      <c r="KO403">
        <v>0</v>
      </c>
      <c r="KP403">
        <v>0</v>
      </c>
      <c r="KQ403">
        <v>0</v>
      </c>
      <c r="KR403">
        <v>0</v>
      </c>
      <c r="KS403">
        <v>0</v>
      </c>
      <c r="KT403">
        <v>0</v>
      </c>
      <c r="KU403">
        <v>0</v>
      </c>
      <c r="KV403">
        <v>0</v>
      </c>
      <c r="KW403">
        <v>0</v>
      </c>
      <c r="KX403">
        <v>0</v>
      </c>
      <c r="KY403">
        <v>0</v>
      </c>
      <c r="KZ403">
        <v>0</v>
      </c>
      <c r="LA403">
        <v>0</v>
      </c>
      <c r="LB403">
        <v>0</v>
      </c>
      <c r="LC403">
        <v>0</v>
      </c>
      <c r="LD403">
        <v>0</v>
      </c>
      <c r="LE403">
        <v>0</v>
      </c>
      <c r="LF403">
        <v>0</v>
      </c>
      <c r="LG403">
        <v>0</v>
      </c>
      <c r="LH403">
        <v>0</v>
      </c>
      <c r="LI403">
        <v>0</v>
      </c>
      <c r="LJ403">
        <v>0</v>
      </c>
      <c r="LK403">
        <v>0</v>
      </c>
      <c r="LL403">
        <v>0</v>
      </c>
      <c r="LM403">
        <v>0</v>
      </c>
      <c r="LN403">
        <v>0</v>
      </c>
      <c r="LO403">
        <v>0</v>
      </c>
      <c r="LP403">
        <v>0</v>
      </c>
      <c r="LQ403">
        <v>0</v>
      </c>
      <c r="LR403">
        <v>0</v>
      </c>
      <c r="LS403">
        <v>0</v>
      </c>
      <c r="LT403">
        <v>0</v>
      </c>
      <c r="LU403">
        <v>0</v>
      </c>
      <c r="LV403">
        <v>0</v>
      </c>
      <c r="LW403">
        <v>0</v>
      </c>
      <c r="LX403">
        <v>0</v>
      </c>
      <c r="LY403">
        <v>0</v>
      </c>
      <c r="LZ403">
        <v>0</v>
      </c>
      <c r="MA403">
        <v>0</v>
      </c>
      <c r="MB403">
        <v>0</v>
      </c>
      <c r="MC403">
        <v>0</v>
      </c>
      <c r="MD403">
        <v>0</v>
      </c>
      <c r="ME403">
        <v>0</v>
      </c>
      <c r="MF403">
        <v>0</v>
      </c>
      <c r="MG403">
        <v>0</v>
      </c>
      <c r="MH403">
        <v>0</v>
      </c>
      <c r="MI403">
        <v>0</v>
      </c>
      <c r="MJ403">
        <v>0</v>
      </c>
      <c r="MK403">
        <v>0</v>
      </c>
      <c r="ML403">
        <v>0</v>
      </c>
      <c r="MM403">
        <v>0</v>
      </c>
      <c r="MN403">
        <v>0</v>
      </c>
      <c r="MO403">
        <v>0</v>
      </c>
      <c r="MP403">
        <v>0</v>
      </c>
      <c r="MQ403">
        <v>0</v>
      </c>
      <c r="MR403">
        <v>0</v>
      </c>
      <c r="MS403">
        <v>0</v>
      </c>
      <c r="MT403">
        <v>0</v>
      </c>
      <c r="MU403">
        <v>0</v>
      </c>
      <c r="MV403">
        <v>0</v>
      </c>
      <c r="MW403">
        <v>0</v>
      </c>
      <c r="MX403">
        <v>0</v>
      </c>
      <c r="MY403">
        <v>0</v>
      </c>
      <c r="MZ403">
        <v>0</v>
      </c>
      <c r="NA403">
        <v>0</v>
      </c>
      <c r="NB403">
        <v>0</v>
      </c>
      <c r="NC403">
        <v>0</v>
      </c>
      <c r="ND403">
        <v>0</v>
      </c>
      <c r="NE403">
        <v>0</v>
      </c>
    </row>
    <row r="404" spans="41:369" x14ac:dyDescent="0.45">
      <c r="AO404">
        <v>0</v>
      </c>
      <c r="AP404">
        <v>0</v>
      </c>
      <c r="AQ404">
        <v>0</v>
      </c>
      <c r="AR404">
        <v>0</v>
      </c>
      <c r="AS404">
        <v>0</v>
      </c>
      <c r="AT404">
        <v>0</v>
      </c>
      <c r="AU404">
        <v>0</v>
      </c>
      <c r="AV404">
        <v>0</v>
      </c>
      <c r="AW404" t="str">
        <v/>
      </c>
      <c r="AX404">
        <v>255</v>
      </c>
      <c r="AY404" s="5" t="str">
        <v/>
      </c>
      <c r="AZ404">
        <v>0</v>
      </c>
      <c r="BA404">
        <v>0</v>
      </c>
      <c r="BB404">
        <v>0</v>
      </c>
      <c r="BC404">
        <v>0</v>
      </c>
      <c r="BD404">
        <v>0</v>
      </c>
      <c r="BE404">
        <v>0</v>
      </c>
      <c r="BF404">
        <v>0</v>
      </c>
      <c r="BG404">
        <v>0</v>
      </c>
      <c r="BH404">
        <v>0</v>
      </c>
      <c r="BI404" t="str">
        <v/>
      </c>
      <c r="BK404">
        <v>398</v>
      </c>
      <c r="BL404">
        <v>0</v>
      </c>
      <c r="BM404">
        <v>0</v>
      </c>
      <c r="BN404">
        <v>0</v>
      </c>
      <c r="BO404">
        <v>0</v>
      </c>
      <c r="BP404">
        <v>0</v>
      </c>
      <c r="BQ404">
        <v>0</v>
      </c>
      <c r="BR404">
        <v>0</v>
      </c>
      <c r="BS404">
        <v>0</v>
      </c>
      <c r="BT404">
        <v>0</v>
      </c>
      <c r="BU404">
        <v>0</v>
      </c>
      <c r="BV404">
        <v>0</v>
      </c>
      <c r="BW404">
        <v>0</v>
      </c>
      <c r="BX404">
        <v>0</v>
      </c>
      <c r="BY404">
        <v>0</v>
      </c>
      <c r="BZ404">
        <v>0</v>
      </c>
      <c r="CA404">
        <v>0</v>
      </c>
      <c r="CB404">
        <v>0</v>
      </c>
      <c r="CC404">
        <v>0</v>
      </c>
      <c r="CD404">
        <v>0</v>
      </c>
      <c r="CE404">
        <v>0</v>
      </c>
      <c r="CF404">
        <v>0</v>
      </c>
      <c r="CG404">
        <v>0</v>
      </c>
      <c r="CH404">
        <v>0</v>
      </c>
      <c r="CI404">
        <v>0</v>
      </c>
      <c r="CJ404">
        <v>0</v>
      </c>
      <c r="CK404">
        <v>0</v>
      </c>
      <c r="CL404">
        <v>0</v>
      </c>
      <c r="CM404">
        <v>0</v>
      </c>
      <c r="CN404">
        <v>0</v>
      </c>
      <c r="CO404">
        <v>0</v>
      </c>
      <c r="CP404">
        <v>0</v>
      </c>
      <c r="CQ404">
        <v>0</v>
      </c>
      <c r="CR404">
        <v>0</v>
      </c>
      <c r="CS404">
        <v>0</v>
      </c>
      <c r="CT404">
        <v>0</v>
      </c>
      <c r="CU404">
        <v>0</v>
      </c>
      <c r="CV404">
        <v>0</v>
      </c>
      <c r="CW404">
        <v>0</v>
      </c>
      <c r="CX404">
        <v>0</v>
      </c>
      <c r="CY404">
        <v>0</v>
      </c>
      <c r="CZ404">
        <v>0</v>
      </c>
      <c r="DA404">
        <v>0</v>
      </c>
      <c r="DB404">
        <v>0</v>
      </c>
      <c r="DC404">
        <v>0</v>
      </c>
      <c r="DD404">
        <v>0</v>
      </c>
      <c r="DE404">
        <v>0</v>
      </c>
      <c r="DF404">
        <v>0</v>
      </c>
      <c r="DG404">
        <v>0</v>
      </c>
      <c r="DH404">
        <v>0</v>
      </c>
      <c r="DI404">
        <v>0</v>
      </c>
      <c r="DJ404">
        <v>0</v>
      </c>
      <c r="DK404">
        <v>0</v>
      </c>
      <c r="DL404">
        <v>0</v>
      </c>
      <c r="DM404">
        <v>0</v>
      </c>
      <c r="DN404">
        <v>0</v>
      </c>
      <c r="DO404">
        <v>0</v>
      </c>
      <c r="DP404">
        <v>0</v>
      </c>
      <c r="DQ404">
        <v>0</v>
      </c>
      <c r="DR404">
        <v>0</v>
      </c>
      <c r="DS404">
        <v>0</v>
      </c>
      <c r="DT404">
        <v>0</v>
      </c>
      <c r="DU404">
        <v>0</v>
      </c>
      <c r="DV404">
        <v>0</v>
      </c>
      <c r="DW404">
        <v>0</v>
      </c>
      <c r="DX404">
        <v>0</v>
      </c>
      <c r="DY404">
        <v>0</v>
      </c>
      <c r="DZ404">
        <v>0</v>
      </c>
      <c r="EA404">
        <v>0</v>
      </c>
      <c r="EB404">
        <v>0</v>
      </c>
      <c r="EC404">
        <v>0</v>
      </c>
      <c r="ED404">
        <v>0</v>
      </c>
      <c r="EE404">
        <v>0</v>
      </c>
      <c r="EF404">
        <v>0</v>
      </c>
      <c r="EG404">
        <v>0</v>
      </c>
      <c r="EH404">
        <v>0</v>
      </c>
      <c r="EI404">
        <v>0</v>
      </c>
      <c r="EJ404">
        <v>0</v>
      </c>
      <c r="EK404">
        <v>0</v>
      </c>
      <c r="EL404">
        <v>0</v>
      </c>
      <c r="EM404">
        <v>0</v>
      </c>
      <c r="EN404">
        <v>0</v>
      </c>
      <c r="EO404">
        <v>0</v>
      </c>
      <c r="EP404">
        <v>0</v>
      </c>
      <c r="EQ404">
        <v>0</v>
      </c>
      <c r="ER404">
        <v>0</v>
      </c>
      <c r="ES404">
        <v>0</v>
      </c>
      <c r="ET404">
        <v>0</v>
      </c>
      <c r="EU404">
        <v>0</v>
      </c>
      <c r="EV404">
        <v>0</v>
      </c>
      <c r="EW404">
        <v>0</v>
      </c>
      <c r="EX404">
        <v>0</v>
      </c>
      <c r="EY404">
        <v>0</v>
      </c>
      <c r="EZ404">
        <v>0</v>
      </c>
      <c r="FA404">
        <v>0</v>
      </c>
      <c r="FB404">
        <v>0</v>
      </c>
      <c r="FC404">
        <v>0</v>
      </c>
      <c r="FD404">
        <v>0</v>
      </c>
      <c r="FE404">
        <v>0</v>
      </c>
      <c r="FF404">
        <v>0</v>
      </c>
      <c r="FG404">
        <v>0</v>
      </c>
      <c r="FH404">
        <v>0</v>
      </c>
      <c r="FI404">
        <v>0</v>
      </c>
      <c r="FJ404">
        <v>0</v>
      </c>
      <c r="FK404">
        <v>0</v>
      </c>
      <c r="FL404">
        <v>0</v>
      </c>
      <c r="FM404">
        <v>0</v>
      </c>
      <c r="FN404">
        <v>0</v>
      </c>
      <c r="FO404">
        <v>0</v>
      </c>
      <c r="FP404">
        <v>0</v>
      </c>
      <c r="FQ404">
        <v>0</v>
      </c>
      <c r="FR404">
        <v>0</v>
      </c>
      <c r="FS404">
        <v>0</v>
      </c>
      <c r="FT404">
        <v>0</v>
      </c>
      <c r="FU404">
        <v>0</v>
      </c>
      <c r="FV404">
        <v>0</v>
      </c>
      <c r="FW404">
        <v>0</v>
      </c>
      <c r="FX404">
        <v>0</v>
      </c>
      <c r="FY404">
        <v>0</v>
      </c>
      <c r="FZ404">
        <v>0</v>
      </c>
      <c r="GA404">
        <v>0</v>
      </c>
      <c r="GB404">
        <v>0</v>
      </c>
      <c r="GC404">
        <v>0</v>
      </c>
      <c r="GD404">
        <v>0</v>
      </c>
      <c r="GE404">
        <v>0</v>
      </c>
      <c r="GF404">
        <v>0</v>
      </c>
      <c r="GG404">
        <v>0</v>
      </c>
      <c r="GH404">
        <v>0</v>
      </c>
      <c r="GI404">
        <v>0</v>
      </c>
      <c r="GJ404">
        <v>0</v>
      </c>
      <c r="GK404">
        <v>0</v>
      </c>
      <c r="GL404">
        <v>0</v>
      </c>
      <c r="GM404">
        <v>0</v>
      </c>
      <c r="GN404">
        <v>0</v>
      </c>
      <c r="GO404">
        <v>0</v>
      </c>
      <c r="GP404">
        <v>0</v>
      </c>
      <c r="GQ404">
        <v>0</v>
      </c>
      <c r="GR404">
        <v>0</v>
      </c>
      <c r="GS404">
        <v>0</v>
      </c>
      <c r="GT404">
        <v>0</v>
      </c>
      <c r="GU404">
        <v>0</v>
      </c>
      <c r="GV404">
        <v>0</v>
      </c>
      <c r="GW404">
        <v>0</v>
      </c>
      <c r="GX404">
        <v>0</v>
      </c>
      <c r="GY404">
        <v>0</v>
      </c>
      <c r="GZ404">
        <v>0</v>
      </c>
      <c r="HA404">
        <v>0</v>
      </c>
      <c r="HB404">
        <v>0</v>
      </c>
      <c r="HC404">
        <v>0</v>
      </c>
      <c r="HD404">
        <v>0</v>
      </c>
      <c r="HE404">
        <v>0</v>
      </c>
      <c r="HF404">
        <v>0</v>
      </c>
      <c r="HG404">
        <v>0</v>
      </c>
      <c r="HH404">
        <v>0</v>
      </c>
      <c r="HI404">
        <v>0</v>
      </c>
      <c r="HJ404">
        <v>0</v>
      </c>
      <c r="HK404">
        <v>0</v>
      </c>
      <c r="HL404">
        <v>0</v>
      </c>
      <c r="HM404">
        <v>0</v>
      </c>
      <c r="HN404">
        <v>0</v>
      </c>
      <c r="HO404">
        <v>0</v>
      </c>
      <c r="HP404">
        <v>0</v>
      </c>
      <c r="HQ404">
        <v>0</v>
      </c>
      <c r="HR404">
        <v>0</v>
      </c>
      <c r="HS404">
        <v>0</v>
      </c>
      <c r="HT404">
        <v>0</v>
      </c>
      <c r="HU404">
        <v>0</v>
      </c>
      <c r="HV404">
        <v>0</v>
      </c>
      <c r="HW404">
        <v>0</v>
      </c>
      <c r="HX404">
        <v>0</v>
      </c>
      <c r="HY404">
        <v>0</v>
      </c>
      <c r="HZ404">
        <v>0</v>
      </c>
      <c r="IA404">
        <v>0</v>
      </c>
      <c r="IB404">
        <v>0</v>
      </c>
      <c r="IC404">
        <v>0</v>
      </c>
      <c r="ID404">
        <v>0</v>
      </c>
      <c r="IE404">
        <v>0</v>
      </c>
      <c r="IF404">
        <v>0</v>
      </c>
      <c r="IG404">
        <v>0</v>
      </c>
      <c r="IH404">
        <v>0</v>
      </c>
      <c r="II404">
        <v>0</v>
      </c>
      <c r="IJ404">
        <v>0</v>
      </c>
      <c r="IK404">
        <v>0</v>
      </c>
      <c r="IL404">
        <v>0</v>
      </c>
      <c r="IM404">
        <v>0</v>
      </c>
      <c r="IN404">
        <v>0</v>
      </c>
      <c r="IO404">
        <v>0</v>
      </c>
      <c r="IP404">
        <v>0</v>
      </c>
      <c r="IQ404">
        <v>0</v>
      </c>
      <c r="IR404">
        <v>0</v>
      </c>
      <c r="IS404">
        <v>0</v>
      </c>
      <c r="IT404">
        <v>0</v>
      </c>
      <c r="IU404">
        <v>0</v>
      </c>
      <c r="IV404">
        <v>0</v>
      </c>
      <c r="IW404">
        <v>0</v>
      </c>
      <c r="IX404">
        <v>0</v>
      </c>
      <c r="IY404">
        <v>0</v>
      </c>
      <c r="IZ404">
        <v>0</v>
      </c>
      <c r="JA404">
        <v>0</v>
      </c>
      <c r="JB404">
        <v>0</v>
      </c>
      <c r="JC404">
        <v>0</v>
      </c>
      <c r="JD404">
        <v>0</v>
      </c>
      <c r="JE404">
        <v>0</v>
      </c>
      <c r="JF404">
        <v>0</v>
      </c>
      <c r="JG404">
        <v>0</v>
      </c>
      <c r="JH404">
        <v>0</v>
      </c>
      <c r="JI404">
        <v>0</v>
      </c>
      <c r="JJ404">
        <v>0</v>
      </c>
      <c r="JK404">
        <v>0</v>
      </c>
      <c r="JL404">
        <v>0</v>
      </c>
      <c r="JM404">
        <v>0</v>
      </c>
      <c r="JN404">
        <v>0</v>
      </c>
      <c r="JO404">
        <v>0</v>
      </c>
      <c r="JP404">
        <v>0</v>
      </c>
      <c r="JQ404">
        <v>0</v>
      </c>
      <c r="JR404">
        <v>0</v>
      </c>
      <c r="JS404">
        <v>0</v>
      </c>
      <c r="JT404">
        <v>0</v>
      </c>
      <c r="JU404">
        <v>0</v>
      </c>
      <c r="JV404">
        <v>0</v>
      </c>
      <c r="JW404">
        <v>0</v>
      </c>
      <c r="JX404">
        <v>0</v>
      </c>
      <c r="JY404">
        <v>0</v>
      </c>
      <c r="JZ404">
        <v>0</v>
      </c>
      <c r="KA404">
        <v>0</v>
      </c>
      <c r="KB404">
        <v>0</v>
      </c>
      <c r="KC404">
        <v>0</v>
      </c>
      <c r="KD404">
        <v>0</v>
      </c>
      <c r="KE404">
        <v>0</v>
      </c>
      <c r="KF404">
        <v>0</v>
      </c>
      <c r="KG404">
        <v>0</v>
      </c>
      <c r="KH404">
        <v>0</v>
      </c>
      <c r="KI404">
        <v>0</v>
      </c>
      <c r="KJ404">
        <v>0</v>
      </c>
      <c r="KK404">
        <v>0</v>
      </c>
      <c r="KL404">
        <v>0</v>
      </c>
      <c r="KM404">
        <v>0</v>
      </c>
      <c r="KN404">
        <v>0</v>
      </c>
      <c r="KO404">
        <v>0</v>
      </c>
      <c r="KP404">
        <v>0</v>
      </c>
      <c r="KQ404">
        <v>0</v>
      </c>
      <c r="KR404">
        <v>0</v>
      </c>
      <c r="KS404">
        <v>0</v>
      </c>
      <c r="KT404">
        <v>0</v>
      </c>
      <c r="KU404">
        <v>0</v>
      </c>
      <c r="KV404">
        <v>0</v>
      </c>
      <c r="KW404">
        <v>0</v>
      </c>
      <c r="KX404">
        <v>0</v>
      </c>
      <c r="KY404">
        <v>0</v>
      </c>
      <c r="KZ404">
        <v>0</v>
      </c>
      <c r="LA404">
        <v>0</v>
      </c>
      <c r="LB404">
        <v>0</v>
      </c>
      <c r="LC404">
        <v>0</v>
      </c>
      <c r="LD404">
        <v>0</v>
      </c>
      <c r="LE404">
        <v>0</v>
      </c>
      <c r="LF404">
        <v>0</v>
      </c>
      <c r="LG404">
        <v>0</v>
      </c>
      <c r="LH404">
        <v>0</v>
      </c>
      <c r="LI404">
        <v>0</v>
      </c>
      <c r="LJ404">
        <v>0</v>
      </c>
      <c r="LK404">
        <v>0</v>
      </c>
      <c r="LL404">
        <v>0</v>
      </c>
      <c r="LM404">
        <v>0</v>
      </c>
      <c r="LN404">
        <v>0</v>
      </c>
      <c r="LO404">
        <v>0</v>
      </c>
      <c r="LP404">
        <v>0</v>
      </c>
      <c r="LQ404">
        <v>0</v>
      </c>
      <c r="LR404">
        <v>0</v>
      </c>
      <c r="LS404">
        <v>0</v>
      </c>
      <c r="LT404">
        <v>0</v>
      </c>
      <c r="LU404">
        <v>0</v>
      </c>
      <c r="LV404">
        <v>0</v>
      </c>
      <c r="LW404">
        <v>0</v>
      </c>
      <c r="LX404">
        <v>0</v>
      </c>
      <c r="LY404">
        <v>0</v>
      </c>
      <c r="LZ404">
        <v>0</v>
      </c>
      <c r="MA404">
        <v>0</v>
      </c>
      <c r="MB404">
        <v>0</v>
      </c>
      <c r="MC404">
        <v>0</v>
      </c>
      <c r="MD404">
        <v>0</v>
      </c>
      <c r="ME404">
        <v>0</v>
      </c>
      <c r="MF404">
        <v>0</v>
      </c>
      <c r="MG404">
        <v>0</v>
      </c>
      <c r="MH404">
        <v>0</v>
      </c>
      <c r="MI404">
        <v>0</v>
      </c>
      <c r="MJ404">
        <v>0</v>
      </c>
      <c r="MK404">
        <v>0</v>
      </c>
      <c r="ML404">
        <v>0</v>
      </c>
      <c r="MM404">
        <v>0</v>
      </c>
      <c r="MN404">
        <v>0</v>
      </c>
      <c r="MO404">
        <v>0</v>
      </c>
      <c r="MP404">
        <v>0</v>
      </c>
      <c r="MQ404">
        <v>0</v>
      </c>
      <c r="MR404">
        <v>0</v>
      </c>
      <c r="MS404">
        <v>0</v>
      </c>
      <c r="MT404">
        <v>0</v>
      </c>
      <c r="MU404">
        <v>0</v>
      </c>
      <c r="MV404">
        <v>0</v>
      </c>
      <c r="MW404">
        <v>0</v>
      </c>
      <c r="MX404">
        <v>0</v>
      </c>
      <c r="MY404">
        <v>0</v>
      </c>
      <c r="MZ404">
        <v>0</v>
      </c>
      <c r="NA404">
        <v>0</v>
      </c>
      <c r="NB404">
        <v>0</v>
      </c>
      <c r="NC404">
        <v>0</v>
      </c>
      <c r="ND404">
        <v>0</v>
      </c>
      <c r="NE404">
        <v>0</v>
      </c>
    </row>
    <row r="405" spans="41:369" x14ac:dyDescent="0.45">
      <c r="AO405">
        <v>0</v>
      </c>
      <c r="AP405">
        <v>0</v>
      </c>
      <c r="AQ405">
        <v>0</v>
      </c>
      <c r="AR405">
        <v>0</v>
      </c>
      <c r="AS405">
        <v>0</v>
      </c>
      <c r="AT405">
        <v>0</v>
      </c>
      <c r="AU405">
        <v>0</v>
      </c>
      <c r="AV405">
        <v>0</v>
      </c>
      <c r="AW405" t="str">
        <v/>
      </c>
      <c r="AX405">
        <v>255</v>
      </c>
      <c r="AY405" s="5" t="str">
        <v/>
      </c>
      <c r="AZ405">
        <v>0</v>
      </c>
      <c r="BA405">
        <v>0</v>
      </c>
      <c r="BB405">
        <v>0</v>
      </c>
      <c r="BC405">
        <v>0</v>
      </c>
      <c r="BD405">
        <v>0</v>
      </c>
      <c r="BE405">
        <v>0</v>
      </c>
      <c r="BF405">
        <v>0</v>
      </c>
      <c r="BG405">
        <v>0</v>
      </c>
      <c r="BH405">
        <v>0</v>
      </c>
      <c r="BI405" t="str">
        <v/>
      </c>
      <c r="BK405">
        <v>399</v>
      </c>
      <c r="BL405">
        <v>0</v>
      </c>
      <c r="BM405">
        <v>0</v>
      </c>
      <c r="BN405">
        <v>0</v>
      </c>
      <c r="BO405">
        <v>0</v>
      </c>
      <c r="BP405">
        <v>0</v>
      </c>
      <c r="BQ405">
        <v>0</v>
      </c>
      <c r="BR405">
        <v>0</v>
      </c>
      <c r="BS405">
        <v>0</v>
      </c>
      <c r="BT405">
        <v>0</v>
      </c>
      <c r="BU405">
        <v>0</v>
      </c>
      <c r="BV405">
        <v>0</v>
      </c>
      <c r="BW405">
        <v>0</v>
      </c>
      <c r="BX405">
        <v>0</v>
      </c>
      <c r="BY405">
        <v>0</v>
      </c>
      <c r="BZ405">
        <v>0</v>
      </c>
      <c r="CA405">
        <v>0</v>
      </c>
      <c r="CB405">
        <v>0</v>
      </c>
      <c r="CC405">
        <v>0</v>
      </c>
      <c r="CD405">
        <v>0</v>
      </c>
      <c r="CE405">
        <v>0</v>
      </c>
      <c r="CF405">
        <v>0</v>
      </c>
      <c r="CG405">
        <v>0</v>
      </c>
      <c r="CH405">
        <v>0</v>
      </c>
      <c r="CI405">
        <v>0</v>
      </c>
      <c r="CJ405">
        <v>0</v>
      </c>
      <c r="CK405">
        <v>0</v>
      </c>
      <c r="CL405">
        <v>0</v>
      </c>
      <c r="CM405">
        <v>0</v>
      </c>
      <c r="CN405">
        <v>0</v>
      </c>
      <c r="CO405">
        <v>0</v>
      </c>
      <c r="CP405">
        <v>0</v>
      </c>
      <c r="CQ405">
        <v>0</v>
      </c>
      <c r="CR405">
        <v>0</v>
      </c>
      <c r="CS405">
        <v>0</v>
      </c>
      <c r="CT405">
        <v>0</v>
      </c>
      <c r="CU405">
        <v>0</v>
      </c>
      <c r="CV405">
        <v>0</v>
      </c>
      <c r="CW405">
        <v>0</v>
      </c>
      <c r="CX405">
        <v>0</v>
      </c>
      <c r="CY405">
        <v>0</v>
      </c>
      <c r="CZ405">
        <v>0</v>
      </c>
      <c r="DA405">
        <v>0</v>
      </c>
      <c r="DB405">
        <v>0</v>
      </c>
      <c r="DC405">
        <v>0</v>
      </c>
      <c r="DD405">
        <v>0</v>
      </c>
      <c r="DE405">
        <v>0</v>
      </c>
      <c r="DF405">
        <v>0</v>
      </c>
      <c r="DG405">
        <v>0</v>
      </c>
      <c r="DH405">
        <v>0</v>
      </c>
      <c r="DI405">
        <v>0</v>
      </c>
      <c r="DJ405">
        <v>0</v>
      </c>
      <c r="DK405">
        <v>0</v>
      </c>
      <c r="DL405">
        <v>0</v>
      </c>
      <c r="DM405">
        <v>0</v>
      </c>
      <c r="DN405">
        <v>0</v>
      </c>
      <c r="DO405">
        <v>0</v>
      </c>
      <c r="DP405">
        <v>0</v>
      </c>
      <c r="DQ405">
        <v>0</v>
      </c>
      <c r="DR405">
        <v>0</v>
      </c>
      <c r="DS405">
        <v>0</v>
      </c>
      <c r="DT405">
        <v>0</v>
      </c>
      <c r="DU405">
        <v>0</v>
      </c>
      <c r="DV405">
        <v>0</v>
      </c>
      <c r="DW405">
        <v>0</v>
      </c>
      <c r="DX405">
        <v>0</v>
      </c>
      <c r="DY405">
        <v>0</v>
      </c>
      <c r="DZ405">
        <v>0</v>
      </c>
      <c r="EA405">
        <v>0</v>
      </c>
      <c r="EB405">
        <v>0</v>
      </c>
      <c r="EC405">
        <v>0</v>
      </c>
      <c r="ED405">
        <v>0</v>
      </c>
      <c r="EE405">
        <v>0</v>
      </c>
      <c r="EF405">
        <v>0</v>
      </c>
      <c r="EG405">
        <v>0</v>
      </c>
      <c r="EH405">
        <v>0</v>
      </c>
      <c r="EI405">
        <v>0</v>
      </c>
      <c r="EJ405">
        <v>0</v>
      </c>
      <c r="EK405">
        <v>0</v>
      </c>
      <c r="EL405">
        <v>0</v>
      </c>
      <c r="EM405">
        <v>0</v>
      </c>
      <c r="EN405">
        <v>0</v>
      </c>
      <c r="EO405">
        <v>0</v>
      </c>
      <c r="EP405">
        <v>0</v>
      </c>
      <c r="EQ405">
        <v>0</v>
      </c>
      <c r="ER405">
        <v>0</v>
      </c>
      <c r="ES405">
        <v>0</v>
      </c>
      <c r="ET405">
        <v>0</v>
      </c>
      <c r="EU405">
        <v>0</v>
      </c>
      <c r="EV405">
        <v>0</v>
      </c>
      <c r="EW405">
        <v>0</v>
      </c>
      <c r="EX405">
        <v>0</v>
      </c>
      <c r="EY405">
        <v>0</v>
      </c>
      <c r="EZ405">
        <v>0</v>
      </c>
      <c r="FA405">
        <v>0</v>
      </c>
      <c r="FB405">
        <v>0</v>
      </c>
      <c r="FC405">
        <v>0</v>
      </c>
      <c r="FD405">
        <v>0</v>
      </c>
      <c r="FE405">
        <v>0</v>
      </c>
      <c r="FF405">
        <v>0</v>
      </c>
      <c r="FG405">
        <v>0</v>
      </c>
      <c r="FH405">
        <v>0</v>
      </c>
      <c r="FI405">
        <v>0</v>
      </c>
      <c r="FJ405">
        <v>0</v>
      </c>
      <c r="FK405">
        <v>0</v>
      </c>
      <c r="FL405">
        <v>0</v>
      </c>
      <c r="FM405">
        <v>0</v>
      </c>
      <c r="FN405">
        <v>0</v>
      </c>
      <c r="FO405">
        <v>0</v>
      </c>
      <c r="FP405">
        <v>0</v>
      </c>
      <c r="FQ405">
        <v>0</v>
      </c>
      <c r="FR405">
        <v>0</v>
      </c>
      <c r="FS405">
        <v>0</v>
      </c>
      <c r="FT405">
        <v>0</v>
      </c>
      <c r="FU405">
        <v>0</v>
      </c>
      <c r="FV405">
        <v>0</v>
      </c>
      <c r="FW405">
        <v>0</v>
      </c>
      <c r="FX405">
        <v>0</v>
      </c>
      <c r="FY405">
        <v>0</v>
      </c>
      <c r="FZ405">
        <v>0</v>
      </c>
      <c r="GA405">
        <v>0</v>
      </c>
      <c r="GB405">
        <v>0</v>
      </c>
      <c r="GC405">
        <v>0</v>
      </c>
      <c r="GD405">
        <v>0</v>
      </c>
      <c r="GE405">
        <v>0</v>
      </c>
      <c r="GF405">
        <v>0</v>
      </c>
      <c r="GG405">
        <v>0</v>
      </c>
      <c r="GH405">
        <v>0</v>
      </c>
      <c r="GI405">
        <v>0</v>
      </c>
      <c r="GJ405">
        <v>0</v>
      </c>
      <c r="GK405">
        <v>0</v>
      </c>
      <c r="GL405">
        <v>0</v>
      </c>
      <c r="GM405">
        <v>0</v>
      </c>
      <c r="GN405">
        <v>0</v>
      </c>
      <c r="GO405">
        <v>0</v>
      </c>
      <c r="GP405">
        <v>0</v>
      </c>
      <c r="GQ405">
        <v>0</v>
      </c>
      <c r="GR405">
        <v>0</v>
      </c>
      <c r="GS405">
        <v>0</v>
      </c>
      <c r="GT405">
        <v>0</v>
      </c>
      <c r="GU405">
        <v>0</v>
      </c>
      <c r="GV405">
        <v>0</v>
      </c>
      <c r="GW405">
        <v>0</v>
      </c>
      <c r="GX405">
        <v>0</v>
      </c>
      <c r="GY405">
        <v>0</v>
      </c>
      <c r="GZ405">
        <v>0</v>
      </c>
      <c r="HA405">
        <v>0</v>
      </c>
      <c r="HB405">
        <v>0</v>
      </c>
      <c r="HC405">
        <v>0</v>
      </c>
      <c r="HD405">
        <v>0</v>
      </c>
      <c r="HE405">
        <v>0</v>
      </c>
      <c r="HF405">
        <v>0</v>
      </c>
      <c r="HG405">
        <v>0</v>
      </c>
      <c r="HH405">
        <v>0</v>
      </c>
      <c r="HI405">
        <v>0</v>
      </c>
      <c r="HJ405">
        <v>0</v>
      </c>
      <c r="HK405">
        <v>0</v>
      </c>
      <c r="HL405">
        <v>0</v>
      </c>
      <c r="HM405">
        <v>0</v>
      </c>
      <c r="HN405">
        <v>0</v>
      </c>
      <c r="HO405">
        <v>0</v>
      </c>
      <c r="HP405">
        <v>0</v>
      </c>
      <c r="HQ405">
        <v>0</v>
      </c>
      <c r="HR405">
        <v>0</v>
      </c>
      <c r="HS405">
        <v>0</v>
      </c>
      <c r="HT405">
        <v>0</v>
      </c>
      <c r="HU405">
        <v>0</v>
      </c>
      <c r="HV405">
        <v>0</v>
      </c>
      <c r="HW405">
        <v>0</v>
      </c>
      <c r="HX405">
        <v>0</v>
      </c>
      <c r="HY405">
        <v>0</v>
      </c>
      <c r="HZ405">
        <v>0</v>
      </c>
      <c r="IA405">
        <v>0</v>
      </c>
      <c r="IB405">
        <v>0</v>
      </c>
      <c r="IC405">
        <v>0</v>
      </c>
      <c r="ID405">
        <v>0</v>
      </c>
      <c r="IE405">
        <v>0</v>
      </c>
      <c r="IF405">
        <v>0</v>
      </c>
      <c r="IG405">
        <v>0</v>
      </c>
      <c r="IH405">
        <v>0</v>
      </c>
      <c r="II405">
        <v>0</v>
      </c>
      <c r="IJ405">
        <v>0</v>
      </c>
      <c r="IK405">
        <v>0</v>
      </c>
      <c r="IL405">
        <v>0</v>
      </c>
      <c r="IM405">
        <v>0</v>
      </c>
      <c r="IN405">
        <v>0</v>
      </c>
      <c r="IO405">
        <v>0</v>
      </c>
      <c r="IP405">
        <v>0</v>
      </c>
      <c r="IQ405">
        <v>0</v>
      </c>
      <c r="IR405">
        <v>0</v>
      </c>
      <c r="IS405">
        <v>0</v>
      </c>
      <c r="IT405">
        <v>0</v>
      </c>
      <c r="IU405">
        <v>0</v>
      </c>
      <c r="IV405">
        <v>0</v>
      </c>
      <c r="IW405">
        <v>0</v>
      </c>
      <c r="IX405">
        <v>0</v>
      </c>
      <c r="IY405">
        <v>0</v>
      </c>
      <c r="IZ405">
        <v>0</v>
      </c>
      <c r="JA405">
        <v>0</v>
      </c>
      <c r="JB405">
        <v>0</v>
      </c>
      <c r="JC405">
        <v>0</v>
      </c>
      <c r="JD405">
        <v>0</v>
      </c>
      <c r="JE405">
        <v>0</v>
      </c>
      <c r="JF405">
        <v>0</v>
      </c>
      <c r="JG405">
        <v>0</v>
      </c>
      <c r="JH405">
        <v>0</v>
      </c>
      <c r="JI405">
        <v>0</v>
      </c>
      <c r="JJ405">
        <v>0</v>
      </c>
      <c r="JK405">
        <v>0</v>
      </c>
      <c r="JL405">
        <v>0</v>
      </c>
      <c r="JM405">
        <v>0</v>
      </c>
      <c r="JN405">
        <v>0</v>
      </c>
      <c r="JO405">
        <v>0</v>
      </c>
      <c r="JP405">
        <v>0</v>
      </c>
      <c r="JQ405">
        <v>0</v>
      </c>
      <c r="JR405">
        <v>0</v>
      </c>
      <c r="JS405">
        <v>0</v>
      </c>
      <c r="JT405">
        <v>0</v>
      </c>
      <c r="JU405">
        <v>0</v>
      </c>
      <c r="JV405">
        <v>0</v>
      </c>
      <c r="JW405">
        <v>0</v>
      </c>
      <c r="JX405">
        <v>0</v>
      </c>
      <c r="JY405">
        <v>0</v>
      </c>
      <c r="JZ405">
        <v>0</v>
      </c>
      <c r="KA405">
        <v>0</v>
      </c>
      <c r="KB405">
        <v>0</v>
      </c>
      <c r="KC405">
        <v>0</v>
      </c>
      <c r="KD405">
        <v>0</v>
      </c>
      <c r="KE405">
        <v>0</v>
      </c>
      <c r="KF405">
        <v>0</v>
      </c>
      <c r="KG405">
        <v>0</v>
      </c>
      <c r="KH405">
        <v>0</v>
      </c>
      <c r="KI405">
        <v>0</v>
      </c>
      <c r="KJ405">
        <v>0</v>
      </c>
      <c r="KK405">
        <v>0</v>
      </c>
      <c r="KL405">
        <v>0</v>
      </c>
      <c r="KM405">
        <v>0</v>
      </c>
      <c r="KN405">
        <v>0</v>
      </c>
      <c r="KO405">
        <v>0</v>
      </c>
      <c r="KP405">
        <v>0</v>
      </c>
      <c r="KQ405">
        <v>0</v>
      </c>
      <c r="KR405">
        <v>0</v>
      </c>
      <c r="KS405">
        <v>0</v>
      </c>
      <c r="KT405">
        <v>0</v>
      </c>
      <c r="KU405">
        <v>0</v>
      </c>
      <c r="KV405">
        <v>0</v>
      </c>
      <c r="KW405">
        <v>0</v>
      </c>
      <c r="KX405">
        <v>0</v>
      </c>
      <c r="KY405">
        <v>0</v>
      </c>
      <c r="KZ405">
        <v>0</v>
      </c>
      <c r="LA405">
        <v>0</v>
      </c>
      <c r="LB405">
        <v>0</v>
      </c>
      <c r="LC405">
        <v>0</v>
      </c>
      <c r="LD405">
        <v>0</v>
      </c>
      <c r="LE405">
        <v>0</v>
      </c>
      <c r="LF405">
        <v>0</v>
      </c>
      <c r="LG405">
        <v>0</v>
      </c>
      <c r="LH405">
        <v>0</v>
      </c>
      <c r="LI405">
        <v>0</v>
      </c>
      <c r="LJ405">
        <v>0</v>
      </c>
      <c r="LK405">
        <v>0</v>
      </c>
      <c r="LL405">
        <v>0</v>
      </c>
      <c r="LM405">
        <v>0</v>
      </c>
      <c r="LN405">
        <v>0</v>
      </c>
      <c r="LO405">
        <v>0</v>
      </c>
      <c r="LP405">
        <v>0</v>
      </c>
      <c r="LQ405">
        <v>0</v>
      </c>
      <c r="LR405">
        <v>0</v>
      </c>
      <c r="LS405">
        <v>0</v>
      </c>
      <c r="LT405">
        <v>0</v>
      </c>
      <c r="LU405">
        <v>0</v>
      </c>
      <c r="LV405">
        <v>0</v>
      </c>
      <c r="LW405">
        <v>0</v>
      </c>
      <c r="LX405">
        <v>0</v>
      </c>
      <c r="LY405">
        <v>0</v>
      </c>
      <c r="LZ405">
        <v>0</v>
      </c>
      <c r="MA405">
        <v>0</v>
      </c>
      <c r="MB405">
        <v>0</v>
      </c>
      <c r="MC405">
        <v>0</v>
      </c>
      <c r="MD405">
        <v>0</v>
      </c>
      <c r="ME405">
        <v>0</v>
      </c>
      <c r="MF405">
        <v>0</v>
      </c>
      <c r="MG405">
        <v>0</v>
      </c>
      <c r="MH405">
        <v>0</v>
      </c>
      <c r="MI405">
        <v>0</v>
      </c>
      <c r="MJ405">
        <v>0</v>
      </c>
      <c r="MK405">
        <v>0</v>
      </c>
      <c r="ML405">
        <v>0</v>
      </c>
      <c r="MM405">
        <v>0</v>
      </c>
      <c r="MN405">
        <v>0</v>
      </c>
      <c r="MO405">
        <v>0</v>
      </c>
      <c r="MP405">
        <v>0</v>
      </c>
      <c r="MQ405">
        <v>0</v>
      </c>
      <c r="MR405">
        <v>0</v>
      </c>
      <c r="MS405">
        <v>0</v>
      </c>
      <c r="MT405">
        <v>0</v>
      </c>
      <c r="MU405">
        <v>0</v>
      </c>
      <c r="MV405">
        <v>0</v>
      </c>
      <c r="MW405">
        <v>0</v>
      </c>
      <c r="MX405">
        <v>0</v>
      </c>
      <c r="MY405">
        <v>0</v>
      </c>
      <c r="MZ405">
        <v>0</v>
      </c>
      <c r="NA405">
        <v>0</v>
      </c>
      <c r="NB405">
        <v>0</v>
      </c>
      <c r="NC405">
        <v>0</v>
      </c>
      <c r="ND405">
        <v>0</v>
      </c>
      <c r="NE405">
        <v>0</v>
      </c>
    </row>
    <row r="406" spans="41:369" x14ac:dyDescent="0.45">
      <c r="AO406">
        <v>0</v>
      </c>
      <c r="AP406">
        <v>0</v>
      </c>
      <c r="AQ406">
        <v>0</v>
      </c>
      <c r="AR406">
        <v>0</v>
      </c>
      <c r="AS406">
        <v>0</v>
      </c>
      <c r="AT406">
        <v>0</v>
      </c>
      <c r="AU406">
        <v>0</v>
      </c>
      <c r="AV406">
        <v>0</v>
      </c>
      <c r="AW406" t="str">
        <v/>
      </c>
      <c r="AX406">
        <v>255</v>
      </c>
      <c r="AY406" s="5" t="str">
        <v/>
      </c>
      <c r="AZ406">
        <v>0</v>
      </c>
      <c r="BA406">
        <v>0</v>
      </c>
      <c r="BB406">
        <v>0</v>
      </c>
      <c r="BC406">
        <v>0</v>
      </c>
      <c r="BD406">
        <v>0</v>
      </c>
      <c r="BE406">
        <v>0</v>
      </c>
      <c r="BF406">
        <v>0</v>
      </c>
      <c r="BG406">
        <v>0</v>
      </c>
      <c r="BH406">
        <v>0</v>
      </c>
      <c r="BI406" t="str">
        <v/>
      </c>
      <c r="BK406">
        <v>400</v>
      </c>
      <c r="BL406">
        <v>0</v>
      </c>
      <c r="BM406">
        <v>0</v>
      </c>
      <c r="BN406">
        <v>0</v>
      </c>
      <c r="BO406">
        <v>0</v>
      </c>
      <c r="BP406">
        <v>0</v>
      </c>
      <c r="BQ406">
        <v>0</v>
      </c>
      <c r="BR406">
        <v>0</v>
      </c>
      <c r="BS406">
        <v>0</v>
      </c>
      <c r="BT406">
        <v>0</v>
      </c>
      <c r="BU406">
        <v>0</v>
      </c>
      <c r="BV406">
        <v>0</v>
      </c>
      <c r="BW406">
        <v>0</v>
      </c>
      <c r="BX406">
        <v>0</v>
      </c>
      <c r="BY406">
        <v>0</v>
      </c>
      <c r="BZ406">
        <v>0</v>
      </c>
      <c r="CA406">
        <v>0</v>
      </c>
      <c r="CB406">
        <v>0</v>
      </c>
      <c r="CC406">
        <v>0</v>
      </c>
      <c r="CD406">
        <v>0</v>
      </c>
      <c r="CE406">
        <v>0</v>
      </c>
      <c r="CF406">
        <v>0</v>
      </c>
      <c r="CG406">
        <v>0</v>
      </c>
      <c r="CH406">
        <v>0</v>
      </c>
      <c r="CI406">
        <v>0</v>
      </c>
      <c r="CJ406">
        <v>0</v>
      </c>
      <c r="CK406">
        <v>0</v>
      </c>
      <c r="CL406">
        <v>0</v>
      </c>
      <c r="CM406">
        <v>0</v>
      </c>
      <c r="CN406">
        <v>0</v>
      </c>
      <c r="CO406">
        <v>0</v>
      </c>
      <c r="CP406">
        <v>0</v>
      </c>
      <c r="CQ406">
        <v>0</v>
      </c>
      <c r="CR406">
        <v>0</v>
      </c>
      <c r="CS406">
        <v>0</v>
      </c>
      <c r="CT406">
        <v>0</v>
      </c>
      <c r="CU406">
        <v>0</v>
      </c>
      <c r="CV406">
        <v>0</v>
      </c>
      <c r="CW406">
        <v>0</v>
      </c>
      <c r="CX406">
        <v>0</v>
      </c>
      <c r="CY406">
        <v>0</v>
      </c>
      <c r="CZ406">
        <v>0</v>
      </c>
      <c r="DA406">
        <v>0</v>
      </c>
      <c r="DB406">
        <v>0</v>
      </c>
      <c r="DC406">
        <v>0</v>
      </c>
      <c r="DD406">
        <v>0</v>
      </c>
      <c r="DE406">
        <v>0</v>
      </c>
      <c r="DF406">
        <v>0</v>
      </c>
      <c r="DG406">
        <v>0</v>
      </c>
      <c r="DH406">
        <v>0</v>
      </c>
      <c r="DI406">
        <v>0</v>
      </c>
      <c r="DJ406">
        <v>0</v>
      </c>
      <c r="DK406">
        <v>0</v>
      </c>
      <c r="DL406">
        <v>0</v>
      </c>
      <c r="DM406">
        <v>0</v>
      </c>
      <c r="DN406">
        <v>0</v>
      </c>
      <c r="DO406">
        <v>0</v>
      </c>
      <c r="DP406">
        <v>0</v>
      </c>
      <c r="DQ406">
        <v>0</v>
      </c>
      <c r="DR406">
        <v>0</v>
      </c>
      <c r="DS406">
        <v>0</v>
      </c>
      <c r="DT406">
        <v>0</v>
      </c>
      <c r="DU406">
        <v>0</v>
      </c>
      <c r="DV406">
        <v>0</v>
      </c>
      <c r="DW406">
        <v>0</v>
      </c>
      <c r="DX406">
        <v>0</v>
      </c>
      <c r="DY406">
        <v>0</v>
      </c>
      <c r="DZ406">
        <v>0</v>
      </c>
      <c r="EA406">
        <v>0</v>
      </c>
      <c r="EB406">
        <v>0</v>
      </c>
      <c r="EC406">
        <v>0</v>
      </c>
      <c r="ED406">
        <v>0</v>
      </c>
      <c r="EE406">
        <v>0</v>
      </c>
      <c r="EF406">
        <v>0</v>
      </c>
      <c r="EG406">
        <v>0</v>
      </c>
      <c r="EH406">
        <v>0</v>
      </c>
      <c r="EI406">
        <v>0</v>
      </c>
      <c r="EJ406">
        <v>0</v>
      </c>
      <c r="EK406">
        <v>0</v>
      </c>
      <c r="EL406">
        <v>0</v>
      </c>
      <c r="EM406">
        <v>0</v>
      </c>
      <c r="EN406">
        <v>0</v>
      </c>
      <c r="EO406">
        <v>0</v>
      </c>
      <c r="EP406">
        <v>0</v>
      </c>
      <c r="EQ406">
        <v>0</v>
      </c>
      <c r="ER406">
        <v>0</v>
      </c>
      <c r="ES406">
        <v>0</v>
      </c>
      <c r="ET406">
        <v>0</v>
      </c>
      <c r="EU406">
        <v>0</v>
      </c>
      <c r="EV406">
        <v>0</v>
      </c>
      <c r="EW406">
        <v>0</v>
      </c>
      <c r="EX406">
        <v>0</v>
      </c>
      <c r="EY406">
        <v>0</v>
      </c>
      <c r="EZ406">
        <v>0</v>
      </c>
      <c r="FA406">
        <v>0</v>
      </c>
      <c r="FB406">
        <v>0</v>
      </c>
      <c r="FC406">
        <v>0</v>
      </c>
      <c r="FD406">
        <v>0</v>
      </c>
      <c r="FE406">
        <v>0</v>
      </c>
      <c r="FF406">
        <v>0</v>
      </c>
      <c r="FG406">
        <v>0</v>
      </c>
      <c r="FH406">
        <v>0</v>
      </c>
      <c r="FI406">
        <v>0</v>
      </c>
      <c r="FJ406">
        <v>0</v>
      </c>
      <c r="FK406">
        <v>0</v>
      </c>
      <c r="FL406">
        <v>0</v>
      </c>
      <c r="FM406">
        <v>0</v>
      </c>
      <c r="FN406">
        <v>0</v>
      </c>
      <c r="FO406">
        <v>0</v>
      </c>
      <c r="FP406">
        <v>0</v>
      </c>
      <c r="FQ406">
        <v>0</v>
      </c>
      <c r="FR406">
        <v>0</v>
      </c>
      <c r="FS406">
        <v>0</v>
      </c>
      <c r="FT406">
        <v>0</v>
      </c>
      <c r="FU406">
        <v>0</v>
      </c>
      <c r="FV406">
        <v>0</v>
      </c>
      <c r="FW406">
        <v>0</v>
      </c>
      <c r="FX406">
        <v>0</v>
      </c>
      <c r="FY406">
        <v>0</v>
      </c>
      <c r="FZ406">
        <v>0</v>
      </c>
      <c r="GA406">
        <v>0</v>
      </c>
      <c r="GB406">
        <v>0</v>
      </c>
      <c r="GC406">
        <v>0</v>
      </c>
      <c r="GD406">
        <v>0</v>
      </c>
      <c r="GE406">
        <v>0</v>
      </c>
      <c r="GF406">
        <v>0</v>
      </c>
      <c r="GG406">
        <v>0</v>
      </c>
      <c r="GH406">
        <v>0</v>
      </c>
      <c r="GI406">
        <v>0</v>
      </c>
      <c r="GJ406">
        <v>0</v>
      </c>
      <c r="GK406">
        <v>0</v>
      </c>
      <c r="GL406">
        <v>0</v>
      </c>
      <c r="GM406">
        <v>0</v>
      </c>
      <c r="GN406">
        <v>0</v>
      </c>
      <c r="GO406">
        <v>0</v>
      </c>
      <c r="GP406">
        <v>0</v>
      </c>
      <c r="GQ406">
        <v>0</v>
      </c>
      <c r="GR406">
        <v>0</v>
      </c>
      <c r="GS406">
        <v>0</v>
      </c>
      <c r="GT406">
        <v>0</v>
      </c>
      <c r="GU406">
        <v>0</v>
      </c>
      <c r="GV406">
        <v>0</v>
      </c>
      <c r="GW406">
        <v>0</v>
      </c>
      <c r="GX406">
        <v>0</v>
      </c>
      <c r="GY406">
        <v>0</v>
      </c>
      <c r="GZ406">
        <v>0</v>
      </c>
      <c r="HA406">
        <v>0</v>
      </c>
      <c r="HB406">
        <v>0</v>
      </c>
      <c r="HC406">
        <v>0</v>
      </c>
      <c r="HD406">
        <v>0</v>
      </c>
      <c r="HE406">
        <v>0</v>
      </c>
      <c r="HF406">
        <v>0</v>
      </c>
      <c r="HG406">
        <v>0</v>
      </c>
      <c r="HH406">
        <v>0</v>
      </c>
      <c r="HI406">
        <v>0</v>
      </c>
      <c r="HJ406">
        <v>0</v>
      </c>
      <c r="HK406">
        <v>0</v>
      </c>
      <c r="HL406">
        <v>0</v>
      </c>
      <c r="HM406">
        <v>0</v>
      </c>
      <c r="HN406">
        <v>0</v>
      </c>
      <c r="HO406">
        <v>0</v>
      </c>
      <c r="HP406">
        <v>0</v>
      </c>
      <c r="HQ406">
        <v>0</v>
      </c>
      <c r="HR406">
        <v>0</v>
      </c>
      <c r="HS406">
        <v>0</v>
      </c>
      <c r="HT406">
        <v>0</v>
      </c>
      <c r="HU406">
        <v>0</v>
      </c>
      <c r="HV406">
        <v>0</v>
      </c>
      <c r="HW406">
        <v>0</v>
      </c>
      <c r="HX406">
        <v>0</v>
      </c>
      <c r="HY406">
        <v>0</v>
      </c>
      <c r="HZ406">
        <v>0</v>
      </c>
      <c r="IA406">
        <v>0</v>
      </c>
      <c r="IB406">
        <v>0</v>
      </c>
      <c r="IC406">
        <v>0</v>
      </c>
      <c r="ID406">
        <v>0</v>
      </c>
      <c r="IE406">
        <v>0</v>
      </c>
      <c r="IF406">
        <v>0</v>
      </c>
      <c r="IG406">
        <v>0</v>
      </c>
      <c r="IH406">
        <v>0</v>
      </c>
      <c r="II406">
        <v>0</v>
      </c>
      <c r="IJ406">
        <v>0</v>
      </c>
      <c r="IK406">
        <v>0</v>
      </c>
      <c r="IL406">
        <v>0</v>
      </c>
      <c r="IM406">
        <v>0</v>
      </c>
      <c r="IN406">
        <v>0</v>
      </c>
      <c r="IO406">
        <v>0</v>
      </c>
      <c r="IP406">
        <v>0</v>
      </c>
      <c r="IQ406">
        <v>0</v>
      </c>
      <c r="IR406">
        <v>0</v>
      </c>
      <c r="IS406">
        <v>0</v>
      </c>
      <c r="IT406">
        <v>0</v>
      </c>
      <c r="IU406">
        <v>0</v>
      </c>
      <c r="IV406">
        <v>0</v>
      </c>
      <c r="IW406">
        <v>0</v>
      </c>
      <c r="IX406">
        <v>0</v>
      </c>
      <c r="IY406">
        <v>0</v>
      </c>
      <c r="IZ406">
        <v>0</v>
      </c>
      <c r="JA406">
        <v>0</v>
      </c>
      <c r="JB406">
        <v>0</v>
      </c>
      <c r="JC406">
        <v>0</v>
      </c>
      <c r="JD406">
        <v>0</v>
      </c>
      <c r="JE406">
        <v>0</v>
      </c>
      <c r="JF406">
        <v>0</v>
      </c>
      <c r="JG406">
        <v>0</v>
      </c>
      <c r="JH406">
        <v>0</v>
      </c>
      <c r="JI406">
        <v>0</v>
      </c>
      <c r="JJ406">
        <v>0</v>
      </c>
      <c r="JK406">
        <v>0</v>
      </c>
      <c r="JL406">
        <v>0</v>
      </c>
      <c r="JM406">
        <v>0</v>
      </c>
      <c r="JN406">
        <v>0</v>
      </c>
      <c r="JO406">
        <v>0</v>
      </c>
      <c r="JP406">
        <v>0</v>
      </c>
      <c r="JQ406">
        <v>0</v>
      </c>
      <c r="JR406">
        <v>0</v>
      </c>
      <c r="JS406">
        <v>0</v>
      </c>
      <c r="JT406">
        <v>0</v>
      </c>
      <c r="JU406">
        <v>0</v>
      </c>
      <c r="JV406">
        <v>0</v>
      </c>
      <c r="JW406">
        <v>0</v>
      </c>
      <c r="JX406">
        <v>0</v>
      </c>
      <c r="JY406">
        <v>0</v>
      </c>
      <c r="JZ406">
        <v>0</v>
      </c>
      <c r="KA406">
        <v>0</v>
      </c>
      <c r="KB406">
        <v>0</v>
      </c>
      <c r="KC406">
        <v>0</v>
      </c>
      <c r="KD406">
        <v>0</v>
      </c>
      <c r="KE406">
        <v>0</v>
      </c>
      <c r="KF406">
        <v>0</v>
      </c>
      <c r="KG406">
        <v>0</v>
      </c>
      <c r="KH406">
        <v>0</v>
      </c>
      <c r="KI406">
        <v>0</v>
      </c>
      <c r="KJ406">
        <v>0</v>
      </c>
      <c r="KK406">
        <v>0</v>
      </c>
      <c r="KL406">
        <v>0</v>
      </c>
      <c r="KM406">
        <v>0</v>
      </c>
      <c r="KN406">
        <v>0</v>
      </c>
      <c r="KO406">
        <v>0</v>
      </c>
      <c r="KP406">
        <v>0</v>
      </c>
      <c r="KQ406">
        <v>0</v>
      </c>
      <c r="KR406">
        <v>0</v>
      </c>
      <c r="KS406">
        <v>0</v>
      </c>
      <c r="KT406">
        <v>0</v>
      </c>
      <c r="KU406">
        <v>0</v>
      </c>
      <c r="KV406">
        <v>0</v>
      </c>
      <c r="KW406">
        <v>0</v>
      </c>
      <c r="KX406">
        <v>0</v>
      </c>
      <c r="KY406">
        <v>0</v>
      </c>
      <c r="KZ406">
        <v>0</v>
      </c>
      <c r="LA406">
        <v>0</v>
      </c>
      <c r="LB406">
        <v>0</v>
      </c>
      <c r="LC406">
        <v>0</v>
      </c>
      <c r="LD406">
        <v>0</v>
      </c>
      <c r="LE406">
        <v>0</v>
      </c>
      <c r="LF406">
        <v>0</v>
      </c>
      <c r="LG406">
        <v>0</v>
      </c>
      <c r="LH406">
        <v>0</v>
      </c>
      <c r="LI406">
        <v>0</v>
      </c>
      <c r="LJ406">
        <v>0</v>
      </c>
      <c r="LK406">
        <v>0</v>
      </c>
      <c r="LL406">
        <v>0</v>
      </c>
      <c r="LM406">
        <v>0</v>
      </c>
      <c r="LN406">
        <v>0</v>
      </c>
      <c r="LO406">
        <v>0</v>
      </c>
      <c r="LP406">
        <v>0</v>
      </c>
      <c r="LQ406">
        <v>0</v>
      </c>
      <c r="LR406">
        <v>0</v>
      </c>
      <c r="LS406">
        <v>0</v>
      </c>
      <c r="LT406">
        <v>0</v>
      </c>
      <c r="LU406">
        <v>0</v>
      </c>
      <c r="LV406">
        <v>0</v>
      </c>
      <c r="LW406">
        <v>0</v>
      </c>
      <c r="LX406">
        <v>0</v>
      </c>
      <c r="LY406">
        <v>0</v>
      </c>
      <c r="LZ406">
        <v>0</v>
      </c>
      <c r="MA406">
        <v>0</v>
      </c>
      <c r="MB406">
        <v>0</v>
      </c>
      <c r="MC406">
        <v>0</v>
      </c>
      <c r="MD406">
        <v>0</v>
      </c>
      <c r="ME406">
        <v>0</v>
      </c>
      <c r="MF406">
        <v>0</v>
      </c>
      <c r="MG406">
        <v>0</v>
      </c>
      <c r="MH406">
        <v>0</v>
      </c>
      <c r="MI406">
        <v>0</v>
      </c>
      <c r="MJ406">
        <v>0</v>
      </c>
      <c r="MK406">
        <v>0</v>
      </c>
      <c r="ML406">
        <v>0</v>
      </c>
      <c r="MM406">
        <v>0</v>
      </c>
      <c r="MN406">
        <v>0</v>
      </c>
      <c r="MO406">
        <v>0</v>
      </c>
      <c r="MP406">
        <v>0</v>
      </c>
      <c r="MQ406">
        <v>0</v>
      </c>
      <c r="MR406">
        <v>0</v>
      </c>
      <c r="MS406">
        <v>0</v>
      </c>
      <c r="MT406">
        <v>0</v>
      </c>
      <c r="MU406">
        <v>0</v>
      </c>
      <c r="MV406">
        <v>0</v>
      </c>
      <c r="MW406">
        <v>0</v>
      </c>
      <c r="MX406">
        <v>0</v>
      </c>
      <c r="MY406">
        <v>0</v>
      </c>
      <c r="MZ406">
        <v>0</v>
      </c>
      <c r="NA406">
        <v>0</v>
      </c>
      <c r="NB406">
        <v>0</v>
      </c>
      <c r="NC406">
        <v>0</v>
      </c>
      <c r="ND406">
        <v>0</v>
      </c>
      <c r="NE406">
        <v>0</v>
      </c>
    </row>
    <row r="407" spans="41:369" x14ac:dyDescent="0.45">
      <c r="AO407">
        <v>0</v>
      </c>
      <c r="AP407">
        <v>0</v>
      </c>
      <c r="AQ407">
        <v>0</v>
      </c>
      <c r="AR407">
        <v>0</v>
      </c>
      <c r="AS407">
        <v>0</v>
      </c>
      <c r="AT407">
        <v>0</v>
      </c>
      <c r="AU407">
        <v>0</v>
      </c>
      <c r="AV407">
        <v>0</v>
      </c>
      <c r="AW407" t="str">
        <v/>
      </c>
      <c r="AX407">
        <v>255</v>
      </c>
      <c r="AY407" s="5" t="str">
        <v/>
      </c>
      <c r="AZ407">
        <v>0</v>
      </c>
      <c r="BA407">
        <v>0</v>
      </c>
      <c r="BB407">
        <v>0</v>
      </c>
      <c r="BC407">
        <v>0</v>
      </c>
      <c r="BD407">
        <v>0</v>
      </c>
      <c r="BE407">
        <v>0</v>
      </c>
      <c r="BF407">
        <v>0</v>
      </c>
      <c r="BG407">
        <v>0</v>
      </c>
      <c r="BH407">
        <v>0</v>
      </c>
      <c r="BI407" t="str">
        <v/>
      </c>
      <c r="BK407">
        <v>401</v>
      </c>
      <c r="BL407">
        <v>0</v>
      </c>
      <c r="BM407">
        <v>0</v>
      </c>
      <c r="BN407">
        <v>0</v>
      </c>
      <c r="BO407">
        <v>0</v>
      </c>
      <c r="BP407">
        <v>0</v>
      </c>
      <c r="BQ407">
        <v>0</v>
      </c>
      <c r="BR407">
        <v>0</v>
      </c>
      <c r="BS407">
        <v>0</v>
      </c>
      <c r="BT407">
        <v>0</v>
      </c>
      <c r="BU407">
        <v>0</v>
      </c>
      <c r="BV407">
        <v>0</v>
      </c>
      <c r="BW407">
        <v>0</v>
      </c>
      <c r="BX407">
        <v>0</v>
      </c>
      <c r="BY407">
        <v>0</v>
      </c>
      <c r="BZ407">
        <v>0</v>
      </c>
      <c r="CA407">
        <v>0</v>
      </c>
      <c r="CB407">
        <v>0</v>
      </c>
      <c r="CC407">
        <v>0</v>
      </c>
      <c r="CD407">
        <v>0</v>
      </c>
      <c r="CE407">
        <v>0</v>
      </c>
      <c r="CF407">
        <v>0</v>
      </c>
      <c r="CG407">
        <v>0</v>
      </c>
      <c r="CH407">
        <v>0</v>
      </c>
      <c r="CI407">
        <v>0</v>
      </c>
      <c r="CJ407">
        <v>0</v>
      </c>
      <c r="CK407">
        <v>0</v>
      </c>
      <c r="CL407">
        <v>0</v>
      </c>
      <c r="CM407">
        <v>0</v>
      </c>
      <c r="CN407">
        <v>0</v>
      </c>
      <c r="CO407">
        <v>0</v>
      </c>
      <c r="CP407">
        <v>0</v>
      </c>
      <c r="CQ407">
        <v>0</v>
      </c>
      <c r="CR407">
        <v>0</v>
      </c>
      <c r="CS407">
        <v>0</v>
      </c>
      <c r="CT407">
        <v>0</v>
      </c>
      <c r="CU407">
        <v>0</v>
      </c>
      <c r="CV407">
        <v>0</v>
      </c>
      <c r="CW407">
        <v>0</v>
      </c>
      <c r="CX407">
        <v>0</v>
      </c>
      <c r="CY407">
        <v>0</v>
      </c>
      <c r="CZ407">
        <v>0</v>
      </c>
      <c r="DA407">
        <v>0</v>
      </c>
      <c r="DB407">
        <v>0</v>
      </c>
      <c r="DC407">
        <v>0</v>
      </c>
      <c r="DD407">
        <v>0</v>
      </c>
      <c r="DE407">
        <v>0</v>
      </c>
      <c r="DF407">
        <v>0</v>
      </c>
      <c r="DG407">
        <v>0</v>
      </c>
      <c r="DH407">
        <v>0</v>
      </c>
      <c r="DI407">
        <v>0</v>
      </c>
      <c r="DJ407">
        <v>0</v>
      </c>
      <c r="DK407">
        <v>0</v>
      </c>
      <c r="DL407">
        <v>0</v>
      </c>
      <c r="DM407">
        <v>0</v>
      </c>
      <c r="DN407">
        <v>0</v>
      </c>
      <c r="DO407">
        <v>0</v>
      </c>
      <c r="DP407">
        <v>0</v>
      </c>
      <c r="DQ407">
        <v>0</v>
      </c>
      <c r="DR407">
        <v>0</v>
      </c>
      <c r="DS407">
        <v>0</v>
      </c>
      <c r="DT407">
        <v>0</v>
      </c>
      <c r="DU407">
        <v>0</v>
      </c>
      <c r="DV407">
        <v>0</v>
      </c>
      <c r="DW407">
        <v>0</v>
      </c>
      <c r="DX407">
        <v>0</v>
      </c>
      <c r="DY407">
        <v>0</v>
      </c>
      <c r="DZ407">
        <v>0</v>
      </c>
      <c r="EA407">
        <v>0</v>
      </c>
      <c r="EB407">
        <v>0</v>
      </c>
      <c r="EC407">
        <v>0</v>
      </c>
      <c r="ED407">
        <v>0</v>
      </c>
      <c r="EE407">
        <v>0</v>
      </c>
      <c r="EF407">
        <v>0</v>
      </c>
      <c r="EG407">
        <v>0</v>
      </c>
      <c r="EH407">
        <v>0</v>
      </c>
      <c r="EI407">
        <v>0</v>
      </c>
      <c r="EJ407">
        <v>0</v>
      </c>
      <c r="EK407">
        <v>0</v>
      </c>
      <c r="EL407">
        <v>0</v>
      </c>
      <c r="EM407">
        <v>0</v>
      </c>
      <c r="EN407">
        <v>0</v>
      </c>
      <c r="EO407">
        <v>0</v>
      </c>
      <c r="EP407">
        <v>0</v>
      </c>
      <c r="EQ407">
        <v>0</v>
      </c>
      <c r="ER407">
        <v>0</v>
      </c>
      <c r="ES407">
        <v>0</v>
      </c>
      <c r="ET407">
        <v>0</v>
      </c>
      <c r="EU407">
        <v>0</v>
      </c>
      <c r="EV407">
        <v>0</v>
      </c>
      <c r="EW407">
        <v>0</v>
      </c>
      <c r="EX407">
        <v>0</v>
      </c>
      <c r="EY407">
        <v>0</v>
      </c>
      <c r="EZ407">
        <v>0</v>
      </c>
      <c r="FA407">
        <v>0</v>
      </c>
      <c r="FB407">
        <v>0</v>
      </c>
      <c r="FC407">
        <v>0</v>
      </c>
      <c r="FD407">
        <v>0</v>
      </c>
      <c r="FE407">
        <v>0</v>
      </c>
      <c r="FF407">
        <v>0</v>
      </c>
      <c r="FG407">
        <v>0</v>
      </c>
      <c r="FH407">
        <v>0</v>
      </c>
      <c r="FI407">
        <v>0</v>
      </c>
      <c r="FJ407">
        <v>0</v>
      </c>
      <c r="FK407">
        <v>0</v>
      </c>
      <c r="FL407">
        <v>0</v>
      </c>
      <c r="FM407">
        <v>0</v>
      </c>
      <c r="FN407">
        <v>0</v>
      </c>
      <c r="FO407">
        <v>0</v>
      </c>
      <c r="FP407">
        <v>0</v>
      </c>
      <c r="FQ407">
        <v>0</v>
      </c>
      <c r="FR407">
        <v>0</v>
      </c>
      <c r="FS407">
        <v>0</v>
      </c>
      <c r="FT407">
        <v>0</v>
      </c>
      <c r="FU407">
        <v>0</v>
      </c>
      <c r="FV407">
        <v>0</v>
      </c>
      <c r="FW407">
        <v>0</v>
      </c>
      <c r="FX407">
        <v>0</v>
      </c>
      <c r="FY407">
        <v>0</v>
      </c>
      <c r="FZ407">
        <v>0</v>
      </c>
      <c r="GA407">
        <v>0</v>
      </c>
      <c r="GB407">
        <v>0</v>
      </c>
      <c r="GC407">
        <v>0</v>
      </c>
      <c r="GD407">
        <v>0</v>
      </c>
      <c r="GE407">
        <v>0</v>
      </c>
      <c r="GF407">
        <v>0</v>
      </c>
      <c r="GG407">
        <v>0</v>
      </c>
      <c r="GH407">
        <v>0</v>
      </c>
      <c r="GI407">
        <v>0</v>
      </c>
      <c r="GJ407">
        <v>0</v>
      </c>
      <c r="GK407">
        <v>0</v>
      </c>
      <c r="GL407">
        <v>0</v>
      </c>
      <c r="GM407">
        <v>0</v>
      </c>
      <c r="GN407">
        <v>0</v>
      </c>
      <c r="GO407">
        <v>0</v>
      </c>
      <c r="GP407">
        <v>0</v>
      </c>
      <c r="GQ407">
        <v>0</v>
      </c>
      <c r="GR407">
        <v>0</v>
      </c>
      <c r="GS407">
        <v>0</v>
      </c>
      <c r="GT407">
        <v>0</v>
      </c>
      <c r="GU407">
        <v>0</v>
      </c>
      <c r="GV407">
        <v>0</v>
      </c>
      <c r="GW407">
        <v>0</v>
      </c>
      <c r="GX407">
        <v>0</v>
      </c>
      <c r="GY407">
        <v>0</v>
      </c>
      <c r="GZ407">
        <v>0</v>
      </c>
      <c r="HA407">
        <v>0</v>
      </c>
      <c r="HB407">
        <v>0</v>
      </c>
      <c r="HC407">
        <v>0</v>
      </c>
      <c r="HD407">
        <v>0</v>
      </c>
      <c r="HE407">
        <v>0</v>
      </c>
      <c r="HF407">
        <v>0</v>
      </c>
      <c r="HG407">
        <v>0</v>
      </c>
      <c r="HH407">
        <v>0</v>
      </c>
      <c r="HI407">
        <v>0</v>
      </c>
      <c r="HJ407">
        <v>0</v>
      </c>
      <c r="HK407">
        <v>0</v>
      </c>
      <c r="HL407">
        <v>0</v>
      </c>
      <c r="HM407">
        <v>0</v>
      </c>
      <c r="HN407">
        <v>0</v>
      </c>
      <c r="HO407">
        <v>0</v>
      </c>
      <c r="HP407">
        <v>0</v>
      </c>
      <c r="HQ407">
        <v>0</v>
      </c>
      <c r="HR407">
        <v>0</v>
      </c>
      <c r="HS407">
        <v>0</v>
      </c>
      <c r="HT407">
        <v>0</v>
      </c>
      <c r="HU407">
        <v>0</v>
      </c>
      <c r="HV407">
        <v>0</v>
      </c>
      <c r="HW407">
        <v>0</v>
      </c>
      <c r="HX407">
        <v>0</v>
      </c>
      <c r="HY407">
        <v>0</v>
      </c>
      <c r="HZ407">
        <v>0</v>
      </c>
      <c r="IA407">
        <v>0</v>
      </c>
      <c r="IB407">
        <v>0</v>
      </c>
      <c r="IC407">
        <v>0</v>
      </c>
      <c r="ID407">
        <v>0</v>
      </c>
      <c r="IE407">
        <v>0</v>
      </c>
      <c r="IF407">
        <v>0</v>
      </c>
      <c r="IG407">
        <v>0</v>
      </c>
      <c r="IH407">
        <v>0</v>
      </c>
      <c r="II407">
        <v>0</v>
      </c>
      <c r="IJ407">
        <v>0</v>
      </c>
      <c r="IK407">
        <v>0</v>
      </c>
      <c r="IL407">
        <v>0</v>
      </c>
      <c r="IM407">
        <v>0</v>
      </c>
      <c r="IN407">
        <v>0</v>
      </c>
      <c r="IO407">
        <v>0</v>
      </c>
      <c r="IP407">
        <v>0</v>
      </c>
      <c r="IQ407">
        <v>0</v>
      </c>
      <c r="IR407">
        <v>0</v>
      </c>
      <c r="IS407">
        <v>0</v>
      </c>
      <c r="IT407">
        <v>0</v>
      </c>
      <c r="IU407">
        <v>0</v>
      </c>
      <c r="IV407">
        <v>0</v>
      </c>
      <c r="IW407">
        <v>0</v>
      </c>
      <c r="IX407">
        <v>0</v>
      </c>
      <c r="IY407">
        <v>0</v>
      </c>
      <c r="IZ407">
        <v>0</v>
      </c>
      <c r="JA407">
        <v>0</v>
      </c>
      <c r="JB407">
        <v>0</v>
      </c>
      <c r="JC407">
        <v>0</v>
      </c>
      <c r="JD407">
        <v>0</v>
      </c>
      <c r="JE407">
        <v>0</v>
      </c>
      <c r="JF407">
        <v>0</v>
      </c>
      <c r="JG407">
        <v>0</v>
      </c>
      <c r="JH407">
        <v>0</v>
      </c>
      <c r="JI407">
        <v>0</v>
      </c>
      <c r="JJ407">
        <v>0</v>
      </c>
      <c r="JK407">
        <v>0</v>
      </c>
      <c r="JL407">
        <v>0</v>
      </c>
      <c r="JM407">
        <v>0</v>
      </c>
      <c r="JN407">
        <v>0</v>
      </c>
      <c r="JO407">
        <v>0</v>
      </c>
      <c r="JP407">
        <v>0</v>
      </c>
      <c r="JQ407">
        <v>0</v>
      </c>
      <c r="JR407">
        <v>0</v>
      </c>
      <c r="JS407">
        <v>0</v>
      </c>
      <c r="JT407">
        <v>0</v>
      </c>
      <c r="JU407">
        <v>0</v>
      </c>
      <c r="JV407">
        <v>0</v>
      </c>
      <c r="JW407">
        <v>0</v>
      </c>
      <c r="JX407">
        <v>0</v>
      </c>
      <c r="JY407">
        <v>0</v>
      </c>
      <c r="JZ407">
        <v>0</v>
      </c>
      <c r="KA407">
        <v>0</v>
      </c>
      <c r="KB407">
        <v>0</v>
      </c>
      <c r="KC407">
        <v>0</v>
      </c>
      <c r="KD407">
        <v>0</v>
      </c>
      <c r="KE407">
        <v>0</v>
      </c>
      <c r="KF407">
        <v>0</v>
      </c>
      <c r="KG407">
        <v>0</v>
      </c>
      <c r="KH407">
        <v>0</v>
      </c>
      <c r="KI407">
        <v>0</v>
      </c>
      <c r="KJ407">
        <v>0</v>
      </c>
      <c r="KK407">
        <v>0</v>
      </c>
      <c r="KL407">
        <v>0</v>
      </c>
      <c r="KM407">
        <v>0</v>
      </c>
      <c r="KN407">
        <v>0</v>
      </c>
      <c r="KO407">
        <v>0</v>
      </c>
      <c r="KP407">
        <v>0</v>
      </c>
      <c r="KQ407">
        <v>0</v>
      </c>
      <c r="KR407">
        <v>0</v>
      </c>
      <c r="KS407">
        <v>0</v>
      </c>
      <c r="KT407">
        <v>0</v>
      </c>
      <c r="KU407">
        <v>0</v>
      </c>
      <c r="KV407">
        <v>0</v>
      </c>
      <c r="KW407">
        <v>0</v>
      </c>
      <c r="KX407">
        <v>0</v>
      </c>
      <c r="KY407">
        <v>0</v>
      </c>
      <c r="KZ407">
        <v>0</v>
      </c>
      <c r="LA407">
        <v>0</v>
      </c>
      <c r="LB407">
        <v>0</v>
      </c>
      <c r="LC407">
        <v>0</v>
      </c>
      <c r="LD407">
        <v>0</v>
      </c>
      <c r="LE407">
        <v>0</v>
      </c>
      <c r="LF407">
        <v>0</v>
      </c>
      <c r="LG407">
        <v>0</v>
      </c>
      <c r="LH407">
        <v>0</v>
      </c>
      <c r="LI407">
        <v>0</v>
      </c>
      <c r="LJ407">
        <v>0</v>
      </c>
      <c r="LK407">
        <v>0</v>
      </c>
      <c r="LL407">
        <v>0</v>
      </c>
      <c r="LM407">
        <v>0</v>
      </c>
      <c r="LN407">
        <v>0</v>
      </c>
      <c r="LO407">
        <v>0</v>
      </c>
      <c r="LP407">
        <v>0</v>
      </c>
      <c r="LQ407">
        <v>0</v>
      </c>
      <c r="LR407">
        <v>0</v>
      </c>
      <c r="LS407">
        <v>0</v>
      </c>
      <c r="LT407">
        <v>0</v>
      </c>
      <c r="LU407">
        <v>0</v>
      </c>
      <c r="LV407">
        <v>0</v>
      </c>
      <c r="LW407">
        <v>0</v>
      </c>
      <c r="LX407">
        <v>0</v>
      </c>
      <c r="LY407">
        <v>0</v>
      </c>
      <c r="LZ407">
        <v>0</v>
      </c>
      <c r="MA407">
        <v>0</v>
      </c>
      <c r="MB407">
        <v>0</v>
      </c>
      <c r="MC407">
        <v>0</v>
      </c>
      <c r="MD407">
        <v>0</v>
      </c>
      <c r="ME407">
        <v>0</v>
      </c>
      <c r="MF407">
        <v>0</v>
      </c>
      <c r="MG407">
        <v>0</v>
      </c>
      <c r="MH407">
        <v>0</v>
      </c>
      <c r="MI407">
        <v>0</v>
      </c>
      <c r="MJ407">
        <v>0</v>
      </c>
      <c r="MK407">
        <v>0</v>
      </c>
      <c r="ML407">
        <v>0</v>
      </c>
      <c r="MM407">
        <v>0</v>
      </c>
      <c r="MN407">
        <v>0</v>
      </c>
      <c r="MO407">
        <v>0</v>
      </c>
      <c r="MP407">
        <v>0</v>
      </c>
      <c r="MQ407">
        <v>0</v>
      </c>
      <c r="MR407">
        <v>0</v>
      </c>
      <c r="MS407">
        <v>0</v>
      </c>
      <c r="MT407">
        <v>0</v>
      </c>
      <c r="MU407">
        <v>0</v>
      </c>
      <c r="MV407">
        <v>0</v>
      </c>
      <c r="MW407">
        <v>0</v>
      </c>
      <c r="MX407">
        <v>0</v>
      </c>
      <c r="MY407">
        <v>0</v>
      </c>
      <c r="MZ407">
        <v>0</v>
      </c>
      <c r="NA407">
        <v>0</v>
      </c>
      <c r="NB407">
        <v>0</v>
      </c>
      <c r="NC407">
        <v>0</v>
      </c>
      <c r="ND407">
        <v>0</v>
      </c>
      <c r="NE407">
        <v>0</v>
      </c>
    </row>
    <row r="408" spans="41:369" x14ac:dyDescent="0.45">
      <c r="AO408">
        <v>0</v>
      </c>
      <c r="AP408">
        <v>0</v>
      </c>
      <c r="AQ408">
        <v>0</v>
      </c>
      <c r="AR408">
        <v>0</v>
      </c>
      <c r="AS408">
        <v>0</v>
      </c>
      <c r="AT408">
        <v>0</v>
      </c>
      <c r="AU408">
        <v>0</v>
      </c>
      <c r="AV408">
        <v>0</v>
      </c>
      <c r="AW408" t="str">
        <v/>
      </c>
      <c r="AX408">
        <v>255</v>
      </c>
      <c r="AY408" s="5" t="str">
        <v/>
      </c>
      <c r="AZ408">
        <v>0</v>
      </c>
      <c r="BA408">
        <v>0</v>
      </c>
      <c r="BB408">
        <v>0</v>
      </c>
      <c r="BC408">
        <v>0</v>
      </c>
      <c r="BD408">
        <v>0</v>
      </c>
      <c r="BE408">
        <v>0</v>
      </c>
      <c r="BF408">
        <v>0</v>
      </c>
      <c r="BG408">
        <v>0</v>
      </c>
      <c r="BH408">
        <v>0</v>
      </c>
      <c r="BI408" t="str">
        <v/>
      </c>
      <c r="BK408">
        <v>402</v>
      </c>
      <c r="BL408">
        <v>0</v>
      </c>
      <c r="BM408">
        <v>0</v>
      </c>
      <c r="BN408">
        <v>0</v>
      </c>
      <c r="BO408">
        <v>0</v>
      </c>
      <c r="BP408">
        <v>0</v>
      </c>
      <c r="BQ408">
        <v>0</v>
      </c>
      <c r="BR408">
        <v>0</v>
      </c>
      <c r="BS408">
        <v>0</v>
      </c>
      <c r="BT408">
        <v>0</v>
      </c>
      <c r="BU408">
        <v>0</v>
      </c>
      <c r="BV408">
        <v>0</v>
      </c>
      <c r="BW408">
        <v>0</v>
      </c>
      <c r="BX408">
        <v>0</v>
      </c>
      <c r="BY408">
        <v>0</v>
      </c>
      <c r="BZ408">
        <v>0</v>
      </c>
      <c r="CA408">
        <v>0</v>
      </c>
      <c r="CB408">
        <v>0</v>
      </c>
      <c r="CC408">
        <v>0</v>
      </c>
      <c r="CD408">
        <v>0</v>
      </c>
      <c r="CE408">
        <v>0</v>
      </c>
      <c r="CF408">
        <v>0</v>
      </c>
      <c r="CG408">
        <v>0</v>
      </c>
      <c r="CH408">
        <v>0</v>
      </c>
      <c r="CI408">
        <v>0</v>
      </c>
      <c r="CJ408">
        <v>0</v>
      </c>
      <c r="CK408">
        <v>0</v>
      </c>
      <c r="CL408">
        <v>0</v>
      </c>
      <c r="CM408">
        <v>0</v>
      </c>
      <c r="CN408">
        <v>0</v>
      </c>
      <c r="CO408">
        <v>0</v>
      </c>
      <c r="CP408">
        <v>0</v>
      </c>
      <c r="CQ408">
        <v>0</v>
      </c>
      <c r="CR408">
        <v>0</v>
      </c>
      <c r="CS408">
        <v>0</v>
      </c>
      <c r="CT408">
        <v>0</v>
      </c>
      <c r="CU408">
        <v>0</v>
      </c>
      <c r="CV408">
        <v>0</v>
      </c>
      <c r="CW408">
        <v>0</v>
      </c>
      <c r="CX408">
        <v>0</v>
      </c>
      <c r="CY408">
        <v>0</v>
      </c>
      <c r="CZ408">
        <v>0</v>
      </c>
      <c r="DA408">
        <v>0</v>
      </c>
      <c r="DB408">
        <v>0</v>
      </c>
      <c r="DC408">
        <v>0</v>
      </c>
      <c r="DD408">
        <v>0</v>
      </c>
      <c r="DE408">
        <v>0</v>
      </c>
      <c r="DF408">
        <v>0</v>
      </c>
      <c r="DG408">
        <v>0</v>
      </c>
      <c r="DH408">
        <v>0</v>
      </c>
      <c r="DI408">
        <v>0</v>
      </c>
      <c r="DJ408">
        <v>0</v>
      </c>
      <c r="DK408">
        <v>0</v>
      </c>
      <c r="DL408">
        <v>0</v>
      </c>
      <c r="DM408">
        <v>0</v>
      </c>
      <c r="DN408">
        <v>0</v>
      </c>
      <c r="DO408">
        <v>0</v>
      </c>
      <c r="DP408">
        <v>0</v>
      </c>
      <c r="DQ408">
        <v>0</v>
      </c>
      <c r="DR408">
        <v>0</v>
      </c>
      <c r="DS408">
        <v>0</v>
      </c>
      <c r="DT408">
        <v>0</v>
      </c>
      <c r="DU408">
        <v>0</v>
      </c>
      <c r="DV408">
        <v>0</v>
      </c>
      <c r="DW408">
        <v>0</v>
      </c>
      <c r="DX408">
        <v>0</v>
      </c>
      <c r="DY408">
        <v>0</v>
      </c>
      <c r="DZ408">
        <v>0</v>
      </c>
      <c r="EA408">
        <v>0</v>
      </c>
      <c r="EB408">
        <v>0</v>
      </c>
      <c r="EC408">
        <v>0</v>
      </c>
      <c r="ED408">
        <v>0</v>
      </c>
      <c r="EE408">
        <v>0</v>
      </c>
      <c r="EF408">
        <v>0</v>
      </c>
      <c r="EG408">
        <v>0</v>
      </c>
      <c r="EH408">
        <v>0</v>
      </c>
      <c r="EI408">
        <v>0</v>
      </c>
      <c r="EJ408">
        <v>0</v>
      </c>
      <c r="EK408">
        <v>0</v>
      </c>
      <c r="EL408">
        <v>0</v>
      </c>
      <c r="EM408">
        <v>0</v>
      </c>
      <c r="EN408">
        <v>0</v>
      </c>
      <c r="EO408">
        <v>0</v>
      </c>
      <c r="EP408">
        <v>0</v>
      </c>
      <c r="EQ408">
        <v>0</v>
      </c>
      <c r="ER408">
        <v>0</v>
      </c>
      <c r="ES408">
        <v>0</v>
      </c>
      <c r="ET408">
        <v>0</v>
      </c>
      <c r="EU408">
        <v>0</v>
      </c>
      <c r="EV408">
        <v>0</v>
      </c>
      <c r="EW408">
        <v>0</v>
      </c>
      <c r="EX408">
        <v>0</v>
      </c>
      <c r="EY408">
        <v>0</v>
      </c>
      <c r="EZ408">
        <v>0</v>
      </c>
      <c r="FA408">
        <v>0</v>
      </c>
      <c r="FB408">
        <v>0</v>
      </c>
      <c r="FC408">
        <v>0</v>
      </c>
      <c r="FD408">
        <v>0</v>
      </c>
      <c r="FE408">
        <v>0</v>
      </c>
      <c r="FF408">
        <v>0</v>
      </c>
      <c r="FG408">
        <v>0</v>
      </c>
      <c r="FH408">
        <v>0</v>
      </c>
      <c r="FI408">
        <v>0</v>
      </c>
      <c r="FJ408">
        <v>0</v>
      </c>
      <c r="FK408">
        <v>0</v>
      </c>
      <c r="FL408">
        <v>0</v>
      </c>
      <c r="FM408">
        <v>0</v>
      </c>
      <c r="FN408">
        <v>0</v>
      </c>
      <c r="FO408">
        <v>0</v>
      </c>
      <c r="FP408">
        <v>0</v>
      </c>
      <c r="FQ408">
        <v>0</v>
      </c>
      <c r="FR408">
        <v>0</v>
      </c>
      <c r="FS408">
        <v>0</v>
      </c>
      <c r="FT408">
        <v>0</v>
      </c>
      <c r="FU408">
        <v>0</v>
      </c>
      <c r="FV408">
        <v>0</v>
      </c>
      <c r="FW408">
        <v>0</v>
      </c>
      <c r="FX408">
        <v>0</v>
      </c>
      <c r="FY408">
        <v>0</v>
      </c>
      <c r="FZ408">
        <v>0</v>
      </c>
      <c r="GA408">
        <v>0</v>
      </c>
      <c r="GB408">
        <v>0</v>
      </c>
      <c r="GC408">
        <v>0</v>
      </c>
      <c r="GD408">
        <v>0</v>
      </c>
      <c r="GE408">
        <v>0</v>
      </c>
      <c r="GF408">
        <v>0</v>
      </c>
      <c r="GG408">
        <v>0</v>
      </c>
      <c r="GH408">
        <v>0</v>
      </c>
      <c r="GI408">
        <v>0</v>
      </c>
      <c r="GJ408">
        <v>0</v>
      </c>
      <c r="GK408">
        <v>0</v>
      </c>
      <c r="GL408">
        <v>0</v>
      </c>
      <c r="GM408">
        <v>0</v>
      </c>
      <c r="GN408">
        <v>0</v>
      </c>
      <c r="GO408">
        <v>0</v>
      </c>
      <c r="GP408">
        <v>0</v>
      </c>
      <c r="GQ408">
        <v>0</v>
      </c>
      <c r="GR408">
        <v>0</v>
      </c>
      <c r="GS408">
        <v>0</v>
      </c>
      <c r="GT408">
        <v>0</v>
      </c>
      <c r="GU408">
        <v>0</v>
      </c>
      <c r="GV408">
        <v>0</v>
      </c>
      <c r="GW408">
        <v>0</v>
      </c>
      <c r="GX408">
        <v>0</v>
      </c>
      <c r="GY408">
        <v>0</v>
      </c>
      <c r="GZ408">
        <v>0</v>
      </c>
      <c r="HA408">
        <v>0</v>
      </c>
      <c r="HB408">
        <v>0</v>
      </c>
      <c r="HC408">
        <v>0</v>
      </c>
      <c r="HD408">
        <v>0</v>
      </c>
      <c r="HE408">
        <v>0</v>
      </c>
      <c r="HF408">
        <v>0</v>
      </c>
      <c r="HG408">
        <v>0</v>
      </c>
      <c r="HH408">
        <v>0</v>
      </c>
      <c r="HI408">
        <v>0</v>
      </c>
      <c r="HJ408">
        <v>0</v>
      </c>
      <c r="HK408">
        <v>0</v>
      </c>
      <c r="HL408">
        <v>0</v>
      </c>
      <c r="HM408">
        <v>0</v>
      </c>
      <c r="HN408">
        <v>0</v>
      </c>
      <c r="HO408">
        <v>0</v>
      </c>
      <c r="HP408">
        <v>0</v>
      </c>
      <c r="HQ408">
        <v>0</v>
      </c>
      <c r="HR408">
        <v>0</v>
      </c>
      <c r="HS408">
        <v>0</v>
      </c>
      <c r="HT408">
        <v>0</v>
      </c>
      <c r="HU408">
        <v>0</v>
      </c>
      <c r="HV408">
        <v>0</v>
      </c>
      <c r="HW408">
        <v>0</v>
      </c>
      <c r="HX408">
        <v>0</v>
      </c>
      <c r="HY408">
        <v>0</v>
      </c>
      <c r="HZ408">
        <v>0</v>
      </c>
      <c r="IA408">
        <v>0</v>
      </c>
      <c r="IB408">
        <v>0</v>
      </c>
      <c r="IC408">
        <v>0</v>
      </c>
      <c r="ID408">
        <v>0</v>
      </c>
      <c r="IE408">
        <v>0</v>
      </c>
      <c r="IF408">
        <v>0</v>
      </c>
      <c r="IG408">
        <v>0</v>
      </c>
      <c r="IH408">
        <v>0</v>
      </c>
      <c r="II408">
        <v>0</v>
      </c>
      <c r="IJ408">
        <v>0</v>
      </c>
      <c r="IK408">
        <v>0</v>
      </c>
      <c r="IL408">
        <v>0</v>
      </c>
      <c r="IM408">
        <v>0</v>
      </c>
      <c r="IN408">
        <v>0</v>
      </c>
      <c r="IO408">
        <v>0</v>
      </c>
      <c r="IP408">
        <v>0</v>
      </c>
      <c r="IQ408">
        <v>0</v>
      </c>
      <c r="IR408">
        <v>0</v>
      </c>
      <c r="IS408">
        <v>0</v>
      </c>
      <c r="IT408">
        <v>0</v>
      </c>
      <c r="IU408">
        <v>0</v>
      </c>
      <c r="IV408">
        <v>0</v>
      </c>
      <c r="IW408">
        <v>0</v>
      </c>
      <c r="IX408">
        <v>0</v>
      </c>
      <c r="IY408">
        <v>0</v>
      </c>
      <c r="IZ408">
        <v>0</v>
      </c>
      <c r="JA408">
        <v>0</v>
      </c>
      <c r="JB408">
        <v>0</v>
      </c>
      <c r="JC408">
        <v>0</v>
      </c>
      <c r="JD408">
        <v>0</v>
      </c>
      <c r="JE408">
        <v>0</v>
      </c>
      <c r="JF408">
        <v>0</v>
      </c>
      <c r="JG408">
        <v>0</v>
      </c>
      <c r="JH408">
        <v>0</v>
      </c>
      <c r="JI408">
        <v>0</v>
      </c>
      <c r="JJ408">
        <v>0</v>
      </c>
      <c r="JK408">
        <v>0</v>
      </c>
      <c r="JL408">
        <v>0</v>
      </c>
      <c r="JM408">
        <v>0</v>
      </c>
      <c r="JN408">
        <v>0</v>
      </c>
      <c r="JO408">
        <v>0</v>
      </c>
      <c r="JP408">
        <v>0</v>
      </c>
      <c r="JQ408">
        <v>0</v>
      </c>
      <c r="JR408">
        <v>0</v>
      </c>
      <c r="JS408">
        <v>0</v>
      </c>
      <c r="JT408">
        <v>0</v>
      </c>
      <c r="JU408">
        <v>0</v>
      </c>
      <c r="JV408">
        <v>0</v>
      </c>
      <c r="JW408">
        <v>0</v>
      </c>
      <c r="JX408">
        <v>0</v>
      </c>
      <c r="JY408">
        <v>0</v>
      </c>
      <c r="JZ408">
        <v>0</v>
      </c>
      <c r="KA408">
        <v>0</v>
      </c>
      <c r="KB408">
        <v>0</v>
      </c>
      <c r="KC408">
        <v>0</v>
      </c>
      <c r="KD408">
        <v>0</v>
      </c>
      <c r="KE408">
        <v>0</v>
      </c>
      <c r="KF408">
        <v>0</v>
      </c>
      <c r="KG408">
        <v>0</v>
      </c>
      <c r="KH408">
        <v>0</v>
      </c>
      <c r="KI408">
        <v>0</v>
      </c>
      <c r="KJ408">
        <v>0</v>
      </c>
      <c r="KK408">
        <v>0</v>
      </c>
      <c r="KL408">
        <v>0</v>
      </c>
      <c r="KM408">
        <v>0</v>
      </c>
      <c r="KN408">
        <v>0</v>
      </c>
      <c r="KO408">
        <v>0</v>
      </c>
      <c r="KP408">
        <v>0</v>
      </c>
      <c r="KQ408">
        <v>0</v>
      </c>
      <c r="KR408">
        <v>0</v>
      </c>
      <c r="KS408">
        <v>0</v>
      </c>
      <c r="KT408">
        <v>0</v>
      </c>
      <c r="KU408">
        <v>0</v>
      </c>
      <c r="KV408">
        <v>0</v>
      </c>
      <c r="KW408">
        <v>0</v>
      </c>
      <c r="KX408">
        <v>0</v>
      </c>
      <c r="KY408">
        <v>0</v>
      </c>
      <c r="KZ408">
        <v>0</v>
      </c>
      <c r="LA408">
        <v>0</v>
      </c>
      <c r="LB408">
        <v>0</v>
      </c>
      <c r="LC408">
        <v>0</v>
      </c>
      <c r="LD408">
        <v>0</v>
      </c>
      <c r="LE408">
        <v>0</v>
      </c>
      <c r="LF408">
        <v>0</v>
      </c>
      <c r="LG408">
        <v>0</v>
      </c>
      <c r="LH408">
        <v>0</v>
      </c>
      <c r="LI408">
        <v>0</v>
      </c>
      <c r="LJ408">
        <v>0</v>
      </c>
      <c r="LK408">
        <v>0</v>
      </c>
      <c r="LL408">
        <v>0</v>
      </c>
      <c r="LM408">
        <v>0</v>
      </c>
      <c r="LN408">
        <v>0</v>
      </c>
      <c r="LO408">
        <v>0</v>
      </c>
      <c r="LP408">
        <v>0</v>
      </c>
      <c r="LQ408">
        <v>0</v>
      </c>
      <c r="LR408">
        <v>0</v>
      </c>
      <c r="LS408">
        <v>0</v>
      </c>
      <c r="LT408">
        <v>0</v>
      </c>
      <c r="LU408">
        <v>0</v>
      </c>
      <c r="LV408">
        <v>0</v>
      </c>
      <c r="LW408">
        <v>0</v>
      </c>
      <c r="LX408">
        <v>0</v>
      </c>
      <c r="LY408">
        <v>0</v>
      </c>
      <c r="LZ408">
        <v>0</v>
      </c>
      <c r="MA408">
        <v>0</v>
      </c>
      <c r="MB408">
        <v>0</v>
      </c>
      <c r="MC408">
        <v>0</v>
      </c>
      <c r="MD408">
        <v>0</v>
      </c>
      <c r="ME408">
        <v>0</v>
      </c>
      <c r="MF408">
        <v>0</v>
      </c>
      <c r="MG408">
        <v>0</v>
      </c>
      <c r="MH408">
        <v>0</v>
      </c>
      <c r="MI408">
        <v>0</v>
      </c>
      <c r="MJ408">
        <v>0</v>
      </c>
      <c r="MK408">
        <v>0</v>
      </c>
      <c r="ML408">
        <v>0</v>
      </c>
      <c r="MM408">
        <v>0</v>
      </c>
      <c r="MN408">
        <v>0</v>
      </c>
      <c r="MO408">
        <v>0</v>
      </c>
      <c r="MP408">
        <v>0</v>
      </c>
      <c r="MQ408">
        <v>0</v>
      </c>
      <c r="MR408">
        <v>0</v>
      </c>
      <c r="MS408">
        <v>0</v>
      </c>
      <c r="MT408">
        <v>0</v>
      </c>
      <c r="MU408">
        <v>0</v>
      </c>
      <c r="MV408">
        <v>0</v>
      </c>
      <c r="MW408">
        <v>0</v>
      </c>
      <c r="MX408">
        <v>0</v>
      </c>
      <c r="MY408">
        <v>0</v>
      </c>
      <c r="MZ408">
        <v>0</v>
      </c>
      <c r="NA408">
        <v>0</v>
      </c>
      <c r="NB408">
        <v>0</v>
      </c>
      <c r="NC408">
        <v>0</v>
      </c>
      <c r="ND408">
        <v>0</v>
      </c>
      <c r="NE408">
        <v>0</v>
      </c>
    </row>
    <row r="409" spans="41:369" x14ac:dyDescent="0.45">
      <c r="AO409">
        <v>0</v>
      </c>
      <c r="AP409">
        <v>0</v>
      </c>
      <c r="AQ409">
        <v>0</v>
      </c>
      <c r="AR409">
        <v>0</v>
      </c>
      <c r="AS409">
        <v>0</v>
      </c>
      <c r="AT409">
        <v>0</v>
      </c>
      <c r="AU409">
        <v>0</v>
      </c>
      <c r="AV409">
        <v>0</v>
      </c>
      <c r="AW409" t="str">
        <v/>
      </c>
      <c r="AX409">
        <v>255</v>
      </c>
      <c r="AY409" s="5" t="str">
        <v/>
      </c>
      <c r="AZ409">
        <v>0</v>
      </c>
      <c r="BA409">
        <v>0</v>
      </c>
      <c r="BB409">
        <v>0</v>
      </c>
      <c r="BC409">
        <v>0</v>
      </c>
      <c r="BD409">
        <v>0</v>
      </c>
      <c r="BE409">
        <v>0</v>
      </c>
      <c r="BF409">
        <v>0</v>
      </c>
      <c r="BG409">
        <v>0</v>
      </c>
      <c r="BH409">
        <v>0</v>
      </c>
      <c r="BI409" t="str">
        <v/>
      </c>
      <c r="BK409">
        <v>403</v>
      </c>
      <c r="BL409">
        <v>0</v>
      </c>
      <c r="BM409">
        <v>0</v>
      </c>
      <c r="BN409">
        <v>0</v>
      </c>
      <c r="BO409">
        <v>0</v>
      </c>
      <c r="BP409">
        <v>0</v>
      </c>
      <c r="BQ409">
        <v>0</v>
      </c>
      <c r="BR409">
        <v>0</v>
      </c>
      <c r="BS409">
        <v>0</v>
      </c>
      <c r="BT409">
        <v>0</v>
      </c>
      <c r="BU409">
        <v>0</v>
      </c>
      <c r="BV409">
        <v>0</v>
      </c>
      <c r="BW409">
        <v>0</v>
      </c>
      <c r="BX409">
        <v>0</v>
      </c>
      <c r="BY409">
        <v>0</v>
      </c>
      <c r="BZ409">
        <v>0</v>
      </c>
      <c r="CA409">
        <v>0</v>
      </c>
      <c r="CB409">
        <v>0</v>
      </c>
      <c r="CC409">
        <v>0</v>
      </c>
      <c r="CD409">
        <v>0</v>
      </c>
      <c r="CE409">
        <v>0</v>
      </c>
      <c r="CF409">
        <v>0</v>
      </c>
      <c r="CG409">
        <v>0</v>
      </c>
      <c r="CH409">
        <v>0</v>
      </c>
      <c r="CI409">
        <v>0</v>
      </c>
      <c r="CJ409">
        <v>0</v>
      </c>
      <c r="CK409">
        <v>0</v>
      </c>
      <c r="CL409">
        <v>0</v>
      </c>
      <c r="CM409">
        <v>0</v>
      </c>
      <c r="CN409">
        <v>0</v>
      </c>
      <c r="CO409">
        <v>0</v>
      </c>
      <c r="CP409">
        <v>0</v>
      </c>
      <c r="CQ409">
        <v>0</v>
      </c>
      <c r="CR409">
        <v>0</v>
      </c>
      <c r="CS409">
        <v>0</v>
      </c>
      <c r="CT409">
        <v>0</v>
      </c>
      <c r="CU409">
        <v>0</v>
      </c>
      <c r="CV409">
        <v>0</v>
      </c>
      <c r="CW409">
        <v>0</v>
      </c>
      <c r="CX409">
        <v>0</v>
      </c>
      <c r="CY409">
        <v>0</v>
      </c>
      <c r="CZ409">
        <v>0</v>
      </c>
      <c r="DA409">
        <v>0</v>
      </c>
      <c r="DB409">
        <v>0</v>
      </c>
      <c r="DC409">
        <v>0</v>
      </c>
      <c r="DD409">
        <v>0</v>
      </c>
      <c r="DE409">
        <v>0</v>
      </c>
      <c r="DF409">
        <v>0</v>
      </c>
      <c r="DG409">
        <v>0</v>
      </c>
      <c r="DH409">
        <v>0</v>
      </c>
      <c r="DI409">
        <v>0</v>
      </c>
      <c r="DJ409">
        <v>0</v>
      </c>
      <c r="DK409">
        <v>0</v>
      </c>
      <c r="DL409">
        <v>0</v>
      </c>
      <c r="DM409">
        <v>0</v>
      </c>
      <c r="DN409">
        <v>0</v>
      </c>
      <c r="DO409">
        <v>0</v>
      </c>
      <c r="DP409">
        <v>0</v>
      </c>
      <c r="DQ409">
        <v>0</v>
      </c>
      <c r="DR409">
        <v>0</v>
      </c>
      <c r="DS409">
        <v>0</v>
      </c>
      <c r="DT409">
        <v>0</v>
      </c>
      <c r="DU409">
        <v>0</v>
      </c>
      <c r="DV409">
        <v>0</v>
      </c>
      <c r="DW409">
        <v>0</v>
      </c>
      <c r="DX409">
        <v>0</v>
      </c>
      <c r="DY409">
        <v>0</v>
      </c>
      <c r="DZ409">
        <v>0</v>
      </c>
      <c r="EA409">
        <v>0</v>
      </c>
      <c r="EB409">
        <v>0</v>
      </c>
      <c r="EC409">
        <v>0</v>
      </c>
      <c r="ED409">
        <v>0</v>
      </c>
      <c r="EE409">
        <v>0</v>
      </c>
      <c r="EF409">
        <v>0</v>
      </c>
      <c r="EG409">
        <v>0</v>
      </c>
      <c r="EH409">
        <v>0</v>
      </c>
      <c r="EI409">
        <v>0</v>
      </c>
      <c r="EJ409">
        <v>0</v>
      </c>
      <c r="EK409">
        <v>0</v>
      </c>
      <c r="EL409">
        <v>0</v>
      </c>
      <c r="EM409">
        <v>0</v>
      </c>
      <c r="EN409">
        <v>0</v>
      </c>
      <c r="EO409">
        <v>0</v>
      </c>
      <c r="EP409">
        <v>0</v>
      </c>
      <c r="EQ409">
        <v>0</v>
      </c>
      <c r="ER409">
        <v>0</v>
      </c>
      <c r="ES409">
        <v>0</v>
      </c>
      <c r="ET409">
        <v>0</v>
      </c>
      <c r="EU409">
        <v>0</v>
      </c>
      <c r="EV409">
        <v>0</v>
      </c>
      <c r="EW409">
        <v>0</v>
      </c>
      <c r="EX409">
        <v>0</v>
      </c>
      <c r="EY409">
        <v>0</v>
      </c>
      <c r="EZ409">
        <v>0</v>
      </c>
      <c r="FA409">
        <v>0</v>
      </c>
      <c r="FB409">
        <v>0</v>
      </c>
      <c r="FC409">
        <v>0</v>
      </c>
      <c r="FD409">
        <v>0</v>
      </c>
      <c r="FE409">
        <v>0</v>
      </c>
      <c r="FF409">
        <v>0</v>
      </c>
      <c r="FG409">
        <v>0</v>
      </c>
      <c r="FH409">
        <v>0</v>
      </c>
      <c r="FI409">
        <v>0</v>
      </c>
      <c r="FJ409">
        <v>0</v>
      </c>
      <c r="FK409">
        <v>0</v>
      </c>
      <c r="FL409">
        <v>0</v>
      </c>
      <c r="FM409">
        <v>0</v>
      </c>
      <c r="FN409">
        <v>0</v>
      </c>
      <c r="FO409">
        <v>0</v>
      </c>
      <c r="FP409">
        <v>0</v>
      </c>
      <c r="FQ409">
        <v>0</v>
      </c>
      <c r="FR409">
        <v>0</v>
      </c>
      <c r="FS409">
        <v>0</v>
      </c>
      <c r="FT409">
        <v>0</v>
      </c>
      <c r="FU409">
        <v>0</v>
      </c>
      <c r="FV409">
        <v>0</v>
      </c>
      <c r="FW409">
        <v>0</v>
      </c>
      <c r="FX409">
        <v>0</v>
      </c>
      <c r="FY409">
        <v>0</v>
      </c>
      <c r="FZ409">
        <v>0</v>
      </c>
      <c r="GA409">
        <v>0</v>
      </c>
      <c r="GB409">
        <v>0</v>
      </c>
      <c r="GC409">
        <v>0</v>
      </c>
      <c r="GD409">
        <v>0</v>
      </c>
      <c r="GE409">
        <v>0</v>
      </c>
      <c r="GF409">
        <v>0</v>
      </c>
      <c r="GG409">
        <v>0</v>
      </c>
      <c r="GH409">
        <v>0</v>
      </c>
      <c r="GI409">
        <v>0</v>
      </c>
      <c r="GJ409">
        <v>0</v>
      </c>
      <c r="GK409">
        <v>0</v>
      </c>
      <c r="GL409">
        <v>0</v>
      </c>
      <c r="GM409">
        <v>0</v>
      </c>
      <c r="GN409">
        <v>0</v>
      </c>
      <c r="GO409">
        <v>0</v>
      </c>
      <c r="GP409">
        <v>0</v>
      </c>
      <c r="GQ409">
        <v>0</v>
      </c>
      <c r="GR409">
        <v>0</v>
      </c>
      <c r="GS409">
        <v>0</v>
      </c>
      <c r="GT409">
        <v>0</v>
      </c>
      <c r="GU409">
        <v>0</v>
      </c>
      <c r="GV409">
        <v>0</v>
      </c>
      <c r="GW409">
        <v>0</v>
      </c>
      <c r="GX409">
        <v>0</v>
      </c>
      <c r="GY409">
        <v>0</v>
      </c>
      <c r="GZ409">
        <v>0</v>
      </c>
      <c r="HA409">
        <v>0</v>
      </c>
      <c r="HB409">
        <v>0</v>
      </c>
      <c r="HC409">
        <v>0</v>
      </c>
      <c r="HD409">
        <v>0</v>
      </c>
      <c r="HE409">
        <v>0</v>
      </c>
      <c r="HF409">
        <v>0</v>
      </c>
      <c r="HG409">
        <v>0</v>
      </c>
      <c r="HH409">
        <v>0</v>
      </c>
      <c r="HI409">
        <v>0</v>
      </c>
      <c r="HJ409">
        <v>0</v>
      </c>
      <c r="HK409">
        <v>0</v>
      </c>
      <c r="HL409">
        <v>0</v>
      </c>
      <c r="HM409">
        <v>0</v>
      </c>
      <c r="HN409">
        <v>0</v>
      </c>
      <c r="HO409">
        <v>0</v>
      </c>
      <c r="HP409">
        <v>0</v>
      </c>
      <c r="HQ409">
        <v>0</v>
      </c>
      <c r="HR409">
        <v>0</v>
      </c>
      <c r="HS409">
        <v>0</v>
      </c>
      <c r="HT409">
        <v>0</v>
      </c>
      <c r="HU409">
        <v>0</v>
      </c>
      <c r="HV409">
        <v>0</v>
      </c>
      <c r="HW409">
        <v>0</v>
      </c>
      <c r="HX409">
        <v>0</v>
      </c>
      <c r="HY409">
        <v>0</v>
      </c>
      <c r="HZ409">
        <v>0</v>
      </c>
      <c r="IA409">
        <v>0</v>
      </c>
      <c r="IB409">
        <v>0</v>
      </c>
      <c r="IC409">
        <v>0</v>
      </c>
      <c r="ID409">
        <v>0</v>
      </c>
      <c r="IE409">
        <v>0</v>
      </c>
      <c r="IF409">
        <v>0</v>
      </c>
      <c r="IG409">
        <v>0</v>
      </c>
      <c r="IH409">
        <v>0</v>
      </c>
      <c r="II409">
        <v>0</v>
      </c>
      <c r="IJ409">
        <v>0</v>
      </c>
      <c r="IK409">
        <v>0</v>
      </c>
      <c r="IL409">
        <v>0</v>
      </c>
      <c r="IM409">
        <v>0</v>
      </c>
      <c r="IN409">
        <v>0</v>
      </c>
      <c r="IO409">
        <v>0</v>
      </c>
      <c r="IP409">
        <v>0</v>
      </c>
      <c r="IQ409">
        <v>0</v>
      </c>
      <c r="IR409">
        <v>0</v>
      </c>
      <c r="IS409">
        <v>0</v>
      </c>
      <c r="IT409">
        <v>0</v>
      </c>
      <c r="IU409">
        <v>0</v>
      </c>
      <c r="IV409">
        <v>0</v>
      </c>
      <c r="IW409">
        <v>0</v>
      </c>
      <c r="IX409">
        <v>0</v>
      </c>
      <c r="IY409">
        <v>0</v>
      </c>
      <c r="IZ409">
        <v>0</v>
      </c>
      <c r="JA409">
        <v>0</v>
      </c>
      <c r="JB409">
        <v>0</v>
      </c>
      <c r="JC409">
        <v>0</v>
      </c>
      <c r="JD409">
        <v>0</v>
      </c>
      <c r="JE409">
        <v>0</v>
      </c>
      <c r="JF409">
        <v>0</v>
      </c>
      <c r="JG409">
        <v>0</v>
      </c>
      <c r="JH409">
        <v>0</v>
      </c>
      <c r="JI409">
        <v>0</v>
      </c>
      <c r="JJ409">
        <v>0</v>
      </c>
      <c r="JK409">
        <v>0</v>
      </c>
      <c r="JL409">
        <v>0</v>
      </c>
      <c r="JM409">
        <v>0</v>
      </c>
      <c r="JN409">
        <v>0</v>
      </c>
      <c r="JO409">
        <v>0</v>
      </c>
      <c r="JP409">
        <v>0</v>
      </c>
      <c r="JQ409">
        <v>0</v>
      </c>
      <c r="JR409">
        <v>0</v>
      </c>
      <c r="JS409">
        <v>0</v>
      </c>
      <c r="JT409">
        <v>0</v>
      </c>
      <c r="JU409">
        <v>0</v>
      </c>
      <c r="JV409">
        <v>0</v>
      </c>
      <c r="JW409">
        <v>0</v>
      </c>
      <c r="JX409">
        <v>0</v>
      </c>
      <c r="JY409">
        <v>0</v>
      </c>
      <c r="JZ409">
        <v>0</v>
      </c>
      <c r="KA409">
        <v>0</v>
      </c>
      <c r="KB409">
        <v>0</v>
      </c>
      <c r="KC409">
        <v>0</v>
      </c>
      <c r="KD409">
        <v>0</v>
      </c>
      <c r="KE409">
        <v>0</v>
      </c>
      <c r="KF409">
        <v>0</v>
      </c>
      <c r="KG409">
        <v>0</v>
      </c>
      <c r="KH409">
        <v>0</v>
      </c>
      <c r="KI409">
        <v>0</v>
      </c>
      <c r="KJ409">
        <v>0</v>
      </c>
      <c r="KK409">
        <v>0</v>
      </c>
      <c r="KL409">
        <v>0</v>
      </c>
      <c r="KM409">
        <v>0</v>
      </c>
      <c r="KN409">
        <v>0</v>
      </c>
      <c r="KO409">
        <v>0</v>
      </c>
      <c r="KP409">
        <v>0</v>
      </c>
      <c r="KQ409">
        <v>0</v>
      </c>
      <c r="KR409">
        <v>0</v>
      </c>
      <c r="KS409">
        <v>0</v>
      </c>
      <c r="KT409">
        <v>0</v>
      </c>
      <c r="KU409">
        <v>0</v>
      </c>
      <c r="KV409">
        <v>0</v>
      </c>
      <c r="KW409">
        <v>0</v>
      </c>
      <c r="KX409">
        <v>0</v>
      </c>
      <c r="KY409">
        <v>0</v>
      </c>
      <c r="KZ409">
        <v>0</v>
      </c>
      <c r="LA409">
        <v>0</v>
      </c>
      <c r="LB409">
        <v>0</v>
      </c>
      <c r="LC409">
        <v>0</v>
      </c>
      <c r="LD409">
        <v>0</v>
      </c>
      <c r="LE409">
        <v>0</v>
      </c>
      <c r="LF409">
        <v>0</v>
      </c>
      <c r="LG409">
        <v>0</v>
      </c>
      <c r="LH409">
        <v>0</v>
      </c>
      <c r="LI409">
        <v>0</v>
      </c>
      <c r="LJ409">
        <v>0</v>
      </c>
      <c r="LK409">
        <v>0</v>
      </c>
      <c r="LL409">
        <v>0</v>
      </c>
      <c r="LM409">
        <v>0</v>
      </c>
      <c r="LN409">
        <v>0</v>
      </c>
      <c r="LO409">
        <v>0</v>
      </c>
      <c r="LP409">
        <v>0</v>
      </c>
      <c r="LQ409">
        <v>0</v>
      </c>
      <c r="LR409">
        <v>0</v>
      </c>
      <c r="LS409">
        <v>0</v>
      </c>
      <c r="LT409">
        <v>0</v>
      </c>
      <c r="LU409">
        <v>0</v>
      </c>
      <c r="LV409">
        <v>0</v>
      </c>
      <c r="LW409">
        <v>0</v>
      </c>
      <c r="LX409">
        <v>0</v>
      </c>
      <c r="LY409">
        <v>0</v>
      </c>
      <c r="LZ409">
        <v>0</v>
      </c>
      <c r="MA409">
        <v>0</v>
      </c>
      <c r="MB409">
        <v>0</v>
      </c>
      <c r="MC409">
        <v>0</v>
      </c>
      <c r="MD409">
        <v>0</v>
      </c>
      <c r="ME409">
        <v>0</v>
      </c>
      <c r="MF409">
        <v>0</v>
      </c>
      <c r="MG409">
        <v>0</v>
      </c>
      <c r="MH409">
        <v>0</v>
      </c>
      <c r="MI409">
        <v>0</v>
      </c>
      <c r="MJ409">
        <v>0</v>
      </c>
      <c r="MK409">
        <v>0</v>
      </c>
      <c r="ML409">
        <v>0</v>
      </c>
      <c r="MM409">
        <v>0</v>
      </c>
      <c r="MN409">
        <v>0</v>
      </c>
      <c r="MO409">
        <v>0</v>
      </c>
      <c r="MP409">
        <v>0</v>
      </c>
      <c r="MQ409">
        <v>0</v>
      </c>
      <c r="MR409">
        <v>0</v>
      </c>
      <c r="MS409">
        <v>0</v>
      </c>
      <c r="MT409">
        <v>0</v>
      </c>
      <c r="MU409">
        <v>0</v>
      </c>
      <c r="MV409">
        <v>0</v>
      </c>
      <c r="MW409">
        <v>0</v>
      </c>
      <c r="MX409">
        <v>0</v>
      </c>
      <c r="MY409">
        <v>0</v>
      </c>
      <c r="MZ409">
        <v>0</v>
      </c>
      <c r="NA409">
        <v>0</v>
      </c>
      <c r="NB409">
        <v>0</v>
      </c>
      <c r="NC409">
        <v>0</v>
      </c>
      <c r="ND409">
        <v>0</v>
      </c>
      <c r="NE409">
        <v>0</v>
      </c>
    </row>
    <row r="410" spans="41:369" x14ac:dyDescent="0.45">
      <c r="AO410">
        <v>0</v>
      </c>
      <c r="AP410">
        <v>0</v>
      </c>
      <c r="AQ410">
        <v>0</v>
      </c>
      <c r="AR410">
        <v>0</v>
      </c>
      <c r="AS410">
        <v>0</v>
      </c>
      <c r="AT410">
        <v>0</v>
      </c>
      <c r="AU410">
        <v>0</v>
      </c>
      <c r="AV410">
        <v>0</v>
      </c>
      <c r="AW410" t="str">
        <v/>
      </c>
      <c r="AX410">
        <v>255</v>
      </c>
      <c r="AY410" s="5" t="str">
        <v/>
      </c>
      <c r="AZ410">
        <v>0</v>
      </c>
      <c r="BA410">
        <v>0</v>
      </c>
      <c r="BB410">
        <v>0</v>
      </c>
      <c r="BC410">
        <v>0</v>
      </c>
      <c r="BD410">
        <v>0</v>
      </c>
      <c r="BE410">
        <v>0</v>
      </c>
      <c r="BF410">
        <v>0</v>
      </c>
      <c r="BG410">
        <v>0</v>
      </c>
      <c r="BH410">
        <v>0</v>
      </c>
      <c r="BI410" t="str">
        <v/>
      </c>
      <c r="BK410">
        <v>404</v>
      </c>
      <c r="BL410">
        <v>0</v>
      </c>
      <c r="BM410">
        <v>0</v>
      </c>
      <c r="BN410">
        <v>0</v>
      </c>
      <c r="BO410">
        <v>0</v>
      </c>
      <c r="BP410">
        <v>0</v>
      </c>
      <c r="BQ410">
        <v>0</v>
      </c>
      <c r="BR410">
        <v>0</v>
      </c>
      <c r="BS410">
        <v>0</v>
      </c>
      <c r="BT410">
        <v>0</v>
      </c>
      <c r="BU410">
        <v>0</v>
      </c>
      <c r="BV410">
        <v>0</v>
      </c>
      <c r="BW410">
        <v>0</v>
      </c>
      <c r="BX410">
        <v>0</v>
      </c>
      <c r="BY410">
        <v>0</v>
      </c>
      <c r="BZ410">
        <v>0</v>
      </c>
      <c r="CA410">
        <v>0</v>
      </c>
      <c r="CB410">
        <v>0</v>
      </c>
      <c r="CC410">
        <v>0</v>
      </c>
      <c r="CD410">
        <v>0</v>
      </c>
      <c r="CE410">
        <v>0</v>
      </c>
      <c r="CF410">
        <v>0</v>
      </c>
      <c r="CG410">
        <v>0</v>
      </c>
      <c r="CH410">
        <v>0</v>
      </c>
      <c r="CI410">
        <v>0</v>
      </c>
      <c r="CJ410">
        <v>0</v>
      </c>
      <c r="CK410">
        <v>0</v>
      </c>
      <c r="CL410">
        <v>0</v>
      </c>
      <c r="CM410">
        <v>0</v>
      </c>
      <c r="CN410">
        <v>0</v>
      </c>
      <c r="CO410">
        <v>0</v>
      </c>
      <c r="CP410">
        <v>0</v>
      </c>
      <c r="CQ410">
        <v>0</v>
      </c>
      <c r="CR410">
        <v>0</v>
      </c>
      <c r="CS410">
        <v>0</v>
      </c>
      <c r="CT410">
        <v>0</v>
      </c>
      <c r="CU410">
        <v>0</v>
      </c>
      <c r="CV410">
        <v>0</v>
      </c>
      <c r="CW410">
        <v>0</v>
      </c>
      <c r="CX410">
        <v>0</v>
      </c>
      <c r="CY410">
        <v>0</v>
      </c>
      <c r="CZ410">
        <v>0</v>
      </c>
      <c r="DA410">
        <v>0</v>
      </c>
      <c r="DB410">
        <v>0</v>
      </c>
      <c r="DC410">
        <v>0</v>
      </c>
      <c r="DD410">
        <v>0</v>
      </c>
      <c r="DE410">
        <v>0</v>
      </c>
      <c r="DF410">
        <v>0</v>
      </c>
      <c r="DG410">
        <v>0</v>
      </c>
      <c r="DH410">
        <v>0</v>
      </c>
      <c r="DI410">
        <v>0</v>
      </c>
      <c r="DJ410">
        <v>0</v>
      </c>
      <c r="DK410">
        <v>0</v>
      </c>
      <c r="DL410">
        <v>0</v>
      </c>
      <c r="DM410">
        <v>0</v>
      </c>
      <c r="DN410">
        <v>0</v>
      </c>
      <c r="DO410">
        <v>0</v>
      </c>
      <c r="DP410">
        <v>0</v>
      </c>
      <c r="DQ410">
        <v>0</v>
      </c>
      <c r="DR410">
        <v>0</v>
      </c>
      <c r="DS410">
        <v>0</v>
      </c>
      <c r="DT410">
        <v>0</v>
      </c>
      <c r="DU410">
        <v>0</v>
      </c>
      <c r="DV410">
        <v>0</v>
      </c>
      <c r="DW410">
        <v>0</v>
      </c>
      <c r="DX410">
        <v>0</v>
      </c>
      <c r="DY410">
        <v>0</v>
      </c>
      <c r="DZ410">
        <v>0</v>
      </c>
      <c r="EA410">
        <v>0</v>
      </c>
      <c r="EB410">
        <v>0</v>
      </c>
      <c r="EC410">
        <v>0</v>
      </c>
      <c r="ED410">
        <v>0</v>
      </c>
      <c r="EE410">
        <v>0</v>
      </c>
      <c r="EF410">
        <v>0</v>
      </c>
      <c r="EG410">
        <v>0</v>
      </c>
      <c r="EH410">
        <v>0</v>
      </c>
      <c r="EI410">
        <v>0</v>
      </c>
      <c r="EJ410">
        <v>0</v>
      </c>
      <c r="EK410">
        <v>0</v>
      </c>
      <c r="EL410">
        <v>0</v>
      </c>
      <c r="EM410">
        <v>0</v>
      </c>
      <c r="EN410">
        <v>0</v>
      </c>
      <c r="EO410">
        <v>0</v>
      </c>
      <c r="EP410">
        <v>0</v>
      </c>
      <c r="EQ410">
        <v>0</v>
      </c>
      <c r="ER410">
        <v>0</v>
      </c>
      <c r="ES410">
        <v>0</v>
      </c>
      <c r="ET410">
        <v>0</v>
      </c>
      <c r="EU410">
        <v>0</v>
      </c>
      <c r="EV410">
        <v>0</v>
      </c>
      <c r="EW410">
        <v>0</v>
      </c>
      <c r="EX410">
        <v>0</v>
      </c>
      <c r="EY410">
        <v>0</v>
      </c>
      <c r="EZ410">
        <v>0</v>
      </c>
      <c r="FA410">
        <v>0</v>
      </c>
      <c r="FB410">
        <v>0</v>
      </c>
      <c r="FC410">
        <v>0</v>
      </c>
      <c r="FD410">
        <v>0</v>
      </c>
      <c r="FE410">
        <v>0</v>
      </c>
      <c r="FF410">
        <v>0</v>
      </c>
      <c r="FG410">
        <v>0</v>
      </c>
      <c r="FH410">
        <v>0</v>
      </c>
      <c r="FI410">
        <v>0</v>
      </c>
      <c r="FJ410">
        <v>0</v>
      </c>
      <c r="FK410">
        <v>0</v>
      </c>
      <c r="FL410">
        <v>0</v>
      </c>
      <c r="FM410">
        <v>0</v>
      </c>
      <c r="FN410">
        <v>0</v>
      </c>
      <c r="FO410">
        <v>0</v>
      </c>
      <c r="FP410">
        <v>0</v>
      </c>
      <c r="FQ410">
        <v>0</v>
      </c>
      <c r="FR410">
        <v>0</v>
      </c>
      <c r="FS410">
        <v>0</v>
      </c>
      <c r="FT410">
        <v>0</v>
      </c>
      <c r="FU410">
        <v>0</v>
      </c>
      <c r="FV410">
        <v>0</v>
      </c>
      <c r="FW410">
        <v>0</v>
      </c>
      <c r="FX410">
        <v>0</v>
      </c>
      <c r="FY410">
        <v>0</v>
      </c>
      <c r="FZ410">
        <v>0</v>
      </c>
      <c r="GA410">
        <v>0</v>
      </c>
      <c r="GB410">
        <v>0</v>
      </c>
      <c r="GC410">
        <v>0</v>
      </c>
      <c r="GD410">
        <v>0</v>
      </c>
      <c r="GE410">
        <v>0</v>
      </c>
      <c r="GF410">
        <v>0</v>
      </c>
      <c r="GG410">
        <v>0</v>
      </c>
      <c r="GH410">
        <v>0</v>
      </c>
      <c r="GI410">
        <v>0</v>
      </c>
      <c r="GJ410">
        <v>0</v>
      </c>
      <c r="GK410">
        <v>0</v>
      </c>
      <c r="GL410">
        <v>0</v>
      </c>
      <c r="GM410">
        <v>0</v>
      </c>
      <c r="GN410">
        <v>0</v>
      </c>
      <c r="GO410">
        <v>0</v>
      </c>
      <c r="GP410">
        <v>0</v>
      </c>
      <c r="GQ410">
        <v>0</v>
      </c>
      <c r="GR410">
        <v>0</v>
      </c>
      <c r="GS410">
        <v>0</v>
      </c>
      <c r="GT410">
        <v>0</v>
      </c>
      <c r="GU410">
        <v>0</v>
      </c>
      <c r="GV410">
        <v>0</v>
      </c>
      <c r="GW410">
        <v>0</v>
      </c>
      <c r="GX410">
        <v>0</v>
      </c>
      <c r="GY410">
        <v>0</v>
      </c>
      <c r="GZ410">
        <v>0</v>
      </c>
      <c r="HA410">
        <v>0</v>
      </c>
      <c r="HB410">
        <v>0</v>
      </c>
      <c r="HC410">
        <v>0</v>
      </c>
      <c r="HD410">
        <v>0</v>
      </c>
      <c r="HE410">
        <v>0</v>
      </c>
      <c r="HF410">
        <v>0</v>
      </c>
      <c r="HG410">
        <v>0</v>
      </c>
      <c r="HH410">
        <v>0</v>
      </c>
      <c r="HI410">
        <v>0</v>
      </c>
      <c r="HJ410">
        <v>0</v>
      </c>
      <c r="HK410">
        <v>0</v>
      </c>
      <c r="HL410">
        <v>0</v>
      </c>
      <c r="HM410">
        <v>0</v>
      </c>
      <c r="HN410">
        <v>0</v>
      </c>
      <c r="HO410">
        <v>0</v>
      </c>
      <c r="HP410">
        <v>0</v>
      </c>
      <c r="HQ410">
        <v>0</v>
      </c>
      <c r="HR410">
        <v>0</v>
      </c>
      <c r="HS410">
        <v>0</v>
      </c>
      <c r="HT410">
        <v>0</v>
      </c>
      <c r="HU410">
        <v>0</v>
      </c>
      <c r="HV410">
        <v>0</v>
      </c>
      <c r="HW410">
        <v>0</v>
      </c>
      <c r="HX410">
        <v>0</v>
      </c>
      <c r="HY410">
        <v>0</v>
      </c>
      <c r="HZ410">
        <v>0</v>
      </c>
      <c r="IA410">
        <v>0</v>
      </c>
      <c r="IB410">
        <v>0</v>
      </c>
      <c r="IC410">
        <v>0</v>
      </c>
      <c r="ID410">
        <v>0</v>
      </c>
      <c r="IE410">
        <v>0</v>
      </c>
      <c r="IF410">
        <v>0</v>
      </c>
      <c r="IG410">
        <v>0</v>
      </c>
      <c r="IH410">
        <v>0</v>
      </c>
      <c r="II410">
        <v>0</v>
      </c>
      <c r="IJ410">
        <v>0</v>
      </c>
      <c r="IK410">
        <v>0</v>
      </c>
      <c r="IL410">
        <v>0</v>
      </c>
      <c r="IM410">
        <v>0</v>
      </c>
      <c r="IN410">
        <v>0</v>
      </c>
      <c r="IO410">
        <v>0</v>
      </c>
      <c r="IP410">
        <v>0</v>
      </c>
      <c r="IQ410">
        <v>0</v>
      </c>
      <c r="IR410">
        <v>0</v>
      </c>
      <c r="IS410">
        <v>0</v>
      </c>
      <c r="IT410">
        <v>0</v>
      </c>
      <c r="IU410">
        <v>0</v>
      </c>
      <c r="IV410">
        <v>0</v>
      </c>
      <c r="IW410">
        <v>0</v>
      </c>
      <c r="IX410">
        <v>0</v>
      </c>
      <c r="IY410">
        <v>0</v>
      </c>
      <c r="IZ410">
        <v>0</v>
      </c>
      <c r="JA410">
        <v>0</v>
      </c>
      <c r="JB410">
        <v>0</v>
      </c>
      <c r="JC410">
        <v>0</v>
      </c>
      <c r="JD410">
        <v>0</v>
      </c>
      <c r="JE410">
        <v>0</v>
      </c>
      <c r="JF410">
        <v>0</v>
      </c>
      <c r="JG410">
        <v>0</v>
      </c>
      <c r="JH410">
        <v>0</v>
      </c>
      <c r="JI410">
        <v>0</v>
      </c>
      <c r="JJ410">
        <v>0</v>
      </c>
      <c r="JK410">
        <v>0</v>
      </c>
      <c r="JL410">
        <v>0</v>
      </c>
      <c r="JM410">
        <v>0</v>
      </c>
      <c r="JN410">
        <v>0</v>
      </c>
      <c r="JO410">
        <v>0</v>
      </c>
      <c r="JP410">
        <v>0</v>
      </c>
      <c r="JQ410">
        <v>0</v>
      </c>
      <c r="JR410">
        <v>0</v>
      </c>
      <c r="JS410">
        <v>0</v>
      </c>
      <c r="JT410">
        <v>0</v>
      </c>
      <c r="JU410">
        <v>0</v>
      </c>
      <c r="JV410">
        <v>0</v>
      </c>
      <c r="JW410">
        <v>0</v>
      </c>
      <c r="JX410">
        <v>0</v>
      </c>
      <c r="JY410">
        <v>0</v>
      </c>
      <c r="JZ410">
        <v>0</v>
      </c>
      <c r="KA410">
        <v>0</v>
      </c>
      <c r="KB410">
        <v>0</v>
      </c>
      <c r="KC410">
        <v>0</v>
      </c>
      <c r="KD410">
        <v>0</v>
      </c>
      <c r="KE410">
        <v>0</v>
      </c>
      <c r="KF410">
        <v>0</v>
      </c>
      <c r="KG410">
        <v>0</v>
      </c>
      <c r="KH410">
        <v>0</v>
      </c>
      <c r="KI410">
        <v>0</v>
      </c>
      <c r="KJ410">
        <v>0</v>
      </c>
      <c r="KK410">
        <v>0</v>
      </c>
      <c r="KL410">
        <v>0</v>
      </c>
      <c r="KM410">
        <v>0</v>
      </c>
      <c r="KN410">
        <v>0</v>
      </c>
      <c r="KO410">
        <v>0</v>
      </c>
      <c r="KP410">
        <v>0</v>
      </c>
      <c r="KQ410">
        <v>0</v>
      </c>
      <c r="KR410">
        <v>0</v>
      </c>
      <c r="KS410">
        <v>0</v>
      </c>
      <c r="KT410">
        <v>0</v>
      </c>
      <c r="KU410">
        <v>0</v>
      </c>
      <c r="KV410">
        <v>0</v>
      </c>
      <c r="KW410">
        <v>0</v>
      </c>
      <c r="KX410">
        <v>0</v>
      </c>
      <c r="KY410">
        <v>0</v>
      </c>
      <c r="KZ410">
        <v>0</v>
      </c>
      <c r="LA410">
        <v>0</v>
      </c>
      <c r="LB410">
        <v>0</v>
      </c>
      <c r="LC410">
        <v>0</v>
      </c>
      <c r="LD410">
        <v>0</v>
      </c>
      <c r="LE410">
        <v>0</v>
      </c>
      <c r="LF410">
        <v>0</v>
      </c>
      <c r="LG410">
        <v>0</v>
      </c>
      <c r="LH410">
        <v>0</v>
      </c>
      <c r="LI410">
        <v>0</v>
      </c>
      <c r="LJ410">
        <v>0</v>
      </c>
      <c r="LK410">
        <v>0</v>
      </c>
      <c r="LL410">
        <v>0</v>
      </c>
      <c r="LM410">
        <v>0</v>
      </c>
      <c r="LN410">
        <v>0</v>
      </c>
      <c r="LO410">
        <v>0</v>
      </c>
      <c r="LP410">
        <v>0</v>
      </c>
      <c r="LQ410">
        <v>0</v>
      </c>
      <c r="LR410">
        <v>0</v>
      </c>
      <c r="LS410">
        <v>0</v>
      </c>
      <c r="LT410">
        <v>0</v>
      </c>
      <c r="LU410">
        <v>0</v>
      </c>
      <c r="LV410">
        <v>0</v>
      </c>
      <c r="LW410">
        <v>0</v>
      </c>
      <c r="LX410">
        <v>0</v>
      </c>
      <c r="LY410">
        <v>0</v>
      </c>
      <c r="LZ410">
        <v>0</v>
      </c>
      <c r="MA410">
        <v>0</v>
      </c>
      <c r="MB410">
        <v>0</v>
      </c>
      <c r="MC410">
        <v>0</v>
      </c>
      <c r="MD410">
        <v>0</v>
      </c>
      <c r="ME410">
        <v>0</v>
      </c>
      <c r="MF410">
        <v>0</v>
      </c>
      <c r="MG410">
        <v>0</v>
      </c>
      <c r="MH410">
        <v>0</v>
      </c>
      <c r="MI410">
        <v>0</v>
      </c>
      <c r="MJ410">
        <v>0</v>
      </c>
      <c r="MK410">
        <v>0</v>
      </c>
      <c r="ML410">
        <v>0</v>
      </c>
      <c r="MM410">
        <v>0</v>
      </c>
      <c r="MN410">
        <v>0</v>
      </c>
      <c r="MO410">
        <v>0</v>
      </c>
      <c r="MP410">
        <v>0</v>
      </c>
      <c r="MQ410">
        <v>0</v>
      </c>
      <c r="MR410">
        <v>0</v>
      </c>
      <c r="MS410">
        <v>0</v>
      </c>
      <c r="MT410">
        <v>0</v>
      </c>
      <c r="MU410">
        <v>0</v>
      </c>
      <c r="MV410">
        <v>0</v>
      </c>
      <c r="MW410">
        <v>0</v>
      </c>
      <c r="MX410">
        <v>0</v>
      </c>
      <c r="MY410">
        <v>0</v>
      </c>
      <c r="MZ410">
        <v>0</v>
      </c>
      <c r="NA410">
        <v>0</v>
      </c>
      <c r="NB410">
        <v>0</v>
      </c>
      <c r="NC410">
        <v>0</v>
      </c>
      <c r="ND410">
        <v>0</v>
      </c>
      <c r="NE410">
        <v>0</v>
      </c>
    </row>
    <row r="411" spans="41:369" x14ac:dyDescent="0.45">
      <c r="AO411">
        <v>0</v>
      </c>
      <c r="AP411">
        <v>0</v>
      </c>
      <c r="AQ411">
        <v>0</v>
      </c>
      <c r="AR411">
        <v>0</v>
      </c>
      <c r="AS411">
        <v>0</v>
      </c>
      <c r="AT411">
        <v>0</v>
      </c>
      <c r="AU411">
        <v>0</v>
      </c>
      <c r="AV411">
        <v>0</v>
      </c>
      <c r="AW411" t="str">
        <v/>
      </c>
      <c r="AX411">
        <v>255</v>
      </c>
      <c r="AY411" s="5" t="str">
        <v/>
      </c>
      <c r="AZ411">
        <v>0</v>
      </c>
      <c r="BA411">
        <v>0</v>
      </c>
      <c r="BB411">
        <v>0</v>
      </c>
      <c r="BC411">
        <v>0</v>
      </c>
      <c r="BD411">
        <v>0</v>
      </c>
      <c r="BE411">
        <v>0</v>
      </c>
      <c r="BF411">
        <v>0</v>
      </c>
      <c r="BG411">
        <v>0</v>
      </c>
      <c r="BH411">
        <v>0</v>
      </c>
      <c r="BI411" t="str">
        <v/>
      </c>
      <c r="BK411">
        <v>405</v>
      </c>
      <c r="BL411">
        <v>0</v>
      </c>
      <c r="BM411">
        <v>0</v>
      </c>
      <c r="BN411">
        <v>0</v>
      </c>
      <c r="BO411">
        <v>0</v>
      </c>
      <c r="BP411">
        <v>0</v>
      </c>
      <c r="BQ411">
        <v>0</v>
      </c>
      <c r="BR411">
        <v>0</v>
      </c>
      <c r="BS411">
        <v>0</v>
      </c>
      <c r="BT411">
        <v>0</v>
      </c>
      <c r="BU411">
        <v>0</v>
      </c>
      <c r="BV411">
        <v>0</v>
      </c>
      <c r="BW411">
        <v>0</v>
      </c>
      <c r="BX411">
        <v>0</v>
      </c>
      <c r="BY411">
        <v>0</v>
      </c>
      <c r="BZ411">
        <v>0</v>
      </c>
      <c r="CA411">
        <v>0</v>
      </c>
      <c r="CB411">
        <v>0</v>
      </c>
      <c r="CC411">
        <v>0</v>
      </c>
      <c r="CD411">
        <v>0</v>
      </c>
      <c r="CE411">
        <v>0</v>
      </c>
      <c r="CF411">
        <v>0</v>
      </c>
      <c r="CG411">
        <v>0</v>
      </c>
      <c r="CH411">
        <v>0</v>
      </c>
      <c r="CI411">
        <v>0</v>
      </c>
      <c r="CJ411">
        <v>0</v>
      </c>
      <c r="CK411">
        <v>0</v>
      </c>
      <c r="CL411">
        <v>0</v>
      </c>
      <c r="CM411">
        <v>0</v>
      </c>
      <c r="CN411">
        <v>0</v>
      </c>
      <c r="CO411">
        <v>0</v>
      </c>
      <c r="CP411">
        <v>0</v>
      </c>
      <c r="CQ411">
        <v>0</v>
      </c>
      <c r="CR411">
        <v>0</v>
      </c>
      <c r="CS411">
        <v>0</v>
      </c>
      <c r="CT411">
        <v>0</v>
      </c>
      <c r="CU411">
        <v>0</v>
      </c>
      <c r="CV411">
        <v>0</v>
      </c>
      <c r="CW411">
        <v>0</v>
      </c>
      <c r="CX411">
        <v>0</v>
      </c>
      <c r="CY411">
        <v>0</v>
      </c>
      <c r="CZ411">
        <v>0</v>
      </c>
      <c r="DA411">
        <v>0</v>
      </c>
      <c r="DB411">
        <v>0</v>
      </c>
      <c r="DC411">
        <v>0</v>
      </c>
      <c r="DD411">
        <v>0</v>
      </c>
      <c r="DE411">
        <v>0</v>
      </c>
      <c r="DF411">
        <v>0</v>
      </c>
      <c r="DG411">
        <v>0</v>
      </c>
      <c r="DH411">
        <v>0</v>
      </c>
      <c r="DI411">
        <v>0</v>
      </c>
      <c r="DJ411">
        <v>0</v>
      </c>
      <c r="DK411">
        <v>0</v>
      </c>
      <c r="DL411">
        <v>0</v>
      </c>
      <c r="DM411">
        <v>0</v>
      </c>
      <c r="DN411">
        <v>0</v>
      </c>
      <c r="DO411">
        <v>0</v>
      </c>
      <c r="DP411">
        <v>0</v>
      </c>
      <c r="DQ411">
        <v>0</v>
      </c>
      <c r="DR411">
        <v>0</v>
      </c>
      <c r="DS411">
        <v>0</v>
      </c>
      <c r="DT411">
        <v>0</v>
      </c>
      <c r="DU411">
        <v>0</v>
      </c>
      <c r="DV411">
        <v>0</v>
      </c>
      <c r="DW411">
        <v>0</v>
      </c>
      <c r="DX411">
        <v>0</v>
      </c>
      <c r="DY411">
        <v>0</v>
      </c>
      <c r="DZ411">
        <v>0</v>
      </c>
      <c r="EA411">
        <v>0</v>
      </c>
      <c r="EB411">
        <v>0</v>
      </c>
      <c r="EC411">
        <v>0</v>
      </c>
      <c r="ED411">
        <v>0</v>
      </c>
      <c r="EE411">
        <v>0</v>
      </c>
      <c r="EF411">
        <v>0</v>
      </c>
      <c r="EG411">
        <v>0</v>
      </c>
      <c r="EH411">
        <v>0</v>
      </c>
      <c r="EI411">
        <v>0</v>
      </c>
      <c r="EJ411">
        <v>0</v>
      </c>
      <c r="EK411">
        <v>0</v>
      </c>
      <c r="EL411">
        <v>0</v>
      </c>
      <c r="EM411">
        <v>0</v>
      </c>
      <c r="EN411">
        <v>0</v>
      </c>
      <c r="EO411">
        <v>0</v>
      </c>
      <c r="EP411">
        <v>0</v>
      </c>
      <c r="EQ411">
        <v>0</v>
      </c>
      <c r="ER411">
        <v>0</v>
      </c>
      <c r="ES411">
        <v>0</v>
      </c>
      <c r="ET411">
        <v>0</v>
      </c>
      <c r="EU411">
        <v>0</v>
      </c>
      <c r="EV411">
        <v>0</v>
      </c>
      <c r="EW411">
        <v>0</v>
      </c>
      <c r="EX411">
        <v>0</v>
      </c>
      <c r="EY411">
        <v>0</v>
      </c>
      <c r="EZ411">
        <v>0</v>
      </c>
      <c r="FA411">
        <v>0</v>
      </c>
      <c r="FB411">
        <v>0</v>
      </c>
      <c r="FC411">
        <v>0</v>
      </c>
      <c r="FD411">
        <v>0</v>
      </c>
      <c r="FE411">
        <v>0</v>
      </c>
      <c r="FF411">
        <v>0</v>
      </c>
      <c r="FG411">
        <v>0</v>
      </c>
      <c r="FH411">
        <v>0</v>
      </c>
      <c r="FI411">
        <v>0</v>
      </c>
      <c r="FJ411">
        <v>0</v>
      </c>
      <c r="FK411">
        <v>0</v>
      </c>
      <c r="FL411">
        <v>0</v>
      </c>
      <c r="FM411">
        <v>0</v>
      </c>
      <c r="FN411">
        <v>0</v>
      </c>
      <c r="FO411">
        <v>0</v>
      </c>
      <c r="FP411">
        <v>0</v>
      </c>
      <c r="FQ411">
        <v>0</v>
      </c>
      <c r="FR411">
        <v>0</v>
      </c>
      <c r="FS411">
        <v>0</v>
      </c>
      <c r="FT411">
        <v>0</v>
      </c>
      <c r="FU411">
        <v>0</v>
      </c>
      <c r="FV411">
        <v>0</v>
      </c>
      <c r="FW411">
        <v>0</v>
      </c>
      <c r="FX411">
        <v>0</v>
      </c>
      <c r="FY411">
        <v>0</v>
      </c>
      <c r="FZ411">
        <v>0</v>
      </c>
      <c r="GA411">
        <v>0</v>
      </c>
      <c r="GB411">
        <v>0</v>
      </c>
      <c r="GC411">
        <v>0</v>
      </c>
      <c r="GD411">
        <v>0</v>
      </c>
      <c r="GE411">
        <v>0</v>
      </c>
      <c r="GF411">
        <v>0</v>
      </c>
      <c r="GG411">
        <v>0</v>
      </c>
      <c r="GH411">
        <v>0</v>
      </c>
      <c r="GI411">
        <v>0</v>
      </c>
      <c r="GJ411">
        <v>0</v>
      </c>
      <c r="GK411">
        <v>0</v>
      </c>
      <c r="GL411">
        <v>0</v>
      </c>
      <c r="GM411">
        <v>0</v>
      </c>
      <c r="GN411">
        <v>0</v>
      </c>
      <c r="GO411">
        <v>0</v>
      </c>
      <c r="GP411">
        <v>0</v>
      </c>
      <c r="GQ411">
        <v>0</v>
      </c>
      <c r="GR411">
        <v>0</v>
      </c>
      <c r="GS411">
        <v>0</v>
      </c>
      <c r="GT411">
        <v>0</v>
      </c>
      <c r="GU411">
        <v>0</v>
      </c>
      <c r="GV411">
        <v>0</v>
      </c>
      <c r="GW411">
        <v>0</v>
      </c>
      <c r="GX411">
        <v>0</v>
      </c>
      <c r="GY411">
        <v>0</v>
      </c>
      <c r="GZ411">
        <v>0</v>
      </c>
      <c r="HA411">
        <v>0</v>
      </c>
      <c r="HB411">
        <v>0</v>
      </c>
      <c r="HC411">
        <v>0</v>
      </c>
      <c r="HD411">
        <v>0</v>
      </c>
      <c r="HE411">
        <v>0</v>
      </c>
      <c r="HF411">
        <v>0</v>
      </c>
      <c r="HG411">
        <v>0</v>
      </c>
      <c r="HH411">
        <v>0</v>
      </c>
      <c r="HI411">
        <v>0</v>
      </c>
      <c r="HJ411">
        <v>0</v>
      </c>
      <c r="HK411">
        <v>0</v>
      </c>
      <c r="HL411">
        <v>0</v>
      </c>
      <c r="HM411">
        <v>0</v>
      </c>
      <c r="HN411">
        <v>0</v>
      </c>
      <c r="HO411">
        <v>0</v>
      </c>
      <c r="HP411">
        <v>0</v>
      </c>
      <c r="HQ411">
        <v>0</v>
      </c>
      <c r="HR411">
        <v>0</v>
      </c>
      <c r="HS411">
        <v>0</v>
      </c>
      <c r="HT411">
        <v>0</v>
      </c>
      <c r="HU411">
        <v>0</v>
      </c>
      <c r="HV411">
        <v>0</v>
      </c>
      <c r="HW411">
        <v>0</v>
      </c>
      <c r="HX411">
        <v>0</v>
      </c>
      <c r="HY411">
        <v>0</v>
      </c>
      <c r="HZ411">
        <v>0</v>
      </c>
      <c r="IA411">
        <v>0</v>
      </c>
      <c r="IB411">
        <v>0</v>
      </c>
      <c r="IC411">
        <v>0</v>
      </c>
      <c r="ID411">
        <v>0</v>
      </c>
      <c r="IE411">
        <v>0</v>
      </c>
      <c r="IF411">
        <v>0</v>
      </c>
      <c r="IG411">
        <v>0</v>
      </c>
      <c r="IH411">
        <v>0</v>
      </c>
      <c r="II411">
        <v>0</v>
      </c>
      <c r="IJ411">
        <v>0</v>
      </c>
      <c r="IK411">
        <v>0</v>
      </c>
      <c r="IL411">
        <v>0</v>
      </c>
      <c r="IM411">
        <v>0</v>
      </c>
      <c r="IN411">
        <v>0</v>
      </c>
      <c r="IO411">
        <v>0</v>
      </c>
      <c r="IP411">
        <v>0</v>
      </c>
      <c r="IQ411">
        <v>0</v>
      </c>
      <c r="IR411">
        <v>0</v>
      </c>
      <c r="IS411">
        <v>0</v>
      </c>
      <c r="IT411">
        <v>0</v>
      </c>
      <c r="IU411">
        <v>0</v>
      </c>
      <c r="IV411">
        <v>0</v>
      </c>
      <c r="IW411">
        <v>0</v>
      </c>
      <c r="IX411">
        <v>0</v>
      </c>
      <c r="IY411">
        <v>0</v>
      </c>
      <c r="IZ411">
        <v>0</v>
      </c>
      <c r="JA411">
        <v>0</v>
      </c>
      <c r="JB411">
        <v>0</v>
      </c>
      <c r="JC411">
        <v>0</v>
      </c>
      <c r="JD411">
        <v>0</v>
      </c>
      <c r="JE411">
        <v>0</v>
      </c>
      <c r="JF411">
        <v>0</v>
      </c>
      <c r="JG411">
        <v>0</v>
      </c>
      <c r="JH411">
        <v>0</v>
      </c>
      <c r="JI411">
        <v>0</v>
      </c>
      <c r="JJ411">
        <v>0</v>
      </c>
      <c r="JK411">
        <v>0</v>
      </c>
      <c r="JL411">
        <v>0</v>
      </c>
      <c r="JM411">
        <v>0</v>
      </c>
      <c r="JN411">
        <v>0</v>
      </c>
      <c r="JO411">
        <v>0</v>
      </c>
      <c r="JP411">
        <v>0</v>
      </c>
      <c r="JQ411">
        <v>0</v>
      </c>
      <c r="JR411">
        <v>0</v>
      </c>
      <c r="JS411">
        <v>0</v>
      </c>
      <c r="JT411">
        <v>0</v>
      </c>
      <c r="JU411">
        <v>0</v>
      </c>
      <c r="JV411">
        <v>0</v>
      </c>
      <c r="JW411">
        <v>0</v>
      </c>
      <c r="JX411">
        <v>0</v>
      </c>
      <c r="JY411">
        <v>0</v>
      </c>
      <c r="JZ411">
        <v>0</v>
      </c>
      <c r="KA411">
        <v>0</v>
      </c>
      <c r="KB411">
        <v>0</v>
      </c>
      <c r="KC411">
        <v>0</v>
      </c>
      <c r="KD411">
        <v>0</v>
      </c>
      <c r="KE411">
        <v>0</v>
      </c>
      <c r="KF411">
        <v>0</v>
      </c>
      <c r="KG411">
        <v>0</v>
      </c>
      <c r="KH411">
        <v>0</v>
      </c>
      <c r="KI411">
        <v>0</v>
      </c>
      <c r="KJ411">
        <v>0</v>
      </c>
      <c r="KK411">
        <v>0</v>
      </c>
      <c r="KL411">
        <v>0</v>
      </c>
      <c r="KM411">
        <v>0</v>
      </c>
      <c r="KN411">
        <v>0</v>
      </c>
      <c r="KO411">
        <v>0</v>
      </c>
      <c r="KP411">
        <v>0</v>
      </c>
      <c r="KQ411">
        <v>0</v>
      </c>
      <c r="KR411">
        <v>0</v>
      </c>
      <c r="KS411">
        <v>0</v>
      </c>
      <c r="KT411">
        <v>0</v>
      </c>
      <c r="KU411">
        <v>0</v>
      </c>
      <c r="KV411">
        <v>0</v>
      </c>
      <c r="KW411">
        <v>0</v>
      </c>
      <c r="KX411">
        <v>0</v>
      </c>
      <c r="KY411">
        <v>0</v>
      </c>
      <c r="KZ411">
        <v>0</v>
      </c>
      <c r="LA411">
        <v>0</v>
      </c>
      <c r="LB411">
        <v>0</v>
      </c>
      <c r="LC411">
        <v>0</v>
      </c>
      <c r="LD411">
        <v>0</v>
      </c>
      <c r="LE411">
        <v>0</v>
      </c>
      <c r="LF411">
        <v>0</v>
      </c>
      <c r="LG411">
        <v>0</v>
      </c>
      <c r="LH411">
        <v>0</v>
      </c>
      <c r="LI411">
        <v>0</v>
      </c>
      <c r="LJ411">
        <v>0</v>
      </c>
      <c r="LK411">
        <v>0</v>
      </c>
      <c r="LL411">
        <v>0</v>
      </c>
      <c r="LM411">
        <v>0</v>
      </c>
      <c r="LN411">
        <v>0</v>
      </c>
      <c r="LO411">
        <v>0</v>
      </c>
      <c r="LP411">
        <v>0</v>
      </c>
      <c r="LQ411">
        <v>0</v>
      </c>
      <c r="LR411">
        <v>0</v>
      </c>
      <c r="LS411">
        <v>0</v>
      </c>
      <c r="LT411">
        <v>0</v>
      </c>
      <c r="LU411">
        <v>0</v>
      </c>
      <c r="LV411">
        <v>0</v>
      </c>
      <c r="LW411">
        <v>0</v>
      </c>
      <c r="LX411">
        <v>0</v>
      </c>
      <c r="LY411">
        <v>0</v>
      </c>
      <c r="LZ411">
        <v>0</v>
      </c>
      <c r="MA411">
        <v>0</v>
      </c>
      <c r="MB411">
        <v>0</v>
      </c>
      <c r="MC411">
        <v>0</v>
      </c>
      <c r="MD411">
        <v>0</v>
      </c>
      <c r="ME411">
        <v>0</v>
      </c>
      <c r="MF411">
        <v>0</v>
      </c>
      <c r="MG411">
        <v>0</v>
      </c>
      <c r="MH411">
        <v>0</v>
      </c>
      <c r="MI411">
        <v>0</v>
      </c>
      <c r="MJ411">
        <v>0</v>
      </c>
      <c r="MK411">
        <v>0</v>
      </c>
      <c r="ML411">
        <v>0</v>
      </c>
      <c r="MM411">
        <v>0</v>
      </c>
      <c r="MN411">
        <v>0</v>
      </c>
      <c r="MO411">
        <v>0</v>
      </c>
      <c r="MP411">
        <v>0</v>
      </c>
      <c r="MQ411">
        <v>0</v>
      </c>
      <c r="MR411">
        <v>0</v>
      </c>
      <c r="MS411">
        <v>0</v>
      </c>
      <c r="MT411">
        <v>0</v>
      </c>
      <c r="MU411">
        <v>0</v>
      </c>
      <c r="MV411">
        <v>0</v>
      </c>
      <c r="MW411">
        <v>0</v>
      </c>
      <c r="MX411">
        <v>0</v>
      </c>
      <c r="MY411">
        <v>0</v>
      </c>
      <c r="MZ411">
        <v>0</v>
      </c>
      <c r="NA411">
        <v>0</v>
      </c>
      <c r="NB411">
        <v>0</v>
      </c>
      <c r="NC411">
        <v>0</v>
      </c>
      <c r="ND411">
        <v>0</v>
      </c>
      <c r="NE411">
        <v>0</v>
      </c>
    </row>
    <row r="412" spans="41:369" x14ac:dyDescent="0.45">
      <c r="AO412">
        <v>0</v>
      </c>
      <c r="AP412">
        <v>0</v>
      </c>
      <c r="AQ412">
        <v>0</v>
      </c>
      <c r="AR412">
        <v>0</v>
      </c>
      <c r="AS412">
        <v>0</v>
      </c>
      <c r="AT412">
        <v>0</v>
      </c>
      <c r="AU412">
        <v>0</v>
      </c>
      <c r="AV412">
        <v>0</v>
      </c>
      <c r="AW412" t="str">
        <v/>
      </c>
      <c r="AX412">
        <v>255</v>
      </c>
      <c r="AY412" s="5" t="str">
        <v/>
      </c>
      <c r="AZ412">
        <v>0</v>
      </c>
      <c r="BA412">
        <v>0</v>
      </c>
      <c r="BB412">
        <v>0</v>
      </c>
      <c r="BC412">
        <v>0</v>
      </c>
      <c r="BD412">
        <v>0</v>
      </c>
      <c r="BE412">
        <v>0</v>
      </c>
      <c r="BF412">
        <v>0</v>
      </c>
      <c r="BG412">
        <v>0</v>
      </c>
      <c r="BH412">
        <v>0</v>
      </c>
      <c r="BI412" t="str">
        <v/>
      </c>
      <c r="BK412">
        <v>406</v>
      </c>
      <c r="BL412">
        <v>0</v>
      </c>
      <c r="BM412">
        <v>0</v>
      </c>
      <c r="BN412">
        <v>0</v>
      </c>
      <c r="BO412">
        <v>0</v>
      </c>
      <c r="BP412">
        <v>0</v>
      </c>
      <c r="BQ412">
        <v>0</v>
      </c>
      <c r="BR412">
        <v>0</v>
      </c>
      <c r="BS412">
        <v>0</v>
      </c>
      <c r="BT412">
        <v>0</v>
      </c>
      <c r="BU412">
        <v>0</v>
      </c>
      <c r="BV412">
        <v>0</v>
      </c>
      <c r="BW412">
        <v>0</v>
      </c>
      <c r="BX412">
        <v>0</v>
      </c>
      <c r="BY412">
        <v>0</v>
      </c>
      <c r="BZ412">
        <v>0</v>
      </c>
      <c r="CA412">
        <v>0</v>
      </c>
      <c r="CB412">
        <v>0</v>
      </c>
      <c r="CC412">
        <v>0</v>
      </c>
      <c r="CD412">
        <v>0</v>
      </c>
      <c r="CE412">
        <v>0</v>
      </c>
      <c r="CF412">
        <v>0</v>
      </c>
      <c r="CG412">
        <v>0</v>
      </c>
      <c r="CH412">
        <v>0</v>
      </c>
      <c r="CI412">
        <v>0</v>
      </c>
      <c r="CJ412">
        <v>0</v>
      </c>
      <c r="CK412">
        <v>0</v>
      </c>
      <c r="CL412">
        <v>0</v>
      </c>
      <c r="CM412">
        <v>0</v>
      </c>
      <c r="CN412">
        <v>0</v>
      </c>
      <c r="CO412">
        <v>0</v>
      </c>
      <c r="CP412">
        <v>0</v>
      </c>
      <c r="CQ412">
        <v>0</v>
      </c>
      <c r="CR412">
        <v>0</v>
      </c>
      <c r="CS412">
        <v>0</v>
      </c>
      <c r="CT412">
        <v>0</v>
      </c>
      <c r="CU412">
        <v>0</v>
      </c>
      <c r="CV412">
        <v>0</v>
      </c>
      <c r="CW412">
        <v>0</v>
      </c>
      <c r="CX412">
        <v>0</v>
      </c>
      <c r="CY412">
        <v>0</v>
      </c>
      <c r="CZ412">
        <v>0</v>
      </c>
      <c r="DA412">
        <v>0</v>
      </c>
      <c r="DB412">
        <v>0</v>
      </c>
      <c r="DC412">
        <v>0</v>
      </c>
      <c r="DD412">
        <v>0</v>
      </c>
      <c r="DE412">
        <v>0</v>
      </c>
      <c r="DF412">
        <v>0</v>
      </c>
      <c r="DG412">
        <v>0</v>
      </c>
      <c r="DH412">
        <v>0</v>
      </c>
      <c r="DI412">
        <v>0</v>
      </c>
      <c r="DJ412">
        <v>0</v>
      </c>
      <c r="DK412">
        <v>0</v>
      </c>
      <c r="DL412">
        <v>0</v>
      </c>
      <c r="DM412">
        <v>0</v>
      </c>
      <c r="DN412">
        <v>0</v>
      </c>
      <c r="DO412">
        <v>0</v>
      </c>
      <c r="DP412">
        <v>0</v>
      </c>
      <c r="DQ412">
        <v>0</v>
      </c>
      <c r="DR412">
        <v>0</v>
      </c>
      <c r="DS412">
        <v>0</v>
      </c>
      <c r="DT412">
        <v>0</v>
      </c>
      <c r="DU412">
        <v>0</v>
      </c>
      <c r="DV412">
        <v>0</v>
      </c>
      <c r="DW412">
        <v>0</v>
      </c>
      <c r="DX412">
        <v>0</v>
      </c>
      <c r="DY412">
        <v>0</v>
      </c>
      <c r="DZ412">
        <v>0</v>
      </c>
      <c r="EA412">
        <v>0</v>
      </c>
      <c r="EB412">
        <v>0</v>
      </c>
      <c r="EC412">
        <v>0</v>
      </c>
      <c r="ED412">
        <v>0</v>
      </c>
      <c r="EE412">
        <v>0</v>
      </c>
      <c r="EF412">
        <v>0</v>
      </c>
      <c r="EG412">
        <v>0</v>
      </c>
      <c r="EH412">
        <v>0</v>
      </c>
      <c r="EI412">
        <v>0</v>
      </c>
      <c r="EJ412">
        <v>0</v>
      </c>
      <c r="EK412">
        <v>0</v>
      </c>
      <c r="EL412">
        <v>0</v>
      </c>
      <c r="EM412">
        <v>0</v>
      </c>
      <c r="EN412">
        <v>0</v>
      </c>
      <c r="EO412">
        <v>0</v>
      </c>
      <c r="EP412">
        <v>0</v>
      </c>
      <c r="EQ412">
        <v>0</v>
      </c>
      <c r="ER412">
        <v>0</v>
      </c>
      <c r="ES412">
        <v>0</v>
      </c>
      <c r="ET412">
        <v>0</v>
      </c>
      <c r="EU412">
        <v>0</v>
      </c>
      <c r="EV412">
        <v>0</v>
      </c>
      <c r="EW412">
        <v>0</v>
      </c>
      <c r="EX412">
        <v>0</v>
      </c>
      <c r="EY412">
        <v>0</v>
      </c>
      <c r="EZ412">
        <v>0</v>
      </c>
      <c r="FA412">
        <v>0</v>
      </c>
      <c r="FB412">
        <v>0</v>
      </c>
      <c r="FC412">
        <v>0</v>
      </c>
      <c r="FD412">
        <v>0</v>
      </c>
      <c r="FE412">
        <v>0</v>
      </c>
      <c r="FF412">
        <v>0</v>
      </c>
      <c r="FG412">
        <v>0</v>
      </c>
      <c r="FH412">
        <v>0</v>
      </c>
      <c r="FI412">
        <v>0</v>
      </c>
      <c r="FJ412">
        <v>0</v>
      </c>
      <c r="FK412">
        <v>0</v>
      </c>
      <c r="FL412">
        <v>0</v>
      </c>
      <c r="FM412">
        <v>0</v>
      </c>
      <c r="FN412">
        <v>0</v>
      </c>
      <c r="FO412">
        <v>0</v>
      </c>
      <c r="FP412">
        <v>0</v>
      </c>
      <c r="FQ412">
        <v>0</v>
      </c>
      <c r="FR412">
        <v>0</v>
      </c>
      <c r="FS412">
        <v>0</v>
      </c>
      <c r="FT412">
        <v>0</v>
      </c>
      <c r="FU412">
        <v>0</v>
      </c>
      <c r="FV412">
        <v>0</v>
      </c>
      <c r="FW412">
        <v>0</v>
      </c>
      <c r="FX412">
        <v>0</v>
      </c>
      <c r="FY412">
        <v>0</v>
      </c>
      <c r="FZ412">
        <v>0</v>
      </c>
      <c r="GA412">
        <v>0</v>
      </c>
      <c r="GB412">
        <v>0</v>
      </c>
      <c r="GC412">
        <v>0</v>
      </c>
      <c r="GD412">
        <v>0</v>
      </c>
      <c r="GE412">
        <v>0</v>
      </c>
      <c r="GF412">
        <v>0</v>
      </c>
      <c r="GG412">
        <v>0</v>
      </c>
      <c r="GH412">
        <v>0</v>
      </c>
      <c r="GI412">
        <v>0</v>
      </c>
      <c r="GJ412">
        <v>0</v>
      </c>
      <c r="GK412">
        <v>0</v>
      </c>
      <c r="GL412">
        <v>0</v>
      </c>
      <c r="GM412">
        <v>0</v>
      </c>
      <c r="GN412">
        <v>0</v>
      </c>
      <c r="GO412">
        <v>0</v>
      </c>
      <c r="GP412">
        <v>0</v>
      </c>
      <c r="GQ412">
        <v>0</v>
      </c>
      <c r="GR412">
        <v>0</v>
      </c>
      <c r="GS412">
        <v>0</v>
      </c>
      <c r="GT412">
        <v>0</v>
      </c>
      <c r="GU412">
        <v>0</v>
      </c>
      <c r="GV412">
        <v>0</v>
      </c>
      <c r="GW412">
        <v>0</v>
      </c>
      <c r="GX412">
        <v>0</v>
      </c>
      <c r="GY412">
        <v>0</v>
      </c>
      <c r="GZ412">
        <v>0</v>
      </c>
      <c r="HA412">
        <v>0</v>
      </c>
      <c r="HB412">
        <v>0</v>
      </c>
      <c r="HC412">
        <v>0</v>
      </c>
      <c r="HD412">
        <v>0</v>
      </c>
      <c r="HE412">
        <v>0</v>
      </c>
      <c r="HF412">
        <v>0</v>
      </c>
      <c r="HG412">
        <v>0</v>
      </c>
      <c r="HH412">
        <v>0</v>
      </c>
      <c r="HI412">
        <v>0</v>
      </c>
      <c r="HJ412">
        <v>0</v>
      </c>
      <c r="HK412">
        <v>0</v>
      </c>
      <c r="HL412">
        <v>0</v>
      </c>
      <c r="HM412">
        <v>0</v>
      </c>
      <c r="HN412">
        <v>0</v>
      </c>
      <c r="HO412">
        <v>0</v>
      </c>
      <c r="HP412">
        <v>0</v>
      </c>
      <c r="HQ412">
        <v>0</v>
      </c>
      <c r="HR412">
        <v>0</v>
      </c>
      <c r="HS412">
        <v>0</v>
      </c>
      <c r="HT412">
        <v>0</v>
      </c>
      <c r="HU412">
        <v>0</v>
      </c>
      <c r="HV412">
        <v>0</v>
      </c>
      <c r="HW412">
        <v>0</v>
      </c>
      <c r="HX412">
        <v>0</v>
      </c>
      <c r="HY412">
        <v>0</v>
      </c>
      <c r="HZ412">
        <v>0</v>
      </c>
      <c r="IA412">
        <v>0</v>
      </c>
      <c r="IB412">
        <v>0</v>
      </c>
      <c r="IC412">
        <v>0</v>
      </c>
      <c r="ID412">
        <v>0</v>
      </c>
      <c r="IE412">
        <v>0</v>
      </c>
      <c r="IF412">
        <v>0</v>
      </c>
      <c r="IG412">
        <v>0</v>
      </c>
      <c r="IH412">
        <v>0</v>
      </c>
      <c r="II412">
        <v>0</v>
      </c>
      <c r="IJ412">
        <v>0</v>
      </c>
      <c r="IK412">
        <v>0</v>
      </c>
      <c r="IL412">
        <v>0</v>
      </c>
      <c r="IM412">
        <v>0</v>
      </c>
      <c r="IN412">
        <v>0</v>
      </c>
      <c r="IO412">
        <v>0</v>
      </c>
      <c r="IP412">
        <v>0</v>
      </c>
      <c r="IQ412">
        <v>0</v>
      </c>
      <c r="IR412">
        <v>0</v>
      </c>
      <c r="IS412">
        <v>0</v>
      </c>
      <c r="IT412">
        <v>0</v>
      </c>
      <c r="IU412">
        <v>0</v>
      </c>
      <c r="IV412">
        <v>0</v>
      </c>
      <c r="IW412">
        <v>0</v>
      </c>
      <c r="IX412">
        <v>0</v>
      </c>
      <c r="IY412">
        <v>0</v>
      </c>
      <c r="IZ412">
        <v>0</v>
      </c>
      <c r="JA412">
        <v>0</v>
      </c>
      <c r="JB412">
        <v>0</v>
      </c>
      <c r="JC412">
        <v>0</v>
      </c>
      <c r="JD412">
        <v>0</v>
      </c>
      <c r="JE412">
        <v>0</v>
      </c>
      <c r="JF412">
        <v>0</v>
      </c>
      <c r="JG412">
        <v>0</v>
      </c>
      <c r="JH412">
        <v>0</v>
      </c>
      <c r="JI412">
        <v>0</v>
      </c>
      <c r="JJ412">
        <v>0</v>
      </c>
      <c r="JK412">
        <v>0</v>
      </c>
      <c r="JL412">
        <v>0</v>
      </c>
      <c r="JM412">
        <v>0</v>
      </c>
      <c r="JN412">
        <v>0</v>
      </c>
      <c r="JO412">
        <v>0</v>
      </c>
      <c r="JP412">
        <v>0</v>
      </c>
      <c r="JQ412">
        <v>0</v>
      </c>
      <c r="JR412">
        <v>0</v>
      </c>
      <c r="JS412">
        <v>0</v>
      </c>
      <c r="JT412">
        <v>0</v>
      </c>
      <c r="JU412">
        <v>0</v>
      </c>
      <c r="JV412">
        <v>0</v>
      </c>
      <c r="JW412">
        <v>0</v>
      </c>
      <c r="JX412">
        <v>0</v>
      </c>
      <c r="JY412">
        <v>0</v>
      </c>
      <c r="JZ412">
        <v>0</v>
      </c>
      <c r="KA412">
        <v>0</v>
      </c>
      <c r="KB412">
        <v>0</v>
      </c>
      <c r="KC412">
        <v>0</v>
      </c>
      <c r="KD412">
        <v>0</v>
      </c>
      <c r="KE412">
        <v>0</v>
      </c>
      <c r="KF412">
        <v>0</v>
      </c>
      <c r="KG412">
        <v>0</v>
      </c>
      <c r="KH412">
        <v>0</v>
      </c>
      <c r="KI412">
        <v>0</v>
      </c>
      <c r="KJ412">
        <v>0</v>
      </c>
      <c r="KK412">
        <v>0</v>
      </c>
      <c r="KL412">
        <v>0</v>
      </c>
      <c r="KM412">
        <v>0</v>
      </c>
      <c r="KN412">
        <v>0</v>
      </c>
      <c r="KO412">
        <v>0</v>
      </c>
      <c r="KP412">
        <v>0</v>
      </c>
      <c r="KQ412">
        <v>0</v>
      </c>
      <c r="KR412">
        <v>0</v>
      </c>
      <c r="KS412">
        <v>0</v>
      </c>
      <c r="KT412">
        <v>0</v>
      </c>
      <c r="KU412">
        <v>0</v>
      </c>
      <c r="KV412">
        <v>0</v>
      </c>
      <c r="KW412">
        <v>0</v>
      </c>
      <c r="KX412">
        <v>0</v>
      </c>
      <c r="KY412">
        <v>0</v>
      </c>
      <c r="KZ412">
        <v>0</v>
      </c>
      <c r="LA412">
        <v>0</v>
      </c>
      <c r="LB412">
        <v>0</v>
      </c>
      <c r="LC412">
        <v>0</v>
      </c>
      <c r="LD412">
        <v>0</v>
      </c>
      <c r="LE412">
        <v>0</v>
      </c>
      <c r="LF412">
        <v>0</v>
      </c>
      <c r="LG412">
        <v>0</v>
      </c>
      <c r="LH412">
        <v>0</v>
      </c>
      <c r="LI412">
        <v>0</v>
      </c>
      <c r="LJ412">
        <v>0</v>
      </c>
      <c r="LK412">
        <v>0</v>
      </c>
      <c r="LL412">
        <v>0</v>
      </c>
      <c r="LM412">
        <v>0</v>
      </c>
      <c r="LN412">
        <v>0</v>
      </c>
      <c r="LO412">
        <v>0</v>
      </c>
      <c r="LP412">
        <v>0</v>
      </c>
      <c r="LQ412">
        <v>0</v>
      </c>
      <c r="LR412">
        <v>0</v>
      </c>
      <c r="LS412">
        <v>0</v>
      </c>
      <c r="LT412">
        <v>0</v>
      </c>
      <c r="LU412">
        <v>0</v>
      </c>
      <c r="LV412">
        <v>0</v>
      </c>
      <c r="LW412">
        <v>0</v>
      </c>
      <c r="LX412">
        <v>0</v>
      </c>
      <c r="LY412">
        <v>0</v>
      </c>
      <c r="LZ412">
        <v>0</v>
      </c>
      <c r="MA412">
        <v>0</v>
      </c>
      <c r="MB412">
        <v>0</v>
      </c>
      <c r="MC412">
        <v>0</v>
      </c>
      <c r="MD412">
        <v>0</v>
      </c>
      <c r="ME412">
        <v>0</v>
      </c>
      <c r="MF412">
        <v>0</v>
      </c>
      <c r="MG412">
        <v>0</v>
      </c>
      <c r="MH412">
        <v>0</v>
      </c>
      <c r="MI412">
        <v>0</v>
      </c>
      <c r="MJ412">
        <v>0</v>
      </c>
      <c r="MK412">
        <v>0</v>
      </c>
      <c r="ML412">
        <v>0</v>
      </c>
      <c r="MM412">
        <v>0</v>
      </c>
      <c r="MN412">
        <v>0</v>
      </c>
      <c r="MO412">
        <v>0</v>
      </c>
      <c r="MP412">
        <v>0</v>
      </c>
      <c r="MQ412">
        <v>0</v>
      </c>
      <c r="MR412">
        <v>0</v>
      </c>
      <c r="MS412">
        <v>0</v>
      </c>
      <c r="MT412">
        <v>0</v>
      </c>
      <c r="MU412">
        <v>0</v>
      </c>
      <c r="MV412">
        <v>0</v>
      </c>
      <c r="MW412">
        <v>0</v>
      </c>
      <c r="MX412">
        <v>0</v>
      </c>
      <c r="MY412">
        <v>0</v>
      </c>
      <c r="MZ412">
        <v>0</v>
      </c>
      <c r="NA412">
        <v>0</v>
      </c>
      <c r="NB412">
        <v>0</v>
      </c>
      <c r="NC412">
        <v>0</v>
      </c>
      <c r="ND412">
        <v>0</v>
      </c>
      <c r="NE412">
        <v>0</v>
      </c>
    </row>
    <row r="413" spans="41:369" x14ac:dyDescent="0.45">
      <c r="AO413">
        <v>0</v>
      </c>
      <c r="AP413">
        <v>0</v>
      </c>
      <c r="AQ413">
        <v>0</v>
      </c>
      <c r="AR413">
        <v>0</v>
      </c>
      <c r="AS413">
        <v>0</v>
      </c>
      <c r="AT413">
        <v>0</v>
      </c>
      <c r="AU413">
        <v>0</v>
      </c>
      <c r="AV413">
        <v>0</v>
      </c>
      <c r="AW413" t="str">
        <v/>
      </c>
      <c r="AX413">
        <v>255</v>
      </c>
      <c r="AY413" s="5" t="str">
        <v/>
      </c>
      <c r="AZ413">
        <v>0</v>
      </c>
      <c r="BA413">
        <v>0</v>
      </c>
      <c r="BB413">
        <v>0</v>
      </c>
      <c r="BC413">
        <v>0</v>
      </c>
      <c r="BD413">
        <v>0</v>
      </c>
      <c r="BE413">
        <v>0</v>
      </c>
      <c r="BF413">
        <v>0</v>
      </c>
      <c r="BG413">
        <v>0</v>
      </c>
      <c r="BH413">
        <v>0</v>
      </c>
      <c r="BI413" t="str">
        <v/>
      </c>
      <c r="BK413">
        <v>407</v>
      </c>
      <c r="BL413">
        <v>0</v>
      </c>
      <c r="BM413">
        <v>0</v>
      </c>
      <c r="BN413">
        <v>0</v>
      </c>
      <c r="BO413">
        <v>0</v>
      </c>
      <c r="BP413">
        <v>0</v>
      </c>
      <c r="BQ413">
        <v>0</v>
      </c>
      <c r="BR413">
        <v>0</v>
      </c>
      <c r="BS413">
        <v>0</v>
      </c>
      <c r="BT413">
        <v>0</v>
      </c>
      <c r="BU413">
        <v>0</v>
      </c>
      <c r="BV413">
        <v>0</v>
      </c>
      <c r="BW413">
        <v>0</v>
      </c>
      <c r="BX413">
        <v>0</v>
      </c>
      <c r="BY413">
        <v>0</v>
      </c>
      <c r="BZ413">
        <v>0</v>
      </c>
      <c r="CA413">
        <v>0</v>
      </c>
      <c r="CB413">
        <v>0</v>
      </c>
      <c r="CC413">
        <v>0</v>
      </c>
      <c r="CD413">
        <v>0</v>
      </c>
      <c r="CE413">
        <v>0</v>
      </c>
      <c r="CF413">
        <v>0</v>
      </c>
      <c r="CG413">
        <v>0</v>
      </c>
      <c r="CH413">
        <v>0</v>
      </c>
      <c r="CI413">
        <v>0</v>
      </c>
      <c r="CJ413">
        <v>0</v>
      </c>
      <c r="CK413">
        <v>0</v>
      </c>
      <c r="CL413">
        <v>0</v>
      </c>
      <c r="CM413">
        <v>0</v>
      </c>
      <c r="CN413">
        <v>0</v>
      </c>
      <c r="CO413">
        <v>0</v>
      </c>
      <c r="CP413">
        <v>0</v>
      </c>
      <c r="CQ413">
        <v>0</v>
      </c>
      <c r="CR413">
        <v>0</v>
      </c>
      <c r="CS413">
        <v>0</v>
      </c>
      <c r="CT413">
        <v>0</v>
      </c>
      <c r="CU413">
        <v>0</v>
      </c>
      <c r="CV413">
        <v>0</v>
      </c>
      <c r="CW413">
        <v>0</v>
      </c>
      <c r="CX413">
        <v>0</v>
      </c>
      <c r="CY413">
        <v>0</v>
      </c>
      <c r="CZ413">
        <v>0</v>
      </c>
      <c r="DA413">
        <v>0</v>
      </c>
      <c r="DB413">
        <v>0</v>
      </c>
      <c r="DC413">
        <v>0</v>
      </c>
      <c r="DD413">
        <v>0</v>
      </c>
      <c r="DE413">
        <v>0</v>
      </c>
      <c r="DF413">
        <v>0</v>
      </c>
      <c r="DG413">
        <v>0</v>
      </c>
      <c r="DH413">
        <v>0</v>
      </c>
      <c r="DI413">
        <v>0</v>
      </c>
      <c r="DJ413">
        <v>0</v>
      </c>
      <c r="DK413">
        <v>0</v>
      </c>
      <c r="DL413">
        <v>0</v>
      </c>
      <c r="DM413">
        <v>0</v>
      </c>
      <c r="DN413">
        <v>0</v>
      </c>
      <c r="DO413">
        <v>0</v>
      </c>
      <c r="DP413">
        <v>0</v>
      </c>
      <c r="DQ413">
        <v>0</v>
      </c>
      <c r="DR413">
        <v>0</v>
      </c>
      <c r="DS413">
        <v>0</v>
      </c>
      <c r="DT413">
        <v>0</v>
      </c>
      <c r="DU413">
        <v>0</v>
      </c>
      <c r="DV413">
        <v>0</v>
      </c>
      <c r="DW413">
        <v>0</v>
      </c>
      <c r="DX413">
        <v>0</v>
      </c>
      <c r="DY413">
        <v>0</v>
      </c>
      <c r="DZ413">
        <v>0</v>
      </c>
      <c r="EA413">
        <v>0</v>
      </c>
      <c r="EB413">
        <v>0</v>
      </c>
      <c r="EC413">
        <v>0</v>
      </c>
      <c r="ED413">
        <v>0</v>
      </c>
      <c r="EE413">
        <v>0</v>
      </c>
      <c r="EF413">
        <v>0</v>
      </c>
      <c r="EG413">
        <v>0</v>
      </c>
      <c r="EH413">
        <v>0</v>
      </c>
      <c r="EI413">
        <v>0</v>
      </c>
      <c r="EJ413">
        <v>0</v>
      </c>
      <c r="EK413">
        <v>0</v>
      </c>
      <c r="EL413">
        <v>0</v>
      </c>
      <c r="EM413">
        <v>0</v>
      </c>
      <c r="EN413">
        <v>0</v>
      </c>
      <c r="EO413">
        <v>0</v>
      </c>
      <c r="EP413">
        <v>0</v>
      </c>
      <c r="EQ413">
        <v>0</v>
      </c>
      <c r="ER413">
        <v>0</v>
      </c>
      <c r="ES413">
        <v>0</v>
      </c>
      <c r="ET413">
        <v>0</v>
      </c>
      <c r="EU413">
        <v>0</v>
      </c>
      <c r="EV413">
        <v>0</v>
      </c>
      <c r="EW413">
        <v>0</v>
      </c>
      <c r="EX413">
        <v>0</v>
      </c>
      <c r="EY413">
        <v>0</v>
      </c>
      <c r="EZ413">
        <v>0</v>
      </c>
      <c r="FA413">
        <v>0</v>
      </c>
      <c r="FB413">
        <v>0</v>
      </c>
      <c r="FC413">
        <v>0</v>
      </c>
      <c r="FD413">
        <v>0</v>
      </c>
      <c r="FE413">
        <v>0</v>
      </c>
      <c r="FF413">
        <v>0</v>
      </c>
      <c r="FG413">
        <v>0</v>
      </c>
      <c r="FH413">
        <v>0</v>
      </c>
      <c r="FI413">
        <v>0</v>
      </c>
      <c r="FJ413">
        <v>0</v>
      </c>
      <c r="FK413">
        <v>0</v>
      </c>
      <c r="FL413">
        <v>0</v>
      </c>
      <c r="FM413">
        <v>0</v>
      </c>
      <c r="FN413">
        <v>0</v>
      </c>
      <c r="FO413">
        <v>0</v>
      </c>
      <c r="FP413">
        <v>0</v>
      </c>
      <c r="FQ413">
        <v>0</v>
      </c>
      <c r="FR413">
        <v>0</v>
      </c>
      <c r="FS413">
        <v>0</v>
      </c>
      <c r="FT413">
        <v>0</v>
      </c>
      <c r="FU413">
        <v>0</v>
      </c>
      <c r="FV413">
        <v>0</v>
      </c>
      <c r="FW413">
        <v>0</v>
      </c>
      <c r="FX413">
        <v>0</v>
      </c>
      <c r="FY413">
        <v>0</v>
      </c>
      <c r="FZ413">
        <v>0</v>
      </c>
      <c r="GA413">
        <v>0</v>
      </c>
      <c r="GB413">
        <v>0</v>
      </c>
      <c r="GC413">
        <v>0</v>
      </c>
      <c r="GD413">
        <v>0</v>
      </c>
      <c r="GE413">
        <v>0</v>
      </c>
      <c r="GF413">
        <v>0</v>
      </c>
      <c r="GG413">
        <v>0</v>
      </c>
      <c r="GH413">
        <v>0</v>
      </c>
      <c r="GI413">
        <v>0</v>
      </c>
      <c r="GJ413">
        <v>0</v>
      </c>
      <c r="GK413">
        <v>0</v>
      </c>
      <c r="GL413">
        <v>0</v>
      </c>
      <c r="GM413">
        <v>0</v>
      </c>
      <c r="GN413">
        <v>0</v>
      </c>
      <c r="GO413">
        <v>0</v>
      </c>
      <c r="GP413">
        <v>0</v>
      </c>
      <c r="GQ413">
        <v>0</v>
      </c>
      <c r="GR413">
        <v>0</v>
      </c>
      <c r="GS413">
        <v>0</v>
      </c>
      <c r="GT413">
        <v>0</v>
      </c>
      <c r="GU413">
        <v>0</v>
      </c>
      <c r="GV413">
        <v>0</v>
      </c>
      <c r="GW413">
        <v>0</v>
      </c>
      <c r="GX413">
        <v>0</v>
      </c>
      <c r="GY413">
        <v>0</v>
      </c>
      <c r="GZ413">
        <v>0</v>
      </c>
      <c r="HA413">
        <v>0</v>
      </c>
      <c r="HB413">
        <v>0</v>
      </c>
      <c r="HC413">
        <v>0</v>
      </c>
      <c r="HD413">
        <v>0</v>
      </c>
      <c r="HE413">
        <v>0</v>
      </c>
      <c r="HF413">
        <v>0</v>
      </c>
      <c r="HG413">
        <v>0</v>
      </c>
      <c r="HH413">
        <v>0</v>
      </c>
      <c r="HI413">
        <v>0</v>
      </c>
      <c r="HJ413">
        <v>0</v>
      </c>
      <c r="HK413">
        <v>0</v>
      </c>
      <c r="HL413">
        <v>0</v>
      </c>
      <c r="HM413">
        <v>0</v>
      </c>
      <c r="HN413">
        <v>0</v>
      </c>
      <c r="HO413">
        <v>0</v>
      </c>
      <c r="HP413">
        <v>0</v>
      </c>
      <c r="HQ413">
        <v>0</v>
      </c>
      <c r="HR413">
        <v>0</v>
      </c>
      <c r="HS413">
        <v>0</v>
      </c>
      <c r="HT413">
        <v>0</v>
      </c>
      <c r="HU413">
        <v>0</v>
      </c>
      <c r="HV413">
        <v>0</v>
      </c>
      <c r="HW413">
        <v>0</v>
      </c>
      <c r="HX413">
        <v>0</v>
      </c>
      <c r="HY413">
        <v>0</v>
      </c>
      <c r="HZ413">
        <v>0</v>
      </c>
      <c r="IA413">
        <v>0</v>
      </c>
      <c r="IB413">
        <v>0</v>
      </c>
      <c r="IC413">
        <v>0</v>
      </c>
      <c r="ID413">
        <v>0</v>
      </c>
      <c r="IE413">
        <v>0</v>
      </c>
      <c r="IF413">
        <v>0</v>
      </c>
      <c r="IG413">
        <v>0</v>
      </c>
      <c r="IH413">
        <v>0</v>
      </c>
      <c r="II413">
        <v>0</v>
      </c>
      <c r="IJ413">
        <v>0</v>
      </c>
      <c r="IK413">
        <v>0</v>
      </c>
      <c r="IL413">
        <v>0</v>
      </c>
      <c r="IM413">
        <v>0</v>
      </c>
      <c r="IN413">
        <v>0</v>
      </c>
      <c r="IO413">
        <v>0</v>
      </c>
      <c r="IP413">
        <v>0</v>
      </c>
      <c r="IQ413">
        <v>0</v>
      </c>
      <c r="IR413">
        <v>0</v>
      </c>
      <c r="IS413">
        <v>0</v>
      </c>
      <c r="IT413">
        <v>0</v>
      </c>
      <c r="IU413">
        <v>0</v>
      </c>
      <c r="IV413">
        <v>0</v>
      </c>
      <c r="IW413">
        <v>0</v>
      </c>
      <c r="IX413">
        <v>0</v>
      </c>
      <c r="IY413">
        <v>0</v>
      </c>
      <c r="IZ413">
        <v>0</v>
      </c>
      <c r="JA413">
        <v>0</v>
      </c>
      <c r="JB413">
        <v>0</v>
      </c>
      <c r="JC413">
        <v>0</v>
      </c>
      <c r="JD413">
        <v>0</v>
      </c>
      <c r="JE413">
        <v>0</v>
      </c>
      <c r="JF413">
        <v>0</v>
      </c>
      <c r="JG413">
        <v>0</v>
      </c>
      <c r="JH413">
        <v>0</v>
      </c>
      <c r="JI413">
        <v>0</v>
      </c>
      <c r="JJ413">
        <v>0</v>
      </c>
      <c r="JK413">
        <v>0</v>
      </c>
      <c r="JL413">
        <v>0</v>
      </c>
      <c r="JM413">
        <v>0</v>
      </c>
      <c r="JN413">
        <v>0</v>
      </c>
      <c r="JO413">
        <v>0</v>
      </c>
      <c r="JP413">
        <v>0</v>
      </c>
      <c r="JQ413">
        <v>0</v>
      </c>
      <c r="JR413">
        <v>0</v>
      </c>
      <c r="JS413">
        <v>0</v>
      </c>
      <c r="JT413">
        <v>0</v>
      </c>
      <c r="JU413">
        <v>0</v>
      </c>
      <c r="JV413">
        <v>0</v>
      </c>
      <c r="JW413">
        <v>0</v>
      </c>
      <c r="JX413">
        <v>0</v>
      </c>
      <c r="JY413">
        <v>0</v>
      </c>
      <c r="JZ413">
        <v>0</v>
      </c>
      <c r="KA413">
        <v>0</v>
      </c>
      <c r="KB413">
        <v>0</v>
      </c>
      <c r="KC413">
        <v>0</v>
      </c>
      <c r="KD413">
        <v>0</v>
      </c>
      <c r="KE413">
        <v>0</v>
      </c>
      <c r="KF413">
        <v>0</v>
      </c>
      <c r="KG413">
        <v>0</v>
      </c>
      <c r="KH413">
        <v>0</v>
      </c>
      <c r="KI413">
        <v>0</v>
      </c>
      <c r="KJ413">
        <v>0</v>
      </c>
      <c r="KK413">
        <v>0</v>
      </c>
      <c r="KL413">
        <v>0</v>
      </c>
      <c r="KM413">
        <v>0</v>
      </c>
      <c r="KN413">
        <v>0</v>
      </c>
      <c r="KO413">
        <v>0</v>
      </c>
      <c r="KP413">
        <v>0</v>
      </c>
      <c r="KQ413">
        <v>0</v>
      </c>
      <c r="KR413">
        <v>0</v>
      </c>
      <c r="KS413">
        <v>0</v>
      </c>
      <c r="KT413">
        <v>0</v>
      </c>
      <c r="KU413">
        <v>0</v>
      </c>
      <c r="KV413">
        <v>0</v>
      </c>
      <c r="KW413">
        <v>0</v>
      </c>
      <c r="KX413">
        <v>0</v>
      </c>
      <c r="KY413">
        <v>0</v>
      </c>
      <c r="KZ413">
        <v>0</v>
      </c>
      <c r="LA413">
        <v>0</v>
      </c>
      <c r="LB413">
        <v>0</v>
      </c>
      <c r="LC413">
        <v>0</v>
      </c>
      <c r="LD413">
        <v>0</v>
      </c>
      <c r="LE413">
        <v>0</v>
      </c>
      <c r="LF413">
        <v>0</v>
      </c>
      <c r="LG413">
        <v>0</v>
      </c>
      <c r="LH413">
        <v>0</v>
      </c>
      <c r="LI413">
        <v>0</v>
      </c>
      <c r="LJ413">
        <v>0</v>
      </c>
      <c r="LK413">
        <v>0</v>
      </c>
      <c r="LL413">
        <v>0</v>
      </c>
      <c r="LM413">
        <v>0</v>
      </c>
      <c r="LN413">
        <v>0</v>
      </c>
      <c r="LO413">
        <v>0</v>
      </c>
      <c r="LP413">
        <v>0</v>
      </c>
      <c r="LQ413">
        <v>0</v>
      </c>
      <c r="LR413">
        <v>0</v>
      </c>
      <c r="LS413">
        <v>0</v>
      </c>
      <c r="LT413">
        <v>0</v>
      </c>
      <c r="LU413">
        <v>0</v>
      </c>
      <c r="LV413">
        <v>0</v>
      </c>
      <c r="LW413">
        <v>0</v>
      </c>
      <c r="LX413">
        <v>0</v>
      </c>
      <c r="LY413">
        <v>0</v>
      </c>
      <c r="LZ413">
        <v>0</v>
      </c>
      <c r="MA413">
        <v>0</v>
      </c>
      <c r="MB413">
        <v>0</v>
      </c>
      <c r="MC413">
        <v>0</v>
      </c>
      <c r="MD413">
        <v>0</v>
      </c>
      <c r="ME413">
        <v>0</v>
      </c>
      <c r="MF413">
        <v>0</v>
      </c>
      <c r="MG413">
        <v>0</v>
      </c>
      <c r="MH413">
        <v>0</v>
      </c>
      <c r="MI413">
        <v>0</v>
      </c>
      <c r="MJ413">
        <v>0</v>
      </c>
      <c r="MK413">
        <v>0</v>
      </c>
      <c r="ML413">
        <v>0</v>
      </c>
      <c r="MM413">
        <v>0</v>
      </c>
      <c r="MN413">
        <v>0</v>
      </c>
      <c r="MO413">
        <v>0</v>
      </c>
      <c r="MP413">
        <v>0</v>
      </c>
      <c r="MQ413">
        <v>0</v>
      </c>
      <c r="MR413">
        <v>0</v>
      </c>
      <c r="MS413">
        <v>0</v>
      </c>
      <c r="MT413">
        <v>0</v>
      </c>
      <c r="MU413">
        <v>0</v>
      </c>
      <c r="MV413">
        <v>0</v>
      </c>
      <c r="MW413">
        <v>0</v>
      </c>
      <c r="MX413">
        <v>0</v>
      </c>
      <c r="MY413">
        <v>0</v>
      </c>
      <c r="MZ413">
        <v>0</v>
      </c>
      <c r="NA413">
        <v>0</v>
      </c>
      <c r="NB413">
        <v>0</v>
      </c>
      <c r="NC413">
        <v>0</v>
      </c>
      <c r="ND413">
        <v>0</v>
      </c>
      <c r="NE413">
        <v>0</v>
      </c>
    </row>
    <row r="414" spans="41:369" x14ac:dyDescent="0.45">
      <c r="AO414">
        <v>0</v>
      </c>
      <c r="AP414">
        <v>0</v>
      </c>
      <c r="AQ414">
        <v>0</v>
      </c>
      <c r="AR414">
        <v>0</v>
      </c>
      <c r="AS414">
        <v>0</v>
      </c>
      <c r="AT414">
        <v>0</v>
      </c>
      <c r="AU414">
        <v>0</v>
      </c>
      <c r="AV414">
        <v>0</v>
      </c>
      <c r="AW414" t="str">
        <v/>
      </c>
      <c r="AX414">
        <v>255</v>
      </c>
      <c r="AY414" s="5" t="str">
        <v/>
      </c>
      <c r="AZ414">
        <v>0</v>
      </c>
      <c r="BA414">
        <v>0</v>
      </c>
      <c r="BB414">
        <v>0</v>
      </c>
      <c r="BC414">
        <v>0</v>
      </c>
      <c r="BD414">
        <v>0</v>
      </c>
      <c r="BE414">
        <v>0</v>
      </c>
      <c r="BF414">
        <v>0</v>
      </c>
      <c r="BG414">
        <v>0</v>
      </c>
      <c r="BH414">
        <v>0</v>
      </c>
      <c r="BI414" t="str">
        <v/>
      </c>
      <c r="BK414">
        <v>408</v>
      </c>
      <c r="BL414">
        <v>0</v>
      </c>
      <c r="BM414">
        <v>0</v>
      </c>
      <c r="BN414">
        <v>0</v>
      </c>
      <c r="BO414">
        <v>0</v>
      </c>
      <c r="BP414">
        <v>0</v>
      </c>
      <c r="BQ414">
        <v>0</v>
      </c>
      <c r="BR414">
        <v>0</v>
      </c>
      <c r="BS414">
        <v>0</v>
      </c>
      <c r="BT414">
        <v>0</v>
      </c>
      <c r="BU414">
        <v>0</v>
      </c>
      <c r="BV414">
        <v>0</v>
      </c>
      <c r="BW414">
        <v>0</v>
      </c>
      <c r="BX414">
        <v>0</v>
      </c>
      <c r="BY414">
        <v>0</v>
      </c>
      <c r="BZ414">
        <v>0</v>
      </c>
      <c r="CA414">
        <v>0</v>
      </c>
      <c r="CB414">
        <v>0</v>
      </c>
      <c r="CC414">
        <v>0</v>
      </c>
      <c r="CD414">
        <v>0</v>
      </c>
      <c r="CE414">
        <v>0</v>
      </c>
      <c r="CF414">
        <v>0</v>
      </c>
      <c r="CG414">
        <v>0</v>
      </c>
      <c r="CH414">
        <v>0</v>
      </c>
      <c r="CI414">
        <v>0</v>
      </c>
      <c r="CJ414">
        <v>0</v>
      </c>
      <c r="CK414">
        <v>0</v>
      </c>
      <c r="CL414">
        <v>0</v>
      </c>
      <c r="CM414">
        <v>0</v>
      </c>
      <c r="CN414">
        <v>0</v>
      </c>
      <c r="CO414">
        <v>0</v>
      </c>
      <c r="CP414">
        <v>0</v>
      </c>
      <c r="CQ414">
        <v>0</v>
      </c>
      <c r="CR414">
        <v>0</v>
      </c>
      <c r="CS414">
        <v>0</v>
      </c>
      <c r="CT414">
        <v>0</v>
      </c>
      <c r="CU414">
        <v>0</v>
      </c>
      <c r="CV414">
        <v>0</v>
      </c>
      <c r="CW414">
        <v>0</v>
      </c>
      <c r="CX414">
        <v>0</v>
      </c>
      <c r="CY414">
        <v>0</v>
      </c>
      <c r="CZ414">
        <v>0</v>
      </c>
      <c r="DA414">
        <v>0</v>
      </c>
      <c r="DB414">
        <v>0</v>
      </c>
      <c r="DC414">
        <v>0</v>
      </c>
      <c r="DD414">
        <v>0</v>
      </c>
      <c r="DE414">
        <v>0</v>
      </c>
      <c r="DF414">
        <v>0</v>
      </c>
      <c r="DG414">
        <v>0</v>
      </c>
      <c r="DH414">
        <v>0</v>
      </c>
      <c r="DI414">
        <v>0</v>
      </c>
      <c r="DJ414">
        <v>0</v>
      </c>
      <c r="DK414">
        <v>0</v>
      </c>
      <c r="DL414">
        <v>0</v>
      </c>
      <c r="DM414">
        <v>0</v>
      </c>
      <c r="DN414">
        <v>0</v>
      </c>
      <c r="DO414">
        <v>0</v>
      </c>
      <c r="DP414">
        <v>0</v>
      </c>
      <c r="DQ414">
        <v>0</v>
      </c>
      <c r="DR414">
        <v>0</v>
      </c>
      <c r="DS414">
        <v>0</v>
      </c>
      <c r="DT414">
        <v>0</v>
      </c>
      <c r="DU414">
        <v>0</v>
      </c>
      <c r="DV414">
        <v>0</v>
      </c>
      <c r="DW414">
        <v>0</v>
      </c>
      <c r="DX414">
        <v>0</v>
      </c>
      <c r="DY414">
        <v>0</v>
      </c>
      <c r="DZ414">
        <v>0</v>
      </c>
      <c r="EA414">
        <v>0</v>
      </c>
      <c r="EB414">
        <v>0</v>
      </c>
      <c r="EC414">
        <v>0</v>
      </c>
      <c r="ED414">
        <v>0</v>
      </c>
      <c r="EE414">
        <v>0</v>
      </c>
      <c r="EF414">
        <v>0</v>
      </c>
      <c r="EG414">
        <v>0</v>
      </c>
      <c r="EH414">
        <v>0</v>
      </c>
      <c r="EI414">
        <v>0</v>
      </c>
      <c r="EJ414">
        <v>0</v>
      </c>
      <c r="EK414">
        <v>0</v>
      </c>
      <c r="EL414">
        <v>0</v>
      </c>
      <c r="EM414">
        <v>0</v>
      </c>
      <c r="EN414">
        <v>0</v>
      </c>
      <c r="EO414">
        <v>0</v>
      </c>
      <c r="EP414">
        <v>0</v>
      </c>
      <c r="EQ414">
        <v>0</v>
      </c>
      <c r="ER414">
        <v>0</v>
      </c>
      <c r="ES414">
        <v>0</v>
      </c>
      <c r="ET414">
        <v>0</v>
      </c>
      <c r="EU414">
        <v>0</v>
      </c>
      <c r="EV414">
        <v>0</v>
      </c>
      <c r="EW414">
        <v>0</v>
      </c>
      <c r="EX414">
        <v>0</v>
      </c>
      <c r="EY414">
        <v>0</v>
      </c>
      <c r="EZ414">
        <v>0</v>
      </c>
      <c r="FA414">
        <v>0</v>
      </c>
      <c r="FB414">
        <v>0</v>
      </c>
      <c r="FC414">
        <v>0</v>
      </c>
      <c r="FD414">
        <v>0</v>
      </c>
      <c r="FE414">
        <v>0</v>
      </c>
      <c r="FF414">
        <v>0</v>
      </c>
      <c r="FG414">
        <v>0</v>
      </c>
      <c r="FH414">
        <v>0</v>
      </c>
      <c r="FI414">
        <v>0</v>
      </c>
      <c r="FJ414">
        <v>0</v>
      </c>
      <c r="FK414">
        <v>0</v>
      </c>
      <c r="FL414">
        <v>0</v>
      </c>
      <c r="FM414">
        <v>0</v>
      </c>
      <c r="FN414">
        <v>0</v>
      </c>
      <c r="FO414">
        <v>0</v>
      </c>
      <c r="FP414">
        <v>0</v>
      </c>
      <c r="FQ414">
        <v>0</v>
      </c>
      <c r="FR414">
        <v>0</v>
      </c>
      <c r="FS414">
        <v>0</v>
      </c>
      <c r="FT414">
        <v>0</v>
      </c>
      <c r="FU414">
        <v>0</v>
      </c>
      <c r="FV414">
        <v>0</v>
      </c>
      <c r="FW414">
        <v>0</v>
      </c>
      <c r="FX414">
        <v>0</v>
      </c>
      <c r="FY414">
        <v>0</v>
      </c>
      <c r="FZ414">
        <v>0</v>
      </c>
      <c r="GA414">
        <v>0</v>
      </c>
      <c r="GB414">
        <v>0</v>
      </c>
      <c r="GC414">
        <v>0</v>
      </c>
      <c r="GD414">
        <v>0</v>
      </c>
      <c r="GE414">
        <v>0</v>
      </c>
      <c r="GF414">
        <v>0</v>
      </c>
      <c r="GG414">
        <v>0</v>
      </c>
      <c r="GH414">
        <v>0</v>
      </c>
      <c r="GI414">
        <v>0</v>
      </c>
      <c r="GJ414">
        <v>0</v>
      </c>
      <c r="GK414">
        <v>0</v>
      </c>
      <c r="GL414">
        <v>0</v>
      </c>
      <c r="GM414">
        <v>0</v>
      </c>
      <c r="GN414">
        <v>0</v>
      </c>
      <c r="GO414">
        <v>0</v>
      </c>
      <c r="GP414">
        <v>0</v>
      </c>
      <c r="GQ414">
        <v>0</v>
      </c>
      <c r="GR414">
        <v>0</v>
      </c>
      <c r="GS414">
        <v>0</v>
      </c>
      <c r="GT414">
        <v>0</v>
      </c>
      <c r="GU414">
        <v>0</v>
      </c>
      <c r="GV414">
        <v>0</v>
      </c>
      <c r="GW414">
        <v>0</v>
      </c>
      <c r="GX414">
        <v>0</v>
      </c>
      <c r="GY414">
        <v>0</v>
      </c>
      <c r="GZ414">
        <v>0</v>
      </c>
      <c r="HA414">
        <v>0</v>
      </c>
      <c r="HB414">
        <v>0</v>
      </c>
      <c r="HC414">
        <v>0</v>
      </c>
      <c r="HD414">
        <v>0</v>
      </c>
      <c r="HE414">
        <v>0</v>
      </c>
      <c r="HF414">
        <v>0</v>
      </c>
      <c r="HG414">
        <v>0</v>
      </c>
      <c r="HH414">
        <v>0</v>
      </c>
      <c r="HI414">
        <v>0</v>
      </c>
      <c r="HJ414">
        <v>0</v>
      </c>
      <c r="HK414">
        <v>0</v>
      </c>
      <c r="HL414">
        <v>0</v>
      </c>
      <c r="HM414">
        <v>0</v>
      </c>
      <c r="HN414">
        <v>0</v>
      </c>
      <c r="HO414">
        <v>0</v>
      </c>
      <c r="HP414">
        <v>0</v>
      </c>
      <c r="HQ414">
        <v>0</v>
      </c>
      <c r="HR414">
        <v>0</v>
      </c>
      <c r="HS414">
        <v>0</v>
      </c>
      <c r="HT414">
        <v>0</v>
      </c>
      <c r="HU414">
        <v>0</v>
      </c>
      <c r="HV414">
        <v>0</v>
      </c>
      <c r="HW414">
        <v>0</v>
      </c>
      <c r="HX414">
        <v>0</v>
      </c>
      <c r="HY414">
        <v>0</v>
      </c>
      <c r="HZ414">
        <v>0</v>
      </c>
      <c r="IA414">
        <v>0</v>
      </c>
      <c r="IB414">
        <v>0</v>
      </c>
      <c r="IC414">
        <v>0</v>
      </c>
      <c r="ID414">
        <v>0</v>
      </c>
      <c r="IE414">
        <v>0</v>
      </c>
      <c r="IF414">
        <v>0</v>
      </c>
      <c r="IG414">
        <v>0</v>
      </c>
      <c r="IH414">
        <v>0</v>
      </c>
      <c r="II414">
        <v>0</v>
      </c>
      <c r="IJ414">
        <v>0</v>
      </c>
      <c r="IK414">
        <v>0</v>
      </c>
      <c r="IL414">
        <v>0</v>
      </c>
      <c r="IM414">
        <v>0</v>
      </c>
      <c r="IN414">
        <v>0</v>
      </c>
      <c r="IO414">
        <v>0</v>
      </c>
      <c r="IP414">
        <v>0</v>
      </c>
      <c r="IQ414">
        <v>0</v>
      </c>
      <c r="IR414">
        <v>0</v>
      </c>
      <c r="IS414">
        <v>0</v>
      </c>
      <c r="IT414">
        <v>0</v>
      </c>
      <c r="IU414">
        <v>0</v>
      </c>
      <c r="IV414">
        <v>0</v>
      </c>
      <c r="IW414">
        <v>0</v>
      </c>
      <c r="IX414">
        <v>0</v>
      </c>
      <c r="IY414">
        <v>0</v>
      </c>
      <c r="IZ414">
        <v>0</v>
      </c>
      <c r="JA414">
        <v>0</v>
      </c>
      <c r="JB414">
        <v>0</v>
      </c>
      <c r="JC414">
        <v>0</v>
      </c>
      <c r="JD414">
        <v>0</v>
      </c>
      <c r="JE414">
        <v>0</v>
      </c>
      <c r="JF414">
        <v>0</v>
      </c>
      <c r="JG414">
        <v>0</v>
      </c>
      <c r="JH414">
        <v>0</v>
      </c>
      <c r="JI414">
        <v>0</v>
      </c>
      <c r="JJ414">
        <v>0</v>
      </c>
      <c r="JK414">
        <v>0</v>
      </c>
      <c r="JL414">
        <v>0</v>
      </c>
      <c r="JM414">
        <v>0</v>
      </c>
      <c r="JN414">
        <v>0</v>
      </c>
      <c r="JO414">
        <v>0</v>
      </c>
      <c r="JP414">
        <v>0</v>
      </c>
      <c r="JQ414">
        <v>0</v>
      </c>
      <c r="JR414">
        <v>0</v>
      </c>
      <c r="JS414">
        <v>0</v>
      </c>
      <c r="JT414">
        <v>0</v>
      </c>
      <c r="JU414">
        <v>0</v>
      </c>
      <c r="JV414">
        <v>0</v>
      </c>
      <c r="JW414">
        <v>0</v>
      </c>
      <c r="JX414">
        <v>0</v>
      </c>
      <c r="JY414">
        <v>0</v>
      </c>
      <c r="JZ414">
        <v>0</v>
      </c>
      <c r="KA414">
        <v>0</v>
      </c>
      <c r="KB414">
        <v>0</v>
      </c>
      <c r="KC414">
        <v>0</v>
      </c>
      <c r="KD414">
        <v>0</v>
      </c>
      <c r="KE414">
        <v>0</v>
      </c>
      <c r="KF414">
        <v>0</v>
      </c>
      <c r="KG414">
        <v>0</v>
      </c>
      <c r="KH414">
        <v>0</v>
      </c>
      <c r="KI414">
        <v>0</v>
      </c>
      <c r="KJ414">
        <v>0</v>
      </c>
      <c r="KK414">
        <v>0</v>
      </c>
      <c r="KL414">
        <v>0</v>
      </c>
      <c r="KM414">
        <v>0</v>
      </c>
      <c r="KN414">
        <v>0</v>
      </c>
      <c r="KO414">
        <v>0</v>
      </c>
      <c r="KP414">
        <v>0</v>
      </c>
      <c r="KQ414">
        <v>0</v>
      </c>
      <c r="KR414">
        <v>0</v>
      </c>
      <c r="KS414">
        <v>0</v>
      </c>
      <c r="KT414">
        <v>0</v>
      </c>
      <c r="KU414">
        <v>0</v>
      </c>
      <c r="KV414">
        <v>0</v>
      </c>
      <c r="KW414">
        <v>0</v>
      </c>
      <c r="KX414">
        <v>0</v>
      </c>
      <c r="KY414">
        <v>0</v>
      </c>
      <c r="KZ414">
        <v>0</v>
      </c>
      <c r="LA414">
        <v>0</v>
      </c>
      <c r="LB414">
        <v>0</v>
      </c>
      <c r="LC414">
        <v>0</v>
      </c>
      <c r="LD414">
        <v>0</v>
      </c>
      <c r="LE414">
        <v>0</v>
      </c>
      <c r="LF414">
        <v>0</v>
      </c>
      <c r="LG414">
        <v>0</v>
      </c>
      <c r="LH414">
        <v>0</v>
      </c>
      <c r="LI414">
        <v>0</v>
      </c>
      <c r="LJ414">
        <v>0</v>
      </c>
      <c r="LK414">
        <v>0</v>
      </c>
      <c r="LL414">
        <v>0</v>
      </c>
      <c r="LM414">
        <v>0</v>
      </c>
      <c r="LN414">
        <v>0</v>
      </c>
      <c r="LO414">
        <v>0</v>
      </c>
      <c r="LP414">
        <v>0</v>
      </c>
      <c r="LQ414">
        <v>0</v>
      </c>
      <c r="LR414">
        <v>0</v>
      </c>
      <c r="LS414">
        <v>0</v>
      </c>
      <c r="LT414">
        <v>0</v>
      </c>
      <c r="LU414">
        <v>0</v>
      </c>
      <c r="LV414">
        <v>0</v>
      </c>
      <c r="LW414">
        <v>0</v>
      </c>
      <c r="LX414">
        <v>0</v>
      </c>
      <c r="LY414">
        <v>0</v>
      </c>
      <c r="LZ414">
        <v>0</v>
      </c>
      <c r="MA414">
        <v>0</v>
      </c>
      <c r="MB414">
        <v>0</v>
      </c>
      <c r="MC414">
        <v>0</v>
      </c>
      <c r="MD414">
        <v>0</v>
      </c>
      <c r="ME414">
        <v>0</v>
      </c>
      <c r="MF414">
        <v>0</v>
      </c>
      <c r="MG414">
        <v>0</v>
      </c>
      <c r="MH414">
        <v>0</v>
      </c>
      <c r="MI414">
        <v>0</v>
      </c>
      <c r="MJ414">
        <v>0</v>
      </c>
      <c r="MK414">
        <v>0</v>
      </c>
      <c r="ML414">
        <v>0</v>
      </c>
      <c r="MM414">
        <v>0</v>
      </c>
      <c r="MN414">
        <v>0</v>
      </c>
      <c r="MO414">
        <v>0</v>
      </c>
      <c r="MP414">
        <v>0</v>
      </c>
      <c r="MQ414">
        <v>0</v>
      </c>
      <c r="MR414">
        <v>0</v>
      </c>
      <c r="MS414">
        <v>0</v>
      </c>
      <c r="MT414">
        <v>0</v>
      </c>
      <c r="MU414">
        <v>0</v>
      </c>
      <c r="MV414">
        <v>0</v>
      </c>
      <c r="MW414">
        <v>0</v>
      </c>
      <c r="MX414">
        <v>0</v>
      </c>
      <c r="MY414">
        <v>0</v>
      </c>
      <c r="MZ414">
        <v>0</v>
      </c>
      <c r="NA414">
        <v>0</v>
      </c>
      <c r="NB414">
        <v>0</v>
      </c>
      <c r="NC414">
        <v>0</v>
      </c>
      <c r="ND414">
        <v>0</v>
      </c>
      <c r="NE414">
        <v>0</v>
      </c>
    </row>
    <row r="415" spans="41:369" x14ac:dyDescent="0.45">
      <c r="AO415">
        <v>0</v>
      </c>
      <c r="AP415">
        <v>0</v>
      </c>
      <c r="AQ415">
        <v>0</v>
      </c>
      <c r="AR415">
        <v>0</v>
      </c>
      <c r="AS415">
        <v>0</v>
      </c>
      <c r="AT415">
        <v>0</v>
      </c>
      <c r="AU415">
        <v>0</v>
      </c>
      <c r="AV415">
        <v>0</v>
      </c>
      <c r="AW415" t="str">
        <v/>
      </c>
      <c r="AX415">
        <v>255</v>
      </c>
      <c r="AY415" s="5" t="str">
        <v/>
      </c>
      <c r="AZ415">
        <v>0</v>
      </c>
      <c r="BA415">
        <v>0</v>
      </c>
      <c r="BB415">
        <v>0</v>
      </c>
      <c r="BC415">
        <v>0</v>
      </c>
      <c r="BD415">
        <v>0</v>
      </c>
      <c r="BE415">
        <v>0</v>
      </c>
      <c r="BF415">
        <v>0</v>
      </c>
      <c r="BG415">
        <v>0</v>
      </c>
      <c r="BH415">
        <v>0</v>
      </c>
      <c r="BI415" t="str">
        <v/>
      </c>
      <c r="BK415">
        <v>409</v>
      </c>
      <c r="BL415">
        <v>0</v>
      </c>
      <c r="BM415">
        <v>0</v>
      </c>
      <c r="BN415">
        <v>0</v>
      </c>
      <c r="BO415">
        <v>0</v>
      </c>
      <c r="BP415">
        <v>0</v>
      </c>
      <c r="BQ415">
        <v>0</v>
      </c>
      <c r="BR415">
        <v>0</v>
      </c>
      <c r="BS415">
        <v>0</v>
      </c>
      <c r="BT415">
        <v>0</v>
      </c>
      <c r="BU415">
        <v>0</v>
      </c>
      <c r="BV415">
        <v>0</v>
      </c>
      <c r="BW415">
        <v>0</v>
      </c>
      <c r="BX415">
        <v>0</v>
      </c>
      <c r="BY415">
        <v>0</v>
      </c>
      <c r="BZ415">
        <v>0</v>
      </c>
      <c r="CA415">
        <v>0</v>
      </c>
      <c r="CB415">
        <v>0</v>
      </c>
      <c r="CC415">
        <v>0</v>
      </c>
      <c r="CD415">
        <v>0</v>
      </c>
      <c r="CE415">
        <v>0</v>
      </c>
      <c r="CF415">
        <v>0</v>
      </c>
      <c r="CG415">
        <v>0</v>
      </c>
      <c r="CH415">
        <v>0</v>
      </c>
      <c r="CI415">
        <v>0</v>
      </c>
      <c r="CJ415">
        <v>0</v>
      </c>
      <c r="CK415">
        <v>0</v>
      </c>
      <c r="CL415">
        <v>0</v>
      </c>
      <c r="CM415">
        <v>0</v>
      </c>
      <c r="CN415">
        <v>0</v>
      </c>
      <c r="CO415">
        <v>0</v>
      </c>
      <c r="CP415">
        <v>0</v>
      </c>
      <c r="CQ415">
        <v>0</v>
      </c>
      <c r="CR415">
        <v>0</v>
      </c>
      <c r="CS415">
        <v>0</v>
      </c>
      <c r="CT415">
        <v>0</v>
      </c>
      <c r="CU415">
        <v>0</v>
      </c>
      <c r="CV415">
        <v>0</v>
      </c>
      <c r="CW415">
        <v>0</v>
      </c>
      <c r="CX415">
        <v>0</v>
      </c>
      <c r="CY415">
        <v>0</v>
      </c>
      <c r="CZ415">
        <v>0</v>
      </c>
      <c r="DA415">
        <v>0</v>
      </c>
      <c r="DB415">
        <v>0</v>
      </c>
      <c r="DC415">
        <v>0</v>
      </c>
      <c r="DD415">
        <v>0</v>
      </c>
      <c r="DE415">
        <v>0</v>
      </c>
      <c r="DF415">
        <v>0</v>
      </c>
      <c r="DG415">
        <v>0</v>
      </c>
      <c r="DH415">
        <v>0</v>
      </c>
      <c r="DI415">
        <v>0</v>
      </c>
      <c r="DJ415">
        <v>0</v>
      </c>
      <c r="DK415">
        <v>0</v>
      </c>
      <c r="DL415">
        <v>0</v>
      </c>
      <c r="DM415">
        <v>0</v>
      </c>
      <c r="DN415">
        <v>0</v>
      </c>
      <c r="DO415">
        <v>0</v>
      </c>
      <c r="DP415">
        <v>0</v>
      </c>
      <c r="DQ415">
        <v>0</v>
      </c>
      <c r="DR415">
        <v>0</v>
      </c>
      <c r="DS415">
        <v>0</v>
      </c>
      <c r="DT415">
        <v>0</v>
      </c>
      <c r="DU415">
        <v>0</v>
      </c>
      <c r="DV415">
        <v>0</v>
      </c>
      <c r="DW415">
        <v>0</v>
      </c>
      <c r="DX415">
        <v>0</v>
      </c>
      <c r="DY415">
        <v>0</v>
      </c>
      <c r="DZ415">
        <v>0</v>
      </c>
      <c r="EA415">
        <v>0</v>
      </c>
      <c r="EB415">
        <v>0</v>
      </c>
      <c r="EC415">
        <v>0</v>
      </c>
      <c r="ED415">
        <v>0</v>
      </c>
      <c r="EE415">
        <v>0</v>
      </c>
      <c r="EF415">
        <v>0</v>
      </c>
      <c r="EG415">
        <v>0</v>
      </c>
      <c r="EH415">
        <v>0</v>
      </c>
      <c r="EI415">
        <v>0</v>
      </c>
      <c r="EJ415">
        <v>0</v>
      </c>
      <c r="EK415">
        <v>0</v>
      </c>
      <c r="EL415">
        <v>0</v>
      </c>
      <c r="EM415">
        <v>0</v>
      </c>
      <c r="EN415">
        <v>0</v>
      </c>
      <c r="EO415">
        <v>0</v>
      </c>
      <c r="EP415">
        <v>0</v>
      </c>
      <c r="EQ415">
        <v>0</v>
      </c>
      <c r="ER415">
        <v>0</v>
      </c>
      <c r="ES415">
        <v>0</v>
      </c>
      <c r="ET415">
        <v>0</v>
      </c>
      <c r="EU415">
        <v>0</v>
      </c>
      <c r="EV415">
        <v>0</v>
      </c>
      <c r="EW415">
        <v>0</v>
      </c>
      <c r="EX415">
        <v>0</v>
      </c>
      <c r="EY415">
        <v>0</v>
      </c>
      <c r="EZ415">
        <v>0</v>
      </c>
      <c r="FA415">
        <v>0</v>
      </c>
      <c r="FB415">
        <v>0</v>
      </c>
      <c r="FC415">
        <v>0</v>
      </c>
      <c r="FD415">
        <v>0</v>
      </c>
      <c r="FE415">
        <v>0</v>
      </c>
      <c r="FF415">
        <v>0</v>
      </c>
      <c r="FG415">
        <v>0</v>
      </c>
      <c r="FH415">
        <v>0</v>
      </c>
      <c r="FI415">
        <v>0</v>
      </c>
      <c r="FJ415">
        <v>0</v>
      </c>
      <c r="FK415">
        <v>0</v>
      </c>
      <c r="FL415">
        <v>0</v>
      </c>
      <c r="FM415">
        <v>0</v>
      </c>
      <c r="FN415">
        <v>0</v>
      </c>
      <c r="FO415">
        <v>0</v>
      </c>
      <c r="FP415">
        <v>0</v>
      </c>
      <c r="FQ415">
        <v>0</v>
      </c>
      <c r="FR415">
        <v>0</v>
      </c>
      <c r="FS415">
        <v>0</v>
      </c>
      <c r="FT415">
        <v>0</v>
      </c>
      <c r="FU415">
        <v>0</v>
      </c>
      <c r="FV415">
        <v>0</v>
      </c>
      <c r="FW415">
        <v>0</v>
      </c>
      <c r="FX415">
        <v>0</v>
      </c>
      <c r="FY415">
        <v>0</v>
      </c>
      <c r="FZ415">
        <v>0</v>
      </c>
      <c r="GA415">
        <v>0</v>
      </c>
      <c r="GB415">
        <v>0</v>
      </c>
      <c r="GC415">
        <v>0</v>
      </c>
      <c r="GD415">
        <v>0</v>
      </c>
      <c r="GE415">
        <v>0</v>
      </c>
      <c r="GF415">
        <v>0</v>
      </c>
      <c r="GG415">
        <v>0</v>
      </c>
      <c r="GH415">
        <v>0</v>
      </c>
      <c r="GI415">
        <v>0</v>
      </c>
      <c r="GJ415">
        <v>0</v>
      </c>
      <c r="GK415">
        <v>0</v>
      </c>
      <c r="GL415">
        <v>0</v>
      </c>
      <c r="GM415">
        <v>0</v>
      </c>
      <c r="GN415">
        <v>0</v>
      </c>
      <c r="GO415">
        <v>0</v>
      </c>
      <c r="GP415">
        <v>0</v>
      </c>
      <c r="GQ415">
        <v>0</v>
      </c>
      <c r="GR415">
        <v>0</v>
      </c>
      <c r="GS415">
        <v>0</v>
      </c>
      <c r="GT415">
        <v>0</v>
      </c>
      <c r="GU415">
        <v>0</v>
      </c>
      <c r="GV415">
        <v>0</v>
      </c>
      <c r="GW415">
        <v>0</v>
      </c>
      <c r="GX415">
        <v>0</v>
      </c>
      <c r="GY415">
        <v>0</v>
      </c>
      <c r="GZ415">
        <v>0</v>
      </c>
      <c r="HA415">
        <v>0</v>
      </c>
      <c r="HB415">
        <v>0</v>
      </c>
      <c r="HC415">
        <v>0</v>
      </c>
      <c r="HD415">
        <v>0</v>
      </c>
      <c r="HE415">
        <v>0</v>
      </c>
      <c r="HF415">
        <v>0</v>
      </c>
      <c r="HG415">
        <v>0</v>
      </c>
      <c r="HH415">
        <v>0</v>
      </c>
      <c r="HI415">
        <v>0</v>
      </c>
      <c r="HJ415">
        <v>0</v>
      </c>
      <c r="HK415">
        <v>0</v>
      </c>
      <c r="HL415">
        <v>0</v>
      </c>
      <c r="HM415">
        <v>0</v>
      </c>
      <c r="HN415">
        <v>0</v>
      </c>
      <c r="HO415">
        <v>0</v>
      </c>
      <c r="HP415">
        <v>0</v>
      </c>
      <c r="HQ415">
        <v>0</v>
      </c>
      <c r="HR415">
        <v>0</v>
      </c>
      <c r="HS415">
        <v>0</v>
      </c>
      <c r="HT415">
        <v>0</v>
      </c>
      <c r="HU415">
        <v>0</v>
      </c>
      <c r="HV415">
        <v>0</v>
      </c>
      <c r="HW415">
        <v>0</v>
      </c>
      <c r="HX415">
        <v>0</v>
      </c>
      <c r="HY415">
        <v>0</v>
      </c>
      <c r="HZ415">
        <v>0</v>
      </c>
      <c r="IA415">
        <v>0</v>
      </c>
      <c r="IB415">
        <v>0</v>
      </c>
      <c r="IC415">
        <v>0</v>
      </c>
      <c r="ID415">
        <v>0</v>
      </c>
      <c r="IE415">
        <v>0</v>
      </c>
      <c r="IF415">
        <v>0</v>
      </c>
      <c r="IG415">
        <v>0</v>
      </c>
      <c r="IH415">
        <v>0</v>
      </c>
      <c r="II415">
        <v>0</v>
      </c>
      <c r="IJ415">
        <v>0</v>
      </c>
      <c r="IK415">
        <v>0</v>
      </c>
      <c r="IL415">
        <v>0</v>
      </c>
      <c r="IM415">
        <v>0</v>
      </c>
      <c r="IN415">
        <v>0</v>
      </c>
      <c r="IO415">
        <v>0</v>
      </c>
      <c r="IP415">
        <v>0</v>
      </c>
      <c r="IQ415">
        <v>0</v>
      </c>
      <c r="IR415">
        <v>0</v>
      </c>
      <c r="IS415">
        <v>0</v>
      </c>
      <c r="IT415">
        <v>0</v>
      </c>
      <c r="IU415">
        <v>0</v>
      </c>
      <c r="IV415">
        <v>0</v>
      </c>
      <c r="IW415">
        <v>0</v>
      </c>
      <c r="IX415">
        <v>0</v>
      </c>
      <c r="IY415">
        <v>0</v>
      </c>
      <c r="IZ415">
        <v>0</v>
      </c>
      <c r="JA415">
        <v>0</v>
      </c>
      <c r="JB415">
        <v>0</v>
      </c>
      <c r="JC415">
        <v>0</v>
      </c>
      <c r="JD415">
        <v>0</v>
      </c>
      <c r="JE415">
        <v>0</v>
      </c>
      <c r="JF415">
        <v>0</v>
      </c>
      <c r="JG415">
        <v>0</v>
      </c>
      <c r="JH415">
        <v>0</v>
      </c>
      <c r="JI415">
        <v>0</v>
      </c>
      <c r="JJ415">
        <v>0</v>
      </c>
      <c r="JK415">
        <v>0</v>
      </c>
      <c r="JL415">
        <v>0</v>
      </c>
      <c r="JM415">
        <v>0</v>
      </c>
      <c r="JN415">
        <v>0</v>
      </c>
      <c r="JO415">
        <v>0</v>
      </c>
      <c r="JP415">
        <v>0</v>
      </c>
      <c r="JQ415">
        <v>0</v>
      </c>
      <c r="JR415">
        <v>0</v>
      </c>
      <c r="JS415">
        <v>0</v>
      </c>
      <c r="JT415">
        <v>0</v>
      </c>
      <c r="JU415">
        <v>0</v>
      </c>
      <c r="JV415">
        <v>0</v>
      </c>
      <c r="JW415">
        <v>0</v>
      </c>
      <c r="JX415">
        <v>0</v>
      </c>
      <c r="JY415">
        <v>0</v>
      </c>
      <c r="JZ415">
        <v>0</v>
      </c>
      <c r="KA415">
        <v>0</v>
      </c>
      <c r="KB415">
        <v>0</v>
      </c>
      <c r="KC415">
        <v>0</v>
      </c>
      <c r="KD415">
        <v>0</v>
      </c>
      <c r="KE415">
        <v>0</v>
      </c>
      <c r="KF415">
        <v>0</v>
      </c>
      <c r="KG415">
        <v>0</v>
      </c>
      <c r="KH415">
        <v>0</v>
      </c>
      <c r="KI415">
        <v>0</v>
      </c>
      <c r="KJ415">
        <v>0</v>
      </c>
      <c r="KK415">
        <v>0</v>
      </c>
      <c r="KL415">
        <v>0</v>
      </c>
      <c r="KM415">
        <v>0</v>
      </c>
      <c r="KN415">
        <v>0</v>
      </c>
      <c r="KO415">
        <v>0</v>
      </c>
      <c r="KP415">
        <v>0</v>
      </c>
      <c r="KQ415">
        <v>0</v>
      </c>
      <c r="KR415">
        <v>0</v>
      </c>
      <c r="KS415">
        <v>0</v>
      </c>
      <c r="KT415">
        <v>0</v>
      </c>
      <c r="KU415">
        <v>0</v>
      </c>
      <c r="KV415">
        <v>0</v>
      </c>
      <c r="KW415">
        <v>0</v>
      </c>
      <c r="KX415">
        <v>0</v>
      </c>
      <c r="KY415">
        <v>0</v>
      </c>
      <c r="KZ415">
        <v>0</v>
      </c>
      <c r="LA415">
        <v>0</v>
      </c>
      <c r="LB415">
        <v>0</v>
      </c>
      <c r="LC415">
        <v>0</v>
      </c>
      <c r="LD415">
        <v>0</v>
      </c>
      <c r="LE415">
        <v>0</v>
      </c>
      <c r="LF415">
        <v>0</v>
      </c>
      <c r="LG415">
        <v>0</v>
      </c>
      <c r="LH415">
        <v>0</v>
      </c>
      <c r="LI415">
        <v>0</v>
      </c>
      <c r="LJ415">
        <v>0</v>
      </c>
      <c r="LK415">
        <v>0</v>
      </c>
      <c r="LL415">
        <v>0</v>
      </c>
      <c r="LM415">
        <v>0</v>
      </c>
      <c r="LN415">
        <v>0</v>
      </c>
      <c r="LO415">
        <v>0</v>
      </c>
      <c r="LP415">
        <v>0</v>
      </c>
      <c r="LQ415">
        <v>0</v>
      </c>
      <c r="LR415">
        <v>0</v>
      </c>
      <c r="LS415">
        <v>0</v>
      </c>
      <c r="LT415">
        <v>0</v>
      </c>
      <c r="LU415">
        <v>0</v>
      </c>
      <c r="LV415">
        <v>0</v>
      </c>
      <c r="LW415">
        <v>0</v>
      </c>
      <c r="LX415">
        <v>0</v>
      </c>
      <c r="LY415">
        <v>0</v>
      </c>
      <c r="LZ415">
        <v>0</v>
      </c>
      <c r="MA415">
        <v>0</v>
      </c>
      <c r="MB415">
        <v>0</v>
      </c>
      <c r="MC415">
        <v>0</v>
      </c>
      <c r="MD415">
        <v>0</v>
      </c>
      <c r="ME415">
        <v>0</v>
      </c>
      <c r="MF415">
        <v>0</v>
      </c>
      <c r="MG415">
        <v>0</v>
      </c>
      <c r="MH415">
        <v>0</v>
      </c>
      <c r="MI415">
        <v>0</v>
      </c>
      <c r="MJ415">
        <v>0</v>
      </c>
      <c r="MK415">
        <v>0</v>
      </c>
      <c r="ML415">
        <v>0</v>
      </c>
      <c r="MM415">
        <v>0</v>
      </c>
      <c r="MN415">
        <v>0</v>
      </c>
      <c r="MO415">
        <v>0</v>
      </c>
      <c r="MP415">
        <v>0</v>
      </c>
      <c r="MQ415">
        <v>0</v>
      </c>
      <c r="MR415">
        <v>0</v>
      </c>
      <c r="MS415">
        <v>0</v>
      </c>
      <c r="MT415">
        <v>0</v>
      </c>
      <c r="MU415">
        <v>0</v>
      </c>
      <c r="MV415">
        <v>0</v>
      </c>
      <c r="MW415">
        <v>0</v>
      </c>
      <c r="MX415">
        <v>0</v>
      </c>
      <c r="MY415">
        <v>0</v>
      </c>
      <c r="MZ415">
        <v>0</v>
      </c>
      <c r="NA415">
        <v>0</v>
      </c>
      <c r="NB415">
        <v>0</v>
      </c>
      <c r="NC415">
        <v>0</v>
      </c>
      <c r="ND415">
        <v>0</v>
      </c>
      <c r="NE415">
        <v>0</v>
      </c>
    </row>
    <row r="416" spans="41:369" x14ac:dyDescent="0.45">
      <c r="AO416">
        <v>0</v>
      </c>
      <c r="AP416">
        <v>0</v>
      </c>
      <c r="AQ416">
        <v>0</v>
      </c>
      <c r="AR416">
        <v>0</v>
      </c>
      <c r="AS416">
        <v>0</v>
      </c>
      <c r="AT416">
        <v>0</v>
      </c>
      <c r="AU416">
        <v>0</v>
      </c>
      <c r="AV416">
        <v>0</v>
      </c>
      <c r="AW416" t="str">
        <v/>
      </c>
      <c r="AX416">
        <v>255</v>
      </c>
      <c r="AY416" s="5" t="str">
        <v/>
      </c>
      <c r="AZ416">
        <v>0</v>
      </c>
      <c r="BA416">
        <v>0</v>
      </c>
      <c r="BB416">
        <v>0</v>
      </c>
      <c r="BC416">
        <v>0</v>
      </c>
      <c r="BD416">
        <v>0</v>
      </c>
      <c r="BE416">
        <v>0</v>
      </c>
      <c r="BF416">
        <v>0</v>
      </c>
      <c r="BG416">
        <v>0</v>
      </c>
      <c r="BH416">
        <v>0</v>
      </c>
      <c r="BI416" t="str">
        <v/>
      </c>
      <c r="BK416">
        <v>410</v>
      </c>
      <c r="BL416">
        <v>0</v>
      </c>
      <c r="BM416">
        <v>0</v>
      </c>
      <c r="BN416">
        <v>0</v>
      </c>
      <c r="BO416">
        <v>0</v>
      </c>
      <c r="BP416">
        <v>0</v>
      </c>
      <c r="BQ416">
        <v>0</v>
      </c>
      <c r="BR416">
        <v>0</v>
      </c>
      <c r="BS416">
        <v>0</v>
      </c>
      <c r="BT416">
        <v>0</v>
      </c>
      <c r="BU416">
        <v>0</v>
      </c>
      <c r="BV416">
        <v>0</v>
      </c>
      <c r="BW416">
        <v>0</v>
      </c>
      <c r="BX416">
        <v>0</v>
      </c>
      <c r="BY416">
        <v>0</v>
      </c>
      <c r="BZ416">
        <v>0</v>
      </c>
      <c r="CA416">
        <v>0</v>
      </c>
      <c r="CB416">
        <v>0</v>
      </c>
      <c r="CC416">
        <v>0</v>
      </c>
      <c r="CD416">
        <v>0</v>
      </c>
      <c r="CE416">
        <v>0</v>
      </c>
      <c r="CF416">
        <v>0</v>
      </c>
      <c r="CG416">
        <v>0</v>
      </c>
      <c r="CH416">
        <v>0</v>
      </c>
      <c r="CI416">
        <v>0</v>
      </c>
      <c r="CJ416">
        <v>0</v>
      </c>
      <c r="CK416">
        <v>0</v>
      </c>
      <c r="CL416">
        <v>0</v>
      </c>
      <c r="CM416">
        <v>0</v>
      </c>
      <c r="CN416">
        <v>0</v>
      </c>
      <c r="CO416">
        <v>0</v>
      </c>
      <c r="CP416">
        <v>0</v>
      </c>
      <c r="CQ416">
        <v>0</v>
      </c>
      <c r="CR416">
        <v>0</v>
      </c>
      <c r="CS416">
        <v>0</v>
      </c>
      <c r="CT416">
        <v>0</v>
      </c>
      <c r="CU416">
        <v>0</v>
      </c>
      <c r="CV416">
        <v>0</v>
      </c>
      <c r="CW416">
        <v>0</v>
      </c>
      <c r="CX416">
        <v>0</v>
      </c>
      <c r="CY416">
        <v>0</v>
      </c>
      <c r="CZ416">
        <v>0</v>
      </c>
      <c r="DA416">
        <v>0</v>
      </c>
      <c r="DB416">
        <v>0</v>
      </c>
      <c r="DC416">
        <v>0</v>
      </c>
      <c r="DD416">
        <v>0</v>
      </c>
      <c r="DE416">
        <v>0</v>
      </c>
      <c r="DF416">
        <v>0</v>
      </c>
      <c r="DG416">
        <v>0</v>
      </c>
      <c r="DH416">
        <v>0</v>
      </c>
      <c r="DI416">
        <v>0</v>
      </c>
      <c r="DJ416">
        <v>0</v>
      </c>
      <c r="DK416">
        <v>0</v>
      </c>
      <c r="DL416">
        <v>0</v>
      </c>
      <c r="DM416">
        <v>0</v>
      </c>
      <c r="DN416">
        <v>0</v>
      </c>
      <c r="DO416">
        <v>0</v>
      </c>
      <c r="DP416">
        <v>0</v>
      </c>
      <c r="DQ416">
        <v>0</v>
      </c>
      <c r="DR416">
        <v>0</v>
      </c>
      <c r="DS416">
        <v>0</v>
      </c>
      <c r="DT416">
        <v>0</v>
      </c>
      <c r="DU416">
        <v>0</v>
      </c>
      <c r="DV416">
        <v>0</v>
      </c>
      <c r="DW416">
        <v>0</v>
      </c>
      <c r="DX416">
        <v>0</v>
      </c>
      <c r="DY416">
        <v>0</v>
      </c>
      <c r="DZ416">
        <v>0</v>
      </c>
      <c r="EA416">
        <v>0</v>
      </c>
      <c r="EB416">
        <v>0</v>
      </c>
      <c r="EC416">
        <v>0</v>
      </c>
      <c r="ED416">
        <v>0</v>
      </c>
      <c r="EE416">
        <v>0</v>
      </c>
      <c r="EF416">
        <v>0</v>
      </c>
      <c r="EG416">
        <v>0</v>
      </c>
      <c r="EH416">
        <v>0</v>
      </c>
      <c r="EI416">
        <v>0</v>
      </c>
      <c r="EJ416">
        <v>0</v>
      </c>
      <c r="EK416">
        <v>0</v>
      </c>
      <c r="EL416">
        <v>0</v>
      </c>
      <c r="EM416">
        <v>0</v>
      </c>
      <c r="EN416">
        <v>0</v>
      </c>
      <c r="EO416">
        <v>0</v>
      </c>
      <c r="EP416">
        <v>0</v>
      </c>
      <c r="EQ416">
        <v>0</v>
      </c>
      <c r="ER416">
        <v>0</v>
      </c>
      <c r="ES416">
        <v>0</v>
      </c>
      <c r="ET416">
        <v>0</v>
      </c>
      <c r="EU416">
        <v>0</v>
      </c>
      <c r="EV416">
        <v>0</v>
      </c>
      <c r="EW416">
        <v>0</v>
      </c>
      <c r="EX416">
        <v>0</v>
      </c>
      <c r="EY416">
        <v>0</v>
      </c>
      <c r="EZ416">
        <v>0</v>
      </c>
      <c r="FA416">
        <v>0</v>
      </c>
      <c r="FB416">
        <v>0</v>
      </c>
      <c r="FC416">
        <v>0</v>
      </c>
      <c r="FD416">
        <v>0</v>
      </c>
      <c r="FE416">
        <v>0</v>
      </c>
      <c r="FF416">
        <v>0</v>
      </c>
      <c r="FG416">
        <v>0</v>
      </c>
      <c r="FH416">
        <v>0</v>
      </c>
      <c r="FI416">
        <v>0</v>
      </c>
      <c r="FJ416">
        <v>0</v>
      </c>
      <c r="FK416">
        <v>0</v>
      </c>
      <c r="FL416">
        <v>0</v>
      </c>
      <c r="FM416">
        <v>0</v>
      </c>
      <c r="FN416">
        <v>0</v>
      </c>
      <c r="FO416">
        <v>0</v>
      </c>
      <c r="FP416">
        <v>0</v>
      </c>
      <c r="FQ416">
        <v>0</v>
      </c>
      <c r="FR416">
        <v>0</v>
      </c>
      <c r="FS416">
        <v>0</v>
      </c>
      <c r="FT416">
        <v>0</v>
      </c>
      <c r="FU416">
        <v>0</v>
      </c>
      <c r="FV416">
        <v>0</v>
      </c>
      <c r="FW416">
        <v>0</v>
      </c>
      <c r="FX416">
        <v>0</v>
      </c>
      <c r="FY416">
        <v>0</v>
      </c>
      <c r="FZ416">
        <v>0</v>
      </c>
      <c r="GA416">
        <v>0</v>
      </c>
      <c r="GB416">
        <v>0</v>
      </c>
      <c r="GC416">
        <v>0</v>
      </c>
      <c r="GD416">
        <v>0</v>
      </c>
      <c r="GE416">
        <v>0</v>
      </c>
      <c r="GF416">
        <v>0</v>
      </c>
      <c r="GG416">
        <v>0</v>
      </c>
      <c r="GH416">
        <v>0</v>
      </c>
      <c r="GI416">
        <v>0</v>
      </c>
      <c r="GJ416">
        <v>0</v>
      </c>
      <c r="GK416">
        <v>0</v>
      </c>
      <c r="GL416">
        <v>0</v>
      </c>
      <c r="GM416">
        <v>0</v>
      </c>
      <c r="GN416">
        <v>0</v>
      </c>
      <c r="GO416">
        <v>0</v>
      </c>
      <c r="GP416">
        <v>0</v>
      </c>
      <c r="GQ416">
        <v>0</v>
      </c>
      <c r="GR416">
        <v>0</v>
      </c>
      <c r="GS416">
        <v>0</v>
      </c>
      <c r="GT416">
        <v>0</v>
      </c>
      <c r="GU416">
        <v>0</v>
      </c>
      <c r="GV416">
        <v>0</v>
      </c>
      <c r="GW416">
        <v>0</v>
      </c>
      <c r="GX416">
        <v>0</v>
      </c>
      <c r="GY416">
        <v>0</v>
      </c>
      <c r="GZ416">
        <v>0</v>
      </c>
      <c r="HA416">
        <v>0</v>
      </c>
      <c r="HB416">
        <v>0</v>
      </c>
      <c r="HC416">
        <v>0</v>
      </c>
      <c r="HD416">
        <v>0</v>
      </c>
      <c r="HE416">
        <v>0</v>
      </c>
      <c r="HF416">
        <v>0</v>
      </c>
      <c r="HG416">
        <v>0</v>
      </c>
      <c r="HH416">
        <v>0</v>
      </c>
      <c r="HI416">
        <v>0</v>
      </c>
      <c r="HJ416">
        <v>0</v>
      </c>
      <c r="HK416">
        <v>0</v>
      </c>
      <c r="HL416">
        <v>0</v>
      </c>
      <c r="HM416">
        <v>0</v>
      </c>
      <c r="HN416">
        <v>0</v>
      </c>
      <c r="HO416">
        <v>0</v>
      </c>
      <c r="HP416">
        <v>0</v>
      </c>
      <c r="HQ416">
        <v>0</v>
      </c>
      <c r="HR416">
        <v>0</v>
      </c>
      <c r="HS416">
        <v>0</v>
      </c>
      <c r="HT416">
        <v>0</v>
      </c>
      <c r="HU416">
        <v>0</v>
      </c>
      <c r="HV416">
        <v>0</v>
      </c>
      <c r="HW416">
        <v>0</v>
      </c>
      <c r="HX416">
        <v>0</v>
      </c>
      <c r="HY416">
        <v>0</v>
      </c>
      <c r="HZ416">
        <v>0</v>
      </c>
      <c r="IA416">
        <v>0</v>
      </c>
      <c r="IB416">
        <v>0</v>
      </c>
      <c r="IC416">
        <v>0</v>
      </c>
      <c r="ID416">
        <v>0</v>
      </c>
      <c r="IE416">
        <v>0</v>
      </c>
      <c r="IF416">
        <v>0</v>
      </c>
      <c r="IG416">
        <v>0</v>
      </c>
      <c r="IH416">
        <v>0</v>
      </c>
      <c r="II416">
        <v>0</v>
      </c>
      <c r="IJ416">
        <v>0</v>
      </c>
      <c r="IK416">
        <v>0</v>
      </c>
      <c r="IL416">
        <v>0</v>
      </c>
      <c r="IM416">
        <v>0</v>
      </c>
      <c r="IN416">
        <v>0</v>
      </c>
      <c r="IO416">
        <v>0</v>
      </c>
      <c r="IP416">
        <v>0</v>
      </c>
      <c r="IQ416">
        <v>0</v>
      </c>
      <c r="IR416">
        <v>0</v>
      </c>
      <c r="IS416">
        <v>0</v>
      </c>
      <c r="IT416">
        <v>0</v>
      </c>
      <c r="IU416">
        <v>0</v>
      </c>
      <c r="IV416">
        <v>0</v>
      </c>
      <c r="IW416">
        <v>0</v>
      </c>
      <c r="IX416">
        <v>0</v>
      </c>
      <c r="IY416">
        <v>0</v>
      </c>
      <c r="IZ416">
        <v>0</v>
      </c>
      <c r="JA416">
        <v>0</v>
      </c>
      <c r="JB416">
        <v>0</v>
      </c>
      <c r="JC416">
        <v>0</v>
      </c>
      <c r="JD416">
        <v>0</v>
      </c>
      <c r="JE416">
        <v>0</v>
      </c>
      <c r="JF416">
        <v>0</v>
      </c>
      <c r="JG416">
        <v>0</v>
      </c>
      <c r="JH416">
        <v>0</v>
      </c>
      <c r="JI416">
        <v>0</v>
      </c>
      <c r="JJ416">
        <v>0</v>
      </c>
      <c r="JK416">
        <v>0</v>
      </c>
      <c r="JL416">
        <v>0</v>
      </c>
      <c r="JM416">
        <v>0</v>
      </c>
      <c r="JN416">
        <v>0</v>
      </c>
      <c r="JO416">
        <v>0</v>
      </c>
      <c r="JP416">
        <v>0</v>
      </c>
      <c r="JQ416">
        <v>0</v>
      </c>
      <c r="JR416">
        <v>0</v>
      </c>
      <c r="JS416">
        <v>0</v>
      </c>
      <c r="JT416">
        <v>0</v>
      </c>
      <c r="JU416">
        <v>0</v>
      </c>
      <c r="JV416">
        <v>0</v>
      </c>
      <c r="JW416">
        <v>0</v>
      </c>
      <c r="JX416">
        <v>0</v>
      </c>
      <c r="JY416">
        <v>0</v>
      </c>
      <c r="JZ416">
        <v>0</v>
      </c>
      <c r="KA416">
        <v>0</v>
      </c>
      <c r="KB416">
        <v>0</v>
      </c>
      <c r="KC416">
        <v>0</v>
      </c>
      <c r="KD416">
        <v>0</v>
      </c>
      <c r="KE416">
        <v>0</v>
      </c>
      <c r="KF416">
        <v>0</v>
      </c>
      <c r="KG416">
        <v>0</v>
      </c>
      <c r="KH416">
        <v>0</v>
      </c>
      <c r="KI416">
        <v>0</v>
      </c>
      <c r="KJ416">
        <v>0</v>
      </c>
      <c r="KK416">
        <v>0</v>
      </c>
      <c r="KL416">
        <v>0</v>
      </c>
      <c r="KM416">
        <v>0</v>
      </c>
      <c r="KN416">
        <v>0</v>
      </c>
      <c r="KO416">
        <v>0</v>
      </c>
      <c r="KP416">
        <v>0</v>
      </c>
      <c r="KQ416">
        <v>0</v>
      </c>
      <c r="KR416">
        <v>0</v>
      </c>
      <c r="KS416">
        <v>0</v>
      </c>
      <c r="KT416">
        <v>0</v>
      </c>
      <c r="KU416">
        <v>0</v>
      </c>
      <c r="KV416">
        <v>0</v>
      </c>
      <c r="KW416">
        <v>0</v>
      </c>
      <c r="KX416">
        <v>0</v>
      </c>
      <c r="KY416">
        <v>0</v>
      </c>
      <c r="KZ416">
        <v>0</v>
      </c>
      <c r="LA416">
        <v>0</v>
      </c>
      <c r="LB416">
        <v>0</v>
      </c>
      <c r="LC416">
        <v>0</v>
      </c>
      <c r="LD416">
        <v>0</v>
      </c>
      <c r="LE416">
        <v>0</v>
      </c>
      <c r="LF416">
        <v>0</v>
      </c>
      <c r="LG416">
        <v>0</v>
      </c>
      <c r="LH416">
        <v>0</v>
      </c>
      <c r="LI416">
        <v>0</v>
      </c>
      <c r="LJ416">
        <v>0</v>
      </c>
      <c r="LK416">
        <v>0</v>
      </c>
      <c r="LL416">
        <v>0</v>
      </c>
      <c r="LM416">
        <v>0</v>
      </c>
      <c r="LN416">
        <v>0</v>
      </c>
      <c r="LO416">
        <v>0</v>
      </c>
      <c r="LP416">
        <v>0</v>
      </c>
      <c r="LQ416">
        <v>0</v>
      </c>
      <c r="LR416">
        <v>0</v>
      </c>
      <c r="LS416">
        <v>0</v>
      </c>
      <c r="LT416">
        <v>0</v>
      </c>
      <c r="LU416">
        <v>0</v>
      </c>
      <c r="LV416">
        <v>0</v>
      </c>
      <c r="LW416">
        <v>0</v>
      </c>
      <c r="LX416">
        <v>0</v>
      </c>
      <c r="LY416">
        <v>0</v>
      </c>
      <c r="LZ416">
        <v>0</v>
      </c>
      <c r="MA416">
        <v>0</v>
      </c>
      <c r="MB416">
        <v>0</v>
      </c>
      <c r="MC416">
        <v>0</v>
      </c>
      <c r="MD416">
        <v>0</v>
      </c>
      <c r="ME416">
        <v>0</v>
      </c>
      <c r="MF416">
        <v>0</v>
      </c>
      <c r="MG416">
        <v>0</v>
      </c>
      <c r="MH416">
        <v>0</v>
      </c>
      <c r="MI416">
        <v>0</v>
      </c>
      <c r="MJ416">
        <v>0</v>
      </c>
      <c r="MK416">
        <v>0</v>
      </c>
      <c r="ML416">
        <v>0</v>
      </c>
      <c r="MM416">
        <v>0</v>
      </c>
      <c r="MN416">
        <v>0</v>
      </c>
      <c r="MO416">
        <v>0</v>
      </c>
      <c r="MP416">
        <v>0</v>
      </c>
      <c r="MQ416">
        <v>0</v>
      </c>
      <c r="MR416">
        <v>0</v>
      </c>
      <c r="MS416">
        <v>0</v>
      </c>
      <c r="MT416">
        <v>0</v>
      </c>
      <c r="MU416">
        <v>0</v>
      </c>
      <c r="MV416">
        <v>0</v>
      </c>
      <c r="MW416">
        <v>0</v>
      </c>
      <c r="MX416">
        <v>0</v>
      </c>
      <c r="MY416">
        <v>0</v>
      </c>
      <c r="MZ416">
        <v>0</v>
      </c>
      <c r="NA416">
        <v>0</v>
      </c>
      <c r="NB416">
        <v>0</v>
      </c>
      <c r="NC416">
        <v>0</v>
      </c>
      <c r="ND416">
        <v>0</v>
      </c>
      <c r="NE416">
        <v>0</v>
      </c>
    </row>
    <row r="417" spans="41:369" x14ac:dyDescent="0.45">
      <c r="AO417">
        <v>0</v>
      </c>
      <c r="AP417">
        <v>0</v>
      </c>
      <c r="AQ417">
        <v>0</v>
      </c>
      <c r="AR417">
        <v>0</v>
      </c>
      <c r="AS417">
        <v>0</v>
      </c>
      <c r="AT417">
        <v>0</v>
      </c>
      <c r="AU417">
        <v>0</v>
      </c>
      <c r="AV417">
        <v>0</v>
      </c>
      <c r="AW417" t="str">
        <v/>
      </c>
      <c r="AX417">
        <v>255</v>
      </c>
      <c r="AY417" s="5" t="str">
        <v/>
      </c>
      <c r="AZ417">
        <v>0</v>
      </c>
      <c r="BA417">
        <v>0</v>
      </c>
      <c r="BB417">
        <v>0</v>
      </c>
      <c r="BC417">
        <v>0</v>
      </c>
      <c r="BD417">
        <v>0</v>
      </c>
      <c r="BE417">
        <v>0</v>
      </c>
      <c r="BF417">
        <v>0</v>
      </c>
      <c r="BG417">
        <v>0</v>
      </c>
      <c r="BH417">
        <v>0</v>
      </c>
      <c r="BI417" t="str">
        <v/>
      </c>
      <c r="BK417">
        <v>411</v>
      </c>
      <c r="BL417">
        <v>0</v>
      </c>
      <c r="BM417">
        <v>0</v>
      </c>
      <c r="BN417">
        <v>0</v>
      </c>
      <c r="BO417">
        <v>0</v>
      </c>
      <c r="BP417">
        <v>0</v>
      </c>
      <c r="BQ417">
        <v>0</v>
      </c>
      <c r="BR417">
        <v>0</v>
      </c>
      <c r="BS417">
        <v>0</v>
      </c>
      <c r="BT417">
        <v>0</v>
      </c>
      <c r="BU417">
        <v>0</v>
      </c>
      <c r="BV417">
        <v>0</v>
      </c>
      <c r="BW417">
        <v>0</v>
      </c>
      <c r="BX417">
        <v>0</v>
      </c>
      <c r="BY417">
        <v>0</v>
      </c>
      <c r="BZ417">
        <v>0</v>
      </c>
      <c r="CA417">
        <v>0</v>
      </c>
      <c r="CB417">
        <v>0</v>
      </c>
      <c r="CC417">
        <v>0</v>
      </c>
      <c r="CD417">
        <v>0</v>
      </c>
      <c r="CE417">
        <v>0</v>
      </c>
      <c r="CF417">
        <v>0</v>
      </c>
      <c r="CG417">
        <v>0</v>
      </c>
      <c r="CH417">
        <v>0</v>
      </c>
      <c r="CI417">
        <v>0</v>
      </c>
      <c r="CJ417">
        <v>0</v>
      </c>
      <c r="CK417">
        <v>0</v>
      </c>
      <c r="CL417">
        <v>0</v>
      </c>
      <c r="CM417">
        <v>0</v>
      </c>
      <c r="CN417">
        <v>0</v>
      </c>
      <c r="CO417">
        <v>0</v>
      </c>
      <c r="CP417">
        <v>0</v>
      </c>
      <c r="CQ417">
        <v>0</v>
      </c>
      <c r="CR417">
        <v>0</v>
      </c>
      <c r="CS417">
        <v>0</v>
      </c>
      <c r="CT417">
        <v>0</v>
      </c>
      <c r="CU417">
        <v>0</v>
      </c>
      <c r="CV417">
        <v>0</v>
      </c>
      <c r="CW417">
        <v>0</v>
      </c>
      <c r="CX417">
        <v>0</v>
      </c>
      <c r="CY417">
        <v>0</v>
      </c>
      <c r="CZ417">
        <v>0</v>
      </c>
      <c r="DA417">
        <v>0</v>
      </c>
      <c r="DB417">
        <v>0</v>
      </c>
      <c r="DC417">
        <v>0</v>
      </c>
      <c r="DD417">
        <v>0</v>
      </c>
      <c r="DE417">
        <v>0</v>
      </c>
      <c r="DF417">
        <v>0</v>
      </c>
      <c r="DG417">
        <v>0</v>
      </c>
      <c r="DH417">
        <v>0</v>
      </c>
      <c r="DI417">
        <v>0</v>
      </c>
      <c r="DJ417">
        <v>0</v>
      </c>
      <c r="DK417">
        <v>0</v>
      </c>
      <c r="DL417">
        <v>0</v>
      </c>
      <c r="DM417">
        <v>0</v>
      </c>
      <c r="DN417">
        <v>0</v>
      </c>
      <c r="DO417">
        <v>0</v>
      </c>
      <c r="DP417">
        <v>0</v>
      </c>
      <c r="DQ417">
        <v>0</v>
      </c>
      <c r="DR417">
        <v>0</v>
      </c>
      <c r="DS417">
        <v>0</v>
      </c>
      <c r="DT417">
        <v>0</v>
      </c>
      <c r="DU417">
        <v>0</v>
      </c>
      <c r="DV417">
        <v>0</v>
      </c>
      <c r="DW417">
        <v>0</v>
      </c>
      <c r="DX417">
        <v>0</v>
      </c>
      <c r="DY417">
        <v>0</v>
      </c>
      <c r="DZ417">
        <v>0</v>
      </c>
      <c r="EA417">
        <v>0</v>
      </c>
      <c r="EB417">
        <v>0</v>
      </c>
      <c r="EC417">
        <v>0</v>
      </c>
      <c r="ED417">
        <v>0</v>
      </c>
      <c r="EE417">
        <v>0</v>
      </c>
      <c r="EF417">
        <v>0</v>
      </c>
      <c r="EG417">
        <v>0</v>
      </c>
      <c r="EH417">
        <v>0</v>
      </c>
      <c r="EI417">
        <v>0</v>
      </c>
      <c r="EJ417">
        <v>0</v>
      </c>
      <c r="EK417">
        <v>0</v>
      </c>
      <c r="EL417">
        <v>0</v>
      </c>
      <c r="EM417">
        <v>0</v>
      </c>
      <c r="EN417">
        <v>0</v>
      </c>
      <c r="EO417">
        <v>0</v>
      </c>
      <c r="EP417">
        <v>0</v>
      </c>
      <c r="EQ417">
        <v>0</v>
      </c>
      <c r="ER417">
        <v>0</v>
      </c>
      <c r="ES417">
        <v>0</v>
      </c>
      <c r="ET417">
        <v>0</v>
      </c>
      <c r="EU417">
        <v>0</v>
      </c>
      <c r="EV417">
        <v>0</v>
      </c>
      <c r="EW417">
        <v>0</v>
      </c>
      <c r="EX417">
        <v>0</v>
      </c>
      <c r="EY417">
        <v>0</v>
      </c>
      <c r="EZ417">
        <v>0</v>
      </c>
      <c r="FA417">
        <v>0</v>
      </c>
      <c r="FB417">
        <v>0</v>
      </c>
      <c r="FC417">
        <v>0</v>
      </c>
      <c r="FD417">
        <v>0</v>
      </c>
      <c r="FE417">
        <v>0</v>
      </c>
      <c r="FF417">
        <v>0</v>
      </c>
      <c r="FG417">
        <v>0</v>
      </c>
      <c r="FH417">
        <v>0</v>
      </c>
      <c r="FI417">
        <v>0</v>
      </c>
      <c r="FJ417">
        <v>0</v>
      </c>
      <c r="FK417">
        <v>0</v>
      </c>
      <c r="FL417">
        <v>0</v>
      </c>
      <c r="FM417">
        <v>0</v>
      </c>
      <c r="FN417">
        <v>0</v>
      </c>
      <c r="FO417">
        <v>0</v>
      </c>
      <c r="FP417">
        <v>0</v>
      </c>
      <c r="FQ417">
        <v>0</v>
      </c>
      <c r="FR417">
        <v>0</v>
      </c>
      <c r="FS417">
        <v>0</v>
      </c>
      <c r="FT417">
        <v>0</v>
      </c>
      <c r="FU417">
        <v>0</v>
      </c>
      <c r="FV417">
        <v>0</v>
      </c>
      <c r="FW417">
        <v>0</v>
      </c>
      <c r="FX417">
        <v>0</v>
      </c>
      <c r="FY417">
        <v>0</v>
      </c>
      <c r="FZ417">
        <v>0</v>
      </c>
      <c r="GA417">
        <v>0</v>
      </c>
      <c r="GB417">
        <v>0</v>
      </c>
      <c r="GC417">
        <v>0</v>
      </c>
      <c r="GD417">
        <v>0</v>
      </c>
      <c r="GE417">
        <v>0</v>
      </c>
      <c r="GF417">
        <v>0</v>
      </c>
      <c r="GG417">
        <v>0</v>
      </c>
      <c r="GH417">
        <v>0</v>
      </c>
      <c r="GI417">
        <v>0</v>
      </c>
      <c r="GJ417">
        <v>0</v>
      </c>
      <c r="GK417">
        <v>0</v>
      </c>
      <c r="GL417">
        <v>0</v>
      </c>
      <c r="GM417">
        <v>0</v>
      </c>
      <c r="GN417">
        <v>0</v>
      </c>
      <c r="GO417">
        <v>0</v>
      </c>
      <c r="GP417">
        <v>0</v>
      </c>
      <c r="GQ417">
        <v>0</v>
      </c>
      <c r="GR417">
        <v>0</v>
      </c>
      <c r="GS417">
        <v>0</v>
      </c>
      <c r="GT417">
        <v>0</v>
      </c>
      <c r="GU417">
        <v>0</v>
      </c>
      <c r="GV417">
        <v>0</v>
      </c>
      <c r="GW417">
        <v>0</v>
      </c>
      <c r="GX417">
        <v>0</v>
      </c>
      <c r="GY417">
        <v>0</v>
      </c>
      <c r="GZ417">
        <v>0</v>
      </c>
      <c r="HA417">
        <v>0</v>
      </c>
      <c r="HB417">
        <v>0</v>
      </c>
      <c r="HC417">
        <v>0</v>
      </c>
      <c r="HD417">
        <v>0</v>
      </c>
      <c r="HE417">
        <v>0</v>
      </c>
      <c r="HF417">
        <v>0</v>
      </c>
      <c r="HG417">
        <v>0</v>
      </c>
      <c r="HH417">
        <v>0</v>
      </c>
      <c r="HI417">
        <v>0</v>
      </c>
      <c r="HJ417">
        <v>0</v>
      </c>
      <c r="HK417">
        <v>0</v>
      </c>
      <c r="HL417">
        <v>0</v>
      </c>
      <c r="HM417">
        <v>0</v>
      </c>
      <c r="HN417">
        <v>0</v>
      </c>
      <c r="HO417">
        <v>0</v>
      </c>
      <c r="HP417">
        <v>0</v>
      </c>
      <c r="HQ417">
        <v>0</v>
      </c>
      <c r="HR417">
        <v>0</v>
      </c>
      <c r="HS417">
        <v>0</v>
      </c>
      <c r="HT417">
        <v>0</v>
      </c>
      <c r="HU417">
        <v>0</v>
      </c>
      <c r="HV417">
        <v>0</v>
      </c>
      <c r="HW417">
        <v>0</v>
      </c>
      <c r="HX417">
        <v>0</v>
      </c>
      <c r="HY417">
        <v>0</v>
      </c>
      <c r="HZ417">
        <v>0</v>
      </c>
      <c r="IA417">
        <v>0</v>
      </c>
      <c r="IB417">
        <v>0</v>
      </c>
      <c r="IC417">
        <v>0</v>
      </c>
      <c r="ID417">
        <v>0</v>
      </c>
      <c r="IE417">
        <v>0</v>
      </c>
      <c r="IF417">
        <v>0</v>
      </c>
      <c r="IG417">
        <v>0</v>
      </c>
      <c r="IH417">
        <v>0</v>
      </c>
      <c r="II417">
        <v>0</v>
      </c>
      <c r="IJ417">
        <v>0</v>
      </c>
      <c r="IK417">
        <v>0</v>
      </c>
      <c r="IL417">
        <v>0</v>
      </c>
      <c r="IM417">
        <v>0</v>
      </c>
      <c r="IN417">
        <v>0</v>
      </c>
      <c r="IO417">
        <v>0</v>
      </c>
      <c r="IP417">
        <v>0</v>
      </c>
      <c r="IQ417">
        <v>0</v>
      </c>
      <c r="IR417">
        <v>0</v>
      </c>
      <c r="IS417">
        <v>0</v>
      </c>
      <c r="IT417">
        <v>0</v>
      </c>
      <c r="IU417">
        <v>0</v>
      </c>
      <c r="IV417">
        <v>0</v>
      </c>
      <c r="IW417">
        <v>0</v>
      </c>
      <c r="IX417">
        <v>0</v>
      </c>
      <c r="IY417">
        <v>0</v>
      </c>
      <c r="IZ417">
        <v>0</v>
      </c>
      <c r="JA417">
        <v>0</v>
      </c>
      <c r="JB417">
        <v>0</v>
      </c>
      <c r="JC417">
        <v>0</v>
      </c>
      <c r="JD417">
        <v>0</v>
      </c>
      <c r="JE417">
        <v>0</v>
      </c>
      <c r="JF417">
        <v>0</v>
      </c>
      <c r="JG417">
        <v>0</v>
      </c>
      <c r="JH417">
        <v>0</v>
      </c>
      <c r="JI417">
        <v>0</v>
      </c>
      <c r="JJ417">
        <v>0</v>
      </c>
      <c r="JK417">
        <v>0</v>
      </c>
      <c r="JL417">
        <v>0</v>
      </c>
      <c r="JM417">
        <v>0</v>
      </c>
      <c r="JN417">
        <v>0</v>
      </c>
      <c r="JO417">
        <v>0</v>
      </c>
      <c r="JP417">
        <v>0</v>
      </c>
      <c r="JQ417">
        <v>0</v>
      </c>
      <c r="JR417">
        <v>0</v>
      </c>
      <c r="JS417">
        <v>0</v>
      </c>
      <c r="JT417">
        <v>0</v>
      </c>
      <c r="JU417">
        <v>0</v>
      </c>
      <c r="JV417">
        <v>0</v>
      </c>
      <c r="JW417">
        <v>0</v>
      </c>
      <c r="JX417">
        <v>0</v>
      </c>
      <c r="JY417">
        <v>0</v>
      </c>
      <c r="JZ417">
        <v>0</v>
      </c>
      <c r="KA417">
        <v>0</v>
      </c>
      <c r="KB417">
        <v>0</v>
      </c>
      <c r="KC417">
        <v>0</v>
      </c>
      <c r="KD417">
        <v>0</v>
      </c>
      <c r="KE417">
        <v>0</v>
      </c>
      <c r="KF417">
        <v>0</v>
      </c>
      <c r="KG417">
        <v>0</v>
      </c>
      <c r="KH417">
        <v>0</v>
      </c>
      <c r="KI417">
        <v>0</v>
      </c>
      <c r="KJ417">
        <v>0</v>
      </c>
      <c r="KK417">
        <v>0</v>
      </c>
      <c r="KL417">
        <v>0</v>
      </c>
      <c r="KM417">
        <v>0</v>
      </c>
      <c r="KN417">
        <v>0</v>
      </c>
      <c r="KO417">
        <v>0</v>
      </c>
      <c r="KP417">
        <v>0</v>
      </c>
      <c r="KQ417">
        <v>0</v>
      </c>
      <c r="KR417">
        <v>0</v>
      </c>
      <c r="KS417">
        <v>0</v>
      </c>
      <c r="KT417">
        <v>0</v>
      </c>
      <c r="KU417">
        <v>0</v>
      </c>
      <c r="KV417">
        <v>0</v>
      </c>
      <c r="KW417">
        <v>0</v>
      </c>
      <c r="KX417">
        <v>0</v>
      </c>
      <c r="KY417">
        <v>0</v>
      </c>
      <c r="KZ417">
        <v>0</v>
      </c>
      <c r="LA417">
        <v>0</v>
      </c>
      <c r="LB417">
        <v>0</v>
      </c>
      <c r="LC417">
        <v>0</v>
      </c>
      <c r="LD417">
        <v>0</v>
      </c>
      <c r="LE417">
        <v>0</v>
      </c>
      <c r="LF417">
        <v>0</v>
      </c>
      <c r="LG417">
        <v>0</v>
      </c>
      <c r="LH417">
        <v>0</v>
      </c>
      <c r="LI417">
        <v>0</v>
      </c>
      <c r="LJ417">
        <v>0</v>
      </c>
      <c r="LK417">
        <v>0</v>
      </c>
      <c r="LL417">
        <v>0</v>
      </c>
      <c r="LM417">
        <v>0</v>
      </c>
      <c r="LN417">
        <v>0</v>
      </c>
      <c r="LO417">
        <v>0</v>
      </c>
      <c r="LP417">
        <v>0</v>
      </c>
      <c r="LQ417">
        <v>0</v>
      </c>
      <c r="LR417">
        <v>0</v>
      </c>
      <c r="LS417">
        <v>0</v>
      </c>
      <c r="LT417">
        <v>0</v>
      </c>
      <c r="LU417">
        <v>0</v>
      </c>
      <c r="LV417">
        <v>0</v>
      </c>
      <c r="LW417">
        <v>0</v>
      </c>
      <c r="LX417">
        <v>0</v>
      </c>
      <c r="LY417">
        <v>0</v>
      </c>
      <c r="LZ417">
        <v>0</v>
      </c>
      <c r="MA417">
        <v>0</v>
      </c>
      <c r="MB417">
        <v>0</v>
      </c>
      <c r="MC417">
        <v>0</v>
      </c>
      <c r="MD417">
        <v>0</v>
      </c>
      <c r="ME417">
        <v>0</v>
      </c>
      <c r="MF417">
        <v>0</v>
      </c>
      <c r="MG417">
        <v>0</v>
      </c>
      <c r="MH417">
        <v>0</v>
      </c>
      <c r="MI417">
        <v>0</v>
      </c>
      <c r="MJ417">
        <v>0</v>
      </c>
      <c r="MK417">
        <v>0</v>
      </c>
      <c r="ML417">
        <v>0</v>
      </c>
      <c r="MM417">
        <v>0</v>
      </c>
      <c r="MN417">
        <v>0</v>
      </c>
      <c r="MO417">
        <v>0</v>
      </c>
      <c r="MP417">
        <v>0</v>
      </c>
      <c r="MQ417">
        <v>0</v>
      </c>
      <c r="MR417">
        <v>0</v>
      </c>
      <c r="MS417">
        <v>0</v>
      </c>
      <c r="MT417">
        <v>0</v>
      </c>
      <c r="MU417">
        <v>0</v>
      </c>
      <c r="MV417">
        <v>0</v>
      </c>
      <c r="MW417">
        <v>0</v>
      </c>
      <c r="MX417">
        <v>0</v>
      </c>
      <c r="MY417">
        <v>0</v>
      </c>
      <c r="MZ417">
        <v>0</v>
      </c>
      <c r="NA417">
        <v>0</v>
      </c>
      <c r="NB417">
        <v>0</v>
      </c>
      <c r="NC417">
        <v>0</v>
      </c>
      <c r="ND417">
        <v>0</v>
      </c>
      <c r="NE417">
        <v>0</v>
      </c>
    </row>
    <row r="418" spans="41:369" x14ac:dyDescent="0.45">
      <c r="AO418">
        <v>0</v>
      </c>
      <c r="AP418">
        <v>0</v>
      </c>
      <c r="AQ418">
        <v>0</v>
      </c>
      <c r="AR418">
        <v>0</v>
      </c>
      <c r="AS418">
        <v>0</v>
      </c>
      <c r="AT418">
        <v>0</v>
      </c>
      <c r="AU418">
        <v>0</v>
      </c>
      <c r="AV418">
        <v>0</v>
      </c>
      <c r="AW418" t="str">
        <v/>
      </c>
      <c r="AX418">
        <v>255</v>
      </c>
      <c r="AY418" s="5" t="str">
        <v/>
      </c>
      <c r="AZ418">
        <v>0</v>
      </c>
      <c r="BA418">
        <v>0</v>
      </c>
      <c r="BB418">
        <v>0</v>
      </c>
      <c r="BC418">
        <v>0</v>
      </c>
      <c r="BD418">
        <v>0</v>
      </c>
      <c r="BE418">
        <v>0</v>
      </c>
      <c r="BF418">
        <v>0</v>
      </c>
      <c r="BG418">
        <v>0</v>
      </c>
      <c r="BH418">
        <v>0</v>
      </c>
      <c r="BI418" t="str">
        <v/>
      </c>
      <c r="BK418">
        <v>412</v>
      </c>
      <c r="BL418">
        <v>0</v>
      </c>
      <c r="BM418">
        <v>0</v>
      </c>
      <c r="BN418">
        <v>0</v>
      </c>
      <c r="BO418">
        <v>0</v>
      </c>
      <c r="BP418">
        <v>0</v>
      </c>
      <c r="BQ418">
        <v>0</v>
      </c>
      <c r="BR418">
        <v>0</v>
      </c>
      <c r="BS418">
        <v>0</v>
      </c>
      <c r="BT418">
        <v>0</v>
      </c>
      <c r="BU418">
        <v>0</v>
      </c>
      <c r="BV418">
        <v>0</v>
      </c>
      <c r="BW418">
        <v>0</v>
      </c>
      <c r="BX418">
        <v>0</v>
      </c>
      <c r="BY418">
        <v>0</v>
      </c>
      <c r="BZ418">
        <v>0</v>
      </c>
      <c r="CA418">
        <v>0</v>
      </c>
      <c r="CB418">
        <v>0</v>
      </c>
      <c r="CC418">
        <v>0</v>
      </c>
      <c r="CD418">
        <v>0</v>
      </c>
      <c r="CE418">
        <v>0</v>
      </c>
      <c r="CF418">
        <v>0</v>
      </c>
      <c r="CG418">
        <v>0</v>
      </c>
      <c r="CH418">
        <v>0</v>
      </c>
      <c r="CI418">
        <v>0</v>
      </c>
      <c r="CJ418">
        <v>0</v>
      </c>
      <c r="CK418">
        <v>0</v>
      </c>
      <c r="CL418">
        <v>0</v>
      </c>
      <c r="CM418">
        <v>0</v>
      </c>
      <c r="CN418">
        <v>0</v>
      </c>
      <c r="CO418">
        <v>0</v>
      </c>
      <c r="CP418">
        <v>0</v>
      </c>
      <c r="CQ418">
        <v>0</v>
      </c>
      <c r="CR418">
        <v>0</v>
      </c>
      <c r="CS418">
        <v>0</v>
      </c>
      <c r="CT418">
        <v>0</v>
      </c>
      <c r="CU418">
        <v>0</v>
      </c>
      <c r="CV418">
        <v>0</v>
      </c>
      <c r="CW418">
        <v>0</v>
      </c>
      <c r="CX418">
        <v>0</v>
      </c>
      <c r="CY418">
        <v>0</v>
      </c>
      <c r="CZ418">
        <v>0</v>
      </c>
      <c r="DA418">
        <v>0</v>
      </c>
      <c r="DB418">
        <v>0</v>
      </c>
      <c r="DC418">
        <v>0</v>
      </c>
      <c r="DD418">
        <v>0</v>
      </c>
      <c r="DE418">
        <v>0</v>
      </c>
      <c r="DF418">
        <v>0</v>
      </c>
      <c r="DG418">
        <v>0</v>
      </c>
      <c r="DH418">
        <v>0</v>
      </c>
      <c r="DI418">
        <v>0</v>
      </c>
      <c r="DJ418">
        <v>0</v>
      </c>
      <c r="DK418">
        <v>0</v>
      </c>
      <c r="DL418">
        <v>0</v>
      </c>
      <c r="DM418">
        <v>0</v>
      </c>
      <c r="DN418">
        <v>0</v>
      </c>
      <c r="DO418">
        <v>0</v>
      </c>
      <c r="DP418">
        <v>0</v>
      </c>
      <c r="DQ418">
        <v>0</v>
      </c>
      <c r="DR418">
        <v>0</v>
      </c>
      <c r="DS418">
        <v>0</v>
      </c>
      <c r="DT418">
        <v>0</v>
      </c>
      <c r="DU418">
        <v>0</v>
      </c>
      <c r="DV418">
        <v>0</v>
      </c>
      <c r="DW418">
        <v>0</v>
      </c>
      <c r="DX418">
        <v>0</v>
      </c>
      <c r="DY418">
        <v>0</v>
      </c>
      <c r="DZ418">
        <v>0</v>
      </c>
      <c r="EA418">
        <v>0</v>
      </c>
      <c r="EB418">
        <v>0</v>
      </c>
      <c r="EC418">
        <v>0</v>
      </c>
      <c r="ED418">
        <v>0</v>
      </c>
      <c r="EE418">
        <v>0</v>
      </c>
      <c r="EF418">
        <v>0</v>
      </c>
      <c r="EG418">
        <v>0</v>
      </c>
      <c r="EH418">
        <v>0</v>
      </c>
      <c r="EI418">
        <v>0</v>
      </c>
      <c r="EJ418">
        <v>0</v>
      </c>
      <c r="EK418">
        <v>0</v>
      </c>
      <c r="EL418">
        <v>0</v>
      </c>
      <c r="EM418">
        <v>0</v>
      </c>
      <c r="EN418">
        <v>0</v>
      </c>
      <c r="EO418">
        <v>0</v>
      </c>
      <c r="EP418">
        <v>0</v>
      </c>
      <c r="EQ418">
        <v>0</v>
      </c>
      <c r="ER418">
        <v>0</v>
      </c>
      <c r="ES418">
        <v>0</v>
      </c>
      <c r="ET418">
        <v>0</v>
      </c>
      <c r="EU418">
        <v>0</v>
      </c>
      <c r="EV418">
        <v>0</v>
      </c>
      <c r="EW418">
        <v>0</v>
      </c>
      <c r="EX418">
        <v>0</v>
      </c>
      <c r="EY418">
        <v>0</v>
      </c>
      <c r="EZ418">
        <v>0</v>
      </c>
      <c r="FA418">
        <v>0</v>
      </c>
      <c r="FB418">
        <v>0</v>
      </c>
      <c r="FC418">
        <v>0</v>
      </c>
      <c r="FD418">
        <v>0</v>
      </c>
      <c r="FE418">
        <v>0</v>
      </c>
      <c r="FF418">
        <v>0</v>
      </c>
      <c r="FG418">
        <v>0</v>
      </c>
      <c r="FH418">
        <v>0</v>
      </c>
      <c r="FI418">
        <v>0</v>
      </c>
      <c r="FJ418">
        <v>0</v>
      </c>
      <c r="FK418">
        <v>0</v>
      </c>
      <c r="FL418">
        <v>0</v>
      </c>
      <c r="FM418">
        <v>0</v>
      </c>
      <c r="FN418">
        <v>0</v>
      </c>
      <c r="FO418">
        <v>0</v>
      </c>
      <c r="FP418">
        <v>0</v>
      </c>
      <c r="FQ418">
        <v>0</v>
      </c>
      <c r="FR418">
        <v>0</v>
      </c>
      <c r="FS418">
        <v>0</v>
      </c>
      <c r="FT418">
        <v>0</v>
      </c>
      <c r="FU418">
        <v>0</v>
      </c>
      <c r="FV418">
        <v>0</v>
      </c>
      <c r="FW418">
        <v>0</v>
      </c>
      <c r="FX418">
        <v>0</v>
      </c>
      <c r="FY418">
        <v>0</v>
      </c>
      <c r="FZ418">
        <v>0</v>
      </c>
      <c r="GA418">
        <v>0</v>
      </c>
      <c r="GB418">
        <v>0</v>
      </c>
      <c r="GC418">
        <v>0</v>
      </c>
      <c r="GD418">
        <v>0</v>
      </c>
      <c r="GE418">
        <v>0</v>
      </c>
      <c r="GF418">
        <v>0</v>
      </c>
      <c r="GG418">
        <v>0</v>
      </c>
      <c r="GH418">
        <v>0</v>
      </c>
      <c r="GI418">
        <v>0</v>
      </c>
      <c r="GJ418">
        <v>0</v>
      </c>
      <c r="GK418">
        <v>0</v>
      </c>
      <c r="GL418">
        <v>0</v>
      </c>
      <c r="GM418">
        <v>0</v>
      </c>
      <c r="GN418">
        <v>0</v>
      </c>
      <c r="GO418">
        <v>0</v>
      </c>
      <c r="GP418">
        <v>0</v>
      </c>
      <c r="GQ418">
        <v>0</v>
      </c>
      <c r="GR418">
        <v>0</v>
      </c>
      <c r="GS418">
        <v>0</v>
      </c>
      <c r="GT418">
        <v>0</v>
      </c>
      <c r="GU418">
        <v>0</v>
      </c>
      <c r="GV418">
        <v>0</v>
      </c>
      <c r="GW418">
        <v>0</v>
      </c>
      <c r="GX418">
        <v>0</v>
      </c>
      <c r="GY418">
        <v>0</v>
      </c>
      <c r="GZ418">
        <v>0</v>
      </c>
      <c r="HA418">
        <v>0</v>
      </c>
      <c r="HB418">
        <v>0</v>
      </c>
      <c r="HC418">
        <v>0</v>
      </c>
      <c r="HD418">
        <v>0</v>
      </c>
      <c r="HE418">
        <v>0</v>
      </c>
      <c r="HF418">
        <v>0</v>
      </c>
      <c r="HG418">
        <v>0</v>
      </c>
      <c r="HH418">
        <v>0</v>
      </c>
      <c r="HI418">
        <v>0</v>
      </c>
      <c r="HJ418">
        <v>0</v>
      </c>
      <c r="HK418">
        <v>0</v>
      </c>
      <c r="HL418">
        <v>0</v>
      </c>
      <c r="HM418">
        <v>0</v>
      </c>
      <c r="HN418">
        <v>0</v>
      </c>
      <c r="HO418">
        <v>0</v>
      </c>
      <c r="HP418">
        <v>0</v>
      </c>
      <c r="HQ418">
        <v>0</v>
      </c>
      <c r="HR418">
        <v>0</v>
      </c>
      <c r="HS418">
        <v>0</v>
      </c>
      <c r="HT418">
        <v>0</v>
      </c>
      <c r="HU418">
        <v>0</v>
      </c>
      <c r="HV418">
        <v>0</v>
      </c>
      <c r="HW418">
        <v>0</v>
      </c>
      <c r="HX418">
        <v>0</v>
      </c>
      <c r="HY418">
        <v>0</v>
      </c>
      <c r="HZ418">
        <v>0</v>
      </c>
      <c r="IA418">
        <v>0</v>
      </c>
      <c r="IB418">
        <v>0</v>
      </c>
      <c r="IC418">
        <v>0</v>
      </c>
      <c r="ID418">
        <v>0</v>
      </c>
      <c r="IE418">
        <v>0</v>
      </c>
      <c r="IF418">
        <v>0</v>
      </c>
      <c r="IG418">
        <v>0</v>
      </c>
      <c r="IH418">
        <v>0</v>
      </c>
      <c r="II418">
        <v>0</v>
      </c>
      <c r="IJ418">
        <v>0</v>
      </c>
      <c r="IK418">
        <v>0</v>
      </c>
      <c r="IL418">
        <v>0</v>
      </c>
      <c r="IM418">
        <v>0</v>
      </c>
      <c r="IN418">
        <v>0</v>
      </c>
      <c r="IO418">
        <v>0</v>
      </c>
      <c r="IP418">
        <v>0</v>
      </c>
      <c r="IQ418">
        <v>0</v>
      </c>
      <c r="IR418">
        <v>0</v>
      </c>
      <c r="IS418">
        <v>0</v>
      </c>
      <c r="IT418">
        <v>0</v>
      </c>
      <c r="IU418">
        <v>0</v>
      </c>
      <c r="IV418">
        <v>0</v>
      </c>
      <c r="IW418">
        <v>0</v>
      </c>
      <c r="IX418">
        <v>0</v>
      </c>
      <c r="IY418">
        <v>0</v>
      </c>
      <c r="IZ418">
        <v>0</v>
      </c>
      <c r="JA418">
        <v>0</v>
      </c>
      <c r="JB418">
        <v>0</v>
      </c>
      <c r="JC418">
        <v>0</v>
      </c>
      <c r="JD418">
        <v>0</v>
      </c>
      <c r="JE418">
        <v>0</v>
      </c>
      <c r="JF418">
        <v>0</v>
      </c>
      <c r="JG418">
        <v>0</v>
      </c>
      <c r="JH418">
        <v>0</v>
      </c>
      <c r="JI418">
        <v>0</v>
      </c>
      <c r="JJ418">
        <v>0</v>
      </c>
      <c r="JK418">
        <v>0</v>
      </c>
      <c r="JL418">
        <v>0</v>
      </c>
      <c r="JM418">
        <v>0</v>
      </c>
      <c r="JN418">
        <v>0</v>
      </c>
      <c r="JO418">
        <v>0</v>
      </c>
      <c r="JP418">
        <v>0</v>
      </c>
      <c r="JQ418">
        <v>0</v>
      </c>
      <c r="JR418">
        <v>0</v>
      </c>
      <c r="JS418">
        <v>0</v>
      </c>
      <c r="JT418">
        <v>0</v>
      </c>
      <c r="JU418">
        <v>0</v>
      </c>
      <c r="JV418">
        <v>0</v>
      </c>
      <c r="JW418">
        <v>0</v>
      </c>
      <c r="JX418">
        <v>0</v>
      </c>
      <c r="JY418">
        <v>0</v>
      </c>
      <c r="JZ418">
        <v>0</v>
      </c>
      <c r="KA418">
        <v>0</v>
      </c>
      <c r="KB418">
        <v>0</v>
      </c>
      <c r="KC418">
        <v>0</v>
      </c>
      <c r="KD418">
        <v>0</v>
      </c>
      <c r="KE418">
        <v>0</v>
      </c>
      <c r="KF418">
        <v>0</v>
      </c>
      <c r="KG418">
        <v>0</v>
      </c>
      <c r="KH418">
        <v>0</v>
      </c>
      <c r="KI418">
        <v>0</v>
      </c>
      <c r="KJ418">
        <v>0</v>
      </c>
      <c r="KK418">
        <v>0</v>
      </c>
      <c r="KL418">
        <v>0</v>
      </c>
      <c r="KM418">
        <v>0</v>
      </c>
      <c r="KN418">
        <v>0</v>
      </c>
      <c r="KO418">
        <v>0</v>
      </c>
      <c r="KP418">
        <v>0</v>
      </c>
      <c r="KQ418">
        <v>0</v>
      </c>
      <c r="KR418">
        <v>0</v>
      </c>
      <c r="KS418">
        <v>0</v>
      </c>
      <c r="KT418">
        <v>0</v>
      </c>
      <c r="KU418">
        <v>0</v>
      </c>
      <c r="KV418">
        <v>0</v>
      </c>
      <c r="KW418">
        <v>0</v>
      </c>
      <c r="KX418">
        <v>0</v>
      </c>
      <c r="KY418">
        <v>0</v>
      </c>
      <c r="KZ418">
        <v>0</v>
      </c>
      <c r="LA418">
        <v>0</v>
      </c>
      <c r="LB418">
        <v>0</v>
      </c>
      <c r="LC418">
        <v>0</v>
      </c>
      <c r="LD418">
        <v>0</v>
      </c>
      <c r="LE418">
        <v>0</v>
      </c>
      <c r="LF418">
        <v>0</v>
      </c>
      <c r="LG418">
        <v>0</v>
      </c>
      <c r="LH418">
        <v>0</v>
      </c>
      <c r="LI418">
        <v>0</v>
      </c>
      <c r="LJ418">
        <v>0</v>
      </c>
      <c r="LK418">
        <v>0</v>
      </c>
      <c r="LL418">
        <v>0</v>
      </c>
      <c r="LM418">
        <v>0</v>
      </c>
      <c r="LN418">
        <v>0</v>
      </c>
      <c r="LO418">
        <v>0</v>
      </c>
      <c r="LP418">
        <v>0</v>
      </c>
      <c r="LQ418">
        <v>0</v>
      </c>
      <c r="LR418">
        <v>0</v>
      </c>
      <c r="LS418">
        <v>0</v>
      </c>
      <c r="LT418">
        <v>0</v>
      </c>
      <c r="LU418">
        <v>0</v>
      </c>
      <c r="LV418">
        <v>0</v>
      </c>
      <c r="LW418">
        <v>0</v>
      </c>
      <c r="LX418">
        <v>0</v>
      </c>
      <c r="LY418">
        <v>0</v>
      </c>
      <c r="LZ418">
        <v>0</v>
      </c>
      <c r="MA418">
        <v>0</v>
      </c>
      <c r="MB418">
        <v>0</v>
      </c>
      <c r="MC418">
        <v>0</v>
      </c>
      <c r="MD418">
        <v>0</v>
      </c>
      <c r="ME418">
        <v>0</v>
      </c>
      <c r="MF418">
        <v>0</v>
      </c>
      <c r="MG418">
        <v>0</v>
      </c>
      <c r="MH418">
        <v>0</v>
      </c>
      <c r="MI418">
        <v>0</v>
      </c>
      <c r="MJ418">
        <v>0</v>
      </c>
      <c r="MK418">
        <v>0</v>
      </c>
      <c r="ML418">
        <v>0</v>
      </c>
      <c r="MM418">
        <v>0</v>
      </c>
      <c r="MN418">
        <v>0</v>
      </c>
      <c r="MO418">
        <v>0</v>
      </c>
      <c r="MP418">
        <v>0</v>
      </c>
      <c r="MQ418">
        <v>0</v>
      </c>
      <c r="MR418">
        <v>0</v>
      </c>
      <c r="MS418">
        <v>0</v>
      </c>
      <c r="MT418">
        <v>0</v>
      </c>
      <c r="MU418">
        <v>0</v>
      </c>
      <c r="MV418">
        <v>0</v>
      </c>
      <c r="MW418">
        <v>0</v>
      </c>
      <c r="MX418">
        <v>0</v>
      </c>
      <c r="MY418">
        <v>0</v>
      </c>
      <c r="MZ418">
        <v>0</v>
      </c>
      <c r="NA418">
        <v>0</v>
      </c>
      <c r="NB418">
        <v>0</v>
      </c>
      <c r="NC418">
        <v>0</v>
      </c>
      <c r="ND418">
        <v>0</v>
      </c>
      <c r="NE418">
        <v>0</v>
      </c>
    </row>
    <row r="419" spans="41:369" x14ac:dyDescent="0.45">
      <c r="AO419">
        <v>0</v>
      </c>
      <c r="AP419">
        <v>0</v>
      </c>
      <c r="AQ419">
        <v>0</v>
      </c>
      <c r="AR419">
        <v>0</v>
      </c>
      <c r="AS419">
        <v>0</v>
      </c>
      <c r="AT419">
        <v>0</v>
      </c>
      <c r="AU419">
        <v>0</v>
      </c>
      <c r="AV419">
        <v>0</v>
      </c>
      <c r="AW419" t="str">
        <v/>
      </c>
      <c r="AX419">
        <v>255</v>
      </c>
      <c r="AY419" s="5" t="str">
        <v/>
      </c>
      <c r="AZ419">
        <v>0</v>
      </c>
      <c r="BA419">
        <v>0</v>
      </c>
      <c r="BB419">
        <v>0</v>
      </c>
      <c r="BC419">
        <v>0</v>
      </c>
      <c r="BD419">
        <v>0</v>
      </c>
      <c r="BE419">
        <v>0</v>
      </c>
      <c r="BF419">
        <v>0</v>
      </c>
      <c r="BG419">
        <v>0</v>
      </c>
      <c r="BH419">
        <v>0</v>
      </c>
      <c r="BI419" t="str">
        <v/>
      </c>
      <c r="BK419">
        <v>413</v>
      </c>
      <c r="BL419">
        <v>0</v>
      </c>
      <c r="BM419">
        <v>0</v>
      </c>
      <c r="BN419">
        <v>0</v>
      </c>
      <c r="BO419">
        <v>0</v>
      </c>
      <c r="BP419">
        <v>0</v>
      </c>
      <c r="BQ419">
        <v>0</v>
      </c>
      <c r="BR419">
        <v>0</v>
      </c>
      <c r="BS419">
        <v>0</v>
      </c>
      <c r="BT419">
        <v>0</v>
      </c>
      <c r="BU419">
        <v>0</v>
      </c>
      <c r="BV419">
        <v>0</v>
      </c>
      <c r="BW419">
        <v>0</v>
      </c>
      <c r="BX419">
        <v>0</v>
      </c>
      <c r="BY419">
        <v>0</v>
      </c>
      <c r="BZ419">
        <v>0</v>
      </c>
      <c r="CA419">
        <v>0</v>
      </c>
      <c r="CB419">
        <v>0</v>
      </c>
      <c r="CC419">
        <v>0</v>
      </c>
      <c r="CD419">
        <v>0</v>
      </c>
      <c r="CE419">
        <v>0</v>
      </c>
      <c r="CF419">
        <v>0</v>
      </c>
      <c r="CG419">
        <v>0</v>
      </c>
      <c r="CH419">
        <v>0</v>
      </c>
      <c r="CI419">
        <v>0</v>
      </c>
      <c r="CJ419">
        <v>0</v>
      </c>
      <c r="CK419">
        <v>0</v>
      </c>
      <c r="CL419">
        <v>0</v>
      </c>
      <c r="CM419">
        <v>0</v>
      </c>
      <c r="CN419">
        <v>0</v>
      </c>
      <c r="CO419">
        <v>0</v>
      </c>
      <c r="CP419">
        <v>0</v>
      </c>
      <c r="CQ419">
        <v>0</v>
      </c>
      <c r="CR419">
        <v>0</v>
      </c>
      <c r="CS419">
        <v>0</v>
      </c>
      <c r="CT419">
        <v>0</v>
      </c>
      <c r="CU419">
        <v>0</v>
      </c>
      <c r="CV419">
        <v>0</v>
      </c>
      <c r="CW419">
        <v>0</v>
      </c>
      <c r="CX419">
        <v>0</v>
      </c>
      <c r="CY419">
        <v>0</v>
      </c>
      <c r="CZ419">
        <v>0</v>
      </c>
      <c r="DA419">
        <v>0</v>
      </c>
      <c r="DB419">
        <v>0</v>
      </c>
      <c r="DC419">
        <v>0</v>
      </c>
      <c r="DD419">
        <v>0</v>
      </c>
      <c r="DE419">
        <v>0</v>
      </c>
      <c r="DF419">
        <v>0</v>
      </c>
      <c r="DG419">
        <v>0</v>
      </c>
      <c r="DH419">
        <v>0</v>
      </c>
      <c r="DI419">
        <v>0</v>
      </c>
      <c r="DJ419">
        <v>0</v>
      </c>
      <c r="DK419">
        <v>0</v>
      </c>
      <c r="DL419">
        <v>0</v>
      </c>
      <c r="DM419">
        <v>0</v>
      </c>
      <c r="DN419">
        <v>0</v>
      </c>
      <c r="DO419">
        <v>0</v>
      </c>
      <c r="DP419">
        <v>0</v>
      </c>
      <c r="DQ419">
        <v>0</v>
      </c>
      <c r="DR419">
        <v>0</v>
      </c>
      <c r="DS419">
        <v>0</v>
      </c>
      <c r="DT419">
        <v>0</v>
      </c>
      <c r="DU419">
        <v>0</v>
      </c>
      <c r="DV419">
        <v>0</v>
      </c>
      <c r="DW419">
        <v>0</v>
      </c>
      <c r="DX419">
        <v>0</v>
      </c>
      <c r="DY419">
        <v>0</v>
      </c>
      <c r="DZ419">
        <v>0</v>
      </c>
      <c r="EA419">
        <v>0</v>
      </c>
      <c r="EB419">
        <v>0</v>
      </c>
      <c r="EC419">
        <v>0</v>
      </c>
      <c r="ED419">
        <v>0</v>
      </c>
      <c r="EE419">
        <v>0</v>
      </c>
      <c r="EF419">
        <v>0</v>
      </c>
      <c r="EG419">
        <v>0</v>
      </c>
      <c r="EH419">
        <v>0</v>
      </c>
      <c r="EI419">
        <v>0</v>
      </c>
      <c r="EJ419">
        <v>0</v>
      </c>
      <c r="EK419">
        <v>0</v>
      </c>
      <c r="EL419">
        <v>0</v>
      </c>
      <c r="EM419">
        <v>0</v>
      </c>
      <c r="EN419">
        <v>0</v>
      </c>
      <c r="EO419">
        <v>0</v>
      </c>
      <c r="EP419">
        <v>0</v>
      </c>
      <c r="EQ419">
        <v>0</v>
      </c>
      <c r="ER419">
        <v>0</v>
      </c>
      <c r="ES419">
        <v>0</v>
      </c>
      <c r="ET419">
        <v>0</v>
      </c>
      <c r="EU419">
        <v>0</v>
      </c>
      <c r="EV419">
        <v>0</v>
      </c>
      <c r="EW419">
        <v>0</v>
      </c>
      <c r="EX419">
        <v>0</v>
      </c>
      <c r="EY419">
        <v>0</v>
      </c>
      <c r="EZ419">
        <v>0</v>
      </c>
      <c r="FA419">
        <v>0</v>
      </c>
      <c r="FB419">
        <v>0</v>
      </c>
      <c r="FC419">
        <v>0</v>
      </c>
      <c r="FD419">
        <v>0</v>
      </c>
      <c r="FE419">
        <v>0</v>
      </c>
      <c r="FF419">
        <v>0</v>
      </c>
      <c r="FG419">
        <v>0</v>
      </c>
      <c r="FH419">
        <v>0</v>
      </c>
      <c r="FI419">
        <v>0</v>
      </c>
      <c r="FJ419">
        <v>0</v>
      </c>
      <c r="FK419">
        <v>0</v>
      </c>
      <c r="FL419">
        <v>0</v>
      </c>
      <c r="FM419">
        <v>0</v>
      </c>
      <c r="FN419">
        <v>0</v>
      </c>
      <c r="FO419">
        <v>0</v>
      </c>
      <c r="FP419">
        <v>0</v>
      </c>
      <c r="FQ419">
        <v>0</v>
      </c>
      <c r="FR419">
        <v>0</v>
      </c>
      <c r="FS419">
        <v>0</v>
      </c>
      <c r="FT419">
        <v>0</v>
      </c>
      <c r="FU419">
        <v>0</v>
      </c>
      <c r="FV419">
        <v>0</v>
      </c>
      <c r="FW419">
        <v>0</v>
      </c>
      <c r="FX419">
        <v>0</v>
      </c>
      <c r="FY419">
        <v>0</v>
      </c>
      <c r="FZ419">
        <v>0</v>
      </c>
      <c r="GA419">
        <v>0</v>
      </c>
      <c r="GB419">
        <v>0</v>
      </c>
      <c r="GC419">
        <v>0</v>
      </c>
      <c r="GD419">
        <v>0</v>
      </c>
      <c r="GE419">
        <v>0</v>
      </c>
      <c r="GF419">
        <v>0</v>
      </c>
      <c r="GG419">
        <v>0</v>
      </c>
      <c r="GH419">
        <v>0</v>
      </c>
      <c r="GI419">
        <v>0</v>
      </c>
      <c r="GJ419">
        <v>0</v>
      </c>
      <c r="GK419">
        <v>0</v>
      </c>
      <c r="GL419">
        <v>0</v>
      </c>
      <c r="GM419">
        <v>0</v>
      </c>
      <c r="GN419">
        <v>0</v>
      </c>
      <c r="GO419">
        <v>0</v>
      </c>
      <c r="GP419">
        <v>0</v>
      </c>
      <c r="GQ419">
        <v>0</v>
      </c>
      <c r="GR419">
        <v>0</v>
      </c>
      <c r="GS419">
        <v>0</v>
      </c>
      <c r="GT419">
        <v>0</v>
      </c>
      <c r="GU419">
        <v>0</v>
      </c>
      <c r="GV419">
        <v>0</v>
      </c>
      <c r="GW419">
        <v>0</v>
      </c>
      <c r="GX419">
        <v>0</v>
      </c>
      <c r="GY419">
        <v>0</v>
      </c>
      <c r="GZ419">
        <v>0</v>
      </c>
      <c r="HA419">
        <v>0</v>
      </c>
      <c r="HB419">
        <v>0</v>
      </c>
      <c r="HC419">
        <v>0</v>
      </c>
      <c r="HD419">
        <v>0</v>
      </c>
      <c r="HE419">
        <v>0</v>
      </c>
      <c r="HF419">
        <v>0</v>
      </c>
      <c r="HG419">
        <v>0</v>
      </c>
      <c r="HH419">
        <v>0</v>
      </c>
      <c r="HI419">
        <v>0</v>
      </c>
      <c r="HJ419">
        <v>0</v>
      </c>
      <c r="HK419">
        <v>0</v>
      </c>
      <c r="HL419">
        <v>0</v>
      </c>
      <c r="HM419">
        <v>0</v>
      </c>
      <c r="HN419">
        <v>0</v>
      </c>
      <c r="HO419">
        <v>0</v>
      </c>
      <c r="HP419">
        <v>0</v>
      </c>
      <c r="HQ419">
        <v>0</v>
      </c>
      <c r="HR419">
        <v>0</v>
      </c>
      <c r="HS419">
        <v>0</v>
      </c>
      <c r="HT419">
        <v>0</v>
      </c>
      <c r="HU419">
        <v>0</v>
      </c>
      <c r="HV419">
        <v>0</v>
      </c>
      <c r="HW419">
        <v>0</v>
      </c>
      <c r="HX419">
        <v>0</v>
      </c>
      <c r="HY419">
        <v>0</v>
      </c>
      <c r="HZ419">
        <v>0</v>
      </c>
      <c r="IA419">
        <v>0</v>
      </c>
      <c r="IB419">
        <v>0</v>
      </c>
      <c r="IC419">
        <v>0</v>
      </c>
      <c r="ID419">
        <v>0</v>
      </c>
      <c r="IE419">
        <v>0</v>
      </c>
      <c r="IF419">
        <v>0</v>
      </c>
      <c r="IG419">
        <v>0</v>
      </c>
      <c r="IH419">
        <v>0</v>
      </c>
      <c r="II419">
        <v>0</v>
      </c>
      <c r="IJ419">
        <v>0</v>
      </c>
      <c r="IK419">
        <v>0</v>
      </c>
      <c r="IL419">
        <v>0</v>
      </c>
      <c r="IM419">
        <v>0</v>
      </c>
      <c r="IN419">
        <v>0</v>
      </c>
      <c r="IO419">
        <v>0</v>
      </c>
      <c r="IP419">
        <v>0</v>
      </c>
      <c r="IQ419">
        <v>0</v>
      </c>
      <c r="IR419">
        <v>0</v>
      </c>
      <c r="IS419">
        <v>0</v>
      </c>
      <c r="IT419">
        <v>0</v>
      </c>
      <c r="IU419">
        <v>0</v>
      </c>
      <c r="IV419">
        <v>0</v>
      </c>
      <c r="IW419">
        <v>0</v>
      </c>
      <c r="IX419">
        <v>0</v>
      </c>
      <c r="IY419">
        <v>0</v>
      </c>
      <c r="IZ419">
        <v>0</v>
      </c>
      <c r="JA419">
        <v>0</v>
      </c>
      <c r="JB419">
        <v>0</v>
      </c>
      <c r="JC419">
        <v>0</v>
      </c>
      <c r="JD419">
        <v>0</v>
      </c>
      <c r="JE419">
        <v>0</v>
      </c>
      <c r="JF419">
        <v>0</v>
      </c>
      <c r="JG419">
        <v>0</v>
      </c>
      <c r="JH419">
        <v>0</v>
      </c>
      <c r="JI419">
        <v>0</v>
      </c>
      <c r="JJ419">
        <v>0</v>
      </c>
      <c r="JK419">
        <v>0</v>
      </c>
      <c r="JL419">
        <v>0</v>
      </c>
      <c r="JM419">
        <v>0</v>
      </c>
      <c r="JN419">
        <v>0</v>
      </c>
      <c r="JO419">
        <v>0</v>
      </c>
      <c r="JP419">
        <v>0</v>
      </c>
      <c r="JQ419">
        <v>0</v>
      </c>
      <c r="JR419">
        <v>0</v>
      </c>
      <c r="JS419">
        <v>0</v>
      </c>
      <c r="JT419">
        <v>0</v>
      </c>
      <c r="JU419">
        <v>0</v>
      </c>
      <c r="JV419">
        <v>0</v>
      </c>
      <c r="JW419">
        <v>0</v>
      </c>
      <c r="JX419">
        <v>0</v>
      </c>
      <c r="JY419">
        <v>0</v>
      </c>
      <c r="JZ419">
        <v>0</v>
      </c>
      <c r="KA419">
        <v>0</v>
      </c>
      <c r="KB419">
        <v>0</v>
      </c>
      <c r="KC419">
        <v>0</v>
      </c>
      <c r="KD419">
        <v>0</v>
      </c>
      <c r="KE419">
        <v>0</v>
      </c>
      <c r="KF419">
        <v>0</v>
      </c>
      <c r="KG419">
        <v>0</v>
      </c>
      <c r="KH419">
        <v>0</v>
      </c>
      <c r="KI419">
        <v>0</v>
      </c>
      <c r="KJ419">
        <v>0</v>
      </c>
      <c r="KK419">
        <v>0</v>
      </c>
      <c r="KL419">
        <v>0</v>
      </c>
      <c r="KM419">
        <v>0</v>
      </c>
      <c r="KN419">
        <v>0</v>
      </c>
      <c r="KO419">
        <v>0</v>
      </c>
      <c r="KP419">
        <v>0</v>
      </c>
      <c r="KQ419">
        <v>0</v>
      </c>
      <c r="KR419">
        <v>0</v>
      </c>
      <c r="KS419">
        <v>0</v>
      </c>
      <c r="KT419">
        <v>0</v>
      </c>
      <c r="KU419">
        <v>0</v>
      </c>
      <c r="KV419">
        <v>0</v>
      </c>
      <c r="KW419">
        <v>0</v>
      </c>
      <c r="KX419">
        <v>0</v>
      </c>
      <c r="KY419">
        <v>0</v>
      </c>
      <c r="KZ419">
        <v>0</v>
      </c>
      <c r="LA419">
        <v>0</v>
      </c>
      <c r="LB419">
        <v>0</v>
      </c>
      <c r="LC419">
        <v>0</v>
      </c>
      <c r="LD419">
        <v>0</v>
      </c>
      <c r="LE419">
        <v>0</v>
      </c>
      <c r="LF419">
        <v>0</v>
      </c>
      <c r="LG419">
        <v>0</v>
      </c>
      <c r="LH419">
        <v>0</v>
      </c>
      <c r="LI419">
        <v>0</v>
      </c>
      <c r="LJ419">
        <v>0</v>
      </c>
      <c r="LK419">
        <v>0</v>
      </c>
      <c r="LL419">
        <v>0</v>
      </c>
      <c r="LM419">
        <v>0</v>
      </c>
      <c r="LN419">
        <v>0</v>
      </c>
      <c r="LO419">
        <v>0</v>
      </c>
      <c r="LP419">
        <v>0</v>
      </c>
      <c r="LQ419">
        <v>0</v>
      </c>
      <c r="LR419">
        <v>0</v>
      </c>
      <c r="LS419">
        <v>0</v>
      </c>
      <c r="LT419">
        <v>0</v>
      </c>
      <c r="LU419">
        <v>0</v>
      </c>
      <c r="LV419">
        <v>0</v>
      </c>
      <c r="LW419">
        <v>0</v>
      </c>
      <c r="LX419">
        <v>0</v>
      </c>
      <c r="LY419">
        <v>0</v>
      </c>
      <c r="LZ419">
        <v>0</v>
      </c>
      <c r="MA419">
        <v>0</v>
      </c>
      <c r="MB419">
        <v>0</v>
      </c>
      <c r="MC419">
        <v>0</v>
      </c>
      <c r="MD419">
        <v>0</v>
      </c>
      <c r="ME419">
        <v>0</v>
      </c>
      <c r="MF419">
        <v>0</v>
      </c>
      <c r="MG419">
        <v>0</v>
      </c>
      <c r="MH419">
        <v>0</v>
      </c>
      <c r="MI419">
        <v>0</v>
      </c>
      <c r="MJ419">
        <v>0</v>
      </c>
      <c r="MK419">
        <v>0</v>
      </c>
      <c r="ML419">
        <v>0</v>
      </c>
      <c r="MM419">
        <v>0</v>
      </c>
      <c r="MN419">
        <v>0</v>
      </c>
      <c r="MO419">
        <v>0</v>
      </c>
      <c r="MP419">
        <v>0</v>
      </c>
      <c r="MQ419">
        <v>0</v>
      </c>
      <c r="MR419">
        <v>0</v>
      </c>
      <c r="MS419">
        <v>0</v>
      </c>
      <c r="MT419">
        <v>0</v>
      </c>
      <c r="MU419">
        <v>0</v>
      </c>
      <c r="MV419">
        <v>0</v>
      </c>
      <c r="MW419">
        <v>0</v>
      </c>
      <c r="MX419">
        <v>0</v>
      </c>
      <c r="MY419">
        <v>0</v>
      </c>
      <c r="MZ419">
        <v>0</v>
      </c>
      <c r="NA419">
        <v>0</v>
      </c>
      <c r="NB419">
        <v>0</v>
      </c>
      <c r="NC419">
        <v>0</v>
      </c>
      <c r="ND419">
        <v>0</v>
      </c>
      <c r="NE419">
        <v>0</v>
      </c>
    </row>
    <row r="420" spans="41:369" x14ac:dyDescent="0.45">
      <c r="AO420">
        <v>0</v>
      </c>
      <c r="AP420">
        <v>0</v>
      </c>
      <c r="AQ420">
        <v>0</v>
      </c>
      <c r="AR420">
        <v>0</v>
      </c>
      <c r="AS420">
        <v>0</v>
      </c>
      <c r="AT420">
        <v>0</v>
      </c>
      <c r="AU420">
        <v>0</v>
      </c>
      <c r="AV420">
        <v>0</v>
      </c>
      <c r="AW420" t="str">
        <v/>
      </c>
      <c r="AX420">
        <v>255</v>
      </c>
      <c r="AY420" s="5" t="str">
        <v/>
      </c>
      <c r="AZ420">
        <v>0</v>
      </c>
      <c r="BA420">
        <v>0</v>
      </c>
      <c r="BB420">
        <v>0</v>
      </c>
      <c r="BC420">
        <v>0</v>
      </c>
      <c r="BD420">
        <v>0</v>
      </c>
      <c r="BE420">
        <v>0</v>
      </c>
      <c r="BF420">
        <v>0</v>
      </c>
      <c r="BG420">
        <v>0</v>
      </c>
      <c r="BH420">
        <v>0</v>
      </c>
      <c r="BI420" t="str">
        <v/>
      </c>
      <c r="BK420">
        <v>414</v>
      </c>
      <c r="BL420">
        <v>0</v>
      </c>
      <c r="BM420">
        <v>0</v>
      </c>
      <c r="BN420">
        <v>0</v>
      </c>
      <c r="BO420">
        <v>0</v>
      </c>
      <c r="BP420">
        <v>0</v>
      </c>
      <c r="BQ420">
        <v>0</v>
      </c>
      <c r="BR420">
        <v>0</v>
      </c>
      <c r="BS420">
        <v>0</v>
      </c>
      <c r="BT420">
        <v>0</v>
      </c>
      <c r="BU420">
        <v>0</v>
      </c>
      <c r="BV420">
        <v>0</v>
      </c>
      <c r="BW420">
        <v>0</v>
      </c>
      <c r="BX420">
        <v>0</v>
      </c>
      <c r="BY420">
        <v>0</v>
      </c>
      <c r="BZ420">
        <v>0</v>
      </c>
      <c r="CA420">
        <v>0</v>
      </c>
      <c r="CB420">
        <v>0</v>
      </c>
      <c r="CC420">
        <v>0</v>
      </c>
      <c r="CD420">
        <v>0</v>
      </c>
      <c r="CE420">
        <v>0</v>
      </c>
      <c r="CF420">
        <v>0</v>
      </c>
      <c r="CG420">
        <v>0</v>
      </c>
      <c r="CH420">
        <v>0</v>
      </c>
      <c r="CI420">
        <v>0</v>
      </c>
      <c r="CJ420">
        <v>0</v>
      </c>
      <c r="CK420">
        <v>0</v>
      </c>
      <c r="CL420">
        <v>0</v>
      </c>
      <c r="CM420">
        <v>0</v>
      </c>
      <c r="CN420">
        <v>0</v>
      </c>
      <c r="CO420">
        <v>0</v>
      </c>
      <c r="CP420">
        <v>0</v>
      </c>
      <c r="CQ420">
        <v>0</v>
      </c>
      <c r="CR420">
        <v>0</v>
      </c>
      <c r="CS420">
        <v>0</v>
      </c>
      <c r="CT420">
        <v>0</v>
      </c>
      <c r="CU420">
        <v>0</v>
      </c>
      <c r="CV420">
        <v>0</v>
      </c>
      <c r="CW420">
        <v>0</v>
      </c>
      <c r="CX420">
        <v>0</v>
      </c>
      <c r="CY420">
        <v>0</v>
      </c>
      <c r="CZ420">
        <v>0</v>
      </c>
      <c r="DA420">
        <v>0</v>
      </c>
      <c r="DB420">
        <v>0</v>
      </c>
      <c r="DC420">
        <v>0</v>
      </c>
      <c r="DD420">
        <v>0</v>
      </c>
      <c r="DE420">
        <v>0</v>
      </c>
      <c r="DF420">
        <v>0</v>
      </c>
      <c r="DG420">
        <v>0</v>
      </c>
      <c r="DH420">
        <v>0</v>
      </c>
      <c r="DI420">
        <v>0</v>
      </c>
      <c r="DJ420">
        <v>0</v>
      </c>
      <c r="DK420">
        <v>0</v>
      </c>
      <c r="DL420">
        <v>0</v>
      </c>
      <c r="DM420">
        <v>0</v>
      </c>
      <c r="DN420">
        <v>0</v>
      </c>
      <c r="DO420">
        <v>0</v>
      </c>
      <c r="DP420">
        <v>0</v>
      </c>
      <c r="DQ420">
        <v>0</v>
      </c>
      <c r="DR420">
        <v>0</v>
      </c>
      <c r="DS420">
        <v>0</v>
      </c>
      <c r="DT420">
        <v>0</v>
      </c>
      <c r="DU420">
        <v>0</v>
      </c>
      <c r="DV420">
        <v>0</v>
      </c>
      <c r="DW420">
        <v>0</v>
      </c>
      <c r="DX420">
        <v>0</v>
      </c>
      <c r="DY420">
        <v>0</v>
      </c>
      <c r="DZ420">
        <v>0</v>
      </c>
      <c r="EA420">
        <v>0</v>
      </c>
      <c r="EB420">
        <v>0</v>
      </c>
      <c r="EC420">
        <v>0</v>
      </c>
      <c r="ED420">
        <v>0</v>
      </c>
      <c r="EE420">
        <v>0</v>
      </c>
      <c r="EF420">
        <v>0</v>
      </c>
      <c r="EG420">
        <v>0</v>
      </c>
      <c r="EH420">
        <v>0</v>
      </c>
      <c r="EI420">
        <v>0</v>
      </c>
      <c r="EJ420">
        <v>0</v>
      </c>
      <c r="EK420">
        <v>0</v>
      </c>
      <c r="EL420">
        <v>0</v>
      </c>
      <c r="EM420">
        <v>0</v>
      </c>
      <c r="EN420">
        <v>0</v>
      </c>
      <c r="EO420">
        <v>0</v>
      </c>
      <c r="EP420">
        <v>0</v>
      </c>
      <c r="EQ420">
        <v>0</v>
      </c>
      <c r="ER420">
        <v>0</v>
      </c>
      <c r="ES420">
        <v>0</v>
      </c>
      <c r="ET420">
        <v>0</v>
      </c>
      <c r="EU420">
        <v>0</v>
      </c>
      <c r="EV420">
        <v>0</v>
      </c>
      <c r="EW420">
        <v>0</v>
      </c>
      <c r="EX420">
        <v>0</v>
      </c>
      <c r="EY420">
        <v>0</v>
      </c>
      <c r="EZ420">
        <v>0</v>
      </c>
      <c r="FA420">
        <v>0</v>
      </c>
      <c r="FB420">
        <v>0</v>
      </c>
      <c r="FC420">
        <v>0</v>
      </c>
      <c r="FD420">
        <v>0</v>
      </c>
      <c r="FE420">
        <v>0</v>
      </c>
      <c r="FF420">
        <v>0</v>
      </c>
      <c r="FG420">
        <v>0</v>
      </c>
      <c r="FH420">
        <v>0</v>
      </c>
      <c r="FI420">
        <v>0</v>
      </c>
      <c r="FJ420">
        <v>0</v>
      </c>
      <c r="FK420">
        <v>0</v>
      </c>
      <c r="FL420">
        <v>0</v>
      </c>
      <c r="FM420">
        <v>0</v>
      </c>
      <c r="FN420">
        <v>0</v>
      </c>
      <c r="FO420">
        <v>0</v>
      </c>
      <c r="FP420">
        <v>0</v>
      </c>
      <c r="FQ420">
        <v>0</v>
      </c>
      <c r="FR420">
        <v>0</v>
      </c>
      <c r="FS420">
        <v>0</v>
      </c>
      <c r="FT420">
        <v>0</v>
      </c>
      <c r="FU420">
        <v>0</v>
      </c>
      <c r="FV420">
        <v>0</v>
      </c>
      <c r="FW420">
        <v>0</v>
      </c>
      <c r="FX420">
        <v>0</v>
      </c>
      <c r="FY420">
        <v>0</v>
      </c>
      <c r="FZ420">
        <v>0</v>
      </c>
      <c r="GA420">
        <v>0</v>
      </c>
      <c r="GB420">
        <v>0</v>
      </c>
      <c r="GC420">
        <v>0</v>
      </c>
      <c r="GD420">
        <v>0</v>
      </c>
      <c r="GE420">
        <v>0</v>
      </c>
      <c r="GF420">
        <v>0</v>
      </c>
      <c r="GG420">
        <v>0</v>
      </c>
      <c r="GH420">
        <v>0</v>
      </c>
      <c r="GI420">
        <v>0</v>
      </c>
      <c r="GJ420">
        <v>0</v>
      </c>
      <c r="GK420">
        <v>0</v>
      </c>
      <c r="GL420">
        <v>0</v>
      </c>
      <c r="GM420">
        <v>0</v>
      </c>
      <c r="GN420">
        <v>0</v>
      </c>
      <c r="GO420">
        <v>0</v>
      </c>
      <c r="GP420">
        <v>0</v>
      </c>
      <c r="GQ420">
        <v>0</v>
      </c>
      <c r="GR420">
        <v>0</v>
      </c>
      <c r="GS420">
        <v>0</v>
      </c>
      <c r="GT420">
        <v>0</v>
      </c>
      <c r="GU420">
        <v>0</v>
      </c>
      <c r="GV420">
        <v>0</v>
      </c>
      <c r="GW420">
        <v>0</v>
      </c>
      <c r="GX420">
        <v>0</v>
      </c>
      <c r="GY420">
        <v>0</v>
      </c>
      <c r="GZ420">
        <v>0</v>
      </c>
      <c r="HA420">
        <v>0</v>
      </c>
      <c r="HB420">
        <v>0</v>
      </c>
      <c r="HC420">
        <v>0</v>
      </c>
      <c r="HD420">
        <v>0</v>
      </c>
      <c r="HE420">
        <v>0</v>
      </c>
      <c r="HF420">
        <v>0</v>
      </c>
      <c r="HG420">
        <v>0</v>
      </c>
      <c r="HH420">
        <v>0</v>
      </c>
      <c r="HI420">
        <v>0</v>
      </c>
      <c r="HJ420">
        <v>0</v>
      </c>
      <c r="HK420">
        <v>0</v>
      </c>
      <c r="HL420">
        <v>0</v>
      </c>
      <c r="HM420">
        <v>0</v>
      </c>
      <c r="HN420">
        <v>0</v>
      </c>
      <c r="HO420">
        <v>0</v>
      </c>
      <c r="HP420">
        <v>0</v>
      </c>
      <c r="HQ420">
        <v>0</v>
      </c>
      <c r="HR420">
        <v>0</v>
      </c>
      <c r="HS420">
        <v>0</v>
      </c>
      <c r="HT420">
        <v>0</v>
      </c>
      <c r="HU420">
        <v>0</v>
      </c>
      <c r="HV420">
        <v>0</v>
      </c>
      <c r="HW420">
        <v>0</v>
      </c>
      <c r="HX420">
        <v>0</v>
      </c>
      <c r="HY420">
        <v>0</v>
      </c>
      <c r="HZ420">
        <v>0</v>
      </c>
      <c r="IA420">
        <v>0</v>
      </c>
      <c r="IB420">
        <v>0</v>
      </c>
      <c r="IC420">
        <v>0</v>
      </c>
      <c r="ID420">
        <v>0</v>
      </c>
      <c r="IE420">
        <v>0</v>
      </c>
      <c r="IF420">
        <v>0</v>
      </c>
      <c r="IG420">
        <v>0</v>
      </c>
      <c r="IH420">
        <v>0</v>
      </c>
      <c r="II420">
        <v>0</v>
      </c>
      <c r="IJ420">
        <v>0</v>
      </c>
      <c r="IK420">
        <v>0</v>
      </c>
      <c r="IL420">
        <v>0</v>
      </c>
      <c r="IM420">
        <v>0</v>
      </c>
      <c r="IN420">
        <v>0</v>
      </c>
      <c r="IO420">
        <v>0</v>
      </c>
      <c r="IP420">
        <v>0</v>
      </c>
      <c r="IQ420">
        <v>0</v>
      </c>
      <c r="IR420">
        <v>0</v>
      </c>
      <c r="IS420">
        <v>0</v>
      </c>
      <c r="IT420">
        <v>0</v>
      </c>
      <c r="IU420">
        <v>0</v>
      </c>
      <c r="IV420">
        <v>0</v>
      </c>
      <c r="IW420">
        <v>0</v>
      </c>
      <c r="IX420">
        <v>0</v>
      </c>
      <c r="IY420">
        <v>0</v>
      </c>
      <c r="IZ420">
        <v>0</v>
      </c>
      <c r="JA420">
        <v>0</v>
      </c>
      <c r="JB420">
        <v>0</v>
      </c>
      <c r="JC420">
        <v>0</v>
      </c>
      <c r="JD420">
        <v>0</v>
      </c>
      <c r="JE420">
        <v>0</v>
      </c>
      <c r="JF420">
        <v>0</v>
      </c>
      <c r="JG420">
        <v>0</v>
      </c>
      <c r="JH420">
        <v>0</v>
      </c>
      <c r="JI420">
        <v>0</v>
      </c>
      <c r="JJ420">
        <v>0</v>
      </c>
      <c r="JK420">
        <v>0</v>
      </c>
      <c r="JL420">
        <v>0</v>
      </c>
      <c r="JM420">
        <v>0</v>
      </c>
      <c r="JN420">
        <v>0</v>
      </c>
      <c r="JO420">
        <v>0</v>
      </c>
      <c r="JP420">
        <v>0</v>
      </c>
      <c r="JQ420">
        <v>0</v>
      </c>
      <c r="JR420">
        <v>0</v>
      </c>
      <c r="JS420">
        <v>0</v>
      </c>
      <c r="JT420">
        <v>0</v>
      </c>
      <c r="JU420">
        <v>0</v>
      </c>
      <c r="JV420">
        <v>0</v>
      </c>
      <c r="JW420">
        <v>0</v>
      </c>
      <c r="JX420">
        <v>0</v>
      </c>
      <c r="JY420">
        <v>0</v>
      </c>
      <c r="JZ420">
        <v>0</v>
      </c>
      <c r="KA420">
        <v>0</v>
      </c>
      <c r="KB420">
        <v>0</v>
      </c>
      <c r="KC420">
        <v>0</v>
      </c>
      <c r="KD420">
        <v>0</v>
      </c>
      <c r="KE420">
        <v>0</v>
      </c>
      <c r="KF420">
        <v>0</v>
      </c>
      <c r="KG420">
        <v>0</v>
      </c>
      <c r="KH420">
        <v>0</v>
      </c>
      <c r="KI420">
        <v>0</v>
      </c>
      <c r="KJ420">
        <v>0</v>
      </c>
      <c r="KK420">
        <v>0</v>
      </c>
      <c r="KL420">
        <v>0</v>
      </c>
      <c r="KM420">
        <v>0</v>
      </c>
      <c r="KN420">
        <v>0</v>
      </c>
      <c r="KO420">
        <v>0</v>
      </c>
      <c r="KP420">
        <v>0</v>
      </c>
      <c r="KQ420">
        <v>0</v>
      </c>
      <c r="KR420">
        <v>0</v>
      </c>
      <c r="KS420">
        <v>0</v>
      </c>
      <c r="KT420">
        <v>0</v>
      </c>
      <c r="KU420">
        <v>0</v>
      </c>
      <c r="KV420">
        <v>0</v>
      </c>
      <c r="KW420">
        <v>0</v>
      </c>
      <c r="KX420">
        <v>0</v>
      </c>
      <c r="KY420">
        <v>0</v>
      </c>
      <c r="KZ420">
        <v>0</v>
      </c>
      <c r="LA420">
        <v>0</v>
      </c>
      <c r="LB420">
        <v>0</v>
      </c>
      <c r="LC420">
        <v>0</v>
      </c>
      <c r="LD420">
        <v>0</v>
      </c>
      <c r="LE420">
        <v>0</v>
      </c>
      <c r="LF420">
        <v>0</v>
      </c>
      <c r="LG420">
        <v>0</v>
      </c>
      <c r="LH420">
        <v>0</v>
      </c>
      <c r="LI420">
        <v>0</v>
      </c>
      <c r="LJ420">
        <v>0</v>
      </c>
      <c r="LK420">
        <v>0</v>
      </c>
      <c r="LL420">
        <v>0</v>
      </c>
      <c r="LM420">
        <v>0</v>
      </c>
      <c r="LN420">
        <v>0</v>
      </c>
      <c r="LO420">
        <v>0</v>
      </c>
      <c r="LP420">
        <v>0</v>
      </c>
      <c r="LQ420">
        <v>0</v>
      </c>
      <c r="LR420">
        <v>0</v>
      </c>
      <c r="LS420">
        <v>0</v>
      </c>
      <c r="LT420">
        <v>0</v>
      </c>
      <c r="LU420">
        <v>0</v>
      </c>
      <c r="LV420">
        <v>0</v>
      </c>
      <c r="LW420">
        <v>0</v>
      </c>
      <c r="LX420">
        <v>0</v>
      </c>
      <c r="LY420">
        <v>0</v>
      </c>
      <c r="LZ420">
        <v>0</v>
      </c>
      <c r="MA420">
        <v>0</v>
      </c>
      <c r="MB420">
        <v>0</v>
      </c>
      <c r="MC420">
        <v>0</v>
      </c>
      <c r="MD420">
        <v>0</v>
      </c>
      <c r="ME420">
        <v>0</v>
      </c>
      <c r="MF420">
        <v>0</v>
      </c>
      <c r="MG420">
        <v>0</v>
      </c>
      <c r="MH420">
        <v>0</v>
      </c>
      <c r="MI420">
        <v>0</v>
      </c>
      <c r="MJ420">
        <v>0</v>
      </c>
      <c r="MK420">
        <v>0</v>
      </c>
      <c r="ML420">
        <v>0</v>
      </c>
      <c r="MM420">
        <v>0</v>
      </c>
      <c r="MN420">
        <v>0</v>
      </c>
      <c r="MO420">
        <v>0</v>
      </c>
      <c r="MP420">
        <v>0</v>
      </c>
      <c r="MQ420">
        <v>0</v>
      </c>
      <c r="MR420">
        <v>0</v>
      </c>
      <c r="MS420">
        <v>0</v>
      </c>
      <c r="MT420">
        <v>0</v>
      </c>
      <c r="MU420">
        <v>0</v>
      </c>
      <c r="MV420">
        <v>0</v>
      </c>
      <c r="MW420">
        <v>0</v>
      </c>
      <c r="MX420">
        <v>0</v>
      </c>
      <c r="MY420">
        <v>0</v>
      </c>
      <c r="MZ420">
        <v>0</v>
      </c>
      <c r="NA420">
        <v>0</v>
      </c>
      <c r="NB420">
        <v>0</v>
      </c>
      <c r="NC420">
        <v>0</v>
      </c>
      <c r="ND420">
        <v>0</v>
      </c>
      <c r="NE420">
        <v>0</v>
      </c>
    </row>
    <row r="421" spans="41:369" x14ac:dyDescent="0.45">
      <c r="AO421">
        <v>0</v>
      </c>
      <c r="AP421">
        <v>0</v>
      </c>
      <c r="AQ421">
        <v>0</v>
      </c>
      <c r="AR421">
        <v>0</v>
      </c>
      <c r="AS421">
        <v>0</v>
      </c>
      <c r="AT421">
        <v>0</v>
      </c>
      <c r="AU421">
        <v>0</v>
      </c>
      <c r="AV421">
        <v>0</v>
      </c>
      <c r="AW421" t="str">
        <v/>
      </c>
      <c r="AX421">
        <v>255</v>
      </c>
      <c r="AY421" s="5" t="str">
        <v/>
      </c>
      <c r="AZ421">
        <v>0</v>
      </c>
      <c r="BA421">
        <v>0</v>
      </c>
      <c r="BB421">
        <v>0</v>
      </c>
      <c r="BC421">
        <v>0</v>
      </c>
      <c r="BD421">
        <v>0</v>
      </c>
      <c r="BE421">
        <v>0</v>
      </c>
      <c r="BF421">
        <v>0</v>
      </c>
      <c r="BG421">
        <v>0</v>
      </c>
      <c r="BH421">
        <v>0</v>
      </c>
      <c r="BI421" t="str">
        <v/>
      </c>
      <c r="BK421">
        <v>415</v>
      </c>
      <c r="BL421">
        <v>0</v>
      </c>
      <c r="BM421">
        <v>0</v>
      </c>
      <c r="BN421">
        <v>0</v>
      </c>
      <c r="BO421">
        <v>0</v>
      </c>
      <c r="BP421">
        <v>0</v>
      </c>
      <c r="BQ421">
        <v>0</v>
      </c>
      <c r="BR421">
        <v>0</v>
      </c>
      <c r="BS421">
        <v>0</v>
      </c>
      <c r="BT421">
        <v>0</v>
      </c>
      <c r="BU421">
        <v>0</v>
      </c>
      <c r="BV421">
        <v>0</v>
      </c>
      <c r="BW421">
        <v>0</v>
      </c>
      <c r="BX421">
        <v>0</v>
      </c>
      <c r="BY421">
        <v>0</v>
      </c>
      <c r="BZ421">
        <v>0</v>
      </c>
      <c r="CA421">
        <v>0</v>
      </c>
      <c r="CB421">
        <v>0</v>
      </c>
      <c r="CC421">
        <v>0</v>
      </c>
      <c r="CD421">
        <v>0</v>
      </c>
      <c r="CE421">
        <v>0</v>
      </c>
      <c r="CF421">
        <v>0</v>
      </c>
      <c r="CG421">
        <v>0</v>
      </c>
      <c r="CH421">
        <v>0</v>
      </c>
      <c r="CI421">
        <v>0</v>
      </c>
      <c r="CJ421">
        <v>0</v>
      </c>
      <c r="CK421">
        <v>0</v>
      </c>
      <c r="CL421">
        <v>0</v>
      </c>
      <c r="CM421">
        <v>0</v>
      </c>
      <c r="CN421">
        <v>0</v>
      </c>
      <c r="CO421">
        <v>0</v>
      </c>
      <c r="CP421">
        <v>0</v>
      </c>
      <c r="CQ421">
        <v>0</v>
      </c>
      <c r="CR421">
        <v>0</v>
      </c>
      <c r="CS421">
        <v>0</v>
      </c>
      <c r="CT421">
        <v>0</v>
      </c>
      <c r="CU421">
        <v>0</v>
      </c>
      <c r="CV421">
        <v>0</v>
      </c>
      <c r="CW421">
        <v>0</v>
      </c>
      <c r="CX421">
        <v>0</v>
      </c>
      <c r="CY421">
        <v>0</v>
      </c>
      <c r="CZ421">
        <v>0</v>
      </c>
      <c r="DA421">
        <v>0</v>
      </c>
      <c r="DB421">
        <v>0</v>
      </c>
      <c r="DC421">
        <v>0</v>
      </c>
      <c r="DD421">
        <v>0</v>
      </c>
      <c r="DE421">
        <v>0</v>
      </c>
      <c r="DF421">
        <v>0</v>
      </c>
      <c r="DG421">
        <v>0</v>
      </c>
      <c r="DH421">
        <v>0</v>
      </c>
      <c r="DI421">
        <v>0</v>
      </c>
      <c r="DJ421">
        <v>0</v>
      </c>
      <c r="DK421">
        <v>0</v>
      </c>
      <c r="DL421">
        <v>0</v>
      </c>
      <c r="DM421">
        <v>0</v>
      </c>
      <c r="DN421">
        <v>0</v>
      </c>
      <c r="DO421">
        <v>0</v>
      </c>
      <c r="DP421">
        <v>0</v>
      </c>
      <c r="DQ421">
        <v>0</v>
      </c>
      <c r="DR421">
        <v>0</v>
      </c>
      <c r="DS421">
        <v>0</v>
      </c>
      <c r="DT421">
        <v>0</v>
      </c>
      <c r="DU421">
        <v>0</v>
      </c>
      <c r="DV421">
        <v>0</v>
      </c>
      <c r="DW421">
        <v>0</v>
      </c>
      <c r="DX421">
        <v>0</v>
      </c>
      <c r="DY421">
        <v>0</v>
      </c>
      <c r="DZ421">
        <v>0</v>
      </c>
      <c r="EA421">
        <v>0</v>
      </c>
      <c r="EB421">
        <v>0</v>
      </c>
      <c r="EC421">
        <v>0</v>
      </c>
      <c r="ED421">
        <v>0</v>
      </c>
      <c r="EE421">
        <v>0</v>
      </c>
      <c r="EF421">
        <v>0</v>
      </c>
      <c r="EG421">
        <v>0</v>
      </c>
      <c r="EH421">
        <v>0</v>
      </c>
      <c r="EI421">
        <v>0</v>
      </c>
      <c r="EJ421">
        <v>0</v>
      </c>
      <c r="EK421">
        <v>0</v>
      </c>
      <c r="EL421">
        <v>0</v>
      </c>
      <c r="EM421">
        <v>0</v>
      </c>
      <c r="EN421">
        <v>0</v>
      </c>
      <c r="EO421">
        <v>0</v>
      </c>
      <c r="EP421">
        <v>0</v>
      </c>
      <c r="EQ421">
        <v>0</v>
      </c>
      <c r="ER421">
        <v>0</v>
      </c>
      <c r="ES421">
        <v>0</v>
      </c>
      <c r="ET421">
        <v>0</v>
      </c>
      <c r="EU421">
        <v>0</v>
      </c>
      <c r="EV421">
        <v>0</v>
      </c>
      <c r="EW421">
        <v>0</v>
      </c>
      <c r="EX421">
        <v>0</v>
      </c>
      <c r="EY421">
        <v>0</v>
      </c>
      <c r="EZ421">
        <v>0</v>
      </c>
      <c r="FA421">
        <v>0</v>
      </c>
      <c r="FB421">
        <v>0</v>
      </c>
      <c r="FC421">
        <v>0</v>
      </c>
      <c r="FD421">
        <v>0</v>
      </c>
      <c r="FE421">
        <v>0</v>
      </c>
      <c r="FF421">
        <v>0</v>
      </c>
      <c r="FG421">
        <v>0</v>
      </c>
      <c r="FH421">
        <v>0</v>
      </c>
      <c r="FI421">
        <v>0</v>
      </c>
      <c r="FJ421">
        <v>0</v>
      </c>
      <c r="FK421">
        <v>0</v>
      </c>
      <c r="FL421">
        <v>0</v>
      </c>
      <c r="FM421">
        <v>0</v>
      </c>
      <c r="FN421">
        <v>0</v>
      </c>
      <c r="FO421">
        <v>0</v>
      </c>
      <c r="FP421">
        <v>0</v>
      </c>
      <c r="FQ421">
        <v>0</v>
      </c>
      <c r="FR421">
        <v>0</v>
      </c>
      <c r="FS421">
        <v>0</v>
      </c>
      <c r="FT421">
        <v>0</v>
      </c>
      <c r="FU421">
        <v>0</v>
      </c>
      <c r="FV421">
        <v>0</v>
      </c>
      <c r="FW421">
        <v>0</v>
      </c>
      <c r="FX421">
        <v>0</v>
      </c>
      <c r="FY421">
        <v>0</v>
      </c>
      <c r="FZ421">
        <v>0</v>
      </c>
      <c r="GA421">
        <v>0</v>
      </c>
      <c r="GB421">
        <v>0</v>
      </c>
      <c r="GC421">
        <v>0</v>
      </c>
      <c r="GD421">
        <v>0</v>
      </c>
      <c r="GE421">
        <v>0</v>
      </c>
      <c r="GF421">
        <v>0</v>
      </c>
      <c r="GG421">
        <v>0</v>
      </c>
      <c r="GH421">
        <v>0</v>
      </c>
      <c r="GI421">
        <v>0</v>
      </c>
      <c r="GJ421">
        <v>0</v>
      </c>
      <c r="GK421">
        <v>0</v>
      </c>
      <c r="GL421">
        <v>0</v>
      </c>
      <c r="GM421">
        <v>0</v>
      </c>
      <c r="GN421">
        <v>0</v>
      </c>
      <c r="GO421">
        <v>0</v>
      </c>
      <c r="GP421">
        <v>0</v>
      </c>
      <c r="GQ421">
        <v>0</v>
      </c>
      <c r="GR421">
        <v>0</v>
      </c>
      <c r="GS421">
        <v>0</v>
      </c>
      <c r="GT421">
        <v>0</v>
      </c>
      <c r="GU421">
        <v>0</v>
      </c>
      <c r="GV421">
        <v>0</v>
      </c>
      <c r="GW421">
        <v>0</v>
      </c>
      <c r="GX421">
        <v>0</v>
      </c>
      <c r="GY421">
        <v>0</v>
      </c>
      <c r="GZ421">
        <v>0</v>
      </c>
      <c r="HA421">
        <v>0</v>
      </c>
      <c r="HB421">
        <v>0</v>
      </c>
      <c r="HC421">
        <v>0</v>
      </c>
      <c r="HD421">
        <v>0</v>
      </c>
      <c r="HE421">
        <v>0</v>
      </c>
      <c r="HF421">
        <v>0</v>
      </c>
      <c r="HG421">
        <v>0</v>
      </c>
      <c r="HH421">
        <v>0</v>
      </c>
      <c r="HI421">
        <v>0</v>
      </c>
      <c r="HJ421">
        <v>0</v>
      </c>
      <c r="HK421">
        <v>0</v>
      </c>
      <c r="HL421">
        <v>0</v>
      </c>
      <c r="HM421">
        <v>0</v>
      </c>
      <c r="HN421">
        <v>0</v>
      </c>
      <c r="HO421">
        <v>0</v>
      </c>
      <c r="HP421">
        <v>0</v>
      </c>
      <c r="HQ421">
        <v>0</v>
      </c>
      <c r="HR421">
        <v>0</v>
      </c>
      <c r="HS421">
        <v>0</v>
      </c>
      <c r="HT421">
        <v>0</v>
      </c>
      <c r="HU421">
        <v>0</v>
      </c>
      <c r="HV421">
        <v>0</v>
      </c>
      <c r="HW421">
        <v>0</v>
      </c>
      <c r="HX421">
        <v>0</v>
      </c>
      <c r="HY421">
        <v>0</v>
      </c>
      <c r="HZ421">
        <v>0</v>
      </c>
      <c r="IA421">
        <v>0</v>
      </c>
      <c r="IB421">
        <v>0</v>
      </c>
      <c r="IC421">
        <v>0</v>
      </c>
      <c r="ID421">
        <v>0</v>
      </c>
      <c r="IE421">
        <v>0</v>
      </c>
      <c r="IF421">
        <v>0</v>
      </c>
      <c r="IG421">
        <v>0</v>
      </c>
      <c r="IH421">
        <v>0</v>
      </c>
      <c r="II421">
        <v>0</v>
      </c>
      <c r="IJ421">
        <v>0</v>
      </c>
      <c r="IK421">
        <v>0</v>
      </c>
      <c r="IL421">
        <v>0</v>
      </c>
      <c r="IM421">
        <v>0</v>
      </c>
      <c r="IN421">
        <v>0</v>
      </c>
      <c r="IO421">
        <v>0</v>
      </c>
      <c r="IP421">
        <v>0</v>
      </c>
      <c r="IQ421">
        <v>0</v>
      </c>
      <c r="IR421">
        <v>0</v>
      </c>
      <c r="IS421">
        <v>0</v>
      </c>
      <c r="IT421">
        <v>0</v>
      </c>
      <c r="IU421">
        <v>0</v>
      </c>
      <c r="IV421">
        <v>0</v>
      </c>
      <c r="IW421">
        <v>0</v>
      </c>
      <c r="IX421">
        <v>0</v>
      </c>
      <c r="IY421">
        <v>0</v>
      </c>
      <c r="IZ421">
        <v>0</v>
      </c>
      <c r="JA421">
        <v>0</v>
      </c>
      <c r="JB421">
        <v>0</v>
      </c>
      <c r="JC421">
        <v>0</v>
      </c>
      <c r="JD421">
        <v>0</v>
      </c>
      <c r="JE421">
        <v>0</v>
      </c>
      <c r="JF421">
        <v>0</v>
      </c>
      <c r="JG421">
        <v>0</v>
      </c>
      <c r="JH421">
        <v>0</v>
      </c>
      <c r="JI421">
        <v>0</v>
      </c>
      <c r="JJ421">
        <v>0</v>
      </c>
      <c r="JK421">
        <v>0</v>
      </c>
      <c r="JL421">
        <v>0</v>
      </c>
      <c r="JM421">
        <v>0</v>
      </c>
      <c r="JN421">
        <v>0</v>
      </c>
      <c r="JO421">
        <v>0</v>
      </c>
      <c r="JP421">
        <v>0</v>
      </c>
      <c r="JQ421">
        <v>0</v>
      </c>
      <c r="JR421">
        <v>0</v>
      </c>
      <c r="JS421">
        <v>0</v>
      </c>
      <c r="JT421">
        <v>0</v>
      </c>
      <c r="JU421">
        <v>0</v>
      </c>
      <c r="JV421">
        <v>0</v>
      </c>
      <c r="JW421">
        <v>0</v>
      </c>
      <c r="JX421">
        <v>0</v>
      </c>
      <c r="JY421">
        <v>0</v>
      </c>
      <c r="JZ421">
        <v>0</v>
      </c>
      <c r="KA421">
        <v>0</v>
      </c>
      <c r="KB421">
        <v>0</v>
      </c>
      <c r="KC421">
        <v>0</v>
      </c>
      <c r="KD421">
        <v>0</v>
      </c>
      <c r="KE421">
        <v>0</v>
      </c>
      <c r="KF421">
        <v>0</v>
      </c>
      <c r="KG421">
        <v>0</v>
      </c>
      <c r="KH421">
        <v>0</v>
      </c>
      <c r="KI421">
        <v>0</v>
      </c>
      <c r="KJ421">
        <v>0</v>
      </c>
      <c r="KK421">
        <v>0</v>
      </c>
      <c r="KL421">
        <v>0</v>
      </c>
      <c r="KM421">
        <v>0</v>
      </c>
      <c r="KN421">
        <v>0</v>
      </c>
      <c r="KO421">
        <v>0</v>
      </c>
      <c r="KP421">
        <v>0</v>
      </c>
      <c r="KQ421">
        <v>0</v>
      </c>
      <c r="KR421">
        <v>0</v>
      </c>
      <c r="KS421">
        <v>0</v>
      </c>
      <c r="KT421">
        <v>0</v>
      </c>
      <c r="KU421">
        <v>0</v>
      </c>
      <c r="KV421">
        <v>0</v>
      </c>
      <c r="KW421">
        <v>0</v>
      </c>
      <c r="KX421">
        <v>0</v>
      </c>
      <c r="KY421">
        <v>0</v>
      </c>
      <c r="KZ421">
        <v>0</v>
      </c>
      <c r="LA421">
        <v>0</v>
      </c>
      <c r="LB421">
        <v>0</v>
      </c>
      <c r="LC421">
        <v>0</v>
      </c>
      <c r="LD421">
        <v>0</v>
      </c>
      <c r="LE421">
        <v>0</v>
      </c>
      <c r="LF421">
        <v>0</v>
      </c>
      <c r="LG421">
        <v>0</v>
      </c>
      <c r="LH421">
        <v>0</v>
      </c>
      <c r="LI421">
        <v>0</v>
      </c>
      <c r="LJ421">
        <v>0</v>
      </c>
      <c r="LK421">
        <v>0</v>
      </c>
      <c r="LL421">
        <v>0</v>
      </c>
      <c r="LM421">
        <v>0</v>
      </c>
      <c r="LN421">
        <v>0</v>
      </c>
      <c r="LO421">
        <v>0</v>
      </c>
      <c r="LP421">
        <v>0</v>
      </c>
      <c r="LQ421">
        <v>0</v>
      </c>
      <c r="LR421">
        <v>0</v>
      </c>
      <c r="LS421">
        <v>0</v>
      </c>
      <c r="LT421">
        <v>0</v>
      </c>
      <c r="LU421">
        <v>0</v>
      </c>
      <c r="LV421">
        <v>0</v>
      </c>
      <c r="LW421">
        <v>0</v>
      </c>
      <c r="LX421">
        <v>0</v>
      </c>
      <c r="LY421">
        <v>0</v>
      </c>
      <c r="LZ421">
        <v>0</v>
      </c>
      <c r="MA421">
        <v>0</v>
      </c>
      <c r="MB421">
        <v>0</v>
      </c>
      <c r="MC421">
        <v>0</v>
      </c>
      <c r="MD421">
        <v>0</v>
      </c>
      <c r="ME421">
        <v>0</v>
      </c>
      <c r="MF421">
        <v>0</v>
      </c>
      <c r="MG421">
        <v>0</v>
      </c>
      <c r="MH421">
        <v>0</v>
      </c>
      <c r="MI421">
        <v>0</v>
      </c>
      <c r="MJ421">
        <v>0</v>
      </c>
      <c r="MK421">
        <v>0</v>
      </c>
      <c r="ML421">
        <v>0</v>
      </c>
      <c r="MM421">
        <v>0</v>
      </c>
      <c r="MN421">
        <v>0</v>
      </c>
      <c r="MO421">
        <v>0</v>
      </c>
      <c r="MP421">
        <v>0</v>
      </c>
      <c r="MQ421">
        <v>0</v>
      </c>
      <c r="MR421">
        <v>0</v>
      </c>
      <c r="MS421">
        <v>0</v>
      </c>
      <c r="MT421">
        <v>0</v>
      </c>
      <c r="MU421">
        <v>0</v>
      </c>
      <c r="MV421">
        <v>0</v>
      </c>
      <c r="MW421">
        <v>0</v>
      </c>
      <c r="MX421">
        <v>0</v>
      </c>
      <c r="MY421">
        <v>0</v>
      </c>
      <c r="MZ421">
        <v>0</v>
      </c>
      <c r="NA421">
        <v>0</v>
      </c>
      <c r="NB421">
        <v>0</v>
      </c>
      <c r="NC421">
        <v>0</v>
      </c>
      <c r="ND421">
        <v>0</v>
      </c>
      <c r="NE421">
        <v>0</v>
      </c>
    </row>
    <row r="422" spans="41:369" x14ac:dyDescent="0.45">
      <c r="AO422">
        <v>0</v>
      </c>
      <c r="AP422">
        <v>0</v>
      </c>
      <c r="AQ422">
        <v>0</v>
      </c>
      <c r="AR422">
        <v>0</v>
      </c>
      <c r="AS422">
        <v>0</v>
      </c>
      <c r="AT422">
        <v>0</v>
      </c>
      <c r="AU422">
        <v>0</v>
      </c>
      <c r="AV422">
        <v>0</v>
      </c>
      <c r="AW422" t="str">
        <v/>
      </c>
      <c r="AX422">
        <v>255</v>
      </c>
      <c r="AY422" s="5" t="str">
        <v/>
      </c>
      <c r="AZ422">
        <v>0</v>
      </c>
      <c r="BA422">
        <v>0</v>
      </c>
      <c r="BB422">
        <v>0</v>
      </c>
      <c r="BC422">
        <v>0</v>
      </c>
      <c r="BD422">
        <v>0</v>
      </c>
      <c r="BE422">
        <v>0</v>
      </c>
      <c r="BF422">
        <v>0</v>
      </c>
      <c r="BG422">
        <v>0</v>
      </c>
      <c r="BH422">
        <v>0</v>
      </c>
      <c r="BI422" t="str">
        <v/>
      </c>
      <c r="BK422">
        <v>416</v>
      </c>
      <c r="BL422">
        <v>0</v>
      </c>
      <c r="BM422">
        <v>0</v>
      </c>
      <c r="BN422">
        <v>0</v>
      </c>
      <c r="BO422">
        <v>0</v>
      </c>
      <c r="BP422">
        <v>0</v>
      </c>
      <c r="BQ422">
        <v>0</v>
      </c>
      <c r="BR422">
        <v>0</v>
      </c>
      <c r="BS422">
        <v>0</v>
      </c>
      <c r="BT422">
        <v>0</v>
      </c>
      <c r="BU422">
        <v>0</v>
      </c>
      <c r="BV422">
        <v>0</v>
      </c>
      <c r="BW422">
        <v>0</v>
      </c>
      <c r="BX422">
        <v>0</v>
      </c>
      <c r="BY422">
        <v>0</v>
      </c>
      <c r="BZ422">
        <v>0</v>
      </c>
      <c r="CA422">
        <v>0</v>
      </c>
      <c r="CB422">
        <v>0</v>
      </c>
      <c r="CC422">
        <v>0</v>
      </c>
      <c r="CD422">
        <v>0</v>
      </c>
      <c r="CE422">
        <v>0</v>
      </c>
      <c r="CF422">
        <v>0</v>
      </c>
      <c r="CG422">
        <v>0</v>
      </c>
      <c r="CH422">
        <v>0</v>
      </c>
      <c r="CI422">
        <v>0</v>
      </c>
      <c r="CJ422">
        <v>0</v>
      </c>
      <c r="CK422">
        <v>0</v>
      </c>
      <c r="CL422">
        <v>0</v>
      </c>
      <c r="CM422">
        <v>0</v>
      </c>
      <c r="CN422">
        <v>0</v>
      </c>
      <c r="CO422">
        <v>0</v>
      </c>
      <c r="CP422">
        <v>0</v>
      </c>
      <c r="CQ422">
        <v>0</v>
      </c>
      <c r="CR422">
        <v>0</v>
      </c>
      <c r="CS422">
        <v>0</v>
      </c>
      <c r="CT422">
        <v>0</v>
      </c>
      <c r="CU422">
        <v>0</v>
      </c>
      <c r="CV422">
        <v>0</v>
      </c>
      <c r="CW422">
        <v>0</v>
      </c>
      <c r="CX422">
        <v>0</v>
      </c>
      <c r="CY422">
        <v>0</v>
      </c>
      <c r="CZ422">
        <v>0</v>
      </c>
      <c r="DA422">
        <v>0</v>
      </c>
      <c r="DB422">
        <v>0</v>
      </c>
      <c r="DC422">
        <v>0</v>
      </c>
      <c r="DD422">
        <v>0</v>
      </c>
      <c r="DE422">
        <v>0</v>
      </c>
      <c r="DF422">
        <v>0</v>
      </c>
      <c r="DG422">
        <v>0</v>
      </c>
      <c r="DH422">
        <v>0</v>
      </c>
      <c r="DI422">
        <v>0</v>
      </c>
      <c r="DJ422">
        <v>0</v>
      </c>
      <c r="DK422">
        <v>0</v>
      </c>
      <c r="DL422">
        <v>0</v>
      </c>
      <c r="DM422">
        <v>0</v>
      </c>
      <c r="DN422">
        <v>0</v>
      </c>
      <c r="DO422">
        <v>0</v>
      </c>
      <c r="DP422">
        <v>0</v>
      </c>
      <c r="DQ422">
        <v>0</v>
      </c>
      <c r="DR422">
        <v>0</v>
      </c>
      <c r="DS422">
        <v>0</v>
      </c>
      <c r="DT422">
        <v>0</v>
      </c>
      <c r="DU422">
        <v>0</v>
      </c>
      <c r="DV422">
        <v>0</v>
      </c>
      <c r="DW422">
        <v>0</v>
      </c>
      <c r="DX422">
        <v>0</v>
      </c>
      <c r="DY422">
        <v>0</v>
      </c>
      <c r="DZ422">
        <v>0</v>
      </c>
      <c r="EA422">
        <v>0</v>
      </c>
      <c r="EB422">
        <v>0</v>
      </c>
      <c r="EC422">
        <v>0</v>
      </c>
      <c r="ED422">
        <v>0</v>
      </c>
      <c r="EE422">
        <v>0</v>
      </c>
      <c r="EF422">
        <v>0</v>
      </c>
      <c r="EG422">
        <v>0</v>
      </c>
      <c r="EH422">
        <v>0</v>
      </c>
      <c r="EI422">
        <v>0</v>
      </c>
      <c r="EJ422">
        <v>0</v>
      </c>
      <c r="EK422">
        <v>0</v>
      </c>
      <c r="EL422">
        <v>0</v>
      </c>
      <c r="EM422">
        <v>0</v>
      </c>
      <c r="EN422">
        <v>0</v>
      </c>
      <c r="EO422">
        <v>0</v>
      </c>
      <c r="EP422">
        <v>0</v>
      </c>
      <c r="EQ422">
        <v>0</v>
      </c>
      <c r="ER422">
        <v>0</v>
      </c>
      <c r="ES422">
        <v>0</v>
      </c>
      <c r="ET422">
        <v>0</v>
      </c>
      <c r="EU422">
        <v>0</v>
      </c>
      <c r="EV422">
        <v>0</v>
      </c>
      <c r="EW422">
        <v>0</v>
      </c>
      <c r="EX422">
        <v>0</v>
      </c>
      <c r="EY422">
        <v>0</v>
      </c>
      <c r="EZ422">
        <v>0</v>
      </c>
      <c r="FA422">
        <v>0</v>
      </c>
      <c r="FB422">
        <v>0</v>
      </c>
      <c r="FC422">
        <v>0</v>
      </c>
      <c r="FD422">
        <v>0</v>
      </c>
      <c r="FE422">
        <v>0</v>
      </c>
      <c r="FF422">
        <v>0</v>
      </c>
      <c r="FG422">
        <v>0</v>
      </c>
      <c r="FH422">
        <v>0</v>
      </c>
      <c r="FI422">
        <v>0</v>
      </c>
      <c r="FJ422">
        <v>0</v>
      </c>
      <c r="FK422">
        <v>0</v>
      </c>
      <c r="FL422">
        <v>0</v>
      </c>
      <c r="FM422">
        <v>0</v>
      </c>
      <c r="FN422">
        <v>0</v>
      </c>
      <c r="FO422">
        <v>0</v>
      </c>
      <c r="FP422">
        <v>0</v>
      </c>
      <c r="FQ422">
        <v>0</v>
      </c>
      <c r="FR422">
        <v>0</v>
      </c>
      <c r="FS422">
        <v>0</v>
      </c>
      <c r="FT422">
        <v>0</v>
      </c>
      <c r="FU422">
        <v>0</v>
      </c>
      <c r="FV422">
        <v>0</v>
      </c>
      <c r="FW422">
        <v>0</v>
      </c>
      <c r="FX422">
        <v>0</v>
      </c>
      <c r="FY422">
        <v>0</v>
      </c>
      <c r="FZ422">
        <v>0</v>
      </c>
      <c r="GA422">
        <v>0</v>
      </c>
      <c r="GB422">
        <v>0</v>
      </c>
      <c r="GC422">
        <v>0</v>
      </c>
      <c r="GD422">
        <v>0</v>
      </c>
      <c r="GE422">
        <v>0</v>
      </c>
      <c r="GF422">
        <v>0</v>
      </c>
      <c r="GG422">
        <v>0</v>
      </c>
      <c r="GH422">
        <v>0</v>
      </c>
      <c r="GI422">
        <v>0</v>
      </c>
      <c r="GJ422">
        <v>0</v>
      </c>
      <c r="GK422">
        <v>0</v>
      </c>
      <c r="GL422">
        <v>0</v>
      </c>
      <c r="GM422">
        <v>0</v>
      </c>
      <c r="GN422">
        <v>0</v>
      </c>
      <c r="GO422">
        <v>0</v>
      </c>
      <c r="GP422">
        <v>0</v>
      </c>
      <c r="GQ422">
        <v>0</v>
      </c>
      <c r="GR422">
        <v>0</v>
      </c>
      <c r="GS422">
        <v>0</v>
      </c>
      <c r="GT422">
        <v>0</v>
      </c>
      <c r="GU422">
        <v>0</v>
      </c>
      <c r="GV422">
        <v>0</v>
      </c>
      <c r="GW422">
        <v>0</v>
      </c>
      <c r="GX422">
        <v>0</v>
      </c>
      <c r="GY422">
        <v>0</v>
      </c>
      <c r="GZ422">
        <v>0</v>
      </c>
      <c r="HA422">
        <v>0</v>
      </c>
      <c r="HB422">
        <v>0</v>
      </c>
      <c r="HC422">
        <v>0</v>
      </c>
      <c r="HD422">
        <v>0</v>
      </c>
      <c r="HE422">
        <v>0</v>
      </c>
      <c r="HF422">
        <v>0</v>
      </c>
      <c r="HG422">
        <v>0</v>
      </c>
      <c r="HH422">
        <v>0</v>
      </c>
      <c r="HI422">
        <v>0</v>
      </c>
      <c r="HJ422">
        <v>0</v>
      </c>
      <c r="HK422">
        <v>0</v>
      </c>
      <c r="HL422">
        <v>0</v>
      </c>
      <c r="HM422">
        <v>0</v>
      </c>
      <c r="HN422">
        <v>0</v>
      </c>
      <c r="HO422">
        <v>0</v>
      </c>
      <c r="HP422">
        <v>0</v>
      </c>
      <c r="HQ422">
        <v>0</v>
      </c>
      <c r="HR422">
        <v>0</v>
      </c>
      <c r="HS422">
        <v>0</v>
      </c>
      <c r="HT422">
        <v>0</v>
      </c>
      <c r="HU422">
        <v>0</v>
      </c>
      <c r="HV422">
        <v>0</v>
      </c>
      <c r="HW422">
        <v>0</v>
      </c>
      <c r="HX422">
        <v>0</v>
      </c>
      <c r="HY422">
        <v>0</v>
      </c>
      <c r="HZ422">
        <v>0</v>
      </c>
      <c r="IA422">
        <v>0</v>
      </c>
      <c r="IB422">
        <v>0</v>
      </c>
      <c r="IC422">
        <v>0</v>
      </c>
      <c r="ID422">
        <v>0</v>
      </c>
      <c r="IE422">
        <v>0</v>
      </c>
      <c r="IF422">
        <v>0</v>
      </c>
      <c r="IG422">
        <v>0</v>
      </c>
      <c r="IH422">
        <v>0</v>
      </c>
      <c r="II422">
        <v>0</v>
      </c>
      <c r="IJ422">
        <v>0</v>
      </c>
      <c r="IK422">
        <v>0</v>
      </c>
      <c r="IL422">
        <v>0</v>
      </c>
      <c r="IM422">
        <v>0</v>
      </c>
      <c r="IN422">
        <v>0</v>
      </c>
      <c r="IO422">
        <v>0</v>
      </c>
      <c r="IP422">
        <v>0</v>
      </c>
      <c r="IQ422">
        <v>0</v>
      </c>
      <c r="IR422">
        <v>0</v>
      </c>
      <c r="IS422">
        <v>0</v>
      </c>
      <c r="IT422">
        <v>0</v>
      </c>
      <c r="IU422">
        <v>0</v>
      </c>
      <c r="IV422">
        <v>0</v>
      </c>
      <c r="IW422">
        <v>0</v>
      </c>
      <c r="IX422">
        <v>0</v>
      </c>
      <c r="IY422">
        <v>0</v>
      </c>
      <c r="IZ422">
        <v>0</v>
      </c>
      <c r="JA422">
        <v>0</v>
      </c>
      <c r="JB422">
        <v>0</v>
      </c>
      <c r="JC422">
        <v>0</v>
      </c>
      <c r="JD422">
        <v>0</v>
      </c>
      <c r="JE422">
        <v>0</v>
      </c>
      <c r="JF422">
        <v>0</v>
      </c>
      <c r="JG422">
        <v>0</v>
      </c>
      <c r="JH422">
        <v>0</v>
      </c>
      <c r="JI422">
        <v>0</v>
      </c>
      <c r="JJ422">
        <v>0</v>
      </c>
      <c r="JK422">
        <v>0</v>
      </c>
      <c r="JL422">
        <v>0</v>
      </c>
      <c r="JM422">
        <v>0</v>
      </c>
      <c r="JN422">
        <v>0</v>
      </c>
      <c r="JO422">
        <v>0</v>
      </c>
      <c r="JP422">
        <v>0</v>
      </c>
      <c r="JQ422">
        <v>0</v>
      </c>
      <c r="JR422">
        <v>0</v>
      </c>
      <c r="JS422">
        <v>0</v>
      </c>
      <c r="JT422">
        <v>0</v>
      </c>
      <c r="JU422">
        <v>0</v>
      </c>
      <c r="JV422">
        <v>0</v>
      </c>
      <c r="JW422">
        <v>0</v>
      </c>
      <c r="JX422">
        <v>0</v>
      </c>
      <c r="JY422">
        <v>0</v>
      </c>
      <c r="JZ422">
        <v>0</v>
      </c>
      <c r="KA422">
        <v>0</v>
      </c>
      <c r="KB422">
        <v>0</v>
      </c>
      <c r="KC422">
        <v>0</v>
      </c>
      <c r="KD422">
        <v>0</v>
      </c>
      <c r="KE422">
        <v>0</v>
      </c>
      <c r="KF422">
        <v>0</v>
      </c>
      <c r="KG422">
        <v>0</v>
      </c>
      <c r="KH422">
        <v>0</v>
      </c>
      <c r="KI422">
        <v>0</v>
      </c>
      <c r="KJ422">
        <v>0</v>
      </c>
      <c r="KK422">
        <v>0</v>
      </c>
      <c r="KL422">
        <v>0</v>
      </c>
      <c r="KM422">
        <v>0</v>
      </c>
      <c r="KN422">
        <v>0</v>
      </c>
      <c r="KO422">
        <v>0</v>
      </c>
      <c r="KP422">
        <v>0</v>
      </c>
      <c r="KQ422">
        <v>0</v>
      </c>
      <c r="KR422">
        <v>0</v>
      </c>
      <c r="KS422">
        <v>0</v>
      </c>
      <c r="KT422">
        <v>0</v>
      </c>
      <c r="KU422">
        <v>0</v>
      </c>
      <c r="KV422">
        <v>0</v>
      </c>
      <c r="KW422">
        <v>0</v>
      </c>
      <c r="KX422">
        <v>0</v>
      </c>
      <c r="KY422">
        <v>0</v>
      </c>
      <c r="KZ422">
        <v>0</v>
      </c>
      <c r="LA422">
        <v>0</v>
      </c>
      <c r="LB422">
        <v>0</v>
      </c>
      <c r="LC422">
        <v>0</v>
      </c>
      <c r="LD422">
        <v>0</v>
      </c>
      <c r="LE422">
        <v>0</v>
      </c>
      <c r="LF422">
        <v>0</v>
      </c>
      <c r="LG422">
        <v>0</v>
      </c>
      <c r="LH422">
        <v>0</v>
      </c>
      <c r="LI422">
        <v>0</v>
      </c>
      <c r="LJ422">
        <v>0</v>
      </c>
      <c r="LK422">
        <v>0</v>
      </c>
      <c r="LL422">
        <v>0</v>
      </c>
      <c r="LM422">
        <v>0</v>
      </c>
      <c r="LN422">
        <v>0</v>
      </c>
      <c r="LO422">
        <v>0</v>
      </c>
      <c r="LP422">
        <v>0</v>
      </c>
      <c r="LQ422">
        <v>0</v>
      </c>
      <c r="LR422">
        <v>0</v>
      </c>
      <c r="LS422">
        <v>0</v>
      </c>
      <c r="LT422">
        <v>0</v>
      </c>
      <c r="LU422">
        <v>0</v>
      </c>
      <c r="LV422">
        <v>0</v>
      </c>
      <c r="LW422">
        <v>0</v>
      </c>
      <c r="LX422">
        <v>0</v>
      </c>
      <c r="LY422">
        <v>0</v>
      </c>
      <c r="LZ422">
        <v>0</v>
      </c>
      <c r="MA422">
        <v>0</v>
      </c>
      <c r="MB422">
        <v>0</v>
      </c>
      <c r="MC422">
        <v>0</v>
      </c>
      <c r="MD422">
        <v>0</v>
      </c>
      <c r="ME422">
        <v>0</v>
      </c>
      <c r="MF422">
        <v>0</v>
      </c>
      <c r="MG422">
        <v>0</v>
      </c>
      <c r="MH422">
        <v>0</v>
      </c>
      <c r="MI422">
        <v>0</v>
      </c>
      <c r="MJ422">
        <v>0</v>
      </c>
      <c r="MK422">
        <v>0</v>
      </c>
      <c r="ML422">
        <v>0</v>
      </c>
      <c r="MM422">
        <v>0</v>
      </c>
      <c r="MN422">
        <v>0</v>
      </c>
      <c r="MO422">
        <v>0</v>
      </c>
      <c r="MP422">
        <v>0</v>
      </c>
      <c r="MQ422">
        <v>0</v>
      </c>
      <c r="MR422">
        <v>0</v>
      </c>
      <c r="MS422">
        <v>0</v>
      </c>
      <c r="MT422">
        <v>0</v>
      </c>
      <c r="MU422">
        <v>0</v>
      </c>
      <c r="MV422">
        <v>0</v>
      </c>
      <c r="MW422">
        <v>0</v>
      </c>
      <c r="MX422">
        <v>0</v>
      </c>
      <c r="MY422">
        <v>0</v>
      </c>
      <c r="MZ422">
        <v>0</v>
      </c>
      <c r="NA422">
        <v>0</v>
      </c>
      <c r="NB422">
        <v>0</v>
      </c>
      <c r="NC422">
        <v>0</v>
      </c>
      <c r="ND422">
        <v>0</v>
      </c>
      <c r="NE422">
        <v>0</v>
      </c>
    </row>
    <row r="423" spans="41:369" x14ac:dyDescent="0.45">
      <c r="AO423">
        <v>0</v>
      </c>
      <c r="AP423">
        <v>0</v>
      </c>
      <c r="AQ423">
        <v>0</v>
      </c>
      <c r="AR423">
        <v>0</v>
      </c>
      <c r="AS423">
        <v>0</v>
      </c>
      <c r="AT423">
        <v>0</v>
      </c>
      <c r="AU423">
        <v>0</v>
      </c>
      <c r="AV423">
        <v>0</v>
      </c>
      <c r="AW423" t="str">
        <v/>
      </c>
      <c r="AX423">
        <v>255</v>
      </c>
      <c r="AY423" s="5" t="str">
        <v/>
      </c>
      <c r="AZ423">
        <v>0</v>
      </c>
      <c r="BA423">
        <v>0</v>
      </c>
      <c r="BB423">
        <v>0</v>
      </c>
      <c r="BC423">
        <v>0</v>
      </c>
      <c r="BD423">
        <v>0</v>
      </c>
      <c r="BE423">
        <v>0</v>
      </c>
      <c r="BF423">
        <v>0</v>
      </c>
      <c r="BG423">
        <v>0</v>
      </c>
      <c r="BH423">
        <v>0</v>
      </c>
      <c r="BI423" t="str">
        <v/>
      </c>
      <c r="BK423">
        <v>417</v>
      </c>
      <c r="BL423">
        <v>0</v>
      </c>
      <c r="BM423">
        <v>0</v>
      </c>
      <c r="BN423">
        <v>0</v>
      </c>
      <c r="BO423">
        <v>0</v>
      </c>
      <c r="BP423">
        <v>0</v>
      </c>
      <c r="BQ423">
        <v>0</v>
      </c>
      <c r="BR423">
        <v>0</v>
      </c>
      <c r="BS423">
        <v>0</v>
      </c>
      <c r="BT423">
        <v>0</v>
      </c>
      <c r="BU423">
        <v>0</v>
      </c>
      <c r="BV423">
        <v>0</v>
      </c>
      <c r="BW423">
        <v>0</v>
      </c>
      <c r="BX423">
        <v>0</v>
      </c>
      <c r="BY423">
        <v>0</v>
      </c>
      <c r="BZ423">
        <v>0</v>
      </c>
      <c r="CA423">
        <v>0</v>
      </c>
      <c r="CB423">
        <v>0</v>
      </c>
      <c r="CC423">
        <v>0</v>
      </c>
      <c r="CD423">
        <v>0</v>
      </c>
      <c r="CE423">
        <v>0</v>
      </c>
      <c r="CF423">
        <v>0</v>
      </c>
      <c r="CG423">
        <v>0</v>
      </c>
      <c r="CH423">
        <v>0</v>
      </c>
      <c r="CI423">
        <v>0</v>
      </c>
      <c r="CJ423">
        <v>0</v>
      </c>
      <c r="CK423">
        <v>0</v>
      </c>
      <c r="CL423">
        <v>0</v>
      </c>
      <c r="CM423">
        <v>0</v>
      </c>
      <c r="CN423">
        <v>0</v>
      </c>
      <c r="CO423">
        <v>0</v>
      </c>
      <c r="CP423">
        <v>0</v>
      </c>
      <c r="CQ423">
        <v>0</v>
      </c>
      <c r="CR423">
        <v>0</v>
      </c>
      <c r="CS423">
        <v>0</v>
      </c>
      <c r="CT423">
        <v>0</v>
      </c>
      <c r="CU423">
        <v>0</v>
      </c>
      <c r="CV423">
        <v>0</v>
      </c>
      <c r="CW423">
        <v>0</v>
      </c>
      <c r="CX423">
        <v>0</v>
      </c>
      <c r="CY423">
        <v>0</v>
      </c>
      <c r="CZ423">
        <v>0</v>
      </c>
      <c r="DA423">
        <v>0</v>
      </c>
      <c r="DB423">
        <v>0</v>
      </c>
      <c r="DC423">
        <v>0</v>
      </c>
      <c r="DD423">
        <v>0</v>
      </c>
      <c r="DE423">
        <v>0</v>
      </c>
      <c r="DF423">
        <v>0</v>
      </c>
      <c r="DG423">
        <v>0</v>
      </c>
      <c r="DH423">
        <v>0</v>
      </c>
      <c r="DI423">
        <v>0</v>
      </c>
      <c r="DJ423">
        <v>0</v>
      </c>
      <c r="DK423">
        <v>0</v>
      </c>
      <c r="DL423">
        <v>0</v>
      </c>
      <c r="DM423">
        <v>0</v>
      </c>
      <c r="DN423">
        <v>0</v>
      </c>
      <c r="DO423">
        <v>0</v>
      </c>
      <c r="DP423">
        <v>0</v>
      </c>
      <c r="DQ423">
        <v>0</v>
      </c>
      <c r="DR423">
        <v>0</v>
      </c>
      <c r="DS423">
        <v>0</v>
      </c>
      <c r="DT423">
        <v>0</v>
      </c>
      <c r="DU423">
        <v>0</v>
      </c>
      <c r="DV423">
        <v>0</v>
      </c>
      <c r="DW423">
        <v>0</v>
      </c>
      <c r="DX423">
        <v>0</v>
      </c>
      <c r="DY423">
        <v>0</v>
      </c>
      <c r="DZ423">
        <v>0</v>
      </c>
      <c r="EA423">
        <v>0</v>
      </c>
      <c r="EB423">
        <v>0</v>
      </c>
      <c r="EC423">
        <v>0</v>
      </c>
      <c r="ED423">
        <v>0</v>
      </c>
      <c r="EE423">
        <v>0</v>
      </c>
      <c r="EF423">
        <v>0</v>
      </c>
      <c r="EG423">
        <v>0</v>
      </c>
      <c r="EH423">
        <v>0</v>
      </c>
      <c r="EI423">
        <v>0</v>
      </c>
      <c r="EJ423">
        <v>0</v>
      </c>
      <c r="EK423">
        <v>0</v>
      </c>
      <c r="EL423">
        <v>0</v>
      </c>
      <c r="EM423">
        <v>0</v>
      </c>
      <c r="EN423">
        <v>0</v>
      </c>
      <c r="EO423">
        <v>0</v>
      </c>
      <c r="EP423">
        <v>0</v>
      </c>
      <c r="EQ423">
        <v>0</v>
      </c>
      <c r="ER423">
        <v>0</v>
      </c>
      <c r="ES423">
        <v>0</v>
      </c>
      <c r="ET423">
        <v>0</v>
      </c>
      <c r="EU423">
        <v>0</v>
      </c>
      <c r="EV423">
        <v>0</v>
      </c>
      <c r="EW423">
        <v>0</v>
      </c>
      <c r="EX423">
        <v>0</v>
      </c>
      <c r="EY423">
        <v>0</v>
      </c>
      <c r="EZ423">
        <v>0</v>
      </c>
      <c r="FA423">
        <v>0</v>
      </c>
      <c r="FB423">
        <v>0</v>
      </c>
      <c r="FC423">
        <v>0</v>
      </c>
      <c r="FD423">
        <v>0</v>
      </c>
      <c r="FE423">
        <v>0</v>
      </c>
      <c r="FF423">
        <v>0</v>
      </c>
      <c r="FG423">
        <v>0</v>
      </c>
      <c r="FH423">
        <v>0</v>
      </c>
      <c r="FI423">
        <v>0</v>
      </c>
      <c r="FJ423">
        <v>0</v>
      </c>
      <c r="FK423">
        <v>0</v>
      </c>
      <c r="FL423">
        <v>0</v>
      </c>
      <c r="FM423">
        <v>0</v>
      </c>
      <c r="FN423">
        <v>0</v>
      </c>
      <c r="FO423">
        <v>0</v>
      </c>
      <c r="FP423">
        <v>0</v>
      </c>
      <c r="FQ423">
        <v>0</v>
      </c>
      <c r="FR423">
        <v>0</v>
      </c>
      <c r="FS423">
        <v>0</v>
      </c>
      <c r="FT423">
        <v>0</v>
      </c>
      <c r="FU423">
        <v>0</v>
      </c>
      <c r="FV423">
        <v>0</v>
      </c>
      <c r="FW423">
        <v>0</v>
      </c>
      <c r="FX423">
        <v>0</v>
      </c>
      <c r="FY423">
        <v>0</v>
      </c>
      <c r="FZ423">
        <v>0</v>
      </c>
      <c r="GA423">
        <v>0</v>
      </c>
      <c r="GB423">
        <v>0</v>
      </c>
      <c r="GC423">
        <v>0</v>
      </c>
      <c r="GD423">
        <v>0</v>
      </c>
      <c r="GE423">
        <v>0</v>
      </c>
      <c r="GF423">
        <v>0</v>
      </c>
      <c r="GG423">
        <v>0</v>
      </c>
      <c r="GH423">
        <v>0</v>
      </c>
      <c r="GI423">
        <v>0</v>
      </c>
      <c r="GJ423">
        <v>0</v>
      </c>
      <c r="GK423">
        <v>0</v>
      </c>
      <c r="GL423">
        <v>0</v>
      </c>
      <c r="GM423">
        <v>0</v>
      </c>
      <c r="GN423">
        <v>0</v>
      </c>
      <c r="GO423">
        <v>0</v>
      </c>
      <c r="GP423">
        <v>0</v>
      </c>
      <c r="GQ423">
        <v>0</v>
      </c>
      <c r="GR423">
        <v>0</v>
      </c>
      <c r="GS423">
        <v>0</v>
      </c>
      <c r="GT423">
        <v>0</v>
      </c>
      <c r="GU423">
        <v>0</v>
      </c>
      <c r="GV423">
        <v>0</v>
      </c>
      <c r="GW423">
        <v>0</v>
      </c>
      <c r="GX423">
        <v>0</v>
      </c>
      <c r="GY423">
        <v>0</v>
      </c>
      <c r="GZ423">
        <v>0</v>
      </c>
      <c r="HA423">
        <v>0</v>
      </c>
      <c r="HB423">
        <v>0</v>
      </c>
      <c r="HC423">
        <v>0</v>
      </c>
      <c r="HD423">
        <v>0</v>
      </c>
      <c r="HE423">
        <v>0</v>
      </c>
      <c r="HF423">
        <v>0</v>
      </c>
      <c r="HG423">
        <v>0</v>
      </c>
      <c r="HH423">
        <v>0</v>
      </c>
      <c r="HI423">
        <v>0</v>
      </c>
      <c r="HJ423">
        <v>0</v>
      </c>
      <c r="HK423">
        <v>0</v>
      </c>
      <c r="HL423">
        <v>0</v>
      </c>
      <c r="HM423">
        <v>0</v>
      </c>
      <c r="HN423">
        <v>0</v>
      </c>
      <c r="HO423">
        <v>0</v>
      </c>
      <c r="HP423">
        <v>0</v>
      </c>
      <c r="HQ423">
        <v>0</v>
      </c>
      <c r="HR423">
        <v>0</v>
      </c>
      <c r="HS423">
        <v>0</v>
      </c>
      <c r="HT423">
        <v>0</v>
      </c>
      <c r="HU423">
        <v>0</v>
      </c>
      <c r="HV423">
        <v>0</v>
      </c>
      <c r="HW423">
        <v>0</v>
      </c>
      <c r="HX423">
        <v>0</v>
      </c>
      <c r="HY423">
        <v>0</v>
      </c>
      <c r="HZ423">
        <v>0</v>
      </c>
      <c r="IA423">
        <v>0</v>
      </c>
      <c r="IB423">
        <v>0</v>
      </c>
      <c r="IC423">
        <v>0</v>
      </c>
      <c r="ID423">
        <v>0</v>
      </c>
      <c r="IE423">
        <v>0</v>
      </c>
      <c r="IF423">
        <v>0</v>
      </c>
      <c r="IG423">
        <v>0</v>
      </c>
      <c r="IH423">
        <v>0</v>
      </c>
      <c r="II423">
        <v>0</v>
      </c>
      <c r="IJ423">
        <v>0</v>
      </c>
      <c r="IK423">
        <v>0</v>
      </c>
      <c r="IL423">
        <v>0</v>
      </c>
      <c r="IM423">
        <v>0</v>
      </c>
      <c r="IN423">
        <v>0</v>
      </c>
      <c r="IO423">
        <v>0</v>
      </c>
      <c r="IP423">
        <v>0</v>
      </c>
      <c r="IQ423">
        <v>0</v>
      </c>
      <c r="IR423">
        <v>0</v>
      </c>
      <c r="IS423">
        <v>0</v>
      </c>
      <c r="IT423">
        <v>0</v>
      </c>
      <c r="IU423">
        <v>0</v>
      </c>
      <c r="IV423">
        <v>0</v>
      </c>
      <c r="IW423">
        <v>0</v>
      </c>
      <c r="IX423">
        <v>0</v>
      </c>
      <c r="IY423">
        <v>0</v>
      </c>
      <c r="IZ423">
        <v>0</v>
      </c>
      <c r="JA423">
        <v>0</v>
      </c>
      <c r="JB423">
        <v>0</v>
      </c>
      <c r="JC423">
        <v>0</v>
      </c>
      <c r="JD423">
        <v>0</v>
      </c>
      <c r="JE423">
        <v>0</v>
      </c>
      <c r="JF423">
        <v>0</v>
      </c>
      <c r="JG423">
        <v>0</v>
      </c>
      <c r="JH423">
        <v>0</v>
      </c>
      <c r="JI423">
        <v>0</v>
      </c>
      <c r="JJ423">
        <v>0</v>
      </c>
      <c r="JK423">
        <v>0</v>
      </c>
      <c r="JL423">
        <v>0</v>
      </c>
      <c r="JM423">
        <v>0</v>
      </c>
      <c r="JN423">
        <v>0</v>
      </c>
      <c r="JO423">
        <v>0</v>
      </c>
      <c r="JP423">
        <v>0</v>
      </c>
      <c r="JQ423">
        <v>0</v>
      </c>
      <c r="JR423">
        <v>0</v>
      </c>
      <c r="JS423">
        <v>0</v>
      </c>
      <c r="JT423">
        <v>0</v>
      </c>
      <c r="JU423">
        <v>0</v>
      </c>
      <c r="JV423">
        <v>0</v>
      </c>
      <c r="JW423">
        <v>0</v>
      </c>
      <c r="JX423">
        <v>0</v>
      </c>
      <c r="JY423">
        <v>0</v>
      </c>
      <c r="JZ423">
        <v>0</v>
      </c>
      <c r="KA423">
        <v>0</v>
      </c>
      <c r="KB423">
        <v>0</v>
      </c>
      <c r="KC423">
        <v>0</v>
      </c>
      <c r="KD423">
        <v>0</v>
      </c>
      <c r="KE423">
        <v>0</v>
      </c>
      <c r="KF423">
        <v>0</v>
      </c>
      <c r="KG423">
        <v>0</v>
      </c>
      <c r="KH423">
        <v>0</v>
      </c>
      <c r="KI423">
        <v>0</v>
      </c>
      <c r="KJ423">
        <v>0</v>
      </c>
      <c r="KK423">
        <v>0</v>
      </c>
      <c r="KL423">
        <v>0</v>
      </c>
      <c r="KM423">
        <v>0</v>
      </c>
      <c r="KN423">
        <v>0</v>
      </c>
      <c r="KO423">
        <v>0</v>
      </c>
      <c r="KP423">
        <v>0</v>
      </c>
      <c r="KQ423">
        <v>0</v>
      </c>
      <c r="KR423">
        <v>0</v>
      </c>
      <c r="KS423">
        <v>0</v>
      </c>
      <c r="KT423">
        <v>0</v>
      </c>
      <c r="KU423">
        <v>0</v>
      </c>
      <c r="KV423">
        <v>0</v>
      </c>
      <c r="KW423">
        <v>0</v>
      </c>
      <c r="KX423">
        <v>0</v>
      </c>
      <c r="KY423">
        <v>0</v>
      </c>
      <c r="KZ423">
        <v>0</v>
      </c>
      <c r="LA423">
        <v>0</v>
      </c>
      <c r="LB423">
        <v>0</v>
      </c>
      <c r="LC423">
        <v>0</v>
      </c>
      <c r="LD423">
        <v>0</v>
      </c>
      <c r="LE423">
        <v>0</v>
      </c>
      <c r="LF423">
        <v>0</v>
      </c>
      <c r="LG423">
        <v>0</v>
      </c>
      <c r="LH423">
        <v>0</v>
      </c>
      <c r="LI423">
        <v>0</v>
      </c>
      <c r="LJ423">
        <v>0</v>
      </c>
      <c r="LK423">
        <v>0</v>
      </c>
      <c r="LL423">
        <v>0</v>
      </c>
      <c r="LM423">
        <v>0</v>
      </c>
      <c r="LN423">
        <v>0</v>
      </c>
      <c r="LO423">
        <v>0</v>
      </c>
      <c r="LP423">
        <v>0</v>
      </c>
      <c r="LQ423">
        <v>0</v>
      </c>
      <c r="LR423">
        <v>0</v>
      </c>
      <c r="LS423">
        <v>0</v>
      </c>
      <c r="LT423">
        <v>0</v>
      </c>
      <c r="LU423">
        <v>0</v>
      </c>
      <c r="LV423">
        <v>0</v>
      </c>
      <c r="LW423">
        <v>0</v>
      </c>
      <c r="LX423">
        <v>0</v>
      </c>
      <c r="LY423">
        <v>0</v>
      </c>
      <c r="LZ423">
        <v>0</v>
      </c>
      <c r="MA423">
        <v>0</v>
      </c>
      <c r="MB423">
        <v>0</v>
      </c>
      <c r="MC423">
        <v>0</v>
      </c>
      <c r="MD423">
        <v>0</v>
      </c>
      <c r="ME423">
        <v>0</v>
      </c>
      <c r="MF423">
        <v>0</v>
      </c>
      <c r="MG423">
        <v>0</v>
      </c>
      <c r="MH423">
        <v>0</v>
      </c>
      <c r="MI423">
        <v>0</v>
      </c>
      <c r="MJ423">
        <v>0</v>
      </c>
      <c r="MK423">
        <v>0</v>
      </c>
      <c r="ML423">
        <v>0</v>
      </c>
      <c r="MM423">
        <v>0</v>
      </c>
      <c r="MN423">
        <v>0</v>
      </c>
      <c r="MO423">
        <v>0</v>
      </c>
      <c r="MP423">
        <v>0</v>
      </c>
      <c r="MQ423">
        <v>0</v>
      </c>
      <c r="MR423">
        <v>0</v>
      </c>
      <c r="MS423">
        <v>0</v>
      </c>
      <c r="MT423">
        <v>0</v>
      </c>
      <c r="MU423">
        <v>0</v>
      </c>
      <c r="MV423">
        <v>0</v>
      </c>
      <c r="MW423">
        <v>0</v>
      </c>
      <c r="MX423">
        <v>0</v>
      </c>
      <c r="MY423">
        <v>0</v>
      </c>
      <c r="MZ423">
        <v>0</v>
      </c>
      <c r="NA423">
        <v>0</v>
      </c>
      <c r="NB423">
        <v>0</v>
      </c>
      <c r="NC423">
        <v>0</v>
      </c>
      <c r="ND423">
        <v>0</v>
      </c>
      <c r="NE423">
        <v>0</v>
      </c>
    </row>
    <row r="424" spans="41:369" x14ac:dyDescent="0.45">
      <c r="AO424">
        <v>0</v>
      </c>
      <c r="AP424">
        <v>0</v>
      </c>
      <c r="AQ424">
        <v>0</v>
      </c>
      <c r="AR424">
        <v>0</v>
      </c>
      <c r="AS424">
        <v>0</v>
      </c>
      <c r="AT424">
        <v>0</v>
      </c>
      <c r="AU424">
        <v>0</v>
      </c>
      <c r="AV424">
        <v>0</v>
      </c>
      <c r="AW424" t="str">
        <v/>
      </c>
      <c r="AX424">
        <v>255</v>
      </c>
      <c r="AY424" s="5" t="str">
        <v/>
      </c>
      <c r="AZ424">
        <v>0</v>
      </c>
      <c r="BA424">
        <v>0</v>
      </c>
      <c r="BB424">
        <v>0</v>
      </c>
      <c r="BC424">
        <v>0</v>
      </c>
      <c r="BD424">
        <v>0</v>
      </c>
      <c r="BE424">
        <v>0</v>
      </c>
      <c r="BF424">
        <v>0</v>
      </c>
      <c r="BG424">
        <v>0</v>
      </c>
      <c r="BH424">
        <v>0</v>
      </c>
      <c r="BI424" t="str">
        <v/>
      </c>
      <c r="BK424">
        <v>418</v>
      </c>
      <c r="BL424">
        <v>0</v>
      </c>
      <c r="BM424">
        <v>0</v>
      </c>
      <c r="BN424">
        <v>0</v>
      </c>
      <c r="BO424">
        <v>0</v>
      </c>
      <c r="BP424">
        <v>0</v>
      </c>
      <c r="BQ424">
        <v>0</v>
      </c>
      <c r="BR424">
        <v>0</v>
      </c>
      <c r="BS424">
        <v>0</v>
      </c>
      <c r="BT424">
        <v>0</v>
      </c>
      <c r="BU424">
        <v>0</v>
      </c>
      <c r="BV424">
        <v>0</v>
      </c>
      <c r="BW424">
        <v>0</v>
      </c>
      <c r="BX424">
        <v>0</v>
      </c>
      <c r="BY424">
        <v>0</v>
      </c>
      <c r="BZ424">
        <v>0</v>
      </c>
      <c r="CA424">
        <v>0</v>
      </c>
      <c r="CB424">
        <v>0</v>
      </c>
      <c r="CC424">
        <v>0</v>
      </c>
      <c r="CD424">
        <v>0</v>
      </c>
      <c r="CE424">
        <v>0</v>
      </c>
      <c r="CF424">
        <v>0</v>
      </c>
      <c r="CG424">
        <v>0</v>
      </c>
      <c r="CH424">
        <v>0</v>
      </c>
      <c r="CI424">
        <v>0</v>
      </c>
      <c r="CJ424">
        <v>0</v>
      </c>
      <c r="CK424">
        <v>0</v>
      </c>
      <c r="CL424">
        <v>0</v>
      </c>
      <c r="CM424">
        <v>0</v>
      </c>
      <c r="CN424">
        <v>0</v>
      </c>
      <c r="CO424">
        <v>0</v>
      </c>
      <c r="CP424">
        <v>0</v>
      </c>
      <c r="CQ424">
        <v>0</v>
      </c>
      <c r="CR424">
        <v>0</v>
      </c>
      <c r="CS424">
        <v>0</v>
      </c>
      <c r="CT424">
        <v>0</v>
      </c>
      <c r="CU424">
        <v>0</v>
      </c>
      <c r="CV424">
        <v>0</v>
      </c>
      <c r="CW424">
        <v>0</v>
      </c>
      <c r="CX424">
        <v>0</v>
      </c>
      <c r="CY424">
        <v>0</v>
      </c>
      <c r="CZ424">
        <v>0</v>
      </c>
      <c r="DA424">
        <v>0</v>
      </c>
      <c r="DB424">
        <v>0</v>
      </c>
      <c r="DC424">
        <v>0</v>
      </c>
      <c r="DD424">
        <v>0</v>
      </c>
      <c r="DE424">
        <v>0</v>
      </c>
      <c r="DF424">
        <v>0</v>
      </c>
      <c r="DG424">
        <v>0</v>
      </c>
      <c r="DH424">
        <v>0</v>
      </c>
      <c r="DI424">
        <v>0</v>
      </c>
      <c r="DJ424">
        <v>0</v>
      </c>
      <c r="DK424">
        <v>0</v>
      </c>
      <c r="DL424">
        <v>0</v>
      </c>
      <c r="DM424">
        <v>0</v>
      </c>
      <c r="DN424">
        <v>0</v>
      </c>
      <c r="DO424">
        <v>0</v>
      </c>
      <c r="DP424">
        <v>0</v>
      </c>
      <c r="DQ424">
        <v>0</v>
      </c>
      <c r="DR424">
        <v>0</v>
      </c>
      <c r="DS424">
        <v>0</v>
      </c>
      <c r="DT424">
        <v>0</v>
      </c>
      <c r="DU424">
        <v>0</v>
      </c>
      <c r="DV424">
        <v>0</v>
      </c>
      <c r="DW424">
        <v>0</v>
      </c>
      <c r="DX424">
        <v>0</v>
      </c>
      <c r="DY424">
        <v>0</v>
      </c>
      <c r="DZ424">
        <v>0</v>
      </c>
      <c r="EA424">
        <v>0</v>
      </c>
      <c r="EB424">
        <v>0</v>
      </c>
      <c r="EC424">
        <v>0</v>
      </c>
      <c r="ED424">
        <v>0</v>
      </c>
      <c r="EE424">
        <v>0</v>
      </c>
      <c r="EF424">
        <v>0</v>
      </c>
      <c r="EG424">
        <v>0</v>
      </c>
      <c r="EH424">
        <v>0</v>
      </c>
      <c r="EI424">
        <v>0</v>
      </c>
      <c r="EJ424">
        <v>0</v>
      </c>
      <c r="EK424">
        <v>0</v>
      </c>
      <c r="EL424">
        <v>0</v>
      </c>
      <c r="EM424">
        <v>0</v>
      </c>
      <c r="EN424">
        <v>0</v>
      </c>
      <c r="EO424">
        <v>0</v>
      </c>
      <c r="EP424">
        <v>0</v>
      </c>
      <c r="EQ424">
        <v>0</v>
      </c>
      <c r="ER424">
        <v>0</v>
      </c>
      <c r="ES424">
        <v>0</v>
      </c>
      <c r="ET424">
        <v>0</v>
      </c>
      <c r="EU424">
        <v>0</v>
      </c>
      <c r="EV424">
        <v>0</v>
      </c>
      <c r="EW424">
        <v>0</v>
      </c>
      <c r="EX424">
        <v>0</v>
      </c>
      <c r="EY424">
        <v>0</v>
      </c>
      <c r="EZ424">
        <v>0</v>
      </c>
      <c r="FA424">
        <v>0</v>
      </c>
      <c r="FB424">
        <v>0</v>
      </c>
      <c r="FC424">
        <v>0</v>
      </c>
      <c r="FD424">
        <v>0</v>
      </c>
      <c r="FE424">
        <v>0</v>
      </c>
      <c r="FF424">
        <v>0</v>
      </c>
      <c r="FG424">
        <v>0</v>
      </c>
      <c r="FH424">
        <v>0</v>
      </c>
      <c r="FI424">
        <v>0</v>
      </c>
      <c r="FJ424">
        <v>0</v>
      </c>
      <c r="FK424">
        <v>0</v>
      </c>
      <c r="FL424">
        <v>0</v>
      </c>
      <c r="FM424">
        <v>0</v>
      </c>
      <c r="FN424">
        <v>0</v>
      </c>
      <c r="FO424">
        <v>0</v>
      </c>
      <c r="FP424">
        <v>0</v>
      </c>
      <c r="FQ424">
        <v>0</v>
      </c>
      <c r="FR424">
        <v>0</v>
      </c>
      <c r="FS424">
        <v>0</v>
      </c>
      <c r="FT424">
        <v>0</v>
      </c>
      <c r="FU424">
        <v>0</v>
      </c>
      <c r="FV424">
        <v>0</v>
      </c>
      <c r="FW424">
        <v>0</v>
      </c>
      <c r="FX424">
        <v>0</v>
      </c>
      <c r="FY424">
        <v>0</v>
      </c>
      <c r="FZ424">
        <v>0</v>
      </c>
      <c r="GA424">
        <v>0</v>
      </c>
      <c r="GB424">
        <v>0</v>
      </c>
      <c r="GC424">
        <v>0</v>
      </c>
      <c r="GD424">
        <v>0</v>
      </c>
      <c r="GE424">
        <v>0</v>
      </c>
      <c r="GF424">
        <v>0</v>
      </c>
      <c r="GG424">
        <v>0</v>
      </c>
      <c r="GH424">
        <v>0</v>
      </c>
      <c r="GI424">
        <v>0</v>
      </c>
      <c r="GJ424">
        <v>0</v>
      </c>
      <c r="GK424">
        <v>0</v>
      </c>
      <c r="GL424">
        <v>0</v>
      </c>
      <c r="GM424">
        <v>0</v>
      </c>
      <c r="GN424">
        <v>0</v>
      </c>
      <c r="GO424">
        <v>0</v>
      </c>
      <c r="GP424">
        <v>0</v>
      </c>
      <c r="GQ424">
        <v>0</v>
      </c>
      <c r="GR424">
        <v>0</v>
      </c>
      <c r="GS424">
        <v>0</v>
      </c>
      <c r="GT424">
        <v>0</v>
      </c>
      <c r="GU424">
        <v>0</v>
      </c>
      <c r="GV424">
        <v>0</v>
      </c>
      <c r="GW424">
        <v>0</v>
      </c>
      <c r="GX424">
        <v>0</v>
      </c>
      <c r="GY424">
        <v>0</v>
      </c>
      <c r="GZ424">
        <v>0</v>
      </c>
      <c r="HA424">
        <v>0</v>
      </c>
      <c r="HB424">
        <v>0</v>
      </c>
      <c r="HC424">
        <v>0</v>
      </c>
      <c r="HD424">
        <v>0</v>
      </c>
      <c r="HE424">
        <v>0</v>
      </c>
      <c r="HF424">
        <v>0</v>
      </c>
      <c r="HG424">
        <v>0</v>
      </c>
      <c r="HH424">
        <v>0</v>
      </c>
      <c r="HI424">
        <v>0</v>
      </c>
      <c r="HJ424">
        <v>0</v>
      </c>
      <c r="HK424">
        <v>0</v>
      </c>
      <c r="HL424">
        <v>0</v>
      </c>
      <c r="HM424">
        <v>0</v>
      </c>
      <c r="HN424">
        <v>0</v>
      </c>
      <c r="HO424">
        <v>0</v>
      </c>
      <c r="HP424">
        <v>0</v>
      </c>
      <c r="HQ424">
        <v>0</v>
      </c>
      <c r="HR424">
        <v>0</v>
      </c>
      <c r="HS424">
        <v>0</v>
      </c>
      <c r="HT424">
        <v>0</v>
      </c>
      <c r="HU424">
        <v>0</v>
      </c>
      <c r="HV424">
        <v>0</v>
      </c>
      <c r="HW424">
        <v>0</v>
      </c>
      <c r="HX424">
        <v>0</v>
      </c>
      <c r="HY424">
        <v>0</v>
      </c>
      <c r="HZ424">
        <v>0</v>
      </c>
      <c r="IA424">
        <v>0</v>
      </c>
      <c r="IB424">
        <v>0</v>
      </c>
      <c r="IC424">
        <v>0</v>
      </c>
      <c r="ID424">
        <v>0</v>
      </c>
      <c r="IE424">
        <v>0</v>
      </c>
      <c r="IF424">
        <v>0</v>
      </c>
      <c r="IG424">
        <v>0</v>
      </c>
      <c r="IH424">
        <v>0</v>
      </c>
      <c r="II424">
        <v>0</v>
      </c>
      <c r="IJ424">
        <v>0</v>
      </c>
      <c r="IK424">
        <v>0</v>
      </c>
      <c r="IL424">
        <v>0</v>
      </c>
      <c r="IM424">
        <v>0</v>
      </c>
      <c r="IN424">
        <v>0</v>
      </c>
      <c r="IO424">
        <v>0</v>
      </c>
      <c r="IP424">
        <v>0</v>
      </c>
      <c r="IQ424">
        <v>0</v>
      </c>
      <c r="IR424">
        <v>0</v>
      </c>
      <c r="IS424">
        <v>0</v>
      </c>
      <c r="IT424">
        <v>0</v>
      </c>
      <c r="IU424">
        <v>0</v>
      </c>
      <c r="IV424">
        <v>0</v>
      </c>
      <c r="IW424">
        <v>0</v>
      </c>
      <c r="IX424">
        <v>0</v>
      </c>
      <c r="IY424">
        <v>0</v>
      </c>
      <c r="IZ424">
        <v>0</v>
      </c>
      <c r="JA424">
        <v>0</v>
      </c>
      <c r="JB424">
        <v>0</v>
      </c>
      <c r="JC424">
        <v>0</v>
      </c>
      <c r="JD424">
        <v>0</v>
      </c>
      <c r="JE424">
        <v>0</v>
      </c>
      <c r="JF424">
        <v>0</v>
      </c>
      <c r="JG424">
        <v>0</v>
      </c>
      <c r="JH424">
        <v>0</v>
      </c>
      <c r="JI424">
        <v>0</v>
      </c>
      <c r="JJ424">
        <v>0</v>
      </c>
      <c r="JK424">
        <v>0</v>
      </c>
      <c r="JL424">
        <v>0</v>
      </c>
      <c r="JM424">
        <v>0</v>
      </c>
      <c r="JN424">
        <v>0</v>
      </c>
      <c r="JO424">
        <v>0</v>
      </c>
      <c r="JP424">
        <v>0</v>
      </c>
      <c r="JQ424">
        <v>0</v>
      </c>
      <c r="JR424">
        <v>0</v>
      </c>
      <c r="JS424">
        <v>0</v>
      </c>
      <c r="JT424">
        <v>0</v>
      </c>
      <c r="JU424">
        <v>0</v>
      </c>
      <c r="JV424">
        <v>0</v>
      </c>
      <c r="JW424">
        <v>0</v>
      </c>
      <c r="JX424">
        <v>0</v>
      </c>
      <c r="JY424">
        <v>0</v>
      </c>
      <c r="JZ424">
        <v>0</v>
      </c>
      <c r="KA424">
        <v>0</v>
      </c>
      <c r="KB424">
        <v>0</v>
      </c>
      <c r="KC424">
        <v>0</v>
      </c>
      <c r="KD424">
        <v>0</v>
      </c>
      <c r="KE424">
        <v>0</v>
      </c>
      <c r="KF424">
        <v>0</v>
      </c>
      <c r="KG424">
        <v>0</v>
      </c>
      <c r="KH424">
        <v>0</v>
      </c>
      <c r="KI424">
        <v>0</v>
      </c>
      <c r="KJ424">
        <v>0</v>
      </c>
      <c r="KK424">
        <v>0</v>
      </c>
      <c r="KL424">
        <v>0</v>
      </c>
      <c r="KM424">
        <v>0</v>
      </c>
      <c r="KN424">
        <v>0</v>
      </c>
      <c r="KO424">
        <v>0</v>
      </c>
      <c r="KP424">
        <v>0</v>
      </c>
      <c r="KQ424">
        <v>0</v>
      </c>
      <c r="KR424">
        <v>0</v>
      </c>
      <c r="KS424">
        <v>0</v>
      </c>
      <c r="KT424">
        <v>0</v>
      </c>
      <c r="KU424">
        <v>0</v>
      </c>
      <c r="KV424">
        <v>0</v>
      </c>
      <c r="KW424">
        <v>0</v>
      </c>
      <c r="KX424">
        <v>0</v>
      </c>
      <c r="KY424">
        <v>0</v>
      </c>
      <c r="KZ424">
        <v>0</v>
      </c>
      <c r="LA424">
        <v>0</v>
      </c>
      <c r="LB424">
        <v>0</v>
      </c>
      <c r="LC424">
        <v>0</v>
      </c>
      <c r="LD424">
        <v>0</v>
      </c>
      <c r="LE424">
        <v>0</v>
      </c>
      <c r="LF424">
        <v>0</v>
      </c>
      <c r="LG424">
        <v>0</v>
      </c>
      <c r="LH424">
        <v>0</v>
      </c>
      <c r="LI424">
        <v>0</v>
      </c>
      <c r="LJ424">
        <v>0</v>
      </c>
      <c r="LK424">
        <v>0</v>
      </c>
      <c r="LL424">
        <v>0</v>
      </c>
      <c r="LM424">
        <v>0</v>
      </c>
      <c r="LN424">
        <v>0</v>
      </c>
      <c r="LO424">
        <v>0</v>
      </c>
      <c r="LP424">
        <v>0</v>
      </c>
      <c r="LQ424">
        <v>0</v>
      </c>
      <c r="LR424">
        <v>0</v>
      </c>
      <c r="LS424">
        <v>0</v>
      </c>
      <c r="LT424">
        <v>0</v>
      </c>
      <c r="LU424">
        <v>0</v>
      </c>
      <c r="LV424">
        <v>0</v>
      </c>
      <c r="LW424">
        <v>0</v>
      </c>
      <c r="LX424">
        <v>0</v>
      </c>
      <c r="LY424">
        <v>0</v>
      </c>
      <c r="LZ424">
        <v>0</v>
      </c>
      <c r="MA424">
        <v>0</v>
      </c>
      <c r="MB424">
        <v>0</v>
      </c>
      <c r="MC424">
        <v>0</v>
      </c>
      <c r="MD424">
        <v>0</v>
      </c>
      <c r="ME424">
        <v>0</v>
      </c>
      <c r="MF424">
        <v>0</v>
      </c>
      <c r="MG424">
        <v>0</v>
      </c>
      <c r="MH424">
        <v>0</v>
      </c>
      <c r="MI424">
        <v>0</v>
      </c>
      <c r="MJ424">
        <v>0</v>
      </c>
      <c r="MK424">
        <v>0</v>
      </c>
      <c r="ML424">
        <v>0</v>
      </c>
      <c r="MM424">
        <v>0</v>
      </c>
      <c r="MN424">
        <v>0</v>
      </c>
      <c r="MO424">
        <v>0</v>
      </c>
      <c r="MP424">
        <v>0</v>
      </c>
      <c r="MQ424">
        <v>0</v>
      </c>
      <c r="MR424">
        <v>0</v>
      </c>
      <c r="MS424">
        <v>0</v>
      </c>
      <c r="MT424">
        <v>0</v>
      </c>
      <c r="MU424">
        <v>0</v>
      </c>
      <c r="MV424">
        <v>0</v>
      </c>
      <c r="MW424">
        <v>0</v>
      </c>
      <c r="MX424">
        <v>0</v>
      </c>
      <c r="MY424">
        <v>0</v>
      </c>
      <c r="MZ424">
        <v>0</v>
      </c>
      <c r="NA424">
        <v>0</v>
      </c>
      <c r="NB424">
        <v>0</v>
      </c>
      <c r="NC424">
        <v>0</v>
      </c>
      <c r="ND424">
        <v>0</v>
      </c>
      <c r="NE424">
        <v>0</v>
      </c>
    </row>
    <row r="425" spans="41:369" x14ac:dyDescent="0.45">
      <c r="AO425">
        <v>0</v>
      </c>
      <c r="AP425">
        <v>0</v>
      </c>
      <c r="AQ425">
        <v>0</v>
      </c>
      <c r="AR425">
        <v>0</v>
      </c>
      <c r="AS425">
        <v>0</v>
      </c>
      <c r="AT425">
        <v>0</v>
      </c>
      <c r="AU425">
        <v>0</v>
      </c>
      <c r="AV425">
        <v>0</v>
      </c>
      <c r="AW425" t="str">
        <v/>
      </c>
      <c r="AX425">
        <v>255</v>
      </c>
      <c r="AY425" s="5" t="str">
        <v/>
      </c>
      <c r="AZ425">
        <v>0</v>
      </c>
      <c r="BA425">
        <v>0</v>
      </c>
      <c r="BB425">
        <v>0</v>
      </c>
      <c r="BC425">
        <v>0</v>
      </c>
      <c r="BD425">
        <v>0</v>
      </c>
      <c r="BE425">
        <v>0</v>
      </c>
      <c r="BF425">
        <v>0</v>
      </c>
      <c r="BG425">
        <v>0</v>
      </c>
      <c r="BH425">
        <v>0</v>
      </c>
      <c r="BI425" t="str">
        <v/>
      </c>
      <c r="BK425">
        <v>419</v>
      </c>
      <c r="BL425">
        <v>0</v>
      </c>
      <c r="BM425">
        <v>0</v>
      </c>
      <c r="BN425">
        <v>0</v>
      </c>
      <c r="BO425">
        <v>0</v>
      </c>
      <c r="BP425">
        <v>0</v>
      </c>
      <c r="BQ425">
        <v>0</v>
      </c>
      <c r="BR425">
        <v>0</v>
      </c>
      <c r="BS425">
        <v>0</v>
      </c>
      <c r="BT425">
        <v>0</v>
      </c>
      <c r="BU425">
        <v>0</v>
      </c>
      <c r="BV425">
        <v>0</v>
      </c>
      <c r="BW425">
        <v>0</v>
      </c>
      <c r="BX425">
        <v>0</v>
      </c>
      <c r="BY425">
        <v>0</v>
      </c>
      <c r="BZ425">
        <v>0</v>
      </c>
      <c r="CA425">
        <v>0</v>
      </c>
      <c r="CB425">
        <v>0</v>
      </c>
      <c r="CC425">
        <v>0</v>
      </c>
      <c r="CD425">
        <v>0</v>
      </c>
      <c r="CE425">
        <v>0</v>
      </c>
      <c r="CF425">
        <v>0</v>
      </c>
      <c r="CG425">
        <v>0</v>
      </c>
      <c r="CH425">
        <v>0</v>
      </c>
      <c r="CI425">
        <v>0</v>
      </c>
      <c r="CJ425">
        <v>0</v>
      </c>
      <c r="CK425">
        <v>0</v>
      </c>
      <c r="CL425">
        <v>0</v>
      </c>
      <c r="CM425">
        <v>0</v>
      </c>
      <c r="CN425">
        <v>0</v>
      </c>
      <c r="CO425">
        <v>0</v>
      </c>
      <c r="CP425">
        <v>0</v>
      </c>
      <c r="CQ425">
        <v>0</v>
      </c>
      <c r="CR425">
        <v>0</v>
      </c>
      <c r="CS425">
        <v>0</v>
      </c>
      <c r="CT425">
        <v>0</v>
      </c>
      <c r="CU425">
        <v>0</v>
      </c>
      <c r="CV425">
        <v>0</v>
      </c>
      <c r="CW425">
        <v>0</v>
      </c>
      <c r="CX425">
        <v>0</v>
      </c>
      <c r="CY425">
        <v>0</v>
      </c>
      <c r="CZ425">
        <v>0</v>
      </c>
      <c r="DA425">
        <v>0</v>
      </c>
      <c r="DB425">
        <v>0</v>
      </c>
      <c r="DC425">
        <v>0</v>
      </c>
      <c r="DD425">
        <v>0</v>
      </c>
      <c r="DE425">
        <v>0</v>
      </c>
      <c r="DF425">
        <v>0</v>
      </c>
      <c r="DG425">
        <v>0</v>
      </c>
      <c r="DH425">
        <v>0</v>
      </c>
      <c r="DI425">
        <v>0</v>
      </c>
      <c r="DJ425">
        <v>0</v>
      </c>
      <c r="DK425">
        <v>0</v>
      </c>
      <c r="DL425">
        <v>0</v>
      </c>
      <c r="DM425">
        <v>0</v>
      </c>
      <c r="DN425">
        <v>0</v>
      </c>
      <c r="DO425">
        <v>0</v>
      </c>
      <c r="DP425">
        <v>0</v>
      </c>
      <c r="DQ425">
        <v>0</v>
      </c>
      <c r="DR425">
        <v>0</v>
      </c>
      <c r="DS425">
        <v>0</v>
      </c>
      <c r="DT425">
        <v>0</v>
      </c>
      <c r="DU425">
        <v>0</v>
      </c>
      <c r="DV425">
        <v>0</v>
      </c>
      <c r="DW425">
        <v>0</v>
      </c>
      <c r="DX425">
        <v>0</v>
      </c>
      <c r="DY425">
        <v>0</v>
      </c>
      <c r="DZ425">
        <v>0</v>
      </c>
      <c r="EA425">
        <v>0</v>
      </c>
      <c r="EB425">
        <v>0</v>
      </c>
      <c r="EC425">
        <v>0</v>
      </c>
      <c r="ED425">
        <v>0</v>
      </c>
      <c r="EE425">
        <v>0</v>
      </c>
      <c r="EF425">
        <v>0</v>
      </c>
      <c r="EG425">
        <v>0</v>
      </c>
      <c r="EH425">
        <v>0</v>
      </c>
      <c r="EI425">
        <v>0</v>
      </c>
      <c r="EJ425">
        <v>0</v>
      </c>
      <c r="EK425">
        <v>0</v>
      </c>
      <c r="EL425">
        <v>0</v>
      </c>
      <c r="EM425">
        <v>0</v>
      </c>
      <c r="EN425">
        <v>0</v>
      </c>
      <c r="EO425">
        <v>0</v>
      </c>
      <c r="EP425">
        <v>0</v>
      </c>
      <c r="EQ425">
        <v>0</v>
      </c>
      <c r="ER425">
        <v>0</v>
      </c>
      <c r="ES425">
        <v>0</v>
      </c>
      <c r="ET425">
        <v>0</v>
      </c>
      <c r="EU425">
        <v>0</v>
      </c>
      <c r="EV425">
        <v>0</v>
      </c>
      <c r="EW425">
        <v>0</v>
      </c>
      <c r="EX425">
        <v>0</v>
      </c>
      <c r="EY425">
        <v>0</v>
      </c>
      <c r="EZ425">
        <v>0</v>
      </c>
      <c r="FA425">
        <v>0</v>
      </c>
      <c r="FB425">
        <v>0</v>
      </c>
      <c r="FC425">
        <v>0</v>
      </c>
      <c r="FD425">
        <v>0</v>
      </c>
      <c r="FE425">
        <v>0</v>
      </c>
      <c r="FF425">
        <v>0</v>
      </c>
      <c r="FG425">
        <v>0</v>
      </c>
      <c r="FH425">
        <v>0</v>
      </c>
      <c r="FI425">
        <v>0</v>
      </c>
      <c r="FJ425">
        <v>0</v>
      </c>
      <c r="FK425">
        <v>0</v>
      </c>
      <c r="FL425">
        <v>0</v>
      </c>
      <c r="FM425">
        <v>0</v>
      </c>
      <c r="FN425">
        <v>0</v>
      </c>
      <c r="FO425">
        <v>0</v>
      </c>
      <c r="FP425">
        <v>0</v>
      </c>
      <c r="FQ425">
        <v>0</v>
      </c>
      <c r="FR425">
        <v>0</v>
      </c>
      <c r="FS425">
        <v>0</v>
      </c>
      <c r="FT425">
        <v>0</v>
      </c>
      <c r="FU425">
        <v>0</v>
      </c>
      <c r="FV425">
        <v>0</v>
      </c>
      <c r="FW425">
        <v>0</v>
      </c>
      <c r="FX425">
        <v>0</v>
      </c>
      <c r="FY425">
        <v>0</v>
      </c>
      <c r="FZ425">
        <v>0</v>
      </c>
      <c r="GA425">
        <v>0</v>
      </c>
      <c r="GB425">
        <v>0</v>
      </c>
      <c r="GC425">
        <v>0</v>
      </c>
      <c r="GD425">
        <v>0</v>
      </c>
      <c r="GE425">
        <v>0</v>
      </c>
      <c r="GF425">
        <v>0</v>
      </c>
      <c r="GG425">
        <v>0</v>
      </c>
      <c r="GH425">
        <v>0</v>
      </c>
      <c r="GI425">
        <v>0</v>
      </c>
      <c r="GJ425">
        <v>0</v>
      </c>
      <c r="GK425">
        <v>0</v>
      </c>
      <c r="GL425">
        <v>0</v>
      </c>
      <c r="GM425">
        <v>0</v>
      </c>
      <c r="GN425">
        <v>0</v>
      </c>
      <c r="GO425">
        <v>0</v>
      </c>
      <c r="GP425">
        <v>0</v>
      </c>
      <c r="GQ425">
        <v>0</v>
      </c>
      <c r="GR425">
        <v>0</v>
      </c>
      <c r="GS425">
        <v>0</v>
      </c>
      <c r="GT425">
        <v>0</v>
      </c>
      <c r="GU425">
        <v>0</v>
      </c>
      <c r="GV425">
        <v>0</v>
      </c>
      <c r="GW425">
        <v>0</v>
      </c>
      <c r="GX425">
        <v>0</v>
      </c>
      <c r="GY425">
        <v>0</v>
      </c>
      <c r="GZ425">
        <v>0</v>
      </c>
      <c r="HA425">
        <v>0</v>
      </c>
      <c r="HB425">
        <v>0</v>
      </c>
      <c r="HC425">
        <v>0</v>
      </c>
      <c r="HD425">
        <v>0</v>
      </c>
      <c r="HE425">
        <v>0</v>
      </c>
      <c r="HF425">
        <v>0</v>
      </c>
      <c r="HG425">
        <v>0</v>
      </c>
      <c r="HH425">
        <v>0</v>
      </c>
      <c r="HI425">
        <v>0</v>
      </c>
      <c r="HJ425">
        <v>0</v>
      </c>
      <c r="HK425">
        <v>0</v>
      </c>
      <c r="HL425">
        <v>0</v>
      </c>
      <c r="HM425">
        <v>0</v>
      </c>
      <c r="HN425">
        <v>0</v>
      </c>
      <c r="HO425">
        <v>0</v>
      </c>
      <c r="HP425">
        <v>0</v>
      </c>
      <c r="HQ425">
        <v>0</v>
      </c>
      <c r="HR425">
        <v>0</v>
      </c>
      <c r="HS425">
        <v>0</v>
      </c>
      <c r="HT425">
        <v>0</v>
      </c>
      <c r="HU425">
        <v>0</v>
      </c>
      <c r="HV425">
        <v>0</v>
      </c>
      <c r="HW425">
        <v>0</v>
      </c>
      <c r="HX425">
        <v>0</v>
      </c>
      <c r="HY425">
        <v>0</v>
      </c>
      <c r="HZ425">
        <v>0</v>
      </c>
      <c r="IA425">
        <v>0</v>
      </c>
      <c r="IB425">
        <v>0</v>
      </c>
      <c r="IC425">
        <v>0</v>
      </c>
      <c r="ID425">
        <v>0</v>
      </c>
      <c r="IE425">
        <v>0</v>
      </c>
      <c r="IF425">
        <v>0</v>
      </c>
      <c r="IG425">
        <v>0</v>
      </c>
      <c r="IH425">
        <v>0</v>
      </c>
      <c r="II425">
        <v>0</v>
      </c>
      <c r="IJ425">
        <v>0</v>
      </c>
      <c r="IK425">
        <v>0</v>
      </c>
      <c r="IL425">
        <v>0</v>
      </c>
      <c r="IM425">
        <v>0</v>
      </c>
      <c r="IN425">
        <v>0</v>
      </c>
      <c r="IO425">
        <v>0</v>
      </c>
      <c r="IP425">
        <v>0</v>
      </c>
      <c r="IQ425">
        <v>0</v>
      </c>
      <c r="IR425">
        <v>0</v>
      </c>
      <c r="IS425">
        <v>0</v>
      </c>
      <c r="IT425">
        <v>0</v>
      </c>
      <c r="IU425">
        <v>0</v>
      </c>
      <c r="IV425">
        <v>0</v>
      </c>
      <c r="IW425">
        <v>0</v>
      </c>
      <c r="IX425">
        <v>0</v>
      </c>
      <c r="IY425">
        <v>0</v>
      </c>
      <c r="IZ425">
        <v>0</v>
      </c>
      <c r="JA425">
        <v>0</v>
      </c>
      <c r="JB425">
        <v>0</v>
      </c>
      <c r="JC425">
        <v>0</v>
      </c>
      <c r="JD425">
        <v>0</v>
      </c>
      <c r="JE425">
        <v>0</v>
      </c>
      <c r="JF425">
        <v>0</v>
      </c>
      <c r="JG425">
        <v>0</v>
      </c>
      <c r="JH425">
        <v>0</v>
      </c>
      <c r="JI425">
        <v>0</v>
      </c>
      <c r="JJ425">
        <v>0</v>
      </c>
      <c r="JK425">
        <v>0</v>
      </c>
      <c r="JL425">
        <v>0</v>
      </c>
      <c r="JM425">
        <v>0</v>
      </c>
      <c r="JN425">
        <v>0</v>
      </c>
      <c r="JO425">
        <v>0</v>
      </c>
      <c r="JP425">
        <v>0</v>
      </c>
      <c r="JQ425">
        <v>0</v>
      </c>
      <c r="JR425">
        <v>0</v>
      </c>
      <c r="JS425">
        <v>0</v>
      </c>
      <c r="JT425">
        <v>0</v>
      </c>
      <c r="JU425">
        <v>0</v>
      </c>
      <c r="JV425">
        <v>0</v>
      </c>
      <c r="JW425">
        <v>0</v>
      </c>
      <c r="JX425">
        <v>0</v>
      </c>
      <c r="JY425">
        <v>0</v>
      </c>
      <c r="JZ425">
        <v>0</v>
      </c>
      <c r="KA425">
        <v>0</v>
      </c>
      <c r="KB425">
        <v>0</v>
      </c>
      <c r="KC425">
        <v>0</v>
      </c>
      <c r="KD425">
        <v>0</v>
      </c>
      <c r="KE425">
        <v>0</v>
      </c>
      <c r="KF425">
        <v>0</v>
      </c>
      <c r="KG425">
        <v>0</v>
      </c>
      <c r="KH425">
        <v>0</v>
      </c>
      <c r="KI425">
        <v>0</v>
      </c>
      <c r="KJ425">
        <v>0</v>
      </c>
      <c r="KK425">
        <v>0</v>
      </c>
      <c r="KL425">
        <v>0</v>
      </c>
      <c r="KM425">
        <v>0</v>
      </c>
      <c r="KN425">
        <v>0</v>
      </c>
      <c r="KO425">
        <v>0</v>
      </c>
      <c r="KP425">
        <v>0</v>
      </c>
      <c r="KQ425">
        <v>0</v>
      </c>
      <c r="KR425">
        <v>0</v>
      </c>
      <c r="KS425">
        <v>0</v>
      </c>
      <c r="KT425">
        <v>0</v>
      </c>
      <c r="KU425">
        <v>0</v>
      </c>
      <c r="KV425">
        <v>0</v>
      </c>
      <c r="KW425">
        <v>0</v>
      </c>
      <c r="KX425">
        <v>0</v>
      </c>
      <c r="KY425">
        <v>0</v>
      </c>
      <c r="KZ425">
        <v>0</v>
      </c>
      <c r="LA425">
        <v>0</v>
      </c>
      <c r="LB425">
        <v>0</v>
      </c>
      <c r="LC425">
        <v>0</v>
      </c>
      <c r="LD425">
        <v>0</v>
      </c>
      <c r="LE425">
        <v>0</v>
      </c>
      <c r="LF425">
        <v>0</v>
      </c>
      <c r="LG425">
        <v>0</v>
      </c>
      <c r="LH425">
        <v>0</v>
      </c>
      <c r="LI425">
        <v>0</v>
      </c>
      <c r="LJ425">
        <v>0</v>
      </c>
      <c r="LK425">
        <v>0</v>
      </c>
      <c r="LL425">
        <v>0</v>
      </c>
      <c r="LM425">
        <v>0</v>
      </c>
      <c r="LN425">
        <v>0</v>
      </c>
      <c r="LO425">
        <v>0</v>
      </c>
      <c r="LP425">
        <v>0</v>
      </c>
      <c r="LQ425">
        <v>0</v>
      </c>
      <c r="LR425">
        <v>0</v>
      </c>
      <c r="LS425">
        <v>0</v>
      </c>
      <c r="LT425">
        <v>0</v>
      </c>
      <c r="LU425">
        <v>0</v>
      </c>
      <c r="LV425">
        <v>0</v>
      </c>
      <c r="LW425">
        <v>0</v>
      </c>
      <c r="LX425">
        <v>0</v>
      </c>
      <c r="LY425">
        <v>0</v>
      </c>
      <c r="LZ425">
        <v>0</v>
      </c>
      <c r="MA425">
        <v>0</v>
      </c>
      <c r="MB425">
        <v>0</v>
      </c>
      <c r="MC425">
        <v>0</v>
      </c>
      <c r="MD425">
        <v>0</v>
      </c>
      <c r="ME425">
        <v>0</v>
      </c>
      <c r="MF425">
        <v>0</v>
      </c>
      <c r="MG425">
        <v>0</v>
      </c>
      <c r="MH425">
        <v>0</v>
      </c>
      <c r="MI425">
        <v>0</v>
      </c>
      <c r="MJ425">
        <v>0</v>
      </c>
      <c r="MK425">
        <v>0</v>
      </c>
      <c r="ML425">
        <v>0</v>
      </c>
      <c r="MM425">
        <v>0</v>
      </c>
      <c r="MN425">
        <v>0</v>
      </c>
      <c r="MO425">
        <v>0</v>
      </c>
      <c r="MP425">
        <v>0</v>
      </c>
      <c r="MQ425">
        <v>0</v>
      </c>
      <c r="MR425">
        <v>0</v>
      </c>
      <c r="MS425">
        <v>0</v>
      </c>
      <c r="MT425">
        <v>0</v>
      </c>
      <c r="MU425">
        <v>0</v>
      </c>
      <c r="MV425">
        <v>0</v>
      </c>
      <c r="MW425">
        <v>0</v>
      </c>
      <c r="MX425">
        <v>0</v>
      </c>
      <c r="MY425">
        <v>0</v>
      </c>
      <c r="MZ425">
        <v>0</v>
      </c>
      <c r="NA425">
        <v>0</v>
      </c>
      <c r="NB425">
        <v>0</v>
      </c>
      <c r="NC425">
        <v>0</v>
      </c>
      <c r="ND425">
        <v>0</v>
      </c>
      <c r="NE425">
        <v>0</v>
      </c>
    </row>
    <row r="426" spans="41:369" x14ac:dyDescent="0.45">
      <c r="AO426">
        <v>0</v>
      </c>
      <c r="AP426">
        <v>0</v>
      </c>
      <c r="AQ426">
        <v>0</v>
      </c>
      <c r="AR426">
        <v>0</v>
      </c>
      <c r="AS426">
        <v>0</v>
      </c>
      <c r="AT426">
        <v>0</v>
      </c>
      <c r="AU426">
        <v>0</v>
      </c>
      <c r="AV426">
        <v>0</v>
      </c>
      <c r="AW426" t="str">
        <v/>
      </c>
      <c r="AX426">
        <v>255</v>
      </c>
      <c r="AY426" s="5" t="str">
        <v/>
      </c>
      <c r="AZ426">
        <v>0</v>
      </c>
      <c r="BA426">
        <v>0</v>
      </c>
      <c r="BB426">
        <v>0</v>
      </c>
      <c r="BC426">
        <v>0</v>
      </c>
      <c r="BD426">
        <v>0</v>
      </c>
      <c r="BE426">
        <v>0</v>
      </c>
      <c r="BF426">
        <v>0</v>
      </c>
      <c r="BG426">
        <v>0</v>
      </c>
      <c r="BH426">
        <v>0</v>
      </c>
      <c r="BI426" t="str">
        <v/>
      </c>
      <c r="BK426">
        <v>420</v>
      </c>
      <c r="BL426">
        <v>0</v>
      </c>
      <c r="BM426">
        <v>0</v>
      </c>
      <c r="BN426">
        <v>0</v>
      </c>
      <c r="BO426">
        <v>0</v>
      </c>
      <c r="BP426">
        <v>0</v>
      </c>
      <c r="BQ426">
        <v>0</v>
      </c>
      <c r="BR426">
        <v>0</v>
      </c>
      <c r="BS426">
        <v>0</v>
      </c>
      <c r="BT426">
        <v>0</v>
      </c>
      <c r="BU426">
        <v>0</v>
      </c>
      <c r="BV426">
        <v>0</v>
      </c>
      <c r="BW426">
        <v>0</v>
      </c>
      <c r="BX426">
        <v>0</v>
      </c>
      <c r="BY426">
        <v>0</v>
      </c>
      <c r="BZ426">
        <v>0</v>
      </c>
      <c r="CA426">
        <v>0</v>
      </c>
      <c r="CB426">
        <v>0</v>
      </c>
      <c r="CC426">
        <v>0</v>
      </c>
      <c r="CD426">
        <v>0</v>
      </c>
      <c r="CE426">
        <v>0</v>
      </c>
      <c r="CF426">
        <v>0</v>
      </c>
      <c r="CG426">
        <v>0</v>
      </c>
      <c r="CH426">
        <v>0</v>
      </c>
      <c r="CI426">
        <v>0</v>
      </c>
      <c r="CJ426">
        <v>0</v>
      </c>
      <c r="CK426">
        <v>0</v>
      </c>
      <c r="CL426">
        <v>0</v>
      </c>
      <c r="CM426">
        <v>0</v>
      </c>
      <c r="CN426">
        <v>0</v>
      </c>
      <c r="CO426">
        <v>0</v>
      </c>
      <c r="CP426">
        <v>0</v>
      </c>
      <c r="CQ426">
        <v>0</v>
      </c>
      <c r="CR426">
        <v>0</v>
      </c>
      <c r="CS426">
        <v>0</v>
      </c>
      <c r="CT426">
        <v>0</v>
      </c>
      <c r="CU426">
        <v>0</v>
      </c>
      <c r="CV426">
        <v>0</v>
      </c>
      <c r="CW426">
        <v>0</v>
      </c>
      <c r="CX426">
        <v>0</v>
      </c>
      <c r="CY426">
        <v>0</v>
      </c>
      <c r="CZ426">
        <v>0</v>
      </c>
      <c r="DA426">
        <v>0</v>
      </c>
      <c r="DB426">
        <v>0</v>
      </c>
      <c r="DC426">
        <v>0</v>
      </c>
      <c r="DD426">
        <v>0</v>
      </c>
      <c r="DE426">
        <v>0</v>
      </c>
      <c r="DF426">
        <v>0</v>
      </c>
      <c r="DG426">
        <v>0</v>
      </c>
      <c r="DH426">
        <v>0</v>
      </c>
      <c r="DI426">
        <v>0</v>
      </c>
      <c r="DJ426">
        <v>0</v>
      </c>
      <c r="DK426">
        <v>0</v>
      </c>
      <c r="DL426">
        <v>0</v>
      </c>
      <c r="DM426">
        <v>0</v>
      </c>
      <c r="DN426">
        <v>0</v>
      </c>
      <c r="DO426">
        <v>0</v>
      </c>
      <c r="DP426">
        <v>0</v>
      </c>
      <c r="DQ426">
        <v>0</v>
      </c>
      <c r="DR426">
        <v>0</v>
      </c>
      <c r="DS426">
        <v>0</v>
      </c>
      <c r="DT426">
        <v>0</v>
      </c>
      <c r="DU426">
        <v>0</v>
      </c>
      <c r="DV426">
        <v>0</v>
      </c>
      <c r="DW426">
        <v>0</v>
      </c>
      <c r="DX426">
        <v>0</v>
      </c>
      <c r="DY426">
        <v>0</v>
      </c>
      <c r="DZ426">
        <v>0</v>
      </c>
      <c r="EA426">
        <v>0</v>
      </c>
      <c r="EB426">
        <v>0</v>
      </c>
      <c r="EC426">
        <v>0</v>
      </c>
      <c r="ED426">
        <v>0</v>
      </c>
      <c r="EE426">
        <v>0</v>
      </c>
      <c r="EF426">
        <v>0</v>
      </c>
      <c r="EG426">
        <v>0</v>
      </c>
      <c r="EH426">
        <v>0</v>
      </c>
      <c r="EI426">
        <v>0</v>
      </c>
      <c r="EJ426">
        <v>0</v>
      </c>
      <c r="EK426">
        <v>0</v>
      </c>
      <c r="EL426">
        <v>0</v>
      </c>
      <c r="EM426">
        <v>0</v>
      </c>
      <c r="EN426">
        <v>0</v>
      </c>
      <c r="EO426">
        <v>0</v>
      </c>
      <c r="EP426">
        <v>0</v>
      </c>
      <c r="EQ426">
        <v>0</v>
      </c>
      <c r="ER426">
        <v>0</v>
      </c>
      <c r="ES426">
        <v>0</v>
      </c>
      <c r="ET426">
        <v>0</v>
      </c>
      <c r="EU426">
        <v>0</v>
      </c>
      <c r="EV426">
        <v>0</v>
      </c>
      <c r="EW426">
        <v>0</v>
      </c>
      <c r="EX426">
        <v>0</v>
      </c>
      <c r="EY426">
        <v>0</v>
      </c>
      <c r="EZ426">
        <v>0</v>
      </c>
      <c r="FA426">
        <v>0</v>
      </c>
      <c r="FB426">
        <v>0</v>
      </c>
      <c r="FC426">
        <v>0</v>
      </c>
      <c r="FD426">
        <v>0</v>
      </c>
      <c r="FE426">
        <v>0</v>
      </c>
      <c r="FF426">
        <v>0</v>
      </c>
      <c r="FG426">
        <v>0</v>
      </c>
      <c r="FH426">
        <v>0</v>
      </c>
      <c r="FI426">
        <v>0</v>
      </c>
      <c r="FJ426">
        <v>0</v>
      </c>
      <c r="FK426">
        <v>0</v>
      </c>
      <c r="FL426">
        <v>0</v>
      </c>
      <c r="FM426">
        <v>0</v>
      </c>
      <c r="FN426">
        <v>0</v>
      </c>
      <c r="FO426">
        <v>0</v>
      </c>
      <c r="FP426">
        <v>0</v>
      </c>
      <c r="FQ426">
        <v>0</v>
      </c>
      <c r="FR426">
        <v>0</v>
      </c>
      <c r="FS426">
        <v>0</v>
      </c>
      <c r="FT426">
        <v>0</v>
      </c>
      <c r="FU426">
        <v>0</v>
      </c>
      <c r="FV426">
        <v>0</v>
      </c>
      <c r="FW426">
        <v>0</v>
      </c>
      <c r="FX426">
        <v>0</v>
      </c>
      <c r="FY426">
        <v>0</v>
      </c>
      <c r="FZ426">
        <v>0</v>
      </c>
      <c r="GA426">
        <v>0</v>
      </c>
      <c r="GB426">
        <v>0</v>
      </c>
      <c r="GC426">
        <v>0</v>
      </c>
      <c r="GD426">
        <v>0</v>
      </c>
      <c r="GE426">
        <v>0</v>
      </c>
      <c r="GF426">
        <v>0</v>
      </c>
      <c r="GG426">
        <v>0</v>
      </c>
      <c r="GH426">
        <v>0</v>
      </c>
      <c r="GI426">
        <v>0</v>
      </c>
      <c r="GJ426">
        <v>0</v>
      </c>
      <c r="GK426">
        <v>0</v>
      </c>
      <c r="GL426">
        <v>0</v>
      </c>
      <c r="GM426">
        <v>0</v>
      </c>
      <c r="GN426">
        <v>0</v>
      </c>
      <c r="GO426">
        <v>0</v>
      </c>
      <c r="GP426">
        <v>0</v>
      </c>
      <c r="GQ426">
        <v>0</v>
      </c>
      <c r="GR426">
        <v>0</v>
      </c>
      <c r="GS426">
        <v>0</v>
      </c>
      <c r="GT426">
        <v>0</v>
      </c>
      <c r="GU426">
        <v>0</v>
      </c>
      <c r="GV426">
        <v>0</v>
      </c>
      <c r="GW426">
        <v>0</v>
      </c>
      <c r="GX426">
        <v>0</v>
      </c>
      <c r="GY426">
        <v>0</v>
      </c>
      <c r="GZ426">
        <v>0</v>
      </c>
      <c r="HA426">
        <v>0</v>
      </c>
      <c r="HB426">
        <v>0</v>
      </c>
      <c r="HC426">
        <v>0</v>
      </c>
      <c r="HD426">
        <v>0</v>
      </c>
      <c r="HE426">
        <v>0</v>
      </c>
      <c r="HF426">
        <v>0</v>
      </c>
      <c r="HG426">
        <v>0</v>
      </c>
      <c r="HH426">
        <v>0</v>
      </c>
      <c r="HI426">
        <v>0</v>
      </c>
      <c r="HJ426">
        <v>0</v>
      </c>
      <c r="HK426">
        <v>0</v>
      </c>
      <c r="HL426">
        <v>0</v>
      </c>
      <c r="HM426">
        <v>0</v>
      </c>
      <c r="HN426">
        <v>0</v>
      </c>
      <c r="HO426">
        <v>0</v>
      </c>
      <c r="HP426">
        <v>0</v>
      </c>
      <c r="HQ426">
        <v>0</v>
      </c>
      <c r="HR426">
        <v>0</v>
      </c>
      <c r="HS426">
        <v>0</v>
      </c>
      <c r="HT426">
        <v>0</v>
      </c>
      <c r="HU426">
        <v>0</v>
      </c>
      <c r="HV426">
        <v>0</v>
      </c>
      <c r="HW426">
        <v>0</v>
      </c>
      <c r="HX426">
        <v>0</v>
      </c>
      <c r="HY426">
        <v>0</v>
      </c>
      <c r="HZ426">
        <v>0</v>
      </c>
      <c r="IA426">
        <v>0</v>
      </c>
      <c r="IB426">
        <v>0</v>
      </c>
      <c r="IC426">
        <v>0</v>
      </c>
      <c r="ID426">
        <v>0</v>
      </c>
      <c r="IE426">
        <v>0</v>
      </c>
      <c r="IF426">
        <v>0</v>
      </c>
      <c r="IG426">
        <v>0</v>
      </c>
      <c r="IH426">
        <v>0</v>
      </c>
      <c r="II426">
        <v>0</v>
      </c>
      <c r="IJ426">
        <v>0</v>
      </c>
      <c r="IK426">
        <v>0</v>
      </c>
      <c r="IL426">
        <v>0</v>
      </c>
      <c r="IM426">
        <v>0</v>
      </c>
      <c r="IN426">
        <v>0</v>
      </c>
      <c r="IO426">
        <v>0</v>
      </c>
      <c r="IP426">
        <v>0</v>
      </c>
      <c r="IQ426">
        <v>0</v>
      </c>
      <c r="IR426">
        <v>0</v>
      </c>
      <c r="IS426">
        <v>0</v>
      </c>
      <c r="IT426">
        <v>0</v>
      </c>
      <c r="IU426">
        <v>0</v>
      </c>
      <c r="IV426">
        <v>0</v>
      </c>
      <c r="IW426">
        <v>0</v>
      </c>
      <c r="IX426">
        <v>0</v>
      </c>
      <c r="IY426">
        <v>0</v>
      </c>
      <c r="IZ426">
        <v>0</v>
      </c>
      <c r="JA426">
        <v>0</v>
      </c>
      <c r="JB426">
        <v>0</v>
      </c>
      <c r="JC426">
        <v>0</v>
      </c>
      <c r="JD426">
        <v>0</v>
      </c>
      <c r="JE426">
        <v>0</v>
      </c>
      <c r="JF426">
        <v>0</v>
      </c>
      <c r="JG426">
        <v>0</v>
      </c>
      <c r="JH426">
        <v>0</v>
      </c>
      <c r="JI426">
        <v>0</v>
      </c>
      <c r="JJ426">
        <v>0</v>
      </c>
      <c r="JK426">
        <v>0</v>
      </c>
      <c r="JL426">
        <v>0</v>
      </c>
      <c r="JM426">
        <v>0</v>
      </c>
      <c r="JN426">
        <v>0</v>
      </c>
      <c r="JO426">
        <v>0</v>
      </c>
      <c r="JP426">
        <v>0</v>
      </c>
      <c r="JQ426">
        <v>0</v>
      </c>
      <c r="JR426">
        <v>0</v>
      </c>
      <c r="JS426">
        <v>0</v>
      </c>
      <c r="JT426">
        <v>0</v>
      </c>
      <c r="JU426">
        <v>0</v>
      </c>
      <c r="JV426">
        <v>0</v>
      </c>
      <c r="JW426">
        <v>0</v>
      </c>
      <c r="JX426">
        <v>0</v>
      </c>
      <c r="JY426">
        <v>0</v>
      </c>
      <c r="JZ426">
        <v>0</v>
      </c>
      <c r="KA426">
        <v>0</v>
      </c>
      <c r="KB426">
        <v>0</v>
      </c>
      <c r="KC426">
        <v>0</v>
      </c>
      <c r="KD426">
        <v>0</v>
      </c>
      <c r="KE426">
        <v>0</v>
      </c>
      <c r="KF426">
        <v>0</v>
      </c>
      <c r="KG426">
        <v>0</v>
      </c>
      <c r="KH426">
        <v>0</v>
      </c>
      <c r="KI426">
        <v>0</v>
      </c>
      <c r="KJ426">
        <v>0</v>
      </c>
      <c r="KK426">
        <v>0</v>
      </c>
      <c r="KL426">
        <v>0</v>
      </c>
      <c r="KM426">
        <v>0</v>
      </c>
      <c r="KN426">
        <v>0</v>
      </c>
      <c r="KO426">
        <v>0</v>
      </c>
      <c r="KP426">
        <v>0</v>
      </c>
      <c r="KQ426">
        <v>0</v>
      </c>
      <c r="KR426">
        <v>0</v>
      </c>
      <c r="KS426">
        <v>0</v>
      </c>
      <c r="KT426">
        <v>0</v>
      </c>
      <c r="KU426">
        <v>0</v>
      </c>
      <c r="KV426">
        <v>0</v>
      </c>
      <c r="KW426">
        <v>0</v>
      </c>
      <c r="KX426">
        <v>0</v>
      </c>
      <c r="KY426">
        <v>0</v>
      </c>
      <c r="KZ426">
        <v>0</v>
      </c>
      <c r="LA426">
        <v>0</v>
      </c>
      <c r="LB426">
        <v>0</v>
      </c>
      <c r="LC426">
        <v>0</v>
      </c>
      <c r="LD426">
        <v>0</v>
      </c>
      <c r="LE426">
        <v>0</v>
      </c>
      <c r="LF426">
        <v>0</v>
      </c>
      <c r="LG426">
        <v>0</v>
      </c>
      <c r="LH426">
        <v>0</v>
      </c>
      <c r="LI426">
        <v>0</v>
      </c>
      <c r="LJ426">
        <v>0</v>
      </c>
      <c r="LK426">
        <v>0</v>
      </c>
      <c r="LL426">
        <v>0</v>
      </c>
      <c r="LM426">
        <v>0</v>
      </c>
      <c r="LN426">
        <v>0</v>
      </c>
      <c r="LO426">
        <v>0</v>
      </c>
      <c r="LP426">
        <v>0</v>
      </c>
      <c r="LQ426">
        <v>0</v>
      </c>
      <c r="LR426">
        <v>0</v>
      </c>
      <c r="LS426">
        <v>0</v>
      </c>
      <c r="LT426">
        <v>0</v>
      </c>
      <c r="LU426">
        <v>0</v>
      </c>
      <c r="LV426">
        <v>0</v>
      </c>
      <c r="LW426">
        <v>0</v>
      </c>
      <c r="LX426">
        <v>0</v>
      </c>
      <c r="LY426">
        <v>0</v>
      </c>
      <c r="LZ426">
        <v>0</v>
      </c>
      <c r="MA426">
        <v>0</v>
      </c>
      <c r="MB426">
        <v>0</v>
      </c>
      <c r="MC426">
        <v>0</v>
      </c>
      <c r="MD426">
        <v>0</v>
      </c>
      <c r="ME426">
        <v>0</v>
      </c>
      <c r="MF426">
        <v>0</v>
      </c>
      <c r="MG426">
        <v>0</v>
      </c>
      <c r="MH426">
        <v>0</v>
      </c>
      <c r="MI426">
        <v>0</v>
      </c>
      <c r="MJ426">
        <v>0</v>
      </c>
      <c r="MK426">
        <v>0</v>
      </c>
      <c r="ML426">
        <v>0</v>
      </c>
      <c r="MM426">
        <v>0</v>
      </c>
      <c r="MN426">
        <v>0</v>
      </c>
      <c r="MO426">
        <v>0</v>
      </c>
      <c r="MP426">
        <v>0</v>
      </c>
      <c r="MQ426">
        <v>0</v>
      </c>
      <c r="MR426">
        <v>0</v>
      </c>
      <c r="MS426">
        <v>0</v>
      </c>
      <c r="MT426">
        <v>0</v>
      </c>
      <c r="MU426">
        <v>0</v>
      </c>
      <c r="MV426">
        <v>0</v>
      </c>
      <c r="MW426">
        <v>0</v>
      </c>
      <c r="MX426">
        <v>0</v>
      </c>
      <c r="MY426">
        <v>0</v>
      </c>
      <c r="MZ426">
        <v>0</v>
      </c>
      <c r="NA426">
        <v>0</v>
      </c>
      <c r="NB426">
        <v>0</v>
      </c>
      <c r="NC426">
        <v>0</v>
      </c>
      <c r="ND426">
        <v>0</v>
      </c>
      <c r="NE426">
        <v>0</v>
      </c>
    </row>
    <row r="427" spans="41:369" x14ac:dyDescent="0.45">
      <c r="AO427">
        <v>0</v>
      </c>
      <c r="AP427">
        <v>0</v>
      </c>
      <c r="AQ427">
        <v>0</v>
      </c>
      <c r="AR427">
        <v>0</v>
      </c>
      <c r="AS427">
        <v>0</v>
      </c>
      <c r="AT427">
        <v>0</v>
      </c>
      <c r="AU427">
        <v>0</v>
      </c>
      <c r="AV427">
        <v>0</v>
      </c>
      <c r="AW427" t="str">
        <v/>
      </c>
      <c r="AX427">
        <v>255</v>
      </c>
      <c r="AY427" s="5" t="str">
        <v/>
      </c>
      <c r="AZ427">
        <v>0</v>
      </c>
      <c r="BA427">
        <v>0</v>
      </c>
      <c r="BB427">
        <v>0</v>
      </c>
      <c r="BC427">
        <v>0</v>
      </c>
      <c r="BD427">
        <v>0</v>
      </c>
      <c r="BE427">
        <v>0</v>
      </c>
      <c r="BF427">
        <v>0</v>
      </c>
      <c r="BG427">
        <v>0</v>
      </c>
      <c r="BH427">
        <v>0</v>
      </c>
      <c r="BI427" t="str">
        <v/>
      </c>
      <c r="BK427">
        <v>421</v>
      </c>
      <c r="BL427">
        <v>0</v>
      </c>
      <c r="BM427">
        <v>0</v>
      </c>
      <c r="BN427">
        <v>0</v>
      </c>
      <c r="BO427">
        <v>0</v>
      </c>
      <c r="BP427">
        <v>0</v>
      </c>
      <c r="BQ427">
        <v>0</v>
      </c>
      <c r="BR427">
        <v>0</v>
      </c>
      <c r="BS427">
        <v>0</v>
      </c>
      <c r="BT427">
        <v>0</v>
      </c>
      <c r="BU427">
        <v>0</v>
      </c>
      <c r="BV427">
        <v>0</v>
      </c>
      <c r="BW427">
        <v>0</v>
      </c>
      <c r="BX427">
        <v>0</v>
      </c>
      <c r="BY427">
        <v>0</v>
      </c>
      <c r="BZ427">
        <v>0</v>
      </c>
      <c r="CA427">
        <v>0</v>
      </c>
      <c r="CB427">
        <v>0</v>
      </c>
      <c r="CC427">
        <v>0</v>
      </c>
      <c r="CD427">
        <v>0</v>
      </c>
      <c r="CE427">
        <v>0</v>
      </c>
      <c r="CF427">
        <v>0</v>
      </c>
      <c r="CG427">
        <v>0</v>
      </c>
      <c r="CH427">
        <v>0</v>
      </c>
      <c r="CI427">
        <v>0</v>
      </c>
      <c r="CJ427">
        <v>0</v>
      </c>
      <c r="CK427">
        <v>0</v>
      </c>
      <c r="CL427">
        <v>0</v>
      </c>
      <c r="CM427">
        <v>0</v>
      </c>
      <c r="CN427">
        <v>0</v>
      </c>
      <c r="CO427">
        <v>0</v>
      </c>
      <c r="CP427">
        <v>0</v>
      </c>
      <c r="CQ427">
        <v>0</v>
      </c>
      <c r="CR427">
        <v>0</v>
      </c>
      <c r="CS427">
        <v>0</v>
      </c>
      <c r="CT427">
        <v>0</v>
      </c>
      <c r="CU427">
        <v>0</v>
      </c>
      <c r="CV427">
        <v>0</v>
      </c>
      <c r="CW427">
        <v>0</v>
      </c>
      <c r="CX427">
        <v>0</v>
      </c>
      <c r="CY427">
        <v>0</v>
      </c>
      <c r="CZ427">
        <v>0</v>
      </c>
      <c r="DA427">
        <v>0</v>
      </c>
      <c r="DB427">
        <v>0</v>
      </c>
      <c r="DC427">
        <v>0</v>
      </c>
      <c r="DD427">
        <v>0</v>
      </c>
      <c r="DE427">
        <v>0</v>
      </c>
      <c r="DF427">
        <v>0</v>
      </c>
      <c r="DG427">
        <v>0</v>
      </c>
      <c r="DH427">
        <v>0</v>
      </c>
      <c r="DI427">
        <v>0</v>
      </c>
      <c r="DJ427">
        <v>0</v>
      </c>
      <c r="DK427">
        <v>0</v>
      </c>
      <c r="DL427">
        <v>0</v>
      </c>
      <c r="DM427">
        <v>0</v>
      </c>
      <c r="DN427">
        <v>0</v>
      </c>
      <c r="DO427">
        <v>0</v>
      </c>
      <c r="DP427">
        <v>0</v>
      </c>
      <c r="DQ427">
        <v>0</v>
      </c>
      <c r="DR427">
        <v>0</v>
      </c>
      <c r="DS427">
        <v>0</v>
      </c>
      <c r="DT427">
        <v>0</v>
      </c>
      <c r="DU427">
        <v>0</v>
      </c>
      <c r="DV427">
        <v>0</v>
      </c>
      <c r="DW427">
        <v>0</v>
      </c>
      <c r="DX427">
        <v>0</v>
      </c>
      <c r="DY427">
        <v>0</v>
      </c>
      <c r="DZ427">
        <v>0</v>
      </c>
      <c r="EA427">
        <v>0</v>
      </c>
      <c r="EB427">
        <v>0</v>
      </c>
      <c r="EC427">
        <v>0</v>
      </c>
      <c r="ED427">
        <v>0</v>
      </c>
      <c r="EE427">
        <v>0</v>
      </c>
      <c r="EF427">
        <v>0</v>
      </c>
      <c r="EG427">
        <v>0</v>
      </c>
      <c r="EH427">
        <v>0</v>
      </c>
      <c r="EI427">
        <v>0</v>
      </c>
      <c r="EJ427">
        <v>0</v>
      </c>
      <c r="EK427">
        <v>0</v>
      </c>
      <c r="EL427">
        <v>0</v>
      </c>
      <c r="EM427">
        <v>0</v>
      </c>
      <c r="EN427">
        <v>0</v>
      </c>
      <c r="EO427">
        <v>0</v>
      </c>
      <c r="EP427">
        <v>0</v>
      </c>
      <c r="EQ427">
        <v>0</v>
      </c>
      <c r="ER427">
        <v>0</v>
      </c>
      <c r="ES427">
        <v>0</v>
      </c>
      <c r="ET427">
        <v>0</v>
      </c>
      <c r="EU427">
        <v>0</v>
      </c>
      <c r="EV427">
        <v>0</v>
      </c>
      <c r="EW427">
        <v>0</v>
      </c>
      <c r="EX427">
        <v>0</v>
      </c>
      <c r="EY427">
        <v>0</v>
      </c>
      <c r="EZ427">
        <v>0</v>
      </c>
      <c r="FA427">
        <v>0</v>
      </c>
      <c r="FB427">
        <v>0</v>
      </c>
      <c r="FC427">
        <v>0</v>
      </c>
      <c r="FD427">
        <v>0</v>
      </c>
      <c r="FE427">
        <v>0</v>
      </c>
      <c r="FF427">
        <v>0</v>
      </c>
      <c r="FG427">
        <v>0</v>
      </c>
      <c r="FH427">
        <v>0</v>
      </c>
      <c r="FI427">
        <v>0</v>
      </c>
      <c r="FJ427">
        <v>0</v>
      </c>
      <c r="FK427">
        <v>0</v>
      </c>
      <c r="FL427">
        <v>0</v>
      </c>
      <c r="FM427">
        <v>0</v>
      </c>
      <c r="FN427">
        <v>0</v>
      </c>
      <c r="FO427">
        <v>0</v>
      </c>
      <c r="FP427">
        <v>0</v>
      </c>
      <c r="FQ427">
        <v>0</v>
      </c>
      <c r="FR427">
        <v>0</v>
      </c>
      <c r="FS427">
        <v>0</v>
      </c>
      <c r="FT427">
        <v>0</v>
      </c>
      <c r="FU427">
        <v>0</v>
      </c>
      <c r="FV427">
        <v>0</v>
      </c>
      <c r="FW427">
        <v>0</v>
      </c>
      <c r="FX427">
        <v>0</v>
      </c>
      <c r="FY427">
        <v>0</v>
      </c>
      <c r="FZ427">
        <v>0</v>
      </c>
      <c r="GA427">
        <v>0</v>
      </c>
      <c r="GB427">
        <v>0</v>
      </c>
      <c r="GC427">
        <v>0</v>
      </c>
      <c r="GD427">
        <v>0</v>
      </c>
      <c r="GE427">
        <v>0</v>
      </c>
      <c r="GF427">
        <v>0</v>
      </c>
      <c r="GG427">
        <v>0</v>
      </c>
      <c r="GH427">
        <v>0</v>
      </c>
      <c r="GI427">
        <v>0</v>
      </c>
      <c r="GJ427">
        <v>0</v>
      </c>
      <c r="GK427">
        <v>0</v>
      </c>
      <c r="GL427">
        <v>0</v>
      </c>
      <c r="GM427">
        <v>0</v>
      </c>
      <c r="GN427">
        <v>0</v>
      </c>
      <c r="GO427">
        <v>0</v>
      </c>
      <c r="GP427">
        <v>0</v>
      </c>
      <c r="GQ427">
        <v>0</v>
      </c>
      <c r="GR427">
        <v>0</v>
      </c>
      <c r="GS427">
        <v>0</v>
      </c>
      <c r="GT427">
        <v>0</v>
      </c>
      <c r="GU427">
        <v>0</v>
      </c>
      <c r="GV427">
        <v>0</v>
      </c>
      <c r="GW427">
        <v>0</v>
      </c>
      <c r="GX427">
        <v>0</v>
      </c>
      <c r="GY427">
        <v>0</v>
      </c>
      <c r="GZ427">
        <v>0</v>
      </c>
      <c r="HA427">
        <v>0</v>
      </c>
      <c r="HB427">
        <v>0</v>
      </c>
      <c r="HC427">
        <v>0</v>
      </c>
      <c r="HD427">
        <v>0</v>
      </c>
      <c r="HE427">
        <v>0</v>
      </c>
      <c r="HF427">
        <v>0</v>
      </c>
      <c r="HG427">
        <v>0</v>
      </c>
      <c r="HH427">
        <v>0</v>
      </c>
      <c r="HI427">
        <v>0</v>
      </c>
      <c r="HJ427">
        <v>0</v>
      </c>
      <c r="HK427">
        <v>0</v>
      </c>
      <c r="HL427">
        <v>0</v>
      </c>
      <c r="HM427">
        <v>0</v>
      </c>
      <c r="HN427">
        <v>0</v>
      </c>
      <c r="HO427">
        <v>0</v>
      </c>
      <c r="HP427">
        <v>0</v>
      </c>
      <c r="HQ427">
        <v>0</v>
      </c>
      <c r="HR427">
        <v>0</v>
      </c>
      <c r="HS427">
        <v>0</v>
      </c>
      <c r="HT427">
        <v>0</v>
      </c>
      <c r="HU427">
        <v>0</v>
      </c>
      <c r="HV427">
        <v>0</v>
      </c>
      <c r="HW427">
        <v>0</v>
      </c>
      <c r="HX427">
        <v>0</v>
      </c>
      <c r="HY427">
        <v>0</v>
      </c>
      <c r="HZ427">
        <v>0</v>
      </c>
      <c r="IA427">
        <v>0</v>
      </c>
      <c r="IB427">
        <v>0</v>
      </c>
      <c r="IC427">
        <v>0</v>
      </c>
      <c r="ID427">
        <v>0</v>
      </c>
      <c r="IE427">
        <v>0</v>
      </c>
      <c r="IF427">
        <v>0</v>
      </c>
      <c r="IG427">
        <v>0</v>
      </c>
      <c r="IH427">
        <v>0</v>
      </c>
      <c r="II427">
        <v>0</v>
      </c>
      <c r="IJ427">
        <v>0</v>
      </c>
      <c r="IK427">
        <v>0</v>
      </c>
      <c r="IL427">
        <v>0</v>
      </c>
      <c r="IM427">
        <v>0</v>
      </c>
      <c r="IN427">
        <v>0</v>
      </c>
      <c r="IO427">
        <v>0</v>
      </c>
      <c r="IP427">
        <v>0</v>
      </c>
      <c r="IQ427">
        <v>0</v>
      </c>
      <c r="IR427">
        <v>0</v>
      </c>
      <c r="IS427">
        <v>0</v>
      </c>
      <c r="IT427">
        <v>0</v>
      </c>
      <c r="IU427">
        <v>0</v>
      </c>
      <c r="IV427">
        <v>0</v>
      </c>
      <c r="IW427">
        <v>0</v>
      </c>
      <c r="IX427">
        <v>0</v>
      </c>
      <c r="IY427">
        <v>0</v>
      </c>
      <c r="IZ427">
        <v>0</v>
      </c>
      <c r="JA427">
        <v>0</v>
      </c>
      <c r="JB427">
        <v>0</v>
      </c>
      <c r="JC427">
        <v>0</v>
      </c>
      <c r="JD427">
        <v>0</v>
      </c>
      <c r="JE427">
        <v>0</v>
      </c>
      <c r="JF427">
        <v>0</v>
      </c>
      <c r="JG427">
        <v>0</v>
      </c>
      <c r="JH427">
        <v>0</v>
      </c>
      <c r="JI427">
        <v>0</v>
      </c>
      <c r="JJ427">
        <v>0</v>
      </c>
      <c r="JK427">
        <v>0</v>
      </c>
      <c r="JL427">
        <v>0</v>
      </c>
      <c r="JM427">
        <v>0</v>
      </c>
      <c r="JN427">
        <v>0</v>
      </c>
      <c r="JO427">
        <v>0</v>
      </c>
      <c r="JP427">
        <v>0</v>
      </c>
      <c r="JQ427">
        <v>0</v>
      </c>
      <c r="JR427">
        <v>0</v>
      </c>
      <c r="JS427">
        <v>0</v>
      </c>
      <c r="JT427">
        <v>0</v>
      </c>
      <c r="JU427">
        <v>0</v>
      </c>
      <c r="JV427">
        <v>0</v>
      </c>
      <c r="JW427">
        <v>0</v>
      </c>
      <c r="JX427">
        <v>0</v>
      </c>
      <c r="JY427">
        <v>0</v>
      </c>
      <c r="JZ427">
        <v>0</v>
      </c>
      <c r="KA427">
        <v>0</v>
      </c>
      <c r="KB427">
        <v>0</v>
      </c>
      <c r="KC427">
        <v>0</v>
      </c>
      <c r="KD427">
        <v>0</v>
      </c>
      <c r="KE427">
        <v>0</v>
      </c>
      <c r="KF427">
        <v>0</v>
      </c>
      <c r="KG427">
        <v>0</v>
      </c>
      <c r="KH427">
        <v>0</v>
      </c>
      <c r="KI427">
        <v>0</v>
      </c>
      <c r="KJ427">
        <v>0</v>
      </c>
      <c r="KK427">
        <v>0</v>
      </c>
      <c r="KL427">
        <v>0</v>
      </c>
      <c r="KM427">
        <v>0</v>
      </c>
      <c r="KN427">
        <v>0</v>
      </c>
      <c r="KO427">
        <v>0</v>
      </c>
      <c r="KP427">
        <v>0</v>
      </c>
      <c r="KQ427">
        <v>0</v>
      </c>
      <c r="KR427">
        <v>0</v>
      </c>
      <c r="KS427">
        <v>0</v>
      </c>
      <c r="KT427">
        <v>0</v>
      </c>
      <c r="KU427">
        <v>0</v>
      </c>
      <c r="KV427">
        <v>0</v>
      </c>
      <c r="KW427">
        <v>0</v>
      </c>
      <c r="KX427">
        <v>0</v>
      </c>
      <c r="KY427">
        <v>0</v>
      </c>
      <c r="KZ427">
        <v>0</v>
      </c>
      <c r="LA427">
        <v>0</v>
      </c>
      <c r="LB427">
        <v>0</v>
      </c>
      <c r="LC427">
        <v>0</v>
      </c>
      <c r="LD427">
        <v>0</v>
      </c>
      <c r="LE427">
        <v>0</v>
      </c>
      <c r="LF427">
        <v>0</v>
      </c>
      <c r="LG427">
        <v>0</v>
      </c>
      <c r="LH427">
        <v>0</v>
      </c>
      <c r="LI427">
        <v>0</v>
      </c>
      <c r="LJ427">
        <v>0</v>
      </c>
      <c r="LK427">
        <v>0</v>
      </c>
      <c r="LL427">
        <v>0</v>
      </c>
      <c r="LM427">
        <v>0</v>
      </c>
      <c r="LN427">
        <v>0</v>
      </c>
      <c r="LO427">
        <v>0</v>
      </c>
      <c r="LP427">
        <v>0</v>
      </c>
      <c r="LQ427">
        <v>0</v>
      </c>
      <c r="LR427">
        <v>0</v>
      </c>
      <c r="LS427">
        <v>0</v>
      </c>
      <c r="LT427">
        <v>0</v>
      </c>
      <c r="LU427">
        <v>0</v>
      </c>
      <c r="LV427">
        <v>0</v>
      </c>
      <c r="LW427">
        <v>0</v>
      </c>
      <c r="LX427">
        <v>0</v>
      </c>
      <c r="LY427">
        <v>0</v>
      </c>
      <c r="LZ427">
        <v>0</v>
      </c>
      <c r="MA427">
        <v>0</v>
      </c>
      <c r="MB427">
        <v>0</v>
      </c>
      <c r="MC427">
        <v>0</v>
      </c>
      <c r="MD427">
        <v>0</v>
      </c>
      <c r="ME427">
        <v>0</v>
      </c>
      <c r="MF427">
        <v>0</v>
      </c>
      <c r="MG427">
        <v>0</v>
      </c>
      <c r="MH427">
        <v>0</v>
      </c>
      <c r="MI427">
        <v>0</v>
      </c>
      <c r="MJ427">
        <v>0</v>
      </c>
      <c r="MK427">
        <v>0</v>
      </c>
      <c r="ML427">
        <v>0</v>
      </c>
      <c r="MM427">
        <v>0</v>
      </c>
      <c r="MN427">
        <v>0</v>
      </c>
      <c r="MO427">
        <v>0</v>
      </c>
      <c r="MP427">
        <v>0</v>
      </c>
      <c r="MQ427">
        <v>0</v>
      </c>
      <c r="MR427">
        <v>0</v>
      </c>
      <c r="MS427">
        <v>0</v>
      </c>
      <c r="MT427">
        <v>0</v>
      </c>
      <c r="MU427">
        <v>0</v>
      </c>
      <c r="MV427">
        <v>0</v>
      </c>
      <c r="MW427">
        <v>0</v>
      </c>
      <c r="MX427">
        <v>0</v>
      </c>
      <c r="MY427">
        <v>0</v>
      </c>
      <c r="MZ427">
        <v>0</v>
      </c>
      <c r="NA427">
        <v>0</v>
      </c>
      <c r="NB427">
        <v>0</v>
      </c>
      <c r="NC427">
        <v>0</v>
      </c>
      <c r="ND427">
        <v>0</v>
      </c>
      <c r="NE427">
        <v>0</v>
      </c>
    </row>
    <row r="428" spans="41:369" x14ac:dyDescent="0.45">
      <c r="AO428">
        <v>0</v>
      </c>
      <c r="AP428">
        <v>0</v>
      </c>
      <c r="AQ428">
        <v>0</v>
      </c>
      <c r="AR428">
        <v>0</v>
      </c>
      <c r="AS428">
        <v>0</v>
      </c>
      <c r="AT428">
        <v>0</v>
      </c>
      <c r="AU428">
        <v>0</v>
      </c>
      <c r="AV428">
        <v>0</v>
      </c>
      <c r="AW428" t="str">
        <v/>
      </c>
      <c r="AX428">
        <v>255</v>
      </c>
      <c r="AY428" s="5" t="str">
        <v/>
      </c>
      <c r="AZ428">
        <v>0</v>
      </c>
      <c r="BA428">
        <v>0</v>
      </c>
      <c r="BB428">
        <v>0</v>
      </c>
      <c r="BC428">
        <v>0</v>
      </c>
      <c r="BD428">
        <v>0</v>
      </c>
      <c r="BE428">
        <v>0</v>
      </c>
      <c r="BF428">
        <v>0</v>
      </c>
      <c r="BG428">
        <v>0</v>
      </c>
      <c r="BH428">
        <v>0</v>
      </c>
      <c r="BI428" t="str">
        <v/>
      </c>
      <c r="BK428">
        <v>422</v>
      </c>
      <c r="BL428">
        <v>0</v>
      </c>
      <c r="BM428">
        <v>0</v>
      </c>
      <c r="BN428">
        <v>0</v>
      </c>
      <c r="BO428">
        <v>0</v>
      </c>
      <c r="BP428">
        <v>0</v>
      </c>
      <c r="BQ428">
        <v>0</v>
      </c>
      <c r="BR428">
        <v>0</v>
      </c>
      <c r="BS428">
        <v>0</v>
      </c>
      <c r="BT428">
        <v>0</v>
      </c>
      <c r="BU428">
        <v>0</v>
      </c>
      <c r="BV428">
        <v>0</v>
      </c>
      <c r="BW428">
        <v>0</v>
      </c>
      <c r="BX428">
        <v>0</v>
      </c>
      <c r="BY428">
        <v>0</v>
      </c>
      <c r="BZ428">
        <v>0</v>
      </c>
      <c r="CA428">
        <v>0</v>
      </c>
      <c r="CB428">
        <v>0</v>
      </c>
      <c r="CC428">
        <v>0</v>
      </c>
      <c r="CD428">
        <v>0</v>
      </c>
      <c r="CE428">
        <v>0</v>
      </c>
      <c r="CF428">
        <v>0</v>
      </c>
      <c r="CG428">
        <v>0</v>
      </c>
      <c r="CH428">
        <v>0</v>
      </c>
      <c r="CI428">
        <v>0</v>
      </c>
      <c r="CJ428">
        <v>0</v>
      </c>
      <c r="CK428">
        <v>0</v>
      </c>
      <c r="CL428">
        <v>0</v>
      </c>
      <c r="CM428">
        <v>0</v>
      </c>
      <c r="CN428">
        <v>0</v>
      </c>
      <c r="CO428">
        <v>0</v>
      </c>
      <c r="CP428">
        <v>0</v>
      </c>
      <c r="CQ428">
        <v>0</v>
      </c>
      <c r="CR428">
        <v>0</v>
      </c>
      <c r="CS428">
        <v>0</v>
      </c>
      <c r="CT428">
        <v>0</v>
      </c>
      <c r="CU428">
        <v>0</v>
      </c>
      <c r="CV428">
        <v>0</v>
      </c>
      <c r="CW428">
        <v>0</v>
      </c>
      <c r="CX428">
        <v>0</v>
      </c>
      <c r="CY428">
        <v>0</v>
      </c>
      <c r="CZ428">
        <v>0</v>
      </c>
      <c r="DA428">
        <v>0</v>
      </c>
      <c r="DB428">
        <v>0</v>
      </c>
      <c r="DC428">
        <v>0</v>
      </c>
      <c r="DD428">
        <v>0</v>
      </c>
      <c r="DE428">
        <v>0</v>
      </c>
      <c r="DF428">
        <v>0</v>
      </c>
      <c r="DG428">
        <v>0</v>
      </c>
      <c r="DH428">
        <v>0</v>
      </c>
      <c r="DI428">
        <v>0</v>
      </c>
      <c r="DJ428">
        <v>0</v>
      </c>
      <c r="DK428">
        <v>0</v>
      </c>
      <c r="DL428">
        <v>0</v>
      </c>
      <c r="DM428">
        <v>0</v>
      </c>
      <c r="DN428">
        <v>0</v>
      </c>
      <c r="DO428">
        <v>0</v>
      </c>
      <c r="DP428">
        <v>0</v>
      </c>
      <c r="DQ428">
        <v>0</v>
      </c>
      <c r="DR428">
        <v>0</v>
      </c>
      <c r="DS428">
        <v>0</v>
      </c>
      <c r="DT428">
        <v>0</v>
      </c>
      <c r="DU428">
        <v>0</v>
      </c>
      <c r="DV428">
        <v>0</v>
      </c>
      <c r="DW428">
        <v>0</v>
      </c>
      <c r="DX428">
        <v>0</v>
      </c>
      <c r="DY428">
        <v>0</v>
      </c>
      <c r="DZ428">
        <v>0</v>
      </c>
      <c r="EA428">
        <v>0</v>
      </c>
      <c r="EB428">
        <v>0</v>
      </c>
      <c r="EC428">
        <v>0</v>
      </c>
      <c r="ED428">
        <v>0</v>
      </c>
      <c r="EE428">
        <v>0</v>
      </c>
      <c r="EF428">
        <v>0</v>
      </c>
      <c r="EG428">
        <v>0</v>
      </c>
      <c r="EH428">
        <v>0</v>
      </c>
      <c r="EI428">
        <v>0</v>
      </c>
      <c r="EJ428">
        <v>0</v>
      </c>
      <c r="EK428">
        <v>0</v>
      </c>
      <c r="EL428">
        <v>0</v>
      </c>
      <c r="EM428">
        <v>0</v>
      </c>
      <c r="EN428">
        <v>0</v>
      </c>
      <c r="EO428">
        <v>0</v>
      </c>
      <c r="EP428">
        <v>0</v>
      </c>
      <c r="EQ428">
        <v>0</v>
      </c>
      <c r="ER428">
        <v>0</v>
      </c>
      <c r="ES428">
        <v>0</v>
      </c>
      <c r="ET428">
        <v>0</v>
      </c>
      <c r="EU428">
        <v>0</v>
      </c>
      <c r="EV428">
        <v>0</v>
      </c>
      <c r="EW428">
        <v>0</v>
      </c>
      <c r="EX428">
        <v>0</v>
      </c>
      <c r="EY428">
        <v>0</v>
      </c>
      <c r="EZ428">
        <v>0</v>
      </c>
      <c r="FA428">
        <v>0</v>
      </c>
      <c r="FB428">
        <v>0</v>
      </c>
      <c r="FC428">
        <v>0</v>
      </c>
      <c r="FD428">
        <v>0</v>
      </c>
      <c r="FE428">
        <v>0</v>
      </c>
      <c r="FF428">
        <v>0</v>
      </c>
      <c r="FG428">
        <v>0</v>
      </c>
      <c r="FH428">
        <v>0</v>
      </c>
      <c r="FI428">
        <v>0</v>
      </c>
      <c r="FJ428">
        <v>0</v>
      </c>
      <c r="FK428">
        <v>0</v>
      </c>
      <c r="FL428">
        <v>0</v>
      </c>
      <c r="FM428">
        <v>0</v>
      </c>
      <c r="FN428">
        <v>0</v>
      </c>
      <c r="FO428">
        <v>0</v>
      </c>
      <c r="FP428">
        <v>0</v>
      </c>
      <c r="FQ428">
        <v>0</v>
      </c>
      <c r="FR428">
        <v>0</v>
      </c>
      <c r="FS428">
        <v>0</v>
      </c>
      <c r="FT428">
        <v>0</v>
      </c>
      <c r="FU428">
        <v>0</v>
      </c>
      <c r="FV428">
        <v>0</v>
      </c>
      <c r="FW428">
        <v>0</v>
      </c>
      <c r="FX428">
        <v>0</v>
      </c>
      <c r="FY428">
        <v>0</v>
      </c>
      <c r="FZ428">
        <v>0</v>
      </c>
      <c r="GA428">
        <v>0</v>
      </c>
      <c r="GB428">
        <v>0</v>
      </c>
      <c r="GC428">
        <v>0</v>
      </c>
      <c r="GD428">
        <v>0</v>
      </c>
      <c r="GE428">
        <v>0</v>
      </c>
      <c r="GF428">
        <v>0</v>
      </c>
      <c r="GG428">
        <v>0</v>
      </c>
      <c r="GH428">
        <v>0</v>
      </c>
      <c r="GI428">
        <v>0</v>
      </c>
      <c r="GJ428">
        <v>0</v>
      </c>
      <c r="GK428">
        <v>0</v>
      </c>
      <c r="GL428">
        <v>0</v>
      </c>
      <c r="GM428">
        <v>0</v>
      </c>
      <c r="GN428">
        <v>0</v>
      </c>
      <c r="GO428">
        <v>0</v>
      </c>
      <c r="GP428">
        <v>0</v>
      </c>
      <c r="GQ428">
        <v>0</v>
      </c>
      <c r="GR428">
        <v>0</v>
      </c>
      <c r="GS428">
        <v>0</v>
      </c>
      <c r="GT428">
        <v>0</v>
      </c>
      <c r="GU428">
        <v>0</v>
      </c>
      <c r="GV428">
        <v>0</v>
      </c>
      <c r="GW428">
        <v>0</v>
      </c>
      <c r="GX428">
        <v>0</v>
      </c>
      <c r="GY428">
        <v>0</v>
      </c>
      <c r="GZ428">
        <v>0</v>
      </c>
      <c r="HA428">
        <v>0</v>
      </c>
      <c r="HB428">
        <v>0</v>
      </c>
      <c r="HC428">
        <v>0</v>
      </c>
      <c r="HD428">
        <v>0</v>
      </c>
      <c r="HE428">
        <v>0</v>
      </c>
      <c r="HF428">
        <v>0</v>
      </c>
      <c r="HG428">
        <v>0</v>
      </c>
      <c r="HH428">
        <v>0</v>
      </c>
      <c r="HI428">
        <v>0</v>
      </c>
      <c r="HJ428">
        <v>0</v>
      </c>
      <c r="HK428">
        <v>0</v>
      </c>
      <c r="HL428">
        <v>0</v>
      </c>
      <c r="HM428">
        <v>0</v>
      </c>
      <c r="HN428">
        <v>0</v>
      </c>
      <c r="HO428">
        <v>0</v>
      </c>
      <c r="HP428">
        <v>0</v>
      </c>
      <c r="HQ428">
        <v>0</v>
      </c>
      <c r="HR428">
        <v>0</v>
      </c>
      <c r="HS428">
        <v>0</v>
      </c>
      <c r="HT428">
        <v>0</v>
      </c>
      <c r="HU428">
        <v>0</v>
      </c>
      <c r="HV428">
        <v>0</v>
      </c>
      <c r="HW428">
        <v>0</v>
      </c>
      <c r="HX428">
        <v>0</v>
      </c>
      <c r="HY428">
        <v>0</v>
      </c>
      <c r="HZ428">
        <v>0</v>
      </c>
      <c r="IA428">
        <v>0</v>
      </c>
      <c r="IB428">
        <v>0</v>
      </c>
      <c r="IC428">
        <v>0</v>
      </c>
      <c r="ID428">
        <v>0</v>
      </c>
      <c r="IE428">
        <v>0</v>
      </c>
      <c r="IF428">
        <v>0</v>
      </c>
      <c r="IG428">
        <v>0</v>
      </c>
      <c r="IH428">
        <v>0</v>
      </c>
      <c r="II428">
        <v>0</v>
      </c>
      <c r="IJ428">
        <v>0</v>
      </c>
      <c r="IK428">
        <v>0</v>
      </c>
      <c r="IL428">
        <v>0</v>
      </c>
      <c r="IM428">
        <v>0</v>
      </c>
      <c r="IN428">
        <v>0</v>
      </c>
      <c r="IO428">
        <v>0</v>
      </c>
      <c r="IP428">
        <v>0</v>
      </c>
      <c r="IQ428">
        <v>0</v>
      </c>
      <c r="IR428">
        <v>0</v>
      </c>
      <c r="IS428">
        <v>0</v>
      </c>
      <c r="IT428">
        <v>0</v>
      </c>
      <c r="IU428">
        <v>0</v>
      </c>
      <c r="IV428">
        <v>0</v>
      </c>
      <c r="IW428">
        <v>0</v>
      </c>
      <c r="IX428">
        <v>0</v>
      </c>
      <c r="IY428">
        <v>0</v>
      </c>
      <c r="IZ428">
        <v>0</v>
      </c>
      <c r="JA428">
        <v>0</v>
      </c>
      <c r="JB428">
        <v>0</v>
      </c>
      <c r="JC428">
        <v>0</v>
      </c>
      <c r="JD428">
        <v>0</v>
      </c>
      <c r="JE428">
        <v>0</v>
      </c>
      <c r="JF428">
        <v>0</v>
      </c>
      <c r="JG428">
        <v>0</v>
      </c>
      <c r="JH428">
        <v>0</v>
      </c>
      <c r="JI428">
        <v>0</v>
      </c>
      <c r="JJ428">
        <v>0</v>
      </c>
      <c r="JK428">
        <v>0</v>
      </c>
      <c r="JL428">
        <v>0</v>
      </c>
      <c r="JM428">
        <v>0</v>
      </c>
      <c r="JN428">
        <v>0</v>
      </c>
      <c r="JO428">
        <v>0</v>
      </c>
      <c r="JP428">
        <v>0</v>
      </c>
      <c r="JQ428">
        <v>0</v>
      </c>
      <c r="JR428">
        <v>0</v>
      </c>
      <c r="JS428">
        <v>0</v>
      </c>
      <c r="JT428">
        <v>0</v>
      </c>
      <c r="JU428">
        <v>0</v>
      </c>
      <c r="JV428">
        <v>0</v>
      </c>
      <c r="JW428">
        <v>0</v>
      </c>
      <c r="JX428">
        <v>0</v>
      </c>
      <c r="JY428">
        <v>0</v>
      </c>
      <c r="JZ428">
        <v>0</v>
      </c>
      <c r="KA428">
        <v>0</v>
      </c>
      <c r="KB428">
        <v>0</v>
      </c>
      <c r="KC428">
        <v>0</v>
      </c>
      <c r="KD428">
        <v>0</v>
      </c>
      <c r="KE428">
        <v>0</v>
      </c>
      <c r="KF428">
        <v>0</v>
      </c>
      <c r="KG428">
        <v>0</v>
      </c>
      <c r="KH428">
        <v>0</v>
      </c>
      <c r="KI428">
        <v>0</v>
      </c>
      <c r="KJ428">
        <v>0</v>
      </c>
      <c r="KK428">
        <v>0</v>
      </c>
      <c r="KL428">
        <v>0</v>
      </c>
      <c r="KM428">
        <v>0</v>
      </c>
      <c r="KN428">
        <v>0</v>
      </c>
      <c r="KO428">
        <v>0</v>
      </c>
      <c r="KP428">
        <v>0</v>
      </c>
      <c r="KQ428">
        <v>0</v>
      </c>
      <c r="KR428">
        <v>0</v>
      </c>
      <c r="KS428">
        <v>0</v>
      </c>
      <c r="KT428">
        <v>0</v>
      </c>
      <c r="KU428">
        <v>0</v>
      </c>
      <c r="KV428">
        <v>0</v>
      </c>
      <c r="KW428">
        <v>0</v>
      </c>
      <c r="KX428">
        <v>0</v>
      </c>
      <c r="KY428">
        <v>0</v>
      </c>
      <c r="KZ428">
        <v>0</v>
      </c>
      <c r="LA428">
        <v>0</v>
      </c>
      <c r="LB428">
        <v>0</v>
      </c>
      <c r="LC428">
        <v>0</v>
      </c>
      <c r="LD428">
        <v>0</v>
      </c>
      <c r="LE428">
        <v>0</v>
      </c>
      <c r="LF428">
        <v>0</v>
      </c>
      <c r="LG428">
        <v>0</v>
      </c>
      <c r="LH428">
        <v>0</v>
      </c>
      <c r="LI428">
        <v>0</v>
      </c>
      <c r="LJ428">
        <v>0</v>
      </c>
      <c r="LK428">
        <v>0</v>
      </c>
      <c r="LL428">
        <v>0</v>
      </c>
      <c r="LM428">
        <v>0</v>
      </c>
      <c r="LN428">
        <v>0</v>
      </c>
      <c r="LO428">
        <v>0</v>
      </c>
      <c r="LP428">
        <v>0</v>
      </c>
      <c r="LQ428">
        <v>0</v>
      </c>
      <c r="LR428">
        <v>0</v>
      </c>
      <c r="LS428">
        <v>0</v>
      </c>
      <c r="LT428">
        <v>0</v>
      </c>
      <c r="LU428">
        <v>0</v>
      </c>
      <c r="LV428">
        <v>0</v>
      </c>
      <c r="LW428">
        <v>0</v>
      </c>
      <c r="LX428">
        <v>0</v>
      </c>
      <c r="LY428">
        <v>0</v>
      </c>
      <c r="LZ428">
        <v>0</v>
      </c>
      <c r="MA428">
        <v>0</v>
      </c>
      <c r="MB428">
        <v>0</v>
      </c>
      <c r="MC428">
        <v>0</v>
      </c>
      <c r="MD428">
        <v>0</v>
      </c>
      <c r="ME428">
        <v>0</v>
      </c>
      <c r="MF428">
        <v>0</v>
      </c>
      <c r="MG428">
        <v>0</v>
      </c>
      <c r="MH428">
        <v>0</v>
      </c>
      <c r="MI428">
        <v>0</v>
      </c>
      <c r="MJ428">
        <v>0</v>
      </c>
      <c r="MK428">
        <v>0</v>
      </c>
      <c r="ML428">
        <v>0</v>
      </c>
      <c r="MM428">
        <v>0</v>
      </c>
      <c r="MN428">
        <v>0</v>
      </c>
      <c r="MO428">
        <v>0</v>
      </c>
      <c r="MP428">
        <v>0</v>
      </c>
      <c r="MQ428">
        <v>0</v>
      </c>
      <c r="MR428">
        <v>0</v>
      </c>
      <c r="MS428">
        <v>0</v>
      </c>
      <c r="MT428">
        <v>0</v>
      </c>
      <c r="MU428">
        <v>0</v>
      </c>
      <c r="MV428">
        <v>0</v>
      </c>
      <c r="MW428">
        <v>0</v>
      </c>
      <c r="MX428">
        <v>0</v>
      </c>
      <c r="MY428">
        <v>0</v>
      </c>
      <c r="MZ428">
        <v>0</v>
      </c>
      <c r="NA428">
        <v>0</v>
      </c>
      <c r="NB428">
        <v>0</v>
      </c>
      <c r="NC428">
        <v>0</v>
      </c>
      <c r="ND428">
        <v>0</v>
      </c>
      <c r="NE428">
        <v>0</v>
      </c>
    </row>
    <row r="429" spans="41:369" x14ac:dyDescent="0.45">
      <c r="AO429">
        <v>0</v>
      </c>
      <c r="AP429">
        <v>0</v>
      </c>
      <c r="AQ429">
        <v>0</v>
      </c>
      <c r="AR429">
        <v>0</v>
      </c>
      <c r="AS429">
        <v>0</v>
      </c>
      <c r="AT429">
        <v>0</v>
      </c>
      <c r="AU429">
        <v>0</v>
      </c>
      <c r="AV429">
        <v>0</v>
      </c>
      <c r="AW429" t="str">
        <v/>
      </c>
      <c r="AX429">
        <v>255</v>
      </c>
      <c r="AY429" s="5" t="str">
        <v/>
      </c>
      <c r="AZ429">
        <v>0</v>
      </c>
      <c r="BA429">
        <v>0</v>
      </c>
      <c r="BB429">
        <v>0</v>
      </c>
      <c r="BC429">
        <v>0</v>
      </c>
      <c r="BD429">
        <v>0</v>
      </c>
      <c r="BE429">
        <v>0</v>
      </c>
      <c r="BF429">
        <v>0</v>
      </c>
      <c r="BG429">
        <v>0</v>
      </c>
      <c r="BH429">
        <v>0</v>
      </c>
      <c r="BI429" t="str">
        <v/>
      </c>
      <c r="BK429">
        <v>423</v>
      </c>
      <c r="BL429">
        <v>0</v>
      </c>
      <c r="BM429">
        <v>0</v>
      </c>
      <c r="BN429">
        <v>0</v>
      </c>
      <c r="BO429">
        <v>0</v>
      </c>
      <c r="BP429">
        <v>0</v>
      </c>
      <c r="BQ429">
        <v>0</v>
      </c>
      <c r="BR429">
        <v>0</v>
      </c>
      <c r="BS429">
        <v>0</v>
      </c>
      <c r="BT429">
        <v>0</v>
      </c>
      <c r="BU429">
        <v>0</v>
      </c>
      <c r="BV429">
        <v>0</v>
      </c>
      <c r="BW429">
        <v>0</v>
      </c>
      <c r="BX429">
        <v>0</v>
      </c>
      <c r="BY429">
        <v>0</v>
      </c>
      <c r="BZ429">
        <v>0</v>
      </c>
      <c r="CA429">
        <v>0</v>
      </c>
      <c r="CB429">
        <v>0</v>
      </c>
      <c r="CC429">
        <v>0</v>
      </c>
      <c r="CD429">
        <v>0</v>
      </c>
      <c r="CE429">
        <v>0</v>
      </c>
      <c r="CF429">
        <v>0</v>
      </c>
      <c r="CG429">
        <v>0</v>
      </c>
      <c r="CH429">
        <v>0</v>
      </c>
      <c r="CI429">
        <v>0</v>
      </c>
      <c r="CJ429">
        <v>0</v>
      </c>
      <c r="CK429">
        <v>0</v>
      </c>
      <c r="CL429">
        <v>0</v>
      </c>
      <c r="CM429">
        <v>0</v>
      </c>
      <c r="CN429">
        <v>0</v>
      </c>
      <c r="CO429">
        <v>0</v>
      </c>
      <c r="CP429">
        <v>0</v>
      </c>
      <c r="CQ429">
        <v>0</v>
      </c>
      <c r="CR429">
        <v>0</v>
      </c>
      <c r="CS429">
        <v>0</v>
      </c>
      <c r="CT429">
        <v>0</v>
      </c>
      <c r="CU429">
        <v>0</v>
      </c>
      <c r="CV429">
        <v>0</v>
      </c>
      <c r="CW429">
        <v>0</v>
      </c>
      <c r="CX429">
        <v>0</v>
      </c>
      <c r="CY429">
        <v>0</v>
      </c>
      <c r="CZ429">
        <v>0</v>
      </c>
      <c r="DA429">
        <v>0</v>
      </c>
      <c r="DB429">
        <v>0</v>
      </c>
      <c r="DC429">
        <v>0</v>
      </c>
      <c r="DD429">
        <v>0</v>
      </c>
      <c r="DE429">
        <v>0</v>
      </c>
      <c r="DF429">
        <v>0</v>
      </c>
      <c r="DG429">
        <v>0</v>
      </c>
      <c r="DH429">
        <v>0</v>
      </c>
      <c r="DI429">
        <v>0</v>
      </c>
      <c r="DJ429">
        <v>0</v>
      </c>
      <c r="DK429">
        <v>0</v>
      </c>
      <c r="DL429">
        <v>0</v>
      </c>
      <c r="DM429">
        <v>0</v>
      </c>
      <c r="DN429">
        <v>0</v>
      </c>
      <c r="DO429">
        <v>0</v>
      </c>
      <c r="DP429">
        <v>0</v>
      </c>
      <c r="DQ429">
        <v>0</v>
      </c>
      <c r="DR429">
        <v>0</v>
      </c>
      <c r="DS429">
        <v>0</v>
      </c>
      <c r="DT429">
        <v>0</v>
      </c>
      <c r="DU429">
        <v>0</v>
      </c>
      <c r="DV429">
        <v>0</v>
      </c>
      <c r="DW429">
        <v>0</v>
      </c>
      <c r="DX429">
        <v>0</v>
      </c>
      <c r="DY429">
        <v>0</v>
      </c>
      <c r="DZ429">
        <v>0</v>
      </c>
      <c r="EA429">
        <v>0</v>
      </c>
      <c r="EB429">
        <v>0</v>
      </c>
      <c r="EC429">
        <v>0</v>
      </c>
      <c r="ED429">
        <v>0</v>
      </c>
      <c r="EE429">
        <v>0</v>
      </c>
      <c r="EF429">
        <v>0</v>
      </c>
      <c r="EG429">
        <v>0</v>
      </c>
      <c r="EH429">
        <v>0</v>
      </c>
      <c r="EI429">
        <v>0</v>
      </c>
      <c r="EJ429">
        <v>0</v>
      </c>
      <c r="EK429">
        <v>0</v>
      </c>
      <c r="EL429">
        <v>0</v>
      </c>
      <c r="EM429">
        <v>0</v>
      </c>
      <c r="EN429">
        <v>0</v>
      </c>
      <c r="EO429">
        <v>0</v>
      </c>
      <c r="EP429">
        <v>0</v>
      </c>
      <c r="EQ429">
        <v>0</v>
      </c>
      <c r="ER429">
        <v>0</v>
      </c>
      <c r="ES429">
        <v>0</v>
      </c>
      <c r="ET429">
        <v>0</v>
      </c>
      <c r="EU429">
        <v>0</v>
      </c>
      <c r="EV429">
        <v>0</v>
      </c>
      <c r="EW429">
        <v>0</v>
      </c>
      <c r="EX429">
        <v>0</v>
      </c>
      <c r="EY429">
        <v>0</v>
      </c>
      <c r="EZ429">
        <v>0</v>
      </c>
      <c r="FA429">
        <v>0</v>
      </c>
      <c r="FB429">
        <v>0</v>
      </c>
      <c r="FC429">
        <v>0</v>
      </c>
      <c r="FD429">
        <v>0</v>
      </c>
      <c r="FE429">
        <v>0</v>
      </c>
      <c r="FF429">
        <v>0</v>
      </c>
      <c r="FG429">
        <v>0</v>
      </c>
      <c r="FH429">
        <v>0</v>
      </c>
      <c r="FI429">
        <v>0</v>
      </c>
      <c r="FJ429">
        <v>0</v>
      </c>
      <c r="FK429">
        <v>0</v>
      </c>
      <c r="FL429">
        <v>0</v>
      </c>
      <c r="FM429">
        <v>0</v>
      </c>
      <c r="FN429">
        <v>0</v>
      </c>
      <c r="FO429">
        <v>0</v>
      </c>
      <c r="FP429">
        <v>0</v>
      </c>
      <c r="FQ429">
        <v>0</v>
      </c>
      <c r="FR429">
        <v>0</v>
      </c>
      <c r="FS429">
        <v>0</v>
      </c>
      <c r="FT429">
        <v>0</v>
      </c>
      <c r="FU429">
        <v>0</v>
      </c>
      <c r="FV429">
        <v>0</v>
      </c>
      <c r="FW429">
        <v>0</v>
      </c>
      <c r="FX429">
        <v>0</v>
      </c>
      <c r="FY429">
        <v>0</v>
      </c>
      <c r="FZ429">
        <v>0</v>
      </c>
      <c r="GA429">
        <v>0</v>
      </c>
      <c r="GB429">
        <v>0</v>
      </c>
      <c r="GC429">
        <v>0</v>
      </c>
      <c r="GD429">
        <v>0</v>
      </c>
      <c r="GE429">
        <v>0</v>
      </c>
      <c r="GF429">
        <v>0</v>
      </c>
      <c r="GG429">
        <v>0</v>
      </c>
      <c r="GH429">
        <v>0</v>
      </c>
      <c r="GI429">
        <v>0</v>
      </c>
      <c r="GJ429">
        <v>0</v>
      </c>
      <c r="GK429">
        <v>0</v>
      </c>
      <c r="GL429">
        <v>0</v>
      </c>
      <c r="GM429">
        <v>0</v>
      </c>
      <c r="GN429">
        <v>0</v>
      </c>
      <c r="GO429">
        <v>0</v>
      </c>
      <c r="GP429">
        <v>0</v>
      </c>
      <c r="GQ429">
        <v>0</v>
      </c>
      <c r="GR429">
        <v>0</v>
      </c>
      <c r="GS429">
        <v>0</v>
      </c>
      <c r="GT429">
        <v>0</v>
      </c>
      <c r="GU429">
        <v>0</v>
      </c>
      <c r="GV429">
        <v>0</v>
      </c>
      <c r="GW429">
        <v>0</v>
      </c>
      <c r="GX429">
        <v>0</v>
      </c>
      <c r="GY429">
        <v>0</v>
      </c>
      <c r="GZ429">
        <v>0</v>
      </c>
      <c r="HA429">
        <v>0</v>
      </c>
      <c r="HB429">
        <v>0</v>
      </c>
      <c r="HC429">
        <v>0</v>
      </c>
      <c r="HD429">
        <v>0</v>
      </c>
      <c r="HE429">
        <v>0</v>
      </c>
      <c r="HF429">
        <v>0</v>
      </c>
      <c r="HG429">
        <v>0</v>
      </c>
      <c r="HH429">
        <v>0</v>
      </c>
      <c r="HI429">
        <v>0</v>
      </c>
      <c r="HJ429">
        <v>0</v>
      </c>
      <c r="HK429">
        <v>0</v>
      </c>
      <c r="HL429">
        <v>0</v>
      </c>
      <c r="HM429">
        <v>0</v>
      </c>
      <c r="HN429">
        <v>0</v>
      </c>
      <c r="HO429">
        <v>0</v>
      </c>
      <c r="HP429">
        <v>0</v>
      </c>
      <c r="HQ429">
        <v>0</v>
      </c>
      <c r="HR429">
        <v>0</v>
      </c>
      <c r="HS429">
        <v>0</v>
      </c>
      <c r="HT429">
        <v>0</v>
      </c>
      <c r="HU429">
        <v>0</v>
      </c>
      <c r="HV429">
        <v>0</v>
      </c>
      <c r="HW429">
        <v>0</v>
      </c>
      <c r="HX429">
        <v>0</v>
      </c>
      <c r="HY429">
        <v>0</v>
      </c>
      <c r="HZ429">
        <v>0</v>
      </c>
      <c r="IA429">
        <v>0</v>
      </c>
      <c r="IB429">
        <v>0</v>
      </c>
      <c r="IC429">
        <v>0</v>
      </c>
      <c r="ID429">
        <v>0</v>
      </c>
      <c r="IE429">
        <v>0</v>
      </c>
      <c r="IF429">
        <v>0</v>
      </c>
      <c r="IG429">
        <v>0</v>
      </c>
      <c r="IH429">
        <v>0</v>
      </c>
      <c r="II429">
        <v>0</v>
      </c>
      <c r="IJ429">
        <v>0</v>
      </c>
      <c r="IK429">
        <v>0</v>
      </c>
      <c r="IL429">
        <v>0</v>
      </c>
      <c r="IM429">
        <v>0</v>
      </c>
      <c r="IN429">
        <v>0</v>
      </c>
      <c r="IO429">
        <v>0</v>
      </c>
      <c r="IP429">
        <v>0</v>
      </c>
      <c r="IQ429">
        <v>0</v>
      </c>
      <c r="IR429">
        <v>0</v>
      </c>
      <c r="IS429">
        <v>0</v>
      </c>
      <c r="IT429">
        <v>0</v>
      </c>
      <c r="IU429">
        <v>0</v>
      </c>
      <c r="IV429">
        <v>0</v>
      </c>
      <c r="IW429">
        <v>0</v>
      </c>
      <c r="IX429">
        <v>0</v>
      </c>
      <c r="IY429">
        <v>0</v>
      </c>
      <c r="IZ429">
        <v>0</v>
      </c>
      <c r="JA429">
        <v>0</v>
      </c>
      <c r="JB429">
        <v>0</v>
      </c>
      <c r="JC429">
        <v>0</v>
      </c>
      <c r="JD429">
        <v>0</v>
      </c>
      <c r="JE429">
        <v>0</v>
      </c>
      <c r="JF429">
        <v>0</v>
      </c>
      <c r="JG429">
        <v>0</v>
      </c>
      <c r="JH429">
        <v>0</v>
      </c>
      <c r="JI429">
        <v>0</v>
      </c>
      <c r="JJ429">
        <v>0</v>
      </c>
      <c r="JK429">
        <v>0</v>
      </c>
      <c r="JL429">
        <v>0</v>
      </c>
      <c r="JM429">
        <v>0</v>
      </c>
      <c r="JN429">
        <v>0</v>
      </c>
      <c r="JO429">
        <v>0</v>
      </c>
      <c r="JP429">
        <v>0</v>
      </c>
      <c r="JQ429">
        <v>0</v>
      </c>
      <c r="JR429">
        <v>0</v>
      </c>
      <c r="JS429">
        <v>0</v>
      </c>
      <c r="JT429">
        <v>0</v>
      </c>
      <c r="JU429">
        <v>0</v>
      </c>
      <c r="JV429">
        <v>0</v>
      </c>
      <c r="JW429">
        <v>0</v>
      </c>
      <c r="JX429">
        <v>0</v>
      </c>
      <c r="JY429">
        <v>0</v>
      </c>
      <c r="JZ429">
        <v>0</v>
      </c>
      <c r="KA429">
        <v>0</v>
      </c>
      <c r="KB429">
        <v>0</v>
      </c>
      <c r="KC429">
        <v>0</v>
      </c>
      <c r="KD429">
        <v>0</v>
      </c>
      <c r="KE429">
        <v>0</v>
      </c>
      <c r="KF429">
        <v>0</v>
      </c>
      <c r="KG429">
        <v>0</v>
      </c>
      <c r="KH429">
        <v>0</v>
      </c>
      <c r="KI429">
        <v>0</v>
      </c>
      <c r="KJ429">
        <v>0</v>
      </c>
      <c r="KK429">
        <v>0</v>
      </c>
      <c r="KL429">
        <v>0</v>
      </c>
      <c r="KM429">
        <v>0</v>
      </c>
      <c r="KN429">
        <v>0</v>
      </c>
      <c r="KO429">
        <v>0</v>
      </c>
      <c r="KP429">
        <v>0</v>
      </c>
      <c r="KQ429">
        <v>0</v>
      </c>
      <c r="KR429">
        <v>0</v>
      </c>
      <c r="KS429">
        <v>0</v>
      </c>
      <c r="KT429">
        <v>0</v>
      </c>
      <c r="KU429">
        <v>0</v>
      </c>
      <c r="KV429">
        <v>0</v>
      </c>
      <c r="KW429">
        <v>0</v>
      </c>
      <c r="KX429">
        <v>0</v>
      </c>
      <c r="KY429">
        <v>0</v>
      </c>
      <c r="KZ429">
        <v>0</v>
      </c>
      <c r="LA429">
        <v>0</v>
      </c>
      <c r="LB429">
        <v>0</v>
      </c>
      <c r="LC429">
        <v>0</v>
      </c>
      <c r="LD429">
        <v>0</v>
      </c>
      <c r="LE429">
        <v>0</v>
      </c>
      <c r="LF429">
        <v>0</v>
      </c>
      <c r="LG429">
        <v>0</v>
      </c>
      <c r="LH429">
        <v>0</v>
      </c>
      <c r="LI429">
        <v>0</v>
      </c>
      <c r="LJ429">
        <v>0</v>
      </c>
      <c r="LK429">
        <v>0</v>
      </c>
      <c r="LL429">
        <v>0</v>
      </c>
      <c r="LM429">
        <v>0</v>
      </c>
      <c r="LN429">
        <v>0</v>
      </c>
      <c r="LO429">
        <v>0</v>
      </c>
      <c r="LP429">
        <v>0</v>
      </c>
      <c r="LQ429">
        <v>0</v>
      </c>
      <c r="LR429">
        <v>0</v>
      </c>
      <c r="LS429">
        <v>0</v>
      </c>
      <c r="LT429">
        <v>0</v>
      </c>
      <c r="LU429">
        <v>0</v>
      </c>
      <c r="LV429">
        <v>0</v>
      </c>
      <c r="LW429">
        <v>0</v>
      </c>
      <c r="LX429">
        <v>0</v>
      </c>
      <c r="LY429">
        <v>0</v>
      </c>
      <c r="LZ429">
        <v>0</v>
      </c>
      <c r="MA429">
        <v>0</v>
      </c>
      <c r="MB429">
        <v>0</v>
      </c>
      <c r="MC429">
        <v>0</v>
      </c>
      <c r="MD429">
        <v>0</v>
      </c>
      <c r="ME429">
        <v>0</v>
      </c>
      <c r="MF429">
        <v>0</v>
      </c>
      <c r="MG429">
        <v>0</v>
      </c>
      <c r="MH429">
        <v>0</v>
      </c>
      <c r="MI429">
        <v>0</v>
      </c>
      <c r="MJ429">
        <v>0</v>
      </c>
      <c r="MK429">
        <v>0</v>
      </c>
      <c r="ML429">
        <v>0</v>
      </c>
      <c r="MM429">
        <v>0</v>
      </c>
      <c r="MN429">
        <v>0</v>
      </c>
      <c r="MO429">
        <v>0</v>
      </c>
      <c r="MP429">
        <v>0</v>
      </c>
      <c r="MQ429">
        <v>0</v>
      </c>
      <c r="MR429">
        <v>0</v>
      </c>
      <c r="MS429">
        <v>0</v>
      </c>
      <c r="MT429">
        <v>0</v>
      </c>
      <c r="MU429">
        <v>0</v>
      </c>
      <c r="MV429">
        <v>0</v>
      </c>
      <c r="MW429">
        <v>0</v>
      </c>
      <c r="MX429">
        <v>0</v>
      </c>
      <c r="MY429">
        <v>0</v>
      </c>
      <c r="MZ429">
        <v>0</v>
      </c>
      <c r="NA429">
        <v>0</v>
      </c>
      <c r="NB429">
        <v>0</v>
      </c>
      <c r="NC429">
        <v>0</v>
      </c>
      <c r="ND429">
        <v>0</v>
      </c>
      <c r="NE429">
        <v>0</v>
      </c>
    </row>
    <row r="430" spans="41:369" x14ac:dyDescent="0.45">
      <c r="AO430">
        <v>0</v>
      </c>
      <c r="AP430">
        <v>0</v>
      </c>
      <c r="AQ430">
        <v>0</v>
      </c>
      <c r="AR430">
        <v>0</v>
      </c>
      <c r="AS430">
        <v>0</v>
      </c>
      <c r="AT430">
        <v>0</v>
      </c>
      <c r="AU430">
        <v>0</v>
      </c>
      <c r="AV430">
        <v>0</v>
      </c>
      <c r="AW430" t="str">
        <v/>
      </c>
      <c r="AX430">
        <v>255</v>
      </c>
      <c r="AY430" s="5" t="str">
        <v/>
      </c>
      <c r="AZ430">
        <v>0</v>
      </c>
      <c r="BA430">
        <v>0</v>
      </c>
      <c r="BB430">
        <v>0</v>
      </c>
      <c r="BC430">
        <v>0</v>
      </c>
      <c r="BD430">
        <v>0</v>
      </c>
      <c r="BE430">
        <v>0</v>
      </c>
      <c r="BF430">
        <v>0</v>
      </c>
      <c r="BG430">
        <v>0</v>
      </c>
      <c r="BH430">
        <v>0</v>
      </c>
      <c r="BI430" t="str">
        <v/>
      </c>
      <c r="BK430">
        <v>424</v>
      </c>
      <c r="BL430">
        <v>0</v>
      </c>
      <c r="BM430">
        <v>0</v>
      </c>
      <c r="BN430">
        <v>0</v>
      </c>
      <c r="BO430">
        <v>0</v>
      </c>
      <c r="BP430">
        <v>0</v>
      </c>
      <c r="BQ430">
        <v>0</v>
      </c>
      <c r="BR430">
        <v>0</v>
      </c>
      <c r="BS430">
        <v>0</v>
      </c>
      <c r="BT430">
        <v>0</v>
      </c>
      <c r="BU430">
        <v>0</v>
      </c>
      <c r="BV430">
        <v>0</v>
      </c>
      <c r="BW430">
        <v>0</v>
      </c>
      <c r="BX430">
        <v>0</v>
      </c>
      <c r="BY430">
        <v>0</v>
      </c>
      <c r="BZ430">
        <v>0</v>
      </c>
      <c r="CA430">
        <v>0</v>
      </c>
      <c r="CB430">
        <v>0</v>
      </c>
      <c r="CC430">
        <v>0</v>
      </c>
      <c r="CD430">
        <v>0</v>
      </c>
      <c r="CE430">
        <v>0</v>
      </c>
      <c r="CF430">
        <v>0</v>
      </c>
      <c r="CG430">
        <v>0</v>
      </c>
      <c r="CH430">
        <v>0</v>
      </c>
      <c r="CI430">
        <v>0</v>
      </c>
      <c r="CJ430">
        <v>0</v>
      </c>
      <c r="CK430">
        <v>0</v>
      </c>
      <c r="CL430">
        <v>0</v>
      </c>
      <c r="CM430">
        <v>0</v>
      </c>
      <c r="CN430">
        <v>0</v>
      </c>
      <c r="CO430">
        <v>0</v>
      </c>
      <c r="CP430">
        <v>0</v>
      </c>
      <c r="CQ430">
        <v>0</v>
      </c>
      <c r="CR430">
        <v>0</v>
      </c>
      <c r="CS430">
        <v>0</v>
      </c>
      <c r="CT430">
        <v>0</v>
      </c>
      <c r="CU430">
        <v>0</v>
      </c>
      <c r="CV430">
        <v>0</v>
      </c>
      <c r="CW430">
        <v>0</v>
      </c>
      <c r="CX430">
        <v>0</v>
      </c>
      <c r="CY430">
        <v>0</v>
      </c>
      <c r="CZ430">
        <v>0</v>
      </c>
      <c r="DA430">
        <v>0</v>
      </c>
      <c r="DB430">
        <v>0</v>
      </c>
      <c r="DC430">
        <v>0</v>
      </c>
      <c r="DD430">
        <v>0</v>
      </c>
      <c r="DE430">
        <v>0</v>
      </c>
      <c r="DF430">
        <v>0</v>
      </c>
      <c r="DG430">
        <v>0</v>
      </c>
      <c r="DH430">
        <v>0</v>
      </c>
      <c r="DI430">
        <v>0</v>
      </c>
      <c r="DJ430">
        <v>0</v>
      </c>
      <c r="DK430">
        <v>0</v>
      </c>
      <c r="DL430">
        <v>0</v>
      </c>
      <c r="DM430">
        <v>0</v>
      </c>
      <c r="DN430">
        <v>0</v>
      </c>
      <c r="DO430">
        <v>0</v>
      </c>
      <c r="DP430">
        <v>0</v>
      </c>
      <c r="DQ430">
        <v>0</v>
      </c>
      <c r="DR430">
        <v>0</v>
      </c>
      <c r="DS430">
        <v>0</v>
      </c>
      <c r="DT430">
        <v>0</v>
      </c>
      <c r="DU430">
        <v>0</v>
      </c>
      <c r="DV430">
        <v>0</v>
      </c>
      <c r="DW430">
        <v>0</v>
      </c>
      <c r="DX430">
        <v>0</v>
      </c>
      <c r="DY430">
        <v>0</v>
      </c>
      <c r="DZ430">
        <v>0</v>
      </c>
      <c r="EA430">
        <v>0</v>
      </c>
      <c r="EB430">
        <v>0</v>
      </c>
      <c r="EC430">
        <v>0</v>
      </c>
      <c r="ED430">
        <v>0</v>
      </c>
      <c r="EE430">
        <v>0</v>
      </c>
      <c r="EF430">
        <v>0</v>
      </c>
      <c r="EG430">
        <v>0</v>
      </c>
      <c r="EH430">
        <v>0</v>
      </c>
      <c r="EI430">
        <v>0</v>
      </c>
      <c r="EJ430">
        <v>0</v>
      </c>
      <c r="EK430">
        <v>0</v>
      </c>
      <c r="EL430">
        <v>0</v>
      </c>
      <c r="EM430">
        <v>0</v>
      </c>
      <c r="EN430">
        <v>0</v>
      </c>
      <c r="EO430">
        <v>0</v>
      </c>
      <c r="EP430">
        <v>0</v>
      </c>
      <c r="EQ430">
        <v>0</v>
      </c>
      <c r="ER430">
        <v>0</v>
      </c>
      <c r="ES430">
        <v>0</v>
      </c>
      <c r="ET430">
        <v>0</v>
      </c>
      <c r="EU430">
        <v>0</v>
      </c>
      <c r="EV430">
        <v>0</v>
      </c>
      <c r="EW430">
        <v>0</v>
      </c>
      <c r="EX430">
        <v>0</v>
      </c>
      <c r="EY430">
        <v>0</v>
      </c>
      <c r="EZ430">
        <v>0</v>
      </c>
      <c r="FA430">
        <v>0</v>
      </c>
      <c r="FB430">
        <v>0</v>
      </c>
      <c r="FC430">
        <v>0</v>
      </c>
      <c r="FD430">
        <v>0</v>
      </c>
      <c r="FE430">
        <v>0</v>
      </c>
      <c r="FF430">
        <v>0</v>
      </c>
      <c r="FG430">
        <v>0</v>
      </c>
      <c r="FH430">
        <v>0</v>
      </c>
      <c r="FI430">
        <v>0</v>
      </c>
      <c r="FJ430">
        <v>0</v>
      </c>
      <c r="FK430">
        <v>0</v>
      </c>
      <c r="FL430">
        <v>0</v>
      </c>
      <c r="FM430">
        <v>0</v>
      </c>
      <c r="FN430">
        <v>0</v>
      </c>
      <c r="FO430">
        <v>0</v>
      </c>
      <c r="FP430">
        <v>0</v>
      </c>
      <c r="FQ430">
        <v>0</v>
      </c>
      <c r="FR430">
        <v>0</v>
      </c>
      <c r="FS430">
        <v>0</v>
      </c>
      <c r="FT430">
        <v>0</v>
      </c>
      <c r="FU430">
        <v>0</v>
      </c>
      <c r="FV430">
        <v>0</v>
      </c>
      <c r="FW430">
        <v>0</v>
      </c>
      <c r="FX430">
        <v>0</v>
      </c>
      <c r="FY430">
        <v>0</v>
      </c>
      <c r="FZ430">
        <v>0</v>
      </c>
      <c r="GA430">
        <v>0</v>
      </c>
      <c r="GB430">
        <v>0</v>
      </c>
      <c r="GC430">
        <v>0</v>
      </c>
      <c r="GD430">
        <v>0</v>
      </c>
      <c r="GE430">
        <v>0</v>
      </c>
      <c r="GF430">
        <v>0</v>
      </c>
      <c r="GG430">
        <v>0</v>
      </c>
      <c r="GH430">
        <v>0</v>
      </c>
      <c r="GI430">
        <v>0</v>
      </c>
      <c r="GJ430">
        <v>0</v>
      </c>
      <c r="GK430">
        <v>0</v>
      </c>
      <c r="GL430">
        <v>0</v>
      </c>
      <c r="GM430">
        <v>0</v>
      </c>
      <c r="GN430">
        <v>0</v>
      </c>
      <c r="GO430">
        <v>0</v>
      </c>
      <c r="GP430">
        <v>0</v>
      </c>
      <c r="GQ430">
        <v>0</v>
      </c>
      <c r="GR430">
        <v>0</v>
      </c>
      <c r="GS430">
        <v>0</v>
      </c>
      <c r="GT430">
        <v>0</v>
      </c>
      <c r="GU430">
        <v>0</v>
      </c>
      <c r="GV430">
        <v>0</v>
      </c>
      <c r="GW430">
        <v>0</v>
      </c>
      <c r="GX430">
        <v>0</v>
      </c>
      <c r="GY430">
        <v>0</v>
      </c>
      <c r="GZ430">
        <v>0</v>
      </c>
      <c r="HA430">
        <v>0</v>
      </c>
      <c r="HB430">
        <v>0</v>
      </c>
      <c r="HC430">
        <v>0</v>
      </c>
      <c r="HD430">
        <v>0</v>
      </c>
      <c r="HE430">
        <v>0</v>
      </c>
      <c r="HF430">
        <v>0</v>
      </c>
      <c r="HG430">
        <v>0</v>
      </c>
      <c r="HH430">
        <v>0</v>
      </c>
      <c r="HI430">
        <v>0</v>
      </c>
      <c r="HJ430">
        <v>0</v>
      </c>
      <c r="HK430">
        <v>0</v>
      </c>
      <c r="HL430">
        <v>0</v>
      </c>
      <c r="HM430">
        <v>0</v>
      </c>
      <c r="HN430">
        <v>0</v>
      </c>
      <c r="HO430">
        <v>0</v>
      </c>
      <c r="HP430">
        <v>0</v>
      </c>
      <c r="HQ430">
        <v>0</v>
      </c>
      <c r="HR430">
        <v>0</v>
      </c>
      <c r="HS430">
        <v>0</v>
      </c>
      <c r="HT430">
        <v>0</v>
      </c>
      <c r="HU430">
        <v>0</v>
      </c>
      <c r="HV430">
        <v>0</v>
      </c>
      <c r="HW430">
        <v>0</v>
      </c>
      <c r="HX430">
        <v>0</v>
      </c>
      <c r="HY430">
        <v>0</v>
      </c>
      <c r="HZ430">
        <v>0</v>
      </c>
      <c r="IA430">
        <v>0</v>
      </c>
      <c r="IB430">
        <v>0</v>
      </c>
      <c r="IC430">
        <v>0</v>
      </c>
      <c r="ID430">
        <v>0</v>
      </c>
      <c r="IE430">
        <v>0</v>
      </c>
      <c r="IF430">
        <v>0</v>
      </c>
      <c r="IG430">
        <v>0</v>
      </c>
      <c r="IH430">
        <v>0</v>
      </c>
      <c r="II430">
        <v>0</v>
      </c>
      <c r="IJ430">
        <v>0</v>
      </c>
      <c r="IK430">
        <v>0</v>
      </c>
      <c r="IL430">
        <v>0</v>
      </c>
      <c r="IM430">
        <v>0</v>
      </c>
      <c r="IN430">
        <v>0</v>
      </c>
      <c r="IO430">
        <v>0</v>
      </c>
      <c r="IP430">
        <v>0</v>
      </c>
      <c r="IQ430">
        <v>0</v>
      </c>
      <c r="IR430">
        <v>0</v>
      </c>
      <c r="IS430">
        <v>0</v>
      </c>
      <c r="IT430">
        <v>0</v>
      </c>
      <c r="IU430">
        <v>0</v>
      </c>
      <c r="IV430">
        <v>0</v>
      </c>
      <c r="IW430">
        <v>0</v>
      </c>
      <c r="IX430">
        <v>0</v>
      </c>
      <c r="IY430">
        <v>0</v>
      </c>
      <c r="IZ430">
        <v>0</v>
      </c>
      <c r="JA430">
        <v>0</v>
      </c>
      <c r="JB430">
        <v>0</v>
      </c>
      <c r="JC430">
        <v>0</v>
      </c>
      <c r="JD430">
        <v>0</v>
      </c>
      <c r="JE430">
        <v>0</v>
      </c>
      <c r="JF430">
        <v>0</v>
      </c>
      <c r="JG430">
        <v>0</v>
      </c>
      <c r="JH430">
        <v>0</v>
      </c>
      <c r="JI430">
        <v>0</v>
      </c>
      <c r="JJ430">
        <v>0</v>
      </c>
      <c r="JK430">
        <v>0</v>
      </c>
      <c r="JL430">
        <v>0</v>
      </c>
      <c r="JM430">
        <v>0</v>
      </c>
      <c r="JN430">
        <v>0</v>
      </c>
      <c r="JO430">
        <v>0</v>
      </c>
      <c r="JP430">
        <v>0</v>
      </c>
      <c r="JQ430">
        <v>0</v>
      </c>
      <c r="JR430">
        <v>0</v>
      </c>
      <c r="JS430">
        <v>0</v>
      </c>
      <c r="JT430">
        <v>0</v>
      </c>
      <c r="JU430">
        <v>0</v>
      </c>
      <c r="JV430">
        <v>0</v>
      </c>
      <c r="JW430">
        <v>0</v>
      </c>
      <c r="JX430">
        <v>0</v>
      </c>
      <c r="JY430">
        <v>0</v>
      </c>
      <c r="JZ430">
        <v>0</v>
      </c>
      <c r="KA430">
        <v>0</v>
      </c>
      <c r="KB430">
        <v>0</v>
      </c>
      <c r="KC430">
        <v>0</v>
      </c>
      <c r="KD430">
        <v>0</v>
      </c>
      <c r="KE430">
        <v>0</v>
      </c>
      <c r="KF430">
        <v>0</v>
      </c>
      <c r="KG430">
        <v>0</v>
      </c>
      <c r="KH430">
        <v>0</v>
      </c>
      <c r="KI430">
        <v>0</v>
      </c>
      <c r="KJ430">
        <v>0</v>
      </c>
      <c r="KK430">
        <v>0</v>
      </c>
      <c r="KL430">
        <v>0</v>
      </c>
      <c r="KM430">
        <v>0</v>
      </c>
      <c r="KN430">
        <v>0</v>
      </c>
      <c r="KO430">
        <v>0</v>
      </c>
      <c r="KP430">
        <v>0</v>
      </c>
      <c r="KQ430">
        <v>0</v>
      </c>
      <c r="KR430">
        <v>0</v>
      </c>
      <c r="KS430">
        <v>0</v>
      </c>
      <c r="KT430">
        <v>0</v>
      </c>
      <c r="KU430">
        <v>0</v>
      </c>
      <c r="KV430">
        <v>0</v>
      </c>
      <c r="KW430">
        <v>0</v>
      </c>
      <c r="KX430">
        <v>0</v>
      </c>
      <c r="KY430">
        <v>0</v>
      </c>
      <c r="KZ430">
        <v>0</v>
      </c>
      <c r="LA430">
        <v>0</v>
      </c>
      <c r="LB430">
        <v>0</v>
      </c>
      <c r="LC430">
        <v>0</v>
      </c>
      <c r="LD430">
        <v>0</v>
      </c>
      <c r="LE430">
        <v>0</v>
      </c>
      <c r="LF430">
        <v>0</v>
      </c>
      <c r="LG430">
        <v>0</v>
      </c>
      <c r="LH430">
        <v>0</v>
      </c>
      <c r="LI430">
        <v>0</v>
      </c>
      <c r="LJ430">
        <v>0</v>
      </c>
      <c r="LK430">
        <v>0</v>
      </c>
      <c r="LL430">
        <v>0</v>
      </c>
      <c r="LM430">
        <v>0</v>
      </c>
      <c r="LN430">
        <v>0</v>
      </c>
      <c r="LO430">
        <v>0</v>
      </c>
      <c r="LP430">
        <v>0</v>
      </c>
      <c r="LQ430">
        <v>0</v>
      </c>
      <c r="LR430">
        <v>0</v>
      </c>
      <c r="LS430">
        <v>0</v>
      </c>
      <c r="LT430">
        <v>0</v>
      </c>
      <c r="LU430">
        <v>0</v>
      </c>
      <c r="LV430">
        <v>0</v>
      </c>
      <c r="LW430">
        <v>0</v>
      </c>
      <c r="LX430">
        <v>0</v>
      </c>
      <c r="LY430">
        <v>0</v>
      </c>
      <c r="LZ430">
        <v>0</v>
      </c>
      <c r="MA430">
        <v>0</v>
      </c>
      <c r="MB430">
        <v>0</v>
      </c>
      <c r="MC430">
        <v>0</v>
      </c>
      <c r="MD430">
        <v>0</v>
      </c>
      <c r="ME430">
        <v>0</v>
      </c>
      <c r="MF430">
        <v>0</v>
      </c>
      <c r="MG430">
        <v>0</v>
      </c>
      <c r="MH430">
        <v>0</v>
      </c>
      <c r="MI430">
        <v>0</v>
      </c>
      <c r="MJ430">
        <v>0</v>
      </c>
      <c r="MK430">
        <v>0</v>
      </c>
      <c r="ML430">
        <v>0</v>
      </c>
      <c r="MM430">
        <v>0</v>
      </c>
      <c r="MN430">
        <v>0</v>
      </c>
      <c r="MO430">
        <v>0</v>
      </c>
      <c r="MP430">
        <v>0</v>
      </c>
      <c r="MQ430">
        <v>0</v>
      </c>
      <c r="MR430">
        <v>0</v>
      </c>
      <c r="MS430">
        <v>0</v>
      </c>
      <c r="MT430">
        <v>0</v>
      </c>
      <c r="MU430">
        <v>0</v>
      </c>
      <c r="MV430">
        <v>0</v>
      </c>
      <c r="MW430">
        <v>0</v>
      </c>
      <c r="MX430">
        <v>0</v>
      </c>
      <c r="MY430">
        <v>0</v>
      </c>
      <c r="MZ430">
        <v>0</v>
      </c>
      <c r="NA430">
        <v>0</v>
      </c>
      <c r="NB430">
        <v>0</v>
      </c>
      <c r="NC430">
        <v>0</v>
      </c>
      <c r="ND430">
        <v>0</v>
      </c>
      <c r="NE430">
        <v>0</v>
      </c>
    </row>
    <row r="431" spans="41:369" x14ac:dyDescent="0.45">
      <c r="AO431">
        <v>0</v>
      </c>
      <c r="AP431">
        <v>0</v>
      </c>
      <c r="AQ431">
        <v>0</v>
      </c>
      <c r="AR431">
        <v>0</v>
      </c>
      <c r="AS431">
        <v>0</v>
      </c>
      <c r="AT431">
        <v>0</v>
      </c>
      <c r="AU431">
        <v>0</v>
      </c>
      <c r="AV431">
        <v>0</v>
      </c>
      <c r="AW431" t="str">
        <v/>
      </c>
      <c r="AX431">
        <v>255</v>
      </c>
      <c r="AY431" s="5" t="str">
        <v/>
      </c>
      <c r="AZ431">
        <v>0</v>
      </c>
      <c r="BA431">
        <v>0</v>
      </c>
      <c r="BB431">
        <v>0</v>
      </c>
      <c r="BC431">
        <v>0</v>
      </c>
      <c r="BD431">
        <v>0</v>
      </c>
      <c r="BE431">
        <v>0</v>
      </c>
      <c r="BF431">
        <v>0</v>
      </c>
      <c r="BG431">
        <v>0</v>
      </c>
      <c r="BH431">
        <v>0</v>
      </c>
      <c r="BI431" t="str">
        <v/>
      </c>
      <c r="BK431">
        <v>425</v>
      </c>
      <c r="BL431">
        <v>0</v>
      </c>
      <c r="BM431">
        <v>0</v>
      </c>
      <c r="BN431">
        <v>0</v>
      </c>
      <c r="BO431">
        <v>0</v>
      </c>
      <c r="BP431">
        <v>0</v>
      </c>
      <c r="BQ431">
        <v>0</v>
      </c>
      <c r="BR431">
        <v>0</v>
      </c>
      <c r="BS431">
        <v>0</v>
      </c>
      <c r="BT431">
        <v>0</v>
      </c>
      <c r="BU431">
        <v>0</v>
      </c>
      <c r="BV431">
        <v>0</v>
      </c>
      <c r="BW431">
        <v>0</v>
      </c>
      <c r="BX431">
        <v>0</v>
      </c>
      <c r="BY431">
        <v>0</v>
      </c>
      <c r="BZ431">
        <v>0</v>
      </c>
      <c r="CA431">
        <v>0</v>
      </c>
      <c r="CB431">
        <v>0</v>
      </c>
      <c r="CC431">
        <v>0</v>
      </c>
      <c r="CD431">
        <v>0</v>
      </c>
      <c r="CE431">
        <v>0</v>
      </c>
      <c r="CF431">
        <v>0</v>
      </c>
      <c r="CG431">
        <v>0</v>
      </c>
      <c r="CH431">
        <v>0</v>
      </c>
      <c r="CI431">
        <v>0</v>
      </c>
      <c r="CJ431">
        <v>0</v>
      </c>
      <c r="CK431">
        <v>0</v>
      </c>
      <c r="CL431">
        <v>0</v>
      </c>
      <c r="CM431">
        <v>0</v>
      </c>
      <c r="CN431">
        <v>0</v>
      </c>
      <c r="CO431">
        <v>0</v>
      </c>
      <c r="CP431">
        <v>0</v>
      </c>
      <c r="CQ431">
        <v>0</v>
      </c>
      <c r="CR431">
        <v>0</v>
      </c>
      <c r="CS431">
        <v>0</v>
      </c>
      <c r="CT431">
        <v>0</v>
      </c>
      <c r="CU431">
        <v>0</v>
      </c>
      <c r="CV431">
        <v>0</v>
      </c>
      <c r="CW431">
        <v>0</v>
      </c>
      <c r="CX431">
        <v>0</v>
      </c>
      <c r="CY431">
        <v>0</v>
      </c>
      <c r="CZ431">
        <v>0</v>
      </c>
      <c r="DA431">
        <v>0</v>
      </c>
      <c r="DB431">
        <v>0</v>
      </c>
      <c r="DC431">
        <v>0</v>
      </c>
      <c r="DD431">
        <v>0</v>
      </c>
      <c r="DE431">
        <v>0</v>
      </c>
      <c r="DF431">
        <v>0</v>
      </c>
      <c r="DG431">
        <v>0</v>
      </c>
      <c r="DH431">
        <v>0</v>
      </c>
      <c r="DI431">
        <v>0</v>
      </c>
      <c r="DJ431">
        <v>0</v>
      </c>
      <c r="DK431">
        <v>0</v>
      </c>
      <c r="DL431">
        <v>0</v>
      </c>
      <c r="DM431">
        <v>0</v>
      </c>
      <c r="DN431">
        <v>0</v>
      </c>
      <c r="DO431">
        <v>0</v>
      </c>
      <c r="DP431">
        <v>0</v>
      </c>
      <c r="DQ431">
        <v>0</v>
      </c>
      <c r="DR431">
        <v>0</v>
      </c>
      <c r="DS431">
        <v>0</v>
      </c>
      <c r="DT431">
        <v>0</v>
      </c>
      <c r="DU431">
        <v>0</v>
      </c>
      <c r="DV431">
        <v>0</v>
      </c>
      <c r="DW431">
        <v>0</v>
      </c>
      <c r="DX431">
        <v>0</v>
      </c>
      <c r="DY431">
        <v>0</v>
      </c>
      <c r="DZ431">
        <v>0</v>
      </c>
      <c r="EA431">
        <v>0</v>
      </c>
      <c r="EB431">
        <v>0</v>
      </c>
      <c r="EC431">
        <v>0</v>
      </c>
      <c r="ED431">
        <v>0</v>
      </c>
      <c r="EE431">
        <v>0</v>
      </c>
      <c r="EF431">
        <v>0</v>
      </c>
      <c r="EG431">
        <v>0</v>
      </c>
      <c r="EH431">
        <v>0</v>
      </c>
      <c r="EI431">
        <v>0</v>
      </c>
      <c r="EJ431">
        <v>0</v>
      </c>
      <c r="EK431">
        <v>0</v>
      </c>
      <c r="EL431">
        <v>0</v>
      </c>
      <c r="EM431">
        <v>0</v>
      </c>
      <c r="EN431">
        <v>0</v>
      </c>
      <c r="EO431">
        <v>0</v>
      </c>
      <c r="EP431">
        <v>0</v>
      </c>
      <c r="EQ431">
        <v>0</v>
      </c>
      <c r="ER431">
        <v>0</v>
      </c>
      <c r="ES431">
        <v>0</v>
      </c>
      <c r="ET431">
        <v>0</v>
      </c>
      <c r="EU431">
        <v>0</v>
      </c>
      <c r="EV431">
        <v>0</v>
      </c>
      <c r="EW431">
        <v>0</v>
      </c>
      <c r="EX431">
        <v>0</v>
      </c>
      <c r="EY431">
        <v>0</v>
      </c>
      <c r="EZ431">
        <v>0</v>
      </c>
      <c r="FA431">
        <v>0</v>
      </c>
      <c r="FB431">
        <v>0</v>
      </c>
      <c r="FC431">
        <v>0</v>
      </c>
      <c r="FD431">
        <v>0</v>
      </c>
      <c r="FE431">
        <v>0</v>
      </c>
      <c r="FF431">
        <v>0</v>
      </c>
      <c r="FG431">
        <v>0</v>
      </c>
      <c r="FH431">
        <v>0</v>
      </c>
      <c r="FI431">
        <v>0</v>
      </c>
      <c r="FJ431">
        <v>0</v>
      </c>
      <c r="FK431">
        <v>0</v>
      </c>
      <c r="FL431">
        <v>0</v>
      </c>
      <c r="FM431">
        <v>0</v>
      </c>
      <c r="FN431">
        <v>0</v>
      </c>
      <c r="FO431">
        <v>0</v>
      </c>
      <c r="FP431">
        <v>0</v>
      </c>
      <c r="FQ431">
        <v>0</v>
      </c>
      <c r="FR431">
        <v>0</v>
      </c>
      <c r="FS431">
        <v>0</v>
      </c>
      <c r="FT431">
        <v>0</v>
      </c>
      <c r="FU431">
        <v>0</v>
      </c>
      <c r="FV431">
        <v>0</v>
      </c>
      <c r="FW431">
        <v>0</v>
      </c>
      <c r="FX431">
        <v>0</v>
      </c>
      <c r="FY431">
        <v>0</v>
      </c>
      <c r="FZ431">
        <v>0</v>
      </c>
      <c r="GA431">
        <v>0</v>
      </c>
      <c r="GB431">
        <v>0</v>
      </c>
      <c r="GC431">
        <v>0</v>
      </c>
      <c r="GD431">
        <v>0</v>
      </c>
      <c r="GE431">
        <v>0</v>
      </c>
      <c r="GF431">
        <v>0</v>
      </c>
      <c r="GG431">
        <v>0</v>
      </c>
      <c r="GH431">
        <v>0</v>
      </c>
      <c r="GI431">
        <v>0</v>
      </c>
      <c r="GJ431">
        <v>0</v>
      </c>
      <c r="GK431">
        <v>0</v>
      </c>
      <c r="GL431">
        <v>0</v>
      </c>
      <c r="GM431">
        <v>0</v>
      </c>
      <c r="GN431">
        <v>0</v>
      </c>
      <c r="GO431">
        <v>0</v>
      </c>
      <c r="GP431">
        <v>0</v>
      </c>
      <c r="GQ431">
        <v>0</v>
      </c>
      <c r="GR431">
        <v>0</v>
      </c>
      <c r="GS431">
        <v>0</v>
      </c>
      <c r="GT431">
        <v>0</v>
      </c>
      <c r="GU431">
        <v>0</v>
      </c>
      <c r="GV431">
        <v>0</v>
      </c>
      <c r="GW431">
        <v>0</v>
      </c>
      <c r="GX431">
        <v>0</v>
      </c>
      <c r="GY431">
        <v>0</v>
      </c>
      <c r="GZ431">
        <v>0</v>
      </c>
      <c r="HA431">
        <v>0</v>
      </c>
      <c r="HB431">
        <v>0</v>
      </c>
      <c r="HC431">
        <v>0</v>
      </c>
      <c r="HD431">
        <v>0</v>
      </c>
      <c r="HE431">
        <v>0</v>
      </c>
      <c r="HF431">
        <v>0</v>
      </c>
      <c r="HG431">
        <v>0</v>
      </c>
      <c r="HH431">
        <v>0</v>
      </c>
      <c r="HI431">
        <v>0</v>
      </c>
      <c r="HJ431">
        <v>0</v>
      </c>
      <c r="HK431">
        <v>0</v>
      </c>
      <c r="HL431">
        <v>0</v>
      </c>
      <c r="HM431">
        <v>0</v>
      </c>
      <c r="HN431">
        <v>0</v>
      </c>
      <c r="HO431">
        <v>0</v>
      </c>
      <c r="HP431">
        <v>0</v>
      </c>
      <c r="HQ431">
        <v>0</v>
      </c>
      <c r="HR431">
        <v>0</v>
      </c>
      <c r="HS431">
        <v>0</v>
      </c>
      <c r="HT431">
        <v>0</v>
      </c>
      <c r="HU431">
        <v>0</v>
      </c>
      <c r="HV431">
        <v>0</v>
      </c>
      <c r="HW431">
        <v>0</v>
      </c>
      <c r="HX431">
        <v>0</v>
      </c>
      <c r="HY431">
        <v>0</v>
      </c>
      <c r="HZ431">
        <v>0</v>
      </c>
      <c r="IA431">
        <v>0</v>
      </c>
      <c r="IB431">
        <v>0</v>
      </c>
      <c r="IC431">
        <v>0</v>
      </c>
      <c r="ID431">
        <v>0</v>
      </c>
      <c r="IE431">
        <v>0</v>
      </c>
      <c r="IF431">
        <v>0</v>
      </c>
      <c r="IG431">
        <v>0</v>
      </c>
      <c r="IH431">
        <v>0</v>
      </c>
      <c r="II431">
        <v>0</v>
      </c>
      <c r="IJ431">
        <v>0</v>
      </c>
      <c r="IK431">
        <v>0</v>
      </c>
      <c r="IL431">
        <v>0</v>
      </c>
      <c r="IM431">
        <v>0</v>
      </c>
      <c r="IN431">
        <v>0</v>
      </c>
      <c r="IO431">
        <v>0</v>
      </c>
      <c r="IP431">
        <v>0</v>
      </c>
      <c r="IQ431">
        <v>0</v>
      </c>
      <c r="IR431">
        <v>0</v>
      </c>
      <c r="IS431">
        <v>0</v>
      </c>
      <c r="IT431">
        <v>0</v>
      </c>
      <c r="IU431">
        <v>0</v>
      </c>
      <c r="IV431">
        <v>0</v>
      </c>
      <c r="IW431">
        <v>0</v>
      </c>
      <c r="IX431">
        <v>0</v>
      </c>
      <c r="IY431">
        <v>0</v>
      </c>
      <c r="IZ431">
        <v>0</v>
      </c>
      <c r="JA431">
        <v>0</v>
      </c>
      <c r="JB431">
        <v>0</v>
      </c>
      <c r="JC431">
        <v>0</v>
      </c>
      <c r="JD431">
        <v>0</v>
      </c>
      <c r="JE431">
        <v>0</v>
      </c>
      <c r="JF431">
        <v>0</v>
      </c>
      <c r="JG431">
        <v>0</v>
      </c>
      <c r="JH431">
        <v>0</v>
      </c>
      <c r="JI431">
        <v>0</v>
      </c>
      <c r="JJ431">
        <v>0</v>
      </c>
      <c r="JK431">
        <v>0</v>
      </c>
      <c r="JL431">
        <v>0</v>
      </c>
      <c r="JM431">
        <v>0</v>
      </c>
      <c r="JN431">
        <v>0</v>
      </c>
      <c r="JO431">
        <v>0</v>
      </c>
      <c r="JP431">
        <v>0</v>
      </c>
      <c r="JQ431">
        <v>0</v>
      </c>
      <c r="JR431">
        <v>0</v>
      </c>
      <c r="JS431">
        <v>0</v>
      </c>
      <c r="JT431">
        <v>0</v>
      </c>
      <c r="JU431">
        <v>0</v>
      </c>
      <c r="JV431">
        <v>0</v>
      </c>
      <c r="JW431">
        <v>0</v>
      </c>
      <c r="JX431">
        <v>0</v>
      </c>
      <c r="JY431">
        <v>0</v>
      </c>
      <c r="JZ431">
        <v>0</v>
      </c>
      <c r="KA431">
        <v>0</v>
      </c>
      <c r="KB431">
        <v>0</v>
      </c>
      <c r="KC431">
        <v>0</v>
      </c>
      <c r="KD431">
        <v>0</v>
      </c>
      <c r="KE431">
        <v>0</v>
      </c>
      <c r="KF431">
        <v>0</v>
      </c>
      <c r="KG431">
        <v>0</v>
      </c>
      <c r="KH431">
        <v>0</v>
      </c>
      <c r="KI431">
        <v>0</v>
      </c>
      <c r="KJ431">
        <v>0</v>
      </c>
      <c r="KK431">
        <v>0</v>
      </c>
      <c r="KL431">
        <v>0</v>
      </c>
      <c r="KM431">
        <v>0</v>
      </c>
      <c r="KN431">
        <v>0</v>
      </c>
      <c r="KO431">
        <v>0</v>
      </c>
      <c r="KP431">
        <v>0</v>
      </c>
      <c r="KQ431">
        <v>0</v>
      </c>
      <c r="KR431">
        <v>0</v>
      </c>
      <c r="KS431">
        <v>0</v>
      </c>
      <c r="KT431">
        <v>0</v>
      </c>
      <c r="KU431">
        <v>0</v>
      </c>
      <c r="KV431">
        <v>0</v>
      </c>
      <c r="KW431">
        <v>0</v>
      </c>
      <c r="KX431">
        <v>0</v>
      </c>
      <c r="KY431">
        <v>0</v>
      </c>
      <c r="KZ431">
        <v>0</v>
      </c>
      <c r="LA431">
        <v>0</v>
      </c>
      <c r="LB431">
        <v>0</v>
      </c>
      <c r="LC431">
        <v>0</v>
      </c>
      <c r="LD431">
        <v>0</v>
      </c>
      <c r="LE431">
        <v>0</v>
      </c>
      <c r="LF431">
        <v>0</v>
      </c>
      <c r="LG431">
        <v>0</v>
      </c>
      <c r="LH431">
        <v>0</v>
      </c>
      <c r="LI431">
        <v>0</v>
      </c>
      <c r="LJ431">
        <v>0</v>
      </c>
      <c r="LK431">
        <v>0</v>
      </c>
      <c r="LL431">
        <v>0</v>
      </c>
      <c r="LM431">
        <v>0</v>
      </c>
      <c r="LN431">
        <v>0</v>
      </c>
      <c r="LO431">
        <v>0</v>
      </c>
      <c r="LP431">
        <v>0</v>
      </c>
      <c r="LQ431">
        <v>0</v>
      </c>
      <c r="LR431">
        <v>0</v>
      </c>
      <c r="LS431">
        <v>0</v>
      </c>
      <c r="LT431">
        <v>0</v>
      </c>
      <c r="LU431">
        <v>0</v>
      </c>
      <c r="LV431">
        <v>0</v>
      </c>
      <c r="LW431">
        <v>0</v>
      </c>
      <c r="LX431">
        <v>0</v>
      </c>
      <c r="LY431">
        <v>0</v>
      </c>
      <c r="LZ431">
        <v>0</v>
      </c>
      <c r="MA431">
        <v>0</v>
      </c>
      <c r="MB431">
        <v>0</v>
      </c>
      <c r="MC431">
        <v>0</v>
      </c>
      <c r="MD431">
        <v>0</v>
      </c>
      <c r="ME431">
        <v>0</v>
      </c>
      <c r="MF431">
        <v>0</v>
      </c>
      <c r="MG431">
        <v>0</v>
      </c>
      <c r="MH431">
        <v>0</v>
      </c>
      <c r="MI431">
        <v>0</v>
      </c>
      <c r="MJ431">
        <v>0</v>
      </c>
      <c r="MK431">
        <v>0</v>
      </c>
      <c r="ML431">
        <v>0</v>
      </c>
      <c r="MM431">
        <v>0</v>
      </c>
      <c r="MN431">
        <v>0</v>
      </c>
      <c r="MO431">
        <v>0</v>
      </c>
      <c r="MP431">
        <v>0</v>
      </c>
      <c r="MQ431">
        <v>0</v>
      </c>
      <c r="MR431">
        <v>0</v>
      </c>
      <c r="MS431">
        <v>0</v>
      </c>
      <c r="MT431">
        <v>0</v>
      </c>
      <c r="MU431">
        <v>0</v>
      </c>
      <c r="MV431">
        <v>0</v>
      </c>
      <c r="MW431">
        <v>0</v>
      </c>
      <c r="MX431">
        <v>0</v>
      </c>
      <c r="MY431">
        <v>0</v>
      </c>
      <c r="MZ431">
        <v>0</v>
      </c>
      <c r="NA431">
        <v>0</v>
      </c>
      <c r="NB431">
        <v>0</v>
      </c>
      <c r="NC431">
        <v>0</v>
      </c>
      <c r="ND431">
        <v>0</v>
      </c>
      <c r="NE431">
        <v>0</v>
      </c>
    </row>
    <row r="432" spans="41:369" x14ac:dyDescent="0.45">
      <c r="AO432">
        <v>0</v>
      </c>
      <c r="AP432">
        <v>0</v>
      </c>
      <c r="AQ432">
        <v>0</v>
      </c>
      <c r="AR432">
        <v>0</v>
      </c>
      <c r="AS432">
        <v>0</v>
      </c>
      <c r="AT432">
        <v>0</v>
      </c>
      <c r="AU432">
        <v>0</v>
      </c>
      <c r="AV432">
        <v>0</v>
      </c>
      <c r="AW432" t="str">
        <v/>
      </c>
      <c r="AX432">
        <v>255</v>
      </c>
      <c r="AY432" s="5" t="str">
        <v/>
      </c>
      <c r="AZ432">
        <v>0</v>
      </c>
      <c r="BA432">
        <v>0</v>
      </c>
      <c r="BB432">
        <v>0</v>
      </c>
      <c r="BC432">
        <v>0</v>
      </c>
      <c r="BD432">
        <v>0</v>
      </c>
      <c r="BE432">
        <v>0</v>
      </c>
      <c r="BF432">
        <v>0</v>
      </c>
      <c r="BG432">
        <v>0</v>
      </c>
      <c r="BH432">
        <v>0</v>
      </c>
      <c r="BI432" t="str">
        <v/>
      </c>
      <c r="BK432">
        <v>426</v>
      </c>
      <c r="BL432">
        <v>0</v>
      </c>
      <c r="BM432">
        <v>0</v>
      </c>
      <c r="BN432">
        <v>0</v>
      </c>
      <c r="BO432">
        <v>0</v>
      </c>
      <c r="BP432">
        <v>0</v>
      </c>
      <c r="BQ432">
        <v>0</v>
      </c>
      <c r="BR432">
        <v>0</v>
      </c>
      <c r="BS432">
        <v>0</v>
      </c>
      <c r="BT432">
        <v>0</v>
      </c>
      <c r="BU432">
        <v>0</v>
      </c>
      <c r="BV432">
        <v>0</v>
      </c>
      <c r="BW432">
        <v>0</v>
      </c>
      <c r="BX432">
        <v>0</v>
      </c>
      <c r="BY432">
        <v>0</v>
      </c>
      <c r="BZ432">
        <v>0</v>
      </c>
      <c r="CA432">
        <v>0</v>
      </c>
      <c r="CB432">
        <v>0</v>
      </c>
      <c r="CC432">
        <v>0</v>
      </c>
      <c r="CD432">
        <v>0</v>
      </c>
      <c r="CE432">
        <v>0</v>
      </c>
      <c r="CF432">
        <v>0</v>
      </c>
      <c r="CG432">
        <v>0</v>
      </c>
      <c r="CH432">
        <v>0</v>
      </c>
      <c r="CI432">
        <v>0</v>
      </c>
      <c r="CJ432">
        <v>0</v>
      </c>
      <c r="CK432">
        <v>0</v>
      </c>
      <c r="CL432">
        <v>0</v>
      </c>
      <c r="CM432">
        <v>0</v>
      </c>
      <c r="CN432">
        <v>0</v>
      </c>
      <c r="CO432">
        <v>0</v>
      </c>
      <c r="CP432">
        <v>0</v>
      </c>
      <c r="CQ432">
        <v>0</v>
      </c>
      <c r="CR432">
        <v>0</v>
      </c>
      <c r="CS432">
        <v>0</v>
      </c>
      <c r="CT432">
        <v>0</v>
      </c>
      <c r="CU432">
        <v>0</v>
      </c>
      <c r="CV432">
        <v>0</v>
      </c>
      <c r="CW432">
        <v>0</v>
      </c>
      <c r="CX432">
        <v>0</v>
      </c>
      <c r="CY432">
        <v>0</v>
      </c>
      <c r="CZ432">
        <v>0</v>
      </c>
      <c r="DA432">
        <v>0</v>
      </c>
      <c r="DB432">
        <v>0</v>
      </c>
      <c r="DC432">
        <v>0</v>
      </c>
      <c r="DD432">
        <v>0</v>
      </c>
      <c r="DE432">
        <v>0</v>
      </c>
      <c r="DF432">
        <v>0</v>
      </c>
      <c r="DG432">
        <v>0</v>
      </c>
      <c r="DH432">
        <v>0</v>
      </c>
      <c r="DI432">
        <v>0</v>
      </c>
      <c r="DJ432">
        <v>0</v>
      </c>
      <c r="DK432">
        <v>0</v>
      </c>
      <c r="DL432">
        <v>0</v>
      </c>
      <c r="DM432">
        <v>0</v>
      </c>
      <c r="DN432">
        <v>0</v>
      </c>
      <c r="DO432">
        <v>0</v>
      </c>
      <c r="DP432">
        <v>0</v>
      </c>
      <c r="DQ432">
        <v>0</v>
      </c>
      <c r="DR432">
        <v>0</v>
      </c>
      <c r="DS432">
        <v>0</v>
      </c>
      <c r="DT432">
        <v>0</v>
      </c>
      <c r="DU432">
        <v>0</v>
      </c>
      <c r="DV432">
        <v>0</v>
      </c>
      <c r="DW432">
        <v>0</v>
      </c>
      <c r="DX432">
        <v>0</v>
      </c>
      <c r="DY432">
        <v>0</v>
      </c>
      <c r="DZ432">
        <v>0</v>
      </c>
      <c r="EA432">
        <v>0</v>
      </c>
      <c r="EB432">
        <v>0</v>
      </c>
      <c r="EC432">
        <v>0</v>
      </c>
      <c r="ED432">
        <v>0</v>
      </c>
      <c r="EE432">
        <v>0</v>
      </c>
      <c r="EF432">
        <v>0</v>
      </c>
      <c r="EG432">
        <v>0</v>
      </c>
      <c r="EH432">
        <v>0</v>
      </c>
      <c r="EI432">
        <v>0</v>
      </c>
      <c r="EJ432">
        <v>0</v>
      </c>
      <c r="EK432">
        <v>0</v>
      </c>
      <c r="EL432">
        <v>0</v>
      </c>
      <c r="EM432">
        <v>0</v>
      </c>
      <c r="EN432">
        <v>0</v>
      </c>
      <c r="EO432">
        <v>0</v>
      </c>
      <c r="EP432">
        <v>0</v>
      </c>
      <c r="EQ432">
        <v>0</v>
      </c>
      <c r="ER432">
        <v>0</v>
      </c>
      <c r="ES432">
        <v>0</v>
      </c>
      <c r="ET432">
        <v>0</v>
      </c>
      <c r="EU432">
        <v>0</v>
      </c>
      <c r="EV432">
        <v>0</v>
      </c>
      <c r="EW432">
        <v>0</v>
      </c>
      <c r="EX432">
        <v>0</v>
      </c>
      <c r="EY432">
        <v>0</v>
      </c>
      <c r="EZ432">
        <v>0</v>
      </c>
      <c r="FA432">
        <v>0</v>
      </c>
      <c r="FB432">
        <v>0</v>
      </c>
      <c r="FC432">
        <v>0</v>
      </c>
      <c r="FD432">
        <v>0</v>
      </c>
      <c r="FE432">
        <v>0</v>
      </c>
      <c r="FF432">
        <v>0</v>
      </c>
      <c r="FG432">
        <v>0</v>
      </c>
      <c r="FH432">
        <v>0</v>
      </c>
      <c r="FI432">
        <v>0</v>
      </c>
      <c r="FJ432">
        <v>0</v>
      </c>
      <c r="FK432">
        <v>0</v>
      </c>
      <c r="FL432">
        <v>0</v>
      </c>
      <c r="FM432">
        <v>0</v>
      </c>
      <c r="FN432">
        <v>0</v>
      </c>
      <c r="FO432">
        <v>0</v>
      </c>
      <c r="FP432">
        <v>0</v>
      </c>
      <c r="FQ432">
        <v>0</v>
      </c>
      <c r="FR432">
        <v>0</v>
      </c>
      <c r="FS432">
        <v>0</v>
      </c>
      <c r="FT432">
        <v>0</v>
      </c>
      <c r="FU432">
        <v>0</v>
      </c>
      <c r="FV432">
        <v>0</v>
      </c>
      <c r="FW432">
        <v>0</v>
      </c>
      <c r="FX432">
        <v>0</v>
      </c>
      <c r="FY432">
        <v>0</v>
      </c>
      <c r="FZ432">
        <v>0</v>
      </c>
      <c r="GA432">
        <v>0</v>
      </c>
      <c r="GB432">
        <v>0</v>
      </c>
      <c r="GC432">
        <v>0</v>
      </c>
      <c r="GD432">
        <v>0</v>
      </c>
      <c r="GE432">
        <v>0</v>
      </c>
      <c r="GF432">
        <v>0</v>
      </c>
      <c r="GG432">
        <v>0</v>
      </c>
      <c r="GH432">
        <v>0</v>
      </c>
      <c r="GI432">
        <v>0</v>
      </c>
      <c r="GJ432">
        <v>0</v>
      </c>
      <c r="GK432">
        <v>0</v>
      </c>
      <c r="GL432">
        <v>0</v>
      </c>
      <c r="GM432">
        <v>0</v>
      </c>
      <c r="GN432">
        <v>0</v>
      </c>
      <c r="GO432">
        <v>0</v>
      </c>
      <c r="GP432">
        <v>0</v>
      </c>
      <c r="GQ432">
        <v>0</v>
      </c>
      <c r="GR432">
        <v>0</v>
      </c>
      <c r="GS432">
        <v>0</v>
      </c>
      <c r="GT432">
        <v>0</v>
      </c>
      <c r="GU432">
        <v>0</v>
      </c>
      <c r="GV432">
        <v>0</v>
      </c>
      <c r="GW432">
        <v>0</v>
      </c>
      <c r="GX432">
        <v>0</v>
      </c>
      <c r="GY432">
        <v>0</v>
      </c>
      <c r="GZ432">
        <v>0</v>
      </c>
      <c r="HA432">
        <v>0</v>
      </c>
      <c r="HB432">
        <v>0</v>
      </c>
      <c r="HC432">
        <v>0</v>
      </c>
      <c r="HD432">
        <v>0</v>
      </c>
      <c r="HE432">
        <v>0</v>
      </c>
      <c r="HF432">
        <v>0</v>
      </c>
      <c r="HG432">
        <v>0</v>
      </c>
      <c r="HH432">
        <v>0</v>
      </c>
      <c r="HI432">
        <v>0</v>
      </c>
      <c r="HJ432">
        <v>0</v>
      </c>
      <c r="HK432">
        <v>0</v>
      </c>
      <c r="HL432">
        <v>0</v>
      </c>
      <c r="HM432">
        <v>0</v>
      </c>
      <c r="HN432">
        <v>0</v>
      </c>
      <c r="HO432">
        <v>0</v>
      </c>
      <c r="HP432">
        <v>0</v>
      </c>
      <c r="HQ432">
        <v>0</v>
      </c>
      <c r="HR432">
        <v>0</v>
      </c>
      <c r="HS432">
        <v>0</v>
      </c>
      <c r="HT432">
        <v>0</v>
      </c>
      <c r="HU432">
        <v>0</v>
      </c>
      <c r="HV432">
        <v>0</v>
      </c>
      <c r="HW432">
        <v>0</v>
      </c>
      <c r="HX432">
        <v>0</v>
      </c>
      <c r="HY432">
        <v>0</v>
      </c>
      <c r="HZ432">
        <v>0</v>
      </c>
      <c r="IA432">
        <v>0</v>
      </c>
      <c r="IB432">
        <v>0</v>
      </c>
      <c r="IC432">
        <v>0</v>
      </c>
      <c r="ID432">
        <v>0</v>
      </c>
      <c r="IE432">
        <v>0</v>
      </c>
      <c r="IF432">
        <v>0</v>
      </c>
      <c r="IG432">
        <v>0</v>
      </c>
      <c r="IH432">
        <v>0</v>
      </c>
      <c r="II432">
        <v>0</v>
      </c>
      <c r="IJ432">
        <v>0</v>
      </c>
      <c r="IK432">
        <v>0</v>
      </c>
      <c r="IL432">
        <v>0</v>
      </c>
      <c r="IM432">
        <v>0</v>
      </c>
      <c r="IN432">
        <v>0</v>
      </c>
      <c r="IO432">
        <v>0</v>
      </c>
      <c r="IP432">
        <v>0</v>
      </c>
      <c r="IQ432">
        <v>0</v>
      </c>
      <c r="IR432">
        <v>0</v>
      </c>
      <c r="IS432">
        <v>0</v>
      </c>
      <c r="IT432">
        <v>0</v>
      </c>
      <c r="IU432">
        <v>0</v>
      </c>
      <c r="IV432">
        <v>0</v>
      </c>
      <c r="IW432">
        <v>0</v>
      </c>
      <c r="IX432">
        <v>0</v>
      </c>
      <c r="IY432">
        <v>0</v>
      </c>
      <c r="IZ432">
        <v>0</v>
      </c>
      <c r="JA432">
        <v>0</v>
      </c>
      <c r="JB432">
        <v>0</v>
      </c>
      <c r="JC432">
        <v>0</v>
      </c>
      <c r="JD432">
        <v>0</v>
      </c>
      <c r="JE432">
        <v>0</v>
      </c>
      <c r="JF432">
        <v>0</v>
      </c>
      <c r="JG432">
        <v>0</v>
      </c>
      <c r="JH432">
        <v>0</v>
      </c>
      <c r="JI432">
        <v>0</v>
      </c>
      <c r="JJ432">
        <v>0</v>
      </c>
      <c r="JK432">
        <v>0</v>
      </c>
      <c r="JL432">
        <v>0</v>
      </c>
      <c r="JM432">
        <v>0</v>
      </c>
      <c r="JN432">
        <v>0</v>
      </c>
      <c r="JO432">
        <v>0</v>
      </c>
      <c r="JP432">
        <v>0</v>
      </c>
      <c r="JQ432">
        <v>0</v>
      </c>
      <c r="JR432">
        <v>0</v>
      </c>
      <c r="JS432">
        <v>0</v>
      </c>
      <c r="JT432">
        <v>0</v>
      </c>
      <c r="JU432">
        <v>0</v>
      </c>
      <c r="JV432">
        <v>0</v>
      </c>
      <c r="JW432">
        <v>0</v>
      </c>
      <c r="JX432">
        <v>0</v>
      </c>
      <c r="JY432">
        <v>0</v>
      </c>
      <c r="JZ432">
        <v>0</v>
      </c>
      <c r="KA432">
        <v>0</v>
      </c>
      <c r="KB432">
        <v>0</v>
      </c>
      <c r="KC432">
        <v>0</v>
      </c>
      <c r="KD432">
        <v>0</v>
      </c>
      <c r="KE432">
        <v>0</v>
      </c>
      <c r="KF432">
        <v>0</v>
      </c>
      <c r="KG432">
        <v>0</v>
      </c>
      <c r="KH432">
        <v>0</v>
      </c>
      <c r="KI432">
        <v>0</v>
      </c>
      <c r="KJ432">
        <v>0</v>
      </c>
      <c r="KK432">
        <v>0</v>
      </c>
      <c r="KL432">
        <v>0</v>
      </c>
      <c r="KM432">
        <v>0</v>
      </c>
      <c r="KN432">
        <v>0</v>
      </c>
      <c r="KO432">
        <v>0</v>
      </c>
      <c r="KP432">
        <v>0</v>
      </c>
      <c r="KQ432">
        <v>0</v>
      </c>
      <c r="KR432">
        <v>0</v>
      </c>
      <c r="KS432">
        <v>0</v>
      </c>
      <c r="KT432">
        <v>0</v>
      </c>
      <c r="KU432">
        <v>0</v>
      </c>
      <c r="KV432">
        <v>0</v>
      </c>
      <c r="KW432">
        <v>0</v>
      </c>
      <c r="KX432">
        <v>0</v>
      </c>
      <c r="KY432">
        <v>0</v>
      </c>
      <c r="KZ432">
        <v>0</v>
      </c>
      <c r="LA432">
        <v>0</v>
      </c>
      <c r="LB432">
        <v>0</v>
      </c>
      <c r="LC432">
        <v>0</v>
      </c>
      <c r="LD432">
        <v>0</v>
      </c>
      <c r="LE432">
        <v>0</v>
      </c>
      <c r="LF432">
        <v>0</v>
      </c>
      <c r="LG432">
        <v>0</v>
      </c>
      <c r="LH432">
        <v>0</v>
      </c>
      <c r="LI432">
        <v>0</v>
      </c>
      <c r="LJ432">
        <v>0</v>
      </c>
      <c r="LK432">
        <v>0</v>
      </c>
      <c r="LL432">
        <v>0</v>
      </c>
      <c r="LM432">
        <v>0</v>
      </c>
      <c r="LN432">
        <v>0</v>
      </c>
      <c r="LO432">
        <v>0</v>
      </c>
      <c r="LP432">
        <v>0</v>
      </c>
      <c r="LQ432">
        <v>0</v>
      </c>
      <c r="LR432">
        <v>0</v>
      </c>
      <c r="LS432">
        <v>0</v>
      </c>
      <c r="LT432">
        <v>0</v>
      </c>
      <c r="LU432">
        <v>0</v>
      </c>
      <c r="LV432">
        <v>0</v>
      </c>
      <c r="LW432">
        <v>0</v>
      </c>
      <c r="LX432">
        <v>0</v>
      </c>
      <c r="LY432">
        <v>0</v>
      </c>
      <c r="LZ432">
        <v>0</v>
      </c>
      <c r="MA432">
        <v>0</v>
      </c>
      <c r="MB432">
        <v>0</v>
      </c>
      <c r="MC432">
        <v>0</v>
      </c>
      <c r="MD432">
        <v>0</v>
      </c>
      <c r="ME432">
        <v>0</v>
      </c>
      <c r="MF432">
        <v>0</v>
      </c>
      <c r="MG432">
        <v>0</v>
      </c>
      <c r="MH432">
        <v>0</v>
      </c>
      <c r="MI432">
        <v>0</v>
      </c>
      <c r="MJ432">
        <v>0</v>
      </c>
      <c r="MK432">
        <v>0</v>
      </c>
      <c r="ML432">
        <v>0</v>
      </c>
      <c r="MM432">
        <v>0</v>
      </c>
      <c r="MN432">
        <v>0</v>
      </c>
      <c r="MO432">
        <v>0</v>
      </c>
      <c r="MP432">
        <v>0</v>
      </c>
      <c r="MQ432">
        <v>0</v>
      </c>
      <c r="MR432">
        <v>0</v>
      </c>
      <c r="MS432">
        <v>0</v>
      </c>
      <c r="MT432">
        <v>0</v>
      </c>
      <c r="MU432">
        <v>0</v>
      </c>
      <c r="MV432">
        <v>0</v>
      </c>
      <c r="MW432">
        <v>0</v>
      </c>
      <c r="MX432">
        <v>0</v>
      </c>
      <c r="MY432">
        <v>0</v>
      </c>
      <c r="MZ432">
        <v>0</v>
      </c>
      <c r="NA432">
        <v>0</v>
      </c>
      <c r="NB432">
        <v>0</v>
      </c>
      <c r="NC432">
        <v>0</v>
      </c>
      <c r="ND432">
        <v>0</v>
      </c>
      <c r="NE432">
        <v>0</v>
      </c>
    </row>
    <row r="433" spans="41:369" x14ac:dyDescent="0.45">
      <c r="AO433">
        <v>0</v>
      </c>
      <c r="AP433">
        <v>0</v>
      </c>
      <c r="AQ433">
        <v>0</v>
      </c>
      <c r="AR433">
        <v>0</v>
      </c>
      <c r="AS433">
        <v>0</v>
      </c>
      <c r="AT433">
        <v>0</v>
      </c>
      <c r="AU433">
        <v>0</v>
      </c>
      <c r="AV433">
        <v>0</v>
      </c>
      <c r="AW433" t="str">
        <v/>
      </c>
      <c r="AX433">
        <v>255</v>
      </c>
      <c r="AY433" s="5" t="str">
        <v/>
      </c>
      <c r="AZ433">
        <v>0</v>
      </c>
      <c r="BA433">
        <v>0</v>
      </c>
      <c r="BB433">
        <v>0</v>
      </c>
      <c r="BC433">
        <v>0</v>
      </c>
      <c r="BD433">
        <v>0</v>
      </c>
      <c r="BE433">
        <v>0</v>
      </c>
      <c r="BF433">
        <v>0</v>
      </c>
      <c r="BG433">
        <v>0</v>
      </c>
      <c r="BH433">
        <v>0</v>
      </c>
      <c r="BI433" t="str">
        <v/>
      </c>
      <c r="BK433">
        <v>427</v>
      </c>
      <c r="BL433">
        <v>0</v>
      </c>
      <c r="BM433">
        <v>0</v>
      </c>
      <c r="BN433">
        <v>0</v>
      </c>
      <c r="BO433">
        <v>0</v>
      </c>
      <c r="BP433">
        <v>0</v>
      </c>
      <c r="BQ433">
        <v>0</v>
      </c>
      <c r="BR433">
        <v>0</v>
      </c>
      <c r="BS433">
        <v>0</v>
      </c>
      <c r="BT433">
        <v>0</v>
      </c>
      <c r="BU433">
        <v>0</v>
      </c>
      <c r="BV433">
        <v>0</v>
      </c>
      <c r="BW433">
        <v>0</v>
      </c>
      <c r="BX433">
        <v>0</v>
      </c>
      <c r="BY433">
        <v>0</v>
      </c>
      <c r="BZ433">
        <v>0</v>
      </c>
      <c r="CA433">
        <v>0</v>
      </c>
      <c r="CB433">
        <v>0</v>
      </c>
      <c r="CC433">
        <v>0</v>
      </c>
      <c r="CD433">
        <v>0</v>
      </c>
      <c r="CE433">
        <v>0</v>
      </c>
      <c r="CF433">
        <v>0</v>
      </c>
      <c r="CG433">
        <v>0</v>
      </c>
      <c r="CH433">
        <v>0</v>
      </c>
      <c r="CI433">
        <v>0</v>
      </c>
      <c r="CJ433">
        <v>0</v>
      </c>
      <c r="CK433">
        <v>0</v>
      </c>
      <c r="CL433">
        <v>0</v>
      </c>
      <c r="CM433">
        <v>0</v>
      </c>
      <c r="CN433">
        <v>0</v>
      </c>
      <c r="CO433">
        <v>0</v>
      </c>
      <c r="CP433">
        <v>0</v>
      </c>
      <c r="CQ433">
        <v>0</v>
      </c>
      <c r="CR433">
        <v>0</v>
      </c>
      <c r="CS433">
        <v>0</v>
      </c>
      <c r="CT433">
        <v>0</v>
      </c>
      <c r="CU433">
        <v>0</v>
      </c>
      <c r="CV433">
        <v>0</v>
      </c>
      <c r="CW433">
        <v>0</v>
      </c>
      <c r="CX433">
        <v>0</v>
      </c>
      <c r="CY433">
        <v>0</v>
      </c>
      <c r="CZ433">
        <v>0</v>
      </c>
      <c r="DA433">
        <v>0</v>
      </c>
      <c r="DB433">
        <v>0</v>
      </c>
      <c r="DC433">
        <v>0</v>
      </c>
      <c r="DD433">
        <v>0</v>
      </c>
      <c r="DE433">
        <v>0</v>
      </c>
      <c r="DF433">
        <v>0</v>
      </c>
      <c r="DG433">
        <v>0</v>
      </c>
      <c r="DH433">
        <v>0</v>
      </c>
      <c r="DI433">
        <v>0</v>
      </c>
      <c r="DJ433">
        <v>0</v>
      </c>
      <c r="DK433">
        <v>0</v>
      </c>
      <c r="DL433">
        <v>0</v>
      </c>
      <c r="DM433">
        <v>0</v>
      </c>
      <c r="DN433">
        <v>0</v>
      </c>
      <c r="DO433">
        <v>0</v>
      </c>
      <c r="DP433">
        <v>0</v>
      </c>
      <c r="DQ433">
        <v>0</v>
      </c>
      <c r="DR433">
        <v>0</v>
      </c>
      <c r="DS433">
        <v>0</v>
      </c>
      <c r="DT433">
        <v>0</v>
      </c>
      <c r="DU433">
        <v>0</v>
      </c>
      <c r="DV433">
        <v>0</v>
      </c>
      <c r="DW433">
        <v>0</v>
      </c>
      <c r="DX433">
        <v>0</v>
      </c>
      <c r="DY433">
        <v>0</v>
      </c>
      <c r="DZ433">
        <v>0</v>
      </c>
      <c r="EA433">
        <v>0</v>
      </c>
      <c r="EB433">
        <v>0</v>
      </c>
      <c r="EC433">
        <v>0</v>
      </c>
      <c r="ED433">
        <v>0</v>
      </c>
      <c r="EE433">
        <v>0</v>
      </c>
      <c r="EF433">
        <v>0</v>
      </c>
      <c r="EG433">
        <v>0</v>
      </c>
      <c r="EH433">
        <v>0</v>
      </c>
      <c r="EI433">
        <v>0</v>
      </c>
      <c r="EJ433">
        <v>0</v>
      </c>
      <c r="EK433">
        <v>0</v>
      </c>
      <c r="EL433">
        <v>0</v>
      </c>
      <c r="EM433">
        <v>0</v>
      </c>
      <c r="EN433">
        <v>0</v>
      </c>
      <c r="EO433">
        <v>0</v>
      </c>
      <c r="EP433">
        <v>0</v>
      </c>
      <c r="EQ433">
        <v>0</v>
      </c>
      <c r="ER433">
        <v>0</v>
      </c>
      <c r="ES433">
        <v>0</v>
      </c>
      <c r="ET433">
        <v>0</v>
      </c>
      <c r="EU433">
        <v>0</v>
      </c>
      <c r="EV433">
        <v>0</v>
      </c>
      <c r="EW433">
        <v>0</v>
      </c>
      <c r="EX433">
        <v>0</v>
      </c>
      <c r="EY433">
        <v>0</v>
      </c>
      <c r="EZ433">
        <v>0</v>
      </c>
      <c r="FA433">
        <v>0</v>
      </c>
      <c r="FB433">
        <v>0</v>
      </c>
      <c r="FC433">
        <v>0</v>
      </c>
      <c r="FD433">
        <v>0</v>
      </c>
      <c r="FE433">
        <v>0</v>
      </c>
      <c r="FF433">
        <v>0</v>
      </c>
      <c r="FG433">
        <v>0</v>
      </c>
      <c r="FH433">
        <v>0</v>
      </c>
      <c r="FI433">
        <v>0</v>
      </c>
      <c r="FJ433">
        <v>0</v>
      </c>
      <c r="FK433">
        <v>0</v>
      </c>
      <c r="FL433">
        <v>0</v>
      </c>
      <c r="FM433">
        <v>0</v>
      </c>
      <c r="FN433">
        <v>0</v>
      </c>
      <c r="FO433">
        <v>0</v>
      </c>
      <c r="FP433">
        <v>0</v>
      </c>
      <c r="FQ433">
        <v>0</v>
      </c>
      <c r="FR433">
        <v>0</v>
      </c>
      <c r="FS433">
        <v>0</v>
      </c>
      <c r="FT433">
        <v>0</v>
      </c>
      <c r="FU433">
        <v>0</v>
      </c>
      <c r="FV433">
        <v>0</v>
      </c>
      <c r="FW433">
        <v>0</v>
      </c>
      <c r="FX433">
        <v>0</v>
      </c>
      <c r="FY433">
        <v>0</v>
      </c>
      <c r="FZ433">
        <v>0</v>
      </c>
      <c r="GA433">
        <v>0</v>
      </c>
      <c r="GB433">
        <v>0</v>
      </c>
      <c r="GC433">
        <v>0</v>
      </c>
      <c r="GD433">
        <v>0</v>
      </c>
      <c r="GE433">
        <v>0</v>
      </c>
      <c r="GF433">
        <v>0</v>
      </c>
      <c r="GG433">
        <v>0</v>
      </c>
      <c r="GH433">
        <v>0</v>
      </c>
      <c r="GI433">
        <v>0</v>
      </c>
      <c r="GJ433">
        <v>0</v>
      </c>
      <c r="GK433">
        <v>0</v>
      </c>
      <c r="GL433">
        <v>0</v>
      </c>
      <c r="GM433">
        <v>0</v>
      </c>
      <c r="GN433">
        <v>0</v>
      </c>
      <c r="GO433">
        <v>0</v>
      </c>
      <c r="GP433">
        <v>0</v>
      </c>
      <c r="GQ433">
        <v>0</v>
      </c>
      <c r="GR433">
        <v>0</v>
      </c>
      <c r="GS433">
        <v>0</v>
      </c>
      <c r="GT433">
        <v>0</v>
      </c>
      <c r="GU433">
        <v>0</v>
      </c>
      <c r="GV433">
        <v>0</v>
      </c>
      <c r="GW433">
        <v>0</v>
      </c>
      <c r="GX433">
        <v>0</v>
      </c>
      <c r="GY433">
        <v>0</v>
      </c>
      <c r="GZ433">
        <v>0</v>
      </c>
      <c r="HA433">
        <v>0</v>
      </c>
      <c r="HB433">
        <v>0</v>
      </c>
      <c r="HC433">
        <v>0</v>
      </c>
      <c r="HD433">
        <v>0</v>
      </c>
      <c r="HE433">
        <v>0</v>
      </c>
      <c r="HF433">
        <v>0</v>
      </c>
      <c r="HG433">
        <v>0</v>
      </c>
      <c r="HH433">
        <v>0</v>
      </c>
      <c r="HI433">
        <v>0</v>
      </c>
      <c r="HJ433">
        <v>0</v>
      </c>
      <c r="HK433">
        <v>0</v>
      </c>
      <c r="HL433">
        <v>0</v>
      </c>
      <c r="HM433">
        <v>0</v>
      </c>
      <c r="HN433">
        <v>0</v>
      </c>
      <c r="HO433">
        <v>0</v>
      </c>
      <c r="HP433">
        <v>0</v>
      </c>
      <c r="HQ433">
        <v>0</v>
      </c>
      <c r="HR433">
        <v>0</v>
      </c>
      <c r="HS433">
        <v>0</v>
      </c>
      <c r="HT433">
        <v>0</v>
      </c>
      <c r="HU433">
        <v>0</v>
      </c>
      <c r="HV433">
        <v>0</v>
      </c>
      <c r="HW433">
        <v>0</v>
      </c>
      <c r="HX433">
        <v>0</v>
      </c>
      <c r="HY433">
        <v>0</v>
      </c>
      <c r="HZ433">
        <v>0</v>
      </c>
      <c r="IA433">
        <v>0</v>
      </c>
      <c r="IB433">
        <v>0</v>
      </c>
      <c r="IC433">
        <v>0</v>
      </c>
      <c r="ID433">
        <v>0</v>
      </c>
      <c r="IE433">
        <v>0</v>
      </c>
      <c r="IF433">
        <v>0</v>
      </c>
      <c r="IG433">
        <v>0</v>
      </c>
      <c r="IH433">
        <v>0</v>
      </c>
      <c r="II433">
        <v>0</v>
      </c>
      <c r="IJ433">
        <v>0</v>
      </c>
      <c r="IK433">
        <v>0</v>
      </c>
      <c r="IL433">
        <v>0</v>
      </c>
      <c r="IM433">
        <v>0</v>
      </c>
      <c r="IN433">
        <v>0</v>
      </c>
      <c r="IO433">
        <v>0</v>
      </c>
      <c r="IP433">
        <v>0</v>
      </c>
      <c r="IQ433">
        <v>0</v>
      </c>
      <c r="IR433">
        <v>0</v>
      </c>
      <c r="IS433">
        <v>0</v>
      </c>
      <c r="IT433">
        <v>0</v>
      </c>
      <c r="IU433">
        <v>0</v>
      </c>
      <c r="IV433">
        <v>0</v>
      </c>
      <c r="IW433">
        <v>0</v>
      </c>
      <c r="IX433">
        <v>0</v>
      </c>
      <c r="IY433">
        <v>0</v>
      </c>
      <c r="IZ433">
        <v>0</v>
      </c>
      <c r="JA433">
        <v>0</v>
      </c>
      <c r="JB433">
        <v>0</v>
      </c>
      <c r="JC433">
        <v>0</v>
      </c>
      <c r="JD433">
        <v>0</v>
      </c>
      <c r="JE433">
        <v>0</v>
      </c>
      <c r="JF433">
        <v>0</v>
      </c>
      <c r="JG433">
        <v>0</v>
      </c>
      <c r="JH433">
        <v>0</v>
      </c>
      <c r="JI433">
        <v>0</v>
      </c>
      <c r="JJ433">
        <v>0</v>
      </c>
      <c r="JK433">
        <v>0</v>
      </c>
      <c r="JL433">
        <v>0</v>
      </c>
      <c r="JM433">
        <v>0</v>
      </c>
      <c r="JN433">
        <v>0</v>
      </c>
      <c r="JO433">
        <v>0</v>
      </c>
      <c r="JP433">
        <v>0</v>
      </c>
      <c r="JQ433">
        <v>0</v>
      </c>
      <c r="JR433">
        <v>0</v>
      </c>
      <c r="JS433">
        <v>0</v>
      </c>
      <c r="JT433">
        <v>0</v>
      </c>
      <c r="JU433">
        <v>0</v>
      </c>
      <c r="JV433">
        <v>0</v>
      </c>
      <c r="JW433">
        <v>0</v>
      </c>
      <c r="JX433">
        <v>0</v>
      </c>
      <c r="JY433">
        <v>0</v>
      </c>
      <c r="JZ433">
        <v>0</v>
      </c>
      <c r="KA433">
        <v>0</v>
      </c>
      <c r="KB433">
        <v>0</v>
      </c>
      <c r="KC433">
        <v>0</v>
      </c>
      <c r="KD433">
        <v>0</v>
      </c>
      <c r="KE433">
        <v>0</v>
      </c>
      <c r="KF433">
        <v>0</v>
      </c>
      <c r="KG433">
        <v>0</v>
      </c>
      <c r="KH433">
        <v>0</v>
      </c>
      <c r="KI433">
        <v>0</v>
      </c>
      <c r="KJ433">
        <v>0</v>
      </c>
      <c r="KK433">
        <v>0</v>
      </c>
      <c r="KL433">
        <v>0</v>
      </c>
      <c r="KM433">
        <v>0</v>
      </c>
      <c r="KN433">
        <v>0</v>
      </c>
      <c r="KO433">
        <v>0</v>
      </c>
      <c r="KP433">
        <v>0</v>
      </c>
      <c r="KQ433">
        <v>0</v>
      </c>
      <c r="KR433">
        <v>0</v>
      </c>
      <c r="KS433">
        <v>0</v>
      </c>
      <c r="KT433">
        <v>0</v>
      </c>
      <c r="KU433">
        <v>0</v>
      </c>
      <c r="KV433">
        <v>0</v>
      </c>
      <c r="KW433">
        <v>0</v>
      </c>
      <c r="KX433">
        <v>0</v>
      </c>
      <c r="KY433">
        <v>0</v>
      </c>
      <c r="KZ433">
        <v>0</v>
      </c>
      <c r="LA433">
        <v>0</v>
      </c>
      <c r="LB433">
        <v>0</v>
      </c>
      <c r="LC433">
        <v>0</v>
      </c>
      <c r="LD433">
        <v>0</v>
      </c>
      <c r="LE433">
        <v>0</v>
      </c>
      <c r="LF433">
        <v>0</v>
      </c>
      <c r="LG433">
        <v>0</v>
      </c>
      <c r="LH433">
        <v>0</v>
      </c>
      <c r="LI433">
        <v>0</v>
      </c>
      <c r="LJ433">
        <v>0</v>
      </c>
      <c r="LK433">
        <v>0</v>
      </c>
      <c r="LL433">
        <v>0</v>
      </c>
      <c r="LM433">
        <v>0</v>
      </c>
      <c r="LN433">
        <v>0</v>
      </c>
      <c r="LO433">
        <v>0</v>
      </c>
      <c r="LP433">
        <v>0</v>
      </c>
      <c r="LQ433">
        <v>0</v>
      </c>
      <c r="LR433">
        <v>0</v>
      </c>
      <c r="LS433">
        <v>0</v>
      </c>
      <c r="LT433">
        <v>0</v>
      </c>
      <c r="LU433">
        <v>0</v>
      </c>
      <c r="LV433">
        <v>0</v>
      </c>
      <c r="LW433">
        <v>0</v>
      </c>
      <c r="LX433">
        <v>0</v>
      </c>
      <c r="LY433">
        <v>0</v>
      </c>
      <c r="LZ433">
        <v>0</v>
      </c>
      <c r="MA433">
        <v>0</v>
      </c>
      <c r="MB433">
        <v>0</v>
      </c>
      <c r="MC433">
        <v>0</v>
      </c>
      <c r="MD433">
        <v>0</v>
      </c>
      <c r="ME433">
        <v>0</v>
      </c>
      <c r="MF433">
        <v>0</v>
      </c>
      <c r="MG433">
        <v>0</v>
      </c>
      <c r="MH433">
        <v>0</v>
      </c>
      <c r="MI433">
        <v>0</v>
      </c>
      <c r="MJ433">
        <v>0</v>
      </c>
      <c r="MK433">
        <v>0</v>
      </c>
      <c r="ML433">
        <v>0</v>
      </c>
      <c r="MM433">
        <v>0</v>
      </c>
      <c r="MN433">
        <v>0</v>
      </c>
      <c r="MO433">
        <v>0</v>
      </c>
      <c r="MP433">
        <v>0</v>
      </c>
      <c r="MQ433">
        <v>0</v>
      </c>
      <c r="MR433">
        <v>0</v>
      </c>
      <c r="MS433">
        <v>0</v>
      </c>
      <c r="MT433">
        <v>0</v>
      </c>
      <c r="MU433">
        <v>0</v>
      </c>
      <c r="MV433">
        <v>0</v>
      </c>
      <c r="MW433">
        <v>0</v>
      </c>
      <c r="MX433">
        <v>0</v>
      </c>
      <c r="MY433">
        <v>0</v>
      </c>
      <c r="MZ433">
        <v>0</v>
      </c>
      <c r="NA433">
        <v>0</v>
      </c>
      <c r="NB433">
        <v>0</v>
      </c>
      <c r="NC433">
        <v>0</v>
      </c>
      <c r="ND433">
        <v>0</v>
      </c>
      <c r="NE433">
        <v>0</v>
      </c>
    </row>
    <row r="434" spans="41:369" x14ac:dyDescent="0.45">
      <c r="AO434">
        <v>0</v>
      </c>
      <c r="AP434">
        <v>0</v>
      </c>
      <c r="AQ434">
        <v>0</v>
      </c>
      <c r="AR434">
        <v>0</v>
      </c>
      <c r="AS434">
        <v>0</v>
      </c>
      <c r="AT434">
        <v>0</v>
      </c>
      <c r="AU434">
        <v>0</v>
      </c>
      <c r="AV434">
        <v>0</v>
      </c>
      <c r="AW434" t="str">
        <v/>
      </c>
      <c r="AX434">
        <v>255</v>
      </c>
      <c r="AY434" s="5" t="str">
        <v/>
      </c>
      <c r="AZ434">
        <v>0</v>
      </c>
      <c r="BA434">
        <v>0</v>
      </c>
      <c r="BB434">
        <v>0</v>
      </c>
      <c r="BC434">
        <v>0</v>
      </c>
      <c r="BD434">
        <v>0</v>
      </c>
      <c r="BE434">
        <v>0</v>
      </c>
      <c r="BF434">
        <v>0</v>
      </c>
      <c r="BG434">
        <v>0</v>
      </c>
      <c r="BH434">
        <v>0</v>
      </c>
      <c r="BI434" t="str">
        <v/>
      </c>
      <c r="BK434">
        <v>428</v>
      </c>
      <c r="BL434">
        <v>0</v>
      </c>
      <c r="BM434">
        <v>0</v>
      </c>
      <c r="BN434">
        <v>0</v>
      </c>
      <c r="BO434">
        <v>0</v>
      </c>
      <c r="BP434">
        <v>0</v>
      </c>
      <c r="BQ434">
        <v>0</v>
      </c>
      <c r="BR434">
        <v>0</v>
      </c>
      <c r="BS434">
        <v>0</v>
      </c>
      <c r="BT434">
        <v>0</v>
      </c>
      <c r="BU434">
        <v>0</v>
      </c>
      <c r="BV434">
        <v>0</v>
      </c>
      <c r="BW434">
        <v>0</v>
      </c>
      <c r="BX434">
        <v>0</v>
      </c>
      <c r="BY434">
        <v>0</v>
      </c>
      <c r="BZ434">
        <v>0</v>
      </c>
      <c r="CA434">
        <v>0</v>
      </c>
      <c r="CB434">
        <v>0</v>
      </c>
      <c r="CC434">
        <v>0</v>
      </c>
      <c r="CD434">
        <v>0</v>
      </c>
      <c r="CE434">
        <v>0</v>
      </c>
      <c r="CF434">
        <v>0</v>
      </c>
      <c r="CG434">
        <v>0</v>
      </c>
      <c r="CH434">
        <v>0</v>
      </c>
      <c r="CI434">
        <v>0</v>
      </c>
      <c r="CJ434">
        <v>0</v>
      </c>
      <c r="CK434">
        <v>0</v>
      </c>
      <c r="CL434">
        <v>0</v>
      </c>
      <c r="CM434">
        <v>0</v>
      </c>
      <c r="CN434">
        <v>0</v>
      </c>
      <c r="CO434">
        <v>0</v>
      </c>
      <c r="CP434">
        <v>0</v>
      </c>
      <c r="CQ434">
        <v>0</v>
      </c>
      <c r="CR434">
        <v>0</v>
      </c>
      <c r="CS434">
        <v>0</v>
      </c>
      <c r="CT434">
        <v>0</v>
      </c>
      <c r="CU434">
        <v>0</v>
      </c>
      <c r="CV434">
        <v>0</v>
      </c>
      <c r="CW434">
        <v>0</v>
      </c>
      <c r="CX434">
        <v>0</v>
      </c>
      <c r="CY434">
        <v>0</v>
      </c>
      <c r="CZ434">
        <v>0</v>
      </c>
      <c r="DA434">
        <v>0</v>
      </c>
      <c r="DB434">
        <v>0</v>
      </c>
      <c r="DC434">
        <v>0</v>
      </c>
      <c r="DD434">
        <v>0</v>
      </c>
      <c r="DE434">
        <v>0</v>
      </c>
      <c r="DF434">
        <v>0</v>
      </c>
      <c r="DG434">
        <v>0</v>
      </c>
      <c r="DH434">
        <v>0</v>
      </c>
      <c r="DI434">
        <v>0</v>
      </c>
      <c r="DJ434">
        <v>0</v>
      </c>
      <c r="DK434">
        <v>0</v>
      </c>
      <c r="DL434">
        <v>0</v>
      </c>
      <c r="DM434">
        <v>0</v>
      </c>
      <c r="DN434">
        <v>0</v>
      </c>
      <c r="DO434">
        <v>0</v>
      </c>
      <c r="DP434">
        <v>0</v>
      </c>
      <c r="DQ434">
        <v>0</v>
      </c>
      <c r="DR434">
        <v>0</v>
      </c>
      <c r="DS434">
        <v>0</v>
      </c>
      <c r="DT434">
        <v>0</v>
      </c>
      <c r="DU434">
        <v>0</v>
      </c>
      <c r="DV434">
        <v>0</v>
      </c>
      <c r="DW434">
        <v>0</v>
      </c>
      <c r="DX434">
        <v>0</v>
      </c>
      <c r="DY434">
        <v>0</v>
      </c>
      <c r="DZ434">
        <v>0</v>
      </c>
      <c r="EA434">
        <v>0</v>
      </c>
      <c r="EB434">
        <v>0</v>
      </c>
      <c r="EC434">
        <v>0</v>
      </c>
      <c r="ED434">
        <v>0</v>
      </c>
      <c r="EE434">
        <v>0</v>
      </c>
      <c r="EF434">
        <v>0</v>
      </c>
      <c r="EG434">
        <v>0</v>
      </c>
      <c r="EH434">
        <v>0</v>
      </c>
      <c r="EI434">
        <v>0</v>
      </c>
      <c r="EJ434">
        <v>0</v>
      </c>
      <c r="EK434">
        <v>0</v>
      </c>
      <c r="EL434">
        <v>0</v>
      </c>
      <c r="EM434">
        <v>0</v>
      </c>
      <c r="EN434">
        <v>0</v>
      </c>
      <c r="EO434">
        <v>0</v>
      </c>
      <c r="EP434">
        <v>0</v>
      </c>
      <c r="EQ434">
        <v>0</v>
      </c>
      <c r="ER434">
        <v>0</v>
      </c>
      <c r="ES434">
        <v>0</v>
      </c>
      <c r="ET434">
        <v>0</v>
      </c>
      <c r="EU434">
        <v>0</v>
      </c>
      <c r="EV434">
        <v>0</v>
      </c>
      <c r="EW434">
        <v>0</v>
      </c>
      <c r="EX434">
        <v>0</v>
      </c>
      <c r="EY434">
        <v>0</v>
      </c>
      <c r="EZ434">
        <v>0</v>
      </c>
      <c r="FA434">
        <v>0</v>
      </c>
      <c r="FB434">
        <v>0</v>
      </c>
      <c r="FC434">
        <v>0</v>
      </c>
      <c r="FD434">
        <v>0</v>
      </c>
      <c r="FE434">
        <v>0</v>
      </c>
      <c r="FF434">
        <v>0</v>
      </c>
      <c r="FG434">
        <v>0</v>
      </c>
      <c r="FH434">
        <v>0</v>
      </c>
      <c r="FI434">
        <v>0</v>
      </c>
      <c r="FJ434">
        <v>0</v>
      </c>
      <c r="FK434">
        <v>0</v>
      </c>
      <c r="FL434">
        <v>0</v>
      </c>
      <c r="FM434">
        <v>0</v>
      </c>
      <c r="FN434">
        <v>0</v>
      </c>
      <c r="FO434">
        <v>0</v>
      </c>
      <c r="FP434">
        <v>0</v>
      </c>
      <c r="FQ434">
        <v>0</v>
      </c>
      <c r="FR434">
        <v>0</v>
      </c>
      <c r="FS434">
        <v>0</v>
      </c>
      <c r="FT434">
        <v>0</v>
      </c>
      <c r="FU434">
        <v>0</v>
      </c>
      <c r="FV434">
        <v>0</v>
      </c>
      <c r="FW434">
        <v>0</v>
      </c>
      <c r="FX434">
        <v>0</v>
      </c>
      <c r="FY434">
        <v>0</v>
      </c>
      <c r="FZ434">
        <v>0</v>
      </c>
      <c r="GA434">
        <v>0</v>
      </c>
      <c r="GB434">
        <v>0</v>
      </c>
      <c r="GC434">
        <v>0</v>
      </c>
      <c r="GD434">
        <v>0</v>
      </c>
      <c r="GE434">
        <v>0</v>
      </c>
      <c r="GF434">
        <v>0</v>
      </c>
      <c r="GG434">
        <v>0</v>
      </c>
      <c r="GH434">
        <v>0</v>
      </c>
      <c r="GI434">
        <v>0</v>
      </c>
      <c r="GJ434">
        <v>0</v>
      </c>
      <c r="GK434">
        <v>0</v>
      </c>
      <c r="GL434">
        <v>0</v>
      </c>
      <c r="GM434">
        <v>0</v>
      </c>
      <c r="GN434">
        <v>0</v>
      </c>
      <c r="GO434">
        <v>0</v>
      </c>
      <c r="GP434">
        <v>0</v>
      </c>
      <c r="GQ434">
        <v>0</v>
      </c>
      <c r="GR434">
        <v>0</v>
      </c>
      <c r="GS434">
        <v>0</v>
      </c>
      <c r="GT434">
        <v>0</v>
      </c>
      <c r="GU434">
        <v>0</v>
      </c>
      <c r="GV434">
        <v>0</v>
      </c>
      <c r="GW434">
        <v>0</v>
      </c>
      <c r="GX434">
        <v>0</v>
      </c>
      <c r="GY434">
        <v>0</v>
      </c>
      <c r="GZ434">
        <v>0</v>
      </c>
      <c r="HA434">
        <v>0</v>
      </c>
      <c r="HB434">
        <v>0</v>
      </c>
      <c r="HC434">
        <v>0</v>
      </c>
      <c r="HD434">
        <v>0</v>
      </c>
      <c r="HE434">
        <v>0</v>
      </c>
      <c r="HF434">
        <v>0</v>
      </c>
      <c r="HG434">
        <v>0</v>
      </c>
      <c r="HH434">
        <v>0</v>
      </c>
      <c r="HI434">
        <v>0</v>
      </c>
      <c r="HJ434">
        <v>0</v>
      </c>
      <c r="HK434">
        <v>0</v>
      </c>
      <c r="HL434">
        <v>0</v>
      </c>
      <c r="HM434">
        <v>0</v>
      </c>
      <c r="HN434">
        <v>0</v>
      </c>
      <c r="HO434">
        <v>0</v>
      </c>
      <c r="HP434">
        <v>0</v>
      </c>
      <c r="HQ434">
        <v>0</v>
      </c>
      <c r="HR434">
        <v>0</v>
      </c>
      <c r="HS434">
        <v>0</v>
      </c>
      <c r="HT434">
        <v>0</v>
      </c>
      <c r="HU434">
        <v>0</v>
      </c>
      <c r="HV434">
        <v>0</v>
      </c>
      <c r="HW434">
        <v>0</v>
      </c>
      <c r="HX434">
        <v>0</v>
      </c>
      <c r="HY434">
        <v>0</v>
      </c>
      <c r="HZ434">
        <v>0</v>
      </c>
      <c r="IA434">
        <v>0</v>
      </c>
      <c r="IB434">
        <v>0</v>
      </c>
      <c r="IC434">
        <v>0</v>
      </c>
      <c r="ID434">
        <v>0</v>
      </c>
      <c r="IE434">
        <v>0</v>
      </c>
      <c r="IF434">
        <v>0</v>
      </c>
      <c r="IG434">
        <v>0</v>
      </c>
      <c r="IH434">
        <v>0</v>
      </c>
      <c r="II434">
        <v>0</v>
      </c>
      <c r="IJ434">
        <v>0</v>
      </c>
      <c r="IK434">
        <v>0</v>
      </c>
      <c r="IL434">
        <v>0</v>
      </c>
      <c r="IM434">
        <v>0</v>
      </c>
      <c r="IN434">
        <v>0</v>
      </c>
      <c r="IO434">
        <v>0</v>
      </c>
      <c r="IP434">
        <v>0</v>
      </c>
      <c r="IQ434">
        <v>0</v>
      </c>
      <c r="IR434">
        <v>0</v>
      </c>
      <c r="IS434">
        <v>0</v>
      </c>
      <c r="IT434">
        <v>0</v>
      </c>
      <c r="IU434">
        <v>0</v>
      </c>
      <c r="IV434">
        <v>0</v>
      </c>
      <c r="IW434">
        <v>0</v>
      </c>
      <c r="IX434">
        <v>0</v>
      </c>
      <c r="IY434">
        <v>0</v>
      </c>
      <c r="IZ434">
        <v>0</v>
      </c>
      <c r="JA434">
        <v>0</v>
      </c>
      <c r="JB434">
        <v>0</v>
      </c>
      <c r="JC434">
        <v>0</v>
      </c>
      <c r="JD434">
        <v>0</v>
      </c>
      <c r="JE434">
        <v>0</v>
      </c>
      <c r="JF434">
        <v>0</v>
      </c>
      <c r="JG434">
        <v>0</v>
      </c>
      <c r="JH434">
        <v>0</v>
      </c>
      <c r="JI434">
        <v>0</v>
      </c>
      <c r="JJ434">
        <v>0</v>
      </c>
      <c r="JK434">
        <v>0</v>
      </c>
      <c r="JL434">
        <v>0</v>
      </c>
      <c r="JM434">
        <v>0</v>
      </c>
      <c r="JN434">
        <v>0</v>
      </c>
      <c r="JO434">
        <v>0</v>
      </c>
      <c r="JP434">
        <v>0</v>
      </c>
      <c r="JQ434">
        <v>0</v>
      </c>
      <c r="JR434">
        <v>0</v>
      </c>
      <c r="JS434">
        <v>0</v>
      </c>
      <c r="JT434">
        <v>0</v>
      </c>
      <c r="JU434">
        <v>0</v>
      </c>
      <c r="JV434">
        <v>0</v>
      </c>
      <c r="JW434">
        <v>0</v>
      </c>
      <c r="JX434">
        <v>0</v>
      </c>
      <c r="JY434">
        <v>0</v>
      </c>
      <c r="JZ434">
        <v>0</v>
      </c>
      <c r="KA434">
        <v>0</v>
      </c>
      <c r="KB434">
        <v>0</v>
      </c>
      <c r="KC434">
        <v>0</v>
      </c>
      <c r="KD434">
        <v>0</v>
      </c>
      <c r="KE434">
        <v>0</v>
      </c>
      <c r="KF434">
        <v>0</v>
      </c>
      <c r="KG434">
        <v>0</v>
      </c>
      <c r="KH434">
        <v>0</v>
      </c>
      <c r="KI434">
        <v>0</v>
      </c>
      <c r="KJ434">
        <v>0</v>
      </c>
      <c r="KK434">
        <v>0</v>
      </c>
      <c r="KL434">
        <v>0</v>
      </c>
      <c r="KM434">
        <v>0</v>
      </c>
      <c r="KN434">
        <v>0</v>
      </c>
      <c r="KO434">
        <v>0</v>
      </c>
      <c r="KP434">
        <v>0</v>
      </c>
      <c r="KQ434">
        <v>0</v>
      </c>
      <c r="KR434">
        <v>0</v>
      </c>
      <c r="KS434">
        <v>0</v>
      </c>
      <c r="KT434">
        <v>0</v>
      </c>
      <c r="KU434">
        <v>0</v>
      </c>
      <c r="KV434">
        <v>0</v>
      </c>
      <c r="KW434">
        <v>0</v>
      </c>
      <c r="KX434">
        <v>0</v>
      </c>
      <c r="KY434">
        <v>0</v>
      </c>
      <c r="KZ434">
        <v>0</v>
      </c>
      <c r="LA434">
        <v>0</v>
      </c>
      <c r="LB434">
        <v>0</v>
      </c>
      <c r="LC434">
        <v>0</v>
      </c>
      <c r="LD434">
        <v>0</v>
      </c>
      <c r="LE434">
        <v>0</v>
      </c>
      <c r="LF434">
        <v>0</v>
      </c>
      <c r="LG434">
        <v>0</v>
      </c>
      <c r="LH434">
        <v>0</v>
      </c>
      <c r="LI434">
        <v>0</v>
      </c>
      <c r="LJ434">
        <v>0</v>
      </c>
      <c r="LK434">
        <v>0</v>
      </c>
      <c r="LL434">
        <v>0</v>
      </c>
      <c r="LM434">
        <v>0</v>
      </c>
      <c r="LN434">
        <v>0</v>
      </c>
      <c r="LO434">
        <v>0</v>
      </c>
      <c r="LP434">
        <v>0</v>
      </c>
      <c r="LQ434">
        <v>0</v>
      </c>
      <c r="LR434">
        <v>0</v>
      </c>
      <c r="LS434">
        <v>0</v>
      </c>
      <c r="LT434">
        <v>0</v>
      </c>
      <c r="LU434">
        <v>0</v>
      </c>
      <c r="LV434">
        <v>0</v>
      </c>
      <c r="LW434">
        <v>0</v>
      </c>
      <c r="LX434">
        <v>0</v>
      </c>
      <c r="LY434">
        <v>0</v>
      </c>
      <c r="LZ434">
        <v>0</v>
      </c>
      <c r="MA434">
        <v>0</v>
      </c>
      <c r="MB434">
        <v>0</v>
      </c>
      <c r="MC434">
        <v>0</v>
      </c>
      <c r="MD434">
        <v>0</v>
      </c>
      <c r="ME434">
        <v>0</v>
      </c>
      <c r="MF434">
        <v>0</v>
      </c>
      <c r="MG434">
        <v>0</v>
      </c>
      <c r="MH434">
        <v>0</v>
      </c>
      <c r="MI434">
        <v>0</v>
      </c>
      <c r="MJ434">
        <v>0</v>
      </c>
      <c r="MK434">
        <v>0</v>
      </c>
      <c r="ML434">
        <v>0</v>
      </c>
      <c r="MM434">
        <v>0</v>
      </c>
      <c r="MN434">
        <v>0</v>
      </c>
      <c r="MO434">
        <v>0</v>
      </c>
      <c r="MP434">
        <v>0</v>
      </c>
      <c r="MQ434">
        <v>0</v>
      </c>
      <c r="MR434">
        <v>0</v>
      </c>
      <c r="MS434">
        <v>0</v>
      </c>
      <c r="MT434">
        <v>0</v>
      </c>
      <c r="MU434">
        <v>0</v>
      </c>
      <c r="MV434">
        <v>0</v>
      </c>
      <c r="MW434">
        <v>0</v>
      </c>
      <c r="MX434">
        <v>0</v>
      </c>
      <c r="MY434">
        <v>0</v>
      </c>
      <c r="MZ434">
        <v>0</v>
      </c>
      <c r="NA434">
        <v>0</v>
      </c>
      <c r="NB434">
        <v>0</v>
      </c>
      <c r="NC434">
        <v>0</v>
      </c>
      <c r="ND434">
        <v>0</v>
      </c>
      <c r="NE434">
        <v>0</v>
      </c>
    </row>
    <row r="435" spans="41:369" x14ac:dyDescent="0.45">
      <c r="AO435">
        <v>0</v>
      </c>
      <c r="AP435">
        <v>0</v>
      </c>
      <c r="AQ435">
        <v>0</v>
      </c>
      <c r="AR435">
        <v>0</v>
      </c>
      <c r="AS435">
        <v>0</v>
      </c>
      <c r="AT435">
        <v>0</v>
      </c>
      <c r="AU435">
        <v>0</v>
      </c>
      <c r="AV435">
        <v>0</v>
      </c>
      <c r="AW435" t="str">
        <v/>
      </c>
      <c r="AX435">
        <v>255</v>
      </c>
      <c r="AY435" s="5" t="str">
        <v/>
      </c>
      <c r="AZ435">
        <v>0</v>
      </c>
      <c r="BA435">
        <v>0</v>
      </c>
      <c r="BB435">
        <v>0</v>
      </c>
      <c r="BC435">
        <v>0</v>
      </c>
      <c r="BD435">
        <v>0</v>
      </c>
      <c r="BE435">
        <v>0</v>
      </c>
      <c r="BF435">
        <v>0</v>
      </c>
      <c r="BG435">
        <v>0</v>
      </c>
      <c r="BH435">
        <v>0</v>
      </c>
      <c r="BI435" t="str">
        <v/>
      </c>
      <c r="BK435">
        <v>429</v>
      </c>
      <c r="BL435">
        <v>0</v>
      </c>
      <c r="BM435">
        <v>0</v>
      </c>
      <c r="BN435">
        <v>0</v>
      </c>
      <c r="BO435">
        <v>0</v>
      </c>
      <c r="BP435">
        <v>0</v>
      </c>
      <c r="BQ435">
        <v>0</v>
      </c>
      <c r="BR435">
        <v>0</v>
      </c>
      <c r="BS435">
        <v>0</v>
      </c>
      <c r="BT435">
        <v>0</v>
      </c>
      <c r="BU435">
        <v>0</v>
      </c>
      <c r="BV435">
        <v>0</v>
      </c>
      <c r="BW435">
        <v>0</v>
      </c>
      <c r="BX435">
        <v>0</v>
      </c>
      <c r="BY435">
        <v>0</v>
      </c>
      <c r="BZ435">
        <v>0</v>
      </c>
      <c r="CA435">
        <v>0</v>
      </c>
      <c r="CB435">
        <v>0</v>
      </c>
      <c r="CC435">
        <v>0</v>
      </c>
      <c r="CD435">
        <v>0</v>
      </c>
      <c r="CE435">
        <v>0</v>
      </c>
      <c r="CF435">
        <v>0</v>
      </c>
      <c r="CG435">
        <v>0</v>
      </c>
      <c r="CH435">
        <v>0</v>
      </c>
      <c r="CI435">
        <v>0</v>
      </c>
      <c r="CJ435">
        <v>0</v>
      </c>
      <c r="CK435">
        <v>0</v>
      </c>
      <c r="CL435">
        <v>0</v>
      </c>
      <c r="CM435">
        <v>0</v>
      </c>
      <c r="CN435">
        <v>0</v>
      </c>
      <c r="CO435">
        <v>0</v>
      </c>
      <c r="CP435">
        <v>0</v>
      </c>
      <c r="CQ435">
        <v>0</v>
      </c>
      <c r="CR435">
        <v>0</v>
      </c>
      <c r="CS435">
        <v>0</v>
      </c>
      <c r="CT435">
        <v>0</v>
      </c>
      <c r="CU435">
        <v>0</v>
      </c>
      <c r="CV435">
        <v>0</v>
      </c>
      <c r="CW435">
        <v>0</v>
      </c>
      <c r="CX435">
        <v>0</v>
      </c>
      <c r="CY435">
        <v>0</v>
      </c>
      <c r="CZ435">
        <v>0</v>
      </c>
      <c r="DA435">
        <v>0</v>
      </c>
      <c r="DB435">
        <v>0</v>
      </c>
      <c r="DC435">
        <v>0</v>
      </c>
      <c r="DD435">
        <v>0</v>
      </c>
      <c r="DE435">
        <v>0</v>
      </c>
      <c r="DF435">
        <v>0</v>
      </c>
      <c r="DG435">
        <v>0</v>
      </c>
      <c r="DH435">
        <v>0</v>
      </c>
      <c r="DI435">
        <v>0</v>
      </c>
      <c r="DJ435">
        <v>0</v>
      </c>
      <c r="DK435">
        <v>0</v>
      </c>
      <c r="DL435">
        <v>0</v>
      </c>
      <c r="DM435">
        <v>0</v>
      </c>
      <c r="DN435">
        <v>0</v>
      </c>
      <c r="DO435">
        <v>0</v>
      </c>
      <c r="DP435">
        <v>0</v>
      </c>
      <c r="DQ435">
        <v>0</v>
      </c>
      <c r="DR435">
        <v>0</v>
      </c>
      <c r="DS435">
        <v>0</v>
      </c>
      <c r="DT435">
        <v>0</v>
      </c>
      <c r="DU435">
        <v>0</v>
      </c>
      <c r="DV435">
        <v>0</v>
      </c>
      <c r="DW435">
        <v>0</v>
      </c>
      <c r="DX435">
        <v>0</v>
      </c>
      <c r="DY435">
        <v>0</v>
      </c>
      <c r="DZ435">
        <v>0</v>
      </c>
      <c r="EA435">
        <v>0</v>
      </c>
      <c r="EB435">
        <v>0</v>
      </c>
      <c r="EC435">
        <v>0</v>
      </c>
      <c r="ED435">
        <v>0</v>
      </c>
      <c r="EE435">
        <v>0</v>
      </c>
      <c r="EF435">
        <v>0</v>
      </c>
      <c r="EG435">
        <v>0</v>
      </c>
      <c r="EH435">
        <v>0</v>
      </c>
      <c r="EI435">
        <v>0</v>
      </c>
      <c r="EJ435">
        <v>0</v>
      </c>
      <c r="EK435">
        <v>0</v>
      </c>
      <c r="EL435">
        <v>0</v>
      </c>
      <c r="EM435">
        <v>0</v>
      </c>
      <c r="EN435">
        <v>0</v>
      </c>
      <c r="EO435">
        <v>0</v>
      </c>
      <c r="EP435">
        <v>0</v>
      </c>
      <c r="EQ435">
        <v>0</v>
      </c>
      <c r="ER435">
        <v>0</v>
      </c>
      <c r="ES435">
        <v>0</v>
      </c>
      <c r="ET435">
        <v>0</v>
      </c>
      <c r="EU435">
        <v>0</v>
      </c>
      <c r="EV435">
        <v>0</v>
      </c>
      <c r="EW435">
        <v>0</v>
      </c>
      <c r="EX435">
        <v>0</v>
      </c>
      <c r="EY435">
        <v>0</v>
      </c>
      <c r="EZ435">
        <v>0</v>
      </c>
      <c r="FA435">
        <v>0</v>
      </c>
      <c r="FB435">
        <v>0</v>
      </c>
      <c r="FC435">
        <v>0</v>
      </c>
      <c r="FD435">
        <v>0</v>
      </c>
      <c r="FE435">
        <v>0</v>
      </c>
      <c r="FF435">
        <v>0</v>
      </c>
      <c r="FG435">
        <v>0</v>
      </c>
      <c r="FH435">
        <v>0</v>
      </c>
      <c r="FI435">
        <v>0</v>
      </c>
      <c r="FJ435">
        <v>0</v>
      </c>
      <c r="FK435">
        <v>0</v>
      </c>
      <c r="FL435">
        <v>0</v>
      </c>
      <c r="FM435">
        <v>0</v>
      </c>
      <c r="FN435">
        <v>0</v>
      </c>
      <c r="FO435">
        <v>0</v>
      </c>
      <c r="FP435">
        <v>0</v>
      </c>
      <c r="FQ435">
        <v>0</v>
      </c>
      <c r="FR435">
        <v>0</v>
      </c>
      <c r="FS435">
        <v>0</v>
      </c>
      <c r="FT435">
        <v>0</v>
      </c>
      <c r="FU435">
        <v>0</v>
      </c>
      <c r="FV435">
        <v>0</v>
      </c>
      <c r="FW435">
        <v>0</v>
      </c>
      <c r="FX435">
        <v>0</v>
      </c>
      <c r="FY435">
        <v>0</v>
      </c>
      <c r="FZ435">
        <v>0</v>
      </c>
      <c r="GA435">
        <v>0</v>
      </c>
      <c r="GB435">
        <v>0</v>
      </c>
      <c r="GC435">
        <v>0</v>
      </c>
      <c r="GD435">
        <v>0</v>
      </c>
      <c r="GE435">
        <v>0</v>
      </c>
      <c r="GF435">
        <v>0</v>
      </c>
      <c r="GG435">
        <v>0</v>
      </c>
      <c r="GH435">
        <v>0</v>
      </c>
      <c r="GI435">
        <v>0</v>
      </c>
      <c r="GJ435">
        <v>0</v>
      </c>
      <c r="GK435">
        <v>0</v>
      </c>
      <c r="GL435">
        <v>0</v>
      </c>
      <c r="GM435">
        <v>0</v>
      </c>
      <c r="GN435">
        <v>0</v>
      </c>
      <c r="GO435">
        <v>0</v>
      </c>
      <c r="GP435">
        <v>0</v>
      </c>
      <c r="GQ435">
        <v>0</v>
      </c>
      <c r="GR435">
        <v>0</v>
      </c>
      <c r="GS435">
        <v>0</v>
      </c>
      <c r="GT435">
        <v>0</v>
      </c>
      <c r="GU435">
        <v>0</v>
      </c>
      <c r="GV435">
        <v>0</v>
      </c>
      <c r="GW435">
        <v>0</v>
      </c>
      <c r="GX435">
        <v>0</v>
      </c>
      <c r="GY435">
        <v>0</v>
      </c>
      <c r="GZ435">
        <v>0</v>
      </c>
      <c r="HA435">
        <v>0</v>
      </c>
      <c r="HB435">
        <v>0</v>
      </c>
      <c r="HC435">
        <v>0</v>
      </c>
      <c r="HD435">
        <v>0</v>
      </c>
      <c r="HE435">
        <v>0</v>
      </c>
      <c r="HF435">
        <v>0</v>
      </c>
      <c r="HG435">
        <v>0</v>
      </c>
      <c r="HH435">
        <v>0</v>
      </c>
      <c r="HI435">
        <v>0</v>
      </c>
      <c r="HJ435">
        <v>0</v>
      </c>
      <c r="HK435">
        <v>0</v>
      </c>
      <c r="HL435">
        <v>0</v>
      </c>
      <c r="HM435">
        <v>0</v>
      </c>
      <c r="HN435">
        <v>0</v>
      </c>
      <c r="HO435">
        <v>0</v>
      </c>
      <c r="HP435">
        <v>0</v>
      </c>
      <c r="HQ435">
        <v>0</v>
      </c>
      <c r="HR435">
        <v>0</v>
      </c>
      <c r="HS435">
        <v>0</v>
      </c>
      <c r="HT435">
        <v>0</v>
      </c>
      <c r="HU435">
        <v>0</v>
      </c>
      <c r="HV435">
        <v>0</v>
      </c>
      <c r="HW435">
        <v>0</v>
      </c>
      <c r="HX435">
        <v>0</v>
      </c>
      <c r="HY435">
        <v>0</v>
      </c>
      <c r="HZ435">
        <v>0</v>
      </c>
      <c r="IA435">
        <v>0</v>
      </c>
      <c r="IB435">
        <v>0</v>
      </c>
      <c r="IC435">
        <v>0</v>
      </c>
      <c r="ID435">
        <v>0</v>
      </c>
      <c r="IE435">
        <v>0</v>
      </c>
      <c r="IF435">
        <v>0</v>
      </c>
      <c r="IG435">
        <v>0</v>
      </c>
      <c r="IH435">
        <v>0</v>
      </c>
      <c r="II435">
        <v>0</v>
      </c>
      <c r="IJ435">
        <v>0</v>
      </c>
      <c r="IK435">
        <v>0</v>
      </c>
      <c r="IL435">
        <v>0</v>
      </c>
      <c r="IM435">
        <v>0</v>
      </c>
      <c r="IN435">
        <v>0</v>
      </c>
      <c r="IO435">
        <v>0</v>
      </c>
      <c r="IP435">
        <v>0</v>
      </c>
      <c r="IQ435">
        <v>0</v>
      </c>
      <c r="IR435">
        <v>0</v>
      </c>
      <c r="IS435">
        <v>0</v>
      </c>
      <c r="IT435">
        <v>0</v>
      </c>
      <c r="IU435">
        <v>0</v>
      </c>
      <c r="IV435">
        <v>0</v>
      </c>
      <c r="IW435">
        <v>0</v>
      </c>
      <c r="IX435">
        <v>0</v>
      </c>
      <c r="IY435">
        <v>0</v>
      </c>
      <c r="IZ435">
        <v>0</v>
      </c>
      <c r="JA435">
        <v>0</v>
      </c>
      <c r="JB435">
        <v>0</v>
      </c>
      <c r="JC435">
        <v>0</v>
      </c>
      <c r="JD435">
        <v>0</v>
      </c>
      <c r="JE435">
        <v>0</v>
      </c>
      <c r="JF435">
        <v>0</v>
      </c>
      <c r="JG435">
        <v>0</v>
      </c>
      <c r="JH435">
        <v>0</v>
      </c>
      <c r="JI435">
        <v>0</v>
      </c>
      <c r="JJ435">
        <v>0</v>
      </c>
      <c r="JK435">
        <v>0</v>
      </c>
      <c r="JL435">
        <v>0</v>
      </c>
      <c r="JM435">
        <v>0</v>
      </c>
      <c r="JN435">
        <v>0</v>
      </c>
      <c r="JO435">
        <v>0</v>
      </c>
      <c r="JP435">
        <v>0</v>
      </c>
      <c r="JQ435">
        <v>0</v>
      </c>
      <c r="JR435">
        <v>0</v>
      </c>
      <c r="JS435">
        <v>0</v>
      </c>
      <c r="JT435">
        <v>0</v>
      </c>
      <c r="JU435">
        <v>0</v>
      </c>
      <c r="JV435">
        <v>0</v>
      </c>
      <c r="JW435">
        <v>0</v>
      </c>
      <c r="JX435">
        <v>0</v>
      </c>
      <c r="JY435">
        <v>0</v>
      </c>
      <c r="JZ435">
        <v>0</v>
      </c>
      <c r="KA435">
        <v>0</v>
      </c>
      <c r="KB435">
        <v>0</v>
      </c>
      <c r="KC435">
        <v>0</v>
      </c>
      <c r="KD435">
        <v>0</v>
      </c>
      <c r="KE435">
        <v>0</v>
      </c>
      <c r="KF435">
        <v>0</v>
      </c>
      <c r="KG435">
        <v>0</v>
      </c>
      <c r="KH435">
        <v>0</v>
      </c>
      <c r="KI435">
        <v>0</v>
      </c>
      <c r="KJ435">
        <v>0</v>
      </c>
      <c r="KK435">
        <v>0</v>
      </c>
      <c r="KL435">
        <v>0</v>
      </c>
      <c r="KM435">
        <v>0</v>
      </c>
      <c r="KN435">
        <v>0</v>
      </c>
      <c r="KO435">
        <v>0</v>
      </c>
      <c r="KP435">
        <v>0</v>
      </c>
      <c r="KQ435">
        <v>0</v>
      </c>
      <c r="KR435">
        <v>0</v>
      </c>
      <c r="KS435">
        <v>0</v>
      </c>
      <c r="KT435">
        <v>0</v>
      </c>
      <c r="KU435">
        <v>0</v>
      </c>
      <c r="KV435">
        <v>0</v>
      </c>
      <c r="KW435">
        <v>0</v>
      </c>
      <c r="KX435">
        <v>0</v>
      </c>
      <c r="KY435">
        <v>0</v>
      </c>
      <c r="KZ435">
        <v>0</v>
      </c>
      <c r="LA435">
        <v>0</v>
      </c>
      <c r="LB435">
        <v>0</v>
      </c>
      <c r="LC435">
        <v>0</v>
      </c>
      <c r="LD435">
        <v>0</v>
      </c>
      <c r="LE435">
        <v>0</v>
      </c>
      <c r="LF435">
        <v>0</v>
      </c>
      <c r="LG435">
        <v>0</v>
      </c>
      <c r="LH435">
        <v>0</v>
      </c>
      <c r="LI435">
        <v>0</v>
      </c>
      <c r="LJ435">
        <v>0</v>
      </c>
      <c r="LK435">
        <v>0</v>
      </c>
      <c r="LL435">
        <v>0</v>
      </c>
      <c r="LM435">
        <v>0</v>
      </c>
      <c r="LN435">
        <v>0</v>
      </c>
      <c r="LO435">
        <v>0</v>
      </c>
      <c r="LP435">
        <v>0</v>
      </c>
      <c r="LQ435">
        <v>0</v>
      </c>
      <c r="LR435">
        <v>0</v>
      </c>
      <c r="LS435">
        <v>0</v>
      </c>
      <c r="LT435">
        <v>0</v>
      </c>
      <c r="LU435">
        <v>0</v>
      </c>
      <c r="LV435">
        <v>0</v>
      </c>
      <c r="LW435">
        <v>0</v>
      </c>
      <c r="LX435">
        <v>0</v>
      </c>
      <c r="LY435">
        <v>0</v>
      </c>
      <c r="LZ435">
        <v>0</v>
      </c>
      <c r="MA435">
        <v>0</v>
      </c>
      <c r="MB435">
        <v>0</v>
      </c>
      <c r="MC435">
        <v>0</v>
      </c>
      <c r="MD435">
        <v>0</v>
      </c>
      <c r="ME435">
        <v>0</v>
      </c>
      <c r="MF435">
        <v>0</v>
      </c>
      <c r="MG435">
        <v>0</v>
      </c>
      <c r="MH435">
        <v>0</v>
      </c>
      <c r="MI435">
        <v>0</v>
      </c>
      <c r="MJ435">
        <v>0</v>
      </c>
      <c r="MK435">
        <v>0</v>
      </c>
      <c r="ML435">
        <v>0</v>
      </c>
      <c r="MM435">
        <v>0</v>
      </c>
      <c r="MN435">
        <v>0</v>
      </c>
      <c r="MO435">
        <v>0</v>
      </c>
      <c r="MP435">
        <v>0</v>
      </c>
      <c r="MQ435">
        <v>0</v>
      </c>
      <c r="MR435">
        <v>0</v>
      </c>
      <c r="MS435">
        <v>0</v>
      </c>
      <c r="MT435">
        <v>0</v>
      </c>
      <c r="MU435">
        <v>0</v>
      </c>
      <c r="MV435">
        <v>0</v>
      </c>
      <c r="MW435">
        <v>0</v>
      </c>
      <c r="MX435">
        <v>0</v>
      </c>
      <c r="MY435">
        <v>0</v>
      </c>
      <c r="MZ435">
        <v>0</v>
      </c>
      <c r="NA435">
        <v>0</v>
      </c>
      <c r="NB435">
        <v>0</v>
      </c>
      <c r="NC435">
        <v>0</v>
      </c>
      <c r="ND435">
        <v>0</v>
      </c>
      <c r="NE435">
        <v>0</v>
      </c>
    </row>
    <row r="436" spans="41:369" x14ac:dyDescent="0.45">
      <c r="AO436">
        <v>0</v>
      </c>
      <c r="AP436">
        <v>0</v>
      </c>
      <c r="AQ436">
        <v>0</v>
      </c>
      <c r="AR436">
        <v>0</v>
      </c>
      <c r="AS436">
        <v>0</v>
      </c>
      <c r="AT436">
        <v>0</v>
      </c>
      <c r="AU436">
        <v>0</v>
      </c>
      <c r="AV436">
        <v>0</v>
      </c>
      <c r="AW436" t="str">
        <v/>
      </c>
      <c r="AX436">
        <v>255</v>
      </c>
      <c r="AY436" s="5" t="str">
        <v/>
      </c>
      <c r="AZ436">
        <v>0</v>
      </c>
      <c r="BA436">
        <v>0</v>
      </c>
      <c r="BB436">
        <v>0</v>
      </c>
      <c r="BC436">
        <v>0</v>
      </c>
      <c r="BD436">
        <v>0</v>
      </c>
      <c r="BE436">
        <v>0</v>
      </c>
      <c r="BF436">
        <v>0</v>
      </c>
      <c r="BG436">
        <v>0</v>
      </c>
      <c r="BH436">
        <v>0</v>
      </c>
      <c r="BI436" t="str">
        <v/>
      </c>
      <c r="BK436">
        <v>430</v>
      </c>
      <c r="BL436">
        <v>0</v>
      </c>
      <c r="BM436">
        <v>0</v>
      </c>
      <c r="BN436">
        <v>0</v>
      </c>
      <c r="BO436">
        <v>0</v>
      </c>
      <c r="BP436">
        <v>0</v>
      </c>
      <c r="BQ436">
        <v>0</v>
      </c>
      <c r="BR436">
        <v>0</v>
      </c>
      <c r="BS436">
        <v>0</v>
      </c>
      <c r="BT436">
        <v>0</v>
      </c>
      <c r="BU436">
        <v>0</v>
      </c>
      <c r="BV436">
        <v>0</v>
      </c>
      <c r="BW436">
        <v>0</v>
      </c>
      <c r="BX436">
        <v>0</v>
      </c>
      <c r="BY436">
        <v>0</v>
      </c>
      <c r="BZ436">
        <v>0</v>
      </c>
      <c r="CA436">
        <v>0</v>
      </c>
      <c r="CB436">
        <v>0</v>
      </c>
      <c r="CC436">
        <v>0</v>
      </c>
      <c r="CD436">
        <v>0</v>
      </c>
      <c r="CE436">
        <v>0</v>
      </c>
      <c r="CF436">
        <v>0</v>
      </c>
      <c r="CG436">
        <v>0</v>
      </c>
      <c r="CH436">
        <v>0</v>
      </c>
      <c r="CI436">
        <v>0</v>
      </c>
      <c r="CJ436">
        <v>0</v>
      </c>
      <c r="CK436">
        <v>0</v>
      </c>
      <c r="CL436">
        <v>0</v>
      </c>
      <c r="CM436">
        <v>0</v>
      </c>
      <c r="CN436">
        <v>0</v>
      </c>
      <c r="CO436">
        <v>0</v>
      </c>
      <c r="CP436">
        <v>0</v>
      </c>
      <c r="CQ436">
        <v>0</v>
      </c>
      <c r="CR436">
        <v>0</v>
      </c>
      <c r="CS436">
        <v>0</v>
      </c>
      <c r="CT436">
        <v>0</v>
      </c>
      <c r="CU436">
        <v>0</v>
      </c>
      <c r="CV436">
        <v>0</v>
      </c>
      <c r="CW436">
        <v>0</v>
      </c>
      <c r="CX436">
        <v>0</v>
      </c>
      <c r="CY436">
        <v>0</v>
      </c>
      <c r="CZ436">
        <v>0</v>
      </c>
      <c r="DA436">
        <v>0</v>
      </c>
      <c r="DB436">
        <v>0</v>
      </c>
      <c r="DC436">
        <v>0</v>
      </c>
      <c r="DD436">
        <v>0</v>
      </c>
      <c r="DE436">
        <v>0</v>
      </c>
      <c r="DF436">
        <v>0</v>
      </c>
      <c r="DG436">
        <v>0</v>
      </c>
      <c r="DH436">
        <v>0</v>
      </c>
      <c r="DI436">
        <v>0</v>
      </c>
      <c r="DJ436">
        <v>0</v>
      </c>
      <c r="DK436">
        <v>0</v>
      </c>
      <c r="DL436">
        <v>0</v>
      </c>
      <c r="DM436">
        <v>0</v>
      </c>
      <c r="DN436">
        <v>0</v>
      </c>
      <c r="DO436">
        <v>0</v>
      </c>
      <c r="DP436">
        <v>0</v>
      </c>
      <c r="DQ436">
        <v>0</v>
      </c>
      <c r="DR436">
        <v>0</v>
      </c>
      <c r="DS436">
        <v>0</v>
      </c>
      <c r="DT436">
        <v>0</v>
      </c>
      <c r="DU436">
        <v>0</v>
      </c>
      <c r="DV436">
        <v>0</v>
      </c>
      <c r="DW436">
        <v>0</v>
      </c>
      <c r="DX436">
        <v>0</v>
      </c>
      <c r="DY436">
        <v>0</v>
      </c>
      <c r="DZ436">
        <v>0</v>
      </c>
      <c r="EA436">
        <v>0</v>
      </c>
      <c r="EB436">
        <v>0</v>
      </c>
      <c r="EC436">
        <v>0</v>
      </c>
      <c r="ED436">
        <v>0</v>
      </c>
      <c r="EE436">
        <v>0</v>
      </c>
      <c r="EF436">
        <v>0</v>
      </c>
      <c r="EG436">
        <v>0</v>
      </c>
      <c r="EH436">
        <v>0</v>
      </c>
      <c r="EI436">
        <v>0</v>
      </c>
      <c r="EJ436">
        <v>0</v>
      </c>
      <c r="EK436">
        <v>0</v>
      </c>
      <c r="EL436">
        <v>0</v>
      </c>
      <c r="EM436">
        <v>0</v>
      </c>
      <c r="EN436">
        <v>0</v>
      </c>
      <c r="EO436">
        <v>0</v>
      </c>
      <c r="EP436">
        <v>0</v>
      </c>
      <c r="EQ436">
        <v>0</v>
      </c>
      <c r="ER436">
        <v>0</v>
      </c>
      <c r="ES436">
        <v>0</v>
      </c>
      <c r="ET436">
        <v>0</v>
      </c>
      <c r="EU436">
        <v>0</v>
      </c>
      <c r="EV436">
        <v>0</v>
      </c>
      <c r="EW436">
        <v>0</v>
      </c>
      <c r="EX436">
        <v>0</v>
      </c>
      <c r="EY436">
        <v>0</v>
      </c>
      <c r="EZ436">
        <v>0</v>
      </c>
      <c r="FA436">
        <v>0</v>
      </c>
      <c r="FB436">
        <v>0</v>
      </c>
      <c r="FC436">
        <v>0</v>
      </c>
      <c r="FD436">
        <v>0</v>
      </c>
      <c r="FE436">
        <v>0</v>
      </c>
      <c r="FF436">
        <v>0</v>
      </c>
      <c r="FG436">
        <v>0</v>
      </c>
      <c r="FH436">
        <v>0</v>
      </c>
      <c r="FI436">
        <v>0</v>
      </c>
      <c r="FJ436">
        <v>0</v>
      </c>
      <c r="FK436">
        <v>0</v>
      </c>
      <c r="FL436">
        <v>0</v>
      </c>
      <c r="FM436">
        <v>0</v>
      </c>
      <c r="FN436">
        <v>0</v>
      </c>
      <c r="FO436">
        <v>0</v>
      </c>
      <c r="FP436">
        <v>0</v>
      </c>
      <c r="FQ436">
        <v>0</v>
      </c>
      <c r="FR436">
        <v>0</v>
      </c>
      <c r="FS436">
        <v>0</v>
      </c>
      <c r="FT436">
        <v>0</v>
      </c>
      <c r="FU436">
        <v>0</v>
      </c>
      <c r="FV436">
        <v>0</v>
      </c>
      <c r="FW436">
        <v>0</v>
      </c>
      <c r="FX436">
        <v>0</v>
      </c>
      <c r="FY436">
        <v>0</v>
      </c>
      <c r="FZ436">
        <v>0</v>
      </c>
      <c r="GA436">
        <v>0</v>
      </c>
      <c r="GB436">
        <v>0</v>
      </c>
      <c r="GC436">
        <v>0</v>
      </c>
      <c r="GD436">
        <v>0</v>
      </c>
      <c r="GE436">
        <v>0</v>
      </c>
      <c r="GF436">
        <v>0</v>
      </c>
      <c r="GG436">
        <v>0</v>
      </c>
      <c r="GH436">
        <v>0</v>
      </c>
      <c r="GI436">
        <v>0</v>
      </c>
      <c r="GJ436">
        <v>0</v>
      </c>
      <c r="GK436">
        <v>0</v>
      </c>
      <c r="GL436">
        <v>0</v>
      </c>
      <c r="GM436">
        <v>0</v>
      </c>
      <c r="GN436">
        <v>0</v>
      </c>
      <c r="GO436">
        <v>0</v>
      </c>
      <c r="GP436">
        <v>0</v>
      </c>
      <c r="GQ436">
        <v>0</v>
      </c>
      <c r="GR436">
        <v>0</v>
      </c>
      <c r="GS436">
        <v>0</v>
      </c>
      <c r="GT436">
        <v>0</v>
      </c>
      <c r="GU436">
        <v>0</v>
      </c>
      <c r="GV436">
        <v>0</v>
      </c>
      <c r="GW436">
        <v>0</v>
      </c>
      <c r="GX436">
        <v>0</v>
      </c>
      <c r="GY436">
        <v>0</v>
      </c>
      <c r="GZ436">
        <v>0</v>
      </c>
      <c r="HA436">
        <v>0</v>
      </c>
      <c r="HB436">
        <v>0</v>
      </c>
      <c r="HC436">
        <v>0</v>
      </c>
      <c r="HD436">
        <v>0</v>
      </c>
      <c r="HE436">
        <v>0</v>
      </c>
      <c r="HF436">
        <v>0</v>
      </c>
      <c r="HG436">
        <v>0</v>
      </c>
      <c r="HH436">
        <v>0</v>
      </c>
      <c r="HI436">
        <v>0</v>
      </c>
      <c r="HJ436">
        <v>0</v>
      </c>
      <c r="HK436">
        <v>0</v>
      </c>
      <c r="HL436">
        <v>0</v>
      </c>
      <c r="HM436">
        <v>0</v>
      </c>
      <c r="HN436">
        <v>0</v>
      </c>
      <c r="HO436">
        <v>0</v>
      </c>
      <c r="HP436">
        <v>0</v>
      </c>
      <c r="HQ436">
        <v>0</v>
      </c>
      <c r="HR436">
        <v>0</v>
      </c>
      <c r="HS436">
        <v>0</v>
      </c>
      <c r="HT436">
        <v>0</v>
      </c>
      <c r="HU436">
        <v>0</v>
      </c>
      <c r="HV436">
        <v>0</v>
      </c>
      <c r="HW436">
        <v>0</v>
      </c>
      <c r="HX436">
        <v>0</v>
      </c>
      <c r="HY436">
        <v>0</v>
      </c>
      <c r="HZ436">
        <v>0</v>
      </c>
      <c r="IA436">
        <v>0</v>
      </c>
      <c r="IB436">
        <v>0</v>
      </c>
      <c r="IC436">
        <v>0</v>
      </c>
      <c r="ID436">
        <v>0</v>
      </c>
      <c r="IE436">
        <v>0</v>
      </c>
      <c r="IF436">
        <v>0</v>
      </c>
      <c r="IG436">
        <v>0</v>
      </c>
      <c r="IH436">
        <v>0</v>
      </c>
      <c r="II436">
        <v>0</v>
      </c>
      <c r="IJ436">
        <v>0</v>
      </c>
      <c r="IK436">
        <v>0</v>
      </c>
      <c r="IL436">
        <v>0</v>
      </c>
      <c r="IM436">
        <v>0</v>
      </c>
      <c r="IN436">
        <v>0</v>
      </c>
      <c r="IO436">
        <v>0</v>
      </c>
      <c r="IP436">
        <v>0</v>
      </c>
      <c r="IQ436">
        <v>0</v>
      </c>
      <c r="IR436">
        <v>0</v>
      </c>
      <c r="IS436">
        <v>0</v>
      </c>
      <c r="IT436">
        <v>0</v>
      </c>
      <c r="IU436">
        <v>0</v>
      </c>
      <c r="IV436">
        <v>0</v>
      </c>
      <c r="IW436">
        <v>0</v>
      </c>
      <c r="IX436">
        <v>0</v>
      </c>
      <c r="IY436">
        <v>0</v>
      </c>
      <c r="IZ436">
        <v>0</v>
      </c>
      <c r="JA436">
        <v>0</v>
      </c>
      <c r="JB436">
        <v>0</v>
      </c>
      <c r="JC436">
        <v>0</v>
      </c>
      <c r="JD436">
        <v>0</v>
      </c>
      <c r="JE436">
        <v>0</v>
      </c>
      <c r="JF436">
        <v>0</v>
      </c>
      <c r="JG436">
        <v>0</v>
      </c>
      <c r="JH436">
        <v>0</v>
      </c>
      <c r="JI436">
        <v>0</v>
      </c>
      <c r="JJ436">
        <v>0</v>
      </c>
      <c r="JK436">
        <v>0</v>
      </c>
      <c r="JL436">
        <v>0</v>
      </c>
      <c r="JM436">
        <v>0</v>
      </c>
      <c r="JN436">
        <v>0</v>
      </c>
      <c r="JO436">
        <v>0</v>
      </c>
      <c r="JP436">
        <v>0</v>
      </c>
      <c r="JQ436">
        <v>0</v>
      </c>
      <c r="JR436">
        <v>0</v>
      </c>
      <c r="JS436">
        <v>0</v>
      </c>
      <c r="JT436">
        <v>0</v>
      </c>
      <c r="JU436">
        <v>0</v>
      </c>
      <c r="JV436">
        <v>0</v>
      </c>
      <c r="JW436">
        <v>0</v>
      </c>
      <c r="JX436">
        <v>0</v>
      </c>
      <c r="JY436">
        <v>0</v>
      </c>
      <c r="JZ436">
        <v>0</v>
      </c>
      <c r="KA436">
        <v>0</v>
      </c>
      <c r="KB436">
        <v>0</v>
      </c>
      <c r="KC436">
        <v>0</v>
      </c>
      <c r="KD436">
        <v>0</v>
      </c>
      <c r="KE436">
        <v>0</v>
      </c>
      <c r="KF436">
        <v>0</v>
      </c>
      <c r="KG436">
        <v>0</v>
      </c>
      <c r="KH436">
        <v>0</v>
      </c>
      <c r="KI436">
        <v>0</v>
      </c>
      <c r="KJ436">
        <v>0</v>
      </c>
      <c r="KK436">
        <v>0</v>
      </c>
      <c r="KL436">
        <v>0</v>
      </c>
      <c r="KM436">
        <v>0</v>
      </c>
      <c r="KN436">
        <v>0</v>
      </c>
      <c r="KO436">
        <v>0</v>
      </c>
      <c r="KP436">
        <v>0</v>
      </c>
      <c r="KQ436">
        <v>0</v>
      </c>
      <c r="KR436">
        <v>0</v>
      </c>
      <c r="KS436">
        <v>0</v>
      </c>
      <c r="KT436">
        <v>0</v>
      </c>
      <c r="KU436">
        <v>0</v>
      </c>
      <c r="KV436">
        <v>0</v>
      </c>
      <c r="KW436">
        <v>0</v>
      </c>
      <c r="KX436">
        <v>0</v>
      </c>
      <c r="KY436">
        <v>0</v>
      </c>
      <c r="KZ436">
        <v>0</v>
      </c>
      <c r="LA436">
        <v>0</v>
      </c>
      <c r="LB436">
        <v>0</v>
      </c>
      <c r="LC436">
        <v>0</v>
      </c>
      <c r="LD436">
        <v>0</v>
      </c>
      <c r="LE436">
        <v>0</v>
      </c>
      <c r="LF436">
        <v>0</v>
      </c>
      <c r="LG436">
        <v>0</v>
      </c>
      <c r="LH436">
        <v>0</v>
      </c>
      <c r="LI436">
        <v>0</v>
      </c>
      <c r="LJ436">
        <v>0</v>
      </c>
      <c r="LK436">
        <v>0</v>
      </c>
      <c r="LL436">
        <v>0</v>
      </c>
      <c r="LM436">
        <v>0</v>
      </c>
      <c r="LN436">
        <v>0</v>
      </c>
      <c r="LO436">
        <v>0</v>
      </c>
      <c r="LP436">
        <v>0</v>
      </c>
      <c r="LQ436">
        <v>0</v>
      </c>
      <c r="LR436">
        <v>0</v>
      </c>
      <c r="LS436">
        <v>0</v>
      </c>
      <c r="LT436">
        <v>0</v>
      </c>
      <c r="LU436">
        <v>0</v>
      </c>
      <c r="LV436">
        <v>0</v>
      </c>
      <c r="LW436">
        <v>0</v>
      </c>
      <c r="LX436">
        <v>0</v>
      </c>
      <c r="LY436">
        <v>0</v>
      </c>
      <c r="LZ436">
        <v>0</v>
      </c>
      <c r="MA436">
        <v>0</v>
      </c>
      <c r="MB436">
        <v>0</v>
      </c>
      <c r="MC436">
        <v>0</v>
      </c>
      <c r="MD436">
        <v>0</v>
      </c>
      <c r="ME436">
        <v>0</v>
      </c>
      <c r="MF436">
        <v>0</v>
      </c>
      <c r="MG436">
        <v>0</v>
      </c>
      <c r="MH436">
        <v>0</v>
      </c>
      <c r="MI436">
        <v>0</v>
      </c>
      <c r="MJ436">
        <v>0</v>
      </c>
      <c r="MK436">
        <v>0</v>
      </c>
      <c r="ML436">
        <v>0</v>
      </c>
      <c r="MM436">
        <v>0</v>
      </c>
      <c r="MN436">
        <v>0</v>
      </c>
      <c r="MO436">
        <v>0</v>
      </c>
      <c r="MP436">
        <v>0</v>
      </c>
      <c r="MQ436">
        <v>0</v>
      </c>
      <c r="MR436">
        <v>0</v>
      </c>
      <c r="MS436">
        <v>0</v>
      </c>
      <c r="MT436">
        <v>0</v>
      </c>
      <c r="MU436">
        <v>0</v>
      </c>
      <c r="MV436">
        <v>0</v>
      </c>
      <c r="MW436">
        <v>0</v>
      </c>
      <c r="MX436">
        <v>0</v>
      </c>
      <c r="MY436">
        <v>0</v>
      </c>
      <c r="MZ436">
        <v>0</v>
      </c>
      <c r="NA436">
        <v>0</v>
      </c>
      <c r="NB436">
        <v>0</v>
      </c>
      <c r="NC436">
        <v>0</v>
      </c>
      <c r="ND436">
        <v>0</v>
      </c>
      <c r="NE436">
        <v>0</v>
      </c>
    </row>
    <row r="437" spans="41:369" x14ac:dyDescent="0.45">
      <c r="AO437">
        <v>0</v>
      </c>
      <c r="AP437">
        <v>0</v>
      </c>
      <c r="AQ437">
        <v>0</v>
      </c>
      <c r="AR437">
        <v>0</v>
      </c>
      <c r="AS437">
        <v>0</v>
      </c>
      <c r="AT437">
        <v>0</v>
      </c>
      <c r="AU437">
        <v>0</v>
      </c>
      <c r="AV437">
        <v>0</v>
      </c>
      <c r="AW437" t="str">
        <v/>
      </c>
      <c r="AX437">
        <v>255</v>
      </c>
      <c r="AY437" s="5" t="str">
        <v/>
      </c>
      <c r="AZ437">
        <v>0</v>
      </c>
      <c r="BA437">
        <v>0</v>
      </c>
      <c r="BB437">
        <v>0</v>
      </c>
      <c r="BC437">
        <v>0</v>
      </c>
      <c r="BD437">
        <v>0</v>
      </c>
      <c r="BE437">
        <v>0</v>
      </c>
      <c r="BF437">
        <v>0</v>
      </c>
      <c r="BG437">
        <v>0</v>
      </c>
      <c r="BH437">
        <v>0</v>
      </c>
      <c r="BI437" t="str">
        <v/>
      </c>
      <c r="BK437">
        <v>431</v>
      </c>
      <c r="BL437">
        <v>0</v>
      </c>
      <c r="BM437">
        <v>0</v>
      </c>
      <c r="BN437">
        <v>0</v>
      </c>
      <c r="BO437">
        <v>0</v>
      </c>
      <c r="BP437">
        <v>0</v>
      </c>
      <c r="BQ437">
        <v>0</v>
      </c>
      <c r="BR437">
        <v>0</v>
      </c>
      <c r="BS437">
        <v>0</v>
      </c>
      <c r="BT437">
        <v>0</v>
      </c>
      <c r="BU437">
        <v>0</v>
      </c>
      <c r="BV437">
        <v>0</v>
      </c>
      <c r="BW437">
        <v>0</v>
      </c>
      <c r="BX437">
        <v>0</v>
      </c>
      <c r="BY437">
        <v>0</v>
      </c>
      <c r="BZ437">
        <v>0</v>
      </c>
      <c r="CA437">
        <v>0</v>
      </c>
      <c r="CB437">
        <v>0</v>
      </c>
      <c r="CC437">
        <v>0</v>
      </c>
      <c r="CD437">
        <v>0</v>
      </c>
      <c r="CE437">
        <v>0</v>
      </c>
      <c r="CF437">
        <v>0</v>
      </c>
      <c r="CG437">
        <v>0</v>
      </c>
      <c r="CH437">
        <v>0</v>
      </c>
      <c r="CI437">
        <v>0</v>
      </c>
      <c r="CJ437">
        <v>0</v>
      </c>
      <c r="CK437">
        <v>0</v>
      </c>
      <c r="CL437">
        <v>0</v>
      </c>
      <c r="CM437">
        <v>0</v>
      </c>
      <c r="CN437">
        <v>0</v>
      </c>
      <c r="CO437">
        <v>0</v>
      </c>
      <c r="CP437">
        <v>0</v>
      </c>
      <c r="CQ437">
        <v>0</v>
      </c>
      <c r="CR437">
        <v>0</v>
      </c>
      <c r="CS437">
        <v>0</v>
      </c>
      <c r="CT437">
        <v>0</v>
      </c>
      <c r="CU437">
        <v>0</v>
      </c>
      <c r="CV437">
        <v>0</v>
      </c>
      <c r="CW437">
        <v>0</v>
      </c>
      <c r="CX437">
        <v>0</v>
      </c>
      <c r="CY437">
        <v>0</v>
      </c>
      <c r="CZ437">
        <v>0</v>
      </c>
      <c r="DA437">
        <v>0</v>
      </c>
      <c r="DB437">
        <v>0</v>
      </c>
      <c r="DC437">
        <v>0</v>
      </c>
      <c r="DD437">
        <v>0</v>
      </c>
      <c r="DE437">
        <v>0</v>
      </c>
      <c r="DF437">
        <v>0</v>
      </c>
      <c r="DG437">
        <v>0</v>
      </c>
      <c r="DH437">
        <v>0</v>
      </c>
      <c r="DI437">
        <v>0</v>
      </c>
      <c r="DJ437">
        <v>0</v>
      </c>
      <c r="DK437">
        <v>0</v>
      </c>
      <c r="DL437">
        <v>0</v>
      </c>
      <c r="DM437">
        <v>0</v>
      </c>
      <c r="DN437">
        <v>0</v>
      </c>
      <c r="DO437">
        <v>0</v>
      </c>
      <c r="DP437">
        <v>0</v>
      </c>
      <c r="DQ437">
        <v>0</v>
      </c>
      <c r="DR437">
        <v>0</v>
      </c>
      <c r="DS437">
        <v>0</v>
      </c>
      <c r="DT437">
        <v>0</v>
      </c>
      <c r="DU437">
        <v>0</v>
      </c>
      <c r="DV437">
        <v>0</v>
      </c>
      <c r="DW437">
        <v>0</v>
      </c>
      <c r="DX437">
        <v>0</v>
      </c>
      <c r="DY437">
        <v>0</v>
      </c>
      <c r="DZ437">
        <v>0</v>
      </c>
      <c r="EA437">
        <v>0</v>
      </c>
      <c r="EB437">
        <v>0</v>
      </c>
      <c r="EC437">
        <v>0</v>
      </c>
      <c r="ED437">
        <v>0</v>
      </c>
      <c r="EE437">
        <v>0</v>
      </c>
      <c r="EF437">
        <v>0</v>
      </c>
      <c r="EG437">
        <v>0</v>
      </c>
      <c r="EH437">
        <v>0</v>
      </c>
      <c r="EI437">
        <v>0</v>
      </c>
      <c r="EJ437">
        <v>0</v>
      </c>
      <c r="EK437">
        <v>0</v>
      </c>
      <c r="EL437">
        <v>0</v>
      </c>
      <c r="EM437">
        <v>0</v>
      </c>
      <c r="EN437">
        <v>0</v>
      </c>
      <c r="EO437">
        <v>0</v>
      </c>
      <c r="EP437">
        <v>0</v>
      </c>
      <c r="EQ437">
        <v>0</v>
      </c>
      <c r="ER437">
        <v>0</v>
      </c>
      <c r="ES437">
        <v>0</v>
      </c>
      <c r="ET437">
        <v>0</v>
      </c>
      <c r="EU437">
        <v>0</v>
      </c>
      <c r="EV437">
        <v>0</v>
      </c>
      <c r="EW437">
        <v>0</v>
      </c>
      <c r="EX437">
        <v>0</v>
      </c>
      <c r="EY437">
        <v>0</v>
      </c>
      <c r="EZ437">
        <v>0</v>
      </c>
      <c r="FA437">
        <v>0</v>
      </c>
      <c r="FB437">
        <v>0</v>
      </c>
      <c r="FC437">
        <v>0</v>
      </c>
      <c r="FD437">
        <v>0</v>
      </c>
      <c r="FE437">
        <v>0</v>
      </c>
      <c r="FF437">
        <v>0</v>
      </c>
      <c r="FG437">
        <v>0</v>
      </c>
      <c r="FH437">
        <v>0</v>
      </c>
      <c r="FI437">
        <v>0</v>
      </c>
      <c r="FJ437">
        <v>0</v>
      </c>
      <c r="FK437">
        <v>0</v>
      </c>
      <c r="FL437">
        <v>0</v>
      </c>
      <c r="FM437">
        <v>0</v>
      </c>
      <c r="FN437">
        <v>0</v>
      </c>
      <c r="FO437">
        <v>0</v>
      </c>
      <c r="FP437">
        <v>0</v>
      </c>
      <c r="FQ437">
        <v>0</v>
      </c>
      <c r="FR437">
        <v>0</v>
      </c>
      <c r="FS437">
        <v>0</v>
      </c>
      <c r="FT437">
        <v>0</v>
      </c>
      <c r="FU437">
        <v>0</v>
      </c>
      <c r="FV437">
        <v>0</v>
      </c>
      <c r="FW437">
        <v>0</v>
      </c>
      <c r="FX437">
        <v>0</v>
      </c>
      <c r="FY437">
        <v>0</v>
      </c>
      <c r="FZ437">
        <v>0</v>
      </c>
      <c r="GA437">
        <v>0</v>
      </c>
      <c r="GB437">
        <v>0</v>
      </c>
      <c r="GC437">
        <v>0</v>
      </c>
      <c r="GD437">
        <v>0</v>
      </c>
      <c r="GE437">
        <v>0</v>
      </c>
      <c r="GF437">
        <v>0</v>
      </c>
      <c r="GG437">
        <v>0</v>
      </c>
      <c r="GH437">
        <v>0</v>
      </c>
      <c r="GI437">
        <v>0</v>
      </c>
      <c r="GJ437">
        <v>0</v>
      </c>
      <c r="GK437">
        <v>0</v>
      </c>
      <c r="GL437">
        <v>0</v>
      </c>
      <c r="GM437">
        <v>0</v>
      </c>
      <c r="GN437">
        <v>0</v>
      </c>
      <c r="GO437">
        <v>0</v>
      </c>
      <c r="GP437">
        <v>0</v>
      </c>
      <c r="GQ437">
        <v>0</v>
      </c>
      <c r="GR437">
        <v>0</v>
      </c>
      <c r="GS437">
        <v>0</v>
      </c>
      <c r="GT437">
        <v>0</v>
      </c>
      <c r="GU437">
        <v>0</v>
      </c>
      <c r="GV437">
        <v>0</v>
      </c>
      <c r="GW437">
        <v>0</v>
      </c>
      <c r="GX437">
        <v>0</v>
      </c>
      <c r="GY437">
        <v>0</v>
      </c>
      <c r="GZ437">
        <v>0</v>
      </c>
      <c r="HA437">
        <v>0</v>
      </c>
      <c r="HB437">
        <v>0</v>
      </c>
      <c r="HC437">
        <v>0</v>
      </c>
      <c r="HD437">
        <v>0</v>
      </c>
      <c r="HE437">
        <v>0</v>
      </c>
      <c r="HF437">
        <v>0</v>
      </c>
      <c r="HG437">
        <v>0</v>
      </c>
      <c r="HH437">
        <v>0</v>
      </c>
      <c r="HI437">
        <v>0</v>
      </c>
      <c r="HJ437">
        <v>0</v>
      </c>
      <c r="HK437">
        <v>0</v>
      </c>
      <c r="HL437">
        <v>0</v>
      </c>
      <c r="HM437">
        <v>0</v>
      </c>
      <c r="HN437">
        <v>0</v>
      </c>
      <c r="HO437">
        <v>0</v>
      </c>
      <c r="HP437">
        <v>0</v>
      </c>
      <c r="HQ437">
        <v>0</v>
      </c>
      <c r="HR437">
        <v>0</v>
      </c>
      <c r="HS437">
        <v>0</v>
      </c>
      <c r="HT437">
        <v>0</v>
      </c>
      <c r="HU437">
        <v>0</v>
      </c>
      <c r="HV437">
        <v>0</v>
      </c>
      <c r="HW437">
        <v>0</v>
      </c>
      <c r="HX437">
        <v>0</v>
      </c>
      <c r="HY437">
        <v>0</v>
      </c>
      <c r="HZ437">
        <v>0</v>
      </c>
      <c r="IA437">
        <v>0</v>
      </c>
      <c r="IB437">
        <v>0</v>
      </c>
      <c r="IC437">
        <v>0</v>
      </c>
      <c r="ID437">
        <v>0</v>
      </c>
      <c r="IE437">
        <v>0</v>
      </c>
      <c r="IF437">
        <v>0</v>
      </c>
      <c r="IG437">
        <v>0</v>
      </c>
      <c r="IH437">
        <v>0</v>
      </c>
      <c r="II437">
        <v>0</v>
      </c>
      <c r="IJ437">
        <v>0</v>
      </c>
      <c r="IK437">
        <v>0</v>
      </c>
      <c r="IL437">
        <v>0</v>
      </c>
      <c r="IM437">
        <v>0</v>
      </c>
      <c r="IN437">
        <v>0</v>
      </c>
      <c r="IO437">
        <v>0</v>
      </c>
      <c r="IP437">
        <v>0</v>
      </c>
      <c r="IQ437">
        <v>0</v>
      </c>
      <c r="IR437">
        <v>0</v>
      </c>
      <c r="IS437">
        <v>0</v>
      </c>
      <c r="IT437">
        <v>0</v>
      </c>
      <c r="IU437">
        <v>0</v>
      </c>
      <c r="IV437">
        <v>0</v>
      </c>
      <c r="IW437">
        <v>0</v>
      </c>
      <c r="IX437">
        <v>0</v>
      </c>
      <c r="IY437">
        <v>0</v>
      </c>
      <c r="IZ437">
        <v>0</v>
      </c>
      <c r="JA437">
        <v>0</v>
      </c>
      <c r="JB437">
        <v>0</v>
      </c>
      <c r="JC437">
        <v>0</v>
      </c>
      <c r="JD437">
        <v>0</v>
      </c>
      <c r="JE437">
        <v>0</v>
      </c>
      <c r="JF437">
        <v>0</v>
      </c>
      <c r="JG437">
        <v>0</v>
      </c>
      <c r="JH437">
        <v>0</v>
      </c>
      <c r="JI437">
        <v>0</v>
      </c>
      <c r="JJ437">
        <v>0</v>
      </c>
      <c r="JK437">
        <v>0</v>
      </c>
      <c r="JL437">
        <v>0</v>
      </c>
      <c r="JM437">
        <v>0</v>
      </c>
      <c r="JN437">
        <v>0</v>
      </c>
      <c r="JO437">
        <v>0</v>
      </c>
      <c r="JP437">
        <v>0</v>
      </c>
      <c r="JQ437">
        <v>0</v>
      </c>
      <c r="JR437">
        <v>0</v>
      </c>
      <c r="JS437">
        <v>0</v>
      </c>
      <c r="JT437">
        <v>0</v>
      </c>
      <c r="JU437">
        <v>0</v>
      </c>
      <c r="JV437">
        <v>0</v>
      </c>
      <c r="JW437">
        <v>0</v>
      </c>
      <c r="JX437">
        <v>0</v>
      </c>
      <c r="JY437">
        <v>0</v>
      </c>
      <c r="JZ437">
        <v>0</v>
      </c>
      <c r="KA437">
        <v>0</v>
      </c>
      <c r="KB437">
        <v>0</v>
      </c>
      <c r="KC437">
        <v>0</v>
      </c>
      <c r="KD437">
        <v>0</v>
      </c>
      <c r="KE437">
        <v>0</v>
      </c>
      <c r="KF437">
        <v>0</v>
      </c>
      <c r="KG437">
        <v>0</v>
      </c>
      <c r="KH437">
        <v>0</v>
      </c>
      <c r="KI437">
        <v>0</v>
      </c>
      <c r="KJ437">
        <v>0</v>
      </c>
      <c r="KK437">
        <v>0</v>
      </c>
      <c r="KL437">
        <v>0</v>
      </c>
      <c r="KM437">
        <v>0</v>
      </c>
      <c r="KN437">
        <v>0</v>
      </c>
      <c r="KO437">
        <v>0</v>
      </c>
      <c r="KP437">
        <v>0</v>
      </c>
      <c r="KQ437">
        <v>0</v>
      </c>
      <c r="KR437">
        <v>0</v>
      </c>
      <c r="KS437">
        <v>0</v>
      </c>
      <c r="KT437">
        <v>0</v>
      </c>
      <c r="KU437">
        <v>0</v>
      </c>
      <c r="KV437">
        <v>0</v>
      </c>
      <c r="KW437">
        <v>0</v>
      </c>
      <c r="KX437">
        <v>0</v>
      </c>
      <c r="KY437">
        <v>0</v>
      </c>
      <c r="KZ437">
        <v>0</v>
      </c>
      <c r="LA437">
        <v>0</v>
      </c>
      <c r="LB437">
        <v>0</v>
      </c>
      <c r="LC437">
        <v>0</v>
      </c>
      <c r="LD437">
        <v>0</v>
      </c>
      <c r="LE437">
        <v>0</v>
      </c>
      <c r="LF437">
        <v>0</v>
      </c>
      <c r="LG437">
        <v>0</v>
      </c>
      <c r="LH437">
        <v>0</v>
      </c>
      <c r="LI437">
        <v>0</v>
      </c>
      <c r="LJ437">
        <v>0</v>
      </c>
      <c r="LK437">
        <v>0</v>
      </c>
      <c r="LL437">
        <v>0</v>
      </c>
      <c r="LM437">
        <v>0</v>
      </c>
      <c r="LN437">
        <v>0</v>
      </c>
      <c r="LO437">
        <v>0</v>
      </c>
      <c r="LP437">
        <v>0</v>
      </c>
      <c r="LQ437">
        <v>0</v>
      </c>
      <c r="LR437">
        <v>0</v>
      </c>
      <c r="LS437">
        <v>0</v>
      </c>
      <c r="LT437">
        <v>0</v>
      </c>
      <c r="LU437">
        <v>0</v>
      </c>
      <c r="LV437">
        <v>0</v>
      </c>
      <c r="LW437">
        <v>0</v>
      </c>
      <c r="LX437">
        <v>0</v>
      </c>
      <c r="LY437">
        <v>0</v>
      </c>
      <c r="LZ437">
        <v>0</v>
      </c>
      <c r="MA437">
        <v>0</v>
      </c>
      <c r="MB437">
        <v>0</v>
      </c>
      <c r="MC437">
        <v>0</v>
      </c>
      <c r="MD437">
        <v>0</v>
      </c>
      <c r="ME437">
        <v>0</v>
      </c>
      <c r="MF437">
        <v>0</v>
      </c>
      <c r="MG437">
        <v>0</v>
      </c>
      <c r="MH437">
        <v>0</v>
      </c>
      <c r="MI437">
        <v>0</v>
      </c>
      <c r="MJ437">
        <v>0</v>
      </c>
      <c r="MK437">
        <v>0</v>
      </c>
      <c r="ML437">
        <v>0</v>
      </c>
      <c r="MM437">
        <v>0</v>
      </c>
      <c r="MN437">
        <v>0</v>
      </c>
      <c r="MO437">
        <v>0</v>
      </c>
      <c r="MP437">
        <v>0</v>
      </c>
      <c r="MQ437">
        <v>0</v>
      </c>
      <c r="MR437">
        <v>0</v>
      </c>
      <c r="MS437">
        <v>0</v>
      </c>
      <c r="MT437">
        <v>0</v>
      </c>
      <c r="MU437">
        <v>0</v>
      </c>
      <c r="MV437">
        <v>0</v>
      </c>
      <c r="MW437">
        <v>0</v>
      </c>
      <c r="MX437">
        <v>0</v>
      </c>
      <c r="MY437">
        <v>0</v>
      </c>
      <c r="MZ437">
        <v>0</v>
      </c>
      <c r="NA437">
        <v>0</v>
      </c>
      <c r="NB437">
        <v>0</v>
      </c>
      <c r="NC437">
        <v>0</v>
      </c>
      <c r="ND437">
        <v>0</v>
      </c>
      <c r="NE437">
        <v>0</v>
      </c>
    </row>
    <row r="438" spans="41:369" x14ac:dyDescent="0.45">
      <c r="AO438">
        <v>0</v>
      </c>
      <c r="AP438">
        <v>0</v>
      </c>
      <c r="AQ438">
        <v>0</v>
      </c>
      <c r="AR438">
        <v>0</v>
      </c>
      <c r="AS438">
        <v>0</v>
      </c>
      <c r="AT438">
        <v>0</v>
      </c>
      <c r="AU438">
        <v>0</v>
      </c>
      <c r="AV438">
        <v>0</v>
      </c>
      <c r="AW438" t="str">
        <v/>
      </c>
      <c r="AX438">
        <v>255</v>
      </c>
      <c r="AY438" s="5" t="str">
        <v/>
      </c>
      <c r="AZ438">
        <v>0</v>
      </c>
      <c r="BA438">
        <v>0</v>
      </c>
      <c r="BB438">
        <v>0</v>
      </c>
      <c r="BC438">
        <v>0</v>
      </c>
      <c r="BD438">
        <v>0</v>
      </c>
      <c r="BE438">
        <v>0</v>
      </c>
      <c r="BF438">
        <v>0</v>
      </c>
      <c r="BG438">
        <v>0</v>
      </c>
      <c r="BH438">
        <v>0</v>
      </c>
      <c r="BI438" t="str">
        <v/>
      </c>
      <c r="BK438">
        <v>432</v>
      </c>
      <c r="BL438">
        <v>0</v>
      </c>
      <c r="BM438">
        <v>0</v>
      </c>
      <c r="BN438">
        <v>0</v>
      </c>
      <c r="BO438">
        <v>0</v>
      </c>
      <c r="BP438">
        <v>0</v>
      </c>
      <c r="BQ438">
        <v>0</v>
      </c>
      <c r="BR438">
        <v>0</v>
      </c>
      <c r="BS438">
        <v>0</v>
      </c>
      <c r="BT438">
        <v>0</v>
      </c>
      <c r="BU438">
        <v>0</v>
      </c>
      <c r="BV438">
        <v>0</v>
      </c>
      <c r="BW438">
        <v>0</v>
      </c>
      <c r="BX438">
        <v>0</v>
      </c>
      <c r="BY438">
        <v>0</v>
      </c>
      <c r="BZ438">
        <v>0</v>
      </c>
      <c r="CA438">
        <v>0</v>
      </c>
      <c r="CB438">
        <v>0</v>
      </c>
      <c r="CC438">
        <v>0</v>
      </c>
      <c r="CD438">
        <v>0</v>
      </c>
      <c r="CE438">
        <v>0</v>
      </c>
      <c r="CF438">
        <v>0</v>
      </c>
      <c r="CG438">
        <v>0</v>
      </c>
      <c r="CH438">
        <v>0</v>
      </c>
      <c r="CI438">
        <v>0</v>
      </c>
      <c r="CJ438">
        <v>0</v>
      </c>
      <c r="CK438">
        <v>0</v>
      </c>
      <c r="CL438">
        <v>0</v>
      </c>
      <c r="CM438">
        <v>0</v>
      </c>
      <c r="CN438">
        <v>0</v>
      </c>
      <c r="CO438">
        <v>0</v>
      </c>
      <c r="CP438">
        <v>0</v>
      </c>
      <c r="CQ438">
        <v>0</v>
      </c>
      <c r="CR438">
        <v>0</v>
      </c>
      <c r="CS438">
        <v>0</v>
      </c>
      <c r="CT438">
        <v>0</v>
      </c>
      <c r="CU438">
        <v>0</v>
      </c>
      <c r="CV438">
        <v>0</v>
      </c>
      <c r="CW438">
        <v>0</v>
      </c>
      <c r="CX438">
        <v>0</v>
      </c>
      <c r="CY438">
        <v>0</v>
      </c>
      <c r="CZ438">
        <v>0</v>
      </c>
      <c r="DA438">
        <v>0</v>
      </c>
      <c r="DB438">
        <v>0</v>
      </c>
      <c r="DC438">
        <v>0</v>
      </c>
      <c r="DD438">
        <v>0</v>
      </c>
      <c r="DE438">
        <v>0</v>
      </c>
      <c r="DF438">
        <v>0</v>
      </c>
      <c r="DG438">
        <v>0</v>
      </c>
      <c r="DH438">
        <v>0</v>
      </c>
      <c r="DI438">
        <v>0</v>
      </c>
      <c r="DJ438">
        <v>0</v>
      </c>
      <c r="DK438">
        <v>0</v>
      </c>
      <c r="DL438">
        <v>0</v>
      </c>
      <c r="DM438">
        <v>0</v>
      </c>
      <c r="DN438">
        <v>0</v>
      </c>
      <c r="DO438">
        <v>0</v>
      </c>
      <c r="DP438">
        <v>0</v>
      </c>
      <c r="DQ438">
        <v>0</v>
      </c>
      <c r="DR438">
        <v>0</v>
      </c>
      <c r="DS438">
        <v>0</v>
      </c>
      <c r="DT438">
        <v>0</v>
      </c>
      <c r="DU438">
        <v>0</v>
      </c>
      <c r="DV438">
        <v>0</v>
      </c>
      <c r="DW438">
        <v>0</v>
      </c>
      <c r="DX438">
        <v>0</v>
      </c>
      <c r="DY438">
        <v>0</v>
      </c>
      <c r="DZ438">
        <v>0</v>
      </c>
      <c r="EA438">
        <v>0</v>
      </c>
      <c r="EB438">
        <v>0</v>
      </c>
      <c r="EC438">
        <v>0</v>
      </c>
      <c r="ED438">
        <v>0</v>
      </c>
      <c r="EE438">
        <v>0</v>
      </c>
      <c r="EF438">
        <v>0</v>
      </c>
      <c r="EG438">
        <v>0</v>
      </c>
      <c r="EH438">
        <v>0</v>
      </c>
      <c r="EI438">
        <v>0</v>
      </c>
      <c r="EJ438">
        <v>0</v>
      </c>
      <c r="EK438">
        <v>0</v>
      </c>
      <c r="EL438">
        <v>0</v>
      </c>
      <c r="EM438">
        <v>0</v>
      </c>
      <c r="EN438">
        <v>0</v>
      </c>
      <c r="EO438">
        <v>0</v>
      </c>
      <c r="EP438">
        <v>0</v>
      </c>
      <c r="EQ438">
        <v>0</v>
      </c>
      <c r="ER438">
        <v>0</v>
      </c>
      <c r="ES438">
        <v>0</v>
      </c>
      <c r="ET438">
        <v>0</v>
      </c>
      <c r="EU438">
        <v>0</v>
      </c>
      <c r="EV438">
        <v>0</v>
      </c>
      <c r="EW438">
        <v>0</v>
      </c>
      <c r="EX438">
        <v>0</v>
      </c>
      <c r="EY438">
        <v>0</v>
      </c>
      <c r="EZ438">
        <v>0</v>
      </c>
      <c r="FA438">
        <v>0</v>
      </c>
      <c r="FB438">
        <v>0</v>
      </c>
      <c r="FC438">
        <v>0</v>
      </c>
      <c r="FD438">
        <v>0</v>
      </c>
      <c r="FE438">
        <v>0</v>
      </c>
      <c r="FF438">
        <v>0</v>
      </c>
      <c r="FG438">
        <v>0</v>
      </c>
      <c r="FH438">
        <v>0</v>
      </c>
      <c r="FI438">
        <v>0</v>
      </c>
      <c r="FJ438">
        <v>0</v>
      </c>
      <c r="FK438">
        <v>0</v>
      </c>
      <c r="FL438">
        <v>0</v>
      </c>
      <c r="FM438">
        <v>0</v>
      </c>
      <c r="FN438">
        <v>0</v>
      </c>
      <c r="FO438">
        <v>0</v>
      </c>
      <c r="FP438">
        <v>0</v>
      </c>
      <c r="FQ438">
        <v>0</v>
      </c>
      <c r="FR438">
        <v>0</v>
      </c>
      <c r="FS438">
        <v>0</v>
      </c>
      <c r="FT438">
        <v>0</v>
      </c>
      <c r="FU438">
        <v>0</v>
      </c>
      <c r="FV438">
        <v>0</v>
      </c>
      <c r="FW438">
        <v>0</v>
      </c>
      <c r="FX438">
        <v>0</v>
      </c>
      <c r="FY438">
        <v>0</v>
      </c>
      <c r="FZ438">
        <v>0</v>
      </c>
      <c r="GA438">
        <v>0</v>
      </c>
      <c r="GB438">
        <v>0</v>
      </c>
      <c r="GC438">
        <v>0</v>
      </c>
      <c r="GD438">
        <v>0</v>
      </c>
      <c r="GE438">
        <v>0</v>
      </c>
      <c r="GF438">
        <v>0</v>
      </c>
      <c r="GG438">
        <v>0</v>
      </c>
      <c r="GH438">
        <v>0</v>
      </c>
      <c r="GI438">
        <v>0</v>
      </c>
      <c r="GJ438">
        <v>0</v>
      </c>
      <c r="GK438">
        <v>0</v>
      </c>
      <c r="GL438">
        <v>0</v>
      </c>
      <c r="GM438">
        <v>0</v>
      </c>
      <c r="GN438">
        <v>0</v>
      </c>
      <c r="GO438">
        <v>0</v>
      </c>
      <c r="GP438">
        <v>0</v>
      </c>
      <c r="GQ438">
        <v>0</v>
      </c>
      <c r="GR438">
        <v>0</v>
      </c>
      <c r="GS438">
        <v>0</v>
      </c>
      <c r="GT438">
        <v>0</v>
      </c>
      <c r="GU438">
        <v>0</v>
      </c>
      <c r="GV438">
        <v>0</v>
      </c>
      <c r="GW438">
        <v>0</v>
      </c>
      <c r="GX438">
        <v>0</v>
      </c>
      <c r="GY438">
        <v>0</v>
      </c>
      <c r="GZ438">
        <v>0</v>
      </c>
      <c r="HA438">
        <v>0</v>
      </c>
      <c r="HB438">
        <v>0</v>
      </c>
      <c r="HC438">
        <v>0</v>
      </c>
      <c r="HD438">
        <v>0</v>
      </c>
      <c r="HE438">
        <v>0</v>
      </c>
      <c r="HF438">
        <v>0</v>
      </c>
      <c r="HG438">
        <v>0</v>
      </c>
      <c r="HH438">
        <v>0</v>
      </c>
      <c r="HI438">
        <v>0</v>
      </c>
      <c r="HJ438">
        <v>0</v>
      </c>
      <c r="HK438">
        <v>0</v>
      </c>
      <c r="HL438">
        <v>0</v>
      </c>
      <c r="HM438">
        <v>0</v>
      </c>
      <c r="HN438">
        <v>0</v>
      </c>
      <c r="HO438">
        <v>0</v>
      </c>
      <c r="HP438">
        <v>0</v>
      </c>
      <c r="HQ438">
        <v>0</v>
      </c>
      <c r="HR438">
        <v>0</v>
      </c>
      <c r="HS438">
        <v>0</v>
      </c>
      <c r="HT438">
        <v>0</v>
      </c>
      <c r="HU438">
        <v>0</v>
      </c>
      <c r="HV438">
        <v>0</v>
      </c>
      <c r="HW438">
        <v>0</v>
      </c>
      <c r="HX438">
        <v>0</v>
      </c>
      <c r="HY438">
        <v>0</v>
      </c>
      <c r="HZ438">
        <v>0</v>
      </c>
      <c r="IA438">
        <v>0</v>
      </c>
      <c r="IB438">
        <v>0</v>
      </c>
      <c r="IC438">
        <v>0</v>
      </c>
      <c r="ID438">
        <v>0</v>
      </c>
      <c r="IE438">
        <v>0</v>
      </c>
      <c r="IF438">
        <v>0</v>
      </c>
      <c r="IG438">
        <v>0</v>
      </c>
      <c r="IH438">
        <v>0</v>
      </c>
      <c r="II438">
        <v>0</v>
      </c>
      <c r="IJ438">
        <v>0</v>
      </c>
      <c r="IK438">
        <v>0</v>
      </c>
      <c r="IL438">
        <v>0</v>
      </c>
      <c r="IM438">
        <v>0</v>
      </c>
      <c r="IN438">
        <v>0</v>
      </c>
      <c r="IO438">
        <v>0</v>
      </c>
      <c r="IP438">
        <v>0</v>
      </c>
      <c r="IQ438">
        <v>0</v>
      </c>
      <c r="IR438">
        <v>0</v>
      </c>
      <c r="IS438">
        <v>0</v>
      </c>
      <c r="IT438">
        <v>0</v>
      </c>
      <c r="IU438">
        <v>0</v>
      </c>
      <c r="IV438">
        <v>0</v>
      </c>
      <c r="IW438">
        <v>0</v>
      </c>
      <c r="IX438">
        <v>0</v>
      </c>
      <c r="IY438">
        <v>0</v>
      </c>
      <c r="IZ438">
        <v>0</v>
      </c>
      <c r="JA438">
        <v>0</v>
      </c>
      <c r="JB438">
        <v>0</v>
      </c>
      <c r="JC438">
        <v>0</v>
      </c>
      <c r="JD438">
        <v>0</v>
      </c>
      <c r="JE438">
        <v>0</v>
      </c>
      <c r="JF438">
        <v>0</v>
      </c>
      <c r="JG438">
        <v>0</v>
      </c>
      <c r="JH438">
        <v>0</v>
      </c>
      <c r="JI438">
        <v>0</v>
      </c>
      <c r="JJ438">
        <v>0</v>
      </c>
      <c r="JK438">
        <v>0</v>
      </c>
      <c r="JL438">
        <v>0</v>
      </c>
      <c r="JM438">
        <v>0</v>
      </c>
      <c r="JN438">
        <v>0</v>
      </c>
      <c r="JO438">
        <v>0</v>
      </c>
      <c r="JP438">
        <v>0</v>
      </c>
      <c r="JQ438">
        <v>0</v>
      </c>
      <c r="JR438">
        <v>0</v>
      </c>
      <c r="JS438">
        <v>0</v>
      </c>
      <c r="JT438">
        <v>0</v>
      </c>
      <c r="JU438">
        <v>0</v>
      </c>
      <c r="JV438">
        <v>0</v>
      </c>
      <c r="JW438">
        <v>0</v>
      </c>
      <c r="JX438">
        <v>0</v>
      </c>
      <c r="JY438">
        <v>0</v>
      </c>
      <c r="JZ438">
        <v>0</v>
      </c>
      <c r="KA438">
        <v>0</v>
      </c>
      <c r="KB438">
        <v>0</v>
      </c>
      <c r="KC438">
        <v>0</v>
      </c>
      <c r="KD438">
        <v>0</v>
      </c>
      <c r="KE438">
        <v>0</v>
      </c>
      <c r="KF438">
        <v>0</v>
      </c>
      <c r="KG438">
        <v>0</v>
      </c>
      <c r="KH438">
        <v>0</v>
      </c>
      <c r="KI438">
        <v>0</v>
      </c>
      <c r="KJ438">
        <v>0</v>
      </c>
      <c r="KK438">
        <v>0</v>
      </c>
      <c r="KL438">
        <v>0</v>
      </c>
      <c r="KM438">
        <v>0</v>
      </c>
      <c r="KN438">
        <v>0</v>
      </c>
      <c r="KO438">
        <v>0</v>
      </c>
      <c r="KP438">
        <v>0</v>
      </c>
      <c r="KQ438">
        <v>0</v>
      </c>
      <c r="KR438">
        <v>0</v>
      </c>
      <c r="KS438">
        <v>0</v>
      </c>
      <c r="KT438">
        <v>0</v>
      </c>
      <c r="KU438">
        <v>0</v>
      </c>
      <c r="KV438">
        <v>0</v>
      </c>
      <c r="KW438">
        <v>0</v>
      </c>
      <c r="KX438">
        <v>0</v>
      </c>
      <c r="KY438">
        <v>0</v>
      </c>
      <c r="KZ438">
        <v>0</v>
      </c>
      <c r="LA438">
        <v>0</v>
      </c>
      <c r="LB438">
        <v>0</v>
      </c>
      <c r="LC438">
        <v>0</v>
      </c>
      <c r="LD438">
        <v>0</v>
      </c>
      <c r="LE438">
        <v>0</v>
      </c>
      <c r="LF438">
        <v>0</v>
      </c>
      <c r="LG438">
        <v>0</v>
      </c>
      <c r="LH438">
        <v>0</v>
      </c>
      <c r="LI438">
        <v>0</v>
      </c>
      <c r="LJ438">
        <v>0</v>
      </c>
      <c r="LK438">
        <v>0</v>
      </c>
      <c r="LL438">
        <v>0</v>
      </c>
      <c r="LM438">
        <v>0</v>
      </c>
      <c r="LN438">
        <v>0</v>
      </c>
      <c r="LO438">
        <v>0</v>
      </c>
      <c r="LP438">
        <v>0</v>
      </c>
      <c r="LQ438">
        <v>0</v>
      </c>
      <c r="LR438">
        <v>0</v>
      </c>
      <c r="LS438">
        <v>0</v>
      </c>
      <c r="LT438">
        <v>0</v>
      </c>
      <c r="LU438">
        <v>0</v>
      </c>
      <c r="LV438">
        <v>0</v>
      </c>
      <c r="LW438">
        <v>0</v>
      </c>
      <c r="LX438">
        <v>0</v>
      </c>
      <c r="LY438">
        <v>0</v>
      </c>
      <c r="LZ438">
        <v>0</v>
      </c>
      <c r="MA438">
        <v>0</v>
      </c>
      <c r="MB438">
        <v>0</v>
      </c>
      <c r="MC438">
        <v>0</v>
      </c>
      <c r="MD438">
        <v>0</v>
      </c>
      <c r="ME438">
        <v>0</v>
      </c>
      <c r="MF438">
        <v>0</v>
      </c>
      <c r="MG438">
        <v>0</v>
      </c>
      <c r="MH438">
        <v>0</v>
      </c>
      <c r="MI438">
        <v>0</v>
      </c>
      <c r="MJ438">
        <v>0</v>
      </c>
      <c r="MK438">
        <v>0</v>
      </c>
      <c r="ML438">
        <v>0</v>
      </c>
      <c r="MM438">
        <v>0</v>
      </c>
      <c r="MN438">
        <v>0</v>
      </c>
      <c r="MO438">
        <v>0</v>
      </c>
      <c r="MP438">
        <v>0</v>
      </c>
      <c r="MQ438">
        <v>0</v>
      </c>
      <c r="MR438">
        <v>0</v>
      </c>
      <c r="MS438">
        <v>0</v>
      </c>
      <c r="MT438">
        <v>0</v>
      </c>
      <c r="MU438">
        <v>0</v>
      </c>
      <c r="MV438">
        <v>0</v>
      </c>
      <c r="MW438">
        <v>0</v>
      </c>
      <c r="MX438">
        <v>0</v>
      </c>
      <c r="MY438">
        <v>0</v>
      </c>
      <c r="MZ438">
        <v>0</v>
      </c>
      <c r="NA438">
        <v>0</v>
      </c>
      <c r="NB438">
        <v>0</v>
      </c>
      <c r="NC438">
        <v>0</v>
      </c>
      <c r="ND438">
        <v>0</v>
      </c>
      <c r="NE438">
        <v>0</v>
      </c>
    </row>
    <row r="439" spans="41:369" x14ac:dyDescent="0.45">
      <c r="AO439">
        <v>0</v>
      </c>
      <c r="AP439">
        <v>0</v>
      </c>
      <c r="AQ439">
        <v>0</v>
      </c>
      <c r="AR439">
        <v>0</v>
      </c>
      <c r="AS439">
        <v>0</v>
      </c>
      <c r="AT439">
        <v>0</v>
      </c>
      <c r="AU439">
        <v>0</v>
      </c>
      <c r="AV439">
        <v>0</v>
      </c>
      <c r="AW439" t="str">
        <v/>
      </c>
      <c r="AX439">
        <v>255</v>
      </c>
      <c r="AY439" s="5" t="str">
        <v/>
      </c>
      <c r="AZ439">
        <v>0</v>
      </c>
      <c r="BA439">
        <v>0</v>
      </c>
      <c r="BB439">
        <v>0</v>
      </c>
      <c r="BC439">
        <v>0</v>
      </c>
      <c r="BD439">
        <v>0</v>
      </c>
      <c r="BE439">
        <v>0</v>
      </c>
      <c r="BF439">
        <v>0</v>
      </c>
      <c r="BG439">
        <v>0</v>
      </c>
      <c r="BH439">
        <v>0</v>
      </c>
      <c r="BI439" t="str">
        <v/>
      </c>
      <c r="BK439">
        <v>433</v>
      </c>
      <c r="BL439">
        <v>0</v>
      </c>
      <c r="BM439">
        <v>0</v>
      </c>
      <c r="BN439">
        <v>0</v>
      </c>
      <c r="BO439">
        <v>0</v>
      </c>
      <c r="BP439">
        <v>0</v>
      </c>
      <c r="BQ439">
        <v>0</v>
      </c>
      <c r="BR439">
        <v>0</v>
      </c>
      <c r="BS439">
        <v>0</v>
      </c>
      <c r="BT439">
        <v>0</v>
      </c>
      <c r="BU439">
        <v>0</v>
      </c>
      <c r="BV439">
        <v>0</v>
      </c>
      <c r="BW439">
        <v>0</v>
      </c>
      <c r="BX439">
        <v>0</v>
      </c>
      <c r="BY439">
        <v>0</v>
      </c>
      <c r="BZ439">
        <v>0</v>
      </c>
      <c r="CA439">
        <v>0</v>
      </c>
      <c r="CB439">
        <v>0</v>
      </c>
      <c r="CC439">
        <v>0</v>
      </c>
      <c r="CD439">
        <v>0</v>
      </c>
      <c r="CE439">
        <v>0</v>
      </c>
      <c r="CF439">
        <v>0</v>
      </c>
      <c r="CG439">
        <v>0</v>
      </c>
      <c r="CH439">
        <v>0</v>
      </c>
      <c r="CI439">
        <v>0</v>
      </c>
      <c r="CJ439">
        <v>0</v>
      </c>
      <c r="CK439">
        <v>0</v>
      </c>
      <c r="CL439">
        <v>0</v>
      </c>
      <c r="CM439">
        <v>0</v>
      </c>
      <c r="CN439">
        <v>0</v>
      </c>
      <c r="CO439">
        <v>0</v>
      </c>
      <c r="CP439">
        <v>0</v>
      </c>
      <c r="CQ439">
        <v>0</v>
      </c>
      <c r="CR439">
        <v>0</v>
      </c>
      <c r="CS439">
        <v>0</v>
      </c>
      <c r="CT439">
        <v>0</v>
      </c>
      <c r="CU439">
        <v>0</v>
      </c>
      <c r="CV439">
        <v>0</v>
      </c>
      <c r="CW439">
        <v>0</v>
      </c>
      <c r="CX439">
        <v>0</v>
      </c>
      <c r="CY439">
        <v>0</v>
      </c>
      <c r="CZ439">
        <v>0</v>
      </c>
      <c r="DA439">
        <v>0</v>
      </c>
      <c r="DB439">
        <v>0</v>
      </c>
      <c r="DC439">
        <v>0</v>
      </c>
      <c r="DD439">
        <v>0</v>
      </c>
      <c r="DE439">
        <v>0</v>
      </c>
      <c r="DF439">
        <v>0</v>
      </c>
      <c r="DG439">
        <v>0</v>
      </c>
      <c r="DH439">
        <v>0</v>
      </c>
      <c r="DI439">
        <v>0</v>
      </c>
      <c r="DJ439">
        <v>0</v>
      </c>
      <c r="DK439">
        <v>0</v>
      </c>
      <c r="DL439">
        <v>0</v>
      </c>
      <c r="DM439">
        <v>0</v>
      </c>
      <c r="DN439">
        <v>0</v>
      </c>
      <c r="DO439">
        <v>0</v>
      </c>
      <c r="DP439">
        <v>0</v>
      </c>
      <c r="DQ439">
        <v>0</v>
      </c>
      <c r="DR439">
        <v>0</v>
      </c>
      <c r="DS439">
        <v>0</v>
      </c>
      <c r="DT439">
        <v>0</v>
      </c>
      <c r="DU439">
        <v>0</v>
      </c>
      <c r="DV439">
        <v>0</v>
      </c>
      <c r="DW439">
        <v>0</v>
      </c>
      <c r="DX439">
        <v>0</v>
      </c>
      <c r="DY439">
        <v>0</v>
      </c>
      <c r="DZ439">
        <v>0</v>
      </c>
      <c r="EA439">
        <v>0</v>
      </c>
      <c r="EB439">
        <v>0</v>
      </c>
      <c r="EC439">
        <v>0</v>
      </c>
      <c r="ED439">
        <v>0</v>
      </c>
      <c r="EE439">
        <v>0</v>
      </c>
      <c r="EF439">
        <v>0</v>
      </c>
      <c r="EG439">
        <v>0</v>
      </c>
      <c r="EH439">
        <v>0</v>
      </c>
      <c r="EI439">
        <v>0</v>
      </c>
      <c r="EJ439">
        <v>0</v>
      </c>
      <c r="EK439">
        <v>0</v>
      </c>
      <c r="EL439">
        <v>0</v>
      </c>
      <c r="EM439">
        <v>0</v>
      </c>
      <c r="EN439">
        <v>0</v>
      </c>
      <c r="EO439">
        <v>0</v>
      </c>
      <c r="EP439">
        <v>0</v>
      </c>
      <c r="EQ439">
        <v>0</v>
      </c>
      <c r="ER439">
        <v>0</v>
      </c>
      <c r="ES439">
        <v>0</v>
      </c>
      <c r="ET439">
        <v>0</v>
      </c>
      <c r="EU439">
        <v>0</v>
      </c>
      <c r="EV439">
        <v>0</v>
      </c>
      <c r="EW439">
        <v>0</v>
      </c>
      <c r="EX439">
        <v>0</v>
      </c>
      <c r="EY439">
        <v>0</v>
      </c>
      <c r="EZ439">
        <v>0</v>
      </c>
      <c r="FA439">
        <v>0</v>
      </c>
      <c r="FB439">
        <v>0</v>
      </c>
      <c r="FC439">
        <v>0</v>
      </c>
      <c r="FD439">
        <v>0</v>
      </c>
      <c r="FE439">
        <v>0</v>
      </c>
      <c r="FF439">
        <v>0</v>
      </c>
      <c r="FG439">
        <v>0</v>
      </c>
      <c r="FH439">
        <v>0</v>
      </c>
      <c r="FI439">
        <v>0</v>
      </c>
      <c r="FJ439">
        <v>0</v>
      </c>
      <c r="FK439">
        <v>0</v>
      </c>
      <c r="FL439">
        <v>0</v>
      </c>
      <c r="FM439">
        <v>0</v>
      </c>
      <c r="FN439">
        <v>0</v>
      </c>
      <c r="FO439">
        <v>0</v>
      </c>
      <c r="FP439">
        <v>0</v>
      </c>
      <c r="FQ439">
        <v>0</v>
      </c>
      <c r="FR439">
        <v>0</v>
      </c>
      <c r="FS439">
        <v>0</v>
      </c>
      <c r="FT439">
        <v>0</v>
      </c>
      <c r="FU439">
        <v>0</v>
      </c>
      <c r="FV439">
        <v>0</v>
      </c>
      <c r="FW439">
        <v>0</v>
      </c>
      <c r="FX439">
        <v>0</v>
      </c>
      <c r="FY439">
        <v>0</v>
      </c>
      <c r="FZ439">
        <v>0</v>
      </c>
      <c r="GA439">
        <v>0</v>
      </c>
      <c r="GB439">
        <v>0</v>
      </c>
      <c r="GC439">
        <v>0</v>
      </c>
      <c r="GD439">
        <v>0</v>
      </c>
      <c r="GE439">
        <v>0</v>
      </c>
      <c r="GF439">
        <v>0</v>
      </c>
      <c r="GG439">
        <v>0</v>
      </c>
      <c r="GH439">
        <v>0</v>
      </c>
      <c r="GI439">
        <v>0</v>
      </c>
      <c r="GJ439">
        <v>0</v>
      </c>
      <c r="GK439">
        <v>0</v>
      </c>
      <c r="GL439">
        <v>0</v>
      </c>
      <c r="GM439">
        <v>0</v>
      </c>
      <c r="GN439">
        <v>0</v>
      </c>
      <c r="GO439">
        <v>0</v>
      </c>
      <c r="GP439">
        <v>0</v>
      </c>
      <c r="GQ439">
        <v>0</v>
      </c>
      <c r="GR439">
        <v>0</v>
      </c>
      <c r="GS439">
        <v>0</v>
      </c>
      <c r="GT439">
        <v>0</v>
      </c>
      <c r="GU439">
        <v>0</v>
      </c>
      <c r="GV439">
        <v>0</v>
      </c>
      <c r="GW439">
        <v>0</v>
      </c>
      <c r="GX439">
        <v>0</v>
      </c>
      <c r="GY439">
        <v>0</v>
      </c>
      <c r="GZ439">
        <v>0</v>
      </c>
      <c r="HA439">
        <v>0</v>
      </c>
      <c r="HB439">
        <v>0</v>
      </c>
      <c r="HC439">
        <v>0</v>
      </c>
      <c r="HD439">
        <v>0</v>
      </c>
      <c r="HE439">
        <v>0</v>
      </c>
      <c r="HF439">
        <v>0</v>
      </c>
      <c r="HG439">
        <v>0</v>
      </c>
      <c r="HH439">
        <v>0</v>
      </c>
      <c r="HI439">
        <v>0</v>
      </c>
      <c r="HJ439">
        <v>0</v>
      </c>
      <c r="HK439">
        <v>0</v>
      </c>
      <c r="HL439">
        <v>0</v>
      </c>
      <c r="HM439">
        <v>0</v>
      </c>
      <c r="HN439">
        <v>0</v>
      </c>
      <c r="HO439">
        <v>0</v>
      </c>
      <c r="HP439">
        <v>0</v>
      </c>
      <c r="HQ439">
        <v>0</v>
      </c>
      <c r="HR439">
        <v>0</v>
      </c>
      <c r="HS439">
        <v>0</v>
      </c>
      <c r="HT439">
        <v>0</v>
      </c>
      <c r="HU439">
        <v>0</v>
      </c>
      <c r="HV439">
        <v>0</v>
      </c>
      <c r="HW439">
        <v>0</v>
      </c>
      <c r="HX439">
        <v>0</v>
      </c>
      <c r="HY439">
        <v>0</v>
      </c>
      <c r="HZ439">
        <v>0</v>
      </c>
      <c r="IA439">
        <v>0</v>
      </c>
      <c r="IB439">
        <v>0</v>
      </c>
      <c r="IC439">
        <v>0</v>
      </c>
      <c r="ID439">
        <v>0</v>
      </c>
      <c r="IE439">
        <v>0</v>
      </c>
      <c r="IF439">
        <v>0</v>
      </c>
      <c r="IG439">
        <v>0</v>
      </c>
      <c r="IH439">
        <v>0</v>
      </c>
      <c r="II439">
        <v>0</v>
      </c>
      <c r="IJ439">
        <v>0</v>
      </c>
      <c r="IK439">
        <v>0</v>
      </c>
      <c r="IL439">
        <v>0</v>
      </c>
      <c r="IM439">
        <v>0</v>
      </c>
      <c r="IN439">
        <v>0</v>
      </c>
      <c r="IO439">
        <v>0</v>
      </c>
      <c r="IP439">
        <v>0</v>
      </c>
      <c r="IQ439">
        <v>0</v>
      </c>
      <c r="IR439">
        <v>0</v>
      </c>
      <c r="IS439">
        <v>0</v>
      </c>
      <c r="IT439">
        <v>0</v>
      </c>
      <c r="IU439">
        <v>0</v>
      </c>
      <c r="IV439">
        <v>0</v>
      </c>
      <c r="IW439">
        <v>0</v>
      </c>
      <c r="IX439">
        <v>0</v>
      </c>
      <c r="IY439">
        <v>0</v>
      </c>
      <c r="IZ439">
        <v>0</v>
      </c>
      <c r="JA439">
        <v>0</v>
      </c>
      <c r="JB439">
        <v>0</v>
      </c>
      <c r="JC439">
        <v>0</v>
      </c>
      <c r="JD439">
        <v>0</v>
      </c>
      <c r="JE439">
        <v>0</v>
      </c>
      <c r="JF439">
        <v>0</v>
      </c>
      <c r="JG439">
        <v>0</v>
      </c>
      <c r="JH439">
        <v>0</v>
      </c>
      <c r="JI439">
        <v>0</v>
      </c>
      <c r="JJ439">
        <v>0</v>
      </c>
      <c r="JK439">
        <v>0</v>
      </c>
      <c r="JL439">
        <v>0</v>
      </c>
      <c r="JM439">
        <v>0</v>
      </c>
      <c r="JN439">
        <v>0</v>
      </c>
      <c r="JO439">
        <v>0</v>
      </c>
      <c r="JP439">
        <v>0</v>
      </c>
      <c r="JQ439">
        <v>0</v>
      </c>
      <c r="JR439">
        <v>0</v>
      </c>
      <c r="JS439">
        <v>0</v>
      </c>
      <c r="JT439">
        <v>0</v>
      </c>
      <c r="JU439">
        <v>0</v>
      </c>
      <c r="JV439">
        <v>0</v>
      </c>
      <c r="JW439">
        <v>0</v>
      </c>
      <c r="JX439">
        <v>0</v>
      </c>
      <c r="JY439">
        <v>0</v>
      </c>
      <c r="JZ439">
        <v>0</v>
      </c>
      <c r="KA439">
        <v>0</v>
      </c>
      <c r="KB439">
        <v>0</v>
      </c>
      <c r="KC439">
        <v>0</v>
      </c>
      <c r="KD439">
        <v>0</v>
      </c>
      <c r="KE439">
        <v>0</v>
      </c>
      <c r="KF439">
        <v>0</v>
      </c>
      <c r="KG439">
        <v>0</v>
      </c>
      <c r="KH439">
        <v>0</v>
      </c>
      <c r="KI439">
        <v>0</v>
      </c>
      <c r="KJ439">
        <v>0</v>
      </c>
      <c r="KK439">
        <v>0</v>
      </c>
      <c r="KL439">
        <v>0</v>
      </c>
      <c r="KM439">
        <v>0</v>
      </c>
      <c r="KN439">
        <v>0</v>
      </c>
      <c r="KO439">
        <v>0</v>
      </c>
      <c r="KP439">
        <v>0</v>
      </c>
      <c r="KQ439">
        <v>0</v>
      </c>
      <c r="KR439">
        <v>0</v>
      </c>
      <c r="KS439">
        <v>0</v>
      </c>
      <c r="KT439">
        <v>0</v>
      </c>
      <c r="KU439">
        <v>0</v>
      </c>
      <c r="KV439">
        <v>0</v>
      </c>
      <c r="KW439">
        <v>0</v>
      </c>
      <c r="KX439">
        <v>0</v>
      </c>
      <c r="KY439">
        <v>0</v>
      </c>
      <c r="KZ439">
        <v>0</v>
      </c>
      <c r="LA439">
        <v>0</v>
      </c>
      <c r="LB439">
        <v>0</v>
      </c>
      <c r="LC439">
        <v>0</v>
      </c>
      <c r="LD439">
        <v>0</v>
      </c>
      <c r="LE439">
        <v>0</v>
      </c>
      <c r="LF439">
        <v>0</v>
      </c>
      <c r="LG439">
        <v>0</v>
      </c>
      <c r="LH439">
        <v>0</v>
      </c>
      <c r="LI439">
        <v>0</v>
      </c>
      <c r="LJ439">
        <v>0</v>
      </c>
      <c r="LK439">
        <v>0</v>
      </c>
      <c r="LL439">
        <v>0</v>
      </c>
      <c r="LM439">
        <v>0</v>
      </c>
      <c r="LN439">
        <v>0</v>
      </c>
      <c r="LO439">
        <v>0</v>
      </c>
      <c r="LP439">
        <v>0</v>
      </c>
      <c r="LQ439">
        <v>0</v>
      </c>
      <c r="LR439">
        <v>0</v>
      </c>
      <c r="LS439">
        <v>0</v>
      </c>
      <c r="LT439">
        <v>0</v>
      </c>
      <c r="LU439">
        <v>0</v>
      </c>
      <c r="LV439">
        <v>0</v>
      </c>
      <c r="LW439">
        <v>0</v>
      </c>
      <c r="LX439">
        <v>0</v>
      </c>
      <c r="LY439">
        <v>0</v>
      </c>
      <c r="LZ439">
        <v>0</v>
      </c>
      <c r="MA439">
        <v>0</v>
      </c>
      <c r="MB439">
        <v>0</v>
      </c>
      <c r="MC439">
        <v>0</v>
      </c>
      <c r="MD439">
        <v>0</v>
      </c>
      <c r="ME439">
        <v>0</v>
      </c>
      <c r="MF439">
        <v>0</v>
      </c>
      <c r="MG439">
        <v>0</v>
      </c>
      <c r="MH439">
        <v>0</v>
      </c>
      <c r="MI439">
        <v>0</v>
      </c>
      <c r="MJ439">
        <v>0</v>
      </c>
      <c r="MK439">
        <v>0</v>
      </c>
      <c r="ML439">
        <v>0</v>
      </c>
      <c r="MM439">
        <v>0</v>
      </c>
      <c r="MN439">
        <v>0</v>
      </c>
      <c r="MO439">
        <v>0</v>
      </c>
      <c r="MP439">
        <v>0</v>
      </c>
      <c r="MQ439">
        <v>0</v>
      </c>
      <c r="MR439">
        <v>0</v>
      </c>
      <c r="MS439">
        <v>0</v>
      </c>
      <c r="MT439">
        <v>0</v>
      </c>
      <c r="MU439">
        <v>0</v>
      </c>
      <c r="MV439">
        <v>0</v>
      </c>
      <c r="MW439">
        <v>0</v>
      </c>
      <c r="MX439">
        <v>0</v>
      </c>
      <c r="MY439">
        <v>0</v>
      </c>
      <c r="MZ439">
        <v>0</v>
      </c>
      <c r="NA439">
        <v>0</v>
      </c>
      <c r="NB439">
        <v>0</v>
      </c>
      <c r="NC439">
        <v>0</v>
      </c>
      <c r="ND439">
        <v>0</v>
      </c>
      <c r="NE439">
        <v>0</v>
      </c>
    </row>
    <row r="440" spans="41:369" x14ac:dyDescent="0.45">
      <c r="AO440">
        <v>0</v>
      </c>
      <c r="AP440">
        <v>0</v>
      </c>
      <c r="AQ440">
        <v>0</v>
      </c>
      <c r="AR440">
        <v>0</v>
      </c>
      <c r="AS440">
        <v>0</v>
      </c>
      <c r="AT440">
        <v>0</v>
      </c>
      <c r="AU440">
        <v>0</v>
      </c>
      <c r="AV440">
        <v>0</v>
      </c>
      <c r="AW440" t="str">
        <v/>
      </c>
      <c r="AX440">
        <v>255</v>
      </c>
      <c r="AY440" s="5" t="str">
        <v/>
      </c>
      <c r="AZ440">
        <v>0</v>
      </c>
      <c r="BA440">
        <v>0</v>
      </c>
      <c r="BB440">
        <v>0</v>
      </c>
      <c r="BC440">
        <v>0</v>
      </c>
      <c r="BD440">
        <v>0</v>
      </c>
      <c r="BE440">
        <v>0</v>
      </c>
      <c r="BF440">
        <v>0</v>
      </c>
      <c r="BG440">
        <v>0</v>
      </c>
      <c r="BH440">
        <v>0</v>
      </c>
      <c r="BI440" t="str">
        <v/>
      </c>
      <c r="BK440">
        <v>434</v>
      </c>
      <c r="BL440">
        <v>0</v>
      </c>
      <c r="BM440">
        <v>0</v>
      </c>
      <c r="BN440">
        <v>0</v>
      </c>
      <c r="BO440">
        <v>0</v>
      </c>
      <c r="BP440">
        <v>0</v>
      </c>
      <c r="BQ440">
        <v>0</v>
      </c>
      <c r="BR440">
        <v>0</v>
      </c>
      <c r="BS440">
        <v>0</v>
      </c>
      <c r="BT440">
        <v>0</v>
      </c>
      <c r="BU440">
        <v>0</v>
      </c>
      <c r="BV440">
        <v>0</v>
      </c>
      <c r="BW440">
        <v>0</v>
      </c>
      <c r="BX440">
        <v>0</v>
      </c>
      <c r="BY440">
        <v>0</v>
      </c>
      <c r="BZ440">
        <v>0</v>
      </c>
      <c r="CA440">
        <v>0</v>
      </c>
      <c r="CB440">
        <v>0</v>
      </c>
      <c r="CC440">
        <v>0</v>
      </c>
      <c r="CD440">
        <v>0</v>
      </c>
      <c r="CE440">
        <v>0</v>
      </c>
      <c r="CF440">
        <v>0</v>
      </c>
      <c r="CG440">
        <v>0</v>
      </c>
      <c r="CH440">
        <v>0</v>
      </c>
      <c r="CI440">
        <v>0</v>
      </c>
      <c r="CJ440">
        <v>0</v>
      </c>
      <c r="CK440">
        <v>0</v>
      </c>
      <c r="CL440">
        <v>0</v>
      </c>
      <c r="CM440">
        <v>0</v>
      </c>
      <c r="CN440">
        <v>0</v>
      </c>
      <c r="CO440">
        <v>0</v>
      </c>
      <c r="CP440">
        <v>0</v>
      </c>
      <c r="CQ440">
        <v>0</v>
      </c>
      <c r="CR440">
        <v>0</v>
      </c>
      <c r="CS440">
        <v>0</v>
      </c>
      <c r="CT440">
        <v>0</v>
      </c>
      <c r="CU440">
        <v>0</v>
      </c>
      <c r="CV440">
        <v>0</v>
      </c>
      <c r="CW440">
        <v>0</v>
      </c>
      <c r="CX440">
        <v>0</v>
      </c>
      <c r="CY440">
        <v>0</v>
      </c>
      <c r="CZ440">
        <v>0</v>
      </c>
      <c r="DA440">
        <v>0</v>
      </c>
      <c r="DB440">
        <v>0</v>
      </c>
      <c r="DC440">
        <v>0</v>
      </c>
      <c r="DD440">
        <v>0</v>
      </c>
      <c r="DE440">
        <v>0</v>
      </c>
      <c r="DF440">
        <v>0</v>
      </c>
      <c r="DG440">
        <v>0</v>
      </c>
      <c r="DH440">
        <v>0</v>
      </c>
      <c r="DI440">
        <v>0</v>
      </c>
      <c r="DJ440">
        <v>0</v>
      </c>
      <c r="DK440">
        <v>0</v>
      </c>
      <c r="DL440">
        <v>0</v>
      </c>
      <c r="DM440">
        <v>0</v>
      </c>
      <c r="DN440">
        <v>0</v>
      </c>
      <c r="DO440">
        <v>0</v>
      </c>
      <c r="DP440">
        <v>0</v>
      </c>
      <c r="DQ440">
        <v>0</v>
      </c>
      <c r="DR440">
        <v>0</v>
      </c>
      <c r="DS440">
        <v>0</v>
      </c>
      <c r="DT440">
        <v>0</v>
      </c>
      <c r="DU440">
        <v>0</v>
      </c>
      <c r="DV440">
        <v>0</v>
      </c>
      <c r="DW440">
        <v>0</v>
      </c>
      <c r="DX440">
        <v>0</v>
      </c>
      <c r="DY440">
        <v>0</v>
      </c>
      <c r="DZ440">
        <v>0</v>
      </c>
      <c r="EA440">
        <v>0</v>
      </c>
      <c r="EB440">
        <v>0</v>
      </c>
      <c r="EC440">
        <v>0</v>
      </c>
      <c r="ED440">
        <v>0</v>
      </c>
      <c r="EE440">
        <v>0</v>
      </c>
      <c r="EF440">
        <v>0</v>
      </c>
      <c r="EG440">
        <v>0</v>
      </c>
      <c r="EH440">
        <v>0</v>
      </c>
      <c r="EI440">
        <v>0</v>
      </c>
      <c r="EJ440">
        <v>0</v>
      </c>
      <c r="EK440">
        <v>0</v>
      </c>
      <c r="EL440">
        <v>0</v>
      </c>
      <c r="EM440">
        <v>0</v>
      </c>
      <c r="EN440">
        <v>0</v>
      </c>
      <c r="EO440">
        <v>0</v>
      </c>
      <c r="EP440">
        <v>0</v>
      </c>
      <c r="EQ440">
        <v>0</v>
      </c>
      <c r="ER440">
        <v>0</v>
      </c>
      <c r="ES440">
        <v>0</v>
      </c>
      <c r="ET440">
        <v>0</v>
      </c>
      <c r="EU440">
        <v>0</v>
      </c>
      <c r="EV440">
        <v>0</v>
      </c>
      <c r="EW440">
        <v>0</v>
      </c>
      <c r="EX440">
        <v>0</v>
      </c>
      <c r="EY440">
        <v>0</v>
      </c>
      <c r="EZ440">
        <v>0</v>
      </c>
      <c r="FA440">
        <v>0</v>
      </c>
      <c r="FB440">
        <v>0</v>
      </c>
      <c r="FC440">
        <v>0</v>
      </c>
      <c r="FD440">
        <v>0</v>
      </c>
      <c r="FE440">
        <v>0</v>
      </c>
      <c r="FF440">
        <v>0</v>
      </c>
      <c r="FG440">
        <v>0</v>
      </c>
      <c r="FH440">
        <v>0</v>
      </c>
      <c r="FI440">
        <v>0</v>
      </c>
      <c r="FJ440">
        <v>0</v>
      </c>
      <c r="FK440">
        <v>0</v>
      </c>
      <c r="FL440">
        <v>0</v>
      </c>
      <c r="FM440">
        <v>0</v>
      </c>
      <c r="FN440">
        <v>0</v>
      </c>
      <c r="FO440">
        <v>0</v>
      </c>
      <c r="FP440">
        <v>0</v>
      </c>
      <c r="FQ440">
        <v>0</v>
      </c>
      <c r="FR440">
        <v>0</v>
      </c>
      <c r="FS440">
        <v>0</v>
      </c>
      <c r="FT440">
        <v>0</v>
      </c>
      <c r="FU440">
        <v>0</v>
      </c>
      <c r="FV440">
        <v>0</v>
      </c>
      <c r="FW440">
        <v>0</v>
      </c>
      <c r="FX440">
        <v>0</v>
      </c>
      <c r="FY440">
        <v>0</v>
      </c>
      <c r="FZ440">
        <v>0</v>
      </c>
      <c r="GA440">
        <v>0</v>
      </c>
      <c r="GB440">
        <v>0</v>
      </c>
      <c r="GC440">
        <v>0</v>
      </c>
      <c r="GD440">
        <v>0</v>
      </c>
      <c r="GE440">
        <v>0</v>
      </c>
      <c r="GF440">
        <v>0</v>
      </c>
      <c r="GG440">
        <v>0</v>
      </c>
      <c r="GH440">
        <v>0</v>
      </c>
      <c r="GI440">
        <v>0</v>
      </c>
      <c r="GJ440">
        <v>0</v>
      </c>
      <c r="GK440">
        <v>0</v>
      </c>
      <c r="GL440">
        <v>0</v>
      </c>
      <c r="GM440">
        <v>0</v>
      </c>
      <c r="GN440">
        <v>0</v>
      </c>
      <c r="GO440">
        <v>0</v>
      </c>
      <c r="GP440">
        <v>0</v>
      </c>
      <c r="GQ440">
        <v>0</v>
      </c>
      <c r="GR440">
        <v>0</v>
      </c>
      <c r="GS440">
        <v>0</v>
      </c>
      <c r="GT440">
        <v>0</v>
      </c>
      <c r="GU440">
        <v>0</v>
      </c>
      <c r="GV440">
        <v>0</v>
      </c>
      <c r="GW440">
        <v>0</v>
      </c>
      <c r="GX440">
        <v>0</v>
      </c>
      <c r="GY440">
        <v>0</v>
      </c>
      <c r="GZ440">
        <v>0</v>
      </c>
      <c r="HA440">
        <v>0</v>
      </c>
      <c r="HB440">
        <v>0</v>
      </c>
      <c r="HC440">
        <v>0</v>
      </c>
      <c r="HD440">
        <v>0</v>
      </c>
      <c r="HE440">
        <v>0</v>
      </c>
      <c r="HF440">
        <v>0</v>
      </c>
      <c r="HG440">
        <v>0</v>
      </c>
      <c r="HH440">
        <v>0</v>
      </c>
      <c r="HI440">
        <v>0</v>
      </c>
      <c r="HJ440">
        <v>0</v>
      </c>
      <c r="HK440">
        <v>0</v>
      </c>
      <c r="HL440">
        <v>0</v>
      </c>
      <c r="HM440">
        <v>0</v>
      </c>
      <c r="HN440">
        <v>0</v>
      </c>
      <c r="HO440">
        <v>0</v>
      </c>
      <c r="HP440">
        <v>0</v>
      </c>
      <c r="HQ440">
        <v>0</v>
      </c>
      <c r="HR440">
        <v>0</v>
      </c>
      <c r="HS440">
        <v>0</v>
      </c>
      <c r="HT440">
        <v>0</v>
      </c>
      <c r="HU440">
        <v>0</v>
      </c>
      <c r="HV440">
        <v>0</v>
      </c>
      <c r="HW440">
        <v>0</v>
      </c>
      <c r="HX440">
        <v>0</v>
      </c>
      <c r="HY440">
        <v>0</v>
      </c>
      <c r="HZ440">
        <v>0</v>
      </c>
      <c r="IA440">
        <v>0</v>
      </c>
      <c r="IB440">
        <v>0</v>
      </c>
      <c r="IC440">
        <v>0</v>
      </c>
      <c r="ID440">
        <v>0</v>
      </c>
      <c r="IE440">
        <v>0</v>
      </c>
      <c r="IF440">
        <v>0</v>
      </c>
      <c r="IG440">
        <v>0</v>
      </c>
      <c r="IH440">
        <v>0</v>
      </c>
      <c r="II440">
        <v>0</v>
      </c>
      <c r="IJ440">
        <v>0</v>
      </c>
      <c r="IK440">
        <v>0</v>
      </c>
      <c r="IL440">
        <v>0</v>
      </c>
      <c r="IM440">
        <v>0</v>
      </c>
      <c r="IN440">
        <v>0</v>
      </c>
      <c r="IO440">
        <v>0</v>
      </c>
      <c r="IP440">
        <v>0</v>
      </c>
      <c r="IQ440">
        <v>0</v>
      </c>
      <c r="IR440">
        <v>0</v>
      </c>
      <c r="IS440">
        <v>0</v>
      </c>
      <c r="IT440">
        <v>0</v>
      </c>
      <c r="IU440">
        <v>0</v>
      </c>
      <c r="IV440">
        <v>0</v>
      </c>
      <c r="IW440">
        <v>0</v>
      </c>
      <c r="IX440">
        <v>0</v>
      </c>
      <c r="IY440">
        <v>0</v>
      </c>
      <c r="IZ440">
        <v>0</v>
      </c>
      <c r="JA440">
        <v>0</v>
      </c>
      <c r="JB440">
        <v>0</v>
      </c>
      <c r="JC440">
        <v>0</v>
      </c>
      <c r="JD440">
        <v>0</v>
      </c>
      <c r="JE440">
        <v>0</v>
      </c>
      <c r="JF440">
        <v>0</v>
      </c>
      <c r="JG440">
        <v>0</v>
      </c>
      <c r="JH440">
        <v>0</v>
      </c>
      <c r="JI440">
        <v>0</v>
      </c>
      <c r="JJ440">
        <v>0</v>
      </c>
      <c r="JK440">
        <v>0</v>
      </c>
      <c r="JL440">
        <v>0</v>
      </c>
      <c r="JM440">
        <v>0</v>
      </c>
      <c r="JN440">
        <v>0</v>
      </c>
      <c r="JO440">
        <v>0</v>
      </c>
      <c r="JP440">
        <v>0</v>
      </c>
      <c r="JQ440">
        <v>0</v>
      </c>
      <c r="JR440">
        <v>0</v>
      </c>
      <c r="JS440">
        <v>0</v>
      </c>
      <c r="JT440">
        <v>0</v>
      </c>
      <c r="JU440">
        <v>0</v>
      </c>
      <c r="JV440">
        <v>0</v>
      </c>
      <c r="JW440">
        <v>0</v>
      </c>
      <c r="JX440">
        <v>0</v>
      </c>
      <c r="JY440">
        <v>0</v>
      </c>
      <c r="JZ440">
        <v>0</v>
      </c>
      <c r="KA440">
        <v>0</v>
      </c>
      <c r="KB440">
        <v>0</v>
      </c>
      <c r="KC440">
        <v>0</v>
      </c>
      <c r="KD440">
        <v>0</v>
      </c>
      <c r="KE440">
        <v>0</v>
      </c>
      <c r="KF440">
        <v>0</v>
      </c>
      <c r="KG440">
        <v>0</v>
      </c>
      <c r="KH440">
        <v>0</v>
      </c>
      <c r="KI440">
        <v>0</v>
      </c>
      <c r="KJ440">
        <v>0</v>
      </c>
      <c r="KK440">
        <v>0</v>
      </c>
      <c r="KL440">
        <v>0</v>
      </c>
      <c r="KM440">
        <v>0</v>
      </c>
      <c r="KN440">
        <v>0</v>
      </c>
      <c r="KO440">
        <v>0</v>
      </c>
      <c r="KP440">
        <v>0</v>
      </c>
      <c r="KQ440">
        <v>0</v>
      </c>
      <c r="KR440">
        <v>0</v>
      </c>
      <c r="KS440">
        <v>0</v>
      </c>
      <c r="KT440">
        <v>0</v>
      </c>
      <c r="KU440">
        <v>0</v>
      </c>
      <c r="KV440">
        <v>0</v>
      </c>
      <c r="KW440">
        <v>0</v>
      </c>
      <c r="KX440">
        <v>0</v>
      </c>
      <c r="KY440">
        <v>0</v>
      </c>
      <c r="KZ440">
        <v>0</v>
      </c>
      <c r="LA440">
        <v>0</v>
      </c>
      <c r="LB440">
        <v>0</v>
      </c>
      <c r="LC440">
        <v>0</v>
      </c>
      <c r="LD440">
        <v>0</v>
      </c>
      <c r="LE440">
        <v>0</v>
      </c>
      <c r="LF440">
        <v>0</v>
      </c>
      <c r="LG440">
        <v>0</v>
      </c>
      <c r="LH440">
        <v>0</v>
      </c>
      <c r="LI440">
        <v>0</v>
      </c>
      <c r="LJ440">
        <v>0</v>
      </c>
      <c r="LK440">
        <v>0</v>
      </c>
      <c r="LL440">
        <v>0</v>
      </c>
      <c r="LM440">
        <v>0</v>
      </c>
      <c r="LN440">
        <v>0</v>
      </c>
      <c r="LO440">
        <v>0</v>
      </c>
      <c r="LP440">
        <v>0</v>
      </c>
      <c r="LQ440">
        <v>0</v>
      </c>
      <c r="LR440">
        <v>0</v>
      </c>
      <c r="LS440">
        <v>0</v>
      </c>
      <c r="LT440">
        <v>0</v>
      </c>
      <c r="LU440">
        <v>0</v>
      </c>
      <c r="LV440">
        <v>0</v>
      </c>
      <c r="LW440">
        <v>0</v>
      </c>
      <c r="LX440">
        <v>0</v>
      </c>
      <c r="LY440">
        <v>0</v>
      </c>
      <c r="LZ440">
        <v>0</v>
      </c>
      <c r="MA440">
        <v>0</v>
      </c>
      <c r="MB440">
        <v>0</v>
      </c>
      <c r="MC440">
        <v>0</v>
      </c>
      <c r="MD440">
        <v>0</v>
      </c>
      <c r="ME440">
        <v>0</v>
      </c>
      <c r="MF440">
        <v>0</v>
      </c>
      <c r="MG440">
        <v>0</v>
      </c>
      <c r="MH440">
        <v>0</v>
      </c>
      <c r="MI440">
        <v>0</v>
      </c>
      <c r="MJ440">
        <v>0</v>
      </c>
      <c r="MK440">
        <v>0</v>
      </c>
      <c r="ML440">
        <v>0</v>
      </c>
      <c r="MM440">
        <v>0</v>
      </c>
      <c r="MN440">
        <v>0</v>
      </c>
      <c r="MO440">
        <v>0</v>
      </c>
      <c r="MP440">
        <v>0</v>
      </c>
      <c r="MQ440">
        <v>0</v>
      </c>
      <c r="MR440">
        <v>0</v>
      </c>
      <c r="MS440">
        <v>0</v>
      </c>
      <c r="MT440">
        <v>0</v>
      </c>
      <c r="MU440">
        <v>0</v>
      </c>
      <c r="MV440">
        <v>0</v>
      </c>
      <c r="MW440">
        <v>0</v>
      </c>
      <c r="MX440">
        <v>0</v>
      </c>
      <c r="MY440">
        <v>0</v>
      </c>
      <c r="MZ440">
        <v>0</v>
      </c>
      <c r="NA440">
        <v>0</v>
      </c>
      <c r="NB440">
        <v>0</v>
      </c>
      <c r="NC440">
        <v>0</v>
      </c>
      <c r="ND440">
        <v>0</v>
      </c>
      <c r="NE440">
        <v>0</v>
      </c>
    </row>
    <row r="441" spans="41:369" x14ac:dyDescent="0.45">
      <c r="AO441">
        <v>0</v>
      </c>
      <c r="AP441">
        <v>0</v>
      </c>
      <c r="AQ441">
        <v>0</v>
      </c>
      <c r="AR441">
        <v>0</v>
      </c>
      <c r="AS441">
        <v>0</v>
      </c>
      <c r="AT441">
        <v>0</v>
      </c>
      <c r="AU441">
        <v>0</v>
      </c>
      <c r="AV441">
        <v>0</v>
      </c>
      <c r="AW441" t="str">
        <v/>
      </c>
      <c r="AX441">
        <v>255</v>
      </c>
      <c r="AY441" s="5" t="str">
        <v/>
      </c>
      <c r="AZ441">
        <v>0</v>
      </c>
      <c r="BA441">
        <v>0</v>
      </c>
      <c r="BB441">
        <v>0</v>
      </c>
      <c r="BC441">
        <v>0</v>
      </c>
      <c r="BD441">
        <v>0</v>
      </c>
      <c r="BE441">
        <v>0</v>
      </c>
      <c r="BF441">
        <v>0</v>
      </c>
      <c r="BG441">
        <v>0</v>
      </c>
      <c r="BH441">
        <v>0</v>
      </c>
      <c r="BI441" t="str">
        <v/>
      </c>
      <c r="BK441">
        <v>435</v>
      </c>
      <c r="BL441">
        <v>0</v>
      </c>
      <c r="BM441">
        <v>0</v>
      </c>
      <c r="BN441">
        <v>0</v>
      </c>
      <c r="BO441">
        <v>0</v>
      </c>
      <c r="BP441">
        <v>0</v>
      </c>
      <c r="BQ441">
        <v>0</v>
      </c>
      <c r="BR441">
        <v>0</v>
      </c>
      <c r="BS441">
        <v>0</v>
      </c>
      <c r="BT441">
        <v>0</v>
      </c>
      <c r="BU441">
        <v>0</v>
      </c>
      <c r="BV441">
        <v>0</v>
      </c>
      <c r="BW441">
        <v>0</v>
      </c>
      <c r="BX441">
        <v>0</v>
      </c>
      <c r="BY441">
        <v>0</v>
      </c>
      <c r="BZ441">
        <v>0</v>
      </c>
      <c r="CA441">
        <v>0</v>
      </c>
      <c r="CB441">
        <v>0</v>
      </c>
      <c r="CC441">
        <v>0</v>
      </c>
      <c r="CD441">
        <v>0</v>
      </c>
      <c r="CE441">
        <v>0</v>
      </c>
      <c r="CF441">
        <v>0</v>
      </c>
      <c r="CG441">
        <v>0</v>
      </c>
      <c r="CH441">
        <v>0</v>
      </c>
      <c r="CI441">
        <v>0</v>
      </c>
      <c r="CJ441">
        <v>0</v>
      </c>
      <c r="CK441">
        <v>0</v>
      </c>
      <c r="CL441">
        <v>0</v>
      </c>
      <c r="CM441">
        <v>0</v>
      </c>
      <c r="CN441">
        <v>0</v>
      </c>
      <c r="CO441">
        <v>0</v>
      </c>
      <c r="CP441">
        <v>0</v>
      </c>
      <c r="CQ441">
        <v>0</v>
      </c>
      <c r="CR441">
        <v>0</v>
      </c>
      <c r="CS441">
        <v>0</v>
      </c>
      <c r="CT441">
        <v>0</v>
      </c>
      <c r="CU441">
        <v>0</v>
      </c>
      <c r="CV441">
        <v>0</v>
      </c>
      <c r="CW441">
        <v>0</v>
      </c>
      <c r="CX441">
        <v>0</v>
      </c>
      <c r="CY441">
        <v>0</v>
      </c>
      <c r="CZ441">
        <v>0</v>
      </c>
      <c r="DA441">
        <v>0</v>
      </c>
      <c r="DB441">
        <v>0</v>
      </c>
      <c r="DC441">
        <v>0</v>
      </c>
      <c r="DD441">
        <v>0</v>
      </c>
      <c r="DE441">
        <v>0</v>
      </c>
      <c r="DF441">
        <v>0</v>
      </c>
      <c r="DG441">
        <v>0</v>
      </c>
      <c r="DH441">
        <v>0</v>
      </c>
      <c r="DI441">
        <v>0</v>
      </c>
      <c r="DJ441">
        <v>0</v>
      </c>
      <c r="DK441">
        <v>0</v>
      </c>
      <c r="DL441">
        <v>0</v>
      </c>
      <c r="DM441">
        <v>0</v>
      </c>
      <c r="DN441">
        <v>0</v>
      </c>
      <c r="DO441">
        <v>0</v>
      </c>
      <c r="DP441">
        <v>0</v>
      </c>
      <c r="DQ441">
        <v>0</v>
      </c>
      <c r="DR441">
        <v>0</v>
      </c>
      <c r="DS441">
        <v>0</v>
      </c>
      <c r="DT441">
        <v>0</v>
      </c>
      <c r="DU441">
        <v>0</v>
      </c>
      <c r="DV441">
        <v>0</v>
      </c>
      <c r="DW441">
        <v>0</v>
      </c>
      <c r="DX441">
        <v>0</v>
      </c>
      <c r="DY441">
        <v>0</v>
      </c>
      <c r="DZ441">
        <v>0</v>
      </c>
      <c r="EA441">
        <v>0</v>
      </c>
      <c r="EB441">
        <v>0</v>
      </c>
      <c r="EC441">
        <v>0</v>
      </c>
      <c r="ED441">
        <v>0</v>
      </c>
      <c r="EE441">
        <v>0</v>
      </c>
      <c r="EF441">
        <v>0</v>
      </c>
      <c r="EG441">
        <v>0</v>
      </c>
      <c r="EH441">
        <v>0</v>
      </c>
      <c r="EI441">
        <v>0</v>
      </c>
      <c r="EJ441">
        <v>0</v>
      </c>
      <c r="EK441">
        <v>0</v>
      </c>
      <c r="EL441">
        <v>0</v>
      </c>
      <c r="EM441">
        <v>0</v>
      </c>
      <c r="EN441">
        <v>0</v>
      </c>
      <c r="EO441">
        <v>0</v>
      </c>
      <c r="EP441">
        <v>0</v>
      </c>
      <c r="EQ441">
        <v>0</v>
      </c>
      <c r="ER441">
        <v>0</v>
      </c>
      <c r="ES441">
        <v>0</v>
      </c>
      <c r="ET441">
        <v>0</v>
      </c>
      <c r="EU441">
        <v>0</v>
      </c>
      <c r="EV441">
        <v>0</v>
      </c>
      <c r="EW441">
        <v>0</v>
      </c>
      <c r="EX441">
        <v>0</v>
      </c>
      <c r="EY441">
        <v>0</v>
      </c>
      <c r="EZ441">
        <v>0</v>
      </c>
      <c r="FA441">
        <v>0</v>
      </c>
      <c r="FB441">
        <v>0</v>
      </c>
      <c r="FC441">
        <v>0</v>
      </c>
      <c r="FD441">
        <v>0</v>
      </c>
      <c r="FE441">
        <v>0</v>
      </c>
      <c r="FF441">
        <v>0</v>
      </c>
      <c r="FG441">
        <v>0</v>
      </c>
      <c r="FH441">
        <v>0</v>
      </c>
      <c r="FI441">
        <v>0</v>
      </c>
      <c r="FJ441">
        <v>0</v>
      </c>
      <c r="FK441">
        <v>0</v>
      </c>
      <c r="FL441">
        <v>0</v>
      </c>
      <c r="FM441">
        <v>0</v>
      </c>
      <c r="FN441">
        <v>0</v>
      </c>
      <c r="FO441">
        <v>0</v>
      </c>
      <c r="FP441">
        <v>0</v>
      </c>
      <c r="FQ441">
        <v>0</v>
      </c>
      <c r="FR441">
        <v>0</v>
      </c>
      <c r="FS441">
        <v>0</v>
      </c>
      <c r="FT441">
        <v>0</v>
      </c>
      <c r="FU441">
        <v>0</v>
      </c>
      <c r="FV441">
        <v>0</v>
      </c>
      <c r="FW441">
        <v>0</v>
      </c>
      <c r="FX441">
        <v>0</v>
      </c>
      <c r="FY441">
        <v>0</v>
      </c>
      <c r="FZ441">
        <v>0</v>
      </c>
      <c r="GA441">
        <v>0</v>
      </c>
      <c r="GB441">
        <v>0</v>
      </c>
      <c r="GC441">
        <v>0</v>
      </c>
      <c r="GD441">
        <v>0</v>
      </c>
      <c r="GE441">
        <v>0</v>
      </c>
      <c r="GF441">
        <v>0</v>
      </c>
      <c r="GG441">
        <v>0</v>
      </c>
      <c r="GH441">
        <v>0</v>
      </c>
      <c r="GI441">
        <v>0</v>
      </c>
      <c r="GJ441">
        <v>0</v>
      </c>
      <c r="GK441">
        <v>0</v>
      </c>
      <c r="GL441">
        <v>0</v>
      </c>
      <c r="GM441">
        <v>0</v>
      </c>
      <c r="GN441">
        <v>0</v>
      </c>
      <c r="GO441">
        <v>0</v>
      </c>
      <c r="GP441">
        <v>0</v>
      </c>
      <c r="GQ441">
        <v>0</v>
      </c>
      <c r="GR441">
        <v>0</v>
      </c>
      <c r="GS441">
        <v>0</v>
      </c>
      <c r="GT441">
        <v>0</v>
      </c>
      <c r="GU441">
        <v>0</v>
      </c>
      <c r="GV441">
        <v>0</v>
      </c>
      <c r="GW441">
        <v>0</v>
      </c>
      <c r="GX441">
        <v>0</v>
      </c>
      <c r="GY441">
        <v>0</v>
      </c>
      <c r="GZ441">
        <v>0</v>
      </c>
      <c r="HA441">
        <v>0</v>
      </c>
      <c r="HB441">
        <v>0</v>
      </c>
      <c r="HC441">
        <v>0</v>
      </c>
      <c r="HD441">
        <v>0</v>
      </c>
      <c r="HE441">
        <v>0</v>
      </c>
      <c r="HF441">
        <v>0</v>
      </c>
      <c r="HG441">
        <v>0</v>
      </c>
      <c r="HH441">
        <v>0</v>
      </c>
      <c r="HI441">
        <v>0</v>
      </c>
      <c r="HJ441">
        <v>0</v>
      </c>
      <c r="HK441">
        <v>0</v>
      </c>
      <c r="HL441">
        <v>0</v>
      </c>
      <c r="HM441">
        <v>0</v>
      </c>
      <c r="HN441">
        <v>0</v>
      </c>
      <c r="HO441">
        <v>0</v>
      </c>
      <c r="HP441">
        <v>0</v>
      </c>
      <c r="HQ441">
        <v>0</v>
      </c>
      <c r="HR441">
        <v>0</v>
      </c>
      <c r="HS441">
        <v>0</v>
      </c>
      <c r="HT441">
        <v>0</v>
      </c>
      <c r="HU441">
        <v>0</v>
      </c>
      <c r="HV441">
        <v>0</v>
      </c>
      <c r="HW441">
        <v>0</v>
      </c>
      <c r="HX441">
        <v>0</v>
      </c>
      <c r="HY441">
        <v>0</v>
      </c>
      <c r="HZ441">
        <v>0</v>
      </c>
      <c r="IA441">
        <v>0</v>
      </c>
      <c r="IB441">
        <v>0</v>
      </c>
      <c r="IC441">
        <v>0</v>
      </c>
      <c r="ID441">
        <v>0</v>
      </c>
      <c r="IE441">
        <v>0</v>
      </c>
      <c r="IF441">
        <v>0</v>
      </c>
      <c r="IG441">
        <v>0</v>
      </c>
      <c r="IH441">
        <v>0</v>
      </c>
      <c r="II441">
        <v>0</v>
      </c>
      <c r="IJ441">
        <v>0</v>
      </c>
      <c r="IK441">
        <v>0</v>
      </c>
      <c r="IL441">
        <v>0</v>
      </c>
      <c r="IM441">
        <v>0</v>
      </c>
      <c r="IN441">
        <v>0</v>
      </c>
      <c r="IO441">
        <v>0</v>
      </c>
      <c r="IP441">
        <v>0</v>
      </c>
      <c r="IQ441">
        <v>0</v>
      </c>
      <c r="IR441">
        <v>0</v>
      </c>
      <c r="IS441">
        <v>0</v>
      </c>
      <c r="IT441">
        <v>0</v>
      </c>
      <c r="IU441">
        <v>0</v>
      </c>
      <c r="IV441">
        <v>0</v>
      </c>
      <c r="IW441">
        <v>0</v>
      </c>
      <c r="IX441">
        <v>0</v>
      </c>
      <c r="IY441">
        <v>0</v>
      </c>
      <c r="IZ441">
        <v>0</v>
      </c>
      <c r="JA441">
        <v>0</v>
      </c>
      <c r="JB441">
        <v>0</v>
      </c>
      <c r="JC441">
        <v>0</v>
      </c>
      <c r="JD441">
        <v>0</v>
      </c>
      <c r="JE441">
        <v>0</v>
      </c>
      <c r="JF441">
        <v>0</v>
      </c>
      <c r="JG441">
        <v>0</v>
      </c>
      <c r="JH441">
        <v>0</v>
      </c>
      <c r="JI441">
        <v>0</v>
      </c>
      <c r="JJ441">
        <v>0</v>
      </c>
      <c r="JK441">
        <v>0</v>
      </c>
      <c r="JL441">
        <v>0</v>
      </c>
      <c r="JM441">
        <v>0</v>
      </c>
      <c r="JN441">
        <v>0</v>
      </c>
      <c r="JO441">
        <v>0</v>
      </c>
      <c r="JP441">
        <v>0</v>
      </c>
      <c r="JQ441">
        <v>0</v>
      </c>
      <c r="JR441">
        <v>0</v>
      </c>
      <c r="JS441">
        <v>0</v>
      </c>
      <c r="JT441">
        <v>0</v>
      </c>
      <c r="JU441">
        <v>0</v>
      </c>
      <c r="JV441">
        <v>0</v>
      </c>
      <c r="JW441">
        <v>0</v>
      </c>
      <c r="JX441">
        <v>0</v>
      </c>
      <c r="JY441">
        <v>0</v>
      </c>
      <c r="JZ441">
        <v>0</v>
      </c>
      <c r="KA441">
        <v>0</v>
      </c>
      <c r="KB441">
        <v>0</v>
      </c>
      <c r="KC441">
        <v>0</v>
      </c>
      <c r="KD441">
        <v>0</v>
      </c>
      <c r="KE441">
        <v>0</v>
      </c>
      <c r="KF441">
        <v>0</v>
      </c>
      <c r="KG441">
        <v>0</v>
      </c>
      <c r="KH441">
        <v>0</v>
      </c>
      <c r="KI441">
        <v>0</v>
      </c>
      <c r="KJ441">
        <v>0</v>
      </c>
      <c r="KK441">
        <v>0</v>
      </c>
      <c r="KL441">
        <v>0</v>
      </c>
      <c r="KM441">
        <v>0</v>
      </c>
      <c r="KN441">
        <v>0</v>
      </c>
      <c r="KO441">
        <v>0</v>
      </c>
      <c r="KP441">
        <v>0</v>
      </c>
      <c r="KQ441">
        <v>0</v>
      </c>
      <c r="KR441">
        <v>0</v>
      </c>
      <c r="KS441">
        <v>0</v>
      </c>
      <c r="KT441">
        <v>0</v>
      </c>
      <c r="KU441">
        <v>0</v>
      </c>
      <c r="KV441">
        <v>0</v>
      </c>
      <c r="KW441">
        <v>0</v>
      </c>
      <c r="KX441">
        <v>0</v>
      </c>
      <c r="KY441">
        <v>0</v>
      </c>
      <c r="KZ441">
        <v>0</v>
      </c>
      <c r="LA441">
        <v>0</v>
      </c>
      <c r="LB441">
        <v>0</v>
      </c>
      <c r="LC441">
        <v>0</v>
      </c>
      <c r="LD441">
        <v>0</v>
      </c>
      <c r="LE441">
        <v>0</v>
      </c>
      <c r="LF441">
        <v>0</v>
      </c>
      <c r="LG441">
        <v>0</v>
      </c>
      <c r="LH441">
        <v>0</v>
      </c>
      <c r="LI441">
        <v>0</v>
      </c>
      <c r="LJ441">
        <v>0</v>
      </c>
      <c r="LK441">
        <v>0</v>
      </c>
      <c r="LL441">
        <v>0</v>
      </c>
      <c r="LM441">
        <v>0</v>
      </c>
      <c r="LN441">
        <v>0</v>
      </c>
      <c r="LO441">
        <v>0</v>
      </c>
      <c r="LP441">
        <v>0</v>
      </c>
      <c r="LQ441">
        <v>0</v>
      </c>
      <c r="LR441">
        <v>0</v>
      </c>
      <c r="LS441">
        <v>0</v>
      </c>
      <c r="LT441">
        <v>0</v>
      </c>
      <c r="LU441">
        <v>0</v>
      </c>
      <c r="LV441">
        <v>0</v>
      </c>
      <c r="LW441">
        <v>0</v>
      </c>
      <c r="LX441">
        <v>0</v>
      </c>
      <c r="LY441">
        <v>0</v>
      </c>
      <c r="LZ441">
        <v>0</v>
      </c>
      <c r="MA441">
        <v>0</v>
      </c>
      <c r="MB441">
        <v>0</v>
      </c>
      <c r="MC441">
        <v>0</v>
      </c>
      <c r="MD441">
        <v>0</v>
      </c>
      <c r="ME441">
        <v>0</v>
      </c>
      <c r="MF441">
        <v>0</v>
      </c>
      <c r="MG441">
        <v>0</v>
      </c>
      <c r="MH441">
        <v>0</v>
      </c>
      <c r="MI441">
        <v>0</v>
      </c>
      <c r="MJ441">
        <v>0</v>
      </c>
      <c r="MK441">
        <v>0</v>
      </c>
      <c r="ML441">
        <v>0</v>
      </c>
      <c r="MM441">
        <v>0</v>
      </c>
      <c r="MN441">
        <v>0</v>
      </c>
      <c r="MO441">
        <v>0</v>
      </c>
      <c r="MP441">
        <v>0</v>
      </c>
      <c r="MQ441">
        <v>0</v>
      </c>
      <c r="MR441">
        <v>0</v>
      </c>
      <c r="MS441">
        <v>0</v>
      </c>
      <c r="MT441">
        <v>0</v>
      </c>
      <c r="MU441">
        <v>0</v>
      </c>
      <c r="MV441">
        <v>0</v>
      </c>
      <c r="MW441">
        <v>0</v>
      </c>
      <c r="MX441">
        <v>0</v>
      </c>
      <c r="MY441">
        <v>0</v>
      </c>
      <c r="MZ441">
        <v>0</v>
      </c>
      <c r="NA441">
        <v>0</v>
      </c>
      <c r="NB441">
        <v>0</v>
      </c>
      <c r="NC441">
        <v>0</v>
      </c>
      <c r="ND441">
        <v>0</v>
      </c>
      <c r="NE441">
        <v>0</v>
      </c>
    </row>
    <row r="442" spans="41:369" x14ac:dyDescent="0.45">
      <c r="AO442">
        <v>0</v>
      </c>
      <c r="AP442">
        <v>0</v>
      </c>
      <c r="AQ442">
        <v>0</v>
      </c>
      <c r="AR442">
        <v>0</v>
      </c>
      <c r="AS442">
        <v>0</v>
      </c>
      <c r="AT442">
        <v>0</v>
      </c>
      <c r="AU442">
        <v>0</v>
      </c>
      <c r="AV442">
        <v>0</v>
      </c>
      <c r="AW442" t="str">
        <v/>
      </c>
      <c r="AX442">
        <v>255</v>
      </c>
      <c r="AY442" s="5" t="str">
        <v/>
      </c>
      <c r="AZ442">
        <v>0</v>
      </c>
      <c r="BA442">
        <v>0</v>
      </c>
      <c r="BB442">
        <v>0</v>
      </c>
      <c r="BC442">
        <v>0</v>
      </c>
      <c r="BD442">
        <v>0</v>
      </c>
      <c r="BE442">
        <v>0</v>
      </c>
      <c r="BF442">
        <v>0</v>
      </c>
      <c r="BG442">
        <v>0</v>
      </c>
      <c r="BH442">
        <v>0</v>
      </c>
      <c r="BI442" t="str">
        <v/>
      </c>
      <c r="BK442">
        <v>436</v>
      </c>
      <c r="BL442">
        <v>0</v>
      </c>
      <c r="BM442">
        <v>0</v>
      </c>
      <c r="BN442">
        <v>0</v>
      </c>
      <c r="BO442">
        <v>0</v>
      </c>
      <c r="BP442">
        <v>0</v>
      </c>
      <c r="BQ442">
        <v>0</v>
      </c>
      <c r="BR442">
        <v>0</v>
      </c>
      <c r="BS442">
        <v>0</v>
      </c>
      <c r="BT442">
        <v>0</v>
      </c>
      <c r="BU442">
        <v>0</v>
      </c>
      <c r="BV442">
        <v>0</v>
      </c>
      <c r="BW442">
        <v>0</v>
      </c>
      <c r="BX442">
        <v>0</v>
      </c>
      <c r="BY442">
        <v>0</v>
      </c>
      <c r="BZ442">
        <v>0</v>
      </c>
      <c r="CA442">
        <v>0</v>
      </c>
      <c r="CB442">
        <v>0</v>
      </c>
      <c r="CC442">
        <v>0</v>
      </c>
      <c r="CD442">
        <v>0</v>
      </c>
      <c r="CE442">
        <v>0</v>
      </c>
      <c r="CF442">
        <v>0</v>
      </c>
      <c r="CG442">
        <v>0</v>
      </c>
      <c r="CH442">
        <v>0</v>
      </c>
      <c r="CI442">
        <v>0</v>
      </c>
      <c r="CJ442">
        <v>0</v>
      </c>
      <c r="CK442">
        <v>0</v>
      </c>
      <c r="CL442">
        <v>0</v>
      </c>
      <c r="CM442">
        <v>0</v>
      </c>
      <c r="CN442">
        <v>0</v>
      </c>
      <c r="CO442">
        <v>0</v>
      </c>
      <c r="CP442">
        <v>0</v>
      </c>
      <c r="CQ442">
        <v>0</v>
      </c>
      <c r="CR442">
        <v>0</v>
      </c>
      <c r="CS442">
        <v>0</v>
      </c>
      <c r="CT442">
        <v>0</v>
      </c>
      <c r="CU442">
        <v>0</v>
      </c>
      <c r="CV442">
        <v>0</v>
      </c>
      <c r="CW442">
        <v>0</v>
      </c>
      <c r="CX442">
        <v>0</v>
      </c>
      <c r="CY442">
        <v>0</v>
      </c>
      <c r="CZ442">
        <v>0</v>
      </c>
      <c r="DA442">
        <v>0</v>
      </c>
      <c r="DB442">
        <v>0</v>
      </c>
      <c r="DC442">
        <v>0</v>
      </c>
      <c r="DD442">
        <v>0</v>
      </c>
      <c r="DE442">
        <v>0</v>
      </c>
      <c r="DF442">
        <v>0</v>
      </c>
      <c r="DG442">
        <v>0</v>
      </c>
      <c r="DH442">
        <v>0</v>
      </c>
      <c r="DI442">
        <v>0</v>
      </c>
      <c r="DJ442">
        <v>0</v>
      </c>
      <c r="DK442">
        <v>0</v>
      </c>
      <c r="DL442">
        <v>0</v>
      </c>
      <c r="DM442">
        <v>0</v>
      </c>
      <c r="DN442">
        <v>0</v>
      </c>
      <c r="DO442">
        <v>0</v>
      </c>
      <c r="DP442">
        <v>0</v>
      </c>
      <c r="DQ442">
        <v>0</v>
      </c>
      <c r="DR442">
        <v>0</v>
      </c>
      <c r="DS442">
        <v>0</v>
      </c>
      <c r="DT442">
        <v>0</v>
      </c>
      <c r="DU442">
        <v>0</v>
      </c>
      <c r="DV442">
        <v>0</v>
      </c>
      <c r="DW442">
        <v>0</v>
      </c>
      <c r="DX442">
        <v>0</v>
      </c>
      <c r="DY442">
        <v>0</v>
      </c>
      <c r="DZ442">
        <v>0</v>
      </c>
      <c r="EA442">
        <v>0</v>
      </c>
      <c r="EB442">
        <v>0</v>
      </c>
      <c r="EC442">
        <v>0</v>
      </c>
      <c r="ED442">
        <v>0</v>
      </c>
      <c r="EE442">
        <v>0</v>
      </c>
      <c r="EF442">
        <v>0</v>
      </c>
      <c r="EG442">
        <v>0</v>
      </c>
      <c r="EH442">
        <v>0</v>
      </c>
      <c r="EI442">
        <v>0</v>
      </c>
      <c r="EJ442">
        <v>0</v>
      </c>
      <c r="EK442">
        <v>0</v>
      </c>
      <c r="EL442">
        <v>0</v>
      </c>
      <c r="EM442">
        <v>0</v>
      </c>
      <c r="EN442">
        <v>0</v>
      </c>
      <c r="EO442">
        <v>0</v>
      </c>
      <c r="EP442">
        <v>0</v>
      </c>
      <c r="EQ442">
        <v>0</v>
      </c>
      <c r="ER442">
        <v>0</v>
      </c>
      <c r="ES442">
        <v>0</v>
      </c>
      <c r="ET442">
        <v>0</v>
      </c>
      <c r="EU442">
        <v>0</v>
      </c>
      <c r="EV442">
        <v>0</v>
      </c>
      <c r="EW442">
        <v>0</v>
      </c>
      <c r="EX442">
        <v>0</v>
      </c>
      <c r="EY442">
        <v>0</v>
      </c>
      <c r="EZ442">
        <v>0</v>
      </c>
      <c r="FA442">
        <v>0</v>
      </c>
      <c r="FB442">
        <v>0</v>
      </c>
      <c r="FC442">
        <v>0</v>
      </c>
      <c r="FD442">
        <v>0</v>
      </c>
      <c r="FE442">
        <v>0</v>
      </c>
      <c r="FF442">
        <v>0</v>
      </c>
      <c r="FG442">
        <v>0</v>
      </c>
      <c r="FH442">
        <v>0</v>
      </c>
      <c r="FI442">
        <v>0</v>
      </c>
      <c r="FJ442">
        <v>0</v>
      </c>
      <c r="FK442">
        <v>0</v>
      </c>
      <c r="FL442">
        <v>0</v>
      </c>
      <c r="FM442">
        <v>0</v>
      </c>
      <c r="FN442">
        <v>0</v>
      </c>
      <c r="FO442">
        <v>0</v>
      </c>
      <c r="FP442">
        <v>0</v>
      </c>
      <c r="FQ442">
        <v>0</v>
      </c>
      <c r="FR442">
        <v>0</v>
      </c>
      <c r="FS442">
        <v>0</v>
      </c>
      <c r="FT442">
        <v>0</v>
      </c>
      <c r="FU442">
        <v>0</v>
      </c>
      <c r="FV442">
        <v>0</v>
      </c>
      <c r="FW442">
        <v>0</v>
      </c>
      <c r="FX442">
        <v>0</v>
      </c>
      <c r="FY442">
        <v>0</v>
      </c>
      <c r="FZ442">
        <v>0</v>
      </c>
      <c r="GA442">
        <v>0</v>
      </c>
      <c r="GB442">
        <v>0</v>
      </c>
      <c r="GC442">
        <v>0</v>
      </c>
      <c r="GD442">
        <v>0</v>
      </c>
      <c r="GE442">
        <v>0</v>
      </c>
      <c r="GF442">
        <v>0</v>
      </c>
      <c r="GG442">
        <v>0</v>
      </c>
      <c r="GH442">
        <v>0</v>
      </c>
      <c r="GI442">
        <v>0</v>
      </c>
      <c r="GJ442">
        <v>0</v>
      </c>
      <c r="GK442">
        <v>0</v>
      </c>
      <c r="GL442">
        <v>0</v>
      </c>
      <c r="GM442">
        <v>0</v>
      </c>
      <c r="GN442">
        <v>0</v>
      </c>
      <c r="GO442">
        <v>0</v>
      </c>
      <c r="GP442">
        <v>0</v>
      </c>
      <c r="GQ442">
        <v>0</v>
      </c>
      <c r="GR442">
        <v>0</v>
      </c>
      <c r="GS442">
        <v>0</v>
      </c>
      <c r="GT442">
        <v>0</v>
      </c>
      <c r="GU442">
        <v>0</v>
      </c>
      <c r="GV442">
        <v>0</v>
      </c>
      <c r="GW442">
        <v>0</v>
      </c>
      <c r="GX442">
        <v>0</v>
      </c>
      <c r="GY442">
        <v>0</v>
      </c>
      <c r="GZ442">
        <v>0</v>
      </c>
      <c r="HA442">
        <v>0</v>
      </c>
      <c r="HB442">
        <v>0</v>
      </c>
      <c r="HC442">
        <v>0</v>
      </c>
      <c r="HD442">
        <v>0</v>
      </c>
      <c r="HE442">
        <v>0</v>
      </c>
      <c r="HF442">
        <v>0</v>
      </c>
      <c r="HG442">
        <v>0</v>
      </c>
      <c r="HH442">
        <v>0</v>
      </c>
      <c r="HI442">
        <v>0</v>
      </c>
      <c r="HJ442">
        <v>0</v>
      </c>
      <c r="HK442">
        <v>0</v>
      </c>
      <c r="HL442">
        <v>0</v>
      </c>
      <c r="HM442">
        <v>0</v>
      </c>
      <c r="HN442">
        <v>0</v>
      </c>
      <c r="HO442">
        <v>0</v>
      </c>
      <c r="HP442">
        <v>0</v>
      </c>
      <c r="HQ442">
        <v>0</v>
      </c>
      <c r="HR442">
        <v>0</v>
      </c>
      <c r="HS442">
        <v>0</v>
      </c>
      <c r="HT442">
        <v>0</v>
      </c>
      <c r="HU442">
        <v>0</v>
      </c>
      <c r="HV442">
        <v>0</v>
      </c>
      <c r="HW442">
        <v>0</v>
      </c>
      <c r="HX442">
        <v>0</v>
      </c>
      <c r="HY442">
        <v>0</v>
      </c>
      <c r="HZ442">
        <v>0</v>
      </c>
      <c r="IA442">
        <v>0</v>
      </c>
      <c r="IB442">
        <v>0</v>
      </c>
      <c r="IC442">
        <v>0</v>
      </c>
      <c r="ID442">
        <v>0</v>
      </c>
      <c r="IE442">
        <v>0</v>
      </c>
      <c r="IF442">
        <v>0</v>
      </c>
      <c r="IG442">
        <v>0</v>
      </c>
      <c r="IH442">
        <v>0</v>
      </c>
      <c r="II442">
        <v>0</v>
      </c>
      <c r="IJ442">
        <v>0</v>
      </c>
      <c r="IK442">
        <v>0</v>
      </c>
      <c r="IL442">
        <v>0</v>
      </c>
      <c r="IM442">
        <v>0</v>
      </c>
      <c r="IN442">
        <v>0</v>
      </c>
      <c r="IO442">
        <v>0</v>
      </c>
      <c r="IP442">
        <v>0</v>
      </c>
      <c r="IQ442">
        <v>0</v>
      </c>
      <c r="IR442">
        <v>0</v>
      </c>
      <c r="IS442">
        <v>0</v>
      </c>
      <c r="IT442">
        <v>0</v>
      </c>
      <c r="IU442">
        <v>0</v>
      </c>
      <c r="IV442">
        <v>0</v>
      </c>
      <c r="IW442">
        <v>0</v>
      </c>
      <c r="IX442">
        <v>0</v>
      </c>
      <c r="IY442">
        <v>0</v>
      </c>
      <c r="IZ442">
        <v>0</v>
      </c>
      <c r="JA442">
        <v>0</v>
      </c>
      <c r="JB442">
        <v>0</v>
      </c>
      <c r="JC442">
        <v>0</v>
      </c>
      <c r="JD442">
        <v>0</v>
      </c>
      <c r="JE442">
        <v>0</v>
      </c>
      <c r="JF442">
        <v>0</v>
      </c>
      <c r="JG442">
        <v>0</v>
      </c>
      <c r="JH442">
        <v>0</v>
      </c>
      <c r="JI442">
        <v>0</v>
      </c>
      <c r="JJ442">
        <v>0</v>
      </c>
      <c r="JK442">
        <v>0</v>
      </c>
      <c r="JL442">
        <v>0</v>
      </c>
      <c r="JM442">
        <v>0</v>
      </c>
      <c r="JN442">
        <v>0</v>
      </c>
      <c r="JO442">
        <v>0</v>
      </c>
      <c r="JP442">
        <v>0</v>
      </c>
      <c r="JQ442">
        <v>0</v>
      </c>
      <c r="JR442">
        <v>0</v>
      </c>
      <c r="JS442">
        <v>0</v>
      </c>
      <c r="JT442">
        <v>0</v>
      </c>
      <c r="JU442">
        <v>0</v>
      </c>
      <c r="JV442">
        <v>0</v>
      </c>
      <c r="JW442">
        <v>0</v>
      </c>
      <c r="JX442">
        <v>0</v>
      </c>
      <c r="JY442">
        <v>0</v>
      </c>
      <c r="JZ442">
        <v>0</v>
      </c>
      <c r="KA442">
        <v>0</v>
      </c>
      <c r="KB442">
        <v>0</v>
      </c>
      <c r="KC442">
        <v>0</v>
      </c>
      <c r="KD442">
        <v>0</v>
      </c>
      <c r="KE442">
        <v>0</v>
      </c>
      <c r="KF442">
        <v>0</v>
      </c>
      <c r="KG442">
        <v>0</v>
      </c>
      <c r="KH442">
        <v>0</v>
      </c>
      <c r="KI442">
        <v>0</v>
      </c>
      <c r="KJ442">
        <v>0</v>
      </c>
      <c r="KK442">
        <v>0</v>
      </c>
      <c r="KL442">
        <v>0</v>
      </c>
      <c r="KM442">
        <v>0</v>
      </c>
      <c r="KN442">
        <v>0</v>
      </c>
      <c r="KO442">
        <v>0</v>
      </c>
      <c r="KP442">
        <v>0</v>
      </c>
      <c r="KQ442">
        <v>0</v>
      </c>
      <c r="KR442">
        <v>0</v>
      </c>
      <c r="KS442">
        <v>0</v>
      </c>
      <c r="KT442">
        <v>0</v>
      </c>
      <c r="KU442">
        <v>0</v>
      </c>
      <c r="KV442">
        <v>0</v>
      </c>
      <c r="KW442">
        <v>0</v>
      </c>
      <c r="KX442">
        <v>0</v>
      </c>
      <c r="KY442">
        <v>0</v>
      </c>
      <c r="KZ442">
        <v>0</v>
      </c>
      <c r="LA442">
        <v>0</v>
      </c>
      <c r="LB442">
        <v>0</v>
      </c>
      <c r="LC442">
        <v>0</v>
      </c>
      <c r="LD442">
        <v>0</v>
      </c>
      <c r="LE442">
        <v>0</v>
      </c>
      <c r="LF442">
        <v>0</v>
      </c>
      <c r="LG442">
        <v>0</v>
      </c>
      <c r="LH442">
        <v>0</v>
      </c>
      <c r="LI442">
        <v>0</v>
      </c>
      <c r="LJ442">
        <v>0</v>
      </c>
      <c r="LK442">
        <v>0</v>
      </c>
      <c r="LL442">
        <v>0</v>
      </c>
      <c r="LM442">
        <v>0</v>
      </c>
      <c r="LN442">
        <v>0</v>
      </c>
      <c r="LO442">
        <v>0</v>
      </c>
      <c r="LP442">
        <v>0</v>
      </c>
      <c r="LQ442">
        <v>0</v>
      </c>
      <c r="LR442">
        <v>0</v>
      </c>
      <c r="LS442">
        <v>0</v>
      </c>
      <c r="LT442">
        <v>0</v>
      </c>
      <c r="LU442">
        <v>0</v>
      </c>
      <c r="LV442">
        <v>0</v>
      </c>
      <c r="LW442">
        <v>0</v>
      </c>
      <c r="LX442">
        <v>0</v>
      </c>
      <c r="LY442">
        <v>0</v>
      </c>
      <c r="LZ442">
        <v>0</v>
      </c>
      <c r="MA442">
        <v>0</v>
      </c>
      <c r="MB442">
        <v>0</v>
      </c>
      <c r="MC442">
        <v>0</v>
      </c>
      <c r="MD442">
        <v>0</v>
      </c>
      <c r="ME442">
        <v>0</v>
      </c>
      <c r="MF442">
        <v>0</v>
      </c>
      <c r="MG442">
        <v>0</v>
      </c>
      <c r="MH442">
        <v>0</v>
      </c>
      <c r="MI442">
        <v>0</v>
      </c>
      <c r="MJ442">
        <v>0</v>
      </c>
      <c r="MK442">
        <v>0</v>
      </c>
      <c r="ML442">
        <v>0</v>
      </c>
      <c r="MM442">
        <v>0</v>
      </c>
      <c r="MN442">
        <v>0</v>
      </c>
      <c r="MO442">
        <v>0</v>
      </c>
      <c r="MP442">
        <v>0</v>
      </c>
      <c r="MQ442">
        <v>0</v>
      </c>
      <c r="MR442">
        <v>0</v>
      </c>
      <c r="MS442">
        <v>0</v>
      </c>
      <c r="MT442">
        <v>0</v>
      </c>
      <c r="MU442">
        <v>0</v>
      </c>
      <c r="MV442">
        <v>0</v>
      </c>
      <c r="MW442">
        <v>0</v>
      </c>
      <c r="MX442">
        <v>0</v>
      </c>
      <c r="MY442">
        <v>0</v>
      </c>
      <c r="MZ442">
        <v>0</v>
      </c>
      <c r="NA442">
        <v>0</v>
      </c>
      <c r="NB442">
        <v>0</v>
      </c>
      <c r="NC442">
        <v>0</v>
      </c>
      <c r="ND442">
        <v>0</v>
      </c>
      <c r="NE442">
        <v>0</v>
      </c>
    </row>
    <row r="443" spans="41:369" x14ac:dyDescent="0.45">
      <c r="AO443">
        <v>0</v>
      </c>
      <c r="AP443">
        <v>0</v>
      </c>
      <c r="AQ443">
        <v>0</v>
      </c>
      <c r="AR443">
        <v>0</v>
      </c>
      <c r="AS443">
        <v>0</v>
      </c>
      <c r="AT443">
        <v>0</v>
      </c>
      <c r="AU443">
        <v>0</v>
      </c>
      <c r="AV443">
        <v>0</v>
      </c>
      <c r="AW443" t="str">
        <v/>
      </c>
      <c r="AX443">
        <v>255</v>
      </c>
      <c r="AY443" s="5" t="str">
        <v/>
      </c>
      <c r="AZ443">
        <v>0</v>
      </c>
      <c r="BA443">
        <v>0</v>
      </c>
      <c r="BB443">
        <v>0</v>
      </c>
      <c r="BC443">
        <v>0</v>
      </c>
      <c r="BD443">
        <v>0</v>
      </c>
      <c r="BE443">
        <v>0</v>
      </c>
      <c r="BF443">
        <v>0</v>
      </c>
      <c r="BG443">
        <v>0</v>
      </c>
      <c r="BH443">
        <v>0</v>
      </c>
      <c r="BI443" t="str">
        <v/>
      </c>
      <c r="BK443">
        <v>437</v>
      </c>
      <c r="BL443">
        <v>0</v>
      </c>
      <c r="BM443">
        <v>0</v>
      </c>
      <c r="BN443">
        <v>0</v>
      </c>
      <c r="BO443">
        <v>0</v>
      </c>
      <c r="BP443">
        <v>0</v>
      </c>
      <c r="BQ443">
        <v>0</v>
      </c>
      <c r="BR443">
        <v>0</v>
      </c>
      <c r="BS443">
        <v>0</v>
      </c>
      <c r="BT443">
        <v>0</v>
      </c>
      <c r="BU443">
        <v>0</v>
      </c>
      <c r="BV443">
        <v>0</v>
      </c>
      <c r="BW443">
        <v>0</v>
      </c>
      <c r="BX443">
        <v>0</v>
      </c>
      <c r="BY443">
        <v>0</v>
      </c>
      <c r="BZ443">
        <v>0</v>
      </c>
      <c r="CA443">
        <v>0</v>
      </c>
      <c r="CB443">
        <v>0</v>
      </c>
      <c r="CC443">
        <v>0</v>
      </c>
      <c r="CD443">
        <v>0</v>
      </c>
      <c r="CE443">
        <v>0</v>
      </c>
      <c r="CF443">
        <v>0</v>
      </c>
      <c r="CG443">
        <v>0</v>
      </c>
      <c r="CH443">
        <v>0</v>
      </c>
      <c r="CI443">
        <v>0</v>
      </c>
      <c r="CJ443">
        <v>0</v>
      </c>
      <c r="CK443">
        <v>0</v>
      </c>
      <c r="CL443">
        <v>0</v>
      </c>
      <c r="CM443">
        <v>0</v>
      </c>
      <c r="CN443">
        <v>0</v>
      </c>
      <c r="CO443">
        <v>0</v>
      </c>
      <c r="CP443">
        <v>0</v>
      </c>
      <c r="CQ443">
        <v>0</v>
      </c>
      <c r="CR443">
        <v>0</v>
      </c>
      <c r="CS443">
        <v>0</v>
      </c>
      <c r="CT443">
        <v>0</v>
      </c>
      <c r="CU443">
        <v>0</v>
      </c>
      <c r="CV443">
        <v>0</v>
      </c>
      <c r="CW443">
        <v>0</v>
      </c>
      <c r="CX443">
        <v>0</v>
      </c>
      <c r="CY443">
        <v>0</v>
      </c>
      <c r="CZ443">
        <v>0</v>
      </c>
      <c r="DA443">
        <v>0</v>
      </c>
      <c r="DB443">
        <v>0</v>
      </c>
      <c r="DC443">
        <v>0</v>
      </c>
      <c r="DD443">
        <v>0</v>
      </c>
      <c r="DE443">
        <v>0</v>
      </c>
      <c r="DF443">
        <v>0</v>
      </c>
      <c r="DG443">
        <v>0</v>
      </c>
      <c r="DH443">
        <v>0</v>
      </c>
      <c r="DI443">
        <v>0</v>
      </c>
      <c r="DJ443">
        <v>0</v>
      </c>
      <c r="DK443">
        <v>0</v>
      </c>
      <c r="DL443">
        <v>0</v>
      </c>
      <c r="DM443">
        <v>0</v>
      </c>
      <c r="DN443">
        <v>0</v>
      </c>
      <c r="DO443">
        <v>0</v>
      </c>
      <c r="DP443">
        <v>0</v>
      </c>
      <c r="DQ443">
        <v>0</v>
      </c>
      <c r="DR443">
        <v>0</v>
      </c>
      <c r="DS443">
        <v>0</v>
      </c>
      <c r="DT443">
        <v>0</v>
      </c>
      <c r="DU443">
        <v>0</v>
      </c>
      <c r="DV443">
        <v>0</v>
      </c>
      <c r="DW443">
        <v>0</v>
      </c>
      <c r="DX443">
        <v>0</v>
      </c>
      <c r="DY443">
        <v>0</v>
      </c>
      <c r="DZ443">
        <v>0</v>
      </c>
      <c r="EA443">
        <v>0</v>
      </c>
      <c r="EB443">
        <v>0</v>
      </c>
      <c r="EC443">
        <v>0</v>
      </c>
      <c r="ED443">
        <v>0</v>
      </c>
      <c r="EE443">
        <v>0</v>
      </c>
      <c r="EF443">
        <v>0</v>
      </c>
      <c r="EG443">
        <v>0</v>
      </c>
      <c r="EH443">
        <v>0</v>
      </c>
      <c r="EI443">
        <v>0</v>
      </c>
      <c r="EJ443">
        <v>0</v>
      </c>
      <c r="EK443">
        <v>0</v>
      </c>
      <c r="EL443">
        <v>0</v>
      </c>
      <c r="EM443">
        <v>0</v>
      </c>
      <c r="EN443">
        <v>0</v>
      </c>
      <c r="EO443">
        <v>0</v>
      </c>
      <c r="EP443">
        <v>0</v>
      </c>
      <c r="EQ443">
        <v>0</v>
      </c>
      <c r="ER443">
        <v>0</v>
      </c>
      <c r="ES443">
        <v>0</v>
      </c>
      <c r="ET443">
        <v>0</v>
      </c>
      <c r="EU443">
        <v>0</v>
      </c>
      <c r="EV443">
        <v>0</v>
      </c>
      <c r="EW443">
        <v>0</v>
      </c>
      <c r="EX443">
        <v>0</v>
      </c>
      <c r="EY443">
        <v>0</v>
      </c>
      <c r="EZ443">
        <v>0</v>
      </c>
      <c r="FA443">
        <v>0</v>
      </c>
      <c r="FB443">
        <v>0</v>
      </c>
      <c r="FC443">
        <v>0</v>
      </c>
      <c r="FD443">
        <v>0</v>
      </c>
      <c r="FE443">
        <v>0</v>
      </c>
      <c r="FF443">
        <v>0</v>
      </c>
      <c r="FG443">
        <v>0</v>
      </c>
      <c r="FH443">
        <v>0</v>
      </c>
      <c r="FI443">
        <v>0</v>
      </c>
      <c r="FJ443">
        <v>0</v>
      </c>
      <c r="FK443">
        <v>0</v>
      </c>
      <c r="FL443">
        <v>0</v>
      </c>
      <c r="FM443">
        <v>0</v>
      </c>
      <c r="FN443">
        <v>0</v>
      </c>
      <c r="FO443">
        <v>0</v>
      </c>
      <c r="FP443">
        <v>0</v>
      </c>
      <c r="FQ443">
        <v>0</v>
      </c>
      <c r="FR443">
        <v>0</v>
      </c>
      <c r="FS443">
        <v>0</v>
      </c>
      <c r="FT443">
        <v>0</v>
      </c>
      <c r="FU443">
        <v>0</v>
      </c>
      <c r="FV443">
        <v>0</v>
      </c>
      <c r="FW443">
        <v>0</v>
      </c>
      <c r="FX443">
        <v>0</v>
      </c>
      <c r="FY443">
        <v>0</v>
      </c>
      <c r="FZ443">
        <v>0</v>
      </c>
      <c r="GA443">
        <v>0</v>
      </c>
      <c r="GB443">
        <v>0</v>
      </c>
      <c r="GC443">
        <v>0</v>
      </c>
      <c r="GD443">
        <v>0</v>
      </c>
      <c r="GE443">
        <v>0</v>
      </c>
      <c r="GF443">
        <v>0</v>
      </c>
      <c r="GG443">
        <v>0</v>
      </c>
      <c r="GH443">
        <v>0</v>
      </c>
      <c r="GI443">
        <v>0</v>
      </c>
      <c r="GJ443">
        <v>0</v>
      </c>
      <c r="GK443">
        <v>0</v>
      </c>
      <c r="GL443">
        <v>0</v>
      </c>
      <c r="GM443">
        <v>0</v>
      </c>
      <c r="GN443">
        <v>0</v>
      </c>
      <c r="GO443">
        <v>0</v>
      </c>
      <c r="GP443">
        <v>0</v>
      </c>
      <c r="GQ443">
        <v>0</v>
      </c>
      <c r="GR443">
        <v>0</v>
      </c>
      <c r="GS443">
        <v>0</v>
      </c>
      <c r="GT443">
        <v>0</v>
      </c>
      <c r="GU443">
        <v>0</v>
      </c>
      <c r="GV443">
        <v>0</v>
      </c>
      <c r="GW443">
        <v>0</v>
      </c>
      <c r="GX443">
        <v>0</v>
      </c>
      <c r="GY443">
        <v>0</v>
      </c>
      <c r="GZ443">
        <v>0</v>
      </c>
      <c r="HA443">
        <v>0</v>
      </c>
      <c r="HB443">
        <v>0</v>
      </c>
      <c r="HC443">
        <v>0</v>
      </c>
      <c r="HD443">
        <v>0</v>
      </c>
      <c r="HE443">
        <v>0</v>
      </c>
      <c r="HF443">
        <v>0</v>
      </c>
      <c r="HG443">
        <v>0</v>
      </c>
      <c r="HH443">
        <v>0</v>
      </c>
      <c r="HI443">
        <v>0</v>
      </c>
      <c r="HJ443">
        <v>0</v>
      </c>
      <c r="HK443">
        <v>0</v>
      </c>
      <c r="HL443">
        <v>0</v>
      </c>
      <c r="HM443">
        <v>0</v>
      </c>
      <c r="HN443">
        <v>0</v>
      </c>
      <c r="HO443">
        <v>0</v>
      </c>
      <c r="HP443">
        <v>0</v>
      </c>
      <c r="HQ443">
        <v>0</v>
      </c>
      <c r="HR443">
        <v>0</v>
      </c>
      <c r="HS443">
        <v>0</v>
      </c>
      <c r="HT443">
        <v>0</v>
      </c>
      <c r="HU443">
        <v>0</v>
      </c>
      <c r="HV443">
        <v>0</v>
      </c>
      <c r="HW443">
        <v>0</v>
      </c>
      <c r="HX443">
        <v>0</v>
      </c>
      <c r="HY443">
        <v>0</v>
      </c>
      <c r="HZ443">
        <v>0</v>
      </c>
      <c r="IA443">
        <v>0</v>
      </c>
      <c r="IB443">
        <v>0</v>
      </c>
      <c r="IC443">
        <v>0</v>
      </c>
      <c r="ID443">
        <v>0</v>
      </c>
      <c r="IE443">
        <v>0</v>
      </c>
      <c r="IF443">
        <v>0</v>
      </c>
      <c r="IG443">
        <v>0</v>
      </c>
      <c r="IH443">
        <v>0</v>
      </c>
      <c r="II443">
        <v>0</v>
      </c>
      <c r="IJ443">
        <v>0</v>
      </c>
      <c r="IK443">
        <v>0</v>
      </c>
      <c r="IL443">
        <v>0</v>
      </c>
      <c r="IM443">
        <v>0</v>
      </c>
      <c r="IN443">
        <v>0</v>
      </c>
      <c r="IO443">
        <v>0</v>
      </c>
      <c r="IP443">
        <v>0</v>
      </c>
      <c r="IQ443">
        <v>0</v>
      </c>
      <c r="IR443">
        <v>0</v>
      </c>
      <c r="IS443">
        <v>0</v>
      </c>
      <c r="IT443">
        <v>0</v>
      </c>
      <c r="IU443">
        <v>0</v>
      </c>
      <c r="IV443">
        <v>0</v>
      </c>
      <c r="IW443">
        <v>0</v>
      </c>
      <c r="IX443">
        <v>0</v>
      </c>
      <c r="IY443">
        <v>0</v>
      </c>
      <c r="IZ443">
        <v>0</v>
      </c>
      <c r="JA443">
        <v>0</v>
      </c>
      <c r="JB443">
        <v>0</v>
      </c>
      <c r="JC443">
        <v>0</v>
      </c>
      <c r="JD443">
        <v>0</v>
      </c>
      <c r="JE443">
        <v>0</v>
      </c>
      <c r="JF443">
        <v>0</v>
      </c>
      <c r="JG443">
        <v>0</v>
      </c>
      <c r="JH443">
        <v>0</v>
      </c>
      <c r="JI443">
        <v>0</v>
      </c>
      <c r="JJ443">
        <v>0</v>
      </c>
      <c r="JK443">
        <v>0</v>
      </c>
      <c r="JL443">
        <v>0</v>
      </c>
      <c r="JM443">
        <v>0</v>
      </c>
      <c r="JN443">
        <v>0</v>
      </c>
      <c r="JO443">
        <v>0</v>
      </c>
      <c r="JP443">
        <v>0</v>
      </c>
      <c r="JQ443">
        <v>0</v>
      </c>
      <c r="JR443">
        <v>0</v>
      </c>
      <c r="JS443">
        <v>0</v>
      </c>
      <c r="JT443">
        <v>0</v>
      </c>
      <c r="JU443">
        <v>0</v>
      </c>
      <c r="JV443">
        <v>0</v>
      </c>
      <c r="JW443">
        <v>0</v>
      </c>
      <c r="JX443">
        <v>0</v>
      </c>
      <c r="JY443">
        <v>0</v>
      </c>
      <c r="JZ443">
        <v>0</v>
      </c>
      <c r="KA443">
        <v>0</v>
      </c>
      <c r="KB443">
        <v>0</v>
      </c>
      <c r="KC443">
        <v>0</v>
      </c>
      <c r="KD443">
        <v>0</v>
      </c>
      <c r="KE443">
        <v>0</v>
      </c>
      <c r="KF443">
        <v>0</v>
      </c>
      <c r="KG443">
        <v>0</v>
      </c>
      <c r="KH443">
        <v>0</v>
      </c>
      <c r="KI443">
        <v>0</v>
      </c>
      <c r="KJ443">
        <v>0</v>
      </c>
      <c r="KK443">
        <v>0</v>
      </c>
      <c r="KL443">
        <v>0</v>
      </c>
      <c r="KM443">
        <v>0</v>
      </c>
      <c r="KN443">
        <v>0</v>
      </c>
      <c r="KO443">
        <v>0</v>
      </c>
      <c r="KP443">
        <v>0</v>
      </c>
      <c r="KQ443">
        <v>0</v>
      </c>
      <c r="KR443">
        <v>0</v>
      </c>
      <c r="KS443">
        <v>0</v>
      </c>
      <c r="KT443">
        <v>0</v>
      </c>
      <c r="KU443">
        <v>0</v>
      </c>
      <c r="KV443">
        <v>0</v>
      </c>
      <c r="KW443">
        <v>0</v>
      </c>
      <c r="KX443">
        <v>0</v>
      </c>
      <c r="KY443">
        <v>0</v>
      </c>
      <c r="KZ443">
        <v>0</v>
      </c>
      <c r="LA443">
        <v>0</v>
      </c>
      <c r="LB443">
        <v>0</v>
      </c>
      <c r="LC443">
        <v>0</v>
      </c>
      <c r="LD443">
        <v>0</v>
      </c>
      <c r="LE443">
        <v>0</v>
      </c>
      <c r="LF443">
        <v>0</v>
      </c>
      <c r="LG443">
        <v>0</v>
      </c>
      <c r="LH443">
        <v>0</v>
      </c>
      <c r="LI443">
        <v>0</v>
      </c>
      <c r="LJ443">
        <v>0</v>
      </c>
      <c r="LK443">
        <v>0</v>
      </c>
      <c r="LL443">
        <v>0</v>
      </c>
      <c r="LM443">
        <v>0</v>
      </c>
      <c r="LN443">
        <v>0</v>
      </c>
      <c r="LO443">
        <v>0</v>
      </c>
      <c r="LP443">
        <v>0</v>
      </c>
      <c r="LQ443">
        <v>0</v>
      </c>
      <c r="LR443">
        <v>0</v>
      </c>
      <c r="LS443">
        <v>0</v>
      </c>
      <c r="LT443">
        <v>0</v>
      </c>
      <c r="LU443">
        <v>0</v>
      </c>
      <c r="LV443">
        <v>0</v>
      </c>
      <c r="LW443">
        <v>0</v>
      </c>
      <c r="LX443">
        <v>0</v>
      </c>
      <c r="LY443">
        <v>0</v>
      </c>
      <c r="LZ443">
        <v>0</v>
      </c>
      <c r="MA443">
        <v>0</v>
      </c>
      <c r="MB443">
        <v>0</v>
      </c>
      <c r="MC443">
        <v>0</v>
      </c>
      <c r="MD443">
        <v>0</v>
      </c>
      <c r="ME443">
        <v>0</v>
      </c>
      <c r="MF443">
        <v>0</v>
      </c>
      <c r="MG443">
        <v>0</v>
      </c>
      <c r="MH443">
        <v>0</v>
      </c>
      <c r="MI443">
        <v>0</v>
      </c>
      <c r="MJ443">
        <v>0</v>
      </c>
      <c r="MK443">
        <v>0</v>
      </c>
      <c r="ML443">
        <v>0</v>
      </c>
      <c r="MM443">
        <v>0</v>
      </c>
      <c r="MN443">
        <v>0</v>
      </c>
      <c r="MO443">
        <v>0</v>
      </c>
      <c r="MP443">
        <v>0</v>
      </c>
      <c r="MQ443">
        <v>0</v>
      </c>
      <c r="MR443">
        <v>0</v>
      </c>
      <c r="MS443">
        <v>0</v>
      </c>
      <c r="MT443">
        <v>0</v>
      </c>
      <c r="MU443">
        <v>0</v>
      </c>
      <c r="MV443">
        <v>0</v>
      </c>
      <c r="MW443">
        <v>0</v>
      </c>
      <c r="MX443">
        <v>0</v>
      </c>
      <c r="MY443">
        <v>0</v>
      </c>
      <c r="MZ443">
        <v>0</v>
      </c>
      <c r="NA443">
        <v>0</v>
      </c>
      <c r="NB443">
        <v>0</v>
      </c>
      <c r="NC443">
        <v>0</v>
      </c>
      <c r="ND443">
        <v>0</v>
      </c>
      <c r="NE443">
        <v>0</v>
      </c>
    </row>
    <row r="444" spans="41:369" x14ac:dyDescent="0.45">
      <c r="AO444">
        <v>0</v>
      </c>
      <c r="AP444">
        <v>0</v>
      </c>
      <c r="AQ444">
        <v>0</v>
      </c>
      <c r="AR444">
        <v>0</v>
      </c>
      <c r="AS444">
        <v>0</v>
      </c>
      <c r="AT444">
        <v>0</v>
      </c>
      <c r="AU444">
        <v>0</v>
      </c>
      <c r="AV444">
        <v>0</v>
      </c>
      <c r="AW444" t="str">
        <v/>
      </c>
      <c r="AX444">
        <v>255</v>
      </c>
      <c r="AY444" s="5" t="str">
        <v/>
      </c>
      <c r="AZ444">
        <v>0</v>
      </c>
      <c r="BA444">
        <v>0</v>
      </c>
      <c r="BB444">
        <v>0</v>
      </c>
      <c r="BC444">
        <v>0</v>
      </c>
      <c r="BD444">
        <v>0</v>
      </c>
      <c r="BE444">
        <v>0</v>
      </c>
      <c r="BF444">
        <v>0</v>
      </c>
      <c r="BG444">
        <v>0</v>
      </c>
      <c r="BH444">
        <v>0</v>
      </c>
      <c r="BI444" t="str">
        <v/>
      </c>
      <c r="BK444">
        <v>438</v>
      </c>
      <c r="BL444">
        <v>0</v>
      </c>
      <c r="BM444">
        <v>0</v>
      </c>
      <c r="BN444">
        <v>0</v>
      </c>
      <c r="BO444">
        <v>0</v>
      </c>
      <c r="BP444">
        <v>0</v>
      </c>
      <c r="BQ444">
        <v>0</v>
      </c>
      <c r="BR444">
        <v>0</v>
      </c>
      <c r="BS444">
        <v>0</v>
      </c>
      <c r="BT444">
        <v>0</v>
      </c>
      <c r="BU444">
        <v>0</v>
      </c>
      <c r="BV444">
        <v>0</v>
      </c>
      <c r="BW444">
        <v>0</v>
      </c>
      <c r="BX444">
        <v>0</v>
      </c>
      <c r="BY444">
        <v>0</v>
      </c>
      <c r="BZ444">
        <v>0</v>
      </c>
      <c r="CA444">
        <v>0</v>
      </c>
      <c r="CB444">
        <v>0</v>
      </c>
      <c r="CC444">
        <v>0</v>
      </c>
      <c r="CD444">
        <v>0</v>
      </c>
      <c r="CE444">
        <v>0</v>
      </c>
      <c r="CF444">
        <v>0</v>
      </c>
      <c r="CG444">
        <v>0</v>
      </c>
      <c r="CH444">
        <v>0</v>
      </c>
      <c r="CI444">
        <v>0</v>
      </c>
      <c r="CJ444">
        <v>0</v>
      </c>
      <c r="CK444">
        <v>0</v>
      </c>
      <c r="CL444">
        <v>0</v>
      </c>
      <c r="CM444">
        <v>0</v>
      </c>
      <c r="CN444">
        <v>0</v>
      </c>
      <c r="CO444">
        <v>0</v>
      </c>
      <c r="CP444">
        <v>0</v>
      </c>
      <c r="CQ444">
        <v>0</v>
      </c>
      <c r="CR444">
        <v>0</v>
      </c>
      <c r="CS444">
        <v>0</v>
      </c>
      <c r="CT444">
        <v>0</v>
      </c>
      <c r="CU444">
        <v>0</v>
      </c>
      <c r="CV444">
        <v>0</v>
      </c>
      <c r="CW444">
        <v>0</v>
      </c>
      <c r="CX444">
        <v>0</v>
      </c>
      <c r="CY444">
        <v>0</v>
      </c>
      <c r="CZ444">
        <v>0</v>
      </c>
      <c r="DA444">
        <v>0</v>
      </c>
      <c r="DB444">
        <v>0</v>
      </c>
      <c r="DC444">
        <v>0</v>
      </c>
      <c r="DD444">
        <v>0</v>
      </c>
      <c r="DE444">
        <v>0</v>
      </c>
      <c r="DF444">
        <v>0</v>
      </c>
      <c r="DG444">
        <v>0</v>
      </c>
      <c r="DH444">
        <v>0</v>
      </c>
      <c r="DI444">
        <v>0</v>
      </c>
      <c r="DJ444">
        <v>0</v>
      </c>
      <c r="DK444">
        <v>0</v>
      </c>
      <c r="DL444">
        <v>0</v>
      </c>
      <c r="DM444">
        <v>0</v>
      </c>
      <c r="DN444">
        <v>0</v>
      </c>
      <c r="DO444">
        <v>0</v>
      </c>
      <c r="DP444">
        <v>0</v>
      </c>
      <c r="DQ444">
        <v>0</v>
      </c>
      <c r="DR444">
        <v>0</v>
      </c>
      <c r="DS444">
        <v>0</v>
      </c>
      <c r="DT444">
        <v>0</v>
      </c>
      <c r="DU444">
        <v>0</v>
      </c>
      <c r="DV444">
        <v>0</v>
      </c>
      <c r="DW444">
        <v>0</v>
      </c>
      <c r="DX444">
        <v>0</v>
      </c>
      <c r="DY444">
        <v>0</v>
      </c>
      <c r="DZ444">
        <v>0</v>
      </c>
      <c r="EA444">
        <v>0</v>
      </c>
      <c r="EB444">
        <v>0</v>
      </c>
      <c r="EC444">
        <v>0</v>
      </c>
      <c r="ED444">
        <v>0</v>
      </c>
      <c r="EE444">
        <v>0</v>
      </c>
      <c r="EF444">
        <v>0</v>
      </c>
      <c r="EG444">
        <v>0</v>
      </c>
      <c r="EH444">
        <v>0</v>
      </c>
      <c r="EI444">
        <v>0</v>
      </c>
      <c r="EJ444">
        <v>0</v>
      </c>
      <c r="EK444">
        <v>0</v>
      </c>
      <c r="EL444">
        <v>0</v>
      </c>
      <c r="EM444">
        <v>0</v>
      </c>
      <c r="EN444">
        <v>0</v>
      </c>
      <c r="EO444">
        <v>0</v>
      </c>
      <c r="EP444">
        <v>0</v>
      </c>
      <c r="EQ444">
        <v>0</v>
      </c>
      <c r="ER444">
        <v>0</v>
      </c>
      <c r="ES444">
        <v>0</v>
      </c>
      <c r="ET444">
        <v>0</v>
      </c>
      <c r="EU444">
        <v>0</v>
      </c>
      <c r="EV444">
        <v>0</v>
      </c>
      <c r="EW444">
        <v>0</v>
      </c>
      <c r="EX444">
        <v>0</v>
      </c>
      <c r="EY444">
        <v>0</v>
      </c>
      <c r="EZ444">
        <v>0</v>
      </c>
      <c r="FA444">
        <v>0</v>
      </c>
      <c r="FB444">
        <v>0</v>
      </c>
      <c r="FC444">
        <v>0</v>
      </c>
      <c r="FD444">
        <v>0</v>
      </c>
      <c r="FE444">
        <v>0</v>
      </c>
      <c r="FF444">
        <v>0</v>
      </c>
      <c r="FG444">
        <v>0</v>
      </c>
      <c r="FH444">
        <v>0</v>
      </c>
      <c r="FI444">
        <v>0</v>
      </c>
      <c r="FJ444">
        <v>0</v>
      </c>
      <c r="FK444">
        <v>0</v>
      </c>
      <c r="FL444">
        <v>0</v>
      </c>
      <c r="FM444">
        <v>0</v>
      </c>
      <c r="FN444">
        <v>0</v>
      </c>
      <c r="FO444">
        <v>0</v>
      </c>
      <c r="FP444">
        <v>0</v>
      </c>
      <c r="FQ444">
        <v>0</v>
      </c>
      <c r="FR444">
        <v>0</v>
      </c>
      <c r="FS444">
        <v>0</v>
      </c>
      <c r="FT444">
        <v>0</v>
      </c>
      <c r="FU444">
        <v>0</v>
      </c>
      <c r="FV444">
        <v>0</v>
      </c>
      <c r="FW444">
        <v>0</v>
      </c>
      <c r="FX444">
        <v>0</v>
      </c>
      <c r="FY444">
        <v>0</v>
      </c>
      <c r="FZ444">
        <v>0</v>
      </c>
      <c r="GA444">
        <v>0</v>
      </c>
      <c r="GB444">
        <v>0</v>
      </c>
      <c r="GC444">
        <v>0</v>
      </c>
      <c r="GD444">
        <v>0</v>
      </c>
      <c r="GE444">
        <v>0</v>
      </c>
      <c r="GF444">
        <v>0</v>
      </c>
      <c r="GG444">
        <v>0</v>
      </c>
      <c r="GH444">
        <v>0</v>
      </c>
      <c r="GI444">
        <v>0</v>
      </c>
      <c r="GJ444">
        <v>0</v>
      </c>
      <c r="GK444">
        <v>0</v>
      </c>
      <c r="GL444">
        <v>0</v>
      </c>
      <c r="GM444">
        <v>0</v>
      </c>
      <c r="GN444">
        <v>0</v>
      </c>
      <c r="GO444">
        <v>0</v>
      </c>
      <c r="GP444">
        <v>0</v>
      </c>
      <c r="GQ444">
        <v>0</v>
      </c>
      <c r="GR444">
        <v>0</v>
      </c>
      <c r="GS444">
        <v>0</v>
      </c>
      <c r="GT444">
        <v>0</v>
      </c>
      <c r="GU444">
        <v>0</v>
      </c>
      <c r="GV444">
        <v>0</v>
      </c>
      <c r="GW444">
        <v>0</v>
      </c>
      <c r="GX444">
        <v>0</v>
      </c>
      <c r="GY444">
        <v>0</v>
      </c>
      <c r="GZ444">
        <v>0</v>
      </c>
      <c r="HA444">
        <v>0</v>
      </c>
      <c r="HB444">
        <v>0</v>
      </c>
      <c r="HC444">
        <v>0</v>
      </c>
      <c r="HD444">
        <v>0</v>
      </c>
      <c r="HE444">
        <v>0</v>
      </c>
      <c r="HF444">
        <v>0</v>
      </c>
      <c r="HG444">
        <v>0</v>
      </c>
      <c r="HH444">
        <v>0</v>
      </c>
      <c r="HI444">
        <v>0</v>
      </c>
      <c r="HJ444">
        <v>0</v>
      </c>
      <c r="HK444">
        <v>0</v>
      </c>
      <c r="HL444">
        <v>0</v>
      </c>
      <c r="HM444">
        <v>0</v>
      </c>
      <c r="HN444">
        <v>0</v>
      </c>
      <c r="HO444">
        <v>0</v>
      </c>
      <c r="HP444">
        <v>0</v>
      </c>
      <c r="HQ444">
        <v>0</v>
      </c>
      <c r="HR444">
        <v>0</v>
      </c>
      <c r="HS444">
        <v>0</v>
      </c>
      <c r="HT444">
        <v>0</v>
      </c>
      <c r="HU444">
        <v>0</v>
      </c>
      <c r="HV444">
        <v>0</v>
      </c>
      <c r="HW444">
        <v>0</v>
      </c>
      <c r="HX444">
        <v>0</v>
      </c>
      <c r="HY444">
        <v>0</v>
      </c>
      <c r="HZ444">
        <v>0</v>
      </c>
      <c r="IA444">
        <v>0</v>
      </c>
      <c r="IB444">
        <v>0</v>
      </c>
      <c r="IC444">
        <v>0</v>
      </c>
      <c r="ID444">
        <v>0</v>
      </c>
      <c r="IE444">
        <v>0</v>
      </c>
      <c r="IF444">
        <v>0</v>
      </c>
      <c r="IG444">
        <v>0</v>
      </c>
      <c r="IH444">
        <v>0</v>
      </c>
      <c r="II444">
        <v>0</v>
      </c>
      <c r="IJ444">
        <v>0</v>
      </c>
      <c r="IK444">
        <v>0</v>
      </c>
      <c r="IL444">
        <v>0</v>
      </c>
      <c r="IM444">
        <v>0</v>
      </c>
      <c r="IN444">
        <v>0</v>
      </c>
      <c r="IO444">
        <v>0</v>
      </c>
      <c r="IP444">
        <v>0</v>
      </c>
      <c r="IQ444">
        <v>0</v>
      </c>
      <c r="IR444">
        <v>0</v>
      </c>
      <c r="IS444">
        <v>0</v>
      </c>
      <c r="IT444">
        <v>0</v>
      </c>
      <c r="IU444">
        <v>0</v>
      </c>
      <c r="IV444">
        <v>0</v>
      </c>
      <c r="IW444">
        <v>0</v>
      </c>
      <c r="IX444">
        <v>0</v>
      </c>
      <c r="IY444">
        <v>0</v>
      </c>
      <c r="IZ444">
        <v>0</v>
      </c>
      <c r="JA444">
        <v>0</v>
      </c>
      <c r="JB444">
        <v>0</v>
      </c>
      <c r="JC444">
        <v>0</v>
      </c>
      <c r="JD444">
        <v>0</v>
      </c>
      <c r="JE444">
        <v>0</v>
      </c>
      <c r="JF444">
        <v>0</v>
      </c>
      <c r="JG444">
        <v>0</v>
      </c>
      <c r="JH444">
        <v>0</v>
      </c>
      <c r="JI444">
        <v>0</v>
      </c>
      <c r="JJ444">
        <v>0</v>
      </c>
      <c r="JK444">
        <v>0</v>
      </c>
      <c r="JL444">
        <v>0</v>
      </c>
      <c r="JM444">
        <v>0</v>
      </c>
      <c r="JN444">
        <v>0</v>
      </c>
      <c r="JO444">
        <v>0</v>
      </c>
      <c r="JP444">
        <v>0</v>
      </c>
      <c r="JQ444">
        <v>0</v>
      </c>
      <c r="JR444">
        <v>0</v>
      </c>
      <c r="JS444">
        <v>0</v>
      </c>
      <c r="JT444">
        <v>0</v>
      </c>
      <c r="JU444">
        <v>0</v>
      </c>
      <c r="JV444">
        <v>0</v>
      </c>
      <c r="JW444">
        <v>0</v>
      </c>
      <c r="JX444">
        <v>0</v>
      </c>
      <c r="JY444">
        <v>0</v>
      </c>
      <c r="JZ444">
        <v>0</v>
      </c>
      <c r="KA444">
        <v>0</v>
      </c>
      <c r="KB444">
        <v>0</v>
      </c>
      <c r="KC444">
        <v>0</v>
      </c>
      <c r="KD444">
        <v>0</v>
      </c>
      <c r="KE444">
        <v>0</v>
      </c>
      <c r="KF444">
        <v>0</v>
      </c>
      <c r="KG444">
        <v>0</v>
      </c>
      <c r="KH444">
        <v>0</v>
      </c>
      <c r="KI444">
        <v>0</v>
      </c>
      <c r="KJ444">
        <v>0</v>
      </c>
      <c r="KK444">
        <v>0</v>
      </c>
      <c r="KL444">
        <v>0</v>
      </c>
      <c r="KM444">
        <v>0</v>
      </c>
      <c r="KN444">
        <v>0</v>
      </c>
      <c r="KO444">
        <v>0</v>
      </c>
      <c r="KP444">
        <v>0</v>
      </c>
      <c r="KQ444">
        <v>0</v>
      </c>
      <c r="KR444">
        <v>0</v>
      </c>
      <c r="KS444">
        <v>0</v>
      </c>
      <c r="KT444">
        <v>0</v>
      </c>
      <c r="KU444">
        <v>0</v>
      </c>
      <c r="KV444">
        <v>0</v>
      </c>
      <c r="KW444">
        <v>0</v>
      </c>
      <c r="KX444">
        <v>0</v>
      </c>
      <c r="KY444">
        <v>0</v>
      </c>
      <c r="KZ444">
        <v>0</v>
      </c>
      <c r="LA444">
        <v>0</v>
      </c>
      <c r="LB444">
        <v>0</v>
      </c>
      <c r="LC444">
        <v>0</v>
      </c>
      <c r="LD444">
        <v>0</v>
      </c>
      <c r="LE444">
        <v>0</v>
      </c>
      <c r="LF444">
        <v>0</v>
      </c>
      <c r="LG444">
        <v>0</v>
      </c>
      <c r="LH444">
        <v>0</v>
      </c>
      <c r="LI444">
        <v>0</v>
      </c>
      <c r="LJ444">
        <v>0</v>
      </c>
      <c r="LK444">
        <v>0</v>
      </c>
      <c r="LL444">
        <v>0</v>
      </c>
      <c r="LM444">
        <v>0</v>
      </c>
      <c r="LN444">
        <v>0</v>
      </c>
      <c r="LO444">
        <v>0</v>
      </c>
      <c r="LP444">
        <v>0</v>
      </c>
      <c r="LQ444">
        <v>0</v>
      </c>
      <c r="LR444">
        <v>0</v>
      </c>
      <c r="LS444">
        <v>0</v>
      </c>
      <c r="LT444">
        <v>0</v>
      </c>
      <c r="LU444">
        <v>0</v>
      </c>
      <c r="LV444">
        <v>0</v>
      </c>
      <c r="LW444">
        <v>0</v>
      </c>
      <c r="LX444">
        <v>0</v>
      </c>
      <c r="LY444">
        <v>0</v>
      </c>
      <c r="LZ444">
        <v>0</v>
      </c>
      <c r="MA444">
        <v>0</v>
      </c>
      <c r="MB444">
        <v>0</v>
      </c>
      <c r="MC444">
        <v>0</v>
      </c>
      <c r="MD444">
        <v>0</v>
      </c>
      <c r="ME444">
        <v>0</v>
      </c>
      <c r="MF444">
        <v>0</v>
      </c>
      <c r="MG444">
        <v>0</v>
      </c>
      <c r="MH444">
        <v>0</v>
      </c>
      <c r="MI444">
        <v>0</v>
      </c>
      <c r="MJ444">
        <v>0</v>
      </c>
      <c r="MK444">
        <v>0</v>
      </c>
      <c r="ML444">
        <v>0</v>
      </c>
      <c r="MM444">
        <v>0</v>
      </c>
      <c r="MN444">
        <v>0</v>
      </c>
      <c r="MO444">
        <v>0</v>
      </c>
      <c r="MP444">
        <v>0</v>
      </c>
      <c r="MQ444">
        <v>0</v>
      </c>
      <c r="MR444">
        <v>0</v>
      </c>
      <c r="MS444">
        <v>0</v>
      </c>
      <c r="MT444">
        <v>0</v>
      </c>
      <c r="MU444">
        <v>0</v>
      </c>
      <c r="MV444">
        <v>0</v>
      </c>
      <c r="MW444">
        <v>0</v>
      </c>
      <c r="MX444">
        <v>0</v>
      </c>
      <c r="MY444">
        <v>0</v>
      </c>
      <c r="MZ444">
        <v>0</v>
      </c>
      <c r="NA444">
        <v>0</v>
      </c>
      <c r="NB444">
        <v>0</v>
      </c>
      <c r="NC444">
        <v>0</v>
      </c>
      <c r="ND444">
        <v>0</v>
      </c>
      <c r="NE444">
        <v>0</v>
      </c>
    </row>
    <row r="445" spans="41:369" x14ac:dyDescent="0.45">
      <c r="AO445">
        <v>0</v>
      </c>
      <c r="AP445">
        <v>0</v>
      </c>
      <c r="AQ445">
        <v>0</v>
      </c>
      <c r="AR445">
        <v>0</v>
      </c>
      <c r="AS445">
        <v>0</v>
      </c>
      <c r="AT445">
        <v>0</v>
      </c>
      <c r="AU445">
        <v>0</v>
      </c>
      <c r="AV445">
        <v>0</v>
      </c>
      <c r="AW445" t="str">
        <v/>
      </c>
      <c r="AX445">
        <v>255</v>
      </c>
      <c r="AY445" s="5" t="str">
        <v/>
      </c>
      <c r="AZ445">
        <v>0</v>
      </c>
      <c r="BA445">
        <v>0</v>
      </c>
      <c r="BB445">
        <v>0</v>
      </c>
      <c r="BC445">
        <v>0</v>
      </c>
      <c r="BD445">
        <v>0</v>
      </c>
      <c r="BE445">
        <v>0</v>
      </c>
      <c r="BF445">
        <v>0</v>
      </c>
      <c r="BG445">
        <v>0</v>
      </c>
      <c r="BH445">
        <v>0</v>
      </c>
      <c r="BI445" t="str">
        <v/>
      </c>
      <c r="BK445">
        <v>439</v>
      </c>
      <c r="BL445">
        <v>0</v>
      </c>
      <c r="BM445">
        <v>0</v>
      </c>
      <c r="BN445">
        <v>0</v>
      </c>
      <c r="BO445">
        <v>0</v>
      </c>
      <c r="BP445">
        <v>0</v>
      </c>
      <c r="BQ445">
        <v>0</v>
      </c>
      <c r="BR445">
        <v>0</v>
      </c>
      <c r="BS445">
        <v>0</v>
      </c>
      <c r="BT445">
        <v>0</v>
      </c>
      <c r="BU445">
        <v>0</v>
      </c>
      <c r="BV445">
        <v>0</v>
      </c>
      <c r="BW445">
        <v>0</v>
      </c>
      <c r="BX445">
        <v>0</v>
      </c>
      <c r="BY445">
        <v>0</v>
      </c>
      <c r="BZ445">
        <v>0</v>
      </c>
      <c r="CA445">
        <v>0</v>
      </c>
      <c r="CB445">
        <v>0</v>
      </c>
      <c r="CC445">
        <v>0</v>
      </c>
      <c r="CD445">
        <v>0</v>
      </c>
      <c r="CE445">
        <v>0</v>
      </c>
      <c r="CF445">
        <v>0</v>
      </c>
      <c r="CG445">
        <v>0</v>
      </c>
      <c r="CH445">
        <v>0</v>
      </c>
      <c r="CI445">
        <v>0</v>
      </c>
      <c r="CJ445">
        <v>0</v>
      </c>
      <c r="CK445">
        <v>0</v>
      </c>
      <c r="CL445">
        <v>0</v>
      </c>
      <c r="CM445">
        <v>0</v>
      </c>
      <c r="CN445">
        <v>0</v>
      </c>
      <c r="CO445">
        <v>0</v>
      </c>
      <c r="CP445">
        <v>0</v>
      </c>
      <c r="CQ445">
        <v>0</v>
      </c>
      <c r="CR445">
        <v>0</v>
      </c>
      <c r="CS445">
        <v>0</v>
      </c>
      <c r="CT445">
        <v>0</v>
      </c>
      <c r="CU445">
        <v>0</v>
      </c>
      <c r="CV445">
        <v>0</v>
      </c>
      <c r="CW445">
        <v>0</v>
      </c>
      <c r="CX445">
        <v>0</v>
      </c>
      <c r="CY445">
        <v>0</v>
      </c>
      <c r="CZ445">
        <v>0</v>
      </c>
      <c r="DA445">
        <v>0</v>
      </c>
      <c r="DB445">
        <v>0</v>
      </c>
      <c r="DC445">
        <v>0</v>
      </c>
      <c r="DD445">
        <v>0</v>
      </c>
      <c r="DE445">
        <v>0</v>
      </c>
      <c r="DF445">
        <v>0</v>
      </c>
      <c r="DG445">
        <v>0</v>
      </c>
      <c r="DH445">
        <v>0</v>
      </c>
      <c r="DI445">
        <v>0</v>
      </c>
      <c r="DJ445">
        <v>0</v>
      </c>
      <c r="DK445">
        <v>0</v>
      </c>
      <c r="DL445">
        <v>0</v>
      </c>
      <c r="DM445">
        <v>0</v>
      </c>
      <c r="DN445">
        <v>0</v>
      </c>
      <c r="DO445">
        <v>0</v>
      </c>
      <c r="DP445">
        <v>0</v>
      </c>
      <c r="DQ445">
        <v>0</v>
      </c>
      <c r="DR445">
        <v>0</v>
      </c>
      <c r="DS445">
        <v>0</v>
      </c>
      <c r="DT445">
        <v>0</v>
      </c>
      <c r="DU445">
        <v>0</v>
      </c>
      <c r="DV445">
        <v>0</v>
      </c>
      <c r="DW445">
        <v>0</v>
      </c>
      <c r="DX445">
        <v>0</v>
      </c>
      <c r="DY445">
        <v>0</v>
      </c>
      <c r="DZ445">
        <v>0</v>
      </c>
      <c r="EA445">
        <v>0</v>
      </c>
      <c r="EB445">
        <v>0</v>
      </c>
      <c r="EC445">
        <v>0</v>
      </c>
      <c r="ED445">
        <v>0</v>
      </c>
      <c r="EE445">
        <v>0</v>
      </c>
      <c r="EF445">
        <v>0</v>
      </c>
      <c r="EG445">
        <v>0</v>
      </c>
      <c r="EH445">
        <v>0</v>
      </c>
      <c r="EI445">
        <v>0</v>
      </c>
      <c r="EJ445">
        <v>0</v>
      </c>
      <c r="EK445">
        <v>0</v>
      </c>
      <c r="EL445">
        <v>0</v>
      </c>
      <c r="EM445">
        <v>0</v>
      </c>
      <c r="EN445">
        <v>0</v>
      </c>
      <c r="EO445">
        <v>0</v>
      </c>
      <c r="EP445">
        <v>0</v>
      </c>
      <c r="EQ445">
        <v>0</v>
      </c>
      <c r="ER445">
        <v>0</v>
      </c>
      <c r="ES445">
        <v>0</v>
      </c>
      <c r="ET445">
        <v>0</v>
      </c>
      <c r="EU445">
        <v>0</v>
      </c>
      <c r="EV445">
        <v>0</v>
      </c>
      <c r="EW445">
        <v>0</v>
      </c>
      <c r="EX445">
        <v>0</v>
      </c>
      <c r="EY445">
        <v>0</v>
      </c>
      <c r="EZ445">
        <v>0</v>
      </c>
      <c r="FA445">
        <v>0</v>
      </c>
      <c r="FB445">
        <v>0</v>
      </c>
      <c r="FC445">
        <v>0</v>
      </c>
      <c r="FD445">
        <v>0</v>
      </c>
      <c r="FE445">
        <v>0</v>
      </c>
      <c r="FF445">
        <v>0</v>
      </c>
      <c r="FG445">
        <v>0</v>
      </c>
      <c r="FH445">
        <v>0</v>
      </c>
      <c r="FI445">
        <v>0</v>
      </c>
      <c r="FJ445">
        <v>0</v>
      </c>
      <c r="FK445">
        <v>0</v>
      </c>
      <c r="FL445">
        <v>0</v>
      </c>
      <c r="FM445">
        <v>0</v>
      </c>
      <c r="FN445">
        <v>0</v>
      </c>
      <c r="FO445">
        <v>0</v>
      </c>
      <c r="FP445">
        <v>0</v>
      </c>
      <c r="FQ445">
        <v>0</v>
      </c>
      <c r="FR445">
        <v>0</v>
      </c>
      <c r="FS445">
        <v>0</v>
      </c>
      <c r="FT445">
        <v>0</v>
      </c>
      <c r="FU445">
        <v>0</v>
      </c>
      <c r="FV445">
        <v>0</v>
      </c>
      <c r="FW445">
        <v>0</v>
      </c>
      <c r="FX445">
        <v>0</v>
      </c>
      <c r="FY445">
        <v>0</v>
      </c>
      <c r="FZ445">
        <v>0</v>
      </c>
      <c r="GA445">
        <v>0</v>
      </c>
      <c r="GB445">
        <v>0</v>
      </c>
      <c r="GC445">
        <v>0</v>
      </c>
      <c r="GD445">
        <v>0</v>
      </c>
      <c r="GE445">
        <v>0</v>
      </c>
      <c r="GF445">
        <v>0</v>
      </c>
      <c r="GG445">
        <v>0</v>
      </c>
      <c r="GH445">
        <v>0</v>
      </c>
      <c r="GI445">
        <v>0</v>
      </c>
      <c r="GJ445">
        <v>0</v>
      </c>
      <c r="GK445">
        <v>0</v>
      </c>
      <c r="GL445">
        <v>0</v>
      </c>
      <c r="GM445">
        <v>0</v>
      </c>
      <c r="GN445">
        <v>0</v>
      </c>
      <c r="GO445">
        <v>0</v>
      </c>
      <c r="GP445">
        <v>0</v>
      </c>
      <c r="GQ445">
        <v>0</v>
      </c>
      <c r="GR445">
        <v>0</v>
      </c>
      <c r="GS445">
        <v>0</v>
      </c>
      <c r="GT445">
        <v>0</v>
      </c>
      <c r="GU445">
        <v>0</v>
      </c>
      <c r="GV445">
        <v>0</v>
      </c>
      <c r="GW445">
        <v>0</v>
      </c>
      <c r="GX445">
        <v>0</v>
      </c>
      <c r="GY445">
        <v>0</v>
      </c>
      <c r="GZ445">
        <v>0</v>
      </c>
      <c r="HA445">
        <v>0</v>
      </c>
      <c r="HB445">
        <v>0</v>
      </c>
      <c r="HC445">
        <v>0</v>
      </c>
      <c r="HD445">
        <v>0</v>
      </c>
      <c r="HE445">
        <v>0</v>
      </c>
      <c r="HF445">
        <v>0</v>
      </c>
      <c r="HG445">
        <v>0</v>
      </c>
      <c r="HH445">
        <v>0</v>
      </c>
      <c r="HI445">
        <v>0</v>
      </c>
      <c r="HJ445">
        <v>0</v>
      </c>
      <c r="HK445">
        <v>0</v>
      </c>
      <c r="HL445">
        <v>0</v>
      </c>
      <c r="HM445">
        <v>0</v>
      </c>
      <c r="HN445">
        <v>0</v>
      </c>
      <c r="HO445">
        <v>0</v>
      </c>
      <c r="HP445">
        <v>0</v>
      </c>
      <c r="HQ445">
        <v>0</v>
      </c>
      <c r="HR445">
        <v>0</v>
      </c>
      <c r="HS445">
        <v>0</v>
      </c>
      <c r="HT445">
        <v>0</v>
      </c>
      <c r="HU445">
        <v>0</v>
      </c>
      <c r="HV445">
        <v>0</v>
      </c>
      <c r="HW445">
        <v>0</v>
      </c>
      <c r="HX445">
        <v>0</v>
      </c>
      <c r="HY445">
        <v>0</v>
      </c>
      <c r="HZ445">
        <v>0</v>
      </c>
      <c r="IA445">
        <v>0</v>
      </c>
      <c r="IB445">
        <v>0</v>
      </c>
      <c r="IC445">
        <v>0</v>
      </c>
      <c r="ID445">
        <v>0</v>
      </c>
      <c r="IE445">
        <v>0</v>
      </c>
      <c r="IF445">
        <v>0</v>
      </c>
      <c r="IG445">
        <v>0</v>
      </c>
      <c r="IH445">
        <v>0</v>
      </c>
      <c r="II445">
        <v>0</v>
      </c>
      <c r="IJ445">
        <v>0</v>
      </c>
      <c r="IK445">
        <v>0</v>
      </c>
      <c r="IL445">
        <v>0</v>
      </c>
      <c r="IM445">
        <v>0</v>
      </c>
      <c r="IN445">
        <v>0</v>
      </c>
      <c r="IO445">
        <v>0</v>
      </c>
      <c r="IP445">
        <v>0</v>
      </c>
      <c r="IQ445">
        <v>0</v>
      </c>
      <c r="IR445">
        <v>0</v>
      </c>
      <c r="IS445">
        <v>0</v>
      </c>
      <c r="IT445">
        <v>0</v>
      </c>
      <c r="IU445">
        <v>0</v>
      </c>
      <c r="IV445">
        <v>0</v>
      </c>
      <c r="IW445">
        <v>0</v>
      </c>
      <c r="IX445">
        <v>0</v>
      </c>
      <c r="IY445">
        <v>0</v>
      </c>
      <c r="IZ445">
        <v>0</v>
      </c>
      <c r="JA445">
        <v>0</v>
      </c>
      <c r="JB445">
        <v>0</v>
      </c>
      <c r="JC445">
        <v>0</v>
      </c>
      <c r="JD445">
        <v>0</v>
      </c>
      <c r="JE445">
        <v>0</v>
      </c>
      <c r="JF445">
        <v>0</v>
      </c>
      <c r="JG445">
        <v>0</v>
      </c>
      <c r="JH445">
        <v>0</v>
      </c>
      <c r="JI445">
        <v>0</v>
      </c>
      <c r="JJ445">
        <v>0</v>
      </c>
      <c r="JK445">
        <v>0</v>
      </c>
      <c r="JL445">
        <v>0</v>
      </c>
      <c r="JM445">
        <v>0</v>
      </c>
      <c r="JN445">
        <v>0</v>
      </c>
      <c r="JO445">
        <v>0</v>
      </c>
      <c r="JP445">
        <v>0</v>
      </c>
      <c r="JQ445">
        <v>0</v>
      </c>
      <c r="JR445">
        <v>0</v>
      </c>
      <c r="JS445">
        <v>0</v>
      </c>
      <c r="JT445">
        <v>0</v>
      </c>
      <c r="JU445">
        <v>0</v>
      </c>
      <c r="JV445">
        <v>0</v>
      </c>
      <c r="JW445">
        <v>0</v>
      </c>
      <c r="JX445">
        <v>0</v>
      </c>
      <c r="JY445">
        <v>0</v>
      </c>
      <c r="JZ445">
        <v>0</v>
      </c>
      <c r="KA445">
        <v>0</v>
      </c>
      <c r="KB445">
        <v>0</v>
      </c>
      <c r="KC445">
        <v>0</v>
      </c>
      <c r="KD445">
        <v>0</v>
      </c>
      <c r="KE445">
        <v>0</v>
      </c>
      <c r="KF445">
        <v>0</v>
      </c>
      <c r="KG445">
        <v>0</v>
      </c>
      <c r="KH445">
        <v>0</v>
      </c>
      <c r="KI445">
        <v>0</v>
      </c>
      <c r="KJ445">
        <v>0</v>
      </c>
      <c r="KK445">
        <v>0</v>
      </c>
      <c r="KL445">
        <v>0</v>
      </c>
      <c r="KM445">
        <v>0</v>
      </c>
      <c r="KN445">
        <v>0</v>
      </c>
      <c r="KO445">
        <v>0</v>
      </c>
      <c r="KP445">
        <v>0</v>
      </c>
      <c r="KQ445">
        <v>0</v>
      </c>
      <c r="KR445">
        <v>0</v>
      </c>
      <c r="KS445">
        <v>0</v>
      </c>
      <c r="KT445">
        <v>0</v>
      </c>
      <c r="KU445">
        <v>0</v>
      </c>
      <c r="KV445">
        <v>0</v>
      </c>
      <c r="KW445">
        <v>0</v>
      </c>
      <c r="KX445">
        <v>0</v>
      </c>
      <c r="KY445">
        <v>0</v>
      </c>
      <c r="KZ445">
        <v>0</v>
      </c>
      <c r="LA445">
        <v>0</v>
      </c>
      <c r="LB445">
        <v>0</v>
      </c>
      <c r="LC445">
        <v>0</v>
      </c>
      <c r="LD445">
        <v>0</v>
      </c>
      <c r="LE445">
        <v>0</v>
      </c>
      <c r="LF445">
        <v>0</v>
      </c>
      <c r="LG445">
        <v>0</v>
      </c>
      <c r="LH445">
        <v>0</v>
      </c>
      <c r="LI445">
        <v>0</v>
      </c>
      <c r="LJ445">
        <v>0</v>
      </c>
      <c r="LK445">
        <v>0</v>
      </c>
      <c r="LL445">
        <v>0</v>
      </c>
      <c r="LM445">
        <v>0</v>
      </c>
      <c r="LN445">
        <v>0</v>
      </c>
      <c r="LO445">
        <v>0</v>
      </c>
      <c r="LP445">
        <v>0</v>
      </c>
      <c r="LQ445">
        <v>0</v>
      </c>
      <c r="LR445">
        <v>0</v>
      </c>
      <c r="LS445">
        <v>0</v>
      </c>
      <c r="LT445">
        <v>0</v>
      </c>
      <c r="LU445">
        <v>0</v>
      </c>
      <c r="LV445">
        <v>0</v>
      </c>
      <c r="LW445">
        <v>0</v>
      </c>
      <c r="LX445">
        <v>0</v>
      </c>
      <c r="LY445">
        <v>0</v>
      </c>
      <c r="LZ445">
        <v>0</v>
      </c>
      <c r="MA445">
        <v>0</v>
      </c>
      <c r="MB445">
        <v>0</v>
      </c>
      <c r="MC445">
        <v>0</v>
      </c>
      <c r="MD445">
        <v>0</v>
      </c>
      <c r="ME445">
        <v>0</v>
      </c>
      <c r="MF445">
        <v>0</v>
      </c>
      <c r="MG445">
        <v>0</v>
      </c>
      <c r="MH445">
        <v>0</v>
      </c>
      <c r="MI445">
        <v>0</v>
      </c>
      <c r="MJ445">
        <v>0</v>
      </c>
      <c r="MK445">
        <v>0</v>
      </c>
      <c r="ML445">
        <v>0</v>
      </c>
      <c r="MM445">
        <v>0</v>
      </c>
      <c r="MN445">
        <v>0</v>
      </c>
      <c r="MO445">
        <v>0</v>
      </c>
      <c r="MP445">
        <v>0</v>
      </c>
      <c r="MQ445">
        <v>0</v>
      </c>
      <c r="MR445">
        <v>0</v>
      </c>
      <c r="MS445">
        <v>0</v>
      </c>
      <c r="MT445">
        <v>0</v>
      </c>
      <c r="MU445">
        <v>0</v>
      </c>
      <c r="MV445">
        <v>0</v>
      </c>
      <c r="MW445">
        <v>0</v>
      </c>
      <c r="MX445">
        <v>0</v>
      </c>
      <c r="MY445">
        <v>0</v>
      </c>
      <c r="MZ445">
        <v>0</v>
      </c>
      <c r="NA445">
        <v>0</v>
      </c>
      <c r="NB445">
        <v>0</v>
      </c>
      <c r="NC445">
        <v>0</v>
      </c>
      <c r="ND445">
        <v>0</v>
      </c>
      <c r="NE445">
        <v>0</v>
      </c>
    </row>
    <row r="446" spans="41:369" x14ac:dyDescent="0.45">
      <c r="AO446">
        <v>0</v>
      </c>
      <c r="AP446">
        <v>0</v>
      </c>
      <c r="AQ446">
        <v>0</v>
      </c>
      <c r="AR446">
        <v>0</v>
      </c>
      <c r="AS446">
        <v>0</v>
      </c>
      <c r="AT446">
        <v>0</v>
      </c>
      <c r="AU446">
        <v>0</v>
      </c>
      <c r="AV446">
        <v>0</v>
      </c>
      <c r="AW446" t="str">
        <v/>
      </c>
      <c r="AX446">
        <v>255</v>
      </c>
      <c r="AY446" s="5" t="str">
        <v/>
      </c>
      <c r="AZ446">
        <v>0</v>
      </c>
      <c r="BA446">
        <v>0</v>
      </c>
      <c r="BB446">
        <v>0</v>
      </c>
      <c r="BC446">
        <v>0</v>
      </c>
      <c r="BD446">
        <v>0</v>
      </c>
      <c r="BE446">
        <v>0</v>
      </c>
      <c r="BF446">
        <v>0</v>
      </c>
      <c r="BG446">
        <v>0</v>
      </c>
      <c r="BH446">
        <v>0</v>
      </c>
      <c r="BI446" t="str">
        <v/>
      </c>
      <c r="BK446">
        <v>440</v>
      </c>
      <c r="BL446">
        <v>0</v>
      </c>
      <c r="BM446">
        <v>0</v>
      </c>
      <c r="BN446">
        <v>0</v>
      </c>
      <c r="BO446">
        <v>0</v>
      </c>
      <c r="BP446">
        <v>0</v>
      </c>
      <c r="BQ446">
        <v>0</v>
      </c>
      <c r="BR446">
        <v>0</v>
      </c>
      <c r="BS446">
        <v>0</v>
      </c>
      <c r="BT446">
        <v>0</v>
      </c>
      <c r="BU446">
        <v>0</v>
      </c>
      <c r="BV446">
        <v>0</v>
      </c>
      <c r="BW446">
        <v>0</v>
      </c>
      <c r="BX446">
        <v>0</v>
      </c>
      <c r="BY446">
        <v>0</v>
      </c>
      <c r="BZ446">
        <v>0</v>
      </c>
      <c r="CA446">
        <v>0</v>
      </c>
      <c r="CB446">
        <v>0</v>
      </c>
      <c r="CC446">
        <v>0</v>
      </c>
      <c r="CD446">
        <v>0</v>
      </c>
      <c r="CE446">
        <v>0</v>
      </c>
      <c r="CF446">
        <v>0</v>
      </c>
      <c r="CG446">
        <v>0</v>
      </c>
      <c r="CH446">
        <v>0</v>
      </c>
      <c r="CI446">
        <v>0</v>
      </c>
      <c r="CJ446">
        <v>0</v>
      </c>
      <c r="CK446">
        <v>0</v>
      </c>
      <c r="CL446">
        <v>0</v>
      </c>
      <c r="CM446">
        <v>0</v>
      </c>
      <c r="CN446">
        <v>0</v>
      </c>
      <c r="CO446">
        <v>0</v>
      </c>
      <c r="CP446">
        <v>0</v>
      </c>
      <c r="CQ446">
        <v>0</v>
      </c>
      <c r="CR446">
        <v>0</v>
      </c>
      <c r="CS446">
        <v>0</v>
      </c>
      <c r="CT446">
        <v>0</v>
      </c>
      <c r="CU446">
        <v>0</v>
      </c>
      <c r="CV446">
        <v>0</v>
      </c>
      <c r="CW446">
        <v>0</v>
      </c>
      <c r="CX446">
        <v>0</v>
      </c>
      <c r="CY446">
        <v>0</v>
      </c>
      <c r="CZ446">
        <v>0</v>
      </c>
      <c r="DA446">
        <v>0</v>
      </c>
      <c r="DB446">
        <v>0</v>
      </c>
      <c r="DC446">
        <v>0</v>
      </c>
      <c r="DD446">
        <v>0</v>
      </c>
      <c r="DE446">
        <v>0</v>
      </c>
      <c r="DF446">
        <v>0</v>
      </c>
      <c r="DG446">
        <v>0</v>
      </c>
      <c r="DH446">
        <v>0</v>
      </c>
      <c r="DI446">
        <v>0</v>
      </c>
      <c r="DJ446">
        <v>0</v>
      </c>
      <c r="DK446">
        <v>0</v>
      </c>
      <c r="DL446">
        <v>0</v>
      </c>
      <c r="DM446">
        <v>0</v>
      </c>
      <c r="DN446">
        <v>0</v>
      </c>
      <c r="DO446">
        <v>0</v>
      </c>
      <c r="DP446">
        <v>0</v>
      </c>
      <c r="DQ446">
        <v>0</v>
      </c>
      <c r="DR446">
        <v>0</v>
      </c>
      <c r="DS446">
        <v>0</v>
      </c>
      <c r="DT446">
        <v>0</v>
      </c>
      <c r="DU446">
        <v>0</v>
      </c>
      <c r="DV446">
        <v>0</v>
      </c>
      <c r="DW446">
        <v>0</v>
      </c>
      <c r="DX446">
        <v>0</v>
      </c>
      <c r="DY446">
        <v>0</v>
      </c>
      <c r="DZ446">
        <v>0</v>
      </c>
      <c r="EA446">
        <v>0</v>
      </c>
      <c r="EB446">
        <v>0</v>
      </c>
      <c r="EC446">
        <v>0</v>
      </c>
      <c r="ED446">
        <v>0</v>
      </c>
      <c r="EE446">
        <v>0</v>
      </c>
      <c r="EF446">
        <v>0</v>
      </c>
      <c r="EG446">
        <v>0</v>
      </c>
      <c r="EH446">
        <v>0</v>
      </c>
      <c r="EI446">
        <v>0</v>
      </c>
      <c r="EJ446">
        <v>0</v>
      </c>
      <c r="EK446">
        <v>0</v>
      </c>
      <c r="EL446">
        <v>0</v>
      </c>
      <c r="EM446">
        <v>0</v>
      </c>
      <c r="EN446">
        <v>0</v>
      </c>
      <c r="EO446">
        <v>0</v>
      </c>
      <c r="EP446">
        <v>0</v>
      </c>
      <c r="EQ446">
        <v>0</v>
      </c>
      <c r="ER446">
        <v>0</v>
      </c>
      <c r="ES446">
        <v>0</v>
      </c>
      <c r="ET446">
        <v>0</v>
      </c>
      <c r="EU446">
        <v>0</v>
      </c>
      <c r="EV446">
        <v>0</v>
      </c>
      <c r="EW446">
        <v>0</v>
      </c>
      <c r="EX446">
        <v>0</v>
      </c>
      <c r="EY446">
        <v>0</v>
      </c>
      <c r="EZ446">
        <v>0</v>
      </c>
      <c r="FA446">
        <v>0</v>
      </c>
      <c r="FB446">
        <v>0</v>
      </c>
      <c r="FC446">
        <v>0</v>
      </c>
      <c r="FD446">
        <v>0</v>
      </c>
      <c r="FE446">
        <v>0</v>
      </c>
      <c r="FF446">
        <v>0</v>
      </c>
      <c r="FG446">
        <v>0</v>
      </c>
      <c r="FH446">
        <v>0</v>
      </c>
      <c r="FI446">
        <v>0</v>
      </c>
      <c r="FJ446">
        <v>0</v>
      </c>
      <c r="FK446">
        <v>0</v>
      </c>
      <c r="FL446">
        <v>0</v>
      </c>
      <c r="FM446">
        <v>0</v>
      </c>
      <c r="FN446">
        <v>0</v>
      </c>
      <c r="FO446">
        <v>0</v>
      </c>
      <c r="FP446">
        <v>0</v>
      </c>
      <c r="FQ446">
        <v>0</v>
      </c>
      <c r="FR446">
        <v>0</v>
      </c>
      <c r="FS446">
        <v>0</v>
      </c>
      <c r="FT446">
        <v>0</v>
      </c>
      <c r="FU446">
        <v>0</v>
      </c>
      <c r="FV446">
        <v>0</v>
      </c>
      <c r="FW446">
        <v>0</v>
      </c>
      <c r="FX446">
        <v>0</v>
      </c>
      <c r="FY446">
        <v>0</v>
      </c>
      <c r="FZ446">
        <v>0</v>
      </c>
      <c r="GA446">
        <v>0</v>
      </c>
      <c r="GB446">
        <v>0</v>
      </c>
      <c r="GC446">
        <v>0</v>
      </c>
      <c r="GD446">
        <v>0</v>
      </c>
      <c r="GE446">
        <v>0</v>
      </c>
      <c r="GF446">
        <v>0</v>
      </c>
      <c r="GG446">
        <v>0</v>
      </c>
      <c r="GH446">
        <v>0</v>
      </c>
      <c r="GI446">
        <v>0</v>
      </c>
      <c r="GJ446">
        <v>0</v>
      </c>
      <c r="GK446">
        <v>0</v>
      </c>
      <c r="GL446">
        <v>0</v>
      </c>
      <c r="GM446">
        <v>0</v>
      </c>
      <c r="GN446">
        <v>0</v>
      </c>
      <c r="GO446">
        <v>0</v>
      </c>
      <c r="GP446">
        <v>0</v>
      </c>
      <c r="GQ446">
        <v>0</v>
      </c>
      <c r="GR446">
        <v>0</v>
      </c>
      <c r="GS446">
        <v>0</v>
      </c>
      <c r="GT446">
        <v>0</v>
      </c>
      <c r="GU446">
        <v>0</v>
      </c>
      <c r="GV446">
        <v>0</v>
      </c>
      <c r="GW446">
        <v>0</v>
      </c>
      <c r="GX446">
        <v>0</v>
      </c>
      <c r="GY446">
        <v>0</v>
      </c>
      <c r="GZ446">
        <v>0</v>
      </c>
      <c r="HA446">
        <v>0</v>
      </c>
      <c r="HB446">
        <v>0</v>
      </c>
      <c r="HC446">
        <v>0</v>
      </c>
      <c r="HD446">
        <v>0</v>
      </c>
      <c r="HE446">
        <v>0</v>
      </c>
      <c r="HF446">
        <v>0</v>
      </c>
      <c r="HG446">
        <v>0</v>
      </c>
      <c r="HH446">
        <v>0</v>
      </c>
      <c r="HI446">
        <v>0</v>
      </c>
      <c r="HJ446">
        <v>0</v>
      </c>
      <c r="HK446">
        <v>0</v>
      </c>
      <c r="HL446">
        <v>0</v>
      </c>
      <c r="HM446">
        <v>0</v>
      </c>
      <c r="HN446">
        <v>0</v>
      </c>
      <c r="HO446">
        <v>0</v>
      </c>
      <c r="HP446">
        <v>0</v>
      </c>
      <c r="HQ446">
        <v>0</v>
      </c>
      <c r="HR446">
        <v>0</v>
      </c>
      <c r="HS446">
        <v>0</v>
      </c>
      <c r="HT446">
        <v>0</v>
      </c>
      <c r="HU446">
        <v>0</v>
      </c>
      <c r="HV446">
        <v>0</v>
      </c>
      <c r="HW446">
        <v>0</v>
      </c>
      <c r="HX446">
        <v>0</v>
      </c>
      <c r="HY446">
        <v>0</v>
      </c>
      <c r="HZ446">
        <v>0</v>
      </c>
      <c r="IA446">
        <v>0</v>
      </c>
      <c r="IB446">
        <v>0</v>
      </c>
      <c r="IC446">
        <v>0</v>
      </c>
      <c r="ID446">
        <v>0</v>
      </c>
      <c r="IE446">
        <v>0</v>
      </c>
      <c r="IF446">
        <v>0</v>
      </c>
      <c r="IG446">
        <v>0</v>
      </c>
      <c r="IH446">
        <v>0</v>
      </c>
      <c r="II446">
        <v>0</v>
      </c>
      <c r="IJ446">
        <v>0</v>
      </c>
      <c r="IK446">
        <v>0</v>
      </c>
      <c r="IL446">
        <v>0</v>
      </c>
      <c r="IM446">
        <v>0</v>
      </c>
      <c r="IN446">
        <v>0</v>
      </c>
      <c r="IO446">
        <v>0</v>
      </c>
      <c r="IP446">
        <v>0</v>
      </c>
      <c r="IQ446">
        <v>0</v>
      </c>
      <c r="IR446">
        <v>0</v>
      </c>
      <c r="IS446">
        <v>0</v>
      </c>
      <c r="IT446">
        <v>0</v>
      </c>
      <c r="IU446">
        <v>0</v>
      </c>
      <c r="IV446">
        <v>0</v>
      </c>
      <c r="IW446">
        <v>0</v>
      </c>
      <c r="IX446">
        <v>0</v>
      </c>
      <c r="IY446">
        <v>0</v>
      </c>
      <c r="IZ446">
        <v>0</v>
      </c>
      <c r="JA446">
        <v>0</v>
      </c>
      <c r="JB446">
        <v>0</v>
      </c>
      <c r="JC446">
        <v>0</v>
      </c>
      <c r="JD446">
        <v>0</v>
      </c>
      <c r="JE446">
        <v>0</v>
      </c>
      <c r="JF446">
        <v>0</v>
      </c>
      <c r="JG446">
        <v>0</v>
      </c>
      <c r="JH446">
        <v>0</v>
      </c>
      <c r="JI446">
        <v>0</v>
      </c>
      <c r="JJ446">
        <v>0</v>
      </c>
      <c r="JK446">
        <v>0</v>
      </c>
      <c r="JL446">
        <v>0</v>
      </c>
      <c r="JM446">
        <v>0</v>
      </c>
      <c r="JN446">
        <v>0</v>
      </c>
      <c r="JO446">
        <v>0</v>
      </c>
      <c r="JP446">
        <v>0</v>
      </c>
      <c r="JQ446">
        <v>0</v>
      </c>
      <c r="JR446">
        <v>0</v>
      </c>
      <c r="JS446">
        <v>0</v>
      </c>
      <c r="JT446">
        <v>0</v>
      </c>
      <c r="JU446">
        <v>0</v>
      </c>
      <c r="JV446">
        <v>0</v>
      </c>
      <c r="JW446">
        <v>0</v>
      </c>
      <c r="JX446">
        <v>0</v>
      </c>
      <c r="JY446">
        <v>0</v>
      </c>
      <c r="JZ446">
        <v>0</v>
      </c>
      <c r="KA446">
        <v>0</v>
      </c>
      <c r="KB446">
        <v>0</v>
      </c>
      <c r="KC446">
        <v>0</v>
      </c>
      <c r="KD446">
        <v>0</v>
      </c>
      <c r="KE446">
        <v>0</v>
      </c>
      <c r="KF446">
        <v>0</v>
      </c>
      <c r="KG446">
        <v>0</v>
      </c>
      <c r="KH446">
        <v>0</v>
      </c>
      <c r="KI446">
        <v>0</v>
      </c>
      <c r="KJ446">
        <v>0</v>
      </c>
      <c r="KK446">
        <v>0</v>
      </c>
      <c r="KL446">
        <v>0</v>
      </c>
      <c r="KM446">
        <v>0</v>
      </c>
      <c r="KN446">
        <v>0</v>
      </c>
      <c r="KO446">
        <v>0</v>
      </c>
      <c r="KP446">
        <v>0</v>
      </c>
      <c r="KQ446">
        <v>0</v>
      </c>
      <c r="KR446">
        <v>0</v>
      </c>
      <c r="KS446">
        <v>0</v>
      </c>
      <c r="KT446">
        <v>0</v>
      </c>
      <c r="KU446">
        <v>0</v>
      </c>
      <c r="KV446">
        <v>0</v>
      </c>
      <c r="KW446">
        <v>0</v>
      </c>
      <c r="KX446">
        <v>0</v>
      </c>
      <c r="KY446">
        <v>0</v>
      </c>
      <c r="KZ446">
        <v>0</v>
      </c>
      <c r="LA446">
        <v>0</v>
      </c>
      <c r="LB446">
        <v>0</v>
      </c>
      <c r="LC446">
        <v>0</v>
      </c>
      <c r="LD446">
        <v>0</v>
      </c>
      <c r="LE446">
        <v>0</v>
      </c>
      <c r="LF446">
        <v>0</v>
      </c>
      <c r="LG446">
        <v>0</v>
      </c>
      <c r="LH446">
        <v>0</v>
      </c>
      <c r="LI446">
        <v>0</v>
      </c>
      <c r="LJ446">
        <v>0</v>
      </c>
      <c r="LK446">
        <v>0</v>
      </c>
      <c r="LL446">
        <v>0</v>
      </c>
      <c r="LM446">
        <v>0</v>
      </c>
      <c r="LN446">
        <v>0</v>
      </c>
      <c r="LO446">
        <v>0</v>
      </c>
      <c r="LP446">
        <v>0</v>
      </c>
      <c r="LQ446">
        <v>0</v>
      </c>
      <c r="LR446">
        <v>0</v>
      </c>
      <c r="LS446">
        <v>0</v>
      </c>
      <c r="LT446">
        <v>0</v>
      </c>
      <c r="LU446">
        <v>0</v>
      </c>
      <c r="LV446">
        <v>0</v>
      </c>
      <c r="LW446">
        <v>0</v>
      </c>
      <c r="LX446">
        <v>0</v>
      </c>
      <c r="LY446">
        <v>0</v>
      </c>
      <c r="LZ446">
        <v>0</v>
      </c>
      <c r="MA446">
        <v>0</v>
      </c>
      <c r="MB446">
        <v>0</v>
      </c>
      <c r="MC446">
        <v>0</v>
      </c>
      <c r="MD446">
        <v>0</v>
      </c>
      <c r="ME446">
        <v>0</v>
      </c>
      <c r="MF446">
        <v>0</v>
      </c>
      <c r="MG446">
        <v>0</v>
      </c>
      <c r="MH446">
        <v>0</v>
      </c>
      <c r="MI446">
        <v>0</v>
      </c>
      <c r="MJ446">
        <v>0</v>
      </c>
      <c r="MK446">
        <v>0</v>
      </c>
      <c r="ML446">
        <v>0</v>
      </c>
      <c r="MM446">
        <v>0</v>
      </c>
      <c r="MN446">
        <v>0</v>
      </c>
      <c r="MO446">
        <v>0</v>
      </c>
      <c r="MP446">
        <v>0</v>
      </c>
      <c r="MQ446">
        <v>0</v>
      </c>
      <c r="MR446">
        <v>0</v>
      </c>
      <c r="MS446">
        <v>0</v>
      </c>
      <c r="MT446">
        <v>0</v>
      </c>
      <c r="MU446">
        <v>0</v>
      </c>
      <c r="MV446">
        <v>0</v>
      </c>
      <c r="MW446">
        <v>0</v>
      </c>
      <c r="MX446">
        <v>0</v>
      </c>
      <c r="MY446">
        <v>0</v>
      </c>
      <c r="MZ446">
        <v>0</v>
      </c>
      <c r="NA446">
        <v>0</v>
      </c>
      <c r="NB446">
        <v>0</v>
      </c>
      <c r="NC446">
        <v>0</v>
      </c>
      <c r="ND446">
        <v>0</v>
      </c>
      <c r="NE446">
        <v>0</v>
      </c>
    </row>
    <row r="447" spans="41:369" x14ac:dyDescent="0.45">
      <c r="AO447">
        <v>0</v>
      </c>
      <c r="AP447">
        <v>0</v>
      </c>
      <c r="AQ447">
        <v>0</v>
      </c>
      <c r="AR447">
        <v>0</v>
      </c>
      <c r="AS447">
        <v>0</v>
      </c>
      <c r="AT447">
        <v>0</v>
      </c>
      <c r="AU447">
        <v>0</v>
      </c>
      <c r="AV447">
        <v>0</v>
      </c>
      <c r="AW447" t="str">
        <v/>
      </c>
      <c r="AX447">
        <v>255</v>
      </c>
      <c r="AY447" s="5" t="str">
        <v/>
      </c>
      <c r="AZ447">
        <v>0</v>
      </c>
      <c r="BA447">
        <v>0</v>
      </c>
      <c r="BB447">
        <v>0</v>
      </c>
      <c r="BC447">
        <v>0</v>
      </c>
      <c r="BD447">
        <v>0</v>
      </c>
      <c r="BE447">
        <v>0</v>
      </c>
      <c r="BF447">
        <v>0</v>
      </c>
      <c r="BG447">
        <v>0</v>
      </c>
      <c r="BH447">
        <v>0</v>
      </c>
      <c r="BI447" t="str">
        <v/>
      </c>
      <c r="BK447">
        <v>441</v>
      </c>
      <c r="BL447">
        <v>0</v>
      </c>
      <c r="BM447">
        <v>0</v>
      </c>
      <c r="BN447">
        <v>0</v>
      </c>
      <c r="BO447">
        <v>0</v>
      </c>
      <c r="BP447">
        <v>0</v>
      </c>
      <c r="BQ447">
        <v>0</v>
      </c>
      <c r="BR447">
        <v>0</v>
      </c>
      <c r="BS447">
        <v>0</v>
      </c>
      <c r="BT447">
        <v>0</v>
      </c>
      <c r="BU447">
        <v>0</v>
      </c>
      <c r="BV447">
        <v>0</v>
      </c>
      <c r="BW447">
        <v>0</v>
      </c>
      <c r="BX447">
        <v>0</v>
      </c>
      <c r="BY447">
        <v>0</v>
      </c>
      <c r="BZ447">
        <v>0</v>
      </c>
      <c r="CA447">
        <v>0</v>
      </c>
      <c r="CB447">
        <v>0</v>
      </c>
      <c r="CC447">
        <v>0</v>
      </c>
      <c r="CD447">
        <v>0</v>
      </c>
      <c r="CE447">
        <v>0</v>
      </c>
      <c r="CF447">
        <v>0</v>
      </c>
      <c r="CG447">
        <v>0</v>
      </c>
      <c r="CH447">
        <v>0</v>
      </c>
      <c r="CI447">
        <v>0</v>
      </c>
      <c r="CJ447">
        <v>0</v>
      </c>
      <c r="CK447">
        <v>0</v>
      </c>
      <c r="CL447">
        <v>0</v>
      </c>
      <c r="CM447">
        <v>0</v>
      </c>
      <c r="CN447">
        <v>0</v>
      </c>
      <c r="CO447">
        <v>0</v>
      </c>
      <c r="CP447">
        <v>0</v>
      </c>
      <c r="CQ447">
        <v>0</v>
      </c>
      <c r="CR447">
        <v>0</v>
      </c>
      <c r="CS447">
        <v>0</v>
      </c>
      <c r="CT447">
        <v>0</v>
      </c>
      <c r="CU447">
        <v>0</v>
      </c>
      <c r="CV447">
        <v>0</v>
      </c>
      <c r="CW447">
        <v>0</v>
      </c>
      <c r="CX447">
        <v>0</v>
      </c>
      <c r="CY447">
        <v>0</v>
      </c>
      <c r="CZ447">
        <v>0</v>
      </c>
      <c r="DA447">
        <v>0</v>
      </c>
      <c r="DB447">
        <v>0</v>
      </c>
      <c r="DC447">
        <v>0</v>
      </c>
      <c r="DD447">
        <v>0</v>
      </c>
      <c r="DE447">
        <v>0</v>
      </c>
      <c r="DF447">
        <v>0</v>
      </c>
      <c r="DG447">
        <v>0</v>
      </c>
      <c r="DH447">
        <v>0</v>
      </c>
      <c r="DI447">
        <v>0</v>
      </c>
      <c r="DJ447">
        <v>0</v>
      </c>
      <c r="DK447">
        <v>0</v>
      </c>
      <c r="DL447">
        <v>0</v>
      </c>
      <c r="DM447">
        <v>0</v>
      </c>
      <c r="DN447">
        <v>0</v>
      </c>
      <c r="DO447">
        <v>0</v>
      </c>
      <c r="DP447">
        <v>0</v>
      </c>
      <c r="DQ447">
        <v>0</v>
      </c>
      <c r="DR447">
        <v>0</v>
      </c>
      <c r="DS447">
        <v>0</v>
      </c>
      <c r="DT447">
        <v>0</v>
      </c>
      <c r="DU447">
        <v>0</v>
      </c>
      <c r="DV447">
        <v>0</v>
      </c>
      <c r="DW447">
        <v>0</v>
      </c>
      <c r="DX447">
        <v>0</v>
      </c>
      <c r="DY447">
        <v>0</v>
      </c>
      <c r="DZ447">
        <v>0</v>
      </c>
      <c r="EA447">
        <v>0</v>
      </c>
      <c r="EB447">
        <v>0</v>
      </c>
      <c r="EC447">
        <v>0</v>
      </c>
      <c r="ED447">
        <v>0</v>
      </c>
      <c r="EE447">
        <v>0</v>
      </c>
      <c r="EF447">
        <v>0</v>
      </c>
      <c r="EG447">
        <v>0</v>
      </c>
      <c r="EH447">
        <v>0</v>
      </c>
      <c r="EI447">
        <v>0</v>
      </c>
      <c r="EJ447">
        <v>0</v>
      </c>
      <c r="EK447">
        <v>0</v>
      </c>
      <c r="EL447">
        <v>0</v>
      </c>
      <c r="EM447">
        <v>0</v>
      </c>
      <c r="EN447">
        <v>0</v>
      </c>
      <c r="EO447">
        <v>0</v>
      </c>
      <c r="EP447">
        <v>0</v>
      </c>
      <c r="EQ447">
        <v>0</v>
      </c>
      <c r="ER447">
        <v>0</v>
      </c>
      <c r="ES447">
        <v>0</v>
      </c>
      <c r="ET447">
        <v>0</v>
      </c>
      <c r="EU447">
        <v>0</v>
      </c>
      <c r="EV447">
        <v>0</v>
      </c>
      <c r="EW447">
        <v>0</v>
      </c>
      <c r="EX447">
        <v>0</v>
      </c>
      <c r="EY447">
        <v>0</v>
      </c>
      <c r="EZ447">
        <v>0</v>
      </c>
      <c r="FA447">
        <v>0</v>
      </c>
      <c r="FB447">
        <v>0</v>
      </c>
      <c r="FC447">
        <v>0</v>
      </c>
      <c r="FD447">
        <v>0</v>
      </c>
      <c r="FE447">
        <v>0</v>
      </c>
      <c r="FF447">
        <v>0</v>
      </c>
      <c r="FG447">
        <v>0</v>
      </c>
      <c r="FH447">
        <v>0</v>
      </c>
      <c r="FI447">
        <v>0</v>
      </c>
      <c r="FJ447">
        <v>0</v>
      </c>
      <c r="FK447">
        <v>0</v>
      </c>
      <c r="FL447">
        <v>0</v>
      </c>
      <c r="FM447">
        <v>0</v>
      </c>
      <c r="FN447">
        <v>0</v>
      </c>
      <c r="FO447">
        <v>0</v>
      </c>
      <c r="FP447">
        <v>0</v>
      </c>
      <c r="FQ447">
        <v>0</v>
      </c>
      <c r="FR447">
        <v>0</v>
      </c>
      <c r="FS447">
        <v>0</v>
      </c>
      <c r="FT447">
        <v>0</v>
      </c>
      <c r="FU447">
        <v>0</v>
      </c>
      <c r="FV447">
        <v>0</v>
      </c>
      <c r="FW447">
        <v>0</v>
      </c>
      <c r="FX447">
        <v>0</v>
      </c>
      <c r="FY447">
        <v>0</v>
      </c>
      <c r="FZ447">
        <v>0</v>
      </c>
      <c r="GA447">
        <v>0</v>
      </c>
      <c r="GB447">
        <v>0</v>
      </c>
      <c r="GC447">
        <v>0</v>
      </c>
      <c r="GD447">
        <v>0</v>
      </c>
      <c r="GE447">
        <v>0</v>
      </c>
      <c r="GF447">
        <v>0</v>
      </c>
      <c r="GG447">
        <v>0</v>
      </c>
      <c r="GH447">
        <v>0</v>
      </c>
      <c r="GI447">
        <v>0</v>
      </c>
      <c r="GJ447">
        <v>0</v>
      </c>
      <c r="GK447">
        <v>0</v>
      </c>
      <c r="GL447">
        <v>0</v>
      </c>
      <c r="GM447">
        <v>0</v>
      </c>
      <c r="GN447">
        <v>0</v>
      </c>
      <c r="GO447">
        <v>0</v>
      </c>
      <c r="GP447">
        <v>0</v>
      </c>
      <c r="GQ447">
        <v>0</v>
      </c>
      <c r="GR447">
        <v>0</v>
      </c>
      <c r="GS447">
        <v>0</v>
      </c>
      <c r="GT447">
        <v>0</v>
      </c>
      <c r="GU447">
        <v>0</v>
      </c>
      <c r="GV447">
        <v>0</v>
      </c>
      <c r="GW447">
        <v>0</v>
      </c>
      <c r="GX447">
        <v>0</v>
      </c>
      <c r="GY447">
        <v>0</v>
      </c>
      <c r="GZ447">
        <v>0</v>
      </c>
      <c r="HA447">
        <v>0</v>
      </c>
      <c r="HB447">
        <v>0</v>
      </c>
      <c r="HC447">
        <v>0</v>
      </c>
      <c r="HD447">
        <v>0</v>
      </c>
      <c r="HE447">
        <v>0</v>
      </c>
      <c r="HF447">
        <v>0</v>
      </c>
      <c r="HG447">
        <v>0</v>
      </c>
      <c r="HH447">
        <v>0</v>
      </c>
      <c r="HI447">
        <v>0</v>
      </c>
      <c r="HJ447">
        <v>0</v>
      </c>
      <c r="HK447">
        <v>0</v>
      </c>
      <c r="HL447">
        <v>0</v>
      </c>
      <c r="HM447">
        <v>0</v>
      </c>
      <c r="HN447">
        <v>0</v>
      </c>
      <c r="HO447">
        <v>0</v>
      </c>
      <c r="HP447">
        <v>0</v>
      </c>
      <c r="HQ447">
        <v>0</v>
      </c>
      <c r="HR447">
        <v>0</v>
      </c>
      <c r="HS447">
        <v>0</v>
      </c>
      <c r="HT447">
        <v>0</v>
      </c>
      <c r="HU447">
        <v>0</v>
      </c>
      <c r="HV447">
        <v>0</v>
      </c>
      <c r="HW447">
        <v>0</v>
      </c>
      <c r="HX447">
        <v>0</v>
      </c>
      <c r="HY447">
        <v>0</v>
      </c>
      <c r="HZ447">
        <v>0</v>
      </c>
      <c r="IA447">
        <v>0</v>
      </c>
      <c r="IB447">
        <v>0</v>
      </c>
      <c r="IC447">
        <v>0</v>
      </c>
      <c r="ID447">
        <v>0</v>
      </c>
      <c r="IE447">
        <v>0</v>
      </c>
      <c r="IF447">
        <v>0</v>
      </c>
      <c r="IG447">
        <v>0</v>
      </c>
      <c r="IH447">
        <v>0</v>
      </c>
      <c r="II447">
        <v>0</v>
      </c>
      <c r="IJ447">
        <v>0</v>
      </c>
      <c r="IK447">
        <v>0</v>
      </c>
      <c r="IL447">
        <v>0</v>
      </c>
      <c r="IM447">
        <v>0</v>
      </c>
      <c r="IN447">
        <v>0</v>
      </c>
      <c r="IO447">
        <v>0</v>
      </c>
      <c r="IP447">
        <v>0</v>
      </c>
      <c r="IQ447">
        <v>0</v>
      </c>
      <c r="IR447">
        <v>0</v>
      </c>
      <c r="IS447">
        <v>0</v>
      </c>
      <c r="IT447">
        <v>0</v>
      </c>
      <c r="IU447">
        <v>0</v>
      </c>
      <c r="IV447">
        <v>0</v>
      </c>
      <c r="IW447">
        <v>0</v>
      </c>
      <c r="IX447">
        <v>0</v>
      </c>
      <c r="IY447">
        <v>0</v>
      </c>
      <c r="IZ447">
        <v>0</v>
      </c>
      <c r="JA447">
        <v>0</v>
      </c>
      <c r="JB447">
        <v>0</v>
      </c>
      <c r="JC447">
        <v>0</v>
      </c>
      <c r="JD447">
        <v>0</v>
      </c>
      <c r="JE447">
        <v>0</v>
      </c>
      <c r="JF447">
        <v>0</v>
      </c>
      <c r="JG447">
        <v>0</v>
      </c>
      <c r="JH447">
        <v>0</v>
      </c>
      <c r="JI447">
        <v>0</v>
      </c>
      <c r="JJ447">
        <v>0</v>
      </c>
      <c r="JK447">
        <v>0</v>
      </c>
      <c r="JL447">
        <v>0</v>
      </c>
      <c r="JM447">
        <v>0</v>
      </c>
      <c r="JN447">
        <v>0</v>
      </c>
      <c r="JO447">
        <v>0</v>
      </c>
      <c r="JP447">
        <v>0</v>
      </c>
      <c r="JQ447">
        <v>0</v>
      </c>
      <c r="JR447">
        <v>0</v>
      </c>
      <c r="JS447">
        <v>0</v>
      </c>
      <c r="JT447">
        <v>0</v>
      </c>
      <c r="JU447">
        <v>0</v>
      </c>
      <c r="JV447">
        <v>0</v>
      </c>
      <c r="JW447">
        <v>0</v>
      </c>
      <c r="JX447">
        <v>0</v>
      </c>
      <c r="JY447">
        <v>0</v>
      </c>
      <c r="JZ447">
        <v>0</v>
      </c>
      <c r="KA447">
        <v>0</v>
      </c>
      <c r="KB447">
        <v>0</v>
      </c>
      <c r="KC447">
        <v>0</v>
      </c>
      <c r="KD447">
        <v>0</v>
      </c>
      <c r="KE447">
        <v>0</v>
      </c>
      <c r="KF447">
        <v>0</v>
      </c>
      <c r="KG447">
        <v>0</v>
      </c>
      <c r="KH447">
        <v>0</v>
      </c>
      <c r="KI447">
        <v>0</v>
      </c>
      <c r="KJ447">
        <v>0</v>
      </c>
      <c r="KK447">
        <v>0</v>
      </c>
      <c r="KL447">
        <v>0</v>
      </c>
      <c r="KM447">
        <v>0</v>
      </c>
      <c r="KN447">
        <v>0</v>
      </c>
      <c r="KO447">
        <v>0</v>
      </c>
      <c r="KP447">
        <v>0</v>
      </c>
      <c r="KQ447">
        <v>0</v>
      </c>
      <c r="KR447">
        <v>0</v>
      </c>
      <c r="KS447">
        <v>0</v>
      </c>
      <c r="KT447">
        <v>0</v>
      </c>
      <c r="KU447">
        <v>0</v>
      </c>
      <c r="KV447">
        <v>0</v>
      </c>
      <c r="KW447">
        <v>0</v>
      </c>
      <c r="KX447">
        <v>0</v>
      </c>
      <c r="KY447">
        <v>0</v>
      </c>
      <c r="KZ447">
        <v>0</v>
      </c>
      <c r="LA447">
        <v>0</v>
      </c>
      <c r="LB447">
        <v>0</v>
      </c>
      <c r="LC447">
        <v>0</v>
      </c>
      <c r="LD447">
        <v>0</v>
      </c>
      <c r="LE447">
        <v>0</v>
      </c>
      <c r="LF447">
        <v>0</v>
      </c>
      <c r="LG447">
        <v>0</v>
      </c>
      <c r="LH447">
        <v>0</v>
      </c>
      <c r="LI447">
        <v>0</v>
      </c>
      <c r="LJ447">
        <v>0</v>
      </c>
      <c r="LK447">
        <v>0</v>
      </c>
      <c r="LL447">
        <v>0</v>
      </c>
      <c r="LM447">
        <v>0</v>
      </c>
      <c r="LN447">
        <v>0</v>
      </c>
      <c r="LO447">
        <v>0</v>
      </c>
      <c r="LP447">
        <v>0</v>
      </c>
      <c r="LQ447">
        <v>0</v>
      </c>
      <c r="LR447">
        <v>0</v>
      </c>
      <c r="LS447">
        <v>0</v>
      </c>
      <c r="LT447">
        <v>0</v>
      </c>
      <c r="LU447">
        <v>0</v>
      </c>
      <c r="LV447">
        <v>0</v>
      </c>
      <c r="LW447">
        <v>0</v>
      </c>
      <c r="LX447">
        <v>0</v>
      </c>
      <c r="LY447">
        <v>0</v>
      </c>
      <c r="LZ447">
        <v>0</v>
      </c>
      <c r="MA447">
        <v>0</v>
      </c>
      <c r="MB447">
        <v>0</v>
      </c>
      <c r="MC447">
        <v>0</v>
      </c>
      <c r="MD447">
        <v>0</v>
      </c>
      <c r="ME447">
        <v>0</v>
      </c>
      <c r="MF447">
        <v>0</v>
      </c>
      <c r="MG447">
        <v>0</v>
      </c>
      <c r="MH447">
        <v>0</v>
      </c>
      <c r="MI447">
        <v>0</v>
      </c>
      <c r="MJ447">
        <v>0</v>
      </c>
      <c r="MK447">
        <v>0</v>
      </c>
      <c r="ML447">
        <v>0</v>
      </c>
      <c r="MM447">
        <v>0</v>
      </c>
      <c r="MN447">
        <v>0</v>
      </c>
      <c r="MO447">
        <v>0</v>
      </c>
      <c r="MP447">
        <v>0</v>
      </c>
      <c r="MQ447">
        <v>0</v>
      </c>
      <c r="MR447">
        <v>0</v>
      </c>
      <c r="MS447">
        <v>0</v>
      </c>
      <c r="MT447">
        <v>0</v>
      </c>
      <c r="MU447">
        <v>0</v>
      </c>
      <c r="MV447">
        <v>0</v>
      </c>
      <c r="MW447">
        <v>0</v>
      </c>
      <c r="MX447">
        <v>0</v>
      </c>
      <c r="MY447">
        <v>0</v>
      </c>
      <c r="MZ447">
        <v>0</v>
      </c>
      <c r="NA447">
        <v>0</v>
      </c>
      <c r="NB447">
        <v>0</v>
      </c>
      <c r="NC447">
        <v>0</v>
      </c>
      <c r="ND447">
        <v>0</v>
      </c>
      <c r="NE447">
        <v>0</v>
      </c>
    </row>
    <row r="448" spans="41:369" x14ac:dyDescent="0.45">
      <c r="AO448">
        <v>0</v>
      </c>
      <c r="AP448">
        <v>0</v>
      </c>
      <c r="AQ448">
        <v>0</v>
      </c>
      <c r="AR448">
        <v>0</v>
      </c>
      <c r="AS448">
        <v>0</v>
      </c>
      <c r="AT448">
        <v>0</v>
      </c>
      <c r="AU448">
        <v>0</v>
      </c>
      <c r="AV448">
        <v>0</v>
      </c>
      <c r="AW448" t="str">
        <v/>
      </c>
      <c r="AX448">
        <v>255</v>
      </c>
      <c r="AY448" s="5" t="str">
        <v/>
      </c>
      <c r="AZ448">
        <v>0</v>
      </c>
      <c r="BA448">
        <v>0</v>
      </c>
      <c r="BB448">
        <v>0</v>
      </c>
      <c r="BC448">
        <v>0</v>
      </c>
      <c r="BD448">
        <v>0</v>
      </c>
      <c r="BE448">
        <v>0</v>
      </c>
      <c r="BF448">
        <v>0</v>
      </c>
      <c r="BG448">
        <v>0</v>
      </c>
      <c r="BH448">
        <v>0</v>
      </c>
      <c r="BI448" t="str">
        <v/>
      </c>
      <c r="BK448">
        <v>442</v>
      </c>
      <c r="BL448">
        <v>0</v>
      </c>
      <c r="BM448">
        <v>0</v>
      </c>
      <c r="BN448">
        <v>0</v>
      </c>
      <c r="BO448">
        <v>0</v>
      </c>
      <c r="BP448">
        <v>0</v>
      </c>
      <c r="BQ448">
        <v>0</v>
      </c>
      <c r="BR448">
        <v>0</v>
      </c>
      <c r="BS448">
        <v>0</v>
      </c>
      <c r="BT448">
        <v>0</v>
      </c>
      <c r="BU448">
        <v>0</v>
      </c>
      <c r="BV448">
        <v>0</v>
      </c>
      <c r="BW448">
        <v>0</v>
      </c>
      <c r="BX448">
        <v>0</v>
      </c>
      <c r="BY448">
        <v>0</v>
      </c>
      <c r="BZ448">
        <v>0</v>
      </c>
      <c r="CA448">
        <v>0</v>
      </c>
      <c r="CB448">
        <v>0</v>
      </c>
      <c r="CC448">
        <v>0</v>
      </c>
      <c r="CD448">
        <v>0</v>
      </c>
      <c r="CE448">
        <v>0</v>
      </c>
      <c r="CF448">
        <v>0</v>
      </c>
      <c r="CG448">
        <v>0</v>
      </c>
      <c r="CH448">
        <v>0</v>
      </c>
      <c r="CI448">
        <v>0</v>
      </c>
      <c r="CJ448">
        <v>0</v>
      </c>
      <c r="CK448">
        <v>0</v>
      </c>
      <c r="CL448">
        <v>0</v>
      </c>
      <c r="CM448">
        <v>0</v>
      </c>
      <c r="CN448">
        <v>0</v>
      </c>
      <c r="CO448">
        <v>0</v>
      </c>
      <c r="CP448">
        <v>0</v>
      </c>
      <c r="CQ448">
        <v>0</v>
      </c>
      <c r="CR448">
        <v>0</v>
      </c>
      <c r="CS448">
        <v>0</v>
      </c>
      <c r="CT448">
        <v>0</v>
      </c>
      <c r="CU448">
        <v>0</v>
      </c>
      <c r="CV448">
        <v>0</v>
      </c>
      <c r="CW448">
        <v>0</v>
      </c>
      <c r="CX448">
        <v>0</v>
      </c>
      <c r="CY448">
        <v>0</v>
      </c>
      <c r="CZ448">
        <v>0</v>
      </c>
      <c r="DA448">
        <v>0</v>
      </c>
      <c r="DB448">
        <v>0</v>
      </c>
      <c r="DC448">
        <v>0</v>
      </c>
      <c r="DD448">
        <v>0</v>
      </c>
      <c r="DE448">
        <v>0</v>
      </c>
      <c r="DF448">
        <v>0</v>
      </c>
      <c r="DG448">
        <v>0</v>
      </c>
      <c r="DH448">
        <v>0</v>
      </c>
      <c r="DI448">
        <v>0</v>
      </c>
      <c r="DJ448">
        <v>0</v>
      </c>
      <c r="DK448">
        <v>0</v>
      </c>
      <c r="DL448">
        <v>0</v>
      </c>
      <c r="DM448">
        <v>0</v>
      </c>
      <c r="DN448">
        <v>0</v>
      </c>
      <c r="DO448">
        <v>0</v>
      </c>
      <c r="DP448">
        <v>0</v>
      </c>
      <c r="DQ448">
        <v>0</v>
      </c>
      <c r="DR448">
        <v>0</v>
      </c>
      <c r="DS448">
        <v>0</v>
      </c>
      <c r="DT448">
        <v>0</v>
      </c>
      <c r="DU448">
        <v>0</v>
      </c>
      <c r="DV448">
        <v>0</v>
      </c>
      <c r="DW448">
        <v>0</v>
      </c>
      <c r="DX448">
        <v>0</v>
      </c>
      <c r="DY448">
        <v>0</v>
      </c>
      <c r="DZ448">
        <v>0</v>
      </c>
      <c r="EA448">
        <v>0</v>
      </c>
      <c r="EB448">
        <v>0</v>
      </c>
      <c r="EC448">
        <v>0</v>
      </c>
      <c r="ED448">
        <v>0</v>
      </c>
      <c r="EE448">
        <v>0</v>
      </c>
      <c r="EF448">
        <v>0</v>
      </c>
      <c r="EG448">
        <v>0</v>
      </c>
      <c r="EH448">
        <v>0</v>
      </c>
      <c r="EI448">
        <v>0</v>
      </c>
      <c r="EJ448">
        <v>0</v>
      </c>
      <c r="EK448">
        <v>0</v>
      </c>
      <c r="EL448">
        <v>0</v>
      </c>
      <c r="EM448">
        <v>0</v>
      </c>
      <c r="EN448">
        <v>0</v>
      </c>
      <c r="EO448">
        <v>0</v>
      </c>
      <c r="EP448">
        <v>0</v>
      </c>
      <c r="EQ448">
        <v>0</v>
      </c>
      <c r="ER448">
        <v>0</v>
      </c>
      <c r="ES448">
        <v>0</v>
      </c>
      <c r="ET448">
        <v>0</v>
      </c>
      <c r="EU448">
        <v>0</v>
      </c>
      <c r="EV448">
        <v>0</v>
      </c>
      <c r="EW448">
        <v>0</v>
      </c>
      <c r="EX448">
        <v>0</v>
      </c>
      <c r="EY448">
        <v>0</v>
      </c>
      <c r="EZ448">
        <v>0</v>
      </c>
      <c r="FA448">
        <v>0</v>
      </c>
      <c r="FB448">
        <v>0</v>
      </c>
      <c r="FC448">
        <v>0</v>
      </c>
      <c r="FD448">
        <v>0</v>
      </c>
      <c r="FE448">
        <v>0</v>
      </c>
      <c r="FF448">
        <v>0</v>
      </c>
      <c r="FG448">
        <v>0</v>
      </c>
      <c r="FH448">
        <v>0</v>
      </c>
      <c r="FI448">
        <v>0</v>
      </c>
      <c r="FJ448">
        <v>0</v>
      </c>
      <c r="FK448">
        <v>0</v>
      </c>
      <c r="FL448">
        <v>0</v>
      </c>
      <c r="FM448">
        <v>0</v>
      </c>
      <c r="FN448">
        <v>0</v>
      </c>
      <c r="FO448">
        <v>0</v>
      </c>
      <c r="FP448">
        <v>0</v>
      </c>
      <c r="FQ448">
        <v>0</v>
      </c>
      <c r="FR448">
        <v>0</v>
      </c>
      <c r="FS448">
        <v>0</v>
      </c>
      <c r="FT448">
        <v>0</v>
      </c>
      <c r="FU448">
        <v>0</v>
      </c>
      <c r="FV448">
        <v>0</v>
      </c>
      <c r="FW448">
        <v>0</v>
      </c>
      <c r="FX448">
        <v>0</v>
      </c>
      <c r="FY448">
        <v>0</v>
      </c>
      <c r="FZ448">
        <v>0</v>
      </c>
      <c r="GA448">
        <v>0</v>
      </c>
      <c r="GB448">
        <v>0</v>
      </c>
      <c r="GC448">
        <v>0</v>
      </c>
      <c r="GD448">
        <v>0</v>
      </c>
      <c r="GE448">
        <v>0</v>
      </c>
      <c r="GF448">
        <v>0</v>
      </c>
      <c r="GG448">
        <v>0</v>
      </c>
      <c r="GH448">
        <v>0</v>
      </c>
      <c r="GI448">
        <v>0</v>
      </c>
      <c r="GJ448">
        <v>0</v>
      </c>
      <c r="GK448">
        <v>0</v>
      </c>
      <c r="GL448">
        <v>0</v>
      </c>
      <c r="GM448">
        <v>0</v>
      </c>
      <c r="GN448">
        <v>0</v>
      </c>
      <c r="GO448">
        <v>0</v>
      </c>
      <c r="GP448">
        <v>0</v>
      </c>
      <c r="GQ448">
        <v>0</v>
      </c>
      <c r="GR448">
        <v>0</v>
      </c>
      <c r="GS448">
        <v>0</v>
      </c>
      <c r="GT448">
        <v>0</v>
      </c>
      <c r="GU448">
        <v>0</v>
      </c>
      <c r="GV448">
        <v>0</v>
      </c>
      <c r="GW448">
        <v>0</v>
      </c>
      <c r="GX448">
        <v>0</v>
      </c>
      <c r="GY448">
        <v>0</v>
      </c>
      <c r="GZ448">
        <v>0</v>
      </c>
      <c r="HA448">
        <v>0</v>
      </c>
      <c r="HB448">
        <v>0</v>
      </c>
      <c r="HC448">
        <v>0</v>
      </c>
      <c r="HD448">
        <v>0</v>
      </c>
      <c r="HE448">
        <v>0</v>
      </c>
      <c r="HF448">
        <v>0</v>
      </c>
      <c r="HG448">
        <v>0</v>
      </c>
      <c r="HH448">
        <v>0</v>
      </c>
      <c r="HI448">
        <v>0</v>
      </c>
      <c r="HJ448">
        <v>0</v>
      </c>
      <c r="HK448">
        <v>0</v>
      </c>
      <c r="HL448">
        <v>0</v>
      </c>
      <c r="HM448">
        <v>0</v>
      </c>
      <c r="HN448">
        <v>0</v>
      </c>
      <c r="HO448">
        <v>0</v>
      </c>
      <c r="HP448">
        <v>0</v>
      </c>
      <c r="HQ448">
        <v>0</v>
      </c>
      <c r="HR448">
        <v>0</v>
      </c>
      <c r="HS448">
        <v>0</v>
      </c>
      <c r="HT448">
        <v>0</v>
      </c>
      <c r="HU448">
        <v>0</v>
      </c>
      <c r="HV448">
        <v>0</v>
      </c>
      <c r="HW448">
        <v>0</v>
      </c>
      <c r="HX448">
        <v>0</v>
      </c>
      <c r="HY448">
        <v>0</v>
      </c>
      <c r="HZ448">
        <v>0</v>
      </c>
      <c r="IA448">
        <v>0</v>
      </c>
      <c r="IB448">
        <v>0</v>
      </c>
      <c r="IC448">
        <v>0</v>
      </c>
      <c r="ID448">
        <v>0</v>
      </c>
      <c r="IE448">
        <v>0</v>
      </c>
      <c r="IF448">
        <v>0</v>
      </c>
      <c r="IG448">
        <v>0</v>
      </c>
      <c r="IH448">
        <v>0</v>
      </c>
      <c r="II448">
        <v>0</v>
      </c>
      <c r="IJ448">
        <v>0</v>
      </c>
      <c r="IK448">
        <v>0</v>
      </c>
      <c r="IL448">
        <v>0</v>
      </c>
      <c r="IM448">
        <v>0</v>
      </c>
      <c r="IN448">
        <v>0</v>
      </c>
      <c r="IO448">
        <v>0</v>
      </c>
      <c r="IP448">
        <v>0</v>
      </c>
      <c r="IQ448">
        <v>0</v>
      </c>
      <c r="IR448">
        <v>0</v>
      </c>
      <c r="IS448">
        <v>0</v>
      </c>
      <c r="IT448">
        <v>0</v>
      </c>
      <c r="IU448">
        <v>0</v>
      </c>
      <c r="IV448">
        <v>0</v>
      </c>
      <c r="IW448">
        <v>0</v>
      </c>
      <c r="IX448">
        <v>0</v>
      </c>
      <c r="IY448">
        <v>0</v>
      </c>
      <c r="IZ448">
        <v>0</v>
      </c>
      <c r="JA448">
        <v>0</v>
      </c>
      <c r="JB448">
        <v>0</v>
      </c>
      <c r="JC448">
        <v>0</v>
      </c>
      <c r="JD448">
        <v>0</v>
      </c>
      <c r="JE448">
        <v>0</v>
      </c>
      <c r="JF448">
        <v>0</v>
      </c>
      <c r="JG448">
        <v>0</v>
      </c>
      <c r="JH448">
        <v>0</v>
      </c>
      <c r="JI448">
        <v>0</v>
      </c>
      <c r="JJ448">
        <v>0</v>
      </c>
      <c r="JK448">
        <v>0</v>
      </c>
      <c r="JL448">
        <v>0</v>
      </c>
      <c r="JM448">
        <v>0</v>
      </c>
      <c r="JN448">
        <v>0</v>
      </c>
      <c r="JO448">
        <v>0</v>
      </c>
      <c r="JP448">
        <v>0</v>
      </c>
      <c r="JQ448">
        <v>0</v>
      </c>
      <c r="JR448">
        <v>0</v>
      </c>
      <c r="JS448">
        <v>0</v>
      </c>
      <c r="JT448">
        <v>0</v>
      </c>
      <c r="JU448">
        <v>0</v>
      </c>
      <c r="JV448">
        <v>0</v>
      </c>
      <c r="JW448">
        <v>0</v>
      </c>
      <c r="JX448">
        <v>0</v>
      </c>
      <c r="JY448">
        <v>0</v>
      </c>
      <c r="JZ448">
        <v>0</v>
      </c>
      <c r="KA448">
        <v>0</v>
      </c>
      <c r="KB448">
        <v>0</v>
      </c>
      <c r="KC448">
        <v>0</v>
      </c>
      <c r="KD448">
        <v>0</v>
      </c>
      <c r="KE448">
        <v>0</v>
      </c>
      <c r="KF448">
        <v>0</v>
      </c>
      <c r="KG448">
        <v>0</v>
      </c>
      <c r="KH448">
        <v>0</v>
      </c>
      <c r="KI448">
        <v>0</v>
      </c>
      <c r="KJ448">
        <v>0</v>
      </c>
      <c r="KK448">
        <v>0</v>
      </c>
      <c r="KL448">
        <v>0</v>
      </c>
      <c r="KM448">
        <v>0</v>
      </c>
      <c r="KN448">
        <v>0</v>
      </c>
      <c r="KO448">
        <v>0</v>
      </c>
      <c r="KP448">
        <v>0</v>
      </c>
      <c r="KQ448">
        <v>0</v>
      </c>
      <c r="KR448">
        <v>0</v>
      </c>
      <c r="KS448">
        <v>0</v>
      </c>
      <c r="KT448">
        <v>0</v>
      </c>
      <c r="KU448">
        <v>0</v>
      </c>
      <c r="KV448">
        <v>0</v>
      </c>
      <c r="KW448">
        <v>0</v>
      </c>
      <c r="KX448">
        <v>0</v>
      </c>
      <c r="KY448">
        <v>0</v>
      </c>
      <c r="KZ448">
        <v>0</v>
      </c>
      <c r="LA448">
        <v>0</v>
      </c>
      <c r="LB448">
        <v>0</v>
      </c>
      <c r="LC448">
        <v>0</v>
      </c>
      <c r="LD448">
        <v>0</v>
      </c>
      <c r="LE448">
        <v>0</v>
      </c>
      <c r="LF448">
        <v>0</v>
      </c>
      <c r="LG448">
        <v>0</v>
      </c>
      <c r="LH448">
        <v>0</v>
      </c>
      <c r="LI448">
        <v>0</v>
      </c>
      <c r="LJ448">
        <v>0</v>
      </c>
      <c r="LK448">
        <v>0</v>
      </c>
      <c r="LL448">
        <v>0</v>
      </c>
      <c r="LM448">
        <v>0</v>
      </c>
      <c r="LN448">
        <v>0</v>
      </c>
      <c r="LO448">
        <v>0</v>
      </c>
      <c r="LP448">
        <v>0</v>
      </c>
      <c r="LQ448">
        <v>0</v>
      </c>
      <c r="LR448">
        <v>0</v>
      </c>
      <c r="LS448">
        <v>0</v>
      </c>
      <c r="LT448">
        <v>0</v>
      </c>
      <c r="LU448">
        <v>0</v>
      </c>
      <c r="LV448">
        <v>0</v>
      </c>
      <c r="LW448">
        <v>0</v>
      </c>
      <c r="LX448">
        <v>0</v>
      </c>
      <c r="LY448">
        <v>0</v>
      </c>
      <c r="LZ448">
        <v>0</v>
      </c>
      <c r="MA448">
        <v>0</v>
      </c>
      <c r="MB448">
        <v>0</v>
      </c>
      <c r="MC448">
        <v>0</v>
      </c>
      <c r="MD448">
        <v>0</v>
      </c>
      <c r="ME448">
        <v>0</v>
      </c>
      <c r="MF448">
        <v>0</v>
      </c>
      <c r="MG448">
        <v>0</v>
      </c>
      <c r="MH448">
        <v>0</v>
      </c>
      <c r="MI448">
        <v>0</v>
      </c>
      <c r="MJ448">
        <v>0</v>
      </c>
      <c r="MK448">
        <v>0</v>
      </c>
      <c r="ML448">
        <v>0</v>
      </c>
      <c r="MM448">
        <v>0</v>
      </c>
      <c r="MN448">
        <v>0</v>
      </c>
      <c r="MO448">
        <v>0</v>
      </c>
      <c r="MP448">
        <v>0</v>
      </c>
      <c r="MQ448">
        <v>0</v>
      </c>
      <c r="MR448">
        <v>0</v>
      </c>
      <c r="MS448">
        <v>0</v>
      </c>
      <c r="MT448">
        <v>0</v>
      </c>
      <c r="MU448">
        <v>0</v>
      </c>
      <c r="MV448">
        <v>0</v>
      </c>
      <c r="MW448">
        <v>0</v>
      </c>
      <c r="MX448">
        <v>0</v>
      </c>
      <c r="MY448">
        <v>0</v>
      </c>
      <c r="MZ448">
        <v>0</v>
      </c>
      <c r="NA448">
        <v>0</v>
      </c>
      <c r="NB448">
        <v>0</v>
      </c>
      <c r="NC448">
        <v>0</v>
      </c>
      <c r="ND448">
        <v>0</v>
      </c>
      <c r="NE448">
        <v>0</v>
      </c>
    </row>
    <row r="449" spans="41:369" x14ac:dyDescent="0.45">
      <c r="AO449">
        <v>0</v>
      </c>
      <c r="AP449">
        <v>0</v>
      </c>
      <c r="AQ449">
        <v>0</v>
      </c>
      <c r="AR449">
        <v>0</v>
      </c>
      <c r="AS449">
        <v>0</v>
      </c>
      <c r="AT449">
        <v>0</v>
      </c>
      <c r="AU449">
        <v>0</v>
      </c>
      <c r="AV449">
        <v>0</v>
      </c>
      <c r="AW449" t="str">
        <v/>
      </c>
      <c r="AX449">
        <v>255</v>
      </c>
      <c r="AY449" s="5" t="str">
        <v/>
      </c>
      <c r="AZ449">
        <v>0</v>
      </c>
      <c r="BA449">
        <v>0</v>
      </c>
      <c r="BB449">
        <v>0</v>
      </c>
      <c r="BC449">
        <v>0</v>
      </c>
      <c r="BD449">
        <v>0</v>
      </c>
      <c r="BE449">
        <v>0</v>
      </c>
      <c r="BF449">
        <v>0</v>
      </c>
      <c r="BG449">
        <v>0</v>
      </c>
      <c r="BH449">
        <v>0</v>
      </c>
      <c r="BI449" t="str">
        <v/>
      </c>
      <c r="BK449">
        <v>443</v>
      </c>
      <c r="BL449">
        <v>0</v>
      </c>
      <c r="BM449">
        <v>0</v>
      </c>
      <c r="BN449">
        <v>0</v>
      </c>
      <c r="BO449">
        <v>0</v>
      </c>
      <c r="BP449">
        <v>0</v>
      </c>
      <c r="BQ449">
        <v>0</v>
      </c>
      <c r="BR449">
        <v>0</v>
      </c>
      <c r="BS449">
        <v>0</v>
      </c>
      <c r="BT449">
        <v>0</v>
      </c>
      <c r="BU449">
        <v>0</v>
      </c>
      <c r="BV449">
        <v>0</v>
      </c>
      <c r="BW449">
        <v>0</v>
      </c>
      <c r="BX449">
        <v>0</v>
      </c>
      <c r="BY449">
        <v>0</v>
      </c>
      <c r="BZ449">
        <v>0</v>
      </c>
      <c r="CA449">
        <v>0</v>
      </c>
      <c r="CB449">
        <v>0</v>
      </c>
      <c r="CC449">
        <v>0</v>
      </c>
      <c r="CD449">
        <v>0</v>
      </c>
      <c r="CE449">
        <v>0</v>
      </c>
      <c r="CF449">
        <v>0</v>
      </c>
      <c r="CG449">
        <v>0</v>
      </c>
      <c r="CH449">
        <v>0</v>
      </c>
      <c r="CI449">
        <v>0</v>
      </c>
      <c r="CJ449">
        <v>0</v>
      </c>
      <c r="CK449">
        <v>0</v>
      </c>
      <c r="CL449">
        <v>0</v>
      </c>
      <c r="CM449">
        <v>0</v>
      </c>
      <c r="CN449">
        <v>0</v>
      </c>
      <c r="CO449">
        <v>0</v>
      </c>
      <c r="CP449">
        <v>0</v>
      </c>
      <c r="CQ449">
        <v>0</v>
      </c>
      <c r="CR449">
        <v>0</v>
      </c>
      <c r="CS449">
        <v>0</v>
      </c>
      <c r="CT449">
        <v>0</v>
      </c>
      <c r="CU449">
        <v>0</v>
      </c>
      <c r="CV449">
        <v>0</v>
      </c>
      <c r="CW449">
        <v>0</v>
      </c>
      <c r="CX449">
        <v>0</v>
      </c>
      <c r="CY449">
        <v>0</v>
      </c>
      <c r="CZ449">
        <v>0</v>
      </c>
      <c r="DA449">
        <v>0</v>
      </c>
      <c r="DB449">
        <v>0</v>
      </c>
      <c r="DC449">
        <v>0</v>
      </c>
      <c r="DD449">
        <v>0</v>
      </c>
      <c r="DE449">
        <v>0</v>
      </c>
      <c r="DF449">
        <v>0</v>
      </c>
      <c r="DG449">
        <v>0</v>
      </c>
      <c r="DH449">
        <v>0</v>
      </c>
      <c r="DI449">
        <v>0</v>
      </c>
      <c r="DJ449">
        <v>0</v>
      </c>
      <c r="DK449">
        <v>0</v>
      </c>
      <c r="DL449">
        <v>0</v>
      </c>
      <c r="DM449">
        <v>0</v>
      </c>
      <c r="DN449">
        <v>0</v>
      </c>
      <c r="DO449">
        <v>0</v>
      </c>
      <c r="DP449">
        <v>0</v>
      </c>
      <c r="DQ449">
        <v>0</v>
      </c>
      <c r="DR449">
        <v>0</v>
      </c>
      <c r="DS449">
        <v>0</v>
      </c>
      <c r="DT449">
        <v>0</v>
      </c>
      <c r="DU449">
        <v>0</v>
      </c>
      <c r="DV449">
        <v>0</v>
      </c>
      <c r="DW449">
        <v>0</v>
      </c>
      <c r="DX449">
        <v>0</v>
      </c>
      <c r="DY449">
        <v>0</v>
      </c>
      <c r="DZ449">
        <v>0</v>
      </c>
      <c r="EA449">
        <v>0</v>
      </c>
      <c r="EB449">
        <v>0</v>
      </c>
      <c r="EC449">
        <v>0</v>
      </c>
      <c r="ED449">
        <v>0</v>
      </c>
      <c r="EE449">
        <v>0</v>
      </c>
      <c r="EF449">
        <v>0</v>
      </c>
      <c r="EG449">
        <v>0</v>
      </c>
      <c r="EH449">
        <v>0</v>
      </c>
      <c r="EI449">
        <v>0</v>
      </c>
      <c r="EJ449">
        <v>0</v>
      </c>
      <c r="EK449">
        <v>0</v>
      </c>
      <c r="EL449">
        <v>0</v>
      </c>
      <c r="EM449">
        <v>0</v>
      </c>
      <c r="EN449">
        <v>0</v>
      </c>
      <c r="EO449">
        <v>0</v>
      </c>
      <c r="EP449">
        <v>0</v>
      </c>
      <c r="EQ449">
        <v>0</v>
      </c>
      <c r="ER449">
        <v>0</v>
      </c>
      <c r="ES449">
        <v>0</v>
      </c>
      <c r="ET449">
        <v>0</v>
      </c>
      <c r="EU449">
        <v>0</v>
      </c>
      <c r="EV449">
        <v>0</v>
      </c>
      <c r="EW449">
        <v>0</v>
      </c>
      <c r="EX449">
        <v>0</v>
      </c>
      <c r="EY449">
        <v>0</v>
      </c>
      <c r="EZ449">
        <v>0</v>
      </c>
      <c r="FA449">
        <v>0</v>
      </c>
      <c r="FB449">
        <v>0</v>
      </c>
      <c r="FC449">
        <v>0</v>
      </c>
      <c r="FD449">
        <v>0</v>
      </c>
      <c r="FE449">
        <v>0</v>
      </c>
      <c r="FF449">
        <v>0</v>
      </c>
      <c r="FG449">
        <v>0</v>
      </c>
      <c r="FH449">
        <v>0</v>
      </c>
      <c r="FI449">
        <v>0</v>
      </c>
      <c r="FJ449">
        <v>0</v>
      </c>
      <c r="FK449">
        <v>0</v>
      </c>
      <c r="FL449">
        <v>0</v>
      </c>
      <c r="FM449">
        <v>0</v>
      </c>
      <c r="FN449">
        <v>0</v>
      </c>
      <c r="FO449">
        <v>0</v>
      </c>
      <c r="FP449">
        <v>0</v>
      </c>
      <c r="FQ449">
        <v>0</v>
      </c>
      <c r="FR449">
        <v>0</v>
      </c>
      <c r="FS449">
        <v>0</v>
      </c>
      <c r="FT449">
        <v>0</v>
      </c>
      <c r="FU449">
        <v>0</v>
      </c>
      <c r="FV449">
        <v>0</v>
      </c>
      <c r="FW449">
        <v>0</v>
      </c>
      <c r="FX449">
        <v>0</v>
      </c>
      <c r="FY449">
        <v>0</v>
      </c>
      <c r="FZ449">
        <v>0</v>
      </c>
      <c r="GA449">
        <v>0</v>
      </c>
      <c r="GB449">
        <v>0</v>
      </c>
      <c r="GC449">
        <v>0</v>
      </c>
      <c r="GD449">
        <v>0</v>
      </c>
      <c r="GE449">
        <v>0</v>
      </c>
      <c r="GF449">
        <v>0</v>
      </c>
      <c r="GG449">
        <v>0</v>
      </c>
      <c r="GH449">
        <v>0</v>
      </c>
      <c r="GI449">
        <v>0</v>
      </c>
      <c r="GJ449">
        <v>0</v>
      </c>
      <c r="GK449">
        <v>0</v>
      </c>
      <c r="GL449">
        <v>0</v>
      </c>
      <c r="GM449">
        <v>0</v>
      </c>
      <c r="GN449">
        <v>0</v>
      </c>
      <c r="GO449">
        <v>0</v>
      </c>
      <c r="GP449">
        <v>0</v>
      </c>
      <c r="GQ449">
        <v>0</v>
      </c>
      <c r="GR449">
        <v>0</v>
      </c>
      <c r="GS449">
        <v>0</v>
      </c>
      <c r="GT449">
        <v>0</v>
      </c>
      <c r="GU449">
        <v>0</v>
      </c>
      <c r="GV449">
        <v>0</v>
      </c>
      <c r="GW449">
        <v>0</v>
      </c>
      <c r="GX449">
        <v>0</v>
      </c>
      <c r="GY449">
        <v>0</v>
      </c>
      <c r="GZ449">
        <v>0</v>
      </c>
      <c r="HA449">
        <v>0</v>
      </c>
      <c r="HB449">
        <v>0</v>
      </c>
      <c r="HC449">
        <v>0</v>
      </c>
      <c r="HD449">
        <v>0</v>
      </c>
      <c r="HE449">
        <v>0</v>
      </c>
      <c r="HF449">
        <v>0</v>
      </c>
      <c r="HG449">
        <v>0</v>
      </c>
      <c r="HH449">
        <v>0</v>
      </c>
      <c r="HI449">
        <v>0</v>
      </c>
      <c r="HJ449">
        <v>0</v>
      </c>
      <c r="HK449">
        <v>0</v>
      </c>
      <c r="HL449">
        <v>0</v>
      </c>
      <c r="HM449">
        <v>0</v>
      </c>
      <c r="HN449">
        <v>0</v>
      </c>
      <c r="HO449">
        <v>0</v>
      </c>
      <c r="HP449">
        <v>0</v>
      </c>
      <c r="HQ449">
        <v>0</v>
      </c>
      <c r="HR449">
        <v>0</v>
      </c>
      <c r="HS449">
        <v>0</v>
      </c>
      <c r="HT449">
        <v>0</v>
      </c>
      <c r="HU449">
        <v>0</v>
      </c>
      <c r="HV449">
        <v>0</v>
      </c>
      <c r="HW449">
        <v>0</v>
      </c>
      <c r="HX449">
        <v>0</v>
      </c>
      <c r="HY449">
        <v>0</v>
      </c>
      <c r="HZ449">
        <v>0</v>
      </c>
      <c r="IA449">
        <v>0</v>
      </c>
      <c r="IB449">
        <v>0</v>
      </c>
      <c r="IC449">
        <v>0</v>
      </c>
      <c r="ID449">
        <v>0</v>
      </c>
      <c r="IE449">
        <v>0</v>
      </c>
      <c r="IF449">
        <v>0</v>
      </c>
      <c r="IG449">
        <v>0</v>
      </c>
      <c r="IH449">
        <v>0</v>
      </c>
      <c r="II449">
        <v>0</v>
      </c>
      <c r="IJ449">
        <v>0</v>
      </c>
      <c r="IK449">
        <v>0</v>
      </c>
      <c r="IL449">
        <v>0</v>
      </c>
      <c r="IM449">
        <v>0</v>
      </c>
      <c r="IN449">
        <v>0</v>
      </c>
      <c r="IO449">
        <v>0</v>
      </c>
      <c r="IP449">
        <v>0</v>
      </c>
      <c r="IQ449">
        <v>0</v>
      </c>
      <c r="IR449">
        <v>0</v>
      </c>
      <c r="IS449">
        <v>0</v>
      </c>
      <c r="IT449">
        <v>0</v>
      </c>
      <c r="IU449">
        <v>0</v>
      </c>
      <c r="IV449">
        <v>0</v>
      </c>
      <c r="IW449">
        <v>0</v>
      </c>
      <c r="IX449">
        <v>0</v>
      </c>
      <c r="IY449">
        <v>0</v>
      </c>
      <c r="IZ449">
        <v>0</v>
      </c>
      <c r="JA449">
        <v>0</v>
      </c>
      <c r="JB449">
        <v>0</v>
      </c>
      <c r="JC449">
        <v>0</v>
      </c>
      <c r="JD449">
        <v>0</v>
      </c>
      <c r="JE449">
        <v>0</v>
      </c>
      <c r="JF449">
        <v>0</v>
      </c>
      <c r="JG449">
        <v>0</v>
      </c>
      <c r="JH449">
        <v>0</v>
      </c>
      <c r="JI449">
        <v>0</v>
      </c>
      <c r="JJ449">
        <v>0</v>
      </c>
      <c r="JK449">
        <v>0</v>
      </c>
      <c r="JL449">
        <v>0</v>
      </c>
      <c r="JM449">
        <v>0</v>
      </c>
      <c r="JN449">
        <v>0</v>
      </c>
      <c r="JO449">
        <v>0</v>
      </c>
      <c r="JP449">
        <v>0</v>
      </c>
      <c r="JQ449">
        <v>0</v>
      </c>
      <c r="JR449">
        <v>0</v>
      </c>
      <c r="JS449">
        <v>0</v>
      </c>
      <c r="JT449">
        <v>0</v>
      </c>
      <c r="JU449">
        <v>0</v>
      </c>
      <c r="JV449">
        <v>0</v>
      </c>
      <c r="JW449">
        <v>0</v>
      </c>
      <c r="JX449">
        <v>0</v>
      </c>
      <c r="JY449">
        <v>0</v>
      </c>
      <c r="JZ449">
        <v>0</v>
      </c>
      <c r="KA449">
        <v>0</v>
      </c>
      <c r="KB449">
        <v>0</v>
      </c>
      <c r="KC449">
        <v>0</v>
      </c>
      <c r="KD449">
        <v>0</v>
      </c>
      <c r="KE449">
        <v>0</v>
      </c>
      <c r="KF449">
        <v>0</v>
      </c>
      <c r="KG449">
        <v>0</v>
      </c>
      <c r="KH449">
        <v>0</v>
      </c>
      <c r="KI449">
        <v>0</v>
      </c>
      <c r="KJ449">
        <v>0</v>
      </c>
      <c r="KK449">
        <v>0</v>
      </c>
      <c r="KL449">
        <v>0</v>
      </c>
      <c r="KM449">
        <v>0</v>
      </c>
      <c r="KN449">
        <v>0</v>
      </c>
      <c r="KO449">
        <v>0</v>
      </c>
      <c r="KP449">
        <v>0</v>
      </c>
      <c r="KQ449">
        <v>0</v>
      </c>
      <c r="KR449">
        <v>0</v>
      </c>
      <c r="KS449">
        <v>0</v>
      </c>
      <c r="KT449">
        <v>0</v>
      </c>
      <c r="KU449">
        <v>0</v>
      </c>
      <c r="KV449">
        <v>0</v>
      </c>
      <c r="KW449">
        <v>0</v>
      </c>
      <c r="KX449">
        <v>0</v>
      </c>
      <c r="KY449">
        <v>0</v>
      </c>
      <c r="KZ449">
        <v>0</v>
      </c>
      <c r="LA449">
        <v>0</v>
      </c>
      <c r="LB449">
        <v>0</v>
      </c>
      <c r="LC449">
        <v>0</v>
      </c>
      <c r="LD449">
        <v>0</v>
      </c>
      <c r="LE449">
        <v>0</v>
      </c>
      <c r="LF449">
        <v>0</v>
      </c>
      <c r="LG449">
        <v>0</v>
      </c>
      <c r="LH449">
        <v>0</v>
      </c>
      <c r="LI449">
        <v>0</v>
      </c>
      <c r="LJ449">
        <v>0</v>
      </c>
      <c r="LK449">
        <v>0</v>
      </c>
      <c r="LL449">
        <v>0</v>
      </c>
      <c r="LM449">
        <v>0</v>
      </c>
      <c r="LN449">
        <v>0</v>
      </c>
      <c r="LO449">
        <v>0</v>
      </c>
      <c r="LP449">
        <v>0</v>
      </c>
      <c r="LQ449">
        <v>0</v>
      </c>
      <c r="LR449">
        <v>0</v>
      </c>
      <c r="LS449">
        <v>0</v>
      </c>
      <c r="LT449">
        <v>0</v>
      </c>
      <c r="LU449">
        <v>0</v>
      </c>
      <c r="LV449">
        <v>0</v>
      </c>
      <c r="LW449">
        <v>0</v>
      </c>
      <c r="LX449">
        <v>0</v>
      </c>
      <c r="LY449">
        <v>0</v>
      </c>
      <c r="LZ449">
        <v>0</v>
      </c>
      <c r="MA449">
        <v>0</v>
      </c>
      <c r="MB449">
        <v>0</v>
      </c>
      <c r="MC449">
        <v>0</v>
      </c>
      <c r="MD449">
        <v>0</v>
      </c>
      <c r="ME449">
        <v>0</v>
      </c>
      <c r="MF449">
        <v>0</v>
      </c>
      <c r="MG449">
        <v>0</v>
      </c>
      <c r="MH449">
        <v>0</v>
      </c>
      <c r="MI449">
        <v>0</v>
      </c>
      <c r="MJ449">
        <v>0</v>
      </c>
      <c r="MK449">
        <v>0</v>
      </c>
      <c r="ML449">
        <v>0</v>
      </c>
      <c r="MM449">
        <v>0</v>
      </c>
      <c r="MN449">
        <v>0</v>
      </c>
      <c r="MO449">
        <v>0</v>
      </c>
      <c r="MP449">
        <v>0</v>
      </c>
      <c r="MQ449">
        <v>0</v>
      </c>
      <c r="MR449">
        <v>0</v>
      </c>
      <c r="MS449">
        <v>0</v>
      </c>
      <c r="MT449">
        <v>0</v>
      </c>
      <c r="MU449">
        <v>0</v>
      </c>
      <c r="MV449">
        <v>0</v>
      </c>
      <c r="MW449">
        <v>0</v>
      </c>
      <c r="MX449">
        <v>0</v>
      </c>
      <c r="MY449">
        <v>0</v>
      </c>
      <c r="MZ449">
        <v>0</v>
      </c>
      <c r="NA449">
        <v>0</v>
      </c>
      <c r="NB449">
        <v>0</v>
      </c>
      <c r="NC449">
        <v>0</v>
      </c>
      <c r="ND449">
        <v>0</v>
      </c>
      <c r="NE449">
        <v>0</v>
      </c>
    </row>
    <row r="450" spans="41:369" x14ac:dyDescent="0.45">
      <c r="AO450">
        <v>0</v>
      </c>
      <c r="AP450">
        <v>0</v>
      </c>
      <c r="AQ450">
        <v>0</v>
      </c>
      <c r="AR450">
        <v>0</v>
      </c>
      <c r="AS450">
        <v>0</v>
      </c>
      <c r="AT450">
        <v>0</v>
      </c>
      <c r="AU450">
        <v>0</v>
      </c>
      <c r="AV450">
        <v>0</v>
      </c>
      <c r="AW450" t="str">
        <v/>
      </c>
      <c r="AX450">
        <v>255</v>
      </c>
      <c r="AY450" s="5" t="str">
        <v/>
      </c>
      <c r="AZ450">
        <v>0</v>
      </c>
      <c r="BA450">
        <v>0</v>
      </c>
      <c r="BB450">
        <v>0</v>
      </c>
      <c r="BC450">
        <v>0</v>
      </c>
      <c r="BD450">
        <v>0</v>
      </c>
      <c r="BE450">
        <v>0</v>
      </c>
      <c r="BF450">
        <v>0</v>
      </c>
      <c r="BG450">
        <v>0</v>
      </c>
      <c r="BH450">
        <v>0</v>
      </c>
      <c r="BI450" t="str">
        <v/>
      </c>
      <c r="BK450">
        <v>444</v>
      </c>
      <c r="BL450">
        <v>0</v>
      </c>
      <c r="BM450">
        <v>0</v>
      </c>
      <c r="BN450">
        <v>0</v>
      </c>
      <c r="BO450">
        <v>0</v>
      </c>
      <c r="BP450">
        <v>0</v>
      </c>
      <c r="BQ450">
        <v>0</v>
      </c>
      <c r="BR450">
        <v>0</v>
      </c>
      <c r="BS450">
        <v>0</v>
      </c>
      <c r="BT450">
        <v>0</v>
      </c>
      <c r="BU450">
        <v>0</v>
      </c>
      <c r="BV450">
        <v>0</v>
      </c>
      <c r="BW450">
        <v>0</v>
      </c>
      <c r="BX450">
        <v>0</v>
      </c>
      <c r="BY450">
        <v>0</v>
      </c>
      <c r="BZ450">
        <v>0</v>
      </c>
      <c r="CA450">
        <v>0</v>
      </c>
      <c r="CB450">
        <v>0</v>
      </c>
      <c r="CC450">
        <v>0</v>
      </c>
      <c r="CD450">
        <v>0</v>
      </c>
      <c r="CE450">
        <v>0</v>
      </c>
      <c r="CF450">
        <v>0</v>
      </c>
      <c r="CG450">
        <v>0</v>
      </c>
      <c r="CH450">
        <v>0</v>
      </c>
      <c r="CI450">
        <v>0</v>
      </c>
      <c r="CJ450">
        <v>0</v>
      </c>
      <c r="CK450">
        <v>0</v>
      </c>
      <c r="CL450">
        <v>0</v>
      </c>
      <c r="CM450">
        <v>0</v>
      </c>
      <c r="CN450">
        <v>0</v>
      </c>
      <c r="CO450">
        <v>0</v>
      </c>
      <c r="CP450">
        <v>0</v>
      </c>
      <c r="CQ450">
        <v>0</v>
      </c>
      <c r="CR450">
        <v>0</v>
      </c>
      <c r="CS450">
        <v>0</v>
      </c>
      <c r="CT450">
        <v>0</v>
      </c>
      <c r="CU450">
        <v>0</v>
      </c>
      <c r="CV450">
        <v>0</v>
      </c>
      <c r="CW450">
        <v>0</v>
      </c>
      <c r="CX450">
        <v>0</v>
      </c>
      <c r="CY450">
        <v>0</v>
      </c>
      <c r="CZ450">
        <v>0</v>
      </c>
      <c r="DA450">
        <v>0</v>
      </c>
      <c r="DB450">
        <v>0</v>
      </c>
      <c r="DC450">
        <v>0</v>
      </c>
      <c r="DD450">
        <v>0</v>
      </c>
      <c r="DE450">
        <v>0</v>
      </c>
      <c r="DF450">
        <v>0</v>
      </c>
      <c r="DG450">
        <v>0</v>
      </c>
      <c r="DH450">
        <v>0</v>
      </c>
      <c r="DI450">
        <v>0</v>
      </c>
      <c r="DJ450">
        <v>0</v>
      </c>
      <c r="DK450">
        <v>0</v>
      </c>
      <c r="DL450">
        <v>0</v>
      </c>
      <c r="DM450">
        <v>0</v>
      </c>
      <c r="DN450">
        <v>0</v>
      </c>
      <c r="DO450">
        <v>0</v>
      </c>
      <c r="DP450">
        <v>0</v>
      </c>
      <c r="DQ450">
        <v>0</v>
      </c>
      <c r="DR450">
        <v>0</v>
      </c>
      <c r="DS450">
        <v>0</v>
      </c>
      <c r="DT450">
        <v>0</v>
      </c>
      <c r="DU450">
        <v>0</v>
      </c>
      <c r="DV450">
        <v>0</v>
      </c>
      <c r="DW450">
        <v>0</v>
      </c>
      <c r="DX450">
        <v>0</v>
      </c>
      <c r="DY450">
        <v>0</v>
      </c>
      <c r="DZ450">
        <v>0</v>
      </c>
      <c r="EA450">
        <v>0</v>
      </c>
      <c r="EB450">
        <v>0</v>
      </c>
      <c r="EC450">
        <v>0</v>
      </c>
      <c r="ED450">
        <v>0</v>
      </c>
      <c r="EE450">
        <v>0</v>
      </c>
      <c r="EF450">
        <v>0</v>
      </c>
      <c r="EG450">
        <v>0</v>
      </c>
      <c r="EH450">
        <v>0</v>
      </c>
      <c r="EI450">
        <v>0</v>
      </c>
      <c r="EJ450">
        <v>0</v>
      </c>
      <c r="EK450">
        <v>0</v>
      </c>
      <c r="EL450">
        <v>0</v>
      </c>
      <c r="EM450">
        <v>0</v>
      </c>
      <c r="EN450">
        <v>0</v>
      </c>
      <c r="EO450">
        <v>0</v>
      </c>
      <c r="EP450">
        <v>0</v>
      </c>
      <c r="EQ450">
        <v>0</v>
      </c>
      <c r="ER450">
        <v>0</v>
      </c>
      <c r="ES450">
        <v>0</v>
      </c>
      <c r="ET450">
        <v>0</v>
      </c>
      <c r="EU450">
        <v>0</v>
      </c>
      <c r="EV450">
        <v>0</v>
      </c>
      <c r="EW450">
        <v>0</v>
      </c>
      <c r="EX450">
        <v>0</v>
      </c>
      <c r="EY450">
        <v>0</v>
      </c>
      <c r="EZ450">
        <v>0</v>
      </c>
      <c r="FA450">
        <v>0</v>
      </c>
      <c r="FB450">
        <v>0</v>
      </c>
      <c r="FC450">
        <v>0</v>
      </c>
      <c r="FD450">
        <v>0</v>
      </c>
      <c r="FE450">
        <v>0</v>
      </c>
      <c r="FF450">
        <v>0</v>
      </c>
      <c r="FG450">
        <v>0</v>
      </c>
      <c r="FH450">
        <v>0</v>
      </c>
      <c r="FI450">
        <v>0</v>
      </c>
      <c r="FJ450">
        <v>0</v>
      </c>
      <c r="FK450">
        <v>0</v>
      </c>
      <c r="FL450">
        <v>0</v>
      </c>
      <c r="FM450">
        <v>0</v>
      </c>
      <c r="FN450">
        <v>0</v>
      </c>
      <c r="FO450">
        <v>0</v>
      </c>
      <c r="FP450">
        <v>0</v>
      </c>
      <c r="FQ450">
        <v>0</v>
      </c>
      <c r="FR450">
        <v>0</v>
      </c>
      <c r="FS450">
        <v>0</v>
      </c>
      <c r="FT450">
        <v>0</v>
      </c>
      <c r="FU450">
        <v>0</v>
      </c>
      <c r="FV450">
        <v>0</v>
      </c>
      <c r="FW450">
        <v>0</v>
      </c>
      <c r="FX450">
        <v>0</v>
      </c>
      <c r="FY450">
        <v>0</v>
      </c>
      <c r="FZ450">
        <v>0</v>
      </c>
      <c r="GA450">
        <v>0</v>
      </c>
      <c r="GB450">
        <v>0</v>
      </c>
      <c r="GC450">
        <v>0</v>
      </c>
      <c r="GD450">
        <v>0</v>
      </c>
      <c r="GE450">
        <v>0</v>
      </c>
      <c r="GF450">
        <v>0</v>
      </c>
      <c r="GG450">
        <v>0</v>
      </c>
      <c r="GH450">
        <v>0</v>
      </c>
      <c r="GI450">
        <v>0</v>
      </c>
      <c r="GJ450">
        <v>0</v>
      </c>
      <c r="GK450">
        <v>0</v>
      </c>
      <c r="GL450">
        <v>0</v>
      </c>
      <c r="GM450">
        <v>0</v>
      </c>
      <c r="GN450">
        <v>0</v>
      </c>
      <c r="GO450">
        <v>0</v>
      </c>
      <c r="GP450">
        <v>0</v>
      </c>
      <c r="GQ450">
        <v>0</v>
      </c>
      <c r="GR450">
        <v>0</v>
      </c>
      <c r="GS450">
        <v>0</v>
      </c>
      <c r="GT450">
        <v>0</v>
      </c>
      <c r="GU450">
        <v>0</v>
      </c>
      <c r="GV450">
        <v>0</v>
      </c>
      <c r="GW450">
        <v>0</v>
      </c>
      <c r="GX450">
        <v>0</v>
      </c>
      <c r="GY450">
        <v>0</v>
      </c>
      <c r="GZ450">
        <v>0</v>
      </c>
      <c r="HA450">
        <v>0</v>
      </c>
      <c r="HB450">
        <v>0</v>
      </c>
      <c r="HC450">
        <v>0</v>
      </c>
      <c r="HD450">
        <v>0</v>
      </c>
      <c r="HE450">
        <v>0</v>
      </c>
      <c r="HF450">
        <v>0</v>
      </c>
      <c r="HG450">
        <v>0</v>
      </c>
      <c r="HH450">
        <v>0</v>
      </c>
      <c r="HI450">
        <v>0</v>
      </c>
      <c r="HJ450">
        <v>0</v>
      </c>
      <c r="HK450">
        <v>0</v>
      </c>
      <c r="HL450">
        <v>0</v>
      </c>
      <c r="HM450">
        <v>0</v>
      </c>
      <c r="HN450">
        <v>0</v>
      </c>
      <c r="HO450">
        <v>0</v>
      </c>
      <c r="HP450">
        <v>0</v>
      </c>
      <c r="HQ450">
        <v>0</v>
      </c>
      <c r="HR450">
        <v>0</v>
      </c>
      <c r="HS450">
        <v>0</v>
      </c>
      <c r="HT450">
        <v>0</v>
      </c>
      <c r="HU450">
        <v>0</v>
      </c>
      <c r="HV450">
        <v>0</v>
      </c>
      <c r="HW450">
        <v>0</v>
      </c>
      <c r="HX450">
        <v>0</v>
      </c>
      <c r="HY450">
        <v>0</v>
      </c>
      <c r="HZ450">
        <v>0</v>
      </c>
      <c r="IA450">
        <v>0</v>
      </c>
      <c r="IB450">
        <v>0</v>
      </c>
      <c r="IC450">
        <v>0</v>
      </c>
      <c r="ID450">
        <v>0</v>
      </c>
      <c r="IE450">
        <v>0</v>
      </c>
      <c r="IF450">
        <v>0</v>
      </c>
      <c r="IG450">
        <v>0</v>
      </c>
      <c r="IH450">
        <v>0</v>
      </c>
      <c r="II450">
        <v>0</v>
      </c>
      <c r="IJ450">
        <v>0</v>
      </c>
      <c r="IK450">
        <v>0</v>
      </c>
      <c r="IL450">
        <v>0</v>
      </c>
      <c r="IM450">
        <v>0</v>
      </c>
      <c r="IN450">
        <v>0</v>
      </c>
      <c r="IO450">
        <v>0</v>
      </c>
      <c r="IP450">
        <v>0</v>
      </c>
      <c r="IQ450">
        <v>0</v>
      </c>
      <c r="IR450">
        <v>0</v>
      </c>
      <c r="IS450">
        <v>0</v>
      </c>
      <c r="IT450">
        <v>0</v>
      </c>
      <c r="IU450">
        <v>0</v>
      </c>
      <c r="IV450">
        <v>0</v>
      </c>
      <c r="IW450">
        <v>0</v>
      </c>
      <c r="IX450">
        <v>0</v>
      </c>
      <c r="IY450">
        <v>0</v>
      </c>
      <c r="IZ450">
        <v>0</v>
      </c>
      <c r="JA450">
        <v>0</v>
      </c>
      <c r="JB450">
        <v>0</v>
      </c>
      <c r="JC450">
        <v>0</v>
      </c>
      <c r="JD450">
        <v>0</v>
      </c>
      <c r="JE450">
        <v>0</v>
      </c>
      <c r="JF450">
        <v>0</v>
      </c>
      <c r="JG450">
        <v>0</v>
      </c>
      <c r="JH450">
        <v>0</v>
      </c>
      <c r="JI450">
        <v>0</v>
      </c>
      <c r="JJ450">
        <v>0</v>
      </c>
      <c r="JK450">
        <v>0</v>
      </c>
      <c r="JL450">
        <v>0</v>
      </c>
      <c r="JM450">
        <v>0</v>
      </c>
      <c r="JN450">
        <v>0</v>
      </c>
      <c r="JO450">
        <v>0</v>
      </c>
      <c r="JP450">
        <v>0</v>
      </c>
      <c r="JQ450">
        <v>0</v>
      </c>
      <c r="JR450">
        <v>0</v>
      </c>
      <c r="JS450">
        <v>0</v>
      </c>
      <c r="JT450">
        <v>0</v>
      </c>
      <c r="JU450">
        <v>0</v>
      </c>
      <c r="JV450">
        <v>0</v>
      </c>
      <c r="JW450">
        <v>0</v>
      </c>
      <c r="JX450">
        <v>0</v>
      </c>
      <c r="JY450">
        <v>0</v>
      </c>
      <c r="JZ450">
        <v>0</v>
      </c>
      <c r="KA450">
        <v>0</v>
      </c>
      <c r="KB450">
        <v>0</v>
      </c>
      <c r="KC450">
        <v>0</v>
      </c>
      <c r="KD450">
        <v>0</v>
      </c>
      <c r="KE450">
        <v>0</v>
      </c>
      <c r="KF450">
        <v>0</v>
      </c>
      <c r="KG450">
        <v>0</v>
      </c>
      <c r="KH450">
        <v>0</v>
      </c>
      <c r="KI450">
        <v>0</v>
      </c>
      <c r="KJ450">
        <v>0</v>
      </c>
      <c r="KK450">
        <v>0</v>
      </c>
      <c r="KL450">
        <v>0</v>
      </c>
      <c r="KM450">
        <v>0</v>
      </c>
      <c r="KN450">
        <v>0</v>
      </c>
      <c r="KO450">
        <v>0</v>
      </c>
      <c r="KP450">
        <v>0</v>
      </c>
      <c r="KQ450">
        <v>0</v>
      </c>
      <c r="KR450">
        <v>0</v>
      </c>
      <c r="KS450">
        <v>0</v>
      </c>
      <c r="KT450">
        <v>0</v>
      </c>
      <c r="KU450">
        <v>0</v>
      </c>
      <c r="KV450">
        <v>0</v>
      </c>
      <c r="KW450">
        <v>0</v>
      </c>
      <c r="KX450">
        <v>0</v>
      </c>
      <c r="KY450">
        <v>0</v>
      </c>
      <c r="KZ450">
        <v>0</v>
      </c>
      <c r="LA450">
        <v>0</v>
      </c>
      <c r="LB450">
        <v>0</v>
      </c>
      <c r="LC450">
        <v>0</v>
      </c>
      <c r="LD450">
        <v>0</v>
      </c>
      <c r="LE450">
        <v>0</v>
      </c>
      <c r="LF450">
        <v>0</v>
      </c>
      <c r="LG450">
        <v>0</v>
      </c>
      <c r="LH450">
        <v>0</v>
      </c>
      <c r="LI450">
        <v>0</v>
      </c>
      <c r="LJ450">
        <v>0</v>
      </c>
      <c r="LK450">
        <v>0</v>
      </c>
      <c r="LL450">
        <v>0</v>
      </c>
      <c r="LM450">
        <v>0</v>
      </c>
      <c r="LN450">
        <v>0</v>
      </c>
      <c r="LO450">
        <v>0</v>
      </c>
      <c r="LP450">
        <v>0</v>
      </c>
      <c r="LQ450">
        <v>0</v>
      </c>
      <c r="LR450">
        <v>0</v>
      </c>
      <c r="LS450">
        <v>0</v>
      </c>
      <c r="LT450">
        <v>0</v>
      </c>
      <c r="LU450">
        <v>0</v>
      </c>
      <c r="LV450">
        <v>0</v>
      </c>
      <c r="LW450">
        <v>0</v>
      </c>
      <c r="LX450">
        <v>0</v>
      </c>
      <c r="LY450">
        <v>0</v>
      </c>
      <c r="LZ450">
        <v>0</v>
      </c>
      <c r="MA450">
        <v>0</v>
      </c>
      <c r="MB450">
        <v>0</v>
      </c>
      <c r="MC450">
        <v>0</v>
      </c>
      <c r="MD450">
        <v>0</v>
      </c>
      <c r="ME450">
        <v>0</v>
      </c>
      <c r="MF450">
        <v>0</v>
      </c>
      <c r="MG450">
        <v>0</v>
      </c>
      <c r="MH450">
        <v>0</v>
      </c>
      <c r="MI450">
        <v>0</v>
      </c>
      <c r="MJ450">
        <v>0</v>
      </c>
      <c r="MK450">
        <v>0</v>
      </c>
      <c r="ML450">
        <v>0</v>
      </c>
      <c r="MM450">
        <v>0</v>
      </c>
      <c r="MN450">
        <v>0</v>
      </c>
      <c r="MO450">
        <v>0</v>
      </c>
      <c r="MP450">
        <v>0</v>
      </c>
      <c r="MQ450">
        <v>0</v>
      </c>
      <c r="MR450">
        <v>0</v>
      </c>
      <c r="MS450">
        <v>0</v>
      </c>
      <c r="MT450">
        <v>0</v>
      </c>
      <c r="MU450">
        <v>0</v>
      </c>
      <c r="MV450">
        <v>0</v>
      </c>
      <c r="MW450">
        <v>0</v>
      </c>
      <c r="MX450">
        <v>0</v>
      </c>
      <c r="MY450">
        <v>0</v>
      </c>
      <c r="MZ450">
        <v>0</v>
      </c>
      <c r="NA450">
        <v>0</v>
      </c>
      <c r="NB450">
        <v>0</v>
      </c>
      <c r="NC450">
        <v>0</v>
      </c>
      <c r="ND450">
        <v>0</v>
      </c>
      <c r="NE450">
        <v>0</v>
      </c>
    </row>
    <row r="451" spans="41:369" x14ac:dyDescent="0.45">
      <c r="AO451">
        <v>0</v>
      </c>
      <c r="AP451">
        <v>0</v>
      </c>
      <c r="AQ451">
        <v>0</v>
      </c>
      <c r="AR451">
        <v>0</v>
      </c>
      <c r="AS451">
        <v>0</v>
      </c>
      <c r="AT451">
        <v>0</v>
      </c>
      <c r="AU451">
        <v>0</v>
      </c>
      <c r="AV451">
        <v>0</v>
      </c>
      <c r="AW451" t="str">
        <v/>
      </c>
      <c r="AX451">
        <v>255</v>
      </c>
      <c r="AY451" s="5" t="str">
        <v/>
      </c>
      <c r="AZ451">
        <v>0</v>
      </c>
      <c r="BA451">
        <v>0</v>
      </c>
      <c r="BB451">
        <v>0</v>
      </c>
      <c r="BC451">
        <v>0</v>
      </c>
      <c r="BD451">
        <v>0</v>
      </c>
      <c r="BE451">
        <v>0</v>
      </c>
      <c r="BF451">
        <v>0</v>
      </c>
      <c r="BG451">
        <v>0</v>
      </c>
      <c r="BH451">
        <v>0</v>
      </c>
      <c r="BI451" t="str">
        <v/>
      </c>
      <c r="BK451">
        <v>445</v>
      </c>
      <c r="BL451">
        <v>0</v>
      </c>
      <c r="BM451">
        <v>0</v>
      </c>
      <c r="BN451">
        <v>0</v>
      </c>
      <c r="BO451">
        <v>0</v>
      </c>
      <c r="BP451">
        <v>0</v>
      </c>
      <c r="BQ451">
        <v>0</v>
      </c>
      <c r="BR451">
        <v>0</v>
      </c>
      <c r="BS451">
        <v>0</v>
      </c>
      <c r="BT451">
        <v>0</v>
      </c>
      <c r="BU451">
        <v>0</v>
      </c>
      <c r="BV451">
        <v>0</v>
      </c>
      <c r="BW451">
        <v>0</v>
      </c>
      <c r="BX451">
        <v>0</v>
      </c>
      <c r="BY451">
        <v>0</v>
      </c>
      <c r="BZ451">
        <v>0</v>
      </c>
      <c r="CA451">
        <v>0</v>
      </c>
      <c r="CB451">
        <v>0</v>
      </c>
      <c r="CC451">
        <v>0</v>
      </c>
      <c r="CD451">
        <v>0</v>
      </c>
      <c r="CE451">
        <v>0</v>
      </c>
      <c r="CF451">
        <v>0</v>
      </c>
      <c r="CG451">
        <v>0</v>
      </c>
      <c r="CH451">
        <v>0</v>
      </c>
      <c r="CI451">
        <v>0</v>
      </c>
      <c r="CJ451">
        <v>0</v>
      </c>
      <c r="CK451">
        <v>0</v>
      </c>
      <c r="CL451">
        <v>0</v>
      </c>
      <c r="CM451">
        <v>0</v>
      </c>
      <c r="CN451">
        <v>0</v>
      </c>
      <c r="CO451">
        <v>0</v>
      </c>
      <c r="CP451">
        <v>0</v>
      </c>
      <c r="CQ451">
        <v>0</v>
      </c>
      <c r="CR451">
        <v>0</v>
      </c>
      <c r="CS451">
        <v>0</v>
      </c>
      <c r="CT451">
        <v>0</v>
      </c>
      <c r="CU451">
        <v>0</v>
      </c>
      <c r="CV451">
        <v>0</v>
      </c>
      <c r="CW451">
        <v>0</v>
      </c>
      <c r="CX451">
        <v>0</v>
      </c>
      <c r="CY451">
        <v>0</v>
      </c>
      <c r="CZ451">
        <v>0</v>
      </c>
      <c r="DA451">
        <v>0</v>
      </c>
      <c r="DB451">
        <v>0</v>
      </c>
      <c r="DC451">
        <v>0</v>
      </c>
      <c r="DD451">
        <v>0</v>
      </c>
      <c r="DE451">
        <v>0</v>
      </c>
      <c r="DF451">
        <v>0</v>
      </c>
      <c r="DG451">
        <v>0</v>
      </c>
      <c r="DH451">
        <v>0</v>
      </c>
      <c r="DI451">
        <v>0</v>
      </c>
      <c r="DJ451">
        <v>0</v>
      </c>
      <c r="DK451">
        <v>0</v>
      </c>
      <c r="DL451">
        <v>0</v>
      </c>
      <c r="DM451">
        <v>0</v>
      </c>
      <c r="DN451">
        <v>0</v>
      </c>
      <c r="DO451">
        <v>0</v>
      </c>
      <c r="DP451">
        <v>0</v>
      </c>
      <c r="DQ451">
        <v>0</v>
      </c>
      <c r="DR451">
        <v>0</v>
      </c>
      <c r="DS451">
        <v>0</v>
      </c>
      <c r="DT451">
        <v>0</v>
      </c>
      <c r="DU451">
        <v>0</v>
      </c>
      <c r="DV451">
        <v>0</v>
      </c>
      <c r="DW451">
        <v>0</v>
      </c>
      <c r="DX451">
        <v>0</v>
      </c>
      <c r="DY451">
        <v>0</v>
      </c>
      <c r="DZ451">
        <v>0</v>
      </c>
      <c r="EA451">
        <v>0</v>
      </c>
      <c r="EB451">
        <v>0</v>
      </c>
      <c r="EC451">
        <v>0</v>
      </c>
      <c r="ED451">
        <v>0</v>
      </c>
      <c r="EE451">
        <v>0</v>
      </c>
      <c r="EF451">
        <v>0</v>
      </c>
      <c r="EG451">
        <v>0</v>
      </c>
      <c r="EH451">
        <v>0</v>
      </c>
      <c r="EI451">
        <v>0</v>
      </c>
      <c r="EJ451">
        <v>0</v>
      </c>
      <c r="EK451">
        <v>0</v>
      </c>
      <c r="EL451">
        <v>0</v>
      </c>
      <c r="EM451">
        <v>0</v>
      </c>
      <c r="EN451">
        <v>0</v>
      </c>
      <c r="EO451">
        <v>0</v>
      </c>
      <c r="EP451">
        <v>0</v>
      </c>
      <c r="EQ451">
        <v>0</v>
      </c>
      <c r="ER451">
        <v>0</v>
      </c>
      <c r="ES451">
        <v>0</v>
      </c>
      <c r="ET451">
        <v>0</v>
      </c>
      <c r="EU451">
        <v>0</v>
      </c>
      <c r="EV451">
        <v>0</v>
      </c>
      <c r="EW451">
        <v>0</v>
      </c>
      <c r="EX451">
        <v>0</v>
      </c>
      <c r="EY451">
        <v>0</v>
      </c>
      <c r="EZ451">
        <v>0</v>
      </c>
      <c r="FA451">
        <v>0</v>
      </c>
      <c r="FB451">
        <v>0</v>
      </c>
      <c r="FC451">
        <v>0</v>
      </c>
      <c r="FD451">
        <v>0</v>
      </c>
      <c r="FE451">
        <v>0</v>
      </c>
      <c r="FF451">
        <v>0</v>
      </c>
      <c r="FG451">
        <v>0</v>
      </c>
      <c r="FH451">
        <v>0</v>
      </c>
      <c r="FI451">
        <v>0</v>
      </c>
      <c r="FJ451">
        <v>0</v>
      </c>
      <c r="FK451">
        <v>0</v>
      </c>
      <c r="FL451">
        <v>0</v>
      </c>
      <c r="FM451">
        <v>0</v>
      </c>
      <c r="FN451">
        <v>0</v>
      </c>
      <c r="FO451">
        <v>0</v>
      </c>
      <c r="FP451">
        <v>0</v>
      </c>
      <c r="FQ451">
        <v>0</v>
      </c>
      <c r="FR451">
        <v>0</v>
      </c>
      <c r="FS451">
        <v>0</v>
      </c>
      <c r="FT451">
        <v>0</v>
      </c>
      <c r="FU451">
        <v>0</v>
      </c>
      <c r="FV451">
        <v>0</v>
      </c>
      <c r="FW451">
        <v>0</v>
      </c>
      <c r="FX451">
        <v>0</v>
      </c>
      <c r="FY451">
        <v>0</v>
      </c>
      <c r="FZ451">
        <v>0</v>
      </c>
      <c r="GA451">
        <v>0</v>
      </c>
      <c r="GB451">
        <v>0</v>
      </c>
      <c r="GC451">
        <v>0</v>
      </c>
      <c r="GD451">
        <v>0</v>
      </c>
      <c r="GE451">
        <v>0</v>
      </c>
      <c r="GF451">
        <v>0</v>
      </c>
      <c r="GG451">
        <v>0</v>
      </c>
      <c r="GH451">
        <v>0</v>
      </c>
      <c r="GI451">
        <v>0</v>
      </c>
      <c r="GJ451">
        <v>0</v>
      </c>
      <c r="GK451">
        <v>0</v>
      </c>
      <c r="GL451">
        <v>0</v>
      </c>
      <c r="GM451">
        <v>0</v>
      </c>
      <c r="GN451">
        <v>0</v>
      </c>
      <c r="GO451">
        <v>0</v>
      </c>
      <c r="GP451">
        <v>0</v>
      </c>
      <c r="GQ451">
        <v>0</v>
      </c>
      <c r="GR451">
        <v>0</v>
      </c>
      <c r="GS451">
        <v>0</v>
      </c>
      <c r="GT451">
        <v>0</v>
      </c>
      <c r="GU451">
        <v>0</v>
      </c>
      <c r="GV451">
        <v>0</v>
      </c>
      <c r="GW451">
        <v>0</v>
      </c>
      <c r="GX451">
        <v>0</v>
      </c>
      <c r="GY451">
        <v>0</v>
      </c>
      <c r="GZ451">
        <v>0</v>
      </c>
      <c r="HA451">
        <v>0</v>
      </c>
      <c r="HB451">
        <v>0</v>
      </c>
      <c r="HC451">
        <v>0</v>
      </c>
      <c r="HD451">
        <v>0</v>
      </c>
      <c r="HE451">
        <v>0</v>
      </c>
      <c r="HF451">
        <v>0</v>
      </c>
      <c r="HG451">
        <v>0</v>
      </c>
      <c r="HH451">
        <v>0</v>
      </c>
      <c r="HI451">
        <v>0</v>
      </c>
      <c r="HJ451">
        <v>0</v>
      </c>
      <c r="HK451">
        <v>0</v>
      </c>
      <c r="HL451">
        <v>0</v>
      </c>
      <c r="HM451">
        <v>0</v>
      </c>
      <c r="HN451">
        <v>0</v>
      </c>
      <c r="HO451">
        <v>0</v>
      </c>
      <c r="HP451">
        <v>0</v>
      </c>
      <c r="HQ451">
        <v>0</v>
      </c>
      <c r="HR451">
        <v>0</v>
      </c>
      <c r="HS451">
        <v>0</v>
      </c>
      <c r="HT451">
        <v>0</v>
      </c>
      <c r="HU451">
        <v>0</v>
      </c>
      <c r="HV451">
        <v>0</v>
      </c>
      <c r="HW451">
        <v>0</v>
      </c>
      <c r="HX451">
        <v>0</v>
      </c>
      <c r="HY451">
        <v>0</v>
      </c>
      <c r="HZ451">
        <v>0</v>
      </c>
      <c r="IA451">
        <v>0</v>
      </c>
      <c r="IB451">
        <v>0</v>
      </c>
      <c r="IC451">
        <v>0</v>
      </c>
      <c r="ID451">
        <v>0</v>
      </c>
      <c r="IE451">
        <v>0</v>
      </c>
      <c r="IF451">
        <v>0</v>
      </c>
      <c r="IG451">
        <v>0</v>
      </c>
      <c r="IH451">
        <v>0</v>
      </c>
      <c r="II451">
        <v>0</v>
      </c>
      <c r="IJ451">
        <v>0</v>
      </c>
      <c r="IK451">
        <v>0</v>
      </c>
      <c r="IL451">
        <v>0</v>
      </c>
      <c r="IM451">
        <v>0</v>
      </c>
      <c r="IN451">
        <v>0</v>
      </c>
      <c r="IO451">
        <v>0</v>
      </c>
      <c r="IP451">
        <v>0</v>
      </c>
      <c r="IQ451">
        <v>0</v>
      </c>
      <c r="IR451">
        <v>0</v>
      </c>
      <c r="IS451">
        <v>0</v>
      </c>
      <c r="IT451">
        <v>0</v>
      </c>
      <c r="IU451">
        <v>0</v>
      </c>
      <c r="IV451">
        <v>0</v>
      </c>
      <c r="IW451">
        <v>0</v>
      </c>
      <c r="IX451">
        <v>0</v>
      </c>
      <c r="IY451">
        <v>0</v>
      </c>
      <c r="IZ451">
        <v>0</v>
      </c>
      <c r="JA451">
        <v>0</v>
      </c>
      <c r="JB451">
        <v>0</v>
      </c>
      <c r="JC451">
        <v>0</v>
      </c>
      <c r="JD451">
        <v>0</v>
      </c>
      <c r="JE451">
        <v>0</v>
      </c>
      <c r="JF451">
        <v>0</v>
      </c>
      <c r="JG451">
        <v>0</v>
      </c>
      <c r="JH451">
        <v>0</v>
      </c>
      <c r="JI451">
        <v>0</v>
      </c>
      <c r="JJ451">
        <v>0</v>
      </c>
      <c r="JK451">
        <v>0</v>
      </c>
      <c r="JL451">
        <v>0</v>
      </c>
      <c r="JM451">
        <v>0</v>
      </c>
      <c r="JN451">
        <v>0</v>
      </c>
      <c r="JO451">
        <v>0</v>
      </c>
      <c r="JP451">
        <v>0</v>
      </c>
      <c r="JQ451">
        <v>0</v>
      </c>
      <c r="JR451">
        <v>0</v>
      </c>
      <c r="JS451">
        <v>0</v>
      </c>
      <c r="JT451">
        <v>0</v>
      </c>
      <c r="JU451">
        <v>0</v>
      </c>
      <c r="JV451">
        <v>0</v>
      </c>
      <c r="JW451">
        <v>0</v>
      </c>
      <c r="JX451">
        <v>0</v>
      </c>
      <c r="JY451">
        <v>0</v>
      </c>
      <c r="JZ451">
        <v>0</v>
      </c>
      <c r="KA451">
        <v>0</v>
      </c>
      <c r="KB451">
        <v>0</v>
      </c>
      <c r="KC451">
        <v>0</v>
      </c>
      <c r="KD451">
        <v>0</v>
      </c>
      <c r="KE451">
        <v>0</v>
      </c>
      <c r="KF451">
        <v>0</v>
      </c>
      <c r="KG451">
        <v>0</v>
      </c>
      <c r="KH451">
        <v>0</v>
      </c>
      <c r="KI451">
        <v>0</v>
      </c>
      <c r="KJ451">
        <v>0</v>
      </c>
      <c r="KK451">
        <v>0</v>
      </c>
      <c r="KL451">
        <v>0</v>
      </c>
      <c r="KM451">
        <v>0</v>
      </c>
      <c r="KN451">
        <v>0</v>
      </c>
      <c r="KO451">
        <v>0</v>
      </c>
      <c r="KP451">
        <v>0</v>
      </c>
      <c r="KQ451">
        <v>0</v>
      </c>
      <c r="KR451">
        <v>0</v>
      </c>
      <c r="KS451">
        <v>0</v>
      </c>
      <c r="KT451">
        <v>0</v>
      </c>
      <c r="KU451">
        <v>0</v>
      </c>
      <c r="KV451">
        <v>0</v>
      </c>
      <c r="KW451">
        <v>0</v>
      </c>
      <c r="KX451">
        <v>0</v>
      </c>
      <c r="KY451">
        <v>0</v>
      </c>
      <c r="KZ451">
        <v>0</v>
      </c>
      <c r="LA451">
        <v>0</v>
      </c>
      <c r="LB451">
        <v>0</v>
      </c>
      <c r="LC451">
        <v>0</v>
      </c>
      <c r="LD451">
        <v>0</v>
      </c>
      <c r="LE451">
        <v>0</v>
      </c>
      <c r="LF451">
        <v>0</v>
      </c>
      <c r="LG451">
        <v>0</v>
      </c>
      <c r="LH451">
        <v>0</v>
      </c>
      <c r="LI451">
        <v>0</v>
      </c>
      <c r="LJ451">
        <v>0</v>
      </c>
      <c r="LK451">
        <v>0</v>
      </c>
      <c r="LL451">
        <v>0</v>
      </c>
      <c r="LM451">
        <v>0</v>
      </c>
      <c r="LN451">
        <v>0</v>
      </c>
      <c r="LO451">
        <v>0</v>
      </c>
      <c r="LP451">
        <v>0</v>
      </c>
      <c r="LQ451">
        <v>0</v>
      </c>
      <c r="LR451">
        <v>0</v>
      </c>
      <c r="LS451">
        <v>0</v>
      </c>
      <c r="LT451">
        <v>0</v>
      </c>
      <c r="LU451">
        <v>0</v>
      </c>
      <c r="LV451">
        <v>0</v>
      </c>
      <c r="LW451">
        <v>0</v>
      </c>
      <c r="LX451">
        <v>0</v>
      </c>
      <c r="LY451">
        <v>0</v>
      </c>
      <c r="LZ451">
        <v>0</v>
      </c>
      <c r="MA451">
        <v>0</v>
      </c>
      <c r="MB451">
        <v>0</v>
      </c>
      <c r="MC451">
        <v>0</v>
      </c>
      <c r="MD451">
        <v>0</v>
      </c>
      <c r="ME451">
        <v>0</v>
      </c>
      <c r="MF451">
        <v>0</v>
      </c>
      <c r="MG451">
        <v>0</v>
      </c>
      <c r="MH451">
        <v>0</v>
      </c>
      <c r="MI451">
        <v>0</v>
      </c>
      <c r="MJ451">
        <v>0</v>
      </c>
      <c r="MK451">
        <v>0</v>
      </c>
      <c r="ML451">
        <v>0</v>
      </c>
      <c r="MM451">
        <v>0</v>
      </c>
      <c r="MN451">
        <v>0</v>
      </c>
      <c r="MO451">
        <v>0</v>
      </c>
      <c r="MP451">
        <v>0</v>
      </c>
      <c r="MQ451">
        <v>0</v>
      </c>
      <c r="MR451">
        <v>0</v>
      </c>
      <c r="MS451">
        <v>0</v>
      </c>
      <c r="MT451">
        <v>0</v>
      </c>
      <c r="MU451">
        <v>0</v>
      </c>
      <c r="MV451">
        <v>0</v>
      </c>
      <c r="MW451">
        <v>0</v>
      </c>
      <c r="MX451">
        <v>0</v>
      </c>
      <c r="MY451">
        <v>0</v>
      </c>
      <c r="MZ451">
        <v>0</v>
      </c>
      <c r="NA451">
        <v>0</v>
      </c>
      <c r="NB451">
        <v>0</v>
      </c>
      <c r="NC451">
        <v>0</v>
      </c>
      <c r="ND451">
        <v>0</v>
      </c>
      <c r="NE451">
        <v>0</v>
      </c>
    </row>
    <row r="452" spans="41:369" x14ac:dyDescent="0.45">
      <c r="AO452">
        <v>0</v>
      </c>
      <c r="AP452">
        <v>0</v>
      </c>
      <c r="AQ452">
        <v>0</v>
      </c>
      <c r="AR452">
        <v>0</v>
      </c>
      <c r="AS452">
        <v>0</v>
      </c>
      <c r="AT452">
        <v>0</v>
      </c>
      <c r="AU452">
        <v>0</v>
      </c>
      <c r="AV452">
        <v>0</v>
      </c>
      <c r="AW452" t="str">
        <v/>
      </c>
      <c r="AX452">
        <v>255</v>
      </c>
      <c r="AY452" s="5" t="str">
        <v/>
      </c>
      <c r="AZ452">
        <v>0</v>
      </c>
      <c r="BA452">
        <v>0</v>
      </c>
      <c r="BB452">
        <v>0</v>
      </c>
      <c r="BC452">
        <v>0</v>
      </c>
      <c r="BD452">
        <v>0</v>
      </c>
      <c r="BE452">
        <v>0</v>
      </c>
      <c r="BF452">
        <v>0</v>
      </c>
      <c r="BG452">
        <v>0</v>
      </c>
      <c r="BH452">
        <v>0</v>
      </c>
      <c r="BI452" t="str">
        <v/>
      </c>
      <c r="BK452">
        <v>446</v>
      </c>
      <c r="BL452">
        <v>0</v>
      </c>
      <c r="BM452">
        <v>0</v>
      </c>
      <c r="BN452">
        <v>0</v>
      </c>
      <c r="BO452">
        <v>0</v>
      </c>
      <c r="BP452">
        <v>0</v>
      </c>
      <c r="BQ452">
        <v>0</v>
      </c>
      <c r="BR452">
        <v>0</v>
      </c>
      <c r="BS452">
        <v>0</v>
      </c>
      <c r="BT452">
        <v>0</v>
      </c>
      <c r="BU452">
        <v>0</v>
      </c>
      <c r="BV452">
        <v>0</v>
      </c>
      <c r="BW452">
        <v>0</v>
      </c>
      <c r="BX452">
        <v>0</v>
      </c>
      <c r="BY452">
        <v>0</v>
      </c>
      <c r="BZ452">
        <v>0</v>
      </c>
      <c r="CA452">
        <v>0</v>
      </c>
      <c r="CB452">
        <v>0</v>
      </c>
      <c r="CC452">
        <v>0</v>
      </c>
      <c r="CD452">
        <v>0</v>
      </c>
      <c r="CE452">
        <v>0</v>
      </c>
      <c r="CF452">
        <v>0</v>
      </c>
      <c r="CG452">
        <v>0</v>
      </c>
      <c r="CH452">
        <v>0</v>
      </c>
      <c r="CI452">
        <v>0</v>
      </c>
      <c r="CJ452">
        <v>0</v>
      </c>
      <c r="CK452">
        <v>0</v>
      </c>
      <c r="CL452">
        <v>0</v>
      </c>
      <c r="CM452">
        <v>0</v>
      </c>
      <c r="CN452">
        <v>0</v>
      </c>
      <c r="CO452">
        <v>0</v>
      </c>
      <c r="CP452">
        <v>0</v>
      </c>
      <c r="CQ452">
        <v>0</v>
      </c>
      <c r="CR452">
        <v>0</v>
      </c>
      <c r="CS452">
        <v>0</v>
      </c>
      <c r="CT452">
        <v>0</v>
      </c>
      <c r="CU452">
        <v>0</v>
      </c>
      <c r="CV452">
        <v>0</v>
      </c>
      <c r="CW452">
        <v>0</v>
      </c>
      <c r="CX452">
        <v>0</v>
      </c>
      <c r="CY452">
        <v>0</v>
      </c>
      <c r="CZ452">
        <v>0</v>
      </c>
      <c r="DA452">
        <v>0</v>
      </c>
      <c r="DB452">
        <v>0</v>
      </c>
      <c r="DC452">
        <v>0</v>
      </c>
      <c r="DD452">
        <v>0</v>
      </c>
      <c r="DE452">
        <v>0</v>
      </c>
      <c r="DF452">
        <v>0</v>
      </c>
      <c r="DG452">
        <v>0</v>
      </c>
      <c r="DH452">
        <v>0</v>
      </c>
      <c r="DI452">
        <v>0</v>
      </c>
      <c r="DJ452">
        <v>0</v>
      </c>
      <c r="DK452">
        <v>0</v>
      </c>
      <c r="DL452">
        <v>0</v>
      </c>
      <c r="DM452">
        <v>0</v>
      </c>
      <c r="DN452">
        <v>0</v>
      </c>
      <c r="DO452">
        <v>0</v>
      </c>
      <c r="DP452">
        <v>0</v>
      </c>
      <c r="DQ452">
        <v>0</v>
      </c>
      <c r="DR452">
        <v>0</v>
      </c>
      <c r="DS452">
        <v>0</v>
      </c>
      <c r="DT452">
        <v>0</v>
      </c>
      <c r="DU452">
        <v>0</v>
      </c>
      <c r="DV452">
        <v>0</v>
      </c>
      <c r="DW452">
        <v>0</v>
      </c>
      <c r="DX452">
        <v>0</v>
      </c>
      <c r="DY452">
        <v>0</v>
      </c>
      <c r="DZ452">
        <v>0</v>
      </c>
      <c r="EA452">
        <v>0</v>
      </c>
      <c r="EB452">
        <v>0</v>
      </c>
      <c r="EC452">
        <v>0</v>
      </c>
      <c r="ED452">
        <v>0</v>
      </c>
      <c r="EE452">
        <v>0</v>
      </c>
      <c r="EF452">
        <v>0</v>
      </c>
      <c r="EG452">
        <v>0</v>
      </c>
      <c r="EH452">
        <v>0</v>
      </c>
      <c r="EI452">
        <v>0</v>
      </c>
      <c r="EJ452">
        <v>0</v>
      </c>
      <c r="EK452">
        <v>0</v>
      </c>
      <c r="EL452">
        <v>0</v>
      </c>
      <c r="EM452">
        <v>0</v>
      </c>
      <c r="EN452">
        <v>0</v>
      </c>
      <c r="EO452">
        <v>0</v>
      </c>
      <c r="EP452">
        <v>0</v>
      </c>
      <c r="EQ452">
        <v>0</v>
      </c>
      <c r="ER452">
        <v>0</v>
      </c>
      <c r="ES452">
        <v>0</v>
      </c>
      <c r="ET452">
        <v>0</v>
      </c>
      <c r="EU452">
        <v>0</v>
      </c>
      <c r="EV452">
        <v>0</v>
      </c>
      <c r="EW452">
        <v>0</v>
      </c>
      <c r="EX452">
        <v>0</v>
      </c>
      <c r="EY452">
        <v>0</v>
      </c>
      <c r="EZ452">
        <v>0</v>
      </c>
      <c r="FA452">
        <v>0</v>
      </c>
      <c r="FB452">
        <v>0</v>
      </c>
      <c r="FC452">
        <v>0</v>
      </c>
      <c r="FD452">
        <v>0</v>
      </c>
      <c r="FE452">
        <v>0</v>
      </c>
      <c r="FF452">
        <v>0</v>
      </c>
      <c r="FG452">
        <v>0</v>
      </c>
      <c r="FH452">
        <v>0</v>
      </c>
      <c r="FI452">
        <v>0</v>
      </c>
      <c r="FJ452">
        <v>0</v>
      </c>
      <c r="FK452">
        <v>0</v>
      </c>
      <c r="FL452">
        <v>0</v>
      </c>
      <c r="FM452">
        <v>0</v>
      </c>
      <c r="FN452">
        <v>0</v>
      </c>
      <c r="FO452">
        <v>0</v>
      </c>
      <c r="FP452">
        <v>0</v>
      </c>
      <c r="FQ452">
        <v>0</v>
      </c>
      <c r="FR452">
        <v>0</v>
      </c>
      <c r="FS452">
        <v>0</v>
      </c>
      <c r="FT452">
        <v>0</v>
      </c>
      <c r="FU452">
        <v>0</v>
      </c>
      <c r="FV452">
        <v>0</v>
      </c>
      <c r="FW452">
        <v>0</v>
      </c>
      <c r="FX452">
        <v>0</v>
      </c>
      <c r="FY452">
        <v>0</v>
      </c>
      <c r="FZ452">
        <v>0</v>
      </c>
      <c r="GA452">
        <v>0</v>
      </c>
      <c r="GB452">
        <v>0</v>
      </c>
      <c r="GC452">
        <v>0</v>
      </c>
      <c r="GD452">
        <v>0</v>
      </c>
      <c r="GE452">
        <v>0</v>
      </c>
      <c r="GF452">
        <v>0</v>
      </c>
      <c r="GG452">
        <v>0</v>
      </c>
      <c r="GH452">
        <v>0</v>
      </c>
      <c r="GI452">
        <v>0</v>
      </c>
      <c r="GJ452">
        <v>0</v>
      </c>
      <c r="GK452">
        <v>0</v>
      </c>
      <c r="GL452">
        <v>0</v>
      </c>
      <c r="GM452">
        <v>0</v>
      </c>
      <c r="GN452">
        <v>0</v>
      </c>
      <c r="GO452">
        <v>0</v>
      </c>
      <c r="GP452">
        <v>0</v>
      </c>
      <c r="GQ452">
        <v>0</v>
      </c>
      <c r="GR452">
        <v>0</v>
      </c>
      <c r="GS452">
        <v>0</v>
      </c>
      <c r="GT452">
        <v>0</v>
      </c>
      <c r="GU452">
        <v>0</v>
      </c>
      <c r="GV452">
        <v>0</v>
      </c>
      <c r="GW452">
        <v>0</v>
      </c>
      <c r="GX452">
        <v>0</v>
      </c>
      <c r="GY452">
        <v>0</v>
      </c>
      <c r="GZ452">
        <v>0</v>
      </c>
      <c r="HA452">
        <v>0</v>
      </c>
      <c r="HB452">
        <v>0</v>
      </c>
      <c r="HC452">
        <v>0</v>
      </c>
      <c r="HD452">
        <v>0</v>
      </c>
      <c r="HE452">
        <v>0</v>
      </c>
      <c r="HF452">
        <v>0</v>
      </c>
      <c r="HG452">
        <v>0</v>
      </c>
      <c r="HH452">
        <v>0</v>
      </c>
      <c r="HI452">
        <v>0</v>
      </c>
      <c r="HJ452">
        <v>0</v>
      </c>
      <c r="HK452">
        <v>0</v>
      </c>
      <c r="HL452">
        <v>0</v>
      </c>
      <c r="HM452">
        <v>0</v>
      </c>
      <c r="HN452">
        <v>0</v>
      </c>
      <c r="HO452">
        <v>0</v>
      </c>
      <c r="HP452">
        <v>0</v>
      </c>
      <c r="HQ452">
        <v>0</v>
      </c>
      <c r="HR452">
        <v>0</v>
      </c>
      <c r="HS452">
        <v>0</v>
      </c>
      <c r="HT452">
        <v>0</v>
      </c>
      <c r="HU452">
        <v>0</v>
      </c>
      <c r="HV452">
        <v>0</v>
      </c>
      <c r="HW452">
        <v>0</v>
      </c>
      <c r="HX452">
        <v>0</v>
      </c>
      <c r="HY452">
        <v>0</v>
      </c>
      <c r="HZ452">
        <v>0</v>
      </c>
      <c r="IA452">
        <v>0</v>
      </c>
      <c r="IB452">
        <v>0</v>
      </c>
      <c r="IC452">
        <v>0</v>
      </c>
      <c r="ID452">
        <v>0</v>
      </c>
      <c r="IE452">
        <v>0</v>
      </c>
      <c r="IF452">
        <v>0</v>
      </c>
      <c r="IG452">
        <v>0</v>
      </c>
      <c r="IH452">
        <v>0</v>
      </c>
      <c r="II452">
        <v>0</v>
      </c>
      <c r="IJ452">
        <v>0</v>
      </c>
      <c r="IK452">
        <v>0</v>
      </c>
      <c r="IL452">
        <v>0</v>
      </c>
      <c r="IM452">
        <v>0</v>
      </c>
      <c r="IN452">
        <v>0</v>
      </c>
      <c r="IO452">
        <v>0</v>
      </c>
      <c r="IP452">
        <v>0</v>
      </c>
      <c r="IQ452">
        <v>0</v>
      </c>
      <c r="IR452">
        <v>0</v>
      </c>
      <c r="IS452">
        <v>0</v>
      </c>
      <c r="IT452">
        <v>0</v>
      </c>
      <c r="IU452">
        <v>0</v>
      </c>
      <c r="IV452">
        <v>0</v>
      </c>
      <c r="IW452">
        <v>0</v>
      </c>
      <c r="IX452">
        <v>0</v>
      </c>
      <c r="IY452">
        <v>0</v>
      </c>
      <c r="IZ452">
        <v>0</v>
      </c>
      <c r="JA452">
        <v>0</v>
      </c>
      <c r="JB452">
        <v>0</v>
      </c>
      <c r="JC452">
        <v>0</v>
      </c>
      <c r="JD452">
        <v>0</v>
      </c>
      <c r="JE452">
        <v>0</v>
      </c>
      <c r="JF452">
        <v>0</v>
      </c>
      <c r="JG452">
        <v>0</v>
      </c>
      <c r="JH452">
        <v>0</v>
      </c>
      <c r="JI452">
        <v>0</v>
      </c>
      <c r="JJ452">
        <v>0</v>
      </c>
      <c r="JK452">
        <v>0</v>
      </c>
      <c r="JL452">
        <v>0</v>
      </c>
      <c r="JM452">
        <v>0</v>
      </c>
      <c r="JN452">
        <v>0</v>
      </c>
      <c r="JO452">
        <v>0</v>
      </c>
      <c r="JP452">
        <v>0</v>
      </c>
      <c r="JQ452">
        <v>0</v>
      </c>
      <c r="JR452">
        <v>0</v>
      </c>
      <c r="JS452">
        <v>0</v>
      </c>
      <c r="JT452">
        <v>0</v>
      </c>
      <c r="JU452">
        <v>0</v>
      </c>
      <c r="JV452">
        <v>0</v>
      </c>
      <c r="JW452">
        <v>0</v>
      </c>
      <c r="JX452">
        <v>0</v>
      </c>
      <c r="JY452">
        <v>0</v>
      </c>
      <c r="JZ452">
        <v>0</v>
      </c>
      <c r="KA452">
        <v>0</v>
      </c>
      <c r="KB452">
        <v>0</v>
      </c>
      <c r="KC452">
        <v>0</v>
      </c>
      <c r="KD452">
        <v>0</v>
      </c>
      <c r="KE452">
        <v>0</v>
      </c>
      <c r="KF452">
        <v>0</v>
      </c>
      <c r="KG452">
        <v>0</v>
      </c>
      <c r="KH452">
        <v>0</v>
      </c>
      <c r="KI452">
        <v>0</v>
      </c>
      <c r="KJ452">
        <v>0</v>
      </c>
      <c r="KK452">
        <v>0</v>
      </c>
      <c r="KL452">
        <v>0</v>
      </c>
      <c r="KM452">
        <v>0</v>
      </c>
      <c r="KN452">
        <v>0</v>
      </c>
      <c r="KO452">
        <v>0</v>
      </c>
      <c r="KP452">
        <v>0</v>
      </c>
      <c r="KQ452">
        <v>0</v>
      </c>
      <c r="KR452">
        <v>0</v>
      </c>
      <c r="KS452">
        <v>0</v>
      </c>
      <c r="KT452">
        <v>0</v>
      </c>
      <c r="KU452">
        <v>0</v>
      </c>
      <c r="KV452">
        <v>0</v>
      </c>
      <c r="KW452">
        <v>0</v>
      </c>
      <c r="KX452">
        <v>0</v>
      </c>
      <c r="KY452">
        <v>0</v>
      </c>
      <c r="KZ452">
        <v>0</v>
      </c>
      <c r="LA452">
        <v>0</v>
      </c>
      <c r="LB452">
        <v>0</v>
      </c>
      <c r="LC452">
        <v>0</v>
      </c>
      <c r="LD452">
        <v>0</v>
      </c>
      <c r="LE452">
        <v>0</v>
      </c>
      <c r="LF452">
        <v>0</v>
      </c>
      <c r="LG452">
        <v>0</v>
      </c>
      <c r="LH452">
        <v>0</v>
      </c>
      <c r="LI452">
        <v>0</v>
      </c>
      <c r="LJ452">
        <v>0</v>
      </c>
      <c r="LK452">
        <v>0</v>
      </c>
      <c r="LL452">
        <v>0</v>
      </c>
      <c r="LM452">
        <v>0</v>
      </c>
      <c r="LN452">
        <v>0</v>
      </c>
      <c r="LO452">
        <v>0</v>
      </c>
      <c r="LP452">
        <v>0</v>
      </c>
      <c r="LQ452">
        <v>0</v>
      </c>
      <c r="LR452">
        <v>0</v>
      </c>
      <c r="LS452">
        <v>0</v>
      </c>
      <c r="LT452">
        <v>0</v>
      </c>
      <c r="LU452">
        <v>0</v>
      </c>
      <c r="LV452">
        <v>0</v>
      </c>
      <c r="LW452">
        <v>0</v>
      </c>
      <c r="LX452">
        <v>0</v>
      </c>
      <c r="LY452">
        <v>0</v>
      </c>
      <c r="LZ452">
        <v>0</v>
      </c>
      <c r="MA452">
        <v>0</v>
      </c>
      <c r="MB452">
        <v>0</v>
      </c>
      <c r="MC452">
        <v>0</v>
      </c>
      <c r="MD452">
        <v>0</v>
      </c>
      <c r="ME452">
        <v>0</v>
      </c>
      <c r="MF452">
        <v>0</v>
      </c>
      <c r="MG452">
        <v>0</v>
      </c>
      <c r="MH452">
        <v>0</v>
      </c>
      <c r="MI452">
        <v>0</v>
      </c>
      <c r="MJ452">
        <v>0</v>
      </c>
      <c r="MK452">
        <v>0</v>
      </c>
      <c r="ML452">
        <v>0</v>
      </c>
      <c r="MM452">
        <v>0</v>
      </c>
      <c r="MN452">
        <v>0</v>
      </c>
      <c r="MO452">
        <v>0</v>
      </c>
      <c r="MP452">
        <v>0</v>
      </c>
      <c r="MQ452">
        <v>0</v>
      </c>
      <c r="MR452">
        <v>0</v>
      </c>
      <c r="MS452">
        <v>0</v>
      </c>
      <c r="MT452">
        <v>0</v>
      </c>
      <c r="MU452">
        <v>0</v>
      </c>
      <c r="MV452">
        <v>0</v>
      </c>
      <c r="MW452">
        <v>0</v>
      </c>
      <c r="MX452">
        <v>0</v>
      </c>
      <c r="MY452">
        <v>0</v>
      </c>
      <c r="MZ452">
        <v>0</v>
      </c>
      <c r="NA452">
        <v>0</v>
      </c>
      <c r="NB452">
        <v>0</v>
      </c>
      <c r="NC452">
        <v>0</v>
      </c>
      <c r="ND452">
        <v>0</v>
      </c>
      <c r="NE452">
        <v>0</v>
      </c>
    </row>
    <row r="453" spans="41:369" x14ac:dyDescent="0.45">
      <c r="AO453">
        <v>0</v>
      </c>
      <c r="AP453">
        <v>0</v>
      </c>
      <c r="AQ453">
        <v>0</v>
      </c>
      <c r="AR453">
        <v>0</v>
      </c>
      <c r="AS453">
        <v>0</v>
      </c>
      <c r="AT453">
        <v>0</v>
      </c>
      <c r="AU453">
        <v>0</v>
      </c>
      <c r="AV453">
        <v>0</v>
      </c>
      <c r="AW453" t="str">
        <v/>
      </c>
      <c r="AX453">
        <v>255</v>
      </c>
      <c r="AY453" s="5" t="str">
        <v/>
      </c>
      <c r="AZ453">
        <v>0</v>
      </c>
      <c r="BA453">
        <v>0</v>
      </c>
      <c r="BB453">
        <v>0</v>
      </c>
      <c r="BC453">
        <v>0</v>
      </c>
      <c r="BD453">
        <v>0</v>
      </c>
      <c r="BE453">
        <v>0</v>
      </c>
      <c r="BF453">
        <v>0</v>
      </c>
      <c r="BG453">
        <v>0</v>
      </c>
      <c r="BH453">
        <v>0</v>
      </c>
      <c r="BI453" t="str">
        <v/>
      </c>
      <c r="BK453">
        <v>447</v>
      </c>
      <c r="BL453">
        <v>0</v>
      </c>
      <c r="BM453">
        <v>0</v>
      </c>
      <c r="BN453">
        <v>0</v>
      </c>
      <c r="BO453">
        <v>0</v>
      </c>
      <c r="BP453">
        <v>0</v>
      </c>
      <c r="BQ453">
        <v>0</v>
      </c>
      <c r="BR453">
        <v>0</v>
      </c>
      <c r="BS453">
        <v>0</v>
      </c>
      <c r="BT453">
        <v>0</v>
      </c>
      <c r="BU453">
        <v>0</v>
      </c>
      <c r="BV453">
        <v>0</v>
      </c>
      <c r="BW453">
        <v>0</v>
      </c>
      <c r="BX453">
        <v>0</v>
      </c>
      <c r="BY453">
        <v>0</v>
      </c>
      <c r="BZ453">
        <v>0</v>
      </c>
      <c r="CA453">
        <v>0</v>
      </c>
      <c r="CB453">
        <v>0</v>
      </c>
      <c r="CC453">
        <v>0</v>
      </c>
      <c r="CD453">
        <v>0</v>
      </c>
      <c r="CE453">
        <v>0</v>
      </c>
      <c r="CF453">
        <v>0</v>
      </c>
      <c r="CG453">
        <v>0</v>
      </c>
      <c r="CH453">
        <v>0</v>
      </c>
      <c r="CI453">
        <v>0</v>
      </c>
      <c r="CJ453">
        <v>0</v>
      </c>
      <c r="CK453">
        <v>0</v>
      </c>
      <c r="CL453">
        <v>0</v>
      </c>
      <c r="CM453">
        <v>0</v>
      </c>
      <c r="CN453">
        <v>0</v>
      </c>
      <c r="CO453">
        <v>0</v>
      </c>
      <c r="CP453">
        <v>0</v>
      </c>
      <c r="CQ453">
        <v>0</v>
      </c>
      <c r="CR453">
        <v>0</v>
      </c>
      <c r="CS453">
        <v>0</v>
      </c>
      <c r="CT453">
        <v>0</v>
      </c>
      <c r="CU453">
        <v>0</v>
      </c>
      <c r="CV453">
        <v>0</v>
      </c>
      <c r="CW453">
        <v>0</v>
      </c>
      <c r="CX453">
        <v>0</v>
      </c>
      <c r="CY453">
        <v>0</v>
      </c>
      <c r="CZ453">
        <v>0</v>
      </c>
      <c r="DA453">
        <v>0</v>
      </c>
      <c r="DB453">
        <v>0</v>
      </c>
      <c r="DC453">
        <v>0</v>
      </c>
      <c r="DD453">
        <v>0</v>
      </c>
      <c r="DE453">
        <v>0</v>
      </c>
      <c r="DF453">
        <v>0</v>
      </c>
      <c r="DG453">
        <v>0</v>
      </c>
      <c r="DH453">
        <v>0</v>
      </c>
      <c r="DI453">
        <v>0</v>
      </c>
      <c r="DJ453">
        <v>0</v>
      </c>
      <c r="DK453">
        <v>0</v>
      </c>
      <c r="DL453">
        <v>0</v>
      </c>
      <c r="DM453">
        <v>0</v>
      </c>
      <c r="DN453">
        <v>0</v>
      </c>
      <c r="DO453">
        <v>0</v>
      </c>
      <c r="DP453">
        <v>0</v>
      </c>
      <c r="DQ453">
        <v>0</v>
      </c>
      <c r="DR453">
        <v>0</v>
      </c>
      <c r="DS453">
        <v>0</v>
      </c>
      <c r="DT453">
        <v>0</v>
      </c>
      <c r="DU453">
        <v>0</v>
      </c>
      <c r="DV453">
        <v>0</v>
      </c>
      <c r="DW453">
        <v>0</v>
      </c>
      <c r="DX453">
        <v>0</v>
      </c>
      <c r="DY453">
        <v>0</v>
      </c>
      <c r="DZ453">
        <v>0</v>
      </c>
      <c r="EA453">
        <v>0</v>
      </c>
      <c r="EB453">
        <v>0</v>
      </c>
      <c r="EC453">
        <v>0</v>
      </c>
      <c r="ED453">
        <v>0</v>
      </c>
      <c r="EE453">
        <v>0</v>
      </c>
      <c r="EF453">
        <v>0</v>
      </c>
      <c r="EG453">
        <v>0</v>
      </c>
      <c r="EH453">
        <v>0</v>
      </c>
      <c r="EI453">
        <v>0</v>
      </c>
      <c r="EJ453">
        <v>0</v>
      </c>
      <c r="EK453">
        <v>0</v>
      </c>
      <c r="EL453">
        <v>0</v>
      </c>
      <c r="EM453">
        <v>0</v>
      </c>
      <c r="EN453">
        <v>0</v>
      </c>
      <c r="EO453">
        <v>0</v>
      </c>
      <c r="EP453">
        <v>0</v>
      </c>
      <c r="EQ453">
        <v>0</v>
      </c>
      <c r="ER453">
        <v>0</v>
      </c>
      <c r="ES453">
        <v>0</v>
      </c>
      <c r="ET453">
        <v>0</v>
      </c>
      <c r="EU453">
        <v>0</v>
      </c>
      <c r="EV453">
        <v>0</v>
      </c>
      <c r="EW453">
        <v>0</v>
      </c>
      <c r="EX453">
        <v>0</v>
      </c>
      <c r="EY453">
        <v>0</v>
      </c>
      <c r="EZ453">
        <v>0</v>
      </c>
      <c r="FA453">
        <v>0</v>
      </c>
      <c r="FB453">
        <v>0</v>
      </c>
      <c r="FC453">
        <v>0</v>
      </c>
      <c r="FD453">
        <v>0</v>
      </c>
      <c r="FE453">
        <v>0</v>
      </c>
      <c r="FF453">
        <v>0</v>
      </c>
      <c r="FG453">
        <v>0</v>
      </c>
      <c r="FH453">
        <v>0</v>
      </c>
      <c r="FI453">
        <v>0</v>
      </c>
      <c r="FJ453">
        <v>0</v>
      </c>
      <c r="FK453">
        <v>0</v>
      </c>
      <c r="FL453">
        <v>0</v>
      </c>
      <c r="FM453">
        <v>0</v>
      </c>
      <c r="FN453">
        <v>0</v>
      </c>
      <c r="FO453">
        <v>0</v>
      </c>
      <c r="FP453">
        <v>0</v>
      </c>
      <c r="FQ453">
        <v>0</v>
      </c>
      <c r="FR453">
        <v>0</v>
      </c>
      <c r="FS453">
        <v>0</v>
      </c>
      <c r="FT453">
        <v>0</v>
      </c>
      <c r="FU453">
        <v>0</v>
      </c>
      <c r="FV453">
        <v>0</v>
      </c>
      <c r="FW453">
        <v>0</v>
      </c>
      <c r="FX453">
        <v>0</v>
      </c>
      <c r="FY453">
        <v>0</v>
      </c>
      <c r="FZ453">
        <v>0</v>
      </c>
      <c r="GA453">
        <v>0</v>
      </c>
      <c r="GB453">
        <v>0</v>
      </c>
      <c r="GC453">
        <v>0</v>
      </c>
      <c r="GD453">
        <v>0</v>
      </c>
      <c r="GE453">
        <v>0</v>
      </c>
      <c r="GF453">
        <v>0</v>
      </c>
      <c r="GG453">
        <v>0</v>
      </c>
      <c r="GH453">
        <v>0</v>
      </c>
      <c r="GI453">
        <v>0</v>
      </c>
      <c r="GJ453">
        <v>0</v>
      </c>
      <c r="GK453">
        <v>0</v>
      </c>
      <c r="GL453">
        <v>0</v>
      </c>
      <c r="GM453">
        <v>0</v>
      </c>
      <c r="GN453">
        <v>0</v>
      </c>
      <c r="GO453">
        <v>0</v>
      </c>
      <c r="GP453">
        <v>0</v>
      </c>
      <c r="GQ453">
        <v>0</v>
      </c>
      <c r="GR453">
        <v>0</v>
      </c>
      <c r="GS453">
        <v>0</v>
      </c>
      <c r="GT453">
        <v>0</v>
      </c>
      <c r="GU453">
        <v>0</v>
      </c>
      <c r="GV453">
        <v>0</v>
      </c>
      <c r="GW453">
        <v>0</v>
      </c>
      <c r="GX453">
        <v>0</v>
      </c>
      <c r="GY453">
        <v>0</v>
      </c>
      <c r="GZ453">
        <v>0</v>
      </c>
      <c r="HA453">
        <v>0</v>
      </c>
      <c r="HB453">
        <v>0</v>
      </c>
      <c r="HC453">
        <v>0</v>
      </c>
      <c r="HD453">
        <v>0</v>
      </c>
      <c r="HE453">
        <v>0</v>
      </c>
      <c r="HF453">
        <v>0</v>
      </c>
      <c r="HG453">
        <v>0</v>
      </c>
      <c r="HH453">
        <v>0</v>
      </c>
      <c r="HI453">
        <v>0</v>
      </c>
      <c r="HJ453">
        <v>0</v>
      </c>
      <c r="HK453">
        <v>0</v>
      </c>
      <c r="HL453">
        <v>0</v>
      </c>
      <c r="HM453">
        <v>0</v>
      </c>
      <c r="HN453">
        <v>0</v>
      </c>
      <c r="HO453">
        <v>0</v>
      </c>
      <c r="HP453">
        <v>0</v>
      </c>
      <c r="HQ453">
        <v>0</v>
      </c>
      <c r="HR453">
        <v>0</v>
      </c>
      <c r="HS453">
        <v>0</v>
      </c>
      <c r="HT453">
        <v>0</v>
      </c>
      <c r="HU453">
        <v>0</v>
      </c>
      <c r="HV453">
        <v>0</v>
      </c>
      <c r="HW453">
        <v>0</v>
      </c>
      <c r="HX453">
        <v>0</v>
      </c>
      <c r="HY453">
        <v>0</v>
      </c>
      <c r="HZ453">
        <v>0</v>
      </c>
      <c r="IA453">
        <v>0</v>
      </c>
      <c r="IB453">
        <v>0</v>
      </c>
      <c r="IC453">
        <v>0</v>
      </c>
      <c r="ID453">
        <v>0</v>
      </c>
      <c r="IE453">
        <v>0</v>
      </c>
      <c r="IF453">
        <v>0</v>
      </c>
      <c r="IG453">
        <v>0</v>
      </c>
      <c r="IH453">
        <v>0</v>
      </c>
      <c r="II453">
        <v>0</v>
      </c>
      <c r="IJ453">
        <v>0</v>
      </c>
      <c r="IK453">
        <v>0</v>
      </c>
      <c r="IL453">
        <v>0</v>
      </c>
      <c r="IM453">
        <v>0</v>
      </c>
      <c r="IN453">
        <v>0</v>
      </c>
      <c r="IO453">
        <v>0</v>
      </c>
      <c r="IP453">
        <v>0</v>
      </c>
      <c r="IQ453">
        <v>0</v>
      </c>
      <c r="IR453">
        <v>0</v>
      </c>
      <c r="IS453">
        <v>0</v>
      </c>
      <c r="IT453">
        <v>0</v>
      </c>
      <c r="IU453">
        <v>0</v>
      </c>
      <c r="IV453">
        <v>0</v>
      </c>
      <c r="IW453">
        <v>0</v>
      </c>
      <c r="IX453">
        <v>0</v>
      </c>
      <c r="IY453">
        <v>0</v>
      </c>
      <c r="IZ453">
        <v>0</v>
      </c>
      <c r="JA453">
        <v>0</v>
      </c>
      <c r="JB453">
        <v>0</v>
      </c>
      <c r="JC453">
        <v>0</v>
      </c>
      <c r="JD453">
        <v>0</v>
      </c>
      <c r="JE453">
        <v>0</v>
      </c>
      <c r="JF453">
        <v>0</v>
      </c>
      <c r="JG453">
        <v>0</v>
      </c>
      <c r="JH453">
        <v>0</v>
      </c>
      <c r="JI453">
        <v>0</v>
      </c>
      <c r="JJ453">
        <v>0</v>
      </c>
      <c r="JK453">
        <v>0</v>
      </c>
      <c r="JL453">
        <v>0</v>
      </c>
      <c r="JM453">
        <v>0</v>
      </c>
      <c r="JN453">
        <v>0</v>
      </c>
      <c r="JO453">
        <v>0</v>
      </c>
      <c r="JP453">
        <v>0</v>
      </c>
      <c r="JQ453">
        <v>0</v>
      </c>
      <c r="JR453">
        <v>0</v>
      </c>
      <c r="JS453">
        <v>0</v>
      </c>
      <c r="JT453">
        <v>0</v>
      </c>
      <c r="JU453">
        <v>0</v>
      </c>
      <c r="JV453">
        <v>0</v>
      </c>
      <c r="JW453">
        <v>0</v>
      </c>
      <c r="JX453">
        <v>0</v>
      </c>
      <c r="JY453">
        <v>0</v>
      </c>
      <c r="JZ453">
        <v>0</v>
      </c>
      <c r="KA453">
        <v>0</v>
      </c>
      <c r="KB453">
        <v>0</v>
      </c>
      <c r="KC453">
        <v>0</v>
      </c>
      <c r="KD453">
        <v>0</v>
      </c>
      <c r="KE453">
        <v>0</v>
      </c>
      <c r="KF453">
        <v>0</v>
      </c>
      <c r="KG453">
        <v>0</v>
      </c>
      <c r="KH453">
        <v>0</v>
      </c>
      <c r="KI453">
        <v>0</v>
      </c>
      <c r="KJ453">
        <v>0</v>
      </c>
      <c r="KK453">
        <v>0</v>
      </c>
      <c r="KL453">
        <v>0</v>
      </c>
      <c r="KM453">
        <v>0</v>
      </c>
      <c r="KN453">
        <v>0</v>
      </c>
      <c r="KO453">
        <v>0</v>
      </c>
      <c r="KP453">
        <v>0</v>
      </c>
      <c r="KQ453">
        <v>0</v>
      </c>
      <c r="KR453">
        <v>0</v>
      </c>
      <c r="KS453">
        <v>0</v>
      </c>
      <c r="KT453">
        <v>0</v>
      </c>
      <c r="KU453">
        <v>0</v>
      </c>
      <c r="KV453">
        <v>0</v>
      </c>
      <c r="KW453">
        <v>0</v>
      </c>
      <c r="KX453">
        <v>0</v>
      </c>
      <c r="KY453">
        <v>0</v>
      </c>
      <c r="KZ453">
        <v>0</v>
      </c>
      <c r="LA453">
        <v>0</v>
      </c>
      <c r="LB453">
        <v>0</v>
      </c>
      <c r="LC453">
        <v>0</v>
      </c>
      <c r="LD453">
        <v>0</v>
      </c>
      <c r="LE453">
        <v>0</v>
      </c>
      <c r="LF453">
        <v>0</v>
      </c>
      <c r="LG453">
        <v>0</v>
      </c>
      <c r="LH453">
        <v>0</v>
      </c>
      <c r="LI453">
        <v>0</v>
      </c>
      <c r="LJ453">
        <v>0</v>
      </c>
      <c r="LK453">
        <v>0</v>
      </c>
      <c r="LL453">
        <v>0</v>
      </c>
      <c r="LM453">
        <v>0</v>
      </c>
      <c r="LN453">
        <v>0</v>
      </c>
      <c r="LO453">
        <v>0</v>
      </c>
      <c r="LP453">
        <v>0</v>
      </c>
      <c r="LQ453">
        <v>0</v>
      </c>
      <c r="LR453">
        <v>0</v>
      </c>
      <c r="LS453">
        <v>0</v>
      </c>
      <c r="LT453">
        <v>0</v>
      </c>
      <c r="LU453">
        <v>0</v>
      </c>
      <c r="LV453">
        <v>0</v>
      </c>
      <c r="LW453">
        <v>0</v>
      </c>
      <c r="LX453">
        <v>0</v>
      </c>
      <c r="LY453">
        <v>0</v>
      </c>
      <c r="LZ453">
        <v>0</v>
      </c>
      <c r="MA453">
        <v>0</v>
      </c>
      <c r="MB453">
        <v>0</v>
      </c>
      <c r="MC453">
        <v>0</v>
      </c>
      <c r="MD453">
        <v>0</v>
      </c>
      <c r="ME453">
        <v>0</v>
      </c>
      <c r="MF453">
        <v>0</v>
      </c>
      <c r="MG453">
        <v>0</v>
      </c>
      <c r="MH453">
        <v>0</v>
      </c>
      <c r="MI453">
        <v>0</v>
      </c>
      <c r="MJ453">
        <v>0</v>
      </c>
      <c r="MK453">
        <v>0</v>
      </c>
      <c r="ML453">
        <v>0</v>
      </c>
      <c r="MM453">
        <v>0</v>
      </c>
      <c r="MN453">
        <v>0</v>
      </c>
      <c r="MO453">
        <v>0</v>
      </c>
      <c r="MP453">
        <v>0</v>
      </c>
      <c r="MQ453">
        <v>0</v>
      </c>
      <c r="MR453">
        <v>0</v>
      </c>
      <c r="MS453">
        <v>0</v>
      </c>
      <c r="MT453">
        <v>0</v>
      </c>
      <c r="MU453">
        <v>0</v>
      </c>
      <c r="MV453">
        <v>0</v>
      </c>
      <c r="MW453">
        <v>0</v>
      </c>
      <c r="MX453">
        <v>0</v>
      </c>
      <c r="MY453">
        <v>0</v>
      </c>
      <c r="MZ453">
        <v>0</v>
      </c>
      <c r="NA453">
        <v>0</v>
      </c>
      <c r="NB453">
        <v>0</v>
      </c>
      <c r="NC453">
        <v>0</v>
      </c>
      <c r="ND453">
        <v>0</v>
      </c>
      <c r="NE453">
        <v>0</v>
      </c>
    </row>
    <row r="454" spans="41:369" x14ac:dyDescent="0.45">
      <c r="AO454">
        <v>0</v>
      </c>
      <c r="AP454">
        <v>0</v>
      </c>
      <c r="AQ454">
        <v>0</v>
      </c>
      <c r="AR454">
        <v>0</v>
      </c>
      <c r="AS454">
        <v>0</v>
      </c>
      <c r="AT454">
        <v>0</v>
      </c>
      <c r="AU454">
        <v>0</v>
      </c>
      <c r="AV454">
        <v>0</v>
      </c>
      <c r="AW454" t="str">
        <v/>
      </c>
      <c r="AX454">
        <v>255</v>
      </c>
      <c r="AY454" s="5" t="str">
        <v/>
      </c>
      <c r="AZ454">
        <v>0</v>
      </c>
      <c r="BA454">
        <v>0</v>
      </c>
      <c r="BB454">
        <v>0</v>
      </c>
      <c r="BC454">
        <v>0</v>
      </c>
      <c r="BD454">
        <v>0</v>
      </c>
      <c r="BE454">
        <v>0</v>
      </c>
      <c r="BF454">
        <v>0</v>
      </c>
      <c r="BG454">
        <v>0</v>
      </c>
      <c r="BH454">
        <v>0</v>
      </c>
      <c r="BI454" t="str">
        <v/>
      </c>
      <c r="BK454">
        <v>448</v>
      </c>
      <c r="BL454">
        <v>0</v>
      </c>
      <c r="BM454">
        <v>0</v>
      </c>
      <c r="BN454">
        <v>0</v>
      </c>
      <c r="BO454">
        <v>0</v>
      </c>
      <c r="BP454">
        <v>0</v>
      </c>
      <c r="BQ454">
        <v>0</v>
      </c>
      <c r="BR454">
        <v>0</v>
      </c>
      <c r="BS454">
        <v>0</v>
      </c>
      <c r="BT454">
        <v>0</v>
      </c>
      <c r="BU454">
        <v>0</v>
      </c>
      <c r="BV454">
        <v>0</v>
      </c>
      <c r="BW454">
        <v>0</v>
      </c>
      <c r="BX454">
        <v>0</v>
      </c>
      <c r="BY454">
        <v>0</v>
      </c>
      <c r="BZ454">
        <v>0</v>
      </c>
      <c r="CA454">
        <v>0</v>
      </c>
      <c r="CB454">
        <v>0</v>
      </c>
      <c r="CC454">
        <v>0</v>
      </c>
      <c r="CD454">
        <v>0</v>
      </c>
      <c r="CE454">
        <v>0</v>
      </c>
      <c r="CF454">
        <v>0</v>
      </c>
      <c r="CG454">
        <v>0</v>
      </c>
      <c r="CH454">
        <v>0</v>
      </c>
      <c r="CI454">
        <v>0</v>
      </c>
      <c r="CJ454">
        <v>0</v>
      </c>
      <c r="CK454">
        <v>0</v>
      </c>
      <c r="CL454">
        <v>0</v>
      </c>
      <c r="CM454">
        <v>0</v>
      </c>
      <c r="CN454">
        <v>0</v>
      </c>
      <c r="CO454">
        <v>0</v>
      </c>
      <c r="CP454">
        <v>0</v>
      </c>
      <c r="CQ454">
        <v>0</v>
      </c>
      <c r="CR454">
        <v>0</v>
      </c>
      <c r="CS454">
        <v>0</v>
      </c>
      <c r="CT454">
        <v>0</v>
      </c>
      <c r="CU454">
        <v>0</v>
      </c>
      <c r="CV454">
        <v>0</v>
      </c>
      <c r="CW454">
        <v>0</v>
      </c>
      <c r="CX454">
        <v>0</v>
      </c>
      <c r="CY454">
        <v>0</v>
      </c>
      <c r="CZ454">
        <v>0</v>
      </c>
      <c r="DA454">
        <v>0</v>
      </c>
      <c r="DB454">
        <v>0</v>
      </c>
      <c r="DC454">
        <v>0</v>
      </c>
      <c r="DD454">
        <v>0</v>
      </c>
      <c r="DE454">
        <v>0</v>
      </c>
      <c r="DF454">
        <v>0</v>
      </c>
      <c r="DG454">
        <v>0</v>
      </c>
      <c r="DH454">
        <v>0</v>
      </c>
      <c r="DI454">
        <v>0</v>
      </c>
      <c r="DJ454">
        <v>0</v>
      </c>
      <c r="DK454">
        <v>0</v>
      </c>
      <c r="DL454">
        <v>0</v>
      </c>
      <c r="DM454">
        <v>0</v>
      </c>
      <c r="DN454">
        <v>0</v>
      </c>
      <c r="DO454">
        <v>0</v>
      </c>
      <c r="DP454">
        <v>0</v>
      </c>
      <c r="DQ454">
        <v>0</v>
      </c>
      <c r="DR454">
        <v>0</v>
      </c>
      <c r="DS454">
        <v>0</v>
      </c>
      <c r="DT454">
        <v>0</v>
      </c>
      <c r="DU454">
        <v>0</v>
      </c>
      <c r="DV454">
        <v>0</v>
      </c>
      <c r="DW454">
        <v>0</v>
      </c>
      <c r="DX454">
        <v>0</v>
      </c>
      <c r="DY454">
        <v>0</v>
      </c>
      <c r="DZ454">
        <v>0</v>
      </c>
      <c r="EA454">
        <v>0</v>
      </c>
      <c r="EB454">
        <v>0</v>
      </c>
      <c r="EC454">
        <v>0</v>
      </c>
      <c r="ED454">
        <v>0</v>
      </c>
      <c r="EE454">
        <v>0</v>
      </c>
      <c r="EF454">
        <v>0</v>
      </c>
      <c r="EG454">
        <v>0</v>
      </c>
      <c r="EH454">
        <v>0</v>
      </c>
      <c r="EI454">
        <v>0</v>
      </c>
      <c r="EJ454">
        <v>0</v>
      </c>
      <c r="EK454">
        <v>0</v>
      </c>
      <c r="EL454">
        <v>0</v>
      </c>
      <c r="EM454">
        <v>0</v>
      </c>
      <c r="EN454">
        <v>0</v>
      </c>
      <c r="EO454">
        <v>0</v>
      </c>
      <c r="EP454">
        <v>0</v>
      </c>
      <c r="EQ454">
        <v>0</v>
      </c>
      <c r="ER454">
        <v>0</v>
      </c>
      <c r="ES454">
        <v>0</v>
      </c>
      <c r="ET454">
        <v>0</v>
      </c>
      <c r="EU454">
        <v>0</v>
      </c>
      <c r="EV454">
        <v>0</v>
      </c>
      <c r="EW454">
        <v>0</v>
      </c>
      <c r="EX454">
        <v>0</v>
      </c>
      <c r="EY454">
        <v>0</v>
      </c>
      <c r="EZ454">
        <v>0</v>
      </c>
      <c r="FA454">
        <v>0</v>
      </c>
      <c r="FB454">
        <v>0</v>
      </c>
      <c r="FC454">
        <v>0</v>
      </c>
      <c r="FD454">
        <v>0</v>
      </c>
      <c r="FE454">
        <v>0</v>
      </c>
      <c r="FF454">
        <v>0</v>
      </c>
      <c r="FG454">
        <v>0</v>
      </c>
      <c r="FH454">
        <v>0</v>
      </c>
      <c r="FI454">
        <v>0</v>
      </c>
      <c r="FJ454">
        <v>0</v>
      </c>
      <c r="FK454">
        <v>0</v>
      </c>
      <c r="FL454">
        <v>0</v>
      </c>
      <c r="FM454">
        <v>0</v>
      </c>
      <c r="FN454">
        <v>0</v>
      </c>
      <c r="FO454">
        <v>0</v>
      </c>
      <c r="FP454">
        <v>0</v>
      </c>
      <c r="FQ454">
        <v>0</v>
      </c>
      <c r="FR454">
        <v>0</v>
      </c>
      <c r="FS454">
        <v>0</v>
      </c>
      <c r="FT454">
        <v>0</v>
      </c>
      <c r="FU454">
        <v>0</v>
      </c>
      <c r="FV454">
        <v>0</v>
      </c>
      <c r="FW454">
        <v>0</v>
      </c>
      <c r="FX454">
        <v>0</v>
      </c>
      <c r="FY454">
        <v>0</v>
      </c>
      <c r="FZ454">
        <v>0</v>
      </c>
      <c r="GA454">
        <v>0</v>
      </c>
      <c r="GB454">
        <v>0</v>
      </c>
      <c r="GC454">
        <v>0</v>
      </c>
      <c r="GD454">
        <v>0</v>
      </c>
      <c r="GE454">
        <v>0</v>
      </c>
      <c r="GF454">
        <v>0</v>
      </c>
      <c r="GG454">
        <v>0</v>
      </c>
      <c r="GH454">
        <v>0</v>
      </c>
      <c r="GI454">
        <v>0</v>
      </c>
      <c r="GJ454">
        <v>0</v>
      </c>
      <c r="GK454">
        <v>0</v>
      </c>
      <c r="GL454">
        <v>0</v>
      </c>
      <c r="GM454">
        <v>0</v>
      </c>
      <c r="GN454">
        <v>0</v>
      </c>
      <c r="GO454">
        <v>0</v>
      </c>
      <c r="GP454">
        <v>0</v>
      </c>
      <c r="GQ454">
        <v>0</v>
      </c>
      <c r="GR454">
        <v>0</v>
      </c>
      <c r="GS454">
        <v>0</v>
      </c>
      <c r="GT454">
        <v>0</v>
      </c>
      <c r="GU454">
        <v>0</v>
      </c>
      <c r="GV454">
        <v>0</v>
      </c>
      <c r="GW454">
        <v>0</v>
      </c>
      <c r="GX454">
        <v>0</v>
      </c>
      <c r="GY454">
        <v>0</v>
      </c>
      <c r="GZ454">
        <v>0</v>
      </c>
      <c r="HA454">
        <v>0</v>
      </c>
      <c r="HB454">
        <v>0</v>
      </c>
      <c r="HC454">
        <v>0</v>
      </c>
      <c r="HD454">
        <v>0</v>
      </c>
      <c r="HE454">
        <v>0</v>
      </c>
      <c r="HF454">
        <v>0</v>
      </c>
      <c r="HG454">
        <v>0</v>
      </c>
      <c r="HH454">
        <v>0</v>
      </c>
      <c r="HI454">
        <v>0</v>
      </c>
      <c r="HJ454">
        <v>0</v>
      </c>
      <c r="HK454">
        <v>0</v>
      </c>
      <c r="HL454">
        <v>0</v>
      </c>
      <c r="HM454">
        <v>0</v>
      </c>
      <c r="HN454">
        <v>0</v>
      </c>
      <c r="HO454">
        <v>0</v>
      </c>
      <c r="HP454">
        <v>0</v>
      </c>
      <c r="HQ454">
        <v>0</v>
      </c>
      <c r="HR454">
        <v>0</v>
      </c>
      <c r="HS454">
        <v>0</v>
      </c>
      <c r="HT454">
        <v>0</v>
      </c>
      <c r="HU454">
        <v>0</v>
      </c>
      <c r="HV454">
        <v>0</v>
      </c>
      <c r="HW454">
        <v>0</v>
      </c>
      <c r="HX454">
        <v>0</v>
      </c>
      <c r="HY454">
        <v>0</v>
      </c>
      <c r="HZ454">
        <v>0</v>
      </c>
      <c r="IA454">
        <v>0</v>
      </c>
      <c r="IB454">
        <v>0</v>
      </c>
      <c r="IC454">
        <v>0</v>
      </c>
      <c r="ID454">
        <v>0</v>
      </c>
      <c r="IE454">
        <v>0</v>
      </c>
      <c r="IF454">
        <v>0</v>
      </c>
      <c r="IG454">
        <v>0</v>
      </c>
      <c r="IH454">
        <v>0</v>
      </c>
      <c r="II454">
        <v>0</v>
      </c>
      <c r="IJ454">
        <v>0</v>
      </c>
      <c r="IK454">
        <v>0</v>
      </c>
      <c r="IL454">
        <v>0</v>
      </c>
      <c r="IM454">
        <v>0</v>
      </c>
      <c r="IN454">
        <v>0</v>
      </c>
      <c r="IO454">
        <v>0</v>
      </c>
      <c r="IP454">
        <v>0</v>
      </c>
      <c r="IQ454">
        <v>0</v>
      </c>
      <c r="IR454">
        <v>0</v>
      </c>
      <c r="IS454">
        <v>0</v>
      </c>
      <c r="IT454">
        <v>0</v>
      </c>
      <c r="IU454">
        <v>0</v>
      </c>
      <c r="IV454">
        <v>0</v>
      </c>
      <c r="IW454">
        <v>0</v>
      </c>
      <c r="IX454">
        <v>0</v>
      </c>
      <c r="IY454">
        <v>0</v>
      </c>
      <c r="IZ454">
        <v>0</v>
      </c>
      <c r="JA454">
        <v>0</v>
      </c>
      <c r="JB454">
        <v>0</v>
      </c>
      <c r="JC454">
        <v>0</v>
      </c>
      <c r="JD454">
        <v>0</v>
      </c>
      <c r="JE454">
        <v>0</v>
      </c>
      <c r="JF454">
        <v>0</v>
      </c>
      <c r="JG454">
        <v>0</v>
      </c>
      <c r="JH454">
        <v>0</v>
      </c>
      <c r="JI454">
        <v>0</v>
      </c>
      <c r="JJ454">
        <v>0</v>
      </c>
      <c r="JK454">
        <v>0</v>
      </c>
      <c r="JL454">
        <v>0</v>
      </c>
      <c r="JM454">
        <v>0</v>
      </c>
      <c r="JN454">
        <v>0</v>
      </c>
      <c r="JO454">
        <v>0</v>
      </c>
      <c r="JP454">
        <v>0</v>
      </c>
      <c r="JQ454">
        <v>0</v>
      </c>
      <c r="JR454">
        <v>0</v>
      </c>
      <c r="JS454">
        <v>0</v>
      </c>
      <c r="JT454">
        <v>0</v>
      </c>
      <c r="JU454">
        <v>0</v>
      </c>
      <c r="JV454">
        <v>0</v>
      </c>
      <c r="JW454">
        <v>0</v>
      </c>
      <c r="JX454">
        <v>0</v>
      </c>
      <c r="JY454">
        <v>0</v>
      </c>
      <c r="JZ454">
        <v>0</v>
      </c>
      <c r="KA454">
        <v>0</v>
      </c>
      <c r="KB454">
        <v>0</v>
      </c>
      <c r="KC454">
        <v>0</v>
      </c>
      <c r="KD454">
        <v>0</v>
      </c>
      <c r="KE454">
        <v>0</v>
      </c>
      <c r="KF454">
        <v>0</v>
      </c>
      <c r="KG454">
        <v>0</v>
      </c>
      <c r="KH454">
        <v>0</v>
      </c>
      <c r="KI454">
        <v>0</v>
      </c>
      <c r="KJ454">
        <v>0</v>
      </c>
      <c r="KK454">
        <v>0</v>
      </c>
      <c r="KL454">
        <v>0</v>
      </c>
      <c r="KM454">
        <v>0</v>
      </c>
      <c r="KN454">
        <v>0</v>
      </c>
      <c r="KO454">
        <v>0</v>
      </c>
      <c r="KP454">
        <v>0</v>
      </c>
      <c r="KQ454">
        <v>0</v>
      </c>
      <c r="KR454">
        <v>0</v>
      </c>
      <c r="KS454">
        <v>0</v>
      </c>
      <c r="KT454">
        <v>0</v>
      </c>
      <c r="KU454">
        <v>0</v>
      </c>
      <c r="KV454">
        <v>0</v>
      </c>
      <c r="KW454">
        <v>0</v>
      </c>
      <c r="KX454">
        <v>0</v>
      </c>
      <c r="KY454">
        <v>0</v>
      </c>
      <c r="KZ454">
        <v>0</v>
      </c>
      <c r="LA454">
        <v>0</v>
      </c>
      <c r="LB454">
        <v>0</v>
      </c>
      <c r="LC454">
        <v>0</v>
      </c>
      <c r="LD454">
        <v>0</v>
      </c>
      <c r="LE454">
        <v>0</v>
      </c>
      <c r="LF454">
        <v>0</v>
      </c>
      <c r="LG454">
        <v>0</v>
      </c>
      <c r="LH454">
        <v>0</v>
      </c>
      <c r="LI454">
        <v>0</v>
      </c>
      <c r="LJ454">
        <v>0</v>
      </c>
      <c r="LK454">
        <v>0</v>
      </c>
      <c r="LL454">
        <v>0</v>
      </c>
      <c r="LM454">
        <v>0</v>
      </c>
      <c r="LN454">
        <v>0</v>
      </c>
      <c r="LO454">
        <v>0</v>
      </c>
      <c r="LP454">
        <v>0</v>
      </c>
      <c r="LQ454">
        <v>0</v>
      </c>
      <c r="LR454">
        <v>0</v>
      </c>
      <c r="LS454">
        <v>0</v>
      </c>
      <c r="LT454">
        <v>0</v>
      </c>
      <c r="LU454">
        <v>0</v>
      </c>
      <c r="LV454">
        <v>0</v>
      </c>
      <c r="LW454">
        <v>0</v>
      </c>
      <c r="LX454">
        <v>0</v>
      </c>
      <c r="LY454">
        <v>0</v>
      </c>
      <c r="LZ454">
        <v>0</v>
      </c>
      <c r="MA454">
        <v>0</v>
      </c>
      <c r="MB454">
        <v>0</v>
      </c>
      <c r="MC454">
        <v>0</v>
      </c>
      <c r="MD454">
        <v>0</v>
      </c>
      <c r="ME454">
        <v>0</v>
      </c>
      <c r="MF454">
        <v>0</v>
      </c>
      <c r="MG454">
        <v>0</v>
      </c>
      <c r="MH454">
        <v>0</v>
      </c>
      <c r="MI454">
        <v>0</v>
      </c>
      <c r="MJ454">
        <v>0</v>
      </c>
      <c r="MK454">
        <v>0</v>
      </c>
      <c r="ML454">
        <v>0</v>
      </c>
      <c r="MM454">
        <v>0</v>
      </c>
      <c r="MN454">
        <v>0</v>
      </c>
      <c r="MO454">
        <v>0</v>
      </c>
      <c r="MP454">
        <v>0</v>
      </c>
      <c r="MQ454">
        <v>0</v>
      </c>
      <c r="MR454">
        <v>0</v>
      </c>
      <c r="MS454">
        <v>0</v>
      </c>
      <c r="MT454">
        <v>0</v>
      </c>
      <c r="MU454">
        <v>0</v>
      </c>
      <c r="MV454">
        <v>0</v>
      </c>
      <c r="MW454">
        <v>0</v>
      </c>
      <c r="MX454">
        <v>0</v>
      </c>
      <c r="MY454">
        <v>0</v>
      </c>
      <c r="MZ454">
        <v>0</v>
      </c>
      <c r="NA454">
        <v>0</v>
      </c>
      <c r="NB454">
        <v>0</v>
      </c>
      <c r="NC454">
        <v>0</v>
      </c>
      <c r="ND454">
        <v>0</v>
      </c>
      <c r="NE454">
        <v>0</v>
      </c>
    </row>
    <row r="455" spans="41:369" x14ac:dyDescent="0.45">
      <c r="AO455">
        <v>0</v>
      </c>
      <c r="AP455">
        <v>0</v>
      </c>
      <c r="AQ455">
        <v>0</v>
      </c>
      <c r="AR455">
        <v>0</v>
      </c>
      <c r="AS455">
        <v>0</v>
      </c>
      <c r="AT455">
        <v>0</v>
      </c>
      <c r="AU455">
        <v>0</v>
      </c>
      <c r="AV455">
        <v>0</v>
      </c>
      <c r="AW455" t="str">
        <v/>
      </c>
      <c r="AX455">
        <v>255</v>
      </c>
      <c r="AY455" s="5" t="str">
        <v/>
      </c>
      <c r="AZ455">
        <v>0</v>
      </c>
      <c r="BA455">
        <v>0</v>
      </c>
      <c r="BB455">
        <v>0</v>
      </c>
      <c r="BC455">
        <v>0</v>
      </c>
      <c r="BD455">
        <v>0</v>
      </c>
      <c r="BE455">
        <v>0</v>
      </c>
      <c r="BF455">
        <v>0</v>
      </c>
      <c r="BG455">
        <v>0</v>
      </c>
      <c r="BH455">
        <v>0</v>
      </c>
      <c r="BI455" t="str">
        <v/>
      </c>
      <c r="BK455">
        <v>449</v>
      </c>
      <c r="BL455">
        <v>0</v>
      </c>
      <c r="BM455">
        <v>0</v>
      </c>
      <c r="BN455">
        <v>0</v>
      </c>
      <c r="BO455">
        <v>0</v>
      </c>
      <c r="BP455">
        <v>0</v>
      </c>
      <c r="BQ455">
        <v>0</v>
      </c>
      <c r="BR455">
        <v>0</v>
      </c>
      <c r="BS455">
        <v>0</v>
      </c>
      <c r="BT455">
        <v>0</v>
      </c>
      <c r="BU455">
        <v>0</v>
      </c>
      <c r="BV455">
        <v>0</v>
      </c>
      <c r="BW455">
        <v>0</v>
      </c>
      <c r="BX455">
        <v>0</v>
      </c>
      <c r="BY455">
        <v>0</v>
      </c>
      <c r="BZ455">
        <v>0</v>
      </c>
      <c r="CA455">
        <v>0</v>
      </c>
      <c r="CB455">
        <v>0</v>
      </c>
      <c r="CC455">
        <v>0</v>
      </c>
      <c r="CD455">
        <v>0</v>
      </c>
      <c r="CE455">
        <v>0</v>
      </c>
      <c r="CF455">
        <v>0</v>
      </c>
      <c r="CG455">
        <v>0</v>
      </c>
      <c r="CH455">
        <v>0</v>
      </c>
      <c r="CI455">
        <v>0</v>
      </c>
      <c r="CJ455">
        <v>0</v>
      </c>
      <c r="CK455">
        <v>0</v>
      </c>
      <c r="CL455">
        <v>0</v>
      </c>
      <c r="CM455">
        <v>0</v>
      </c>
      <c r="CN455">
        <v>0</v>
      </c>
      <c r="CO455">
        <v>0</v>
      </c>
      <c r="CP455">
        <v>0</v>
      </c>
      <c r="CQ455">
        <v>0</v>
      </c>
      <c r="CR455">
        <v>0</v>
      </c>
      <c r="CS455">
        <v>0</v>
      </c>
      <c r="CT455">
        <v>0</v>
      </c>
      <c r="CU455">
        <v>0</v>
      </c>
      <c r="CV455">
        <v>0</v>
      </c>
      <c r="CW455">
        <v>0</v>
      </c>
      <c r="CX455">
        <v>0</v>
      </c>
      <c r="CY455">
        <v>0</v>
      </c>
      <c r="CZ455">
        <v>0</v>
      </c>
      <c r="DA455">
        <v>0</v>
      </c>
      <c r="DB455">
        <v>0</v>
      </c>
      <c r="DC455">
        <v>0</v>
      </c>
      <c r="DD455">
        <v>0</v>
      </c>
      <c r="DE455">
        <v>0</v>
      </c>
      <c r="DF455">
        <v>0</v>
      </c>
      <c r="DG455">
        <v>0</v>
      </c>
      <c r="DH455">
        <v>0</v>
      </c>
      <c r="DI455">
        <v>0</v>
      </c>
      <c r="DJ455">
        <v>0</v>
      </c>
      <c r="DK455">
        <v>0</v>
      </c>
      <c r="DL455">
        <v>0</v>
      </c>
      <c r="DM455">
        <v>0</v>
      </c>
      <c r="DN455">
        <v>0</v>
      </c>
      <c r="DO455">
        <v>0</v>
      </c>
      <c r="DP455">
        <v>0</v>
      </c>
      <c r="DQ455">
        <v>0</v>
      </c>
      <c r="DR455">
        <v>0</v>
      </c>
      <c r="DS455">
        <v>0</v>
      </c>
      <c r="DT455">
        <v>0</v>
      </c>
      <c r="DU455">
        <v>0</v>
      </c>
      <c r="DV455">
        <v>0</v>
      </c>
      <c r="DW455">
        <v>0</v>
      </c>
      <c r="DX455">
        <v>0</v>
      </c>
      <c r="DY455">
        <v>0</v>
      </c>
      <c r="DZ455">
        <v>0</v>
      </c>
      <c r="EA455">
        <v>0</v>
      </c>
      <c r="EB455">
        <v>0</v>
      </c>
      <c r="EC455">
        <v>0</v>
      </c>
      <c r="ED455">
        <v>0</v>
      </c>
      <c r="EE455">
        <v>0</v>
      </c>
      <c r="EF455">
        <v>0</v>
      </c>
      <c r="EG455">
        <v>0</v>
      </c>
      <c r="EH455">
        <v>0</v>
      </c>
      <c r="EI455">
        <v>0</v>
      </c>
      <c r="EJ455">
        <v>0</v>
      </c>
      <c r="EK455">
        <v>0</v>
      </c>
      <c r="EL455">
        <v>0</v>
      </c>
      <c r="EM455">
        <v>0</v>
      </c>
      <c r="EN455">
        <v>0</v>
      </c>
      <c r="EO455">
        <v>0</v>
      </c>
      <c r="EP455">
        <v>0</v>
      </c>
      <c r="EQ455">
        <v>0</v>
      </c>
      <c r="ER455">
        <v>0</v>
      </c>
      <c r="ES455">
        <v>0</v>
      </c>
      <c r="ET455">
        <v>0</v>
      </c>
      <c r="EU455">
        <v>0</v>
      </c>
      <c r="EV455">
        <v>0</v>
      </c>
      <c r="EW455">
        <v>0</v>
      </c>
      <c r="EX455">
        <v>0</v>
      </c>
      <c r="EY455">
        <v>0</v>
      </c>
      <c r="EZ455">
        <v>0</v>
      </c>
      <c r="FA455">
        <v>0</v>
      </c>
      <c r="FB455">
        <v>0</v>
      </c>
      <c r="FC455">
        <v>0</v>
      </c>
      <c r="FD455">
        <v>0</v>
      </c>
      <c r="FE455">
        <v>0</v>
      </c>
      <c r="FF455">
        <v>0</v>
      </c>
      <c r="FG455">
        <v>0</v>
      </c>
      <c r="FH455">
        <v>0</v>
      </c>
      <c r="FI455">
        <v>0</v>
      </c>
      <c r="FJ455">
        <v>0</v>
      </c>
      <c r="FK455">
        <v>0</v>
      </c>
      <c r="FL455">
        <v>0</v>
      </c>
      <c r="FM455">
        <v>0</v>
      </c>
      <c r="FN455">
        <v>0</v>
      </c>
      <c r="FO455">
        <v>0</v>
      </c>
      <c r="FP455">
        <v>0</v>
      </c>
      <c r="FQ455">
        <v>0</v>
      </c>
      <c r="FR455">
        <v>0</v>
      </c>
      <c r="FS455">
        <v>0</v>
      </c>
      <c r="FT455">
        <v>0</v>
      </c>
      <c r="FU455">
        <v>0</v>
      </c>
      <c r="FV455">
        <v>0</v>
      </c>
      <c r="FW455">
        <v>0</v>
      </c>
      <c r="FX455">
        <v>0</v>
      </c>
      <c r="FY455">
        <v>0</v>
      </c>
      <c r="FZ455">
        <v>0</v>
      </c>
      <c r="GA455">
        <v>0</v>
      </c>
      <c r="GB455">
        <v>0</v>
      </c>
      <c r="GC455">
        <v>0</v>
      </c>
      <c r="GD455">
        <v>0</v>
      </c>
      <c r="GE455">
        <v>0</v>
      </c>
      <c r="GF455">
        <v>0</v>
      </c>
      <c r="GG455">
        <v>0</v>
      </c>
      <c r="GH455">
        <v>0</v>
      </c>
      <c r="GI455">
        <v>0</v>
      </c>
      <c r="GJ455">
        <v>0</v>
      </c>
      <c r="GK455">
        <v>0</v>
      </c>
      <c r="GL455">
        <v>0</v>
      </c>
      <c r="GM455">
        <v>0</v>
      </c>
      <c r="GN455">
        <v>0</v>
      </c>
      <c r="GO455">
        <v>0</v>
      </c>
      <c r="GP455">
        <v>0</v>
      </c>
      <c r="GQ455">
        <v>0</v>
      </c>
      <c r="GR455">
        <v>0</v>
      </c>
      <c r="GS455">
        <v>0</v>
      </c>
      <c r="GT455">
        <v>0</v>
      </c>
      <c r="GU455">
        <v>0</v>
      </c>
      <c r="GV455">
        <v>0</v>
      </c>
      <c r="GW455">
        <v>0</v>
      </c>
      <c r="GX455">
        <v>0</v>
      </c>
      <c r="GY455">
        <v>0</v>
      </c>
      <c r="GZ455">
        <v>0</v>
      </c>
      <c r="HA455">
        <v>0</v>
      </c>
      <c r="HB455">
        <v>0</v>
      </c>
      <c r="HC455">
        <v>0</v>
      </c>
      <c r="HD455">
        <v>0</v>
      </c>
      <c r="HE455">
        <v>0</v>
      </c>
      <c r="HF455">
        <v>0</v>
      </c>
      <c r="HG455">
        <v>0</v>
      </c>
      <c r="HH455">
        <v>0</v>
      </c>
      <c r="HI455">
        <v>0</v>
      </c>
      <c r="HJ455">
        <v>0</v>
      </c>
      <c r="HK455">
        <v>0</v>
      </c>
      <c r="HL455">
        <v>0</v>
      </c>
      <c r="HM455">
        <v>0</v>
      </c>
      <c r="HN455">
        <v>0</v>
      </c>
      <c r="HO455">
        <v>0</v>
      </c>
      <c r="HP455">
        <v>0</v>
      </c>
      <c r="HQ455">
        <v>0</v>
      </c>
      <c r="HR455">
        <v>0</v>
      </c>
      <c r="HS455">
        <v>0</v>
      </c>
      <c r="HT455">
        <v>0</v>
      </c>
      <c r="HU455">
        <v>0</v>
      </c>
      <c r="HV455">
        <v>0</v>
      </c>
      <c r="HW455">
        <v>0</v>
      </c>
      <c r="HX455">
        <v>0</v>
      </c>
      <c r="HY455">
        <v>0</v>
      </c>
      <c r="HZ455">
        <v>0</v>
      </c>
      <c r="IA455">
        <v>0</v>
      </c>
      <c r="IB455">
        <v>0</v>
      </c>
      <c r="IC455">
        <v>0</v>
      </c>
      <c r="ID455">
        <v>0</v>
      </c>
      <c r="IE455">
        <v>0</v>
      </c>
      <c r="IF455">
        <v>0</v>
      </c>
      <c r="IG455">
        <v>0</v>
      </c>
      <c r="IH455">
        <v>0</v>
      </c>
      <c r="II455">
        <v>0</v>
      </c>
      <c r="IJ455">
        <v>0</v>
      </c>
      <c r="IK455">
        <v>0</v>
      </c>
      <c r="IL455">
        <v>0</v>
      </c>
      <c r="IM455">
        <v>0</v>
      </c>
      <c r="IN455">
        <v>0</v>
      </c>
      <c r="IO455">
        <v>0</v>
      </c>
      <c r="IP455">
        <v>0</v>
      </c>
      <c r="IQ455">
        <v>0</v>
      </c>
      <c r="IR455">
        <v>0</v>
      </c>
      <c r="IS455">
        <v>0</v>
      </c>
      <c r="IT455">
        <v>0</v>
      </c>
      <c r="IU455">
        <v>0</v>
      </c>
      <c r="IV455">
        <v>0</v>
      </c>
      <c r="IW455">
        <v>0</v>
      </c>
      <c r="IX455">
        <v>0</v>
      </c>
      <c r="IY455">
        <v>0</v>
      </c>
      <c r="IZ455">
        <v>0</v>
      </c>
      <c r="JA455">
        <v>0</v>
      </c>
      <c r="JB455">
        <v>0</v>
      </c>
      <c r="JC455">
        <v>0</v>
      </c>
      <c r="JD455">
        <v>0</v>
      </c>
      <c r="JE455">
        <v>0</v>
      </c>
      <c r="JF455">
        <v>0</v>
      </c>
      <c r="JG455">
        <v>0</v>
      </c>
      <c r="JH455">
        <v>0</v>
      </c>
      <c r="JI455">
        <v>0</v>
      </c>
      <c r="JJ455">
        <v>0</v>
      </c>
      <c r="JK455">
        <v>0</v>
      </c>
      <c r="JL455">
        <v>0</v>
      </c>
      <c r="JM455">
        <v>0</v>
      </c>
      <c r="JN455">
        <v>0</v>
      </c>
      <c r="JO455">
        <v>0</v>
      </c>
      <c r="JP455">
        <v>0</v>
      </c>
      <c r="JQ455">
        <v>0</v>
      </c>
      <c r="JR455">
        <v>0</v>
      </c>
      <c r="JS455">
        <v>0</v>
      </c>
      <c r="JT455">
        <v>0</v>
      </c>
      <c r="JU455">
        <v>0</v>
      </c>
      <c r="JV455">
        <v>0</v>
      </c>
      <c r="JW455">
        <v>0</v>
      </c>
      <c r="JX455">
        <v>0</v>
      </c>
      <c r="JY455">
        <v>0</v>
      </c>
      <c r="JZ455">
        <v>0</v>
      </c>
      <c r="KA455">
        <v>0</v>
      </c>
      <c r="KB455">
        <v>0</v>
      </c>
      <c r="KC455">
        <v>0</v>
      </c>
      <c r="KD455">
        <v>0</v>
      </c>
      <c r="KE455">
        <v>0</v>
      </c>
      <c r="KF455">
        <v>0</v>
      </c>
      <c r="KG455">
        <v>0</v>
      </c>
      <c r="KH455">
        <v>0</v>
      </c>
      <c r="KI455">
        <v>0</v>
      </c>
      <c r="KJ455">
        <v>0</v>
      </c>
      <c r="KK455">
        <v>0</v>
      </c>
      <c r="KL455">
        <v>0</v>
      </c>
      <c r="KM455">
        <v>0</v>
      </c>
      <c r="KN455">
        <v>0</v>
      </c>
      <c r="KO455">
        <v>0</v>
      </c>
      <c r="KP455">
        <v>0</v>
      </c>
      <c r="KQ455">
        <v>0</v>
      </c>
      <c r="KR455">
        <v>0</v>
      </c>
      <c r="KS455">
        <v>0</v>
      </c>
      <c r="KT455">
        <v>0</v>
      </c>
      <c r="KU455">
        <v>0</v>
      </c>
      <c r="KV455">
        <v>0</v>
      </c>
      <c r="KW455">
        <v>0</v>
      </c>
      <c r="KX455">
        <v>0</v>
      </c>
      <c r="KY455">
        <v>0</v>
      </c>
      <c r="KZ455">
        <v>0</v>
      </c>
      <c r="LA455">
        <v>0</v>
      </c>
      <c r="LB455">
        <v>0</v>
      </c>
      <c r="LC455">
        <v>0</v>
      </c>
      <c r="LD455">
        <v>0</v>
      </c>
      <c r="LE455">
        <v>0</v>
      </c>
      <c r="LF455">
        <v>0</v>
      </c>
      <c r="LG455">
        <v>0</v>
      </c>
      <c r="LH455">
        <v>0</v>
      </c>
      <c r="LI455">
        <v>0</v>
      </c>
      <c r="LJ455">
        <v>0</v>
      </c>
      <c r="LK455">
        <v>0</v>
      </c>
      <c r="LL455">
        <v>0</v>
      </c>
      <c r="LM455">
        <v>0</v>
      </c>
      <c r="LN455">
        <v>0</v>
      </c>
      <c r="LO455">
        <v>0</v>
      </c>
      <c r="LP455">
        <v>0</v>
      </c>
      <c r="LQ455">
        <v>0</v>
      </c>
      <c r="LR455">
        <v>0</v>
      </c>
      <c r="LS455">
        <v>0</v>
      </c>
      <c r="LT455">
        <v>0</v>
      </c>
      <c r="LU455">
        <v>0</v>
      </c>
      <c r="LV455">
        <v>0</v>
      </c>
      <c r="LW455">
        <v>0</v>
      </c>
      <c r="LX455">
        <v>0</v>
      </c>
      <c r="LY455">
        <v>0</v>
      </c>
      <c r="LZ455">
        <v>0</v>
      </c>
      <c r="MA455">
        <v>0</v>
      </c>
      <c r="MB455">
        <v>0</v>
      </c>
      <c r="MC455">
        <v>0</v>
      </c>
      <c r="MD455">
        <v>0</v>
      </c>
      <c r="ME455">
        <v>0</v>
      </c>
      <c r="MF455">
        <v>0</v>
      </c>
      <c r="MG455">
        <v>0</v>
      </c>
      <c r="MH455">
        <v>0</v>
      </c>
      <c r="MI455">
        <v>0</v>
      </c>
      <c r="MJ455">
        <v>0</v>
      </c>
      <c r="MK455">
        <v>0</v>
      </c>
      <c r="ML455">
        <v>0</v>
      </c>
      <c r="MM455">
        <v>0</v>
      </c>
      <c r="MN455">
        <v>0</v>
      </c>
      <c r="MO455">
        <v>0</v>
      </c>
      <c r="MP455">
        <v>0</v>
      </c>
      <c r="MQ455">
        <v>0</v>
      </c>
      <c r="MR455">
        <v>0</v>
      </c>
      <c r="MS455">
        <v>0</v>
      </c>
      <c r="MT455">
        <v>0</v>
      </c>
      <c r="MU455">
        <v>0</v>
      </c>
      <c r="MV455">
        <v>0</v>
      </c>
      <c r="MW455">
        <v>0</v>
      </c>
      <c r="MX455">
        <v>0</v>
      </c>
      <c r="MY455">
        <v>0</v>
      </c>
      <c r="MZ455">
        <v>0</v>
      </c>
      <c r="NA455">
        <v>0</v>
      </c>
      <c r="NB455">
        <v>0</v>
      </c>
      <c r="NC455">
        <v>0</v>
      </c>
      <c r="ND455">
        <v>0</v>
      </c>
      <c r="NE455">
        <v>0</v>
      </c>
    </row>
    <row r="456" spans="41:369" x14ac:dyDescent="0.45">
      <c r="AO456">
        <v>0</v>
      </c>
      <c r="AP456">
        <v>0</v>
      </c>
      <c r="AQ456">
        <v>0</v>
      </c>
      <c r="AR456">
        <v>0</v>
      </c>
      <c r="AS456">
        <v>0</v>
      </c>
      <c r="AT456">
        <v>0</v>
      </c>
      <c r="AU456">
        <v>0</v>
      </c>
      <c r="AV456">
        <v>0</v>
      </c>
      <c r="AW456" t="str">
        <v/>
      </c>
      <c r="AX456">
        <v>255</v>
      </c>
      <c r="AY456" s="5" t="str">
        <v/>
      </c>
      <c r="AZ456">
        <v>0</v>
      </c>
      <c r="BA456">
        <v>0</v>
      </c>
      <c r="BB456">
        <v>0</v>
      </c>
      <c r="BC456">
        <v>0</v>
      </c>
      <c r="BD456">
        <v>0</v>
      </c>
      <c r="BE456">
        <v>0</v>
      </c>
      <c r="BF456">
        <v>0</v>
      </c>
      <c r="BG456">
        <v>0</v>
      </c>
      <c r="BH456">
        <v>0</v>
      </c>
      <c r="BI456" t="str">
        <v/>
      </c>
      <c r="BK456">
        <v>450</v>
      </c>
      <c r="BL456">
        <v>0</v>
      </c>
      <c r="BM456">
        <v>0</v>
      </c>
      <c r="BN456">
        <v>0</v>
      </c>
      <c r="BO456">
        <v>0</v>
      </c>
      <c r="BP456">
        <v>0</v>
      </c>
      <c r="BQ456">
        <v>0</v>
      </c>
      <c r="BR456">
        <v>0</v>
      </c>
      <c r="BS456">
        <v>0</v>
      </c>
      <c r="BT456">
        <v>0</v>
      </c>
      <c r="BU456">
        <v>0</v>
      </c>
      <c r="BV456">
        <v>0</v>
      </c>
      <c r="BW456">
        <v>0</v>
      </c>
      <c r="BX456">
        <v>0</v>
      </c>
      <c r="BY456">
        <v>0</v>
      </c>
      <c r="BZ456">
        <v>0</v>
      </c>
      <c r="CA456">
        <v>0</v>
      </c>
      <c r="CB456">
        <v>0</v>
      </c>
      <c r="CC456">
        <v>0</v>
      </c>
      <c r="CD456">
        <v>0</v>
      </c>
      <c r="CE456">
        <v>0</v>
      </c>
      <c r="CF456">
        <v>0</v>
      </c>
      <c r="CG456">
        <v>0</v>
      </c>
      <c r="CH456">
        <v>0</v>
      </c>
      <c r="CI456">
        <v>0</v>
      </c>
      <c r="CJ456">
        <v>0</v>
      </c>
      <c r="CK456">
        <v>0</v>
      </c>
      <c r="CL456">
        <v>0</v>
      </c>
      <c r="CM456">
        <v>0</v>
      </c>
      <c r="CN456">
        <v>0</v>
      </c>
      <c r="CO456">
        <v>0</v>
      </c>
      <c r="CP456">
        <v>0</v>
      </c>
      <c r="CQ456">
        <v>0</v>
      </c>
      <c r="CR456">
        <v>0</v>
      </c>
      <c r="CS456">
        <v>0</v>
      </c>
      <c r="CT456">
        <v>0</v>
      </c>
      <c r="CU456">
        <v>0</v>
      </c>
      <c r="CV456">
        <v>0</v>
      </c>
      <c r="CW456">
        <v>0</v>
      </c>
      <c r="CX456">
        <v>0</v>
      </c>
      <c r="CY456">
        <v>0</v>
      </c>
      <c r="CZ456">
        <v>0</v>
      </c>
      <c r="DA456">
        <v>0</v>
      </c>
      <c r="DB456">
        <v>0</v>
      </c>
      <c r="DC456">
        <v>0</v>
      </c>
      <c r="DD456">
        <v>0</v>
      </c>
      <c r="DE456">
        <v>0</v>
      </c>
      <c r="DF456">
        <v>0</v>
      </c>
      <c r="DG456">
        <v>0</v>
      </c>
      <c r="DH456">
        <v>0</v>
      </c>
      <c r="DI456">
        <v>0</v>
      </c>
      <c r="DJ456">
        <v>0</v>
      </c>
      <c r="DK456">
        <v>0</v>
      </c>
      <c r="DL456">
        <v>0</v>
      </c>
      <c r="DM456">
        <v>0</v>
      </c>
      <c r="DN456">
        <v>0</v>
      </c>
      <c r="DO456">
        <v>0</v>
      </c>
      <c r="DP456">
        <v>0</v>
      </c>
      <c r="DQ456">
        <v>0</v>
      </c>
      <c r="DR456">
        <v>0</v>
      </c>
      <c r="DS456">
        <v>0</v>
      </c>
      <c r="DT456">
        <v>0</v>
      </c>
      <c r="DU456">
        <v>0</v>
      </c>
      <c r="DV456">
        <v>0</v>
      </c>
      <c r="DW456">
        <v>0</v>
      </c>
      <c r="DX456">
        <v>0</v>
      </c>
      <c r="DY456">
        <v>0</v>
      </c>
      <c r="DZ456">
        <v>0</v>
      </c>
      <c r="EA456">
        <v>0</v>
      </c>
      <c r="EB456">
        <v>0</v>
      </c>
      <c r="EC456">
        <v>0</v>
      </c>
      <c r="ED456">
        <v>0</v>
      </c>
      <c r="EE456">
        <v>0</v>
      </c>
      <c r="EF456">
        <v>0</v>
      </c>
      <c r="EG456">
        <v>0</v>
      </c>
      <c r="EH456">
        <v>0</v>
      </c>
      <c r="EI456">
        <v>0</v>
      </c>
      <c r="EJ456">
        <v>0</v>
      </c>
      <c r="EK456">
        <v>0</v>
      </c>
      <c r="EL456">
        <v>0</v>
      </c>
      <c r="EM456">
        <v>0</v>
      </c>
      <c r="EN456">
        <v>0</v>
      </c>
      <c r="EO456">
        <v>0</v>
      </c>
      <c r="EP456">
        <v>0</v>
      </c>
      <c r="EQ456">
        <v>0</v>
      </c>
      <c r="ER456">
        <v>0</v>
      </c>
      <c r="ES456">
        <v>0</v>
      </c>
      <c r="ET456">
        <v>0</v>
      </c>
      <c r="EU456">
        <v>0</v>
      </c>
      <c r="EV456">
        <v>0</v>
      </c>
      <c r="EW456">
        <v>0</v>
      </c>
      <c r="EX456">
        <v>0</v>
      </c>
      <c r="EY456">
        <v>0</v>
      </c>
      <c r="EZ456">
        <v>0</v>
      </c>
      <c r="FA456">
        <v>0</v>
      </c>
      <c r="FB456">
        <v>0</v>
      </c>
      <c r="FC456">
        <v>0</v>
      </c>
      <c r="FD456">
        <v>0</v>
      </c>
      <c r="FE456">
        <v>0</v>
      </c>
      <c r="FF456">
        <v>0</v>
      </c>
      <c r="FG456">
        <v>0</v>
      </c>
      <c r="FH456">
        <v>0</v>
      </c>
      <c r="FI456">
        <v>0</v>
      </c>
      <c r="FJ456">
        <v>0</v>
      </c>
      <c r="FK456">
        <v>0</v>
      </c>
      <c r="FL456">
        <v>0</v>
      </c>
      <c r="FM456">
        <v>0</v>
      </c>
      <c r="FN456">
        <v>0</v>
      </c>
      <c r="FO456">
        <v>0</v>
      </c>
      <c r="FP456">
        <v>0</v>
      </c>
      <c r="FQ456">
        <v>0</v>
      </c>
      <c r="FR456">
        <v>0</v>
      </c>
      <c r="FS456">
        <v>0</v>
      </c>
      <c r="FT456">
        <v>0</v>
      </c>
      <c r="FU456">
        <v>0</v>
      </c>
      <c r="FV456">
        <v>0</v>
      </c>
      <c r="FW456">
        <v>0</v>
      </c>
      <c r="FX456">
        <v>0</v>
      </c>
      <c r="FY456">
        <v>0</v>
      </c>
      <c r="FZ456">
        <v>0</v>
      </c>
      <c r="GA456">
        <v>0</v>
      </c>
      <c r="GB456">
        <v>0</v>
      </c>
      <c r="GC456">
        <v>0</v>
      </c>
      <c r="GD456">
        <v>0</v>
      </c>
      <c r="GE456">
        <v>0</v>
      </c>
      <c r="GF456">
        <v>0</v>
      </c>
      <c r="GG456">
        <v>0</v>
      </c>
      <c r="GH456">
        <v>0</v>
      </c>
      <c r="GI456">
        <v>0</v>
      </c>
      <c r="GJ456">
        <v>0</v>
      </c>
      <c r="GK456">
        <v>0</v>
      </c>
      <c r="GL456">
        <v>0</v>
      </c>
      <c r="GM456">
        <v>0</v>
      </c>
      <c r="GN456">
        <v>0</v>
      </c>
      <c r="GO456">
        <v>0</v>
      </c>
      <c r="GP456">
        <v>0</v>
      </c>
      <c r="GQ456">
        <v>0</v>
      </c>
      <c r="GR456">
        <v>0</v>
      </c>
      <c r="GS456">
        <v>0</v>
      </c>
      <c r="GT456">
        <v>0</v>
      </c>
      <c r="GU456">
        <v>0</v>
      </c>
      <c r="GV456">
        <v>0</v>
      </c>
      <c r="GW456">
        <v>0</v>
      </c>
      <c r="GX456">
        <v>0</v>
      </c>
      <c r="GY456">
        <v>0</v>
      </c>
      <c r="GZ456">
        <v>0</v>
      </c>
      <c r="HA456">
        <v>0</v>
      </c>
      <c r="HB456">
        <v>0</v>
      </c>
      <c r="HC456">
        <v>0</v>
      </c>
      <c r="HD456">
        <v>0</v>
      </c>
      <c r="HE456">
        <v>0</v>
      </c>
      <c r="HF456">
        <v>0</v>
      </c>
      <c r="HG456">
        <v>0</v>
      </c>
      <c r="HH456">
        <v>0</v>
      </c>
      <c r="HI456">
        <v>0</v>
      </c>
      <c r="HJ456">
        <v>0</v>
      </c>
      <c r="HK456">
        <v>0</v>
      </c>
      <c r="HL456">
        <v>0</v>
      </c>
      <c r="HM456">
        <v>0</v>
      </c>
      <c r="HN456">
        <v>0</v>
      </c>
      <c r="HO456">
        <v>0</v>
      </c>
      <c r="HP456">
        <v>0</v>
      </c>
      <c r="HQ456">
        <v>0</v>
      </c>
      <c r="HR456">
        <v>0</v>
      </c>
      <c r="HS456">
        <v>0</v>
      </c>
      <c r="HT456">
        <v>0</v>
      </c>
      <c r="HU456">
        <v>0</v>
      </c>
      <c r="HV456">
        <v>0</v>
      </c>
      <c r="HW456">
        <v>0</v>
      </c>
      <c r="HX456">
        <v>0</v>
      </c>
      <c r="HY456">
        <v>0</v>
      </c>
      <c r="HZ456">
        <v>0</v>
      </c>
      <c r="IA456">
        <v>0</v>
      </c>
      <c r="IB456">
        <v>0</v>
      </c>
      <c r="IC456">
        <v>0</v>
      </c>
      <c r="ID456">
        <v>0</v>
      </c>
      <c r="IE456">
        <v>0</v>
      </c>
      <c r="IF456">
        <v>0</v>
      </c>
      <c r="IG456">
        <v>0</v>
      </c>
      <c r="IH456">
        <v>0</v>
      </c>
      <c r="II456">
        <v>0</v>
      </c>
      <c r="IJ456">
        <v>0</v>
      </c>
      <c r="IK456">
        <v>0</v>
      </c>
      <c r="IL456">
        <v>0</v>
      </c>
      <c r="IM456">
        <v>0</v>
      </c>
      <c r="IN456">
        <v>0</v>
      </c>
      <c r="IO456">
        <v>0</v>
      </c>
      <c r="IP456">
        <v>0</v>
      </c>
      <c r="IQ456">
        <v>0</v>
      </c>
      <c r="IR456">
        <v>0</v>
      </c>
      <c r="IS456">
        <v>0</v>
      </c>
      <c r="IT456">
        <v>0</v>
      </c>
      <c r="IU456">
        <v>0</v>
      </c>
      <c r="IV456">
        <v>0</v>
      </c>
      <c r="IW456">
        <v>0</v>
      </c>
      <c r="IX456">
        <v>0</v>
      </c>
      <c r="IY456">
        <v>0</v>
      </c>
      <c r="IZ456">
        <v>0</v>
      </c>
      <c r="JA456">
        <v>0</v>
      </c>
      <c r="JB456">
        <v>0</v>
      </c>
      <c r="JC456">
        <v>0</v>
      </c>
      <c r="JD456">
        <v>0</v>
      </c>
      <c r="JE456">
        <v>0</v>
      </c>
      <c r="JF456">
        <v>0</v>
      </c>
      <c r="JG456">
        <v>0</v>
      </c>
      <c r="JH456">
        <v>0</v>
      </c>
      <c r="JI456">
        <v>0</v>
      </c>
      <c r="JJ456">
        <v>0</v>
      </c>
      <c r="JK456">
        <v>0</v>
      </c>
      <c r="JL456">
        <v>0</v>
      </c>
      <c r="JM456">
        <v>0</v>
      </c>
      <c r="JN456">
        <v>0</v>
      </c>
      <c r="JO456">
        <v>0</v>
      </c>
      <c r="JP456">
        <v>0</v>
      </c>
      <c r="JQ456">
        <v>0</v>
      </c>
      <c r="JR456">
        <v>0</v>
      </c>
      <c r="JS456">
        <v>0</v>
      </c>
      <c r="JT456">
        <v>0</v>
      </c>
      <c r="JU456">
        <v>0</v>
      </c>
      <c r="JV456">
        <v>0</v>
      </c>
      <c r="JW456">
        <v>0</v>
      </c>
      <c r="JX456">
        <v>0</v>
      </c>
      <c r="JY456">
        <v>0</v>
      </c>
      <c r="JZ456">
        <v>0</v>
      </c>
      <c r="KA456">
        <v>0</v>
      </c>
      <c r="KB456">
        <v>0</v>
      </c>
      <c r="KC456">
        <v>0</v>
      </c>
      <c r="KD456">
        <v>0</v>
      </c>
      <c r="KE456">
        <v>0</v>
      </c>
      <c r="KF456">
        <v>0</v>
      </c>
      <c r="KG456">
        <v>0</v>
      </c>
      <c r="KH456">
        <v>0</v>
      </c>
      <c r="KI456">
        <v>0</v>
      </c>
      <c r="KJ456">
        <v>0</v>
      </c>
      <c r="KK456">
        <v>0</v>
      </c>
      <c r="KL456">
        <v>0</v>
      </c>
      <c r="KM456">
        <v>0</v>
      </c>
      <c r="KN456">
        <v>0</v>
      </c>
      <c r="KO456">
        <v>0</v>
      </c>
      <c r="KP456">
        <v>0</v>
      </c>
      <c r="KQ456">
        <v>0</v>
      </c>
      <c r="KR456">
        <v>0</v>
      </c>
      <c r="KS456">
        <v>0</v>
      </c>
      <c r="KT456">
        <v>0</v>
      </c>
      <c r="KU456">
        <v>0</v>
      </c>
      <c r="KV456">
        <v>0</v>
      </c>
      <c r="KW456">
        <v>0</v>
      </c>
      <c r="KX456">
        <v>0</v>
      </c>
      <c r="KY456">
        <v>0</v>
      </c>
      <c r="KZ456">
        <v>0</v>
      </c>
      <c r="LA456">
        <v>0</v>
      </c>
      <c r="LB456">
        <v>0</v>
      </c>
      <c r="LC456">
        <v>0</v>
      </c>
      <c r="LD456">
        <v>0</v>
      </c>
      <c r="LE456">
        <v>0</v>
      </c>
      <c r="LF456">
        <v>0</v>
      </c>
      <c r="LG456">
        <v>0</v>
      </c>
      <c r="LH456">
        <v>0</v>
      </c>
      <c r="LI456">
        <v>0</v>
      </c>
      <c r="LJ456">
        <v>0</v>
      </c>
      <c r="LK456">
        <v>0</v>
      </c>
      <c r="LL456">
        <v>0</v>
      </c>
      <c r="LM456">
        <v>0</v>
      </c>
      <c r="LN456">
        <v>0</v>
      </c>
      <c r="LO456">
        <v>0</v>
      </c>
      <c r="LP456">
        <v>0</v>
      </c>
      <c r="LQ456">
        <v>0</v>
      </c>
      <c r="LR456">
        <v>0</v>
      </c>
      <c r="LS456">
        <v>0</v>
      </c>
      <c r="LT456">
        <v>0</v>
      </c>
      <c r="LU456">
        <v>0</v>
      </c>
      <c r="LV456">
        <v>0</v>
      </c>
      <c r="LW456">
        <v>0</v>
      </c>
      <c r="LX456">
        <v>0</v>
      </c>
      <c r="LY456">
        <v>0</v>
      </c>
      <c r="LZ456">
        <v>0</v>
      </c>
      <c r="MA456">
        <v>0</v>
      </c>
      <c r="MB456">
        <v>0</v>
      </c>
      <c r="MC456">
        <v>0</v>
      </c>
      <c r="MD456">
        <v>0</v>
      </c>
      <c r="ME456">
        <v>0</v>
      </c>
      <c r="MF456">
        <v>0</v>
      </c>
      <c r="MG456">
        <v>0</v>
      </c>
      <c r="MH456">
        <v>0</v>
      </c>
      <c r="MI456">
        <v>0</v>
      </c>
      <c r="MJ456">
        <v>0</v>
      </c>
      <c r="MK456">
        <v>0</v>
      </c>
      <c r="ML456">
        <v>0</v>
      </c>
      <c r="MM456">
        <v>0</v>
      </c>
      <c r="MN456">
        <v>0</v>
      </c>
      <c r="MO456">
        <v>0</v>
      </c>
      <c r="MP456">
        <v>0</v>
      </c>
      <c r="MQ456">
        <v>0</v>
      </c>
      <c r="MR456">
        <v>0</v>
      </c>
      <c r="MS456">
        <v>0</v>
      </c>
      <c r="MT456">
        <v>0</v>
      </c>
      <c r="MU456">
        <v>0</v>
      </c>
      <c r="MV456">
        <v>0</v>
      </c>
      <c r="MW456">
        <v>0</v>
      </c>
      <c r="MX456">
        <v>0</v>
      </c>
      <c r="MY456">
        <v>0</v>
      </c>
      <c r="MZ456">
        <v>0</v>
      </c>
      <c r="NA456">
        <v>0</v>
      </c>
      <c r="NB456">
        <v>0</v>
      </c>
      <c r="NC456">
        <v>0</v>
      </c>
      <c r="ND456">
        <v>0</v>
      </c>
      <c r="NE456">
        <v>0</v>
      </c>
    </row>
    <row r="457" spans="41:369" x14ac:dyDescent="0.45">
      <c r="AO457">
        <v>0</v>
      </c>
      <c r="AP457">
        <v>0</v>
      </c>
      <c r="AQ457">
        <v>0</v>
      </c>
      <c r="AR457">
        <v>0</v>
      </c>
      <c r="AS457">
        <v>0</v>
      </c>
      <c r="AT457">
        <v>0</v>
      </c>
      <c r="AU457">
        <v>0</v>
      </c>
      <c r="AV457">
        <v>0</v>
      </c>
      <c r="AW457" t="str">
        <v/>
      </c>
      <c r="AX457">
        <v>255</v>
      </c>
      <c r="AY457" s="5" t="str">
        <v/>
      </c>
      <c r="AZ457">
        <v>0</v>
      </c>
      <c r="BA457">
        <v>0</v>
      </c>
      <c r="BB457">
        <v>0</v>
      </c>
      <c r="BC457">
        <v>0</v>
      </c>
      <c r="BD457">
        <v>0</v>
      </c>
      <c r="BE457">
        <v>0</v>
      </c>
      <c r="BF457">
        <v>0</v>
      </c>
      <c r="BG457">
        <v>0</v>
      </c>
      <c r="BH457">
        <v>0</v>
      </c>
      <c r="BI457" t="str">
        <v/>
      </c>
      <c r="BK457">
        <v>451</v>
      </c>
      <c r="BL457">
        <v>0</v>
      </c>
      <c r="BM457">
        <v>0</v>
      </c>
      <c r="BN457">
        <v>0</v>
      </c>
      <c r="BO457">
        <v>0</v>
      </c>
      <c r="BP457">
        <v>0</v>
      </c>
      <c r="BQ457">
        <v>0</v>
      </c>
      <c r="BR457">
        <v>0</v>
      </c>
      <c r="BS457">
        <v>0</v>
      </c>
      <c r="BT457">
        <v>0</v>
      </c>
      <c r="BU457">
        <v>0</v>
      </c>
      <c r="BV457">
        <v>0</v>
      </c>
      <c r="BW457">
        <v>0</v>
      </c>
      <c r="BX457">
        <v>0</v>
      </c>
      <c r="BY457">
        <v>0</v>
      </c>
      <c r="BZ457">
        <v>0</v>
      </c>
      <c r="CA457">
        <v>0</v>
      </c>
      <c r="CB457">
        <v>0</v>
      </c>
      <c r="CC457">
        <v>0</v>
      </c>
      <c r="CD457">
        <v>0</v>
      </c>
      <c r="CE457">
        <v>0</v>
      </c>
      <c r="CF457">
        <v>0</v>
      </c>
      <c r="CG457">
        <v>0</v>
      </c>
      <c r="CH457">
        <v>0</v>
      </c>
      <c r="CI457">
        <v>0</v>
      </c>
      <c r="CJ457">
        <v>0</v>
      </c>
      <c r="CK457">
        <v>0</v>
      </c>
      <c r="CL457">
        <v>0</v>
      </c>
      <c r="CM457">
        <v>0</v>
      </c>
      <c r="CN457">
        <v>0</v>
      </c>
      <c r="CO457">
        <v>0</v>
      </c>
      <c r="CP457">
        <v>0</v>
      </c>
      <c r="CQ457">
        <v>0</v>
      </c>
      <c r="CR457">
        <v>0</v>
      </c>
      <c r="CS457">
        <v>0</v>
      </c>
      <c r="CT457">
        <v>0</v>
      </c>
      <c r="CU457">
        <v>0</v>
      </c>
      <c r="CV457">
        <v>0</v>
      </c>
      <c r="CW457">
        <v>0</v>
      </c>
      <c r="CX457">
        <v>0</v>
      </c>
      <c r="CY457">
        <v>0</v>
      </c>
      <c r="CZ457">
        <v>0</v>
      </c>
      <c r="DA457">
        <v>0</v>
      </c>
      <c r="DB457">
        <v>0</v>
      </c>
      <c r="DC457">
        <v>0</v>
      </c>
      <c r="DD457">
        <v>0</v>
      </c>
      <c r="DE457">
        <v>0</v>
      </c>
      <c r="DF457">
        <v>0</v>
      </c>
      <c r="DG457">
        <v>0</v>
      </c>
      <c r="DH457">
        <v>0</v>
      </c>
      <c r="DI457">
        <v>0</v>
      </c>
      <c r="DJ457">
        <v>0</v>
      </c>
      <c r="DK457">
        <v>0</v>
      </c>
      <c r="DL457">
        <v>0</v>
      </c>
      <c r="DM457">
        <v>0</v>
      </c>
      <c r="DN457">
        <v>0</v>
      </c>
      <c r="DO457">
        <v>0</v>
      </c>
      <c r="DP457">
        <v>0</v>
      </c>
      <c r="DQ457">
        <v>0</v>
      </c>
      <c r="DR457">
        <v>0</v>
      </c>
      <c r="DS457">
        <v>0</v>
      </c>
      <c r="DT457">
        <v>0</v>
      </c>
      <c r="DU457">
        <v>0</v>
      </c>
      <c r="DV457">
        <v>0</v>
      </c>
      <c r="DW457">
        <v>0</v>
      </c>
      <c r="DX457">
        <v>0</v>
      </c>
      <c r="DY457">
        <v>0</v>
      </c>
      <c r="DZ457">
        <v>0</v>
      </c>
      <c r="EA457">
        <v>0</v>
      </c>
      <c r="EB457">
        <v>0</v>
      </c>
      <c r="EC457">
        <v>0</v>
      </c>
      <c r="ED457">
        <v>0</v>
      </c>
      <c r="EE457">
        <v>0</v>
      </c>
      <c r="EF457">
        <v>0</v>
      </c>
      <c r="EG457">
        <v>0</v>
      </c>
      <c r="EH457">
        <v>0</v>
      </c>
      <c r="EI457">
        <v>0</v>
      </c>
      <c r="EJ457">
        <v>0</v>
      </c>
      <c r="EK457">
        <v>0</v>
      </c>
      <c r="EL457">
        <v>0</v>
      </c>
      <c r="EM457">
        <v>0</v>
      </c>
      <c r="EN457">
        <v>0</v>
      </c>
      <c r="EO457">
        <v>0</v>
      </c>
      <c r="EP457">
        <v>0</v>
      </c>
      <c r="EQ457">
        <v>0</v>
      </c>
      <c r="ER457">
        <v>0</v>
      </c>
      <c r="ES457">
        <v>0</v>
      </c>
      <c r="ET457">
        <v>0</v>
      </c>
      <c r="EU457">
        <v>0</v>
      </c>
      <c r="EV457">
        <v>0</v>
      </c>
      <c r="EW457">
        <v>0</v>
      </c>
      <c r="EX457">
        <v>0</v>
      </c>
      <c r="EY457">
        <v>0</v>
      </c>
      <c r="EZ457">
        <v>0</v>
      </c>
      <c r="FA457">
        <v>0</v>
      </c>
      <c r="FB457">
        <v>0</v>
      </c>
      <c r="FC457">
        <v>0</v>
      </c>
      <c r="FD457">
        <v>0</v>
      </c>
      <c r="FE457">
        <v>0</v>
      </c>
      <c r="FF457">
        <v>0</v>
      </c>
      <c r="FG457">
        <v>0</v>
      </c>
      <c r="FH457">
        <v>0</v>
      </c>
      <c r="FI457">
        <v>0</v>
      </c>
      <c r="FJ457">
        <v>0</v>
      </c>
      <c r="FK457">
        <v>0</v>
      </c>
      <c r="FL457">
        <v>0</v>
      </c>
      <c r="FM457">
        <v>0</v>
      </c>
      <c r="FN457">
        <v>0</v>
      </c>
      <c r="FO457">
        <v>0</v>
      </c>
      <c r="FP457">
        <v>0</v>
      </c>
      <c r="FQ457">
        <v>0</v>
      </c>
      <c r="FR457">
        <v>0</v>
      </c>
      <c r="FS457">
        <v>0</v>
      </c>
      <c r="FT457">
        <v>0</v>
      </c>
      <c r="FU457">
        <v>0</v>
      </c>
      <c r="FV457">
        <v>0</v>
      </c>
      <c r="FW457">
        <v>0</v>
      </c>
      <c r="FX457">
        <v>0</v>
      </c>
      <c r="FY457">
        <v>0</v>
      </c>
      <c r="FZ457">
        <v>0</v>
      </c>
      <c r="GA457">
        <v>0</v>
      </c>
      <c r="GB457">
        <v>0</v>
      </c>
      <c r="GC457">
        <v>0</v>
      </c>
      <c r="GD457">
        <v>0</v>
      </c>
      <c r="GE457">
        <v>0</v>
      </c>
      <c r="GF457">
        <v>0</v>
      </c>
      <c r="GG457">
        <v>0</v>
      </c>
      <c r="GH457">
        <v>0</v>
      </c>
      <c r="GI457">
        <v>0</v>
      </c>
      <c r="GJ457">
        <v>0</v>
      </c>
      <c r="GK457">
        <v>0</v>
      </c>
      <c r="GL457">
        <v>0</v>
      </c>
      <c r="GM457">
        <v>0</v>
      </c>
      <c r="GN457">
        <v>0</v>
      </c>
      <c r="GO457">
        <v>0</v>
      </c>
      <c r="GP457">
        <v>0</v>
      </c>
      <c r="GQ457">
        <v>0</v>
      </c>
      <c r="GR457">
        <v>0</v>
      </c>
      <c r="GS457">
        <v>0</v>
      </c>
      <c r="GT457">
        <v>0</v>
      </c>
      <c r="GU457">
        <v>0</v>
      </c>
      <c r="GV457">
        <v>0</v>
      </c>
      <c r="GW457">
        <v>0</v>
      </c>
      <c r="GX457">
        <v>0</v>
      </c>
      <c r="GY457">
        <v>0</v>
      </c>
      <c r="GZ457">
        <v>0</v>
      </c>
      <c r="HA457">
        <v>0</v>
      </c>
      <c r="HB457">
        <v>0</v>
      </c>
      <c r="HC457">
        <v>0</v>
      </c>
      <c r="HD457">
        <v>0</v>
      </c>
      <c r="HE457">
        <v>0</v>
      </c>
      <c r="HF457">
        <v>0</v>
      </c>
      <c r="HG457">
        <v>0</v>
      </c>
      <c r="HH457">
        <v>0</v>
      </c>
      <c r="HI457">
        <v>0</v>
      </c>
      <c r="HJ457">
        <v>0</v>
      </c>
      <c r="HK457">
        <v>0</v>
      </c>
      <c r="HL457">
        <v>0</v>
      </c>
      <c r="HM457">
        <v>0</v>
      </c>
      <c r="HN457">
        <v>0</v>
      </c>
      <c r="HO457">
        <v>0</v>
      </c>
      <c r="HP457">
        <v>0</v>
      </c>
      <c r="HQ457">
        <v>0</v>
      </c>
      <c r="HR457">
        <v>0</v>
      </c>
      <c r="HS457">
        <v>0</v>
      </c>
      <c r="HT457">
        <v>0</v>
      </c>
      <c r="HU457">
        <v>0</v>
      </c>
      <c r="HV457">
        <v>0</v>
      </c>
      <c r="HW457">
        <v>0</v>
      </c>
      <c r="HX457">
        <v>0</v>
      </c>
      <c r="HY457">
        <v>0</v>
      </c>
      <c r="HZ457">
        <v>0</v>
      </c>
      <c r="IA457">
        <v>0</v>
      </c>
      <c r="IB457">
        <v>0</v>
      </c>
      <c r="IC457">
        <v>0</v>
      </c>
      <c r="ID457">
        <v>0</v>
      </c>
      <c r="IE457">
        <v>0</v>
      </c>
      <c r="IF457">
        <v>0</v>
      </c>
      <c r="IG457">
        <v>0</v>
      </c>
      <c r="IH457">
        <v>0</v>
      </c>
      <c r="II457">
        <v>0</v>
      </c>
      <c r="IJ457">
        <v>0</v>
      </c>
      <c r="IK457">
        <v>0</v>
      </c>
      <c r="IL457">
        <v>0</v>
      </c>
      <c r="IM457">
        <v>0</v>
      </c>
      <c r="IN457">
        <v>0</v>
      </c>
      <c r="IO457">
        <v>0</v>
      </c>
      <c r="IP457">
        <v>0</v>
      </c>
      <c r="IQ457">
        <v>0</v>
      </c>
      <c r="IR457">
        <v>0</v>
      </c>
      <c r="IS457">
        <v>0</v>
      </c>
      <c r="IT457">
        <v>0</v>
      </c>
      <c r="IU457">
        <v>0</v>
      </c>
      <c r="IV457">
        <v>0</v>
      </c>
      <c r="IW457">
        <v>0</v>
      </c>
      <c r="IX457">
        <v>0</v>
      </c>
      <c r="IY457">
        <v>0</v>
      </c>
      <c r="IZ457">
        <v>0</v>
      </c>
      <c r="JA457">
        <v>0</v>
      </c>
      <c r="JB457">
        <v>0</v>
      </c>
      <c r="JC457">
        <v>0</v>
      </c>
      <c r="JD457">
        <v>0</v>
      </c>
      <c r="JE457">
        <v>0</v>
      </c>
      <c r="JF457">
        <v>0</v>
      </c>
      <c r="JG457">
        <v>0</v>
      </c>
      <c r="JH457">
        <v>0</v>
      </c>
      <c r="JI457">
        <v>0</v>
      </c>
      <c r="JJ457">
        <v>0</v>
      </c>
      <c r="JK457">
        <v>0</v>
      </c>
      <c r="JL457">
        <v>0</v>
      </c>
      <c r="JM457">
        <v>0</v>
      </c>
      <c r="JN457">
        <v>0</v>
      </c>
      <c r="JO457">
        <v>0</v>
      </c>
      <c r="JP457">
        <v>0</v>
      </c>
      <c r="JQ457">
        <v>0</v>
      </c>
      <c r="JR457">
        <v>0</v>
      </c>
      <c r="JS457">
        <v>0</v>
      </c>
      <c r="JT457">
        <v>0</v>
      </c>
      <c r="JU457">
        <v>0</v>
      </c>
      <c r="JV457">
        <v>0</v>
      </c>
      <c r="JW457">
        <v>0</v>
      </c>
      <c r="JX457">
        <v>0</v>
      </c>
      <c r="JY457">
        <v>0</v>
      </c>
      <c r="JZ457">
        <v>0</v>
      </c>
      <c r="KA457">
        <v>0</v>
      </c>
      <c r="KB457">
        <v>0</v>
      </c>
      <c r="KC457">
        <v>0</v>
      </c>
      <c r="KD457">
        <v>0</v>
      </c>
      <c r="KE457">
        <v>0</v>
      </c>
      <c r="KF457">
        <v>0</v>
      </c>
      <c r="KG457">
        <v>0</v>
      </c>
      <c r="KH457">
        <v>0</v>
      </c>
      <c r="KI457">
        <v>0</v>
      </c>
      <c r="KJ457">
        <v>0</v>
      </c>
      <c r="KK457">
        <v>0</v>
      </c>
      <c r="KL457">
        <v>0</v>
      </c>
      <c r="KM457">
        <v>0</v>
      </c>
      <c r="KN457">
        <v>0</v>
      </c>
      <c r="KO457">
        <v>0</v>
      </c>
      <c r="KP457">
        <v>0</v>
      </c>
      <c r="KQ457">
        <v>0</v>
      </c>
      <c r="KR457">
        <v>0</v>
      </c>
      <c r="KS457">
        <v>0</v>
      </c>
      <c r="KT457">
        <v>0</v>
      </c>
      <c r="KU457">
        <v>0</v>
      </c>
      <c r="KV457">
        <v>0</v>
      </c>
      <c r="KW457">
        <v>0</v>
      </c>
      <c r="KX457">
        <v>0</v>
      </c>
      <c r="KY457">
        <v>0</v>
      </c>
      <c r="KZ457">
        <v>0</v>
      </c>
      <c r="LA457">
        <v>0</v>
      </c>
      <c r="LB457">
        <v>0</v>
      </c>
      <c r="LC457">
        <v>0</v>
      </c>
      <c r="LD457">
        <v>0</v>
      </c>
      <c r="LE457">
        <v>0</v>
      </c>
      <c r="LF457">
        <v>0</v>
      </c>
      <c r="LG457">
        <v>0</v>
      </c>
      <c r="LH457">
        <v>0</v>
      </c>
      <c r="LI457">
        <v>0</v>
      </c>
      <c r="LJ457">
        <v>0</v>
      </c>
      <c r="LK457">
        <v>0</v>
      </c>
      <c r="LL457">
        <v>0</v>
      </c>
      <c r="LM457">
        <v>0</v>
      </c>
      <c r="LN457">
        <v>0</v>
      </c>
      <c r="LO457">
        <v>0</v>
      </c>
      <c r="LP457">
        <v>0</v>
      </c>
      <c r="LQ457">
        <v>0</v>
      </c>
      <c r="LR457">
        <v>0</v>
      </c>
      <c r="LS457">
        <v>0</v>
      </c>
      <c r="LT457">
        <v>0</v>
      </c>
      <c r="LU457">
        <v>0</v>
      </c>
      <c r="LV457">
        <v>0</v>
      </c>
      <c r="LW457">
        <v>0</v>
      </c>
      <c r="LX457">
        <v>0</v>
      </c>
      <c r="LY457">
        <v>0</v>
      </c>
      <c r="LZ457">
        <v>0</v>
      </c>
      <c r="MA457">
        <v>0</v>
      </c>
      <c r="MB457">
        <v>0</v>
      </c>
      <c r="MC457">
        <v>0</v>
      </c>
      <c r="MD457">
        <v>0</v>
      </c>
      <c r="ME457">
        <v>0</v>
      </c>
      <c r="MF457">
        <v>0</v>
      </c>
      <c r="MG457">
        <v>0</v>
      </c>
      <c r="MH457">
        <v>0</v>
      </c>
      <c r="MI457">
        <v>0</v>
      </c>
      <c r="MJ457">
        <v>0</v>
      </c>
      <c r="MK457">
        <v>0</v>
      </c>
      <c r="ML457">
        <v>0</v>
      </c>
      <c r="MM457">
        <v>0</v>
      </c>
      <c r="MN457">
        <v>0</v>
      </c>
      <c r="MO457">
        <v>0</v>
      </c>
      <c r="MP457">
        <v>0</v>
      </c>
      <c r="MQ457">
        <v>0</v>
      </c>
      <c r="MR457">
        <v>0</v>
      </c>
      <c r="MS457">
        <v>0</v>
      </c>
      <c r="MT457">
        <v>0</v>
      </c>
      <c r="MU457">
        <v>0</v>
      </c>
      <c r="MV457">
        <v>0</v>
      </c>
      <c r="MW457">
        <v>0</v>
      </c>
      <c r="MX457">
        <v>0</v>
      </c>
      <c r="MY457">
        <v>0</v>
      </c>
      <c r="MZ457">
        <v>0</v>
      </c>
      <c r="NA457">
        <v>0</v>
      </c>
      <c r="NB457">
        <v>0</v>
      </c>
      <c r="NC457">
        <v>0</v>
      </c>
      <c r="ND457">
        <v>0</v>
      </c>
      <c r="NE457">
        <v>0</v>
      </c>
    </row>
    <row r="458" spans="41:369" x14ac:dyDescent="0.45">
      <c r="AO458">
        <v>0</v>
      </c>
      <c r="AP458">
        <v>0</v>
      </c>
      <c r="AQ458">
        <v>0</v>
      </c>
      <c r="AR458">
        <v>0</v>
      </c>
      <c r="AS458">
        <v>0</v>
      </c>
      <c r="AT458">
        <v>0</v>
      </c>
      <c r="AU458">
        <v>0</v>
      </c>
      <c r="AV458">
        <v>0</v>
      </c>
      <c r="AW458" t="str">
        <v/>
      </c>
      <c r="AX458">
        <v>255</v>
      </c>
      <c r="AY458" s="5" t="str">
        <v/>
      </c>
      <c r="AZ458">
        <v>0</v>
      </c>
      <c r="BA458">
        <v>0</v>
      </c>
      <c r="BB458">
        <v>0</v>
      </c>
      <c r="BC458">
        <v>0</v>
      </c>
      <c r="BD458">
        <v>0</v>
      </c>
      <c r="BE458">
        <v>0</v>
      </c>
      <c r="BF458">
        <v>0</v>
      </c>
      <c r="BG458">
        <v>0</v>
      </c>
      <c r="BH458">
        <v>0</v>
      </c>
      <c r="BI458" t="str">
        <v/>
      </c>
      <c r="BK458">
        <v>452</v>
      </c>
      <c r="BL458">
        <v>0</v>
      </c>
      <c r="BM458">
        <v>0</v>
      </c>
      <c r="BN458">
        <v>0</v>
      </c>
      <c r="BO458">
        <v>0</v>
      </c>
      <c r="BP458">
        <v>0</v>
      </c>
      <c r="BQ458">
        <v>0</v>
      </c>
      <c r="BR458">
        <v>0</v>
      </c>
      <c r="BS458">
        <v>0</v>
      </c>
      <c r="BT458">
        <v>0</v>
      </c>
      <c r="BU458">
        <v>0</v>
      </c>
      <c r="BV458">
        <v>0</v>
      </c>
      <c r="BW458">
        <v>0</v>
      </c>
      <c r="BX458">
        <v>0</v>
      </c>
      <c r="BY458">
        <v>0</v>
      </c>
      <c r="BZ458">
        <v>0</v>
      </c>
      <c r="CA458">
        <v>0</v>
      </c>
      <c r="CB458">
        <v>0</v>
      </c>
      <c r="CC458">
        <v>0</v>
      </c>
      <c r="CD458">
        <v>0</v>
      </c>
      <c r="CE458">
        <v>0</v>
      </c>
      <c r="CF458">
        <v>0</v>
      </c>
      <c r="CG458">
        <v>0</v>
      </c>
      <c r="CH458">
        <v>0</v>
      </c>
      <c r="CI458">
        <v>0</v>
      </c>
      <c r="CJ458">
        <v>0</v>
      </c>
      <c r="CK458">
        <v>0</v>
      </c>
      <c r="CL458">
        <v>0</v>
      </c>
      <c r="CM458">
        <v>0</v>
      </c>
      <c r="CN458">
        <v>0</v>
      </c>
      <c r="CO458">
        <v>0</v>
      </c>
      <c r="CP458">
        <v>0</v>
      </c>
      <c r="CQ458">
        <v>0</v>
      </c>
      <c r="CR458">
        <v>0</v>
      </c>
      <c r="CS458">
        <v>0</v>
      </c>
      <c r="CT458">
        <v>0</v>
      </c>
      <c r="CU458">
        <v>0</v>
      </c>
      <c r="CV458">
        <v>0</v>
      </c>
      <c r="CW458">
        <v>0</v>
      </c>
      <c r="CX458">
        <v>0</v>
      </c>
      <c r="CY458">
        <v>0</v>
      </c>
      <c r="CZ458">
        <v>0</v>
      </c>
      <c r="DA458">
        <v>0</v>
      </c>
      <c r="DB458">
        <v>0</v>
      </c>
      <c r="DC458">
        <v>0</v>
      </c>
      <c r="DD458">
        <v>0</v>
      </c>
      <c r="DE458">
        <v>0</v>
      </c>
      <c r="DF458">
        <v>0</v>
      </c>
      <c r="DG458">
        <v>0</v>
      </c>
      <c r="DH458">
        <v>0</v>
      </c>
      <c r="DI458">
        <v>0</v>
      </c>
      <c r="DJ458">
        <v>0</v>
      </c>
      <c r="DK458">
        <v>0</v>
      </c>
      <c r="DL458">
        <v>0</v>
      </c>
      <c r="DM458">
        <v>0</v>
      </c>
      <c r="DN458">
        <v>0</v>
      </c>
      <c r="DO458">
        <v>0</v>
      </c>
      <c r="DP458">
        <v>0</v>
      </c>
      <c r="DQ458">
        <v>0</v>
      </c>
      <c r="DR458">
        <v>0</v>
      </c>
      <c r="DS458">
        <v>0</v>
      </c>
      <c r="DT458">
        <v>0</v>
      </c>
      <c r="DU458">
        <v>0</v>
      </c>
      <c r="DV458">
        <v>0</v>
      </c>
      <c r="DW458">
        <v>0</v>
      </c>
      <c r="DX458">
        <v>0</v>
      </c>
      <c r="DY458">
        <v>0</v>
      </c>
      <c r="DZ458">
        <v>0</v>
      </c>
      <c r="EA458">
        <v>0</v>
      </c>
      <c r="EB458">
        <v>0</v>
      </c>
      <c r="EC458">
        <v>0</v>
      </c>
      <c r="ED458">
        <v>0</v>
      </c>
      <c r="EE458">
        <v>0</v>
      </c>
      <c r="EF458">
        <v>0</v>
      </c>
      <c r="EG458">
        <v>0</v>
      </c>
      <c r="EH458">
        <v>0</v>
      </c>
      <c r="EI458">
        <v>0</v>
      </c>
      <c r="EJ458">
        <v>0</v>
      </c>
      <c r="EK458">
        <v>0</v>
      </c>
      <c r="EL458">
        <v>0</v>
      </c>
      <c r="EM458">
        <v>0</v>
      </c>
      <c r="EN458">
        <v>0</v>
      </c>
      <c r="EO458">
        <v>0</v>
      </c>
      <c r="EP458">
        <v>0</v>
      </c>
      <c r="EQ458">
        <v>0</v>
      </c>
      <c r="ER458">
        <v>0</v>
      </c>
      <c r="ES458">
        <v>0</v>
      </c>
      <c r="ET458">
        <v>0</v>
      </c>
      <c r="EU458">
        <v>0</v>
      </c>
      <c r="EV458">
        <v>0</v>
      </c>
      <c r="EW458">
        <v>0</v>
      </c>
      <c r="EX458">
        <v>0</v>
      </c>
      <c r="EY458">
        <v>0</v>
      </c>
      <c r="EZ458">
        <v>0</v>
      </c>
      <c r="FA458">
        <v>0</v>
      </c>
      <c r="FB458">
        <v>0</v>
      </c>
      <c r="FC458">
        <v>0</v>
      </c>
      <c r="FD458">
        <v>0</v>
      </c>
      <c r="FE458">
        <v>0</v>
      </c>
      <c r="FF458">
        <v>0</v>
      </c>
      <c r="FG458">
        <v>0</v>
      </c>
      <c r="FH458">
        <v>0</v>
      </c>
      <c r="FI458">
        <v>0</v>
      </c>
      <c r="FJ458">
        <v>0</v>
      </c>
      <c r="FK458">
        <v>0</v>
      </c>
      <c r="FL458">
        <v>0</v>
      </c>
      <c r="FM458">
        <v>0</v>
      </c>
      <c r="FN458">
        <v>0</v>
      </c>
      <c r="FO458">
        <v>0</v>
      </c>
      <c r="FP458">
        <v>0</v>
      </c>
      <c r="FQ458">
        <v>0</v>
      </c>
      <c r="FR458">
        <v>0</v>
      </c>
      <c r="FS458">
        <v>0</v>
      </c>
      <c r="FT458">
        <v>0</v>
      </c>
      <c r="FU458">
        <v>0</v>
      </c>
      <c r="FV458">
        <v>0</v>
      </c>
      <c r="FW458">
        <v>0</v>
      </c>
      <c r="FX458">
        <v>0</v>
      </c>
      <c r="FY458">
        <v>0</v>
      </c>
      <c r="FZ458">
        <v>0</v>
      </c>
      <c r="GA458">
        <v>0</v>
      </c>
      <c r="GB458">
        <v>0</v>
      </c>
      <c r="GC458">
        <v>0</v>
      </c>
      <c r="GD458">
        <v>0</v>
      </c>
      <c r="GE458">
        <v>0</v>
      </c>
      <c r="GF458">
        <v>0</v>
      </c>
      <c r="GG458">
        <v>0</v>
      </c>
      <c r="GH458">
        <v>0</v>
      </c>
      <c r="GI458">
        <v>0</v>
      </c>
      <c r="GJ458">
        <v>0</v>
      </c>
      <c r="GK458">
        <v>0</v>
      </c>
      <c r="GL458">
        <v>0</v>
      </c>
      <c r="GM458">
        <v>0</v>
      </c>
      <c r="GN458">
        <v>0</v>
      </c>
      <c r="GO458">
        <v>0</v>
      </c>
      <c r="GP458">
        <v>0</v>
      </c>
      <c r="GQ458">
        <v>0</v>
      </c>
      <c r="GR458">
        <v>0</v>
      </c>
      <c r="GS458">
        <v>0</v>
      </c>
      <c r="GT458">
        <v>0</v>
      </c>
      <c r="GU458">
        <v>0</v>
      </c>
      <c r="GV458">
        <v>0</v>
      </c>
      <c r="GW458">
        <v>0</v>
      </c>
      <c r="GX458">
        <v>0</v>
      </c>
      <c r="GY458">
        <v>0</v>
      </c>
      <c r="GZ458">
        <v>0</v>
      </c>
      <c r="HA458">
        <v>0</v>
      </c>
      <c r="HB458">
        <v>0</v>
      </c>
      <c r="HC458">
        <v>0</v>
      </c>
      <c r="HD458">
        <v>0</v>
      </c>
      <c r="HE458">
        <v>0</v>
      </c>
      <c r="HF458">
        <v>0</v>
      </c>
      <c r="HG458">
        <v>0</v>
      </c>
      <c r="HH458">
        <v>0</v>
      </c>
      <c r="HI458">
        <v>0</v>
      </c>
      <c r="HJ458">
        <v>0</v>
      </c>
      <c r="HK458">
        <v>0</v>
      </c>
      <c r="HL458">
        <v>0</v>
      </c>
      <c r="HM458">
        <v>0</v>
      </c>
      <c r="HN458">
        <v>0</v>
      </c>
      <c r="HO458">
        <v>0</v>
      </c>
      <c r="HP458">
        <v>0</v>
      </c>
      <c r="HQ458">
        <v>0</v>
      </c>
      <c r="HR458">
        <v>0</v>
      </c>
      <c r="HS458">
        <v>0</v>
      </c>
      <c r="HT458">
        <v>0</v>
      </c>
      <c r="HU458">
        <v>0</v>
      </c>
      <c r="HV458">
        <v>0</v>
      </c>
      <c r="HW458">
        <v>0</v>
      </c>
      <c r="HX458">
        <v>0</v>
      </c>
      <c r="HY458">
        <v>0</v>
      </c>
      <c r="HZ458">
        <v>0</v>
      </c>
      <c r="IA458">
        <v>0</v>
      </c>
      <c r="IB458">
        <v>0</v>
      </c>
      <c r="IC458">
        <v>0</v>
      </c>
      <c r="ID458">
        <v>0</v>
      </c>
      <c r="IE458">
        <v>0</v>
      </c>
      <c r="IF458">
        <v>0</v>
      </c>
      <c r="IG458">
        <v>0</v>
      </c>
      <c r="IH458">
        <v>0</v>
      </c>
      <c r="II458">
        <v>0</v>
      </c>
      <c r="IJ458">
        <v>0</v>
      </c>
      <c r="IK458">
        <v>0</v>
      </c>
      <c r="IL458">
        <v>0</v>
      </c>
      <c r="IM458">
        <v>0</v>
      </c>
      <c r="IN458">
        <v>0</v>
      </c>
      <c r="IO458">
        <v>0</v>
      </c>
      <c r="IP458">
        <v>0</v>
      </c>
      <c r="IQ458">
        <v>0</v>
      </c>
      <c r="IR458">
        <v>0</v>
      </c>
      <c r="IS458">
        <v>0</v>
      </c>
      <c r="IT458">
        <v>0</v>
      </c>
      <c r="IU458">
        <v>0</v>
      </c>
      <c r="IV458">
        <v>0</v>
      </c>
      <c r="IW458">
        <v>0</v>
      </c>
      <c r="IX458">
        <v>0</v>
      </c>
      <c r="IY458">
        <v>0</v>
      </c>
      <c r="IZ458">
        <v>0</v>
      </c>
      <c r="JA458">
        <v>0</v>
      </c>
      <c r="JB458">
        <v>0</v>
      </c>
      <c r="JC458">
        <v>0</v>
      </c>
      <c r="JD458">
        <v>0</v>
      </c>
      <c r="JE458">
        <v>0</v>
      </c>
      <c r="JF458">
        <v>0</v>
      </c>
      <c r="JG458">
        <v>0</v>
      </c>
      <c r="JH458">
        <v>0</v>
      </c>
      <c r="JI458">
        <v>0</v>
      </c>
      <c r="JJ458">
        <v>0</v>
      </c>
      <c r="JK458">
        <v>0</v>
      </c>
      <c r="JL458">
        <v>0</v>
      </c>
      <c r="JM458">
        <v>0</v>
      </c>
      <c r="JN458">
        <v>0</v>
      </c>
      <c r="JO458">
        <v>0</v>
      </c>
      <c r="JP458">
        <v>0</v>
      </c>
      <c r="JQ458">
        <v>0</v>
      </c>
      <c r="JR458">
        <v>0</v>
      </c>
      <c r="JS458">
        <v>0</v>
      </c>
      <c r="JT458">
        <v>0</v>
      </c>
      <c r="JU458">
        <v>0</v>
      </c>
      <c r="JV458">
        <v>0</v>
      </c>
      <c r="JW458">
        <v>0</v>
      </c>
      <c r="JX458">
        <v>0</v>
      </c>
      <c r="JY458">
        <v>0</v>
      </c>
      <c r="JZ458">
        <v>0</v>
      </c>
      <c r="KA458">
        <v>0</v>
      </c>
      <c r="KB458">
        <v>0</v>
      </c>
      <c r="KC458">
        <v>0</v>
      </c>
      <c r="KD458">
        <v>0</v>
      </c>
      <c r="KE458">
        <v>0</v>
      </c>
      <c r="KF458">
        <v>0</v>
      </c>
      <c r="KG458">
        <v>0</v>
      </c>
      <c r="KH458">
        <v>0</v>
      </c>
      <c r="KI458">
        <v>0</v>
      </c>
      <c r="KJ458">
        <v>0</v>
      </c>
      <c r="KK458">
        <v>0</v>
      </c>
      <c r="KL458">
        <v>0</v>
      </c>
      <c r="KM458">
        <v>0</v>
      </c>
      <c r="KN458">
        <v>0</v>
      </c>
      <c r="KO458">
        <v>0</v>
      </c>
      <c r="KP458">
        <v>0</v>
      </c>
      <c r="KQ458">
        <v>0</v>
      </c>
      <c r="KR458">
        <v>0</v>
      </c>
      <c r="KS458">
        <v>0</v>
      </c>
      <c r="KT458">
        <v>0</v>
      </c>
      <c r="KU458">
        <v>0</v>
      </c>
      <c r="KV458">
        <v>0</v>
      </c>
      <c r="KW458">
        <v>0</v>
      </c>
      <c r="KX458">
        <v>0</v>
      </c>
      <c r="KY458">
        <v>0</v>
      </c>
      <c r="KZ458">
        <v>0</v>
      </c>
      <c r="LA458">
        <v>0</v>
      </c>
      <c r="LB458">
        <v>0</v>
      </c>
      <c r="LC458">
        <v>0</v>
      </c>
      <c r="LD458">
        <v>0</v>
      </c>
      <c r="LE458">
        <v>0</v>
      </c>
      <c r="LF458">
        <v>0</v>
      </c>
      <c r="LG458">
        <v>0</v>
      </c>
      <c r="LH458">
        <v>0</v>
      </c>
      <c r="LI458">
        <v>0</v>
      </c>
      <c r="LJ458">
        <v>0</v>
      </c>
      <c r="LK458">
        <v>0</v>
      </c>
      <c r="LL458">
        <v>0</v>
      </c>
      <c r="LM458">
        <v>0</v>
      </c>
      <c r="LN458">
        <v>0</v>
      </c>
      <c r="LO458">
        <v>0</v>
      </c>
      <c r="LP458">
        <v>0</v>
      </c>
      <c r="LQ458">
        <v>0</v>
      </c>
      <c r="LR458">
        <v>0</v>
      </c>
      <c r="LS458">
        <v>0</v>
      </c>
      <c r="LT458">
        <v>0</v>
      </c>
      <c r="LU458">
        <v>0</v>
      </c>
      <c r="LV458">
        <v>0</v>
      </c>
      <c r="LW458">
        <v>0</v>
      </c>
      <c r="LX458">
        <v>0</v>
      </c>
      <c r="LY458">
        <v>0</v>
      </c>
      <c r="LZ458">
        <v>0</v>
      </c>
      <c r="MA458">
        <v>0</v>
      </c>
      <c r="MB458">
        <v>0</v>
      </c>
      <c r="MC458">
        <v>0</v>
      </c>
      <c r="MD458">
        <v>0</v>
      </c>
      <c r="ME458">
        <v>0</v>
      </c>
      <c r="MF458">
        <v>0</v>
      </c>
      <c r="MG458">
        <v>0</v>
      </c>
      <c r="MH458">
        <v>0</v>
      </c>
      <c r="MI458">
        <v>0</v>
      </c>
      <c r="MJ458">
        <v>0</v>
      </c>
      <c r="MK458">
        <v>0</v>
      </c>
      <c r="ML458">
        <v>0</v>
      </c>
      <c r="MM458">
        <v>0</v>
      </c>
      <c r="MN458">
        <v>0</v>
      </c>
      <c r="MO458">
        <v>0</v>
      </c>
      <c r="MP458">
        <v>0</v>
      </c>
      <c r="MQ458">
        <v>0</v>
      </c>
      <c r="MR458">
        <v>0</v>
      </c>
      <c r="MS458">
        <v>0</v>
      </c>
      <c r="MT458">
        <v>0</v>
      </c>
      <c r="MU458">
        <v>0</v>
      </c>
      <c r="MV458">
        <v>0</v>
      </c>
      <c r="MW458">
        <v>0</v>
      </c>
      <c r="MX458">
        <v>0</v>
      </c>
      <c r="MY458">
        <v>0</v>
      </c>
      <c r="MZ458">
        <v>0</v>
      </c>
      <c r="NA458">
        <v>0</v>
      </c>
      <c r="NB458">
        <v>0</v>
      </c>
      <c r="NC458">
        <v>0</v>
      </c>
      <c r="ND458">
        <v>0</v>
      </c>
      <c r="NE458">
        <v>0</v>
      </c>
    </row>
    <row r="459" spans="41:369" x14ac:dyDescent="0.45">
      <c r="AO459">
        <v>0</v>
      </c>
      <c r="AP459">
        <v>0</v>
      </c>
      <c r="AQ459">
        <v>0</v>
      </c>
      <c r="AR459">
        <v>0</v>
      </c>
      <c r="AS459">
        <v>0</v>
      </c>
      <c r="AT459">
        <v>0</v>
      </c>
      <c r="AU459">
        <v>0</v>
      </c>
      <c r="AV459">
        <v>0</v>
      </c>
      <c r="AW459" t="str">
        <v/>
      </c>
      <c r="AX459">
        <v>255</v>
      </c>
      <c r="AY459" s="5" t="str">
        <v/>
      </c>
      <c r="AZ459">
        <v>0</v>
      </c>
      <c r="BA459">
        <v>0</v>
      </c>
      <c r="BB459">
        <v>0</v>
      </c>
      <c r="BC459">
        <v>0</v>
      </c>
      <c r="BD459">
        <v>0</v>
      </c>
      <c r="BE459">
        <v>0</v>
      </c>
      <c r="BF459">
        <v>0</v>
      </c>
      <c r="BG459">
        <v>0</v>
      </c>
      <c r="BH459">
        <v>0</v>
      </c>
      <c r="BI459" t="str">
        <v/>
      </c>
      <c r="BK459">
        <v>453</v>
      </c>
      <c r="BL459">
        <v>0</v>
      </c>
      <c r="BM459">
        <v>0</v>
      </c>
      <c r="BN459">
        <v>0</v>
      </c>
      <c r="BO459">
        <v>0</v>
      </c>
      <c r="BP459">
        <v>0</v>
      </c>
      <c r="BQ459">
        <v>0</v>
      </c>
      <c r="BR459">
        <v>0</v>
      </c>
      <c r="BS459">
        <v>0</v>
      </c>
      <c r="BT459">
        <v>0</v>
      </c>
      <c r="BU459">
        <v>0</v>
      </c>
      <c r="BV459">
        <v>0</v>
      </c>
      <c r="BW459">
        <v>0</v>
      </c>
      <c r="BX459">
        <v>0</v>
      </c>
      <c r="BY459">
        <v>0</v>
      </c>
      <c r="BZ459">
        <v>0</v>
      </c>
      <c r="CA459">
        <v>0</v>
      </c>
      <c r="CB459">
        <v>0</v>
      </c>
      <c r="CC459">
        <v>0</v>
      </c>
      <c r="CD459">
        <v>0</v>
      </c>
      <c r="CE459">
        <v>0</v>
      </c>
      <c r="CF459">
        <v>0</v>
      </c>
      <c r="CG459">
        <v>0</v>
      </c>
      <c r="CH459">
        <v>0</v>
      </c>
      <c r="CI459">
        <v>0</v>
      </c>
      <c r="CJ459">
        <v>0</v>
      </c>
      <c r="CK459">
        <v>0</v>
      </c>
      <c r="CL459">
        <v>0</v>
      </c>
      <c r="CM459">
        <v>0</v>
      </c>
      <c r="CN459">
        <v>0</v>
      </c>
      <c r="CO459">
        <v>0</v>
      </c>
      <c r="CP459">
        <v>0</v>
      </c>
      <c r="CQ459">
        <v>0</v>
      </c>
      <c r="CR459">
        <v>0</v>
      </c>
      <c r="CS459">
        <v>0</v>
      </c>
      <c r="CT459">
        <v>0</v>
      </c>
      <c r="CU459">
        <v>0</v>
      </c>
      <c r="CV459">
        <v>0</v>
      </c>
      <c r="CW459">
        <v>0</v>
      </c>
      <c r="CX459">
        <v>0</v>
      </c>
      <c r="CY459">
        <v>0</v>
      </c>
      <c r="CZ459">
        <v>0</v>
      </c>
      <c r="DA459">
        <v>0</v>
      </c>
      <c r="DB459">
        <v>0</v>
      </c>
      <c r="DC459">
        <v>0</v>
      </c>
      <c r="DD459">
        <v>0</v>
      </c>
      <c r="DE459">
        <v>0</v>
      </c>
      <c r="DF459">
        <v>0</v>
      </c>
      <c r="DG459">
        <v>0</v>
      </c>
      <c r="DH459">
        <v>0</v>
      </c>
      <c r="DI459">
        <v>0</v>
      </c>
      <c r="DJ459">
        <v>0</v>
      </c>
      <c r="DK459">
        <v>0</v>
      </c>
      <c r="DL459">
        <v>0</v>
      </c>
      <c r="DM459">
        <v>0</v>
      </c>
      <c r="DN459">
        <v>0</v>
      </c>
      <c r="DO459">
        <v>0</v>
      </c>
      <c r="DP459">
        <v>0</v>
      </c>
      <c r="DQ459">
        <v>0</v>
      </c>
      <c r="DR459">
        <v>0</v>
      </c>
      <c r="DS459">
        <v>0</v>
      </c>
      <c r="DT459">
        <v>0</v>
      </c>
      <c r="DU459">
        <v>0</v>
      </c>
      <c r="DV459">
        <v>0</v>
      </c>
      <c r="DW459">
        <v>0</v>
      </c>
      <c r="DX459">
        <v>0</v>
      </c>
      <c r="DY459">
        <v>0</v>
      </c>
      <c r="DZ459">
        <v>0</v>
      </c>
      <c r="EA459">
        <v>0</v>
      </c>
      <c r="EB459">
        <v>0</v>
      </c>
      <c r="EC459">
        <v>0</v>
      </c>
      <c r="ED459">
        <v>0</v>
      </c>
      <c r="EE459">
        <v>0</v>
      </c>
      <c r="EF459">
        <v>0</v>
      </c>
      <c r="EG459">
        <v>0</v>
      </c>
      <c r="EH459">
        <v>0</v>
      </c>
      <c r="EI459">
        <v>0</v>
      </c>
      <c r="EJ459">
        <v>0</v>
      </c>
      <c r="EK459">
        <v>0</v>
      </c>
      <c r="EL459">
        <v>0</v>
      </c>
      <c r="EM459">
        <v>0</v>
      </c>
      <c r="EN459">
        <v>0</v>
      </c>
      <c r="EO459">
        <v>0</v>
      </c>
      <c r="EP459">
        <v>0</v>
      </c>
      <c r="EQ459">
        <v>0</v>
      </c>
      <c r="ER459">
        <v>0</v>
      </c>
      <c r="ES459">
        <v>0</v>
      </c>
      <c r="ET459">
        <v>0</v>
      </c>
      <c r="EU459">
        <v>0</v>
      </c>
      <c r="EV459">
        <v>0</v>
      </c>
      <c r="EW459">
        <v>0</v>
      </c>
      <c r="EX459">
        <v>0</v>
      </c>
      <c r="EY459">
        <v>0</v>
      </c>
      <c r="EZ459">
        <v>0</v>
      </c>
      <c r="FA459">
        <v>0</v>
      </c>
      <c r="FB459">
        <v>0</v>
      </c>
      <c r="FC459">
        <v>0</v>
      </c>
      <c r="FD459">
        <v>0</v>
      </c>
      <c r="FE459">
        <v>0</v>
      </c>
      <c r="FF459">
        <v>0</v>
      </c>
      <c r="FG459">
        <v>0</v>
      </c>
      <c r="FH459">
        <v>0</v>
      </c>
      <c r="FI459">
        <v>0</v>
      </c>
      <c r="FJ459">
        <v>0</v>
      </c>
      <c r="FK459">
        <v>0</v>
      </c>
      <c r="FL459">
        <v>0</v>
      </c>
      <c r="FM459">
        <v>0</v>
      </c>
      <c r="FN459">
        <v>0</v>
      </c>
      <c r="FO459">
        <v>0</v>
      </c>
      <c r="FP459">
        <v>0</v>
      </c>
      <c r="FQ459">
        <v>0</v>
      </c>
      <c r="FR459">
        <v>0</v>
      </c>
      <c r="FS459">
        <v>0</v>
      </c>
      <c r="FT459">
        <v>0</v>
      </c>
      <c r="FU459">
        <v>0</v>
      </c>
      <c r="FV459">
        <v>0</v>
      </c>
      <c r="FW459">
        <v>0</v>
      </c>
      <c r="FX459">
        <v>0</v>
      </c>
      <c r="FY459">
        <v>0</v>
      </c>
      <c r="FZ459">
        <v>0</v>
      </c>
      <c r="GA459">
        <v>0</v>
      </c>
      <c r="GB459">
        <v>0</v>
      </c>
      <c r="GC459">
        <v>0</v>
      </c>
      <c r="GD459">
        <v>0</v>
      </c>
      <c r="GE459">
        <v>0</v>
      </c>
      <c r="GF459">
        <v>0</v>
      </c>
      <c r="GG459">
        <v>0</v>
      </c>
      <c r="GH459">
        <v>0</v>
      </c>
      <c r="GI459">
        <v>0</v>
      </c>
      <c r="GJ459">
        <v>0</v>
      </c>
      <c r="GK459">
        <v>0</v>
      </c>
      <c r="GL459">
        <v>0</v>
      </c>
      <c r="GM459">
        <v>0</v>
      </c>
      <c r="GN459">
        <v>0</v>
      </c>
      <c r="GO459">
        <v>0</v>
      </c>
      <c r="GP459">
        <v>0</v>
      </c>
      <c r="GQ459">
        <v>0</v>
      </c>
      <c r="GR459">
        <v>0</v>
      </c>
      <c r="GS459">
        <v>0</v>
      </c>
      <c r="GT459">
        <v>0</v>
      </c>
      <c r="GU459">
        <v>0</v>
      </c>
      <c r="GV459">
        <v>0</v>
      </c>
      <c r="GW459">
        <v>0</v>
      </c>
      <c r="GX459">
        <v>0</v>
      </c>
      <c r="GY459">
        <v>0</v>
      </c>
      <c r="GZ459">
        <v>0</v>
      </c>
      <c r="HA459">
        <v>0</v>
      </c>
      <c r="HB459">
        <v>0</v>
      </c>
      <c r="HC459">
        <v>0</v>
      </c>
      <c r="HD459">
        <v>0</v>
      </c>
      <c r="HE459">
        <v>0</v>
      </c>
      <c r="HF459">
        <v>0</v>
      </c>
      <c r="HG459">
        <v>0</v>
      </c>
      <c r="HH459">
        <v>0</v>
      </c>
      <c r="HI459">
        <v>0</v>
      </c>
      <c r="HJ459">
        <v>0</v>
      </c>
      <c r="HK459">
        <v>0</v>
      </c>
      <c r="HL459">
        <v>0</v>
      </c>
      <c r="HM459">
        <v>0</v>
      </c>
      <c r="HN459">
        <v>0</v>
      </c>
      <c r="HO459">
        <v>0</v>
      </c>
      <c r="HP459">
        <v>0</v>
      </c>
      <c r="HQ459">
        <v>0</v>
      </c>
      <c r="HR459">
        <v>0</v>
      </c>
      <c r="HS459">
        <v>0</v>
      </c>
      <c r="HT459">
        <v>0</v>
      </c>
      <c r="HU459">
        <v>0</v>
      </c>
      <c r="HV459">
        <v>0</v>
      </c>
      <c r="HW459">
        <v>0</v>
      </c>
      <c r="HX459">
        <v>0</v>
      </c>
      <c r="HY459">
        <v>0</v>
      </c>
      <c r="HZ459">
        <v>0</v>
      </c>
      <c r="IA459">
        <v>0</v>
      </c>
      <c r="IB459">
        <v>0</v>
      </c>
      <c r="IC459">
        <v>0</v>
      </c>
      <c r="ID459">
        <v>0</v>
      </c>
      <c r="IE459">
        <v>0</v>
      </c>
      <c r="IF459">
        <v>0</v>
      </c>
      <c r="IG459">
        <v>0</v>
      </c>
      <c r="IH459">
        <v>0</v>
      </c>
      <c r="II459">
        <v>0</v>
      </c>
      <c r="IJ459">
        <v>0</v>
      </c>
      <c r="IK459">
        <v>0</v>
      </c>
      <c r="IL459">
        <v>0</v>
      </c>
      <c r="IM459">
        <v>0</v>
      </c>
      <c r="IN459">
        <v>0</v>
      </c>
      <c r="IO459">
        <v>0</v>
      </c>
      <c r="IP459">
        <v>0</v>
      </c>
      <c r="IQ459">
        <v>0</v>
      </c>
      <c r="IR459">
        <v>0</v>
      </c>
      <c r="IS459">
        <v>0</v>
      </c>
      <c r="IT459">
        <v>0</v>
      </c>
      <c r="IU459">
        <v>0</v>
      </c>
      <c r="IV459">
        <v>0</v>
      </c>
      <c r="IW459">
        <v>0</v>
      </c>
      <c r="IX459">
        <v>0</v>
      </c>
      <c r="IY459">
        <v>0</v>
      </c>
      <c r="IZ459">
        <v>0</v>
      </c>
      <c r="JA459">
        <v>0</v>
      </c>
      <c r="JB459">
        <v>0</v>
      </c>
      <c r="JC459">
        <v>0</v>
      </c>
      <c r="JD459">
        <v>0</v>
      </c>
      <c r="JE459">
        <v>0</v>
      </c>
      <c r="JF459">
        <v>0</v>
      </c>
      <c r="JG459">
        <v>0</v>
      </c>
      <c r="JH459">
        <v>0</v>
      </c>
      <c r="JI459">
        <v>0</v>
      </c>
      <c r="JJ459">
        <v>0</v>
      </c>
      <c r="JK459">
        <v>0</v>
      </c>
      <c r="JL459">
        <v>0</v>
      </c>
      <c r="JM459">
        <v>0</v>
      </c>
      <c r="JN459">
        <v>0</v>
      </c>
      <c r="JO459">
        <v>0</v>
      </c>
      <c r="JP459">
        <v>0</v>
      </c>
      <c r="JQ459">
        <v>0</v>
      </c>
      <c r="JR459">
        <v>0</v>
      </c>
      <c r="JS459">
        <v>0</v>
      </c>
      <c r="JT459">
        <v>0</v>
      </c>
      <c r="JU459">
        <v>0</v>
      </c>
      <c r="JV459">
        <v>0</v>
      </c>
      <c r="JW459">
        <v>0</v>
      </c>
      <c r="JX459">
        <v>0</v>
      </c>
      <c r="JY459">
        <v>0</v>
      </c>
      <c r="JZ459">
        <v>0</v>
      </c>
      <c r="KA459">
        <v>0</v>
      </c>
      <c r="KB459">
        <v>0</v>
      </c>
      <c r="KC459">
        <v>0</v>
      </c>
      <c r="KD459">
        <v>0</v>
      </c>
      <c r="KE459">
        <v>0</v>
      </c>
      <c r="KF459">
        <v>0</v>
      </c>
      <c r="KG459">
        <v>0</v>
      </c>
      <c r="KH459">
        <v>0</v>
      </c>
      <c r="KI459">
        <v>0</v>
      </c>
      <c r="KJ459">
        <v>0</v>
      </c>
      <c r="KK459">
        <v>0</v>
      </c>
      <c r="KL459">
        <v>0</v>
      </c>
      <c r="KM459">
        <v>0</v>
      </c>
      <c r="KN459">
        <v>0</v>
      </c>
      <c r="KO459">
        <v>0</v>
      </c>
      <c r="KP459">
        <v>0</v>
      </c>
      <c r="KQ459">
        <v>0</v>
      </c>
      <c r="KR459">
        <v>0</v>
      </c>
      <c r="KS459">
        <v>0</v>
      </c>
      <c r="KT459">
        <v>0</v>
      </c>
      <c r="KU459">
        <v>0</v>
      </c>
      <c r="KV459">
        <v>0</v>
      </c>
      <c r="KW459">
        <v>0</v>
      </c>
      <c r="KX459">
        <v>0</v>
      </c>
      <c r="KY459">
        <v>0</v>
      </c>
      <c r="KZ459">
        <v>0</v>
      </c>
      <c r="LA459">
        <v>0</v>
      </c>
      <c r="LB459">
        <v>0</v>
      </c>
      <c r="LC459">
        <v>0</v>
      </c>
      <c r="LD459">
        <v>0</v>
      </c>
      <c r="LE459">
        <v>0</v>
      </c>
      <c r="LF459">
        <v>0</v>
      </c>
      <c r="LG459">
        <v>0</v>
      </c>
      <c r="LH459">
        <v>0</v>
      </c>
      <c r="LI459">
        <v>0</v>
      </c>
      <c r="LJ459">
        <v>0</v>
      </c>
      <c r="LK459">
        <v>0</v>
      </c>
      <c r="LL459">
        <v>0</v>
      </c>
      <c r="LM459">
        <v>0</v>
      </c>
      <c r="LN459">
        <v>0</v>
      </c>
      <c r="LO459">
        <v>0</v>
      </c>
      <c r="LP459">
        <v>0</v>
      </c>
      <c r="LQ459">
        <v>0</v>
      </c>
      <c r="LR459">
        <v>0</v>
      </c>
      <c r="LS459">
        <v>0</v>
      </c>
      <c r="LT459">
        <v>0</v>
      </c>
      <c r="LU459">
        <v>0</v>
      </c>
      <c r="LV459">
        <v>0</v>
      </c>
      <c r="LW459">
        <v>0</v>
      </c>
      <c r="LX459">
        <v>0</v>
      </c>
      <c r="LY459">
        <v>0</v>
      </c>
      <c r="LZ459">
        <v>0</v>
      </c>
      <c r="MA459">
        <v>0</v>
      </c>
      <c r="MB459">
        <v>0</v>
      </c>
      <c r="MC459">
        <v>0</v>
      </c>
      <c r="MD459">
        <v>0</v>
      </c>
      <c r="ME459">
        <v>0</v>
      </c>
      <c r="MF459">
        <v>0</v>
      </c>
      <c r="MG459">
        <v>0</v>
      </c>
      <c r="MH459">
        <v>0</v>
      </c>
      <c r="MI459">
        <v>0</v>
      </c>
      <c r="MJ459">
        <v>0</v>
      </c>
      <c r="MK459">
        <v>0</v>
      </c>
      <c r="ML459">
        <v>0</v>
      </c>
      <c r="MM459">
        <v>0</v>
      </c>
      <c r="MN459">
        <v>0</v>
      </c>
      <c r="MO459">
        <v>0</v>
      </c>
      <c r="MP459">
        <v>0</v>
      </c>
      <c r="MQ459">
        <v>0</v>
      </c>
      <c r="MR459">
        <v>0</v>
      </c>
      <c r="MS459">
        <v>0</v>
      </c>
      <c r="MT459">
        <v>0</v>
      </c>
      <c r="MU459">
        <v>0</v>
      </c>
      <c r="MV459">
        <v>0</v>
      </c>
      <c r="MW459">
        <v>0</v>
      </c>
      <c r="MX459">
        <v>0</v>
      </c>
      <c r="MY459">
        <v>0</v>
      </c>
      <c r="MZ459">
        <v>0</v>
      </c>
      <c r="NA459">
        <v>0</v>
      </c>
      <c r="NB459">
        <v>0</v>
      </c>
      <c r="NC459">
        <v>0</v>
      </c>
      <c r="ND459">
        <v>0</v>
      </c>
      <c r="NE459">
        <v>0</v>
      </c>
    </row>
    <row r="460" spans="41:369" x14ac:dyDescent="0.45">
      <c r="AO460">
        <v>0</v>
      </c>
      <c r="AP460">
        <v>0</v>
      </c>
      <c r="AQ460">
        <v>0</v>
      </c>
      <c r="AR460">
        <v>0</v>
      </c>
      <c r="AS460">
        <v>0</v>
      </c>
      <c r="AT460">
        <v>0</v>
      </c>
      <c r="AU460">
        <v>0</v>
      </c>
      <c r="AV460">
        <v>0</v>
      </c>
      <c r="AW460" t="str">
        <v/>
      </c>
      <c r="AX460">
        <v>255</v>
      </c>
      <c r="AY460" s="5" t="str">
        <v/>
      </c>
      <c r="AZ460">
        <v>0</v>
      </c>
      <c r="BA460">
        <v>0</v>
      </c>
      <c r="BB460">
        <v>0</v>
      </c>
      <c r="BC460">
        <v>0</v>
      </c>
      <c r="BD460">
        <v>0</v>
      </c>
      <c r="BE460">
        <v>0</v>
      </c>
      <c r="BF460">
        <v>0</v>
      </c>
      <c r="BG460">
        <v>0</v>
      </c>
      <c r="BH460">
        <v>0</v>
      </c>
      <c r="BI460" t="str">
        <v/>
      </c>
      <c r="BK460">
        <v>454</v>
      </c>
      <c r="BL460">
        <v>0</v>
      </c>
      <c r="BM460">
        <v>0</v>
      </c>
      <c r="BN460">
        <v>0</v>
      </c>
      <c r="BO460">
        <v>0</v>
      </c>
      <c r="BP460">
        <v>0</v>
      </c>
      <c r="BQ460">
        <v>0</v>
      </c>
      <c r="BR460">
        <v>0</v>
      </c>
      <c r="BS460">
        <v>0</v>
      </c>
      <c r="BT460">
        <v>0</v>
      </c>
      <c r="BU460">
        <v>0</v>
      </c>
      <c r="BV460">
        <v>0</v>
      </c>
      <c r="BW460">
        <v>0</v>
      </c>
      <c r="BX460">
        <v>0</v>
      </c>
      <c r="BY460">
        <v>0</v>
      </c>
      <c r="BZ460">
        <v>0</v>
      </c>
      <c r="CA460">
        <v>0</v>
      </c>
      <c r="CB460">
        <v>0</v>
      </c>
      <c r="CC460">
        <v>0</v>
      </c>
      <c r="CD460">
        <v>0</v>
      </c>
      <c r="CE460">
        <v>0</v>
      </c>
      <c r="CF460">
        <v>0</v>
      </c>
      <c r="CG460">
        <v>0</v>
      </c>
      <c r="CH460">
        <v>0</v>
      </c>
      <c r="CI460">
        <v>0</v>
      </c>
      <c r="CJ460">
        <v>0</v>
      </c>
      <c r="CK460">
        <v>0</v>
      </c>
      <c r="CL460">
        <v>0</v>
      </c>
      <c r="CM460">
        <v>0</v>
      </c>
      <c r="CN460">
        <v>0</v>
      </c>
      <c r="CO460">
        <v>0</v>
      </c>
      <c r="CP460">
        <v>0</v>
      </c>
      <c r="CQ460">
        <v>0</v>
      </c>
      <c r="CR460">
        <v>0</v>
      </c>
      <c r="CS460">
        <v>0</v>
      </c>
      <c r="CT460">
        <v>0</v>
      </c>
      <c r="CU460">
        <v>0</v>
      </c>
      <c r="CV460">
        <v>0</v>
      </c>
      <c r="CW460">
        <v>0</v>
      </c>
      <c r="CX460">
        <v>0</v>
      </c>
      <c r="CY460">
        <v>0</v>
      </c>
      <c r="CZ460">
        <v>0</v>
      </c>
      <c r="DA460">
        <v>0</v>
      </c>
      <c r="DB460">
        <v>0</v>
      </c>
      <c r="DC460">
        <v>0</v>
      </c>
      <c r="DD460">
        <v>0</v>
      </c>
      <c r="DE460">
        <v>0</v>
      </c>
      <c r="DF460">
        <v>0</v>
      </c>
      <c r="DG460">
        <v>0</v>
      </c>
      <c r="DH460">
        <v>0</v>
      </c>
      <c r="DI460">
        <v>0</v>
      </c>
      <c r="DJ460">
        <v>0</v>
      </c>
      <c r="DK460">
        <v>0</v>
      </c>
      <c r="DL460">
        <v>0</v>
      </c>
      <c r="DM460">
        <v>0</v>
      </c>
      <c r="DN460">
        <v>0</v>
      </c>
      <c r="DO460">
        <v>0</v>
      </c>
      <c r="DP460">
        <v>0</v>
      </c>
      <c r="DQ460">
        <v>0</v>
      </c>
      <c r="DR460">
        <v>0</v>
      </c>
      <c r="DS460">
        <v>0</v>
      </c>
      <c r="DT460">
        <v>0</v>
      </c>
      <c r="DU460">
        <v>0</v>
      </c>
      <c r="DV460">
        <v>0</v>
      </c>
      <c r="DW460">
        <v>0</v>
      </c>
      <c r="DX460">
        <v>0</v>
      </c>
      <c r="DY460">
        <v>0</v>
      </c>
      <c r="DZ460">
        <v>0</v>
      </c>
      <c r="EA460">
        <v>0</v>
      </c>
      <c r="EB460">
        <v>0</v>
      </c>
      <c r="EC460">
        <v>0</v>
      </c>
      <c r="ED460">
        <v>0</v>
      </c>
      <c r="EE460">
        <v>0</v>
      </c>
      <c r="EF460">
        <v>0</v>
      </c>
      <c r="EG460">
        <v>0</v>
      </c>
      <c r="EH460">
        <v>0</v>
      </c>
      <c r="EI460">
        <v>0</v>
      </c>
      <c r="EJ460">
        <v>0</v>
      </c>
      <c r="EK460">
        <v>0</v>
      </c>
      <c r="EL460">
        <v>0</v>
      </c>
      <c r="EM460">
        <v>0</v>
      </c>
      <c r="EN460">
        <v>0</v>
      </c>
      <c r="EO460">
        <v>0</v>
      </c>
      <c r="EP460">
        <v>0</v>
      </c>
      <c r="EQ460">
        <v>0</v>
      </c>
      <c r="ER460">
        <v>0</v>
      </c>
      <c r="ES460">
        <v>0</v>
      </c>
      <c r="ET460">
        <v>0</v>
      </c>
      <c r="EU460">
        <v>0</v>
      </c>
      <c r="EV460">
        <v>0</v>
      </c>
      <c r="EW460">
        <v>0</v>
      </c>
      <c r="EX460">
        <v>0</v>
      </c>
      <c r="EY460">
        <v>0</v>
      </c>
      <c r="EZ460">
        <v>0</v>
      </c>
      <c r="FA460">
        <v>0</v>
      </c>
      <c r="FB460">
        <v>0</v>
      </c>
      <c r="FC460">
        <v>0</v>
      </c>
      <c r="FD460">
        <v>0</v>
      </c>
      <c r="FE460">
        <v>0</v>
      </c>
      <c r="FF460">
        <v>0</v>
      </c>
      <c r="FG460">
        <v>0</v>
      </c>
      <c r="FH460">
        <v>0</v>
      </c>
      <c r="FI460">
        <v>0</v>
      </c>
      <c r="FJ460">
        <v>0</v>
      </c>
      <c r="FK460">
        <v>0</v>
      </c>
      <c r="FL460">
        <v>0</v>
      </c>
      <c r="FM460">
        <v>0</v>
      </c>
      <c r="FN460">
        <v>0</v>
      </c>
      <c r="FO460">
        <v>0</v>
      </c>
      <c r="FP460">
        <v>0</v>
      </c>
      <c r="FQ460">
        <v>0</v>
      </c>
      <c r="FR460">
        <v>0</v>
      </c>
      <c r="FS460">
        <v>0</v>
      </c>
      <c r="FT460">
        <v>0</v>
      </c>
      <c r="FU460">
        <v>0</v>
      </c>
      <c r="FV460">
        <v>0</v>
      </c>
      <c r="FW460">
        <v>0</v>
      </c>
      <c r="FX460">
        <v>0</v>
      </c>
      <c r="FY460">
        <v>0</v>
      </c>
      <c r="FZ460">
        <v>0</v>
      </c>
      <c r="GA460">
        <v>0</v>
      </c>
      <c r="GB460">
        <v>0</v>
      </c>
      <c r="GC460">
        <v>0</v>
      </c>
      <c r="GD460">
        <v>0</v>
      </c>
      <c r="GE460">
        <v>0</v>
      </c>
      <c r="GF460">
        <v>0</v>
      </c>
      <c r="GG460">
        <v>0</v>
      </c>
      <c r="GH460">
        <v>0</v>
      </c>
      <c r="GI460">
        <v>0</v>
      </c>
      <c r="GJ460">
        <v>0</v>
      </c>
      <c r="GK460">
        <v>0</v>
      </c>
      <c r="GL460">
        <v>0</v>
      </c>
      <c r="GM460">
        <v>0</v>
      </c>
      <c r="GN460">
        <v>0</v>
      </c>
      <c r="GO460">
        <v>0</v>
      </c>
      <c r="GP460">
        <v>0</v>
      </c>
      <c r="GQ460">
        <v>0</v>
      </c>
      <c r="GR460">
        <v>0</v>
      </c>
      <c r="GS460">
        <v>0</v>
      </c>
      <c r="GT460">
        <v>0</v>
      </c>
      <c r="GU460">
        <v>0</v>
      </c>
      <c r="GV460">
        <v>0</v>
      </c>
      <c r="GW460">
        <v>0</v>
      </c>
      <c r="GX460">
        <v>0</v>
      </c>
      <c r="GY460">
        <v>0</v>
      </c>
      <c r="GZ460">
        <v>0</v>
      </c>
      <c r="HA460">
        <v>0</v>
      </c>
      <c r="HB460">
        <v>0</v>
      </c>
      <c r="HC460">
        <v>0</v>
      </c>
      <c r="HD460">
        <v>0</v>
      </c>
      <c r="HE460">
        <v>0</v>
      </c>
      <c r="HF460">
        <v>0</v>
      </c>
      <c r="HG460">
        <v>0</v>
      </c>
      <c r="HH460">
        <v>0</v>
      </c>
      <c r="HI460">
        <v>0</v>
      </c>
      <c r="HJ460">
        <v>0</v>
      </c>
      <c r="HK460">
        <v>0</v>
      </c>
      <c r="HL460">
        <v>0</v>
      </c>
      <c r="HM460">
        <v>0</v>
      </c>
      <c r="HN460">
        <v>0</v>
      </c>
      <c r="HO460">
        <v>0</v>
      </c>
      <c r="HP460">
        <v>0</v>
      </c>
      <c r="HQ460">
        <v>0</v>
      </c>
      <c r="HR460">
        <v>0</v>
      </c>
      <c r="HS460">
        <v>0</v>
      </c>
      <c r="HT460">
        <v>0</v>
      </c>
      <c r="HU460">
        <v>0</v>
      </c>
      <c r="HV460">
        <v>0</v>
      </c>
      <c r="HW460">
        <v>0</v>
      </c>
      <c r="HX460">
        <v>0</v>
      </c>
      <c r="HY460">
        <v>0</v>
      </c>
      <c r="HZ460">
        <v>0</v>
      </c>
      <c r="IA460">
        <v>0</v>
      </c>
      <c r="IB460">
        <v>0</v>
      </c>
      <c r="IC460">
        <v>0</v>
      </c>
      <c r="ID460">
        <v>0</v>
      </c>
      <c r="IE460">
        <v>0</v>
      </c>
      <c r="IF460">
        <v>0</v>
      </c>
      <c r="IG460">
        <v>0</v>
      </c>
      <c r="IH460">
        <v>0</v>
      </c>
      <c r="II460">
        <v>0</v>
      </c>
      <c r="IJ460">
        <v>0</v>
      </c>
      <c r="IK460">
        <v>0</v>
      </c>
      <c r="IL460">
        <v>0</v>
      </c>
      <c r="IM460">
        <v>0</v>
      </c>
      <c r="IN460">
        <v>0</v>
      </c>
      <c r="IO460">
        <v>0</v>
      </c>
      <c r="IP460">
        <v>0</v>
      </c>
      <c r="IQ460">
        <v>0</v>
      </c>
      <c r="IR460">
        <v>0</v>
      </c>
      <c r="IS460">
        <v>0</v>
      </c>
      <c r="IT460">
        <v>0</v>
      </c>
      <c r="IU460">
        <v>0</v>
      </c>
      <c r="IV460">
        <v>0</v>
      </c>
      <c r="IW460">
        <v>0</v>
      </c>
      <c r="IX460">
        <v>0</v>
      </c>
      <c r="IY460">
        <v>0</v>
      </c>
      <c r="IZ460">
        <v>0</v>
      </c>
      <c r="JA460">
        <v>0</v>
      </c>
      <c r="JB460">
        <v>0</v>
      </c>
      <c r="JC460">
        <v>0</v>
      </c>
      <c r="JD460">
        <v>0</v>
      </c>
      <c r="JE460">
        <v>0</v>
      </c>
      <c r="JF460">
        <v>0</v>
      </c>
      <c r="JG460">
        <v>0</v>
      </c>
      <c r="JH460">
        <v>0</v>
      </c>
      <c r="JI460">
        <v>0</v>
      </c>
      <c r="JJ460">
        <v>0</v>
      </c>
      <c r="JK460">
        <v>0</v>
      </c>
      <c r="JL460">
        <v>0</v>
      </c>
      <c r="JM460">
        <v>0</v>
      </c>
      <c r="JN460">
        <v>0</v>
      </c>
      <c r="JO460">
        <v>0</v>
      </c>
      <c r="JP460">
        <v>0</v>
      </c>
      <c r="JQ460">
        <v>0</v>
      </c>
      <c r="JR460">
        <v>0</v>
      </c>
      <c r="JS460">
        <v>0</v>
      </c>
      <c r="JT460">
        <v>0</v>
      </c>
      <c r="JU460">
        <v>0</v>
      </c>
      <c r="JV460">
        <v>0</v>
      </c>
      <c r="JW460">
        <v>0</v>
      </c>
      <c r="JX460">
        <v>0</v>
      </c>
      <c r="JY460">
        <v>0</v>
      </c>
      <c r="JZ460">
        <v>0</v>
      </c>
      <c r="KA460">
        <v>0</v>
      </c>
      <c r="KB460">
        <v>0</v>
      </c>
      <c r="KC460">
        <v>0</v>
      </c>
      <c r="KD460">
        <v>0</v>
      </c>
      <c r="KE460">
        <v>0</v>
      </c>
      <c r="KF460">
        <v>0</v>
      </c>
      <c r="KG460">
        <v>0</v>
      </c>
      <c r="KH460">
        <v>0</v>
      </c>
      <c r="KI460">
        <v>0</v>
      </c>
      <c r="KJ460">
        <v>0</v>
      </c>
      <c r="KK460">
        <v>0</v>
      </c>
      <c r="KL460">
        <v>0</v>
      </c>
      <c r="KM460">
        <v>0</v>
      </c>
      <c r="KN460">
        <v>0</v>
      </c>
      <c r="KO460">
        <v>0</v>
      </c>
      <c r="KP460">
        <v>0</v>
      </c>
      <c r="KQ460">
        <v>0</v>
      </c>
      <c r="KR460">
        <v>0</v>
      </c>
      <c r="KS460">
        <v>0</v>
      </c>
      <c r="KT460">
        <v>0</v>
      </c>
      <c r="KU460">
        <v>0</v>
      </c>
      <c r="KV460">
        <v>0</v>
      </c>
      <c r="KW460">
        <v>0</v>
      </c>
      <c r="KX460">
        <v>0</v>
      </c>
      <c r="KY460">
        <v>0</v>
      </c>
      <c r="KZ460">
        <v>0</v>
      </c>
      <c r="LA460">
        <v>0</v>
      </c>
      <c r="LB460">
        <v>0</v>
      </c>
      <c r="LC460">
        <v>0</v>
      </c>
      <c r="LD460">
        <v>0</v>
      </c>
      <c r="LE460">
        <v>0</v>
      </c>
      <c r="LF460">
        <v>0</v>
      </c>
      <c r="LG460">
        <v>0</v>
      </c>
      <c r="LH460">
        <v>0</v>
      </c>
      <c r="LI460">
        <v>0</v>
      </c>
      <c r="LJ460">
        <v>0</v>
      </c>
      <c r="LK460">
        <v>0</v>
      </c>
      <c r="LL460">
        <v>0</v>
      </c>
      <c r="LM460">
        <v>0</v>
      </c>
      <c r="LN460">
        <v>0</v>
      </c>
      <c r="LO460">
        <v>0</v>
      </c>
      <c r="LP460">
        <v>0</v>
      </c>
      <c r="LQ460">
        <v>0</v>
      </c>
      <c r="LR460">
        <v>0</v>
      </c>
      <c r="LS460">
        <v>0</v>
      </c>
      <c r="LT460">
        <v>0</v>
      </c>
      <c r="LU460">
        <v>0</v>
      </c>
      <c r="LV460">
        <v>0</v>
      </c>
      <c r="LW460">
        <v>0</v>
      </c>
      <c r="LX460">
        <v>0</v>
      </c>
      <c r="LY460">
        <v>0</v>
      </c>
      <c r="LZ460">
        <v>0</v>
      </c>
      <c r="MA460">
        <v>0</v>
      </c>
      <c r="MB460">
        <v>0</v>
      </c>
      <c r="MC460">
        <v>0</v>
      </c>
      <c r="MD460">
        <v>0</v>
      </c>
      <c r="ME460">
        <v>0</v>
      </c>
      <c r="MF460">
        <v>0</v>
      </c>
      <c r="MG460">
        <v>0</v>
      </c>
      <c r="MH460">
        <v>0</v>
      </c>
      <c r="MI460">
        <v>0</v>
      </c>
      <c r="MJ460">
        <v>0</v>
      </c>
      <c r="MK460">
        <v>0</v>
      </c>
      <c r="ML460">
        <v>0</v>
      </c>
      <c r="MM460">
        <v>0</v>
      </c>
      <c r="MN460">
        <v>0</v>
      </c>
      <c r="MO460">
        <v>0</v>
      </c>
      <c r="MP460">
        <v>0</v>
      </c>
      <c r="MQ460">
        <v>0</v>
      </c>
      <c r="MR460">
        <v>0</v>
      </c>
      <c r="MS460">
        <v>0</v>
      </c>
      <c r="MT460">
        <v>0</v>
      </c>
      <c r="MU460">
        <v>0</v>
      </c>
      <c r="MV460">
        <v>0</v>
      </c>
      <c r="MW460">
        <v>0</v>
      </c>
      <c r="MX460">
        <v>0</v>
      </c>
      <c r="MY460">
        <v>0</v>
      </c>
      <c r="MZ460">
        <v>0</v>
      </c>
      <c r="NA460">
        <v>0</v>
      </c>
      <c r="NB460">
        <v>0</v>
      </c>
      <c r="NC460">
        <v>0</v>
      </c>
      <c r="ND460">
        <v>0</v>
      </c>
      <c r="NE460">
        <v>0</v>
      </c>
    </row>
    <row r="461" spans="41:369" x14ac:dyDescent="0.45">
      <c r="AO461">
        <v>0</v>
      </c>
      <c r="AP461">
        <v>0</v>
      </c>
      <c r="AQ461">
        <v>0</v>
      </c>
      <c r="AR461">
        <v>0</v>
      </c>
      <c r="AS461">
        <v>0</v>
      </c>
      <c r="AT461">
        <v>0</v>
      </c>
      <c r="AU461">
        <v>0</v>
      </c>
      <c r="AV461">
        <v>0</v>
      </c>
      <c r="AW461" t="str">
        <v/>
      </c>
      <c r="AX461">
        <v>255</v>
      </c>
      <c r="AY461" s="5" t="str">
        <v/>
      </c>
      <c r="AZ461">
        <v>0</v>
      </c>
      <c r="BA461">
        <v>0</v>
      </c>
      <c r="BB461">
        <v>0</v>
      </c>
      <c r="BC461">
        <v>0</v>
      </c>
      <c r="BD461">
        <v>0</v>
      </c>
      <c r="BE461">
        <v>0</v>
      </c>
      <c r="BF461">
        <v>0</v>
      </c>
      <c r="BG461">
        <v>0</v>
      </c>
      <c r="BH461">
        <v>0</v>
      </c>
      <c r="BI461" t="str">
        <v/>
      </c>
      <c r="BK461">
        <v>455</v>
      </c>
      <c r="BL461">
        <v>0</v>
      </c>
      <c r="BM461">
        <v>0</v>
      </c>
      <c r="BN461">
        <v>0</v>
      </c>
      <c r="BO461">
        <v>0</v>
      </c>
      <c r="BP461">
        <v>0</v>
      </c>
      <c r="BQ461">
        <v>0</v>
      </c>
      <c r="BR461">
        <v>0</v>
      </c>
      <c r="BS461">
        <v>0</v>
      </c>
      <c r="BT461">
        <v>0</v>
      </c>
      <c r="BU461">
        <v>0</v>
      </c>
      <c r="BV461">
        <v>0</v>
      </c>
      <c r="BW461">
        <v>0</v>
      </c>
      <c r="BX461">
        <v>0</v>
      </c>
      <c r="BY461">
        <v>0</v>
      </c>
      <c r="BZ461">
        <v>0</v>
      </c>
      <c r="CA461">
        <v>0</v>
      </c>
      <c r="CB461">
        <v>0</v>
      </c>
      <c r="CC461">
        <v>0</v>
      </c>
      <c r="CD461">
        <v>0</v>
      </c>
      <c r="CE461">
        <v>0</v>
      </c>
      <c r="CF461">
        <v>0</v>
      </c>
      <c r="CG461">
        <v>0</v>
      </c>
      <c r="CH461">
        <v>0</v>
      </c>
      <c r="CI461">
        <v>0</v>
      </c>
      <c r="CJ461">
        <v>0</v>
      </c>
      <c r="CK461">
        <v>0</v>
      </c>
      <c r="CL461">
        <v>0</v>
      </c>
      <c r="CM461">
        <v>0</v>
      </c>
      <c r="CN461">
        <v>0</v>
      </c>
      <c r="CO461">
        <v>0</v>
      </c>
      <c r="CP461">
        <v>0</v>
      </c>
      <c r="CQ461">
        <v>0</v>
      </c>
      <c r="CR461">
        <v>0</v>
      </c>
      <c r="CS461">
        <v>0</v>
      </c>
      <c r="CT461">
        <v>0</v>
      </c>
      <c r="CU461">
        <v>0</v>
      </c>
      <c r="CV461">
        <v>0</v>
      </c>
      <c r="CW461">
        <v>0</v>
      </c>
      <c r="CX461">
        <v>0</v>
      </c>
      <c r="CY461">
        <v>0</v>
      </c>
      <c r="CZ461">
        <v>0</v>
      </c>
      <c r="DA461">
        <v>0</v>
      </c>
      <c r="DB461">
        <v>0</v>
      </c>
      <c r="DC461">
        <v>0</v>
      </c>
      <c r="DD461">
        <v>0</v>
      </c>
      <c r="DE461">
        <v>0</v>
      </c>
      <c r="DF461">
        <v>0</v>
      </c>
      <c r="DG461">
        <v>0</v>
      </c>
      <c r="DH461">
        <v>0</v>
      </c>
      <c r="DI461">
        <v>0</v>
      </c>
      <c r="DJ461">
        <v>0</v>
      </c>
      <c r="DK461">
        <v>0</v>
      </c>
      <c r="DL461">
        <v>0</v>
      </c>
      <c r="DM461">
        <v>0</v>
      </c>
      <c r="DN461">
        <v>0</v>
      </c>
      <c r="DO461">
        <v>0</v>
      </c>
      <c r="DP461">
        <v>0</v>
      </c>
      <c r="DQ461">
        <v>0</v>
      </c>
      <c r="DR461">
        <v>0</v>
      </c>
      <c r="DS461">
        <v>0</v>
      </c>
      <c r="DT461">
        <v>0</v>
      </c>
      <c r="DU461">
        <v>0</v>
      </c>
      <c r="DV461">
        <v>0</v>
      </c>
      <c r="DW461">
        <v>0</v>
      </c>
      <c r="DX461">
        <v>0</v>
      </c>
      <c r="DY461">
        <v>0</v>
      </c>
      <c r="DZ461">
        <v>0</v>
      </c>
      <c r="EA461">
        <v>0</v>
      </c>
      <c r="EB461">
        <v>0</v>
      </c>
      <c r="EC461">
        <v>0</v>
      </c>
      <c r="ED461">
        <v>0</v>
      </c>
      <c r="EE461">
        <v>0</v>
      </c>
      <c r="EF461">
        <v>0</v>
      </c>
      <c r="EG461">
        <v>0</v>
      </c>
      <c r="EH461">
        <v>0</v>
      </c>
      <c r="EI461">
        <v>0</v>
      </c>
      <c r="EJ461">
        <v>0</v>
      </c>
      <c r="EK461">
        <v>0</v>
      </c>
      <c r="EL461">
        <v>0</v>
      </c>
      <c r="EM461">
        <v>0</v>
      </c>
      <c r="EN461">
        <v>0</v>
      </c>
      <c r="EO461">
        <v>0</v>
      </c>
      <c r="EP461">
        <v>0</v>
      </c>
      <c r="EQ461">
        <v>0</v>
      </c>
      <c r="ER461">
        <v>0</v>
      </c>
      <c r="ES461">
        <v>0</v>
      </c>
      <c r="ET461">
        <v>0</v>
      </c>
      <c r="EU461">
        <v>0</v>
      </c>
      <c r="EV461">
        <v>0</v>
      </c>
      <c r="EW461">
        <v>0</v>
      </c>
      <c r="EX461">
        <v>0</v>
      </c>
      <c r="EY461">
        <v>0</v>
      </c>
      <c r="EZ461">
        <v>0</v>
      </c>
      <c r="FA461">
        <v>0</v>
      </c>
      <c r="FB461">
        <v>0</v>
      </c>
      <c r="FC461">
        <v>0</v>
      </c>
      <c r="FD461">
        <v>0</v>
      </c>
      <c r="FE461">
        <v>0</v>
      </c>
      <c r="FF461">
        <v>0</v>
      </c>
      <c r="FG461">
        <v>0</v>
      </c>
      <c r="FH461">
        <v>0</v>
      </c>
      <c r="FI461">
        <v>0</v>
      </c>
      <c r="FJ461">
        <v>0</v>
      </c>
      <c r="FK461">
        <v>0</v>
      </c>
      <c r="FL461">
        <v>0</v>
      </c>
      <c r="FM461">
        <v>0</v>
      </c>
      <c r="FN461">
        <v>0</v>
      </c>
      <c r="FO461">
        <v>0</v>
      </c>
      <c r="FP461">
        <v>0</v>
      </c>
      <c r="FQ461">
        <v>0</v>
      </c>
      <c r="FR461">
        <v>0</v>
      </c>
      <c r="FS461">
        <v>0</v>
      </c>
      <c r="FT461">
        <v>0</v>
      </c>
      <c r="FU461">
        <v>0</v>
      </c>
      <c r="FV461">
        <v>0</v>
      </c>
      <c r="FW461">
        <v>0</v>
      </c>
      <c r="FX461">
        <v>0</v>
      </c>
      <c r="FY461">
        <v>0</v>
      </c>
      <c r="FZ461">
        <v>0</v>
      </c>
      <c r="GA461">
        <v>0</v>
      </c>
      <c r="GB461">
        <v>0</v>
      </c>
      <c r="GC461">
        <v>0</v>
      </c>
      <c r="GD461">
        <v>0</v>
      </c>
      <c r="GE461">
        <v>0</v>
      </c>
      <c r="GF461">
        <v>0</v>
      </c>
      <c r="GG461">
        <v>0</v>
      </c>
      <c r="GH461">
        <v>0</v>
      </c>
      <c r="GI461">
        <v>0</v>
      </c>
      <c r="GJ461">
        <v>0</v>
      </c>
      <c r="GK461">
        <v>0</v>
      </c>
      <c r="GL461">
        <v>0</v>
      </c>
      <c r="GM461">
        <v>0</v>
      </c>
      <c r="GN461">
        <v>0</v>
      </c>
      <c r="GO461">
        <v>0</v>
      </c>
      <c r="GP461">
        <v>0</v>
      </c>
      <c r="GQ461">
        <v>0</v>
      </c>
      <c r="GR461">
        <v>0</v>
      </c>
      <c r="GS461">
        <v>0</v>
      </c>
      <c r="GT461">
        <v>0</v>
      </c>
      <c r="GU461">
        <v>0</v>
      </c>
      <c r="GV461">
        <v>0</v>
      </c>
      <c r="GW461">
        <v>0</v>
      </c>
      <c r="GX461">
        <v>0</v>
      </c>
      <c r="GY461">
        <v>0</v>
      </c>
      <c r="GZ461">
        <v>0</v>
      </c>
      <c r="HA461">
        <v>0</v>
      </c>
      <c r="HB461">
        <v>0</v>
      </c>
      <c r="HC461">
        <v>0</v>
      </c>
      <c r="HD461">
        <v>0</v>
      </c>
      <c r="HE461">
        <v>0</v>
      </c>
      <c r="HF461">
        <v>0</v>
      </c>
      <c r="HG461">
        <v>0</v>
      </c>
      <c r="HH461">
        <v>0</v>
      </c>
      <c r="HI461">
        <v>0</v>
      </c>
      <c r="HJ461">
        <v>0</v>
      </c>
      <c r="HK461">
        <v>0</v>
      </c>
      <c r="HL461">
        <v>0</v>
      </c>
      <c r="HM461">
        <v>0</v>
      </c>
      <c r="HN461">
        <v>0</v>
      </c>
      <c r="HO461">
        <v>0</v>
      </c>
      <c r="HP461">
        <v>0</v>
      </c>
      <c r="HQ461">
        <v>0</v>
      </c>
      <c r="HR461">
        <v>0</v>
      </c>
      <c r="HS461">
        <v>0</v>
      </c>
      <c r="HT461">
        <v>0</v>
      </c>
      <c r="HU461">
        <v>0</v>
      </c>
      <c r="HV461">
        <v>0</v>
      </c>
      <c r="HW461">
        <v>0</v>
      </c>
      <c r="HX461">
        <v>0</v>
      </c>
      <c r="HY461">
        <v>0</v>
      </c>
      <c r="HZ461">
        <v>0</v>
      </c>
      <c r="IA461">
        <v>0</v>
      </c>
      <c r="IB461">
        <v>0</v>
      </c>
      <c r="IC461">
        <v>0</v>
      </c>
      <c r="ID461">
        <v>0</v>
      </c>
      <c r="IE461">
        <v>0</v>
      </c>
      <c r="IF461">
        <v>0</v>
      </c>
      <c r="IG461">
        <v>0</v>
      </c>
      <c r="IH461">
        <v>0</v>
      </c>
      <c r="II461">
        <v>0</v>
      </c>
      <c r="IJ461">
        <v>0</v>
      </c>
      <c r="IK461">
        <v>0</v>
      </c>
      <c r="IL461">
        <v>0</v>
      </c>
      <c r="IM461">
        <v>0</v>
      </c>
      <c r="IN461">
        <v>0</v>
      </c>
      <c r="IO461">
        <v>0</v>
      </c>
      <c r="IP461">
        <v>0</v>
      </c>
      <c r="IQ461">
        <v>0</v>
      </c>
      <c r="IR461">
        <v>0</v>
      </c>
      <c r="IS461">
        <v>0</v>
      </c>
      <c r="IT461">
        <v>0</v>
      </c>
      <c r="IU461">
        <v>0</v>
      </c>
      <c r="IV461">
        <v>0</v>
      </c>
      <c r="IW461">
        <v>0</v>
      </c>
      <c r="IX461">
        <v>0</v>
      </c>
      <c r="IY461">
        <v>0</v>
      </c>
      <c r="IZ461">
        <v>0</v>
      </c>
      <c r="JA461">
        <v>0</v>
      </c>
      <c r="JB461">
        <v>0</v>
      </c>
      <c r="JC461">
        <v>0</v>
      </c>
      <c r="JD461">
        <v>0</v>
      </c>
      <c r="JE461">
        <v>0</v>
      </c>
      <c r="JF461">
        <v>0</v>
      </c>
      <c r="JG461">
        <v>0</v>
      </c>
      <c r="JH461">
        <v>0</v>
      </c>
      <c r="JI461">
        <v>0</v>
      </c>
      <c r="JJ461">
        <v>0</v>
      </c>
      <c r="JK461">
        <v>0</v>
      </c>
      <c r="JL461">
        <v>0</v>
      </c>
      <c r="JM461">
        <v>0</v>
      </c>
      <c r="JN461">
        <v>0</v>
      </c>
      <c r="JO461">
        <v>0</v>
      </c>
      <c r="JP461">
        <v>0</v>
      </c>
      <c r="JQ461">
        <v>0</v>
      </c>
      <c r="JR461">
        <v>0</v>
      </c>
      <c r="JS461">
        <v>0</v>
      </c>
      <c r="JT461">
        <v>0</v>
      </c>
      <c r="JU461">
        <v>0</v>
      </c>
      <c r="JV461">
        <v>0</v>
      </c>
      <c r="JW461">
        <v>0</v>
      </c>
      <c r="JX461">
        <v>0</v>
      </c>
      <c r="JY461">
        <v>0</v>
      </c>
      <c r="JZ461">
        <v>0</v>
      </c>
      <c r="KA461">
        <v>0</v>
      </c>
      <c r="KB461">
        <v>0</v>
      </c>
      <c r="KC461">
        <v>0</v>
      </c>
      <c r="KD461">
        <v>0</v>
      </c>
      <c r="KE461">
        <v>0</v>
      </c>
      <c r="KF461">
        <v>0</v>
      </c>
      <c r="KG461">
        <v>0</v>
      </c>
      <c r="KH461">
        <v>0</v>
      </c>
      <c r="KI461">
        <v>0</v>
      </c>
      <c r="KJ461">
        <v>0</v>
      </c>
      <c r="KK461">
        <v>0</v>
      </c>
      <c r="KL461">
        <v>0</v>
      </c>
      <c r="KM461">
        <v>0</v>
      </c>
      <c r="KN461">
        <v>0</v>
      </c>
      <c r="KO461">
        <v>0</v>
      </c>
      <c r="KP461">
        <v>0</v>
      </c>
      <c r="KQ461">
        <v>0</v>
      </c>
      <c r="KR461">
        <v>0</v>
      </c>
      <c r="KS461">
        <v>0</v>
      </c>
      <c r="KT461">
        <v>0</v>
      </c>
      <c r="KU461">
        <v>0</v>
      </c>
      <c r="KV461">
        <v>0</v>
      </c>
      <c r="KW461">
        <v>0</v>
      </c>
      <c r="KX461">
        <v>0</v>
      </c>
      <c r="KY461">
        <v>0</v>
      </c>
      <c r="KZ461">
        <v>0</v>
      </c>
      <c r="LA461">
        <v>0</v>
      </c>
      <c r="LB461">
        <v>0</v>
      </c>
      <c r="LC461">
        <v>0</v>
      </c>
      <c r="LD461">
        <v>0</v>
      </c>
      <c r="LE461">
        <v>0</v>
      </c>
      <c r="LF461">
        <v>0</v>
      </c>
      <c r="LG461">
        <v>0</v>
      </c>
      <c r="LH461">
        <v>0</v>
      </c>
      <c r="LI461">
        <v>0</v>
      </c>
      <c r="LJ461">
        <v>0</v>
      </c>
      <c r="LK461">
        <v>0</v>
      </c>
      <c r="LL461">
        <v>0</v>
      </c>
      <c r="LM461">
        <v>0</v>
      </c>
      <c r="LN461">
        <v>0</v>
      </c>
      <c r="LO461">
        <v>0</v>
      </c>
      <c r="LP461">
        <v>0</v>
      </c>
      <c r="LQ461">
        <v>0</v>
      </c>
      <c r="LR461">
        <v>0</v>
      </c>
      <c r="LS461">
        <v>0</v>
      </c>
      <c r="LT461">
        <v>0</v>
      </c>
      <c r="LU461">
        <v>0</v>
      </c>
      <c r="LV461">
        <v>0</v>
      </c>
      <c r="LW461">
        <v>0</v>
      </c>
      <c r="LX461">
        <v>0</v>
      </c>
      <c r="LY461">
        <v>0</v>
      </c>
      <c r="LZ461">
        <v>0</v>
      </c>
      <c r="MA461">
        <v>0</v>
      </c>
      <c r="MB461">
        <v>0</v>
      </c>
      <c r="MC461">
        <v>0</v>
      </c>
      <c r="MD461">
        <v>0</v>
      </c>
      <c r="ME461">
        <v>0</v>
      </c>
      <c r="MF461">
        <v>0</v>
      </c>
      <c r="MG461">
        <v>0</v>
      </c>
      <c r="MH461">
        <v>0</v>
      </c>
      <c r="MI461">
        <v>0</v>
      </c>
      <c r="MJ461">
        <v>0</v>
      </c>
      <c r="MK461">
        <v>0</v>
      </c>
      <c r="ML461">
        <v>0</v>
      </c>
      <c r="MM461">
        <v>0</v>
      </c>
      <c r="MN461">
        <v>0</v>
      </c>
      <c r="MO461">
        <v>0</v>
      </c>
      <c r="MP461">
        <v>0</v>
      </c>
      <c r="MQ461">
        <v>0</v>
      </c>
      <c r="MR461">
        <v>0</v>
      </c>
      <c r="MS461">
        <v>0</v>
      </c>
      <c r="MT461">
        <v>0</v>
      </c>
      <c r="MU461">
        <v>0</v>
      </c>
      <c r="MV461">
        <v>0</v>
      </c>
      <c r="MW461">
        <v>0</v>
      </c>
      <c r="MX461">
        <v>0</v>
      </c>
      <c r="MY461">
        <v>0</v>
      </c>
      <c r="MZ461">
        <v>0</v>
      </c>
      <c r="NA461">
        <v>0</v>
      </c>
      <c r="NB461">
        <v>0</v>
      </c>
      <c r="NC461">
        <v>0</v>
      </c>
      <c r="ND461">
        <v>0</v>
      </c>
      <c r="NE461">
        <v>0</v>
      </c>
    </row>
    <row r="462" spans="41:369" x14ac:dyDescent="0.45">
      <c r="AO462">
        <v>0</v>
      </c>
      <c r="AP462">
        <v>0</v>
      </c>
      <c r="AQ462">
        <v>0</v>
      </c>
      <c r="AR462">
        <v>0</v>
      </c>
      <c r="AS462">
        <v>0</v>
      </c>
      <c r="AT462">
        <v>0</v>
      </c>
      <c r="AU462">
        <v>0</v>
      </c>
      <c r="AV462">
        <v>0</v>
      </c>
      <c r="AW462" t="str">
        <v/>
      </c>
      <c r="AX462">
        <v>255</v>
      </c>
      <c r="AY462" s="5" t="str">
        <v/>
      </c>
      <c r="AZ462">
        <v>0</v>
      </c>
      <c r="BA462">
        <v>0</v>
      </c>
      <c r="BB462">
        <v>0</v>
      </c>
      <c r="BC462">
        <v>0</v>
      </c>
      <c r="BD462">
        <v>0</v>
      </c>
      <c r="BE462">
        <v>0</v>
      </c>
      <c r="BF462">
        <v>0</v>
      </c>
      <c r="BG462">
        <v>0</v>
      </c>
      <c r="BH462">
        <v>0</v>
      </c>
      <c r="BI462" t="str">
        <v/>
      </c>
      <c r="BK462">
        <v>456</v>
      </c>
      <c r="BL462">
        <v>0</v>
      </c>
      <c r="BM462">
        <v>0</v>
      </c>
      <c r="BN462">
        <v>0</v>
      </c>
      <c r="BO462">
        <v>0</v>
      </c>
      <c r="BP462">
        <v>0</v>
      </c>
      <c r="BQ462">
        <v>0</v>
      </c>
      <c r="BR462">
        <v>0</v>
      </c>
      <c r="BS462">
        <v>0</v>
      </c>
      <c r="BT462">
        <v>0</v>
      </c>
      <c r="BU462">
        <v>0</v>
      </c>
      <c r="BV462">
        <v>0</v>
      </c>
      <c r="BW462">
        <v>0</v>
      </c>
      <c r="BX462">
        <v>0</v>
      </c>
      <c r="BY462">
        <v>0</v>
      </c>
      <c r="BZ462">
        <v>0</v>
      </c>
      <c r="CA462">
        <v>0</v>
      </c>
      <c r="CB462">
        <v>0</v>
      </c>
      <c r="CC462">
        <v>0</v>
      </c>
      <c r="CD462">
        <v>0</v>
      </c>
      <c r="CE462">
        <v>0</v>
      </c>
      <c r="CF462">
        <v>0</v>
      </c>
      <c r="CG462">
        <v>0</v>
      </c>
      <c r="CH462">
        <v>0</v>
      </c>
      <c r="CI462">
        <v>0</v>
      </c>
      <c r="CJ462">
        <v>0</v>
      </c>
      <c r="CK462">
        <v>0</v>
      </c>
      <c r="CL462">
        <v>0</v>
      </c>
      <c r="CM462">
        <v>0</v>
      </c>
      <c r="CN462">
        <v>0</v>
      </c>
      <c r="CO462">
        <v>0</v>
      </c>
      <c r="CP462">
        <v>0</v>
      </c>
      <c r="CQ462">
        <v>0</v>
      </c>
      <c r="CR462">
        <v>0</v>
      </c>
      <c r="CS462">
        <v>0</v>
      </c>
      <c r="CT462">
        <v>0</v>
      </c>
      <c r="CU462">
        <v>0</v>
      </c>
      <c r="CV462">
        <v>0</v>
      </c>
      <c r="CW462">
        <v>0</v>
      </c>
      <c r="CX462">
        <v>0</v>
      </c>
      <c r="CY462">
        <v>0</v>
      </c>
      <c r="CZ462">
        <v>0</v>
      </c>
      <c r="DA462">
        <v>0</v>
      </c>
      <c r="DB462">
        <v>0</v>
      </c>
      <c r="DC462">
        <v>0</v>
      </c>
      <c r="DD462">
        <v>0</v>
      </c>
      <c r="DE462">
        <v>0</v>
      </c>
      <c r="DF462">
        <v>0</v>
      </c>
      <c r="DG462">
        <v>0</v>
      </c>
      <c r="DH462">
        <v>0</v>
      </c>
      <c r="DI462">
        <v>0</v>
      </c>
      <c r="DJ462">
        <v>0</v>
      </c>
      <c r="DK462">
        <v>0</v>
      </c>
      <c r="DL462">
        <v>0</v>
      </c>
      <c r="DM462">
        <v>0</v>
      </c>
      <c r="DN462">
        <v>0</v>
      </c>
      <c r="DO462">
        <v>0</v>
      </c>
      <c r="DP462">
        <v>0</v>
      </c>
      <c r="DQ462">
        <v>0</v>
      </c>
      <c r="DR462">
        <v>0</v>
      </c>
      <c r="DS462">
        <v>0</v>
      </c>
      <c r="DT462">
        <v>0</v>
      </c>
      <c r="DU462">
        <v>0</v>
      </c>
      <c r="DV462">
        <v>0</v>
      </c>
      <c r="DW462">
        <v>0</v>
      </c>
      <c r="DX462">
        <v>0</v>
      </c>
      <c r="DY462">
        <v>0</v>
      </c>
      <c r="DZ462">
        <v>0</v>
      </c>
      <c r="EA462">
        <v>0</v>
      </c>
      <c r="EB462">
        <v>0</v>
      </c>
      <c r="EC462">
        <v>0</v>
      </c>
      <c r="ED462">
        <v>0</v>
      </c>
      <c r="EE462">
        <v>0</v>
      </c>
      <c r="EF462">
        <v>0</v>
      </c>
      <c r="EG462">
        <v>0</v>
      </c>
      <c r="EH462">
        <v>0</v>
      </c>
      <c r="EI462">
        <v>0</v>
      </c>
      <c r="EJ462">
        <v>0</v>
      </c>
      <c r="EK462">
        <v>0</v>
      </c>
      <c r="EL462">
        <v>0</v>
      </c>
      <c r="EM462">
        <v>0</v>
      </c>
      <c r="EN462">
        <v>0</v>
      </c>
      <c r="EO462">
        <v>0</v>
      </c>
      <c r="EP462">
        <v>0</v>
      </c>
      <c r="EQ462">
        <v>0</v>
      </c>
      <c r="ER462">
        <v>0</v>
      </c>
      <c r="ES462">
        <v>0</v>
      </c>
      <c r="ET462">
        <v>0</v>
      </c>
      <c r="EU462">
        <v>0</v>
      </c>
      <c r="EV462">
        <v>0</v>
      </c>
      <c r="EW462">
        <v>0</v>
      </c>
      <c r="EX462">
        <v>0</v>
      </c>
      <c r="EY462">
        <v>0</v>
      </c>
      <c r="EZ462">
        <v>0</v>
      </c>
      <c r="FA462">
        <v>0</v>
      </c>
      <c r="FB462">
        <v>0</v>
      </c>
      <c r="FC462">
        <v>0</v>
      </c>
      <c r="FD462">
        <v>0</v>
      </c>
      <c r="FE462">
        <v>0</v>
      </c>
      <c r="FF462">
        <v>0</v>
      </c>
      <c r="FG462">
        <v>0</v>
      </c>
      <c r="FH462">
        <v>0</v>
      </c>
      <c r="FI462">
        <v>0</v>
      </c>
      <c r="FJ462">
        <v>0</v>
      </c>
      <c r="FK462">
        <v>0</v>
      </c>
      <c r="FL462">
        <v>0</v>
      </c>
      <c r="FM462">
        <v>0</v>
      </c>
      <c r="FN462">
        <v>0</v>
      </c>
      <c r="FO462">
        <v>0</v>
      </c>
      <c r="FP462">
        <v>0</v>
      </c>
      <c r="FQ462">
        <v>0</v>
      </c>
      <c r="FR462">
        <v>0</v>
      </c>
      <c r="FS462">
        <v>0</v>
      </c>
      <c r="FT462">
        <v>0</v>
      </c>
      <c r="FU462">
        <v>0</v>
      </c>
      <c r="FV462">
        <v>0</v>
      </c>
      <c r="FW462">
        <v>0</v>
      </c>
      <c r="FX462">
        <v>0</v>
      </c>
      <c r="FY462">
        <v>0</v>
      </c>
      <c r="FZ462">
        <v>0</v>
      </c>
      <c r="GA462">
        <v>0</v>
      </c>
      <c r="GB462">
        <v>0</v>
      </c>
      <c r="GC462">
        <v>0</v>
      </c>
      <c r="GD462">
        <v>0</v>
      </c>
      <c r="GE462">
        <v>0</v>
      </c>
      <c r="GF462">
        <v>0</v>
      </c>
      <c r="GG462">
        <v>0</v>
      </c>
      <c r="GH462">
        <v>0</v>
      </c>
      <c r="GI462">
        <v>0</v>
      </c>
      <c r="GJ462">
        <v>0</v>
      </c>
      <c r="GK462">
        <v>0</v>
      </c>
      <c r="GL462">
        <v>0</v>
      </c>
      <c r="GM462">
        <v>0</v>
      </c>
      <c r="GN462">
        <v>0</v>
      </c>
      <c r="GO462">
        <v>0</v>
      </c>
      <c r="GP462">
        <v>0</v>
      </c>
      <c r="GQ462">
        <v>0</v>
      </c>
      <c r="GR462">
        <v>0</v>
      </c>
      <c r="GS462">
        <v>0</v>
      </c>
      <c r="GT462">
        <v>0</v>
      </c>
      <c r="GU462">
        <v>0</v>
      </c>
      <c r="GV462">
        <v>0</v>
      </c>
      <c r="GW462">
        <v>0</v>
      </c>
      <c r="GX462">
        <v>0</v>
      </c>
      <c r="GY462">
        <v>0</v>
      </c>
      <c r="GZ462">
        <v>0</v>
      </c>
      <c r="HA462">
        <v>0</v>
      </c>
      <c r="HB462">
        <v>0</v>
      </c>
      <c r="HC462">
        <v>0</v>
      </c>
      <c r="HD462">
        <v>0</v>
      </c>
      <c r="HE462">
        <v>0</v>
      </c>
      <c r="HF462">
        <v>0</v>
      </c>
      <c r="HG462">
        <v>0</v>
      </c>
      <c r="HH462">
        <v>0</v>
      </c>
      <c r="HI462">
        <v>0</v>
      </c>
      <c r="HJ462">
        <v>0</v>
      </c>
      <c r="HK462">
        <v>0</v>
      </c>
      <c r="HL462">
        <v>0</v>
      </c>
      <c r="HM462">
        <v>0</v>
      </c>
      <c r="HN462">
        <v>0</v>
      </c>
      <c r="HO462">
        <v>0</v>
      </c>
      <c r="HP462">
        <v>0</v>
      </c>
      <c r="HQ462">
        <v>0</v>
      </c>
      <c r="HR462">
        <v>0</v>
      </c>
      <c r="HS462">
        <v>0</v>
      </c>
      <c r="HT462">
        <v>0</v>
      </c>
      <c r="HU462">
        <v>0</v>
      </c>
      <c r="HV462">
        <v>0</v>
      </c>
      <c r="HW462">
        <v>0</v>
      </c>
      <c r="HX462">
        <v>0</v>
      </c>
      <c r="HY462">
        <v>0</v>
      </c>
      <c r="HZ462">
        <v>0</v>
      </c>
      <c r="IA462">
        <v>0</v>
      </c>
      <c r="IB462">
        <v>0</v>
      </c>
      <c r="IC462">
        <v>0</v>
      </c>
      <c r="ID462">
        <v>0</v>
      </c>
      <c r="IE462">
        <v>0</v>
      </c>
      <c r="IF462">
        <v>0</v>
      </c>
      <c r="IG462">
        <v>0</v>
      </c>
      <c r="IH462">
        <v>0</v>
      </c>
      <c r="II462">
        <v>0</v>
      </c>
      <c r="IJ462">
        <v>0</v>
      </c>
      <c r="IK462">
        <v>0</v>
      </c>
      <c r="IL462">
        <v>0</v>
      </c>
      <c r="IM462">
        <v>0</v>
      </c>
      <c r="IN462">
        <v>0</v>
      </c>
      <c r="IO462">
        <v>0</v>
      </c>
      <c r="IP462">
        <v>0</v>
      </c>
      <c r="IQ462">
        <v>0</v>
      </c>
      <c r="IR462">
        <v>0</v>
      </c>
      <c r="IS462">
        <v>0</v>
      </c>
      <c r="IT462">
        <v>0</v>
      </c>
      <c r="IU462">
        <v>0</v>
      </c>
      <c r="IV462">
        <v>0</v>
      </c>
      <c r="IW462">
        <v>0</v>
      </c>
      <c r="IX462">
        <v>0</v>
      </c>
      <c r="IY462">
        <v>0</v>
      </c>
      <c r="IZ462">
        <v>0</v>
      </c>
      <c r="JA462">
        <v>0</v>
      </c>
      <c r="JB462">
        <v>0</v>
      </c>
      <c r="JC462">
        <v>0</v>
      </c>
      <c r="JD462">
        <v>0</v>
      </c>
      <c r="JE462">
        <v>0</v>
      </c>
      <c r="JF462">
        <v>0</v>
      </c>
      <c r="JG462">
        <v>0</v>
      </c>
      <c r="JH462">
        <v>0</v>
      </c>
      <c r="JI462">
        <v>0</v>
      </c>
      <c r="JJ462">
        <v>0</v>
      </c>
      <c r="JK462">
        <v>0</v>
      </c>
      <c r="JL462">
        <v>0</v>
      </c>
      <c r="JM462">
        <v>0</v>
      </c>
      <c r="JN462">
        <v>0</v>
      </c>
      <c r="JO462">
        <v>0</v>
      </c>
      <c r="JP462">
        <v>0</v>
      </c>
      <c r="JQ462">
        <v>0</v>
      </c>
      <c r="JR462">
        <v>0</v>
      </c>
      <c r="JS462">
        <v>0</v>
      </c>
      <c r="JT462">
        <v>0</v>
      </c>
      <c r="JU462">
        <v>0</v>
      </c>
      <c r="JV462">
        <v>0</v>
      </c>
      <c r="JW462">
        <v>0</v>
      </c>
      <c r="JX462">
        <v>0</v>
      </c>
      <c r="JY462">
        <v>0</v>
      </c>
      <c r="JZ462">
        <v>0</v>
      </c>
      <c r="KA462">
        <v>0</v>
      </c>
      <c r="KB462">
        <v>0</v>
      </c>
      <c r="KC462">
        <v>0</v>
      </c>
      <c r="KD462">
        <v>0</v>
      </c>
      <c r="KE462">
        <v>0</v>
      </c>
      <c r="KF462">
        <v>0</v>
      </c>
      <c r="KG462">
        <v>0</v>
      </c>
      <c r="KH462">
        <v>0</v>
      </c>
      <c r="KI462">
        <v>0</v>
      </c>
      <c r="KJ462">
        <v>0</v>
      </c>
      <c r="KK462">
        <v>0</v>
      </c>
      <c r="KL462">
        <v>0</v>
      </c>
      <c r="KM462">
        <v>0</v>
      </c>
      <c r="KN462">
        <v>0</v>
      </c>
      <c r="KO462">
        <v>0</v>
      </c>
      <c r="KP462">
        <v>0</v>
      </c>
      <c r="KQ462">
        <v>0</v>
      </c>
      <c r="KR462">
        <v>0</v>
      </c>
      <c r="KS462">
        <v>0</v>
      </c>
      <c r="KT462">
        <v>0</v>
      </c>
      <c r="KU462">
        <v>0</v>
      </c>
      <c r="KV462">
        <v>0</v>
      </c>
      <c r="KW462">
        <v>0</v>
      </c>
      <c r="KX462">
        <v>0</v>
      </c>
      <c r="KY462">
        <v>0</v>
      </c>
      <c r="KZ462">
        <v>0</v>
      </c>
      <c r="LA462">
        <v>0</v>
      </c>
      <c r="LB462">
        <v>0</v>
      </c>
      <c r="LC462">
        <v>0</v>
      </c>
      <c r="LD462">
        <v>0</v>
      </c>
      <c r="LE462">
        <v>0</v>
      </c>
      <c r="LF462">
        <v>0</v>
      </c>
      <c r="LG462">
        <v>0</v>
      </c>
      <c r="LH462">
        <v>0</v>
      </c>
      <c r="LI462">
        <v>0</v>
      </c>
      <c r="LJ462">
        <v>0</v>
      </c>
      <c r="LK462">
        <v>0</v>
      </c>
      <c r="LL462">
        <v>0</v>
      </c>
      <c r="LM462">
        <v>0</v>
      </c>
      <c r="LN462">
        <v>0</v>
      </c>
      <c r="LO462">
        <v>0</v>
      </c>
      <c r="LP462">
        <v>0</v>
      </c>
      <c r="LQ462">
        <v>0</v>
      </c>
      <c r="LR462">
        <v>0</v>
      </c>
      <c r="LS462">
        <v>0</v>
      </c>
      <c r="LT462">
        <v>0</v>
      </c>
      <c r="LU462">
        <v>0</v>
      </c>
      <c r="LV462">
        <v>0</v>
      </c>
      <c r="LW462">
        <v>0</v>
      </c>
      <c r="LX462">
        <v>0</v>
      </c>
      <c r="LY462">
        <v>0</v>
      </c>
      <c r="LZ462">
        <v>0</v>
      </c>
      <c r="MA462">
        <v>0</v>
      </c>
      <c r="MB462">
        <v>0</v>
      </c>
      <c r="MC462">
        <v>0</v>
      </c>
      <c r="MD462">
        <v>0</v>
      </c>
      <c r="ME462">
        <v>0</v>
      </c>
      <c r="MF462">
        <v>0</v>
      </c>
      <c r="MG462">
        <v>0</v>
      </c>
      <c r="MH462">
        <v>0</v>
      </c>
      <c r="MI462">
        <v>0</v>
      </c>
      <c r="MJ462">
        <v>0</v>
      </c>
      <c r="MK462">
        <v>0</v>
      </c>
      <c r="ML462">
        <v>0</v>
      </c>
      <c r="MM462">
        <v>0</v>
      </c>
      <c r="MN462">
        <v>0</v>
      </c>
      <c r="MO462">
        <v>0</v>
      </c>
      <c r="MP462">
        <v>0</v>
      </c>
      <c r="MQ462">
        <v>0</v>
      </c>
      <c r="MR462">
        <v>0</v>
      </c>
      <c r="MS462">
        <v>0</v>
      </c>
      <c r="MT462">
        <v>0</v>
      </c>
      <c r="MU462">
        <v>0</v>
      </c>
      <c r="MV462">
        <v>0</v>
      </c>
      <c r="MW462">
        <v>0</v>
      </c>
      <c r="MX462">
        <v>0</v>
      </c>
      <c r="MY462">
        <v>0</v>
      </c>
      <c r="MZ462">
        <v>0</v>
      </c>
      <c r="NA462">
        <v>0</v>
      </c>
      <c r="NB462">
        <v>0</v>
      </c>
      <c r="NC462">
        <v>0</v>
      </c>
      <c r="ND462">
        <v>0</v>
      </c>
      <c r="NE462">
        <v>0</v>
      </c>
    </row>
    <row r="463" spans="41:369" x14ac:dyDescent="0.45">
      <c r="AO463">
        <v>0</v>
      </c>
      <c r="AP463">
        <v>0</v>
      </c>
      <c r="AQ463">
        <v>0</v>
      </c>
      <c r="AR463">
        <v>0</v>
      </c>
      <c r="AS463">
        <v>0</v>
      </c>
      <c r="AT463">
        <v>0</v>
      </c>
      <c r="AU463">
        <v>0</v>
      </c>
      <c r="AV463">
        <v>0</v>
      </c>
      <c r="AW463" t="str">
        <v/>
      </c>
      <c r="AX463">
        <v>255</v>
      </c>
      <c r="AY463" s="5" t="str">
        <v/>
      </c>
      <c r="AZ463">
        <v>0</v>
      </c>
      <c r="BA463">
        <v>0</v>
      </c>
      <c r="BB463">
        <v>0</v>
      </c>
      <c r="BC463">
        <v>0</v>
      </c>
      <c r="BD463">
        <v>0</v>
      </c>
      <c r="BE463">
        <v>0</v>
      </c>
      <c r="BF463">
        <v>0</v>
      </c>
      <c r="BG463">
        <v>0</v>
      </c>
      <c r="BH463">
        <v>0</v>
      </c>
      <c r="BI463" t="str">
        <v/>
      </c>
      <c r="BK463">
        <v>457</v>
      </c>
      <c r="BL463">
        <v>0</v>
      </c>
      <c r="BM463">
        <v>0</v>
      </c>
      <c r="BN463">
        <v>0</v>
      </c>
      <c r="BO463">
        <v>0</v>
      </c>
      <c r="BP463">
        <v>0</v>
      </c>
      <c r="BQ463">
        <v>0</v>
      </c>
      <c r="BR463">
        <v>0</v>
      </c>
      <c r="BS463">
        <v>0</v>
      </c>
      <c r="BT463">
        <v>0</v>
      </c>
      <c r="BU463">
        <v>0</v>
      </c>
      <c r="BV463">
        <v>0</v>
      </c>
      <c r="BW463">
        <v>0</v>
      </c>
      <c r="BX463">
        <v>0</v>
      </c>
      <c r="BY463">
        <v>0</v>
      </c>
      <c r="BZ463">
        <v>0</v>
      </c>
      <c r="CA463">
        <v>0</v>
      </c>
      <c r="CB463">
        <v>0</v>
      </c>
      <c r="CC463">
        <v>0</v>
      </c>
      <c r="CD463">
        <v>0</v>
      </c>
      <c r="CE463">
        <v>0</v>
      </c>
      <c r="CF463">
        <v>0</v>
      </c>
      <c r="CG463">
        <v>0</v>
      </c>
      <c r="CH463">
        <v>0</v>
      </c>
      <c r="CI463">
        <v>0</v>
      </c>
      <c r="CJ463">
        <v>0</v>
      </c>
      <c r="CK463">
        <v>0</v>
      </c>
      <c r="CL463">
        <v>0</v>
      </c>
      <c r="CM463">
        <v>0</v>
      </c>
      <c r="CN463">
        <v>0</v>
      </c>
      <c r="CO463">
        <v>0</v>
      </c>
      <c r="CP463">
        <v>0</v>
      </c>
      <c r="CQ463">
        <v>0</v>
      </c>
      <c r="CR463">
        <v>0</v>
      </c>
      <c r="CS463">
        <v>0</v>
      </c>
      <c r="CT463">
        <v>0</v>
      </c>
      <c r="CU463">
        <v>0</v>
      </c>
      <c r="CV463">
        <v>0</v>
      </c>
      <c r="CW463">
        <v>0</v>
      </c>
      <c r="CX463">
        <v>0</v>
      </c>
      <c r="CY463">
        <v>0</v>
      </c>
      <c r="CZ463">
        <v>0</v>
      </c>
      <c r="DA463">
        <v>0</v>
      </c>
      <c r="DB463">
        <v>0</v>
      </c>
      <c r="DC463">
        <v>0</v>
      </c>
      <c r="DD463">
        <v>0</v>
      </c>
      <c r="DE463">
        <v>0</v>
      </c>
      <c r="DF463">
        <v>0</v>
      </c>
      <c r="DG463">
        <v>0</v>
      </c>
      <c r="DH463">
        <v>0</v>
      </c>
      <c r="DI463">
        <v>0</v>
      </c>
      <c r="DJ463">
        <v>0</v>
      </c>
      <c r="DK463">
        <v>0</v>
      </c>
      <c r="DL463">
        <v>0</v>
      </c>
      <c r="DM463">
        <v>0</v>
      </c>
      <c r="DN463">
        <v>0</v>
      </c>
      <c r="DO463">
        <v>0</v>
      </c>
      <c r="DP463">
        <v>0</v>
      </c>
      <c r="DQ463">
        <v>0</v>
      </c>
      <c r="DR463">
        <v>0</v>
      </c>
      <c r="DS463">
        <v>0</v>
      </c>
      <c r="DT463">
        <v>0</v>
      </c>
      <c r="DU463">
        <v>0</v>
      </c>
      <c r="DV463">
        <v>0</v>
      </c>
      <c r="DW463">
        <v>0</v>
      </c>
      <c r="DX463">
        <v>0</v>
      </c>
      <c r="DY463">
        <v>0</v>
      </c>
      <c r="DZ463">
        <v>0</v>
      </c>
      <c r="EA463">
        <v>0</v>
      </c>
      <c r="EB463">
        <v>0</v>
      </c>
      <c r="EC463">
        <v>0</v>
      </c>
      <c r="ED463">
        <v>0</v>
      </c>
      <c r="EE463">
        <v>0</v>
      </c>
      <c r="EF463">
        <v>0</v>
      </c>
      <c r="EG463">
        <v>0</v>
      </c>
      <c r="EH463">
        <v>0</v>
      </c>
      <c r="EI463">
        <v>0</v>
      </c>
      <c r="EJ463">
        <v>0</v>
      </c>
      <c r="EK463">
        <v>0</v>
      </c>
      <c r="EL463">
        <v>0</v>
      </c>
      <c r="EM463">
        <v>0</v>
      </c>
      <c r="EN463">
        <v>0</v>
      </c>
      <c r="EO463">
        <v>0</v>
      </c>
      <c r="EP463">
        <v>0</v>
      </c>
      <c r="EQ463">
        <v>0</v>
      </c>
      <c r="ER463">
        <v>0</v>
      </c>
      <c r="ES463">
        <v>0</v>
      </c>
      <c r="ET463">
        <v>0</v>
      </c>
      <c r="EU463">
        <v>0</v>
      </c>
      <c r="EV463">
        <v>0</v>
      </c>
      <c r="EW463">
        <v>0</v>
      </c>
      <c r="EX463">
        <v>0</v>
      </c>
      <c r="EY463">
        <v>0</v>
      </c>
      <c r="EZ463">
        <v>0</v>
      </c>
      <c r="FA463">
        <v>0</v>
      </c>
      <c r="FB463">
        <v>0</v>
      </c>
      <c r="FC463">
        <v>0</v>
      </c>
      <c r="FD463">
        <v>0</v>
      </c>
      <c r="FE463">
        <v>0</v>
      </c>
      <c r="FF463">
        <v>0</v>
      </c>
      <c r="FG463">
        <v>0</v>
      </c>
      <c r="FH463">
        <v>0</v>
      </c>
      <c r="FI463">
        <v>0</v>
      </c>
      <c r="FJ463">
        <v>0</v>
      </c>
      <c r="FK463">
        <v>0</v>
      </c>
      <c r="FL463">
        <v>0</v>
      </c>
      <c r="FM463">
        <v>0</v>
      </c>
      <c r="FN463">
        <v>0</v>
      </c>
      <c r="FO463">
        <v>0</v>
      </c>
      <c r="FP463">
        <v>0</v>
      </c>
      <c r="FQ463">
        <v>0</v>
      </c>
      <c r="FR463">
        <v>0</v>
      </c>
      <c r="FS463">
        <v>0</v>
      </c>
      <c r="FT463">
        <v>0</v>
      </c>
      <c r="FU463">
        <v>0</v>
      </c>
      <c r="FV463">
        <v>0</v>
      </c>
      <c r="FW463">
        <v>0</v>
      </c>
      <c r="FX463">
        <v>0</v>
      </c>
      <c r="FY463">
        <v>0</v>
      </c>
      <c r="FZ463">
        <v>0</v>
      </c>
      <c r="GA463">
        <v>0</v>
      </c>
      <c r="GB463">
        <v>0</v>
      </c>
      <c r="GC463">
        <v>0</v>
      </c>
      <c r="GD463">
        <v>0</v>
      </c>
      <c r="GE463">
        <v>0</v>
      </c>
      <c r="GF463">
        <v>0</v>
      </c>
      <c r="GG463">
        <v>0</v>
      </c>
      <c r="GH463">
        <v>0</v>
      </c>
      <c r="GI463">
        <v>0</v>
      </c>
      <c r="GJ463">
        <v>0</v>
      </c>
      <c r="GK463">
        <v>0</v>
      </c>
      <c r="GL463">
        <v>0</v>
      </c>
      <c r="GM463">
        <v>0</v>
      </c>
      <c r="GN463">
        <v>0</v>
      </c>
      <c r="GO463">
        <v>0</v>
      </c>
      <c r="GP463">
        <v>0</v>
      </c>
      <c r="GQ463">
        <v>0</v>
      </c>
      <c r="GR463">
        <v>0</v>
      </c>
      <c r="GS463">
        <v>0</v>
      </c>
      <c r="GT463">
        <v>0</v>
      </c>
      <c r="GU463">
        <v>0</v>
      </c>
      <c r="GV463">
        <v>0</v>
      </c>
      <c r="GW463">
        <v>0</v>
      </c>
      <c r="GX463">
        <v>0</v>
      </c>
      <c r="GY463">
        <v>0</v>
      </c>
      <c r="GZ463">
        <v>0</v>
      </c>
      <c r="HA463">
        <v>0</v>
      </c>
      <c r="HB463">
        <v>0</v>
      </c>
      <c r="HC463">
        <v>0</v>
      </c>
      <c r="HD463">
        <v>0</v>
      </c>
      <c r="HE463">
        <v>0</v>
      </c>
      <c r="HF463">
        <v>0</v>
      </c>
      <c r="HG463">
        <v>0</v>
      </c>
      <c r="HH463">
        <v>0</v>
      </c>
      <c r="HI463">
        <v>0</v>
      </c>
      <c r="HJ463">
        <v>0</v>
      </c>
      <c r="HK463">
        <v>0</v>
      </c>
      <c r="HL463">
        <v>0</v>
      </c>
      <c r="HM463">
        <v>0</v>
      </c>
      <c r="HN463">
        <v>0</v>
      </c>
      <c r="HO463">
        <v>0</v>
      </c>
      <c r="HP463">
        <v>0</v>
      </c>
      <c r="HQ463">
        <v>0</v>
      </c>
      <c r="HR463">
        <v>0</v>
      </c>
      <c r="HS463">
        <v>0</v>
      </c>
      <c r="HT463">
        <v>0</v>
      </c>
      <c r="HU463">
        <v>0</v>
      </c>
      <c r="HV463">
        <v>0</v>
      </c>
      <c r="HW463">
        <v>0</v>
      </c>
      <c r="HX463">
        <v>0</v>
      </c>
      <c r="HY463">
        <v>0</v>
      </c>
      <c r="HZ463">
        <v>0</v>
      </c>
      <c r="IA463">
        <v>0</v>
      </c>
      <c r="IB463">
        <v>0</v>
      </c>
      <c r="IC463">
        <v>0</v>
      </c>
      <c r="ID463">
        <v>0</v>
      </c>
      <c r="IE463">
        <v>0</v>
      </c>
      <c r="IF463">
        <v>0</v>
      </c>
      <c r="IG463">
        <v>0</v>
      </c>
      <c r="IH463">
        <v>0</v>
      </c>
      <c r="II463">
        <v>0</v>
      </c>
      <c r="IJ463">
        <v>0</v>
      </c>
      <c r="IK463">
        <v>0</v>
      </c>
      <c r="IL463">
        <v>0</v>
      </c>
      <c r="IM463">
        <v>0</v>
      </c>
      <c r="IN463">
        <v>0</v>
      </c>
      <c r="IO463">
        <v>0</v>
      </c>
      <c r="IP463">
        <v>0</v>
      </c>
      <c r="IQ463">
        <v>0</v>
      </c>
      <c r="IR463">
        <v>0</v>
      </c>
      <c r="IS463">
        <v>0</v>
      </c>
      <c r="IT463">
        <v>0</v>
      </c>
      <c r="IU463">
        <v>0</v>
      </c>
      <c r="IV463">
        <v>0</v>
      </c>
      <c r="IW463">
        <v>0</v>
      </c>
      <c r="IX463">
        <v>0</v>
      </c>
      <c r="IY463">
        <v>0</v>
      </c>
      <c r="IZ463">
        <v>0</v>
      </c>
      <c r="JA463">
        <v>0</v>
      </c>
      <c r="JB463">
        <v>0</v>
      </c>
      <c r="JC463">
        <v>0</v>
      </c>
      <c r="JD463">
        <v>0</v>
      </c>
      <c r="JE463">
        <v>0</v>
      </c>
      <c r="JF463">
        <v>0</v>
      </c>
      <c r="JG463">
        <v>0</v>
      </c>
      <c r="JH463">
        <v>0</v>
      </c>
      <c r="JI463">
        <v>0</v>
      </c>
      <c r="JJ463">
        <v>0</v>
      </c>
      <c r="JK463">
        <v>0</v>
      </c>
      <c r="JL463">
        <v>0</v>
      </c>
      <c r="JM463">
        <v>0</v>
      </c>
      <c r="JN463">
        <v>0</v>
      </c>
      <c r="JO463">
        <v>0</v>
      </c>
      <c r="JP463">
        <v>0</v>
      </c>
      <c r="JQ463">
        <v>0</v>
      </c>
      <c r="JR463">
        <v>0</v>
      </c>
      <c r="JS463">
        <v>0</v>
      </c>
      <c r="JT463">
        <v>0</v>
      </c>
      <c r="JU463">
        <v>0</v>
      </c>
      <c r="JV463">
        <v>0</v>
      </c>
      <c r="JW463">
        <v>0</v>
      </c>
      <c r="JX463">
        <v>0</v>
      </c>
      <c r="JY463">
        <v>0</v>
      </c>
      <c r="JZ463">
        <v>0</v>
      </c>
      <c r="KA463">
        <v>0</v>
      </c>
      <c r="KB463">
        <v>0</v>
      </c>
      <c r="KC463">
        <v>0</v>
      </c>
      <c r="KD463">
        <v>0</v>
      </c>
      <c r="KE463">
        <v>0</v>
      </c>
      <c r="KF463">
        <v>0</v>
      </c>
      <c r="KG463">
        <v>0</v>
      </c>
      <c r="KH463">
        <v>0</v>
      </c>
      <c r="KI463">
        <v>0</v>
      </c>
      <c r="KJ463">
        <v>0</v>
      </c>
      <c r="KK463">
        <v>0</v>
      </c>
      <c r="KL463">
        <v>0</v>
      </c>
      <c r="KM463">
        <v>0</v>
      </c>
      <c r="KN463">
        <v>0</v>
      </c>
      <c r="KO463">
        <v>0</v>
      </c>
      <c r="KP463">
        <v>0</v>
      </c>
      <c r="KQ463">
        <v>0</v>
      </c>
      <c r="KR463">
        <v>0</v>
      </c>
      <c r="KS463">
        <v>0</v>
      </c>
      <c r="KT463">
        <v>0</v>
      </c>
      <c r="KU463">
        <v>0</v>
      </c>
      <c r="KV463">
        <v>0</v>
      </c>
      <c r="KW463">
        <v>0</v>
      </c>
      <c r="KX463">
        <v>0</v>
      </c>
      <c r="KY463">
        <v>0</v>
      </c>
      <c r="KZ463">
        <v>0</v>
      </c>
      <c r="LA463">
        <v>0</v>
      </c>
      <c r="LB463">
        <v>0</v>
      </c>
      <c r="LC463">
        <v>0</v>
      </c>
      <c r="LD463">
        <v>0</v>
      </c>
      <c r="LE463">
        <v>0</v>
      </c>
      <c r="LF463">
        <v>0</v>
      </c>
      <c r="LG463">
        <v>0</v>
      </c>
      <c r="LH463">
        <v>0</v>
      </c>
      <c r="LI463">
        <v>0</v>
      </c>
      <c r="LJ463">
        <v>0</v>
      </c>
      <c r="LK463">
        <v>0</v>
      </c>
      <c r="LL463">
        <v>0</v>
      </c>
      <c r="LM463">
        <v>0</v>
      </c>
      <c r="LN463">
        <v>0</v>
      </c>
      <c r="LO463">
        <v>0</v>
      </c>
      <c r="LP463">
        <v>0</v>
      </c>
      <c r="LQ463">
        <v>0</v>
      </c>
      <c r="LR463">
        <v>0</v>
      </c>
      <c r="LS463">
        <v>0</v>
      </c>
      <c r="LT463">
        <v>0</v>
      </c>
      <c r="LU463">
        <v>0</v>
      </c>
      <c r="LV463">
        <v>0</v>
      </c>
      <c r="LW463">
        <v>0</v>
      </c>
      <c r="LX463">
        <v>0</v>
      </c>
      <c r="LY463">
        <v>0</v>
      </c>
      <c r="LZ463">
        <v>0</v>
      </c>
      <c r="MA463">
        <v>0</v>
      </c>
      <c r="MB463">
        <v>0</v>
      </c>
      <c r="MC463">
        <v>0</v>
      </c>
      <c r="MD463">
        <v>0</v>
      </c>
      <c r="ME463">
        <v>0</v>
      </c>
      <c r="MF463">
        <v>0</v>
      </c>
      <c r="MG463">
        <v>0</v>
      </c>
      <c r="MH463">
        <v>0</v>
      </c>
      <c r="MI463">
        <v>0</v>
      </c>
      <c r="MJ463">
        <v>0</v>
      </c>
      <c r="MK463">
        <v>0</v>
      </c>
      <c r="ML463">
        <v>0</v>
      </c>
      <c r="MM463">
        <v>0</v>
      </c>
      <c r="MN463">
        <v>0</v>
      </c>
      <c r="MO463">
        <v>0</v>
      </c>
      <c r="MP463">
        <v>0</v>
      </c>
      <c r="MQ463">
        <v>0</v>
      </c>
      <c r="MR463">
        <v>0</v>
      </c>
      <c r="MS463">
        <v>0</v>
      </c>
      <c r="MT463">
        <v>0</v>
      </c>
      <c r="MU463">
        <v>0</v>
      </c>
      <c r="MV463">
        <v>0</v>
      </c>
      <c r="MW463">
        <v>0</v>
      </c>
      <c r="MX463">
        <v>0</v>
      </c>
      <c r="MY463">
        <v>0</v>
      </c>
      <c r="MZ463">
        <v>0</v>
      </c>
      <c r="NA463">
        <v>0</v>
      </c>
      <c r="NB463">
        <v>0</v>
      </c>
      <c r="NC463">
        <v>0</v>
      </c>
      <c r="ND463">
        <v>0</v>
      </c>
      <c r="NE463">
        <v>0</v>
      </c>
    </row>
    <row r="464" spans="41:369" x14ac:dyDescent="0.45">
      <c r="AO464">
        <v>0</v>
      </c>
      <c r="AP464">
        <v>0</v>
      </c>
      <c r="AQ464">
        <v>0</v>
      </c>
      <c r="AR464">
        <v>0</v>
      </c>
      <c r="AS464">
        <v>0</v>
      </c>
      <c r="AT464">
        <v>0</v>
      </c>
      <c r="AU464">
        <v>0</v>
      </c>
      <c r="AV464">
        <v>0</v>
      </c>
      <c r="AW464" t="str">
        <v/>
      </c>
      <c r="AX464">
        <v>255</v>
      </c>
      <c r="AY464" s="5" t="str">
        <v/>
      </c>
      <c r="AZ464">
        <v>0</v>
      </c>
      <c r="BA464">
        <v>0</v>
      </c>
      <c r="BB464">
        <v>0</v>
      </c>
      <c r="BC464">
        <v>0</v>
      </c>
      <c r="BD464">
        <v>0</v>
      </c>
      <c r="BE464">
        <v>0</v>
      </c>
      <c r="BF464">
        <v>0</v>
      </c>
      <c r="BG464">
        <v>0</v>
      </c>
      <c r="BH464">
        <v>0</v>
      </c>
      <c r="BI464" t="str">
        <v/>
      </c>
      <c r="BK464">
        <v>458</v>
      </c>
      <c r="BL464">
        <v>0</v>
      </c>
      <c r="BM464">
        <v>0</v>
      </c>
      <c r="BN464">
        <v>0</v>
      </c>
      <c r="BO464">
        <v>0</v>
      </c>
      <c r="BP464">
        <v>0</v>
      </c>
      <c r="BQ464">
        <v>0</v>
      </c>
      <c r="BR464">
        <v>0</v>
      </c>
      <c r="BS464">
        <v>0</v>
      </c>
      <c r="BT464">
        <v>0</v>
      </c>
      <c r="BU464">
        <v>0</v>
      </c>
      <c r="BV464">
        <v>0</v>
      </c>
      <c r="BW464">
        <v>0</v>
      </c>
      <c r="BX464">
        <v>0</v>
      </c>
      <c r="BY464">
        <v>0</v>
      </c>
      <c r="BZ464">
        <v>0</v>
      </c>
      <c r="CA464">
        <v>0</v>
      </c>
      <c r="CB464">
        <v>0</v>
      </c>
      <c r="CC464">
        <v>0</v>
      </c>
      <c r="CD464">
        <v>0</v>
      </c>
      <c r="CE464">
        <v>0</v>
      </c>
      <c r="CF464">
        <v>0</v>
      </c>
      <c r="CG464">
        <v>0</v>
      </c>
      <c r="CH464">
        <v>0</v>
      </c>
      <c r="CI464">
        <v>0</v>
      </c>
      <c r="CJ464">
        <v>0</v>
      </c>
      <c r="CK464">
        <v>0</v>
      </c>
      <c r="CL464">
        <v>0</v>
      </c>
      <c r="CM464">
        <v>0</v>
      </c>
      <c r="CN464">
        <v>0</v>
      </c>
      <c r="CO464">
        <v>0</v>
      </c>
      <c r="CP464">
        <v>0</v>
      </c>
      <c r="CQ464">
        <v>0</v>
      </c>
      <c r="CR464">
        <v>0</v>
      </c>
      <c r="CS464">
        <v>0</v>
      </c>
      <c r="CT464">
        <v>0</v>
      </c>
      <c r="CU464">
        <v>0</v>
      </c>
      <c r="CV464">
        <v>0</v>
      </c>
      <c r="CW464">
        <v>0</v>
      </c>
      <c r="CX464">
        <v>0</v>
      </c>
      <c r="CY464">
        <v>0</v>
      </c>
      <c r="CZ464">
        <v>0</v>
      </c>
      <c r="DA464">
        <v>0</v>
      </c>
      <c r="DB464">
        <v>0</v>
      </c>
      <c r="DC464">
        <v>0</v>
      </c>
      <c r="DD464">
        <v>0</v>
      </c>
      <c r="DE464">
        <v>0</v>
      </c>
      <c r="DF464">
        <v>0</v>
      </c>
      <c r="DG464">
        <v>0</v>
      </c>
      <c r="DH464">
        <v>0</v>
      </c>
      <c r="DI464">
        <v>0</v>
      </c>
      <c r="DJ464">
        <v>0</v>
      </c>
      <c r="DK464">
        <v>0</v>
      </c>
      <c r="DL464">
        <v>0</v>
      </c>
      <c r="DM464">
        <v>0</v>
      </c>
      <c r="DN464">
        <v>0</v>
      </c>
      <c r="DO464">
        <v>0</v>
      </c>
      <c r="DP464">
        <v>0</v>
      </c>
      <c r="DQ464">
        <v>0</v>
      </c>
      <c r="DR464">
        <v>0</v>
      </c>
      <c r="DS464">
        <v>0</v>
      </c>
      <c r="DT464">
        <v>0</v>
      </c>
      <c r="DU464">
        <v>0</v>
      </c>
      <c r="DV464">
        <v>0</v>
      </c>
      <c r="DW464">
        <v>0</v>
      </c>
      <c r="DX464">
        <v>0</v>
      </c>
      <c r="DY464">
        <v>0</v>
      </c>
      <c r="DZ464">
        <v>0</v>
      </c>
      <c r="EA464">
        <v>0</v>
      </c>
      <c r="EB464">
        <v>0</v>
      </c>
      <c r="EC464">
        <v>0</v>
      </c>
      <c r="ED464">
        <v>0</v>
      </c>
      <c r="EE464">
        <v>0</v>
      </c>
      <c r="EF464">
        <v>0</v>
      </c>
      <c r="EG464">
        <v>0</v>
      </c>
      <c r="EH464">
        <v>0</v>
      </c>
      <c r="EI464">
        <v>0</v>
      </c>
      <c r="EJ464">
        <v>0</v>
      </c>
      <c r="EK464">
        <v>0</v>
      </c>
      <c r="EL464">
        <v>0</v>
      </c>
      <c r="EM464">
        <v>0</v>
      </c>
      <c r="EN464">
        <v>0</v>
      </c>
      <c r="EO464">
        <v>0</v>
      </c>
      <c r="EP464">
        <v>0</v>
      </c>
      <c r="EQ464">
        <v>0</v>
      </c>
      <c r="ER464">
        <v>0</v>
      </c>
      <c r="ES464">
        <v>0</v>
      </c>
      <c r="ET464">
        <v>0</v>
      </c>
      <c r="EU464">
        <v>0</v>
      </c>
      <c r="EV464">
        <v>0</v>
      </c>
      <c r="EW464">
        <v>0</v>
      </c>
      <c r="EX464">
        <v>0</v>
      </c>
      <c r="EY464">
        <v>0</v>
      </c>
      <c r="EZ464">
        <v>0</v>
      </c>
      <c r="FA464">
        <v>0</v>
      </c>
      <c r="FB464">
        <v>0</v>
      </c>
      <c r="FC464">
        <v>0</v>
      </c>
      <c r="FD464">
        <v>0</v>
      </c>
      <c r="FE464">
        <v>0</v>
      </c>
      <c r="FF464">
        <v>0</v>
      </c>
      <c r="FG464">
        <v>0</v>
      </c>
      <c r="FH464">
        <v>0</v>
      </c>
      <c r="FI464">
        <v>0</v>
      </c>
      <c r="FJ464">
        <v>0</v>
      </c>
      <c r="FK464">
        <v>0</v>
      </c>
      <c r="FL464">
        <v>0</v>
      </c>
      <c r="FM464">
        <v>0</v>
      </c>
      <c r="FN464">
        <v>0</v>
      </c>
      <c r="FO464">
        <v>0</v>
      </c>
      <c r="FP464">
        <v>0</v>
      </c>
      <c r="FQ464">
        <v>0</v>
      </c>
      <c r="FR464">
        <v>0</v>
      </c>
      <c r="FS464">
        <v>0</v>
      </c>
      <c r="FT464">
        <v>0</v>
      </c>
      <c r="FU464">
        <v>0</v>
      </c>
      <c r="FV464">
        <v>0</v>
      </c>
      <c r="FW464">
        <v>0</v>
      </c>
      <c r="FX464">
        <v>0</v>
      </c>
      <c r="FY464">
        <v>0</v>
      </c>
      <c r="FZ464">
        <v>0</v>
      </c>
      <c r="GA464">
        <v>0</v>
      </c>
      <c r="GB464">
        <v>0</v>
      </c>
      <c r="GC464">
        <v>0</v>
      </c>
      <c r="GD464">
        <v>0</v>
      </c>
      <c r="GE464">
        <v>0</v>
      </c>
      <c r="GF464">
        <v>0</v>
      </c>
      <c r="GG464">
        <v>0</v>
      </c>
      <c r="GH464">
        <v>0</v>
      </c>
      <c r="GI464">
        <v>0</v>
      </c>
      <c r="GJ464">
        <v>0</v>
      </c>
      <c r="GK464">
        <v>0</v>
      </c>
      <c r="GL464">
        <v>0</v>
      </c>
      <c r="GM464">
        <v>0</v>
      </c>
      <c r="GN464">
        <v>0</v>
      </c>
      <c r="GO464">
        <v>0</v>
      </c>
      <c r="GP464">
        <v>0</v>
      </c>
      <c r="GQ464">
        <v>0</v>
      </c>
      <c r="GR464">
        <v>0</v>
      </c>
      <c r="GS464">
        <v>0</v>
      </c>
      <c r="GT464">
        <v>0</v>
      </c>
      <c r="GU464">
        <v>0</v>
      </c>
      <c r="GV464">
        <v>0</v>
      </c>
      <c r="GW464">
        <v>0</v>
      </c>
      <c r="GX464">
        <v>0</v>
      </c>
      <c r="GY464">
        <v>0</v>
      </c>
      <c r="GZ464">
        <v>0</v>
      </c>
      <c r="HA464">
        <v>0</v>
      </c>
      <c r="HB464">
        <v>0</v>
      </c>
      <c r="HC464">
        <v>0</v>
      </c>
      <c r="HD464">
        <v>0</v>
      </c>
      <c r="HE464">
        <v>0</v>
      </c>
      <c r="HF464">
        <v>0</v>
      </c>
      <c r="HG464">
        <v>0</v>
      </c>
      <c r="HH464">
        <v>0</v>
      </c>
      <c r="HI464">
        <v>0</v>
      </c>
      <c r="HJ464">
        <v>0</v>
      </c>
      <c r="HK464">
        <v>0</v>
      </c>
      <c r="HL464">
        <v>0</v>
      </c>
      <c r="HM464">
        <v>0</v>
      </c>
      <c r="HN464">
        <v>0</v>
      </c>
      <c r="HO464">
        <v>0</v>
      </c>
      <c r="HP464">
        <v>0</v>
      </c>
      <c r="HQ464">
        <v>0</v>
      </c>
      <c r="HR464">
        <v>0</v>
      </c>
      <c r="HS464">
        <v>0</v>
      </c>
      <c r="HT464">
        <v>0</v>
      </c>
      <c r="HU464">
        <v>0</v>
      </c>
      <c r="HV464">
        <v>0</v>
      </c>
      <c r="HW464">
        <v>0</v>
      </c>
      <c r="HX464">
        <v>0</v>
      </c>
      <c r="HY464">
        <v>0</v>
      </c>
      <c r="HZ464">
        <v>0</v>
      </c>
      <c r="IA464">
        <v>0</v>
      </c>
      <c r="IB464">
        <v>0</v>
      </c>
      <c r="IC464">
        <v>0</v>
      </c>
      <c r="ID464">
        <v>0</v>
      </c>
      <c r="IE464">
        <v>0</v>
      </c>
      <c r="IF464">
        <v>0</v>
      </c>
      <c r="IG464">
        <v>0</v>
      </c>
      <c r="IH464">
        <v>0</v>
      </c>
      <c r="II464">
        <v>0</v>
      </c>
      <c r="IJ464">
        <v>0</v>
      </c>
      <c r="IK464">
        <v>0</v>
      </c>
      <c r="IL464">
        <v>0</v>
      </c>
      <c r="IM464">
        <v>0</v>
      </c>
      <c r="IN464">
        <v>0</v>
      </c>
      <c r="IO464">
        <v>0</v>
      </c>
      <c r="IP464">
        <v>0</v>
      </c>
      <c r="IQ464">
        <v>0</v>
      </c>
      <c r="IR464">
        <v>0</v>
      </c>
      <c r="IS464">
        <v>0</v>
      </c>
      <c r="IT464">
        <v>0</v>
      </c>
      <c r="IU464">
        <v>0</v>
      </c>
      <c r="IV464">
        <v>0</v>
      </c>
      <c r="IW464">
        <v>0</v>
      </c>
      <c r="IX464">
        <v>0</v>
      </c>
      <c r="IY464">
        <v>0</v>
      </c>
      <c r="IZ464">
        <v>0</v>
      </c>
      <c r="JA464">
        <v>0</v>
      </c>
      <c r="JB464">
        <v>0</v>
      </c>
      <c r="JC464">
        <v>0</v>
      </c>
      <c r="JD464">
        <v>0</v>
      </c>
      <c r="JE464">
        <v>0</v>
      </c>
      <c r="JF464">
        <v>0</v>
      </c>
      <c r="JG464">
        <v>0</v>
      </c>
      <c r="JH464">
        <v>0</v>
      </c>
      <c r="JI464">
        <v>0</v>
      </c>
      <c r="JJ464">
        <v>0</v>
      </c>
      <c r="JK464">
        <v>0</v>
      </c>
      <c r="JL464">
        <v>0</v>
      </c>
      <c r="JM464">
        <v>0</v>
      </c>
      <c r="JN464">
        <v>0</v>
      </c>
      <c r="JO464">
        <v>0</v>
      </c>
      <c r="JP464">
        <v>0</v>
      </c>
      <c r="JQ464">
        <v>0</v>
      </c>
      <c r="JR464">
        <v>0</v>
      </c>
      <c r="JS464">
        <v>0</v>
      </c>
      <c r="JT464">
        <v>0</v>
      </c>
      <c r="JU464">
        <v>0</v>
      </c>
      <c r="JV464">
        <v>0</v>
      </c>
      <c r="JW464">
        <v>0</v>
      </c>
      <c r="JX464">
        <v>0</v>
      </c>
      <c r="JY464">
        <v>0</v>
      </c>
      <c r="JZ464">
        <v>0</v>
      </c>
      <c r="KA464">
        <v>0</v>
      </c>
      <c r="KB464">
        <v>0</v>
      </c>
      <c r="KC464">
        <v>0</v>
      </c>
      <c r="KD464">
        <v>0</v>
      </c>
      <c r="KE464">
        <v>0</v>
      </c>
      <c r="KF464">
        <v>0</v>
      </c>
      <c r="KG464">
        <v>0</v>
      </c>
      <c r="KH464">
        <v>0</v>
      </c>
      <c r="KI464">
        <v>0</v>
      </c>
      <c r="KJ464">
        <v>0</v>
      </c>
      <c r="KK464">
        <v>0</v>
      </c>
      <c r="KL464">
        <v>0</v>
      </c>
      <c r="KM464">
        <v>0</v>
      </c>
      <c r="KN464">
        <v>0</v>
      </c>
      <c r="KO464">
        <v>0</v>
      </c>
      <c r="KP464">
        <v>0</v>
      </c>
      <c r="KQ464">
        <v>0</v>
      </c>
      <c r="KR464">
        <v>0</v>
      </c>
      <c r="KS464">
        <v>0</v>
      </c>
      <c r="KT464">
        <v>0</v>
      </c>
      <c r="KU464">
        <v>0</v>
      </c>
      <c r="KV464">
        <v>0</v>
      </c>
      <c r="KW464">
        <v>0</v>
      </c>
      <c r="KX464">
        <v>0</v>
      </c>
      <c r="KY464">
        <v>0</v>
      </c>
      <c r="KZ464">
        <v>0</v>
      </c>
      <c r="LA464">
        <v>0</v>
      </c>
      <c r="LB464">
        <v>0</v>
      </c>
      <c r="LC464">
        <v>0</v>
      </c>
      <c r="LD464">
        <v>0</v>
      </c>
      <c r="LE464">
        <v>0</v>
      </c>
      <c r="LF464">
        <v>0</v>
      </c>
      <c r="LG464">
        <v>0</v>
      </c>
      <c r="LH464">
        <v>0</v>
      </c>
      <c r="LI464">
        <v>0</v>
      </c>
      <c r="LJ464">
        <v>0</v>
      </c>
      <c r="LK464">
        <v>0</v>
      </c>
      <c r="LL464">
        <v>0</v>
      </c>
      <c r="LM464">
        <v>0</v>
      </c>
      <c r="LN464">
        <v>0</v>
      </c>
      <c r="LO464">
        <v>0</v>
      </c>
      <c r="LP464">
        <v>0</v>
      </c>
      <c r="LQ464">
        <v>0</v>
      </c>
      <c r="LR464">
        <v>0</v>
      </c>
      <c r="LS464">
        <v>0</v>
      </c>
      <c r="LT464">
        <v>0</v>
      </c>
      <c r="LU464">
        <v>0</v>
      </c>
      <c r="LV464">
        <v>0</v>
      </c>
      <c r="LW464">
        <v>0</v>
      </c>
      <c r="LX464">
        <v>0</v>
      </c>
      <c r="LY464">
        <v>0</v>
      </c>
      <c r="LZ464">
        <v>0</v>
      </c>
      <c r="MA464">
        <v>0</v>
      </c>
      <c r="MB464">
        <v>0</v>
      </c>
      <c r="MC464">
        <v>0</v>
      </c>
      <c r="MD464">
        <v>0</v>
      </c>
      <c r="ME464">
        <v>0</v>
      </c>
      <c r="MF464">
        <v>0</v>
      </c>
      <c r="MG464">
        <v>0</v>
      </c>
      <c r="MH464">
        <v>0</v>
      </c>
      <c r="MI464">
        <v>0</v>
      </c>
      <c r="MJ464">
        <v>0</v>
      </c>
      <c r="MK464">
        <v>0</v>
      </c>
      <c r="ML464">
        <v>0</v>
      </c>
      <c r="MM464">
        <v>0</v>
      </c>
      <c r="MN464">
        <v>0</v>
      </c>
      <c r="MO464">
        <v>0</v>
      </c>
      <c r="MP464">
        <v>0</v>
      </c>
      <c r="MQ464">
        <v>0</v>
      </c>
      <c r="MR464">
        <v>0</v>
      </c>
      <c r="MS464">
        <v>0</v>
      </c>
      <c r="MT464">
        <v>0</v>
      </c>
      <c r="MU464">
        <v>0</v>
      </c>
      <c r="MV464">
        <v>0</v>
      </c>
      <c r="MW464">
        <v>0</v>
      </c>
      <c r="MX464">
        <v>0</v>
      </c>
      <c r="MY464">
        <v>0</v>
      </c>
      <c r="MZ464">
        <v>0</v>
      </c>
      <c r="NA464">
        <v>0</v>
      </c>
      <c r="NB464">
        <v>0</v>
      </c>
      <c r="NC464">
        <v>0</v>
      </c>
      <c r="ND464">
        <v>0</v>
      </c>
      <c r="NE464">
        <v>0</v>
      </c>
    </row>
    <row r="465" spans="41:369" x14ac:dyDescent="0.45">
      <c r="AO465">
        <v>0</v>
      </c>
      <c r="AP465">
        <v>0</v>
      </c>
      <c r="AQ465">
        <v>0</v>
      </c>
      <c r="AR465">
        <v>0</v>
      </c>
      <c r="AS465">
        <v>0</v>
      </c>
      <c r="AT465">
        <v>0</v>
      </c>
      <c r="AU465">
        <v>0</v>
      </c>
      <c r="AV465">
        <v>0</v>
      </c>
      <c r="AW465" t="str">
        <v/>
      </c>
      <c r="AX465">
        <v>255</v>
      </c>
      <c r="AY465" s="5" t="str">
        <v/>
      </c>
      <c r="AZ465">
        <v>0</v>
      </c>
      <c r="BA465">
        <v>0</v>
      </c>
      <c r="BB465">
        <v>0</v>
      </c>
      <c r="BC465">
        <v>0</v>
      </c>
      <c r="BD465">
        <v>0</v>
      </c>
      <c r="BE465">
        <v>0</v>
      </c>
      <c r="BF465">
        <v>0</v>
      </c>
      <c r="BG465">
        <v>0</v>
      </c>
      <c r="BH465">
        <v>0</v>
      </c>
      <c r="BI465" t="str">
        <v/>
      </c>
      <c r="BK465">
        <v>459</v>
      </c>
      <c r="BL465">
        <v>0</v>
      </c>
      <c r="BM465">
        <v>0</v>
      </c>
      <c r="BN465">
        <v>0</v>
      </c>
      <c r="BO465">
        <v>0</v>
      </c>
      <c r="BP465">
        <v>0</v>
      </c>
      <c r="BQ465">
        <v>0</v>
      </c>
      <c r="BR465">
        <v>0</v>
      </c>
      <c r="BS465">
        <v>0</v>
      </c>
      <c r="BT465">
        <v>0</v>
      </c>
      <c r="BU465">
        <v>0</v>
      </c>
      <c r="BV465">
        <v>0</v>
      </c>
      <c r="BW465">
        <v>0</v>
      </c>
      <c r="BX465">
        <v>0</v>
      </c>
      <c r="BY465">
        <v>0</v>
      </c>
      <c r="BZ465">
        <v>0</v>
      </c>
      <c r="CA465">
        <v>0</v>
      </c>
      <c r="CB465">
        <v>0</v>
      </c>
      <c r="CC465">
        <v>0</v>
      </c>
      <c r="CD465">
        <v>0</v>
      </c>
      <c r="CE465">
        <v>0</v>
      </c>
      <c r="CF465">
        <v>0</v>
      </c>
      <c r="CG465">
        <v>0</v>
      </c>
      <c r="CH465">
        <v>0</v>
      </c>
      <c r="CI465">
        <v>0</v>
      </c>
      <c r="CJ465">
        <v>0</v>
      </c>
      <c r="CK465">
        <v>0</v>
      </c>
      <c r="CL465">
        <v>0</v>
      </c>
      <c r="CM465">
        <v>0</v>
      </c>
      <c r="CN465">
        <v>0</v>
      </c>
      <c r="CO465">
        <v>0</v>
      </c>
      <c r="CP465">
        <v>0</v>
      </c>
      <c r="CQ465">
        <v>0</v>
      </c>
      <c r="CR465">
        <v>0</v>
      </c>
      <c r="CS465">
        <v>0</v>
      </c>
      <c r="CT465">
        <v>0</v>
      </c>
      <c r="CU465">
        <v>0</v>
      </c>
      <c r="CV465">
        <v>0</v>
      </c>
      <c r="CW465">
        <v>0</v>
      </c>
      <c r="CX465">
        <v>0</v>
      </c>
      <c r="CY465">
        <v>0</v>
      </c>
      <c r="CZ465">
        <v>0</v>
      </c>
      <c r="DA465">
        <v>0</v>
      </c>
      <c r="DB465">
        <v>0</v>
      </c>
      <c r="DC465">
        <v>0</v>
      </c>
      <c r="DD465">
        <v>0</v>
      </c>
      <c r="DE465">
        <v>0</v>
      </c>
      <c r="DF465">
        <v>0</v>
      </c>
      <c r="DG465">
        <v>0</v>
      </c>
      <c r="DH465">
        <v>0</v>
      </c>
      <c r="DI465">
        <v>0</v>
      </c>
      <c r="DJ465">
        <v>0</v>
      </c>
      <c r="DK465">
        <v>0</v>
      </c>
      <c r="DL465">
        <v>0</v>
      </c>
      <c r="DM465">
        <v>0</v>
      </c>
      <c r="DN465">
        <v>0</v>
      </c>
      <c r="DO465">
        <v>0</v>
      </c>
      <c r="DP465">
        <v>0</v>
      </c>
      <c r="DQ465">
        <v>0</v>
      </c>
      <c r="DR465">
        <v>0</v>
      </c>
      <c r="DS465">
        <v>0</v>
      </c>
      <c r="DT465">
        <v>0</v>
      </c>
      <c r="DU465">
        <v>0</v>
      </c>
      <c r="DV465">
        <v>0</v>
      </c>
      <c r="DW465">
        <v>0</v>
      </c>
      <c r="DX465">
        <v>0</v>
      </c>
      <c r="DY465">
        <v>0</v>
      </c>
      <c r="DZ465">
        <v>0</v>
      </c>
      <c r="EA465">
        <v>0</v>
      </c>
      <c r="EB465">
        <v>0</v>
      </c>
      <c r="EC465">
        <v>0</v>
      </c>
      <c r="ED465">
        <v>0</v>
      </c>
      <c r="EE465">
        <v>0</v>
      </c>
      <c r="EF465">
        <v>0</v>
      </c>
      <c r="EG465">
        <v>0</v>
      </c>
      <c r="EH465">
        <v>0</v>
      </c>
      <c r="EI465">
        <v>0</v>
      </c>
      <c r="EJ465">
        <v>0</v>
      </c>
      <c r="EK465">
        <v>0</v>
      </c>
      <c r="EL465">
        <v>0</v>
      </c>
      <c r="EM465">
        <v>0</v>
      </c>
      <c r="EN465">
        <v>0</v>
      </c>
      <c r="EO465">
        <v>0</v>
      </c>
      <c r="EP465">
        <v>0</v>
      </c>
      <c r="EQ465">
        <v>0</v>
      </c>
      <c r="ER465">
        <v>0</v>
      </c>
      <c r="ES465">
        <v>0</v>
      </c>
      <c r="ET465">
        <v>0</v>
      </c>
      <c r="EU465">
        <v>0</v>
      </c>
      <c r="EV465">
        <v>0</v>
      </c>
      <c r="EW465">
        <v>0</v>
      </c>
      <c r="EX465">
        <v>0</v>
      </c>
      <c r="EY465">
        <v>0</v>
      </c>
      <c r="EZ465">
        <v>0</v>
      </c>
      <c r="FA465">
        <v>0</v>
      </c>
      <c r="FB465">
        <v>0</v>
      </c>
      <c r="FC465">
        <v>0</v>
      </c>
      <c r="FD465">
        <v>0</v>
      </c>
      <c r="FE465">
        <v>0</v>
      </c>
      <c r="FF465">
        <v>0</v>
      </c>
      <c r="FG465">
        <v>0</v>
      </c>
      <c r="FH465">
        <v>0</v>
      </c>
      <c r="FI465">
        <v>0</v>
      </c>
      <c r="FJ465">
        <v>0</v>
      </c>
      <c r="FK465">
        <v>0</v>
      </c>
      <c r="FL465">
        <v>0</v>
      </c>
      <c r="FM465">
        <v>0</v>
      </c>
      <c r="FN465">
        <v>0</v>
      </c>
      <c r="FO465">
        <v>0</v>
      </c>
      <c r="FP465">
        <v>0</v>
      </c>
      <c r="FQ465">
        <v>0</v>
      </c>
      <c r="FR465">
        <v>0</v>
      </c>
      <c r="FS465">
        <v>0</v>
      </c>
      <c r="FT465">
        <v>0</v>
      </c>
      <c r="FU465">
        <v>0</v>
      </c>
      <c r="FV465">
        <v>0</v>
      </c>
      <c r="FW465">
        <v>0</v>
      </c>
      <c r="FX465">
        <v>0</v>
      </c>
      <c r="FY465">
        <v>0</v>
      </c>
      <c r="FZ465">
        <v>0</v>
      </c>
      <c r="GA465">
        <v>0</v>
      </c>
      <c r="GB465">
        <v>0</v>
      </c>
      <c r="GC465">
        <v>0</v>
      </c>
      <c r="GD465">
        <v>0</v>
      </c>
      <c r="GE465">
        <v>0</v>
      </c>
      <c r="GF465">
        <v>0</v>
      </c>
      <c r="GG465">
        <v>0</v>
      </c>
      <c r="GH465">
        <v>0</v>
      </c>
      <c r="GI465">
        <v>0</v>
      </c>
      <c r="GJ465">
        <v>0</v>
      </c>
      <c r="GK465">
        <v>0</v>
      </c>
      <c r="GL465">
        <v>0</v>
      </c>
      <c r="GM465">
        <v>0</v>
      </c>
      <c r="GN465">
        <v>0</v>
      </c>
      <c r="GO465">
        <v>0</v>
      </c>
      <c r="GP465">
        <v>0</v>
      </c>
      <c r="GQ465">
        <v>0</v>
      </c>
      <c r="GR465">
        <v>0</v>
      </c>
      <c r="GS465">
        <v>0</v>
      </c>
      <c r="GT465">
        <v>0</v>
      </c>
      <c r="GU465">
        <v>0</v>
      </c>
      <c r="GV465">
        <v>0</v>
      </c>
      <c r="GW465">
        <v>0</v>
      </c>
      <c r="GX465">
        <v>0</v>
      </c>
      <c r="GY465">
        <v>0</v>
      </c>
      <c r="GZ465">
        <v>0</v>
      </c>
      <c r="HA465">
        <v>0</v>
      </c>
      <c r="HB465">
        <v>0</v>
      </c>
      <c r="HC465">
        <v>0</v>
      </c>
      <c r="HD465">
        <v>0</v>
      </c>
      <c r="HE465">
        <v>0</v>
      </c>
      <c r="HF465">
        <v>0</v>
      </c>
      <c r="HG465">
        <v>0</v>
      </c>
      <c r="HH465">
        <v>0</v>
      </c>
      <c r="HI465">
        <v>0</v>
      </c>
      <c r="HJ465">
        <v>0</v>
      </c>
      <c r="HK465">
        <v>0</v>
      </c>
      <c r="HL465">
        <v>0</v>
      </c>
      <c r="HM465">
        <v>0</v>
      </c>
      <c r="HN465">
        <v>0</v>
      </c>
      <c r="HO465">
        <v>0</v>
      </c>
      <c r="HP465">
        <v>0</v>
      </c>
      <c r="HQ465">
        <v>0</v>
      </c>
      <c r="HR465">
        <v>0</v>
      </c>
      <c r="HS465">
        <v>0</v>
      </c>
      <c r="HT465">
        <v>0</v>
      </c>
      <c r="HU465">
        <v>0</v>
      </c>
      <c r="HV465">
        <v>0</v>
      </c>
      <c r="HW465">
        <v>0</v>
      </c>
      <c r="HX465">
        <v>0</v>
      </c>
      <c r="HY465">
        <v>0</v>
      </c>
      <c r="HZ465">
        <v>0</v>
      </c>
      <c r="IA465">
        <v>0</v>
      </c>
      <c r="IB465">
        <v>0</v>
      </c>
      <c r="IC465">
        <v>0</v>
      </c>
      <c r="ID465">
        <v>0</v>
      </c>
      <c r="IE465">
        <v>0</v>
      </c>
      <c r="IF465">
        <v>0</v>
      </c>
      <c r="IG465">
        <v>0</v>
      </c>
      <c r="IH465">
        <v>0</v>
      </c>
      <c r="II465">
        <v>0</v>
      </c>
      <c r="IJ465">
        <v>0</v>
      </c>
      <c r="IK465">
        <v>0</v>
      </c>
      <c r="IL465">
        <v>0</v>
      </c>
      <c r="IM465">
        <v>0</v>
      </c>
      <c r="IN465">
        <v>0</v>
      </c>
      <c r="IO465">
        <v>0</v>
      </c>
      <c r="IP465">
        <v>0</v>
      </c>
      <c r="IQ465">
        <v>0</v>
      </c>
      <c r="IR465">
        <v>0</v>
      </c>
      <c r="IS465">
        <v>0</v>
      </c>
      <c r="IT465">
        <v>0</v>
      </c>
      <c r="IU465">
        <v>0</v>
      </c>
      <c r="IV465">
        <v>0</v>
      </c>
      <c r="IW465">
        <v>0</v>
      </c>
      <c r="IX465">
        <v>0</v>
      </c>
      <c r="IY465">
        <v>0</v>
      </c>
      <c r="IZ465">
        <v>0</v>
      </c>
      <c r="JA465">
        <v>0</v>
      </c>
      <c r="JB465">
        <v>0</v>
      </c>
      <c r="JC465">
        <v>0</v>
      </c>
      <c r="JD465">
        <v>0</v>
      </c>
      <c r="JE465">
        <v>0</v>
      </c>
      <c r="JF465">
        <v>0</v>
      </c>
      <c r="JG465">
        <v>0</v>
      </c>
      <c r="JH465">
        <v>0</v>
      </c>
      <c r="JI465">
        <v>0</v>
      </c>
      <c r="JJ465">
        <v>0</v>
      </c>
      <c r="JK465">
        <v>0</v>
      </c>
      <c r="JL465">
        <v>0</v>
      </c>
      <c r="JM465">
        <v>0</v>
      </c>
      <c r="JN465">
        <v>0</v>
      </c>
      <c r="JO465">
        <v>0</v>
      </c>
      <c r="JP465">
        <v>0</v>
      </c>
      <c r="JQ465">
        <v>0</v>
      </c>
      <c r="JR465">
        <v>0</v>
      </c>
      <c r="JS465">
        <v>0</v>
      </c>
      <c r="JT465">
        <v>0</v>
      </c>
      <c r="JU465">
        <v>0</v>
      </c>
      <c r="JV465">
        <v>0</v>
      </c>
      <c r="JW465">
        <v>0</v>
      </c>
      <c r="JX465">
        <v>0</v>
      </c>
      <c r="JY465">
        <v>0</v>
      </c>
      <c r="JZ465">
        <v>0</v>
      </c>
      <c r="KA465">
        <v>0</v>
      </c>
      <c r="KB465">
        <v>0</v>
      </c>
      <c r="KC465">
        <v>0</v>
      </c>
      <c r="KD465">
        <v>0</v>
      </c>
      <c r="KE465">
        <v>0</v>
      </c>
      <c r="KF465">
        <v>0</v>
      </c>
      <c r="KG465">
        <v>0</v>
      </c>
      <c r="KH465">
        <v>0</v>
      </c>
      <c r="KI465">
        <v>0</v>
      </c>
      <c r="KJ465">
        <v>0</v>
      </c>
      <c r="KK465">
        <v>0</v>
      </c>
      <c r="KL465">
        <v>0</v>
      </c>
      <c r="KM465">
        <v>0</v>
      </c>
      <c r="KN465">
        <v>0</v>
      </c>
      <c r="KO465">
        <v>0</v>
      </c>
      <c r="KP465">
        <v>0</v>
      </c>
      <c r="KQ465">
        <v>0</v>
      </c>
      <c r="KR465">
        <v>0</v>
      </c>
      <c r="KS465">
        <v>0</v>
      </c>
      <c r="KT465">
        <v>0</v>
      </c>
      <c r="KU465">
        <v>0</v>
      </c>
      <c r="KV465">
        <v>0</v>
      </c>
      <c r="KW465">
        <v>0</v>
      </c>
      <c r="KX465">
        <v>0</v>
      </c>
      <c r="KY465">
        <v>0</v>
      </c>
      <c r="KZ465">
        <v>0</v>
      </c>
      <c r="LA465">
        <v>0</v>
      </c>
      <c r="LB465">
        <v>0</v>
      </c>
      <c r="LC465">
        <v>0</v>
      </c>
      <c r="LD465">
        <v>0</v>
      </c>
      <c r="LE465">
        <v>0</v>
      </c>
      <c r="LF465">
        <v>0</v>
      </c>
      <c r="LG465">
        <v>0</v>
      </c>
      <c r="LH465">
        <v>0</v>
      </c>
      <c r="LI465">
        <v>0</v>
      </c>
      <c r="LJ465">
        <v>0</v>
      </c>
      <c r="LK465">
        <v>0</v>
      </c>
      <c r="LL465">
        <v>0</v>
      </c>
      <c r="LM465">
        <v>0</v>
      </c>
      <c r="LN465">
        <v>0</v>
      </c>
      <c r="LO465">
        <v>0</v>
      </c>
      <c r="LP465">
        <v>0</v>
      </c>
      <c r="LQ465">
        <v>0</v>
      </c>
      <c r="LR465">
        <v>0</v>
      </c>
      <c r="LS465">
        <v>0</v>
      </c>
      <c r="LT465">
        <v>0</v>
      </c>
      <c r="LU465">
        <v>0</v>
      </c>
      <c r="LV465">
        <v>0</v>
      </c>
      <c r="LW465">
        <v>0</v>
      </c>
      <c r="LX465">
        <v>0</v>
      </c>
      <c r="LY465">
        <v>0</v>
      </c>
      <c r="LZ465">
        <v>0</v>
      </c>
      <c r="MA465">
        <v>0</v>
      </c>
      <c r="MB465">
        <v>0</v>
      </c>
      <c r="MC465">
        <v>0</v>
      </c>
      <c r="MD465">
        <v>0</v>
      </c>
      <c r="ME465">
        <v>0</v>
      </c>
      <c r="MF465">
        <v>0</v>
      </c>
      <c r="MG465">
        <v>0</v>
      </c>
      <c r="MH465">
        <v>0</v>
      </c>
      <c r="MI465">
        <v>0</v>
      </c>
      <c r="MJ465">
        <v>0</v>
      </c>
      <c r="MK465">
        <v>0</v>
      </c>
      <c r="ML465">
        <v>0</v>
      </c>
      <c r="MM465">
        <v>0</v>
      </c>
      <c r="MN465">
        <v>0</v>
      </c>
      <c r="MO465">
        <v>0</v>
      </c>
      <c r="MP465">
        <v>0</v>
      </c>
      <c r="MQ465">
        <v>0</v>
      </c>
      <c r="MR465">
        <v>0</v>
      </c>
      <c r="MS465">
        <v>0</v>
      </c>
      <c r="MT465">
        <v>0</v>
      </c>
      <c r="MU465">
        <v>0</v>
      </c>
      <c r="MV465">
        <v>0</v>
      </c>
      <c r="MW465">
        <v>0</v>
      </c>
      <c r="MX465">
        <v>0</v>
      </c>
      <c r="MY465">
        <v>0</v>
      </c>
      <c r="MZ465">
        <v>0</v>
      </c>
      <c r="NA465">
        <v>0</v>
      </c>
      <c r="NB465">
        <v>0</v>
      </c>
      <c r="NC465">
        <v>0</v>
      </c>
      <c r="ND465">
        <v>0</v>
      </c>
      <c r="NE465">
        <v>0</v>
      </c>
    </row>
    <row r="466" spans="41:369" x14ac:dyDescent="0.45">
      <c r="AO466">
        <v>0</v>
      </c>
      <c r="AP466">
        <v>0</v>
      </c>
      <c r="AQ466">
        <v>0</v>
      </c>
      <c r="AR466">
        <v>0</v>
      </c>
      <c r="AS466">
        <v>0</v>
      </c>
      <c r="AT466">
        <v>0</v>
      </c>
      <c r="AU466">
        <v>0</v>
      </c>
      <c r="AV466">
        <v>0</v>
      </c>
      <c r="AW466" t="str">
        <v/>
      </c>
      <c r="AX466">
        <v>255</v>
      </c>
      <c r="AY466" s="5" t="str">
        <v/>
      </c>
      <c r="AZ466">
        <v>0</v>
      </c>
      <c r="BA466">
        <v>0</v>
      </c>
      <c r="BB466">
        <v>0</v>
      </c>
      <c r="BC466">
        <v>0</v>
      </c>
      <c r="BD466">
        <v>0</v>
      </c>
      <c r="BE466">
        <v>0</v>
      </c>
      <c r="BF466">
        <v>0</v>
      </c>
      <c r="BG466">
        <v>0</v>
      </c>
      <c r="BH466">
        <v>0</v>
      </c>
      <c r="BI466" t="str">
        <v/>
      </c>
      <c r="BK466">
        <v>460</v>
      </c>
      <c r="BL466">
        <v>0</v>
      </c>
      <c r="BM466">
        <v>0</v>
      </c>
      <c r="BN466">
        <v>0</v>
      </c>
      <c r="BO466">
        <v>0</v>
      </c>
      <c r="BP466">
        <v>0</v>
      </c>
      <c r="BQ466">
        <v>0</v>
      </c>
      <c r="BR466">
        <v>0</v>
      </c>
      <c r="BS466">
        <v>0</v>
      </c>
      <c r="BT466">
        <v>0</v>
      </c>
      <c r="BU466">
        <v>0</v>
      </c>
      <c r="BV466">
        <v>0</v>
      </c>
      <c r="BW466">
        <v>0</v>
      </c>
      <c r="BX466">
        <v>0</v>
      </c>
      <c r="BY466">
        <v>0</v>
      </c>
      <c r="BZ466">
        <v>0</v>
      </c>
      <c r="CA466">
        <v>0</v>
      </c>
      <c r="CB466">
        <v>0</v>
      </c>
      <c r="CC466">
        <v>0</v>
      </c>
      <c r="CD466">
        <v>0</v>
      </c>
      <c r="CE466">
        <v>0</v>
      </c>
      <c r="CF466">
        <v>0</v>
      </c>
      <c r="CG466">
        <v>0</v>
      </c>
      <c r="CH466">
        <v>0</v>
      </c>
      <c r="CI466">
        <v>0</v>
      </c>
      <c r="CJ466">
        <v>0</v>
      </c>
      <c r="CK466">
        <v>0</v>
      </c>
      <c r="CL466">
        <v>0</v>
      </c>
      <c r="CM466">
        <v>0</v>
      </c>
      <c r="CN466">
        <v>0</v>
      </c>
      <c r="CO466">
        <v>0</v>
      </c>
      <c r="CP466">
        <v>0</v>
      </c>
      <c r="CQ466">
        <v>0</v>
      </c>
      <c r="CR466">
        <v>0</v>
      </c>
      <c r="CS466">
        <v>0</v>
      </c>
      <c r="CT466">
        <v>0</v>
      </c>
      <c r="CU466">
        <v>0</v>
      </c>
      <c r="CV466">
        <v>0</v>
      </c>
      <c r="CW466">
        <v>0</v>
      </c>
      <c r="CX466">
        <v>0</v>
      </c>
      <c r="CY466">
        <v>0</v>
      </c>
      <c r="CZ466">
        <v>0</v>
      </c>
      <c r="DA466">
        <v>0</v>
      </c>
      <c r="DB466">
        <v>0</v>
      </c>
      <c r="DC466">
        <v>0</v>
      </c>
      <c r="DD466">
        <v>0</v>
      </c>
      <c r="DE466">
        <v>0</v>
      </c>
      <c r="DF466">
        <v>0</v>
      </c>
      <c r="DG466">
        <v>0</v>
      </c>
      <c r="DH466">
        <v>0</v>
      </c>
      <c r="DI466">
        <v>0</v>
      </c>
      <c r="DJ466">
        <v>0</v>
      </c>
      <c r="DK466">
        <v>0</v>
      </c>
      <c r="DL466">
        <v>0</v>
      </c>
      <c r="DM466">
        <v>0</v>
      </c>
      <c r="DN466">
        <v>0</v>
      </c>
      <c r="DO466">
        <v>0</v>
      </c>
      <c r="DP466">
        <v>0</v>
      </c>
      <c r="DQ466">
        <v>0</v>
      </c>
      <c r="DR466">
        <v>0</v>
      </c>
      <c r="DS466">
        <v>0</v>
      </c>
      <c r="DT466">
        <v>0</v>
      </c>
      <c r="DU466">
        <v>0</v>
      </c>
      <c r="DV466">
        <v>0</v>
      </c>
      <c r="DW466">
        <v>0</v>
      </c>
      <c r="DX466">
        <v>0</v>
      </c>
      <c r="DY466">
        <v>0</v>
      </c>
      <c r="DZ466">
        <v>0</v>
      </c>
      <c r="EA466">
        <v>0</v>
      </c>
      <c r="EB466">
        <v>0</v>
      </c>
      <c r="EC466">
        <v>0</v>
      </c>
      <c r="ED466">
        <v>0</v>
      </c>
      <c r="EE466">
        <v>0</v>
      </c>
      <c r="EF466">
        <v>0</v>
      </c>
      <c r="EG466">
        <v>0</v>
      </c>
      <c r="EH466">
        <v>0</v>
      </c>
      <c r="EI466">
        <v>0</v>
      </c>
      <c r="EJ466">
        <v>0</v>
      </c>
      <c r="EK466">
        <v>0</v>
      </c>
      <c r="EL466">
        <v>0</v>
      </c>
      <c r="EM466">
        <v>0</v>
      </c>
      <c r="EN466">
        <v>0</v>
      </c>
      <c r="EO466">
        <v>0</v>
      </c>
      <c r="EP466">
        <v>0</v>
      </c>
      <c r="EQ466">
        <v>0</v>
      </c>
      <c r="ER466">
        <v>0</v>
      </c>
      <c r="ES466">
        <v>0</v>
      </c>
      <c r="ET466">
        <v>0</v>
      </c>
      <c r="EU466">
        <v>0</v>
      </c>
      <c r="EV466">
        <v>0</v>
      </c>
      <c r="EW466">
        <v>0</v>
      </c>
      <c r="EX466">
        <v>0</v>
      </c>
      <c r="EY466">
        <v>0</v>
      </c>
      <c r="EZ466">
        <v>0</v>
      </c>
      <c r="FA466">
        <v>0</v>
      </c>
      <c r="FB466">
        <v>0</v>
      </c>
      <c r="FC466">
        <v>0</v>
      </c>
      <c r="FD466">
        <v>0</v>
      </c>
      <c r="FE466">
        <v>0</v>
      </c>
      <c r="FF466">
        <v>0</v>
      </c>
      <c r="FG466">
        <v>0</v>
      </c>
      <c r="FH466">
        <v>0</v>
      </c>
      <c r="FI466">
        <v>0</v>
      </c>
      <c r="FJ466">
        <v>0</v>
      </c>
      <c r="FK466">
        <v>0</v>
      </c>
      <c r="FL466">
        <v>0</v>
      </c>
      <c r="FM466">
        <v>0</v>
      </c>
      <c r="FN466">
        <v>0</v>
      </c>
      <c r="FO466">
        <v>0</v>
      </c>
      <c r="FP466">
        <v>0</v>
      </c>
      <c r="FQ466">
        <v>0</v>
      </c>
      <c r="FR466">
        <v>0</v>
      </c>
      <c r="FS466">
        <v>0</v>
      </c>
      <c r="FT466">
        <v>0</v>
      </c>
      <c r="FU466">
        <v>0</v>
      </c>
      <c r="FV466">
        <v>0</v>
      </c>
      <c r="FW466">
        <v>0</v>
      </c>
      <c r="FX466">
        <v>0</v>
      </c>
      <c r="FY466">
        <v>0</v>
      </c>
      <c r="FZ466">
        <v>0</v>
      </c>
      <c r="GA466">
        <v>0</v>
      </c>
      <c r="GB466">
        <v>0</v>
      </c>
      <c r="GC466">
        <v>0</v>
      </c>
      <c r="GD466">
        <v>0</v>
      </c>
      <c r="GE466">
        <v>0</v>
      </c>
      <c r="GF466">
        <v>0</v>
      </c>
      <c r="GG466">
        <v>0</v>
      </c>
      <c r="GH466">
        <v>0</v>
      </c>
      <c r="GI466">
        <v>0</v>
      </c>
      <c r="GJ466">
        <v>0</v>
      </c>
      <c r="GK466">
        <v>0</v>
      </c>
      <c r="GL466">
        <v>0</v>
      </c>
      <c r="GM466">
        <v>0</v>
      </c>
      <c r="GN466">
        <v>0</v>
      </c>
      <c r="GO466">
        <v>0</v>
      </c>
      <c r="GP466">
        <v>0</v>
      </c>
      <c r="GQ466">
        <v>0</v>
      </c>
      <c r="GR466">
        <v>0</v>
      </c>
      <c r="GS466">
        <v>0</v>
      </c>
      <c r="GT466">
        <v>0</v>
      </c>
      <c r="GU466">
        <v>0</v>
      </c>
      <c r="GV466">
        <v>0</v>
      </c>
      <c r="GW466">
        <v>0</v>
      </c>
      <c r="GX466">
        <v>0</v>
      </c>
      <c r="GY466">
        <v>0</v>
      </c>
      <c r="GZ466">
        <v>0</v>
      </c>
      <c r="HA466">
        <v>0</v>
      </c>
      <c r="HB466">
        <v>0</v>
      </c>
      <c r="HC466">
        <v>0</v>
      </c>
      <c r="HD466">
        <v>0</v>
      </c>
      <c r="HE466">
        <v>0</v>
      </c>
      <c r="HF466">
        <v>0</v>
      </c>
      <c r="HG466">
        <v>0</v>
      </c>
      <c r="HH466">
        <v>0</v>
      </c>
      <c r="HI466">
        <v>0</v>
      </c>
      <c r="HJ466">
        <v>0</v>
      </c>
      <c r="HK466">
        <v>0</v>
      </c>
      <c r="HL466">
        <v>0</v>
      </c>
      <c r="HM466">
        <v>0</v>
      </c>
      <c r="HN466">
        <v>0</v>
      </c>
      <c r="HO466">
        <v>0</v>
      </c>
      <c r="HP466">
        <v>0</v>
      </c>
      <c r="HQ466">
        <v>0</v>
      </c>
      <c r="HR466">
        <v>0</v>
      </c>
      <c r="HS466">
        <v>0</v>
      </c>
      <c r="HT466">
        <v>0</v>
      </c>
      <c r="HU466">
        <v>0</v>
      </c>
      <c r="HV466">
        <v>0</v>
      </c>
      <c r="HW466">
        <v>0</v>
      </c>
      <c r="HX466">
        <v>0</v>
      </c>
      <c r="HY466">
        <v>0</v>
      </c>
      <c r="HZ466">
        <v>0</v>
      </c>
      <c r="IA466">
        <v>0</v>
      </c>
      <c r="IB466">
        <v>0</v>
      </c>
      <c r="IC466">
        <v>0</v>
      </c>
      <c r="ID466">
        <v>0</v>
      </c>
      <c r="IE466">
        <v>0</v>
      </c>
      <c r="IF466">
        <v>0</v>
      </c>
      <c r="IG466">
        <v>0</v>
      </c>
      <c r="IH466">
        <v>0</v>
      </c>
      <c r="II466">
        <v>0</v>
      </c>
      <c r="IJ466">
        <v>0</v>
      </c>
      <c r="IK466">
        <v>0</v>
      </c>
      <c r="IL466">
        <v>0</v>
      </c>
      <c r="IM466">
        <v>0</v>
      </c>
      <c r="IN466">
        <v>0</v>
      </c>
      <c r="IO466">
        <v>0</v>
      </c>
      <c r="IP466">
        <v>0</v>
      </c>
      <c r="IQ466">
        <v>0</v>
      </c>
      <c r="IR466">
        <v>0</v>
      </c>
      <c r="IS466">
        <v>0</v>
      </c>
      <c r="IT466">
        <v>0</v>
      </c>
      <c r="IU466">
        <v>0</v>
      </c>
      <c r="IV466">
        <v>0</v>
      </c>
      <c r="IW466">
        <v>0</v>
      </c>
      <c r="IX466">
        <v>0</v>
      </c>
      <c r="IY466">
        <v>0</v>
      </c>
      <c r="IZ466">
        <v>0</v>
      </c>
      <c r="JA466">
        <v>0</v>
      </c>
      <c r="JB466">
        <v>0</v>
      </c>
      <c r="JC466">
        <v>0</v>
      </c>
      <c r="JD466">
        <v>0</v>
      </c>
      <c r="JE466">
        <v>0</v>
      </c>
      <c r="JF466">
        <v>0</v>
      </c>
      <c r="JG466">
        <v>0</v>
      </c>
      <c r="JH466">
        <v>0</v>
      </c>
      <c r="JI466">
        <v>0</v>
      </c>
      <c r="JJ466">
        <v>0</v>
      </c>
      <c r="JK466">
        <v>0</v>
      </c>
      <c r="JL466">
        <v>0</v>
      </c>
      <c r="JM466">
        <v>0</v>
      </c>
      <c r="JN466">
        <v>0</v>
      </c>
      <c r="JO466">
        <v>0</v>
      </c>
      <c r="JP466">
        <v>0</v>
      </c>
      <c r="JQ466">
        <v>0</v>
      </c>
      <c r="JR466">
        <v>0</v>
      </c>
      <c r="JS466">
        <v>0</v>
      </c>
      <c r="JT466">
        <v>0</v>
      </c>
      <c r="JU466">
        <v>0</v>
      </c>
      <c r="JV466">
        <v>0</v>
      </c>
      <c r="JW466">
        <v>0</v>
      </c>
      <c r="JX466">
        <v>0</v>
      </c>
      <c r="JY466">
        <v>0</v>
      </c>
      <c r="JZ466">
        <v>0</v>
      </c>
      <c r="KA466">
        <v>0</v>
      </c>
      <c r="KB466">
        <v>0</v>
      </c>
      <c r="KC466">
        <v>0</v>
      </c>
      <c r="KD466">
        <v>0</v>
      </c>
      <c r="KE466">
        <v>0</v>
      </c>
      <c r="KF466">
        <v>0</v>
      </c>
      <c r="KG466">
        <v>0</v>
      </c>
      <c r="KH466">
        <v>0</v>
      </c>
      <c r="KI466">
        <v>0</v>
      </c>
      <c r="KJ466">
        <v>0</v>
      </c>
      <c r="KK466">
        <v>0</v>
      </c>
      <c r="KL466">
        <v>0</v>
      </c>
      <c r="KM466">
        <v>0</v>
      </c>
      <c r="KN466">
        <v>0</v>
      </c>
      <c r="KO466">
        <v>0</v>
      </c>
      <c r="KP466">
        <v>0</v>
      </c>
      <c r="KQ466">
        <v>0</v>
      </c>
      <c r="KR466">
        <v>0</v>
      </c>
      <c r="KS466">
        <v>0</v>
      </c>
      <c r="KT466">
        <v>0</v>
      </c>
      <c r="KU466">
        <v>0</v>
      </c>
      <c r="KV466">
        <v>0</v>
      </c>
      <c r="KW466">
        <v>0</v>
      </c>
      <c r="KX466">
        <v>0</v>
      </c>
      <c r="KY466">
        <v>0</v>
      </c>
      <c r="KZ466">
        <v>0</v>
      </c>
      <c r="LA466">
        <v>0</v>
      </c>
      <c r="LB466">
        <v>0</v>
      </c>
      <c r="LC466">
        <v>0</v>
      </c>
      <c r="LD466">
        <v>0</v>
      </c>
      <c r="LE466">
        <v>0</v>
      </c>
      <c r="LF466">
        <v>0</v>
      </c>
      <c r="LG466">
        <v>0</v>
      </c>
      <c r="LH466">
        <v>0</v>
      </c>
      <c r="LI466">
        <v>0</v>
      </c>
      <c r="LJ466">
        <v>0</v>
      </c>
      <c r="LK466">
        <v>0</v>
      </c>
      <c r="LL466">
        <v>0</v>
      </c>
      <c r="LM466">
        <v>0</v>
      </c>
      <c r="LN466">
        <v>0</v>
      </c>
      <c r="LO466">
        <v>0</v>
      </c>
      <c r="LP466">
        <v>0</v>
      </c>
      <c r="LQ466">
        <v>0</v>
      </c>
      <c r="LR466">
        <v>0</v>
      </c>
      <c r="LS466">
        <v>0</v>
      </c>
      <c r="LT466">
        <v>0</v>
      </c>
      <c r="LU466">
        <v>0</v>
      </c>
      <c r="LV466">
        <v>0</v>
      </c>
      <c r="LW466">
        <v>0</v>
      </c>
      <c r="LX466">
        <v>0</v>
      </c>
      <c r="LY466">
        <v>0</v>
      </c>
      <c r="LZ466">
        <v>0</v>
      </c>
      <c r="MA466">
        <v>0</v>
      </c>
      <c r="MB466">
        <v>0</v>
      </c>
      <c r="MC466">
        <v>0</v>
      </c>
      <c r="MD466">
        <v>0</v>
      </c>
      <c r="ME466">
        <v>0</v>
      </c>
      <c r="MF466">
        <v>0</v>
      </c>
      <c r="MG466">
        <v>0</v>
      </c>
      <c r="MH466">
        <v>0</v>
      </c>
      <c r="MI466">
        <v>0</v>
      </c>
      <c r="MJ466">
        <v>0</v>
      </c>
      <c r="MK466">
        <v>0</v>
      </c>
      <c r="ML466">
        <v>0</v>
      </c>
      <c r="MM466">
        <v>0</v>
      </c>
      <c r="MN466">
        <v>0</v>
      </c>
      <c r="MO466">
        <v>0</v>
      </c>
      <c r="MP466">
        <v>0</v>
      </c>
      <c r="MQ466">
        <v>0</v>
      </c>
      <c r="MR466">
        <v>0</v>
      </c>
      <c r="MS466">
        <v>0</v>
      </c>
      <c r="MT466">
        <v>0</v>
      </c>
      <c r="MU466">
        <v>0</v>
      </c>
      <c r="MV466">
        <v>0</v>
      </c>
      <c r="MW466">
        <v>0</v>
      </c>
      <c r="MX466">
        <v>0</v>
      </c>
      <c r="MY466">
        <v>0</v>
      </c>
      <c r="MZ466">
        <v>0</v>
      </c>
      <c r="NA466">
        <v>0</v>
      </c>
      <c r="NB466">
        <v>0</v>
      </c>
      <c r="NC466">
        <v>0</v>
      </c>
      <c r="ND466">
        <v>0</v>
      </c>
      <c r="NE466">
        <v>0</v>
      </c>
    </row>
    <row r="467" spans="41:369" x14ac:dyDescent="0.45">
      <c r="AO467">
        <v>0</v>
      </c>
      <c r="AP467">
        <v>0</v>
      </c>
      <c r="AQ467">
        <v>0</v>
      </c>
      <c r="AR467">
        <v>0</v>
      </c>
      <c r="AS467">
        <v>0</v>
      </c>
      <c r="AT467">
        <v>0</v>
      </c>
      <c r="AU467">
        <v>0</v>
      </c>
      <c r="AV467">
        <v>0</v>
      </c>
      <c r="AW467" t="str">
        <v/>
      </c>
      <c r="AX467">
        <v>255</v>
      </c>
      <c r="AY467" s="5" t="str">
        <v/>
      </c>
      <c r="AZ467">
        <v>0</v>
      </c>
      <c r="BA467">
        <v>0</v>
      </c>
      <c r="BB467">
        <v>0</v>
      </c>
      <c r="BC467">
        <v>0</v>
      </c>
      <c r="BD467">
        <v>0</v>
      </c>
      <c r="BE467">
        <v>0</v>
      </c>
      <c r="BF467">
        <v>0</v>
      </c>
      <c r="BG467">
        <v>0</v>
      </c>
      <c r="BH467">
        <v>0</v>
      </c>
      <c r="BI467" t="str">
        <v/>
      </c>
      <c r="BK467">
        <v>461</v>
      </c>
      <c r="BL467">
        <v>0</v>
      </c>
      <c r="BM467">
        <v>0</v>
      </c>
      <c r="BN467">
        <v>0</v>
      </c>
      <c r="BO467">
        <v>0</v>
      </c>
      <c r="BP467">
        <v>0</v>
      </c>
      <c r="BQ467">
        <v>0</v>
      </c>
      <c r="BR467">
        <v>0</v>
      </c>
      <c r="BS467">
        <v>0</v>
      </c>
      <c r="BT467">
        <v>0</v>
      </c>
      <c r="BU467">
        <v>0</v>
      </c>
      <c r="BV467">
        <v>0</v>
      </c>
      <c r="BW467">
        <v>0</v>
      </c>
      <c r="BX467">
        <v>0</v>
      </c>
      <c r="BY467">
        <v>0</v>
      </c>
      <c r="BZ467">
        <v>0</v>
      </c>
      <c r="CA467">
        <v>0</v>
      </c>
      <c r="CB467">
        <v>0</v>
      </c>
      <c r="CC467">
        <v>0</v>
      </c>
      <c r="CD467">
        <v>0</v>
      </c>
      <c r="CE467">
        <v>0</v>
      </c>
      <c r="CF467">
        <v>0</v>
      </c>
      <c r="CG467">
        <v>0</v>
      </c>
      <c r="CH467">
        <v>0</v>
      </c>
      <c r="CI467">
        <v>0</v>
      </c>
      <c r="CJ467">
        <v>0</v>
      </c>
      <c r="CK467">
        <v>0</v>
      </c>
      <c r="CL467">
        <v>0</v>
      </c>
      <c r="CM467">
        <v>0</v>
      </c>
      <c r="CN467">
        <v>0</v>
      </c>
      <c r="CO467">
        <v>0</v>
      </c>
      <c r="CP467">
        <v>0</v>
      </c>
      <c r="CQ467">
        <v>0</v>
      </c>
      <c r="CR467">
        <v>0</v>
      </c>
      <c r="CS467">
        <v>0</v>
      </c>
      <c r="CT467">
        <v>0</v>
      </c>
      <c r="CU467">
        <v>0</v>
      </c>
      <c r="CV467">
        <v>0</v>
      </c>
      <c r="CW467">
        <v>0</v>
      </c>
      <c r="CX467">
        <v>0</v>
      </c>
      <c r="CY467">
        <v>0</v>
      </c>
      <c r="CZ467">
        <v>0</v>
      </c>
      <c r="DA467">
        <v>0</v>
      </c>
      <c r="DB467">
        <v>0</v>
      </c>
      <c r="DC467">
        <v>0</v>
      </c>
      <c r="DD467">
        <v>0</v>
      </c>
      <c r="DE467">
        <v>0</v>
      </c>
      <c r="DF467">
        <v>0</v>
      </c>
      <c r="DG467">
        <v>0</v>
      </c>
      <c r="DH467">
        <v>0</v>
      </c>
      <c r="DI467">
        <v>0</v>
      </c>
      <c r="DJ467">
        <v>0</v>
      </c>
      <c r="DK467">
        <v>0</v>
      </c>
      <c r="DL467">
        <v>0</v>
      </c>
      <c r="DM467">
        <v>0</v>
      </c>
      <c r="DN467">
        <v>0</v>
      </c>
      <c r="DO467">
        <v>0</v>
      </c>
      <c r="DP467">
        <v>0</v>
      </c>
      <c r="DQ467">
        <v>0</v>
      </c>
      <c r="DR467">
        <v>0</v>
      </c>
      <c r="DS467">
        <v>0</v>
      </c>
      <c r="DT467">
        <v>0</v>
      </c>
      <c r="DU467">
        <v>0</v>
      </c>
      <c r="DV467">
        <v>0</v>
      </c>
      <c r="DW467">
        <v>0</v>
      </c>
      <c r="DX467">
        <v>0</v>
      </c>
      <c r="DY467">
        <v>0</v>
      </c>
      <c r="DZ467">
        <v>0</v>
      </c>
      <c r="EA467">
        <v>0</v>
      </c>
      <c r="EB467">
        <v>0</v>
      </c>
      <c r="EC467">
        <v>0</v>
      </c>
      <c r="ED467">
        <v>0</v>
      </c>
      <c r="EE467">
        <v>0</v>
      </c>
      <c r="EF467">
        <v>0</v>
      </c>
      <c r="EG467">
        <v>0</v>
      </c>
      <c r="EH467">
        <v>0</v>
      </c>
      <c r="EI467">
        <v>0</v>
      </c>
      <c r="EJ467">
        <v>0</v>
      </c>
      <c r="EK467">
        <v>0</v>
      </c>
      <c r="EL467">
        <v>0</v>
      </c>
      <c r="EM467">
        <v>0</v>
      </c>
      <c r="EN467">
        <v>0</v>
      </c>
      <c r="EO467">
        <v>0</v>
      </c>
      <c r="EP467">
        <v>0</v>
      </c>
      <c r="EQ467">
        <v>0</v>
      </c>
      <c r="ER467">
        <v>0</v>
      </c>
      <c r="ES467">
        <v>0</v>
      </c>
      <c r="ET467">
        <v>0</v>
      </c>
      <c r="EU467">
        <v>0</v>
      </c>
      <c r="EV467">
        <v>0</v>
      </c>
      <c r="EW467">
        <v>0</v>
      </c>
      <c r="EX467">
        <v>0</v>
      </c>
      <c r="EY467">
        <v>0</v>
      </c>
      <c r="EZ467">
        <v>0</v>
      </c>
      <c r="FA467">
        <v>0</v>
      </c>
      <c r="FB467">
        <v>0</v>
      </c>
      <c r="FC467">
        <v>0</v>
      </c>
      <c r="FD467">
        <v>0</v>
      </c>
      <c r="FE467">
        <v>0</v>
      </c>
      <c r="FF467">
        <v>0</v>
      </c>
      <c r="FG467">
        <v>0</v>
      </c>
      <c r="FH467">
        <v>0</v>
      </c>
      <c r="FI467">
        <v>0</v>
      </c>
      <c r="FJ467">
        <v>0</v>
      </c>
      <c r="FK467">
        <v>0</v>
      </c>
      <c r="FL467">
        <v>0</v>
      </c>
      <c r="FM467">
        <v>0</v>
      </c>
      <c r="FN467">
        <v>0</v>
      </c>
      <c r="FO467">
        <v>0</v>
      </c>
      <c r="FP467">
        <v>0</v>
      </c>
      <c r="FQ467">
        <v>0</v>
      </c>
      <c r="FR467">
        <v>0</v>
      </c>
      <c r="FS467">
        <v>0</v>
      </c>
      <c r="FT467">
        <v>0</v>
      </c>
      <c r="FU467">
        <v>0</v>
      </c>
      <c r="FV467">
        <v>0</v>
      </c>
      <c r="FW467">
        <v>0</v>
      </c>
      <c r="FX467">
        <v>0</v>
      </c>
      <c r="FY467">
        <v>0</v>
      </c>
      <c r="FZ467">
        <v>0</v>
      </c>
      <c r="GA467">
        <v>0</v>
      </c>
      <c r="GB467">
        <v>0</v>
      </c>
      <c r="GC467">
        <v>0</v>
      </c>
      <c r="GD467">
        <v>0</v>
      </c>
      <c r="GE467">
        <v>0</v>
      </c>
      <c r="GF467">
        <v>0</v>
      </c>
      <c r="GG467">
        <v>0</v>
      </c>
      <c r="GH467">
        <v>0</v>
      </c>
      <c r="GI467">
        <v>0</v>
      </c>
      <c r="GJ467">
        <v>0</v>
      </c>
      <c r="GK467">
        <v>0</v>
      </c>
      <c r="GL467">
        <v>0</v>
      </c>
      <c r="GM467">
        <v>0</v>
      </c>
      <c r="GN467">
        <v>0</v>
      </c>
      <c r="GO467">
        <v>0</v>
      </c>
      <c r="GP467">
        <v>0</v>
      </c>
      <c r="GQ467">
        <v>0</v>
      </c>
      <c r="GR467">
        <v>0</v>
      </c>
      <c r="GS467">
        <v>0</v>
      </c>
      <c r="GT467">
        <v>0</v>
      </c>
      <c r="GU467">
        <v>0</v>
      </c>
      <c r="GV467">
        <v>0</v>
      </c>
      <c r="GW467">
        <v>0</v>
      </c>
      <c r="GX467">
        <v>0</v>
      </c>
      <c r="GY467">
        <v>0</v>
      </c>
      <c r="GZ467">
        <v>0</v>
      </c>
      <c r="HA467">
        <v>0</v>
      </c>
      <c r="HB467">
        <v>0</v>
      </c>
      <c r="HC467">
        <v>0</v>
      </c>
      <c r="HD467">
        <v>0</v>
      </c>
      <c r="HE467">
        <v>0</v>
      </c>
      <c r="HF467">
        <v>0</v>
      </c>
      <c r="HG467">
        <v>0</v>
      </c>
      <c r="HH467">
        <v>0</v>
      </c>
      <c r="HI467">
        <v>0</v>
      </c>
      <c r="HJ467">
        <v>0</v>
      </c>
      <c r="HK467">
        <v>0</v>
      </c>
      <c r="HL467">
        <v>0</v>
      </c>
      <c r="HM467">
        <v>0</v>
      </c>
      <c r="HN467">
        <v>0</v>
      </c>
      <c r="HO467">
        <v>0</v>
      </c>
      <c r="HP467">
        <v>0</v>
      </c>
      <c r="HQ467">
        <v>0</v>
      </c>
      <c r="HR467">
        <v>0</v>
      </c>
      <c r="HS467">
        <v>0</v>
      </c>
      <c r="HT467">
        <v>0</v>
      </c>
      <c r="HU467">
        <v>0</v>
      </c>
      <c r="HV467">
        <v>0</v>
      </c>
      <c r="HW467">
        <v>0</v>
      </c>
      <c r="HX467">
        <v>0</v>
      </c>
      <c r="HY467">
        <v>0</v>
      </c>
      <c r="HZ467">
        <v>0</v>
      </c>
      <c r="IA467">
        <v>0</v>
      </c>
      <c r="IB467">
        <v>0</v>
      </c>
      <c r="IC467">
        <v>0</v>
      </c>
      <c r="ID467">
        <v>0</v>
      </c>
      <c r="IE467">
        <v>0</v>
      </c>
      <c r="IF467">
        <v>0</v>
      </c>
      <c r="IG467">
        <v>0</v>
      </c>
      <c r="IH467">
        <v>0</v>
      </c>
      <c r="II467">
        <v>0</v>
      </c>
      <c r="IJ467">
        <v>0</v>
      </c>
      <c r="IK467">
        <v>0</v>
      </c>
      <c r="IL467">
        <v>0</v>
      </c>
      <c r="IM467">
        <v>0</v>
      </c>
      <c r="IN467">
        <v>0</v>
      </c>
      <c r="IO467">
        <v>0</v>
      </c>
      <c r="IP467">
        <v>0</v>
      </c>
      <c r="IQ467">
        <v>0</v>
      </c>
      <c r="IR467">
        <v>0</v>
      </c>
      <c r="IS467">
        <v>0</v>
      </c>
      <c r="IT467">
        <v>0</v>
      </c>
      <c r="IU467">
        <v>0</v>
      </c>
      <c r="IV467">
        <v>0</v>
      </c>
      <c r="IW467">
        <v>0</v>
      </c>
      <c r="IX467">
        <v>0</v>
      </c>
      <c r="IY467">
        <v>0</v>
      </c>
      <c r="IZ467">
        <v>0</v>
      </c>
      <c r="JA467">
        <v>0</v>
      </c>
      <c r="JB467">
        <v>0</v>
      </c>
      <c r="JC467">
        <v>0</v>
      </c>
      <c r="JD467">
        <v>0</v>
      </c>
      <c r="JE467">
        <v>0</v>
      </c>
      <c r="JF467">
        <v>0</v>
      </c>
      <c r="JG467">
        <v>0</v>
      </c>
      <c r="JH467">
        <v>0</v>
      </c>
      <c r="JI467">
        <v>0</v>
      </c>
      <c r="JJ467">
        <v>0</v>
      </c>
      <c r="JK467">
        <v>0</v>
      </c>
      <c r="JL467">
        <v>0</v>
      </c>
      <c r="JM467">
        <v>0</v>
      </c>
      <c r="JN467">
        <v>0</v>
      </c>
      <c r="JO467">
        <v>0</v>
      </c>
      <c r="JP467">
        <v>0</v>
      </c>
      <c r="JQ467">
        <v>0</v>
      </c>
      <c r="JR467">
        <v>0</v>
      </c>
      <c r="JS467">
        <v>0</v>
      </c>
      <c r="JT467">
        <v>0</v>
      </c>
      <c r="JU467">
        <v>0</v>
      </c>
      <c r="JV467">
        <v>0</v>
      </c>
      <c r="JW467">
        <v>0</v>
      </c>
      <c r="JX467">
        <v>0</v>
      </c>
      <c r="JY467">
        <v>0</v>
      </c>
      <c r="JZ467">
        <v>0</v>
      </c>
      <c r="KA467">
        <v>0</v>
      </c>
      <c r="KB467">
        <v>0</v>
      </c>
      <c r="KC467">
        <v>0</v>
      </c>
      <c r="KD467">
        <v>0</v>
      </c>
      <c r="KE467">
        <v>0</v>
      </c>
      <c r="KF467">
        <v>0</v>
      </c>
      <c r="KG467">
        <v>0</v>
      </c>
      <c r="KH467">
        <v>0</v>
      </c>
      <c r="KI467">
        <v>0</v>
      </c>
      <c r="KJ467">
        <v>0</v>
      </c>
      <c r="KK467">
        <v>0</v>
      </c>
      <c r="KL467">
        <v>0</v>
      </c>
      <c r="KM467">
        <v>0</v>
      </c>
      <c r="KN467">
        <v>0</v>
      </c>
      <c r="KO467">
        <v>0</v>
      </c>
      <c r="KP467">
        <v>0</v>
      </c>
      <c r="KQ467">
        <v>0</v>
      </c>
      <c r="KR467">
        <v>0</v>
      </c>
      <c r="KS467">
        <v>0</v>
      </c>
      <c r="KT467">
        <v>0</v>
      </c>
      <c r="KU467">
        <v>0</v>
      </c>
      <c r="KV467">
        <v>0</v>
      </c>
      <c r="KW467">
        <v>0</v>
      </c>
      <c r="KX467">
        <v>0</v>
      </c>
      <c r="KY467">
        <v>0</v>
      </c>
      <c r="KZ467">
        <v>0</v>
      </c>
      <c r="LA467">
        <v>0</v>
      </c>
      <c r="LB467">
        <v>0</v>
      </c>
      <c r="LC467">
        <v>0</v>
      </c>
      <c r="LD467">
        <v>0</v>
      </c>
      <c r="LE467">
        <v>0</v>
      </c>
      <c r="LF467">
        <v>0</v>
      </c>
      <c r="LG467">
        <v>0</v>
      </c>
      <c r="LH467">
        <v>0</v>
      </c>
      <c r="LI467">
        <v>0</v>
      </c>
      <c r="LJ467">
        <v>0</v>
      </c>
      <c r="LK467">
        <v>0</v>
      </c>
      <c r="LL467">
        <v>0</v>
      </c>
      <c r="LM467">
        <v>0</v>
      </c>
      <c r="LN467">
        <v>0</v>
      </c>
      <c r="LO467">
        <v>0</v>
      </c>
      <c r="LP467">
        <v>0</v>
      </c>
      <c r="LQ467">
        <v>0</v>
      </c>
      <c r="LR467">
        <v>0</v>
      </c>
      <c r="LS467">
        <v>0</v>
      </c>
      <c r="LT467">
        <v>0</v>
      </c>
      <c r="LU467">
        <v>0</v>
      </c>
      <c r="LV467">
        <v>0</v>
      </c>
      <c r="LW467">
        <v>0</v>
      </c>
      <c r="LX467">
        <v>0</v>
      </c>
      <c r="LY467">
        <v>0</v>
      </c>
      <c r="LZ467">
        <v>0</v>
      </c>
      <c r="MA467">
        <v>0</v>
      </c>
      <c r="MB467">
        <v>0</v>
      </c>
      <c r="MC467">
        <v>0</v>
      </c>
      <c r="MD467">
        <v>0</v>
      </c>
      <c r="ME467">
        <v>0</v>
      </c>
      <c r="MF467">
        <v>0</v>
      </c>
      <c r="MG467">
        <v>0</v>
      </c>
      <c r="MH467">
        <v>0</v>
      </c>
      <c r="MI467">
        <v>0</v>
      </c>
      <c r="MJ467">
        <v>0</v>
      </c>
      <c r="MK467">
        <v>0</v>
      </c>
      <c r="ML467">
        <v>0</v>
      </c>
      <c r="MM467">
        <v>0</v>
      </c>
      <c r="MN467">
        <v>0</v>
      </c>
      <c r="MO467">
        <v>0</v>
      </c>
      <c r="MP467">
        <v>0</v>
      </c>
      <c r="MQ467">
        <v>0</v>
      </c>
      <c r="MR467">
        <v>0</v>
      </c>
      <c r="MS467">
        <v>0</v>
      </c>
      <c r="MT467">
        <v>0</v>
      </c>
      <c r="MU467">
        <v>0</v>
      </c>
      <c r="MV467">
        <v>0</v>
      </c>
      <c r="MW467">
        <v>0</v>
      </c>
      <c r="MX467">
        <v>0</v>
      </c>
      <c r="MY467">
        <v>0</v>
      </c>
      <c r="MZ467">
        <v>0</v>
      </c>
      <c r="NA467">
        <v>0</v>
      </c>
      <c r="NB467">
        <v>0</v>
      </c>
      <c r="NC467">
        <v>0</v>
      </c>
      <c r="ND467">
        <v>0</v>
      </c>
      <c r="NE467">
        <v>0</v>
      </c>
    </row>
    <row r="468" spans="41:369" x14ac:dyDescent="0.45">
      <c r="AO468">
        <v>0</v>
      </c>
      <c r="AP468">
        <v>0</v>
      </c>
      <c r="AQ468">
        <v>0</v>
      </c>
      <c r="AR468">
        <v>0</v>
      </c>
      <c r="AS468">
        <v>0</v>
      </c>
      <c r="AT468">
        <v>0</v>
      </c>
      <c r="AU468">
        <v>0</v>
      </c>
      <c r="AV468">
        <v>0</v>
      </c>
      <c r="AW468" t="str">
        <v/>
      </c>
      <c r="AX468">
        <v>255</v>
      </c>
      <c r="AY468" s="5" t="str">
        <v/>
      </c>
      <c r="AZ468">
        <v>0</v>
      </c>
      <c r="BA468">
        <v>0</v>
      </c>
      <c r="BB468">
        <v>0</v>
      </c>
      <c r="BC468">
        <v>0</v>
      </c>
      <c r="BD468">
        <v>0</v>
      </c>
      <c r="BE468">
        <v>0</v>
      </c>
      <c r="BF468">
        <v>0</v>
      </c>
      <c r="BG468">
        <v>0</v>
      </c>
      <c r="BH468">
        <v>0</v>
      </c>
      <c r="BI468" t="str">
        <v/>
      </c>
      <c r="BK468">
        <v>462</v>
      </c>
      <c r="BL468">
        <v>0</v>
      </c>
      <c r="BM468">
        <v>0</v>
      </c>
      <c r="BN468">
        <v>0</v>
      </c>
      <c r="BO468">
        <v>0</v>
      </c>
      <c r="BP468">
        <v>0</v>
      </c>
      <c r="BQ468">
        <v>0</v>
      </c>
      <c r="BR468">
        <v>0</v>
      </c>
      <c r="BS468">
        <v>0</v>
      </c>
      <c r="BT468">
        <v>0</v>
      </c>
      <c r="BU468">
        <v>0</v>
      </c>
      <c r="BV468">
        <v>0</v>
      </c>
      <c r="BW468">
        <v>0</v>
      </c>
      <c r="BX468">
        <v>0</v>
      </c>
      <c r="BY468">
        <v>0</v>
      </c>
      <c r="BZ468">
        <v>0</v>
      </c>
      <c r="CA468">
        <v>0</v>
      </c>
      <c r="CB468">
        <v>0</v>
      </c>
      <c r="CC468">
        <v>0</v>
      </c>
      <c r="CD468">
        <v>0</v>
      </c>
      <c r="CE468">
        <v>0</v>
      </c>
      <c r="CF468">
        <v>0</v>
      </c>
      <c r="CG468">
        <v>0</v>
      </c>
      <c r="CH468">
        <v>0</v>
      </c>
      <c r="CI468">
        <v>0</v>
      </c>
      <c r="CJ468">
        <v>0</v>
      </c>
      <c r="CK468">
        <v>0</v>
      </c>
      <c r="CL468">
        <v>0</v>
      </c>
      <c r="CM468">
        <v>0</v>
      </c>
      <c r="CN468">
        <v>0</v>
      </c>
      <c r="CO468">
        <v>0</v>
      </c>
      <c r="CP468">
        <v>0</v>
      </c>
      <c r="CQ468">
        <v>0</v>
      </c>
      <c r="CR468">
        <v>0</v>
      </c>
      <c r="CS468">
        <v>0</v>
      </c>
      <c r="CT468">
        <v>0</v>
      </c>
      <c r="CU468">
        <v>0</v>
      </c>
      <c r="CV468">
        <v>0</v>
      </c>
      <c r="CW468">
        <v>0</v>
      </c>
      <c r="CX468">
        <v>0</v>
      </c>
      <c r="CY468">
        <v>0</v>
      </c>
      <c r="CZ468">
        <v>0</v>
      </c>
      <c r="DA468">
        <v>0</v>
      </c>
      <c r="DB468">
        <v>0</v>
      </c>
      <c r="DC468">
        <v>0</v>
      </c>
      <c r="DD468">
        <v>0</v>
      </c>
      <c r="DE468">
        <v>0</v>
      </c>
      <c r="DF468">
        <v>0</v>
      </c>
      <c r="DG468">
        <v>0</v>
      </c>
      <c r="DH468">
        <v>0</v>
      </c>
      <c r="DI468">
        <v>0</v>
      </c>
      <c r="DJ468">
        <v>0</v>
      </c>
      <c r="DK468">
        <v>0</v>
      </c>
      <c r="DL468">
        <v>0</v>
      </c>
      <c r="DM468">
        <v>0</v>
      </c>
      <c r="DN468">
        <v>0</v>
      </c>
      <c r="DO468">
        <v>0</v>
      </c>
      <c r="DP468">
        <v>0</v>
      </c>
      <c r="DQ468">
        <v>0</v>
      </c>
      <c r="DR468">
        <v>0</v>
      </c>
      <c r="DS468">
        <v>0</v>
      </c>
      <c r="DT468">
        <v>0</v>
      </c>
      <c r="DU468">
        <v>0</v>
      </c>
      <c r="DV468">
        <v>0</v>
      </c>
      <c r="DW468">
        <v>0</v>
      </c>
      <c r="DX468">
        <v>0</v>
      </c>
      <c r="DY468">
        <v>0</v>
      </c>
      <c r="DZ468">
        <v>0</v>
      </c>
      <c r="EA468">
        <v>0</v>
      </c>
      <c r="EB468">
        <v>0</v>
      </c>
      <c r="EC468">
        <v>0</v>
      </c>
      <c r="ED468">
        <v>0</v>
      </c>
      <c r="EE468">
        <v>0</v>
      </c>
      <c r="EF468">
        <v>0</v>
      </c>
      <c r="EG468">
        <v>0</v>
      </c>
      <c r="EH468">
        <v>0</v>
      </c>
      <c r="EI468">
        <v>0</v>
      </c>
      <c r="EJ468">
        <v>0</v>
      </c>
      <c r="EK468">
        <v>0</v>
      </c>
      <c r="EL468">
        <v>0</v>
      </c>
      <c r="EM468">
        <v>0</v>
      </c>
      <c r="EN468">
        <v>0</v>
      </c>
      <c r="EO468">
        <v>0</v>
      </c>
      <c r="EP468">
        <v>0</v>
      </c>
      <c r="EQ468">
        <v>0</v>
      </c>
      <c r="ER468">
        <v>0</v>
      </c>
      <c r="ES468">
        <v>0</v>
      </c>
      <c r="ET468">
        <v>0</v>
      </c>
      <c r="EU468">
        <v>0</v>
      </c>
      <c r="EV468">
        <v>0</v>
      </c>
      <c r="EW468">
        <v>0</v>
      </c>
      <c r="EX468">
        <v>0</v>
      </c>
      <c r="EY468">
        <v>0</v>
      </c>
      <c r="EZ468">
        <v>0</v>
      </c>
      <c r="FA468">
        <v>0</v>
      </c>
      <c r="FB468">
        <v>0</v>
      </c>
      <c r="FC468">
        <v>0</v>
      </c>
      <c r="FD468">
        <v>0</v>
      </c>
      <c r="FE468">
        <v>0</v>
      </c>
      <c r="FF468">
        <v>0</v>
      </c>
      <c r="FG468">
        <v>0</v>
      </c>
      <c r="FH468">
        <v>0</v>
      </c>
      <c r="FI468">
        <v>0</v>
      </c>
      <c r="FJ468">
        <v>0</v>
      </c>
      <c r="FK468">
        <v>0</v>
      </c>
      <c r="FL468">
        <v>0</v>
      </c>
      <c r="FM468">
        <v>0</v>
      </c>
      <c r="FN468">
        <v>0</v>
      </c>
      <c r="FO468">
        <v>0</v>
      </c>
      <c r="FP468">
        <v>0</v>
      </c>
      <c r="FQ468">
        <v>0</v>
      </c>
      <c r="FR468">
        <v>0</v>
      </c>
      <c r="FS468">
        <v>0</v>
      </c>
      <c r="FT468">
        <v>0</v>
      </c>
      <c r="FU468">
        <v>0</v>
      </c>
      <c r="FV468">
        <v>0</v>
      </c>
      <c r="FW468">
        <v>0</v>
      </c>
      <c r="FX468">
        <v>0</v>
      </c>
      <c r="FY468">
        <v>0</v>
      </c>
      <c r="FZ468">
        <v>0</v>
      </c>
      <c r="GA468">
        <v>0</v>
      </c>
      <c r="GB468">
        <v>0</v>
      </c>
      <c r="GC468">
        <v>0</v>
      </c>
      <c r="GD468">
        <v>0</v>
      </c>
      <c r="GE468">
        <v>0</v>
      </c>
      <c r="GF468">
        <v>0</v>
      </c>
      <c r="GG468">
        <v>0</v>
      </c>
      <c r="GH468">
        <v>0</v>
      </c>
      <c r="GI468">
        <v>0</v>
      </c>
      <c r="GJ468">
        <v>0</v>
      </c>
      <c r="GK468">
        <v>0</v>
      </c>
      <c r="GL468">
        <v>0</v>
      </c>
      <c r="GM468">
        <v>0</v>
      </c>
      <c r="GN468">
        <v>0</v>
      </c>
      <c r="GO468">
        <v>0</v>
      </c>
      <c r="GP468">
        <v>0</v>
      </c>
      <c r="GQ468">
        <v>0</v>
      </c>
      <c r="GR468">
        <v>0</v>
      </c>
      <c r="GS468">
        <v>0</v>
      </c>
      <c r="GT468">
        <v>0</v>
      </c>
      <c r="GU468">
        <v>0</v>
      </c>
      <c r="GV468">
        <v>0</v>
      </c>
      <c r="GW468">
        <v>0</v>
      </c>
      <c r="GX468">
        <v>0</v>
      </c>
      <c r="GY468">
        <v>0</v>
      </c>
      <c r="GZ468">
        <v>0</v>
      </c>
      <c r="HA468">
        <v>0</v>
      </c>
      <c r="HB468">
        <v>0</v>
      </c>
      <c r="HC468">
        <v>0</v>
      </c>
      <c r="HD468">
        <v>0</v>
      </c>
      <c r="HE468">
        <v>0</v>
      </c>
      <c r="HF468">
        <v>0</v>
      </c>
      <c r="HG468">
        <v>0</v>
      </c>
      <c r="HH468">
        <v>0</v>
      </c>
      <c r="HI468">
        <v>0</v>
      </c>
      <c r="HJ468">
        <v>0</v>
      </c>
      <c r="HK468">
        <v>0</v>
      </c>
      <c r="HL468">
        <v>0</v>
      </c>
      <c r="HM468">
        <v>0</v>
      </c>
      <c r="HN468">
        <v>0</v>
      </c>
      <c r="HO468">
        <v>0</v>
      </c>
      <c r="HP468">
        <v>0</v>
      </c>
      <c r="HQ468">
        <v>0</v>
      </c>
      <c r="HR468">
        <v>0</v>
      </c>
      <c r="HS468">
        <v>0</v>
      </c>
      <c r="HT468">
        <v>0</v>
      </c>
      <c r="HU468">
        <v>0</v>
      </c>
      <c r="HV468">
        <v>0</v>
      </c>
      <c r="HW468">
        <v>0</v>
      </c>
      <c r="HX468">
        <v>0</v>
      </c>
      <c r="HY468">
        <v>0</v>
      </c>
      <c r="HZ468">
        <v>0</v>
      </c>
      <c r="IA468">
        <v>0</v>
      </c>
      <c r="IB468">
        <v>0</v>
      </c>
      <c r="IC468">
        <v>0</v>
      </c>
      <c r="ID468">
        <v>0</v>
      </c>
      <c r="IE468">
        <v>0</v>
      </c>
      <c r="IF468">
        <v>0</v>
      </c>
      <c r="IG468">
        <v>0</v>
      </c>
      <c r="IH468">
        <v>0</v>
      </c>
      <c r="II468">
        <v>0</v>
      </c>
      <c r="IJ468">
        <v>0</v>
      </c>
      <c r="IK468">
        <v>0</v>
      </c>
      <c r="IL468">
        <v>0</v>
      </c>
      <c r="IM468">
        <v>0</v>
      </c>
      <c r="IN468">
        <v>0</v>
      </c>
      <c r="IO468">
        <v>0</v>
      </c>
      <c r="IP468">
        <v>0</v>
      </c>
      <c r="IQ468">
        <v>0</v>
      </c>
      <c r="IR468">
        <v>0</v>
      </c>
      <c r="IS468">
        <v>0</v>
      </c>
      <c r="IT468">
        <v>0</v>
      </c>
      <c r="IU468">
        <v>0</v>
      </c>
      <c r="IV468">
        <v>0</v>
      </c>
      <c r="IW468">
        <v>0</v>
      </c>
      <c r="IX468">
        <v>0</v>
      </c>
      <c r="IY468">
        <v>0</v>
      </c>
      <c r="IZ468">
        <v>0</v>
      </c>
      <c r="JA468">
        <v>0</v>
      </c>
      <c r="JB468">
        <v>0</v>
      </c>
      <c r="JC468">
        <v>0</v>
      </c>
      <c r="JD468">
        <v>0</v>
      </c>
      <c r="JE468">
        <v>0</v>
      </c>
      <c r="JF468">
        <v>0</v>
      </c>
      <c r="JG468">
        <v>0</v>
      </c>
      <c r="JH468">
        <v>0</v>
      </c>
      <c r="JI468">
        <v>0</v>
      </c>
      <c r="JJ468">
        <v>0</v>
      </c>
      <c r="JK468">
        <v>0</v>
      </c>
      <c r="JL468">
        <v>0</v>
      </c>
      <c r="JM468">
        <v>0</v>
      </c>
      <c r="JN468">
        <v>0</v>
      </c>
      <c r="JO468">
        <v>0</v>
      </c>
      <c r="JP468">
        <v>0</v>
      </c>
      <c r="JQ468">
        <v>0</v>
      </c>
      <c r="JR468">
        <v>0</v>
      </c>
      <c r="JS468">
        <v>0</v>
      </c>
      <c r="JT468">
        <v>0</v>
      </c>
      <c r="JU468">
        <v>0</v>
      </c>
      <c r="JV468">
        <v>0</v>
      </c>
      <c r="JW468">
        <v>0</v>
      </c>
      <c r="JX468">
        <v>0</v>
      </c>
      <c r="JY468">
        <v>0</v>
      </c>
      <c r="JZ468">
        <v>0</v>
      </c>
      <c r="KA468">
        <v>0</v>
      </c>
      <c r="KB468">
        <v>0</v>
      </c>
      <c r="KC468">
        <v>0</v>
      </c>
      <c r="KD468">
        <v>0</v>
      </c>
      <c r="KE468">
        <v>0</v>
      </c>
      <c r="KF468">
        <v>0</v>
      </c>
      <c r="KG468">
        <v>0</v>
      </c>
      <c r="KH468">
        <v>0</v>
      </c>
      <c r="KI468">
        <v>0</v>
      </c>
      <c r="KJ468">
        <v>0</v>
      </c>
      <c r="KK468">
        <v>0</v>
      </c>
      <c r="KL468">
        <v>0</v>
      </c>
      <c r="KM468">
        <v>0</v>
      </c>
      <c r="KN468">
        <v>0</v>
      </c>
      <c r="KO468">
        <v>0</v>
      </c>
      <c r="KP468">
        <v>0</v>
      </c>
      <c r="KQ468">
        <v>0</v>
      </c>
      <c r="KR468">
        <v>0</v>
      </c>
      <c r="KS468">
        <v>0</v>
      </c>
      <c r="KT468">
        <v>0</v>
      </c>
      <c r="KU468">
        <v>0</v>
      </c>
      <c r="KV468">
        <v>0</v>
      </c>
      <c r="KW468">
        <v>0</v>
      </c>
      <c r="KX468">
        <v>0</v>
      </c>
      <c r="KY468">
        <v>0</v>
      </c>
      <c r="KZ468">
        <v>0</v>
      </c>
      <c r="LA468">
        <v>0</v>
      </c>
      <c r="LB468">
        <v>0</v>
      </c>
      <c r="LC468">
        <v>0</v>
      </c>
      <c r="LD468">
        <v>0</v>
      </c>
      <c r="LE468">
        <v>0</v>
      </c>
      <c r="LF468">
        <v>0</v>
      </c>
      <c r="LG468">
        <v>0</v>
      </c>
      <c r="LH468">
        <v>0</v>
      </c>
      <c r="LI468">
        <v>0</v>
      </c>
      <c r="LJ468">
        <v>0</v>
      </c>
      <c r="LK468">
        <v>0</v>
      </c>
      <c r="LL468">
        <v>0</v>
      </c>
      <c r="LM468">
        <v>0</v>
      </c>
      <c r="LN468">
        <v>0</v>
      </c>
      <c r="LO468">
        <v>0</v>
      </c>
      <c r="LP468">
        <v>0</v>
      </c>
      <c r="LQ468">
        <v>0</v>
      </c>
      <c r="LR468">
        <v>0</v>
      </c>
      <c r="LS468">
        <v>0</v>
      </c>
      <c r="LT468">
        <v>0</v>
      </c>
      <c r="LU468">
        <v>0</v>
      </c>
      <c r="LV468">
        <v>0</v>
      </c>
      <c r="LW468">
        <v>0</v>
      </c>
      <c r="LX468">
        <v>0</v>
      </c>
      <c r="LY468">
        <v>0</v>
      </c>
      <c r="LZ468">
        <v>0</v>
      </c>
      <c r="MA468">
        <v>0</v>
      </c>
      <c r="MB468">
        <v>0</v>
      </c>
      <c r="MC468">
        <v>0</v>
      </c>
      <c r="MD468">
        <v>0</v>
      </c>
      <c r="ME468">
        <v>0</v>
      </c>
      <c r="MF468">
        <v>0</v>
      </c>
      <c r="MG468">
        <v>0</v>
      </c>
      <c r="MH468">
        <v>0</v>
      </c>
      <c r="MI468">
        <v>0</v>
      </c>
      <c r="MJ468">
        <v>0</v>
      </c>
      <c r="MK468">
        <v>0</v>
      </c>
      <c r="ML468">
        <v>0</v>
      </c>
      <c r="MM468">
        <v>0</v>
      </c>
      <c r="MN468">
        <v>0</v>
      </c>
      <c r="MO468">
        <v>0</v>
      </c>
      <c r="MP468">
        <v>0</v>
      </c>
      <c r="MQ468">
        <v>0</v>
      </c>
      <c r="MR468">
        <v>0</v>
      </c>
      <c r="MS468">
        <v>0</v>
      </c>
      <c r="MT468">
        <v>0</v>
      </c>
      <c r="MU468">
        <v>0</v>
      </c>
      <c r="MV468">
        <v>0</v>
      </c>
      <c r="MW468">
        <v>0</v>
      </c>
      <c r="MX468">
        <v>0</v>
      </c>
      <c r="MY468">
        <v>0</v>
      </c>
      <c r="MZ468">
        <v>0</v>
      </c>
      <c r="NA468">
        <v>0</v>
      </c>
      <c r="NB468">
        <v>0</v>
      </c>
      <c r="NC468">
        <v>0</v>
      </c>
      <c r="ND468">
        <v>0</v>
      </c>
      <c r="NE468">
        <v>0</v>
      </c>
    </row>
    <row r="469" spans="41:369" x14ac:dyDescent="0.45">
      <c r="AO469">
        <v>0</v>
      </c>
      <c r="AP469">
        <v>0</v>
      </c>
      <c r="AQ469">
        <v>0</v>
      </c>
      <c r="AR469">
        <v>0</v>
      </c>
      <c r="AS469">
        <v>0</v>
      </c>
      <c r="AT469">
        <v>0</v>
      </c>
      <c r="AU469">
        <v>0</v>
      </c>
      <c r="AV469">
        <v>0</v>
      </c>
      <c r="AW469" t="str">
        <v/>
      </c>
      <c r="AX469">
        <v>255</v>
      </c>
      <c r="AY469" s="5" t="str">
        <v/>
      </c>
      <c r="AZ469">
        <v>0</v>
      </c>
      <c r="BA469">
        <v>0</v>
      </c>
      <c r="BB469">
        <v>0</v>
      </c>
      <c r="BC469">
        <v>0</v>
      </c>
      <c r="BD469">
        <v>0</v>
      </c>
      <c r="BE469">
        <v>0</v>
      </c>
      <c r="BF469">
        <v>0</v>
      </c>
      <c r="BG469">
        <v>0</v>
      </c>
      <c r="BH469">
        <v>0</v>
      </c>
      <c r="BI469" t="str">
        <v/>
      </c>
      <c r="BK469">
        <v>463</v>
      </c>
      <c r="BL469">
        <v>0</v>
      </c>
      <c r="BM469">
        <v>0</v>
      </c>
      <c r="BN469">
        <v>0</v>
      </c>
      <c r="BO469">
        <v>0</v>
      </c>
      <c r="BP469">
        <v>0</v>
      </c>
      <c r="BQ469">
        <v>0</v>
      </c>
      <c r="BR469">
        <v>0</v>
      </c>
      <c r="BS469">
        <v>0</v>
      </c>
      <c r="BT469">
        <v>0</v>
      </c>
      <c r="BU469">
        <v>0</v>
      </c>
      <c r="BV469">
        <v>0</v>
      </c>
      <c r="BW469">
        <v>0</v>
      </c>
      <c r="BX469">
        <v>0</v>
      </c>
      <c r="BY469">
        <v>0</v>
      </c>
      <c r="BZ469">
        <v>0</v>
      </c>
      <c r="CA469">
        <v>0</v>
      </c>
      <c r="CB469">
        <v>0</v>
      </c>
      <c r="CC469">
        <v>0</v>
      </c>
      <c r="CD469">
        <v>0</v>
      </c>
      <c r="CE469">
        <v>0</v>
      </c>
      <c r="CF469">
        <v>0</v>
      </c>
      <c r="CG469">
        <v>0</v>
      </c>
      <c r="CH469">
        <v>0</v>
      </c>
      <c r="CI469">
        <v>0</v>
      </c>
      <c r="CJ469">
        <v>0</v>
      </c>
      <c r="CK469">
        <v>0</v>
      </c>
      <c r="CL469">
        <v>0</v>
      </c>
      <c r="CM469">
        <v>0</v>
      </c>
      <c r="CN469">
        <v>0</v>
      </c>
      <c r="CO469">
        <v>0</v>
      </c>
      <c r="CP469">
        <v>0</v>
      </c>
      <c r="CQ469">
        <v>0</v>
      </c>
      <c r="CR469">
        <v>0</v>
      </c>
      <c r="CS469">
        <v>0</v>
      </c>
      <c r="CT469">
        <v>0</v>
      </c>
      <c r="CU469">
        <v>0</v>
      </c>
      <c r="CV469">
        <v>0</v>
      </c>
      <c r="CW469">
        <v>0</v>
      </c>
      <c r="CX469">
        <v>0</v>
      </c>
      <c r="CY469">
        <v>0</v>
      </c>
      <c r="CZ469">
        <v>0</v>
      </c>
      <c r="DA469">
        <v>0</v>
      </c>
      <c r="DB469">
        <v>0</v>
      </c>
      <c r="DC469">
        <v>0</v>
      </c>
      <c r="DD469">
        <v>0</v>
      </c>
      <c r="DE469">
        <v>0</v>
      </c>
      <c r="DF469">
        <v>0</v>
      </c>
      <c r="DG469">
        <v>0</v>
      </c>
      <c r="DH469">
        <v>0</v>
      </c>
      <c r="DI469">
        <v>0</v>
      </c>
      <c r="DJ469">
        <v>0</v>
      </c>
      <c r="DK469">
        <v>0</v>
      </c>
      <c r="DL469">
        <v>0</v>
      </c>
      <c r="DM469">
        <v>0</v>
      </c>
      <c r="DN469">
        <v>0</v>
      </c>
      <c r="DO469">
        <v>0</v>
      </c>
      <c r="DP469">
        <v>0</v>
      </c>
      <c r="DQ469">
        <v>0</v>
      </c>
      <c r="DR469">
        <v>0</v>
      </c>
      <c r="DS469">
        <v>0</v>
      </c>
      <c r="DT469">
        <v>0</v>
      </c>
      <c r="DU469">
        <v>0</v>
      </c>
      <c r="DV469">
        <v>0</v>
      </c>
      <c r="DW469">
        <v>0</v>
      </c>
      <c r="DX469">
        <v>0</v>
      </c>
      <c r="DY469">
        <v>0</v>
      </c>
      <c r="DZ469">
        <v>0</v>
      </c>
      <c r="EA469">
        <v>0</v>
      </c>
      <c r="EB469">
        <v>0</v>
      </c>
      <c r="EC469">
        <v>0</v>
      </c>
      <c r="ED469">
        <v>0</v>
      </c>
      <c r="EE469">
        <v>0</v>
      </c>
      <c r="EF469">
        <v>0</v>
      </c>
      <c r="EG469">
        <v>0</v>
      </c>
      <c r="EH469">
        <v>0</v>
      </c>
      <c r="EI469">
        <v>0</v>
      </c>
      <c r="EJ469">
        <v>0</v>
      </c>
      <c r="EK469">
        <v>0</v>
      </c>
      <c r="EL469">
        <v>0</v>
      </c>
      <c r="EM469">
        <v>0</v>
      </c>
      <c r="EN469">
        <v>0</v>
      </c>
      <c r="EO469">
        <v>0</v>
      </c>
      <c r="EP469">
        <v>0</v>
      </c>
      <c r="EQ469">
        <v>0</v>
      </c>
      <c r="ER469">
        <v>0</v>
      </c>
      <c r="ES469">
        <v>0</v>
      </c>
      <c r="ET469">
        <v>0</v>
      </c>
      <c r="EU469">
        <v>0</v>
      </c>
      <c r="EV469">
        <v>0</v>
      </c>
      <c r="EW469">
        <v>0</v>
      </c>
      <c r="EX469">
        <v>0</v>
      </c>
      <c r="EY469">
        <v>0</v>
      </c>
      <c r="EZ469">
        <v>0</v>
      </c>
      <c r="FA469">
        <v>0</v>
      </c>
      <c r="FB469">
        <v>0</v>
      </c>
      <c r="FC469">
        <v>0</v>
      </c>
      <c r="FD469">
        <v>0</v>
      </c>
      <c r="FE469">
        <v>0</v>
      </c>
      <c r="FF469">
        <v>0</v>
      </c>
      <c r="FG469">
        <v>0</v>
      </c>
      <c r="FH469">
        <v>0</v>
      </c>
      <c r="FI469">
        <v>0</v>
      </c>
      <c r="FJ469">
        <v>0</v>
      </c>
      <c r="FK469">
        <v>0</v>
      </c>
      <c r="FL469">
        <v>0</v>
      </c>
      <c r="FM469">
        <v>0</v>
      </c>
      <c r="FN469">
        <v>0</v>
      </c>
      <c r="FO469">
        <v>0</v>
      </c>
      <c r="FP469">
        <v>0</v>
      </c>
      <c r="FQ469">
        <v>0</v>
      </c>
      <c r="FR469">
        <v>0</v>
      </c>
      <c r="FS469">
        <v>0</v>
      </c>
      <c r="FT469">
        <v>0</v>
      </c>
      <c r="FU469">
        <v>0</v>
      </c>
      <c r="FV469">
        <v>0</v>
      </c>
      <c r="FW469">
        <v>0</v>
      </c>
      <c r="FX469">
        <v>0</v>
      </c>
      <c r="FY469">
        <v>0</v>
      </c>
      <c r="FZ469">
        <v>0</v>
      </c>
      <c r="GA469">
        <v>0</v>
      </c>
      <c r="GB469">
        <v>0</v>
      </c>
      <c r="GC469">
        <v>0</v>
      </c>
      <c r="GD469">
        <v>0</v>
      </c>
      <c r="GE469">
        <v>0</v>
      </c>
      <c r="GF469">
        <v>0</v>
      </c>
      <c r="GG469">
        <v>0</v>
      </c>
      <c r="GH469">
        <v>0</v>
      </c>
      <c r="GI469">
        <v>0</v>
      </c>
      <c r="GJ469">
        <v>0</v>
      </c>
      <c r="GK469">
        <v>0</v>
      </c>
      <c r="GL469">
        <v>0</v>
      </c>
      <c r="GM469">
        <v>0</v>
      </c>
      <c r="GN469">
        <v>0</v>
      </c>
      <c r="GO469">
        <v>0</v>
      </c>
      <c r="GP469">
        <v>0</v>
      </c>
      <c r="GQ469">
        <v>0</v>
      </c>
      <c r="GR469">
        <v>0</v>
      </c>
      <c r="GS469">
        <v>0</v>
      </c>
      <c r="GT469">
        <v>0</v>
      </c>
      <c r="GU469">
        <v>0</v>
      </c>
      <c r="GV469">
        <v>0</v>
      </c>
      <c r="GW469">
        <v>0</v>
      </c>
      <c r="GX469">
        <v>0</v>
      </c>
      <c r="GY469">
        <v>0</v>
      </c>
      <c r="GZ469">
        <v>0</v>
      </c>
      <c r="HA469">
        <v>0</v>
      </c>
      <c r="HB469">
        <v>0</v>
      </c>
      <c r="HC469">
        <v>0</v>
      </c>
      <c r="HD469">
        <v>0</v>
      </c>
      <c r="HE469">
        <v>0</v>
      </c>
      <c r="HF469">
        <v>0</v>
      </c>
      <c r="HG469">
        <v>0</v>
      </c>
      <c r="HH469">
        <v>0</v>
      </c>
      <c r="HI469">
        <v>0</v>
      </c>
      <c r="HJ469">
        <v>0</v>
      </c>
      <c r="HK469">
        <v>0</v>
      </c>
      <c r="HL469">
        <v>0</v>
      </c>
      <c r="HM469">
        <v>0</v>
      </c>
      <c r="HN469">
        <v>0</v>
      </c>
      <c r="HO469">
        <v>0</v>
      </c>
      <c r="HP469">
        <v>0</v>
      </c>
      <c r="HQ469">
        <v>0</v>
      </c>
      <c r="HR469">
        <v>0</v>
      </c>
      <c r="HS469">
        <v>0</v>
      </c>
      <c r="HT469">
        <v>0</v>
      </c>
      <c r="HU469">
        <v>0</v>
      </c>
      <c r="HV469">
        <v>0</v>
      </c>
      <c r="HW469">
        <v>0</v>
      </c>
      <c r="HX469">
        <v>0</v>
      </c>
      <c r="HY469">
        <v>0</v>
      </c>
      <c r="HZ469">
        <v>0</v>
      </c>
      <c r="IA469">
        <v>0</v>
      </c>
      <c r="IB469">
        <v>0</v>
      </c>
      <c r="IC469">
        <v>0</v>
      </c>
      <c r="ID469">
        <v>0</v>
      </c>
      <c r="IE469">
        <v>0</v>
      </c>
      <c r="IF469">
        <v>0</v>
      </c>
      <c r="IG469">
        <v>0</v>
      </c>
      <c r="IH469">
        <v>0</v>
      </c>
      <c r="II469">
        <v>0</v>
      </c>
      <c r="IJ469">
        <v>0</v>
      </c>
      <c r="IK469">
        <v>0</v>
      </c>
      <c r="IL469">
        <v>0</v>
      </c>
      <c r="IM469">
        <v>0</v>
      </c>
      <c r="IN469">
        <v>0</v>
      </c>
      <c r="IO469">
        <v>0</v>
      </c>
      <c r="IP469">
        <v>0</v>
      </c>
      <c r="IQ469">
        <v>0</v>
      </c>
      <c r="IR469">
        <v>0</v>
      </c>
      <c r="IS469">
        <v>0</v>
      </c>
      <c r="IT469">
        <v>0</v>
      </c>
      <c r="IU469">
        <v>0</v>
      </c>
      <c r="IV469">
        <v>0</v>
      </c>
      <c r="IW469">
        <v>0</v>
      </c>
      <c r="IX469">
        <v>0</v>
      </c>
      <c r="IY469">
        <v>0</v>
      </c>
      <c r="IZ469">
        <v>0</v>
      </c>
      <c r="JA469">
        <v>0</v>
      </c>
      <c r="JB469">
        <v>0</v>
      </c>
      <c r="JC469">
        <v>0</v>
      </c>
      <c r="JD469">
        <v>0</v>
      </c>
      <c r="JE469">
        <v>0</v>
      </c>
      <c r="JF469">
        <v>0</v>
      </c>
      <c r="JG469">
        <v>0</v>
      </c>
      <c r="JH469">
        <v>0</v>
      </c>
      <c r="JI469">
        <v>0</v>
      </c>
      <c r="JJ469">
        <v>0</v>
      </c>
      <c r="JK469">
        <v>0</v>
      </c>
      <c r="JL469">
        <v>0</v>
      </c>
      <c r="JM469">
        <v>0</v>
      </c>
      <c r="JN469">
        <v>0</v>
      </c>
      <c r="JO469">
        <v>0</v>
      </c>
      <c r="JP469">
        <v>0</v>
      </c>
      <c r="JQ469">
        <v>0</v>
      </c>
      <c r="JR469">
        <v>0</v>
      </c>
      <c r="JS469">
        <v>0</v>
      </c>
      <c r="JT469">
        <v>0</v>
      </c>
      <c r="JU469">
        <v>0</v>
      </c>
      <c r="JV469">
        <v>0</v>
      </c>
      <c r="JW469">
        <v>0</v>
      </c>
      <c r="JX469">
        <v>0</v>
      </c>
      <c r="JY469">
        <v>0</v>
      </c>
      <c r="JZ469">
        <v>0</v>
      </c>
      <c r="KA469">
        <v>0</v>
      </c>
      <c r="KB469">
        <v>0</v>
      </c>
      <c r="KC469">
        <v>0</v>
      </c>
      <c r="KD469">
        <v>0</v>
      </c>
      <c r="KE469">
        <v>0</v>
      </c>
      <c r="KF469">
        <v>0</v>
      </c>
      <c r="KG469">
        <v>0</v>
      </c>
      <c r="KH469">
        <v>0</v>
      </c>
      <c r="KI469">
        <v>0</v>
      </c>
      <c r="KJ469">
        <v>0</v>
      </c>
      <c r="KK469">
        <v>0</v>
      </c>
      <c r="KL469">
        <v>0</v>
      </c>
      <c r="KM469">
        <v>0</v>
      </c>
      <c r="KN469">
        <v>0</v>
      </c>
      <c r="KO469">
        <v>0</v>
      </c>
      <c r="KP469">
        <v>0</v>
      </c>
      <c r="KQ469">
        <v>0</v>
      </c>
      <c r="KR469">
        <v>0</v>
      </c>
      <c r="KS469">
        <v>0</v>
      </c>
      <c r="KT469">
        <v>0</v>
      </c>
      <c r="KU469">
        <v>0</v>
      </c>
      <c r="KV469">
        <v>0</v>
      </c>
      <c r="KW469">
        <v>0</v>
      </c>
      <c r="KX469">
        <v>0</v>
      </c>
      <c r="KY469">
        <v>0</v>
      </c>
      <c r="KZ469">
        <v>0</v>
      </c>
      <c r="LA469">
        <v>0</v>
      </c>
      <c r="LB469">
        <v>0</v>
      </c>
      <c r="LC469">
        <v>0</v>
      </c>
      <c r="LD469">
        <v>0</v>
      </c>
      <c r="LE469">
        <v>0</v>
      </c>
      <c r="LF469">
        <v>0</v>
      </c>
      <c r="LG469">
        <v>0</v>
      </c>
      <c r="LH469">
        <v>0</v>
      </c>
      <c r="LI469">
        <v>0</v>
      </c>
      <c r="LJ469">
        <v>0</v>
      </c>
      <c r="LK469">
        <v>0</v>
      </c>
      <c r="LL469">
        <v>0</v>
      </c>
      <c r="LM469">
        <v>0</v>
      </c>
      <c r="LN469">
        <v>0</v>
      </c>
      <c r="LO469">
        <v>0</v>
      </c>
      <c r="LP469">
        <v>0</v>
      </c>
      <c r="LQ469">
        <v>0</v>
      </c>
      <c r="LR469">
        <v>0</v>
      </c>
      <c r="LS469">
        <v>0</v>
      </c>
      <c r="LT469">
        <v>0</v>
      </c>
      <c r="LU469">
        <v>0</v>
      </c>
      <c r="LV469">
        <v>0</v>
      </c>
      <c r="LW469">
        <v>0</v>
      </c>
      <c r="LX469">
        <v>0</v>
      </c>
      <c r="LY469">
        <v>0</v>
      </c>
      <c r="LZ469">
        <v>0</v>
      </c>
      <c r="MA469">
        <v>0</v>
      </c>
      <c r="MB469">
        <v>0</v>
      </c>
      <c r="MC469">
        <v>0</v>
      </c>
      <c r="MD469">
        <v>0</v>
      </c>
      <c r="ME469">
        <v>0</v>
      </c>
      <c r="MF469">
        <v>0</v>
      </c>
      <c r="MG469">
        <v>0</v>
      </c>
      <c r="MH469">
        <v>0</v>
      </c>
      <c r="MI469">
        <v>0</v>
      </c>
      <c r="MJ469">
        <v>0</v>
      </c>
      <c r="MK469">
        <v>0</v>
      </c>
      <c r="ML469">
        <v>0</v>
      </c>
      <c r="MM469">
        <v>0</v>
      </c>
      <c r="MN469">
        <v>0</v>
      </c>
      <c r="MO469">
        <v>0</v>
      </c>
      <c r="MP469">
        <v>0</v>
      </c>
      <c r="MQ469">
        <v>0</v>
      </c>
      <c r="MR469">
        <v>0</v>
      </c>
      <c r="MS469">
        <v>0</v>
      </c>
      <c r="MT469">
        <v>0</v>
      </c>
      <c r="MU469">
        <v>0</v>
      </c>
      <c r="MV469">
        <v>0</v>
      </c>
      <c r="MW469">
        <v>0</v>
      </c>
      <c r="MX469">
        <v>0</v>
      </c>
      <c r="MY469">
        <v>0</v>
      </c>
      <c r="MZ469">
        <v>0</v>
      </c>
      <c r="NA469">
        <v>0</v>
      </c>
      <c r="NB469">
        <v>0</v>
      </c>
      <c r="NC469">
        <v>0</v>
      </c>
      <c r="ND469">
        <v>0</v>
      </c>
      <c r="NE469">
        <v>0</v>
      </c>
    </row>
    <row r="470" spans="41:369" x14ac:dyDescent="0.45">
      <c r="AO470">
        <v>0</v>
      </c>
      <c r="AP470">
        <v>0</v>
      </c>
      <c r="AQ470">
        <v>0</v>
      </c>
      <c r="AR470">
        <v>0</v>
      </c>
      <c r="AS470">
        <v>0</v>
      </c>
      <c r="AT470">
        <v>0</v>
      </c>
      <c r="AU470">
        <v>0</v>
      </c>
      <c r="AV470">
        <v>0</v>
      </c>
      <c r="AW470" t="str">
        <v/>
      </c>
      <c r="AX470">
        <v>255</v>
      </c>
      <c r="AY470" s="5" t="str">
        <v/>
      </c>
      <c r="AZ470">
        <v>0</v>
      </c>
      <c r="BA470">
        <v>0</v>
      </c>
      <c r="BB470">
        <v>0</v>
      </c>
      <c r="BC470">
        <v>0</v>
      </c>
      <c r="BD470">
        <v>0</v>
      </c>
      <c r="BE470">
        <v>0</v>
      </c>
      <c r="BF470">
        <v>0</v>
      </c>
      <c r="BG470">
        <v>0</v>
      </c>
      <c r="BH470">
        <v>0</v>
      </c>
      <c r="BI470" t="str">
        <v/>
      </c>
      <c r="BK470">
        <v>464</v>
      </c>
      <c r="BL470">
        <v>0</v>
      </c>
      <c r="BM470">
        <v>0</v>
      </c>
      <c r="BN470">
        <v>0</v>
      </c>
      <c r="BO470">
        <v>0</v>
      </c>
      <c r="BP470">
        <v>0</v>
      </c>
      <c r="BQ470">
        <v>0</v>
      </c>
      <c r="BR470">
        <v>0</v>
      </c>
      <c r="BS470">
        <v>0</v>
      </c>
      <c r="BT470">
        <v>0</v>
      </c>
      <c r="BU470">
        <v>0</v>
      </c>
      <c r="BV470">
        <v>0</v>
      </c>
      <c r="BW470">
        <v>0</v>
      </c>
      <c r="BX470">
        <v>0</v>
      </c>
      <c r="BY470">
        <v>0</v>
      </c>
      <c r="BZ470">
        <v>0</v>
      </c>
      <c r="CA470">
        <v>0</v>
      </c>
      <c r="CB470">
        <v>0</v>
      </c>
      <c r="CC470">
        <v>0</v>
      </c>
      <c r="CD470">
        <v>0</v>
      </c>
      <c r="CE470">
        <v>0</v>
      </c>
      <c r="CF470">
        <v>0</v>
      </c>
      <c r="CG470">
        <v>0</v>
      </c>
      <c r="CH470">
        <v>0</v>
      </c>
      <c r="CI470">
        <v>0</v>
      </c>
      <c r="CJ470">
        <v>0</v>
      </c>
      <c r="CK470">
        <v>0</v>
      </c>
      <c r="CL470">
        <v>0</v>
      </c>
      <c r="CM470">
        <v>0</v>
      </c>
      <c r="CN470">
        <v>0</v>
      </c>
      <c r="CO470">
        <v>0</v>
      </c>
      <c r="CP470">
        <v>0</v>
      </c>
      <c r="CQ470">
        <v>0</v>
      </c>
      <c r="CR470">
        <v>0</v>
      </c>
      <c r="CS470">
        <v>0</v>
      </c>
      <c r="CT470">
        <v>0</v>
      </c>
      <c r="CU470">
        <v>0</v>
      </c>
      <c r="CV470">
        <v>0</v>
      </c>
      <c r="CW470">
        <v>0</v>
      </c>
      <c r="CX470">
        <v>0</v>
      </c>
      <c r="CY470">
        <v>0</v>
      </c>
      <c r="CZ470">
        <v>0</v>
      </c>
      <c r="DA470">
        <v>0</v>
      </c>
      <c r="DB470">
        <v>0</v>
      </c>
      <c r="DC470">
        <v>0</v>
      </c>
      <c r="DD470">
        <v>0</v>
      </c>
      <c r="DE470">
        <v>0</v>
      </c>
      <c r="DF470">
        <v>0</v>
      </c>
      <c r="DG470">
        <v>0</v>
      </c>
      <c r="DH470">
        <v>0</v>
      </c>
      <c r="DI470">
        <v>0</v>
      </c>
      <c r="DJ470">
        <v>0</v>
      </c>
      <c r="DK470">
        <v>0</v>
      </c>
      <c r="DL470">
        <v>0</v>
      </c>
      <c r="DM470">
        <v>0</v>
      </c>
      <c r="DN470">
        <v>0</v>
      </c>
      <c r="DO470">
        <v>0</v>
      </c>
      <c r="DP470">
        <v>0</v>
      </c>
      <c r="DQ470">
        <v>0</v>
      </c>
      <c r="DR470">
        <v>0</v>
      </c>
      <c r="DS470">
        <v>0</v>
      </c>
      <c r="DT470">
        <v>0</v>
      </c>
      <c r="DU470">
        <v>0</v>
      </c>
      <c r="DV470">
        <v>0</v>
      </c>
      <c r="DW470">
        <v>0</v>
      </c>
      <c r="DX470">
        <v>0</v>
      </c>
      <c r="DY470">
        <v>0</v>
      </c>
      <c r="DZ470">
        <v>0</v>
      </c>
      <c r="EA470">
        <v>0</v>
      </c>
      <c r="EB470">
        <v>0</v>
      </c>
      <c r="EC470">
        <v>0</v>
      </c>
      <c r="ED470">
        <v>0</v>
      </c>
      <c r="EE470">
        <v>0</v>
      </c>
      <c r="EF470">
        <v>0</v>
      </c>
      <c r="EG470">
        <v>0</v>
      </c>
      <c r="EH470">
        <v>0</v>
      </c>
      <c r="EI470">
        <v>0</v>
      </c>
      <c r="EJ470">
        <v>0</v>
      </c>
      <c r="EK470">
        <v>0</v>
      </c>
      <c r="EL470">
        <v>0</v>
      </c>
      <c r="EM470">
        <v>0</v>
      </c>
      <c r="EN470">
        <v>0</v>
      </c>
      <c r="EO470">
        <v>0</v>
      </c>
      <c r="EP470">
        <v>0</v>
      </c>
      <c r="EQ470">
        <v>0</v>
      </c>
      <c r="ER470">
        <v>0</v>
      </c>
      <c r="ES470">
        <v>0</v>
      </c>
      <c r="ET470">
        <v>0</v>
      </c>
      <c r="EU470">
        <v>0</v>
      </c>
      <c r="EV470">
        <v>0</v>
      </c>
      <c r="EW470">
        <v>0</v>
      </c>
      <c r="EX470">
        <v>0</v>
      </c>
      <c r="EY470">
        <v>0</v>
      </c>
      <c r="EZ470">
        <v>0</v>
      </c>
      <c r="FA470">
        <v>0</v>
      </c>
      <c r="FB470">
        <v>0</v>
      </c>
      <c r="FC470">
        <v>0</v>
      </c>
      <c r="FD470">
        <v>0</v>
      </c>
      <c r="FE470">
        <v>0</v>
      </c>
      <c r="FF470">
        <v>0</v>
      </c>
      <c r="FG470">
        <v>0</v>
      </c>
      <c r="FH470">
        <v>0</v>
      </c>
      <c r="FI470">
        <v>0</v>
      </c>
      <c r="FJ470">
        <v>0</v>
      </c>
      <c r="FK470">
        <v>0</v>
      </c>
      <c r="FL470">
        <v>0</v>
      </c>
      <c r="FM470">
        <v>0</v>
      </c>
      <c r="FN470">
        <v>0</v>
      </c>
      <c r="FO470">
        <v>0</v>
      </c>
      <c r="FP470">
        <v>0</v>
      </c>
      <c r="FQ470">
        <v>0</v>
      </c>
      <c r="FR470">
        <v>0</v>
      </c>
      <c r="FS470">
        <v>0</v>
      </c>
      <c r="FT470">
        <v>0</v>
      </c>
      <c r="FU470">
        <v>0</v>
      </c>
      <c r="FV470">
        <v>0</v>
      </c>
      <c r="FW470">
        <v>0</v>
      </c>
      <c r="FX470">
        <v>0</v>
      </c>
      <c r="FY470">
        <v>0</v>
      </c>
      <c r="FZ470">
        <v>0</v>
      </c>
      <c r="GA470">
        <v>0</v>
      </c>
      <c r="GB470">
        <v>0</v>
      </c>
      <c r="GC470">
        <v>0</v>
      </c>
      <c r="GD470">
        <v>0</v>
      </c>
      <c r="GE470">
        <v>0</v>
      </c>
      <c r="GF470">
        <v>0</v>
      </c>
      <c r="GG470">
        <v>0</v>
      </c>
      <c r="GH470">
        <v>0</v>
      </c>
      <c r="GI470">
        <v>0</v>
      </c>
      <c r="GJ470">
        <v>0</v>
      </c>
      <c r="GK470">
        <v>0</v>
      </c>
      <c r="GL470">
        <v>0</v>
      </c>
      <c r="GM470">
        <v>0</v>
      </c>
      <c r="GN470">
        <v>0</v>
      </c>
      <c r="GO470">
        <v>0</v>
      </c>
      <c r="GP470">
        <v>0</v>
      </c>
      <c r="GQ470">
        <v>0</v>
      </c>
      <c r="GR470">
        <v>0</v>
      </c>
      <c r="GS470">
        <v>0</v>
      </c>
      <c r="GT470">
        <v>0</v>
      </c>
      <c r="GU470">
        <v>0</v>
      </c>
      <c r="GV470">
        <v>0</v>
      </c>
      <c r="GW470">
        <v>0</v>
      </c>
      <c r="GX470">
        <v>0</v>
      </c>
      <c r="GY470">
        <v>0</v>
      </c>
      <c r="GZ470">
        <v>0</v>
      </c>
      <c r="HA470">
        <v>0</v>
      </c>
      <c r="HB470">
        <v>0</v>
      </c>
      <c r="HC470">
        <v>0</v>
      </c>
      <c r="HD470">
        <v>0</v>
      </c>
      <c r="HE470">
        <v>0</v>
      </c>
      <c r="HF470">
        <v>0</v>
      </c>
      <c r="HG470">
        <v>0</v>
      </c>
      <c r="HH470">
        <v>0</v>
      </c>
      <c r="HI470">
        <v>0</v>
      </c>
      <c r="HJ470">
        <v>0</v>
      </c>
      <c r="HK470">
        <v>0</v>
      </c>
      <c r="HL470">
        <v>0</v>
      </c>
      <c r="HM470">
        <v>0</v>
      </c>
      <c r="HN470">
        <v>0</v>
      </c>
      <c r="HO470">
        <v>0</v>
      </c>
      <c r="HP470">
        <v>0</v>
      </c>
      <c r="HQ470">
        <v>0</v>
      </c>
      <c r="HR470">
        <v>0</v>
      </c>
      <c r="HS470">
        <v>0</v>
      </c>
      <c r="HT470">
        <v>0</v>
      </c>
      <c r="HU470">
        <v>0</v>
      </c>
      <c r="HV470">
        <v>0</v>
      </c>
      <c r="HW470">
        <v>0</v>
      </c>
      <c r="HX470">
        <v>0</v>
      </c>
      <c r="HY470">
        <v>0</v>
      </c>
      <c r="HZ470">
        <v>0</v>
      </c>
      <c r="IA470">
        <v>0</v>
      </c>
      <c r="IB470">
        <v>0</v>
      </c>
      <c r="IC470">
        <v>0</v>
      </c>
      <c r="ID470">
        <v>0</v>
      </c>
      <c r="IE470">
        <v>0</v>
      </c>
      <c r="IF470">
        <v>0</v>
      </c>
      <c r="IG470">
        <v>0</v>
      </c>
      <c r="IH470">
        <v>0</v>
      </c>
      <c r="II470">
        <v>0</v>
      </c>
      <c r="IJ470">
        <v>0</v>
      </c>
      <c r="IK470">
        <v>0</v>
      </c>
      <c r="IL470">
        <v>0</v>
      </c>
      <c r="IM470">
        <v>0</v>
      </c>
      <c r="IN470">
        <v>0</v>
      </c>
      <c r="IO470">
        <v>0</v>
      </c>
      <c r="IP470">
        <v>0</v>
      </c>
      <c r="IQ470">
        <v>0</v>
      </c>
      <c r="IR470">
        <v>0</v>
      </c>
      <c r="IS470">
        <v>0</v>
      </c>
      <c r="IT470">
        <v>0</v>
      </c>
      <c r="IU470">
        <v>0</v>
      </c>
      <c r="IV470">
        <v>0</v>
      </c>
      <c r="IW470">
        <v>0</v>
      </c>
      <c r="IX470">
        <v>0</v>
      </c>
      <c r="IY470">
        <v>0</v>
      </c>
      <c r="IZ470">
        <v>0</v>
      </c>
      <c r="JA470">
        <v>0</v>
      </c>
      <c r="JB470">
        <v>0</v>
      </c>
      <c r="JC470">
        <v>0</v>
      </c>
      <c r="JD470">
        <v>0</v>
      </c>
      <c r="JE470">
        <v>0</v>
      </c>
      <c r="JF470">
        <v>0</v>
      </c>
      <c r="JG470">
        <v>0</v>
      </c>
      <c r="JH470">
        <v>0</v>
      </c>
      <c r="JI470">
        <v>0</v>
      </c>
      <c r="JJ470">
        <v>0</v>
      </c>
      <c r="JK470">
        <v>0</v>
      </c>
      <c r="JL470">
        <v>0</v>
      </c>
      <c r="JM470">
        <v>0</v>
      </c>
      <c r="JN470">
        <v>0</v>
      </c>
      <c r="JO470">
        <v>0</v>
      </c>
      <c r="JP470">
        <v>0</v>
      </c>
      <c r="JQ470">
        <v>0</v>
      </c>
      <c r="JR470">
        <v>0</v>
      </c>
      <c r="JS470">
        <v>0</v>
      </c>
      <c r="JT470">
        <v>0</v>
      </c>
      <c r="JU470">
        <v>0</v>
      </c>
      <c r="JV470">
        <v>0</v>
      </c>
      <c r="JW470">
        <v>0</v>
      </c>
      <c r="JX470">
        <v>0</v>
      </c>
      <c r="JY470">
        <v>0</v>
      </c>
      <c r="JZ470">
        <v>0</v>
      </c>
      <c r="KA470">
        <v>0</v>
      </c>
      <c r="KB470">
        <v>0</v>
      </c>
      <c r="KC470">
        <v>0</v>
      </c>
      <c r="KD470">
        <v>0</v>
      </c>
      <c r="KE470">
        <v>0</v>
      </c>
      <c r="KF470">
        <v>0</v>
      </c>
      <c r="KG470">
        <v>0</v>
      </c>
      <c r="KH470">
        <v>0</v>
      </c>
      <c r="KI470">
        <v>0</v>
      </c>
      <c r="KJ470">
        <v>0</v>
      </c>
      <c r="KK470">
        <v>0</v>
      </c>
      <c r="KL470">
        <v>0</v>
      </c>
      <c r="KM470">
        <v>0</v>
      </c>
      <c r="KN470">
        <v>0</v>
      </c>
      <c r="KO470">
        <v>0</v>
      </c>
      <c r="KP470">
        <v>0</v>
      </c>
      <c r="KQ470">
        <v>0</v>
      </c>
      <c r="KR470">
        <v>0</v>
      </c>
      <c r="KS470">
        <v>0</v>
      </c>
      <c r="KT470">
        <v>0</v>
      </c>
      <c r="KU470">
        <v>0</v>
      </c>
      <c r="KV470">
        <v>0</v>
      </c>
      <c r="KW470">
        <v>0</v>
      </c>
      <c r="KX470">
        <v>0</v>
      </c>
      <c r="KY470">
        <v>0</v>
      </c>
      <c r="KZ470">
        <v>0</v>
      </c>
      <c r="LA470">
        <v>0</v>
      </c>
      <c r="LB470">
        <v>0</v>
      </c>
      <c r="LC470">
        <v>0</v>
      </c>
      <c r="LD470">
        <v>0</v>
      </c>
      <c r="LE470">
        <v>0</v>
      </c>
      <c r="LF470">
        <v>0</v>
      </c>
      <c r="LG470">
        <v>0</v>
      </c>
      <c r="LH470">
        <v>0</v>
      </c>
      <c r="LI470">
        <v>0</v>
      </c>
      <c r="LJ470">
        <v>0</v>
      </c>
      <c r="LK470">
        <v>0</v>
      </c>
      <c r="LL470">
        <v>0</v>
      </c>
      <c r="LM470">
        <v>0</v>
      </c>
      <c r="LN470">
        <v>0</v>
      </c>
      <c r="LO470">
        <v>0</v>
      </c>
      <c r="LP470">
        <v>0</v>
      </c>
      <c r="LQ470">
        <v>0</v>
      </c>
      <c r="LR470">
        <v>0</v>
      </c>
      <c r="LS470">
        <v>0</v>
      </c>
      <c r="LT470">
        <v>0</v>
      </c>
      <c r="LU470">
        <v>0</v>
      </c>
      <c r="LV470">
        <v>0</v>
      </c>
      <c r="LW470">
        <v>0</v>
      </c>
      <c r="LX470">
        <v>0</v>
      </c>
      <c r="LY470">
        <v>0</v>
      </c>
      <c r="LZ470">
        <v>0</v>
      </c>
      <c r="MA470">
        <v>0</v>
      </c>
      <c r="MB470">
        <v>0</v>
      </c>
      <c r="MC470">
        <v>0</v>
      </c>
      <c r="MD470">
        <v>0</v>
      </c>
      <c r="ME470">
        <v>0</v>
      </c>
      <c r="MF470">
        <v>0</v>
      </c>
      <c r="MG470">
        <v>0</v>
      </c>
      <c r="MH470">
        <v>0</v>
      </c>
      <c r="MI470">
        <v>0</v>
      </c>
      <c r="MJ470">
        <v>0</v>
      </c>
      <c r="MK470">
        <v>0</v>
      </c>
      <c r="ML470">
        <v>0</v>
      </c>
      <c r="MM470">
        <v>0</v>
      </c>
      <c r="MN470">
        <v>0</v>
      </c>
      <c r="MO470">
        <v>0</v>
      </c>
      <c r="MP470">
        <v>0</v>
      </c>
      <c r="MQ470">
        <v>0</v>
      </c>
      <c r="MR470">
        <v>0</v>
      </c>
      <c r="MS470">
        <v>0</v>
      </c>
      <c r="MT470">
        <v>0</v>
      </c>
      <c r="MU470">
        <v>0</v>
      </c>
      <c r="MV470">
        <v>0</v>
      </c>
      <c r="MW470">
        <v>0</v>
      </c>
      <c r="MX470">
        <v>0</v>
      </c>
      <c r="MY470">
        <v>0</v>
      </c>
      <c r="MZ470">
        <v>0</v>
      </c>
      <c r="NA470">
        <v>0</v>
      </c>
      <c r="NB470">
        <v>0</v>
      </c>
      <c r="NC470">
        <v>0</v>
      </c>
      <c r="ND470">
        <v>0</v>
      </c>
      <c r="NE470">
        <v>0</v>
      </c>
    </row>
    <row r="471" spans="41:369" x14ac:dyDescent="0.45">
      <c r="AO471">
        <v>0</v>
      </c>
      <c r="AP471">
        <v>0</v>
      </c>
      <c r="AQ471">
        <v>0</v>
      </c>
      <c r="AR471">
        <v>0</v>
      </c>
      <c r="AS471">
        <v>0</v>
      </c>
      <c r="AT471">
        <v>0</v>
      </c>
      <c r="AU471">
        <v>0</v>
      </c>
      <c r="AV471">
        <v>0</v>
      </c>
      <c r="AW471" t="str">
        <v/>
      </c>
      <c r="AX471">
        <v>255</v>
      </c>
      <c r="AY471" s="5" t="str">
        <v/>
      </c>
      <c r="AZ471">
        <v>0</v>
      </c>
      <c r="BA471">
        <v>0</v>
      </c>
      <c r="BB471">
        <v>0</v>
      </c>
      <c r="BC471">
        <v>0</v>
      </c>
      <c r="BD471">
        <v>0</v>
      </c>
      <c r="BE471">
        <v>0</v>
      </c>
      <c r="BF471">
        <v>0</v>
      </c>
      <c r="BG471">
        <v>0</v>
      </c>
      <c r="BH471">
        <v>0</v>
      </c>
      <c r="BI471" t="str">
        <v/>
      </c>
      <c r="BK471">
        <v>465</v>
      </c>
      <c r="BL471">
        <v>0</v>
      </c>
      <c r="BM471">
        <v>0</v>
      </c>
      <c r="BN471">
        <v>0</v>
      </c>
      <c r="BO471">
        <v>0</v>
      </c>
      <c r="BP471">
        <v>0</v>
      </c>
      <c r="BQ471">
        <v>0</v>
      </c>
      <c r="BR471">
        <v>0</v>
      </c>
      <c r="BS471">
        <v>0</v>
      </c>
      <c r="BT471">
        <v>0</v>
      </c>
      <c r="BU471">
        <v>0</v>
      </c>
      <c r="BV471">
        <v>0</v>
      </c>
      <c r="BW471">
        <v>0</v>
      </c>
      <c r="BX471">
        <v>0</v>
      </c>
      <c r="BY471">
        <v>0</v>
      </c>
      <c r="BZ471">
        <v>0</v>
      </c>
      <c r="CA471">
        <v>0</v>
      </c>
      <c r="CB471">
        <v>0</v>
      </c>
      <c r="CC471">
        <v>0</v>
      </c>
      <c r="CD471">
        <v>0</v>
      </c>
      <c r="CE471">
        <v>0</v>
      </c>
      <c r="CF471">
        <v>0</v>
      </c>
      <c r="CG471">
        <v>0</v>
      </c>
      <c r="CH471">
        <v>0</v>
      </c>
      <c r="CI471">
        <v>0</v>
      </c>
      <c r="CJ471">
        <v>0</v>
      </c>
      <c r="CK471">
        <v>0</v>
      </c>
      <c r="CL471">
        <v>0</v>
      </c>
      <c r="CM471">
        <v>0</v>
      </c>
      <c r="CN471">
        <v>0</v>
      </c>
      <c r="CO471">
        <v>0</v>
      </c>
      <c r="CP471">
        <v>0</v>
      </c>
      <c r="CQ471">
        <v>0</v>
      </c>
      <c r="CR471">
        <v>0</v>
      </c>
      <c r="CS471">
        <v>0</v>
      </c>
      <c r="CT471">
        <v>0</v>
      </c>
      <c r="CU471">
        <v>0</v>
      </c>
      <c r="CV471">
        <v>0</v>
      </c>
      <c r="CW471">
        <v>0</v>
      </c>
      <c r="CX471">
        <v>0</v>
      </c>
      <c r="CY471">
        <v>0</v>
      </c>
      <c r="CZ471">
        <v>0</v>
      </c>
      <c r="DA471">
        <v>0</v>
      </c>
      <c r="DB471">
        <v>0</v>
      </c>
      <c r="DC471">
        <v>0</v>
      </c>
      <c r="DD471">
        <v>0</v>
      </c>
      <c r="DE471">
        <v>0</v>
      </c>
      <c r="DF471">
        <v>0</v>
      </c>
      <c r="DG471">
        <v>0</v>
      </c>
      <c r="DH471">
        <v>0</v>
      </c>
      <c r="DI471">
        <v>0</v>
      </c>
      <c r="DJ471">
        <v>0</v>
      </c>
      <c r="DK471">
        <v>0</v>
      </c>
      <c r="DL471">
        <v>0</v>
      </c>
      <c r="DM471">
        <v>0</v>
      </c>
      <c r="DN471">
        <v>0</v>
      </c>
      <c r="DO471">
        <v>0</v>
      </c>
      <c r="DP471">
        <v>0</v>
      </c>
      <c r="DQ471">
        <v>0</v>
      </c>
      <c r="DR471">
        <v>0</v>
      </c>
      <c r="DS471">
        <v>0</v>
      </c>
      <c r="DT471">
        <v>0</v>
      </c>
      <c r="DU471">
        <v>0</v>
      </c>
      <c r="DV471">
        <v>0</v>
      </c>
      <c r="DW471">
        <v>0</v>
      </c>
      <c r="DX471">
        <v>0</v>
      </c>
      <c r="DY471">
        <v>0</v>
      </c>
      <c r="DZ471">
        <v>0</v>
      </c>
      <c r="EA471">
        <v>0</v>
      </c>
      <c r="EB471">
        <v>0</v>
      </c>
      <c r="EC471">
        <v>0</v>
      </c>
      <c r="ED471">
        <v>0</v>
      </c>
      <c r="EE471">
        <v>0</v>
      </c>
      <c r="EF471">
        <v>0</v>
      </c>
      <c r="EG471">
        <v>0</v>
      </c>
      <c r="EH471">
        <v>0</v>
      </c>
      <c r="EI471">
        <v>0</v>
      </c>
      <c r="EJ471">
        <v>0</v>
      </c>
      <c r="EK471">
        <v>0</v>
      </c>
      <c r="EL471">
        <v>0</v>
      </c>
      <c r="EM471">
        <v>0</v>
      </c>
      <c r="EN471">
        <v>0</v>
      </c>
      <c r="EO471">
        <v>0</v>
      </c>
      <c r="EP471">
        <v>0</v>
      </c>
      <c r="EQ471">
        <v>0</v>
      </c>
      <c r="ER471">
        <v>0</v>
      </c>
      <c r="ES471">
        <v>0</v>
      </c>
      <c r="ET471">
        <v>0</v>
      </c>
      <c r="EU471">
        <v>0</v>
      </c>
      <c r="EV471">
        <v>0</v>
      </c>
      <c r="EW471">
        <v>0</v>
      </c>
      <c r="EX471">
        <v>0</v>
      </c>
      <c r="EY471">
        <v>0</v>
      </c>
      <c r="EZ471">
        <v>0</v>
      </c>
      <c r="FA471">
        <v>0</v>
      </c>
      <c r="FB471">
        <v>0</v>
      </c>
      <c r="FC471">
        <v>0</v>
      </c>
      <c r="FD471">
        <v>0</v>
      </c>
      <c r="FE471">
        <v>0</v>
      </c>
      <c r="FF471">
        <v>0</v>
      </c>
      <c r="FG471">
        <v>0</v>
      </c>
      <c r="FH471">
        <v>0</v>
      </c>
      <c r="FI471">
        <v>0</v>
      </c>
      <c r="FJ471">
        <v>0</v>
      </c>
      <c r="FK471">
        <v>0</v>
      </c>
      <c r="FL471">
        <v>0</v>
      </c>
      <c r="FM471">
        <v>0</v>
      </c>
      <c r="FN471">
        <v>0</v>
      </c>
      <c r="FO471">
        <v>0</v>
      </c>
      <c r="FP471">
        <v>0</v>
      </c>
      <c r="FQ471">
        <v>0</v>
      </c>
      <c r="FR471">
        <v>0</v>
      </c>
      <c r="FS471">
        <v>0</v>
      </c>
      <c r="FT471">
        <v>0</v>
      </c>
      <c r="FU471">
        <v>0</v>
      </c>
      <c r="FV471">
        <v>0</v>
      </c>
      <c r="FW471">
        <v>0</v>
      </c>
      <c r="FX471">
        <v>0</v>
      </c>
      <c r="FY471">
        <v>0</v>
      </c>
      <c r="FZ471">
        <v>0</v>
      </c>
      <c r="GA471">
        <v>0</v>
      </c>
      <c r="GB471">
        <v>0</v>
      </c>
      <c r="GC471">
        <v>0</v>
      </c>
      <c r="GD471">
        <v>0</v>
      </c>
      <c r="GE471">
        <v>0</v>
      </c>
      <c r="GF471">
        <v>0</v>
      </c>
      <c r="GG471">
        <v>0</v>
      </c>
      <c r="GH471">
        <v>0</v>
      </c>
      <c r="GI471">
        <v>0</v>
      </c>
      <c r="GJ471">
        <v>0</v>
      </c>
      <c r="GK471">
        <v>0</v>
      </c>
      <c r="GL471">
        <v>0</v>
      </c>
      <c r="GM471">
        <v>0</v>
      </c>
      <c r="GN471">
        <v>0</v>
      </c>
      <c r="GO471">
        <v>0</v>
      </c>
      <c r="GP471">
        <v>0</v>
      </c>
      <c r="GQ471">
        <v>0</v>
      </c>
      <c r="GR471">
        <v>0</v>
      </c>
      <c r="GS471">
        <v>0</v>
      </c>
      <c r="GT471">
        <v>0</v>
      </c>
      <c r="GU471">
        <v>0</v>
      </c>
      <c r="GV471">
        <v>0</v>
      </c>
      <c r="GW471">
        <v>0</v>
      </c>
      <c r="GX471">
        <v>0</v>
      </c>
      <c r="GY471">
        <v>0</v>
      </c>
      <c r="GZ471">
        <v>0</v>
      </c>
      <c r="HA471">
        <v>0</v>
      </c>
      <c r="HB471">
        <v>0</v>
      </c>
      <c r="HC471">
        <v>0</v>
      </c>
      <c r="HD471">
        <v>0</v>
      </c>
      <c r="HE471">
        <v>0</v>
      </c>
      <c r="HF471">
        <v>0</v>
      </c>
      <c r="HG471">
        <v>0</v>
      </c>
      <c r="HH471">
        <v>0</v>
      </c>
      <c r="HI471">
        <v>0</v>
      </c>
      <c r="HJ471">
        <v>0</v>
      </c>
      <c r="HK471">
        <v>0</v>
      </c>
      <c r="HL471">
        <v>0</v>
      </c>
      <c r="HM471">
        <v>0</v>
      </c>
      <c r="HN471">
        <v>0</v>
      </c>
      <c r="HO471">
        <v>0</v>
      </c>
      <c r="HP471">
        <v>0</v>
      </c>
      <c r="HQ471">
        <v>0</v>
      </c>
      <c r="HR471">
        <v>0</v>
      </c>
      <c r="HS471">
        <v>0</v>
      </c>
      <c r="HT471">
        <v>0</v>
      </c>
      <c r="HU471">
        <v>0</v>
      </c>
      <c r="HV471">
        <v>0</v>
      </c>
      <c r="HW471">
        <v>0</v>
      </c>
      <c r="HX471">
        <v>0</v>
      </c>
      <c r="HY471">
        <v>0</v>
      </c>
      <c r="HZ471">
        <v>0</v>
      </c>
      <c r="IA471">
        <v>0</v>
      </c>
      <c r="IB471">
        <v>0</v>
      </c>
      <c r="IC471">
        <v>0</v>
      </c>
      <c r="ID471">
        <v>0</v>
      </c>
      <c r="IE471">
        <v>0</v>
      </c>
      <c r="IF471">
        <v>0</v>
      </c>
      <c r="IG471">
        <v>0</v>
      </c>
      <c r="IH471">
        <v>0</v>
      </c>
      <c r="II471">
        <v>0</v>
      </c>
      <c r="IJ471">
        <v>0</v>
      </c>
      <c r="IK471">
        <v>0</v>
      </c>
      <c r="IL471">
        <v>0</v>
      </c>
      <c r="IM471">
        <v>0</v>
      </c>
      <c r="IN471">
        <v>0</v>
      </c>
      <c r="IO471">
        <v>0</v>
      </c>
      <c r="IP471">
        <v>0</v>
      </c>
      <c r="IQ471">
        <v>0</v>
      </c>
      <c r="IR471">
        <v>0</v>
      </c>
      <c r="IS471">
        <v>0</v>
      </c>
      <c r="IT471">
        <v>0</v>
      </c>
      <c r="IU471">
        <v>0</v>
      </c>
      <c r="IV471">
        <v>0</v>
      </c>
      <c r="IW471">
        <v>0</v>
      </c>
      <c r="IX471">
        <v>0</v>
      </c>
      <c r="IY471">
        <v>0</v>
      </c>
      <c r="IZ471">
        <v>0</v>
      </c>
      <c r="JA471">
        <v>0</v>
      </c>
      <c r="JB471">
        <v>0</v>
      </c>
      <c r="JC471">
        <v>0</v>
      </c>
      <c r="JD471">
        <v>0</v>
      </c>
      <c r="JE471">
        <v>0</v>
      </c>
      <c r="JF471">
        <v>0</v>
      </c>
      <c r="JG471">
        <v>0</v>
      </c>
      <c r="JH471">
        <v>0</v>
      </c>
      <c r="JI471">
        <v>0</v>
      </c>
      <c r="JJ471">
        <v>0</v>
      </c>
      <c r="JK471">
        <v>0</v>
      </c>
      <c r="JL471">
        <v>0</v>
      </c>
      <c r="JM471">
        <v>0</v>
      </c>
      <c r="JN471">
        <v>0</v>
      </c>
      <c r="JO471">
        <v>0</v>
      </c>
      <c r="JP471">
        <v>0</v>
      </c>
      <c r="JQ471">
        <v>0</v>
      </c>
      <c r="JR471">
        <v>0</v>
      </c>
      <c r="JS471">
        <v>0</v>
      </c>
      <c r="JT471">
        <v>0</v>
      </c>
      <c r="JU471">
        <v>0</v>
      </c>
      <c r="JV471">
        <v>0</v>
      </c>
      <c r="JW471">
        <v>0</v>
      </c>
      <c r="JX471">
        <v>0</v>
      </c>
      <c r="JY471">
        <v>0</v>
      </c>
      <c r="JZ471">
        <v>0</v>
      </c>
      <c r="KA471">
        <v>0</v>
      </c>
      <c r="KB471">
        <v>0</v>
      </c>
      <c r="KC471">
        <v>0</v>
      </c>
      <c r="KD471">
        <v>0</v>
      </c>
      <c r="KE471">
        <v>0</v>
      </c>
      <c r="KF471">
        <v>0</v>
      </c>
      <c r="KG471">
        <v>0</v>
      </c>
      <c r="KH471">
        <v>0</v>
      </c>
      <c r="KI471">
        <v>0</v>
      </c>
      <c r="KJ471">
        <v>0</v>
      </c>
      <c r="KK471">
        <v>0</v>
      </c>
      <c r="KL471">
        <v>0</v>
      </c>
      <c r="KM471">
        <v>0</v>
      </c>
      <c r="KN471">
        <v>0</v>
      </c>
      <c r="KO471">
        <v>0</v>
      </c>
      <c r="KP471">
        <v>0</v>
      </c>
      <c r="KQ471">
        <v>0</v>
      </c>
      <c r="KR471">
        <v>0</v>
      </c>
      <c r="KS471">
        <v>0</v>
      </c>
      <c r="KT471">
        <v>0</v>
      </c>
      <c r="KU471">
        <v>0</v>
      </c>
      <c r="KV471">
        <v>0</v>
      </c>
      <c r="KW471">
        <v>0</v>
      </c>
      <c r="KX471">
        <v>0</v>
      </c>
      <c r="KY471">
        <v>0</v>
      </c>
      <c r="KZ471">
        <v>0</v>
      </c>
      <c r="LA471">
        <v>0</v>
      </c>
      <c r="LB471">
        <v>0</v>
      </c>
      <c r="LC471">
        <v>0</v>
      </c>
      <c r="LD471">
        <v>0</v>
      </c>
      <c r="LE471">
        <v>0</v>
      </c>
      <c r="LF471">
        <v>0</v>
      </c>
      <c r="LG471">
        <v>0</v>
      </c>
      <c r="LH471">
        <v>0</v>
      </c>
      <c r="LI471">
        <v>0</v>
      </c>
      <c r="LJ471">
        <v>0</v>
      </c>
      <c r="LK471">
        <v>0</v>
      </c>
      <c r="LL471">
        <v>0</v>
      </c>
      <c r="LM471">
        <v>0</v>
      </c>
      <c r="LN471">
        <v>0</v>
      </c>
      <c r="LO471">
        <v>0</v>
      </c>
      <c r="LP471">
        <v>0</v>
      </c>
      <c r="LQ471">
        <v>0</v>
      </c>
      <c r="LR471">
        <v>0</v>
      </c>
      <c r="LS471">
        <v>0</v>
      </c>
      <c r="LT471">
        <v>0</v>
      </c>
      <c r="LU471">
        <v>0</v>
      </c>
      <c r="LV471">
        <v>0</v>
      </c>
      <c r="LW471">
        <v>0</v>
      </c>
      <c r="LX471">
        <v>0</v>
      </c>
      <c r="LY471">
        <v>0</v>
      </c>
      <c r="LZ471">
        <v>0</v>
      </c>
      <c r="MA471">
        <v>0</v>
      </c>
      <c r="MB471">
        <v>0</v>
      </c>
      <c r="MC471">
        <v>0</v>
      </c>
      <c r="MD471">
        <v>0</v>
      </c>
      <c r="ME471">
        <v>0</v>
      </c>
      <c r="MF471">
        <v>0</v>
      </c>
      <c r="MG471">
        <v>0</v>
      </c>
      <c r="MH471">
        <v>0</v>
      </c>
      <c r="MI471">
        <v>0</v>
      </c>
      <c r="MJ471">
        <v>0</v>
      </c>
      <c r="MK471">
        <v>0</v>
      </c>
      <c r="ML471">
        <v>0</v>
      </c>
      <c r="MM471">
        <v>0</v>
      </c>
      <c r="MN471">
        <v>0</v>
      </c>
      <c r="MO471">
        <v>0</v>
      </c>
      <c r="MP471">
        <v>0</v>
      </c>
      <c r="MQ471">
        <v>0</v>
      </c>
      <c r="MR471">
        <v>0</v>
      </c>
      <c r="MS471">
        <v>0</v>
      </c>
      <c r="MT471">
        <v>0</v>
      </c>
      <c r="MU471">
        <v>0</v>
      </c>
      <c r="MV471">
        <v>0</v>
      </c>
      <c r="MW471">
        <v>0</v>
      </c>
      <c r="MX471">
        <v>0</v>
      </c>
      <c r="MY471">
        <v>0</v>
      </c>
      <c r="MZ471">
        <v>0</v>
      </c>
      <c r="NA471">
        <v>0</v>
      </c>
      <c r="NB471">
        <v>0</v>
      </c>
      <c r="NC471">
        <v>0</v>
      </c>
      <c r="ND471">
        <v>0</v>
      </c>
      <c r="NE471">
        <v>0</v>
      </c>
    </row>
    <row r="472" spans="41:369" x14ac:dyDescent="0.45">
      <c r="AO472">
        <v>0</v>
      </c>
      <c r="AP472">
        <v>0</v>
      </c>
      <c r="AQ472">
        <v>0</v>
      </c>
      <c r="AR472">
        <v>0</v>
      </c>
      <c r="AS472">
        <v>0</v>
      </c>
      <c r="AT472">
        <v>0</v>
      </c>
      <c r="AU472">
        <v>0</v>
      </c>
      <c r="AV472">
        <v>0</v>
      </c>
      <c r="AW472" t="str">
        <v/>
      </c>
      <c r="AX472">
        <v>255</v>
      </c>
      <c r="AY472" s="5" t="str">
        <v/>
      </c>
      <c r="AZ472">
        <v>0</v>
      </c>
      <c r="BA472">
        <v>0</v>
      </c>
      <c r="BB472">
        <v>0</v>
      </c>
      <c r="BC472">
        <v>0</v>
      </c>
      <c r="BD472">
        <v>0</v>
      </c>
      <c r="BE472">
        <v>0</v>
      </c>
      <c r="BF472">
        <v>0</v>
      </c>
      <c r="BG472">
        <v>0</v>
      </c>
      <c r="BH472">
        <v>0</v>
      </c>
      <c r="BI472" t="str">
        <v/>
      </c>
      <c r="BK472">
        <v>466</v>
      </c>
      <c r="BL472">
        <v>0</v>
      </c>
      <c r="BM472">
        <v>0</v>
      </c>
      <c r="BN472">
        <v>0</v>
      </c>
      <c r="BO472">
        <v>0</v>
      </c>
      <c r="BP472">
        <v>0</v>
      </c>
      <c r="BQ472">
        <v>0</v>
      </c>
      <c r="BR472">
        <v>0</v>
      </c>
      <c r="BS472">
        <v>0</v>
      </c>
      <c r="BT472">
        <v>0</v>
      </c>
      <c r="BU472">
        <v>0</v>
      </c>
      <c r="BV472">
        <v>0</v>
      </c>
      <c r="BW472">
        <v>0</v>
      </c>
      <c r="BX472">
        <v>0</v>
      </c>
      <c r="BY472">
        <v>0</v>
      </c>
      <c r="BZ472">
        <v>0</v>
      </c>
      <c r="CA472">
        <v>0</v>
      </c>
      <c r="CB472">
        <v>0</v>
      </c>
      <c r="CC472">
        <v>0</v>
      </c>
      <c r="CD472">
        <v>0</v>
      </c>
      <c r="CE472">
        <v>0</v>
      </c>
      <c r="CF472">
        <v>0</v>
      </c>
      <c r="CG472">
        <v>0</v>
      </c>
      <c r="CH472">
        <v>0</v>
      </c>
      <c r="CI472">
        <v>0</v>
      </c>
      <c r="CJ472">
        <v>0</v>
      </c>
      <c r="CK472">
        <v>0</v>
      </c>
      <c r="CL472">
        <v>0</v>
      </c>
      <c r="CM472">
        <v>0</v>
      </c>
      <c r="CN472">
        <v>0</v>
      </c>
      <c r="CO472">
        <v>0</v>
      </c>
      <c r="CP472">
        <v>0</v>
      </c>
      <c r="CQ472">
        <v>0</v>
      </c>
      <c r="CR472">
        <v>0</v>
      </c>
      <c r="CS472">
        <v>0</v>
      </c>
      <c r="CT472">
        <v>0</v>
      </c>
      <c r="CU472">
        <v>0</v>
      </c>
      <c r="CV472">
        <v>0</v>
      </c>
      <c r="CW472">
        <v>0</v>
      </c>
      <c r="CX472">
        <v>0</v>
      </c>
      <c r="CY472">
        <v>0</v>
      </c>
      <c r="CZ472">
        <v>0</v>
      </c>
      <c r="DA472">
        <v>0</v>
      </c>
      <c r="DB472">
        <v>0</v>
      </c>
      <c r="DC472">
        <v>0</v>
      </c>
      <c r="DD472">
        <v>0</v>
      </c>
      <c r="DE472">
        <v>0</v>
      </c>
      <c r="DF472">
        <v>0</v>
      </c>
      <c r="DG472">
        <v>0</v>
      </c>
      <c r="DH472">
        <v>0</v>
      </c>
      <c r="DI472">
        <v>0</v>
      </c>
      <c r="DJ472">
        <v>0</v>
      </c>
      <c r="DK472">
        <v>0</v>
      </c>
      <c r="DL472">
        <v>0</v>
      </c>
      <c r="DM472">
        <v>0</v>
      </c>
      <c r="DN472">
        <v>0</v>
      </c>
      <c r="DO472">
        <v>0</v>
      </c>
      <c r="DP472">
        <v>0</v>
      </c>
      <c r="DQ472">
        <v>0</v>
      </c>
      <c r="DR472">
        <v>0</v>
      </c>
      <c r="DS472">
        <v>0</v>
      </c>
      <c r="DT472">
        <v>0</v>
      </c>
      <c r="DU472">
        <v>0</v>
      </c>
      <c r="DV472">
        <v>0</v>
      </c>
      <c r="DW472">
        <v>0</v>
      </c>
      <c r="DX472">
        <v>0</v>
      </c>
      <c r="DY472">
        <v>0</v>
      </c>
      <c r="DZ472">
        <v>0</v>
      </c>
      <c r="EA472">
        <v>0</v>
      </c>
      <c r="EB472">
        <v>0</v>
      </c>
      <c r="EC472">
        <v>0</v>
      </c>
      <c r="ED472">
        <v>0</v>
      </c>
      <c r="EE472">
        <v>0</v>
      </c>
      <c r="EF472">
        <v>0</v>
      </c>
      <c r="EG472">
        <v>0</v>
      </c>
      <c r="EH472">
        <v>0</v>
      </c>
      <c r="EI472">
        <v>0</v>
      </c>
      <c r="EJ472">
        <v>0</v>
      </c>
      <c r="EK472">
        <v>0</v>
      </c>
      <c r="EL472">
        <v>0</v>
      </c>
      <c r="EM472">
        <v>0</v>
      </c>
      <c r="EN472">
        <v>0</v>
      </c>
      <c r="EO472">
        <v>0</v>
      </c>
      <c r="EP472">
        <v>0</v>
      </c>
      <c r="EQ472">
        <v>0</v>
      </c>
      <c r="ER472">
        <v>0</v>
      </c>
      <c r="ES472">
        <v>0</v>
      </c>
      <c r="ET472">
        <v>0</v>
      </c>
      <c r="EU472">
        <v>0</v>
      </c>
      <c r="EV472">
        <v>0</v>
      </c>
      <c r="EW472">
        <v>0</v>
      </c>
      <c r="EX472">
        <v>0</v>
      </c>
      <c r="EY472">
        <v>0</v>
      </c>
      <c r="EZ472">
        <v>0</v>
      </c>
      <c r="FA472">
        <v>0</v>
      </c>
      <c r="FB472">
        <v>0</v>
      </c>
      <c r="FC472">
        <v>0</v>
      </c>
      <c r="FD472">
        <v>0</v>
      </c>
      <c r="FE472">
        <v>0</v>
      </c>
      <c r="FF472">
        <v>0</v>
      </c>
      <c r="FG472">
        <v>0</v>
      </c>
      <c r="FH472">
        <v>0</v>
      </c>
      <c r="FI472">
        <v>0</v>
      </c>
      <c r="FJ472">
        <v>0</v>
      </c>
      <c r="FK472">
        <v>0</v>
      </c>
      <c r="FL472">
        <v>0</v>
      </c>
      <c r="FM472">
        <v>0</v>
      </c>
      <c r="FN472">
        <v>0</v>
      </c>
      <c r="FO472">
        <v>0</v>
      </c>
      <c r="FP472">
        <v>0</v>
      </c>
      <c r="FQ472">
        <v>0</v>
      </c>
      <c r="FR472">
        <v>0</v>
      </c>
      <c r="FS472">
        <v>0</v>
      </c>
      <c r="FT472">
        <v>0</v>
      </c>
      <c r="FU472">
        <v>0</v>
      </c>
      <c r="FV472">
        <v>0</v>
      </c>
      <c r="FW472">
        <v>0</v>
      </c>
      <c r="FX472">
        <v>0</v>
      </c>
      <c r="FY472">
        <v>0</v>
      </c>
      <c r="FZ472">
        <v>0</v>
      </c>
      <c r="GA472">
        <v>0</v>
      </c>
      <c r="GB472">
        <v>0</v>
      </c>
      <c r="GC472">
        <v>0</v>
      </c>
      <c r="GD472">
        <v>0</v>
      </c>
      <c r="GE472">
        <v>0</v>
      </c>
      <c r="GF472">
        <v>0</v>
      </c>
      <c r="GG472">
        <v>0</v>
      </c>
      <c r="GH472">
        <v>0</v>
      </c>
      <c r="GI472">
        <v>0</v>
      </c>
      <c r="GJ472">
        <v>0</v>
      </c>
      <c r="GK472">
        <v>0</v>
      </c>
      <c r="GL472">
        <v>0</v>
      </c>
      <c r="GM472">
        <v>0</v>
      </c>
      <c r="GN472">
        <v>0</v>
      </c>
      <c r="GO472">
        <v>0</v>
      </c>
      <c r="GP472">
        <v>0</v>
      </c>
      <c r="GQ472">
        <v>0</v>
      </c>
      <c r="GR472">
        <v>0</v>
      </c>
      <c r="GS472">
        <v>0</v>
      </c>
      <c r="GT472">
        <v>0</v>
      </c>
      <c r="GU472">
        <v>0</v>
      </c>
      <c r="GV472">
        <v>0</v>
      </c>
      <c r="GW472">
        <v>0</v>
      </c>
      <c r="GX472">
        <v>0</v>
      </c>
      <c r="GY472">
        <v>0</v>
      </c>
      <c r="GZ472">
        <v>0</v>
      </c>
      <c r="HA472">
        <v>0</v>
      </c>
      <c r="HB472">
        <v>0</v>
      </c>
      <c r="HC472">
        <v>0</v>
      </c>
      <c r="HD472">
        <v>0</v>
      </c>
      <c r="HE472">
        <v>0</v>
      </c>
      <c r="HF472">
        <v>0</v>
      </c>
      <c r="HG472">
        <v>0</v>
      </c>
      <c r="HH472">
        <v>0</v>
      </c>
      <c r="HI472">
        <v>0</v>
      </c>
      <c r="HJ472">
        <v>0</v>
      </c>
      <c r="HK472">
        <v>0</v>
      </c>
      <c r="HL472">
        <v>0</v>
      </c>
      <c r="HM472">
        <v>0</v>
      </c>
      <c r="HN472">
        <v>0</v>
      </c>
      <c r="HO472">
        <v>0</v>
      </c>
      <c r="HP472">
        <v>0</v>
      </c>
      <c r="HQ472">
        <v>0</v>
      </c>
      <c r="HR472">
        <v>0</v>
      </c>
      <c r="HS472">
        <v>0</v>
      </c>
      <c r="HT472">
        <v>0</v>
      </c>
      <c r="HU472">
        <v>0</v>
      </c>
      <c r="HV472">
        <v>0</v>
      </c>
      <c r="HW472">
        <v>0</v>
      </c>
      <c r="HX472">
        <v>0</v>
      </c>
      <c r="HY472">
        <v>0</v>
      </c>
      <c r="HZ472">
        <v>0</v>
      </c>
      <c r="IA472">
        <v>0</v>
      </c>
      <c r="IB472">
        <v>0</v>
      </c>
      <c r="IC472">
        <v>0</v>
      </c>
      <c r="ID472">
        <v>0</v>
      </c>
      <c r="IE472">
        <v>0</v>
      </c>
      <c r="IF472">
        <v>0</v>
      </c>
      <c r="IG472">
        <v>0</v>
      </c>
      <c r="IH472">
        <v>0</v>
      </c>
      <c r="II472">
        <v>0</v>
      </c>
      <c r="IJ472">
        <v>0</v>
      </c>
      <c r="IK472">
        <v>0</v>
      </c>
      <c r="IL472">
        <v>0</v>
      </c>
      <c r="IM472">
        <v>0</v>
      </c>
      <c r="IN472">
        <v>0</v>
      </c>
      <c r="IO472">
        <v>0</v>
      </c>
      <c r="IP472">
        <v>0</v>
      </c>
      <c r="IQ472">
        <v>0</v>
      </c>
      <c r="IR472">
        <v>0</v>
      </c>
      <c r="IS472">
        <v>0</v>
      </c>
      <c r="IT472">
        <v>0</v>
      </c>
      <c r="IU472">
        <v>0</v>
      </c>
      <c r="IV472">
        <v>0</v>
      </c>
      <c r="IW472">
        <v>0</v>
      </c>
      <c r="IX472">
        <v>0</v>
      </c>
      <c r="IY472">
        <v>0</v>
      </c>
      <c r="IZ472">
        <v>0</v>
      </c>
      <c r="JA472">
        <v>0</v>
      </c>
      <c r="JB472">
        <v>0</v>
      </c>
      <c r="JC472">
        <v>0</v>
      </c>
      <c r="JD472">
        <v>0</v>
      </c>
      <c r="JE472">
        <v>0</v>
      </c>
      <c r="JF472">
        <v>0</v>
      </c>
      <c r="JG472">
        <v>0</v>
      </c>
      <c r="JH472">
        <v>0</v>
      </c>
      <c r="JI472">
        <v>0</v>
      </c>
      <c r="JJ472">
        <v>0</v>
      </c>
      <c r="JK472">
        <v>0</v>
      </c>
      <c r="JL472">
        <v>0</v>
      </c>
      <c r="JM472">
        <v>0</v>
      </c>
      <c r="JN472">
        <v>0</v>
      </c>
      <c r="JO472">
        <v>0</v>
      </c>
      <c r="JP472">
        <v>0</v>
      </c>
      <c r="JQ472">
        <v>0</v>
      </c>
      <c r="JR472">
        <v>0</v>
      </c>
      <c r="JS472">
        <v>0</v>
      </c>
      <c r="JT472">
        <v>0</v>
      </c>
      <c r="JU472">
        <v>0</v>
      </c>
      <c r="JV472">
        <v>0</v>
      </c>
      <c r="JW472">
        <v>0</v>
      </c>
      <c r="JX472">
        <v>0</v>
      </c>
      <c r="JY472">
        <v>0</v>
      </c>
      <c r="JZ472">
        <v>0</v>
      </c>
      <c r="KA472">
        <v>0</v>
      </c>
      <c r="KB472">
        <v>0</v>
      </c>
      <c r="KC472">
        <v>0</v>
      </c>
      <c r="KD472">
        <v>0</v>
      </c>
      <c r="KE472">
        <v>0</v>
      </c>
      <c r="KF472">
        <v>0</v>
      </c>
      <c r="KG472">
        <v>0</v>
      </c>
      <c r="KH472">
        <v>0</v>
      </c>
      <c r="KI472">
        <v>0</v>
      </c>
      <c r="KJ472">
        <v>0</v>
      </c>
      <c r="KK472">
        <v>0</v>
      </c>
      <c r="KL472">
        <v>0</v>
      </c>
      <c r="KM472">
        <v>0</v>
      </c>
      <c r="KN472">
        <v>0</v>
      </c>
      <c r="KO472">
        <v>0</v>
      </c>
      <c r="KP472">
        <v>0</v>
      </c>
      <c r="KQ472">
        <v>0</v>
      </c>
      <c r="KR472">
        <v>0</v>
      </c>
      <c r="KS472">
        <v>0</v>
      </c>
      <c r="KT472">
        <v>0</v>
      </c>
      <c r="KU472">
        <v>0</v>
      </c>
      <c r="KV472">
        <v>0</v>
      </c>
      <c r="KW472">
        <v>0</v>
      </c>
      <c r="KX472">
        <v>0</v>
      </c>
      <c r="KY472">
        <v>0</v>
      </c>
      <c r="KZ472">
        <v>0</v>
      </c>
      <c r="LA472">
        <v>0</v>
      </c>
      <c r="LB472">
        <v>0</v>
      </c>
      <c r="LC472">
        <v>0</v>
      </c>
      <c r="LD472">
        <v>0</v>
      </c>
      <c r="LE472">
        <v>0</v>
      </c>
      <c r="LF472">
        <v>0</v>
      </c>
      <c r="LG472">
        <v>0</v>
      </c>
      <c r="LH472">
        <v>0</v>
      </c>
      <c r="LI472">
        <v>0</v>
      </c>
      <c r="LJ472">
        <v>0</v>
      </c>
      <c r="LK472">
        <v>0</v>
      </c>
      <c r="LL472">
        <v>0</v>
      </c>
      <c r="LM472">
        <v>0</v>
      </c>
      <c r="LN472">
        <v>0</v>
      </c>
      <c r="LO472">
        <v>0</v>
      </c>
      <c r="LP472">
        <v>0</v>
      </c>
      <c r="LQ472">
        <v>0</v>
      </c>
      <c r="LR472">
        <v>0</v>
      </c>
      <c r="LS472">
        <v>0</v>
      </c>
      <c r="LT472">
        <v>0</v>
      </c>
      <c r="LU472">
        <v>0</v>
      </c>
      <c r="LV472">
        <v>0</v>
      </c>
      <c r="LW472">
        <v>0</v>
      </c>
      <c r="LX472">
        <v>0</v>
      </c>
      <c r="LY472">
        <v>0</v>
      </c>
      <c r="LZ472">
        <v>0</v>
      </c>
      <c r="MA472">
        <v>0</v>
      </c>
      <c r="MB472">
        <v>0</v>
      </c>
      <c r="MC472">
        <v>0</v>
      </c>
      <c r="MD472">
        <v>0</v>
      </c>
      <c r="ME472">
        <v>0</v>
      </c>
      <c r="MF472">
        <v>0</v>
      </c>
      <c r="MG472">
        <v>0</v>
      </c>
      <c r="MH472">
        <v>0</v>
      </c>
      <c r="MI472">
        <v>0</v>
      </c>
      <c r="MJ472">
        <v>0</v>
      </c>
      <c r="MK472">
        <v>0</v>
      </c>
      <c r="ML472">
        <v>0</v>
      </c>
      <c r="MM472">
        <v>0</v>
      </c>
      <c r="MN472">
        <v>0</v>
      </c>
      <c r="MO472">
        <v>0</v>
      </c>
      <c r="MP472">
        <v>0</v>
      </c>
      <c r="MQ472">
        <v>0</v>
      </c>
      <c r="MR472">
        <v>0</v>
      </c>
      <c r="MS472">
        <v>0</v>
      </c>
      <c r="MT472">
        <v>0</v>
      </c>
      <c r="MU472">
        <v>0</v>
      </c>
      <c r="MV472">
        <v>0</v>
      </c>
      <c r="MW472">
        <v>0</v>
      </c>
      <c r="MX472">
        <v>0</v>
      </c>
      <c r="MY472">
        <v>0</v>
      </c>
      <c r="MZ472">
        <v>0</v>
      </c>
      <c r="NA472">
        <v>0</v>
      </c>
      <c r="NB472">
        <v>0</v>
      </c>
      <c r="NC472">
        <v>0</v>
      </c>
      <c r="ND472">
        <v>0</v>
      </c>
      <c r="NE472">
        <v>0</v>
      </c>
    </row>
    <row r="473" spans="41:369" x14ac:dyDescent="0.45">
      <c r="AO473">
        <v>0</v>
      </c>
      <c r="AP473">
        <v>0</v>
      </c>
      <c r="AQ473">
        <v>0</v>
      </c>
      <c r="AR473">
        <v>0</v>
      </c>
      <c r="AS473">
        <v>0</v>
      </c>
      <c r="AT473">
        <v>0</v>
      </c>
      <c r="AU473">
        <v>0</v>
      </c>
      <c r="AV473">
        <v>0</v>
      </c>
      <c r="AW473" t="str">
        <v/>
      </c>
      <c r="AX473">
        <v>255</v>
      </c>
      <c r="AY473" s="5" t="str">
        <v/>
      </c>
      <c r="AZ473">
        <v>0</v>
      </c>
      <c r="BA473">
        <v>0</v>
      </c>
      <c r="BB473">
        <v>0</v>
      </c>
      <c r="BC473">
        <v>0</v>
      </c>
      <c r="BD473">
        <v>0</v>
      </c>
      <c r="BE473">
        <v>0</v>
      </c>
      <c r="BF473">
        <v>0</v>
      </c>
      <c r="BG473">
        <v>0</v>
      </c>
      <c r="BH473">
        <v>0</v>
      </c>
      <c r="BI473" t="str">
        <v/>
      </c>
      <c r="BK473">
        <v>467</v>
      </c>
      <c r="BL473">
        <v>0</v>
      </c>
      <c r="BM473">
        <v>0</v>
      </c>
      <c r="BN473">
        <v>0</v>
      </c>
      <c r="BO473">
        <v>0</v>
      </c>
      <c r="BP473">
        <v>0</v>
      </c>
      <c r="BQ473">
        <v>0</v>
      </c>
      <c r="BR473">
        <v>0</v>
      </c>
      <c r="BS473">
        <v>0</v>
      </c>
      <c r="BT473">
        <v>0</v>
      </c>
      <c r="BU473">
        <v>0</v>
      </c>
      <c r="BV473">
        <v>0</v>
      </c>
      <c r="BW473">
        <v>0</v>
      </c>
      <c r="BX473">
        <v>0</v>
      </c>
      <c r="BY473">
        <v>0</v>
      </c>
      <c r="BZ473">
        <v>0</v>
      </c>
      <c r="CA473">
        <v>0</v>
      </c>
      <c r="CB473">
        <v>0</v>
      </c>
      <c r="CC473">
        <v>0</v>
      </c>
      <c r="CD473">
        <v>0</v>
      </c>
      <c r="CE473">
        <v>0</v>
      </c>
      <c r="CF473">
        <v>0</v>
      </c>
      <c r="CG473">
        <v>0</v>
      </c>
      <c r="CH473">
        <v>0</v>
      </c>
      <c r="CI473">
        <v>0</v>
      </c>
      <c r="CJ473">
        <v>0</v>
      </c>
      <c r="CK473">
        <v>0</v>
      </c>
      <c r="CL473">
        <v>0</v>
      </c>
      <c r="CM473">
        <v>0</v>
      </c>
      <c r="CN473">
        <v>0</v>
      </c>
      <c r="CO473">
        <v>0</v>
      </c>
      <c r="CP473">
        <v>0</v>
      </c>
      <c r="CQ473">
        <v>0</v>
      </c>
      <c r="CR473">
        <v>0</v>
      </c>
      <c r="CS473">
        <v>0</v>
      </c>
      <c r="CT473">
        <v>0</v>
      </c>
      <c r="CU473">
        <v>0</v>
      </c>
      <c r="CV473">
        <v>0</v>
      </c>
      <c r="CW473">
        <v>0</v>
      </c>
      <c r="CX473">
        <v>0</v>
      </c>
      <c r="CY473">
        <v>0</v>
      </c>
      <c r="CZ473">
        <v>0</v>
      </c>
      <c r="DA473">
        <v>0</v>
      </c>
      <c r="DB473">
        <v>0</v>
      </c>
      <c r="DC473">
        <v>0</v>
      </c>
      <c r="DD473">
        <v>0</v>
      </c>
      <c r="DE473">
        <v>0</v>
      </c>
      <c r="DF473">
        <v>0</v>
      </c>
      <c r="DG473">
        <v>0</v>
      </c>
      <c r="DH473">
        <v>0</v>
      </c>
      <c r="DI473">
        <v>0</v>
      </c>
      <c r="DJ473">
        <v>0</v>
      </c>
      <c r="DK473">
        <v>0</v>
      </c>
      <c r="DL473">
        <v>0</v>
      </c>
      <c r="DM473">
        <v>0</v>
      </c>
      <c r="DN473">
        <v>0</v>
      </c>
      <c r="DO473">
        <v>0</v>
      </c>
      <c r="DP473">
        <v>0</v>
      </c>
      <c r="DQ473">
        <v>0</v>
      </c>
      <c r="DR473">
        <v>0</v>
      </c>
      <c r="DS473">
        <v>0</v>
      </c>
      <c r="DT473">
        <v>0</v>
      </c>
      <c r="DU473">
        <v>0</v>
      </c>
      <c r="DV473">
        <v>0</v>
      </c>
      <c r="DW473">
        <v>0</v>
      </c>
      <c r="DX473">
        <v>0</v>
      </c>
      <c r="DY473">
        <v>0</v>
      </c>
      <c r="DZ473">
        <v>0</v>
      </c>
      <c r="EA473">
        <v>0</v>
      </c>
      <c r="EB473">
        <v>0</v>
      </c>
      <c r="EC473">
        <v>0</v>
      </c>
      <c r="ED473">
        <v>0</v>
      </c>
      <c r="EE473">
        <v>0</v>
      </c>
      <c r="EF473">
        <v>0</v>
      </c>
      <c r="EG473">
        <v>0</v>
      </c>
      <c r="EH473">
        <v>0</v>
      </c>
      <c r="EI473">
        <v>0</v>
      </c>
      <c r="EJ473">
        <v>0</v>
      </c>
      <c r="EK473">
        <v>0</v>
      </c>
      <c r="EL473">
        <v>0</v>
      </c>
      <c r="EM473">
        <v>0</v>
      </c>
      <c r="EN473">
        <v>0</v>
      </c>
      <c r="EO473">
        <v>0</v>
      </c>
      <c r="EP473">
        <v>0</v>
      </c>
      <c r="EQ473">
        <v>0</v>
      </c>
      <c r="ER473">
        <v>0</v>
      </c>
      <c r="ES473">
        <v>0</v>
      </c>
      <c r="ET473">
        <v>0</v>
      </c>
      <c r="EU473">
        <v>0</v>
      </c>
      <c r="EV473">
        <v>0</v>
      </c>
      <c r="EW473">
        <v>0</v>
      </c>
      <c r="EX473">
        <v>0</v>
      </c>
      <c r="EY473">
        <v>0</v>
      </c>
      <c r="EZ473">
        <v>0</v>
      </c>
      <c r="FA473">
        <v>0</v>
      </c>
      <c r="FB473">
        <v>0</v>
      </c>
      <c r="FC473">
        <v>0</v>
      </c>
      <c r="FD473">
        <v>0</v>
      </c>
      <c r="FE473">
        <v>0</v>
      </c>
      <c r="FF473">
        <v>0</v>
      </c>
      <c r="FG473">
        <v>0</v>
      </c>
      <c r="FH473">
        <v>0</v>
      </c>
      <c r="FI473">
        <v>0</v>
      </c>
      <c r="FJ473">
        <v>0</v>
      </c>
      <c r="FK473">
        <v>0</v>
      </c>
      <c r="FL473">
        <v>0</v>
      </c>
      <c r="FM473">
        <v>0</v>
      </c>
      <c r="FN473">
        <v>0</v>
      </c>
      <c r="FO473">
        <v>0</v>
      </c>
      <c r="FP473">
        <v>0</v>
      </c>
      <c r="FQ473">
        <v>0</v>
      </c>
      <c r="FR473">
        <v>0</v>
      </c>
      <c r="FS473">
        <v>0</v>
      </c>
      <c r="FT473">
        <v>0</v>
      </c>
      <c r="FU473">
        <v>0</v>
      </c>
      <c r="FV473">
        <v>0</v>
      </c>
      <c r="FW473">
        <v>0</v>
      </c>
      <c r="FX473">
        <v>0</v>
      </c>
      <c r="FY473">
        <v>0</v>
      </c>
      <c r="FZ473">
        <v>0</v>
      </c>
      <c r="GA473">
        <v>0</v>
      </c>
      <c r="GB473">
        <v>0</v>
      </c>
      <c r="GC473">
        <v>0</v>
      </c>
      <c r="GD473">
        <v>0</v>
      </c>
      <c r="GE473">
        <v>0</v>
      </c>
      <c r="GF473">
        <v>0</v>
      </c>
      <c r="GG473">
        <v>0</v>
      </c>
      <c r="GH473">
        <v>0</v>
      </c>
      <c r="GI473">
        <v>0</v>
      </c>
      <c r="GJ473">
        <v>0</v>
      </c>
      <c r="GK473">
        <v>0</v>
      </c>
      <c r="GL473">
        <v>0</v>
      </c>
      <c r="GM473">
        <v>0</v>
      </c>
      <c r="GN473">
        <v>0</v>
      </c>
      <c r="GO473">
        <v>0</v>
      </c>
      <c r="GP473">
        <v>0</v>
      </c>
      <c r="GQ473">
        <v>0</v>
      </c>
      <c r="GR473">
        <v>0</v>
      </c>
      <c r="GS473">
        <v>0</v>
      </c>
      <c r="GT473">
        <v>0</v>
      </c>
      <c r="GU473">
        <v>0</v>
      </c>
      <c r="GV473">
        <v>0</v>
      </c>
      <c r="GW473">
        <v>0</v>
      </c>
      <c r="GX473">
        <v>0</v>
      </c>
      <c r="GY473">
        <v>0</v>
      </c>
      <c r="GZ473">
        <v>0</v>
      </c>
      <c r="HA473">
        <v>0</v>
      </c>
      <c r="HB473">
        <v>0</v>
      </c>
      <c r="HC473">
        <v>0</v>
      </c>
      <c r="HD473">
        <v>0</v>
      </c>
      <c r="HE473">
        <v>0</v>
      </c>
      <c r="HF473">
        <v>0</v>
      </c>
      <c r="HG473">
        <v>0</v>
      </c>
      <c r="HH473">
        <v>0</v>
      </c>
      <c r="HI473">
        <v>0</v>
      </c>
      <c r="HJ473">
        <v>0</v>
      </c>
      <c r="HK473">
        <v>0</v>
      </c>
      <c r="HL473">
        <v>0</v>
      </c>
      <c r="HM473">
        <v>0</v>
      </c>
      <c r="HN473">
        <v>0</v>
      </c>
      <c r="HO473">
        <v>0</v>
      </c>
      <c r="HP473">
        <v>0</v>
      </c>
      <c r="HQ473">
        <v>0</v>
      </c>
      <c r="HR473">
        <v>0</v>
      </c>
      <c r="HS473">
        <v>0</v>
      </c>
      <c r="HT473">
        <v>0</v>
      </c>
      <c r="HU473">
        <v>0</v>
      </c>
      <c r="HV473">
        <v>0</v>
      </c>
      <c r="HW473">
        <v>0</v>
      </c>
      <c r="HX473">
        <v>0</v>
      </c>
      <c r="HY473">
        <v>0</v>
      </c>
      <c r="HZ473">
        <v>0</v>
      </c>
      <c r="IA473">
        <v>0</v>
      </c>
      <c r="IB473">
        <v>0</v>
      </c>
      <c r="IC473">
        <v>0</v>
      </c>
      <c r="ID473">
        <v>0</v>
      </c>
      <c r="IE473">
        <v>0</v>
      </c>
      <c r="IF473">
        <v>0</v>
      </c>
      <c r="IG473">
        <v>0</v>
      </c>
      <c r="IH473">
        <v>0</v>
      </c>
      <c r="II473">
        <v>0</v>
      </c>
      <c r="IJ473">
        <v>0</v>
      </c>
      <c r="IK473">
        <v>0</v>
      </c>
      <c r="IL473">
        <v>0</v>
      </c>
      <c r="IM473">
        <v>0</v>
      </c>
      <c r="IN473">
        <v>0</v>
      </c>
      <c r="IO473">
        <v>0</v>
      </c>
      <c r="IP473">
        <v>0</v>
      </c>
      <c r="IQ473">
        <v>0</v>
      </c>
      <c r="IR473">
        <v>0</v>
      </c>
      <c r="IS473">
        <v>0</v>
      </c>
      <c r="IT473">
        <v>0</v>
      </c>
      <c r="IU473">
        <v>0</v>
      </c>
      <c r="IV473">
        <v>0</v>
      </c>
      <c r="IW473">
        <v>0</v>
      </c>
      <c r="IX473">
        <v>0</v>
      </c>
      <c r="IY473">
        <v>0</v>
      </c>
      <c r="IZ473">
        <v>0</v>
      </c>
      <c r="JA473">
        <v>0</v>
      </c>
      <c r="JB473">
        <v>0</v>
      </c>
      <c r="JC473">
        <v>0</v>
      </c>
      <c r="JD473">
        <v>0</v>
      </c>
      <c r="JE473">
        <v>0</v>
      </c>
      <c r="JF473">
        <v>0</v>
      </c>
      <c r="JG473">
        <v>0</v>
      </c>
      <c r="JH473">
        <v>0</v>
      </c>
      <c r="JI473">
        <v>0</v>
      </c>
      <c r="JJ473">
        <v>0</v>
      </c>
      <c r="JK473">
        <v>0</v>
      </c>
      <c r="JL473">
        <v>0</v>
      </c>
      <c r="JM473">
        <v>0</v>
      </c>
      <c r="JN473">
        <v>0</v>
      </c>
      <c r="JO473">
        <v>0</v>
      </c>
      <c r="JP473">
        <v>0</v>
      </c>
      <c r="JQ473">
        <v>0</v>
      </c>
      <c r="JR473">
        <v>0</v>
      </c>
      <c r="JS473">
        <v>0</v>
      </c>
      <c r="JT473">
        <v>0</v>
      </c>
      <c r="JU473">
        <v>0</v>
      </c>
      <c r="JV473">
        <v>0</v>
      </c>
      <c r="JW473">
        <v>0</v>
      </c>
      <c r="JX473">
        <v>0</v>
      </c>
      <c r="JY473">
        <v>0</v>
      </c>
      <c r="JZ473">
        <v>0</v>
      </c>
      <c r="KA473">
        <v>0</v>
      </c>
      <c r="KB473">
        <v>0</v>
      </c>
      <c r="KC473">
        <v>0</v>
      </c>
      <c r="KD473">
        <v>0</v>
      </c>
      <c r="KE473">
        <v>0</v>
      </c>
      <c r="KF473">
        <v>0</v>
      </c>
      <c r="KG473">
        <v>0</v>
      </c>
      <c r="KH473">
        <v>0</v>
      </c>
      <c r="KI473">
        <v>0</v>
      </c>
      <c r="KJ473">
        <v>0</v>
      </c>
      <c r="KK473">
        <v>0</v>
      </c>
      <c r="KL473">
        <v>0</v>
      </c>
      <c r="KM473">
        <v>0</v>
      </c>
      <c r="KN473">
        <v>0</v>
      </c>
      <c r="KO473">
        <v>0</v>
      </c>
      <c r="KP473">
        <v>0</v>
      </c>
      <c r="KQ473">
        <v>0</v>
      </c>
      <c r="KR473">
        <v>0</v>
      </c>
      <c r="KS473">
        <v>0</v>
      </c>
      <c r="KT473">
        <v>0</v>
      </c>
      <c r="KU473">
        <v>0</v>
      </c>
      <c r="KV473">
        <v>0</v>
      </c>
      <c r="KW473">
        <v>0</v>
      </c>
      <c r="KX473">
        <v>0</v>
      </c>
      <c r="KY473">
        <v>0</v>
      </c>
      <c r="KZ473">
        <v>0</v>
      </c>
      <c r="LA473">
        <v>0</v>
      </c>
      <c r="LB473">
        <v>0</v>
      </c>
      <c r="LC473">
        <v>0</v>
      </c>
      <c r="LD473">
        <v>0</v>
      </c>
      <c r="LE473">
        <v>0</v>
      </c>
      <c r="LF473">
        <v>0</v>
      </c>
      <c r="LG473">
        <v>0</v>
      </c>
      <c r="LH473">
        <v>0</v>
      </c>
      <c r="LI473">
        <v>0</v>
      </c>
      <c r="LJ473">
        <v>0</v>
      </c>
      <c r="LK473">
        <v>0</v>
      </c>
      <c r="LL473">
        <v>0</v>
      </c>
      <c r="LM473">
        <v>0</v>
      </c>
      <c r="LN473">
        <v>0</v>
      </c>
      <c r="LO473">
        <v>0</v>
      </c>
      <c r="LP473">
        <v>0</v>
      </c>
      <c r="LQ473">
        <v>0</v>
      </c>
      <c r="LR473">
        <v>0</v>
      </c>
      <c r="LS473">
        <v>0</v>
      </c>
      <c r="LT473">
        <v>0</v>
      </c>
      <c r="LU473">
        <v>0</v>
      </c>
      <c r="LV473">
        <v>0</v>
      </c>
      <c r="LW473">
        <v>0</v>
      </c>
      <c r="LX473">
        <v>0</v>
      </c>
      <c r="LY473">
        <v>0</v>
      </c>
      <c r="LZ473">
        <v>0</v>
      </c>
      <c r="MA473">
        <v>0</v>
      </c>
      <c r="MB473">
        <v>0</v>
      </c>
      <c r="MC473">
        <v>0</v>
      </c>
      <c r="MD473">
        <v>0</v>
      </c>
      <c r="ME473">
        <v>0</v>
      </c>
      <c r="MF473">
        <v>0</v>
      </c>
      <c r="MG473">
        <v>0</v>
      </c>
      <c r="MH473">
        <v>0</v>
      </c>
      <c r="MI473">
        <v>0</v>
      </c>
      <c r="MJ473">
        <v>0</v>
      </c>
      <c r="MK473">
        <v>0</v>
      </c>
      <c r="ML473">
        <v>0</v>
      </c>
      <c r="MM473">
        <v>0</v>
      </c>
      <c r="MN473">
        <v>0</v>
      </c>
      <c r="MO473">
        <v>0</v>
      </c>
      <c r="MP473">
        <v>0</v>
      </c>
      <c r="MQ473">
        <v>0</v>
      </c>
      <c r="MR473">
        <v>0</v>
      </c>
      <c r="MS473">
        <v>0</v>
      </c>
      <c r="MT473">
        <v>0</v>
      </c>
      <c r="MU473">
        <v>0</v>
      </c>
      <c r="MV473">
        <v>0</v>
      </c>
      <c r="MW473">
        <v>0</v>
      </c>
      <c r="MX473">
        <v>0</v>
      </c>
      <c r="MY473">
        <v>0</v>
      </c>
      <c r="MZ473">
        <v>0</v>
      </c>
      <c r="NA473">
        <v>0</v>
      </c>
      <c r="NB473">
        <v>0</v>
      </c>
      <c r="NC473">
        <v>0</v>
      </c>
      <c r="ND473">
        <v>0</v>
      </c>
      <c r="NE473">
        <v>0</v>
      </c>
    </row>
    <row r="474" spans="41:369" x14ac:dyDescent="0.45">
      <c r="AO474">
        <v>0</v>
      </c>
      <c r="AP474">
        <v>0</v>
      </c>
      <c r="AQ474">
        <v>0</v>
      </c>
      <c r="AR474">
        <v>0</v>
      </c>
      <c r="AS474">
        <v>0</v>
      </c>
      <c r="AT474">
        <v>0</v>
      </c>
      <c r="AU474">
        <v>0</v>
      </c>
      <c r="AV474">
        <v>0</v>
      </c>
      <c r="AW474" t="str">
        <v/>
      </c>
      <c r="AX474">
        <v>255</v>
      </c>
      <c r="AY474" s="5" t="str">
        <v/>
      </c>
      <c r="AZ474">
        <v>0</v>
      </c>
      <c r="BA474">
        <v>0</v>
      </c>
      <c r="BB474">
        <v>0</v>
      </c>
      <c r="BC474">
        <v>0</v>
      </c>
      <c r="BD474">
        <v>0</v>
      </c>
      <c r="BE474">
        <v>0</v>
      </c>
      <c r="BF474">
        <v>0</v>
      </c>
      <c r="BG474">
        <v>0</v>
      </c>
      <c r="BH474">
        <v>0</v>
      </c>
      <c r="BI474" t="str">
        <v/>
      </c>
      <c r="BK474">
        <v>468</v>
      </c>
      <c r="BL474">
        <v>0</v>
      </c>
      <c r="BM474">
        <v>0</v>
      </c>
      <c r="BN474">
        <v>0</v>
      </c>
      <c r="BO474">
        <v>0</v>
      </c>
      <c r="BP474">
        <v>0</v>
      </c>
      <c r="BQ474">
        <v>0</v>
      </c>
      <c r="BR474">
        <v>0</v>
      </c>
      <c r="BS474">
        <v>0</v>
      </c>
      <c r="BT474">
        <v>0</v>
      </c>
      <c r="BU474">
        <v>0</v>
      </c>
      <c r="BV474">
        <v>0</v>
      </c>
      <c r="BW474">
        <v>0</v>
      </c>
      <c r="BX474">
        <v>0</v>
      </c>
      <c r="BY474">
        <v>0</v>
      </c>
      <c r="BZ474">
        <v>0</v>
      </c>
      <c r="CA474">
        <v>0</v>
      </c>
      <c r="CB474">
        <v>0</v>
      </c>
      <c r="CC474">
        <v>0</v>
      </c>
      <c r="CD474">
        <v>0</v>
      </c>
      <c r="CE474">
        <v>0</v>
      </c>
      <c r="CF474">
        <v>0</v>
      </c>
      <c r="CG474">
        <v>0</v>
      </c>
      <c r="CH474">
        <v>0</v>
      </c>
      <c r="CI474">
        <v>0</v>
      </c>
      <c r="CJ474">
        <v>0</v>
      </c>
      <c r="CK474">
        <v>0</v>
      </c>
      <c r="CL474">
        <v>0</v>
      </c>
      <c r="CM474">
        <v>0</v>
      </c>
      <c r="CN474">
        <v>0</v>
      </c>
      <c r="CO474">
        <v>0</v>
      </c>
      <c r="CP474">
        <v>0</v>
      </c>
      <c r="CQ474">
        <v>0</v>
      </c>
      <c r="CR474">
        <v>0</v>
      </c>
      <c r="CS474">
        <v>0</v>
      </c>
      <c r="CT474">
        <v>0</v>
      </c>
      <c r="CU474">
        <v>0</v>
      </c>
      <c r="CV474">
        <v>0</v>
      </c>
      <c r="CW474">
        <v>0</v>
      </c>
      <c r="CX474">
        <v>0</v>
      </c>
      <c r="CY474">
        <v>0</v>
      </c>
      <c r="CZ474">
        <v>0</v>
      </c>
      <c r="DA474">
        <v>0</v>
      </c>
      <c r="DB474">
        <v>0</v>
      </c>
      <c r="DC474">
        <v>0</v>
      </c>
      <c r="DD474">
        <v>0</v>
      </c>
      <c r="DE474">
        <v>0</v>
      </c>
      <c r="DF474">
        <v>0</v>
      </c>
      <c r="DG474">
        <v>0</v>
      </c>
      <c r="DH474">
        <v>0</v>
      </c>
      <c r="DI474">
        <v>0</v>
      </c>
      <c r="DJ474">
        <v>0</v>
      </c>
      <c r="DK474">
        <v>0</v>
      </c>
      <c r="DL474">
        <v>0</v>
      </c>
      <c r="DM474">
        <v>0</v>
      </c>
      <c r="DN474">
        <v>0</v>
      </c>
      <c r="DO474">
        <v>0</v>
      </c>
      <c r="DP474">
        <v>0</v>
      </c>
      <c r="DQ474">
        <v>0</v>
      </c>
      <c r="DR474">
        <v>0</v>
      </c>
      <c r="DS474">
        <v>0</v>
      </c>
      <c r="DT474">
        <v>0</v>
      </c>
      <c r="DU474">
        <v>0</v>
      </c>
      <c r="DV474">
        <v>0</v>
      </c>
      <c r="DW474">
        <v>0</v>
      </c>
      <c r="DX474">
        <v>0</v>
      </c>
      <c r="DY474">
        <v>0</v>
      </c>
      <c r="DZ474">
        <v>0</v>
      </c>
      <c r="EA474">
        <v>0</v>
      </c>
      <c r="EB474">
        <v>0</v>
      </c>
      <c r="EC474">
        <v>0</v>
      </c>
      <c r="ED474">
        <v>0</v>
      </c>
      <c r="EE474">
        <v>0</v>
      </c>
      <c r="EF474">
        <v>0</v>
      </c>
      <c r="EG474">
        <v>0</v>
      </c>
      <c r="EH474">
        <v>0</v>
      </c>
      <c r="EI474">
        <v>0</v>
      </c>
      <c r="EJ474">
        <v>0</v>
      </c>
      <c r="EK474">
        <v>0</v>
      </c>
      <c r="EL474">
        <v>0</v>
      </c>
      <c r="EM474">
        <v>0</v>
      </c>
      <c r="EN474">
        <v>0</v>
      </c>
      <c r="EO474">
        <v>0</v>
      </c>
      <c r="EP474">
        <v>0</v>
      </c>
      <c r="EQ474">
        <v>0</v>
      </c>
      <c r="ER474">
        <v>0</v>
      </c>
      <c r="ES474">
        <v>0</v>
      </c>
      <c r="ET474">
        <v>0</v>
      </c>
      <c r="EU474">
        <v>0</v>
      </c>
      <c r="EV474">
        <v>0</v>
      </c>
      <c r="EW474">
        <v>0</v>
      </c>
      <c r="EX474">
        <v>0</v>
      </c>
      <c r="EY474">
        <v>0</v>
      </c>
      <c r="EZ474">
        <v>0</v>
      </c>
      <c r="FA474">
        <v>0</v>
      </c>
      <c r="FB474">
        <v>0</v>
      </c>
      <c r="FC474">
        <v>0</v>
      </c>
      <c r="FD474">
        <v>0</v>
      </c>
      <c r="FE474">
        <v>0</v>
      </c>
      <c r="FF474">
        <v>0</v>
      </c>
      <c r="FG474">
        <v>0</v>
      </c>
      <c r="FH474">
        <v>0</v>
      </c>
      <c r="FI474">
        <v>0</v>
      </c>
      <c r="FJ474">
        <v>0</v>
      </c>
      <c r="FK474">
        <v>0</v>
      </c>
      <c r="FL474">
        <v>0</v>
      </c>
      <c r="FM474">
        <v>0</v>
      </c>
      <c r="FN474">
        <v>0</v>
      </c>
      <c r="FO474">
        <v>0</v>
      </c>
      <c r="FP474">
        <v>0</v>
      </c>
      <c r="FQ474">
        <v>0</v>
      </c>
      <c r="FR474">
        <v>0</v>
      </c>
      <c r="FS474">
        <v>0</v>
      </c>
      <c r="FT474">
        <v>0</v>
      </c>
      <c r="FU474">
        <v>0</v>
      </c>
      <c r="FV474">
        <v>0</v>
      </c>
      <c r="FW474">
        <v>0</v>
      </c>
      <c r="FX474">
        <v>0</v>
      </c>
      <c r="FY474">
        <v>0</v>
      </c>
      <c r="FZ474">
        <v>0</v>
      </c>
      <c r="GA474">
        <v>0</v>
      </c>
      <c r="GB474">
        <v>0</v>
      </c>
      <c r="GC474">
        <v>0</v>
      </c>
      <c r="GD474">
        <v>0</v>
      </c>
      <c r="GE474">
        <v>0</v>
      </c>
      <c r="GF474">
        <v>0</v>
      </c>
      <c r="GG474">
        <v>0</v>
      </c>
      <c r="GH474">
        <v>0</v>
      </c>
      <c r="GI474">
        <v>0</v>
      </c>
      <c r="GJ474">
        <v>0</v>
      </c>
      <c r="GK474">
        <v>0</v>
      </c>
      <c r="GL474">
        <v>0</v>
      </c>
      <c r="GM474">
        <v>0</v>
      </c>
      <c r="GN474">
        <v>0</v>
      </c>
      <c r="GO474">
        <v>0</v>
      </c>
      <c r="GP474">
        <v>0</v>
      </c>
      <c r="GQ474">
        <v>0</v>
      </c>
      <c r="GR474">
        <v>0</v>
      </c>
      <c r="GS474">
        <v>0</v>
      </c>
      <c r="GT474">
        <v>0</v>
      </c>
      <c r="GU474">
        <v>0</v>
      </c>
      <c r="GV474">
        <v>0</v>
      </c>
      <c r="GW474">
        <v>0</v>
      </c>
      <c r="GX474">
        <v>0</v>
      </c>
      <c r="GY474">
        <v>0</v>
      </c>
      <c r="GZ474">
        <v>0</v>
      </c>
      <c r="HA474">
        <v>0</v>
      </c>
      <c r="HB474">
        <v>0</v>
      </c>
      <c r="HC474">
        <v>0</v>
      </c>
      <c r="HD474">
        <v>0</v>
      </c>
      <c r="HE474">
        <v>0</v>
      </c>
      <c r="HF474">
        <v>0</v>
      </c>
      <c r="HG474">
        <v>0</v>
      </c>
      <c r="HH474">
        <v>0</v>
      </c>
      <c r="HI474">
        <v>0</v>
      </c>
      <c r="HJ474">
        <v>0</v>
      </c>
      <c r="HK474">
        <v>0</v>
      </c>
      <c r="HL474">
        <v>0</v>
      </c>
      <c r="HM474">
        <v>0</v>
      </c>
      <c r="HN474">
        <v>0</v>
      </c>
      <c r="HO474">
        <v>0</v>
      </c>
      <c r="HP474">
        <v>0</v>
      </c>
      <c r="HQ474">
        <v>0</v>
      </c>
      <c r="HR474">
        <v>0</v>
      </c>
      <c r="HS474">
        <v>0</v>
      </c>
      <c r="HT474">
        <v>0</v>
      </c>
      <c r="HU474">
        <v>0</v>
      </c>
      <c r="HV474">
        <v>0</v>
      </c>
      <c r="HW474">
        <v>0</v>
      </c>
      <c r="HX474">
        <v>0</v>
      </c>
      <c r="HY474">
        <v>0</v>
      </c>
      <c r="HZ474">
        <v>0</v>
      </c>
      <c r="IA474">
        <v>0</v>
      </c>
      <c r="IB474">
        <v>0</v>
      </c>
      <c r="IC474">
        <v>0</v>
      </c>
      <c r="ID474">
        <v>0</v>
      </c>
      <c r="IE474">
        <v>0</v>
      </c>
      <c r="IF474">
        <v>0</v>
      </c>
      <c r="IG474">
        <v>0</v>
      </c>
      <c r="IH474">
        <v>0</v>
      </c>
      <c r="II474">
        <v>0</v>
      </c>
      <c r="IJ474">
        <v>0</v>
      </c>
      <c r="IK474">
        <v>0</v>
      </c>
      <c r="IL474">
        <v>0</v>
      </c>
      <c r="IM474">
        <v>0</v>
      </c>
      <c r="IN474">
        <v>0</v>
      </c>
      <c r="IO474">
        <v>0</v>
      </c>
      <c r="IP474">
        <v>0</v>
      </c>
      <c r="IQ474">
        <v>0</v>
      </c>
      <c r="IR474">
        <v>0</v>
      </c>
      <c r="IS474">
        <v>0</v>
      </c>
      <c r="IT474">
        <v>0</v>
      </c>
      <c r="IU474">
        <v>0</v>
      </c>
      <c r="IV474">
        <v>0</v>
      </c>
      <c r="IW474">
        <v>0</v>
      </c>
      <c r="IX474">
        <v>0</v>
      </c>
      <c r="IY474">
        <v>0</v>
      </c>
      <c r="IZ474">
        <v>0</v>
      </c>
      <c r="JA474">
        <v>0</v>
      </c>
      <c r="JB474">
        <v>0</v>
      </c>
      <c r="JC474">
        <v>0</v>
      </c>
      <c r="JD474">
        <v>0</v>
      </c>
      <c r="JE474">
        <v>0</v>
      </c>
      <c r="JF474">
        <v>0</v>
      </c>
      <c r="JG474">
        <v>0</v>
      </c>
      <c r="JH474">
        <v>0</v>
      </c>
      <c r="JI474">
        <v>0</v>
      </c>
      <c r="JJ474">
        <v>0</v>
      </c>
      <c r="JK474">
        <v>0</v>
      </c>
      <c r="JL474">
        <v>0</v>
      </c>
      <c r="JM474">
        <v>0</v>
      </c>
      <c r="JN474">
        <v>0</v>
      </c>
      <c r="JO474">
        <v>0</v>
      </c>
      <c r="JP474">
        <v>0</v>
      </c>
      <c r="JQ474">
        <v>0</v>
      </c>
      <c r="JR474">
        <v>0</v>
      </c>
      <c r="JS474">
        <v>0</v>
      </c>
      <c r="JT474">
        <v>0</v>
      </c>
      <c r="JU474">
        <v>0</v>
      </c>
      <c r="JV474">
        <v>0</v>
      </c>
      <c r="JW474">
        <v>0</v>
      </c>
      <c r="JX474">
        <v>0</v>
      </c>
      <c r="JY474">
        <v>0</v>
      </c>
      <c r="JZ474">
        <v>0</v>
      </c>
      <c r="KA474">
        <v>0</v>
      </c>
      <c r="KB474">
        <v>0</v>
      </c>
      <c r="KC474">
        <v>0</v>
      </c>
      <c r="KD474">
        <v>0</v>
      </c>
      <c r="KE474">
        <v>0</v>
      </c>
      <c r="KF474">
        <v>0</v>
      </c>
      <c r="KG474">
        <v>0</v>
      </c>
      <c r="KH474">
        <v>0</v>
      </c>
      <c r="KI474">
        <v>0</v>
      </c>
      <c r="KJ474">
        <v>0</v>
      </c>
      <c r="KK474">
        <v>0</v>
      </c>
      <c r="KL474">
        <v>0</v>
      </c>
      <c r="KM474">
        <v>0</v>
      </c>
      <c r="KN474">
        <v>0</v>
      </c>
      <c r="KO474">
        <v>0</v>
      </c>
      <c r="KP474">
        <v>0</v>
      </c>
      <c r="KQ474">
        <v>0</v>
      </c>
      <c r="KR474">
        <v>0</v>
      </c>
      <c r="KS474">
        <v>0</v>
      </c>
      <c r="KT474">
        <v>0</v>
      </c>
      <c r="KU474">
        <v>0</v>
      </c>
      <c r="KV474">
        <v>0</v>
      </c>
      <c r="KW474">
        <v>0</v>
      </c>
      <c r="KX474">
        <v>0</v>
      </c>
      <c r="KY474">
        <v>0</v>
      </c>
      <c r="KZ474">
        <v>0</v>
      </c>
      <c r="LA474">
        <v>0</v>
      </c>
      <c r="LB474">
        <v>0</v>
      </c>
      <c r="LC474">
        <v>0</v>
      </c>
      <c r="LD474">
        <v>0</v>
      </c>
      <c r="LE474">
        <v>0</v>
      </c>
      <c r="LF474">
        <v>0</v>
      </c>
      <c r="LG474">
        <v>0</v>
      </c>
      <c r="LH474">
        <v>0</v>
      </c>
      <c r="LI474">
        <v>0</v>
      </c>
      <c r="LJ474">
        <v>0</v>
      </c>
      <c r="LK474">
        <v>0</v>
      </c>
      <c r="LL474">
        <v>0</v>
      </c>
      <c r="LM474">
        <v>0</v>
      </c>
      <c r="LN474">
        <v>0</v>
      </c>
      <c r="LO474">
        <v>0</v>
      </c>
      <c r="LP474">
        <v>0</v>
      </c>
      <c r="LQ474">
        <v>0</v>
      </c>
      <c r="LR474">
        <v>0</v>
      </c>
      <c r="LS474">
        <v>0</v>
      </c>
      <c r="LT474">
        <v>0</v>
      </c>
      <c r="LU474">
        <v>0</v>
      </c>
      <c r="LV474">
        <v>0</v>
      </c>
      <c r="LW474">
        <v>0</v>
      </c>
      <c r="LX474">
        <v>0</v>
      </c>
      <c r="LY474">
        <v>0</v>
      </c>
      <c r="LZ474">
        <v>0</v>
      </c>
      <c r="MA474">
        <v>0</v>
      </c>
      <c r="MB474">
        <v>0</v>
      </c>
      <c r="MC474">
        <v>0</v>
      </c>
      <c r="MD474">
        <v>0</v>
      </c>
      <c r="ME474">
        <v>0</v>
      </c>
      <c r="MF474">
        <v>0</v>
      </c>
      <c r="MG474">
        <v>0</v>
      </c>
      <c r="MH474">
        <v>0</v>
      </c>
      <c r="MI474">
        <v>0</v>
      </c>
      <c r="MJ474">
        <v>0</v>
      </c>
      <c r="MK474">
        <v>0</v>
      </c>
      <c r="ML474">
        <v>0</v>
      </c>
      <c r="MM474">
        <v>0</v>
      </c>
      <c r="MN474">
        <v>0</v>
      </c>
      <c r="MO474">
        <v>0</v>
      </c>
      <c r="MP474">
        <v>0</v>
      </c>
      <c r="MQ474">
        <v>0</v>
      </c>
      <c r="MR474">
        <v>0</v>
      </c>
      <c r="MS474">
        <v>0</v>
      </c>
      <c r="MT474">
        <v>0</v>
      </c>
      <c r="MU474">
        <v>0</v>
      </c>
      <c r="MV474">
        <v>0</v>
      </c>
      <c r="MW474">
        <v>0</v>
      </c>
      <c r="MX474">
        <v>0</v>
      </c>
      <c r="MY474">
        <v>0</v>
      </c>
      <c r="MZ474">
        <v>0</v>
      </c>
      <c r="NA474">
        <v>0</v>
      </c>
      <c r="NB474">
        <v>0</v>
      </c>
      <c r="NC474">
        <v>0</v>
      </c>
      <c r="ND474">
        <v>0</v>
      </c>
      <c r="NE474">
        <v>0</v>
      </c>
    </row>
    <row r="475" spans="41:369" x14ac:dyDescent="0.45">
      <c r="AO475">
        <v>0</v>
      </c>
      <c r="AP475">
        <v>0</v>
      </c>
      <c r="AQ475">
        <v>0</v>
      </c>
      <c r="AR475">
        <v>0</v>
      </c>
      <c r="AS475">
        <v>0</v>
      </c>
      <c r="AT475">
        <v>0</v>
      </c>
      <c r="AU475">
        <v>0</v>
      </c>
      <c r="AV475">
        <v>0</v>
      </c>
      <c r="AW475" t="str">
        <v/>
      </c>
      <c r="AX475">
        <v>255</v>
      </c>
      <c r="AY475" s="5" t="str">
        <v/>
      </c>
      <c r="AZ475">
        <v>0</v>
      </c>
      <c r="BA475">
        <v>0</v>
      </c>
      <c r="BB475">
        <v>0</v>
      </c>
      <c r="BC475">
        <v>0</v>
      </c>
      <c r="BD475">
        <v>0</v>
      </c>
      <c r="BE475">
        <v>0</v>
      </c>
      <c r="BF475">
        <v>0</v>
      </c>
      <c r="BG475">
        <v>0</v>
      </c>
      <c r="BH475">
        <v>0</v>
      </c>
      <c r="BI475" t="str">
        <v/>
      </c>
      <c r="BK475">
        <v>469</v>
      </c>
      <c r="BL475">
        <v>0</v>
      </c>
      <c r="BM475">
        <v>0</v>
      </c>
      <c r="BN475">
        <v>0</v>
      </c>
      <c r="BO475">
        <v>0</v>
      </c>
      <c r="BP475">
        <v>0</v>
      </c>
      <c r="BQ475">
        <v>0</v>
      </c>
      <c r="BR475">
        <v>0</v>
      </c>
      <c r="BS475">
        <v>0</v>
      </c>
      <c r="BT475">
        <v>0</v>
      </c>
      <c r="BU475">
        <v>0</v>
      </c>
      <c r="BV475">
        <v>0</v>
      </c>
      <c r="BW475">
        <v>0</v>
      </c>
      <c r="BX475">
        <v>0</v>
      </c>
      <c r="BY475">
        <v>0</v>
      </c>
      <c r="BZ475">
        <v>0</v>
      </c>
      <c r="CA475">
        <v>0</v>
      </c>
      <c r="CB475">
        <v>0</v>
      </c>
      <c r="CC475">
        <v>0</v>
      </c>
      <c r="CD475">
        <v>0</v>
      </c>
      <c r="CE475">
        <v>0</v>
      </c>
      <c r="CF475">
        <v>0</v>
      </c>
      <c r="CG475">
        <v>0</v>
      </c>
      <c r="CH475">
        <v>0</v>
      </c>
      <c r="CI475">
        <v>0</v>
      </c>
      <c r="CJ475">
        <v>0</v>
      </c>
      <c r="CK475">
        <v>0</v>
      </c>
      <c r="CL475">
        <v>0</v>
      </c>
      <c r="CM475">
        <v>0</v>
      </c>
      <c r="CN475">
        <v>0</v>
      </c>
      <c r="CO475">
        <v>0</v>
      </c>
      <c r="CP475">
        <v>0</v>
      </c>
      <c r="CQ475">
        <v>0</v>
      </c>
      <c r="CR475">
        <v>0</v>
      </c>
      <c r="CS475">
        <v>0</v>
      </c>
      <c r="CT475">
        <v>0</v>
      </c>
      <c r="CU475">
        <v>0</v>
      </c>
      <c r="CV475">
        <v>0</v>
      </c>
      <c r="CW475">
        <v>0</v>
      </c>
      <c r="CX475">
        <v>0</v>
      </c>
      <c r="CY475">
        <v>0</v>
      </c>
      <c r="CZ475">
        <v>0</v>
      </c>
      <c r="DA475">
        <v>0</v>
      </c>
      <c r="DB475">
        <v>0</v>
      </c>
      <c r="DC475">
        <v>0</v>
      </c>
      <c r="DD475">
        <v>0</v>
      </c>
      <c r="DE475">
        <v>0</v>
      </c>
      <c r="DF475">
        <v>0</v>
      </c>
      <c r="DG475">
        <v>0</v>
      </c>
      <c r="DH475">
        <v>0</v>
      </c>
      <c r="DI475">
        <v>0</v>
      </c>
      <c r="DJ475">
        <v>0</v>
      </c>
      <c r="DK475">
        <v>0</v>
      </c>
      <c r="DL475">
        <v>0</v>
      </c>
      <c r="DM475">
        <v>0</v>
      </c>
      <c r="DN475">
        <v>0</v>
      </c>
      <c r="DO475">
        <v>0</v>
      </c>
      <c r="DP475">
        <v>0</v>
      </c>
      <c r="DQ475">
        <v>0</v>
      </c>
      <c r="DR475">
        <v>0</v>
      </c>
      <c r="DS475">
        <v>0</v>
      </c>
      <c r="DT475">
        <v>0</v>
      </c>
      <c r="DU475">
        <v>0</v>
      </c>
      <c r="DV475">
        <v>0</v>
      </c>
      <c r="DW475">
        <v>0</v>
      </c>
      <c r="DX475">
        <v>0</v>
      </c>
      <c r="DY475">
        <v>0</v>
      </c>
      <c r="DZ475">
        <v>0</v>
      </c>
      <c r="EA475">
        <v>0</v>
      </c>
      <c r="EB475">
        <v>0</v>
      </c>
      <c r="EC475">
        <v>0</v>
      </c>
      <c r="ED475">
        <v>0</v>
      </c>
      <c r="EE475">
        <v>0</v>
      </c>
      <c r="EF475">
        <v>0</v>
      </c>
      <c r="EG475">
        <v>0</v>
      </c>
      <c r="EH475">
        <v>0</v>
      </c>
      <c r="EI475">
        <v>0</v>
      </c>
      <c r="EJ475">
        <v>0</v>
      </c>
      <c r="EK475">
        <v>0</v>
      </c>
      <c r="EL475">
        <v>0</v>
      </c>
      <c r="EM475">
        <v>0</v>
      </c>
      <c r="EN475">
        <v>0</v>
      </c>
      <c r="EO475">
        <v>0</v>
      </c>
      <c r="EP475">
        <v>0</v>
      </c>
      <c r="EQ475">
        <v>0</v>
      </c>
      <c r="ER475">
        <v>0</v>
      </c>
      <c r="ES475">
        <v>0</v>
      </c>
      <c r="ET475">
        <v>0</v>
      </c>
      <c r="EU475">
        <v>0</v>
      </c>
      <c r="EV475">
        <v>0</v>
      </c>
      <c r="EW475">
        <v>0</v>
      </c>
      <c r="EX475">
        <v>0</v>
      </c>
      <c r="EY475">
        <v>0</v>
      </c>
      <c r="EZ475">
        <v>0</v>
      </c>
      <c r="FA475">
        <v>0</v>
      </c>
      <c r="FB475">
        <v>0</v>
      </c>
      <c r="FC475">
        <v>0</v>
      </c>
      <c r="FD475">
        <v>0</v>
      </c>
      <c r="FE475">
        <v>0</v>
      </c>
      <c r="FF475">
        <v>0</v>
      </c>
      <c r="FG475">
        <v>0</v>
      </c>
      <c r="FH475">
        <v>0</v>
      </c>
      <c r="FI475">
        <v>0</v>
      </c>
      <c r="FJ475">
        <v>0</v>
      </c>
      <c r="FK475">
        <v>0</v>
      </c>
      <c r="FL475">
        <v>0</v>
      </c>
      <c r="FM475">
        <v>0</v>
      </c>
      <c r="FN475">
        <v>0</v>
      </c>
      <c r="FO475">
        <v>0</v>
      </c>
      <c r="FP475">
        <v>0</v>
      </c>
      <c r="FQ475">
        <v>0</v>
      </c>
      <c r="FR475">
        <v>0</v>
      </c>
      <c r="FS475">
        <v>0</v>
      </c>
      <c r="FT475">
        <v>0</v>
      </c>
      <c r="FU475">
        <v>0</v>
      </c>
      <c r="FV475">
        <v>0</v>
      </c>
      <c r="FW475">
        <v>0</v>
      </c>
      <c r="FX475">
        <v>0</v>
      </c>
      <c r="FY475">
        <v>0</v>
      </c>
      <c r="FZ475">
        <v>0</v>
      </c>
      <c r="GA475">
        <v>0</v>
      </c>
      <c r="GB475">
        <v>0</v>
      </c>
      <c r="GC475">
        <v>0</v>
      </c>
      <c r="GD475">
        <v>0</v>
      </c>
      <c r="GE475">
        <v>0</v>
      </c>
      <c r="GF475">
        <v>0</v>
      </c>
      <c r="GG475">
        <v>0</v>
      </c>
      <c r="GH475">
        <v>0</v>
      </c>
      <c r="GI475">
        <v>0</v>
      </c>
      <c r="GJ475">
        <v>0</v>
      </c>
      <c r="GK475">
        <v>0</v>
      </c>
      <c r="GL475">
        <v>0</v>
      </c>
      <c r="GM475">
        <v>0</v>
      </c>
      <c r="GN475">
        <v>0</v>
      </c>
      <c r="GO475">
        <v>0</v>
      </c>
      <c r="GP475">
        <v>0</v>
      </c>
      <c r="GQ475">
        <v>0</v>
      </c>
      <c r="GR475">
        <v>0</v>
      </c>
      <c r="GS475">
        <v>0</v>
      </c>
      <c r="GT475">
        <v>0</v>
      </c>
      <c r="GU475">
        <v>0</v>
      </c>
      <c r="GV475">
        <v>0</v>
      </c>
      <c r="GW475">
        <v>0</v>
      </c>
      <c r="GX475">
        <v>0</v>
      </c>
      <c r="GY475">
        <v>0</v>
      </c>
      <c r="GZ475">
        <v>0</v>
      </c>
      <c r="HA475">
        <v>0</v>
      </c>
      <c r="HB475">
        <v>0</v>
      </c>
      <c r="HC475">
        <v>0</v>
      </c>
      <c r="HD475">
        <v>0</v>
      </c>
      <c r="HE475">
        <v>0</v>
      </c>
      <c r="HF475">
        <v>0</v>
      </c>
      <c r="HG475">
        <v>0</v>
      </c>
      <c r="HH475">
        <v>0</v>
      </c>
      <c r="HI475">
        <v>0</v>
      </c>
      <c r="HJ475">
        <v>0</v>
      </c>
      <c r="HK475">
        <v>0</v>
      </c>
      <c r="HL475">
        <v>0</v>
      </c>
      <c r="HM475">
        <v>0</v>
      </c>
      <c r="HN475">
        <v>0</v>
      </c>
      <c r="HO475">
        <v>0</v>
      </c>
      <c r="HP475">
        <v>0</v>
      </c>
      <c r="HQ475">
        <v>0</v>
      </c>
      <c r="HR475">
        <v>0</v>
      </c>
      <c r="HS475">
        <v>0</v>
      </c>
      <c r="HT475">
        <v>0</v>
      </c>
      <c r="HU475">
        <v>0</v>
      </c>
      <c r="HV475">
        <v>0</v>
      </c>
      <c r="HW475">
        <v>0</v>
      </c>
      <c r="HX475">
        <v>0</v>
      </c>
      <c r="HY475">
        <v>0</v>
      </c>
      <c r="HZ475">
        <v>0</v>
      </c>
      <c r="IA475">
        <v>0</v>
      </c>
      <c r="IB475">
        <v>0</v>
      </c>
      <c r="IC475">
        <v>0</v>
      </c>
      <c r="ID475">
        <v>0</v>
      </c>
      <c r="IE475">
        <v>0</v>
      </c>
      <c r="IF475">
        <v>0</v>
      </c>
      <c r="IG475">
        <v>0</v>
      </c>
      <c r="IH475">
        <v>0</v>
      </c>
      <c r="II475">
        <v>0</v>
      </c>
      <c r="IJ475">
        <v>0</v>
      </c>
      <c r="IK475">
        <v>0</v>
      </c>
      <c r="IL475">
        <v>0</v>
      </c>
      <c r="IM475">
        <v>0</v>
      </c>
      <c r="IN475">
        <v>0</v>
      </c>
      <c r="IO475">
        <v>0</v>
      </c>
      <c r="IP475">
        <v>0</v>
      </c>
      <c r="IQ475">
        <v>0</v>
      </c>
      <c r="IR475">
        <v>0</v>
      </c>
      <c r="IS475">
        <v>0</v>
      </c>
      <c r="IT475">
        <v>0</v>
      </c>
      <c r="IU475">
        <v>0</v>
      </c>
      <c r="IV475">
        <v>0</v>
      </c>
      <c r="IW475">
        <v>0</v>
      </c>
      <c r="IX475">
        <v>0</v>
      </c>
      <c r="IY475">
        <v>0</v>
      </c>
      <c r="IZ475">
        <v>0</v>
      </c>
      <c r="JA475">
        <v>0</v>
      </c>
      <c r="JB475">
        <v>0</v>
      </c>
      <c r="JC475">
        <v>0</v>
      </c>
      <c r="JD475">
        <v>0</v>
      </c>
      <c r="JE475">
        <v>0</v>
      </c>
      <c r="JF475">
        <v>0</v>
      </c>
      <c r="JG475">
        <v>0</v>
      </c>
      <c r="JH475">
        <v>0</v>
      </c>
      <c r="JI475">
        <v>0</v>
      </c>
      <c r="JJ475">
        <v>0</v>
      </c>
      <c r="JK475">
        <v>0</v>
      </c>
      <c r="JL475">
        <v>0</v>
      </c>
      <c r="JM475">
        <v>0</v>
      </c>
      <c r="JN475">
        <v>0</v>
      </c>
      <c r="JO475">
        <v>0</v>
      </c>
      <c r="JP475">
        <v>0</v>
      </c>
      <c r="JQ475">
        <v>0</v>
      </c>
      <c r="JR475">
        <v>0</v>
      </c>
      <c r="JS475">
        <v>0</v>
      </c>
      <c r="JT475">
        <v>0</v>
      </c>
      <c r="JU475">
        <v>0</v>
      </c>
      <c r="JV475">
        <v>0</v>
      </c>
      <c r="JW475">
        <v>0</v>
      </c>
      <c r="JX475">
        <v>0</v>
      </c>
      <c r="JY475">
        <v>0</v>
      </c>
      <c r="JZ475">
        <v>0</v>
      </c>
      <c r="KA475">
        <v>0</v>
      </c>
      <c r="KB475">
        <v>0</v>
      </c>
      <c r="KC475">
        <v>0</v>
      </c>
      <c r="KD475">
        <v>0</v>
      </c>
      <c r="KE475">
        <v>0</v>
      </c>
      <c r="KF475">
        <v>0</v>
      </c>
      <c r="KG475">
        <v>0</v>
      </c>
      <c r="KH475">
        <v>0</v>
      </c>
      <c r="KI475">
        <v>0</v>
      </c>
      <c r="KJ475">
        <v>0</v>
      </c>
      <c r="KK475">
        <v>0</v>
      </c>
      <c r="KL475">
        <v>0</v>
      </c>
      <c r="KM475">
        <v>0</v>
      </c>
      <c r="KN475">
        <v>0</v>
      </c>
      <c r="KO475">
        <v>0</v>
      </c>
      <c r="KP475">
        <v>0</v>
      </c>
      <c r="KQ475">
        <v>0</v>
      </c>
      <c r="KR475">
        <v>0</v>
      </c>
      <c r="KS475">
        <v>0</v>
      </c>
      <c r="KT475">
        <v>0</v>
      </c>
      <c r="KU475">
        <v>0</v>
      </c>
      <c r="KV475">
        <v>0</v>
      </c>
      <c r="KW475">
        <v>0</v>
      </c>
      <c r="KX475">
        <v>0</v>
      </c>
      <c r="KY475">
        <v>0</v>
      </c>
      <c r="KZ475">
        <v>0</v>
      </c>
      <c r="LA475">
        <v>0</v>
      </c>
      <c r="LB475">
        <v>0</v>
      </c>
      <c r="LC475">
        <v>0</v>
      </c>
      <c r="LD475">
        <v>0</v>
      </c>
      <c r="LE475">
        <v>0</v>
      </c>
      <c r="LF475">
        <v>0</v>
      </c>
      <c r="LG475">
        <v>0</v>
      </c>
      <c r="LH475">
        <v>0</v>
      </c>
      <c r="LI475">
        <v>0</v>
      </c>
      <c r="LJ475">
        <v>0</v>
      </c>
      <c r="LK475">
        <v>0</v>
      </c>
      <c r="LL475">
        <v>0</v>
      </c>
      <c r="LM475">
        <v>0</v>
      </c>
      <c r="LN475">
        <v>0</v>
      </c>
      <c r="LO475">
        <v>0</v>
      </c>
      <c r="LP475">
        <v>0</v>
      </c>
      <c r="LQ475">
        <v>0</v>
      </c>
      <c r="LR475">
        <v>0</v>
      </c>
      <c r="LS475">
        <v>0</v>
      </c>
      <c r="LT475">
        <v>0</v>
      </c>
      <c r="LU475">
        <v>0</v>
      </c>
      <c r="LV475">
        <v>0</v>
      </c>
      <c r="LW475">
        <v>0</v>
      </c>
      <c r="LX475">
        <v>0</v>
      </c>
      <c r="LY475">
        <v>0</v>
      </c>
      <c r="LZ475">
        <v>0</v>
      </c>
      <c r="MA475">
        <v>0</v>
      </c>
      <c r="MB475">
        <v>0</v>
      </c>
      <c r="MC475">
        <v>0</v>
      </c>
      <c r="MD475">
        <v>0</v>
      </c>
      <c r="ME475">
        <v>0</v>
      </c>
      <c r="MF475">
        <v>0</v>
      </c>
      <c r="MG475">
        <v>0</v>
      </c>
      <c r="MH475">
        <v>0</v>
      </c>
      <c r="MI475">
        <v>0</v>
      </c>
      <c r="MJ475">
        <v>0</v>
      </c>
      <c r="MK475">
        <v>0</v>
      </c>
      <c r="ML475">
        <v>0</v>
      </c>
      <c r="MM475">
        <v>0</v>
      </c>
      <c r="MN475">
        <v>0</v>
      </c>
      <c r="MO475">
        <v>0</v>
      </c>
      <c r="MP475">
        <v>0</v>
      </c>
      <c r="MQ475">
        <v>0</v>
      </c>
      <c r="MR475">
        <v>0</v>
      </c>
      <c r="MS475">
        <v>0</v>
      </c>
      <c r="MT475">
        <v>0</v>
      </c>
      <c r="MU475">
        <v>0</v>
      </c>
      <c r="MV475">
        <v>0</v>
      </c>
      <c r="MW475">
        <v>0</v>
      </c>
      <c r="MX475">
        <v>0</v>
      </c>
      <c r="MY475">
        <v>0</v>
      </c>
      <c r="MZ475">
        <v>0</v>
      </c>
      <c r="NA475">
        <v>0</v>
      </c>
      <c r="NB475">
        <v>0</v>
      </c>
      <c r="NC475">
        <v>0</v>
      </c>
      <c r="ND475">
        <v>0</v>
      </c>
      <c r="NE475">
        <v>0</v>
      </c>
    </row>
    <row r="476" spans="41:369" x14ac:dyDescent="0.45">
      <c r="AO476">
        <v>0</v>
      </c>
      <c r="AP476">
        <v>0</v>
      </c>
      <c r="AQ476">
        <v>0</v>
      </c>
      <c r="AR476">
        <v>0</v>
      </c>
      <c r="AS476">
        <v>0</v>
      </c>
      <c r="AT476">
        <v>0</v>
      </c>
      <c r="AU476">
        <v>0</v>
      </c>
      <c r="AV476">
        <v>0</v>
      </c>
      <c r="AW476" t="str">
        <v/>
      </c>
      <c r="AX476">
        <v>255</v>
      </c>
      <c r="AY476" s="5" t="str">
        <v/>
      </c>
      <c r="AZ476">
        <v>0</v>
      </c>
      <c r="BA476">
        <v>0</v>
      </c>
      <c r="BB476">
        <v>0</v>
      </c>
      <c r="BC476">
        <v>0</v>
      </c>
      <c r="BD476">
        <v>0</v>
      </c>
      <c r="BE476">
        <v>0</v>
      </c>
      <c r="BF476">
        <v>0</v>
      </c>
      <c r="BG476">
        <v>0</v>
      </c>
      <c r="BH476">
        <v>0</v>
      </c>
      <c r="BI476" t="str">
        <v/>
      </c>
      <c r="BK476">
        <v>470</v>
      </c>
      <c r="BL476">
        <v>0</v>
      </c>
      <c r="BM476">
        <v>0</v>
      </c>
      <c r="BN476">
        <v>0</v>
      </c>
      <c r="BO476">
        <v>0</v>
      </c>
      <c r="BP476">
        <v>0</v>
      </c>
      <c r="BQ476">
        <v>0</v>
      </c>
      <c r="BR476">
        <v>0</v>
      </c>
      <c r="BS476">
        <v>0</v>
      </c>
      <c r="BT476">
        <v>0</v>
      </c>
      <c r="BU476">
        <v>0</v>
      </c>
      <c r="BV476">
        <v>0</v>
      </c>
      <c r="BW476">
        <v>0</v>
      </c>
      <c r="BX476">
        <v>0</v>
      </c>
      <c r="BY476">
        <v>0</v>
      </c>
      <c r="BZ476">
        <v>0</v>
      </c>
      <c r="CA476">
        <v>0</v>
      </c>
      <c r="CB476">
        <v>0</v>
      </c>
      <c r="CC476">
        <v>0</v>
      </c>
      <c r="CD476">
        <v>0</v>
      </c>
      <c r="CE476">
        <v>0</v>
      </c>
      <c r="CF476">
        <v>0</v>
      </c>
      <c r="CG476">
        <v>0</v>
      </c>
      <c r="CH476">
        <v>0</v>
      </c>
      <c r="CI476">
        <v>0</v>
      </c>
      <c r="CJ476">
        <v>0</v>
      </c>
      <c r="CK476">
        <v>0</v>
      </c>
      <c r="CL476">
        <v>0</v>
      </c>
      <c r="CM476">
        <v>0</v>
      </c>
      <c r="CN476">
        <v>0</v>
      </c>
      <c r="CO476">
        <v>0</v>
      </c>
      <c r="CP476">
        <v>0</v>
      </c>
      <c r="CQ476">
        <v>0</v>
      </c>
      <c r="CR476">
        <v>0</v>
      </c>
      <c r="CS476">
        <v>0</v>
      </c>
      <c r="CT476">
        <v>0</v>
      </c>
      <c r="CU476">
        <v>0</v>
      </c>
      <c r="CV476">
        <v>0</v>
      </c>
      <c r="CW476">
        <v>0</v>
      </c>
      <c r="CX476">
        <v>0</v>
      </c>
      <c r="CY476">
        <v>0</v>
      </c>
      <c r="CZ476">
        <v>0</v>
      </c>
      <c r="DA476">
        <v>0</v>
      </c>
      <c r="DB476">
        <v>0</v>
      </c>
      <c r="DC476">
        <v>0</v>
      </c>
      <c r="DD476">
        <v>0</v>
      </c>
      <c r="DE476">
        <v>0</v>
      </c>
      <c r="DF476">
        <v>0</v>
      </c>
      <c r="DG476">
        <v>0</v>
      </c>
      <c r="DH476">
        <v>0</v>
      </c>
      <c r="DI476">
        <v>0</v>
      </c>
      <c r="DJ476">
        <v>0</v>
      </c>
      <c r="DK476">
        <v>0</v>
      </c>
      <c r="DL476">
        <v>0</v>
      </c>
      <c r="DM476">
        <v>0</v>
      </c>
      <c r="DN476">
        <v>0</v>
      </c>
      <c r="DO476">
        <v>0</v>
      </c>
      <c r="DP476">
        <v>0</v>
      </c>
      <c r="DQ476">
        <v>0</v>
      </c>
      <c r="DR476">
        <v>0</v>
      </c>
      <c r="DS476">
        <v>0</v>
      </c>
      <c r="DT476">
        <v>0</v>
      </c>
      <c r="DU476">
        <v>0</v>
      </c>
      <c r="DV476">
        <v>0</v>
      </c>
      <c r="DW476">
        <v>0</v>
      </c>
      <c r="DX476">
        <v>0</v>
      </c>
      <c r="DY476">
        <v>0</v>
      </c>
      <c r="DZ476">
        <v>0</v>
      </c>
      <c r="EA476">
        <v>0</v>
      </c>
      <c r="EB476">
        <v>0</v>
      </c>
      <c r="EC476">
        <v>0</v>
      </c>
      <c r="ED476">
        <v>0</v>
      </c>
      <c r="EE476">
        <v>0</v>
      </c>
      <c r="EF476">
        <v>0</v>
      </c>
      <c r="EG476">
        <v>0</v>
      </c>
      <c r="EH476">
        <v>0</v>
      </c>
      <c r="EI476">
        <v>0</v>
      </c>
      <c r="EJ476">
        <v>0</v>
      </c>
      <c r="EK476">
        <v>0</v>
      </c>
      <c r="EL476">
        <v>0</v>
      </c>
      <c r="EM476">
        <v>0</v>
      </c>
      <c r="EN476">
        <v>0</v>
      </c>
      <c r="EO476">
        <v>0</v>
      </c>
      <c r="EP476">
        <v>0</v>
      </c>
      <c r="EQ476">
        <v>0</v>
      </c>
      <c r="ER476">
        <v>0</v>
      </c>
      <c r="ES476">
        <v>0</v>
      </c>
      <c r="ET476">
        <v>0</v>
      </c>
      <c r="EU476">
        <v>0</v>
      </c>
      <c r="EV476">
        <v>0</v>
      </c>
      <c r="EW476">
        <v>0</v>
      </c>
      <c r="EX476">
        <v>0</v>
      </c>
      <c r="EY476">
        <v>0</v>
      </c>
      <c r="EZ476">
        <v>0</v>
      </c>
      <c r="FA476">
        <v>0</v>
      </c>
      <c r="FB476">
        <v>0</v>
      </c>
      <c r="FC476">
        <v>0</v>
      </c>
      <c r="FD476">
        <v>0</v>
      </c>
      <c r="FE476">
        <v>0</v>
      </c>
      <c r="FF476">
        <v>0</v>
      </c>
      <c r="FG476">
        <v>0</v>
      </c>
      <c r="FH476">
        <v>0</v>
      </c>
      <c r="FI476">
        <v>0</v>
      </c>
      <c r="FJ476">
        <v>0</v>
      </c>
      <c r="FK476">
        <v>0</v>
      </c>
      <c r="FL476">
        <v>0</v>
      </c>
      <c r="FM476">
        <v>0</v>
      </c>
      <c r="FN476">
        <v>0</v>
      </c>
      <c r="FO476">
        <v>0</v>
      </c>
      <c r="FP476">
        <v>0</v>
      </c>
      <c r="FQ476">
        <v>0</v>
      </c>
      <c r="FR476">
        <v>0</v>
      </c>
      <c r="FS476">
        <v>0</v>
      </c>
      <c r="FT476">
        <v>0</v>
      </c>
      <c r="FU476">
        <v>0</v>
      </c>
      <c r="FV476">
        <v>0</v>
      </c>
      <c r="FW476">
        <v>0</v>
      </c>
      <c r="FX476">
        <v>0</v>
      </c>
      <c r="FY476">
        <v>0</v>
      </c>
      <c r="FZ476">
        <v>0</v>
      </c>
      <c r="GA476">
        <v>0</v>
      </c>
      <c r="GB476">
        <v>0</v>
      </c>
      <c r="GC476">
        <v>0</v>
      </c>
      <c r="GD476">
        <v>0</v>
      </c>
      <c r="GE476">
        <v>0</v>
      </c>
      <c r="GF476">
        <v>0</v>
      </c>
      <c r="GG476">
        <v>0</v>
      </c>
      <c r="GH476">
        <v>0</v>
      </c>
      <c r="GI476">
        <v>0</v>
      </c>
      <c r="GJ476">
        <v>0</v>
      </c>
      <c r="GK476">
        <v>0</v>
      </c>
      <c r="GL476">
        <v>0</v>
      </c>
      <c r="GM476">
        <v>0</v>
      </c>
      <c r="GN476">
        <v>0</v>
      </c>
      <c r="GO476">
        <v>0</v>
      </c>
      <c r="GP476">
        <v>0</v>
      </c>
      <c r="GQ476">
        <v>0</v>
      </c>
      <c r="GR476">
        <v>0</v>
      </c>
      <c r="GS476">
        <v>0</v>
      </c>
      <c r="GT476">
        <v>0</v>
      </c>
      <c r="GU476">
        <v>0</v>
      </c>
      <c r="GV476">
        <v>0</v>
      </c>
      <c r="GW476">
        <v>0</v>
      </c>
      <c r="GX476">
        <v>0</v>
      </c>
      <c r="GY476">
        <v>0</v>
      </c>
      <c r="GZ476">
        <v>0</v>
      </c>
      <c r="HA476">
        <v>0</v>
      </c>
      <c r="HB476">
        <v>0</v>
      </c>
      <c r="HC476">
        <v>0</v>
      </c>
      <c r="HD476">
        <v>0</v>
      </c>
      <c r="HE476">
        <v>0</v>
      </c>
      <c r="HF476">
        <v>0</v>
      </c>
      <c r="HG476">
        <v>0</v>
      </c>
      <c r="HH476">
        <v>0</v>
      </c>
      <c r="HI476">
        <v>0</v>
      </c>
      <c r="HJ476">
        <v>0</v>
      </c>
      <c r="HK476">
        <v>0</v>
      </c>
      <c r="HL476">
        <v>0</v>
      </c>
      <c r="HM476">
        <v>0</v>
      </c>
      <c r="HN476">
        <v>0</v>
      </c>
      <c r="HO476">
        <v>0</v>
      </c>
      <c r="HP476">
        <v>0</v>
      </c>
      <c r="HQ476">
        <v>0</v>
      </c>
      <c r="HR476">
        <v>0</v>
      </c>
      <c r="HS476">
        <v>0</v>
      </c>
      <c r="HT476">
        <v>0</v>
      </c>
      <c r="HU476">
        <v>0</v>
      </c>
      <c r="HV476">
        <v>0</v>
      </c>
      <c r="HW476">
        <v>0</v>
      </c>
      <c r="HX476">
        <v>0</v>
      </c>
      <c r="HY476">
        <v>0</v>
      </c>
      <c r="HZ476">
        <v>0</v>
      </c>
      <c r="IA476">
        <v>0</v>
      </c>
      <c r="IB476">
        <v>0</v>
      </c>
      <c r="IC476">
        <v>0</v>
      </c>
      <c r="ID476">
        <v>0</v>
      </c>
      <c r="IE476">
        <v>0</v>
      </c>
      <c r="IF476">
        <v>0</v>
      </c>
      <c r="IG476">
        <v>0</v>
      </c>
      <c r="IH476">
        <v>0</v>
      </c>
      <c r="II476">
        <v>0</v>
      </c>
      <c r="IJ476">
        <v>0</v>
      </c>
      <c r="IK476">
        <v>0</v>
      </c>
      <c r="IL476">
        <v>0</v>
      </c>
      <c r="IM476">
        <v>0</v>
      </c>
      <c r="IN476">
        <v>0</v>
      </c>
      <c r="IO476">
        <v>0</v>
      </c>
      <c r="IP476">
        <v>0</v>
      </c>
      <c r="IQ476">
        <v>0</v>
      </c>
      <c r="IR476">
        <v>0</v>
      </c>
      <c r="IS476">
        <v>0</v>
      </c>
      <c r="IT476">
        <v>0</v>
      </c>
      <c r="IU476">
        <v>0</v>
      </c>
      <c r="IV476">
        <v>0</v>
      </c>
      <c r="IW476">
        <v>0</v>
      </c>
      <c r="IX476">
        <v>0</v>
      </c>
      <c r="IY476">
        <v>0</v>
      </c>
      <c r="IZ476">
        <v>0</v>
      </c>
      <c r="JA476">
        <v>0</v>
      </c>
      <c r="JB476">
        <v>0</v>
      </c>
      <c r="JC476">
        <v>0</v>
      </c>
      <c r="JD476">
        <v>0</v>
      </c>
      <c r="JE476">
        <v>0</v>
      </c>
      <c r="JF476">
        <v>0</v>
      </c>
      <c r="JG476">
        <v>0</v>
      </c>
      <c r="JH476">
        <v>0</v>
      </c>
      <c r="JI476">
        <v>0</v>
      </c>
      <c r="JJ476">
        <v>0</v>
      </c>
      <c r="JK476">
        <v>0</v>
      </c>
      <c r="JL476">
        <v>0</v>
      </c>
      <c r="JM476">
        <v>0</v>
      </c>
      <c r="JN476">
        <v>0</v>
      </c>
      <c r="JO476">
        <v>0</v>
      </c>
      <c r="JP476">
        <v>0</v>
      </c>
      <c r="JQ476">
        <v>0</v>
      </c>
      <c r="JR476">
        <v>0</v>
      </c>
      <c r="JS476">
        <v>0</v>
      </c>
      <c r="JT476">
        <v>0</v>
      </c>
      <c r="JU476">
        <v>0</v>
      </c>
      <c r="JV476">
        <v>0</v>
      </c>
      <c r="JW476">
        <v>0</v>
      </c>
      <c r="JX476">
        <v>0</v>
      </c>
      <c r="JY476">
        <v>0</v>
      </c>
      <c r="JZ476">
        <v>0</v>
      </c>
      <c r="KA476">
        <v>0</v>
      </c>
      <c r="KB476">
        <v>0</v>
      </c>
      <c r="KC476">
        <v>0</v>
      </c>
      <c r="KD476">
        <v>0</v>
      </c>
      <c r="KE476">
        <v>0</v>
      </c>
      <c r="KF476">
        <v>0</v>
      </c>
      <c r="KG476">
        <v>0</v>
      </c>
      <c r="KH476">
        <v>0</v>
      </c>
      <c r="KI476">
        <v>0</v>
      </c>
      <c r="KJ476">
        <v>0</v>
      </c>
      <c r="KK476">
        <v>0</v>
      </c>
      <c r="KL476">
        <v>0</v>
      </c>
      <c r="KM476">
        <v>0</v>
      </c>
      <c r="KN476">
        <v>0</v>
      </c>
      <c r="KO476">
        <v>0</v>
      </c>
      <c r="KP476">
        <v>0</v>
      </c>
      <c r="KQ476">
        <v>0</v>
      </c>
      <c r="KR476">
        <v>0</v>
      </c>
      <c r="KS476">
        <v>0</v>
      </c>
      <c r="KT476">
        <v>0</v>
      </c>
      <c r="KU476">
        <v>0</v>
      </c>
      <c r="KV476">
        <v>0</v>
      </c>
      <c r="KW476">
        <v>0</v>
      </c>
      <c r="KX476">
        <v>0</v>
      </c>
      <c r="KY476">
        <v>0</v>
      </c>
      <c r="KZ476">
        <v>0</v>
      </c>
      <c r="LA476">
        <v>0</v>
      </c>
      <c r="LB476">
        <v>0</v>
      </c>
      <c r="LC476">
        <v>0</v>
      </c>
      <c r="LD476">
        <v>0</v>
      </c>
      <c r="LE476">
        <v>0</v>
      </c>
      <c r="LF476">
        <v>0</v>
      </c>
      <c r="LG476">
        <v>0</v>
      </c>
      <c r="LH476">
        <v>0</v>
      </c>
      <c r="LI476">
        <v>0</v>
      </c>
      <c r="LJ476">
        <v>0</v>
      </c>
      <c r="LK476">
        <v>0</v>
      </c>
      <c r="LL476">
        <v>0</v>
      </c>
      <c r="LM476">
        <v>0</v>
      </c>
      <c r="LN476">
        <v>0</v>
      </c>
      <c r="LO476">
        <v>0</v>
      </c>
      <c r="LP476">
        <v>0</v>
      </c>
      <c r="LQ476">
        <v>0</v>
      </c>
      <c r="LR476">
        <v>0</v>
      </c>
      <c r="LS476">
        <v>0</v>
      </c>
      <c r="LT476">
        <v>0</v>
      </c>
      <c r="LU476">
        <v>0</v>
      </c>
      <c r="LV476">
        <v>0</v>
      </c>
      <c r="LW476">
        <v>0</v>
      </c>
      <c r="LX476">
        <v>0</v>
      </c>
      <c r="LY476">
        <v>0</v>
      </c>
      <c r="LZ476">
        <v>0</v>
      </c>
      <c r="MA476">
        <v>0</v>
      </c>
      <c r="MB476">
        <v>0</v>
      </c>
      <c r="MC476">
        <v>0</v>
      </c>
      <c r="MD476">
        <v>0</v>
      </c>
      <c r="ME476">
        <v>0</v>
      </c>
      <c r="MF476">
        <v>0</v>
      </c>
      <c r="MG476">
        <v>0</v>
      </c>
      <c r="MH476">
        <v>0</v>
      </c>
      <c r="MI476">
        <v>0</v>
      </c>
      <c r="MJ476">
        <v>0</v>
      </c>
      <c r="MK476">
        <v>0</v>
      </c>
      <c r="ML476">
        <v>0</v>
      </c>
      <c r="MM476">
        <v>0</v>
      </c>
      <c r="MN476">
        <v>0</v>
      </c>
      <c r="MO476">
        <v>0</v>
      </c>
      <c r="MP476">
        <v>0</v>
      </c>
      <c r="MQ476">
        <v>0</v>
      </c>
      <c r="MR476">
        <v>0</v>
      </c>
      <c r="MS476">
        <v>0</v>
      </c>
      <c r="MT476">
        <v>0</v>
      </c>
      <c r="MU476">
        <v>0</v>
      </c>
      <c r="MV476">
        <v>0</v>
      </c>
      <c r="MW476">
        <v>0</v>
      </c>
      <c r="MX476">
        <v>0</v>
      </c>
      <c r="MY476">
        <v>0</v>
      </c>
      <c r="MZ476">
        <v>0</v>
      </c>
      <c r="NA476">
        <v>0</v>
      </c>
      <c r="NB476">
        <v>0</v>
      </c>
      <c r="NC476">
        <v>0</v>
      </c>
      <c r="ND476">
        <v>0</v>
      </c>
      <c r="NE476">
        <v>0</v>
      </c>
    </row>
    <row r="477" spans="41:369" x14ac:dyDescent="0.45">
      <c r="AO477">
        <v>0</v>
      </c>
      <c r="AP477">
        <v>0</v>
      </c>
      <c r="AQ477">
        <v>0</v>
      </c>
      <c r="AR477">
        <v>0</v>
      </c>
      <c r="AS477">
        <v>0</v>
      </c>
      <c r="AT477">
        <v>0</v>
      </c>
      <c r="AU477">
        <v>0</v>
      </c>
      <c r="AV477">
        <v>0</v>
      </c>
      <c r="AW477" t="str">
        <v/>
      </c>
      <c r="AX477">
        <v>255</v>
      </c>
      <c r="AY477" s="5" t="str">
        <v/>
      </c>
      <c r="AZ477">
        <v>0</v>
      </c>
      <c r="BA477">
        <v>0</v>
      </c>
      <c r="BB477">
        <v>0</v>
      </c>
      <c r="BC477">
        <v>0</v>
      </c>
      <c r="BD477">
        <v>0</v>
      </c>
      <c r="BE477">
        <v>0</v>
      </c>
      <c r="BF477">
        <v>0</v>
      </c>
      <c r="BG477">
        <v>0</v>
      </c>
      <c r="BH477">
        <v>0</v>
      </c>
      <c r="BI477" t="str">
        <v/>
      </c>
      <c r="BK477">
        <v>471</v>
      </c>
      <c r="BL477">
        <v>0</v>
      </c>
      <c r="BM477">
        <v>0</v>
      </c>
      <c r="BN477">
        <v>0</v>
      </c>
      <c r="BO477">
        <v>0</v>
      </c>
      <c r="BP477">
        <v>0</v>
      </c>
      <c r="BQ477">
        <v>0</v>
      </c>
      <c r="BR477">
        <v>0</v>
      </c>
      <c r="BS477">
        <v>0</v>
      </c>
      <c r="BT477">
        <v>0</v>
      </c>
      <c r="BU477">
        <v>0</v>
      </c>
      <c r="BV477">
        <v>0</v>
      </c>
      <c r="BW477">
        <v>0</v>
      </c>
      <c r="BX477">
        <v>0</v>
      </c>
      <c r="BY477">
        <v>0</v>
      </c>
      <c r="BZ477">
        <v>0</v>
      </c>
      <c r="CA477">
        <v>0</v>
      </c>
      <c r="CB477">
        <v>0</v>
      </c>
      <c r="CC477">
        <v>0</v>
      </c>
      <c r="CD477">
        <v>0</v>
      </c>
      <c r="CE477">
        <v>0</v>
      </c>
      <c r="CF477">
        <v>0</v>
      </c>
      <c r="CG477">
        <v>0</v>
      </c>
      <c r="CH477">
        <v>0</v>
      </c>
      <c r="CI477">
        <v>0</v>
      </c>
      <c r="CJ477">
        <v>0</v>
      </c>
      <c r="CK477">
        <v>0</v>
      </c>
      <c r="CL477">
        <v>0</v>
      </c>
      <c r="CM477">
        <v>0</v>
      </c>
      <c r="CN477">
        <v>0</v>
      </c>
      <c r="CO477">
        <v>0</v>
      </c>
      <c r="CP477">
        <v>0</v>
      </c>
      <c r="CQ477">
        <v>0</v>
      </c>
      <c r="CR477">
        <v>0</v>
      </c>
      <c r="CS477">
        <v>0</v>
      </c>
      <c r="CT477">
        <v>0</v>
      </c>
      <c r="CU477">
        <v>0</v>
      </c>
      <c r="CV477">
        <v>0</v>
      </c>
      <c r="CW477">
        <v>0</v>
      </c>
      <c r="CX477">
        <v>0</v>
      </c>
      <c r="CY477">
        <v>0</v>
      </c>
      <c r="CZ477">
        <v>0</v>
      </c>
      <c r="DA477">
        <v>0</v>
      </c>
      <c r="DB477">
        <v>0</v>
      </c>
      <c r="DC477">
        <v>0</v>
      </c>
      <c r="DD477">
        <v>0</v>
      </c>
      <c r="DE477">
        <v>0</v>
      </c>
      <c r="DF477">
        <v>0</v>
      </c>
      <c r="DG477">
        <v>0</v>
      </c>
      <c r="DH477">
        <v>0</v>
      </c>
      <c r="DI477">
        <v>0</v>
      </c>
      <c r="DJ477">
        <v>0</v>
      </c>
      <c r="DK477">
        <v>0</v>
      </c>
      <c r="DL477">
        <v>0</v>
      </c>
      <c r="DM477">
        <v>0</v>
      </c>
      <c r="DN477">
        <v>0</v>
      </c>
      <c r="DO477">
        <v>0</v>
      </c>
      <c r="DP477">
        <v>0</v>
      </c>
      <c r="DQ477">
        <v>0</v>
      </c>
      <c r="DR477">
        <v>0</v>
      </c>
      <c r="DS477">
        <v>0</v>
      </c>
      <c r="DT477">
        <v>0</v>
      </c>
      <c r="DU477">
        <v>0</v>
      </c>
      <c r="DV477">
        <v>0</v>
      </c>
      <c r="DW477">
        <v>0</v>
      </c>
      <c r="DX477">
        <v>0</v>
      </c>
      <c r="DY477">
        <v>0</v>
      </c>
      <c r="DZ477">
        <v>0</v>
      </c>
      <c r="EA477">
        <v>0</v>
      </c>
      <c r="EB477">
        <v>0</v>
      </c>
      <c r="EC477">
        <v>0</v>
      </c>
      <c r="ED477">
        <v>0</v>
      </c>
      <c r="EE477">
        <v>0</v>
      </c>
      <c r="EF477">
        <v>0</v>
      </c>
      <c r="EG477">
        <v>0</v>
      </c>
      <c r="EH477">
        <v>0</v>
      </c>
      <c r="EI477">
        <v>0</v>
      </c>
      <c r="EJ477">
        <v>0</v>
      </c>
      <c r="EK477">
        <v>0</v>
      </c>
      <c r="EL477">
        <v>0</v>
      </c>
      <c r="EM477">
        <v>0</v>
      </c>
      <c r="EN477">
        <v>0</v>
      </c>
      <c r="EO477">
        <v>0</v>
      </c>
      <c r="EP477">
        <v>0</v>
      </c>
      <c r="EQ477">
        <v>0</v>
      </c>
      <c r="ER477">
        <v>0</v>
      </c>
      <c r="ES477">
        <v>0</v>
      </c>
      <c r="ET477">
        <v>0</v>
      </c>
      <c r="EU477">
        <v>0</v>
      </c>
      <c r="EV477">
        <v>0</v>
      </c>
      <c r="EW477">
        <v>0</v>
      </c>
      <c r="EX477">
        <v>0</v>
      </c>
      <c r="EY477">
        <v>0</v>
      </c>
      <c r="EZ477">
        <v>0</v>
      </c>
      <c r="FA477">
        <v>0</v>
      </c>
      <c r="FB477">
        <v>0</v>
      </c>
      <c r="FC477">
        <v>0</v>
      </c>
      <c r="FD477">
        <v>0</v>
      </c>
      <c r="FE477">
        <v>0</v>
      </c>
      <c r="FF477">
        <v>0</v>
      </c>
      <c r="FG477">
        <v>0</v>
      </c>
      <c r="FH477">
        <v>0</v>
      </c>
      <c r="FI477">
        <v>0</v>
      </c>
      <c r="FJ477">
        <v>0</v>
      </c>
      <c r="FK477">
        <v>0</v>
      </c>
      <c r="FL477">
        <v>0</v>
      </c>
      <c r="FM477">
        <v>0</v>
      </c>
      <c r="FN477">
        <v>0</v>
      </c>
      <c r="FO477">
        <v>0</v>
      </c>
      <c r="FP477">
        <v>0</v>
      </c>
      <c r="FQ477">
        <v>0</v>
      </c>
      <c r="FR477">
        <v>0</v>
      </c>
      <c r="FS477">
        <v>0</v>
      </c>
      <c r="FT477">
        <v>0</v>
      </c>
      <c r="FU477">
        <v>0</v>
      </c>
      <c r="FV477">
        <v>0</v>
      </c>
      <c r="FW477">
        <v>0</v>
      </c>
      <c r="FX477">
        <v>0</v>
      </c>
      <c r="FY477">
        <v>0</v>
      </c>
      <c r="FZ477">
        <v>0</v>
      </c>
      <c r="GA477">
        <v>0</v>
      </c>
      <c r="GB477">
        <v>0</v>
      </c>
      <c r="GC477">
        <v>0</v>
      </c>
      <c r="GD477">
        <v>0</v>
      </c>
      <c r="GE477">
        <v>0</v>
      </c>
      <c r="GF477">
        <v>0</v>
      </c>
      <c r="GG477">
        <v>0</v>
      </c>
      <c r="GH477">
        <v>0</v>
      </c>
      <c r="GI477">
        <v>0</v>
      </c>
      <c r="GJ477">
        <v>0</v>
      </c>
      <c r="GK477">
        <v>0</v>
      </c>
      <c r="GL477">
        <v>0</v>
      </c>
      <c r="GM477">
        <v>0</v>
      </c>
      <c r="GN477">
        <v>0</v>
      </c>
      <c r="GO477">
        <v>0</v>
      </c>
      <c r="GP477">
        <v>0</v>
      </c>
      <c r="GQ477">
        <v>0</v>
      </c>
      <c r="GR477">
        <v>0</v>
      </c>
      <c r="GS477">
        <v>0</v>
      </c>
      <c r="GT477">
        <v>0</v>
      </c>
      <c r="GU477">
        <v>0</v>
      </c>
      <c r="GV477">
        <v>0</v>
      </c>
      <c r="GW477">
        <v>0</v>
      </c>
      <c r="GX477">
        <v>0</v>
      </c>
      <c r="GY477">
        <v>0</v>
      </c>
      <c r="GZ477">
        <v>0</v>
      </c>
      <c r="HA477">
        <v>0</v>
      </c>
      <c r="HB477">
        <v>0</v>
      </c>
      <c r="HC477">
        <v>0</v>
      </c>
      <c r="HD477">
        <v>0</v>
      </c>
      <c r="HE477">
        <v>0</v>
      </c>
      <c r="HF477">
        <v>0</v>
      </c>
      <c r="HG477">
        <v>0</v>
      </c>
      <c r="HH477">
        <v>0</v>
      </c>
      <c r="HI477">
        <v>0</v>
      </c>
      <c r="HJ477">
        <v>0</v>
      </c>
      <c r="HK477">
        <v>0</v>
      </c>
      <c r="HL477">
        <v>0</v>
      </c>
      <c r="HM477">
        <v>0</v>
      </c>
      <c r="HN477">
        <v>0</v>
      </c>
      <c r="HO477">
        <v>0</v>
      </c>
      <c r="HP477">
        <v>0</v>
      </c>
      <c r="HQ477">
        <v>0</v>
      </c>
      <c r="HR477">
        <v>0</v>
      </c>
      <c r="HS477">
        <v>0</v>
      </c>
      <c r="HT477">
        <v>0</v>
      </c>
      <c r="HU477">
        <v>0</v>
      </c>
      <c r="HV477">
        <v>0</v>
      </c>
      <c r="HW477">
        <v>0</v>
      </c>
      <c r="HX477">
        <v>0</v>
      </c>
      <c r="HY477">
        <v>0</v>
      </c>
      <c r="HZ477">
        <v>0</v>
      </c>
      <c r="IA477">
        <v>0</v>
      </c>
      <c r="IB477">
        <v>0</v>
      </c>
      <c r="IC477">
        <v>0</v>
      </c>
      <c r="ID477">
        <v>0</v>
      </c>
      <c r="IE477">
        <v>0</v>
      </c>
      <c r="IF477">
        <v>0</v>
      </c>
      <c r="IG477">
        <v>0</v>
      </c>
      <c r="IH477">
        <v>0</v>
      </c>
      <c r="II477">
        <v>0</v>
      </c>
      <c r="IJ477">
        <v>0</v>
      </c>
      <c r="IK477">
        <v>0</v>
      </c>
      <c r="IL477">
        <v>0</v>
      </c>
      <c r="IM477">
        <v>0</v>
      </c>
      <c r="IN477">
        <v>0</v>
      </c>
      <c r="IO477">
        <v>0</v>
      </c>
      <c r="IP477">
        <v>0</v>
      </c>
      <c r="IQ477">
        <v>0</v>
      </c>
      <c r="IR477">
        <v>0</v>
      </c>
      <c r="IS477">
        <v>0</v>
      </c>
      <c r="IT477">
        <v>0</v>
      </c>
      <c r="IU477">
        <v>0</v>
      </c>
      <c r="IV477">
        <v>0</v>
      </c>
      <c r="IW477">
        <v>0</v>
      </c>
      <c r="IX477">
        <v>0</v>
      </c>
      <c r="IY477">
        <v>0</v>
      </c>
      <c r="IZ477">
        <v>0</v>
      </c>
      <c r="JA477">
        <v>0</v>
      </c>
      <c r="JB477">
        <v>0</v>
      </c>
      <c r="JC477">
        <v>0</v>
      </c>
      <c r="JD477">
        <v>0</v>
      </c>
      <c r="JE477">
        <v>0</v>
      </c>
      <c r="JF477">
        <v>0</v>
      </c>
      <c r="JG477">
        <v>0</v>
      </c>
      <c r="JH477">
        <v>0</v>
      </c>
      <c r="JI477">
        <v>0</v>
      </c>
      <c r="JJ477">
        <v>0</v>
      </c>
      <c r="JK477">
        <v>0</v>
      </c>
      <c r="JL477">
        <v>0</v>
      </c>
      <c r="JM477">
        <v>0</v>
      </c>
      <c r="JN477">
        <v>0</v>
      </c>
      <c r="JO477">
        <v>0</v>
      </c>
      <c r="JP477">
        <v>0</v>
      </c>
      <c r="JQ477">
        <v>0</v>
      </c>
      <c r="JR477">
        <v>0</v>
      </c>
      <c r="JS477">
        <v>0</v>
      </c>
      <c r="JT477">
        <v>0</v>
      </c>
      <c r="JU477">
        <v>0</v>
      </c>
      <c r="JV477">
        <v>0</v>
      </c>
      <c r="JW477">
        <v>0</v>
      </c>
      <c r="JX477">
        <v>0</v>
      </c>
      <c r="JY477">
        <v>0</v>
      </c>
      <c r="JZ477">
        <v>0</v>
      </c>
      <c r="KA477">
        <v>0</v>
      </c>
      <c r="KB477">
        <v>0</v>
      </c>
      <c r="KC477">
        <v>0</v>
      </c>
      <c r="KD477">
        <v>0</v>
      </c>
      <c r="KE477">
        <v>0</v>
      </c>
      <c r="KF477">
        <v>0</v>
      </c>
      <c r="KG477">
        <v>0</v>
      </c>
      <c r="KH477">
        <v>0</v>
      </c>
      <c r="KI477">
        <v>0</v>
      </c>
      <c r="KJ477">
        <v>0</v>
      </c>
      <c r="KK477">
        <v>0</v>
      </c>
      <c r="KL477">
        <v>0</v>
      </c>
      <c r="KM477">
        <v>0</v>
      </c>
      <c r="KN477">
        <v>0</v>
      </c>
      <c r="KO477">
        <v>0</v>
      </c>
      <c r="KP477">
        <v>0</v>
      </c>
      <c r="KQ477">
        <v>0</v>
      </c>
      <c r="KR477">
        <v>0</v>
      </c>
      <c r="KS477">
        <v>0</v>
      </c>
      <c r="KT477">
        <v>0</v>
      </c>
      <c r="KU477">
        <v>0</v>
      </c>
      <c r="KV477">
        <v>0</v>
      </c>
      <c r="KW477">
        <v>0</v>
      </c>
      <c r="KX477">
        <v>0</v>
      </c>
      <c r="KY477">
        <v>0</v>
      </c>
      <c r="KZ477">
        <v>0</v>
      </c>
      <c r="LA477">
        <v>0</v>
      </c>
      <c r="LB477">
        <v>0</v>
      </c>
      <c r="LC477">
        <v>0</v>
      </c>
      <c r="LD477">
        <v>0</v>
      </c>
      <c r="LE477">
        <v>0</v>
      </c>
      <c r="LF477">
        <v>0</v>
      </c>
      <c r="LG477">
        <v>0</v>
      </c>
      <c r="LH477">
        <v>0</v>
      </c>
      <c r="LI477">
        <v>0</v>
      </c>
      <c r="LJ477">
        <v>0</v>
      </c>
      <c r="LK477">
        <v>0</v>
      </c>
      <c r="LL477">
        <v>0</v>
      </c>
      <c r="LM477">
        <v>0</v>
      </c>
      <c r="LN477">
        <v>0</v>
      </c>
      <c r="LO477">
        <v>0</v>
      </c>
      <c r="LP477">
        <v>0</v>
      </c>
      <c r="LQ477">
        <v>0</v>
      </c>
      <c r="LR477">
        <v>0</v>
      </c>
      <c r="LS477">
        <v>0</v>
      </c>
      <c r="LT477">
        <v>0</v>
      </c>
      <c r="LU477">
        <v>0</v>
      </c>
      <c r="LV477">
        <v>0</v>
      </c>
      <c r="LW477">
        <v>0</v>
      </c>
      <c r="LX477">
        <v>0</v>
      </c>
      <c r="LY477">
        <v>0</v>
      </c>
      <c r="LZ477">
        <v>0</v>
      </c>
      <c r="MA477">
        <v>0</v>
      </c>
      <c r="MB477">
        <v>0</v>
      </c>
      <c r="MC477">
        <v>0</v>
      </c>
      <c r="MD477">
        <v>0</v>
      </c>
      <c r="ME477">
        <v>0</v>
      </c>
      <c r="MF477">
        <v>0</v>
      </c>
      <c r="MG477">
        <v>0</v>
      </c>
      <c r="MH477">
        <v>0</v>
      </c>
      <c r="MI477">
        <v>0</v>
      </c>
      <c r="MJ477">
        <v>0</v>
      </c>
      <c r="MK477">
        <v>0</v>
      </c>
      <c r="ML477">
        <v>0</v>
      </c>
      <c r="MM477">
        <v>0</v>
      </c>
      <c r="MN477">
        <v>0</v>
      </c>
      <c r="MO477">
        <v>0</v>
      </c>
      <c r="MP477">
        <v>0</v>
      </c>
      <c r="MQ477">
        <v>0</v>
      </c>
      <c r="MR477">
        <v>0</v>
      </c>
      <c r="MS477">
        <v>0</v>
      </c>
      <c r="MT477">
        <v>0</v>
      </c>
      <c r="MU477">
        <v>0</v>
      </c>
      <c r="MV477">
        <v>0</v>
      </c>
      <c r="MW477">
        <v>0</v>
      </c>
      <c r="MX477">
        <v>0</v>
      </c>
      <c r="MY477">
        <v>0</v>
      </c>
      <c r="MZ477">
        <v>0</v>
      </c>
      <c r="NA477">
        <v>0</v>
      </c>
      <c r="NB477">
        <v>0</v>
      </c>
      <c r="NC477">
        <v>0</v>
      </c>
      <c r="ND477">
        <v>0</v>
      </c>
      <c r="NE477">
        <v>0</v>
      </c>
    </row>
    <row r="478" spans="41:369" x14ac:dyDescent="0.45">
      <c r="AO478">
        <v>0</v>
      </c>
      <c r="AP478">
        <v>0</v>
      </c>
      <c r="AQ478">
        <v>0</v>
      </c>
      <c r="AR478">
        <v>0</v>
      </c>
      <c r="AS478">
        <v>0</v>
      </c>
      <c r="AT478">
        <v>0</v>
      </c>
      <c r="AU478">
        <v>0</v>
      </c>
      <c r="AV478">
        <v>0</v>
      </c>
      <c r="AW478" t="str">
        <v/>
      </c>
      <c r="AX478">
        <v>255</v>
      </c>
      <c r="AY478" s="5" t="str">
        <v/>
      </c>
      <c r="AZ478">
        <v>0</v>
      </c>
      <c r="BA478">
        <v>0</v>
      </c>
      <c r="BB478">
        <v>0</v>
      </c>
      <c r="BC478">
        <v>0</v>
      </c>
      <c r="BD478">
        <v>0</v>
      </c>
      <c r="BE478">
        <v>0</v>
      </c>
      <c r="BF478">
        <v>0</v>
      </c>
      <c r="BG478">
        <v>0</v>
      </c>
      <c r="BH478">
        <v>0</v>
      </c>
      <c r="BI478" t="str">
        <v/>
      </c>
      <c r="BK478">
        <v>472</v>
      </c>
      <c r="BL478">
        <v>0</v>
      </c>
      <c r="BM478">
        <v>0</v>
      </c>
      <c r="BN478">
        <v>0</v>
      </c>
      <c r="BO478">
        <v>0</v>
      </c>
      <c r="BP478">
        <v>0</v>
      </c>
      <c r="BQ478">
        <v>0</v>
      </c>
      <c r="BR478">
        <v>0</v>
      </c>
      <c r="BS478">
        <v>0</v>
      </c>
      <c r="BT478">
        <v>0</v>
      </c>
      <c r="BU478">
        <v>0</v>
      </c>
      <c r="BV478">
        <v>0</v>
      </c>
      <c r="BW478">
        <v>0</v>
      </c>
      <c r="BX478">
        <v>0</v>
      </c>
      <c r="BY478">
        <v>0</v>
      </c>
      <c r="BZ478">
        <v>0</v>
      </c>
      <c r="CA478">
        <v>0</v>
      </c>
      <c r="CB478">
        <v>0</v>
      </c>
      <c r="CC478">
        <v>0</v>
      </c>
      <c r="CD478">
        <v>0</v>
      </c>
      <c r="CE478">
        <v>0</v>
      </c>
      <c r="CF478">
        <v>0</v>
      </c>
      <c r="CG478">
        <v>0</v>
      </c>
      <c r="CH478">
        <v>0</v>
      </c>
      <c r="CI478">
        <v>0</v>
      </c>
      <c r="CJ478">
        <v>0</v>
      </c>
      <c r="CK478">
        <v>0</v>
      </c>
      <c r="CL478">
        <v>0</v>
      </c>
      <c r="CM478">
        <v>0</v>
      </c>
      <c r="CN478">
        <v>0</v>
      </c>
      <c r="CO478">
        <v>0</v>
      </c>
      <c r="CP478">
        <v>0</v>
      </c>
      <c r="CQ478">
        <v>0</v>
      </c>
      <c r="CR478">
        <v>0</v>
      </c>
      <c r="CS478">
        <v>0</v>
      </c>
      <c r="CT478">
        <v>0</v>
      </c>
      <c r="CU478">
        <v>0</v>
      </c>
      <c r="CV478">
        <v>0</v>
      </c>
      <c r="CW478">
        <v>0</v>
      </c>
      <c r="CX478">
        <v>0</v>
      </c>
      <c r="CY478">
        <v>0</v>
      </c>
      <c r="CZ478">
        <v>0</v>
      </c>
      <c r="DA478">
        <v>0</v>
      </c>
      <c r="DB478">
        <v>0</v>
      </c>
      <c r="DC478">
        <v>0</v>
      </c>
      <c r="DD478">
        <v>0</v>
      </c>
      <c r="DE478">
        <v>0</v>
      </c>
      <c r="DF478">
        <v>0</v>
      </c>
      <c r="DG478">
        <v>0</v>
      </c>
      <c r="DH478">
        <v>0</v>
      </c>
      <c r="DI478">
        <v>0</v>
      </c>
      <c r="DJ478">
        <v>0</v>
      </c>
      <c r="DK478">
        <v>0</v>
      </c>
      <c r="DL478">
        <v>0</v>
      </c>
      <c r="DM478">
        <v>0</v>
      </c>
      <c r="DN478">
        <v>0</v>
      </c>
      <c r="DO478">
        <v>0</v>
      </c>
      <c r="DP478">
        <v>0</v>
      </c>
      <c r="DQ478">
        <v>0</v>
      </c>
      <c r="DR478">
        <v>0</v>
      </c>
      <c r="DS478">
        <v>0</v>
      </c>
      <c r="DT478">
        <v>0</v>
      </c>
      <c r="DU478">
        <v>0</v>
      </c>
      <c r="DV478">
        <v>0</v>
      </c>
      <c r="DW478">
        <v>0</v>
      </c>
      <c r="DX478">
        <v>0</v>
      </c>
      <c r="DY478">
        <v>0</v>
      </c>
      <c r="DZ478">
        <v>0</v>
      </c>
      <c r="EA478">
        <v>0</v>
      </c>
      <c r="EB478">
        <v>0</v>
      </c>
      <c r="EC478">
        <v>0</v>
      </c>
      <c r="ED478">
        <v>0</v>
      </c>
      <c r="EE478">
        <v>0</v>
      </c>
      <c r="EF478">
        <v>0</v>
      </c>
      <c r="EG478">
        <v>0</v>
      </c>
      <c r="EH478">
        <v>0</v>
      </c>
      <c r="EI478">
        <v>0</v>
      </c>
      <c r="EJ478">
        <v>0</v>
      </c>
      <c r="EK478">
        <v>0</v>
      </c>
      <c r="EL478">
        <v>0</v>
      </c>
      <c r="EM478">
        <v>0</v>
      </c>
      <c r="EN478">
        <v>0</v>
      </c>
      <c r="EO478">
        <v>0</v>
      </c>
      <c r="EP478">
        <v>0</v>
      </c>
      <c r="EQ478">
        <v>0</v>
      </c>
      <c r="ER478">
        <v>0</v>
      </c>
      <c r="ES478">
        <v>0</v>
      </c>
      <c r="ET478">
        <v>0</v>
      </c>
      <c r="EU478">
        <v>0</v>
      </c>
      <c r="EV478">
        <v>0</v>
      </c>
      <c r="EW478">
        <v>0</v>
      </c>
      <c r="EX478">
        <v>0</v>
      </c>
      <c r="EY478">
        <v>0</v>
      </c>
      <c r="EZ478">
        <v>0</v>
      </c>
      <c r="FA478">
        <v>0</v>
      </c>
      <c r="FB478">
        <v>0</v>
      </c>
      <c r="FC478">
        <v>0</v>
      </c>
      <c r="FD478">
        <v>0</v>
      </c>
      <c r="FE478">
        <v>0</v>
      </c>
      <c r="FF478">
        <v>0</v>
      </c>
      <c r="FG478">
        <v>0</v>
      </c>
      <c r="FH478">
        <v>0</v>
      </c>
      <c r="FI478">
        <v>0</v>
      </c>
      <c r="FJ478">
        <v>0</v>
      </c>
      <c r="FK478">
        <v>0</v>
      </c>
      <c r="FL478">
        <v>0</v>
      </c>
      <c r="FM478">
        <v>0</v>
      </c>
      <c r="FN478">
        <v>0</v>
      </c>
      <c r="FO478">
        <v>0</v>
      </c>
      <c r="FP478">
        <v>0</v>
      </c>
      <c r="FQ478">
        <v>0</v>
      </c>
      <c r="FR478">
        <v>0</v>
      </c>
      <c r="FS478">
        <v>0</v>
      </c>
      <c r="FT478">
        <v>0</v>
      </c>
      <c r="FU478">
        <v>0</v>
      </c>
      <c r="FV478">
        <v>0</v>
      </c>
      <c r="FW478">
        <v>0</v>
      </c>
      <c r="FX478">
        <v>0</v>
      </c>
      <c r="FY478">
        <v>0</v>
      </c>
      <c r="FZ478">
        <v>0</v>
      </c>
      <c r="GA478">
        <v>0</v>
      </c>
      <c r="GB478">
        <v>0</v>
      </c>
      <c r="GC478">
        <v>0</v>
      </c>
      <c r="GD478">
        <v>0</v>
      </c>
      <c r="GE478">
        <v>0</v>
      </c>
      <c r="GF478">
        <v>0</v>
      </c>
      <c r="GG478">
        <v>0</v>
      </c>
      <c r="GH478">
        <v>0</v>
      </c>
      <c r="GI478">
        <v>0</v>
      </c>
      <c r="GJ478">
        <v>0</v>
      </c>
      <c r="GK478">
        <v>0</v>
      </c>
      <c r="GL478">
        <v>0</v>
      </c>
      <c r="GM478">
        <v>0</v>
      </c>
      <c r="GN478">
        <v>0</v>
      </c>
      <c r="GO478">
        <v>0</v>
      </c>
      <c r="GP478">
        <v>0</v>
      </c>
      <c r="GQ478">
        <v>0</v>
      </c>
      <c r="GR478">
        <v>0</v>
      </c>
      <c r="GS478">
        <v>0</v>
      </c>
      <c r="GT478">
        <v>0</v>
      </c>
      <c r="GU478">
        <v>0</v>
      </c>
      <c r="GV478">
        <v>0</v>
      </c>
      <c r="GW478">
        <v>0</v>
      </c>
      <c r="GX478">
        <v>0</v>
      </c>
      <c r="GY478">
        <v>0</v>
      </c>
      <c r="GZ478">
        <v>0</v>
      </c>
      <c r="HA478">
        <v>0</v>
      </c>
      <c r="HB478">
        <v>0</v>
      </c>
      <c r="HC478">
        <v>0</v>
      </c>
      <c r="HD478">
        <v>0</v>
      </c>
      <c r="HE478">
        <v>0</v>
      </c>
      <c r="HF478">
        <v>0</v>
      </c>
      <c r="HG478">
        <v>0</v>
      </c>
      <c r="HH478">
        <v>0</v>
      </c>
      <c r="HI478">
        <v>0</v>
      </c>
      <c r="HJ478">
        <v>0</v>
      </c>
      <c r="HK478">
        <v>0</v>
      </c>
      <c r="HL478">
        <v>0</v>
      </c>
      <c r="HM478">
        <v>0</v>
      </c>
      <c r="HN478">
        <v>0</v>
      </c>
      <c r="HO478">
        <v>0</v>
      </c>
      <c r="HP478">
        <v>0</v>
      </c>
      <c r="HQ478">
        <v>0</v>
      </c>
      <c r="HR478">
        <v>0</v>
      </c>
      <c r="HS478">
        <v>0</v>
      </c>
      <c r="HT478">
        <v>0</v>
      </c>
      <c r="HU478">
        <v>0</v>
      </c>
      <c r="HV478">
        <v>0</v>
      </c>
      <c r="HW478">
        <v>0</v>
      </c>
      <c r="HX478">
        <v>0</v>
      </c>
      <c r="HY478">
        <v>0</v>
      </c>
      <c r="HZ478">
        <v>0</v>
      </c>
      <c r="IA478">
        <v>0</v>
      </c>
      <c r="IB478">
        <v>0</v>
      </c>
      <c r="IC478">
        <v>0</v>
      </c>
      <c r="ID478">
        <v>0</v>
      </c>
      <c r="IE478">
        <v>0</v>
      </c>
      <c r="IF478">
        <v>0</v>
      </c>
      <c r="IG478">
        <v>0</v>
      </c>
      <c r="IH478">
        <v>0</v>
      </c>
      <c r="II478">
        <v>0</v>
      </c>
      <c r="IJ478">
        <v>0</v>
      </c>
      <c r="IK478">
        <v>0</v>
      </c>
      <c r="IL478">
        <v>0</v>
      </c>
      <c r="IM478">
        <v>0</v>
      </c>
      <c r="IN478">
        <v>0</v>
      </c>
      <c r="IO478">
        <v>0</v>
      </c>
      <c r="IP478">
        <v>0</v>
      </c>
      <c r="IQ478">
        <v>0</v>
      </c>
      <c r="IR478">
        <v>0</v>
      </c>
      <c r="IS478">
        <v>0</v>
      </c>
      <c r="IT478">
        <v>0</v>
      </c>
      <c r="IU478">
        <v>0</v>
      </c>
      <c r="IV478">
        <v>0</v>
      </c>
      <c r="IW478">
        <v>0</v>
      </c>
      <c r="IX478">
        <v>0</v>
      </c>
      <c r="IY478">
        <v>0</v>
      </c>
      <c r="IZ478">
        <v>0</v>
      </c>
      <c r="JA478">
        <v>0</v>
      </c>
      <c r="JB478">
        <v>0</v>
      </c>
      <c r="JC478">
        <v>0</v>
      </c>
      <c r="JD478">
        <v>0</v>
      </c>
      <c r="JE478">
        <v>0</v>
      </c>
      <c r="JF478">
        <v>0</v>
      </c>
      <c r="JG478">
        <v>0</v>
      </c>
      <c r="JH478">
        <v>0</v>
      </c>
      <c r="JI478">
        <v>0</v>
      </c>
      <c r="JJ478">
        <v>0</v>
      </c>
      <c r="JK478">
        <v>0</v>
      </c>
      <c r="JL478">
        <v>0</v>
      </c>
      <c r="JM478">
        <v>0</v>
      </c>
      <c r="JN478">
        <v>0</v>
      </c>
      <c r="JO478">
        <v>0</v>
      </c>
      <c r="JP478">
        <v>0</v>
      </c>
      <c r="JQ478">
        <v>0</v>
      </c>
      <c r="JR478">
        <v>0</v>
      </c>
      <c r="JS478">
        <v>0</v>
      </c>
      <c r="JT478">
        <v>0</v>
      </c>
      <c r="JU478">
        <v>0</v>
      </c>
      <c r="JV478">
        <v>0</v>
      </c>
      <c r="JW478">
        <v>0</v>
      </c>
      <c r="JX478">
        <v>0</v>
      </c>
      <c r="JY478">
        <v>0</v>
      </c>
      <c r="JZ478">
        <v>0</v>
      </c>
      <c r="KA478">
        <v>0</v>
      </c>
      <c r="KB478">
        <v>0</v>
      </c>
      <c r="KC478">
        <v>0</v>
      </c>
      <c r="KD478">
        <v>0</v>
      </c>
      <c r="KE478">
        <v>0</v>
      </c>
      <c r="KF478">
        <v>0</v>
      </c>
      <c r="KG478">
        <v>0</v>
      </c>
      <c r="KH478">
        <v>0</v>
      </c>
      <c r="KI478">
        <v>0</v>
      </c>
      <c r="KJ478">
        <v>0</v>
      </c>
      <c r="KK478">
        <v>0</v>
      </c>
      <c r="KL478">
        <v>0</v>
      </c>
      <c r="KM478">
        <v>0</v>
      </c>
      <c r="KN478">
        <v>0</v>
      </c>
      <c r="KO478">
        <v>0</v>
      </c>
      <c r="KP478">
        <v>0</v>
      </c>
      <c r="KQ478">
        <v>0</v>
      </c>
      <c r="KR478">
        <v>0</v>
      </c>
      <c r="KS478">
        <v>0</v>
      </c>
      <c r="KT478">
        <v>0</v>
      </c>
      <c r="KU478">
        <v>0</v>
      </c>
      <c r="KV478">
        <v>0</v>
      </c>
      <c r="KW478">
        <v>0</v>
      </c>
      <c r="KX478">
        <v>0</v>
      </c>
      <c r="KY478">
        <v>0</v>
      </c>
      <c r="KZ478">
        <v>0</v>
      </c>
      <c r="LA478">
        <v>0</v>
      </c>
      <c r="LB478">
        <v>0</v>
      </c>
      <c r="LC478">
        <v>0</v>
      </c>
      <c r="LD478">
        <v>0</v>
      </c>
      <c r="LE478">
        <v>0</v>
      </c>
      <c r="LF478">
        <v>0</v>
      </c>
      <c r="LG478">
        <v>0</v>
      </c>
      <c r="LH478">
        <v>0</v>
      </c>
      <c r="LI478">
        <v>0</v>
      </c>
      <c r="LJ478">
        <v>0</v>
      </c>
      <c r="LK478">
        <v>0</v>
      </c>
      <c r="LL478">
        <v>0</v>
      </c>
      <c r="LM478">
        <v>0</v>
      </c>
      <c r="LN478">
        <v>0</v>
      </c>
      <c r="LO478">
        <v>0</v>
      </c>
      <c r="LP478">
        <v>0</v>
      </c>
      <c r="LQ478">
        <v>0</v>
      </c>
      <c r="LR478">
        <v>0</v>
      </c>
      <c r="LS478">
        <v>0</v>
      </c>
      <c r="LT478">
        <v>0</v>
      </c>
      <c r="LU478">
        <v>0</v>
      </c>
      <c r="LV478">
        <v>0</v>
      </c>
      <c r="LW478">
        <v>0</v>
      </c>
      <c r="LX478">
        <v>0</v>
      </c>
      <c r="LY478">
        <v>0</v>
      </c>
      <c r="LZ478">
        <v>0</v>
      </c>
      <c r="MA478">
        <v>0</v>
      </c>
      <c r="MB478">
        <v>0</v>
      </c>
      <c r="MC478">
        <v>0</v>
      </c>
      <c r="MD478">
        <v>0</v>
      </c>
      <c r="ME478">
        <v>0</v>
      </c>
      <c r="MF478">
        <v>0</v>
      </c>
      <c r="MG478">
        <v>0</v>
      </c>
      <c r="MH478">
        <v>0</v>
      </c>
      <c r="MI478">
        <v>0</v>
      </c>
      <c r="MJ478">
        <v>0</v>
      </c>
      <c r="MK478">
        <v>0</v>
      </c>
      <c r="ML478">
        <v>0</v>
      </c>
      <c r="MM478">
        <v>0</v>
      </c>
      <c r="MN478">
        <v>0</v>
      </c>
      <c r="MO478">
        <v>0</v>
      </c>
      <c r="MP478">
        <v>0</v>
      </c>
      <c r="MQ478">
        <v>0</v>
      </c>
      <c r="MR478">
        <v>0</v>
      </c>
      <c r="MS478">
        <v>0</v>
      </c>
      <c r="MT478">
        <v>0</v>
      </c>
      <c r="MU478">
        <v>0</v>
      </c>
      <c r="MV478">
        <v>0</v>
      </c>
      <c r="MW478">
        <v>0</v>
      </c>
      <c r="MX478">
        <v>0</v>
      </c>
      <c r="MY478">
        <v>0</v>
      </c>
      <c r="MZ478">
        <v>0</v>
      </c>
      <c r="NA478">
        <v>0</v>
      </c>
      <c r="NB478">
        <v>0</v>
      </c>
      <c r="NC478">
        <v>0</v>
      </c>
      <c r="ND478">
        <v>0</v>
      </c>
      <c r="NE478">
        <v>0</v>
      </c>
    </row>
    <row r="479" spans="41:369" x14ac:dyDescent="0.45">
      <c r="AO479">
        <v>0</v>
      </c>
      <c r="AP479">
        <v>0</v>
      </c>
      <c r="AQ479">
        <v>0</v>
      </c>
      <c r="AR479">
        <v>0</v>
      </c>
      <c r="AS479">
        <v>0</v>
      </c>
      <c r="AT479">
        <v>0</v>
      </c>
      <c r="AU479">
        <v>0</v>
      </c>
      <c r="AV479">
        <v>0</v>
      </c>
      <c r="AW479" t="str">
        <v/>
      </c>
      <c r="AX479">
        <v>255</v>
      </c>
      <c r="AY479" s="5" t="str">
        <v/>
      </c>
      <c r="AZ479">
        <v>0</v>
      </c>
      <c r="BA479">
        <v>0</v>
      </c>
      <c r="BB479">
        <v>0</v>
      </c>
      <c r="BC479">
        <v>0</v>
      </c>
      <c r="BD479">
        <v>0</v>
      </c>
      <c r="BE479">
        <v>0</v>
      </c>
      <c r="BF479">
        <v>0</v>
      </c>
      <c r="BG479">
        <v>0</v>
      </c>
      <c r="BH479">
        <v>0</v>
      </c>
      <c r="BI479" t="str">
        <v/>
      </c>
      <c r="BK479">
        <v>473</v>
      </c>
      <c r="BL479">
        <v>0</v>
      </c>
      <c r="BM479">
        <v>0</v>
      </c>
      <c r="BN479">
        <v>0</v>
      </c>
      <c r="BO479">
        <v>0</v>
      </c>
      <c r="BP479">
        <v>0</v>
      </c>
      <c r="BQ479">
        <v>0</v>
      </c>
      <c r="BR479">
        <v>0</v>
      </c>
      <c r="BS479">
        <v>0</v>
      </c>
      <c r="BT479">
        <v>0</v>
      </c>
      <c r="BU479">
        <v>0</v>
      </c>
      <c r="BV479">
        <v>0</v>
      </c>
      <c r="BW479">
        <v>0</v>
      </c>
      <c r="BX479">
        <v>0</v>
      </c>
      <c r="BY479">
        <v>0</v>
      </c>
      <c r="BZ479">
        <v>0</v>
      </c>
      <c r="CA479">
        <v>0</v>
      </c>
      <c r="CB479">
        <v>0</v>
      </c>
      <c r="CC479">
        <v>0</v>
      </c>
      <c r="CD479">
        <v>0</v>
      </c>
      <c r="CE479">
        <v>0</v>
      </c>
      <c r="CF479">
        <v>0</v>
      </c>
      <c r="CG479">
        <v>0</v>
      </c>
      <c r="CH479">
        <v>0</v>
      </c>
      <c r="CI479">
        <v>0</v>
      </c>
      <c r="CJ479">
        <v>0</v>
      </c>
      <c r="CK479">
        <v>0</v>
      </c>
      <c r="CL479">
        <v>0</v>
      </c>
      <c r="CM479">
        <v>0</v>
      </c>
      <c r="CN479">
        <v>0</v>
      </c>
      <c r="CO479">
        <v>0</v>
      </c>
      <c r="CP479">
        <v>0</v>
      </c>
      <c r="CQ479">
        <v>0</v>
      </c>
      <c r="CR479">
        <v>0</v>
      </c>
      <c r="CS479">
        <v>0</v>
      </c>
      <c r="CT479">
        <v>0</v>
      </c>
      <c r="CU479">
        <v>0</v>
      </c>
      <c r="CV479">
        <v>0</v>
      </c>
      <c r="CW479">
        <v>0</v>
      </c>
      <c r="CX479">
        <v>0</v>
      </c>
      <c r="CY479">
        <v>0</v>
      </c>
      <c r="CZ479">
        <v>0</v>
      </c>
      <c r="DA479">
        <v>0</v>
      </c>
      <c r="DB479">
        <v>0</v>
      </c>
      <c r="DC479">
        <v>0</v>
      </c>
      <c r="DD479">
        <v>0</v>
      </c>
      <c r="DE479">
        <v>0</v>
      </c>
      <c r="DF479">
        <v>0</v>
      </c>
      <c r="DG479">
        <v>0</v>
      </c>
      <c r="DH479">
        <v>0</v>
      </c>
      <c r="DI479">
        <v>0</v>
      </c>
      <c r="DJ479">
        <v>0</v>
      </c>
      <c r="DK479">
        <v>0</v>
      </c>
      <c r="DL479">
        <v>0</v>
      </c>
      <c r="DM479">
        <v>0</v>
      </c>
      <c r="DN479">
        <v>0</v>
      </c>
      <c r="DO479">
        <v>0</v>
      </c>
      <c r="DP479">
        <v>0</v>
      </c>
      <c r="DQ479">
        <v>0</v>
      </c>
      <c r="DR479">
        <v>0</v>
      </c>
      <c r="DS479">
        <v>0</v>
      </c>
      <c r="DT479">
        <v>0</v>
      </c>
      <c r="DU479">
        <v>0</v>
      </c>
      <c r="DV479">
        <v>0</v>
      </c>
      <c r="DW479">
        <v>0</v>
      </c>
      <c r="DX479">
        <v>0</v>
      </c>
      <c r="DY479">
        <v>0</v>
      </c>
      <c r="DZ479">
        <v>0</v>
      </c>
      <c r="EA479">
        <v>0</v>
      </c>
      <c r="EB479">
        <v>0</v>
      </c>
      <c r="EC479">
        <v>0</v>
      </c>
      <c r="ED479">
        <v>0</v>
      </c>
      <c r="EE479">
        <v>0</v>
      </c>
      <c r="EF479">
        <v>0</v>
      </c>
      <c r="EG479">
        <v>0</v>
      </c>
      <c r="EH479">
        <v>0</v>
      </c>
      <c r="EI479">
        <v>0</v>
      </c>
      <c r="EJ479">
        <v>0</v>
      </c>
      <c r="EK479">
        <v>0</v>
      </c>
      <c r="EL479">
        <v>0</v>
      </c>
      <c r="EM479">
        <v>0</v>
      </c>
      <c r="EN479">
        <v>0</v>
      </c>
      <c r="EO479">
        <v>0</v>
      </c>
      <c r="EP479">
        <v>0</v>
      </c>
      <c r="EQ479">
        <v>0</v>
      </c>
      <c r="ER479">
        <v>0</v>
      </c>
      <c r="ES479">
        <v>0</v>
      </c>
      <c r="ET479">
        <v>0</v>
      </c>
      <c r="EU479">
        <v>0</v>
      </c>
      <c r="EV479">
        <v>0</v>
      </c>
      <c r="EW479">
        <v>0</v>
      </c>
      <c r="EX479">
        <v>0</v>
      </c>
      <c r="EY479">
        <v>0</v>
      </c>
      <c r="EZ479">
        <v>0</v>
      </c>
      <c r="FA479">
        <v>0</v>
      </c>
      <c r="FB479">
        <v>0</v>
      </c>
      <c r="FC479">
        <v>0</v>
      </c>
      <c r="FD479">
        <v>0</v>
      </c>
      <c r="FE479">
        <v>0</v>
      </c>
      <c r="FF479">
        <v>0</v>
      </c>
      <c r="FG479">
        <v>0</v>
      </c>
      <c r="FH479">
        <v>0</v>
      </c>
      <c r="FI479">
        <v>0</v>
      </c>
      <c r="FJ479">
        <v>0</v>
      </c>
      <c r="FK479">
        <v>0</v>
      </c>
      <c r="FL479">
        <v>0</v>
      </c>
      <c r="FM479">
        <v>0</v>
      </c>
      <c r="FN479">
        <v>0</v>
      </c>
      <c r="FO479">
        <v>0</v>
      </c>
      <c r="FP479">
        <v>0</v>
      </c>
      <c r="FQ479">
        <v>0</v>
      </c>
      <c r="FR479">
        <v>0</v>
      </c>
      <c r="FS479">
        <v>0</v>
      </c>
      <c r="FT479">
        <v>0</v>
      </c>
      <c r="FU479">
        <v>0</v>
      </c>
      <c r="FV479">
        <v>0</v>
      </c>
      <c r="FW479">
        <v>0</v>
      </c>
      <c r="FX479">
        <v>0</v>
      </c>
      <c r="FY479">
        <v>0</v>
      </c>
      <c r="FZ479">
        <v>0</v>
      </c>
      <c r="GA479">
        <v>0</v>
      </c>
      <c r="GB479">
        <v>0</v>
      </c>
      <c r="GC479">
        <v>0</v>
      </c>
      <c r="GD479">
        <v>0</v>
      </c>
      <c r="GE479">
        <v>0</v>
      </c>
      <c r="GF479">
        <v>0</v>
      </c>
      <c r="GG479">
        <v>0</v>
      </c>
      <c r="GH479">
        <v>0</v>
      </c>
      <c r="GI479">
        <v>0</v>
      </c>
      <c r="GJ479">
        <v>0</v>
      </c>
      <c r="GK479">
        <v>0</v>
      </c>
      <c r="GL479">
        <v>0</v>
      </c>
      <c r="GM479">
        <v>0</v>
      </c>
      <c r="GN479">
        <v>0</v>
      </c>
      <c r="GO479">
        <v>0</v>
      </c>
      <c r="GP479">
        <v>0</v>
      </c>
      <c r="GQ479">
        <v>0</v>
      </c>
      <c r="GR479">
        <v>0</v>
      </c>
      <c r="GS479">
        <v>0</v>
      </c>
      <c r="GT479">
        <v>0</v>
      </c>
      <c r="GU479">
        <v>0</v>
      </c>
      <c r="GV479">
        <v>0</v>
      </c>
      <c r="GW479">
        <v>0</v>
      </c>
      <c r="GX479">
        <v>0</v>
      </c>
      <c r="GY479">
        <v>0</v>
      </c>
      <c r="GZ479">
        <v>0</v>
      </c>
      <c r="HA479">
        <v>0</v>
      </c>
      <c r="HB479">
        <v>0</v>
      </c>
      <c r="HC479">
        <v>0</v>
      </c>
      <c r="HD479">
        <v>0</v>
      </c>
      <c r="HE479">
        <v>0</v>
      </c>
      <c r="HF479">
        <v>0</v>
      </c>
      <c r="HG479">
        <v>0</v>
      </c>
      <c r="HH479">
        <v>0</v>
      </c>
      <c r="HI479">
        <v>0</v>
      </c>
      <c r="HJ479">
        <v>0</v>
      </c>
      <c r="HK479">
        <v>0</v>
      </c>
      <c r="HL479">
        <v>0</v>
      </c>
      <c r="HM479">
        <v>0</v>
      </c>
      <c r="HN479">
        <v>0</v>
      </c>
      <c r="HO479">
        <v>0</v>
      </c>
      <c r="HP479">
        <v>0</v>
      </c>
      <c r="HQ479">
        <v>0</v>
      </c>
      <c r="HR479">
        <v>0</v>
      </c>
      <c r="HS479">
        <v>0</v>
      </c>
      <c r="HT479">
        <v>0</v>
      </c>
      <c r="HU479">
        <v>0</v>
      </c>
      <c r="HV479">
        <v>0</v>
      </c>
      <c r="HW479">
        <v>0</v>
      </c>
      <c r="HX479">
        <v>0</v>
      </c>
      <c r="HY479">
        <v>0</v>
      </c>
      <c r="HZ479">
        <v>0</v>
      </c>
      <c r="IA479">
        <v>0</v>
      </c>
      <c r="IB479">
        <v>0</v>
      </c>
      <c r="IC479">
        <v>0</v>
      </c>
      <c r="ID479">
        <v>0</v>
      </c>
      <c r="IE479">
        <v>0</v>
      </c>
      <c r="IF479">
        <v>0</v>
      </c>
      <c r="IG479">
        <v>0</v>
      </c>
      <c r="IH479">
        <v>0</v>
      </c>
      <c r="II479">
        <v>0</v>
      </c>
      <c r="IJ479">
        <v>0</v>
      </c>
      <c r="IK479">
        <v>0</v>
      </c>
      <c r="IL479">
        <v>0</v>
      </c>
      <c r="IM479">
        <v>0</v>
      </c>
      <c r="IN479">
        <v>0</v>
      </c>
      <c r="IO479">
        <v>0</v>
      </c>
      <c r="IP479">
        <v>0</v>
      </c>
      <c r="IQ479">
        <v>0</v>
      </c>
      <c r="IR479">
        <v>0</v>
      </c>
      <c r="IS479">
        <v>0</v>
      </c>
      <c r="IT479">
        <v>0</v>
      </c>
      <c r="IU479">
        <v>0</v>
      </c>
      <c r="IV479">
        <v>0</v>
      </c>
      <c r="IW479">
        <v>0</v>
      </c>
      <c r="IX479">
        <v>0</v>
      </c>
      <c r="IY479">
        <v>0</v>
      </c>
      <c r="IZ479">
        <v>0</v>
      </c>
      <c r="JA479">
        <v>0</v>
      </c>
      <c r="JB479">
        <v>0</v>
      </c>
      <c r="JC479">
        <v>0</v>
      </c>
      <c r="JD479">
        <v>0</v>
      </c>
      <c r="JE479">
        <v>0</v>
      </c>
      <c r="JF479">
        <v>0</v>
      </c>
      <c r="JG479">
        <v>0</v>
      </c>
      <c r="JH479">
        <v>0</v>
      </c>
      <c r="JI479">
        <v>0</v>
      </c>
      <c r="JJ479">
        <v>0</v>
      </c>
      <c r="JK479">
        <v>0</v>
      </c>
      <c r="JL479">
        <v>0</v>
      </c>
      <c r="JM479">
        <v>0</v>
      </c>
      <c r="JN479">
        <v>0</v>
      </c>
      <c r="JO479">
        <v>0</v>
      </c>
      <c r="JP479">
        <v>0</v>
      </c>
      <c r="JQ479">
        <v>0</v>
      </c>
      <c r="JR479">
        <v>0</v>
      </c>
      <c r="JS479">
        <v>0</v>
      </c>
      <c r="JT479">
        <v>0</v>
      </c>
      <c r="JU479">
        <v>0</v>
      </c>
      <c r="JV479">
        <v>0</v>
      </c>
      <c r="JW479">
        <v>0</v>
      </c>
      <c r="JX479">
        <v>0</v>
      </c>
      <c r="JY479">
        <v>0</v>
      </c>
      <c r="JZ479">
        <v>0</v>
      </c>
      <c r="KA479">
        <v>0</v>
      </c>
      <c r="KB479">
        <v>0</v>
      </c>
      <c r="KC479">
        <v>0</v>
      </c>
      <c r="KD479">
        <v>0</v>
      </c>
      <c r="KE479">
        <v>0</v>
      </c>
      <c r="KF479">
        <v>0</v>
      </c>
      <c r="KG479">
        <v>0</v>
      </c>
      <c r="KH479">
        <v>0</v>
      </c>
      <c r="KI479">
        <v>0</v>
      </c>
      <c r="KJ479">
        <v>0</v>
      </c>
      <c r="KK479">
        <v>0</v>
      </c>
      <c r="KL479">
        <v>0</v>
      </c>
      <c r="KM479">
        <v>0</v>
      </c>
      <c r="KN479">
        <v>0</v>
      </c>
      <c r="KO479">
        <v>0</v>
      </c>
      <c r="KP479">
        <v>0</v>
      </c>
      <c r="KQ479">
        <v>0</v>
      </c>
      <c r="KR479">
        <v>0</v>
      </c>
      <c r="KS479">
        <v>0</v>
      </c>
      <c r="KT479">
        <v>0</v>
      </c>
      <c r="KU479">
        <v>0</v>
      </c>
      <c r="KV479">
        <v>0</v>
      </c>
      <c r="KW479">
        <v>0</v>
      </c>
      <c r="KX479">
        <v>0</v>
      </c>
      <c r="KY479">
        <v>0</v>
      </c>
      <c r="KZ479">
        <v>0</v>
      </c>
      <c r="LA479">
        <v>0</v>
      </c>
      <c r="LB479">
        <v>0</v>
      </c>
      <c r="LC479">
        <v>0</v>
      </c>
      <c r="LD479">
        <v>0</v>
      </c>
      <c r="LE479">
        <v>0</v>
      </c>
      <c r="LF479">
        <v>0</v>
      </c>
      <c r="LG479">
        <v>0</v>
      </c>
      <c r="LH479">
        <v>0</v>
      </c>
      <c r="LI479">
        <v>0</v>
      </c>
      <c r="LJ479">
        <v>0</v>
      </c>
      <c r="LK479">
        <v>0</v>
      </c>
      <c r="LL479">
        <v>0</v>
      </c>
      <c r="LM479">
        <v>0</v>
      </c>
      <c r="LN479">
        <v>0</v>
      </c>
      <c r="LO479">
        <v>0</v>
      </c>
      <c r="LP479">
        <v>0</v>
      </c>
      <c r="LQ479">
        <v>0</v>
      </c>
      <c r="LR479">
        <v>0</v>
      </c>
      <c r="LS479">
        <v>0</v>
      </c>
      <c r="LT479">
        <v>0</v>
      </c>
      <c r="LU479">
        <v>0</v>
      </c>
      <c r="LV479">
        <v>0</v>
      </c>
      <c r="LW479">
        <v>0</v>
      </c>
      <c r="LX479">
        <v>0</v>
      </c>
      <c r="LY479">
        <v>0</v>
      </c>
      <c r="LZ479">
        <v>0</v>
      </c>
      <c r="MA479">
        <v>0</v>
      </c>
      <c r="MB479">
        <v>0</v>
      </c>
      <c r="MC479">
        <v>0</v>
      </c>
      <c r="MD479">
        <v>0</v>
      </c>
      <c r="ME479">
        <v>0</v>
      </c>
      <c r="MF479">
        <v>0</v>
      </c>
      <c r="MG479">
        <v>0</v>
      </c>
      <c r="MH479">
        <v>0</v>
      </c>
      <c r="MI479">
        <v>0</v>
      </c>
      <c r="MJ479">
        <v>0</v>
      </c>
      <c r="MK479">
        <v>0</v>
      </c>
      <c r="ML479">
        <v>0</v>
      </c>
      <c r="MM479">
        <v>0</v>
      </c>
      <c r="MN479">
        <v>0</v>
      </c>
      <c r="MO479">
        <v>0</v>
      </c>
      <c r="MP479">
        <v>0</v>
      </c>
      <c r="MQ479">
        <v>0</v>
      </c>
      <c r="MR479">
        <v>0</v>
      </c>
      <c r="MS479">
        <v>0</v>
      </c>
      <c r="MT479">
        <v>0</v>
      </c>
      <c r="MU479">
        <v>0</v>
      </c>
      <c r="MV479">
        <v>0</v>
      </c>
      <c r="MW479">
        <v>0</v>
      </c>
      <c r="MX479">
        <v>0</v>
      </c>
      <c r="MY479">
        <v>0</v>
      </c>
      <c r="MZ479">
        <v>0</v>
      </c>
      <c r="NA479">
        <v>0</v>
      </c>
      <c r="NB479">
        <v>0</v>
      </c>
      <c r="NC479">
        <v>0</v>
      </c>
      <c r="ND479">
        <v>0</v>
      </c>
      <c r="NE479">
        <v>0</v>
      </c>
    </row>
    <row r="480" spans="41:369" x14ac:dyDescent="0.45">
      <c r="AO480">
        <v>0</v>
      </c>
      <c r="AP480">
        <v>0</v>
      </c>
      <c r="AQ480">
        <v>0</v>
      </c>
      <c r="AR480">
        <v>0</v>
      </c>
      <c r="AS480">
        <v>0</v>
      </c>
      <c r="AT480">
        <v>0</v>
      </c>
      <c r="AU480">
        <v>0</v>
      </c>
      <c r="AV480">
        <v>0</v>
      </c>
      <c r="AW480" t="str">
        <v/>
      </c>
      <c r="AX480">
        <v>255</v>
      </c>
      <c r="AY480" s="5" t="str">
        <v/>
      </c>
      <c r="AZ480">
        <v>0</v>
      </c>
      <c r="BA480">
        <v>0</v>
      </c>
      <c r="BB480">
        <v>0</v>
      </c>
      <c r="BC480">
        <v>0</v>
      </c>
      <c r="BD480">
        <v>0</v>
      </c>
      <c r="BE480">
        <v>0</v>
      </c>
      <c r="BF480">
        <v>0</v>
      </c>
      <c r="BG480">
        <v>0</v>
      </c>
      <c r="BH480">
        <v>0</v>
      </c>
      <c r="BI480" t="str">
        <v/>
      </c>
      <c r="BK480">
        <v>474</v>
      </c>
      <c r="BL480">
        <v>0</v>
      </c>
      <c r="BM480">
        <v>0</v>
      </c>
      <c r="BN480">
        <v>0</v>
      </c>
      <c r="BO480">
        <v>0</v>
      </c>
      <c r="BP480">
        <v>0</v>
      </c>
      <c r="BQ480">
        <v>0</v>
      </c>
      <c r="BR480">
        <v>0</v>
      </c>
      <c r="BS480">
        <v>0</v>
      </c>
      <c r="BT480">
        <v>0</v>
      </c>
      <c r="BU480">
        <v>0</v>
      </c>
      <c r="BV480">
        <v>0</v>
      </c>
      <c r="BW480">
        <v>0</v>
      </c>
      <c r="BX480">
        <v>0</v>
      </c>
      <c r="BY480">
        <v>0</v>
      </c>
      <c r="BZ480">
        <v>0</v>
      </c>
      <c r="CA480">
        <v>0</v>
      </c>
      <c r="CB480">
        <v>0</v>
      </c>
      <c r="CC480">
        <v>0</v>
      </c>
      <c r="CD480">
        <v>0</v>
      </c>
      <c r="CE480">
        <v>0</v>
      </c>
      <c r="CF480">
        <v>0</v>
      </c>
      <c r="CG480">
        <v>0</v>
      </c>
      <c r="CH480">
        <v>0</v>
      </c>
      <c r="CI480">
        <v>0</v>
      </c>
      <c r="CJ480">
        <v>0</v>
      </c>
      <c r="CK480">
        <v>0</v>
      </c>
      <c r="CL480">
        <v>0</v>
      </c>
      <c r="CM480">
        <v>0</v>
      </c>
      <c r="CN480">
        <v>0</v>
      </c>
      <c r="CO480">
        <v>0</v>
      </c>
      <c r="CP480">
        <v>0</v>
      </c>
      <c r="CQ480">
        <v>0</v>
      </c>
      <c r="CR480">
        <v>0</v>
      </c>
      <c r="CS480">
        <v>0</v>
      </c>
      <c r="CT480">
        <v>0</v>
      </c>
      <c r="CU480">
        <v>0</v>
      </c>
      <c r="CV480">
        <v>0</v>
      </c>
      <c r="CW480">
        <v>0</v>
      </c>
      <c r="CX480">
        <v>0</v>
      </c>
      <c r="CY480">
        <v>0</v>
      </c>
      <c r="CZ480">
        <v>0</v>
      </c>
      <c r="DA480">
        <v>0</v>
      </c>
      <c r="DB480">
        <v>0</v>
      </c>
      <c r="DC480">
        <v>0</v>
      </c>
      <c r="DD480">
        <v>0</v>
      </c>
      <c r="DE480">
        <v>0</v>
      </c>
      <c r="DF480">
        <v>0</v>
      </c>
      <c r="DG480">
        <v>0</v>
      </c>
      <c r="DH480">
        <v>0</v>
      </c>
      <c r="DI480">
        <v>0</v>
      </c>
      <c r="DJ480">
        <v>0</v>
      </c>
      <c r="DK480">
        <v>0</v>
      </c>
      <c r="DL480">
        <v>0</v>
      </c>
      <c r="DM480">
        <v>0</v>
      </c>
      <c r="DN480">
        <v>0</v>
      </c>
      <c r="DO480">
        <v>0</v>
      </c>
      <c r="DP480">
        <v>0</v>
      </c>
      <c r="DQ480">
        <v>0</v>
      </c>
      <c r="DR480">
        <v>0</v>
      </c>
      <c r="DS480">
        <v>0</v>
      </c>
      <c r="DT480">
        <v>0</v>
      </c>
      <c r="DU480">
        <v>0</v>
      </c>
      <c r="DV480">
        <v>0</v>
      </c>
      <c r="DW480">
        <v>0</v>
      </c>
      <c r="DX480">
        <v>0</v>
      </c>
      <c r="DY480">
        <v>0</v>
      </c>
      <c r="DZ480">
        <v>0</v>
      </c>
      <c r="EA480">
        <v>0</v>
      </c>
      <c r="EB480">
        <v>0</v>
      </c>
      <c r="EC480">
        <v>0</v>
      </c>
      <c r="ED480">
        <v>0</v>
      </c>
      <c r="EE480">
        <v>0</v>
      </c>
      <c r="EF480">
        <v>0</v>
      </c>
      <c r="EG480">
        <v>0</v>
      </c>
      <c r="EH480">
        <v>0</v>
      </c>
      <c r="EI480">
        <v>0</v>
      </c>
      <c r="EJ480">
        <v>0</v>
      </c>
      <c r="EK480">
        <v>0</v>
      </c>
      <c r="EL480">
        <v>0</v>
      </c>
      <c r="EM480">
        <v>0</v>
      </c>
      <c r="EN480">
        <v>0</v>
      </c>
      <c r="EO480">
        <v>0</v>
      </c>
      <c r="EP480">
        <v>0</v>
      </c>
      <c r="EQ480">
        <v>0</v>
      </c>
      <c r="ER480">
        <v>0</v>
      </c>
      <c r="ES480">
        <v>0</v>
      </c>
      <c r="ET480">
        <v>0</v>
      </c>
      <c r="EU480">
        <v>0</v>
      </c>
      <c r="EV480">
        <v>0</v>
      </c>
      <c r="EW480">
        <v>0</v>
      </c>
      <c r="EX480">
        <v>0</v>
      </c>
      <c r="EY480">
        <v>0</v>
      </c>
      <c r="EZ480">
        <v>0</v>
      </c>
      <c r="FA480">
        <v>0</v>
      </c>
      <c r="FB480">
        <v>0</v>
      </c>
      <c r="FC480">
        <v>0</v>
      </c>
      <c r="FD480">
        <v>0</v>
      </c>
      <c r="FE480">
        <v>0</v>
      </c>
      <c r="FF480">
        <v>0</v>
      </c>
      <c r="FG480">
        <v>0</v>
      </c>
      <c r="FH480">
        <v>0</v>
      </c>
      <c r="FI480">
        <v>0</v>
      </c>
      <c r="FJ480">
        <v>0</v>
      </c>
      <c r="FK480">
        <v>0</v>
      </c>
      <c r="FL480">
        <v>0</v>
      </c>
      <c r="FM480">
        <v>0</v>
      </c>
      <c r="FN480">
        <v>0</v>
      </c>
      <c r="FO480">
        <v>0</v>
      </c>
      <c r="FP480">
        <v>0</v>
      </c>
      <c r="FQ480">
        <v>0</v>
      </c>
      <c r="FR480">
        <v>0</v>
      </c>
      <c r="FS480">
        <v>0</v>
      </c>
      <c r="FT480">
        <v>0</v>
      </c>
      <c r="FU480">
        <v>0</v>
      </c>
      <c r="FV480">
        <v>0</v>
      </c>
      <c r="FW480">
        <v>0</v>
      </c>
      <c r="FX480">
        <v>0</v>
      </c>
      <c r="FY480">
        <v>0</v>
      </c>
      <c r="FZ480">
        <v>0</v>
      </c>
      <c r="GA480">
        <v>0</v>
      </c>
      <c r="GB480">
        <v>0</v>
      </c>
      <c r="GC480">
        <v>0</v>
      </c>
      <c r="GD480">
        <v>0</v>
      </c>
      <c r="GE480">
        <v>0</v>
      </c>
      <c r="GF480">
        <v>0</v>
      </c>
      <c r="GG480">
        <v>0</v>
      </c>
      <c r="GH480">
        <v>0</v>
      </c>
      <c r="GI480">
        <v>0</v>
      </c>
      <c r="GJ480">
        <v>0</v>
      </c>
      <c r="GK480">
        <v>0</v>
      </c>
      <c r="GL480">
        <v>0</v>
      </c>
      <c r="GM480">
        <v>0</v>
      </c>
      <c r="GN480">
        <v>0</v>
      </c>
      <c r="GO480">
        <v>0</v>
      </c>
      <c r="GP480">
        <v>0</v>
      </c>
      <c r="GQ480">
        <v>0</v>
      </c>
      <c r="GR480">
        <v>0</v>
      </c>
      <c r="GS480">
        <v>0</v>
      </c>
      <c r="GT480">
        <v>0</v>
      </c>
      <c r="GU480">
        <v>0</v>
      </c>
      <c r="GV480">
        <v>0</v>
      </c>
      <c r="GW480">
        <v>0</v>
      </c>
      <c r="GX480">
        <v>0</v>
      </c>
      <c r="GY480">
        <v>0</v>
      </c>
      <c r="GZ480">
        <v>0</v>
      </c>
      <c r="HA480">
        <v>0</v>
      </c>
      <c r="HB480">
        <v>0</v>
      </c>
      <c r="HC480">
        <v>0</v>
      </c>
      <c r="HD480">
        <v>0</v>
      </c>
      <c r="HE480">
        <v>0</v>
      </c>
      <c r="HF480">
        <v>0</v>
      </c>
      <c r="HG480">
        <v>0</v>
      </c>
      <c r="HH480">
        <v>0</v>
      </c>
      <c r="HI480">
        <v>0</v>
      </c>
      <c r="HJ480">
        <v>0</v>
      </c>
      <c r="HK480">
        <v>0</v>
      </c>
      <c r="HL480">
        <v>0</v>
      </c>
      <c r="HM480">
        <v>0</v>
      </c>
      <c r="HN480">
        <v>0</v>
      </c>
      <c r="HO480">
        <v>0</v>
      </c>
      <c r="HP480">
        <v>0</v>
      </c>
      <c r="HQ480">
        <v>0</v>
      </c>
      <c r="HR480">
        <v>0</v>
      </c>
      <c r="HS480">
        <v>0</v>
      </c>
      <c r="HT480">
        <v>0</v>
      </c>
      <c r="HU480">
        <v>0</v>
      </c>
      <c r="HV480">
        <v>0</v>
      </c>
      <c r="HW480">
        <v>0</v>
      </c>
      <c r="HX480">
        <v>0</v>
      </c>
      <c r="HY480">
        <v>0</v>
      </c>
      <c r="HZ480">
        <v>0</v>
      </c>
      <c r="IA480">
        <v>0</v>
      </c>
      <c r="IB480">
        <v>0</v>
      </c>
      <c r="IC480">
        <v>0</v>
      </c>
      <c r="ID480">
        <v>0</v>
      </c>
      <c r="IE480">
        <v>0</v>
      </c>
      <c r="IF480">
        <v>0</v>
      </c>
      <c r="IG480">
        <v>0</v>
      </c>
      <c r="IH480">
        <v>0</v>
      </c>
      <c r="II480">
        <v>0</v>
      </c>
      <c r="IJ480">
        <v>0</v>
      </c>
      <c r="IK480">
        <v>0</v>
      </c>
      <c r="IL480">
        <v>0</v>
      </c>
      <c r="IM480">
        <v>0</v>
      </c>
      <c r="IN480">
        <v>0</v>
      </c>
      <c r="IO480">
        <v>0</v>
      </c>
      <c r="IP480">
        <v>0</v>
      </c>
      <c r="IQ480">
        <v>0</v>
      </c>
      <c r="IR480">
        <v>0</v>
      </c>
      <c r="IS480">
        <v>0</v>
      </c>
      <c r="IT480">
        <v>0</v>
      </c>
      <c r="IU480">
        <v>0</v>
      </c>
      <c r="IV480">
        <v>0</v>
      </c>
      <c r="IW480">
        <v>0</v>
      </c>
      <c r="IX480">
        <v>0</v>
      </c>
      <c r="IY480">
        <v>0</v>
      </c>
      <c r="IZ480">
        <v>0</v>
      </c>
      <c r="JA480">
        <v>0</v>
      </c>
      <c r="JB480">
        <v>0</v>
      </c>
      <c r="JC480">
        <v>0</v>
      </c>
      <c r="JD480">
        <v>0</v>
      </c>
      <c r="JE480">
        <v>0</v>
      </c>
      <c r="JF480">
        <v>0</v>
      </c>
      <c r="JG480">
        <v>0</v>
      </c>
      <c r="JH480">
        <v>0</v>
      </c>
      <c r="JI480">
        <v>0</v>
      </c>
      <c r="JJ480">
        <v>0</v>
      </c>
      <c r="JK480">
        <v>0</v>
      </c>
      <c r="JL480">
        <v>0</v>
      </c>
      <c r="JM480">
        <v>0</v>
      </c>
      <c r="JN480">
        <v>0</v>
      </c>
      <c r="JO480">
        <v>0</v>
      </c>
      <c r="JP480">
        <v>0</v>
      </c>
      <c r="JQ480">
        <v>0</v>
      </c>
      <c r="JR480">
        <v>0</v>
      </c>
      <c r="JS480">
        <v>0</v>
      </c>
      <c r="JT480">
        <v>0</v>
      </c>
      <c r="JU480">
        <v>0</v>
      </c>
      <c r="JV480">
        <v>0</v>
      </c>
      <c r="JW480">
        <v>0</v>
      </c>
      <c r="JX480">
        <v>0</v>
      </c>
      <c r="JY480">
        <v>0</v>
      </c>
      <c r="JZ480">
        <v>0</v>
      </c>
      <c r="KA480">
        <v>0</v>
      </c>
      <c r="KB480">
        <v>0</v>
      </c>
      <c r="KC480">
        <v>0</v>
      </c>
      <c r="KD480">
        <v>0</v>
      </c>
      <c r="KE480">
        <v>0</v>
      </c>
      <c r="KF480">
        <v>0</v>
      </c>
      <c r="KG480">
        <v>0</v>
      </c>
      <c r="KH480">
        <v>0</v>
      </c>
      <c r="KI480">
        <v>0</v>
      </c>
      <c r="KJ480">
        <v>0</v>
      </c>
      <c r="KK480">
        <v>0</v>
      </c>
      <c r="KL480">
        <v>0</v>
      </c>
      <c r="KM480">
        <v>0</v>
      </c>
      <c r="KN480">
        <v>0</v>
      </c>
      <c r="KO480">
        <v>0</v>
      </c>
      <c r="KP480">
        <v>0</v>
      </c>
      <c r="KQ480">
        <v>0</v>
      </c>
      <c r="KR480">
        <v>0</v>
      </c>
      <c r="KS480">
        <v>0</v>
      </c>
      <c r="KT480">
        <v>0</v>
      </c>
      <c r="KU480">
        <v>0</v>
      </c>
      <c r="KV480">
        <v>0</v>
      </c>
      <c r="KW480">
        <v>0</v>
      </c>
      <c r="KX480">
        <v>0</v>
      </c>
      <c r="KY480">
        <v>0</v>
      </c>
      <c r="KZ480">
        <v>0</v>
      </c>
      <c r="LA480">
        <v>0</v>
      </c>
      <c r="LB480">
        <v>0</v>
      </c>
      <c r="LC480">
        <v>0</v>
      </c>
      <c r="LD480">
        <v>0</v>
      </c>
      <c r="LE480">
        <v>0</v>
      </c>
      <c r="LF480">
        <v>0</v>
      </c>
      <c r="LG480">
        <v>0</v>
      </c>
      <c r="LH480">
        <v>0</v>
      </c>
      <c r="LI480">
        <v>0</v>
      </c>
      <c r="LJ480">
        <v>0</v>
      </c>
      <c r="LK480">
        <v>0</v>
      </c>
      <c r="LL480">
        <v>0</v>
      </c>
      <c r="LM480">
        <v>0</v>
      </c>
      <c r="LN480">
        <v>0</v>
      </c>
      <c r="LO480">
        <v>0</v>
      </c>
      <c r="LP480">
        <v>0</v>
      </c>
      <c r="LQ480">
        <v>0</v>
      </c>
      <c r="LR480">
        <v>0</v>
      </c>
      <c r="LS480">
        <v>0</v>
      </c>
      <c r="LT480">
        <v>0</v>
      </c>
      <c r="LU480">
        <v>0</v>
      </c>
      <c r="LV480">
        <v>0</v>
      </c>
      <c r="LW480">
        <v>0</v>
      </c>
      <c r="LX480">
        <v>0</v>
      </c>
      <c r="LY480">
        <v>0</v>
      </c>
      <c r="LZ480">
        <v>0</v>
      </c>
      <c r="MA480">
        <v>0</v>
      </c>
      <c r="MB480">
        <v>0</v>
      </c>
      <c r="MC480">
        <v>0</v>
      </c>
      <c r="MD480">
        <v>0</v>
      </c>
      <c r="ME480">
        <v>0</v>
      </c>
      <c r="MF480">
        <v>0</v>
      </c>
      <c r="MG480">
        <v>0</v>
      </c>
      <c r="MH480">
        <v>0</v>
      </c>
      <c r="MI480">
        <v>0</v>
      </c>
      <c r="MJ480">
        <v>0</v>
      </c>
      <c r="MK480">
        <v>0</v>
      </c>
      <c r="ML480">
        <v>0</v>
      </c>
      <c r="MM480">
        <v>0</v>
      </c>
      <c r="MN480">
        <v>0</v>
      </c>
      <c r="MO480">
        <v>0</v>
      </c>
      <c r="MP480">
        <v>0</v>
      </c>
      <c r="MQ480">
        <v>0</v>
      </c>
      <c r="MR480">
        <v>0</v>
      </c>
      <c r="MS480">
        <v>0</v>
      </c>
      <c r="MT480">
        <v>0</v>
      </c>
      <c r="MU480">
        <v>0</v>
      </c>
      <c r="MV480">
        <v>0</v>
      </c>
      <c r="MW480">
        <v>0</v>
      </c>
      <c r="MX480">
        <v>0</v>
      </c>
      <c r="MY480">
        <v>0</v>
      </c>
      <c r="MZ480">
        <v>0</v>
      </c>
      <c r="NA480">
        <v>0</v>
      </c>
      <c r="NB480">
        <v>0</v>
      </c>
      <c r="NC480">
        <v>0</v>
      </c>
      <c r="ND480">
        <v>0</v>
      </c>
      <c r="NE480">
        <v>0</v>
      </c>
    </row>
    <row r="481" spans="41:369" x14ac:dyDescent="0.45">
      <c r="AO481">
        <v>0</v>
      </c>
      <c r="AP481">
        <v>0</v>
      </c>
      <c r="AQ481">
        <v>0</v>
      </c>
      <c r="AR481">
        <v>0</v>
      </c>
      <c r="AS481">
        <v>0</v>
      </c>
      <c r="AT481">
        <v>0</v>
      </c>
      <c r="AU481">
        <v>0</v>
      </c>
      <c r="AV481">
        <v>0</v>
      </c>
      <c r="AW481" t="str">
        <v/>
      </c>
      <c r="AX481">
        <v>255</v>
      </c>
      <c r="AY481" s="5" t="str">
        <v/>
      </c>
      <c r="AZ481">
        <v>0</v>
      </c>
      <c r="BA481">
        <v>0</v>
      </c>
      <c r="BB481">
        <v>0</v>
      </c>
      <c r="BC481">
        <v>0</v>
      </c>
      <c r="BD481">
        <v>0</v>
      </c>
      <c r="BE481">
        <v>0</v>
      </c>
      <c r="BF481">
        <v>0</v>
      </c>
      <c r="BG481">
        <v>0</v>
      </c>
      <c r="BH481">
        <v>0</v>
      </c>
      <c r="BI481" t="str">
        <v/>
      </c>
      <c r="BK481">
        <v>475</v>
      </c>
      <c r="BL481">
        <v>0</v>
      </c>
      <c r="BM481">
        <v>0</v>
      </c>
      <c r="BN481">
        <v>0</v>
      </c>
      <c r="BO481">
        <v>0</v>
      </c>
      <c r="BP481">
        <v>0</v>
      </c>
      <c r="BQ481">
        <v>0</v>
      </c>
      <c r="BR481">
        <v>0</v>
      </c>
      <c r="BS481">
        <v>0</v>
      </c>
      <c r="BT481">
        <v>0</v>
      </c>
      <c r="BU481">
        <v>0</v>
      </c>
      <c r="BV481">
        <v>0</v>
      </c>
      <c r="BW481">
        <v>0</v>
      </c>
      <c r="BX481">
        <v>0</v>
      </c>
      <c r="BY481">
        <v>0</v>
      </c>
      <c r="BZ481">
        <v>0</v>
      </c>
      <c r="CA481">
        <v>0</v>
      </c>
      <c r="CB481">
        <v>0</v>
      </c>
      <c r="CC481">
        <v>0</v>
      </c>
      <c r="CD481">
        <v>0</v>
      </c>
      <c r="CE481">
        <v>0</v>
      </c>
      <c r="CF481">
        <v>0</v>
      </c>
      <c r="CG481">
        <v>0</v>
      </c>
      <c r="CH481">
        <v>0</v>
      </c>
      <c r="CI481">
        <v>0</v>
      </c>
      <c r="CJ481">
        <v>0</v>
      </c>
      <c r="CK481">
        <v>0</v>
      </c>
      <c r="CL481">
        <v>0</v>
      </c>
      <c r="CM481">
        <v>0</v>
      </c>
      <c r="CN481">
        <v>0</v>
      </c>
      <c r="CO481">
        <v>0</v>
      </c>
      <c r="CP481">
        <v>0</v>
      </c>
      <c r="CQ481">
        <v>0</v>
      </c>
      <c r="CR481">
        <v>0</v>
      </c>
      <c r="CS481">
        <v>0</v>
      </c>
      <c r="CT481">
        <v>0</v>
      </c>
      <c r="CU481">
        <v>0</v>
      </c>
      <c r="CV481">
        <v>0</v>
      </c>
      <c r="CW481">
        <v>0</v>
      </c>
      <c r="CX481">
        <v>0</v>
      </c>
      <c r="CY481">
        <v>0</v>
      </c>
      <c r="CZ481">
        <v>0</v>
      </c>
      <c r="DA481">
        <v>0</v>
      </c>
      <c r="DB481">
        <v>0</v>
      </c>
      <c r="DC481">
        <v>0</v>
      </c>
      <c r="DD481">
        <v>0</v>
      </c>
      <c r="DE481">
        <v>0</v>
      </c>
      <c r="DF481">
        <v>0</v>
      </c>
      <c r="DG481">
        <v>0</v>
      </c>
      <c r="DH481">
        <v>0</v>
      </c>
      <c r="DI481">
        <v>0</v>
      </c>
      <c r="DJ481">
        <v>0</v>
      </c>
      <c r="DK481">
        <v>0</v>
      </c>
      <c r="DL481">
        <v>0</v>
      </c>
      <c r="DM481">
        <v>0</v>
      </c>
      <c r="DN481">
        <v>0</v>
      </c>
      <c r="DO481">
        <v>0</v>
      </c>
      <c r="DP481">
        <v>0</v>
      </c>
      <c r="DQ481">
        <v>0</v>
      </c>
      <c r="DR481">
        <v>0</v>
      </c>
      <c r="DS481">
        <v>0</v>
      </c>
      <c r="DT481">
        <v>0</v>
      </c>
      <c r="DU481">
        <v>0</v>
      </c>
      <c r="DV481">
        <v>0</v>
      </c>
      <c r="DW481">
        <v>0</v>
      </c>
      <c r="DX481">
        <v>0</v>
      </c>
      <c r="DY481">
        <v>0</v>
      </c>
      <c r="DZ481">
        <v>0</v>
      </c>
      <c r="EA481">
        <v>0</v>
      </c>
      <c r="EB481">
        <v>0</v>
      </c>
      <c r="EC481">
        <v>0</v>
      </c>
      <c r="ED481">
        <v>0</v>
      </c>
      <c r="EE481">
        <v>0</v>
      </c>
      <c r="EF481">
        <v>0</v>
      </c>
      <c r="EG481">
        <v>0</v>
      </c>
      <c r="EH481">
        <v>0</v>
      </c>
      <c r="EI481">
        <v>0</v>
      </c>
      <c r="EJ481">
        <v>0</v>
      </c>
      <c r="EK481">
        <v>0</v>
      </c>
      <c r="EL481">
        <v>0</v>
      </c>
      <c r="EM481">
        <v>0</v>
      </c>
      <c r="EN481">
        <v>0</v>
      </c>
      <c r="EO481">
        <v>0</v>
      </c>
      <c r="EP481">
        <v>0</v>
      </c>
      <c r="EQ481">
        <v>0</v>
      </c>
      <c r="ER481">
        <v>0</v>
      </c>
      <c r="ES481">
        <v>0</v>
      </c>
      <c r="ET481">
        <v>0</v>
      </c>
      <c r="EU481">
        <v>0</v>
      </c>
      <c r="EV481">
        <v>0</v>
      </c>
      <c r="EW481">
        <v>0</v>
      </c>
      <c r="EX481">
        <v>0</v>
      </c>
      <c r="EY481">
        <v>0</v>
      </c>
      <c r="EZ481">
        <v>0</v>
      </c>
      <c r="FA481">
        <v>0</v>
      </c>
      <c r="FB481">
        <v>0</v>
      </c>
      <c r="FC481">
        <v>0</v>
      </c>
      <c r="FD481">
        <v>0</v>
      </c>
      <c r="FE481">
        <v>0</v>
      </c>
      <c r="FF481">
        <v>0</v>
      </c>
      <c r="FG481">
        <v>0</v>
      </c>
      <c r="FH481">
        <v>0</v>
      </c>
      <c r="FI481">
        <v>0</v>
      </c>
      <c r="FJ481">
        <v>0</v>
      </c>
      <c r="FK481">
        <v>0</v>
      </c>
      <c r="FL481">
        <v>0</v>
      </c>
      <c r="FM481">
        <v>0</v>
      </c>
      <c r="FN481">
        <v>0</v>
      </c>
      <c r="FO481">
        <v>0</v>
      </c>
      <c r="FP481">
        <v>0</v>
      </c>
      <c r="FQ481">
        <v>0</v>
      </c>
      <c r="FR481">
        <v>0</v>
      </c>
      <c r="FS481">
        <v>0</v>
      </c>
      <c r="FT481">
        <v>0</v>
      </c>
      <c r="FU481">
        <v>0</v>
      </c>
      <c r="FV481">
        <v>0</v>
      </c>
      <c r="FW481">
        <v>0</v>
      </c>
      <c r="FX481">
        <v>0</v>
      </c>
      <c r="FY481">
        <v>0</v>
      </c>
      <c r="FZ481">
        <v>0</v>
      </c>
      <c r="GA481">
        <v>0</v>
      </c>
      <c r="GB481">
        <v>0</v>
      </c>
      <c r="GC481">
        <v>0</v>
      </c>
      <c r="GD481">
        <v>0</v>
      </c>
      <c r="GE481">
        <v>0</v>
      </c>
      <c r="GF481">
        <v>0</v>
      </c>
      <c r="GG481">
        <v>0</v>
      </c>
      <c r="GH481">
        <v>0</v>
      </c>
      <c r="GI481">
        <v>0</v>
      </c>
      <c r="GJ481">
        <v>0</v>
      </c>
      <c r="GK481">
        <v>0</v>
      </c>
      <c r="GL481">
        <v>0</v>
      </c>
      <c r="GM481">
        <v>0</v>
      </c>
      <c r="GN481">
        <v>0</v>
      </c>
      <c r="GO481">
        <v>0</v>
      </c>
      <c r="GP481">
        <v>0</v>
      </c>
      <c r="GQ481">
        <v>0</v>
      </c>
      <c r="GR481">
        <v>0</v>
      </c>
      <c r="GS481">
        <v>0</v>
      </c>
      <c r="GT481">
        <v>0</v>
      </c>
      <c r="GU481">
        <v>0</v>
      </c>
      <c r="GV481">
        <v>0</v>
      </c>
      <c r="GW481">
        <v>0</v>
      </c>
      <c r="GX481">
        <v>0</v>
      </c>
      <c r="GY481">
        <v>0</v>
      </c>
      <c r="GZ481">
        <v>0</v>
      </c>
      <c r="HA481">
        <v>0</v>
      </c>
      <c r="HB481">
        <v>0</v>
      </c>
      <c r="HC481">
        <v>0</v>
      </c>
      <c r="HD481">
        <v>0</v>
      </c>
      <c r="HE481">
        <v>0</v>
      </c>
      <c r="HF481">
        <v>0</v>
      </c>
      <c r="HG481">
        <v>0</v>
      </c>
      <c r="HH481">
        <v>0</v>
      </c>
      <c r="HI481">
        <v>0</v>
      </c>
      <c r="HJ481">
        <v>0</v>
      </c>
      <c r="HK481">
        <v>0</v>
      </c>
      <c r="HL481">
        <v>0</v>
      </c>
      <c r="HM481">
        <v>0</v>
      </c>
      <c r="HN481">
        <v>0</v>
      </c>
      <c r="HO481">
        <v>0</v>
      </c>
      <c r="HP481">
        <v>0</v>
      </c>
      <c r="HQ481">
        <v>0</v>
      </c>
      <c r="HR481">
        <v>0</v>
      </c>
      <c r="HS481">
        <v>0</v>
      </c>
      <c r="HT481">
        <v>0</v>
      </c>
      <c r="HU481">
        <v>0</v>
      </c>
      <c r="HV481">
        <v>0</v>
      </c>
      <c r="HW481">
        <v>0</v>
      </c>
      <c r="HX481">
        <v>0</v>
      </c>
      <c r="HY481">
        <v>0</v>
      </c>
      <c r="HZ481">
        <v>0</v>
      </c>
      <c r="IA481">
        <v>0</v>
      </c>
      <c r="IB481">
        <v>0</v>
      </c>
      <c r="IC481">
        <v>0</v>
      </c>
      <c r="ID481">
        <v>0</v>
      </c>
      <c r="IE481">
        <v>0</v>
      </c>
      <c r="IF481">
        <v>0</v>
      </c>
      <c r="IG481">
        <v>0</v>
      </c>
      <c r="IH481">
        <v>0</v>
      </c>
      <c r="II481">
        <v>0</v>
      </c>
      <c r="IJ481">
        <v>0</v>
      </c>
      <c r="IK481">
        <v>0</v>
      </c>
      <c r="IL481">
        <v>0</v>
      </c>
      <c r="IM481">
        <v>0</v>
      </c>
      <c r="IN481">
        <v>0</v>
      </c>
      <c r="IO481">
        <v>0</v>
      </c>
      <c r="IP481">
        <v>0</v>
      </c>
      <c r="IQ481">
        <v>0</v>
      </c>
      <c r="IR481">
        <v>0</v>
      </c>
      <c r="IS481">
        <v>0</v>
      </c>
      <c r="IT481">
        <v>0</v>
      </c>
      <c r="IU481">
        <v>0</v>
      </c>
      <c r="IV481">
        <v>0</v>
      </c>
      <c r="IW481">
        <v>0</v>
      </c>
      <c r="IX481">
        <v>0</v>
      </c>
      <c r="IY481">
        <v>0</v>
      </c>
      <c r="IZ481">
        <v>0</v>
      </c>
      <c r="JA481">
        <v>0</v>
      </c>
      <c r="JB481">
        <v>0</v>
      </c>
      <c r="JC481">
        <v>0</v>
      </c>
      <c r="JD481">
        <v>0</v>
      </c>
      <c r="JE481">
        <v>0</v>
      </c>
      <c r="JF481">
        <v>0</v>
      </c>
      <c r="JG481">
        <v>0</v>
      </c>
      <c r="JH481">
        <v>0</v>
      </c>
      <c r="JI481">
        <v>0</v>
      </c>
      <c r="JJ481">
        <v>0</v>
      </c>
      <c r="JK481">
        <v>0</v>
      </c>
      <c r="JL481">
        <v>0</v>
      </c>
      <c r="JM481">
        <v>0</v>
      </c>
      <c r="JN481">
        <v>0</v>
      </c>
      <c r="JO481">
        <v>0</v>
      </c>
      <c r="JP481">
        <v>0</v>
      </c>
      <c r="JQ481">
        <v>0</v>
      </c>
      <c r="JR481">
        <v>0</v>
      </c>
      <c r="JS481">
        <v>0</v>
      </c>
      <c r="JT481">
        <v>0</v>
      </c>
      <c r="JU481">
        <v>0</v>
      </c>
      <c r="JV481">
        <v>0</v>
      </c>
      <c r="JW481">
        <v>0</v>
      </c>
      <c r="JX481">
        <v>0</v>
      </c>
      <c r="JY481">
        <v>0</v>
      </c>
      <c r="JZ481">
        <v>0</v>
      </c>
      <c r="KA481">
        <v>0</v>
      </c>
      <c r="KB481">
        <v>0</v>
      </c>
      <c r="KC481">
        <v>0</v>
      </c>
      <c r="KD481">
        <v>0</v>
      </c>
      <c r="KE481">
        <v>0</v>
      </c>
      <c r="KF481">
        <v>0</v>
      </c>
      <c r="KG481">
        <v>0</v>
      </c>
      <c r="KH481">
        <v>0</v>
      </c>
      <c r="KI481">
        <v>0</v>
      </c>
      <c r="KJ481">
        <v>0</v>
      </c>
      <c r="KK481">
        <v>0</v>
      </c>
      <c r="KL481">
        <v>0</v>
      </c>
      <c r="KM481">
        <v>0</v>
      </c>
      <c r="KN481">
        <v>0</v>
      </c>
      <c r="KO481">
        <v>0</v>
      </c>
      <c r="KP481">
        <v>0</v>
      </c>
      <c r="KQ481">
        <v>0</v>
      </c>
      <c r="KR481">
        <v>0</v>
      </c>
      <c r="KS481">
        <v>0</v>
      </c>
      <c r="KT481">
        <v>0</v>
      </c>
      <c r="KU481">
        <v>0</v>
      </c>
      <c r="KV481">
        <v>0</v>
      </c>
      <c r="KW481">
        <v>0</v>
      </c>
      <c r="KX481">
        <v>0</v>
      </c>
      <c r="KY481">
        <v>0</v>
      </c>
      <c r="KZ481">
        <v>0</v>
      </c>
      <c r="LA481">
        <v>0</v>
      </c>
      <c r="LB481">
        <v>0</v>
      </c>
      <c r="LC481">
        <v>0</v>
      </c>
      <c r="LD481">
        <v>0</v>
      </c>
      <c r="LE481">
        <v>0</v>
      </c>
      <c r="LF481">
        <v>0</v>
      </c>
      <c r="LG481">
        <v>0</v>
      </c>
      <c r="LH481">
        <v>0</v>
      </c>
      <c r="LI481">
        <v>0</v>
      </c>
      <c r="LJ481">
        <v>0</v>
      </c>
      <c r="LK481">
        <v>0</v>
      </c>
      <c r="LL481">
        <v>0</v>
      </c>
      <c r="LM481">
        <v>0</v>
      </c>
      <c r="LN481">
        <v>0</v>
      </c>
      <c r="LO481">
        <v>0</v>
      </c>
      <c r="LP481">
        <v>0</v>
      </c>
      <c r="LQ481">
        <v>0</v>
      </c>
      <c r="LR481">
        <v>0</v>
      </c>
      <c r="LS481">
        <v>0</v>
      </c>
      <c r="LT481">
        <v>0</v>
      </c>
      <c r="LU481">
        <v>0</v>
      </c>
      <c r="LV481">
        <v>0</v>
      </c>
      <c r="LW481">
        <v>0</v>
      </c>
      <c r="LX481">
        <v>0</v>
      </c>
      <c r="LY481">
        <v>0</v>
      </c>
      <c r="LZ481">
        <v>0</v>
      </c>
      <c r="MA481">
        <v>0</v>
      </c>
      <c r="MB481">
        <v>0</v>
      </c>
      <c r="MC481">
        <v>0</v>
      </c>
      <c r="MD481">
        <v>0</v>
      </c>
      <c r="ME481">
        <v>0</v>
      </c>
      <c r="MF481">
        <v>0</v>
      </c>
      <c r="MG481">
        <v>0</v>
      </c>
      <c r="MH481">
        <v>0</v>
      </c>
      <c r="MI481">
        <v>0</v>
      </c>
      <c r="MJ481">
        <v>0</v>
      </c>
      <c r="MK481">
        <v>0</v>
      </c>
      <c r="ML481">
        <v>0</v>
      </c>
      <c r="MM481">
        <v>0</v>
      </c>
      <c r="MN481">
        <v>0</v>
      </c>
      <c r="MO481">
        <v>0</v>
      </c>
      <c r="MP481">
        <v>0</v>
      </c>
      <c r="MQ481">
        <v>0</v>
      </c>
      <c r="MR481">
        <v>0</v>
      </c>
      <c r="MS481">
        <v>0</v>
      </c>
      <c r="MT481">
        <v>0</v>
      </c>
      <c r="MU481">
        <v>0</v>
      </c>
      <c r="MV481">
        <v>0</v>
      </c>
      <c r="MW481">
        <v>0</v>
      </c>
      <c r="MX481">
        <v>0</v>
      </c>
      <c r="MY481">
        <v>0</v>
      </c>
      <c r="MZ481">
        <v>0</v>
      </c>
      <c r="NA481">
        <v>0</v>
      </c>
      <c r="NB481">
        <v>0</v>
      </c>
      <c r="NC481">
        <v>0</v>
      </c>
      <c r="ND481">
        <v>0</v>
      </c>
      <c r="NE481">
        <v>0</v>
      </c>
    </row>
    <row r="482" spans="41:369" x14ac:dyDescent="0.45">
      <c r="AO482">
        <v>0</v>
      </c>
      <c r="AP482">
        <v>0</v>
      </c>
      <c r="AQ482">
        <v>0</v>
      </c>
      <c r="AR482">
        <v>0</v>
      </c>
      <c r="AS482">
        <v>0</v>
      </c>
      <c r="AT482">
        <v>0</v>
      </c>
      <c r="AU482">
        <v>0</v>
      </c>
      <c r="AV482">
        <v>0</v>
      </c>
      <c r="AW482" t="str">
        <v/>
      </c>
      <c r="AX482">
        <v>255</v>
      </c>
      <c r="AY482" s="5" t="str">
        <v/>
      </c>
      <c r="AZ482">
        <v>0</v>
      </c>
      <c r="BA482">
        <v>0</v>
      </c>
      <c r="BB482">
        <v>0</v>
      </c>
      <c r="BC482">
        <v>0</v>
      </c>
      <c r="BD482">
        <v>0</v>
      </c>
      <c r="BE482">
        <v>0</v>
      </c>
      <c r="BF482">
        <v>0</v>
      </c>
      <c r="BG482">
        <v>0</v>
      </c>
      <c r="BH482">
        <v>0</v>
      </c>
      <c r="BI482" t="str">
        <v/>
      </c>
      <c r="BK482">
        <v>476</v>
      </c>
      <c r="BL482">
        <v>0</v>
      </c>
      <c r="BM482">
        <v>0</v>
      </c>
      <c r="BN482">
        <v>0</v>
      </c>
      <c r="BO482">
        <v>0</v>
      </c>
      <c r="BP482">
        <v>0</v>
      </c>
      <c r="BQ482">
        <v>0</v>
      </c>
      <c r="BR482">
        <v>0</v>
      </c>
      <c r="BS482">
        <v>0</v>
      </c>
      <c r="BT482">
        <v>0</v>
      </c>
      <c r="BU482">
        <v>0</v>
      </c>
      <c r="BV482">
        <v>0</v>
      </c>
      <c r="BW482">
        <v>0</v>
      </c>
      <c r="BX482">
        <v>0</v>
      </c>
      <c r="BY482">
        <v>0</v>
      </c>
      <c r="BZ482">
        <v>0</v>
      </c>
      <c r="CA482">
        <v>0</v>
      </c>
      <c r="CB482">
        <v>0</v>
      </c>
      <c r="CC482">
        <v>0</v>
      </c>
      <c r="CD482">
        <v>0</v>
      </c>
      <c r="CE482">
        <v>0</v>
      </c>
      <c r="CF482">
        <v>0</v>
      </c>
      <c r="CG482">
        <v>0</v>
      </c>
      <c r="CH482">
        <v>0</v>
      </c>
      <c r="CI482">
        <v>0</v>
      </c>
      <c r="CJ482">
        <v>0</v>
      </c>
      <c r="CK482">
        <v>0</v>
      </c>
      <c r="CL482">
        <v>0</v>
      </c>
      <c r="CM482">
        <v>0</v>
      </c>
      <c r="CN482">
        <v>0</v>
      </c>
      <c r="CO482">
        <v>0</v>
      </c>
      <c r="CP482">
        <v>0</v>
      </c>
      <c r="CQ482">
        <v>0</v>
      </c>
      <c r="CR482">
        <v>0</v>
      </c>
      <c r="CS482">
        <v>0</v>
      </c>
      <c r="CT482">
        <v>0</v>
      </c>
      <c r="CU482">
        <v>0</v>
      </c>
      <c r="CV482">
        <v>0</v>
      </c>
      <c r="CW482">
        <v>0</v>
      </c>
      <c r="CX482">
        <v>0</v>
      </c>
      <c r="CY482">
        <v>0</v>
      </c>
      <c r="CZ482">
        <v>0</v>
      </c>
      <c r="DA482">
        <v>0</v>
      </c>
      <c r="DB482">
        <v>0</v>
      </c>
      <c r="DC482">
        <v>0</v>
      </c>
      <c r="DD482">
        <v>0</v>
      </c>
      <c r="DE482">
        <v>0</v>
      </c>
      <c r="DF482">
        <v>0</v>
      </c>
      <c r="DG482">
        <v>0</v>
      </c>
      <c r="DH482">
        <v>0</v>
      </c>
      <c r="DI482">
        <v>0</v>
      </c>
      <c r="DJ482">
        <v>0</v>
      </c>
      <c r="DK482">
        <v>0</v>
      </c>
      <c r="DL482">
        <v>0</v>
      </c>
      <c r="DM482">
        <v>0</v>
      </c>
      <c r="DN482">
        <v>0</v>
      </c>
      <c r="DO482">
        <v>0</v>
      </c>
      <c r="DP482">
        <v>0</v>
      </c>
      <c r="DQ482">
        <v>0</v>
      </c>
      <c r="DR482">
        <v>0</v>
      </c>
      <c r="DS482">
        <v>0</v>
      </c>
      <c r="DT482">
        <v>0</v>
      </c>
      <c r="DU482">
        <v>0</v>
      </c>
      <c r="DV482">
        <v>0</v>
      </c>
      <c r="DW482">
        <v>0</v>
      </c>
      <c r="DX482">
        <v>0</v>
      </c>
      <c r="DY482">
        <v>0</v>
      </c>
      <c r="DZ482">
        <v>0</v>
      </c>
      <c r="EA482">
        <v>0</v>
      </c>
      <c r="EB482">
        <v>0</v>
      </c>
      <c r="EC482">
        <v>0</v>
      </c>
      <c r="ED482">
        <v>0</v>
      </c>
      <c r="EE482">
        <v>0</v>
      </c>
      <c r="EF482">
        <v>0</v>
      </c>
      <c r="EG482">
        <v>0</v>
      </c>
      <c r="EH482">
        <v>0</v>
      </c>
      <c r="EI482">
        <v>0</v>
      </c>
      <c r="EJ482">
        <v>0</v>
      </c>
      <c r="EK482">
        <v>0</v>
      </c>
      <c r="EL482">
        <v>0</v>
      </c>
      <c r="EM482">
        <v>0</v>
      </c>
      <c r="EN482">
        <v>0</v>
      </c>
      <c r="EO482">
        <v>0</v>
      </c>
      <c r="EP482">
        <v>0</v>
      </c>
      <c r="EQ482">
        <v>0</v>
      </c>
      <c r="ER482">
        <v>0</v>
      </c>
      <c r="ES482">
        <v>0</v>
      </c>
      <c r="ET482">
        <v>0</v>
      </c>
      <c r="EU482">
        <v>0</v>
      </c>
      <c r="EV482">
        <v>0</v>
      </c>
      <c r="EW482">
        <v>0</v>
      </c>
      <c r="EX482">
        <v>0</v>
      </c>
      <c r="EY482">
        <v>0</v>
      </c>
      <c r="EZ482">
        <v>0</v>
      </c>
      <c r="FA482">
        <v>0</v>
      </c>
      <c r="FB482">
        <v>0</v>
      </c>
      <c r="FC482">
        <v>0</v>
      </c>
      <c r="FD482">
        <v>0</v>
      </c>
      <c r="FE482">
        <v>0</v>
      </c>
      <c r="FF482">
        <v>0</v>
      </c>
      <c r="FG482">
        <v>0</v>
      </c>
      <c r="FH482">
        <v>0</v>
      </c>
      <c r="FI482">
        <v>0</v>
      </c>
      <c r="FJ482">
        <v>0</v>
      </c>
      <c r="FK482">
        <v>0</v>
      </c>
      <c r="FL482">
        <v>0</v>
      </c>
      <c r="FM482">
        <v>0</v>
      </c>
      <c r="FN482">
        <v>0</v>
      </c>
      <c r="FO482">
        <v>0</v>
      </c>
      <c r="FP482">
        <v>0</v>
      </c>
      <c r="FQ482">
        <v>0</v>
      </c>
      <c r="FR482">
        <v>0</v>
      </c>
      <c r="FS482">
        <v>0</v>
      </c>
      <c r="FT482">
        <v>0</v>
      </c>
      <c r="FU482">
        <v>0</v>
      </c>
      <c r="FV482">
        <v>0</v>
      </c>
      <c r="FW482">
        <v>0</v>
      </c>
      <c r="FX482">
        <v>0</v>
      </c>
      <c r="FY482">
        <v>0</v>
      </c>
      <c r="FZ482">
        <v>0</v>
      </c>
      <c r="GA482">
        <v>0</v>
      </c>
      <c r="GB482">
        <v>0</v>
      </c>
      <c r="GC482">
        <v>0</v>
      </c>
      <c r="GD482">
        <v>0</v>
      </c>
      <c r="GE482">
        <v>0</v>
      </c>
      <c r="GF482">
        <v>0</v>
      </c>
      <c r="GG482">
        <v>0</v>
      </c>
      <c r="GH482">
        <v>0</v>
      </c>
      <c r="GI482">
        <v>0</v>
      </c>
      <c r="GJ482">
        <v>0</v>
      </c>
      <c r="GK482">
        <v>0</v>
      </c>
      <c r="GL482">
        <v>0</v>
      </c>
      <c r="GM482">
        <v>0</v>
      </c>
      <c r="GN482">
        <v>0</v>
      </c>
      <c r="GO482">
        <v>0</v>
      </c>
      <c r="GP482">
        <v>0</v>
      </c>
      <c r="GQ482">
        <v>0</v>
      </c>
      <c r="GR482">
        <v>0</v>
      </c>
      <c r="GS482">
        <v>0</v>
      </c>
      <c r="GT482">
        <v>0</v>
      </c>
      <c r="GU482">
        <v>0</v>
      </c>
      <c r="GV482">
        <v>0</v>
      </c>
      <c r="GW482">
        <v>0</v>
      </c>
      <c r="GX482">
        <v>0</v>
      </c>
      <c r="GY482">
        <v>0</v>
      </c>
      <c r="GZ482">
        <v>0</v>
      </c>
      <c r="HA482">
        <v>0</v>
      </c>
      <c r="HB482">
        <v>0</v>
      </c>
      <c r="HC482">
        <v>0</v>
      </c>
      <c r="HD482">
        <v>0</v>
      </c>
      <c r="HE482">
        <v>0</v>
      </c>
      <c r="HF482">
        <v>0</v>
      </c>
      <c r="HG482">
        <v>0</v>
      </c>
      <c r="HH482">
        <v>0</v>
      </c>
      <c r="HI482">
        <v>0</v>
      </c>
      <c r="HJ482">
        <v>0</v>
      </c>
      <c r="HK482">
        <v>0</v>
      </c>
      <c r="HL482">
        <v>0</v>
      </c>
      <c r="HM482">
        <v>0</v>
      </c>
      <c r="HN482">
        <v>0</v>
      </c>
      <c r="HO482">
        <v>0</v>
      </c>
      <c r="HP482">
        <v>0</v>
      </c>
      <c r="HQ482">
        <v>0</v>
      </c>
      <c r="HR482">
        <v>0</v>
      </c>
      <c r="HS482">
        <v>0</v>
      </c>
      <c r="HT482">
        <v>0</v>
      </c>
      <c r="HU482">
        <v>0</v>
      </c>
      <c r="HV482">
        <v>0</v>
      </c>
      <c r="HW482">
        <v>0</v>
      </c>
      <c r="HX482">
        <v>0</v>
      </c>
      <c r="HY482">
        <v>0</v>
      </c>
      <c r="HZ482">
        <v>0</v>
      </c>
      <c r="IA482">
        <v>0</v>
      </c>
      <c r="IB482">
        <v>0</v>
      </c>
      <c r="IC482">
        <v>0</v>
      </c>
      <c r="ID482">
        <v>0</v>
      </c>
      <c r="IE482">
        <v>0</v>
      </c>
      <c r="IF482">
        <v>0</v>
      </c>
      <c r="IG482">
        <v>0</v>
      </c>
      <c r="IH482">
        <v>0</v>
      </c>
      <c r="II482">
        <v>0</v>
      </c>
      <c r="IJ482">
        <v>0</v>
      </c>
      <c r="IK482">
        <v>0</v>
      </c>
      <c r="IL482">
        <v>0</v>
      </c>
      <c r="IM482">
        <v>0</v>
      </c>
      <c r="IN482">
        <v>0</v>
      </c>
      <c r="IO482">
        <v>0</v>
      </c>
      <c r="IP482">
        <v>0</v>
      </c>
      <c r="IQ482">
        <v>0</v>
      </c>
      <c r="IR482">
        <v>0</v>
      </c>
      <c r="IS482">
        <v>0</v>
      </c>
      <c r="IT482">
        <v>0</v>
      </c>
      <c r="IU482">
        <v>0</v>
      </c>
      <c r="IV482">
        <v>0</v>
      </c>
      <c r="IW482">
        <v>0</v>
      </c>
      <c r="IX482">
        <v>0</v>
      </c>
      <c r="IY482">
        <v>0</v>
      </c>
      <c r="IZ482">
        <v>0</v>
      </c>
      <c r="JA482">
        <v>0</v>
      </c>
      <c r="JB482">
        <v>0</v>
      </c>
      <c r="JC482">
        <v>0</v>
      </c>
      <c r="JD482">
        <v>0</v>
      </c>
      <c r="JE482">
        <v>0</v>
      </c>
      <c r="JF482">
        <v>0</v>
      </c>
      <c r="JG482">
        <v>0</v>
      </c>
      <c r="JH482">
        <v>0</v>
      </c>
      <c r="JI482">
        <v>0</v>
      </c>
      <c r="JJ482">
        <v>0</v>
      </c>
      <c r="JK482">
        <v>0</v>
      </c>
      <c r="JL482">
        <v>0</v>
      </c>
      <c r="JM482">
        <v>0</v>
      </c>
      <c r="JN482">
        <v>0</v>
      </c>
      <c r="JO482">
        <v>0</v>
      </c>
      <c r="JP482">
        <v>0</v>
      </c>
      <c r="JQ482">
        <v>0</v>
      </c>
      <c r="JR482">
        <v>0</v>
      </c>
      <c r="JS482">
        <v>0</v>
      </c>
      <c r="JT482">
        <v>0</v>
      </c>
      <c r="JU482">
        <v>0</v>
      </c>
      <c r="JV482">
        <v>0</v>
      </c>
      <c r="JW482">
        <v>0</v>
      </c>
      <c r="JX482">
        <v>0</v>
      </c>
      <c r="JY482">
        <v>0</v>
      </c>
      <c r="JZ482">
        <v>0</v>
      </c>
      <c r="KA482">
        <v>0</v>
      </c>
      <c r="KB482">
        <v>0</v>
      </c>
      <c r="KC482">
        <v>0</v>
      </c>
      <c r="KD482">
        <v>0</v>
      </c>
      <c r="KE482">
        <v>0</v>
      </c>
      <c r="KF482">
        <v>0</v>
      </c>
      <c r="KG482">
        <v>0</v>
      </c>
      <c r="KH482">
        <v>0</v>
      </c>
      <c r="KI482">
        <v>0</v>
      </c>
      <c r="KJ482">
        <v>0</v>
      </c>
      <c r="KK482">
        <v>0</v>
      </c>
      <c r="KL482">
        <v>0</v>
      </c>
      <c r="KM482">
        <v>0</v>
      </c>
      <c r="KN482">
        <v>0</v>
      </c>
      <c r="KO482">
        <v>0</v>
      </c>
      <c r="KP482">
        <v>0</v>
      </c>
      <c r="KQ482">
        <v>0</v>
      </c>
      <c r="KR482">
        <v>0</v>
      </c>
      <c r="KS482">
        <v>0</v>
      </c>
      <c r="KT482">
        <v>0</v>
      </c>
      <c r="KU482">
        <v>0</v>
      </c>
      <c r="KV482">
        <v>0</v>
      </c>
      <c r="KW482">
        <v>0</v>
      </c>
      <c r="KX482">
        <v>0</v>
      </c>
      <c r="KY482">
        <v>0</v>
      </c>
      <c r="KZ482">
        <v>0</v>
      </c>
      <c r="LA482">
        <v>0</v>
      </c>
      <c r="LB482">
        <v>0</v>
      </c>
      <c r="LC482">
        <v>0</v>
      </c>
      <c r="LD482">
        <v>0</v>
      </c>
      <c r="LE482">
        <v>0</v>
      </c>
      <c r="LF482">
        <v>0</v>
      </c>
      <c r="LG482">
        <v>0</v>
      </c>
      <c r="LH482">
        <v>0</v>
      </c>
      <c r="LI482">
        <v>0</v>
      </c>
      <c r="LJ482">
        <v>0</v>
      </c>
      <c r="LK482">
        <v>0</v>
      </c>
      <c r="LL482">
        <v>0</v>
      </c>
      <c r="LM482">
        <v>0</v>
      </c>
      <c r="LN482">
        <v>0</v>
      </c>
      <c r="LO482">
        <v>0</v>
      </c>
      <c r="LP482">
        <v>0</v>
      </c>
      <c r="LQ482">
        <v>0</v>
      </c>
      <c r="LR482">
        <v>0</v>
      </c>
      <c r="LS482">
        <v>0</v>
      </c>
      <c r="LT482">
        <v>0</v>
      </c>
      <c r="LU482">
        <v>0</v>
      </c>
      <c r="LV482">
        <v>0</v>
      </c>
      <c r="LW482">
        <v>0</v>
      </c>
      <c r="LX482">
        <v>0</v>
      </c>
      <c r="LY482">
        <v>0</v>
      </c>
      <c r="LZ482">
        <v>0</v>
      </c>
      <c r="MA482">
        <v>0</v>
      </c>
      <c r="MB482">
        <v>0</v>
      </c>
      <c r="MC482">
        <v>0</v>
      </c>
      <c r="MD482">
        <v>0</v>
      </c>
      <c r="ME482">
        <v>0</v>
      </c>
      <c r="MF482">
        <v>0</v>
      </c>
      <c r="MG482">
        <v>0</v>
      </c>
      <c r="MH482">
        <v>0</v>
      </c>
      <c r="MI482">
        <v>0</v>
      </c>
      <c r="MJ482">
        <v>0</v>
      </c>
      <c r="MK482">
        <v>0</v>
      </c>
      <c r="ML482">
        <v>0</v>
      </c>
      <c r="MM482">
        <v>0</v>
      </c>
      <c r="MN482">
        <v>0</v>
      </c>
      <c r="MO482">
        <v>0</v>
      </c>
      <c r="MP482">
        <v>0</v>
      </c>
      <c r="MQ482">
        <v>0</v>
      </c>
      <c r="MR482">
        <v>0</v>
      </c>
      <c r="MS482">
        <v>0</v>
      </c>
      <c r="MT482">
        <v>0</v>
      </c>
      <c r="MU482">
        <v>0</v>
      </c>
      <c r="MV482">
        <v>0</v>
      </c>
      <c r="MW482">
        <v>0</v>
      </c>
      <c r="MX482">
        <v>0</v>
      </c>
      <c r="MY482">
        <v>0</v>
      </c>
      <c r="MZ482">
        <v>0</v>
      </c>
      <c r="NA482">
        <v>0</v>
      </c>
      <c r="NB482">
        <v>0</v>
      </c>
      <c r="NC482">
        <v>0</v>
      </c>
      <c r="ND482">
        <v>0</v>
      </c>
      <c r="NE482">
        <v>0</v>
      </c>
    </row>
    <row r="483" spans="41:369" x14ac:dyDescent="0.45">
      <c r="AO483">
        <v>0</v>
      </c>
      <c r="AP483">
        <v>0</v>
      </c>
      <c r="AQ483">
        <v>0</v>
      </c>
      <c r="AR483">
        <v>0</v>
      </c>
      <c r="AS483">
        <v>0</v>
      </c>
      <c r="AT483">
        <v>0</v>
      </c>
      <c r="AU483">
        <v>0</v>
      </c>
      <c r="AV483">
        <v>0</v>
      </c>
      <c r="AW483" t="str">
        <v/>
      </c>
      <c r="AX483">
        <v>255</v>
      </c>
      <c r="AY483" s="5" t="str">
        <v/>
      </c>
      <c r="AZ483">
        <v>0</v>
      </c>
      <c r="BA483">
        <v>0</v>
      </c>
      <c r="BB483">
        <v>0</v>
      </c>
      <c r="BC483">
        <v>0</v>
      </c>
      <c r="BD483">
        <v>0</v>
      </c>
      <c r="BE483">
        <v>0</v>
      </c>
      <c r="BF483">
        <v>0</v>
      </c>
      <c r="BG483">
        <v>0</v>
      </c>
      <c r="BH483">
        <v>0</v>
      </c>
      <c r="BI483" t="str">
        <v/>
      </c>
      <c r="BK483">
        <v>477</v>
      </c>
      <c r="BL483">
        <v>0</v>
      </c>
      <c r="BM483">
        <v>0</v>
      </c>
      <c r="BN483">
        <v>0</v>
      </c>
      <c r="BO483">
        <v>0</v>
      </c>
      <c r="BP483">
        <v>0</v>
      </c>
      <c r="BQ483">
        <v>0</v>
      </c>
      <c r="BR483">
        <v>0</v>
      </c>
      <c r="BS483">
        <v>0</v>
      </c>
      <c r="BT483">
        <v>0</v>
      </c>
      <c r="BU483">
        <v>0</v>
      </c>
      <c r="BV483">
        <v>0</v>
      </c>
      <c r="BW483">
        <v>0</v>
      </c>
      <c r="BX483">
        <v>0</v>
      </c>
      <c r="BY483">
        <v>0</v>
      </c>
      <c r="BZ483">
        <v>0</v>
      </c>
      <c r="CA483">
        <v>0</v>
      </c>
      <c r="CB483">
        <v>0</v>
      </c>
      <c r="CC483">
        <v>0</v>
      </c>
      <c r="CD483">
        <v>0</v>
      </c>
      <c r="CE483">
        <v>0</v>
      </c>
      <c r="CF483">
        <v>0</v>
      </c>
      <c r="CG483">
        <v>0</v>
      </c>
      <c r="CH483">
        <v>0</v>
      </c>
      <c r="CI483">
        <v>0</v>
      </c>
      <c r="CJ483">
        <v>0</v>
      </c>
      <c r="CK483">
        <v>0</v>
      </c>
      <c r="CL483">
        <v>0</v>
      </c>
      <c r="CM483">
        <v>0</v>
      </c>
      <c r="CN483">
        <v>0</v>
      </c>
      <c r="CO483">
        <v>0</v>
      </c>
      <c r="CP483">
        <v>0</v>
      </c>
      <c r="CQ483">
        <v>0</v>
      </c>
      <c r="CR483">
        <v>0</v>
      </c>
      <c r="CS483">
        <v>0</v>
      </c>
      <c r="CT483">
        <v>0</v>
      </c>
      <c r="CU483">
        <v>0</v>
      </c>
      <c r="CV483">
        <v>0</v>
      </c>
      <c r="CW483">
        <v>0</v>
      </c>
      <c r="CX483">
        <v>0</v>
      </c>
      <c r="CY483">
        <v>0</v>
      </c>
      <c r="CZ483">
        <v>0</v>
      </c>
      <c r="DA483">
        <v>0</v>
      </c>
      <c r="DB483">
        <v>0</v>
      </c>
      <c r="DC483">
        <v>0</v>
      </c>
      <c r="DD483">
        <v>0</v>
      </c>
      <c r="DE483">
        <v>0</v>
      </c>
      <c r="DF483">
        <v>0</v>
      </c>
      <c r="DG483">
        <v>0</v>
      </c>
      <c r="DH483">
        <v>0</v>
      </c>
      <c r="DI483">
        <v>0</v>
      </c>
      <c r="DJ483">
        <v>0</v>
      </c>
      <c r="DK483">
        <v>0</v>
      </c>
      <c r="DL483">
        <v>0</v>
      </c>
      <c r="DM483">
        <v>0</v>
      </c>
      <c r="DN483">
        <v>0</v>
      </c>
      <c r="DO483">
        <v>0</v>
      </c>
      <c r="DP483">
        <v>0</v>
      </c>
      <c r="DQ483">
        <v>0</v>
      </c>
      <c r="DR483">
        <v>0</v>
      </c>
      <c r="DS483">
        <v>0</v>
      </c>
      <c r="DT483">
        <v>0</v>
      </c>
      <c r="DU483">
        <v>0</v>
      </c>
      <c r="DV483">
        <v>0</v>
      </c>
      <c r="DW483">
        <v>0</v>
      </c>
      <c r="DX483">
        <v>0</v>
      </c>
      <c r="DY483">
        <v>0</v>
      </c>
      <c r="DZ483">
        <v>0</v>
      </c>
      <c r="EA483">
        <v>0</v>
      </c>
      <c r="EB483">
        <v>0</v>
      </c>
      <c r="EC483">
        <v>0</v>
      </c>
      <c r="ED483">
        <v>0</v>
      </c>
      <c r="EE483">
        <v>0</v>
      </c>
      <c r="EF483">
        <v>0</v>
      </c>
      <c r="EG483">
        <v>0</v>
      </c>
      <c r="EH483">
        <v>0</v>
      </c>
      <c r="EI483">
        <v>0</v>
      </c>
      <c r="EJ483">
        <v>0</v>
      </c>
      <c r="EK483">
        <v>0</v>
      </c>
      <c r="EL483">
        <v>0</v>
      </c>
      <c r="EM483">
        <v>0</v>
      </c>
      <c r="EN483">
        <v>0</v>
      </c>
      <c r="EO483">
        <v>0</v>
      </c>
      <c r="EP483">
        <v>0</v>
      </c>
      <c r="EQ483">
        <v>0</v>
      </c>
      <c r="ER483">
        <v>0</v>
      </c>
      <c r="ES483">
        <v>0</v>
      </c>
      <c r="ET483">
        <v>0</v>
      </c>
      <c r="EU483">
        <v>0</v>
      </c>
      <c r="EV483">
        <v>0</v>
      </c>
      <c r="EW483">
        <v>0</v>
      </c>
      <c r="EX483">
        <v>0</v>
      </c>
      <c r="EY483">
        <v>0</v>
      </c>
      <c r="EZ483">
        <v>0</v>
      </c>
      <c r="FA483">
        <v>0</v>
      </c>
      <c r="FB483">
        <v>0</v>
      </c>
      <c r="FC483">
        <v>0</v>
      </c>
      <c r="FD483">
        <v>0</v>
      </c>
      <c r="FE483">
        <v>0</v>
      </c>
      <c r="FF483">
        <v>0</v>
      </c>
      <c r="FG483">
        <v>0</v>
      </c>
      <c r="FH483">
        <v>0</v>
      </c>
      <c r="FI483">
        <v>0</v>
      </c>
      <c r="FJ483">
        <v>0</v>
      </c>
      <c r="FK483">
        <v>0</v>
      </c>
      <c r="FL483">
        <v>0</v>
      </c>
      <c r="FM483">
        <v>0</v>
      </c>
      <c r="FN483">
        <v>0</v>
      </c>
      <c r="FO483">
        <v>0</v>
      </c>
      <c r="FP483">
        <v>0</v>
      </c>
      <c r="FQ483">
        <v>0</v>
      </c>
      <c r="FR483">
        <v>0</v>
      </c>
      <c r="FS483">
        <v>0</v>
      </c>
      <c r="FT483">
        <v>0</v>
      </c>
      <c r="FU483">
        <v>0</v>
      </c>
      <c r="FV483">
        <v>0</v>
      </c>
      <c r="FW483">
        <v>0</v>
      </c>
      <c r="FX483">
        <v>0</v>
      </c>
      <c r="FY483">
        <v>0</v>
      </c>
      <c r="FZ483">
        <v>0</v>
      </c>
      <c r="GA483">
        <v>0</v>
      </c>
      <c r="GB483">
        <v>0</v>
      </c>
      <c r="GC483">
        <v>0</v>
      </c>
      <c r="GD483">
        <v>0</v>
      </c>
      <c r="GE483">
        <v>0</v>
      </c>
      <c r="GF483">
        <v>0</v>
      </c>
      <c r="GG483">
        <v>0</v>
      </c>
      <c r="GH483">
        <v>0</v>
      </c>
      <c r="GI483">
        <v>0</v>
      </c>
      <c r="GJ483">
        <v>0</v>
      </c>
      <c r="GK483">
        <v>0</v>
      </c>
      <c r="GL483">
        <v>0</v>
      </c>
      <c r="GM483">
        <v>0</v>
      </c>
      <c r="GN483">
        <v>0</v>
      </c>
      <c r="GO483">
        <v>0</v>
      </c>
      <c r="GP483">
        <v>0</v>
      </c>
      <c r="GQ483">
        <v>0</v>
      </c>
      <c r="GR483">
        <v>0</v>
      </c>
      <c r="GS483">
        <v>0</v>
      </c>
      <c r="GT483">
        <v>0</v>
      </c>
      <c r="GU483">
        <v>0</v>
      </c>
      <c r="GV483">
        <v>0</v>
      </c>
      <c r="GW483">
        <v>0</v>
      </c>
      <c r="GX483">
        <v>0</v>
      </c>
      <c r="GY483">
        <v>0</v>
      </c>
      <c r="GZ483">
        <v>0</v>
      </c>
      <c r="HA483">
        <v>0</v>
      </c>
      <c r="HB483">
        <v>0</v>
      </c>
      <c r="HC483">
        <v>0</v>
      </c>
      <c r="HD483">
        <v>0</v>
      </c>
      <c r="HE483">
        <v>0</v>
      </c>
      <c r="HF483">
        <v>0</v>
      </c>
      <c r="HG483">
        <v>0</v>
      </c>
      <c r="HH483">
        <v>0</v>
      </c>
      <c r="HI483">
        <v>0</v>
      </c>
      <c r="HJ483">
        <v>0</v>
      </c>
      <c r="HK483">
        <v>0</v>
      </c>
      <c r="HL483">
        <v>0</v>
      </c>
      <c r="HM483">
        <v>0</v>
      </c>
      <c r="HN483">
        <v>0</v>
      </c>
      <c r="HO483">
        <v>0</v>
      </c>
      <c r="HP483">
        <v>0</v>
      </c>
      <c r="HQ483">
        <v>0</v>
      </c>
      <c r="HR483">
        <v>0</v>
      </c>
      <c r="HS483">
        <v>0</v>
      </c>
      <c r="HT483">
        <v>0</v>
      </c>
      <c r="HU483">
        <v>0</v>
      </c>
      <c r="HV483">
        <v>0</v>
      </c>
      <c r="HW483">
        <v>0</v>
      </c>
      <c r="HX483">
        <v>0</v>
      </c>
      <c r="HY483">
        <v>0</v>
      </c>
      <c r="HZ483">
        <v>0</v>
      </c>
      <c r="IA483">
        <v>0</v>
      </c>
      <c r="IB483">
        <v>0</v>
      </c>
      <c r="IC483">
        <v>0</v>
      </c>
      <c r="ID483">
        <v>0</v>
      </c>
      <c r="IE483">
        <v>0</v>
      </c>
      <c r="IF483">
        <v>0</v>
      </c>
      <c r="IG483">
        <v>0</v>
      </c>
      <c r="IH483">
        <v>0</v>
      </c>
      <c r="II483">
        <v>0</v>
      </c>
      <c r="IJ483">
        <v>0</v>
      </c>
      <c r="IK483">
        <v>0</v>
      </c>
      <c r="IL483">
        <v>0</v>
      </c>
      <c r="IM483">
        <v>0</v>
      </c>
      <c r="IN483">
        <v>0</v>
      </c>
      <c r="IO483">
        <v>0</v>
      </c>
      <c r="IP483">
        <v>0</v>
      </c>
      <c r="IQ483">
        <v>0</v>
      </c>
      <c r="IR483">
        <v>0</v>
      </c>
      <c r="IS483">
        <v>0</v>
      </c>
      <c r="IT483">
        <v>0</v>
      </c>
      <c r="IU483">
        <v>0</v>
      </c>
      <c r="IV483">
        <v>0</v>
      </c>
      <c r="IW483">
        <v>0</v>
      </c>
      <c r="IX483">
        <v>0</v>
      </c>
      <c r="IY483">
        <v>0</v>
      </c>
      <c r="IZ483">
        <v>0</v>
      </c>
      <c r="JA483">
        <v>0</v>
      </c>
      <c r="JB483">
        <v>0</v>
      </c>
      <c r="JC483">
        <v>0</v>
      </c>
      <c r="JD483">
        <v>0</v>
      </c>
      <c r="JE483">
        <v>0</v>
      </c>
      <c r="JF483">
        <v>0</v>
      </c>
      <c r="JG483">
        <v>0</v>
      </c>
      <c r="JH483">
        <v>0</v>
      </c>
      <c r="JI483">
        <v>0</v>
      </c>
      <c r="JJ483">
        <v>0</v>
      </c>
      <c r="JK483">
        <v>0</v>
      </c>
      <c r="JL483">
        <v>0</v>
      </c>
      <c r="JM483">
        <v>0</v>
      </c>
      <c r="JN483">
        <v>0</v>
      </c>
      <c r="JO483">
        <v>0</v>
      </c>
      <c r="JP483">
        <v>0</v>
      </c>
      <c r="JQ483">
        <v>0</v>
      </c>
      <c r="JR483">
        <v>0</v>
      </c>
      <c r="JS483">
        <v>0</v>
      </c>
      <c r="JT483">
        <v>0</v>
      </c>
      <c r="JU483">
        <v>0</v>
      </c>
      <c r="JV483">
        <v>0</v>
      </c>
      <c r="JW483">
        <v>0</v>
      </c>
      <c r="JX483">
        <v>0</v>
      </c>
      <c r="JY483">
        <v>0</v>
      </c>
      <c r="JZ483">
        <v>0</v>
      </c>
      <c r="KA483">
        <v>0</v>
      </c>
      <c r="KB483">
        <v>0</v>
      </c>
      <c r="KC483">
        <v>0</v>
      </c>
      <c r="KD483">
        <v>0</v>
      </c>
      <c r="KE483">
        <v>0</v>
      </c>
      <c r="KF483">
        <v>0</v>
      </c>
      <c r="KG483">
        <v>0</v>
      </c>
      <c r="KH483">
        <v>0</v>
      </c>
      <c r="KI483">
        <v>0</v>
      </c>
      <c r="KJ483">
        <v>0</v>
      </c>
      <c r="KK483">
        <v>0</v>
      </c>
      <c r="KL483">
        <v>0</v>
      </c>
      <c r="KM483">
        <v>0</v>
      </c>
      <c r="KN483">
        <v>0</v>
      </c>
      <c r="KO483">
        <v>0</v>
      </c>
      <c r="KP483">
        <v>0</v>
      </c>
      <c r="KQ483">
        <v>0</v>
      </c>
      <c r="KR483">
        <v>0</v>
      </c>
      <c r="KS483">
        <v>0</v>
      </c>
      <c r="KT483">
        <v>0</v>
      </c>
      <c r="KU483">
        <v>0</v>
      </c>
      <c r="KV483">
        <v>0</v>
      </c>
      <c r="KW483">
        <v>0</v>
      </c>
      <c r="KX483">
        <v>0</v>
      </c>
      <c r="KY483">
        <v>0</v>
      </c>
      <c r="KZ483">
        <v>0</v>
      </c>
      <c r="LA483">
        <v>0</v>
      </c>
      <c r="LB483">
        <v>0</v>
      </c>
      <c r="LC483">
        <v>0</v>
      </c>
      <c r="LD483">
        <v>0</v>
      </c>
      <c r="LE483">
        <v>0</v>
      </c>
      <c r="LF483">
        <v>0</v>
      </c>
      <c r="LG483">
        <v>0</v>
      </c>
      <c r="LH483">
        <v>0</v>
      </c>
      <c r="LI483">
        <v>0</v>
      </c>
      <c r="LJ483">
        <v>0</v>
      </c>
      <c r="LK483">
        <v>0</v>
      </c>
      <c r="LL483">
        <v>0</v>
      </c>
      <c r="LM483">
        <v>0</v>
      </c>
      <c r="LN483">
        <v>0</v>
      </c>
      <c r="LO483">
        <v>0</v>
      </c>
      <c r="LP483">
        <v>0</v>
      </c>
      <c r="LQ483">
        <v>0</v>
      </c>
      <c r="LR483">
        <v>0</v>
      </c>
      <c r="LS483">
        <v>0</v>
      </c>
      <c r="LT483">
        <v>0</v>
      </c>
      <c r="LU483">
        <v>0</v>
      </c>
      <c r="LV483">
        <v>0</v>
      </c>
      <c r="LW483">
        <v>0</v>
      </c>
      <c r="LX483">
        <v>0</v>
      </c>
      <c r="LY483">
        <v>0</v>
      </c>
      <c r="LZ483">
        <v>0</v>
      </c>
      <c r="MA483">
        <v>0</v>
      </c>
      <c r="MB483">
        <v>0</v>
      </c>
      <c r="MC483">
        <v>0</v>
      </c>
      <c r="MD483">
        <v>0</v>
      </c>
      <c r="ME483">
        <v>0</v>
      </c>
      <c r="MF483">
        <v>0</v>
      </c>
      <c r="MG483">
        <v>0</v>
      </c>
      <c r="MH483">
        <v>0</v>
      </c>
      <c r="MI483">
        <v>0</v>
      </c>
      <c r="MJ483">
        <v>0</v>
      </c>
      <c r="MK483">
        <v>0</v>
      </c>
      <c r="ML483">
        <v>0</v>
      </c>
      <c r="MM483">
        <v>0</v>
      </c>
      <c r="MN483">
        <v>0</v>
      </c>
      <c r="MO483">
        <v>0</v>
      </c>
      <c r="MP483">
        <v>0</v>
      </c>
      <c r="MQ483">
        <v>0</v>
      </c>
      <c r="MR483">
        <v>0</v>
      </c>
      <c r="MS483">
        <v>0</v>
      </c>
      <c r="MT483">
        <v>0</v>
      </c>
      <c r="MU483">
        <v>0</v>
      </c>
      <c r="MV483">
        <v>0</v>
      </c>
      <c r="MW483">
        <v>0</v>
      </c>
      <c r="MX483">
        <v>0</v>
      </c>
      <c r="MY483">
        <v>0</v>
      </c>
      <c r="MZ483">
        <v>0</v>
      </c>
      <c r="NA483">
        <v>0</v>
      </c>
      <c r="NB483">
        <v>0</v>
      </c>
      <c r="NC483">
        <v>0</v>
      </c>
      <c r="ND483">
        <v>0</v>
      </c>
      <c r="NE483">
        <v>0</v>
      </c>
    </row>
    <row r="484" spans="41:369" x14ac:dyDescent="0.45">
      <c r="AO484">
        <v>0</v>
      </c>
      <c r="AP484">
        <v>0</v>
      </c>
      <c r="AQ484">
        <v>0</v>
      </c>
      <c r="AR484">
        <v>0</v>
      </c>
      <c r="AS484">
        <v>0</v>
      </c>
      <c r="AT484">
        <v>0</v>
      </c>
      <c r="AU484">
        <v>0</v>
      </c>
      <c r="AV484">
        <v>0</v>
      </c>
      <c r="AW484" t="str">
        <v/>
      </c>
      <c r="AX484">
        <v>255</v>
      </c>
      <c r="AY484" s="5" t="str">
        <v/>
      </c>
      <c r="AZ484">
        <v>0</v>
      </c>
      <c r="BA484">
        <v>0</v>
      </c>
      <c r="BB484">
        <v>0</v>
      </c>
      <c r="BC484">
        <v>0</v>
      </c>
      <c r="BD484">
        <v>0</v>
      </c>
      <c r="BE484">
        <v>0</v>
      </c>
      <c r="BF484">
        <v>0</v>
      </c>
      <c r="BG484">
        <v>0</v>
      </c>
      <c r="BH484">
        <v>0</v>
      </c>
      <c r="BI484" t="str">
        <v/>
      </c>
      <c r="BK484">
        <v>478</v>
      </c>
      <c r="BL484">
        <v>0</v>
      </c>
      <c r="BM484">
        <v>0</v>
      </c>
      <c r="BN484">
        <v>0</v>
      </c>
      <c r="BO484">
        <v>0</v>
      </c>
      <c r="BP484">
        <v>0</v>
      </c>
      <c r="BQ484">
        <v>0</v>
      </c>
      <c r="BR484">
        <v>0</v>
      </c>
      <c r="BS484">
        <v>0</v>
      </c>
      <c r="BT484">
        <v>0</v>
      </c>
      <c r="BU484">
        <v>0</v>
      </c>
      <c r="BV484">
        <v>0</v>
      </c>
      <c r="BW484">
        <v>0</v>
      </c>
      <c r="BX484">
        <v>0</v>
      </c>
      <c r="BY484">
        <v>0</v>
      </c>
      <c r="BZ484">
        <v>0</v>
      </c>
      <c r="CA484">
        <v>0</v>
      </c>
      <c r="CB484">
        <v>0</v>
      </c>
      <c r="CC484">
        <v>0</v>
      </c>
      <c r="CD484">
        <v>0</v>
      </c>
      <c r="CE484">
        <v>0</v>
      </c>
      <c r="CF484">
        <v>0</v>
      </c>
      <c r="CG484">
        <v>0</v>
      </c>
      <c r="CH484">
        <v>0</v>
      </c>
      <c r="CI484">
        <v>0</v>
      </c>
      <c r="CJ484">
        <v>0</v>
      </c>
      <c r="CK484">
        <v>0</v>
      </c>
      <c r="CL484">
        <v>0</v>
      </c>
      <c r="CM484">
        <v>0</v>
      </c>
      <c r="CN484">
        <v>0</v>
      </c>
      <c r="CO484">
        <v>0</v>
      </c>
      <c r="CP484">
        <v>0</v>
      </c>
      <c r="CQ484">
        <v>0</v>
      </c>
      <c r="CR484">
        <v>0</v>
      </c>
      <c r="CS484">
        <v>0</v>
      </c>
      <c r="CT484">
        <v>0</v>
      </c>
      <c r="CU484">
        <v>0</v>
      </c>
      <c r="CV484">
        <v>0</v>
      </c>
      <c r="CW484">
        <v>0</v>
      </c>
      <c r="CX484">
        <v>0</v>
      </c>
      <c r="CY484">
        <v>0</v>
      </c>
      <c r="CZ484">
        <v>0</v>
      </c>
      <c r="DA484">
        <v>0</v>
      </c>
      <c r="DB484">
        <v>0</v>
      </c>
      <c r="DC484">
        <v>0</v>
      </c>
      <c r="DD484">
        <v>0</v>
      </c>
      <c r="DE484">
        <v>0</v>
      </c>
      <c r="DF484">
        <v>0</v>
      </c>
      <c r="DG484">
        <v>0</v>
      </c>
      <c r="DH484">
        <v>0</v>
      </c>
      <c r="DI484">
        <v>0</v>
      </c>
      <c r="DJ484">
        <v>0</v>
      </c>
      <c r="DK484">
        <v>0</v>
      </c>
      <c r="DL484">
        <v>0</v>
      </c>
      <c r="DM484">
        <v>0</v>
      </c>
      <c r="DN484">
        <v>0</v>
      </c>
      <c r="DO484">
        <v>0</v>
      </c>
      <c r="DP484">
        <v>0</v>
      </c>
      <c r="DQ484">
        <v>0</v>
      </c>
      <c r="DR484">
        <v>0</v>
      </c>
      <c r="DS484">
        <v>0</v>
      </c>
      <c r="DT484">
        <v>0</v>
      </c>
      <c r="DU484">
        <v>0</v>
      </c>
      <c r="DV484">
        <v>0</v>
      </c>
      <c r="DW484">
        <v>0</v>
      </c>
      <c r="DX484">
        <v>0</v>
      </c>
      <c r="DY484">
        <v>0</v>
      </c>
      <c r="DZ484">
        <v>0</v>
      </c>
      <c r="EA484">
        <v>0</v>
      </c>
      <c r="EB484">
        <v>0</v>
      </c>
      <c r="EC484">
        <v>0</v>
      </c>
      <c r="ED484">
        <v>0</v>
      </c>
      <c r="EE484">
        <v>0</v>
      </c>
      <c r="EF484">
        <v>0</v>
      </c>
      <c r="EG484">
        <v>0</v>
      </c>
      <c r="EH484">
        <v>0</v>
      </c>
      <c r="EI484">
        <v>0</v>
      </c>
      <c r="EJ484">
        <v>0</v>
      </c>
      <c r="EK484">
        <v>0</v>
      </c>
      <c r="EL484">
        <v>0</v>
      </c>
      <c r="EM484">
        <v>0</v>
      </c>
      <c r="EN484">
        <v>0</v>
      </c>
      <c r="EO484">
        <v>0</v>
      </c>
      <c r="EP484">
        <v>0</v>
      </c>
      <c r="EQ484">
        <v>0</v>
      </c>
      <c r="ER484">
        <v>0</v>
      </c>
      <c r="ES484">
        <v>0</v>
      </c>
      <c r="ET484">
        <v>0</v>
      </c>
      <c r="EU484">
        <v>0</v>
      </c>
      <c r="EV484">
        <v>0</v>
      </c>
      <c r="EW484">
        <v>0</v>
      </c>
      <c r="EX484">
        <v>0</v>
      </c>
      <c r="EY484">
        <v>0</v>
      </c>
      <c r="EZ484">
        <v>0</v>
      </c>
      <c r="FA484">
        <v>0</v>
      </c>
      <c r="FB484">
        <v>0</v>
      </c>
      <c r="FC484">
        <v>0</v>
      </c>
      <c r="FD484">
        <v>0</v>
      </c>
      <c r="FE484">
        <v>0</v>
      </c>
      <c r="FF484">
        <v>0</v>
      </c>
      <c r="FG484">
        <v>0</v>
      </c>
      <c r="FH484">
        <v>0</v>
      </c>
      <c r="FI484">
        <v>0</v>
      </c>
      <c r="FJ484">
        <v>0</v>
      </c>
      <c r="FK484">
        <v>0</v>
      </c>
      <c r="FL484">
        <v>0</v>
      </c>
      <c r="FM484">
        <v>0</v>
      </c>
      <c r="FN484">
        <v>0</v>
      </c>
      <c r="FO484">
        <v>0</v>
      </c>
      <c r="FP484">
        <v>0</v>
      </c>
      <c r="FQ484">
        <v>0</v>
      </c>
      <c r="FR484">
        <v>0</v>
      </c>
      <c r="FS484">
        <v>0</v>
      </c>
      <c r="FT484">
        <v>0</v>
      </c>
      <c r="FU484">
        <v>0</v>
      </c>
      <c r="FV484">
        <v>0</v>
      </c>
      <c r="FW484">
        <v>0</v>
      </c>
      <c r="FX484">
        <v>0</v>
      </c>
      <c r="FY484">
        <v>0</v>
      </c>
      <c r="FZ484">
        <v>0</v>
      </c>
      <c r="GA484">
        <v>0</v>
      </c>
      <c r="GB484">
        <v>0</v>
      </c>
      <c r="GC484">
        <v>0</v>
      </c>
      <c r="GD484">
        <v>0</v>
      </c>
      <c r="GE484">
        <v>0</v>
      </c>
      <c r="GF484">
        <v>0</v>
      </c>
      <c r="GG484">
        <v>0</v>
      </c>
      <c r="GH484">
        <v>0</v>
      </c>
      <c r="GI484">
        <v>0</v>
      </c>
      <c r="GJ484">
        <v>0</v>
      </c>
      <c r="GK484">
        <v>0</v>
      </c>
      <c r="GL484">
        <v>0</v>
      </c>
      <c r="GM484">
        <v>0</v>
      </c>
      <c r="GN484">
        <v>0</v>
      </c>
      <c r="GO484">
        <v>0</v>
      </c>
      <c r="GP484">
        <v>0</v>
      </c>
      <c r="GQ484">
        <v>0</v>
      </c>
      <c r="GR484">
        <v>0</v>
      </c>
      <c r="GS484">
        <v>0</v>
      </c>
      <c r="GT484">
        <v>0</v>
      </c>
      <c r="GU484">
        <v>0</v>
      </c>
      <c r="GV484">
        <v>0</v>
      </c>
      <c r="GW484">
        <v>0</v>
      </c>
      <c r="GX484">
        <v>0</v>
      </c>
      <c r="GY484">
        <v>0</v>
      </c>
      <c r="GZ484">
        <v>0</v>
      </c>
      <c r="HA484">
        <v>0</v>
      </c>
      <c r="HB484">
        <v>0</v>
      </c>
      <c r="HC484">
        <v>0</v>
      </c>
      <c r="HD484">
        <v>0</v>
      </c>
      <c r="HE484">
        <v>0</v>
      </c>
      <c r="HF484">
        <v>0</v>
      </c>
      <c r="HG484">
        <v>0</v>
      </c>
      <c r="HH484">
        <v>0</v>
      </c>
      <c r="HI484">
        <v>0</v>
      </c>
      <c r="HJ484">
        <v>0</v>
      </c>
      <c r="HK484">
        <v>0</v>
      </c>
      <c r="HL484">
        <v>0</v>
      </c>
      <c r="HM484">
        <v>0</v>
      </c>
      <c r="HN484">
        <v>0</v>
      </c>
      <c r="HO484">
        <v>0</v>
      </c>
      <c r="HP484">
        <v>0</v>
      </c>
      <c r="HQ484">
        <v>0</v>
      </c>
      <c r="HR484">
        <v>0</v>
      </c>
      <c r="HS484">
        <v>0</v>
      </c>
      <c r="HT484">
        <v>0</v>
      </c>
      <c r="HU484">
        <v>0</v>
      </c>
      <c r="HV484">
        <v>0</v>
      </c>
      <c r="HW484">
        <v>0</v>
      </c>
      <c r="HX484">
        <v>0</v>
      </c>
      <c r="HY484">
        <v>0</v>
      </c>
      <c r="HZ484">
        <v>0</v>
      </c>
      <c r="IA484">
        <v>0</v>
      </c>
      <c r="IB484">
        <v>0</v>
      </c>
      <c r="IC484">
        <v>0</v>
      </c>
      <c r="ID484">
        <v>0</v>
      </c>
      <c r="IE484">
        <v>0</v>
      </c>
      <c r="IF484">
        <v>0</v>
      </c>
      <c r="IG484">
        <v>0</v>
      </c>
      <c r="IH484">
        <v>0</v>
      </c>
      <c r="II484">
        <v>0</v>
      </c>
      <c r="IJ484">
        <v>0</v>
      </c>
      <c r="IK484">
        <v>0</v>
      </c>
      <c r="IL484">
        <v>0</v>
      </c>
      <c r="IM484">
        <v>0</v>
      </c>
      <c r="IN484">
        <v>0</v>
      </c>
      <c r="IO484">
        <v>0</v>
      </c>
      <c r="IP484">
        <v>0</v>
      </c>
      <c r="IQ484">
        <v>0</v>
      </c>
      <c r="IR484">
        <v>0</v>
      </c>
      <c r="IS484">
        <v>0</v>
      </c>
      <c r="IT484">
        <v>0</v>
      </c>
      <c r="IU484">
        <v>0</v>
      </c>
      <c r="IV484">
        <v>0</v>
      </c>
      <c r="IW484">
        <v>0</v>
      </c>
      <c r="IX484">
        <v>0</v>
      </c>
      <c r="IY484">
        <v>0</v>
      </c>
      <c r="IZ484">
        <v>0</v>
      </c>
      <c r="JA484">
        <v>0</v>
      </c>
      <c r="JB484">
        <v>0</v>
      </c>
      <c r="JC484">
        <v>0</v>
      </c>
      <c r="JD484">
        <v>0</v>
      </c>
      <c r="JE484">
        <v>0</v>
      </c>
      <c r="JF484">
        <v>0</v>
      </c>
      <c r="JG484">
        <v>0</v>
      </c>
      <c r="JH484">
        <v>0</v>
      </c>
      <c r="JI484">
        <v>0</v>
      </c>
      <c r="JJ484">
        <v>0</v>
      </c>
      <c r="JK484">
        <v>0</v>
      </c>
      <c r="JL484">
        <v>0</v>
      </c>
      <c r="JM484">
        <v>0</v>
      </c>
      <c r="JN484">
        <v>0</v>
      </c>
      <c r="JO484">
        <v>0</v>
      </c>
      <c r="JP484">
        <v>0</v>
      </c>
      <c r="JQ484">
        <v>0</v>
      </c>
      <c r="JR484">
        <v>0</v>
      </c>
      <c r="JS484">
        <v>0</v>
      </c>
      <c r="JT484">
        <v>0</v>
      </c>
      <c r="JU484">
        <v>0</v>
      </c>
      <c r="JV484">
        <v>0</v>
      </c>
      <c r="JW484">
        <v>0</v>
      </c>
      <c r="JX484">
        <v>0</v>
      </c>
      <c r="JY484">
        <v>0</v>
      </c>
      <c r="JZ484">
        <v>0</v>
      </c>
      <c r="KA484">
        <v>0</v>
      </c>
      <c r="KB484">
        <v>0</v>
      </c>
      <c r="KC484">
        <v>0</v>
      </c>
      <c r="KD484">
        <v>0</v>
      </c>
      <c r="KE484">
        <v>0</v>
      </c>
      <c r="KF484">
        <v>0</v>
      </c>
      <c r="KG484">
        <v>0</v>
      </c>
      <c r="KH484">
        <v>0</v>
      </c>
      <c r="KI484">
        <v>0</v>
      </c>
      <c r="KJ484">
        <v>0</v>
      </c>
      <c r="KK484">
        <v>0</v>
      </c>
      <c r="KL484">
        <v>0</v>
      </c>
      <c r="KM484">
        <v>0</v>
      </c>
      <c r="KN484">
        <v>0</v>
      </c>
      <c r="KO484">
        <v>0</v>
      </c>
      <c r="KP484">
        <v>0</v>
      </c>
      <c r="KQ484">
        <v>0</v>
      </c>
      <c r="KR484">
        <v>0</v>
      </c>
      <c r="KS484">
        <v>0</v>
      </c>
      <c r="KT484">
        <v>0</v>
      </c>
      <c r="KU484">
        <v>0</v>
      </c>
      <c r="KV484">
        <v>0</v>
      </c>
      <c r="KW484">
        <v>0</v>
      </c>
      <c r="KX484">
        <v>0</v>
      </c>
      <c r="KY484">
        <v>0</v>
      </c>
      <c r="KZ484">
        <v>0</v>
      </c>
      <c r="LA484">
        <v>0</v>
      </c>
      <c r="LB484">
        <v>0</v>
      </c>
      <c r="LC484">
        <v>0</v>
      </c>
      <c r="LD484">
        <v>0</v>
      </c>
      <c r="LE484">
        <v>0</v>
      </c>
      <c r="LF484">
        <v>0</v>
      </c>
      <c r="LG484">
        <v>0</v>
      </c>
      <c r="LH484">
        <v>0</v>
      </c>
      <c r="LI484">
        <v>0</v>
      </c>
      <c r="LJ484">
        <v>0</v>
      </c>
      <c r="LK484">
        <v>0</v>
      </c>
      <c r="LL484">
        <v>0</v>
      </c>
      <c r="LM484">
        <v>0</v>
      </c>
      <c r="LN484">
        <v>0</v>
      </c>
      <c r="LO484">
        <v>0</v>
      </c>
      <c r="LP484">
        <v>0</v>
      </c>
      <c r="LQ484">
        <v>0</v>
      </c>
      <c r="LR484">
        <v>0</v>
      </c>
      <c r="LS484">
        <v>0</v>
      </c>
      <c r="LT484">
        <v>0</v>
      </c>
      <c r="LU484">
        <v>0</v>
      </c>
      <c r="LV484">
        <v>0</v>
      </c>
      <c r="LW484">
        <v>0</v>
      </c>
      <c r="LX484">
        <v>0</v>
      </c>
      <c r="LY484">
        <v>0</v>
      </c>
      <c r="LZ484">
        <v>0</v>
      </c>
      <c r="MA484">
        <v>0</v>
      </c>
      <c r="MB484">
        <v>0</v>
      </c>
      <c r="MC484">
        <v>0</v>
      </c>
      <c r="MD484">
        <v>0</v>
      </c>
      <c r="ME484">
        <v>0</v>
      </c>
      <c r="MF484">
        <v>0</v>
      </c>
      <c r="MG484">
        <v>0</v>
      </c>
      <c r="MH484">
        <v>0</v>
      </c>
      <c r="MI484">
        <v>0</v>
      </c>
      <c r="MJ484">
        <v>0</v>
      </c>
      <c r="MK484">
        <v>0</v>
      </c>
      <c r="ML484">
        <v>0</v>
      </c>
      <c r="MM484">
        <v>0</v>
      </c>
      <c r="MN484">
        <v>0</v>
      </c>
      <c r="MO484">
        <v>0</v>
      </c>
      <c r="MP484">
        <v>0</v>
      </c>
      <c r="MQ484">
        <v>0</v>
      </c>
      <c r="MR484">
        <v>0</v>
      </c>
      <c r="MS484">
        <v>0</v>
      </c>
      <c r="MT484">
        <v>0</v>
      </c>
      <c r="MU484">
        <v>0</v>
      </c>
      <c r="MV484">
        <v>0</v>
      </c>
      <c r="MW484">
        <v>0</v>
      </c>
      <c r="MX484">
        <v>0</v>
      </c>
      <c r="MY484">
        <v>0</v>
      </c>
      <c r="MZ484">
        <v>0</v>
      </c>
      <c r="NA484">
        <v>0</v>
      </c>
      <c r="NB484">
        <v>0</v>
      </c>
      <c r="NC484">
        <v>0</v>
      </c>
      <c r="ND484">
        <v>0</v>
      </c>
      <c r="NE484">
        <v>0</v>
      </c>
    </row>
    <row r="485" spans="41:369" x14ac:dyDescent="0.45">
      <c r="AO485">
        <v>0</v>
      </c>
      <c r="AP485">
        <v>0</v>
      </c>
      <c r="AQ485">
        <v>0</v>
      </c>
      <c r="AR485">
        <v>0</v>
      </c>
      <c r="AS485">
        <v>0</v>
      </c>
      <c r="AT485">
        <v>0</v>
      </c>
      <c r="AU485">
        <v>0</v>
      </c>
      <c r="AV485">
        <v>0</v>
      </c>
      <c r="AW485" t="str">
        <v/>
      </c>
      <c r="AX485">
        <v>255</v>
      </c>
      <c r="AY485" s="5" t="str">
        <v/>
      </c>
      <c r="AZ485">
        <v>0</v>
      </c>
      <c r="BA485">
        <v>0</v>
      </c>
      <c r="BB485">
        <v>0</v>
      </c>
      <c r="BC485">
        <v>0</v>
      </c>
      <c r="BD485">
        <v>0</v>
      </c>
      <c r="BE485">
        <v>0</v>
      </c>
      <c r="BF485">
        <v>0</v>
      </c>
      <c r="BG485">
        <v>0</v>
      </c>
      <c r="BH485">
        <v>0</v>
      </c>
      <c r="BI485" t="str">
        <v/>
      </c>
      <c r="BK485">
        <v>479</v>
      </c>
      <c r="BL485">
        <v>0</v>
      </c>
      <c r="BM485">
        <v>0</v>
      </c>
      <c r="BN485">
        <v>0</v>
      </c>
      <c r="BO485">
        <v>0</v>
      </c>
      <c r="BP485">
        <v>0</v>
      </c>
      <c r="BQ485">
        <v>0</v>
      </c>
      <c r="BR485">
        <v>0</v>
      </c>
      <c r="BS485">
        <v>0</v>
      </c>
      <c r="BT485">
        <v>0</v>
      </c>
      <c r="BU485">
        <v>0</v>
      </c>
      <c r="BV485">
        <v>0</v>
      </c>
      <c r="BW485">
        <v>0</v>
      </c>
      <c r="BX485">
        <v>0</v>
      </c>
      <c r="BY485">
        <v>0</v>
      </c>
      <c r="BZ485">
        <v>0</v>
      </c>
      <c r="CA485">
        <v>0</v>
      </c>
      <c r="CB485">
        <v>0</v>
      </c>
      <c r="CC485">
        <v>0</v>
      </c>
      <c r="CD485">
        <v>0</v>
      </c>
      <c r="CE485">
        <v>0</v>
      </c>
      <c r="CF485">
        <v>0</v>
      </c>
      <c r="CG485">
        <v>0</v>
      </c>
      <c r="CH485">
        <v>0</v>
      </c>
      <c r="CI485">
        <v>0</v>
      </c>
      <c r="CJ485">
        <v>0</v>
      </c>
      <c r="CK485">
        <v>0</v>
      </c>
      <c r="CL485">
        <v>0</v>
      </c>
      <c r="CM485">
        <v>0</v>
      </c>
      <c r="CN485">
        <v>0</v>
      </c>
      <c r="CO485">
        <v>0</v>
      </c>
      <c r="CP485">
        <v>0</v>
      </c>
      <c r="CQ485">
        <v>0</v>
      </c>
      <c r="CR485">
        <v>0</v>
      </c>
      <c r="CS485">
        <v>0</v>
      </c>
      <c r="CT485">
        <v>0</v>
      </c>
      <c r="CU485">
        <v>0</v>
      </c>
      <c r="CV485">
        <v>0</v>
      </c>
      <c r="CW485">
        <v>0</v>
      </c>
      <c r="CX485">
        <v>0</v>
      </c>
      <c r="CY485">
        <v>0</v>
      </c>
      <c r="CZ485">
        <v>0</v>
      </c>
      <c r="DA485">
        <v>0</v>
      </c>
      <c r="DB485">
        <v>0</v>
      </c>
      <c r="DC485">
        <v>0</v>
      </c>
      <c r="DD485">
        <v>0</v>
      </c>
      <c r="DE485">
        <v>0</v>
      </c>
      <c r="DF485">
        <v>0</v>
      </c>
      <c r="DG485">
        <v>0</v>
      </c>
      <c r="DH485">
        <v>0</v>
      </c>
      <c r="DI485">
        <v>0</v>
      </c>
      <c r="DJ485">
        <v>0</v>
      </c>
      <c r="DK485">
        <v>0</v>
      </c>
      <c r="DL485">
        <v>0</v>
      </c>
      <c r="DM485">
        <v>0</v>
      </c>
      <c r="DN485">
        <v>0</v>
      </c>
      <c r="DO485">
        <v>0</v>
      </c>
      <c r="DP485">
        <v>0</v>
      </c>
      <c r="DQ485">
        <v>0</v>
      </c>
      <c r="DR485">
        <v>0</v>
      </c>
      <c r="DS485">
        <v>0</v>
      </c>
      <c r="DT485">
        <v>0</v>
      </c>
      <c r="DU485">
        <v>0</v>
      </c>
      <c r="DV485">
        <v>0</v>
      </c>
      <c r="DW485">
        <v>0</v>
      </c>
      <c r="DX485">
        <v>0</v>
      </c>
      <c r="DY485">
        <v>0</v>
      </c>
      <c r="DZ485">
        <v>0</v>
      </c>
      <c r="EA485">
        <v>0</v>
      </c>
      <c r="EB485">
        <v>0</v>
      </c>
      <c r="EC485">
        <v>0</v>
      </c>
      <c r="ED485">
        <v>0</v>
      </c>
      <c r="EE485">
        <v>0</v>
      </c>
      <c r="EF485">
        <v>0</v>
      </c>
      <c r="EG485">
        <v>0</v>
      </c>
      <c r="EH485">
        <v>0</v>
      </c>
      <c r="EI485">
        <v>0</v>
      </c>
      <c r="EJ485">
        <v>0</v>
      </c>
      <c r="EK485">
        <v>0</v>
      </c>
      <c r="EL485">
        <v>0</v>
      </c>
      <c r="EM485">
        <v>0</v>
      </c>
      <c r="EN485">
        <v>0</v>
      </c>
      <c r="EO485">
        <v>0</v>
      </c>
      <c r="EP485">
        <v>0</v>
      </c>
      <c r="EQ485">
        <v>0</v>
      </c>
      <c r="ER485">
        <v>0</v>
      </c>
      <c r="ES485">
        <v>0</v>
      </c>
      <c r="ET485">
        <v>0</v>
      </c>
      <c r="EU485">
        <v>0</v>
      </c>
      <c r="EV485">
        <v>0</v>
      </c>
      <c r="EW485">
        <v>0</v>
      </c>
      <c r="EX485">
        <v>0</v>
      </c>
      <c r="EY485">
        <v>0</v>
      </c>
      <c r="EZ485">
        <v>0</v>
      </c>
      <c r="FA485">
        <v>0</v>
      </c>
      <c r="FB485">
        <v>0</v>
      </c>
      <c r="FC485">
        <v>0</v>
      </c>
      <c r="FD485">
        <v>0</v>
      </c>
      <c r="FE485">
        <v>0</v>
      </c>
      <c r="FF485">
        <v>0</v>
      </c>
      <c r="FG485">
        <v>0</v>
      </c>
      <c r="FH485">
        <v>0</v>
      </c>
      <c r="FI485">
        <v>0</v>
      </c>
      <c r="FJ485">
        <v>0</v>
      </c>
      <c r="FK485">
        <v>0</v>
      </c>
      <c r="FL485">
        <v>0</v>
      </c>
      <c r="FM485">
        <v>0</v>
      </c>
      <c r="FN485">
        <v>0</v>
      </c>
      <c r="FO485">
        <v>0</v>
      </c>
      <c r="FP485">
        <v>0</v>
      </c>
      <c r="FQ485">
        <v>0</v>
      </c>
      <c r="FR485">
        <v>0</v>
      </c>
      <c r="FS485">
        <v>0</v>
      </c>
      <c r="FT485">
        <v>0</v>
      </c>
      <c r="FU485">
        <v>0</v>
      </c>
      <c r="FV485">
        <v>0</v>
      </c>
      <c r="FW485">
        <v>0</v>
      </c>
      <c r="FX485">
        <v>0</v>
      </c>
      <c r="FY485">
        <v>0</v>
      </c>
      <c r="FZ485">
        <v>0</v>
      </c>
      <c r="GA485">
        <v>0</v>
      </c>
      <c r="GB485">
        <v>0</v>
      </c>
      <c r="GC485">
        <v>0</v>
      </c>
      <c r="GD485">
        <v>0</v>
      </c>
      <c r="GE485">
        <v>0</v>
      </c>
      <c r="GF485">
        <v>0</v>
      </c>
      <c r="GG485">
        <v>0</v>
      </c>
      <c r="GH485">
        <v>0</v>
      </c>
      <c r="GI485">
        <v>0</v>
      </c>
      <c r="GJ485">
        <v>0</v>
      </c>
      <c r="GK485">
        <v>0</v>
      </c>
      <c r="GL485">
        <v>0</v>
      </c>
      <c r="GM485">
        <v>0</v>
      </c>
      <c r="GN485">
        <v>0</v>
      </c>
      <c r="GO485">
        <v>0</v>
      </c>
      <c r="GP485">
        <v>0</v>
      </c>
      <c r="GQ485">
        <v>0</v>
      </c>
      <c r="GR485">
        <v>0</v>
      </c>
      <c r="GS485">
        <v>0</v>
      </c>
      <c r="GT485">
        <v>0</v>
      </c>
      <c r="GU485">
        <v>0</v>
      </c>
      <c r="GV485">
        <v>0</v>
      </c>
      <c r="GW485">
        <v>0</v>
      </c>
      <c r="GX485">
        <v>0</v>
      </c>
      <c r="GY485">
        <v>0</v>
      </c>
      <c r="GZ485">
        <v>0</v>
      </c>
      <c r="HA485">
        <v>0</v>
      </c>
      <c r="HB485">
        <v>0</v>
      </c>
      <c r="HC485">
        <v>0</v>
      </c>
      <c r="HD485">
        <v>0</v>
      </c>
      <c r="HE485">
        <v>0</v>
      </c>
      <c r="HF485">
        <v>0</v>
      </c>
      <c r="HG485">
        <v>0</v>
      </c>
      <c r="HH485">
        <v>0</v>
      </c>
      <c r="HI485">
        <v>0</v>
      </c>
      <c r="HJ485">
        <v>0</v>
      </c>
      <c r="HK485">
        <v>0</v>
      </c>
      <c r="HL485">
        <v>0</v>
      </c>
      <c r="HM485">
        <v>0</v>
      </c>
      <c r="HN485">
        <v>0</v>
      </c>
      <c r="HO485">
        <v>0</v>
      </c>
      <c r="HP485">
        <v>0</v>
      </c>
      <c r="HQ485">
        <v>0</v>
      </c>
      <c r="HR485">
        <v>0</v>
      </c>
      <c r="HS485">
        <v>0</v>
      </c>
      <c r="HT485">
        <v>0</v>
      </c>
      <c r="HU485">
        <v>0</v>
      </c>
      <c r="HV485">
        <v>0</v>
      </c>
      <c r="HW485">
        <v>0</v>
      </c>
      <c r="HX485">
        <v>0</v>
      </c>
      <c r="HY485">
        <v>0</v>
      </c>
      <c r="HZ485">
        <v>0</v>
      </c>
      <c r="IA485">
        <v>0</v>
      </c>
      <c r="IB485">
        <v>0</v>
      </c>
      <c r="IC485">
        <v>0</v>
      </c>
      <c r="ID485">
        <v>0</v>
      </c>
      <c r="IE485">
        <v>0</v>
      </c>
      <c r="IF485">
        <v>0</v>
      </c>
      <c r="IG485">
        <v>0</v>
      </c>
      <c r="IH485">
        <v>0</v>
      </c>
      <c r="II485">
        <v>0</v>
      </c>
      <c r="IJ485">
        <v>0</v>
      </c>
      <c r="IK485">
        <v>0</v>
      </c>
      <c r="IL485">
        <v>0</v>
      </c>
      <c r="IM485">
        <v>0</v>
      </c>
      <c r="IN485">
        <v>0</v>
      </c>
      <c r="IO485">
        <v>0</v>
      </c>
      <c r="IP485">
        <v>0</v>
      </c>
      <c r="IQ485">
        <v>0</v>
      </c>
      <c r="IR485">
        <v>0</v>
      </c>
      <c r="IS485">
        <v>0</v>
      </c>
      <c r="IT485">
        <v>0</v>
      </c>
      <c r="IU485">
        <v>0</v>
      </c>
      <c r="IV485">
        <v>0</v>
      </c>
      <c r="IW485">
        <v>0</v>
      </c>
      <c r="IX485">
        <v>0</v>
      </c>
      <c r="IY485">
        <v>0</v>
      </c>
      <c r="IZ485">
        <v>0</v>
      </c>
      <c r="JA485">
        <v>0</v>
      </c>
      <c r="JB485">
        <v>0</v>
      </c>
      <c r="JC485">
        <v>0</v>
      </c>
      <c r="JD485">
        <v>0</v>
      </c>
      <c r="JE485">
        <v>0</v>
      </c>
      <c r="JF485">
        <v>0</v>
      </c>
      <c r="JG485">
        <v>0</v>
      </c>
      <c r="JH485">
        <v>0</v>
      </c>
      <c r="JI485">
        <v>0</v>
      </c>
      <c r="JJ485">
        <v>0</v>
      </c>
      <c r="JK485">
        <v>0</v>
      </c>
      <c r="JL485">
        <v>0</v>
      </c>
      <c r="JM485">
        <v>0</v>
      </c>
      <c r="JN485">
        <v>0</v>
      </c>
      <c r="JO485">
        <v>0</v>
      </c>
      <c r="JP485">
        <v>0</v>
      </c>
      <c r="JQ485">
        <v>0</v>
      </c>
      <c r="JR485">
        <v>0</v>
      </c>
      <c r="JS485">
        <v>0</v>
      </c>
      <c r="JT485">
        <v>0</v>
      </c>
      <c r="JU485">
        <v>0</v>
      </c>
      <c r="JV485">
        <v>0</v>
      </c>
      <c r="JW485">
        <v>0</v>
      </c>
      <c r="JX485">
        <v>0</v>
      </c>
      <c r="JY485">
        <v>0</v>
      </c>
      <c r="JZ485">
        <v>0</v>
      </c>
      <c r="KA485">
        <v>0</v>
      </c>
      <c r="KB485">
        <v>0</v>
      </c>
      <c r="KC485">
        <v>0</v>
      </c>
      <c r="KD485">
        <v>0</v>
      </c>
      <c r="KE485">
        <v>0</v>
      </c>
      <c r="KF485">
        <v>0</v>
      </c>
      <c r="KG485">
        <v>0</v>
      </c>
      <c r="KH485">
        <v>0</v>
      </c>
      <c r="KI485">
        <v>0</v>
      </c>
      <c r="KJ485">
        <v>0</v>
      </c>
      <c r="KK485">
        <v>0</v>
      </c>
      <c r="KL485">
        <v>0</v>
      </c>
      <c r="KM485">
        <v>0</v>
      </c>
      <c r="KN485">
        <v>0</v>
      </c>
      <c r="KO485">
        <v>0</v>
      </c>
      <c r="KP485">
        <v>0</v>
      </c>
      <c r="KQ485">
        <v>0</v>
      </c>
      <c r="KR485">
        <v>0</v>
      </c>
      <c r="KS485">
        <v>0</v>
      </c>
      <c r="KT485">
        <v>0</v>
      </c>
      <c r="KU485">
        <v>0</v>
      </c>
      <c r="KV485">
        <v>0</v>
      </c>
      <c r="KW485">
        <v>0</v>
      </c>
      <c r="KX485">
        <v>0</v>
      </c>
      <c r="KY485">
        <v>0</v>
      </c>
      <c r="KZ485">
        <v>0</v>
      </c>
      <c r="LA485">
        <v>0</v>
      </c>
      <c r="LB485">
        <v>0</v>
      </c>
      <c r="LC485">
        <v>0</v>
      </c>
      <c r="LD485">
        <v>0</v>
      </c>
      <c r="LE485">
        <v>0</v>
      </c>
      <c r="LF485">
        <v>0</v>
      </c>
      <c r="LG485">
        <v>0</v>
      </c>
      <c r="LH485">
        <v>0</v>
      </c>
      <c r="LI485">
        <v>0</v>
      </c>
      <c r="LJ485">
        <v>0</v>
      </c>
      <c r="LK485">
        <v>0</v>
      </c>
      <c r="LL485">
        <v>0</v>
      </c>
      <c r="LM485">
        <v>0</v>
      </c>
      <c r="LN485">
        <v>0</v>
      </c>
      <c r="LO485">
        <v>0</v>
      </c>
      <c r="LP485">
        <v>0</v>
      </c>
      <c r="LQ485">
        <v>0</v>
      </c>
      <c r="LR485">
        <v>0</v>
      </c>
      <c r="LS485">
        <v>0</v>
      </c>
      <c r="LT485">
        <v>0</v>
      </c>
      <c r="LU485">
        <v>0</v>
      </c>
      <c r="LV485">
        <v>0</v>
      </c>
      <c r="LW485">
        <v>0</v>
      </c>
      <c r="LX485">
        <v>0</v>
      </c>
      <c r="LY485">
        <v>0</v>
      </c>
      <c r="LZ485">
        <v>0</v>
      </c>
      <c r="MA485">
        <v>0</v>
      </c>
      <c r="MB485">
        <v>0</v>
      </c>
      <c r="MC485">
        <v>0</v>
      </c>
      <c r="MD485">
        <v>0</v>
      </c>
      <c r="ME485">
        <v>0</v>
      </c>
      <c r="MF485">
        <v>0</v>
      </c>
      <c r="MG485">
        <v>0</v>
      </c>
      <c r="MH485">
        <v>0</v>
      </c>
      <c r="MI485">
        <v>0</v>
      </c>
      <c r="MJ485">
        <v>0</v>
      </c>
      <c r="MK485">
        <v>0</v>
      </c>
      <c r="ML485">
        <v>0</v>
      </c>
      <c r="MM485">
        <v>0</v>
      </c>
      <c r="MN485">
        <v>0</v>
      </c>
      <c r="MO485">
        <v>0</v>
      </c>
      <c r="MP485">
        <v>0</v>
      </c>
      <c r="MQ485">
        <v>0</v>
      </c>
      <c r="MR485">
        <v>0</v>
      </c>
      <c r="MS485">
        <v>0</v>
      </c>
      <c r="MT485">
        <v>0</v>
      </c>
      <c r="MU485">
        <v>0</v>
      </c>
      <c r="MV485">
        <v>0</v>
      </c>
      <c r="MW485">
        <v>0</v>
      </c>
      <c r="MX485">
        <v>0</v>
      </c>
      <c r="MY485">
        <v>0</v>
      </c>
      <c r="MZ485">
        <v>0</v>
      </c>
      <c r="NA485">
        <v>0</v>
      </c>
      <c r="NB485">
        <v>0</v>
      </c>
      <c r="NC485">
        <v>0</v>
      </c>
      <c r="ND485">
        <v>0</v>
      </c>
      <c r="NE485">
        <v>0</v>
      </c>
    </row>
    <row r="486" spans="41:369" x14ac:dyDescent="0.45">
      <c r="AO486">
        <v>0</v>
      </c>
      <c r="AP486">
        <v>0</v>
      </c>
      <c r="AQ486">
        <v>0</v>
      </c>
      <c r="AR486">
        <v>0</v>
      </c>
      <c r="AS486">
        <v>0</v>
      </c>
      <c r="AT486">
        <v>0</v>
      </c>
      <c r="AU486">
        <v>0</v>
      </c>
      <c r="AV486">
        <v>0</v>
      </c>
      <c r="AW486" t="str">
        <v/>
      </c>
      <c r="AX486">
        <v>255</v>
      </c>
      <c r="AY486" s="5" t="str">
        <v/>
      </c>
      <c r="AZ486">
        <v>0</v>
      </c>
      <c r="BA486">
        <v>0</v>
      </c>
      <c r="BB486">
        <v>0</v>
      </c>
      <c r="BC486">
        <v>0</v>
      </c>
      <c r="BD486">
        <v>0</v>
      </c>
      <c r="BE486">
        <v>0</v>
      </c>
      <c r="BF486">
        <v>0</v>
      </c>
      <c r="BG486">
        <v>0</v>
      </c>
      <c r="BH486">
        <v>0</v>
      </c>
      <c r="BI486" t="str">
        <v/>
      </c>
      <c r="BK486">
        <v>480</v>
      </c>
      <c r="BL486">
        <v>0</v>
      </c>
      <c r="BM486">
        <v>0</v>
      </c>
      <c r="BN486">
        <v>0</v>
      </c>
      <c r="BO486">
        <v>0</v>
      </c>
      <c r="BP486">
        <v>0</v>
      </c>
      <c r="BQ486">
        <v>0</v>
      </c>
      <c r="BR486">
        <v>0</v>
      </c>
      <c r="BS486">
        <v>0</v>
      </c>
      <c r="BT486">
        <v>0</v>
      </c>
      <c r="BU486">
        <v>0</v>
      </c>
      <c r="BV486">
        <v>0</v>
      </c>
      <c r="BW486">
        <v>0</v>
      </c>
      <c r="BX486">
        <v>0</v>
      </c>
      <c r="BY486">
        <v>0</v>
      </c>
      <c r="BZ486">
        <v>0</v>
      </c>
      <c r="CA486">
        <v>0</v>
      </c>
      <c r="CB486">
        <v>0</v>
      </c>
      <c r="CC486">
        <v>0</v>
      </c>
      <c r="CD486">
        <v>0</v>
      </c>
      <c r="CE486">
        <v>0</v>
      </c>
      <c r="CF486">
        <v>0</v>
      </c>
      <c r="CG486">
        <v>0</v>
      </c>
      <c r="CH486">
        <v>0</v>
      </c>
      <c r="CI486">
        <v>0</v>
      </c>
      <c r="CJ486">
        <v>0</v>
      </c>
      <c r="CK486">
        <v>0</v>
      </c>
      <c r="CL486">
        <v>0</v>
      </c>
      <c r="CM486">
        <v>0</v>
      </c>
      <c r="CN486">
        <v>0</v>
      </c>
      <c r="CO486">
        <v>0</v>
      </c>
      <c r="CP486">
        <v>0</v>
      </c>
      <c r="CQ486">
        <v>0</v>
      </c>
      <c r="CR486">
        <v>0</v>
      </c>
      <c r="CS486">
        <v>0</v>
      </c>
      <c r="CT486">
        <v>0</v>
      </c>
      <c r="CU486">
        <v>0</v>
      </c>
      <c r="CV486">
        <v>0</v>
      </c>
      <c r="CW486">
        <v>0</v>
      </c>
      <c r="CX486">
        <v>0</v>
      </c>
      <c r="CY486">
        <v>0</v>
      </c>
      <c r="CZ486">
        <v>0</v>
      </c>
      <c r="DA486">
        <v>0</v>
      </c>
      <c r="DB486">
        <v>0</v>
      </c>
      <c r="DC486">
        <v>0</v>
      </c>
      <c r="DD486">
        <v>0</v>
      </c>
      <c r="DE486">
        <v>0</v>
      </c>
      <c r="DF486">
        <v>0</v>
      </c>
      <c r="DG486">
        <v>0</v>
      </c>
      <c r="DH486">
        <v>0</v>
      </c>
      <c r="DI486">
        <v>0</v>
      </c>
      <c r="DJ486">
        <v>0</v>
      </c>
      <c r="DK486">
        <v>0</v>
      </c>
      <c r="DL486">
        <v>0</v>
      </c>
      <c r="DM486">
        <v>0</v>
      </c>
      <c r="DN486">
        <v>0</v>
      </c>
      <c r="DO486">
        <v>0</v>
      </c>
      <c r="DP486">
        <v>0</v>
      </c>
      <c r="DQ486">
        <v>0</v>
      </c>
      <c r="DR486">
        <v>0</v>
      </c>
      <c r="DS486">
        <v>0</v>
      </c>
      <c r="DT486">
        <v>0</v>
      </c>
      <c r="DU486">
        <v>0</v>
      </c>
      <c r="DV486">
        <v>0</v>
      </c>
      <c r="DW486">
        <v>0</v>
      </c>
      <c r="DX486">
        <v>0</v>
      </c>
      <c r="DY486">
        <v>0</v>
      </c>
      <c r="DZ486">
        <v>0</v>
      </c>
      <c r="EA486">
        <v>0</v>
      </c>
      <c r="EB486">
        <v>0</v>
      </c>
      <c r="EC486">
        <v>0</v>
      </c>
      <c r="ED486">
        <v>0</v>
      </c>
      <c r="EE486">
        <v>0</v>
      </c>
      <c r="EF486">
        <v>0</v>
      </c>
      <c r="EG486">
        <v>0</v>
      </c>
      <c r="EH486">
        <v>0</v>
      </c>
      <c r="EI486">
        <v>0</v>
      </c>
      <c r="EJ486">
        <v>0</v>
      </c>
      <c r="EK486">
        <v>0</v>
      </c>
      <c r="EL486">
        <v>0</v>
      </c>
      <c r="EM486">
        <v>0</v>
      </c>
      <c r="EN486">
        <v>0</v>
      </c>
      <c r="EO486">
        <v>0</v>
      </c>
      <c r="EP486">
        <v>0</v>
      </c>
      <c r="EQ486">
        <v>0</v>
      </c>
      <c r="ER486">
        <v>0</v>
      </c>
      <c r="ES486">
        <v>0</v>
      </c>
      <c r="ET486">
        <v>0</v>
      </c>
      <c r="EU486">
        <v>0</v>
      </c>
      <c r="EV486">
        <v>0</v>
      </c>
      <c r="EW486">
        <v>0</v>
      </c>
      <c r="EX486">
        <v>0</v>
      </c>
      <c r="EY486">
        <v>0</v>
      </c>
      <c r="EZ486">
        <v>0</v>
      </c>
      <c r="FA486">
        <v>0</v>
      </c>
      <c r="FB486">
        <v>0</v>
      </c>
      <c r="FC486">
        <v>0</v>
      </c>
      <c r="FD486">
        <v>0</v>
      </c>
      <c r="FE486">
        <v>0</v>
      </c>
      <c r="FF486">
        <v>0</v>
      </c>
      <c r="FG486">
        <v>0</v>
      </c>
      <c r="FH486">
        <v>0</v>
      </c>
      <c r="FI486">
        <v>0</v>
      </c>
      <c r="FJ486">
        <v>0</v>
      </c>
      <c r="FK486">
        <v>0</v>
      </c>
      <c r="FL486">
        <v>0</v>
      </c>
      <c r="FM486">
        <v>0</v>
      </c>
      <c r="FN486">
        <v>0</v>
      </c>
      <c r="FO486">
        <v>0</v>
      </c>
      <c r="FP486">
        <v>0</v>
      </c>
      <c r="FQ486">
        <v>0</v>
      </c>
      <c r="FR486">
        <v>0</v>
      </c>
      <c r="FS486">
        <v>0</v>
      </c>
      <c r="FT486">
        <v>0</v>
      </c>
      <c r="FU486">
        <v>0</v>
      </c>
      <c r="FV486">
        <v>0</v>
      </c>
      <c r="FW486">
        <v>0</v>
      </c>
      <c r="FX486">
        <v>0</v>
      </c>
      <c r="FY486">
        <v>0</v>
      </c>
      <c r="FZ486">
        <v>0</v>
      </c>
      <c r="GA486">
        <v>0</v>
      </c>
      <c r="GB486">
        <v>0</v>
      </c>
      <c r="GC486">
        <v>0</v>
      </c>
      <c r="GD486">
        <v>0</v>
      </c>
      <c r="GE486">
        <v>0</v>
      </c>
      <c r="GF486">
        <v>0</v>
      </c>
      <c r="GG486">
        <v>0</v>
      </c>
      <c r="GH486">
        <v>0</v>
      </c>
      <c r="GI486">
        <v>0</v>
      </c>
      <c r="GJ486">
        <v>0</v>
      </c>
      <c r="GK486">
        <v>0</v>
      </c>
      <c r="GL486">
        <v>0</v>
      </c>
      <c r="GM486">
        <v>0</v>
      </c>
      <c r="GN486">
        <v>0</v>
      </c>
      <c r="GO486">
        <v>0</v>
      </c>
      <c r="GP486">
        <v>0</v>
      </c>
      <c r="GQ486">
        <v>0</v>
      </c>
      <c r="GR486">
        <v>0</v>
      </c>
      <c r="GS486">
        <v>0</v>
      </c>
      <c r="GT486">
        <v>0</v>
      </c>
      <c r="GU486">
        <v>0</v>
      </c>
      <c r="GV486">
        <v>0</v>
      </c>
      <c r="GW486">
        <v>0</v>
      </c>
      <c r="GX486">
        <v>0</v>
      </c>
      <c r="GY486">
        <v>0</v>
      </c>
      <c r="GZ486">
        <v>0</v>
      </c>
      <c r="HA486">
        <v>0</v>
      </c>
      <c r="HB486">
        <v>0</v>
      </c>
      <c r="HC486">
        <v>0</v>
      </c>
      <c r="HD486">
        <v>0</v>
      </c>
      <c r="HE486">
        <v>0</v>
      </c>
      <c r="HF486">
        <v>0</v>
      </c>
      <c r="HG486">
        <v>0</v>
      </c>
      <c r="HH486">
        <v>0</v>
      </c>
      <c r="HI486">
        <v>0</v>
      </c>
      <c r="HJ486">
        <v>0</v>
      </c>
      <c r="HK486">
        <v>0</v>
      </c>
      <c r="HL486">
        <v>0</v>
      </c>
      <c r="HM486">
        <v>0</v>
      </c>
      <c r="HN486">
        <v>0</v>
      </c>
      <c r="HO486">
        <v>0</v>
      </c>
      <c r="HP486">
        <v>0</v>
      </c>
      <c r="HQ486">
        <v>0</v>
      </c>
      <c r="HR486">
        <v>0</v>
      </c>
      <c r="HS486">
        <v>0</v>
      </c>
      <c r="HT486">
        <v>0</v>
      </c>
      <c r="HU486">
        <v>0</v>
      </c>
      <c r="HV486">
        <v>0</v>
      </c>
      <c r="HW486">
        <v>0</v>
      </c>
      <c r="HX486">
        <v>0</v>
      </c>
      <c r="HY486">
        <v>0</v>
      </c>
      <c r="HZ486">
        <v>0</v>
      </c>
      <c r="IA486">
        <v>0</v>
      </c>
      <c r="IB486">
        <v>0</v>
      </c>
      <c r="IC486">
        <v>0</v>
      </c>
      <c r="ID486">
        <v>0</v>
      </c>
      <c r="IE486">
        <v>0</v>
      </c>
      <c r="IF486">
        <v>0</v>
      </c>
      <c r="IG486">
        <v>0</v>
      </c>
      <c r="IH486">
        <v>0</v>
      </c>
      <c r="II486">
        <v>0</v>
      </c>
      <c r="IJ486">
        <v>0</v>
      </c>
      <c r="IK486">
        <v>0</v>
      </c>
      <c r="IL486">
        <v>0</v>
      </c>
      <c r="IM486">
        <v>0</v>
      </c>
      <c r="IN486">
        <v>0</v>
      </c>
      <c r="IO486">
        <v>0</v>
      </c>
      <c r="IP486">
        <v>0</v>
      </c>
      <c r="IQ486">
        <v>0</v>
      </c>
      <c r="IR486">
        <v>0</v>
      </c>
      <c r="IS486">
        <v>0</v>
      </c>
      <c r="IT486">
        <v>0</v>
      </c>
      <c r="IU486">
        <v>0</v>
      </c>
      <c r="IV486">
        <v>0</v>
      </c>
      <c r="IW486">
        <v>0</v>
      </c>
      <c r="IX486">
        <v>0</v>
      </c>
      <c r="IY486">
        <v>0</v>
      </c>
      <c r="IZ486">
        <v>0</v>
      </c>
      <c r="JA486">
        <v>0</v>
      </c>
      <c r="JB486">
        <v>0</v>
      </c>
      <c r="JC486">
        <v>0</v>
      </c>
      <c r="JD486">
        <v>0</v>
      </c>
      <c r="JE486">
        <v>0</v>
      </c>
      <c r="JF486">
        <v>0</v>
      </c>
      <c r="JG486">
        <v>0</v>
      </c>
      <c r="JH486">
        <v>0</v>
      </c>
      <c r="JI486">
        <v>0</v>
      </c>
      <c r="JJ486">
        <v>0</v>
      </c>
      <c r="JK486">
        <v>0</v>
      </c>
      <c r="JL486">
        <v>0</v>
      </c>
      <c r="JM486">
        <v>0</v>
      </c>
      <c r="JN486">
        <v>0</v>
      </c>
      <c r="JO486">
        <v>0</v>
      </c>
      <c r="JP486">
        <v>0</v>
      </c>
      <c r="JQ486">
        <v>0</v>
      </c>
      <c r="JR486">
        <v>0</v>
      </c>
      <c r="JS486">
        <v>0</v>
      </c>
      <c r="JT486">
        <v>0</v>
      </c>
      <c r="JU486">
        <v>0</v>
      </c>
      <c r="JV486">
        <v>0</v>
      </c>
      <c r="JW486">
        <v>0</v>
      </c>
      <c r="JX486">
        <v>0</v>
      </c>
      <c r="JY486">
        <v>0</v>
      </c>
      <c r="JZ486">
        <v>0</v>
      </c>
      <c r="KA486">
        <v>0</v>
      </c>
      <c r="KB486">
        <v>0</v>
      </c>
      <c r="KC486">
        <v>0</v>
      </c>
      <c r="KD486">
        <v>0</v>
      </c>
      <c r="KE486">
        <v>0</v>
      </c>
      <c r="KF486">
        <v>0</v>
      </c>
      <c r="KG486">
        <v>0</v>
      </c>
      <c r="KH486">
        <v>0</v>
      </c>
      <c r="KI486">
        <v>0</v>
      </c>
      <c r="KJ486">
        <v>0</v>
      </c>
      <c r="KK486">
        <v>0</v>
      </c>
      <c r="KL486">
        <v>0</v>
      </c>
      <c r="KM486">
        <v>0</v>
      </c>
      <c r="KN486">
        <v>0</v>
      </c>
      <c r="KO486">
        <v>0</v>
      </c>
      <c r="KP486">
        <v>0</v>
      </c>
      <c r="KQ486">
        <v>0</v>
      </c>
      <c r="KR486">
        <v>0</v>
      </c>
      <c r="KS486">
        <v>0</v>
      </c>
      <c r="KT486">
        <v>0</v>
      </c>
      <c r="KU486">
        <v>0</v>
      </c>
      <c r="KV486">
        <v>0</v>
      </c>
      <c r="KW486">
        <v>0</v>
      </c>
      <c r="KX486">
        <v>0</v>
      </c>
      <c r="KY486">
        <v>0</v>
      </c>
      <c r="KZ486">
        <v>0</v>
      </c>
      <c r="LA486">
        <v>0</v>
      </c>
      <c r="LB486">
        <v>0</v>
      </c>
      <c r="LC486">
        <v>0</v>
      </c>
      <c r="LD486">
        <v>0</v>
      </c>
      <c r="LE486">
        <v>0</v>
      </c>
      <c r="LF486">
        <v>0</v>
      </c>
      <c r="LG486">
        <v>0</v>
      </c>
      <c r="LH486">
        <v>0</v>
      </c>
      <c r="LI486">
        <v>0</v>
      </c>
      <c r="LJ486">
        <v>0</v>
      </c>
      <c r="LK486">
        <v>0</v>
      </c>
      <c r="LL486">
        <v>0</v>
      </c>
      <c r="LM486">
        <v>0</v>
      </c>
      <c r="LN486">
        <v>0</v>
      </c>
      <c r="LO486">
        <v>0</v>
      </c>
      <c r="LP486">
        <v>0</v>
      </c>
      <c r="LQ486">
        <v>0</v>
      </c>
      <c r="LR486">
        <v>0</v>
      </c>
      <c r="LS486">
        <v>0</v>
      </c>
      <c r="LT486">
        <v>0</v>
      </c>
      <c r="LU486">
        <v>0</v>
      </c>
      <c r="LV486">
        <v>0</v>
      </c>
      <c r="LW486">
        <v>0</v>
      </c>
      <c r="LX486">
        <v>0</v>
      </c>
      <c r="LY486">
        <v>0</v>
      </c>
      <c r="LZ486">
        <v>0</v>
      </c>
      <c r="MA486">
        <v>0</v>
      </c>
      <c r="MB486">
        <v>0</v>
      </c>
      <c r="MC486">
        <v>0</v>
      </c>
      <c r="MD486">
        <v>0</v>
      </c>
      <c r="ME486">
        <v>0</v>
      </c>
      <c r="MF486">
        <v>0</v>
      </c>
      <c r="MG486">
        <v>0</v>
      </c>
      <c r="MH486">
        <v>0</v>
      </c>
      <c r="MI486">
        <v>0</v>
      </c>
      <c r="MJ486">
        <v>0</v>
      </c>
      <c r="MK486">
        <v>0</v>
      </c>
      <c r="ML486">
        <v>0</v>
      </c>
      <c r="MM486">
        <v>0</v>
      </c>
      <c r="MN486">
        <v>0</v>
      </c>
      <c r="MO486">
        <v>0</v>
      </c>
      <c r="MP486">
        <v>0</v>
      </c>
      <c r="MQ486">
        <v>0</v>
      </c>
      <c r="MR486">
        <v>0</v>
      </c>
      <c r="MS486">
        <v>0</v>
      </c>
      <c r="MT486">
        <v>0</v>
      </c>
      <c r="MU486">
        <v>0</v>
      </c>
      <c r="MV486">
        <v>0</v>
      </c>
      <c r="MW486">
        <v>0</v>
      </c>
      <c r="MX486">
        <v>0</v>
      </c>
      <c r="MY486">
        <v>0</v>
      </c>
      <c r="MZ486">
        <v>0</v>
      </c>
      <c r="NA486">
        <v>0</v>
      </c>
      <c r="NB486">
        <v>0</v>
      </c>
      <c r="NC486">
        <v>0</v>
      </c>
      <c r="ND486">
        <v>0</v>
      </c>
      <c r="NE486">
        <v>0</v>
      </c>
    </row>
    <row r="487" spans="41:369" x14ac:dyDescent="0.45">
      <c r="AO487">
        <v>0</v>
      </c>
      <c r="AP487">
        <v>0</v>
      </c>
      <c r="AQ487">
        <v>0</v>
      </c>
      <c r="AR487">
        <v>0</v>
      </c>
      <c r="AS487">
        <v>0</v>
      </c>
      <c r="AT487">
        <v>0</v>
      </c>
      <c r="AU487">
        <v>0</v>
      </c>
      <c r="AV487">
        <v>0</v>
      </c>
      <c r="AW487" t="str">
        <v/>
      </c>
      <c r="AX487">
        <v>255</v>
      </c>
      <c r="AY487" s="5" t="str">
        <v/>
      </c>
      <c r="AZ487">
        <v>0</v>
      </c>
      <c r="BA487">
        <v>0</v>
      </c>
      <c r="BB487">
        <v>0</v>
      </c>
      <c r="BC487">
        <v>0</v>
      </c>
      <c r="BD487">
        <v>0</v>
      </c>
      <c r="BE487">
        <v>0</v>
      </c>
      <c r="BF487">
        <v>0</v>
      </c>
      <c r="BG487">
        <v>0</v>
      </c>
      <c r="BH487">
        <v>0</v>
      </c>
      <c r="BI487" t="str">
        <v/>
      </c>
      <c r="BK487">
        <v>481</v>
      </c>
      <c r="BL487">
        <v>0</v>
      </c>
      <c r="BM487">
        <v>0</v>
      </c>
      <c r="BN487">
        <v>0</v>
      </c>
      <c r="BO487">
        <v>0</v>
      </c>
      <c r="BP487">
        <v>0</v>
      </c>
      <c r="BQ487">
        <v>0</v>
      </c>
      <c r="BR487">
        <v>0</v>
      </c>
      <c r="BS487">
        <v>0</v>
      </c>
      <c r="BT487">
        <v>0</v>
      </c>
      <c r="BU487">
        <v>0</v>
      </c>
      <c r="BV487">
        <v>0</v>
      </c>
      <c r="BW487">
        <v>0</v>
      </c>
      <c r="BX487">
        <v>0</v>
      </c>
      <c r="BY487">
        <v>0</v>
      </c>
      <c r="BZ487">
        <v>0</v>
      </c>
      <c r="CA487">
        <v>0</v>
      </c>
      <c r="CB487">
        <v>0</v>
      </c>
      <c r="CC487">
        <v>0</v>
      </c>
      <c r="CD487">
        <v>0</v>
      </c>
      <c r="CE487">
        <v>0</v>
      </c>
      <c r="CF487">
        <v>0</v>
      </c>
      <c r="CG487">
        <v>0</v>
      </c>
      <c r="CH487">
        <v>0</v>
      </c>
      <c r="CI487">
        <v>0</v>
      </c>
      <c r="CJ487">
        <v>0</v>
      </c>
      <c r="CK487">
        <v>0</v>
      </c>
      <c r="CL487">
        <v>0</v>
      </c>
      <c r="CM487">
        <v>0</v>
      </c>
      <c r="CN487">
        <v>0</v>
      </c>
      <c r="CO487">
        <v>0</v>
      </c>
      <c r="CP487">
        <v>0</v>
      </c>
      <c r="CQ487">
        <v>0</v>
      </c>
      <c r="CR487">
        <v>0</v>
      </c>
      <c r="CS487">
        <v>0</v>
      </c>
      <c r="CT487">
        <v>0</v>
      </c>
      <c r="CU487">
        <v>0</v>
      </c>
      <c r="CV487">
        <v>0</v>
      </c>
      <c r="CW487">
        <v>0</v>
      </c>
      <c r="CX487">
        <v>0</v>
      </c>
      <c r="CY487">
        <v>0</v>
      </c>
      <c r="CZ487">
        <v>0</v>
      </c>
      <c r="DA487">
        <v>0</v>
      </c>
      <c r="DB487">
        <v>0</v>
      </c>
      <c r="DC487">
        <v>0</v>
      </c>
      <c r="DD487">
        <v>0</v>
      </c>
      <c r="DE487">
        <v>0</v>
      </c>
      <c r="DF487">
        <v>0</v>
      </c>
      <c r="DG487">
        <v>0</v>
      </c>
      <c r="DH487">
        <v>0</v>
      </c>
      <c r="DI487">
        <v>0</v>
      </c>
      <c r="DJ487">
        <v>0</v>
      </c>
      <c r="DK487">
        <v>0</v>
      </c>
      <c r="DL487">
        <v>0</v>
      </c>
      <c r="DM487">
        <v>0</v>
      </c>
      <c r="DN487">
        <v>0</v>
      </c>
      <c r="DO487">
        <v>0</v>
      </c>
      <c r="DP487">
        <v>0</v>
      </c>
      <c r="DQ487">
        <v>0</v>
      </c>
      <c r="DR487">
        <v>0</v>
      </c>
      <c r="DS487">
        <v>0</v>
      </c>
      <c r="DT487">
        <v>0</v>
      </c>
      <c r="DU487">
        <v>0</v>
      </c>
      <c r="DV487">
        <v>0</v>
      </c>
      <c r="DW487">
        <v>0</v>
      </c>
      <c r="DX487">
        <v>0</v>
      </c>
      <c r="DY487">
        <v>0</v>
      </c>
      <c r="DZ487">
        <v>0</v>
      </c>
      <c r="EA487">
        <v>0</v>
      </c>
      <c r="EB487">
        <v>0</v>
      </c>
      <c r="EC487">
        <v>0</v>
      </c>
      <c r="ED487">
        <v>0</v>
      </c>
      <c r="EE487">
        <v>0</v>
      </c>
      <c r="EF487">
        <v>0</v>
      </c>
      <c r="EG487">
        <v>0</v>
      </c>
      <c r="EH487">
        <v>0</v>
      </c>
      <c r="EI487">
        <v>0</v>
      </c>
      <c r="EJ487">
        <v>0</v>
      </c>
      <c r="EK487">
        <v>0</v>
      </c>
      <c r="EL487">
        <v>0</v>
      </c>
      <c r="EM487">
        <v>0</v>
      </c>
      <c r="EN487">
        <v>0</v>
      </c>
      <c r="EO487">
        <v>0</v>
      </c>
      <c r="EP487">
        <v>0</v>
      </c>
      <c r="EQ487">
        <v>0</v>
      </c>
      <c r="ER487">
        <v>0</v>
      </c>
      <c r="ES487">
        <v>0</v>
      </c>
      <c r="ET487">
        <v>0</v>
      </c>
      <c r="EU487">
        <v>0</v>
      </c>
      <c r="EV487">
        <v>0</v>
      </c>
      <c r="EW487">
        <v>0</v>
      </c>
      <c r="EX487">
        <v>0</v>
      </c>
      <c r="EY487">
        <v>0</v>
      </c>
      <c r="EZ487">
        <v>0</v>
      </c>
      <c r="FA487">
        <v>0</v>
      </c>
      <c r="FB487">
        <v>0</v>
      </c>
      <c r="FC487">
        <v>0</v>
      </c>
      <c r="FD487">
        <v>0</v>
      </c>
      <c r="FE487">
        <v>0</v>
      </c>
      <c r="FF487">
        <v>0</v>
      </c>
      <c r="FG487">
        <v>0</v>
      </c>
      <c r="FH487">
        <v>0</v>
      </c>
      <c r="FI487">
        <v>0</v>
      </c>
      <c r="FJ487">
        <v>0</v>
      </c>
      <c r="FK487">
        <v>0</v>
      </c>
      <c r="FL487">
        <v>0</v>
      </c>
      <c r="FM487">
        <v>0</v>
      </c>
      <c r="FN487">
        <v>0</v>
      </c>
      <c r="FO487">
        <v>0</v>
      </c>
      <c r="FP487">
        <v>0</v>
      </c>
      <c r="FQ487">
        <v>0</v>
      </c>
      <c r="FR487">
        <v>0</v>
      </c>
      <c r="FS487">
        <v>0</v>
      </c>
      <c r="FT487">
        <v>0</v>
      </c>
      <c r="FU487">
        <v>0</v>
      </c>
      <c r="FV487">
        <v>0</v>
      </c>
      <c r="FW487">
        <v>0</v>
      </c>
      <c r="FX487">
        <v>0</v>
      </c>
      <c r="FY487">
        <v>0</v>
      </c>
      <c r="FZ487">
        <v>0</v>
      </c>
      <c r="GA487">
        <v>0</v>
      </c>
      <c r="GB487">
        <v>0</v>
      </c>
      <c r="GC487">
        <v>0</v>
      </c>
      <c r="GD487">
        <v>0</v>
      </c>
      <c r="GE487">
        <v>0</v>
      </c>
      <c r="GF487">
        <v>0</v>
      </c>
      <c r="GG487">
        <v>0</v>
      </c>
      <c r="GH487">
        <v>0</v>
      </c>
      <c r="GI487">
        <v>0</v>
      </c>
      <c r="GJ487">
        <v>0</v>
      </c>
      <c r="GK487">
        <v>0</v>
      </c>
      <c r="GL487">
        <v>0</v>
      </c>
      <c r="GM487">
        <v>0</v>
      </c>
      <c r="GN487">
        <v>0</v>
      </c>
      <c r="GO487">
        <v>0</v>
      </c>
      <c r="GP487">
        <v>0</v>
      </c>
      <c r="GQ487">
        <v>0</v>
      </c>
      <c r="GR487">
        <v>0</v>
      </c>
      <c r="GS487">
        <v>0</v>
      </c>
      <c r="GT487">
        <v>0</v>
      </c>
      <c r="GU487">
        <v>0</v>
      </c>
      <c r="GV487">
        <v>0</v>
      </c>
      <c r="GW487">
        <v>0</v>
      </c>
      <c r="GX487">
        <v>0</v>
      </c>
      <c r="GY487">
        <v>0</v>
      </c>
      <c r="GZ487">
        <v>0</v>
      </c>
      <c r="HA487">
        <v>0</v>
      </c>
      <c r="HB487">
        <v>0</v>
      </c>
      <c r="HC487">
        <v>0</v>
      </c>
      <c r="HD487">
        <v>0</v>
      </c>
      <c r="HE487">
        <v>0</v>
      </c>
      <c r="HF487">
        <v>0</v>
      </c>
      <c r="HG487">
        <v>0</v>
      </c>
      <c r="HH487">
        <v>0</v>
      </c>
      <c r="HI487">
        <v>0</v>
      </c>
      <c r="HJ487">
        <v>0</v>
      </c>
      <c r="HK487">
        <v>0</v>
      </c>
      <c r="HL487">
        <v>0</v>
      </c>
      <c r="HM487">
        <v>0</v>
      </c>
      <c r="HN487">
        <v>0</v>
      </c>
      <c r="HO487">
        <v>0</v>
      </c>
      <c r="HP487">
        <v>0</v>
      </c>
      <c r="HQ487">
        <v>0</v>
      </c>
      <c r="HR487">
        <v>0</v>
      </c>
      <c r="HS487">
        <v>0</v>
      </c>
      <c r="HT487">
        <v>0</v>
      </c>
      <c r="HU487">
        <v>0</v>
      </c>
      <c r="HV487">
        <v>0</v>
      </c>
      <c r="HW487">
        <v>0</v>
      </c>
      <c r="HX487">
        <v>0</v>
      </c>
      <c r="HY487">
        <v>0</v>
      </c>
      <c r="HZ487">
        <v>0</v>
      </c>
      <c r="IA487">
        <v>0</v>
      </c>
      <c r="IB487">
        <v>0</v>
      </c>
      <c r="IC487">
        <v>0</v>
      </c>
      <c r="ID487">
        <v>0</v>
      </c>
      <c r="IE487">
        <v>0</v>
      </c>
      <c r="IF487">
        <v>0</v>
      </c>
      <c r="IG487">
        <v>0</v>
      </c>
      <c r="IH487">
        <v>0</v>
      </c>
      <c r="II487">
        <v>0</v>
      </c>
      <c r="IJ487">
        <v>0</v>
      </c>
      <c r="IK487">
        <v>0</v>
      </c>
      <c r="IL487">
        <v>0</v>
      </c>
      <c r="IM487">
        <v>0</v>
      </c>
      <c r="IN487">
        <v>0</v>
      </c>
      <c r="IO487">
        <v>0</v>
      </c>
      <c r="IP487">
        <v>0</v>
      </c>
      <c r="IQ487">
        <v>0</v>
      </c>
      <c r="IR487">
        <v>0</v>
      </c>
      <c r="IS487">
        <v>0</v>
      </c>
      <c r="IT487">
        <v>0</v>
      </c>
      <c r="IU487">
        <v>0</v>
      </c>
      <c r="IV487">
        <v>0</v>
      </c>
      <c r="IW487">
        <v>0</v>
      </c>
      <c r="IX487">
        <v>0</v>
      </c>
      <c r="IY487">
        <v>0</v>
      </c>
      <c r="IZ487">
        <v>0</v>
      </c>
      <c r="JA487">
        <v>0</v>
      </c>
      <c r="JB487">
        <v>0</v>
      </c>
      <c r="JC487">
        <v>0</v>
      </c>
      <c r="JD487">
        <v>0</v>
      </c>
      <c r="JE487">
        <v>0</v>
      </c>
      <c r="JF487">
        <v>0</v>
      </c>
      <c r="JG487">
        <v>0</v>
      </c>
      <c r="JH487">
        <v>0</v>
      </c>
      <c r="JI487">
        <v>0</v>
      </c>
      <c r="JJ487">
        <v>0</v>
      </c>
      <c r="JK487">
        <v>0</v>
      </c>
      <c r="JL487">
        <v>0</v>
      </c>
      <c r="JM487">
        <v>0</v>
      </c>
      <c r="JN487">
        <v>0</v>
      </c>
      <c r="JO487">
        <v>0</v>
      </c>
      <c r="JP487">
        <v>0</v>
      </c>
      <c r="JQ487">
        <v>0</v>
      </c>
      <c r="JR487">
        <v>0</v>
      </c>
      <c r="JS487">
        <v>0</v>
      </c>
      <c r="JT487">
        <v>0</v>
      </c>
      <c r="JU487">
        <v>0</v>
      </c>
      <c r="JV487">
        <v>0</v>
      </c>
      <c r="JW487">
        <v>0</v>
      </c>
      <c r="JX487">
        <v>0</v>
      </c>
      <c r="JY487">
        <v>0</v>
      </c>
      <c r="JZ487">
        <v>0</v>
      </c>
      <c r="KA487">
        <v>0</v>
      </c>
      <c r="KB487">
        <v>0</v>
      </c>
      <c r="KC487">
        <v>0</v>
      </c>
      <c r="KD487">
        <v>0</v>
      </c>
      <c r="KE487">
        <v>0</v>
      </c>
      <c r="KF487">
        <v>0</v>
      </c>
      <c r="KG487">
        <v>0</v>
      </c>
      <c r="KH487">
        <v>0</v>
      </c>
      <c r="KI487">
        <v>0</v>
      </c>
      <c r="KJ487">
        <v>0</v>
      </c>
      <c r="KK487">
        <v>0</v>
      </c>
      <c r="KL487">
        <v>0</v>
      </c>
      <c r="KM487">
        <v>0</v>
      </c>
      <c r="KN487">
        <v>0</v>
      </c>
      <c r="KO487">
        <v>0</v>
      </c>
      <c r="KP487">
        <v>0</v>
      </c>
      <c r="KQ487">
        <v>0</v>
      </c>
      <c r="KR487">
        <v>0</v>
      </c>
      <c r="KS487">
        <v>0</v>
      </c>
      <c r="KT487">
        <v>0</v>
      </c>
      <c r="KU487">
        <v>0</v>
      </c>
      <c r="KV487">
        <v>0</v>
      </c>
      <c r="KW487">
        <v>0</v>
      </c>
      <c r="KX487">
        <v>0</v>
      </c>
      <c r="KY487">
        <v>0</v>
      </c>
      <c r="KZ487">
        <v>0</v>
      </c>
      <c r="LA487">
        <v>0</v>
      </c>
      <c r="LB487">
        <v>0</v>
      </c>
      <c r="LC487">
        <v>0</v>
      </c>
      <c r="LD487">
        <v>0</v>
      </c>
      <c r="LE487">
        <v>0</v>
      </c>
      <c r="LF487">
        <v>0</v>
      </c>
      <c r="LG487">
        <v>0</v>
      </c>
      <c r="LH487">
        <v>0</v>
      </c>
      <c r="LI487">
        <v>0</v>
      </c>
      <c r="LJ487">
        <v>0</v>
      </c>
      <c r="LK487">
        <v>0</v>
      </c>
      <c r="LL487">
        <v>0</v>
      </c>
      <c r="LM487">
        <v>0</v>
      </c>
      <c r="LN487">
        <v>0</v>
      </c>
      <c r="LO487">
        <v>0</v>
      </c>
      <c r="LP487">
        <v>0</v>
      </c>
      <c r="LQ487">
        <v>0</v>
      </c>
      <c r="LR487">
        <v>0</v>
      </c>
      <c r="LS487">
        <v>0</v>
      </c>
      <c r="LT487">
        <v>0</v>
      </c>
      <c r="LU487">
        <v>0</v>
      </c>
      <c r="LV487">
        <v>0</v>
      </c>
      <c r="LW487">
        <v>0</v>
      </c>
      <c r="LX487">
        <v>0</v>
      </c>
      <c r="LY487">
        <v>0</v>
      </c>
      <c r="LZ487">
        <v>0</v>
      </c>
      <c r="MA487">
        <v>0</v>
      </c>
      <c r="MB487">
        <v>0</v>
      </c>
      <c r="MC487">
        <v>0</v>
      </c>
      <c r="MD487">
        <v>0</v>
      </c>
      <c r="ME487">
        <v>0</v>
      </c>
      <c r="MF487">
        <v>0</v>
      </c>
      <c r="MG487">
        <v>0</v>
      </c>
      <c r="MH487">
        <v>0</v>
      </c>
      <c r="MI487">
        <v>0</v>
      </c>
      <c r="MJ487">
        <v>0</v>
      </c>
      <c r="MK487">
        <v>0</v>
      </c>
      <c r="ML487">
        <v>0</v>
      </c>
      <c r="MM487">
        <v>0</v>
      </c>
      <c r="MN487">
        <v>0</v>
      </c>
      <c r="MO487">
        <v>0</v>
      </c>
      <c r="MP487">
        <v>0</v>
      </c>
      <c r="MQ487">
        <v>0</v>
      </c>
      <c r="MR487">
        <v>0</v>
      </c>
      <c r="MS487">
        <v>0</v>
      </c>
      <c r="MT487">
        <v>0</v>
      </c>
      <c r="MU487">
        <v>0</v>
      </c>
      <c r="MV487">
        <v>0</v>
      </c>
      <c r="MW487">
        <v>0</v>
      </c>
      <c r="MX487">
        <v>0</v>
      </c>
      <c r="MY487">
        <v>0</v>
      </c>
      <c r="MZ487">
        <v>0</v>
      </c>
      <c r="NA487">
        <v>0</v>
      </c>
      <c r="NB487">
        <v>0</v>
      </c>
      <c r="NC487">
        <v>0</v>
      </c>
      <c r="ND487">
        <v>0</v>
      </c>
      <c r="NE487">
        <v>0</v>
      </c>
    </row>
    <row r="488" spans="41:369" x14ac:dyDescent="0.45">
      <c r="AO488">
        <v>0</v>
      </c>
      <c r="AP488">
        <v>0</v>
      </c>
      <c r="AQ488">
        <v>0</v>
      </c>
      <c r="AR488">
        <v>0</v>
      </c>
      <c r="AS488">
        <v>0</v>
      </c>
      <c r="AT488">
        <v>0</v>
      </c>
      <c r="AU488">
        <v>0</v>
      </c>
      <c r="AV488">
        <v>0</v>
      </c>
      <c r="AW488" t="str">
        <v/>
      </c>
      <c r="AX488">
        <v>255</v>
      </c>
      <c r="AY488" s="5" t="str">
        <v/>
      </c>
      <c r="AZ488">
        <v>0</v>
      </c>
      <c r="BA488">
        <v>0</v>
      </c>
      <c r="BB488">
        <v>0</v>
      </c>
      <c r="BC488">
        <v>0</v>
      </c>
      <c r="BD488">
        <v>0</v>
      </c>
      <c r="BE488">
        <v>0</v>
      </c>
      <c r="BF488">
        <v>0</v>
      </c>
      <c r="BG488">
        <v>0</v>
      </c>
      <c r="BH488">
        <v>0</v>
      </c>
      <c r="BI488" t="str">
        <v/>
      </c>
      <c r="BK488">
        <v>482</v>
      </c>
      <c r="BL488">
        <v>0</v>
      </c>
      <c r="BM488">
        <v>0</v>
      </c>
      <c r="BN488">
        <v>0</v>
      </c>
      <c r="BO488">
        <v>0</v>
      </c>
      <c r="BP488">
        <v>0</v>
      </c>
      <c r="BQ488">
        <v>0</v>
      </c>
      <c r="BR488">
        <v>0</v>
      </c>
      <c r="BS488">
        <v>0</v>
      </c>
      <c r="BT488">
        <v>0</v>
      </c>
      <c r="BU488">
        <v>0</v>
      </c>
      <c r="BV488">
        <v>0</v>
      </c>
      <c r="BW488">
        <v>0</v>
      </c>
      <c r="BX488">
        <v>0</v>
      </c>
      <c r="BY488">
        <v>0</v>
      </c>
      <c r="BZ488">
        <v>0</v>
      </c>
      <c r="CA488">
        <v>0</v>
      </c>
      <c r="CB488">
        <v>0</v>
      </c>
      <c r="CC488">
        <v>0</v>
      </c>
      <c r="CD488">
        <v>0</v>
      </c>
      <c r="CE488">
        <v>0</v>
      </c>
      <c r="CF488">
        <v>0</v>
      </c>
      <c r="CG488">
        <v>0</v>
      </c>
      <c r="CH488">
        <v>0</v>
      </c>
      <c r="CI488">
        <v>0</v>
      </c>
      <c r="CJ488">
        <v>0</v>
      </c>
      <c r="CK488">
        <v>0</v>
      </c>
      <c r="CL488">
        <v>0</v>
      </c>
      <c r="CM488">
        <v>0</v>
      </c>
      <c r="CN488">
        <v>0</v>
      </c>
      <c r="CO488">
        <v>0</v>
      </c>
      <c r="CP488">
        <v>0</v>
      </c>
      <c r="CQ488">
        <v>0</v>
      </c>
      <c r="CR488">
        <v>0</v>
      </c>
      <c r="CS488">
        <v>0</v>
      </c>
      <c r="CT488">
        <v>0</v>
      </c>
      <c r="CU488">
        <v>0</v>
      </c>
      <c r="CV488">
        <v>0</v>
      </c>
      <c r="CW488">
        <v>0</v>
      </c>
      <c r="CX488">
        <v>0</v>
      </c>
      <c r="CY488">
        <v>0</v>
      </c>
      <c r="CZ488">
        <v>0</v>
      </c>
      <c r="DA488">
        <v>0</v>
      </c>
      <c r="DB488">
        <v>0</v>
      </c>
      <c r="DC488">
        <v>0</v>
      </c>
      <c r="DD488">
        <v>0</v>
      </c>
      <c r="DE488">
        <v>0</v>
      </c>
      <c r="DF488">
        <v>0</v>
      </c>
      <c r="DG488">
        <v>0</v>
      </c>
      <c r="DH488">
        <v>0</v>
      </c>
      <c r="DI488">
        <v>0</v>
      </c>
      <c r="DJ488">
        <v>0</v>
      </c>
      <c r="DK488">
        <v>0</v>
      </c>
      <c r="DL488">
        <v>0</v>
      </c>
      <c r="DM488">
        <v>0</v>
      </c>
      <c r="DN488">
        <v>0</v>
      </c>
      <c r="DO488">
        <v>0</v>
      </c>
      <c r="DP488">
        <v>0</v>
      </c>
      <c r="DQ488">
        <v>0</v>
      </c>
      <c r="DR488">
        <v>0</v>
      </c>
      <c r="DS488">
        <v>0</v>
      </c>
      <c r="DT488">
        <v>0</v>
      </c>
      <c r="DU488">
        <v>0</v>
      </c>
      <c r="DV488">
        <v>0</v>
      </c>
      <c r="DW488">
        <v>0</v>
      </c>
      <c r="DX488">
        <v>0</v>
      </c>
      <c r="DY488">
        <v>0</v>
      </c>
      <c r="DZ488">
        <v>0</v>
      </c>
      <c r="EA488">
        <v>0</v>
      </c>
      <c r="EB488">
        <v>0</v>
      </c>
      <c r="EC488">
        <v>0</v>
      </c>
      <c r="ED488">
        <v>0</v>
      </c>
      <c r="EE488">
        <v>0</v>
      </c>
      <c r="EF488">
        <v>0</v>
      </c>
      <c r="EG488">
        <v>0</v>
      </c>
      <c r="EH488">
        <v>0</v>
      </c>
      <c r="EI488">
        <v>0</v>
      </c>
      <c r="EJ488">
        <v>0</v>
      </c>
      <c r="EK488">
        <v>0</v>
      </c>
      <c r="EL488">
        <v>0</v>
      </c>
      <c r="EM488">
        <v>0</v>
      </c>
      <c r="EN488">
        <v>0</v>
      </c>
      <c r="EO488">
        <v>0</v>
      </c>
      <c r="EP488">
        <v>0</v>
      </c>
      <c r="EQ488">
        <v>0</v>
      </c>
      <c r="ER488">
        <v>0</v>
      </c>
      <c r="ES488">
        <v>0</v>
      </c>
      <c r="ET488">
        <v>0</v>
      </c>
      <c r="EU488">
        <v>0</v>
      </c>
      <c r="EV488">
        <v>0</v>
      </c>
      <c r="EW488">
        <v>0</v>
      </c>
      <c r="EX488">
        <v>0</v>
      </c>
      <c r="EY488">
        <v>0</v>
      </c>
      <c r="EZ488">
        <v>0</v>
      </c>
      <c r="FA488">
        <v>0</v>
      </c>
      <c r="FB488">
        <v>0</v>
      </c>
      <c r="FC488">
        <v>0</v>
      </c>
      <c r="FD488">
        <v>0</v>
      </c>
      <c r="FE488">
        <v>0</v>
      </c>
      <c r="FF488">
        <v>0</v>
      </c>
      <c r="FG488">
        <v>0</v>
      </c>
      <c r="FH488">
        <v>0</v>
      </c>
      <c r="FI488">
        <v>0</v>
      </c>
      <c r="FJ488">
        <v>0</v>
      </c>
      <c r="FK488">
        <v>0</v>
      </c>
      <c r="FL488">
        <v>0</v>
      </c>
      <c r="FM488">
        <v>0</v>
      </c>
      <c r="FN488">
        <v>0</v>
      </c>
      <c r="FO488">
        <v>0</v>
      </c>
      <c r="FP488">
        <v>0</v>
      </c>
      <c r="FQ488">
        <v>0</v>
      </c>
      <c r="FR488">
        <v>0</v>
      </c>
      <c r="FS488">
        <v>0</v>
      </c>
      <c r="FT488">
        <v>0</v>
      </c>
      <c r="FU488">
        <v>0</v>
      </c>
      <c r="FV488">
        <v>0</v>
      </c>
      <c r="FW488">
        <v>0</v>
      </c>
      <c r="FX488">
        <v>0</v>
      </c>
      <c r="FY488">
        <v>0</v>
      </c>
      <c r="FZ488">
        <v>0</v>
      </c>
      <c r="GA488">
        <v>0</v>
      </c>
      <c r="GB488">
        <v>0</v>
      </c>
      <c r="GC488">
        <v>0</v>
      </c>
      <c r="GD488">
        <v>0</v>
      </c>
      <c r="GE488">
        <v>0</v>
      </c>
      <c r="GF488">
        <v>0</v>
      </c>
      <c r="GG488">
        <v>0</v>
      </c>
      <c r="GH488">
        <v>0</v>
      </c>
      <c r="GI488">
        <v>0</v>
      </c>
      <c r="GJ488">
        <v>0</v>
      </c>
      <c r="GK488">
        <v>0</v>
      </c>
      <c r="GL488">
        <v>0</v>
      </c>
      <c r="GM488">
        <v>0</v>
      </c>
      <c r="GN488">
        <v>0</v>
      </c>
      <c r="GO488">
        <v>0</v>
      </c>
      <c r="GP488">
        <v>0</v>
      </c>
      <c r="GQ488">
        <v>0</v>
      </c>
      <c r="GR488">
        <v>0</v>
      </c>
      <c r="GS488">
        <v>0</v>
      </c>
      <c r="GT488">
        <v>0</v>
      </c>
      <c r="GU488">
        <v>0</v>
      </c>
      <c r="GV488">
        <v>0</v>
      </c>
      <c r="GW488">
        <v>0</v>
      </c>
      <c r="GX488">
        <v>0</v>
      </c>
      <c r="GY488">
        <v>0</v>
      </c>
      <c r="GZ488">
        <v>0</v>
      </c>
      <c r="HA488">
        <v>0</v>
      </c>
      <c r="HB488">
        <v>0</v>
      </c>
      <c r="HC488">
        <v>0</v>
      </c>
      <c r="HD488">
        <v>0</v>
      </c>
      <c r="HE488">
        <v>0</v>
      </c>
      <c r="HF488">
        <v>0</v>
      </c>
      <c r="HG488">
        <v>0</v>
      </c>
      <c r="HH488">
        <v>0</v>
      </c>
      <c r="HI488">
        <v>0</v>
      </c>
      <c r="HJ488">
        <v>0</v>
      </c>
      <c r="HK488">
        <v>0</v>
      </c>
      <c r="HL488">
        <v>0</v>
      </c>
      <c r="HM488">
        <v>0</v>
      </c>
      <c r="HN488">
        <v>0</v>
      </c>
      <c r="HO488">
        <v>0</v>
      </c>
      <c r="HP488">
        <v>0</v>
      </c>
      <c r="HQ488">
        <v>0</v>
      </c>
      <c r="HR488">
        <v>0</v>
      </c>
      <c r="HS488">
        <v>0</v>
      </c>
      <c r="HT488">
        <v>0</v>
      </c>
      <c r="HU488">
        <v>0</v>
      </c>
      <c r="HV488">
        <v>0</v>
      </c>
      <c r="HW488">
        <v>0</v>
      </c>
      <c r="HX488">
        <v>0</v>
      </c>
      <c r="HY488">
        <v>0</v>
      </c>
      <c r="HZ488">
        <v>0</v>
      </c>
      <c r="IA488">
        <v>0</v>
      </c>
      <c r="IB488">
        <v>0</v>
      </c>
      <c r="IC488">
        <v>0</v>
      </c>
      <c r="ID488">
        <v>0</v>
      </c>
      <c r="IE488">
        <v>0</v>
      </c>
      <c r="IF488">
        <v>0</v>
      </c>
      <c r="IG488">
        <v>0</v>
      </c>
      <c r="IH488">
        <v>0</v>
      </c>
      <c r="II488">
        <v>0</v>
      </c>
      <c r="IJ488">
        <v>0</v>
      </c>
      <c r="IK488">
        <v>0</v>
      </c>
      <c r="IL488">
        <v>0</v>
      </c>
      <c r="IM488">
        <v>0</v>
      </c>
      <c r="IN488">
        <v>0</v>
      </c>
      <c r="IO488">
        <v>0</v>
      </c>
      <c r="IP488">
        <v>0</v>
      </c>
      <c r="IQ488">
        <v>0</v>
      </c>
      <c r="IR488">
        <v>0</v>
      </c>
      <c r="IS488">
        <v>0</v>
      </c>
      <c r="IT488">
        <v>0</v>
      </c>
      <c r="IU488">
        <v>0</v>
      </c>
      <c r="IV488">
        <v>0</v>
      </c>
      <c r="IW488">
        <v>0</v>
      </c>
      <c r="IX488">
        <v>0</v>
      </c>
      <c r="IY488">
        <v>0</v>
      </c>
      <c r="IZ488">
        <v>0</v>
      </c>
      <c r="JA488">
        <v>0</v>
      </c>
      <c r="JB488">
        <v>0</v>
      </c>
      <c r="JC488">
        <v>0</v>
      </c>
      <c r="JD488">
        <v>0</v>
      </c>
      <c r="JE488">
        <v>0</v>
      </c>
      <c r="JF488">
        <v>0</v>
      </c>
      <c r="JG488">
        <v>0</v>
      </c>
      <c r="JH488">
        <v>0</v>
      </c>
      <c r="JI488">
        <v>0</v>
      </c>
      <c r="JJ488">
        <v>0</v>
      </c>
      <c r="JK488">
        <v>0</v>
      </c>
      <c r="JL488">
        <v>0</v>
      </c>
      <c r="JM488">
        <v>0</v>
      </c>
      <c r="JN488">
        <v>0</v>
      </c>
      <c r="JO488">
        <v>0</v>
      </c>
      <c r="JP488">
        <v>0</v>
      </c>
      <c r="JQ488">
        <v>0</v>
      </c>
      <c r="JR488">
        <v>0</v>
      </c>
      <c r="JS488">
        <v>0</v>
      </c>
      <c r="JT488">
        <v>0</v>
      </c>
      <c r="JU488">
        <v>0</v>
      </c>
      <c r="JV488">
        <v>0</v>
      </c>
      <c r="JW488">
        <v>0</v>
      </c>
      <c r="JX488">
        <v>0</v>
      </c>
      <c r="JY488">
        <v>0</v>
      </c>
      <c r="JZ488">
        <v>0</v>
      </c>
      <c r="KA488">
        <v>0</v>
      </c>
      <c r="KB488">
        <v>0</v>
      </c>
      <c r="KC488">
        <v>0</v>
      </c>
      <c r="KD488">
        <v>0</v>
      </c>
      <c r="KE488">
        <v>0</v>
      </c>
      <c r="KF488">
        <v>0</v>
      </c>
      <c r="KG488">
        <v>0</v>
      </c>
      <c r="KH488">
        <v>0</v>
      </c>
      <c r="KI488">
        <v>0</v>
      </c>
      <c r="KJ488">
        <v>0</v>
      </c>
      <c r="KK488">
        <v>0</v>
      </c>
      <c r="KL488">
        <v>0</v>
      </c>
      <c r="KM488">
        <v>0</v>
      </c>
      <c r="KN488">
        <v>0</v>
      </c>
      <c r="KO488">
        <v>0</v>
      </c>
      <c r="KP488">
        <v>0</v>
      </c>
      <c r="KQ488">
        <v>0</v>
      </c>
      <c r="KR488">
        <v>0</v>
      </c>
      <c r="KS488">
        <v>0</v>
      </c>
      <c r="KT488">
        <v>0</v>
      </c>
      <c r="KU488">
        <v>0</v>
      </c>
      <c r="KV488">
        <v>0</v>
      </c>
      <c r="KW488">
        <v>0</v>
      </c>
      <c r="KX488">
        <v>0</v>
      </c>
      <c r="KY488">
        <v>0</v>
      </c>
      <c r="KZ488">
        <v>0</v>
      </c>
      <c r="LA488">
        <v>0</v>
      </c>
      <c r="LB488">
        <v>0</v>
      </c>
      <c r="LC488">
        <v>0</v>
      </c>
      <c r="LD488">
        <v>0</v>
      </c>
      <c r="LE488">
        <v>0</v>
      </c>
      <c r="LF488">
        <v>0</v>
      </c>
      <c r="LG488">
        <v>0</v>
      </c>
      <c r="LH488">
        <v>0</v>
      </c>
      <c r="LI488">
        <v>0</v>
      </c>
      <c r="LJ488">
        <v>0</v>
      </c>
      <c r="LK488">
        <v>0</v>
      </c>
      <c r="LL488">
        <v>0</v>
      </c>
      <c r="LM488">
        <v>0</v>
      </c>
      <c r="LN488">
        <v>0</v>
      </c>
      <c r="LO488">
        <v>0</v>
      </c>
      <c r="LP488">
        <v>0</v>
      </c>
      <c r="LQ488">
        <v>0</v>
      </c>
      <c r="LR488">
        <v>0</v>
      </c>
      <c r="LS488">
        <v>0</v>
      </c>
      <c r="LT488">
        <v>0</v>
      </c>
      <c r="LU488">
        <v>0</v>
      </c>
      <c r="LV488">
        <v>0</v>
      </c>
      <c r="LW488">
        <v>0</v>
      </c>
      <c r="LX488">
        <v>0</v>
      </c>
      <c r="LY488">
        <v>0</v>
      </c>
      <c r="LZ488">
        <v>0</v>
      </c>
      <c r="MA488">
        <v>0</v>
      </c>
      <c r="MB488">
        <v>0</v>
      </c>
      <c r="MC488">
        <v>0</v>
      </c>
      <c r="MD488">
        <v>0</v>
      </c>
      <c r="ME488">
        <v>0</v>
      </c>
      <c r="MF488">
        <v>0</v>
      </c>
      <c r="MG488">
        <v>0</v>
      </c>
      <c r="MH488">
        <v>0</v>
      </c>
      <c r="MI488">
        <v>0</v>
      </c>
      <c r="MJ488">
        <v>0</v>
      </c>
      <c r="MK488">
        <v>0</v>
      </c>
      <c r="ML488">
        <v>0</v>
      </c>
      <c r="MM488">
        <v>0</v>
      </c>
      <c r="MN488">
        <v>0</v>
      </c>
      <c r="MO488">
        <v>0</v>
      </c>
      <c r="MP488">
        <v>0</v>
      </c>
      <c r="MQ488">
        <v>0</v>
      </c>
      <c r="MR488">
        <v>0</v>
      </c>
      <c r="MS488">
        <v>0</v>
      </c>
      <c r="MT488">
        <v>0</v>
      </c>
      <c r="MU488">
        <v>0</v>
      </c>
      <c r="MV488">
        <v>0</v>
      </c>
      <c r="MW488">
        <v>0</v>
      </c>
      <c r="MX488">
        <v>0</v>
      </c>
      <c r="MY488">
        <v>0</v>
      </c>
      <c r="MZ488">
        <v>0</v>
      </c>
      <c r="NA488">
        <v>0</v>
      </c>
      <c r="NB488">
        <v>0</v>
      </c>
      <c r="NC488">
        <v>0</v>
      </c>
      <c r="ND488">
        <v>0</v>
      </c>
      <c r="NE488">
        <v>0</v>
      </c>
    </row>
    <row r="489" spans="41:369" x14ac:dyDescent="0.45">
      <c r="AO489">
        <v>0</v>
      </c>
      <c r="AP489">
        <v>0</v>
      </c>
      <c r="AQ489">
        <v>0</v>
      </c>
      <c r="AR489">
        <v>0</v>
      </c>
      <c r="AS489">
        <v>0</v>
      </c>
      <c r="AT489">
        <v>0</v>
      </c>
      <c r="AU489">
        <v>0</v>
      </c>
      <c r="AV489">
        <v>0</v>
      </c>
      <c r="AW489" t="str">
        <v/>
      </c>
      <c r="AX489">
        <v>255</v>
      </c>
      <c r="AY489" s="5" t="str">
        <v/>
      </c>
      <c r="AZ489">
        <v>0</v>
      </c>
      <c r="BA489">
        <v>0</v>
      </c>
      <c r="BB489">
        <v>0</v>
      </c>
      <c r="BC489">
        <v>0</v>
      </c>
      <c r="BD489">
        <v>0</v>
      </c>
      <c r="BE489">
        <v>0</v>
      </c>
      <c r="BF489">
        <v>0</v>
      </c>
      <c r="BG489">
        <v>0</v>
      </c>
      <c r="BH489">
        <v>0</v>
      </c>
      <c r="BI489" t="str">
        <v/>
      </c>
      <c r="BK489">
        <v>483</v>
      </c>
      <c r="BL489">
        <v>0</v>
      </c>
      <c r="BM489">
        <v>0</v>
      </c>
      <c r="BN489">
        <v>0</v>
      </c>
      <c r="BO489">
        <v>0</v>
      </c>
      <c r="BP489">
        <v>0</v>
      </c>
      <c r="BQ489">
        <v>0</v>
      </c>
      <c r="BR489">
        <v>0</v>
      </c>
      <c r="BS489">
        <v>0</v>
      </c>
      <c r="BT489">
        <v>0</v>
      </c>
      <c r="BU489">
        <v>0</v>
      </c>
      <c r="BV489">
        <v>0</v>
      </c>
      <c r="BW489">
        <v>0</v>
      </c>
      <c r="BX489">
        <v>0</v>
      </c>
      <c r="BY489">
        <v>0</v>
      </c>
      <c r="BZ489">
        <v>0</v>
      </c>
      <c r="CA489">
        <v>0</v>
      </c>
      <c r="CB489">
        <v>0</v>
      </c>
      <c r="CC489">
        <v>0</v>
      </c>
      <c r="CD489">
        <v>0</v>
      </c>
      <c r="CE489">
        <v>0</v>
      </c>
      <c r="CF489">
        <v>0</v>
      </c>
      <c r="CG489">
        <v>0</v>
      </c>
      <c r="CH489">
        <v>0</v>
      </c>
      <c r="CI489">
        <v>0</v>
      </c>
      <c r="CJ489">
        <v>0</v>
      </c>
      <c r="CK489">
        <v>0</v>
      </c>
      <c r="CL489">
        <v>0</v>
      </c>
      <c r="CM489">
        <v>0</v>
      </c>
      <c r="CN489">
        <v>0</v>
      </c>
      <c r="CO489">
        <v>0</v>
      </c>
      <c r="CP489">
        <v>0</v>
      </c>
      <c r="CQ489">
        <v>0</v>
      </c>
      <c r="CR489">
        <v>0</v>
      </c>
      <c r="CS489">
        <v>0</v>
      </c>
      <c r="CT489">
        <v>0</v>
      </c>
      <c r="CU489">
        <v>0</v>
      </c>
      <c r="CV489">
        <v>0</v>
      </c>
      <c r="CW489">
        <v>0</v>
      </c>
      <c r="CX489">
        <v>0</v>
      </c>
      <c r="CY489">
        <v>0</v>
      </c>
      <c r="CZ489">
        <v>0</v>
      </c>
      <c r="DA489">
        <v>0</v>
      </c>
      <c r="DB489">
        <v>0</v>
      </c>
      <c r="DC489">
        <v>0</v>
      </c>
      <c r="DD489">
        <v>0</v>
      </c>
      <c r="DE489">
        <v>0</v>
      </c>
      <c r="DF489">
        <v>0</v>
      </c>
      <c r="DG489">
        <v>0</v>
      </c>
      <c r="DH489">
        <v>0</v>
      </c>
      <c r="DI489">
        <v>0</v>
      </c>
      <c r="DJ489">
        <v>0</v>
      </c>
      <c r="DK489">
        <v>0</v>
      </c>
      <c r="DL489">
        <v>0</v>
      </c>
      <c r="DM489">
        <v>0</v>
      </c>
      <c r="DN489">
        <v>0</v>
      </c>
      <c r="DO489">
        <v>0</v>
      </c>
      <c r="DP489">
        <v>0</v>
      </c>
      <c r="DQ489">
        <v>0</v>
      </c>
      <c r="DR489">
        <v>0</v>
      </c>
      <c r="DS489">
        <v>0</v>
      </c>
      <c r="DT489">
        <v>0</v>
      </c>
      <c r="DU489">
        <v>0</v>
      </c>
      <c r="DV489">
        <v>0</v>
      </c>
      <c r="DW489">
        <v>0</v>
      </c>
      <c r="DX489">
        <v>0</v>
      </c>
      <c r="DY489">
        <v>0</v>
      </c>
      <c r="DZ489">
        <v>0</v>
      </c>
      <c r="EA489">
        <v>0</v>
      </c>
      <c r="EB489">
        <v>0</v>
      </c>
      <c r="EC489">
        <v>0</v>
      </c>
      <c r="ED489">
        <v>0</v>
      </c>
      <c r="EE489">
        <v>0</v>
      </c>
      <c r="EF489">
        <v>0</v>
      </c>
      <c r="EG489">
        <v>0</v>
      </c>
      <c r="EH489">
        <v>0</v>
      </c>
      <c r="EI489">
        <v>0</v>
      </c>
      <c r="EJ489">
        <v>0</v>
      </c>
      <c r="EK489">
        <v>0</v>
      </c>
      <c r="EL489">
        <v>0</v>
      </c>
      <c r="EM489">
        <v>0</v>
      </c>
      <c r="EN489">
        <v>0</v>
      </c>
      <c r="EO489">
        <v>0</v>
      </c>
      <c r="EP489">
        <v>0</v>
      </c>
      <c r="EQ489">
        <v>0</v>
      </c>
      <c r="ER489">
        <v>0</v>
      </c>
      <c r="ES489">
        <v>0</v>
      </c>
      <c r="ET489">
        <v>0</v>
      </c>
      <c r="EU489">
        <v>0</v>
      </c>
      <c r="EV489">
        <v>0</v>
      </c>
      <c r="EW489">
        <v>0</v>
      </c>
      <c r="EX489">
        <v>0</v>
      </c>
      <c r="EY489">
        <v>0</v>
      </c>
      <c r="EZ489">
        <v>0</v>
      </c>
      <c r="FA489">
        <v>0</v>
      </c>
      <c r="FB489">
        <v>0</v>
      </c>
      <c r="FC489">
        <v>0</v>
      </c>
      <c r="FD489">
        <v>0</v>
      </c>
      <c r="FE489">
        <v>0</v>
      </c>
      <c r="FF489">
        <v>0</v>
      </c>
      <c r="FG489">
        <v>0</v>
      </c>
      <c r="FH489">
        <v>0</v>
      </c>
      <c r="FI489">
        <v>0</v>
      </c>
      <c r="FJ489">
        <v>0</v>
      </c>
      <c r="FK489">
        <v>0</v>
      </c>
      <c r="FL489">
        <v>0</v>
      </c>
      <c r="FM489">
        <v>0</v>
      </c>
      <c r="FN489">
        <v>0</v>
      </c>
      <c r="FO489">
        <v>0</v>
      </c>
      <c r="FP489">
        <v>0</v>
      </c>
      <c r="FQ489">
        <v>0</v>
      </c>
      <c r="FR489">
        <v>0</v>
      </c>
      <c r="FS489">
        <v>0</v>
      </c>
      <c r="FT489">
        <v>0</v>
      </c>
      <c r="FU489">
        <v>0</v>
      </c>
      <c r="FV489">
        <v>0</v>
      </c>
      <c r="FW489">
        <v>0</v>
      </c>
      <c r="FX489">
        <v>0</v>
      </c>
      <c r="FY489">
        <v>0</v>
      </c>
      <c r="FZ489">
        <v>0</v>
      </c>
      <c r="GA489">
        <v>0</v>
      </c>
      <c r="GB489">
        <v>0</v>
      </c>
      <c r="GC489">
        <v>0</v>
      </c>
      <c r="GD489">
        <v>0</v>
      </c>
      <c r="GE489">
        <v>0</v>
      </c>
      <c r="GF489">
        <v>0</v>
      </c>
      <c r="GG489">
        <v>0</v>
      </c>
      <c r="GH489">
        <v>0</v>
      </c>
      <c r="GI489">
        <v>0</v>
      </c>
      <c r="GJ489">
        <v>0</v>
      </c>
      <c r="GK489">
        <v>0</v>
      </c>
      <c r="GL489">
        <v>0</v>
      </c>
      <c r="GM489">
        <v>0</v>
      </c>
      <c r="GN489">
        <v>0</v>
      </c>
      <c r="GO489">
        <v>0</v>
      </c>
      <c r="GP489">
        <v>0</v>
      </c>
      <c r="GQ489">
        <v>0</v>
      </c>
      <c r="GR489">
        <v>0</v>
      </c>
      <c r="GS489">
        <v>0</v>
      </c>
      <c r="GT489">
        <v>0</v>
      </c>
      <c r="GU489">
        <v>0</v>
      </c>
      <c r="GV489">
        <v>0</v>
      </c>
      <c r="GW489">
        <v>0</v>
      </c>
      <c r="GX489">
        <v>0</v>
      </c>
      <c r="GY489">
        <v>0</v>
      </c>
      <c r="GZ489">
        <v>0</v>
      </c>
      <c r="HA489">
        <v>0</v>
      </c>
      <c r="HB489">
        <v>0</v>
      </c>
      <c r="HC489">
        <v>0</v>
      </c>
      <c r="HD489">
        <v>0</v>
      </c>
      <c r="HE489">
        <v>0</v>
      </c>
      <c r="HF489">
        <v>0</v>
      </c>
      <c r="HG489">
        <v>0</v>
      </c>
      <c r="HH489">
        <v>0</v>
      </c>
      <c r="HI489">
        <v>0</v>
      </c>
      <c r="HJ489">
        <v>0</v>
      </c>
      <c r="HK489">
        <v>0</v>
      </c>
      <c r="HL489">
        <v>0</v>
      </c>
      <c r="HM489">
        <v>0</v>
      </c>
      <c r="HN489">
        <v>0</v>
      </c>
      <c r="HO489">
        <v>0</v>
      </c>
      <c r="HP489">
        <v>0</v>
      </c>
      <c r="HQ489">
        <v>0</v>
      </c>
      <c r="HR489">
        <v>0</v>
      </c>
      <c r="HS489">
        <v>0</v>
      </c>
      <c r="HT489">
        <v>0</v>
      </c>
      <c r="HU489">
        <v>0</v>
      </c>
      <c r="HV489">
        <v>0</v>
      </c>
      <c r="HW489">
        <v>0</v>
      </c>
      <c r="HX489">
        <v>0</v>
      </c>
      <c r="HY489">
        <v>0</v>
      </c>
      <c r="HZ489">
        <v>0</v>
      </c>
      <c r="IA489">
        <v>0</v>
      </c>
      <c r="IB489">
        <v>0</v>
      </c>
      <c r="IC489">
        <v>0</v>
      </c>
      <c r="ID489">
        <v>0</v>
      </c>
      <c r="IE489">
        <v>0</v>
      </c>
      <c r="IF489">
        <v>0</v>
      </c>
      <c r="IG489">
        <v>0</v>
      </c>
      <c r="IH489">
        <v>0</v>
      </c>
      <c r="II489">
        <v>0</v>
      </c>
      <c r="IJ489">
        <v>0</v>
      </c>
      <c r="IK489">
        <v>0</v>
      </c>
      <c r="IL489">
        <v>0</v>
      </c>
      <c r="IM489">
        <v>0</v>
      </c>
      <c r="IN489">
        <v>0</v>
      </c>
      <c r="IO489">
        <v>0</v>
      </c>
      <c r="IP489">
        <v>0</v>
      </c>
      <c r="IQ489">
        <v>0</v>
      </c>
      <c r="IR489">
        <v>0</v>
      </c>
      <c r="IS489">
        <v>0</v>
      </c>
      <c r="IT489">
        <v>0</v>
      </c>
      <c r="IU489">
        <v>0</v>
      </c>
      <c r="IV489">
        <v>0</v>
      </c>
      <c r="IW489">
        <v>0</v>
      </c>
      <c r="IX489">
        <v>0</v>
      </c>
      <c r="IY489">
        <v>0</v>
      </c>
      <c r="IZ489">
        <v>0</v>
      </c>
      <c r="JA489">
        <v>0</v>
      </c>
      <c r="JB489">
        <v>0</v>
      </c>
      <c r="JC489">
        <v>0</v>
      </c>
      <c r="JD489">
        <v>0</v>
      </c>
      <c r="JE489">
        <v>0</v>
      </c>
      <c r="JF489">
        <v>0</v>
      </c>
      <c r="JG489">
        <v>0</v>
      </c>
      <c r="JH489">
        <v>0</v>
      </c>
      <c r="JI489">
        <v>0</v>
      </c>
      <c r="JJ489">
        <v>0</v>
      </c>
      <c r="JK489">
        <v>0</v>
      </c>
      <c r="JL489">
        <v>0</v>
      </c>
      <c r="JM489">
        <v>0</v>
      </c>
      <c r="JN489">
        <v>0</v>
      </c>
      <c r="JO489">
        <v>0</v>
      </c>
      <c r="JP489">
        <v>0</v>
      </c>
      <c r="JQ489">
        <v>0</v>
      </c>
      <c r="JR489">
        <v>0</v>
      </c>
      <c r="JS489">
        <v>0</v>
      </c>
      <c r="JT489">
        <v>0</v>
      </c>
      <c r="JU489">
        <v>0</v>
      </c>
      <c r="JV489">
        <v>0</v>
      </c>
      <c r="JW489">
        <v>0</v>
      </c>
      <c r="JX489">
        <v>0</v>
      </c>
      <c r="JY489">
        <v>0</v>
      </c>
      <c r="JZ489">
        <v>0</v>
      </c>
      <c r="KA489">
        <v>0</v>
      </c>
      <c r="KB489">
        <v>0</v>
      </c>
      <c r="KC489">
        <v>0</v>
      </c>
      <c r="KD489">
        <v>0</v>
      </c>
      <c r="KE489">
        <v>0</v>
      </c>
      <c r="KF489">
        <v>0</v>
      </c>
      <c r="KG489">
        <v>0</v>
      </c>
      <c r="KH489">
        <v>0</v>
      </c>
      <c r="KI489">
        <v>0</v>
      </c>
      <c r="KJ489">
        <v>0</v>
      </c>
      <c r="KK489">
        <v>0</v>
      </c>
      <c r="KL489">
        <v>0</v>
      </c>
      <c r="KM489">
        <v>0</v>
      </c>
      <c r="KN489">
        <v>0</v>
      </c>
      <c r="KO489">
        <v>0</v>
      </c>
      <c r="KP489">
        <v>0</v>
      </c>
      <c r="KQ489">
        <v>0</v>
      </c>
      <c r="KR489">
        <v>0</v>
      </c>
      <c r="KS489">
        <v>0</v>
      </c>
      <c r="KT489">
        <v>0</v>
      </c>
      <c r="KU489">
        <v>0</v>
      </c>
      <c r="KV489">
        <v>0</v>
      </c>
      <c r="KW489">
        <v>0</v>
      </c>
      <c r="KX489">
        <v>0</v>
      </c>
      <c r="KY489">
        <v>0</v>
      </c>
      <c r="KZ489">
        <v>0</v>
      </c>
      <c r="LA489">
        <v>0</v>
      </c>
      <c r="LB489">
        <v>0</v>
      </c>
      <c r="LC489">
        <v>0</v>
      </c>
      <c r="LD489">
        <v>0</v>
      </c>
      <c r="LE489">
        <v>0</v>
      </c>
      <c r="LF489">
        <v>0</v>
      </c>
      <c r="LG489">
        <v>0</v>
      </c>
      <c r="LH489">
        <v>0</v>
      </c>
      <c r="LI489">
        <v>0</v>
      </c>
      <c r="LJ489">
        <v>0</v>
      </c>
      <c r="LK489">
        <v>0</v>
      </c>
      <c r="LL489">
        <v>0</v>
      </c>
      <c r="LM489">
        <v>0</v>
      </c>
      <c r="LN489">
        <v>0</v>
      </c>
      <c r="LO489">
        <v>0</v>
      </c>
      <c r="LP489">
        <v>0</v>
      </c>
      <c r="LQ489">
        <v>0</v>
      </c>
      <c r="LR489">
        <v>0</v>
      </c>
      <c r="LS489">
        <v>0</v>
      </c>
      <c r="LT489">
        <v>0</v>
      </c>
      <c r="LU489">
        <v>0</v>
      </c>
      <c r="LV489">
        <v>0</v>
      </c>
      <c r="LW489">
        <v>0</v>
      </c>
      <c r="LX489">
        <v>0</v>
      </c>
      <c r="LY489">
        <v>0</v>
      </c>
      <c r="LZ489">
        <v>0</v>
      </c>
      <c r="MA489">
        <v>0</v>
      </c>
      <c r="MB489">
        <v>0</v>
      </c>
      <c r="MC489">
        <v>0</v>
      </c>
      <c r="MD489">
        <v>0</v>
      </c>
      <c r="ME489">
        <v>0</v>
      </c>
      <c r="MF489">
        <v>0</v>
      </c>
      <c r="MG489">
        <v>0</v>
      </c>
      <c r="MH489">
        <v>0</v>
      </c>
      <c r="MI489">
        <v>0</v>
      </c>
      <c r="MJ489">
        <v>0</v>
      </c>
      <c r="MK489">
        <v>0</v>
      </c>
      <c r="ML489">
        <v>0</v>
      </c>
      <c r="MM489">
        <v>0</v>
      </c>
      <c r="MN489">
        <v>0</v>
      </c>
      <c r="MO489">
        <v>0</v>
      </c>
      <c r="MP489">
        <v>0</v>
      </c>
      <c r="MQ489">
        <v>0</v>
      </c>
      <c r="MR489">
        <v>0</v>
      </c>
      <c r="MS489">
        <v>0</v>
      </c>
      <c r="MT489">
        <v>0</v>
      </c>
      <c r="MU489">
        <v>0</v>
      </c>
      <c r="MV489">
        <v>0</v>
      </c>
      <c r="MW489">
        <v>0</v>
      </c>
      <c r="MX489">
        <v>0</v>
      </c>
      <c r="MY489">
        <v>0</v>
      </c>
      <c r="MZ489">
        <v>0</v>
      </c>
      <c r="NA489">
        <v>0</v>
      </c>
      <c r="NB489">
        <v>0</v>
      </c>
      <c r="NC489">
        <v>0</v>
      </c>
      <c r="ND489">
        <v>0</v>
      </c>
      <c r="NE489">
        <v>0</v>
      </c>
    </row>
    <row r="490" spans="41:369" x14ac:dyDescent="0.45">
      <c r="AO490">
        <v>0</v>
      </c>
      <c r="AP490">
        <v>0</v>
      </c>
      <c r="AQ490">
        <v>0</v>
      </c>
      <c r="AR490">
        <v>0</v>
      </c>
      <c r="AS490">
        <v>0</v>
      </c>
      <c r="AT490">
        <v>0</v>
      </c>
      <c r="AU490">
        <v>0</v>
      </c>
      <c r="AV490">
        <v>0</v>
      </c>
      <c r="AW490" t="str">
        <v/>
      </c>
      <c r="AX490">
        <v>255</v>
      </c>
      <c r="AY490" s="5" t="str">
        <v/>
      </c>
      <c r="AZ490">
        <v>0</v>
      </c>
      <c r="BA490">
        <v>0</v>
      </c>
      <c r="BB490">
        <v>0</v>
      </c>
      <c r="BC490">
        <v>0</v>
      </c>
      <c r="BD490">
        <v>0</v>
      </c>
      <c r="BE490">
        <v>0</v>
      </c>
      <c r="BF490">
        <v>0</v>
      </c>
      <c r="BG490">
        <v>0</v>
      </c>
      <c r="BH490">
        <v>0</v>
      </c>
      <c r="BI490" t="str">
        <v/>
      </c>
      <c r="BK490">
        <v>484</v>
      </c>
      <c r="BL490">
        <v>0</v>
      </c>
      <c r="BM490">
        <v>0</v>
      </c>
      <c r="BN490">
        <v>0</v>
      </c>
      <c r="BO490">
        <v>0</v>
      </c>
      <c r="BP490">
        <v>0</v>
      </c>
      <c r="BQ490">
        <v>0</v>
      </c>
      <c r="BR490">
        <v>0</v>
      </c>
      <c r="BS490">
        <v>0</v>
      </c>
      <c r="BT490">
        <v>0</v>
      </c>
      <c r="BU490">
        <v>0</v>
      </c>
      <c r="BV490">
        <v>0</v>
      </c>
      <c r="BW490">
        <v>0</v>
      </c>
      <c r="BX490">
        <v>0</v>
      </c>
      <c r="BY490">
        <v>0</v>
      </c>
      <c r="BZ490">
        <v>0</v>
      </c>
      <c r="CA490">
        <v>0</v>
      </c>
      <c r="CB490">
        <v>0</v>
      </c>
      <c r="CC490">
        <v>0</v>
      </c>
      <c r="CD490">
        <v>0</v>
      </c>
      <c r="CE490">
        <v>0</v>
      </c>
      <c r="CF490">
        <v>0</v>
      </c>
      <c r="CG490">
        <v>0</v>
      </c>
      <c r="CH490">
        <v>0</v>
      </c>
      <c r="CI490">
        <v>0</v>
      </c>
      <c r="CJ490">
        <v>0</v>
      </c>
      <c r="CK490">
        <v>0</v>
      </c>
      <c r="CL490">
        <v>0</v>
      </c>
      <c r="CM490">
        <v>0</v>
      </c>
      <c r="CN490">
        <v>0</v>
      </c>
      <c r="CO490">
        <v>0</v>
      </c>
      <c r="CP490">
        <v>0</v>
      </c>
      <c r="CQ490">
        <v>0</v>
      </c>
      <c r="CR490">
        <v>0</v>
      </c>
      <c r="CS490">
        <v>0</v>
      </c>
      <c r="CT490">
        <v>0</v>
      </c>
      <c r="CU490">
        <v>0</v>
      </c>
      <c r="CV490">
        <v>0</v>
      </c>
      <c r="CW490">
        <v>0</v>
      </c>
      <c r="CX490">
        <v>0</v>
      </c>
      <c r="CY490">
        <v>0</v>
      </c>
      <c r="CZ490">
        <v>0</v>
      </c>
      <c r="DA490">
        <v>0</v>
      </c>
      <c r="DB490">
        <v>0</v>
      </c>
      <c r="DC490">
        <v>0</v>
      </c>
      <c r="DD490">
        <v>0</v>
      </c>
      <c r="DE490">
        <v>0</v>
      </c>
      <c r="DF490">
        <v>0</v>
      </c>
      <c r="DG490">
        <v>0</v>
      </c>
      <c r="DH490">
        <v>0</v>
      </c>
      <c r="DI490">
        <v>0</v>
      </c>
      <c r="DJ490">
        <v>0</v>
      </c>
      <c r="DK490">
        <v>0</v>
      </c>
      <c r="DL490">
        <v>0</v>
      </c>
      <c r="DM490">
        <v>0</v>
      </c>
      <c r="DN490">
        <v>0</v>
      </c>
      <c r="DO490">
        <v>0</v>
      </c>
      <c r="DP490">
        <v>0</v>
      </c>
      <c r="DQ490">
        <v>0</v>
      </c>
      <c r="DR490">
        <v>0</v>
      </c>
      <c r="DS490">
        <v>0</v>
      </c>
      <c r="DT490">
        <v>0</v>
      </c>
      <c r="DU490">
        <v>0</v>
      </c>
      <c r="DV490">
        <v>0</v>
      </c>
      <c r="DW490">
        <v>0</v>
      </c>
      <c r="DX490">
        <v>0</v>
      </c>
      <c r="DY490">
        <v>0</v>
      </c>
      <c r="DZ490">
        <v>0</v>
      </c>
      <c r="EA490">
        <v>0</v>
      </c>
      <c r="EB490">
        <v>0</v>
      </c>
      <c r="EC490">
        <v>0</v>
      </c>
      <c r="ED490">
        <v>0</v>
      </c>
      <c r="EE490">
        <v>0</v>
      </c>
      <c r="EF490">
        <v>0</v>
      </c>
      <c r="EG490">
        <v>0</v>
      </c>
      <c r="EH490">
        <v>0</v>
      </c>
      <c r="EI490">
        <v>0</v>
      </c>
      <c r="EJ490">
        <v>0</v>
      </c>
      <c r="EK490">
        <v>0</v>
      </c>
      <c r="EL490">
        <v>0</v>
      </c>
      <c r="EM490">
        <v>0</v>
      </c>
      <c r="EN490">
        <v>0</v>
      </c>
      <c r="EO490">
        <v>0</v>
      </c>
      <c r="EP490">
        <v>0</v>
      </c>
      <c r="EQ490">
        <v>0</v>
      </c>
      <c r="ER490">
        <v>0</v>
      </c>
      <c r="ES490">
        <v>0</v>
      </c>
      <c r="ET490">
        <v>0</v>
      </c>
      <c r="EU490">
        <v>0</v>
      </c>
      <c r="EV490">
        <v>0</v>
      </c>
      <c r="EW490">
        <v>0</v>
      </c>
      <c r="EX490">
        <v>0</v>
      </c>
      <c r="EY490">
        <v>0</v>
      </c>
      <c r="EZ490">
        <v>0</v>
      </c>
      <c r="FA490">
        <v>0</v>
      </c>
      <c r="FB490">
        <v>0</v>
      </c>
      <c r="FC490">
        <v>0</v>
      </c>
      <c r="FD490">
        <v>0</v>
      </c>
      <c r="FE490">
        <v>0</v>
      </c>
      <c r="FF490">
        <v>0</v>
      </c>
      <c r="FG490">
        <v>0</v>
      </c>
      <c r="FH490">
        <v>0</v>
      </c>
      <c r="FI490">
        <v>0</v>
      </c>
      <c r="FJ490">
        <v>0</v>
      </c>
      <c r="FK490">
        <v>0</v>
      </c>
      <c r="FL490">
        <v>0</v>
      </c>
      <c r="FM490">
        <v>0</v>
      </c>
      <c r="FN490">
        <v>0</v>
      </c>
      <c r="FO490">
        <v>0</v>
      </c>
      <c r="FP490">
        <v>0</v>
      </c>
      <c r="FQ490">
        <v>0</v>
      </c>
      <c r="FR490">
        <v>0</v>
      </c>
      <c r="FS490">
        <v>0</v>
      </c>
      <c r="FT490">
        <v>0</v>
      </c>
      <c r="FU490">
        <v>0</v>
      </c>
      <c r="FV490">
        <v>0</v>
      </c>
      <c r="FW490">
        <v>0</v>
      </c>
      <c r="FX490">
        <v>0</v>
      </c>
      <c r="FY490">
        <v>0</v>
      </c>
      <c r="FZ490">
        <v>0</v>
      </c>
      <c r="GA490">
        <v>0</v>
      </c>
      <c r="GB490">
        <v>0</v>
      </c>
      <c r="GC490">
        <v>0</v>
      </c>
      <c r="GD490">
        <v>0</v>
      </c>
      <c r="GE490">
        <v>0</v>
      </c>
      <c r="GF490">
        <v>0</v>
      </c>
      <c r="GG490">
        <v>0</v>
      </c>
      <c r="GH490">
        <v>0</v>
      </c>
      <c r="GI490">
        <v>0</v>
      </c>
      <c r="GJ490">
        <v>0</v>
      </c>
      <c r="GK490">
        <v>0</v>
      </c>
      <c r="GL490">
        <v>0</v>
      </c>
      <c r="GM490">
        <v>0</v>
      </c>
      <c r="GN490">
        <v>0</v>
      </c>
      <c r="GO490">
        <v>0</v>
      </c>
      <c r="GP490">
        <v>0</v>
      </c>
      <c r="GQ490">
        <v>0</v>
      </c>
      <c r="GR490">
        <v>0</v>
      </c>
      <c r="GS490">
        <v>0</v>
      </c>
      <c r="GT490">
        <v>0</v>
      </c>
      <c r="GU490">
        <v>0</v>
      </c>
      <c r="GV490">
        <v>0</v>
      </c>
      <c r="GW490">
        <v>0</v>
      </c>
      <c r="GX490">
        <v>0</v>
      </c>
      <c r="GY490">
        <v>0</v>
      </c>
      <c r="GZ490">
        <v>0</v>
      </c>
      <c r="HA490">
        <v>0</v>
      </c>
      <c r="HB490">
        <v>0</v>
      </c>
      <c r="HC490">
        <v>0</v>
      </c>
      <c r="HD490">
        <v>0</v>
      </c>
      <c r="HE490">
        <v>0</v>
      </c>
      <c r="HF490">
        <v>0</v>
      </c>
      <c r="HG490">
        <v>0</v>
      </c>
      <c r="HH490">
        <v>0</v>
      </c>
      <c r="HI490">
        <v>0</v>
      </c>
      <c r="HJ490">
        <v>0</v>
      </c>
      <c r="HK490">
        <v>0</v>
      </c>
      <c r="HL490">
        <v>0</v>
      </c>
      <c r="HM490">
        <v>0</v>
      </c>
      <c r="HN490">
        <v>0</v>
      </c>
      <c r="HO490">
        <v>0</v>
      </c>
      <c r="HP490">
        <v>0</v>
      </c>
      <c r="HQ490">
        <v>0</v>
      </c>
      <c r="HR490">
        <v>0</v>
      </c>
      <c r="HS490">
        <v>0</v>
      </c>
      <c r="HT490">
        <v>0</v>
      </c>
      <c r="HU490">
        <v>0</v>
      </c>
      <c r="HV490">
        <v>0</v>
      </c>
      <c r="HW490">
        <v>0</v>
      </c>
      <c r="HX490">
        <v>0</v>
      </c>
      <c r="HY490">
        <v>0</v>
      </c>
      <c r="HZ490">
        <v>0</v>
      </c>
      <c r="IA490">
        <v>0</v>
      </c>
      <c r="IB490">
        <v>0</v>
      </c>
      <c r="IC490">
        <v>0</v>
      </c>
      <c r="ID490">
        <v>0</v>
      </c>
      <c r="IE490">
        <v>0</v>
      </c>
      <c r="IF490">
        <v>0</v>
      </c>
      <c r="IG490">
        <v>0</v>
      </c>
      <c r="IH490">
        <v>0</v>
      </c>
      <c r="II490">
        <v>0</v>
      </c>
      <c r="IJ490">
        <v>0</v>
      </c>
      <c r="IK490">
        <v>0</v>
      </c>
      <c r="IL490">
        <v>0</v>
      </c>
      <c r="IM490">
        <v>0</v>
      </c>
      <c r="IN490">
        <v>0</v>
      </c>
      <c r="IO490">
        <v>0</v>
      </c>
      <c r="IP490">
        <v>0</v>
      </c>
      <c r="IQ490">
        <v>0</v>
      </c>
      <c r="IR490">
        <v>0</v>
      </c>
      <c r="IS490">
        <v>0</v>
      </c>
      <c r="IT490">
        <v>0</v>
      </c>
      <c r="IU490">
        <v>0</v>
      </c>
      <c r="IV490">
        <v>0</v>
      </c>
      <c r="IW490">
        <v>0</v>
      </c>
      <c r="IX490">
        <v>0</v>
      </c>
      <c r="IY490">
        <v>0</v>
      </c>
      <c r="IZ490">
        <v>0</v>
      </c>
      <c r="JA490">
        <v>0</v>
      </c>
      <c r="JB490">
        <v>0</v>
      </c>
      <c r="JC490">
        <v>0</v>
      </c>
      <c r="JD490">
        <v>0</v>
      </c>
      <c r="JE490">
        <v>0</v>
      </c>
      <c r="JF490">
        <v>0</v>
      </c>
      <c r="JG490">
        <v>0</v>
      </c>
      <c r="JH490">
        <v>0</v>
      </c>
      <c r="JI490">
        <v>0</v>
      </c>
      <c r="JJ490">
        <v>0</v>
      </c>
      <c r="JK490">
        <v>0</v>
      </c>
      <c r="JL490">
        <v>0</v>
      </c>
      <c r="JM490">
        <v>0</v>
      </c>
      <c r="JN490">
        <v>0</v>
      </c>
      <c r="JO490">
        <v>0</v>
      </c>
      <c r="JP490">
        <v>0</v>
      </c>
      <c r="JQ490">
        <v>0</v>
      </c>
      <c r="JR490">
        <v>0</v>
      </c>
      <c r="JS490">
        <v>0</v>
      </c>
      <c r="JT490">
        <v>0</v>
      </c>
      <c r="JU490">
        <v>0</v>
      </c>
      <c r="JV490">
        <v>0</v>
      </c>
      <c r="JW490">
        <v>0</v>
      </c>
      <c r="JX490">
        <v>0</v>
      </c>
      <c r="JY490">
        <v>0</v>
      </c>
      <c r="JZ490">
        <v>0</v>
      </c>
      <c r="KA490">
        <v>0</v>
      </c>
      <c r="KB490">
        <v>0</v>
      </c>
      <c r="KC490">
        <v>0</v>
      </c>
      <c r="KD490">
        <v>0</v>
      </c>
      <c r="KE490">
        <v>0</v>
      </c>
      <c r="KF490">
        <v>0</v>
      </c>
      <c r="KG490">
        <v>0</v>
      </c>
      <c r="KH490">
        <v>0</v>
      </c>
      <c r="KI490">
        <v>0</v>
      </c>
      <c r="KJ490">
        <v>0</v>
      </c>
      <c r="KK490">
        <v>0</v>
      </c>
      <c r="KL490">
        <v>0</v>
      </c>
      <c r="KM490">
        <v>0</v>
      </c>
      <c r="KN490">
        <v>0</v>
      </c>
      <c r="KO490">
        <v>0</v>
      </c>
      <c r="KP490">
        <v>0</v>
      </c>
      <c r="KQ490">
        <v>0</v>
      </c>
      <c r="KR490">
        <v>0</v>
      </c>
      <c r="KS490">
        <v>0</v>
      </c>
      <c r="KT490">
        <v>0</v>
      </c>
      <c r="KU490">
        <v>0</v>
      </c>
      <c r="KV490">
        <v>0</v>
      </c>
      <c r="KW490">
        <v>0</v>
      </c>
      <c r="KX490">
        <v>0</v>
      </c>
      <c r="KY490">
        <v>0</v>
      </c>
      <c r="KZ490">
        <v>0</v>
      </c>
      <c r="LA490">
        <v>0</v>
      </c>
      <c r="LB490">
        <v>0</v>
      </c>
      <c r="LC490">
        <v>0</v>
      </c>
      <c r="LD490">
        <v>0</v>
      </c>
      <c r="LE490">
        <v>0</v>
      </c>
      <c r="LF490">
        <v>0</v>
      </c>
      <c r="LG490">
        <v>0</v>
      </c>
      <c r="LH490">
        <v>0</v>
      </c>
      <c r="LI490">
        <v>0</v>
      </c>
      <c r="LJ490">
        <v>0</v>
      </c>
      <c r="LK490">
        <v>0</v>
      </c>
      <c r="LL490">
        <v>0</v>
      </c>
      <c r="LM490">
        <v>0</v>
      </c>
      <c r="LN490">
        <v>0</v>
      </c>
      <c r="LO490">
        <v>0</v>
      </c>
      <c r="LP490">
        <v>0</v>
      </c>
      <c r="LQ490">
        <v>0</v>
      </c>
      <c r="LR490">
        <v>0</v>
      </c>
      <c r="LS490">
        <v>0</v>
      </c>
      <c r="LT490">
        <v>0</v>
      </c>
      <c r="LU490">
        <v>0</v>
      </c>
      <c r="LV490">
        <v>0</v>
      </c>
      <c r="LW490">
        <v>0</v>
      </c>
      <c r="LX490">
        <v>0</v>
      </c>
      <c r="LY490">
        <v>0</v>
      </c>
      <c r="LZ490">
        <v>0</v>
      </c>
      <c r="MA490">
        <v>0</v>
      </c>
      <c r="MB490">
        <v>0</v>
      </c>
      <c r="MC490">
        <v>0</v>
      </c>
      <c r="MD490">
        <v>0</v>
      </c>
      <c r="ME490">
        <v>0</v>
      </c>
      <c r="MF490">
        <v>0</v>
      </c>
      <c r="MG490">
        <v>0</v>
      </c>
      <c r="MH490">
        <v>0</v>
      </c>
      <c r="MI490">
        <v>0</v>
      </c>
      <c r="MJ490">
        <v>0</v>
      </c>
      <c r="MK490">
        <v>0</v>
      </c>
      <c r="ML490">
        <v>0</v>
      </c>
      <c r="MM490">
        <v>0</v>
      </c>
      <c r="MN490">
        <v>0</v>
      </c>
      <c r="MO490">
        <v>0</v>
      </c>
      <c r="MP490">
        <v>0</v>
      </c>
      <c r="MQ490">
        <v>0</v>
      </c>
      <c r="MR490">
        <v>0</v>
      </c>
      <c r="MS490">
        <v>0</v>
      </c>
      <c r="MT490">
        <v>0</v>
      </c>
      <c r="MU490">
        <v>0</v>
      </c>
      <c r="MV490">
        <v>0</v>
      </c>
      <c r="MW490">
        <v>0</v>
      </c>
      <c r="MX490">
        <v>0</v>
      </c>
      <c r="MY490">
        <v>0</v>
      </c>
      <c r="MZ490">
        <v>0</v>
      </c>
      <c r="NA490">
        <v>0</v>
      </c>
      <c r="NB490">
        <v>0</v>
      </c>
      <c r="NC490">
        <v>0</v>
      </c>
      <c r="ND490">
        <v>0</v>
      </c>
      <c r="NE490">
        <v>0</v>
      </c>
    </row>
    <row r="491" spans="41:369" x14ac:dyDescent="0.45">
      <c r="AO491">
        <v>0</v>
      </c>
      <c r="AP491">
        <v>0</v>
      </c>
      <c r="AQ491">
        <v>0</v>
      </c>
      <c r="AR491">
        <v>0</v>
      </c>
      <c r="AS491">
        <v>0</v>
      </c>
      <c r="AT491">
        <v>0</v>
      </c>
      <c r="AU491">
        <v>0</v>
      </c>
      <c r="AV491">
        <v>0</v>
      </c>
      <c r="AW491" t="str">
        <v/>
      </c>
      <c r="AX491">
        <v>255</v>
      </c>
      <c r="AY491" s="5" t="str">
        <v/>
      </c>
      <c r="AZ491">
        <v>0</v>
      </c>
      <c r="BA491">
        <v>0</v>
      </c>
      <c r="BB491">
        <v>0</v>
      </c>
      <c r="BC491">
        <v>0</v>
      </c>
      <c r="BD491">
        <v>0</v>
      </c>
      <c r="BE491">
        <v>0</v>
      </c>
      <c r="BF491">
        <v>0</v>
      </c>
      <c r="BG491">
        <v>0</v>
      </c>
      <c r="BH491">
        <v>0</v>
      </c>
      <c r="BI491" t="str">
        <v/>
      </c>
      <c r="BK491">
        <v>485</v>
      </c>
      <c r="BL491">
        <v>0</v>
      </c>
      <c r="BM491">
        <v>0</v>
      </c>
      <c r="BN491">
        <v>0</v>
      </c>
      <c r="BO491">
        <v>0</v>
      </c>
      <c r="BP491">
        <v>0</v>
      </c>
      <c r="BQ491">
        <v>0</v>
      </c>
      <c r="BR491">
        <v>0</v>
      </c>
      <c r="BS491">
        <v>0</v>
      </c>
      <c r="BT491">
        <v>0</v>
      </c>
      <c r="BU491">
        <v>0</v>
      </c>
      <c r="BV491">
        <v>0</v>
      </c>
      <c r="BW491">
        <v>0</v>
      </c>
      <c r="BX491">
        <v>0</v>
      </c>
      <c r="BY491">
        <v>0</v>
      </c>
      <c r="BZ491">
        <v>0</v>
      </c>
      <c r="CA491">
        <v>0</v>
      </c>
      <c r="CB491">
        <v>0</v>
      </c>
      <c r="CC491">
        <v>0</v>
      </c>
      <c r="CD491">
        <v>0</v>
      </c>
      <c r="CE491">
        <v>0</v>
      </c>
      <c r="CF491">
        <v>0</v>
      </c>
      <c r="CG491">
        <v>0</v>
      </c>
      <c r="CH491">
        <v>0</v>
      </c>
      <c r="CI491">
        <v>0</v>
      </c>
      <c r="CJ491">
        <v>0</v>
      </c>
      <c r="CK491">
        <v>0</v>
      </c>
      <c r="CL491">
        <v>0</v>
      </c>
      <c r="CM491">
        <v>0</v>
      </c>
      <c r="CN491">
        <v>0</v>
      </c>
      <c r="CO491">
        <v>0</v>
      </c>
      <c r="CP491">
        <v>0</v>
      </c>
      <c r="CQ491">
        <v>0</v>
      </c>
      <c r="CR491">
        <v>0</v>
      </c>
      <c r="CS491">
        <v>0</v>
      </c>
      <c r="CT491">
        <v>0</v>
      </c>
      <c r="CU491">
        <v>0</v>
      </c>
      <c r="CV491">
        <v>0</v>
      </c>
      <c r="CW491">
        <v>0</v>
      </c>
      <c r="CX491">
        <v>0</v>
      </c>
      <c r="CY491">
        <v>0</v>
      </c>
      <c r="CZ491">
        <v>0</v>
      </c>
      <c r="DA491">
        <v>0</v>
      </c>
      <c r="DB491">
        <v>0</v>
      </c>
      <c r="DC491">
        <v>0</v>
      </c>
      <c r="DD491">
        <v>0</v>
      </c>
      <c r="DE491">
        <v>0</v>
      </c>
      <c r="DF491">
        <v>0</v>
      </c>
      <c r="DG491">
        <v>0</v>
      </c>
      <c r="DH491">
        <v>0</v>
      </c>
      <c r="DI491">
        <v>0</v>
      </c>
      <c r="DJ491">
        <v>0</v>
      </c>
      <c r="DK491">
        <v>0</v>
      </c>
      <c r="DL491">
        <v>0</v>
      </c>
      <c r="DM491">
        <v>0</v>
      </c>
      <c r="DN491">
        <v>0</v>
      </c>
      <c r="DO491">
        <v>0</v>
      </c>
      <c r="DP491">
        <v>0</v>
      </c>
      <c r="DQ491">
        <v>0</v>
      </c>
      <c r="DR491">
        <v>0</v>
      </c>
      <c r="DS491">
        <v>0</v>
      </c>
      <c r="DT491">
        <v>0</v>
      </c>
      <c r="DU491">
        <v>0</v>
      </c>
      <c r="DV491">
        <v>0</v>
      </c>
      <c r="DW491">
        <v>0</v>
      </c>
      <c r="DX491">
        <v>0</v>
      </c>
      <c r="DY491">
        <v>0</v>
      </c>
      <c r="DZ491">
        <v>0</v>
      </c>
      <c r="EA491">
        <v>0</v>
      </c>
      <c r="EB491">
        <v>0</v>
      </c>
      <c r="EC491">
        <v>0</v>
      </c>
      <c r="ED491">
        <v>0</v>
      </c>
      <c r="EE491">
        <v>0</v>
      </c>
      <c r="EF491">
        <v>0</v>
      </c>
      <c r="EG491">
        <v>0</v>
      </c>
      <c r="EH491">
        <v>0</v>
      </c>
      <c r="EI491">
        <v>0</v>
      </c>
      <c r="EJ491">
        <v>0</v>
      </c>
      <c r="EK491">
        <v>0</v>
      </c>
      <c r="EL491">
        <v>0</v>
      </c>
      <c r="EM491">
        <v>0</v>
      </c>
      <c r="EN491">
        <v>0</v>
      </c>
      <c r="EO491">
        <v>0</v>
      </c>
      <c r="EP491">
        <v>0</v>
      </c>
      <c r="EQ491">
        <v>0</v>
      </c>
      <c r="ER491">
        <v>0</v>
      </c>
      <c r="ES491">
        <v>0</v>
      </c>
      <c r="ET491">
        <v>0</v>
      </c>
      <c r="EU491">
        <v>0</v>
      </c>
      <c r="EV491">
        <v>0</v>
      </c>
      <c r="EW491">
        <v>0</v>
      </c>
      <c r="EX491">
        <v>0</v>
      </c>
      <c r="EY491">
        <v>0</v>
      </c>
      <c r="EZ491">
        <v>0</v>
      </c>
      <c r="FA491">
        <v>0</v>
      </c>
      <c r="FB491">
        <v>0</v>
      </c>
      <c r="FC491">
        <v>0</v>
      </c>
      <c r="FD491">
        <v>0</v>
      </c>
      <c r="FE491">
        <v>0</v>
      </c>
      <c r="FF491">
        <v>0</v>
      </c>
      <c r="FG491">
        <v>0</v>
      </c>
      <c r="FH491">
        <v>0</v>
      </c>
      <c r="FI491">
        <v>0</v>
      </c>
      <c r="FJ491">
        <v>0</v>
      </c>
      <c r="FK491">
        <v>0</v>
      </c>
      <c r="FL491">
        <v>0</v>
      </c>
      <c r="FM491">
        <v>0</v>
      </c>
      <c r="FN491">
        <v>0</v>
      </c>
      <c r="FO491">
        <v>0</v>
      </c>
      <c r="FP491">
        <v>0</v>
      </c>
      <c r="FQ491">
        <v>0</v>
      </c>
      <c r="FR491">
        <v>0</v>
      </c>
      <c r="FS491">
        <v>0</v>
      </c>
      <c r="FT491">
        <v>0</v>
      </c>
      <c r="FU491">
        <v>0</v>
      </c>
      <c r="FV491">
        <v>0</v>
      </c>
      <c r="FW491">
        <v>0</v>
      </c>
      <c r="FX491">
        <v>0</v>
      </c>
      <c r="FY491">
        <v>0</v>
      </c>
      <c r="FZ491">
        <v>0</v>
      </c>
      <c r="GA491">
        <v>0</v>
      </c>
      <c r="GB491">
        <v>0</v>
      </c>
      <c r="GC491">
        <v>0</v>
      </c>
      <c r="GD491">
        <v>0</v>
      </c>
      <c r="GE491">
        <v>0</v>
      </c>
      <c r="GF491">
        <v>0</v>
      </c>
      <c r="GG491">
        <v>0</v>
      </c>
      <c r="GH491">
        <v>0</v>
      </c>
      <c r="GI491">
        <v>0</v>
      </c>
      <c r="GJ491">
        <v>0</v>
      </c>
      <c r="GK491">
        <v>0</v>
      </c>
      <c r="GL491">
        <v>0</v>
      </c>
      <c r="GM491">
        <v>0</v>
      </c>
      <c r="GN491">
        <v>0</v>
      </c>
      <c r="GO491">
        <v>0</v>
      </c>
      <c r="GP491">
        <v>0</v>
      </c>
      <c r="GQ491">
        <v>0</v>
      </c>
      <c r="GR491">
        <v>0</v>
      </c>
      <c r="GS491">
        <v>0</v>
      </c>
      <c r="GT491">
        <v>0</v>
      </c>
      <c r="GU491">
        <v>0</v>
      </c>
      <c r="GV491">
        <v>0</v>
      </c>
      <c r="GW491">
        <v>0</v>
      </c>
      <c r="GX491">
        <v>0</v>
      </c>
      <c r="GY491">
        <v>0</v>
      </c>
      <c r="GZ491">
        <v>0</v>
      </c>
      <c r="HA491">
        <v>0</v>
      </c>
      <c r="HB491">
        <v>0</v>
      </c>
      <c r="HC491">
        <v>0</v>
      </c>
      <c r="HD491">
        <v>0</v>
      </c>
      <c r="HE491">
        <v>0</v>
      </c>
      <c r="HF491">
        <v>0</v>
      </c>
      <c r="HG491">
        <v>0</v>
      </c>
      <c r="HH491">
        <v>0</v>
      </c>
      <c r="HI491">
        <v>0</v>
      </c>
      <c r="HJ491">
        <v>0</v>
      </c>
      <c r="HK491">
        <v>0</v>
      </c>
      <c r="HL491">
        <v>0</v>
      </c>
      <c r="HM491">
        <v>0</v>
      </c>
      <c r="HN491">
        <v>0</v>
      </c>
      <c r="HO491">
        <v>0</v>
      </c>
      <c r="HP491">
        <v>0</v>
      </c>
      <c r="HQ491">
        <v>0</v>
      </c>
      <c r="HR491">
        <v>0</v>
      </c>
      <c r="HS491">
        <v>0</v>
      </c>
      <c r="HT491">
        <v>0</v>
      </c>
      <c r="HU491">
        <v>0</v>
      </c>
      <c r="HV491">
        <v>0</v>
      </c>
      <c r="HW491">
        <v>0</v>
      </c>
      <c r="HX491">
        <v>0</v>
      </c>
      <c r="HY491">
        <v>0</v>
      </c>
      <c r="HZ491">
        <v>0</v>
      </c>
      <c r="IA491">
        <v>0</v>
      </c>
      <c r="IB491">
        <v>0</v>
      </c>
      <c r="IC491">
        <v>0</v>
      </c>
      <c r="ID491">
        <v>0</v>
      </c>
      <c r="IE491">
        <v>0</v>
      </c>
      <c r="IF491">
        <v>0</v>
      </c>
      <c r="IG491">
        <v>0</v>
      </c>
      <c r="IH491">
        <v>0</v>
      </c>
      <c r="II491">
        <v>0</v>
      </c>
      <c r="IJ491">
        <v>0</v>
      </c>
      <c r="IK491">
        <v>0</v>
      </c>
      <c r="IL491">
        <v>0</v>
      </c>
      <c r="IM491">
        <v>0</v>
      </c>
      <c r="IN491">
        <v>0</v>
      </c>
      <c r="IO491">
        <v>0</v>
      </c>
      <c r="IP491">
        <v>0</v>
      </c>
      <c r="IQ491">
        <v>0</v>
      </c>
      <c r="IR491">
        <v>0</v>
      </c>
      <c r="IS491">
        <v>0</v>
      </c>
      <c r="IT491">
        <v>0</v>
      </c>
      <c r="IU491">
        <v>0</v>
      </c>
      <c r="IV491">
        <v>0</v>
      </c>
      <c r="IW491">
        <v>0</v>
      </c>
      <c r="IX491">
        <v>0</v>
      </c>
      <c r="IY491">
        <v>0</v>
      </c>
      <c r="IZ491">
        <v>0</v>
      </c>
      <c r="JA491">
        <v>0</v>
      </c>
      <c r="JB491">
        <v>0</v>
      </c>
      <c r="JC491">
        <v>0</v>
      </c>
      <c r="JD491">
        <v>0</v>
      </c>
      <c r="JE491">
        <v>0</v>
      </c>
      <c r="JF491">
        <v>0</v>
      </c>
      <c r="JG491">
        <v>0</v>
      </c>
      <c r="JH491">
        <v>0</v>
      </c>
      <c r="JI491">
        <v>0</v>
      </c>
      <c r="JJ491">
        <v>0</v>
      </c>
      <c r="JK491">
        <v>0</v>
      </c>
      <c r="JL491">
        <v>0</v>
      </c>
      <c r="JM491">
        <v>0</v>
      </c>
      <c r="JN491">
        <v>0</v>
      </c>
      <c r="JO491">
        <v>0</v>
      </c>
      <c r="JP491">
        <v>0</v>
      </c>
      <c r="JQ491">
        <v>0</v>
      </c>
      <c r="JR491">
        <v>0</v>
      </c>
      <c r="JS491">
        <v>0</v>
      </c>
      <c r="JT491">
        <v>0</v>
      </c>
      <c r="JU491">
        <v>0</v>
      </c>
      <c r="JV491">
        <v>0</v>
      </c>
      <c r="JW491">
        <v>0</v>
      </c>
      <c r="JX491">
        <v>0</v>
      </c>
      <c r="JY491">
        <v>0</v>
      </c>
      <c r="JZ491">
        <v>0</v>
      </c>
      <c r="KA491">
        <v>0</v>
      </c>
      <c r="KB491">
        <v>0</v>
      </c>
      <c r="KC491">
        <v>0</v>
      </c>
      <c r="KD491">
        <v>0</v>
      </c>
      <c r="KE491">
        <v>0</v>
      </c>
      <c r="KF491">
        <v>0</v>
      </c>
      <c r="KG491">
        <v>0</v>
      </c>
      <c r="KH491">
        <v>0</v>
      </c>
      <c r="KI491">
        <v>0</v>
      </c>
      <c r="KJ491">
        <v>0</v>
      </c>
      <c r="KK491">
        <v>0</v>
      </c>
      <c r="KL491">
        <v>0</v>
      </c>
      <c r="KM491">
        <v>0</v>
      </c>
      <c r="KN491">
        <v>0</v>
      </c>
      <c r="KO491">
        <v>0</v>
      </c>
      <c r="KP491">
        <v>0</v>
      </c>
      <c r="KQ491">
        <v>0</v>
      </c>
      <c r="KR491">
        <v>0</v>
      </c>
      <c r="KS491">
        <v>0</v>
      </c>
      <c r="KT491">
        <v>0</v>
      </c>
      <c r="KU491">
        <v>0</v>
      </c>
      <c r="KV491">
        <v>0</v>
      </c>
      <c r="KW491">
        <v>0</v>
      </c>
      <c r="KX491">
        <v>0</v>
      </c>
      <c r="KY491">
        <v>0</v>
      </c>
      <c r="KZ491">
        <v>0</v>
      </c>
      <c r="LA491">
        <v>0</v>
      </c>
      <c r="LB491">
        <v>0</v>
      </c>
      <c r="LC491">
        <v>0</v>
      </c>
      <c r="LD491">
        <v>0</v>
      </c>
      <c r="LE491">
        <v>0</v>
      </c>
      <c r="LF491">
        <v>0</v>
      </c>
      <c r="LG491">
        <v>0</v>
      </c>
      <c r="LH491">
        <v>0</v>
      </c>
      <c r="LI491">
        <v>0</v>
      </c>
      <c r="LJ491">
        <v>0</v>
      </c>
      <c r="LK491">
        <v>0</v>
      </c>
      <c r="LL491">
        <v>0</v>
      </c>
      <c r="LM491">
        <v>0</v>
      </c>
      <c r="LN491">
        <v>0</v>
      </c>
      <c r="LO491">
        <v>0</v>
      </c>
      <c r="LP491">
        <v>0</v>
      </c>
      <c r="LQ491">
        <v>0</v>
      </c>
      <c r="LR491">
        <v>0</v>
      </c>
      <c r="LS491">
        <v>0</v>
      </c>
      <c r="LT491">
        <v>0</v>
      </c>
      <c r="LU491">
        <v>0</v>
      </c>
      <c r="LV491">
        <v>0</v>
      </c>
      <c r="LW491">
        <v>0</v>
      </c>
      <c r="LX491">
        <v>0</v>
      </c>
      <c r="LY491">
        <v>0</v>
      </c>
      <c r="LZ491">
        <v>0</v>
      </c>
      <c r="MA491">
        <v>0</v>
      </c>
      <c r="MB491">
        <v>0</v>
      </c>
      <c r="MC491">
        <v>0</v>
      </c>
      <c r="MD491">
        <v>0</v>
      </c>
      <c r="ME491">
        <v>0</v>
      </c>
      <c r="MF491">
        <v>0</v>
      </c>
      <c r="MG491">
        <v>0</v>
      </c>
      <c r="MH491">
        <v>0</v>
      </c>
      <c r="MI491">
        <v>0</v>
      </c>
      <c r="MJ491">
        <v>0</v>
      </c>
      <c r="MK491">
        <v>0</v>
      </c>
      <c r="ML491">
        <v>0</v>
      </c>
      <c r="MM491">
        <v>0</v>
      </c>
      <c r="MN491">
        <v>0</v>
      </c>
      <c r="MO491">
        <v>0</v>
      </c>
      <c r="MP491">
        <v>0</v>
      </c>
      <c r="MQ491">
        <v>0</v>
      </c>
      <c r="MR491">
        <v>0</v>
      </c>
      <c r="MS491">
        <v>0</v>
      </c>
      <c r="MT491">
        <v>0</v>
      </c>
      <c r="MU491">
        <v>0</v>
      </c>
      <c r="MV491">
        <v>0</v>
      </c>
      <c r="MW491">
        <v>0</v>
      </c>
      <c r="MX491">
        <v>0</v>
      </c>
      <c r="MY491">
        <v>0</v>
      </c>
      <c r="MZ491">
        <v>0</v>
      </c>
      <c r="NA491">
        <v>0</v>
      </c>
      <c r="NB491">
        <v>0</v>
      </c>
      <c r="NC491">
        <v>0</v>
      </c>
      <c r="ND491">
        <v>0</v>
      </c>
      <c r="NE491">
        <v>0</v>
      </c>
    </row>
    <row r="492" spans="41:369" x14ac:dyDescent="0.45">
      <c r="AO492">
        <v>0</v>
      </c>
      <c r="AP492">
        <v>0</v>
      </c>
      <c r="AQ492">
        <v>0</v>
      </c>
      <c r="AR492">
        <v>0</v>
      </c>
      <c r="AS492">
        <v>0</v>
      </c>
      <c r="AT492">
        <v>0</v>
      </c>
      <c r="AU492">
        <v>0</v>
      </c>
      <c r="AV492">
        <v>0</v>
      </c>
      <c r="AW492" t="str">
        <v/>
      </c>
      <c r="AX492">
        <v>255</v>
      </c>
      <c r="AY492" s="5" t="str">
        <v/>
      </c>
      <c r="AZ492">
        <v>0</v>
      </c>
      <c r="BA492">
        <v>0</v>
      </c>
      <c r="BB492">
        <v>0</v>
      </c>
      <c r="BC492">
        <v>0</v>
      </c>
      <c r="BD492">
        <v>0</v>
      </c>
      <c r="BE492">
        <v>0</v>
      </c>
      <c r="BF492">
        <v>0</v>
      </c>
      <c r="BG492">
        <v>0</v>
      </c>
      <c r="BH492">
        <v>0</v>
      </c>
      <c r="BI492" t="str">
        <v/>
      </c>
      <c r="BK492">
        <v>486</v>
      </c>
      <c r="BL492">
        <v>0</v>
      </c>
      <c r="BM492">
        <v>0</v>
      </c>
      <c r="BN492">
        <v>0</v>
      </c>
      <c r="BO492">
        <v>0</v>
      </c>
      <c r="BP492">
        <v>0</v>
      </c>
      <c r="BQ492">
        <v>0</v>
      </c>
      <c r="BR492">
        <v>0</v>
      </c>
      <c r="BS492">
        <v>0</v>
      </c>
      <c r="BT492">
        <v>0</v>
      </c>
      <c r="BU492">
        <v>0</v>
      </c>
      <c r="BV492">
        <v>0</v>
      </c>
      <c r="BW492">
        <v>0</v>
      </c>
      <c r="BX492">
        <v>0</v>
      </c>
      <c r="BY492">
        <v>0</v>
      </c>
      <c r="BZ492">
        <v>0</v>
      </c>
      <c r="CA492">
        <v>0</v>
      </c>
      <c r="CB492">
        <v>0</v>
      </c>
      <c r="CC492">
        <v>0</v>
      </c>
      <c r="CD492">
        <v>0</v>
      </c>
      <c r="CE492">
        <v>0</v>
      </c>
      <c r="CF492">
        <v>0</v>
      </c>
      <c r="CG492">
        <v>0</v>
      </c>
      <c r="CH492">
        <v>0</v>
      </c>
      <c r="CI492">
        <v>0</v>
      </c>
      <c r="CJ492">
        <v>0</v>
      </c>
      <c r="CK492">
        <v>0</v>
      </c>
      <c r="CL492">
        <v>0</v>
      </c>
      <c r="CM492">
        <v>0</v>
      </c>
      <c r="CN492">
        <v>0</v>
      </c>
      <c r="CO492">
        <v>0</v>
      </c>
      <c r="CP492">
        <v>0</v>
      </c>
      <c r="CQ492">
        <v>0</v>
      </c>
      <c r="CR492">
        <v>0</v>
      </c>
      <c r="CS492">
        <v>0</v>
      </c>
      <c r="CT492">
        <v>0</v>
      </c>
      <c r="CU492">
        <v>0</v>
      </c>
      <c r="CV492">
        <v>0</v>
      </c>
      <c r="CW492">
        <v>0</v>
      </c>
      <c r="CX492">
        <v>0</v>
      </c>
      <c r="CY492">
        <v>0</v>
      </c>
      <c r="CZ492">
        <v>0</v>
      </c>
      <c r="DA492">
        <v>0</v>
      </c>
      <c r="DB492">
        <v>0</v>
      </c>
      <c r="DC492">
        <v>0</v>
      </c>
      <c r="DD492">
        <v>0</v>
      </c>
      <c r="DE492">
        <v>0</v>
      </c>
      <c r="DF492">
        <v>0</v>
      </c>
      <c r="DG492">
        <v>0</v>
      </c>
      <c r="DH492">
        <v>0</v>
      </c>
      <c r="DI492">
        <v>0</v>
      </c>
      <c r="DJ492">
        <v>0</v>
      </c>
      <c r="DK492">
        <v>0</v>
      </c>
      <c r="DL492">
        <v>0</v>
      </c>
      <c r="DM492">
        <v>0</v>
      </c>
      <c r="DN492">
        <v>0</v>
      </c>
      <c r="DO492">
        <v>0</v>
      </c>
      <c r="DP492">
        <v>0</v>
      </c>
      <c r="DQ492">
        <v>0</v>
      </c>
      <c r="DR492">
        <v>0</v>
      </c>
      <c r="DS492">
        <v>0</v>
      </c>
      <c r="DT492">
        <v>0</v>
      </c>
      <c r="DU492">
        <v>0</v>
      </c>
      <c r="DV492">
        <v>0</v>
      </c>
      <c r="DW492">
        <v>0</v>
      </c>
      <c r="DX492">
        <v>0</v>
      </c>
      <c r="DY492">
        <v>0</v>
      </c>
      <c r="DZ492">
        <v>0</v>
      </c>
      <c r="EA492">
        <v>0</v>
      </c>
      <c r="EB492">
        <v>0</v>
      </c>
      <c r="EC492">
        <v>0</v>
      </c>
      <c r="ED492">
        <v>0</v>
      </c>
      <c r="EE492">
        <v>0</v>
      </c>
      <c r="EF492">
        <v>0</v>
      </c>
      <c r="EG492">
        <v>0</v>
      </c>
      <c r="EH492">
        <v>0</v>
      </c>
      <c r="EI492">
        <v>0</v>
      </c>
      <c r="EJ492">
        <v>0</v>
      </c>
      <c r="EK492">
        <v>0</v>
      </c>
      <c r="EL492">
        <v>0</v>
      </c>
      <c r="EM492">
        <v>0</v>
      </c>
      <c r="EN492">
        <v>0</v>
      </c>
      <c r="EO492">
        <v>0</v>
      </c>
      <c r="EP492">
        <v>0</v>
      </c>
      <c r="EQ492">
        <v>0</v>
      </c>
      <c r="ER492">
        <v>0</v>
      </c>
      <c r="ES492">
        <v>0</v>
      </c>
      <c r="ET492">
        <v>0</v>
      </c>
      <c r="EU492">
        <v>0</v>
      </c>
      <c r="EV492">
        <v>0</v>
      </c>
      <c r="EW492">
        <v>0</v>
      </c>
      <c r="EX492">
        <v>0</v>
      </c>
      <c r="EY492">
        <v>0</v>
      </c>
      <c r="EZ492">
        <v>0</v>
      </c>
      <c r="FA492">
        <v>0</v>
      </c>
      <c r="FB492">
        <v>0</v>
      </c>
      <c r="FC492">
        <v>0</v>
      </c>
      <c r="FD492">
        <v>0</v>
      </c>
      <c r="FE492">
        <v>0</v>
      </c>
      <c r="FF492">
        <v>0</v>
      </c>
      <c r="FG492">
        <v>0</v>
      </c>
      <c r="FH492">
        <v>0</v>
      </c>
      <c r="FI492">
        <v>0</v>
      </c>
      <c r="FJ492">
        <v>0</v>
      </c>
      <c r="FK492">
        <v>0</v>
      </c>
      <c r="FL492">
        <v>0</v>
      </c>
      <c r="FM492">
        <v>0</v>
      </c>
      <c r="FN492">
        <v>0</v>
      </c>
      <c r="FO492">
        <v>0</v>
      </c>
      <c r="FP492">
        <v>0</v>
      </c>
      <c r="FQ492">
        <v>0</v>
      </c>
      <c r="FR492">
        <v>0</v>
      </c>
      <c r="FS492">
        <v>0</v>
      </c>
      <c r="FT492">
        <v>0</v>
      </c>
      <c r="FU492">
        <v>0</v>
      </c>
      <c r="FV492">
        <v>0</v>
      </c>
      <c r="FW492">
        <v>0</v>
      </c>
      <c r="FX492">
        <v>0</v>
      </c>
      <c r="FY492">
        <v>0</v>
      </c>
      <c r="FZ492">
        <v>0</v>
      </c>
      <c r="GA492">
        <v>0</v>
      </c>
      <c r="GB492">
        <v>0</v>
      </c>
      <c r="GC492">
        <v>0</v>
      </c>
      <c r="GD492">
        <v>0</v>
      </c>
      <c r="GE492">
        <v>0</v>
      </c>
      <c r="GF492">
        <v>0</v>
      </c>
      <c r="GG492">
        <v>0</v>
      </c>
      <c r="GH492">
        <v>0</v>
      </c>
      <c r="GI492">
        <v>0</v>
      </c>
      <c r="GJ492">
        <v>0</v>
      </c>
      <c r="GK492">
        <v>0</v>
      </c>
      <c r="GL492">
        <v>0</v>
      </c>
      <c r="GM492">
        <v>0</v>
      </c>
      <c r="GN492">
        <v>0</v>
      </c>
      <c r="GO492">
        <v>0</v>
      </c>
      <c r="GP492">
        <v>0</v>
      </c>
      <c r="GQ492">
        <v>0</v>
      </c>
      <c r="GR492">
        <v>0</v>
      </c>
      <c r="GS492">
        <v>0</v>
      </c>
      <c r="GT492">
        <v>0</v>
      </c>
      <c r="GU492">
        <v>0</v>
      </c>
      <c r="GV492">
        <v>0</v>
      </c>
      <c r="GW492">
        <v>0</v>
      </c>
      <c r="GX492">
        <v>0</v>
      </c>
      <c r="GY492">
        <v>0</v>
      </c>
      <c r="GZ492">
        <v>0</v>
      </c>
      <c r="HA492">
        <v>0</v>
      </c>
      <c r="HB492">
        <v>0</v>
      </c>
      <c r="HC492">
        <v>0</v>
      </c>
      <c r="HD492">
        <v>0</v>
      </c>
      <c r="HE492">
        <v>0</v>
      </c>
      <c r="HF492">
        <v>0</v>
      </c>
      <c r="HG492">
        <v>0</v>
      </c>
      <c r="HH492">
        <v>0</v>
      </c>
      <c r="HI492">
        <v>0</v>
      </c>
      <c r="HJ492">
        <v>0</v>
      </c>
      <c r="HK492">
        <v>0</v>
      </c>
      <c r="HL492">
        <v>0</v>
      </c>
      <c r="HM492">
        <v>0</v>
      </c>
      <c r="HN492">
        <v>0</v>
      </c>
      <c r="HO492">
        <v>0</v>
      </c>
      <c r="HP492">
        <v>0</v>
      </c>
      <c r="HQ492">
        <v>0</v>
      </c>
      <c r="HR492">
        <v>0</v>
      </c>
      <c r="HS492">
        <v>0</v>
      </c>
      <c r="HT492">
        <v>0</v>
      </c>
      <c r="HU492">
        <v>0</v>
      </c>
      <c r="HV492">
        <v>0</v>
      </c>
      <c r="HW492">
        <v>0</v>
      </c>
      <c r="HX492">
        <v>0</v>
      </c>
      <c r="HY492">
        <v>0</v>
      </c>
      <c r="HZ492">
        <v>0</v>
      </c>
      <c r="IA492">
        <v>0</v>
      </c>
      <c r="IB492">
        <v>0</v>
      </c>
      <c r="IC492">
        <v>0</v>
      </c>
      <c r="ID492">
        <v>0</v>
      </c>
      <c r="IE492">
        <v>0</v>
      </c>
      <c r="IF492">
        <v>0</v>
      </c>
      <c r="IG492">
        <v>0</v>
      </c>
      <c r="IH492">
        <v>0</v>
      </c>
      <c r="II492">
        <v>0</v>
      </c>
      <c r="IJ492">
        <v>0</v>
      </c>
      <c r="IK492">
        <v>0</v>
      </c>
      <c r="IL492">
        <v>0</v>
      </c>
      <c r="IM492">
        <v>0</v>
      </c>
      <c r="IN492">
        <v>0</v>
      </c>
      <c r="IO492">
        <v>0</v>
      </c>
      <c r="IP492">
        <v>0</v>
      </c>
      <c r="IQ492">
        <v>0</v>
      </c>
      <c r="IR492">
        <v>0</v>
      </c>
      <c r="IS492">
        <v>0</v>
      </c>
      <c r="IT492">
        <v>0</v>
      </c>
      <c r="IU492">
        <v>0</v>
      </c>
      <c r="IV492">
        <v>0</v>
      </c>
      <c r="IW492">
        <v>0</v>
      </c>
      <c r="IX492">
        <v>0</v>
      </c>
      <c r="IY492">
        <v>0</v>
      </c>
      <c r="IZ492">
        <v>0</v>
      </c>
      <c r="JA492">
        <v>0</v>
      </c>
      <c r="JB492">
        <v>0</v>
      </c>
      <c r="JC492">
        <v>0</v>
      </c>
      <c r="JD492">
        <v>0</v>
      </c>
      <c r="JE492">
        <v>0</v>
      </c>
      <c r="JF492">
        <v>0</v>
      </c>
      <c r="JG492">
        <v>0</v>
      </c>
      <c r="JH492">
        <v>0</v>
      </c>
      <c r="JI492">
        <v>0</v>
      </c>
      <c r="JJ492">
        <v>0</v>
      </c>
      <c r="JK492">
        <v>0</v>
      </c>
      <c r="JL492">
        <v>0</v>
      </c>
      <c r="JM492">
        <v>0</v>
      </c>
      <c r="JN492">
        <v>0</v>
      </c>
      <c r="JO492">
        <v>0</v>
      </c>
      <c r="JP492">
        <v>0</v>
      </c>
      <c r="JQ492">
        <v>0</v>
      </c>
      <c r="JR492">
        <v>0</v>
      </c>
      <c r="JS492">
        <v>0</v>
      </c>
      <c r="JT492">
        <v>0</v>
      </c>
      <c r="JU492">
        <v>0</v>
      </c>
      <c r="JV492">
        <v>0</v>
      </c>
      <c r="JW492">
        <v>0</v>
      </c>
      <c r="JX492">
        <v>0</v>
      </c>
      <c r="JY492">
        <v>0</v>
      </c>
      <c r="JZ492">
        <v>0</v>
      </c>
      <c r="KA492">
        <v>0</v>
      </c>
      <c r="KB492">
        <v>0</v>
      </c>
      <c r="KC492">
        <v>0</v>
      </c>
      <c r="KD492">
        <v>0</v>
      </c>
      <c r="KE492">
        <v>0</v>
      </c>
      <c r="KF492">
        <v>0</v>
      </c>
      <c r="KG492">
        <v>0</v>
      </c>
      <c r="KH492">
        <v>0</v>
      </c>
      <c r="KI492">
        <v>0</v>
      </c>
      <c r="KJ492">
        <v>0</v>
      </c>
      <c r="KK492">
        <v>0</v>
      </c>
      <c r="KL492">
        <v>0</v>
      </c>
      <c r="KM492">
        <v>0</v>
      </c>
      <c r="KN492">
        <v>0</v>
      </c>
      <c r="KO492">
        <v>0</v>
      </c>
      <c r="KP492">
        <v>0</v>
      </c>
      <c r="KQ492">
        <v>0</v>
      </c>
      <c r="KR492">
        <v>0</v>
      </c>
      <c r="KS492">
        <v>0</v>
      </c>
      <c r="KT492">
        <v>0</v>
      </c>
      <c r="KU492">
        <v>0</v>
      </c>
      <c r="KV492">
        <v>0</v>
      </c>
      <c r="KW492">
        <v>0</v>
      </c>
      <c r="KX492">
        <v>0</v>
      </c>
      <c r="KY492">
        <v>0</v>
      </c>
      <c r="KZ492">
        <v>0</v>
      </c>
      <c r="LA492">
        <v>0</v>
      </c>
      <c r="LB492">
        <v>0</v>
      </c>
      <c r="LC492">
        <v>0</v>
      </c>
      <c r="LD492">
        <v>0</v>
      </c>
      <c r="LE492">
        <v>0</v>
      </c>
      <c r="LF492">
        <v>0</v>
      </c>
      <c r="LG492">
        <v>0</v>
      </c>
      <c r="LH492">
        <v>0</v>
      </c>
      <c r="LI492">
        <v>0</v>
      </c>
      <c r="LJ492">
        <v>0</v>
      </c>
      <c r="LK492">
        <v>0</v>
      </c>
      <c r="LL492">
        <v>0</v>
      </c>
      <c r="LM492">
        <v>0</v>
      </c>
      <c r="LN492">
        <v>0</v>
      </c>
      <c r="LO492">
        <v>0</v>
      </c>
      <c r="LP492">
        <v>0</v>
      </c>
      <c r="LQ492">
        <v>0</v>
      </c>
      <c r="LR492">
        <v>0</v>
      </c>
      <c r="LS492">
        <v>0</v>
      </c>
      <c r="LT492">
        <v>0</v>
      </c>
      <c r="LU492">
        <v>0</v>
      </c>
      <c r="LV492">
        <v>0</v>
      </c>
      <c r="LW492">
        <v>0</v>
      </c>
      <c r="LX492">
        <v>0</v>
      </c>
      <c r="LY492">
        <v>0</v>
      </c>
      <c r="LZ492">
        <v>0</v>
      </c>
      <c r="MA492">
        <v>0</v>
      </c>
      <c r="MB492">
        <v>0</v>
      </c>
      <c r="MC492">
        <v>0</v>
      </c>
      <c r="MD492">
        <v>0</v>
      </c>
      <c r="ME492">
        <v>0</v>
      </c>
      <c r="MF492">
        <v>0</v>
      </c>
      <c r="MG492">
        <v>0</v>
      </c>
      <c r="MH492">
        <v>0</v>
      </c>
      <c r="MI492">
        <v>0</v>
      </c>
      <c r="MJ492">
        <v>0</v>
      </c>
      <c r="MK492">
        <v>0</v>
      </c>
      <c r="ML492">
        <v>0</v>
      </c>
      <c r="MM492">
        <v>0</v>
      </c>
      <c r="MN492">
        <v>0</v>
      </c>
      <c r="MO492">
        <v>0</v>
      </c>
      <c r="MP492">
        <v>0</v>
      </c>
      <c r="MQ492">
        <v>0</v>
      </c>
      <c r="MR492">
        <v>0</v>
      </c>
      <c r="MS492">
        <v>0</v>
      </c>
      <c r="MT492">
        <v>0</v>
      </c>
      <c r="MU492">
        <v>0</v>
      </c>
      <c r="MV492">
        <v>0</v>
      </c>
      <c r="MW492">
        <v>0</v>
      </c>
      <c r="MX492">
        <v>0</v>
      </c>
      <c r="MY492">
        <v>0</v>
      </c>
      <c r="MZ492">
        <v>0</v>
      </c>
      <c r="NA492">
        <v>0</v>
      </c>
      <c r="NB492">
        <v>0</v>
      </c>
      <c r="NC492">
        <v>0</v>
      </c>
      <c r="ND492">
        <v>0</v>
      </c>
      <c r="NE492">
        <v>0</v>
      </c>
    </row>
    <row r="493" spans="41:369" x14ac:dyDescent="0.45">
      <c r="AO493">
        <v>0</v>
      </c>
      <c r="AP493">
        <v>0</v>
      </c>
      <c r="AQ493">
        <v>0</v>
      </c>
      <c r="AR493">
        <v>0</v>
      </c>
      <c r="AS493">
        <v>0</v>
      </c>
      <c r="AT493">
        <v>0</v>
      </c>
      <c r="AU493">
        <v>0</v>
      </c>
      <c r="AV493">
        <v>0</v>
      </c>
      <c r="AW493" t="str">
        <v/>
      </c>
      <c r="AX493">
        <v>255</v>
      </c>
      <c r="AY493" s="5" t="str">
        <v/>
      </c>
      <c r="AZ493">
        <v>0</v>
      </c>
      <c r="BA493">
        <v>0</v>
      </c>
      <c r="BB493">
        <v>0</v>
      </c>
      <c r="BC493">
        <v>0</v>
      </c>
      <c r="BD493">
        <v>0</v>
      </c>
      <c r="BE493">
        <v>0</v>
      </c>
      <c r="BF493">
        <v>0</v>
      </c>
      <c r="BG493">
        <v>0</v>
      </c>
      <c r="BH493">
        <v>0</v>
      </c>
      <c r="BI493" t="str">
        <v/>
      </c>
      <c r="BK493">
        <v>487</v>
      </c>
      <c r="BL493">
        <v>0</v>
      </c>
      <c r="BM493">
        <v>0</v>
      </c>
      <c r="BN493">
        <v>0</v>
      </c>
      <c r="BO493">
        <v>0</v>
      </c>
      <c r="BP493">
        <v>0</v>
      </c>
      <c r="BQ493">
        <v>0</v>
      </c>
      <c r="BR493">
        <v>0</v>
      </c>
      <c r="BS493">
        <v>0</v>
      </c>
      <c r="BT493">
        <v>0</v>
      </c>
      <c r="BU493">
        <v>0</v>
      </c>
      <c r="BV493">
        <v>0</v>
      </c>
      <c r="BW493">
        <v>0</v>
      </c>
      <c r="BX493">
        <v>0</v>
      </c>
      <c r="BY493">
        <v>0</v>
      </c>
      <c r="BZ493">
        <v>0</v>
      </c>
      <c r="CA493">
        <v>0</v>
      </c>
      <c r="CB493">
        <v>0</v>
      </c>
      <c r="CC493">
        <v>0</v>
      </c>
      <c r="CD493">
        <v>0</v>
      </c>
      <c r="CE493">
        <v>0</v>
      </c>
      <c r="CF493">
        <v>0</v>
      </c>
      <c r="CG493">
        <v>0</v>
      </c>
      <c r="CH493">
        <v>0</v>
      </c>
      <c r="CI493">
        <v>0</v>
      </c>
      <c r="CJ493">
        <v>0</v>
      </c>
      <c r="CK493">
        <v>0</v>
      </c>
      <c r="CL493">
        <v>0</v>
      </c>
      <c r="CM493">
        <v>0</v>
      </c>
      <c r="CN493">
        <v>0</v>
      </c>
      <c r="CO493">
        <v>0</v>
      </c>
      <c r="CP493">
        <v>0</v>
      </c>
      <c r="CQ493">
        <v>0</v>
      </c>
      <c r="CR493">
        <v>0</v>
      </c>
      <c r="CS493">
        <v>0</v>
      </c>
      <c r="CT493">
        <v>0</v>
      </c>
      <c r="CU493">
        <v>0</v>
      </c>
      <c r="CV493">
        <v>0</v>
      </c>
      <c r="CW493">
        <v>0</v>
      </c>
      <c r="CX493">
        <v>0</v>
      </c>
      <c r="CY493">
        <v>0</v>
      </c>
      <c r="CZ493">
        <v>0</v>
      </c>
      <c r="DA493">
        <v>0</v>
      </c>
      <c r="DB493">
        <v>0</v>
      </c>
      <c r="DC493">
        <v>0</v>
      </c>
      <c r="DD493">
        <v>0</v>
      </c>
      <c r="DE493">
        <v>0</v>
      </c>
      <c r="DF493">
        <v>0</v>
      </c>
      <c r="DG493">
        <v>0</v>
      </c>
      <c r="DH493">
        <v>0</v>
      </c>
      <c r="DI493">
        <v>0</v>
      </c>
      <c r="DJ493">
        <v>0</v>
      </c>
      <c r="DK493">
        <v>0</v>
      </c>
      <c r="DL493">
        <v>0</v>
      </c>
      <c r="DM493">
        <v>0</v>
      </c>
      <c r="DN493">
        <v>0</v>
      </c>
      <c r="DO493">
        <v>0</v>
      </c>
      <c r="DP493">
        <v>0</v>
      </c>
      <c r="DQ493">
        <v>0</v>
      </c>
      <c r="DR493">
        <v>0</v>
      </c>
      <c r="DS493">
        <v>0</v>
      </c>
      <c r="DT493">
        <v>0</v>
      </c>
      <c r="DU493">
        <v>0</v>
      </c>
      <c r="DV493">
        <v>0</v>
      </c>
      <c r="DW493">
        <v>0</v>
      </c>
      <c r="DX493">
        <v>0</v>
      </c>
      <c r="DY493">
        <v>0</v>
      </c>
      <c r="DZ493">
        <v>0</v>
      </c>
      <c r="EA493">
        <v>0</v>
      </c>
      <c r="EB493">
        <v>0</v>
      </c>
      <c r="EC493">
        <v>0</v>
      </c>
      <c r="ED493">
        <v>0</v>
      </c>
      <c r="EE493">
        <v>0</v>
      </c>
      <c r="EF493">
        <v>0</v>
      </c>
      <c r="EG493">
        <v>0</v>
      </c>
      <c r="EH493">
        <v>0</v>
      </c>
      <c r="EI493">
        <v>0</v>
      </c>
      <c r="EJ493">
        <v>0</v>
      </c>
      <c r="EK493">
        <v>0</v>
      </c>
      <c r="EL493">
        <v>0</v>
      </c>
      <c r="EM493">
        <v>0</v>
      </c>
      <c r="EN493">
        <v>0</v>
      </c>
      <c r="EO493">
        <v>0</v>
      </c>
      <c r="EP493">
        <v>0</v>
      </c>
      <c r="EQ493">
        <v>0</v>
      </c>
      <c r="ER493">
        <v>0</v>
      </c>
      <c r="ES493">
        <v>0</v>
      </c>
      <c r="ET493">
        <v>0</v>
      </c>
      <c r="EU493">
        <v>0</v>
      </c>
      <c r="EV493">
        <v>0</v>
      </c>
      <c r="EW493">
        <v>0</v>
      </c>
      <c r="EX493">
        <v>0</v>
      </c>
      <c r="EY493">
        <v>0</v>
      </c>
      <c r="EZ493">
        <v>0</v>
      </c>
      <c r="FA493">
        <v>0</v>
      </c>
      <c r="FB493">
        <v>0</v>
      </c>
      <c r="FC493">
        <v>0</v>
      </c>
      <c r="FD493">
        <v>0</v>
      </c>
      <c r="FE493">
        <v>0</v>
      </c>
      <c r="FF493">
        <v>0</v>
      </c>
      <c r="FG493">
        <v>0</v>
      </c>
      <c r="FH493">
        <v>0</v>
      </c>
      <c r="FI493">
        <v>0</v>
      </c>
      <c r="FJ493">
        <v>0</v>
      </c>
      <c r="FK493">
        <v>0</v>
      </c>
      <c r="FL493">
        <v>0</v>
      </c>
      <c r="FM493">
        <v>0</v>
      </c>
      <c r="FN493">
        <v>0</v>
      </c>
      <c r="FO493">
        <v>0</v>
      </c>
      <c r="FP493">
        <v>0</v>
      </c>
      <c r="FQ493">
        <v>0</v>
      </c>
      <c r="FR493">
        <v>0</v>
      </c>
      <c r="FS493">
        <v>0</v>
      </c>
      <c r="FT493">
        <v>0</v>
      </c>
      <c r="FU493">
        <v>0</v>
      </c>
      <c r="FV493">
        <v>0</v>
      </c>
      <c r="FW493">
        <v>0</v>
      </c>
      <c r="FX493">
        <v>0</v>
      </c>
      <c r="FY493">
        <v>0</v>
      </c>
      <c r="FZ493">
        <v>0</v>
      </c>
      <c r="GA493">
        <v>0</v>
      </c>
      <c r="GB493">
        <v>0</v>
      </c>
      <c r="GC493">
        <v>0</v>
      </c>
      <c r="GD493">
        <v>0</v>
      </c>
      <c r="GE493">
        <v>0</v>
      </c>
      <c r="GF493">
        <v>0</v>
      </c>
      <c r="GG493">
        <v>0</v>
      </c>
      <c r="GH493">
        <v>0</v>
      </c>
      <c r="GI493">
        <v>0</v>
      </c>
      <c r="GJ493">
        <v>0</v>
      </c>
      <c r="GK493">
        <v>0</v>
      </c>
      <c r="GL493">
        <v>0</v>
      </c>
      <c r="GM493">
        <v>0</v>
      </c>
      <c r="GN493">
        <v>0</v>
      </c>
      <c r="GO493">
        <v>0</v>
      </c>
      <c r="GP493">
        <v>0</v>
      </c>
      <c r="GQ493">
        <v>0</v>
      </c>
      <c r="GR493">
        <v>0</v>
      </c>
      <c r="GS493">
        <v>0</v>
      </c>
      <c r="GT493">
        <v>0</v>
      </c>
      <c r="GU493">
        <v>0</v>
      </c>
      <c r="GV493">
        <v>0</v>
      </c>
      <c r="GW493">
        <v>0</v>
      </c>
      <c r="GX493">
        <v>0</v>
      </c>
      <c r="GY493">
        <v>0</v>
      </c>
      <c r="GZ493">
        <v>0</v>
      </c>
      <c r="HA493">
        <v>0</v>
      </c>
      <c r="HB493">
        <v>0</v>
      </c>
      <c r="HC493">
        <v>0</v>
      </c>
      <c r="HD493">
        <v>0</v>
      </c>
      <c r="HE493">
        <v>0</v>
      </c>
      <c r="HF493">
        <v>0</v>
      </c>
      <c r="HG493">
        <v>0</v>
      </c>
      <c r="HH493">
        <v>0</v>
      </c>
      <c r="HI493">
        <v>0</v>
      </c>
      <c r="HJ493">
        <v>0</v>
      </c>
      <c r="HK493">
        <v>0</v>
      </c>
      <c r="HL493">
        <v>0</v>
      </c>
      <c r="HM493">
        <v>0</v>
      </c>
      <c r="HN493">
        <v>0</v>
      </c>
      <c r="HO493">
        <v>0</v>
      </c>
      <c r="HP493">
        <v>0</v>
      </c>
      <c r="HQ493">
        <v>0</v>
      </c>
      <c r="HR493">
        <v>0</v>
      </c>
      <c r="HS493">
        <v>0</v>
      </c>
      <c r="HT493">
        <v>0</v>
      </c>
      <c r="HU493">
        <v>0</v>
      </c>
      <c r="HV493">
        <v>0</v>
      </c>
      <c r="HW493">
        <v>0</v>
      </c>
      <c r="HX493">
        <v>0</v>
      </c>
      <c r="HY493">
        <v>0</v>
      </c>
      <c r="HZ493">
        <v>0</v>
      </c>
      <c r="IA493">
        <v>0</v>
      </c>
      <c r="IB493">
        <v>0</v>
      </c>
      <c r="IC493">
        <v>0</v>
      </c>
      <c r="ID493">
        <v>0</v>
      </c>
      <c r="IE493">
        <v>0</v>
      </c>
      <c r="IF493">
        <v>0</v>
      </c>
      <c r="IG493">
        <v>0</v>
      </c>
      <c r="IH493">
        <v>0</v>
      </c>
      <c r="II493">
        <v>0</v>
      </c>
      <c r="IJ493">
        <v>0</v>
      </c>
      <c r="IK493">
        <v>0</v>
      </c>
      <c r="IL493">
        <v>0</v>
      </c>
      <c r="IM493">
        <v>0</v>
      </c>
      <c r="IN493">
        <v>0</v>
      </c>
      <c r="IO493">
        <v>0</v>
      </c>
      <c r="IP493">
        <v>0</v>
      </c>
      <c r="IQ493">
        <v>0</v>
      </c>
      <c r="IR493">
        <v>0</v>
      </c>
      <c r="IS493">
        <v>0</v>
      </c>
      <c r="IT493">
        <v>0</v>
      </c>
      <c r="IU493">
        <v>0</v>
      </c>
      <c r="IV493">
        <v>0</v>
      </c>
      <c r="IW493">
        <v>0</v>
      </c>
      <c r="IX493">
        <v>0</v>
      </c>
      <c r="IY493">
        <v>0</v>
      </c>
      <c r="IZ493">
        <v>0</v>
      </c>
      <c r="JA493">
        <v>0</v>
      </c>
      <c r="JB493">
        <v>0</v>
      </c>
      <c r="JC493">
        <v>0</v>
      </c>
      <c r="JD493">
        <v>0</v>
      </c>
      <c r="JE493">
        <v>0</v>
      </c>
      <c r="JF493">
        <v>0</v>
      </c>
      <c r="JG493">
        <v>0</v>
      </c>
      <c r="JH493">
        <v>0</v>
      </c>
      <c r="JI493">
        <v>0</v>
      </c>
      <c r="JJ493">
        <v>0</v>
      </c>
      <c r="JK493">
        <v>0</v>
      </c>
      <c r="JL493">
        <v>0</v>
      </c>
      <c r="JM493">
        <v>0</v>
      </c>
      <c r="JN493">
        <v>0</v>
      </c>
      <c r="JO493">
        <v>0</v>
      </c>
      <c r="JP493">
        <v>0</v>
      </c>
      <c r="JQ493">
        <v>0</v>
      </c>
      <c r="JR493">
        <v>0</v>
      </c>
      <c r="JS493">
        <v>0</v>
      </c>
      <c r="JT493">
        <v>0</v>
      </c>
      <c r="JU493">
        <v>0</v>
      </c>
      <c r="JV493">
        <v>0</v>
      </c>
      <c r="JW493">
        <v>0</v>
      </c>
      <c r="JX493">
        <v>0</v>
      </c>
      <c r="JY493">
        <v>0</v>
      </c>
      <c r="JZ493">
        <v>0</v>
      </c>
      <c r="KA493">
        <v>0</v>
      </c>
      <c r="KB493">
        <v>0</v>
      </c>
      <c r="KC493">
        <v>0</v>
      </c>
      <c r="KD493">
        <v>0</v>
      </c>
      <c r="KE493">
        <v>0</v>
      </c>
      <c r="KF493">
        <v>0</v>
      </c>
      <c r="KG493">
        <v>0</v>
      </c>
      <c r="KH493">
        <v>0</v>
      </c>
      <c r="KI493">
        <v>0</v>
      </c>
      <c r="KJ493">
        <v>0</v>
      </c>
      <c r="KK493">
        <v>0</v>
      </c>
      <c r="KL493">
        <v>0</v>
      </c>
      <c r="KM493">
        <v>0</v>
      </c>
      <c r="KN493">
        <v>0</v>
      </c>
      <c r="KO493">
        <v>0</v>
      </c>
      <c r="KP493">
        <v>0</v>
      </c>
      <c r="KQ493">
        <v>0</v>
      </c>
      <c r="KR493">
        <v>0</v>
      </c>
      <c r="KS493">
        <v>0</v>
      </c>
      <c r="KT493">
        <v>0</v>
      </c>
      <c r="KU493">
        <v>0</v>
      </c>
      <c r="KV493">
        <v>0</v>
      </c>
      <c r="KW493">
        <v>0</v>
      </c>
      <c r="KX493">
        <v>0</v>
      </c>
      <c r="KY493">
        <v>0</v>
      </c>
      <c r="KZ493">
        <v>0</v>
      </c>
      <c r="LA493">
        <v>0</v>
      </c>
      <c r="LB493">
        <v>0</v>
      </c>
      <c r="LC493">
        <v>0</v>
      </c>
      <c r="LD493">
        <v>0</v>
      </c>
      <c r="LE493">
        <v>0</v>
      </c>
      <c r="LF493">
        <v>0</v>
      </c>
      <c r="LG493">
        <v>0</v>
      </c>
      <c r="LH493">
        <v>0</v>
      </c>
      <c r="LI493">
        <v>0</v>
      </c>
      <c r="LJ493">
        <v>0</v>
      </c>
      <c r="LK493">
        <v>0</v>
      </c>
      <c r="LL493">
        <v>0</v>
      </c>
      <c r="LM493">
        <v>0</v>
      </c>
      <c r="LN493">
        <v>0</v>
      </c>
      <c r="LO493">
        <v>0</v>
      </c>
      <c r="LP493">
        <v>0</v>
      </c>
      <c r="LQ493">
        <v>0</v>
      </c>
      <c r="LR493">
        <v>0</v>
      </c>
      <c r="LS493">
        <v>0</v>
      </c>
      <c r="LT493">
        <v>0</v>
      </c>
      <c r="LU493">
        <v>0</v>
      </c>
      <c r="LV493">
        <v>0</v>
      </c>
      <c r="LW493">
        <v>0</v>
      </c>
      <c r="LX493">
        <v>0</v>
      </c>
      <c r="LY493">
        <v>0</v>
      </c>
      <c r="LZ493">
        <v>0</v>
      </c>
      <c r="MA493">
        <v>0</v>
      </c>
      <c r="MB493">
        <v>0</v>
      </c>
      <c r="MC493">
        <v>0</v>
      </c>
      <c r="MD493">
        <v>0</v>
      </c>
      <c r="ME493">
        <v>0</v>
      </c>
      <c r="MF493">
        <v>0</v>
      </c>
      <c r="MG493">
        <v>0</v>
      </c>
      <c r="MH493">
        <v>0</v>
      </c>
      <c r="MI493">
        <v>0</v>
      </c>
      <c r="MJ493">
        <v>0</v>
      </c>
      <c r="MK493">
        <v>0</v>
      </c>
      <c r="ML493">
        <v>0</v>
      </c>
      <c r="MM493">
        <v>0</v>
      </c>
      <c r="MN493">
        <v>0</v>
      </c>
      <c r="MO493">
        <v>0</v>
      </c>
      <c r="MP493">
        <v>0</v>
      </c>
      <c r="MQ493">
        <v>0</v>
      </c>
      <c r="MR493">
        <v>0</v>
      </c>
      <c r="MS493">
        <v>0</v>
      </c>
      <c r="MT493">
        <v>0</v>
      </c>
      <c r="MU493">
        <v>0</v>
      </c>
      <c r="MV493">
        <v>0</v>
      </c>
      <c r="MW493">
        <v>0</v>
      </c>
      <c r="MX493">
        <v>0</v>
      </c>
      <c r="MY493">
        <v>0</v>
      </c>
      <c r="MZ493">
        <v>0</v>
      </c>
      <c r="NA493">
        <v>0</v>
      </c>
      <c r="NB493">
        <v>0</v>
      </c>
      <c r="NC493">
        <v>0</v>
      </c>
      <c r="ND493">
        <v>0</v>
      </c>
      <c r="NE493">
        <v>0</v>
      </c>
    </row>
    <row r="494" spans="41:369" x14ac:dyDescent="0.45">
      <c r="AO494">
        <v>0</v>
      </c>
      <c r="AP494">
        <v>0</v>
      </c>
      <c r="AQ494">
        <v>0</v>
      </c>
      <c r="AR494">
        <v>0</v>
      </c>
      <c r="AS494">
        <v>0</v>
      </c>
      <c r="AT494">
        <v>0</v>
      </c>
      <c r="AU494">
        <v>0</v>
      </c>
      <c r="AV494">
        <v>0</v>
      </c>
      <c r="AW494" t="str">
        <v/>
      </c>
      <c r="AX494">
        <v>255</v>
      </c>
      <c r="AY494" s="5" t="str">
        <v/>
      </c>
      <c r="AZ494">
        <v>0</v>
      </c>
      <c r="BA494">
        <v>0</v>
      </c>
      <c r="BB494">
        <v>0</v>
      </c>
      <c r="BC494">
        <v>0</v>
      </c>
      <c r="BD494">
        <v>0</v>
      </c>
      <c r="BE494">
        <v>0</v>
      </c>
      <c r="BF494">
        <v>0</v>
      </c>
      <c r="BG494">
        <v>0</v>
      </c>
      <c r="BH494">
        <v>0</v>
      </c>
      <c r="BI494" t="str">
        <v/>
      </c>
      <c r="BK494">
        <v>488</v>
      </c>
      <c r="BL494">
        <v>0</v>
      </c>
      <c r="BM494">
        <v>0</v>
      </c>
      <c r="BN494">
        <v>0</v>
      </c>
      <c r="BO494">
        <v>0</v>
      </c>
      <c r="BP494">
        <v>0</v>
      </c>
      <c r="BQ494">
        <v>0</v>
      </c>
      <c r="BR494">
        <v>0</v>
      </c>
      <c r="BS494">
        <v>0</v>
      </c>
      <c r="BT494">
        <v>0</v>
      </c>
      <c r="BU494">
        <v>0</v>
      </c>
      <c r="BV494">
        <v>0</v>
      </c>
      <c r="BW494">
        <v>0</v>
      </c>
      <c r="BX494">
        <v>0</v>
      </c>
      <c r="BY494">
        <v>0</v>
      </c>
      <c r="BZ494">
        <v>0</v>
      </c>
      <c r="CA494">
        <v>0</v>
      </c>
      <c r="CB494">
        <v>0</v>
      </c>
      <c r="CC494">
        <v>0</v>
      </c>
      <c r="CD494">
        <v>0</v>
      </c>
      <c r="CE494">
        <v>0</v>
      </c>
      <c r="CF494">
        <v>0</v>
      </c>
      <c r="CG494">
        <v>0</v>
      </c>
      <c r="CH494">
        <v>0</v>
      </c>
      <c r="CI494">
        <v>0</v>
      </c>
      <c r="CJ494">
        <v>0</v>
      </c>
      <c r="CK494">
        <v>0</v>
      </c>
      <c r="CL494">
        <v>0</v>
      </c>
      <c r="CM494">
        <v>0</v>
      </c>
      <c r="CN494">
        <v>0</v>
      </c>
      <c r="CO494">
        <v>0</v>
      </c>
      <c r="CP494">
        <v>0</v>
      </c>
      <c r="CQ494">
        <v>0</v>
      </c>
      <c r="CR494">
        <v>0</v>
      </c>
      <c r="CS494">
        <v>0</v>
      </c>
      <c r="CT494">
        <v>0</v>
      </c>
      <c r="CU494">
        <v>0</v>
      </c>
      <c r="CV494">
        <v>0</v>
      </c>
      <c r="CW494">
        <v>0</v>
      </c>
      <c r="CX494">
        <v>0</v>
      </c>
      <c r="CY494">
        <v>0</v>
      </c>
      <c r="CZ494">
        <v>0</v>
      </c>
      <c r="DA494">
        <v>0</v>
      </c>
      <c r="DB494">
        <v>0</v>
      </c>
      <c r="DC494">
        <v>0</v>
      </c>
      <c r="DD494">
        <v>0</v>
      </c>
      <c r="DE494">
        <v>0</v>
      </c>
      <c r="DF494">
        <v>0</v>
      </c>
      <c r="DG494">
        <v>0</v>
      </c>
      <c r="DH494">
        <v>0</v>
      </c>
      <c r="DI494">
        <v>0</v>
      </c>
      <c r="DJ494">
        <v>0</v>
      </c>
      <c r="DK494">
        <v>0</v>
      </c>
      <c r="DL494">
        <v>0</v>
      </c>
      <c r="DM494">
        <v>0</v>
      </c>
      <c r="DN494">
        <v>0</v>
      </c>
      <c r="DO494">
        <v>0</v>
      </c>
      <c r="DP494">
        <v>0</v>
      </c>
      <c r="DQ494">
        <v>0</v>
      </c>
      <c r="DR494">
        <v>0</v>
      </c>
      <c r="DS494">
        <v>0</v>
      </c>
      <c r="DT494">
        <v>0</v>
      </c>
      <c r="DU494">
        <v>0</v>
      </c>
      <c r="DV494">
        <v>0</v>
      </c>
      <c r="DW494">
        <v>0</v>
      </c>
      <c r="DX494">
        <v>0</v>
      </c>
      <c r="DY494">
        <v>0</v>
      </c>
      <c r="DZ494">
        <v>0</v>
      </c>
      <c r="EA494">
        <v>0</v>
      </c>
      <c r="EB494">
        <v>0</v>
      </c>
      <c r="EC494">
        <v>0</v>
      </c>
      <c r="ED494">
        <v>0</v>
      </c>
      <c r="EE494">
        <v>0</v>
      </c>
      <c r="EF494">
        <v>0</v>
      </c>
      <c r="EG494">
        <v>0</v>
      </c>
      <c r="EH494">
        <v>0</v>
      </c>
      <c r="EI494">
        <v>0</v>
      </c>
      <c r="EJ494">
        <v>0</v>
      </c>
      <c r="EK494">
        <v>0</v>
      </c>
      <c r="EL494">
        <v>0</v>
      </c>
      <c r="EM494">
        <v>0</v>
      </c>
      <c r="EN494">
        <v>0</v>
      </c>
      <c r="EO494">
        <v>0</v>
      </c>
      <c r="EP494">
        <v>0</v>
      </c>
      <c r="EQ494">
        <v>0</v>
      </c>
      <c r="ER494">
        <v>0</v>
      </c>
      <c r="ES494">
        <v>0</v>
      </c>
      <c r="ET494">
        <v>0</v>
      </c>
      <c r="EU494">
        <v>0</v>
      </c>
      <c r="EV494">
        <v>0</v>
      </c>
      <c r="EW494">
        <v>0</v>
      </c>
      <c r="EX494">
        <v>0</v>
      </c>
      <c r="EY494">
        <v>0</v>
      </c>
      <c r="EZ494">
        <v>0</v>
      </c>
      <c r="FA494">
        <v>0</v>
      </c>
      <c r="FB494">
        <v>0</v>
      </c>
      <c r="FC494">
        <v>0</v>
      </c>
      <c r="FD494">
        <v>0</v>
      </c>
      <c r="FE494">
        <v>0</v>
      </c>
      <c r="FF494">
        <v>0</v>
      </c>
      <c r="FG494">
        <v>0</v>
      </c>
      <c r="FH494">
        <v>0</v>
      </c>
      <c r="FI494">
        <v>0</v>
      </c>
      <c r="FJ494">
        <v>0</v>
      </c>
      <c r="FK494">
        <v>0</v>
      </c>
      <c r="FL494">
        <v>0</v>
      </c>
      <c r="FM494">
        <v>0</v>
      </c>
      <c r="FN494">
        <v>0</v>
      </c>
      <c r="FO494">
        <v>0</v>
      </c>
      <c r="FP494">
        <v>0</v>
      </c>
      <c r="FQ494">
        <v>0</v>
      </c>
      <c r="FR494">
        <v>0</v>
      </c>
      <c r="FS494">
        <v>0</v>
      </c>
      <c r="FT494">
        <v>0</v>
      </c>
      <c r="FU494">
        <v>0</v>
      </c>
      <c r="FV494">
        <v>0</v>
      </c>
      <c r="FW494">
        <v>0</v>
      </c>
      <c r="FX494">
        <v>0</v>
      </c>
      <c r="FY494">
        <v>0</v>
      </c>
      <c r="FZ494">
        <v>0</v>
      </c>
      <c r="GA494">
        <v>0</v>
      </c>
      <c r="GB494">
        <v>0</v>
      </c>
      <c r="GC494">
        <v>0</v>
      </c>
      <c r="GD494">
        <v>0</v>
      </c>
      <c r="GE494">
        <v>0</v>
      </c>
      <c r="GF494">
        <v>0</v>
      </c>
      <c r="GG494">
        <v>0</v>
      </c>
      <c r="GH494">
        <v>0</v>
      </c>
      <c r="GI494">
        <v>0</v>
      </c>
      <c r="GJ494">
        <v>0</v>
      </c>
      <c r="GK494">
        <v>0</v>
      </c>
      <c r="GL494">
        <v>0</v>
      </c>
      <c r="GM494">
        <v>0</v>
      </c>
      <c r="GN494">
        <v>0</v>
      </c>
      <c r="GO494">
        <v>0</v>
      </c>
      <c r="GP494">
        <v>0</v>
      </c>
      <c r="GQ494">
        <v>0</v>
      </c>
      <c r="GR494">
        <v>0</v>
      </c>
      <c r="GS494">
        <v>0</v>
      </c>
      <c r="GT494">
        <v>0</v>
      </c>
      <c r="GU494">
        <v>0</v>
      </c>
      <c r="GV494">
        <v>0</v>
      </c>
      <c r="GW494">
        <v>0</v>
      </c>
      <c r="GX494">
        <v>0</v>
      </c>
      <c r="GY494">
        <v>0</v>
      </c>
      <c r="GZ494">
        <v>0</v>
      </c>
      <c r="HA494">
        <v>0</v>
      </c>
      <c r="HB494">
        <v>0</v>
      </c>
      <c r="HC494">
        <v>0</v>
      </c>
      <c r="HD494">
        <v>0</v>
      </c>
      <c r="HE494">
        <v>0</v>
      </c>
      <c r="HF494">
        <v>0</v>
      </c>
      <c r="HG494">
        <v>0</v>
      </c>
      <c r="HH494">
        <v>0</v>
      </c>
      <c r="HI494">
        <v>0</v>
      </c>
      <c r="HJ494">
        <v>0</v>
      </c>
      <c r="HK494">
        <v>0</v>
      </c>
      <c r="HL494">
        <v>0</v>
      </c>
      <c r="HM494">
        <v>0</v>
      </c>
      <c r="HN494">
        <v>0</v>
      </c>
      <c r="HO494">
        <v>0</v>
      </c>
      <c r="HP494">
        <v>0</v>
      </c>
      <c r="HQ494">
        <v>0</v>
      </c>
      <c r="HR494">
        <v>0</v>
      </c>
      <c r="HS494">
        <v>0</v>
      </c>
      <c r="HT494">
        <v>0</v>
      </c>
      <c r="HU494">
        <v>0</v>
      </c>
      <c r="HV494">
        <v>0</v>
      </c>
      <c r="HW494">
        <v>0</v>
      </c>
      <c r="HX494">
        <v>0</v>
      </c>
      <c r="HY494">
        <v>0</v>
      </c>
      <c r="HZ494">
        <v>0</v>
      </c>
      <c r="IA494">
        <v>0</v>
      </c>
      <c r="IB494">
        <v>0</v>
      </c>
      <c r="IC494">
        <v>0</v>
      </c>
      <c r="ID494">
        <v>0</v>
      </c>
      <c r="IE494">
        <v>0</v>
      </c>
      <c r="IF494">
        <v>0</v>
      </c>
      <c r="IG494">
        <v>0</v>
      </c>
      <c r="IH494">
        <v>0</v>
      </c>
      <c r="II494">
        <v>0</v>
      </c>
      <c r="IJ494">
        <v>0</v>
      </c>
      <c r="IK494">
        <v>0</v>
      </c>
      <c r="IL494">
        <v>0</v>
      </c>
      <c r="IM494">
        <v>0</v>
      </c>
      <c r="IN494">
        <v>0</v>
      </c>
      <c r="IO494">
        <v>0</v>
      </c>
      <c r="IP494">
        <v>0</v>
      </c>
      <c r="IQ494">
        <v>0</v>
      </c>
      <c r="IR494">
        <v>0</v>
      </c>
      <c r="IS494">
        <v>0</v>
      </c>
      <c r="IT494">
        <v>0</v>
      </c>
      <c r="IU494">
        <v>0</v>
      </c>
      <c r="IV494">
        <v>0</v>
      </c>
      <c r="IW494">
        <v>0</v>
      </c>
      <c r="IX494">
        <v>0</v>
      </c>
      <c r="IY494">
        <v>0</v>
      </c>
      <c r="IZ494">
        <v>0</v>
      </c>
      <c r="JA494">
        <v>0</v>
      </c>
      <c r="JB494">
        <v>0</v>
      </c>
      <c r="JC494">
        <v>0</v>
      </c>
      <c r="JD494">
        <v>0</v>
      </c>
      <c r="JE494">
        <v>0</v>
      </c>
      <c r="JF494">
        <v>0</v>
      </c>
      <c r="JG494">
        <v>0</v>
      </c>
      <c r="JH494">
        <v>0</v>
      </c>
      <c r="JI494">
        <v>0</v>
      </c>
      <c r="JJ494">
        <v>0</v>
      </c>
      <c r="JK494">
        <v>0</v>
      </c>
      <c r="JL494">
        <v>0</v>
      </c>
      <c r="JM494">
        <v>0</v>
      </c>
      <c r="JN494">
        <v>0</v>
      </c>
      <c r="JO494">
        <v>0</v>
      </c>
      <c r="JP494">
        <v>0</v>
      </c>
      <c r="JQ494">
        <v>0</v>
      </c>
      <c r="JR494">
        <v>0</v>
      </c>
      <c r="JS494">
        <v>0</v>
      </c>
      <c r="JT494">
        <v>0</v>
      </c>
      <c r="JU494">
        <v>0</v>
      </c>
      <c r="JV494">
        <v>0</v>
      </c>
      <c r="JW494">
        <v>0</v>
      </c>
      <c r="JX494">
        <v>0</v>
      </c>
      <c r="JY494">
        <v>0</v>
      </c>
      <c r="JZ494">
        <v>0</v>
      </c>
      <c r="KA494">
        <v>0</v>
      </c>
      <c r="KB494">
        <v>0</v>
      </c>
      <c r="KC494">
        <v>0</v>
      </c>
      <c r="KD494">
        <v>0</v>
      </c>
      <c r="KE494">
        <v>0</v>
      </c>
      <c r="KF494">
        <v>0</v>
      </c>
      <c r="KG494">
        <v>0</v>
      </c>
      <c r="KH494">
        <v>0</v>
      </c>
      <c r="KI494">
        <v>0</v>
      </c>
      <c r="KJ494">
        <v>0</v>
      </c>
      <c r="KK494">
        <v>0</v>
      </c>
      <c r="KL494">
        <v>0</v>
      </c>
      <c r="KM494">
        <v>0</v>
      </c>
      <c r="KN494">
        <v>0</v>
      </c>
      <c r="KO494">
        <v>0</v>
      </c>
      <c r="KP494">
        <v>0</v>
      </c>
      <c r="KQ494">
        <v>0</v>
      </c>
      <c r="KR494">
        <v>0</v>
      </c>
      <c r="KS494">
        <v>0</v>
      </c>
      <c r="KT494">
        <v>0</v>
      </c>
      <c r="KU494">
        <v>0</v>
      </c>
      <c r="KV494">
        <v>0</v>
      </c>
      <c r="KW494">
        <v>0</v>
      </c>
      <c r="KX494">
        <v>0</v>
      </c>
      <c r="KY494">
        <v>0</v>
      </c>
      <c r="KZ494">
        <v>0</v>
      </c>
      <c r="LA494">
        <v>0</v>
      </c>
      <c r="LB494">
        <v>0</v>
      </c>
      <c r="LC494">
        <v>0</v>
      </c>
      <c r="LD494">
        <v>0</v>
      </c>
      <c r="LE494">
        <v>0</v>
      </c>
      <c r="LF494">
        <v>0</v>
      </c>
      <c r="LG494">
        <v>0</v>
      </c>
      <c r="LH494">
        <v>0</v>
      </c>
      <c r="LI494">
        <v>0</v>
      </c>
      <c r="LJ494">
        <v>0</v>
      </c>
      <c r="LK494">
        <v>0</v>
      </c>
      <c r="LL494">
        <v>0</v>
      </c>
      <c r="LM494">
        <v>0</v>
      </c>
      <c r="LN494">
        <v>0</v>
      </c>
      <c r="LO494">
        <v>0</v>
      </c>
      <c r="LP494">
        <v>0</v>
      </c>
      <c r="LQ494">
        <v>0</v>
      </c>
      <c r="LR494">
        <v>0</v>
      </c>
      <c r="LS494">
        <v>0</v>
      </c>
      <c r="LT494">
        <v>0</v>
      </c>
      <c r="LU494">
        <v>0</v>
      </c>
      <c r="LV494">
        <v>0</v>
      </c>
      <c r="LW494">
        <v>0</v>
      </c>
      <c r="LX494">
        <v>0</v>
      </c>
      <c r="LY494">
        <v>0</v>
      </c>
      <c r="LZ494">
        <v>0</v>
      </c>
      <c r="MA494">
        <v>0</v>
      </c>
      <c r="MB494">
        <v>0</v>
      </c>
      <c r="MC494">
        <v>0</v>
      </c>
      <c r="MD494">
        <v>0</v>
      </c>
      <c r="ME494">
        <v>0</v>
      </c>
      <c r="MF494">
        <v>0</v>
      </c>
      <c r="MG494">
        <v>0</v>
      </c>
      <c r="MH494">
        <v>0</v>
      </c>
      <c r="MI494">
        <v>0</v>
      </c>
      <c r="MJ494">
        <v>0</v>
      </c>
      <c r="MK494">
        <v>0</v>
      </c>
      <c r="ML494">
        <v>0</v>
      </c>
      <c r="MM494">
        <v>0</v>
      </c>
      <c r="MN494">
        <v>0</v>
      </c>
      <c r="MO494">
        <v>0</v>
      </c>
      <c r="MP494">
        <v>0</v>
      </c>
      <c r="MQ494">
        <v>0</v>
      </c>
      <c r="MR494">
        <v>0</v>
      </c>
      <c r="MS494">
        <v>0</v>
      </c>
      <c r="MT494">
        <v>0</v>
      </c>
      <c r="MU494">
        <v>0</v>
      </c>
      <c r="MV494">
        <v>0</v>
      </c>
      <c r="MW494">
        <v>0</v>
      </c>
      <c r="MX494">
        <v>0</v>
      </c>
      <c r="MY494">
        <v>0</v>
      </c>
      <c r="MZ494">
        <v>0</v>
      </c>
      <c r="NA494">
        <v>0</v>
      </c>
      <c r="NB494">
        <v>0</v>
      </c>
      <c r="NC494">
        <v>0</v>
      </c>
      <c r="ND494">
        <v>0</v>
      </c>
      <c r="NE494">
        <v>0</v>
      </c>
    </row>
    <row r="495" spans="41:369" x14ac:dyDescent="0.45">
      <c r="AO495">
        <v>0</v>
      </c>
      <c r="AP495">
        <v>0</v>
      </c>
      <c r="AQ495">
        <v>0</v>
      </c>
      <c r="AR495">
        <v>0</v>
      </c>
      <c r="AS495">
        <v>0</v>
      </c>
      <c r="AT495">
        <v>0</v>
      </c>
      <c r="AU495">
        <v>0</v>
      </c>
      <c r="AV495">
        <v>0</v>
      </c>
      <c r="AW495" t="str">
        <v/>
      </c>
      <c r="AX495">
        <v>255</v>
      </c>
      <c r="AY495" s="5" t="str">
        <v/>
      </c>
      <c r="AZ495">
        <v>0</v>
      </c>
      <c r="BA495">
        <v>0</v>
      </c>
      <c r="BB495">
        <v>0</v>
      </c>
      <c r="BC495">
        <v>0</v>
      </c>
      <c r="BD495">
        <v>0</v>
      </c>
      <c r="BE495">
        <v>0</v>
      </c>
      <c r="BF495">
        <v>0</v>
      </c>
      <c r="BG495">
        <v>0</v>
      </c>
      <c r="BH495">
        <v>0</v>
      </c>
      <c r="BI495" t="str">
        <v/>
      </c>
      <c r="BK495">
        <v>489</v>
      </c>
      <c r="BL495">
        <v>0</v>
      </c>
      <c r="BM495">
        <v>0</v>
      </c>
      <c r="BN495">
        <v>0</v>
      </c>
      <c r="BO495">
        <v>0</v>
      </c>
      <c r="BP495">
        <v>0</v>
      </c>
      <c r="BQ495">
        <v>0</v>
      </c>
      <c r="BR495">
        <v>0</v>
      </c>
      <c r="BS495">
        <v>0</v>
      </c>
      <c r="BT495">
        <v>0</v>
      </c>
      <c r="BU495">
        <v>0</v>
      </c>
      <c r="BV495">
        <v>0</v>
      </c>
      <c r="BW495">
        <v>0</v>
      </c>
      <c r="BX495">
        <v>0</v>
      </c>
      <c r="BY495">
        <v>0</v>
      </c>
      <c r="BZ495">
        <v>0</v>
      </c>
      <c r="CA495">
        <v>0</v>
      </c>
      <c r="CB495">
        <v>0</v>
      </c>
      <c r="CC495">
        <v>0</v>
      </c>
      <c r="CD495">
        <v>0</v>
      </c>
      <c r="CE495">
        <v>0</v>
      </c>
      <c r="CF495">
        <v>0</v>
      </c>
      <c r="CG495">
        <v>0</v>
      </c>
      <c r="CH495">
        <v>0</v>
      </c>
      <c r="CI495">
        <v>0</v>
      </c>
      <c r="CJ495">
        <v>0</v>
      </c>
      <c r="CK495">
        <v>0</v>
      </c>
      <c r="CL495">
        <v>0</v>
      </c>
      <c r="CM495">
        <v>0</v>
      </c>
      <c r="CN495">
        <v>0</v>
      </c>
      <c r="CO495">
        <v>0</v>
      </c>
      <c r="CP495">
        <v>0</v>
      </c>
      <c r="CQ495">
        <v>0</v>
      </c>
      <c r="CR495">
        <v>0</v>
      </c>
      <c r="CS495">
        <v>0</v>
      </c>
      <c r="CT495">
        <v>0</v>
      </c>
      <c r="CU495">
        <v>0</v>
      </c>
      <c r="CV495">
        <v>0</v>
      </c>
      <c r="CW495">
        <v>0</v>
      </c>
      <c r="CX495">
        <v>0</v>
      </c>
      <c r="CY495">
        <v>0</v>
      </c>
      <c r="CZ495">
        <v>0</v>
      </c>
      <c r="DA495">
        <v>0</v>
      </c>
      <c r="DB495">
        <v>0</v>
      </c>
      <c r="DC495">
        <v>0</v>
      </c>
      <c r="DD495">
        <v>0</v>
      </c>
      <c r="DE495">
        <v>0</v>
      </c>
      <c r="DF495">
        <v>0</v>
      </c>
      <c r="DG495">
        <v>0</v>
      </c>
      <c r="DH495">
        <v>0</v>
      </c>
      <c r="DI495">
        <v>0</v>
      </c>
      <c r="DJ495">
        <v>0</v>
      </c>
      <c r="DK495">
        <v>0</v>
      </c>
      <c r="DL495">
        <v>0</v>
      </c>
      <c r="DM495">
        <v>0</v>
      </c>
      <c r="DN495">
        <v>0</v>
      </c>
      <c r="DO495">
        <v>0</v>
      </c>
      <c r="DP495">
        <v>0</v>
      </c>
      <c r="DQ495">
        <v>0</v>
      </c>
      <c r="DR495">
        <v>0</v>
      </c>
      <c r="DS495">
        <v>0</v>
      </c>
      <c r="DT495">
        <v>0</v>
      </c>
      <c r="DU495">
        <v>0</v>
      </c>
      <c r="DV495">
        <v>0</v>
      </c>
      <c r="DW495">
        <v>0</v>
      </c>
      <c r="DX495">
        <v>0</v>
      </c>
      <c r="DY495">
        <v>0</v>
      </c>
      <c r="DZ495">
        <v>0</v>
      </c>
      <c r="EA495">
        <v>0</v>
      </c>
      <c r="EB495">
        <v>0</v>
      </c>
      <c r="EC495">
        <v>0</v>
      </c>
      <c r="ED495">
        <v>0</v>
      </c>
      <c r="EE495">
        <v>0</v>
      </c>
      <c r="EF495">
        <v>0</v>
      </c>
      <c r="EG495">
        <v>0</v>
      </c>
      <c r="EH495">
        <v>0</v>
      </c>
      <c r="EI495">
        <v>0</v>
      </c>
      <c r="EJ495">
        <v>0</v>
      </c>
      <c r="EK495">
        <v>0</v>
      </c>
      <c r="EL495">
        <v>0</v>
      </c>
      <c r="EM495">
        <v>0</v>
      </c>
      <c r="EN495">
        <v>0</v>
      </c>
      <c r="EO495">
        <v>0</v>
      </c>
      <c r="EP495">
        <v>0</v>
      </c>
      <c r="EQ495">
        <v>0</v>
      </c>
      <c r="ER495">
        <v>0</v>
      </c>
      <c r="ES495">
        <v>0</v>
      </c>
      <c r="ET495">
        <v>0</v>
      </c>
      <c r="EU495">
        <v>0</v>
      </c>
      <c r="EV495">
        <v>0</v>
      </c>
      <c r="EW495">
        <v>0</v>
      </c>
      <c r="EX495">
        <v>0</v>
      </c>
      <c r="EY495">
        <v>0</v>
      </c>
      <c r="EZ495">
        <v>0</v>
      </c>
      <c r="FA495">
        <v>0</v>
      </c>
      <c r="FB495">
        <v>0</v>
      </c>
      <c r="FC495">
        <v>0</v>
      </c>
      <c r="FD495">
        <v>0</v>
      </c>
      <c r="FE495">
        <v>0</v>
      </c>
      <c r="FF495">
        <v>0</v>
      </c>
      <c r="FG495">
        <v>0</v>
      </c>
      <c r="FH495">
        <v>0</v>
      </c>
      <c r="FI495">
        <v>0</v>
      </c>
      <c r="FJ495">
        <v>0</v>
      </c>
      <c r="FK495">
        <v>0</v>
      </c>
      <c r="FL495">
        <v>0</v>
      </c>
      <c r="FM495">
        <v>0</v>
      </c>
      <c r="FN495">
        <v>0</v>
      </c>
      <c r="FO495">
        <v>0</v>
      </c>
      <c r="FP495">
        <v>0</v>
      </c>
      <c r="FQ495">
        <v>0</v>
      </c>
      <c r="FR495">
        <v>0</v>
      </c>
      <c r="FS495">
        <v>0</v>
      </c>
      <c r="FT495">
        <v>0</v>
      </c>
      <c r="FU495">
        <v>0</v>
      </c>
      <c r="FV495">
        <v>0</v>
      </c>
      <c r="FW495">
        <v>0</v>
      </c>
      <c r="FX495">
        <v>0</v>
      </c>
      <c r="FY495">
        <v>0</v>
      </c>
      <c r="FZ495">
        <v>0</v>
      </c>
      <c r="GA495">
        <v>0</v>
      </c>
      <c r="GB495">
        <v>0</v>
      </c>
      <c r="GC495">
        <v>0</v>
      </c>
      <c r="GD495">
        <v>0</v>
      </c>
      <c r="GE495">
        <v>0</v>
      </c>
      <c r="GF495">
        <v>0</v>
      </c>
      <c r="GG495">
        <v>0</v>
      </c>
      <c r="GH495">
        <v>0</v>
      </c>
      <c r="GI495">
        <v>0</v>
      </c>
      <c r="GJ495">
        <v>0</v>
      </c>
      <c r="GK495">
        <v>0</v>
      </c>
      <c r="GL495">
        <v>0</v>
      </c>
      <c r="GM495">
        <v>0</v>
      </c>
      <c r="GN495">
        <v>0</v>
      </c>
      <c r="GO495">
        <v>0</v>
      </c>
      <c r="GP495">
        <v>0</v>
      </c>
      <c r="GQ495">
        <v>0</v>
      </c>
      <c r="GR495">
        <v>0</v>
      </c>
      <c r="GS495">
        <v>0</v>
      </c>
      <c r="GT495">
        <v>0</v>
      </c>
      <c r="GU495">
        <v>0</v>
      </c>
      <c r="GV495">
        <v>0</v>
      </c>
      <c r="GW495">
        <v>0</v>
      </c>
      <c r="GX495">
        <v>0</v>
      </c>
      <c r="GY495">
        <v>0</v>
      </c>
      <c r="GZ495">
        <v>0</v>
      </c>
      <c r="HA495">
        <v>0</v>
      </c>
      <c r="HB495">
        <v>0</v>
      </c>
      <c r="HC495">
        <v>0</v>
      </c>
      <c r="HD495">
        <v>0</v>
      </c>
      <c r="HE495">
        <v>0</v>
      </c>
      <c r="HF495">
        <v>0</v>
      </c>
      <c r="HG495">
        <v>0</v>
      </c>
      <c r="HH495">
        <v>0</v>
      </c>
      <c r="HI495">
        <v>0</v>
      </c>
      <c r="HJ495">
        <v>0</v>
      </c>
      <c r="HK495">
        <v>0</v>
      </c>
      <c r="HL495">
        <v>0</v>
      </c>
      <c r="HM495">
        <v>0</v>
      </c>
      <c r="HN495">
        <v>0</v>
      </c>
      <c r="HO495">
        <v>0</v>
      </c>
      <c r="HP495">
        <v>0</v>
      </c>
      <c r="HQ495">
        <v>0</v>
      </c>
      <c r="HR495">
        <v>0</v>
      </c>
      <c r="HS495">
        <v>0</v>
      </c>
      <c r="HT495">
        <v>0</v>
      </c>
      <c r="HU495">
        <v>0</v>
      </c>
      <c r="HV495">
        <v>0</v>
      </c>
      <c r="HW495">
        <v>0</v>
      </c>
      <c r="HX495">
        <v>0</v>
      </c>
      <c r="HY495">
        <v>0</v>
      </c>
      <c r="HZ495">
        <v>0</v>
      </c>
      <c r="IA495">
        <v>0</v>
      </c>
      <c r="IB495">
        <v>0</v>
      </c>
      <c r="IC495">
        <v>0</v>
      </c>
      <c r="ID495">
        <v>0</v>
      </c>
      <c r="IE495">
        <v>0</v>
      </c>
      <c r="IF495">
        <v>0</v>
      </c>
      <c r="IG495">
        <v>0</v>
      </c>
      <c r="IH495">
        <v>0</v>
      </c>
      <c r="II495">
        <v>0</v>
      </c>
      <c r="IJ495">
        <v>0</v>
      </c>
      <c r="IK495">
        <v>0</v>
      </c>
      <c r="IL495">
        <v>0</v>
      </c>
      <c r="IM495">
        <v>0</v>
      </c>
      <c r="IN495">
        <v>0</v>
      </c>
      <c r="IO495">
        <v>0</v>
      </c>
      <c r="IP495">
        <v>0</v>
      </c>
      <c r="IQ495">
        <v>0</v>
      </c>
      <c r="IR495">
        <v>0</v>
      </c>
      <c r="IS495">
        <v>0</v>
      </c>
      <c r="IT495">
        <v>0</v>
      </c>
      <c r="IU495">
        <v>0</v>
      </c>
      <c r="IV495">
        <v>0</v>
      </c>
      <c r="IW495">
        <v>0</v>
      </c>
      <c r="IX495">
        <v>0</v>
      </c>
      <c r="IY495">
        <v>0</v>
      </c>
      <c r="IZ495">
        <v>0</v>
      </c>
      <c r="JA495">
        <v>0</v>
      </c>
      <c r="JB495">
        <v>0</v>
      </c>
      <c r="JC495">
        <v>0</v>
      </c>
      <c r="JD495">
        <v>0</v>
      </c>
      <c r="JE495">
        <v>0</v>
      </c>
      <c r="JF495">
        <v>0</v>
      </c>
      <c r="JG495">
        <v>0</v>
      </c>
      <c r="JH495">
        <v>0</v>
      </c>
      <c r="JI495">
        <v>0</v>
      </c>
      <c r="JJ495">
        <v>0</v>
      </c>
      <c r="JK495">
        <v>0</v>
      </c>
      <c r="JL495">
        <v>0</v>
      </c>
      <c r="JM495">
        <v>0</v>
      </c>
      <c r="JN495">
        <v>0</v>
      </c>
      <c r="JO495">
        <v>0</v>
      </c>
      <c r="JP495">
        <v>0</v>
      </c>
      <c r="JQ495">
        <v>0</v>
      </c>
      <c r="JR495">
        <v>0</v>
      </c>
      <c r="JS495">
        <v>0</v>
      </c>
      <c r="JT495">
        <v>0</v>
      </c>
      <c r="JU495">
        <v>0</v>
      </c>
      <c r="JV495">
        <v>0</v>
      </c>
      <c r="JW495">
        <v>0</v>
      </c>
      <c r="JX495">
        <v>0</v>
      </c>
      <c r="JY495">
        <v>0</v>
      </c>
      <c r="JZ495">
        <v>0</v>
      </c>
      <c r="KA495">
        <v>0</v>
      </c>
      <c r="KB495">
        <v>0</v>
      </c>
      <c r="KC495">
        <v>0</v>
      </c>
      <c r="KD495">
        <v>0</v>
      </c>
      <c r="KE495">
        <v>0</v>
      </c>
      <c r="KF495">
        <v>0</v>
      </c>
      <c r="KG495">
        <v>0</v>
      </c>
      <c r="KH495">
        <v>0</v>
      </c>
      <c r="KI495">
        <v>0</v>
      </c>
      <c r="KJ495">
        <v>0</v>
      </c>
      <c r="KK495">
        <v>0</v>
      </c>
      <c r="KL495">
        <v>0</v>
      </c>
      <c r="KM495">
        <v>0</v>
      </c>
      <c r="KN495">
        <v>0</v>
      </c>
      <c r="KO495">
        <v>0</v>
      </c>
      <c r="KP495">
        <v>0</v>
      </c>
      <c r="KQ495">
        <v>0</v>
      </c>
      <c r="KR495">
        <v>0</v>
      </c>
      <c r="KS495">
        <v>0</v>
      </c>
      <c r="KT495">
        <v>0</v>
      </c>
      <c r="KU495">
        <v>0</v>
      </c>
      <c r="KV495">
        <v>0</v>
      </c>
      <c r="KW495">
        <v>0</v>
      </c>
      <c r="KX495">
        <v>0</v>
      </c>
      <c r="KY495">
        <v>0</v>
      </c>
      <c r="KZ495">
        <v>0</v>
      </c>
      <c r="LA495">
        <v>0</v>
      </c>
      <c r="LB495">
        <v>0</v>
      </c>
      <c r="LC495">
        <v>0</v>
      </c>
      <c r="LD495">
        <v>0</v>
      </c>
      <c r="LE495">
        <v>0</v>
      </c>
      <c r="LF495">
        <v>0</v>
      </c>
      <c r="LG495">
        <v>0</v>
      </c>
      <c r="LH495">
        <v>0</v>
      </c>
      <c r="LI495">
        <v>0</v>
      </c>
      <c r="LJ495">
        <v>0</v>
      </c>
      <c r="LK495">
        <v>0</v>
      </c>
      <c r="LL495">
        <v>0</v>
      </c>
      <c r="LM495">
        <v>0</v>
      </c>
      <c r="LN495">
        <v>0</v>
      </c>
      <c r="LO495">
        <v>0</v>
      </c>
      <c r="LP495">
        <v>0</v>
      </c>
      <c r="LQ495">
        <v>0</v>
      </c>
      <c r="LR495">
        <v>0</v>
      </c>
      <c r="LS495">
        <v>0</v>
      </c>
      <c r="LT495">
        <v>0</v>
      </c>
      <c r="LU495">
        <v>0</v>
      </c>
      <c r="LV495">
        <v>0</v>
      </c>
      <c r="LW495">
        <v>0</v>
      </c>
      <c r="LX495">
        <v>0</v>
      </c>
      <c r="LY495">
        <v>0</v>
      </c>
      <c r="LZ495">
        <v>0</v>
      </c>
      <c r="MA495">
        <v>0</v>
      </c>
      <c r="MB495">
        <v>0</v>
      </c>
      <c r="MC495">
        <v>0</v>
      </c>
      <c r="MD495">
        <v>0</v>
      </c>
      <c r="ME495">
        <v>0</v>
      </c>
      <c r="MF495">
        <v>0</v>
      </c>
      <c r="MG495">
        <v>0</v>
      </c>
      <c r="MH495">
        <v>0</v>
      </c>
      <c r="MI495">
        <v>0</v>
      </c>
      <c r="MJ495">
        <v>0</v>
      </c>
      <c r="MK495">
        <v>0</v>
      </c>
      <c r="ML495">
        <v>0</v>
      </c>
      <c r="MM495">
        <v>0</v>
      </c>
      <c r="MN495">
        <v>0</v>
      </c>
      <c r="MO495">
        <v>0</v>
      </c>
      <c r="MP495">
        <v>0</v>
      </c>
      <c r="MQ495">
        <v>0</v>
      </c>
      <c r="MR495">
        <v>0</v>
      </c>
      <c r="MS495">
        <v>0</v>
      </c>
      <c r="MT495">
        <v>0</v>
      </c>
      <c r="MU495">
        <v>0</v>
      </c>
      <c r="MV495">
        <v>0</v>
      </c>
      <c r="MW495">
        <v>0</v>
      </c>
      <c r="MX495">
        <v>0</v>
      </c>
      <c r="MY495">
        <v>0</v>
      </c>
      <c r="MZ495">
        <v>0</v>
      </c>
      <c r="NA495">
        <v>0</v>
      </c>
      <c r="NB495">
        <v>0</v>
      </c>
      <c r="NC495">
        <v>0</v>
      </c>
      <c r="ND495">
        <v>0</v>
      </c>
      <c r="NE495">
        <v>0</v>
      </c>
    </row>
    <row r="496" spans="41:369" x14ac:dyDescent="0.45">
      <c r="AO496">
        <v>0</v>
      </c>
      <c r="AP496">
        <v>0</v>
      </c>
      <c r="AQ496">
        <v>0</v>
      </c>
      <c r="AR496">
        <v>0</v>
      </c>
      <c r="AS496">
        <v>0</v>
      </c>
      <c r="AT496">
        <v>0</v>
      </c>
      <c r="AU496">
        <v>0</v>
      </c>
      <c r="AV496">
        <v>0</v>
      </c>
      <c r="AW496" t="str">
        <v/>
      </c>
      <c r="AX496">
        <v>255</v>
      </c>
      <c r="AY496" s="5" t="str">
        <v/>
      </c>
      <c r="AZ496">
        <v>0</v>
      </c>
      <c r="BA496">
        <v>0</v>
      </c>
      <c r="BB496">
        <v>0</v>
      </c>
      <c r="BC496">
        <v>0</v>
      </c>
      <c r="BD496">
        <v>0</v>
      </c>
      <c r="BE496">
        <v>0</v>
      </c>
      <c r="BF496">
        <v>0</v>
      </c>
      <c r="BG496">
        <v>0</v>
      </c>
      <c r="BH496">
        <v>0</v>
      </c>
      <c r="BI496" t="str">
        <v/>
      </c>
      <c r="BK496">
        <v>490</v>
      </c>
      <c r="BL496">
        <v>0</v>
      </c>
      <c r="BM496">
        <v>0</v>
      </c>
      <c r="BN496">
        <v>0</v>
      </c>
      <c r="BO496">
        <v>0</v>
      </c>
      <c r="BP496">
        <v>0</v>
      </c>
      <c r="BQ496">
        <v>0</v>
      </c>
      <c r="BR496">
        <v>0</v>
      </c>
      <c r="BS496">
        <v>0</v>
      </c>
      <c r="BT496">
        <v>0</v>
      </c>
      <c r="BU496">
        <v>0</v>
      </c>
      <c r="BV496">
        <v>0</v>
      </c>
      <c r="BW496">
        <v>0</v>
      </c>
      <c r="BX496">
        <v>0</v>
      </c>
      <c r="BY496">
        <v>0</v>
      </c>
      <c r="BZ496">
        <v>0</v>
      </c>
      <c r="CA496">
        <v>0</v>
      </c>
      <c r="CB496">
        <v>0</v>
      </c>
      <c r="CC496">
        <v>0</v>
      </c>
      <c r="CD496">
        <v>0</v>
      </c>
      <c r="CE496">
        <v>0</v>
      </c>
      <c r="CF496">
        <v>0</v>
      </c>
      <c r="CG496">
        <v>0</v>
      </c>
      <c r="CH496">
        <v>0</v>
      </c>
      <c r="CI496">
        <v>0</v>
      </c>
      <c r="CJ496">
        <v>0</v>
      </c>
      <c r="CK496">
        <v>0</v>
      </c>
      <c r="CL496">
        <v>0</v>
      </c>
      <c r="CM496">
        <v>0</v>
      </c>
      <c r="CN496">
        <v>0</v>
      </c>
      <c r="CO496">
        <v>0</v>
      </c>
      <c r="CP496">
        <v>0</v>
      </c>
      <c r="CQ496">
        <v>0</v>
      </c>
      <c r="CR496">
        <v>0</v>
      </c>
      <c r="CS496">
        <v>0</v>
      </c>
      <c r="CT496">
        <v>0</v>
      </c>
      <c r="CU496">
        <v>0</v>
      </c>
      <c r="CV496">
        <v>0</v>
      </c>
      <c r="CW496">
        <v>0</v>
      </c>
      <c r="CX496">
        <v>0</v>
      </c>
      <c r="CY496">
        <v>0</v>
      </c>
      <c r="CZ496">
        <v>0</v>
      </c>
      <c r="DA496">
        <v>0</v>
      </c>
      <c r="DB496">
        <v>0</v>
      </c>
      <c r="DC496">
        <v>0</v>
      </c>
      <c r="DD496">
        <v>0</v>
      </c>
      <c r="DE496">
        <v>0</v>
      </c>
      <c r="DF496">
        <v>0</v>
      </c>
      <c r="DG496">
        <v>0</v>
      </c>
      <c r="DH496">
        <v>0</v>
      </c>
      <c r="DI496">
        <v>0</v>
      </c>
      <c r="DJ496">
        <v>0</v>
      </c>
      <c r="DK496">
        <v>0</v>
      </c>
      <c r="DL496">
        <v>0</v>
      </c>
      <c r="DM496">
        <v>0</v>
      </c>
      <c r="DN496">
        <v>0</v>
      </c>
      <c r="DO496">
        <v>0</v>
      </c>
      <c r="DP496">
        <v>0</v>
      </c>
      <c r="DQ496">
        <v>0</v>
      </c>
      <c r="DR496">
        <v>0</v>
      </c>
      <c r="DS496">
        <v>0</v>
      </c>
      <c r="DT496">
        <v>0</v>
      </c>
      <c r="DU496">
        <v>0</v>
      </c>
      <c r="DV496">
        <v>0</v>
      </c>
      <c r="DW496">
        <v>0</v>
      </c>
      <c r="DX496">
        <v>0</v>
      </c>
      <c r="DY496">
        <v>0</v>
      </c>
      <c r="DZ496">
        <v>0</v>
      </c>
      <c r="EA496">
        <v>0</v>
      </c>
      <c r="EB496">
        <v>0</v>
      </c>
      <c r="EC496">
        <v>0</v>
      </c>
      <c r="ED496">
        <v>0</v>
      </c>
      <c r="EE496">
        <v>0</v>
      </c>
      <c r="EF496">
        <v>0</v>
      </c>
      <c r="EG496">
        <v>0</v>
      </c>
      <c r="EH496">
        <v>0</v>
      </c>
      <c r="EI496">
        <v>0</v>
      </c>
      <c r="EJ496">
        <v>0</v>
      </c>
      <c r="EK496">
        <v>0</v>
      </c>
      <c r="EL496">
        <v>0</v>
      </c>
      <c r="EM496">
        <v>0</v>
      </c>
      <c r="EN496">
        <v>0</v>
      </c>
      <c r="EO496">
        <v>0</v>
      </c>
      <c r="EP496">
        <v>0</v>
      </c>
      <c r="EQ496">
        <v>0</v>
      </c>
      <c r="ER496">
        <v>0</v>
      </c>
      <c r="ES496">
        <v>0</v>
      </c>
      <c r="ET496">
        <v>0</v>
      </c>
      <c r="EU496">
        <v>0</v>
      </c>
      <c r="EV496">
        <v>0</v>
      </c>
      <c r="EW496">
        <v>0</v>
      </c>
      <c r="EX496">
        <v>0</v>
      </c>
      <c r="EY496">
        <v>0</v>
      </c>
      <c r="EZ496">
        <v>0</v>
      </c>
      <c r="FA496">
        <v>0</v>
      </c>
      <c r="FB496">
        <v>0</v>
      </c>
      <c r="FC496">
        <v>0</v>
      </c>
      <c r="FD496">
        <v>0</v>
      </c>
      <c r="FE496">
        <v>0</v>
      </c>
      <c r="FF496">
        <v>0</v>
      </c>
      <c r="FG496">
        <v>0</v>
      </c>
      <c r="FH496">
        <v>0</v>
      </c>
      <c r="FI496">
        <v>0</v>
      </c>
      <c r="FJ496">
        <v>0</v>
      </c>
      <c r="FK496">
        <v>0</v>
      </c>
      <c r="FL496">
        <v>0</v>
      </c>
      <c r="FM496">
        <v>0</v>
      </c>
      <c r="FN496">
        <v>0</v>
      </c>
      <c r="FO496">
        <v>0</v>
      </c>
      <c r="FP496">
        <v>0</v>
      </c>
      <c r="FQ496">
        <v>0</v>
      </c>
      <c r="FR496">
        <v>0</v>
      </c>
      <c r="FS496">
        <v>0</v>
      </c>
      <c r="FT496">
        <v>0</v>
      </c>
      <c r="FU496">
        <v>0</v>
      </c>
      <c r="FV496">
        <v>0</v>
      </c>
      <c r="FW496">
        <v>0</v>
      </c>
      <c r="FX496">
        <v>0</v>
      </c>
      <c r="FY496">
        <v>0</v>
      </c>
      <c r="FZ496">
        <v>0</v>
      </c>
      <c r="GA496">
        <v>0</v>
      </c>
      <c r="GB496">
        <v>0</v>
      </c>
      <c r="GC496">
        <v>0</v>
      </c>
      <c r="GD496">
        <v>0</v>
      </c>
      <c r="GE496">
        <v>0</v>
      </c>
      <c r="GF496">
        <v>0</v>
      </c>
      <c r="GG496">
        <v>0</v>
      </c>
      <c r="GH496">
        <v>0</v>
      </c>
      <c r="GI496">
        <v>0</v>
      </c>
      <c r="GJ496">
        <v>0</v>
      </c>
      <c r="GK496">
        <v>0</v>
      </c>
      <c r="GL496">
        <v>0</v>
      </c>
      <c r="GM496">
        <v>0</v>
      </c>
      <c r="GN496">
        <v>0</v>
      </c>
      <c r="GO496">
        <v>0</v>
      </c>
      <c r="GP496">
        <v>0</v>
      </c>
      <c r="GQ496">
        <v>0</v>
      </c>
      <c r="GR496">
        <v>0</v>
      </c>
      <c r="GS496">
        <v>0</v>
      </c>
      <c r="GT496">
        <v>0</v>
      </c>
      <c r="GU496">
        <v>0</v>
      </c>
      <c r="GV496">
        <v>0</v>
      </c>
      <c r="GW496">
        <v>0</v>
      </c>
      <c r="GX496">
        <v>0</v>
      </c>
      <c r="GY496">
        <v>0</v>
      </c>
      <c r="GZ496">
        <v>0</v>
      </c>
      <c r="HA496">
        <v>0</v>
      </c>
      <c r="HB496">
        <v>0</v>
      </c>
      <c r="HC496">
        <v>0</v>
      </c>
      <c r="HD496">
        <v>0</v>
      </c>
      <c r="HE496">
        <v>0</v>
      </c>
      <c r="HF496">
        <v>0</v>
      </c>
      <c r="HG496">
        <v>0</v>
      </c>
      <c r="HH496">
        <v>0</v>
      </c>
      <c r="HI496">
        <v>0</v>
      </c>
      <c r="HJ496">
        <v>0</v>
      </c>
      <c r="HK496">
        <v>0</v>
      </c>
      <c r="HL496">
        <v>0</v>
      </c>
      <c r="HM496">
        <v>0</v>
      </c>
      <c r="HN496">
        <v>0</v>
      </c>
      <c r="HO496">
        <v>0</v>
      </c>
      <c r="HP496">
        <v>0</v>
      </c>
      <c r="HQ496">
        <v>0</v>
      </c>
      <c r="HR496">
        <v>0</v>
      </c>
      <c r="HS496">
        <v>0</v>
      </c>
      <c r="HT496">
        <v>0</v>
      </c>
      <c r="HU496">
        <v>0</v>
      </c>
      <c r="HV496">
        <v>0</v>
      </c>
      <c r="HW496">
        <v>0</v>
      </c>
      <c r="HX496">
        <v>0</v>
      </c>
      <c r="HY496">
        <v>0</v>
      </c>
      <c r="HZ496">
        <v>0</v>
      </c>
      <c r="IA496">
        <v>0</v>
      </c>
      <c r="IB496">
        <v>0</v>
      </c>
      <c r="IC496">
        <v>0</v>
      </c>
      <c r="ID496">
        <v>0</v>
      </c>
      <c r="IE496">
        <v>0</v>
      </c>
      <c r="IF496">
        <v>0</v>
      </c>
      <c r="IG496">
        <v>0</v>
      </c>
      <c r="IH496">
        <v>0</v>
      </c>
      <c r="II496">
        <v>0</v>
      </c>
      <c r="IJ496">
        <v>0</v>
      </c>
      <c r="IK496">
        <v>0</v>
      </c>
      <c r="IL496">
        <v>0</v>
      </c>
      <c r="IM496">
        <v>0</v>
      </c>
      <c r="IN496">
        <v>0</v>
      </c>
      <c r="IO496">
        <v>0</v>
      </c>
      <c r="IP496">
        <v>0</v>
      </c>
      <c r="IQ496">
        <v>0</v>
      </c>
      <c r="IR496">
        <v>0</v>
      </c>
      <c r="IS496">
        <v>0</v>
      </c>
      <c r="IT496">
        <v>0</v>
      </c>
      <c r="IU496">
        <v>0</v>
      </c>
      <c r="IV496">
        <v>0</v>
      </c>
      <c r="IW496">
        <v>0</v>
      </c>
      <c r="IX496">
        <v>0</v>
      </c>
      <c r="IY496">
        <v>0</v>
      </c>
      <c r="IZ496">
        <v>0</v>
      </c>
      <c r="JA496">
        <v>0</v>
      </c>
      <c r="JB496">
        <v>0</v>
      </c>
      <c r="JC496">
        <v>0</v>
      </c>
      <c r="JD496">
        <v>0</v>
      </c>
      <c r="JE496">
        <v>0</v>
      </c>
      <c r="JF496">
        <v>0</v>
      </c>
      <c r="JG496">
        <v>0</v>
      </c>
      <c r="JH496">
        <v>0</v>
      </c>
      <c r="JI496">
        <v>0</v>
      </c>
      <c r="JJ496">
        <v>0</v>
      </c>
      <c r="JK496">
        <v>0</v>
      </c>
      <c r="JL496">
        <v>0</v>
      </c>
      <c r="JM496">
        <v>0</v>
      </c>
      <c r="JN496">
        <v>0</v>
      </c>
      <c r="JO496">
        <v>0</v>
      </c>
      <c r="JP496">
        <v>0</v>
      </c>
      <c r="JQ496">
        <v>0</v>
      </c>
      <c r="JR496">
        <v>0</v>
      </c>
      <c r="JS496">
        <v>0</v>
      </c>
      <c r="JT496">
        <v>0</v>
      </c>
      <c r="JU496">
        <v>0</v>
      </c>
      <c r="JV496">
        <v>0</v>
      </c>
      <c r="JW496">
        <v>0</v>
      </c>
      <c r="JX496">
        <v>0</v>
      </c>
      <c r="JY496">
        <v>0</v>
      </c>
      <c r="JZ496">
        <v>0</v>
      </c>
      <c r="KA496">
        <v>0</v>
      </c>
      <c r="KB496">
        <v>0</v>
      </c>
      <c r="KC496">
        <v>0</v>
      </c>
      <c r="KD496">
        <v>0</v>
      </c>
      <c r="KE496">
        <v>0</v>
      </c>
      <c r="KF496">
        <v>0</v>
      </c>
      <c r="KG496">
        <v>0</v>
      </c>
      <c r="KH496">
        <v>0</v>
      </c>
      <c r="KI496">
        <v>0</v>
      </c>
      <c r="KJ496">
        <v>0</v>
      </c>
      <c r="KK496">
        <v>0</v>
      </c>
      <c r="KL496">
        <v>0</v>
      </c>
      <c r="KM496">
        <v>0</v>
      </c>
      <c r="KN496">
        <v>0</v>
      </c>
      <c r="KO496">
        <v>0</v>
      </c>
      <c r="KP496">
        <v>0</v>
      </c>
      <c r="KQ496">
        <v>0</v>
      </c>
      <c r="KR496">
        <v>0</v>
      </c>
      <c r="KS496">
        <v>0</v>
      </c>
      <c r="KT496">
        <v>0</v>
      </c>
      <c r="KU496">
        <v>0</v>
      </c>
      <c r="KV496">
        <v>0</v>
      </c>
      <c r="KW496">
        <v>0</v>
      </c>
      <c r="KX496">
        <v>0</v>
      </c>
      <c r="KY496">
        <v>0</v>
      </c>
      <c r="KZ496">
        <v>0</v>
      </c>
      <c r="LA496">
        <v>0</v>
      </c>
      <c r="LB496">
        <v>0</v>
      </c>
      <c r="LC496">
        <v>0</v>
      </c>
      <c r="LD496">
        <v>0</v>
      </c>
      <c r="LE496">
        <v>0</v>
      </c>
      <c r="LF496">
        <v>0</v>
      </c>
      <c r="LG496">
        <v>0</v>
      </c>
      <c r="LH496">
        <v>0</v>
      </c>
      <c r="LI496">
        <v>0</v>
      </c>
      <c r="LJ496">
        <v>0</v>
      </c>
      <c r="LK496">
        <v>0</v>
      </c>
      <c r="LL496">
        <v>0</v>
      </c>
      <c r="LM496">
        <v>0</v>
      </c>
      <c r="LN496">
        <v>0</v>
      </c>
      <c r="LO496">
        <v>0</v>
      </c>
      <c r="LP496">
        <v>0</v>
      </c>
      <c r="LQ496">
        <v>0</v>
      </c>
      <c r="LR496">
        <v>0</v>
      </c>
      <c r="LS496">
        <v>0</v>
      </c>
      <c r="LT496">
        <v>0</v>
      </c>
      <c r="LU496">
        <v>0</v>
      </c>
      <c r="LV496">
        <v>0</v>
      </c>
      <c r="LW496">
        <v>0</v>
      </c>
      <c r="LX496">
        <v>0</v>
      </c>
      <c r="LY496">
        <v>0</v>
      </c>
      <c r="LZ496">
        <v>0</v>
      </c>
      <c r="MA496">
        <v>0</v>
      </c>
      <c r="MB496">
        <v>0</v>
      </c>
      <c r="MC496">
        <v>0</v>
      </c>
      <c r="MD496">
        <v>0</v>
      </c>
      <c r="ME496">
        <v>0</v>
      </c>
      <c r="MF496">
        <v>0</v>
      </c>
      <c r="MG496">
        <v>0</v>
      </c>
      <c r="MH496">
        <v>0</v>
      </c>
      <c r="MI496">
        <v>0</v>
      </c>
      <c r="MJ496">
        <v>0</v>
      </c>
      <c r="MK496">
        <v>0</v>
      </c>
      <c r="ML496">
        <v>0</v>
      </c>
      <c r="MM496">
        <v>0</v>
      </c>
      <c r="MN496">
        <v>0</v>
      </c>
      <c r="MO496">
        <v>0</v>
      </c>
      <c r="MP496">
        <v>0</v>
      </c>
      <c r="MQ496">
        <v>0</v>
      </c>
      <c r="MR496">
        <v>0</v>
      </c>
      <c r="MS496">
        <v>0</v>
      </c>
      <c r="MT496">
        <v>0</v>
      </c>
      <c r="MU496">
        <v>0</v>
      </c>
      <c r="MV496">
        <v>0</v>
      </c>
      <c r="MW496">
        <v>0</v>
      </c>
      <c r="MX496">
        <v>0</v>
      </c>
      <c r="MY496">
        <v>0</v>
      </c>
      <c r="MZ496">
        <v>0</v>
      </c>
      <c r="NA496">
        <v>0</v>
      </c>
      <c r="NB496">
        <v>0</v>
      </c>
      <c r="NC496">
        <v>0</v>
      </c>
      <c r="ND496">
        <v>0</v>
      </c>
      <c r="NE496">
        <v>0</v>
      </c>
    </row>
    <row r="497" spans="41:369" x14ac:dyDescent="0.45">
      <c r="AO497">
        <v>0</v>
      </c>
      <c r="AP497">
        <v>0</v>
      </c>
      <c r="AQ497">
        <v>0</v>
      </c>
      <c r="AR497">
        <v>0</v>
      </c>
      <c r="AS497">
        <v>0</v>
      </c>
      <c r="AT497">
        <v>0</v>
      </c>
      <c r="AU497">
        <v>0</v>
      </c>
      <c r="AV497">
        <v>0</v>
      </c>
      <c r="AW497" t="str">
        <v/>
      </c>
      <c r="AX497">
        <v>255</v>
      </c>
      <c r="AY497" s="5" t="str">
        <v/>
      </c>
      <c r="AZ497">
        <v>0</v>
      </c>
      <c r="BA497">
        <v>0</v>
      </c>
      <c r="BB497">
        <v>0</v>
      </c>
      <c r="BC497">
        <v>0</v>
      </c>
      <c r="BD497">
        <v>0</v>
      </c>
      <c r="BE497">
        <v>0</v>
      </c>
      <c r="BF497">
        <v>0</v>
      </c>
      <c r="BG497">
        <v>0</v>
      </c>
      <c r="BH497">
        <v>0</v>
      </c>
      <c r="BI497" t="str">
        <v/>
      </c>
      <c r="BK497">
        <v>491</v>
      </c>
      <c r="BL497">
        <v>0</v>
      </c>
      <c r="BM497">
        <v>0</v>
      </c>
      <c r="BN497">
        <v>0</v>
      </c>
      <c r="BO497">
        <v>0</v>
      </c>
      <c r="BP497">
        <v>0</v>
      </c>
      <c r="BQ497">
        <v>0</v>
      </c>
      <c r="BR497">
        <v>0</v>
      </c>
      <c r="BS497">
        <v>0</v>
      </c>
      <c r="BT497">
        <v>0</v>
      </c>
      <c r="BU497">
        <v>0</v>
      </c>
      <c r="BV497">
        <v>0</v>
      </c>
      <c r="BW497">
        <v>0</v>
      </c>
      <c r="BX497">
        <v>0</v>
      </c>
      <c r="BY497">
        <v>0</v>
      </c>
      <c r="BZ497">
        <v>0</v>
      </c>
      <c r="CA497">
        <v>0</v>
      </c>
      <c r="CB497">
        <v>0</v>
      </c>
      <c r="CC497">
        <v>0</v>
      </c>
      <c r="CD497">
        <v>0</v>
      </c>
      <c r="CE497">
        <v>0</v>
      </c>
      <c r="CF497">
        <v>0</v>
      </c>
      <c r="CG497">
        <v>0</v>
      </c>
      <c r="CH497">
        <v>0</v>
      </c>
      <c r="CI497">
        <v>0</v>
      </c>
      <c r="CJ497">
        <v>0</v>
      </c>
      <c r="CK497">
        <v>0</v>
      </c>
      <c r="CL497">
        <v>0</v>
      </c>
      <c r="CM497">
        <v>0</v>
      </c>
      <c r="CN497">
        <v>0</v>
      </c>
      <c r="CO497">
        <v>0</v>
      </c>
      <c r="CP497">
        <v>0</v>
      </c>
      <c r="CQ497">
        <v>0</v>
      </c>
      <c r="CR497">
        <v>0</v>
      </c>
      <c r="CS497">
        <v>0</v>
      </c>
      <c r="CT497">
        <v>0</v>
      </c>
      <c r="CU497">
        <v>0</v>
      </c>
      <c r="CV497">
        <v>0</v>
      </c>
      <c r="CW497">
        <v>0</v>
      </c>
      <c r="CX497">
        <v>0</v>
      </c>
      <c r="CY497">
        <v>0</v>
      </c>
      <c r="CZ497">
        <v>0</v>
      </c>
      <c r="DA497">
        <v>0</v>
      </c>
      <c r="DB497">
        <v>0</v>
      </c>
      <c r="DC497">
        <v>0</v>
      </c>
      <c r="DD497">
        <v>0</v>
      </c>
      <c r="DE497">
        <v>0</v>
      </c>
      <c r="DF497">
        <v>0</v>
      </c>
      <c r="DG497">
        <v>0</v>
      </c>
      <c r="DH497">
        <v>0</v>
      </c>
      <c r="DI497">
        <v>0</v>
      </c>
      <c r="DJ497">
        <v>0</v>
      </c>
      <c r="DK497">
        <v>0</v>
      </c>
      <c r="DL497">
        <v>0</v>
      </c>
      <c r="DM497">
        <v>0</v>
      </c>
      <c r="DN497">
        <v>0</v>
      </c>
      <c r="DO497">
        <v>0</v>
      </c>
      <c r="DP497">
        <v>0</v>
      </c>
      <c r="DQ497">
        <v>0</v>
      </c>
      <c r="DR497">
        <v>0</v>
      </c>
      <c r="DS497">
        <v>0</v>
      </c>
      <c r="DT497">
        <v>0</v>
      </c>
      <c r="DU497">
        <v>0</v>
      </c>
      <c r="DV497">
        <v>0</v>
      </c>
      <c r="DW497">
        <v>0</v>
      </c>
      <c r="DX497">
        <v>0</v>
      </c>
      <c r="DY497">
        <v>0</v>
      </c>
      <c r="DZ497">
        <v>0</v>
      </c>
      <c r="EA497">
        <v>0</v>
      </c>
      <c r="EB497">
        <v>0</v>
      </c>
      <c r="EC497">
        <v>0</v>
      </c>
      <c r="ED497">
        <v>0</v>
      </c>
      <c r="EE497">
        <v>0</v>
      </c>
      <c r="EF497">
        <v>0</v>
      </c>
      <c r="EG497">
        <v>0</v>
      </c>
      <c r="EH497">
        <v>0</v>
      </c>
      <c r="EI497">
        <v>0</v>
      </c>
      <c r="EJ497">
        <v>0</v>
      </c>
      <c r="EK497">
        <v>0</v>
      </c>
      <c r="EL497">
        <v>0</v>
      </c>
      <c r="EM497">
        <v>0</v>
      </c>
      <c r="EN497">
        <v>0</v>
      </c>
      <c r="EO497">
        <v>0</v>
      </c>
      <c r="EP497">
        <v>0</v>
      </c>
      <c r="EQ497">
        <v>0</v>
      </c>
      <c r="ER497">
        <v>0</v>
      </c>
      <c r="ES497">
        <v>0</v>
      </c>
      <c r="ET497">
        <v>0</v>
      </c>
      <c r="EU497">
        <v>0</v>
      </c>
      <c r="EV497">
        <v>0</v>
      </c>
      <c r="EW497">
        <v>0</v>
      </c>
      <c r="EX497">
        <v>0</v>
      </c>
      <c r="EY497">
        <v>0</v>
      </c>
      <c r="EZ497">
        <v>0</v>
      </c>
      <c r="FA497">
        <v>0</v>
      </c>
      <c r="FB497">
        <v>0</v>
      </c>
      <c r="FC497">
        <v>0</v>
      </c>
      <c r="FD497">
        <v>0</v>
      </c>
      <c r="FE497">
        <v>0</v>
      </c>
      <c r="FF497">
        <v>0</v>
      </c>
      <c r="FG497">
        <v>0</v>
      </c>
      <c r="FH497">
        <v>0</v>
      </c>
      <c r="FI497">
        <v>0</v>
      </c>
      <c r="FJ497">
        <v>0</v>
      </c>
      <c r="FK497">
        <v>0</v>
      </c>
      <c r="FL497">
        <v>0</v>
      </c>
      <c r="FM497">
        <v>0</v>
      </c>
      <c r="FN497">
        <v>0</v>
      </c>
      <c r="FO497">
        <v>0</v>
      </c>
      <c r="FP497">
        <v>0</v>
      </c>
      <c r="FQ497">
        <v>0</v>
      </c>
      <c r="FR497">
        <v>0</v>
      </c>
      <c r="FS497">
        <v>0</v>
      </c>
      <c r="FT497">
        <v>0</v>
      </c>
      <c r="FU497">
        <v>0</v>
      </c>
      <c r="FV497">
        <v>0</v>
      </c>
      <c r="FW497">
        <v>0</v>
      </c>
      <c r="FX497">
        <v>0</v>
      </c>
      <c r="FY497">
        <v>0</v>
      </c>
      <c r="FZ497">
        <v>0</v>
      </c>
      <c r="GA497">
        <v>0</v>
      </c>
      <c r="GB497">
        <v>0</v>
      </c>
      <c r="GC497">
        <v>0</v>
      </c>
      <c r="GD497">
        <v>0</v>
      </c>
      <c r="GE497">
        <v>0</v>
      </c>
      <c r="GF497">
        <v>0</v>
      </c>
      <c r="GG497">
        <v>0</v>
      </c>
      <c r="GH497">
        <v>0</v>
      </c>
      <c r="GI497">
        <v>0</v>
      </c>
      <c r="GJ497">
        <v>0</v>
      </c>
      <c r="GK497">
        <v>0</v>
      </c>
      <c r="GL497">
        <v>0</v>
      </c>
      <c r="GM497">
        <v>0</v>
      </c>
      <c r="GN497">
        <v>0</v>
      </c>
      <c r="GO497">
        <v>0</v>
      </c>
      <c r="GP497">
        <v>0</v>
      </c>
      <c r="GQ497">
        <v>0</v>
      </c>
      <c r="GR497">
        <v>0</v>
      </c>
      <c r="GS497">
        <v>0</v>
      </c>
      <c r="GT497">
        <v>0</v>
      </c>
      <c r="GU497">
        <v>0</v>
      </c>
      <c r="GV497">
        <v>0</v>
      </c>
      <c r="GW497">
        <v>0</v>
      </c>
      <c r="GX497">
        <v>0</v>
      </c>
      <c r="GY497">
        <v>0</v>
      </c>
      <c r="GZ497">
        <v>0</v>
      </c>
      <c r="HA497">
        <v>0</v>
      </c>
      <c r="HB497">
        <v>0</v>
      </c>
      <c r="HC497">
        <v>0</v>
      </c>
      <c r="HD497">
        <v>0</v>
      </c>
      <c r="HE497">
        <v>0</v>
      </c>
      <c r="HF497">
        <v>0</v>
      </c>
      <c r="HG497">
        <v>0</v>
      </c>
      <c r="HH497">
        <v>0</v>
      </c>
      <c r="HI497">
        <v>0</v>
      </c>
      <c r="HJ497">
        <v>0</v>
      </c>
      <c r="HK497">
        <v>0</v>
      </c>
      <c r="HL497">
        <v>0</v>
      </c>
      <c r="HM497">
        <v>0</v>
      </c>
      <c r="HN497">
        <v>0</v>
      </c>
      <c r="HO497">
        <v>0</v>
      </c>
      <c r="HP497">
        <v>0</v>
      </c>
      <c r="HQ497">
        <v>0</v>
      </c>
      <c r="HR497">
        <v>0</v>
      </c>
      <c r="HS497">
        <v>0</v>
      </c>
      <c r="HT497">
        <v>0</v>
      </c>
      <c r="HU497">
        <v>0</v>
      </c>
      <c r="HV497">
        <v>0</v>
      </c>
      <c r="HW497">
        <v>0</v>
      </c>
      <c r="HX497">
        <v>0</v>
      </c>
      <c r="HY497">
        <v>0</v>
      </c>
      <c r="HZ497">
        <v>0</v>
      </c>
      <c r="IA497">
        <v>0</v>
      </c>
      <c r="IB497">
        <v>0</v>
      </c>
      <c r="IC497">
        <v>0</v>
      </c>
      <c r="ID497">
        <v>0</v>
      </c>
      <c r="IE497">
        <v>0</v>
      </c>
      <c r="IF497">
        <v>0</v>
      </c>
      <c r="IG497">
        <v>0</v>
      </c>
      <c r="IH497">
        <v>0</v>
      </c>
      <c r="II497">
        <v>0</v>
      </c>
      <c r="IJ497">
        <v>0</v>
      </c>
      <c r="IK497">
        <v>0</v>
      </c>
      <c r="IL497">
        <v>0</v>
      </c>
      <c r="IM497">
        <v>0</v>
      </c>
      <c r="IN497">
        <v>0</v>
      </c>
      <c r="IO497">
        <v>0</v>
      </c>
      <c r="IP497">
        <v>0</v>
      </c>
      <c r="IQ497">
        <v>0</v>
      </c>
      <c r="IR497">
        <v>0</v>
      </c>
      <c r="IS497">
        <v>0</v>
      </c>
      <c r="IT497">
        <v>0</v>
      </c>
      <c r="IU497">
        <v>0</v>
      </c>
      <c r="IV497">
        <v>0</v>
      </c>
      <c r="IW497">
        <v>0</v>
      </c>
      <c r="IX497">
        <v>0</v>
      </c>
      <c r="IY497">
        <v>0</v>
      </c>
      <c r="IZ497">
        <v>0</v>
      </c>
      <c r="JA497">
        <v>0</v>
      </c>
      <c r="JB497">
        <v>0</v>
      </c>
      <c r="JC497">
        <v>0</v>
      </c>
      <c r="JD497">
        <v>0</v>
      </c>
      <c r="JE497">
        <v>0</v>
      </c>
      <c r="JF497">
        <v>0</v>
      </c>
      <c r="JG497">
        <v>0</v>
      </c>
      <c r="JH497">
        <v>0</v>
      </c>
      <c r="JI497">
        <v>0</v>
      </c>
      <c r="JJ497">
        <v>0</v>
      </c>
      <c r="JK497">
        <v>0</v>
      </c>
      <c r="JL497">
        <v>0</v>
      </c>
      <c r="JM497">
        <v>0</v>
      </c>
      <c r="JN497">
        <v>0</v>
      </c>
      <c r="JO497">
        <v>0</v>
      </c>
      <c r="JP497">
        <v>0</v>
      </c>
      <c r="JQ497">
        <v>0</v>
      </c>
      <c r="JR497">
        <v>0</v>
      </c>
      <c r="JS497">
        <v>0</v>
      </c>
      <c r="JT497">
        <v>0</v>
      </c>
      <c r="JU497">
        <v>0</v>
      </c>
      <c r="JV497">
        <v>0</v>
      </c>
      <c r="JW497">
        <v>0</v>
      </c>
      <c r="JX497">
        <v>0</v>
      </c>
      <c r="JY497">
        <v>0</v>
      </c>
      <c r="JZ497">
        <v>0</v>
      </c>
      <c r="KA497">
        <v>0</v>
      </c>
      <c r="KB497">
        <v>0</v>
      </c>
      <c r="KC497">
        <v>0</v>
      </c>
      <c r="KD497">
        <v>0</v>
      </c>
      <c r="KE497">
        <v>0</v>
      </c>
      <c r="KF497">
        <v>0</v>
      </c>
      <c r="KG497">
        <v>0</v>
      </c>
      <c r="KH497">
        <v>0</v>
      </c>
      <c r="KI497">
        <v>0</v>
      </c>
      <c r="KJ497">
        <v>0</v>
      </c>
      <c r="KK497">
        <v>0</v>
      </c>
      <c r="KL497">
        <v>0</v>
      </c>
      <c r="KM497">
        <v>0</v>
      </c>
      <c r="KN497">
        <v>0</v>
      </c>
      <c r="KO497">
        <v>0</v>
      </c>
      <c r="KP497">
        <v>0</v>
      </c>
      <c r="KQ497">
        <v>0</v>
      </c>
      <c r="KR497">
        <v>0</v>
      </c>
      <c r="KS497">
        <v>0</v>
      </c>
      <c r="KT497">
        <v>0</v>
      </c>
      <c r="KU497">
        <v>0</v>
      </c>
      <c r="KV497">
        <v>0</v>
      </c>
      <c r="KW497">
        <v>0</v>
      </c>
      <c r="KX497">
        <v>0</v>
      </c>
      <c r="KY497">
        <v>0</v>
      </c>
      <c r="KZ497">
        <v>0</v>
      </c>
      <c r="LA497">
        <v>0</v>
      </c>
      <c r="LB497">
        <v>0</v>
      </c>
      <c r="LC497">
        <v>0</v>
      </c>
      <c r="LD497">
        <v>0</v>
      </c>
      <c r="LE497">
        <v>0</v>
      </c>
      <c r="LF497">
        <v>0</v>
      </c>
      <c r="LG497">
        <v>0</v>
      </c>
      <c r="LH497">
        <v>0</v>
      </c>
      <c r="LI497">
        <v>0</v>
      </c>
      <c r="LJ497">
        <v>0</v>
      </c>
      <c r="LK497">
        <v>0</v>
      </c>
      <c r="LL497">
        <v>0</v>
      </c>
      <c r="LM497">
        <v>0</v>
      </c>
      <c r="LN497">
        <v>0</v>
      </c>
      <c r="LO497">
        <v>0</v>
      </c>
      <c r="LP497">
        <v>0</v>
      </c>
      <c r="LQ497">
        <v>0</v>
      </c>
      <c r="LR497">
        <v>0</v>
      </c>
      <c r="LS497">
        <v>0</v>
      </c>
      <c r="LT497">
        <v>0</v>
      </c>
      <c r="LU497">
        <v>0</v>
      </c>
      <c r="LV497">
        <v>0</v>
      </c>
      <c r="LW497">
        <v>0</v>
      </c>
      <c r="LX497">
        <v>0</v>
      </c>
      <c r="LY497">
        <v>0</v>
      </c>
      <c r="LZ497">
        <v>0</v>
      </c>
      <c r="MA497">
        <v>0</v>
      </c>
      <c r="MB497">
        <v>0</v>
      </c>
      <c r="MC497">
        <v>0</v>
      </c>
      <c r="MD497">
        <v>0</v>
      </c>
      <c r="ME497">
        <v>0</v>
      </c>
      <c r="MF497">
        <v>0</v>
      </c>
      <c r="MG497">
        <v>0</v>
      </c>
      <c r="MH497">
        <v>0</v>
      </c>
      <c r="MI497">
        <v>0</v>
      </c>
      <c r="MJ497">
        <v>0</v>
      </c>
      <c r="MK497">
        <v>0</v>
      </c>
      <c r="ML497">
        <v>0</v>
      </c>
      <c r="MM497">
        <v>0</v>
      </c>
      <c r="MN497">
        <v>0</v>
      </c>
      <c r="MO497">
        <v>0</v>
      </c>
      <c r="MP497">
        <v>0</v>
      </c>
      <c r="MQ497">
        <v>0</v>
      </c>
      <c r="MR497">
        <v>0</v>
      </c>
      <c r="MS497">
        <v>0</v>
      </c>
      <c r="MT497">
        <v>0</v>
      </c>
      <c r="MU497">
        <v>0</v>
      </c>
      <c r="MV497">
        <v>0</v>
      </c>
      <c r="MW497">
        <v>0</v>
      </c>
      <c r="MX497">
        <v>0</v>
      </c>
      <c r="MY497">
        <v>0</v>
      </c>
      <c r="MZ497">
        <v>0</v>
      </c>
      <c r="NA497">
        <v>0</v>
      </c>
      <c r="NB497">
        <v>0</v>
      </c>
      <c r="NC497">
        <v>0</v>
      </c>
      <c r="ND497">
        <v>0</v>
      </c>
      <c r="NE497">
        <v>0</v>
      </c>
    </row>
    <row r="498" spans="41:369" x14ac:dyDescent="0.45">
      <c r="AO498">
        <v>0</v>
      </c>
      <c r="AP498">
        <v>0</v>
      </c>
      <c r="AQ498">
        <v>0</v>
      </c>
      <c r="AR498">
        <v>0</v>
      </c>
      <c r="AS498">
        <v>0</v>
      </c>
      <c r="AT498">
        <v>0</v>
      </c>
      <c r="AU498">
        <v>0</v>
      </c>
      <c r="AV498">
        <v>0</v>
      </c>
      <c r="AW498" t="str">
        <v/>
      </c>
      <c r="AX498">
        <v>255</v>
      </c>
      <c r="AY498" s="5" t="str">
        <v/>
      </c>
      <c r="AZ498">
        <v>0</v>
      </c>
      <c r="BA498">
        <v>0</v>
      </c>
      <c r="BB498">
        <v>0</v>
      </c>
      <c r="BC498">
        <v>0</v>
      </c>
      <c r="BD498">
        <v>0</v>
      </c>
      <c r="BE498">
        <v>0</v>
      </c>
      <c r="BF498">
        <v>0</v>
      </c>
      <c r="BG498">
        <v>0</v>
      </c>
      <c r="BH498">
        <v>0</v>
      </c>
      <c r="BI498" t="str">
        <v/>
      </c>
      <c r="BK498">
        <v>492</v>
      </c>
      <c r="BL498">
        <v>0</v>
      </c>
      <c r="BM498">
        <v>0</v>
      </c>
      <c r="BN498">
        <v>0</v>
      </c>
      <c r="BO498">
        <v>0</v>
      </c>
      <c r="BP498">
        <v>0</v>
      </c>
      <c r="BQ498">
        <v>0</v>
      </c>
      <c r="BR498">
        <v>0</v>
      </c>
      <c r="BS498">
        <v>0</v>
      </c>
      <c r="BT498">
        <v>0</v>
      </c>
      <c r="BU498">
        <v>0</v>
      </c>
      <c r="BV498">
        <v>0</v>
      </c>
      <c r="BW498">
        <v>0</v>
      </c>
      <c r="BX498">
        <v>0</v>
      </c>
      <c r="BY498">
        <v>0</v>
      </c>
      <c r="BZ498">
        <v>0</v>
      </c>
      <c r="CA498">
        <v>0</v>
      </c>
      <c r="CB498">
        <v>0</v>
      </c>
      <c r="CC498">
        <v>0</v>
      </c>
      <c r="CD498">
        <v>0</v>
      </c>
      <c r="CE498">
        <v>0</v>
      </c>
      <c r="CF498">
        <v>0</v>
      </c>
      <c r="CG498">
        <v>0</v>
      </c>
      <c r="CH498">
        <v>0</v>
      </c>
      <c r="CI498">
        <v>0</v>
      </c>
      <c r="CJ498">
        <v>0</v>
      </c>
      <c r="CK498">
        <v>0</v>
      </c>
      <c r="CL498">
        <v>0</v>
      </c>
      <c r="CM498">
        <v>0</v>
      </c>
      <c r="CN498">
        <v>0</v>
      </c>
      <c r="CO498">
        <v>0</v>
      </c>
      <c r="CP498">
        <v>0</v>
      </c>
      <c r="CQ498">
        <v>0</v>
      </c>
      <c r="CR498">
        <v>0</v>
      </c>
      <c r="CS498">
        <v>0</v>
      </c>
      <c r="CT498">
        <v>0</v>
      </c>
      <c r="CU498">
        <v>0</v>
      </c>
      <c r="CV498">
        <v>0</v>
      </c>
      <c r="CW498">
        <v>0</v>
      </c>
      <c r="CX498">
        <v>0</v>
      </c>
      <c r="CY498">
        <v>0</v>
      </c>
      <c r="CZ498">
        <v>0</v>
      </c>
      <c r="DA498">
        <v>0</v>
      </c>
      <c r="DB498">
        <v>0</v>
      </c>
      <c r="DC498">
        <v>0</v>
      </c>
      <c r="DD498">
        <v>0</v>
      </c>
      <c r="DE498">
        <v>0</v>
      </c>
      <c r="DF498">
        <v>0</v>
      </c>
      <c r="DG498">
        <v>0</v>
      </c>
      <c r="DH498">
        <v>0</v>
      </c>
      <c r="DI498">
        <v>0</v>
      </c>
      <c r="DJ498">
        <v>0</v>
      </c>
      <c r="DK498">
        <v>0</v>
      </c>
      <c r="DL498">
        <v>0</v>
      </c>
      <c r="DM498">
        <v>0</v>
      </c>
      <c r="DN498">
        <v>0</v>
      </c>
      <c r="DO498">
        <v>0</v>
      </c>
      <c r="DP498">
        <v>0</v>
      </c>
      <c r="DQ498">
        <v>0</v>
      </c>
      <c r="DR498">
        <v>0</v>
      </c>
      <c r="DS498">
        <v>0</v>
      </c>
      <c r="DT498">
        <v>0</v>
      </c>
      <c r="DU498">
        <v>0</v>
      </c>
      <c r="DV498">
        <v>0</v>
      </c>
      <c r="DW498">
        <v>0</v>
      </c>
      <c r="DX498">
        <v>0</v>
      </c>
      <c r="DY498">
        <v>0</v>
      </c>
      <c r="DZ498">
        <v>0</v>
      </c>
      <c r="EA498">
        <v>0</v>
      </c>
      <c r="EB498">
        <v>0</v>
      </c>
      <c r="EC498">
        <v>0</v>
      </c>
      <c r="ED498">
        <v>0</v>
      </c>
      <c r="EE498">
        <v>0</v>
      </c>
      <c r="EF498">
        <v>0</v>
      </c>
      <c r="EG498">
        <v>0</v>
      </c>
      <c r="EH498">
        <v>0</v>
      </c>
      <c r="EI498">
        <v>0</v>
      </c>
      <c r="EJ498">
        <v>0</v>
      </c>
      <c r="EK498">
        <v>0</v>
      </c>
      <c r="EL498">
        <v>0</v>
      </c>
      <c r="EM498">
        <v>0</v>
      </c>
      <c r="EN498">
        <v>0</v>
      </c>
      <c r="EO498">
        <v>0</v>
      </c>
      <c r="EP498">
        <v>0</v>
      </c>
      <c r="EQ498">
        <v>0</v>
      </c>
      <c r="ER498">
        <v>0</v>
      </c>
      <c r="ES498">
        <v>0</v>
      </c>
      <c r="ET498">
        <v>0</v>
      </c>
      <c r="EU498">
        <v>0</v>
      </c>
      <c r="EV498">
        <v>0</v>
      </c>
      <c r="EW498">
        <v>0</v>
      </c>
      <c r="EX498">
        <v>0</v>
      </c>
      <c r="EY498">
        <v>0</v>
      </c>
      <c r="EZ498">
        <v>0</v>
      </c>
      <c r="FA498">
        <v>0</v>
      </c>
      <c r="FB498">
        <v>0</v>
      </c>
      <c r="FC498">
        <v>0</v>
      </c>
      <c r="FD498">
        <v>0</v>
      </c>
      <c r="FE498">
        <v>0</v>
      </c>
      <c r="FF498">
        <v>0</v>
      </c>
      <c r="FG498">
        <v>0</v>
      </c>
      <c r="FH498">
        <v>0</v>
      </c>
      <c r="FI498">
        <v>0</v>
      </c>
      <c r="FJ498">
        <v>0</v>
      </c>
      <c r="FK498">
        <v>0</v>
      </c>
      <c r="FL498">
        <v>0</v>
      </c>
      <c r="FM498">
        <v>0</v>
      </c>
      <c r="FN498">
        <v>0</v>
      </c>
      <c r="FO498">
        <v>0</v>
      </c>
      <c r="FP498">
        <v>0</v>
      </c>
      <c r="FQ498">
        <v>0</v>
      </c>
      <c r="FR498">
        <v>0</v>
      </c>
      <c r="FS498">
        <v>0</v>
      </c>
      <c r="FT498">
        <v>0</v>
      </c>
      <c r="FU498">
        <v>0</v>
      </c>
      <c r="FV498">
        <v>0</v>
      </c>
      <c r="FW498">
        <v>0</v>
      </c>
      <c r="FX498">
        <v>0</v>
      </c>
      <c r="FY498">
        <v>0</v>
      </c>
      <c r="FZ498">
        <v>0</v>
      </c>
      <c r="GA498">
        <v>0</v>
      </c>
      <c r="GB498">
        <v>0</v>
      </c>
      <c r="GC498">
        <v>0</v>
      </c>
      <c r="GD498">
        <v>0</v>
      </c>
      <c r="GE498">
        <v>0</v>
      </c>
      <c r="GF498">
        <v>0</v>
      </c>
      <c r="GG498">
        <v>0</v>
      </c>
      <c r="GH498">
        <v>0</v>
      </c>
      <c r="GI498">
        <v>0</v>
      </c>
      <c r="GJ498">
        <v>0</v>
      </c>
      <c r="GK498">
        <v>0</v>
      </c>
      <c r="GL498">
        <v>0</v>
      </c>
      <c r="GM498">
        <v>0</v>
      </c>
      <c r="GN498">
        <v>0</v>
      </c>
      <c r="GO498">
        <v>0</v>
      </c>
      <c r="GP498">
        <v>0</v>
      </c>
      <c r="GQ498">
        <v>0</v>
      </c>
      <c r="GR498">
        <v>0</v>
      </c>
      <c r="GS498">
        <v>0</v>
      </c>
      <c r="GT498">
        <v>0</v>
      </c>
      <c r="GU498">
        <v>0</v>
      </c>
      <c r="GV498">
        <v>0</v>
      </c>
      <c r="GW498">
        <v>0</v>
      </c>
      <c r="GX498">
        <v>0</v>
      </c>
      <c r="GY498">
        <v>0</v>
      </c>
      <c r="GZ498">
        <v>0</v>
      </c>
      <c r="HA498">
        <v>0</v>
      </c>
      <c r="HB498">
        <v>0</v>
      </c>
      <c r="HC498">
        <v>0</v>
      </c>
      <c r="HD498">
        <v>0</v>
      </c>
      <c r="HE498">
        <v>0</v>
      </c>
      <c r="HF498">
        <v>0</v>
      </c>
      <c r="HG498">
        <v>0</v>
      </c>
      <c r="HH498">
        <v>0</v>
      </c>
      <c r="HI498">
        <v>0</v>
      </c>
      <c r="HJ498">
        <v>0</v>
      </c>
      <c r="HK498">
        <v>0</v>
      </c>
      <c r="HL498">
        <v>0</v>
      </c>
      <c r="HM498">
        <v>0</v>
      </c>
      <c r="HN498">
        <v>0</v>
      </c>
      <c r="HO498">
        <v>0</v>
      </c>
      <c r="HP498">
        <v>0</v>
      </c>
      <c r="HQ498">
        <v>0</v>
      </c>
      <c r="HR498">
        <v>0</v>
      </c>
      <c r="HS498">
        <v>0</v>
      </c>
      <c r="HT498">
        <v>0</v>
      </c>
      <c r="HU498">
        <v>0</v>
      </c>
      <c r="HV498">
        <v>0</v>
      </c>
      <c r="HW498">
        <v>0</v>
      </c>
      <c r="HX498">
        <v>0</v>
      </c>
      <c r="HY498">
        <v>0</v>
      </c>
      <c r="HZ498">
        <v>0</v>
      </c>
      <c r="IA498">
        <v>0</v>
      </c>
      <c r="IB498">
        <v>0</v>
      </c>
      <c r="IC498">
        <v>0</v>
      </c>
      <c r="ID498">
        <v>0</v>
      </c>
      <c r="IE498">
        <v>0</v>
      </c>
      <c r="IF498">
        <v>0</v>
      </c>
      <c r="IG498">
        <v>0</v>
      </c>
      <c r="IH498">
        <v>0</v>
      </c>
      <c r="II498">
        <v>0</v>
      </c>
      <c r="IJ498">
        <v>0</v>
      </c>
      <c r="IK498">
        <v>0</v>
      </c>
      <c r="IL498">
        <v>0</v>
      </c>
      <c r="IM498">
        <v>0</v>
      </c>
      <c r="IN498">
        <v>0</v>
      </c>
      <c r="IO498">
        <v>0</v>
      </c>
      <c r="IP498">
        <v>0</v>
      </c>
      <c r="IQ498">
        <v>0</v>
      </c>
      <c r="IR498">
        <v>0</v>
      </c>
      <c r="IS498">
        <v>0</v>
      </c>
      <c r="IT498">
        <v>0</v>
      </c>
      <c r="IU498">
        <v>0</v>
      </c>
      <c r="IV498">
        <v>0</v>
      </c>
      <c r="IW498">
        <v>0</v>
      </c>
      <c r="IX498">
        <v>0</v>
      </c>
      <c r="IY498">
        <v>0</v>
      </c>
      <c r="IZ498">
        <v>0</v>
      </c>
      <c r="JA498">
        <v>0</v>
      </c>
      <c r="JB498">
        <v>0</v>
      </c>
      <c r="JC498">
        <v>0</v>
      </c>
      <c r="JD498">
        <v>0</v>
      </c>
      <c r="JE498">
        <v>0</v>
      </c>
      <c r="JF498">
        <v>0</v>
      </c>
      <c r="JG498">
        <v>0</v>
      </c>
      <c r="JH498">
        <v>0</v>
      </c>
      <c r="JI498">
        <v>0</v>
      </c>
      <c r="JJ498">
        <v>0</v>
      </c>
      <c r="JK498">
        <v>0</v>
      </c>
      <c r="JL498">
        <v>0</v>
      </c>
      <c r="JM498">
        <v>0</v>
      </c>
      <c r="JN498">
        <v>0</v>
      </c>
      <c r="JO498">
        <v>0</v>
      </c>
      <c r="JP498">
        <v>0</v>
      </c>
      <c r="JQ498">
        <v>0</v>
      </c>
      <c r="JR498">
        <v>0</v>
      </c>
      <c r="JS498">
        <v>0</v>
      </c>
      <c r="JT498">
        <v>0</v>
      </c>
      <c r="JU498">
        <v>0</v>
      </c>
      <c r="JV498">
        <v>0</v>
      </c>
      <c r="JW498">
        <v>0</v>
      </c>
      <c r="JX498">
        <v>0</v>
      </c>
      <c r="JY498">
        <v>0</v>
      </c>
      <c r="JZ498">
        <v>0</v>
      </c>
      <c r="KA498">
        <v>0</v>
      </c>
      <c r="KB498">
        <v>0</v>
      </c>
      <c r="KC498">
        <v>0</v>
      </c>
      <c r="KD498">
        <v>0</v>
      </c>
      <c r="KE498">
        <v>0</v>
      </c>
      <c r="KF498">
        <v>0</v>
      </c>
      <c r="KG498">
        <v>0</v>
      </c>
      <c r="KH498">
        <v>0</v>
      </c>
      <c r="KI498">
        <v>0</v>
      </c>
      <c r="KJ498">
        <v>0</v>
      </c>
      <c r="KK498">
        <v>0</v>
      </c>
      <c r="KL498">
        <v>0</v>
      </c>
      <c r="KM498">
        <v>0</v>
      </c>
      <c r="KN498">
        <v>0</v>
      </c>
      <c r="KO498">
        <v>0</v>
      </c>
      <c r="KP498">
        <v>0</v>
      </c>
      <c r="KQ498">
        <v>0</v>
      </c>
      <c r="KR498">
        <v>0</v>
      </c>
      <c r="KS498">
        <v>0</v>
      </c>
      <c r="KT498">
        <v>0</v>
      </c>
      <c r="KU498">
        <v>0</v>
      </c>
      <c r="KV498">
        <v>0</v>
      </c>
      <c r="KW498">
        <v>0</v>
      </c>
      <c r="KX498">
        <v>0</v>
      </c>
      <c r="KY498">
        <v>0</v>
      </c>
      <c r="KZ498">
        <v>0</v>
      </c>
      <c r="LA498">
        <v>0</v>
      </c>
      <c r="LB498">
        <v>0</v>
      </c>
      <c r="LC498">
        <v>0</v>
      </c>
      <c r="LD498">
        <v>0</v>
      </c>
      <c r="LE498">
        <v>0</v>
      </c>
      <c r="LF498">
        <v>0</v>
      </c>
      <c r="LG498">
        <v>0</v>
      </c>
      <c r="LH498">
        <v>0</v>
      </c>
      <c r="LI498">
        <v>0</v>
      </c>
      <c r="LJ498">
        <v>0</v>
      </c>
      <c r="LK498">
        <v>0</v>
      </c>
      <c r="LL498">
        <v>0</v>
      </c>
      <c r="LM498">
        <v>0</v>
      </c>
      <c r="LN498">
        <v>0</v>
      </c>
      <c r="LO498">
        <v>0</v>
      </c>
      <c r="LP498">
        <v>0</v>
      </c>
      <c r="LQ498">
        <v>0</v>
      </c>
      <c r="LR498">
        <v>0</v>
      </c>
      <c r="LS498">
        <v>0</v>
      </c>
      <c r="LT498">
        <v>0</v>
      </c>
      <c r="LU498">
        <v>0</v>
      </c>
      <c r="LV498">
        <v>0</v>
      </c>
      <c r="LW498">
        <v>0</v>
      </c>
      <c r="LX498">
        <v>0</v>
      </c>
      <c r="LY498">
        <v>0</v>
      </c>
      <c r="LZ498">
        <v>0</v>
      </c>
      <c r="MA498">
        <v>0</v>
      </c>
      <c r="MB498">
        <v>0</v>
      </c>
      <c r="MC498">
        <v>0</v>
      </c>
      <c r="MD498">
        <v>0</v>
      </c>
      <c r="ME498">
        <v>0</v>
      </c>
      <c r="MF498">
        <v>0</v>
      </c>
      <c r="MG498">
        <v>0</v>
      </c>
      <c r="MH498">
        <v>0</v>
      </c>
      <c r="MI498">
        <v>0</v>
      </c>
      <c r="MJ498">
        <v>0</v>
      </c>
      <c r="MK498">
        <v>0</v>
      </c>
      <c r="ML498">
        <v>0</v>
      </c>
      <c r="MM498">
        <v>0</v>
      </c>
      <c r="MN498">
        <v>0</v>
      </c>
      <c r="MO498">
        <v>0</v>
      </c>
      <c r="MP498">
        <v>0</v>
      </c>
      <c r="MQ498">
        <v>0</v>
      </c>
      <c r="MR498">
        <v>0</v>
      </c>
      <c r="MS498">
        <v>0</v>
      </c>
      <c r="MT498">
        <v>0</v>
      </c>
      <c r="MU498">
        <v>0</v>
      </c>
      <c r="MV498">
        <v>0</v>
      </c>
      <c r="MW498">
        <v>0</v>
      </c>
      <c r="MX498">
        <v>0</v>
      </c>
      <c r="MY498">
        <v>0</v>
      </c>
      <c r="MZ498">
        <v>0</v>
      </c>
      <c r="NA498">
        <v>0</v>
      </c>
      <c r="NB498">
        <v>0</v>
      </c>
      <c r="NC498">
        <v>0</v>
      </c>
      <c r="ND498">
        <v>0</v>
      </c>
      <c r="NE498">
        <v>0</v>
      </c>
    </row>
    <row r="499" spans="41:369" x14ac:dyDescent="0.45">
      <c r="AO499">
        <v>0</v>
      </c>
      <c r="AP499">
        <v>0</v>
      </c>
      <c r="AQ499">
        <v>0</v>
      </c>
      <c r="AR499">
        <v>0</v>
      </c>
      <c r="AS499">
        <v>0</v>
      </c>
      <c r="AT499">
        <v>0</v>
      </c>
      <c r="AU499">
        <v>0</v>
      </c>
      <c r="AV499">
        <v>0</v>
      </c>
      <c r="AW499" t="str">
        <v/>
      </c>
      <c r="AX499">
        <v>255</v>
      </c>
      <c r="AY499" s="5" t="str">
        <v/>
      </c>
      <c r="AZ499">
        <v>0</v>
      </c>
      <c r="BA499">
        <v>0</v>
      </c>
      <c r="BB499">
        <v>0</v>
      </c>
      <c r="BC499">
        <v>0</v>
      </c>
      <c r="BD499">
        <v>0</v>
      </c>
      <c r="BE499">
        <v>0</v>
      </c>
      <c r="BF499">
        <v>0</v>
      </c>
      <c r="BG499">
        <v>0</v>
      </c>
      <c r="BH499">
        <v>0</v>
      </c>
      <c r="BI499" t="str">
        <v/>
      </c>
      <c r="BK499">
        <v>493</v>
      </c>
      <c r="BL499">
        <v>0</v>
      </c>
      <c r="BM499">
        <v>0</v>
      </c>
      <c r="BN499">
        <v>0</v>
      </c>
      <c r="BO499">
        <v>0</v>
      </c>
      <c r="BP499">
        <v>0</v>
      </c>
      <c r="BQ499">
        <v>0</v>
      </c>
      <c r="BR499">
        <v>0</v>
      </c>
      <c r="BS499">
        <v>0</v>
      </c>
      <c r="BT499">
        <v>0</v>
      </c>
      <c r="BU499">
        <v>0</v>
      </c>
      <c r="BV499">
        <v>0</v>
      </c>
      <c r="BW499">
        <v>0</v>
      </c>
      <c r="BX499">
        <v>0</v>
      </c>
      <c r="BY499">
        <v>0</v>
      </c>
      <c r="BZ499">
        <v>0</v>
      </c>
      <c r="CA499">
        <v>0</v>
      </c>
      <c r="CB499">
        <v>0</v>
      </c>
      <c r="CC499">
        <v>0</v>
      </c>
      <c r="CD499">
        <v>0</v>
      </c>
      <c r="CE499">
        <v>0</v>
      </c>
      <c r="CF499">
        <v>0</v>
      </c>
      <c r="CG499">
        <v>0</v>
      </c>
      <c r="CH499">
        <v>0</v>
      </c>
      <c r="CI499">
        <v>0</v>
      </c>
      <c r="CJ499">
        <v>0</v>
      </c>
      <c r="CK499">
        <v>0</v>
      </c>
      <c r="CL499">
        <v>0</v>
      </c>
      <c r="CM499">
        <v>0</v>
      </c>
      <c r="CN499">
        <v>0</v>
      </c>
      <c r="CO499">
        <v>0</v>
      </c>
      <c r="CP499">
        <v>0</v>
      </c>
      <c r="CQ499">
        <v>0</v>
      </c>
      <c r="CR499">
        <v>0</v>
      </c>
      <c r="CS499">
        <v>0</v>
      </c>
      <c r="CT499">
        <v>0</v>
      </c>
      <c r="CU499">
        <v>0</v>
      </c>
      <c r="CV499">
        <v>0</v>
      </c>
      <c r="CW499">
        <v>0</v>
      </c>
      <c r="CX499">
        <v>0</v>
      </c>
      <c r="CY499">
        <v>0</v>
      </c>
      <c r="CZ499">
        <v>0</v>
      </c>
      <c r="DA499">
        <v>0</v>
      </c>
      <c r="DB499">
        <v>0</v>
      </c>
      <c r="DC499">
        <v>0</v>
      </c>
      <c r="DD499">
        <v>0</v>
      </c>
      <c r="DE499">
        <v>0</v>
      </c>
      <c r="DF499">
        <v>0</v>
      </c>
      <c r="DG499">
        <v>0</v>
      </c>
      <c r="DH499">
        <v>0</v>
      </c>
      <c r="DI499">
        <v>0</v>
      </c>
      <c r="DJ499">
        <v>0</v>
      </c>
      <c r="DK499">
        <v>0</v>
      </c>
      <c r="DL499">
        <v>0</v>
      </c>
      <c r="DM499">
        <v>0</v>
      </c>
      <c r="DN499">
        <v>0</v>
      </c>
      <c r="DO499">
        <v>0</v>
      </c>
      <c r="DP499">
        <v>0</v>
      </c>
      <c r="DQ499">
        <v>0</v>
      </c>
      <c r="DR499">
        <v>0</v>
      </c>
      <c r="DS499">
        <v>0</v>
      </c>
      <c r="DT499">
        <v>0</v>
      </c>
      <c r="DU499">
        <v>0</v>
      </c>
      <c r="DV499">
        <v>0</v>
      </c>
      <c r="DW499">
        <v>0</v>
      </c>
      <c r="DX499">
        <v>0</v>
      </c>
      <c r="DY499">
        <v>0</v>
      </c>
      <c r="DZ499">
        <v>0</v>
      </c>
      <c r="EA499">
        <v>0</v>
      </c>
      <c r="EB499">
        <v>0</v>
      </c>
      <c r="EC499">
        <v>0</v>
      </c>
      <c r="ED499">
        <v>0</v>
      </c>
      <c r="EE499">
        <v>0</v>
      </c>
      <c r="EF499">
        <v>0</v>
      </c>
      <c r="EG499">
        <v>0</v>
      </c>
      <c r="EH499">
        <v>0</v>
      </c>
      <c r="EI499">
        <v>0</v>
      </c>
      <c r="EJ499">
        <v>0</v>
      </c>
      <c r="EK499">
        <v>0</v>
      </c>
      <c r="EL499">
        <v>0</v>
      </c>
      <c r="EM499">
        <v>0</v>
      </c>
      <c r="EN499">
        <v>0</v>
      </c>
      <c r="EO499">
        <v>0</v>
      </c>
      <c r="EP499">
        <v>0</v>
      </c>
      <c r="EQ499">
        <v>0</v>
      </c>
      <c r="ER499">
        <v>0</v>
      </c>
      <c r="ES499">
        <v>0</v>
      </c>
      <c r="ET499">
        <v>0</v>
      </c>
      <c r="EU499">
        <v>0</v>
      </c>
      <c r="EV499">
        <v>0</v>
      </c>
      <c r="EW499">
        <v>0</v>
      </c>
      <c r="EX499">
        <v>0</v>
      </c>
      <c r="EY499">
        <v>0</v>
      </c>
      <c r="EZ499">
        <v>0</v>
      </c>
      <c r="FA499">
        <v>0</v>
      </c>
      <c r="FB499">
        <v>0</v>
      </c>
      <c r="FC499">
        <v>0</v>
      </c>
      <c r="FD499">
        <v>0</v>
      </c>
      <c r="FE499">
        <v>0</v>
      </c>
      <c r="FF499">
        <v>0</v>
      </c>
      <c r="FG499">
        <v>0</v>
      </c>
      <c r="FH499">
        <v>0</v>
      </c>
      <c r="FI499">
        <v>0</v>
      </c>
      <c r="FJ499">
        <v>0</v>
      </c>
      <c r="FK499">
        <v>0</v>
      </c>
      <c r="FL499">
        <v>0</v>
      </c>
      <c r="FM499">
        <v>0</v>
      </c>
      <c r="FN499">
        <v>0</v>
      </c>
      <c r="FO499">
        <v>0</v>
      </c>
      <c r="FP499">
        <v>0</v>
      </c>
      <c r="FQ499">
        <v>0</v>
      </c>
      <c r="FR499">
        <v>0</v>
      </c>
      <c r="FS499">
        <v>0</v>
      </c>
      <c r="FT499">
        <v>0</v>
      </c>
      <c r="FU499">
        <v>0</v>
      </c>
      <c r="FV499">
        <v>0</v>
      </c>
      <c r="FW499">
        <v>0</v>
      </c>
      <c r="FX499">
        <v>0</v>
      </c>
      <c r="FY499">
        <v>0</v>
      </c>
      <c r="FZ499">
        <v>0</v>
      </c>
      <c r="GA499">
        <v>0</v>
      </c>
      <c r="GB499">
        <v>0</v>
      </c>
      <c r="GC499">
        <v>0</v>
      </c>
      <c r="GD499">
        <v>0</v>
      </c>
      <c r="GE499">
        <v>0</v>
      </c>
      <c r="GF499">
        <v>0</v>
      </c>
      <c r="GG499">
        <v>0</v>
      </c>
      <c r="GH499">
        <v>0</v>
      </c>
      <c r="GI499">
        <v>0</v>
      </c>
      <c r="GJ499">
        <v>0</v>
      </c>
      <c r="GK499">
        <v>0</v>
      </c>
      <c r="GL499">
        <v>0</v>
      </c>
      <c r="GM499">
        <v>0</v>
      </c>
      <c r="GN499">
        <v>0</v>
      </c>
      <c r="GO499">
        <v>0</v>
      </c>
      <c r="GP499">
        <v>0</v>
      </c>
      <c r="GQ499">
        <v>0</v>
      </c>
      <c r="GR499">
        <v>0</v>
      </c>
      <c r="GS499">
        <v>0</v>
      </c>
      <c r="GT499">
        <v>0</v>
      </c>
      <c r="GU499">
        <v>0</v>
      </c>
      <c r="GV499">
        <v>0</v>
      </c>
      <c r="GW499">
        <v>0</v>
      </c>
      <c r="GX499">
        <v>0</v>
      </c>
      <c r="GY499">
        <v>0</v>
      </c>
      <c r="GZ499">
        <v>0</v>
      </c>
      <c r="HA499">
        <v>0</v>
      </c>
      <c r="HB499">
        <v>0</v>
      </c>
      <c r="HC499">
        <v>0</v>
      </c>
      <c r="HD499">
        <v>0</v>
      </c>
      <c r="HE499">
        <v>0</v>
      </c>
      <c r="HF499">
        <v>0</v>
      </c>
      <c r="HG499">
        <v>0</v>
      </c>
      <c r="HH499">
        <v>0</v>
      </c>
      <c r="HI499">
        <v>0</v>
      </c>
      <c r="HJ499">
        <v>0</v>
      </c>
      <c r="HK499">
        <v>0</v>
      </c>
      <c r="HL499">
        <v>0</v>
      </c>
      <c r="HM499">
        <v>0</v>
      </c>
      <c r="HN499">
        <v>0</v>
      </c>
      <c r="HO499">
        <v>0</v>
      </c>
      <c r="HP499">
        <v>0</v>
      </c>
      <c r="HQ499">
        <v>0</v>
      </c>
      <c r="HR499">
        <v>0</v>
      </c>
      <c r="HS499">
        <v>0</v>
      </c>
      <c r="HT499">
        <v>0</v>
      </c>
      <c r="HU499">
        <v>0</v>
      </c>
      <c r="HV499">
        <v>0</v>
      </c>
      <c r="HW499">
        <v>0</v>
      </c>
      <c r="HX499">
        <v>0</v>
      </c>
      <c r="HY499">
        <v>0</v>
      </c>
      <c r="HZ499">
        <v>0</v>
      </c>
      <c r="IA499">
        <v>0</v>
      </c>
      <c r="IB499">
        <v>0</v>
      </c>
      <c r="IC499">
        <v>0</v>
      </c>
      <c r="ID499">
        <v>0</v>
      </c>
      <c r="IE499">
        <v>0</v>
      </c>
      <c r="IF499">
        <v>0</v>
      </c>
      <c r="IG499">
        <v>0</v>
      </c>
      <c r="IH499">
        <v>0</v>
      </c>
      <c r="II499">
        <v>0</v>
      </c>
      <c r="IJ499">
        <v>0</v>
      </c>
      <c r="IK499">
        <v>0</v>
      </c>
      <c r="IL499">
        <v>0</v>
      </c>
      <c r="IM499">
        <v>0</v>
      </c>
      <c r="IN499">
        <v>0</v>
      </c>
      <c r="IO499">
        <v>0</v>
      </c>
      <c r="IP499">
        <v>0</v>
      </c>
      <c r="IQ499">
        <v>0</v>
      </c>
      <c r="IR499">
        <v>0</v>
      </c>
      <c r="IS499">
        <v>0</v>
      </c>
      <c r="IT499">
        <v>0</v>
      </c>
      <c r="IU499">
        <v>0</v>
      </c>
      <c r="IV499">
        <v>0</v>
      </c>
      <c r="IW499">
        <v>0</v>
      </c>
      <c r="IX499">
        <v>0</v>
      </c>
      <c r="IY499">
        <v>0</v>
      </c>
      <c r="IZ499">
        <v>0</v>
      </c>
      <c r="JA499">
        <v>0</v>
      </c>
      <c r="JB499">
        <v>0</v>
      </c>
      <c r="JC499">
        <v>0</v>
      </c>
      <c r="JD499">
        <v>0</v>
      </c>
      <c r="JE499">
        <v>0</v>
      </c>
      <c r="JF499">
        <v>0</v>
      </c>
      <c r="JG499">
        <v>0</v>
      </c>
      <c r="JH499">
        <v>0</v>
      </c>
      <c r="JI499">
        <v>0</v>
      </c>
      <c r="JJ499">
        <v>0</v>
      </c>
      <c r="JK499">
        <v>0</v>
      </c>
      <c r="JL499">
        <v>0</v>
      </c>
      <c r="JM499">
        <v>0</v>
      </c>
      <c r="JN499">
        <v>0</v>
      </c>
      <c r="JO499">
        <v>0</v>
      </c>
      <c r="JP499">
        <v>0</v>
      </c>
      <c r="JQ499">
        <v>0</v>
      </c>
      <c r="JR499">
        <v>0</v>
      </c>
      <c r="JS499">
        <v>0</v>
      </c>
      <c r="JT499">
        <v>0</v>
      </c>
      <c r="JU499">
        <v>0</v>
      </c>
      <c r="JV499">
        <v>0</v>
      </c>
      <c r="JW499">
        <v>0</v>
      </c>
      <c r="JX499">
        <v>0</v>
      </c>
      <c r="JY499">
        <v>0</v>
      </c>
      <c r="JZ499">
        <v>0</v>
      </c>
      <c r="KA499">
        <v>0</v>
      </c>
      <c r="KB499">
        <v>0</v>
      </c>
      <c r="KC499">
        <v>0</v>
      </c>
      <c r="KD499">
        <v>0</v>
      </c>
      <c r="KE499">
        <v>0</v>
      </c>
      <c r="KF499">
        <v>0</v>
      </c>
      <c r="KG499">
        <v>0</v>
      </c>
      <c r="KH499">
        <v>0</v>
      </c>
      <c r="KI499">
        <v>0</v>
      </c>
      <c r="KJ499">
        <v>0</v>
      </c>
      <c r="KK499">
        <v>0</v>
      </c>
      <c r="KL499">
        <v>0</v>
      </c>
      <c r="KM499">
        <v>0</v>
      </c>
      <c r="KN499">
        <v>0</v>
      </c>
      <c r="KO499">
        <v>0</v>
      </c>
      <c r="KP499">
        <v>0</v>
      </c>
      <c r="KQ499">
        <v>0</v>
      </c>
      <c r="KR499">
        <v>0</v>
      </c>
      <c r="KS499">
        <v>0</v>
      </c>
      <c r="KT499">
        <v>0</v>
      </c>
      <c r="KU499">
        <v>0</v>
      </c>
      <c r="KV499">
        <v>0</v>
      </c>
      <c r="KW499">
        <v>0</v>
      </c>
      <c r="KX499">
        <v>0</v>
      </c>
      <c r="KY499">
        <v>0</v>
      </c>
      <c r="KZ499">
        <v>0</v>
      </c>
      <c r="LA499">
        <v>0</v>
      </c>
      <c r="LB499">
        <v>0</v>
      </c>
      <c r="LC499">
        <v>0</v>
      </c>
      <c r="LD499">
        <v>0</v>
      </c>
      <c r="LE499">
        <v>0</v>
      </c>
      <c r="LF499">
        <v>0</v>
      </c>
      <c r="LG499">
        <v>0</v>
      </c>
      <c r="LH499">
        <v>0</v>
      </c>
      <c r="LI499">
        <v>0</v>
      </c>
      <c r="LJ499">
        <v>0</v>
      </c>
      <c r="LK499">
        <v>0</v>
      </c>
      <c r="LL499">
        <v>0</v>
      </c>
      <c r="LM499">
        <v>0</v>
      </c>
      <c r="LN499">
        <v>0</v>
      </c>
      <c r="LO499">
        <v>0</v>
      </c>
      <c r="LP499">
        <v>0</v>
      </c>
      <c r="LQ499">
        <v>0</v>
      </c>
      <c r="LR499">
        <v>0</v>
      </c>
      <c r="LS499">
        <v>0</v>
      </c>
      <c r="LT499">
        <v>0</v>
      </c>
      <c r="LU499">
        <v>0</v>
      </c>
      <c r="LV499">
        <v>0</v>
      </c>
      <c r="LW499">
        <v>0</v>
      </c>
      <c r="LX499">
        <v>0</v>
      </c>
      <c r="LY499">
        <v>0</v>
      </c>
      <c r="LZ499">
        <v>0</v>
      </c>
      <c r="MA499">
        <v>0</v>
      </c>
      <c r="MB499">
        <v>0</v>
      </c>
      <c r="MC499">
        <v>0</v>
      </c>
      <c r="MD499">
        <v>0</v>
      </c>
      <c r="ME499">
        <v>0</v>
      </c>
      <c r="MF499">
        <v>0</v>
      </c>
      <c r="MG499">
        <v>0</v>
      </c>
      <c r="MH499">
        <v>0</v>
      </c>
      <c r="MI499">
        <v>0</v>
      </c>
      <c r="MJ499">
        <v>0</v>
      </c>
      <c r="MK499">
        <v>0</v>
      </c>
      <c r="ML499">
        <v>0</v>
      </c>
      <c r="MM499">
        <v>0</v>
      </c>
      <c r="MN499">
        <v>0</v>
      </c>
      <c r="MO499">
        <v>0</v>
      </c>
      <c r="MP499">
        <v>0</v>
      </c>
      <c r="MQ499">
        <v>0</v>
      </c>
      <c r="MR499">
        <v>0</v>
      </c>
      <c r="MS499">
        <v>0</v>
      </c>
      <c r="MT499">
        <v>0</v>
      </c>
      <c r="MU499">
        <v>0</v>
      </c>
      <c r="MV499">
        <v>0</v>
      </c>
      <c r="MW499">
        <v>0</v>
      </c>
      <c r="MX499">
        <v>0</v>
      </c>
      <c r="MY499">
        <v>0</v>
      </c>
      <c r="MZ499">
        <v>0</v>
      </c>
      <c r="NA499">
        <v>0</v>
      </c>
      <c r="NB499">
        <v>0</v>
      </c>
      <c r="NC499">
        <v>0</v>
      </c>
      <c r="ND499">
        <v>0</v>
      </c>
      <c r="NE499">
        <v>0</v>
      </c>
    </row>
    <row r="500" spans="41:369" x14ac:dyDescent="0.45">
      <c r="AO500">
        <v>0</v>
      </c>
      <c r="AP500">
        <v>0</v>
      </c>
      <c r="AQ500">
        <v>0</v>
      </c>
      <c r="AR500">
        <v>0</v>
      </c>
      <c r="AS500">
        <v>0</v>
      </c>
      <c r="AT500">
        <v>0</v>
      </c>
      <c r="AU500">
        <v>0</v>
      </c>
      <c r="AV500">
        <v>0</v>
      </c>
      <c r="AW500" t="str">
        <v/>
      </c>
      <c r="AX500">
        <v>255</v>
      </c>
      <c r="AY500" s="5" t="str">
        <v/>
      </c>
      <c r="AZ500">
        <v>0</v>
      </c>
      <c r="BA500">
        <v>0</v>
      </c>
      <c r="BB500">
        <v>0</v>
      </c>
      <c r="BC500">
        <v>0</v>
      </c>
      <c r="BD500">
        <v>0</v>
      </c>
      <c r="BE500">
        <v>0</v>
      </c>
      <c r="BF500">
        <v>0</v>
      </c>
      <c r="BG500">
        <v>0</v>
      </c>
      <c r="BH500">
        <v>0</v>
      </c>
      <c r="BI500" t="str">
        <v/>
      </c>
      <c r="BK500">
        <v>494</v>
      </c>
      <c r="BL500">
        <v>0</v>
      </c>
      <c r="BM500">
        <v>0</v>
      </c>
      <c r="BN500">
        <v>0</v>
      </c>
      <c r="BO500">
        <v>0</v>
      </c>
      <c r="BP500">
        <v>0</v>
      </c>
      <c r="BQ500">
        <v>0</v>
      </c>
      <c r="BR500">
        <v>0</v>
      </c>
      <c r="BS500">
        <v>0</v>
      </c>
      <c r="BT500">
        <v>0</v>
      </c>
      <c r="BU500">
        <v>0</v>
      </c>
      <c r="BV500">
        <v>0</v>
      </c>
      <c r="BW500">
        <v>0</v>
      </c>
      <c r="BX500">
        <v>0</v>
      </c>
      <c r="BY500">
        <v>0</v>
      </c>
      <c r="BZ500">
        <v>0</v>
      </c>
      <c r="CA500">
        <v>0</v>
      </c>
      <c r="CB500">
        <v>0</v>
      </c>
      <c r="CC500">
        <v>0</v>
      </c>
      <c r="CD500">
        <v>0</v>
      </c>
      <c r="CE500">
        <v>0</v>
      </c>
      <c r="CF500">
        <v>0</v>
      </c>
      <c r="CG500">
        <v>0</v>
      </c>
      <c r="CH500">
        <v>0</v>
      </c>
      <c r="CI500">
        <v>0</v>
      </c>
      <c r="CJ500">
        <v>0</v>
      </c>
      <c r="CK500">
        <v>0</v>
      </c>
      <c r="CL500">
        <v>0</v>
      </c>
      <c r="CM500">
        <v>0</v>
      </c>
      <c r="CN500">
        <v>0</v>
      </c>
      <c r="CO500">
        <v>0</v>
      </c>
      <c r="CP500">
        <v>0</v>
      </c>
      <c r="CQ500">
        <v>0</v>
      </c>
      <c r="CR500">
        <v>0</v>
      </c>
      <c r="CS500">
        <v>0</v>
      </c>
      <c r="CT500">
        <v>0</v>
      </c>
      <c r="CU500">
        <v>0</v>
      </c>
      <c r="CV500">
        <v>0</v>
      </c>
      <c r="CW500">
        <v>0</v>
      </c>
      <c r="CX500">
        <v>0</v>
      </c>
      <c r="CY500">
        <v>0</v>
      </c>
      <c r="CZ500">
        <v>0</v>
      </c>
      <c r="DA500">
        <v>0</v>
      </c>
      <c r="DB500">
        <v>0</v>
      </c>
      <c r="DC500">
        <v>0</v>
      </c>
      <c r="DD500">
        <v>0</v>
      </c>
      <c r="DE500">
        <v>0</v>
      </c>
      <c r="DF500">
        <v>0</v>
      </c>
      <c r="DG500">
        <v>0</v>
      </c>
      <c r="DH500">
        <v>0</v>
      </c>
      <c r="DI500">
        <v>0</v>
      </c>
      <c r="DJ500">
        <v>0</v>
      </c>
      <c r="DK500">
        <v>0</v>
      </c>
      <c r="DL500">
        <v>0</v>
      </c>
      <c r="DM500">
        <v>0</v>
      </c>
      <c r="DN500">
        <v>0</v>
      </c>
      <c r="DO500">
        <v>0</v>
      </c>
      <c r="DP500">
        <v>0</v>
      </c>
      <c r="DQ500">
        <v>0</v>
      </c>
      <c r="DR500">
        <v>0</v>
      </c>
      <c r="DS500">
        <v>0</v>
      </c>
      <c r="DT500">
        <v>0</v>
      </c>
      <c r="DU500">
        <v>0</v>
      </c>
      <c r="DV500">
        <v>0</v>
      </c>
      <c r="DW500">
        <v>0</v>
      </c>
      <c r="DX500">
        <v>0</v>
      </c>
      <c r="DY500">
        <v>0</v>
      </c>
      <c r="DZ500">
        <v>0</v>
      </c>
      <c r="EA500">
        <v>0</v>
      </c>
      <c r="EB500">
        <v>0</v>
      </c>
      <c r="EC500">
        <v>0</v>
      </c>
      <c r="ED500">
        <v>0</v>
      </c>
      <c r="EE500">
        <v>0</v>
      </c>
      <c r="EF500">
        <v>0</v>
      </c>
      <c r="EG500">
        <v>0</v>
      </c>
      <c r="EH500">
        <v>0</v>
      </c>
      <c r="EI500">
        <v>0</v>
      </c>
      <c r="EJ500">
        <v>0</v>
      </c>
      <c r="EK500">
        <v>0</v>
      </c>
      <c r="EL500">
        <v>0</v>
      </c>
      <c r="EM500">
        <v>0</v>
      </c>
      <c r="EN500">
        <v>0</v>
      </c>
      <c r="EO500">
        <v>0</v>
      </c>
      <c r="EP500">
        <v>0</v>
      </c>
      <c r="EQ500">
        <v>0</v>
      </c>
      <c r="ER500">
        <v>0</v>
      </c>
      <c r="ES500">
        <v>0</v>
      </c>
      <c r="ET500">
        <v>0</v>
      </c>
      <c r="EU500">
        <v>0</v>
      </c>
      <c r="EV500">
        <v>0</v>
      </c>
      <c r="EW500">
        <v>0</v>
      </c>
      <c r="EX500">
        <v>0</v>
      </c>
      <c r="EY500">
        <v>0</v>
      </c>
      <c r="EZ500">
        <v>0</v>
      </c>
      <c r="FA500">
        <v>0</v>
      </c>
      <c r="FB500">
        <v>0</v>
      </c>
      <c r="FC500">
        <v>0</v>
      </c>
      <c r="FD500">
        <v>0</v>
      </c>
      <c r="FE500">
        <v>0</v>
      </c>
      <c r="FF500">
        <v>0</v>
      </c>
      <c r="FG500">
        <v>0</v>
      </c>
      <c r="FH500">
        <v>0</v>
      </c>
      <c r="FI500">
        <v>0</v>
      </c>
      <c r="FJ500">
        <v>0</v>
      </c>
      <c r="FK500">
        <v>0</v>
      </c>
      <c r="FL500">
        <v>0</v>
      </c>
      <c r="FM500">
        <v>0</v>
      </c>
      <c r="FN500">
        <v>0</v>
      </c>
      <c r="FO500">
        <v>0</v>
      </c>
      <c r="FP500">
        <v>0</v>
      </c>
      <c r="FQ500">
        <v>0</v>
      </c>
      <c r="FR500">
        <v>0</v>
      </c>
      <c r="FS500">
        <v>0</v>
      </c>
      <c r="FT500">
        <v>0</v>
      </c>
      <c r="FU500">
        <v>0</v>
      </c>
      <c r="FV500">
        <v>0</v>
      </c>
      <c r="FW500">
        <v>0</v>
      </c>
      <c r="FX500">
        <v>0</v>
      </c>
      <c r="FY500">
        <v>0</v>
      </c>
      <c r="FZ500">
        <v>0</v>
      </c>
      <c r="GA500">
        <v>0</v>
      </c>
      <c r="GB500">
        <v>0</v>
      </c>
      <c r="GC500">
        <v>0</v>
      </c>
      <c r="GD500">
        <v>0</v>
      </c>
      <c r="GE500">
        <v>0</v>
      </c>
      <c r="GF500">
        <v>0</v>
      </c>
      <c r="GG500">
        <v>0</v>
      </c>
      <c r="GH500">
        <v>0</v>
      </c>
      <c r="GI500">
        <v>0</v>
      </c>
      <c r="GJ500">
        <v>0</v>
      </c>
      <c r="GK500">
        <v>0</v>
      </c>
      <c r="GL500">
        <v>0</v>
      </c>
      <c r="GM500">
        <v>0</v>
      </c>
      <c r="GN500">
        <v>0</v>
      </c>
      <c r="GO500">
        <v>0</v>
      </c>
      <c r="GP500">
        <v>0</v>
      </c>
      <c r="GQ500">
        <v>0</v>
      </c>
      <c r="GR500">
        <v>0</v>
      </c>
      <c r="GS500">
        <v>0</v>
      </c>
      <c r="GT500">
        <v>0</v>
      </c>
      <c r="GU500">
        <v>0</v>
      </c>
      <c r="GV500">
        <v>0</v>
      </c>
      <c r="GW500">
        <v>0</v>
      </c>
      <c r="GX500">
        <v>0</v>
      </c>
      <c r="GY500">
        <v>0</v>
      </c>
      <c r="GZ500">
        <v>0</v>
      </c>
      <c r="HA500">
        <v>0</v>
      </c>
      <c r="HB500">
        <v>0</v>
      </c>
      <c r="HC500">
        <v>0</v>
      </c>
      <c r="HD500">
        <v>0</v>
      </c>
      <c r="HE500">
        <v>0</v>
      </c>
      <c r="HF500">
        <v>0</v>
      </c>
      <c r="HG500">
        <v>0</v>
      </c>
      <c r="HH500">
        <v>0</v>
      </c>
      <c r="HI500">
        <v>0</v>
      </c>
      <c r="HJ500">
        <v>0</v>
      </c>
      <c r="HK500">
        <v>0</v>
      </c>
      <c r="HL500">
        <v>0</v>
      </c>
      <c r="HM500">
        <v>0</v>
      </c>
      <c r="HN500">
        <v>0</v>
      </c>
      <c r="HO500">
        <v>0</v>
      </c>
      <c r="HP500">
        <v>0</v>
      </c>
      <c r="HQ500">
        <v>0</v>
      </c>
      <c r="HR500">
        <v>0</v>
      </c>
      <c r="HS500">
        <v>0</v>
      </c>
      <c r="HT500">
        <v>0</v>
      </c>
      <c r="HU500">
        <v>0</v>
      </c>
      <c r="HV500">
        <v>0</v>
      </c>
      <c r="HW500">
        <v>0</v>
      </c>
      <c r="HX500">
        <v>0</v>
      </c>
      <c r="HY500">
        <v>0</v>
      </c>
      <c r="HZ500">
        <v>0</v>
      </c>
      <c r="IA500">
        <v>0</v>
      </c>
      <c r="IB500">
        <v>0</v>
      </c>
      <c r="IC500">
        <v>0</v>
      </c>
      <c r="ID500">
        <v>0</v>
      </c>
      <c r="IE500">
        <v>0</v>
      </c>
      <c r="IF500">
        <v>0</v>
      </c>
      <c r="IG500">
        <v>0</v>
      </c>
      <c r="IH500">
        <v>0</v>
      </c>
      <c r="II500">
        <v>0</v>
      </c>
      <c r="IJ500">
        <v>0</v>
      </c>
      <c r="IK500">
        <v>0</v>
      </c>
      <c r="IL500">
        <v>0</v>
      </c>
      <c r="IM500">
        <v>0</v>
      </c>
      <c r="IN500">
        <v>0</v>
      </c>
      <c r="IO500">
        <v>0</v>
      </c>
      <c r="IP500">
        <v>0</v>
      </c>
      <c r="IQ500">
        <v>0</v>
      </c>
      <c r="IR500">
        <v>0</v>
      </c>
      <c r="IS500">
        <v>0</v>
      </c>
      <c r="IT500">
        <v>0</v>
      </c>
      <c r="IU500">
        <v>0</v>
      </c>
      <c r="IV500">
        <v>0</v>
      </c>
      <c r="IW500">
        <v>0</v>
      </c>
      <c r="IX500">
        <v>0</v>
      </c>
      <c r="IY500">
        <v>0</v>
      </c>
      <c r="IZ500">
        <v>0</v>
      </c>
      <c r="JA500">
        <v>0</v>
      </c>
      <c r="JB500">
        <v>0</v>
      </c>
      <c r="JC500">
        <v>0</v>
      </c>
      <c r="JD500">
        <v>0</v>
      </c>
      <c r="JE500">
        <v>0</v>
      </c>
      <c r="JF500">
        <v>0</v>
      </c>
      <c r="JG500">
        <v>0</v>
      </c>
      <c r="JH500">
        <v>0</v>
      </c>
      <c r="JI500">
        <v>0</v>
      </c>
      <c r="JJ500">
        <v>0</v>
      </c>
      <c r="JK500">
        <v>0</v>
      </c>
      <c r="JL500">
        <v>0</v>
      </c>
      <c r="JM500">
        <v>0</v>
      </c>
      <c r="JN500">
        <v>0</v>
      </c>
      <c r="JO500">
        <v>0</v>
      </c>
      <c r="JP500">
        <v>0</v>
      </c>
      <c r="JQ500">
        <v>0</v>
      </c>
      <c r="JR500">
        <v>0</v>
      </c>
      <c r="JS500">
        <v>0</v>
      </c>
      <c r="JT500">
        <v>0</v>
      </c>
      <c r="JU500">
        <v>0</v>
      </c>
      <c r="JV500">
        <v>0</v>
      </c>
      <c r="JW500">
        <v>0</v>
      </c>
      <c r="JX500">
        <v>0</v>
      </c>
      <c r="JY500">
        <v>0</v>
      </c>
      <c r="JZ500">
        <v>0</v>
      </c>
      <c r="KA500">
        <v>0</v>
      </c>
      <c r="KB500">
        <v>0</v>
      </c>
      <c r="KC500">
        <v>0</v>
      </c>
      <c r="KD500">
        <v>0</v>
      </c>
      <c r="KE500">
        <v>0</v>
      </c>
      <c r="KF500">
        <v>0</v>
      </c>
      <c r="KG500">
        <v>0</v>
      </c>
      <c r="KH500">
        <v>0</v>
      </c>
      <c r="KI500">
        <v>0</v>
      </c>
      <c r="KJ500">
        <v>0</v>
      </c>
      <c r="KK500">
        <v>0</v>
      </c>
      <c r="KL500">
        <v>0</v>
      </c>
      <c r="KM500">
        <v>0</v>
      </c>
      <c r="KN500">
        <v>0</v>
      </c>
      <c r="KO500">
        <v>0</v>
      </c>
      <c r="KP500">
        <v>0</v>
      </c>
      <c r="KQ500">
        <v>0</v>
      </c>
      <c r="KR500">
        <v>0</v>
      </c>
      <c r="KS500">
        <v>0</v>
      </c>
      <c r="KT500">
        <v>0</v>
      </c>
      <c r="KU500">
        <v>0</v>
      </c>
      <c r="KV500">
        <v>0</v>
      </c>
      <c r="KW500">
        <v>0</v>
      </c>
      <c r="KX500">
        <v>0</v>
      </c>
      <c r="KY500">
        <v>0</v>
      </c>
      <c r="KZ500">
        <v>0</v>
      </c>
      <c r="LA500">
        <v>0</v>
      </c>
      <c r="LB500">
        <v>0</v>
      </c>
      <c r="LC500">
        <v>0</v>
      </c>
      <c r="LD500">
        <v>0</v>
      </c>
      <c r="LE500">
        <v>0</v>
      </c>
      <c r="LF500">
        <v>0</v>
      </c>
      <c r="LG500">
        <v>0</v>
      </c>
      <c r="LH500">
        <v>0</v>
      </c>
      <c r="LI500">
        <v>0</v>
      </c>
      <c r="LJ500">
        <v>0</v>
      </c>
      <c r="LK500">
        <v>0</v>
      </c>
      <c r="LL500">
        <v>0</v>
      </c>
      <c r="LM500">
        <v>0</v>
      </c>
      <c r="LN500">
        <v>0</v>
      </c>
      <c r="LO500">
        <v>0</v>
      </c>
      <c r="LP500">
        <v>0</v>
      </c>
      <c r="LQ500">
        <v>0</v>
      </c>
      <c r="LR500">
        <v>0</v>
      </c>
      <c r="LS500">
        <v>0</v>
      </c>
      <c r="LT500">
        <v>0</v>
      </c>
      <c r="LU500">
        <v>0</v>
      </c>
      <c r="LV500">
        <v>0</v>
      </c>
      <c r="LW500">
        <v>0</v>
      </c>
      <c r="LX500">
        <v>0</v>
      </c>
      <c r="LY500">
        <v>0</v>
      </c>
      <c r="LZ500">
        <v>0</v>
      </c>
      <c r="MA500">
        <v>0</v>
      </c>
      <c r="MB500">
        <v>0</v>
      </c>
      <c r="MC500">
        <v>0</v>
      </c>
      <c r="MD500">
        <v>0</v>
      </c>
      <c r="ME500">
        <v>0</v>
      </c>
      <c r="MF500">
        <v>0</v>
      </c>
      <c r="MG500">
        <v>0</v>
      </c>
      <c r="MH500">
        <v>0</v>
      </c>
      <c r="MI500">
        <v>0</v>
      </c>
      <c r="MJ500">
        <v>0</v>
      </c>
      <c r="MK500">
        <v>0</v>
      </c>
      <c r="ML500">
        <v>0</v>
      </c>
      <c r="MM500">
        <v>0</v>
      </c>
      <c r="MN500">
        <v>0</v>
      </c>
      <c r="MO500">
        <v>0</v>
      </c>
      <c r="MP500">
        <v>0</v>
      </c>
      <c r="MQ500">
        <v>0</v>
      </c>
      <c r="MR500">
        <v>0</v>
      </c>
      <c r="MS500">
        <v>0</v>
      </c>
      <c r="MT500">
        <v>0</v>
      </c>
      <c r="MU500">
        <v>0</v>
      </c>
      <c r="MV500">
        <v>0</v>
      </c>
      <c r="MW500">
        <v>0</v>
      </c>
      <c r="MX500">
        <v>0</v>
      </c>
      <c r="MY500">
        <v>0</v>
      </c>
      <c r="MZ500">
        <v>0</v>
      </c>
      <c r="NA500">
        <v>0</v>
      </c>
      <c r="NB500">
        <v>0</v>
      </c>
      <c r="NC500">
        <v>0</v>
      </c>
      <c r="ND500">
        <v>0</v>
      </c>
      <c r="NE500">
        <v>0</v>
      </c>
    </row>
    <row r="501" spans="41:369" x14ac:dyDescent="0.45">
      <c r="AO501">
        <v>0</v>
      </c>
      <c r="AP501">
        <v>0</v>
      </c>
      <c r="AQ501">
        <v>0</v>
      </c>
      <c r="AR501">
        <v>0</v>
      </c>
      <c r="AS501">
        <v>0</v>
      </c>
      <c r="AT501">
        <v>0</v>
      </c>
      <c r="AU501">
        <v>0</v>
      </c>
      <c r="AV501">
        <v>0</v>
      </c>
      <c r="AW501" t="str">
        <v/>
      </c>
      <c r="AX501">
        <v>255</v>
      </c>
      <c r="AY501" s="5" t="str">
        <v/>
      </c>
      <c r="AZ501">
        <v>0</v>
      </c>
      <c r="BA501">
        <v>0</v>
      </c>
      <c r="BB501">
        <v>0</v>
      </c>
      <c r="BC501">
        <v>0</v>
      </c>
      <c r="BD501">
        <v>0</v>
      </c>
      <c r="BE501">
        <v>0</v>
      </c>
      <c r="BF501">
        <v>0</v>
      </c>
      <c r="BG501">
        <v>0</v>
      </c>
      <c r="BH501">
        <v>0</v>
      </c>
      <c r="BI501" t="str">
        <v/>
      </c>
      <c r="BK501">
        <v>495</v>
      </c>
      <c r="BL501">
        <v>0</v>
      </c>
      <c r="BM501">
        <v>0</v>
      </c>
      <c r="BN501">
        <v>0</v>
      </c>
      <c r="BO501">
        <v>0</v>
      </c>
      <c r="BP501">
        <v>0</v>
      </c>
      <c r="BQ501">
        <v>0</v>
      </c>
      <c r="BR501">
        <v>0</v>
      </c>
      <c r="BS501">
        <v>0</v>
      </c>
      <c r="BT501">
        <v>0</v>
      </c>
      <c r="BU501">
        <v>0</v>
      </c>
      <c r="BV501">
        <v>0</v>
      </c>
      <c r="BW501">
        <v>0</v>
      </c>
      <c r="BX501">
        <v>0</v>
      </c>
      <c r="BY501">
        <v>0</v>
      </c>
      <c r="BZ501">
        <v>0</v>
      </c>
      <c r="CA501">
        <v>0</v>
      </c>
      <c r="CB501">
        <v>0</v>
      </c>
      <c r="CC501">
        <v>0</v>
      </c>
      <c r="CD501">
        <v>0</v>
      </c>
      <c r="CE501">
        <v>0</v>
      </c>
      <c r="CF501">
        <v>0</v>
      </c>
      <c r="CG501">
        <v>0</v>
      </c>
      <c r="CH501">
        <v>0</v>
      </c>
      <c r="CI501">
        <v>0</v>
      </c>
      <c r="CJ501">
        <v>0</v>
      </c>
      <c r="CK501">
        <v>0</v>
      </c>
      <c r="CL501">
        <v>0</v>
      </c>
      <c r="CM501">
        <v>0</v>
      </c>
      <c r="CN501">
        <v>0</v>
      </c>
      <c r="CO501">
        <v>0</v>
      </c>
      <c r="CP501">
        <v>0</v>
      </c>
      <c r="CQ501">
        <v>0</v>
      </c>
      <c r="CR501">
        <v>0</v>
      </c>
      <c r="CS501">
        <v>0</v>
      </c>
      <c r="CT501">
        <v>0</v>
      </c>
      <c r="CU501">
        <v>0</v>
      </c>
      <c r="CV501">
        <v>0</v>
      </c>
      <c r="CW501">
        <v>0</v>
      </c>
      <c r="CX501">
        <v>0</v>
      </c>
      <c r="CY501">
        <v>0</v>
      </c>
      <c r="CZ501">
        <v>0</v>
      </c>
      <c r="DA501">
        <v>0</v>
      </c>
      <c r="DB501">
        <v>0</v>
      </c>
      <c r="DC501">
        <v>0</v>
      </c>
      <c r="DD501">
        <v>0</v>
      </c>
      <c r="DE501">
        <v>0</v>
      </c>
      <c r="DF501">
        <v>0</v>
      </c>
      <c r="DG501">
        <v>0</v>
      </c>
      <c r="DH501">
        <v>0</v>
      </c>
      <c r="DI501">
        <v>0</v>
      </c>
      <c r="DJ501">
        <v>0</v>
      </c>
      <c r="DK501">
        <v>0</v>
      </c>
      <c r="DL501">
        <v>0</v>
      </c>
      <c r="DM501">
        <v>0</v>
      </c>
      <c r="DN501">
        <v>0</v>
      </c>
      <c r="DO501">
        <v>0</v>
      </c>
      <c r="DP501">
        <v>0</v>
      </c>
      <c r="DQ501">
        <v>0</v>
      </c>
      <c r="DR501">
        <v>0</v>
      </c>
      <c r="DS501">
        <v>0</v>
      </c>
      <c r="DT501">
        <v>0</v>
      </c>
      <c r="DU501">
        <v>0</v>
      </c>
      <c r="DV501">
        <v>0</v>
      </c>
      <c r="DW501">
        <v>0</v>
      </c>
      <c r="DX501">
        <v>0</v>
      </c>
      <c r="DY501">
        <v>0</v>
      </c>
      <c r="DZ501">
        <v>0</v>
      </c>
      <c r="EA501">
        <v>0</v>
      </c>
      <c r="EB501">
        <v>0</v>
      </c>
      <c r="EC501">
        <v>0</v>
      </c>
      <c r="ED501">
        <v>0</v>
      </c>
      <c r="EE501">
        <v>0</v>
      </c>
      <c r="EF501">
        <v>0</v>
      </c>
      <c r="EG501">
        <v>0</v>
      </c>
      <c r="EH501">
        <v>0</v>
      </c>
      <c r="EI501">
        <v>0</v>
      </c>
      <c r="EJ501">
        <v>0</v>
      </c>
      <c r="EK501">
        <v>0</v>
      </c>
      <c r="EL501">
        <v>0</v>
      </c>
      <c r="EM501">
        <v>0</v>
      </c>
      <c r="EN501">
        <v>0</v>
      </c>
      <c r="EO501">
        <v>0</v>
      </c>
      <c r="EP501">
        <v>0</v>
      </c>
      <c r="EQ501">
        <v>0</v>
      </c>
      <c r="ER501">
        <v>0</v>
      </c>
      <c r="ES501">
        <v>0</v>
      </c>
      <c r="ET501">
        <v>0</v>
      </c>
      <c r="EU501">
        <v>0</v>
      </c>
      <c r="EV501">
        <v>0</v>
      </c>
      <c r="EW501">
        <v>0</v>
      </c>
      <c r="EX501">
        <v>0</v>
      </c>
      <c r="EY501">
        <v>0</v>
      </c>
      <c r="EZ501">
        <v>0</v>
      </c>
      <c r="FA501">
        <v>0</v>
      </c>
      <c r="FB501">
        <v>0</v>
      </c>
      <c r="FC501">
        <v>0</v>
      </c>
      <c r="FD501">
        <v>0</v>
      </c>
      <c r="FE501">
        <v>0</v>
      </c>
      <c r="FF501">
        <v>0</v>
      </c>
      <c r="FG501">
        <v>0</v>
      </c>
      <c r="FH501">
        <v>0</v>
      </c>
      <c r="FI501">
        <v>0</v>
      </c>
      <c r="FJ501">
        <v>0</v>
      </c>
      <c r="FK501">
        <v>0</v>
      </c>
      <c r="FL501">
        <v>0</v>
      </c>
      <c r="FM501">
        <v>0</v>
      </c>
      <c r="FN501">
        <v>0</v>
      </c>
      <c r="FO501">
        <v>0</v>
      </c>
      <c r="FP501">
        <v>0</v>
      </c>
      <c r="FQ501">
        <v>0</v>
      </c>
      <c r="FR501">
        <v>0</v>
      </c>
      <c r="FS501">
        <v>0</v>
      </c>
      <c r="FT501">
        <v>0</v>
      </c>
      <c r="FU501">
        <v>0</v>
      </c>
      <c r="FV501">
        <v>0</v>
      </c>
      <c r="FW501">
        <v>0</v>
      </c>
      <c r="FX501">
        <v>0</v>
      </c>
      <c r="FY501">
        <v>0</v>
      </c>
      <c r="FZ501">
        <v>0</v>
      </c>
      <c r="GA501">
        <v>0</v>
      </c>
      <c r="GB501">
        <v>0</v>
      </c>
      <c r="GC501">
        <v>0</v>
      </c>
      <c r="GD501">
        <v>0</v>
      </c>
      <c r="GE501">
        <v>0</v>
      </c>
      <c r="GF501">
        <v>0</v>
      </c>
      <c r="GG501">
        <v>0</v>
      </c>
      <c r="GH501">
        <v>0</v>
      </c>
      <c r="GI501">
        <v>0</v>
      </c>
      <c r="GJ501">
        <v>0</v>
      </c>
      <c r="GK501">
        <v>0</v>
      </c>
      <c r="GL501">
        <v>0</v>
      </c>
      <c r="GM501">
        <v>0</v>
      </c>
      <c r="GN501">
        <v>0</v>
      </c>
      <c r="GO501">
        <v>0</v>
      </c>
      <c r="GP501">
        <v>0</v>
      </c>
      <c r="GQ501">
        <v>0</v>
      </c>
      <c r="GR501">
        <v>0</v>
      </c>
      <c r="GS501">
        <v>0</v>
      </c>
      <c r="GT501">
        <v>0</v>
      </c>
      <c r="GU501">
        <v>0</v>
      </c>
      <c r="GV501">
        <v>0</v>
      </c>
      <c r="GW501">
        <v>0</v>
      </c>
      <c r="GX501">
        <v>0</v>
      </c>
      <c r="GY501">
        <v>0</v>
      </c>
      <c r="GZ501">
        <v>0</v>
      </c>
      <c r="HA501">
        <v>0</v>
      </c>
      <c r="HB501">
        <v>0</v>
      </c>
      <c r="HC501">
        <v>0</v>
      </c>
      <c r="HD501">
        <v>0</v>
      </c>
      <c r="HE501">
        <v>0</v>
      </c>
      <c r="HF501">
        <v>0</v>
      </c>
      <c r="HG501">
        <v>0</v>
      </c>
      <c r="HH501">
        <v>0</v>
      </c>
      <c r="HI501">
        <v>0</v>
      </c>
      <c r="HJ501">
        <v>0</v>
      </c>
      <c r="HK501">
        <v>0</v>
      </c>
      <c r="HL501">
        <v>0</v>
      </c>
      <c r="HM501">
        <v>0</v>
      </c>
      <c r="HN501">
        <v>0</v>
      </c>
      <c r="HO501">
        <v>0</v>
      </c>
      <c r="HP501">
        <v>0</v>
      </c>
      <c r="HQ501">
        <v>0</v>
      </c>
      <c r="HR501">
        <v>0</v>
      </c>
      <c r="HS501">
        <v>0</v>
      </c>
      <c r="HT501">
        <v>0</v>
      </c>
      <c r="HU501">
        <v>0</v>
      </c>
      <c r="HV501">
        <v>0</v>
      </c>
      <c r="HW501">
        <v>0</v>
      </c>
      <c r="HX501">
        <v>0</v>
      </c>
      <c r="HY501">
        <v>0</v>
      </c>
      <c r="HZ501">
        <v>0</v>
      </c>
      <c r="IA501">
        <v>0</v>
      </c>
      <c r="IB501">
        <v>0</v>
      </c>
      <c r="IC501">
        <v>0</v>
      </c>
      <c r="ID501">
        <v>0</v>
      </c>
      <c r="IE501">
        <v>0</v>
      </c>
      <c r="IF501">
        <v>0</v>
      </c>
      <c r="IG501">
        <v>0</v>
      </c>
      <c r="IH501">
        <v>0</v>
      </c>
      <c r="II501">
        <v>0</v>
      </c>
      <c r="IJ501">
        <v>0</v>
      </c>
      <c r="IK501">
        <v>0</v>
      </c>
      <c r="IL501">
        <v>0</v>
      </c>
      <c r="IM501">
        <v>0</v>
      </c>
      <c r="IN501">
        <v>0</v>
      </c>
      <c r="IO501">
        <v>0</v>
      </c>
      <c r="IP501">
        <v>0</v>
      </c>
      <c r="IQ501">
        <v>0</v>
      </c>
      <c r="IR501">
        <v>0</v>
      </c>
      <c r="IS501">
        <v>0</v>
      </c>
      <c r="IT501">
        <v>0</v>
      </c>
      <c r="IU501">
        <v>0</v>
      </c>
      <c r="IV501">
        <v>0</v>
      </c>
      <c r="IW501">
        <v>0</v>
      </c>
      <c r="IX501">
        <v>0</v>
      </c>
      <c r="IY501">
        <v>0</v>
      </c>
      <c r="IZ501">
        <v>0</v>
      </c>
      <c r="JA501">
        <v>0</v>
      </c>
      <c r="JB501">
        <v>0</v>
      </c>
      <c r="JC501">
        <v>0</v>
      </c>
      <c r="JD501">
        <v>0</v>
      </c>
      <c r="JE501">
        <v>0</v>
      </c>
      <c r="JF501">
        <v>0</v>
      </c>
      <c r="JG501">
        <v>0</v>
      </c>
      <c r="JH501">
        <v>0</v>
      </c>
      <c r="JI501">
        <v>0</v>
      </c>
      <c r="JJ501">
        <v>0</v>
      </c>
      <c r="JK501">
        <v>0</v>
      </c>
      <c r="JL501">
        <v>0</v>
      </c>
      <c r="JM501">
        <v>0</v>
      </c>
      <c r="JN501">
        <v>0</v>
      </c>
      <c r="JO501">
        <v>0</v>
      </c>
      <c r="JP501">
        <v>0</v>
      </c>
      <c r="JQ501">
        <v>0</v>
      </c>
      <c r="JR501">
        <v>0</v>
      </c>
      <c r="JS501">
        <v>0</v>
      </c>
      <c r="JT501">
        <v>0</v>
      </c>
      <c r="JU501">
        <v>0</v>
      </c>
      <c r="JV501">
        <v>0</v>
      </c>
      <c r="JW501">
        <v>0</v>
      </c>
      <c r="JX501">
        <v>0</v>
      </c>
      <c r="JY501">
        <v>0</v>
      </c>
      <c r="JZ501">
        <v>0</v>
      </c>
      <c r="KA501">
        <v>0</v>
      </c>
      <c r="KB501">
        <v>0</v>
      </c>
      <c r="KC501">
        <v>0</v>
      </c>
      <c r="KD501">
        <v>0</v>
      </c>
      <c r="KE501">
        <v>0</v>
      </c>
      <c r="KF501">
        <v>0</v>
      </c>
      <c r="KG501">
        <v>0</v>
      </c>
      <c r="KH501">
        <v>0</v>
      </c>
      <c r="KI501">
        <v>0</v>
      </c>
      <c r="KJ501">
        <v>0</v>
      </c>
      <c r="KK501">
        <v>0</v>
      </c>
      <c r="KL501">
        <v>0</v>
      </c>
      <c r="KM501">
        <v>0</v>
      </c>
      <c r="KN501">
        <v>0</v>
      </c>
      <c r="KO501">
        <v>0</v>
      </c>
      <c r="KP501">
        <v>0</v>
      </c>
      <c r="KQ501">
        <v>0</v>
      </c>
      <c r="KR501">
        <v>0</v>
      </c>
      <c r="KS501">
        <v>0</v>
      </c>
      <c r="KT501">
        <v>0</v>
      </c>
      <c r="KU501">
        <v>0</v>
      </c>
      <c r="KV501">
        <v>0</v>
      </c>
      <c r="KW501">
        <v>0</v>
      </c>
      <c r="KX501">
        <v>0</v>
      </c>
      <c r="KY501">
        <v>0</v>
      </c>
      <c r="KZ501">
        <v>0</v>
      </c>
      <c r="LA501">
        <v>0</v>
      </c>
      <c r="LB501">
        <v>0</v>
      </c>
      <c r="LC501">
        <v>0</v>
      </c>
      <c r="LD501">
        <v>0</v>
      </c>
      <c r="LE501">
        <v>0</v>
      </c>
      <c r="LF501">
        <v>0</v>
      </c>
      <c r="LG501">
        <v>0</v>
      </c>
      <c r="LH501">
        <v>0</v>
      </c>
      <c r="LI501">
        <v>0</v>
      </c>
      <c r="LJ501">
        <v>0</v>
      </c>
      <c r="LK501">
        <v>0</v>
      </c>
      <c r="LL501">
        <v>0</v>
      </c>
      <c r="LM501">
        <v>0</v>
      </c>
      <c r="LN501">
        <v>0</v>
      </c>
      <c r="LO501">
        <v>0</v>
      </c>
      <c r="LP501">
        <v>0</v>
      </c>
      <c r="LQ501">
        <v>0</v>
      </c>
      <c r="LR501">
        <v>0</v>
      </c>
      <c r="LS501">
        <v>0</v>
      </c>
      <c r="LT501">
        <v>0</v>
      </c>
      <c r="LU501">
        <v>0</v>
      </c>
      <c r="LV501">
        <v>0</v>
      </c>
      <c r="LW501">
        <v>0</v>
      </c>
      <c r="LX501">
        <v>0</v>
      </c>
      <c r="LY501">
        <v>0</v>
      </c>
      <c r="LZ501">
        <v>0</v>
      </c>
      <c r="MA501">
        <v>0</v>
      </c>
      <c r="MB501">
        <v>0</v>
      </c>
      <c r="MC501">
        <v>0</v>
      </c>
      <c r="MD501">
        <v>0</v>
      </c>
      <c r="ME501">
        <v>0</v>
      </c>
      <c r="MF501">
        <v>0</v>
      </c>
      <c r="MG501">
        <v>0</v>
      </c>
      <c r="MH501">
        <v>0</v>
      </c>
      <c r="MI501">
        <v>0</v>
      </c>
      <c r="MJ501">
        <v>0</v>
      </c>
      <c r="MK501">
        <v>0</v>
      </c>
      <c r="ML501">
        <v>0</v>
      </c>
      <c r="MM501">
        <v>0</v>
      </c>
      <c r="MN501">
        <v>0</v>
      </c>
      <c r="MO501">
        <v>0</v>
      </c>
      <c r="MP501">
        <v>0</v>
      </c>
      <c r="MQ501">
        <v>0</v>
      </c>
      <c r="MR501">
        <v>0</v>
      </c>
      <c r="MS501">
        <v>0</v>
      </c>
      <c r="MT501">
        <v>0</v>
      </c>
      <c r="MU501">
        <v>0</v>
      </c>
      <c r="MV501">
        <v>0</v>
      </c>
      <c r="MW501">
        <v>0</v>
      </c>
      <c r="MX501">
        <v>0</v>
      </c>
      <c r="MY501">
        <v>0</v>
      </c>
      <c r="MZ501">
        <v>0</v>
      </c>
      <c r="NA501">
        <v>0</v>
      </c>
      <c r="NB501">
        <v>0</v>
      </c>
      <c r="NC501">
        <v>0</v>
      </c>
      <c r="ND501">
        <v>0</v>
      </c>
      <c r="NE501">
        <v>0</v>
      </c>
    </row>
    <row r="502" spans="41:369" x14ac:dyDescent="0.45">
      <c r="AO502">
        <v>0</v>
      </c>
      <c r="AP502">
        <v>0</v>
      </c>
      <c r="AQ502">
        <v>0</v>
      </c>
      <c r="AR502">
        <v>0</v>
      </c>
      <c r="AS502">
        <v>0</v>
      </c>
      <c r="AT502">
        <v>0</v>
      </c>
      <c r="AU502">
        <v>0</v>
      </c>
      <c r="AV502">
        <v>0</v>
      </c>
      <c r="AW502" t="str">
        <v/>
      </c>
      <c r="AX502">
        <v>255</v>
      </c>
      <c r="AY502" s="5" t="str">
        <v/>
      </c>
      <c r="AZ502">
        <v>0</v>
      </c>
      <c r="BA502">
        <v>0</v>
      </c>
      <c r="BB502">
        <v>0</v>
      </c>
      <c r="BC502">
        <v>0</v>
      </c>
      <c r="BD502">
        <v>0</v>
      </c>
      <c r="BE502">
        <v>0</v>
      </c>
      <c r="BF502">
        <v>0</v>
      </c>
      <c r="BG502">
        <v>0</v>
      </c>
      <c r="BH502">
        <v>0</v>
      </c>
      <c r="BI502" t="str">
        <v/>
      </c>
      <c r="BK502">
        <v>496</v>
      </c>
      <c r="BL502">
        <v>0</v>
      </c>
      <c r="BM502">
        <v>0</v>
      </c>
      <c r="BN502">
        <v>0</v>
      </c>
      <c r="BO502">
        <v>0</v>
      </c>
      <c r="BP502">
        <v>0</v>
      </c>
      <c r="BQ502">
        <v>0</v>
      </c>
      <c r="BR502">
        <v>0</v>
      </c>
      <c r="BS502">
        <v>0</v>
      </c>
      <c r="BT502">
        <v>0</v>
      </c>
      <c r="BU502">
        <v>0</v>
      </c>
      <c r="BV502">
        <v>0</v>
      </c>
      <c r="BW502">
        <v>0</v>
      </c>
      <c r="BX502">
        <v>0</v>
      </c>
      <c r="BY502">
        <v>0</v>
      </c>
      <c r="BZ502">
        <v>0</v>
      </c>
      <c r="CA502">
        <v>0</v>
      </c>
      <c r="CB502">
        <v>0</v>
      </c>
      <c r="CC502">
        <v>0</v>
      </c>
      <c r="CD502">
        <v>0</v>
      </c>
      <c r="CE502">
        <v>0</v>
      </c>
      <c r="CF502">
        <v>0</v>
      </c>
      <c r="CG502">
        <v>0</v>
      </c>
      <c r="CH502">
        <v>0</v>
      </c>
      <c r="CI502">
        <v>0</v>
      </c>
      <c r="CJ502">
        <v>0</v>
      </c>
      <c r="CK502">
        <v>0</v>
      </c>
      <c r="CL502">
        <v>0</v>
      </c>
      <c r="CM502">
        <v>0</v>
      </c>
      <c r="CN502">
        <v>0</v>
      </c>
      <c r="CO502">
        <v>0</v>
      </c>
      <c r="CP502">
        <v>0</v>
      </c>
      <c r="CQ502">
        <v>0</v>
      </c>
      <c r="CR502">
        <v>0</v>
      </c>
      <c r="CS502">
        <v>0</v>
      </c>
      <c r="CT502">
        <v>0</v>
      </c>
      <c r="CU502">
        <v>0</v>
      </c>
      <c r="CV502">
        <v>0</v>
      </c>
      <c r="CW502">
        <v>0</v>
      </c>
      <c r="CX502">
        <v>0</v>
      </c>
      <c r="CY502">
        <v>0</v>
      </c>
      <c r="CZ502">
        <v>0</v>
      </c>
      <c r="DA502">
        <v>0</v>
      </c>
      <c r="DB502">
        <v>0</v>
      </c>
      <c r="DC502">
        <v>0</v>
      </c>
      <c r="DD502">
        <v>0</v>
      </c>
      <c r="DE502">
        <v>0</v>
      </c>
      <c r="DF502">
        <v>0</v>
      </c>
      <c r="DG502">
        <v>0</v>
      </c>
      <c r="DH502">
        <v>0</v>
      </c>
      <c r="DI502">
        <v>0</v>
      </c>
      <c r="DJ502">
        <v>0</v>
      </c>
      <c r="DK502">
        <v>0</v>
      </c>
      <c r="DL502">
        <v>0</v>
      </c>
      <c r="DM502">
        <v>0</v>
      </c>
      <c r="DN502">
        <v>0</v>
      </c>
      <c r="DO502">
        <v>0</v>
      </c>
      <c r="DP502">
        <v>0</v>
      </c>
      <c r="DQ502">
        <v>0</v>
      </c>
      <c r="DR502">
        <v>0</v>
      </c>
      <c r="DS502">
        <v>0</v>
      </c>
      <c r="DT502">
        <v>0</v>
      </c>
      <c r="DU502">
        <v>0</v>
      </c>
      <c r="DV502">
        <v>0</v>
      </c>
      <c r="DW502">
        <v>0</v>
      </c>
      <c r="DX502">
        <v>0</v>
      </c>
      <c r="DY502">
        <v>0</v>
      </c>
      <c r="DZ502">
        <v>0</v>
      </c>
      <c r="EA502">
        <v>0</v>
      </c>
      <c r="EB502">
        <v>0</v>
      </c>
      <c r="EC502">
        <v>0</v>
      </c>
      <c r="ED502">
        <v>0</v>
      </c>
      <c r="EE502">
        <v>0</v>
      </c>
      <c r="EF502">
        <v>0</v>
      </c>
      <c r="EG502">
        <v>0</v>
      </c>
      <c r="EH502">
        <v>0</v>
      </c>
      <c r="EI502">
        <v>0</v>
      </c>
      <c r="EJ502">
        <v>0</v>
      </c>
      <c r="EK502">
        <v>0</v>
      </c>
      <c r="EL502">
        <v>0</v>
      </c>
      <c r="EM502">
        <v>0</v>
      </c>
      <c r="EN502">
        <v>0</v>
      </c>
      <c r="EO502">
        <v>0</v>
      </c>
      <c r="EP502">
        <v>0</v>
      </c>
      <c r="EQ502">
        <v>0</v>
      </c>
      <c r="ER502">
        <v>0</v>
      </c>
      <c r="ES502">
        <v>0</v>
      </c>
      <c r="ET502">
        <v>0</v>
      </c>
      <c r="EU502">
        <v>0</v>
      </c>
      <c r="EV502">
        <v>0</v>
      </c>
      <c r="EW502">
        <v>0</v>
      </c>
      <c r="EX502">
        <v>0</v>
      </c>
      <c r="EY502">
        <v>0</v>
      </c>
      <c r="EZ502">
        <v>0</v>
      </c>
      <c r="FA502">
        <v>0</v>
      </c>
      <c r="FB502">
        <v>0</v>
      </c>
      <c r="FC502">
        <v>0</v>
      </c>
      <c r="FD502">
        <v>0</v>
      </c>
      <c r="FE502">
        <v>0</v>
      </c>
      <c r="FF502">
        <v>0</v>
      </c>
      <c r="FG502">
        <v>0</v>
      </c>
      <c r="FH502">
        <v>0</v>
      </c>
      <c r="FI502">
        <v>0</v>
      </c>
      <c r="FJ502">
        <v>0</v>
      </c>
      <c r="FK502">
        <v>0</v>
      </c>
      <c r="FL502">
        <v>0</v>
      </c>
      <c r="FM502">
        <v>0</v>
      </c>
      <c r="FN502">
        <v>0</v>
      </c>
      <c r="FO502">
        <v>0</v>
      </c>
      <c r="FP502">
        <v>0</v>
      </c>
      <c r="FQ502">
        <v>0</v>
      </c>
      <c r="FR502">
        <v>0</v>
      </c>
      <c r="FS502">
        <v>0</v>
      </c>
      <c r="FT502">
        <v>0</v>
      </c>
      <c r="FU502">
        <v>0</v>
      </c>
      <c r="FV502">
        <v>0</v>
      </c>
      <c r="FW502">
        <v>0</v>
      </c>
      <c r="FX502">
        <v>0</v>
      </c>
      <c r="FY502">
        <v>0</v>
      </c>
      <c r="FZ502">
        <v>0</v>
      </c>
      <c r="GA502">
        <v>0</v>
      </c>
      <c r="GB502">
        <v>0</v>
      </c>
      <c r="GC502">
        <v>0</v>
      </c>
      <c r="GD502">
        <v>0</v>
      </c>
      <c r="GE502">
        <v>0</v>
      </c>
      <c r="GF502">
        <v>0</v>
      </c>
      <c r="GG502">
        <v>0</v>
      </c>
      <c r="GH502">
        <v>0</v>
      </c>
      <c r="GI502">
        <v>0</v>
      </c>
      <c r="GJ502">
        <v>0</v>
      </c>
      <c r="GK502">
        <v>0</v>
      </c>
      <c r="GL502">
        <v>0</v>
      </c>
      <c r="GM502">
        <v>0</v>
      </c>
      <c r="GN502">
        <v>0</v>
      </c>
      <c r="GO502">
        <v>0</v>
      </c>
      <c r="GP502">
        <v>0</v>
      </c>
      <c r="GQ502">
        <v>0</v>
      </c>
      <c r="GR502">
        <v>0</v>
      </c>
      <c r="GS502">
        <v>0</v>
      </c>
      <c r="GT502">
        <v>0</v>
      </c>
      <c r="GU502">
        <v>0</v>
      </c>
      <c r="GV502">
        <v>0</v>
      </c>
      <c r="GW502">
        <v>0</v>
      </c>
      <c r="GX502">
        <v>0</v>
      </c>
      <c r="GY502">
        <v>0</v>
      </c>
      <c r="GZ502">
        <v>0</v>
      </c>
      <c r="HA502">
        <v>0</v>
      </c>
      <c r="HB502">
        <v>0</v>
      </c>
      <c r="HC502">
        <v>0</v>
      </c>
      <c r="HD502">
        <v>0</v>
      </c>
      <c r="HE502">
        <v>0</v>
      </c>
      <c r="HF502">
        <v>0</v>
      </c>
      <c r="HG502">
        <v>0</v>
      </c>
      <c r="HH502">
        <v>0</v>
      </c>
      <c r="HI502">
        <v>0</v>
      </c>
      <c r="HJ502">
        <v>0</v>
      </c>
      <c r="HK502">
        <v>0</v>
      </c>
      <c r="HL502">
        <v>0</v>
      </c>
      <c r="HM502">
        <v>0</v>
      </c>
      <c r="HN502">
        <v>0</v>
      </c>
      <c r="HO502">
        <v>0</v>
      </c>
      <c r="HP502">
        <v>0</v>
      </c>
      <c r="HQ502">
        <v>0</v>
      </c>
      <c r="HR502">
        <v>0</v>
      </c>
      <c r="HS502">
        <v>0</v>
      </c>
      <c r="HT502">
        <v>0</v>
      </c>
      <c r="HU502">
        <v>0</v>
      </c>
      <c r="HV502">
        <v>0</v>
      </c>
      <c r="HW502">
        <v>0</v>
      </c>
      <c r="HX502">
        <v>0</v>
      </c>
      <c r="HY502">
        <v>0</v>
      </c>
      <c r="HZ502">
        <v>0</v>
      </c>
      <c r="IA502">
        <v>0</v>
      </c>
      <c r="IB502">
        <v>0</v>
      </c>
      <c r="IC502">
        <v>0</v>
      </c>
      <c r="ID502">
        <v>0</v>
      </c>
      <c r="IE502">
        <v>0</v>
      </c>
      <c r="IF502">
        <v>0</v>
      </c>
      <c r="IG502">
        <v>0</v>
      </c>
      <c r="IH502">
        <v>0</v>
      </c>
      <c r="II502">
        <v>0</v>
      </c>
      <c r="IJ502">
        <v>0</v>
      </c>
      <c r="IK502">
        <v>0</v>
      </c>
      <c r="IL502">
        <v>0</v>
      </c>
      <c r="IM502">
        <v>0</v>
      </c>
      <c r="IN502">
        <v>0</v>
      </c>
      <c r="IO502">
        <v>0</v>
      </c>
      <c r="IP502">
        <v>0</v>
      </c>
      <c r="IQ502">
        <v>0</v>
      </c>
      <c r="IR502">
        <v>0</v>
      </c>
      <c r="IS502">
        <v>0</v>
      </c>
      <c r="IT502">
        <v>0</v>
      </c>
      <c r="IU502">
        <v>0</v>
      </c>
      <c r="IV502">
        <v>0</v>
      </c>
      <c r="IW502">
        <v>0</v>
      </c>
      <c r="IX502">
        <v>0</v>
      </c>
      <c r="IY502">
        <v>0</v>
      </c>
      <c r="IZ502">
        <v>0</v>
      </c>
      <c r="JA502">
        <v>0</v>
      </c>
      <c r="JB502">
        <v>0</v>
      </c>
      <c r="JC502">
        <v>0</v>
      </c>
      <c r="JD502">
        <v>0</v>
      </c>
      <c r="JE502">
        <v>0</v>
      </c>
      <c r="JF502">
        <v>0</v>
      </c>
      <c r="JG502">
        <v>0</v>
      </c>
      <c r="JH502">
        <v>0</v>
      </c>
      <c r="JI502">
        <v>0</v>
      </c>
      <c r="JJ502">
        <v>0</v>
      </c>
      <c r="JK502">
        <v>0</v>
      </c>
      <c r="JL502">
        <v>0</v>
      </c>
      <c r="JM502">
        <v>0</v>
      </c>
      <c r="JN502">
        <v>0</v>
      </c>
      <c r="JO502">
        <v>0</v>
      </c>
      <c r="JP502">
        <v>0</v>
      </c>
      <c r="JQ502">
        <v>0</v>
      </c>
      <c r="JR502">
        <v>0</v>
      </c>
      <c r="JS502">
        <v>0</v>
      </c>
      <c r="JT502">
        <v>0</v>
      </c>
      <c r="JU502">
        <v>0</v>
      </c>
      <c r="JV502">
        <v>0</v>
      </c>
      <c r="JW502">
        <v>0</v>
      </c>
      <c r="JX502">
        <v>0</v>
      </c>
      <c r="JY502">
        <v>0</v>
      </c>
      <c r="JZ502">
        <v>0</v>
      </c>
      <c r="KA502">
        <v>0</v>
      </c>
      <c r="KB502">
        <v>0</v>
      </c>
      <c r="KC502">
        <v>0</v>
      </c>
      <c r="KD502">
        <v>0</v>
      </c>
      <c r="KE502">
        <v>0</v>
      </c>
      <c r="KF502">
        <v>0</v>
      </c>
      <c r="KG502">
        <v>0</v>
      </c>
      <c r="KH502">
        <v>0</v>
      </c>
      <c r="KI502">
        <v>0</v>
      </c>
      <c r="KJ502">
        <v>0</v>
      </c>
      <c r="KK502">
        <v>0</v>
      </c>
      <c r="KL502">
        <v>0</v>
      </c>
      <c r="KM502">
        <v>0</v>
      </c>
      <c r="KN502">
        <v>0</v>
      </c>
      <c r="KO502">
        <v>0</v>
      </c>
      <c r="KP502">
        <v>0</v>
      </c>
      <c r="KQ502">
        <v>0</v>
      </c>
      <c r="KR502">
        <v>0</v>
      </c>
      <c r="KS502">
        <v>0</v>
      </c>
      <c r="KT502">
        <v>0</v>
      </c>
      <c r="KU502">
        <v>0</v>
      </c>
      <c r="KV502">
        <v>0</v>
      </c>
      <c r="KW502">
        <v>0</v>
      </c>
      <c r="KX502">
        <v>0</v>
      </c>
      <c r="KY502">
        <v>0</v>
      </c>
      <c r="KZ502">
        <v>0</v>
      </c>
      <c r="LA502">
        <v>0</v>
      </c>
      <c r="LB502">
        <v>0</v>
      </c>
      <c r="LC502">
        <v>0</v>
      </c>
      <c r="LD502">
        <v>0</v>
      </c>
      <c r="LE502">
        <v>0</v>
      </c>
      <c r="LF502">
        <v>0</v>
      </c>
      <c r="LG502">
        <v>0</v>
      </c>
      <c r="LH502">
        <v>0</v>
      </c>
      <c r="LI502">
        <v>0</v>
      </c>
      <c r="LJ502">
        <v>0</v>
      </c>
      <c r="LK502">
        <v>0</v>
      </c>
      <c r="LL502">
        <v>0</v>
      </c>
      <c r="LM502">
        <v>0</v>
      </c>
      <c r="LN502">
        <v>0</v>
      </c>
      <c r="LO502">
        <v>0</v>
      </c>
      <c r="LP502">
        <v>0</v>
      </c>
      <c r="LQ502">
        <v>0</v>
      </c>
      <c r="LR502">
        <v>0</v>
      </c>
      <c r="LS502">
        <v>0</v>
      </c>
      <c r="LT502">
        <v>0</v>
      </c>
      <c r="LU502">
        <v>0</v>
      </c>
      <c r="LV502">
        <v>0</v>
      </c>
      <c r="LW502">
        <v>0</v>
      </c>
      <c r="LX502">
        <v>0</v>
      </c>
      <c r="LY502">
        <v>0</v>
      </c>
      <c r="LZ502">
        <v>0</v>
      </c>
      <c r="MA502">
        <v>0</v>
      </c>
      <c r="MB502">
        <v>0</v>
      </c>
      <c r="MC502">
        <v>0</v>
      </c>
      <c r="MD502">
        <v>0</v>
      </c>
      <c r="ME502">
        <v>0</v>
      </c>
      <c r="MF502">
        <v>0</v>
      </c>
      <c r="MG502">
        <v>0</v>
      </c>
      <c r="MH502">
        <v>0</v>
      </c>
      <c r="MI502">
        <v>0</v>
      </c>
      <c r="MJ502">
        <v>0</v>
      </c>
      <c r="MK502">
        <v>0</v>
      </c>
      <c r="ML502">
        <v>0</v>
      </c>
      <c r="MM502">
        <v>0</v>
      </c>
      <c r="MN502">
        <v>0</v>
      </c>
      <c r="MO502">
        <v>0</v>
      </c>
      <c r="MP502">
        <v>0</v>
      </c>
      <c r="MQ502">
        <v>0</v>
      </c>
      <c r="MR502">
        <v>0</v>
      </c>
      <c r="MS502">
        <v>0</v>
      </c>
      <c r="MT502">
        <v>0</v>
      </c>
      <c r="MU502">
        <v>0</v>
      </c>
      <c r="MV502">
        <v>0</v>
      </c>
      <c r="MW502">
        <v>0</v>
      </c>
      <c r="MX502">
        <v>0</v>
      </c>
      <c r="MY502">
        <v>0</v>
      </c>
      <c r="MZ502">
        <v>0</v>
      </c>
      <c r="NA502">
        <v>0</v>
      </c>
      <c r="NB502">
        <v>0</v>
      </c>
      <c r="NC502">
        <v>0</v>
      </c>
      <c r="ND502">
        <v>0</v>
      </c>
      <c r="NE502">
        <v>0</v>
      </c>
    </row>
    <row r="503" spans="41:369" x14ac:dyDescent="0.45">
      <c r="BK503">
        <v>497</v>
      </c>
      <c r="BL503">
        <v>0</v>
      </c>
      <c r="BM503">
        <v>0</v>
      </c>
      <c r="BN503">
        <v>0</v>
      </c>
      <c r="BO503">
        <v>0</v>
      </c>
      <c r="BP503">
        <v>0</v>
      </c>
      <c r="BQ503">
        <v>0</v>
      </c>
      <c r="BR503">
        <v>0</v>
      </c>
      <c r="BS503">
        <v>0</v>
      </c>
      <c r="BT503">
        <v>0</v>
      </c>
      <c r="BU503">
        <v>0</v>
      </c>
      <c r="BV503">
        <v>0</v>
      </c>
      <c r="BW503">
        <v>0</v>
      </c>
      <c r="BX503">
        <v>0</v>
      </c>
      <c r="BY503">
        <v>0</v>
      </c>
      <c r="BZ503">
        <v>0</v>
      </c>
      <c r="CA503">
        <v>0</v>
      </c>
      <c r="CB503">
        <v>0</v>
      </c>
      <c r="CC503">
        <v>0</v>
      </c>
      <c r="CD503">
        <v>0</v>
      </c>
      <c r="CE503">
        <v>0</v>
      </c>
      <c r="CF503">
        <v>0</v>
      </c>
      <c r="CG503">
        <v>0</v>
      </c>
      <c r="CH503">
        <v>0</v>
      </c>
      <c r="CI503">
        <v>0</v>
      </c>
      <c r="CJ503">
        <v>0</v>
      </c>
      <c r="CK503">
        <v>0</v>
      </c>
      <c r="CL503">
        <v>0</v>
      </c>
      <c r="CM503">
        <v>0</v>
      </c>
      <c r="CN503">
        <v>0</v>
      </c>
      <c r="CO503">
        <v>0</v>
      </c>
      <c r="CP503">
        <v>0</v>
      </c>
      <c r="CQ503">
        <v>0</v>
      </c>
      <c r="CR503">
        <v>0</v>
      </c>
      <c r="CS503">
        <v>0</v>
      </c>
      <c r="CT503">
        <v>0</v>
      </c>
      <c r="CU503">
        <v>0</v>
      </c>
      <c r="CV503">
        <v>0</v>
      </c>
      <c r="CW503">
        <v>0</v>
      </c>
      <c r="CX503">
        <v>0</v>
      </c>
      <c r="CY503">
        <v>0</v>
      </c>
      <c r="CZ503">
        <v>0</v>
      </c>
      <c r="DA503">
        <v>0</v>
      </c>
      <c r="DB503">
        <v>0</v>
      </c>
      <c r="DC503">
        <v>0</v>
      </c>
      <c r="DD503">
        <v>0</v>
      </c>
      <c r="DE503">
        <v>0</v>
      </c>
      <c r="DF503">
        <v>0</v>
      </c>
      <c r="DG503">
        <v>0</v>
      </c>
      <c r="DH503">
        <v>0</v>
      </c>
      <c r="DI503">
        <v>0</v>
      </c>
      <c r="DJ503">
        <v>0</v>
      </c>
      <c r="DK503">
        <v>0</v>
      </c>
      <c r="DL503">
        <v>0</v>
      </c>
      <c r="DM503">
        <v>0</v>
      </c>
      <c r="DN503">
        <v>0</v>
      </c>
      <c r="DO503">
        <v>0</v>
      </c>
      <c r="DP503">
        <v>0</v>
      </c>
      <c r="DQ503">
        <v>0</v>
      </c>
      <c r="DR503">
        <v>0</v>
      </c>
      <c r="DS503">
        <v>0</v>
      </c>
      <c r="DT503">
        <v>0</v>
      </c>
      <c r="DU503">
        <v>0</v>
      </c>
      <c r="DV503">
        <v>0</v>
      </c>
      <c r="DW503">
        <v>0</v>
      </c>
      <c r="DX503">
        <v>0</v>
      </c>
      <c r="DY503">
        <v>0</v>
      </c>
      <c r="DZ503">
        <v>0</v>
      </c>
      <c r="EA503">
        <v>0</v>
      </c>
      <c r="EB503">
        <v>0</v>
      </c>
      <c r="EC503">
        <v>0</v>
      </c>
      <c r="ED503">
        <v>0</v>
      </c>
      <c r="EE503">
        <v>0</v>
      </c>
      <c r="EF503">
        <v>0</v>
      </c>
      <c r="EG503">
        <v>0</v>
      </c>
      <c r="EH503">
        <v>0</v>
      </c>
      <c r="EI503">
        <v>0</v>
      </c>
      <c r="EJ503">
        <v>0</v>
      </c>
      <c r="EK503">
        <v>0</v>
      </c>
      <c r="EL503">
        <v>0</v>
      </c>
      <c r="EM503">
        <v>0</v>
      </c>
      <c r="EN503">
        <v>0</v>
      </c>
      <c r="EO503">
        <v>0</v>
      </c>
      <c r="EP503">
        <v>0</v>
      </c>
      <c r="EQ503">
        <v>0</v>
      </c>
      <c r="ER503">
        <v>0</v>
      </c>
      <c r="ES503">
        <v>0</v>
      </c>
      <c r="ET503">
        <v>0</v>
      </c>
      <c r="EU503">
        <v>0</v>
      </c>
      <c r="EV503">
        <v>0</v>
      </c>
      <c r="EW503">
        <v>0</v>
      </c>
      <c r="EX503">
        <v>0</v>
      </c>
      <c r="EY503">
        <v>0</v>
      </c>
      <c r="EZ503">
        <v>0</v>
      </c>
      <c r="FA503">
        <v>0</v>
      </c>
      <c r="FB503">
        <v>0</v>
      </c>
      <c r="FC503">
        <v>0</v>
      </c>
      <c r="FD503">
        <v>0</v>
      </c>
      <c r="FE503">
        <v>0</v>
      </c>
      <c r="FF503">
        <v>0</v>
      </c>
      <c r="FG503">
        <v>0</v>
      </c>
      <c r="FH503">
        <v>0</v>
      </c>
      <c r="FI503">
        <v>0</v>
      </c>
      <c r="FJ503">
        <v>0</v>
      </c>
      <c r="FK503">
        <v>0</v>
      </c>
      <c r="FL503">
        <v>0</v>
      </c>
      <c r="FM503">
        <v>0</v>
      </c>
      <c r="FN503">
        <v>0</v>
      </c>
      <c r="FO503">
        <v>0</v>
      </c>
      <c r="FP503">
        <v>0</v>
      </c>
      <c r="FQ503">
        <v>0</v>
      </c>
      <c r="FR503">
        <v>0</v>
      </c>
      <c r="FS503">
        <v>0</v>
      </c>
      <c r="FT503">
        <v>0</v>
      </c>
      <c r="FU503">
        <v>0</v>
      </c>
      <c r="FV503">
        <v>0</v>
      </c>
      <c r="FW503">
        <v>0</v>
      </c>
      <c r="FX503">
        <v>0</v>
      </c>
      <c r="FY503">
        <v>0</v>
      </c>
      <c r="FZ503">
        <v>0</v>
      </c>
      <c r="GA503">
        <v>0</v>
      </c>
      <c r="GB503">
        <v>0</v>
      </c>
      <c r="GC503">
        <v>0</v>
      </c>
      <c r="GD503">
        <v>0</v>
      </c>
      <c r="GE503">
        <v>0</v>
      </c>
      <c r="GF503">
        <v>0</v>
      </c>
      <c r="GG503">
        <v>0</v>
      </c>
      <c r="GH503">
        <v>0</v>
      </c>
      <c r="GI503">
        <v>0</v>
      </c>
      <c r="GJ503">
        <v>0</v>
      </c>
      <c r="GK503">
        <v>0</v>
      </c>
      <c r="GL503">
        <v>0</v>
      </c>
      <c r="GM503">
        <v>0</v>
      </c>
      <c r="GN503">
        <v>0</v>
      </c>
      <c r="GO503">
        <v>0</v>
      </c>
      <c r="GP503">
        <v>0</v>
      </c>
      <c r="GQ503">
        <v>0</v>
      </c>
      <c r="GR503">
        <v>0</v>
      </c>
      <c r="GS503">
        <v>0</v>
      </c>
      <c r="GT503">
        <v>0</v>
      </c>
      <c r="GU503">
        <v>0</v>
      </c>
      <c r="GV503">
        <v>0</v>
      </c>
      <c r="GW503">
        <v>0</v>
      </c>
      <c r="GX503">
        <v>0</v>
      </c>
      <c r="GY503">
        <v>0</v>
      </c>
      <c r="GZ503">
        <v>0</v>
      </c>
      <c r="HA503">
        <v>0</v>
      </c>
      <c r="HB503">
        <v>0</v>
      </c>
      <c r="HC503">
        <v>0</v>
      </c>
      <c r="HD503">
        <v>0</v>
      </c>
      <c r="HE503">
        <v>0</v>
      </c>
      <c r="HF503">
        <v>0</v>
      </c>
      <c r="HG503">
        <v>0</v>
      </c>
      <c r="HH503">
        <v>0</v>
      </c>
      <c r="HI503">
        <v>0</v>
      </c>
      <c r="HJ503">
        <v>0</v>
      </c>
      <c r="HK503">
        <v>0</v>
      </c>
      <c r="HL503">
        <v>0</v>
      </c>
      <c r="HM503">
        <v>0</v>
      </c>
      <c r="HN503">
        <v>0</v>
      </c>
      <c r="HO503">
        <v>0</v>
      </c>
      <c r="HP503">
        <v>0</v>
      </c>
      <c r="HQ503">
        <v>0</v>
      </c>
      <c r="HR503">
        <v>0</v>
      </c>
      <c r="HS503">
        <v>0</v>
      </c>
      <c r="HT503">
        <v>0</v>
      </c>
      <c r="HU503">
        <v>0</v>
      </c>
      <c r="HV503">
        <v>0</v>
      </c>
      <c r="HW503">
        <v>0</v>
      </c>
      <c r="HX503">
        <v>0</v>
      </c>
      <c r="HY503">
        <v>0</v>
      </c>
      <c r="HZ503">
        <v>0</v>
      </c>
      <c r="IA503">
        <v>0</v>
      </c>
      <c r="IB503">
        <v>0</v>
      </c>
      <c r="IC503">
        <v>0</v>
      </c>
      <c r="ID503">
        <v>0</v>
      </c>
      <c r="IE503">
        <v>0</v>
      </c>
      <c r="IF503">
        <v>0</v>
      </c>
      <c r="IG503">
        <v>0</v>
      </c>
      <c r="IH503">
        <v>0</v>
      </c>
      <c r="II503">
        <v>0</v>
      </c>
      <c r="IJ503">
        <v>0</v>
      </c>
      <c r="IK503">
        <v>0</v>
      </c>
      <c r="IL503">
        <v>0</v>
      </c>
      <c r="IM503">
        <v>0</v>
      </c>
      <c r="IN503">
        <v>0</v>
      </c>
      <c r="IO503">
        <v>0</v>
      </c>
      <c r="IP503">
        <v>0</v>
      </c>
      <c r="IQ503">
        <v>0</v>
      </c>
      <c r="IR503">
        <v>0</v>
      </c>
      <c r="IS503">
        <v>0</v>
      </c>
      <c r="IT503">
        <v>0</v>
      </c>
      <c r="IU503">
        <v>0</v>
      </c>
      <c r="IV503">
        <v>0</v>
      </c>
      <c r="IW503">
        <v>0</v>
      </c>
      <c r="IX503">
        <v>0</v>
      </c>
      <c r="IY503">
        <v>0</v>
      </c>
      <c r="IZ503">
        <v>0</v>
      </c>
      <c r="JA503">
        <v>0</v>
      </c>
      <c r="JB503">
        <v>0</v>
      </c>
      <c r="JC503">
        <v>0</v>
      </c>
      <c r="JD503">
        <v>0</v>
      </c>
      <c r="JE503">
        <v>0</v>
      </c>
      <c r="JF503">
        <v>0</v>
      </c>
      <c r="JG503">
        <v>0</v>
      </c>
      <c r="JH503">
        <v>0</v>
      </c>
      <c r="JI503">
        <v>0</v>
      </c>
      <c r="JJ503">
        <v>0</v>
      </c>
      <c r="JK503">
        <v>0</v>
      </c>
      <c r="JL503">
        <v>0</v>
      </c>
      <c r="JM503">
        <v>0</v>
      </c>
      <c r="JN503">
        <v>0</v>
      </c>
      <c r="JO503">
        <v>0</v>
      </c>
      <c r="JP503">
        <v>0</v>
      </c>
      <c r="JQ503">
        <v>0</v>
      </c>
      <c r="JR503">
        <v>0</v>
      </c>
      <c r="JS503">
        <v>0</v>
      </c>
      <c r="JT503">
        <v>0</v>
      </c>
      <c r="JU503">
        <v>0</v>
      </c>
      <c r="JV503">
        <v>0</v>
      </c>
      <c r="JW503">
        <v>0</v>
      </c>
      <c r="JX503">
        <v>0</v>
      </c>
      <c r="JY503">
        <v>0</v>
      </c>
      <c r="JZ503">
        <v>0</v>
      </c>
      <c r="KA503">
        <v>0</v>
      </c>
      <c r="KB503">
        <v>0</v>
      </c>
      <c r="KC503">
        <v>0</v>
      </c>
      <c r="KD503">
        <v>0</v>
      </c>
      <c r="KE503">
        <v>0</v>
      </c>
      <c r="KF503">
        <v>0</v>
      </c>
      <c r="KG503">
        <v>0</v>
      </c>
      <c r="KH503">
        <v>0</v>
      </c>
      <c r="KI503">
        <v>0</v>
      </c>
      <c r="KJ503">
        <v>0</v>
      </c>
      <c r="KK503">
        <v>0</v>
      </c>
      <c r="KL503">
        <v>0</v>
      </c>
      <c r="KM503">
        <v>0</v>
      </c>
      <c r="KN503">
        <v>0</v>
      </c>
      <c r="KO503">
        <v>0</v>
      </c>
      <c r="KP503">
        <v>0</v>
      </c>
      <c r="KQ503">
        <v>0</v>
      </c>
      <c r="KR503">
        <v>0</v>
      </c>
      <c r="KS503">
        <v>0</v>
      </c>
      <c r="KT503">
        <v>0</v>
      </c>
      <c r="KU503">
        <v>0</v>
      </c>
      <c r="KV503">
        <v>0</v>
      </c>
      <c r="KW503">
        <v>0</v>
      </c>
      <c r="KX503">
        <v>0</v>
      </c>
      <c r="KY503">
        <v>0</v>
      </c>
      <c r="KZ503">
        <v>0</v>
      </c>
      <c r="LA503">
        <v>0</v>
      </c>
      <c r="LB503">
        <v>0</v>
      </c>
      <c r="LC503">
        <v>0</v>
      </c>
      <c r="LD503">
        <v>0</v>
      </c>
      <c r="LE503">
        <v>0</v>
      </c>
      <c r="LF503">
        <v>0</v>
      </c>
      <c r="LG503">
        <v>0</v>
      </c>
      <c r="LH503">
        <v>0</v>
      </c>
      <c r="LI503">
        <v>0</v>
      </c>
      <c r="LJ503">
        <v>0</v>
      </c>
      <c r="LK503">
        <v>0</v>
      </c>
      <c r="LL503">
        <v>0</v>
      </c>
      <c r="LM503">
        <v>0</v>
      </c>
      <c r="LN503">
        <v>0</v>
      </c>
      <c r="LO503">
        <v>0</v>
      </c>
      <c r="LP503">
        <v>0</v>
      </c>
      <c r="LQ503">
        <v>0</v>
      </c>
      <c r="LR503">
        <v>0</v>
      </c>
      <c r="LS503">
        <v>0</v>
      </c>
      <c r="LT503">
        <v>0</v>
      </c>
      <c r="LU503">
        <v>0</v>
      </c>
      <c r="LV503">
        <v>0</v>
      </c>
      <c r="LW503">
        <v>0</v>
      </c>
      <c r="LX503">
        <v>0</v>
      </c>
      <c r="LY503">
        <v>0</v>
      </c>
      <c r="LZ503">
        <v>0</v>
      </c>
      <c r="MA503">
        <v>0</v>
      </c>
      <c r="MB503">
        <v>0</v>
      </c>
      <c r="MC503">
        <v>0</v>
      </c>
      <c r="MD503">
        <v>0</v>
      </c>
      <c r="ME503">
        <v>0</v>
      </c>
      <c r="MF503">
        <v>0</v>
      </c>
      <c r="MG503">
        <v>0</v>
      </c>
      <c r="MH503">
        <v>0</v>
      </c>
      <c r="MI503">
        <v>0</v>
      </c>
      <c r="MJ503">
        <v>0</v>
      </c>
      <c r="MK503">
        <v>0</v>
      </c>
      <c r="ML503">
        <v>0</v>
      </c>
      <c r="MM503">
        <v>0</v>
      </c>
      <c r="MN503">
        <v>0</v>
      </c>
      <c r="MO503">
        <v>0</v>
      </c>
      <c r="MP503">
        <v>0</v>
      </c>
      <c r="MQ503">
        <v>0</v>
      </c>
      <c r="MR503">
        <v>0</v>
      </c>
      <c r="MS503">
        <v>0</v>
      </c>
      <c r="MT503">
        <v>0</v>
      </c>
      <c r="MU503">
        <v>0</v>
      </c>
      <c r="MV503">
        <v>0</v>
      </c>
      <c r="MW503">
        <v>0</v>
      </c>
      <c r="MX503">
        <v>0</v>
      </c>
      <c r="MY503">
        <v>0</v>
      </c>
      <c r="MZ503">
        <v>0</v>
      </c>
      <c r="NA503">
        <v>0</v>
      </c>
      <c r="NB503">
        <v>0</v>
      </c>
      <c r="NC503">
        <v>0</v>
      </c>
      <c r="ND503">
        <v>0</v>
      </c>
      <c r="NE503">
        <v>0</v>
      </c>
    </row>
    <row r="504" spans="41:369" x14ac:dyDescent="0.45">
      <c r="BK504">
        <v>498</v>
      </c>
      <c r="BL504">
        <v>0</v>
      </c>
      <c r="BM504">
        <v>0</v>
      </c>
      <c r="BN504">
        <v>0</v>
      </c>
      <c r="BO504">
        <v>0</v>
      </c>
      <c r="BP504">
        <v>0</v>
      </c>
      <c r="BQ504">
        <v>0</v>
      </c>
      <c r="BR504">
        <v>0</v>
      </c>
      <c r="BS504">
        <v>0</v>
      </c>
      <c r="BT504">
        <v>0</v>
      </c>
      <c r="BU504">
        <v>0</v>
      </c>
      <c r="BV504">
        <v>0</v>
      </c>
      <c r="BW504">
        <v>0</v>
      </c>
      <c r="BX504">
        <v>0</v>
      </c>
      <c r="BY504">
        <v>0</v>
      </c>
      <c r="BZ504">
        <v>0</v>
      </c>
      <c r="CA504">
        <v>0</v>
      </c>
      <c r="CB504">
        <v>0</v>
      </c>
      <c r="CC504">
        <v>0</v>
      </c>
      <c r="CD504">
        <v>0</v>
      </c>
      <c r="CE504">
        <v>0</v>
      </c>
      <c r="CF504">
        <v>0</v>
      </c>
      <c r="CG504">
        <v>0</v>
      </c>
      <c r="CH504">
        <v>0</v>
      </c>
      <c r="CI504">
        <v>0</v>
      </c>
      <c r="CJ504">
        <v>0</v>
      </c>
      <c r="CK504">
        <v>0</v>
      </c>
      <c r="CL504">
        <v>0</v>
      </c>
      <c r="CM504">
        <v>0</v>
      </c>
      <c r="CN504">
        <v>0</v>
      </c>
      <c r="CO504">
        <v>0</v>
      </c>
      <c r="CP504">
        <v>0</v>
      </c>
      <c r="CQ504">
        <v>0</v>
      </c>
      <c r="CR504">
        <v>0</v>
      </c>
      <c r="CS504">
        <v>0</v>
      </c>
      <c r="CT504">
        <v>0</v>
      </c>
      <c r="CU504">
        <v>0</v>
      </c>
      <c r="CV504">
        <v>0</v>
      </c>
      <c r="CW504">
        <v>0</v>
      </c>
      <c r="CX504">
        <v>0</v>
      </c>
      <c r="CY504">
        <v>0</v>
      </c>
      <c r="CZ504">
        <v>0</v>
      </c>
      <c r="DA504">
        <v>0</v>
      </c>
      <c r="DB504">
        <v>0</v>
      </c>
      <c r="DC504">
        <v>0</v>
      </c>
      <c r="DD504">
        <v>0</v>
      </c>
      <c r="DE504">
        <v>0</v>
      </c>
      <c r="DF504">
        <v>0</v>
      </c>
      <c r="DG504">
        <v>0</v>
      </c>
      <c r="DH504">
        <v>0</v>
      </c>
      <c r="DI504">
        <v>0</v>
      </c>
      <c r="DJ504">
        <v>0</v>
      </c>
      <c r="DK504">
        <v>0</v>
      </c>
      <c r="DL504">
        <v>0</v>
      </c>
      <c r="DM504">
        <v>0</v>
      </c>
      <c r="DN504">
        <v>0</v>
      </c>
      <c r="DO504">
        <v>0</v>
      </c>
      <c r="DP504">
        <v>0</v>
      </c>
      <c r="DQ504">
        <v>0</v>
      </c>
      <c r="DR504">
        <v>0</v>
      </c>
      <c r="DS504">
        <v>0</v>
      </c>
      <c r="DT504">
        <v>0</v>
      </c>
      <c r="DU504">
        <v>0</v>
      </c>
      <c r="DV504">
        <v>0</v>
      </c>
      <c r="DW504">
        <v>0</v>
      </c>
      <c r="DX504">
        <v>0</v>
      </c>
      <c r="DY504">
        <v>0</v>
      </c>
      <c r="DZ504">
        <v>0</v>
      </c>
      <c r="EA504">
        <v>0</v>
      </c>
      <c r="EB504">
        <v>0</v>
      </c>
      <c r="EC504">
        <v>0</v>
      </c>
      <c r="ED504">
        <v>0</v>
      </c>
      <c r="EE504">
        <v>0</v>
      </c>
      <c r="EF504">
        <v>0</v>
      </c>
      <c r="EG504">
        <v>0</v>
      </c>
      <c r="EH504">
        <v>0</v>
      </c>
      <c r="EI504">
        <v>0</v>
      </c>
      <c r="EJ504">
        <v>0</v>
      </c>
      <c r="EK504">
        <v>0</v>
      </c>
      <c r="EL504">
        <v>0</v>
      </c>
      <c r="EM504">
        <v>0</v>
      </c>
      <c r="EN504">
        <v>0</v>
      </c>
      <c r="EO504">
        <v>0</v>
      </c>
      <c r="EP504">
        <v>0</v>
      </c>
      <c r="EQ504">
        <v>0</v>
      </c>
      <c r="ER504">
        <v>0</v>
      </c>
      <c r="ES504">
        <v>0</v>
      </c>
      <c r="ET504">
        <v>0</v>
      </c>
      <c r="EU504">
        <v>0</v>
      </c>
      <c r="EV504">
        <v>0</v>
      </c>
      <c r="EW504">
        <v>0</v>
      </c>
      <c r="EX504">
        <v>0</v>
      </c>
      <c r="EY504">
        <v>0</v>
      </c>
      <c r="EZ504">
        <v>0</v>
      </c>
      <c r="FA504">
        <v>0</v>
      </c>
      <c r="FB504">
        <v>0</v>
      </c>
      <c r="FC504">
        <v>0</v>
      </c>
      <c r="FD504">
        <v>0</v>
      </c>
      <c r="FE504">
        <v>0</v>
      </c>
      <c r="FF504">
        <v>0</v>
      </c>
      <c r="FG504">
        <v>0</v>
      </c>
      <c r="FH504">
        <v>0</v>
      </c>
      <c r="FI504">
        <v>0</v>
      </c>
      <c r="FJ504">
        <v>0</v>
      </c>
      <c r="FK504">
        <v>0</v>
      </c>
      <c r="FL504">
        <v>0</v>
      </c>
      <c r="FM504">
        <v>0</v>
      </c>
      <c r="FN504">
        <v>0</v>
      </c>
      <c r="FO504">
        <v>0</v>
      </c>
      <c r="FP504">
        <v>0</v>
      </c>
      <c r="FQ504">
        <v>0</v>
      </c>
      <c r="FR504">
        <v>0</v>
      </c>
      <c r="FS504">
        <v>0</v>
      </c>
      <c r="FT504">
        <v>0</v>
      </c>
      <c r="FU504">
        <v>0</v>
      </c>
      <c r="FV504">
        <v>0</v>
      </c>
      <c r="FW504">
        <v>0</v>
      </c>
      <c r="FX504">
        <v>0</v>
      </c>
      <c r="FY504">
        <v>0</v>
      </c>
      <c r="FZ504">
        <v>0</v>
      </c>
      <c r="GA504">
        <v>0</v>
      </c>
      <c r="GB504">
        <v>0</v>
      </c>
      <c r="GC504">
        <v>0</v>
      </c>
      <c r="GD504">
        <v>0</v>
      </c>
      <c r="GE504">
        <v>0</v>
      </c>
      <c r="GF504">
        <v>0</v>
      </c>
      <c r="GG504">
        <v>0</v>
      </c>
      <c r="GH504">
        <v>0</v>
      </c>
      <c r="GI504">
        <v>0</v>
      </c>
      <c r="GJ504">
        <v>0</v>
      </c>
      <c r="GK504">
        <v>0</v>
      </c>
      <c r="GL504">
        <v>0</v>
      </c>
      <c r="GM504">
        <v>0</v>
      </c>
      <c r="GN504">
        <v>0</v>
      </c>
      <c r="GO504">
        <v>0</v>
      </c>
      <c r="GP504">
        <v>0</v>
      </c>
      <c r="GQ504">
        <v>0</v>
      </c>
      <c r="GR504">
        <v>0</v>
      </c>
      <c r="GS504">
        <v>0</v>
      </c>
      <c r="GT504">
        <v>0</v>
      </c>
      <c r="GU504">
        <v>0</v>
      </c>
      <c r="GV504">
        <v>0</v>
      </c>
      <c r="GW504">
        <v>0</v>
      </c>
      <c r="GX504">
        <v>0</v>
      </c>
      <c r="GY504">
        <v>0</v>
      </c>
      <c r="GZ504">
        <v>0</v>
      </c>
      <c r="HA504">
        <v>0</v>
      </c>
      <c r="HB504">
        <v>0</v>
      </c>
      <c r="HC504">
        <v>0</v>
      </c>
      <c r="HD504">
        <v>0</v>
      </c>
      <c r="HE504">
        <v>0</v>
      </c>
      <c r="HF504">
        <v>0</v>
      </c>
      <c r="HG504">
        <v>0</v>
      </c>
      <c r="HH504">
        <v>0</v>
      </c>
      <c r="HI504">
        <v>0</v>
      </c>
      <c r="HJ504">
        <v>0</v>
      </c>
      <c r="HK504">
        <v>0</v>
      </c>
      <c r="HL504">
        <v>0</v>
      </c>
      <c r="HM504">
        <v>0</v>
      </c>
      <c r="HN504">
        <v>0</v>
      </c>
      <c r="HO504">
        <v>0</v>
      </c>
      <c r="HP504">
        <v>0</v>
      </c>
      <c r="HQ504">
        <v>0</v>
      </c>
      <c r="HR504">
        <v>0</v>
      </c>
      <c r="HS504">
        <v>0</v>
      </c>
      <c r="HT504">
        <v>0</v>
      </c>
      <c r="HU504">
        <v>0</v>
      </c>
      <c r="HV504">
        <v>0</v>
      </c>
      <c r="HW504">
        <v>0</v>
      </c>
      <c r="HX504">
        <v>0</v>
      </c>
      <c r="HY504">
        <v>0</v>
      </c>
      <c r="HZ504">
        <v>0</v>
      </c>
      <c r="IA504">
        <v>0</v>
      </c>
      <c r="IB504">
        <v>0</v>
      </c>
      <c r="IC504">
        <v>0</v>
      </c>
      <c r="ID504">
        <v>0</v>
      </c>
      <c r="IE504">
        <v>0</v>
      </c>
      <c r="IF504">
        <v>0</v>
      </c>
      <c r="IG504">
        <v>0</v>
      </c>
      <c r="IH504">
        <v>0</v>
      </c>
      <c r="II504">
        <v>0</v>
      </c>
      <c r="IJ504">
        <v>0</v>
      </c>
      <c r="IK504">
        <v>0</v>
      </c>
      <c r="IL504">
        <v>0</v>
      </c>
      <c r="IM504">
        <v>0</v>
      </c>
      <c r="IN504">
        <v>0</v>
      </c>
      <c r="IO504">
        <v>0</v>
      </c>
      <c r="IP504">
        <v>0</v>
      </c>
      <c r="IQ504">
        <v>0</v>
      </c>
      <c r="IR504">
        <v>0</v>
      </c>
      <c r="IS504">
        <v>0</v>
      </c>
      <c r="IT504">
        <v>0</v>
      </c>
      <c r="IU504">
        <v>0</v>
      </c>
      <c r="IV504">
        <v>0</v>
      </c>
      <c r="IW504">
        <v>0</v>
      </c>
      <c r="IX504">
        <v>0</v>
      </c>
      <c r="IY504">
        <v>0</v>
      </c>
      <c r="IZ504">
        <v>0</v>
      </c>
      <c r="JA504">
        <v>0</v>
      </c>
      <c r="JB504">
        <v>0</v>
      </c>
      <c r="JC504">
        <v>0</v>
      </c>
      <c r="JD504">
        <v>0</v>
      </c>
      <c r="JE504">
        <v>0</v>
      </c>
      <c r="JF504">
        <v>0</v>
      </c>
      <c r="JG504">
        <v>0</v>
      </c>
      <c r="JH504">
        <v>0</v>
      </c>
      <c r="JI504">
        <v>0</v>
      </c>
      <c r="JJ504">
        <v>0</v>
      </c>
      <c r="JK504">
        <v>0</v>
      </c>
      <c r="JL504">
        <v>0</v>
      </c>
      <c r="JM504">
        <v>0</v>
      </c>
      <c r="JN504">
        <v>0</v>
      </c>
      <c r="JO504">
        <v>0</v>
      </c>
      <c r="JP504">
        <v>0</v>
      </c>
      <c r="JQ504">
        <v>0</v>
      </c>
      <c r="JR504">
        <v>0</v>
      </c>
      <c r="JS504">
        <v>0</v>
      </c>
      <c r="JT504">
        <v>0</v>
      </c>
      <c r="JU504">
        <v>0</v>
      </c>
      <c r="JV504">
        <v>0</v>
      </c>
      <c r="JW504">
        <v>0</v>
      </c>
      <c r="JX504">
        <v>0</v>
      </c>
      <c r="JY504">
        <v>0</v>
      </c>
      <c r="JZ504">
        <v>0</v>
      </c>
      <c r="KA504">
        <v>0</v>
      </c>
      <c r="KB504">
        <v>0</v>
      </c>
      <c r="KC504">
        <v>0</v>
      </c>
      <c r="KD504">
        <v>0</v>
      </c>
      <c r="KE504">
        <v>0</v>
      </c>
      <c r="KF504">
        <v>0</v>
      </c>
      <c r="KG504">
        <v>0</v>
      </c>
      <c r="KH504">
        <v>0</v>
      </c>
      <c r="KI504">
        <v>0</v>
      </c>
      <c r="KJ504">
        <v>0</v>
      </c>
      <c r="KK504">
        <v>0</v>
      </c>
      <c r="KL504">
        <v>0</v>
      </c>
      <c r="KM504">
        <v>0</v>
      </c>
      <c r="KN504">
        <v>0</v>
      </c>
      <c r="KO504">
        <v>0</v>
      </c>
      <c r="KP504">
        <v>0</v>
      </c>
      <c r="KQ504">
        <v>0</v>
      </c>
      <c r="KR504">
        <v>0</v>
      </c>
      <c r="KS504">
        <v>0</v>
      </c>
      <c r="KT504">
        <v>0</v>
      </c>
      <c r="KU504">
        <v>0</v>
      </c>
      <c r="KV504">
        <v>0</v>
      </c>
      <c r="KW504">
        <v>0</v>
      </c>
      <c r="KX504">
        <v>0</v>
      </c>
      <c r="KY504">
        <v>0</v>
      </c>
      <c r="KZ504">
        <v>0</v>
      </c>
      <c r="LA504">
        <v>0</v>
      </c>
      <c r="LB504">
        <v>0</v>
      </c>
      <c r="LC504">
        <v>0</v>
      </c>
      <c r="LD504">
        <v>0</v>
      </c>
      <c r="LE504">
        <v>0</v>
      </c>
      <c r="LF504">
        <v>0</v>
      </c>
      <c r="LG504">
        <v>0</v>
      </c>
      <c r="LH504">
        <v>0</v>
      </c>
      <c r="LI504">
        <v>0</v>
      </c>
      <c r="LJ504">
        <v>0</v>
      </c>
      <c r="LK504">
        <v>0</v>
      </c>
      <c r="LL504">
        <v>0</v>
      </c>
      <c r="LM504">
        <v>0</v>
      </c>
      <c r="LN504">
        <v>0</v>
      </c>
      <c r="LO504">
        <v>0</v>
      </c>
      <c r="LP504">
        <v>0</v>
      </c>
      <c r="LQ504">
        <v>0</v>
      </c>
      <c r="LR504">
        <v>0</v>
      </c>
      <c r="LS504">
        <v>0</v>
      </c>
      <c r="LT504">
        <v>0</v>
      </c>
      <c r="LU504">
        <v>0</v>
      </c>
      <c r="LV504">
        <v>0</v>
      </c>
      <c r="LW504">
        <v>0</v>
      </c>
      <c r="LX504">
        <v>0</v>
      </c>
      <c r="LY504">
        <v>0</v>
      </c>
      <c r="LZ504">
        <v>0</v>
      </c>
      <c r="MA504">
        <v>0</v>
      </c>
      <c r="MB504">
        <v>0</v>
      </c>
      <c r="MC504">
        <v>0</v>
      </c>
      <c r="MD504">
        <v>0</v>
      </c>
      <c r="ME504">
        <v>0</v>
      </c>
      <c r="MF504">
        <v>0</v>
      </c>
      <c r="MG504">
        <v>0</v>
      </c>
      <c r="MH504">
        <v>0</v>
      </c>
      <c r="MI504">
        <v>0</v>
      </c>
      <c r="MJ504">
        <v>0</v>
      </c>
      <c r="MK504">
        <v>0</v>
      </c>
      <c r="ML504">
        <v>0</v>
      </c>
      <c r="MM504">
        <v>0</v>
      </c>
      <c r="MN504">
        <v>0</v>
      </c>
      <c r="MO504">
        <v>0</v>
      </c>
      <c r="MP504">
        <v>0</v>
      </c>
      <c r="MQ504">
        <v>0</v>
      </c>
      <c r="MR504">
        <v>0</v>
      </c>
      <c r="MS504">
        <v>0</v>
      </c>
      <c r="MT504">
        <v>0</v>
      </c>
      <c r="MU504">
        <v>0</v>
      </c>
      <c r="MV504">
        <v>0</v>
      </c>
      <c r="MW504">
        <v>0</v>
      </c>
      <c r="MX504">
        <v>0</v>
      </c>
      <c r="MY504">
        <v>0</v>
      </c>
      <c r="MZ504">
        <v>0</v>
      </c>
      <c r="NA504">
        <v>0</v>
      </c>
      <c r="NB504">
        <v>0</v>
      </c>
      <c r="NC504">
        <v>0</v>
      </c>
      <c r="ND504">
        <v>0</v>
      </c>
      <c r="NE504">
        <v>0</v>
      </c>
    </row>
    <row r="505" spans="41:369" x14ac:dyDescent="0.45">
      <c r="BK505">
        <v>499</v>
      </c>
      <c r="BL505">
        <v>0</v>
      </c>
      <c r="BM505">
        <v>0</v>
      </c>
      <c r="BN505">
        <v>0</v>
      </c>
      <c r="BO505">
        <v>0</v>
      </c>
      <c r="BP505">
        <v>0</v>
      </c>
      <c r="BQ505">
        <v>0</v>
      </c>
      <c r="BR505">
        <v>0</v>
      </c>
      <c r="BS505">
        <v>0</v>
      </c>
      <c r="BT505">
        <v>0</v>
      </c>
      <c r="BU505">
        <v>0</v>
      </c>
      <c r="BV505">
        <v>0</v>
      </c>
      <c r="BW505">
        <v>0</v>
      </c>
      <c r="BX505">
        <v>0</v>
      </c>
      <c r="BY505">
        <v>0</v>
      </c>
      <c r="BZ505">
        <v>0</v>
      </c>
      <c r="CA505">
        <v>0</v>
      </c>
      <c r="CB505">
        <v>0</v>
      </c>
      <c r="CC505">
        <v>0</v>
      </c>
      <c r="CD505">
        <v>0</v>
      </c>
      <c r="CE505">
        <v>0</v>
      </c>
      <c r="CF505">
        <v>0</v>
      </c>
      <c r="CG505">
        <v>0</v>
      </c>
      <c r="CH505">
        <v>0</v>
      </c>
      <c r="CI505">
        <v>0</v>
      </c>
      <c r="CJ505">
        <v>0</v>
      </c>
      <c r="CK505">
        <v>0</v>
      </c>
      <c r="CL505">
        <v>0</v>
      </c>
      <c r="CM505">
        <v>0</v>
      </c>
      <c r="CN505">
        <v>0</v>
      </c>
      <c r="CO505">
        <v>0</v>
      </c>
      <c r="CP505">
        <v>0</v>
      </c>
      <c r="CQ505">
        <v>0</v>
      </c>
      <c r="CR505">
        <v>0</v>
      </c>
      <c r="CS505">
        <v>0</v>
      </c>
      <c r="CT505">
        <v>0</v>
      </c>
      <c r="CU505">
        <v>0</v>
      </c>
      <c r="CV505">
        <v>0</v>
      </c>
      <c r="CW505">
        <v>0</v>
      </c>
      <c r="CX505">
        <v>0</v>
      </c>
      <c r="CY505">
        <v>0</v>
      </c>
      <c r="CZ505">
        <v>0</v>
      </c>
      <c r="DA505">
        <v>0</v>
      </c>
      <c r="DB505">
        <v>0</v>
      </c>
      <c r="DC505">
        <v>0</v>
      </c>
      <c r="DD505">
        <v>0</v>
      </c>
      <c r="DE505">
        <v>0</v>
      </c>
      <c r="DF505">
        <v>0</v>
      </c>
      <c r="DG505">
        <v>0</v>
      </c>
      <c r="DH505">
        <v>0</v>
      </c>
      <c r="DI505">
        <v>0</v>
      </c>
      <c r="DJ505">
        <v>0</v>
      </c>
      <c r="DK505">
        <v>0</v>
      </c>
      <c r="DL505">
        <v>0</v>
      </c>
      <c r="DM505">
        <v>0</v>
      </c>
      <c r="DN505">
        <v>0</v>
      </c>
      <c r="DO505">
        <v>0</v>
      </c>
      <c r="DP505">
        <v>0</v>
      </c>
      <c r="DQ505">
        <v>0</v>
      </c>
      <c r="DR505">
        <v>0</v>
      </c>
      <c r="DS505">
        <v>0</v>
      </c>
      <c r="DT505">
        <v>0</v>
      </c>
      <c r="DU505">
        <v>0</v>
      </c>
      <c r="DV505">
        <v>0</v>
      </c>
      <c r="DW505">
        <v>0</v>
      </c>
      <c r="DX505">
        <v>0</v>
      </c>
      <c r="DY505">
        <v>0</v>
      </c>
      <c r="DZ505">
        <v>0</v>
      </c>
      <c r="EA505">
        <v>0</v>
      </c>
      <c r="EB505">
        <v>0</v>
      </c>
      <c r="EC505">
        <v>0</v>
      </c>
      <c r="ED505">
        <v>0</v>
      </c>
      <c r="EE505">
        <v>0</v>
      </c>
      <c r="EF505">
        <v>0</v>
      </c>
      <c r="EG505">
        <v>0</v>
      </c>
      <c r="EH505">
        <v>0</v>
      </c>
      <c r="EI505">
        <v>0</v>
      </c>
      <c r="EJ505">
        <v>0</v>
      </c>
      <c r="EK505">
        <v>0</v>
      </c>
      <c r="EL505">
        <v>0</v>
      </c>
      <c r="EM505">
        <v>0</v>
      </c>
      <c r="EN505">
        <v>0</v>
      </c>
      <c r="EO505">
        <v>0</v>
      </c>
      <c r="EP505">
        <v>0</v>
      </c>
      <c r="EQ505">
        <v>0</v>
      </c>
      <c r="ER505">
        <v>0</v>
      </c>
      <c r="ES505">
        <v>0</v>
      </c>
      <c r="ET505">
        <v>0</v>
      </c>
      <c r="EU505">
        <v>0</v>
      </c>
      <c r="EV505">
        <v>0</v>
      </c>
      <c r="EW505">
        <v>0</v>
      </c>
      <c r="EX505">
        <v>0</v>
      </c>
      <c r="EY505">
        <v>0</v>
      </c>
      <c r="EZ505">
        <v>0</v>
      </c>
      <c r="FA505">
        <v>0</v>
      </c>
      <c r="FB505">
        <v>0</v>
      </c>
      <c r="FC505">
        <v>0</v>
      </c>
      <c r="FD505">
        <v>0</v>
      </c>
      <c r="FE505">
        <v>0</v>
      </c>
      <c r="FF505">
        <v>0</v>
      </c>
      <c r="FG505">
        <v>0</v>
      </c>
      <c r="FH505">
        <v>0</v>
      </c>
      <c r="FI505">
        <v>0</v>
      </c>
      <c r="FJ505">
        <v>0</v>
      </c>
      <c r="FK505">
        <v>0</v>
      </c>
      <c r="FL505">
        <v>0</v>
      </c>
      <c r="FM505">
        <v>0</v>
      </c>
      <c r="FN505">
        <v>0</v>
      </c>
      <c r="FO505">
        <v>0</v>
      </c>
      <c r="FP505">
        <v>0</v>
      </c>
      <c r="FQ505">
        <v>0</v>
      </c>
      <c r="FR505">
        <v>0</v>
      </c>
      <c r="FS505">
        <v>0</v>
      </c>
      <c r="FT505">
        <v>0</v>
      </c>
      <c r="FU505">
        <v>0</v>
      </c>
      <c r="FV505">
        <v>0</v>
      </c>
      <c r="FW505">
        <v>0</v>
      </c>
      <c r="FX505">
        <v>0</v>
      </c>
      <c r="FY505">
        <v>0</v>
      </c>
      <c r="FZ505">
        <v>0</v>
      </c>
      <c r="GA505">
        <v>0</v>
      </c>
      <c r="GB505">
        <v>0</v>
      </c>
      <c r="GC505">
        <v>0</v>
      </c>
      <c r="GD505">
        <v>0</v>
      </c>
      <c r="GE505">
        <v>0</v>
      </c>
      <c r="GF505">
        <v>0</v>
      </c>
      <c r="GG505">
        <v>0</v>
      </c>
      <c r="GH505">
        <v>0</v>
      </c>
      <c r="GI505">
        <v>0</v>
      </c>
      <c r="GJ505">
        <v>0</v>
      </c>
      <c r="GK505">
        <v>0</v>
      </c>
      <c r="GL505">
        <v>0</v>
      </c>
      <c r="GM505">
        <v>0</v>
      </c>
      <c r="GN505">
        <v>0</v>
      </c>
      <c r="GO505">
        <v>0</v>
      </c>
      <c r="GP505">
        <v>0</v>
      </c>
      <c r="GQ505">
        <v>0</v>
      </c>
      <c r="GR505">
        <v>0</v>
      </c>
      <c r="GS505">
        <v>0</v>
      </c>
      <c r="GT505">
        <v>0</v>
      </c>
      <c r="GU505">
        <v>0</v>
      </c>
      <c r="GV505">
        <v>0</v>
      </c>
      <c r="GW505">
        <v>0</v>
      </c>
      <c r="GX505">
        <v>0</v>
      </c>
      <c r="GY505">
        <v>0</v>
      </c>
      <c r="GZ505">
        <v>0</v>
      </c>
      <c r="HA505">
        <v>0</v>
      </c>
      <c r="HB505">
        <v>0</v>
      </c>
      <c r="HC505">
        <v>0</v>
      </c>
      <c r="HD505">
        <v>0</v>
      </c>
      <c r="HE505">
        <v>0</v>
      </c>
      <c r="HF505">
        <v>0</v>
      </c>
      <c r="HG505">
        <v>0</v>
      </c>
      <c r="HH505">
        <v>0</v>
      </c>
      <c r="HI505">
        <v>0</v>
      </c>
      <c r="HJ505">
        <v>0</v>
      </c>
      <c r="HK505">
        <v>0</v>
      </c>
      <c r="HL505">
        <v>0</v>
      </c>
      <c r="HM505">
        <v>0</v>
      </c>
      <c r="HN505">
        <v>0</v>
      </c>
      <c r="HO505">
        <v>0</v>
      </c>
      <c r="HP505">
        <v>0</v>
      </c>
      <c r="HQ505">
        <v>0</v>
      </c>
      <c r="HR505">
        <v>0</v>
      </c>
      <c r="HS505">
        <v>0</v>
      </c>
      <c r="HT505">
        <v>0</v>
      </c>
      <c r="HU505">
        <v>0</v>
      </c>
      <c r="HV505">
        <v>0</v>
      </c>
      <c r="HW505">
        <v>0</v>
      </c>
      <c r="HX505">
        <v>0</v>
      </c>
      <c r="HY505">
        <v>0</v>
      </c>
      <c r="HZ505">
        <v>0</v>
      </c>
      <c r="IA505">
        <v>0</v>
      </c>
      <c r="IB505">
        <v>0</v>
      </c>
      <c r="IC505">
        <v>0</v>
      </c>
      <c r="ID505">
        <v>0</v>
      </c>
      <c r="IE505">
        <v>0</v>
      </c>
      <c r="IF505">
        <v>0</v>
      </c>
      <c r="IG505">
        <v>0</v>
      </c>
      <c r="IH505">
        <v>0</v>
      </c>
      <c r="II505">
        <v>0</v>
      </c>
      <c r="IJ505">
        <v>0</v>
      </c>
      <c r="IK505">
        <v>0</v>
      </c>
      <c r="IL505">
        <v>0</v>
      </c>
      <c r="IM505">
        <v>0</v>
      </c>
      <c r="IN505">
        <v>0</v>
      </c>
      <c r="IO505">
        <v>0</v>
      </c>
      <c r="IP505">
        <v>0</v>
      </c>
      <c r="IQ505">
        <v>0</v>
      </c>
      <c r="IR505">
        <v>0</v>
      </c>
      <c r="IS505">
        <v>0</v>
      </c>
      <c r="IT505">
        <v>0</v>
      </c>
      <c r="IU505">
        <v>0</v>
      </c>
      <c r="IV505">
        <v>0</v>
      </c>
      <c r="IW505">
        <v>0</v>
      </c>
      <c r="IX505">
        <v>0</v>
      </c>
      <c r="IY505">
        <v>0</v>
      </c>
      <c r="IZ505">
        <v>0</v>
      </c>
      <c r="JA505">
        <v>0</v>
      </c>
      <c r="JB505">
        <v>0</v>
      </c>
      <c r="JC505">
        <v>0</v>
      </c>
      <c r="JD505">
        <v>0</v>
      </c>
      <c r="JE505">
        <v>0</v>
      </c>
      <c r="JF505">
        <v>0</v>
      </c>
      <c r="JG505">
        <v>0</v>
      </c>
      <c r="JH505">
        <v>0</v>
      </c>
      <c r="JI505">
        <v>0</v>
      </c>
      <c r="JJ505">
        <v>0</v>
      </c>
      <c r="JK505">
        <v>0</v>
      </c>
      <c r="JL505">
        <v>0</v>
      </c>
      <c r="JM505">
        <v>0</v>
      </c>
      <c r="JN505">
        <v>0</v>
      </c>
      <c r="JO505">
        <v>0</v>
      </c>
      <c r="JP505">
        <v>0</v>
      </c>
      <c r="JQ505">
        <v>0</v>
      </c>
      <c r="JR505">
        <v>0</v>
      </c>
      <c r="JS505">
        <v>0</v>
      </c>
      <c r="JT505">
        <v>0</v>
      </c>
      <c r="JU505">
        <v>0</v>
      </c>
      <c r="JV505">
        <v>0</v>
      </c>
      <c r="JW505">
        <v>0</v>
      </c>
      <c r="JX505">
        <v>0</v>
      </c>
      <c r="JY505">
        <v>0</v>
      </c>
      <c r="JZ505">
        <v>0</v>
      </c>
      <c r="KA505">
        <v>0</v>
      </c>
      <c r="KB505">
        <v>0</v>
      </c>
      <c r="KC505">
        <v>0</v>
      </c>
      <c r="KD505">
        <v>0</v>
      </c>
      <c r="KE505">
        <v>0</v>
      </c>
      <c r="KF505">
        <v>0</v>
      </c>
      <c r="KG505">
        <v>0</v>
      </c>
      <c r="KH505">
        <v>0</v>
      </c>
      <c r="KI505">
        <v>0</v>
      </c>
      <c r="KJ505">
        <v>0</v>
      </c>
      <c r="KK505">
        <v>0</v>
      </c>
      <c r="KL505">
        <v>0</v>
      </c>
      <c r="KM505">
        <v>0</v>
      </c>
      <c r="KN505">
        <v>0</v>
      </c>
      <c r="KO505">
        <v>0</v>
      </c>
      <c r="KP505">
        <v>0</v>
      </c>
      <c r="KQ505">
        <v>0</v>
      </c>
      <c r="KR505">
        <v>0</v>
      </c>
      <c r="KS505">
        <v>0</v>
      </c>
      <c r="KT505">
        <v>0</v>
      </c>
      <c r="KU505">
        <v>0</v>
      </c>
      <c r="KV505">
        <v>0</v>
      </c>
      <c r="KW505">
        <v>0</v>
      </c>
      <c r="KX505">
        <v>0</v>
      </c>
      <c r="KY505">
        <v>0</v>
      </c>
      <c r="KZ505">
        <v>0</v>
      </c>
      <c r="LA505">
        <v>0</v>
      </c>
      <c r="LB505">
        <v>0</v>
      </c>
      <c r="LC505">
        <v>0</v>
      </c>
      <c r="LD505">
        <v>0</v>
      </c>
      <c r="LE505">
        <v>0</v>
      </c>
      <c r="LF505">
        <v>0</v>
      </c>
      <c r="LG505">
        <v>0</v>
      </c>
      <c r="LH505">
        <v>0</v>
      </c>
      <c r="LI505">
        <v>0</v>
      </c>
      <c r="LJ505">
        <v>0</v>
      </c>
      <c r="LK505">
        <v>0</v>
      </c>
      <c r="LL505">
        <v>0</v>
      </c>
      <c r="LM505">
        <v>0</v>
      </c>
      <c r="LN505">
        <v>0</v>
      </c>
      <c r="LO505">
        <v>0</v>
      </c>
      <c r="LP505">
        <v>0</v>
      </c>
      <c r="LQ505">
        <v>0</v>
      </c>
      <c r="LR505">
        <v>0</v>
      </c>
      <c r="LS505">
        <v>0</v>
      </c>
      <c r="LT505">
        <v>0</v>
      </c>
      <c r="LU505">
        <v>0</v>
      </c>
      <c r="LV505">
        <v>0</v>
      </c>
      <c r="LW505">
        <v>0</v>
      </c>
      <c r="LX505">
        <v>0</v>
      </c>
      <c r="LY505">
        <v>0</v>
      </c>
      <c r="LZ505">
        <v>0</v>
      </c>
      <c r="MA505">
        <v>0</v>
      </c>
      <c r="MB505">
        <v>0</v>
      </c>
      <c r="MC505">
        <v>0</v>
      </c>
      <c r="MD505">
        <v>0</v>
      </c>
      <c r="ME505">
        <v>0</v>
      </c>
      <c r="MF505">
        <v>0</v>
      </c>
      <c r="MG505">
        <v>0</v>
      </c>
      <c r="MH505">
        <v>0</v>
      </c>
      <c r="MI505">
        <v>0</v>
      </c>
      <c r="MJ505">
        <v>0</v>
      </c>
      <c r="MK505">
        <v>0</v>
      </c>
      <c r="ML505">
        <v>0</v>
      </c>
      <c r="MM505">
        <v>0</v>
      </c>
      <c r="MN505">
        <v>0</v>
      </c>
      <c r="MO505">
        <v>0</v>
      </c>
      <c r="MP505">
        <v>0</v>
      </c>
      <c r="MQ505">
        <v>0</v>
      </c>
      <c r="MR505">
        <v>0</v>
      </c>
      <c r="MS505">
        <v>0</v>
      </c>
      <c r="MT505">
        <v>0</v>
      </c>
      <c r="MU505">
        <v>0</v>
      </c>
      <c r="MV505">
        <v>0</v>
      </c>
      <c r="MW505">
        <v>0</v>
      </c>
      <c r="MX505">
        <v>0</v>
      </c>
      <c r="MY505">
        <v>0</v>
      </c>
      <c r="MZ505">
        <v>0</v>
      </c>
      <c r="NA505">
        <v>0</v>
      </c>
      <c r="NB505">
        <v>0</v>
      </c>
      <c r="NC505">
        <v>0</v>
      </c>
      <c r="ND505">
        <v>0</v>
      </c>
      <c r="NE505">
        <v>0</v>
      </c>
    </row>
    <row r="506" spans="41:369" x14ac:dyDescent="0.45">
      <c r="BK506">
        <v>500</v>
      </c>
      <c r="BL506">
        <v>0</v>
      </c>
      <c r="BM506">
        <v>0</v>
      </c>
      <c r="BN506">
        <v>0</v>
      </c>
      <c r="BO506">
        <v>0</v>
      </c>
      <c r="BP506">
        <v>0</v>
      </c>
      <c r="BQ506">
        <v>0</v>
      </c>
      <c r="BR506">
        <v>0</v>
      </c>
      <c r="BS506">
        <v>0</v>
      </c>
      <c r="BT506">
        <v>0</v>
      </c>
      <c r="BU506">
        <v>0</v>
      </c>
      <c r="BV506">
        <v>0</v>
      </c>
      <c r="BW506">
        <v>0</v>
      </c>
      <c r="BX506">
        <v>0</v>
      </c>
      <c r="BY506">
        <v>0</v>
      </c>
      <c r="BZ506">
        <v>0</v>
      </c>
      <c r="CA506">
        <v>0</v>
      </c>
      <c r="CB506">
        <v>0</v>
      </c>
      <c r="CC506">
        <v>0</v>
      </c>
      <c r="CD506">
        <v>0</v>
      </c>
      <c r="CE506">
        <v>0</v>
      </c>
      <c r="CF506">
        <v>0</v>
      </c>
      <c r="CG506">
        <v>0</v>
      </c>
      <c r="CH506">
        <v>0</v>
      </c>
      <c r="CI506">
        <v>0</v>
      </c>
      <c r="CJ506">
        <v>0</v>
      </c>
      <c r="CK506">
        <v>0</v>
      </c>
      <c r="CL506">
        <v>0</v>
      </c>
      <c r="CM506">
        <v>0</v>
      </c>
      <c r="CN506">
        <v>0</v>
      </c>
      <c r="CO506">
        <v>0</v>
      </c>
      <c r="CP506">
        <v>0</v>
      </c>
      <c r="CQ506">
        <v>0</v>
      </c>
      <c r="CR506">
        <v>0</v>
      </c>
      <c r="CS506">
        <v>0</v>
      </c>
      <c r="CT506">
        <v>0</v>
      </c>
      <c r="CU506">
        <v>0</v>
      </c>
      <c r="CV506">
        <v>0</v>
      </c>
      <c r="CW506">
        <v>0</v>
      </c>
      <c r="CX506">
        <v>0</v>
      </c>
      <c r="CY506">
        <v>0</v>
      </c>
      <c r="CZ506">
        <v>0</v>
      </c>
      <c r="DA506">
        <v>0</v>
      </c>
      <c r="DB506">
        <v>0</v>
      </c>
      <c r="DC506">
        <v>0</v>
      </c>
      <c r="DD506">
        <v>0</v>
      </c>
      <c r="DE506">
        <v>0</v>
      </c>
      <c r="DF506">
        <v>0</v>
      </c>
      <c r="DG506">
        <v>0</v>
      </c>
      <c r="DH506">
        <v>0</v>
      </c>
      <c r="DI506">
        <v>0</v>
      </c>
      <c r="DJ506">
        <v>0</v>
      </c>
      <c r="DK506">
        <v>0</v>
      </c>
      <c r="DL506">
        <v>0</v>
      </c>
      <c r="DM506">
        <v>0</v>
      </c>
      <c r="DN506">
        <v>0</v>
      </c>
      <c r="DO506">
        <v>0</v>
      </c>
      <c r="DP506">
        <v>0</v>
      </c>
      <c r="DQ506">
        <v>0</v>
      </c>
      <c r="DR506">
        <v>0</v>
      </c>
      <c r="DS506">
        <v>0</v>
      </c>
      <c r="DT506">
        <v>0</v>
      </c>
      <c r="DU506">
        <v>0</v>
      </c>
      <c r="DV506">
        <v>0</v>
      </c>
      <c r="DW506">
        <v>0</v>
      </c>
      <c r="DX506">
        <v>0</v>
      </c>
      <c r="DY506">
        <v>0</v>
      </c>
      <c r="DZ506">
        <v>0</v>
      </c>
      <c r="EA506">
        <v>0</v>
      </c>
      <c r="EB506">
        <v>0</v>
      </c>
      <c r="EC506">
        <v>0</v>
      </c>
      <c r="ED506">
        <v>0</v>
      </c>
      <c r="EE506">
        <v>0</v>
      </c>
      <c r="EF506">
        <v>0</v>
      </c>
      <c r="EG506">
        <v>0</v>
      </c>
      <c r="EH506">
        <v>0</v>
      </c>
      <c r="EI506">
        <v>0</v>
      </c>
      <c r="EJ506">
        <v>0</v>
      </c>
      <c r="EK506">
        <v>0</v>
      </c>
      <c r="EL506">
        <v>0</v>
      </c>
      <c r="EM506">
        <v>0</v>
      </c>
      <c r="EN506">
        <v>0</v>
      </c>
      <c r="EO506">
        <v>0</v>
      </c>
      <c r="EP506">
        <v>0</v>
      </c>
      <c r="EQ506">
        <v>0</v>
      </c>
      <c r="ER506">
        <v>0</v>
      </c>
      <c r="ES506">
        <v>0</v>
      </c>
      <c r="ET506">
        <v>0</v>
      </c>
      <c r="EU506">
        <v>0</v>
      </c>
      <c r="EV506">
        <v>0</v>
      </c>
      <c r="EW506">
        <v>0</v>
      </c>
      <c r="EX506">
        <v>0</v>
      </c>
      <c r="EY506">
        <v>0</v>
      </c>
      <c r="EZ506">
        <v>0</v>
      </c>
      <c r="FA506">
        <v>0</v>
      </c>
      <c r="FB506">
        <v>0</v>
      </c>
      <c r="FC506">
        <v>0</v>
      </c>
      <c r="FD506">
        <v>0</v>
      </c>
      <c r="FE506">
        <v>0</v>
      </c>
      <c r="FF506">
        <v>0</v>
      </c>
      <c r="FG506">
        <v>0</v>
      </c>
      <c r="FH506">
        <v>0</v>
      </c>
      <c r="FI506">
        <v>0</v>
      </c>
      <c r="FJ506">
        <v>0</v>
      </c>
      <c r="FK506">
        <v>0</v>
      </c>
      <c r="FL506">
        <v>0</v>
      </c>
      <c r="FM506">
        <v>0</v>
      </c>
      <c r="FN506">
        <v>0</v>
      </c>
      <c r="FO506">
        <v>0</v>
      </c>
      <c r="FP506">
        <v>0</v>
      </c>
      <c r="FQ506">
        <v>0</v>
      </c>
      <c r="FR506">
        <v>0</v>
      </c>
      <c r="FS506">
        <v>0</v>
      </c>
      <c r="FT506">
        <v>0</v>
      </c>
      <c r="FU506">
        <v>0</v>
      </c>
      <c r="FV506">
        <v>0</v>
      </c>
      <c r="FW506">
        <v>0</v>
      </c>
      <c r="FX506">
        <v>0</v>
      </c>
      <c r="FY506">
        <v>0</v>
      </c>
      <c r="FZ506">
        <v>0</v>
      </c>
      <c r="GA506">
        <v>0</v>
      </c>
      <c r="GB506">
        <v>0</v>
      </c>
      <c r="GC506">
        <v>0</v>
      </c>
      <c r="GD506">
        <v>0</v>
      </c>
      <c r="GE506">
        <v>0</v>
      </c>
      <c r="GF506">
        <v>0</v>
      </c>
      <c r="GG506">
        <v>0</v>
      </c>
      <c r="GH506">
        <v>0</v>
      </c>
      <c r="GI506">
        <v>0</v>
      </c>
      <c r="GJ506">
        <v>0</v>
      </c>
      <c r="GK506">
        <v>0</v>
      </c>
      <c r="GL506">
        <v>0</v>
      </c>
      <c r="GM506">
        <v>0</v>
      </c>
      <c r="GN506">
        <v>0</v>
      </c>
      <c r="GO506">
        <v>0</v>
      </c>
      <c r="GP506">
        <v>0</v>
      </c>
      <c r="GQ506">
        <v>0</v>
      </c>
      <c r="GR506">
        <v>0</v>
      </c>
      <c r="GS506">
        <v>0</v>
      </c>
      <c r="GT506">
        <v>0</v>
      </c>
      <c r="GU506">
        <v>0</v>
      </c>
      <c r="GV506">
        <v>0</v>
      </c>
      <c r="GW506">
        <v>0</v>
      </c>
      <c r="GX506">
        <v>0</v>
      </c>
      <c r="GY506">
        <v>0</v>
      </c>
      <c r="GZ506">
        <v>0</v>
      </c>
      <c r="HA506">
        <v>0</v>
      </c>
      <c r="HB506">
        <v>0</v>
      </c>
      <c r="HC506">
        <v>0</v>
      </c>
      <c r="HD506">
        <v>0</v>
      </c>
      <c r="HE506">
        <v>0</v>
      </c>
      <c r="HF506">
        <v>0</v>
      </c>
      <c r="HG506">
        <v>0</v>
      </c>
      <c r="HH506">
        <v>0</v>
      </c>
      <c r="HI506">
        <v>0</v>
      </c>
      <c r="HJ506">
        <v>0</v>
      </c>
      <c r="HK506">
        <v>0</v>
      </c>
      <c r="HL506">
        <v>0</v>
      </c>
      <c r="HM506">
        <v>0</v>
      </c>
      <c r="HN506">
        <v>0</v>
      </c>
      <c r="HO506">
        <v>0</v>
      </c>
      <c r="HP506">
        <v>0</v>
      </c>
      <c r="HQ506">
        <v>0</v>
      </c>
      <c r="HR506">
        <v>0</v>
      </c>
      <c r="HS506">
        <v>0</v>
      </c>
      <c r="HT506">
        <v>0</v>
      </c>
      <c r="HU506">
        <v>0</v>
      </c>
      <c r="HV506">
        <v>0</v>
      </c>
      <c r="HW506">
        <v>0</v>
      </c>
      <c r="HX506">
        <v>0</v>
      </c>
      <c r="HY506">
        <v>0</v>
      </c>
      <c r="HZ506">
        <v>0</v>
      </c>
      <c r="IA506">
        <v>0</v>
      </c>
      <c r="IB506">
        <v>0</v>
      </c>
      <c r="IC506">
        <v>0</v>
      </c>
      <c r="ID506">
        <v>0</v>
      </c>
      <c r="IE506">
        <v>0</v>
      </c>
      <c r="IF506">
        <v>0</v>
      </c>
      <c r="IG506">
        <v>0</v>
      </c>
      <c r="IH506">
        <v>0</v>
      </c>
      <c r="II506">
        <v>0</v>
      </c>
      <c r="IJ506">
        <v>0</v>
      </c>
      <c r="IK506">
        <v>0</v>
      </c>
      <c r="IL506">
        <v>0</v>
      </c>
      <c r="IM506">
        <v>0</v>
      </c>
      <c r="IN506">
        <v>0</v>
      </c>
      <c r="IO506">
        <v>0</v>
      </c>
      <c r="IP506">
        <v>0</v>
      </c>
      <c r="IQ506">
        <v>0</v>
      </c>
      <c r="IR506">
        <v>0</v>
      </c>
      <c r="IS506">
        <v>0</v>
      </c>
      <c r="IT506">
        <v>0</v>
      </c>
      <c r="IU506">
        <v>0</v>
      </c>
      <c r="IV506">
        <v>0</v>
      </c>
      <c r="IW506">
        <v>0</v>
      </c>
      <c r="IX506">
        <v>0</v>
      </c>
      <c r="IY506">
        <v>0</v>
      </c>
      <c r="IZ506">
        <v>0</v>
      </c>
      <c r="JA506">
        <v>0</v>
      </c>
      <c r="JB506">
        <v>0</v>
      </c>
      <c r="JC506">
        <v>0</v>
      </c>
      <c r="JD506">
        <v>0</v>
      </c>
      <c r="JE506">
        <v>0</v>
      </c>
      <c r="JF506">
        <v>0</v>
      </c>
      <c r="JG506">
        <v>0</v>
      </c>
      <c r="JH506">
        <v>0</v>
      </c>
      <c r="JI506">
        <v>0</v>
      </c>
      <c r="JJ506">
        <v>0</v>
      </c>
      <c r="JK506">
        <v>0</v>
      </c>
      <c r="JL506">
        <v>0</v>
      </c>
      <c r="JM506">
        <v>0</v>
      </c>
      <c r="JN506">
        <v>0</v>
      </c>
      <c r="JO506">
        <v>0</v>
      </c>
      <c r="JP506">
        <v>0</v>
      </c>
      <c r="JQ506">
        <v>0</v>
      </c>
      <c r="JR506">
        <v>0</v>
      </c>
      <c r="JS506">
        <v>0</v>
      </c>
      <c r="JT506">
        <v>0</v>
      </c>
      <c r="JU506">
        <v>0</v>
      </c>
      <c r="JV506">
        <v>0</v>
      </c>
      <c r="JW506">
        <v>0</v>
      </c>
      <c r="JX506">
        <v>0</v>
      </c>
      <c r="JY506">
        <v>0</v>
      </c>
      <c r="JZ506">
        <v>0</v>
      </c>
      <c r="KA506">
        <v>0</v>
      </c>
      <c r="KB506">
        <v>0</v>
      </c>
      <c r="KC506">
        <v>0</v>
      </c>
      <c r="KD506">
        <v>0</v>
      </c>
      <c r="KE506">
        <v>0</v>
      </c>
      <c r="KF506">
        <v>0</v>
      </c>
      <c r="KG506">
        <v>0</v>
      </c>
      <c r="KH506">
        <v>0</v>
      </c>
      <c r="KI506">
        <v>0</v>
      </c>
      <c r="KJ506">
        <v>0</v>
      </c>
      <c r="KK506">
        <v>0</v>
      </c>
      <c r="KL506">
        <v>0</v>
      </c>
      <c r="KM506">
        <v>0</v>
      </c>
      <c r="KN506">
        <v>0</v>
      </c>
      <c r="KO506">
        <v>0</v>
      </c>
      <c r="KP506">
        <v>0</v>
      </c>
      <c r="KQ506">
        <v>0</v>
      </c>
      <c r="KR506">
        <v>0</v>
      </c>
      <c r="KS506">
        <v>0</v>
      </c>
      <c r="KT506">
        <v>0</v>
      </c>
      <c r="KU506">
        <v>0</v>
      </c>
      <c r="KV506">
        <v>0</v>
      </c>
      <c r="KW506">
        <v>0</v>
      </c>
      <c r="KX506">
        <v>0</v>
      </c>
      <c r="KY506">
        <v>0</v>
      </c>
      <c r="KZ506">
        <v>0</v>
      </c>
      <c r="LA506">
        <v>0</v>
      </c>
      <c r="LB506">
        <v>0</v>
      </c>
      <c r="LC506">
        <v>0</v>
      </c>
      <c r="LD506">
        <v>0</v>
      </c>
      <c r="LE506">
        <v>0</v>
      </c>
      <c r="LF506">
        <v>0</v>
      </c>
      <c r="LG506">
        <v>0</v>
      </c>
      <c r="LH506">
        <v>0</v>
      </c>
      <c r="LI506">
        <v>0</v>
      </c>
      <c r="LJ506">
        <v>0</v>
      </c>
      <c r="LK506">
        <v>0</v>
      </c>
      <c r="LL506">
        <v>0</v>
      </c>
      <c r="LM506">
        <v>0</v>
      </c>
      <c r="LN506">
        <v>0</v>
      </c>
      <c r="LO506">
        <v>0</v>
      </c>
      <c r="LP506">
        <v>0</v>
      </c>
      <c r="LQ506">
        <v>0</v>
      </c>
      <c r="LR506">
        <v>0</v>
      </c>
      <c r="LS506">
        <v>0</v>
      </c>
      <c r="LT506">
        <v>0</v>
      </c>
      <c r="LU506">
        <v>0</v>
      </c>
      <c r="LV506">
        <v>0</v>
      </c>
      <c r="LW506">
        <v>0</v>
      </c>
      <c r="LX506">
        <v>0</v>
      </c>
      <c r="LY506">
        <v>0</v>
      </c>
      <c r="LZ506">
        <v>0</v>
      </c>
      <c r="MA506">
        <v>0</v>
      </c>
      <c r="MB506">
        <v>0</v>
      </c>
      <c r="MC506">
        <v>0</v>
      </c>
      <c r="MD506">
        <v>0</v>
      </c>
      <c r="ME506">
        <v>0</v>
      </c>
      <c r="MF506">
        <v>0</v>
      </c>
      <c r="MG506">
        <v>0</v>
      </c>
      <c r="MH506">
        <v>0</v>
      </c>
      <c r="MI506">
        <v>0</v>
      </c>
      <c r="MJ506">
        <v>0</v>
      </c>
      <c r="MK506">
        <v>0</v>
      </c>
      <c r="ML506">
        <v>0</v>
      </c>
      <c r="MM506">
        <v>0</v>
      </c>
      <c r="MN506">
        <v>0</v>
      </c>
      <c r="MO506">
        <v>0</v>
      </c>
      <c r="MP506">
        <v>0</v>
      </c>
      <c r="MQ506">
        <v>0</v>
      </c>
      <c r="MR506">
        <v>0</v>
      </c>
      <c r="MS506">
        <v>0</v>
      </c>
      <c r="MT506">
        <v>0</v>
      </c>
      <c r="MU506">
        <v>0</v>
      </c>
      <c r="MV506">
        <v>0</v>
      </c>
      <c r="MW506">
        <v>0</v>
      </c>
      <c r="MX506">
        <v>0</v>
      </c>
      <c r="MY506">
        <v>0</v>
      </c>
      <c r="MZ506">
        <v>0</v>
      </c>
      <c r="NA506">
        <v>0</v>
      </c>
      <c r="NB506">
        <v>0</v>
      </c>
      <c r="NC506">
        <v>0</v>
      </c>
      <c r="ND506">
        <v>0</v>
      </c>
      <c r="NE506">
        <v>0</v>
      </c>
    </row>
  </sheetData>
  <mergeCells count="4">
    <mergeCell ref="AO1:AX1"/>
    <mergeCell ref="AZ1:BI1"/>
    <mergeCell ref="E1:W1"/>
    <mergeCell ref="BK1:ND1"/>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37CE2-1D14-449F-BBA2-82F38AB6317D}">
  <sheetPr codeName="Sheet2">
    <pageSetUpPr fitToPage="1"/>
  </sheetPr>
  <dimension ref="A1:AJ31"/>
  <sheetViews>
    <sheetView zoomScale="87" zoomScaleNormal="78" zoomScalePageLayoutView="87" workbookViewId="0">
      <selection activeCell="L6" sqref="L6"/>
    </sheetView>
  </sheetViews>
  <sheetFormatPr defaultColWidth="5" defaultRowHeight="22.5" customHeight="1" x14ac:dyDescent="0.45"/>
  <cols>
    <col min="1" max="1" width="9" customWidth="1"/>
    <col min="2" max="2" width="9" style="7" customWidth="1"/>
    <col min="3" max="3" width="6.265625" customWidth="1"/>
    <col min="4" max="4" width="31.265625" customWidth="1"/>
    <col min="5" max="5" width="2" style="12" customWidth="1"/>
    <col min="6" max="10" width="5" style="6"/>
    <col min="11" max="11" width="5" style="6" customWidth="1"/>
    <col min="12" max="14" width="5" style="6"/>
    <col min="15" max="15" width="5" style="6" customWidth="1"/>
    <col min="16" max="16384" width="5" style="6"/>
  </cols>
  <sheetData>
    <row r="1" spans="1:36" s="16" customFormat="1" ht="14.25" x14ac:dyDescent="0.45">
      <c r="B1" s="17" cm="1">
        <f t="array" ref="B1:AJ1">TRANSPOSE(_xlfn.SEQUENCE(IF(COUNTA(6:6)&lt;35,35,COUNTA(6:6))))</f>
        <v>1</v>
      </c>
      <c r="C1" s="16">
        <v>2</v>
      </c>
      <c r="D1" s="16">
        <v>3</v>
      </c>
      <c r="E1" s="16">
        <v>4</v>
      </c>
      <c r="F1" s="16">
        <v>5</v>
      </c>
      <c r="G1" s="16">
        <v>6</v>
      </c>
      <c r="H1" s="16">
        <v>7</v>
      </c>
      <c r="I1" s="16">
        <v>8</v>
      </c>
      <c r="J1" s="16">
        <v>9</v>
      </c>
      <c r="K1" s="16">
        <v>10</v>
      </c>
      <c r="L1" s="16">
        <v>11</v>
      </c>
      <c r="M1" s="16">
        <v>12</v>
      </c>
      <c r="N1" s="16">
        <v>13</v>
      </c>
      <c r="O1" s="16">
        <v>14</v>
      </c>
      <c r="P1" s="16">
        <v>15</v>
      </c>
      <c r="Q1" s="16">
        <v>16</v>
      </c>
      <c r="R1" s="16">
        <v>17</v>
      </c>
      <c r="S1" s="16">
        <v>18</v>
      </c>
      <c r="T1" s="16">
        <v>19</v>
      </c>
      <c r="U1" s="16">
        <v>20</v>
      </c>
      <c r="V1" s="16">
        <v>21</v>
      </c>
      <c r="W1" s="16">
        <v>22</v>
      </c>
      <c r="X1" s="16">
        <v>23</v>
      </c>
      <c r="Y1" s="16">
        <v>24</v>
      </c>
      <c r="Z1" s="16">
        <v>25</v>
      </c>
      <c r="AA1" s="16">
        <v>26</v>
      </c>
      <c r="AB1" s="16">
        <v>27</v>
      </c>
      <c r="AC1" s="16">
        <v>28</v>
      </c>
      <c r="AD1" s="16">
        <v>29</v>
      </c>
      <c r="AE1" s="16">
        <v>30</v>
      </c>
      <c r="AF1" s="16">
        <v>31</v>
      </c>
      <c r="AG1" s="16">
        <v>32</v>
      </c>
      <c r="AH1" s="16">
        <v>33</v>
      </c>
      <c r="AI1" s="16">
        <v>34</v>
      </c>
      <c r="AJ1" s="16">
        <v>35</v>
      </c>
    </row>
    <row r="2" spans="1:36" s="14" customFormat="1" ht="36.75" customHeight="1" x14ac:dyDescent="0.85">
      <c r="B2" s="15">
        <v>0</v>
      </c>
      <c r="C2" s="14">
        <v>0</v>
      </c>
      <c r="D2" s="14">
        <v>0</v>
      </c>
      <c r="E2" s="99" t="str">
        <f>f_str_festname&amp; " TICKLIST"</f>
        <v>KALANKAM '23 TICKLIST</v>
      </c>
      <c r="F2" s="99"/>
      <c r="G2" s="99"/>
      <c r="H2" s="99"/>
      <c r="I2" s="99"/>
      <c r="J2" s="99"/>
      <c r="K2" s="99"/>
      <c r="L2" s="99"/>
      <c r="M2" s="99"/>
      <c r="N2" s="99"/>
      <c r="O2" s="99"/>
      <c r="P2" s="99"/>
      <c r="Q2" s="99"/>
      <c r="R2" s="99"/>
      <c r="S2" s="99"/>
    </row>
    <row r="3" spans="1:36" customFormat="1" ht="6" customHeight="1" x14ac:dyDescent="0.45">
      <c r="B3" s="7">
        <v>0</v>
      </c>
      <c r="C3" s="7">
        <v>0</v>
      </c>
      <c r="D3" s="7">
        <v>0</v>
      </c>
      <c r="E3" s="7">
        <v>0</v>
      </c>
      <c r="F3" s="7">
        <v>0</v>
      </c>
      <c r="G3" s="7">
        <v>0</v>
      </c>
      <c r="H3" s="7">
        <v>0</v>
      </c>
      <c r="I3" s="7">
        <v>0</v>
      </c>
      <c r="J3" s="7">
        <v>0</v>
      </c>
      <c r="K3" s="7">
        <v>0</v>
      </c>
      <c r="L3" s="7">
        <v>0</v>
      </c>
      <c r="M3" s="7">
        <v>0</v>
      </c>
      <c r="N3" s="7">
        <v>0</v>
      </c>
      <c r="O3" s="7">
        <v>0</v>
      </c>
      <c r="P3" s="7">
        <v>0</v>
      </c>
      <c r="Q3" s="7">
        <v>0</v>
      </c>
      <c r="R3" s="7">
        <v>0</v>
      </c>
      <c r="S3" s="7">
        <v>0</v>
      </c>
      <c r="T3" s="7">
        <v>0</v>
      </c>
      <c r="U3" s="7">
        <v>0</v>
      </c>
      <c r="V3" s="7">
        <v>0</v>
      </c>
      <c r="W3" s="7">
        <v>0</v>
      </c>
      <c r="X3" s="7">
        <v>0</v>
      </c>
      <c r="Y3" s="7">
        <v>0</v>
      </c>
      <c r="Z3" s="7">
        <v>0</v>
      </c>
      <c r="AA3" s="7">
        <v>0</v>
      </c>
      <c r="AB3" s="7">
        <v>0</v>
      </c>
      <c r="AC3" s="7">
        <v>0</v>
      </c>
    </row>
    <row r="4" spans="1:36" s="1" customFormat="1" ht="22.15" customHeight="1" x14ac:dyDescent="0.45">
      <c r="B4" s="8">
        <v>0</v>
      </c>
      <c r="C4" s="1">
        <v>0</v>
      </c>
      <c r="D4" s="100" t="s">
        <v>6</v>
      </c>
      <c r="E4" s="100"/>
      <c r="F4" s="98" t="s">
        <v>70</v>
      </c>
      <c r="G4" s="98"/>
      <c r="H4" s="100" t="s">
        <v>7</v>
      </c>
      <c r="I4" s="100"/>
      <c r="J4" s="100"/>
      <c r="K4" s="100"/>
      <c r="L4" s="98" t="s">
        <v>8</v>
      </c>
      <c r="M4" s="98"/>
      <c r="N4" s="98"/>
      <c r="O4" s="100" t="s">
        <v>9</v>
      </c>
      <c r="P4" s="100"/>
      <c r="Q4" s="100"/>
      <c r="R4" s="100"/>
      <c r="S4" s="98" t="s">
        <v>69</v>
      </c>
      <c r="T4" s="98"/>
      <c r="U4" s="1">
        <v>0</v>
      </c>
      <c r="V4" s="1">
        <v>0</v>
      </c>
      <c r="W4" s="1">
        <v>0</v>
      </c>
      <c r="X4" s="1">
        <v>0</v>
      </c>
      <c r="Y4" s="1">
        <v>0</v>
      </c>
      <c r="Z4" s="1">
        <v>0</v>
      </c>
      <c r="AA4" s="1">
        <v>0</v>
      </c>
      <c r="AB4" s="1">
        <v>0</v>
      </c>
      <c r="AC4" s="1">
        <v>0</v>
      </c>
    </row>
    <row r="5" spans="1:36" customFormat="1" ht="7.5" customHeight="1" x14ac:dyDescent="0.45">
      <c r="B5" s="7">
        <v>0</v>
      </c>
      <c r="C5" s="7">
        <v>0</v>
      </c>
      <c r="D5" s="7">
        <v>0</v>
      </c>
      <c r="E5" s="7">
        <v>0</v>
      </c>
      <c r="F5" s="7">
        <v>0</v>
      </c>
      <c r="G5" s="7">
        <v>0</v>
      </c>
      <c r="H5" s="7">
        <v>0</v>
      </c>
      <c r="I5" s="7">
        <v>0</v>
      </c>
      <c r="J5" s="7">
        <v>0</v>
      </c>
      <c r="K5" s="7">
        <v>0</v>
      </c>
      <c r="L5" s="7">
        <v>0</v>
      </c>
      <c r="M5" s="7">
        <v>0</v>
      </c>
      <c r="N5" s="7">
        <v>0</v>
      </c>
      <c r="O5" s="7">
        <v>0</v>
      </c>
      <c r="P5" s="7">
        <v>0</v>
      </c>
      <c r="Q5" s="7">
        <v>0</v>
      </c>
      <c r="R5" s="7">
        <v>0</v>
      </c>
      <c r="S5" s="7">
        <v>0</v>
      </c>
      <c r="T5" s="7">
        <v>0</v>
      </c>
      <c r="U5" s="7">
        <v>0</v>
      </c>
      <c r="V5" s="7">
        <v>0</v>
      </c>
      <c r="W5" s="7">
        <v>0</v>
      </c>
      <c r="X5" s="7">
        <v>0</v>
      </c>
      <c r="Y5" s="7">
        <v>0</v>
      </c>
      <c r="Z5" s="7">
        <v>0</v>
      </c>
      <c r="AA5" s="7">
        <v>0</v>
      </c>
      <c r="AB5" s="7">
        <v>0</v>
      </c>
      <c r="AC5" s="7">
        <v>0</v>
      </c>
    </row>
    <row r="6" spans="1:36" s="19" customFormat="1" ht="127.9" customHeight="1" x14ac:dyDescent="0.45">
      <c r="A6" s="10"/>
      <c r="B6" s="35">
        <v>0</v>
      </c>
      <c r="C6" s="37">
        <v>0</v>
      </c>
      <c r="D6" s="34">
        <v>0</v>
      </c>
      <c r="E6" s="18" t="s">
        <v>10</v>
      </c>
      <c r="F6" s="19" t="str" cm="1">
        <f t="array" ref="F6:AF6">TRANSPOSE(_xlfn._xlws.FILTER(f_listof_program_names,((f_listof_program_sections=L4)*(f_listof_stage_or_non_stg=S4))))</f>
        <v>ABSTRACT WRITING ENG</v>
      </c>
      <c r="G6" s="19" t="str">
        <v>ACADEMIC ESSAY ENG</v>
      </c>
      <c r="H6" s="19" t="str">
        <v>ARTICLE SUBMISSION</v>
      </c>
      <c r="I6" s="19" t="str">
        <v>CARTOON</v>
      </c>
      <c r="J6" s="19" t="str">
        <v>ESSAY ARB</v>
      </c>
      <c r="K6" s="19" t="str">
        <v>ESSAY MLM</v>
      </c>
      <c r="L6" s="19" t="str">
        <v>ESSAY URD</v>
      </c>
      <c r="M6" s="19" t="str">
        <v>EXCEL EXPERT</v>
      </c>
      <c r="N6" s="19" t="str">
        <v>FEATURE WRITING MLM</v>
      </c>
      <c r="O6" s="19" t="str">
        <v>HIFZ AND THAJWEED</v>
      </c>
      <c r="P6" s="19" t="str">
        <v>PHOTOGRAPHY</v>
      </c>
      <c r="Q6" s="19" t="str">
        <v>POEM ARB</v>
      </c>
      <c r="R6" s="19" t="str">
        <v>POEM ENG</v>
      </c>
      <c r="S6" s="19" t="str">
        <v>POEM MLM</v>
      </c>
      <c r="T6" s="19" t="str">
        <v>POEM URD</v>
      </c>
      <c r="U6" s="19" t="str">
        <v>PROOF READING ARB</v>
      </c>
      <c r="V6" s="19" t="str">
        <v>PROOF READING ENG</v>
      </c>
      <c r="W6" s="19" t="str">
        <v>PROOF READING MLM</v>
      </c>
      <c r="X6" s="19" t="str">
        <v>PROOF READING URD</v>
      </c>
      <c r="Y6" s="19" t="str">
        <v>SCREENPLAY WRITING MLM</v>
      </c>
      <c r="Z6" s="19" t="str">
        <v>SHORT STORY ARB</v>
      </c>
      <c r="AA6" s="19" t="str">
        <v>SHORT STORY ENG</v>
      </c>
      <c r="AB6" s="19" t="str">
        <v>SHORT STORY MLM</v>
      </c>
      <c r="AC6" s="19" t="str">
        <v>SHORT STORY URD</v>
      </c>
      <c r="AD6" s="19" t="str">
        <v>TYPING QUADRILINGUAL</v>
      </c>
      <c r="AE6" s="19" t="str">
        <v>WEB DESIGNING</v>
      </c>
      <c r="AF6" s="19" t="str">
        <v>INSTANT DIGITAL TABLOID ARB</v>
      </c>
    </row>
    <row r="7" spans="1:36" s="20" customFormat="1" ht="40.5" customHeight="1" x14ac:dyDescent="0.45">
      <c r="A7" s="9"/>
      <c r="B7" s="36">
        <v>0</v>
      </c>
      <c r="C7" s="39">
        <v>0</v>
      </c>
      <c r="D7" s="38">
        <v>0</v>
      </c>
      <c r="E7" s="18" t="s">
        <v>11</v>
      </c>
      <c r="F7" s="20" t="str" cm="1">
        <f t="array" ref="F7:AF7">TRANSPOSE(_xlfn._xlws.FILTER(f_listof_program_codes,((f_listof_program_sections=L4)*(f_listof_stage_or_non_stg=S4))))</f>
        <v>SS01</v>
      </c>
      <c r="G7" s="20" t="str">
        <v>SS02</v>
      </c>
      <c r="H7" s="20" t="str">
        <v>SS03</v>
      </c>
      <c r="I7" s="20" t="str">
        <v>SS04</v>
      </c>
      <c r="J7" s="20" t="str">
        <v>SS05</v>
      </c>
      <c r="K7" s="20" t="str">
        <v>SS06</v>
      </c>
      <c r="L7" s="20" t="str">
        <v>SS07</v>
      </c>
      <c r="M7" s="20" t="str">
        <v>SS08</v>
      </c>
      <c r="N7" s="20" t="str">
        <v>SS09</v>
      </c>
      <c r="O7" s="20" t="str">
        <v>SS10</v>
      </c>
      <c r="P7" s="20" t="str">
        <v>SS11</v>
      </c>
      <c r="Q7" s="20" t="str">
        <v>SS12</v>
      </c>
      <c r="R7" s="20" t="str">
        <v>SS13</v>
      </c>
      <c r="S7" s="20" t="str">
        <v>SS14</v>
      </c>
      <c r="T7" s="20" t="str">
        <v>SS15</v>
      </c>
      <c r="U7" s="20" t="str">
        <v>SS16</v>
      </c>
      <c r="V7" s="20" t="str">
        <v>SS17</v>
      </c>
      <c r="W7" s="20" t="str">
        <v>SS18</v>
      </c>
      <c r="X7" s="20" t="str">
        <v>SS19</v>
      </c>
      <c r="Y7" s="20" t="str">
        <v>SS20</v>
      </c>
      <c r="Z7" s="20" t="str">
        <v>SS21</v>
      </c>
      <c r="AA7" s="20" t="str">
        <v>SS22</v>
      </c>
      <c r="AB7" s="20" t="str">
        <v>SS23</v>
      </c>
      <c r="AC7" s="20" t="str">
        <v>SS24</v>
      </c>
      <c r="AD7" s="20" t="str">
        <v>SS25</v>
      </c>
      <c r="AE7" s="20" t="str">
        <v>SS26</v>
      </c>
      <c r="AF7" s="20" t="str">
        <v>SS47</v>
      </c>
    </row>
    <row r="8" spans="1:36" s="22" customFormat="1" ht="30.4" customHeight="1" x14ac:dyDescent="0.45">
      <c r="A8" s="11"/>
      <c r="B8" s="21" t="s">
        <v>12</v>
      </c>
      <c r="C8" s="21" t="s">
        <v>13</v>
      </c>
      <c r="D8" s="21" t="s">
        <v>14</v>
      </c>
      <c r="E8" s="18" t="s">
        <v>15</v>
      </c>
      <c r="F8" s="22" cm="1">
        <f t="array" ref="F8:AF8">TRANSPOSE(_xlfn._xlws.FILTER(f_listof_program_candi_count,((f_listof_program_sections=L4)*(f_listof_stage_or_non_stg=S4))))</f>
        <v>3</v>
      </c>
      <c r="G8" s="22">
        <v>3</v>
      </c>
      <c r="H8" s="22">
        <v>1</v>
      </c>
      <c r="I8" s="22">
        <v>2</v>
      </c>
      <c r="J8" s="22">
        <v>3</v>
      </c>
      <c r="K8" s="22">
        <v>3</v>
      </c>
      <c r="L8" s="22">
        <v>3</v>
      </c>
      <c r="M8" s="22">
        <v>2</v>
      </c>
      <c r="N8" s="22">
        <v>3</v>
      </c>
      <c r="O8" s="22">
        <v>2</v>
      </c>
      <c r="P8" s="22">
        <v>2</v>
      </c>
      <c r="Q8" s="22">
        <v>3</v>
      </c>
      <c r="R8" s="22">
        <v>3</v>
      </c>
      <c r="S8" s="22">
        <v>3</v>
      </c>
      <c r="T8" s="22">
        <v>3</v>
      </c>
      <c r="U8" s="22">
        <v>3</v>
      </c>
      <c r="V8" s="22">
        <v>3</v>
      </c>
      <c r="W8" s="22">
        <v>3</v>
      </c>
      <c r="X8" s="22">
        <v>3</v>
      </c>
      <c r="Y8" s="22">
        <v>2</v>
      </c>
      <c r="Z8" s="22">
        <v>3</v>
      </c>
      <c r="AA8" s="22">
        <v>3</v>
      </c>
      <c r="AB8" s="22">
        <v>3</v>
      </c>
      <c r="AC8" s="22">
        <v>3</v>
      </c>
      <c r="AD8" s="22">
        <v>2</v>
      </c>
      <c r="AE8" s="22">
        <v>1</v>
      </c>
      <c r="AF8" s="22">
        <v>3</v>
      </c>
    </row>
    <row r="9" spans="1:36" s="13" customFormat="1" ht="22.5" customHeight="1" x14ac:dyDescent="0.45">
      <c r="A9"/>
      <c r="B9" s="7" cm="1">
        <f t="array" ref="B9:B31">_xlfn.SEQUENCE(COUNTA(C9:C1048576))</f>
        <v>1</v>
      </c>
      <c r="C9" t="str" cm="1">
        <f t="array" ref="C9:C31">(_xlfn._xlws.FILTER(f_listof_chest_nos,((f_listof_candidate_sections=L4)*(f_listof_candidate_teams=F4))))</f>
        <v>D100</v>
      </c>
      <c r="D9" t="str" cm="1">
        <f t="array" ref="D9:D31">(_xlfn._xlws.FILTER(f_listof_candidate_names,((f_listof_candidate_sections=L4)*(f_listof_candidate_teams=F4))))</f>
        <v>MOHAMMED RAZI</v>
      </c>
      <c r="E9" s="12"/>
    </row>
    <row r="10" spans="1:36" ht="22.5" customHeight="1" x14ac:dyDescent="0.45">
      <c r="B10" s="7">
        <v>2</v>
      </c>
      <c r="C10" t="str">
        <v>D101</v>
      </c>
      <c r="D10" t="str">
        <v>MOHAMMED AFSAL</v>
      </c>
    </row>
    <row r="11" spans="1:36" ht="22.5" customHeight="1" x14ac:dyDescent="0.45">
      <c r="B11" s="7">
        <v>3</v>
      </c>
      <c r="C11" t="str">
        <v>D104</v>
      </c>
      <c r="D11" t="str">
        <v>MUHAMMAD SHANEED.</v>
      </c>
    </row>
    <row r="12" spans="1:36" ht="22.5" customHeight="1" x14ac:dyDescent="0.45">
      <c r="B12" s="7">
        <v>4</v>
      </c>
      <c r="C12" t="str">
        <v>D111</v>
      </c>
      <c r="D12" t="str">
        <v>MAHAMMED SHAMEEL</v>
      </c>
    </row>
    <row r="13" spans="1:36" ht="22.5" customHeight="1" x14ac:dyDescent="0.45">
      <c r="B13" s="7">
        <v>5</v>
      </c>
      <c r="C13" t="str">
        <v>D113</v>
      </c>
      <c r="D13" t="str">
        <v>ZULFIKARALI</v>
      </c>
    </row>
    <row r="14" spans="1:36" ht="22.5" customHeight="1" x14ac:dyDescent="0.45">
      <c r="B14" s="7">
        <v>6</v>
      </c>
      <c r="C14" t="str">
        <v>D116</v>
      </c>
      <c r="D14" t="str">
        <v>HASSAN SHADDAD UM</v>
      </c>
    </row>
    <row r="15" spans="1:36" ht="22.5" customHeight="1" x14ac:dyDescent="0.45">
      <c r="B15" s="7">
        <v>7</v>
      </c>
      <c r="C15" t="str">
        <v>D123</v>
      </c>
      <c r="D15" t="str">
        <v>MOHAMMED SALIH</v>
      </c>
    </row>
    <row r="16" spans="1:36" ht="22.5" customHeight="1" x14ac:dyDescent="0.45">
      <c r="B16" s="7">
        <v>8</v>
      </c>
      <c r="C16" t="str">
        <v>D136</v>
      </c>
      <c r="D16" t="str">
        <v>MUHAMMED ASBAQUE</v>
      </c>
    </row>
    <row r="17" spans="2:4" ht="22.5" customHeight="1" x14ac:dyDescent="0.45">
      <c r="B17" s="7">
        <v>9</v>
      </c>
      <c r="C17" t="str">
        <v>D139</v>
      </c>
      <c r="D17" t="str">
        <v>AHAMMED MUBARAK KA</v>
      </c>
    </row>
    <row r="18" spans="2:4" ht="22.5" customHeight="1" x14ac:dyDescent="0.45">
      <c r="B18" s="7">
        <v>10</v>
      </c>
      <c r="C18" t="str">
        <v>D144</v>
      </c>
      <c r="D18" t="str">
        <v>MUHAMMED RASHAD KA</v>
      </c>
    </row>
    <row r="19" spans="2:4" ht="22.5" customHeight="1" x14ac:dyDescent="0.45">
      <c r="B19" s="7">
        <v>11</v>
      </c>
      <c r="C19" t="str">
        <v>D149</v>
      </c>
      <c r="D19" t="str">
        <v>MOHAMMED MARZOOK AM</v>
      </c>
    </row>
    <row r="20" spans="2:4" ht="22.5" customHeight="1" x14ac:dyDescent="0.45">
      <c r="B20" s="7">
        <v>12</v>
      </c>
      <c r="C20" t="str">
        <v>D151</v>
      </c>
      <c r="D20" t="str">
        <v>MUHAMMED SHANAVAS M.A</v>
      </c>
    </row>
    <row r="21" spans="2:4" ht="22.5" customHeight="1" x14ac:dyDescent="0.45">
      <c r="B21" s="7">
        <v>13</v>
      </c>
      <c r="C21" t="str">
        <v>D153</v>
      </c>
      <c r="D21" t="str">
        <v>MUHAMMED UNAIS PT</v>
      </c>
    </row>
    <row r="22" spans="2:4" ht="22.5" customHeight="1" x14ac:dyDescent="0.45">
      <c r="B22" s="7">
        <v>14</v>
      </c>
      <c r="C22" t="str">
        <v>D154</v>
      </c>
      <c r="D22" t="str">
        <v>ASHIKK.I</v>
      </c>
    </row>
    <row r="23" spans="2:4" ht="22.5" customHeight="1" x14ac:dyDescent="0.45">
      <c r="B23" s="7">
        <v>15</v>
      </c>
      <c r="C23" t="str">
        <v>D160</v>
      </c>
      <c r="D23" t="str">
        <v>SALMAN FARIS</v>
      </c>
    </row>
    <row r="24" spans="2:4" ht="22.5" customHeight="1" x14ac:dyDescent="0.45">
      <c r="B24" s="7">
        <v>16</v>
      </c>
      <c r="C24" t="str">
        <v>D164</v>
      </c>
      <c r="D24" t="str">
        <v>AHMED SULTHAN</v>
      </c>
    </row>
    <row r="25" spans="2:4" ht="22.5" customHeight="1" x14ac:dyDescent="0.45">
      <c r="B25" s="7">
        <v>17</v>
      </c>
      <c r="C25" t="str">
        <v>D167</v>
      </c>
      <c r="D25" t="str">
        <v>AHMAD BINYAMUL ASHIQUE</v>
      </c>
    </row>
    <row r="26" spans="2:4" ht="22.5" customHeight="1" x14ac:dyDescent="0.45">
      <c r="B26" s="7">
        <v>18</v>
      </c>
      <c r="C26" t="str">
        <v>D170</v>
      </c>
      <c r="D26" t="str">
        <v>AHMED ADIL B.K</v>
      </c>
    </row>
    <row r="27" spans="2:4" ht="22.5" customHeight="1" x14ac:dyDescent="0.45">
      <c r="B27" s="7">
        <v>19</v>
      </c>
      <c r="C27" t="str">
        <v>D176</v>
      </c>
      <c r="D27" t="str">
        <v>MOHAMMED NASFAR AFNAN H</v>
      </c>
    </row>
    <row r="28" spans="2:4" ht="22.5" customHeight="1" x14ac:dyDescent="0.45">
      <c r="B28" s="7">
        <v>20</v>
      </c>
      <c r="C28" t="str">
        <v>D182</v>
      </c>
      <c r="D28" t="str">
        <v>AHAMED ASIF M</v>
      </c>
    </row>
    <row r="29" spans="2:4" ht="22.5" customHeight="1" x14ac:dyDescent="0.45">
      <c r="B29" s="7">
        <v>21</v>
      </c>
      <c r="C29" t="str">
        <v>D191</v>
      </c>
      <c r="D29" t="str">
        <v>THAMJEED TM</v>
      </c>
    </row>
    <row r="30" spans="2:4" ht="22.5" customHeight="1" x14ac:dyDescent="0.45">
      <c r="B30" s="7">
        <v>22</v>
      </c>
      <c r="C30" t="str">
        <v>D193</v>
      </c>
      <c r="D30" t="str">
        <v>MUHAMMED ABDUL GHANI M.A</v>
      </c>
    </row>
    <row r="31" spans="2:4" ht="22.5" customHeight="1" x14ac:dyDescent="0.45">
      <c r="B31" s="7">
        <v>23</v>
      </c>
      <c r="C31" t="str">
        <v>D194</v>
      </c>
      <c r="D31" t="str">
        <v>AYAZ RAHMAN T</v>
      </c>
    </row>
  </sheetData>
  <mergeCells count="7">
    <mergeCell ref="L4:N4"/>
    <mergeCell ref="S4:T4"/>
    <mergeCell ref="F4:G4"/>
    <mergeCell ref="E2:S2"/>
    <mergeCell ref="D4:E4"/>
    <mergeCell ref="H4:K4"/>
    <mergeCell ref="O4:R4"/>
  </mergeCells>
  <conditionalFormatting sqref="A9:XFD1048576 E6:XFD8 A6:A8">
    <cfRule type="notContainsBlanks" dxfId="19" priority="7">
      <formula>LEN(TRIM(A6))&gt;0</formula>
    </cfRule>
  </conditionalFormatting>
  <conditionalFormatting sqref="A3:XFD5 U2:V2 AL2:XFD2 A2:E2">
    <cfRule type="cellIs" dxfId="18" priority="1" operator="equal">
      <formula>0</formula>
    </cfRule>
  </conditionalFormatting>
  <dataValidations count="3">
    <dataValidation type="list" allowBlank="1" showInputMessage="1" showErrorMessage="1" sqref="L4:N4" xr:uid="{54984B17-D661-4D5D-A017-9932F90A1337}">
      <formula1>f_listof_sections</formula1>
    </dataValidation>
    <dataValidation type="list" allowBlank="1" showInputMessage="1" showErrorMessage="1" sqref="F4:G4" xr:uid="{C064F15C-10EC-4FC1-8DB0-7D90A57569B6}">
      <formula1>f_lisof_teams_codes</formula1>
    </dataValidation>
    <dataValidation type="list" allowBlank="1" showInputMessage="1" showErrorMessage="1" sqref="S4:T4" xr:uid="{42C29AEE-122A-43FC-93B9-6435AFC16C0A}">
      <formula1>"NON-STG, STAGE"</formula1>
    </dataValidation>
  </dataValidations>
  <pageMargins left="0.25" right="0.25" top="0.75" bottom="0.75" header="0.3" footer="0.3"/>
  <pageSetup paperSize="9" scale="59" orientation="landscape" cellComments="atEnd" r:id="rId1"/>
  <headerFooter>
    <oddFooter>&amp;R&amp;16-KALANKAM '23 ORGANIZING COMMITTEE</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B2F91-BD02-40F9-BC83-04111F584973}">
  <sheetPr codeName="Sheet3"/>
  <dimension ref="A1:BX30"/>
  <sheetViews>
    <sheetView zoomScale="85" zoomScaleNormal="83" zoomScaleSheetLayoutView="102" zoomScalePageLayoutView="85" workbookViewId="0">
      <selection activeCell="H13" sqref="H13"/>
    </sheetView>
  </sheetViews>
  <sheetFormatPr defaultColWidth="9" defaultRowHeight="13.15" x14ac:dyDescent="0.4"/>
  <cols>
    <col min="1" max="1" width="2.86328125" style="31" customWidth="1"/>
    <col min="2" max="2" width="5" style="26" customWidth="1"/>
    <col min="3" max="3" width="23.265625" style="26" customWidth="1"/>
    <col min="4" max="4" width="3.265625" style="32" customWidth="1"/>
    <col min="5" max="5" width="0.265625" style="33" customWidth="1"/>
    <col min="6" max="6" width="2.86328125" style="31" customWidth="1"/>
    <col min="7" max="7" width="5" style="26" customWidth="1"/>
    <col min="8" max="8" width="23.59765625" style="26" customWidth="1"/>
    <col min="9" max="9" width="3.265625" style="32" customWidth="1"/>
    <col min="10" max="10" width="0.265625" style="33" customWidth="1"/>
    <col min="11" max="11" width="2.86328125" style="31" customWidth="1"/>
    <col min="12" max="12" width="5" style="26" customWidth="1"/>
    <col min="13" max="13" width="24.3984375" style="26" customWidth="1"/>
    <col min="14" max="14" width="3.265625" style="32" customWidth="1"/>
    <col min="15" max="15" width="0.265625" style="33" customWidth="1"/>
    <col min="16" max="16" width="2.86328125" style="31" customWidth="1"/>
    <col min="17" max="17" width="5" style="26" customWidth="1"/>
    <col min="18" max="18" width="24.3984375" style="26" customWidth="1"/>
    <col min="19" max="19" width="3.265625" style="32" customWidth="1"/>
    <col min="20" max="20" width="2.86328125" style="31" customWidth="1"/>
    <col min="21" max="21" width="5" style="26" customWidth="1"/>
    <col min="22" max="22" width="23.265625" style="26" customWidth="1"/>
    <col min="23" max="23" width="3.265625" style="32" customWidth="1"/>
    <col min="24" max="24" width="0.265625" style="33" customWidth="1"/>
    <col min="25" max="25" width="2.86328125" style="31" customWidth="1"/>
    <col min="26" max="26" width="5" style="26" customWidth="1"/>
    <col min="27" max="27" width="23.59765625" style="26" customWidth="1"/>
    <col min="28" max="28" width="3.265625" style="32" customWidth="1"/>
    <col min="29" max="29" width="0.265625" style="33" customWidth="1"/>
    <col min="30" max="30" width="2.86328125" style="31" customWidth="1"/>
    <col min="31" max="31" width="5" style="26" customWidth="1"/>
    <col min="32" max="32" width="24.3984375" style="26" customWidth="1"/>
    <col min="33" max="33" width="3.265625" style="32" customWidth="1"/>
    <col min="34" max="34" width="0.265625" style="33" customWidth="1"/>
    <col min="35" max="35" width="2.86328125" style="31" customWidth="1"/>
    <col min="36" max="36" width="5" style="26" customWidth="1"/>
    <col min="37" max="37" width="24.3984375" style="26" customWidth="1"/>
    <col min="38" max="38" width="3.265625" style="32" customWidth="1"/>
    <col min="39" max="39" width="2.86328125" style="31" customWidth="1"/>
    <col min="40" max="40" width="5" style="26" customWidth="1"/>
    <col min="41" max="41" width="23.265625" style="26" customWidth="1"/>
    <col min="42" max="42" width="3.265625" style="32" customWidth="1"/>
    <col min="43" max="43" width="0.265625" style="33" customWidth="1"/>
    <col min="44" max="44" width="2.86328125" style="31" customWidth="1"/>
    <col min="45" max="45" width="5" style="26" customWidth="1"/>
    <col min="46" max="46" width="23.59765625" style="26" customWidth="1"/>
    <col min="47" max="47" width="3.265625" style="32" customWidth="1"/>
    <col min="48" max="48" width="0.265625" style="33" customWidth="1"/>
    <col min="49" max="49" width="2.86328125" style="31" customWidth="1"/>
    <col min="50" max="50" width="5" style="26" customWidth="1"/>
    <col min="51" max="51" width="24.3984375" style="26" customWidth="1"/>
    <col min="52" max="52" width="3.265625" style="32" customWidth="1"/>
    <col min="53" max="53" width="0.265625" style="33" customWidth="1"/>
    <col min="54" max="54" width="2.86328125" style="31" customWidth="1"/>
    <col min="55" max="55" width="5" style="26" customWidth="1"/>
    <col min="56" max="56" width="24.3984375" style="26" customWidth="1"/>
    <col min="57" max="57" width="3.265625" style="32" customWidth="1"/>
    <col min="58" max="58" width="2.86328125" style="31" customWidth="1"/>
    <col min="59" max="59" width="5" style="26" customWidth="1"/>
    <col min="60" max="60" width="23.265625" style="26" customWidth="1"/>
    <col min="61" max="61" width="3.265625" style="32" customWidth="1"/>
    <col min="62" max="62" width="0.265625" style="33" customWidth="1"/>
    <col min="63" max="63" width="2.86328125" style="31" customWidth="1"/>
    <col min="64" max="64" width="5" style="26" customWidth="1"/>
    <col min="65" max="65" width="23.59765625" style="26" customWidth="1"/>
    <col min="66" max="66" width="3.265625" style="32" customWidth="1"/>
    <col min="67" max="67" width="0.265625" style="33" customWidth="1"/>
    <col min="68" max="68" width="2.86328125" style="31" customWidth="1"/>
    <col min="69" max="69" width="5" style="26" customWidth="1"/>
    <col min="70" max="70" width="24.3984375" style="26" customWidth="1"/>
    <col min="71" max="71" width="3.265625" style="32" customWidth="1"/>
    <col min="72" max="72" width="0.265625" style="33" customWidth="1"/>
    <col min="73" max="73" width="2.86328125" style="31" customWidth="1"/>
    <col min="74" max="74" width="5" style="26" customWidth="1"/>
    <col min="75" max="75" width="23.46484375" style="26" customWidth="1"/>
    <col min="76" max="76" width="4.33203125" style="32" customWidth="1"/>
    <col min="77" max="16384" width="9" style="26"/>
  </cols>
  <sheetData>
    <row r="1" spans="1:76" s="24" customFormat="1" ht="6.95" customHeight="1" x14ac:dyDescent="0.4">
      <c r="A1" s="23">
        <v>1</v>
      </c>
      <c r="D1" s="25"/>
      <c r="F1" s="23"/>
      <c r="I1" s="25"/>
      <c r="K1" s="23"/>
      <c r="N1" s="25"/>
      <c r="P1" s="23"/>
      <c r="S1" s="25"/>
      <c r="T1" s="23">
        <v>2</v>
      </c>
      <c r="W1" s="25"/>
      <c r="Y1" s="23"/>
      <c r="AB1" s="25"/>
      <c r="AD1" s="23"/>
      <c r="AG1" s="25"/>
      <c r="AI1" s="23"/>
      <c r="AL1" s="25"/>
      <c r="AM1" s="23">
        <v>3</v>
      </c>
      <c r="AP1" s="25"/>
      <c r="AR1" s="23"/>
      <c r="AU1" s="25"/>
      <c r="AW1" s="23"/>
      <c r="AZ1" s="25"/>
      <c r="BB1" s="23"/>
      <c r="BE1" s="25"/>
      <c r="BF1" s="23">
        <v>4</v>
      </c>
      <c r="BI1" s="25"/>
      <c r="BK1" s="23"/>
      <c r="BN1" s="25"/>
      <c r="BP1" s="23"/>
      <c r="BS1" s="25"/>
      <c r="BU1" s="23"/>
      <c r="BX1" s="25"/>
    </row>
    <row r="2" spans="1:76" ht="24" customHeight="1" x14ac:dyDescent="0.4">
      <c r="A2" s="101" t="str" cm="1">
        <f t="array" ref="A2">INDEX(f_listof_teams_names,A1)&amp;" CANDIDATE LIST"</f>
        <v>FANTHALAYAN CANDIDATE LIST</v>
      </c>
      <c r="B2" s="101"/>
      <c r="C2" s="101"/>
      <c r="D2" s="101"/>
      <c r="E2" s="101"/>
      <c r="F2" s="101"/>
      <c r="G2" s="101"/>
      <c r="H2" s="101"/>
      <c r="I2" s="101"/>
      <c r="J2" s="101"/>
      <c r="K2" s="101"/>
      <c r="L2" s="101"/>
      <c r="M2" s="101"/>
      <c r="N2" s="101"/>
      <c r="O2" s="101"/>
      <c r="P2" s="101"/>
      <c r="Q2" s="101"/>
      <c r="R2" s="101"/>
      <c r="S2" s="101"/>
      <c r="T2" s="101" t="str" cm="1">
        <f t="array" ref="T2">INDEX(f_listof_teams_names,T1)&amp;" CANDIDATE LIST"</f>
        <v>DAHFATHAN CANDIDATE LIST</v>
      </c>
      <c r="U2" s="101"/>
      <c r="V2" s="101"/>
      <c r="W2" s="101"/>
      <c r="X2" s="101"/>
      <c r="Y2" s="101"/>
      <c r="Z2" s="101"/>
      <c r="AA2" s="101"/>
      <c r="AB2" s="101"/>
      <c r="AC2" s="101"/>
      <c r="AD2" s="101"/>
      <c r="AE2" s="101"/>
      <c r="AF2" s="101"/>
      <c r="AG2" s="101"/>
      <c r="AH2" s="101"/>
      <c r="AI2" s="101"/>
      <c r="AJ2" s="101"/>
      <c r="AK2" s="101"/>
      <c r="AL2" s="101"/>
      <c r="AM2" s="101" t="str" cm="1">
        <f t="array" ref="AM2">INDEX(f_listof_teams_names,AM1)&amp;" CANDIDATE LIST"</f>
        <v>BADFATHAN CANDIDATE LIST</v>
      </c>
      <c r="AN2" s="101"/>
      <c r="AO2" s="101"/>
      <c r="AP2" s="101"/>
      <c r="AQ2" s="101"/>
      <c r="AR2" s="101"/>
      <c r="AS2" s="101"/>
      <c r="AT2" s="101"/>
      <c r="AU2" s="101"/>
      <c r="AV2" s="101"/>
      <c r="AW2" s="101"/>
      <c r="AX2" s="101"/>
      <c r="AY2" s="101"/>
      <c r="AZ2" s="101"/>
      <c r="BA2" s="101"/>
      <c r="BB2" s="101"/>
      <c r="BC2" s="101"/>
      <c r="BD2" s="101"/>
      <c r="BE2" s="101"/>
      <c r="BF2" s="101" t="str" cm="1">
        <f t="array" ref="BF2">INDEX(f_listof_teams_names,BF1)&amp;" CANDIDATE LIST"</f>
        <v>JARFATHAN CANDIDATE LIST</v>
      </c>
      <c r="BG2" s="101"/>
      <c r="BH2" s="101"/>
      <c r="BI2" s="101"/>
      <c r="BJ2" s="101"/>
      <c r="BK2" s="101"/>
      <c r="BL2" s="101"/>
      <c r="BM2" s="101"/>
      <c r="BN2" s="101"/>
      <c r="BO2" s="101"/>
      <c r="BP2" s="101"/>
      <c r="BQ2" s="101"/>
      <c r="BR2" s="101"/>
      <c r="BS2" s="101"/>
      <c r="BT2" s="101"/>
      <c r="BU2" s="101"/>
      <c r="BV2" s="101"/>
      <c r="BW2" s="101"/>
      <c r="BX2" s="101"/>
    </row>
    <row r="3" spans="1:76" s="28" customFormat="1" ht="18.399999999999999" customHeight="1" x14ac:dyDescent="0.45">
      <c r="A3" s="103" t="s">
        <v>20</v>
      </c>
      <c r="B3" s="103"/>
      <c r="C3" s="28" t="s">
        <v>57</v>
      </c>
      <c r="D3" s="27"/>
      <c r="F3" s="103" t="s">
        <v>21</v>
      </c>
      <c r="G3" s="103"/>
      <c r="H3" s="28" t="s">
        <v>67</v>
      </c>
      <c r="I3" s="27"/>
      <c r="K3" s="103" t="s">
        <v>22</v>
      </c>
      <c r="L3" s="103"/>
      <c r="M3" s="28" t="s">
        <v>68</v>
      </c>
      <c r="N3" s="27"/>
      <c r="P3" s="103"/>
      <c r="Q3" s="103"/>
      <c r="S3" s="27"/>
      <c r="T3" s="103" t="s">
        <v>20</v>
      </c>
      <c r="U3" s="103"/>
      <c r="V3" s="28" t="s">
        <v>58</v>
      </c>
      <c r="W3" s="27"/>
      <c r="Y3" s="103" t="s">
        <v>21</v>
      </c>
      <c r="Z3" s="103"/>
      <c r="AA3" s="28" t="s">
        <v>60</v>
      </c>
      <c r="AB3" s="27"/>
      <c r="AD3" s="103" t="s">
        <v>22</v>
      </c>
      <c r="AE3" s="103"/>
      <c r="AF3" s="28" t="s">
        <v>59</v>
      </c>
      <c r="AG3" s="27"/>
      <c r="AI3" s="103"/>
      <c r="AJ3" s="103"/>
      <c r="AL3" s="27"/>
      <c r="AM3" s="103" t="s">
        <v>20</v>
      </c>
      <c r="AN3" s="103"/>
      <c r="AO3" s="28" t="s">
        <v>64</v>
      </c>
      <c r="AP3" s="27"/>
      <c r="AR3" s="104" t="s">
        <v>21</v>
      </c>
      <c r="AS3" s="104"/>
      <c r="AT3" s="28" t="s">
        <v>65</v>
      </c>
      <c r="AU3" s="27"/>
      <c r="AW3" s="103" t="s">
        <v>22</v>
      </c>
      <c r="AX3" s="103"/>
      <c r="AY3" s="105" t="s">
        <v>66</v>
      </c>
      <c r="AZ3" s="106"/>
      <c r="BA3" s="106"/>
      <c r="BB3" s="106"/>
      <c r="BC3" s="107"/>
      <c r="BE3" s="27"/>
      <c r="BF3" s="103" t="s">
        <v>20</v>
      </c>
      <c r="BG3" s="103"/>
      <c r="BH3" s="28" t="s">
        <v>61</v>
      </c>
      <c r="BI3" s="27"/>
      <c r="BK3" s="103" t="s">
        <v>21</v>
      </c>
      <c r="BL3" s="103"/>
      <c r="BM3" s="28" t="s">
        <v>62</v>
      </c>
      <c r="BN3" s="27"/>
      <c r="BP3" s="103" t="s">
        <v>22</v>
      </c>
      <c r="BQ3" s="103"/>
      <c r="BR3" s="28" t="s">
        <v>63</v>
      </c>
      <c r="BS3" s="27"/>
      <c r="BU3" s="103"/>
      <c r="BV3" s="103"/>
      <c r="BX3" s="27"/>
    </row>
    <row r="4" spans="1:76" x14ac:dyDescent="0.4">
      <c r="A4" s="102" t="str">
        <f>INDEX(f_listof_sections,1)</f>
        <v>SUB JUNIOR</v>
      </c>
      <c r="B4" s="102"/>
      <c r="C4" s="102"/>
      <c r="D4" s="102"/>
      <c r="E4" s="29"/>
      <c r="F4" s="102" t="str">
        <f>INDEX(f_listof_sections,2)</f>
        <v>JUNIOR</v>
      </c>
      <c r="G4" s="102"/>
      <c r="H4" s="102"/>
      <c r="I4" s="102"/>
      <c r="J4" s="29"/>
      <c r="K4" s="102" t="str">
        <f>INDEX(f_listof_sections,3)</f>
        <v>SENIOR</v>
      </c>
      <c r="L4" s="102"/>
      <c r="M4" s="102"/>
      <c r="N4" s="102"/>
      <c r="O4" s="29"/>
      <c r="P4" s="102" t="str">
        <f>INDEX(f_listof_sections,4)</f>
        <v>SUPER SENIOR</v>
      </c>
      <c r="Q4" s="102"/>
      <c r="R4" s="102"/>
      <c r="S4" s="102"/>
      <c r="T4" s="102" t="str">
        <f>INDEX(f_listof_sections,1)</f>
        <v>SUB JUNIOR</v>
      </c>
      <c r="U4" s="102"/>
      <c r="V4" s="102"/>
      <c r="W4" s="102"/>
      <c r="X4" s="29"/>
      <c r="Y4" s="102" t="str">
        <f>INDEX(f_listof_sections,2)</f>
        <v>JUNIOR</v>
      </c>
      <c r="Z4" s="102"/>
      <c r="AA4" s="102"/>
      <c r="AB4" s="102"/>
      <c r="AC4" s="29"/>
      <c r="AD4" s="102" t="str">
        <f>INDEX(f_listof_sections,3)</f>
        <v>SENIOR</v>
      </c>
      <c r="AE4" s="102"/>
      <c r="AF4" s="102"/>
      <c r="AG4" s="102"/>
      <c r="AH4" s="29"/>
      <c r="AI4" s="102" t="str">
        <f>INDEX(f_listof_sections,4)</f>
        <v>SUPER SENIOR</v>
      </c>
      <c r="AJ4" s="102"/>
      <c r="AK4" s="102"/>
      <c r="AL4" s="102"/>
      <c r="AM4" s="102" t="str">
        <f>INDEX(f_listof_sections,1)</f>
        <v>SUB JUNIOR</v>
      </c>
      <c r="AN4" s="102"/>
      <c r="AO4" s="102"/>
      <c r="AP4" s="102"/>
      <c r="AQ4" s="29"/>
      <c r="AR4" s="102" t="str">
        <f>INDEX(f_listof_sections,2)</f>
        <v>JUNIOR</v>
      </c>
      <c r="AS4" s="102"/>
      <c r="AT4" s="102"/>
      <c r="AU4" s="102"/>
      <c r="AV4" s="29"/>
      <c r="AW4" s="102" t="str">
        <f>INDEX(f_listof_sections,3)</f>
        <v>SENIOR</v>
      </c>
      <c r="AX4" s="102"/>
      <c r="AY4" s="102"/>
      <c r="AZ4" s="102"/>
      <c r="BA4" s="29"/>
      <c r="BB4" s="102" t="str">
        <f>INDEX(f_listof_sections,4)</f>
        <v>SUPER SENIOR</v>
      </c>
      <c r="BC4" s="102"/>
      <c r="BD4" s="102"/>
      <c r="BE4" s="102"/>
      <c r="BF4" s="102" t="str">
        <f>INDEX(f_listof_sections,1)</f>
        <v>SUB JUNIOR</v>
      </c>
      <c r="BG4" s="102"/>
      <c r="BH4" s="102"/>
      <c r="BI4" s="102"/>
      <c r="BJ4" s="29"/>
      <c r="BK4" s="102" t="str">
        <f>INDEX(f_listof_sections,2)</f>
        <v>JUNIOR</v>
      </c>
      <c r="BL4" s="102"/>
      <c r="BM4" s="102"/>
      <c r="BN4" s="102"/>
      <c r="BO4" s="29"/>
      <c r="BP4" s="102" t="str">
        <f>INDEX(f_listof_sections,3)</f>
        <v>SENIOR</v>
      </c>
      <c r="BQ4" s="102"/>
      <c r="BR4" s="102"/>
      <c r="BS4" s="102"/>
      <c r="BT4" s="29"/>
      <c r="BU4" s="102" t="str">
        <f>INDEX(f_listof_sections,4)</f>
        <v>SUPER SENIOR</v>
      </c>
      <c r="BV4" s="102"/>
      <c r="BW4" s="102"/>
      <c r="BX4" s="102"/>
    </row>
    <row r="5" spans="1:76" s="30" customFormat="1" x14ac:dyDescent="0.4">
      <c r="A5" s="30" t="s">
        <v>16</v>
      </c>
      <c r="B5" s="30" t="s">
        <v>17</v>
      </c>
      <c r="C5" s="30" t="s">
        <v>18</v>
      </c>
      <c r="D5" s="30" t="s">
        <v>19</v>
      </c>
      <c r="F5" s="30" t="s">
        <v>16</v>
      </c>
      <c r="G5" s="30" t="s">
        <v>17</v>
      </c>
      <c r="H5" s="30" t="s">
        <v>18</v>
      </c>
      <c r="I5" s="30" t="s">
        <v>19</v>
      </c>
      <c r="K5" s="30" t="s">
        <v>16</v>
      </c>
      <c r="L5" s="30" t="s">
        <v>17</v>
      </c>
      <c r="M5" s="30" t="s">
        <v>18</v>
      </c>
      <c r="N5" s="30" t="s">
        <v>19</v>
      </c>
      <c r="P5" s="30" t="s">
        <v>16</v>
      </c>
      <c r="Q5" s="30" t="s">
        <v>17</v>
      </c>
      <c r="R5" s="30" t="s">
        <v>18</v>
      </c>
      <c r="S5" s="30" t="s">
        <v>19</v>
      </c>
      <c r="T5" s="30" t="s">
        <v>16</v>
      </c>
      <c r="V5" s="30" t="s">
        <v>18</v>
      </c>
      <c r="W5" s="30" t="s">
        <v>19</v>
      </c>
      <c r="Y5" s="30" t="s">
        <v>16</v>
      </c>
      <c r="AA5" s="30" t="s">
        <v>18</v>
      </c>
      <c r="AB5" s="30" t="s">
        <v>19</v>
      </c>
      <c r="AD5" s="30" t="s">
        <v>16</v>
      </c>
      <c r="AF5" s="30" t="s">
        <v>18</v>
      </c>
      <c r="AG5" s="30" t="s">
        <v>19</v>
      </c>
      <c r="AI5" s="30" t="s">
        <v>16</v>
      </c>
      <c r="AK5" s="30" t="s">
        <v>18</v>
      </c>
      <c r="AL5" s="30" t="s">
        <v>19</v>
      </c>
      <c r="AM5" s="30" t="s">
        <v>16</v>
      </c>
      <c r="AO5" s="30" t="s">
        <v>18</v>
      </c>
      <c r="AP5" s="30" t="s">
        <v>19</v>
      </c>
      <c r="AR5" s="30" t="s">
        <v>16</v>
      </c>
      <c r="AT5" s="30" t="s">
        <v>18</v>
      </c>
      <c r="AU5" s="30" t="s">
        <v>19</v>
      </c>
      <c r="AW5" s="30" t="s">
        <v>16</v>
      </c>
      <c r="AY5" s="30" t="s">
        <v>18</v>
      </c>
      <c r="AZ5" s="30" t="s">
        <v>19</v>
      </c>
      <c r="BB5" s="30" t="s">
        <v>16</v>
      </c>
      <c r="BD5" s="30" t="s">
        <v>18</v>
      </c>
      <c r="BE5" s="30" t="s">
        <v>19</v>
      </c>
      <c r="BF5" s="30" t="s">
        <v>16</v>
      </c>
      <c r="BH5" s="30" t="s">
        <v>18</v>
      </c>
      <c r="BI5" s="30" t="s">
        <v>19</v>
      </c>
      <c r="BK5" s="30" t="s">
        <v>16</v>
      </c>
      <c r="BM5" s="30" t="s">
        <v>18</v>
      </c>
      <c r="BN5" s="30" t="s">
        <v>19</v>
      </c>
      <c r="BP5" s="30" t="s">
        <v>16</v>
      </c>
      <c r="BR5" s="30" t="s">
        <v>18</v>
      </c>
      <c r="BS5" s="30" t="s">
        <v>19</v>
      </c>
      <c r="BU5" s="30" t="s">
        <v>16</v>
      </c>
      <c r="BW5" s="30" t="s">
        <v>18</v>
      </c>
      <c r="BX5" s="30" t="s">
        <v>19</v>
      </c>
    </row>
    <row r="6" spans="1:76" ht="15.95" customHeight="1" x14ac:dyDescent="0.4">
      <c r="A6" s="31" cm="1">
        <f t="array" ref="A6:A23">_xlfn.SEQUENCE(COUNTA(C6:C1048576))</f>
        <v>1</v>
      </c>
      <c r="B6" s="26" t="str" cm="1">
        <f t="array" ref="B6:B23">_xlfn._xlws.FILTER(f_listof_chest_nos,(f_listof_candidate_teams=INDEX(f_lisof_teams_codes,A1))*(f_listof_candidate_sections=A4),"")</f>
        <v>A100</v>
      </c>
      <c r="C6" s="26" t="str" cm="1">
        <f t="array" ref="C6:C23">_xlfn._xlws.FILTER(f_listof_candidate_names,(f_listof_candidate_teams=INDEX(f_lisof_teams_codes,A1))*(f_listof_candidate_sections=A4),"")</f>
        <v>ADINAN ABOOBACKER K</v>
      </c>
      <c r="D6" s="32" cm="1">
        <f t="array" ref="D6:D23">_xlfn._xlws.FILTER(f_listof_candidate_classes,(f_listof_candidate_teams=INDEX(f_lisof_teams_codes,A1))*(f_listof_candidate_sections=A4),"")</f>
        <v>1</v>
      </c>
      <c r="F6" s="31" cm="1">
        <f t="array" ref="F6:F21">_xlfn.SEQUENCE(COUNTA(H6:H1048576))</f>
        <v>1</v>
      </c>
      <c r="G6" s="26" t="str" cm="1">
        <f t="array" ref="G6:G21">_xlfn._xlws.FILTER(f_listof_chest_nos,(f_listof_candidate_teams=INDEX(f_lisof_teams_codes,A1))*(f_listof_candidate_sections=F4),"")</f>
        <v>B102</v>
      </c>
      <c r="H6" s="26" t="str" cm="1">
        <f t="array" ref="H6:H21">_xlfn._xlws.FILTER(f_listof_candidate_names,(f_listof_candidate_teams=INDEX(f_lisof_teams_codes,A1))*(f_listof_candidate_sections=F4),"")</f>
        <v>AHMAD MUBASHAR</v>
      </c>
      <c r="I6" s="32" cm="1">
        <f t="array" ref="I6:I21">_xlfn._xlws.FILTER(f_listof_candidate_classes,(f_listof_candidate_teams=INDEX(f_lisof_teams_codes,A1))*(f_listof_candidate_sections=F4),"")</f>
        <v>3</v>
      </c>
      <c r="K6" s="31" cm="1">
        <f t="array" ref="K6:K25">_xlfn.SEQUENCE(COUNTA(M6:M1048576))</f>
        <v>1</v>
      </c>
      <c r="L6" s="26" t="str" cm="1">
        <f t="array" ref="L6:L25">_xlfn._xlws.FILTER(f_listof_chest_nos,(f_listof_candidate_teams=INDEX(f_lisof_teams_codes,A1))*(f_listof_candidate_sections=K4),"")</f>
        <v>C101</v>
      </c>
      <c r="M6" s="26" t="str" cm="1">
        <f t="array" ref="M6:M25">_xlfn._xlws.FILTER(f_listof_candidate_names,(f_listof_candidate_teams=INDEX(f_lisof_teams_codes,A1))*(f_listof_candidate_sections=K4),"")</f>
        <v>MUHAMMED KASHIF</v>
      </c>
      <c r="N6" s="32" cm="1">
        <f t="array" ref="N6:N25">_xlfn._xlws.FILTER(f_listof_candidate_classes,(f_listof_candidate_teams=INDEX(f_lisof_teams_codes,A1))*(f_listof_candidate_sections=K4),"")</f>
        <v>5</v>
      </c>
      <c r="P6" s="31" cm="1">
        <f t="array" ref="P6:P30">_xlfn.SEQUENCE(COUNTA(R6:R1048576))</f>
        <v>1</v>
      </c>
      <c r="Q6" s="26" t="str" cm="1">
        <f t="array" ref="Q6:Q30">_xlfn._xlws.FILTER(f_listof_chest_nos,(f_listof_candidate_teams=INDEX(f_lisof_teams_codes,A1))*(f_listof_candidate_sections=P4),"")</f>
        <v>D105</v>
      </c>
      <c r="R6" s="26" t="str" cm="1">
        <f t="array" ref="R6:R30">_xlfn._xlws.FILTER(f_listof_candidate_names,(f_listof_candidate_teams=INDEX(f_lisof_teams_codes,A1))*(f_listof_candidate_sections=P4),"")</f>
        <v>ABDUL WADHOOD</v>
      </c>
      <c r="S6" s="32" cm="1">
        <f t="array" ref="S6:S30">_xlfn._xlws.FILTER(f_listof_candidate_classes,(f_listof_candidate_teams=INDEX(f_lisof_teams_codes,A1))*(f_listof_candidate_sections=P4),"")</f>
        <v>8</v>
      </c>
      <c r="T6" s="31" cm="1">
        <f t="array" ref="T6:T23">_xlfn.SEQUENCE(COUNTA(V6:V1048576))</f>
        <v>1</v>
      </c>
      <c r="U6" s="26" t="str" cm="1">
        <f t="array" ref="U6:U23">_xlfn._xlws.FILTER(f_listof_chest_nos,(f_listof_candidate_teams=INDEX(f_lisof_teams_codes,T1))*(f_listof_candidate_sections=T4),"")</f>
        <v>A112</v>
      </c>
      <c r="V6" s="26" t="str" cm="1">
        <f t="array" ref="V6:V23">_xlfn._xlws.FILTER(f_listof_candidate_names,(f_listof_candidate_teams=INDEX(f_lisof_teams_codes,T1))*(f_listof_candidate_sections=T4),"")</f>
        <v>HILAL ABDULLA C H</v>
      </c>
      <c r="W6" s="32" cm="1">
        <f t="array" ref="W6:W23">_xlfn._xlws.FILTER(f_listof_candidate_classes,(f_listof_candidate_teams=INDEX(f_lisof_teams_codes,T1))*(f_listof_candidate_sections=T4),"")</f>
        <v>1</v>
      </c>
      <c r="Y6" s="31" cm="1">
        <f t="array" ref="Y6:Y21">_xlfn.SEQUENCE(COUNTA(AA6:AA1048576))</f>
        <v>1</v>
      </c>
      <c r="Z6" s="26" t="str" cm="1">
        <f t="array" ref="Z6:Z21">_xlfn._xlws.FILTER(f_listof_chest_nos,(f_listof_candidate_teams=INDEX(f_lisof_teams_codes,T1))*(f_listof_candidate_sections=Y4),"")</f>
        <v>B101</v>
      </c>
      <c r="AA6" s="26" t="str" cm="1">
        <f t="array" ref="AA6:AA21">_xlfn._xlws.FILTER(f_listof_candidate_names,(f_listof_candidate_teams=INDEX(f_lisof_teams_codes,T1))*(f_listof_candidate_sections=Y4),"")</f>
        <v>AHMED AFRAZ MB</v>
      </c>
      <c r="AB6" s="32" cm="1">
        <f t="array" ref="AB6:AB21">_xlfn._xlws.FILTER(f_listof_candidate_classes,(f_listof_candidate_teams=INDEX(f_lisof_teams_codes,T1))*(f_listof_candidate_sections=Y4),"")</f>
        <v>3</v>
      </c>
      <c r="AD6" s="31" cm="1">
        <f t="array" ref="AD6:AD25">_xlfn.SEQUENCE(COUNTA(AF6:AF1048576))</f>
        <v>1</v>
      </c>
      <c r="AE6" s="26" t="str" cm="1">
        <f t="array" ref="AE6:AE25">_xlfn._xlws.FILTER(f_listof_chest_nos,(f_listof_candidate_teams=INDEX(f_lisof_teams_codes,T1))*(f_listof_candidate_sections=AD4),"")</f>
        <v>C100</v>
      </c>
      <c r="AF6" s="26" t="str" cm="1">
        <f t="array" ref="AF6:AF25">_xlfn._xlws.FILTER(f_listof_candidate_names,(f_listof_candidate_teams=INDEX(f_lisof_teams_codes,T1))*(f_listof_candidate_sections=AD4),"")</f>
        <v>IBRAHIM AFIL</v>
      </c>
      <c r="AG6" s="32" cm="1">
        <f t="array" ref="AG6:AG25">_xlfn._xlws.FILTER(f_listof_candidate_classes,(f_listof_candidate_teams=INDEX(f_lisof_teams_codes,T1))*(f_listof_candidate_sections=AD4),"")</f>
        <v>5</v>
      </c>
      <c r="AI6" s="31" cm="1">
        <f t="array" ref="AI6:AI30">_xlfn.SEQUENCE(COUNTA(AK6:AK1048576))</f>
        <v>1</v>
      </c>
      <c r="AJ6" s="26" t="str" cm="1">
        <f t="array" ref="AJ6:AJ30">_xlfn._xlws.FILTER(f_listof_chest_nos,(f_listof_candidate_teams=INDEX(f_lisof_teams_codes,T1))*(f_listof_candidate_sections=AI4),"")</f>
        <v>D102</v>
      </c>
      <c r="AK6" s="26" t="str" cm="1">
        <f t="array" ref="AK6:AK30">_xlfn._xlws.FILTER(f_listof_candidate_names,(f_listof_candidate_teams=INDEX(f_lisof_teams_codes,T1))*(f_listof_candidate_sections=AI4),"")</f>
        <v>JALALUDHEEN K</v>
      </c>
      <c r="AL6" s="32" cm="1">
        <f t="array" ref="AL6:AL30">_xlfn._xlws.FILTER(f_listof_candidate_classes,(f_listof_candidate_teams=INDEX(f_lisof_teams_codes,T1))*(f_listof_candidate_sections=AI4),"")</f>
        <v>8</v>
      </c>
      <c r="AM6" s="31" cm="1">
        <f t="array" ref="AM6:AM23">_xlfn.SEQUENCE(COUNTA(AO6:AO1048576))</f>
        <v>1</v>
      </c>
      <c r="AN6" s="26" t="str" cm="1">
        <f t="array" ref="AN6:AN23">_xlfn._xlws.FILTER(f_listof_chest_nos,(f_listof_candidate_teams=INDEX(f_lisof_teams_codes,AM1))*(f_listof_candidate_sections=AM4),"")</f>
        <v>A104</v>
      </c>
      <c r="AO6" s="26" t="str" cm="1">
        <f t="array" ref="AO6:AO23">_xlfn._xlws.FILTER(f_listof_candidate_names,(f_listof_candidate_teams=INDEX(f_lisof_teams_codes,AM1))*(f_listof_candidate_sections=AM4),"")</f>
        <v>MUHAMMAD AZEEM</v>
      </c>
      <c r="AP6" s="32" cm="1">
        <f t="array" ref="AP6:AP23">_xlfn._xlws.FILTER(f_listof_candidate_classes,(f_listof_candidate_teams=INDEX(f_lisof_teams_codes,AM1))*(f_listof_candidate_sections=AM4),"")</f>
        <v>1</v>
      </c>
      <c r="AR6" s="31" cm="1">
        <f t="array" ref="AR6:AR21">_xlfn.SEQUENCE(COUNTA(AT6:AT1048576))</f>
        <v>1</v>
      </c>
      <c r="AS6" s="26" t="str" cm="1">
        <f t="array" ref="AS6:AS21">_xlfn._xlws.FILTER(f_listof_chest_nos,(f_listof_candidate_teams=INDEX(f_lisof_teams_codes,AM1))*(f_listof_candidate_sections=AR4),"")</f>
        <v>B100</v>
      </c>
      <c r="AT6" s="26" t="str" cm="1">
        <f t="array" ref="AT6:AT21">_xlfn._xlws.FILTER(f_listof_candidate_names,(f_listof_candidate_teams=INDEX(f_lisof_teams_codes,AM1))*(f_listof_candidate_sections=AR4),"")</f>
        <v>ZAINUL ABID K</v>
      </c>
      <c r="AU6" s="32" cm="1">
        <f t="array" ref="AU6:AU21">_xlfn._xlws.FILTER(f_listof_candidate_classes,(f_listof_candidate_teams=INDEX(f_lisof_teams_codes,AM1))*(f_listof_candidate_sections=AR4),"")</f>
        <v>3</v>
      </c>
      <c r="AW6" s="31" cm="1">
        <f t="array" ref="AW6:AW26">_xlfn.SEQUENCE(COUNTA(AY6:AY1048576))</f>
        <v>1</v>
      </c>
      <c r="AX6" s="26" t="str" cm="1">
        <f t="array" ref="AX6:AX26">_xlfn._xlws.FILTER(f_listof_chest_nos,(f_listof_candidate_teams=INDEX(f_lisof_teams_codes,AM1))*(f_listof_candidate_sections=AW4),"")</f>
        <v>C103</v>
      </c>
      <c r="AY6" s="26" t="str" cm="1">
        <f t="array" ref="AY6:AY26">_xlfn._xlws.FILTER(f_listof_candidate_names,(f_listof_candidate_teams=INDEX(f_lisof_teams_codes,AM1))*(f_listof_candidate_sections=AW4),"")</f>
        <v>MUHAMMED ABDUL KADER</v>
      </c>
      <c r="AZ6" s="32" cm="1">
        <f t="array" ref="AZ6:AZ26">_xlfn._xlws.FILTER(f_listof_candidate_classes,(f_listof_candidate_teams=INDEX(f_lisof_teams_codes,AM1))*(f_listof_candidate_sections=AW4),"")</f>
        <v>5</v>
      </c>
      <c r="BB6" s="31" cm="1">
        <f t="array" ref="BB6:BB28">_xlfn.SEQUENCE(COUNTA(BD6:BD1048576))</f>
        <v>1</v>
      </c>
      <c r="BC6" s="26" t="str" cm="1">
        <f t="array" ref="BC6:BC28">_xlfn._xlws.FILTER(f_listof_chest_nos,(f_listof_candidate_teams=INDEX(f_lisof_teams_codes,AM1))*(f_listof_candidate_sections=BB4),"")</f>
        <v>D109</v>
      </c>
      <c r="BD6" s="26" t="str" cm="1">
        <f t="array" ref="BD6:BD28">_xlfn._xlws.FILTER(f_listof_candidate_names,(f_listof_candidate_teams=INDEX(f_lisof_teams_codes,AM1))*(f_listof_candidate_sections=BB4),"")</f>
        <v>AHAMMED AJEER</v>
      </c>
      <c r="BE6" s="32" cm="1">
        <f t="array" ref="BE6:BE28">_xlfn._xlws.FILTER(f_listof_candidate_classes,(f_listof_candidate_teams=INDEX(f_lisof_teams_codes,AM1))*(f_listof_candidate_sections=BB4),"")</f>
        <v>8</v>
      </c>
      <c r="BF6" s="31" cm="1">
        <f t="array" ref="BF6:BF24">_xlfn.SEQUENCE(COUNTA(BH6:BH1048576))</f>
        <v>1</v>
      </c>
      <c r="BG6" s="26" t="str" cm="1">
        <f t="array" ref="BG6:BG24">_xlfn._xlws.FILTER(f_listof_chest_nos,(f_listof_candidate_teams=INDEX(f_lisof_teams_codes,BF1))*(f_listof_candidate_sections=BF4),"")</f>
        <v>A101</v>
      </c>
      <c r="BH6" s="26" t="str" cm="1">
        <f t="array" ref="BH6:BH24">_xlfn._xlws.FILTER(f_listof_candidate_names,(f_listof_candidate_teams=INDEX(f_lisof_teams_codes,BF1))*(f_listof_candidate_sections=BF4),"")</f>
        <v>MUHAMMED TAMEEM</v>
      </c>
      <c r="BI6" s="32" cm="1">
        <f t="array" ref="BI6:BI24">_xlfn._xlws.FILTER(f_listof_candidate_classes,(f_listof_candidate_teams=INDEX(f_lisof_teams_codes,BF1))*(f_listof_candidate_sections=BF4),"")</f>
        <v>1</v>
      </c>
      <c r="BK6" s="31" cm="1">
        <f t="array" ref="BK6:BK22">_xlfn.SEQUENCE(COUNTA(BM6:BM1048576))</f>
        <v>1</v>
      </c>
      <c r="BL6" s="26" t="str" cm="1">
        <f t="array" ref="BL6:BL22">_xlfn._xlws.FILTER(f_listof_chest_nos,(f_listof_candidate_teams=INDEX(f_lisof_teams_codes,BF1))*(f_listof_candidate_sections=BK4),"")</f>
        <v>B105</v>
      </c>
      <c r="BM6" s="26" t="str" cm="1">
        <f t="array" ref="BM6:BM22">_xlfn._xlws.FILTER(f_listof_candidate_names,(f_listof_candidate_teams=INDEX(f_lisof_teams_codes,BF1))*(f_listof_candidate_sections=BK4),"")</f>
        <v>HASAN THAMMEEM</v>
      </c>
      <c r="BN6" s="32" cm="1">
        <f t="array" ref="BN6:BN22">_xlfn._xlws.FILTER(f_listof_candidate_classes,(f_listof_candidate_teams=INDEX(f_lisof_teams_codes,BF1))*(f_listof_candidate_sections=BK4),"")</f>
        <v>3</v>
      </c>
      <c r="BP6" s="31" cm="1">
        <f t="array" ref="BP6:BP24">_xlfn.SEQUENCE(COUNTA(BR6:BR1048576))</f>
        <v>1</v>
      </c>
      <c r="BQ6" s="26" t="str" cm="1">
        <f t="array" ref="BQ6:BQ24">_xlfn._xlws.FILTER(f_listof_chest_nos,(f_listof_candidate_teams=INDEX(f_lisof_teams_codes,BF1))*(f_listof_candidate_sections=BP4),"")</f>
        <v>C105</v>
      </c>
      <c r="BR6" s="26" t="str" cm="1">
        <f t="array" ref="BR6:BR24">_xlfn._xlws.FILTER(f_listof_candidate_names,(f_listof_candidate_teams=INDEX(f_lisof_teams_codes,BF1))*(f_listof_candidate_sections=BP4),"")</f>
        <v>AHMAD MANAL KUDINGILA</v>
      </c>
      <c r="BS6" s="32" cm="1">
        <f t="array" ref="BS6:BS24">_xlfn._xlws.FILTER(f_listof_candidate_classes,(f_listof_candidate_teams=INDEX(f_lisof_teams_codes,BF1))*(f_listof_candidate_sections=BP4),"")</f>
        <v>5</v>
      </c>
      <c r="BU6" s="31" cm="1">
        <f t="array" ref="BU6:BU28">_xlfn.SEQUENCE(COUNTA(BW6:BW1048576))</f>
        <v>1</v>
      </c>
      <c r="BV6" s="26" t="str" cm="1">
        <f t="array" ref="BV6:BV28">_xlfn._xlws.FILTER(f_listof_chest_nos,(f_listof_candidate_teams=INDEX(f_lisof_teams_codes,BF1))*(f_listof_candidate_sections=BU4),"")</f>
        <v>D100</v>
      </c>
      <c r="BW6" s="26" t="str" cm="1">
        <f t="array" ref="BW6:BW28">_xlfn._xlws.FILTER(f_listof_candidate_names,(f_listof_candidate_teams=INDEX(f_lisof_teams_codes,BF1))*(f_listof_candidate_sections=BU4),"")</f>
        <v>MOHAMMED RAZI</v>
      </c>
      <c r="BX6" s="32" cm="1">
        <f t="array" ref="BX6:BX28">_xlfn._xlws.FILTER(f_listof_candidate_classes,(f_listof_candidate_teams=INDEX(f_lisof_teams_codes,BF1))*(f_listof_candidate_sections=BU4),"")</f>
        <v>8</v>
      </c>
    </row>
    <row r="7" spans="1:76" ht="15.95" customHeight="1" x14ac:dyDescent="0.4">
      <c r="A7" s="31">
        <v>2</v>
      </c>
      <c r="B7" s="26" t="str">
        <v>A105</v>
      </c>
      <c r="C7" s="26" t="str">
        <v>MUHAMMED HAFIZ S T</v>
      </c>
      <c r="D7" s="32">
        <v>1</v>
      </c>
      <c r="F7" s="31">
        <v>2</v>
      </c>
      <c r="G7" s="26" t="str">
        <v>B104</v>
      </c>
      <c r="H7" s="26" t="str">
        <v>FAKRUDDIN NAFIL</v>
      </c>
      <c r="I7" s="32">
        <v>3</v>
      </c>
      <c r="K7" s="31">
        <v>2</v>
      </c>
      <c r="L7" s="26" t="str">
        <v>C108</v>
      </c>
      <c r="M7" s="26" t="str">
        <v>ABDULLA SALMAN FARIS M</v>
      </c>
      <c r="N7" s="32">
        <v>5</v>
      </c>
      <c r="P7" s="31">
        <v>2</v>
      </c>
      <c r="Q7" s="26" t="str">
        <v>D112</v>
      </c>
      <c r="R7" s="26" t="str">
        <v>AMEEN ABDULLA</v>
      </c>
      <c r="S7" s="32">
        <v>8</v>
      </c>
      <c r="T7" s="31">
        <v>2</v>
      </c>
      <c r="U7" s="26" t="str">
        <v>A113</v>
      </c>
      <c r="V7" s="26" t="str">
        <v>MOIDEEN KAIS</v>
      </c>
      <c r="W7" s="32">
        <v>1</v>
      </c>
      <c r="Y7" s="31">
        <v>2</v>
      </c>
      <c r="Z7" s="26" t="str">
        <v>B109</v>
      </c>
      <c r="AA7" s="26" t="str">
        <v>AHAMMED SAFAR ZAKARIYA</v>
      </c>
      <c r="AB7" s="32">
        <v>3</v>
      </c>
      <c r="AD7" s="31">
        <v>2</v>
      </c>
      <c r="AE7" s="26" t="str">
        <v>C102</v>
      </c>
      <c r="AF7" s="26" t="str">
        <v>AHAMMED MAHSHOOK M.B</v>
      </c>
      <c r="AG7" s="32">
        <v>5</v>
      </c>
      <c r="AI7" s="31">
        <v>2</v>
      </c>
      <c r="AJ7" s="26" t="str">
        <v>D103</v>
      </c>
      <c r="AK7" s="26" t="str">
        <v>MUHAMMAD RAZI</v>
      </c>
      <c r="AL7" s="32">
        <v>8</v>
      </c>
      <c r="AM7" s="31">
        <v>2</v>
      </c>
      <c r="AN7" s="26" t="str">
        <v>A106</v>
      </c>
      <c r="AO7" s="26" t="str">
        <v>Abdul Khader Uvais K A</v>
      </c>
      <c r="AP7" s="32">
        <v>1</v>
      </c>
      <c r="AR7" s="31">
        <v>2</v>
      </c>
      <c r="AS7" s="26" t="str">
        <v>B103</v>
      </c>
      <c r="AT7" s="26" t="str">
        <v>MOHAMMED NAFIH BA</v>
      </c>
      <c r="AU7" s="32">
        <v>3</v>
      </c>
      <c r="AW7" s="31">
        <v>2</v>
      </c>
      <c r="AX7" s="26" t="str">
        <v>C104</v>
      </c>
      <c r="AY7" s="26" t="str">
        <v>HADIL RIJAS</v>
      </c>
      <c r="AZ7" s="32">
        <v>5</v>
      </c>
      <c r="BB7" s="31">
        <v>2</v>
      </c>
      <c r="BC7" s="26" t="str">
        <v>D110</v>
      </c>
      <c r="BD7" s="26" t="str">
        <v>ABBAS AZNAB M.A</v>
      </c>
      <c r="BE7" s="32">
        <v>8</v>
      </c>
      <c r="BF7" s="31">
        <v>2</v>
      </c>
      <c r="BG7" s="26" t="str">
        <v>A102</v>
      </c>
      <c r="BH7" s="26" t="str">
        <v>AJZAL ASHRAF OV</v>
      </c>
      <c r="BI7" s="32">
        <v>1</v>
      </c>
      <c r="BK7" s="31">
        <v>2</v>
      </c>
      <c r="BL7" s="26" t="str">
        <v>B107</v>
      </c>
      <c r="BM7" s="26" t="str">
        <v>MUHAMMED ZAMIL</v>
      </c>
      <c r="BN7" s="32">
        <v>3</v>
      </c>
      <c r="BP7" s="31">
        <v>2</v>
      </c>
      <c r="BQ7" s="26" t="str">
        <v>C111</v>
      </c>
      <c r="BR7" s="26" t="str">
        <v>MUHAMMAD ISMAIL HAMDULLA V K</v>
      </c>
      <c r="BS7" s="32">
        <v>5</v>
      </c>
      <c r="BU7" s="31">
        <v>2</v>
      </c>
      <c r="BV7" s="26" t="str">
        <v>D101</v>
      </c>
      <c r="BW7" s="26" t="str">
        <v>MOHAMMED AFSAL</v>
      </c>
      <c r="BX7" s="32">
        <v>8</v>
      </c>
    </row>
    <row r="8" spans="1:76" ht="15.95" customHeight="1" x14ac:dyDescent="0.4">
      <c r="A8" s="31">
        <v>3</v>
      </c>
      <c r="B8" s="26" t="str">
        <v>A107</v>
      </c>
      <c r="C8" s="26" t="str">
        <v>MUHAMMED ADHIL C H</v>
      </c>
      <c r="D8" s="32">
        <v>1</v>
      </c>
      <c r="F8" s="31">
        <v>3</v>
      </c>
      <c r="G8" s="26" t="str">
        <v>B111</v>
      </c>
      <c r="H8" s="26" t="str">
        <v>MUHAMMED SAHEEM ASHRAF</v>
      </c>
      <c r="I8" s="32">
        <v>3</v>
      </c>
      <c r="K8" s="31">
        <v>3</v>
      </c>
      <c r="L8" s="26" t="str">
        <v>C112</v>
      </c>
      <c r="M8" s="26" t="str">
        <v>MOHAMMED SA'DUDDEEN K</v>
      </c>
      <c r="N8" s="32">
        <v>5</v>
      </c>
      <c r="P8" s="31">
        <v>3</v>
      </c>
      <c r="Q8" s="26" t="str">
        <v>D114</v>
      </c>
      <c r="R8" s="26" t="str">
        <v>MUHAMMED ANAS M.N</v>
      </c>
      <c r="S8" s="32">
        <v>8</v>
      </c>
      <c r="T8" s="31">
        <v>3</v>
      </c>
      <c r="U8" s="26" t="str">
        <v>A115</v>
      </c>
      <c r="V8" s="26" t="str">
        <v>K MUHAMMAD JALAL</v>
      </c>
      <c r="W8" s="32">
        <v>1</v>
      </c>
      <c r="Y8" s="31">
        <v>3</v>
      </c>
      <c r="Z8" s="26" t="str">
        <v>B110</v>
      </c>
      <c r="AA8" s="26" t="str">
        <v>MUHAMMED MUHAZ P A</v>
      </c>
      <c r="AB8" s="32">
        <v>3</v>
      </c>
      <c r="AD8" s="31">
        <v>3</v>
      </c>
      <c r="AE8" s="26" t="str">
        <v>C107</v>
      </c>
      <c r="AF8" s="26" t="str">
        <v>ADIL ABDULLA A</v>
      </c>
      <c r="AG8" s="32">
        <v>5</v>
      </c>
      <c r="AI8" s="31">
        <v>3</v>
      </c>
      <c r="AJ8" s="26" t="str">
        <v>D106</v>
      </c>
      <c r="AK8" s="26" t="str">
        <v>MOHAMMED SHAMMAS S.I</v>
      </c>
      <c r="AL8" s="32">
        <v>8</v>
      </c>
      <c r="AM8" s="31">
        <v>3</v>
      </c>
      <c r="AN8" s="26" t="str">
        <v>A108</v>
      </c>
      <c r="AO8" s="26" t="str">
        <v>Mohammed Sinan N.A</v>
      </c>
      <c r="AP8" s="32">
        <v>1</v>
      </c>
      <c r="AR8" s="31">
        <v>3</v>
      </c>
      <c r="AS8" s="26" t="str">
        <v>B106</v>
      </c>
      <c r="AT8" s="26" t="str">
        <v>MUHAMMED ROUHAN M.K</v>
      </c>
      <c r="AU8" s="32">
        <v>3</v>
      </c>
      <c r="AW8" s="31">
        <v>3</v>
      </c>
      <c r="AX8" s="26" t="str">
        <v>C106</v>
      </c>
      <c r="AY8" s="26" t="str">
        <v>ABDUL RAHMAN ANFHAL M I</v>
      </c>
      <c r="AZ8" s="32">
        <v>5</v>
      </c>
      <c r="BB8" s="31">
        <v>3</v>
      </c>
      <c r="BC8" s="26" t="str">
        <v>D118</v>
      </c>
      <c r="BD8" s="26" t="str">
        <v>MOHAMMAD KHALANDAR ZIYAD</v>
      </c>
      <c r="BE8" s="32">
        <v>8</v>
      </c>
      <c r="BF8" s="31">
        <v>3</v>
      </c>
      <c r="BG8" s="26" t="str">
        <v>A103</v>
      </c>
      <c r="BH8" s="26" t="str">
        <v>MUHAMMED RIZIN AMAN</v>
      </c>
      <c r="BI8" s="32">
        <v>1</v>
      </c>
      <c r="BK8" s="31">
        <v>3</v>
      </c>
      <c r="BL8" s="26" t="str">
        <v>B108</v>
      </c>
      <c r="BM8" s="26" t="str">
        <v>ABDUL RAHIMAN FAIZ T A</v>
      </c>
      <c r="BN8" s="32">
        <v>3</v>
      </c>
      <c r="BP8" s="31">
        <v>3</v>
      </c>
      <c r="BQ8" s="26" t="str">
        <v>C113</v>
      </c>
      <c r="BR8" s="26" t="str">
        <v>SEYYAD MUHAMMED FAHMAN</v>
      </c>
      <c r="BS8" s="32">
        <v>5</v>
      </c>
      <c r="BU8" s="31">
        <v>3</v>
      </c>
      <c r="BV8" s="26" t="str">
        <v>D104</v>
      </c>
      <c r="BW8" s="26" t="str">
        <v>MUHAMMAD SHANEED.</v>
      </c>
      <c r="BX8" s="32">
        <v>8</v>
      </c>
    </row>
    <row r="9" spans="1:76" ht="15.95" customHeight="1" x14ac:dyDescent="0.4">
      <c r="A9" s="31">
        <v>4</v>
      </c>
      <c r="B9" s="26" t="str">
        <v>A110</v>
      </c>
      <c r="C9" s="26" t="str">
        <v>Muhammed Hisham K M</v>
      </c>
      <c r="D9" s="32">
        <v>1</v>
      </c>
      <c r="F9" s="31">
        <v>4</v>
      </c>
      <c r="G9" s="26" t="str">
        <v>B112</v>
      </c>
      <c r="H9" s="26" t="str">
        <v>SHARAZ AHAMMED</v>
      </c>
      <c r="I9" s="32">
        <v>3</v>
      </c>
      <c r="K9" s="31">
        <v>4</v>
      </c>
      <c r="L9" s="26" t="str">
        <v>C115</v>
      </c>
      <c r="M9" s="26" t="str">
        <v>MOHAMMED ABDUL KHADER K</v>
      </c>
      <c r="N9" s="32">
        <v>5</v>
      </c>
      <c r="P9" s="31">
        <v>4</v>
      </c>
      <c r="Q9" s="26" t="str">
        <v>D117</v>
      </c>
      <c r="R9" s="26" t="str">
        <v>MOHAMMED SAHL CS</v>
      </c>
      <c r="S9" s="32">
        <v>8</v>
      </c>
      <c r="T9" s="31">
        <v>4</v>
      </c>
      <c r="U9" s="26" t="str">
        <v>A120</v>
      </c>
      <c r="V9" s="26" t="str">
        <v>MOHAMMED NAFIH</v>
      </c>
      <c r="W9" s="32">
        <v>1</v>
      </c>
      <c r="Y9" s="31">
        <v>4</v>
      </c>
      <c r="Z9" s="26" t="str">
        <v>B114</v>
      </c>
      <c r="AA9" s="26" t="str">
        <v>AMEEN RAHMAN MTP</v>
      </c>
      <c r="AB9" s="32">
        <v>3</v>
      </c>
      <c r="AD9" s="31">
        <v>4</v>
      </c>
      <c r="AE9" s="26" t="str">
        <v>C110</v>
      </c>
      <c r="AF9" s="26" t="str">
        <v>SHADIL AHAMED</v>
      </c>
      <c r="AG9" s="32">
        <v>5</v>
      </c>
      <c r="AI9" s="31">
        <v>4</v>
      </c>
      <c r="AJ9" s="26" t="str">
        <v>D107</v>
      </c>
      <c r="AK9" s="26" t="str">
        <v>AHMMED HASHIM M</v>
      </c>
      <c r="AL9" s="32">
        <v>8</v>
      </c>
      <c r="AM9" s="31">
        <v>4</v>
      </c>
      <c r="AN9" s="26" t="str">
        <v>A109</v>
      </c>
      <c r="AO9" s="26" t="str">
        <v>AHMED RAZI MR</v>
      </c>
      <c r="AP9" s="32">
        <v>1</v>
      </c>
      <c r="AR9" s="31">
        <v>4</v>
      </c>
      <c r="AS9" s="26" t="str">
        <v>B113</v>
      </c>
      <c r="AT9" s="26" t="str">
        <v>MUHAMMED IHTHISHAM P I</v>
      </c>
      <c r="AU9" s="32">
        <v>3</v>
      </c>
      <c r="AW9" s="31">
        <v>4</v>
      </c>
      <c r="AX9" s="26" t="str">
        <v>C109</v>
      </c>
      <c r="AY9" s="26" t="str">
        <v>ABDULLA FARHAN M</v>
      </c>
      <c r="AZ9" s="32">
        <v>5</v>
      </c>
      <c r="BB9" s="31">
        <v>4</v>
      </c>
      <c r="BC9" s="26" t="str">
        <v>D119</v>
      </c>
      <c r="BD9" s="26" t="str">
        <v>ABU THAHIR</v>
      </c>
      <c r="BE9" s="32">
        <v>8</v>
      </c>
      <c r="BF9" s="31">
        <v>4</v>
      </c>
      <c r="BG9" s="26" t="str">
        <v>A117</v>
      </c>
      <c r="BH9" s="26" t="str">
        <v>Muhammed Waheed R K</v>
      </c>
      <c r="BI9" s="32">
        <v>1</v>
      </c>
      <c r="BK9" s="31">
        <v>4</v>
      </c>
      <c r="BL9" s="26" t="str">
        <v>B116</v>
      </c>
      <c r="BM9" s="26" t="str">
        <v>MOHAMMED SABIK BM</v>
      </c>
      <c r="BN9" s="32">
        <v>3</v>
      </c>
      <c r="BP9" s="31">
        <v>4</v>
      </c>
      <c r="BQ9" s="26" t="str">
        <v>C116</v>
      </c>
      <c r="BR9" s="26" t="str">
        <v>MUAHMMED ANAS P A</v>
      </c>
      <c r="BS9" s="32">
        <v>5</v>
      </c>
      <c r="BU9" s="31">
        <v>4</v>
      </c>
      <c r="BV9" s="26" t="str">
        <v>D111</v>
      </c>
      <c r="BW9" s="26" t="str">
        <v>MAHAMMED SHAMEEL</v>
      </c>
      <c r="BX9" s="32">
        <v>8</v>
      </c>
    </row>
    <row r="10" spans="1:76" ht="15.95" customHeight="1" x14ac:dyDescent="0.4">
      <c r="A10" s="31">
        <v>5</v>
      </c>
      <c r="B10" s="26" t="str">
        <v>A111</v>
      </c>
      <c r="C10" s="26" t="str">
        <v>HUSSAIN MUHAVIZ B A</v>
      </c>
      <c r="D10" s="32">
        <v>1</v>
      </c>
      <c r="F10" s="31">
        <v>5</v>
      </c>
      <c r="G10" s="26" t="str">
        <v>B115</v>
      </c>
      <c r="H10" s="26" t="str">
        <v>HASSAN SAHAL N A</v>
      </c>
      <c r="I10" s="32">
        <v>3</v>
      </c>
      <c r="K10" s="31">
        <v>5</v>
      </c>
      <c r="L10" s="26" t="str">
        <v>C118</v>
      </c>
      <c r="M10" s="26" t="str">
        <v>MUHAMMAD SHAMMAS</v>
      </c>
      <c r="N10" s="32">
        <v>5</v>
      </c>
      <c r="P10" s="31">
        <v>5</v>
      </c>
      <c r="Q10" s="26" t="str">
        <v>D120</v>
      </c>
      <c r="R10" s="26" t="str">
        <v>MUHAMMAD SINAN NP</v>
      </c>
      <c r="S10" s="32">
        <v>8</v>
      </c>
      <c r="T10" s="31">
        <v>5</v>
      </c>
      <c r="U10" s="26" t="str">
        <v>A125</v>
      </c>
      <c r="V10" s="26" t="str">
        <v>MUHAMMED RAZI A T</v>
      </c>
      <c r="W10" s="32">
        <v>1</v>
      </c>
      <c r="Y10" s="31">
        <v>5</v>
      </c>
      <c r="Z10" s="26" t="str">
        <v>B122</v>
      </c>
      <c r="AA10" s="26" t="str">
        <v>MUHAMMAD FAYIZ B</v>
      </c>
      <c r="AB10" s="32">
        <v>3</v>
      </c>
      <c r="AD10" s="31">
        <v>5</v>
      </c>
      <c r="AE10" s="26" t="str">
        <v>C117</v>
      </c>
      <c r="AF10" s="26" t="str">
        <v>Muhammed fahiz A K</v>
      </c>
      <c r="AG10" s="32">
        <v>5</v>
      </c>
      <c r="AI10" s="31">
        <v>5</v>
      </c>
      <c r="AJ10" s="26" t="str">
        <v>D108</v>
      </c>
      <c r="AK10" s="26" t="str">
        <v>MOHAMMED HASHIR</v>
      </c>
      <c r="AL10" s="32">
        <v>8</v>
      </c>
      <c r="AM10" s="31">
        <v>5</v>
      </c>
      <c r="AN10" s="26" t="str">
        <v>A114</v>
      </c>
      <c r="AO10" s="26" t="str">
        <v>MUHAMMED SHAHID K A</v>
      </c>
      <c r="AP10" s="32">
        <v>1</v>
      </c>
      <c r="AR10" s="31">
        <v>5</v>
      </c>
      <c r="AS10" s="26" t="str">
        <v>B117</v>
      </c>
      <c r="AT10" s="26" t="str">
        <v>MUHAMMAD SABITH V K P</v>
      </c>
      <c r="AU10" s="32">
        <v>3</v>
      </c>
      <c r="AW10" s="31">
        <v>5</v>
      </c>
      <c r="AX10" s="26" t="str">
        <v>C114</v>
      </c>
      <c r="AY10" s="26" t="str">
        <v>AJMAL RUWAIS</v>
      </c>
      <c r="AZ10" s="32">
        <v>5</v>
      </c>
      <c r="BB10" s="31">
        <v>5</v>
      </c>
      <c r="BC10" s="26" t="str">
        <v>D124</v>
      </c>
      <c r="BD10" s="26" t="str">
        <v>MUHAMMED SUFAZ P</v>
      </c>
      <c r="BE10" s="32">
        <v>8</v>
      </c>
      <c r="BF10" s="31">
        <v>5</v>
      </c>
      <c r="BG10" s="26" t="str">
        <v>A119</v>
      </c>
      <c r="BH10" s="26" t="str">
        <v>MUHAMMED HASHIR A K</v>
      </c>
      <c r="BI10" s="32">
        <v>1</v>
      </c>
      <c r="BK10" s="31">
        <v>5</v>
      </c>
      <c r="BL10" s="26" t="str">
        <v>B118</v>
      </c>
      <c r="BM10" s="26" t="str">
        <v>Muhammad Muaaz</v>
      </c>
      <c r="BN10" s="32">
        <v>3</v>
      </c>
      <c r="BP10" s="31">
        <v>5</v>
      </c>
      <c r="BQ10" s="26" t="str">
        <v>C119</v>
      </c>
      <c r="BR10" s="26" t="str">
        <v>ARIFUDEEN ABBAS A</v>
      </c>
      <c r="BS10" s="32">
        <v>5</v>
      </c>
      <c r="BU10" s="31">
        <v>5</v>
      </c>
      <c r="BV10" s="26" t="str">
        <v>D113</v>
      </c>
      <c r="BW10" s="26" t="str">
        <v>ZULFIKARALI</v>
      </c>
      <c r="BX10" s="32">
        <v>8</v>
      </c>
    </row>
    <row r="11" spans="1:76" ht="15.95" customHeight="1" x14ac:dyDescent="0.4">
      <c r="A11" s="31">
        <v>6</v>
      </c>
      <c r="B11" s="26" t="str">
        <v>A122</v>
      </c>
      <c r="C11" s="26" t="str">
        <v>MOHAMMAD K A</v>
      </c>
      <c r="D11" s="32">
        <v>1</v>
      </c>
      <c r="F11" s="31">
        <v>6</v>
      </c>
      <c r="G11" s="26" t="str">
        <v>B120</v>
      </c>
      <c r="H11" s="26" t="str">
        <v>MOHAMMED RIYAN</v>
      </c>
      <c r="I11" s="32">
        <v>3</v>
      </c>
      <c r="K11" s="31">
        <v>6</v>
      </c>
      <c r="L11" s="26" t="str">
        <v>C125</v>
      </c>
      <c r="M11" s="26" t="str">
        <v>AHAMMED MINHAJ E M</v>
      </c>
      <c r="N11" s="32">
        <v>5</v>
      </c>
      <c r="P11" s="31">
        <v>6</v>
      </c>
      <c r="Q11" s="26" t="str">
        <v>D127</v>
      </c>
      <c r="R11" s="26" t="str">
        <v>SHADIN G</v>
      </c>
      <c r="S11" s="32">
        <v>8</v>
      </c>
      <c r="T11" s="31">
        <v>6</v>
      </c>
      <c r="U11" s="26" t="str">
        <v>A128</v>
      </c>
      <c r="V11" s="26" t="str">
        <v>MOHAMMED HAFEEZ B</v>
      </c>
      <c r="W11" s="32">
        <v>1</v>
      </c>
      <c r="Y11" s="31">
        <v>6</v>
      </c>
      <c r="Z11" s="26" t="str">
        <v>B124</v>
      </c>
      <c r="AA11" s="26" t="str">
        <v>MOHAMMED RAED. UA</v>
      </c>
      <c r="AB11" s="32">
        <v>3</v>
      </c>
      <c r="AD11" s="31">
        <v>6</v>
      </c>
      <c r="AE11" s="26" t="str">
        <v>C120</v>
      </c>
      <c r="AF11" s="26" t="str">
        <v>MAJID MUHAMMED M</v>
      </c>
      <c r="AG11" s="32">
        <v>5</v>
      </c>
      <c r="AI11" s="31">
        <v>6</v>
      </c>
      <c r="AJ11" s="26" t="str">
        <v>D115</v>
      </c>
      <c r="AK11" s="26" t="str">
        <v>ABDULLA M HAKEEM</v>
      </c>
      <c r="AL11" s="32">
        <v>8</v>
      </c>
      <c r="AM11" s="31">
        <v>6</v>
      </c>
      <c r="AN11" s="26" t="str">
        <v>A124</v>
      </c>
      <c r="AO11" s="26" t="str">
        <v>MOHAMMED JASEEM</v>
      </c>
      <c r="AP11" s="32">
        <v>1</v>
      </c>
      <c r="AR11" s="31">
        <v>6</v>
      </c>
      <c r="AS11" s="26" t="str">
        <v>B121</v>
      </c>
      <c r="AT11" s="26" t="str">
        <v>MOHIDDEEN SHAHSHAD</v>
      </c>
      <c r="AU11" s="32">
        <v>3</v>
      </c>
      <c r="AW11" s="31">
        <v>6</v>
      </c>
      <c r="AX11" s="26" t="str">
        <v>C122</v>
      </c>
      <c r="AY11" s="26" t="str">
        <v>MOHAMMED K H</v>
      </c>
      <c r="AZ11" s="32">
        <v>5</v>
      </c>
      <c r="BB11" s="31">
        <v>6</v>
      </c>
      <c r="BC11" s="26" t="str">
        <v>D126</v>
      </c>
      <c r="BD11" s="26" t="str">
        <v>MUHAMMED MIDHLAJ KK</v>
      </c>
      <c r="BE11" s="32">
        <v>8</v>
      </c>
      <c r="BF11" s="31">
        <v>6</v>
      </c>
      <c r="BG11" s="26" t="str">
        <v>A121</v>
      </c>
      <c r="BH11" s="26" t="str">
        <v>BEERAN MUEENUDHEEN MH</v>
      </c>
      <c r="BI11" s="32">
        <v>1</v>
      </c>
      <c r="BK11" s="31">
        <v>6</v>
      </c>
      <c r="BL11" s="26" t="str">
        <v>B119</v>
      </c>
      <c r="BM11" s="26" t="str">
        <v>ABDUL SA-AD</v>
      </c>
      <c r="BN11" s="32">
        <v>3</v>
      </c>
      <c r="BP11" s="31">
        <v>6</v>
      </c>
      <c r="BQ11" s="26" t="str">
        <v>C121</v>
      </c>
      <c r="BR11" s="26" t="str">
        <v>ABDUL SALAM ARIF</v>
      </c>
      <c r="BS11" s="32">
        <v>5</v>
      </c>
      <c r="BU11" s="31">
        <v>6</v>
      </c>
      <c r="BV11" s="26" t="str">
        <v>D116</v>
      </c>
      <c r="BW11" s="26" t="str">
        <v>HASSAN SHADDAD UM</v>
      </c>
      <c r="BX11" s="32">
        <v>8</v>
      </c>
    </row>
    <row r="12" spans="1:76" ht="15.95" customHeight="1" x14ac:dyDescent="0.4">
      <c r="A12" s="31">
        <v>7</v>
      </c>
      <c r="B12" s="26" t="str">
        <v>A129</v>
      </c>
      <c r="C12" s="26" t="str">
        <v>MUHAMMED BIN JAFAR</v>
      </c>
      <c r="D12" s="32">
        <v>1</v>
      </c>
      <c r="F12" s="31">
        <v>7</v>
      </c>
      <c r="G12" s="26" t="str">
        <v>B123</v>
      </c>
      <c r="H12" s="26" t="str">
        <v>MUHAMMED YASEEN</v>
      </c>
      <c r="I12" s="32">
        <v>3</v>
      </c>
      <c r="K12" s="31">
        <v>7</v>
      </c>
      <c r="L12" s="26" t="str">
        <v>C127</v>
      </c>
      <c r="M12" s="26" t="str">
        <v>SHAMMAZ P A</v>
      </c>
      <c r="N12" s="32">
        <v>5</v>
      </c>
      <c r="P12" s="31">
        <v>7</v>
      </c>
      <c r="Q12" s="26" t="str">
        <v>D128</v>
      </c>
      <c r="R12" s="26" t="str">
        <v>MEHAZIN AMAN T</v>
      </c>
      <c r="S12" s="32">
        <v>8</v>
      </c>
      <c r="T12" s="31">
        <v>7</v>
      </c>
      <c r="U12" s="26" t="str">
        <v>A131</v>
      </c>
      <c r="V12" s="26" t="str">
        <v>FAZIL ABDULLA</v>
      </c>
      <c r="W12" s="32">
        <v>1</v>
      </c>
      <c r="Y12" s="31">
        <v>7</v>
      </c>
      <c r="Z12" s="26" t="str">
        <v>B125</v>
      </c>
      <c r="AA12" s="26" t="str">
        <v>MUHAMMED SHANIFM P</v>
      </c>
      <c r="AB12" s="32">
        <v>3</v>
      </c>
      <c r="AD12" s="31">
        <v>7</v>
      </c>
      <c r="AE12" s="26" t="str">
        <v>C128</v>
      </c>
      <c r="AF12" s="26" t="str">
        <v>MAHIN SINAN</v>
      </c>
      <c r="AG12" s="32">
        <v>5</v>
      </c>
      <c r="AI12" s="31">
        <v>7</v>
      </c>
      <c r="AJ12" s="26" t="str">
        <v>D121</v>
      </c>
      <c r="AK12" s="26" t="str">
        <v>ABDUL RAHMAN MUNZIR</v>
      </c>
      <c r="AL12" s="32">
        <v>8</v>
      </c>
      <c r="AM12" s="31">
        <v>7</v>
      </c>
      <c r="AN12" s="26" t="str">
        <v>A127</v>
      </c>
      <c r="AO12" s="26" t="str">
        <v>MUHAMMED HAFEEZ P</v>
      </c>
      <c r="AP12" s="32">
        <v>1</v>
      </c>
      <c r="AR12" s="31">
        <v>7</v>
      </c>
      <c r="AS12" s="26" t="str">
        <v>B128</v>
      </c>
      <c r="AT12" s="26" t="str">
        <v>MOHAMMED AFNAN</v>
      </c>
      <c r="AU12" s="32">
        <v>3</v>
      </c>
      <c r="AW12" s="31">
        <v>7</v>
      </c>
      <c r="AX12" s="26" t="str">
        <v>C123</v>
      </c>
      <c r="AY12" s="26" t="str">
        <v>MOHAMMED FAQRUDDEEN RAZI</v>
      </c>
      <c r="AZ12" s="32">
        <v>5</v>
      </c>
      <c r="BB12" s="31">
        <v>7</v>
      </c>
      <c r="BC12" s="26" t="str">
        <v>D129</v>
      </c>
      <c r="BD12" s="26" t="str">
        <v>MUHAMMED UNAIS CK</v>
      </c>
      <c r="BE12" s="32">
        <v>8</v>
      </c>
      <c r="BF12" s="31">
        <v>7</v>
      </c>
      <c r="BG12" s="26" t="str">
        <v>A123</v>
      </c>
      <c r="BH12" s="26" t="str">
        <v>IBRAHIM KALEEL</v>
      </c>
      <c r="BI12" s="32">
        <v>1</v>
      </c>
      <c r="BK12" s="31">
        <v>7</v>
      </c>
      <c r="BL12" s="26" t="str">
        <v>B126</v>
      </c>
      <c r="BM12" s="26" t="str">
        <v>AHAMMED JABIR K H</v>
      </c>
      <c r="BN12" s="32">
        <v>3</v>
      </c>
      <c r="BP12" s="31">
        <v>7</v>
      </c>
      <c r="BQ12" s="26" t="str">
        <v>C126</v>
      </c>
      <c r="BR12" s="26" t="str">
        <v>ADNAN ABDULLAH B A</v>
      </c>
      <c r="BS12" s="32">
        <v>5</v>
      </c>
      <c r="BU12" s="31">
        <v>7</v>
      </c>
      <c r="BV12" s="26" t="str">
        <v>D123</v>
      </c>
      <c r="BW12" s="26" t="str">
        <v>MOHAMMED SALIH</v>
      </c>
      <c r="BX12" s="32">
        <v>8</v>
      </c>
    </row>
    <row r="13" spans="1:76" ht="15.95" customHeight="1" x14ac:dyDescent="0.4">
      <c r="A13" s="31">
        <v>8</v>
      </c>
      <c r="B13" s="26" t="str">
        <v>A132</v>
      </c>
      <c r="C13" s="26" t="str">
        <v>MUHAMMED SHIRAZ ISHAQUE</v>
      </c>
      <c r="D13" s="32">
        <v>1</v>
      </c>
      <c r="F13" s="31">
        <v>8</v>
      </c>
      <c r="G13" s="26" t="str">
        <v>B129</v>
      </c>
      <c r="H13" s="26" t="str">
        <v>MOHAMMED SABITH KU</v>
      </c>
      <c r="I13" s="32">
        <v>3</v>
      </c>
      <c r="K13" s="31">
        <v>8</v>
      </c>
      <c r="L13" s="26" t="str">
        <v>C131</v>
      </c>
      <c r="M13" s="26" t="str">
        <v>IBRAHIM AHRAZ</v>
      </c>
      <c r="N13" s="32">
        <v>6</v>
      </c>
      <c r="P13" s="31">
        <v>8</v>
      </c>
      <c r="Q13" s="26" t="str">
        <v>D132</v>
      </c>
      <c r="R13" s="26" t="str">
        <v>ABOOBAKR MA'ROOF</v>
      </c>
      <c r="S13" s="32">
        <v>9</v>
      </c>
      <c r="T13" s="31">
        <v>8</v>
      </c>
      <c r="U13" s="26" t="str">
        <v>A134</v>
      </c>
      <c r="V13" s="26" t="str">
        <v>YASEEN MUHAMMED</v>
      </c>
      <c r="W13" s="32">
        <v>1</v>
      </c>
      <c r="Y13" s="31">
        <v>8</v>
      </c>
      <c r="Z13" s="26" t="str">
        <v>B127</v>
      </c>
      <c r="AA13" s="26" t="str">
        <v>THANSEEHU RAHMAN</v>
      </c>
      <c r="AB13" s="32">
        <v>3</v>
      </c>
      <c r="AD13" s="31">
        <v>8</v>
      </c>
      <c r="AE13" s="26" t="str">
        <v>C130</v>
      </c>
      <c r="AF13" s="26" t="str">
        <v>MOHAMMED HISHAM</v>
      </c>
      <c r="AG13" s="32">
        <v>5</v>
      </c>
      <c r="AI13" s="31">
        <v>8</v>
      </c>
      <c r="AJ13" s="26" t="str">
        <v>D125</v>
      </c>
      <c r="AK13" s="26" t="str">
        <v>SAYYAD MOHAMMED VASIL</v>
      </c>
      <c r="AL13" s="32">
        <v>8</v>
      </c>
      <c r="AM13" s="31">
        <v>8</v>
      </c>
      <c r="AN13" s="26" t="str">
        <v>A135</v>
      </c>
      <c r="AO13" s="26" t="str">
        <v>MOHAMMED RAFAN A</v>
      </c>
      <c r="AP13" s="32">
        <v>1</v>
      </c>
      <c r="AR13" s="31">
        <v>8</v>
      </c>
      <c r="AS13" s="26" t="str">
        <v>B136</v>
      </c>
      <c r="AT13" s="26" t="str">
        <v>MUHAMMAD MIJVAD K</v>
      </c>
      <c r="AU13" s="32">
        <v>3</v>
      </c>
      <c r="AW13" s="31">
        <v>8</v>
      </c>
      <c r="AX13" s="26" t="str">
        <v>C124</v>
      </c>
      <c r="AY13" s="26" t="str">
        <v>MOHAMMED MUBASHIR</v>
      </c>
      <c r="AZ13" s="32">
        <v>5</v>
      </c>
      <c r="BB13" s="31">
        <v>8</v>
      </c>
      <c r="BC13" s="26" t="str">
        <v>D137</v>
      </c>
      <c r="BD13" s="26" t="str">
        <v>AYYOOB V.N</v>
      </c>
      <c r="BE13" s="32">
        <v>9</v>
      </c>
      <c r="BF13" s="31">
        <v>8</v>
      </c>
      <c r="BG13" s="26" t="str">
        <v>A126</v>
      </c>
      <c r="BH13" s="26" t="str">
        <v>MUHAMMED ZAID</v>
      </c>
      <c r="BI13" s="32">
        <v>1</v>
      </c>
      <c r="BK13" s="31">
        <v>8</v>
      </c>
      <c r="BL13" s="26" t="str">
        <v>B131</v>
      </c>
      <c r="BM13" s="26" t="str">
        <v>MUHAMMED BASSIM. E</v>
      </c>
      <c r="BN13" s="32">
        <v>3</v>
      </c>
      <c r="BP13" s="31">
        <v>8</v>
      </c>
      <c r="BQ13" s="26" t="str">
        <v>C135</v>
      </c>
      <c r="BR13" s="26" t="str">
        <v>AHAMAD SHABAB P A</v>
      </c>
      <c r="BS13" s="32">
        <v>6</v>
      </c>
      <c r="BU13" s="31">
        <v>8</v>
      </c>
      <c r="BV13" s="26" t="str">
        <v>D136</v>
      </c>
      <c r="BW13" s="26" t="str">
        <v>MUHAMMED ASBAQUE</v>
      </c>
      <c r="BX13" s="32">
        <v>9</v>
      </c>
    </row>
    <row r="14" spans="1:76" ht="15.95" customHeight="1" x14ac:dyDescent="0.4">
      <c r="A14" s="31">
        <v>9</v>
      </c>
      <c r="B14" s="26" t="str">
        <v>A139</v>
      </c>
      <c r="C14" s="26" t="str">
        <v>MUHAMMED MOIDEEN KUNHI</v>
      </c>
      <c r="D14" s="32">
        <v>1</v>
      </c>
      <c r="F14" s="31">
        <v>9</v>
      </c>
      <c r="G14" s="26" t="str">
        <v>B130</v>
      </c>
      <c r="H14" s="26" t="str">
        <v>HAFIL ADIL AMANULLAH K K</v>
      </c>
      <c r="I14" s="32">
        <v>3</v>
      </c>
      <c r="K14" s="31">
        <v>9</v>
      </c>
      <c r="L14" s="26" t="str">
        <v>C134</v>
      </c>
      <c r="M14" s="26" t="str">
        <v>MUHAMMED ABDUL NASIF P.A</v>
      </c>
      <c r="N14" s="32">
        <v>6</v>
      </c>
      <c r="P14" s="31">
        <v>9</v>
      </c>
      <c r="Q14" s="26" t="str">
        <v>D133</v>
      </c>
      <c r="R14" s="26" t="str">
        <v>MOHAMMED SHAMSHEER</v>
      </c>
      <c r="S14" s="32">
        <v>9</v>
      </c>
      <c r="T14" s="31">
        <v>9</v>
      </c>
      <c r="U14" s="26" t="str">
        <v>A137</v>
      </c>
      <c r="V14" s="26" t="str">
        <v>MOHAMMED SHUAIB K M</v>
      </c>
      <c r="W14" s="32">
        <v>1</v>
      </c>
      <c r="Y14" s="31">
        <v>9</v>
      </c>
      <c r="Z14" s="26" t="str">
        <v>B132</v>
      </c>
      <c r="AA14" s="26" t="str">
        <v>MUHAMMED SAEED THUFAIL</v>
      </c>
      <c r="AB14" s="32">
        <v>3</v>
      </c>
      <c r="AD14" s="31">
        <v>9</v>
      </c>
      <c r="AE14" s="26" t="str">
        <v>C133</v>
      </c>
      <c r="AF14" s="26" t="str">
        <v>SALMANUL FARIS</v>
      </c>
      <c r="AG14" s="32">
        <v>6</v>
      </c>
      <c r="AI14" s="31">
        <v>9</v>
      </c>
      <c r="AJ14" s="26" t="str">
        <v>D130</v>
      </c>
      <c r="AK14" s="26" t="str">
        <v>ZAINUDEEN</v>
      </c>
      <c r="AL14" s="32">
        <v>9</v>
      </c>
      <c r="AM14" s="31">
        <v>9</v>
      </c>
      <c r="AN14" s="26" t="str">
        <v>A136</v>
      </c>
      <c r="AO14" s="26" t="str">
        <v>MUHAMMED UVAIS.P. S</v>
      </c>
      <c r="AP14" s="32">
        <v>1</v>
      </c>
      <c r="AR14" s="31">
        <v>9</v>
      </c>
      <c r="AS14" s="26" t="str">
        <v>B137</v>
      </c>
      <c r="AT14" s="26" t="str">
        <v>MOHAMMAD IJAN</v>
      </c>
      <c r="AU14" s="32">
        <v>3</v>
      </c>
      <c r="AW14" s="31">
        <v>9</v>
      </c>
      <c r="AX14" s="26" t="str">
        <v>C129</v>
      </c>
      <c r="AY14" s="26" t="str">
        <v>P K ZAMEEL AHMED</v>
      </c>
      <c r="AZ14" s="32">
        <v>5</v>
      </c>
      <c r="BB14" s="31">
        <v>9</v>
      </c>
      <c r="BC14" s="26" t="str">
        <v>D141</v>
      </c>
      <c r="BD14" s="26" t="str">
        <v>MUHAMMAD MUSTHAFA P.K</v>
      </c>
      <c r="BE14" s="32">
        <v>9</v>
      </c>
      <c r="BF14" s="31">
        <v>9</v>
      </c>
      <c r="BG14" s="26" t="str">
        <v>A130</v>
      </c>
      <c r="BH14" s="26" t="str">
        <v>MOHAMMAD AJWAD</v>
      </c>
      <c r="BI14" s="32">
        <v>1</v>
      </c>
      <c r="BK14" s="31">
        <v>9</v>
      </c>
      <c r="BL14" s="26" t="str">
        <v>B133</v>
      </c>
      <c r="BM14" s="26" t="str">
        <v>MEERAN MOHIUDHEEN RAFIH</v>
      </c>
      <c r="BN14" s="32">
        <v>3</v>
      </c>
      <c r="BP14" s="31">
        <v>9</v>
      </c>
      <c r="BQ14" s="26" t="str">
        <v>C140</v>
      </c>
      <c r="BR14" s="26" t="str">
        <v>IJAS EBRAHIM</v>
      </c>
      <c r="BS14" s="32">
        <v>6</v>
      </c>
      <c r="BU14" s="31">
        <v>9</v>
      </c>
      <c r="BV14" s="26" t="str">
        <v>D139</v>
      </c>
      <c r="BW14" s="26" t="str">
        <v>AHAMMED MUBARAK KA</v>
      </c>
      <c r="BX14" s="32">
        <v>9</v>
      </c>
    </row>
    <row r="15" spans="1:76" ht="15.95" customHeight="1" x14ac:dyDescent="0.4">
      <c r="A15" s="31">
        <v>10</v>
      </c>
      <c r="B15" s="26" t="str">
        <v>A140</v>
      </c>
      <c r="C15" s="26" t="str">
        <v>MUHAMMED AFLAH.MK</v>
      </c>
      <c r="D15" s="32">
        <v>2</v>
      </c>
      <c r="F15" s="31">
        <v>10</v>
      </c>
      <c r="G15" s="26" t="str">
        <v>B135</v>
      </c>
      <c r="H15" s="26" t="str">
        <v>MOHAMMED RAFIH M R</v>
      </c>
      <c r="I15" s="32">
        <v>3</v>
      </c>
      <c r="K15" s="31">
        <v>10</v>
      </c>
      <c r="L15" s="26" t="str">
        <v>C137</v>
      </c>
      <c r="M15" s="26" t="str">
        <v>MUHAMMED SHUHAIB S</v>
      </c>
      <c r="N15" s="32">
        <v>6</v>
      </c>
      <c r="P15" s="31">
        <v>10</v>
      </c>
      <c r="Q15" s="26" t="str">
        <v>D134</v>
      </c>
      <c r="R15" s="26" t="str">
        <v>AJMAL ANEES</v>
      </c>
      <c r="S15" s="32">
        <v>9</v>
      </c>
      <c r="T15" s="31">
        <v>10</v>
      </c>
      <c r="U15" s="26" t="str">
        <v>A147</v>
      </c>
      <c r="V15" s="26" t="str">
        <v>AHMED WALEED K A</v>
      </c>
      <c r="W15" s="32">
        <v>2</v>
      </c>
      <c r="Y15" s="31">
        <v>10</v>
      </c>
      <c r="Z15" s="26" t="str">
        <v>B139</v>
      </c>
      <c r="AA15" s="26" t="str">
        <v>Muhammad</v>
      </c>
      <c r="AB15" s="32">
        <v>3</v>
      </c>
      <c r="AD15" s="31">
        <v>10</v>
      </c>
      <c r="AE15" s="26" t="str">
        <v>C136</v>
      </c>
      <c r="AF15" s="26" t="str">
        <v>MOHAMMED SHAKIR HUSSAIN K.Y</v>
      </c>
      <c r="AG15" s="32">
        <v>6</v>
      </c>
      <c r="AI15" s="31">
        <v>10</v>
      </c>
      <c r="AJ15" s="26" t="str">
        <v>D131</v>
      </c>
      <c r="AK15" s="26" t="str">
        <v>MAHAMMAD RIYAZ</v>
      </c>
      <c r="AL15" s="32">
        <v>9</v>
      </c>
      <c r="AM15" s="31">
        <v>10</v>
      </c>
      <c r="AN15" s="26" t="str">
        <v>A142</v>
      </c>
      <c r="AO15" s="26" t="str">
        <v>Muhammed Anshad A</v>
      </c>
      <c r="AP15" s="32">
        <v>2</v>
      </c>
      <c r="AR15" s="31">
        <v>10</v>
      </c>
      <c r="AS15" s="26" t="str">
        <v>B138</v>
      </c>
      <c r="AT15" s="26" t="str">
        <v>HABEEB RAHMAN CA</v>
      </c>
      <c r="AU15" s="32">
        <v>3</v>
      </c>
      <c r="AW15" s="31">
        <v>10</v>
      </c>
      <c r="AX15" s="26" t="str">
        <v>C132</v>
      </c>
      <c r="AY15" s="26" t="str">
        <v>MUHAMMAD SHAZIN</v>
      </c>
      <c r="AZ15" s="32">
        <v>6</v>
      </c>
      <c r="BB15" s="31">
        <v>10</v>
      </c>
      <c r="BC15" s="26" t="str">
        <v>D143</v>
      </c>
      <c r="BD15" s="26" t="str">
        <v>MUHAMMED MA</v>
      </c>
      <c r="BE15" s="32">
        <v>9</v>
      </c>
      <c r="BF15" s="31">
        <v>10</v>
      </c>
      <c r="BG15" s="26" t="str">
        <v>A133</v>
      </c>
      <c r="BH15" s="26" t="str">
        <v>JAUHAR ASHFAQUE MUHSIN</v>
      </c>
      <c r="BI15" s="32">
        <v>1</v>
      </c>
      <c r="BK15" s="31">
        <v>10</v>
      </c>
      <c r="BL15" s="26" t="str">
        <v>B134</v>
      </c>
      <c r="BM15" s="26" t="str">
        <v>ABDUL RAHIMAN AZAAN</v>
      </c>
      <c r="BN15" s="32">
        <v>3</v>
      </c>
      <c r="BP15" s="31">
        <v>10</v>
      </c>
      <c r="BQ15" s="26" t="str">
        <v>C143</v>
      </c>
      <c r="BR15" s="26" t="str">
        <v>MUHAMMED SINAN M</v>
      </c>
      <c r="BS15" s="32">
        <v>6</v>
      </c>
      <c r="BU15" s="31">
        <v>10</v>
      </c>
      <c r="BV15" s="26" t="str">
        <v>D144</v>
      </c>
      <c r="BW15" s="26" t="str">
        <v>MUHAMMED RASHAD KA</v>
      </c>
      <c r="BX15" s="32">
        <v>9</v>
      </c>
    </row>
    <row r="16" spans="1:76" ht="15.95" customHeight="1" x14ac:dyDescent="0.4">
      <c r="A16" s="31">
        <v>11</v>
      </c>
      <c r="B16" s="26" t="str">
        <v>A143</v>
      </c>
      <c r="C16" s="26" t="str">
        <v>ABDUL AFEEZ C.F</v>
      </c>
      <c r="D16" s="32">
        <v>2</v>
      </c>
      <c r="F16" s="31">
        <v>11</v>
      </c>
      <c r="G16" s="26" t="str">
        <v>B141</v>
      </c>
      <c r="H16" s="26" t="str">
        <v>RAFNAS P</v>
      </c>
      <c r="I16" s="32">
        <v>4</v>
      </c>
      <c r="K16" s="31">
        <v>11</v>
      </c>
      <c r="L16" s="26" t="str">
        <v>C138</v>
      </c>
      <c r="M16" s="26" t="str">
        <v>MOHAMMED MOINUDDEEN CHISTY</v>
      </c>
      <c r="N16" s="32">
        <v>6</v>
      </c>
      <c r="P16" s="31">
        <v>11</v>
      </c>
      <c r="Q16" s="26" t="str">
        <v>D138</v>
      </c>
      <c r="R16" s="26" t="str">
        <v>MOHAMMED JAWAD A</v>
      </c>
      <c r="S16" s="32">
        <v>9</v>
      </c>
      <c r="T16" s="31">
        <v>11</v>
      </c>
      <c r="U16" s="26" t="str">
        <v>A158</v>
      </c>
      <c r="V16" s="26" t="str">
        <v>Muhammed Anas</v>
      </c>
      <c r="W16" s="32">
        <v>2</v>
      </c>
      <c r="Y16" s="31">
        <v>11</v>
      </c>
      <c r="Z16" s="26" t="str">
        <v>B149</v>
      </c>
      <c r="AA16" s="26" t="str">
        <v>MUHAMMED FARHAN PH</v>
      </c>
      <c r="AB16" s="32">
        <v>4</v>
      </c>
      <c r="AD16" s="31">
        <v>11</v>
      </c>
      <c r="AE16" s="26" t="str">
        <v>C144</v>
      </c>
      <c r="AF16" s="26" t="str">
        <v>MUHAMMED ASHKKAR ALI</v>
      </c>
      <c r="AG16" s="32">
        <v>6</v>
      </c>
      <c r="AI16" s="31">
        <v>11</v>
      </c>
      <c r="AJ16" s="26" t="str">
        <v>D135</v>
      </c>
      <c r="AK16" s="26" t="str">
        <v>HASHIR HUSSAIN IK</v>
      </c>
      <c r="AL16" s="32">
        <v>9</v>
      </c>
      <c r="AM16" s="31">
        <v>11</v>
      </c>
      <c r="AN16" s="26" t="str">
        <v>A145</v>
      </c>
      <c r="AO16" s="26" t="str">
        <v>ABDULLAH A P</v>
      </c>
      <c r="AP16" s="32">
        <v>2</v>
      </c>
      <c r="AR16" s="31">
        <v>11</v>
      </c>
      <c r="AS16" s="26" t="str">
        <v>B140</v>
      </c>
      <c r="AT16" s="26" t="str">
        <v>MOHAMMED SHAHID</v>
      </c>
      <c r="AU16" s="32">
        <v>4</v>
      </c>
      <c r="AW16" s="31">
        <v>11</v>
      </c>
      <c r="AX16" s="26" t="str">
        <v>C139</v>
      </c>
      <c r="AY16" s="26" t="str">
        <v>SULAIMAN FAHAD AP</v>
      </c>
      <c r="AZ16" s="32">
        <v>6</v>
      </c>
      <c r="BB16" s="31">
        <v>11</v>
      </c>
      <c r="BC16" s="26" t="str">
        <v>D145</v>
      </c>
      <c r="BD16" s="26" t="str">
        <v>ABBAS ARFAS O.R</v>
      </c>
      <c r="BE16" s="32">
        <v>9</v>
      </c>
      <c r="BF16" s="31">
        <v>11</v>
      </c>
      <c r="BG16" s="26" t="str">
        <v>A141</v>
      </c>
      <c r="BH16" s="26" t="str">
        <v>MUHAMMED SHUHAIR</v>
      </c>
      <c r="BI16" s="32">
        <v>2</v>
      </c>
      <c r="BK16" s="31">
        <v>11</v>
      </c>
      <c r="BL16" s="26" t="str">
        <v>B147</v>
      </c>
      <c r="BM16" s="26" t="str">
        <v>MOHAMMED SHAMEEM B K</v>
      </c>
      <c r="BN16" s="32">
        <v>4</v>
      </c>
      <c r="BP16" s="31">
        <v>11</v>
      </c>
      <c r="BQ16" s="26" t="str">
        <v>C146</v>
      </c>
      <c r="BR16" s="26" t="str">
        <v>IMRAN HUSSAIN TI</v>
      </c>
      <c r="BS16" s="32">
        <v>6</v>
      </c>
      <c r="BU16" s="31">
        <v>11</v>
      </c>
      <c r="BV16" s="26" t="str">
        <v>D149</v>
      </c>
      <c r="BW16" s="26" t="str">
        <v>MOHAMMED MARZOOK AM</v>
      </c>
      <c r="BX16" s="32">
        <v>9</v>
      </c>
    </row>
    <row r="17" spans="1:76" ht="15.95" customHeight="1" x14ac:dyDescent="0.4">
      <c r="A17" s="31">
        <v>12</v>
      </c>
      <c r="B17" s="26" t="str">
        <v>A150</v>
      </c>
      <c r="C17" s="26" t="str">
        <v>MOHAMED JAWHAR J A</v>
      </c>
      <c r="D17" s="32">
        <v>2</v>
      </c>
      <c r="F17" s="31">
        <v>12</v>
      </c>
      <c r="G17" s="26" t="str">
        <v>B143</v>
      </c>
      <c r="H17" s="26" t="str">
        <v>MOHAMMED SHADIL AP</v>
      </c>
      <c r="I17" s="32">
        <v>4</v>
      </c>
      <c r="K17" s="31">
        <v>12</v>
      </c>
      <c r="L17" s="26" t="str">
        <v>C142</v>
      </c>
      <c r="M17" s="26" t="str">
        <v>AHMAD AMEEN T S</v>
      </c>
      <c r="N17" s="32">
        <v>6</v>
      </c>
      <c r="P17" s="31">
        <v>12</v>
      </c>
      <c r="Q17" s="26" t="str">
        <v>D142</v>
      </c>
      <c r="R17" s="26" t="str">
        <v>ISHAM V.K</v>
      </c>
      <c r="S17" s="32">
        <v>9</v>
      </c>
      <c r="T17" s="31">
        <v>12</v>
      </c>
      <c r="U17" s="26" t="str">
        <v>A164</v>
      </c>
      <c r="V17" s="26" t="str">
        <v>MUHAMMED MICDAD RAMEES A H</v>
      </c>
      <c r="W17" s="32">
        <v>2</v>
      </c>
      <c r="Y17" s="31">
        <v>12</v>
      </c>
      <c r="Z17" s="26" t="str">
        <v>B154</v>
      </c>
      <c r="AA17" s="26" t="str">
        <v>ABDULLA ALBAS</v>
      </c>
      <c r="AB17" s="32">
        <v>4</v>
      </c>
      <c r="AD17" s="31">
        <v>12</v>
      </c>
      <c r="AE17" s="26" t="str">
        <v>C150</v>
      </c>
      <c r="AF17" s="26" t="str">
        <v>MUHAMMED PK</v>
      </c>
      <c r="AG17" s="32">
        <v>6</v>
      </c>
      <c r="AI17" s="31">
        <v>12</v>
      </c>
      <c r="AJ17" s="26" t="str">
        <v>D140</v>
      </c>
      <c r="AK17" s="26" t="str">
        <v>MUHAMMED FAISAL A K</v>
      </c>
      <c r="AL17" s="32">
        <v>9</v>
      </c>
      <c r="AM17" s="31">
        <v>12</v>
      </c>
      <c r="AN17" s="26" t="str">
        <v>A146</v>
      </c>
      <c r="AO17" s="26" t="str">
        <v>AHAMED ADIL. A</v>
      </c>
      <c r="AP17" s="32">
        <v>2</v>
      </c>
      <c r="AR17" s="31">
        <v>12</v>
      </c>
      <c r="AS17" s="26" t="str">
        <v>B142</v>
      </c>
      <c r="AT17" s="26" t="str">
        <v>MUHAMMED HAMDAN A.P</v>
      </c>
      <c r="AU17" s="32">
        <v>4</v>
      </c>
      <c r="AW17" s="31">
        <v>12</v>
      </c>
      <c r="AX17" s="26" t="str">
        <v>C141</v>
      </c>
      <c r="AY17" s="26" t="str">
        <v>AHMAD MINHAJ</v>
      </c>
      <c r="AZ17" s="32">
        <v>6</v>
      </c>
      <c r="BB17" s="31">
        <v>12</v>
      </c>
      <c r="BC17" s="26" t="str">
        <v>D155</v>
      </c>
      <c r="BD17" s="26" t="str">
        <v>MUHAMMED YASIR K</v>
      </c>
      <c r="BE17" s="32">
        <v>9</v>
      </c>
      <c r="BF17" s="31">
        <v>12</v>
      </c>
      <c r="BG17" s="26" t="str">
        <v>A144</v>
      </c>
      <c r="BH17" s="26" t="str">
        <v>ABDULLA</v>
      </c>
      <c r="BI17" s="32">
        <v>2</v>
      </c>
      <c r="BK17" s="31">
        <v>12</v>
      </c>
      <c r="BL17" s="26" t="str">
        <v>B148</v>
      </c>
      <c r="BM17" s="26" t="str">
        <v>MOHAMMED BAQIR TS</v>
      </c>
      <c r="BN17" s="32">
        <v>4</v>
      </c>
      <c r="BP17" s="31">
        <v>12</v>
      </c>
      <c r="BQ17" s="26" t="str">
        <v>C147</v>
      </c>
      <c r="BR17" s="26" t="str">
        <v>AHAMED ZAKI FOUZAN T.Z</v>
      </c>
      <c r="BS17" s="32">
        <v>6</v>
      </c>
      <c r="BU17" s="31">
        <v>12</v>
      </c>
      <c r="BV17" s="26" t="str">
        <v>D151</v>
      </c>
      <c r="BW17" s="26" t="str">
        <v>MUHAMMED SHANAVAS M.A</v>
      </c>
      <c r="BX17" s="32">
        <v>9</v>
      </c>
    </row>
    <row r="18" spans="1:76" ht="15.95" customHeight="1" x14ac:dyDescent="0.4">
      <c r="A18" s="31">
        <v>13</v>
      </c>
      <c r="B18" s="26" t="str">
        <v>A151</v>
      </c>
      <c r="C18" s="26" t="str">
        <v>Mohammad Yaseen</v>
      </c>
      <c r="D18" s="32">
        <v>2</v>
      </c>
      <c r="F18" s="31">
        <v>13</v>
      </c>
      <c r="G18" s="26" t="str">
        <v>B144</v>
      </c>
      <c r="H18" s="26" t="str">
        <v>MUHAMMED NAFIH CI</v>
      </c>
      <c r="I18" s="32">
        <v>4</v>
      </c>
      <c r="K18" s="31">
        <v>13</v>
      </c>
      <c r="L18" s="26" t="str">
        <v>C149</v>
      </c>
      <c r="M18" s="26" t="str">
        <v>ABDUL BAAIS N.A</v>
      </c>
      <c r="N18" s="32">
        <v>6</v>
      </c>
      <c r="P18" s="31">
        <v>13</v>
      </c>
      <c r="Q18" s="26" t="str">
        <v>D147</v>
      </c>
      <c r="R18" s="26" t="str">
        <v>MOHAMMED SHAHZAN T.K</v>
      </c>
      <c r="S18" s="32">
        <v>9</v>
      </c>
      <c r="T18" s="31">
        <v>13</v>
      </c>
      <c r="U18" s="26" t="str">
        <v>A165</v>
      </c>
      <c r="V18" s="26" t="str">
        <v>MUHAMMED MIDLAJ</v>
      </c>
      <c r="W18" s="32">
        <v>2</v>
      </c>
      <c r="Y18" s="31">
        <v>13</v>
      </c>
      <c r="Z18" s="26" t="str">
        <v>B155</v>
      </c>
      <c r="AA18" s="26" t="str">
        <v>MUHAMMED A</v>
      </c>
      <c r="AB18" s="32">
        <v>4</v>
      </c>
      <c r="AD18" s="31">
        <v>13</v>
      </c>
      <c r="AE18" s="26" t="str">
        <v>C153</v>
      </c>
      <c r="AF18" s="26" t="str">
        <v>MUHAMMED AHMASH K</v>
      </c>
      <c r="AG18" s="32">
        <v>6</v>
      </c>
      <c r="AI18" s="31">
        <v>13</v>
      </c>
      <c r="AJ18" s="26" t="str">
        <v>D146</v>
      </c>
      <c r="AK18" s="26" t="str">
        <v>ABDUL YOUNUS</v>
      </c>
      <c r="AL18" s="32">
        <v>9</v>
      </c>
      <c r="AM18" s="31">
        <v>13</v>
      </c>
      <c r="AN18" s="26" t="str">
        <v>A148</v>
      </c>
      <c r="AO18" s="26" t="str">
        <v>AYAAN ABOOBAKAR</v>
      </c>
      <c r="AP18" s="32">
        <v>2</v>
      </c>
      <c r="AR18" s="31">
        <v>13</v>
      </c>
      <c r="AS18" s="26" t="str">
        <v>B146</v>
      </c>
      <c r="AT18" s="26" t="str">
        <v>WASEEM NIHAD A M</v>
      </c>
      <c r="AU18" s="32">
        <v>4</v>
      </c>
      <c r="AW18" s="31">
        <v>13</v>
      </c>
      <c r="AX18" s="26" t="str">
        <v>C145</v>
      </c>
      <c r="AY18" s="26" t="str">
        <v>SHAMEEL AHAMMED P</v>
      </c>
      <c r="AZ18" s="32">
        <v>6</v>
      </c>
      <c r="BB18" s="31">
        <v>13</v>
      </c>
      <c r="BC18" s="26" t="str">
        <v>D157</v>
      </c>
      <c r="BD18" s="26" t="str">
        <v>MUHAMMAD MUZAMMIL E.A</v>
      </c>
      <c r="BE18" s="32">
        <v>9</v>
      </c>
      <c r="BF18" s="31">
        <v>13</v>
      </c>
      <c r="BG18" s="26" t="str">
        <v>A149</v>
      </c>
      <c r="BH18" s="26" t="str">
        <v>FADIL AMEEN ABDULLA</v>
      </c>
      <c r="BI18" s="32">
        <v>2</v>
      </c>
      <c r="BK18" s="31">
        <v>13</v>
      </c>
      <c r="BL18" s="26" t="str">
        <v>B152</v>
      </c>
      <c r="BM18" s="26" t="str">
        <v>MUHAMMED MUNAZIR MM</v>
      </c>
      <c r="BN18" s="32">
        <v>4</v>
      </c>
      <c r="BP18" s="31">
        <v>13</v>
      </c>
      <c r="BQ18" s="26" t="str">
        <v>C151</v>
      </c>
      <c r="BR18" s="26" t="str">
        <v>MOHAMMED ASHMIL K A</v>
      </c>
      <c r="BS18" s="32">
        <v>6</v>
      </c>
      <c r="BU18" s="31">
        <v>13</v>
      </c>
      <c r="BV18" s="26" t="str">
        <v>D153</v>
      </c>
      <c r="BW18" s="26" t="str">
        <v>MUHAMMED UNAIS PT</v>
      </c>
      <c r="BX18" s="32">
        <v>9</v>
      </c>
    </row>
    <row r="19" spans="1:76" ht="15.95" customHeight="1" x14ac:dyDescent="0.4">
      <c r="A19" s="31">
        <v>14</v>
      </c>
      <c r="B19" s="26" t="str">
        <v>A153</v>
      </c>
      <c r="C19" s="26" t="str">
        <v>MOHAMMED SAWA T A</v>
      </c>
      <c r="D19" s="32">
        <v>2</v>
      </c>
      <c r="F19" s="31">
        <v>14</v>
      </c>
      <c r="G19" s="26" t="str">
        <v>B145</v>
      </c>
      <c r="H19" s="26" t="str">
        <v>YASEEN NOORULLA PH</v>
      </c>
      <c r="I19" s="32">
        <v>4</v>
      </c>
      <c r="K19" s="31">
        <v>14</v>
      </c>
      <c r="L19" s="26" t="str">
        <v>C155</v>
      </c>
      <c r="M19" s="26" t="str">
        <v>HASSAN ZARKASH</v>
      </c>
      <c r="N19" s="32">
        <v>6</v>
      </c>
      <c r="P19" s="31">
        <v>14</v>
      </c>
      <c r="Q19" s="26" t="str">
        <v>D159</v>
      </c>
      <c r="R19" s="26" t="str">
        <v>MUHAMMED MUZAMMIL</v>
      </c>
      <c r="S19" s="32">
        <v>9</v>
      </c>
      <c r="T19" s="31">
        <v>14</v>
      </c>
      <c r="U19" s="26" t="str">
        <v>A170</v>
      </c>
      <c r="V19" s="26" t="str">
        <v>P.V.AHMAD ANAS</v>
      </c>
      <c r="W19" s="32">
        <v>2</v>
      </c>
      <c r="Y19" s="31">
        <v>14</v>
      </c>
      <c r="Z19" s="26" t="str">
        <v>B158</v>
      </c>
      <c r="AA19" s="26" t="str">
        <v>FADIL MOHAMMED K M</v>
      </c>
      <c r="AB19" s="32">
        <v>4</v>
      </c>
      <c r="AD19" s="31">
        <v>14</v>
      </c>
      <c r="AE19" s="26" t="str">
        <v>C154</v>
      </c>
      <c r="AF19" s="26" t="str">
        <v>MOHAMMED RAZEEN S.P</v>
      </c>
      <c r="AG19" s="32">
        <v>6</v>
      </c>
      <c r="AI19" s="31">
        <v>14</v>
      </c>
      <c r="AJ19" s="26" t="str">
        <v>D148</v>
      </c>
      <c r="AK19" s="26" t="str">
        <v>UMARUL FAROOK K .K</v>
      </c>
      <c r="AL19" s="32">
        <v>9</v>
      </c>
      <c r="AM19" s="31">
        <v>14</v>
      </c>
      <c r="AN19" s="26" t="str">
        <v>A152</v>
      </c>
      <c r="AO19" s="26" t="str">
        <v>MOHAMMED QUBAIB A H</v>
      </c>
      <c r="AP19" s="32">
        <v>2</v>
      </c>
      <c r="AR19" s="31">
        <v>14</v>
      </c>
      <c r="AS19" s="26" t="str">
        <v>B151</v>
      </c>
      <c r="AT19" s="26" t="str">
        <v>ABDUL GAFOOR</v>
      </c>
      <c r="AU19" s="32">
        <v>4</v>
      </c>
      <c r="AW19" s="31">
        <v>14</v>
      </c>
      <c r="AX19" s="26" t="str">
        <v>C148</v>
      </c>
      <c r="AY19" s="26" t="str">
        <v>MUHAMMED SHABEEB</v>
      </c>
      <c r="AZ19" s="32">
        <v>6</v>
      </c>
      <c r="BB19" s="31">
        <v>14</v>
      </c>
      <c r="BC19" s="26" t="str">
        <v>D161</v>
      </c>
      <c r="BD19" s="26" t="str">
        <v>MOHAMMED ATHHAR THAYYIB MS</v>
      </c>
      <c r="BE19" s="32">
        <v>9</v>
      </c>
      <c r="BF19" s="31">
        <v>14</v>
      </c>
      <c r="BG19" s="26" t="str">
        <v>A154</v>
      </c>
      <c r="BH19" s="26" t="str">
        <v>MOHAMMED WASIM SHAHAD SM</v>
      </c>
      <c r="BI19" s="32">
        <v>2</v>
      </c>
      <c r="BK19" s="31">
        <v>14</v>
      </c>
      <c r="BL19" s="26" t="str">
        <v>B156</v>
      </c>
      <c r="BM19" s="26" t="str">
        <v>MOHAMMED ANAS A.A</v>
      </c>
      <c r="BN19" s="32">
        <v>4</v>
      </c>
      <c r="BP19" s="31">
        <v>14</v>
      </c>
      <c r="BQ19" s="26" t="str">
        <v>C152</v>
      </c>
      <c r="BR19" s="26" t="str">
        <v>MUHAMMED SABITH ALI TM</v>
      </c>
      <c r="BS19" s="32">
        <v>6</v>
      </c>
      <c r="BU19" s="31">
        <v>14</v>
      </c>
      <c r="BV19" s="26" t="str">
        <v>D154</v>
      </c>
      <c r="BW19" s="26" t="str">
        <v>ASHIKK.I</v>
      </c>
      <c r="BX19" s="32">
        <v>9</v>
      </c>
    </row>
    <row r="20" spans="1:76" ht="15.95" customHeight="1" x14ac:dyDescent="0.4">
      <c r="A20" s="31">
        <v>15</v>
      </c>
      <c r="B20" s="26" t="str">
        <v>A157</v>
      </c>
      <c r="C20" s="26" t="str">
        <v>MUHAMMED ADNAN K.A</v>
      </c>
      <c r="D20" s="32">
        <v>2</v>
      </c>
      <c r="F20" s="31">
        <v>15</v>
      </c>
      <c r="G20" s="26" t="str">
        <v>B150</v>
      </c>
      <c r="H20" s="26" t="str">
        <v>ABDULLA FAHAD T.U</v>
      </c>
      <c r="I20" s="32">
        <v>4</v>
      </c>
      <c r="K20" s="31">
        <v>15</v>
      </c>
      <c r="L20" s="26" t="str">
        <v>C156</v>
      </c>
      <c r="M20" s="26" t="str">
        <v>ABDULLA RAMSHAD</v>
      </c>
      <c r="N20" s="32">
        <v>6</v>
      </c>
      <c r="P20" s="31">
        <v>15</v>
      </c>
      <c r="Q20" s="26" t="str">
        <v>D163</v>
      </c>
      <c r="R20" s="26" t="str">
        <v>ABDUL JANIS</v>
      </c>
      <c r="S20" s="32">
        <v>9</v>
      </c>
      <c r="T20" s="31">
        <v>15</v>
      </c>
      <c r="U20" s="26" t="str">
        <v>A171</v>
      </c>
      <c r="V20" s="26" t="str">
        <v>SAYYED MOHAMMED SINAN AM</v>
      </c>
      <c r="W20" s="32">
        <v>2</v>
      </c>
      <c r="Y20" s="31">
        <v>15</v>
      </c>
      <c r="Z20" s="26" t="str">
        <v>B159</v>
      </c>
      <c r="AA20" s="26" t="str">
        <v>AJMAL AHMED MT</v>
      </c>
      <c r="AB20" s="32">
        <v>4</v>
      </c>
      <c r="AD20" s="31">
        <v>15</v>
      </c>
      <c r="AE20" s="26" t="str">
        <v>C158</v>
      </c>
      <c r="AF20" s="26" t="str">
        <v>ABDUL FATHAH AHAMMED C</v>
      </c>
      <c r="AG20" s="32">
        <v>6</v>
      </c>
      <c r="AI20" s="31">
        <v>15</v>
      </c>
      <c r="AJ20" s="26" t="str">
        <v>D150</v>
      </c>
      <c r="AK20" s="26" t="str">
        <v>ABDUL KHADER</v>
      </c>
      <c r="AL20" s="32">
        <v>9</v>
      </c>
      <c r="AM20" s="31">
        <v>15</v>
      </c>
      <c r="AN20" s="26" t="str">
        <v>A163</v>
      </c>
      <c r="AO20" s="26" t="str">
        <v>MUHAMMED LUQMAN TD</v>
      </c>
      <c r="AP20" s="32">
        <v>2</v>
      </c>
      <c r="AR20" s="31">
        <v>15</v>
      </c>
      <c r="AS20" s="26" t="str">
        <v>B153</v>
      </c>
      <c r="AT20" s="26" t="str">
        <v>ABDUL KHADER ISHAQUE</v>
      </c>
      <c r="AU20" s="32">
        <v>4</v>
      </c>
      <c r="AW20" s="31">
        <v>15</v>
      </c>
      <c r="AX20" s="26" t="str">
        <v>C157</v>
      </c>
      <c r="AY20" s="26" t="str">
        <v>HASAN YASIR</v>
      </c>
      <c r="AZ20" s="32">
        <v>6</v>
      </c>
      <c r="BB20" s="31">
        <v>15</v>
      </c>
      <c r="BC20" s="26" t="str">
        <v>D162</v>
      </c>
      <c r="BD20" s="26" t="str">
        <v>ABDURAHMAN P.H</v>
      </c>
      <c r="BE20" s="32">
        <v>9</v>
      </c>
      <c r="BF20" s="31">
        <v>15</v>
      </c>
      <c r="BG20" s="26" t="str">
        <v>A155</v>
      </c>
      <c r="BH20" s="26" t="str">
        <v>Muhammad M</v>
      </c>
      <c r="BI20" s="32">
        <v>2</v>
      </c>
      <c r="BK20" s="31">
        <v>15</v>
      </c>
      <c r="BL20" s="26" t="str">
        <v>B160</v>
      </c>
      <c r="BM20" s="26" t="str">
        <v>MOHAMMED DAWOOD K</v>
      </c>
      <c r="BN20" s="32">
        <v>4</v>
      </c>
      <c r="BP20" s="31">
        <v>15</v>
      </c>
      <c r="BQ20" s="26" t="str">
        <v>C163</v>
      </c>
      <c r="BR20" s="26" t="str">
        <v>MOHAMMED SAHEED A.K</v>
      </c>
      <c r="BS20" s="32">
        <v>7</v>
      </c>
      <c r="BU20" s="31">
        <v>15</v>
      </c>
      <c r="BV20" s="26" t="str">
        <v>D160</v>
      </c>
      <c r="BW20" s="26" t="str">
        <v>SALMAN FARIS</v>
      </c>
      <c r="BX20" s="32">
        <v>9</v>
      </c>
    </row>
    <row r="21" spans="1:76" ht="15.95" customHeight="1" x14ac:dyDescent="0.4">
      <c r="A21" s="31">
        <v>16</v>
      </c>
      <c r="B21" s="26" t="str">
        <v>A161</v>
      </c>
      <c r="C21" s="26" t="str">
        <v>MUHAMMED FAHAD</v>
      </c>
      <c r="D21" s="32">
        <v>2</v>
      </c>
      <c r="F21" s="31">
        <v>16</v>
      </c>
      <c r="G21" s="26" t="str">
        <v>B157</v>
      </c>
      <c r="H21" s="26" t="str">
        <v>MUHAMMED MIHRAZ</v>
      </c>
      <c r="I21" s="32">
        <v>4</v>
      </c>
      <c r="K21" s="31">
        <v>16</v>
      </c>
      <c r="L21" s="26" t="str">
        <v>C162</v>
      </c>
      <c r="M21" s="26" t="str">
        <v>MUHAMMAD K.A</v>
      </c>
      <c r="N21" s="32">
        <v>7</v>
      </c>
      <c r="P21" s="31">
        <v>16</v>
      </c>
      <c r="Q21" s="26" t="str">
        <v>D165</v>
      </c>
      <c r="R21" s="26" t="str">
        <v>AJMAL KI</v>
      </c>
      <c r="S21" s="32">
        <v>9</v>
      </c>
      <c r="T21" s="31">
        <v>16</v>
      </c>
      <c r="U21" s="26" t="str">
        <v>A172</v>
      </c>
      <c r="V21" s="26" t="str">
        <v>SAYYED MUHAMMED ABOOBACKER</v>
      </c>
      <c r="W21" s="32">
        <v>2</v>
      </c>
      <c r="Y21" s="31">
        <v>16</v>
      </c>
      <c r="Z21" s="26" t="str">
        <v>B161</v>
      </c>
      <c r="AA21" s="26" t="str">
        <v>MUHAMMED RAZI TM</v>
      </c>
      <c r="AB21" s="32">
        <v>4</v>
      </c>
      <c r="AD21" s="31">
        <v>16</v>
      </c>
      <c r="AE21" s="26" t="str">
        <v>C161</v>
      </c>
      <c r="AF21" s="26" t="str">
        <v>MOHAMMED ABDUL KHADER NABAVI E A</v>
      </c>
      <c r="AG21" s="32">
        <v>7</v>
      </c>
      <c r="AI21" s="31">
        <v>16</v>
      </c>
      <c r="AJ21" s="26" t="str">
        <v>D152</v>
      </c>
      <c r="AK21" s="26" t="str">
        <v>MOHAMMAD ISMAIL SINAN KM</v>
      </c>
      <c r="AL21" s="32">
        <v>9</v>
      </c>
      <c r="AM21" s="31">
        <v>16</v>
      </c>
      <c r="AN21" s="26" t="str">
        <v>A166</v>
      </c>
      <c r="AO21" s="26" t="str">
        <v>Muhammed Naieem</v>
      </c>
      <c r="AP21" s="32">
        <v>2</v>
      </c>
      <c r="AR21" s="31">
        <v>16</v>
      </c>
      <c r="AS21" s="26" t="str">
        <v>B164</v>
      </c>
      <c r="AT21" s="26" t="str">
        <v>RASALUL AMEEN T</v>
      </c>
      <c r="AU21" s="32">
        <v>4</v>
      </c>
      <c r="AW21" s="31">
        <v>16</v>
      </c>
      <c r="AX21" s="26" t="str">
        <v>C159</v>
      </c>
      <c r="AY21" s="26" t="str">
        <v>MUHAMMED KAIF BS</v>
      </c>
      <c r="AZ21" s="32">
        <v>6</v>
      </c>
      <c r="BB21" s="31">
        <v>16</v>
      </c>
      <c r="BC21" s="26" t="str">
        <v>D169</v>
      </c>
      <c r="BD21" s="26" t="str">
        <v>MUHAMMED AYIZ</v>
      </c>
      <c r="BE21" s="32">
        <v>10</v>
      </c>
      <c r="BF21" s="31">
        <v>16</v>
      </c>
      <c r="BG21" s="26" t="str">
        <v>A156</v>
      </c>
      <c r="BH21" s="26" t="str">
        <v>MUHAMMAD SHAHSAD HASAN</v>
      </c>
      <c r="BI21" s="32">
        <v>2</v>
      </c>
      <c r="BK21" s="31">
        <v>16</v>
      </c>
      <c r="BL21" s="26" t="str">
        <v>B162</v>
      </c>
      <c r="BM21" s="26" t="str">
        <v>RAYHAN PH</v>
      </c>
      <c r="BN21" s="32">
        <v>4</v>
      </c>
      <c r="BP21" s="31">
        <v>16</v>
      </c>
      <c r="BQ21" s="26" t="str">
        <v>C165</v>
      </c>
      <c r="BR21" s="26" t="str">
        <v>MUHAMMAD IBN AHMAD</v>
      </c>
      <c r="BS21" s="32">
        <v>7</v>
      </c>
      <c r="BU21" s="31">
        <v>16</v>
      </c>
      <c r="BV21" s="26" t="str">
        <v>D164</v>
      </c>
      <c r="BW21" s="26" t="str">
        <v>AHMED SULTHAN</v>
      </c>
      <c r="BX21" s="32">
        <v>9</v>
      </c>
    </row>
    <row r="22" spans="1:76" ht="15.95" customHeight="1" x14ac:dyDescent="0.4">
      <c r="A22" s="31">
        <v>17</v>
      </c>
      <c r="B22" s="26" t="str">
        <v>A162</v>
      </c>
      <c r="C22" s="26" t="str">
        <v>MUHAMMED FAREED A S</v>
      </c>
      <c r="D22" s="32">
        <v>2</v>
      </c>
      <c r="K22" s="31">
        <v>17</v>
      </c>
      <c r="L22" s="26" t="str">
        <v>C164</v>
      </c>
      <c r="M22" s="26" t="str">
        <v>AHMED FAHEEM MA</v>
      </c>
      <c r="N22" s="32">
        <v>7</v>
      </c>
      <c r="P22" s="31">
        <v>17</v>
      </c>
      <c r="Q22" s="26" t="str">
        <v>D168</v>
      </c>
      <c r="R22" s="26" t="str">
        <v>MOHAMMED NAFIH KA</v>
      </c>
      <c r="S22" s="32">
        <v>10</v>
      </c>
      <c r="T22" s="31">
        <v>17</v>
      </c>
      <c r="U22" s="26" t="str">
        <v>A174</v>
      </c>
      <c r="V22" s="26" t="str">
        <v>THUFAIL</v>
      </c>
      <c r="W22" s="32">
        <v>2</v>
      </c>
      <c r="AD22" s="31">
        <v>17</v>
      </c>
      <c r="AE22" s="26" t="str">
        <v>C166</v>
      </c>
      <c r="AF22" s="26" t="str">
        <v>RESWAN</v>
      </c>
      <c r="AG22" s="32">
        <v>7</v>
      </c>
      <c r="AI22" s="31">
        <v>17</v>
      </c>
      <c r="AJ22" s="26" t="str">
        <v>D166</v>
      </c>
      <c r="AK22" s="26" t="str">
        <v>MOHAMMED IRFAN C</v>
      </c>
      <c r="AL22" s="32">
        <v>9</v>
      </c>
      <c r="AM22" s="31">
        <v>17</v>
      </c>
      <c r="AN22" s="26" t="str">
        <v>A167</v>
      </c>
      <c r="AO22" s="26" t="str">
        <v>MUHAMMED RAEES C A</v>
      </c>
      <c r="AP22" s="32">
        <v>2</v>
      </c>
      <c r="AW22" s="31">
        <v>17</v>
      </c>
      <c r="AX22" s="26" t="str">
        <v>C160</v>
      </c>
      <c r="AY22" s="26" t="str">
        <v>AJMAL AM</v>
      </c>
      <c r="AZ22" s="32">
        <v>7</v>
      </c>
      <c r="BB22" s="31">
        <v>17</v>
      </c>
      <c r="BC22" s="26" t="str">
        <v>D173</v>
      </c>
      <c r="BD22" s="26" t="str">
        <v>ABOOBACKER SIDDIK</v>
      </c>
      <c r="BE22" s="32">
        <v>10</v>
      </c>
      <c r="BF22" s="31">
        <v>17</v>
      </c>
      <c r="BG22" s="26" t="str">
        <v>A159</v>
      </c>
      <c r="BH22" s="26" t="str">
        <v>MUHAMMED ASHIR M</v>
      </c>
      <c r="BI22" s="32">
        <v>2</v>
      </c>
      <c r="BK22" s="31">
        <v>17</v>
      </c>
      <c r="BL22" s="26" t="str">
        <v>B163</v>
      </c>
      <c r="BM22" s="26" t="str">
        <v>MOHAMMED YOUNUS</v>
      </c>
      <c r="BN22" s="32">
        <v>4</v>
      </c>
      <c r="BP22" s="31">
        <v>17</v>
      </c>
      <c r="BQ22" s="26" t="str">
        <v>C167</v>
      </c>
      <c r="BR22" s="26" t="str">
        <v>MUHAMMED MUJTHABA MK</v>
      </c>
      <c r="BS22" s="32">
        <v>7</v>
      </c>
      <c r="BU22" s="31">
        <v>17</v>
      </c>
      <c r="BV22" s="26" t="str">
        <v>D167</v>
      </c>
      <c r="BW22" s="26" t="str">
        <v>AHMAD BINYAMUL ASHIQUE</v>
      </c>
      <c r="BX22" s="32">
        <v>10</v>
      </c>
    </row>
    <row r="23" spans="1:76" ht="15.95" customHeight="1" x14ac:dyDescent="0.4">
      <c r="A23" s="31">
        <v>18</v>
      </c>
      <c r="B23" s="26" t="str">
        <v>A169</v>
      </c>
      <c r="C23" s="26" t="str">
        <v>NAZWAN MOHAMMED</v>
      </c>
      <c r="D23" s="32">
        <v>2</v>
      </c>
      <c r="K23" s="31">
        <v>18</v>
      </c>
      <c r="L23" s="26" t="str">
        <v>C168</v>
      </c>
      <c r="M23" s="26" t="str">
        <v>MUHAMMED SHAHAN P.S</v>
      </c>
      <c r="N23" s="32">
        <v>7</v>
      </c>
      <c r="P23" s="31">
        <v>18</v>
      </c>
      <c r="Q23" s="26" t="str">
        <v>D171</v>
      </c>
      <c r="R23" s="26" t="str">
        <v>MOHAMMED ANFAHUDEEN T.A</v>
      </c>
      <c r="S23" s="32">
        <v>10</v>
      </c>
      <c r="T23" s="31">
        <v>18</v>
      </c>
      <c r="U23" s="26" t="str">
        <v>A175</v>
      </c>
      <c r="V23" s="26" t="str">
        <v>YOUSUF FAHEEM P</v>
      </c>
      <c r="W23" s="32">
        <v>2</v>
      </c>
      <c r="AD23" s="31">
        <v>18</v>
      </c>
      <c r="AE23" s="26" t="str">
        <v>C172</v>
      </c>
      <c r="AF23" s="26" t="str">
        <v>AHAMED SHAMMAS C.M</v>
      </c>
      <c r="AG23" s="32">
        <v>7</v>
      </c>
      <c r="AI23" s="31">
        <v>18</v>
      </c>
      <c r="AJ23" s="26" t="str">
        <v>D172</v>
      </c>
      <c r="AK23" s="26" t="str">
        <v>MUHAMMED MUFEED</v>
      </c>
      <c r="AL23" s="32">
        <v>10</v>
      </c>
      <c r="AM23" s="31">
        <v>18</v>
      </c>
      <c r="AN23" s="26" t="str">
        <v>A173</v>
      </c>
      <c r="AO23" s="26" t="str">
        <v>SHAHUL HAMEED B.I</v>
      </c>
      <c r="AP23" s="32">
        <v>2</v>
      </c>
      <c r="AW23" s="31">
        <v>18</v>
      </c>
      <c r="AX23" s="26" t="str">
        <v>C169</v>
      </c>
      <c r="AY23" s="26" t="str">
        <v>MOHAMMED THAJUDDEEN A R P</v>
      </c>
      <c r="AZ23" s="32">
        <v>7</v>
      </c>
      <c r="BB23" s="31">
        <v>18</v>
      </c>
      <c r="BC23" s="26" t="str">
        <v>D174</v>
      </c>
      <c r="BD23" s="26" t="str">
        <v>BADRUDHIN A</v>
      </c>
      <c r="BE23" s="32">
        <v>10</v>
      </c>
      <c r="BF23" s="31">
        <v>18</v>
      </c>
      <c r="BG23" s="26" t="str">
        <v>A160</v>
      </c>
      <c r="BH23" s="26" t="str">
        <v>MUHAMMED AYAAN</v>
      </c>
      <c r="BI23" s="32">
        <v>2</v>
      </c>
      <c r="BP23" s="31">
        <v>18</v>
      </c>
      <c r="BQ23" s="26" t="str">
        <v>C175</v>
      </c>
      <c r="BR23" s="26" t="str">
        <v>ABDULLAH MAZIN</v>
      </c>
      <c r="BS23" s="32">
        <v>7</v>
      </c>
      <c r="BU23" s="31">
        <v>18</v>
      </c>
      <c r="BV23" s="26" t="str">
        <v>D170</v>
      </c>
      <c r="BW23" s="26" t="str">
        <v>AHMED ADIL B.K</v>
      </c>
      <c r="BX23" s="32">
        <v>10</v>
      </c>
    </row>
    <row r="24" spans="1:76" ht="15.95" customHeight="1" x14ac:dyDescent="0.4">
      <c r="K24" s="31">
        <v>19</v>
      </c>
      <c r="L24" s="26" t="str">
        <v>C173</v>
      </c>
      <c r="M24" s="26" t="str">
        <v>ABDUL HADIL P.M</v>
      </c>
      <c r="N24" s="32">
        <v>7</v>
      </c>
      <c r="P24" s="31">
        <v>19</v>
      </c>
      <c r="Q24" s="26" t="str">
        <v>D175</v>
      </c>
      <c r="R24" s="26" t="str">
        <v>AKBAR P</v>
      </c>
      <c r="S24" s="32">
        <v>10</v>
      </c>
      <c r="AD24" s="31">
        <v>19</v>
      </c>
      <c r="AE24" s="26" t="str">
        <v>C177</v>
      </c>
      <c r="AF24" s="26" t="str">
        <v>MOHAMMED HUSSAIN</v>
      </c>
      <c r="AG24" s="32">
        <v>7</v>
      </c>
      <c r="AI24" s="31">
        <v>19</v>
      </c>
      <c r="AJ24" s="26" t="str">
        <v>D179</v>
      </c>
      <c r="AK24" s="26" t="str">
        <v>MUHAMMED AKBAR NP</v>
      </c>
      <c r="AL24" s="32">
        <v>10</v>
      </c>
      <c r="AW24" s="31">
        <v>19</v>
      </c>
      <c r="AX24" s="26" t="str">
        <v>C170</v>
      </c>
      <c r="AY24" s="26" t="str">
        <v>RUMAIZALI R IBRAHIM</v>
      </c>
      <c r="AZ24" s="32">
        <v>7</v>
      </c>
      <c r="BB24" s="31">
        <v>19</v>
      </c>
      <c r="BC24" s="26" t="str">
        <v>D178</v>
      </c>
      <c r="BD24" s="26" t="str">
        <v>AHMED BK</v>
      </c>
      <c r="BE24" s="32">
        <v>10</v>
      </c>
      <c r="BF24" s="31">
        <v>19</v>
      </c>
      <c r="BG24" s="26" t="str">
        <v>A168</v>
      </c>
      <c r="BH24" s="26" t="str">
        <v>Muhammed Sinan D A</v>
      </c>
      <c r="BI24" s="32">
        <v>2</v>
      </c>
      <c r="BP24" s="31">
        <v>19</v>
      </c>
      <c r="BQ24" s="26" t="str">
        <v>C178</v>
      </c>
      <c r="BR24" s="26" t="str">
        <v>MUHAMMED ZAYAN N.S</v>
      </c>
      <c r="BS24" s="32">
        <v>7</v>
      </c>
      <c r="BU24" s="31">
        <v>19</v>
      </c>
      <c r="BV24" s="26" t="str">
        <v>D176</v>
      </c>
      <c r="BW24" s="26" t="str">
        <v>MOHAMMED NASFAR AFNAN H</v>
      </c>
      <c r="BX24" s="32">
        <v>10</v>
      </c>
    </row>
    <row r="25" spans="1:76" ht="15.95" customHeight="1" x14ac:dyDescent="0.4">
      <c r="K25" s="31">
        <v>20</v>
      </c>
      <c r="L25" s="26" t="str">
        <v>C176</v>
      </c>
      <c r="M25" s="26" t="str">
        <v>MUHAMMED T A</v>
      </c>
      <c r="N25" s="32">
        <v>7</v>
      </c>
      <c r="P25" s="31">
        <v>20</v>
      </c>
      <c r="Q25" s="26" t="str">
        <v>D177</v>
      </c>
      <c r="R25" s="26" t="str">
        <v>SHAMEEM ABDULLA P.S</v>
      </c>
      <c r="S25" s="32">
        <v>10</v>
      </c>
      <c r="AD25" s="31">
        <v>20</v>
      </c>
      <c r="AE25" s="26" t="str">
        <v>C179</v>
      </c>
      <c r="AF25" s="26" t="str">
        <v>MUHAMMED FARHAN</v>
      </c>
      <c r="AG25" s="32">
        <v>7</v>
      </c>
      <c r="AI25" s="31">
        <v>20</v>
      </c>
      <c r="AJ25" s="26" t="str">
        <v>D181</v>
      </c>
      <c r="AK25" s="26" t="str">
        <v>MUHAMMED SAJJAD</v>
      </c>
      <c r="AL25" s="32">
        <v>10</v>
      </c>
      <c r="AW25" s="31">
        <v>20</v>
      </c>
      <c r="AX25" s="26" t="str">
        <v>C171</v>
      </c>
      <c r="AY25" s="26" t="str">
        <v>MUHAMMED THASLEEM</v>
      </c>
      <c r="AZ25" s="32">
        <v>7</v>
      </c>
      <c r="BB25" s="31">
        <v>20</v>
      </c>
      <c r="BC25" s="26" t="str">
        <v>D189</v>
      </c>
      <c r="BD25" s="26" t="str">
        <v>ASGAR ALI</v>
      </c>
      <c r="BE25" s="32">
        <v>10</v>
      </c>
      <c r="BU25" s="31">
        <v>20</v>
      </c>
      <c r="BV25" s="26" t="str">
        <v>D182</v>
      </c>
      <c r="BW25" s="26" t="str">
        <v>AHAMED ASIF M</v>
      </c>
      <c r="BX25" s="32">
        <v>10</v>
      </c>
    </row>
    <row r="26" spans="1:76" ht="15.95" customHeight="1" x14ac:dyDescent="0.4">
      <c r="P26" s="31">
        <v>21</v>
      </c>
      <c r="Q26" s="26" t="str">
        <v>D180</v>
      </c>
      <c r="R26" s="26" t="str">
        <v>ATHIF ABDULKHADER</v>
      </c>
      <c r="S26" s="32">
        <v>10</v>
      </c>
      <c r="AI26" s="31">
        <v>21</v>
      </c>
      <c r="AJ26" s="26" t="str">
        <v>D183</v>
      </c>
      <c r="AK26" s="26" t="str">
        <v>MOHAMMAD SWALIH K</v>
      </c>
      <c r="AL26" s="32">
        <v>10</v>
      </c>
      <c r="AW26" s="31">
        <v>21</v>
      </c>
      <c r="AX26" s="26" t="str">
        <v>C174</v>
      </c>
      <c r="AY26" s="26" t="str">
        <v>MUHAMMAD MUSTHAFA K.M</v>
      </c>
      <c r="AZ26" s="32">
        <v>7</v>
      </c>
      <c r="BB26" s="31">
        <v>21</v>
      </c>
      <c r="BC26" s="26" t="str">
        <v>D190</v>
      </c>
      <c r="BD26" s="26" t="str">
        <v>MOHAMMED AMEEN B.A</v>
      </c>
      <c r="BE26" s="32">
        <v>10</v>
      </c>
      <c r="BU26" s="31">
        <v>21</v>
      </c>
      <c r="BV26" s="26" t="str">
        <v>D191</v>
      </c>
      <c r="BW26" s="26" t="str">
        <v>THAMJEED TM</v>
      </c>
      <c r="BX26" s="32">
        <v>10</v>
      </c>
    </row>
    <row r="27" spans="1:76" ht="15.95" customHeight="1" x14ac:dyDescent="0.4">
      <c r="P27" s="31">
        <v>22</v>
      </c>
      <c r="Q27" s="26" t="str">
        <v>D184</v>
      </c>
      <c r="R27" s="26" t="str">
        <v>YASEEN</v>
      </c>
      <c r="S27" s="32">
        <v>10</v>
      </c>
      <c r="AI27" s="31">
        <v>22</v>
      </c>
      <c r="AJ27" s="26" t="str">
        <v>D187</v>
      </c>
      <c r="AK27" s="26" t="str">
        <v>ABDUL RAHMAN</v>
      </c>
      <c r="AL27" s="32">
        <v>10</v>
      </c>
      <c r="BB27" s="31">
        <v>22</v>
      </c>
      <c r="BC27" s="26" t="str">
        <v>D195</v>
      </c>
      <c r="BD27" s="26" t="str">
        <v>AHMED SWALAHUDHEEN PI</v>
      </c>
      <c r="BE27" s="32">
        <v>10</v>
      </c>
      <c r="BU27" s="31">
        <v>22</v>
      </c>
      <c r="BV27" s="26" t="str">
        <v>D193</v>
      </c>
      <c r="BW27" s="26" t="str">
        <v>MUHAMMED ABDUL GHANI M.A</v>
      </c>
      <c r="BX27" s="32">
        <v>10</v>
      </c>
    </row>
    <row r="28" spans="1:76" ht="15.95" customHeight="1" x14ac:dyDescent="0.4">
      <c r="P28" s="31">
        <v>23</v>
      </c>
      <c r="Q28" s="26" t="str">
        <v>D186</v>
      </c>
      <c r="R28" s="26" t="str">
        <v>SALAHUDDEEN AYYOOBI KM</v>
      </c>
      <c r="S28" s="32">
        <v>10</v>
      </c>
      <c r="AI28" s="31">
        <v>23</v>
      </c>
      <c r="AJ28" s="26" t="str">
        <v>D192</v>
      </c>
      <c r="AK28" s="26" t="str">
        <v>MUHAMMED SIFARATH T A</v>
      </c>
      <c r="AL28" s="32">
        <v>10</v>
      </c>
      <c r="BB28" s="31">
        <v>23</v>
      </c>
      <c r="BC28" s="26" t="str">
        <v>D199</v>
      </c>
      <c r="BD28" s="26" t="str">
        <v>Simsarul Haq VPM</v>
      </c>
      <c r="BE28" s="32">
        <v>10</v>
      </c>
      <c r="BU28" s="31">
        <v>23</v>
      </c>
      <c r="BV28" s="26" t="str">
        <v>D194</v>
      </c>
      <c r="BW28" s="26" t="str">
        <v>AYAZ RAHMAN T</v>
      </c>
      <c r="BX28" s="32">
        <v>10</v>
      </c>
    </row>
    <row r="29" spans="1:76" ht="15.95" customHeight="1" x14ac:dyDescent="0.4">
      <c r="P29" s="31">
        <v>24</v>
      </c>
      <c r="Q29" s="26" t="str">
        <v>D188</v>
      </c>
      <c r="R29" s="26" t="str">
        <v>AHMED MANHAL HUSSAIN</v>
      </c>
      <c r="S29" s="32">
        <v>10</v>
      </c>
      <c r="AI29" s="31">
        <v>24</v>
      </c>
      <c r="AJ29" s="26" t="str">
        <v>D196</v>
      </c>
      <c r="AK29" s="26" t="str">
        <v>ABDUL VAJID K</v>
      </c>
      <c r="AL29" s="32">
        <v>10</v>
      </c>
    </row>
    <row r="30" spans="1:76" ht="15.95" customHeight="1" x14ac:dyDescent="0.4">
      <c r="P30" s="31">
        <v>25</v>
      </c>
      <c r="Q30" s="26" t="str">
        <v>D198</v>
      </c>
      <c r="R30" s="26" t="str">
        <v>MUHAMMED SAFWAN</v>
      </c>
      <c r="S30" s="32">
        <v>10</v>
      </c>
      <c r="AI30" s="31">
        <v>25</v>
      </c>
      <c r="AJ30" s="26" t="str">
        <v>D197</v>
      </c>
      <c r="AK30" s="26" t="str">
        <v>MUHAMMED ASHFAK K</v>
      </c>
      <c r="AL30" s="32">
        <v>10</v>
      </c>
    </row>
  </sheetData>
  <mergeCells count="36">
    <mergeCell ref="A4:D4"/>
    <mergeCell ref="F4:I4"/>
    <mergeCell ref="K4:N4"/>
    <mergeCell ref="A2:S2"/>
    <mergeCell ref="P4:S4"/>
    <mergeCell ref="A3:B3"/>
    <mergeCell ref="F3:G3"/>
    <mergeCell ref="K3:L3"/>
    <mergeCell ref="P3:Q3"/>
    <mergeCell ref="T2:AL2"/>
    <mergeCell ref="T4:W4"/>
    <mergeCell ref="Y4:AB4"/>
    <mergeCell ref="AD4:AG4"/>
    <mergeCell ref="AI4:AL4"/>
    <mergeCell ref="T3:U3"/>
    <mergeCell ref="Y3:Z3"/>
    <mergeCell ref="AD3:AE3"/>
    <mergeCell ref="AI3:AJ3"/>
    <mergeCell ref="AM2:BE2"/>
    <mergeCell ref="AM4:AP4"/>
    <mergeCell ref="AR4:AU4"/>
    <mergeCell ref="AW4:AZ4"/>
    <mergeCell ref="BB4:BE4"/>
    <mergeCell ref="AM3:AN3"/>
    <mergeCell ref="AR3:AS3"/>
    <mergeCell ref="AW3:AX3"/>
    <mergeCell ref="AY3:BC3"/>
    <mergeCell ref="BF2:BX2"/>
    <mergeCell ref="BF4:BI4"/>
    <mergeCell ref="BK4:BN4"/>
    <mergeCell ref="BP4:BS4"/>
    <mergeCell ref="BU4:BX4"/>
    <mergeCell ref="BF3:BG3"/>
    <mergeCell ref="BK3:BL3"/>
    <mergeCell ref="BP3:BQ3"/>
    <mergeCell ref="BU3:BV3"/>
  </mergeCells>
  <pageMargins left="0.25" right="0.25" top="0.75" bottom="0.75" header="0.3" footer="0.3"/>
  <pageSetup paperSize="9" orientation="landscape" r:id="rId1"/>
  <headerFooter>
    <oddHeader>&amp;C&amp;"-,Bold"&amp;14KALANKAM '23 ARTS FEST</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DC47A8-80A7-4F52-B889-59697BAFDCAF}">
  <sheetPr codeName="Sheet5"/>
  <dimension ref="A1:AB36"/>
  <sheetViews>
    <sheetView tabSelected="1" view="pageLayout" topLeftCell="C1" zoomScale="105" zoomScaleNormal="95" zoomScalePageLayoutView="105" workbookViewId="0">
      <selection activeCell="G14" sqref="G14"/>
    </sheetView>
  </sheetViews>
  <sheetFormatPr defaultRowHeight="14.25" x14ac:dyDescent="0.45"/>
  <cols>
    <col min="1" max="1" width="7" hidden="1" customWidth="1"/>
    <col min="2" max="2" width="3.59765625" hidden="1" customWidth="1"/>
    <col min="3" max="3" width="7.53125" customWidth="1"/>
    <col min="4" max="4" width="1.73046875" hidden="1" customWidth="1"/>
    <col min="5" max="5" width="7.1328125" hidden="1" customWidth="1"/>
    <col min="6" max="6" width="7.265625" customWidth="1"/>
    <col min="7" max="7" width="22.6640625" customWidth="1"/>
    <col min="8" max="8" width="7.3984375" customWidth="1"/>
    <col min="9" max="9" width="6.3984375" hidden="1" customWidth="1"/>
    <col min="10" max="10" width="7.53125" customWidth="1"/>
    <col min="11" max="12" width="5.86328125" customWidth="1"/>
    <col min="13" max="13" width="8.19921875" customWidth="1"/>
    <col min="14" max="15" width="6.46484375" customWidth="1"/>
    <col min="16" max="16" width="7.53125" customWidth="1"/>
    <col min="17" max="17" width="5.46484375" hidden="1" customWidth="1"/>
    <col min="18" max="18" width="9.796875" customWidth="1"/>
    <col min="19" max="21" width="8.59765625" customWidth="1"/>
    <col min="22" max="23" width="6.3984375" customWidth="1"/>
    <col min="24" max="24" width="8.33203125" customWidth="1"/>
    <col min="25" max="25" width="3.6640625" customWidth="1"/>
    <col min="28" max="28" width="32.86328125" customWidth="1"/>
  </cols>
  <sheetData>
    <row r="1" spans="1:28" ht="21" x14ac:dyDescent="0.45">
      <c r="A1" s="45"/>
      <c r="B1" s="46"/>
      <c r="C1" s="143"/>
      <c r="D1" s="144"/>
      <c r="E1" s="144"/>
      <c r="F1" s="145"/>
      <c r="G1" s="112" t="str">
        <f>f_str_festname</f>
        <v>KALANKAM '23</v>
      </c>
      <c r="H1" s="112"/>
      <c r="I1" s="112"/>
      <c r="J1" s="112"/>
      <c r="K1" s="113"/>
      <c r="L1" s="113"/>
      <c r="M1" s="114"/>
      <c r="N1" s="47"/>
      <c r="O1" s="48"/>
      <c r="P1" s="118"/>
      <c r="Q1" s="119"/>
      <c r="R1" s="119"/>
      <c r="S1" s="124" t="str">
        <f>f_str_festname &amp; "
MDIA ART FEST"</f>
        <v>KALANKAM '23
MDIA ART FEST</v>
      </c>
      <c r="T1" s="124"/>
      <c r="U1" s="124"/>
      <c r="V1" s="124"/>
      <c r="W1" s="124"/>
      <c r="X1" s="125"/>
    </row>
    <row r="2" spans="1:28" ht="7.9" customHeight="1" x14ac:dyDescent="0.45">
      <c r="A2" s="45"/>
      <c r="B2" s="46"/>
      <c r="C2" s="146"/>
      <c r="D2" s="147"/>
      <c r="E2" s="147"/>
      <c r="F2" s="148"/>
      <c r="G2" s="115"/>
      <c r="H2" s="115"/>
      <c r="I2" s="115"/>
      <c r="J2" s="115"/>
      <c r="K2" s="116"/>
      <c r="L2" s="116"/>
      <c r="M2" s="117"/>
      <c r="N2" s="47"/>
      <c r="O2" s="48"/>
      <c r="P2" s="120"/>
      <c r="Q2" s="121"/>
      <c r="R2" s="121"/>
      <c r="S2" s="126"/>
      <c r="T2" s="126"/>
      <c r="U2" s="126"/>
      <c r="V2" s="126"/>
      <c r="W2" s="126"/>
      <c r="X2" s="127"/>
    </row>
    <row r="3" spans="1:28" ht="19.149999999999999" customHeight="1" thickBot="1" x14ac:dyDescent="0.5">
      <c r="A3" s="45"/>
      <c r="B3" s="46"/>
      <c r="C3" s="149"/>
      <c r="D3" s="150"/>
      <c r="E3" s="150"/>
      <c r="F3" s="151"/>
      <c r="G3" s="128" t="s">
        <v>23</v>
      </c>
      <c r="H3" s="128"/>
      <c r="I3" s="128"/>
      <c r="J3" s="128"/>
      <c r="K3" s="129"/>
      <c r="L3" s="129"/>
      <c r="M3" s="130"/>
      <c r="N3" s="47"/>
      <c r="O3" s="48"/>
      <c r="P3" s="122"/>
      <c r="Q3" s="123"/>
      <c r="R3" s="123"/>
      <c r="S3" s="128" t="s">
        <v>24</v>
      </c>
      <c r="T3" s="128"/>
      <c r="U3" s="128"/>
      <c r="V3" s="128"/>
      <c r="W3" s="128"/>
      <c r="X3" s="130"/>
    </row>
    <row r="4" spans="1:28" ht="18.399999999999999" customHeight="1" x14ac:dyDescent="0.45">
      <c r="B4" s="49"/>
      <c r="C4" s="155" t="s">
        <v>25</v>
      </c>
      <c r="D4" s="156"/>
      <c r="E4" s="156"/>
      <c r="F4" s="157"/>
      <c r="G4" s="50" t="s">
        <v>444</v>
      </c>
      <c r="H4" s="139" t="str">
        <f>VLOOKUP(G4,f_detailsof_programs,3,FALSE)</f>
        <v>GENERAL</v>
      </c>
      <c r="I4" s="140"/>
      <c r="J4" s="140"/>
      <c r="K4" s="158" t="s">
        <v>90</v>
      </c>
      <c r="L4" s="158"/>
      <c r="M4" s="51">
        <v>1</v>
      </c>
      <c r="N4" s="47"/>
      <c r="O4" s="48"/>
      <c r="P4" s="131" t="s">
        <v>25</v>
      </c>
      <c r="Q4" s="132"/>
      <c r="R4" s="132"/>
      <c r="S4" s="133" t="str">
        <f>G4</f>
        <v>GN11</v>
      </c>
      <c r="T4" s="133"/>
      <c r="U4" s="133"/>
      <c r="V4" s="133"/>
      <c r="W4" s="133"/>
      <c r="X4" s="134"/>
      <c r="Z4">
        <f>COUNTIF(f_lisof_teams_codes,"&lt;&gt;0")*M4</f>
        <v>4</v>
      </c>
      <c r="AB4" t="str">
        <f>VLOOKUP(G4,f_detailsof_programs,4,FALSE)</f>
        <v>Group</v>
      </c>
    </row>
    <row r="5" spans="1:28" ht="15.75" x14ac:dyDescent="0.45">
      <c r="B5" s="52"/>
      <c r="C5" s="152" t="s">
        <v>26</v>
      </c>
      <c r="D5" s="153"/>
      <c r="E5" s="153"/>
      <c r="F5" s="154"/>
      <c r="G5" s="135" t="str">
        <f>VLOOKUP(G4,f_detailsof_programs,2,FALSE)</f>
        <v>MUNĀẒARAH</v>
      </c>
      <c r="H5" s="135"/>
      <c r="I5" s="135"/>
      <c r="J5" s="136"/>
      <c r="K5" s="53"/>
      <c r="L5" s="54" t="s">
        <v>462</v>
      </c>
      <c r="M5" s="55" t="str">
        <f>IF(AND(M4&lt;&gt;0,K4="Group"),M4,VLOOKUP(G4,f_detailsof_programs,6,FALSE)) &amp;" x "&amp; COUNTIF(f_lisof_teams_codes,"&lt;&gt;0") &amp;" = "&amp; IF(AND(M4&lt;&gt;0,K4="Group"),M4,VLOOKUP(G4,f_detailsof_programs,6,FALSE))*COUNTIF(f_lisof_teams_codes,"&lt;&gt;0")</f>
        <v>3 x 4 = 12</v>
      </c>
      <c r="N5" s="56"/>
      <c r="O5" s="57"/>
      <c r="P5" s="137" t="s">
        <v>26</v>
      </c>
      <c r="Q5" s="138"/>
      <c r="R5" s="138"/>
      <c r="S5" s="135" t="str">
        <f>G5</f>
        <v>MUNĀẒARAH</v>
      </c>
      <c r="T5" s="135"/>
      <c r="U5" s="135"/>
      <c r="V5" s="135"/>
      <c r="W5" s="136"/>
      <c r="X5" s="58" t="str">
        <f>M5</f>
        <v>3 x 4 = 12</v>
      </c>
    </row>
    <row r="6" spans="1:28" ht="17.25" customHeight="1" x14ac:dyDescent="0.45">
      <c r="A6" s="59" t="s">
        <v>27</v>
      </c>
      <c r="B6" s="60"/>
      <c r="C6" s="59" t="s">
        <v>16</v>
      </c>
      <c r="D6" s="59"/>
      <c r="E6" s="59"/>
      <c r="F6" s="61" t="s">
        <v>28</v>
      </c>
      <c r="G6" s="62" t="s">
        <v>18</v>
      </c>
      <c r="H6" s="63" t="s">
        <v>29</v>
      </c>
      <c r="I6" s="63"/>
      <c r="J6" s="63" t="s">
        <v>30</v>
      </c>
      <c r="K6" s="64" t="s">
        <v>457</v>
      </c>
      <c r="L6" s="64" t="s">
        <v>456</v>
      </c>
      <c r="M6" s="65" t="s">
        <v>31</v>
      </c>
      <c r="N6" s="66"/>
      <c r="O6" s="57"/>
      <c r="P6" s="67" t="s">
        <v>463</v>
      </c>
      <c r="Q6" s="59"/>
      <c r="R6" s="61" t="s">
        <v>28</v>
      </c>
      <c r="S6" s="62"/>
      <c r="T6" s="6"/>
      <c r="U6" s="6"/>
      <c r="V6" s="68" t="s">
        <v>464</v>
      </c>
      <c r="W6" s="68" t="s">
        <v>456</v>
      </c>
      <c r="X6" s="69" t="s">
        <v>32</v>
      </c>
    </row>
    <row r="7" spans="1:28" ht="13.25" customHeight="1" x14ac:dyDescent="0.45">
      <c r="A7" s="70" t="s">
        <v>33</v>
      </c>
      <c r="B7" s="71"/>
      <c r="C7" s="70" t="str">
        <f>IF(D7&lt;&gt;0,A7,"")</f>
        <v>A</v>
      </c>
      <c r="D7" s="70" cm="1">
        <f t="array" ref="D7:D10">TRANSPOSE(RepeatedNumbering(COUNTIF(f_lisof_teams_codes,"&lt;&gt;0"),IF(AND(M4&lt;&gt;0,AB4="Group"),M4,VLOOKUP(G4,f_detailsof_programs,6,FALSE))))</f>
        <v>1</v>
      </c>
      <c r="E7" s="6" t="str">
        <f>IF(D7&lt;&gt;0,H7 &amp; "_" &amp; D7,"")</f>
        <v>BADF_1</v>
      </c>
      <c r="F7" s="95" t="str">
        <f>_xlfn.IFNA(INDEX(f_listof_program_candidates,MATCH(G$4,f_listof_program_codes,0),MATCH(E7,f_listof_program_candidate_number_in_team,0)),"")</f>
        <v>D178</v>
      </c>
      <c r="G7" s="72" t="str">
        <f>_xlfn.IFNA(IF(F7&lt;&gt;0,VLOOKUP(F7,f_detailsof_candidates,2,FALSE),""),"")</f>
        <v>AHMED BK</v>
      </c>
      <c r="H7" s="70" t="s">
        <v>73</v>
      </c>
      <c r="I7" s="70">
        <f ca="1">RAND()</f>
        <v>0.25884250981113466</v>
      </c>
      <c r="J7" s="70">
        <f t="shared" ref="J7:J32" si="0">_xlfn.IFNA(IF(F7&lt;&gt;0,VLOOKUP(F7,f_detailsof_candidates,5,FALSE),""),"")</f>
        <v>10</v>
      </c>
      <c r="K7" s="73"/>
      <c r="L7" s="73"/>
      <c r="M7" s="74"/>
      <c r="N7" s="75"/>
      <c r="O7" s="57"/>
      <c r="P7" s="71" t="str">
        <f>IF(R7&lt;&gt;"",C7,"")</f>
        <v>A</v>
      </c>
      <c r="Q7" s="70" t="str">
        <f>IF(T7="","",CONCATENATE(T7,"1.C"))</f>
        <v/>
      </c>
      <c r="R7" s="95" t="str">
        <f>IF(H7&lt;&gt;0,IF($AB$4="Group",IF(D7&lt;=$M$4,H7,""),F7),"")</f>
        <v>BADF</v>
      </c>
      <c r="S7" s="72"/>
      <c r="T7" s="70"/>
      <c r="U7" s="70"/>
      <c r="V7" s="76"/>
      <c r="W7" s="77"/>
      <c r="X7" s="78"/>
    </row>
    <row r="8" spans="1:28" ht="13.25" customHeight="1" x14ac:dyDescent="0.45">
      <c r="A8" s="70" t="s">
        <v>34</v>
      </c>
      <c r="B8" s="71"/>
      <c r="C8" s="70" t="str">
        <f t="shared" ref="C8:C18" si="1">IF(D8&lt;&gt;0,A8,"")</f>
        <v>B</v>
      </c>
      <c r="D8" s="70">
        <v>1</v>
      </c>
      <c r="E8" s="6" t="str">
        <f t="shared" ref="E8:E32" si="2">IF(D8&lt;&gt;0,H8 &amp; "_" &amp; D8,"")</f>
        <v>JARF_1</v>
      </c>
      <c r="F8" s="95" t="str">
        <f>_xlfn.IFNA(INDEX(f_listof_program_candidates,MATCH(G$4,f_listof_program_codes,0),MATCH(E8,f_listof_program_candidate_number_in_team,0)),"")</f>
        <v>D149</v>
      </c>
      <c r="G8" s="72" t="str">
        <f>_xlfn.IFNA(IF(F8&lt;&gt;0,VLOOKUP(F8,f_detailsof_candidates,2,FALSE),""),"")</f>
        <v>MOHAMMED MARZOOK AM</v>
      </c>
      <c r="H8" s="70" t="s">
        <v>70</v>
      </c>
      <c r="I8" s="70">
        <f ca="1">RAND()</f>
        <v>6.2298483472158384E-2</v>
      </c>
      <c r="J8" s="70">
        <f t="shared" si="0"/>
        <v>9</v>
      </c>
      <c r="K8" s="73"/>
      <c r="L8" s="73"/>
      <c r="M8" s="74"/>
      <c r="N8" s="75"/>
      <c r="O8" s="48"/>
      <c r="P8" s="70" t="str">
        <f t="shared" ref="P8:P31" si="3">IF(R8&lt;&gt;"",C8,"")</f>
        <v>B</v>
      </c>
      <c r="Q8" s="70" t="str">
        <f t="shared" ref="Q8:Q10" si="4">IF(T8="","",CONCATENATE(T8,"1.C"))</f>
        <v/>
      </c>
      <c r="R8" s="95" t="str">
        <f t="shared" ref="R8:R31" si="5">IF(H8&lt;&gt;0,IF($AB$4="Group",IF(D8&lt;=$M$4,H8,""),F8),"")</f>
        <v>JARF</v>
      </c>
      <c r="S8" s="72"/>
      <c r="T8" s="70"/>
      <c r="U8" s="70"/>
      <c r="V8" s="76"/>
      <c r="W8" s="77"/>
      <c r="X8" s="78"/>
    </row>
    <row r="9" spans="1:28" ht="13.25" customHeight="1" x14ac:dyDescent="0.45">
      <c r="A9" s="70" t="s">
        <v>35</v>
      </c>
      <c r="B9" s="71"/>
      <c r="C9" s="70" t="str">
        <f t="shared" si="1"/>
        <v>C</v>
      </c>
      <c r="D9" s="70">
        <v>1</v>
      </c>
      <c r="E9" s="6" t="str">
        <f t="shared" si="2"/>
        <v>FANT_1</v>
      </c>
      <c r="F9" s="95" t="str">
        <f t="shared" ref="F9:F12" si="6">_xlfn.IFNA(INDEX(f_listof_program_candidates,MATCH(G$4,f_listof_program_codes,0),MATCH(E9,f_listof_program_candidate_number_in_team,0)),"")</f>
        <v>D177</v>
      </c>
      <c r="G9" s="72" t="str">
        <f>_xlfn.IFNA(IF(F9&lt;&gt;0,VLOOKUP(F9,f_detailsof_candidates,2,FALSE),""),"")</f>
        <v>SHAMEEM ABDULLA P.S</v>
      </c>
      <c r="H9" s="70" t="s">
        <v>71</v>
      </c>
      <c r="I9" s="70">
        <f ca="1">RAND()</f>
        <v>0.70173370372166133</v>
      </c>
      <c r="J9" s="70">
        <f t="shared" si="0"/>
        <v>10</v>
      </c>
      <c r="K9" s="73"/>
      <c r="L9" s="73"/>
      <c r="M9" s="74"/>
      <c r="N9" s="75"/>
      <c r="O9" s="48"/>
      <c r="P9" s="70" t="str">
        <f t="shared" si="3"/>
        <v>C</v>
      </c>
      <c r="Q9" s="70" t="str">
        <f t="shared" si="4"/>
        <v/>
      </c>
      <c r="R9" s="95" t="str">
        <f t="shared" si="5"/>
        <v>FANT</v>
      </c>
      <c r="S9" s="72"/>
      <c r="T9" s="70"/>
      <c r="U9" s="70"/>
      <c r="V9" s="76"/>
      <c r="W9" s="77"/>
      <c r="X9" s="78"/>
    </row>
    <row r="10" spans="1:28" ht="13.25" customHeight="1" x14ac:dyDescent="0.45">
      <c r="A10" s="70" t="s">
        <v>36</v>
      </c>
      <c r="B10" s="71"/>
      <c r="C10" s="70" t="str">
        <f t="shared" si="1"/>
        <v>D</v>
      </c>
      <c r="D10" s="70">
        <v>1</v>
      </c>
      <c r="E10" s="6" t="str">
        <f t="shared" si="2"/>
        <v>DAHF_1</v>
      </c>
      <c r="F10" s="95" t="str">
        <f t="shared" si="6"/>
        <v>D140</v>
      </c>
      <c r="G10" s="72" t="str">
        <f>_xlfn.IFNA(IF(F10&lt;&gt;0,VLOOKUP(F10,f_detailsof_candidates,2,FALSE),""),"")</f>
        <v>MUHAMMED FAISAL A K</v>
      </c>
      <c r="H10" s="70" t="s">
        <v>72</v>
      </c>
      <c r="I10" s="70">
        <f ca="1">RAND()</f>
        <v>5.5414843292505678E-2</v>
      </c>
      <c r="J10" s="70">
        <f t="shared" si="0"/>
        <v>9</v>
      </c>
      <c r="K10" s="73"/>
      <c r="L10" s="73"/>
      <c r="M10" s="74"/>
      <c r="N10" s="75"/>
      <c r="O10" s="48"/>
      <c r="P10" s="70" t="str">
        <f t="shared" si="3"/>
        <v>D</v>
      </c>
      <c r="Q10" s="70" t="str">
        <f t="shared" si="4"/>
        <v/>
      </c>
      <c r="R10" s="95" t="str">
        <f t="shared" si="5"/>
        <v>DAHF</v>
      </c>
      <c r="S10" s="72"/>
      <c r="T10" s="70"/>
      <c r="U10" s="70"/>
      <c r="V10" s="76"/>
      <c r="W10" s="77"/>
      <c r="X10" s="78"/>
    </row>
    <row r="11" spans="1:28" ht="13.25" customHeight="1" x14ac:dyDescent="0.45">
      <c r="A11" s="70" t="s">
        <v>37</v>
      </c>
      <c r="B11" s="71"/>
      <c r="C11" s="70" t="str">
        <f t="shared" si="1"/>
        <v/>
      </c>
      <c r="D11" s="70"/>
      <c r="E11" s="6" t="str">
        <f t="shared" si="2"/>
        <v/>
      </c>
      <c r="F11" s="95" t="str">
        <f t="shared" si="6"/>
        <v/>
      </c>
      <c r="G11" s="72" t="str">
        <f t="shared" ref="G11:G32" si="7">_xlfn.IFNA(IF(F11&lt;&gt;0,VLOOKUP(F11,f_detailsof_candidates,2,FALSE),""),"")</f>
        <v/>
      </c>
      <c r="H11" s="70" t="str">
        <f>IF(D11&lt;&gt;0,H7,"")</f>
        <v/>
      </c>
      <c r="I11" s="70"/>
      <c r="J11" s="70" t="str">
        <f t="shared" si="0"/>
        <v/>
      </c>
      <c r="K11" s="73"/>
      <c r="L11" s="73"/>
      <c r="M11" s="74"/>
      <c r="N11" s="75"/>
      <c r="O11" s="48"/>
      <c r="P11" s="70" t="str">
        <f t="shared" si="3"/>
        <v/>
      </c>
      <c r="Q11" s="70" t="str">
        <f>IF(T11="","",CONCATENATE(T11,"2.C"))</f>
        <v/>
      </c>
      <c r="R11" s="95" t="str">
        <f t="shared" si="5"/>
        <v/>
      </c>
      <c r="S11" s="72"/>
      <c r="T11" s="70"/>
      <c r="U11" s="70"/>
      <c r="V11" s="76"/>
      <c r="W11" s="77"/>
      <c r="X11" s="78"/>
    </row>
    <row r="12" spans="1:28" ht="13.25" customHeight="1" x14ac:dyDescent="0.45">
      <c r="A12" s="70" t="s">
        <v>38</v>
      </c>
      <c r="B12" s="71"/>
      <c r="C12" s="70" t="str">
        <f t="shared" si="1"/>
        <v/>
      </c>
      <c r="D12" s="70"/>
      <c r="E12" s="6" t="str">
        <f t="shared" si="2"/>
        <v/>
      </c>
      <c r="F12" s="95" t="str">
        <f t="shared" si="6"/>
        <v/>
      </c>
      <c r="G12" s="72" t="str">
        <f t="shared" si="7"/>
        <v/>
      </c>
      <c r="H12" s="70" t="str">
        <f t="shared" ref="H12:H20" si="8">IF(D12&lt;&gt;0,H8,"")</f>
        <v/>
      </c>
      <c r="I12" s="70"/>
      <c r="J12" s="70" t="str">
        <f t="shared" si="0"/>
        <v/>
      </c>
      <c r="K12" s="73"/>
      <c r="L12" s="73"/>
      <c r="M12" s="74"/>
      <c r="N12" s="75"/>
      <c r="O12" s="48"/>
      <c r="P12" s="70" t="str">
        <f t="shared" si="3"/>
        <v/>
      </c>
      <c r="Q12" s="70" t="str">
        <f t="shared" ref="Q12:Q14" si="9">IF(T12="","",CONCATENATE(T12,"2.C"))</f>
        <v/>
      </c>
      <c r="R12" s="95" t="str">
        <f t="shared" si="5"/>
        <v/>
      </c>
      <c r="S12" s="72"/>
      <c r="T12" s="70"/>
      <c r="U12" s="70"/>
      <c r="V12" s="76"/>
      <c r="W12" s="77"/>
      <c r="X12" s="78"/>
    </row>
    <row r="13" spans="1:28" ht="13.25" customHeight="1" x14ac:dyDescent="0.45">
      <c r="A13" s="70" t="s">
        <v>39</v>
      </c>
      <c r="B13" s="71"/>
      <c r="C13" s="70" t="str">
        <f t="shared" si="1"/>
        <v/>
      </c>
      <c r="D13" s="70"/>
      <c r="E13" s="6" t="str">
        <f t="shared" si="2"/>
        <v/>
      </c>
      <c r="F13" s="95" t="str">
        <f t="shared" ref="F13:F32" si="10">_xlfn.IFNA(INDEX(f_listof_program_candidates,MATCH(G$4,f_listof_program_codes,0),MATCH(E13,f_listof_program_candidate_number_in_team,0)),"")</f>
        <v/>
      </c>
      <c r="G13" s="72" t="str">
        <f t="shared" si="7"/>
        <v/>
      </c>
      <c r="H13" s="70" t="str">
        <f>IF(D13&lt;&gt;0,H9,"")</f>
        <v/>
      </c>
      <c r="I13" s="70"/>
      <c r="J13" s="70" t="str">
        <f t="shared" si="0"/>
        <v/>
      </c>
      <c r="K13" s="73"/>
      <c r="L13" s="73"/>
      <c r="M13" s="74"/>
      <c r="N13" s="75"/>
      <c r="O13" s="48"/>
      <c r="P13" s="70" t="str">
        <f t="shared" si="3"/>
        <v/>
      </c>
      <c r="Q13" s="70" t="str">
        <f t="shared" si="9"/>
        <v/>
      </c>
      <c r="R13" s="95" t="str">
        <f t="shared" si="5"/>
        <v/>
      </c>
      <c r="S13" s="72"/>
      <c r="T13" s="70"/>
      <c r="U13" s="70"/>
      <c r="V13" s="76"/>
      <c r="W13" s="77"/>
      <c r="X13" s="78"/>
    </row>
    <row r="14" spans="1:28" ht="13.25" customHeight="1" x14ac:dyDescent="0.45">
      <c r="A14" s="70" t="s">
        <v>40</v>
      </c>
      <c r="B14" s="71"/>
      <c r="C14" s="70" t="str">
        <f t="shared" si="1"/>
        <v/>
      </c>
      <c r="D14" s="70"/>
      <c r="E14" s="6" t="str">
        <f t="shared" si="2"/>
        <v/>
      </c>
      <c r="F14" s="95" t="str">
        <f t="shared" si="10"/>
        <v/>
      </c>
      <c r="G14" s="72" t="str">
        <f t="shared" si="7"/>
        <v/>
      </c>
      <c r="H14" s="70" t="str">
        <f>IF(D14&lt;&gt;0,H10,"")</f>
        <v/>
      </c>
      <c r="I14" s="70"/>
      <c r="J14" s="70" t="str">
        <f t="shared" si="0"/>
        <v/>
      </c>
      <c r="K14" s="73"/>
      <c r="L14" s="73"/>
      <c r="M14" s="74"/>
      <c r="N14" s="75"/>
      <c r="O14" s="48"/>
      <c r="P14" s="70" t="str">
        <f t="shared" si="3"/>
        <v/>
      </c>
      <c r="Q14" s="70" t="str">
        <f t="shared" si="9"/>
        <v/>
      </c>
      <c r="R14" s="95" t="str">
        <f t="shared" si="5"/>
        <v/>
      </c>
      <c r="S14" s="72"/>
      <c r="T14" s="70"/>
      <c r="U14" s="70"/>
      <c r="V14" s="76"/>
      <c r="W14" s="77"/>
      <c r="X14" s="78"/>
    </row>
    <row r="15" spans="1:28" ht="13.25" customHeight="1" x14ac:dyDescent="0.45">
      <c r="A15" s="70" t="s">
        <v>41</v>
      </c>
      <c r="B15" s="71"/>
      <c r="C15" s="70" t="str">
        <f t="shared" si="1"/>
        <v/>
      </c>
      <c r="D15" s="70"/>
      <c r="E15" s="6" t="str">
        <f t="shared" si="2"/>
        <v/>
      </c>
      <c r="F15" s="95" t="str">
        <f t="shared" si="10"/>
        <v/>
      </c>
      <c r="G15" s="72" t="str">
        <f t="shared" si="7"/>
        <v/>
      </c>
      <c r="H15" s="70" t="str">
        <f>IF(D15&lt;&gt;0,H11,"")</f>
        <v/>
      </c>
      <c r="I15" s="70"/>
      <c r="J15" s="70" t="str">
        <f t="shared" si="0"/>
        <v/>
      </c>
      <c r="K15" s="73"/>
      <c r="L15" s="73"/>
      <c r="M15" s="74"/>
      <c r="N15" s="75"/>
      <c r="O15" s="48"/>
      <c r="P15" s="70" t="str">
        <f t="shared" si="3"/>
        <v/>
      </c>
      <c r="Q15" s="70" t="str">
        <f>IF(T15="","",CONCATENATE(T15,"3.C"))</f>
        <v/>
      </c>
      <c r="R15" s="95" t="str">
        <f t="shared" si="5"/>
        <v/>
      </c>
      <c r="S15" s="72"/>
      <c r="T15" s="70"/>
      <c r="U15" s="70"/>
      <c r="V15" s="76"/>
      <c r="W15" s="77"/>
      <c r="X15" s="78"/>
    </row>
    <row r="16" spans="1:28" ht="13.25" customHeight="1" x14ac:dyDescent="0.45">
      <c r="A16" s="70" t="s">
        <v>42</v>
      </c>
      <c r="B16" s="71"/>
      <c r="C16" s="70" t="str">
        <f t="shared" si="1"/>
        <v/>
      </c>
      <c r="D16" s="70"/>
      <c r="E16" s="6" t="str">
        <f t="shared" si="2"/>
        <v/>
      </c>
      <c r="F16" s="95" t="str">
        <f t="shared" si="10"/>
        <v/>
      </c>
      <c r="G16" s="72" t="str">
        <f t="shared" si="7"/>
        <v/>
      </c>
      <c r="H16" s="70" t="str">
        <f t="shared" si="8"/>
        <v/>
      </c>
      <c r="I16" s="70"/>
      <c r="J16" s="70" t="str">
        <f t="shared" si="0"/>
        <v/>
      </c>
      <c r="K16" s="73"/>
      <c r="L16" s="73"/>
      <c r="M16" s="74"/>
      <c r="N16" s="75"/>
      <c r="O16" s="48"/>
      <c r="P16" s="70" t="str">
        <f t="shared" si="3"/>
        <v/>
      </c>
      <c r="Q16" s="70" t="str">
        <f t="shared" ref="Q16:Q30" si="11">IF(T16="","",CONCATENATE(T16,"3.C"))</f>
        <v/>
      </c>
      <c r="R16" s="95" t="str">
        <f t="shared" si="5"/>
        <v/>
      </c>
      <c r="S16" s="72"/>
      <c r="T16" s="70"/>
      <c r="U16" s="70"/>
      <c r="V16" s="76"/>
      <c r="W16" s="77"/>
      <c r="X16" s="78"/>
    </row>
    <row r="17" spans="1:24" ht="13.25" customHeight="1" x14ac:dyDescent="0.45">
      <c r="A17" s="70" t="s">
        <v>43</v>
      </c>
      <c r="B17" s="71"/>
      <c r="C17" s="70" t="str">
        <f t="shared" si="1"/>
        <v/>
      </c>
      <c r="D17" s="70"/>
      <c r="E17" s="6" t="str">
        <f t="shared" si="2"/>
        <v/>
      </c>
      <c r="F17" s="95" t="str">
        <f t="shared" si="10"/>
        <v/>
      </c>
      <c r="G17" s="72" t="str">
        <f t="shared" si="7"/>
        <v/>
      </c>
      <c r="H17" s="70" t="str">
        <f>IF(D17&lt;&gt;0,H13,"")</f>
        <v/>
      </c>
      <c r="I17" s="70"/>
      <c r="J17" s="70" t="str">
        <f t="shared" si="0"/>
        <v/>
      </c>
      <c r="K17" s="73"/>
      <c r="L17" s="73"/>
      <c r="M17" s="74"/>
      <c r="N17" s="75"/>
      <c r="O17" s="48"/>
      <c r="P17" s="70" t="str">
        <f t="shared" si="3"/>
        <v/>
      </c>
      <c r="Q17" s="70" t="str">
        <f t="shared" si="11"/>
        <v/>
      </c>
      <c r="R17" s="95" t="str">
        <f t="shared" si="5"/>
        <v/>
      </c>
      <c r="S17" s="72"/>
      <c r="T17" s="70"/>
      <c r="U17" s="70"/>
      <c r="V17" s="76"/>
      <c r="W17" s="77"/>
      <c r="X17" s="78"/>
    </row>
    <row r="18" spans="1:24" ht="13.25" customHeight="1" x14ac:dyDescent="0.45">
      <c r="A18" s="70" t="s">
        <v>44</v>
      </c>
      <c r="B18" s="71"/>
      <c r="C18" s="70" t="str">
        <f t="shared" si="1"/>
        <v/>
      </c>
      <c r="D18" s="70"/>
      <c r="E18" s="6" t="str">
        <f t="shared" si="2"/>
        <v/>
      </c>
      <c r="F18" s="95" t="str">
        <f t="shared" si="10"/>
        <v/>
      </c>
      <c r="G18" s="72" t="str">
        <f t="shared" si="7"/>
        <v/>
      </c>
      <c r="H18" s="70" t="str">
        <f>IF(D18&lt;&gt;0,H14,"")</f>
        <v/>
      </c>
      <c r="I18" s="70"/>
      <c r="J18" s="70" t="str">
        <f t="shared" si="0"/>
        <v/>
      </c>
      <c r="K18" s="73"/>
      <c r="L18" s="73"/>
      <c r="M18" s="74"/>
      <c r="N18" s="75"/>
      <c r="O18" s="48"/>
      <c r="P18" s="70" t="str">
        <f t="shared" si="3"/>
        <v/>
      </c>
      <c r="Q18" s="70" t="str">
        <f t="shared" si="11"/>
        <v/>
      </c>
      <c r="R18" s="95" t="str">
        <f t="shared" si="5"/>
        <v/>
      </c>
      <c r="S18" s="72"/>
      <c r="T18" s="70"/>
      <c r="U18" s="70"/>
      <c r="V18" s="76"/>
      <c r="W18" s="77"/>
      <c r="X18" s="78"/>
    </row>
    <row r="19" spans="1:24" ht="13.25" customHeight="1" x14ac:dyDescent="0.45">
      <c r="A19" s="70" t="s">
        <v>45</v>
      </c>
      <c r="B19" s="71"/>
      <c r="C19" s="70" t="str">
        <f t="shared" ref="C19:C32" si="12">IF(D19&lt;&gt;0,A19,"")</f>
        <v/>
      </c>
      <c r="D19" s="70"/>
      <c r="E19" s="6" t="str">
        <f t="shared" si="2"/>
        <v/>
      </c>
      <c r="F19" s="95" t="str">
        <f t="shared" si="10"/>
        <v/>
      </c>
      <c r="G19" s="72" t="str">
        <f t="shared" si="7"/>
        <v/>
      </c>
      <c r="H19" s="70" t="str">
        <f>IF(D19&lt;&gt;0,H15,"")</f>
        <v/>
      </c>
      <c r="I19" s="70"/>
      <c r="J19" s="70" t="str">
        <f t="shared" si="0"/>
        <v/>
      </c>
      <c r="K19" s="73"/>
      <c r="L19" s="73"/>
      <c r="M19" s="74"/>
      <c r="N19" s="75"/>
      <c r="O19" s="48"/>
      <c r="P19" s="70" t="str">
        <f t="shared" si="3"/>
        <v/>
      </c>
      <c r="Q19" s="70" t="str">
        <f t="shared" si="11"/>
        <v/>
      </c>
      <c r="R19" s="95" t="str">
        <f t="shared" si="5"/>
        <v/>
      </c>
      <c r="S19" s="72"/>
      <c r="T19" s="70"/>
      <c r="U19" s="70"/>
      <c r="V19" s="76"/>
      <c r="W19" s="77"/>
      <c r="X19" s="78"/>
    </row>
    <row r="20" spans="1:24" ht="13.25" customHeight="1" x14ac:dyDescent="0.45">
      <c r="A20" s="70" t="s">
        <v>46</v>
      </c>
      <c r="B20" s="71"/>
      <c r="C20" s="70" t="str">
        <f t="shared" si="12"/>
        <v/>
      </c>
      <c r="D20" s="70"/>
      <c r="E20" s="6" t="str">
        <f t="shared" si="2"/>
        <v/>
      </c>
      <c r="F20" s="95" t="str">
        <f t="shared" si="10"/>
        <v/>
      </c>
      <c r="G20" s="72" t="str">
        <f t="shared" si="7"/>
        <v/>
      </c>
      <c r="H20" s="70" t="str">
        <f t="shared" si="8"/>
        <v/>
      </c>
      <c r="I20" s="70"/>
      <c r="J20" s="70" t="str">
        <f t="shared" si="0"/>
        <v/>
      </c>
      <c r="K20" s="73"/>
      <c r="L20" s="73"/>
      <c r="M20" s="74"/>
      <c r="N20" s="75"/>
      <c r="O20" s="48"/>
      <c r="P20" s="70" t="str">
        <f t="shared" si="3"/>
        <v/>
      </c>
      <c r="Q20" s="70" t="str">
        <f t="shared" si="11"/>
        <v/>
      </c>
      <c r="R20" s="95" t="str">
        <f t="shared" si="5"/>
        <v/>
      </c>
      <c r="S20" s="72"/>
      <c r="T20" s="70"/>
      <c r="U20" s="70"/>
      <c r="V20" s="76"/>
      <c r="W20" s="77"/>
      <c r="X20" s="78"/>
    </row>
    <row r="21" spans="1:24" ht="13.25" customHeight="1" x14ac:dyDescent="0.45">
      <c r="A21" s="70" t="s">
        <v>47</v>
      </c>
      <c r="B21" s="71"/>
      <c r="C21" s="70" t="str">
        <f t="shared" si="12"/>
        <v/>
      </c>
      <c r="D21" s="70"/>
      <c r="E21" s="6" t="str">
        <f t="shared" si="2"/>
        <v/>
      </c>
      <c r="F21" s="95" t="str">
        <f t="shared" si="10"/>
        <v/>
      </c>
      <c r="G21" s="72" t="str">
        <f t="shared" si="7"/>
        <v/>
      </c>
      <c r="H21" s="70" t="str">
        <f>IF(D21&lt;&gt;0,H17,"")</f>
        <v/>
      </c>
      <c r="I21" s="70"/>
      <c r="J21" s="70" t="str">
        <f t="shared" si="0"/>
        <v/>
      </c>
      <c r="K21" s="73"/>
      <c r="L21" s="73"/>
      <c r="M21" s="74"/>
      <c r="N21" s="75"/>
      <c r="O21" s="48"/>
      <c r="P21" s="70" t="str">
        <f t="shared" si="3"/>
        <v/>
      </c>
      <c r="Q21" s="70"/>
      <c r="R21" s="95" t="str">
        <f t="shared" si="5"/>
        <v/>
      </c>
      <c r="S21" s="72"/>
      <c r="T21" s="70"/>
      <c r="U21" s="70"/>
      <c r="V21" s="76"/>
      <c r="W21" s="77"/>
      <c r="X21" s="78"/>
    </row>
    <row r="22" spans="1:24" ht="13.25" customHeight="1" x14ac:dyDescent="0.45">
      <c r="A22" s="70" t="s">
        <v>48</v>
      </c>
      <c r="B22" s="71"/>
      <c r="C22" s="70" t="str">
        <f t="shared" si="12"/>
        <v/>
      </c>
      <c r="D22" s="70"/>
      <c r="E22" s="6" t="str">
        <f t="shared" si="2"/>
        <v/>
      </c>
      <c r="F22" s="95" t="str">
        <f t="shared" si="10"/>
        <v/>
      </c>
      <c r="G22" s="72" t="str">
        <f t="shared" si="7"/>
        <v/>
      </c>
      <c r="H22" s="70" t="str">
        <f>IF(D22&lt;&gt;0,H18,"")</f>
        <v/>
      </c>
      <c r="I22" s="70"/>
      <c r="J22" s="70" t="str">
        <f t="shared" si="0"/>
        <v/>
      </c>
      <c r="K22" s="73"/>
      <c r="L22" s="73"/>
      <c r="M22" s="74"/>
      <c r="N22" s="75"/>
      <c r="O22" s="48"/>
      <c r="P22" s="70" t="str">
        <f t="shared" si="3"/>
        <v/>
      </c>
      <c r="Q22" s="70"/>
      <c r="R22" s="95" t="str">
        <f t="shared" si="5"/>
        <v/>
      </c>
      <c r="S22" s="72"/>
      <c r="T22" s="70"/>
      <c r="U22" s="70"/>
      <c r="V22" s="76"/>
      <c r="W22" s="77"/>
      <c r="X22" s="78"/>
    </row>
    <row r="23" spans="1:24" ht="13.25" customHeight="1" x14ac:dyDescent="0.45">
      <c r="A23" s="70" t="s">
        <v>49</v>
      </c>
      <c r="B23" s="71"/>
      <c r="C23" s="70" t="str">
        <f t="shared" si="12"/>
        <v/>
      </c>
      <c r="D23" s="70"/>
      <c r="E23" s="6" t="str">
        <f t="shared" si="2"/>
        <v/>
      </c>
      <c r="F23" s="95" t="str">
        <f t="shared" si="10"/>
        <v/>
      </c>
      <c r="G23" s="72" t="str">
        <f t="shared" si="7"/>
        <v/>
      </c>
      <c r="H23" s="70" t="str">
        <f>IF(D23&lt;&gt;0,H19,"")</f>
        <v/>
      </c>
      <c r="I23" s="70"/>
      <c r="J23" s="70" t="str">
        <f t="shared" si="0"/>
        <v/>
      </c>
      <c r="K23" s="73"/>
      <c r="L23" s="73"/>
      <c r="M23" s="74"/>
      <c r="N23" s="75"/>
      <c r="O23" s="48"/>
      <c r="P23" s="70" t="str">
        <f t="shared" si="3"/>
        <v/>
      </c>
      <c r="Q23" s="70"/>
      <c r="R23" s="95" t="str">
        <f t="shared" si="5"/>
        <v/>
      </c>
      <c r="S23" s="72"/>
      <c r="T23" s="70"/>
      <c r="U23" s="70"/>
      <c r="V23" s="76"/>
      <c r="W23" s="77"/>
      <c r="X23" s="78"/>
    </row>
    <row r="24" spans="1:24" ht="13.25" customHeight="1" x14ac:dyDescent="0.45">
      <c r="A24" s="70" t="s">
        <v>50</v>
      </c>
      <c r="B24" s="71"/>
      <c r="C24" s="70" t="str">
        <f t="shared" si="12"/>
        <v/>
      </c>
      <c r="D24" s="70"/>
      <c r="E24" s="6" t="str">
        <f t="shared" si="2"/>
        <v/>
      </c>
      <c r="F24" s="95" t="str">
        <f t="shared" si="10"/>
        <v/>
      </c>
      <c r="G24" s="72" t="str">
        <f t="shared" si="7"/>
        <v/>
      </c>
      <c r="H24" s="70" t="str">
        <f t="shared" ref="H24" si="13">IF(D24&lt;&gt;0,H20,"")</f>
        <v/>
      </c>
      <c r="I24" s="70"/>
      <c r="J24" s="70" t="str">
        <f t="shared" si="0"/>
        <v/>
      </c>
      <c r="K24" s="73"/>
      <c r="L24" s="73"/>
      <c r="M24" s="74"/>
      <c r="N24" s="75"/>
      <c r="O24" s="48"/>
      <c r="P24" s="70" t="str">
        <f t="shared" si="3"/>
        <v/>
      </c>
      <c r="Q24" s="70"/>
      <c r="R24" s="95" t="str">
        <f t="shared" si="5"/>
        <v/>
      </c>
      <c r="S24" s="72"/>
      <c r="T24" s="70"/>
      <c r="U24" s="70"/>
      <c r="V24" s="76"/>
      <c r="W24" s="77"/>
      <c r="X24" s="78"/>
    </row>
    <row r="25" spans="1:24" ht="13.25" customHeight="1" x14ac:dyDescent="0.45">
      <c r="A25" s="70" t="s">
        <v>51</v>
      </c>
      <c r="B25" s="71"/>
      <c r="C25" s="70" t="str">
        <f t="shared" si="12"/>
        <v/>
      </c>
      <c r="D25" s="70"/>
      <c r="E25" s="6" t="str">
        <f t="shared" si="2"/>
        <v/>
      </c>
      <c r="F25" s="95" t="str">
        <f t="shared" si="10"/>
        <v/>
      </c>
      <c r="G25" s="72" t="str">
        <f t="shared" si="7"/>
        <v/>
      </c>
      <c r="H25" s="70" t="str">
        <f>IF(D25&lt;&gt;0,H21,"")</f>
        <v/>
      </c>
      <c r="I25" s="70"/>
      <c r="J25" s="70" t="str">
        <f t="shared" si="0"/>
        <v/>
      </c>
      <c r="K25" s="73"/>
      <c r="L25" s="73"/>
      <c r="M25" s="74"/>
      <c r="N25" s="75"/>
      <c r="O25" s="48"/>
      <c r="P25" s="70" t="str">
        <f t="shared" si="3"/>
        <v/>
      </c>
      <c r="Q25" s="70"/>
      <c r="R25" s="95" t="str">
        <f t="shared" si="5"/>
        <v/>
      </c>
      <c r="S25" s="72"/>
      <c r="T25" s="70"/>
      <c r="U25" s="70"/>
      <c r="V25" s="76"/>
      <c r="W25" s="77"/>
      <c r="X25" s="78"/>
    </row>
    <row r="26" spans="1:24" ht="13.25" customHeight="1" x14ac:dyDescent="0.45">
      <c r="A26" s="70" t="s">
        <v>52</v>
      </c>
      <c r="B26" s="71"/>
      <c r="C26" s="70" t="str">
        <f t="shared" si="12"/>
        <v/>
      </c>
      <c r="D26" s="70"/>
      <c r="E26" s="6" t="str">
        <f t="shared" si="2"/>
        <v/>
      </c>
      <c r="F26" s="95" t="str">
        <f t="shared" si="10"/>
        <v/>
      </c>
      <c r="G26" s="72" t="str">
        <f t="shared" si="7"/>
        <v/>
      </c>
      <c r="H26" s="70" t="str">
        <f>IF(D26&lt;&gt;0,H22,"")</f>
        <v/>
      </c>
      <c r="I26" s="70"/>
      <c r="J26" s="70" t="str">
        <f t="shared" si="0"/>
        <v/>
      </c>
      <c r="K26" s="73"/>
      <c r="L26" s="73"/>
      <c r="M26" s="74"/>
      <c r="N26" s="75"/>
      <c r="O26" s="48"/>
      <c r="P26" s="70" t="str">
        <f t="shared" si="3"/>
        <v/>
      </c>
      <c r="Q26" s="70"/>
      <c r="R26" s="95" t="str">
        <f t="shared" si="5"/>
        <v/>
      </c>
      <c r="S26" s="72"/>
      <c r="T26" s="70"/>
      <c r="U26" s="70"/>
      <c r="V26" s="76"/>
      <c r="W26" s="77"/>
      <c r="X26" s="78"/>
    </row>
    <row r="27" spans="1:24" ht="13.25" customHeight="1" x14ac:dyDescent="0.45">
      <c r="A27" s="70" t="s">
        <v>458</v>
      </c>
      <c r="B27" s="71"/>
      <c r="C27" s="70" t="str">
        <f t="shared" si="12"/>
        <v/>
      </c>
      <c r="D27" s="70"/>
      <c r="E27" s="6" t="str">
        <f t="shared" si="2"/>
        <v/>
      </c>
      <c r="F27" s="95" t="str">
        <f t="shared" si="10"/>
        <v/>
      </c>
      <c r="G27" s="72" t="str">
        <f t="shared" si="7"/>
        <v/>
      </c>
      <c r="H27" s="70" t="str">
        <f>IF(D27&lt;&gt;0,H23,"")</f>
        <v/>
      </c>
      <c r="I27" s="70"/>
      <c r="J27" s="70" t="str">
        <f t="shared" si="0"/>
        <v/>
      </c>
      <c r="K27" s="73"/>
      <c r="L27" s="73"/>
      <c r="M27" s="74"/>
      <c r="N27" s="75"/>
      <c r="O27" s="48"/>
      <c r="P27" s="70" t="str">
        <f t="shared" si="3"/>
        <v/>
      </c>
      <c r="Q27" s="70"/>
      <c r="R27" s="95" t="str">
        <f t="shared" si="5"/>
        <v/>
      </c>
      <c r="S27" s="72"/>
      <c r="T27" s="70"/>
      <c r="U27" s="70"/>
      <c r="V27" s="76"/>
      <c r="W27" s="77"/>
      <c r="X27" s="78"/>
    </row>
    <row r="28" spans="1:24" ht="13.25" customHeight="1" x14ac:dyDescent="0.45">
      <c r="A28" s="70" t="s">
        <v>53</v>
      </c>
      <c r="B28" s="71"/>
      <c r="C28" s="70" t="str">
        <f t="shared" si="12"/>
        <v/>
      </c>
      <c r="D28" s="70"/>
      <c r="E28" s="6" t="str">
        <f t="shared" si="2"/>
        <v/>
      </c>
      <c r="F28" s="95" t="str">
        <f t="shared" si="10"/>
        <v/>
      </c>
      <c r="G28" s="72" t="str">
        <f t="shared" si="7"/>
        <v/>
      </c>
      <c r="H28" s="70" t="str">
        <f t="shared" ref="H28" si="14">IF(D28&lt;&gt;0,H24,"")</f>
        <v/>
      </c>
      <c r="I28" s="70"/>
      <c r="J28" s="70" t="str">
        <f t="shared" si="0"/>
        <v/>
      </c>
      <c r="K28" s="73"/>
      <c r="L28" s="73"/>
      <c r="M28" s="74"/>
      <c r="N28" s="75"/>
      <c r="O28" s="48"/>
      <c r="P28" s="70" t="str">
        <f t="shared" si="3"/>
        <v/>
      </c>
      <c r="Q28" s="70"/>
      <c r="R28" s="95" t="str">
        <f t="shared" si="5"/>
        <v/>
      </c>
      <c r="S28" s="72"/>
      <c r="T28" s="70"/>
      <c r="U28" s="70"/>
      <c r="V28" s="76"/>
      <c r="W28" s="77"/>
      <c r="X28" s="78"/>
    </row>
    <row r="29" spans="1:24" ht="13.25" customHeight="1" x14ac:dyDescent="0.45">
      <c r="A29" s="70" t="s">
        <v>54</v>
      </c>
      <c r="B29" s="71"/>
      <c r="C29" s="70" t="str">
        <f t="shared" si="12"/>
        <v/>
      </c>
      <c r="D29" s="70"/>
      <c r="E29" s="6" t="str">
        <f t="shared" si="2"/>
        <v/>
      </c>
      <c r="F29" s="95" t="str">
        <f t="shared" si="10"/>
        <v/>
      </c>
      <c r="G29" s="72" t="str">
        <f t="shared" si="7"/>
        <v/>
      </c>
      <c r="H29" s="70" t="str">
        <f>IF(D29&lt;&gt;0,H25,"")</f>
        <v/>
      </c>
      <c r="I29" s="70"/>
      <c r="J29" s="70" t="str">
        <f t="shared" si="0"/>
        <v/>
      </c>
      <c r="K29" s="73"/>
      <c r="L29" s="73"/>
      <c r="M29" s="74"/>
      <c r="N29" s="75"/>
      <c r="O29" s="48"/>
      <c r="P29" s="70" t="str">
        <f t="shared" si="3"/>
        <v/>
      </c>
      <c r="Q29" s="70"/>
      <c r="R29" s="95" t="str">
        <f t="shared" si="5"/>
        <v/>
      </c>
      <c r="S29" s="72"/>
      <c r="T29" s="70"/>
      <c r="U29" s="70"/>
      <c r="V29" s="76"/>
      <c r="W29" s="77"/>
      <c r="X29" s="78"/>
    </row>
    <row r="30" spans="1:24" ht="13.25" customHeight="1" x14ac:dyDescent="0.45">
      <c r="A30" s="70" t="s">
        <v>459</v>
      </c>
      <c r="B30" s="71"/>
      <c r="C30" s="70" t="str">
        <f t="shared" si="12"/>
        <v/>
      </c>
      <c r="D30" s="70"/>
      <c r="E30" s="6" t="str">
        <f t="shared" si="2"/>
        <v/>
      </c>
      <c r="F30" s="95" t="str">
        <f t="shared" si="10"/>
        <v/>
      </c>
      <c r="G30" s="72" t="str">
        <f t="shared" si="7"/>
        <v/>
      </c>
      <c r="H30" s="70" t="str">
        <f>IF(D30&lt;&gt;0,H26,"")</f>
        <v/>
      </c>
      <c r="I30" s="70">
        <f>IF(E30&lt;&gt;0,I26,"")</f>
        <v>0</v>
      </c>
      <c r="J30" s="70" t="str">
        <f t="shared" si="0"/>
        <v/>
      </c>
      <c r="K30" s="73"/>
      <c r="L30" s="73"/>
      <c r="M30" s="74"/>
      <c r="N30" s="75"/>
      <c r="O30" s="48"/>
      <c r="P30" s="70" t="str">
        <f t="shared" si="3"/>
        <v/>
      </c>
      <c r="Q30" s="70" t="str">
        <f t="shared" si="11"/>
        <v/>
      </c>
      <c r="R30" s="95" t="str">
        <f t="shared" si="5"/>
        <v/>
      </c>
      <c r="S30" s="72"/>
      <c r="T30" s="70"/>
      <c r="U30" s="70"/>
      <c r="V30" s="76"/>
      <c r="W30" s="77"/>
      <c r="X30" s="78"/>
    </row>
    <row r="31" spans="1:24" ht="13.25" customHeight="1" x14ac:dyDescent="0.45">
      <c r="A31" s="70" t="s">
        <v>460</v>
      </c>
      <c r="B31" s="71"/>
      <c r="C31" s="70" t="str">
        <f t="shared" si="12"/>
        <v/>
      </c>
      <c r="D31" s="70"/>
      <c r="E31" s="6" t="str">
        <f t="shared" si="2"/>
        <v/>
      </c>
      <c r="F31" s="95" t="str">
        <f t="shared" si="10"/>
        <v/>
      </c>
      <c r="G31" s="72" t="str">
        <f t="shared" si="7"/>
        <v/>
      </c>
      <c r="H31" s="70"/>
      <c r="I31" s="70"/>
      <c r="J31" s="70" t="str">
        <f t="shared" si="0"/>
        <v/>
      </c>
      <c r="K31" s="73"/>
      <c r="L31" s="73"/>
      <c r="M31" s="74"/>
      <c r="N31" s="75"/>
      <c r="O31" s="48"/>
      <c r="P31" s="70" t="str">
        <f t="shared" si="3"/>
        <v/>
      </c>
      <c r="Q31" s="70" t="str">
        <f t="shared" ref="Q31" si="15">IF(T31="","",CONCATENATE(T31,"3.C"))</f>
        <v/>
      </c>
      <c r="R31" s="95" t="str">
        <f t="shared" si="5"/>
        <v/>
      </c>
      <c r="S31" s="72"/>
      <c r="T31" s="70"/>
      <c r="U31" s="70"/>
      <c r="V31" s="76"/>
      <c r="W31" s="77"/>
      <c r="X31" s="78"/>
    </row>
    <row r="32" spans="1:24" ht="13.25" customHeight="1" x14ac:dyDescent="0.45">
      <c r="A32" s="70" t="s">
        <v>461</v>
      </c>
      <c r="B32" s="71"/>
      <c r="C32" s="70" t="str">
        <f t="shared" si="12"/>
        <v/>
      </c>
      <c r="D32" s="70"/>
      <c r="E32" s="6" t="str">
        <f t="shared" si="2"/>
        <v/>
      </c>
      <c r="F32" s="95" t="str">
        <f t="shared" si="10"/>
        <v/>
      </c>
      <c r="G32" s="72" t="str">
        <f t="shared" si="7"/>
        <v/>
      </c>
      <c r="H32" s="70"/>
      <c r="I32" s="70"/>
      <c r="J32" s="70" t="str">
        <f t="shared" si="0"/>
        <v/>
      </c>
      <c r="K32" s="73"/>
      <c r="L32" s="73"/>
      <c r="M32" s="79"/>
      <c r="N32" s="80"/>
      <c r="O32" s="48"/>
      <c r="P32" s="109" t="s">
        <v>56</v>
      </c>
      <c r="Q32" s="110"/>
      <c r="R32" s="110"/>
      <c r="S32" s="110"/>
      <c r="T32" s="110"/>
      <c r="U32" s="110"/>
      <c r="V32" s="110"/>
      <c r="W32" s="110"/>
      <c r="X32" s="111"/>
    </row>
    <row r="33" spans="1:24" ht="14.65" thickBot="1" x14ac:dyDescent="0.5">
      <c r="A33" s="70"/>
      <c r="B33" s="81"/>
      <c r="C33" s="108" t="s">
        <v>455</v>
      </c>
      <c r="D33" s="108"/>
      <c r="E33" s="108"/>
      <c r="F33" s="108"/>
      <c r="G33" s="108">
        <f ca="1">NOW()</f>
        <v>45401.418113888889</v>
      </c>
      <c r="H33" s="108"/>
      <c r="I33" s="108"/>
      <c r="J33" s="108"/>
      <c r="K33" s="108"/>
      <c r="L33" s="108"/>
      <c r="M33" s="108"/>
      <c r="N33" s="82"/>
      <c r="P33" s="83" t="s">
        <v>455</v>
      </c>
      <c r="Q33" s="83"/>
      <c r="R33" s="83"/>
      <c r="S33" s="108">
        <f ca="1">NOW()</f>
        <v>45401.418113888889</v>
      </c>
      <c r="T33" s="108"/>
      <c r="U33" s="108"/>
      <c r="V33" s="108"/>
      <c r="W33" s="108"/>
      <c r="X33" s="108"/>
    </row>
    <row r="34" spans="1:24" x14ac:dyDescent="0.45">
      <c r="H34" s="141" t="s">
        <v>454</v>
      </c>
      <c r="I34" s="141"/>
      <c r="J34" s="141"/>
      <c r="K34" s="141"/>
      <c r="L34" s="141"/>
      <c r="M34" s="141"/>
      <c r="N34" s="82"/>
      <c r="P34" t="s">
        <v>453</v>
      </c>
    </row>
    <row r="35" spans="1:24" x14ac:dyDescent="0.45">
      <c r="H35" s="142"/>
      <c r="I35" s="142"/>
      <c r="J35" s="142"/>
      <c r="K35" s="142"/>
      <c r="L35" s="142"/>
      <c r="M35" s="142"/>
      <c r="N35" s="82"/>
      <c r="P35" t="s">
        <v>465</v>
      </c>
      <c r="S35" t="s">
        <v>466</v>
      </c>
    </row>
    <row r="36" spans="1:24" ht="21.4" customHeight="1" x14ac:dyDescent="0.45"/>
  </sheetData>
  <protectedRanges>
    <protectedRange sqref="G4 H7:I10" name="Range1"/>
  </protectedRanges>
  <sortState xmlns:xlrd2="http://schemas.microsoft.com/office/spreadsheetml/2017/richdata2" ref="H7:I10">
    <sortCondition ref="I7"/>
  </sortState>
  <mergeCells count="20">
    <mergeCell ref="H34:M35"/>
    <mergeCell ref="C1:F3"/>
    <mergeCell ref="C5:F5"/>
    <mergeCell ref="C4:F4"/>
    <mergeCell ref="G33:M33"/>
    <mergeCell ref="C33:F33"/>
    <mergeCell ref="K4:L4"/>
    <mergeCell ref="S33:X33"/>
    <mergeCell ref="P32:X32"/>
    <mergeCell ref="G1:M2"/>
    <mergeCell ref="P1:R3"/>
    <mergeCell ref="S1:X2"/>
    <mergeCell ref="G3:M3"/>
    <mergeCell ref="S3:X3"/>
    <mergeCell ref="P4:R4"/>
    <mergeCell ref="S4:X4"/>
    <mergeCell ref="G5:J5"/>
    <mergeCell ref="P5:R5"/>
    <mergeCell ref="S5:W5"/>
    <mergeCell ref="H4:J4"/>
  </mergeCells>
  <conditionalFormatting sqref="M4">
    <cfRule type="expression" dxfId="17" priority="3">
      <formula>VLOOKUP(G4,f_detailsof_programs,4,FALSE)="Single"</formula>
    </cfRule>
  </conditionalFormatting>
  <conditionalFormatting sqref="H7:H10">
    <cfRule type="duplicateValues" dxfId="16" priority="2"/>
  </conditionalFormatting>
  <conditionalFormatting sqref="H7:H30 I30">
    <cfRule type="expression" dxfId="15" priority="1">
      <formula>COUNTIF(f_lisof_teams_codes,INDEX(1:1048576,ROW(),COLUMN())&lt;0)</formula>
    </cfRule>
  </conditionalFormatting>
  <conditionalFormatting sqref="H31:H32">
    <cfRule type="expression" dxfId="14" priority="24">
      <formula>COUNTIF(f_lisof_teams_codes,INDEX(24:24,ROW(),COLUMN())&lt;0)</formula>
    </cfRule>
  </conditionalFormatting>
  <dataValidations count="1">
    <dataValidation type="list" allowBlank="1" showInputMessage="1" showErrorMessage="1" sqref="G4" xr:uid="{4BD27122-DEF0-479C-B645-88277BC47E95}">
      <formula1>f_listof_program_codes</formula1>
    </dataValidation>
  </dataValidations>
  <printOptions horizontalCentered="1" verticalCentered="1"/>
  <pageMargins left="0.25" right="0.25" top="0.75" bottom="0.75" header="0.3" footer="0.3"/>
  <pageSetup paperSize="9" scale="95"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5D32291-09E8-432F-8C68-CE6B7894412D}">
          <x14:formula1>
            <xm:f>fetcher!$E$3:$E$6</xm:f>
          </x14:formula1>
          <xm:sqref>H7:H10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9A7CD-4870-4004-BDCB-017B88D8ECBC}">
  <sheetPr codeName="Sheet6"/>
  <dimension ref="A1:Z209"/>
  <sheetViews>
    <sheetView zoomScale="89" workbookViewId="0">
      <pane ySplit="1" topLeftCell="A2" activePane="bottomLeft" state="frozen"/>
      <selection pane="bottomLeft" activeCell="B22" sqref="B22:B58"/>
    </sheetView>
  </sheetViews>
  <sheetFormatPr defaultRowHeight="14.25" x14ac:dyDescent="0.45"/>
  <cols>
    <col min="1" max="1" width="5.1328125" bestFit="1" customWidth="1"/>
    <col min="2" max="2" width="10.1328125" bestFit="1" customWidth="1"/>
    <col min="3" max="3" width="29.53125" bestFit="1" customWidth="1"/>
    <col min="4" max="4" width="21.86328125" bestFit="1" customWidth="1"/>
    <col min="5" max="5" width="21.86328125" customWidth="1"/>
    <col min="6" max="6" width="16.3984375" customWidth="1"/>
    <col min="7" max="7" width="19.53125" customWidth="1"/>
    <col min="8" max="8" width="15.06640625" customWidth="1"/>
    <col min="9" max="9" width="12" customWidth="1"/>
    <col min="10" max="10" width="10.1328125" customWidth="1"/>
    <col min="11" max="11" width="13.53125" style="40" customWidth="1"/>
    <col min="12" max="12" width="10.19921875" style="41" bestFit="1" customWidth="1"/>
    <col min="13" max="13" width="11.06640625" style="41" bestFit="1" customWidth="1"/>
    <col min="14" max="14" width="11.06640625" bestFit="1" customWidth="1"/>
    <col min="15" max="15" width="8.46484375" bestFit="1" customWidth="1"/>
    <col min="16" max="16" width="80.53125" hidden="1" customWidth="1"/>
    <col min="17" max="18" width="10.59765625" bestFit="1" customWidth="1"/>
    <col min="19" max="20" width="10.1328125" bestFit="1" customWidth="1"/>
    <col min="21" max="22" width="80.53125" bestFit="1" customWidth="1"/>
    <col min="23" max="23" width="15.46484375" customWidth="1"/>
    <col min="24" max="24" width="80.53125" customWidth="1"/>
    <col min="25" max="25" width="7.53125" bestFit="1" customWidth="1"/>
  </cols>
  <sheetData>
    <row r="1" spans="1:21" ht="33.75" customHeight="1" x14ac:dyDescent="0.45"/>
    <row r="2" spans="1:21" x14ac:dyDescent="0.45">
      <c r="A2" t="s">
        <v>16</v>
      </c>
      <c r="B2" t="s">
        <v>74</v>
      </c>
      <c r="C2" t="s">
        <v>75</v>
      </c>
      <c r="D2" t="s">
        <v>452</v>
      </c>
      <c r="E2" t="s">
        <v>76</v>
      </c>
      <c r="F2" t="s">
        <v>77</v>
      </c>
      <c r="G2" t="s">
        <v>78</v>
      </c>
      <c r="H2" t="s">
        <v>79</v>
      </c>
      <c r="I2" t="s">
        <v>80</v>
      </c>
      <c r="J2" t="s">
        <v>81</v>
      </c>
      <c r="K2" t="s">
        <v>82</v>
      </c>
      <c r="L2" s="40" t="s">
        <v>83</v>
      </c>
      <c r="M2" s="41" t="s">
        <v>84</v>
      </c>
      <c r="N2" s="41" t="s">
        <v>85</v>
      </c>
      <c r="O2" t="s">
        <v>642</v>
      </c>
      <c r="P2" t="s">
        <v>493</v>
      </c>
      <c r="Q2" t="s">
        <v>707</v>
      </c>
      <c r="R2" t="s">
        <v>708</v>
      </c>
      <c r="S2" t="s">
        <v>709</v>
      </c>
      <c r="T2" t="s">
        <v>716</v>
      </c>
      <c r="U2" t="s">
        <v>86</v>
      </c>
    </row>
    <row r="3" spans="1:21" hidden="1" x14ac:dyDescent="0.45">
      <c r="A3">
        <v>10</v>
      </c>
      <c r="B3" t="s">
        <v>55</v>
      </c>
      <c r="C3" t="s">
        <v>112</v>
      </c>
      <c r="E3" t="s">
        <v>89</v>
      </c>
      <c r="F3" t="s">
        <v>90</v>
      </c>
      <c r="G3" t="s">
        <v>91</v>
      </c>
      <c r="H3">
        <v>3</v>
      </c>
      <c r="I3" t="s">
        <v>92</v>
      </c>
      <c r="J3" t="s">
        <v>92</v>
      </c>
      <c r="K3" t="s">
        <v>95</v>
      </c>
      <c r="L3" s="40">
        <v>45206</v>
      </c>
      <c r="M3" s="41">
        <v>0.29166666666666674</v>
      </c>
      <c r="N3" s="41">
        <v>0.3125</v>
      </c>
      <c r="O3">
        <v>5</v>
      </c>
      <c r="U3" t="s">
        <v>502</v>
      </c>
    </row>
    <row r="4" spans="1:21" hidden="1" x14ac:dyDescent="0.45">
      <c r="A4">
        <v>48</v>
      </c>
      <c r="B4" t="s">
        <v>192</v>
      </c>
      <c r="C4" t="s">
        <v>193</v>
      </c>
      <c r="D4" t="s">
        <v>492</v>
      </c>
      <c r="E4" t="s">
        <v>185</v>
      </c>
      <c r="F4" t="s">
        <v>90</v>
      </c>
      <c r="G4" t="s">
        <v>91</v>
      </c>
      <c r="H4">
        <v>3</v>
      </c>
      <c r="I4" t="s">
        <v>92</v>
      </c>
      <c r="J4" t="s">
        <v>92</v>
      </c>
      <c r="K4" t="s">
        <v>95</v>
      </c>
      <c r="L4" s="40">
        <v>45206</v>
      </c>
      <c r="M4" s="41">
        <v>0.29166666666666674</v>
      </c>
      <c r="N4" s="41">
        <v>0.3125</v>
      </c>
      <c r="O4">
        <v>2</v>
      </c>
      <c r="P4" t="s">
        <v>535</v>
      </c>
      <c r="U4" t="s">
        <v>499</v>
      </c>
    </row>
    <row r="5" spans="1:21" hidden="1" x14ac:dyDescent="0.45">
      <c r="A5">
        <v>94</v>
      </c>
      <c r="B5" t="s">
        <v>267</v>
      </c>
      <c r="C5" t="s">
        <v>193</v>
      </c>
      <c r="D5" t="s">
        <v>492</v>
      </c>
      <c r="E5" t="s">
        <v>262</v>
      </c>
      <c r="F5" t="s">
        <v>90</v>
      </c>
      <c r="G5" t="s">
        <v>91</v>
      </c>
      <c r="H5">
        <v>3</v>
      </c>
      <c r="I5" t="s">
        <v>92</v>
      </c>
      <c r="J5" t="s">
        <v>92</v>
      </c>
      <c r="K5" t="s">
        <v>95</v>
      </c>
      <c r="L5" s="40">
        <v>45206</v>
      </c>
      <c r="M5" s="41">
        <v>0.29166666666666674</v>
      </c>
      <c r="N5" s="41">
        <v>0.3125</v>
      </c>
      <c r="O5">
        <v>3</v>
      </c>
      <c r="P5" t="s">
        <v>565</v>
      </c>
      <c r="U5" t="s">
        <v>499</v>
      </c>
    </row>
    <row r="6" spans="1:21" hidden="1" x14ac:dyDescent="0.45">
      <c r="A6">
        <v>14</v>
      </c>
      <c r="B6" t="s">
        <v>119</v>
      </c>
      <c r="C6" t="s">
        <v>120</v>
      </c>
      <c r="E6" t="s">
        <v>89</v>
      </c>
      <c r="F6" t="s">
        <v>90</v>
      </c>
      <c r="G6" t="s">
        <v>91</v>
      </c>
      <c r="H6">
        <v>2</v>
      </c>
      <c r="I6" t="s">
        <v>92</v>
      </c>
      <c r="J6" t="s">
        <v>92</v>
      </c>
      <c r="K6" t="s">
        <v>100</v>
      </c>
      <c r="L6" s="40">
        <v>45207</v>
      </c>
      <c r="M6" s="41">
        <v>0.29166666666666674</v>
      </c>
      <c r="N6" s="41">
        <v>0.3125</v>
      </c>
      <c r="O6">
        <v>1</v>
      </c>
      <c r="P6" t="s">
        <v>643</v>
      </c>
      <c r="U6" t="s">
        <v>508</v>
      </c>
    </row>
    <row r="7" spans="1:21" hidden="1" x14ac:dyDescent="0.45">
      <c r="A7">
        <v>99</v>
      </c>
      <c r="B7" t="s">
        <v>273</v>
      </c>
      <c r="C7" t="s">
        <v>274</v>
      </c>
      <c r="D7" t="s">
        <v>492</v>
      </c>
      <c r="E7" t="s">
        <v>262</v>
      </c>
      <c r="F7" t="s">
        <v>90</v>
      </c>
      <c r="G7" t="s">
        <v>91</v>
      </c>
      <c r="H7">
        <v>3</v>
      </c>
      <c r="I7" t="s">
        <v>92</v>
      </c>
      <c r="J7" t="s">
        <v>92</v>
      </c>
      <c r="K7" t="s">
        <v>95</v>
      </c>
      <c r="L7" s="40">
        <v>45207</v>
      </c>
      <c r="M7" s="41">
        <v>0.29166666666666674</v>
      </c>
      <c r="N7" s="41">
        <v>0.3125</v>
      </c>
      <c r="O7">
        <v>3</v>
      </c>
      <c r="P7" t="s">
        <v>644</v>
      </c>
      <c r="U7" t="s">
        <v>569</v>
      </c>
    </row>
    <row r="8" spans="1:21" hidden="1" x14ac:dyDescent="0.45">
      <c r="A8">
        <v>153</v>
      </c>
      <c r="B8" t="s">
        <v>358</v>
      </c>
      <c r="C8" t="s">
        <v>288</v>
      </c>
      <c r="E8" t="s">
        <v>8</v>
      </c>
      <c r="F8" t="s">
        <v>90</v>
      </c>
      <c r="G8" t="s">
        <v>91</v>
      </c>
      <c r="H8">
        <v>2</v>
      </c>
      <c r="I8" t="s">
        <v>92</v>
      </c>
      <c r="J8" t="s">
        <v>92</v>
      </c>
      <c r="K8" t="s">
        <v>100</v>
      </c>
      <c r="L8" s="40">
        <v>45208</v>
      </c>
      <c r="M8" s="41">
        <v>0.29166666666666674</v>
      </c>
      <c r="N8" s="41">
        <v>0.3125</v>
      </c>
      <c r="O8">
        <v>4</v>
      </c>
      <c r="P8" t="s">
        <v>663</v>
      </c>
      <c r="U8" t="s">
        <v>649</v>
      </c>
    </row>
    <row r="9" spans="1:21" hidden="1" x14ac:dyDescent="0.45">
      <c r="A9">
        <v>20</v>
      </c>
      <c r="B9" t="s">
        <v>131</v>
      </c>
      <c r="C9" t="s">
        <v>132</v>
      </c>
      <c r="E9" t="s">
        <v>89</v>
      </c>
      <c r="F9" t="s">
        <v>90</v>
      </c>
      <c r="G9" t="s">
        <v>91</v>
      </c>
      <c r="H9">
        <v>3</v>
      </c>
      <c r="I9" t="s">
        <v>92</v>
      </c>
      <c r="J9" t="s">
        <v>92</v>
      </c>
      <c r="K9" t="s">
        <v>95</v>
      </c>
      <c r="L9" s="40">
        <v>45208</v>
      </c>
      <c r="M9" s="41">
        <v>0.29166666666666674</v>
      </c>
      <c r="N9" s="41">
        <v>0.3125</v>
      </c>
      <c r="O9">
        <v>1</v>
      </c>
      <c r="P9" t="s">
        <v>664</v>
      </c>
      <c r="U9" t="s">
        <v>514</v>
      </c>
    </row>
    <row r="10" spans="1:21" hidden="1" x14ac:dyDescent="0.45">
      <c r="A10">
        <v>56</v>
      </c>
      <c r="B10" t="s">
        <v>204</v>
      </c>
      <c r="C10" t="s">
        <v>114</v>
      </c>
      <c r="E10" t="s">
        <v>185</v>
      </c>
      <c r="F10" t="s">
        <v>90</v>
      </c>
      <c r="G10" t="s">
        <v>91</v>
      </c>
      <c r="H10">
        <v>3</v>
      </c>
      <c r="I10" t="s">
        <v>92</v>
      </c>
      <c r="J10" t="s">
        <v>92</v>
      </c>
      <c r="K10" t="s">
        <v>95</v>
      </c>
      <c r="L10" s="40">
        <v>45208</v>
      </c>
      <c r="M10" s="41">
        <v>0.29166666666666674</v>
      </c>
      <c r="N10" s="41">
        <v>0.3125</v>
      </c>
      <c r="O10">
        <v>2</v>
      </c>
      <c r="P10" t="s">
        <v>653</v>
      </c>
      <c r="U10" t="s">
        <v>543</v>
      </c>
    </row>
    <row r="11" spans="1:21" hidden="1" x14ac:dyDescent="0.45">
      <c r="A11">
        <v>107</v>
      </c>
      <c r="B11" t="s">
        <v>287</v>
      </c>
      <c r="C11" t="s">
        <v>288</v>
      </c>
      <c r="E11" t="s">
        <v>262</v>
      </c>
      <c r="F11" t="s">
        <v>90</v>
      </c>
      <c r="G11" t="s">
        <v>91</v>
      </c>
      <c r="H11">
        <v>2</v>
      </c>
      <c r="I11" t="s">
        <v>92</v>
      </c>
      <c r="J11" t="s">
        <v>92</v>
      </c>
      <c r="K11" t="s">
        <v>95</v>
      </c>
      <c r="L11" s="40">
        <v>45208</v>
      </c>
      <c r="M11" s="41">
        <v>0.29166666666666674</v>
      </c>
      <c r="N11" s="41">
        <v>0.3125</v>
      </c>
      <c r="O11">
        <v>3</v>
      </c>
      <c r="P11" t="s">
        <v>654</v>
      </c>
      <c r="U11" t="s">
        <v>649</v>
      </c>
    </row>
    <row r="12" spans="1:21" hidden="1" x14ac:dyDescent="0.45">
      <c r="A12">
        <v>154</v>
      </c>
      <c r="B12" t="s">
        <v>359</v>
      </c>
      <c r="C12" t="s">
        <v>208</v>
      </c>
      <c r="D12" t="s">
        <v>492</v>
      </c>
      <c r="E12" t="s">
        <v>8</v>
      </c>
      <c r="F12" t="s">
        <v>90</v>
      </c>
      <c r="G12" t="s">
        <v>91</v>
      </c>
      <c r="H12">
        <v>3</v>
      </c>
      <c r="I12" t="s">
        <v>92</v>
      </c>
      <c r="J12" t="s">
        <v>92</v>
      </c>
      <c r="K12" t="s">
        <v>95</v>
      </c>
      <c r="L12" s="40">
        <v>45209</v>
      </c>
      <c r="M12" s="41">
        <v>0.29166666666666674</v>
      </c>
      <c r="N12" s="41">
        <v>0.3125</v>
      </c>
      <c r="O12">
        <v>0</v>
      </c>
      <c r="P12" t="s">
        <v>667</v>
      </c>
      <c r="U12" t="s">
        <v>603</v>
      </c>
    </row>
    <row r="13" spans="1:21" hidden="1" x14ac:dyDescent="0.45">
      <c r="A13">
        <v>59</v>
      </c>
      <c r="B13" t="s">
        <v>209</v>
      </c>
      <c r="C13" t="s">
        <v>210</v>
      </c>
      <c r="E13" t="s">
        <v>185</v>
      </c>
      <c r="F13" t="s">
        <v>90</v>
      </c>
      <c r="G13" t="s">
        <v>91</v>
      </c>
      <c r="H13">
        <v>3</v>
      </c>
      <c r="I13" t="s">
        <v>92</v>
      </c>
      <c r="J13" t="s">
        <v>92</v>
      </c>
      <c r="K13" t="s">
        <v>95</v>
      </c>
      <c r="L13" s="40">
        <v>45209</v>
      </c>
      <c r="M13" s="41">
        <v>0.29166666666666674</v>
      </c>
      <c r="N13" s="41">
        <v>0.3125</v>
      </c>
      <c r="O13">
        <v>2</v>
      </c>
      <c r="P13" t="s">
        <v>665</v>
      </c>
      <c r="U13" t="s">
        <v>545</v>
      </c>
    </row>
    <row r="14" spans="1:21" hidden="1" x14ac:dyDescent="0.45">
      <c r="A14">
        <v>108</v>
      </c>
      <c r="B14" t="s">
        <v>289</v>
      </c>
      <c r="C14" t="s">
        <v>208</v>
      </c>
      <c r="E14" t="s">
        <v>262</v>
      </c>
      <c r="F14" t="s">
        <v>90</v>
      </c>
      <c r="G14" t="s">
        <v>91</v>
      </c>
      <c r="H14">
        <v>3</v>
      </c>
      <c r="I14" t="s">
        <v>92</v>
      </c>
      <c r="J14" t="s">
        <v>92</v>
      </c>
      <c r="K14" t="s">
        <v>95</v>
      </c>
      <c r="L14" s="40">
        <v>45209</v>
      </c>
      <c r="M14" s="41">
        <v>0.29166666666666674</v>
      </c>
      <c r="N14" s="41">
        <v>0.3125</v>
      </c>
      <c r="O14">
        <v>3</v>
      </c>
      <c r="P14" t="s">
        <v>666</v>
      </c>
      <c r="U14" t="s">
        <v>545</v>
      </c>
    </row>
    <row r="15" spans="1:21" hidden="1" x14ac:dyDescent="0.45">
      <c r="A15">
        <v>2</v>
      </c>
      <c r="B15" t="s">
        <v>93</v>
      </c>
      <c r="C15" t="s">
        <v>94</v>
      </c>
      <c r="E15" t="s">
        <v>89</v>
      </c>
      <c r="F15" t="s">
        <v>90</v>
      </c>
      <c r="G15" t="s">
        <v>91</v>
      </c>
      <c r="H15">
        <v>3</v>
      </c>
      <c r="I15" t="s">
        <v>92</v>
      </c>
      <c r="J15" t="s">
        <v>92</v>
      </c>
      <c r="K15" t="s">
        <v>95</v>
      </c>
      <c r="L15" s="40">
        <v>45210</v>
      </c>
      <c r="M15" s="41">
        <v>0.29166666666666674</v>
      </c>
      <c r="N15" s="41">
        <v>0.3125</v>
      </c>
      <c r="O15">
        <v>1</v>
      </c>
      <c r="Q15" t="s">
        <v>659</v>
      </c>
      <c r="U15" t="s">
        <v>498</v>
      </c>
    </row>
    <row r="16" spans="1:21" hidden="1" x14ac:dyDescent="0.45">
      <c r="A16">
        <v>64</v>
      </c>
      <c r="B16" t="s">
        <v>219</v>
      </c>
      <c r="C16" t="s">
        <v>220</v>
      </c>
      <c r="E16" t="s">
        <v>185</v>
      </c>
      <c r="F16" t="s">
        <v>90</v>
      </c>
      <c r="G16" t="s">
        <v>91</v>
      </c>
      <c r="H16">
        <v>3</v>
      </c>
      <c r="I16" t="s">
        <v>103</v>
      </c>
      <c r="J16" t="s">
        <v>103</v>
      </c>
      <c r="K16" t="s">
        <v>95</v>
      </c>
      <c r="L16" s="40">
        <v>45210</v>
      </c>
      <c r="M16" s="41">
        <v>0.29166666666666674</v>
      </c>
      <c r="N16" s="41">
        <v>0.3125</v>
      </c>
      <c r="O16">
        <v>2</v>
      </c>
      <c r="Q16" t="s">
        <v>662</v>
      </c>
      <c r="U16" t="s">
        <v>548</v>
      </c>
    </row>
    <row r="17" spans="1:26" hidden="1" x14ac:dyDescent="0.45">
      <c r="A17">
        <v>68</v>
      </c>
      <c r="B17" t="s">
        <v>227</v>
      </c>
      <c r="C17" t="s">
        <v>124</v>
      </c>
      <c r="E17" t="s">
        <v>185</v>
      </c>
      <c r="F17" t="s">
        <v>90</v>
      </c>
      <c r="G17" t="s">
        <v>91</v>
      </c>
      <c r="H17">
        <v>3</v>
      </c>
      <c r="I17" t="s">
        <v>92</v>
      </c>
      <c r="J17" t="s">
        <v>92</v>
      </c>
      <c r="K17" t="s">
        <v>95</v>
      </c>
      <c r="L17" s="40">
        <v>45211</v>
      </c>
      <c r="M17" s="41">
        <v>0.29166666666666674</v>
      </c>
      <c r="N17" s="41">
        <v>0.3125</v>
      </c>
      <c r="O17">
        <v>2</v>
      </c>
      <c r="P17" t="s">
        <v>673</v>
      </c>
      <c r="U17" t="s">
        <v>550</v>
      </c>
    </row>
    <row r="18" spans="1:26" hidden="1" x14ac:dyDescent="0.45">
      <c r="A18">
        <v>158</v>
      </c>
      <c r="B18" t="s">
        <v>363</v>
      </c>
      <c r="C18" t="s">
        <v>364</v>
      </c>
      <c r="D18" t="s">
        <v>492</v>
      </c>
      <c r="E18" t="s">
        <v>8</v>
      </c>
      <c r="F18" t="s">
        <v>90</v>
      </c>
      <c r="G18" t="s">
        <v>91</v>
      </c>
      <c r="H18">
        <v>3</v>
      </c>
      <c r="I18" t="s">
        <v>92</v>
      </c>
      <c r="J18" t="s">
        <v>92</v>
      </c>
      <c r="K18" t="s">
        <v>95</v>
      </c>
      <c r="L18" s="40">
        <v>45211</v>
      </c>
      <c r="M18" s="41">
        <v>0.29166666666666674</v>
      </c>
      <c r="N18" s="41">
        <v>0.3125</v>
      </c>
      <c r="O18">
        <v>4</v>
      </c>
      <c r="Q18" t="s">
        <v>743</v>
      </c>
      <c r="U18" t="s">
        <v>604</v>
      </c>
    </row>
    <row r="19" spans="1:26" hidden="1" x14ac:dyDescent="0.45">
      <c r="A19">
        <v>69</v>
      </c>
      <c r="B19" t="s">
        <v>228</v>
      </c>
      <c r="C19" t="s">
        <v>229</v>
      </c>
      <c r="E19" t="s">
        <v>185</v>
      </c>
      <c r="F19" t="s">
        <v>90</v>
      </c>
      <c r="G19" t="s">
        <v>91</v>
      </c>
      <c r="H19">
        <v>3</v>
      </c>
      <c r="I19" t="s">
        <v>92</v>
      </c>
      <c r="J19" t="s">
        <v>92</v>
      </c>
      <c r="K19" t="s">
        <v>95</v>
      </c>
      <c r="L19" s="40">
        <v>45213</v>
      </c>
      <c r="M19" s="41">
        <v>0.29166666666666674</v>
      </c>
      <c r="N19" s="41">
        <v>0.3125</v>
      </c>
      <c r="O19">
        <v>5</v>
      </c>
      <c r="Q19" t="s">
        <v>670</v>
      </c>
      <c r="U19" t="s">
        <v>551</v>
      </c>
    </row>
    <row r="20" spans="1:26" hidden="1" x14ac:dyDescent="0.45">
      <c r="A20">
        <v>46</v>
      </c>
      <c r="B20" t="s">
        <v>188</v>
      </c>
      <c r="C20" t="s">
        <v>189</v>
      </c>
      <c r="E20" t="s">
        <v>185</v>
      </c>
      <c r="F20" t="s">
        <v>90</v>
      </c>
      <c r="G20" t="s">
        <v>91</v>
      </c>
      <c r="H20">
        <v>3</v>
      </c>
      <c r="I20" t="s">
        <v>92</v>
      </c>
      <c r="J20" t="s">
        <v>92</v>
      </c>
      <c r="K20" t="s">
        <v>95</v>
      </c>
      <c r="L20" s="40">
        <v>45213</v>
      </c>
      <c r="M20" s="41">
        <v>0.29166666666666674</v>
      </c>
      <c r="N20" s="41">
        <v>0.3125</v>
      </c>
      <c r="O20">
        <v>2</v>
      </c>
      <c r="U20" t="s">
        <v>533</v>
      </c>
    </row>
    <row r="21" spans="1:26" hidden="1" x14ac:dyDescent="0.45">
      <c r="A21">
        <v>166</v>
      </c>
      <c r="B21" t="s">
        <v>376</v>
      </c>
      <c r="C21" t="s">
        <v>377</v>
      </c>
      <c r="D21" t="s">
        <v>492</v>
      </c>
      <c r="E21" t="s">
        <v>8</v>
      </c>
      <c r="F21" t="s">
        <v>90</v>
      </c>
      <c r="G21" t="s">
        <v>91</v>
      </c>
      <c r="H21">
        <v>3</v>
      </c>
      <c r="I21" t="s">
        <v>92</v>
      </c>
      <c r="J21" t="s">
        <v>92</v>
      </c>
      <c r="K21" t="s">
        <v>95</v>
      </c>
      <c r="L21" s="40">
        <v>45214</v>
      </c>
      <c r="M21" s="41">
        <v>0.29166666666666674</v>
      </c>
      <c r="N21" s="41">
        <v>0.3125</v>
      </c>
      <c r="O21">
        <v>4</v>
      </c>
      <c r="P21" t="s">
        <v>710</v>
      </c>
      <c r="U21" t="s">
        <v>606</v>
      </c>
    </row>
    <row r="22" spans="1:26" x14ac:dyDescent="0.45">
      <c r="A22">
        <v>113</v>
      </c>
      <c r="B22" t="s">
        <v>294</v>
      </c>
      <c r="C22" t="s">
        <v>122</v>
      </c>
      <c r="D22" t="s">
        <v>492</v>
      </c>
      <c r="E22" t="s">
        <v>262</v>
      </c>
      <c r="F22" t="s">
        <v>90</v>
      </c>
      <c r="G22" t="s">
        <v>138</v>
      </c>
      <c r="H22">
        <v>3</v>
      </c>
      <c r="I22" t="s">
        <v>92</v>
      </c>
      <c r="J22" t="s">
        <v>92</v>
      </c>
      <c r="K22"/>
      <c r="L22" s="40">
        <v>45227</v>
      </c>
      <c r="M22" s="41">
        <v>0.30208333333333326</v>
      </c>
      <c r="N22" s="41">
        <v>0.34375</v>
      </c>
      <c r="O22">
        <v>5</v>
      </c>
      <c r="Q22" t="s">
        <v>670</v>
      </c>
      <c r="R22" t="s">
        <v>731</v>
      </c>
      <c r="U22" t="s">
        <v>575</v>
      </c>
    </row>
    <row r="23" spans="1:26" hidden="1" x14ac:dyDescent="0.45">
      <c r="A23">
        <v>119</v>
      </c>
      <c r="B23" t="s">
        <v>302</v>
      </c>
      <c r="C23" t="s">
        <v>303</v>
      </c>
      <c r="D23" t="s">
        <v>492</v>
      </c>
      <c r="E23" t="s">
        <v>262</v>
      </c>
      <c r="F23" t="s">
        <v>90</v>
      </c>
      <c r="G23" t="s">
        <v>138</v>
      </c>
      <c r="H23">
        <v>3</v>
      </c>
      <c r="I23" t="s">
        <v>92</v>
      </c>
      <c r="J23" t="s">
        <v>92</v>
      </c>
      <c r="K23"/>
      <c r="L23" s="40">
        <v>45222</v>
      </c>
      <c r="M23" s="41">
        <v>0.3125</v>
      </c>
      <c r="N23" s="41">
        <v>0.32291666666666674</v>
      </c>
      <c r="O23">
        <v>1</v>
      </c>
      <c r="P23" t="s">
        <v>742</v>
      </c>
      <c r="Q23" t="s">
        <v>722</v>
      </c>
      <c r="R23" t="s">
        <v>743</v>
      </c>
      <c r="U23" t="s">
        <v>579</v>
      </c>
    </row>
    <row r="24" spans="1:26" hidden="1" x14ac:dyDescent="0.45">
      <c r="A24">
        <v>74</v>
      </c>
      <c r="B24" t="s">
        <v>237</v>
      </c>
      <c r="C24" t="s">
        <v>238</v>
      </c>
      <c r="E24" t="s">
        <v>185</v>
      </c>
      <c r="F24" t="s">
        <v>90</v>
      </c>
      <c r="G24" t="s">
        <v>138</v>
      </c>
      <c r="H24">
        <v>3</v>
      </c>
      <c r="I24" t="s">
        <v>92</v>
      </c>
      <c r="J24" t="s">
        <v>92</v>
      </c>
      <c r="K24"/>
      <c r="L24" s="40">
        <v>45222</v>
      </c>
      <c r="M24" s="41">
        <v>0.3125</v>
      </c>
      <c r="N24" s="41">
        <v>0.32638888888888884</v>
      </c>
      <c r="O24">
        <v>3</v>
      </c>
      <c r="P24" t="s">
        <v>744</v>
      </c>
      <c r="Q24" t="s">
        <v>695</v>
      </c>
      <c r="R24" t="s">
        <v>693</v>
      </c>
      <c r="U24" t="s">
        <v>555</v>
      </c>
    </row>
    <row r="25" spans="1:26" hidden="1" x14ac:dyDescent="0.45">
      <c r="A25">
        <v>169</v>
      </c>
      <c r="B25" t="s">
        <v>382</v>
      </c>
      <c r="C25" t="s">
        <v>383</v>
      </c>
      <c r="E25" t="s">
        <v>8</v>
      </c>
      <c r="F25" t="s">
        <v>90</v>
      </c>
      <c r="G25" t="s">
        <v>138</v>
      </c>
      <c r="H25">
        <v>3</v>
      </c>
      <c r="I25" t="s">
        <v>92</v>
      </c>
      <c r="J25" t="s">
        <v>92</v>
      </c>
      <c r="K25"/>
      <c r="L25" s="40">
        <v>45222</v>
      </c>
      <c r="M25" s="41">
        <v>0.3125</v>
      </c>
      <c r="N25" s="41">
        <v>0.35416666666666674</v>
      </c>
      <c r="O25">
        <v>2</v>
      </c>
      <c r="P25" t="s">
        <v>745</v>
      </c>
      <c r="Q25" t="s">
        <v>746</v>
      </c>
      <c r="R25" t="s">
        <v>724</v>
      </c>
      <c r="U25" t="s">
        <v>609</v>
      </c>
    </row>
    <row r="26" spans="1:26" hidden="1" x14ac:dyDescent="0.45">
      <c r="A26">
        <v>125</v>
      </c>
      <c r="B26" t="s">
        <v>314</v>
      </c>
      <c r="C26" t="s">
        <v>315</v>
      </c>
      <c r="E26" t="s">
        <v>262</v>
      </c>
      <c r="F26" t="s">
        <v>90</v>
      </c>
      <c r="G26" t="s">
        <v>138</v>
      </c>
      <c r="H26">
        <v>3</v>
      </c>
      <c r="I26" t="s">
        <v>92</v>
      </c>
      <c r="J26" t="s">
        <v>92</v>
      </c>
      <c r="K26"/>
      <c r="L26" s="40">
        <v>45223</v>
      </c>
      <c r="M26" s="41">
        <v>0.3125</v>
      </c>
      <c r="N26" s="41">
        <v>0.34375</v>
      </c>
      <c r="O26">
        <v>2</v>
      </c>
      <c r="P26" t="s">
        <v>765</v>
      </c>
      <c r="Q26" t="s">
        <v>660</v>
      </c>
      <c r="R26" t="s">
        <v>730</v>
      </c>
      <c r="U26" t="s">
        <v>585</v>
      </c>
    </row>
    <row r="27" spans="1:26" hidden="1" x14ac:dyDescent="0.45">
      <c r="A27">
        <v>1</v>
      </c>
      <c r="B27" t="s">
        <v>87</v>
      </c>
      <c r="C27" t="s">
        <v>88</v>
      </c>
      <c r="D27" t="s">
        <v>492</v>
      </c>
      <c r="E27" t="s">
        <v>89</v>
      </c>
      <c r="F27" t="s">
        <v>90</v>
      </c>
      <c r="G27" t="s">
        <v>138</v>
      </c>
      <c r="H27">
        <v>3</v>
      </c>
      <c r="I27" t="s">
        <v>92</v>
      </c>
      <c r="J27" t="s">
        <v>92</v>
      </c>
      <c r="K27"/>
      <c r="L27" s="40">
        <v>45223</v>
      </c>
      <c r="M27" s="41">
        <v>0.3125</v>
      </c>
      <c r="N27" s="41">
        <v>0.34375</v>
      </c>
      <c r="O27">
        <v>5</v>
      </c>
      <c r="Q27" t="s">
        <v>728</v>
      </c>
      <c r="R27" t="s">
        <v>731</v>
      </c>
      <c r="U27" t="s">
        <v>497</v>
      </c>
    </row>
    <row r="28" spans="1:26" hidden="1" x14ac:dyDescent="0.45">
      <c r="A28">
        <v>172</v>
      </c>
      <c r="B28" t="s">
        <v>387</v>
      </c>
      <c r="C28" t="s">
        <v>388</v>
      </c>
      <c r="D28" t="s">
        <v>492</v>
      </c>
      <c r="E28" t="s">
        <v>8</v>
      </c>
      <c r="F28" t="s">
        <v>90</v>
      </c>
      <c r="G28" t="s">
        <v>138</v>
      </c>
      <c r="H28">
        <v>3</v>
      </c>
      <c r="I28" t="s">
        <v>92</v>
      </c>
      <c r="J28" t="s">
        <v>92</v>
      </c>
      <c r="K28"/>
      <c r="L28" s="40">
        <v>45223</v>
      </c>
      <c r="M28" s="41">
        <v>0.3125</v>
      </c>
      <c r="N28" s="41">
        <v>45222.354166666664</v>
      </c>
      <c r="O28">
        <v>1</v>
      </c>
      <c r="P28" t="s">
        <v>766</v>
      </c>
      <c r="Q28" t="s">
        <v>743</v>
      </c>
      <c r="R28" t="s">
        <v>691</v>
      </c>
      <c r="U28" t="s">
        <v>611</v>
      </c>
    </row>
    <row r="29" spans="1:26" hidden="1" x14ac:dyDescent="0.45">
      <c r="A29">
        <v>23</v>
      </c>
      <c r="B29" t="s">
        <v>139</v>
      </c>
      <c r="C29" t="s">
        <v>140</v>
      </c>
      <c r="E29" t="s">
        <v>89</v>
      </c>
      <c r="F29" t="s">
        <v>90</v>
      </c>
      <c r="G29" t="s">
        <v>138</v>
      </c>
      <c r="H29">
        <v>3</v>
      </c>
      <c r="I29" t="s">
        <v>92</v>
      </c>
      <c r="J29" t="s">
        <v>92</v>
      </c>
      <c r="K29"/>
      <c r="L29" s="40">
        <v>45224</v>
      </c>
      <c r="M29" s="41">
        <v>0.3125</v>
      </c>
      <c r="N29" s="41">
        <v>0.34722222222222232</v>
      </c>
      <c r="O29">
        <v>3</v>
      </c>
      <c r="P29" t="s">
        <v>779</v>
      </c>
      <c r="Q29" t="s">
        <v>728</v>
      </c>
      <c r="R29" t="s">
        <v>733</v>
      </c>
      <c r="U29" t="s">
        <v>517</v>
      </c>
      <c r="X29" t="s">
        <v>119</v>
      </c>
      <c r="Y29" t="s">
        <v>358</v>
      </c>
      <c r="Z29" t="s">
        <v>209</v>
      </c>
    </row>
    <row r="30" spans="1:26" hidden="1" x14ac:dyDescent="0.45">
      <c r="A30">
        <v>79</v>
      </c>
      <c r="B30" t="s">
        <v>246</v>
      </c>
      <c r="C30" t="s">
        <v>247</v>
      </c>
      <c r="D30" t="s">
        <v>492</v>
      </c>
      <c r="E30" t="s">
        <v>185</v>
      </c>
      <c r="F30" t="s">
        <v>90</v>
      </c>
      <c r="G30" t="s">
        <v>138</v>
      </c>
      <c r="H30">
        <v>3</v>
      </c>
      <c r="I30" t="s">
        <v>92</v>
      </c>
      <c r="J30" t="s">
        <v>92</v>
      </c>
      <c r="K30"/>
      <c r="L30" s="40">
        <v>45224</v>
      </c>
      <c r="M30" s="41">
        <v>0.3125</v>
      </c>
      <c r="N30" s="41">
        <v>0.35069444444444442</v>
      </c>
      <c r="O30">
        <v>2</v>
      </c>
      <c r="P30" t="s">
        <v>780</v>
      </c>
      <c r="Q30" t="s">
        <v>660</v>
      </c>
      <c r="R30" t="s">
        <v>731</v>
      </c>
      <c r="U30" t="s">
        <v>521</v>
      </c>
      <c r="X30" t="s">
        <v>273</v>
      </c>
      <c r="Y30" t="s">
        <v>131</v>
      </c>
      <c r="Z30" t="s">
        <v>289</v>
      </c>
    </row>
    <row r="31" spans="1:26" hidden="1" x14ac:dyDescent="0.45">
      <c r="A31">
        <v>186</v>
      </c>
      <c r="B31" t="s">
        <v>412</v>
      </c>
      <c r="C31" t="s">
        <v>247</v>
      </c>
      <c r="D31" t="s">
        <v>492</v>
      </c>
      <c r="E31" t="s">
        <v>8</v>
      </c>
      <c r="F31" t="s">
        <v>90</v>
      </c>
      <c r="G31" t="s">
        <v>138</v>
      </c>
      <c r="H31">
        <v>3</v>
      </c>
      <c r="I31" t="s">
        <v>92</v>
      </c>
      <c r="J31" t="s">
        <v>92</v>
      </c>
      <c r="K31"/>
      <c r="L31" s="40">
        <v>45224</v>
      </c>
      <c r="M31" s="41">
        <v>0.3125</v>
      </c>
      <c r="N31" s="41">
        <v>0.35416666666666674</v>
      </c>
      <c r="O31">
        <v>1</v>
      </c>
      <c r="Q31" t="s">
        <v>721</v>
      </c>
      <c r="R31" t="s">
        <v>693</v>
      </c>
      <c r="U31" t="s">
        <v>619</v>
      </c>
      <c r="X31" t="s">
        <v>123</v>
      </c>
      <c r="Y31" t="s">
        <v>204</v>
      </c>
      <c r="Z31" t="s">
        <v>359</v>
      </c>
    </row>
    <row r="32" spans="1:26" hidden="1" x14ac:dyDescent="0.45">
      <c r="A32">
        <v>89</v>
      </c>
      <c r="B32" t="s">
        <v>259</v>
      </c>
      <c r="C32" t="s">
        <v>182</v>
      </c>
      <c r="D32" t="s">
        <v>492</v>
      </c>
      <c r="E32" t="s">
        <v>185</v>
      </c>
      <c r="F32" t="s">
        <v>180</v>
      </c>
      <c r="G32" t="s">
        <v>138</v>
      </c>
      <c r="H32">
        <v>3</v>
      </c>
      <c r="I32" t="s">
        <v>177</v>
      </c>
      <c r="J32" t="s">
        <v>177</v>
      </c>
      <c r="K32"/>
      <c r="L32" s="40">
        <v>45225</v>
      </c>
      <c r="M32" s="41">
        <v>0.3125</v>
      </c>
      <c r="N32" s="41">
        <v>0.33680555555555558</v>
      </c>
      <c r="O32">
        <v>1</v>
      </c>
      <c r="P32" t="s">
        <v>785</v>
      </c>
      <c r="Q32" t="s">
        <v>735</v>
      </c>
      <c r="R32" t="s">
        <v>695</v>
      </c>
      <c r="U32" t="s">
        <v>530</v>
      </c>
      <c r="X32" t="s">
        <v>200</v>
      </c>
      <c r="Y32" t="s">
        <v>287</v>
      </c>
      <c r="Z32" t="s">
        <v>211</v>
      </c>
    </row>
    <row r="33" spans="1:26" hidden="1" x14ac:dyDescent="0.45">
      <c r="A33">
        <v>35</v>
      </c>
      <c r="B33" t="s">
        <v>163</v>
      </c>
      <c r="C33" t="s">
        <v>164</v>
      </c>
      <c r="E33" t="s">
        <v>89</v>
      </c>
      <c r="F33" t="s">
        <v>90</v>
      </c>
      <c r="G33" t="s">
        <v>138</v>
      </c>
      <c r="H33">
        <v>3</v>
      </c>
      <c r="I33" t="s">
        <v>92</v>
      </c>
      <c r="J33" t="s">
        <v>92</v>
      </c>
      <c r="K33"/>
      <c r="L33" s="40">
        <v>45225</v>
      </c>
      <c r="M33" s="41">
        <v>0.3125</v>
      </c>
      <c r="N33" s="41">
        <v>0.34722222222222232</v>
      </c>
      <c r="O33">
        <v>3</v>
      </c>
      <c r="Q33" t="s">
        <v>729</v>
      </c>
      <c r="R33" t="s">
        <v>731</v>
      </c>
      <c r="U33" t="s">
        <v>523</v>
      </c>
      <c r="X33" t="s">
        <v>271</v>
      </c>
      <c r="Y33" t="s">
        <v>129</v>
      </c>
      <c r="Z33" t="s">
        <v>353</v>
      </c>
    </row>
    <row r="34" spans="1:26" hidden="1" x14ac:dyDescent="0.45">
      <c r="A34">
        <v>122</v>
      </c>
      <c r="B34" t="s">
        <v>308</v>
      </c>
      <c r="C34" t="s">
        <v>309</v>
      </c>
      <c r="D34" t="s">
        <v>492</v>
      </c>
      <c r="E34" t="s">
        <v>262</v>
      </c>
      <c r="F34" t="s">
        <v>90</v>
      </c>
      <c r="G34" t="s">
        <v>138</v>
      </c>
      <c r="H34">
        <v>2</v>
      </c>
      <c r="I34" t="s">
        <v>92</v>
      </c>
      <c r="J34" t="s">
        <v>92</v>
      </c>
      <c r="K34"/>
      <c r="L34" s="40">
        <v>45225</v>
      </c>
      <c r="M34" s="41">
        <v>0.3125</v>
      </c>
      <c r="N34" s="41">
        <v>0.36458333333333326</v>
      </c>
      <c r="O34">
        <v>5</v>
      </c>
      <c r="Q34" t="s">
        <v>692</v>
      </c>
      <c r="R34" t="s">
        <v>733</v>
      </c>
      <c r="U34" t="s">
        <v>582</v>
      </c>
      <c r="X34" t="s">
        <v>125</v>
      </c>
      <c r="Y34" t="s">
        <v>205</v>
      </c>
      <c r="Z34" t="s">
        <v>279</v>
      </c>
    </row>
    <row r="35" spans="1:26" hidden="1" x14ac:dyDescent="0.45">
      <c r="A35">
        <v>177</v>
      </c>
      <c r="B35" t="s">
        <v>396</v>
      </c>
      <c r="C35" t="s">
        <v>397</v>
      </c>
      <c r="D35" t="s">
        <v>492</v>
      </c>
      <c r="E35" t="s">
        <v>8</v>
      </c>
      <c r="F35" t="s">
        <v>90</v>
      </c>
      <c r="G35" t="s">
        <v>138</v>
      </c>
      <c r="H35">
        <v>3</v>
      </c>
      <c r="I35" t="s">
        <v>92</v>
      </c>
      <c r="J35" t="s">
        <v>92</v>
      </c>
      <c r="K35"/>
      <c r="L35" s="40">
        <v>45225</v>
      </c>
      <c r="M35" s="41">
        <v>0.3125</v>
      </c>
      <c r="N35" s="41">
        <v>0.375</v>
      </c>
      <c r="O35">
        <v>2</v>
      </c>
      <c r="Q35" t="s">
        <v>736</v>
      </c>
      <c r="R35" t="s">
        <v>725</v>
      </c>
      <c r="U35" t="s">
        <v>614</v>
      </c>
      <c r="X35" t="s">
        <v>201</v>
      </c>
      <c r="Y35" t="s">
        <v>277</v>
      </c>
      <c r="Z35" t="s">
        <v>133</v>
      </c>
    </row>
    <row r="36" spans="1:26" x14ac:dyDescent="0.45">
      <c r="A36">
        <v>197</v>
      </c>
      <c r="B36" t="s">
        <v>433</v>
      </c>
      <c r="C36" t="s">
        <v>434</v>
      </c>
      <c r="D36" t="s">
        <v>492</v>
      </c>
      <c r="E36" t="s">
        <v>423</v>
      </c>
      <c r="F36" t="s">
        <v>180</v>
      </c>
      <c r="G36" t="s">
        <v>138</v>
      </c>
      <c r="H36">
        <v>1</v>
      </c>
      <c r="I36" t="s">
        <v>435</v>
      </c>
      <c r="J36" t="s">
        <v>435</v>
      </c>
      <c r="K36"/>
      <c r="L36" s="40">
        <v>45227</v>
      </c>
      <c r="M36" s="41">
        <v>0.3125</v>
      </c>
      <c r="N36" s="41">
        <v>45222.375</v>
      </c>
      <c r="O36">
        <v>2</v>
      </c>
      <c r="U36" t="s">
        <v>629</v>
      </c>
      <c r="X36" t="s">
        <v>275</v>
      </c>
      <c r="Y36" t="s">
        <v>378</v>
      </c>
      <c r="Z36" t="s">
        <v>213</v>
      </c>
    </row>
    <row r="37" spans="1:26" hidden="1" x14ac:dyDescent="0.45">
      <c r="A37">
        <v>120</v>
      </c>
      <c r="B37" t="s">
        <v>304</v>
      </c>
      <c r="C37" t="s">
        <v>305</v>
      </c>
      <c r="E37" t="s">
        <v>262</v>
      </c>
      <c r="F37" t="s">
        <v>90</v>
      </c>
      <c r="G37" t="s">
        <v>138</v>
      </c>
      <c r="H37">
        <v>3</v>
      </c>
      <c r="I37" t="s">
        <v>92</v>
      </c>
      <c r="J37" t="s">
        <v>92</v>
      </c>
      <c r="K37"/>
      <c r="L37" s="40">
        <v>45222</v>
      </c>
      <c r="M37" s="41">
        <v>0.32638888888888884</v>
      </c>
      <c r="N37" s="41">
        <v>0.375</v>
      </c>
      <c r="O37">
        <v>1</v>
      </c>
      <c r="P37" t="s">
        <v>747</v>
      </c>
      <c r="Q37" t="s">
        <v>729</v>
      </c>
      <c r="R37" t="s">
        <v>695</v>
      </c>
      <c r="U37" t="s">
        <v>580</v>
      </c>
      <c r="X37" t="s">
        <v>127</v>
      </c>
      <c r="Y37" t="s">
        <v>285</v>
      </c>
      <c r="Z37" t="s">
        <v>290</v>
      </c>
    </row>
    <row r="38" spans="1:26" hidden="1" x14ac:dyDescent="0.45">
      <c r="A38">
        <v>76</v>
      </c>
      <c r="B38" t="s">
        <v>241</v>
      </c>
      <c r="C38" t="s">
        <v>242</v>
      </c>
      <c r="E38" t="s">
        <v>185</v>
      </c>
      <c r="F38" t="s">
        <v>90</v>
      </c>
      <c r="G38" t="s">
        <v>138</v>
      </c>
      <c r="H38">
        <v>3</v>
      </c>
      <c r="I38" t="s">
        <v>92</v>
      </c>
      <c r="J38" t="s">
        <v>92</v>
      </c>
      <c r="K38"/>
      <c r="L38" s="40">
        <v>45222</v>
      </c>
      <c r="M38" s="41">
        <v>0.33333333333333326</v>
      </c>
      <c r="N38" s="41">
        <v>0.375</v>
      </c>
      <c r="O38">
        <v>3</v>
      </c>
      <c r="Q38" t="s">
        <v>743</v>
      </c>
      <c r="R38" t="s">
        <v>693</v>
      </c>
      <c r="U38" t="s">
        <v>557</v>
      </c>
      <c r="X38" t="s">
        <v>282</v>
      </c>
      <c r="Y38" t="s">
        <v>346</v>
      </c>
      <c r="Z38" t="s">
        <v>354</v>
      </c>
    </row>
    <row r="39" spans="1:26" hidden="1" x14ac:dyDescent="0.45">
      <c r="A39">
        <v>85</v>
      </c>
      <c r="B39" t="s">
        <v>253</v>
      </c>
      <c r="C39" t="s">
        <v>172</v>
      </c>
      <c r="E39" t="s">
        <v>185</v>
      </c>
      <c r="F39" t="s">
        <v>90</v>
      </c>
      <c r="G39" t="s">
        <v>138</v>
      </c>
      <c r="H39">
        <v>3</v>
      </c>
      <c r="I39" t="s">
        <v>92</v>
      </c>
      <c r="J39" t="s">
        <v>92</v>
      </c>
      <c r="K39"/>
      <c r="L39" s="40">
        <v>45225</v>
      </c>
      <c r="M39" s="41">
        <v>0.34027777777777768</v>
      </c>
      <c r="N39" s="41">
        <v>0.375</v>
      </c>
      <c r="O39">
        <v>1</v>
      </c>
      <c r="Q39" t="s">
        <v>735</v>
      </c>
      <c r="R39" t="s">
        <v>691</v>
      </c>
      <c r="U39" t="s">
        <v>526</v>
      </c>
      <c r="X39" t="s">
        <v>203</v>
      </c>
      <c r="Y39" t="s">
        <v>351</v>
      </c>
      <c r="Z39" t="s">
        <v>352</v>
      </c>
    </row>
    <row r="40" spans="1:26" x14ac:dyDescent="0.45">
      <c r="A40">
        <v>100</v>
      </c>
      <c r="B40" t="s">
        <v>281</v>
      </c>
      <c r="C40" t="s">
        <v>105</v>
      </c>
      <c r="D40" t="s">
        <v>492</v>
      </c>
      <c r="E40" t="s">
        <v>262</v>
      </c>
      <c r="F40" t="s">
        <v>90</v>
      </c>
      <c r="G40" t="s">
        <v>138</v>
      </c>
      <c r="H40">
        <v>3</v>
      </c>
      <c r="I40" t="s">
        <v>92</v>
      </c>
      <c r="J40" t="s">
        <v>92</v>
      </c>
      <c r="K40"/>
      <c r="L40" s="40">
        <v>45227</v>
      </c>
      <c r="M40" s="41">
        <v>0.34722222222222232</v>
      </c>
      <c r="N40" s="41">
        <v>0.38194444444444442</v>
      </c>
      <c r="O40">
        <v>5</v>
      </c>
      <c r="Q40" t="s">
        <v>729</v>
      </c>
      <c r="R40" t="s">
        <v>691</v>
      </c>
      <c r="U40" t="s">
        <v>791</v>
      </c>
      <c r="Y40" t="s">
        <v>207</v>
      </c>
      <c r="Z40" t="s">
        <v>291</v>
      </c>
    </row>
    <row r="41" spans="1:26" hidden="1" x14ac:dyDescent="0.45">
      <c r="A41">
        <v>6</v>
      </c>
      <c r="B41" t="s">
        <v>104</v>
      </c>
      <c r="C41" t="s">
        <v>105</v>
      </c>
      <c r="E41" t="s">
        <v>89</v>
      </c>
      <c r="F41" t="s">
        <v>90</v>
      </c>
      <c r="G41" t="s">
        <v>138</v>
      </c>
      <c r="H41">
        <v>3</v>
      </c>
      <c r="I41" t="s">
        <v>92</v>
      </c>
      <c r="J41" t="s">
        <v>92</v>
      </c>
      <c r="K41"/>
      <c r="L41" s="40">
        <v>45223</v>
      </c>
      <c r="M41" s="41">
        <v>0.35069444444444442</v>
      </c>
      <c r="N41" s="41">
        <v>0.375</v>
      </c>
      <c r="O41">
        <v>5</v>
      </c>
      <c r="Q41" t="s">
        <v>729</v>
      </c>
      <c r="R41" t="s">
        <v>721</v>
      </c>
      <c r="U41" t="s">
        <v>501</v>
      </c>
      <c r="Y41" t="s">
        <v>283</v>
      </c>
      <c r="Z41" t="s">
        <v>215</v>
      </c>
    </row>
    <row r="42" spans="1:26" hidden="1" x14ac:dyDescent="0.45">
      <c r="A42">
        <v>25</v>
      </c>
      <c r="B42" t="s">
        <v>143</v>
      </c>
      <c r="C42" t="s">
        <v>144</v>
      </c>
      <c r="E42" t="s">
        <v>89</v>
      </c>
      <c r="F42" t="s">
        <v>90</v>
      </c>
      <c r="G42" t="s">
        <v>138</v>
      </c>
      <c r="H42">
        <v>3</v>
      </c>
      <c r="I42" t="s">
        <v>92</v>
      </c>
      <c r="J42" t="s">
        <v>92</v>
      </c>
      <c r="K42"/>
      <c r="L42" s="40">
        <v>45224</v>
      </c>
      <c r="M42" s="41">
        <v>0.35069444444444442</v>
      </c>
      <c r="N42" s="41">
        <v>0.375</v>
      </c>
      <c r="O42">
        <v>2</v>
      </c>
      <c r="P42" t="s">
        <v>781</v>
      </c>
      <c r="Q42" t="s">
        <v>733</v>
      </c>
      <c r="R42" t="s">
        <v>724</v>
      </c>
      <c r="U42" t="s">
        <v>519</v>
      </c>
    </row>
    <row r="43" spans="1:26" hidden="1" x14ac:dyDescent="0.45">
      <c r="A43">
        <v>83</v>
      </c>
      <c r="B43" t="s">
        <v>251</v>
      </c>
      <c r="C43" t="s">
        <v>166</v>
      </c>
      <c r="D43" t="s">
        <v>492</v>
      </c>
      <c r="E43" t="s">
        <v>185</v>
      </c>
      <c r="F43" t="s">
        <v>90</v>
      </c>
      <c r="G43" t="s">
        <v>138</v>
      </c>
      <c r="H43">
        <v>3</v>
      </c>
      <c r="I43" t="s">
        <v>92</v>
      </c>
      <c r="J43" t="s">
        <v>92</v>
      </c>
      <c r="K43"/>
      <c r="L43" s="40">
        <v>45224</v>
      </c>
      <c r="M43" s="41">
        <v>0.35416666666666674</v>
      </c>
      <c r="N43" s="41">
        <v>0.38541666666666674</v>
      </c>
      <c r="O43">
        <v>3</v>
      </c>
      <c r="Q43" t="s">
        <v>726</v>
      </c>
      <c r="R43" t="s">
        <v>728</v>
      </c>
      <c r="U43" t="s">
        <v>524</v>
      </c>
    </row>
    <row r="44" spans="1:26" hidden="1" x14ac:dyDescent="0.45">
      <c r="A44">
        <v>170</v>
      </c>
      <c r="B44" t="s">
        <v>384</v>
      </c>
      <c r="C44" t="s">
        <v>303</v>
      </c>
      <c r="D44" t="s">
        <v>492</v>
      </c>
      <c r="E44" t="s">
        <v>8</v>
      </c>
      <c r="F44" t="s">
        <v>90</v>
      </c>
      <c r="G44" t="s">
        <v>138</v>
      </c>
      <c r="H44">
        <v>3</v>
      </c>
      <c r="I44" t="s">
        <v>92</v>
      </c>
      <c r="J44" t="s">
        <v>92</v>
      </c>
      <c r="K44"/>
      <c r="L44" s="40">
        <v>45223</v>
      </c>
      <c r="M44" s="41">
        <v>0.35763888888888884</v>
      </c>
      <c r="N44" s="41">
        <v>0.375</v>
      </c>
      <c r="O44">
        <v>1</v>
      </c>
      <c r="P44" t="s">
        <v>767</v>
      </c>
      <c r="Q44" t="s">
        <v>725</v>
      </c>
      <c r="R44" t="s">
        <v>743</v>
      </c>
      <c r="U44" t="s">
        <v>579</v>
      </c>
    </row>
    <row r="45" spans="1:26" hidden="1" x14ac:dyDescent="0.45">
      <c r="A45">
        <v>140</v>
      </c>
      <c r="B45" t="s">
        <v>338</v>
      </c>
      <c r="C45" t="s">
        <v>339</v>
      </c>
      <c r="D45" t="s">
        <v>492</v>
      </c>
      <c r="E45" t="s">
        <v>262</v>
      </c>
      <c r="F45" t="s">
        <v>180</v>
      </c>
      <c r="G45" t="s">
        <v>138</v>
      </c>
      <c r="H45">
        <v>2</v>
      </c>
      <c r="I45" t="s">
        <v>177</v>
      </c>
      <c r="J45" t="s">
        <v>177</v>
      </c>
      <c r="K45"/>
      <c r="L45" s="40">
        <v>45224</v>
      </c>
      <c r="M45" s="41">
        <v>0.35763888888888884</v>
      </c>
      <c r="N45" s="41">
        <v>0.38541666666666674</v>
      </c>
      <c r="O45">
        <v>1</v>
      </c>
      <c r="Q45" t="s">
        <v>722</v>
      </c>
      <c r="R45" t="s">
        <v>721</v>
      </c>
      <c r="U45" t="s">
        <v>596</v>
      </c>
    </row>
    <row r="46" spans="1:26" hidden="1" x14ac:dyDescent="0.45">
      <c r="A46">
        <v>41</v>
      </c>
      <c r="B46" t="s">
        <v>175</v>
      </c>
      <c r="C46" t="s">
        <v>176</v>
      </c>
      <c r="D46" t="s">
        <v>492</v>
      </c>
      <c r="E46" t="s">
        <v>89</v>
      </c>
      <c r="F46" t="s">
        <v>90</v>
      </c>
      <c r="G46" t="s">
        <v>138</v>
      </c>
      <c r="H46">
        <v>2</v>
      </c>
      <c r="I46" t="s">
        <v>177</v>
      </c>
      <c r="J46" t="s">
        <v>177</v>
      </c>
      <c r="K46"/>
      <c r="L46" s="40">
        <v>45222</v>
      </c>
      <c r="M46" s="41">
        <v>0.36458333333333326</v>
      </c>
      <c r="N46" s="41">
        <v>0.37847222222222232</v>
      </c>
      <c r="O46">
        <v>2</v>
      </c>
      <c r="P46" t="s">
        <v>748</v>
      </c>
      <c r="Q46" t="s">
        <v>659</v>
      </c>
      <c r="R46" t="s">
        <v>726</v>
      </c>
      <c r="U46" t="s">
        <v>528</v>
      </c>
    </row>
    <row r="47" spans="1:26" hidden="1" x14ac:dyDescent="0.45">
      <c r="A47">
        <v>1</v>
      </c>
      <c r="B47" t="s">
        <v>717</v>
      </c>
      <c r="C47" t="s">
        <v>711</v>
      </c>
      <c r="E47" t="s">
        <v>423</v>
      </c>
      <c r="F47" t="s">
        <v>180</v>
      </c>
      <c r="G47" t="s">
        <v>138</v>
      </c>
      <c r="H47">
        <v>3</v>
      </c>
      <c r="I47" t="s">
        <v>424</v>
      </c>
      <c r="J47" t="s">
        <v>424</v>
      </c>
      <c r="K47"/>
      <c r="L47" s="40">
        <v>45221</v>
      </c>
      <c r="M47" s="41">
        <v>0.39583333333333326</v>
      </c>
      <c r="N47" s="41">
        <v>0.4375</v>
      </c>
      <c r="O47">
        <v>2</v>
      </c>
      <c r="Q47" t="s">
        <v>718</v>
      </c>
      <c r="R47" t="s">
        <v>719</v>
      </c>
      <c r="U47" t="s">
        <v>740</v>
      </c>
    </row>
    <row r="48" spans="1:26" hidden="1" x14ac:dyDescent="0.45">
      <c r="A48">
        <v>179</v>
      </c>
      <c r="B48" t="s">
        <v>400</v>
      </c>
      <c r="C48" t="s">
        <v>401</v>
      </c>
      <c r="E48" t="s">
        <v>8</v>
      </c>
      <c r="F48" t="s">
        <v>90</v>
      </c>
      <c r="G48" t="s">
        <v>138</v>
      </c>
      <c r="H48">
        <v>2</v>
      </c>
      <c r="I48" t="s">
        <v>103</v>
      </c>
      <c r="J48" t="s">
        <v>103</v>
      </c>
      <c r="K48"/>
      <c r="L48" s="40">
        <v>45222</v>
      </c>
      <c r="M48" s="41">
        <v>0.39583333333333326</v>
      </c>
      <c r="N48" s="41">
        <v>0.4375</v>
      </c>
      <c r="O48">
        <v>2</v>
      </c>
      <c r="Q48" t="s">
        <v>692</v>
      </c>
      <c r="R48" t="s">
        <v>746</v>
      </c>
      <c r="U48" t="s">
        <v>651</v>
      </c>
    </row>
    <row r="49" spans="1:21" hidden="1" x14ac:dyDescent="0.45">
      <c r="A49">
        <v>77</v>
      </c>
      <c r="B49" t="s">
        <v>243</v>
      </c>
      <c r="C49" t="s">
        <v>244</v>
      </c>
      <c r="D49" t="s">
        <v>492</v>
      </c>
      <c r="E49" t="s">
        <v>185</v>
      </c>
      <c r="F49" t="s">
        <v>90</v>
      </c>
      <c r="G49" t="s">
        <v>138</v>
      </c>
      <c r="H49">
        <v>3</v>
      </c>
      <c r="I49" t="s">
        <v>92</v>
      </c>
      <c r="J49" t="s">
        <v>92</v>
      </c>
      <c r="K49"/>
      <c r="L49" s="40">
        <v>45222</v>
      </c>
      <c r="M49" s="41">
        <v>0.39583333333333326</v>
      </c>
      <c r="N49" s="41">
        <v>0.44444444444444442</v>
      </c>
      <c r="O49">
        <v>4</v>
      </c>
      <c r="P49" t="s">
        <v>749</v>
      </c>
      <c r="Q49" t="s">
        <v>670</v>
      </c>
      <c r="R49" t="s">
        <v>721</v>
      </c>
      <c r="U49" t="s">
        <v>558</v>
      </c>
    </row>
    <row r="50" spans="1:21" hidden="1" x14ac:dyDescent="0.45">
      <c r="A50">
        <v>78</v>
      </c>
      <c r="B50" t="s">
        <v>245</v>
      </c>
      <c r="C50" t="s">
        <v>156</v>
      </c>
      <c r="E50" t="s">
        <v>185</v>
      </c>
      <c r="F50" t="s">
        <v>90</v>
      </c>
      <c r="G50" t="s">
        <v>138</v>
      </c>
      <c r="H50">
        <v>3</v>
      </c>
      <c r="I50" t="s">
        <v>92</v>
      </c>
      <c r="J50" t="s">
        <v>92</v>
      </c>
      <c r="K50"/>
      <c r="L50" s="40">
        <v>45223</v>
      </c>
      <c r="M50" s="41">
        <v>0.39583333333333326</v>
      </c>
      <c r="N50" s="41">
        <v>0.4375</v>
      </c>
      <c r="O50">
        <v>1</v>
      </c>
      <c r="P50" t="s">
        <v>768</v>
      </c>
      <c r="Q50" t="s">
        <v>730</v>
      </c>
      <c r="R50" t="s">
        <v>670</v>
      </c>
      <c r="U50" t="s">
        <v>521</v>
      </c>
    </row>
    <row r="51" spans="1:21" hidden="1" x14ac:dyDescent="0.45">
      <c r="A51">
        <v>200</v>
      </c>
      <c r="B51" t="s">
        <v>440</v>
      </c>
      <c r="C51" t="s">
        <v>441</v>
      </c>
      <c r="E51" t="s">
        <v>423</v>
      </c>
      <c r="F51" t="s">
        <v>180</v>
      </c>
      <c r="G51" t="s">
        <v>138</v>
      </c>
      <c r="I51" t="s">
        <v>435</v>
      </c>
      <c r="J51" t="s">
        <v>435</v>
      </c>
      <c r="K51"/>
      <c r="L51" s="40">
        <v>45225</v>
      </c>
      <c r="M51" s="41">
        <v>0.39583333333333326</v>
      </c>
      <c r="N51" s="41">
        <v>0.45833333333333326</v>
      </c>
      <c r="O51">
        <v>1</v>
      </c>
      <c r="Q51" t="s">
        <v>736</v>
      </c>
      <c r="R51" t="s">
        <v>737</v>
      </c>
      <c r="S51" t="s">
        <v>743</v>
      </c>
      <c r="U51" t="s">
        <v>632</v>
      </c>
    </row>
    <row r="52" spans="1:21" hidden="1" x14ac:dyDescent="0.45">
      <c r="A52">
        <v>32</v>
      </c>
      <c r="B52" t="s">
        <v>157</v>
      </c>
      <c r="C52" t="s">
        <v>158</v>
      </c>
      <c r="E52" t="s">
        <v>89</v>
      </c>
      <c r="F52" t="s">
        <v>90</v>
      </c>
      <c r="G52" t="s">
        <v>138</v>
      </c>
      <c r="H52">
        <v>3</v>
      </c>
      <c r="I52" t="s">
        <v>92</v>
      </c>
      <c r="J52" t="s">
        <v>92</v>
      </c>
      <c r="K52"/>
      <c r="L52" s="40">
        <v>45222</v>
      </c>
      <c r="M52" s="41">
        <v>0.40277777777777768</v>
      </c>
      <c r="N52" s="41">
        <v>0.44444444444444442</v>
      </c>
      <c r="O52">
        <v>1</v>
      </c>
      <c r="P52" t="s">
        <v>750</v>
      </c>
      <c r="Q52" t="s">
        <v>727</v>
      </c>
      <c r="R52" t="s">
        <v>660</v>
      </c>
      <c r="U52" t="s">
        <v>522</v>
      </c>
    </row>
    <row r="53" spans="1:21" hidden="1" x14ac:dyDescent="0.45">
      <c r="A53">
        <v>134</v>
      </c>
      <c r="B53" t="s">
        <v>328</v>
      </c>
      <c r="C53" t="s">
        <v>168</v>
      </c>
      <c r="D53" t="s">
        <v>492</v>
      </c>
      <c r="E53" t="s">
        <v>262</v>
      </c>
      <c r="F53" t="s">
        <v>90</v>
      </c>
      <c r="G53" t="s">
        <v>138</v>
      </c>
      <c r="H53">
        <v>3</v>
      </c>
      <c r="I53" t="s">
        <v>92</v>
      </c>
      <c r="J53" t="s">
        <v>92</v>
      </c>
      <c r="K53"/>
      <c r="L53" s="40">
        <v>45222</v>
      </c>
      <c r="M53" s="41">
        <v>0.40277777777777768</v>
      </c>
      <c r="N53" s="41">
        <v>0.44444444444444442</v>
      </c>
      <c r="O53">
        <v>3</v>
      </c>
      <c r="P53" t="s">
        <v>751</v>
      </c>
      <c r="Q53" t="s">
        <v>697</v>
      </c>
      <c r="R53" t="s">
        <v>659</v>
      </c>
      <c r="U53" t="s">
        <v>591</v>
      </c>
    </row>
    <row r="54" spans="1:21" hidden="1" x14ac:dyDescent="0.45">
      <c r="A54">
        <v>123</v>
      </c>
      <c r="B54" t="s">
        <v>310</v>
      </c>
      <c r="C54" t="s">
        <v>311</v>
      </c>
      <c r="D54" t="s">
        <v>492</v>
      </c>
      <c r="E54" t="s">
        <v>262</v>
      </c>
      <c r="F54" t="s">
        <v>90</v>
      </c>
      <c r="G54" t="s">
        <v>138</v>
      </c>
      <c r="H54">
        <v>2</v>
      </c>
      <c r="I54" t="s">
        <v>92</v>
      </c>
      <c r="J54" t="s">
        <v>92</v>
      </c>
      <c r="K54"/>
      <c r="L54" s="40">
        <v>45223</v>
      </c>
      <c r="M54" s="41">
        <v>0.40277777777777768</v>
      </c>
      <c r="N54" s="41">
        <v>0.42361111111111116</v>
      </c>
      <c r="O54">
        <v>2</v>
      </c>
      <c r="P54" t="s">
        <v>769</v>
      </c>
      <c r="Q54" t="s">
        <v>732</v>
      </c>
      <c r="R54" t="s">
        <v>724</v>
      </c>
      <c r="U54" t="s">
        <v>583</v>
      </c>
    </row>
    <row r="55" spans="1:21" hidden="1" x14ac:dyDescent="0.45">
      <c r="A55">
        <v>171</v>
      </c>
      <c r="B55" t="s">
        <v>385</v>
      </c>
      <c r="C55" t="s">
        <v>386</v>
      </c>
      <c r="D55" t="s">
        <v>492</v>
      </c>
      <c r="E55" t="s">
        <v>8</v>
      </c>
      <c r="F55" t="s">
        <v>90</v>
      </c>
      <c r="G55" t="s">
        <v>138</v>
      </c>
      <c r="H55">
        <v>2</v>
      </c>
      <c r="I55" t="s">
        <v>103</v>
      </c>
      <c r="J55" t="s">
        <v>103</v>
      </c>
      <c r="K55"/>
      <c r="L55" s="40">
        <v>45223</v>
      </c>
      <c r="M55" s="41">
        <v>0.40277777777777768</v>
      </c>
      <c r="N55" s="41">
        <v>0.43402777777777768</v>
      </c>
      <c r="O55">
        <v>5</v>
      </c>
      <c r="P55" t="s">
        <v>770</v>
      </c>
      <c r="Q55" t="s">
        <v>695</v>
      </c>
      <c r="R55" t="s">
        <v>733</v>
      </c>
      <c r="U55" t="s">
        <v>610</v>
      </c>
    </row>
    <row r="56" spans="1:21" hidden="1" x14ac:dyDescent="0.45">
      <c r="A56">
        <v>174</v>
      </c>
      <c r="B56" t="s">
        <v>391</v>
      </c>
      <c r="C56" t="s">
        <v>392</v>
      </c>
      <c r="E56" t="s">
        <v>8</v>
      </c>
      <c r="F56" t="s">
        <v>90</v>
      </c>
      <c r="G56" t="s">
        <v>138</v>
      </c>
      <c r="H56">
        <v>3</v>
      </c>
      <c r="I56" t="s">
        <v>92</v>
      </c>
      <c r="J56" t="s">
        <v>92</v>
      </c>
      <c r="K56"/>
      <c r="L56" s="40">
        <v>45224</v>
      </c>
      <c r="M56" s="41">
        <v>0.40277777777777768</v>
      </c>
      <c r="N56" s="41">
        <v>0.44444444444444442</v>
      </c>
      <c r="O56">
        <v>2</v>
      </c>
      <c r="Q56" t="s">
        <v>722</v>
      </c>
      <c r="R56" t="s">
        <v>697</v>
      </c>
      <c r="U56" t="s">
        <v>612</v>
      </c>
    </row>
    <row r="57" spans="1:21" hidden="1" x14ac:dyDescent="0.45">
      <c r="A57">
        <v>27</v>
      </c>
      <c r="B57" t="s">
        <v>147</v>
      </c>
      <c r="C57" t="s">
        <v>148</v>
      </c>
      <c r="E57" t="s">
        <v>89</v>
      </c>
      <c r="F57" t="s">
        <v>90</v>
      </c>
      <c r="G57" t="s">
        <v>138</v>
      </c>
      <c r="H57">
        <v>3</v>
      </c>
      <c r="I57" t="s">
        <v>92</v>
      </c>
      <c r="J57" t="s">
        <v>92</v>
      </c>
      <c r="K57"/>
      <c r="L57" s="40">
        <v>45223</v>
      </c>
      <c r="M57" s="41">
        <v>0.40625</v>
      </c>
      <c r="N57" s="41">
        <v>0.43055555555555558</v>
      </c>
      <c r="O57">
        <v>4</v>
      </c>
      <c r="Q57" t="s">
        <v>728</v>
      </c>
      <c r="R57" t="s">
        <v>731</v>
      </c>
      <c r="U57" t="s">
        <v>520</v>
      </c>
    </row>
    <row r="58" spans="1:21" hidden="1" x14ac:dyDescent="0.45">
      <c r="A58">
        <v>28</v>
      </c>
      <c r="B58" t="s">
        <v>149</v>
      </c>
      <c r="C58" t="s">
        <v>150</v>
      </c>
      <c r="E58" t="s">
        <v>89</v>
      </c>
      <c r="F58" t="s">
        <v>90</v>
      </c>
      <c r="G58" t="s">
        <v>138</v>
      </c>
      <c r="H58">
        <v>3</v>
      </c>
      <c r="I58" t="s">
        <v>92</v>
      </c>
      <c r="J58" t="s">
        <v>92</v>
      </c>
      <c r="K58"/>
      <c r="L58" s="40">
        <v>45224</v>
      </c>
      <c r="M58" s="41">
        <v>0.40625</v>
      </c>
      <c r="N58" s="41">
        <v>0.42708333333333326</v>
      </c>
      <c r="O58">
        <v>4</v>
      </c>
      <c r="Q58" t="s">
        <v>728</v>
      </c>
      <c r="R58" t="s">
        <v>662</v>
      </c>
      <c r="U58" t="s">
        <v>520</v>
      </c>
    </row>
    <row r="59" spans="1:21" x14ac:dyDescent="0.45">
      <c r="A59">
        <v>101</v>
      </c>
      <c r="B59" t="s">
        <v>739</v>
      </c>
      <c r="C59" t="s">
        <v>712</v>
      </c>
      <c r="D59" t="s">
        <v>492</v>
      </c>
      <c r="E59" t="s">
        <v>423</v>
      </c>
      <c r="F59" t="s">
        <v>180</v>
      </c>
      <c r="G59" t="s">
        <v>138</v>
      </c>
      <c r="H59">
        <v>3</v>
      </c>
      <c r="I59" t="s">
        <v>424</v>
      </c>
      <c r="J59" t="s">
        <v>424</v>
      </c>
      <c r="K59"/>
      <c r="L59" s="40">
        <v>45227</v>
      </c>
      <c r="M59" s="41">
        <v>0.41666666666666674</v>
      </c>
      <c r="N59" s="41">
        <v>0.45833333333333326</v>
      </c>
      <c r="O59">
        <v>2</v>
      </c>
      <c r="Q59" t="s">
        <v>718</v>
      </c>
      <c r="R59" t="s">
        <v>719</v>
      </c>
      <c r="U59" t="s">
        <v>740</v>
      </c>
    </row>
    <row r="60" spans="1:21" hidden="1" x14ac:dyDescent="0.45">
      <c r="A60">
        <v>146</v>
      </c>
      <c r="B60" t="s">
        <v>350</v>
      </c>
      <c r="C60" t="s">
        <v>191</v>
      </c>
      <c r="D60" t="s">
        <v>492</v>
      </c>
      <c r="E60" t="s">
        <v>8</v>
      </c>
      <c r="F60" t="s">
        <v>90</v>
      </c>
      <c r="G60" t="s">
        <v>91</v>
      </c>
      <c r="H60">
        <v>2</v>
      </c>
      <c r="I60" t="s">
        <v>92</v>
      </c>
      <c r="J60" t="s">
        <v>92</v>
      </c>
      <c r="K60" t="s">
        <v>95</v>
      </c>
      <c r="L60" s="40">
        <v>45217</v>
      </c>
      <c r="M60" s="41">
        <v>0.42708333333333326</v>
      </c>
      <c r="N60" s="41">
        <v>0.44791666666666674</v>
      </c>
      <c r="O60">
        <v>4</v>
      </c>
      <c r="U60" t="s">
        <v>564</v>
      </c>
    </row>
    <row r="61" spans="1:21" hidden="1" x14ac:dyDescent="0.45">
      <c r="A61">
        <v>135</v>
      </c>
      <c r="B61" t="s">
        <v>329</v>
      </c>
      <c r="C61" t="s">
        <v>330</v>
      </c>
      <c r="D61" t="s">
        <v>492</v>
      </c>
      <c r="E61" t="s">
        <v>262</v>
      </c>
      <c r="F61" t="s">
        <v>90</v>
      </c>
      <c r="G61" t="s">
        <v>138</v>
      </c>
      <c r="H61">
        <v>3</v>
      </c>
      <c r="I61" t="s">
        <v>92</v>
      </c>
      <c r="J61" t="s">
        <v>92</v>
      </c>
      <c r="K61"/>
      <c r="L61" s="40">
        <v>45223</v>
      </c>
      <c r="M61" s="41">
        <v>0.43055555555555558</v>
      </c>
      <c r="N61" s="41">
        <v>0.47222222222222232</v>
      </c>
      <c r="O61">
        <v>6</v>
      </c>
      <c r="P61" t="s">
        <v>771</v>
      </c>
      <c r="Q61" t="s">
        <v>692</v>
      </c>
      <c r="R61" t="s">
        <v>726</v>
      </c>
      <c r="U61" t="s">
        <v>592</v>
      </c>
    </row>
    <row r="62" spans="1:21" hidden="1" x14ac:dyDescent="0.45">
      <c r="A62">
        <v>34</v>
      </c>
      <c r="B62" t="s">
        <v>161</v>
      </c>
      <c r="C62" t="s">
        <v>162</v>
      </c>
      <c r="D62" t="s">
        <v>492</v>
      </c>
      <c r="E62" t="s">
        <v>89</v>
      </c>
      <c r="F62" t="s">
        <v>90</v>
      </c>
      <c r="G62" t="s">
        <v>138</v>
      </c>
      <c r="H62">
        <v>3</v>
      </c>
      <c r="I62" t="s">
        <v>92</v>
      </c>
      <c r="J62" t="s">
        <v>92</v>
      </c>
      <c r="K62"/>
      <c r="L62" s="40">
        <v>45223</v>
      </c>
      <c r="M62" s="41">
        <v>0.4375</v>
      </c>
      <c r="N62" s="41">
        <v>0.47569444444444442</v>
      </c>
      <c r="O62">
        <v>3</v>
      </c>
      <c r="P62" t="s">
        <v>772</v>
      </c>
      <c r="Q62" t="s">
        <v>730</v>
      </c>
      <c r="R62" t="s">
        <v>693</v>
      </c>
      <c r="U62" t="s">
        <v>523</v>
      </c>
    </row>
    <row r="63" spans="1:21" hidden="1" x14ac:dyDescent="0.45">
      <c r="A63">
        <v>175</v>
      </c>
      <c r="B63" t="s">
        <v>393</v>
      </c>
      <c r="C63" t="s">
        <v>394</v>
      </c>
      <c r="E63" t="s">
        <v>8</v>
      </c>
      <c r="F63" t="s">
        <v>90</v>
      </c>
      <c r="G63" t="s">
        <v>138</v>
      </c>
      <c r="H63">
        <v>3</v>
      </c>
      <c r="I63" t="s">
        <v>92</v>
      </c>
      <c r="J63" t="s">
        <v>92</v>
      </c>
      <c r="K63"/>
      <c r="L63" s="40">
        <v>45223</v>
      </c>
      <c r="M63" s="41">
        <v>0.4375</v>
      </c>
      <c r="N63" s="41">
        <v>45222.479166666664</v>
      </c>
      <c r="O63">
        <v>1</v>
      </c>
      <c r="P63" t="s">
        <v>773</v>
      </c>
      <c r="Q63" t="s">
        <v>732</v>
      </c>
      <c r="R63" t="s">
        <v>695</v>
      </c>
      <c r="U63" t="s">
        <v>613</v>
      </c>
    </row>
    <row r="64" spans="1:21" hidden="1" x14ac:dyDescent="0.45">
      <c r="A64">
        <v>111</v>
      </c>
      <c r="B64" t="s">
        <v>292</v>
      </c>
      <c r="C64" t="s">
        <v>214</v>
      </c>
      <c r="E64" t="s">
        <v>262</v>
      </c>
      <c r="F64" t="s">
        <v>90</v>
      </c>
      <c r="G64" t="s">
        <v>91</v>
      </c>
      <c r="H64">
        <v>3</v>
      </c>
      <c r="I64" t="s">
        <v>92</v>
      </c>
      <c r="J64" t="s">
        <v>92</v>
      </c>
      <c r="K64" t="s">
        <v>95</v>
      </c>
      <c r="L64" s="40">
        <v>45217</v>
      </c>
      <c r="M64" s="41">
        <v>0.4375</v>
      </c>
      <c r="N64" s="41">
        <v>0.45833333333333326</v>
      </c>
      <c r="O64">
        <v>3</v>
      </c>
      <c r="U64" t="s">
        <v>545</v>
      </c>
    </row>
    <row r="65" spans="1:21" hidden="1" x14ac:dyDescent="0.45">
      <c r="A65">
        <v>203</v>
      </c>
      <c r="B65" t="s">
        <v>446</v>
      </c>
      <c r="C65" t="s">
        <v>447</v>
      </c>
      <c r="D65" t="s">
        <v>492</v>
      </c>
      <c r="E65" t="s">
        <v>423</v>
      </c>
      <c r="F65" t="s">
        <v>180</v>
      </c>
      <c r="G65" t="s">
        <v>138</v>
      </c>
      <c r="H65">
        <v>5</v>
      </c>
      <c r="I65" t="s">
        <v>435</v>
      </c>
      <c r="J65" t="s">
        <v>435</v>
      </c>
      <c r="K65"/>
      <c r="L65" s="40">
        <v>45224</v>
      </c>
      <c r="M65" s="41">
        <v>0.44444444444444442</v>
      </c>
      <c r="N65" s="41">
        <v>0.51388888888888884</v>
      </c>
      <c r="O65">
        <v>1</v>
      </c>
      <c r="Q65" t="s">
        <v>734</v>
      </c>
      <c r="R65" t="s">
        <v>722</v>
      </c>
      <c r="S65" t="s">
        <v>725</v>
      </c>
      <c r="T65" t="s">
        <v>691</v>
      </c>
      <c r="U65" t="s">
        <v>633</v>
      </c>
    </row>
    <row r="66" spans="1:21" hidden="1" x14ac:dyDescent="0.45">
      <c r="A66">
        <v>82</v>
      </c>
      <c r="B66" t="s">
        <v>250</v>
      </c>
      <c r="C66" t="s">
        <v>164</v>
      </c>
      <c r="D66" t="s">
        <v>492</v>
      </c>
      <c r="E66" t="s">
        <v>185</v>
      </c>
      <c r="F66" t="s">
        <v>90</v>
      </c>
      <c r="G66" t="s">
        <v>138</v>
      </c>
      <c r="H66">
        <v>3</v>
      </c>
      <c r="I66" t="s">
        <v>92</v>
      </c>
      <c r="J66" t="s">
        <v>92</v>
      </c>
      <c r="K66"/>
      <c r="L66" s="40">
        <v>45222</v>
      </c>
      <c r="M66" s="41">
        <v>0.44791666666666674</v>
      </c>
      <c r="N66" s="41">
        <v>0.48958333333333326</v>
      </c>
      <c r="O66">
        <v>3</v>
      </c>
      <c r="P66" t="s">
        <v>752</v>
      </c>
      <c r="Q66" t="s">
        <v>746</v>
      </c>
      <c r="R66" t="s">
        <v>692</v>
      </c>
      <c r="U66" t="s">
        <v>523</v>
      </c>
    </row>
    <row r="67" spans="1:21" hidden="1" x14ac:dyDescent="0.45">
      <c r="A67">
        <v>181</v>
      </c>
      <c r="B67" t="s">
        <v>403</v>
      </c>
      <c r="C67" t="s">
        <v>404</v>
      </c>
      <c r="E67" t="s">
        <v>8</v>
      </c>
      <c r="F67" t="s">
        <v>90</v>
      </c>
      <c r="G67" t="s">
        <v>138</v>
      </c>
      <c r="H67">
        <v>3</v>
      </c>
      <c r="I67" t="s">
        <v>92</v>
      </c>
      <c r="J67" t="s">
        <v>92</v>
      </c>
      <c r="K67"/>
      <c r="L67" s="40">
        <v>45222</v>
      </c>
      <c r="M67" s="41">
        <v>0.45138888888888884</v>
      </c>
      <c r="N67" s="41">
        <v>0.48958333333333326</v>
      </c>
      <c r="O67">
        <v>2</v>
      </c>
      <c r="P67" t="s">
        <v>753</v>
      </c>
      <c r="Q67" t="s">
        <v>693</v>
      </c>
      <c r="R67" t="s">
        <v>659</v>
      </c>
      <c r="U67" t="s">
        <v>586</v>
      </c>
    </row>
    <row r="68" spans="1:21" hidden="1" x14ac:dyDescent="0.45">
      <c r="A68">
        <v>81</v>
      </c>
      <c r="B68" t="s">
        <v>249</v>
      </c>
      <c r="C68" t="s">
        <v>162</v>
      </c>
      <c r="E68" t="s">
        <v>185</v>
      </c>
      <c r="F68" t="s">
        <v>90</v>
      </c>
      <c r="G68" t="s">
        <v>138</v>
      </c>
      <c r="H68">
        <v>3</v>
      </c>
      <c r="I68" t="s">
        <v>92</v>
      </c>
      <c r="J68" t="s">
        <v>92</v>
      </c>
      <c r="K68"/>
      <c r="L68" s="40">
        <v>45223</v>
      </c>
      <c r="M68" s="41">
        <v>0.45138888888888884</v>
      </c>
      <c r="N68" s="41">
        <v>0.48958333333333326</v>
      </c>
      <c r="O68">
        <v>2</v>
      </c>
      <c r="P68" t="s">
        <v>774</v>
      </c>
      <c r="Q68" t="s">
        <v>733</v>
      </c>
      <c r="R68" t="s">
        <v>670</v>
      </c>
      <c r="U68" t="s">
        <v>523</v>
      </c>
    </row>
    <row r="69" spans="1:21" hidden="1" x14ac:dyDescent="0.45">
      <c r="A69">
        <v>31</v>
      </c>
      <c r="B69" t="s">
        <v>155</v>
      </c>
      <c r="C69" t="s">
        <v>156</v>
      </c>
      <c r="D69" t="s">
        <v>492</v>
      </c>
      <c r="E69" t="s">
        <v>89</v>
      </c>
      <c r="F69" t="s">
        <v>90</v>
      </c>
      <c r="G69" t="s">
        <v>138</v>
      </c>
      <c r="H69">
        <v>3</v>
      </c>
      <c r="I69" t="s">
        <v>92</v>
      </c>
      <c r="J69" t="s">
        <v>92</v>
      </c>
      <c r="K69"/>
      <c r="L69" s="40">
        <v>45222</v>
      </c>
      <c r="M69" s="41">
        <v>0.45833333333333326</v>
      </c>
      <c r="N69" s="41">
        <v>0.5</v>
      </c>
      <c r="O69">
        <v>1</v>
      </c>
      <c r="P69" t="s">
        <v>754</v>
      </c>
      <c r="Q69" t="s">
        <v>660</v>
      </c>
      <c r="R69" t="s">
        <v>670</v>
      </c>
      <c r="U69" t="s">
        <v>521</v>
      </c>
    </row>
    <row r="70" spans="1:21" hidden="1" x14ac:dyDescent="0.45">
      <c r="A70">
        <v>162</v>
      </c>
      <c r="B70" t="s">
        <v>371</v>
      </c>
      <c r="C70" t="s">
        <v>372</v>
      </c>
      <c r="E70" t="s">
        <v>8</v>
      </c>
      <c r="F70" t="s">
        <v>90</v>
      </c>
      <c r="G70" t="s">
        <v>91</v>
      </c>
      <c r="H70">
        <v>2</v>
      </c>
      <c r="I70" t="s">
        <v>92</v>
      </c>
      <c r="J70" t="s">
        <v>92</v>
      </c>
      <c r="K70" t="s">
        <v>135</v>
      </c>
      <c r="L70" s="40">
        <v>45217</v>
      </c>
      <c r="M70" s="41">
        <v>0.45833333333333326</v>
      </c>
      <c r="N70" s="41">
        <v>0.5</v>
      </c>
      <c r="O70">
        <v>4</v>
      </c>
      <c r="U70" t="s">
        <v>605</v>
      </c>
    </row>
    <row r="71" spans="1:21" hidden="1" x14ac:dyDescent="0.45">
      <c r="A71">
        <v>199</v>
      </c>
      <c r="B71" t="s">
        <v>438</v>
      </c>
      <c r="C71" t="s">
        <v>439</v>
      </c>
      <c r="E71" t="s">
        <v>423</v>
      </c>
      <c r="F71" t="s">
        <v>180</v>
      </c>
      <c r="G71" t="s">
        <v>138</v>
      </c>
      <c r="H71">
        <v>3</v>
      </c>
      <c r="I71" t="s">
        <v>435</v>
      </c>
      <c r="J71" t="s">
        <v>435</v>
      </c>
      <c r="K71"/>
      <c r="L71" s="40">
        <v>45225</v>
      </c>
      <c r="M71" s="41">
        <v>0.46875</v>
      </c>
      <c r="N71" s="41">
        <v>0.51041666666666674</v>
      </c>
      <c r="O71">
        <v>1</v>
      </c>
      <c r="Q71" t="s">
        <v>736</v>
      </c>
      <c r="R71" t="s">
        <v>735</v>
      </c>
      <c r="S71" t="s">
        <v>743</v>
      </c>
      <c r="U71" t="s">
        <v>631</v>
      </c>
    </row>
    <row r="72" spans="1:21" hidden="1" x14ac:dyDescent="0.45">
      <c r="A72">
        <v>116</v>
      </c>
      <c r="B72" t="s">
        <v>297</v>
      </c>
      <c r="C72" t="s">
        <v>226</v>
      </c>
      <c r="E72" t="s">
        <v>262</v>
      </c>
      <c r="F72" t="s">
        <v>90</v>
      </c>
      <c r="G72" t="s">
        <v>91</v>
      </c>
      <c r="H72">
        <v>3</v>
      </c>
      <c r="I72" t="s">
        <v>92</v>
      </c>
      <c r="J72" t="s">
        <v>92</v>
      </c>
      <c r="K72" t="s">
        <v>95</v>
      </c>
      <c r="L72" s="40">
        <v>45217</v>
      </c>
      <c r="M72" s="41">
        <v>0.46875</v>
      </c>
      <c r="N72" s="41">
        <v>0.48958333333333326</v>
      </c>
      <c r="O72">
        <v>3</v>
      </c>
      <c r="U72" t="s">
        <v>550</v>
      </c>
    </row>
    <row r="73" spans="1:21" hidden="1" x14ac:dyDescent="0.45">
      <c r="A73">
        <v>38</v>
      </c>
      <c r="B73" t="s">
        <v>169</v>
      </c>
      <c r="C73" t="s">
        <v>170</v>
      </c>
      <c r="E73" t="s">
        <v>89</v>
      </c>
      <c r="F73" t="s">
        <v>90</v>
      </c>
      <c r="G73" t="s">
        <v>138</v>
      </c>
      <c r="H73">
        <v>3</v>
      </c>
      <c r="I73" t="s">
        <v>92</v>
      </c>
      <c r="J73" t="s">
        <v>92</v>
      </c>
      <c r="K73"/>
      <c r="L73" s="40">
        <v>45223</v>
      </c>
      <c r="M73" s="41">
        <v>0.48611111111111116</v>
      </c>
      <c r="N73" s="41">
        <v>0.51388888888888884</v>
      </c>
      <c r="O73">
        <v>1</v>
      </c>
      <c r="P73" t="s">
        <v>775</v>
      </c>
      <c r="Q73" t="s">
        <v>724</v>
      </c>
      <c r="R73" t="s">
        <v>726</v>
      </c>
      <c r="U73" t="s">
        <v>525</v>
      </c>
    </row>
    <row r="74" spans="1:21" hidden="1" x14ac:dyDescent="0.45">
      <c r="A74">
        <v>183</v>
      </c>
      <c r="B74" t="s">
        <v>407</v>
      </c>
      <c r="C74" t="s">
        <v>408</v>
      </c>
      <c r="D74" t="s">
        <v>492</v>
      </c>
      <c r="E74" t="s">
        <v>8</v>
      </c>
      <c r="F74" t="s">
        <v>90</v>
      </c>
      <c r="G74" t="s">
        <v>138</v>
      </c>
      <c r="H74">
        <v>1</v>
      </c>
      <c r="I74" t="s">
        <v>103</v>
      </c>
      <c r="J74" t="s">
        <v>103</v>
      </c>
      <c r="K74"/>
      <c r="L74" s="40">
        <v>45222</v>
      </c>
      <c r="M74" s="41">
        <v>0.49305555555555558</v>
      </c>
      <c r="N74" s="41">
        <v>0.51736111111111116</v>
      </c>
      <c r="O74">
        <v>5</v>
      </c>
      <c r="P74" t="s">
        <v>755</v>
      </c>
      <c r="Q74" t="s">
        <v>659</v>
      </c>
      <c r="R74" t="s">
        <v>724</v>
      </c>
      <c r="U74" t="s">
        <v>617</v>
      </c>
    </row>
    <row r="75" spans="1:21" hidden="1" x14ac:dyDescent="0.45">
      <c r="A75">
        <v>138</v>
      </c>
      <c r="B75" t="s">
        <v>334</v>
      </c>
      <c r="C75" t="s">
        <v>335</v>
      </c>
      <c r="E75" t="s">
        <v>262</v>
      </c>
      <c r="F75" t="s">
        <v>180</v>
      </c>
      <c r="G75" t="s">
        <v>138</v>
      </c>
      <c r="H75">
        <v>2</v>
      </c>
      <c r="I75" t="s">
        <v>177</v>
      </c>
      <c r="J75" t="s">
        <v>177</v>
      </c>
      <c r="K75"/>
      <c r="L75" s="40">
        <v>45222</v>
      </c>
      <c r="M75" s="41">
        <v>0.49305555555555558</v>
      </c>
      <c r="N75" s="41">
        <v>0.52083333333333326</v>
      </c>
      <c r="O75">
        <v>4</v>
      </c>
      <c r="P75" t="s">
        <v>756</v>
      </c>
      <c r="Q75" t="s">
        <v>746</v>
      </c>
      <c r="R75" t="s">
        <v>692</v>
      </c>
      <c r="U75" t="s">
        <v>595</v>
      </c>
    </row>
    <row r="76" spans="1:21" hidden="1" x14ac:dyDescent="0.45">
      <c r="A76">
        <v>182</v>
      </c>
      <c r="B76" t="s">
        <v>405</v>
      </c>
      <c r="C76" t="s">
        <v>406</v>
      </c>
      <c r="D76" t="s">
        <v>492</v>
      </c>
      <c r="E76" t="s">
        <v>8</v>
      </c>
      <c r="F76" t="s">
        <v>90</v>
      </c>
      <c r="G76" t="s">
        <v>138</v>
      </c>
      <c r="H76">
        <v>2</v>
      </c>
      <c r="I76" t="s">
        <v>92</v>
      </c>
      <c r="J76" t="s">
        <v>92</v>
      </c>
      <c r="K76"/>
      <c r="L76" s="40">
        <v>45224</v>
      </c>
      <c r="M76" s="41">
        <v>0.54861111111111116</v>
      </c>
      <c r="N76" s="41">
        <v>0.58333333333333326</v>
      </c>
      <c r="O76">
        <v>1</v>
      </c>
      <c r="Q76" t="s">
        <v>733</v>
      </c>
      <c r="R76" t="s">
        <v>722</v>
      </c>
      <c r="U76" t="s">
        <v>616</v>
      </c>
    </row>
    <row r="77" spans="1:21" hidden="1" x14ac:dyDescent="0.45">
      <c r="A77">
        <v>29</v>
      </c>
      <c r="B77" t="s">
        <v>151</v>
      </c>
      <c r="C77" t="s">
        <v>152</v>
      </c>
      <c r="D77" t="s">
        <v>492</v>
      </c>
      <c r="E77" t="s">
        <v>89</v>
      </c>
      <c r="F77" t="s">
        <v>90</v>
      </c>
      <c r="G77" t="s">
        <v>138</v>
      </c>
      <c r="H77">
        <v>3</v>
      </c>
      <c r="I77" t="s">
        <v>92</v>
      </c>
      <c r="J77" t="s">
        <v>92</v>
      </c>
      <c r="K77"/>
      <c r="L77" s="40">
        <v>45224</v>
      </c>
      <c r="M77" s="41">
        <v>0.54861111111111116</v>
      </c>
      <c r="N77" s="41">
        <v>0.58333333333333326</v>
      </c>
      <c r="O77">
        <v>4</v>
      </c>
      <c r="Q77" t="s">
        <v>693</v>
      </c>
      <c r="R77" t="s">
        <v>726</v>
      </c>
      <c r="U77" t="s">
        <v>520</v>
      </c>
    </row>
    <row r="78" spans="1:21" hidden="1" x14ac:dyDescent="0.45">
      <c r="A78">
        <v>124</v>
      </c>
      <c r="B78" t="s">
        <v>312</v>
      </c>
      <c r="C78" t="s">
        <v>313</v>
      </c>
      <c r="D78" t="s">
        <v>492</v>
      </c>
      <c r="E78" t="s">
        <v>262</v>
      </c>
      <c r="F78" t="s">
        <v>90</v>
      </c>
      <c r="G78" t="s">
        <v>138</v>
      </c>
      <c r="H78">
        <v>2</v>
      </c>
      <c r="I78" t="s">
        <v>92</v>
      </c>
      <c r="J78" t="s">
        <v>92</v>
      </c>
      <c r="K78"/>
      <c r="L78" s="40">
        <v>45224</v>
      </c>
      <c r="M78" s="41">
        <v>0.55208333333333326</v>
      </c>
      <c r="N78" s="41">
        <v>0.59375</v>
      </c>
      <c r="O78">
        <v>3</v>
      </c>
      <c r="Q78" t="s">
        <v>724</v>
      </c>
      <c r="R78" t="s">
        <v>692</v>
      </c>
      <c r="U78" t="s">
        <v>584</v>
      </c>
    </row>
    <row r="79" spans="1:21" hidden="1" x14ac:dyDescent="0.45">
      <c r="A79">
        <v>26</v>
      </c>
      <c r="B79" t="s">
        <v>145</v>
      </c>
      <c r="C79" t="s">
        <v>146</v>
      </c>
      <c r="D79" t="s">
        <v>492</v>
      </c>
      <c r="E79" t="s">
        <v>89</v>
      </c>
      <c r="F79" t="s">
        <v>90</v>
      </c>
      <c r="G79" t="s">
        <v>138</v>
      </c>
      <c r="H79">
        <v>3</v>
      </c>
      <c r="I79" t="s">
        <v>92</v>
      </c>
      <c r="J79" t="s">
        <v>92</v>
      </c>
      <c r="K79"/>
      <c r="L79" s="40">
        <v>45222</v>
      </c>
      <c r="M79" s="41">
        <v>0.5625</v>
      </c>
      <c r="N79" s="41">
        <v>0.59375</v>
      </c>
      <c r="O79">
        <v>4</v>
      </c>
      <c r="Q79" t="s">
        <v>670</v>
      </c>
      <c r="R79" t="s">
        <v>728</v>
      </c>
      <c r="U79" t="s">
        <v>520</v>
      </c>
    </row>
    <row r="80" spans="1:21" hidden="1" x14ac:dyDescent="0.45">
      <c r="A80">
        <v>130</v>
      </c>
      <c r="B80" t="s">
        <v>323</v>
      </c>
      <c r="C80" t="s">
        <v>158</v>
      </c>
      <c r="E80" t="s">
        <v>262</v>
      </c>
      <c r="F80" t="s">
        <v>90</v>
      </c>
      <c r="G80" t="s">
        <v>138</v>
      </c>
      <c r="H80">
        <v>3</v>
      </c>
      <c r="I80" t="s">
        <v>92</v>
      </c>
      <c r="J80" t="s">
        <v>92</v>
      </c>
      <c r="K80"/>
      <c r="L80" s="40">
        <v>45222</v>
      </c>
      <c r="M80" s="41">
        <v>0.5625</v>
      </c>
      <c r="N80" s="41">
        <v>0.60416666666666674</v>
      </c>
      <c r="O80">
        <v>1</v>
      </c>
      <c r="P80" t="s">
        <v>757</v>
      </c>
      <c r="Q80" t="s">
        <v>727</v>
      </c>
      <c r="R80" t="s">
        <v>721</v>
      </c>
      <c r="U80" t="s">
        <v>590</v>
      </c>
    </row>
    <row r="81" spans="1:21" hidden="1" x14ac:dyDescent="0.45">
      <c r="A81">
        <v>184</v>
      </c>
      <c r="B81" t="s">
        <v>409</v>
      </c>
      <c r="C81" t="s">
        <v>321</v>
      </c>
      <c r="E81" t="s">
        <v>8</v>
      </c>
      <c r="F81" t="s">
        <v>90</v>
      </c>
      <c r="G81" t="s">
        <v>138</v>
      </c>
      <c r="H81">
        <v>1</v>
      </c>
      <c r="I81" t="s">
        <v>103</v>
      </c>
      <c r="J81" t="s">
        <v>103</v>
      </c>
      <c r="K81"/>
      <c r="L81" s="40">
        <v>45222</v>
      </c>
      <c r="M81" s="41">
        <v>0.5625</v>
      </c>
      <c r="N81" s="41">
        <v>0.60416666666666674</v>
      </c>
      <c r="O81">
        <v>2</v>
      </c>
      <c r="Q81" t="s">
        <v>746</v>
      </c>
      <c r="U81" t="s">
        <v>588</v>
      </c>
    </row>
    <row r="82" spans="1:21" hidden="1" x14ac:dyDescent="0.45">
      <c r="A82">
        <v>180</v>
      </c>
      <c r="B82" t="s">
        <v>402</v>
      </c>
      <c r="C82" t="s">
        <v>315</v>
      </c>
      <c r="E82" t="s">
        <v>8</v>
      </c>
      <c r="F82" t="s">
        <v>90</v>
      </c>
      <c r="G82" t="s">
        <v>138</v>
      </c>
      <c r="H82">
        <v>3</v>
      </c>
      <c r="I82" t="s">
        <v>92</v>
      </c>
      <c r="J82" t="s">
        <v>92</v>
      </c>
      <c r="K82"/>
      <c r="L82" s="40">
        <v>45223</v>
      </c>
      <c r="M82" s="41">
        <v>0.5625</v>
      </c>
      <c r="N82" s="41">
        <v>0.60069444444444442</v>
      </c>
      <c r="O82">
        <v>1</v>
      </c>
      <c r="P82" t="s">
        <v>758</v>
      </c>
      <c r="Q82" t="s">
        <v>730</v>
      </c>
      <c r="R82" t="s">
        <v>660</v>
      </c>
      <c r="U82" t="s">
        <v>585</v>
      </c>
    </row>
    <row r="83" spans="1:21" hidden="1" x14ac:dyDescent="0.45">
      <c r="A83">
        <v>80</v>
      </c>
      <c r="B83" t="s">
        <v>248</v>
      </c>
      <c r="C83" t="s">
        <v>160</v>
      </c>
      <c r="D83" t="s">
        <v>492</v>
      </c>
      <c r="E83" t="s">
        <v>185</v>
      </c>
      <c r="F83" t="s">
        <v>90</v>
      </c>
      <c r="G83" t="s">
        <v>138</v>
      </c>
      <c r="H83">
        <v>3</v>
      </c>
      <c r="I83" t="s">
        <v>92</v>
      </c>
      <c r="J83" t="s">
        <v>92</v>
      </c>
      <c r="K83"/>
      <c r="L83" s="40">
        <v>45224</v>
      </c>
      <c r="M83" s="41">
        <v>0.5625</v>
      </c>
      <c r="N83" s="41">
        <v>0.59375</v>
      </c>
      <c r="O83">
        <v>2</v>
      </c>
      <c r="P83" t="s">
        <v>782</v>
      </c>
      <c r="Q83" t="s">
        <v>734</v>
      </c>
      <c r="R83" t="s">
        <v>660</v>
      </c>
      <c r="U83" t="s">
        <v>521</v>
      </c>
    </row>
    <row r="84" spans="1:21" hidden="1" x14ac:dyDescent="0.45">
      <c r="A84">
        <v>54</v>
      </c>
      <c r="B84" t="s">
        <v>202</v>
      </c>
      <c r="C84" t="s">
        <v>105</v>
      </c>
      <c r="D84" t="s">
        <v>492</v>
      </c>
      <c r="E84" t="s">
        <v>185</v>
      </c>
      <c r="F84" t="s">
        <v>90</v>
      </c>
      <c r="G84" t="s">
        <v>138</v>
      </c>
      <c r="H84">
        <v>3</v>
      </c>
      <c r="I84" t="s">
        <v>92</v>
      </c>
      <c r="J84" t="s">
        <v>92</v>
      </c>
      <c r="K84"/>
      <c r="L84" s="40">
        <v>45225</v>
      </c>
      <c r="M84" s="41">
        <v>0.5625</v>
      </c>
      <c r="N84" s="41">
        <v>0.58333333333333326</v>
      </c>
      <c r="O84">
        <v>5</v>
      </c>
      <c r="Q84" t="s">
        <v>670</v>
      </c>
      <c r="R84" t="s">
        <v>726</v>
      </c>
      <c r="U84" t="s">
        <v>541</v>
      </c>
    </row>
    <row r="85" spans="1:21" hidden="1" x14ac:dyDescent="0.45">
      <c r="A85">
        <v>126</v>
      </c>
      <c r="B85" t="s">
        <v>316</v>
      </c>
      <c r="C85" t="s">
        <v>317</v>
      </c>
      <c r="E85" t="s">
        <v>262</v>
      </c>
      <c r="F85" t="s">
        <v>90</v>
      </c>
      <c r="G85" t="s">
        <v>138</v>
      </c>
      <c r="H85">
        <v>3</v>
      </c>
      <c r="I85" t="s">
        <v>92</v>
      </c>
      <c r="J85" t="s">
        <v>92</v>
      </c>
      <c r="K85"/>
      <c r="L85" s="40">
        <v>45225</v>
      </c>
      <c r="M85" s="41">
        <v>0.5625</v>
      </c>
      <c r="N85" s="41">
        <v>0.60416666666666674</v>
      </c>
      <c r="O85">
        <v>2</v>
      </c>
      <c r="Q85" t="s">
        <v>736</v>
      </c>
      <c r="R85" t="s">
        <v>695</v>
      </c>
      <c r="U85" t="s">
        <v>586</v>
      </c>
    </row>
    <row r="86" spans="1:21" hidden="1" x14ac:dyDescent="0.45">
      <c r="A86">
        <v>37</v>
      </c>
      <c r="B86" t="s">
        <v>167</v>
      </c>
      <c r="C86" t="s">
        <v>168</v>
      </c>
      <c r="D86" t="s">
        <v>492</v>
      </c>
      <c r="E86" t="s">
        <v>89</v>
      </c>
      <c r="F86" t="s">
        <v>90</v>
      </c>
      <c r="G86" t="s">
        <v>138</v>
      </c>
      <c r="H86">
        <v>3</v>
      </c>
      <c r="I86" t="s">
        <v>92</v>
      </c>
      <c r="J86" t="s">
        <v>92</v>
      </c>
      <c r="K86"/>
      <c r="L86" s="40">
        <v>45225</v>
      </c>
      <c r="M86" s="41">
        <v>0.5625</v>
      </c>
      <c r="N86" s="41">
        <v>0.60416666666666674</v>
      </c>
      <c r="O86">
        <v>3</v>
      </c>
      <c r="Q86" t="s">
        <v>728</v>
      </c>
      <c r="R86" t="s">
        <v>697</v>
      </c>
      <c r="U86" t="s">
        <v>523</v>
      </c>
    </row>
    <row r="87" spans="1:21" hidden="1" x14ac:dyDescent="0.45">
      <c r="A87">
        <v>42</v>
      </c>
      <c r="B87" t="s">
        <v>178</v>
      </c>
      <c r="C87" t="s">
        <v>179</v>
      </c>
      <c r="D87" t="s">
        <v>492</v>
      </c>
      <c r="E87" t="s">
        <v>89</v>
      </c>
      <c r="F87" t="s">
        <v>180</v>
      </c>
      <c r="G87" t="s">
        <v>138</v>
      </c>
      <c r="H87">
        <v>6</v>
      </c>
      <c r="I87" t="s">
        <v>177</v>
      </c>
      <c r="J87" t="s">
        <v>177</v>
      </c>
      <c r="K87"/>
      <c r="L87" s="40">
        <v>45225</v>
      </c>
      <c r="M87" s="41">
        <v>0.5625</v>
      </c>
      <c r="N87" s="41">
        <v>45222.604166666664</v>
      </c>
      <c r="O87">
        <v>1</v>
      </c>
      <c r="P87" t="s">
        <v>786</v>
      </c>
      <c r="Q87" t="s">
        <v>737</v>
      </c>
      <c r="R87" t="s">
        <v>735</v>
      </c>
      <c r="U87" t="s">
        <v>529</v>
      </c>
    </row>
    <row r="88" spans="1:21" hidden="1" x14ac:dyDescent="0.45">
      <c r="A88">
        <v>2</v>
      </c>
      <c r="B88" t="s">
        <v>444</v>
      </c>
      <c r="C88" t="s">
        <v>713</v>
      </c>
      <c r="D88" t="s">
        <v>492</v>
      </c>
      <c r="E88" t="s">
        <v>423</v>
      </c>
      <c r="F88" t="s">
        <v>180</v>
      </c>
      <c r="G88" t="s">
        <v>138</v>
      </c>
      <c r="H88">
        <v>3</v>
      </c>
      <c r="I88" t="s">
        <v>424</v>
      </c>
      <c r="J88" t="s">
        <v>424</v>
      </c>
      <c r="K88"/>
      <c r="L88" s="40">
        <v>45221</v>
      </c>
      <c r="M88" s="41">
        <v>0.58333333333333326</v>
      </c>
      <c r="N88" s="41">
        <v>0.625</v>
      </c>
      <c r="O88">
        <v>2</v>
      </c>
      <c r="Q88" t="s">
        <v>718</v>
      </c>
      <c r="R88" t="s">
        <v>719</v>
      </c>
      <c r="U88" t="s">
        <v>740</v>
      </c>
    </row>
    <row r="89" spans="1:21" hidden="1" x14ac:dyDescent="0.45">
      <c r="A89">
        <v>137</v>
      </c>
      <c r="B89" t="s">
        <v>332</v>
      </c>
      <c r="C89" t="s">
        <v>333</v>
      </c>
      <c r="E89" t="s">
        <v>262</v>
      </c>
      <c r="F89" t="s">
        <v>90</v>
      </c>
      <c r="G89" t="s">
        <v>138</v>
      </c>
      <c r="H89">
        <v>3</v>
      </c>
      <c r="I89" t="s">
        <v>92</v>
      </c>
      <c r="J89" t="s">
        <v>92</v>
      </c>
      <c r="K89"/>
      <c r="L89" s="40">
        <v>45223</v>
      </c>
      <c r="M89" s="41">
        <v>0.58333333333333326</v>
      </c>
      <c r="N89" s="41">
        <v>0.625</v>
      </c>
      <c r="O89">
        <v>5</v>
      </c>
      <c r="Q89" t="s">
        <v>725</v>
      </c>
      <c r="R89" t="s">
        <v>697</v>
      </c>
      <c r="U89" t="s">
        <v>594</v>
      </c>
    </row>
    <row r="90" spans="1:21" hidden="1" x14ac:dyDescent="0.45">
      <c r="A90">
        <v>30</v>
      </c>
      <c r="B90" t="s">
        <v>153</v>
      </c>
      <c r="C90" t="s">
        <v>154</v>
      </c>
      <c r="E90" t="s">
        <v>89</v>
      </c>
      <c r="F90" t="s">
        <v>90</v>
      </c>
      <c r="G90" t="s">
        <v>138</v>
      </c>
      <c r="H90">
        <v>3</v>
      </c>
      <c r="I90" t="s">
        <v>92</v>
      </c>
      <c r="J90" t="s">
        <v>92</v>
      </c>
      <c r="K90"/>
      <c r="L90" s="40">
        <v>45224</v>
      </c>
      <c r="M90" s="41">
        <v>0.58333333333333326</v>
      </c>
      <c r="N90" s="41">
        <v>0.61111111111111116</v>
      </c>
      <c r="O90">
        <v>4</v>
      </c>
      <c r="Q90" t="s">
        <v>731</v>
      </c>
      <c r="R90" t="s">
        <v>743</v>
      </c>
      <c r="U90" t="s">
        <v>520</v>
      </c>
    </row>
    <row r="91" spans="1:21" hidden="1" x14ac:dyDescent="0.45">
      <c r="A91">
        <v>63</v>
      </c>
      <c r="B91" t="s">
        <v>218</v>
      </c>
      <c r="C91" t="s">
        <v>122</v>
      </c>
      <c r="D91" t="s">
        <v>492</v>
      </c>
      <c r="E91" t="s">
        <v>185</v>
      </c>
      <c r="F91" t="s">
        <v>90</v>
      </c>
      <c r="G91" t="s">
        <v>138</v>
      </c>
      <c r="H91">
        <v>3</v>
      </c>
      <c r="I91" t="s">
        <v>92</v>
      </c>
      <c r="J91" t="s">
        <v>92</v>
      </c>
      <c r="K91"/>
      <c r="L91" s="40">
        <v>45225</v>
      </c>
      <c r="M91" s="41">
        <v>0.59027777777777768</v>
      </c>
      <c r="N91" s="41">
        <v>0.61111111111111116</v>
      </c>
      <c r="O91">
        <v>5</v>
      </c>
      <c r="Q91" t="s">
        <v>691</v>
      </c>
      <c r="R91" t="s">
        <v>693</v>
      </c>
      <c r="U91" t="s">
        <v>547</v>
      </c>
    </row>
    <row r="92" spans="1:21" hidden="1" x14ac:dyDescent="0.45">
      <c r="A92">
        <v>188</v>
      </c>
      <c r="B92" t="s">
        <v>415</v>
      </c>
      <c r="C92" t="s">
        <v>172</v>
      </c>
      <c r="E92" t="s">
        <v>8</v>
      </c>
      <c r="F92" t="s">
        <v>90</v>
      </c>
      <c r="G92" t="s">
        <v>138</v>
      </c>
      <c r="H92">
        <v>3</v>
      </c>
      <c r="I92" t="s">
        <v>92</v>
      </c>
      <c r="J92" t="s">
        <v>92</v>
      </c>
      <c r="K92"/>
      <c r="L92" s="40">
        <v>45224</v>
      </c>
      <c r="M92" s="41">
        <v>0.59375</v>
      </c>
      <c r="N92" s="41">
        <v>0.63541666666666674</v>
      </c>
      <c r="O92">
        <v>1</v>
      </c>
      <c r="Q92" t="s">
        <v>734</v>
      </c>
      <c r="R92" t="s">
        <v>722</v>
      </c>
      <c r="U92" t="s">
        <v>621</v>
      </c>
    </row>
    <row r="93" spans="1:21" hidden="1" x14ac:dyDescent="0.45">
      <c r="A93">
        <v>86</v>
      </c>
      <c r="B93" t="s">
        <v>254</v>
      </c>
      <c r="C93" t="s">
        <v>255</v>
      </c>
      <c r="D93" t="s">
        <v>492</v>
      </c>
      <c r="E93" t="s">
        <v>185</v>
      </c>
      <c r="F93" t="s">
        <v>90</v>
      </c>
      <c r="G93" t="s">
        <v>138</v>
      </c>
      <c r="H93">
        <v>3</v>
      </c>
      <c r="I93" t="s">
        <v>92</v>
      </c>
      <c r="J93" t="s">
        <v>92</v>
      </c>
      <c r="K93"/>
      <c r="L93" s="40">
        <v>45224</v>
      </c>
      <c r="M93" s="41">
        <v>0.59722222222222232</v>
      </c>
      <c r="N93" s="41">
        <v>0.63888888888888884</v>
      </c>
      <c r="O93">
        <v>5</v>
      </c>
      <c r="Q93" t="s">
        <v>692</v>
      </c>
      <c r="R93" t="s">
        <v>729</v>
      </c>
      <c r="U93" t="s">
        <v>559</v>
      </c>
    </row>
    <row r="94" spans="1:21" hidden="1" x14ac:dyDescent="0.45">
      <c r="A94">
        <v>22</v>
      </c>
      <c r="B94" t="s">
        <v>136</v>
      </c>
      <c r="C94" t="s">
        <v>137</v>
      </c>
      <c r="D94" t="s">
        <v>492</v>
      </c>
      <c r="E94" t="s">
        <v>89</v>
      </c>
      <c r="F94" t="s">
        <v>90</v>
      </c>
      <c r="G94" t="s">
        <v>138</v>
      </c>
      <c r="H94">
        <v>3</v>
      </c>
      <c r="I94" t="s">
        <v>103</v>
      </c>
      <c r="J94" t="s">
        <v>103</v>
      </c>
      <c r="K94"/>
      <c r="L94" s="40">
        <v>45222</v>
      </c>
      <c r="M94" s="41">
        <v>0.60416666666666674</v>
      </c>
      <c r="N94" s="41">
        <v>0.64583333333333326</v>
      </c>
      <c r="O94">
        <v>5</v>
      </c>
      <c r="Q94" t="s">
        <v>724</v>
      </c>
      <c r="U94" t="s">
        <v>516</v>
      </c>
    </row>
    <row r="95" spans="1:21" hidden="1" x14ac:dyDescent="0.45">
      <c r="A95">
        <v>176</v>
      </c>
      <c r="B95" t="s">
        <v>395</v>
      </c>
      <c r="C95" t="s">
        <v>311</v>
      </c>
      <c r="D95" t="s">
        <v>492</v>
      </c>
      <c r="E95" t="s">
        <v>8</v>
      </c>
      <c r="F95" t="s">
        <v>90</v>
      </c>
      <c r="G95" t="s">
        <v>138</v>
      </c>
      <c r="H95">
        <v>3</v>
      </c>
      <c r="I95" t="s">
        <v>92</v>
      </c>
      <c r="J95" t="s">
        <v>92</v>
      </c>
      <c r="K95"/>
      <c r="L95" s="40">
        <v>45223</v>
      </c>
      <c r="M95" s="41">
        <v>0.60416666666666674</v>
      </c>
      <c r="N95" s="41">
        <v>0.64583333333333326</v>
      </c>
      <c r="O95">
        <v>1</v>
      </c>
      <c r="P95" t="s">
        <v>769</v>
      </c>
      <c r="Q95" t="s">
        <v>732</v>
      </c>
      <c r="R95" t="s">
        <v>733</v>
      </c>
      <c r="U95" t="s">
        <v>583</v>
      </c>
    </row>
    <row r="96" spans="1:21" hidden="1" x14ac:dyDescent="0.45">
      <c r="A96">
        <v>198</v>
      </c>
      <c r="B96" t="s">
        <v>436</v>
      </c>
      <c r="C96" t="s">
        <v>437</v>
      </c>
      <c r="E96" t="s">
        <v>423</v>
      </c>
      <c r="F96" t="s">
        <v>180</v>
      </c>
      <c r="G96" t="s">
        <v>138</v>
      </c>
      <c r="H96">
        <v>2</v>
      </c>
      <c r="I96" t="s">
        <v>424</v>
      </c>
      <c r="J96" t="s">
        <v>424</v>
      </c>
      <c r="K96"/>
      <c r="L96" s="40">
        <v>45226</v>
      </c>
      <c r="M96" s="41">
        <v>0.60416666666666674</v>
      </c>
      <c r="N96" s="41">
        <v>0.64583333333333326</v>
      </c>
      <c r="O96">
        <v>2</v>
      </c>
      <c r="Q96" t="s">
        <v>738</v>
      </c>
      <c r="U96" t="s">
        <v>630</v>
      </c>
    </row>
    <row r="97" spans="1:21" hidden="1" x14ac:dyDescent="0.45">
      <c r="A97">
        <v>128</v>
      </c>
      <c r="B97" t="s">
        <v>320</v>
      </c>
      <c r="C97" t="s">
        <v>321</v>
      </c>
      <c r="D97" t="s">
        <v>492</v>
      </c>
      <c r="E97" t="s">
        <v>262</v>
      </c>
      <c r="F97" t="s">
        <v>90</v>
      </c>
      <c r="G97" t="s">
        <v>138</v>
      </c>
      <c r="H97">
        <v>3</v>
      </c>
      <c r="I97" t="s">
        <v>103</v>
      </c>
      <c r="J97" t="s">
        <v>103</v>
      </c>
      <c r="K97"/>
      <c r="L97" s="40">
        <v>45222</v>
      </c>
      <c r="M97" s="41">
        <v>0.61111111111111116</v>
      </c>
      <c r="N97" s="41">
        <v>0.64583333333333326</v>
      </c>
      <c r="O97">
        <v>2</v>
      </c>
      <c r="Q97" t="s">
        <v>746</v>
      </c>
      <c r="U97" t="s">
        <v>588</v>
      </c>
    </row>
    <row r="98" spans="1:21" hidden="1" x14ac:dyDescent="0.45">
      <c r="A98">
        <v>40</v>
      </c>
      <c r="B98" t="s">
        <v>173</v>
      </c>
      <c r="C98" t="s">
        <v>174</v>
      </c>
      <c r="D98" t="s">
        <v>492</v>
      </c>
      <c r="E98" t="s">
        <v>89</v>
      </c>
      <c r="F98" t="s">
        <v>90</v>
      </c>
      <c r="G98" t="s">
        <v>138</v>
      </c>
      <c r="H98">
        <v>3</v>
      </c>
      <c r="I98" t="s">
        <v>92</v>
      </c>
      <c r="J98" t="s">
        <v>92</v>
      </c>
      <c r="K98"/>
      <c r="L98" s="40">
        <v>45225</v>
      </c>
      <c r="M98" s="41">
        <v>0.61111111111111116</v>
      </c>
      <c r="N98" s="41">
        <v>45222.645833333336</v>
      </c>
      <c r="O98">
        <v>5</v>
      </c>
      <c r="Q98" t="s">
        <v>729</v>
      </c>
      <c r="U98" t="s">
        <v>527</v>
      </c>
    </row>
    <row r="99" spans="1:21" hidden="1" x14ac:dyDescent="0.45">
      <c r="A99">
        <v>187</v>
      </c>
      <c r="B99" t="s">
        <v>413</v>
      </c>
      <c r="C99" t="s">
        <v>414</v>
      </c>
      <c r="E99" t="s">
        <v>8</v>
      </c>
      <c r="F99" t="s">
        <v>90</v>
      </c>
      <c r="G99" t="s">
        <v>138</v>
      </c>
      <c r="H99">
        <v>3</v>
      </c>
      <c r="I99" t="s">
        <v>92</v>
      </c>
      <c r="J99" t="s">
        <v>92</v>
      </c>
      <c r="K99"/>
      <c r="L99" s="40">
        <v>45225</v>
      </c>
      <c r="M99" s="41">
        <v>0.61111111111111116</v>
      </c>
      <c r="N99" s="41">
        <v>45222.652777777781</v>
      </c>
      <c r="O99">
        <v>6</v>
      </c>
      <c r="Q99" t="s">
        <v>736</v>
      </c>
      <c r="R99" t="s">
        <v>691</v>
      </c>
      <c r="U99" t="s">
        <v>620</v>
      </c>
    </row>
    <row r="100" spans="1:21" hidden="1" x14ac:dyDescent="0.45">
      <c r="A100">
        <v>178</v>
      </c>
      <c r="B100" t="s">
        <v>398</v>
      </c>
      <c r="C100" t="s">
        <v>399</v>
      </c>
      <c r="E100" t="s">
        <v>8</v>
      </c>
      <c r="F100" t="s">
        <v>90</v>
      </c>
      <c r="G100" t="s">
        <v>138</v>
      </c>
      <c r="H100">
        <v>2</v>
      </c>
      <c r="I100" t="s">
        <v>92</v>
      </c>
      <c r="J100" t="s">
        <v>92</v>
      </c>
      <c r="K100"/>
      <c r="L100" s="40">
        <v>45222</v>
      </c>
      <c r="M100" s="41">
        <v>0.61458333333333326</v>
      </c>
      <c r="N100" s="41">
        <v>0.64583333333333326</v>
      </c>
      <c r="O100">
        <v>1</v>
      </c>
      <c r="P100" t="s">
        <v>758</v>
      </c>
      <c r="Q100" t="s">
        <v>727</v>
      </c>
      <c r="R100" t="s">
        <v>670</v>
      </c>
      <c r="U100" t="s">
        <v>615</v>
      </c>
    </row>
    <row r="101" spans="1:21" hidden="1" x14ac:dyDescent="0.45">
      <c r="A101">
        <v>33</v>
      </c>
      <c r="B101" t="s">
        <v>159</v>
      </c>
      <c r="C101" t="s">
        <v>160</v>
      </c>
      <c r="E101" t="s">
        <v>89</v>
      </c>
      <c r="F101" t="s">
        <v>90</v>
      </c>
      <c r="G101" t="s">
        <v>138</v>
      </c>
      <c r="H101">
        <v>3</v>
      </c>
      <c r="I101" t="s">
        <v>92</v>
      </c>
      <c r="J101" t="s">
        <v>92</v>
      </c>
      <c r="K101"/>
      <c r="L101" s="40">
        <v>45224</v>
      </c>
      <c r="M101" s="41">
        <v>0.61458333333333326</v>
      </c>
      <c r="N101" s="41">
        <v>0.64583333333333326</v>
      </c>
      <c r="O101">
        <v>2</v>
      </c>
      <c r="P101" t="s">
        <v>783</v>
      </c>
      <c r="Q101" t="s">
        <v>660</v>
      </c>
      <c r="R101" t="s">
        <v>721</v>
      </c>
      <c r="U101" t="s">
        <v>521</v>
      </c>
    </row>
    <row r="102" spans="1:21" hidden="1" x14ac:dyDescent="0.45">
      <c r="A102">
        <v>127</v>
      </c>
      <c r="B102" t="s">
        <v>318</v>
      </c>
      <c r="C102" t="s">
        <v>319</v>
      </c>
      <c r="D102" t="s">
        <v>492</v>
      </c>
      <c r="E102" t="s">
        <v>262</v>
      </c>
      <c r="F102" t="s">
        <v>90</v>
      </c>
      <c r="G102" t="s">
        <v>138</v>
      </c>
      <c r="H102">
        <v>3</v>
      </c>
      <c r="I102" t="s">
        <v>92</v>
      </c>
      <c r="J102" t="s">
        <v>92</v>
      </c>
      <c r="K102"/>
      <c r="L102" s="40">
        <v>45225</v>
      </c>
      <c r="M102" s="41">
        <v>0.61458333333333326</v>
      </c>
      <c r="N102" s="41">
        <v>0.64583333333333326</v>
      </c>
      <c r="O102">
        <v>1</v>
      </c>
      <c r="Q102" t="s">
        <v>737</v>
      </c>
      <c r="R102" t="s">
        <v>724</v>
      </c>
      <c r="U102" t="s">
        <v>587</v>
      </c>
    </row>
    <row r="103" spans="1:21" hidden="1" x14ac:dyDescent="0.45">
      <c r="A103">
        <v>11</v>
      </c>
      <c r="B103" t="s">
        <v>113</v>
      </c>
      <c r="C103" t="s">
        <v>114</v>
      </c>
      <c r="E103" t="s">
        <v>89</v>
      </c>
      <c r="F103" t="s">
        <v>90</v>
      </c>
      <c r="G103" t="s">
        <v>91</v>
      </c>
      <c r="H103">
        <v>3</v>
      </c>
      <c r="I103" t="s">
        <v>92</v>
      </c>
      <c r="J103" t="s">
        <v>92</v>
      </c>
      <c r="K103" t="s">
        <v>95</v>
      </c>
      <c r="L103" s="40">
        <v>45206</v>
      </c>
      <c r="M103" s="41">
        <v>0.79166666666666674</v>
      </c>
      <c r="N103" s="41">
        <v>0.8125</v>
      </c>
      <c r="O103">
        <v>5</v>
      </c>
      <c r="P103" t="s">
        <v>503</v>
      </c>
      <c r="U103" t="s">
        <v>504</v>
      </c>
    </row>
    <row r="104" spans="1:21" hidden="1" x14ac:dyDescent="0.45">
      <c r="A104">
        <v>49</v>
      </c>
      <c r="B104" t="s">
        <v>194</v>
      </c>
      <c r="C104" t="s">
        <v>195</v>
      </c>
      <c r="E104" t="s">
        <v>185</v>
      </c>
      <c r="F104" t="s">
        <v>90</v>
      </c>
      <c r="G104" t="s">
        <v>91</v>
      </c>
      <c r="H104">
        <v>3</v>
      </c>
      <c r="I104" t="s">
        <v>92</v>
      </c>
      <c r="J104" t="s">
        <v>92</v>
      </c>
      <c r="K104" t="s">
        <v>95</v>
      </c>
      <c r="L104" s="40">
        <v>45206</v>
      </c>
      <c r="M104" s="41">
        <v>0.79166666666666674</v>
      </c>
      <c r="N104" s="41">
        <v>0.8125</v>
      </c>
      <c r="O104">
        <v>5</v>
      </c>
      <c r="P104" t="s">
        <v>536</v>
      </c>
      <c r="U104" t="s">
        <v>499</v>
      </c>
    </row>
    <row r="105" spans="1:21" hidden="1" x14ac:dyDescent="0.45">
      <c r="A105">
        <v>95</v>
      </c>
      <c r="B105" t="s">
        <v>268</v>
      </c>
      <c r="C105" t="s">
        <v>195</v>
      </c>
      <c r="E105" t="s">
        <v>262</v>
      </c>
      <c r="F105" t="s">
        <v>90</v>
      </c>
      <c r="G105" t="s">
        <v>91</v>
      </c>
      <c r="H105">
        <v>3</v>
      </c>
      <c r="I105" t="s">
        <v>92</v>
      </c>
      <c r="J105" t="s">
        <v>92</v>
      </c>
      <c r="K105" t="s">
        <v>95</v>
      </c>
      <c r="L105" s="40">
        <v>45206</v>
      </c>
      <c r="M105" s="41">
        <v>0.79166666666666674</v>
      </c>
      <c r="N105" s="41">
        <v>0.8125</v>
      </c>
      <c r="O105">
        <v>5</v>
      </c>
      <c r="P105" t="s">
        <v>566</v>
      </c>
      <c r="U105" t="s">
        <v>499</v>
      </c>
    </row>
    <row r="106" spans="1:21" hidden="1" x14ac:dyDescent="0.45">
      <c r="A106">
        <v>16</v>
      </c>
      <c r="B106" t="s">
        <v>123</v>
      </c>
      <c r="C106" t="s">
        <v>124</v>
      </c>
      <c r="D106" t="s">
        <v>492</v>
      </c>
      <c r="E106" t="s">
        <v>89</v>
      </c>
      <c r="F106" t="s">
        <v>90</v>
      </c>
      <c r="G106" t="s">
        <v>91</v>
      </c>
      <c r="H106">
        <v>3</v>
      </c>
      <c r="I106" t="s">
        <v>92</v>
      </c>
      <c r="J106" t="s">
        <v>92</v>
      </c>
      <c r="K106" t="s">
        <v>95</v>
      </c>
      <c r="L106" s="40">
        <v>45207</v>
      </c>
      <c r="M106" s="41">
        <v>0.79166666666666674</v>
      </c>
      <c r="N106" s="41">
        <v>0.8125</v>
      </c>
      <c r="O106">
        <v>5</v>
      </c>
      <c r="P106" t="s">
        <v>645</v>
      </c>
      <c r="U106" t="s">
        <v>510</v>
      </c>
    </row>
    <row r="107" spans="1:21" hidden="1" x14ac:dyDescent="0.45">
      <c r="A107">
        <v>52</v>
      </c>
      <c r="B107" t="s">
        <v>200</v>
      </c>
      <c r="C107" t="s">
        <v>137</v>
      </c>
      <c r="D107" t="s">
        <v>492</v>
      </c>
      <c r="E107" t="s">
        <v>185</v>
      </c>
      <c r="F107" t="s">
        <v>90</v>
      </c>
      <c r="G107" t="s">
        <v>91</v>
      </c>
      <c r="H107">
        <v>3</v>
      </c>
      <c r="I107" t="s">
        <v>103</v>
      </c>
      <c r="J107" t="s">
        <v>103</v>
      </c>
      <c r="K107" t="s">
        <v>100</v>
      </c>
      <c r="L107" s="40">
        <v>45207</v>
      </c>
      <c r="M107" s="41">
        <v>0.79166666666666674</v>
      </c>
      <c r="N107" s="41">
        <v>0.82291666666666674</v>
      </c>
      <c r="O107">
        <v>5</v>
      </c>
      <c r="U107" t="s">
        <v>539</v>
      </c>
    </row>
    <row r="108" spans="1:21" hidden="1" x14ac:dyDescent="0.45">
      <c r="A108">
        <v>98</v>
      </c>
      <c r="B108" t="s">
        <v>271</v>
      </c>
      <c r="C108" t="s">
        <v>272</v>
      </c>
      <c r="D108" t="s">
        <v>492</v>
      </c>
      <c r="E108" t="s">
        <v>262</v>
      </c>
      <c r="F108" t="s">
        <v>90</v>
      </c>
      <c r="G108" t="s">
        <v>91</v>
      </c>
      <c r="H108">
        <v>2</v>
      </c>
      <c r="I108" t="s">
        <v>92</v>
      </c>
      <c r="J108" t="s">
        <v>92</v>
      </c>
      <c r="K108" t="s">
        <v>100</v>
      </c>
      <c r="L108" s="40">
        <v>45207</v>
      </c>
      <c r="M108" s="41">
        <v>0.79166666666666674</v>
      </c>
      <c r="N108" s="41">
        <v>0.82291666666666674</v>
      </c>
      <c r="O108">
        <v>5</v>
      </c>
      <c r="U108" t="s">
        <v>568</v>
      </c>
    </row>
    <row r="109" spans="1:21" hidden="1" x14ac:dyDescent="0.45">
      <c r="A109">
        <v>19</v>
      </c>
      <c r="B109" t="s">
        <v>129</v>
      </c>
      <c r="C109" t="s">
        <v>130</v>
      </c>
      <c r="D109" t="s">
        <v>492</v>
      </c>
      <c r="E109" t="s">
        <v>89</v>
      </c>
      <c r="F109" t="s">
        <v>90</v>
      </c>
      <c r="G109" t="s">
        <v>91</v>
      </c>
      <c r="H109">
        <v>3</v>
      </c>
      <c r="I109" t="s">
        <v>92</v>
      </c>
      <c r="J109" t="s">
        <v>92</v>
      </c>
      <c r="K109" t="s">
        <v>100</v>
      </c>
      <c r="L109" s="40">
        <v>45208</v>
      </c>
      <c r="M109" s="41">
        <v>0.79166666666666674</v>
      </c>
      <c r="N109" s="41">
        <v>0.82291666666666674</v>
      </c>
      <c r="O109">
        <v>5</v>
      </c>
      <c r="U109" t="s">
        <v>513</v>
      </c>
    </row>
    <row r="110" spans="1:21" hidden="1" x14ac:dyDescent="0.45">
      <c r="A110">
        <v>57</v>
      </c>
      <c r="B110" t="s">
        <v>205</v>
      </c>
      <c r="C110" t="s">
        <v>206</v>
      </c>
      <c r="E110" t="s">
        <v>185</v>
      </c>
      <c r="F110" t="s">
        <v>90</v>
      </c>
      <c r="G110" t="s">
        <v>91</v>
      </c>
      <c r="H110">
        <v>2</v>
      </c>
      <c r="I110" t="s">
        <v>92</v>
      </c>
      <c r="J110" t="s">
        <v>92</v>
      </c>
      <c r="K110" t="s">
        <v>135</v>
      </c>
      <c r="L110" s="40">
        <v>45208</v>
      </c>
      <c r="M110" s="41">
        <v>0.79166666666666674</v>
      </c>
      <c r="N110" s="41">
        <v>0.83333333333333326</v>
      </c>
      <c r="O110">
        <v>5</v>
      </c>
      <c r="P110" t="s">
        <v>674</v>
      </c>
      <c r="U110" t="s">
        <v>544</v>
      </c>
    </row>
    <row r="111" spans="1:21" hidden="1" x14ac:dyDescent="0.45">
      <c r="A111">
        <v>101</v>
      </c>
      <c r="B111" t="s">
        <v>277</v>
      </c>
      <c r="C111" t="s">
        <v>278</v>
      </c>
      <c r="E111" t="s">
        <v>262</v>
      </c>
      <c r="F111" t="s">
        <v>90</v>
      </c>
      <c r="G111" t="s">
        <v>91</v>
      </c>
      <c r="H111">
        <v>3</v>
      </c>
      <c r="I111" t="s">
        <v>103</v>
      </c>
      <c r="J111" t="s">
        <v>103</v>
      </c>
      <c r="K111" t="s">
        <v>100</v>
      </c>
      <c r="L111" s="40">
        <v>45208</v>
      </c>
      <c r="M111" s="41">
        <v>0.79166666666666674</v>
      </c>
      <c r="N111" s="41">
        <v>0.82291666666666674</v>
      </c>
      <c r="O111">
        <v>5</v>
      </c>
      <c r="U111" t="s">
        <v>570</v>
      </c>
    </row>
    <row r="112" spans="1:21" hidden="1" x14ac:dyDescent="0.45">
      <c r="A112">
        <v>167</v>
      </c>
      <c r="B112" t="s">
        <v>378</v>
      </c>
      <c r="C112" t="s">
        <v>379</v>
      </c>
      <c r="E112" t="s">
        <v>8</v>
      </c>
      <c r="F112" t="s">
        <v>90</v>
      </c>
      <c r="G112" t="s">
        <v>91</v>
      </c>
      <c r="H112">
        <v>2</v>
      </c>
      <c r="I112" t="s">
        <v>92</v>
      </c>
      <c r="J112" t="s">
        <v>92</v>
      </c>
      <c r="K112" t="s">
        <v>100</v>
      </c>
      <c r="L112" s="40">
        <v>45208</v>
      </c>
      <c r="M112" s="41">
        <v>0.79166666666666674</v>
      </c>
      <c r="N112" s="41">
        <v>0.82291666666666674</v>
      </c>
      <c r="O112">
        <v>5</v>
      </c>
      <c r="U112" t="s">
        <v>607</v>
      </c>
    </row>
    <row r="113" spans="1:21" hidden="1" x14ac:dyDescent="0.45">
      <c r="A113">
        <v>21</v>
      </c>
      <c r="B113" t="s">
        <v>133</v>
      </c>
      <c r="C113" t="s">
        <v>134</v>
      </c>
      <c r="E113" t="s">
        <v>89</v>
      </c>
      <c r="F113" t="s">
        <v>90</v>
      </c>
      <c r="G113" t="s">
        <v>91</v>
      </c>
      <c r="H113">
        <v>2</v>
      </c>
      <c r="I113" t="s">
        <v>92</v>
      </c>
      <c r="J113" t="s">
        <v>92</v>
      </c>
      <c r="K113" t="s">
        <v>135</v>
      </c>
      <c r="L113" s="40">
        <v>45209</v>
      </c>
      <c r="M113" s="41">
        <v>0.79166666666666674</v>
      </c>
      <c r="N113" s="41">
        <v>0.83333333333333326</v>
      </c>
      <c r="O113">
        <v>5</v>
      </c>
      <c r="P113" t="s">
        <v>675</v>
      </c>
      <c r="U113" t="s">
        <v>515</v>
      </c>
    </row>
    <row r="114" spans="1:21" hidden="1" x14ac:dyDescent="0.45">
      <c r="A114">
        <v>60</v>
      </c>
      <c r="B114" t="s">
        <v>211</v>
      </c>
      <c r="C114" t="s">
        <v>212</v>
      </c>
      <c r="D114" t="s">
        <v>492</v>
      </c>
      <c r="E114" t="s">
        <v>185</v>
      </c>
      <c r="F114" t="s">
        <v>90</v>
      </c>
      <c r="G114" t="s">
        <v>91</v>
      </c>
      <c r="H114">
        <v>3</v>
      </c>
      <c r="I114" t="s">
        <v>92</v>
      </c>
      <c r="J114" t="s">
        <v>92</v>
      </c>
      <c r="K114" t="s">
        <v>95</v>
      </c>
      <c r="L114" s="40">
        <v>45209</v>
      </c>
      <c r="M114" s="41">
        <v>0.79166666666666674</v>
      </c>
      <c r="N114" s="41">
        <v>0.8125</v>
      </c>
      <c r="O114">
        <v>5</v>
      </c>
      <c r="P114" t="s">
        <v>668</v>
      </c>
      <c r="U114" t="s">
        <v>545</v>
      </c>
    </row>
    <row r="115" spans="1:21" hidden="1" x14ac:dyDescent="0.45">
      <c r="A115">
        <v>102</v>
      </c>
      <c r="B115" t="s">
        <v>279</v>
      </c>
      <c r="C115" t="s">
        <v>280</v>
      </c>
      <c r="E115" t="s">
        <v>262</v>
      </c>
      <c r="F115" t="s">
        <v>90</v>
      </c>
      <c r="G115" t="s">
        <v>91</v>
      </c>
      <c r="H115">
        <v>3</v>
      </c>
      <c r="I115" t="s">
        <v>103</v>
      </c>
      <c r="J115" t="s">
        <v>103</v>
      </c>
      <c r="K115" t="s">
        <v>100</v>
      </c>
      <c r="L115" s="40">
        <v>45209</v>
      </c>
      <c r="M115" s="41">
        <v>0.79166666666666674</v>
      </c>
      <c r="N115" s="41">
        <v>0.82291666666666674</v>
      </c>
      <c r="O115">
        <v>5</v>
      </c>
      <c r="U115" t="s">
        <v>571</v>
      </c>
    </row>
    <row r="116" spans="1:21" hidden="1" x14ac:dyDescent="0.45">
      <c r="A116">
        <v>149</v>
      </c>
      <c r="B116" t="s">
        <v>353</v>
      </c>
      <c r="C116" t="s">
        <v>199</v>
      </c>
      <c r="E116" t="s">
        <v>8</v>
      </c>
      <c r="F116" t="s">
        <v>90</v>
      </c>
      <c r="G116" t="s">
        <v>91</v>
      </c>
      <c r="H116">
        <v>3</v>
      </c>
      <c r="I116" t="s">
        <v>92</v>
      </c>
      <c r="J116" t="s">
        <v>92</v>
      </c>
      <c r="K116" t="s">
        <v>95</v>
      </c>
      <c r="L116" s="40">
        <v>45209</v>
      </c>
      <c r="M116" s="41">
        <v>0.79166666666666674</v>
      </c>
      <c r="N116" s="41">
        <v>0.8125</v>
      </c>
      <c r="O116">
        <v>5</v>
      </c>
      <c r="P116" t="s">
        <v>669</v>
      </c>
      <c r="U116" t="s">
        <v>499</v>
      </c>
    </row>
    <row r="117" spans="1:21" hidden="1" x14ac:dyDescent="0.45">
      <c r="A117">
        <v>3</v>
      </c>
      <c r="B117" t="s">
        <v>96</v>
      </c>
      <c r="C117" t="s">
        <v>97</v>
      </c>
      <c r="E117" t="s">
        <v>89</v>
      </c>
      <c r="F117" t="s">
        <v>90</v>
      </c>
      <c r="G117" t="s">
        <v>91</v>
      </c>
      <c r="H117">
        <v>3</v>
      </c>
      <c r="I117" t="s">
        <v>92</v>
      </c>
      <c r="J117" t="s">
        <v>92</v>
      </c>
      <c r="K117" t="s">
        <v>95</v>
      </c>
      <c r="L117" s="40">
        <v>45210</v>
      </c>
      <c r="M117" s="41">
        <v>0.79166666666666674</v>
      </c>
      <c r="N117" s="41">
        <v>0.8125</v>
      </c>
      <c r="O117">
        <v>5</v>
      </c>
      <c r="Q117" t="s">
        <v>660</v>
      </c>
      <c r="U117" t="s">
        <v>498</v>
      </c>
    </row>
    <row r="118" spans="1:21" hidden="1" x14ac:dyDescent="0.45">
      <c r="A118">
        <v>65</v>
      </c>
      <c r="B118" t="s">
        <v>221</v>
      </c>
      <c r="C118" t="s">
        <v>222</v>
      </c>
      <c r="D118" t="s">
        <v>492</v>
      </c>
      <c r="E118" t="s">
        <v>185</v>
      </c>
      <c r="F118" t="s">
        <v>90</v>
      </c>
      <c r="G118" t="s">
        <v>91</v>
      </c>
      <c r="H118">
        <v>3</v>
      </c>
      <c r="I118" t="s">
        <v>92</v>
      </c>
      <c r="J118" t="s">
        <v>92</v>
      </c>
      <c r="K118" t="s">
        <v>95</v>
      </c>
      <c r="L118" s="40">
        <v>45210</v>
      </c>
      <c r="M118" s="41">
        <v>0.79166666666666674</v>
      </c>
      <c r="N118" s="41">
        <v>0.8125</v>
      </c>
      <c r="O118">
        <v>5</v>
      </c>
      <c r="Q118" t="s">
        <v>670</v>
      </c>
      <c r="U118" t="s">
        <v>549</v>
      </c>
    </row>
    <row r="119" spans="1:21" hidden="1" x14ac:dyDescent="0.45">
      <c r="A119">
        <v>112</v>
      </c>
      <c r="B119" t="s">
        <v>293</v>
      </c>
      <c r="C119" t="s">
        <v>216</v>
      </c>
      <c r="D119" t="s">
        <v>492</v>
      </c>
      <c r="E119" t="s">
        <v>262</v>
      </c>
      <c r="F119" t="s">
        <v>90</v>
      </c>
      <c r="G119" t="s">
        <v>91</v>
      </c>
      <c r="H119">
        <v>2</v>
      </c>
      <c r="I119" t="s">
        <v>92</v>
      </c>
      <c r="J119" t="s">
        <v>92</v>
      </c>
      <c r="K119" t="s">
        <v>100</v>
      </c>
      <c r="L119" s="40">
        <v>45210</v>
      </c>
      <c r="M119" s="41">
        <v>0.79166666666666674</v>
      </c>
      <c r="N119" s="41">
        <v>0.82291666666666674</v>
      </c>
      <c r="O119">
        <v>5</v>
      </c>
      <c r="P119" t="s">
        <v>678</v>
      </c>
      <c r="U119" t="s">
        <v>574</v>
      </c>
    </row>
    <row r="120" spans="1:21" hidden="1" x14ac:dyDescent="0.45">
      <c r="A120">
        <v>163</v>
      </c>
      <c r="B120" t="s">
        <v>373</v>
      </c>
      <c r="C120" t="s">
        <v>224</v>
      </c>
      <c r="E120" t="s">
        <v>8</v>
      </c>
      <c r="F120" t="s">
        <v>90</v>
      </c>
      <c r="G120" t="s">
        <v>91</v>
      </c>
      <c r="H120">
        <v>3</v>
      </c>
      <c r="I120" t="s">
        <v>92</v>
      </c>
      <c r="J120" t="s">
        <v>92</v>
      </c>
      <c r="K120" t="s">
        <v>95</v>
      </c>
      <c r="L120" s="40">
        <v>45210</v>
      </c>
      <c r="M120" s="41">
        <v>0.79166666666666674</v>
      </c>
      <c r="N120" s="41">
        <v>0.8125</v>
      </c>
      <c r="O120">
        <v>5</v>
      </c>
      <c r="P120" t="s">
        <v>684</v>
      </c>
      <c r="U120" t="s">
        <v>606</v>
      </c>
    </row>
    <row r="121" spans="1:21" hidden="1" x14ac:dyDescent="0.45">
      <c r="A121">
        <v>9</v>
      </c>
      <c r="B121" t="s">
        <v>110</v>
      </c>
      <c r="C121" t="s">
        <v>111</v>
      </c>
      <c r="E121" t="s">
        <v>89</v>
      </c>
      <c r="F121" t="s">
        <v>90</v>
      </c>
      <c r="G121" t="s">
        <v>91</v>
      </c>
      <c r="H121">
        <v>2</v>
      </c>
      <c r="I121" t="s">
        <v>92</v>
      </c>
      <c r="J121" t="s">
        <v>92</v>
      </c>
      <c r="K121" t="s">
        <v>100</v>
      </c>
      <c r="L121" s="40">
        <v>45211</v>
      </c>
      <c r="M121" s="41">
        <v>0.79166666666666674</v>
      </c>
      <c r="N121" s="41">
        <v>0.82291666666666674</v>
      </c>
      <c r="O121">
        <v>5</v>
      </c>
      <c r="P121" t="s">
        <v>689</v>
      </c>
      <c r="U121" t="s">
        <v>496</v>
      </c>
    </row>
    <row r="122" spans="1:21" hidden="1" x14ac:dyDescent="0.45">
      <c r="A122">
        <v>118</v>
      </c>
      <c r="B122" t="s">
        <v>300</v>
      </c>
      <c r="C122" t="s">
        <v>301</v>
      </c>
      <c r="D122" t="s">
        <v>492</v>
      </c>
      <c r="E122" t="s">
        <v>262</v>
      </c>
      <c r="F122" t="s">
        <v>90</v>
      </c>
      <c r="G122" t="s">
        <v>91</v>
      </c>
      <c r="H122">
        <v>3</v>
      </c>
      <c r="I122" t="s">
        <v>92</v>
      </c>
      <c r="J122" t="s">
        <v>92</v>
      </c>
      <c r="K122" t="s">
        <v>100</v>
      </c>
      <c r="L122" s="40">
        <v>45211</v>
      </c>
      <c r="M122" s="41">
        <v>0.79166666666666674</v>
      </c>
      <c r="N122" s="41">
        <v>0.82291666666666674</v>
      </c>
      <c r="O122">
        <v>5</v>
      </c>
      <c r="P122" t="s">
        <v>690</v>
      </c>
      <c r="Q122" t="s">
        <v>691</v>
      </c>
      <c r="U122" t="s">
        <v>578</v>
      </c>
    </row>
    <row r="123" spans="1:21" hidden="1" x14ac:dyDescent="0.45">
      <c r="A123">
        <v>159</v>
      </c>
      <c r="B123" t="s">
        <v>365</v>
      </c>
      <c r="C123" t="s">
        <v>366</v>
      </c>
      <c r="D123" t="s">
        <v>492</v>
      </c>
      <c r="E123" t="s">
        <v>8</v>
      </c>
      <c r="F123" t="s">
        <v>90</v>
      </c>
      <c r="G123" t="s">
        <v>91</v>
      </c>
      <c r="H123">
        <v>3</v>
      </c>
      <c r="I123" t="s">
        <v>92</v>
      </c>
      <c r="J123" t="s">
        <v>92</v>
      </c>
      <c r="K123" t="s">
        <v>95</v>
      </c>
      <c r="L123" s="40">
        <v>45211</v>
      </c>
      <c r="M123" s="41">
        <v>0.79166666666666674</v>
      </c>
      <c r="N123" s="41">
        <v>0.8125</v>
      </c>
      <c r="O123">
        <v>5</v>
      </c>
      <c r="Q123" t="s">
        <v>692</v>
      </c>
      <c r="U123" t="s">
        <v>604</v>
      </c>
    </row>
    <row r="124" spans="1:21" hidden="1" x14ac:dyDescent="0.45">
      <c r="A124">
        <v>73</v>
      </c>
      <c r="B124" t="s">
        <v>236</v>
      </c>
      <c r="C124" t="s">
        <v>132</v>
      </c>
      <c r="D124" t="s">
        <v>492</v>
      </c>
      <c r="E124" t="s">
        <v>185</v>
      </c>
      <c r="F124" t="s">
        <v>90</v>
      </c>
      <c r="G124" t="s">
        <v>91</v>
      </c>
      <c r="H124">
        <v>3</v>
      </c>
      <c r="I124" t="s">
        <v>92</v>
      </c>
      <c r="J124" t="s">
        <v>92</v>
      </c>
      <c r="K124" t="s">
        <v>95</v>
      </c>
      <c r="L124" s="40">
        <v>45212</v>
      </c>
      <c r="M124" s="41">
        <v>0.79166666666666674</v>
      </c>
      <c r="N124" s="41">
        <v>0.8125</v>
      </c>
      <c r="O124">
        <v>5</v>
      </c>
      <c r="U124" t="s">
        <v>554</v>
      </c>
    </row>
    <row r="125" spans="1:21" hidden="1" x14ac:dyDescent="0.45">
      <c r="A125">
        <v>157</v>
      </c>
      <c r="B125" t="s">
        <v>362</v>
      </c>
      <c r="C125" t="s">
        <v>214</v>
      </c>
      <c r="E125" t="s">
        <v>8</v>
      </c>
      <c r="F125" t="s">
        <v>90</v>
      </c>
      <c r="G125" t="s">
        <v>91</v>
      </c>
      <c r="H125">
        <v>3</v>
      </c>
      <c r="I125" t="s">
        <v>92</v>
      </c>
      <c r="J125" t="s">
        <v>92</v>
      </c>
      <c r="K125" t="s">
        <v>95</v>
      </c>
      <c r="L125" s="40">
        <v>45212</v>
      </c>
      <c r="M125" s="41">
        <v>0.79166666666666674</v>
      </c>
      <c r="N125" s="41">
        <v>0.8125</v>
      </c>
      <c r="O125">
        <v>5</v>
      </c>
      <c r="P125" t="s">
        <v>699</v>
      </c>
      <c r="U125" t="s">
        <v>603</v>
      </c>
    </row>
    <row r="126" spans="1:21" hidden="1" x14ac:dyDescent="0.45">
      <c r="A126">
        <v>44</v>
      </c>
      <c r="B126" t="s">
        <v>183</v>
      </c>
      <c r="C126" t="s">
        <v>184</v>
      </c>
      <c r="D126" t="s">
        <v>492</v>
      </c>
      <c r="E126" t="s">
        <v>185</v>
      </c>
      <c r="F126" t="s">
        <v>90</v>
      </c>
      <c r="G126" t="s">
        <v>91</v>
      </c>
      <c r="H126">
        <v>3</v>
      </c>
      <c r="I126" t="s">
        <v>92</v>
      </c>
      <c r="J126" t="s">
        <v>92</v>
      </c>
      <c r="K126" t="s">
        <v>135</v>
      </c>
      <c r="L126" s="40">
        <v>45213</v>
      </c>
      <c r="M126" s="41">
        <v>0.79166666666666674</v>
      </c>
      <c r="N126" s="41">
        <v>0.83333333333333326</v>
      </c>
      <c r="O126">
        <v>5</v>
      </c>
      <c r="P126" t="s">
        <v>698</v>
      </c>
      <c r="U126" t="s">
        <v>531</v>
      </c>
    </row>
    <row r="127" spans="1:21" hidden="1" x14ac:dyDescent="0.45">
      <c r="A127">
        <v>143</v>
      </c>
      <c r="B127" t="s">
        <v>344</v>
      </c>
      <c r="C127" t="s">
        <v>345</v>
      </c>
      <c r="D127" t="s">
        <v>492</v>
      </c>
      <c r="E127" t="s">
        <v>8</v>
      </c>
      <c r="F127" t="s">
        <v>90</v>
      </c>
      <c r="G127" t="s">
        <v>91</v>
      </c>
      <c r="H127">
        <v>3</v>
      </c>
      <c r="I127" t="s">
        <v>92</v>
      </c>
      <c r="J127" t="s">
        <v>92</v>
      </c>
      <c r="K127" t="s">
        <v>100</v>
      </c>
      <c r="L127" s="40">
        <v>45213</v>
      </c>
      <c r="M127" s="41">
        <v>0.79166666666666674</v>
      </c>
      <c r="N127" s="41">
        <v>0.82291666666666674</v>
      </c>
      <c r="O127">
        <v>5</v>
      </c>
      <c r="U127" t="s">
        <v>598</v>
      </c>
    </row>
    <row r="128" spans="1:21" hidden="1" x14ac:dyDescent="0.45">
      <c r="A128">
        <v>5</v>
      </c>
      <c r="B128" t="s">
        <v>101</v>
      </c>
      <c r="C128" t="s">
        <v>102</v>
      </c>
      <c r="E128" t="s">
        <v>89</v>
      </c>
      <c r="F128" t="s">
        <v>90</v>
      </c>
      <c r="G128" t="s">
        <v>91</v>
      </c>
      <c r="H128">
        <v>3</v>
      </c>
      <c r="I128" t="s">
        <v>103</v>
      </c>
      <c r="J128" t="s">
        <v>103</v>
      </c>
      <c r="K128" t="s">
        <v>95</v>
      </c>
      <c r="L128" s="40">
        <v>45214</v>
      </c>
      <c r="M128" s="41">
        <v>0.79166666666666674</v>
      </c>
      <c r="N128" s="41">
        <v>0.8125</v>
      </c>
      <c r="O128">
        <v>5</v>
      </c>
      <c r="U128" t="s">
        <v>500</v>
      </c>
    </row>
    <row r="129" spans="1:21" hidden="1" x14ac:dyDescent="0.45">
      <c r="A129">
        <v>47</v>
      </c>
      <c r="B129" t="s">
        <v>190</v>
      </c>
      <c r="C129" t="s">
        <v>191</v>
      </c>
      <c r="D129" t="s">
        <v>492</v>
      </c>
      <c r="E129" t="s">
        <v>185</v>
      </c>
      <c r="F129" t="s">
        <v>90</v>
      </c>
      <c r="G129" t="s">
        <v>91</v>
      </c>
      <c r="H129">
        <v>2</v>
      </c>
      <c r="I129" t="s">
        <v>92</v>
      </c>
      <c r="J129" t="s">
        <v>92</v>
      </c>
      <c r="K129" t="s">
        <v>95</v>
      </c>
      <c r="L129" s="40">
        <v>45214</v>
      </c>
      <c r="M129" s="41">
        <v>0.79166666666666674</v>
      </c>
      <c r="N129" s="41">
        <v>0.8125</v>
      </c>
      <c r="O129">
        <v>5</v>
      </c>
      <c r="P129" t="s">
        <v>714</v>
      </c>
      <c r="U129" t="s">
        <v>534</v>
      </c>
    </row>
    <row r="130" spans="1:21" hidden="1" x14ac:dyDescent="0.45">
      <c r="A130">
        <v>168</v>
      </c>
      <c r="B130" t="s">
        <v>380</v>
      </c>
      <c r="C130" t="s">
        <v>381</v>
      </c>
      <c r="E130" t="s">
        <v>8</v>
      </c>
      <c r="F130" t="s">
        <v>90</v>
      </c>
      <c r="G130" t="s">
        <v>91</v>
      </c>
      <c r="H130">
        <v>1</v>
      </c>
      <c r="I130" t="s">
        <v>92</v>
      </c>
      <c r="J130" t="s">
        <v>92</v>
      </c>
      <c r="K130" t="s">
        <v>135</v>
      </c>
      <c r="L130" s="40">
        <v>45215</v>
      </c>
      <c r="M130" s="41">
        <v>0.79166666666666674</v>
      </c>
      <c r="N130" s="41">
        <v>0.85416666666666674</v>
      </c>
      <c r="O130">
        <v>5</v>
      </c>
      <c r="U130" t="s">
        <v>608</v>
      </c>
    </row>
    <row r="131" spans="1:21" hidden="1" x14ac:dyDescent="0.45">
      <c r="A131">
        <v>90</v>
      </c>
      <c r="B131" t="s">
        <v>260</v>
      </c>
      <c r="C131" t="s">
        <v>261</v>
      </c>
      <c r="D131" t="s">
        <v>492</v>
      </c>
      <c r="E131" t="s">
        <v>262</v>
      </c>
      <c r="F131" t="s">
        <v>90</v>
      </c>
      <c r="G131" t="s">
        <v>91</v>
      </c>
      <c r="H131">
        <v>2</v>
      </c>
      <c r="I131" t="s">
        <v>92</v>
      </c>
      <c r="J131" t="s">
        <v>92</v>
      </c>
      <c r="K131" t="s">
        <v>100</v>
      </c>
      <c r="L131" s="40">
        <v>45216</v>
      </c>
      <c r="M131" s="41">
        <v>0.79166666666666674</v>
      </c>
      <c r="N131" s="41">
        <v>0.82291666666666674</v>
      </c>
      <c r="O131">
        <v>5</v>
      </c>
      <c r="U131" t="s">
        <v>562</v>
      </c>
    </row>
    <row r="132" spans="1:21" hidden="1" x14ac:dyDescent="0.45">
      <c r="A132">
        <v>91</v>
      </c>
      <c r="B132" t="s">
        <v>263</v>
      </c>
      <c r="C132" t="s">
        <v>187</v>
      </c>
      <c r="D132" t="s">
        <v>492</v>
      </c>
      <c r="E132" t="s">
        <v>262</v>
      </c>
      <c r="F132" t="s">
        <v>90</v>
      </c>
      <c r="G132" t="s">
        <v>91</v>
      </c>
      <c r="H132">
        <v>2</v>
      </c>
      <c r="I132" t="s">
        <v>92</v>
      </c>
      <c r="J132" t="s">
        <v>92</v>
      </c>
      <c r="K132" t="s">
        <v>95</v>
      </c>
      <c r="L132" s="40">
        <v>45212</v>
      </c>
      <c r="M132" s="41">
        <v>0.80208333333333326</v>
      </c>
      <c r="N132" s="41">
        <v>0.82291666666666674</v>
      </c>
      <c r="O132">
        <v>5</v>
      </c>
      <c r="P132" t="s">
        <v>700</v>
      </c>
      <c r="U132" t="s">
        <v>532</v>
      </c>
    </row>
    <row r="133" spans="1:21" hidden="1" x14ac:dyDescent="0.45">
      <c r="A133">
        <v>17</v>
      </c>
      <c r="B133" t="s">
        <v>125</v>
      </c>
      <c r="C133" t="s">
        <v>126</v>
      </c>
      <c r="E133" t="s">
        <v>89</v>
      </c>
      <c r="F133" t="s">
        <v>90</v>
      </c>
      <c r="G133" t="s">
        <v>91</v>
      </c>
      <c r="H133">
        <v>3</v>
      </c>
      <c r="I133" t="s">
        <v>92</v>
      </c>
      <c r="J133" t="s">
        <v>92</v>
      </c>
      <c r="K133" t="s">
        <v>100</v>
      </c>
      <c r="L133" s="40">
        <v>45207</v>
      </c>
      <c r="M133" s="41">
        <v>0.81944444444444442</v>
      </c>
      <c r="N133" s="41">
        <v>0.85069444444444442</v>
      </c>
      <c r="O133">
        <v>5</v>
      </c>
      <c r="U133" t="s">
        <v>511</v>
      </c>
    </row>
    <row r="134" spans="1:21" hidden="1" x14ac:dyDescent="0.45">
      <c r="A134">
        <v>70</v>
      </c>
      <c r="B134" t="s">
        <v>230</v>
      </c>
      <c r="C134" t="s">
        <v>231</v>
      </c>
      <c r="D134" t="s">
        <v>492</v>
      </c>
      <c r="E134" t="s">
        <v>185</v>
      </c>
      <c r="F134" t="s">
        <v>90</v>
      </c>
      <c r="G134" t="s">
        <v>91</v>
      </c>
      <c r="H134">
        <v>3</v>
      </c>
      <c r="I134" t="s">
        <v>103</v>
      </c>
      <c r="J134" t="s">
        <v>103</v>
      </c>
      <c r="K134" t="s">
        <v>100</v>
      </c>
      <c r="L134" s="40">
        <v>45211</v>
      </c>
      <c r="M134" s="41">
        <v>0.81944444444444442</v>
      </c>
      <c r="N134" s="41">
        <v>0.85069444444444442</v>
      </c>
      <c r="O134">
        <v>5</v>
      </c>
      <c r="Q134" t="s">
        <v>693</v>
      </c>
      <c r="U134" t="s">
        <v>552</v>
      </c>
    </row>
    <row r="135" spans="1:21" hidden="1" x14ac:dyDescent="0.45">
      <c r="A135">
        <v>7</v>
      </c>
      <c r="B135" t="s">
        <v>106</v>
      </c>
      <c r="C135" t="s">
        <v>107</v>
      </c>
      <c r="D135" t="s">
        <v>492</v>
      </c>
      <c r="E135" t="s">
        <v>89</v>
      </c>
      <c r="F135" t="s">
        <v>90</v>
      </c>
      <c r="G135" t="s">
        <v>91</v>
      </c>
      <c r="H135">
        <v>3</v>
      </c>
      <c r="I135" t="s">
        <v>103</v>
      </c>
      <c r="J135" t="s">
        <v>103</v>
      </c>
      <c r="K135" t="s">
        <v>95</v>
      </c>
      <c r="L135" s="40">
        <v>45214</v>
      </c>
      <c r="M135" s="41">
        <v>0.81944444444444442</v>
      </c>
      <c r="N135" s="41">
        <v>0.84027777777777768</v>
      </c>
      <c r="O135">
        <v>5</v>
      </c>
      <c r="U135" t="s">
        <v>494</v>
      </c>
    </row>
    <row r="136" spans="1:21" hidden="1" x14ac:dyDescent="0.45">
      <c r="A136">
        <v>12</v>
      </c>
      <c r="B136" t="s">
        <v>115</v>
      </c>
      <c r="C136" t="s">
        <v>116</v>
      </c>
      <c r="D136" t="s">
        <v>492</v>
      </c>
      <c r="E136" t="s">
        <v>89</v>
      </c>
      <c r="F136" t="s">
        <v>90</v>
      </c>
      <c r="G136" t="s">
        <v>91</v>
      </c>
      <c r="H136">
        <v>2</v>
      </c>
      <c r="I136" t="s">
        <v>92</v>
      </c>
      <c r="J136" t="s">
        <v>92</v>
      </c>
      <c r="K136" t="s">
        <v>100</v>
      </c>
      <c r="L136" s="40">
        <v>45206</v>
      </c>
      <c r="M136" s="41">
        <v>0.82291666666666674</v>
      </c>
      <c r="N136" s="41">
        <v>0.85416666666666674</v>
      </c>
      <c r="O136">
        <v>5</v>
      </c>
      <c r="U136" t="s">
        <v>505</v>
      </c>
    </row>
    <row r="137" spans="1:21" hidden="1" x14ac:dyDescent="0.45">
      <c r="A137">
        <v>50</v>
      </c>
      <c r="B137" t="s">
        <v>196</v>
      </c>
      <c r="C137" t="s">
        <v>197</v>
      </c>
      <c r="E137" t="s">
        <v>185</v>
      </c>
      <c r="F137" t="s">
        <v>90</v>
      </c>
      <c r="G137" t="s">
        <v>91</v>
      </c>
      <c r="H137">
        <v>3</v>
      </c>
      <c r="I137" t="s">
        <v>92</v>
      </c>
      <c r="J137" t="s">
        <v>92</v>
      </c>
      <c r="K137" t="s">
        <v>95</v>
      </c>
      <c r="L137" s="40">
        <v>45206</v>
      </c>
      <c r="M137" s="41">
        <v>0.82291666666666674</v>
      </c>
      <c r="N137" s="41">
        <v>0.84375</v>
      </c>
      <c r="O137">
        <v>5</v>
      </c>
      <c r="P137" t="s">
        <v>537</v>
      </c>
      <c r="U137" t="s">
        <v>499</v>
      </c>
    </row>
    <row r="138" spans="1:21" hidden="1" x14ac:dyDescent="0.45">
      <c r="A138">
        <v>96</v>
      </c>
      <c r="B138" t="s">
        <v>269</v>
      </c>
      <c r="C138" t="s">
        <v>197</v>
      </c>
      <c r="D138" t="s">
        <v>492</v>
      </c>
      <c r="E138" t="s">
        <v>262</v>
      </c>
      <c r="F138" t="s">
        <v>90</v>
      </c>
      <c r="G138" t="s">
        <v>91</v>
      </c>
      <c r="H138">
        <v>3</v>
      </c>
      <c r="I138" t="s">
        <v>92</v>
      </c>
      <c r="J138" t="s">
        <v>92</v>
      </c>
      <c r="K138" t="s">
        <v>95</v>
      </c>
      <c r="L138" s="40">
        <v>45206</v>
      </c>
      <c r="M138" s="41">
        <v>0.82291666666666674</v>
      </c>
      <c r="N138" s="41">
        <v>0.84375</v>
      </c>
      <c r="O138">
        <v>5</v>
      </c>
      <c r="P138" t="s">
        <v>567</v>
      </c>
      <c r="U138" t="s">
        <v>499</v>
      </c>
    </row>
    <row r="139" spans="1:21" hidden="1" x14ac:dyDescent="0.45">
      <c r="A139">
        <v>61</v>
      </c>
      <c r="B139" t="s">
        <v>213</v>
      </c>
      <c r="C139" t="s">
        <v>214</v>
      </c>
      <c r="E139" t="s">
        <v>185</v>
      </c>
      <c r="F139" t="s">
        <v>90</v>
      </c>
      <c r="G139" t="s">
        <v>91</v>
      </c>
      <c r="H139">
        <v>3</v>
      </c>
      <c r="I139" t="s">
        <v>92</v>
      </c>
      <c r="J139" t="s">
        <v>92</v>
      </c>
      <c r="K139" t="s">
        <v>95</v>
      </c>
      <c r="L139" s="40">
        <v>45209</v>
      </c>
      <c r="M139" s="41">
        <v>0.82291666666666674</v>
      </c>
      <c r="N139" s="41">
        <v>0.84375</v>
      </c>
      <c r="O139">
        <v>5</v>
      </c>
      <c r="P139" t="s">
        <v>676</v>
      </c>
      <c r="U139" t="s">
        <v>545</v>
      </c>
    </row>
    <row r="140" spans="1:21" hidden="1" x14ac:dyDescent="0.45">
      <c r="A140">
        <v>8</v>
      </c>
      <c r="B140" t="s">
        <v>108</v>
      </c>
      <c r="C140" t="s">
        <v>109</v>
      </c>
      <c r="D140" t="s">
        <v>492</v>
      </c>
      <c r="E140" t="s">
        <v>89</v>
      </c>
      <c r="F140" t="s">
        <v>90</v>
      </c>
      <c r="G140" t="s">
        <v>91</v>
      </c>
      <c r="H140">
        <v>3</v>
      </c>
      <c r="I140" t="s">
        <v>92</v>
      </c>
      <c r="J140" t="s">
        <v>92</v>
      </c>
      <c r="K140" t="s">
        <v>95</v>
      </c>
      <c r="L140" s="40">
        <v>45210</v>
      </c>
      <c r="M140" s="41">
        <v>0.82291666666666674</v>
      </c>
      <c r="N140" s="41">
        <v>0.85416666666666674</v>
      </c>
      <c r="O140">
        <v>5</v>
      </c>
      <c r="Q140" t="s">
        <v>662</v>
      </c>
      <c r="U140" t="s">
        <v>495</v>
      </c>
    </row>
    <row r="141" spans="1:21" hidden="1" x14ac:dyDescent="0.45">
      <c r="A141">
        <v>66</v>
      </c>
      <c r="B141" t="s">
        <v>223</v>
      </c>
      <c r="C141" t="s">
        <v>224</v>
      </c>
      <c r="E141" t="s">
        <v>185</v>
      </c>
      <c r="F141" t="s">
        <v>90</v>
      </c>
      <c r="G141" t="s">
        <v>91</v>
      </c>
      <c r="H141">
        <v>3</v>
      </c>
      <c r="I141" t="s">
        <v>92</v>
      </c>
      <c r="J141" t="s">
        <v>92</v>
      </c>
      <c r="K141" t="s">
        <v>95</v>
      </c>
      <c r="L141" s="40">
        <v>45210</v>
      </c>
      <c r="M141" s="41">
        <v>0.82291666666666674</v>
      </c>
      <c r="N141" s="41">
        <v>0.84375</v>
      </c>
      <c r="O141">
        <v>5</v>
      </c>
      <c r="P141" t="s">
        <v>671</v>
      </c>
      <c r="U141" t="s">
        <v>550</v>
      </c>
    </row>
    <row r="142" spans="1:21" hidden="1" x14ac:dyDescent="0.45">
      <c r="A142">
        <v>72</v>
      </c>
      <c r="B142" t="s">
        <v>234</v>
      </c>
      <c r="C142" t="s">
        <v>235</v>
      </c>
      <c r="E142" t="s">
        <v>185</v>
      </c>
      <c r="F142" t="s">
        <v>90</v>
      </c>
      <c r="G142" t="s">
        <v>91</v>
      </c>
      <c r="H142">
        <v>2</v>
      </c>
      <c r="I142" t="s">
        <v>92</v>
      </c>
      <c r="J142" t="s">
        <v>92</v>
      </c>
      <c r="K142" t="s">
        <v>95</v>
      </c>
      <c r="L142" s="40">
        <v>45212</v>
      </c>
      <c r="M142" s="41">
        <v>0.82291666666666674</v>
      </c>
      <c r="N142" s="41">
        <v>0.85416666666666674</v>
      </c>
      <c r="O142">
        <v>5</v>
      </c>
      <c r="U142" t="s">
        <v>553</v>
      </c>
    </row>
    <row r="143" spans="1:21" hidden="1" x14ac:dyDescent="0.45">
      <c r="A143">
        <v>53</v>
      </c>
      <c r="B143" t="s">
        <v>201</v>
      </c>
      <c r="C143" t="s">
        <v>102</v>
      </c>
      <c r="D143" t="s">
        <v>492</v>
      </c>
      <c r="E143" t="s">
        <v>185</v>
      </c>
      <c r="F143" t="s">
        <v>90</v>
      </c>
      <c r="G143" t="s">
        <v>91</v>
      </c>
      <c r="H143">
        <v>3</v>
      </c>
      <c r="I143" t="s">
        <v>103</v>
      </c>
      <c r="J143" t="s">
        <v>103</v>
      </c>
      <c r="K143" t="s">
        <v>95</v>
      </c>
      <c r="L143" s="40">
        <v>45207</v>
      </c>
      <c r="M143" s="41">
        <v>0.82986111111111116</v>
      </c>
      <c r="N143" s="41">
        <v>0.85069444444444442</v>
      </c>
      <c r="O143">
        <v>5</v>
      </c>
      <c r="U143" t="s">
        <v>540</v>
      </c>
    </row>
    <row r="144" spans="1:21" hidden="1" x14ac:dyDescent="0.45">
      <c r="A144">
        <v>100</v>
      </c>
      <c r="B144" t="s">
        <v>275</v>
      </c>
      <c r="C144" t="s">
        <v>276</v>
      </c>
      <c r="E144" t="s">
        <v>262</v>
      </c>
      <c r="F144" t="s">
        <v>90</v>
      </c>
      <c r="G144" t="s">
        <v>91</v>
      </c>
      <c r="H144">
        <v>3</v>
      </c>
      <c r="I144" t="s">
        <v>92</v>
      </c>
      <c r="J144" t="s">
        <v>92</v>
      </c>
      <c r="K144" t="s">
        <v>95</v>
      </c>
      <c r="L144" s="40">
        <v>45207</v>
      </c>
      <c r="M144" s="41">
        <v>0.82986111111111116</v>
      </c>
      <c r="N144" s="41">
        <v>0.85069444444444442</v>
      </c>
      <c r="O144">
        <v>5</v>
      </c>
      <c r="P144" t="s">
        <v>647</v>
      </c>
      <c r="U144" t="s">
        <v>569</v>
      </c>
    </row>
    <row r="145" spans="1:21" hidden="1" x14ac:dyDescent="0.45">
      <c r="A145">
        <v>106</v>
      </c>
      <c r="B145" t="s">
        <v>285</v>
      </c>
      <c r="C145" t="s">
        <v>286</v>
      </c>
      <c r="E145" t="s">
        <v>262</v>
      </c>
      <c r="F145" t="s">
        <v>90</v>
      </c>
      <c r="G145" t="s">
        <v>91</v>
      </c>
      <c r="H145">
        <v>3</v>
      </c>
      <c r="I145" t="s">
        <v>92</v>
      </c>
      <c r="J145" t="s">
        <v>92</v>
      </c>
      <c r="K145" t="s">
        <v>95</v>
      </c>
      <c r="L145" s="40">
        <v>45208</v>
      </c>
      <c r="M145" s="41">
        <v>0.82986111111111116</v>
      </c>
      <c r="N145" s="41">
        <v>0.85069444444444442</v>
      </c>
      <c r="O145">
        <v>5</v>
      </c>
      <c r="P145" t="s">
        <v>655</v>
      </c>
      <c r="U145" t="s">
        <v>543</v>
      </c>
    </row>
    <row r="146" spans="1:21" hidden="1" x14ac:dyDescent="0.45">
      <c r="A146">
        <v>109</v>
      </c>
      <c r="B146" t="s">
        <v>290</v>
      </c>
      <c r="C146" t="s">
        <v>210</v>
      </c>
      <c r="D146" t="s">
        <v>492</v>
      </c>
      <c r="E146" t="s">
        <v>262</v>
      </c>
      <c r="F146" t="s">
        <v>90</v>
      </c>
      <c r="G146" t="s">
        <v>91</v>
      </c>
      <c r="H146">
        <v>3</v>
      </c>
      <c r="I146" t="s">
        <v>92</v>
      </c>
      <c r="J146" t="s">
        <v>92</v>
      </c>
      <c r="K146" t="s">
        <v>95</v>
      </c>
      <c r="L146" s="40">
        <v>45209</v>
      </c>
      <c r="M146" s="41">
        <v>0.82986111111111116</v>
      </c>
      <c r="N146" s="41">
        <v>0.85069444444444442</v>
      </c>
      <c r="O146">
        <v>5</v>
      </c>
      <c r="P146" t="s">
        <v>677</v>
      </c>
      <c r="U146" t="s">
        <v>545</v>
      </c>
    </row>
    <row r="147" spans="1:21" hidden="1" x14ac:dyDescent="0.45">
      <c r="A147">
        <v>114</v>
      </c>
      <c r="B147" t="s">
        <v>295</v>
      </c>
      <c r="C147" t="s">
        <v>220</v>
      </c>
      <c r="D147" t="s">
        <v>492</v>
      </c>
      <c r="E147" t="s">
        <v>262</v>
      </c>
      <c r="F147" t="s">
        <v>90</v>
      </c>
      <c r="G147" t="s">
        <v>91</v>
      </c>
      <c r="H147">
        <v>3</v>
      </c>
      <c r="I147" t="s">
        <v>103</v>
      </c>
      <c r="J147" t="s">
        <v>103</v>
      </c>
      <c r="K147" t="s">
        <v>95</v>
      </c>
      <c r="L147" s="40">
        <v>45210</v>
      </c>
      <c r="M147" s="41">
        <v>0.82986111111111116</v>
      </c>
      <c r="N147" s="41">
        <v>0.85069444444444442</v>
      </c>
      <c r="O147">
        <v>5</v>
      </c>
      <c r="Q147" t="s">
        <v>662</v>
      </c>
      <c r="U147" t="s">
        <v>576</v>
      </c>
    </row>
    <row r="148" spans="1:21" hidden="1" x14ac:dyDescent="0.45">
      <c r="A148">
        <v>117</v>
      </c>
      <c r="B148" t="s">
        <v>298</v>
      </c>
      <c r="C148" t="s">
        <v>299</v>
      </c>
      <c r="E148" t="s">
        <v>262</v>
      </c>
      <c r="F148" t="s">
        <v>90</v>
      </c>
      <c r="G148" t="s">
        <v>91</v>
      </c>
      <c r="H148">
        <v>3</v>
      </c>
      <c r="I148" t="s">
        <v>92</v>
      </c>
      <c r="J148" t="s">
        <v>92</v>
      </c>
      <c r="K148" t="s">
        <v>95</v>
      </c>
      <c r="L148" s="40">
        <v>45211</v>
      </c>
      <c r="M148" s="41">
        <v>0.82986111111111116</v>
      </c>
      <c r="N148" s="41">
        <v>0.85069444444444442</v>
      </c>
      <c r="O148">
        <v>5</v>
      </c>
      <c r="P148" t="s">
        <v>694</v>
      </c>
      <c r="U148" t="s">
        <v>577</v>
      </c>
    </row>
    <row r="149" spans="1:21" hidden="1" x14ac:dyDescent="0.45">
      <c r="A149">
        <v>92</v>
      </c>
      <c r="B149" t="s">
        <v>264</v>
      </c>
      <c r="C149" t="s">
        <v>265</v>
      </c>
      <c r="E149" t="s">
        <v>262</v>
      </c>
      <c r="F149" t="s">
        <v>90</v>
      </c>
      <c r="G149" t="s">
        <v>91</v>
      </c>
      <c r="H149">
        <v>3</v>
      </c>
      <c r="I149" t="s">
        <v>92</v>
      </c>
      <c r="J149" t="s">
        <v>92</v>
      </c>
      <c r="K149" t="s">
        <v>95</v>
      </c>
      <c r="L149" s="40">
        <v>45212</v>
      </c>
      <c r="M149" s="41">
        <v>0.83333333333333326</v>
      </c>
      <c r="N149" s="41">
        <v>0.85416666666666674</v>
      </c>
      <c r="O149">
        <v>5</v>
      </c>
      <c r="U149" t="s">
        <v>563</v>
      </c>
    </row>
    <row r="150" spans="1:21" hidden="1" x14ac:dyDescent="0.45">
      <c r="A150">
        <v>173</v>
      </c>
      <c r="B150" t="s">
        <v>389</v>
      </c>
      <c r="C150" t="s">
        <v>390</v>
      </c>
      <c r="D150" t="s">
        <v>492</v>
      </c>
      <c r="E150" t="s">
        <v>8</v>
      </c>
      <c r="F150" t="s">
        <v>90</v>
      </c>
      <c r="G150" t="s">
        <v>138</v>
      </c>
      <c r="H150">
        <v>3</v>
      </c>
      <c r="I150" t="s">
        <v>92</v>
      </c>
      <c r="J150" t="s">
        <v>92</v>
      </c>
      <c r="K150"/>
      <c r="L150" s="40">
        <v>45224</v>
      </c>
      <c r="M150" s="41">
        <v>0.84375</v>
      </c>
      <c r="N150" s="41">
        <v>0.88541666666666674</v>
      </c>
      <c r="O150">
        <v>3</v>
      </c>
      <c r="Q150" t="s">
        <v>724</v>
      </c>
      <c r="R150" t="s">
        <v>692</v>
      </c>
      <c r="U150" t="s">
        <v>612</v>
      </c>
    </row>
    <row r="151" spans="1:21" hidden="1" x14ac:dyDescent="0.45">
      <c r="A151">
        <v>24</v>
      </c>
      <c r="B151" t="s">
        <v>141</v>
      </c>
      <c r="C151" t="s">
        <v>142</v>
      </c>
      <c r="D151" t="s">
        <v>492</v>
      </c>
      <c r="E151" t="s">
        <v>89</v>
      </c>
      <c r="F151" t="s">
        <v>90</v>
      </c>
      <c r="G151" t="s">
        <v>138</v>
      </c>
      <c r="H151">
        <v>3</v>
      </c>
      <c r="I151" t="s">
        <v>92</v>
      </c>
      <c r="J151" t="s">
        <v>92</v>
      </c>
      <c r="K151"/>
      <c r="L151" s="40">
        <v>45222</v>
      </c>
      <c r="M151" s="41">
        <v>0.84722222222222232</v>
      </c>
      <c r="N151" s="41">
        <v>0.88888888888888884</v>
      </c>
      <c r="O151">
        <v>4</v>
      </c>
      <c r="P151" t="s">
        <v>759</v>
      </c>
      <c r="Q151" t="s">
        <v>726</v>
      </c>
      <c r="R151" t="s">
        <v>659</v>
      </c>
      <c r="U151" t="s">
        <v>518</v>
      </c>
    </row>
    <row r="152" spans="1:21" hidden="1" x14ac:dyDescent="0.45">
      <c r="A152">
        <v>185</v>
      </c>
      <c r="B152" t="s">
        <v>410</v>
      </c>
      <c r="C152" t="s">
        <v>411</v>
      </c>
      <c r="D152" t="s">
        <v>492</v>
      </c>
      <c r="E152" t="s">
        <v>8</v>
      </c>
      <c r="F152" t="s">
        <v>90</v>
      </c>
      <c r="G152" t="s">
        <v>138</v>
      </c>
      <c r="H152">
        <v>2</v>
      </c>
      <c r="I152" t="s">
        <v>92</v>
      </c>
      <c r="J152" t="s">
        <v>92</v>
      </c>
      <c r="K152"/>
      <c r="L152" s="40">
        <v>45222</v>
      </c>
      <c r="M152" s="41">
        <v>0.84722222222222232</v>
      </c>
      <c r="N152" s="41">
        <v>0.88888888888888884</v>
      </c>
      <c r="O152">
        <v>1</v>
      </c>
      <c r="P152" t="s">
        <v>760</v>
      </c>
      <c r="Q152" t="s">
        <v>722</v>
      </c>
      <c r="R152" t="s">
        <v>697</v>
      </c>
      <c r="U152" t="s">
        <v>618</v>
      </c>
    </row>
    <row r="153" spans="1:21" hidden="1" x14ac:dyDescent="0.45">
      <c r="A153">
        <v>88</v>
      </c>
      <c r="B153" t="s">
        <v>258</v>
      </c>
      <c r="C153" t="s">
        <v>179</v>
      </c>
      <c r="E153" t="s">
        <v>185</v>
      </c>
      <c r="F153" t="s">
        <v>180</v>
      </c>
      <c r="G153" t="s">
        <v>138</v>
      </c>
      <c r="H153">
        <v>6</v>
      </c>
      <c r="I153" t="s">
        <v>177</v>
      </c>
      <c r="J153" t="s">
        <v>177</v>
      </c>
      <c r="K153"/>
      <c r="L153" s="40">
        <v>45224</v>
      </c>
      <c r="M153" s="41">
        <v>0.84722222222222232</v>
      </c>
      <c r="N153" s="41">
        <v>0.89236111111111116</v>
      </c>
      <c r="O153">
        <v>1</v>
      </c>
      <c r="P153" t="s">
        <v>784</v>
      </c>
      <c r="Q153" t="s">
        <v>734</v>
      </c>
      <c r="R153" t="s">
        <v>660</v>
      </c>
      <c r="U153" t="s">
        <v>529</v>
      </c>
    </row>
    <row r="154" spans="1:21" hidden="1" x14ac:dyDescent="0.45">
      <c r="A154">
        <v>129</v>
      </c>
      <c r="B154" t="s">
        <v>322</v>
      </c>
      <c r="C154" t="s">
        <v>247</v>
      </c>
      <c r="D154" t="s">
        <v>492</v>
      </c>
      <c r="E154" t="s">
        <v>262</v>
      </c>
      <c r="F154" t="s">
        <v>90</v>
      </c>
      <c r="G154" t="s">
        <v>138</v>
      </c>
      <c r="H154">
        <v>3</v>
      </c>
      <c r="I154" t="s">
        <v>92</v>
      </c>
      <c r="J154" t="s">
        <v>92</v>
      </c>
      <c r="K154"/>
      <c r="L154" s="40">
        <v>45225</v>
      </c>
      <c r="M154" s="41">
        <v>0.84722222222222232</v>
      </c>
      <c r="N154" s="41">
        <v>0.875</v>
      </c>
      <c r="O154">
        <v>2</v>
      </c>
      <c r="P154" t="s">
        <v>787</v>
      </c>
      <c r="Q154" t="s">
        <v>660</v>
      </c>
      <c r="R154" t="s">
        <v>731</v>
      </c>
      <c r="U154" t="s">
        <v>589</v>
      </c>
    </row>
    <row r="155" spans="1:21" hidden="1" x14ac:dyDescent="0.45">
      <c r="A155">
        <v>43</v>
      </c>
      <c r="B155" t="s">
        <v>181</v>
      </c>
      <c r="C155" t="s">
        <v>182</v>
      </c>
      <c r="D155" t="s">
        <v>492</v>
      </c>
      <c r="E155" t="s">
        <v>89</v>
      </c>
      <c r="F155" t="s">
        <v>180</v>
      </c>
      <c r="G155" t="s">
        <v>138</v>
      </c>
      <c r="H155">
        <v>3</v>
      </c>
      <c r="I155" t="s">
        <v>177</v>
      </c>
      <c r="J155" t="s">
        <v>177</v>
      </c>
      <c r="K155"/>
      <c r="L155" s="40">
        <v>45225</v>
      </c>
      <c r="M155" s="41">
        <v>0.84722222222222232</v>
      </c>
      <c r="N155" s="41">
        <v>0.875</v>
      </c>
      <c r="O155">
        <v>1</v>
      </c>
      <c r="P155" t="s">
        <v>788</v>
      </c>
      <c r="Q155" t="s">
        <v>737</v>
      </c>
      <c r="R155" t="s">
        <v>722</v>
      </c>
      <c r="U155" t="s">
        <v>530</v>
      </c>
    </row>
    <row r="156" spans="1:21" hidden="1" x14ac:dyDescent="0.45">
      <c r="A156">
        <v>141</v>
      </c>
      <c r="B156" t="s">
        <v>340</v>
      </c>
      <c r="C156" t="s">
        <v>341</v>
      </c>
      <c r="E156" t="s">
        <v>262</v>
      </c>
      <c r="F156" t="s">
        <v>180</v>
      </c>
      <c r="G156" t="s">
        <v>138</v>
      </c>
      <c r="H156">
        <v>6</v>
      </c>
      <c r="I156" t="s">
        <v>177</v>
      </c>
      <c r="J156" t="s">
        <v>177</v>
      </c>
      <c r="K156"/>
      <c r="L156" s="40">
        <v>45226</v>
      </c>
      <c r="M156" s="41">
        <v>0.84722222222222232</v>
      </c>
      <c r="N156" s="41">
        <v>0.88888888888888884</v>
      </c>
      <c r="O156">
        <v>2</v>
      </c>
      <c r="P156" t="s">
        <v>790</v>
      </c>
      <c r="Q156" t="s">
        <v>735</v>
      </c>
      <c r="R156" t="s">
        <v>662</v>
      </c>
      <c r="U156" t="s">
        <v>529</v>
      </c>
    </row>
    <row r="157" spans="1:21" hidden="1" x14ac:dyDescent="0.45">
      <c r="A157">
        <v>132</v>
      </c>
      <c r="B157" t="s">
        <v>325</v>
      </c>
      <c r="C157" t="s">
        <v>162</v>
      </c>
      <c r="D157" t="s">
        <v>492</v>
      </c>
      <c r="E157" t="s">
        <v>262</v>
      </c>
      <c r="F157" t="s">
        <v>90</v>
      </c>
      <c r="G157" t="s">
        <v>138</v>
      </c>
      <c r="H157">
        <v>3</v>
      </c>
      <c r="I157" t="s">
        <v>92</v>
      </c>
      <c r="J157" t="s">
        <v>92</v>
      </c>
      <c r="K157"/>
      <c r="L157" s="40">
        <v>45222</v>
      </c>
      <c r="M157" s="41">
        <v>0.85069444444444442</v>
      </c>
      <c r="N157" s="41">
        <v>0.88888888888888884</v>
      </c>
      <c r="O157">
        <v>2</v>
      </c>
      <c r="P157" t="s">
        <v>761</v>
      </c>
      <c r="Q157" t="s">
        <v>727</v>
      </c>
      <c r="R157" t="s">
        <v>743</v>
      </c>
      <c r="U157" t="s">
        <v>591</v>
      </c>
    </row>
    <row r="158" spans="1:21" hidden="1" x14ac:dyDescent="0.45">
      <c r="A158">
        <v>36</v>
      </c>
      <c r="B158" t="s">
        <v>165</v>
      </c>
      <c r="C158" t="s">
        <v>166</v>
      </c>
      <c r="D158" t="s">
        <v>492</v>
      </c>
      <c r="E158" t="s">
        <v>89</v>
      </c>
      <c r="F158" t="s">
        <v>90</v>
      </c>
      <c r="G158" t="s">
        <v>138</v>
      </c>
      <c r="H158">
        <v>3</v>
      </c>
      <c r="I158" t="s">
        <v>92</v>
      </c>
      <c r="J158" t="s">
        <v>92</v>
      </c>
      <c r="K158"/>
      <c r="L158" s="40">
        <v>45223</v>
      </c>
      <c r="M158" s="41">
        <v>0.85069444444444442</v>
      </c>
      <c r="N158" s="41">
        <v>0.88888888888888884</v>
      </c>
      <c r="O158">
        <v>2</v>
      </c>
      <c r="P158" t="s">
        <v>776</v>
      </c>
      <c r="Q158" t="s">
        <v>693</v>
      </c>
      <c r="R158" t="s">
        <v>726</v>
      </c>
      <c r="U158" t="s">
        <v>524</v>
      </c>
    </row>
    <row r="159" spans="1:21" hidden="1" x14ac:dyDescent="0.45">
      <c r="A159">
        <v>136</v>
      </c>
      <c r="B159" t="s">
        <v>331</v>
      </c>
      <c r="C159" t="s">
        <v>172</v>
      </c>
      <c r="D159" t="s">
        <v>492</v>
      </c>
      <c r="E159" t="s">
        <v>262</v>
      </c>
      <c r="F159" t="s">
        <v>90</v>
      </c>
      <c r="G159" t="s">
        <v>138</v>
      </c>
      <c r="H159">
        <v>3</v>
      </c>
      <c r="I159" t="s">
        <v>92</v>
      </c>
      <c r="J159" t="s">
        <v>92</v>
      </c>
      <c r="K159"/>
      <c r="L159" s="40">
        <v>45223</v>
      </c>
      <c r="M159" s="41">
        <v>0.85069444444444442</v>
      </c>
      <c r="N159" s="41">
        <v>0.89236111111111116</v>
      </c>
      <c r="O159">
        <v>1</v>
      </c>
      <c r="P159" t="s">
        <v>777</v>
      </c>
      <c r="Q159" t="s">
        <v>732</v>
      </c>
      <c r="R159" t="s">
        <v>722</v>
      </c>
      <c r="U159" t="s">
        <v>593</v>
      </c>
    </row>
    <row r="160" spans="1:21" hidden="1" x14ac:dyDescent="0.45">
      <c r="A160">
        <v>39</v>
      </c>
      <c r="B160" t="s">
        <v>171</v>
      </c>
      <c r="C160" t="s">
        <v>172</v>
      </c>
      <c r="D160" t="s">
        <v>492</v>
      </c>
      <c r="E160" t="s">
        <v>89</v>
      </c>
      <c r="F160" t="s">
        <v>90</v>
      </c>
      <c r="G160" t="s">
        <v>138</v>
      </c>
      <c r="H160">
        <v>3</v>
      </c>
      <c r="I160" t="s">
        <v>92</v>
      </c>
      <c r="J160" t="s">
        <v>92</v>
      </c>
      <c r="K160"/>
      <c r="L160" s="40">
        <v>45224</v>
      </c>
      <c r="M160" s="41">
        <v>0.85069444444444442</v>
      </c>
      <c r="N160" s="41">
        <v>0.88888888888888884</v>
      </c>
      <c r="O160">
        <v>2</v>
      </c>
      <c r="Q160" t="s">
        <v>733</v>
      </c>
      <c r="R160" t="s">
        <v>725</v>
      </c>
      <c r="U160" t="s">
        <v>526</v>
      </c>
    </row>
    <row r="161" spans="1:21" hidden="1" x14ac:dyDescent="0.45">
      <c r="A161">
        <v>84</v>
      </c>
      <c r="B161" t="s">
        <v>252</v>
      </c>
      <c r="C161" t="s">
        <v>168</v>
      </c>
      <c r="D161" t="s">
        <v>492</v>
      </c>
      <c r="E161" t="s">
        <v>185</v>
      </c>
      <c r="F161" t="s">
        <v>90</v>
      </c>
      <c r="G161" t="s">
        <v>138</v>
      </c>
      <c r="H161">
        <v>3</v>
      </c>
      <c r="I161" t="s">
        <v>92</v>
      </c>
      <c r="J161" t="s">
        <v>92</v>
      </c>
      <c r="K161"/>
      <c r="L161" s="40">
        <v>45223</v>
      </c>
      <c r="M161" s="41">
        <v>0.85416666666666674</v>
      </c>
      <c r="N161" s="41">
        <v>0.88541666666666674</v>
      </c>
      <c r="O161">
        <v>3</v>
      </c>
      <c r="P161" t="s">
        <v>778</v>
      </c>
      <c r="Q161" t="s">
        <v>731</v>
      </c>
      <c r="R161" t="s">
        <v>728</v>
      </c>
      <c r="U161" t="s">
        <v>523</v>
      </c>
    </row>
    <row r="162" spans="1:21" hidden="1" x14ac:dyDescent="0.45">
      <c r="A162">
        <v>144</v>
      </c>
      <c r="B162" t="s">
        <v>346</v>
      </c>
      <c r="C162" t="s">
        <v>347</v>
      </c>
      <c r="D162" t="s">
        <v>492</v>
      </c>
      <c r="E162" t="s">
        <v>8</v>
      </c>
      <c r="F162" t="s">
        <v>90</v>
      </c>
      <c r="G162" t="s">
        <v>91</v>
      </c>
      <c r="H162">
        <v>3</v>
      </c>
      <c r="I162" t="s">
        <v>92</v>
      </c>
      <c r="J162" t="s">
        <v>92</v>
      </c>
      <c r="K162" t="s">
        <v>100</v>
      </c>
      <c r="L162" s="40">
        <v>45208</v>
      </c>
      <c r="M162" s="41">
        <v>0.875</v>
      </c>
      <c r="N162" s="41">
        <v>0.90625</v>
      </c>
      <c r="O162">
        <v>5</v>
      </c>
      <c r="P162" t="s">
        <v>656</v>
      </c>
      <c r="U162" t="s">
        <v>599</v>
      </c>
    </row>
    <row r="163" spans="1:21" hidden="1" x14ac:dyDescent="0.45">
      <c r="A163">
        <v>156</v>
      </c>
      <c r="B163" t="s">
        <v>361</v>
      </c>
      <c r="C163" t="s">
        <v>212</v>
      </c>
      <c r="E163" t="s">
        <v>8</v>
      </c>
      <c r="F163" t="s">
        <v>90</v>
      </c>
      <c r="G163" t="s">
        <v>91</v>
      </c>
      <c r="H163">
        <v>3</v>
      </c>
      <c r="I163" t="s">
        <v>92</v>
      </c>
      <c r="J163" t="s">
        <v>92</v>
      </c>
      <c r="K163" t="s">
        <v>95</v>
      </c>
      <c r="L163" s="40">
        <v>45210</v>
      </c>
      <c r="M163" s="41">
        <v>0.875</v>
      </c>
      <c r="N163" s="41">
        <v>0.89583333333333326</v>
      </c>
      <c r="O163">
        <v>4</v>
      </c>
      <c r="P163" t="s">
        <v>685</v>
      </c>
      <c r="U163" t="s">
        <v>603</v>
      </c>
    </row>
    <row r="164" spans="1:21" hidden="1" x14ac:dyDescent="0.45">
      <c r="A164">
        <v>131</v>
      </c>
      <c r="B164" t="s">
        <v>324</v>
      </c>
      <c r="C164" t="s">
        <v>160</v>
      </c>
      <c r="E164" t="s">
        <v>262</v>
      </c>
      <c r="F164" t="s">
        <v>90</v>
      </c>
      <c r="G164" t="s">
        <v>138</v>
      </c>
      <c r="H164">
        <v>3</v>
      </c>
      <c r="I164" t="s">
        <v>92</v>
      </c>
      <c r="J164" t="s">
        <v>92</v>
      </c>
      <c r="K164"/>
      <c r="L164" s="40">
        <v>45225</v>
      </c>
      <c r="M164" s="41">
        <v>0.88194444444444442</v>
      </c>
      <c r="N164" s="41">
        <v>0.91319444444444442</v>
      </c>
      <c r="O164">
        <v>2</v>
      </c>
      <c r="P164" t="s">
        <v>789</v>
      </c>
      <c r="Q164" t="s">
        <v>660</v>
      </c>
      <c r="R164" t="s">
        <v>737</v>
      </c>
      <c r="U164" t="s">
        <v>589</v>
      </c>
    </row>
    <row r="165" spans="1:21" hidden="1" x14ac:dyDescent="0.45">
      <c r="A165">
        <v>150</v>
      </c>
      <c r="B165" t="s">
        <v>354</v>
      </c>
      <c r="C165" t="s">
        <v>272</v>
      </c>
      <c r="D165" t="s">
        <v>492</v>
      </c>
      <c r="E165" t="s">
        <v>8</v>
      </c>
      <c r="F165" t="s">
        <v>90</v>
      </c>
      <c r="G165" t="s">
        <v>91</v>
      </c>
      <c r="H165">
        <v>2</v>
      </c>
      <c r="I165" t="s">
        <v>92</v>
      </c>
      <c r="J165" t="s">
        <v>92</v>
      </c>
      <c r="K165" t="s">
        <v>95</v>
      </c>
      <c r="L165" s="40">
        <v>45209</v>
      </c>
      <c r="M165" s="41">
        <v>0.88194444444444442</v>
      </c>
      <c r="N165" s="41">
        <v>0.90277777777777768</v>
      </c>
      <c r="O165">
        <v>5</v>
      </c>
      <c r="U165" t="s">
        <v>601</v>
      </c>
    </row>
    <row r="166" spans="1:21" hidden="1" x14ac:dyDescent="0.45">
      <c r="A166">
        <v>160</v>
      </c>
      <c r="B166" t="s">
        <v>367</v>
      </c>
      <c r="C166" t="s">
        <v>368</v>
      </c>
      <c r="E166" t="s">
        <v>8</v>
      </c>
      <c r="F166" t="s">
        <v>90</v>
      </c>
      <c r="G166" t="s">
        <v>91</v>
      </c>
      <c r="H166">
        <v>3</v>
      </c>
      <c r="I166" t="s">
        <v>92</v>
      </c>
      <c r="J166" t="s">
        <v>92</v>
      </c>
      <c r="K166" t="s">
        <v>95</v>
      </c>
      <c r="L166" s="40">
        <v>45211</v>
      </c>
      <c r="M166" s="41">
        <v>0.88194444444444442</v>
      </c>
      <c r="N166" s="41">
        <v>0.90277777777777768</v>
      </c>
      <c r="O166">
        <v>5</v>
      </c>
      <c r="Q166" t="s">
        <v>695</v>
      </c>
      <c r="U166" t="s">
        <v>604</v>
      </c>
    </row>
    <row r="167" spans="1:21" hidden="1" x14ac:dyDescent="0.45">
      <c r="A167">
        <v>164</v>
      </c>
      <c r="B167" t="s">
        <v>374</v>
      </c>
      <c r="C167" t="s">
        <v>226</v>
      </c>
      <c r="E167" t="s">
        <v>8</v>
      </c>
      <c r="F167" t="s">
        <v>90</v>
      </c>
      <c r="G167" t="s">
        <v>91</v>
      </c>
      <c r="H167">
        <v>3</v>
      </c>
      <c r="I167" t="s">
        <v>92</v>
      </c>
      <c r="J167" t="s">
        <v>92</v>
      </c>
      <c r="K167" t="s">
        <v>95</v>
      </c>
      <c r="L167" s="40">
        <v>45212</v>
      </c>
      <c r="M167" s="41">
        <v>0.88194444444444442</v>
      </c>
      <c r="N167" s="41">
        <v>0.90277777777777768</v>
      </c>
      <c r="O167">
        <v>5</v>
      </c>
      <c r="P167" t="s">
        <v>701</v>
      </c>
      <c r="U167" t="s">
        <v>606</v>
      </c>
    </row>
    <row r="168" spans="1:21" hidden="1" x14ac:dyDescent="0.45">
      <c r="A168">
        <v>201</v>
      </c>
      <c r="B168" t="s">
        <v>442</v>
      </c>
      <c r="C168" t="s">
        <v>443</v>
      </c>
      <c r="E168" t="s">
        <v>423</v>
      </c>
      <c r="F168" t="s">
        <v>180</v>
      </c>
      <c r="G168" t="s">
        <v>138</v>
      </c>
      <c r="H168">
        <v>6</v>
      </c>
      <c r="I168" t="s">
        <v>424</v>
      </c>
      <c r="J168" t="s">
        <v>424</v>
      </c>
      <c r="K168"/>
      <c r="L168" s="40">
        <v>45221</v>
      </c>
      <c r="M168" s="41">
        <v>0.88541666666666674</v>
      </c>
      <c r="N168" s="41">
        <v>0.9375</v>
      </c>
      <c r="O168">
        <v>1</v>
      </c>
      <c r="Q168" t="s">
        <v>720</v>
      </c>
      <c r="R168" t="s">
        <v>721</v>
      </c>
      <c r="S168" t="s">
        <v>722</v>
      </c>
      <c r="T168" t="s">
        <v>723</v>
      </c>
      <c r="U168" t="s">
        <v>741</v>
      </c>
    </row>
    <row r="169" spans="1:21" hidden="1" x14ac:dyDescent="0.45">
      <c r="A169">
        <v>190</v>
      </c>
      <c r="B169" t="s">
        <v>418</v>
      </c>
      <c r="C169" t="s">
        <v>341</v>
      </c>
      <c r="E169" t="s">
        <v>8</v>
      </c>
      <c r="F169" t="s">
        <v>180</v>
      </c>
      <c r="G169" t="s">
        <v>138</v>
      </c>
      <c r="H169">
        <v>6</v>
      </c>
      <c r="I169" t="s">
        <v>177</v>
      </c>
      <c r="J169" t="s">
        <v>177</v>
      </c>
      <c r="K169"/>
      <c r="L169" s="40">
        <v>45225</v>
      </c>
      <c r="M169" s="41">
        <v>0.88541666666666674</v>
      </c>
      <c r="N169" s="41">
        <v>0.92708333333333326</v>
      </c>
      <c r="O169">
        <v>1</v>
      </c>
      <c r="Q169" t="s">
        <v>735</v>
      </c>
      <c r="R169" t="s">
        <v>670</v>
      </c>
      <c r="U169" t="s">
        <v>529</v>
      </c>
    </row>
    <row r="170" spans="1:21" hidden="1" x14ac:dyDescent="0.45">
      <c r="A170">
        <v>139</v>
      </c>
      <c r="B170" t="s">
        <v>336</v>
      </c>
      <c r="C170" t="s">
        <v>337</v>
      </c>
      <c r="E170" t="s">
        <v>262</v>
      </c>
      <c r="F170" t="s">
        <v>180</v>
      </c>
      <c r="G170" t="s">
        <v>91</v>
      </c>
      <c r="H170">
        <v>5</v>
      </c>
      <c r="I170" t="s">
        <v>177</v>
      </c>
      <c r="J170" t="s">
        <v>177</v>
      </c>
      <c r="K170" t="s">
        <v>135</v>
      </c>
      <c r="L170" s="40">
        <v>45211</v>
      </c>
      <c r="M170" s="41">
        <v>0.88541666666666674</v>
      </c>
      <c r="N170" s="41">
        <v>0.92708333333333326</v>
      </c>
      <c r="O170">
        <v>5</v>
      </c>
      <c r="P170" t="s">
        <v>696</v>
      </c>
      <c r="U170" t="s">
        <v>650</v>
      </c>
    </row>
    <row r="171" spans="1:21" hidden="1" x14ac:dyDescent="0.45">
      <c r="A171">
        <v>151</v>
      </c>
      <c r="B171" t="s">
        <v>355</v>
      </c>
      <c r="C171" t="s">
        <v>652</v>
      </c>
      <c r="D171" t="s">
        <v>492</v>
      </c>
      <c r="E171" t="s">
        <v>8</v>
      </c>
      <c r="F171" t="s">
        <v>90</v>
      </c>
      <c r="G171" t="s">
        <v>91</v>
      </c>
      <c r="H171">
        <v>3</v>
      </c>
      <c r="I171" t="s">
        <v>92</v>
      </c>
      <c r="J171" t="s">
        <v>92</v>
      </c>
      <c r="K171" t="s">
        <v>100</v>
      </c>
      <c r="L171" s="40">
        <v>45213</v>
      </c>
      <c r="M171" s="41">
        <v>0.88541666666666674</v>
      </c>
      <c r="N171" s="41">
        <v>0.91666666666666674</v>
      </c>
      <c r="O171">
        <v>5</v>
      </c>
      <c r="P171" t="s">
        <v>704</v>
      </c>
      <c r="U171" t="s">
        <v>569</v>
      </c>
    </row>
    <row r="172" spans="1:21" hidden="1" x14ac:dyDescent="0.45">
      <c r="A172">
        <v>189</v>
      </c>
      <c r="B172" t="s">
        <v>416</v>
      </c>
      <c r="C172" t="s">
        <v>417</v>
      </c>
      <c r="E172" t="s">
        <v>8</v>
      </c>
      <c r="F172" t="s">
        <v>180</v>
      </c>
      <c r="G172" t="s">
        <v>91</v>
      </c>
      <c r="H172">
        <v>3</v>
      </c>
      <c r="I172" t="s">
        <v>177</v>
      </c>
      <c r="J172" t="s">
        <v>177</v>
      </c>
      <c r="K172"/>
      <c r="L172" s="40">
        <v>45214</v>
      </c>
      <c r="M172" s="41">
        <v>0.88541666666666674</v>
      </c>
      <c r="N172" s="41">
        <v>0.92708333333333326</v>
      </c>
      <c r="O172">
        <v>5</v>
      </c>
      <c r="P172" t="s">
        <v>715</v>
      </c>
      <c r="U172" t="s">
        <v>622</v>
      </c>
    </row>
    <row r="173" spans="1:21" hidden="1" x14ac:dyDescent="0.45">
      <c r="A173">
        <v>75</v>
      </c>
      <c r="B173" t="s">
        <v>239</v>
      </c>
      <c r="C173" t="s">
        <v>240</v>
      </c>
      <c r="E173" t="s">
        <v>185</v>
      </c>
      <c r="F173" t="s">
        <v>90</v>
      </c>
      <c r="G173" t="s">
        <v>138</v>
      </c>
      <c r="H173">
        <v>3</v>
      </c>
      <c r="I173" t="s">
        <v>92</v>
      </c>
      <c r="J173" t="s">
        <v>92</v>
      </c>
      <c r="K173"/>
      <c r="L173" s="40">
        <v>45222</v>
      </c>
      <c r="M173" s="41">
        <v>0.89583333333333326</v>
      </c>
      <c r="N173" s="41">
        <v>0.9375</v>
      </c>
      <c r="O173">
        <v>2</v>
      </c>
      <c r="P173" t="s">
        <v>762</v>
      </c>
      <c r="Q173" t="s">
        <v>727</v>
      </c>
      <c r="R173" t="s">
        <v>662</v>
      </c>
      <c r="U173" t="s">
        <v>556</v>
      </c>
    </row>
    <row r="174" spans="1:21" hidden="1" x14ac:dyDescent="0.45">
      <c r="A174">
        <v>191</v>
      </c>
      <c r="B174" t="s">
        <v>419</v>
      </c>
      <c r="C174" t="s">
        <v>420</v>
      </c>
      <c r="E174" t="s">
        <v>8</v>
      </c>
      <c r="F174" t="s">
        <v>180</v>
      </c>
      <c r="G174" t="s">
        <v>138</v>
      </c>
      <c r="H174">
        <v>4</v>
      </c>
      <c r="I174" t="s">
        <v>177</v>
      </c>
      <c r="J174" t="s">
        <v>177</v>
      </c>
      <c r="K174"/>
      <c r="L174" s="40">
        <v>45222</v>
      </c>
      <c r="M174" s="41">
        <v>0.89583333333333326</v>
      </c>
      <c r="N174" s="41">
        <v>0.9375</v>
      </c>
      <c r="O174">
        <v>3</v>
      </c>
      <c r="P174" t="s">
        <v>763</v>
      </c>
      <c r="Q174" t="s">
        <v>691</v>
      </c>
      <c r="R174" t="s">
        <v>729</v>
      </c>
      <c r="S174" t="s">
        <v>728</v>
      </c>
      <c r="U174" t="s">
        <v>623</v>
      </c>
    </row>
    <row r="175" spans="1:21" hidden="1" x14ac:dyDescent="0.45">
      <c r="A175">
        <v>121</v>
      </c>
      <c r="B175" t="s">
        <v>306</v>
      </c>
      <c r="C175" t="s">
        <v>307</v>
      </c>
      <c r="E175" t="s">
        <v>262</v>
      </c>
      <c r="F175" t="s">
        <v>90</v>
      </c>
      <c r="G175" t="s">
        <v>138</v>
      </c>
      <c r="H175">
        <v>3</v>
      </c>
      <c r="I175" t="s">
        <v>92</v>
      </c>
      <c r="J175" t="s">
        <v>92</v>
      </c>
      <c r="K175"/>
      <c r="L175" s="40">
        <v>45222</v>
      </c>
      <c r="M175" s="41">
        <v>0.89583333333333326</v>
      </c>
      <c r="N175" s="41">
        <v>0.9375</v>
      </c>
      <c r="O175">
        <v>1</v>
      </c>
      <c r="P175" t="s">
        <v>764</v>
      </c>
      <c r="Q175" t="s">
        <v>724</v>
      </c>
      <c r="R175" t="s">
        <v>659</v>
      </c>
      <c r="U175" t="s">
        <v>581</v>
      </c>
    </row>
    <row r="176" spans="1:21" hidden="1" x14ac:dyDescent="0.45">
      <c r="A176">
        <v>204</v>
      </c>
      <c r="B176" t="s">
        <v>448</v>
      </c>
      <c r="C176" t="s">
        <v>449</v>
      </c>
      <c r="D176" t="s">
        <v>492</v>
      </c>
      <c r="E176" t="s">
        <v>423</v>
      </c>
      <c r="F176" t="s">
        <v>180</v>
      </c>
      <c r="G176" t="s">
        <v>138</v>
      </c>
      <c r="H176">
        <v>7</v>
      </c>
      <c r="I176" t="s">
        <v>424</v>
      </c>
      <c r="J176" t="s">
        <v>424</v>
      </c>
      <c r="K176"/>
      <c r="L176" s="40">
        <v>45223</v>
      </c>
      <c r="M176" s="41">
        <v>0.89583333333333326</v>
      </c>
      <c r="N176" s="41">
        <v>0.9375</v>
      </c>
      <c r="O176">
        <v>1</v>
      </c>
      <c r="P176" t="s">
        <v>775</v>
      </c>
      <c r="Q176" t="s">
        <v>730</v>
      </c>
      <c r="R176" t="s">
        <v>722</v>
      </c>
      <c r="S176" t="s">
        <v>721</v>
      </c>
      <c r="U176" t="s">
        <v>634</v>
      </c>
    </row>
    <row r="177" spans="1:21" hidden="1" x14ac:dyDescent="0.45">
      <c r="A177">
        <v>205</v>
      </c>
      <c r="B177" t="s">
        <v>450</v>
      </c>
      <c r="C177" t="s">
        <v>451</v>
      </c>
      <c r="E177" t="s">
        <v>423</v>
      </c>
      <c r="F177" t="s">
        <v>180</v>
      </c>
      <c r="G177" t="s">
        <v>138</v>
      </c>
      <c r="H177">
        <v>3</v>
      </c>
      <c r="I177" t="s">
        <v>424</v>
      </c>
      <c r="J177" t="s">
        <v>424</v>
      </c>
      <c r="K177"/>
      <c r="L177" s="40">
        <v>45224</v>
      </c>
      <c r="M177" s="41">
        <v>0.89583333333333326</v>
      </c>
      <c r="N177" s="41">
        <v>0.9375</v>
      </c>
      <c r="O177">
        <v>1</v>
      </c>
      <c r="Q177" t="s">
        <v>734</v>
      </c>
      <c r="R177" t="s">
        <v>722</v>
      </c>
      <c r="S177" t="s">
        <v>743</v>
      </c>
      <c r="U177" t="s">
        <v>635</v>
      </c>
    </row>
    <row r="178" spans="1:21" hidden="1" x14ac:dyDescent="0.45">
      <c r="A178">
        <v>15</v>
      </c>
      <c r="B178" t="s">
        <v>121</v>
      </c>
      <c r="C178" t="s">
        <v>122</v>
      </c>
      <c r="E178" t="s">
        <v>89</v>
      </c>
      <c r="F178" t="s">
        <v>90</v>
      </c>
      <c r="G178" t="s">
        <v>138</v>
      </c>
      <c r="H178">
        <v>3</v>
      </c>
      <c r="I178" t="s">
        <v>92</v>
      </c>
      <c r="J178" t="s">
        <v>92</v>
      </c>
      <c r="K178"/>
      <c r="L178" s="40">
        <v>45225</v>
      </c>
      <c r="M178" s="41">
        <v>0.89583333333333326</v>
      </c>
      <c r="N178" s="41">
        <v>0.9375</v>
      </c>
      <c r="O178">
        <v>6</v>
      </c>
      <c r="Q178" t="s">
        <v>743</v>
      </c>
      <c r="R178" t="s">
        <v>733</v>
      </c>
      <c r="U178" t="s">
        <v>509</v>
      </c>
    </row>
    <row r="179" spans="1:21" hidden="1" x14ac:dyDescent="0.45">
      <c r="A179">
        <v>152</v>
      </c>
      <c r="B179" t="s">
        <v>356</v>
      </c>
      <c r="C179" t="s">
        <v>357</v>
      </c>
      <c r="D179" t="s">
        <v>492</v>
      </c>
      <c r="E179" t="s">
        <v>8</v>
      </c>
      <c r="F179" t="s">
        <v>90</v>
      </c>
      <c r="G179" t="s">
        <v>138</v>
      </c>
      <c r="H179">
        <v>2</v>
      </c>
      <c r="I179" t="s">
        <v>92</v>
      </c>
      <c r="J179" t="s">
        <v>92</v>
      </c>
      <c r="K179"/>
      <c r="L179" s="40">
        <v>45225</v>
      </c>
      <c r="M179" s="41">
        <v>0.89583333333333326</v>
      </c>
      <c r="N179" s="41">
        <v>0.9375</v>
      </c>
      <c r="O179">
        <v>5</v>
      </c>
      <c r="Q179" t="s">
        <v>729</v>
      </c>
      <c r="R179" t="s">
        <v>693</v>
      </c>
      <c r="U179" t="s">
        <v>602</v>
      </c>
    </row>
    <row r="180" spans="1:21" hidden="1" x14ac:dyDescent="0.45">
      <c r="A180">
        <v>142</v>
      </c>
      <c r="B180" t="s">
        <v>342</v>
      </c>
      <c r="C180" t="s">
        <v>343</v>
      </c>
      <c r="E180" t="s">
        <v>262</v>
      </c>
      <c r="F180" t="s">
        <v>180</v>
      </c>
      <c r="G180" t="s">
        <v>138</v>
      </c>
      <c r="H180">
        <v>3</v>
      </c>
      <c r="I180" t="s">
        <v>177</v>
      </c>
      <c r="J180" t="s">
        <v>177</v>
      </c>
      <c r="K180"/>
      <c r="L180" s="40">
        <v>45226</v>
      </c>
      <c r="M180" s="41">
        <v>0.89583333333333326</v>
      </c>
      <c r="N180" s="41">
        <v>0.9375</v>
      </c>
      <c r="O180">
        <v>2</v>
      </c>
      <c r="Q180" t="s">
        <v>735</v>
      </c>
      <c r="U180" t="s">
        <v>597</v>
      </c>
    </row>
    <row r="181" spans="1:21" hidden="1" x14ac:dyDescent="0.45">
      <c r="A181">
        <v>13</v>
      </c>
      <c r="B181" t="s">
        <v>117</v>
      </c>
      <c r="C181" t="s">
        <v>118</v>
      </c>
      <c r="E181" t="s">
        <v>89</v>
      </c>
      <c r="F181" t="s">
        <v>90</v>
      </c>
      <c r="G181" t="s">
        <v>91</v>
      </c>
      <c r="H181">
        <v>3</v>
      </c>
      <c r="I181" t="s">
        <v>92</v>
      </c>
      <c r="J181" t="s">
        <v>92</v>
      </c>
      <c r="K181" t="s">
        <v>100</v>
      </c>
      <c r="L181" s="40">
        <v>45206</v>
      </c>
      <c r="M181" s="41">
        <v>0.89583333333333326</v>
      </c>
      <c r="N181" s="41">
        <v>0.92708333333333326</v>
      </c>
      <c r="O181">
        <v>5</v>
      </c>
      <c r="P181" t="s">
        <v>506</v>
      </c>
      <c r="U181" t="s">
        <v>507</v>
      </c>
    </row>
    <row r="182" spans="1:21" hidden="1" x14ac:dyDescent="0.45">
      <c r="A182">
        <v>51</v>
      </c>
      <c r="B182" t="s">
        <v>198</v>
      </c>
      <c r="C182" t="s">
        <v>199</v>
      </c>
      <c r="E182" t="s">
        <v>185</v>
      </c>
      <c r="F182" t="s">
        <v>90</v>
      </c>
      <c r="G182" t="s">
        <v>91</v>
      </c>
      <c r="H182">
        <v>3</v>
      </c>
      <c r="I182" t="s">
        <v>92</v>
      </c>
      <c r="J182" t="s">
        <v>92</v>
      </c>
      <c r="K182" t="s">
        <v>95</v>
      </c>
      <c r="L182" s="40">
        <v>45206</v>
      </c>
      <c r="M182" s="41">
        <v>0.90625</v>
      </c>
      <c r="N182" s="41">
        <v>0.92708333333333326</v>
      </c>
      <c r="O182">
        <v>5</v>
      </c>
      <c r="P182" t="s">
        <v>538</v>
      </c>
      <c r="U182" t="s">
        <v>499</v>
      </c>
    </row>
    <row r="183" spans="1:21" hidden="1" x14ac:dyDescent="0.45">
      <c r="A183">
        <v>18</v>
      </c>
      <c r="B183" t="s">
        <v>127</v>
      </c>
      <c r="C183" t="s">
        <v>128</v>
      </c>
      <c r="E183" t="s">
        <v>89</v>
      </c>
      <c r="F183" t="s">
        <v>90</v>
      </c>
      <c r="G183" t="s">
        <v>91</v>
      </c>
      <c r="H183">
        <v>3</v>
      </c>
      <c r="I183" t="s">
        <v>92</v>
      </c>
      <c r="J183" t="s">
        <v>92</v>
      </c>
      <c r="K183" t="s">
        <v>95</v>
      </c>
      <c r="L183" s="40">
        <v>45207</v>
      </c>
      <c r="M183" s="41">
        <v>0.90625</v>
      </c>
      <c r="N183" s="41">
        <v>0.42708333333333326</v>
      </c>
      <c r="O183">
        <v>5</v>
      </c>
      <c r="P183" t="s">
        <v>648</v>
      </c>
      <c r="U183" t="s">
        <v>512</v>
      </c>
    </row>
    <row r="184" spans="1:21" hidden="1" x14ac:dyDescent="0.45">
      <c r="A184">
        <v>62</v>
      </c>
      <c r="B184" t="s">
        <v>215</v>
      </c>
      <c r="C184" t="s">
        <v>216</v>
      </c>
      <c r="E184" t="s">
        <v>185</v>
      </c>
      <c r="F184" t="s">
        <v>90</v>
      </c>
      <c r="G184" t="s">
        <v>91</v>
      </c>
      <c r="H184">
        <v>2</v>
      </c>
      <c r="I184" t="s">
        <v>92</v>
      </c>
      <c r="J184" t="s">
        <v>92</v>
      </c>
      <c r="K184" t="s">
        <v>217</v>
      </c>
      <c r="L184" s="40">
        <v>45209</v>
      </c>
      <c r="M184" s="41">
        <v>0.90625</v>
      </c>
      <c r="N184" s="41">
        <v>0.9375</v>
      </c>
      <c r="O184">
        <v>5</v>
      </c>
      <c r="P184" t="s">
        <v>683</v>
      </c>
      <c r="U184" t="s">
        <v>546</v>
      </c>
    </row>
    <row r="185" spans="1:21" hidden="1" x14ac:dyDescent="0.45">
      <c r="A185">
        <v>4</v>
      </c>
      <c r="B185" t="s">
        <v>98</v>
      </c>
      <c r="C185" t="s">
        <v>99</v>
      </c>
      <c r="D185" t="s">
        <v>492</v>
      </c>
      <c r="E185" t="s">
        <v>89</v>
      </c>
      <c r="F185" t="s">
        <v>90</v>
      </c>
      <c r="G185" t="s">
        <v>91</v>
      </c>
      <c r="H185">
        <v>3</v>
      </c>
      <c r="I185" t="s">
        <v>92</v>
      </c>
      <c r="J185" t="s">
        <v>92</v>
      </c>
      <c r="K185" t="s">
        <v>100</v>
      </c>
      <c r="L185" s="40">
        <v>45210</v>
      </c>
      <c r="M185" s="41">
        <v>0.90625</v>
      </c>
      <c r="N185" s="41">
        <v>0.9375</v>
      </c>
      <c r="O185">
        <v>5</v>
      </c>
      <c r="P185" t="s">
        <v>661</v>
      </c>
      <c r="U185" t="s">
        <v>499</v>
      </c>
    </row>
    <row r="186" spans="1:21" hidden="1" x14ac:dyDescent="0.45">
      <c r="A186">
        <v>155</v>
      </c>
      <c r="B186" t="s">
        <v>360</v>
      </c>
      <c r="C186" t="s">
        <v>210</v>
      </c>
      <c r="E186" t="s">
        <v>8</v>
      </c>
      <c r="F186" t="s">
        <v>90</v>
      </c>
      <c r="G186" t="s">
        <v>91</v>
      </c>
      <c r="H186">
        <v>3</v>
      </c>
      <c r="I186" t="s">
        <v>92</v>
      </c>
      <c r="J186" t="s">
        <v>92</v>
      </c>
      <c r="K186" t="s">
        <v>95</v>
      </c>
      <c r="L186" s="40">
        <v>45210</v>
      </c>
      <c r="M186" s="41">
        <v>0.90625</v>
      </c>
      <c r="N186" s="41">
        <v>0.92708333333333326</v>
      </c>
      <c r="O186">
        <v>5</v>
      </c>
      <c r="P186" t="s">
        <v>686</v>
      </c>
      <c r="U186" t="s">
        <v>603</v>
      </c>
    </row>
    <row r="187" spans="1:21" hidden="1" x14ac:dyDescent="0.45">
      <c r="A187">
        <v>93</v>
      </c>
      <c r="B187" t="s">
        <v>266</v>
      </c>
      <c r="C187" t="s">
        <v>191</v>
      </c>
      <c r="D187" t="s">
        <v>492</v>
      </c>
      <c r="E187" t="s">
        <v>262</v>
      </c>
      <c r="F187" t="s">
        <v>90</v>
      </c>
      <c r="G187" t="s">
        <v>91</v>
      </c>
      <c r="H187">
        <v>2</v>
      </c>
      <c r="I187" t="s">
        <v>92</v>
      </c>
      <c r="J187" t="s">
        <v>92</v>
      </c>
      <c r="K187" t="s">
        <v>95</v>
      </c>
      <c r="L187" s="40">
        <v>45212</v>
      </c>
      <c r="M187" s="41">
        <v>0.90625</v>
      </c>
      <c r="N187" s="41">
        <v>0.92708333333333326</v>
      </c>
      <c r="O187">
        <v>5</v>
      </c>
      <c r="P187" t="s">
        <v>702</v>
      </c>
      <c r="U187" t="s">
        <v>564</v>
      </c>
    </row>
    <row r="188" spans="1:21" hidden="1" x14ac:dyDescent="0.45">
      <c r="A188">
        <v>45</v>
      </c>
      <c r="B188" t="s">
        <v>186</v>
      </c>
      <c r="C188" t="s">
        <v>187</v>
      </c>
      <c r="E188" t="s">
        <v>185</v>
      </c>
      <c r="F188" t="s">
        <v>90</v>
      </c>
      <c r="G188" t="s">
        <v>91</v>
      </c>
      <c r="H188">
        <v>2</v>
      </c>
      <c r="I188" t="s">
        <v>92</v>
      </c>
      <c r="J188" t="s">
        <v>92</v>
      </c>
      <c r="K188" t="s">
        <v>100</v>
      </c>
      <c r="L188" s="40">
        <v>45213</v>
      </c>
      <c r="M188" s="41">
        <v>0.90625</v>
      </c>
      <c r="N188" s="41">
        <v>0.9375</v>
      </c>
      <c r="O188">
        <v>5</v>
      </c>
      <c r="P188" t="s">
        <v>705</v>
      </c>
      <c r="U188" t="s">
        <v>532</v>
      </c>
    </row>
    <row r="189" spans="1:21" hidden="1" x14ac:dyDescent="0.45">
      <c r="A189">
        <v>97</v>
      </c>
      <c r="B189" t="s">
        <v>270</v>
      </c>
      <c r="C189" t="s">
        <v>199</v>
      </c>
      <c r="D189" t="s">
        <v>492</v>
      </c>
      <c r="E189" t="s">
        <v>262</v>
      </c>
      <c r="F189" t="s">
        <v>90</v>
      </c>
      <c r="G189" t="s">
        <v>91</v>
      </c>
      <c r="H189">
        <v>3</v>
      </c>
      <c r="I189" t="s">
        <v>92</v>
      </c>
      <c r="J189" t="s">
        <v>92</v>
      </c>
      <c r="K189" t="s">
        <v>95</v>
      </c>
      <c r="L189" s="40">
        <v>45206</v>
      </c>
      <c r="M189" s="41">
        <v>0.91319444444444442</v>
      </c>
      <c r="N189" s="41">
        <v>0.93402777777777768</v>
      </c>
      <c r="O189">
        <v>5</v>
      </c>
      <c r="P189" t="s">
        <v>646</v>
      </c>
      <c r="U189" t="s">
        <v>499</v>
      </c>
    </row>
    <row r="190" spans="1:21" hidden="1" x14ac:dyDescent="0.45">
      <c r="A190">
        <v>104</v>
      </c>
      <c r="B190" t="s">
        <v>282</v>
      </c>
      <c r="C190" t="s">
        <v>107</v>
      </c>
      <c r="D190" t="s">
        <v>492</v>
      </c>
      <c r="E190" t="s">
        <v>262</v>
      </c>
      <c r="F190" t="s">
        <v>90</v>
      </c>
      <c r="G190" t="s">
        <v>91</v>
      </c>
      <c r="H190">
        <v>3</v>
      </c>
      <c r="I190" t="s">
        <v>103</v>
      </c>
      <c r="J190" t="s">
        <v>103</v>
      </c>
      <c r="K190" t="s">
        <v>95</v>
      </c>
      <c r="L190" s="40">
        <v>45207</v>
      </c>
      <c r="M190" s="41">
        <v>0.91319444444444442</v>
      </c>
      <c r="N190" s="41">
        <v>0.93402777777777768</v>
      </c>
      <c r="O190">
        <v>5</v>
      </c>
      <c r="U190" t="s">
        <v>572</v>
      </c>
    </row>
    <row r="191" spans="1:21" hidden="1" x14ac:dyDescent="0.45">
      <c r="A191">
        <v>147</v>
      </c>
      <c r="B191" t="s">
        <v>351</v>
      </c>
      <c r="C191" t="s">
        <v>193</v>
      </c>
      <c r="D191" t="s">
        <v>492</v>
      </c>
      <c r="E191" t="s">
        <v>8</v>
      </c>
      <c r="F191" t="s">
        <v>90</v>
      </c>
      <c r="G191" t="s">
        <v>91</v>
      </c>
      <c r="H191">
        <v>3</v>
      </c>
      <c r="I191" t="s">
        <v>92</v>
      </c>
      <c r="J191" t="s">
        <v>92</v>
      </c>
      <c r="K191" t="s">
        <v>95</v>
      </c>
      <c r="L191" s="40">
        <v>45208</v>
      </c>
      <c r="M191" s="41">
        <v>0.91319444444444442</v>
      </c>
      <c r="N191" s="41">
        <v>0.93402777777777768</v>
      </c>
      <c r="O191">
        <v>5</v>
      </c>
      <c r="P191" t="s">
        <v>657</v>
      </c>
      <c r="U191" t="s">
        <v>499</v>
      </c>
    </row>
    <row r="192" spans="1:21" hidden="1" x14ac:dyDescent="0.45">
      <c r="A192">
        <v>148</v>
      </c>
      <c r="B192" t="s">
        <v>352</v>
      </c>
      <c r="C192" t="s">
        <v>197</v>
      </c>
      <c r="D192" t="s">
        <v>492</v>
      </c>
      <c r="E192" t="s">
        <v>8</v>
      </c>
      <c r="F192" t="s">
        <v>90</v>
      </c>
      <c r="G192" t="s">
        <v>91</v>
      </c>
      <c r="H192">
        <v>3</v>
      </c>
      <c r="I192" t="s">
        <v>92</v>
      </c>
      <c r="J192" t="s">
        <v>92</v>
      </c>
      <c r="K192" t="s">
        <v>95</v>
      </c>
      <c r="L192" s="40">
        <v>45209</v>
      </c>
      <c r="M192" s="41">
        <v>0.91319444444444442</v>
      </c>
      <c r="N192" s="41">
        <v>0.93402777777777768</v>
      </c>
      <c r="O192">
        <v>4</v>
      </c>
      <c r="P192" t="s">
        <v>681</v>
      </c>
      <c r="U192" t="s">
        <v>499</v>
      </c>
    </row>
    <row r="193" spans="1:21" hidden="1" x14ac:dyDescent="0.45">
      <c r="A193">
        <v>110</v>
      </c>
      <c r="B193" t="s">
        <v>291</v>
      </c>
      <c r="C193" t="s">
        <v>212</v>
      </c>
      <c r="D193" t="s">
        <v>492</v>
      </c>
      <c r="E193" t="s">
        <v>262</v>
      </c>
      <c r="F193" t="s">
        <v>90</v>
      </c>
      <c r="G193" t="s">
        <v>91</v>
      </c>
      <c r="H193">
        <v>3</v>
      </c>
      <c r="I193" t="s">
        <v>92</v>
      </c>
      <c r="J193" t="s">
        <v>92</v>
      </c>
      <c r="K193" t="s">
        <v>95</v>
      </c>
      <c r="L193" s="40">
        <v>45209</v>
      </c>
      <c r="M193" s="41">
        <v>0.91319444444444442</v>
      </c>
      <c r="N193" s="41">
        <v>0.93402777777777768</v>
      </c>
      <c r="O193">
        <v>5</v>
      </c>
      <c r="P193" t="s">
        <v>682</v>
      </c>
      <c r="U193" t="s">
        <v>545</v>
      </c>
    </row>
    <row r="194" spans="1:21" hidden="1" x14ac:dyDescent="0.45">
      <c r="A194">
        <v>115</v>
      </c>
      <c r="B194" t="s">
        <v>296</v>
      </c>
      <c r="C194" t="s">
        <v>224</v>
      </c>
      <c r="D194" t="s">
        <v>492</v>
      </c>
      <c r="E194" t="s">
        <v>262</v>
      </c>
      <c r="F194" t="s">
        <v>90</v>
      </c>
      <c r="G194" t="s">
        <v>91</v>
      </c>
      <c r="H194">
        <v>3</v>
      </c>
      <c r="I194" t="s">
        <v>92</v>
      </c>
      <c r="J194" t="s">
        <v>92</v>
      </c>
      <c r="K194" t="s">
        <v>95</v>
      </c>
      <c r="L194" s="40">
        <v>45210</v>
      </c>
      <c r="M194" s="41">
        <v>0.91319444444444442</v>
      </c>
      <c r="N194" s="41">
        <v>0.93402777777777768</v>
      </c>
      <c r="O194">
        <v>5</v>
      </c>
      <c r="P194" t="s">
        <v>679</v>
      </c>
      <c r="U194" t="s">
        <v>550</v>
      </c>
    </row>
    <row r="195" spans="1:21" hidden="1" x14ac:dyDescent="0.45">
      <c r="A195">
        <v>161</v>
      </c>
      <c r="B195" t="s">
        <v>369</v>
      </c>
      <c r="C195" t="s">
        <v>370</v>
      </c>
      <c r="D195" t="s">
        <v>492</v>
      </c>
      <c r="E195" t="s">
        <v>8</v>
      </c>
      <c r="F195" t="s">
        <v>90</v>
      </c>
      <c r="G195" t="s">
        <v>91</v>
      </c>
      <c r="H195">
        <v>3</v>
      </c>
      <c r="I195" t="s">
        <v>92</v>
      </c>
      <c r="J195" t="s">
        <v>92</v>
      </c>
      <c r="K195" t="s">
        <v>95</v>
      </c>
      <c r="L195" s="40">
        <v>45211</v>
      </c>
      <c r="M195" s="41">
        <v>0.91319444444444442</v>
      </c>
      <c r="N195" s="41">
        <v>0.93402777777777768</v>
      </c>
      <c r="O195">
        <v>5</v>
      </c>
      <c r="Q195" t="s">
        <v>697</v>
      </c>
      <c r="U195" t="s">
        <v>604</v>
      </c>
    </row>
    <row r="196" spans="1:21" hidden="1" x14ac:dyDescent="0.45">
      <c r="A196">
        <v>165</v>
      </c>
      <c r="B196" t="s">
        <v>375</v>
      </c>
      <c r="C196" t="s">
        <v>124</v>
      </c>
      <c r="E196" t="s">
        <v>8</v>
      </c>
      <c r="F196" t="s">
        <v>90</v>
      </c>
      <c r="G196" t="s">
        <v>91</v>
      </c>
      <c r="H196">
        <v>3</v>
      </c>
      <c r="I196" t="s">
        <v>92</v>
      </c>
      <c r="J196" t="s">
        <v>92</v>
      </c>
      <c r="K196" t="s">
        <v>95</v>
      </c>
      <c r="L196" s="40">
        <v>45212</v>
      </c>
      <c r="M196" s="41">
        <v>0.91319444444444442</v>
      </c>
      <c r="N196" s="41">
        <v>0.93402777777777768</v>
      </c>
      <c r="O196">
        <v>5</v>
      </c>
      <c r="P196" t="s">
        <v>703</v>
      </c>
      <c r="U196" t="s">
        <v>606</v>
      </c>
    </row>
    <row r="197" spans="1:21" hidden="1" x14ac:dyDescent="0.45">
      <c r="A197">
        <v>133</v>
      </c>
      <c r="B197" t="s">
        <v>326</v>
      </c>
      <c r="C197" t="s">
        <v>327</v>
      </c>
      <c r="D197" t="s">
        <v>492</v>
      </c>
      <c r="E197" t="s">
        <v>262</v>
      </c>
      <c r="F197" t="s">
        <v>90</v>
      </c>
      <c r="G197" t="s">
        <v>138</v>
      </c>
      <c r="H197">
        <v>3</v>
      </c>
      <c r="I197" t="s">
        <v>92</v>
      </c>
      <c r="J197" t="s">
        <v>92</v>
      </c>
      <c r="K197"/>
      <c r="L197" s="40">
        <v>45225</v>
      </c>
      <c r="M197" s="41">
        <v>0.91666666666666674</v>
      </c>
      <c r="N197" s="41">
        <v>0.9375</v>
      </c>
      <c r="O197">
        <v>2</v>
      </c>
      <c r="Q197" t="s">
        <v>692</v>
      </c>
      <c r="R197" t="s">
        <v>725</v>
      </c>
      <c r="U197" t="s">
        <v>591</v>
      </c>
    </row>
    <row r="198" spans="1:21" hidden="1" x14ac:dyDescent="0.45">
      <c r="A198">
        <v>55</v>
      </c>
      <c r="B198" t="s">
        <v>203</v>
      </c>
      <c r="C198" t="s">
        <v>107</v>
      </c>
      <c r="D198" t="s">
        <v>492</v>
      </c>
      <c r="E198" t="s">
        <v>185</v>
      </c>
      <c r="F198" t="s">
        <v>90</v>
      </c>
      <c r="G198" t="s">
        <v>91</v>
      </c>
      <c r="H198">
        <v>3</v>
      </c>
      <c r="I198" t="s">
        <v>103</v>
      </c>
      <c r="J198" t="s">
        <v>103</v>
      </c>
      <c r="K198" t="s">
        <v>95</v>
      </c>
      <c r="L198" s="40">
        <v>45207</v>
      </c>
      <c r="M198" s="41">
        <v>0.91666666666666674</v>
      </c>
      <c r="N198" s="41">
        <v>0.9375</v>
      </c>
      <c r="O198">
        <v>5</v>
      </c>
      <c r="U198" t="s">
        <v>542</v>
      </c>
    </row>
    <row r="199" spans="1:21" hidden="1" x14ac:dyDescent="0.45">
      <c r="A199">
        <v>58</v>
      </c>
      <c r="B199" t="s">
        <v>207</v>
      </c>
      <c r="C199" t="s">
        <v>208</v>
      </c>
      <c r="D199" t="s">
        <v>492</v>
      </c>
      <c r="E199" t="s">
        <v>185</v>
      </c>
      <c r="F199" t="s">
        <v>90</v>
      </c>
      <c r="G199" t="s">
        <v>91</v>
      </c>
      <c r="H199">
        <v>3</v>
      </c>
      <c r="I199" t="s">
        <v>92</v>
      </c>
      <c r="J199" t="s">
        <v>92</v>
      </c>
      <c r="K199" t="s">
        <v>95</v>
      </c>
      <c r="L199" s="40">
        <v>45208</v>
      </c>
      <c r="M199" s="41">
        <v>0.91666666666666674</v>
      </c>
      <c r="N199" s="41">
        <v>0.9375</v>
      </c>
      <c r="O199">
        <v>5</v>
      </c>
      <c r="P199" t="s">
        <v>658</v>
      </c>
      <c r="U199" t="s">
        <v>545</v>
      </c>
    </row>
    <row r="200" spans="1:21" hidden="1" x14ac:dyDescent="0.45">
      <c r="A200">
        <v>67</v>
      </c>
      <c r="B200" t="s">
        <v>225</v>
      </c>
      <c r="C200" t="s">
        <v>226</v>
      </c>
      <c r="D200" t="s">
        <v>492</v>
      </c>
      <c r="E200" t="s">
        <v>185</v>
      </c>
      <c r="F200" t="s">
        <v>90</v>
      </c>
      <c r="G200" t="s">
        <v>91</v>
      </c>
      <c r="H200">
        <v>3</v>
      </c>
      <c r="I200" t="s">
        <v>92</v>
      </c>
      <c r="J200" t="s">
        <v>92</v>
      </c>
      <c r="K200" t="s">
        <v>95</v>
      </c>
      <c r="L200" s="40">
        <v>45210</v>
      </c>
      <c r="M200" s="41">
        <v>0.91666666666666674</v>
      </c>
      <c r="N200" s="41">
        <v>0.9375</v>
      </c>
      <c r="O200">
        <v>5</v>
      </c>
      <c r="P200" t="s">
        <v>672</v>
      </c>
      <c r="U200" t="s">
        <v>550</v>
      </c>
    </row>
    <row r="201" spans="1:21" hidden="1" x14ac:dyDescent="0.45">
      <c r="A201">
        <v>71</v>
      </c>
      <c r="B201" t="s">
        <v>232</v>
      </c>
      <c r="C201" t="s">
        <v>233</v>
      </c>
      <c r="D201" t="s">
        <v>492</v>
      </c>
      <c r="E201" t="s">
        <v>185</v>
      </c>
      <c r="F201" t="s">
        <v>90</v>
      </c>
      <c r="G201" t="s">
        <v>91</v>
      </c>
      <c r="H201">
        <v>3</v>
      </c>
      <c r="I201" t="s">
        <v>92</v>
      </c>
      <c r="J201" t="s">
        <v>92</v>
      </c>
      <c r="K201" t="s">
        <v>95</v>
      </c>
      <c r="L201" s="40">
        <v>45211</v>
      </c>
      <c r="M201" s="41">
        <v>0.91666666666666674</v>
      </c>
      <c r="N201" s="41">
        <v>0.9375</v>
      </c>
      <c r="O201">
        <v>5</v>
      </c>
      <c r="U201" t="s">
        <v>553</v>
      </c>
    </row>
    <row r="202" spans="1:21" hidden="1" x14ac:dyDescent="0.45">
      <c r="A202">
        <v>105</v>
      </c>
      <c r="B202" t="s">
        <v>283</v>
      </c>
      <c r="C202" t="s">
        <v>284</v>
      </c>
      <c r="E202" t="s">
        <v>262</v>
      </c>
      <c r="F202" t="s">
        <v>90</v>
      </c>
      <c r="G202" t="s">
        <v>91</v>
      </c>
      <c r="H202">
        <v>3</v>
      </c>
      <c r="I202" t="s">
        <v>92</v>
      </c>
      <c r="J202" t="s">
        <v>92</v>
      </c>
      <c r="K202" t="s">
        <v>95</v>
      </c>
      <c r="L202" s="40">
        <v>45208</v>
      </c>
      <c r="M202" s="41" t="s">
        <v>573</v>
      </c>
      <c r="N202" s="41">
        <v>0.93402777777777768</v>
      </c>
      <c r="O202">
        <v>5</v>
      </c>
      <c r="P202" t="s">
        <v>680</v>
      </c>
      <c r="U202" t="s">
        <v>543</v>
      </c>
    </row>
    <row r="203" spans="1:21" hidden="1" x14ac:dyDescent="0.45">
      <c r="A203">
        <v>87</v>
      </c>
      <c r="B203" t="s">
        <v>256</v>
      </c>
      <c r="C203" t="s">
        <v>257</v>
      </c>
      <c r="D203" t="s">
        <v>492</v>
      </c>
      <c r="E203" t="s">
        <v>185</v>
      </c>
      <c r="F203" t="s">
        <v>180</v>
      </c>
      <c r="G203" t="s">
        <v>91</v>
      </c>
      <c r="H203">
        <v>5</v>
      </c>
      <c r="I203" t="s">
        <v>177</v>
      </c>
      <c r="J203" t="s">
        <v>177</v>
      </c>
      <c r="K203" t="s">
        <v>135</v>
      </c>
      <c r="L203" s="40">
        <v>45215</v>
      </c>
      <c r="M203" s="41" t="s">
        <v>560</v>
      </c>
      <c r="N203" s="41">
        <v>0.83333333333333326</v>
      </c>
      <c r="O203">
        <v>5</v>
      </c>
      <c r="U203" t="s">
        <v>561</v>
      </c>
    </row>
    <row r="204" spans="1:21" hidden="1" x14ac:dyDescent="0.45">
      <c r="A204">
        <v>196</v>
      </c>
      <c r="B204" t="s">
        <v>431</v>
      </c>
      <c r="C204" t="s">
        <v>432</v>
      </c>
      <c r="E204" t="s">
        <v>423</v>
      </c>
      <c r="F204" t="s">
        <v>180</v>
      </c>
      <c r="G204" t="s">
        <v>91</v>
      </c>
      <c r="I204" t="s">
        <v>424</v>
      </c>
      <c r="J204" t="s">
        <v>424</v>
      </c>
      <c r="K204"/>
      <c r="L204" s="40">
        <v>45216</v>
      </c>
      <c r="N204" s="41">
        <v>0.75</v>
      </c>
      <c r="O204">
        <v>5</v>
      </c>
      <c r="U204" t="s">
        <v>628</v>
      </c>
    </row>
    <row r="205" spans="1:21" hidden="1" x14ac:dyDescent="0.45">
      <c r="A205">
        <v>192</v>
      </c>
      <c r="B205" t="s">
        <v>421</v>
      </c>
      <c r="C205" t="s">
        <v>422</v>
      </c>
      <c r="E205" t="s">
        <v>423</v>
      </c>
      <c r="F205" t="s">
        <v>180</v>
      </c>
      <c r="G205" t="s">
        <v>91</v>
      </c>
      <c r="I205" t="s">
        <v>424</v>
      </c>
      <c r="J205" t="s">
        <v>424</v>
      </c>
      <c r="K205"/>
      <c r="L205" s="40">
        <v>45217</v>
      </c>
      <c r="N205" s="41">
        <v>0.75</v>
      </c>
      <c r="O205">
        <v>0</v>
      </c>
      <c r="U205" t="s">
        <v>624</v>
      </c>
    </row>
    <row r="206" spans="1:21" hidden="1" x14ac:dyDescent="0.45">
      <c r="A206">
        <v>193</v>
      </c>
      <c r="B206" t="s">
        <v>425</v>
      </c>
      <c r="C206" t="s">
        <v>426</v>
      </c>
      <c r="E206" t="s">
        <v>423</v>
      </c>
      <c r="F206" t="s">
        <v>180</v>
      </c>
      <c r="G206" t="s">
        <v>91</v>
      </c>
      <c r="I206" t="s">
        <v>424</v>
      </c>
      <c r="J206" t="s">
        <v>424</v>
      </c>
      <c r="K206"/>
      <c r="L206" s="40">
        <v>45219</v>
      </c>
      <c r="N206" s="41">
        <v>0.75</v>
      </c>
      <c r="O206">
        <v>0</v>
      </c>
      <c r="U206" t="s">
        <v>625</v>
      </c>
    </row>
    <row r="207" spans="1:21" hidden="1" x14ac:dyDescent="0.45">
      <c r="A207">
        <v>194</v>
      </c>
      <c r="B207" t="s">
        <v>427</v>
      </c>
      <c r="C207" t="s">
        <v>428</v>
      </c>
      <c r="E207" t="s">
        <v>423</v>
      </c>
      <c r="F207" t="s">
        <v>180</v>
      </c>
      <c r="G207" t="s">
        <v>91</v>
      </c>
      <c r="I207" t="s">
        <v>424</v>
      </c>
      <c r="J207" t="s">
        <v>424</v>
      </c>
      <c r="K207"/>
      <c r="L207" s="40">
        <v>45220</v>
      </c>
      <c r="N207" s="41">
        <v>0.75</v>
      </c>
      <c r="O207">
        <v>0</v>
      </c>
      <c r="U207" t="s">
        <v>626</v>
      </c>
    </row>
    <row r="208" spans="1:21" hidden="1" x14ac:dyDescent="0.45">
      <c r="A208">
        <v>195</v>
      </c>
      <c r="B208" t="s">
        <v>429</v>
      </c>
      <c r="C208" t="s">
        <v>430</v>
      </c>
      <c r="E208" t="s">
        <v>423</v>
      </c>
      <c r="F208" t="s">
        <v>180</v>
      </c>
      <c r="G208" t="s">
        <v>91</v>
      </c>
      <c r="I208" t="s">
        <v>424</v>
      </c>
      <c r="J208" t="s">
        <v>424</v>
      </c>
      <c r="K208"/>
      <c r="L208" s="40">
        <v>45221</v>
      </c>
      <c r="N208" s="41">
        <v>0.75</v>
      </c>
      <c r="O208">
        <v>0</v>
      </c>
      <c r="U208" t="s">
        <v>627</v>
      </c>
    </row>
    <row r="209" spans="1:21" hidden="1" x14ac:dyDescent="0.45">
      <c r="A209">
        <v>145</v>
      </c>
      <c r="B209" t="s">
        <v>348</v>
      </c>
      <c r="C209" t="s">
        <v>349</v>
      </c>
      <c r="E209" t="s">
        <v>8</v>
      </c>
      <c r="F209" t="s">
        <v>90</v>
      </c>
      <c r="G209" t="s">
        <v>91</v>
      </c>
      <c r="H209">
        <v>3</v>
      </c>
      <c r="I209" t="s">
        <v>103</v>
      </c>
      <c r="J209" t="s">
        <v>103</v>
      </c>
      <c r="K209"/>
      <c r="L209" s="40">
        <v>45222</v>
      </c>
      <c r="N209" s="41">
        <v>0.75</v>
      </c>
      <c r="O209">
        <v>0</v>
      </c>
      <c r="U209" t="s">
        <v>600</v>
      </c>
    </row>
  </sheetData>
  <phoneticPr fontId="13" type="noConversion"/>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CABE1-40B2-40E0-BE8D-5F199928E3A2}">
  <sheetPr codeName="Sheet4">
    <pageSetUpPr fitToPage="1"/>
  </sheetPr>
  <dimension ref="A1:L26"/>
  <sheetViews>
    <sheetView zoomScaleNormal="100" workbookViewId="0">
      <selection activeCell="L19" sqref="L19"/>
    </sheetView>
  </sheetViews>
  <sheetFormatPr defaultRowHeight="14.25" x14ac:dyDescent="0.45"/>
  <cols>
    <col min="2" max="2" width="25.59765625" bestFit="1" customWidth="1"/>
    <col min="3" max="3" width="6.06640625" customWidth="1"/>
    <col min="4" max="5" width="10.59765625" customWidth="1"/>
    <col min="6" max="6" width="8.86328125" customWidth="1"/>
    <col min="7" max="7" width="1.3984375" customWidth="1"/>
    <col min="8" max="11" width="10.59765625" customWidth="1"/>
  </cols>
  <sheetData>
    <row r="1" spans="1:12" ht="28.15" customHeight="1" x14ac:dyDescent="0.45">
      <c r="A1" s="160" t="str">
        <f>f_str_festname &amp; " GROUP PROGRAM CANDIDATES LIST"</f>
        <v>KALANKAM '23 GROUP PROGRAM CANDIDATES LIST</v>
      </c>
      <c r="B1" s="161"/>
      <c r="C1" s="161"/>
      <c r="D1" s="161"/>
      <c r="E1" s="161"/>
      <c r="F1" s="161"/>
      <c r="G1" s="161"/>
      <c r="H1" s="161"/>
      <c r="I1" s="161"/>
      <c r="J1" s="161"/>
      <c r="K1" s="162"/>
    </row>
    <row r="2" spans="1:12" ht="22.9" customHeight="1" thickBot="1" x14ac:dyDescent="0.5">
      <c r="A2" s="165" t="str">
        <f>"Team: "&amp;L2</f>
        <v>Team: JARFATHAN</v>
      </c>
      <c r="B2" s="166"/>
      <c r="C2" s="166"/>
      <c r="D2" s="166"/>
      <c r="E2" s="166"/>
      <c r="F2" s="166"/>
      <c r="G2" s="166"/>
      <c r="H2" s="166"/>
      <c r="I2" s="166"/>
      <c r="J2" s="166"/>
      <c r="K2" s="167"/>
      <c r="L2" t="s">
        <v>479</v>
      </c>
    </row>
    <row r="3" spans="1:12" ht="14.65" thickBot="1" x14ac:dyDescent="0.5">
      <c r="A3" s="44" t="s">
        <v>74</v>
      </c>
      <c r="B3" s="44" t="s">
        <v>75</v>
      </c>
      <c r="C3" s="44" t="s">
        <v>472</v>
      </c>
      <c r="D3" s="44" t="s">
        <v>20</v>
      </c>
      <c r="E3" s="44" t="s">
        <v>470</v>
      </c>
      <c r="F3" s="44" t="s">
        <v>471</v>
      </c>
      <c r="G3" s="44"/>
      <c r="H3" s="44" t="s">
        <v>475</v>
      </c>
      <c r="I3" s="44" t="s">
        <v>476</v>
      </c>
      <c r="J3" s="44" t="s">
        <v>477</v>
      </c>
      <c r="K3" s="44" t="s">
        <v>478</v>
      </c>
    </row>
    <row r="4" spans="1:12" ht="15.85" customHeight="1" thickBot="1" x14ac:dyDescent="0.5">
      <c r="A4" s="42" t="s">
        <v>181</v>
      </c>
      <c r="B4" s="42" t="s">
        <v>182</v>
      </c>
      <c r="C4" s="42">
        <v>3</v>
      </c>
      <c r="D4" s="42"/>
      <c r="E4" s="42"/>
      <c r="F4" s="163"/>
      <c r="G4" s="164"/>
      <c r="H4" s="42"/>
      <c r="I4" s="42"/>
      <c r="J4" s="42"/>
      <c r="K4" s="42"/>
    </row>
    <row r="5" spans="1:12" ht="15.85" customHeight="1" thickBot="1" x14ac:dyDescent="0.5">
      <c r="A5" s="42" t="s">
        <v>256</v>
      </c>
      <c r="B5" s="42" t="s">
        <v>257</v>
      </c>
      <c r="C5" s="42">
        <v>5</v>
      </c>
      <c r="D5" s="42"/>
      <c r="E5" s="42"/>
      <c r="F5" s="163"/>
      <c r="G5" s="164"/>
      <c r="H5" s="42"/>
      <c r="I5" s="42"/>
      <c r="J5" s="42"/>
      <c r="K5" s="42"/>
    </row>
    <row r="6" spans="1:12" ht="15.85" customHeight="1" thickBot="1" x14ac:dyDescent="0.5">
      <c r="A6" s="42" t="s">
        <v>259</v>
      </c>
      <c r="B6" s="42" t="s">
        <v>182</v>
      </c>
      <c r="C6" s="42">
        <v>3</v>
      </c>
      <c r="D6" s="42"/>
      <c r="E6" s="42"/>
      <c r="F6" s="163"/>
      <c r="G6" s="164"/>
      <c r="H6" s="42"/>
      <c r="I6" s="42"/>
      <c r="J6" s="42"/>
      <c r="K6" s="42"/>
    </row>
    <row r="7" spans="1:12" ht="15.85" customHeight="1" thickBot="1" x14ac:dyDescent="0.5">
      <c r="A7" s="42" t="s">
        <v>334</v>
      </c>
      <c r="B7" s="42" t="s">
        <v>335</v>
      </c>
      <c r="C7" s="42">
        <v>2</v>
      </c>
      <c r="D7" s="42"/>
      <c r="E7" s="42"/>
      <c r="F7" s="163"/>
      <c r="G7" s="164"/>
      <c r="H7" s="42"/>
      <c r="I7" s="42"/>
      <c r="J7" s="42"/>
      <c r="K7" s="42"/>
    </row>
    <row r="8" spans="1:12" ht="15.85" customHeight="1" thickBot="1" x14ac:dyDescent="0.5">
      <c r="A8" s="42" t="s">
        <v>336</v>
      </c>
      <c r="B8" s="42" t="s">
        <v>337</v>
      </c>
      <c r="C8" s="42">
        <v>5</v>
      </c>
      <c r="D8" s="42"/>
      <c r="E8" s="42"/>
      <c r="F8" s="163"/>
      <c r="G8" s="164"/>
      <c r="H8" s="42"/>
      <c r="I8" s="42"/>
      <c r="J8" s="42"/>
      <c r="K8" s="42"/>
    </row>
    <row r="9" spans="1:12" ht="15.85" customHeight="1" thickBot="1" x14ac:dyDescent="0.5">
      <c r="A9" s="42" t="s">
        <v>338</v>
      </c>
      <c r="B9" s="42" t="s">
        <v>339</v>
      </c>
      <c r="C9" s="42">
        <v>2</v>
      </c>
      <c r="D9" s="42"/>
      <c r="E9" s="42"/>
      <c r="F9" s="163"/>
      <c r="G9" s="164"/>
      <c r="H9" s="42"/>
      <c r="I9" s="42"/>
      <c r="J9" s="42"/>
      <c r="K9" s="42"/>
    </row>
    <row r="10" spans="1:12" ht="15.85" customHeight="1" thickBot="1" x14ac:dyDescent="0.5">
      <c r="A10" s="42" t="s">
        <v>342</v>
      </c>
      <c r="B10" s="42" t="s">
        <v>343</v>
      </c>
      <c r="C10" s="42">
        <v>3</v>
      </c>
      <c r="D10" s="42"/>
      <c r="E10" s="42"/>
      <c r="F10" s="163"/>
      <c r="G10" s="164"/>
      <c r="H10" s="42"/>
      <c r="I10" s="42"/>
      <c r="J10" s="42"/>
      <c r="K10" s="42"/>
    </row>
    <row r="11" spans="1:12" ht="15.85" customHeight="1" thickBot="1" x14ac:dyDescent="0.5">
      <c r="A11" s="42" t="s">
        <v>416</v>
      </c>
      <c r="B11" s="42" t="s">
        <v>417</v>
      </c>
      <c r="C11" s="42">
        <v>3</v>
      </c>
      <c r="D11" s="42"/>
      <c r="E11" s="42"/>
      <c r="F11" s="163"/>
      <c r="G11" s="164"/>
      <c r="H11" s="42"/>
      <c r="I11" s="42"/>
      <c r="J11" s="42"/>
      <c r="K11" s="42"/>
    </row>
    <row r="12" spans="1:12" ht="15.85" customHeight="1" thickBot="1" x14ac:dyDescent="0.5">
      <c r="A12" s="42" t="s">
        <v>419</v>
      </c>
      <c r="B12" s="42" t="s">
        <v>420</v>
      </c>
      <c r="C12" s="42">
        <v>4</v>
      </c>
      <c r="D12" s="42"/>
      <c r="E12" s="42"/>
      <c r="F12" s="163"/>
      <c r="G12" s="164"/>
      <c r="H12" s="42"/>
      <c r="I12" s="42"/>
      <c r="J12" s="42"/>
      <c r="K12" s="42"/>
    </row>
    <row r="13" spans="1:12" ht="15.85" customHeight="1" thickBot="1" x14ac:dyDescent="0.5">
      <c r="A13" s="42" t="s">
        <v>433</v>
      </c>
      <c r="B13" s="42" t="s">
        <v>434</v>
      </c>
      <c r="C13" s="42">
        <v>1</v>
      </c>
      <c r="D13" s="42"/>
      <c r="E13" s="42"/>
      <c r="F13" s="163"/>
      <c r="G13" s="164"/>
      <c r="H13" s="42"/>
      <c r="I13" s="42"/>
      <c r="J13" s="42"/>
      <c r="K13" s="42"/>
    </row>
    <row r="14" spans="1:12" ht="15.85" customHeight="1" thickBot="1" x14ac:dyDescent="0.5">
      <c r="A14" s="42" t="s">
        <v>436</v>
      </c>
      <c r="B14" s="42" t="s">
        <v>437</v>
      </c>
      <c r="C14" s="42">
        <v>2</v>
      </c>
      <c r="D14" s="42"/>
      <c r="E14" s="42"/>
      <c r="F14" s="163"/>
      <c r="G14" s="164"/>
      <c r="H14" s="42"/>
      <c r="I14" s="42"/>
      <c r="J14" s="42"/>
      <c r="K14" s="42"/>
    </row>
    <row r="15" spans="1:12" ht="15.85" customHeight="1" thickBot="1" x14ac:dyDescent="0.5">
      <c r="A15" s="42" t="s">
        <v>438</v>
      </c>
      <c r="B15" s="42" t="s">
        <v>439</v>
      </c>
      <c r="C15" s="42">
        <v>3</v>
      </c>
      <c r="D15" s="42"/>
      <c r="E15" s="42"/>
      <c r="F15" s="163"/>
      <c r="G15" s="164"/>
      <c r="H15" s="42"/>
      <c r="I15" s="42"/>
      <c r="J15" s="42"/>
      <c r="K15" s="42"/>
    </row>
    <row r="16" spans="1:12" ht="15.85" customHeight="1" thickBot="1" x14ac:dyDescent="0.5">
      <c r="A16" s="42" t="s">
        <v>442</v>
      </c>
      <c r="B16" s="42" t="s">
        <v>443</v>
      </c>
      <c r="C16" s="42">
        <v>6</v>
      </c>
      <c r="D16" s="42"/>
      <c r="E16" s="42"/>
      <c r="F16" s="163"/>
      <c r="G16" s="164"/>
      <c r="H16" s="42"/>
      <c r="I16" s="42"/>
      <c r="J16" s="42"/>
      <c r="K16" s="42"/>
    </row>
    <row r="17" spans="1:11" ht="15.85" customHeight="1" thickBot="1" x14ac:dyDescent="0.5">
      <c r="A17" s="42" t="s">
        <v>444</v>
      </c>
      <c r="B17" s="42" t="s">
        <v>445</v>
      </c>
      <c r="C17" s="42">
        <v>3</v>
      </c>
      <c r="D17" s="42"/>
      <c r="E17" s="42"/>
      <c r="F17" s="163"/>
      <c r="G17" s="164"/>
      <c r="H17" s="42"/>
      <c r="I17" s="42"/>
      <c r="J17" s="42"/>
      <c r="K17" s="42"/>
    </row>
    <row r="18" spans="1:11" ht="15.85" customHeight="1" thickBot="1" x14ac:dyDescent="0.5">
      <c r="A18" s="42" t="s">
        <v>446</v>
      </c>
      <c r="B18" s="42" t="s">
        <v>447</v>
      </c>
      <c r="C18" s="42">
        <v>5</v>
      </c>
      <c r="D18" s="42"/>
      <c r="E18" s="42"/>
      <c r="F18" s="163"/>
      <c r="G18" s="164"/>
      <c r="H18" s="42"/>
      <c r="I18" s="42"/>
      <c r="J18" s="42"/>
      <c r="K18" s="42"/>
    </row>
    <row r="19" spans="1:11" ht="15.85" customHeight="1" thickBot="1" x14ac:dyDescent="0.5">
      <c r="A19" s="42" t="s">
        <v>448</v>
      </c>
      <c r="B19" s="42" t="s">
        <v>449</v>
      </c>
      <c r="C19" s="42">
        <v>7</v>
      </c>
      <c r="D19" s="42"/>
      <c r="E19" s="42"/>
      <c r="F19" s="163"/>
      <c r="G19" s="164"/>
      <c r="H19" s="42"/>
      <c r="I19" s="42"/>
      <c r="J19" s="42"/>
      <c r="K19" s="42"/>
    </row>
    <row r="20" spans="1:11" ht="15.85" customHeight="1" thickBot="1" x14ac:dyDescent="0.5">
      <c r="A20" s="42" t="s">
        <v>450</v>
      </c>
      <c r="B20" s="42" t="s">
        <v>451</v>
      </c>
      <c r="C20" s="42">
        <v>3</v>
      </c>
      <c r="D20" s="42"/>
      <c r="E20" s="42"/>
      <c r="F20" s="163"/>
      <c r="G20" s="164"/>
      <c r="H20" s="42"/>
      <c r="I20" s="42"/>
      <c r="J20" s="42"/>
      <c r="K20" s="42"/>
    </row>
    <row r="21" spans="1:11" ht="15.85" customHeight="1" thickBot="1" x14ac:dyDescent="0.5">
      <c r="A21" s="44"/>
      <c r="B21" s="44"/>
      <c r="C21" s="44"/>
      <c r="D21" s="44" t="s">
        <v>20</v>
      </c>
      <c r="E21" s="44" t="s">
        <v>467</v>
      </c>
      <c r="F21" s="44" t="s">
        <v>468</v>
      </c>
      <c r="G21" s="44"/>
      <c r="H21" s="44" t="s">
        <v>20</v>
      </c>
      <c r="I21" s="44" t="s">
        <v>470</v>
      </c>
      <c r="J21" s="44" t="s">
        <v>471</v>
      </c>
      <c r="K21" s="44"/>
    </row>
    <row r="22" spans="1:11" ht="15.85" customHeight="1" thickBot="1" x14ac:dyDescent="0.5">
      <c r="A22" s="42" t="s">
        <v>178</v>
      </c>
      <c r="B22" s="42" t="s">
        <v>179</v>
      </c>
      <c r="C22" s="43" t="s">
        <v>469</v>
      </c>
      <c r="D22" s="42"/>
      <c r="E22" s="42"/>
      <c r="F22" s="42"/>
      <c r="G22" s="168" t="s">
        <v>474</v>
      </c>
      <c r="H22" s="42"/>
      <c r="I22" s="42"/>
      <c r="J22" s="163"/>
      <c r="K22" s="164"/>
    </row>
    <row r="23" spans="1:11" ht="15.85" customHeight="1" thickBot="1" x14ac:dyDescent="0.5">
      <c r="A23" s="42" t="s">
        <v>258</v>
      </c>
      <c r="B23" s="42" t="s">
        <v>179</v>
      </c>
      <c r="C23" s="43" t="s">
        <v>469</v>
      </c>
      <c r="D23" s="42"/>
      <c r="E23" s="42"/>
      <c r="F23" s="42"/>
      <c r="G23" s="169"/>
      <c r="H23" s="42"/>
      <c r="I23" s="42"/>
      <c r="J23" s="163"/>
      <c r="K23" s="164"/>
    </row>
    <row r="24" spans="1:11" ht="15.85" customHeight="1" thickBot="1" x14ac:dyDescent="0.5">
      <c r="A24" s="42" t="s">
        <v>340</v>
      </c>
      <c r="B24" s="42" t="s">
        <v>341</v>
      </c>
      <c r="C24" s="43" t="s">
        <v>469</v>
      </c>
      <c r="D24" s="42"/>
      <c r="E24" s="42"/>
      <c r="F24" s="42"/>
      <c r="G24" s="169"/>
      <c r="H24" s="42"/>
      <c r="I24" s="42"/>
      <c r="J24" s="163"/>
      <c r="K24" s="164"/>
    </row>
    <row r="25" spans="1:11" ht="15.85" customHeight="1" thickBot="1" x14ac:dyDescent="0.5">
      <c r="A25" s="42" t="s">
        <v>418</v>
      </c>
      <c r="B25" s="42" t="s">
        <v>341</v>
      </c>
      <c r="C25" s="43" t="s">
        <v>469</v>
      </c>
      <c r="D25" s="42"/>
      <c r="E25" s="42"/>
      <c r="F25" s="42"/>
      <c r="G25" s="170"/>
      <c r="H25" s="42"/>
      <c r="I25" s="42"/>
      <c r="J25" s="163"/>
      <c r="K25" s="164"/>
    </row>
    <row r="26" spans="1:11" ht="14.65" thickBot="1" x14ac:dyDescent="0.5">
      <c r="A26" s="159" t="s">
        <v>473</v>
      </c>
      <c r="B26" s="159"/>
      <c r="C26" s="159"/>
      <c r="D26" s="159"/>
      <c r="E26" s="159"/>
      <c r="F26" s="159"/>
      <c r="G26" s="159"/>
      <c r="H26" s="159"/>
      <c r="I26" s="159"/>
      <c r="J26" s="159"/>
      <c r="K26" s="159"/>
    </row>
  </sheetData>
  <mergeCells count="25">
    <mergeCell ref="J23:K23"/>
    <mergeCell ref="J24:K24"/>
    <mergeCell ref="J25:K25"/>
    <mergeCell ref="F12:G12"/>
    <mergeCell ref="F13:G13"/>
    <mergeCell ref="F14:G14"/>
    <mergeCell ref="F15:G15"/>
    <mergeCell ref="F16:G16"/>
    <mergeCell ref="F17:G17"/>
    <mergeCell ref="A26:K26"/>
    <mergeCell ref="A1:K1"/>
    <mergeCell ref="F4:G4"/>
    <mergeCell ref="F5:G5"/>
    <mergeCell ref="F6:G6"/>
    <mergeCell ref="F7:G7"/>
    <mergeCell ref="F8:G8"/>
    <mergeCell ref="F9:G9"/>
    <mergeCell ref="F10:G10"/>
    <mergeCell ref="F11:G11"/>
    <mergeCell ref="A2:K2"/>
    <mergeCell ref="F18:G18"/>
    <mergeCell ref="F19:G19"/>
    <mergeCell ref="F20:G20"/>
    <mergeCell ref="G22:G25"/>
    <mergeCell ref="J22:K22"/>
  </mergeCells>
  <phoneticPr fontId="13" type="noConversion"/>
  <dataValidations count="1">
    <dataValidation type="list" allowBlank="1" showInputMessage="1" showErrorMessage="1" sqref="L2" xr:uid="{F4F8BFAA-695F-4FF7-B73E-AB7800FFFD3C}">
      <formula1>f_listof_teams_names</formula1>
    </dataValidation>
  </dataValidations>
  <printOptions horizontalCentered="1" verticalCentered="1"/>
  <pageMargins left="0.7" right="0.7" top="0.75" bottom="0.75" header="0.3" footer="0.3"/>
  <pageSetup paperSize="9"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56B9E-A717-4CC7-B596-344D73C42236}">
  <sheetPr codeName="Sheet7"/>
  <dimension ref="A1:L4997"/>
  <sheetViews>
    <sheetView zoomScaleNormal="100" workbookViewId="0">
      <selection activeCell="C8" sqref="C8"/>
    </sheetView>
  </sheetViews>
  <sheetFormatPr defaultRowHeight="14.65" thickBottom="1" x14ac:dyDescent="0.5"/>
  <cols>
    <col min="1" max="1" width="9.06640625" style="86"/>
    <col min="2" max="2" width="9.1328125" style="86" customWidth="1"/>
    <col min="3" max="3" width="37.19921875" style="86" customWidth="1"/>
    <col min="4" max="4" width="9.33203125" style="86" customWidth="1"/>
    <col min="5" max="5" width="6.59765625" style="86" customWidth="1"/>
    <col min="6" max="7" width="7.59765625" style="86" customWidth="1"/>
    <col min="8" max="8" width="11.06640625" style="86" customWidth="1"/>
    <col min="9" max="9" width="9.06640625" hidden="1" customWidth="1"/>
    <col min="11" max="11" width="10.1328125" customWidth="1"/>
    <col min="12" max="12" width="18.59765625" customWidth="1"/>
    <col min="13" max="13" width="29.1328125" bestFit="1" customWidth="1"/>
  </cols>
  <sheetData>
    <row r="1" spans="1:12" ht="14.25" x14ac:dyDescent="0.45">
      <c r="A1" s="87">
        <v>0</v>
      </c>
      <c r="B1" s="87">
        <v>0</v>
      </c>
      <c r="C1" s="87">
        <v>0</v>
      </c>
      <c r="D1" s="87">
        <v>0</v>
      </c>
      <c r="E1" s="87">
        <v>0</v>
      </c>
      <c r="F1" s="171">
        <v>0</v>
      </c>
      <c r="G1" s="171"/>
      <c r="H1" s="171"/>
      <c r="I1">
        <f ca="1">COUNTA(_xlfn.LET(_xlpm.trimmed,OFFSET(f_listof_program_candidates,MATCH("GN14",f_listof_program_codes,0)-1,6,1,),TRANSPOSE(_xlfn._xlws.FILTER(OFFSET(_xlpm.trimmed,0,0,,COUNTA(_xlpm.trimmed)-5),OFFSET(_xlpm.trimmed,0,0,,COUNTA(_xlpm.trimmed)-5)&lt;&gt;0))))</f>
        <v>12</v>
      </c>
      <c r="J1" t="s">
        <v>487</v>
      </c>
    </row>
    <row r="2" spans="1:12" ht="21.75" customHeight="1" thickBot="1" x14ac:dyDescent="0.5">
      <c r="A2" s="93">
        <v>0</v>
      </c>
      <c r="B2" s="93">
        <v>0</v>
      </c>
      <c r="C2" s="94" t="s">
        <v>706</v>
      </c>
      <c r="D2" s="93">
        <v>0</v>
      </c>
      <c r="E2" s="93">
        <v>0</v>
      </c>
      <c r="F2" s="93">
        <v>0</v>
      </c>
      <c r="G2" s="93">
        <v>0</v>
      </c>
      <c r="H2" s="93">
        <v>0</v>
      </c>
      <c r="K2" t="s">
        <v>687</v>
      </c>
      <c r="L2" s="6"/>
    </row>
    <row r="3" spans="1:12" thickBot="1" x14ac:dyDescent="0.5">
      <c r="A3" s="84" t="s">
        <v>87</v>
      </c>
      <c r="B3" s="84" t="str">
        <f>VLOOKUP("SJ01",f_detailsof_programs,2,FALSE)</f>
        <v>ADHĀN</v>
      </c>
      <c r="C3" s="84"/>
      <c r="D3" s="84" t="s">
        <v>688</v>
      </c>
      <c r="E3" s="84" t="s">
        <v>485</v>
      </c>
      <c r="F3" s="84"/>
      <c r="G3" s="84"/>
      <c r="H3" s="84"/>
    </row>
    <row r="4" spans="1:12" ht="14.25" x14ac:dyDescent="0.45">
      <c r="A4" s="85" t="s">
        <v>16</v>
      </c>
      <c r="B4" s="85" t="s">
        <v>480</v>
      </c>
      <c r="C4" s="85" t="s">
        <v>18</v>
      </c>
      <c r="D4" s="85" t="s">
        <v>481</v>
      </c>
      <c r="E4" s="85" t="s">
        <v>19</v>
      </c>
      <c r="F4" s="85" t="s">
        <v>482</v>
      </c>
      <c r="G4" s="85" t="s">
        <v>483</v>
      </c>
      <c r="H4" s="85" t="s">
        <v>484</v>
      </c>
    </row>
    <row r="5" spans="1:12" ht="14.25" x14ac:dyDescent="0.45">
      <c r="A5" s="86" cm="1">
        <f t="array" aca="1" ref="A5:A16" ca="1">_xlfn.SEQUENCE(COUNTA(_xlfn.LET(_xlpm.trimmed,OFFSET(f_listof_program_candidates,MATCH("SJ01",f_listof_program_codes,0)-1,6,1,),TRANSPOSE(_xlfn._xlws.FILTER(OFFSET(_xlpm.trimmed,0,0,,COUNTA(_xlpm.trimmed)-5),OFFSET(_xlpm.trimmed,0,0,,COUNTA(_xlpm.trimmed)-5)&lt;&gt;0)))))</f>
        <v>1</v>
      </c>
      <c r="B5" s="86" t="str" cm="1">
        <f t="array" aca="1" ref="B5:B16" ca="1">_xlfn.LET(_xlpm.trimmed,OFFSET(f_listof_program_candidates,MATCH("SJ01",f_listof_program_codes,0)-1,6,1,),TRANSPOSE(_xlfn._xlws.FILTER(OFFSET(_xlpm.trimmed,0,0,,COUNTA(_xlpm.trimmed)-5),OFFSET(_xlpm.trimmed,0,0,,COUNTA(_xlpm.trimmed)-5)&lt;&gt;0)))</f>
        <v>A111</v>
      </c>
      <c r="C5" s="86" t="str">
        <f t="shared" ref="C5:C16" ca="1" si="0">VLOOKUP(B5,f_detailsof_candidates,2,FALSE)</f>
        <v>HUSSAIN MUHAVIZ B A</v>
      </c>
      <c r="D5" s="86" t="str">
        <f t="shared" ref="D5:D16" ca="1" si="1">VLOOKUP(B5,f_detailsof_candidates,3,FALSE)</f>
        <v>FANT</v>
      </c>
      <c r="E5" s="86">
        <f t="shared" ref="E5:E16" ca="1" si="2">VLOOKUP(B5,f_detailsof_candidates,5,FALSE)</f>
        <v>1</v>
      </c>
    </row>
    <row r="6" spans="1:12" ht="14.25" x14ac:dyDescent="0.45">
      <c r="A6" s="86">
        <f ca="1"/>
        <v>2</v>
      </c>
      <c r="B6" s="86" t="str">
        <f ca="1"/>
        <v>A140</v>
      </c>
      <c r="C6" s="86" t="str">
        <f t="shared" ca="1" si="0"/>
        <v>MUHAMMED AFLAH.MK</v>
      </c>
      <c r="D6" s="86" t="str">
        <f t="shared" ca="1" si="1"/>
        <v>FANT</v>
      </c>
      <c r="E6" s="86">
        <f t="shared" ca="1" si="2"/>
        <v>2</v>
      </c>
    </row>
    <row r="7" spans="1:12" ht="14.25" x14ac:dyDescent="0.45">
      <c r="A7" s="86">
        <f ca="1"/>
        <v>3</v>
      </c>
      <c r="B7" s="86" t="str">
        <f ca="1"/>
        <v>A153</v>
      </c>
      <c r="C7" s="86" t="str">
        <f t="shared" ca="1" si="0"/>
        <v>MOHAMMED SAWA T A</v>
      </c>
      <c r="D7" s="86" t="str">
        <f t="shared" ca="1" si="1"/>
        <v>FANT</v>
      </c>
      <c r="E7" s="86">
        <f t="shared" ca="1" si="2"/>
        <v>2</v>
      </c>
    </row>
    <row r="8" spans="1:12" ht="14.25" x14ac:dyDescent="0.45">
      <c r="A8" s="86">
        <f ca="1"/>
        <v>4</v>
      </c>
      <c r="B8" s="86" t="str">
        <f ca="1"/>
        <v>A174</v>
      </c>
      <c r="C8" s="86" t="str">
        <f t="shared" ca="1" si="0"/>
        <v>THUFAIL</v>
      </c>
      <c r="D8" s="86" t="str">
        <f t="shared" ca="1" si="1"/>
        <v>DAHF</v>
      </c>
      <c r="E8" s="86">
        <f t="shared" ca="1" si="2"/>
        <v>2</v>
      </c>
    </row>
    <row r="9" spans="1:12" ht="14.25" x14ac:dyDescent="0.45">
      <c r="A9" s="86">
        <f ca="1"/>
        <v>5</v>
      </c>
      <c r="B9" s="86" t="str">
        <f ca="1"/>
        <v>A125</v>
      </c>
      <c r="C9" s="86" t="str">
        <f t="shared" ca="1" si="0"/>
        <v>MUHAMMED RAZI A T</v>
      </c>
      <c r="D9" s="86" t="str">
        <f t="shared" ca="1" si="1"/>
        <v>DAHF</v>
      </c>
      <c r="E9" s="86">
        <f t="shared" ca="1" si="2"/>
        <v>1</v>
      </c>
    </row>
    <row r="10" spans="1:12" ht="14.25" x14ac:dyDescent="0.45">
      <c r="A10" s="86">
        <f ca="1"/>
        <v>6</v>
      </c>
      <c r="B10" s="86" t="str">
        <f ca="1"/>
        <v>A128</v>
      </c>
      <c r="C10" s="86" t="str">
        <f t="shared" ca="1" si="0"/>
        <v>MOHAMMED HAFEEZ B</v>
      </c>
      <c r="D10" s="86" t="str">
        <f t="shared" ca="1" si="1"/>
        <v>DAHF</v>
      </c>
      <c r="E10" s="86">
        <f t="shared" ca="1" si="2"/>
        <v>1</v>
      </c>
    </row>
    <row r="11" spans="1:12" ht="14.25" x14ac:dyDescent="0.45">
      <c r="A11" s="86">
        <f ca="1"/>
        <v>7</v>
      </c>
      <c r="B11" s="86" t="str">
        <f ca="1"/>
        <v>A127</v>
      </c>
      <c r="C11" s="86" t="str">
        <f t="shared" ca="1" si="0"/>
        <v>MUHAMMED HAFEEZ P</v>
      </c>
      <c r="D11" s="86" t="str">
        <f t="shared" ca="1" si="1"/>
        <v>BADF</v>
      </c>
      <c r="E11" s="86">
        <f t="shared" ca="1" si="2"/>
        <v>1</v>
      </c>
    </row>
    <row r="12" spans="1:12" ht="14.25" x14ac:dyDescent="0.45">
      <c r="A12" s="86">
        <f ca="1"/>
        <v>8</v>
      </c>
      <c r="B12" s="86" t="str">
        <f ca="1"/>
        <v>A135</v>
      </c>
      <c r="C12" s="86" t="str">
        <f t="shared" ca="1" si="0"/>
        <v>MOHAMMED RAFAN A</v>
      </c>
      <c r="D12" s="86" t="str">
        <f t="shared" ca="1" si="1"/>
        <v>BADF</v>
      </c>
      <c r="E12" s="86">
        <f t="shared" ca="1" si="2"/>
        <v>1</v>
      </c>
    </row>
    <row r="13" spans="1:12" ht="14.25" x14ac:dyDescent="0.45">
      <c r="A13" s="86">
        <f ca="1"/>
        <v>9</v>
      </c>
      <c r="B13" s="86" t="str">
        <f ca="1"/>
        <v>A152</v>
      </c>
      <c r="C13" s="86" t="str">
        <f t="shared" ca="1" si="0"/>
        <v>MOHAMMED QUBAIB A H</v>
      </c>
      <c r="D13" s="86" t="str">
        <f t="shared" ca="1" si="1"/>
        <v>BADF</v>
      </c>
      <c r="E13" s="86">
        <f t="shared" ca="1" si="2"/>
        <v>2</v>
      </c>
    </row>
    <row r="14" spans="1:12" ht="14.25" x14ac:dyDescent="0.45">
      <c r="A14" s="86">
        <f ca="1"/>
        <v>10</v>
      </c>
      <c r="B14" s="86" t="str">
        <f ca="1"/>
        <v>A141</v>
      </c>
      <c r="C14" s="86" t="str">
        <f t="shared" ca="1" si="0"/>
        <v>MUHAMMED SHUHAIR</v>
      </c>
      <c r="D14" s="86" t="str">
        <f t="shared" ca="1" si="1"/>
        <v>JARF</v>
      </c>
      <c r="E14" s="86">
        <f t="shared" ca="1" si="2"/>
        <v>2</v>
      </c>
    </row>
    <row r="15" spans="1:12" ht="14.25" x14ac:dyDescent="0.45">
      <c r="A15" s="86">
        <f ca="1"/>
        <v>11</v>
      </c>
      <c r="B15" s="86" t="str">
        <f ca="1"/>
        <v>A154</v>
      </c>
      <c r="C15" s="86" t="str">
        <f t="shared" ca="1" si="0"/>
        <v>MOHAMMED WASIM SHAHAD SM</v>
      </c>
      <c r="D15" s="86" t="str">
        <f t="shared" ca="1" si="1"/>
        <v>JARF</v>
      </c>
      <c r="E15" s="86">
        <f t="shared" ca="1" si="2"/>
        <v>2</v>
      </c>
    </row>
    <row r="16" spans="1:12" ht="14.25" x14ac:dyDescent="0.45">
      <c r="A16" s="86">
        <f ca="1"/>
        <v>12</v>
      </c>
      <c r="B16" s="86" t="str">
        <f ca="1"/>
        <v>A156</v>
      </c>
      <c r="C16" s="86" t="str">
        <f t="shared" ca="1" si="0"/>
        <v>MUHAMMAD SHAHSAD HASAN</v>
      </c>
      <c r="D16" s="86" t="str">
        <f t="shared" ca="1" si="1"/>
        <v>JARF</v>
      </c>
      <c r="E16" s="86">
        <f t="shared" ca="1" si="2"/>
        <v>2</v>
      </c>
    </row>
    <row r="17" spans="1:8" ht="14.25" x14ac:dyDescent="0.45">
      <c r="A17" s="84" t="s">
        <v>93</v>
      </c>
      <c r="B17" s="84" t="str">
        <f>VLOOKUP("SJ02",f_detailsof_programs,2,FALSE)</f>
        <v>DICTIONARY MAKING ARB</v>
      </c>
      <c r="C17" s="84"/>
      <c r="D17" s="84" t="s">
        <v>688</v>
      </c>
      <c r="E17" s="84" t="s">
        <v>485</v>
      </c>
      <c r="F17" s="84"/>
      <c r="G17" s="84"/>
      <c r="H17" s="84"/>
    </row>
    <row r="18" spans="1:8" ht="14.25" x14ac:dyDescent="0.45">
      <c r="A18" s="85" t="s">
        <v>16</v>
      </c>
      <c r="B18" s="85" t="s">
        <v>480</v>
      </c>
      <c r="C18" s="85" t="s">
        <v>18</v>
      </c>
      <c r="D18" s="85" t="s">
        <v>481</v>
      </c>
      <c r="E18" s="85" t="s">
        <v>19</v>
      </c>
      <c r="F18" s="85" t="s">
        <v>482</v>
      </c>
      <c r="G18" s="85" t="s">
        <v>483</v>
      </c>
      <c r="H18" s="85" t="s">
        <v>484</v>
      </c>
    </row>
    <row r="19" spans="1:8" ht="14.25" x14ac:dyDescent="0.45">
      <c r="A19" s="86" cm="1">
        <f t="array" aca="1" ref="A19:A30" ca="1">_xlfn.SEQUENCE(COUNTA(_xlfn.LET(_xlpm.trimmed,OFFSET(f_listof_program_candidates,MATCH("SJ02",f_listof_program_codes,0)-1,6,1,),TRANSPOSE(_xlfn._xlws.FILTER(OFFSET(_xlpm.trimmed,0,0,,COUNTA(_xlpm.trimmed)-5),OFFSET(_xlpm.trimmed,0,0,,COUNTA(_xlpm.trimmed)-5)&lt;&gt;0)))))</f>
        <v>1</v>
      </c>
      <c r="B19" s="86" t="str" cm="1">
        <f t="array" aca="1" ref="B19:B30" ca="1">_xlfn.LET(_xlpm.trimmed,OFFSET(f_listof_program_candidates,MATCH("SJ02",f_listof_program_codes,0)-1,6,1,),TRANSPOSE(_xlfn._xlws.FILTER(OFFSET(_xlpm.trimmed,0,0,,COUNTA(_xlpm.trimmed)-5),OFFSET(_xlpm.trimmed,0,0,,COUNTA(_xlpm.trimmed)-5)&lt;&gt;0)))</f>
        <v>A110</v>
      </c>
      <c r="C19" s="86" t="str">
        <f t="shared" ref="C19:C30" ca="1" si="3">VLOOKUP(B19,f_detailsof_candidates,2,FALSE)</f>
        <v>Muhammed Hisham K M</v>
      </c>
      <c r="D19" s="86" t="str">
        <f t="shared" ref="D19:D30" ca="1" si="4">VLOOKUP(B19,f_detailsof_candidates,3,FALSE)</f>
        <v>FANT</v>
      </c>
      <c r="E19" s="86">
        <f t="shared" ref="E19:E30" ca="1" si="5">VLOOKUP(B19,f_detailsof_candidates,5,FALSE)</f>
        <v>1</v>
      </c>
    </row>
    <row r="20" spans="1:8" ht="14.25" x14ac:dyDescent="0.45">
      <c r="A20" s="86">
        <f ca="1"/>
        <v>2</v>
      </c>
      <c r="B20" s="86" t="str">
        <f ca="1"/>
        <v>A161</v>
      </c>
      <c r="C20" s="86" t="str">
        <f t="shared" ca="1" si="3"/>
        <v>MUHAMMED FAHAD</v>
      </c>
      <c r="D20" s="86" t="str">
        <f t="shared" ca="1" si="4"/>
        <v>FANT</v>
      </c>
      <c r="E20" s="86">
        <f t="shared" ca="1" si="5"/>
        <v>2</v>
      </c>
    </row>
    <row r="21" spans="1:8" ht="14.25" x14ac:dyDescent="0.45">
      <c r="A21" s="86">
        <f ca="1"/>
        <v>3</v>
      </c>
      <c r="B21" s="86" t="str">
        <f ca="1"/>
        <v>A162</v>
      </c>
      <c r="C21" s="86" t="str">
        <f t="shared" ca="1" si="3"/>
        <v>MUHAMMED FAREED A S</v>
      </c>
      <c r="D21" s="86" t="str">
        <f t="shared" ca="1" si="4"/>
        <v>FANT</v>
      </c>
      <c r="E21" s="86">
        <f t="shared" ca="1" si="5"/>
        <v>2</v>
      </c>
    </row>
    <row r="22" spans="1:8" ht="14.25" x14ac:dyDescent="0.45">
      <c r="A22" s="86">
        <f ca="1"/>
        <v>4</v>
      </c>
      <c r="B22" s="86" t="str">
        <f ca="1"/>
        <v>A172</v>
      </c>
      <c r="C22" s="86" t="str">
        <f t="shared" ca="1" si="3"/>
        <v>SAYYED MUHAMMED ABOOBACKER</v>
      </c>
      <c r="D22" s="86" t="str">
        <f t="shared" ca="1" si="4"/>
        <v>DAHF</v>
      </c>
      <c r="E22" s="86">
        <f t="shared" ca="1" si="5"/>
        <v>2</v>
      </c>
    </row>
    <row r="23" spans="1:8" ht="14.25" x14ac:dyDescent="0.45">
      <c r="A23" s="86">
        <f ca="1"/>
        <v>5</v>
      </c>
      <c r="B23" s="86" t="str">
        <f ca="1"/>
        <v>A147</v>
      </c>
      <c r="C23" s="86" t="str">
        <f t="shared" ca="1" si="3"/>
        <v>AHMED WALEED K A</v>
      </c>
      <c r="D23" s="86" t="str">
        <f t="shared" ca="1" si="4"/>
        <v>DAHF</v>
      </c>
      <c r="E23" s="86">
        <f t="shared" ca="1" si="5"/>
        <v>2</v>
      </c>
    </row>
    <row r="24" spans="1:8" ht="14.25" x14ac:dyDescent="0.45">
      <c r="A24" s="86">
        <f ca="1"/>
        <v>6</v>
      </c>
      <c r="B24" s="86" t="str">
        <f ca="1"/>
        <v>A131</v>
      </c>
      <c r="C24" s="86" t="str">
        <f t="shared" ca="1" si="3"/>
        <v>FAZIL ABDULLA</v>
      </c>
      <c r="D24" s="86" t="str">
        <f t="shared" ca="1" si="4"/>
        <v>DAHF</v>
      </c>
      <c r="E24" s="86">
        <f t="shared" ca="1" si="5"/>
        <v>1</v>
      </c>
    </row>
    <row r="25" spans="1:8" ht="14.25" x14ac:dyDescent="0.45">
      <c r="A25" s="86">
        <f ca="1"/>
        <v>7</v>
      </c>
      <c r="B25" s="86" t="str">
        <f ca="1"/>
        <v>A109</v>
      </c>
      <c r="C25" s="86" t="str">
        <f t="shared" ca="1" si="3"/>
        <v>AHMED RAZI MR</v>
      </c>
      <c r="D25" s="86" t="str">
        <f t="shared" ca="1" si="4"/>
        <v>BADF</v>
      </c>
      <c r="E25" s="86">
        <f t="shared" ca="1" si="5"/>
        <v>1</v>
      </c>
    </row>
    <row r="26" spans="1:8" ht="14.25" x14ac:dyDescent="0.45">
      <c r="A26" s="86">
        <f ca="1"/>
        <v>8</v>
      </c>
      <c r="B26" s="86" t="str">
        <f ca="1"/>
        <v>A146</v>
      </c>
      <c r="C26" s="86" t="str">
        <f t="shared" ca="1" si="3"/>
        <v>AHAMED ADIL. A</v>
      </c>
      <c r="D26" s="86" t="str">
        <f t="shared" ca="1" si="4"/>
        <v>BADF</v>
      </c>
      <c r="E26" s="86">
        <f t="shared" ca="1" si="5"/>
        <v>2</v>
      </c>
    </row>
    <row r="27" spans="1:8" ht="14.25" x14ac:dyDescent="0.45">
      <c r="A27" s="86">
        <f ca="1"/>
        <v>9</v>
      </c>
      <c r="B27" s="86" t="str">
        <f ca="1"/>
        <v>A163</v>
      </c>
      <c r="C27" s="86" t="str">
        <f t="shared" ca="1" si="3"/>
        <v>MUHAMMED LUQMAN TD</v>
      </c>
      <c r="D27" s="86" t="str">
        <f t="shared" ca="1" si="4"/>
        <v>BADF</v>
      </c>
      <c r="E27" s="86">
        <f t="shared" ca="1" si="5"/>
        <v>2</v>
      </c>
    </row>
    <row r="28" spans="1:8" ht="14.25" x14ac:dyDescent="0.45">
      <c r="A28" s="86">
        <f ca="1"/>
        <v>10</v>
      </c>
      <c r="B28" s="86" t="str">
        <f ca="1"/>
        <v>A102</v>
      </c>
      <c r="C28" s="86" t="str">
        <f t="shared" ca="1" si="3"/>
        <v>AJZAL ASHRAF OV</v>
      </c>
      <c r="D28" s="86" t="str">
        <f t="shared" ca="1" si="4"/>
        <v>JARF</v>
      </c>
      <c r="E28" s="86">
        <f t="shared" ca="1" si="5"/>
        <v>1</v>
      </c>
    </row>
    <row r="29" spans="1:8" ht="14.25" x14ac:dyDescent="0.45">
      <c r="A29" s="86">
        <f ca="1"/>
        <v>11</v>
      </c>
      <c r="B29" s="86" t="str">
        <f ca="1"/>
        <v>A149</v>
      </c>
      <c r="C29" s="86" t="str">
        <f t="shared" ca="1" si="3"/>
        <v>FADIL AMEEN ABDULLA</v>
      </c>
      <c r="D29" s="86" t="str">
        <f t="shared" ca="1" si="4"/>
        <v>JARF</v>
      </c>
      <c r="E29" s="86">
        <f t="shared" ca="1" si="5"/>
        <v>2</v>
      </c>
    </row>
    <row r="30" spans="1:8" ht="14.25" x14ac:dyDescent="0.45">
      <c r="A30" s="86">
        <f ca="1"/>
        <v>12</v>
      </c>
      <c r="B30" s="86" t="str">
        <f ca="1"/>
        <v>A154</v>
      </c>
      <c r="C30" s="86" t="str">
        <f t="shared" ca="1" si="3"/>
        <v>MOHAMMED WASIM SHAHAD SM</v>
      </c>
      <c r="D30" s="86" t="str">
        <f t="shared" ca="1" si="4"/>
        <v>JARF</v>
      </c>
      <c r="E30" s="86">
        <f t="shared" ca="1" si="5"/>
        <v>2</v>
      </c>
    </row>
    <row r="31" spans="1:8" ht="14.25" x14ac:dyDescent="0.45">
      <c r="A31" s="84" t="s">
        <v>96</v>
      </c>
      <c r="B31" s="84" t="str">
        <f>VLOOKUP("SJ03",f_detailsof_programs,2,FALSE)</f>
        <v>DICTIONARY MAKING ENG</v>
      </c>
      <c r="C31" s="84"/>
      <c r="D31" s="84" t="s">
        <v>688</v>
      </c>
      <c r="E31" s="84" t="s">
        <v>485</v>
      </c>
      <c r="F31" s="84"/>
      <c r="G31" s="84"/>
      <c r="H31" s="84"/>
    </row>
    <row r="32" spans="1:8" ht="14.25" x14ac:dyDescent="0.45">
      <c r="A32" s="85" t="s">
        <v>16</v>
      </c>
      <c r="B32" s="85" t="s">
        <v>480</v>
      </c>
      <c r="C32" s="85" t="s">
        <v>18</v>
      </c>
      <c r="D32" s="85" t="s">
        <v>481</v>
      </c>
      <c r="E32" s="85" t="s">
        <v>19</v>
      </c>
      <c r="F32" s="85" t="s">
        <v>482</v>
      </c>
      <c r="G32" s="85" t="s">
        <v>483</v>
      </c>
      <c r="H32" s="85" t="s">
        <v>484</v>
      </c>
    </row>
    <row r="33" spans="1:8" ht="14.25" x14ac:dyDescent="0.45">
      <c r="A33" s="86" cm="1">
        <f t="array" aca="1" ref="A33:A44" ca="1">_xlfn.SEQUENCE(COUNTA(_xlfn.LET(_xlpm.trimmed,OFFSET(f_listof_program_candidates,MATCH("SJ03",f_listof_program_codes,0)-1,6,1,),TRANSPOSE(_xlfn._xlws.FILTER(OFFSET(_xlpm.trimmed,0,0,,COUNTA(_xlpm.trimmed)-5),OFFSET(_xlpm.trimmed,0,0,,COUNTA(_xlpm.trimmed)-5)&lt;&gt;0)))))</f>
        <v>1</v>
      </c>
      <c r="B33" s="86" t="str" cm="1">
        <f t="array" aca="1" ref="B33:B44" ca="1">_xlfn.LET(_xlpm.trimmed,OFFSET(f_listof_program_candidates,MATCH("SJ03",f_listof_program_codes,0)-1,6,1,),TRANSPOSE(_xlfn._xlws.FILTER(OFFSET(_xlpm.trimmed,0,0,,COUNTA(_xlpm.trimmed)-5),OFFSET(_xlpm.trimmed,0,0,,COUNTA(_xlpm.trimmed)-5)&lt;&gt;0)))</f>
        <v>A129</v>
      </c>
      <c r="C33" s="86" t="str">
        <f t="shared" ref="C33:C44" ca="1" si="6">VLOOKUP(B33,f_detailsof_candidates,2,FALSE)</f>
        <v>MUHAMMED BIN JAFAR</v>
      </c>
      <c r="D33" s="86" t="str">
        <f t="shared" ref="D33:D44" ca="1" si="7">VLOOKUP(B33,f_detailsof_candidates,3,FALSE)</f>
        <v>FANT</v>
      </c>
      <c r="E33" s="86">
        <f t="shared" ref="E33:E44" ca="1" si="8">VLOOKUP(B33,f_detailsof_candidates,5,FALSE)</f>
        <v>1</v>
      </c>
    </row>
    <row r="34" spans="1:8" ht="14.25" x14ac:dyDescent="0.45">
      <c r="A34" s="86">
        <f ca="1"/>
        <v>2</v>
      </c>
      <c r="B34" s="86" t="str">
        <f ca="1"/>
        <v>A143</v>
      </c>
      <c r="C34" s="86" t="str">
        <f t="shared" ca="1" si="6"/>
        <v>ABDUL AFEEZ C.F</v>
      </c>
      <c r="D34" s="86" t="str">
        <f t="shared" ca="1" si="7"/>
        <v>FANT</v>
      </c>
      <c r="E34" s="86">
        <f t="shared" ca="1" si="8"/>
        <v>2</v>
      </c>
    </row>
    <row r="35" spans="1:8" ht="14.25" x14ac:dyDescent="0.45">
      <c r="A35" s="86">
        <f ca="1"/>
        <v>3</v>
      </c>
      <c r="B35" s="86" t="str">
        <f ca="1"/>
        <v>A150</v>
      </c>
      <c r="C35" s="86" t="str">
        <f t="shared" ca="1" si="6"/>
        <v>MOHAMED JAWHAR J A</v>
      </c>
      <c r="D35" s="86" t="str">
        <f t="shared" ca="1" si="7"/>
        <v>FANT</v>
      </c>
      <c r="E35" s="86">
        <f t="shared" ca="1" si="8"/>
        <v>2</v>
      </c>
    </row>
    <row r="36" spans="1:8" ht="14.25" x14ac:dyDescent="0.45">
      <c r="A36" s="86">
        <f ca="1"/>
        <v>4</v>
      </c>
      <c r="B36" s="86" t="str">
        <f ca="1"/>
        <v>A164</v>
      </c>
      <c r="C36" s="86" t="str">
        <f t="shared" ca="1" si="6"/>
        <v>MUHAMMED MICDAD RAMEES A H</v>
      </c>
      <c r="D36" s="86" t="str">
        <f t="shared" ca="1" si="7"/>
        <v>DAHF</v>
      </c>
      <c r="E36" s="86">
        <f t="shared" ca="1" si="8"/>
        <v>2</v>
      </c>
    </row>
    <row r="37" spans="1:8" ht="14.25" x14ac:dyDescent="0.45">
      <c r="A37" s="86">
        <f ca="1"/>
        <v>5</v>
      </c>
      <c r="B37" s="86" t="str">
        <f ca="1"/>
        <v>A147</v>
      </c>
      <c r="C37" s="86" t="str">
        <f t="shared" ca="1" si="6"/>
        <v>AHMED WALEED K A</v>
      </c>
      <c r="D37" s="86" t="str">
        <f t="shared" ca="1" si="7"/>
        <v>DAHF</v>
      </c>
      <c r="E37" s="86">
        <f t="shared" ca="1" si="8"/>
        <v>2</v>
      </c>
    </row>
    <row r="38" spans="1:8" ht="14.25" x14ac:dyDescent="0.45">
      <c r="A38" s="86">
        <f ca="1"/>
        <v>6</v>
      </c>
      <c r="B38" s="86" t="str">
        <f ca="1"/>
        <v>A158</v>
      </c>
      <c r="C38" s="86" t="str">
        <f t="shared" ca="1" si="6"/>
        <v>Muhammed Anas</v>
      </c>
      <c r="D38" s="86" t="str">
        <f t="shared" ca="1" si="7"/>
        <v>DAHF</v>
      </c>
      <c r="E38" s="86">
        <f t="shared" ca="1" si="8"/>
        <v>2</v>
      </c>
    </row>
    <row r="39" spans="1:8" ht="14.25" x14ac:dyDescent="0.45">
      <c r="A39" s="86">
        <f ca="1"/>
        <v>7</v>
      </c>
      <c r="B39" s="86" t="str">
        <f ca="1"/>
        <v>A104</v>
      </c>
      <c r="C39" s="86" t="str">
        <f t="shared" ca="1" si="6"/>
        <v>MUHAMMAD AZEEM</v>
      </c>
      <c r="D39" s="86" t="str">
        <f t="shared" ca="1" si="7"/>
        <v>BADF</v>
      </c>
      <c r="E39" s="86">
        <f t="shared" ca="1" si="8"/>
        <v>1</v>
      </c>
    </row>
    <row r="40" spans="1:8" ht="14.25" x14ac:dyDescent="0.45">
      <c r="A40" s="86">
        <f ca="1"/>
        <v>8</v>
      </c>
      <c r="B40" s="86" t="str">
        <f ca="1"/>
        <v>A108</v>
      </c>
      <c r="C40" s="86" t="str">
        <f t="shared" ca="1" si="6"/>
        <v>Mohammed Sinan N.A</v>
      </c>
      <c r="D40" s="86" t="str">
        <f t="shared" ca="1" si="7"/>
        <v>BADF</v>
      </c>
      <c r="E40" s="86">
        <f t="shared" ca="1" si="8"/>
        <v>1</v>
      </c>
    </row>
    <row r="41" spans="1:8" ht="14.25" x14ac:dyDescent="0.45">
      <c r="A41" s="86">
        <f ca="1"/>
        <v>9</v>
      </c>
      <c r="B41" s="86" t="str">
        <f ca="1"/>
        <v>A166</v>
      </c>
      <c r="C41" s="86" t="str">
        <f t="shared" ca="1" si="6"/>
        <v>Muhammed Naieem</v>
      </c>
      <c r="D41" s="86" t="str">
        <f t="shared" ca="1" si="7"/>
        <v>BADF</v>
      </c>
      <c r="E41" s="86">
        <f t="shared" ca="1" si="8"/>
        <v>2</v>
      </c>
    </row>
    <row r="42" spans="1:8" ht="14.25" x14ac:dyDescent="0.45">
      <c r="A42" s="86">
        <f ca="1"/>
        <v>10</v>
      </c>
      <c r="B42" s="86" t="str">
        <f ca="1"/>
        <v>A103</v>
      </c>
      <c r="C42" s="86" t="str">
        <f t="shared" ca="1" si="6"/>
        <v>MUHAMMED RIZIN AMAN</v>
      </c>
      <c r="D42" s="86" t="str">
        <f t="shared" ca="1" si="7"/>
        <v>JARF</v>
      </c>
      <c r="E42" s="86">
        <f t="shared" ca="1" si="8"/>
        <v>1</v>
      </c>
    </row>
    <row r="43" spans="1:8" ht="14.25" x14ac:dyDescent="0.45">
      <c r="A43" s="86">
        <f ca="1"/>
        <v>11</v>
      </c>
      <c r="B43" s="86" t="str">
        <f ca="1"/>
        <v>A149</v>
      </c>
      <c r="C43" s="86" t="str">
        <f t="shared" ca="1" si="6"/>
        <v>FADIL AMEEN ABDULLA</v>
      </c>
      <c r="D43" s="86" t="str">
        <f t="shared" ca="1" si="7"/>
        <v>JARF</v>
      </c>
      <c r="E43" s="86">
        <f t="shared" ca="1" si="8"/>
        <v>2</v>
      </c>
    </row>
    <row r="44" spans="1:8" ht="14.25" x14ac:dyDescent="0.45">
      <c r="A44" s="86">
        <f ca="1"/>
        <v>12</v>
      </c>
      <c r="B44" s="86" t="str">
        <f ca="1"/>
        <v>A154</v>
      </c>
      <c r="C44" s="86" t="str">
        <f t="shared" ca="1" si="6"/>
        <v>MOHAMMED WASIM SHAHAD SM</v>
      </c>
      <c r="D44" s="86" t="str">
        <f t="shared" ca="1" si="7"/>
        <v>JARF</v>
      </c>
      <c r="E44" s="86">
        <f t="shared" ca="1" si="8"/>
        <v>2</v>
      </c>
    </row>
    <row r="45" spans="1:8" ht="14.25" x14ac:dyDescent="0.45">
      <c r="A45" s="84" t="s">
        <v>98</v>
      </c>
      <c r="B45" s="84" t="str">
        <f>VLOOKUP("SJ04",f_detailsof_programs,2,FALSE)</f>
        <v>ESSAY WRITING MLM</v>
      </c>
      <c r="C45" s="84"/>
      <c r="D45" s="84" t="s">
        <v>688</v>
      </c>
      <c r="E45" s="84" t="s">
        <v>485</v>
      </c>
      <c r="F45" s="84"/>
      <c r="G45" s="84"/>
      <c r="H45" s="84"/>
    </row>
    <row r="46" spans="1:8" ht="14.25" x14ac:dyDescent="0.45">
      <c r="A46" s="85" t="s">
        <v>16</v>
      </c>
      <c r="B46" s="85" t="s">
        <v>480</v>
      </c>
      <c r="C46" s="85" t="s">
        <v>18</v>
      </c>
      <c r="D46" s="85" t="s">
        <v>481</v>
      </c>
      <c r="E46" s="85" t="s">
        <v>19</v>
      </c>
      <c r="F46" s="85" t="s">
        <v>482</v>
      </c>
      <c r="G46" s="85" t="s">
        <v>483</v>
      </c>
      <c r="H46" s="85" t="s">
        <v>484</v>
      </c>
    </row>
    <row r="47" spans="1:8" ht="14.25" x14ac:dyDescent="0.45">
      <c r="A47" s="86" cm="1">
        <f t="array" aca="1" ref="A47:A58" ca="1">_xlfn.SEQUENCE(COUNTA(_xlfn.LET(_xlpm.trimmed,OFFSET(f_listof_program_candidates,MATCH("SJ04",f_listof_program_codes,0)-1,6,1,),TRANSPOSE(_xlfn._xlws.FILTER(OFFSET(_xlpm.trimmed,0,0,,COUNTA(_xlpm.trimmed)-5),OFFSET(_xlpm.trimmed,0,0,,COUNTA(_xlpm.trimmed)-5)&lt;&gt;0)))))</f>
        <v>1</v>
      </c>
      <c r="B47" s="86" t="str" cm="1">
        <f t="array" aca="1" ref="B47:B58" ca="1">_xlfn.LET(_xlpm.trimmed,OFFSET(f_listof_program_candidates,MATCH("SJ04",f_listof_program_codes,0)-1,6,1,),TRANSPOSE(_xlfn._xlws.FILTER(OFFSET(_xlpm.trimmed,0,0,,COUNTA(_xlpm.trimmed)-5),OFFSET(_xlpm.trimmed,0,0,,COUNTA(_xlpm.trimmed)-5)&lt;&gt;0)))</f>
        <v>A107</v>
      </c>
      <c r="C47" s="86" t="str">
        <f t="shared" ref="C47:C58" ca="1" si="9">VLOOKUP(B47,f_detailsof_candidates,2,FALSE)</f>
        <v>MUHAMMED ADHIL C H</v>
      </c>
      <c r="D47" s="86" t="str">
        <f t="shared" ref="D47:D58" ca="1" si="10">VLOOKUP(B47,f_detailsof_candidates,3,FALSE)</f>
        <v>FANT</v>
      </c>
      <c r="E47" s="86">
        <f t="shared" ref="E47:E58" ca="1" si="11">VLOOKUP(B47,f_detailsof_candidates,5,FALSE)</f>
        <v>1</v>
      </c>
    </row>
    <row r="48" spans="1:8" ht="14.25" x14ac:dyDescent="0.45">
      <c r="A48" s="86">
        <f ca="1"/>
        <v>2</v>
      </c>
      <c r="B48" s="86" t="str">
        <f ca="1"/>
        <v>A129</v>
      </c>
      <c r="C48" s="86" t="str">
        <f t="shared" ca="1" si="9"/>
        <v>MUHAMMED BIN JAFAR</v>
      </c>
      <c r="D48" s="86" t="str">
        <f t="shared" ca="1" si="10"/>
        <v>FANT</v>
      </c>
      <c r="E48" s="86">
        <f t="shared" ca="1" si="11"/>
        <v>1</v>
      </c>
    </row>
    <row r="49" spans="1:8" ht="14.25" x14ac:dyDescent="0.45">
      <c r="A49" s="86">
        <f ca="1"/>
        <v>3</v>
      </c>
      <c r="B49" s="86" t="str">
        <f ca="1"/>
        <v>A161</v>
      </c>
      <c r="C49" s="86" t="str">
        <f t="shared" ca="1" si="9"/>
        <v>MUHAMMED FAHAD</v>
      </c>
      <c r="D49" s="86" t="str">
        <f t="shared" ca="1" si="10"/>
        <v>FANT</v>
      </c>
      <c r="E49" s="86">
        <f t="shared" ca="1" si="11"/>
        <v>2</v>
      </c>
    </row>
    <row r="50" spans="1:8" ht="14.25" x14ac:dyDescent="0.45">
      <c r="A50" s="86">
        <f ca="1"/>
        <v>4</v>
      </c>
      <c r="B50" s="86" t="str">
        <f ca="1"/>
        <v>A170</v>
      </c>
      <c r="C50" s="86" t="str">
        <f t="shared" ca="1" si="9"/>
        <v>P.V.AHMAD ANAS</v>
      </c>
      <c r="D50" s="86" t="str">
        <f t="shared" ca="1" si="10"/>
        <v>DAHF</v>
      </c>
      <c r="E50" s="86">
        <f t="shared" ca="1" si="11"/>
        <v>2</v>
      </c>
    </row>
    <row r="51" spans="1:8" ht="14.25" x14ac:dyDescent="0.45">
      <c r="A51" s="86">
        <f ca="1"/>
        <v>5</v>
      </c>
      <c r="B51" s="86" t="str">
        <f ca="1"/>
        <v>A165</v>
      </c>
      <c r="C51" s="86" t="str">
        <f t="shared" ca="1" si="9"/>
        <v>MUHAMMED MIDLAJ</v>
      </c>
      <c r="D51" s="86" t="str">
        <f t="shared" ca="1" si="10"/>
        <v>DAHF</v>
      </c>
      <c r="E51" s="86">
        <f t="shared" ca="1" si="11"/>
        <v>2</v>
      </c>
    </row>
    <row r="52" spans="1:8" ht="14.25" x14ac:dyDescent="0.45">
      <c r="A52" s="86">
        <f ca="1"/>
        <v>6</v>
      </c>
      <c r="B52" s="86" t="str">
        <f ca="1"/>
        <v>A134</v>
      </c>
      <c r="C52" s="86" t="str">
        <f t="shared" ca="1" si="9"/>
        <v>YASEEN MUHAMMED</v>
      </c>
      <c r="D52" s="86" t="str">
        <f t="shared" ca="1" si="10"/>
        <v>DAHF</v>
      </c>
      <c r="E52" s="86">
        <f t="shared" ca="1" si="11"/>
        <v>1</v>
      </c>
    </row>
    <row r="53" spans="1:8" ht="14.25" x14ac:dyDescent="0.45">
      <c r="A53" s="86">
        <f ca="1"/>
        <v>7</v>
      </c>
      <c r="B53" s="86" t="str">
        <f ca="1"/>
        <v>A145</v>
      </c>
      <c r="C53" s="86" t="str">
        <f t="shared" ca="1" si="9"/>
        <v>ABDULLAH A P</v>
      </c>
      <c r="D53" s="86" t="str">
        <f t="shared" ca="1" si="10"/>
        <v>BADF</v>
      </c>
      <c r="E53" s="86">
        <f t="shared" ca="1" si="11"/>
        <v>2</v>
      </c>
    </row>
    <row r="54" spans="1:8" ht="14.25" x14ac:dyDescent="0.45">
      <c r="A54" s="86">
        <f ca="1"/>
        <v>8</v>
      </c>
      <c r="B54" s="86" t="str">
        <f ca="1"/>
        <v>A146</v>
      </c>
      <c r="C54" s="86" t="str">
        <f t="shared" ca="1" si="9"/>
        <v>AHAMED ADIL. A</v>
      </c>
      <c r="D54" s="86" t="str">
        <f t="shared" ca="1" si="10"/>
        <v>BADF</v>
      </c>
      <c r="E54" s="86">
        <f t="shared" ca="1" si="11"/>
        <v>2</v>
      </c>
    </row>
    <row r="55" spans="1:8" ht="14.25" x14ac:dyDescent="0.45">
      <c r="A55" s="86">
        <f ca="1"/>
        <v>9</v>
      </c>
      <c r="B55" s="86" t="str">
        <f ca="1"/>
        <v>A163</v>
      </c>
      <c r="C55" s="86" t="str">
        <f t="shared" ca="1" si="9"/>
        <v>MUHAMMED LUQMAN TD</v>
      </c>
      <c r="D55" s="86" t="str">
        <f t="shared" ca="1" si="10"/>
        <v>BADF</v>
      </c>
      <c r="E55" s="86">
        <f t="shared" ca="1" si="11"/>
        <v>2</v>
      </c>
    </row>
    <row r="56" spans="1:8" ht="14.25" x14ac:dyDescent="0.45">
      <c r="A56" s="86">
        <f ca="1"/>
        <v>10</v>
      </c>
      <c r="B56" s="86" t="str">
        <f ca="1"/>
        <v>A130</v>
      </c>
      <c r="C56" s="86" t="str">
        <f t="shared" ca="1" si="9"/>
        <v>MOHAMMAD AJWAD</v>
      </c>
      <c r="D56" s="86" t="str">
        <f t="shared" ca="1" si="10"/>
        <v>JARF</v>
      </c>
      <c r="E56" s="86">
        <f t="shared" ca="1" si="11"/>
        <v>1</v>
      </c>
    </row>
    <row r="57" spans="1:8" ht="14.25" x14ac:dyDescent="0.45">
      <c r="A57" s="86">
        <f ca="1"/>
        <v>11</v>
      </c>
      <c r="B57" s="86" t="str">
        <f ca="1"/>
        <v>A155</v>
      </c>
      <c r="C57" s="86" t="str">
        <f t="shared" ca="1" si="9"/>
        <v>Muhammad M</v>
      </c>
      <c r="D57" s="86" t="str">
        <f t="shared" ca="1" si="10"/>
        <v>JARF</v>
      </c>
      <c r="E57" s="86">
        <f t="shared" ca="1" si="11"/>
        <v>2</v>
      </c>
    </row>
    <row r="58" spans="1:8" ht="14.25" x14ac:dyDescent="0.45">
      <c r="A58" s="86">
        <f ca="1"/>
        <v>12</v>
      </c>
      <c r="B58" s="86" t="str">
        <f ca="1"/>
        <v>A159</v>
      </c>
      <c r="C58" s="86" t="str">
        <f t="shared" ca="1" si="9"/>
        <v>MUHAMMED ASHIR M</v>
      </c>
      <c r="D58" s="86" t="str">
        <f t="shared" ca="1" si="10"/>
        <v>JARF</v>
      </c>
      <c r="E58" s="86">
        <f t="shared" ca="1" si="11"/>
        <v>2</v>
      </c>
    </row>
    <row r="59" spans="1:8" ht="14.25" x14ac:dyDescent="0.45">
      <c r="A59" s="84" t="s">
        <v>101</v>
      </c>
      <c r="B59" s="84" t="str">
        <f>VLOOKUP("SJ05",f_detailsof_programs,2,FALSE)</f>
        <v>GK QUIZ</v>
      </c>
      <c r="C59" s="84"/>
      <c r="D59" s="84" t="s">
        <v>688</v>
      </c>
      <c r="E59" s="84" t="s">
        <v>485</v>
      </c>
      <c r="F59" s="84"/>
      <c r="G59" s="84"/>
      <c r="H59" s="84"/>
    </row>
    <row r="60" spans="1:8" ht="14.25" x14ac:dyDescent="0.45">
      <c r="A60" s="85" t="s">
        <v>16</v>
      </c>
      <c r="B60" s="85" t="s">
        <v>480</v>
      </c>
      <c r="C60" s="85" t="s">
        <v>18</v>
      </c>
      <c r="D60" s="85" t="s">
        <v>481</v>
      </c>
      <c r="E60" s="85" t="s">
        <v>19</v>
      </c>
      <c r="F60" s="85" t="s">
        <v>482</v>
      </c>
      <c r="G60" s="85" t="s">
        <v>483</v>
      </c>
      <c r="H60" s="85" t="s">
        <v>484</v>
      </c>
    </row>
    <row r="61" spans="1:8" ht="14.25" x14ac:dyDescent="0.45">
      <c r="A61" s="86" cm="1">
        <f t="array" aca="1" ref="A61:A72" ca="1">_xlfn.SEQUENCE(COUNTA(_xlfn.LET(_xlpm.trimmed,OFFSET(f_listof_program_candidates,MATCH("SJ05",f_listof_program_codes,0)-1,6,1,),TRANSPOSE(_xlfn._xlws.FILTER(OFFSET(_xlpm.trimmed,0,0,,COUNTA(_xlpm.trimmed)-5),OFFSET(_xlpm.trimmed,0,0,,COUNTA(_xlpm.trimmed)-5)&lt;&gt;0)))))</f>
        <v>1</v>
      </c>
      <c r="B61" s="86" t="str" cm="1">
        <f t="array" aca="1" ref="B61:B72" ca="1">_xlfn.LET(_xlpm.trimmed,OFFSET(f_listof_program_candidates,MATCH("SJ05",f_listof_program_codes,0)-1,6,1,),TRANSPOSE(_xlfn._xlws.FILTER(OFFSET(_xlpm.trimmed,0,0,,COUNTA(_xlpm.trimmed)-5),OFFSET(_xlpm.trimmed,0,0,,COUNTA(_xlpm.trimmed)-5)&lt;&gt;0)))</f>
        <v>A105</v>
      </c>
      <c r="C61" s="86" t="str">
        <f t="shared" ref="C61:C72" ca="1" si="12">VLOOKUP(B61,f_detailsof_candidates,2,FALSE)</f>
        <v>MUHAMMED HAFIZ S T</v>
      </c>
      <c r="D61" s="86" t="str">
        <f t="shared" ref="D61:D72" ca="1" si="13">VLOOKUP(B61,f_detailsof_candidates,3,FALSE)</f>
        <v>FANT</v>
      </c>
      <c r="E61" s="86">
        <f t="shared" ref="E61:E72" ca="1" si="14">VLOOKUP(B61,f_detailsof_candidates,5,FALSE)</f>
        <v>1</v>
      </c>
    </row>
    <row r="62" spans="1:8" ht="14.25" x14ac:dyDescent="0.45">
      <c r="A62" s="86">
        <f ca="1"/>
        <v>2</v>
      </c>
      <c r="B62" s="86" t="str">
        <f ca="1"/>
        <v>A143</v>
      </c>
      <c r="C62" s="86" t="str">
        <f t="shared" ca="1" si="12"/>
        <v>ABDUL AFEEZ C.F</v>
      </c>
      <c r="D62" s="86" t="str">
        <f t="shared" ca="1" si="13"/>
        <v>FANT</v>
      </c>
      <c r="E62" s="86">
        <f t="shared" ca="1" si="14"/>
        <v>2</v>
      </c>
    </row>
    <row r="63" spans="1:8" ht="14.25" x14ac:dyDescent="0.45">
      <c r="A63" s="86">
        <f ca="1"/>
        <v>3</v>
      </c>
      <c r="B63" s="86" t="str">
        <f ca="1"/>
        <v>A150</v>
      </c>
      <c r="C63" s="86" t="str">
        <f t="shared" ca="1" si="12"/>
        <v>MOHAMED JAWHAR J A</v>
      </c>
      <c r="D63" s="86" t="str">
        <f t="shared" ca="1" si="13"/>
        <v>FANT</v>
      </c>
      <c r="E63" s="86">
        <f t="shared" ca="1" si="14"/>
        <v>2</v>
      </c>
    </row>
    <row r="64" spans="1:8" ht="14.25" x14ac:dyDescent="0.45">
      <c r="A64" s="86">
        <f ca="1"/>
        <v>4</v>
      </c>
      <c r="B64" s="86" t="str">
        <f ca="1"/>
        <v>A164</v>
      </c>
      <c r="C64" s="86" t="str">
        <f t="shared" ca="1" si="12"/>
        <v>MUHAMMED MICDAD RAMEES A H</v>
      </c>
      <c r="D64" s="86" t="str">
        <f t="shared" ca="1" si="13"/>
        <v>DAHF</v>
      </c>
      <c r="E64" s="86">
        <f t="shared" ca="1" si="14"/>
        <v>2</v>
      </c>
    </row>
    <row r="65" spans="1:8" ht="14.25" x14ac:dyDescent="0.45">
      <c r="A65" s="86">
        <f ca="1"/>
        <v>5</v>
      </c>
      <c r="B65" s="86" t="str">
        <f ca="1"/>
        <v>A115</v>
      </c>
      <c r="C65" s="86" t="str">
        <f t="shared" ca="1" si="12"/>
        <v>K MUHAMMAD JALAL</v>
      </c>
      <c r="D65" s="86" t="str">
        <f t="shared" ca="1" si="13"/>
        <v>DAHF</v>
      </c>
      <c r="E65" s="86">
        <f t="shared" ca="1" si="14"/>
        <v>1</v>
      </c>
    </row>
    <row r="66" spans="1:8" ht="14.25" x14ac:dyDescent="0.45">
      <c r="A66" s="86">
        <f ca="1"/>
        <v>6</v>
      </c>
      <c r="B66" s="86" t="str">
        <f ca="1"/>
        <v>A175</v>
      </c>
      <c r="C66" s="86" t="str">
        <f t="shared" ca="1" si="12"/>
        <v>YOUSUF FAHEEM P</v>
      </c>
      <c r="D66" s="86" t="str">
        <f t="shared" ca="1" si="13"/>
        <v>DAHF</v>
      </c>
      <c r="E66" s="86">
        <f t="shared" ca="1" si="14"/>
        <v>2</v>
      </c>
    </row>
    <row r="67" spans="1:8" ht="14.25" x14ac:dyDescent="0.45">
      <c r="A67" s="86">
        <f ca="1"/>
        <v>7</v>
      </c>
      <c r="B67" s="86" t="str">
        <f ca="1"/>
        <v>A104</v>
      </c>
      <c r="C67" s="86" t="str">
        <f t="shared" ca="1" si="12"/>
        <v>MUHAMMAD AZEEM</v>
      </c>
      <c r="D67" s="86" t="str">
        <f t="shared" ca="1" si="13"/>
        <v>BADF</v>
      </c>
      <c r="E67" s="86">
        <f t="shared" ca="1" si="14"/>
        <v>1</v>
      </c>
    </row>
    <row r="68" spans="1:8" ht="14.25" x14ac:dyDescent="0.45">
      <c r="A68" s="86">
        <f ca="1"/>
        <v>8</v>
      </c>
      <c r="B68" s="86" t="str">
        <f ca="1"/>
        <v>A106</v>
      </c>
      <c r="C68" s="86" t="str">
        <f t="shared" ca="1" si="12"/>
        <v>Abdul Khader Uvais K A</v>
      </c>
      <c r="D68" s="86" t="str">
        <f t="shared" ca="1" si="13"/>
        <v>BADF</v>
      </c>
      <c r="E68" s="86">
        <f t="shared" ca="1" si="14"/>
        <v>1</v>
      </c>
    </row>
    <row r="69" spans="1:8" ht="14.25" x14ac:dyDescent="0.45">
      <c r="A69" s="86">
        <f ca="1"/>
        <v>9</v>
      </c>
      <c r="B69" s="86" t="str">
        <f ca="1"/>
        <v>A166</v>
      </c>
      <c r="C69" s="86" t="str">
        <f t="shared" ca="1" si="12"/>
        <v>Muhammed Naieem</v>
      </c>
      <c r="D69" s="86" t="str">
        <f t="shared" ca="1" si="13"/>
        <v>BADF</v>
      </c>
      <c r="E69" s="86">
        <f t="shared" ca="1" si="14"/>
        <v>2</v>
      </c>
    </row>
    <row r="70" spans="1:8" ht="14.25" x14ac:dyDescent="0.45">
      <c r="A70" s="86">
        <f ca="1"/>
        <v>10</v>
      </c>
      <c r="B70" s="86" t="str">
        <f ca="1"/>
        <v>A103</v>
      </c>
      <c r="C70" s="86" t="str">
        <f t="shared" ca="1" si="12"/>
        <v>MUHAMMED RIZIN AMAN</v>
      </c>
      <c r="D70" s="86" t="str">
        <f t="shared" ca="1" si="13"/>
        <v>JARF</v>
      </c>
      <c r="E70" s="86">
        <f t="shared" ca="1" si="14"/>
        <v>1</v>
      </c>
    </row>
    <row r="71" spans="1:8" ht="14.25" x14ac:dyDescent="0.45">
      <c r="A71" s="86">
        <f ca="1"/>
        <v>11</v>
      </c>
      <c r="B71" s="86" t="str">
        <f ca="1"/>
        <v>A144</v>
      </c>
      <c r="C71" s="86" t="str">
        <f t="shared" ca="1" si="12"/>
        <v>ABDULLA</v>
      </c>
      <c r="D71" s="86" t="str">
        <f t="shared" ca="1" si="13"/>
        <v>JARF</v>
      </c>
      <c r="E71" s="86">
        <f t="shared" ca="1" si="14"/>
        <v>2</v>
      </c>
    </row>
    <row r="72" spans="1:8" ht="14.25" x14ac:dyDescent="0.45">
      <c r="A72" s="86">
        <f ca="1"/>
        <v>12</v>
      </c>
      <c r="B72" s="86" t="str">
        <f ca="1"/>
        <v>A168</v>
      </c>
      <c r="C72" s="86" t="str">
        <f t="shared" ca="1" si="12"/>
        <v>Muhammed Sinan D A</v>
      </c>
      <c r="D72" s="86" t="str">
        <f t="shared" ca="1" si="13"/>
        <v>JARF</v>
      </c>
      <c r="E72" s="86">
        <f t="shared" ca="1" si="14"/>
        <v>2</v>
      </c>
    </row>
    <row r="73" spans="1:8" ht="14.25" x14ac:dyDescent="0.45">
      <c r="A73" s="84" t="s">
        <v>104</v>
      </c>
      <c r="B73" s="84" t="str">
        <f>VLOOKUP("SJ06",f_detailsof_programs,2,FALSE)</f>
        <v>ḤIFẒ</v>
      </c>
      <c r="C73" s="84"/>
      <c r="D73" s="84" t="s">
        <v>688</v>
      </c>
      <c r="E73" s="84" t="s">
        <v>485</v>
      </c>
      <c r="F73" s="84"/>
      <c r="G73" s="84"/>
      <c r="H73" s="84"/>
    </row>
    <row r="74" spans="1:8" ht="14.25" x14ac:dyDescent="0.45">
      <c r="A74" s="85" t="s">
        <v>16</v>
      </c>
      <c r="B74" s="85" t="s">
        <v>480</v>
      </c>
      <c r="C74" s="85" t="s">
        <v>18</v>
      </c>
      <c r="D74" s="85" t="s">
        <v>481</v>
      </c>
      <c r="E74" s="85" t="s">
        <v>19</v>
      </c>
      <c r="F74" s="85" t="s">
        <v>482</v>
      </c>
      <c r="G74" s="85" t="s">
        <v>483</v>
      </c>
      <c r="H74" s="85" t="s">
        <v>484</v>
      </c>
    </row>
    <row r="75" spans="1:8" ht="14.25" x14ac:dyDescent="0.45">
      <c r="A75" s="86" cm="1">
        <f t="array" aca="1" ref="A75:A86" ca="1">_xlfn.SEQUENCE(COUNTA(_xlfn.LET(_xlpm.trimmed,OFFSET(f_listof_program_candidates,MATCH("SJ06",f_listof_program_codes,0)-1,6,1,),TRANSPOSE(_xlfn._xlws.FILTER(OFFSET(_xlpm.trimmed,0,0,,COUNTA(_xlpm.trimmed)-5),OFFSET(_xlpm.trimmed,0,0,,COUNTA(_xlpm.trimmed)-5)&lt;&gt;0)))))</f>
        <v>1</v>
      </c>
      <c r="B75" s="86" t="str" cm="1">
        <f t="array" aca="1" ref="B75:B86" ca="1">_xlfn.LET(_xlpm.trimmed,OFFSET(f_listof_program_candidates,MATCH("SJ06",f_listof_program_codes,0)-1,6,1,),TRANSPOSE(_xlfn._xlws.FILTER(OFFSET(_xlpm.trimmed,0,0,,COUNTA(_xlpm.trimmed)-5),OFFSET(_xlpm.trimmed,0,0,,COUNTA(_xlpm.trimmed)-5)&lt;&gt;0)))</f>
        <v>A161</v>
      </c>
      <c r="C75" s="86" t="str">
        <f t="shared" ref="C75:C86" ca="1" si="15">VLOOKUP(B75,f_detailsof_candidates,2,FALSE)</f>
        <v>MUHAMMED FAHAD</v>
      </c>
      <c r="D75" s="86" t="str">
        <f t="shared" ref="D75:D86" ca="1" si="16">VLOOKUP(B75,f_detailsof_candidates,3,FALSE)</f>
        <v>FANT</v>
      </c>
      <c r="E75" s="86">
        <f t="shared" ref="E75:E86" ca="1" si="17">VLOOKUP(B75,f_detailsof_candidates,5,FALSE)</f>
        <v>2</v>
      </c>
    </row>
    <row r="76" spans="1:8" ht="14.25" x14ac:dyDescent="0.45">
      <c r="A76" s="86">
        <f ca="1"/>
        <v>2</v>
      </c>
      <c r="B76" s="86" t="str">
        <f ca="1"/>
        <v>A162</v>
      </c>
      <c r="C76" s="86" t="str">
        <f t="shared" ca="1" si="15"/>
        <v>MUHAMMED FAREED A S</v>
      </c>
      <c r="D76" s="86" t="str">
        <f t="shared" ca="1" si="16"/>
        <v>FANT</v>
      </c>
      <c r="E76" s="86">
        <f t="shared" ca="1" si="17"/>
        <v>2</v>
      </c>
    </row>
    <row r="77" spans="1:8" ht="14.25" x14ac:dyDescent="0.45">
      <c r="A77" s="86">
        <f ca="1"/>
        <v>3</v>
      </c>
      <c r="B77" s="86" t="str">
        <f ca="1"/>
        <v>A169</v>
      </c>
      <c r="C77" s="86" t="str">
        <f t="shared" ca="1" si="15"/>
        <v>NAZWAN MOHAMMED</v>
      </c>
      <c r="D77" s="86" t="str">
        <f t="shared" ca="1" si="16"/>
        <v>FANT</v>
      </c>
      <c r="E77" s="86">
        <f t="shared" ca="1" si="17"/>
        <v>2</v>
      </c>
    </row>
    <row r="78" spans="1:8" ht="14.25" x14ac:dyDescent="0.45">
      <c r="A78" s="86">
        <f ca="1"/>
        <v>4</v>
      </c>
      <c r="B78" s="86" t="str">
        <f ca="1"/>
        <v>A113</v>
      </c>
      <c r="C78" s="86" t="str">
        <f t="shared" ca="1" si="15"/>
        <v>MOIDEEN KAIS</v>
      </c>
      <c r="D78" s="86" t="str">
        <f t="shared" ca="1" si="16"/>
        <v>DAHF</v>
      </c>
      <c r="E78" s="86">
        <f t="shared" ca="1" si="17"/>
        <v>1</v>
      </c>
    </row>
    <row r="79" spans="1:8" ht="14.25" x14ac:dyDescent="0.45">
      <c r="A79" s="86">
        <f ca="1"/>
        <v>5</v>
      </c>
      <c r="B79" s="86" t="str">
        <f ca="1"/>
        <v>A158</v>
      </c>
      <c r="C79" s="86" t="str">
        <f t="shared" ca="1" si="15"/>
        <v>Muhammed Anas</v>
      </c>
      <c r="D79" s="86" t="str">
        <f t="shared" ca="1" si="16"/>
        <v>DAHF</v>
      </c>
      <c r="E79" s="86">
        <f t="shared" ca="1" si="17"/>
        <v>2</v>
      </c>
    </row>
    <row r="80" spans="1:8" ht="14.25" x14ac:dyDescent="0.45">
      <c r="A80" s="86">
        <f ca="1"/>
        <v>6</v>
      </c>
      <c r="B80" s="86" t="str">
        <f ca="1"/>
        <v>A174</v>
      </c>
      <c r="C80" s="86" t="str">
        <f t="shared" ca="1" si="15"/>
        <v>THUFAIL</v>
      </c>
      <c r="D80" s="86" t="str">
        <f t="shared" ca="1" si="16"/>
        <v>DAHF</v>
      </c>
      <c r="E80" s="86">
        <f t="shared" ca="1" si="17"/>
        <v>2</v>
      </c>
    </row>
    <row r="81" spans="1:8" ht="14.25" x14ac:dyDescent="0.45">
      <c r="A81" s="86">
        <f ca="1"/>
        <v>7</v>
      </c>
      <c r="B81" s="86" t="str">
        <f ca="1"/>
        <v>A109</v>
      </c>
      <c r="C81" s="86" t="str">
        <f t="shared" ca="1" si="15"/>
        <v>AHMED RAZI MR</v>
      </c>
      <c r="D81" s="86" t="str">
        <f t="shared" ca="1" si="16"/>
        <v>BADF</v>
      </c>
      <c r="E81" s="86">
        <f t="shared" ca="1" si="17"/>
        <v>1</v>
      </c>
    </row>
    <row r="82" spans="1:8" ht="14.25" x14ac:dyDescent="0.45">
      <c r="A82" s="86">
        <f ca="1"/>
        <v>8</v>
      </c>
      <c r="B82" s="86" t="str">
        <f ca="1"/>
        <v>A146</v>
      </c>
      <c r="C82" s="86" t="str">
        <f t="shared" ca="1" si="15"/>
        <v>AHAMED ADIL. A</v>
      </c>
      <c r="D82" s="86" t="str">
        <f t="shared" ca="1" si="16"/>
        <v>BADF</v>
      </c>
      <c r="E82" s="86">
        <f t="shared" ca="1" si="17"/>
        <v>2</v>
      </c>
    </row>
    <row r="83" spans="1:8" ht="14.25" x14ac:dyDescent="0.45">
      <c r="A83" s="86">
        <f ca="1"/>
        <v>9</v>
      </c>
      <c r="B83" s="86" t="str">
        <f ca="1"/>
        <v>A163</v>
      </c>
      <c r="C83" s="86" t="str">
        <f t="shared" ca="1" si="15"/>
        <v>MUHAMMED LUQMAN TD</v>
      </c>
      <c r="D83" s="86" t="str">
        <f t="shared" ca="1" si="16"/>
        <v>BADF</v>
      </c>
      <c r="E83" s="86">
        <f t="shared" ca="1" si="17"/>
        <v>2</v>
      </c>
    </row>
    <row r="84" spans="1:8" ht="14.25" x14ac:dyDescent="0.45">
      <c r="A84" s="86">
        <f ca="1"/>
        <v>10</v>
      </c>
      <c r="B84" s="86" t="str">
        <f ca="1"/>
        <v>A121</v>
      </c>
      <c r="C84" s="86" t="str">
        <f t="shared" ca="1" si="15"/>
        <v>BEERAN MUEENUDHEEN MH</v>
      </c>
      <c r="D84" s="86" t="str">
        <f t="shared" ca="1" si="16"/>
        <v>JARF</v>
      </c>
      <c r="E84" s="86">
        <f t="shared" ca="1" si="17"/>
        <v>1</v>
      </c>
    </row>
    <row r="85" spans="1:8" ht="14.25" x14ac:dyDescent="0.45">
      <c r="A85" s="86">
        <f ca="1"/>
        <v>11</v>
      </c>
      <c r="B85" s="86" t="str">
        <f ca="1"/>
        <v>A154</v>
      </c>
      <c r="C85" s="86" t="str">
        <f t="shared" ca="1" si="15"/>
        <v>MOHAMMED WASIM SHAHAD SM</v>
      </c>
      <c r="D85" s="86" t="str">
        <f t="shared" ca="1" si="16"/>
        <v>JARF</v>
      </c>
      <c r="E85" s="86">
        <f t="shared" ca="1" si="17"/>
        <v>2</v>
      </c>
    </row>
    <row r="86" spans="1:8" ht="14.25" x14ac:dyDescent="0.45">
      <c r="A86" s="86">
        <f ca="1"/>
        <v>12</v>
      </c>
      <c r="B86" s="86" t="str">
        <f ca="1"/>
        <v>A133</v>
      </c>
      <c r="C86" s="86" t="str">
        <f t="shared" ca="1" si="15"/>
        <v>JAUHAR ASHFAQUE MUHSIN</v>
      </c>
      <c r="D86" s="86" t="str">
        <f t="shared" ca="1" si="16"/>
        <v>JARF</v>
      </c>
      <c r="E86" s="86">
        <f t="shared" ca="1" si="17"/>
        <v>1</v>
      </c>
    </row>
    <row r="87" spans="1:8" ht="14.25" x14ac:dyDescent="0.45">
      <c r="A87" s="84" t="s">
        <v>106</v>
      </c>
      <c r="B87" s="84" t="str">
        <f>VLOOKUP("SJ07",f_detailsof_programs,2,FALSE)</f>
        <v>MATH TALENT</v>
      </c>
      <c r="C87" s="84"/>
      <c r="D87" s="84" t="s">
        <v>688</v>
      </c>
      <c r="E87" s="84" t="s">
        <v>485</v>
      </c>
      <c r="F87" s="84"/>
      <c r="G87" s="84"/>
      <c r="H87" s="84"/>
    </row>
    <row r="88" spans="1:8" ht="14.25" x14ac:dyDescent="0.45">
      <c r="A88" s="85" t="s">
        <v>16</v>
      </c>
      <c r="B88" s="85" t="s">
        <v>480</v>
      </c>
      <c r="C88" s="85" t="s">
        <v>18</v>
      </c>
      <c r="D88" s="85" t="s">
        <v>481</v>
      </c>
      <c r="E88" s="85" t="s">
        <v>19</v>
      </c>
      <c r="F88" s="85" t="s">
        <v>482</v>
      </c>
      <c r="G88" s="85" t="s">
        <v>483</v>
      </c>
      <c r="H88" s="85" t="s">
        <v>484</v>
      </c>
    </row>
    <row r="89" spans="1:8" ht="14.25" x14ac:dyDescent="0.45">
      <c r="A89" s="86" cm="1">
        <f t="array" aca="1" ref="A89:A100" ca="1">_xlfn.SEQUENCE(COUNTA(_xlfn.LET(_xlpm.trimmed,OFFSET(f_listof_program_candidates,MATCH("SJ07",f_listof_program_codes,0)-1,6,1,),TRANSPOSE(_xlfn._xlws.FILTER(OFFSET(_xlpm.trimmed,0,0,,COUNTA(_xlpm.trimmed)-5),OFFSET(_xlpm.trimmed,0,0,,COUNTA(_xlpm.trimmed)-5)&lt;&gt;0)))))</f>
        <v>1</v>
      </c>
      <c r="B89" s="86" t="str" cm="1">
        <f t="array" aca="1" ref="B89:B100" ca="1">_xlfn.LET(_xlpm.trimmed,OFFSET(f_listof_program_candidates,MATCH("SJ07",f_listof_program_codes,0)-1,6,1,),TRANSPOSE(_xlfn._xlws.FILTER(OFFSET(_xlpm.trimmed,0,0,,COUNTA(_xlpm.trimmed)-5),OFFSET(_xlpm.trimmed,0,0,,COUNTA(_xlpm.trimmed)-5)&lt;&gt;0)))</f>
        <v>A100</v>
      </c>
      <c r="C89" s="86" t="str">
        <f t="shared" ref="C89:C100" ca="1" si="18">VLOOKUP(B89,f_detailsof_candidates,2,FALSE)</f>
        <v>ADINAN ABOOBACKER K</v>
      </c>
      <c r="D89" s="86" t="str">
        <f t="shared" ref="D89:D100" ca="1" si="19">VLOOKUP(B89,f_detailsof_candidates,3,FALSE)</f>
        <v>FANT</v>
      </c>
      <c r="E89" s="86">
        <f t="shared" ref="E89:E100" ca="1" si="20">VLOOKUP(B89,f_detailsof_candidates,5,FALSE)</f>
        <v>1</v>
      </c>
    </row>
    <row r="90" spans="1:8" ht="14.25" x14ac:dyDescent="0.45">
      <c r="A90" s="86">
        <f ca="1"/>
        <v>2</v>
      </c>
      <c r="B90" s="86" t="str">
        <f ca="1"/>
        <v>A107</v>
      </c>
      <c r="C90" s="86" t="str">
        <f t="shared" ca="1" si="18"/>
        <v>MUHAMMED ADHIL C H</v>
      </c>
      <c r="D90" s="86" t="str">
        <f t="shared" ca="1" si="19"/>
        <v>FANT</v>
      </c>
      <c r="E90" s="86">
        <f t="shared" ca="1" si="20"/>
        <v>1</v>
      </c>
    </row>
    <row r="91" spans="1:8" ht="14.25" x14ac:dyDescent="0.45">
      <c r="A91" s="86">
        <f ca="1"/>
        <v>3</v>
      </c>
      <c r="B91" s="86" t="str">
        <f ca="1"/>
        <v>A150</v>
      </c>
      <c r="C91" s="86" t="str">
        <f t="shared" ca="1" si="18"/>
        <v>MOHAMED JAWHAR J A</v>
      </c>
      <c r="D91" s="86" t="str">
        <f t="shared" ca="1" si="19"/>
        <v>FANT</v>
      </c>
      <c r="E91" s="86">
        <f t="shared" ca="1" si="20"/>
        <v>2</v>
      </c>
    </row>
    <row r="92" spans="1:8" ht="14.25" x14ac:dyDescent="0.45">
      <c r="A92" s="86">
        <f ca="1"/>
        <v>4</v>
      </c>
      <c r="B92" s="86" t="str">
        <f ca="1"/>
        <v>A164</v>
      </c>
      <c r="C92" s="86" t="str">
        <f t="shared" ca="1" si="18"/>
        <v>MUHAMMED MICDAD RAMEES A H</v>
      </c>
      <c r="D92" s="86" t="str">
        <f t="shared" ca="1" si="19"/>
        <v>DAHF</v>
      </c>
      <c r="E92" s="86">
        <f t="shared" ca="1" si="20"/>
        <v>2</v>
      </c>
    </row>
    <row r="93" spans="1:8" ht="14.25" x14ac:dyDescent="0.45">
      <c r="A93" s="86">
        <f ca="1"/>
        <v>5</v>
      </c>
      <c r="B93" s="86" t="str">
        <f ca="1"/>
        <v>A147</v>
      </c>
      <c r="C93" s="86" t="str">
        <f t="shared" ca="1" si="18"/>
        <v>AHMED WALEED K A</v>
      </c>
      <c r="D93" s="86" t="str">
        <f t="shared" ca="1" si="19"/>
        <v>DAHF</v>
      </c>
      <c r="E93" s="86">
        <f t="shared" ca="1" si="20"/>
        <v>2</v>
      </c>
    </row>
    <row r="94" spans="1:8" ht="14.25" x14ac:dyDescent="0.45">
      <c r="A94" s="86">
        <f ca="1"/>
        <v>6</v>
      </c>
      <c r="B94" s="86" t="str">
        <f ca="1"/>
        <v>A120</v>
      </c>
      <c r="C94" s="86" t="str">
        <f t="shared" ca="1" si="18"/>
        <v>MOHAMMED NAFIH</v>
      </c>
      <c r="D94" s="86" t="str">
        <f t="shared" ca="1" si="19"/>
        <v>DAHF</v>
      </c>
      <c r="E94" s="86">
        <f t="shared" ca="1" si="20"/>
        <v>1</v>
      </c>
    </row>
    <row r="95" spans="1:8" ht="14.25" x14ac:dyDescent="0.45">
      <c r="A95" s="86">
        <f ca="1"/>
        <v>7</v>
      </c>
      <c r="B95" s="86" t="str">
        <f ca="1"/>
        <v>A104</v>
      </c>
      <c r="C95" s="86" t="str">
        <f t="shared" ca="1" si="18"/>
        <v>MUHAMMAD AZEEM</v>
      </c>
      <c r="D95" s="86" t="str">
        <f t="shared" ca="1" si="19"/>
        <v>BADF</v>
      </c>
      <c r="E95" s="86">
        <f t="shared" ca="1" si="20"/>
        <v>1</v>
      </c>
    </row>
    <row r="96" spans="1:8" ht="14.25" x14ac:dyDescent="0.45">
      <c r="A96" s="86">
        <f ca="1"/>
        <v>8</v>
      </c>
      <c r="B96" s="86" t="str">
        <f ca="1"/>
        <v>A106</v>
      </c>
      <c r="C96" s="86" t="str">
        <f t="shared" ca="1" si="18"/>
        <v>Abdul Khader Uvais K A</v>
      </c>
      <c r="D96" s="86" t="str">
        <f t="shared" ca="1" si="19"/>
        <v>BADF</v>
      </c>
      <c r="E96" s="86">
        <f t="shared" ca="1" si="20"/>
        <v>1</v>
      </c>
    </row>
    <row r="97" spans="1:8" ht="14.25" x14ac:dyDescent="0.45">
      <c r="A97" s="86">
        <f ca="1"/>
        <v>9</v>
      </c>
      <c r="B97" s="86" t="str">
        <f ca="1"/>
        <v>A145</v>
      </c>
      <c r="C97" s="86" t="str">
        <f t="shared" ca="1" si="18"/>
        <v>ABDULLAH A P</v>
      </c>
      <c r="D97" s="86" t="str">
        <f t="shared" ca="1" si="19"/>
        <v>BADF</v>
      </c>
      <c r="E97" s="86">
        <f t="shared" ca="1" si="20"/>
        <v>2</v>
      </c>
    </row>
    <row r="98" spans="1:8" ht="14.25" x14ac:dyDescent="0.45">
      <c r="A98" s="86">
        <f ca="1"/>
        <v>10</v>
      </c>
      <c r="B98" s="86" t="str">
        <f ca="1"/>
        <v>A103</v>
      </c>
      <c r="C98" s="86" t="str">
        <f t="shared" ca="1" si="18"/>
        <v>MUHAMMED RIZIN AMAN</v>
      </c>
      <c r="D98" s="86" t="str">
        <f t="shared" ca="1" si="19"/>
        <v>JARF</v>
      </c>
      <c r="E98" s="86">
        <f t="shared" ca="1" si="20"/>
        <v>1</v>
      </c>
    </row>
    <row r="99" spans="1:8" ht="14.25" x14ac:dyDescent="0.45">
      <c r="A99" s="86">
        <f ca="1"/>
        <v>11</v>
      </c>
      <c r="B99" s="86" t="str">
        <f ca="1"/>
        <v>A123</v>
      </c>
      <c r="C99" s="86" t="str">
        <f t="shared" ca="1" si="18"/>
        <v>IBRAHIM KALEEL</v>
      </c>
      <c r="D99" s="86" t="str">
        <f t="shared" ca="1" si="19"/>
        <v>JARF</v>
      </c>
      <c r="E99" s="86">
        <f t="shared" ca="1" si="20"/>
        <v>1</v>
      </c>
    </row>
    <row r="100" spans="1:8" ht="14.25" x14ac:dyDescent="0.45">
      <c r="A100" s="86">
        <f ca="1"/>
        <v>12</v>
      </c>
      <c r="B100" s="86" t="str">
        <f ca="1"/>
        <v>A149</v>
      </c>
      <c r="C100" s="86" t="str">
        <f t="shared" ca="1" si="18"/>
        <v>FADIL AMEEN ABDULLA</v>
      </c>
      <c r="D100" s="86" t="str">
        <f t="shared" ca="1" si="19"/>
        <v>JARF</v>
      </c>
      <c r="E100" s="86">
        <f t="shared" ca="1" si="20"/>
        <v>2</v>
      </c>
    </row>
    <row r="101" spans="1:8" ht="14.25" x14ac:dyDescent="0.45">
      <c r="A101" s="84" t="s">
        <v>108</v>
      </c>
      <c r="B101" s="84" t="str">
        <f>VLOOKUP("SJ08",f_detailsof_programs,2,FALSE)</f>
        <v>MEMORY TEST</v>
      </c>
      <c r="C101" s="84"/>
      <c r="D101" s="84" t="s">
        <v>688</v>
      </c>
      <c r="E101" s="84" t="s">
        <v>485</v>
      </c>
      <c r="F101" s="84"/>
      <c r="G101" s="84"/>
      <c r="H101" s="84"/>
    </row>
    <row r="102" spans="1:8" ht="14.25" x14ac:dyDescent="0.45">
      <c r="A102" s="85" t="s">
        <v>16</v>
      </c>
      <c r="B102" s="85" t="s">
        <v>480</v>
      </c>
      <c r="C102" s="85" t="s">
        <v>18</v>
      </c>
      <c r="D102" s="85" t="s">
        <v>481</v>
      </c>
      <c r="E102" s="85" t="s">
        <v>19</v>
      </c>
      <c r="F102" s="85" t="s">
        <v>482</v>
      </c>
      <c r="G102" s="85" t="s">
        <v>483</v>
      </c>
      <c r="H102" s="85" t="s">
        <v>484</v>
      </c>
    </row>
    <row r="103" spans="1:8" ht="14.25" x14ac:dyDescent="0.45">
      <c r="A103" s="86" cm="1">
        <f t="array" aca="1" ref="A103:A114" ca="1">_xlfn.SEQUENCE(COUNTA(_xlfn.LET(_xlpm.trimmed,OFFSET(f_listof_program_candidates,MATCH("SJ08",f_listof_program_codes,0)-1,6,1,),TRANSPOSE(_xlfn._xlws.FILTER(OFFSET(_xlpm.trimmed,0,0,,COUNTA(_xlpm.trimmed)-5),OFFSET(_xlpm.trimmed,0,0,,COUNTA(_xlpm.trimmed)-5)&lt;&gt;0)))))</f>
        <v>1</v>
      </c>
      <c r="B103" s="86" t="str" cm="1">
        <f t="array" aca="1" ref="B103:B114" ca="1">_xlfn.LET(_xlpm.trimmed,OFFSET(f_listof_program_candidates,MATCH("SJ08",f_listof_program_codes,0)-1,6,1,),TRANSPOSE(_xlfn._xlws.FILTER(OFFSET(_xlpm.trimmed,0,0,,COUNTA(_xlpm.trimmed)-5),OFFSET(_xlpm.trimmed,0,0,,COUNTA(_xlpm.trimmed)-5)&lt;&gt;0)))</f>
        <v>A143</v>
      </c>
      <c r="C103" s="86" t="str">
        <f t="shared" ref="C103:C114" ca="1" si="21">VLOOKUP(B103,f_detailsof_candidates,2,FALSE)</f>
        <v>ABDUL AFEEZ C.F</v>
      </c>
      <c r="D103" s="86" t="str">
        <f t="shared" ref="D103:D114" ca="1" si="22">VLOOKUP(B103,f_detailsof_candidates,3,FALSE)</f>
        <v>FANT</v>
      </c>
      <c r="E103" s="86">
        <f t="shared" ref="E103:E114" ca="1" si="23">VLOOKUP(B103,f_detailsof_candidates,5,FALSE)</f>
        <v>2</v>
      </c>
    </row>
    <row r="104" spans="1:8" ht="14.25" x14ac:dyDescent="0.45">
      <c r="A104" s="86">
        <f ca="1"/>
        <v>2</v>
      </c>
      <c r="B104" s="86" t="str">
        <f ca="1"/>
        <v>A150</v>
      </c>
      <c r="C104" s="86" t="str">
        <f t="shared" ca="1" si="21"/>
        <v>MOHAMED JAWHAR J A</v>
      </c>
      <c r="D104" s="86" t="str">
        <f t="shared" ca="1" si="22"/>
        <v>FANT</v>
      </c>
      <c r="E104" s="86">
        <f t="shared" ca="1" si="23"/>
        <v>2</v>
      </c>
    </row>
    <row r="105" spans="1:8" ht="14.25" x14ac:dyDescent="0.45">
      <c r="A105" s="86">
        <f ca="1"/>
        <v>3</v>
      </c>
      <c r="B105" s="86" t="str">
        <f ca="1"/>
        <v>A161</v>
      </c>
      <c r="C105" s="86" t="str">
        <f t="shared" ca="1" si="21"/>
        <v>MUHAMMED FAHAD</v>
      </c>
      <c r="D105" s="86" t="str">
        <f t="shared" ca="1" si="22"/>
        <v>FANT</v>
      </c>
      <c r="E105" s="86">
        <f t="shared" ca="1" si="23"/>
        <v>2</v>
      </c>
    </row>
    <row r="106" spans="1:8" ht="14.25" x14ac:dyDescent="0.45">
      <c r="A106" s="86">
        <f ca="1"/>
        <v>4</v>
      </c>
      <c r="B106" s="86" t="str">
        <f ca="1"/>
        <v>A164</v>
      </c>
      <c r="C106" s="86" t="str">
        <f t="shared" ca="1" si="21"/>
        <v>MUHAMMED MICDAD RAMEES A H</v>
      </c>
      <c r="D106" s="86" t="str">
        <f t="shared" ca="1" si="22"/>
        <v>DAHF</v>
      </c>
      <c r="E106" s="86">
        <f t="shared" ca="1" si="23"/>
        <v>2</v>
      </c>
    </row>
    <row r="107" spans="1:8" ht="14.25" x14ac:dyDescent="0.45">
      <c r="A107" s="86">
        <f ca="1"/>
        <v>5</v>
      </c>
      <c r="B107" s="86" t="str">
        <f ca="1"/>
        <v>A171</v>
      </c>
      <c r="C107" s="86" t="str">
        <f t="shared" ca="1" si="21"/>
        <v>SAYYED MOHAMMED SINAN AM</v>
      </c>
      <c r="D107" s="86" t="str">
        <f t="shared" ca="1" si="22"/>
        <v>DAHF</v>
      </c>
      <c r="E107" s="86">
        <f t="shared" ca="1" si="23"/>
        <v>2</v>
      </c>
    </row>
    <row r="108" spans="1:8" ht="14.25" x14ac:dyDescent="0.45">
      <c r="A108" s="86">
        <f ca="1"/>
        <v>6</v>
      </c>
      <c r="B108" s="86" t="str">
        <f ca="1"/>
        <v>A172</v>
      </c>
      <c r="C108" s="86" t="str">
        <f t="shared" ca="1" si="21"/>
        <v>SAYYED MUHAMMED ABOOBACKER</v>
      </c>
      <c r="D108" s="86" t="str">
        <f t="shared" ca="1" si="22"/>
        <v>DAHF</v>
      </c>
      <c r="E108" s="86">
        <f t="shared" ca="1" si="23"/>
        <v>2</v>
      </c>
    </row>
    <row r="109" spans="1:8" ht="14.25" x14ac:dyDescent="0.45">
      <c r="A109" s="86">
        <f ca="1"/>
        <v>7</v>
      </c>
      <c r="B109" s="86" t="str">
        <f ca="1"/>
        <v>A104</v>
      </c>
      <c r="C109" s="86" t="str">
        <f t="shared" ca="1" si="21"/>
        <v>MUHAMMAD AZEEM</v>
      </c>
      <c r="D109" s="86" t="str">
        <f t="shared" ca="1" si="22"/>
        <v>BADF</v>
      </c>
      <c r="E109" s="86">
        <f t="shared" ca="1" si="23"/>
        <v>1</v>
      </c>
    </row>
    <row r="110" spans="1:8" ht="14.25" x14ac:dyDescent="0.45">
      <c r="A110" s="86">
        <f ca="1"/>
        <v>8</v>
      </c>
      <c r="B110" s="86" t="str">
        <f ca="1"/>
        <v>A136</v>
      </c>
      <c r="C110" s="86" t="str">
        <f t="shared" ca="1" si="21"/>
        <v>MUHAMMED UVAIS.P. S</v>
      </c>
      <c r="D110" s="86" t="str">
        <f t="shared" ca="1" si="22"/>
        <v>BADF</v>
      </c>
      <c r="E110" s="86">
        <f t="shared" ca="1" si="23"/>
        <v>1</v>
      </c>
    </row>
    <row r="111" spans="1:8" ht="14.25" x14ac:dyDescent="0.45">
      <c r="A111" s="86">
        <f ca="1"/>
        <v>9</v>
      </c>
      <c r="B111" s="86" t="str">
        <f ca="1"/>
        <v>A148</v>
      </c>
      <c r="C111" s="86" t="str">
        <f t="shared" ca="1" si="21"/>
        <v>AYAAN ABOOBAKAR</v>
      </c>
      <c r="D111" s="86" t="str">
        <f t="shared" ca="1" si="22"/>
        <v>BADF</v>
      </c>
      <c r="E111" s="86">
        <f t="shared" ca="1" si="23"/>
        <v>2</v>
      </c>
    </row>
    <row r="112" spans="1:8" ht="14.25" x14ac:dyDescent="0.45">
      <c r="A112" s="86">
        <f ca="1"/>
        <v>10</v>
      </c>
      <c r="B112" s="86" t="str">
        <f ca="1"/>
        <v>A141</v>
      </c>
      <c r="C112" s="86" t="str">
        <f t="shared" ca="1" si="21"/>
        <v>MUHAMMED SHUHAIR</v>
      </c>
      <c r="D112" s="86" t="str">
        <f t="shared" ca="1" si="22"/>
        <v>JARF</v>
      </c>
      <c r="E112" s="86">
        <f t="shared" ca="1" si="23"/>
        <v>2</v>
      </c>
    </row>
    <row r="113" spans="1:8" ht="14.25" x14ac:dyDescent="0.45">
      <c r="A113" s="86">
        <f ca="1"/>
        <v>11</v>
      </c>
      <c r="B113" s="86" t="str">
        <f ca="1"/>
        <v>A149</v>
      </c>
      <c r="C113" s="86" t="str">
        <f t="shared" ca="1" si="21"/>
        <v>FADIL AMEEN ABDULLA</v>
      </c>
      <c r="D113" s="86" t="str">
        <f t="shared" ca="1" si="22"/>
        <v>JARF</v>
      </c>
      <c r="E113" s="86">
        <f t="shared" ca="1" si="23"/>
        <v>2</v>
      </c>
    </row>
    <row r="114" spans="1:8" ht="14.25" x14ac:dyDescent="0.45">
      <c r="A114" s="86">
        <f ca="1"/>
        <v>12</v>
      </c>
      <c r="B114" s="86" t="str">
        <f ca="1"/>
        <v>A154</v>
      </c>
      <c r="C114" s="86" t="str">
        <f t="shared" ca="1" si="21"/>
        <v>MOHAMMED WASIM SHAHAD SM</v>
      </c>
      <c r="D114" s="86" t="str">
        <f t="shared" ca="1" si="22"/>
        <v>JARF</v>
      </c>
      <c r="E114" s="86">
        <f t="shared" ca="1" si="23"/>
        <v>2</v>
      </c>
    </row>
    <row r="115" spans="1:8" ht="14.25" x14ac:dyDescent="0.45">
      <c r="A115" s="84" t="s">
        <v>110</v>
      </c>
      <c r="B115" s="84" t="str">
        <f>VLOOKUP("SJ09",f_detailsof_programs,2,FALSE)</f>
        <v>MS PAINT</v>
      </c>
      <c r="C115" s="84"/>
      <c r="D115" s="84" t="s">
        <v>688</v>
      </c>
      <c r="E115" s="84" t="s">
        <v>486</v>
      </c>
      <c r="F115" s="84"/>
      <c r="G115" s="84"/>
      <c r="H115" s="84"/>
    </row>
    <row r="116" spans="1:8" ht="14.25" x14ac:dyDescent="0.45">
      <c r="A116" s="85" t="s">
        <v>16</v>
      </c>
      <c r="B116" s="85" t="s">
        <v>480</v>
      </c>
      <c r="C116" s="85" t="s">
        <v>18</v>
      </c>
      <c r="D116" s="85" t="s">
        <v>481</v>
      </c>
      <c r="E116" s="85" t="s">
        <v>19</v>
      </c>
      <c r="F116" s="85" t="s">
        <v>482</v>
      </c>
      <c r="G116" s="85" t="s">
        <v>483</v>
      </c>
      <c r="H116" s="85" t="s">
        <v>484</v>
      </c>
    </row>
    <row r="117" spans="1:8" ht="14.25" x14ac:dyDescent="0.45">
      <c r="A117" s="86" cm="1">
        <f t="array" aca="1" ref="A117:A124" ca="1">_xlfn.SEQUENCE(COUNTA(_xlfn.LET(_xlpm.trimmed,OFFSET(f_listof_program_candidates,MATCH("SJ09",f_listof_program_codes,0)-1,6,1,),TRANSPOSE(_xlfn._xlws.FILTER(OFFSET(_xlpm.trimmed,0,0,,COUNTA(_xlpm.trimmed)-5),OFFSET(_xlpm.trimmed,0,0,,COUNTA(_xlpm.trimmed)-5)&lt;&gt;0)))))</f>
        <v>1</v>
      </c>
      <c r="B117" s="86" t="str" cm="1">
        <f t="array" aca="1" ref="B117:B124" ca="1">_xlfn.LET(_xlpm.trimmed,OFFSET(f_listof_program_candidates,MATCH("SJ09",f_listof_program_codes,0)-1,6,1,),TRANSPOSE(_xlfn._xlws.FILTER(OFFSET(_xlpm.trimmed,0,0,,COUNTA(_xlpm.trimmed)-5),OFFSET(_xlpm.trimmed,0,0,,COUNTA(_xlpm.trimmed)-5)&lt;&gt;0)))</f>
        <v>A107</v>
      </c>
      <c r="C117" s="86" t="str">
        <f t="shared" ref="C117:C124" ca="1" si="24">VLOOKUP(B117,f_detailsof_candidates,2,FALSE)</f>
        <v>MUHAMMED ADHIL C H</v>
      </c>
      <c r="D117" s="86" t="str">
        <f t="shared" ref="D117:D124" ca="1" si="25">VLOOKUP(B117,f_detailsof_candidates,3,FALSE)</f>
        <v>FANT</v>
      </c>
      <c r="E117" s="86">
        <f t="shared" ref="E117:E124" ca="1" si="26">VLOOKUP(B117,f_detailsof_candidates,5,FALSE)</f>
        <v>1</v>
      </c>
    </row>
    <row r="118" spans="1:8" ht="14.25" x14ac:dyDescent="0.45">
      <c r="A118" s="86">
        <f ca="1"/>
        <v>2</v>
      </c>
      <c r="B118" s="86" t="str">
        <f ca="1"/>
        <v>A132</v>
      </c>
      <c r="C118" s="86" t="str">
        <f t="shared" ca="1" si="24"/>
        <v>MUHAMMED SHIRAZ ISHAQUE</v>
      </c>
      <c r="D118" s="86" t="str">
        <f t="shared" ca="1" si="25"/>
        <v>FANT</v>
      </c>
      <c r="E118" s="86">
        <f t="shared" ca="1" si="26"/>
        <v>1</v>
      </c>
    </row>
    <row r="119" spans="1:8" ht="14.25" x14ac:dyDescent="0.45">
      <c r="A119" s="86">
        <f ca="1"/>
        <v>3</v>
      </c>
      <c r="B119" s="86" t="str">
        <f ca="1"/>
        <v>A115</v>
      </c>
      <c r="C119" s="86" t="str">
        <f t="shared" ca="1" si="24"/>
        <v>K MUHAMMAD JALAL</v>
      </c>
      <c r="D119" s="86" t="str">
        <f t="shared" ca="1" si="25"/>
        <v>DAHF</v>
      </c>
      <c r="E119" s="86">
        <f t="shared" ca="1" si="26"/>
        <v>1</v>
      </c>
    </row>
    <row r="120" spans="1:8" ht="14.25" x14ac:dyDescent="0.45">
      <c r="A120" s="86">
        <f ca="1"/>
        <v>4</v>
      </c>
      <c r="B120" s="86" t="str">
        <f ca="1"/>
        <v>A112</v>
      </c>
      <c r="C120" s="86" t="str">
        <f t="shared" ca="1" si="24"/>
        <v>HILAL ABDULLA C H</v>
      </c>
      <c r="D120" s="86" t="str">
        <f t="shared" ca="1" si="25"/>
        <v>DAHF</v>
      </c>
      <c r="E120" s="86">
        <f t="shared" ca="1" si="26"/>
        <v>1</v>
      </c>
    </row>
    <row r="121" spans="1:8" ht="14.25" x14ac:dyDescent="0.45">
      <c r="A121" s="86">
        <f ca="1"/>
        <v>5</v>
      </c>
      <c r="B121" s="86" t="str">
        <f ca="1"/>
        <v>A124</v>
      </c>
      <c r="C121" s="86" t="str">
        <f t="shared" ca="1" si="24"/>
        <v>MOHAMMED JASEEM</v>
      </c>
      <c r="D121" s="86" t="str">
        <f t="shared" ca="1" si="25"/>
        <v>BADF</v>
      </c>
      <c r="E121" s="86">
        <f t="shared" ca="1" si="26"/>
        <v>1</v>
      </c>
    </row>
    <row r="122" spans="1:8" ht="14.25" x14ac:dyDescent="0.45">
      <c r="A122" s="86">
        <f ca="1"/>
        <v>6</v>
      </c>
      <c r="B122" s="86" t="str">
        <f ca="1"/>
        <v>A145</v>
      </c>
      <c r="C122" s="86" t="str">
        <f t="shared" ca="1" si="24"/>
        <v>ABDULLAH A P</v>
      </c>
      <c r="D122" s="86" t="str">
        <f t="shared" ca="1" si="25"/>
        <v>BADF</v>
      </c>
      <c r="E122" s="86">
        <f t="shared" ca="1" si="26"/>
        <v>2</v>
      </c>
    </row>
    <row r="123" spans="1:8" ht="14.25" x14ac:dyDescent="0.45">
      <c r="A123" s="86">
        <f ca="1"/>
        <v>7</v>
      </c>
      <c r="B123" s="86" t="str">
        <f ca="1"/>
        <v>A101</v>
      </c>
      <c r="C123" s="86" t="str">
        <f t="shared" ca="1" si="24"/>
        <v>MUHAMMED TAMEEM</v>
      </c>
      <c r="D123" s="86" t="str">
        <f t="shared" ca="1" si="25"/>
        <v>JARF</v>
      </c>
      <c r="E123" s="86">
        <f t="shared" ca="1" si="26"/>
        <v>1</v>
      </c>
    </row>
    <row r="124" spans="1:8" ht="14.25" x14ac:dyDescent="0.45">
      <c r="A124" s="86">
        <f ca="1"/>
        <v>8</v>
      </c>
      <c r="B124" s="86" t="str">
        <f ca="1"/>
        <v>A159</v>
      </c>
      <c r="C124" s="86" t="str">
        <f t="shared" ca="1" si="24"/>
        <v>MUHAMMED ASHIR M</v>
      </c>
      <c r="D124" s="86" t="str">
        <f t="shared" ca="1" si="25"/>
        <v>JARF</v>
      </c>
      <c r="E124" s="86">
        <f t="shared" ca="1" si="26"/>
        <v>2</v>
      </c>
    </row>
    <row r="125" spans="1:8" ht="14.25" x14ac:dyDescent="0.45">
      <c r="A125" s="84" t="s">
        <v>55</v>
      </c>
      <c r="B125" s="84" t="str">
        <f>VLOOKUP("SJ10",f_detailsof_programs,2,FALSE)</f>
        <v>MULTI LING HAND WRITING</v>
      </c>
      <c r="C125" s="84"/>
      <c r="D125" s="84" t="s">
        <v>688</v>
      </c>
      <c r="E125" s="84" t="s">
        <v>485</v>
      </c>
      <c r="F125" s="84"/>
      <c r="G125" s="84"/>
      <c r="H125" s="84"/>
    </row>
    <row r="126" spans="1:8" ht="14.25" x14ac:dyDescent="0.45">
      <c r="A126" s="85" t="s">
        <v>16</v>
      </c>
      <c r="B126" s="85" t="s">
        <v>480</v>
      </c>
      <c r="C126" s="85" t="s">
        <v>18</v>
      </c>
      <c r="D126" s="85" t="s">
        <v>481</v>
      </c>
      <c r="E126" s="85" t="s">
        <v>19</v>
      </c>
      <c r="F126" s="85" t="s">
        <v>482</v>
      </c>
      <c r="G126" s="85" t="s">
        <v>483</v>
      </c>
      <c r="H126" s="85" t="s">
        <v>484</v>
      </c>
    </row>
    <row r="127" spans="1:8" ht="14.25" x14ac:dyDescent="0.45">
      <c r="A127" s="86" cm="1">
        <f t="array" aca="1" ref="A127:A138" ca="1">_xlfn.SEQUENCE(COUNTA(_xlfn.LET(_xlpm.trimmed,OFFSET(f_listof_program_candidates,MATCH("SJ10",f_listof_program_codes,0)-1,6,1,),TRANSPOSE(_xlfn._xlws.FILTER(OFFSET(_xlpm.trimmed,0,0,,COUNTA(_xlpm.trimmed)-5),OFFSET(_xlpm.trimmed,0,0,,COUNTA(_xlpm.trimmed)-5)&lt;&gt;0)))))</f>
        <v>1</v>
      </c>
      <c r="B127" s="86" t="str" cm="1">
        <f t="array" aca="1" ref="B127:B138" ca="1">_xlfn.LET(_xlpm.trimmed,OFFSET(f_listof_program_candidates,MATCH("SJ10",f_listof_program_codes,0)-1,6,1,),TRANSPOSE(_xlfn._xlws.FILTER(OFFSET(_xlpm.trimmed,0,0,,COUNTA(_xlpm.trimmed)-5),OFFSET(_xlpm.trimmed,0,0,,COUNTA(_xlpm.trimmed)-5)&lt;&gt;0)))</f>
        <v>A110</v>
      </c>
      <c r="C127" s="86" t="str">
        <f t="shared" ref="C127:C138" ca="1" si="27">VLOOKUP(B127,f_detailsof_candidates,2,FALSE)</f>
        <v>Muhammed Hisham K M</v>
      </c>
      <c r="D127" s="86" t="str">
        <f t="shared" ref="D127:D138" ca="1" si="28">VLOOKUP(B127,f_detailsof_candidates,3,FALSE)</f>
        <v>FANT</v>
      </c>
      <c r="E127" s="86">
        <f t="shared" ref="E127:E138" ca="1" si="29">VLOOKUP(B127,f_detailsof_candidates,5,FALSE)</f>
        <v>1</v>
      </c>
    </row>
    <row r="128" spans="1:8" ht="14.25" x14ac:dyDescent="0.45">
      <c r="A128" s="86">
        <f ca="1"/>
        <v>2</v>
      </c>
      <c r="B128" s="86" t="str">
        <f ca="1"/>
        <v>A151</v>
      </c>
      <c r="C128" s="86" t="str">
        <f t="shared" ca="1" si="27"/>
        <v>Mohammad Yaseen</v>
      </c>
      <c r="D128" s="86" t="str">
        <f t="shared" ca="1" si="28"/>
        <v>FANT</v>
      </c>
      <c r="E128" s="86">
        <f t="shared" ca="1" si="29"/>
        <v>2</v>
      </c>
    </row>
    <row r="129" spans="1:8" ht="14.25" x14ac:dyDescent="0.45">
      <c r="A129" s="86">
        <f ca="1"/>
        <v>3</v>
      </c>
      <c r="B129" s="86" t="str">
        <f ca="1"/>
        <v>A153</v>
      </c>
      <c r="C129" s="86" t="str">
        <f t="shared" ca="1" si="27"/>
        <v>MOHAMMED SAWA T A</v>
      </c>
      <c r="D129" s="86" t="str">
        <f t="shared" ca="1" si="28"/>
        <v>FANT</v>
      </c>
      <c r="E129" s="86">
        <f t="shared" ca="1" si="29"/>
        <v>2</v>
      </c>
    </row>
    <row r="130" spans="1:8" ht="14.25" x14ac:dyDescent="0.45">
      <c r="A130" s="86">
        <f ca="1"/>
        <v>4</v>
      </c>
      <c r="B130" s="86" t="str">
        <f ca="1"/>
        <v>A158</v>
      </c>
      <c r="C130" s="86" t="str">
        <f t="shared" ca="1" si="27"/>
        <v>Muhammed Anas</v>
      </c>
      <c r="D130" s="86" t="str">
        <f t="shared" ca="1" si="28"/>
        <v>DAHF</v>
      </c>
      <c r="E130" s="86">
        <f t="shared" ca="1" si="29"/>
        <v>2</v>
      </c>
    </row>
    <row r="131" spans="1:8" ht="14.25" x14ac:dyDescent="0.45">
      <c r="A131" s="86">
        <f ca="1"/>
        <v>5</v>
      </c>
      <c r="B131" s="86" t="str">
        <f ca="1"/>
        <v>A171</v>
      </c>
      <c r="C131" s="86" t="str">
        <f t="shared" ca="1" si="27"/>
        <v>SAYYED MOHAMMED SINAN AM</v>
      </c>
      <c r="D131" s="86" t="str">
        <f t="shared" ca="1" si="28"/>
        <v>DAHF</v>
      </c>
      <c r="E131" s="86">
        <f t="shared" ca="1" si="29"/>
        <v>2</v>
      </c>
    </row>
    <row r="132" spans="1:8" ht="14.25" x14ac:dyDescent="0.45">
      <c r="A132" s="86">
        <f ca="1"/>
        <v>6</v>
      </c>
      <c r="B132" s="86" t="str">
        <f ca="1"/>
        <v>A165</v>
      </c>
      <c r="C132" s="86" t="str">
        <f t="shared" ca="1" si="27"/>
        <v>MUHAMMED MIDLAJ</v>
      </c>
      <c r="D132" s="86" t="str">
        <f t="shared" ca="1" si="28"/>
        <v>DAHF</v>
      </c>
      <c r="E132" s="86">
        <f t="shared" ca="1" si="29"/>
        <v>2</v>
      </c>
    </row>
    <row r="133" spans="1:8" ht="14.25" x14ac:dyDescent="0.45">
      <c r="A133" s="86">
        <f ca="1"/>
        <v>7</v>
      </c>
      <c r="B133" s="86" t="str">
        <f ca="1"/>
        <v>A108</v>
      </c>
      <c r="C133" s="86" t="str">
        <f t="shared" ca="1" si="27"/>
        <v>Mohammed Sinan N.A</v>
      </c>
      <c r="D133" s="86" t="str">
        <f t="shared" ca="1" si="28"/>
        <v>BADF</v>
      </c>
      <c r="E133" s="86">
        <f t="shared" ca="1" si="29"/>
        <v>1</v>
      </c>
    </row>
    <row r="134" spans="1:8" ht="14.25" x14ac:dyDescent="0.45">
      <c r="A134" s="86">
        <f ca="1"/>
        <v>8</v>
      </c>
      <c r="B134" s="86" t="str">
        <f ca="1"/>
        <v>A135</v>
      </c>
      <c r="C134" s="86" t="str">
        <f t="shared" ca="1" si="27"/>
        <v>MOHAMMED RAFAN A</v>
      </c>
      <c r="D134" s="86" t="str">
        <f t="shared" ca="1" si="28"/>
        <v>BADF</v>
      </c>
      <c r="E134" s="86">
        <f t="shared" ca="1" si="29"/>
        <v>1</v>
      </c>
    </row>
    <row r="135" spans="1:8" ht="14.25" x14ac:dyDescent="0.45">
      <c r="A135" s="86">
        <f ca="1"/>
        <v>9</v>
      </c>
      <c r="B135" s="86" t="str">
        <f ca="1"/>
        <v>A146</v>
      </c>
      <c r="C135" s="86" t="str">
        <f t="shared" ca="1" si="27"/>
        <v>AHAMED ADIL. A</v>
      </c>
      <c r="D135" s="86" t="str">
        <f t="shared" ca="1" si="28"/>
        <v>BADF</v>
      </c>
      <c r="E135" s="86">
        <f t="shared" ca="1" si="29"/>
        <v>2</v>
      </c>
    </row>
    <row r="136" spans="1:8" ht="14.25" x14ac:dyDescent="0.45">
      <c r="A136" s="86">
        <f ca="1"/>
        <v>10</v>
      </c>
      <c r="B136" s="86" t="str">
        <f ca="1"/>
        <v>A141</v>
      </c>
      <c r="C136" s="86" t="str">
        <f t="shared" ca="1" si="27"/>
        <v>MUHAMMED SHUHAIR</v>
      </c>
      <c r="D136" s="86" t="str">
        <f t="shared" ca="1" si="28"/>
        <v>JARF</v>
      </c>
      <c r="E136" s="86">
        <f t="shared" ca="1" si="29"/>
        <v>2</v>
      </c>
    </row>
    <row r="137" spans="1:8" ht="14.25" x14ac:dyDescent="0.45">
      <c r="A137" s="86">
        <f ca="1"/>
        <v>11</v>
      </c>
      <c r="B137" s="86" t="str">
        <f ca="1"/>
        <v>A144</v>
      </c>
      <c r="C137" s="86" t="str">
        <f t="shared" ca="1" si="27"/>
        <v>ABDULLA</v>
      </c>
      <c r="D137" s="86" t="str">
        <f t="shared" ca="1" si="28"/>
        <v>JARF</v>
      </c>
      <c r="E137" s="86">
        <f t="shared" ca="1" si="29"/>
        <v>2</v>
      </c>
    </row>
    <row r="138" spans="1:8" ht="14.25" x14ac:dyDescent="0.45">
      <c r="A138" s="86">
        <f ca="1"/>
        <v>12</v>
      </c>
      <c r="B138" s="86" t="str">
        <f ca="1"/>
        <v>A149</v>
      </c>
      <c r="C138" s="86" t="str">
        <f t="shared" ca="1" si="27"/>
        <v>FADIL AMEEN ABDULLA</v>
      </c>
      <c r="D138" s="86" t="str">
        <f t="shared" ca="1" si="28"/>
        <v>JARF</v>
      </c>
      <c r="E138" s="86">
        <f t="shared" ca="1" si="29"/>
        <v>2</v>
      </c>
    </row>
    <row r="139" spans="1:8" ht="14.25" x14ac:dyDescent="0.45">
      <c r="A139" s="84" t="s">
        <v>113</v>
      </c>
      <c r="B139" s="84" t="str">
        <f>VLOOKUP("SJ11",f_detailsof_programs,2,FALSE)</f>
        <v>NEWS WRITING MLM</v>
      </c>
      <c r="C139" s="84"/>
      <c r="D139" s="84" t="s">
        <v>688</v>
      </c>
      <c r="E139" s="84" t="s">
        <v>485</v>
      </c>
      <c r="F139" s="84"/>
      <c r="G139" s="84"/>
      <c r="H139" s="84"/>
    </row>
    <row r="140" spans="1:8" ht="14.25" x14ac:dyDescent="0.45">
      <c r="A140" s="85" t="s">
        <v>16</v>
      </c>
      <c r="B140" s="85" t="s">
        <v>480</v>
      </c>
      <c r="C140" s="85" t="s">
        <v>18</v>
      </c>
      <c r="D140" s="85" t="s">
        <v>481</v>
      </c>
      <c r="E140" s="85" t="s">
        <v>19</v>
      </c>
      <c r="F140" s="85" t="s">
        <v>482</v>
      </c>
      <c r="G140" s="85" t="s">
        <v>483</v>
      </c>
      <c r="H140" s="85" t="s">
        <v>484</v>
      </c>
    </row>
    <row r="141" spans="1:8" ht="14.25" x14ac:dyDescent="0.45">
      <c r="A141" s="86" cm="1">
        <f t="array" aca="1" ref="A141:A152" ca="1">_xlfn.SEQUENCE(COUNTA(_xlfn.LET(_xlpm.trimmed,OFFSET(f_listof_program_candidates,MATCH("SJ11",f_listof_program_codes,0)-1,6,1,),TRANSPOSE(_xlfn._xlws.FILTER(OFFSET(_xlpm.trimmed,0,0,,COUNTA(_xlpm.trimmed)-5),OFFSET(_xlpm.trimmed,0,0,,COUNTA(_xlpm.trimmed)-5)&lt;&gt;0)))))</f>
        <v>1</v>
      </c>
      <c r="B141" s="86" t="str" cm="1">
        <f t="array" aca="1" ref="B141:B152" ca="1">_xlfn.LET(_xlpm.trimmed,OFFSET(f_listof_program_candidates,MATCH("SJ11",f_listof_program_codes,0)-1,6,1,),TRANSPOSE(_xlfn._xlws.FILTER(OFFSET(_xlpm.trimmed,0,0,,COUNTA(_xlpm.trimmed)-5),OFFSET(_xlpm.trimmed,0,0,,COUNTA(_xlpm.trimmed)-5)&lt;&gt;0)))</f>
        <v>A105</v>
      </c>
      <c r="C141" s="86" t="str">
        <f t="shared" ref="C141:C152" ca="1" si="30">VLOOKUP(B141,f_detailsof_candidates,2,FALSE)</f>
        <v>MUHAMMED HAFIZ S T</v>
      </c>
      <c r="D141" s="86" t="str">
        <f t="shared" ref="D141:D152" ca="1" si="31">VLOOKUP(B141,f_detailsof_candidates,3,FALSE)</f>
        <v>FANT</v>
      </c>
      <c r="E141" s="86">
        <f t="shared" ref="E141:E152" ca="1" si="32">VLOOKUP(B141,f_detailsof_candidates,5,FALSE)</f>
        <v>1</v>
      </c>
    </row>
    <row r="142" spans="1:8" ht="14.25" x14ac:dyDescent="0.45">
      <c r="A142" s="86">
        <f ca="1"/>
        <v>2</v>
      </c>
      <c r="B142" s="86" t="str">
        <f ca="1"/>
        <v>A111</v>
      </c>
      <c r="C142" s="86" t="str">
        <f t="shared" ca="1" si="30"/>
        <v>HUSSAIN MUHAVIZ B A</v>
      </c>
      <c r="D142" s="86" t="str">
        <f t="shared" ca="1" si="31"/>
        <v>FANT</v>
      </c>
      <c r="E142" s="86">
        <f t="shared" ca="1" si="32"/>
        <v>1</v>
      </c>
    </row>
    <row r="143" spans="1:8" ht="14.25" x14ac:dyDescent="0.45">
      <c r="A143" s="86">
        <f ca="1"/>
        <v>3</v>
      </c>
      <c r="B143" s="86" t="str">
        <f ca="1"/>
        <v>A162</v>
      </c>
      <c r="C143" s="86" t="str">
        <f t="shared" ca="1" si="30"/>
        <v>MUHAMMED FAREED A S</v>
      </c>
      <c r="D143" s="86" t="str">
        <f t="shared" ca="1" si="31"/>
        <v>FANT</v>
      </c>
      <c r="E143" s="86">
        <f t="shared" ca="1" si="32"/>
        <v>2</v>
      </c>
    </row>
    <row r="144" spans="1:8" ht="14.25" x14ac:dyDescent="0.45">
      <c r="A144" s="86">
        <f ca="1"/>
        <v>4</v>
      </c>
      <c r="B144" s="86" t="str">
        <f ca="1"/>
        <v>A165</v>
      </c>
      <c r="C144" s="86" t="str">
        <f t="shared" ca="1" si="30"/>
        <v>MUHAMMED MIDLAJ</v>
      </c>
      <c r="D144" s="86" t="str">
        <f t="shared" ca="1" si="31"/>
        <v>DAHF</v>
      </c>
      <c r="E144" s="86">
        <f t="shared" ca="1" si="32"/>
        <v>2</v>
      </c>
    </row>
    <row r="145" spans="1:8" ht="14.25" x14ac:dyDescent="0.45">
      <c r="A145" s="86">
        <f ca="1"/>
        <v>5</v>
      </c>
      <c r="B145" s="86" t="str">
        <f ca="1"/>
        <v>A170</v>
      </c>
      <c r="C145" s="86" t="str">
        <f t="shared" ca="1" si="30"/>
        <v>P.V.AHMAD ANAS</v>
      </c>
      <c r="D145" s="86" t="str">
        <f t="shared" ca="1" si="31"/>
        <v>DAHF</v>
      </c>
      <c r="E145" s="86">
        <f t="shared" ca="1" si="32"/>
        <v>2</v>
      </c>
    </row>
    <row r="146" spans="1:8" ht="14.25" x14ac:dyDescent="0.45">
      <c r="A146" s="86">
        <f ca="1"/>
        <v>6</v>
      </c>
      <c r="B146" s="86" t="str">
        <f ca="1"/>
        <v>A137</v>
      </c>
      <c r="C146" s="86" t="str">
        <f t="shared" ca="1" si="30"/>
        <v>MOHAMMED SHUAIB K M</v>
      </c>
      <c r="D146" s="86" t="str">
        <f t="shared" ca="1" si="31"/>
        <v>DAHF</v>
      </c>
      <c r="E146" s="86">
        <f t="shared" ca="1" si="32"/>
        <v>1</v>
      </c>
    </row>
    <row r="147" spans="1:8" ht="14.25" x14ac:dyDescent="0.45">
      <c r="A147" s="86">
        <f ca="1"/>
        <v>7</v>
      </c>
      <c r="B147" s="86" t="str">
        <f ca="1"/>
        <v>A106</v>
      </c>
      <c r="C147" s="86" t="str">
        <f t="shared" ca="1" si="30"/>
        <v>Abdul Khader Uvais K A</v>
      </c>
      <c r="D147" s="86" t="str">
        <f t="shared" ca="1" si="31"/>
        <v>BADF</v>
      </c>
      <c r="E147" s="86">
        <f t="shared" ca="1" si="32"/>
        <v>1</v>
      </c>
    </row>
    <row r="148" spans="1:8" ht="14.25" x14ac:dyDescent="0.45">
      <c r="A148" s="86">
        <f ca="1"/>
        <v>8</v>
      </c>
      <c r="B148" s="86" t="str">
        <f ca="1"/>
        <v>A146</v>
      </c>
      <c r="C148" s="86" t="str">
        <f t="shared" ca="1" si="30"/>
        <v>AHAMED ADIL. A</v>
      </c>
      <c r="D148" s="86" t="str">
        <f t="shared" ca="1" si="31"/>
        <v>BADF</v>
      </c>
      <c r="E148" s="86">
        <f t="shared" ca="1" si="32"/>
        <v>2</v>
      </c>
    </row>
    <row r="149" spans="1:8" ht="14.25" x14ac:dyDescent="0.45">
      <c r="A149" s="86">
        <f ca="1"/>
        <v>9</v>
      </c>
      <c r="B149" s="86" t="str">
        <f ca="1"/>
        <v>A167</v>
      </c>
      <c r="C149" s="86" t="str">
        <f t="shared" ca="1" si="30"/>
        <v>MUHAMMED RAEES C A</v>
      </c>
      <c r="D149" s="86" t="str">
        <f t="shared" ca="1" si="31"/>
        <v>BADF</v>
      </c>
      <c r="E149" s="86">
        <f t="shared" ca="1" si="32"/>
        <v>2</v>
      </c>
    </row>
    <row r="150" spans="1:8" ht="14.25" x14ac:dyDescent="0.45">
      <c r="A150" s="86">
        <f ca="1"/>
        <v>10</v>
      </c>
      <c r="B150" s="86" t="str">
        <f ca="1"/>
        <v>A119</v>
      </c>
      <c r="C150" s="86" t="str">
        <f t="shared" ca="1" si="30"/>
        <v>MUHAMMED HASHIR A K</v>
      </c>
      <c r="D150" s="86" t="str">
        <f t="shared" ca="1" si="31"/>
        <v>JARF</v>
      </c>
      <c r="E150" s="86">
        <f t="shared" ca="1" si="32"/>
        <v>1</v>
      </c>
    </row>
    <row r="151" spans="1:8" ht="14.25" x14ac:dyDescent="0.45">
      <c r="A151" s="86">
        <f ca="1"/>
        <v>11</v>
      </c>
      <c r="B151" s="86" t="str">
        <f ca="1"/>
        <v>A130</v>
      </c>
      <c r="C151" s="86" t="str">
        <f t="shared" ca="1" si="30"/>
        <v>MOHAMMAD AJWAD</v>
      </c>
      <c r="D151" s="86" t="str">
        <f t="shared" ca="1" si="31"/>
        <v>JARF</v>
      </c>
      <c r="E151" s="86">
        <f t="shared" ca="1" si="32"/>
        <v>1</v>
      </c>
    </row>
    <row r="152" spans="1:8" ht="14.25" x14ac:dyDescent="0.45">
      <c r="A152" s="86">
        <f ca="1"/>
        <v>12</v>
      </c>
      <c r="B152" s="86" t="str">
        <f ca="1"/>
        <v>A155</v>
      </c>
      <c r="C152" s="86" t="str">
        <f t="shared" ca="1" si="30"/>
        <v>Muhammad M</v>
      </c>
      <c r="D152" s="86" t="str">
        <f t="shared" ca="1" si="31"/>
        <v>JARF</v>
      </c>
      <c r="E152" s="86">
        <f t="shared" ca="1" si="32"/>
        <v>2</v>
      </c>
    </row>
    <row r="153" spans="1:8" ht="14.25" x14ac:dyDescent="0.45">
      <c r="A153" s="84" t="s">
        <v>115</v>
      </c>
      <c r="B153" s="84" t="str">
        <f>VLOOKUP("SJ12",f_detailsof_programs,2,FALSE)</f>
        <v>PENCIL DRAWING</v>
      </c>
      <c r="C153" s="84"/>
      <c r="D153" s="84" t="s">
        <v>688</v>
      </c>
      <c r="E153" s="84" t="s">
        <v>486</v>
      </c>
      <c r="F153" s="84"/>
      <c r="G153" s="84"/>
      <c r="H153" s="84"/>
    </row>
    <row r="154" spans="1:8" ht="14.25" x14ac:dyDescent="0.45">
      <c r="A154" s="85" t="s">
        <v>16</v>
      </c>
      <c r="B154" s="85" t="s">
        <v>480</v>
      </c>
      <c r="C154" s="85" t="s">
        <v>18</v>
      </c>
      <c r="D154" s="85" t="s">
        <v>481</v>
      </c>
      <c r="E154" s="85" t="s">
        <v>19</v>
      </c>
      <c r="F154" s="85" t="s">
        <v>482</v>
      </c>
      <c r="G154" s="85" t="s">
        <v>483</v>
      </c>
      <c r="H154" s="85" t="s">
        <v>484</v>
      </c>
    </row>
    <row r="155" spans="1:8" ht="14.25" x14ac:dyDescent="0.45">
      <c r="A155" s="86" cm="1">
        <f t="array" aca="1" ref="A155:A162" ca="1">_xlfn.SEQUENCE(COUNTA(_xlfn.LET(_xlpm.trimmed,OFFSET(f_listof_program_candidates,MATCH("SJ12",f_listof_program_codes,0)-1,6,1,),TRANSPOSE(_xlfn._xlws.FILTER(OFFSET(_xlpm.trimmed,0,0,,COUNTA(_xlpm.trimmed)-5),OFFSET(_xlpm.trimmed,0,0,,COUNTA(_xlpm.trimmed)-5)&lt;&gt;0)))))</f>
        <v>1</v>
      </c>
      <c r="B155" s="86" t="str" cm="1">
        <f t="array" aca="1" ref="B155:B162" ca="1">_xlfn.LET(_xlpm.trimmed,OFFSET(f_listof_program_candidates,MATCH("SJ12",f_listof_program_codes,0)-1,6,1,),TRANSPOSE(_xlfn._xlws.FILTER(OFFSET(_xlpm.trimmed,0,0,,COUNTA(_xlpm.trimmed)-5),OFFSET(_xlpm.trimmed,0,0,,COUNTA(_xlpm.trimmed)-5)&lt;&gt;0)))</f>
        <v>A110</v>
      </c>
      <c r="C155" s="86" t="str">
        <f t="shared" ref="C155:C162" ca="1" si="33">VLOOKUP(B155,f_detailsof_candidates,2,FALSE)</f>
        <v>Muhammed Hisham K M</v>
      </c>
      <c r="D155" s="86" t="str">
        <f t="shared" ref="D155:D162" ca="1" si="34">VLOOKUP(B155,f_detailsof_candidates,3,FALSE)</f>
        <v>FANT</v>
      </c>
      <c r="E155" s="86">
        <f t="shared" ref="E155:E162" ca="1" si="35">VLOOKUP(B155,f_detailsof_candidates,5,FALSE)</f>
        <v>1</v>
      </c>
    </row>
    <row r="156" spans="1:8" ht="14.25" x14ac:dyDescent="0.45">
      <c r="A156" s="86">
        <f ca="1"/>
        <v>2</v>
      </c>
      <c r="B156" s="86" t="str">
        <f ca="1"/>
        <v>A157</v>
      </c>
      <c r="C156" s="86" t="str">
        <f t="shared" ca="1" si="33"/>
        <v>MUHAMMED ADNAN K.A</v>
      </c>
      <c r="D156" s="86" t="str">
        <f t="shared" ca="1" si="34"/>
        <v>FANT</v>
      </c>
      <c r="E156" s="86">
        <f t="shared" ca="1" si="35"/>
        <v>2</v>
      </c>
    </row>
    <row r="157" spans="1:8" ht="14.25" x14ac:dyDescent="0.45">
      <c r="A157" s="86">
        <f ca="1"/>
        <v>3</v>
      </c>
      <c r="B157" s="86" t="str">
        <f ca="1"/>
        <v>A115</v>
      </c>
      <c r="C157" s="86" t="str">
        <f t="shared" ca="1" si="33"/>
        <v>K MUHAMMAD JALAL</v>
      </c>
      <c r="D157" s="86" t="str">
        <f t="shared" ca="1" si="34"/>
        <v>DAHF</v>
      </c>
      <c r="E157" s="86">
        <f t="shared" ca="1" si="35"/>
        <v>1</v>
      </c>
    </row>
    <row r="158" spans="1:8" ht="14.25" x14ac:dyDescent="0.45">
      <c r="A158" s="86">
        <f ca="1"/>
        <v>4</v>
      </c>
      <c r="B158" s="86" t="str">
        <f ca="1"/>
        <v>A172</v>
      </c>
      <c r="C158" s="86" t="str">
        <f t="shared" ca="1" si="33"/>
        <v>SAYYED MUHAMMED ABOOBACKER</v>
      </c>
      <c r="D158" s="86" t="str">
        <f t="shared" ca="1" si="34"/>
        <v>DAHF</v>
      </c>
      <c r="E158" s="86">
        <f t="shared" ca="1" si="35"/>
        <v>2</v>
      </c>
    </row>
    <row r="159" spans="1:8" ht="14.25" x14ac:dyDescent="0.45">
      <c r="A159" s="86">
        <f ca="1"/>
        <v>5</v>
      </c>
      <c r="B159" s="86" t="str">
        <f ca="1"/>
        <v>A142</v>
      </c>
      <c r="C159" s="86" t="str">
        <f t="shared" ca="1" si="33"/>
        <v>Muhammed Anshad A</v>
      </c>
      <c r="D159" s="86" t="str">
        <f t="shared" ca="1" si="34"/>
        <v>BADF</v>
      </c>
      <c r="E159" s="86">
        <f t="shared" ca="1" si="35"/>
        <v>2</v>
      </c>
    </row>
    <row r="160" spans="1:8" ht="14.25" x14ac:dyDescent="0.45">
      <c r="A160" s="86">
        <f ca="1"/>
        <v>6</v>
      </c>
      <c r="B160" s="86" t="str">
        <f ca="1"/>
        <v>A167</v>
      </c>
      <c r="C160" s="86" t="str">
        <f t="shared" ca="1" si="33"/>
        <v>MUHAMMED RAEES C A</v>
      </c>
      <c r="D160" s="86" t="str">
        <f t="shared" ca="1" si="34"/>
        <v>BADF</v>
      </c>
      <c r="E160" s="86">
        <f t="shared" ca="1" si="35"/>
        <v>2</v>
      </c>
    </row>
    <row r="161" spans="1:8" ht="14.25" x14ac:dyDescent="0.45">
      <c r="A161" s="86">
        <f ca="1"/>
        <v>7</v>
      </c>
      <c r="B161" s="86" t="str">
        <f ca="1"/>
        <v>A101</v>
      </c>
      <c r="C161" s="86" t="str">
        <f t="shared" ca="1" si="33"/>
        <v>MUHAMMED TAMEEM</v>
      </c>
      <c r="D161" s="86" t="str">
        <f t="shared" ca="1" si="34"/>
        <v>JARF</v>
      </c>
      <c r="E161" s="86">
        <f t="shared" ca="1" si="35"/>
        <v>1</v>
      </c>
    </row>
    <row r="162" spans="1:8" ht="14.25" x14ac:dyDescent="0.45">
      <c r="A162" s="86">
        <f ca="1"/>
        <v>8</v>
      </c>
      <c r="B162" s="86" t="str">
        <f ca="1"/>
        <v>A160</v>
      </c>
      <c r="C162" s="86" t="str">
        <f t="shared" ca="1" si="33"/>
        <v>MUHAMMED AYAAN</v>
      </c>
      <c r="D162" s="86" t="str">
        <f t="shared" ca="1" si="34"/>
        <v>JARF</v>
      </c>
      <c r="E162" s="86">
        <f t="shared" ca="1" si="35"/>
        <v>2</v>
      </c>
    </row>
    <row r="163" spans="1:8" ht="14.25" x14ac:dyDescent="0.45">
      <c r="A163" s="84" t="s">
        <v>117</v>
      </c>
      <c r="B163" s="84" t="str">
        <f>VLOOKUP("SJ13",f_detailsof_programs,2,FALSE)</f>
        <v>POEM WRITING MLM</v>
      </c>
      <c r="C163" s="84"/>
      <c r="D163" s="84" t="s">
        <v>688</v>
      </c>
      <c r="E163" s="84" t="s">
        <v>485</v>
      </c>
      <c r="F163" s="84"/>
      <c r="G163" s="84"/>
      <c r="H163" s="84"/>
    </row>
    <row r="164" spans="1:8" ht="14.25" x14ac:dyDescent="0.45">
      <c r="A164" s="85" t="s">
        <v>16</v>
      </c>
      <c r="B164" s="85" t="s">
        <v>480</v>
      </c>
      <c r="C164" s="85" t="s">
        <v>18</v>
      </c>
      <c r="D164" s="85" t="s">
        <v>481</v>
      </c>
      <c r="E164" s="85" t="s">
        <v>19</v>
      </c>
      <c r="F164" s="85" t="s">
        <v>482</v>
      </c>
      <c r="G164" s="85" t="s">
        <v>483</v>
      </c>
      <c r="H164" s="85" t="s">
        <v>484</v>
      </c>
    </row>
    <row r="165" spans="1:8" ht="14.25" x14ac:dyDescent="0.45">
      <c r="A165" s="86" cm="1">
        <f t="array" aca="1" ref="A165:A176" ca="1">_xlfn.SEQUENCE(COUNTA(_xlfn.LET(_xlpm.trimmed,OFFSET(f_listof_program_candidates,MATCH("SJ13",f_listof_program_codes,0)-1,6,1,),TRANSPOSE(_xlfn._xlws.FILTER(OFFSET(_xlpm.trimmed,0,0,,COUNTA(_xlpm.trimmed)-5),OFFSET(_xlpm.trimmed,0,0,,COUNTA(_xlpm.trimmed)-5)&lt;&gt;0)))))</f>
        <v>1</v>
      </c>
      <c r="B165" s="86" t="str" cm="1">
        <f t="array" aca="1" ref="B165:B176" ca="1">_xlfn.LET(_xlpm.trimmed,OFFSET(f_listof_program_candidates,MATCH("SJ13",f_listof_program_codes,0)-1,6,1,),TRANSPOSE(_xlfn._xlws.FILTER(OFFSET(_xlpm.trimmed,0,0,,COUNTA(_xlpm.trimmed)-5),OFFSET(_xlpm.trimmed,0,0,,COUNTA(_xlpm.trimmed)-5)&lt;&gt;0)))</f>
        <v>A105</v>
      </c>
      <c r="C165" s="86" t="str">
        <f t="shared" ref="C165:C176" ca="1" si="36">VLOOKUP(B165,f_detailsof_candidates,2,FALSE)</f>
        <v>MUHAMMED HAFIZ S T</v>
      </c>
      <c r="D165" s="86" t="str">
        <f t="shared" ref="D165:D176" ca="1" si="37">VLOOKUP(B165,f_detailsof_candidates,3,FALSE)</f>
        <v>FANT</v>
      </c>
      <c r="E165" s="86">
        <f t="shared" ref="E165:E176" ca="1" si="38">VLOOKUP(B165,f_detailsof_candidates,5,FALSE)</f>
        <v>1</v>
      </c>
    </row>
    <row r="166" spans="1:8" ht="14.25" x14ac:dyDescent="0.45">
      <c r="A166" s="86">
        <f ca="1"/>
        <v>2</v>
      </c>
      <c r="B166" s="86" t="str">
        <f ca="1"/>
        <v>A111</v>
      </c>
      <c r="C166" s="86" t="str">
        <f t="shared" ca="1" si="36"/>
        <v>HUSSAIN MUHAVIZ B A</v>
      </c>
      <c r="D166" s="86" t="str">
        <f t="shared" ca="1" si="37"/>
        <v>FANT</v>
      </c>
      <c r="E166" s="86">
        <f t="shared" ca="1" si="38"/>
        <v>1</v>
      </c>
    </row>
    <row r="167" spans="1:8" ht="14.25" x14ac:dyDescent="0.45">
      <c r="A167" s="86">
        <f ca="1"/>
        <v>3</v>
      </c>
      <c r="B167" s="86" t="str">
        <f ca="1"/>
        <v>A140</v>
      </c>
      <c r="C167" s="86" t="str">
        <f t="shared" ca="1" si="36"/>
        <v>MUHAMMED AFLAH.MK</v>
      </c>
      <c r="D167" s="86" t="str">
        <f t="shared" ca="1" si="37"/>
        <v>FANT</v>
      </c>
      <c r="E167" s="86">
        <f t="shared" ca="1" si="38"/>
        <v>2</v>
      </c>
    </row>
    <row r="168" spans="1:8" ht="14.25" x14ac:dyDescent="0.45">
      <c r="A168" s="86">
        <f ca="1"/>
        <v>4</v>
      </c>
      <c r="B168" s="86" t="str">
        <f ca="1"/>
        <v>A165</v>
      </c>
      <c r="C168" s="86" t="str">
        <f t="shared" ca="1" si="36"/>
        <v>MUHAMMED MIDLAJ</v>
      </c>
      <c r="D168" s="86" t="str">
        <f t="shared" ca="1" si="37"/>
        <v>DAHF</v>
      </c>
      <c r="E168" s="86">
        <f t="shared" ca="1" si="38"/>
        <v>2</v>
      </c>
    </row>
    <row r="169" spans="1:8" ht="14.25" x14ac:dyDescent="0.45">
      <c r="A169" s="86">
        <f ca="1"/>
        <v>5</v>
      </c>
      <c r="B169" s="86" t="str">
        <f ca="1"/>
        <v>A170</v>
      </c>
      <c r="C169" s="86" t="str">
        <f t="shared" ca="1" si="36"/>
        <v>P.V.AHMAD ANAS</v>
      </c>
      <c r="D169" s="86" t="str">
        <f t="shared" ca="1" si="37"/>
        <v>DAHF</v>
      </c>
      <c r="E169" s="86">
        <f t="shared" ca="1" si="38"/>
        <v>2</v>
      </c>
    </row>
    <row r="170" spans="1:8" ht="14.25" x14ac:dyDescent="0.45">
      <c r="A170" s="86">
        <f ca="1"/>
        <v>6</v>
      </c>
      <c r="B170" s="86" t="str">
        <f ca="1"/>
        <v>A128</v>
      </c>
      <c r="C170" s="86" t="str">
        <f t="shared" ca="1" si="36"/>
        <v>MOHAMMED HAFEEZ B</v>
      </c>
      <c r="D170" s="86" t="str">
        <f t="shared" ca="1" si="37"/>
        <v>DAHF</v>
      </c>
      <c r="E170" s="86">
        <f t="shared" ca="1" si="38"/>
        <v>1</v>
      </c>
    </row>
    <row r="171" spans="1:8" ht="14.25" x14ac:dyDescent="0.45">
      <c r="A171" s="86">
        <f ca="1"/>
        <v>7</v>
      </c>
      <c r="B171" s="86" t="str">
        <f ca="1"/>
        <v>A142</v>
      </c>
      <c r="C171" s="86" t="str">
        <f t="shared" ca="1" si="36"/>
        <v>Muhammed Anshad A</v>
      </c>
      <c r="D171" s="86" t="str">
        <f t="shared" ca="1" si="37"/>
        <v>BADF</v>
      </c>
      <c r="E171" s="86">
        <f t="shared" ca="1" si="38"/>
        <v>2</v>
      </c>
    </row>
    <row r="172" spans="1:8" ht="14.25" x14ac:dyDescent="0.45">
      <c r="A172" s="86">
        <f ca="1"/>
        <v>8</v>
      </c>
      <c r="B172" s="86" t="str">
        <f ca="1"/>
        <v>A145</v>
      </c>
      <c r="C172" s="86" t="str">
        <f t="shared" ca="1" si="36"/>
        <v>ABDULLAH A P</v>
      </c>
      <c r="D172" s="86" t="str">
        <f t="shared" ca="1" si="37"/>
        <v>BADF</v>
      </c>
      <c r="E172" s="86">
        <f t="shared" ca="1" si="38"/>
        <v>2</v>
      </c>
    </row>
    <row r="173" spans="1:8" ht="14.25" x14ac:dyDescent="0.45">
      <c r="A173" s="86">
        <f ca="1"/>
        <v>9</v>
      </c>
      <c r="B173" s="86" t="str">
        <f ca="1"/>
        <v>A167</v>
      </c>
      <c r="C173" s="86" t="str">
        <f t="shared" ca="1" si="36"/>
        <v>MUHAMMED RAEES C A</v>
      </c>
      <c r="D173" s="86" t="str">
        <f t="shared" ca="1" si="37"/>
        <v>BADF</v>
      </c>
      <c r="E173" s="86">
        <f t="shared" ca="1" si="38"/>
        <v>2</v>
      </c>
    </row>
    <row r="174" spans="1:8" ht="14.25" x14ac:dyDescent="0.45">
      <c r="A174" s="86">
        <f ca="1"/>
        <v>10</v>
      </c>
      <c r="B174" s="86" t="str">
        <f ca="1"/>
        <v>A141</v>
      </c>
      <c r="C174" s="86" t="str">
        <f t="shared" ca="1" si="36"/>
        <v>MUHAMMED SHUHAIR</v>
      </c>
      <c r="D174" s="86" t="str">
        <f t="shared" ca="1" si="37"/>
        <v>JARF</v>
      </c>
      <c r="E174" s="86">
        <f t="shared" ca="1" si="38"/>
        <v>2</v>
      </c>
    </row>
    <row r="175" spans="1:8" ht="14.25" x14ac:dyDescent="0.45">
      <c r="A175" s="86">
        <f ca="1"/>
        <v>11</v>
      </c>
      <c r="B175" s="86" t="str">
        <f ca="1"/>
        <v>A155</v>
      </c>
      <c r="C175" s="86" t="str">
        <f t="shared" ca="1" si="36"/>
        <v>Muhammad M</v>
      </c>
      <c r="D175" s="86" t="str">
        <f t="shared" ca="1" si="37"/>
        <v>JARF</v>
      </c>
      <c r="E175" s="86">
        <f t="shared" ca="1" si="38"/>
        <v>2</v>
      </c>
    </row>
    <row r="176" spans="1:8" ht="14.25" x14ac:dyDescent="0.45">
      <c r="A176" s="86">
        <f ca="1"/>
        <v>12</v>
      </c>
      <c r="B176" s="86" t="str">
        <f ca="1"/>
        <v>A159</v>
      </c>
      <c r="C176" s="86" t="str">
        <f t="shared" ca="1" si="36"/>
        <v>MUHAMMED ASHIR M</v>
      </c>
      <c r="D176" s="86" t="str">
        <f t="shared" ca="1" si="37"/>
        <v>JARF</v>
      </c>
      <c r="E176" s="86">
        <f t="shared" ca="1" si="38"/>
        <v>2</v>
      </c>
    </row>
    <row r="177" spans="1:8" ht="14.25" x14ac:dyDescent="0.45">
      <c r="A177" s="84" t="s">
        <v>119</v>
      </c>
      <c r="B177" s="84" t="str">
        <f>VLOOKUP("SJ14",f_detailsof_programs,2,FALSE)</f>
        <v>POSTER DESIGNING (non digital)</v>
      </c>
      <c r="C177" s="84"/>
      <c r="D177" s="84" t="s">
        <v>688</v>
      </c>
      <c r="E177" s="84" t="s">
        <v>486</v>
      </c>
      <c r="F177" s="84"/>
      <c r="G177" s="84"/>
      <c r="H177" s="84"/>
    </row>
    <row r="178" spans="1:8" ht="14.25" x14ac:dyDescent="0.45">
      <c r="A178" s="85" t="s">
        <v>16</v>
      </c>
      <c r="B178" s="85" t="s">
        <v>480</v>
      </c>
      <c r="C178" s="85" t="s">
        <v>18</v>
      </c>
      <c r="D178" s="85" t="s">
        <v>481</v>
      </c>
      <c r="E178" s="85" t="s">
        <v>19</v>
      </c>
      <c r="F178" s="85" t="s">
        <v>482</v>
      </c>
      <c r="G178" s="85" t="s">
        <v>483</v>
      </c>
      <c r="H178" s="85" t="s">
        <v>484</v>
      </c>
    </row>
    <row r="179" spans="1:8" ht="14.25" x14ac:dyDescent="0.45">
      <c r="A179" s="86" cm="1">
        <f t="array" aca="1" ref="A179:A186" ca="1">_xlfn.SEQUENCE(COUNTA(_xlfn.LET(_xlpm.trimmed,OFFSET(f_listof_program_candidates,MATCH("SJ14",f_listof_program_codes,0)-1,6,1,),TRANSPOSE(_xlfn._xlws.FILTER(OFFSET(_xlpm.trimmed,0,0,,COUNTA(_xlpm.trimmed)-5),OFFSET(_xlpm.trimmed,0,0,,COUNTA(_xlpm.trimmed)-5)&lt;&gt;0)))))</f>
        <v>1</v>
      </c>
      <c r="B179" s="86" t="str" cm="1">
        <f t="array" aca="1" ref="B179:B186" ca="1">_xlfn.LET(_xlpm.trimmed,OFFSET(f_listof_program_candidates,MATCH("SJ14",f_listof_program_codes,0)-1,6,1,),TRANSPOSE(_xlfn._xlws.FILTER(OFFSET(_xlpm.trimmed,0,0,,COUNTA(_xlpm.trimmed)-5),OFFSET(_xlpm.trimmed,0,0,,COUNTA(_xlpm.trimmed)-5)&lt;&gt;0)))</f>
        <v>A151</v>
      </c>
      <c r="C179" s="86" t="str">
        <f t="shared" ref="C179:C186" ca="1" si="39">VLOOKUP(B179,f_detailsof_candidates,2,FALSE)</f>
        <v>Mohammad Yaseen</v>
      </c>
      <c r="D179" s="86" t="str">
        <f t="shared" ref="D179:D186" ca="1" si="40">VLOOKUP(B179,f_detailsof_candidates,3,FALSE)</f>
        <v>FANT</v>
      </c>
      <c r="E179" s="86">
        <f t="shared" ref="E179:E186" ca="1" si="41">VLOOKUP(B179,f_detailsof_candidates,5,FALSE)</f>
        <v>2</v>
      </c>
    </row>
    <row r="180" spans="1:8" ht="14.25" x14ac:dyDescent="0.45">
      <c r="A180" s="86">
        <f ca="1"/>
        <v>2</v>
      </c>
      <c r="B180" s="86" t="str">
        <f ca="1"/>
        <v>A157</v>
      </c>
      <c r="C180" s="86" t="str">
        <f t="shared" ca="1" si="39"/>
        <v>MUHAMMED ADNAN K.A</v>
      </c>
      <c r="D180" s="86" t="str">
        <f t="shared" ca="1" si="40"/>
        <v>FANT</v>
      </c>
      <c r="E180" s="86">
        <f t="shared" ca="1" si="41"/>
        <v>2</v>
      </c>
    </row>
    <row r="181" spans="1:8" ht="14.25" x14ac:dyDescent="0.45">
      <c r="A181" s="86">
        <f ca="1"/>
        <v>3</v>
      </c>
      <c r="B181" s="86" t="str">
        <f ca="1"/>
        <v>A165</v>
      </c>
      <c r="C181" s="86" t="str">
        <f t="shared" ca="1" si="39"/>
        <v>MUHAMMED MIDLAJ</v>
      </c>
      <c r="D181" s="86" t="str">
        <f t="shared" ca="1" si="40"/>
        <v>DAHF</v>
      </c>
      <c r="E181" s="86">
        <f t="shared" ca="1" si="41"/>
        <v>2</v>
      </c>
    </row>
    <row r="182" spans="1:8" ht="14.25" x14ac:dyDescent="0.45">
      <c r="A182" s="86">
        <f ca="1"/>
        <v>4</v>
      </c>
      <c r="B182" s="86" t="str">
        <f ca="1"/>
        <v>A172</v>
      </c>
      <c r="C182" s="86" t="str">
        <f t="shared" ca="1" si="39"/>
        <v>SAYYED MUHAMMED ABOOBACKER</v>
      </c>
      <c r="D182" s="86" t="str">
        <f t="shared" ca="1" si="40"/>
        <v>DAHF</v>
      </c>
      <c r="E182" s="86">
        <f t="shared" ca="1" si="41"/>
        <v>2</v>
      </c>
    </row>
    <row r="183" spans="1:8" ht="14.25" x14ac:dyDescent="0.45">
      <c r="A183" s="86">
        <f ca="1"/>
        <v>5</v>
      </c>
      <c r="B183" s="86" t="str">
        <f ca="1"/>
        <v>A142</v>
      </c>
      <c r="C183" s="86" t="str">
        <f t="shared" ca="1" si="39"/>
        <v>Muhammed Anshad A</v>
      </c>
      <c r="D183" s="86" t="str">
        <f t="shared" ca="1" si="40"/>
        <v>BADF</v>
      </c>
      <c r="E183" s="86">
        <f t="shared" ca="1" si="41"/>
        <v>2</v>
      </c>
    </row>
    <row r="184" spans="1:8" ht="14.25" x14ac:dyDescent="0.45">
      <c r="A184" s="86">
        <f ca="1"/>
        <v>6</v>
      </c>
      <c r="B184" s="86" t="str">
        <f ca="1"/>
        <v>A167</v>
      </c>
      <c r="C184" s="86" t="str">
        <f t="shared" ca="1" si="39"/>
        <v>MUHAMMED RAEES C A</v>
      </c>
      <c r="D184" s="86" t="str">
        <f t="shared" ca="1" si="40"/>
        <v>BADF</v>
      </c>
      <c r="E184" s="86">
        <f t="shared" ca="1" si="41"/>
        <v>2</v>
      </c>
    </row>
    <row r="185" spans="1:8" ht="14.25" x14ac:dyDescent="0.45">
      <c r="A185" s="86">
        <f ca="1"/>
        <v>7</v>
      </c>
      <c r="B185" s="86" t="str">
        <f ca="1"/>
        <v>A159</v>
      </c>
      <c r="C185" s="86" t="str">
        <f t="shared" ca="1" si="39"/>
        <v>MUHAMMED ASHIR M</v>
      </c>
      <c r="D185" s="86" t="str">
        <f t="shared" ca="1" si="40"/>
        <v>JARF</v>
      </c>
      <c r="E185" s="86">
        <f t="shared" ca="1" si="41"/>
        <v>2</v>
      </c>
    </row>
    <row r="186" spans="1:8" ht="14.25" x14ac:dyDescent="0.45">
      <c r="A186" s="86">
        <f ca="1"/>
        <v>8</v>
      </c>
      <c r="B186" s="86" t="str">
        <f ca="1"/>
        <v>A160</v>
      </c>
      <c r="C186" s="86" t="str">
        <f t="shared" ca="1" si="39"/>
        <v>MUHAMMED AYAAN</v>
      </c>
      <c r="D186" s="86" t="str">
        <f t="shared" ca="1" si="40"/>
        <v>JARF</v>
      </c>
      <c r="E186" s="86">
        <f t="shared" ca="1" si="41"/>
        <v>2</v>
      </c>
    </row>
    <row r="187" spans="1:8" ht="14.25" x14ac:dyDescent="0.45">
      <c r="A187" s="84" t="s">
        <v>121</v>
      </c>
      <c r="B187" s="84" t="str">
        <f>VLOOKUP("SJ15",f_detailsof_programs,2,FALSE)</f>
        <v>QIRĀʾAH</v>
      </c>
      <c r="C187" s="84"/>
      <c r="D187" s="84" t="s">
        <v>688</v>
      </c>
      <c r="E187" s="84" t="s">
        <v>485</v>
      </c>
      <c r="F187" s="84"/>
      <c r="G187" s="84"/>
      <c r="H187" s="84"/>
    </row>
    <row r="188" spans="1:8" ht="14.25" x14ac:dyDescent="0.45">
      <c r="A188" s="85" t="s">
        <v>16</v>
      </c>
      <c r="B188" s="85" t="s">
        <v>480</v>
      </c>
      <c r="C188" s="85" t="s">
        <v>18</v>
      </c>
      <c r="D188" s="85" t="s">
        <v>481</v>
      </c>
      <c r="E188" s="85" t="s">
        <v>19</v>
      </c>
      <c r="F188" s="85" t="s">
        <v>482</v>
      </c>
      <c r="G188" s="85" t="s">
        <v>483</v>
      </c>
      <c r="H188" s="85" t="s">
        <v>484</v>
      </c>
    </row>
    <row r="189" spans="1:8" ht="14.25" x14ac:dyDescent="0.45">
      <c r="A189" s="86" cm="1">
        <f t="array" aca="1" ref="A189:A200" ca="1">_xlfn.SEQUENCE(COUNTA(_xlfn.LET(_xlpm.trimmed,OFFSET(f_listof_program_candidates,MATCH("SJ15",f_listof_program_codes,0)-1,6,1,),TRANSPOSE(_xlfn._xlws.FILTER(OFFSET(_xlpm.trimmed,0,0,,COUNTA(_xlpm.trimmed)-5),OFFSET(_xlpm.trimmed,0,0,,COUNTA(_xlpm.trimmed)-5)&lt;&gt;0)))))</f>
        <v>1</v>
      </c>
      <c r="B189" s="86" t="str" cm="1">
        <f t="array" aca="1" ref="B189:B200" ca="1">_xlfn.LET(_xlpm.trimmed,OFFSET(f_listof_program_candidates,MATCH("SJ15",f_listof_program_codes,0)-1,6,1,),TRANSPOSE(_xlfn._xlws.FILTER(OFFSET(_xlpm.trimmed,0,0,,COUNTA(_xlpm.trimmed)-5),OFFSET(_xlpm.trimmed,0,0,,COUNTA(_xlpm.trimmed)-5)&lt;&gt;0)))</f>
        <v>A111</v>
      </c>
      <c r="C189" s="86" t="str">
        <f t="shared" ref="C189:C200" ca="1" si="42">VLOOKUP(B189,f_detailsof_candidates,2,FALSE)</f>
        <v>HUSSAIN MUHAVIZ B A</v>
      </c>
      <c r="D189" s="86" t="str">
        <f t="shared" ref="D189:D200" ca="1" si="43">VLOOKUP(B189,f_detailsof_candidates,3,FALSE)</f>
        <v>FANT</v>
      </c>
      <c r="E189" s="86">
        <f t="shared" ref="E189:E200" ca="1" si="44">VLOOKUP(B189,f_detailsof_candidates,5,FALSE)</f>
        <v>1</v>
      </c>
    </row>
    <row r="190" spans="1:8" ht="14.25" x14ac:dyDescent="0.45">
      <c r="A190" s="86">
        <f ca="1"/>
        <v>2</v>
      </c>
      <c r="B190" s="86" t="str">
        <f ca="1"/>
        <v>A122</v>
      </c>
      <c r="C190" s="86" t="str">
        <f t="shared" ca="1" si="42"/>
        <v>MOHAMMAD K A</v>
      </c>
      <c r="D190" s="86" t="str">
        <f t="shared" ca="1" si="43"/>
        <v>FANT</v>
      </c>
      <c r="E190" s="86">
        <f t="shared" ca="1" si="44"/>
        <v>1</v>
      </c>
    </row>
    <row r="191" spans="1:8" ht="14.25" x14ac:dyDescent="0.45">
      <c r="A191" s="86">
        <f ca="1"/>
        <v>3</v>
      </c>
      <c r="B191" s="86" t="str">
        <f ca="1"/>
        <v>A140</v>
      </c>
      <c r="C191" s="86" t="str">
        <f t="shared" ca="1" si="42"/>
        <v>MUHAMMED AFLAH.MK</v>
      </c>
      <c r="D191" s="86" t="str">
        <f t="shared" ca="1" si="43"/>
        <v>FANT</v>
      </c>
      <c r="E191" s="86">
        <f t="shared" ca="1" si="44"/>
        <v>2</v>
      </c>
    </row>
    <row r="192" spans="1:8" ht="14.25" x14ac:dyDescent="0.45">
      <c r="A192" s="86">
        <f ca="1"/>
        <v>4</v>
      </c>
      <c r="B192" s="86" t="str">
        <f ca="1"/>
        <v>A158</v>
      </c>
      <c r="C192" s="86" t="str">
        <f t="shared" ca="1" si="42"/>
        <v>Muhammed Anas</v>
      </c>
      <c r="D192" s="86" t="str">
        <f t="shared" ca="1" si="43"/>
        <v>DAHF</v>
      </c>
      <c r="E192" s="86">
        <f t="shared" ca="1" si="44"/>
        <v>2</v>
      </c>
    </row>
    <row r="193" spans="1:8" ht="14.25" x14ac:dyDescent="0.45">
      <c r="A193" s="86">
        <f ca="1"/>
        <v>5</v>
      </c>
      <c r="B193" s="86" t="str">
        <f ca="1"/>
        <v>A174</v>
      </c>
      <c r="C193" s="86" t="str">
        <f t="shared" ca="1" si="42"/>
        <v>THUFAIL</v>
      </c>
      <c r="D193" s="86" t="str">
        <f t="shared" ca="1" si="43"/>
        <v>DAHF</v>
      </c>
      <c r="E193" s="86">
        <f t="shared" ca="1" si="44"/>
        <v>2</v>
      </c>
    </row>
    <row r="194" spans="1:8" ht="14.25" x14ac:dyDescent="0.45">
      <c r="A194" s="86">
        <f ca="1"/>
        <v>6</v>
      </c>
      <c r="B194" s="86" t="str">
        <f ca="1"/>
        <v>A115</v>
      </c>
      <c r="C194" s="86" t="str">
        <f t="shared" ca="1" si="42"/>
        <v>K MUHAMMAD JALAL</v>
      </c>
      <c r="D194" s="86" t="str">
        <f t="shared" ca="1" si="43"/>
        <v>DAHF</v>
      </c>
      <c r="E194" s="86">
        <f t="shared" ca="1" si="44"/>
        <v>1</v>
      </c>
    </row>
    <row r="195" spans="1:8" ht="14.25" x14ac:dyDescent="0.45">
      <c r="A195" s="86">
        <f ca="1"/>
        <v>7</v>
      </c>
      <c r="B195" s="86" t="str">
        <f ca="1"/>
        <v>A109</v>
      </c>
      <c r="C195" s="86" t="str">
        <f t="shared" ca="1" si="42"/>
        <v>AHMED RAZI MR</v>
      </c>
      <c r="D195" s="86" t="str">
        <f t="shared" ca="1" si="43"/>
        <v>BADF</v>
      </c>
      <c r="E195" s="86">
        <f t="shared" ca="1" si="44"/>
        <v>1</v>
      </c>
    </row>
    <row r="196" spans="1:8" ht="14.25" x14ac:dyDescent="0.45">
      <c r="A196" s="86">
        <f ca="1"/>
        <v>8</v>
      </c>
      <c r="B196" s="86" t="str">
        <f ca="1"/>
        <v>A152</v>
      </c>
      <c r="C196" s="86" t="str">
        <f t="shared" ca="1" si="42"/>
        <v>MOHAMMED QUBAIB A H</v>
      </c>
      <c r="D196" s="86" t="str">
        <f t="shared" ca="1" si="43"/>
        <v>BADF</v>
      </c>
      <c r="E196" s="86">
        <f t="shared" ca="1" si="44"/>
        <v>2</v>
      </c>
    </row>
    <row r="197" spans="1:8" ht="14.25" x14ac:dyDescent="0.45">
      <c r="A197" s="86">
        <f ca="1"/>
        <v>9</v>
      </c>
      <c r="B197" s="86" t="str">
        <f ca="1"/>
        <v>A163</v>
      </c>
      <c r="C197" s="86" t="str">
        <f t="shared" ca="1" si="42"/>
        <v>MUHAMMED LUQMAN TD</v>
      </c>
      <c r="D197" s="86" t="str">
        <f t="shared" ca="1" si="43"/>
        <v>BADF</v>
      </c>
      <c r="E197" s="86">
        <f t="shared" ca="1" si="44"/>
        <v>2</v>
      </c>
    </row>
    <row r="198" spans="1:8" ht="14.25" x14ac:dyDescent="0.45">
      <c r="A198" s="86">
        <f ca="1"/>
        <v>10</v>
      </c>
      <c r="B198" s="86" t="str">
        <f ca="1"/>
        <v>A121</v>
      </c>
      <c r="C198" s="86" t="str">
        <f t="shared" ca="1" si="42"/>
        <v>BEERAN MUEENUDHEEN MH</v>
      </c>
      <c r="D198" s="86" t="str">
        <f t="shared" ca="1" si="43"/>
        <v>JARF</v>
      </c>
      <c r="E198" s="86">
        <f t="shared" ca="1" si="44"/>
        <v>1</v>
      </c>
    </row>
    <row r="199" spans="1:8" ht="14.25" x14ac:dyDescent="0.45">
      <c r="A199" s="86">
        <f ca="1"/>
        <v>11</v>
      </c>
      <c r="B199" s="86" t="str">
        <f ca="1"/>
        <v>A154</v>
      </c>
      <c r="C199" s="86" t="str">
        <f t="shared" ca="1" si="42"/>
        <v>MOHAMMED WASIM SHAHAD SM</v>
      </c>
      <c r="D199" s="86" t="str">
        <f t="shared" ca="1" si="43"/>
        <v>JARF</v>
      </c>
      <c r="E199" s="86">
        <f t="shared" ca="1" si="44"/>
        <v>2</v>
      </c>
    </row>
    <row r="200" spans="1:8" ht="14.25" x14ac:dyDescent="0.45">
      <c r="A200" s="86">
        <f ca="1"/>
        <v>12</v>
      </c>
      <c r="B200" s="86" t="str">
        <f ca="1"/>
        <v>A156</v>
      </c>
      <c r="C200" s="86" t="str">
        <f t="shared" ca="1" si="42"/>
        <v>MUHAMMAD SHAHSAD HASAN</v>
      </c>
      <c r="D200" s="86" t="str">
        <f t="shared" ca="1" si="43"/>
        <v>JARF</v>
      </c>
      <c r="E200" s="86">
        <f t="shared" ca="1" si="44"/>
        <v>2</v>
      </c>
    </row>
    <row r="201" spans="1:8" ht="14.25" x14ac:dyDescent="0.45">
      <c r="A201" s="84" t="s">
        <v>123</v>
      </c>
      <c r="B201" s="84" t="str">
        <f>VLOOKUP("SJ16",f_detailsof_programs,2,FALSE)</f>
        <v>SHORT STORY MLM</v>
      </c>
      <c r="C201" s="84"/>
      <c r="D201" s="84" t="s">
        <v>688</v>
      </c>
      <c r="E201" s="84" t="s">
        <v>485</v>
      </c>
      <c r="F201" s="84"/>
      <c r="G201" s="84"/>
      <c r="H201" s="84"/>
    </row>
    <row r="202" spans="1:8" ht="14.25" x14ac:dyDescent="0.45">
      <c r="A202" s="85" t="s">
        <v>16</v>
      </c>
      <c r="B202" s="85" t="s">
        <v>480</v>
      </c>
      <c r="C202" s="85" t="s">
        <v>18</v>
      </c>
      <c r="D202" s="85" t="s">
        <v>481</v>
      </c>
      <c r="E202" s="85" t="s">
        <v>19</v>
      </c>
      <c r="F202" s="85" t="s">
        <v>482</v>
      </c>
      <c r="G202" s="85" t="s">
        <v>483</v>
      </c>
      <c r="H202" s="85" t="s">
        <v>484</v>
      </c>
    </row>
    <row r="203" spans="1:8" ht="14.25" x14ac:dyDescent="0.45">
      <c r="A203" s="86" cm="1">
        <f t="array" aca="1" ref="A203:A214" ca="1">_xlfn.SEQUENCE(COUNTA(_xlfn.LET(_xlpm.trimmed,OFFSET(f_listof_program_candidates,MATCH("SJ16",f_listof_program_codes,0)-1,6,1,),TRANSPOSE(_xlfn._xlws.FILTER(OFFSET(_xlpm.trimmed,0,0,,COUNTA(_xlpm.trimmed)-5),OFFSET(_xlpm.trimmed,0,0,,COUNTA(_xlpm.trimmed)-5)&lt;&gt;0)))))</f>
        <v>1</v>
      </c>
      <c r="B203" s="86" t="str" cm="1">
        <f t="array" aca="1" ref="B203:B214" ca="1">_xlfn.LET(_xlpm.trimmed,OFFSET(f_listof_program_candidates,MATCH("SJ16",f_listof_program_codes,0)-1,6,1,),TRANSPOSE(_xlfn._xlws.FILTER(OFFSET(_xlpm.trimmed,0,0,,COUNTA(_xlpm.trimmed)-5),OFFSET(_xlpm.trimmed,0,0,,COUNTA(_xlpm.trimmed)-5)&lt;&gt;0)))</f>
        <v>A105</v>
      </c>
      <c r="C203" s="86" t="str">
        <f t="shared" ref="C203:C214" ca="1" si="45">VLOOKUP(B203,f_detailsof_candidates,2,FALSE)</f>
        <v>MUHAMMED HAFIZ S T</v>
      </c>
      <c r="D203" s="86" t="str">
        <f t="shared" ref="D203:D214" ca="1" si="46">VLOOKUP(B203,f_detailsof_candidates,3,FALSE)</f>
        <v>FANT</v>
      </c>
      <c r="E203" s="86">
        <f t="shared" ref="E203:E214" ca="1" si="47">VLOOKUP(B203,f_detailsof_candidates,5,FALSE)</f>
        <v>1</v>
      </c>
    </row>
    <row r="204" spans="1:8" ht="14.25" x14ac:dyDescent="0.45">
      <c r="A204" s="86">
        <f ca="1"/>
        <v>2</v>
      </c>
      <c r="B204" s="86" t="str">
        <f ca="1"/>
        <v>A111</v>
      </c>
      <c r="C204" s="86" t="str">
        <f t="shared" ca="1" si="45"/>
        <v>HUSSAIN MUHAVIZ B A</v>
      </c>
      <c r="D204" s="86" t="str">
        <f t="shared" ca="1" si="46"/>
        <v>FANT</v>
      </c>
      <c r="E204" s="86">
        <f t="shared" ca="1" si="47"/>
        <v>1</v>
      </c>
    </row>
    <row r="205" spans="1:8" ht="14.25" x14ac:dyDescent="0.45">
      <c r="A205" s="86">
        <f ca="1"/>
        <v>3</v>
      </c>
      <c r="B205" s="86" t="str">
        <f ca="1"/>
        <v>A153</v>
      </c>
      <c r="C205" s="86" t="str">
        <f t="shared" ca="1" si="45"/>
        <v>MOHAMMED SAWA T A</v>
      </c>
      <c r="D205" s="86" t="str">
        <f t="shared" ca="1" si="46"/>
        <v>FANT</v>
      </c>
      <c r="E205" s="86">
        <f t="shared" ca="1" si="47"/>
        <v>2</v>
      </c>
    </row>
    <row r="206" spans="1:8" ht="14.25" x14ac:dyDescent="0.45">
      <c r="A206" s="86">
        <f ca="1"/>
        <v>4</v>
      </c>
      <c r="B206" s="86" t="str">
        <f ca="1"/>
        <v>A112</v>
      </c>
      <c r="C206" s="86" t="str">
        <f t="shared" ca="1" si="45"/>
        <v>HILAL ABDULLA C H</v>
      </c>
      <c r="D206" s="86" t="str">
        <f t="shared" ca="1" si="46"/>
        <v>DAHF</v>
      </c>
      <c r="E206" s="86">
        <f t="shared" ca="1" si="47"/>
        <v>1</v>
      </c>
    </row>
    <row r="207" spans="1:8" ht="14.25" x14ac:dyDescent="0.45">
      <c r="A207" s="86">
        <f ca="1"/>
        <v>5</v>
      </c>
      <c r="B207" s="86" t="str">
        <f ca="1"/>
        <v>A147</v>
      </c>
      <c r="C207" s="86" t="str">
        <f t="shared" ca="1" si="45"/>
        <v>AHMED WALEED K A</v>
      </c>
      <c r="D207" s="86" t="str">
        <f t="shared" ca="1" si="46"/>
        <v>DAHF</v>
      </c>
      <c r="E207" s="86">
        <f t="shared" ca="1" si="47"/>
        <v>2</v>
      </c>
    </row>
    <row r="208" spans="1:8" ht="14.25" x14ac:dyDescent="0.45">
      <c r="A208" s="86">
        <f ca="1"/>
        <v>6</v>
      </c>
      <c r="B208" s="86" t="str">
        <f ca="1"/>
        <v>A134</v>
      </c>
      <c r="C208" s="86" t="str">
        <f t="shared" ca="1" si="45"/>
        <v>YASEEN MUHAMMED</v>
      </c>
      <c r="D208" s="86" t="str">
        <f t="shared" ca="1" si="46"/>
        <v>DAHF</v>
      </c>
      <c r="E208" s="86">
        <f t="shared" ca="1" si="47"/>
        <v>1</v>
      </c>
    </row>
    <row r="209" spans="1:8" ht="14.25" x14ac:dyDescent="0.45">
      <c r="A209" s="86">
        <f ca="1"/>
        <v>7</v>
      </c>
      <c r="B209" s="86" t="str">
        <f ca="1"/>
        <v>A145</v>
      </c>
      <c r="C209" s="86" t="str">
        <f t="shared" ca="1" si="45"/>
        <v>ABDULLAH A P</v>
      </c>
      <c r="D209" s="86" t="str">
        <f t="shared" ca="1" si="46"/>
        <v>BADF</v>
      </c>
      <c r="E209" s="86">
        <f t="shared" ca="1" si="47"/>
        <v>2</v>
      </c>
    </row>
    <row r="210" spans="1:8" ht="14.25" x14ac:dyDescent="0.45">
      <c r="A210" s="86">
        <f ca="1"/>
        <v>8</v>
      </c>
      <c r="B210" s="86" t="str">
        <f ca="1"/>
        <v>A146</v>
      </c>
      <c r="C210" s="86" t="str">
        <f t="shared" ca="1" si="45"/>
        <v>AHAMED ADIL. A</v>
      </c>
      <c r="D210" s="86" t="str">
        <f t="shared" ca="1" si="46"/>
        <v>BADF</v>
      </c>
      <c r="E210" s="86">
        <f t="shared" ca="1" si="47"/>
        <v>2</v>
      </c>
    </row>
    <row r="211" spans="1:8" ht="14.25" x14ac:dyDescent="0.45">
      <c r="A211" s="86">
        <f ca="1"/>
        <v>9</v>
      </c>
      <c r="B211" s="86" t="str">
        <f ca="1"/>
        <v>A167</v>
      </c>
      <c r="C211" s="86" t="str">
        <f t="shared" ca="1" si="45"/>
        <v>MUHAMMED RAEES C A</v>
      </c>
      <c r="D211" s="86" t="str">
        <f t="shared" ca="1" si="46"/>
        <v>BADF</v>
      </c>
      <c r="E211" s="86">
        <f t="shared" ca="1" si="47"/>
        <v>2</v>
      </c>
    </row>
    <row r="212" spans="1:8" ht="14.25" x14ac:dyDescent="0.45">
      <c r="A212" s="86">
        <f ca="1"/>
        <v>10</v>
      </c>
      <c r="B212" s="86" t="str">
        <f ca="1"/>
        <v>A154</v>
      </c>
      <c r="C212" s="86" t="str">
        <f t="shared" ca="1" si="45"/>
        <v>MOHAMMED WASIM SHAHAD SM</v>
      </c>
      <c r="D212" s="86" t="str">
        <f t="shared" ca="1" si="46"/>
        <v>JARF</v>
      </c>
      <c r="E212" s="86">
        <f t="shared" ca="1" si="47"/>
        <v>2</v>
      </c>
    </row>
    <row r="213" spans="1:8" ht="14.25" x14ac:dyDescent="0.45">
      <c r="A213" s="86">
        <f ca="1"/>
        <v>11</v>
      </c>
      <c r="B213" s="86" t="str">
        <f ca="1"/>
        <v>A155</v>
      </c>
      <c r="C213" s="86" t="str">
        <f t="shared" ca="1" si="45"/>
        <v>Muhammad M</v>
      </c>
      <c r="D213" s="86" t="str">
        <f t="shared" ca="1" si="46"/>
        <v>JARF</v>
      </c>
      <c r="E213" s="86">
        <f t="shared" ca="1" si="47"/>
        <v>2</v>
      </c>
    </row>
    <row r="214" spans="1:8" ht="14.25" x14ac:dyDescent="0.45">
      <c r="A214" s="86">
        <f ca="1"/>
        <v>12</v>
      </c>
      <c r="B214" s="86" t="str">
        <f ca="1"/>
        <v>A159</v>
      </c>
      <c r="C214" s="86" t="str">
        <f t="shared" ca="1" si="45"/>
        <v>MUHAMMED ASHIR M</v>
      </c>
      <c r="D214" s="86" t="str">
        <f t="shared" ca="1" si="46"/>
        <v>JARF</v>
      </c>
      <c r="E214" s="86">
        <f t="shared" ca="1" si="47"/>
        <v>2</v>
      </c>
    </row>
    <row r="215" spans="1:8" ht="14.25" x14ac:dyDescent="0.45">
      <c r="A215" s="84" t="s">
        <v>125</v>
      </c>
      <c r="B215" s="84" t="str">
        <f>VLOOKUP("SJ17",f_detailsof_programs,2,FALSE)</f>
        <v>STORY COMPLETION MLM</v>
      </c>
      <c r="C215" s="84"/>
      <c r="D215" s="84" t="s">
        <v>688</v>
      </c>
      <c r="E215" s="84" t="s">
        <v>485</v>
      </c>
      <c r="F215" s="84"/>
      <c r="G215" s="84"/>
      <c r="H215" s="84"/>
    </row>
    <row r="216" spans="1:8" ht="14.25" x14ac:dyDescent="0.45">
      <c r="A216" s="85" t="s">
        <v>16</v>
      </c>
      <c r="B216" s="85" t="s">
        <v>480</v>
      </c>
      <c r="C216" s="85" t="s">
        <v>18</v>
      </c>
      <c r="D216" s="85" t="s">
        <v>481</v>
      </c>
      <c r="E216" s="85" t="s">
        <v>19</v>
      </c>
      <c r="F216" s="85" t="s">
        <v>482</v>
      </c>
      <c r="G216" s="85" t="s">
        <v>483</v>
      </c>
      <c r="H216" s="85" t="s">
        <v>484</v>
      </c>
    </row>
    <row r="217" spans="1:8" ht="14.25" x14ac:dyDescent="0.45">
      <c r="A217" s="86" cm="1">
        <f t="array" aca="1" ref="A217:A228" ca="1">_xlfn.SEQUENCE(COUNTA(_xlfn.LET(_xlpm.trimmed,OFFSET(f_listof_program_candidates,MATCH("SJ17",f_listof_program_codes,0)-1,6,1,),TRANSPOSE(_xlfn._xlws.FILTER(OFFSET(_xlpm.trimmed,0,0,,COUNTA(_xlpm.trimmed)-5),OFFSET(_xlpm.trimmed,0,0,,COUNTA(_xlpm.trimmed)-5)&lt;&gt;0)))))</f>
        <v>1</v>
      </c>
      <c r="B217" s="86" t="str" cm="1">
        <f t="array" aca="1" ref="B217:B228" ca="1">_xlfn.LET(_xlpm.trimmed,OFFSET(f_listof_program_candidates,MATCH("SJ17",f_listof_program_codes,0)-1,6,1,),TRANSPOSE(_xlfn._xlws.FILTER(OFFSET(_xlpm.trimmed,0,0,,COUNTA(_xlpm.trimmed)-5),OFFSET(_xlpm.trimmed,0,0,,COUNTA(_xlpm.trimmed)-5)&lt;&gt;0)))</f>
        <v>A122</v>
      </c>
      <c r="C217" s="86" t="str">
        <f t="shared" ref="C217:C228" ca="1" si="48">VLOOKUP(B217,f_detailsof_candidates,2,FALSE)</f>
        <v>MOHAMMAD K A</v>
      </c>
      <c r="D217" s="86" t="str">
        <f t="shared" ref="D217:D228" ca="1" si="49">VLOOKUP(B217,f_detailsof_candidates,3,FALSE)</f>
        <v>FANT</v>
      </c>
      <c r="E217" s="86">
        <f t="shared" ref="E217:E228" ca="1" si="50">VLOOKUP(B217,f_detailsof_candidates,5,FALSE)</f>
        <v>1</v>
      </c>
    </row>
    <row r="218" spans="1:8" ht="14.25" x14ac:dyDescent="0.45">
      <c r="A218" s="86">
        <f ca="1"/>
        <v>2</v>
      </c>
      <c r="B218" s="86" t="str">
        <f ca="1"/>
        <v>A139</v>
      </c>
      <c r="C218" s="86" t="str">
        <f t="shared" ca="1" si="48"/>
        <v>MUHAMMED MOIDEEN KUNHI</v>
      </c>
      <c r="D218" s="86" t="str">
        <f t="shared" ca="1" si="49"/>
        <v>FANT</v>
      </c>
      <c r="E218" s="86">
        <f t="shared" ca="1" si="50"/>
        <v>1</v>
      </c>
    </row>
    <row r="219" spans="1:8" ht="14.25" x14ac:dyDescent="0.45">
      <c r="A219" s="86">
        <f ca="1"/>
        <v>3</v>
      </c>
      <c r="B219" s="86" t="str">
        <f ca="1"/>
        <v>A153</v>
      </c>
      <c r="C219" s="86" t="str">
        <f t="shared" ca="1" si="48"/>
        <v>MOHAMMED SAWA T A</v>
      </c>
      <c r="D219" s="86" t="str">
        <f t="shared" ca="1" si="49"/>
        <v>FANT</v>
      </c>
      <c r="E219" s="86">
        <f t="shared" ca="1" si="50"/>
        <v>2</v>
      </c>
    </row>
    <row r="220" spans="1:8" ht="14.25" x14ac:dyDescent="0.45">
      <c r="A220" s="86">
        <f ca="1"/>
        <v>4</v>
      </c>
      <c r="B220" s="86" t="str">
        <f ca="1"/>
        <v>A147</v>
      </c>
      <c r="C220" s="86" t="str">
        <f t="shared" ca="1" si="48"/>
        <v>AHMED WALEED K A</v>
      </c>
      <c r="D220" s="86" t="str">
        <f t="shared" ca="1" si="49"/>
        <v>DAHF</v>
      </c>
      <c r="E220" s="86">
        <f t="shared" ca="1" si="50"/>
        <v>2</v>
      </c>
    </row>
    <row r="221" spans="1:8" ht="14.25" x14ac:dyDescent="0.45">
      <c r="A221" s="86">
        <f ca="1"/>
        <v>5</v>
      </c>
      <c r="B221" s="86" t="str">
        <f ca="1"/>
        <v>A125</v>
      </c>
      <c r="C221" s="86" t="str">
        <f t="shared" ca="1" si="48"/>
        <v>MUHAMMED RAZI A T</v>
      </c>
      <c r="D221" s="86" t="str">
        <f t="shared" ca="1" si="49"/>
        <v>DAHF</v>
      </c>
      <c r="E221" s="86">
        <f t="shared" ca="1" si="50"/>
        <v>1</v>
      </c>
    </row>
    <row r="222" spans="1:8" ht="14.25" x14ac:dyDescent="0.45">
      <c r="A222" s="86">
        <f ca="1"/>
        <v>6</v>
      </c>
      <c r="B222" s="86" t="str">
        <f ca="1"/>
        <v>A137</v>
      </c>
      <c r="C222" s="86" t="str">
        <f t="shared" ca="1" si="48"/>
        <v>MOHAMMED SHUAIB K M</v>
      </c>
      <c r="D222" s="86" t="str">
        <f t="shared" ca="1" si="49"/>
        <v>DAHF</v>
      </c>
      <c r="E222" s="86">
        <f t="shared" ca="1" si="50"/>
        <v>1</v>
      </c>
    </row>
    <row r="223" spans="1:8" ht="14.25" x14ac:dyDescent="0.45">
      <c r="A223" s="86">
        <f ca="1"/>
        <v>7</v>
      </c>
      <c r="B223" s="86" t="str">
        <f ca="1"/>
        <v>A142</v>
      </c>
      <c r="C223" s="86" t="str">
        <f t="shared" ca="1" si="48"/>
        <v>Muhammed Anshad A</v>
      </c>
      <c r="D223" s="86" t="str">
        <f t="shared" ca="1" si="49"/>
        <v>BADF</v>
      </c>
      <c r="E223" s="86">
        <f t="shared" ca="1" si="50"/>
        <v>2</v>
      </c>
    </row>
    <row r="224" spans="1:8" ht="14.25" x14ac:dyDescent="0.45">
      <c r="A224" s="86">
        <f ca="1"/>
        <v>8</v>
      </c>
      <c r="B224" s="86" t="str">
        <f ca="1"/>
        <v>A163</v>
      </c>
      <c r="C224" s="86" t="str">
        <f t="shared" ca="1" si="48"/>
        <v>MUHAMMED LUQMAN TD</v>
      </c>
      <c r="D224" s="86" t="str">
        <f t="shared" ca="1" si="49"/>
        <v>BADF</v>
      </c>
      <c r="E224" s="86">
        <f t="shared" ca="1" si="50"/>
        <v>2</v>
      </c>
    </row>
    <row r="225" spans="1:8" ht="14.25" x14ac:dyDescent="0.45">
      <c r="A225" s="86">
        <f ca="1"/>
        <v>9</v>
      </c>
      <c r="B225" s="86" t="str">
        <f ca="1"/>
        <v>A167</v>
      </c>
      <c r="C225" s="86" t="str">
        <f t="shared" ca="1" si="48"/>
        <v>MUHAMMED RAEES C A</v>
      </c>
      <c r="D225" s="86" t="str">
        <f t="shared" ca="1" si="49"/>
        <v>BADF</v>
      </c>
      <c r="E225" s="86">
        <f t="shared" ca="1" si="50"/>
        <v>2</v>
      </c>
    </row>
    <row r="226" spans="1:8" ht="14.25" x14ac:dyDescent="0.45">
      <c r="A226" s="86">
        <f ca="1"/>
        <v>10</v>
      </c>
      <c r="B226" s="86" t="str">
        <f ca="1"/>
        <v>A101</v>
      </c>
      <c r="C226" s="86" t="str">
        <f t="shared" ca="1" si="48"/>
        <v>MUHAMMED TAMEEM</v>
      </c>
      <c r="D226" s="86" t="str">
        <f t="shared" ca="1" si="49"/>
        <v>JARF</v>
      </c>
      <c r="E226" s="86">
        <f t="shared" ca="1" si="50"/>
        <v>1</v>
      </c>
    </row>
    <row r="227" spans="1:8" ht="14.25" x14ac:dyDescent="0.45">
      <c r="A227" s="86">
        <f ca="1"/>
        <v>11</v>
      </c>
      <c r="B227" s="86" t="str">
        <f ca="1"/>
        <v>A155</v>
      </c>
      <c r="C227" s="86" t="str">
        <f t="shared" ca="1" si="48"/>
        <v>Muhammad M</v>
      </c>
      <c r="D227" s="86" t="str">
        <f t="shared" ca="1" si="49"/>
        <v>JARF</v>
      </c>
      <c r="E227" s="86">
        <f t="shared" ca="1" si="50"/>
        <v>2</v>
      </c>
    </row>
    <row r="228" spans="1:8" ht="14.25" x14ac:dyDescent="0.45">
      <c r="A228" s="86">
        <f ca="1"/>
        <v>12</v>
      </c>
      <c r="B228" s="86" t="str">
        <f ca="1"/>
        <v>A159</v>
      </c>
      <c r="C228" s="86" t="str">
        <f t="shared" ca="1" si="48"/>
        <v>MUHAMMED ASHIR M</v>
      </c>
      <c r="D228" s="86" t="str">
        <f t="shared" ca="1" si="49"/>
        <v>JARF</v>
      </c>
      <c r="E228" s="86">
        <f t="shared" ca="1" si="50"/>
        <v>2</v>
      </c>
    </row>
    <row r="229" spans="1:8" ht="14.25" x14ac:dyDescent="0.45">
      <c r="A229" s="84" t="s">
        <v>127</v>
      </c>
      <c r="B229" s="84" t="str">
        <f>VLOOKUP("SJ18",f_detailsof_programs,2,FALSE)</f>
        <v>SUDOKU</v>
      </c>
      <c r="C229" s="84"/>
      <c r="D229" s="84" t="s">
        <v>688</v>
      </c>
      <c r="E229" s="84" t="s">
        <v>485</v>
      </c>
      <c r="F229" s="84"/>
      <c r="G229" s="84"/>
      <c r="H229" s="84"/>
    </row>
    <row r="230" spans="1:8" ht="14.25" x14ac:dyDescent="0.45">
      <c r="A230" s="85" t="s">
        <v>16</v>
      </c>
      <c r="B230" s="85" t="s">
        <v>480</v>
      </c>
      <c r="C230" s="85" t="s">
        <v>18</v>
      </c>
      <c r="D230" s="85" t="s">
        <v>481</v>
      </c>
      <c r="E230" s="85" t="s">
        <v>19</v>
      </c>
      <c r="F230" s="85" t="s">
        <v>482</v>
      </c>
      <c r="G230" s="85" t="s">
        <v>483</v>
      </c>
      <c r="H230" s="85" t="s">
        <v>484</v>
      </c>
    </row>
    <row r="231" spans="1:8" ht="14.25" x14ac:dyDescent="0.45">
      <c r="A231" s="86" cm="1">
        <f t="array" aca="1" ref="A231:A242" ca="1">_xlfn.SEQUENCE(COUNTA(_xlfn.LET(_xlpm.trimmed,OFFSET(f_listof_program_candidates,MATCH("SJ18",f_listof_program_codes,0)-1,6,1,),TRANSPOSE(_xlfn._xlws.FILTER(OFFSET(_xlpm.trimmed,0,0,,COUNTA(_xlpm.trimmed)-5),OFFSET(_xlpm.trimmed,0,0,,COUNTA(_xlpm.trimmed)-5)&lt;&gt;0)))))</f>
        <v>1</v>
      </c>
      <c r="B231" s="86" t="str" cm="1">
        <f t="array" aca="1" ref="B231:B242" ca="1">_xlfn.LET(_xlpm.trimmed,OFFSET(f_listof_program_candidates,MATCH("SJ18",f_listof_program_codes,0)-1,6,1,),TRANSPOSE(_xlfn._xlws.FILTER(OFFSET(_xlpm.trimmed,0,0,,COUNTA(_xlpm.trimmed)-5),OFFSET(_xlpm.trimmed,0,0,,COUNTA(_xlpm.trimmed)-5)&lt;&gt;0)))</f>
        <v>A107</v>
      </c>
      <c r="C231" s="86" t="str">
        <f t="shared" ref="C231:C242" ca="1" si="51">VLOOKUP(B231,f_detailsof_candidates,2,FALSE)</f>
        <v>MUHAMMED ADHIL C H</v>
      </c>
      <c r="D231" s="86" t="str">
        <f t="shared" ref="D231:D242" ca="1" si="52">VLOOKUP(B231,f_detailsof_candidates,3,FALSE)</f>
        <v>FANT</v>
      </c>
      <c r="E231" s="86">
        <f t="shared" ref="E231:E242" ca="1" si="53">VLOOKUP(B231,f_detailsof_candidates,5,FALSE)</f>
        <v>1</v>
      </c>
    </row>
    <row r="232" spans="1:8" ht="14.25" x14ac:dyDescent="0.45">
      <c r="A232" s="86">
        <f ca="1"/>
        <v>2</v>
      </c>
      <c r="B232" s="86" t="str">
        <f ca="1"/>
        <v>A129</v>
      </c>
      <c r="C232" s="86" t="str">
        <f t="shared" ca="1" si="51"/>
        <v>MUHAMMED BIN JAFAR</v>
      </c>
      <c r="D232" s="86" t="str">
        <f t="shared" ca="1" si="52"/>
        <v>FANT</v>
      </c>
      <c r="E232" s="86">
        <f t="shared" ca="1" si="53"/>
        <v>1</v>
      </c>
    </row>
    <row r="233" spans="1:8" ht="14.25" x14ac:dyDescent="0.45">
      <c r="A233" s="86">
        <f ca="1"/>
        <v>3</v>
      </c>
      <c r="B233" s="86" t="str">
        <f ca="1"/>
        <v>A139</v>
      </c>
      <c r="C233" s="86" t="str">
        <f t="shared" ca="1" si="51"/>
        <v>MUHAMMED MOIDEEN KUNHI</v>
      </c>
      <c r="D233" s="86" t="str">
        <f t="shared" ca="1" si="52"/>
        <v>FANT</v>
      </c>
      <c r="E233" s="86">
        <f t="shared" ca="1" si="53"/>
        <v>1</v>
      </c>
    </row>
    <row r="234" spans="1:8" ht="14.25" x14ac:dyDescent="0.45">
      <c r="A234" s="86">
        <f ca="1"/>
        <v>4</v>
      </c>
      <c r="B234" s="86" t="str">
        <f ca="1"/>
        <v>A147</v>
      </c>
      <c r="C234" s="86" t="str">
        <f t="shared" ca="1" si="51"/>
        <v>AHMED WALEED K A</v>
      </c>
      <c r="D234" s="86" t="str">
        <f t="shared" ca="1" si="52"/>
        <v>DAHF</v>
      </c>
      <c r="E234" s="86">
        <f t="shared" ca="1" si="53"/>
        <v>2</v>
      </c>
    </row>
    <row r="235" spans="1:8" ht="14.25" x14ac:dyDescent="0.45">
      <c r="A235" s="86">
        <f ca="1"/>
        <v>5</v>
      </c>
      <c r="B235" s="86" t="str">
        <f ca="1"/>
        <v>A164</v>
      </c>
      <c r="C235" s="86" t="str">
        <f t="shared" ca="1" si="51"/>
        <v>MUHAMMED MICDAD RAMEES A H</v>
      </c>
      <c r="D235" s="86" t="str">
        <f t="shared" ca="1" si="52"/>
        <v>DAHF</v>
      </c>
      <c r="E235" s="86">
        <f t="shared" ca="1" si="53"/>
        <v>2</v>
      </c>
    </row>
    <row r="236" spans="1:8" ht="14.25" x14ac:dyDescent="0.45">
      <c r="A236" s="86">
        <f ca="1"/>
        <v>6</v>
      </c>
      <c r="B236" s="86" t="str">
        <f ca="1"/>
        <v>A113</v>
      </c>
      <c r="C236" s="86" t="str">
        <f t="shared" ca="1" si="51"/>
        <v>MOIDEEN KAIS</v>
      </c>
      <c r="D236" s="86" t="str">
        <f t="shared" ca="1" si="52"/>
        <v>DAHF</v>
      </c>
      <c r="E236" s="86">
        <f t="shared" ca="1" si="53"/>
        <v>1</v>
      </c>
    </row>
    <row r="237" spans="1:8" ht="14.25" x14ac:dyDescent="0.45">
      <c r="A237" s="86">
        <f ca="1"/>
        <v>7</v>
      </c>
      <c r="B237" s="86" t="str">
        <f ca="1"/>
        <v>A148</v>
      </c>
      <c r="C237" s="86" t="str">
        <f t="shared" ca="1" si="51"/>
        <v>AYAAN ABOOBAKAR</v>
      </c>
      <c r="D237" s="86" t="str">
        <f t="shared" ca="1" si="52"/>
        <v>BADF</v>
      </c>
      <c r="E237" s="86">
        <f t="shared" ca="1" si="53"/>
        <v>2</v>
      </c>
    </row>
    <row r="238" spans="1:8" ht="14.25" x14ac:dyDescent="0.45">
      <c r="A238" s="86">
        <f ca="1"/>
        <v>8</v>
      </c>
      <c r="B238" s="86" t="str">
        <f ca="1"/>
        <v>A163</v>
      </c>
      <c r="C238" s="86" t="str">
        <f t="shared" ca="1" si="51"/>
        <v>MUHAMMED LUQMAN TD</v>
      </c>
      <c r="D238" s="86" t="str">
        <f t="shared" ca="1" si="52"/>
        <v>BADF</v>
      </c>
      <c r="E238" s="86">
        <f t="shared" ca="1" si="53"/>
        <v>2</v>
      </c>
    </row>
    <row r="239" spans="1:8" ht="14.25" x14ac:dyDescent="0.45">
      <c r="A239" s="86">
        <f ca="1"/>
        <v>9</v>
      </c>
      <c r="B239" s="86" t="str">
        <f ca="1"/>
        <v>A173</v>
      </c>
      <c r="C239" s="86" t="str">
        <f t="shared" ca="1" si="51"/>
        <v>SHAHUL HAMEED B.I</v>
      </c>
      <c r="D239" s="86" t="str">
        <f t="shared" ca="1" si="52"/>
        <v>BADF</v>
      </c>
      <c r="E239" s="86">
        <f t="shared" ca="1" si="53"/>
        <v>2</v>
      </c>
    </row>
    <row r="240" spans="1:8" ht="14.25" x14ac:dyDescent="0.45">
      <c r="A240" s="86">
        <f ca="1"/>
        <v>10</v>
      </c>
      <c r="B240" s="86" t="str">
        <f ca="1"/>
        <v>A123</v>
      </c>
      <c r="C240" s="86" t="str">
        <f t="shared" ca="1" si="51"/>
        <v>IBRAHIM KALEEL</v>
      </c>
      <c r="D240" s="86" t="str">
        <f t="shared" ca="1" si="52"/>
        <v>JARF</v>
      </c>
      <c r="E240" s="86">
        <f t="shared" ca="1" si="53"/>
        <v>1</v>
      </c>
    </row>
    <row r="241" spans="1:8" ht="14.25" x14ac:dyDescent="0.45">
      <c r="A241" s="86">
        <f ca="1"/>
        <v>11</v>
      </c>
      <c r="B241" s="86" t="str">
        <f ca="1"/>
        <v>A149</v>
      </c>
      <c r="C241" s="86" t="str">
        <f t="shared" ca="1" si="51"/>
        <v>FADIL AMEEN ABDULLA</v>
      </c>
      <c r="D241" s="86" t="str">
        <f t="shared" ca="1" si="52"/>
        <v>JARF</v>
      </c>
      <c r="E241" s="86">
        <f t="shared" ca="1" si="53"/>
        <v>2</v>
      </c>
    </row>
    <row r="242" spans="1:8" ht="14.25" x14ac:dyDescent="0.45">
      <c r="A242" s="86">
        <f ca="1"/>
        <v>12</v>
      </c>
      <c r="B242" s="86" t="str">
        <f ca="1"/>
        <v>A155</v>
      </c>
      <c r="C242" s="86" t="str">
        <f t="shared" ca="1" si="51"/>
        <v>Muhammad M</v>
      </c>
      <c r="D242" s="86" t="str">
        <f t="shared" ca="1" si="52"/>
        <v>JARF</v>
      </c>
      <c r="E242" s="86">
        <f t="shared" ca="1" si="53"/>
        <v>2</v>
      </c>
    </row>
    <row r="243" spans="1:8" ht="14.25" x14ac:dyDescent="0.45">
      <c r="A243" s="84" t="s">
        <v>129</v>
      </c>
      <c r="B243" s="84" t="str">
        <f>VLOOKUP("SJ19",f_detailsof_programs,2,FALSE)</f>
        <v>TYPING ENG</v>
      </c>
      <c r="C243" s="84"/>
      <c r="D243" s="84" t="s">
        <v>688</v>
      </c>
      <c r="E243" s="84" t="s">
        <v>485</v>
      </c>
      <c r="F243" s="84"/>
      <c r="G243" s="84"/>
      <c r="H243" s="84"/>
    </row>
    <row r="244" spans="1:8" ht="14.25" x14ac:dyDescent="0.45">
      <c r="A244" s="85" t="s">
        <v>16</v>
      </c>
      <c r="B244" s="85" t="s">
        <v>480</v>
      </c>
      <c r="C244" s="85" t="s">
        <v>18</v>
      </c>
      <c r="D244" s="85" t="s">
        <v>481</v>
      </c>
      <c r="E244" s="85" t="s">
        <v>19</v>
      </c>
      <c r="F244" s="85" t="s">
        <v>482</v>
      </c>
      <c r="G244" s="85" t="s">
        <v>483</v>
      </c>
      <c r="H244" s="85" t="s">
        <v>484</v>
      </c>
    </row>
    <row r="245" spans="1:8" ht="14.25" x14ac:dyDescent="0.45">
      <c r="A245" s="86" cm="1">
        <f t="array" aca="1" ref="A245:A256" ca="1">_xlfn.SEQUENCE(COUNTA(_xlfn.LET(_xlpm.trimmed,OFFSET(f_listof_program_candidates,MATCH("SJ19",f_listof_program_codes,0)-1,6,1,),TRANSPOSE(_xlfn._xlws.FILTER(OFFSET(_xlpm.trimmed,0,0,,COUNTA(_xlpm.trimmed)-5),OFFSET(_xlpm.trimmed,0,0,,COUNTA(_xlpm.trimmed)-5)&lt;&gt;0)))))</f>
        <v>1</v>
      </c>
      <c r="B245" s="86" t="str" cm="1">
        <f t="array" aca="1" ref="B245:B256" ca="1">_xlfn.LET(_xlpm.trimmed,OFFSET(f_listof_program_candidates,MATCH("SJ19",f_listof_program_codes,0)-1,6,1,),TRANSPOSE(_xlfn._xlws.FILTER(OFFSET(_xlpm.trimmed,0,0,,COUNTA(_xlpm.trimmed)-5),OFFSET(_xlpm.trimmed,0,0,,COUNTA(_xlpm.trimmed)-5)&lt;&gt;0)))</f>
        <v>A143</v>
      </c>
      <c r="C245" s="86" t="str">
        <f t="shared" ref="C245:C256" ca="1" si="54">VLOOKUP(B245,f_detailsof_candidates,2,FALSE)</f>
        <v>ABDUL AFEEZ C.F</v>
      </c>
      <c r="D245" s="86" t="str">
        <f t="shared" ref="D245:D256" ca="1" si="55">VLOOKUP(B245,f_detailsof_candidates,3,FALSE)</f>
        <v>FANT</v>
      </c>
      <c r="E245" s="86">
        <f t="shared" ref="E245:E256" ca="1" si="56">VLOOKUP(B245,f_detailsof_candidates,5,FALSE)</f>
        <v>2</v>
      </c>
    </row>
    <row r="246" spans="1:8" ht="14.25" x14ac:dyDescent="0.45">
      <c r="A246" s="86">
        <f ca="1"/>
        <v>2</v>
      </c>
      <c r="B246" s="86" t="str">
        <f ca="1"/>
        <v>A157</v>
      </c>
      <c r="C246" s="86" t="str">
        <f t="shared" ca="1" si="54"/>
        <v>MUHAMMED ADNAN K.A</v>
      </c>
      <c r="D246" s="86" t="str">
        <f t="shared" ca="1" si="55"/>
        <v>FANT</v>
      </c>
      <c r="E246" s="86">
        <f t="shared" ca="1" si="56"/>
        <v>2</v>
      </c>
    </row>
    <row r="247" spans="1:8" ht="14.25" x14ac:dyDescent="0.45">
      <c r="A247" s="86">
        <f ca="1"/>
        <v>3</v>
      </c>
      <c r="B247" s="86" t="str">
        <f ca="1"/>
        <v>A169</v>
      </c>
      <c r="C247" s="86" t="str">
        <f t="shared" ca="1" si="54"/>
        <v>NAZWAN MOHAMMED</v>
      </c>
      <c r="D247" s="86" t="str">
        <f t="shared" ca="1" si="55"/>
        <v>FANT</v>
      </c>
      <c r="E247" s="86">
        <f t="shared" ca="1" si="56"/>
        <v>2</v>
      </c>
    </row>
    <row r="248" spans="1:8" ht="14.25" x14ac:dyDescent="0.45">
      <c r="A248" s="86">
        <f ca="1"/>
        <v>4</v>
      </c>
      <c r="B248" s="86" t="str">
        <f ca="1"/>
        <v>A158</v>
      </c>
      <c r="C248" s="86" t="str">
        <f t="shared" ca="1" si="54"/>
        <v>Muhammed Anas</v>
      </c>
      <c r="D248" s="86" t="str">
        <f t="shared" ca="1" si="55"/>
        <v>DAHF</v>
      </c>
      <c r="E248" s="86">
        <f t="shared" ca="1" si="56"/>
        <v>2</v>
      </c>
    </row>
    <row r="249" spans="1:8" ht="14.25" x14ac:dyDescent="0.45">
      <c r="A249" s="86">
        <f ca="1"/>
        <v>5</v>
      </c>
      <c r="B249" s="86" t="str">
        <f ca="1"/>
        <v>A128</v>
      </c>
      <c r="C249" s="86" t="str">
        <f t="shared" ca="1" si="54"/>
        <v>MOHAMMED HAFEEZ B</v>
      </c>
      <c r="D249" s="86" t="str">
        <f t="shared" ca="1" si="55"/>
        <v>DAHF</v>
      </c>
      <c r="E249" s="86">
        <f t="shared" ca="1" si="56"/>
        <v>1</v>
      </c>
    </row>
    <row r="250" spans="1:8" ht="14.25" x14ac:dyDescent="0.45">
      <c r="A250" s="86">
        <f ca="1"/>
        <v>6</v>
      </c>
      <c r="B250" s="86" t="str">
        <f ca="1"/>
        <v>A137</v>
      </c>
      <c r="C250" s="86" t="str">
        <f t="shared" ca="1" si="54"/>
        <v>MOHAMMED SHUAIB K M</v>
      </c>
      <c r="D250" s="86" t="str">
        <f t="shared" ca="1" si="55"/>
        <v>DAHF</v>
      </c>
      <c r="E250" s="86">
        <f t="shared" ca="1" si="56"/>
        <v>1</v>
      </c>
    </row>
    <row r="251" spans="1:8" ht="14.25" x14ac:dyDescent="0.45">
      <c r="A251" s="86">
        <f ca="1"/>
        <v>7</v>
      </c>
      <c r="B251" s="86" t="str">
        <f ca="1"/>
        <v>A114</v>
      </c>
      <c r="C251" s="86" t="str">
        <f t="shared" ca="1" si="54"/>
        <v>MUHAMMED SHAHID K A</v>
      </c>
      <c r="D251" s="86" t="str">
        <f t="shared" ca="1" si="55"/>
        <v>BADF</v>
      </c>
      <c r="E251" s="86">
        <f t="shared" ca="1" si="56"/>
        <v>1</v>
      </c>
    </row>
    <row r="252" spans="1:8" ht="14.25" x14ac:dyDescent="0.45">
      <c r="A252" s="86">
        <f ca="1"/>
        <v>8</v>
      </c>
      <c r="B252" s="86" t="str">
        <f ca="1"/>
        <v>A145</v>
      </c>
      <c r="C252" s="86" t="str">
        <f t="shared" ca="1" si="54"/>
        <v>ABDULLAH A P</v>
      </c>
      <c r="D252" s="86" t="str">
        <f t="shared" ca="1" si="55"/>
        <v>BADF</v>
      </c>
      <c r="E252" s="86">
        <f t="shared" ca="1" si="56"/>
        <v>2</v>
      </c>
    </row>
    <row r="253" spans="1:8" ht="14.25" x14ac:dyDescent="0.45">
      <c r="A253" s="86">
        <f ca="1"/>
        <v>9</v>
      </c>
      <c r="B253" s="86" t="str">
        <f ca="1"/>
        <v>A148</v>
      </c>
      <c r="C253" s="86" t="str">
        <f t="shared" ca="1" si="54"/>
        <v>AYAAN ABOOBAKAR</v>
      </c>
      <c r="D253" s="86" t="str">
        <f t="shared" ca="1" si="55"/>
        <v>BADF</v>
      </c>
      <c r="E253" s="86">
        <f t="shared" ca="1" si="56"/>
        <v>2</v>
      </c>
    </row>
    <row r="254" spans="1:8" ht="14.25" x14ac:dyDescent="0.45">
      <c r="A254" s="86">
        <f ca="1"/>
        <v>10</v>
      </c>
      <c r="B254" s="86" t="str">
        <f ca="1"/>
        <v>A103</v>
      </c>
      <c r="C254" s="86" t="str">
        <f t="shared" ca="1" si="54"/>
        <v>MUHAMMED RIZIN AMAN</v>
      </c>
      <c r="D254" s="86" t="str">
        <f t="shared" ca="1" si="55"/>
        <v>JARF</v>
      </c>
      <c r="E254" s="86">
        <f t="shared" ca="1" si="56"/>
        <v>1</v>
      </c>
    </row>
    <row r="255" spans="1:8" ht="14.25" x14ac:dyDescent="0.45">
      <c r="A255" s="86">
        <f ca="1"/>
        <v>11</v>
      </c>
      <c r="B255" s="86" t="str">
        <f ca="1"/>
        <v>A144</v>
      </c>
      <c r="C255" s="86" t="str">
        <f t="shared" ca="1" si="54"/>
        <v>ABDULLA</v>
      </c>
      <c r="D255" s="86" t="str">
        <f t="shared" ca="1" si="55"/>
        <v>JARF</v>
      </c>
      <c r="E255" s="86">
        <f t="shared" ca="1" si="56"/>
        <v>2</v>
      </c>
    </row>
    <row r="256" spans="1:8" ht="14.25" x14ac:dyDescent="0.45">
      <c r="A256" s="86">
        <f ca="1"/>
        <v>12</v>
      </c>
      <c r="B256" s="86" t="str">
        <f ca="1"/>
        <v>A149</v>
      </c>
      <c r="C256" s="86" t="str">
        <f t="shared" ca="1" si="54"/>
        <v>FADIL AMEEN ABDULLA</v>
      </c>
      <c r="D256" s="86" t="str">
        <f t="shared" ca="1" si="55"/>
        <v>JARF</v>
      </c>
      <c r="E256" s="86">
        <f t="shared" ca="1" si="56"/>
        <v>2</v>
      </c>
    </row>
    <row r="257" spans="1:8" ht="14.25" x14ac:dyDescent="0.45">
      <c r="A257" s="84" t="s">
        <v>131</v>
      </c>
      <c r="B257" s="84" t="str">
        <f>VLOOKUP("SJ20",f_detailsof_programs,2,FALSE)</f>
        <v>VOCABULARY</v>
      </c>
      <c r="C257" s="84"/>
      <c r="D257" s="84" t="s">
        <v>688</v>
      </c>
      <c r="E257" s="84" t="s">
        <v>485</v>
      </c>
      <c r="F257" s="84"/>
      <c r="G257" s="84"/>
      <c r="H257" s="84"/>
    </row>
    <row r="258" spans="1:8" ht="14.25" x14ac:dyDescent="0.45">
      <c r="A258" s="85" t="s">
        <v>16</v>
      </c>
      <c r="B258" s="85" t="s">
        <v>480</v>
      </c>
      <c r="C258" s="85" t="s">
        <v>18</v>
      </c>
      <c r="D258" s="85" t="s">
        <v>481</v>
      </c>
      <c r="E258" s="85" t="s">
        <v>19</v>
      </c>
      <c r="F258" s="85" t="s">
        <v>482</v>
      </c>
      <c r="G258" s="85" t="s">
        <v>483</v>
      </c>
      <c r="H258" s="85" t="s">
        <v>484</v>
      </c>
    </row>
    <row r="259" spans="1:8" ht="14.25" x14ac:dyDescent="0.45">
      <c r="A259" s="86" cm="1">
        <f t="array" aca="1" ref="A259:A270" ca="1">_xlfn.SEQUENCE(COUNTA(_xlfn.LET(_xlpm.trimmed,OFFSET(f_listof_program_candidates,MATCH("SJ20",f_listof_program_codes,0)-1,6,1,),TRANSPOSE(_xlfn._xlws.FILTER(OFFSET(_xlpm.trimmed,0,0,,COUNTA(_xlpm.trimmed)-5),OFFSET(_xlpm.trimmed,0,0,,COUNTA(_xlpm.trimmed)-5)&lt;&gt;0)))))</f>
        <v>1</v>
      </c>
      <c r="B259" s="86" t="str" cm="1">
        <f t="array" aca="1" ref="B259:B270" ca="1">_xlfn.LET(_xlpm.trimmed,OFFSET(f_listof_program_candidates,MATCH("SJ20",f_listof_program_codes,0)-1,6,1,),TRANSPOSE(_xlfn._xlws.FILTER(OFFSET(_xlpm.trimmed,0,0,,COUNTA(_xlpm.trimmed)-5),OFFSET(_xlpm.trimmed,0,0,,COUNTA(_xlpm.trimmed)-5)&lt;&gt;0)))</f>
        <v>A110</v>
      </c>
      <c r="C259" s="86" t="str">
        <f t="shared" ref="C259:C270" ca="1" si="57">VLOOKUP(B259,f_detailsof_candidates,2,FALSE)</f>
        <v>Muhammed Hisham K M</v>
      </c>
      <c r="D259" s="86" t="str">
        <f t="shared" ref="D259:D270" ca="1" si="58">VLOOKUP(B259,f_detailsof_candidates,3,FALSE)</f>
        <v>FANT</v>
      </c>
      <c r="E259" s="86">
        <f t="shared" ref="E259:E270" ca="1" si="59">VLOOKUP(B259,f_detailsof_candidates,5,FALSE)</f>
        <v>1</v>
      </c>
    </row>
    <row r="260" spans="1:8" ht="14.25" x14ac:dyDescent="0.45">
      <c r="A260" s="86">
        <f ca="1"/>
        <v>2</v>
      </c>
      <c r="B260" s="86" t="str">
        <f ca="1"/>
        <v>A161</v>
      </c>
      <c r="C260" s="86" t="str">
        <f t="shared" ca="1" si="57"/>
        <v>MUHAMMED FAHAD</v>
      </c>
      <c r="D260" s="86" t="str">
        <f t="shared" ca="1" si="58"/>
        <v>FANT</v>
      </c>
      <c r="E260" s="86">
        <f t="shared" ca="1" si="59"/>
        <v>2</v>
      </c>
    </row>
    <row r="261" spans="1:8" ht="14.25" x14ac:dyDescent="0.45">
      <c r="A261" s="86">
        <f ca="1"/>
        <v>3</v>
      </c>
      <c r="B261" s="86" t="str">
        <f ca="1"/>
        <v>A162</v>
      </c>
      <c r="C261" s="86" t="str">
        <f t="shared" ca="1" si="57"/>
        <v>MUHAMMED FAREED A S</v>
      </c>
      <c r="D261" s="86" t="str">
        <f t="shared" ca="1" si="58"/>
        <v>FANT</v>
      </c>
      <c r="E261" s="86">
        <f t="shared" ca="1" si="59"/>
        <v>2</v>
      </c>
    </row>
    <row r="262" spans="1:8" ht="14.25" x14ac:dyDescent="0.45">
      <c r="A262" s="86">
        <f ca="1"/>
        <v>4</v>
      </c>
      <c r="B262" s="86" t="str">
        <f ca="1"/>
        <v>A164</v>
      </c>
      <c r="C262" s="86" t="str">
        <f t="shared" ca="1" si="57"/>
        <v>MUHAMMED MICDAD RAMEES A H</v>
      </c>
      <c r="D262" s="86" t="str">
        <f t="shared" ca="1" si="58"/>
        <v>DAHF</v>
      </c>
      <c r="E262" s="86">
        <f t="shared" ca="1" si="59"/>
        <v>2</v>
      </c>
    </row>
    <row r="263" spans="1:8" ht="14.25" x14ac:dyDescent="0.45">
      <c r="A263" s="86">
        <f ca="1"/>
        <v>5</v>
      </c>
      <c r="B263" s="86" t="str">
        <f ca="1"/>
        <v>A171</v>
      </c>
      <c r="C263" s="86" t="str">
        <f t="shared" ca="1" si="57"/>
        <v>SAYYED MOHAMMED SINAN AM</v>
      </c>
      <c r="D263" s="86" t="str">
        <f t="shared" ca="1" si="58"/>
        <v>DAHF</v>
      </c>
      <c r="E263" s="86">
        <f t="shared" ca="1" si="59"/>
        <v>2</v>
      </c>
    </row>
    <row r="264" spans="1:8" ht="14.25" x14ac:dyDescent="0.45">
      <c r="A264" s="86">
        <f ca="1"/>
        <v>6</v>
      </c>
      <c r="B264" s="86" t="str">
        <f ca="1"/>
        <v>A175</v>
      </c>
      <c r="C264" s="86" t="str">
        <f t="shared" ca="1" si="57"/>
        <v>YOUSUF FAHEEM P</v>
      </c>
      <c r="D264" s="86" t="str">
        <f t="shared" ca="1" si="58"/>
        <v>DAHF</v>
      </c>
      <c r="E264" s="86">
        <f t="shared" ca="1" si="59"/>
        <v>2</v>
      </c>
    </row>
    <row r="265" spans="1:8" ht="14.25" x14ac:dyDescent="0.45">
      <c r="A265" s="86">
        <f ca="1"/>
        <v>7</v>
      </c>
      <c r="B265" s="86" t="str">
        <f ca="1"/>
        <v>A104</v>
      </c>
      <c r="C265" s="86" t="str">
        <f t="shared" ca="1" si="57"/>
        <v>MUHAMMAD AZEEM</v>
      </c>
      <c r="D265" s="86" t="str">
        <f t="shared" ca="1" si="58"/>
        <v>BADF</v>
      </c>
      <c r="E265" s="86">
        <f t="shared" ca="1" si="59"/>
        <v>1</v>
      </c>
    </row>
    <row r="266" spans="1:8" ht="14.25" x14ac:dyDescent="0.45">
      <c r="A266" s="86">
        <f ca="1"/>
        <v>8</v>
      </c>
      <c r="B266" s="86" t="str">
        <f ca="1"/>
        <v>A146</v>
      </c>
      <c r="C266" s="86" t="str">
        <f t="shared" ca="1" si="57"/>
        <v>AHAMED ADIL. A</v>
      </c>
      <c r="D266" s="86" t="str">
        <f t="shared" ca="1" si="58"/>
        <v>BADF</v>
      </c>
      <c r="E266" s="86">
        <f t="shared" ca="1" si="59"/>
        <v>2</v>
      </c>
    </row>
    <row r="267" spans="1:8" ht="14.25" x14ac:dyDescent="0.45">
      <c r="A267" s="86">
        <f ca="1"/>
        <v>9</v>
      </c>
      <c r="B267" s="86" t="str">
        <f ca="1"/>
        <v>A167</v>
      </c>
      <c r="C267" s="86" t="str">
        <f t="shared" ca="1" si="57"/>
        <v>MUHAMMED RAEES C A</v>
      </c>
      <c r="D267" s="86" t="str">
        <f t="shared" ca="1" si="58"/>
        <v>BADF</v>
      </c>
      <c r="E267" s="86">
        <f t="shared" ca="1" si="59"/>
        <v>2</v>
      </c>
    </row>
    <row r="268" spans="1:8" ht="14.25" x14ac:dyDescent="0.45">
      <c r="A268" s="86">
        <f ca="1"/>
        <v>10</v>
      </c>
      <c r="B268" s="86" t="str">
        <f ca="1"/>
        <v>A117</v>
      </c>
      <c r="C268" s="86" t="str">
        <f t="shared" ca="1" si="57"/>
        <v>Muhammed Waheed R K</v>
      </c>
      <c r="D268" s="86" t="str">
        <f t="shared" ca="1" si="58"/>
        <v>JARF</v>
      </c>
      <c r="E268" s="86">
        <f t="shared" ca="1" si="59"/>
        <v>1</v>
      </c>
    </row>
    <row r="269" spans="1:8" ht="14.25" x14ac:dyDescent="0.45">
      <c r="A269" s="86">
        <f ca="1"/>
        <v>11</v>
      </c>
      <c r="B269" s="86" t="str">
        <f ca="1"/>
        <v>A126</v>
      </c>
      <c r="C269" s="86" t="str">
        <f t="shared" ca="1" si="57"/>
        <v>MUHAMMED ZAID</v>
      </c>
      <c r="D269" s="86" t="str">
        <f t="shared" ca="1" si="58"/>
        <v>JARF</v>
      </c>
      <c r="E269" s="86">
        <f t="shared" ca="1" si="59"/>
        <v>1</v>
      </c>
    </row>
    <row r="270" spans="1:8" ht="14.25" x14ac:dyDescent="0.45">
      <c r="A270" s="86">
        <f ca="1"/>
        <v>12</v>
      </c>
      <c r="B270" s="86" t="str">
        <f ca="1"/>
        <v>A141</v>
      </c>
      <c r="C270" s="86" t="str">
        <f t="shared" ca="1" si="57"/>
        <v>MUHAMMED SHUHAIR</v>
      </c>
      <c r="D270" s="86" t="str">
        <f t="shared" ca="1" si="58"/>
        <v>JARF</v>
      </c>
      <c r="E270" s="86">
        <f t="shared" ca="1" si="59"/>
        <v>2</v>
      </c>
    </row>
    <row r="271" spans="1:8" ht="14.25" x14ac:dyDescent="0.45">
      <c r="A271" s="84" t="s">
        <v>133</v>
      </c>
      <c r="B271" s="84" t="str">
        <f>VLOOKUP("SJ21",f_detailsof_programs,2,FALSE)</f>
        <v>WATER PAINTING</v>
      </c>
      <c r="C271" s="84"/>
      <c r="D271" s="84" t="s">
        <v>688</v>
      </c>
      <c r="E271" s="84" t="s">
        <v>486</v>
      </c>
      <c r="F271" s="84"/>
      <c r="G271" s="84"/>
      <c r="H271" s="84"/>
    </row>
    <row r="272" spans="1:8" ht="14.25" x14ac:dyDescent="0.45">
      <c r="A272" s="85" t="s">
        <v>16</v>
      </c>
      <c r="B272" s="85" t="s">
        <v>480</v>
      </c>
      <c r="C272" s="85" t="s">
        <v>18</v>
      </c>
      <c r="D272" s="85" t="s">
        <v>481</v>
      </c>
      <c r="E272" s="85" t="s">
        <v>19</v>
      </c>
      <c r="F272" s="85" t="s">
        <v>482</v>
      </c>
      <c r="G272" s="85" t="s">
        <v>483</v>
      </c>
      <c r="H272" s="85" t="s">
        <v>484</v>
      </c>
    </row>
    <row r="273" spans="1:8" ht="14.25" x14ac:dyDescent="0.45">
      <c r="A273" s="86" cm="1">
        <f t="array" aca="1" ref="A273:A280" ca="1">_xlfn.SEQUENCE(COUNTA(_xlfn.LET(_xlpm.trimmed,OFFSET(f_listof_program_candidates,MATCH("SJ21",f_listof_program_codes,0)-1,6,1,),TRANSPOSE(_xlfn._xlws.FILTER(OFFSET(_xlpm.trimmed,0,0,,COUNTA(_xlpm.trimmed)-5),OFFSET(_xlpm.trimmed,0,0,,COUNTA(_xlpm.trimmed)-5)&lt;&gt;0)))))</f>
        <v>1</v>
      </c>
      <c r="B273" s="86" t="str" cm="1">
        <f t="array" aca="1" ref="B273:B280" ca="1">_xlfn.LET(_xlpm.trimmed,OFFSET(f_listof_program_candidates,MATCH("SJ21",f_listof_program_codes,0)-1,6,1,),TRANSPOSE(_xlfn._xlws.FILTER(OFFSET(_xlpm.trimmed,0,0,,COUNTA(_xlpm.trimmed)-5),OFFSET(_xlpm.trimmed,0,0,,COUNTA(_xlpm.trimmed)-5)&lt;&gt;0)))</f>
        <v>A110</v>
      </c>
      <c r="C273" s="86" t="str">
        <f t="shared" ref="C273:C280" ca="1" si="60">VLOOKUP(B273,f_detailsof_candidates,2,FALSE)</f>
        <v>Muhammed Hisham K M</v>
      </c>
      <c r="D273" s="86" t="str">
        <f t="shared" ref="D273:D280" ca="1" si="61">VLOOKUP(B273,f_detailsof_candidates,3,FALSE)</f>
        <v>FANT</v>
      </c>
      <c r="E273" s="86">
        <f t="shared" ref="E273:E280" ca="1" si="62">VLOOKUP(B273,f_detailsof_candidates,5,FALSE)</f>
        <v>1</v>
      </c>
    </row>
    <row r="274" spans="1:8" ht="14.25" x14ac:dyDescent="0.45">
      <c r="A274" s="86">
        <f ca="1"/>
        <v>2</v>
      </c>
      <c r="B274" s="86" t="str">
        <f ca="1"/>
        <v>A151</v>
      </c>
      <c r="C274" s="86" t="str">
        <f t="shared" ca="1" si="60"/>
        <v>Mohammad Yaseen</v>
      </c>
      <c r="D274" s="86" t="str">
        <f t="shared" ca="1" si="61"/>
        <v>FANT</v>
      </c>
      <c r="E274" s="86">
        <f t="shared" ca="1" si="62"/>
        <v>2</v>
      </c>
    </row>
    <row r="275" spans="1:8" ht="14.25" x14ac:dyDescent="0.45">
      <c r="A275" s="86">
        <f ca="1"/>
        <v>3</v>
      </c>
      <c r="B275" s="86" t="str">
        <f ca="1"/>
        <v>A115</v>
      </c>
      <c r="C275" s="86" t="str">
        <f t="shared" ca="1" si="60"/>
        <v>K MUHAMMAD JALAL</v>
      </c>
      <c r="D275" s="86" t="str">
        <f t="shared" ca="1" si="61"/>
        <v>DAHF</v>
      </c>
      <c r="E275" s="86">
        <f t="shared" ca="1" si="62"/>
        <v>1</v>
      </c>
    </row>
    <row r="276" spans="1:8" ht="14.25" x14ac:dyDescent="0.45">
      <c r="A276" s="86">
        <f ca="1"/>
        <v>4</v>
      </c>
      <c r="B276" s="86" t="str">
        <f ca="1"/>
        <v>A172</v>
      </c>
      <c r="C276" s="86" t="str">
        <f t="shared" ca="1" si="60"/>
        <v>SAYYED MUHAMMED ABOOBACKER</v>
      </c>
      <c r="D276" s="86" t="str">
        <f t="shared" ca="1" si="61"/>
        <v>DAHF</v>
      </c>
      <c r="E276" s="86">
        <f t="shared" ca="1" si="62"/>
        <v>2</v>
      </c>
    </row>
    <row r="277" spans="1:8" ht="14.25" x14ac:dyDescent="0.45">
      <c r="A277" s="86">
        <f ca="1"/>
        <v>5</v>
      </c>
      <c r="B277" s="86" t="str">
        <f ca="1"/>
        <v>A142</v>
      </c>
      <c r="C277" s="86" t="str">
        <f t="shared" ca="1" si="60"/>
        <v>Muhammed Anshad A</v>
      </c>
      <c r="D277" s="86" t="str">
        <f t="shared" ca="1" si="61"/>
        <v>BADF</v>
      </c>
      <c r="E277" s="86">
        <f t="shared" ca="1" si="62"/>
        <v>2</v>
      </c>
    </row>
    <row r="278" spans="1:8" ht="14.25" x14ac:dyDescent="0.45">
      <c r="A278" s="86">
        <f ca="1"/>
        <v>6</v>
      </c>
      <c r="B278" s="86" t="str">
        <f ca="1"/>
        <v>A152</v>
      </c>
      <c r="C278" s="86" t="str">
        <f t="shared" ca="1" si="60"/>
        <v>MOHAMMED QUBAIB A H</v>
      </c>
      <c r="D278" s="86" t="str">
        <f t="shared" ca="1" si="61"/>
        <v>BADF</v>
      </c>
      <c r="E278" s="86">
        <f t="shared" ca="1" si="62"/>
        <v>2</v>
      </c>
    </row>
    <row r="279" spans="1:8" ht="14.25" x14ac:dyDescent="0.45">
      <c r="A279" s="86">
        <f ca="1"/>
        <v>7</v>
      </c>
      <c r="B279" s="86" t="str">
        <f ca="1"/>
        <v>A130</v>
      </c>
      <c r="C279" s="86" t="str">
        <f t="shared" ca="1" si="60"/>
        <v>MOHAMMAD AJWAD</v>
      </c>
      <c r="D279" s="86" t="str">
        <f t="shared" ca="1" si="61"/>
        <v>JARF</v>
      </c>
      <c r="E279" s="86">
        <f t="shared" ca="1" si="62"/>
        <v>1</v>
      </c>
    </row>
    <row r="280" spans="1:8" ht="14.25" x14ac:dyDescent="0.45">
      <c r="A280" s="86">
        <f ca="1"/>
        <v>8</v>
      </c>
      <c r="B280" s="86" t="str">
        <f ca="1"/>
        <v>A159</v>
      </c>
      <c r="C280" s="86" t="str">
        <f t="shared" ca="1" si="60"/>
        <v>MUHAMMED ASHIR M</v>
      </c>
      <c r="D280" s="86" t="str">
        <f t="shared" ca="1" si="61"/>
        <v>JARF</v>
      </c>
      <c r="E280" s="86">
        <f t="shared" ca="1" si="62"/>
        <v>2</v>
      </c>
    </row>
    <row r="281" spans="1:8" ht="14.25" x14ac:dyDescent="0.45">
      <c r="A281" s="84" t="s">
        <v>136</v>
      </c>
      <c r="B281" s="84" t="str">
        <f>VLOOKUP("SJ22",f_detailsof_programs,2,FALSE)</f>
        <v>GEO GIANT</v>
      </c>
      <c r="C281" s="84"/>
      <c r="D281" s="84" t="s">
        <v>688</v>
      </c>
      <c r="E281" s="84" t="s">
        <v>485</v>
      </c>
      <c r="F281" s="84"/>
      <c r="G281" s="84"/>
      <c r="H281" s="84"/>
    </row>
    <row r="282" spans="1:8" ht="14.25" x14ac:dyDescent="0.45">
      <c r="A282" s="85" t="s">
        <v>16</v>
      </c>
      <c r="B282" s="85" t="s">
        <v>480</v>
      </c>
      <c r="C282" s="85" t="s">
        <v>18</v>
      </c>
      <c r="D282" s="85" t="s">
        <v>481</v>
      </c>
      <c r="E282" s="85" t="s">
        <v>19</v>
      </c>
      <c r="F282" s="85" t="s">
        <v>482</v>
      </c>
      <c r="G282" s="85" t="s">
        <v>483</v>
      </c>
      <c r="H282" s="85" t="s">
        <v>484</v>
      </c>
    </row>
    <row r="283" spans="1:8" ht="14.25" x14ac:dyDescent="0.45">
      <c r="A283" s="86" cm="1">
        <f t="array" aca="1" ref="A283:A294" ca="1">_xlfn.SEQUENCE(COUNTA(_xlfn.LET(_xlpm.trimmed,OFFSET(f_listof_program_candidates,MATCH("SJ22",f_listof_program_codes,0)-1,6,1,),TRANSPOSE(_xlfn._xlws.FILTER(OFFSET(_xlpm.trimmed,0,0,,COUNTA(_xlpm.trimmed)-5),OFFSET(_xlpm.trimmed,0,0,,COUNTA(_xlpm.trimmed)-5)&lt;&gt;0)))))</f>
        <v>1</v>
      </c>
      <c r="B283" s="86" t="str" cm="1">
        <f t="array" aca="1" ref="B283:B294" ca="1">_xlfn.LET(_xlpm.trimmed,OFFSET(f_listof_program_candidates,MATCH("SJ22",f_listof_program_codes,0)-1,6,1,),TRANSPOSE(_xlfn._xlws.FILTER(OFFSET(_xlpm.trimmed,0,0,,COUNTA(_xlpm.trimmed)-5),OFFSET(_xlpm.trimmed,0,0,,COUNTA(_xlpm.trimmed)-5)&lt;&gt;0)))</f>
        <v>A139</v>
      </c>
      <c r="C283" s="86" t="str">
        <f t="shared" ref="C283:C294" ca="1" si="63">VLOOKUP(B283,f_detailsof_candidates,2,FALSE)</f>
        <v>MUHAMMED MOIDEEN KUNHI</v>
      </c>
      <c r="D283" s="86" t="str">
        <f t="shared" ref="D283:D294" ca="1" si="64">VLOOKUP(B283,f_detailsof_candidates,3,FALSE)</f>
        <v>FANT</v>
      </c>
      <c r="E283" s="86">
        <f t="shared" ref="E283:E294" ca="1" si="65">VLOOKUP(B283,f_detailsof_candidates,5,FALSE)</f>
        <v>1</v>
      </c>
    </row>
    <row r="284" spans="1:8" ht="14.25" x14ac:dyDescent="0.45">
      <c r="A284" s="86">
        <f ca="1"/>
        <v>2</v>
      </c>
      <c r="B284" s="86" t="str">
        <f ca="1"/>
        <v>A150</v>
      </c>
      <c r="C284" s="86" t="str">
        <f t="shared" ca="1" si="63"/>
        <v>MOHAMED JAWHAR J A</v>
      </c>
      <c r="D284" s="86" t="str">
        <f t="shared" ca="1" si="64"/>
        <v>FANT</v>
      </c>
      <c r="E284" s="86">
        <f t="shared" ca="1" si="65"/>
        <v>2</v>
      </c>
    </row>
    <row r="285" spans="1:8" ht="14.25" x14ac:dyDescent="0.45">
      <c r="A285" s="86">
        <f ca="1"/>
        <v>3</v>
      </c>
      <c r="B285" s="86" t="str">
        <f ca="1"/>
        <v>A157</v>
      </c>
      <c r="C285" s="86" t="str">
        <f t="shared" ca="1" si="63"/>
        <v>MUHAMMED ADNAN K.A</v>
      </c>
      <c r="D285" s="86" t="str">
        <f t="shared" ca="1" si="64"/>
        <v>FANT</v>
      </c>
      <c r="E285" s="86">
        <f t="shared" ca="1" si="65"/>
        <v>2</v>
      </c>
    </row>
    <row r="286" spans="1:8" ht="14.25" x14ac:dyDescent="0.45">
      <c r="A286" s="86">
        <f ca="1"/>
        <v>4</v>
      </c>
      <c r="B286" s="86" t="str">
        <f ca="1"/>
        <v>A147</v>
      </c>
      <c r="C286" s="86" t="str">
        <f t="shared" ca="1" si="63"/>
        <v>AHMED WALEED K A</v>
      </c>
      <c r="D286" s="86" t="str">
        <f t="shared" ca="1" si="64"/>
        <v>DAHF</v>
      </c>
      <c r="E286" s="86">
        <f t="shared" ca="1" si="65"/>
        <v>2</v>
      </c>
    </row>
    <row r="287" spans="1:8" ht="14.25" x14ac:dyDescent="0.45">
      <c r="A287" s="86">
        <f ca="1"/>
        <v>5</v>
      </c>
      <c r="B287" s="86" t="str">
        <f ca="1"/>
        <v>A164</v>
      </c>
      <c r="C287" s="86" t="str">
        <f t="shared" ca="1" si="63"/>
        <v>MUHAMMED MICDAD RAMEES A H</v>
      </c>
      <c r="D287" s="86" t="str">
        <f t="shared" ca="1" si="64"/>
        <v>DAHF</v>
      </c>
      <c r="E287" s="86">
        <f t="shared" ca="1" si="65"/>
        <v>2</v>
      </c>
    </row>
    <row r="288" spans="1:8" ht="14.25" x14ac:dyDescent="0.45">
      <c r="A288" s="86">
        <f ca="1"/>
        <v>6</v>
      </c>
      <c r="B288" s="86" t="str">
        <f ca="1"/>
        <v>A175</v>
      </c>
      <c r="C288" s="86" t="str">
        <f t="shared" ca="1" si="63"/>
        <v>YOUSUF FAHEEM P</v>
      </c>
      <c r="D288" s="86" t="str">
        <f t="shared" ca="1" si="64"/>
        <v>DAHF</v>
      </c>
      <c r="E288" s="86">
        <f t="shared" ca="1" si="65"/>
        <v>2</v>
      </c>
    </row>
    <row r="289" spans="1:8" ht="14.25" x14ac:dyDescent="0.45">
      <c r="A289" s="86">
        <f ca="1"/>
        <v>7</v>
      </c>
      <c r="B289" s="86" t="str">
        <f ca="1"/>
        <v>A104</v>
      </c>
      <c r="C289" s="86" t="str">
        <f t="shared" ca="1" si="63"/>
        <v>MUHAMMAD AZEEM</v>
      </c>
      <c r="D289" s="86" t="str">
        <f t="shared" ca="1" si="64"/>
        <v>BADF</v>
      </c>
      <c r="E289" s="86">
        <f t="shared" ca="1" si="65"/>
        <v>1</v>
      </c>
    </row>
    <row r="290" spans="1:8" ht="14.25" x14ac:dyDescent="0.45">
      <c r="A290" s="86">
        <f ca="1"/>
        <v>8</v>
      </c>
      <c r="B290" s="86" t="str">
        <f ca="1"/>
        <v>A145</v>
      </c>
      <c r="C290" s="86" t="str">
        <f t="shared" ca="1" si="63"/>
        <v>ABDULLAH A P</v>
      </c>
      <c r="D290" s="86" t="str">
        <f t="shared" ca="1" si="64"/>
        <v>BADF</v>
      </c>
      <c r="E290" s="86">
        <f t="shared" ca="1" si="65"/>
        <v>2</v>
      </c>
    </row>
    <row r="291" spans="1:8" ht="14.25" x14ac:dyDescent="0.45">
      <c r="A291" s="86">
        <f ca="1"/>
        <v>9</v>
      </c>
      <c r="B291" s="86" t="str">
        <f ca="1"/>
        <v>A152</v>
      </c>
      <c r="C291" s="86" t="str">
        <f t="shared" ca="1" si="63"/>
        <v>MOHAMMED QUBAIB A H</v>
      </c>
      <c r="D291" s="86" t="str">
        <f t="shared" ca="1" si="64"/>
        <v>BADF</v>
      </c>
      <c r="E291" s="86">
        <f t="shared" ca="1" si="65"/>
        <v>2</v>
      </c>
    </row>
    <row r="292" spans="1:8" ht="14.25" x14ac:dyDescent="0.45">
      <c r="A292" s="86">
        <f ca="1"/>
        <v>10</v>
      </c>
      <c r="B292" s="86" t="str">
        <f ca="1"/>
        <v>A103</v>
      </c>
      <c r="C292" s="86" t="str">
        <f t="shared" ca="1" si="63"/>
        <v>MUHAMMED RIZIN AMAN</v>
      </c>
      <c r="D292" s="86" t="str">
        <f t="shared" ca="1" si="64"/>
        <v>JARF</v>
      </c>
      <c r="E292" s="86">
        <f t="shared" ca="1" si="65"/>
        <v>1</v>
      </c>
    </row>
    <row r="293" spans="1:8" ht="14.25" x14ac:dyDescent="0.45">
      <c r="A293" s="86">
        <f ca="1"/>
        <v>11</v>
      </c>
      <c r="B293" s="86" t="str">
        <f ca="1"/>
        <v>A123</v>
      </c>
      <c r="C293" s="86" t="str">
        <f t="shared" ca="1" si="63"/>
        <v>IBRAHIM KALEEL</v>
      </c>
      <c r="D293" s="86" t="str">
        <f t="shared" ca="1" si="64"/>
        <v>JARF</v>
      </c>
      <c r="E293" s="86">
        <f t="shared" ca="1" si="65"/>
        <v>1</v>
      </c>
    </row>
    <row r="294" spans="1:8" ht="14.25" x14ac:dyDescent="0.45">
      <c r="A294" s="86">
        <f ca="1"/>
        <v>12</v>
      </c>
      <c r="B294" s="86" t="str">
        <f ca="1"/>
        <v>A149</v>
      </c>
      <c r="C294" s="86" t="str">
        <f t="shared" ca="1" si="63"/>
        <v>FADIL AMEEN ABDULLA</v>
      </c>
      <c r="D294" s="86" t="str">
        <f t="shared" ca="1" si="64"/>
        <v>JARF</v>
      </c>
      <c r="E294" s="86">
        <f t="shared" ca="1" si="65"/>
        <v>2</v>
      </c>
    </row>
    <row r="295" spans="1:8" ht="14.25" x14ac:dyDescent="0.45">
      <c r="A295" s="84" t="s">
        <v>139</v>
      </c>
      <c r="B295" s="84" t="str">
        <f>VLOOKUP("SJ23",f_detailsof_programs,2,FALSE)</f>
        <v>KADHAKADHANAM MLM</v>
      </c>
      <c r="C295" s="84"/>
      <c r="D295" s="84" t="s">
        <v>688</v>
      </c>
      <c r="E295" s="84" t="s">
        <v>485</v>
      </c>
      <c r="F295" s="84"/>
      <c r="G295" s="84"/>
      <c r="H295" s="84"/>
    </row>
    <row r="296" spans="1:8" ht="14.25" x14ac:dyDescent="0.45">
      <c r="A296" s="85" t="s">
        <v>16</v>
      </c>
      <c r="B296" s="85" t="s">
        <v>480</v>
      </c>
      <c r="C296" s="85" t="s">
        <v>18</v>
      </c>
      <c r="D296" s="85" t="s">
        <v>481</v>
      </c>
      <c r="E296" s="85" t="s">
        <v>19</v>
      </c>
      <c r="F296" s="85" t="s">
        <v>482</v>
      </c>
      <c r="G296" s="85" t="s">
        <v>483</v>
      </c>
      <c r="H296" s="85" t="s">
        <v>484</v>
      </c>
    </row>
    <row r="297" spans="1:8" ht="14.25" x14ac:dyDescent="0.45">
      <c r="A297" s="86" cm="1">
        <f t="array" aca="1" ref="A297:A308" ca="1">_xlfn.SEQUENCE(COUNTA(_xlfn.LET(_xlpm.trimmed,OFFSET(f_listof_program_candidates,MATCH("SJ23",f_listof_program_codes,0)-1,6,1,),TRANSPOSE(_xlfn._xlws.FILTER(OFFSET(_xlpm.trimmed,0,0,,COUNTA(_xlpm.trimmed)-5),OFFSET(_xlpm.trimmed,0,0,,COUNTA(_xlpm.trimmed)-5)&lt;&gt;0)))))</f>
        <v>1</v>
      </c>
      <c r="B297" s="86" t="str" cm="1">
        <f t="array" aca="1" ref="B297:B308" ca="1">_xlfn.LET(_xlpm.trimmed,OFFSET(f_listof_program_candidates,MATCH("SJ23",f_listof_program_codes,0)-1,6,1,),TRANSPOSE(_xlfn._xlws.FILTER(OFFSET(_xlpm.trimmed,0,0,,COUNTA(_xlpm.trimmed)-5),OFFSET(_xlpm.trimmed,0,0,,COUNTA(_xlpm.trimmed)-5)&lt;&gt;0)))</f>
        <v>A107</v>
      </c>
      <c r="C297" s="86" t="str">
        <f t="shared" ref="C297:C308" ca="1" si="66">VLOOKUP(B297,f_detailsof_candidates,2,FALSE)</f>
        <v>MUHAMMED ADHIL C H</v>
      </c>
      <c r="D297" s="86" t="str">
        <f t="shared" ref="D297:D308" ca="1" si="67">VLOOKUP(B297,f_detailsof_candidates,3,FALSE)</f>
        <v>FANT</v>
      </c>
      <c r="E297" s="86">
        <f t="shared" ref="E297:E308" ca="1" si="68">VLOOKUP(B297,f_detailsof_candidates,5,FALSE)</f>
        <v>1</v>
      </c>
    </row>
    <row r="298" spans="1:8" ht="14.25" x14ac:dyDescent="0.45">
      <c r="A298" s="86">
        <f ca="1"/>
        <v>2</v>
      </c>
      <c r="B298" s="86" t="str">
        <f ca="1"/>
        <v>A129</v>
      </c>
      <c r="C298" s="86" t="str">
        <f t="shared" ca="1" si="66"/>
        <v>MUHAMMED BIN JAFAR</v>
      </c>
      <c r="D298" s="86" t="str">
        <f t="shared" ca="1" si="67"/>
        <v>FANT</v>
      </c>
      <c r="E298" s="86">
        <f t="shared" ca="1" si="68"/>
        <v>1</v>
      </c>
    </row>
    <row r="299" spans="1:8" ht="14.25" x14ac:dyDescent="0.45">
      <c r="A299" s="86">
        <f ca="1"/>
        <v>3</v>
      </c>
      <c r="B299" s="86" t="str">
        <f ca="1"/>
        <v>A140</v>
      </c>
      <c r="C299" s="86" t="str">
        <f t="shared" ca="1" si="66"/>
        <v>MUHAMMED AFLAH.MK</v>
      </c>
      <c r="D299" s="86" t="str">
        <f t="shared" ca="1" si="67"/>
        <v>FANT</v>
      </c>
      <c r="E299" s="86">
        <f t="shared" ca="1" si="68"/>
        <v>2</v>
      </c>
    </row>
    <row r="300" spans="1:8" ht="14.25" x14ac:dyDescent="0.45">
      <c r="A300" s="86">
        <f ca="1"/>
        <v>4</v>
      </c>
      <c r="B300" s="86" t="str">
        <f ca="1"/>
        <v>A113</v>
      </c>
      <c r="C300" s="86" t="str">
        <f t="shared" ca="1" si="66"/>
        <v>MOIDEEN KAIS</v>
      </c>
      <c r="D300" s="86" t="str">
        <f t="shared" ca="1" si="67"/>
        <v>DAHF</v>
      </c>
      <c r="E300" s="86">
        <f t="shared" ca="1" si="68"/>
        <v>1</v>
      </c>
    </row>
    <row r="301" spans="1:8" ht="14.25" x14ac:dyDescent="0.45">
      <c r="A301" s="86">
        <f ca="1"/>
        <v>5</v>
      </c>
      <c r="B301" s="86" t="str">
        <f ca="1"/>
        <v>A134</v>
      </c>
      <c r="C301" s="86" t="str">
        <f t="shared" ca="1" si="66"/>
        <v>YASEEN MUHAMMED</v>
      </c>
      <c r="D301" s="86" t="str">
        <f t="shared" ca="1" si="67"/>
        <v>DAHF</v>
      </c>
      <c r="E301" s="86">
        <f t="shared" ca="1" si="68"/>
        <v>1</v>
      </c>
    </row>
    <row r="302" spans="1:8" ht="14.25" x14ac:dyDescent="0.45">
      <c r="A302" s="86">
        <f ca="1"/>
        <v>6</v>
      </c>
      <c r="B302" s="86" t="str">
        <f ca="1"/>
        <v>A165</v>
      </c>
      <c r="C302" s="86" t="str">
        <f t="shared" ca="1" si="66"/>
        <v>MUHAMMED MIDLAJ</v>
      </c>
      <c r="D302" s="86" t="str">
        <f t="shared" ca="1" si="67"/>
        <v>DAHF</v>
      </c>
      <c r="E302" s="86">
        <f t="shared" ca="1" si="68"/>
        <v>2</v>
      </c>
    </row>
    <row r="303" spans="1:8" ht="14.25" x14ac:dyDescent="0.45">
      <c r="A303" s="86">
        <f ca="1"/>
        <v>7</v>
      </c>
      <c r="B303" s="86" t="str">
        <f ca="1"/>
        <v>A109</v>
      </c>
      <c r="C303" s="86" t="str">
        <f t="shared" ca="1" si="66"/>
        <v>AHMED RAZI MR</v>
      </c>
      <c r="D303" s="86" t="str">
        <f t="shared" ca="1" si="67"/>
        <v>BADF</v>
      </c>
      <c r="E303" s="86">
        <f t="shared" ca="1" si="68"/>
        <v>1</v>
      </c>
    </row>
    <row r="304" spans="1:8" ht="14.25" x14ac:dyDescent="0.45">
      <c r="A304" s="86">
        <f ca="1"/>
        <v>8</v>
      </c>
      <c r="B304" s="86" t="str">
        <f ca="1"/>
        <v>A114</v>
      </c>
      <c r="C304" s="86" t="str">
        <f t="shared" ca="1" si="66"/>
        <v>MUHAMMED SHAHID K A</v>
      </c>
      <c r="D304" s="86" t="str">
        <f t="shared" ca="1" si="67"/>
        <v>BADF</v>
      </c>
      <c r="E304" s="86">
        <f t="shared" ca="1" si="68"/>
        <v>1</v>
      </c>
    </row>
    <row r="305" spans="1:8" ht="14.25" x14ac:dyDescent="0.45">
      <c r="A305" s="86">
        <f ca="1"/>
        <v>9</v>
      </c>
      <c r="B305" s="86" t="str">
        <f ca="1"/>
        <v>A135</v>
      </c>
      <c r="C305" s="86" t="str">
        <f t="shared" ca="1" si="66"/>
        <v>MOHAMMED RAFAN A</v>
      </c>
      <c r="D305" s="86" t="str">
        <f t="shared" ca="1" si="67"/>
        <v>BADF</v>
      </c>
      <c r="E305" s="86">
        <f t="shared" ca="1" si="68"/>
        <v>1</v>
      </c>
    </row>
    <row r="306" spans="1:8" ht="14.25" x14ac:dyDescent="0.45">
      <c r="A306" s="86">
        <f ca="1"/>
        <v>10</v>
      </c>
      <c r="B306" s="86" t="str">
        <f ca="1"/>
        <v>A121</v>
      </c>
      <c r="C306" s="86" t="str">
        <f t="shared" ca="1" si="66"/>
        <v>BEERAN MUEENUDHEEN MH</v>
      </c>
      <c r="D306" s="86" t="str">
        <f t="shared" ca="1" si="67"/>
        <v>JARF</v>
      </c>
      <c r="E306" s="86">
        <f t="shared" ca="1" si="68"/>
        <v>1</v>
      </c>
    </row>
    <row r="307" spans="1:8" ht="14.25" x14ac:dyDescent="0.45">
      <c r="A307" s="86">
        <f ca="1"/>
        <v>11</v>
      </c>
      <c r="B307" s="86" t="str">
        <f ca="1"/>
        <v>A155</v>
      </c>
      <c r="C307" s="86" t="str">
        <f t="shared" ca="1" si="66"/>
        <v>Muhammad M</v>
      </c>
      <c r="D307" s="86" t="str">
        <f t="shared" ca="1" si="67"/>
        <v>JARF</v>
      </c>
      <c r="E307" s="86">
        <f t="shared" ca="1" si="68"/>
        <v>2</v>
      </c>
    </row>
    <row r="308" spans="1:8" ht="14.25" x14ac:dyDescent="0.45">
      <c r="A308" s="86">
        <f ca="1"/>
        <v>12</v>
      </c>
      <c r="B308" s="86" t="str">
        <f ca="1"/>
        <v>A168</v>
      </c>
      <c r="C308" s="86" t="str">
        <f t="shared" ca="1" si="66"/>
        <v>Muhammed Sinan D A</v>
      </c>
      <c r="D308" s="86" t="str">
        <f t="shared" ca="1" si="67"/>
        <v>JARF</v>
      </c>
      <c r="E308" s="86">
        <f t="shared" ca="1" si="68"/>
        <v>2</v>
      </c>
    </row>
    <row r="309" spans="1:8" ht="14.25" x14ac:dyDescent="0.45">
      <c r="A309" s="84" t="s">
        <v>141</v>
      </c>
      <c r="B309" s="84" t="str">
        <f>VLOOKUP("SJ24",f_detailsof_programs,2,FALSE)</f>
        <v>NJAN MALAYALI</v>
      </c>
      <c r="C309" s="84"/>
      <c r="D309" s="84" t="s">
        <v>688</v>
      </c>
      <c r="E309" s="84" t="s">
        <v>485</v>
      </c>
      <c r="F309" s="84"/>
      <c r="G309" s="84"/>
      <c r="H309" s="84"/>
    </row>
    <row r="310" spans="1:8" ht="14.25" x14ac:dyDescent="0.45">
      <c r="A310" s="85" t="s">
        <v>16</v>
      </c>
      <c r="B310" s="85" t="s">
        <v>480</v>
      </c>
      <c r="C310" s="85" t="s">
        <v>18</v>
      </c>
      <c r="D310" s="85" t="s">
        <v>481</v>
      </c>
      <c r="E310" s="85" t="s">
        <v>19</v>
      </c>
      <c r="F310" s="85" t="s">
        <v>482</v>
      </c>
      <c r="G310" s="85" t="s">
        <v>483</v>
      </c>
      <c r="H310" s="85" t="s">
        <v>484</v>
      </c>
    </row>
    <row r="311" spans="1:8" ht="14.25" x14ac:dyDescent="0.45">
      <c r="A311" s="86" cm="1">
        <f t="array" aca="1" ref="A311:A322" ca="1">_xlfn.SEQUENCE(COUNTA(_xlfn.LET(_xlpm.trimmed,OFFSET(f_listof_program_candidates,MATCH("SJ24",f_listof_program_codes,0)-1,6,1,),TRANSPOSE(_xlfn._xlws.FILTER(OFFSET(_xlpm.trimmed,0,0,,COUNTA(_xlpm.trimmed)-5),OFFSET(_xlpm.trimmed,0,0,,COUNTA(_xlpm.trimmed)-5)&lt;&gt;0)))))</f>
        <v>1</v>
      </c>
      <c r="B311" s="86" t="str" cm="1">
        <f t="array" aca="1" ref="B311:B322" ca="1">_xlfn.LET(_xlpm.trimmed,OFFSET(f_listof_program_candidates,MATCH("SJ24",f_listof_program_codes,0)-1,6,1,),TRANSPOSE(_xlfn._xlws.FILTER(OFFSET(_xlpm.trimmed,0,0,,COUNTA(_xlpm.trimmed)-5),OFFSET(_xlpm.trimmed,0,0,,COUNTA(_xlpm.trimmed)-5)&lt;&gt;0)))</f>
        <v>A100</v>
      </c>
      <c r="C311" s="86" t="str">
        <f t="shared" ref="C311:C322" ca="1" si="69">VLOOKUP(B311,f_detailsof_candidates,2,FALSE)</f>
        <v>ADINAN ABOOBACKER K</v>
      </c>
      <c r="D311" s="86" t="str">
        <f t="shared" ref="D311:D322" ca="1" si="70">VLOOKUP(B311,f_detailsof_candidates,3,FALSE)</f>
        <v>FANT</v>
      </c>
      <c r="E311" s="86">
        <f t="shared" ref="E311:E322" ca="1" si="71">VLOOKUP(B311,f_detailsof_candidates,5,FALSE)</f>
        <v>1</v>
      </c>
    </row>
    <row r="312" spans="1:8" ht="14.25" x14ac:dyDescent="0.45">
      <c r="A312" s="86">
        <f ca="1"/>
        <v>2</v>
      </c>
      <c r="B312" s="86" t="str">
        <f ca="1"/>
        <v>A140</v>
      </c>
      <c r="C312" s="86" t="str">
        <f t="shared" ca="1" si="69"/>
        <v>MUHAMMED AFLAH.MK</v>
      </c>
      <c r="D312" s="86" t="str">
        <f t="shared" ca="1" si="70"/>
        <v>FANT</v>
      </c>
      <c r="E312" s="86">
        <f t="shared" ca="1" si="71"/>
        <v>2</v>
      </c>
    </row>
    <row r="313" spans="1:8" ht="14.25" x14ac:dyDescent="0.45">
      <c r="A313" s="86">
        <f ca="1"/>
        <v>3</v>
      </c>
      <c r="B313" s="86" t="str">
        <f ca="1"/>
        <v>A143</v>
      </c>
      <c r="C313" s="86" t="str">
        <f t="shared" ca="1" si="69"/>
        <v>ABDUL AFEEZ C.F</v>
      </c>
      <c r="D313" s="86" t="str">
        <f t="shared" ca="1" si="70"/>
        <v>FANT</v>
      </c>
      <c r="E313" s="86">
        <f t="shared" ca="1" si="71"/>
        <v>2</v>
      </c>
    </row>
    <row r="314" spans="1:8" ht="14.25" x14ac:dyDescent="0.45">
      <c r="A314" s="86">
        <f ca="1"/>
        <v>4</v>
      </c>
      <c r="B314" s="86" t="str">
        <f ca="1"/>
        <v>A165</v>
      </c>
      <c r="C314" s="86" t="str">
        <f t="shared" ca="1" si="69"/>
        <v>MUHAMMED MIDLAJ</v>
      </c>
      <c r="D314" s="86" t="str">
        <f t="shared" ca="1" si="70"/>
        <v>DAHF</v>
      </c>
      <c r="E314" s="86">
        <f t="shared" ca="1" si="71"/>
        <v>2</v>
      </c>
    </row>
    <row r="315" spans="1:8" ht="14.25" x14ac:dyDescent="0.45">
      <c r="A315" s="86">
        <f ca="1"/>
        <v>5</v>
      </c>
      <c r="B315" s="86" t="str">
        <f ca="1"/>
        <v>A170</v>
      </c>
      <c r="C315" s="86" t="str">
        <f t="shared" ca="1" si="69"/>
        <v>P.V.AHMAD ANAS</v>
      </c>
      <c r="D315" s="86" t="str">
        <f t="shared" ca="1" si="70"/>
        <v>DAHF</v>
      </c>
      <c r="E315" s="86">
        <f t="shared" ca="1" si="71"/>
        <v>2</v>
      </c>
    </row>
    <row r="316" spans="1:8" ht="14.25" x14ac:dyDescent="0.45">
      <c r="A316" s="86">
        <f ca="1"/>
        <v>6</v>
      </c>
      <c r="B316" s="86" t="str">
        <f ca="1"/>
        <v>A172</v>
      </c>
      <c r="C316" s="86" t="str">
        <f t="shared" ca="1" si="69"/>
        <v>SAYYED MUHAMMED ABOOBACKER</v>
      </c>
      <c r="D316" s="86" t="str">
        <f t="shared" ca="1" si="70"/>
        <v>DAHF</v>
      </c>
      <c r="E316" s="86">
        <f t="shared" ca="1" si="71"/>
        <v>2</v>
      </c>
    </row>
    <row r="317" spans="1:8" ht="14.25" x14ac:dyDescent="0.45">
      <c r="A317" s="86">
        <f ca="1"/>
        <v>7</v>
      </c>
      <c r="B317" s="86" t="str">
        <f ca="1"/>
        <v>A114</v>
      </c>
      <c r="C317" s="86" t="str">
        <f t="shared" ca="1" si="69"/>
        <v>MUHAMMED SHAHID K A</v>
      </c>
      <c r="D317" s="86" t="str">
        <f t="shared" ca="1" si="70"/>
        <v>BADF</v>
      </c>
      <c r="E317" s="86">
        <f t="shared" ca="1" si="71"/>
        <v>1</v>
      </c>
    </row>
    <row r="318" spans="1:8" ht="14.25" x14ac:dyDescent="0.45">
      <c r="A318" s="86">
        <f ca="1"/>
        <v>8</v>
      </c>
      <c r="B318" s="86" t="str">
        <f ca="1"/>
        <v>A136</v>
      </c>
      <c r="C318" s="86" t="str">
        <f t="shared" ca="1" si="69"/>
        <v>MUHAMMED UVAIS.P. S</v>
      </c>
      <c r="D318" s="86" t="str">
        <f t="shared" ca="1" si="70"/>
        <v>BADF</v>
      </c>
      <c r="E318" s="86">
        <f t="shared" ca="1" si="71"/>
        <v>1</v>
      </c>
    </row>
    <row r="319" spans="1:8" ht="14.25" x14ac:dyDescent="0.45">
      <c r="A319" s="86">
        <f ca="1"/>
        <v>9</v>
      </c>
      <c r="B319" s="86" t="str">
        <f ca="1"/>
        <v>A142</v>
      </c>
      <c r="C319" s="86" t="str">
        <f t="shared" ca="1" si="69"/>
        <v>Muhammed Anshad A</v>
      </c>
      <c r="D319" s="86" t="str">
        <f t="shared" ca="1" si="70"/>
        <v>BADF</v>
      </c>
      <c r="E319" s="86">
        <f t="shared" ca="1" si="71"/>
        <v>2</v>
      </c>
    </row>
    <row r="320" spans="1:8" ht="14.25" x14ac:dyDescent="0.45">
      <c r="A320" s="86">
        <f ca="1"/>
        <v>10</v>
      </c>
      <c r="B320" s="86" t="str">
        <f ca="1"/>
        <v>A102</v>
      </c>
      <c r="C320" s="86" t="str">
        <f t="shared" ca="1" si="69"/>
        <v>AJZAL ASHRAF OV</v>
      </c>
      <c r="D320" s="86" t="str">
        <f t="shared" ca="1" si="70"/>
        <v>JARF</v>
      </c>
      <c r="E320" s="86">
        <f t="shared" ca="1" si="71"/>
        <v>1</v>
      </c>
    </row>
    <row r="321" spans="1:8" ht="14.25" x14ac:dyDescent="0.45">
      <c r="A321" s="86">
        <f ca="1"/>
        <v>11</v>
      </c>
      <c r="B321" s="86" t="str">
        <f ca="1"/>
        <v>A126</v>
      </c>
      <c r="C321" s="86" t="str">
        <f t="shared" ca="1" si="69"/>
        <v>MUHAMMED ZAID</v>
      </c>
      <c r="D321" s="86" t="str">
        <f t="shared" ca="1" si="70"/>
        <v>JARF</v>
      </c>
      <c r="E321" s="86">
        <f t="shared" ca="1" si="71"/>
        <v>1</v>
      </c>
    </row>
    <row r="322" spans="1:8" ht="14.25" x14ac:dyDescent="0.45">
      <c r="A322" s="86">
        <f ca="1"/>
        <v>12</v>
      </c>
      <c r="B322" s="86" t="str">
        <f ca="1"/>
        <v>A155</v>
      </c>
      <c r="C322" s="86" t="str">
        <f t="shared" ca="1" si="69"/>
        <v>Muhammad M</v>
      </c>
      <c r="D322" s="86" t="str">
        <f t="shared" ca="1" si="70"/>
        <v>JARF</v>
      </c>
      <c r="E322" s="86">
        <f t="shared" ca="1" si="71"/>
        <v>2</v>
      </c>
    </row>
    <row r="323" spans="1:8" ht="14.25" x14ac:dyDescent="0.45">
      <c r="A323" s="84" t="s">
        <v>143</v>
      </c>
      <c r="B323" s="84" t="str">
        <f>VLOOKUP("SJ25",f_detailsof_programs,2,FALSE)</f>
        <v>POEM RECITATION</v>
      </c>
      <c r="C323" s="84"/>
      <c r="D323" s="84" t="s">
        <v>688</v>
      </c>
      <c r="E323" s="84" t="s">
        <v>485</v>
      </c>
      <c r="F323" s="84"/>
      <c r="G323" s="84"/>
      <c r="H323" s="84"/>
    </row>
    <row r="324" spans="1:8" ht="14.25" x14ac:dyDescent="0.45">
      <c r="A324" s="85" t="s">
        <v>16</v>
      </c>
      <c r="B324" s="85" t="s">
        <v>480</v>
      </c>
      <c r="C324" s="85" t="s">
        <v>18</v>
      </c>
      <c r="D324" s="85" t="s">
        <v>481</v>
      </c>
      <c r="E324" s="85" t="s">
        <v>19</v>
      </c>
      <c r="F324" s="85" t="s">
        <v>482</v>
      </c>
      <c r="G324" s="85" t="s">
        <v>483</v>
      </c>
      <c r="H324" s="85" t="s">
        <v>484</v>
      </c>
    </row>
    <row r="325" spans="1:8" ht="14.25" x14ac:dyDescent="0.45">
      <c r="A325" s="86" cm="1">
        <f t="array" aca="1" ref="A325:A336" ca="1">_xlfn.SEQUENCE(COUNTA(_xlfn.LET(_xlpm.trimmed,OFFSET(f_listof_program_candidates,MATCH("SJ25",f_listof_program_codes,0)-1,6,1,),TRANSPOSE(_xlfn._xlws.FILTER(OFFSET(_xlpm.trimmed,0,0,,COUNTA(_xlpm.trimmed)-5),OFFSET(_xlpm.trimmed,0,0,,COUNTA(_xlpm.trimmed)-5)&lt;&gt;0)))))</f>
        <v>1</v>
      </c>
      <c r="B325" s="86" t="str" cm="1">
        <f t="array" aca="1" ref="B325:B336" ca="1">_xlfn.LET(_xlpm.trimmed,OFFSET(f_listof_program_candidates,MATCH("SJ25",f_listof_program_codes,0)-1,6,1,),TRANSPOSE(_xlfn._xlws.FILTER(OFFSET(_xlpm.trimmed,0,0,,COUNTA(_xlpm.trimmed)-5),OFFSET(_xlpm.trimmed,0,0,,COUNTA(_xlpm.trimmed)-5)&lt;&gt;0)))</f>
        <v>A110</v>
      </c>
      <c r="C325" s="86" t="str">
        <f t="shared" ref="C325:C336" ca="1" si="72">VLOOKUP(B325,f_detailsof_candidates,2,FALSE)</f>
        <v>Muhammed Hisham K M</v>
      </c>
      <c r="D325" s="86" t="str">
        <f t="shared" ref="D325:D336" ca="1" si="73">VLOOKUP(B325,f_detailsof_candidates,3,FALSE)</f>
        <v>FANT</v>
      </c>
      <c r="E325" s="86">
        <f t="shared" ref="E325:E336" ca="1" si="74">VLOOKUP(B325,f_detailsof_candidates,5,FALSE)</f>
        <v>1</v>
      </c>
    </row>
    <row r="326" spans="1:8" ht="14.25" x14ac:dyDescent="0.45">
      <c r="A326" s="86">
        <f ca="1"/>
        <v>2</v>
      </c>
      <c r="B326" s="86" t="str">
        <f ca="1"/>
        <v>A153</v>
      </c>
      <c r="C326" s="86" t="str">
        <f t="shared" ca="1" si="72"/>
        <v>MOHAMMED SAWA T A</v>
      </c>
      <c r="D326" s="86" t="str">
        <f t="shared" ca="1" si="73"/>
        <v>FANT</v>
      </c>
      <c r="E326" s="86">
        <f t="shared" ca="1" si="74"/>
        <v>2</v>
      </c>
    </row>
    <row r="327" spans="1:8" ht="14.25" x14ac:dyDescent="0.45">
      <c r="A327" s="86">
        <f ca="1"/>
        <v>3</v>
      </c>
      <c r="B327" s="86" t="str">
        <f ca="1"/>
        <v>A169</v>
      </c>
      <c r="C327" s="86" t="str">
        <f t="shared" ca="1" si="72"/>
        <v>NAZWAN MOHAMMED</v>
      </c>
      <c r="D327" s="86" t="str">
        <f t="shared" ca="1" si="73"/>
        <v>FANT</v>
      </c>
      <c r="E327" s="86">
        <f t="shared" ca="1" si="74"/>
        <v>2</v>
      </c>
    </row>
    <row r="328" spans="1:8" ht="14.25" x14ac:dyDescent="0.45">
      <c r="A328" s="86">
        <f ca="1"/>
        <v>4</v>
      </c>
      <c r="B328" s="86" t="str">
        <f ca="1"/>
        <v>A112</v>
      </c>
      <c r="C328" s="86" t="str">
        <f t="shared" ca="1" si="72"/>
        <v>HILAL ABDULLA C H</v>
      </c>
      <c r="D328" s="86" t="str">
        <f t="shared" ca="1" si="73"/>
        <v>DAHF</v>
      </c>
      <c r="E328" s="86">
        <f t="shared" ca="1" si="74"/>
        <v>1</v>
      </c>
    </row>
    <row r="329" spans="1:8" ht="14.25" x14ac:dyDescent="0.45">
      <c r="A329" s="86">
        <f ca="1"/>
        <v>5</v>
      </c>
      <c r="B329" s="86" t="str">
        <f ca="1"/>
        <v>A165</v>
      </c>
      <c r="C329" s="86" t="str">
        <f t="shared" ca="1" si="72"/>
        <v>MUHAMMED MIDLAJ</v>
      </c>
      <c r="D329" s="86" t="str">
        <f t="shared" ca="1" si="73"/>
        <v>DAHF</v>
      </c>
      <c r="E329" s="86">
        <f t="shared" ca="1" si="74"/>
        <v>2</v>
      </c>
    </row>
    <row r="330" spans="1:8" ht="14.25" x14ac:dyDescent="0.45">
      <c r="A330" s="86">
        <f ca="1"/>
        <v>6</v>
      </c>
      <c r="B330" s="86" t="str">
        <f ca="1"/>
        <v>A170</v>
      </c>
      <c r="C330" s="86" t="str">
        <f t="shared" ca="1" si="72"/>
        <v>P.V.AHMAD ANAS</v>
      </c>
      <c r="D330" s="86" t="str">
        <f t="shared" ca="1" si="73"/>
        <v>DAHF</v>
      </c>
      <c r="E330" s="86">
        <f t="shared" ca="1" si="74"/>
        <v>2</v>
      </c>
    </row>
    <row r="331" spans="1:8" ht="14.25" x14ac:dyDescent="0.45">
      <c r="A331" s="86">
        <f ca="1"/>
        <v>7</v>
      </c>
      <c r="B331" s="86" t="str">
        <f ca="1"/>
        <v>A124</v>
      </c>
      <c r="C331" s="86" t="str">
        <f t="shared" ca="1" si="72"/>
        <v>MOHAMMED JASEEM</v>
      </c>
      <c r="D331" s="86" t="str">
        <f t="shared" ca="1" si="73"/>
        <v>BADF</v>
      </c>
      <c r="E331" s="86">
        <f t="shared" ca="1" si="74"/>
        <v>1</v>
      </c>
    </row>
    <row r="332" spans="1:8" ht="14.25" x14ac:dyDescent="0.45">
      <c r="A332" s="86">
        <f ca="1"/>
        <v>8</v>
      </c>
      <c r="B332" s="86" t="str">
        <f ca="1"/>
        <v>A136</v>
      </c>
      <c r="C332" s="86" t="str">
        <f t="shared" ca="1" si="72"/>
        <v>MUHAMMED UVAIS.P. S</v>
      </c>
      <c r="D332" s="86" t="str">
        <f t="shared" ca="1" si="73"/>
        <v>BADF</v>
      </c>
      <c r="E332" s="86">
        <f t="shared" ca="1" si="74"/>
        <v>1</v>
      </c>
    </row>
    <row r="333" spans="1:8" ht="14.25" x14ac:dyDescent="0.45">
      <c r="A333" s="86">
        <f ca="1"/>
        <v>9</v>
      </c>
      <c r="B333" s="86" t="str">
        <f ca="1"/>
        <v>A167</v>
      </c>
      <c r="C333" s="86" t="str">
        <f t="shared" ca="1" si="72"/>
        <v>MUHAMMED RAEES C A</v>
      </c>
      <c r="D333" s="86" t="str">
        <f t="shared" ca="1" si="73"/>
        <v>BADF</v>
      </c>
      <c r="E333" s="86">
        <f t="shared" ca="1" si="74"/>
        <v>2</v>
      </c>
    </row>
    <row r="334" spans="1:8" ht="14.25" x14ac:dyDescent="0.45">
      <c r="A334" s="86">
        <f ca="1"/>
        <v>10</v>
      </c>
      <c r="B334" s="86" t="str">
        <f ca="1"/>
        <v>A101</v>
      </c>
      <c r="C334" s="86" t="str">
        <f t="shared" ca="1" si="72"/>
        <v>MUHAMMED TAMEEM</v>
      </c>
      <c r="D334" s="86" t="str">
        <f t="shared" ca="1" si="73"/>
        <v>JARF</v>
      </c>
      <c r="E334" s="86">
        <f t="shared" ca="1" si="74"/>
        <v>1</v>
      </c>
    </row>
    <row r="335" spans="1:8" ht="14.25" x14ac:dyDescent="0.45">
      <c r="A335" s="86">
        <f ca="1"/>
        <v>11</v>
      </c>
      <c r="B335" s="86" t="str">
        <f ca="1"/>
        <v>A141</v>
      </c>
      <c r="C335" s="86" t="str">
        <f t="shared" ca="1" si="72"/>
        <v>MUHAMMED SHUHAIR</v>
      </c>
      <c r="D335" s="86" t="str">
        <f t="shared" ca="1" si="73"/>
        <v>JARF</v>
      </c>
      <c r="E335" s="86">
        <f t="shared" ca="1" si="74"/>
        <v>2</v>
      </c>
    </row>
    <row r="336" spans="1:8" ht="14.25" x14ac:dyDescent="0.45">
      <c r="A336" s="86">
        <f ca="1"/>
        <v>12</v>
      </c>
      <c r="B336" s="86" t="str">
        <f ca="1"/>
        <v>A159</v>
      </c>
      <c r="C336" s="86" t="str">
        <f t="shared" ca="1" si="72"/>
        <v>MUHAMMED ASHIR M</v>
      </c>
      <c r="D336" s="86" t="str">
        <f t="shared" ca="1" si="73"/>
        <v>JARF</v>
      </c>
      <c r="E336" s="86">
        <f t="shared" ca="1" si="74"/>
        <v>2</v>
      </c>
    </row>
    <row r="337" spans="1:8" ht="14.25" x14ac:dyDescent="0.45">
      <c r="A337" s="84" t="s">
        <v>145</v>
      </c>
      <c r="B337" s="84" t="str">
        <f>VLOOKUP("SJ26",f_detailsof_programs,2,FALSE)</f>
        <v>READING ARB</v>
      </c>
      <c r="C337" s="84"/>
      <c r="D337" s="84" t="s">
        <v>688</v>
      </c>
      <c r="E337" s="84" t="s">
        <v>485</v>
      </c>
      <c r="F337" s="84"/>
      <c r="G337" s="84"/>
      <c r="H337" s="84"/>
    </row>
    <row r="338" spans="1:8" ht="14.25" x14ac:dyDescent="0.45">
      <c r="A338" s="85" t="s">
        <v>16</v>
      </c>
      <c r="B338" s="85" t="s">
        <v>480</v>
      </c>
      <c r="C338" s="85" t="s">
        <v>18</v>
      </c>
      <c r="D338" s="85" t="s">
        <v>481</v>
      </c>
      <c r="E338" s="85" t="s">
        <v>19</v>
      </c>
      <c r="F338" s="85" t="s">
        <v>482</v>
      </c>
      <c r="G338" s="85" t="s">
        <v>483</v>
      </c>
      <c r="H338" s="85" t="s">
        <v>484</v>
      </c>
    </row>
    <row r="339" spans="1:8" ht="14.25" x14ac:dyDescent="0.45">
      <c r="A339" s="86" cm="1">
        <f t="array" aca="1" ref="A339:A350" ca="1">_xlfn.SEQUENCE(COUNTA(_xlfn.LET(_xlpm.trimmed,OFFSET(f_listof_program_candidates,MATCH("SJ26",f_listof_program_codes,0)-1,6,1,),TRANSPOSE(_xlfn._xlws.FILTER(OFFSET(_xlpm.trimmed,0,0,,COUNTA(_xlpm.trimmed)-5),OFFSET(_xlpm.trimmed,0,0,,COUNTA(_xlpm.trimmed)-5)&lt;&gt;0)))))</f>
        <v>1</v>
      </c>
      <c r="B339" s="86" t="str" cm="1">
        <f t="array" aca="1" ref="B339:B350" ca="1">_xlfn.LET(_xlpm.trimmed,OFFSET(f_listof_program_candidates,MATCH("SJ26",f_listof_program_codes,0)-1,6,1,),TRANSPOSE(_xlfn._xlws.FILTER(OFFSET(_xlpm.trimmed,0,0,,COUNTA(_xlpm.trimmed)-5),OFFSET(_xlpm.trimmed,0,0,,COUNTA(_xlpm.trimmed)-5)&lt;&gt;0)))</f>
        <v>A132</v>
      </c>
      <c r="C339" s="86" t="str">
        <f t="shared" ref="C339:C350" ca="1" si="75">VLOOKUP(B339,f_detailsof_candidates,2,FALSE)</f>
        <v>MUHAMMED SHIRAZ ISHAQUE</v>
      </c>
      <c r="D339" s="86" t="str">
        <f t="shared" ref="D339:D350" ca="1" si="76">VLOOKUP(B339,f_detailsof_candidates,3,FALSE)</f>
        <v>FANT</v>
      </c>
      <c r="E339" s="86">
        <f t="shared" ref="E339:E350" ca="1" si="77">VLOOKUP(B339,f_detailsof_candidates,5,FALSE)</f>
        <v>1</v>
      </c>
    </row>
    <row r="340" spans="1:8" ht="14.25" x14ac:dyDescent="0.45">
      <c r="A340" s="86">
        <f ca="1"/>
        <v>2</v>
      </c>
      <c r="B340" s="86" t="str">
        <f ca="1"/>
        <v>A161</v>
      </c>
      <c r="C340" s="86" t="str">
        <f t="shared" ca="1" si="75"/>
        <v>MUHAMMED FAHAD</v>
      </c>
      <c r="D340" s="86" t="str">
        <f t="shared" ca="1" si="76"/>
        <v>FANT</v>
      </c>
      <c r="E340" s="86">
        <f t="shared" ca="1" si="77"/>
        <v>2</v>
      </c>
    </row>
    <row r="341" spans="1:8" ht="14.25" x14ac:dyDescent="0.45">
      <c r="A341" s="86">
        <f ca="1"/>
        <v>3</v>
      </c>
      <c r="B341" s="86" t="str">
        <f ca="1"/>
        <v>A162</v>
      </c>
      <c r="C341" s="86" t="str">
        <f t="shared" ca="1" si="75"/>
        <v>MUHAMMED FAREED A S</v>
      </c>
      <c r="D341" s="86" t="str">
        <f t="shared" ca="1" si="76"/>
        <v>FANT</v>
      </c>
      <c r="E341" s="86">
        <f t="shared" ca="1" si="77"/>
        <v>2</v>
      </c>
    </row>
    <row r="342" spans="1:8" ht="14.25" x14ac:dyDescent="0.45">
      <c r="A342" s="86">
        <f ca="1"/>
        <v>4</v>
      </c>
      <c r="B342" s="86" t="str">
        <f ca="1"/>
        <v>A158</v>
      </c>
      <c r="C342" s="86" t="str">
        <f t="shared" ca="1" si="75"/>
        <v>Muhammed Anas</v>
      </c>
      <c r="D342" s="86" t="str">
        <f t="shared" ca="1" si="76"/>
        <v>DAHF</v>
      </c>
      <c r="E342" s="86">
        <f t="shared" ca="1" si="77"/>
        <v>2</v>
      </c>
    </row>
    <row r="343" spans="1:8" ht="14.25" x14ac:dyDescent="0.45">
      <c r="A343" s="86">
        <f ca="1"/>
        <v>5</v>
      </c>
      <c r="B343" s="86" t="str">
        <f ca="1"/>
        <v>A174</v>
      </c>
      <c r="C343" s="86" t="str">
        <f t="shared" ca="1" si="75"/>
        <v>THUFAIL</v>
      </c>
      <c r="D343" s="86" t="str">
        <f t="shared" ca="1" si="76"/>
        <v>DAHF</v>
      </c>
      <c r="E343" s="86">
        <f t="shared" ca="1" si="77"/>
        <v>2</v>
      </c>
    </row>
    <row r="344" spans="1:8" ht="14.25" x14ac:dyDescent="0.45">
      <c r="A344" s="86">
        <f ca="1"/>
        <v>6</v>
      </c>
      <c r="B344" s="86" t="str">
        <f ca="1"/>
        <v>A175</v>
      </c>
      <c r="C344" s="86" t="str">
        <f t="shared" ca="1" si="75"/>
        <v>YOUSUF FAHEEM P</v>
      </c>
      <c r="D344" s="86" t="str">
        <f t="shared" ca="1" si="76"/>
        <v>DAHF</v>
      </c>
      <c r="E344" s="86">
        <f t="shared" ca="1" si="77"/>
        <v>2</v>
      </c>
    </row>
    <row r="345" spans="1:8" ht="14.25" x14ac:dyDescent="0.45">
      <c r="A345" s="86">
        <f ca="1"/>
        <v>7</v>
      </c>
      <c r="B345" s="86" t="str">
        <f ca="1"/>
        <v>A109</v>
      </c>
      <c r="C345" s="86" t="str">
        <f t="shared" ca="1" si="75"/>
        <v>AHMED RAZI MR</v>
      </c>
      <c r="D345" s="86" t="str">
        <f t="shared" ca="1" si="76"/>
        <v>BADF</v>
      </c>
      <c r="E345" s="86">
        <f t="shared" ca="1" si="77"/>
        <v>1</v>
      </c>
    </row>
    <row r="346" spans="1:8" ht="14.25" x14ac:dyDescent="0.45">
      <c r="A346" s="86">
        <f ca="1"/>
        <v>8</v>
      </c>
      <c r="B346" s="86" t="str">
        <f ca="1"/>
        <v>A136</v>
      </c>
      <c r="C346" s="86" t="str">
        <f t="shared" ca="1" si="75"/>
        <v>MUHAMMED UVAIS.P. S</v>
      </c>
      <c r="D346" s="86" t="str">
        <f t="shared" ca="1" si="76"/>
        <v>BADF</v>
      </c>
      <c r="E346" s="86">
        <f t="shared" ca="1" si="77"/>
        <v>1</v>
      </c>
    </row>
    <row r="347" spans="1:8" ht="14.25" x14ac:dyDescent="0.45">
      <c r="A347" s="86">
        <f ca="1"/>
        <v>9</v>
      </c>
      <c r="B347" s="86" t="str">
        <f ca="1"/>
        <v>A146</v>
      </c>
      <c r="C347" s="86" t="str">
        <f t="shared" ca="1" si="75"/>
        <v>AHAMED ADIL. A</v>
      </c>
      <c r="D347" s="86" t="str">
        <f t="shared" ca="1" si="76"/>
        <v>BADF</v>
      </c>
      <c r="E347" s="86">
        <f t="shared" ca="1" si="77"/>
        <v>2</v>
      </c>
    </row>
    <row r="348" spans="1:8" ht="14.25" x14ac:dyDescent="0.45">
      <c r="A348" s="86">
        <f ca="1"/>
        <v>10</v>
      </c>
      <c r="B348" s="86" t="str">
        <f ca="1"/>
        <v>A103</v>
      </c>
      <c r="C348" s="86" t="str">
        <f t="shared" ca="1" si="75"/>
        <v>MUHAMMED RIZIN AMAN</v>
      </c>
      <c r="D348" s="86" t="str">
        <f t="shared" ca="1" si="76"/>
        <v>JARF</v>
      </c>
      <c r="E348" s="86">
        <f t="shared" ca="1" si="77"/>
        <v>1</v>
      </c>
    </row>
    <row r="349" spans="1:8" ht="14.25" x14ac:dyDescent="0.45">
      <c r="A349" s="86">
        <f ca="1"/>
        <v>11</v>
      </c>
      <c r="B349" s="86" t="str">
        <f ca="1"/>
        <v>A121</v>
      </c>
      <c r="C349" s="86" t="str">
        <f t="shared" ca="1" si="75"/>
        <v>BEERAN MUEENUDHEEN MH</v>
      </c>
      <c r="D349" s="86" t="str">
        <f t="shared" ca="1" si="76"/>
        <v>JARF</v>
      </c>
      <c r="E349" s="86">
        <f t="shared" ca="1" si="77"/>
        <v>1</v>
      </c>
    </row>
    <row r="350" spans="1:8" ht="14.25" x14ac:dyDescent="0.45">
      <c r="A350" s="86">
        <f ca="1"/>
        <v>12</v>
      </c>
      <c r="B350" s="86" t="str">
        <f ca="1"/>
        <v>A126</v>
      </c>
      <c r="C350" s="86" t="str">
        <f t="shared" ca="1" si="75"/>
        <v>MUHAMMED ZAID</v>
      </c>
      <c r="D350" s="86" t="str">
        <f t="shared" ca="1" si="76"/>
        <v>JARF</v>
      </c>
      <c r="E350" s="86">
        <f t="shared" ca="1" si="77"/>
        <v>1</v>
      </c>
    </row>
    <row r="351" spans="1:8" ht="14.25" x14ac:dyDescent="0.45">
      <c r="A351" s="84" t="s">
        <v>147</v>
      </c>
      <c r="B351" s="84" t="str">
        <f>VLOOKUP("SJ27",f_detailsof_programs,2,FALSE)</f>
        <v>READING ENG</v>
      </c>
      <c r="C351" s="84"/>
      <c r="D351" s="84" t="s">
        <v>688</v>
      </c>
      <c r="E351" s="84" t="s">
        <v>485</v>
      </c>
      <c r="F351" s="84"/>
      <c r="G351" s="84"/>
      <c r="H351" s="84"/>
    </row>
    <row r="352" spans="1:8" ht="14.25" x14ac:dyDescent="0.45">
      <c r="A352" s="85" t="s">
        <v>16</v>
      </c>
      <c r="B352" s="85" t="s">
        <v>480</v>
      </c>
      <c r="C352" s="85" t="s">
        <v>18</v>
      </c>
      <c r="D352" s="85" t="s">
        <v>481</v>
      </c>
      <c r="E352" s="85" t="s">
        <v>19</v>
      </c>
      <c r="F352" s="85" t="s">
        <v>482</v>
      </c>
      <c r="G352" s="85" t="s">
        <v>483</v>
      </c>
      <c r="H352" s="85" t="s">
        <v>484</v>
      </c>
    </row>
    <row r="353" spans="1:8" ht="14.25" x14ac:dyDescent="0.45">
      <c r="A353" s="86" cm="1">
        <f t="array" aca="1" ref="A353:A363" ca="1">_xlfn.SEQUENCE(COUNTA(_xlfn.LET(_xlpm.trimmed,OFFSET(f_listof_program_candidates,MATCH("SJ27",f_listof_program_codes,0)-1,6,1,),TRANSPOSE(_xlfn._xlws.FILTER(OFFSET(_xlpm.trimmed,0,0,,COUNTA(_xlpm.trimmed)-5),OFFSET(_xlpm.trimmed,0,0,,COUNTA(_xlpm.trimmed)-5)&lt;&gt;0)))))</f>
        <v>1</v>
      </c>
      <c r="B353" s="86" t="str" cm="1">
        <f t="array" aca="1" ref="B353:B363" ca="1">_xlfn.LET(_xlpm.trimmed,OFFSET(f_listof_program_candidates,MATCH("SJ27",f_listof_program_codes,0)-1,6,1,),TRANSPOSE(_xlfn._xlws.FILTER(OFFSET(_xlpm.trimmed,0,0,,COUNTA(_xlpm.trimmed)-5),OFFSET(_xlpm.trimmed,0,0,,COUNTA(_xlpm.trimmed)-5)&lt;&gt;0)))</f>
        <v>A105</v>
      </c>
      <c r="C353" s="86" t="str">
        <f t="shared" ref="C353:C363" ca="1" si="78">VLOOKUP(B353,f_detailsof_candidates,2,FALSE)</f>
        <v>MUHAMMED HAFIZ S T</v>
      </c>
      <c r="D353" s="86" t="str">
        <f t="shared" ref="D353:D363" ca="1" si="79">VLOOKUP(B353,f_detailsof_candidates,3,FALSE)</f>
        <v>FANT</v>
      </c>
      <c r="E353" s="86">
        <f t="shared" ref="E353:E363" ca="1" si="80">VLOOKUP(B353,f_detailsof_candidates,5,FALSE)</f>
        <v>1</v>
      </c>
    </row>
    <row r="354" spans="1:8" ht="14.25" x14ac:dyDescent="0.45">
      <c r="A354" s="86">
        <f ca="1"/>
        <v>2</v>
      </c>
      <c r="B354" s="86" t="str">
        <f ca="1"/>
        <v>A143</v>
      </c>
      <c r="C354" s="86" t="str">
        <f t="shared" ca="1" si="78"/>
        <v>ABDUL AFEEZ C.F</v>
      </c>
      <c r="D354" s="86" t="str">
        <f t="shared" ca="1" si="79"/>
        <v>FANT</v>
      </c>
      <c r="E354" s="86">
        <f t="shared" ca="1" si="80"/>
        <v>2</v>
      </c>
    </row>
    <row r="355" spans="1:8" ht="14.25" x14ac:dyDescent="0.45">
      <c r="A355" s="86">
        <f ca="1"/>
        <v>3</v>
      </c>
      <c r="B355" s="86" t="str">
        <f ca="1"/>
        <v>A150</v>
      </c>
      <c r="C355" s="86" t="str">
        <f t="shared" ca="1" si="78"/>
        <v>MOHAMED JAWHAR J A</v>
      </c>
      <c r="D355" s="86" t="str">
        <f t="shared" ca="1" si="79"/>
        <v>FANT</v>
      </c>
      <c r="E355" s="86">
        <f t="shared" ca="1" si="80"/>
        <v>2</v>
      </c>
    </row>
    <row r="356" spans="1:8" ht="14.25" x14ac:dyDescent="0.45">
      <c r="A356" s="86">
        <f ca="1"/>
        <v>4</v>
      </c>
      <c r="B356" s="86" t="str">
        <f ca="1"/>
        <v>A113</v>
      </c>
      <c r="C356" s="86" t="str">
        <f t="shared" ca="1" si="78"/>
        <v>MOIDEEN KAIS</v>
      </c>
      <c r="D356" s="86" t="str">
        <f t="shared" ca="1" si="79"/>
        <v>DAHF</v>
      </c>
      <c r="E356" s="86">
        <f t="shared" ca="1" si="80"/>
        <v>1</v>
      </c>
    </row>
    <row r="357" spans="1:8" ht="14.25" x14ac:dyDescent="0.45">
      <c r="A357" s="86">
        <f ca="1"/>
        <v>5</v>
      </c>
      <c r="B357" s="86" t="str">
        <f ca="1"/>
        <v>A120</v>
      </c>
      <c r="C357" s="86" t="str">
        <f t="shared" ca="1" si="78"/>
        <v>MOHAMMED NAFIH</v>
      </c>
      <c r="D357" s="86" t="str">
        <f t="shared" ca="1" si="79"/>
        <v>DAHF</v>
      </c>
      <c r="E357" s="86">
        <f t="shared" ca="1" si="80"/>
        <v>1</v>
      </c>
    </row>
    <row r="358" spans="1:8" ht="14.25" x14ac:dyDescent="0.45">
      <c r="A358" s="86">
        <f ca="1"/>
        <v>6</v>
      </c>
      <c r="B358" s="86" t="str">
        <f ca="1"/>
        <v>A171</v>
      </c>
      <c r="C358" s="86" t="str">
        <f t="shared" ca="1" si="78"/>
        <v>SAYYED MOHAMMED SINAN AM</v>
      </c>
      <c r="D358" s="86" t="str">
        <f t="shared" ca="1" si="79"/>
        <v>DAHF</v>
      </c>
      <c r="E358" s="86">
        <f t="shared" ca="1" si="80"/>
        <v>2</v>
      </c>
    </row>
    <row r="359" spans="1:8" ht="14.25" x14ac:dyDescent="0.45">
      <c r="A359" s="86">
        <f ca="1"/>
        <v>7</v>
      </c>
      <c r="B359" s="86" t="str">
        <f ca="1"/>
        <v>A104</v>
      </c>
      <c r="C359" s="86" t="str">
        <f t="shared" ca="1" si="78"/>
        <v>MUHAMMAD AZEEM</v>
      </c>
      <c r="D359" s="86" t="str">
        <f t="shared" ca="1" si="79"/>
        <v>BADF</v>
      </c>
      <c r="E359" s="86">
        <f t="shared" ca="1" si="80"/>
        <v>1</v>
      </c>
    </row>
    <row r="360" spans="1:8" ht="14.25" x14ac:dyDescent="0.45">
      <c r="A360" s="86">
        <f ca="1"/>
        <v>8</v>
      </c>
      <c r="B360" s="86" t="str">
        <f ca="1"/>
        <v>A166</v>
      </c>
      <c r="C360" s="86" t="str">
        <f t="shared" ca="1" si="78"/>
        <v>Muhammed Naieem</v>
      </c>
      <c r="D360" s="86" t="str">
        <f t="shared" ca="1" si="79"/>
        <v>BADF</v>
      </c>
      <c r="E360" s="86">
        <f t="shared" ca="1" si="80"/>
        <v>2</v>
      </c>
    </row>
    <row r="361" spans="1:8" ht="14.25" x14ac:dyDescent="0.45">
      <c r="A361" s="86">
        <f ca="1"/>
        <v>9</v>
      </c>
      <c r="B361" s="86" t="str">
        <f ca="1"/>
        <v>A173</v>
      </c>
      <c r="C361" s="86" t="str">
        <f t="shared" ca="1" si="78"/>
        <v>SHAHUL HAMEED B.I</v>
      </c>
      <c r="D361" s="86" t="str">
        <f t="shared" ca="1" si="79"/>
        <v>BADF</v>
      </c>
      <c r="E361" s="86">
        <f t="shared" ca="1" si="80"/>
        <v>2</v>
      </c>
    </row>
    <row r="362" spans="1:8" ht="14.25" x14ac:dyDescent="0.45">
      <c r="A362" s="86">
        <f ca="1"/>
        <v>10</v>
      </c>
      <c r="B362" s="86" t="str">
        <f ca="1"/>
        <v>A103</v>
      </c>
      <c r="C362" s="86" t="str">
        <f t="shared" ca="1" si="78"/>
        <v>MUHAMMED RIZIN AMAN</v>
      </c>
      <c r="D362" s="86" t="str">
        <f t="shared" ca="1" si="79"/>
        <v>JARF</v>
      </c>
      <c r="E362" s="86">
        <f t="shared" ca="1" si="80"/>
        <v>1</v>
      </c>
    </row>
    <row r="363" spans="1:8" ht="14.25" x14ac:dyDescent="0.45">
      <c r="A363" s="86">
        <f ca="1"/>
        <v>11</v>
      </c>
      <c r="B363" s="86" t="str">
        <f ca="1"/>
        <v>A144</v>
      </c>
      <c r="C363" s="86" t="str">
        <f t="shared" ca="1" si="78"/>
        <v>ABDULLA</v>
      </c>
      <c r="D363" s="86" t="str">
        <f t="shared" ca="1" si="79"/>
        <v>JARF</v>
      </c>
      <c r="E363" s="86">
        <f t="shared" ca="1" si="80"/>
        <v>2</v>
      </c>
    </row>
    <row r="364" spans="1:8" ht="14.25" x14ac:dyDescent="0.45">
      <c r="A364" s="84" t="s">
        <v>149</v>
      </c>
      <c r="B364" s="84" t="str">
        <f>VLOOKUP("SJ28",f_detailsof_programs,2,FALSE)</f>
        <v>READING HINDI</v>
      </c>
      <c r="C364" s="84"/>
      <c r="D364" s="84" t="s">
        <v>688</v>
      </c>
      <c r="E364" s="84" t="s">
        <v>485</v>
      </c>
      <c r="F364" s="84"/>
      <c r="G364" s="84"/>
      <c r="H364" s="84"/>
    </row>
    <row r="365" spans="1:8" ht="14.25" x14ac:dyDescent="0.45">
      <c r="A365" s="85" t="s">
        <v>16</v>
      </c>
      <c r="B365" s="85" t="s">
        <v>480</v>
      </c>
      <c r="C365" s="85" t="s">
        <v>18</v>
      </c>
      <c r="D365" s="85" t="s">
        <v>481</v>
      </c>
      <c r="E365" s="85" t="s">
        <v>19</v>
      </c>
      <c r="F365" s="85" t="s">
        <v>482</v>
      </c>
      <c r="G365" s="85" t="s">
        <v>483</v>
      </c>
      <c r="H365" s="85" t="s">
        <v>484</v>
      </c>
    </row>
    <row r="366" spans="1:8" ht="14.25" x14ac:dyDescent="0.45">
      <c r="A366" s="86" cm="1">
        <f t="array" aca="1" ref="A366:A377" ca="1">_xlfn.SEQUENCE(COUNTA(_xlfn.LET(_xlpm.trimmed,OFFSET(f_listof_program_candidates,MATCH("SJ28",f_listof_program_codes,0)-1,6,1,),TRANSPOSE(_xlfn._xlws.FILTER(OFFSET(_xlpm.trimmed,0,0,,COUNTA(_xlpm.trimmed)-5),OFFSET(_xlpm.trimmed,0,0,,COUNTA(_xlpm.trimmed)-5)&lt;&gt;0)))))</f>
        <v>1</v>
      </c>
      <c r="B366" s="86" t="str" cm="1">
        <f t="array" aca="1" ref="B366:B377" ca="1">_xlfn.LET(_xlpm.trimmed,OFFSET(f_listof_program_candidates,MATCH("SJ28",f_listof_program_codes,0)-1,6,1,),TRANSPOSE(_xlfn._xlws.FILTER(OFFSET(_xlpm.trimmed,0,0,,COUNTA(_xlpm.trimmed)-5),OFFSET(_xlpm.trimmed,0,0,,COUNTA(_xlpm.trimmed)-5)&lt;&gt;0)))</f>
        <v>A100</v>
      </c>
      <c r="C366" s="86" t="str">
        <f t="shared" ref="C366:C377" ca="1" si="81">VLOOKUP(B366,f_detailsof_candidates,2,FALSE)</f>
        <v>ADINAN ABOOBACKER K</v>
      </c>
      <c r="D366" s="86" t="str">
        <f t="shared" ref="D366:D377" ca="1" si="82">VLOOKUP(B366,f_detailsof_candidates,3,FALSE)</f>
        <v>FANT</v>
      </c>
      <c r="E366" s="86">
        <f t="shared" ref="E366:E377" ca="1" si="83">VLOOKUP(B366,f_detailsof_candidates,5,FALSE)</f>
        <v>1</v>
      </c>
    </row>
    <row r="367" spans="1:8" ht="14.25" x14ac:dyDescent="0.45">
      <c r="A367" s="86">
        <f ca="1"/>
        <v>2</v>
      </c>
      <c r="B367" s="86" t="str">
        <f ca="1"/>
        <v>A150</v>
      </c>
      <c r="C367" s="86" t="str">
        <f t="shared" ca="1" si="81"/>
        <v>MOHAMED JAWHAR J A</v>
      </c>
      <c r="D367" s="86" t="str">
        <f t="shared" ca="1" si="82"/>
        <v>FANT</v>
      </c>
      <c r="E367" s="86">
        <f t="shared" ca="1" si="83"/>
        <v>2</v>
      </c>
    </row>
    <row r="368" spans="1:8" ht="14.25" x14ac:dyDescent="0.45">
      <c r="A368" s="86">
        <f ca="1"/>
        <v>3</v>
      </c>
      <c r="B368" s="86" t="str">
        <f ca="1"/>
        <v>A161</v>
      </c>
      <c r="C368" s="86" t="str">
        <f t="shared" ca="1" si="81"/>
        <v>MUHAMMED FAHAD</v>
      </c>
      <c r="D368" s="86" t="str">
        <f t="shared" ca="1" si="82"/>
        <v>FANT</v>
      </c>
      <c r="E368" s="86">
        <f t="shared" ca="1" si="83"/>
        <v>2</v>
      </c>
    </row>
    <row r="369" spans="1:8" ht="14.25" x14ac:dyDescent="0.45">
      <c r="A369" s="86">
        <f ca="1"/>
        <v>4</v>
      </c>
      <c r="B369" s="86" t="str">
        <f ca="1"/>
        <v>A147</v>
      </c>
      <c r="C369" s="86" t="str">
        <f t="shared" ca="1" si="81"/>
        <v>AHMED WALEED K A</v>
      </c>
      <c r="D369" s="86" t="str">
        <f t="shared" ca="1" si="82"/>
        <v>DAHF</v>
      </c>
      <c r="E369" s="86">
        <f t="shared" ca="1" si="83"/>
        <v>2</v>
      </c>
    </row>
    <row r="370" spans="1:8" ht="14.25" x14ac:dyDescent="0.45">
      <c r="A370" s="86">
        <f ca="1"/>
        <v>5</v>
      </c>
      <c r="B370" s="86" t="str">
        <f ca="1"/>
        <v>A164</v>
      </c>
      <c r="C370" s="86" t="str">
        <f t="shared" ca="1" si="81"/>
        <v>MUHAMMED MICDAD RAMEES A H</v>
      </c>
      <c r="D370" s="86" t="str">
        <f t="shared" ca="1" si="82"/>
        <v>DAHF</v>
      </c>
      <c r="E370" s="86">
        <f t="shared" ca="1" si="83"/>
        <v>2</v>
      </c>
    </row>
    <row r="371" spans="1:8" ht="14.25" x14ac:dyDescent="0.45">
      <c r="A371" s="86">
        <f ca="1"/>
        <v>6</v>
      </c>
      <c r="B371" s="86" t="str">
        <f ca="1"/>
        <v>A171</v>
      </c>
      <c r="C371" s="86" t="str">
        <f t="shared" ca="1" si="81"/>
        <v>SAYYED MOHAMMED SINAN AM</v>
      </c>
      <c r="D371" s="86" t="str">
        <f t="shared" ca="1" si="82"/>
        <v>DAHF</v>
      </c>
      <c r="E371" s="86">
        <f t="shared" ca="1" si="83"/>
        <v>2</v>
      </c>
    </row>
    <row r="372" spans="1:8" ht="14.25" x14ac:dyDescent="0.45">
      <c r="A372" s="86">
        <f ca="1"/>
        <v>7</v>
      </c>
      <c r="B372" s="86" t="str">
        <f ca="1"/>
        <v>A145</v>
      </c>
      <c r="C372" s="86" t="str">
        <f t="shared" ca="1" si="81"/>
        <v>ABDULLAH A P</v>
      </c>
      <c r="D372" s="86" t="str">
        <f t="shared" ca="1" si="82"/>
        <v>BADF</v>
      </c>
      <c r="E372" s="86">
        <f t="shared" ca="1" si="83"/>
        <v>2</v>
      </c>
    </row>
    <row r="373" spans="1:8" ht="14.25" x14ac:dyDescent="0.45">
      <c r="A373" s="86">
        <f ca="1"/>
        <v>8</v>
      </c>
      <c r="B373" s="86" t="str">
        <f ca="1"/>
        <v>A148</v>
      </c>
      <c r="C373" s="86" t="str">
        <f t="shared" ca="1" si="81"/>
        <v>AYAAN ABOOBAKAR</v>
      </c>
      <c r="D373" s="86" t="str">
        <f t="shared" ca="1" si="82"/>
        <v>BADF</v>
      </c>
      <c r="E373" s="86">
        <f t="shared" ca="1" si="83"/>
        <v>2</v>
      </c>
    </row>
    <row r="374" spans="1:8" ht="14.25" x14ac:dyDescent="0.45">
      <c r="A374" s="86">
        <f ca="1"/>
        <v>9</v>
      </c>
      <c r="B374" s="86" t="str">
        <f ca="1"/>
        <v>A173</v>
      </c>
      <c r="C374" s="86" t="str">
        <f t="shared" ca="1" si="81"/>
        <v>SHAHUL HAMEED B.I</v>
      </c>
      <c r="D374" s="86" t="str">
        <f t="shared" ca="1" si="82"/>
        <v>BADF</v>
      </c>
      <c r="E374" s="86">
        <f t="shared" ca="1" si="83"/>
        <v>2</v>
      </c>
    </row>
    <row r="375" spans="1:8" ht="14.25" x14ac:dyDescent="0.45">
      <c r="A375" s="86">
        <f ca="1"/>
        <v>10</v>
      </c>
      <c r="B375" s="86" t="str">
        <f ca="1"/>
        <v>A141</v>
      </c>
      <c r="C375" s="86" t="str">
        <f t="shared" ca="1" si="81"/>
        <v>MUHAMMED SHUHAIR</v>
      </c>
      <c r="D375" s="86" t="str">
        <f t="shared" ca="1" si="82"/>
        <v>JARF</v>
      </c>
      <c r="E375" s="86">
        <f t="shared" ca="1" si="83"/>
        <v>2</v>
      </c>
    </row>
    <row r="376" spans="1:8" ht="14.25" x14ac:dyDescent="0.45">
      <c r="A376" s="86">
        <f ca="1"/>
        <v>11</v>
      </c>
      <c r="B376" s="86" t="str">
        <f ca="1"/>
        <v>A144</v>
      </c>
      <c r="C376" s="86" t="str">
        <f t="shared" ca="1" si="81"/>
        <v>ABDULLA</v>
      </c>
      <c r="D376" s="86" t="str">
        <f t="shared" ca="1" si="82"/>
        <v>JARF</v>
      </c>
      <c r="E376" s="86">
        <f t="shared" ca="1" si="83"/>
        <v>2</v>
      </c>
    </row>
    <row r="377" spans="1:8" ht="14.25" x14ac:dyDescent="0.45">
      <c r="A377" s="86">
        <f ca="1"/>
        <v>12</v>
      </c>
      <c r="B377" s="86" t="str">
        <f ca="1"/>
        <v>A149</v>
      </c>
      <c r="C377" s="86" t="str">
        <f t="shared" ca="1" si="81"/>
        <v>FADIL AMEEN ABDULLA</v>
      </c>
      <c r="D377" s="86" t="str">
        <f t="shared" ca="1" si="82"/>
        <v>JARF</v>
      </c>
      <c r="E377" s="86">
        <f t="shared" ca="1" si="83"/>
        <v>2</v>
      </c>
    </row>
    <row r="378" spans="1:8" ht="14.25" x14ac:dyDescent="0.45">
      <c r="A378" s="84" t="s">
        <v>151</v>
      </c>
      <c r="B378" s="84" t="str">
        <f>VLOOKUP("SJ29",f_detailsof_programs,2,FALSE)</f>
        <v>READING MLM</v>
      </c>
      <c r="C378" s="84"/>
      <c r="D378" s="84" t="s">
        <v>688</v>
      </c>
      <c r="E378" s="84" t="s">
        <v>485</v>
      </c>
      <c r="F378" s="84"/>
      <c r="G378" s="84"/>
      <c r="H378" s="84"/>
    </row>
    <row r="379" spans="1:8" ht="14.25" x14ac:dyDescent="0.45">
      <c r="A379" s="85" t="s">
        <v>16</v>
      </c>
      <c r="B379" s="85" t="s">
        <v>480</v>
      </c>
      <c r="C379" s="85" t="s">
        <v>18</v>
      </c>
      <c r="D379" s="85" t="s">
        <v>481</v>
      </c>
      <c r="E379" s="85" t="s">
        <v>19</v>
      </c>
      <c r="F379" s="85" t="s">
        <v>482</v>
      </c>
      <c r="G379" s="85" t="s">
        <v>483</v>
      </c>
      <c r="H379" s="85" t="s">
        <v>484</v>
      </c>
    </row>
    <row r="380" spans="1:8" ht="14.25" x14ac:dyDescent="0.45">
      <c r="A380" s="86" cm="1">
        <f t="array" aca="1" ref="A380:A391" ca="1">_xlfn.SEQUENCE(COUNTA(_xlfn.LET(_xlpm.trimmed,OFFSET(f_listof_program_candidates,MATCH("SJ29",f_listof_program_codes,0)-1,6,1,),TRANSPOSE(_xlfn._xlws.FILTER(OFFSET(_xlpm.trimmed,0,0,,COUNTA(_xlpm.trimmed)-5),OFFSET(_xlpm.trimmed,0,0,,COUNTA(_xlpm.trimmed)-5)&lt;&gt;0)))))</f>
        <v>1</v>
      </c>
      <c r="B380" s="86" t="str" cm="1">
        <f t="array" aca="1" ref="B380:B391" ca="1">_xlfn.LET(_xlpm.trimmed,OFFSET(f_listof_program_candidates,MATCH("SJ29",f_listof_program_codes,0)-1,6,1,),TRANSPOSE(_xlfn._xlws.FILTER(OFFSET(_xlpm.trimmed,0,0,,COUNTA(_xlpm.trimmed)-5),OFFSET(_xlpm.trimmed,0,0,,COUNTA(_xlpm.trimmed)-5)&lt;&gt;0)))</f>
        <v>A111</v>
      </c>
      <c r="C380" s="86" t="str">
        <f t="shared" ref="C380:C391" ca="1" si="84">VLOOKUP(B380,f_detailsof_candidates,2,FALSE)</f>
        <v>HUSSAIN MUHAVIZ B A</v>
      </c>
      <c r="D380" s="86" t="str">
        <f t="shared" ref="D380:D391" ca="1" si="85">VLOOKUP(B380,f_detailsof_candidates,3,FALSE)</f>
        <v>FANT</v>
      </c>
      <c r="E380" s="86">
        <f t="shared" ref="E380:E391" ca="1" si="86">VLOOKUP(B380,f_detailsof_candidates,5,FALSE)</f>
        <v>1</v>
      </c>
    </row>
    <row r="381" spans="1:8" ht="14.25" x14ac:dyDescent="0.45">
      <c r="A381" s="86">
        <f ca="1"/>
        <v>2</v>
      </c>
      <c r="B381" s="86" t="str">
        <f ca="1"/>
        <v>A122</v>
      </c>
      <c r="C381" s="86" t="str">
        <f t="shared" ca="1" si="84"/>
        <v>MOHAMMAD K A</v>
      </c>
      <c r="D381" s="86" t="str">
        <f t="shared" ca="1" si="85"/>
        <v>FANT</v>
      </c>
      <c r="E381" s="86">
        <f t="shared" ca="1" si="86"/>
        <v>1</v>
      </c>
    </row>
    <row r="382" spans="1:8" ht="14.25" x14ac:dyDescent="0.45">
      <c r="A382" s="86">
        <f ca="1"/>
        <v>3</v>
      </c>
      <c r="B382" s="86" t="str">
        <f ca="1"/>
        <v>A169</v>
      </c>
      <c r="C382" s="86" t="str">
        <f t="shared" ca="1" si="84"/>
        <v>NAZWAN MOHAMMED</v>
      </c>
      <c r="D382" s="86" t="str">
        <f t="shared" ca="1" si="85"/>
        <v>FANT</v>
      </c>
      <c r="E382" s="86">
        <f t="shared" ca="1" si="86"/>
        <v>2</v>
      </c>
    </row>
    <row r="383" spans="1:8" ht="14.25" x14ac:dyDescent="0.45">
      <c r="A383" s="86">
        <f ca="1"/>
        <v>4</v>
      </c>
      <c r="B383" s="86" t="str">
        <f ca="1"/>
        <v>A112</v>
      </c>
      <c r="C383" s="86" t="str">
        <f t="shared" ca="1" si="84"/>
        <v>HILAL ABDULLA C H</v>
      </c>
      <c r="D383" s="86" t="str">
        <f t="shared" ca="1" si="85"/>
        <v>DAHF</v>
      </c>
      <c r="E383" s="86">
        <f t="shared" ca="1" si="86"/>
        <v>1</v>
      </c>
    </row>
    <row r="384" spans="1:8" ht="14.25" x14ac:dyDescent="0.45">
      <c r="A384" s="86">
        <f ca="1"/>
        <v>5</v>
      </c>
      <c r="B384" s="86" t="str">
        <f ca="1"/>
        <v>A125</v>
      </c>
      <c r="C384" s="86" t="str">
        <f t="shared" ca="1" si="84"/>
        <v>MUHAMMED RAZI A T</v>
      </c>
      <c r="D384" s="86" t="str">
        <f t="shared" ca="1" si="85"/>
        <v>DAHF</v>
      </c>
      <c r="E384" s="86">
        <f t="shared" ca="1" si="86"/>
        <v>1</v>
      </c>
    </row>
    <row r="385" spans="1:8" ht="14.25" x14ac:dyDescent="0.45">
      <c r="A385" s="86">
        <f ca="1"/>
        <v>6</v>
      </c>
      <c r="B385" s="86" t="str">
        <f ca="1"/>
        <v>A174</v>
      </c>
      <c r="C385" s="86" t="str">
        <f t="shared" ca="1" si="84"/>
        <v>THUFAIL</v>
      </c>
      <c r="D385" s="86" t="str">
        <f t="shared" ca="1" si="85"/>
        <v>DAHF</v>
      </c>
      <c r="E385" s="86">
        <f t="shared" ca="1" si="86"/>
        <v>2</v>
      </c>
    </row>
    <row r="386" spans="1:8" ht="14.25" x14ac:dyDescent="0.45">
      <c r="A386" s="86">
        <f ca="1"/>
        <v>7</v>
      </c>
      <c r="B386" s="86" t="str">
        <f ca="1"/>
        <v>A106</v>
      </c>
      <c r="C386" s="86" t="str">
        <f t="shared" ca="1" si="84"/>
        <v>Abdul Khader Uvais K A</v>
      </c>
      <c r="D386" s="86" t="str">
        <f t="shared" ca="1" si="85"/>
        <v>BADF</v>
      </c>
      <c r="E386" s="86">
        <f t="shared" ca="1" si="86"/>
        <v>1</v>
      </c>
    </row>
    <row r="387" spans="1:8" ht="14.25" x14ac:dyDescent="0.45">
      <c r="A387" s="86">
        <f ca="1"/>
        <v>8</v>
      </c>
      <c r="B387" s="86" t="str">
        <f ca="1"/>
        <v>A114</v>
      </c>
      <c r="C387" s="86" t="str">
        <f t="shared" ca="1" si="84"/>
        <v>MUHAMMED SHAHID K A</v>
      </c>
      <c r="D387" s="86" t="str">
        <f t="shared" ca="1" si="85"/>
        <v>BADF</v>
      </c>
      <c r="E387" s="86">
        <f t="shared" ca="1" si="86"/>
        <v>1</v>
      </c>
    </row>
    <row r="388" spans="1:8" ht="14.25" x14ac:dyDescent="0.45">
      <c r="A388" s="86">
        <f ca="1"/>
        <v>9</v>
      </c>
      <c r="B388" s="86" t="str">
        <f ca="1"/>
        <v>A152</v>
      </c>
      <c r="C388" s="86" t="str">
        <f t="shared" ca="1" si="84"/>
        <v>MOHAMMED QUBAIB A H</v>
      </c>
      <c r="D388" s="86" t="str">
        <f t="shared" ca="1" si="85"/>
        <v>BADF</v>
      </c>
      <c r="E388" s="86">
        <f t="shared" ca="1" si="86"/>
        <v>2</v>
      </c>
    </row>
    <row r="389" spans="1:8" ht="14.25" x14ac:dyDescent="0.45">
      <c r="A389" s="86">
        <f ca="1"/>
        <v>10</v>
      </c>
      <c r="B389" s="86" t="str">
        <f ca="1"/>
        <v>A141</v>
      </c>
      <c r="C389" s="86" t="str">
        <f t="shared" ca="1" si="84"/>
        <v>MUHAMMED SHUHAIR</v>
      </c>
      <c r="D389" s="86" t="str">
        <f t="shared" ca="1" si="85"/>
        <v>JARF</v>
      </c>
      <c r="E389" s="86">
        <f t="shared" ca="1" si="86"/>
        <v>2</v>
      </c>
    </row>
    <row r="390" spans="1:8" ht="14.25" x14ac:dyDescent="0.45">
      <c r="A390" s="86">
        <f ca="1"/>
        <v>11</v>
      </c>
      <c r="B390" s="86" t="str">
        <f ca="1"/>
        <v>A159</v>
      </c>
      <c r="C390" s="86" t="str">
        <f t="shared" ca="1" si="84"/>
        <v>MUHAMMED ASHIR M</v>
      </c>
      <c r="D390" s="86" t="str">
        <f t="shared" ca="1" si="85"/>
        <v>JARF</v>
      </c>
      <c r="E390" s="86">
        <f t="shared" ca="1" si="86"/>
        <v>2</v>
      </c>
    </row>
    <row r="391" spans="1:8" ht="14.25" x14ac:dyDescent="0.45">
      <c r="A391" s="86">
        <f ca="1"/>
        <v>12</v>
      </c>
      <c r="B391" s="86" t="str">
        <f ca="1"/>
        <v>A168</v>
      </c>
      <c r="C391" s="86" t="str">
        <f t="shared" ca="1" si="84"/>
        <v>Muhammed Sinan D A</v>
      </c>
      <c r="D391" s="86" t="str">
        <f t="shared" ca="1" si="85"/>
        <v>JARF</v>
      </c>
      <c r="E391" s="86">
        <f t="shared" ca="1" si="86"/>
        <v>2</v>
      </c>
    </row>
    <row r="392" spans="1:8" ht="14.25" x14ac:dyDescent="0.45">
      <c r="A392" s="84" t="s">
        <v>153</v>
      </c>
      <c r="B392" s="84" t="str">
        <f>VLOOKUP("SJ30",f_detailsof_programs,2,FALSE)</f>
        <v>READING URD</v>
      </c>
      <c r="C392" s="84"/>
      <c r="D392" s="84" t="s">
        <v>688</v>
      </c>
      <c r="E392" s="84" t="s">
        <v>485</v>
      </c>
      <c r="F392" s="84"/>
      <c r="G392" s="84"/>
      <c r="H392" s="84"/>
    </row>
    <row r="393" spans="1:8" ht="14.25" x14ac:dyDescent="0.45">
      <c r="A393" s="85" t="s">
        <v>16</v>
      </c>
      <c r="B393" s="85" t="s">
        <v>480</v>
      </c>
      <c r="C393" s="85" t="s">
        <v>18</v>
      </c>
      <c r="D393" s="85" t="s">
        <v>481</v>
      </c>
      <c r="E393" s="85" t="s">
        <v>19</v>
      </c>
      <c r="F393" s="85" t="s">
        <v>482</v>
      </c>
      <c r="G393" s="85" t="s">
        <v>483</v>
      </c>
      <c r="H393" s="85" t="s">
        <v>484</v>
      </c>
    </row>
    <row r="394" spans="1:8" ht="14.25" x14ac:dyDescent="0.45">
      <c r="A394" s="86" cm="1">
        <f t="array" aca="1" ref="A394:A405" ca="1">_xlfn.SEQUENCE(COUNTA(_xlfn.LET(_xlpm.trimmed,OFFSET(f_listof_program_candidates,MATCH("SJ30",f_listof_program_codes,0)-1,6,1,),TRANSPOSE(_xlfn._xlws.FILTER(OFFSET(_xlpm.trimmed,0,0,,COUNTA(_xlpm.trimmed)-5),OFFSET(_xlpm.trimmed,0,0,,COUNTA(_xlpm.trimmed)-5)&lt;&gt;0)))))</f>
        <v>1</v>
      </c>
      <c r="B394" s="86" t="str" cm="1">
        <f t="array" aca="1" ref="B394:B405" ca="1">_xlfn.LET(_xlpm.trimmed,OFFSET(f_listof_program_candidates,MATCH("SJ30",f_listof_program_codes,0)-1,6,1,),TRANSPOSE(_xlfn._xlws.FILTER(OFFSET(_xlpm.trimmed,0,0,,COUNTA(_xlpm.trimmed)-5),OFFSET(_xlpm.trimmed,0,0,,COUNTA(_xlpm.trimmed)-5)&lt;&gt;0)))</f>
        <v>A100</v>
      </c>
      <c r="C394" s="86" t="str">
        <f t="shared" ref="C394:C405" ca="1" si="87">VLOOKUP(B394,f_detailsof_candidates,2,FALSE)</f>
        <v>ADINAN ABOOBACKER K</v>
      </c>
      <c r="D394" s="86" t="str">
        <f t="shared" ref="D394:D405" ca="1" si="88">VLOOKUP(B394,f_detailsof_candidates,3,FALSE)</f>
        <v>FANT</v>
      </c>
      <c r="E394" s="86">
        <f t="shared" ref="E394:E405" ca="1" si="89">VLOOKUP(B394,f_detailsof_candidates,5,FALSE)</f>
        <v>1</v>
      </c>
    </row>
    <row r="395" spans="1:8" ht="14.25" x14ac:dyDescent="0.45">
      <c r="A395" s="86">
        <f ca="1"/>
        <v>2</v>
      </c>
      <c r="B395" s="86" t="str">
        <f ca="1"/>
        <v>A139</v>
      </c>
      <c r="C395" s="86" t="str">
        <f t="shared" ca="1" si="87"/>
        <v>MUHAMMED MOIDEEN KUNHI</v>
      </c>
      <c r="D395" s="86" t="str">
        <f t="shared" ca="1" si="88"/>
        <v>FANT</v>
      </c>
      <c r="E395" s="86">
        <f t="shared" ca="1" si="89"/>
        <v>1</v>
      </c>
    </row>
    <row r="396" spans="1:8" ht="14.25" x14ac:dyDescent="0.45">
      <c r="A396" s="86">
        <f ca="1"/>
        <v>3</v>
      </c>
      <c r="B396" s="86" t="str">
        <f ca="1"/>
        <v>A151</v>
      </c>
      <c r="C396" s="86" t="str">
        <f t="shared" ca="1" si="87"/>
        <v>Mohammad Yaseen</v>
      </c>
      <c r="D396" s="86" t="str">
        <f t="shared" ca="1" si="88"/>
        <v>FANT</v>
      </c>
      <c r="E396" s="86">
        <f t="shared" ca="1" si="89"/>
        <v>2</v>
      </c>
    </row>
    <row r="397" spans="1:8" ht="14.25" x14ac:dyDescent="0.45">
      <c r="A397" s="86">
        <f ca="1"/>
        <v>4</v>
      </c>
      <c r="B397" s="86" t="str">
        <f ca="1"/>
        <v>A115</v>
      </c>
      <c r="C397" s="86" t="str">
        <f t="shared" ca="1" si="87"/>
        <v>K MUHAMMAD JALAL</v>
      </c>
      <c r="D397" s="86" t="str">
        <f t="shared" ca="1" si="88"/>
        <v>DAHF</v>
      </c>
      <c r="E397" s="86">
        <f t="shared" ca="1" si="89"/>
        <v>1</v>
      </c>
    </row>
    <row r="398" spans="1:8" ht="14.25" x14ac:dyDescent="0.45">
      <c r="A398" s="86">
        <f ca="1"/>
        <v>5</v>
      </c>
      <c r="B398" s="86" t="str">
        <f ca="1"/>
        <v>A164</v>
      </c>
      <c r="C398" s="86" t="str">
        <f t="shared" ca="1" si="87"/>
        <v>MUHAMMED MICDAD RAMEES A H</v>
      </c>
      <c r="D398" s="86" t="str">
        <f t="shared" ca="1" si="88"/>
        <v>DAHF</v>
      </c>
      <c r="E398" s="86">
        <f t="shared" ca="1" si="89"/>
        <v>2</v>
      </c>
    </row>
    <row r="399" spans="1:8" ht="14.25" x14ac:dyDescent="0.45">
      <c r="A399" s="86">
        <f ca="1"/>
        <v>6</v>
      </c>
      <c r="B399" s="86" t="str">
        <f ca="1"/>
        <v>A172</v>
      </c>
      <c r="C399" s="86" t="str">
        <f t="shared" ca="1" si="87"/>
        <v>SAYYED MUHAMMED ABOOBACKER</v>
      </c>
      <c r="D399" s="86" t="str">
        <f t="shared" ca="1" si="88"/>
        <v>DAHF</v>
      </c>
      <c r="E399" s="86">
        <f t="shared" ca="1" si="89"/>
        <v>2</v>
      </c>
    </row>
    <row r="400" spans="1:8" ht="14.25" x14ac:dyDescent="0.45">
      <c r="A400" s="86">
        <f ca="1"/>
        <v>7</v>
      </c>
      <c r="B400" s="86" t="str">
        <f ca="1"/>
        <v>A135</v>
      </c>
      <c r="C400" s="86" t="str">
        <f t="shared" ca="1" si="87"/>
        <v>MOHAMMED RAFAN A</v>
      </c>
      <c r="D400" s="86" t="str">
        <f t="shared" ca="1" si="88"/>
        <v>BADF</v>
      </c>
      <c r="E400" s="86">
        <f t="shared" ca="1" si="89"/>
        <v>1</v>
      </c>
    </row>
    <row r="401" spans="1:8" ht="14.25" x14ac:dyDescent="0.45">
      <c r="A401" s="86">
        <f ca="1"/>
        <v>8</v>
      </c>
      <c r="B401" s="86" t="str">
        <f ca="1"/>
        <v>A145</v>
      </c>
      <c r="C401" s="86" t="str">
        <f t="shared" ca="1" si="87"/>
        <v>ABDULLAH A P</v>
      </c>
      <c r="D401" s="86" t="str">
        <f t="shared" ca="1" si="88"/>
        <v>BADF</v>
      </c>
      <c r="E401" s="86">
        <f t="shared" ca="1" si="89"/>
        <v>2</v>
      </c>
    </row>
    <row r="402" spans="1:8" ht="14.25" x14ac:dyDescent="0.45">
      <c r="A402" s="86">
        <f ca="1"/>
        <v>9</v>
      </c>
      <c r="B402" s="86" t="str">
        <f ca="1"/>
        <v>A148</v>
      </c>
      <c r="C402" s="86" t="str">
        <f t="shared" ca="1" si="87"/>
        <v>AYAAN ABOOBAKAR</v>
      </c>
      <c r="D402" s="86" t="str">
        <f t="shared" ca="1" si="88"/>
        <v>BADF</v>
      </c>
      <c r="E402" s="86">
        <f t="shared" ca="1" si="89"/>
        <v>2</v>
      </c>
    </row>
    <row r="403" spans="1:8" ht="14.25" x14ac:dyDescent="0.45">
      <c r="A403" s="86">
        <f ca="1"/>
        <v>10</v>
      </c>
      <c r="B403" s="86" t="str">
        <f ca="1"/>
        <v>A123</v>
      </c>
      <c r="C403" s="86" t="str">
        <f t="shared" ca="1" si="87"/>
        <v>IBRAHIM KALEEL</v>
      </c>
      <c r="D403" s="86" t="str">
        <f t="shared" ca="1" si="88"/>
        <v>JARF</v>
      </c>
      <c r="E403" s="86">
        <f t="shared" ca="1" si="89"/>
        <v>1</v>
      </c>
    </row>
    <row r="404" spans="1:8" ht="14.25" x14ac:dyDescent="0.45">
      <c r="A404" s="86">
        <f ca="1"/>
        <v>11</v>
      </c>
      <c r="B404" s="86" t="str">
        <f ca="1"/>
        <v>A141</v>
      </c>
      <c r="C404" s="86" t="str">
        <f t="shared" ca="1" si="87"/>
        <v>MUHAMMED SHUHAIR</v>
      </c>
      <c r="D404" s="86" t="str">
        <f t="shared" ca="1" si="88"/>
        <v>JARF</v>
      </c>
      <c r="E404" s="86">
        <f t="shared" ca="1" si="89"/>
        <v>2</v>
      </c>
    </row>
    <row r="405" spans="1:8" ht="14.25" x14ac:dyDescent="0.45">
      <c r="A405" s="86">
        <f ca="1"/>
        <v>12</v>
      </c>
      <c r="B405" s="86" t="str">
        <f ca="1"/>
        <v>A144</v>
      </c>
      <c r="C405" s="86" t="str">
        <f t="shared" ca="1" si="87"/>
        <v>ABDULLA</v>
      </c>
      <c r="D405" s="86" t="str">
        <f t="shared" ca="1" si="88"/>
        <v>JARF</v>
      </c>
      <c r="E405" s="86">
        <f t="shared" ca="1" si="89"/>
        <v>2</v>
      </c>
    </row>
    <row r="406" spans="1:8" ht="14.25" x14ac:dyDescent="0.45">
      <c r="A406" s="84" t="s">
        <v>155</v>
      </c>
      <c r="B406" s="84" t="str">
        <f>VLOOKUP("SJ31",f_detailsof_programs,2,FALSE)</f>
        <v>SONG ARB</v>
      </c>
      <c r="C406" s="84"/>
      <c r="D406" s="84" t="s">
        <v>688</v>
      </c>
      <c r="E406" s="84" t="s">
        <v>485</v>
      </c>
      <c r="F406" s="84"/>
      <c r="G406" s="84"/>
      <c r="H406" s="84"/>
    </row>
    <row r="407" spans="1:8" ht="14.25" x14ac:dyDescent="0.45">
      <c r="A407" s="85" t="s">
        <v>16</v>
      </c>
      <c r="B407" s="85" t="s">
        <v>480</v>
      </c>
      <c r="C407" s="85" t="s">
        <v>18</v>
      </c>
      <c r="D407" s="85" t="s">
        <v>481</v>
      </c>
      <c r="E407" s="85" t="s">
        <v>19</v>
      </c>
      <c r="F407" s="85" t="s">
        <v>482</v>
      </c>
      <c r="G407" s="85" t="s">
        <v>483</v>
      </c>
      <c r="H407" s="85" t="s">
        <v>484</v>
      </c>
    </row>
    <row r="408" spans="1:8" ht="14.25" x14ac:dyDescent="0.45">
      <c r="A408" s="86" cm="1">
        <f t="array" aca="1" ref="A408:A419" ca="1">_xlfn.SEQUENCE(COUNTA(_xlfn.LET(_xlpm.trimmed,OFFSET(f_listof_program_candidates,MATCH("SJ31",f_listof_program_codes,0)-1,6,1,),TRANSPOSE(_xlfn._xlws.FILTER(OFFSET(_xlpm.trimmed,0,0,,COUNTA(_xlpm.trimmed)-5),OFFSET(_xlpm.trimmed,0,0,,COUNTA(_xlpm.trimmed)-5)&lt;&gt;0)))))</f>
        <v>1</v>
      </c>
      <c r="B408" s="86" t="str" cm="1">
        <f t="array" aca="1" ref="B408:B419" ca="1">_xlfn.LET(_xlpm.trimmed,OFFSET(f_listof_program_candidates,MATCH("SJ31",f_listof_program_codes,0)-1,6,1,),TRANSPOSE(_xlfn._xlws.FILTER(OFFSET(_xlpm.trimmed,0,0,,COUNTA(_xlpm.trimmed)-5),OFFSET(_xlpm.trimmed,0,0,,COUNTA(_xlpm.trimmed)-5)&lt;&gt;0)))</f>
        <v>A110</v>
      </c>
      <c r="C408" s="86" t="str">
        <f t="shared" ref="C408:C419" ca="1" si="90">VLOOKUP(B408,f_detailsof_candidates,2,FALSE)</f>
        <v>Muhammed Hisham K M</v>
      </c>
      <c r="D408" s="86" t="str">
        <f t="shared" ref="D408:D419" ca="1" si="91">VLOOKUP(B408,f_detailsof_candidates,3,FALSE)</f>
        <v>FANT</v>
      </c>
      <c r="E408" s="86">
        <f t="shared" ref="E408:E419" ca="1" si="92">VLOOKUP(B408,f_detailsof_candidates,5,FALSE)</f>
        <v>1</v>
      </c>
    </row>
    <row r="409" spans="1:8" ht="14.25" x14ac:dyDescent="0.45">
      <c r="A409" s="86">
        <f ca="1"/>
        <v>2</v>
      </c>
      <c r="B409" s="86" t="str">
        <f ca="1"/>
        <v>A139</v>
      </c>
      <c r="C409" s="86" t="str">
        <f t="shared" ca="1" si="90"/>
        <v>MUHAMMED MOIDEEN KUNHI</v>
      </c>
      <c r="D409" s="86" t="str">
        <f t="shared" ca="1" si="91"/>
        <v>FANT</v>
      </c>
      <c r="E409" s="86">
        <f t="shared" ca="1" si="92"/>
        <v>1</v>
      </c>
    </row>
    <row r="410" spans="1:8" ht="14.25" x14ac:dyDescent="0.45">
      <c r="A410" s="86">
        <f ca="1"/>
        <v>3</v>
      </c>
      <c r="B410" s="86" t="str">
        <f ca="1"/>
        <v>A151</v>
      </c>
      <c r="C410" s="86" t="str">
        <f t="shared" ca="1" si="90"/>
        <v>Mohammad Yaseen</v>
      </c>
      <c r="D410" s="86" t="str">
        <f t="shared" ca="1" si="91"/>
        <v>FANT</v>
      </c>
      <c r="E410" s="86">
        <f t="shared" ca="1" si="92"/>
        <v>2</v>
      </c>
    </row>
    <row r="411" spans="1:8" ht="14.25" x14ac:dyDescent="0.45">
      <c r="A411" s="86">
        <f ca="1"/>
        <v>4</v>
      </c>
      <c r="B411" s="86" t="str">
        <f ca="1"/>
        <v>A115</v>
      </c>
      <c r="C411" s="86" t="str">
        <f t="shared" ca="1" si="90"/>
        <v>K MUHAMMAD JALAL</v>
      </c>
      <c r="D411" s="86" t="str">
        <f t="shared" ca="1" si="91"/>
        <v>DAHF</v>
      </c>
      <c r="E411" s="86">
        <f t="shared" ca="1" si="92"/>
        <v>1</v>
      </c>
    </row>
    <row r="412" spans="1:8" ht="14.25" x14ac:dyDescent="0.45">
      <c r="A412" s="86">
        <f ca="1"/>
        <v>5</v>
      </c>
      <c r="B412" s="86" t="str">
        <f ca="1"/>
        <v>A158</v>
      </c>
      <c r="C412" s="86" t="str">
        <f t="shared" ca="1" si="90"/>
        <v>Muhammed Anas</v>
      </c>
      <c r="D412" s="86" t="str">
        <f t="shared" ca="1" si="91"/>
        <v>DAHF</v>
      </c>
      <c r="E412" s="86">
        <f t="shared" ca="1" si="92"/>
        <v>2</v>
      </c>
    </row>
    <row r="413" spans="1:8" ht="14.25" x14ac:dyDescent="0.45">
      <c r="A413" s="86">
        <f ca="1"/>
        <v>6</v>
      </c>
      <c r="B413" s="86" t="str">
        <f ca="1"/>
        <v>A174</v>
      </c>
      <c r="C413" s="86" t="str">
        <f t="shared" ca="1" si="90"/>
        <v>THUFAIL</v>
      </c>
      <c r="D413" s="86" t="str">
        <f t="shared" ca="1" si="91"/>
        <v>DAHF</v>
      </c>
      <c r="E413" s="86">
        <f t="shared" ca="1" si="92"/>
        <v>2</v>
      </c>
    </row>
    <row r="414" spans="1:8" ht="14.25" x14ac:dyDescent="0.45">
      <c r="A414" s="86">
        <f ca="1"/>
        <v>7</v>
      </c>
      <c r="B414" s="86" t="str">
        <f ca="1"/>
        <v>A108</v>
      </c>
      <c r="C414" s="86" t="str">
        <f t="shared" ca="1" si="90"/>
        <v>Mohammed Sinan N.A</v>
      </c>
      <c r="D414" s="86" t="str">
        <f t="shared" ca="1" si="91"/>
        <v>BADF</v>
      </c>
      <c r="E414" s="86">
        <f t="shared" ca="1" si="92"/>
        <v>1</v>
      </c>
    </row>
    <row r="415" spans="1:8" ht="14.25" x14ac:dyDescent="0.45">
      <c r="A415" s="86">
        <f ca="1"/>
        <v>8</v>
      </c>
      <c r="B415" s="86" t="str">
        <f ca="1"/>
        <v>A142</v>
      </c>
      <c r="C415" s="86" t="str">
        <f t="shared" ca="1" si="90"/>
        <v>Muhammed Anshad A</v>
      </c>
      <c r="D415" s="86" t="str">
        <f t="shared" ca="1" si="91"/>
        <v>BADF</v>
      </c>
      <c r="E415" s="86">
        <f t="shared" ca="1" si="92"/>
        <v>2</v>
      </c>
    </row>
    <row r="416" spans="1:8" ht="14.25" x14ac:dyDescent="0.45">
      <c r="A416" s="86">
        <f ca="1"/>
        <v>9</v>
      </c>
      <c r="B416" s="86" t="str">
        <f ca="1"/>
        <v>A163</v>
      </c>
      <c r="C416" s="86" t="str">
        <f t="shared" ca="1" si="90"/>
        <v>MUHAMMED LUQMAN TD</v>
      </c>
      <c r="D416" s="86" t="str">
        <f t="shared" ca="1" si="91"/>
        <v>BADF</v>
      </c>
      <c r="E416" s="86">
        <f t="shared" ca="1" si="92"/>
        <v>2</v>
      </c>
    </row>
    <row r="417" spans="1:8" ht="14.25" x14ac:dyDescent="0.45">
      <c r="A417" s="86">
        <f ca="1"/>
        <v>10</v>
      </c>
      <c r="B417" s="86" t="str">
        <f ca="1"/>
        <v>A102</v>
      </c>
      <c r="C417" s="86" t="str">
        <f t="shared" ca="1" si="90"/>
        <v>AJZAL ASHRAF OV</v>
      </c>
      <c r="D417" s="86" t="str">
        <f t="shared" ca="1" si="91"/>
        <v>JARF</v>
      </c>
      <c r="E417" s="86">
        <f t="shared" ca="1" si="92"/>
        <v>1</v>
      </c>
    </row>
    <row r="418" spans="1:8" ht="14.25" x14ac:dyDescent="0.45">
      <c r="A418" s="86">
        <f ca="1"/>
        <v>11</v>
      </c>
      <c r="B418" s="86" t="str">
        <f ca="1"/>
        <v>A121</v>
      </c>
      <c r="C418" s="86" t="str">
        <f t="shared" ca="1" si="90"/>
        <v>BEERAN MUEENUDHEEN MH</v>
      </c>
      <c r="D418" s="86" t="str">
        <f t="shared" ca="1" si="91"/>
        <v>JARF</v>
      </c>
      <c r="E418" s="86">
        <f t="shared" ca="1" si="92"/>
        <v>1</v>
      </c>
    </row>
    <row r="419" spans="1:8" ht="14.25" x14ac:dyDescent="0.45">
      <c r="A419" s="86">
        <f ca="1"/>
        <v>12</v>
      </c>
      <c r="B419" s="86" t="str">
        <f ca="1"/>
        <v>A154</v>
      </c>
      <c r="C419" s="86" t="str">
        <f t="shared" ca="1" si="90"/>
        <v>MOHAMMED WASIM SHAHAD SM</v>
      </c>
      <c r="D419" s="86" t="str">
        <f t="shared" ca="1" si="91"/>
        <v>JARF</v>
      </c>
      <c r="E419" s="86">
        <f t="shared" ca="1" si="92"/>
        <v>2</v>
      </c>
    </row>
    <row r="420" spans="1:8" ht="14.25" x14ac:dyDescent="0.45">
      <c r="A420" s="84" t="s">
        <v>157</v>
      </c>
      <c r="B420" s="84" t="str">
        <f>VLOOKUP("SJ32",f_detailsof_programs,2,FALSE)</f>
        <v>SONG MLM</v>
      </c>
      <c r="C420" s="84"/>
      <c r="D420" s="84" t="s">
        <v>688</v>
      </c>
      <c r="E420" s="84" t="s">
        <v>485</v>
      </c>
      <c r="F420" s="84"/>
      <c r="G420" s="84"/>
      <c r="H420" s="84"/>
    </row>
    <row r="421" spans="1:8" ht="14.25" x14ac:dyDescent="0.45">
      <c r="A421" s="85" t="s">
        <v>16</v>
      </c>
      <c r="B421" s="85" t="s">
        <v>480</v>
      </c>
      <c r="C421" s="85" t="s">
        <v>18</v>
      </c>
      <c r="D421" s="85" t="s">
        <v>481</v>
      </c>
      <c r="E421" s="85" t="s">
        <v>19</v>
      </c>
      <c r="F421" s="85" t="s">
        <v>482</v>
      </c>
      <c r="G421" s="85" t="s">
        <v>483</v>
      </c>
      <c r="H421" s="85" t="s">
        <v>484</v>
      </c>
    </row>
    <row r="422" spans="1:8" ht="14.25" x14ac:dyDescent="0.45">
      <c r="A422" s="86" cm="1">
        <f t="array" aca="1" ref="A422:A433" ca="1">_xlfn.SEQUENCE(COUNTA(_xlfn.LET(_xlpm.trimmed,OFFSET(f_listof_program_candidates,MATCH("SJ32",f_listof_program_codes,0)-1,6,1,),TRANSPOSE(_xlfn._xlws.FILTER(OFFSET(_xlpm.trimmed,0,0,,COUNTA(_xlpm.trimmed)-5),OFFSET(_xlpm.trimmed,0,0,,COUNTA(_xlpm.trimmed)-5)&lt;&gt;0)))))</f>
        <v>1</v>
      </c>
      <c r="B422" s="86" t="str" cm="1">
        <f t="array" aca="1" ref="B422:B433" ca="1">_xlfn.LET(_xlpm.trimmed,OFFSET(f_listof_program_candidates,MATCH("SJ32",f_listof_program_codes,0)-1,6,1,),TRANSPOSE(_xlfn._xlws.FILTER(OFFSET(_xlpm.trimmed,0,0,,COUNTA(_xlpm.trimmed)-5),OFFSET(_xlpm.trimmed,0,0,,COUNTA(_xlpm.trimmed)-5)&lt;&gt;0)))</f>
        <v>A110</v>
      </c>
      <c r="C422" s="86" t="str">
        <f t="shared" ref="C422:C433" ca="1" si="93">VLOOKUP(B422,f_detailsof_candidates,2,FALSE)</f>
        <v>Muhammed Hisham K M</v>
      </c>
      <c r="D422" s="86" t="str">
        <f t="shared" ref="D422:D433" ca="1" si="94">VLOOKUP(B422,f_detailsof_candidates,3,FALSE)</f>
        <v>FANT</v>
      </c>
      <c r="E422" s="86">
        <f t="shared" ref="E422:E433" ca="1" si="95">VLOOKUP(B422,f_detailsof_candidates,5,FALSE)</f>
        <v>1</v>
      </c>
    </row>
    <row r="423" spans="1:8" ht="14.25" x14ac:dyDescent="0.45">
      <c r="A423" s="86">
        <f ca="1"/>
        <v>2</v>
      </c>
      <c r="B423" s="86" t="str">
        <f ca="1"/>
        <v>A111</v>
      </c>
      <c r="C423" s="86" t="str">
        <f t="shared" ca="1" si="93"/>
        <v>HUSSAIN MUHAVIZ B A</v>
      </c>
      <c r="D423" s="86" t="str">
        <f t="shared" ca="1" si="94"/>
        <v>FANT</v>
      </c>
      <c r="E423" s="86">
        <f t="shared" ca="1" si="95"/>
        <v>1</v>
      </c>
    </row>
    <row r="424" spans="1:8" ht="14.25" x14ac:dyDescent="0.45">
      <c r="A424" s="86">
        <f ca="1"/>
        <v>3</v>
      </c>
      <c r="B424" s="86" t="str">
        <f ca="1"/>
        <v>A153</v>
      </c>
      <c r="C424" s="86" t="str">
        <f t="shared" ca="1" si="93"/>
        <v>MOHAMMED SAWA T A</v>
      </c>
      <c r="D424" s="86" t="str">
        <f t="shared" ca="1" si="94"/>
        <v>FANT</v>
      </c>
      <c r="E424" s="86">
        <f t="shared" ca="1" si="95"/>
        <v>2</v>
      </c>
    </row>
    <row r="425" spans="1:8" ht="14.25" x14ac:dyDescent="0.45">
      <c r="A425" s="86">
        <f ca="1"/>
        <v>4</v>
      </c>
      <c r="B425" s="86" t="str">
        <f ca="1"/>
        <v>A115</v>
      </c>
      <c r="C425" s="86" t="str">
        <f t="shared" ca="1" si="93"/>
        <v>K MUHAMMAD JALAL</v>
      </c>
      <c r="D425" s="86" t="str">
        <f t="shared" ca="1" si="94"/>
        <v>DAHF</v>
      </c>
      <c r="E425" s="86">
        <f t="shared" ca="1" si="95"/>
        <v>1</v>
      </c>
    </row>
    <row r="426" spans="1:8" ht="14.25" x14ac:dyDescent="0.45">
      <c r="A426" s="86">
        <f ca="1"/>
        <v>5</v>
      </c>
      <c r="B426" s="86" t="str">
        <f ca="1"/>
        <v>A131</v>
      </c>
      <c r="C426" s="86" t="str">
        <f t="shared" ca="1" si="93"/>
        <v>FAZIL ABDULLA</v>
      </c>
      <c r="D426" s="86" t="str">
        <f t="shared" ca="1" si="94"/>
        <v>DAHF</v>
      </c>
      <c r="E426" s="86">
        <f t="shared" ca="1" si="95"/>
        <v>1</v>
      </c>
    </row>
    <row r="427" spans="1:8" ht="14.25" x14ac:dyDescent="0.45">
      <c r="A427" s="86">
        <f ca="1"/>
        <v>6</v>
      </c>
      <c r="B427" s="86" t="str">
        <f ca="1"/>
        <v>A174</v>
      </c>
      <c r="C427" s="86" t="str">
        <f t="shared" ca="1" si="93"/>
        <v>THUFAIL</v>
      </c>
      <c r="D427" s="86" t="str">
        <f t="shared" ca="1" si="94"/>
        <v>DAHF</v>
      </c>
      <c r="E427" s="86">
        <f t="shared" ca="1" si="95"/>
        <v>2</v>
      </c>
    </row>
    <row r="428" spans="1:8" ht="14.25" x14ac:dyDescent="0.45">
      <c r="A428" s="86">
        <f ca="1"/>
        <v>7</v>
      </c>
      <c r="B428" s="86" t="str">
        <f ca="1"/>
        <v>A127</v>
      </c>
      <c r="C428" s="86" t="str">
        <f t="shared" ca="1" si="93"/>
        <v>MUHAMMED HAFEEZ P</v>
      </c>
      <c r="D428" s="86" t="str">
        <f t="shared" ca="1" si="94"/>
        <v>BADF</v>
      </c>
      <c r="E428" s="86">
        <f t="shared" ca="1" si="95"/>
        <v>1</v>
      </c>
    </row>
    <row r="429" spans="1:8" ht="14.25" x14ac:dyDescent="0.45">
      <c r="A429" s="86">
        <f ca="1"/>
        <v>8</v>
      </c>
      <c r="B429" s="86" t="str">
        <f ca="1"/>
        <v>A152</v>
      </c>
      <c r="C429" s="86" t="str">
        <f t="shared" ca="1" si="93"/>
        <v>MOHAMMED QUBAIB A H</v>
      </c>
      <c r="D429" s="86" t="str">
        <f t="shared" ca="1" si="94"/>
        <v>BADF</v>
      </c>
      <c r="E429" s="86">
        <f t="shared" ca="1" si="95"/>
        <v>2</v>
      </c>
    </row>
    <row r="430" spans="1:8" ht="14.25" x14ac:dyDescent="0.45">
      <c r="A430" s="86">
        <f ca="1"/>
        <v>9</v>
      </c>
      <c r="B430" s="86" t="str">
        <f ca="1"/>
        <v>A163</v>
      </c>
      <c r="C430" s="86" t="str">
        <f t="shared" ca="1" si="93"/>
        <v>MUHAMMED LUQMAN TD</v>
      </c>
      <c r="D430" s="86" t="str">
        <f t="shared" ca="1" si="94"/>
        <v>BADF</v>
      </c>
      <c r="E430" s="86">
        <f t="shared" ca="1" si="95"/>
        <v>2</v>
      </c>
    </row>
    <row r="431" spans="1:8" ht="14.25" x14ac:dyDescent="0.45">
      <c r="A431" s="86">
        <f ca="1"/>
        <v>10</v>
      </c>
      <c r="B431" s="86" t="str">
        <f ca="1"/>
        <v>A102</v>
      </c>
      <c r="C431" s="86" t="str">
        <f t="shared" ca="1" si="93"/>
        <v>AJZAL ASHRAF OV</v>
      </c>
      <c r="D431" s="86" t="str">
        <f t="shared" ca="1" si="94"/>
        <v>JARF</v>
      </c>
      <c r="E431" s="86">
        <f t="shared" ca="1" si="95"/>
        <v>1</v>
      </c>
    </row>
    <row r="432" spans="1:8" ht="14.25" x14ac:dyDescent="0.45">
      <c r="A432" s="86">
        <f ca="1"/>
        <v>11</v>
      </c>
      <c r="B432" s="86" t="str">
        <f ca="1"/>
        <v>A154</v>
      </c>
      <c r="C432" s="86" t="str">
        <f t="shared" ca="1" si="93"/>
        <v>MOHAMMED WASIM SHAHAD SM</v>
      </c>
      <c r="D432" s="86" t="str">
        <f t="shared" ca="1" si="94"/>
        <v>JARF</v>
      </c>
      <c r="E432" s="86">
        <f t="shared" ca="1" si="95"/>
        <v>2</v>
      </c>
    </row>
    <row r="433" spans="1:8" ht="14.25" x14ac:dyDescent="0.45">
      <c r="A433" s="86">
        <f ca="1"/>
        <v>12</v>
      </c>
      <c r="B433" s="86" t="str">
        <f ca="1"/>
        <v>A160</v>
      </c>
      <c r="C433" s="86" t="str">
        <f t="shared" ca="1" si="93"/>
        <v>MUHAMMED AYAAN</v>
      </c>
      <c r="D433" s="86" t="str">
        <f t="shared" ca="1" si="94"/>
        <v>JARF</v>
      </c>
      <c r="E433" s="86">
        <f t="shared" ca="1" si="95"/>
        <v>2</v>
      </c>
    </row>
    <row r="434" spans="1:8" ht="14.25" x14ac:dyDescent="0.45">
      <c r="A434" s="84" t="s">
        <v>159</v>
      </c>
      <c r="B434" s="84" t="str">
        <f>VLOOKUP("SJ33",f_detailsof_programs,2,FALSE)</f>
        <v>SONG URD</v>
      </c>
      <c r="C434" s="84"/>
      <c r="D434" s="84" t="s">
        <v>688</v>
      </c>
      <c r="E434" s="84" t="s">
        <v>485</v>
      </c>
      <c r="F434" s="84"/>
      <c r="G434" s="84"/>
      <c r="H434" s="84"/>
    </row>
    <row r="435" spans="1:8" ht="14.25" x14ac:dyDescent="0.45">
      <c r="A435" s="85" t="s">
        <v>16</v>
      </c>
      <c r="B435" s="85" t="s">
        <v>480</v>
      </c>
      <c r="C435" s="85" t="s">
        <v>18</v>
      </c>
      <c r="D435" s="85" t="s">
        <v>481</v>
      </c>
      <c r="E435" s="85" t="s">
        <v>19</v>
      </c>
      <c r="F435" s="85" t="s">
        <v>482</v>
      </c>
      <c r="G435" s="85" t="s">
        <v>483</v>
      </c>
      <c r="H435" s="85" t="s">
        <v>484</v>
      </c>
    </row>
    <row r="436" spans="1:8" ht="14.25" x14ac:dyDescent="0.45">
      <c r="A436" s="86" cm="1">
        <f t="array" aca="1" ref="A436:A447" ca="1">_xlfn.SEQUENCE(COUNTA(_xlfn.LET(_xlpm.trimmed,OFFSET(f_listof_program_candidates,MATCH("SJ33",f_listof_program_codes,0)-1,6,1,),TRANSPOSE(_xlfn._xlws.FILTER(OFFSET(_xlpm.trimmed,0,0,,COUNTA(_xlpm.trimmed)-5),OFFSET(_xlpm.trimmed,0,0,,COUNTA(_xlpm.trimmed)-5)&lt;&gt;0)))))</f>
        <v>1</v>
      </c>
      <c r="B436" s="86" t="str" cm="1">
        <f t="array" aca="1" ref="B436:B447" ca="1">_xlfn.LET(_xlpm.trimmed,OFFSET(f_listof_program_candidates,MATCH("SJ33",f_listof_program_codes,0)-1,6,1,),TRANSPOSE(_xlfn._xlws.FILTER(OFFSET(_xlpm.trimmed,0,0,,COUNTA(_xlpm.trimmed)-5),OFFSET(_xlpm.trimmed,0,0,,COUNTA(_xlpm.trimmed)-5)&lt;&gt;0)))</f>
        <v>A140</v>
      </c>
      <c r="C436" s="86" t="str">
        <f t="shared" ref="C436:C447" ca="1" si="96">VLOOKUP(B436,f_detailsof_candidates,2,FALSE)</f>
        <v>MUHAMMED AFLAH.MK</v>
      </c>
      <c r="D436" s="86" t="str">
        <f t="shared" ref="D436:D447" ca="1" si="97">VLOOKUP(B436,f_detailsof_candidates,3,FALSE)</f>
        <v>FANT</v>
      </c>
      <c r="E436" s="86">
        <f t="shared" ref="E436:E447" ca="1" si="98">VLOOKUP(B436,f_detailsof_candidates,5,FALSE)</f>
        <v>2</v>
      </c>
    </row>
    <row r="437" spans="1:8" ht="14.25" x14ac:dyDescent="0.45">
      <c r="A437" s="86">
        <f ca="1"/>
        <v>2</v>
      </c>
      <c r="B437" s="86" t="str">
        <f ca="1"/>
        <v>A153</v>
      </c>
      <c r="C437" s="86" t="str">
        <f t="shared" ca="1" si="96"/>
        <v>MOHAMMED SAWA T A</v>
      </c>
      <c r="D437" s="86" t="str">
        <f t="shared" ca="1" si="97"/>
        <v>FANT</v>
      </c>
      <c r="E437" s="86">
        <f t="shared" ca="1" si="98"/>
        <v>2</v>
      </c>
    </row>
    <row r="438" spans="1:8" ht="14.25" x14ac:dyDescent="0.45">
      <c r="A438" s="86">
        <f ca="1"/>
        <v>3</v>
      </c>
      <c r="B438" s="86" t="str">
        <f ca="1"/>
        <v>A122</v>
      </c>
      <c r="C438" s="86" t="str">
        <f t="shared" ca="1" si="96"/>
        <v>MOHAMMAD K A</v>
      </c>
      <c r="D438" s="86" t="str">
        <f t="shared" ca="1" si="97"/>
        <v>FANT</v>
      </c>
      <c r="E438" s="86">
        <f t="shared" ca="1" si="98"/>
        <v>1</v>
      </c>
    </row>
    <row r="439" spans="1:8" ht="14.25" x14ac:dyDescent="0.45">
      <c r="A439" s="86">
        <f ca="1"/>
        <v>4</v>
      </c>
      <c r="B439" s="86" t="str">
        <f ca="1"/>
        <v>A125</v>
      </c>
      <c r="C439" s="86" t="str">
        <f t="shared" ca="1" si="96"/>
        <v>MUHAMMED RAZI A T</v>
      </c>
      <c r="D439" s="86" t="str">
        <f t="shared" ca="1" si="97"/>
        <v>DAHF</v>
      </c>
      <c r="E439" s="86">
        <f t="shared" ca="1" si="98"/>
        <v>1</v>
      </c>
    </row>
    <row r="440" spans="1:8" ht="14.25" x14ac:dyDescent="0.45">
      <c r="A440" s="86">
        <f ca="1"/>
        <v>5</v>
      </c>
      <c r="B440" s="86" t="str">
        <f ca="1"/>
        <v>A131</v>
      </c>
      <c r="C440" s="86" t="str">
        <f t="shared" ca="1" si="96"/>
        <v>FAZIL ABDULLA</v>
      </c>
      <c r="D440" s="86" t="str">
        <f t="shared" ca="1" si="97"/>
        <v>DAHF</v>
      </c>
      <c r="E440" s="86">
        <f t="shared" ca="1" si="98"/>
        <v>1</v>
      </c>
    </row>
    <row r="441" spans="1:8" ht="14.25" x14ac:dyDescent="0.45">
      <c r="A441" s="86">
        <f ca="1"/>
        <v>6</v>
      </c>
      <c r="B441" s="86" t="str">
        <f ca="1"/>
        <v>A158</v>
      </c>
      <c r="C441" s="86" t="str">
        <f t="shared" ca="1" si="96"/>
        <v>Muhammed Anas</v>
      </c>
      <c r="D441" s="86" t="str">
        <f t="shared" ca="1" si="97"/>
        <v>DAHF</v>
      </c>
      <c r="E441" s="86">
        <f t="shared" ca="1" si="98"/>
        <v>2</v>
      </c>
    </row>
    <row r="442" spans="1:8" ht="14.25" x14ac:dyDescent="0.45">
      <c r="A442" s="86">
        <f ca="1"/>
        <v>7</v>
      </c>
      <c r="B442" s="86" t="str">
        <f ca="1"/>
        <v>A152</v>
      </c>
      <c r="C442" s="86" t="str">
        <f t="shared" ca="1" si="96"/>
        <v>MOHAMMED QUBAIB A H</v>
      </c>
      <c r="D442" s="86" t="str">
        <f t="shared" ca="1" si="97"/>
        <v>BADF</v>
      </c>
      <c r="E442" s="86">
        <f t="shared" ca="1" si="98"/>
        <v>2</v>
      </c>
    </row>
    <row r="443" spans="1:8" ht="14.25" x14ac:dyDescent="0.45">
      <c r="A443" s="86">
        <f ca="1"/>
        <v>8</v>
      </c>
      <c r="B443" s="86" t="str">
        <f ca="1"/>
        <v>A166</v>
      </c>
      <c r="C443" s="86" t="str">
        <f t="shared" ca="1" si="96"/>
        <v>Muhammed Naieem</v>
      </c>
      <c r="D443" s="86" t="str">
        <f t="shared" ca="1" si="97"/>
        <v>BADF</v>
      </c>
      <c r="E443" s="86">
        <f t="shared" ca="1" si="98"/>
        <v>2</v>
      </c>
    </row>
    <row r="444" spans="1:8" ht="14.25" x14ac:dyDescent="0.45">
      <c r="A444" s="86">
        <f ca="1"/>
        <v>9</v>
      </c>
      <c r="B444" s="86" t="str">
        <f ca="1"/>
        <v>A167</v>
      </c>
      <c r="C444" s="86" t="str">
        <f t="shared" ca="1" si="96"/>
        <v>MUHAMMED RAEES C A</v>
      </c>
      <c r="D444" s="86" t="str">
        <f t="shared" ca="1" si="97"/>
        <v>BADF</v>
      </c>
      <c r="E444" s="86">
        <f t="shared" ca="1" si="98"/>
        <v>2</v>
      </c>
    </row>
    <row r="445" spans="1:8" ht="14.25" x14ac:dyDescent="0.45">
      <c r="A445" s="86">
        <f ca="1"/>
        <v>10</v>
      </c>
      <c r="B445" s="86" t="str">
        <f ca="1"/>
        <v>A121</v>
      </c>
      <c r="C445" s="86" t="str">
        <f t="shared" ca="1" si="96"/>
        <v>BEERAN MUEENUDHEEN MH</v>
      </c>
      <c r="D445" s="86" t="str">
        <f t="shared" ca="1" si="97"/>
        <v>JARF</v>
      </c>
      <c r="E445" s="86">
        <f t="shared" ca="1" si="98"/>
        <v>1</v>
      </c>
    </row>
    <row r="446" spans="1:8" ht="14.25" x14ac:dyDescent="0.45">
      <c r="A446" s="86">
        <f ca="1"/>
        <v>11</v>
      </c>
      <c r="B446" s="86" t="str">
        <f ca="1"/>
        <v>A123</v>
      </c>
      <c r="C446" s="86" t="str">
        <f t="shared" ca="1" si="96"/>
        <v>IBRAHIM KALEEL</v>
      </c>
      <c r="D446" s="86" t="str">
        <f t="shared" ca="1" si="97"/>
        <v>JARF</v>
      </c>
      <c r="E446" s="86">
        <f t="shared" ca="1" si="98"/>
        <v>1</v>
      </c>
    </row>
    <row r="447" spans="1:8" ht="14.25" x14ac:dyDescent="0.45">
      <c r="A447" s="86">
        <f ca="1"/>
        <v>12</v>
      </c>
      <c r="B447" s="86" t="str">
        <f ca="1"/>
        <v>A144</v>
      </c>
      <c r="C447" s="86" t="str">
        <f t="shared" ca="1" si="96"/>
        <v>ABDULLA</v>
      </c>
      <c r="D447" s="86" t="str">
        <f t="shared" ca="1" si="97"/>
        <v>JARF</v>
      </c>
      <c r="E447" s="86">
        <f t="shared" ca="1" si="98"/>
        <v>2</v>
      </c>
    </row>
    <row r="448" spans="1:8" ht="14.25" x14ac:dyDescent="0.45">
      <c r="A448" s="84" t="s">
        <v>161</v>
      </c>
      <c r="B448" s="84" t="str">
        <f>VLOOKUP("SJ34",f_detailsof_programs,2,FALSE)</f>
        <v>SPEECH ARB</v>
      </c>
      <c r="C448" s="84"/>
      <c r="D448" s="84" t="s">
        <v>688</v>
      </c>
      <c r="E448" s="84" t="s">
        <v>485</v>
      </c>
      <c r="F448" s="84"/>
      <c r="G448" s="84"/>
      <c r="H448" s="84"/>
    </row>
    <row r="449" spans="1:8" ht="14.25" x14ac:dyDescent="0.45">
      <c r="A449" s="85" t="s">
        <v>16</v>
      </c>
      <c r="B449" s="85" t="s">
        <v>480</v>
      </c>
      <c r="C449" s="85" t="s">
        <v>18</v>
      </c>
      <c r="D449" s="85" t="s">
        <v>481</v>
      </c>
      <c r="E449" s="85" t="s">
        <v>19</v>
      </c>
      <c r="F449" s="85" t="s">
        <v>482</v>
      </c>
      <c r="G449" s="85" t="s">
        <v>483</v>
      </c>
      <c r="H449" s="85" t="s">
        <v>484</v>
      </c>
    </row>
    <row r="450" spans="1:8" ht="14.25" x14ac:dyDescent="0.45">
      <c r="A450" s="86" cm="1">
        <f t="array" aca="1" ref="A450:A461" ca="1">_xlfn.SEQUENCE(COUNTA(_xlfn.LET(_xlpm.trimmed,OFFSET(f_listof_program_candidates,MATCH("SJ34",f_listof_program_codes,0)-1,6,1,),TRANSPOSE(_xlfn._xlws.FILTER(OFFSET(_xlpm.trimmed,0,0,,COUNTA(_xlpm.trimmed)-5),OFFSET(_xlpm.trimmed,0,0,,COUNTA(_xlpm.trimmed)-5)&lt;&gt;0)))))</f>
        <v>1</v>
      </c>
      <c r="B450" s="86" t="str" cm="1">
        <f t="array" aca="1" ref="B450:B461" ca="1">_xlfn.LET(_xlpm.trimmed,OFFSET(f_listof_program_candidates,MATCH("SJ34",f_listof_program_codes,0)-1,6,1,),TRANSPOSE(_xlfn._xlws.FILTER(OFFSET(_xlpm.trimmed,0,0,,COUNTA(_xlpm.trimmed)-5),OFFSET(_xlpm.trimmed,0,0,,COUNTA(_xlpm.trimmed)-5)&lt;&gt;0)))</f>
        <v>A157</v>
      </c>
      <c r="C450" s="86" t="str">
        <f t="shared" ref="C450:C461" ca="1" si="99">VLOOKUP(B450,f_detailsof_candidates,2,FALSE)</f>
        <v>MUHAMMED ADNAN K.A</v>
      </c>
      <c r="D450" s="86" t="str">
        <f t="shared" ref="D450:D461" ca="1" si="100">VLOOKUP(B450,f_detailsof_candidates,3,FALSE)</f>
        <v>FANT</v>
      </c>
      <c r="E450" s="86">
        <f t="shared" ref="E450:E461" ca="1" si="101">VLOOKUP(B450,f_detailsof_candidates,5,FALSE)</f>
        <v>2</v>
      </c>
    </row>
    <row r="451" spans="1:8" ht="14.25" x14ac:dyDescent="0.45">
      <c r="A451" s="86">
        <f ca="1"/>
        <v>2</v>
      </c>
      <c r="B451" s="86" t="str">
        <f ca="1"/>
        <v>A161</v>
      </c>
      <c r="C451" s="86" t="str">
        <f t="shared" ca="1" si="99"/>
        <v>MUHAMMED FAHAD</v>
      </c>
      <c r="D451" s="86" t="str">
        <f t="shared" ca="1" si="100"/>
        <v>FANT</v>
      </c>
      <c r="E451" s="86">
        <f t="shared" ca="1" si="101"/>
        <v>2</v>
      </c>
    </row>
    <row r="452" spans="1:8" ht="14.25" x14ac:dyDescent="0.45">
      <c r="A452" s="86">
        <f ca="1"/>
        <v>3</v>
      </c>
      <c r="B452" s="86" t="str">
        <f ca="1"/>
        <v>A162</v>
      </c>
      <c r="C452" s="86" t="str">
        <f t="shared" ca="1" si="99"/>
        <v>MUHAMMED FAREED A S</v>
      </c>
      <c r="D452" s="86" t="str">
        <f t="shared" ca="1" si="100"/>
        <v>FANT</v>
      </c>
      <c r="E452" s="86">
        <f t="shared" ca="1" si="101"/>
        <v>2</v>
      </c>
    </row>
    <row r="453" spans="1:8" ht="14.25" x14ac:dyDescent="0.45">
      <c r="A453" s="86">
        <f ca="1"/>
        <v>4</v>
      </c>
      <c r="B453" s="86" t="str">
        <f ca="1"/>
        <v>A125</v>
      </c>
      <c r="C453" s="86" t="str">
        <f t="shared" ca="1" si="99"/>
        <v>MUHAMMED RAZI A T</v>
      </c>
      <c r="D453" s="86" t="str">
        <f t="shared" ca="1" si="100"/>
        <v>DAHF</v>
      </c>
      <c r="E453" s="86">
        <f t="shared" ca="1" si="101"/>
        <v>1</v>
      </c>
    </row>
    <row r="454" spans="1:8" ht="14.25" x14ac:dyDescent="0.45">
      <c r="A454" s="86">
        <f ca="1"/>
        <v>5</v>
      </c>
      <c r="B454" s="86" t="str">
        <f ca="1"/>
        <v>A171</v>
      </c>
      <c r="C454" s="86" t="str">
        <f t="shared" ca="1" si="99"/>
        <v>SAYYED MOHAMMED SINAN AM</v>
      </c>
      <c r="D454" s="86" t="str">
        <f t="shared" ca="1" si="100"/>
        <v>DAHF</v>
      </c>
      <c r="E454" s="86">
        <f t="shared" ca="1" si="101"/>
        <v>2</v>
      </c>
    </row>
    <row r="455" spans="1:8" ht="14.25" x14ac:dyDescent="0.45">
      <c r="A455" s="86">
        <f ca="1"/>
        <v>6</v>
      </c>
      <c r="B455" s="86" t="str">
        <f ca="1"/>
        <v>A172</v>
      </c>
      <c r="C455" s="86" t="str">
        <f t="shared" ca="1" si="99"/>
        <v>SAYYED MUHAMMED ABOOBACKER</v>
      </c>
      <c r="D455" s="86" t="str">
        <f t="shared" ca="1" si="100"/>
        <v>DAHF</v>
      </c>
      <c r="E455" s="86">
        <f t="shared" ca="1" si="101"/>
        <v>2</v>
      </c>
    </row>
    <row r="456" spans="1:8" ht="14.25" x14ac:dyDescent="0.45">
      <c r="A456" s="86">
        <f ca="1"/>
        <v>7</v>
      </c>
      <c r="B456" s="86" t="str">
        <f ca="1"/>
        <v>A109</v>
      </c>
      <c r="C456" s="86" t="str">
        <f t="shared" ca="1" si="99"/>
        <v>AHMED RAZI MR</v>
      </c>
      <c r="D456" s="86" t="str">
        <f t="shared" ca="1" si="100"/>
        <v>BADF</v>
      </c>
      <c r="E456" s="86">
        <f t="shared" ca="1" si="101"/>
        <v>1</v>
      </c>
    </row>
    <row r="457" spans="1:8" ht="14.25" x14ac:dyDescent="0.45">
      <c r="A457" s="86">
        <f ca="1"/>
        <v>8</v>
      </c>
      <c r="B457" s="86" t="str">
        <f ca="1"/>
        <v>A136</v>
      </c>
      <c r="C457" s="86" t="str">
        <f t="shared" ca="1" si="99"/>
        <v>MUHAMMED UVAIS.P. S</v>
      </c>
      <c r="D457" s="86" t="str">
        <f t="shared" ca="1" si="100"/>
        <v>BADF</v>
      </c>
      <c r="E457" s="86">
        <f t="shared" ca="1" si="101"/>
        <v>1</v>
      </c>
    </row>
    <row r="458" spans="1:8" ht="14.25" x14ac:dyDescent="0.45">
      <c r="A458" s="86">
        <f ca="1"/>
        <v>9</v>
      </c>
      <c r="B458" s="86" t="str">
        <f ca="1"/>
        <v>A146</v>
      </c>
      <c r="C458" s="86" t="str">
        <f t="shared" ca="1" si="99"/>
        <v>AHAMED ADIL. A</v>
      </c>
      <c r="D458" s="86" t="str">
        <f t="shared" ca="1" si="100"/>
        <v>BADF</v>
      </c>
      <c r="E458" s="86">
        <f t="shared" ca="1" si="101"/>
        <v>2</v>
      </c>
    </row>
    <row r="459" spans="1:8" ht="14.25" x14ac:dyDescent="0.45">
      <c r="A459" s="86">
        <f ca="1"/>
        <v>10</v>
      </c>
      <c r="B459" s="86" t="str">
        <f ca="1"/>
        <v>A121</v>
      </c>
      <c r="C459" s="86" t="str">
        <f t="shared" ca="1" si="99"/>
        <v>BEERAN MUEENUDHEEN MH</v>
      </c>
      <c r="D459" s="86" t="str">
        <f t="shared" ca="1" si="100"/>
        <v>JARF</v>
      </c>
      <c r="E459" s="86">
        <f t="shared" ca="1" si="101"/>
        <v>1</v>
      </c>
    </row>
    <row r="460" spans="1:8" ht="14.25" x14ac:dyDescent="0.45">
      <c r="A460" s="86">
        <f ca="1"/>
        <v>11</v>
      </c>
      <c r="B460" s="86" t="str">
        <f ca="1"/>
        <v>A126</v>
      </c>
      <c r="C460" s="86" t="str">
        <f t="shared" ca="1" si="99"/>
        <v>MUHAMMED ZAID</v>
      </c>
      <c r="D460" s="86" t="str">
        <f t="shared" ca="1" si="100"/>
        <v>JARF</v>
      </c>
      <c r="E460" s="86">
        <f t="shared" ca="1" si="101"/>
        <v>1</v>
      </c>
    </row>
    <row r="461" spans="1:8" ht="14.25" x14ac:dyDescent="0.45">
      <c r="A461" s="86">
        <f ca="1"/>
        <v>12</v>
      </c>
      <c r="B461" s="86" t="str">
        <f ca="1"/>
        <v>A154</v>
      </c>
      <c r="C461" s="86" t="str">
        <f t="shared" ca="1" si="99"/>
        <v>MOHAMMED WASIM SHAHAD SM</v>
      </c>
      <c r="D461" s="86" t="str">
        <f t="shared" ca="1" si="100"/>
        <v>JARF</v>
      </c>
      <c r="E461" s="86">
        <f t="shared" ca="1" si="101"/>
        <v>2</v>
      </c>
    </row>
    <row r="462" spans="1:8" ht="14.25" x14ac:dyDescent="0.45">
      <c r="A462" s="84" t="s">
        <v>163</v>
      </c>
      <c r="B462" s="84" t="str">
        <f>VLOOKUP("SJ35",f_detailsof_programs,2,FALSE)</f>
        <v>SPEECH ENG</v>
      </c>
      <c r="C462" s="84"/>
      <c r="D462" s="84" t="s">
        <v>688</v>
      </c>
      <c r="E462" s="84" t="s">
        <v>485</v>
      </c>
      <c r="F462" s="84"/>
      <c r="G462" s="84"/>
      <c r="H462" s="84"/>
    </row>
    <row r="463" spans="1:8" ht="14.25" x14ac:dyDescent="0.45">
      <c r="A463" s="85" t="s">
        <v>16</v>
      </c>
      <c r="B463" s="85" t="s">
        <v>480</v>
      </c>
      <c r="C463" s="85" t="s">
        <v>18</v>
      </c>
      <c r="D463" s="85" t="s">
        <v>481</v>
      </c>
      <c r="E463" s="85" t="s">
        <v>19</v>
      </c>
      <c r="F463" s="85" t="s">
        <v>482</v>
      </c>
      <c r="G463" s="85" t="s">
        <v>483</v>
      </c>
      <c r="H463" s="85" t="s">
        <v>484</v>
      </c>
    </row>
    <row r="464" spans="1:8" ht="14.25" x14ac:dyDescent="0.45">
      <c r="A464" s="86" cm="1">
        <f t="array" aca="1" ref="A464:A475" ca="1">_xlfn.SEQUENCE(COUNTA(_xlfn.LET(_xlpm.trimmed,OFFSET(f_listof_program_candidates,MATCH("SJ35",f_listof_program_codes,0)-1,6,1,),TRANSPOSE(_xlfn._xlws.FILTER(OFFSET(_xlpm.trimmed,0,0,,COUNTA(_xlpm.trimmed)-5),OFFSET(_xlpm.trimmed,0,0,,COUNTA(_xlpm.trimmed)-5)&lt;&gt;0)))))</f>
        <v>1</v>
      </c>
      <c r="B464" s="86" t="str" cm="1">
        <f t="array" aca="1" ref="B464:B475" ca="1">_xlfn.LET(_xlpm.trimmed,OFFSET(f_listof_program_candidates,MATCH("SJ35",f_listof_program_codes,0)-1,6,1,),TRANSPOSE(_xlfn._xlws.FILTER(OFFSET(_xlpm.trimmed,0,0,,COUNTA(_xlpm.trimmed)-5),OFFSET(_xlpm.trimmed,0,0,,COUNTA(_xlpm.trimmed)-5)&lt;&gt;0)))</f>
        <v>A105</v>
      </c>
      <c r="C464" s="86" t="str">
        <f t="shared" ref="C464:C475" ca="1" si="102">VLOOKUP(B464,f_detailsof_candidates,2,FALSE)</f>
        <v>MUHAMMED HAFIZ S T</v>
      </c>
      <c r="D464" s="86" t="str">
        <f t="shared" ref="D464:D475" ca="1" si="103">VLOOKUP(B464,f_detailsof_candidates,3,FALSE)</f>
        <v>FANT</v>
      </c>
      <c r="E464" s="86">
        <f t="shared" ref="E464:E475" ca="1" si="104">VLOOKUP(B464,f_detailsof_candidates,5,FALSE)</f>
        <v>1</v>
      </c>
    </row>
    <row r="465" spans="1:8" ht="14.25" x14ac:dyDescent="0.45">
      <c r="A465" s="86">
        <f ca="1"/>
        <v>2</v>
      </c>
      <c r="B465" s="86" t="str">
        <f ca="1"/>
        <v>A143</v>
      </c>
      <c r="C465" s="86" t="str">
        <f t="shared" ca="1" si="102"/>
        <v>ABDUL AFEEZ C.F</v>
      </c>
      <c r="D465" s="86" t="str">
        <f t="shared" ca="1" si="103"/>
        <v>FANT</v>
      </c>
      <c r="E465" s="86">
        <f t="shared" ca="1" si="104"/>
        <v>2</v>
      </c>
    </row>
    <row r="466" spans="1:8" ht="14.25" x14ac:dyDescent="0.45">
      <c r="A466" s="86">
        <f ca="1"/>
        <v>3</v>
      </c>
      <c r="B466" s="86" t="str">
        <f ca="1"/>
        <v>A150</v>
      </c>
      <c r="C466" s="86" t="str">
        <f t="shared" ca="1" si="102"/>
        <v>MOHAMED JAWHAR J A</v>
      </c>
      <c r="D466" s="86" t="str">
        <f t="shared" ca="1" si="103"/>
        <v>FANT</v>
      </c>
      <c r="E466" s="86">
        <f t="shared" ca="1" si="104"/>
        <v>2</v>
      </c>
    </row>
    <row r="467" spans="1:8" ht="14.25" x14ac:dyDescent="0.45">
      <c r="A467" s="86">
        <f ca="1"/>
        <v>4</v>
      </c>
      <c r="B467" s="86" t="str">
        <f ca="1"/>
        <v>A113</v>
      </c>
      <c r="C467" s="86" t="str">
        <f t="shared" ca="1" si="102"/>
        <v>MOIDEEN KAIS</v>
      </c>
      <c r="D467" s="86" t="str">
        <f t="shared" ca="1" si="103"/>
        <v>DAHF</v>
      </c>
      <c r="E467" s="86">
        <f t="shared" ca="1" si="104"/>
        <v>1</v>
      </c>
    </row>
    <row r="468" spans="1:8" ht="14.25" x14ac:dyDescent="0.45">
      <c r="A468" s="86">
        <f ca="1"/>
        <v>5</v>
      </c>
      <c r="B468" s="86" t="str">
        <f ca="1"/>
        <v>A131</v>
      </c>
      <c r="C468" s="86" t="str">
        <f t="shared" ca="1" si="102"/>
        <v>FAZIL ABDULLA</v>
      </c>
      <c r="D468" s="86" t="str">
        <f t="shared" ca="1" si="103"/>
        <v>DAHF</v>
      </c>
      <c r="E468" s="86">
        <f t="shared" ca="1" si="104"/>
        <v>1</v>
      </c>
    </row>
    <row r="469" spans="1:8" ht="14.25" x14ac:dyDescent="0.45">
      <c r="A469" s="86">
        <f ca="1"/>
        <v>6</v>
      </c>
      <c r="B469" s="86" t="str">
        <f ca="1"/>
        <v>A158</v>
      </c>
      <c r="C469" s="86" t="str">
        <f t="shared" ca="1" si="102"/>
        <v>Muhammed Anas</v>
      </c>
      <c r="D469" s="86" t="str">
        <f t="shared" ca="1" si="103"/>
        <v>DAHF</v>
      </c>
      <c r="E469" s="86">
        <f t="shared" ca="1" si="104"/>
        <v>2</v>
      </c>
    </row>
    <row r="470" spans="1:8" ht="14.25" x14ac:dyDescent="0.45">
      <c r="A470" s="86">
        <f ca="1"/>
        <v>7</v>
      </c>
      <c r="B470" s="86" t="str">
        <f ca="1"/>
        <v>A127</v>
      </c>
      <c r="C470" s="86" t="str">
        <f t="shared" ca="1" si="102"/>
        <v>MUHAMMED HAFEEZ P</v>
      </c>
      <c r="D470" s="86" t="str">
        <f t="shared" ca="1" si="103"/>
        <v>BADF</v>
      </c>
      <c r="E470" s="86">
        <f t="shared" ca="1" si="104"/>
        <v>1</v>
      </c>
    </row>
    <row r="471" spans="1:8" ht="14.25" x14ac:dyDescent="0.45">
      <c r="A471" s="86">
        <f ca="1"/>
        <v>8</v>
      </c>
      <c r="B471" s="86" t="str">
        <f ca="1"/>
        <v>A166</v>
      </c>
      <c r="C471" s="86" t="str">
        <f t="shared" ca="1" si="102"/>
        <v>Muhammed Naieem</v>
      </c>
      <c r="D471" s="86" t="str">
        <f t="shared" ca="1" si="103"/>
        <v>BADF</v>
      </c>
      <c r="E471" s="86">
        <f t="shared" ca="1" si="104"/>
        <v>2</v>
      </c>
    </row>
    <row r="472" spans="1:8" ht="14.25" x14ac:dyDescent="0.45">
      <c r="A472" s="86">
        <f ca="1"/>
        <v>9</v>
      </c>
      <c r="B472" s="86" t="str">
        <f ca="1"/>
        <v>A173</v>
      </c>
      <c r="C472" s="86" t="str">
        <f t="shared" ca="1" si="102"/>
        <v>SHAHUL HAMEED B.I</v>
      </c>
      <c r="D472" s="86" t="str">
        <f t="shared" ca="1" si="103"/>
        <v>BADF</v>
      </c>
      <c r="E472" s="86">
        <f t="shared" ca="1" si="104"/>
        <v>2</v>
      </c>
    </row>
    <row r="473" spans="1:8" ht="14.25" x14ac:dyDescent="0.45">
      <c r="A473" s="86">
        <f ca="1"/>
        <v>10</v>
      </c>
      <c r="B473" s="86" t="str">
        <f ca="1"/>
        <v>A103</v>
      </c>
      <c r="C473" s="86" t="str">
        <f t="shared" ca="1" si="102"/>
        <v>MUHAMMED RIZIN AMAN</v>
      </c>
      <c r="D473" s="86" t="str">
        <f t="shared" ca="1" si="103"/>
        <v>JARF</v>
      </c>
      <c r="E473" s="86">
        <f t="shared" ca="1" si="104"/>
        <v>1</v>
      </c>
    </row>
    <row r="474" spans="1:8" ht="14.25" x14ac:dyDescent="0.45">
      <c r="A474" s="86">
        <f ca="1"/>
        <v>11</v>
      </c>
      <c r="B474" s="86" t="str">
        <f ca="1"/>
        <v>A119</v>
      </c>
      <c r="C474" s="86" t="str">
        <f t="shared" ca="1" si="102"/>
        <v>MUHAMMED HASHIR A K</v>
      </c>
      <c r="D474" s="86" t="str">
        <f t="shared" ca="1" si="103"/>
        <v>JARF</v>
      </c>
      <c r="E474" s="86">
        <f t="shared" ca="1" si="104"/>
        <v>1</v>
      </c>
    </row>
    <row r="475" spans="1:8" ht="14.25" x14ac:dyDescent="0.45">
      <c r="A475" s="86">
        <f ca="1"/>
        <v>12</v>
      </c>
      <c r="B475" s="86" t="str">
        <f ca="1"/>
        <v>A130</v>
      </c>
      <c r="C475" s="86" t="str">
        <f t="shared" ca="1" si="102"/>
        <v>MOHAMMAD AJWAD</v>
      </c>
      <c r="D475" s="86" t="str">
        <f t="shared" ca="1" si="103"/>
        <v>JARF</v>
      </c>
      <c r="E475" s="86">
        <f t="shared" ca="1" si="104"/>
        <v>1</v>
      </c>
    </row>
    <row r="476" spans="1:8" ht="14.25" x14ac:dyDescent="0.45">
      <c r="A476" s="84" t="s">
        <v>165</v>
      </c>
      <c r="B476" s="84" t="str">
        <f>VLOOKUP("SJ36",f_detailsof_programs,2,FALSE)</f>
        <v>SPEECH MLM</v>
      </c>
      <c r="C476" s="84"/>
      <c r="D476" s="84" t="s">
        <v>688</v>
      </c>
      <c r="E476" s="84" t="s">
        <v>485</v>
      </c>
      <c r="F476" s="84"/>
      <c r="G476" s="84"/>
      <c r="H476" s="84"/>
    </row>
    <row r="477" spans="1:8" ht="14.25" x14ac:dyDescent="0.45">
      <c r="A477" s="85" t="s">
        <v>16</v>
      </c>
      <c r="B477" s="85" t="s">
        <v>480</v>
      </c>
      <c r="C477" s="85" t="s">
        <v>18</v>
      </c>
      <c r="D477" s="85" t="s">
        <v>481</v>
      </c>
      <c r="E477" s="85" t="s">
        <v>19</v>
      </c>
      <c r="F477" s="85" t="s">
        <v>482</v>
      </c>
      <c r="G477" s="85" t="s">
        <v>483</v>
      </c>
      <c r="H477" s="85" t="s">
        <v>484</v>
      </c>
    </row>
    <row r="478" spans="1:8" ht="14.25" x14ac:dyDescent="0.45">
      <c r="A478" s="86" cm="1">
        <f t="array" aca="1" ref="A478:A489" ca="1">_xlfn.SEQUENCE(COUNTA(_xlfn.LET(_xlpm.trimmed,OFFSET(f_listof_program_candidates,MATCH("SJ36",f_listof_program_codes,0)-1,6,1,),TRANSPOSE(_xlfn._xlws.FILTER(OFFSET(_xlpm.trimmed,0,0,,COUNTA(_xlpm.trimmed)-5),OFFSET(_xlpm.trimmed,0,0,,COUNTA(_xlpm.trimmed)-5)&lt;&gt;0)))))</f>
        <v>1</v>
      </c>
      <c r="B478" s="86" t="str" cm="1">
        <f t="array" aca="1" ref="B478:B489" ca="1">_xlfn.LET(_xlpm.trimmed,OFFSET(f_listof_program_candidates,MATCH("SJ36",f_listof_program_codes,0)-1,6,1,),TRANSPOSE(_xlfn._xlws.FILTER(OFFSET(_xlpm.trimmed,0,0,,COUNTA(_xlpm.trimmed)-5),OFFSET(_xlpm.trimmed,0,0,,COUNTA(_xlpm.trimmed)-5)&lt;&gt;0)))</f>
        <v>A111</v>
      </c>
      <c r="C478" s="86" t="str">
        <f t="shared" ref="C478:C489" ca="1" si="105">VLOOKUP(B478,f_detailsof_candidates,2,FALSE)</f>
        <v>HUSSAIN MUHAVIZ B A</v>
      </c>
      <c r="D478" s="86" t="str">
        <f t="shared" ref="D478:D489" ca="1" si="106">VLOOKUP(B478,f_detailsof_candidates,3,FALSE)</f>
        <v>FANT</v>
      </c>
      <c r="E478" s="86">
        <f t="shared" ref="E478:E489" ca="1" si="107">VLOOKUP(B478,f_detailsof_candidates,5,FALSE)</f>
        <v>1</v>
      </c>
    </row>
    <row r="479" spans="1:8" ht="14.25" x14ac:dyDescent="0.45">
      <c r="A479" s="86">
        <f ca="1"/>
        <v>2</v>
      </c>
      <c r="B479" s="86" t="str">
        <f ca="1"/>
        <v>A129</v>
      </c>
      <c r="C479" s="86" t="str">
        <f t="shared" ca="1" si="105"/>
        <v>MUHAMMED BIN JAFAR</v>
      </c>
      <c r="D479" s="86" t="str">
        <f t="shared" ca="1" si="106"/>
        <v>FANT</v>
      </c>
      <c r="E479" s="86">
        <f t="shared" ca="1" si="107"/>
        <v>1</v>
      </c>
    </row>
    <row r="480" spans="1:8" ht="14.25" x14ac:dyDescent="0.45">
      <c r="A480" s="86">
        <f ca="1"/>
        <v>3</v>
      </c>
      <c r="B480" s="86" t="str">
        <f ca="1"/>
        <v>A140</v>
      </c>
      <c r="C480" s="86" t="str">
        <f t="shared" ca="1" si="105"/>
        <v>MUHAMMED AFLAH.MK</v>
      </c>
      <c r="D480" s="86" t="str">
        <f t="shared" ca="1" si="106"/>
        <v>FANT</v>
      </c>
      <c r="E480" s="86">
        <f t="shared" ca="1" si="107"/>
        <v>2</v>
      </c>
    </row>
    <row r="481" spans="1:8" ht="14.25" x14ac:dyDescent="0.45">
      <c r="A481" s="86">
        <f ca="1"/>
        <v>4</v>
      </c>
      <c r="B481" s="86" t="str">
        <f ca="1"/>
        <v>A112</v>
      </c>
      <c r="C481" s="86" t="str">
        <f t="shared" ca="1" si="105"/>
        <v>HILAL ABDULLA C H</v>
      </c>
      <c r="D481" s="86" t="str">
        <f t="shared" ca="1" si="106"/>
        <v>DAHF</v>
      </c>
      <c r="E481" s="86">
        <f t="shared" ca="1" si="107"/>
        <v>1</v>
      </c>
    </row>
    <row r="482" spans="1:8" ht="14.25" x14ac:dyDescent="0.45">
      <c r="A482" s="86">
        <f ca="1"/>
        <v>5</v>
      </c>
      <c r="B482" s="86" t="str">
        <f ca="1"/>
        <v>A165</v>
      </c>
      <c r="C482" s="86" t="str">
        <f t="shared" ca="1" si="105"/>
        <v>MUHAMMED MIDLAJ</v>
      </c>
      <c r="D482" s="86" t="str">
        <f t="shared" ca="1" si="106"/>
        <v>DAHF</v>
      </c>
      <c r="E482" s="86">
        <f t="shared" ca="1" si="107"/>
        <v>2</v>
      </c>
    </row>
    <row r="483" spans="1:8" ht="14.25" x14ac:dyDescent="0.45">
      <c r="A483" s="86">
        <f ca="1"/>
        <v>6</v>
      </c>
      <c r="B483" s="86" t="str">
        <f ca="1"/>
        <v>A170</v>
      </c>
      <c r="C483" s="86" t="str">
        <f t="shared" ca="1" si="105"/>
        <v>P.V.AHMAD ANAS</v>
      </c>
      <c r="D483" s="86" t="str">
        <f t="shared" ca="1" si="106"/>
        <v>DAHF</v>
      </c>
      <c r="E483" s="86">
        <f t="shared" ca="1" si="107"/>
        <v>2</v>
      </c>
    </row>
    <row r="484" spans="1:8" ht="14.25" x14ac:dyDescent="0.45">
      <c r="A484" s="86">
        <f ca="1"/>
        <v>7</v>
      </c>
      <c r="B484" s="86" t="str">
        <f ca="1"/>
        <v>A108</v>
      </c>
      <c r="C484" s="86" t="str">
        <f t="shared" ca="1" si="105"/>
        <v>Mohammed Sinan N.A</v>
      </c>
      <c r="D484" s="86" t="str">
        <f t="shared" ca="1" si="106"/>
        <v>BADF</v>
      </c>
      <c r="E484" s="86">
        <f t="shared" ca="1" si="107"/>
        <v>1</v>
      </c>
    </row>
    <row r="485" spans="1:8" ht="14.25" x14ac:dyDescent="0.45">
      <c r="A485" s="86">
        <f ca="1"/>
        <v>8</v>
      </c>
      <c r="B485" s="86" t="str">
        <f ca="1"/>
        <v>A109</v>
      </c>
      <c r="C485" s="86" t="str">
        <f t="shared" ca="1" si="105"/>
        <v>AHMED RAZI MR</v>
      </c>
      <c r="D485" s="86" t="str">
        <f t="shared" ca="1" si="106"/>
        <v>BADF</v>
      </c>
      <c r="E485" s="86">
        <f t="shared" ca="1" si="107"/>
        <v>1</v>
      </c>
    </row>
    <row r="486" spans="1:8" ht="14.25" x14ac:dyDescent="0.45">
      <c r="A486" s="86">
        <f ca="1"/>
        <v>9</v>
      </c>
      <c r="B486" s="86" t="str">
        <f ca="1"/>
        <v>A114</v>
      </c>
      <c r="C486" s="86" t="str">
        <f t="shared" ca="1" si="105"/>
        <v>MUHAMMED SHAHID K A</v>
      </c>
      <c r="D486" s="86" t="str">
        <f t="shared" ca="1" si="106"/>
        <v>BADF</v>
      </c>
      <c r="E486" s="86">
        <f t="shared" ca="1" si="107"/>
        <v>1</v>
      </c>
    </row>
    <row r="487" spans="1:8" ht="14.25" x14ac:dyDescent="0.45">
      <c r="A487" s="86">
        <f ca="1"/>
        <v>10</v>
      </c>
      <c r="B487" s="86" t="str">
        <f ca="1"/>
        <v>A155</v>
      </c>
      <c r="C487" s="86" t="str">
        <f t="shared" ca="1" si="105"/>
        <v>Muhammad M</v>
      </c>
      <c r="D487" s="86" t="str">
        <f t="shared" ca="1" si="106"/>
        <v>JARF</v>
      </c>
      <c r="E487" s="86">
        <f t="shared" ca="1" si="107"/>
        <v>2</v>
      </c>
    </row>
    <row r="488" spans="1:8" ht="14.25" x14ac:dyDescent="0.45">
      <c r="A488" s="86">
        <f ca="1"/>
        <v>11</v>
      </c>
      <c r="B488" s="86" t="str">
        <f ca="1"/>
        <v>A159</v>
      </c>
      <c r="C488" s="86" t="str">
        <f t="shared" ca="1" si="105"/>
        <v>MUHAMMED ASHIR M</v>
      </c>
      <c r="D488" s="86" t="str">
        <f t="shared" ca="1" si="106"/>
        <v>JARF</v>
      </c>
      <c r="E488" s="86">
        <f t="shared" ca="1" si="107"/>
        <v>2</v>
      </c>
    </row>
    <row r="489" spans="1:8" ht="14.25" x14ac:dyDescent="0.45">
      <c r="A489" s="86">
        <f ca="1"/>
        <v>12</v>
      </c>
      <c r="B489" s="86" t="str">
        <f ca="1"/>
        <v>A168</v>
      </c>
      <c r="C489" s="86" t="str">
        <f t="shared" ca="1" si="105"/>
        <v>Muhammed Sinan D A</v>
      </c>
      <c r="D489" s="86" t="str">
        <f t="shared" ca="1" si="106"/>
        <v>JARF</v>
      </c>
      <c r="E489" s="86">
        <f t="shared" ca="1" si="107"/>
        <v>2</v>
      </c>
    </row>
    <row r="490" spans="1:8" ht="14.25" x14ac:dyDescent="0.45">
      <c r="A490" s="84" t="s">
        <v>167</v>
      </c>
      <c r="B490" s="84" t="str">
        <f>VLOOKUP("SJ37",f_detailsof_programs,2,FALSE)</f>
        <v>SPEECH URD</v>
      </c>
      <c r="C490" s="84"/>
      <c r="D490" s="84" t="s">
        <v>688</v>
      </c>
      <c r="E490" s="84" t="s">
        <v>485</v>
      </c>
      <c r="F490" s="84"/>
      <c r="G490" s="84"/>
      <c r="H490" s="84"/>
    </row>
    <row r="491" spans="1:8" ht="14.25" x14ac:dyDescent="0.45">
      <c r="A491" s="85" t="s">
        <v>16</v>
      </c>
      <c r="B491" s="85" t="s">
        <v>480</v>
      </c>
      <c r="C491" s="85" t="s">
        <v>18</v>
      </c>
      <c r="D491" s="85" t="s">
        <v>481</v>
      </c>
      <c r="E491" s="85" t="s">
        <v>19</v>
      </c>
      <c r="F491" s="85" t="s">
        <v>482</v>
      </c>
      <c r="G491" s="85" t="s">
        <v>483</v>
      </c>
      <c r="H491" s="85" t="s">
        <v>484</v>
      </c>
    </row>
    <row r="492" spans="1:8" ht="14.25" x14ac:dyDescent="0.45">
      <c r="A492" s="86" cm="1">
        <f t="array" aca="1" ref="A492:A503" ca="1">_xlfn.SEQUENCE(COUNTA(_xlfn.LET(_xlpm.trimmed,OFFSET(f_listof_program_candidates,MATCH("SJ37",f_listof_program_codes,0)-1,6,1,),TRANSPOSE(_xlfn._xlws.FILTER(OFFSET(_xlpm.trimmed,0,0,,COUNTA(_xlpm.trimmed)-5),OFFSET(_xlpm.trimmed,0,0,,COUNTA(_xlpm.trimmed)-5)&lt;&gt;0)))))</f>
        <v>1</v>
      </c>
      <c r="B492" s="86" t="str" cm="1">
        <f t="array" aca="1" ref="B492:B503" ca="1">_xlfn.LET(_xlpm.trimmed,OFFSET(f_listof_program_candidates,MATCH("SJ37",f_listof_program_codes,0)-1,6,1,),TRANSPOSE(_xlfn._xlws.FILTER(OFFSET(_xlpm.trimmed,0,0,,COUNTA(_xlpm.trimmed)-5),OFFSET(_xlpm.trimmed,0,0,,COUNTA(_xlpm.trimmed)-5)&lt;&gt;0)))</f>
        <v>A107</v>
      </c>
      <c r="C492" s="86" t="str">
        <f t="shared" ref="C492:C503" ca="1" si="108">VLOOKUP(B492,f_detailsof_candidates,2,FALSE)</f>
        <v>MUHAMMED ADHIL C H</v>
      </c>
      <c r="D492" s="86" t="str">
        <f t="shared" ref="D492:D503" ca="1" si="109">VLOOKUP(B492,f_detailsof_candidates,3,FALSE)</f>
        <v>FANT</v>
      </c>
      <c r="E492" s="86">
        <f t="shared" ref="E492:E503" ca="1" si="110">VLOOKUP(B492,f_detailsof_candidates,5,FALSE)</f>
        <v>1</v>
      </c>
    </row>
    <row r="493" spans="1:8" ht="14.25" x14ac:dyDescent="0.45">
      <c r="A493" s="86">
        <f ca="1"/>
        <v>2</v>
      </c>
      <c r="B493" s="86" t="str">
        <f ca="1"/>
        <v>A139</v>
      </c>
      <c r="C493" s="86" t="str">
        <f t="shared" ca="1" si="108"/>
        <v>MUHAMMED MOIDEEN KUNHI</v>
      </c>
      <c r="D493" s="86" t="str">
        <f t="shared" ca="1" si="109"/>
        <v>FANT</v>
      </c>
      <c r="E493" s="86">
        <f t="shared" ca="1" si="110"/>
        <v>1</v>
      </c>
    </row>
    <row r="494" spans="1:8" ht="14.25" x14ac:dyDescent="0.45">
      <c r="A494" s="86">
        <f ca="1"/>
        <v>3</v>
      </c>
      <c r="B494" s="86" t="str">
        <f ca="1"/>
        <v>A151</v>
      </c>
      <c r="C494" s="86" t="str">
        <f t="shared" ca="1" si="108"/>
        <v>Mohammad Yaseen</v>
      </c>
      <c r="D494" s="86" t="str">
        <f t="shared" ca="1" si="109"/>
        <v>FANT</v>
      </c>
      <c r="E494" s="86">
        <f t="shared" ca="1" si="110"/>
        <v>2</v>
      </c>
    </row>
    <row r="495" spans="1:8" ht="14.25" x14ac:dyDescent="0.45">
      <c r="A495" s="86">
        <f ca="1"/>
        <v>4</v>
      </c>
      <c r="B495" s="86" t="str">
        <f ca="1"/>
        <v>A128</v>
      </c>
      <c r="C495" s="86" t="str">
        <f t="shared" ca="1" si="108"/>
        <v>MOHAMMED HAFEEZ B</v>
      </c>
      <c r="D495" s="86" t="str">
        <f t="shared" ca="1" si="109"/>
        <v>DAHF</v>
      </c>
      <c r="E495" s="86">
        <f t="shared" ca="1" si="110"/>
        <v>1</v>
      </c>
    </row>
    <row r="496" spans="1:8" ht="14.25" x14ac:dyDescent="0.45">
      <c r="A496" s="86">
        <f ca="1"/>
        <v>5</v>
      </c>
      <c r="B496" s="86" t="str">
        <f ca="1"/>
        <v>A137</v>
      </c>
      <c r="C496" s="86" t="str">
        <f t="shared" ca="1" si="108"/>
        <v>MOHAMMED SHUAIB K M</v>
      </c>
      <c r="D496" s="86" t="str">
        <f t="shared" ca="1" si="109"/>
        <v>DAHF</v>
      </c>
      <c r="E496" s="86">
        <f t="shared" ca="1" si="110"/>
        <v>1</v>
      </c>
    </row>
    <row r="497" spans="1:8" ht="14.25" x14ac:dyDescent="0.45">
      <c r="A497" s="86">
        <f ca="1"/>
        <v>6</v>
      </c>
      <c r="B497" s="86" t="str">
        <f ca="1"/>
        <v>A147</v>
      </c>
      <c r="C497" s="86" t="str">
        <f t="shared" ca="1" si="108"/>
        <v>AHMED WALEED K A</v>
      </c>
      <c r="D497" s="86" t="str">
        <f t="shared" ca="1" si="109"/>
        <v>DAHF</v>
      </c>
      <c r="E497" s="86">
        <f t="shared" ca="1" si="110"/>
        <v>2</v>
      </c>
    </row>
    <row r="498" spans="1:8" ht="14.25" x14ac:dyDescent="0.45">
      <c r="A498" s="86">
        <f ca="1"/>
        <v>7</v>
      </c>
      <c r="B498" s="86" t="str">
        <f ca="1"/>
        <v>A104</v>
      </c>
      <c r="C498" s="86" t="str">
        <f t="shared" ca="1" si="108"/>
        <v>MUHAMMAD AZEEM</v>
      </c>
      <c r="D498" s="86" t="str">
        <f t="shared" ca="1" si="109"/>
        <v>BADF</v>
      </c>
      <c r="E498" s="86">
        <f t="shared" ca="1" si="110"/>
        <v>1</v>
      </c>
    </row>
    <row r="499" spans="1:8" ht="14.25" x14ac:dyDescent="0.45">
      <c r="A499" s="86">
        <f ca="1"/>
        <v>8</v>
      </c>
      <c r="B499" s="86" t="str">
        <f ca="1"/>
        <v>A124</v>
      </c>
      <c r="C499" s="86" t="str">
        <f t="shared" ca="1" si="108"/>
        <v>MOHAMMED JASEEM</v>
      </c>
      <c r="D499" s="86" t="str">
        <f t="shared" ca="1" si="109"/>
        <v>BADF</v>
      </c>
      <c r="E499" s="86">
        <f t="shared" ca="1" si="110"/>
        <v>1</v>
      </c>
    </row>
    <row r="500" spans="1:8" ht="14.25" x14ac:dyDescent="0.45">
      <c r="A500" s="86">
        <f ca="1"/>
        <v>9</v>
      </c>
      <c r="B500" s="86" t="str">
        <f ca="1"/>
        <v>A148</v>
      </c>
      <c r="C500" s="86" t="str">
        <f t="shared" ca="1" si="108"/>
        <v>AYAAN ABOOBAKAR</v>
      </c>
      <c r="D500" s="86" t="str">
        <f t="shared" ca="1" si="109"/>
        <v>BADF</v>
      </c>
      <c r="E500" s="86">
        <f t="shared" ca="1" si="110"/>
        <v>2</v>
      </c>
    </row>
    <row r="501" spans="1:8" ht="14.25" x14ac:dyDescent="0.45">
      <c r="A501" s="86">
        <f ca="1"/>
        <v>10</v>
      </c>
      <c r="B501" s="86" t="str">
        <f ca="1"/>
        <v>A121</v>
      </c>
      <c r="C501" s="86" t="str">
        <f t="shared" ca="1" si="108"/>
        <v>BEERAN MUEENUDHEEN MH</v>
      </c>
      <c r="D501" s="86" t="str">
        <f t="shared" ca="1" si="109"/>
        <v>JARF</v>
      </c>
      <c r="E501" s="86">
        <f t="shared" ca="1" si="110"/>
        <v>1</v>
      </c>
    </row>
    <row r="502" spans="1:8" ht="14.25" x14ac:dyDescent="0.45">
      <c r="A502" s="86">
        <f ca="1"/>
        <v>11</v>
      </c>
      <c r="B502" s="86" t="str">
        <f ca="1"/>
        <v>A144</v>
      </c>
      <c r="C502" s="86" t="str">
        <f t="shared" ca="1" si="108"/>
        <v>ABDULLA</v>
      </c>
      <c r="D502" s="86" t="str">
        <f t="shared" ca="1" si="109"/>
        <v>JARF</v>
      </c>
      <c r="E502" s="86">
        <f t="shared" ca="1" si="110"/>
        <v>2</v>
      </c>
    </row>
    <row r="503" spans="1:8" ht="14.25" x14ac:dyDescent="0.45">
      <c r="A503" s="86">
        <f ca="1"/>
        <v>12</v>
      </c>
      <c r="B503" s="86" t="str">
        <f ca="1"/>
        <v>A149</v>
      </c>
      <c r="C503" s="86" t="str">
        <f t="shared" ca="1" si="108"/>
        <v>FADIL AMEEN ABDULLA</v>
      </c>
      <c r="D503" s="86" t="str">
        <f t="shared" ca="1" si="109"/>
        <v>JARF</v>
      </c>
      <c r="E503" s="86">
        <f t="shared" ca="1" si="110"/>
        <v>2</v>
      </c>
    </row>
    <row r="504" spans="1:8" ht="14.25" x14ac:dyDescent="0.45">
      <c r="A504" s="84" t="s">
        <v>169</v>
      </c>
      <c r="B504" s="84" t="str">
        <f>VLOOKUP("SJ38",f_detailsof_programs,2,FALSE)</f>
        <v>STORRY NARRATION ENG</v>
      </c>
      <c r="C504" s="84"/>
      <c r="D504" s="84" t="s">
        <v>688</v>
      </c>
      <c r="E504" s="84" t="s">
        <v>485</v>
      </c>
      <c r="F504" s="84"/>
      <c r="G504" s="84"/>
      <c r="H504" s="84"/>
    </row>
    <row r="505" spans="1:8" ht="14.25" x14ac:dyDescent="0.45">
      <c r="A505" s="85" t="s">
        <v>16</v>
      </c>
      <c r="B505" s="85" t="s">
        <v>480</v>
      </c>
      <c r="C505" s="85" t="s">
        <v>18</v>
      </c>
      <c r="D505" s="85" t="s">
        <v>481</v>
      </c>
      <c r="E505" s="85" t="s">
        <v>19</v>
      </c>
      <c r="F505" s="85" t="s">
        <v>482</v>
      </c>
      <c r="G505" s="85" t="s">
        <v>483</v>
      </c>
      <c r="H505" s="85" t="s">
        <v>484</v>
      </c>
    </row>
    <row r="506" spans="1:8" ht="14.25" x14ac:dyDescent="0.45">
      <c r="A506" s="86" cm="1">
        <f t="array" aca="1" ref="A506:A517" ca="1">_xlfn.SEQUENCE(COUNTA(_xlfn.LET(_xlpm.trimmed,OFFSET(f_listof_program_candidates,MATCH("SJ38",f_listof_program_codes,0)-1,6,1,),TRANSPOSE(_xlfn._xlws.FILTER(OFFSET(_xlpm.trimmed,0,0,,COUNTA(_xlpm.trimmed)-5),OFFSET(_xlpm.trimmed,0,0,,COUNTA(_xlpm.trimmed)-5)&lt;&gt;0)))))</f>
        <v>1</v>
      </c>
      <c r="B506" s="86" t="str" cm="1">
        <f t="array" aca="1" ref="B506:B517" ca="1">_xlfn.LET(_xlpm.trimmed,OFFSET(f_listof_program_candidates,MATCH("SJ38",f_listof_program_codes,0)-1,6,1,),TRANSPOSE(_xlfn._xlws.FILTER(OFFSET(_xlpm.trimmed,0,0,,COUNTA(_xlpm.trimmed)-5),OFFSET(_xlpm.trimmed,0,0,,COUNTA(_xlpm.trimmed)-5)&lt;&gt;0)))</f>
        <v>A143</v>
      </c>
      <c r="C506" s="86" t="str">
        <f t="shared" ref="C506:C517" ca="1" si="111">VLOOKUP(B506,f_detailsof_candidates,2,FALSE)</f>
        <v>ABDUL AFEEZ C.F</v>
      </c>
      <c r="D506" s="86" t="str">
        <f t="shared" ref="D506:D517" ca="1" si="112">VLOOKUP(B506,f_detailsof_candidates,3,FALSE)</f>
        <v>FANT</v>
      </c>
      <c r="E506" s="86">
        <f t="shared" ref="E506:E517" ca="1" si="113">VLOOKUP(B506,f_detailsof_candidates,5,FALSE)</f>
        <v>2</v>
      </c>
    </row>
    <row r="507" spans="1:8" ht="14.25" x14ac:dyDescent="0.45">
      <c r="A507" s="86">
        <f ca="1"/>
        <v>2</v>
      </c>
      <c r="B507" s="86" t="str">
        <f ca="1"/>
        <v>A150</v>
      </c>
      <c r="C507" s="86" t="str">
        <f t="shared" ca="1" si="111"/>
        <v>MOHAMED JAWHAR J A</v>
      </c>
      <c r="D507" s="86" t="str">
        <f t="shared" ca="1" si="112"/>
        <v>FANT</v>
      </c>
      <c r="E507" s="86">
        <f t="shared" ca="1" si="113"/>
        <v>2</v>
      </c>
    </row>
    <row r="508" spans="1:8" ht="14.25" x14ac:dyDescent="0.45">
      <c r="A508" s="86">
        <f ca="1"/>
        <v>3</v>
      </c>
      <c r="B508" s="86" t="str">
        <f ca="1"/>
        <v>A161</v>
      </c>
      <c r="C508" s="86" t="str">
        <f t="shared" ca="1" si="111"/>
        <v>MUHAMMED FAHAD</v>
      </c>
      <c r="D508" s="86" t="str">
        <f t="shared" ca="1" si="112"/>
        <v>FANT</v>
      </c>
      <c r="E508" s="86">
        <f t="shared" ca="1" si="113"/>
        <v>2</v>
      </c>
    </row>
    <row r="509" spans="1:8" ht="14.25" x14ac:dyDescent="0.45">
      <c r="A509" s="86">
        <f ca="1"/>
        <v>4</v>
      </c>
      <c r="B509" s="86" t="str">
        <f ca="1"/>
        <v>A113</v>
      </c>
      <c r="C509" s="86" t="str">
        <f t="shared" ca="1" si="111"/>
        <v>MOIDEEN KAIS</v>
      </c>
      <c r="D509" s="86" t="str">
        <f t="shared" ca="1" si="112"/>
        <v>DAHF</v>
      </c>
      <c r="E509" s="86">
        <f t="shared" ca="1" si="113"/>
        <v>1</v>
      </c>
    </row>
    <row r="510" spans="1:8" ht="14.25" x14ac:dyDescent="0.45">
      <c r="A510" s="86">
        <f ca="1"/>
        <v>5</v>
      </c>
      <c r="B510" s="86" t="str">
        <f ca="1"/>
        <v>A120</v>
      </c>
      <c r="C510" s="86" t="str">
        <f t="shared" ca="1" si="111"/>
        <v>MOHAMMED NAFIH</v>
      </c>
      <c r="D510" s="86" t="str">
        <f t="shared" ca="1" si="112"/>
        <v>DAHF</v>
      </c>
      <c r="E510" s="86">
        <f t="shared" ca="1" si="113"/>
        <v>1</v>
      </c>
    </row>
    <row r="511" spans="1:8" ht="14.25" x14ac:dyDescent="0.45">
      <c r="A511" s="86">
        <f ca="1"/>
        <v>6</v>
      </c>
      <c r="B511" s="86" t="str">
        <f ca="1"/>
        <v>A131</v>
      </c>
      <c r="C511" s="86" t="str">
        <f t="shared" ca="1" si="111"/>
        <v>FAZIL ABDULLA</v>
      </c>
      <c r="D511" s="86" t="str">
        <f t="shared" ca="1" si="112"/>
        <v>DAHF</v>
      </c>
      <c r="E511" s="86">
        <f t="shared" ca="1" si="113"/>
        <v>1</v>
      </c>
    </row>
    <row r="512" spans="1:8" ht="14.25" x14ac:dyDescent="0.45">
      <c r="A512" s="86">
        <f ca="1"/>
        <v>7</v>
      </c>
      <c r="B512" s="86" t="str">
        <f ca="1"/>
        <v>A108</v>
      </c>
      <c r="C512" s="86" t="str">
        <f t="shared" ca="1" si="111"/>
        <v>Mohammed Sinan N.A</v>
      </c>
      <c r="D512" s="86" t="str">
        <f t="shared" ca="1" si="112"/>
        <v>BADF</v>
      </c>
      <c r="E512" s="86">
        <f t="shared" ca="1" si="113"/>
        <v>1</v>
      </c>
    </row>
    <row r="513" spans="1:8" ht="14.25" x14ac:dyDescent="0.45">
      <c r="A513" s="86">
        <f ca="1"/>
        <v>8</v>
      </c>
      <c r="B513" s="86" t="str">
        <f ca="1"/>
        <v>A127</v>
      </c>
      <c r="C513" s="86" t="str">
        <f t="shared" ca="1" si="111"/>
        <v>MUHAMMED HAFEEZ P</v>
      </c>
      <c r="D513" s="86" t="str">
        <f t="shared" ca="1" si="112"/>
        <v>BADF</v>
      </c>
      <c r="E513" s="86">
        <f t="shared" ca="1" si="113"/>
        <v>1</v>
      </c>
    </row>
    <row r="514" spans="1:8" ht="14.25" x14ac:dyDescent="0.45">
      <c r="A514" s="86">
        <f ca="1"/>
        <v>9</v>
      </c>
      <c r="B514" s="86" t="str">
        <f ca="1"/>
        <v>A166</v>
      </c>
      <c r="C514" s="86" t="str">
        <f t="shared" ca="1" si="111"/>
        <v>Muhammed Naieem</v>
      </c>
      <c r="D514" s="86" t="str">
        <f t="shared" ca="1" si="112"/>
        <v>BADF</v>
      </c>
      <c r="E514" s="86">
        <f t="shared" ca="1" si="113"/>
        <v>2</v>
      </c>
    </row>
    <row r="515" spans="1:8" ht="14.25" x14ac:dyDescent="0.45">
      <c r="A515" s="86">
        <f ca="1"/>
        <v>10</v>
      </c>
      <c r="B515" s="86" t="str">
        <f ca="1"/>
        <v>A119</v>
      </c>
      <c r="C515" s="86" t="str">
        <f t="shared" ca="1" si="111"/>
        <v>MUHAMMED HASHIR A K</v>
      </c>
      <c r="D515" s="86" t="str">
        <f t="shared" ca="1" si="112"/>
        <v>JARF</v>
      </c>
      <c r="E515" s="86">
        <f t="shared" ca="1" si="113"/>
        <v>1</v>
      </c>
    </row>
    <row r="516" spans="1:8" ht="14.25" x14ac:dyDescent="0.45">
      <c r="A516" s="86">
        <f ca="1"/>
        <v>11</v>
      </c>
      <c r="B516" s="86" t="str">
        <f ca="1"/>
        <v>A130</v>
      </c>
      <c r="C516" s="86" t="str">
        <f t="shared" ca="1" si="111"/>
        <v>MOHAMMAD AJWAD</v>
      </c>
      <c r="D516" s="86" t="str">
        <f t="shared" ca="1" si="112"/>
        <v>JARF</v>
      </c>
      <c r="E516" s="86">
        <f t="shared" ca="1" si="113"/>
        <v>1</v>
      </c>
    </row>
    <row r="517" spans="1:8" ht="14.25" x14ac:dyDescent="0.45">
      <c r="A517" s="86">
        <f ca="1"/>
        <v>12</v>
      </c>
      <c r="B517" s="86" t="str">
        <f ca="1"/>
        <v>A117</v>
      </c>
      <c r="C517" s="86" t="str">
        <f t="shared" ca="1" si="111"/>
        <v>Muhammed Waheed R K</v>
      </c>
      <c r="D517" s="86" t="str">
        <f t="shared" ca="1" si="112"/>
        <v>JARF</v>
      </c>
      <c r="E517" s="86">
        <f t="shared" ca="1" si="113"/>
        <v>1</v>
      </c>
    </row>
    <row r="518" spans="1:8" ht="14.25" x14ac:dyDescent="0.45">
      <c r="A518" s="84" t="s">
        <v>171</v>
      </c>
      <c r="B518" s="84" t="str">
        <f>VLOOKUP("SJ39",f_detailsof_programs,2,FALSE)</f>
        <v>WAʿẒ</v>
      </c>
      <c r="C518" s="84"/>
      <c r="D518" s="84" t="s">
        <v>688</v>
      </c>
      <c r="E518" s="84" t="s">
        <v>485</v>
      </c>
      <c r="F518" s="84"/>
      <c r="G518" s="84"/>
      <c r="H518" s="84"/>
    </row>
    <row r="519" spans="1:8" ht="14.25" x14ac:dyDescent="0.45">
      <c r="A519" s="85" t="s">
        <v>16</v>
      </c>
      <c r="B519" s="85" t="s">
        <v>480</v>
      </c>
      <c r="C519" s="85" t="s">
        <v>18</v>
      </c>
      <c r="D519" s="85" t="s">
        <v>481</v>
      </c>
      <c r="E519" s="85" t="s">
        <v>19</v>
      </c>
      <c r="F519" s="85" t="s">
        <v>482</v>
      </c>
      <c r="G519" s="85" t="s">
        <v>483</v>
      </c>
      <c r="H519" s="85" t="s">
        <v>484</v>
      </c>
    </row>
    <row r="520" spans="1:8" ht="14.25" x14ac:dyDescent="0.45">
      <c r="A520" s="86" cm="1">
        <f t="array" aca="1" ref="A520:A531" ca="1">_xlfn.SEQUENCE(COUNTA(_xlfn.LET(_xlpm.trimmed,OFFSET(f_listof_program_candidates,MATCH("SJ39",f_listof_program_codes,0)-1,6,1,),TRANSPOSE(_xlfn._xlws.FILTER(OFFSET(_xlpm.trimmed,0,0,,COUNTA(_xlpm.trimmed)-5),OFFSET(_xlpm.trimmed,0,0,,COUNTA(_xlpm.trimmed)-5)&lt;&gt;0)))))</f>
        <v>1</v>
      </c>
      <c r="B520" s="86" t="str" cm="1">
        <f t="array" aca="1" ref="B520:B531" ca="1">_xlfn.LET(_xlpm.trimmed,OFFSET(f_listof_program_candidates,MATCH("SJ39",f_listof_program_codes,0)-1,6,1,),TRANSPOSE(_xlfn._xlws.FILTER(OFFSET(_xlpm.trimmed,0,0,,COUNTA(_xlpm.trimmed)-5),OFFSET(_xlpm.trimmed,0,0,,COUNTA(_xlpm.trimmed)-5)&lt;&gt;0)))</f>
        <v>A140</v>
      </c>
      <c r="C520" s="86" t="str">
        <f t="shared" ref="C520:C531" ca="1" si="114">VLOOKUP(B520,f_detailsof_candidates,2,FALSE)</f>
        <v>MUHAMMED AFLAH.MK</v>
      </c>
      <c r="D520" s="86" t="str">
        <f t="shared" ref="D520:D531" ca="1" si="115">VLOOKUP(B520,f_detailsof_candidates,3,FALSE)</f>
        <v>FANT</v>
      </c>
      <c r="E520" s="86">
        <f t="shared" ref="E520:E531" ca="1" si="116">VLOOKUP(B520,f_detailsof_candidates,5,FALSE)</f>
        <v>2</v>
      </c>
    </row>
    <row r="521" spans="1:8" ht="14.25" x14ac:dyDescent="0.45">
      <c r="A521" s="86">
        <f ca="1"/>
        <v>2</v>
      </c>
      <c r="B521" s="86" t="str">
        <f ca="1"/>
        <v>A157</v>
      </c>
      <c r="C521" s="86" t="str">
        <f t="shared" ca="1" si="114"/>
        <v>MUHAMMED ADNAN K.A</v>
      </c>
      <c r="D521" s="86" t="str">
        <f t="shared" ca="1" si="115"/>
        <v>FANT</v>
      </c>
      <c r="E521" s="86">
        <f t="shared" ca="1" si="116"/>
        <v>2</v>
      </c>
    </row>
    <row r="522" spans="1:8" ht="14.25" x14ac:dyDescent="0.45">
      <c r="A522" s="86">
        <f ca="1"/>
        <v>3</v>
      </c>
      <c r="B522" s="86" t="str">
        <f ca="1"/>
        <v>A162</v>
      </c>
      <c r="C522" s="86" t="str">
        <f t="shared" ca="1" si="114"/>
        <v>MUHAMMED FAREED A S</v>
      </c>
      <c r="D522" s="86" t="str">
        <f t="shared" ca="1" si="115"/>
        <v>FANT</v>
      </c>
      <c r="E522" s="86">
        <f t="shared" ca="1" si="116"/>
        <v>2</v>
      </c>
    </row>
    <row r="523" spans="1:8" ht="14.25" x14ac:dyDescent="0.45">
      <c r="A523" s="86">
        <f ca="1"/>
        <v>4</v>
      </c>
      <c r="B523" s="86" t="str">
        <f ca="1"/>
        <v>A113</v>
      </c>
      <c r="C523" s="86" t="str">
        <f t="shared" ca="1" si="114"/>
        <v>MOIDEEN KAIS</v>
      </c>
      <c r="D523" s="86" t="str">
        <f t="shared" ca="1" si="115"/>
        <v>DAHF</v>
      </c>
      <c r="E523" s="86">
        <f t="shared" ca="1" si="116"/>
        <v>1</v>
      </c>
    </row>
    <row r="524" spans="1:8" ht="14.25" x14ac:dyDescent="0.45">
      <c r="A524" s="86">
        <f ca="1"/>
        <v>5</v>
      </c>
      <c r="B524" s="86" t="str">
        <f ca="1"/>
        <v>A170</v>
      </c>
      <c r="C524" s="86" t="str">
        <f t="shared" ca="1" si="114"/>
        <v>P.V.AHMAD ANAS</v>
      </c>
      <c r="D524" s="86" t="str">
        <f t="shared" ca="1" si="115"/>
        <v>DAHF</v>
      </c>
      <c r="E524" s="86">
        <f t="shared" ca="1" si="116"/>
        <v>2</v>
      </c>
    </row>
    <row r="525" spans="1:8" ht="14.25" x14ac:dyDescent="0.45">
      <c r="A525" s="86">
        <f ca="1"/>
        <v>6</v>
      </c>
      <c r="B525" s="86" t="str">
        <f ca="1"/>
        <v>A174</v>
      </c>
      <c r="C525" s="86" t="str">
        <f t="shared" ca="1" si="114"/>
        <v>THUFAIL</v>
      </c>
      <c r="D525" s="86" t="str">
        <f t="shared" ca="1" si="115"/>
        <v>DAHF</v>
      </c>
      <c r="E525" s="86">
        <f t="shared" ca="1" si="116"/>
        <v>2</v>
      </c>
    </row>
    <row r="526" spans="1:8" ht="14.25" x14ac:dyDescent="0.45">
      <c r="A526" s="86">
        <f ca="1"/>
        <v>7</v>
      </c>
      <c r="B526" s="86" t="str">
        <f ca="1"/>
        <v>A146</v>
      </c>
      <c r="C526" s="86" t="str">
        <f t="shared" ca="1" si="114"/>
        <v>AHAMED ADIL. A</v>
      </c>
      <c r="D526" s="86" t="str">
        <f t="shared" ca="1" si="115"/>
        <v>BADF</v>
      </c>
      <c r="E526" s="86">
        <f t="shared" ca="1" si="116"/>
        <v>2</v>
      </c>
    </row>
    <row r="527" spans="1:8" ht="14.25" x14ac:dyDescent="0.45">
      <c r="A527" s="86">
        <f ca="1"/>
        <v>8</v>
      </c>
      <c r="B527" s="86" t="str">
        <f ca="1"/>
        <v>A163</v>
      </c>
      <c r="C527" s="86" t="str">
        <f t="shared" ca="1" si="114"/>
        <v>MUHAMMED LUQMAN TD</v>
      </c>
      <c r="D527" s="86" t="str">
        <f t="shared" ca="1" si="115"/>
        <v>BADF</v>
      </c>
      <c r="E527" s="86">
        <f t="shared" ca="1" si="116"/>
        <v>2</v>
      </c>
    </row>
    <row r="528" spans="1:8" ht="14.25" x14ac:dyDescent="0.45">
      <c r="A528" s="86">
        <f ca="1"/>
        <v>9</v>
      </c>
      <c r="B528" s="86" t="str">
        <f ca="1"/>
        <v>A166</v>
      </c>
      <c r="C528" s="86" t="str">
        <f t="shared" ca="1" si="114"/>
        <v>Muhammed Naieem</v>
      </c>
      <c r="D528" s="86" t="str">
        <f t="shared" ca="1" si="115"/>
        <v>BADF</v>
      </c>
      <c r="E528" s="86">
        <f t="shared" ca="1" si="116"/>
        <v>2</v>
      </c>
    </row>
    <row r="529" spans="1:8" ht="14.25" x14ac:dyDescent="0.45">
      <c r="A529" s="86">
        <f ca="1"/>
        <v>10</v>
      </c>
      <c r="B529" s="86" t="str">
        <f ca="1"/>
        <v>A130</v>
      </c>
      <c r="C529" s="86" t="str">
        <f t="shared" ca="1" si="114"/>
        <v>MOHAMMAD AJWAD</v>
      </c>
      <c r="D529" s="86" t="str">
        <f t="shared" ca="1" si="115"/>
        <v>JARF</v>
      </c>
      <c r="E529" s="86">
        <f t="shared" ca="1" si="116"/>
        <v>1</v>
      </c>
    </row>
    <row r="530" spans="1:8" ht="14.25" x14ac:dyDescent="0.45">
      <c r="A530" s="86">
        <f ca="1"/>
        <v>11</v>
      </c>
      <c r="B530" s="86" t="str">
        <f ca="1"/>
        <v>A156</v>
      </c>
      <c r="C530" s="86" t="str">
        <f t="shared" ca="1" si="114"/>
        <v>MUHAMMAD SHAHSAD HASAN</v>
      </c>
      <c r="D530" s="86" t="str">
        <f t="shared" ca="1" si="115"/>
        <v>JARF</v>
      </c>
      <c r="E530" s="86">
        <f t="shared" ca="1" si="116"/>
        <v>2</v>
      </c>
    </row>
    <row r="531" spans="1:8" ht="14.25" x14ac:dyDescent="0.45">
      <c r="A531" s="86">
        <f ca="1"/>
        <v>12</v>
      </c>
      <c r="B531" s="86" t="str">
        <f ca="1"/>
        <v>A168</v>
      </c>
      <c r="C531" s="86" t="str">
        <f t="shared" ca="1" si="114"/>
        <v>Muhammed Sinan D A</v>
      </c>
      <c r="D531" s="86" t="str">
        <f t="shared" ca="1" si="115"/>
        <v>JARF</v>
      </c>
      <c r="E531" s="86">
        <f t="shared" ca="1" si="116"/>
        <v>2</v>
      </c>
    </row>
    <row r="532" spans="1:8" ht="14.25" x14ac:dyDescent="0.45">
      <c r="A532" s="84" t="s">
        <v>173</v>
      </c>
      <c r="B532" s="84" t="str">
        <f>VLOOKUP("SJ40",f_detailsof_programs,2,FALSE)</f>
        <v>WORD WIZARD</v>
      </c>
      <c r="C532" s="84"/>
      <c r="D532" s="84" t="s">
        <v>688</v>
      </c>
      <c r="E532" s="84" t="s">
        <v>485</v>
      </c>
      <c r="F532" s="84"/>
      <c r="G532" s="84"/>
      <c r="H532" s="84"/>
    </row>
    <row r="533" spans="1:8" ht="14.25" x14ac:dyDescent="0.45">
      <c r="A533" s="85" t="s">
        <v>16</v>
      </c>
      <c r="B533" s="85" t="s">
        <v>480</v>
      </c>
      <c r="C533" s="85" t="s">
        <v>18</v>
      </c>
      <c r="D533" s="85" t="s">
        <v>481</v>
      </c>
      <c r="E533" s="85" t="s">
        <v>19</v>
      </c>
      <c r="F533" s="85" t="s">
        <v>482</v>
      </c>
      <c r="G533" s="85" t="s">
        <v>483</v>
      </c>
      <c r="H533" s="85" t="s">
        <v>484</v>
      </c>
    </row>
    <row r="534" spans="1:8" ht="14.25" x14ac:dyDescent="0.45">
      <c r="A534" s="86" cm="1">
        <f t="array" aca="1" ref="A534:A545" ca="1">_xlfn.SEQUENCE(COUNTA(_xlfn.LET(_xlpm.trimmed,OFFSET(f_listof_program_candidates,MATCH("SJ40",f_listof_program_codes,0)-1,6,1,),TRANSPOSE(_xlfn._xlws.FILTER(OFFSET(_xlpm.trimmed,0,0,,COUNTA(_xlpm.trimmed)-5),OFFSET(_xlpm.trimmed,0,0,,COUNTA(_xlpm.trimmed)-5)&lt;&gt;0)))))</f>
        <v>1</v>
      </c>
      <c r="B534" s="86" t="str" cm="1">
        <f t="array" aca="1" ref="B534:B545" ca="1">_xlfn.LET(_xlpm.trimmed,OFFSET(f_listof_program_candidates,MATCH("SJ40",f_listof_program_codes,0)-1,6,1,),TRANSPOSE(_xlfn._xlws.FILTER(OFFSET(_xlpm.trimmed,0,0,,COUNTA(_xlpm.trimmed)-5),OFFSET(_xlpm.trimmed,0,0,,COUNTA(_xlpm.trimmed)-5)&lt;&gt;0)))</f>
        <v>A143</v>
      </c>
      <c r="C534" s="86" t="str">
        <f t="shared" ref="C534:C545" ca="1" si="117">VLOOKUP(B534,f_detailsof_candidates,2,FALSE)</f>
        <v>ABDUL AFEEZ C.F</v>
      </c>
      <c r="D534" s="86" t="str">
        <f t="shared" ref="D534:D545" ca="1" si="118">VLOOKUP(B534,f_detailsof_candidates,3,FALSE)</f>
        <v>FANT</v>
      </c>
      <c r="E534" s="86">
        <f t="shared" ref="E534:E545" ca="1" si="119">VLOOKUP(B534,f_detailsof_candidates,5,FALSE)</f>
        <v>2</v>
      </c>
    </row>
    <row r="535" spans="1:8" ht="14.25" x14ac:dyDescent="0.45">
      <c r="A535" s="86">
        <f ca="1"/>
        <v>2</v>
      </c>
      <c r="B535" s="86" t="str">
        <f ca="1"/>
        <v>A150</v>
      </c>
      <c r="C535" s="86" t="str">
        <f t="shared" ca="1" si="117"/>
        <v>MOHAMED JAWHAR J A</v>
      </c>
      <c r="D535" s="86" t="str">
        <f t="shared" ca="1" si="118"/>
        <v>FANT</v>
      </c>
      <c r="E535" s="86">
        <f t="shared" ca="1" si="119"/>
        <v>2</v>
      </c>
    </row>
    <row r="536" spans="1:8" ht="14.25" x14ac:dyDescent="0.45">
      <c r="A536" s="86">
        <f ca="1"/>
        <v>3</v>
      </c>
      <c r="B536" s="86" t="str">
        <f ca="1"/>
        <v>A161</v>
      </c>
      <c r="C536" s="86" t="str">
        <f t="shared" ca="1" si="117"/>
        <v>MUHAMMED FAHAD</v>
      </c>
      <c r="D536" s="86" t="str">
        <f t="shared" ca="1" si="118"/>
        <v>FANT</v>
      </c>
      <c r="E536" s="86">
        <f t="shared" ca="1" si="119"/>
        <v>2</v>
      </c>
    </row>
    <row r="537" spans="1:8" ht="14.25" x14ac:dyDescent="0.45">
      <c r="A537" s="86">
        <f ca="1"/>
        <v>4</v>
      </c>
      <c r="B537" s="86" t="str">
        <f ca="1"/>
        <v>A147</v>
      </c>
      <c r="C537" s="86" t="str">
        <f t="shared" ca="1" si="117"/>
        <v>AHMED WALEED K A</v>
      </c>
      <c r="D537" s="86" t="str">
        <f t="shared" ca="1" si="118"/>
        <v>DAHF</v>
      </c>
      <c r="E537" s="86">
        <f t="shared" ca="1" si="119"/>
        <v>2</v>
      </c>
    </row>
    <row r="538" spans="1:8" ht="14.25" x14ac:dyDescent="0.45">
      <c r="A538" s="86">
        <f ca="1"/>
        <v>5</v>
      </c>
      <c r="B538" s="86" t="str">
        <f ca="1"/>
        <v>A158</v>
      </c>
      <c r="C538" s="86" t="str">
        <f t="shared" ca="1" si="117"/>
        <v>Muhammed Anas</v>
      </c>
      <c r="D538" s="86" t="str">
        <f t="shared" ca="1" si="118"/>
        <v>DAHF</v>
      </c>
      <c r="E538" s="86">
        <f t="shared" ca="1" si="119"/>
        <v>2</v>
      </c>
    </row>
    <row r="539" spans="1:8" ht="14.25" x14ac:dyDescent="0.45">
      <c r="A539" s="86">
        <f ca="1"/>
        <v>6</v>
      </c>
      <c r="B539" s="86" t="str">
        <f ca="1"/>
        <v>A164</v>
      </c>
      <c r="C539" s="86" t="str">
        <f t="shared" ca="1" si="117"/>
        <v>MUHAMMED MICDAD RAMEES A H</v>
      </c>
      <c r="D539" s="86" t="str">
        <f t="shared" ca="1" si="118"/>
        <v>DAHF</v>
      </c>
      <c r="E539" s="86">
        <f t="shared" ca="1" si="119"/>
        <v>2</v>
      </c>
    </row>
    <row r="540" spans="1:8" ht="14.25" x14ac:dyDescent="0.45">
      <c r="A540" s="86">
        <f ca="1"/>
        <v>7</v>
      </c>
      <c r="B540" s="86" t="str">
        <f ca="1"/>
        <v>A104</v>
      </c>
      <c r="C540" s="86" t="str">
        <f t="shared" ca="1" si="117"/>
        <v>MUHAMMAD AZEEM</v>
      </c>
      <c r="D540" s="86" t="str">
        <f t="shared" ca="1" si="118"/>
        <v>BADF</v>
      </c>
      <c r="E540" s="86">
        <f t="shared" ca="1" si="119"/>
        <v>1</v>
      </c>
    </row>
    <row r="541" spans="1:8" ht="14.25" x14ac:dyDescent="0.45">
      <c r="A541" s="86">
        <f ca="1"/>
        <v>8</v>
      </c>
      <c r="B541" s="86" t="str">
        <f ca="1"/>
        <v>A145</v>
      </c>
      <c r="C541" s="86" t="str">
        <f t="shared" ca="1" si="117"/>
        <v>ABDULLAH A P</v>
      </c>
      <c r="D541" s="86" t="str">
        <f t="shared" ca="1" si="118"/>
        <v>BADF</v>
      </c>
      <c r="E541" s="86">
        <f t="shared" ca="1" si="119"/>
        <v>2</v>
      </c>
    </row>
    <row r="542" spans="1:8" ht="14.25" x14ac:dyDescent="0.45">
      <c r="A542" s="86">
        <f ca="1"/>
        <v>9</v>
      </c>
      <c r="B542" s="86" t="str">
        <f ca="1"/>
        <v>A166</v>
      </c>
      <c r="C542" s="86" t="str">
        <f t="shared" ca="1" si="117"/>
        <v>Muhammed Naieem</v>
      </c>
      <c r="D542" s="86" t="str">
        <f t="shared" ca="1" si="118"/>
        <v>BADF</v>
      </c>
      <c r="E542" s="86">
        <f t="shared" ca="1" si="119"/>
        <v>2</v>
      </c>
    </row>
    <row r="543" spans="1:8" ht="14.25" x14ac:dyDescent="0.45">
      <c r="A543" s="86">
        <f ca="1"/>
        <v>10</v>
      </c>
      <c r="B543" s="86" t="str">
        <f ca="1"/>
        <v>A103</v>
      </c>
      <c r="C543" s="86" t="str">
        <f t="shared" ca="1" si="117"/>
        <v>MUHAMMED RIZIN AMAN</v>
      </c>
      <c r="D543" s="86" t="str">
        <f t="shared" ca="1" si="118"/>
        <v>JARF</v>
      </c>
      <c r="E543" s="86">
        <f t="shared" ca="1" si="119"/>
        <v>1</v>
      </c>
    </row>
    <row r="544" spans="1:8" ht="14.25" x14ac:dyDescent="0.45">
      <c r="A544" s="86">
        <f ca="1"/>
        <v>11</v>
      </c>
      <c r="B544" s="86" t="str">
        <f ca="1"/>
        <v>A126</v>
      </c>
      <c r="C544" s="86" t="str">
        <f t="shared" ca="1" si="117"/>
        <v>MUHAMMED ZAID</v>
      </c>
      <c r="D544" s="86" t="str">
        <f t="shared" ca="1" si="118"/>
        <v>JARF</v>
      </c>
      <c r="E544" s="86">
        <f t="shared" ca="1" si="119"/>
        <v>1</v>
      </c>
    </row>
    <row r="545" spans="1:8" ht="14.25" x14ac:dyDescent="0.45">
      <c r="A545" s="86">
        <f ca="1"/>
        <v>12</v>
      </c>
      <c r="B545" s="86" t="str">
        <f ca="1"/>
        <v>A141</v>
      </c>
      <c r="C545" s="86" t="str">
        <f t="shared" ca="1" si="117"/>
        <v>MUHAMMED SHUHAIR</v>
      </c>
      <c r="D545" s="86" t="str">
        <f t="shared" ca="1" si="118"/>
        <v>JARF</v>
      </c>
      <c r="E545" s="86">
        <f t="shared" ca="1" si="119"/>
        <v>2</v>
      </c>
    </row>
    <row r="546" spans="1:8" ht="14.25" x14ac:dyDescent="0.45">
      <c r="A546" s="84" t="s">
        <v>175</v>
      </c>
      <c r="B546" s="84" t="str">
        <f>VLOOKUP("SJ41",f_detailsof_programs,2,FALSE)</f>
        <v>CONVERSATION MLM</v>
      </c>
      <c r="C546" s="84"/>
      <c r="D546" s="84" t="s">
        <v>688</v>
      </c>
      <c r="E546" s="84" t="s">
        <v>486</v>
      </c>
      <c r="F546" s="84"/>
      <c r="G546" s="84"/>
      <c r="H546" s="84"/>
    </row>
    <row r="547" spans="1:8" ht="14.25" x14ac:dyDescent="0.45">
      <c r="A547" s="85" t="s">
        <v>16</v>
      </c>
      <c r="B547" s="85" t="s">
        <v>480</v>
      </c>
      <c r="C547" s="85" t="s">
        <v>18</v>
      </c>
      <c r="D547" s="85" t="s">
        <v>481</v>
      </c>
      <c r="E547" s="85" t="s">
        <v>19</v>
      </c>
      <c r="F547" s="85" t="s">
        <v>482</v>
      </c>
      <c r="G547" s="85" t="s">
        <v>483</v>
      </c>
      <c r="H547" s="85" t="s">
        <v>484</v>
      </c>
    </row>
    <row r="548" spans="1:8" ht="14.25" x14ac:dyDescent="0.45">
      <c r="A548" s="86" cm="1">
        <f t="array" aca="1" ref="A548:A555" ca="1">_xlfn.SEQUENCE(COUNTA(_xlfn.LET(_xlpm.trimmed,OFFSET(f_listof_program_candidates,MATCH("SJ41",f_listof_program_codes,0)-1,6,1,),TRANSPOSE(_xlfn._xlws.FILTER(OFFSET(_xlpm.trimmed,0,0,,COUNTA(_xlpm.trimmed)-5),OFFSET(_xlpm.trimmed,0,0,,COUNTA(_xlpm.trimmed)-5)&lt;&gt;0)))))</f>
        <v>1</v>
      </c>
      <c r="B548" s="86" t="str" cm="1">
        <f t="array" aca="1" ref="B548:B555" ca="1">_xlfn.LET(_xlpm.trimmed,OFFSET(f_listof_program_candidates,MATCH("SJ41",f_listof_program_codes,0)-1,6,1,),TRANSPOSE(_xlfn._xlws.FILTER(OFFSET(_xlpm.trimmed,0,0,,COUNTA(_xlpm.trimmed)-5),OFFSET(_xlpm.trimmed,0,0,,COUNTA(_xlpm.trimmed)-5)&lt;&gt;0)))</f>
        <v>A105</v>
      </c>
      <c r="C548" s="86" t="str">
        <f t="shared" ref="C548:C555" ca="1" si="120">VLOOKUP(B548,f_detailsof_candidates,2,FALSE)</f>
        <v>MUHAMMED HAFIZ S T</v>
      </c>
      <c r="D548" s="86" t="str">
        <f t="shared" ref="D548:D555" ca="1" si="121">VLOOKUP(B548,f_detailsof_candidates,3,FALSE)</f>
        <v>FANT</v>
      </c>
      <c r="E548" s="86">
        <f t="shared" ref="E548:E555" ca="1" si="122">VLOOKUP(B548,f_detailsof_candidates,5,FALSE)</f>
        <v>1</v>
      </c>
    </row>
    <row r="549" spans="1:8" ht="14.25" x14ac:dyDescent="0.45">
      <c r="A549" s="86">
        <f ca="1"/>
        <v>2</v>
      </c>
      <c r="B549" s="86" t="str">
        <f ca="1"/>
        <v>A129</v>
      </c>
      <c r="C549" s="86" t="str">
        <f t="shared" ca="1" si="120"/>
        <v>MUHAMMED BIN JAFAR</v>
      </c>
      <c r="D549" s="86" t="str">
        <f t="shared" ca="1" si="121"/>
        <v>FANT</v>
      </c>
      <c r="E549" s="86">
        <f t="shared" ca="1" si="122"/>
        <v>1</v>
      </c>
    </row>
    <row r="550" spans="1:8" ht="14.25" x14ac:dyDescent="0.45">
      <c r="A550" s="86">
        <f ca="1"/>
        <v>3</v>
      </c>
      <c r="B550" s="86" t="str">
        <f ca="1"/>
        <v>A131</v>
      </c>
      <c r="C550" s="86" t="str">
        <f t="shared" ca="1" si="120"/>
        <v>FAZIL ABDULLA</v>
      </c>
      <c r="D550" s="86" t="str">
        <f t="shared" ca="1" si="121"/>
        <v>DAHF</v>
      </c>
      <c r="E550" s="86">
        <f t="shared" ca="1" si="122"/>
        <v>1</v>
      </c>
    </row>
    <row r="551" spans="1:8" ht="14.25" x14ac:dyDescent="0.45">
      <c r="A551" s="86">
        <f ca="1"/>
        <v>4</v>
      </c>
      <c r="B551" s="86" t="str">
        <f ca="1"/>
        <v>A134</v>
      </c>
      <c r="C551" s="86" t="str">
        <f t="shared" ca="1" si="120"/>
        <v>YASEEN MUHAMMED</v>
      </c>
      <c r="D551" s="86" t="str">
        <f t="shared" ca="1" si="121"/>
        <v>DAHF</v>
      </c>
      <c r="E551" s="86">
        <f t="shared" ca="1" si="122"/>
        <v>1</v>
      </c>
    </row>
    <row r="552" spans="1:8" ht="14.25" x14ac:dyDescent="0.45">
      <c r="A552" s="86">
        <f ca="1"/>
        <v>5</v>
      </c>
      <c r="B552" s="86" t="str">
        <f ca="1"/>
        <v>A127</v>
      </c>
      <c r="C552" s="86" t="str">
        <f t="shared" ca="1" si="120"/>
        <v>MUHAMMED HAFEEZ P</v>
      </c>
      <c r="D552" s="86" t="str">
        <f t="shared" ca="1" si="121"/>
        <v>BADF</v>
      </c>
      <c r="E552" s="86">
        <f t="shared" ca="1" si="122"/>
        <v>1</v>
      </c>
    </row>
    <row r="553" spans="1:8" ht="14.25" x14ac:dyDescent="0.45">
      <c r="A553" s="86">
        <f ca="1"/>
        <v>6</v>
      </c>
      <c r="B553" s="86" t="str">
        <f ca="1"/>
        <v>A166</v>
      </c>
      <c r="C553" s="86" t="str">
        <f t="shared" ca="1" si="120"/>
        <v>Muhammed Naieem</v>
      </c>
      <c r="D553" s="86" t="str">
        <f t="shared" ca="1" si="121"/>
        <v>BADF</v>
      </c>
      <c r="E553" s="86">
        <f t="shared" ca="1" si="122"/>
        <v>2</v>
      </c>
    </row>
    <row r="554" spans="1:8" ht="14.25" x14ac:dyDescent="0.45">
      <c r="A554" s="86">
        <f ca="1"/>
        <v>7</v>
      </c>
      <c r="B554" s="86" t="str">
        <f ca="1"/>
        <v>A155</v>
      </c>
      <c r="C554" s="86" t="str">
        <f t="shared" ca="1" si="120"/>
        <v>Muhammad M</v>
      </c>
      <c r="D554" s="86" t="str">
        <f t="shared" ca="1" si="121"/>
        <v>JARF</v>
      </c>
      <c r="E554" s="86">
        <f t="shared" ca="1" si="122"/>
        <v>2</v>
      </c>
    </row>
    <row r="555" spans="1:8" ht="14.25" x14ac:dyDescent="0.45">
      <c r="A555" s="86">
        <f ca="1"/>
        <v>8</v>
      </c>
      <c r="B555" s="86" t="str">
        <f ca="1"/>
        <v>A156</v>
      </c>
      <c r="C555" s="86" t="str">
        <f t="shared" ca="1" si="120"/>
        <v>MUHAMMAD SHAHSAD HASAN</v>
      </c>
      <c r="D555" s="86" t="str">
        <f t="shared" ca="1" si="121"/>
        <v>JARF</v>
      </c>
      <c r="E555" s="86">
        <f t="shared" ca="1" si="122"/>
        <v>2</v>
      </c>
    </row>
    <row r="556" spans="1:8" ht="14.25" x14ac:dyDescent="0.45">
      <c r="A556" s="84" t="s">
        <v>178</v>
      </c>
      <c r="B556" s="84" t="str">
        <f>VLOOKUP("SJ42",f_detailsof_programs,2,FALSE)</f>
        <v>MASH UP</v>
      </c>
      <c r="C556" s="84"/>
      <c r="D556" s="84" t="s">
        <v>688</v>
      </c>
      <c r="E556" s="84" t="s">
        <v>636</v>
      </c>
      <c r="F556" s="84"/>
      <c r="G556" s="84"/>
      <c r="H556" s="84"/>
    </row>
    <row r="557" spans="1:8" ht="14.25" x14ac:dyDescent="0.45">
      <c r="A557" s="85" t="s">
        <v>16</v>
      </c>
      <c r="B557" s="85" t="s">
        <v>480</v>
      </c>
      <c r="C557" s="85" t="s">
        <v>18</v>
      </c>
      <c r="D557" s="85" t="s">
        <v>481</v>
      </c>
      <c r="E557" s="85" t="s">
        <v>19</v>
      </c>
      <c r="F557" s="85" t="s">
        <v>482</v>
      </c>
      <c r="G557" s="85" t="s">
        <v>483</v>
      </c>
      <c r="H557" s="85" t="s">
        <v>484</v>
      </c>
    </row>
    <row r="558" spans="1:8" ht="14.25" x14ac:dyDescent="0.45">
      <c r="A558" s="86" cm="1">
        <f t="array" aca="1" ref="A558:A581" ca="1">_xlfn.SEQUENCE(COUNTA(_xlfn.LET(_xlpm.trimmed,OFFSET(f_listof_program_candidates,MATCH("SJ42",f_listof_program_codes,0)-1,6,1,),TRANSPOSE(_xlfn._xlws.FILTER(OFFSET(_xlpm.trimmed,0,0,,COUNTA(_xlpm.trimmed)-5),OFFSET(_xlpm.trimmed,0,0,,COUNTA(_xlpm.trimmed)-5)&lt;&gt;0)))))</f>
        <v>1</v>
      </c>
      <c r="B558" s="86" t="str" cm="1">
        <f t="array" aca="1" ref="B558:B581" ca="1">_xlfn.LET(_xlpm.trimmed,OFFSET(f_listof_program_candidates,MATCH("SJ42",f_listof_program_codes,0)-1,6,1,),TRANSPOSE(_xlfn._xlws.FILTER(OFFSET(_xlpm.trimmed,0,0,,COUNTA(_xlpm.trimmed)-5),OFFSET(_xlpm.trimmed,0,0,,COUNTA(_xlpm.trimmed)-5)&lt;&gt;0)))</f>
        <v>A110</v>
      </c>
      <c r="C558" s="86" t="str">
        <f t="shared" ref="C558:C581" ca="1" si="123">VLOOKUP(B558,f_detailsof_candidates,2,FALSE)</f>
        <v>Muhammed Hisham K M</v>
      </c>
      <c r="D558" s="86" t="str">
        <f t="shared" ref="D558:D581" ca="1" si="124">VLOOKUP(B558,f_detailsof_candidates,3,FALSE)</f>
        <v>FANT</v>
      </c>
      <c r="E558" s="86">
        <f t="shared" ref="E558:E581" ca="1" si="125">VLOOKUP(B558,f_detailsof_candidates,5,FALSE)</f>
        <v>1</v>
      </c>
    </row>
    <row r="559" spans="1:8" ht="14.25" x14ac:dyDescent="0.45">
      <c r="A559" s="86">
        <f ca="1"/>
        <v>2</v>
      </c>
      <c r="B559" s="86" t="str">
        <f ca="1"/>
        <v>A111</v>
      </c>
      <c r="C559" s="86" t="str">
        <f t="shared" ca="1" si="123"/>
        <v>HUSSAIN MUHAVIZ B A</v>
      </c>
      <c r="D559" s="86" t="str">
        <f t="shared" ca="1" si="124"/>
        <v>FANT</v>
      </c>
      <c r="E559" s="86">
        <f t="shared" ca="1" si="125"/>
        <v>1</v>
      </c>
    </row>
    <row r="560" spans="1:8" ht="14.25" x14ac:dyDescent="0.45">
      <c r="A560" s="86">
        <f ca="1"/>
        <v>3</v>
      </c>
      <c r="B560" s="86" t="str">
        <f ca="1"/>
        <v>A140</v>
      </c>
      <c r="C560" s="86" t="str">
        <f t="shared" ca="1" si="123"/>
        <v>MUHAMMED AFLAH.MK</v>
      </c>
      <c r="D560" s="86" t="str">
        <f t="shared" ca="1" si="124"/>
        <v>FANT</v>
      </c>
      <c r="E560" s="86">
        <f t="shared" ca="1" si="125"/>
        <v>2</v>
      </c>
    </row>
    <row r="561" spans="1:5" ht="14.25" x14ac:dyDescent="0.45">
      <c r="A561" s="86">
        <f ca="1"/>
        <v>4</v>
      </c>
      <c r="B561" s="86" t="str">
        <f ca="1"/>
        <v>A143</v>
      </c>
      <c r="C561" s="86" t="str">
        <f t="shared" ca="1" si="123"/>
        <v>ABDUL AFEEZ C.F</v>
      </c>
      <c r="D561" s="86" t="str">
        <f t="shared" ca="1" si="124"/>
        <v>FANT</v>
      </c>
      <c r="E561" s="86">
        <f t="shared" ca="1" si="125"/>
        <v>2</v>
      </c>
    </row>
    <row r="562" spans="1:5" ht="14.25" x14ac:dyDescent="0.45">
      <c r="A562" s="86">
        <f ca="1"/>
        <v>5</v>
      </c>
      <c r="B562" s="86" t="str">
        <f ca="1"/>
        <v>A151</v>
      </c>
      <c r="C562" s="86" t="str">
        <f t="shared" ca="1" si="123"/>
        <v>Mohammad Yaseen</v>
      </c>
      <c r="D562" s="86" t="str">
        <f t="shared" ca="1" si="124"/>
        <v>FANT</v>
      </c>
      <c r="E562" s="86">
        <f t="shared" ca="1" si="125"/>
        <v>2</v>
      </c>
    </row>
    <row r="563" spans="1:5" ht="14.25" x14ac:dyDescent="0.45">
      <c r="A563" s="86">
        <f ca="1"/>
        <v>6</v>
      </c>
      <c r="B563" s="86" t="str">
        <f ca="1"/>
        <v>A153</v>
      </c>
      <c r="C563" s="86" t="str">
        <f t="shared" ca="1" si="123"/>
        <v>MOHAMMED SAWA T A</v>
      </c>
      <c r="D563" s="86" t="str">
        <f t="shared" ca="1" si="124"/>
        <v>FANT</v>
      </c>
      <c r="E563" s="86">
        <f t="shared" ca="1" si="125"/>
        <v>2</v>
      </c>
    </row>
    <row r="564" spans="1:5" ht="14.25" x14ac:dyDescent="0.45">
      <c r="A564" s="86">
        <f ca="1"/>
        <v>7</v>
      </c>
      <c r="B564" s="86" t="str">
        <f ca="1"/>
        <v>A115</v>
      </c>
      <c r="C564" s="86" t="str">
        <f t="shared" ca="1" si="123"/>
        <v>K MUHAMMAD JALAL</v>
      </c>
      <c r="D564" s="86" t="str">
        <f t="shared" ca="1" si="124"/>
        <v>DAHF</v>
      </c>
      <c r="E564" s="86">
        <f t="shared" ca="1" si="125"/>
        <v>1</v>
      </c>
    </row>
    <row r="565" spans="1:5" ht="14.25" x14ac:dyDescent="0.45">
      <c r="A565" s="86">
        <f ca="1"/>
        <v>8</v>
      </c>
      <c r="B565" s="86" t="str">
        <f ca="1"/>
        <v>A158</v>
      </c>
      <c r="C565" s="86" t="str">
        <f t="shared" ca="1" si="123"/>
        <v>Muhammed Anas</v>
      </c>
      <c r="D565" s="86" t="str">
        <f t="shared" ca="1" si="124"/>
        <v>DAHF</v>
      </c>
      <c r="E565" s="86">
        <f t="shared" ca="1" si="125"/>
        <v>2</v>
      </c>
    </row>
    <row r="566" spans="1:5" ht="14.25" x14ac:dyDescent="0.45">
      <c r="A566" s="86">
        <f ca="1"/>
        <v>9</v>
      </c>
      <c r="B566" s="86" t="str">
        <f ca="1"/>
        <v>A174</v>
      </c>
      <c r="C566" s="86" t="str">
        <f t="shared" ca="1" si="123"/>
        <v>THUFAIL</v>
      </c>
      <c r="D566" s="86" t="str">
        <f t="shared" ca="1" si="124"/>
        <v>DAHF</v>
      </c>
      <c r="E566" s="86">
        <f t="shared" ca="1" si="125"/>
        <v>2</v>
      </c>
    </row>
    <row r="567" spans="1:5" ht="14.25" x14ac:dyDescent="0.45">
      <c r="A567" s="86">
        <f ca="1"/>
        <v>10</v>
      </c>
      <c r="B567" s="86" t="str">
        <f ca="1"/>
        <v>A113</v>
      </c>
      <c r="C567" s="86" t="str">
        <f t="shared" ca="1" si="123"/>
        <v>MOIDEEN KAIS</v>
      </c>
      <c r="D567" s="86" t="str">
        <f t="shared" ca="1" si="124"/>
        <v>DAHF</v>
      </c>
      <c r="E567" s="86">
        <f t="shared" ca="1" si="125"/>
        <v>1</v>
      </c>
    </row>
    <row r="568" spans="1:5" ht="14.25" x14ac:dyDescent="0.45">
      <c r="A568" s="86">
        <f ca="1"/>
        <v>11</v>
      </c>
      <c r="B568" s="86" t="str">
        <f ca="1"/>
        <v>A125</v>
      </c>
      <c r="C568" s="86" t="str">
        <f t="shared" ca="1" si="123"/>
        <v>MUHAMMED RAZI A T</v>
      </c>
      <c r="D568" s="86" t="str">
        <f t="shared" ca="1" si="124"/>
        <v>DAHF</v>
      </c>
      <c r="E568" s="86">
        <f t="shared" ca="1" si="125"/>
        <v>1</v>
      </c>
    </row>
    <row r="569" spans="1:5" ht="14.25" x14ac:dyDescent="0.45">
      <c r="A569" s="86">
        <f ca="1"/>
        <v>12</v>
      </c>
      <c r="B569" s="86" t="str">
        <f ca="1"/>
        <v>A131</v>
      </c>
      <c r="C569" s="86" t="str">
        <f t="shared" ca="1" si="123"/>
        <v>FAZIL ABDULLA</v>
      </c>
      <c r="D569" s="86" t="str">
        <f t="shared" ca="1" si="124"/>
        <v>DAHF</v>
      </c>
      <c r="E569" s="86">
        <f t="shared" ca="1" si="125"/>
        <v>1</v>
      </c>
    </row>
    <row r="570" spans="1:5" ht="14.25" x14ac:dyDescent="0.45">
      <c r="A570" s="86">
        <f ca="1"/>
        <v>13</v>
      </c>
      <c r="B570" s="86" t="str">
        <f ca="1"/>
        <v>A127</v>
      </c>
      <c r="C570" s="86" t="str">
        <f t="shared" ca="1" si="123"/>
        <v>MUHAMMED HAFEEZ P</v>
      </c>
      <c r="D570" s="86" t="str">
        <f t="shared" ca="1" si="124"/>
        <v>BADF</v>
      </c>
      <c r="E570" s="86">
        <f t="shared" ca="1" si="125"/>
        <v>1</v>
      </c>
    </row>
    <row r="571" spans="1:5" ht="14.25" x14ac:dyDescent="0.45">
      <c r="A571" s="86">
        <f ca="1"/>
        <v>14</v>
      </c>
      <c r="B571" s="86" t="str">
        <f ca="1"/>
        <v>A142</v>
      </c>
      <c r="C571" s="86" t="str">
        <f t="shared" ca="1" si="123"/>
        <v>Muhammed Anshad A</v>
      </c>
      <c r="D571" s="86" t="str">
        <f t="shared" ca="1" si="124"/>
        <v>BADF</v>
      </c>
      <c r="E571" s="86">
        <f t="shared" ca="1" si="125"/>
        <v>2</v>
      </c>
    </row>
    <row r="572" spans="1:5" ht="14.25" x14ac:dyDescent="0.45">
      <c r="A572" s="86">
        <f ca="1"/>
        <v>15</v>
      </c>
      <c r="B572" s="86" t="str">
        <f ca="1"/>
        <v>A167</v>
      </c>
      <c r="C572" s="86" t="str">
        <f t="shared" ca="1" si="123"/>
        <v>MUHAMMED RAEES C A</v>
      </c>
      <c r="D572" s="86" t="str">
        <f t="shared" ca="1" si="124"/>
        <v>BADF</v>
      </c>
      <c r="E572" s="86">
        <f t="shared" ca="1" si="125"/>
        <v>2</v>
      </c>
    </row>
    <row r="573" spans="1:5" ht="14.25" x14ac:dyDescent="0.45">
      <c r="A573" s="86">
        <f ca="1"/>
        <v>16</v>
      </c>
      <c r="B573" s="86" t="str">
        <f ca="1"/>
        <v>A152</v>
      </c>
      <c r="C573" s="86" t="str">
        <f t="shared" ca="1" si="123"/>
        <v>MOHAMMED QUBAIB A H</v>
      </c>
      <c r="D573" s="86" t="str">
        <f t="shared" ca="1" si="124"/>
        <v>BADF</v>
      </c>
      <c r="E573" s="86">
        <f t="shared" ca="1" si="125"/>
        <v>2</v>
      </c>
    </row>
    <row r="574" spans="1:5" ht="14.25" x14ac:dyDescent="0.45">
      <c r="A574" s="86">
        <f ca="1"/>
        <v>17</v>
      </c>
      <c r="B574" s="86" t="str">
        <f ca="1"/>
        <v>A163</v>
      </c>
      <c r="C574" s="86" t="str">
        <f t="shared" ca="1" si="123"/>
        <v>MUHAMMED LUQMAN TD</v>
      </c>
      <c r="D574" s="86" t="str">
        <f t="shared" ca="1" si="124"/>
        <v>BADF</v>
      </c>
      <c r="E574" s="86">
        <f t="shared" ca="1" si="125"/>
        <v>2</v>
      </c>
    </row>
    <row r="575" spans="1:5" ht="14.25" x14ac:dyDescent="0.45">
      <c r="A575" s="86">
        <f ca="1"/>
        <v>18</v>
      </c>
      <c r="B575" s="86" t="str">
        <f ca="1"/>
        <v>A166</v>
      </c>
      <c r="C575" s="86" t="str">
        <f t="shared" ca="1" si="123"/>
        <v>Muhammed Naieem</v>
      </c>
      <c r="D575" s="86" t="str">
        <f t="shared" ca="1" si="124"/>
        <v>BADF</v>
      </c>
      <c r="E575" s="86">
        <f t="shared" ca="1" si="125"/>
        <v>2</v>
      </c>
    </row>
    <row r="576" spans="1:5" ht="14.25" x14ac:dyDescent="0.45">
      <c r="A576" s="86">
        <f ca="1"/>
        <v>19</v>
      </c>
      <c r="B576" s="86" t="str">
        <f ca="1"/>
        <v>A102</v>
      </c>
      <c r="C576" s="86" t="str">
        <f t="shared" ca="1" si="123"/>
        <v>AJZAL ASHRAF OV</v>
      </c>
      <c r="D576" s="86" t="str">
        <f t="shared" ca="1" si="124"/>
        <v>JARF</v>
      </c>
      <c r="E576" s="86">
        <f t="shared" ca="1" si="125"/>
        <v>1</v>
      </c>
    </row>
    <row r="577" spans="1:8" ht="14.25" x14ac:dyDescent="0.45">
      <c r="A577" s="86">
        <f ca="1"/>
        <v>20</v>
      </c>
      <c r="B577" s="86" t="str">
        <f ca="1"/>
        <v>A121</v>
      </c>
      <c r="C577" s="86" t="str">
        <f t="shared" ca="1" si="123"/>
        <v>BEERAN MUEENUDHEEN MH</v>
      </c>
      <c r="D577" s="86" t="str">
        <f t="shared" ca="1" si="124"/>
        <v>JARF</v>
      </c>
      <c r="E577" s="86">
        <f t="shared" ca="1" si="125"/>
        <v>1</v>
      </c>
    </row>
    <row r="578" spans="1:8" ht="14.25" x14ac:dyDescent="0.45">
      <c r="A578" s="86">
        <f ca="1"/>
        <v>21</v>
      </c>
      <c r="B578" s="86" t="str">
        <f ca="1"/>
        <v>A144</v>
      </c>
      <c r="C578" s="86" t="str">
        <f t="shared" ca="1" si="123"/>
        <v>ABDULLA</v>
      </c>
      <c r="D578" s="86" t="str">
        <f t="shared" ca="1" si="124"/>
        <v>JARF</v>
      </c>
      <c r="E578" s="86">
        <f t="shared" ca="1" si="125"/>
        <v>2</v>
      </c>
    </row>
    <row r="579" spans="1:8" ht="14.25" x14ac:dyDescent="0.45">
      <c r="A579" s="86">
        <f ca="1"/>
        <v>22</v>
      </c>
      <c r="B579" s="86" t="str">
        <f ca="1"/>
        <v>A154</v>
      </c>
      <c r="C579" s="86" t="str">
        <f t="shared" ca="1" si="123"/>
        <v>MOHAMMED WASIM SHAHAD SM</v>
      </c>
      <c r="D579" s="86" t="str">
        <f t="shared" ca="1" si="124"/>
        <v>JARF</v>
      </c>
      <c r="E579" s="86">
        <f t="shared" ca="1" si="125"/>
        <v>2</v>
      </c>
    </row>
    <row r="580" spans="1:8" ht="14.25" x14ac:dyDescent="0.45">
      <c r="A580" s="86">
        <f ca="1"/>
        <v>23</v>
      </c>
      <c r="B580" s="86" t="str">
        <f ca="1"/>
        <v>A159</v>
      </c>
      <c r="C580" s="86" t="str">
        <f t="shared" ca="1" si="123"/>
        <v>MUHAMMED ASHIR M</v>
      </c>
      <c r="D580" s="86" t="str">
        <f t="shared" ca="1" si="124"/>
        <v>JARF</v>
      </c>
      <c r="E580" s="86">
        <f t="shared" ca="1" si="125"/>
        <v>2</v>
      </c>
    </row>
    <row r="581" spans="1:8" ht="14.25" x14ac:dyDescent="0.45">
      <c r="A581" s="86">
        <f ca="1"/>
        <v>24</v>
      </c>
      <c r="B581" s="86" t="str">
        <f ca="1"/>
        <v>A160</v>
      </c>
      <c r="C581" s="86" t="str">
        <f t="shared" ca="1" si="123"/>
        <v>MUHAMMED AYAAN</v>
      </c>
      <c r="D581" s="86" t="str">
        <f t="shared" ca="1" si="124"/>
        <v>JARF</v>
      </c>
      <c r="E581" s="86">
        <f t="shared" ca="1" si="125"/>
        <v>2</v>
      </c>
    </row>
    <row r="582" spans="1:8" ht="14.25" x14ac:dyDescent="0.45">
      <c r="A582" s="84" t="s">
        <v>181</v>
      </c>
      <c r="B582" s="84" t="str">
        <f>VLOOKUP("SJ43",f_detailsof_programs,2,FALSE)</f>
        <v>SPEECH &amp; SONG MLM</v>
      </c>
      <c r="C582" s="84"/>
      <c r="D582" s="84" t="s">
        <v>688</v>
      </c>
      <c r="E582" s="84" t="s">
        <v>485</v>
      </c>
      <c r="F582" s="84"/>
      <c r="G582" s="84"/>
      <c r="H582" s="84"/>
    </row>
    <row r="583" spans="1:8" ht="14.25" x14ac:dyDescent="0.45">
      <c r="A583" s="85" t="s">
        <v>16</v>
      </c>
      <c r="B583" s="85" t="s">
        <v>480</v>
      </c>
      <c r="C583" s="85" t="s">
        <v>18</v>
      </c>
      <c r="D583" s="85" t="s">
        <v>481</v>
      </c>
      <c r="E583" s="85" t="s">
        <v>19</v>
      </c>
      <c r="F583" s="85" t="s">
        <v>482</v>
      </c>
      <c r="G583" s="85" t="s">
        <v>483</v>
      </c>
      <c r="H583" s="85" t="s">
        <v>484</v>
      </c>
    </row>
    <row r="584" spans="1:8" ht="14.25" x14ac:dyDescent="0.45">
      <c r="A584" s="86" cm="1">
        <f t="array" aca="1" ref="A584:A595" ca="1">_xlfn.SEQUENCE(COUNTA(_xlfn.LET(_xlpm.trimmed,OFFSET(f_listof_program_candidates,MATCH("SJ43",f_listof_program_codes,0)-1,6,1,),TRANSPOSE(_xlfn._xlws.FILTER(OFFSET(_xlpm.trimmed,0,0,,COUNTA(_xlpm.trimmed)-5),OFFSET(_xlpm.trimmed,0,0,,COUNTA(_xlpm.trimmed)-5)&lt;&gt;0)))))</f>
        <v>1</v>
      </c>
      <c r="B584" s="86" t="str" cm="1">
        <f t="array" aca="1" ref="B584:B595" ca="1">_xlfn.LET(_xlpm.trimmed,OFFSET(f_listof_program_candidates,MATCH("SJ43",f_listof_program_codes,0)-1,6,1,),TRANSPOSE(_xlfn._xlws.FILTER(OFFSET(_xlpm.trimmed,0,0,,COUNTA(_xlpm.trimmed)-5),OFFSET(_xlpm.trimmed,0,0,,COUNTA(_xlpm.trimmed)-5)&lt;&gt;0)))</f>
        <v>A111</v>
      </c>
      <c r="C584" s="86" t="str">
        <f t="shared" ref="C584:C595" ca="1" si="126">VLOOKUP(B584,f_detailsof_candidates,2,FALSE)</f>
        <v>HUSSAIN MUHAVIZ B A</v>
      </c>
      <c r="D584" s="86" t="str">
        <f t="shared" ref="D584:D595" ca="1" si="127">VLOOKUP(B584,f_detailsof_candidates,3,FALSE)</f>
        <v>FANT</v>
      </c>
      <c r="E584" s="86">
        <f t="shared" ref="E584:E595" ca="1" si="128">VLOOKUP(B584,f_detailsof_candidates,5,FALSE)</f>
        <v>1</v>
      </c>
    </row>
    <row r="585" spans="1:8" ht="14.25" x14ac:dyDescent="0.45">
      <c r="A585" s="86">
        <f ca="1"/>
        <v>2</v>
      </c>
      <c r="B585" s="86" t="str">
        <f ca="1"/>
        <v>A140</v>
      </c>
      <c r="C585" s="86" t="str">
        <f t="shared" ca="1" si="126"/>
        <v>MUHAMMED AFLAH.MK</v>
      </c>
      <c r="D585" s="86" t="str">
        <f t="shared" ca="1" si="127"/>
        <v>FANT</v>
      </c>
      <c r="E585" s="86">
        <f t="shared" ca="1" si="128"/>
        <v>2</v>
      </c>
    </row>
    <row r="586" spans="1:8" ht="14.25" x14ac:dyDescent="0.45">
      <c r="A586" s="86">
        <f ca="1"/>
        <v>3</v>
      </c>
      <c r="B586" s="86" t="str">
        <f ca="1"/>
        <v>A153</v>
      </c>
      <c r="C586" s="86" t="str">
        <f t="shared" ca="1" si="126"/>
        <v>MOHAMMED SAWA T A</v>
      </c>
      <c r="D586" s="86" t="str">
        <f t="shared" ca="1" si="127"/>
        <v>FANT</v>
      </c>
      <c r="E586" s="86">
        <f t="shared" ca="1" si="128"/>
        <v>2</v>
      </c>
    </row>
    <row r="587" spans="1:8" ht="14.25" x14ac:dyDescent="0.45">
      <c r="A587" s="86">
        <f ca="1"/>
        <v>4</v>
      </c>
      <c r="B587" s="86" t="str">
        <f ca="1"/>
        <v>A158</v>
      </c>
      <c r="C587" s="86" t="str">
        <f t="shared" ca="1" si="126"/>
        <v>Muhammed Anas</v>
      </c>
      <c r="D587" s="86" t="str">
        <f t="shared" ca="1" si="127"/>
        <v>DAHF</v>
      </c>
      <c r="E587" s="86">
        <f t="shared" ca="1" si="128"/>
        <v>2</v>
      </c>
    </row>
    <row r="588" spans="1:8" ht="14.25" x14ac:dyDescent="0.45">
      <c r="A588" s="86">
        <f ca="1"/>
        <v>5</v>
      </c>
      <c r="B588" s="86" t="str">
        <f ca="1"/>
        <v>A165</v>
      </c>
      <c r="C588" s="86" t="str">
        <f t="shared" ca="1" si="126"/>
        <v>MUHAMMED MIDLAJ</v>
      </c>
      <c r="D588" s="86" t="str">
        <f t="shared" ca="1" si="127"/>
        <v>DAHF</v>
      </c>
      <c r="E588" s="86">
        <f t="shared" ca="1" si="128"/>
        <v>2</v>
      </c>
    </row>
    <row r="589" spans="1:8" ht="14.25" x14ac:dyDescent="0.45">
      <c r="A589" s="86">
        <f ca="1"/>
        <v>6</v>
      </c>
      <c r="B589" s="86" t="str">
        <f ca="1"/>
        <v>A174</v>
      </c>
      <c r="C589" s="86" t="str">
        <f t="shared" ca="1" si="126"/>
        <v>THUFAIL</v>
      </c>
      <c r="D589" s="86" t="str">
        <f t="shared" ca="1" si="127"/>
        <v>DAHF</v>
      </c>
      <c r="E589" s="86">
        <f t="shared" ca="1" si="128"/>
        <v>2</v>
      </c>
    </row>
    <row r="590" spans="1:8" ht="14.25" x14ac:dyDescent="0.45">
      <c r="A590" s="86">
        <f ca="1"/>
        <v>7</v>
      </c>
      <c r="B590" s="86" t="str">
        <f ca="1"/>
        <v>A152</v>
      </c>
      <c r="C590" s="86" t="str">
        <f t="shared" ca="1" si="126"/>
        <v>MOHAMMED QUBAIB A H</v>
      </c>
      <c r="D590" s="86" t="str">
        <f t="shared" ca="1" si="127"/>
        <v>BADF</v>
      </c>
      <c r="E590" s="86">
        <f t="shared" ca="1" si="128"/>
        <v>2</v>
      </c>
    </row>
    <row r="591" spans="1:8" ht="14.25" x14ac:dyDescent="0.45">
      <c r="A591" s="86">
        <f ca="1"/>
        <v>8</v>
      </c>
      <c r="B591" s="86" t="str">
        <f ca="1"/>
        <v>A163</v>
      </c>
      <c r="C591" s="86" t="str">
        <f t="shared" ca="1" si="126"/>
        <v>MUHAMMED LUQMAN TD</v>
      </c>
      <c r="D591" s="86" t="str">
        <f t="shared" ca="1" si="127"/>
        <v>BADF</v>
      </c>
      <c r="E591" s="86">
        <f t="shared" ca="1" si="128"/>
        <v>2</v>
      </c>
    </row>
    <row r="592" spans="1:8" ht="14.25" x14ac:dyDescent="0.45">
      <c r="A592" s="86">
        <f ca="1"/>
        <v>9</v>
      </c>
      <c r="B592" s="86" t="str">
        <f ca="1"/>
        <v>A166</v>
      </c>
      <c r="C592" s="86" t="str">
        <f t="shared" ca="1" si="126"/>
        <v>Muhammed Naieem</v>
      </c>
      <c r="D592" s="86" t="str">
        <f t="shared" ca="1" si="127"/>
        <v>BADF</v>
      </c>
      <c r="E592" s="86">
        <f t="shared" ca="1" si="128"/>
        <v>2</v>
      </c>
    </row>
    <row r="593" spans="1:8" ht="14.25" x14ac:dyDescent="0.45">
      <c r="A593" s="86">
        <f ca="1"/>
        <v>10</v>
      </c>
      <c r="B593" s="86" t="str">
        <f ca="1"/>
        <v>A154</v>
      </c>
      <c r="C593" s="86" t="str">
        <f t="shared" ca="1" si="126"/>
        <v>MOHAMMED WASIM SHAHAD SM</v>
      </c>
      <c r="D593" s="86" t="str">
        <f t="shared" ca="1" si="127"/>
        <v>JARF</v>
      </c>
      <c r="E593" s="86">
        <f t="shared" ca="1" si="128"/>
        <v>2</v>
      </c>
    </row>
    <row r="594" spans="1:8" ht="14.25" x14ac:dyDescent="0.45">
      <c r="A594" s="86">
        <f ca="1"/>
        <v>11</v>
      </c>
      <c r="B594" s="86" t="str">
        <f ca="1"/>
        <v>A155</v>
      </c>
      <c r="C594" s="86" t="str">
        <f t="shared" ca="1" si="126"/>
        <v>Muhammad M</v>
      </c>
      <c r="D594" s="86" t="str">
        <f t="shared" ca="1" si="127"/>
        <v>JARF</v>
      </c>
      <c r="E594" s="86">
        <f t="shared" ca="1" si="128"/>
        <v>2</v>
      </c>
    </row>
    <row r="595" spans="1:8" ht="14.25" x14ac:dyDescent="0.45">
      <c r="A595" s="86">
        <f ca="1"/>
        <v>12</v>
      </c>
      <c r="B595" s="86" t="str">
        <f ca="1"/>
        <v>A160</v>
      </c>
      <c r="C595" s="86" t="str">
        <f t="shared" ca="1" si="126"/>
        <v>MUHAMMED AYAAN</v>
      </c>
      <c r="D595" s="86" t="str">
        <f t="shared" ca="1" si="127"/>
        <v>JARF</v>
      </c>
      <c r="E595" s="86">
        <f t="shared" ca="1" si="128"/>
        <v>2</v>
      </c>
    </row>
    <row r="596" spans="1:8" ht="14.25" x14ac:dyDescent="0.45">
      <c r="A596" s="84" t="s">
        <v>183</v>
      </c>
      <c r="B596" s="84" t="str">
        <f>VLOOKUP("JN01",f_detailsof_programs,2,FALSE)</f>
        <v>ACRYLIC PAINTING</v>
      </c>
      <c r="C596" s="84"/>
      <c r="D596" s="84" t="s">
        <v>688</v>
      </c>
      <c r="E596" s="84" t="s">
        <v>485</v>
      </c>
      <c r="F596" s="84"/>
      <c r="G596" s="84"/>
      <c r="H596" s="84"/>
    </row>
    <row r="597" spans="1:8" ht="14.25" x14ac:dyDescent="0.45">
      <c r="A597" s="85" t="s">
        <v>16</v>
      </c>
      <c r="B597" s="85" t="s">
        <v>480</v>
      </c>
      <c r="C597" s="85" t="s">
        <v>18</v>
      </c>
      <c r="D597" s="85" t="s">
        <v>481</v>
      </c>
      <c r="E597" s="85" t="s">
        <v>19</v>
      </c>
      <c r="F597" s="85" t="s">
        <v>482</v>
      </c>
      <c r="G597" s="85" t="s">
        <v>483</v>
      </c>
      <c r="H597" s="85" t="s">
        <v>484</v>
      </c>
    </row>
    <row r="598" spans="1:8" ht="14.25" x14ac:dyDescent="0.45">
      <c r="A598" s="86" cm="1">
        <f t="array" aca="1" ref="A598:A609" ca="1">_xlfn.SEQUENCE(COUNTA(_xlfn.LET(_xlpm.trimmed,OFFSET(f_listof_program_candidates,MATCH("JN01",f_listof_program_codes,0)-1,6,1,),TRANSPOSE(_xlfn._xlws.FILTER(OFFSET(_xlpm.trimmed,0,0,,COUNTA(_xlpm.trimmed)-5),OFFSET(_xlpm.trimmed,0,0,,COUNTA(_xlpm.trimmed)-5)&lt;&gt;0)))))</f>
        <v>1</v>
      </c>
      <c r="B598" s="86" t="str" cm="1">
        <f t="array" aca="1" ref="B598:B609" ca="1">_xlfn.LET(_xlpm.trimmed,OFFSET(f_listof_program_candidates,MATCH("JN01",f_listof_program_codes,0)-1,6,1,),TRANSPOSE(_xlfn._xlws.FILTER(OFFSET(_xlpm.trimmed,0,0,,COUNTA(_xlpm.trimmed)-5),OFFSET(_xlpm.trimmed,0,0,,COUNTA(_xlpm.trimmed)-5)&lt;&gt;0)))</f>
        <v>B111</v>
      </c>
      <c r="C598" s="86" t="str">
        <f t="shared" ref="C598:C609" ca="1" si="129">VLOOKUP(B598,f_detailsof_candidates,2,FALSE)</f>
        <v>MUHAMMED SAHEEM ASHRAF</v>
      </c>
      <c r="D598" s="86" t="str">
        <f t="shared" ref="D598:D609" ca="1" si="130">VLOOKUP(B598,f_detailsof_candidates,3,FALSE)</f>
        <v>FANT</v>
      </c>
      <c r="E598" s="86">
        <f t="shared" ref="E598:E609" ca="1" si="131">VLOOKUP(B598,f_detailsof_candidates,5,FALSE)</f>
        <v>3</v>
      </c>
    </row>
    <row r="599" spans="1:8" ht="14.25" x14ac:dyDescent="0.45">
      <c r="A599" s="86">
        <f ca="1"/>
        <v>2</v>
      </c>
      <c r="B599" s="86" t="str">
        <f ca="1"/>
        <v>B115</v>
      </c>
      <c r="C599" s="86" t="str">
        <f t="shared" ca="1" si="129"/>
        <v>HASSAN SAHAL N A</v>
      </c>
      <c r="D599" s="86" t="str">
        <f t="shared" ca="1" si="130"/>
        <v>FANT</v>
      </c>
      <c r="E599" s="86">
        <f t="shared" ca="1" si="131"/>
        <v>3</v>
      </c>
    </row>
    <row r="600" spans="1:8" ht="14.25" x14ac:dyDescent="0.45">
      <c r="A600" s="86">
        <f ca="1"/>
        <v>3</v>
      </c>
      <c r="B600" s="86" t="str">
        <f ca="1"/>
        <v>B145</v>
      </c>
      <c r="C600" s="86" t="str">
        <f t="shared" ca="1" si="129"/>
        <v>YASEEN NOORULLA PH</v>
      </c>
      <c r="D600" s="86" t="str">
        <f t="shared" ca="1" si="130"/>
        <v>FANT</v>
      </c>
      <c r="E600" s="86">
        <f t="shared" ca="1" si="131"/>
        <v>4</v>
      </c>
    </row>
    <row r="601" spans="1:8" ht="14.25" x14ac:dyDescent="0.45">
      <c r="A601" s="86">
        <f ca="1"/>
        <v>4</v>
      </c>
      <c r="B601" s="86" t="str">
        <f ca="1"/>
        <v>B124</v>
      </c>
      <c r="C601" s="86" t="str">
        <f t="shared" ca="1" si="129"/>
        <v>MOHAMMED RAED. UA</v>
      </c>
      <c r="D601" s="86" t="str">
        <f t="shared" ca="1" si="130"/>
        <v>DAHF</v>
      </c>
      <c r="E601" s="86">
        <f t="shared" ca="1" si="131"/>
        <v>3</v>
      </c>
    </row>
    <row r="602" spans="1:8" ht="14.25" x14ac:dyDescent="0.45">
      <c r="A602" s="86">
        <f ca="1"/>
        <v>5</v>
      </c>
      <c r="B602" s="86" t="str">
        <f ca="1"/>
        <v>B154</v>
      </c>
      <c r="C602" s="86" t="str">
        <f t="shared" ca="1" si="129"/>
        <v>ABDULLA ALBAS</v>
      </c>
      <c r="D602" s="86" t="str">
        <f t="shared" ca="1" si="130"/>
        <v>DAHF</v>
      </c>
      <c r="E602" s="86">
        <f t="shared" ca="1" si="131"/>
        <v>4</v>
      </c>
    </row>
    <row r="603" spans="1:8" ht="14.25" x14ac:dyDescent="0.45">
      <c r="A603" s="86">
        <f ca="1"/>
        <v>6</v>
      </c>
      <c r="B603" s="86" t="str">
        <f ca="1"/>
        <v>B161</v>
      </c>
      <c r="C603" s="86" t="str">
        <f t="shared" ca="1" si="129"/>
        <v>MUHAMMED RAZI TM</v>
      </c>
      <c r="D603" s="86" t="str">
        <f t="shared" ca="1" si="130"/>
        <v>DAHF</v>
      </c>
      <c r="E603" s="86">
        <f t="shared" ca="1" si="131"/>
        <v>4</v>
      </c>
    </row>
    <row r="604" spans="1:8" ht="14.25" x14ac:dyDescent="0.45">
      <c r="A604" s="86">
        <f ca="1"/>
        <v>7</v>
      </c>
      <c r="B604" s="86" t="str">
        <f ca="1"/>
        <v>B106</v>
      </c>
      <c r="C604" s="86" t="str">
        <f t="shared" ca="1" si="129"/>
        <v>MUHAMMED ROUHAN M.K</v>
      </c>
      <c r="D604" s="86" t="str">
        <f t="shared" ca="1" si="130"/>
        <v>BADF</v>
      </c>
      <c r="E604" s="86">
        <f t="shared" ca="1" si="131"/>
        <v>3</v>
      </c>
    </row>
    <row r="605" spans="1:8" ht="14.25" x14ac:dyDescent="0.45">
      <c r="A605" s="86">
        <f ca="1"/>
        <v>8</v>
      </c>
      <c r="B605" s="86" t="str">
        <f ca="1"/>
        <v>B137</v>
      </c>
      <c r="C605" s="86" t="str">
        <f t="shared" ca="1" si="129"/>
        <v>MOHAMMAD IJAN</v>
      </c>
      <c r="D605" s="86" t="str">
        <f t="shared" ca="1" si="130"/>
        <v>BADF</v>
      </c>
      <c r="E605" s="86">
        <f t="shared" ca="1" si="131"/>
        <v>3</v>
      </c>
    </row>
    <row r="606" spans="1:8" ht="14.25" x14ac:dyDescent="0.45">
      <c r="A606" s="86">
        <f ca="1"/>
        <v>9</v>
      </c>
      <c r="B606" s="86" t="str">
        <f ca="1"/>
        <v>B151</v>
      </c>
      <c r="C606" s="86" t="str">
        <f t="shared" ca="1" si="129"/>
        <v>ABDUL GAFOOR</v>
      </c>
      <c r="D606" s="86" t="str">
        <f t="shared" ca="1" si="130"/>
        <v>BADF</v>
      </c>
      <c r="E606" s="86">
        <f t="shared" ca="1" si="131"/>
        <v>4</v>
      </c>
    </row>
    <row r="607" spans="1:8" ht="14.25" x14ac:dyDescent="0.45">
      <c r="A607" s="86">
        <f ca="1"/>
        <v>10</v>
      </c>
      <c r="B607" s="86" t="str">
        <f ca="1"/>
        <v>B119</v>
      </c>
      <c r="C607" s="86" t="str">
        <f t="shared" ca="1" si="129"/>
        <v>ABDUL SA-AD</v>
      </c>
      <c r="D607" s="86" t="str">
        <f t="shared" ca="1" si="130"/>
        <v>JARF</v>
      </c>
      <c r="E607" s="86">
        <f t="shared" ca="1" si="131"/>
        <v>3</v>
      </c>
    </row>
    <row r="608" spans="1:8" ht="14.25" x14ac:dyDescent="0.45">
      <c r="A608" s="86">
        <f ca="1"/>
        <v>11</v>
      </c>
      <c r="B608" s="86" t="str">
        <f ca="1"/>
        <v>B131</v>
      </c>
      <c r="C608" s="86" t="str">
        <f t="shared" ca="1" si="129"/>
        <v>MUHAMMED BASSIM. E</v>
      </c>
      <c r="D608" s="86" t="str">
        <f t="shared" ca="1" si="130"/>
        <v>JARF</v>
      </c>
      <c r="E608" s="86">
        <f t="shared" ca="1" si="131"/>
        <v>3</v>
      </c>
    </row>
    <row r="609" spans="1:8" ht="14.25" x14ac:dyDescent="0.45">
      <c r="A609" s="86">
        <f ca="1"/>
        <v>12</v>
      </c>
      <c r="B609" s="86" t="str">
        <f ca="1"/>
        <v>B107</v>
      </c>
      <c r="C609" s="86" t="str">
        <f t="shared" ca="1" si="129"/>
        <v>MUHAMMED ZAMIL</v>
      </c>
      <c r="D609" s="86" t="str">
        <f t="shared" ca="1" si="130"/>
        <v>JARF</v>
      </c>
      <c r="E609" s="86">
        <f t="shared" ca="1" si="131"/>
        <v>3</v>
      </c>
    </row>
    <row r="610" spans="1:8" ht="14.25" x14ac:dyDescent="0.45">
      <c r="A610" s="84" t="s">
        <v>186</v>
      </c>
      <c r="B610" s="84" t="str">
        <f>VLOOKUP("JN02",f_detailsof_programs,2,FALSE)</f>
        <v>CALLIGRAPHY</v>
      </c>
      <c r="C610" s="84"/>
      <c r="D610" s="84" t="s">
        <v>688</v>
      </c>
      <c r="E610" s="84" t="s">
        <v>486</v>
      </c>
      <c r="F610" s="84"/>
      <c r="G610" s="84"/>
      <c r="H610" s="84"/>
    </row>
    <row r="611" spans="1:8" ht="14.25" x14ac:dyDescent="0.45">
      <c r="A611" s="85" t="s">
        <v>16</v>
      </c>
      <c r="B611" s="85" t="s">
        <v>480</v>
      </c>
      <c r="C611" s="85" t="s">
        <v>18</v>
      </c>
      <c r="D611" s="85" t="s">
        <v>481</v>
      </c>
      <c r="E611" s="85" t="s">
        <v>19</v>
      </c>
      <c r="F611" s="85" t="s">
        <v>482</v>
      </c>
      <c r="G611" s="85" t="s">
        <v>483</v>
      </c>
      <c r="H611" s="85" t="s">
        <v>484</v>
      </c>
    </row>
    <row r="612" spans="1:8" ht="14.25" x14ac:dyDescent="0.45">
      <c r="A612" s="86" cm="1">
        <f t="array" aca="1" ref="A612:A619" ca="1">_xlfn.SEQUENCE(COUNTA(_xlfn.LET(_xlpm.trimmed,OFFSET(f_listof_program_candidates,MATCH("JN02",f_listof_program_codes,0)-1,6,1,),TRANSPOSE(_xlfn._xlws.FILTER(OFFSET(_xlpm.trimmed,0,0,,COUNTA(_xlpm.trimmed)-5),OFFSET(_xlpm.trimmed,0,0,,COUNTA(_xlpm.trimmed)-5)&lt;&gt;0)))))</f>
        <v>1</v>
      </c>
      <c r="B612" s="86" t="str" cm="1">
        <f t="array" aca="1" ref="B612:B619" ca="1">_xlfn.LET(_xlpm.trimmed,OFFSET(f_listof_program_candidates,MATCH("JN02",f_listof_program_codes,0)-1,6,1,),TRANSPOSE(_xlfn._xlws.FILTER(OFFSET(_xlpm.trimmed,0,0,,COUNTA(_xlpm.trimmed)-5),OFFSET(_xlpm.trimmed,0,0,,COUNTA(_xlpm.trimmed)-5)&lt;&gt;0)))</f>
        <v>B115</v>
      </c>
      <c r="C612" s="86" t="str">
        <f t="shared" ref="C612:C619" ca="1" si="132">VLOOKUP(B612,f_detailsof_candidates,2,FALSE)</f>
        <v>HASSAN SAHAL N A</v>
      </c>
      <c r="D612" s="86" t="str">
        <f t="shared" ref="D612:D619" ca="1" si="133">VLOOKUP(B612,f_detailsof_candidates,3,FALSE)</f>
        <v>FANT</v>
      </c>
      <c r="E612" s="86">
        <f t="shared" ref="E612:E619" ca="1" si="134">VLOOKUP(B612,f_detailsof_candidates,5,FALSE)</f>
        <v>3</v>
      </c>
    </row>
    <row r="613" spans="1:8" ht="14.25" x14ac:dyDescent="0.45">
      <c r="A613" s="86">
        <f ca="1"/>
        <v>2</v>
      </c>
      <c r="B613" s="86" t="str">
        <f ca="1"/>
        <v>B145</v>
      </c>
      <c r="C613" s="86" t="str">
        <f t="shared" ca="1" si="132"/>
        <v>YASEEN NOORULLA PH</v>
      </c>
      <c r="D613" s="86" t="str">
        <f t="shared" ca="1" si="133"/>
        <v>FANT</v>
      </c>
      <c r="E613" s="86">
        <f t="shared" ca="1" si="134"/>
        <v>4</v>
      </c>
    </row>
    <row r="614" spans="1:8" ht="14.25" x14ac:dyDescent="0.45">
      <c r="A614" s="86">
        <f ca="1"/>
        <v>3</v>
      </c>
      <c r="B614" s="86" t="str">
        <f ca="1"/>
        <v>B154</v>
      </c>
      <c r="C614" s="86" t="str">
        <f t="shared" ca="1" si="132"/>
        <v>ABDULLA ALBAS</v>
      </c>
      <c r="D614" s="86" t="str">
        <f t="shared" ca="1" si="133"/>
        <v>DAHF</v>
      </c>
      <c r="E614" s="86">
        <f t="shared" ca="1" si="134"/>
        <v>4</v>
      </c>
    </row>
    <row r="615" spans="1:8" ht="14.25" x14ac:dyDescent="0.45">
      <c r="A615" s="86">
        <f ca="1"/>
        <v>4</v>
      </c>
      <c r="B615" s="86" t="str">
        <f ca="1"/>
        <v>B161</v>
      </c>
      <c r="C615" s="86" t="str">
        <f t="shared" ca="1" si="132"/>
        <v>MUHAMMED RAZI TM</v>
      </c>
      <c r="D615" s="86" t="str">
        <f t="shared" ca="1" si="133"/>
        <v>DAHF</v>
      </c>
      <c r="E615" s="86">
        <f t="shared" ca="1" si="134"/>
        <v>4</v>
      </c>
    </row>
    <row r="616" spans="1:8" ht="14.25" x14ac:dyDescent="0.45">
      <c r="A616" s="86">
        <f ca="1"/>
        <v>5</v>
      </c>
      <c r="B616" s="86" t="str">
        <f ca="1"/>
        <v>B106</v>
      </c>
      <c r="C616" s="86" t="str">
        <f t="shared" ca="1" si="132"/>
        <v>MUHAMMED ROUHAN M.K</v>
      </c>
      <c r="D616" s="86" t="str">
        <f t="shared" ca="1" si="133"/>
        <v>BADF</v>
      </c>
      <c r="E616" s="86">
        <f t="shared" ca="1" si="134"/>
        <v>3</v>
      </c>
    </row>
    <row r="617" spans="1:8" ht="14.25" x14ac:dyDescent="0.45">
      <c r="A617" s="86">
        <f ca="1"/>
        <v>6</v>
      </c>
      <c r="B617" s="86" t="str">
        <f ca="1"/>
        <v>B164</v>
      </c>
      <c r="C617" s="86" t="str">
        <f t="shared" ca="1" si="132"/>
        <v>RASALUL AMEEN T</v>
      </c>
      <c r="D617" s="86" t="str">
        <f t="shared" ca="1" si="133"/>
        <v>BADF</v>
      </c>
      <c r="E617" s="86">
        <f t="shared" ca="1" si="134"/>
        <v>4</v>
      </c>
    </row>
    <row r="618" spans="1:8" ht="14.25" x14ac:dyDescent="0.45">
      <c r="A618" s="86">
        <f ca="1"/>
        <v>7</v>
      </c>
      <c r="B618" s="86" t="str">
        <f ca="1"/>
        <v>B131</v>
      </c>
      <c r="C618" s="86" t="str">
        <f t="shared" ca="1" si="132"/>
        <v>MUHAMMED BASSIM. E</v>
      </c>
      <c r="D618" s="86" t="str">
        <f t="shared" ca="1" si="133"/>
        <v>JARF</v>
      </c>
      <c r="E618" s="86">
        <f t="shared" ca="1" si="134"/>
        <v>3</v>
      </c>
    </row>
    <row r="619" spans="1:8" ht="14.25" x14ac:dyDescent="0.45">
      <c r="A619" s="86">
        <f ca="1"/>
        <v>8</v>
      </c>
      <c r="B619" s="86" t="str">
        <f ca="1"/>
        <v>B134</v>
      </c>
      <c r="C619" s="86" t="str">
        <f t="shared" ca="1" si="132"/>
        <v>ABDUL RAHIMAN AZAAN</v>
      </c>
      <c r="D619" s="86" t="str">
        <f t="shared" ca="1" si="133"/>
        <v>JARF</v>
      </c>
      <c r="E619" s="86">
        <f t="shared" ca="1" si="134"/>
        <v>3</v>
      </c>
    </row>
    <row r="620" spans="1:8" ht="14.25" x14ac:dyDescent="0.45">
      <c r="A620" s="84" t="s">
        <v>188</v>
      </c>
      <c r="B620" s="84" t="str">
        <f>VLOOKUP("JN03",f_detailsof_programs,2,FALSE)</f>
        <v>CAPTION MAKING</v>
      </c>
      <c r="C620" s="84"/>
      <c r="D620" s="84" t="s">
        <v>688</v>
      </c>
      <c r="E620" s="84" t="s">
        <v>485</v>
      </c>
      <c r="F620" s="84"/>
      <c r="G620" s="84"/>
      <c r="H620" s="84"/>
    </row>
    <row r="621" spans="1:8" ht="14.25" x14ac:dyDescent="0.45">
      <c r="A621" s="85" t="s">
        <v>16</v>
      </c>
      <c r="B621" s="85" t="s">
        <v>480</v>
      </c>
      <c r="C621" s="85" t="s">
        <v>18</v>
      </c>
      <c r="D621" s="85" t="s">
        <v>481</v>
      </c>
      <c r="E621" s="85" t="s">
        <v>19</v>
      </c>
      <c r="F621" s="85" t="s">
        <v>482</v>
      </c>
      <c r="G621" s="85" t="s">
        <v>483</v>
      </c>
      <c r="H621" s="85" t="s">
        <v>484</v>
      </c>
    </row>
    <row r="622" spans="1:8" ht="14.25" x14ac:dyDescent="0.45">
      <c r="A622" s="86" cm="1">
        <f t="array" aca="1" ref="A622:A633" ca="1">_xlfn.SEQUENCE(COUNTA(_xlfn.LET(_xlpm.trimmed,OFFSET(f_listof_program_candidates,MATCH("JN03",f_listof_program_codes,0)-1,6,1,),TRANSPOSE(_xlfn._xlws.FILTER(OFFSET(_xlpm.trimmed,0,0,,COUNTA(_xlpm.trimmed)-5),OFFSET(_xlpm.trimmed,0,0,,COUNTA(_xlpm.trimmed)-5)&lt;&gt;0)))))</f>
        <v>1</v>
      </c>
      <c r="B622" s="86" t="str" cm="1">
        <f t="array" aca="1" ref="B622:B633" ca="1">_xlfn.LET(_xlpm.trimmed,OFFSET(f_listof_program_candidates,MATCH("JN03",f_listof_program_codes,0)-1,6,1,),TRANSPOSE(_xlfn._xlws.FILTER(OFFSET(_xlpm.trimmed,0,0,,COUNTA(_xlpm.trimmed)-5),OFFSET(_xlpm.trimmed,0,0,,COUNTA(_xlpm.trimmed)-5)&lt;&gt;0)))</f>
        <v>B104</v>
      </c>
      <c r="C622" s="86" t="str">
        <f t="shared" ref="C622:C633" ca="1" si="135">VLOOKUP(B622,f_detailsof_candidates,2,FALSE)</f>
        <v>FAKRUDDIN NAFIL</v>
      </c>
      <c r="D622" s="86" t="str">
        <f t="shared" ref="D622:D633" ca="1" si="136">VLOOKUP(B622,f_detailsof_candidates,3,FALSE)</f>
        <v>FANT</v>
      </c>
      <c r="E622" s="86">
        <f t="shared" ref="E622:E633" ca="1" si="137">VLOOKUP(B622,f_detailsof_candidates,5,FALSE)</f>
        <v>3</v>
      </c>
    </row>
    <row r="623" spans="1:8" ht="14.25" x14ac:dyDescent="0.45">
      <c r="A623" s="86">
        <f ca="1"/>
        <v>2</v>
      </c>
      <c r="B623" s="86" t="str">
        <f ca="1"/>
        <v>B129</v>
      </c>
      <c r="C623" s="86" t="str">
        <f t="shared" ca="1" si="135"/>
        <v>MOHAMMED SABITH KU</v>
      </c>
      <c r="D623" s="86" t="str">
        <f t="shared" ca="1" si="136"/>
        <v>FANT</v>
      </c>
      <c r="E623" s="86">
        <f t="shared" ca="1" si="137"/>
        <v>3</v>
      </c>
    </row>
    <row r="624" spans="1:8" ht="14.25" x14ac:dyDescent="0.45">
      <c r="A624" s="86">
        <f ca="1"/>
        <v>3</v>
      </c>
      <c r="B624" s="86" t="str">
        <f ca="1"/>
        <v>B150</v>
      </c>
      <c r="C624" s="86" t="str">
        <f t="shared" ca="1" si="135"/>
        <v>ABDULLA FAHAD T.U</v>
      </c>
      <c r="D624" s="86" t="str">
        <f t="shared" ca="1" si="136"/>
        <v>FANT</v>
      </c>
      <c r="E624" s="86">
        <f t="shared" ca="1" si="137"/>
        <v>4</v>
      </c>
    </row>
    <row r="625" spans="1:8" ht="14.25" x14ac:dyDescent="0.45">
      <c r="A625" s="86">
        <f ca="1"/>
        <v>4</v>
      </c>
      <c r="B625" s="86" t="str">
        <f ca="1"/>
        <v>B109</v>
      </c>
      <c r="C625" s="86" t="str">
        <f t="shared" ca="1" si="135"/>
        <v>AHAMMED SAFAR ZAKARIYA</v>
      </c>
      <c r="D625" s="86" t="str">
        <f t="shared" ca="1" si="136"/>
        <v>DAHF</v>
      </c>
      <c r="E625" s="86">
        <f t="shared" ca="1" si="137"/>
        <v>3</v>
      </c>
    </row>
    <row r="626" spans="1:8" ht="14.25" x14ac:dyDescent="0.45">
      <c r="A626" s="86">
        <f ca="1"/>
        <v>5</v>
      </c>
      <c r="B626" s="86" t="str">
        <f ca="1"/>
        <v>B114</v>
      </c>
      <c r="C626" s="86" t="str">
        <f t="shared" ca="1" si="135"/>
        <v>AMEEN RAHMAN MTP</v>
      </c>
      <c r="D626" s="86" t="str">
        <f t="shared" ca="1" si="136"/>
        <v>DAHF</v>
      </c>
      <c r="E626" s="86">
        <f t="shared" ca="1" si="137"/>
        <v>3</v>
      </c>
    </row>
    <row r="627" spans="1:8" ht="14.25" x14ac:dyDescent="0.45">
      <c r="A627" s="86">
        <f ca="1"/>
        <v>6</v>
      </c>
      <c r="B627" s="86" t="str">
        <f ca="1"/>
        <v>B122</v>
      </c>
      <c r="C627" s="86" t="str">
        <f t="shared" ca="1" si="135"/>
        <v>MUHAMMAD FAYIZ B</v>
      </c>
      <c r="D627" s="86" t="str">
        <f t="shared" ca="1" si="136"/>
        <v>DAHF</v>
      </c>
      <c r="E627" s="86">
        <f t="shared" ca="1" si="137"/>
        <v>3</v>
      </c>
    </row>
    <row r="628" spans="1:8" ht="14.25" x14ac:dyDescent="0.45">
      <c r="A628" s="86">
        <f ca="1"/>
        <v>7</v>
      </c>
      <c r="B628" s="86" t="str">
        <f ca="1"/>
        <v>B138</v>
      </c>
      <c r="C628" s="86" t="str">
        <f t="shared" ca="1" si="135"/>
        <v>HABEEB RAHMAN CA</v>
      </c>
      <c r="D628" s="86" t="str">
        <f t="shared" ca="1" si="136"/>
        <v>BADF</v>
      </c>
      <c r="E628" s="86">
        <f t="shared" ca="1" si="137"/>
        <v>3</v>
      </c>
    </row>
    <row r="629" spans="1:8" ht="14.25" x14ac:dyDescent="0.45">
      <c r="A629" s="86">
        <f ca="1"/>
        <v>8</v>
      </c>
      <c r="B629" s="86" t="str">
        <f ca="1"/>
        <v>B146</v>
      </c>
      <c r="C629" s="86" t="str">
        <f t="shared" ca="1" si="135"/>
        <v>WASEEM NIHAD A M</v>
      </c>
      <c r="D629" s="86" t="str">
        <f t="shared" ca="1" si="136"/>
        <v>BADF</v>
      </c>
      <c r="E629" s="86">
        <f t="shared" ca="1" si="137"/>
        <v>4</v>
      </c>
    </row>
    <row r="630" spans="1:8" ht="14.25" x14ac:dyDescent="0.45">
      <c r="A630" s="86">
        <f ca="1"/>
        <v>9</v>
      </c>
      <c r="B630" s="86" t="str">
        <f ca="1"/>
        <v>B164</v>
      </c>
      <c r="C630" s="86" t="str">
        <f t="shared" ca="1" si="135"/>
        <v>RASALUL AMEEN T</v>
      </c>
      <c r="D630" s="86" t="str">
        <f t="shared" ca="1" si="136"/>
        <v>BADF</v>
      </c>
      <c r="E630" s="86">
        <f t="shared" ca="1" si="137"/>
        <v>4</v>
      </c>
    </row>
    <row r="631" spans="1:8" ht="14.25" x14ac:dyDescent="0.45">
      <c r="A631" s="86">
        <f ca="1"/>
        <v>10</v>
      </c>
      <c r="B631" s="86" t="str">
        <f ca="1"/>
        <v>B108</v>
      </c>
      <c r="C631" s="86" t="str">
        <f t="shared" ca="1" si="135"/>
        <v>ABDUL RAHIMAN FAIZ T A</v>
      </c>
      <c r="D631" s="86" t="str">
        <f t="shared" ca="1" si="136"/>
        <v>JARF</v>
      </c>
      <c r="E631" s="86">
        <f t="shared" ca="1" si="137"/>
        <v>3</v>
      </c>
    </row>
    <row r="632" spans="1:8" ht="14.25" x14ac:dyDescent="0.45">
      <c r="A632" s="86">
        <f ca="1"/>
        <v>11</v>
      </c>
      <c r="B632" s="86" t="str">
        <f ca="1"/>
        <v>B133</v>
      </c>
      <c r="C632" s="86" t="str">
        <f t="shared" ca="1" si="135"/>
        <v>MEERAN MOHIUDHEEN RAFIH</v>
      </c>
      <c r="D632" s="86" t="str">
        <f t="shared" ca="1" si="136"/>
        <v>JARF</v>
      </c>
      <c r="E632" s="86">
        <f t="shared" ca="1" si="137"/>
        <v>3</v>
      </c>
    </row>
    <row r="633" spans="1:8" ht="14.25" x14ac:dyDescent="0.45">
      <c r="A633" s="86">
        <f ca="1"/>
        <v>12</v>
      </c>
      <c r="B633" s="86" t="str">
        <f ca="1"/>
        <v>B147</v>
      </c>
      <c r="C633" s="86" t="str">
        <f t="shared" ca="1" si="135"/>
        <v>MOHAMMED SHAMEEM B K</v>
      </c>
      <c r="D633" s="86" t="str">
        <f t="shared" ca="1" si="136"/>
        <v>JARF</v>
      </c>
      <c r="E633" s="86">
        <f t="shared" ca="1" si="137"/>
        <v>4</v>
      </c>
    </row>
    <row r="634" spans="1:8" ht="14.25" x14ac:dyDescent="0.45">
      <c r="A634" s="84" t="s">
        <v>190</v>
      </c>
      <c r="B634" s="84" t="str">
        <f>VLOOKUP("JN04",f_detailsof_programs,2,FALSE)</f>
        <v>CARTOON</v>
      </c>
      <c r="C634" s="84"/>
      <c r="D634" s="84" t="s">
        <v>688</v>
      </c>
      <c r="E634" s="84" t="s">
        <v>486</v>
      </c>
      <c r="F634" s="84"/>
      <c r="G634" s="84"/>
      <c r="H634" s="84"/>
    </row>
    <row r="635" spans="1:8" ht="14.25" x14ac:dyDescent="0.45">
      <c r="A635" s="85" t="s">
        <v>16</v>
      </c>
      <c r="B635" s="85" t="s">
        <v>480</v>
      </c>
      <c r="C635" s="85" t="s">
        <v>18</v>
      </c>
      <c r="D635" s="85" t="s">
        <v>481</v>
      </c>
      <c r="E635" s="85" t="s">
        <v>19</v>
      </c>
      <c r="F635" s="85" t="s">
        <v>482</v>
      </c>
      <c r="G635" s="85" t="s">
        <v>483</v>
      </c>
      <c r="H635" s="85" t="s">
        <v>484</v>
      </c>
    </row>
    <row r="636" spans="1:8" ht="14.25" x14ac:dyDescent="0.45">
      <c r="A636" s="86" cm="1">
        <f t="array" aca="1" ref="A636:A643" ca="1">_xlfn.SEQUENCE(COUNTA(_xlfn.LET(_xlpm.trimmed,OFFSET(f_listof_program_candidates,MATCH("JN04",f_listof_program_codes,0)-1,6,1,),TRANSPOSE(_xlfn._xlws.FILTER(OFFSET(_xlpm.trimmed,0,0,,COUNTA(_xlpm.trimmed)-5),OFFSET(_xlpm.trimmed,0,0,,COUNTA(_xlpm.trimmed)-5)&lt;&gt;0)))))</f>
        <v>1</v>
      </c>
      <c r="B636" s="86" t="str" cm="1">
        <f t="array" aca="1" ref="B636:B643" ca="1">_xlfn.LET(_xlpm.trimmed,OFFSET(f_listof_program_candidates,MATCH("JN04",f_listof_program_codes,0)-1,6,1,),TRANSPOSE(_xlfn._xlws.FILTER(OFFSET(_xlpm.trimmed,0,0,,COUNTA(_xlpm.trimmed)-5),OFFSET(_xlpm.trimmed,0,0,,COUNTA(_xlpm.trimmed)-5)&lt;&gt;0)))</f>
        <v>B120</v>
      </c>
      <c r="C636" s="86" t="str">
        <f t="shared" ref="C636:C643" ca="1" si="138">VLOOKUP(B636,f_detailsof_candidates,2,FALSE)</f>
        <v>MOHAMMED RIYAN</v>
      </c>
      <c r="D636" s="86" t="str">
        <f t="shared" ref="D636:D643" ca="1" si="139">VLOOKUP(B636,f_detailsof_candidates,3,FALSE)</f>
        <v>FANT</v>
      </c>
      <c r="E636" s="86">
        <f t="shared" ref="E636:E643" ca="1" si="140">VLOOKUP(B636,f_detailsof_candidates,5,FALSE)</f>
        <v>3</v>
      </c>
    </row>
    <row r="637" spans="1:8" ht="14.25" x14ac:dyDescent="0.45">
      <c r="A637" s="86">
        <f ca="1"/>
        <v>2</v>
      </c>
      <c r="B637" s="86" t="str">
        <f ca="1"/>
        <v>B129</v>
      </c>
      <c r="C637" s="86" t="str">
        <f t="shared" ca="1" si="138"/>
        <v>MOHAMMED SABITH KU</v>
      </c>
      <c r="D637" s="86" t="str">
        <f t="shared" ca="1" si="139"/>
        <v>FANT</v>
      </c>
      <c r="E637" s="86">
        <f t="shared" ca="1" si="140"/>
        <v>3</v>
      </c>
    </row>
    <row r="638" spans="1:8" ht="14.25" x14ac:dyDescent="0.45">
      <c r="A638" s="86">
        <f ca="1"/>
        <v>3</v>
      </c>
      <c r="B638" s="86" t="str">
        <f ca="1"/>
        <v>B132</v>
      </c>
      <c r="C638" s="86" t="str">
        <f t="shared" ca="1" si="138"/>
        <v>MUHAMMED SAEED THUFAIL</v>
      </c>
      <c r="D638" s="86" t="str">
        <f t="shared" ca="1" si="139"/>
        <v>DAHF</v>
      </c>
      <c r="E638" s="86">
        <f t="shared" ca="1" si="140"/>
        <v>3</v>
      </c>
    </row>
    <row r="639" spans="1:8" ht="14.25" x14ac:dyDescent="0.45">
      <c r="A639" s="86">
        <f ca="1"/>
        <v>4</v>
      </c>
      <c r="B639" s="86" t="str">
        <f ca="1"/>
        <v>B161</v>
      </c>
      <c r="C639" s="86" t="str">
        <f t="shared" ca="1" si="138"/>
        <v>MUHAMMED RAZI TM</v>
      </c>
      <c r="D639" s="86" t="str">
        <f t="shared" ca="1" si="139"/>
        <v>DAHF</v>
      </c>
      <c r="E639" s="86">
        <f t="shared" ca="1" si="140"/>
        <v>4</v>
      </c>
    </row>
    <row r="640" spans="1:8" ht="14.25" x14ac:dyDescent="0.45">
      <c r="A640" s="86">
        <f ca="1"/>
        <v>5</v>
      </c>
      <c r="B640" s="86" t="str">
        <f ca="1"/>
        <v>B106</v>
      </c>
      <c r="C640" s="86" t="str">
        <f t="shared" ca="1" si="138"/>
        <v>MUHAMMED ROUHAN M.K</v>
      </c>
      <c r="D640" s="86" t="str">
        <f t="shared" ca="1" si="139"/>
        <v>BADF</v>
      </c>
      <c r="E640" s="86">
        <f t="shared" ca="1" si="140"/>
        <v>3</v>
      </c>
    </row>
    <row r="641" spans="1:8" ht="14.25" x14ac:dyDescent="0.45">
      <c r="A641" s="86">
        <f ca="1"/>
        <v>6</v>
      </c>
      <c r="B641" s="86" t="str">
        <f ca="1"/>
        <v>B137</v>
      </c>
      <c r="C641" s="86" t="str">
        <f t="shared" ca="1" si="138"/>
        <v>MOHAMMAD IJAN</v>
      </c>
      <c r="D641" s="86" t="str">
        <f t="shared" ca="1" si="139"/>
        <v>BADF</v>
      </c>
      <c r="E641" s="86">
        <f t="shared" ca="1" si="140"/>
        <v>3</v>
      </c>
    </row>
    <row r="642" spans="1:8" ht="14.25" x14ac:dyDescent="0.45">
      <c r="A642" s="86">
        <f ca="1"/>
        <v>7</v>
      </c>
      <c r="B642" s="86" t="str">
        <f ca="1"/>
        <v>B107</v>
      </c>
      <c r="C642" s="86" t="str">
        <f t="shared" ca="1" si="138"/>
        <v>MUHAMMED ZAMIL</v>
      </c>
      <c r="D642" s="86" t="str">
        <f t="shared" ca="1" si="139"/>
        <v>JARF</v>
      </c>
      <c r="E642" s="86">
        <f t="shared" ca="1" si="140"/>
        <v>3</v>
      </c>
    </row>
    <row r="643" spans="1:8" ht="14.25" x14ac:dyDescent="0.45">
      <c r="A643" s="86">
        <f ca="1"/>
        <v>8</v>
      </c>
      <c r="B643" s="86" t="str">
        <f ca="1"/>
        <v>B119</v>
      </c>
      <c r="C643" s="86" t="str">
        <f t="shared" ca="1" si="138"/>
        <v>ABDUL SA-AD</v>
      </c>
      <c r="D643" s="86" t="str">
        <f t="shared" ca="1" si="139"/>
        <v>JARF</v>
      </c>
      <c r="E643" s="86">
        <f t="shared" ca="1" si="140"/>
        <v>3</v>
      </c>
    </row>
    <row r="644" spans="1:8" ht="14.25" x14ac:dyDescent="0.45">
      <c r="A644" s="84" t="s">
        <v>192</v>
      </c>
      <c r="B644" s="84" t="str">
        <f>VLOOKUP("JN05",f_detailsof_programs,2,FALSE)</f>
        <v>ESSAY ARB</v>
      </c>
      <c r="C644" s="84"/>
      <c r="D644" s="84" t="s">
        <v>688</v>
      </c>
      <c r="E644" s="84" t="s">
        <v>485</v>
      </c>
      <c r="F644" s="84"/>
      <c r="G644" s="84"/>
      <c r="H644" s="84"/>
    </row>
    <row r="645" spans="1:8" ht="14.25" x14ac:dyDescent="0.45">
      <c r="A645" s="85" t="s">
        <v>16</v>
      </c>
      <c r="B645" s="85" t="s">
        <v>480</v>
      </c>
      <c r="C645" s="85" t="s">
        <v>18</v>
      </c>
      <c r="D645" s="85" t="s">
        <v>481</v>
      </c>
      <c r="E645" s="85" t="s">
        <v>19</v>
      </c>
      <c r="F645" s="85" t="s">
        <v>482</v>
      </c>
      <c r="G645" s="85" t="s">
        <v>483</v>
      </c>
      <c r="H645" s="85" t="s">
        <v>484</v>
      </c>
    </row>
    <row r="646" spans="1:8" ht="14.25" x14ac:dyDescent="0.45">
      <c r="A646" s="86" cm="1">
        <f t="array" aca="1" ref="A646:A657" ca="1">_xlfn.SEQUENCE(COUNTA(_xlfn.LET(_xlpm.trimmed,OFFSET(f_listof_program_candidates,MATCH("JN05",f_listof_program_codes,0)-1,6,1,),TRANSPOSE(_xlfn._xlws.FILTER(OFFSET(_xlpm.trimmed,0,0,,COUNTA(_xlpm.trimmed)-5),OFFSET(_xlpm.trimmed,0,0,,COUNTA(_xlpm.trimmed)-5)&lt;&gt;0)))))</f>
        <v>1</v>
      </c>
      <c r="B646" s="86" t="str" cm="1">
        <f t="array" aca="1" ref="B646:B657" ca="1">_xlfn.LET(_xlpm.trimmed,OFFSET(f_listof_program_candidates,MATCH("JN05",f_listof_program_codes,0)-1,6,1,),TRANSPOSE(_xlfn._xlws.FILTER(OFFSET(_xlpm.trimmed,0,0,,COUNTA(_xlpm.trimmed)-5),OFFSET(_xlpm.trimmed,0,0,,COUNTA(_xlpm.trimmed)-5)&lt;&gt;0)))</f>
        <v>B102</v>
      </c>
      <c r="C646" s="86" t="str">
        <f t="shared" ref="C646:C657" ca="1" si="141">VLOOKUP(B646,f_detailsof_candidates,2,FALSE)</f>
        <v>AHMAD MUBASHAR</v>
      </c>
      <c r="D646" s="86" t="str">
        <f t="shared" ref="D646:D657" ca="1" si="142">VLOOKUP(B646,f_detailsof_candidates,3,FALSE)</f>
        <v>FANT</v>
      </c>
      <c r="E646" s="86">
        <f t="shared" ref="E646:E657" ca="1" si="143">VLOOKUP(B646,f_detailsof_candidates,5,FALSE)</f>
        <v>3</v>
      </c>
    </row>
    <row r="647" spans="1:8" ht="14.25" x14ac:dyDescent="0.45">
      <c r="A647" s="86">
        <f ca="1"/>
        <v>2</v>
      </c>
      <c r="B647" s="86" t="str">
        <f ca="1"/>
        <v>B130</v>
      </c>
      <c r="C647" s="86" t="str">
        <f t="shared" ca="1" si="141"/>
        <v>HAFIL ADIL AMANULLAH K K</v>
      </c>
      <c r="D647" s="86" t="str">
        <f t="shared" ca="1" si="142"/>
        <v>FANT</v>
      </c>
      <c r="E647" s="86">
        <f t="shared" ca="1" si="143"/>
        <v>3</v>
      </c>
    </row>
    <row r="648" spans="1:8" ht="14.25" x14ac:dyDescent="0.45">
      <c r="A648" s="86">
        <f ca="1"/>
        <v>3</v>
      </c>
      <c r="B648" s="86" t="str">
        <f ca="1"/>
        <v>B135</v>
      </c>
      <c r="C648" s="86" t="str">
        <f t="shared" ca="1" si="141"/>
        <v>MOHAMMED RAFIH M R</v>
      </c>
      <c r="D648" s="86" t="str">
        <f t="shared" ca="1" si="142"/>
        <v>FANT</v>
      </c>
      <c r="E648" s="86">
        <f t="shared" ca="1" si="143"/>
        <v>3</v>
      </c>
    </row>
    <row r="649" spans="1:8" ht="14.25" x14ac:dyDescent="0.45">
      <c r="A649" s="86">
        <f ca="1"/>
        <v>4</v>
      </c>
      <c r="B649" s="86" t="str">
        <f ca="1"/>
        <v>B124</v>
      </c>
      <c r="C649" s="86" t="str">
        <f t="shared" ca="1" si="141"/>
        <v>MOHAMMED RAED. UA</v>
      </c>
      <c r="D649" s="86" t="str">
        <f t="shared" ca="1" si="142"/>
        <v>DAHF</v>
      </c>
      <c r="E649" s="86">
        <f t="shared" ca="1" si="143"/>
        <v>3</v>
      </c>
    </row>
    <row r="650" spans="1:8" ht="14.25" x14ac:dyDescent="0.45">
      <c r="A650" s="86">
        <f ca="1"/>
        <v>5</v>
      </c>
      <c r="B650" s="86" t="str">
        <f ca="1"/>
        <v>B149</v>
      </c>
      <c r="C650" s="86" t="str">
        <f t="shared" ca="1" si="141"/>
        <v>MUHAMMED FARHAN PH</v>
      </c>
      <c r="D650" s="86" t="str">
        <f t="shared" ca="1" si="142"/>
        <v>DAHF</v>
      </c>
      <c r="E650" s="86">
        <f t="shared" ca="1" si="143"/>
        <v>4</v>
      </c>
    </row>
    <row r="651" spans="1:8" ht="14.25" x14ac:dyDescent="0.45">
      <c r="A651" s="86">
        <f ca="1"/>
        <v>6</v>
      </c>
      <c r="B651" s="86" t="str">
        <f ca="1"/>
        <v>B158</v>
      </c>
      <c r="C651" s="86" t="str">
        <f t="shared" ca="1" si="141"/>
        <v>FADIL MOHAMMED K M</v>
      </c>
      <c r="D651" s="86" t="str">
        <f t="shared" ca="1" si="142"/>
        <v>DAHF</v>
      </c>
      <c r="E651" s="86">
        <f t="shared" ca="1" si="143"/>
        <v>4</v>
      </c>
    </row>
    <row r="652" spans="1:8" ht="14.25" x14ac:dyDescent="0.45">
      <c r="A652" s="86">
        <f ca="1"/>
        <v>7</v>
      </c>
      <c r="B652" s="86" t="str">
        <f ca="1"/>
        <v>B100</v>
      </c>
      <c r="C652" s="86" t="str">
        <f t="shared" ca="1" si="141"/>
        <v>ZAINUL ABID K</v>
      </c>
      <c r="D652" s="86" t="str">
        <f t="shared" ca="1" si="142"/>
        <v>BADF</v>
      </c>
      <c r="E652" s="86">
        <f t="shared" ca="1" si="143"/>
        <v>3</v>
      </c>
    </row>
    <row r="653" spans="1:8" ht="14.25" x14ac:dyDescent="0.45">
      <c r="A653" s="86">
        <f ca="1"/>
        <v>8</v>
      </c>
      <c r="B653" s="86" t="str">
        <f ca="1"/>
        <v>B121</v>
      </c>
      <c r="C653" s="86" t="str">
        <f t="shared" ca="1" si="141"/>
        <v>MOHIDDEEN SHAHSHAD</v>
      </c>
      <c r="D653" s="86" t="str">
        <f t="shared" ca="1" si="142"/>
        <v>BADF</v>
      </c>
      <c r="E653" s="86">
        <f t="shared" ca="1" si="143"/>
        <v>3</v>
      </c>
    </row>
    <row r="654" spans="1:8" ht="14.25" x14ac:dyDescent="0.45">
      <c r="A654" s="86">
        <f ca="1"/>
        <v>9</v>
      </c>
      <c r="B654" s="86" t="str">
        <f ca="1"/>
        <v>B146</v>
      </c>
      <c r="C654" s="86" t="str">
        <f t="shared" ca="1" si="141"/>
        <v>WASEEM NIHAD A M</v>
      </c>
      <c r="D654" s="86" t="str">
        <f t="shared" ca="1" si="142"/>
        <v>BADF</v>
      </c>
      <c r="E654" s="86">
        <f t="shared" ca="1" si="143"/>
        <v>4</v>
      </c>
    </row>
    <row r="655" spans="1:8" ht="14.25" x14ac:dyDescent="0.45">
      <c r="A655" s="86">
        <f ca="1"/>
        <v>10</v>
      </c>
      <c r="B655" s="86" t="str">
        <f ca="1"/>
        <v>B118</v>
      </c>
      <c r="C655" s="86" t="str">
        <f t="shared" ca="1" si="141"/>
        <v>Muhammad Muaaz</v>
      </c>
      <c r="D655" s="86" t="str">
        <f t="shared" ca="1" si="142"/>
        <v>JARF</v>
      </c>
      <c r="E655" s="86">
        <f t="shared" ca="1" si="143"/>
        <v>3</v>
      </c>
    </row>
    <row r="656" spans="1:8" ht="14.25" x14ac:dyDescent="0.45">
      <c r="A656" s="86">
        <f ca="1"/>
        <v>11</v>
      </c>
      <c r="B656" s="86" t="str">
        <f ca="1"/>
        <v>B162</v>
      </c>
      <c r="C656" s="86" t="str">
        <f t="shared" ca="1" si="141"/>
        <v>RAYHAN PH</v>
      </c>
      <c r="D656" s="86" t="str">
        <f t="shared" ca="1" si="142"/>
        <v>JARF</v>
      </c>
      <c r="E656" s="86">
        <f t="shared" ca="1" si="143"/>
        <v>4</v>
      </c>
    </row>
    <row r="657" spans="1:8" ht="14.25" x14ac:dyDescent="0.45">
      <c r="A657" s="86">
        <f ca="1"/>
        <v>12</v>
      </c>
      <c r="B657" s="86" t="str">
        <f ca="1"/>
        <v>B163</v>
      </c>
      <c r="C657" s="86" t="str">
        <f t="shared" ca="1" si="141"/>
        <v>MOHAMMED YOUNUS</v>
      </c>
      <c r="D657" s="86" t="str">
        <f t="shared" ca="1" si="142"/>
        <v>JARF</v>
      </c>
      <c r="E657" s="86">
        <f t="shared" ca="1" si="143"/>
        <v>4</v>
      </c>
    </row>
    <row r="658" spans="1:8" ht="14.25" x14ac:dyDescent="0.45">
      <c r="A658" s="84" t="s">
        <v>194</v>
      </c>
      <c r="B658" s="84" t="str">
        <f>VLOOKUP("JN06",f_detailsof_programs,2,FALSE)</f>
        <v>ESSAY ENG</v>
      </c>
      <c r="C658" s="84"/>
      <c r="D658" s="84" t="s">
        <v>688</v>
      </c>
      <c r="E658" s="84" t="s">
        <v>485</v>
      </c>
      <c r="F658" s="84"/>
      <c r="G658" s="84"/>
      <c r="H658" s="84"/>
    </row>
    <row r="659" spans="1:8" ht="14.25" x14ac:dyDescent="0.45">
      <c r="A659" s="85" t="s">
        <v>16</v>
      </c>
      <c r="B659" s="85" t="s">
        <v>480</v>
      </c>
      <c r="C659" s="85" t="s">
        <v>18</v>
      </c>
      <c r="D659" s="85" t="s">
        <v>481</v>
      </c>
      <c r="E659" s="85" t="s">
        <v>19</v>
      </c>
      <c r="F659" s="85" t="s">
        <v>482</v>
      </c>
      <c r="G659" s="85" t="s">
        <v>483</v>
      </c>
      <c r="H659" s="85" t="s">
        <v>484</v>
      </c>
    </row>
    <row r="660" spans="1:8" ht="14.25" x14ac:dyDescent="0.45">
      <c r="A660" s="86" cm="1">
        <f t="array" aca="1" ref="A660:A671" ca="1">_xlfn.SEQUENCE(COUNTA(_xlfn.LET(_xlpm.trimmed,OFFSET(f_listof_program_candidates,MATCH("JN06",f_listof_program_codes,0)-1,6,1,),TRANSPOSE(_xlfn._xlws.FILTER(OFFSET(_xlpm.trimmed,0,0,,COUNTA(_xlpm.trimmed)-5),OFFSET(_xlpm.trimmed,0,0,,COUNTA(_xlpm.trimmed)-5)&lt;&gt;0)))))</f>
        <v>1</v>
      </c>
      <c r="B660" s="86" t="str" cm="1">
        <f t="array" aca="1" ref="B660:B671" ca="1">_xlfn.LET(_xlpm.trimmed,OFFSET(f_listof_program_candidates,MATCH("JN06",f_listof_program_codes,0)-1,6,1,),TRANSPOSE(_xlfn._xlws.FILTER(OFFSET(_xlpm.trimmed,0,0,,COUNTA(_xlpm.trimmed)-5),OFFSET(_xlpm.trimmed,0,0,,COUNTA(_xlpm.trimmed)-5)&lt;&gt;0)))</f>
        <v>B123</v>
      </c>
      <c r="C660" s="86" t="str">
        <f t="shared" ref="C660:C671" ca="1" si="144">VLOOKUP(B660,f_detailsof_candidates,2,FALSE)</f>
        <v>MUHAMMED YASEEN</v>
      </c>
      <c r="D660" s="86" t="str">
        <f t="shared" ref="D660:D671" ca="1" si="145">VLOOKUP(B660,f_detailsof_candidates,3,FALSE)</f>
        <v>FANT</v>
      </c>
      <c r="E660" s="86">
        <f t="shared" ref="E660:E671" ca="1" si="146">VLOOKUP(B660,f_detailsof_candidates,5,FALSE)</f>
        <v>3</v>
      </c>
    </row>
    <row r="661" spans="1:8" ht="14.25" x14ac:dyDescent="0.45">
      <c r="A661" s="86">
        <f ca="1"/>
        <v>2</v>
      </c>
      <c r="B661" s="86" t="str">
        <f ca="1"/>
        <v>B157</v>
      </c>
      <c r="C661" s="86" t="str">
        <f t="shared" ca="1" si="144"/>
        <v>MUHAMMED MIHRAZ</v>
      </c>
      <c r="D661" s="86" t="str">
        <f t="shared" ca="1" si="145"/>
        <v>FANT</v>
      </c>
      <c r="E661" s="86">
        <f t="shared" ca="1" si="146"/>
        <v>4</v>
      </c>
    </row>
    <row r="662" spans="1:8" ht="14.25" x14ac:dyDescent="0.45">
      <c r="A662" s="86">
        <f ca="1"/>
        <v>3</v>
      </c>
      <c r="B662" s="86" t="str">
        <f ca="1"/>
        <v>B135</v>
      </c>
      <c r="C662" s="86" t="str">
        <f t="shared" ca="1" si="144"/>
        <v>MOHAMMED RAFIH M R</v>
      </c>
      <c r="D662" s="86" t="str">
        <f t="shared" ca="1" si="145"/>
        <v>FANT</v>
      </c>
      <c r="E662" s="86">
        <f t="shared" ca="1" si="146"/>
        <v>3</v>
      </c>
    </row>
    <row r="663" spans="1:8" ht="14.25" x14ac:dyDescent="0.45">
      <c r="A663" s="86">
        <f ca="1"/>
        <v>4</v>
      </c>
      <c r="B663" s="86" t="str">
        <f ca="1"/>
        <v>B127</v>
      </c>
      <c r="C663" s="86" t="str">
        <f t="shared" ca="1" si="144"/>
        <v>THANSEEHU RAHMAN</v>
      </c>
      <c r="D663" s="86" t="str">
        <f t="shared" ca="1" si="145"/>
        <v>DAHF</v>
      </c>
      <c r="E663" s="86">
        <f t="shared" ca="1" si="146"/>
        <v>3</v>
      </c>
    </row>
    <row r="664" spans="1:8" ht="14.25" x14ac:dyDescent="0.45">
      <c r="A664" s="86">
        <f ca="1"/>
        <v>5</v>
      </c>
      <c r="B664" s="86" t="str">
        <f ca="1"/>
        <v>B158</v>
      </c>
      <c r="C664" s="86" t="str">
        <f t="shared" ca="1" si="144"/>
        <v>FADIL MOHAMMED K M</v>
      </c>
      <c r="D664" s="86" t="str">
        <f t="shared" ca="1" si="145"/>
        <v>DAHF</v>
      </c>
      <c r="E664" s="86">
        <f t="shared" ca="1" si="146"/>
        <v>4</v>
      </c>
    </row>
    <row r="665" spans="1:8" ht="14.25" x14ac:dyDescent="0.45">
      <c r="A665" s="86">
        <f ca="1"/>
        <v>6</v>
      </c>
      <c r="B665" s="86" t="str">
        <f ca="1"/>
        <v>B159</v>
      </c>
      <c r="C665" s="86" t="str">
        <f t="shared" ca="1" si="144"/>
        <v>AJMAL AHMED MT</v>
      </c>
      <c r="D665" s="86" t="str">
        <f t="shared" ca="1" si="145"/>
        <v>DAHF</v>
      </c>
      <c r="E665" s="86">
        <f t="shared" ca="1" si="146"/>
        <v>4</v>
      </c>
    </row>
    <row r="666" spans="1:8" ht="14.25" x14ac:dyDescent="0.45">
      <c r="A666" s="86">
        <f ca="1"/>
        <v>7</v>
      </c>
      <c r="B666" s="86" t="str">
        <f ca="1"/>
        <v>B140</v>
      </c>
      <c r="C666" s="86" t="str">
        <f t="shared" ca="1" si="144"/>
        <v>MOHAMMED SHAHID</v>
      </c>
      <c r="D666" s="86" t="str">
        <f t="shared" ca="1" si="145"/>
        <v>BADF</v>
      </c>
      <c r="E666" s="86">
        <f t="shared" ca="1" si="146"/>
        <v>4</v>
      </c>
    </row>
    <row r="667" spans="1:8" ht="14.25" x14ac:dyDescent="0.45">
      <c r="A667" s="86">
        <f ca="1"/>
        <v>8</v>
      </c>
      <c r="B667" s="86" t="str">
        <f ca="1"/>
        <v>B142</v>
      </c>
      <c r="C667" s="86" t="str">
        <f t="shared" ca="1" si="144"/>
        <v>MUHAMMED HAMDAN A.P</v>
      </c>
      <c r="D667" s="86" t="str">
        <f t="shared" ca="1" si="145"/>
        <v>BADF</v>
      </c>
      <c r="E667" s="86">
        <f t="shared" ca="1" si="146"/>
        <v>4</v>
      </c>
    </row>
    <row r="668" spans="1:8" ht="14.25" x14ac:dyDescent="0.45">
      <c r="A668" s="86">
        <f ca="1"/>
        <v>9</v>
      </c>
      <c r="B668" s="86" t="str">
        <f ca="1"/>
        <v>B153</v>
      </c>
      <c r="C668" s="86" t="str">
        <f t="shared" ca="1" si="144"/>
        <v>ABDUL KHADER ISHAQUE</v>
      </c>
      <c r="D668" s="86" t="str">
        <f t="shared" ca="1" si="145"/>
        <v>BADF</v>
      </c>
      <c r="E668" s="86">
        <f t="shared" ca="1" si="146"/>
        <v>4</v>
      </c>
    </row>
    <row r="669" spans="1:8" ht="14.25" x14ac:dyDescent="0.45">
      <c r="A669" s="86">
        <f ca="1"/>
        <v>10</v>
      </c>
      <c r="B669" s="86" t="str">
        <f ca="1"/>
        <v>B107</v>
      </c>
      <c r="C669" s="86" t="str">
        <f t="shared" ca="1" si="144"/>
        <v>MUHAMMED ZAMIL</v>
      </c>
      <c r="D669" s="86" t="str">
        <f t="shared" ca="1" si="145"/>
        <v>JARF</v>
      </c>
      <c r="E669" s="86">
        <f t="shared" ca="1" si="146"/>
        <v>3</v>
      </c>
    </row>
    <row r="670" spans="1:8" ht="14.25" x14ac:dyDescent="0.45">
      <c r="A670" s="86">
        <f ca="1"/>
        <v>11</v>
      </c>
      <c r="B670" s="86" t="str">
        <f ca="1"/>
        <v>B108</v>
      </c>
      <c r="C670" s="86" t="str">
        <f t="shared" ca="1" si="144"/>
        <v>ABDUL RAHIMAN FAIZ T A</v>
      </c>
      <c r="D670" s="86" t="str">
        <f t="shared" ca="1" si="145"/>
        <v>JARF</v>
      </c>
      <c r="E670" s="86">
        <f t="shared" ca="1" si="146"/>
        <v>3</v>
      </c>
    </row>
    <row r="671" spans="1:8" ht="14.25" x14ac:dyDescent="0.45">
      <c r="A671" s="86">
        <f ca="1"/>
        <v>12</v>
      </c>
      <c r="B671" s="86" t="str">
        <f ca="1"/>
        <v>B134</v>
      </c>
      <c r="C671" s="86" t="str">
        <f t="shared" ca="1" si="144"/>
        <v>ABDUL RAHIMAN AZAAN</v>
      </c>
      <c r="D671" s="86" t="str">
        <f t="shared" ca="1" si="145"/>
        <v>JARF</v>
      </c>
      <c r="E671" s="86">
        <f t="shared" ca="1" si="146"/>
        <v>3</v>
      </c>
    </row>
    <row r="672" spans="1:8" ht="14.25" x14ac:dyDescent="0.45">
      <c r="A672" s="84" t="s">
        <v>196</v>
      </c>
      <c r="B672" s="84" t="str">
        <f>VLOOKUP("JN07",f_detailsof_programs,2,FALSE)</f>
        <v>ESSAY MLM</v>
      </c>
      <c r="C672" s="84"/>
      <c r="D672" s="84" t="s">
        <v>688</v>
      </c>
      <c r="E672" s="84" t="s">
        <v>485</v>
      </c>
      <c r="F672" s="84"/>
      <c r="G672" s="84"/>
      <c r="H672" s="84"/>
    </row>
    <row r="673" spans="1:8" ht="14.25" x14ac:dyDescent="0.45">
      <c r="A673" s="85" t="s">
        <v>16</v>
      </c>
      <c r="B673" s="85" t="s">
        <v>480</v>
      </c>
      <c r="C673" s="85" t="s">
        <v>18</v>
      </c>
      <c r="D673" s="85" t="s">
        <v>481</v>
      </c>
      <c r="E673" s="85" t="s">
        <v>19</v>
      </c>
      <c r="F673" s="85" t="s">
        <v>482</v>
      </c>
      <c r="G673" s="85" t="s">
        <v>483</v>
      </c>
      <c r="H673" s="85" t="s">
        <v>484</v>
      </c>
    </row>
    <row r="674" spans="1:8" ht="14.25" x14ac:dyDescent="0.45">
      <c r="A674" s="86" cm="1">
        <f t="array" aca="1" ref="A674:A685" ca="1">_xlfn.SEQUENCE(COUNTA(_xlfn.LET(_xlpm.trimmed,OFFSET(f_listof_program_candidates,MATCH("JN07",f_listof_program_codes,0)-1,6,1,),TRANSPOSE(_xlfn._xlws.FILTER(OFFSET(_xlpm.trimmed,0,0,,COUNTA(_xlpm.trimmed)-5),OFFSET(_xlpm.trimmed,0,0,,COUNTA(_xlpm.trimmed)-5)&lt;&gt;0)))))</f>
        <v>1</v>
      </c>
      <c r="B674" s="86" t="str" cm="1">
        <f t="array" aca="1" ref="B674:B685" ca="1">_xlfn.LET(_xlpm.trimmed,OFFSET(f_listof_program_candidates,MATCH("JN07",f_listof_program_codes,0)-1,6,1,),TRANSPOSE(_xlfn._xlws.FILTER(OFFSET(_xlpm.trimmed,0,0,,COUNTA(_xlpm.trimmed)-5),OFFSET(_xlpm.trimmed,0,0,,COUNTA(_xlpm.trimmed)-5)&lt;&gt;0)))</f>
        <v>B111</v>
      </c>
      <c r="C674" s="86" t="str">
        <f t="shared" ref="C674:C685" ca="1" si="147">VLOOKUP(B674,f_detailsof_candidates,2,FALSE)</f>
        <v>MUHAMMED SAHEEM ASHRAF</v>
      </c>
      <c r="D674" s="86" t="str">
        <f t="shared" ref="D674:D685" ca="1" si="148">VLOOKUP(B674,f_detailsof_candidates,3,FALSE)</f>
        <v>FANT</v>
      </c>
      <c r="E674" s="86">
        <f t="shared" ref="E674:E685" ca="1" si="149">VLOOKUP(B674,f_detailsof_candidates,5,FALSE)</f>
        <v>3</v>
      </c>
    </row>
    <row r="675" spans="1:8" ht="14.25" x14ac:dyDescent="0.45">
      <c r="A675" s="86">
        <f ca="1"/>
        <v>2</v>
      </c>
      <c r="B675" s="86" t="str">
        <f ca="1"/>
        <v>B150</v>
      </c>
      <c r="C675" s="86" t="str">
        <f t="shared" ca="1" si="147"/>
        <v>ABDULLA FAHAD T.U</v>
      </c>
      <c r="D675" s="86" t="str">
        <f t="shared" ca="1" si="148"/>
        <v>FANT</v>
      </c>
      <c r="E675" s="86">
        <f t="shared" ca="1" si="149"/>
        <v>4</v>
      </c>
    </row>
    <row r="676" spans="1:8" ht="14.25" x14ac:dyDescent="0.45">
      <c r="A676" s="86">
        <f ca="1"/>
        <v>3</v>
      </c>
      <c r="B676" s="86" t="str">
        <f ca="1"/>
        <v>B157</v>
      </c>
      <c r="C676" s="86" t="str">
        <f t="shared" ca="1" si="147"/>
        <v>MUHAMMED MIHRAZ</v>
      </c>
      <c r="D676" s="86" t="str">
        <f t="shared" ca="1" si="148"/>
        <v>FANT</v>
      </c>
      <c r="E676" s="86">
        <f t="shared" ca="1" si="149"/>
        <v>4</v>
      </c>
    </row>
    <row r="677" spans="1:8" ht="14.25" x14ac:dyDescent="0.45">
      <c r="A677" s="86">
        <f ca="1"/>
        <v>4</v>
      </c>
      <c r="B677" s="86" t="str">
        <f ca="1"/>
        <v>B109</v>
      </c>
      <c r="C677" s="86" t="str">
        <f t="shared" ca="1" si="147"/>
        <v>AHAMMED SAFAR ZAKARIYA</v>
      </c>
      <c r="D677" s="86" t="str">
        <f t="shared" ca="1" si="148"/>
        <v>DAHF</v>
      </c>
      <c r="E677" s="86">
        <f t="shared" ca="1" si="149"/>
        <v>3</v>
      </c>
    </row>
    <row r="678" spans="1:8" ht="14.25" x14ac:dyDescent="0.45">
      <c r="A678" s="86">
        <f ca="1"/>
        <v>5</v>
      </c>
      <c r="B678" s="86" t="str">
        <f ca="1"/>
        <v>B114</v>
      </c>
      <c r="C678" s="86" t="str">
        <f t="shared" ca="1" si="147"/>
        <v>AMEEN RAHMAN MTP</v>
      </c>
      <c r="D678" s="86" t="str">
        <f t="shared" ca="1" si="148"/>
        <v>DAHF</v>
      </c>
      <c r="E678" s="86">
        <f t="shared" ca="1" si="149"/>
        <v>3</v>
      </c>
    </row>
    <row r="679" spans="1:8" ht="14.25" x14ac:dyDescent="0.45">
      <c r="A679" s="86">
        <f ca="1"/>
        <v>6</v>
      </c>
      <c r="B679" s="86" t="str">
        <f ca="1"/>
        <v>B155</v>
      </c>
      <c r="C679" s="86" t="str">
        <f t="shared" ca="1" si="147"/>
        <v>MUHAMMED A</v>
      </c>
      <c r="D679" s="86" t="str">
        <f t="shared" ca="1" si="148"/>
        <v>DAHF</v>
      </c>
      <c r="E679" s="86">
        <f t="shared" ca="1" si="149"/>
        <v>4</v>
      </c>
    </row>
    <row r="680" spans="1:8" ht="14.25" x14ac:dyDescent="0.45">
      <c r="A680" s="86">
        <f ca="1"/>
        <v>7</v>
      </c>
      <c r="B680" s="86" t="str">
        <f ca="1"/>
        <v>B138</v>
      </c>
      <c r="C680" s="86" t="str">
        <f t="shared" ca="1" si="147"/>
        <v>HABEEB RAHMAN CA</v>
      </c>
      <c r="D680" s="86" t="str">
        <f t="shared" ca="1" si="148"/>
        <v>BADF</v>
      </c>
      <c r="E680" s="86">
        <f t="shared" ca="1" si="149"/>
        <v>3</v>
      </c>
    </row>
    <row r="681" spans="1:8" ht="14.25" x14ac:dyDescent="0.45">
      <c r="A681" s="86">
        <f ca="1"/>
        <v>8</v>
      </c>
      <c r="B681" s="86" t="str">
        <f ca="1"/>
        <v>B146</v>
      </c>
      <c r="C681" s="86" t="str">
        <f t="shared" ca="1" si="147"/>
        <v>WASEEM NIHAD A M</v>
      </c>
      <c r="D681" s="86" t="str">
        <f t="shared" ca="1" si="148"/>
        <v>BADF</v>
      </c>
      <c r="E681" s="86">
        <f t="shared" ca="1" si="149"/>
        <v>4</v>
      </c>
    </row>
    <row r="682" spans="1:8" ht="14.25" x14ac:dyDescent="0.45">
      <c r="A682" s="86">
        <f ca="1"/>
        <v>9</v>
      </c>
      <c r="B682" s="86" t="str">
        <f ca="1"/>
        <v>B164</v>
      </c>
      <c r="C682" s="86" t="str">
        <f t="shared" ca="1" si="147"/>
        <v>RASALUL AMEEN T</v>
      </c>
      <c r="D682" s="86" t="str">
        <f t="shared" ca="1" si="148"/>
        <v>BADF</v>
      </c>
      <c r="E682" s="86">
        <f t="shared" ca="1" si="149"/>
        <v>4</v>
      </c>
    </row>
    <row r="683" spans="1:8" ht="14.25" x14ac:dyDescent="0.45">
      <c r="A683" s="86">
        <f ca="1"/>
        <v>10</v>
      </c>
      <c r="B683" s="86" t="str">
        <f ca="1"/>
        <v>B147</v>
      </c>
      <c r="C683" s="86" t="str">
        <f t="shared" ca="1" si="147"/>
        <v>MOHAMMED SHAMEEM B K</v>
      </c>
      <c r="D683" s="86" t="str">
        <f t="shared" ca="1" si="148"/>
        <v>JARF</v>
      </c>
      <c r="E683" s="86">
        <f t="shared" ca="1" si="149"/>
        <v>4</v>
      </c>
    </row>
    <row r="684" spans="1:8" ht="14.25" x14ac:dyDescent="0.45">
      <c r="A684" s="86">
        <f ca="1"/>
        <v>11</v>
      </c>
      <c r="B684" s="86" t="str">
        <f ca="1"/>
        <v>B152</v>
      </c>
      <c r="C684" s="86" t="str">
        <f t="shared" ca="1" si="147"/>
        <v>MUHAMMED MUNAZIR MM</v>
      </c>
      <c r="D684" s="86" t="str">
        <f t="shared" ca="1" si="148"/>
        <v>JARF</v>
      </c>
      <c r="E684" s="86">
        <f t="shared" ca="1" si="149"/>
        <v>4</v>
      </c>
    </row>
    <row r="685" spans="1:8" ht="14.25" x14ac:dyDescent="0.45">
      <c r="A685" s="86">
        <f ca="1"/>
        <v>12</v>
      </c>
      <c r="B685" s="86" t="str">
        <f ca="1"/>
        <v>B163</v>
      </c>
      <c r="C685" s="86" t="str">
        <f t="shared" ca="1" si="147"/>
        <v>MOHAMMED YOUNUS</v>
      </c>
      <c r="D685" s="86" t="str">
        <f t="shared" ca="1" si="148"/>
        <v>JARF</v>
      </c>
      <c r="E685" s="86">
        <f t="shared" ca="1" si="149"/>
        <v>4</v>
      </c>
    </row>
    <row r="686" spans="1:8" ht="14.25" x14ac:dyDescent="0.45">
      <c r="A686" s="84" t="s">
        <v>198</v>
      </c>
      <c r="B686" s="84" t="str">
        <f>VLOOKUP("JN08",f_detailsof_programs,2,FALSE)</f>
        <v>ESSAY URD</v>
      </c>
      <c r="C686" s="84"/>
      <c r="D686" s="84" t="s">
        <v>688</v>
      </c>
      <c r="E686" s="84" t="s">
        <v>485</v>
      </c>
      <c r="F686" s="84"/>
      <c r="G686" s="84"/>
      <c r="H686" s="84"/>
    </row>
    <row r="687" spans="1:8" ht="14.25" x14ac:dyDescent="0.45">
      <c r="A687" s="85" t="s">
        <v>16</v>
      </c>
      <c r="B687" s="85" t="s">
        <v>480</v>
      </c>
      <c r="C687" s="85" t="s">
        <v>18</v>
      </c>
      <c r="D687" s="85" t="s">
        <v>481</v>
      </c>
      <c r="E687" s="85" t="s">
        <v>19</v>
      </c>
      <c r="F687" s="85" t="s">
        <v>482</v>
      </c>
      <c r="G687" s="85" t="s">
        <v>483</v>
      </c>
      <c r="H687" s="85" t="s">
        <v>484</v>
      </c>
    </row>
    <row r="688" spans="1:8" ht="14.25" x14ac:dyDescent="0.45">
      <c r="A688" s="86" cm="1">
        <f t="array" aca="1" ref="A688:A699" ca="1">_xlfn.SEQUENCE(COUNTA(_xlfn.LET(_xlpm.trimmed,OFFSET(f_listof_program_candidates,MATCH("JN08",f_listof_program_codes,0)-1,6,1,),TRANSPOSE(_xlfn._xlws.FILTER(OFFSET(_xlpm.trimmed,0,0,,COUNTA(_xlpm.trimmed)-5),OFFSET(_xlpm.trimmed,0,0,,COUNTA(_xlpm.trimmed)-5)&lt;&gt;0)))))</f>
        <v>1</v>
      </c>
      <c r="B688" s="86" t="str" cm="1">
        <f t="array" aca="1" ref="B688:B699" ca="1">_xlfn.LET(_xlpm.trimmed,OFFSET(f_listof_program_candidates,MATCH("JN08",f_listof_program_codes,0)-1,6,1,),TRANSPOSE(_xlfn._xlws.FILTER(OFFSET(_xlpm.trimmed,0,0,,COUNTA(_xlpm.trimmed)-5),OFFSET(_xlpm.trimmed,0,0,,COUNTA(_xlpm.trimmed)-5)&lt;&gt;0)))</f>
        <v>B120</v>
      </c>
      <c r="C688" s="86" t="str">
        <f t="shared" ref="C688:C699" ca="1" si="150">VLOOKUP(B688,f_detailsof_candidates,2,FALSE)</f>
        <v>MOHAMMED RIYAN</v>
      </c>
      <c r="D688" s="86" t="str">
        <f t="shared" ref="D688:D699" ca="1" si="151">VLOOKUP(B688,f_detailsof_candidates,3,FALSE)</f>
        <v>FANT</v>
      </c>
      <c r="E688" s="86">
        <f t="shared" ref="E688:E699" ca="1" si="152">VLOOKUP(B688,f_detailsof_candidates,5,FALSE)</f>
        <v>3</v>
      </c>
    </row>
    <row r="689" spans="1:8" ht="14.25" x14ac:dyDescent="0.45">
      <c r="A689" s="86">
        <f ca="1"/>
        <v>2</v>
      </c>
      <c r="B689" s="86" t="str">
        <f ca="1"/>
        <v>B141</v>
      </c>
      <c r="C689" s="86" t="str">
        <f t="shared" ca="1" si="150"/>
        <v>RAFNAS P</v>
      </c>
      <c r="D689" s="86" t="str">
        <f t="shared" ca="1" si="151"/>
        <v>FANT</v>
      </c>
      <c r="E689" s="86">
        <f t="shared" ca="1" si="152"/>
        <v>4</v>
      </c>
    </row>
    <row r="690" spans="1:8" ht="14.25" x14ac:dyDescent="0.45">
      <c r="A690" s="86">
        <f ca="1"/>
        <v>3</v>
      </c>
      <c r="B690" s="86" t="str">
        <f ca="1"/>
        <v>B150</v>
      </c>
      <c r="C690" s="86" t="str">
        <f t="shared" ca="1" si="150"/>
        <v>ABDULLA FAHAD T.U</v>
      </c>
      <c r="D690" s="86" t="str">
        <f t="shared" ca="1" si="151"/>
        <v>FANT</v>
      </c>
      <c r="E690" s="86">
        <f t="shared" ca="1" si="152"/>
        <v>4</v>
      </c>
    </row>
    <row r="691" spans="1:8" ht="14.25" x14ac:dyDescent="0.45">
      <c r="A691" s="86">
        <f ca="1"/>
        <v>4</v>
      </c>
      <c r="B691" s="86" t="str">
        <f ca="1"/>
        <v>B132</v>
      </c>
      <c r="C691" s="86" t="str">
        <f t="shared" ca="1" si="150"/>
        <v>MUHAMMED SAEED THUFAIL</v>
      </c>
      <c r="D691" s="86" t="str">
        <f t="shared" ca="1" si="151"/>
        <v>DAHF</v>
      </c>
      <c r="E691" s="86">
        <f t="shared" ca="1" si="152"/>
        <v>3</v>
      </c>
    </row>
    <row r="692" spans="1:8" ht="14.25" x14ac:dyDescent="0.45">
      <c r="A692" s="86">
        <f ca="1"/>
        <v>5</v>
      </c>
      <c r="B692" s="86" t="str">
        <f ca="1"/>
        <v>B139</v>
      </c>
      <c r="C692" s="86" t="str">
        <f t="shared" ca="1" si="150"/>
        <v>Muhammad</v>
      </c>
      <c r="D692" s="86" t="str">
        <f t="shared" ca="1" si="151"/>
        <v>DAHF</v>
      </c>
      <c r="E692" s="86">
        <f t="shared" ca="1" si="152"/>
        <v>3</v>
      </c>
    </row>
    <row r="693" spans="1:8" ht="14.25" x14ac:dyDescent="0.45">
      <c r="A693" s="86">
        <f ca="1"/>
        <v>6</v>
      </c>
      <c r="B693" s="86" t="str">
        <f ca="1"/>
        <v>B154</v>
      </c>
      <c r="C693" s="86" t="str">
        <f t="shared" ca="1" si="150"/>
        <v>ABDULLA ALBAS</v>
      </c>
      <c r="D693" s="86" t="str">
        <f t="shared" ca="1" si="151"/>
        <v>DAHF</v>
      </c>
      <c r="E693" s="86">
        <f t="shared" ca="1" si="152"/>
        <v>4</v>
      </c>
    </row>
    <row r="694" spans="1:8" ht="14.25" x14ac:dyDescent="0.45">
      <c r="A694" s="86">
        <f ca="1"/>
        <v>7</v>
      </c>
      <c r="B694" s="86" t="str">
        <f ca="1"/>
        <v>B103</v>
      </c>
      <c r="C694" s="86" t="str">
        <f t="shared" ca="1" si="150"/>
        <v>MOHAMMED NAFIH BA</v>
      </c>
      <c r="D694" s="86" t="str">
        <f t="shared" ca="1" si="151"/>
        <v>BADF</v>
      </c>
      <c r="E694" s="86">
        <f t="shared" ca="1" si="152"/>
        <v>3</v>
      </c>
    </row>
    <row r="695" spans="1:8" ht="14.25" x14ac:dyDescent="0.45">
      <c r="A695" s="86">
        <f ca="1"/>
        <v>8</v>
      </c>
      <c r="B695" s="86" t="str">
        <f ca="1"/>
        <v>B137</v>
      </c>
      <c r="C695" s="86" t="str">
        <f t="shared" ca="1" si="150"/>
        <v>MOHAMMAD IJAN</v>
      </c>
      <c r="D695" s="86" t="str">
        <f t="shared" ca="1" si="151"/>
        <v>BADF</v>
      </c>
      <c r="E695" s="86">
        <f t="shared" ca="1" si="152"/>
        <v>3</v>
      </c>
    </row>
    <row r="696" spans="1:8" ht="14.25" x14ac:dyDescent="0.45">
      <c r="A696" s="86">
        <f ca="1"/>
        <v>9</v>
      </c>
      <c r="B696" s="86" t="str">
        <f ca="1"/>
        <v>B140</v>
      </c>
      <c r="C696" s="86" t="str">
        <f t="shared" ca="1" si="150"/>
        <v>MOHAMMED SHAHID</v>
      </c>
      <c r="D696" s="86" t="str">
        <f t="shared" ca="1" si="151"/>
        <v>BADF</v>
      </c>
      <c r="E696" s="86">
        <f t="shared" ca="1" si="152"/>
        <v>4</v>
      </c>
    </row>
    <row r="697" spans="1:8" ht="14.25" x14ac:dyDescent="0.45">
      <c r="A697" s="86">
        <f ca="1"/>
        <v>10</v>
      </c>
      <c r="B697" s="86" t="str">
        <f ca="1"/>
        <v>B118</v>
      </c>
      <c r="C697" s="86" t="str">
        <f t="shared" ca="1" si="150"/>
        <v>Muhammad Muaaz</v>
      </c>
      <c r="D697" s="86" t="str">
        <f t="shared" ca="1" si="151"/>
        <v>JARF</v>
      </c>
      <c r="E697" s="86">
        <f t="shared" ca="1" si="152"/>
        <v>3</v>
      </c>
    </row>
    <row r="698" spans="1:8" ht="14.25" x14ac:dyDescent="0.45">
      <c r="A698" s="86">
        <f ca="1"/>
        <v>11</v>
      </c>
      <c r="B698" s="86" t="str">
        <f ca="1"/>
        <v>B147</v>
      </c>
      <c r="C698" s="86" t="str">
        <f t="shared" ca="1" si="150"/>
        <v>MOHAMMED SHAMEEM B K</v>
      </c>
      <c r="D698" s="86" t="str">
        <f t="shared" ca="1" si="151"/>
        <v>JARF</v>
      </c>
      <c r="E698" s="86">
        <f t="shared" ca="1" si="152"/>
        <v>4</v>
      </c>
    </row>
    <row r="699" spans="1:8" ht="14.25" x14ac:dyDescent="0.45">
      <c r="A699" s="86">
        <f ca="1"/>
        <v>12</v>
      </c>
      <c r="B699" s="86" t="str">
        <f ca="1"/>
        <v>B152</v>
      </c>
      <c r="C699" s="86" t="str">
        <f t="shared" ca="1" si="150"/>
        <v>MUHAMMED MUNAZIR MM</v>
      </c>
      <c r="D699" s="86" t="str">
        <f t="shared" ca="1" si="151"/>
        <v>JARF</v>
      </c>
      <c r="E699" s="86">
        <f t="shared" ca="1" si="152"/>
        <v>4</v>
      </c>
    </row>
    <row r="700" spans="1:8" ht="14.25" x14ac:dyDescent="0.45">
      <c r="A700" s="84" t="s">
        <v>200</v>
      </c>
      <c r="B700" s="84" t="str">
        <f>VLOOKUP("JN09",f_detailsof_programs,2,FALSE)</f>
        <v>GEO GIANT</v>
      </c>
      <c r="C700" s="84"/>
      <c r="D700" s="84" t="s">
        <v>688</v>
      </c>
      <c r="E700" s="84" t="s">
        <v>485</v>
      </c>
      <c r="F700" s="84"/>
      <c r="G700" s="84"/>
      <c r="H700" s="84"/>
    </row>
    <row r="701" spans="1:8" ht="14.25" x14ac:dyDescent="0.45">
      <c r="A701" s="85" t="s">
        <v>16</v>
      </c>
      <c r="B701" s="85" t="s">
        <v>480</v>
      </c>
      <c r="C701" s="85" t="s">
        <v>18</v>
      </c>
      <c r="D701" s="85" t="s">
        <v>481</v>
      </c>
      <c r="E701" s="85" t="s">
        <v>19</v>
      </c>
      <c r="F701" s="85" t="s">
        <v>482</v>
      </c>
      <c r="G701" s="85" t="s">
        <v>483</v>
      </c>
      <c r="H701" s="85" t="s">
        <v>484</v>
      </c>
    </row>
    <row r="702" spans="1:8" ht="14.25" x14ac:dyDescent="0.45">
      <c r="A702" s="86" cm="1">
        <f t="array" aca="1" ref="A702:A713" ca="1">_xlfn.SEQUENCE(COUNTA(_xlfn.LET(_xlpm.trimmed,OFFSET(f_listof_program_candidates,MATCH("JN09",f_listof_program_codes,0)-1,6,1,),TRANSPOSE(_xlfn._xlws.FILTER(OFFSET(_xlpm.trimmed,0,0,,COUNTA(_xlpm.trimmed)-5),OFFSET(_xlpm.trimmed,0,0,,COUNTA(_xlpm.trimmed)-5)&lt;&gt;0)))))</f>
        <v>1</v>
      </c>
      <c r="B702" s="86" t="str" cm="1">
        <f t="array" aca="1" ref="B702:B713" ca="1">_xlfn.LET(_xlpm.trimmed,OFFSET(f_listof_program_candidates,MATCH("JN09",f_listof_program_codes,0)-1,6,1,),TRANSPOSE(_xlfn._xlws.FILTER(OFFSET(_xlpm.trimmed,0,0,,COUNTA(_xlpm.trimmed)-5),OFFSET(_xlpm.trimmed,0,0,,COUNTA(_xlpm.trimmed)-5)&lt;&gt;0)))</f>
        <v>B104</v>
      </c>
      <c r="C702" s="86" t="str">
        <f t="shared" ref="C702:C713" ca="1" si="153">VLOOKUP(B702,f_detailsof_candidates,2,FALSE)</f>
        <v>FAKRUDDIN NAFIL</v>
      </c>
      <c r="D702" s="86" t="str">
        <f t="shared" ref="D702:D713" ca="1" si="154">VLOOKUP(B702,f_detailsof_candidates,3,FALSE)</f>
        <v>FANT</v>
      </c>
      <c r="E702" s="86">
        <f t="shared" ref="E702:E713" ca="1" si="155">VLOOKUP(B702,f_detailsof_candidates,5,FALSE)</f>
        <v>3</v>
      </c>
    </row>
    <row r="703" spans="1:8" ht="14.25" x14ac:dyDescent="0.45">
      <c r="A703" s="86">
        <f ca="1"/>
        <v>2</v>
      </c>
      <c r="B703" s="86" t="str">
        <f ca="1"/>
        <v>B123</v>
      </c>
      <c r="C703" s="86" t="str">
        <f t="shared" ca="1" si="153"/>
        <v>MUHAMMED YASEEN</v>
      </c>
      <c r="D703" s="86" t="str">
        <f t="shared" ca="1" si="154"/>
        <v>FANT</v>
      </c>
      <c r="E703" s="86">
        <f t="shared" ca="1" si="155"/>
        <v>3</v>
      </c>
    </row>
    <row r="704" spans="1:8" ht="14.25" x14ac:dyDescent="0.45">
      <c r="A704" s="86">
        <f ca="1"/>
        <v>3</v>
      </c>
      <c r="B704" s="86" t="str">
        <f ca="1"/>
        <v>B144</v>
      </c>
      <c r="C704" s="86" t="str">
        <f t="shared" ca="1" si="153"/>
        <v>MUHAMMED NAFIH CI</v>
      </c>
      <c r="D704" s="86" t="str">
        <f t="shared" ca="1" si="154"/>
        <v>FANT</v>
      </c>
      <c r="E704" s="86">
        <f t="shared" ca="1" si="155"/>
        <v>4</v>
      </c>
    </row>
    <row r="705" spans="1:8" ht="14.25" x14ac:dyDescent="0.45">
      <c r="A705" s="86">
        <f ca="1"/>
        <v>4</v>
      </c>
      <c r="B705" s="86" t="str">
        <f ca="1"/>
        <v>B122</v>
      </c>
      <c r="C705" s="86" t="str">
        <f t="shared" ca="1" si="153"/>
        <v>MUHAMMAD FAYIZ B</v>
      </c>
      <c r="D705" s="86" t="str">
        <f t="shared" ca="1" si="154"/>
        <v>DAHF</v>
      </c>
      <c r="E705" s="86">
        <f t="shared" ca="1" si="155"/>
        <v>3</v>
      </c>
    </row>
    <row r="706" spans="1:8" ht="14.25" x14ac:dyDescent="0.45">
      <c r="A706" s="86">
        <f ca="1"/>
        <v>5</v>
      </c>
      <c r="B706" s="86" t="str">
        <f ca="1"/>
        <v>B110</v>
      </c>
      <c r="C706" s="86" t="str">
        <f t="shared" ca="1" si="153"/>
        <v>MUHAMMED MUHAZ P A</v>
      </c>
      <c r="D706" s="86" t="str">
        <f t="shared" ca="1" si="154"/>
        <v>DAHF</v>
      </c>
      <c r="E706" s="86">
        <f t="shared" ca="1" si="155"/>
        <v>3</v>
      </c>
    </row>
    <row r="707" spans="1:8" ht="14.25" x14ac:dyDescent="0.45">
      <c r="A707" s="86">
        <f ca="1"/>
        <v>6</v>
      </c>
      <c r="B707" s="86" t="str">
        <f ca="1"/>
        <v>B158</v>
      </c>
      <c r="C707" s="86" t="str">
        <f t="shared" ca="1" si="153"/>
        <v>FADIL MOHAMMED K M</v>
      </c>
      <c r="D707" s="86" t="str">
        <f t="shared" ca="1" si="154"/>
        <v>DAHF</v>
      </c>
      <c r="E707" s="86">
        <f t="shared" ca="1" si="155"/>
        <v>4</v>
      </c>
    </row>
    <row r="708" spans="1:8" ht="14.25" x14ac:dyDescent="0.45">
      <c r="A708" s="86">
        <f ca="1"/>
        <v>7</v>
      </c>
      <c r="B708" s="86" t="str">
        <f ca="1"/>
        <v>B113</v>
      </c>
      <c r="C708" s="86" t="str">
        <f t="shared" ca="1" si="153"/>
        <v>MUHAMMED IHTHISHAM P I</v>
      </c>
      <c r="D708" s="86" t="str">
        <f t="shared" ca="1" si="154"/>
        <v>BADF</v>
      </c>
      <c r="E708" s="86">
        <f t="shared" ca="1" si="155"/>
        <v>3</v>
      </c>
    </row>
    <row r="709" spans="1:8" ht="14.25" x14ac:dyDescent="0.45">
      <c r="A709" s="86">
        <f ca="1"/>
        <v>8</v>
      </c>
      <c r="B709" s="86" t="str">
        <f ca="1"/>
        <v>B136</v>
      </c>
      <c r="C709" s="86" t="str">
        <f t="shared" ca="1" si="153"/>
        <v>MUHAMMAD MIJVAD K</v>
      </c>
      <c r="D709" s="86" t="str">
        <f t="shared" ca="1" si="154"/>
        <v>BADF</v>
      </c>
      <c r="E709" s="86">
        <f t="shared" ca="1" si="155"/>
        <v>3</v>
      </c>
    </row>
    <row r="710" spans="1:8" ht="14.25" x14ac:dyDescent="0.45">
      <c r="A710" s="86">
        <f ca="1"/>
        <v>9</v>
      </c>
      <c r="B710" s="86" t="str">
        <f ca="1"/>
        <v>B137</v>
      </c>
      <c r="C710" s="86" t="str">
        <f t="shared" ca="1" si="153"/>
        <v>MOHAMMAD IJAN</v>
      </c>
      <c r="D710" s="86" t="str">
        <f t="shared" ca="1" si="154"/>
        <v>BADF</v>
      </c>
      <c r="E710" s="86">
        <f t="shared" ca="1" si="155"/>
        <v>3</v>
      </c>
    </row>
    <row r="711" spans="1:8" ht="14.25" x14ac:dyDescent="0.45">
      <c r="A711" s="86">
        <f ca="1"/>
        <v>10</v>
      </c>
      <c r="B711" s="86" t="str">
        <f ca="1"/>
        <v>B131</v>
      </c>
      <c r="C711" s="86" t="str">
        <f t="shared" ca="1" si="153"/>
        <v>MUHAMMED BASSIM. E</v>
      </c>
      <c r="D711" s="86" t="str">
        <f t="shared" ca="1" si="154"/>
        <v>JARF</v>
      </c>
      <c r="E711" s="86">
        <f t="shared" ca="1" si="155"/>
        <v>3</v>
      </c>
    </row>
    <row r="712" spans="1:8" ht="14.25" x14ac:dyDescent="0.45">
      <c r="A712" s="86">
        <f ca="1"/>
        <v>11</v>
      </c>
      <c r="B712" s="86" t="str">
        <f ca="1"/>
        <v>B147</v>
      </c>
      <c r="C712" s="86" t="str">
        <f t="shared" ca="1" si="153"/>
        <v>MOHAMMED SHAMEEM B K</v>
      </c>
      <c r="D712" s="86" t="str">
        <f t="shared" ca="1" si="154"/>
        <v>JARF</v>
      </c>
      <c r="E712" s="86">
        <f t="shared" ca="1" si="155"/>
        <v>4</v>
      </c>
    </row>
    <row r="713" spans="1:8" ht="14.25" x14ac:dyDescent="0.45">
      <c r="A713" s="86">
        <f ca="1"/>
        <v>12</v>
      </c>
      <c r="B713" s="86" t="str">
        <f ca="1"/>
        <v>B152</v>
      </c>
      <c r="C713" s="86" t="str">
        <f t="shared" ca="1" si="153"/>
        <v>MUHAMMED MUNAZIR MM</v>
      </c>
      <c r="D713" s="86" t="str">
        <f t="shared" ca="1" si="154"/>
        <v>JARF</v>
      </c>
      <c r="E713" s="86">
        <f t="shared" ca="1" si="155"/>
        <v>4</v>
      </c>
    </row>
    <row r="714" spans="1:8" ht="14.25" x14ac:dyDescent="0.45">
      <c r="A714" s="84" t="s">
        <v>201</v>
      </c>
      <c r="B714" s="84" t="str">
        <f>VLOOKUP("JN10",f_detailsof_programs,2,FALSE)</f>
        <v>GK QUIZ</v>
      </c>
      <c r="C714" s="84"/>
      <c r="D714" s="84" t="s">
        <v>688</v>
      </c>
      <c r="E714" s="84" t="s">
        <v>485</v>
      </c>
      <c r="F714" s="84"/>
      <c r="G714" s="84"/>
      <c r="H714" s="84"/>
    </row>
    <row r="715" spans="1:8" ht="14.25" x14ac:dyDescent="0.45">
      <c r="A715" s="85" t="s">
        <v>16</v>
      </c>
      <c r="B715" s="85" t="s">
        <v>480</v>
      </c>
      <c r="C715" s="85" t="s">
        <v>18</v>
      </c>
      <c r="D715" s="85" t="s">
        <v>481</v>
      </c>
      <c r="E715" s="85" t="s">
        <v>19</v>
      </c>
      <c r="F715" s="85" t="s">
        <v>482</v>
      </c>
      <c r="G715" s="85" t="s">
        <v>483</v>
      </c>
      <c r="H715" s="85" t="s">
        <v>484</v>
      </c>
    </row>
    <row r="716" spans="1:8" ht="14.25" x14ac:dyDescent="0.45">
      <c r="A716" s="86" cm="1">
        <f t="array" aca="1" ref="A716:A727" ca="1">_xlfn.SEQUENCE(COUNTA(_xlfn.LET(_xlpm.trimmed,OFFSET(f_listof_program_candidates,MATCH("JN10",f_listof_program_codes,0)-1,6,1,),TRANSPOSE(_xlfn._xlws.FILTER(OFFSET(_xlpm.trimmed,0,0,,COUNTA(_xlpm.trimmed)-5),OFFSET(_xlpm.trimmed,0,0,,COUNTA(_xlpm.trimmed)-5)&lt;&gt;0)))))</f>
        <v>1</v>
      </c>
      <c r="B716" s="86" t="str" cm="1">
        <f t="array" aca="1" ref="B716:B727" ca="1">_xlfn.LET(_xlpm.trimmed,OFFSET(f_listof_program_candidates,MATCH("JN10",f_listof_program_codes,0)-1,6,1,),TRANSPOSE(_xlfn._xlws.FILTER(OFFSET(_xlpm.trimmed,0,0,,COUNTA(_xlpm.trimmed)-5),OFFSET(_xlpm.trimmed,0,0,,COUNTA(_xlpm.trimmed)-5)&lt;&gt;0)))</f>
        <v>B111</v>
      </c>
      <c r="C716" s="86" t="str">
        <f t="shared" ref="C716:C727" ca="1" si="156">VLOOKUP(B716,f_detailsof_candidates,2,FALSE)</f>
        <v>MUHAMMED SAHEEM ASHRAF</v>
      </c>
      <c r="D716" s="86" t="str">
        <f t="shared" ref="D716:D727" ca="1" si="157">VLOOKUP(B716,f_detailsof_candidates,3,FALSE)</f>
        <v>FANT</v>
      </c>
      <c r="E716" s="86">
        <f t="shared" ref="E716:E727" ca="1" si="158">VLOOKUP(B716,f_detailsof_candidates,5,FALSE)</f>
        <v>3</v>
      </c>
    </row>
    <row r="717" spans="1:8" ht="14.25" x14ac:dyDescent="0.45">
      <c r="A717" s="86">
        <f ca="1"/>
        <v>2</v>
      </c>
      <c r="B717" s="86" t="str">
        <f ca="1"/>
        <v>B143</v>
      </c>
      <c r="C717" s="86" t="str">
        <f t="shared" ca="1" si="156"/>
        <v>MOHAMMED SHADIL AP</v>
      </c>
      <c r="D717" s="86" t="str">
        <f t="shared" ca="1" si="157"/>
        <v>FANT</v>
      </c>
      <c r="E717" s="86">
        <f t="shared" ca="1" si="158"/>
        <v>4</v>
      </c>
    </row>
    <row r="718" spans="1:8" ht="14.25" x14ac:dyDescent="0.45">
      <c r="A718" s="86">
        <f ca="1"/>
        <v>3</v>
      </c>
      <c r="B718" s="86" t="str">
        <f ca="1"/>
        <v>B144</v>
      </c>
      <c r="C718" s="86" t="str">
        <f t="shared" ca="1" si="156"/>
        <v>MUHAMMED NAFIH CI</v>
      </c>
      <c r="D718" s="86" t="str">
        <f t="shared" ca="1" si="157"/>
        <v>FANT</v>
      </c>
      <c r="E718" s="86">
        <f t="shared" ca="1" si="158"/>
        <v>4</v>
      </c>
    </row>
    <row r="719" spans="1:8" ht="14.25" x14ac:dyDescent="0.45">
      <c r="A719" s="86">
        <f ca="1"/>
        <v>4</v>
      </c>
      <c r="B719" s="86" t="str">
        <f ca="1"/>
        <v>B110</v>
      </c>
      <c r="C719" s="86" t="str">
        <f t="shared" ca="1" si="156"/>
        <v>MUHAMMED MUHAZ P A</v>
      </c>
      <c r="D719" s="86" t="str">
        <f t="shared" ca="1" si="157"/>
        <v>DAHF</v>
      </c>
      <c r="E719" s="86">
        <f t="shared" ca="1" si="158"/>
        <v>3</v>
      </c>
    </row>
    <row r="720" spans="1:8" ht="14.25" x14ac:dyDescent="0.45">
      <c r="A720" s="86">
        <f ca="1"/>
        <v>5</v>
      </c>
      <c r="B720" s="86" t="str">
        <f ca="1"/>
        <v>B122</v>
      </c>
      <c r="C720" s="86" t="str">
        <f t="shared" ca="1" si="156"/>
        <v>MUHAMMAD FAYIZ B</v>
      </c>
      <c r="D720" s="86" t="str">
        <f t="shared" ca="1" si="157"/>
        <v>DAHF</v>
      </c>
      <c r="E720" s="86">
        <f t="shared" ca="1" si="158"/>
        <v>3</v>
      </c>
    </row>
    <row r="721" spans="1:8" ht="14.25" x14ac:dyDescent="0.45">
      <c r="A721" s="86">
        <f ca="1"/>
        <v>6</v>
      </c>
      <c r="B721" s="86" t="str">
        <f ca="1"/>
        <v>B127</v>
      </c>
      <c r="C721" s="86" t="str">
        <f t="shared" ca="1" si="156"/>
        <v>THANSEEHU RAHMAN</v>
      </c>
      <c r="D721" s="86" t="str">
        <f t="shared" ca="1" si="157"/>
        <v>DAHF</v>
      </c>
      <c r="E721" s="86">
        <f t="shared" ca="1" si="158"/>
        <v>3</v>
      </c>
    </row>
    <row r="722" spans="1:8" ht="14.25" x14ac:dyDescent="0.45">
      <c r="A722" s="86">
        <f ca="1"/>
        <v>7</v>
      </c>
      <c r="B722" s="86" t="str">
        <f ca="1"/>
        <v>B113</v>
      </c>
      <c r="C722" s="86" t="str">
        <f t="shared" ca="1" si="156"/>
        <v>MUHAMMED IHTHISHAM P I</v>
      </c>
      <c r="D722" s="86" t="str">
        <f t="shared" ca="1" si="157"/>
        <v>BADF</v>
      </c>
      <c r="E722" s="86">
        <f t="shared" ca="1" si="158"/>
        <v>3</v>
      </c>
    </row>
    <row r="723" spans="1:8" ht="14.25" x14ac:dyDescent="0.45">
      <c r="A723" s="86">
        <f ca="1"/>
        <v>8</v>
      </c>
      <c r="B723" s="86" t="str">
        <f ca="1"/>
        <v>B136</v>
      </c>
      <c r="C723" s="86" t="str">
        <f t="shared" ca="1" si="156"/>
        <v>MUHAMMAD MIJVAD K</v>
      </c>
      <c r="D723" s="86" t="str">
        <f t="shared" ca="1" si="157"/>
        <v>BADF</v>
      </c>
      <c r="E723" s="86">
        <f t="shared" ca="1" si="158"/>
        <v>3</v>
      </c>
    </row>
    <row r="724" spans="1:8" ht="14.25" x14ac:dyDescent="0.45">
      <c r="A724" s="86">
        <f ca="1"/>
        <v>9</v>
      </c>
      <c r="B724" s="86" t="str">
        <f ca="1"/>
        <v>B146</v>
      </c>
      <c r="C724" s="86" t="str">
        <f t="shared" ca="1" si="156"/>
        <v>WASEEM NIHAD A M</v>
      </c>
      <c r="D724" s="86" t="str">
        <f t="shared" ca="1" si="157"/>
        <v>BADF</v>
      </c>
      <c r="E724" s="86">
        <f t="shared" ca="1" si="158"/>
        <v>4</v>
      </c>
    </row>
    <row r="725" spans="1:8" ht="14.25" x14ac:dyDescent="0.45">
      <c r="A725" s="86">
        <f ca="1"/>
        <v>10</v>
      </c>
      <c r="B725" s="86" t="str">
        <f ca="1"/>
        <v>B108</v>
      </c>
      <c r="C725" s="86" t="str">
        <f t="shared" ca="1" si="156"/>
        <v>ABDUL RAHIMAN FAIZ T A</v>
      </c>
      <c r="D725" s="86" t="str">
        <f t="shared" ca="1" si="157"/>
        <v>JARF</v>
      </c>
      <c r="E725" s="86">
        <f t="shared" ca="1" si="158"/>
        <v>3</v>
      </c>
    </row>
    <row r="726" spans="1:8" ht="14.25" x14ac:dyDescent="0.45">
      <c r="A726" s="86">
        <f ca="1"/>
        <v>11</v>
      </c>
      <c r="B726" s="86" t="str">
        <f ca="1"/>
        <v>B147</v>
      </c>
      <c r="C726" s="86" t="str">
        <f t="shared" ca="1" si="156"/>
        <v>MOHAMMED SHAMEEM B K</v>
      </c>
      <c r="D726" s="86" t="str">
        <f t="shared" ca="1" si="157"/>
        <v>JARF</v>
      </c>
      <c r="E726" s="86">
        <f t="shared" ca="1" si="158"/>
        <v>4</v>
      </c>
    </row>
    <row r="727" spans="1:8" ht="14.25" x14ac:dyDescent="0.45">
      <c r="A727" s="86">
        <f ca="1"/>
        <v>12</v>
      </c>
      <c r="B727" s="86" t="str">
        <f ca="1"/>
        <v>B152</v>
      </c>
      <c r="C727" s="86" t="str">
        <f t="shared" ca="1" si="156"/>
        <v>MUHAMMED MUNAZIR MM</v>
      </c>
      <c r="D727" s="86" t="str">
        <f t="shared" ca="1" si="157"/>
        <v>JARF</v>
      </c>
      <c r="E727" s="86">
        <f t="shared" ca="1" si="158"/>
        <v>4</v>
      </c>
    </row>
    <row r="728" spans="1:8" ht="14.25" x14ac:dyDescent="0.45">
      <c r="A728" s="84" t="s">
        <v>202</v>
      </c>
      <c r="B728" s="84" t="str">
        <f>VLOOKUP("JN11",f_detailsof_programs,2,FALSE)</f>
        <v>ḤIFẒ</v>
      </c>
      <c r="C728" s="84"/>
      <c r="D728" s="84" t="s">
        <v>688</v>
      </c>
      <c r="E728" s="84" t="s">
        <v>485</v>
      </c>
      <c r="F728" s="84"/>
      <c r="G728" s="84"/>
      <c r="H728" s="84"/>
    </row>
    <row r="729" spans="1:8" ht="14.25" x14ac:dyDescent="0.45">
      <c r="A729" s="85" t="s">
        <v>16</v>
      </c>
      <c r="B729" s="85" t="s">
        <v>480</v>
      </c>
      <c r="C729" s="85" t="s">
        <v>18</v>
      </c>
      <c r="D729" s="85" t="s">
        <v>481</v>
      </c>
      <c r="E729" s="85" t="s">
        <v>19</v>
      </c>
      <c r="F729" s="85" t="s">
        <v>482</v>
      </c>
      <c r="G729" s="85" t="s">
        <v>483</v>
      </c>
      <c r="H729" s="85" t="s">
        <v>484</v>
      </c>
    </row>
    <row r="730" spans="1:8" ht="14.25" x14ac:dyDescent="0.45">
      <c r="A730" s="86" cm="1">
        <f t="array" aca="1" ref="A730:A741" ca="1">_xlfn.SEQUENCE(COUNTA(_xlfn.LET(_xlpm.trimmed,OFFSET(f_listof_program_candidates,MATCH("JN11",f_listof_program_codes,0)-1,6,1,),TRANSPOSE(_xlfn._xlws.FILTER(OFFSET(_xlpm.trimmed,0,0,,COUNTA(_xlpm.trimmed)-5),OFFSET(_xlpm.trimmed,0,0,,COUNTA(_xlpm.trimmed)-5)&lt;&gt;0)))))</f>
        <v>1</v>
      </c>
      <c r="B730" s="86" t="str" cm="1">
        <f t="array" aca="1" ref="B730:B741" ca="1">_xlfn.LET(_xlpm.trimmed,OFFSET(f_listof_program_candidates,MATCH("JN11",f_listof_program_codes,0)-1,6,1,),TRANSPOSE(_xlfn._xlws.FILTER(OFFSET(_xlpm.trimmed,0,0,,COUNTA(_xlpm.trimmed)-5),OFFSET(_xlpm.trimmed,0,0,,COUNTA(_xlpm.trimmed)-5)&lt;&gt;0)))</f>
        <v>B102</v>
      </c>
      <c r="C730" s="86" t="str">
        <f t="shared" ref="C730:C741" ca="1" si="159">VLOOKUP(B730,f_detailsof_candidates,2,FALSE)</f>
        <v>AHMAD MUBASHAR</v>
      </c>
      <c r="D730" s="86" t="str">
        <f t="shared" ref="D730:D741" ca="1" si="160">VLOOKUP(B730,f_detailsof_candidates,3,FALSE)</f>
        <v>FANT</v>
      </c>
      <c r="E730" s="86">
        <f t="shared" ref="E730:E741" ca="1" si="161">VLOOKUP(B730,f_detailsof_candidates,5,FALSE)</f>
        <v>3</v>
      </c>
    </row>
    <row r="731" spans="1:8" ht="14.25" x14ac:dyDescent="0.45">
      <c r="A731" s="86">
        <f ca="1"/>
        <v>2</v>
      </c>
      <c r="B731" s="86" t="str">
        <f ca="1"/>
        <v>B123</v>
      </c>
      <c r="C731" s="86" t="str">
        <f t="shared" ca="1" si="159"/>
        <v>MUHAMMED YASEEN</v>
      </c>
      <c r="D731" s="86" t="str">
        <f t="shared" ca="1" si="160"/>
        <v>FANT</v>
      </c>
      <c r="E731" s="86">
        <f t="shared" ca="1" si="161"/>
        <v>3</v>
      </c>
    </row>
    <row r="732" spans="1:8" ht="14.25" x14ac:dyDescent="0.45">
      <c r="A732" s="86">
        <f ca="1"/>
        <v>3</v>
      </c>
      <c r="B732" s="86" t="str">
        <f ca="1"/>
        <v>B130</v>
      </c>
      <c r="C732" s="86" t="str">
        <f t="shared" ca="1" si="159"/>
        <v>HAFIL ADIL AMANULLAH K K</v>
      </c>
      <c r="D732" s="86" t="str">
        <f t="shared" ca="1" si="160"/>
        <v>FANT</v>
      </c>
      <c r="E732" s="86">
        <f t="shared" ca="1" si="161"/>
        <v>3</v>
      </c>
    </row>
    <row r="733" spans="1:8" ht="14.25" x14ac:dyDescent="0.45">
      <c r="A733" s="86">
        <f ca="1"/>
        <v>4</v>
      </c>
      <c r="B733" s="86" t="str">
        <f ca="1"/>
        <v>B125</v>
      </c>
      <c r="C733" s="86" t="str">
        <f t="shared" ca="1" si="159"/>
        <v>MUHAMMED SHANIFM P</v>
      </c>
      <c r="D733" s="86" t="str">
        <f t="shared" ca="1" si="160"/>
        <v>DAHF</v>
      </c>
      <c r="E733" s="86">
        <f t="shared" ca="1" si="161"/>
        <v>3</v>
      </c>
    </row>
    <row r="734" spans="1:8" ht="14.25" x14ac:dyDescent="0.45">
      <c r="A734" s="86">
        <f ca="1"/>
        <v>5</v>
      </c>
      <c r="B734" s="86" t="str">
        <f ca="1"/>
        <v>B139</v>
      </c>
      <c r="C734" s="86" t="str">
        <f t="shared" ca="1" si="159"/>
        <v>Muhammad</v>
      </c>
      <c r="D734" s="86" t="str">
        <f t="shared" ca="1" si="160"/>
        <v>DAHF</v>
      </c>
      <c r="E734" s="86">
        <f t="shared" ca="1" si="161"/>
        <v>3</v>
      </c>
    </row>
    <row r="735" spans="1:8" ht="14.25" x14ac:dyDescent="0.45">
      <c r="A735" s="86">
        <f ca="1"/>
        <v>6</v>
      </c>
      <c r="B735" s="86" t="str">
        <f ca="1"/>
        <v>B161</v>
      </c>
      <c r="C735" s="86" t="str">
        <f t="shared" ca="1" si="159"/>
        <v>MUHAMMED RAZI TM</v>
      </c>
      <c r="D735" s="86" t="str">
        <f t="shared" ca="1" si="160"/>
        <v>DAHF</v>
      </c>
      <c r="E735" s="86">
        <f t="shared" ca="1" si="161"/>
        <v>4</v>
      </c>
    </row>
    <row r="736" spans="1:8" ht="14.25" x14ac:dyDescent="0.45">
      <c r="A736" s="86">
        <f ca="1"/>
        <v>7</v>
      </c>
      <c r="B736" s="86" t="str">
        <f ca="1"/>
        <v>B103</v>
      </c>
      <c r="C736" s="86" t="str">
        <f t="shared" ca="1" si="159"/>
        <v>MOHAMMED NAFIH BA</v>
      </c>
      <c r="D736" s="86" t="str">
        <f t="shared" ca="1" si="160"/>
        <v>BADF</v>
      </c>
      <c r="E736" s="86">
        <f t="shared" ca="1" si="161"/>
        <v>3</v>
      </c>
    </row>
    <row r="737" spans="1:8" ht="14.25" x14ac:dyDescent="0.45">
      <c r="A737" s="86">
        <f ca="1"/>
        <v>8</v>
      </c>
      <c r="B737" s="86" t="str">
        <f ca="1"/>
        <v>B121</v>
      </c>
      <c r="C737" s="86" t="str">
        <f t="shared" ca="1" si="159"/>
        <v>MOHIDDEEN SHAHSHAD</v>
      </c>
      <c r="D737" s="86" t="str">
        <f t="shared" ca="1" si="160"/>
        <v>BADF</v>
      </c>
      <c r="E737" s="86">
        <f t="shared" ca="1" si="161"/>
        <v>3</v>
      </c>
    </row>
    <row r="738" spans="1:8" ht="14.25" x14ac:dyDescent="0.45">
      <c r="A738" s="86">
        <f ca="1"/>
        <v>9</v>
      </c>
      <c r="B738" s="86" t="str">
        <f ca="1"/>
        <v>B128</v>
      </c>
      <c r="C738" s="86" t="str">
        <f t="shared" ca="1" si="159"/>
        <v>MOHAMMED AFNAN</v>
      </c>
      <c r="D738" s="86" t="str">
        <f t="shared" ca="1" si="160"/>
        <v>BADF</v>
      </c>
      <c r="E738" s="86">
        <f t="shared" ca="1" si="161"/>
        <v>3</v>
      </c>
    </row>
    <row r="739" spans="1:8" ht="14.25" x14ac:dyDescent="0.45">
      <c r="A739" s="86">
        <f ca="1"/>
        <v>10</v>
      </c>
      <c r="B739" s="86" t="str">
        <f ca="1"/>
        <v>B118</v>
      </c>
      <c r="C739" s="86" t="str">
        <f t="shared" ca="1" si="159"/>
        <v>Muhammad Muaaz</v>
      </c>
      <c r="D739" s="86" t="str">
        <f t="shared" ca="1" si="160"/>
        <v>JARF</v>
      </c>
      <c r="E739" s="86">
        <f t="shared" ca="1" si="161"/>
        <v>3</v>
      </c>
    </row>
    <row r="740" spans="1:8" ht="14.25" x14ac:dyDescent="0.45">
      <c r="A740" s="86">
        <f ca="1"/>
        <v>11</v>
      </c>
      <c r="B740" s="86" t="str">
        <f ca="1"/>
        <v>B133</v>
      </c>
      <c r="C740" s="86" t="str">
        <f t="shared" ca="1" si="159"/>
        <v>MEERAN MOHIUDHEEN RAFIH</v>
      </c>
      <c r="D740" s="86" t="str">
        <f t="shared" ca="1" si="160"/>
        <v>JARF</v>
      </c>
      <c r="E740" s="86">
        <f t="shared" ca="1" si="161"/>
        <v>3</v>
      </c>
    </row>
    <row r="741" spans="1:8" ht="14.25" x14ac:dyDescent="0.45">
      <c r="A741" s="86">
        <f ca="1"/>
        <v>12</v>
      </c>
      <c r="B741" s="86" t="str">
        <f ca="1"/>
        <v>B162</v>
      </c>
      <c r="C741" s="86" t="str">
        <f t="shared" ca="1" si="159"/>
        <v>RAYHAN PH</v>
      </c>
      <c r="D741" s="86" t="str">
        <f t="shared" ca="1" si="160"/>
        <v>JARF</v>
      </c>
      <c r="E741" s="86">
        <f t="shared" ca="1" si="161"/>
        <v>4</v>
      </c>
    </row>
    <row r="742" spans="1:8" ht="14.25" x14ac:dyDescent="0.45">
      <c r="A742" s="84" t="s">
        <v>203</v>
      </c>
      <c r="B742" s="84" t="str">
        <f>VLOOKUP("JN12",f_detailsof_programs,2,FALSE)</f>
        <v>MATH TALENT</v>
      </c>
      <c r="C742" s="84"/>
      <c r="D742" s="84" t="s">
        <v>688</v>
      </c>
      <c r="E742" s="84" t="s">
        <v>485</v>
      </c>
      <c r="F742" s="84"/>
      <c r="G742" s="84"/>
      <c r="H742" s="84"/>
    </row>
    <row r="743" spans="1:8" ht="14.25" x14ac:dyDescent="0.45">
      <c r="A743" s="85" t="s">
        <v>16</v>
      </c>
      <c r="B743" s="85" t="s">
        <v>480</v>
      </c>
      <c r="C743" s="85" t="s">
        <v>18</v>
      </c>
      <c r="D743" s="85" t="s">
        <v>481</v>
      </c>
      <c r="E743" s="85" t="s">
        <v>19</v>
      </c>
      <c r="F743" s="85" t="s">
        <v>482</v>
      </c>
      <c r="G743" s="85" t="s">
        <v>483</v>
      </c>
      <c r="H743" s="85" t="s">
        <v>484</v>
      </c>
    </row>
    <row r="744" spans="1:8" ht="14.25" x14ac:dyDescent="0.45">
      <c r="A744" s="86" cm="1">
        <f t="array" aca="1" ref="A744:A755" ca="1">_xlfn.SEQUENCE(COUNTA(_xlfn.LET(_xlpm.trimmed,OFFSET(f_listof_program_candidates,MATCH("JN12",f_listof_program_codes,0)-1,6,1,),TRANSPOSE(_xlfn._xlws.FILTER(OFFSET(_xlpm.trimmed,0,0,,COUNTA(_xlpm.trimmed)-5),OFFSET(_xlpm.trimmed,0,0,,COUNTA(_xlpm.trimmed)-5)&lt;&gt;0)))))</f>
        <v>1</v>
      </c>
      <c r="B744" s="86" t="str" cm="1">
        <f t="array" aca="1" ref="B744:B755" ca="1">_xlfn.LET(_xlpm.trimmed,OFFSET(f_listof_program_candidates,MATCH("JN12",f_listof_program_codes,0)-1,6,1,),TRANSPOSE(_xlfn._xlws.FILTER(OFFSET(_xlpm.trimmed,0,0,,COUNTA(_xlpm.trimmed)-5),OFFSET(_xlpm.trimmed,0,0,,COUNTA(_xlpm.trimmed)-5)&lt;&gt;0)))</f>
        <v>B104</v>
      </c>
      <c r="C744" s="86" t="str">
        <f t="shared" ref="C744:C755" ca="1" si="162">VLOOKUP(B744,f_detailsof_candidates,2,FALSE)</f>
        <v>FAKRUDDIN NAFIL</v>
      </c>
      <c r="D744" s="86" t="str">
        <f t="shared" ref="D744:D755" ca="1" si="163">VLOOKUP(B744,f_detailsof_candidates,3,FALSE)</f>
        <v>FANT</v>
      </c>
      <c r="E744" s="86">
        <f t="shared" ref="E744:E755" ca="1" si="164">VLOOKUP(B744,f_detailsof_candidates,5,FALSE)</f>
        <v>3</v>
      </c>
    </row>
    <row r="745" spans="1:8" ht="14.25" x14ac:dyDescent="0.45">
      <c r="A745" s="86">
        <f ca="1"/>
        <v>2</v>
      </c>
      <c r="B745" s="86" t="str">
        <f ca="1"/>
        <v>B120</v>
      </c>
      <c r="C745" s="86" t="str">
        <f t="shared" ca="1" si="162"/>
        <v>MOHAMMED RIYAN</v>
      </c>
      <c r="D745" s="86" t="str">
        <f t="shared" ca="1" si="163"/>
        <v>FANT</v>
      </c>
      <c r="E745" s="86">
        <f t="shared" ca="1" si="164"/>
        <v>3</v>
      </c>
    </row>
    <row r="746" spans="1:8" ht="14.25" x14ac:dyDescent="0.45">
      <c r="A746" s="86">
        <f ca="1"/>
        <v>3</v>
      </c>
      <c r="B746" s="86" t="str">
        <f ca="1"/>
        <v>B144</v>
      </c>
      <c r="C746" s="86" t="str">
        <f t="shared" ca="1" si="162"/>
        <v>MUHAMMED NAFIH CI</v>
      </c>
      <c r="D746" s="86" t="str">
        <f t="shared" ca="1" si="163"/>
        <v>FANT</v>
      </c>
      <c r="E746" s="86">
        <f t="shared" ca="1" si="164"/>
        <v>4</v>
      </c>
    </row>
    <row r="747" spans="1:8" ht="14.25" x14ac:dyDescent="0.45">
      <c r="A747" s="86">
        <f ca="1"/>
        <v>4</v>
      </c>
      <c r="B747" s="86" t="str">
        <f ca="1"/>
        <v>B110</v>
      </c>
      <c r="C747" s="86" t="str">
        <f t="shared" ca="1" si="162"/>
        <v>MUHAMMED MUHAZ P A</v>
      </c>
      <c r="D747" s="86" t="str">
        <f t="shared" ca="1" si="163"/>
        <v>DAHF</v>
      </c>
      <c r="E747" s="86">
        <f t="shared" ca="1" si="164"/>
        <v>3</v>
      </c>
    </row>
    <row r="748" spans="1:8" ht="14.25" x14ac:dyDescent="0.45">
      <c r="A748" s="86">
        <f ca="1"/>
        <v>5</v>
      </c>
      <c r="B748" s="86" t="str">
        <f ca="1"/>
        <v>B122</v>
      </c>
      <c r="C748" s="86" t="str">
        <f t="shared" ca="1" si="162"/>
        <v>MUHAMMAD FAYIZ B</v>
      </c>
      <c r="D748" s="86" t="str">
        <f t="shared" ca="1" si="163"/>
        <v>DAHF</v>
      </c>
      <c r="E748" s="86">
        <f t="shared" ca="1" si="164"/>
        <v>3</v>
      </c>
    </row>
    <row r="749" spans="1:8" ht="14.25" x14ac:dyDescent="0.45">
      <c r="A749" s="86">
        <f ca="1"/>
        <v>6</v>
      </c>
      <c r="B749" s="86" t="str">
        <f ca="1"/>
        <v>B127</v>
      </c>
      <c r="C749" s="86" t="str">
        <f t="shared" ca="1" si="162"/>
        <v>THANSEEHU RAHMAN</v>
      </c>
      <c r="D749" s="86" t="str">
        <f t="shared" ca="1" si="163"/>
        <v>DAHF</v>
      </c>
      <c r="E749" s="86">
        <f t="shared" ca="1" si="164"/>
        <v>3</v>
      </c>
    </row>
    <row r="750" spans="1:8" ht="14.25" x14ac:dyDescent="0.45">
      <c r="A750" s="86">
        <f ca="1"/>
        <v>7</v>
      </c>
      <c r="B750" s="86" t="str">
        <f ca="1"/>
        <v>B138</v>
      </c>
      <c r="C750" s="86" t="str">
        <f t="shared" ca="1" si="162"/>
        <v>HABEEB RAHMAN CA</v>
      </c>
      <c r="D750" s="86" t="str">
        <f t="shared" ca="1" si="163"/>
        <v>BADF</v>
      </c>
      <c r="E750" s="86">
        <f t="shared" ca="1" si="164"/>
        <v>3</v>
      </c>
    </row>
    <row r="751" spans="1:8" ht="14.25" x14ac:dyDescent="0.45">
      <c r="A751" s="86">
        <f ca="1"/>
        <v>8</v>
      </c>
      <c r="B751" s="86" t="str">
        <f ca="1"/>
        <v>B140</v>
      </c>
      <c r="C751" s="86" t="str">
        <f t="shared" ca="1" si="162"/>
        <v>MOHAMMED SHAHID</v>
      </c>
      <c r="D751" s="86" t="str">
        <f t="shared" ca="1" si="163"/>
        <v>BADF</v>
      </c>
      <c r="E751" s="86">
        <f t="shared" ca="1" si="164"/>
        <v>4</v>
      </c>
    </row>
    <row r="752" spans="1:8" ht="14.25" x14ac:dyDescent="0.45">
      <c r="A752" s="86">
        <f ca="1"/>
        <v>9</v>
      </c>
      <c r="B752" s="86" t="str">
        <f ca="1"/>
        <v>B142</v>
      </c>
      <c r="C752" s="86" t="str">
        <f t="shared" ca="1" si="162"/>
        <v>MUHAMMED HAMDAN A.P</v>
      </c>
      <c r="D752" s="86" t="str">
        <f t="shared" ca="1" si="163"/>
        <v>BADF</v>
      </c>
      <c r="E752" s="86">
        <f t="shared" ca="1" si="164"/>
        <v>4</v>
      </c>
    </row>
    <row r="753" spans="1:8" ht="14.25" x14ac:dyDescent="0.45">
      <c r="A753" s="86">
        <f ca="1"/>
        <v>10</v>
      </c>
      <c r="B753" s="86" t="str">
        <f ca="1"/>
        <v>B116</v>
      </c>
      <c r="C753" s="86" t="str">
        <f t="shared" ca="1" si="162"/>
        <v>MOHAMMED SABIK BM</v>
      </c>
      <c r="D753" s="86" t="str">
        <f t="shared" ca="1" si="163"/>
        <v>JARF</v>
      </c>
      <c r="E753" s="86">
        <f t="shared" ca="1" si="164"/>
        <v>3</v>
      </c>
    </row>
    <row r="754" spans="1:8" ht="14.25" x14ac:dyDescent="0.45">
      <c r="A754" s="86">
        <f ca="1"/>
        <v>11</v>
      </c>
      <c r="B754" s="86" t="str">
        <f ca="1"/>
        <v>B148</v>
      </c>
      <c r="C754" s="86" t="str">
        <f t="shared" ca="1" si="162"/>
        <v>MOHAMMED BAQIR TS</v>
      </c>
      <c r="D754" s="86" t="str">
        <f t="shared" ca="1" si="163"/>
        <v>JARF</v>
      </c>
      <c r="E754" s="86">
        <f t="shared" ca="1" si="164"/>
        <v>4</v>
      </c>
    </row>
    <row r="755" spans="1:8" ht="14.25" x14ac:dyDescent="0.45">
      <c r="A755" s="86">
        <f ca="1"/>
        <v>12</v>
      </c>
      <c r="B755" s="86" t="str">
        <f ca="1"/>
        <v>B152</v>
      </c>
      <c r="C755" s="86" t="str">
        <f t="shared" ca="1" si="162"/>
        <v>MUHAMMED MUNAZIR MM</v>
      </c>
      <c r="D755" s="86" t="str">
        <f t="shared" ca="1" si="163"/>
        <v>JARF</v>
      </c>
      <c r="E755" s="86">
        <f t="shared" ca="1" si="164"/>
        <v>4</v>
      </c>
    </row>
    <row r="756" spans="1:8" ht="14.25" x14ac:dyDescent="0.45">
      <c r="A756" s="84" t="s">
        <v>204</v>
      </c>
      <c r="B756" s="84" t="str">
        <f>VLOOKUP("JN13",f_detailsof_programs,2,FALSE)</f>
        <v>NEWS WRITING MLM</v>
      </c>
      <c r="C756" s="84"/>
      <c r="D756" s="84" t="s">
        <v>688</v>
      </c>
      <c r="E756" s="84" t="s">
        <v>485</v>
      </c>
      <c r="F756" s="84"/>
      <c r="G756" s="84"/>
      <c r="H756" s="84"/>
    </row>
    <row r="757" spans="1:8" ht="14.25" x14ac:dyDescent="0.45">
      <c r="A757" s="85" t="s">
        <v>16</v>
      </c>
      <c r="B757" s="85" t="s">
        <v>480</v>
      </c>
      <c r="C757" s="85" t="s">
        <v>18</v>
      </c>
      <c r="D757" s="85" t="s">
        <v>481</v>
      </c>
      <c r="E757" s="85" t="s">
        <v>19</v>
      </c>
      <c r="F757" s="85" t="s">
        <v>482</v>
      </c>
      <c r="G757" s="85" t="s">
        <v>483</v>
      </c>
      <c r="H757" s="85" t="s">
        <v>484</v>
      </c>
    </row>
    <row r="758" spans="1:8" ht="14.25" x14ac:dyDescent="0.45">
      <c r="A758" s="86" cm="1">
        <f t="array" aca="1" ref="A758:A769" ca="1">_xlfn.SEQUENCE(COUNTA(_xlfn.LET(_xlpm.trimmed,OFFSET(f_listof_program_candidates,MATCH("JN13",f_listof_program_codes,0)-1,6,1,),TRANSPOSE(_xlfn._xlws.FILTER(OFFSET(_xlpm.trimmed,0,0,,COUNTA(_xlpm.trimmed)-5),OFFSET(_xlpm.trimmed,0,0,,COUNTA(_xlpm.trimmed)-5)&lt;&gt;0)))))</f>
        <v>1</v>
      </c>
      <c r="B758" s="86" t="str" cm="1">
        <f t="array" aca="1" ref="B758:B769" ca="1">_xlfn.LET(_xlpm.trimmed,OFFSET(f_listof_program_candidates,MATCH("JN13",f_listof_program_codes,0)-1,6,1,),TRANSPOSE(_xlfn._xlws.FILTER(OFFSET(_xlpm.trimmed,0,0,,COUNTA(_xlpm.trimmed)-5),OFFSET(_xlpm.trimmed,0,0,,COUNTA(_xlpm.trimmed)-5)&lt;&gt;0)))</f>
        <v>B115</v>
      </c>
      <c r="C758" s="86" t="str">
        <f t="shared" ref="C758:C769" ca="1" si="165">VLOOKUP(B758,f_detailsof_candidates,2,FALSE)</f>
        <v>HASSAN SAHAL N A</v>
      </c>
      <c r="D758" s="86" t="str">
        <f t="shared" ref="D758:D769" ca="1" si="166">VLOOKUP(B758,f_detailsof_candidates,3,FALSE)</f>
        <v>FANT</v>
      </c>
      <c r="E758" s="86">
        <f t="shared" ref="E758:E769" ca="1" si="167">VLOOKUP(B758,f_detailsof_candidates,5,FALSE)</f>
        <v>3</v>
      </c>
    </row>
    <row r="759" spans="1:8" ht="14.25" x14ac:dyDescent="0.45">
      <c r="A759" s="86">
        <f ca="1"/>
        <v>2</v>
      </c>
      <c r="B759" s="86" t="str">
        <f ca="1"/>
        <v>B129</v>
      </c>
      <c r="C759" s="86" t="str">
        <f t="shared" ca="1" si="165"/>
        <v>MOHAMMED SABITH KU</v>
      </c>
      <c r="D759" s="86" t="str">
        <f t="shared" ca="1" si="166"/>
        <v>FANT</v>
      </c>
      <c r="E759" s="86">
        <f t="shared" ca="1" si="167"/>
        <v>3</v>
      </c>
    </row>
    <row r="760" spans="1:8" ht="14.25" x14ac:dyDescent="0.45">
      <c r="A760" s="86">
        <f ca="1"/>
        <v>3</v>
      </c>
      <c r="B760" s="86" t="str">
        <f ca="1"/>
        <v>B143</v>
      </c>
      <c r="C760" s="86" t="str">
        <f t="shared" ca="1" si="165"/>
        <v>MOHAMMED SHADIL AP</v>
      </c>
      <c r="D760" s="86" t="str">
        <f t="shared" ca="1" si="166"/>
        <v>FANT</v>
      </c>
      <c r="E760" s="86">
        <f t="shared" ca="1" si="167"/>
        <v>4</v>
      </c>
    </row>
    <row r="761" spans="1:8" ht="14.25" x14ac:dyDescent="0.45">
      <c r="A761" s="86">
        <f ca="1"/>
        <v>4</v>
      </c>
      <c r="B761" s="86" t="str">
        <f ca="1"/>
        <v>B122</v>
      </c>
      <c r="C761" s="86" t="str">
        <f t="shared" ca="1" si="165"/>
        <v>MUHAMMAD FAYIZ B</v>
      </c>
      <c r="D761" s="86" t="str">
        <f t="shared" ca="1" si="166"/>
        <v>DAHF</v>
      </c>
      <c r="E761" s="86">
        <f t="shared" ca="1" si="167"/>
        <v>3</v>
      </c>
    </row>
    <row r="762" spans="1:8" ht="14.25" x14ac:dyDescent="0.45">
      <c r="A762" s="86">
        <f ca="1"/>
        <v>5</v>
      </c>
      <c r="B762" s="86" t="str">
        <f ca="1"/>
        <v>B124</v>
      </c>
      <c r="C762" s="86" t="str">
        <f t="shared" ca="1" si="165"/>
        <v>MOHAMMED RAED. UA</v>
      </c>
      <c r="D762" s="86" t="str">
        <f t="shared" ca="1" si="166"/>
        <v>DAHF</v>
      </c>
      <c r="E762" s="86">
        <f t="shared" ca="1" si="167"/>
        <v>3</v>
      </c>
    </row>
    <row r="763" spans="1:8" ht="14.25" x14ac:dyDescent="0.45">
      <c r="A763" s="86">
        <f ca="1"/>
        <v>6</v>
      </c>
      <c r="B763" s="86" t="str">
        <f ca="1"/>
        <v>B155</v>
      </c>
      <c r="C763" s="86" t="str">
        <f t="shared" ca="1" si="165"/>
        <v>MUHAMMED A</v>
      </c>
      <c r="D763" s="86" t="str">
        <f t="shared" ca="1" si="166"/>
        <v>DAHF</v>
      </c>
      <c r="E763" s="86">
        <f t="shared" ca="1" si="167"/>
        <v>4</v>
      </c>
    </row>
    <row r="764" spans="1:8" ht="14.25" x14ac:dyDescent="0.45">
      <c r="A764" s="86">
        <f ca="1"/>
        <v>7</v>
      </c>
      <c r="B764" s="86" t="str">
        <f ca="1"/>
        <v>B137</v>
      </c>
      <c r="C764" s="86" t="str">
        <f t="shared" ca="1" si="165"/>
        <v>MOHAMMAD IJAN</v>
      </c>
      <c r="D764" s="86" t="str">
        <f t="shared" ca="1" si="166"/>
        <v>BADF</v>
      </c>
      <c r="E764" s="86">
        <f t="shared" ca="1" si="167"/>
        <v>3</v>
      </c>
    </row>
    <row r="765" spans="1:8" ht="14.25" x14ac:dyDescent="0.45">
      <c r="A765" s="86">
        <f ca="1"/>
        <v>8</v>
      </c>
      <c r="B765" s="86" t="str">
        <f ca="1"/>
        <v>B142</v>
      </c>
      <c r="C765" s="86" t="str">
        <f t="shared" ca="1" si="165"/>
        <v>MUHAMMED HAMDAN A.P</v>
      </c>
      <c r="D765" s="86" t="str">
        <f t="shared" ca="1" si="166"/>
        <v>BADF</v>
      </c>
      <c r="E765" s="86">
        <f t="shared" ca="1" si="167"/>
        <v>4</v>
      </c>
    </row>
    <row r="766" spans="1:8" ht="14.25" x14ac:dyDescent="0.45">
      <c r="A766" s="86">
        <f ca="1"/>
        <v>9</v>
      </c>
      <c r="B766" s="86" t="str">
        <f ca="1"/>
        <v>B146</v>
      </c>
      <c r="C766" s="86" t="str">
        <f t="shared" ca="1" si="165"/>
        <v>WASEEM NIHAD A M</v>
      </c>
      <c r="D766" s="86" t="str">
        <f t="shared" ca="1" si="166"/>
        <v>BADF</v>
      </c>
      <c r="E766" s="86">
        <f t="shared" ca="1" si="167"/>
        <v>4</v>
      </c>
    </row>
    <row r="767" spans="1:8" ht="14.25" x14ac:dyDescent="0.45">
      <c r="A767" s="86">
        <f ca="1"/>
        <v>10</v>
      </c>
      <c r="B767" s="86" t="str">
        <f ca="1"/>
        <v>B116</v>
      </c>
      <c r="C767" s="86" t="str">
        <f t="shared" ca="1" si="165"/>
        <v>MOHAMMED SABIK BM</v>
      </c>
      <c r="D767" s="86" t="str">
        <f t="shared" ca="1" si="166"/>
        <v>JARF</v>
      </c>
      <c r="E767" s="86">
        <f t="shared" ca="1" si="167"/>
        <v>3</v>
      </c>
    </row>
    <row r="768" spans="1:8" ht="14.25" x14ac:dyDescent="0.45">
      <c r="A768" s="86">
        <f ca="1"/>
        <v>11</v>
      </c>
      <c r="B768" s="86" t="str">
        <f ca="1"/>
        <v>B133</v>
      </c>
      <c r="C768" s="86" t="str">
        <f t="shared" ca="1" si="165"/>
        <v>MEERAN MOHIUDHEEN RAFIH</v>
      </c>
      <c r="D768" s="86" t="str">
        <f t="shared" ca="1" si="166"/>
        <v>JARF</v>
      </c>
      <c r="E768" s="86">
        <f t="shared" ca="1" si="167"/>
        <v>3</v>
      </c>
    </row>
    <row r="769" spans="1:8" ht="14.25" x14ac:dyDescent="0.45">
      <c r="A769" s="86">
        <f ca="1"/>
        <v>12</v>
      </c>
      <c r="B769" s="86" t="str">
        <f ca="1"/>
        <v>B147</v>
      </c>
      <c r="C769" s="86" t="str">
        <f t="shared" ca="1" si="165"/>
        <v>MOHAMMED SHAMEEM B K</v>
      </c>
      <c r="D769" s="86" t="str">
        <f t="shared" ca="1" si="166"/>
        <v>JARF</v>
      </c>
      <c r="E769" s="86">
        <f t="shared" ca="1" si="167"/>
        <v>4</v>
      </c>
    </row>
    <row r="770" spans="1:8" ht="14.25" x14ac:dyDescent="0.45">
      <c r="A770" s="84" t="s">
        <v>205</v>
      </c>
      <c r="B770" s="84" t="str">
        <f>VLOOKUP("JN14",f_detailsof_programs,2,FALSE)</f>
        <v>PAINTING</v>
      </c>
      <c r="C770" s="84"/>
      <c r="D770" s="84" t="s">
        <v>688</v>
      </c>
      <c r="E770" s="84" t="s">
        <v>486</v>
      </c>
      <c r="F770" s="84"/>
      <c r="G770" s="84"/>
      <c r="H770" s="84"/>
    </row>
    <row r="771" spans="1:8" ht="14.25" x14ac:dyDescent="0.45">
      <c r="A771" s="85" t="s">
        <v>16</v>
      </c>
      <c r="B771" s="85" t="s">
        <v>480</v>
      </c>
      <c r="C771" s="85" t="s">
        <v>18</v>
      </c>
      <c r="D771" s="85" t="s">
        <v>481</v>
      </c>
      <c r="E771" s="85" t="s">
        <v>19</v>
      </c>
      <c r="F771" s="85" t="s">
        <v>482</v>
      </c>
      <c r="G771" s="85" t="s">
        <v>483</v>
      </c>
      <c r="H771" s="85" t="s">
        <v>484</v>
      </c>
    </row>
    <row r="772" spans="1:8" ht="14.25" x14ac:dyDescent="0.45">
      <c r="A772" s="86" cm="1">
        <f t="array" aca="1" ref="A772:A779" ca="1">_xlfn.SEQUENCE(COUNTA(_xlfn.LET(_xlpm.trimmed,OFFSET(f_listof_program_candidates,MATCH("JN14",f_listof_program_codes,0)-1,6,1,),TRANSPOSE(_xlfn._xlws.FILTER(OFFSET(_xlpm.trimmed,0,0,,COUNTA(_xlpm.trimmed)-5),OFFSET(_xlpm.trimmed,0,0,,COUNTA(_xlpm.trimmed)-5)&lt;&gt;0)))))</f>
        <v>1</v>
      </c>
      <c r="B772" s="86" t="str" cm="1">
        <f t="array" aca="1" ref="B772:B779" ca="1">_xlfn.LET(_xlpm.trimmed,OFFSET(f_listof_program_candidates,MATCH("JN14",f_listof_program_codes,0)-1,6,1,),TRANSPOSE(_xlfn._xlws.FILTER(OFFSET(_xlpm.trimmed,0,0,,COUNTA(_xlpm.trimmed)-5),OFFSET(_xlpm.trimmed,0,0,,COUNTA(_xlpm.trimmed)-5)&lt;&gt;0)))</f>
        <v>B115</v>
      </c>
      <c r="C772" s="86" t="str">
        <f t="shared" ref="C772:C779" ca="1" si="168">VLOOKUP(B772,f_detailsof_candidates,2,FALSE)</f>
        <v>HASSAN SAHAL N A</v>
      </c>
      <c r="D772" s="86" t="str">
        <f t="shared" ref="D772:D779" ca="1" si="169">VLOOKUP(B772,f_detailsof_candidates,3,FALSE)</f>
        <v>FANT</v>
      </c>
      <c r="E772" s="86">
        <f t="shared" ref="E772:E779" ca="1" si="170">VLOOKUP(B772,f_detailsof_candidates,5,FALSE)</f>
        <v>3</v>
      </c>
    </row>
    <row r="773" spans="1:8" ht="14.25" x14ac:dyDescent="0.45">
      <c r="A773" s="86">
        <f ca="1"/>
        <v>2</v>
      </c>
      <c r="B773" s="86" t="str">
        <f ca="1"/>
        <v>B145</v>
      </c>
      <c r="C773" s="86" t="str">
        <f t="shared" ca="1" si="168"/>
        <v>YASEEN NOORULLA PH</v>
      </c>
      <c r="D773" s="86" t="str">
        <f t="shared" ca="1" si="169"/>
        <v>FANT</v>
      </c>
      <c r="E773" s="86">
        <f t="shared" ca="1" si="170"/>
        <v>4</v>
      </c>
    </row>
    <row r="774" spans="1:8" ht="14.25" x14ac:dyDescent="0.45">
      <c r="A774" s="86">
        <f ca="1"/>
        <v>3</v>
      </c>
      <c r="B774" s="86" t="str">
        <f ca="1"/>
        <v>B132</v>
      </c>
      <c r="C774" s="86" t="str">
        <f t="shared" ca="1" si="168"/>
        <v>MUHAMMED SAEED THUFAIL</v>
      </c>
      <c r="D774" s="86" t="str">
        <f t="shared" ca="1" si="169"/>
        <v>DAHF</v>
      </c>
      <c r="E774" s="86">
        <f t="shared" ca="1" si="170"/>
        <v>3</v>
      </c>
    </row>
    <row r="775" spans="1:8" ht="14.25" x14ac:dyDescent="0.45">
      <c r="A775" s="86">
        <f ca="1"/>
        <v>4</v>
      </c>
      <c r="B775" s="86" t="str">
        <f ca="1"/>
        <v>B161</v>
      </c>
      <c r="C775" s="86" t="str">
        <f t="shared" ca="1" si="168"/>
        <v>MUHAMMED RAZI TM</v>
      </c>
      <c r="D775" s="86" t="str">
        <f t="shared" ca="1" si="169"/>
        <v>DAHF</v>
      </c>
      <c r="E775" s="86">
        <f t="shared" ca="1" si="170"/>
        <v>4</v>
      </c>
    </row>
    <row r="776" spans="1:8" ht="14.25" x14ac:dyDescent="0.45">
      <c r="A776" s="86">
        <f ca="1"/>
        <v>5</v>
      </c>
      <c r="B776" s="86" t="str">
        <f ca="1"/>
        <v>B106</v>
      </c>
      <c r="C776" s="86" t="str">
        <f t="shared" ca="1" si="168"/>
        <v>MUHAMMED ROUHAN M.K</v>
      </c>
      <c r="D776" s="86" t="str">
        <f t="shared" ca="1" si="169"/>
        <v>BADF</v>
      </c>
      <c r="E776" s="86">
        <f t="shared" ca="1" si="170"/>
        <v>3</v>
      </c>
    </row>
    <row r="777" spans="1:8" ht="14.25" x14ac:dyDescent="0.45">
      <c r="A777" s="86">
        <f ca="1"/>
        <v>6</v>
      </c>
      <c r="B777" s="86" t="str">
        <f ca="1"/>
        <v>B164</v>
      </c>
      <c r="C777" s="86" t="str">
        <f t="shared" ca="1" si="168"/>
        <v>RASALUL AMEEN T</v>
      </c>
      <c r="D777" s="86" t="str">
        <f t="shared" ca="1" si="169"/>
        <v>BADF</v>
      </c>
      <c r="E777" s="86">
        <f t="shared" ca="1" si="170"/>
        <v>4</v>
      </c>
    </row>
    <row r="778" spans="1:8" ht="14.25" x14ac:dyDescent="0.45">
      <c r="A778" s="86">
        <f ca="1"/>
        <v>7</v>
      </c>
      <c r="B778" s="86" t="str">
        <f ca="1"/>
        <v>B107</v>
      </c>
      <c r="C778" s="86" t="str">
        <f t="shared" ca="1" si="168"/>
        <v>MUHAMMED ZAMIL</v>
      </c>
      <c r="D778" s="86" t="str">
        <f t="shared" ca="1" si="169"/>
        <v>JARF</v>
      </c>
      <c r="E778" s="86">
        <f t="shared" ca="1" si="170"/>
        <v>3</v>
      </c>
    </row>
    <row r="779" spans="1:8" ht="14.25" x14ac:dyDescent="0.45">
      <c r="A779" s="86">
        <f ca="1"/>
        <v>8</v>
      </c>
      <c r="B779" s="86" t="str">
        <f ca="1"/>
        <v>B148</v>
      </c>
      <c r="C779" s="86" t="str">
        <f t="shared" ca="1" si="168"/>
        <v>MOHAMMED BAQIR TS</v>
      </c>
      <c r="D779" s="86" t="str">
        <f t="shared" ca="1" si="169"/>
        <v>JARF</v>
      </c>
      <c r="E779" s="86">
        <f t="shared" ca="1" si="170"/>
        <v>4</v>
      </c>
    </row>
    <row r="780" spans="1:8" ht="14.25" x14ac:dyDescent="0.45">
      <c r="A780" s="84" t="s">
        <v>207</v>
      </c>
      <c r="B780" s="84" t="str">
        <f>VLOOKUP("JN15",f_detailsof_programs,2,FALSE)</f>
        <v>POEM ARB</v>
      </c>
      <c r="C780" s="84"/>
      <c r="D780" s="84" t="s">
        <v>688</v>
      </c>
      <c r="E780" s="84" t="s">
        <v>485</v>
      </c>
      <c r="F780" s="84"/>
      <c r="G780" s="84"/>
      <c r="H780" s="84"/>
    </row>
    <row r="781" spans="1:8" ht="14.25" x14ac:dyDescent="0.45">
      <c r="A781" s="85" t="s">
        <v>16</v>
      </c>
      <c r="B781" s="85" t="s">
        <v>480</v>
      </c>
      <c r="C781" s="85" t="s">
        <v>18</v>
      </c>
      <c r="D781" s="85" t="s">
        <v>481</v>
      </c>
      <c r="E781" s="85" t="s">
        <v>19</v>
      </c>
      <c r="F781" s="85" t="s">
        <v>482</v>
      </c>
      <c r="G781" s="85" t="s">
        <v>483</v>
      </c>
      <c r="H781" s="85" t="s">
        <v>484</v>
      </c>
    </row>
    <row r="782" spans="1:8" ht="14.25" x14ac:dyDescent="0.45">
      <c r="A782" s="86" cm="1">
        <f t="array" aca="1" ref="A782:A793" ca="1">_xlfn.SEQUENCE(COUNTA(_xlfn.LET(_xlpm.trimmed,OFFSET(f_listof_program_candidates,MATCH("JN15",f_listof_program_codes,0)-1,6,1,),TRANSPOSE(_xlfn._xlws.FILTER(OFFSET(_xlpm.trimmed,0,0,,COUNTA(_xlpm.trimmed)-5),OFFSET(_xlpm.trimmed,0,0,,COUNTA(_xlpm.trimmed)-5)&lt;&gt;0)))))</f>
        <v>1</v>
      </c>
      <c r="B782" s="86" t="str" cm="1">
        <f t="array" aca="1" ref="B782:B793" ca="1">_xlfn.LET(_xlpm.trimmed,OFFSET(f_listof_program_candidates,MATCH("JN15",f_listof_program_codes,0)-1,6,1,),TRANSPOSE(_xlfn._xlws.FILTER(OFFSET(_xlpm.trimmed,0,0,,COUNTA(_xlpm.trimmed)-5),OFFSET(_xlpm.trimmed,0,0,,COUNTA(_xlpm.trimmed)-5)&lt;&gt;0)))</f>
        <v>B102</v>
      </c>
      <c r="C782" s="86" t="str">
        <f t="shared" ref="C782:C793" ca="1" si="171">VLOOKUP(B782,f_detailsof_candidates,2,FALSE)</f>
        <v>AHMAD MUBASHAR</v>
      </c>
      <c r="D782" s="86" t="str">
        <f t="shared" ref="D782:D793" ca="1" si="172">VLOOKUP(B782,f_detailsof_candidates,3,FALSE)</f>
        <v>FANT</v>
      </c>
      <c r="E782" s="86">
        <f t="shared" ref="E782:E793" ca="1" si="173">VLOOKUP(B782,f_detailsof_candidates,5,FALSE)</f>
        <v>3</v>
      </c>
    </row>
    <row r="783" spans="1:8" ht="14.25" x14ac:dyDescent="0.45">
      <c r="A783" s="86">
        <f ca="1"/>
        <v>2</v>
      </c>
      <c r="B783" s="86" t="str">
        <f ca="1"/>
        <v>B135</v>
      </c>
      <c r="C783" s="86" t="str">
        <f t="shared" ca="1" si="171"/>
        <v>MOHAMMED RAFIH M R</v>
      </c>
      <c r="D783" s="86" t="str">
        <f t="shared" ca="1" si="172"/>
        <v>FANT</v>
      </c>
      <c r="E783" s="86">
        <f t="shared" ca="1" si="173"/>
        <v>3</v>
      </c>
    </row>
    <row r="784" spans="1:8" ht="14.25" x14ac:dyDescent="0.45">
      <c r="A784" s="86">
        <f ca="1"/>
        <v>3</v>
      </c>
      <c r="B784" s="86" t="str">
        <f ca="1"/>
        <v>B145</v>
      </c>
      <c r="C784" s="86" t="str">
        <f t="shared" ca="1" si="171"/>
        <v>YASEEN NOORULLA PH</v>
      </c>
      <c r="D784" s="86" t="str">
        <f t="shared" ca="1" si="172"/>
        <v>FANT</v>
      </c>
      <c r="E784" s="86">
        <f t="shared" ca="1" si="173"/>
        <v>4</v>
      </c>
    </row>
    <row r="785" spans="1:8" ht="14.25" x14ac:dyDescent="0.45">
      <c r="A785" s="86">
        <f ca="1"/>
        <v>4</v>
      </c>
      <c r="B785" s="86" t="str">
        <f ca="1"/>
        <v>B125</v>
      </c>
      <c r="C785" s="86" t="str">
        <f t="shared" ca="1" si="171"/>
        <v>MUHAMMED SHANIFM P</v>
      </c>
      <c r="D785" s="86" t="str">
        <f t="shared" ca="1" si="172"/>
        <v>DAHF</v>
      </c>
      <c r="E785" s="86">
        <f t="shared" ca="1" si="173"/>
        <v>3</v>
      </c>
    </row>
    <row r="786" spans="1:8" ht="14.25" x14ac:dyDescent="0.45">
      <c r="A786" s="86">
        <f ca="1"/>
        <v>5</v>
      </c>
      <c r="B786" s="86" t="str">
        <f ca="1"/>
        <v>B149</v>
      </c>
      <c r="C786" s="86" t="str">
        <f t="shared" ca="1" si="171"/>
        <v>MUHAMMED FARHAN PH</v>
      </c>
      <c r="D786" s="86" t="str">
        <f t="shared" ca="1" si="172"/>
        <v>DAHF</v>
      </c>
      <c r="E786" s="86">
        <f t="shared" ca="1" si="173"/>
        <v>4</v>
      </c>
    </row>
    <row r="787" spans="1:8" ht="14.25" x14ac:dyDescent="0.45">
      <c r="A787" s="86">
        <f ca="1"/>
        <v>6</v>
      </c>
      <c r="B787" s="86" t="str">
        <f ca="1"/>
        <v>B155</v>
      </c>
      <c r="C787" s="86" t="str">
        <f t="shared" ca="1" si="171"/>
        <v>MUHAMMED A</v>
      </c>
      <c r="D787" s="86" t="str">
        <f t="shared" ca="1" si="172"/>
        <v>DAHF</v>
      </c>
      <c r="E787" s="86">
        <f t="shared" ca="1" si="173"/>
        <v>4</v>
      </c>
    </row>
    <row r="788" spans="1:8" ht="14.25" x14ac:dyDescent="0.45">
      <c r="A788" s="86">
        <f ca="1"/>
        <v>7</v>
      </c>
      <c r="B788" s="86" t="str">
        <f ca="1"/>
        <v>B100</v>
      </c>
      <c r="C788" s="86" t="str">
        <f t="shared" ca="1" si="171"/>
        <v>ZAINUL ABID K</v>
      </c>
      <c r="D788" s="86" t="str">
        <f t="shared" ca="1" si="172"/>
        <v>BADF</v>
      </c>
      <c r="E788" s="86">
        <f t="shared" ca="1" si="173"/>
        <v>3</v>
      </c>
    </row>
    <row r="789" spans="1:8" ht="14.25" x14ac:dyDescent="0.45">
      <c r="A789" s="86">
        <f ca="1"/>
        <v>8</v>
      </c>
      <c r="B789" s="86" t="str">
        <f ca="1"/>
        <v>B121</v>
      </c>
      <c r="C789" s="86" t="str">
        <f t="shared" ca="1" si="171"/>
        <v>MOHIDDEEN SHAHSHAD</v>
      </c>
      <c r="D789" s="86" t="str">
        <f t="shared" ca="1" si="172"/>
        <v>BADF</v>
      </c>
      <c r="E789" s="86">
        <f t="shared" ca="1" si="173"/>
        <v>3</v>
      </c>
    </row>
    <row r="790" spans="1:8" ht="14.25" x14ac:dyDescent="0.45">
      <c r="A790" s="86">
        <f ca="1"/>
        <v>9</v>
      </c>
      <c r="B790" s="86" t="str">
        <f ca="1"/>
        <v>B128</v>
      </c>
      <c r="C790" s="86" t="str">
        <f t="shared" ca="1" si="171"/>
        <v>MOHAMMED AFNAN</v>
      </c>
      <c r="D790" s="86" t="str">
        <f t="shared" ca="1" si="172"/>
        <v>BADF</v>
      </c>
      <c r="E790" s="86">
        <f t="shared" ca="1" si="173"/>
        <v>3</v>
      </c>
    </row>
    <row r="791" spans="1:8" ht="14.25" x14ac:dyDescent="0.45">
      <c r="A791" s="86">
        <f ca="1"/>
        <v>10</v>
      </c>
      <c r="B791" s="86" t="str">
        <f ca="1"/>
        <v>B126</v>
      </c>
      <c r="C791" s="86" t="str">
        <f t="shared" ca="1" si="171"/>
        <v>AHAMMED JABIR K H</v>
      </c>
      <c r="D791" s="86" t="str">
        <f t="shared" ca="1" si="172"/>
        <v>JARF</v>
      </c>
      <c r="E791" s="86">
        <f t="shared" ca="1" si="173"/>
        <v>3</v>
      </c>
    </row>
    <row r="792" spans="1:8" ht="14.25" x14ac:dyDescent="0.45">
      <c r="A792" s="86">
        <f ca="1"/>
        <v>11</v>
      </c>
      <c r="B792" s="86" t="str">
        <f ca="1"/>
        <v>B160</v>
      </c>
      <c r="C792" s="86" t="str">
        <f t="shared" ca="1" si="171"/>
        <v>MOHAMMED DAWOOD K</v>
      </c>
      <c r="D792" s="86" t="str">
        <f t="shared" ca="1" si="172"/>
        <v>JARF</v>
      </c>
      <c r="E792" s="86">
        <f t="shared" ca="1" si="173"/>
        <v>4</v>
      </c>
    </row>
    <row r="793" spans="1:8" ht="14.25" x14ac:dyDescent="0.45">
      <c r="A793" s="86">
        <f ca="1"/>
        <v>12</v>
      </c>
      <c r="B793" s="86" t="str">
        <f ca="1"/>
        <v>B163</v>
      </c>
      <c r="C793" s="86" t="str">
        <f t="shared" ca="1" si="171"/>
        <v>MOHAMMED YOUNUS</v>
      </c>
      <c r="D793" s="86" t="str">
        <f t="shared" ca="1" si="172"/>
        <v>JARF</v>
      </c>
      <c r="E793" s="86">
        <f t="shared" ca="1" si="173"/>
        <v>4</v>
      </c>
    </row>
    <row r="794" spans="1:8" ht="14.25" x14ac:dyDescent="0.45">
      <c r="A794" s="84" t="s">
        <v>209</v>
      </c>
      <c r="B794" s="84" t="str">
        <f>VLOOKUP("JN16",f_detailsof_programs,2,FALSE)</f>
        <v>POEM ENG</v>
      </c>
      <c r="C794" s="84"/>
      <c r="D794" s="84" t="s">
        <v>688</v>
      </c>
      <c r="E794" s="84" t="s">
        <v>485</v>
      </c>
      <c r="F794" s="84"/>
      <c r="G794" s="84"/>
      <c r="H794" s="84"/>
    </row>
    <row r="795" spans="1:8" ht="14.25" x14ac:dyDescent="0.45">
      <c r="A795" s="85" t="s">
        <v>16</v>
      </c>
      <c r="B795" s="85" t="s">
        <v>480</v>
      </c>
      <c r="C795" s="85" t="s">
        <v>18</v>
      </c>
      <c r="D795" s="85" t="s">
        <v>481</v>
      </c>
      <c r="E795" s="85" t="s">
        <v>19</v>
      </c>
      <c r="F795" s="85" t="s">
        <v>482</v>
      </c>
      <c r="G795" s="85" t="s">
        <v>483</v>
      </c>
      <c r="H795" s="85" t="s">
        <v>484</v>
      </c>
    </row>
    <row r="796" spans="1:8" ht="14.25" x14ac:dyDescent="0.45">
      <c r="A796" s="86" cm="1">
        <f t="array" aca="1" ref="A796:A807" ca="1">_xlfn.SEQUENCE(COUNTA(_xlfn.LET(_xlpm.trimmed,OFFSET(f_listof_program_candidates,MATCH("JN16",f_listof_program_codes,0)-1,6,1,),TRANSPOSE(_xlfn._xlws.FILTER(OFFSET(_xlpm.trimmed,0,0,,COUNTA(_xlpm.trimmed)-5),OFFSET(_xlpm.trimmed,0,0,,COUNTA(_xlpm.trimmed)-5)&lt;&gt;0)))))</f>
        <v>1</v>
      </c>
      <c r="B796" s="86" t="str" cm="1">
        <f t="array" aca="1" ref="B796:B807" ca="1">_xlfn.LET(_xlpm.trimmed,OFFSET(f_listof_program_candidates,MATCH("JN16",f_listof_program_codes,0)-1,6,1,),TRANSPOSE(_xlfn._xlws.FILTER(OFFSET(_xlpm.trimmed,0,0,,COUNTA(_xlpm.trimmed)-5),OFFSET(_xlpm.trimmed,0,0,,COUNTA(_xlpm.trimmed)-5)&lt;&gt;0)))</f>
        <v>B112</v>
      </c>
      <c r="C796" s="86" t="str">
        <f t="shared" ref="C796:C807" ca="1" si="174">VLOOKUP(B796,f_detailsof_candidates,2,FALSE)</f>
        <v>SHARAZ AHAMMED</v>
      </c>
      <c r="D796" s="86" t="str">
        <f t="shared" ref="D796:D807" ca="1" si="175">VLOOKUP(B796,f_detailsof_candidates,3,FALSE)</f>
        <v>FANT</v>
      </c>
      <c r="E796" s="86">
        <f t="shared" ref="E796:E807" ca="1" si="176">VLOOKUP(B796,f_detailsof_candidates,5,FALSE)</f>
        <v>3</v>
      </c>
    </row>
    <row r="797" spans="1:8" ht="14.25" x14ac:dyDescent="0.45">
      <c r="A797" s="86">
        <f ca="1"/>
        <v>2</v>
      </c>
      <c r="B797" s="86" t="str">
        <f ca="1"/>
        <v>B157</v>
      </c>
      <c r="C797" s="86" t="str">
        <f t="shared" ca="1" si="174"/>
        <v>MUHAMMED MIHRAZ</v>
      </c>
      <c r="D797" s="86" t="str">
        <f t="shared" ca="1" si="175"/>
        <v>FANT</v>
      </c>
      <c r="E797" s="86">
        <f t="shared" ca="1" si="176"/>
        <v>4</v>
      </c>
    </row>
    <row r="798" spans="1:8" ht="14.25" x14ac:dyDescent="0.45">
      <c r="A798" s="86">
        <f ca="1"/>
        <v>3</v>
      </c>
      <c r="B798" s="86" t="str">
        <f ca="1"/>
        <v>B115</v>
      </c>
      <c r="C798" s="86" t="str">
        <f t="shared" ca="1" si="174"/>
        <v>HASSAN SAHAL N A</v>
      </c>
      <c r="D798" s="86" t="str">
        <f t="shared" ca="1" si="175"/>
        <v>FANT</v>
      </c>
      <c r="E798" s="86">
        <f t="shared" ca="1" si="176"/>
        <v>3</v>
      </c>
    </row>
    <row r="799" spans="1:8" ht="14.25" x14ac:dyDescent="0.45">
      <c r="A799" s="86">
        <f ca="1"/>
        <v>4</v>
      </c>
      <c r="B799" s="86" t="str">
        <f ca="1"/>
        <v>B127</v>
      </c>
      <c r="C799" s="86" t="str">
        <f t="shared" ca="1" si="174"/>
        <v>THANSEEHU RAHMAN</v>
      </c>
      <c r="D799" s="86" t="str">
        <f t="shared" ca="1" si="175"/>
        <v>DAHF</v>
      </c>
      <c r="E799" s="86">
        <f t="shared" ca="1" si="176"/>
        <v>3</v>
      </c>
    </row>
    <row r="800" spans="1:8" ht="14.25" x14ac:dyDescent="0.45">
      <c r="A800" s="86">
        <f ca="1"/>
        <v>5</v>
      </c>
      <c r="B800" s="86" t="str">
        <f ca="1"/>
        <v>B139</v>
      </c>
      <c r="C800" s="86" t="str">
        <f t="shared" ca="1" si="174"/>
        <v>Muhammad</v>
      </c>
      <c r="D800" s="86" t="str">
        <f t="shared" ca="1" si="175"/>
        <v>DAHF</v>
      </c>
      <c r="E800" s="86">
        <f t="shared" ca="1" si="176"/>
        <v>3</v>
      </c>
    </row>
    <row r="801" spans="1:8" ht="14.25" x14ac:dyDescent="0.45">
      <c r="A801" s="86">
        <f ca="1"/>
        <v>6</v>
      </c>
      <c r="B801" s="86" t="str">
        <f ca="1"/>
        <v>B159</v>
      </c>
      <c r="C801" s="86" t="str">
        <f t="shared" ca="1" si="174"/>
        <v>AJMAL AHMED MT</v>
      </c>
      <c r="D801" s="86" t="str">
        <f t="shared" ca="1" si="175"/>
        <v>DAHF</v>
      </c>
      <c r="E801" s="86">
        <f t="shared" ca="1" si="176"/>
        <v>4</v>
      </c>
    </row>
    <row r="802" spans="1:8" ht="14.25" x14ac:dyDescent="0.45">
      <c r="A802" s="86">
        <f ca="1"/>
        <v>7</v>
      </c>
      <c r="B802" s="86" t="str">
        <f ca="1"/>
        <v>B113</v>
      </c>
      <c r="C802" s="86" t="str">
        <f t="shared" ca="1" si="174"/>
        <v>MUHAMMED IHTHISHAM P I</v>
      </c>
      <c r="D802" s="86" t="str">
        <f t="shared" ca="1" si="175"/>
        <v>BADF</v>
      </c>
      <c r="E802" s="86">
        <f t="shared" ca="1" si="176"/>
        <v>3</v>
      </c>
    </row>
    <row r="803" spans="1:8" ht="14.25" x14ac:dyDescent="0.45">
      <c r="A803" s="86">
        <f ca="1"/>
        <v>8</v>
      </c>
      <c r="B803" s="86" t="str">
        <f ca="1"/>
        <v>B140</v>
      </c>
      <c r="C803" s="86" t="str">
        <f t="shared" ca="1" si="174"/>
        <v>MOHAMMED SHAHID</v>
      </c>
      <c r="D803" s="86" t="str">
        <f t="shared" ca="1" si="175"/>
        <v>BADF</v>
      </c>
      <c r="E803" s="86">
        <f t="shared" ca="1" si="176"/>
        <v>4</v>
      </c>
    </row>
    <row r="804" spans="1:8" ht="14.25" x14ac:dyDescent="0.45">
      <c r="A804" s="86">
        <f ca="1"/>
        <v>9</v>
      </c>
      <c r="B804" s="86" t="str">
        <f ca="1"/>
        <v>B151</v>
      </c>
      <c r="C804" s="86" t="str">
        <f t="shared" ca="1" si="174"/>
        <v>ABDUL GAFOOR</v>
      </c>
      <c r="D804" s="86" t="str">
        <f t="shared" ca="1" si="175"/>
        <v>BADF</v>
      </c>
      <c r="E804" s="86">
        <f t="shared" ca="1" si="176"/>
        <v>4</v>
      </c>
    </row>
    <row r="805" spans="1:8" ht="14.25" x14ac:dyDescent="0.45">
      <c r="A805" s="86">
        <f ca="1"/>
        <v>10</v>
      </c>
      <c r="B805" s="86" t="str">
        <f ca="1"/>
        <v>B107</v>
      </c>
      <c r="C805" s="86" t="str">
        <f t="shared" ca="1" si="174"/>
        <v>MUHAMMED ZAMIL</v>
      </c>
      <c r="D805" s="86" t="str">
        <f t="shared" ca="1" si="175"/>
        <v>JARF</v>
      </c>
      <c r="E805" s="86">
        <f t="shared" ca="1" si="176"/>
        <v>3</v>
      </c>
    </row>
    <row r="806" spans="1:8" ht="14.25" x14ac:dyDescent="0.45">
      <c r="A806" s="86">
        <f ca="1"/>
        <v>11</v>
      </c>
      <c r="B806" s="86" t="str">
        <f ca="1"/>
        <v>B118</v>
      </c>
      <c r="C806" s="86" t="str">
        <f t="shared" ca="1" si="174"/>
        <v>Muhammad Muaaz</v>
      </c>
      <c r="D806" s="86" t="str">
        <f t="shared" ca="1" si="175"/>
        <v>JARF</v>
      </c>
      <c r="E806" s="86">
        <f t="shared" ca="1" si="176"/>
        <v>3</v>
      </c>
    </row>
    <row r="807" spans="1:8" ht="14.25" x14ac:dyDescent="0.45">
      <c r="A807" s="86">
        <f ca="1"/>
        <v>12</v>
      </c>
      <c r="B807" s="86" t="str">
        <f ca="1"/>
        <v>B156</v>
      </c>
      <c r="C807" s="86" t="str">
        <f t="shared" ca="1" si="174"/>
        <v>MOHAMMED ANAS A.A</v>
      </c>
      <c r="D807" s="86" t="str">
        <f t="shared" ca="1" si="175"/>
        <v>JARF</v>
      </c>
      <c r="E807" s="86">
        <f t="shared" ca="1" si="176"/>
        <v>4</v>
      </c>
    </row>
    <row r="808" spans="1:8" ht="14.25" x14ac:dyDescent="0.45">
      <c r="A808" s="84" t="s">
        <v>211</v>
      </c>
      <c r="B808" s="84" t="str">
        <f>VLOOKUP("JN17",f_detailsof_programs,2,FALSE)</f>
        <v>POEM MLM</v>
      </c>
      <c r="C808" s="84"/>
      <c r="D808" s="84" t="s">
        <v>688</v>
      </c>
      <c r="E808" s="84" t="s">
        <v>485</v>
      </c>
      <c r="F808" s="84"/>
      <c r="G808" s="84"/>
      <c r="H808" s="84"/>
    </row>
    <row r="809" spans="1:8" ht="14.25" x14ac:dyDescent="0.45">
      <c r="A809" s="85" t="s">
        <v>16</v>
      </c>
      <c r="B809" s="85" t="s">
        <v>480</v>
      </c>
      <c r="C809" s="85" t="s">
        <v>18</v>
      </c>
      <c r="D809" s="85" t="s">
        <v>481</v>
      </c>
      <c r="E809" s="85" t="s">
        <v>19</v>
      </c>
      <c r="F809" s="85" t="s">
        <v>482</v>
      </c>
      <c r="G809" s="85" t="s">
        <v>483</v>
      </c>
      <c r="H809" s="85" t="s">
        <v>484</v>
      </c>
    </row>
    <row r="810" spans="1:8" ht="14.25" x14ac:dyDescent="0.45">
      <c r="A810" s="86" cm="1">
        <f t="array" aca="1" ref="A810:A821" ca="1">_xlfn.SEQUENCE(COUNTA(_xlfn.LET(_xlpm.trimmed,OFFSET(f_listof_program_candidates,MATCH("JN17",f_listof_program_codes,0)-1,6,1,),TRANSPOSE(_xlfn._xlws.FILTER(OFFSET(_xlpm.trimmed,0,0,,COUNTA(_xlpm.trimmed)-5),OFFSET(_xlpm.trimmed,0,0,,COUNTA(_xlpm.trimmed)-5)&lt;&gt;0)))))</f>
        <v>1</v>
      </c>
      <c r="B810" s="86" t="str" cm="1">
        <f t="array" aca="1" ref="B810:B821" ca="1">_xlfn.LET(_xlpm.trimmed,OFFSET(f_listof_program_candidates,MATCH("JN17",f_listof_program_codes,0)-1,6,1,),TRANSPOSE(_xlfn._xlws.FILTER(OFFSET(_xlpm.trimmed,0,0,,COUNTA(_xlpm.trimmed)-5),OFFSET(_xlpm.trimmed,0,0,,COUNTA(_xlpm.trimmed)-5)&lt;&gt;0)))</f>
        <v>B112</v>
      </c>
      <c r="C810" s="86" t="str">
        <f t="shared" ref="C810:C821" ca="1" si="177">VLOOKUP(B810,f_detailsof_candidates,2,FALSE)</f>
        <v>SHARAZ AHAMMED</v>
      </c>
      <c r="D810" s="86" t="str">
        <f t="shared" ref="D810:D821" ca="1" si="178">VLOOKUP(B810,f_detailsof_candidates,3,FALSE)</f>
        <v>FANT</v>
      </c>
      <c r="E810" s="86">
        <f t="shared" ref="E810:E821" ca="1" si="179">VLOOKUP(B810,f_detailsof_candidates,5,FALSE)</f>
        <v>3</v>
      </c>
    </row>
    <row r="811" spans="1:8" ht="14.25" x14ac:dyDescent="0.45">
      <c r="A811" s="86">
        <f ca="1"/>
        <v>2</v>
      </c>
      <c r="B811" s="86" t="str">
        <f ca="1"/>
        <v>B129</v>
      </c>
      <c r="C811" s="86" t="str">
        <f t="shared" ca="1" si="177"/>
        <v>MOHAMMED SABITH KU</v>
      </c>
      <c r="D811" s="86" t="str">
        <f t="shared" ca="1" si="178"/>
        <v>FANT</v>
      </c>
      <c r="E811" s="86">
        <f t="shared" ca="1" si="179"/>
        <v>3</v>
      </c>
    </row>
    <row r="812" spans="1:8" ht="14.25" x14ac:dyDescent="0.45">
      <c r="A812" s="86">
        <f ca="1"/>
        <v>3</v>
      </c>
      <c r="B812" s="86" t="str">
        <f ca="1"/>
        <v>B150</v>
      </c>
      <c r="C812" s="86" t="str">
        <f t="shared" ca="1" si="177"/>
        <v>ABDULLA FAHAD T.U</v>
      </c>
      <c r="D812" s="86" t="str">
        <f t="shared" ca="1" si="178"/>
        <v>FANT</v>
      </c>
      <c r="E812" s="86">
        <f t="shared" ca="1" si="179"/>
        <v>4</v>
      </c>
    </row>
    <row r="813" spans="1:8" ht="14.25" x14ac:dyDescent="0.45">
      <c r="A813" s="86">
        <f ca="1"/>
        <v>4</v>
      </c>
      <c r="B813" s="86" t="str">
        <f ca="1"/>
        <v>B109</v>
      </c>
      <c r="C813" s="86" t="str">
        <f t="shared" ca="1" si="177"/>
        <v>AHAMMED SAFAR ZAKARIYA</v>
      </c>
      <c r="D813" s="86" t="str">
        <f t="shared" ca="1" si="178"/>
        <v>DAHF</v>
      </c>
      <c r="E813" s="86">
        <f t="shared" ca="1" si="179"/>
        <v>3</v>
      </c>
    </row>
    <row r="814" spans="1:8" ht="14.25" x14ac:dyDescent="0.45">
      <c r="A814" s="86">
        <f ca="1"/>
        <v>5</v>
      </c>
      <c r="B814" s="86" t="str">
        <f ca="1"/>
        <v>B114</v>
      </c>
      <c r="C814" s="86" t="str">
        <f t="shared" ca="1" si="177"/>
        <v>AMEEN RAHMAN MTP</v>
      </c>
      <c r="D814" s="86" t="str">
        <f t="shared" ca="1" si="178"/>
        <v>DAHF</v>
      </c>
      <c r="E814" s="86">
        <f t="shared" ca="1" si="179"/>
        <v>3</v>
      </c>
    </row>
    <row r="815" spans="1:8" ht="14.25" x14ac:dyDescent="0.45">
      <c r="A815" s="86">
        <f ca="1"/>
        <v>6</v>
      </c>
      <c r="B815" s="86" t="str">
        <f ca="1"/>
        <v>B155</v>
      </c>
      <c r="C815" s="86" t="str">
        <f t="shared" ca="1" si="177"/>
        <v>MUHAMMED A</v>
      </c>
      <c r="D815" s="86" t="str">
        <f t="shared" ca="1" si="178"/>
        <v>DAHF</v>
      </c>
      <c r="E815" s="86">
        <f t="shared" ca="1" si="179"/>
        <v>4</v>
      </c>
    </row>
    <row r="816" spans="1:8" ht="14.25" x14ac:dyDescent="0.45">
      <c r="A816" s="86">
        <f ca="1"/>
        <v>7</v>
      </c>
      <c r="B816" s="86" t="str">
        <f ca="1"/>
        <v>B136</v>
      </c>
      <c r="C816" s="86" t="str">
        <f t="shared" ca="1" si="177"/>
        <v>MUHAMMAD MIJVAD K</v>
      </c>
      <c r="D816" s="86" t="str">
        <f t="shared" ca="1" si="178"/>
        <v>BADF</v>
      </c>
      <c r="E816" s="86">
        <f t="shared" ca="1" si="179"/>
        <v>3</v>
      </c>
    </row>
    <row r="817" spans="1:8" ht="14.25" x14ac:dyDescent="0.45">
      <c r="A817" s="86">
        <f ca="1"/>
        <v>8</v>
      </c>
      <c r="B817" s="86" t="str">
        <f ca="1"/>
        <v>B151</v>
      </c>
      <c r="C817" s="86" t="str">
        <f t="shared" ca="1" si="177"/>
        <v>ABDUL GAFOOR</v>
      </c>
      <c r="D817" s="86" t="str">
        <f t="shared" ca="1" si="178"/>
        <v>BADF</v>
      </c>
      <c r="E817" s="86">
        <f t="shared" ca="1" si="179"/>
        <v>4</v>
      </c>
    </row>
    <row r="818" spans="1:8" ht="14.25" x14ac:dyDescent="0.45">
      <c r="A818" s="86">
        <f ca="1"/>
        <v>9</v>
      </c>
      <c r="B818" s="86" t="str">
        <f ca="1"/>
        <v>B164</v>
      </c>
      <c r="C818" s="86" t="str">
        <f t="shared" ca="1" si="177"/>
        <v>RASALUL AMEEN T</v>
      </c>
      <c r="D818" s="86" t="str">
        <f t="shared" ca="1" si="178"/>
        <v>BADF</v>
      </c>
      <c r="E818" s="86">
        <f t="shared" ca="1" si="179"/>
        <v>4</v>
      </c>
    </row>
    <row r="819" spans="1:8" ht="14.25" x14ac:dyDescent="0.45">
      <c r="A819" s="86">
        <f ca="1"/>
        <v>10</v>
      </c>
      <c r="B819" s="86" t="str">
        <f ca="1"/>
        <v>B108</v>
      </c>
      <c r="C819" s="86" t="str">
        <f t="shared" ca="1" si="177"/>
        <v>ABDUL RAHIMAN FAIZ T A</v>
      </c>
      <c r="D819" s="86" t="str">
        <f t="shared" ca="1" si="178"/>
        <v>JARF</v>
      </c>
      <c r="E819" s="86">
        <f t="shared" ca="1" si="179"/>
        <v>3</v>
      </c>
    </row>
    <row r="820" spans="1:8" ht="14.25" x14ac:dyDescent="0.45">
      <c r="A820" s="86">
        <f ca="1"/>
        <v>11</v>
      </c>
      <c r="B820" s="86" t="str">
        <f ca="1"/>
        <v>B126</v>
      </c>
      <c r="C820" s="86" t="str">
        <f t="shared" ca="1" si="177"/>
        <v>AHAMMED JABIR K H</v>
      </c>
      <c r="D820" s="86" t="str">
        <f t="shared" ca="1" si="178"/>
        <v>JARF</v>
      </c>
      <c r="E820" s="86">
        <f t="shared" ca="1" si="179"/>
        <v>3</v>
      </c>
    </row>
    <row r="821" spans="1:8" ht="14.25" x14ac:dyDescent="0.45">
      <c r="A821" s="86">
        <f ca="1"/>
        <v>12</v>
      </c>
      <c r="B821" s="86" t="str">
        <f ca="1"/>
        <v>B152</v>
      </c>
      <c r="C821" s="86" t="str">
        <f t="shared" ca="1" si="177"/>
        <v>MUHAMMED MUNAZIR MM</v>
      </c>
      <c r="D821" s="86" t="str">
        <f t="shared" ca="1" si="178"/>
        <v>JARF</v>
      </c>
      <c r="E821" s="86">
        <f t="shared" ca="1" si="179"/>
        <v>4</v>
      </c>
    </row>
    <row r="822" spans="1:8" ht="14.25" x14ac:dyDescent="0.45">
      <c r="A822" s="84" t="s">
        <v>213</v>
      </c>
      <c r="B822" s="84" t="str">
        <f>VLOOKUP("JN18",f_detailsof_programs,2,FALSE)</f>
        <v>POEM URD</v>
      </c>
      <c r="C822" s="84"/>
      <c r="D822" s="84" t="s">
        <v>688</v>
      </c>
      <c r="E822" s="84" t="s">
        <v>485</v>
      </c>
      <c r="F822" s="84"/>
      <c r="G822" s="84"/>
      <c r="H822" s="84"/>
    </row>
    <row r="823" spans="1:8" ht="14.25" x14ac:dyDescent="0.45">
      <c r="A823" s="85" t="s">
        <v>16</v>
      </c>
      <c r="B823" s="85" t="s">
        <v>480</v>
      </c>
      <c r="C823" s="85" t="s">
        <v>18</v>
      </c>
      <c r="D823" s="85" t="s">
        <v>481</v>
      </c>
      <c r="E823" s="85" t="s">
        <v>19</v>
      </c>
      <c r="F823" s="85" t="s">
        <v>482</v>
      </c>
      <c r="G823" s="85" t="s">
        <v>483</v>
      </c>
      <c r="H823" s="85" t="s">
        <v>484</v>
      </c>
    </row>
    <row r="824" spans="1:8" ht="14.25" x14ac:dyDescent="0.45">
      <c r="A824" s="86" cm="1">
        <f t="array" aca="1" ref="A824:A835" ca="1">_xlfn.SEQUENCE(COUNTA(_xlfn.LET(_xlpm.trimmed,OFFSET(f_listof_program_candidates,MATCH("JN18",f_listof_program_codes,0)-1,6,1,),TRANSPOSE(_xlfn._xlws.FILTER(OFFSET(_xlpm.trimmed,0,0,,COUNTA(_xlpm.trimmed)-5),OFFSET(_xlpm.trimmed,0,0,,COUNTA(_xlpm.trimmed)-5)&lt;&gt;0)))))</f>
        <v>1</v>
      </c>
      <c r="B824" s="86" t="str" cm="1">
        <f t="array" aca="1" ref="B824:B835" ca="1">_xlfn.LET(_xlpm.trimmed,OFFSET(f_listof_program_candidates,MATCH("JN18",f_listof_program_codes,0)-1,6,1,),TRANSPOSE(_xlfn._xlws.FILTER(OFFSET(_xlpm.trimmed,0,0,,COUNTA(_xlpm.trimmed)-5),OFFSET(_xlpm.trimmed,0,0,,COUNTA(_xlpm.trimmed)-5)&lt;&gt;0)))</f>
        <v>B120</v>
      </c>
      <c r="C824" s="86" t="str">
        <f t="shared" ref="C824:C835" ca="1" si="180">VLOOKUP(B824,f_detailsof_candidates,2,FALSE)</f>
        <v>MOHAMMED RIYAN</v>
      </c>
      <c r="D824" s="86" t="str">
        <f t="shared" ref="D824:D835" ca="1" si="181">VLOOKUP(B824,f_detailsof_candidates,3,FALSE)</f>
        <v>FANT</v>
      </c>
      <c r="E824" s="86">
        <f t="shared" ref="E824:E835" ca="1" si="182">VLOOKUP(B824,f_detailsof_candidates,5,FALSE)</f>
        <v>3</v>
      </c>
    </row>
    <row r="825" spans="1:8" ht="14.25" x14ac:dyDescent="0.45">
      <c r="A825" s="86">
        <f ca="1"/>
        <v>2</v>
      </c>
      <c r="B825" s="86" t="str">
        <f ca="1"/>
        <v>B141</v>
      </c>
      <c r="C825" s="86" t="str">
        <f t="shared" ca="1" si="180"/>
        <v>RAFNAS P</v>
      </c>
      <c r="D825" s="86" t="str">
        <f t="shared" ca="1" si="181"/>
        <v>FANT</v>
      </c>
      <c r="E825" s="86">
        <f t="shared" ca="1" si="182"/>
        <v>4</v>
      </c>
    </row>
    <row r="826" spans="1:8" ht="14.25" x14ac:dyDescent="0.45">
      <c r="A826" s="86">
        <f ca="1"/>
        <v>3</v>
      </c>
      <c r="B826" s="86" t="str">
        <f ca="1"/>
        <v>B150</v>
      </c>
      <c r="C826" s="86" t="str">
        <f t="shared" ca="1" si="180"/>
        <v>ABDULLA FAHAD T.U</v>
      </c>
      <c r="D826" s="86" t="str">
        <f t="shared" ca="1" si="181"/>
        <v>FANT</v>
      </c>
      <c r="E826" s="86">
        <f t="shared" ca="1" si="182"/>
        <v>4</v>
      </c>
    </row>
    <row r="827" spans="1:8" ht="14.25" x14ac:dyDescent="0.45">
      <c r="A827" s="86">
        <f ca="1"/>
        <v>4</v>
      </c>
      <c r="B827" s="86" t="str">
        <f ca="1"/>
        <v>B154</v>
      </c>
      <c r="C827" s="86" t="str">
        <f t="shared" ca="1" si="180"/>
        <v>ABDULLA ALBAS</v>
      </c>
      <c r="D827" s="86" t="str">
        <f t="shared" ca="1" si="181"/>
        <v>DAHF</v>
      </c>
      <c r="E827" s="86">
        <f t="shared" ca="1" si="182"/>
        <v>4</v>
      </c>
    </row>
    <row r="828" spans="1:8" ht="14.25" x14ac:dyDescent="0.45">
      <c r="A828" s="86">
        <f ca="1"/>
        <v>5</v>
      </c>
      <c r="B828" s="86" t="str">
        <f ca="1"/>
        <v>B132</v>
      </c>
      <c r="C828" s="86" t="str">
        <f t="shared" ca="1" si="180"/>
        <v>MUHAMMED SAEED THUFAIL</v>
      </c>
      <c r="D828" s="86" t="str">
        <f t="shared" ca="1" si="181"/>
        <v>DAHF</v>
      </c>
      <c r="E828" s="86">
        <f t="shared" ca="1" si="182"/>
        <v>3</v>
      </c>
    </row>
    <row r="829" spans="1:8" ht="14.25" x14ac:dyDescent="0.45">
      <c r="A829" s="86">
        <f ca="1"/>
        <v>6</v>
      </c>
      <c r="B829" s="86" t="str">
        <f ca="1"/>
        <v>B124</v>
      </c>
      <c r="C829" s="86" t="str">
        <f t="shared" ca="1" si="180"/>
        <v>MOHAMMED RAED. UA</v>
      </c>
      <c r="D829" s="86" t="str">
        <f t="shared" ca="1" si="181"/>
        <v>DAHF</v>
      </c>
      <c r="E829" s="86">
        <f t="shared" ca="1" si="182"/>
        <v>3</v>
      </c>
    </row>
    <row r="830" spans="1:8" ht="14.25" x14ac:dyDescent="0.45">
      <c r="A830" s="86">
        <f ca="1"/>
        <v>7</v>
      </c>
      <c r="B830" s="86" t="str">
        <f ca="1"/>
        <v>B103</v>
      </c>
      <c r="C830" s="86" t="str">
        <f t="shared" ca="1" si="180"/>
        <v>MOHAMMED NAFIH BA</v>
      </c>
      <c r="D830" s="86" t="str">
        <f t="shared" ca="1" si="181"/>
        <v>BADF</v>
      </c>
      <c r="E830" s="86">
        <f t="shared" ca="1" si="182"/>
        <v>3</v>
      </c>
    </row>
    <row r="831" spans="1:8" ht="14.25" x14ac:dyDescent="0.45">
      <c r="A831" s="86">
        <f ca="1"/>
        <v>8</v>
      </c>
      <c r="B831" s="86" t="str">
        <f ca="1"/>
        <v>B137</v>
      </c>
      <c r="C831" s="86" t="str">
        <f t="shared" ca="1" si="180"/>
        <v>MOHAMMAD IJAN</v>
      </c>
      <c r="D831" s="86" t="str">
        <f t="shared" ca="1" si="181"/>
        <v>BADF</v>
      </c>
      <c r="E831" s="86">
        <f t="shared" ca="1" si="182"/>
        <v>3</v>
      </c>
    </row>
    <row r="832" spans="1:8" ht="14.25" x14ac:dyDescent="0.45">
      <c r="A832" s="86">
        <f ca="1"/>
        <v>9</v>
      </c>
      <c r="B832" s="86" t="str">
        <f ca="1"/>
        <v>B140</v>
      </c>
      <c r="C832" s="86" t="str">
        <f t="shared" ca="1" si="180"/>
        <v>MOHAMMED SHAHID</v>
      </c>
      <c r="D832" s="86" t="str">
        <f t="shared" ca="1" si="181"/>
        <v>BADF</v>
      </c>
      <c r="E832" s="86">
        <f t="shared" ca="1" si="182"/>
        <v>4</v>
      </c>
    </row>
    <row r="833" spans="1:8" ht="14.25" x14ac:dyDescent="0.45">
      <c r="A833" s="86">
        <f ca="1"/>
        <v>10</v>
      </c>
      <c r="B833" s="86" t="str">
        <f ca="1"/>
        <v>B105</v>
      </c>
      <c r="C833" s="86" t="str">
        <f t="shared" ca="1" si="180"/>
        <v>HASAN THAMMEEM</v>
      </c>
      <c r="D833" s="86" t="str">
        <f t="shared" ca="1" si="181"/>
        <v>JARF</v>
      </c>
      <c r="E833" s="86">
        <f t="shared" ca="1" si="182"/>
        <v>3</v>
      </c>
    </row>
    <row r="834" spans="1:8" ht="14.25" x14ac:dyDescent="0.45">
      <c r="A834" s="86">
        <f ca="1"/>
        <v>11</v>
      </c>
      <c r="B834" s="86" t="str">
        <f ca="1"/>
        <v>B118</v>
      </c>
      <c r="C834" s="86" t="str">
        <f t="shared" ca="1" si="180"/>
        <v>Muhammad Muaaz</v>
      </c>
      <c r="D834" s="86" t="str">
        <f t="shared" ca="1" si="181"/>
        <v>JARF</v>
      </c>
      <c r="E834" s="86">
        <f t="shared" ca="1" si="182"/>
        <v>3</v>
      </c>
    </row>
    <row r="835" spans="1:8" ht="14.25" x14ac:dyDescent="0.45">
      <c r="A835" s="86">
        <f ca="1"/>
        <v>12</v>
      </c>
      <c r="B835" s="86" t="str">
        <f ca="1"/>
        <v>B147</v>
      </c>
      <c r="C835" s="86" t="str">
        <f t="shared" ca="1" si="180"/>
        <v>MOHAMMED SHAMEEM B K</v>
      </c>
      <c r="D835" s="86" t="str">
        <f t="shared" ca="1" si="181"/>
        <v>JARF</v>
      </c>
      <c r="E835" s="86">
        <f t="shared" ca="1" si="182"/>
        <v>4</v>
      </c>
    </row>
    <row r="836" spans="1:8" ht="14.25" x14ac:dyDescent="0.45">
      <c r="A836" s="84" t="s">
        <v>215</v>
      </c>
      <c r="B836" s="84" t="str">
        <f>VLOOKUP("JN19",f_detailsof_programs,2,FALSE)</f>
        <v>POSTER DESIGNING DIGITAL</v>
      </c>
      <c r="C836" s="84"/>
      <c r="D836" s="84" t="s">
        <v>688</v>
      </c>
      <c r="E836" s="84" t="s">
        <v>486</v>
      </c>
      <c r="F836" s="84"/>
      <c r="G836" s="84"/>
      <c r="H836" s="84"/>
    </row>
    <row r="837" spans="1:8" ht="14.25" x14ac:dyDescent="0.45">
      <c r="A837" s="85" t="s">
        <v>16</v>
      </c>
      <c r="B837" s="85" t="s">
        <v>480</v>
      </c>
      <c r="C837" s="85" t="s">
        <v>18</v>
      </c>
      <c r="D837" s="85" t="s">
        <v>481</v>
      </c>
      <c r="E837" s="85" t="s">
        <v>19</v>
      </c>
      <c r="F837" s="85" t="s">
        <v>482</v>
      </c>
      <c r="G837" s="85" t="s">
        <v>483</v>
      </c>
      <c r="H837" s="85" t="s">
        <v>484</v>
      </c>
    </row>
    <row r="838" spans="1:8" ht="14.25" x14ac:dyDescent="0.45">
      <c r="A838" s="86" cm="1">
        <f t="array" aca="1" ref="A838:A845" ca="1">_xlfn.SEQUENCE(COUNTA(_xlfn.LET(_xlpm.trimmed,OFFSET(f_listof_program_candidates,MATCH("JN19",f_listof_program_codes,0)-1,6,1,),TRANSPOSE(_xlfn._xlws.FILTER(OFFSET(_xlpm.trimmed,0,0,,COUNTA(_xlpm.trimmed)-5),OFFSET(_xlpm.trimmed,0,0,,COUNTA(_xlpm.trimmed)-5)&lt;&gt;0)))))</f>
        <v>1</v>
      </c>
      <c r="B838" s="86" t="str" cm="1">
        <f t="array" aca="1" ref="B838:B845" ca="1">_xlfn.LET(_xlpm.trimmed,OFFSET(f_listof_program_candidates,MATCH("JN19",f_listof_program_codes,0)-1,6,1,),TRANSPOSE(_xlfn._xlws.FILTER(OFFSET(_xlpm.trimmed,0,0,,COUNTA(_xlpm.trimmed)-5),OFFSET(_xlpm.trimmed,0,0,,COUNTA(_xlpm.trimmed)-5)&lt;&gt;0)))</f>
        <v>B141</v>
      </c>
      <c r="C838" s="86" t="str">
        <f t="shared" ref="C838:C845" ca="1" si="183">VLOOKUP(B838,f_detailsof_candidates,2,FALSE)</f>
        <v>RAFNAS P</v>
      </c>
      <c r="D838" s="86" t="str">
        <f t="shared" ref="D838:D845" ca="1" si="184">VLOOKUP(B838,f_detailsof_candidates,3,FALSE)</f>
        <v>FANT</v>
      </c>
      <c r="E838" s="86">
        <f t="shared" ref="E838:E845" ca="1" si="185">VLOOKUP(B838,f_detailsof_candidates,5,FALSE)</f>
        <v>4</v>
      </c>
    </row>
    <row r="839" spans="1:8" ht="14.25" x14ac:dyDescent="0.45">
      <c r="A839" s="86">
        <f ca="1"/>
        <v>2</v>
      </c>
      <c r="B839" s="86" t="str">
        <f ca="1"/>
        <v>B145</v>
      </c>
      <c r="C839" s="86" t="str">
        <f t="shared" ca="1" si="183"/>
        <v>YASEEN NOORULLA PH</v>
      </c>
      <c r="D839" s="86" t="str">
        <f t="shared" ca="1" si="184"/>
        <v>FANT</v>
      </c>
      <c r="E839" s="86">
        <f t="shared" ca="1" si="185"/>
        <v>4</v>
      </c>
    </row>
    <row r="840" spans="1:8" ht="14.25" x14ac:dyDescent="0.45">
      <c r="A840" s="86">
        <f ca="1"/>
        <v>3</v>
      </c>
      <c r="B840" s="86" t="str">
        <f ca="1"/>
        <v>B139</v>
      </c>
      <c r="C840" s="86" t="str">
        <f t="shared" ca="1" si="183"/>
        <v>Muhammad</v>
      </c>
      <c r="D840" s="86" t="str">
        <f t="shared" ca="1" si="184"/>
        <v>DAHF</v>
      </c>
      <c r="E840" s="86">
        <f t="shared" ca="1" si="185"/>
        <v>3</v>
      </c>
    </row>
    <row r="841" spans="1:8" ht="14.25" x14ac:dyDescent="0.45">
      <c r="A841" s="86">
        <f ca="1"/>
        <v>4</v>
      </c>
      <c r="B841" s="86" t="str">
        <f ca="1"/>
        <v>B154</v>
      </c>
      <c r="C841" s="86" t="str">
        <f t="shared" ca="1" si="183"/>
        <v>ABDULLA ALBAS</v>
      </c>
      <c r="D841" s="86" t="str">
        <f t="shared" ca="1" si="184"/>
        <v>DAHF</v>
      </c>
      <c r="E841" s="86">
        <f t="shared" ca="1" si="185"/>
        <v>4</v>
      </c>
    </row>
    <row r="842" spans="1:8" ht="14.25" x14ac:dyDescent="0.45">
      <c r="A842" s="86">
        <f ca="1"/>
        <v>5</v>
      </c>
      <c r="B842" s="86" t="str">
        <f ca="1"/>
        <v>B113</v>
      </c>
      <c r="C842" s="86" t="str">
        <f t="shared" ca="1" si="183"/>
        <v>MUHAMMED IHTHISHAM P I</v>
      </c>
      <c r="D842" s="86" t="str">
        <f t="shared" ca="1" si="184"/>
        <v>BADF</v>
      </c>
      <c r="E842" s="86">
        <f t="shared" ca="1" si="185"/>
        <v>3</v>
      </c>
    </row>
    <row r="843" spans="1:8" ht="14.25" x14ac:dyDescent="0.45">
      <c r="A843" s="86">
        <f ca="1"/>
        <v>6</v>
      </c>
      <c r="B843" s="86" t="str">
        <f ca="1"/>
        <v>B164</v>
      </c>
      <c r="C843" s="86" t="str">
        <f t="shared" ca="1" si="183"/>
        <v>RASALUL AMEEN T</v>
      </c>
      <c r="D843" s="86" t="str">
        <f t="shared" ca="1" si="184"/>
        <v>BADF</v>
      </c>
      <c r="E843" s="86">
        <f t="shared" ca="1" si="185"/>
        <v>4</v>
      </c>
    </row>
    <row r="844" spans="1:8" ht="14.25" x14ac:dyDescent="0.45">
      <c r="A844" s="86">
        <f ca="1"/>
        <v>7</v>
      </c>
      <c r="B844" s="86" t="str">
        <f ca="1"/>
        <v>B108</v>
      </c>
      <c r="C844" s="86" t="str">
        <f t="shared" ca="1" si="183"/>
        <v>ABDUL RAHIMAN FAIZ T A</v>
      </c>
      <c r="D844" s="86" t="str">
        <f t="shared" ca="1" si="184"/>
        <v>JARF</v>
      </c>
      <c r="E844" s="86">
        <f t="shared" ca="1" si="185"/>
        <v>3</v>
      </c>
    </row>
    <row r="845" spans="1:8" ht="14.25" x14ac:dyDescent="0.45">
      <c r="A845" s="86">
        <f ca="1"/>
        <v>8</v>
      </c>
      <c r="B845" s="86" t="str">
        <f ca="1"/>
        <v>B119</v>
      </c>
      <c r="C845" s="86" t="str">
        <f t="shared" ca="1" si="183"/>
        <v>ABDUL SA-AD</v>
      </c>
      <c r="D845" s="86" t="str">
        <f t="shared" ca="1" si="184"/>
        <v>JARF</v>
      </c>
      <c r="E845" s="86">
        <f t="shared" ca="1" si="185"/>
        <v>3</v>
      </c>
    </row>
    <row r="846" spans="1:8" ht="14.25" x14ac:dyDescent="0.45">
      <c r="A846" s="84" t="s">
        <v>218</v>
      </c>
      <c r="B846" s="84" t="str">
        <f>VLOOKUP("JN20",f_detailsof_programs,2,FALSE)</f>
        <v>QIRĀʾAH</v>
      </c>
      <c r="C846" s="84"/>
      <c r="D846" s="84" t="s">
        <v>688</v>
      </c>
      <c r="E846" s="84" t="s">
        <v>485</v>
      </c>
      <c r="F846" s="84"/>
      <c r="G846" s="84"/>
      <c r="H846" s="84"/>
    </row>
    <row r="847" spans="1:8" ht="14.25" x14ac:dyDescent="0.45">
      <c r="A847" s="85" t="s">
        <v>16</v>
      </c>
      <c r="B847" s="85" t="s">
        <v>480</v>
      </c>
      <c r="C847" s="85" t="s">
        <v>18</v>
      </c>
      <c r="D847" s="85" t="s">
        <v>481</v>
      </c>
      <c r="E847" s="85" t="s">
        <v>19</v>
      </c>
      <c r="F847" s="85" t="s">
        <v>482</v>
      </c>
      <c r="G847" s="85" t="s">
        <v>483</v>
      </c>
      <c r="H847" s="85" t="s">
        <v>484</v>
      </c>
    </row>
    <row r="848" spans="1:8" ht="14.25" x14ac:dyDescent="0.45">
      <c r="A848" s="86" cm="1">
        <f t="array" aca="1" ref="A848:A859" ca="1">_xlfn.SEQUENCE(COUNTA(_xlfn.LET(_xlpm.trimmed,OFFSET(f_listof_program_candidates,MATCH("JN20",f_listof_program_codes,0)-1,6,1,),TRANSPOSE(_xlfn._xlws.FILTER(OFFSET(_xlpm.trimmed,0,0,,COUNTA(_xlpm.trimmed)-5),OFFSET(_xlpm.trimmed,0,0,,COUNTA(_xlpm.trimmed)-5)&lt;&gt;0)))))</f>
        <v>1</v>
      </c>
      <c r="B848" s="86" t="str" cm="1">
        <f t="array" aca="1" ref="B848:B859" ca="1">_xlfn.LET(_xlpm.trimmed,OFFSET(f_listof_program_candidates,MATCH("JN20",f_listof_program_codes,0)-1,6,1,),TRANSPOSE(_xlfn._xlws.FILTER(OFFSET(_xlpm.trimmed,0,0,,COUNTA(_xlpm.trimmed)-5),OFFSET(_xlpm.trimmed,0,0,,COUNTA(_xlpm.trimmed)-5)&lt;&gt;0)))</f>
        <v>B130</v>
      </c>
      <c r="C848" s="86" t="str">
        <f t="shared" ref="C848:C859" ca="1" si="186">VLOOKUP(B848,f_detailsof_candidates,2,FALSE)</f>
        <v>HAFIL ADIL AMANULLAH K K</v>
      </c>
      <c r="D848" s="86" t="str">
        <f t="shared" ref="D848:D859" ca="1" si="187">VLOOKUP(B848,f_detailsof_candidates,3,FALSE)</f>
        <v>FANT</v>
      </c>
      <c r="E848" s="86">
        <f t="shared" ref="E848:E859" ca="1" si="188">VLOOKUP(B848,f_detailsof_candidates,5,FALSE)</f>
        <v>3</v>
      </c>
    </row>
    <row r="849" spans="1:8" ht="14.25" x14ac:dyDescent="0.45">
      <c r="A849" s="86">
        <f ca="1"/>
        <v>2</v>
      </c>
      <c r="B849" s="86" t="str">
        <f ca="1"/>
        <v>B135</v>
      </c>
      <c r="C849" s="86" t="str">
        <f t="shared" ca="1" si="186"/>
        <v>MOHAMMED RAFIH M R</v>
      </c>
      <c r="D849" s="86" t="str">
        <f t="shared" ca="1" si="187"/>
        <v>FANT</v>
      </c>
      <c r="E849" s="86">
        <f t="shared" ca="1" si="188"/>
        <v>3</v>
      </c>
    </row>
    <row r="850" spans="1:8" ht="14.25" x14ac:dyDescent="0.45">
      <c r="A850" s="86">
        <f ca="1"/>
        <v>3</v>
      </c>
      <c r="B850" s="86" t="str">
        <f ca="1"/>
        <v>B143</v>
      </c>
      <c r="C850" s="86" t="str">
        <f t="shared" ca="1" si="186"/>
        <v>MOHAMMED SHADIL AP</v>
      </c>
      <c r="D850" s="86" t="str">
        <f t="shared" ca="1" si="187"/>
        <v>FANT</v>
      </c>
      <c r="E850" s="86">
        <f t="shared" ca="1" si="188"/>
        <v>4</v>
      </c>
    </row>
    <row r="851" spans="1:8" ht="14.25" x14ac:dyDescent="0.45">
      <c r="A851" s="86">
        <f ca="1"/>
        <v>4</v>
      </c>
      <c r="B851" s="86" t="str">
        <f ca="1"/>
        <v>B132</v>
      </c>
      <c r="C851" s="86" t="str">
        <f t="shared" ca="1" si="186"/>
        <v>MUHAMMED SAEED THUFAIL</v>
      </c>
      <c r="D851" s="86" t="str">
        <f t="shared" ca="1" si="187"/>
        <v>DAHF</v>
      </c>
      <c r="E851" s="86">
        <f t="shared" ca="1" si="188"/>
        <v>3</v>
      </c>
    </row>
    <row r="852" spans="1:8" ht="14.25" x14ac:dyDescent="0.45">
      <c r="A852" s="86">
        <f ca="1"/>
        <v>5</v>
      </c>
      <c r="B852" s="86" t="str">
        <f ca="1"/>
        <v>B139</v>
      </c>
      <c r="C852" s="86" t="str">
        <f t="shared" ca="1" si="186"/>
        <v>Muhammad</v>
      </c>
      <c r="D852" s="86" t="str">
        <f t="shared" ca="1" si="187"/>
        <v>DAHF</v>
      </c>
      <c r="E852" s="86">
        <f t="shared" ca="1" si="188"/>
        <v>3</v>
      </c>
    </row>
    <row r="853" spans="1:8" ht="14.25" x14ac:dyDescent="0.45">
      <c r="A853" s="86">
        <f ca="1"/>
        <v>6</v>
      </c>
      <c r="B853" s="86" t="str">
        <f ca="1"/>
        <v>B159</v>
      </c>
      <c r="C853" s="86" t="str">
        <f t="shared" ca="1" si="186"/>
        <v>AJMAL AHMED MT</v>
      </c>
      <c r="D853" s="86" t="str">
        <f t="shared" ca="1" si="187"/>
        <v>DAHF</v>
      </c>
      <c r="E853" s="86">
        <f t="shared" ca="1" si="188"/>
        <v>4</v>
      </c>
    </row>
    <row r="854" spans="1:8" ht="14.25" x14ac:dyDescent="0.45">
      <c r="A854" s="86">
        <f ca="1"/>
        <v>7</v>
      </c>
      <c r="B854" s="86" t="str">
        <f ca="1"/>
        <v>B103</v>
      </c>
      <c r="C854" s="86" t="str">
        <f t="shared" ca="1" si="186"/>
        <v>MOHAMMED NAFIH BA</v>
      </c>
      <c r="D854" s="86" t="str">
        <f t="shared" ca="1" si="187"/>
        <v>BADF</v>
      </c>
      <c r="E854" s="86">
        <f t="shared" ca="1" si="188"/>
        <v>3</v>
      </c>
    </row>
    <row r="855" spans="1:8" ht="14.25" x14ac:dyDescent="0.45">
      <c r="A855" s="86">
        <f ca="1"/>
        <v>8</v>
      </c>
      <c r="B855" s="86" t="str">
        <f ca="1"/>
        <v>B117</v>
      </c>
      <c r="C855" s="86" t="str">
        <f t="shared" ca="1" si="186"/>
        <v>MUHAMMAD SABITH V K P</v>
      </c>
      <c r="D855" s="86" t="str">
        <f t="shared" ca="1" si="187"/>
        <v>BADF</v>
      </c>
      <c r="E855" s="86">
        <f t="shared" ca="1" si="188"/>
        <v>3</v>
      </c>
    </row>
    <row r="856" spans="1:8" ht="14.25" x14ac:dyDescent="0.45">
      <c r="A856" s="86">
        <f ca="1"/>
        <v>9</v>
      </c>
      <c r="B856" s="86" t="str">
        <f ca="1"/>
        <v>B153</v>
      </c>
      <c r="C856" s="86" t="str">
        <f t="shared" ca="1" si="186"/>
        <v>ABDUL KHADER ISHAQUE</v>
      </c>
      <c r="D856" s="86" t="str">
        <f t="shared" ca="1" si="187"/>
        <v>BADF</v>
      </c>
      <c r="E856" s="86">
        <f t="shared" ca="1" si="188"/>
        <v>4</v>
      </c>
    </row>
    <row r="857" spans="1:8" ht="14.25" x14ac:dyDescent="0.45">
      <c r="A857" s="86">
        <f ca="1"/>
        <v>10</v>
      </c>
      <c r="B857" s="86" t="str">
        <f ca="1"/>
        <v>B105</v>
      </c>
      <c r="C857" s="86" t="str">
        <f t="shared" ca="1" si="186"/>
        <v>HASAN THAMMEEM</v>
      </c>
      <c r="D857" s="86" t="str">
        <f t="shared" ca="1" si="187"/>
        <v>JARF</v>
      </c>
      <c r="E857" s="86">
        <f t="shared" ca="1" si="188"/>
        <v>3</v>
      </c>
    </row>
    <row r="858" spans="1:8" ht="14.25" x14ac:dyDescent="0.45">
      <c r="A858" s="86">
        <f ca="1"/>
        <v>11</v>
      </c>
      <c r="B858" s="86" t="str">
        <f ca="1"/>
        <v>B152</v>
      </c>
      <c r="C858" s="86" t="str">
        <f t="shared" ca="1" si="186"/>
        <v>MUHAMMED MUNAZIR MM</v>
      </c>
      <c r="D858" s="86" t="str">
        <f t="shared" ca="1" si="187"/>
        <v>JARF</v>
      </c>
      <c r="E858" s="86">
        <f t="shared" ca="1" si="188"/>
        <v>4</v>
      </c>
    </row>
    <row r="859" spans="1:8" ht="14.25" x14ac:dyDescent="0.45">
      <c r="A859" s="86">
        <f ca="1"/>
        <v>12</v>
      </c>
      <c r="B859" s="86" t="str">
        <f ca="1"/>
        <v>B160</v>
      </c>
      <c r="C859" s="86" t="str">
        <f t="shared" ca="1" si="186"/>
        <v>MOHAMMED DAWOOD K</v>
      </c>
      <c r="D859" s="86" t="str">
        <f t="shared" ca="1" si="187"/>
        <v>JARF</v>
      </c>
      <c r="E859" s="86">
        <f t="shared" ca="1" si="188"/>
        <v>4</v>
      </c>
    </row>
    <row r="860" spans="1:8" ht="14.25" x14ac:dyDescent="0.45">
      <c r="A860" s="84" t="s">
        <v>219</v>
      </c>
      <c r="B860" s="84" t="str">
        <f>VLOOKUP("JN21",f_detailsof_programs,2,FALSE)</f>
        <v>SCIENCE MASTER</v>
      </c>
      <c r="C860" s="84"/>
      <c r="D860" s="84" t="s">
        <v>688</v>
      </c>
      <c r="E860" s="84" t="s">
        <v>485</v>
      </c>
      <c r="F860" s="84"/>
      <c r="G860" s="84"/>
      <c r="H860" s="84"/>
    </row>
    <row r="861" spans="1:8" ht="14.25" x14ac:dyDescent="0.45">
      <c r="A861" s="85" t="s">
        <v>16</v>
      </c>
      <c r="B861" s="85" t="s">
        <v>480</v>
      </c>
      <c r="C861" s="85" t="s">
        <v>18</v>
      </c>
      <c r="D861" s="85" t="s">
        <v>481</v>
      </c>
      <c r="E861" s="85" t="s">
        <v>19</v>
      </c>
      <c r="F861" s="85" t="s">
        <v>482</v>
      </c>
      <c r="G861" s="85" t="s">
        <v>483</v>
      </c>
      <c r="H861" s="85" t="s">
        <v>484</v>
      </c>
    </row>
    <row r="862" spans="1:8" ht="14.25" x14ac:dyDescent="0.45">
      <c r="A862" s="86" cm="1">
        <f t="array" aca="1" ref="A862:A873" ca="1">_xlfn.SEQUENCE(COUNTA(_xlfn.LET(_xlpm.trimmed,OFFSET(f_listof_program_candidates,MATCH("JN21",f_listof_program_codes,0)-1,6,1,),TRANSPOSE(_xlfn._xlws.FILTER(OFFSET(_xlpm.trimmed,0,0,,COUNTA(_xlpm.trimmed)-5),OFFSET(_xlpm.trimmed,0,0,,COUNTA(_xlpm.trimmed)-5)&lt;&gt;0)))))</f>
        <v>1</v>
      </c>
      <c r="B862" s="86" t="str" cm="1">
        <f t="array" aca="1" ref="B862:B873" ca="1">_xlfn.LET(_xlpm.trimmed,OFFSET(f_listof_program_candidates,MATCH("JN21",f_listof_program_codes,0)-1,6,1,),TRANSPOSE(_xlfn._xlws.FILTER(OFFSET(_xlpm.trimmed,0,0,,COUNTA(_xlpm.trimmed)-5),OFFSET(_xlpm.trimmed,0,0,,COUNTA(_xlpm.trimmed)-5)&lt;&gt;0)))</f>
        <v>B104</v>
      </c>
      <c r="C862" s="86" t="str">
        <f t="shared" ref="C862:C873" ca="1" si="189">VLOOKUP(B862,f_detailsof_candidates,2,FALSE)</f>
        <v>FAKRUDDIN NAFIL</v>
      </c>
      <c r="D862" s="86" t="str">
        <f t="shared" ref="D862:D873" ca="1" si="190">VLOOKUP(B862,f_detailsof_candidates,3,FALSE)</f>
        <v>FANT</v>
      </c>
      <c r="E862" s="86">
        <f t="shared" ref="E862:E873" ca="1" si="191">VLOOKUP(B862,f_detailsof_candidates,5,FALSE)</f>
        <v>3</v>
      </c>
    </row>
    <row r="863" spans="1:8" ht="14.25" x14ac:dyDescent="0.45">
      <c r="A863" s="86">
        <f ca="1"/>
        <v>2</v>
      </c>
      <c r="B863" s="86" t="str">
        <f ca="1"/>
        <v>B123</v>
      </c>
      <c r="C863" s="86" t="str">
        <f t="shared" ca="1" si="189"/>
        <v>MUHAMMED YASEEN</v>
      </c>
      <c r="D863" s="86" t="str">
        <f t="shared" ca="1" si="190"/>
        <v>FANT</v>
      </c>
      <c r="E863" s="86">
        <f t="shared" ca="1" si="191"/>
        <v>3</v>
      </c>
    </row>
    <row r="864" spans="1:8" ht="14.25" x14ac:dyDescent="0.45">
      <c r="A864" s="86">
        <f ca="1"/>
        <v>3</v>
      </c>
      <c r="B864" s="86" t="str">
        <f ca="1"/>
        <v>B144</v>
      </c>
      <c r="C864" s="86" t="str">
        <f t="shared" ca="1" si="189"/>
        <v>MUHAMMED NAFIH CI</v>
      </c>
      <c r="D864" s="86" t="str">
        <f t="shared" ca="1" si="190"/>
        <v>FANT</v>
      </c>
      <c r="E864" s="86">
        <f t="shared" ca="1" si="191"/>
        <v>4</v>
      </c>
    </row>
    <row r="865" spans="1:8" ht="14.25" x14ac:dyDescent="0.45">
      <c r="A865" s="86">
        <f ca="1"/>
        <v>4</v>
      </c>
      <c r="B865" s="86" t="str">
        <f ca="1"/>
        <v>B110</v>
      </c>
      <c r="C865" s="86" t="str">
        <f t="shared" ca="1" si="189"/>
        <v>MUHAMMED MUHAZ P A</v>
      </c>
      <c r="D865" s="86" t="str">
        <f t="shared" ca="1" si="190"/>
        <v>DAHF</v>
      </c>
      <c r="E865" s="86">
        <f t="shared" ca="1" si="191"/>
        <v>3</v>
      </c>
    </row>
    <row r="866" spans="1:8" ht="14.25" x14ac:dyDescent="0.45">
      <c r="A866" s="86">
        <f ca="1"/>
        <v>5</v>
      </c>
      <c r="B866" s="86" t="str">
        <f ca="1"/>
        <v>B122</v>
      </c>
      <c r="C866" s="86" t="str">
        <f t="shared" ca="1" si="189"/>
        <v>MUHAMMAD FAYIZ B</v>
      </c>
      <c r="D866" s="86" t="str">
        <f t="shared" ca="1" si="190"/>
        <v>DAHF</v>
      </c>
      <c r="E866" s="86">
        <f t="shared" ca="1" si="191"/>
        <v>3</v>
      </c>
    </row>
    <row r="867" spans="1:8" ht="14.25" x14ac:dyDescent="0.45">
      <c r="A867" s="86">
        <f ca="1"/>
        <v>6</v>
      </c>
      <c r="B867" s="86" t="str">
        <f ca="1"/>
        <v>B127</v>
      </c>
      <c r="C867" s="86" t="str">
        <f t="shared" ca="1" si="189"/>
        <v>THANSEEHU RAHMAN</v>
      </c>
      <c r="D867" s="86" t="str">
        <f t="shared" ca="1" si="190"/>
        <v>DAHF</v>
      </c>
      <c r="E867" s="86">
        <f t="shared" ca="1" si="191"/>
        <v>3</v>
      </c>
    </row>
    <row r="868" spans="1:8" ht="14.25" x14ac:dyDescent="0.45">
      <c r="A868" s="86">
        <f ca="1"/>
        <v>7</v>
      </c>
      <c r="B868" s="86" t="str">
        <f ca="1"/>
        <v>B137</v>
      </c>
      <c r="C868" s="86" t="str">
        <f t="shared" ca="1" si="189"/>
        <v>MOHAMMAD IJAN</v>
      </c>
      <c r="D868" s="86" t="str">
        <f t="shared" ca="1" si="190"/>
        <v>BADF</v>
      </c>
      <c r="E868" s="86">
        <f t="shared" ca="1" si="191"/>
        <v>3</v>
      </c>
    </row>
    <row r="869" spans="1:8" ht="14.25" x14ac:dyDescent="0.45">
      <c r="A869" s="86">
        <f ca="1"/>
        <v>8</v>
      </c>
      <c r="B869" s="86" t="str">
        <f ca="1"/>
        <v>B142</v>
      </c>
      <c r="C869" s="86" t="str">
        <f t="shared" ca="1" si="189"/>
        <v>MUHAMMED HAMDAN A.P</v>
      </c>
      <c r="D869" s="86" t="str">
        <f t="shared" ca="1" si="190"/>
        <v>BADF</v>
      </c>
      <c r="E869" s="86">
        <f t="shared" ca="1" si="191"/>
        <v>4</v>
      </c>
    </row>
    <row r="870" spans="1:8" ht="14.25" x14ac:dyDescent="0.45">
      <c r="A870" s="86">
        <f ca="1"/>
        <v>9</v>
      </c>
      <c r="B870" s="86" t="str">
        <f ca="1"/>
        <v>B151</v>
      </c>
      <c r="C870" s="86" t="str">
        <f t="shared" ca="1" si="189"/>
        <v>ABDUL GAFOOR</v>
      </c>
      <c r="D870" s="86" t="str">
        <f t="shared" ca="1" si="190"/>
        <v>BADF</v>
      </c>
      <c r="E870" s="86">
        <f t="shared" ca="1" si="191"/>
        <v>4</v>
      </c>
    </row>
    <row r="871" spans="1:8" ht="14.25" x14ac:dyDescent="0.45">
      <c r="A871" s="86">
        <f ca="1"/>
        <v>10</v>
      </c>
      <c r="B871" s="86" t="str">
        <f ca="1"/>
        <v>B131</v>
      </c>
      <c r="C871" s="86" t="str">
        <f t="shared" ca="1" si="189"/>
        <v>MUHAMMED BASSIM. E</v>
      </c>
      <c r="D871" s="86" t="str">
        <f t="shared" ca="1" si="190"/>
        <v>JARF</v>
      </c>
      <c r="E871" s="86">
        <f t="shared" ca="1" si="191"/>
        <v>3</v>
      </c>
    </row>
    <row r="872" spans="1:8" ht="14.25" x14ac:dyDescent="0.45">
      <c r="A872" s="86">
        <f ca="1"/>
        <v>11</v>
      </c>
      <c r="B872" s="86" t="str">
        <f ca="1"/>
        <v>B148</v>
      </c>
      <c r="C872" s="86" t="str">
        <f t="shared" ca="1" si="189"/>
        <v>MOHAMMED BAQIR TS</v>
      </c>
      <c r="D872" s="86" t="str">
        <f t="shared" ca="1" si="190"/>
        <v>JARF</v>
      </c>
      <c r="E872" s="86">
        <f t="shared" ca="1" si="191"/>
        <v>4</v>
      </c>
    </row>
    <row r="873" spans="1:8" ht="14.25" x14ac:dyDescent="0.45">
      <c r="A873" s="86">
        <f ca="1"/>
        <v>12</v>
      </c>
      <c r="B873" s="86" t="str">
        <f ca="1"/>
        <v>B156</v>
      </c>
      <c r="C873" s="86" t="str">
        <f t="shared" ca="1" si="189"/>
        <v>MOHAMMED ANAS A.A</v>
      </c>
      <c r="D873" s="86" t="str">
        <f t="shared" ca="1" si="190"/>
        <v>JARF</v>
      </c>
      <c r="E873" s="86">
        <f t="shared" ca="1" si="191"/>
        <v>4</v>
      </c>
    </row>
    <row r="874" spans="1:8" ht="14.25" x14ac:dyDescent="0.45">
      <c r="A874" s="84" t="s">
        <v>221</v>
      </c>
      <c r="B874" s="84" t="str">
        <f>VLOOKUP("JN22",f_detailsof_programs,2,FALSE)</f>
        <v>SENTENCE TRANSLATION</v>
      </c>
      <c r="C874" s="84"/>
      <c r="D874" s="84" t="s">
        <v>688</v>
      </c>
      <c r="E874" s="84" t="s">
        <v>485</v>
      </c>
      <c r="F874" s="84"/>
      <c r="G874" s="84"/>
      <c r="H874" s="84"/>
    </row>
    <row r="875" spans="1:8" ht="14.25" x14ac:dyDescent="0.45">
      <c r="A875" s="85" t="s">
        <v>16</v>
      </c>
      <c r="B875" s="85" t="s">
        <v>480</v>
      </c>
      <c r="C875" s="85" t="s">
        <v>18</v>
      </c>
      <c r="D875" s="85" t="s">
        <v>481</v>
      </c>
      <c r="E875" s="85" t="s">
        <v>19</v>
      </c>
      <c r="F875" s="85" t="s">
        <v>482</v>
      </c>
      <c r="G875" s="85" t="s">
        <v>483</v>
      </c>
      <c r="H875" s="85" t="s">
        <v>484</v>
      </c>
    </row>
    <row r="876" spans="1:8" ht="14.25" x14ac:dyDescent="0.45">
      <c r="A876" s="86" cm="1">
        <f t="array" aca="1" ref="A876:A887" ca="1">_xlfn.SEQUENCE(COUNTA(_xlfn.LET(_xlpm.trimmed,OFFSET(f_listof_program_candidates,MATCH("JN22",f_listof_program_codes,0)-1,6,1,),TRANSPOSE(_xlfn._xlws.FILTER(OFFSET(_xlpm.trimmed,0,0,,COUNTA(_xlpm.trimmed)-5),OFFSET(_xlpm.trimmed,0,0,,COUNTA(_xlpm.trimmed)-5)&lt;&gt;0)))))</f>
        <v>1</v>
      </c>
      <c r="B876" s="86" t="str" cm="1">
        <f t="array" aca="1" ref="B876:B887" ca="1">_xlfn.LET(_xlpm.trimmed,OFFSET(f_listof_program_candidates,MATCH("JN22",f_listof_program_codes,0)-1,6,1,),TRANSPOSE(_xlfn._xlws.FILTER(OFFSET(_xlpm.trimmed,0,0,,COUNTA(_xlpm.trimmed)-5),OFFSET(_xlpm.trimmed,0,0,,COUNTA(_xlpm.trimmed)-5)&lt;&gt;0)))</f>
        <v>B102</v>
      </c>
      <c r="C876" s="86" t="str">
        <f t="shared" ref="C876:C887" ca="1" si="192">VLOOKUP(B876,f_detailsof_candidates,2,FALSE)</f>
        <v>AHMAD MUBASHAR</v>
      </c>
      <c r="D876" s="86" t="str">
        <f t="shared" ref="D876:D887" ca="1" si="193">VLOOKUP(B876,f_detailsof_candidates,3,FALSE)</f>
        <v>FANT</v>
      </c>
      <c r="E876" s="86">
        <f t="shared" ref="E876:E887" ca="1" si="194">VLOOKUP(B876,f_detailsof_candidates,5,FALSE)</f>
        <v>3</v>
      </c>
    </row>
    <row r="877" spans="1:8" ht="14.25" x14ac:dyDescent="0.45">
      <c r="A877" s="86">
        <f ca="1"/>
        <v>2</v>
      </c>
      <c r="B877" s="86" t="str">
        <f ca="1"/>
        <v>B120</v>
      </c>
      <c r="C877" s="86" t="str">
        <f t="shared" ca="1" si="192"/>
        <v>MOHAMMED RIYAN</v>
      </c>
      <c r="D877" s="86" t="str">
        <f t="shared" ca="1" si="193"/>
        <v>FANT</v>
      </c>
      <c r="E877" s="86">
        <f t="shared" ca="1" si="194"/>
        <v>3</v>
      </c>
    </row>
    <row r="878" spans="1:8" ht="14.25" x14ac:dyDescent="0.45">
      <c r="A878" s="86">
        <f ca="1"/>
        <v>3</v>
      </c>
      <c r="B878" s="86" t="str">
        <f ca="1"/>
        <v>B157</v>
      </c>
      <c r="C878" s="86" t="str">
        <f t="shared" ca="1" si="192"/>
        <v>MUHAMMED MIHRAZ</v>
      </c>
      <c r="D878" s="86" t="str">
        <f t="shared" ca="1" si="193"/>
        <v>FANT</v>
      </c>
      <c r="E878" s="86">
        <f t="shared" ca="1" si="194"/>
        <v>4</v>
      </c>
    </row>
    <row r="879" spans="1:8" ht="14.25" x14ac:dyDescent="0.45">
      <c r="A879" s="86">
        <f ca="1"/>
        <v>4</v>
      </c>
      <c r="B879" s="86" t="str">
        <f ca="1"/>
        <v>B149</v>
      </c>
      <c r="C879" s="86" t="str">
        <f t="shared" ca="1" si="192"/>
        <v>MUHAMMED FARHAN PH</v>
      </c>
      <c r="D879" s="86" t="str">
        <f t="shared" ca="1" si="193"/>
        <v>DAHF</v>
      </c>
      <c r="E879" s="86">
        <f t="shared" ca="1" si="194"/>
        <v>4</v>
      </c>
    </row>
    <row r="880" spans="1:8" ht="14.25" x14ac:dyDescent="0.45">
      <c r="A880" s="86">
        <f ca="1"/>
        <v>5</v>
      </c>
      <c r="B880" s="86" t="str">
        <f ca="1"/>
        <v>B154</v>
      </c>
      <c r="C880" s="86" t="str">
        <f t="shared" ca="1" si="192"/>
        <v>ABDULLA ALBAS</v>
      </c>
      <c r="D880" s="86" t="str">
        <f t="shared" ca="1" si="193"/>
        <v>DAHF</v>
      </c>
      <c r="E880" s="86">
        <f t="shared" ca="1" si="194"/>
        <v>4</v>
      </c>
    </row>
    <row r="881" spans="1:8" ht="14.25" x14ac:dyDescent="0.45">
      <c r="A881" s="86">
        <f ca="1"/>
        <v>6</v>
      </c>
      <c r="B881" s="86" t="str">
        <f ca="1"/>
        <v>B158</v>
      </c>
      <c r="C881" s="86" t="str">
        <f t="shared" ca="1" si="192"/>
        <v>FADIL MOHAMMED K M</v>
      </c>
      <c r="D881" s="86" t="str">
        <f t="shared" ca="1" si="193"/>
        <v>DAHF</v>
      </c>
      <c r="E881" s="86">
        <f t="shared" ca="1" si="194"/>
        <v>4</v>
      </c>
    </row>
    <row r="882" spans="1:8" ht="14.25" x14ac:dyDescent="0.45">
      <c r="A882" s="86">
        <f ca="1"/>
        <v>7</v>
      </c>
      <c r="B882" s="86" t="str">
        <f ca="1"/>
        <v>B121</v>
      </c>
      <c r="C882" s="86" t="str">
        <f t="shared" ca="1" si="192"/>
        <v>MOHIDDEEN SHAHSHAD</v>
      </c>
      <c r="D882" s="86" t="str">
        <f t="shared" ca="1" si="193"/>
        <v>BADF</v>
      </c>
      <c r="E882" s="86">
        <f t="shared" ca="1" si="194"/>
        <v>3</v>
      </c>
    </row>
    <row r="883" spans="1:8" ht="14.25" x14ac:dyDescent="0.45">
      <c r="A883" s="86">
        <f ca="1"/>
        <v>8</v>
      </c>
      <c r="B883" s="86" t="str">
        <f ca="1"/>
        <v>B128</v>
      </c>
      <c r="C883" s="86" t="str">
        <f t="shared" ca="1" si="192"/>
        <v>MOHAMMED AFNAN</v>
      </c>
      <c r="D883" s="86" t="str">
        <f t="shared" ca="1" si="193"/>
        <v>BADF</v>
      </c>
      <c r="E883" s="86">
        <f t="shared" ca="1" si="194"/>
        <v>3</v>
      </c>
    </row>
    <row r="884" spans="1:8" ht="14.25" x14ac:dyDescent="0.45">
      <c r="A884" s="86">
        <f ca="1"/>
        <v>9</v>
      </c>
      <c r="B884" s="86" t="str">
        <f ca="1"/>
        <v>B138</v>
      </c>
      <c r="C884" s="86" t="str">
        <f t="shared" ca="1" si="192"/>
        <v>HABEEB RAHMAN CA</v>
      </c>
      <c r="D884" s="86" t="str">
        <f t="shared" ca="1" si="193"/>
        <v>BADF</v>
      </c>
      <c r="E884" s="86">
        <f t="shared" ca="1" si="194"/>
        <v>3</v>
      </c>
    </row>
    <row r="885" spans="1:8" ht="14.25" x14ac:dyDescent="0.45">
      <c r="A885" s="86">
        <f ca="1"/>
        <v>10</v>
      </c>
      <c r="B885" s="86" t="str">
        <f ca="1"/>
        <v>B118</v>
      </c>
      <c r="C885" s="86" t="str">
        <f t="shared" ca="1" si="192"/>
        <v>Muhammad Muaaz</v>
      </c>
      <c r="D885" s="86" t="str">
        <f t="shared" ca="1" si="193"/>
        <v>JARF</v>
      </c>
      <c r="E885" s="86">
        <f t="shared" ca="1" si="194"/>
        <v>3</v>
      </c>
    </row>
    <row r="886" spans="1:8" ht="14.25" x14ac:dyDescent="0.45">
      <c r="A886" s="86">
        <f ca="1"/>
        <v>11</v>
      </c>
      <c r="B886" s="86" t="str">
        <f ca="1"/>
        <v>B134</v>
      </c>
      <c r="C886" s="86" t="str">
        <f t="shared" ca="1" si="192"/>
        <v>ABDUL RAHIMAN AZAAN</v>
      </c>
      <c r="D886" s="86" t="str">
        <f t="shared" ca="1" si="193"/>
        <v>JARF</v>
      </c>
      <c r="E886" s="86">
        <f t="shared" ca="1" si="194"/>
        <v>3</v>
      </c>
    </row>
    <row r="887" spans="1:8" ht="14.25" x14ac:dyDescent="0.45">
      <c r="A887" s="86">
        <f ca="1"/>
        <v>12</v>
      </c>
      <c r="B887" s="86" t="str">
        <f ca="1"/>
        <v>B163</v>
      </c>
      <c r="C887" s="86" t="str">
        <f t="shared" ca="1" si="192"/>
        <v>MOHAMMED YOUNUS</v>
      </c>
      <c r="D887" s="86" t="str">
        <f t="shared" ca="1" si="193"/>
        <v>JARF</v>
      </c>
      <c r="E887" s="86">
        <f t="shared" ca="1" si="194"/>
        <v>4</v>
      </c>
    </row>
    <row r="888" spans="1:8" ht="14.25" x14ac:dyDescent="0.45">
      <c r="A888" s="84" t="s">
        <v>223</v>
      </c>
      <c r="B888" s="84" t="str">
        <f>VLOOKUP("JN23",f_detailsof_programs,2,FALSE)</f>
        <v>SHORT STORY ARB</v>
      </c>
      <c r="C888" s="84"/>
      <c r="D888" s="84" t="s">
        <v>688</v>
      </c>
      <c r="E888" s="84" t="s">
        <v>485</v>
      </c>
      <c r="F888" s="84"/>
      <c r="G888" s="84"/>
      <c r="H888" s="84"/>
    </row>
    <row r="889" spans="1:8" ht="14.25" x14ac:dyDescent="0.45">
      <c r="A889" s="85" t="s">
        <v>16</v>
      </c>
      <c r="B889" s="85" t="s">
        <v>480</v>
      </c>
      <c r="C889" s="85" t="s">
        <v>18</v>
      </c>
      <c r="D889" s="85" t="s">
        <v>481</v>
      </c>
      <c r="E889" s="85" t="s">
        <v>19</v>
      </c>
      <c r="F889" s="85" t="s">
        <v>482</v>
      </c>
      <c r="G889" s="85" t="s">
        <v>483</v>
      </c>
      <c r="H889" s="85" t="s">
        <v>484</v>
      </c>
    </row>
    <row r="890" spans="1:8" ht="14.25" x14ac:dyDescent="0.45">
      <c r="A890" s="86" cm="1">
        <f t="array" aca="1" ref="A890:A901" ca="1">_xlfn.SEQUENCE(COUNTA(_xlfn.LET(_xlpm.trimmed,OFFSET(f_listof_program_candidates,MATCH("JN23",f_listof_program_codes,0)-1,6,1,),TRANSPOSE(_xlfn._xlws.FILTER(OFFSET(_xlpm.trimmed,0,0,,COUNTA(_xlpm.trimmed)-5),OFFSET(_xlpm.trimmed,0,0,,COUNTA(_xlpm.trimmed)-5)&lt;&gt;0)))))</f>
        <v>1</v>
      </c>
      <c r="B890" s="86" t="str" cm="1">
        <f t="array" aca="1" ref="B890:B901" ca="1">_xlfn.LET(_xlpm.trimmed,OFFSET(f_listof_program_candidates,MATCH("JN23",f_listof_program_codes,0)-1,6,1,),TRANSPOSE(_xlfn._xlws.FILTER(OFFSET(_xlpm.trimmed,0,0,,COUNTA(_xlpm.trimmed)-5),OFFSET(_xlpm.trimmed,0,0,,COUNTA(_xlpm.trimmed)-5)&lt;&gt;0)))</f>
        <v>B135</v>
      </c>
      <c r="C890" s="86" t="str">
        <f t="shared" ref="C890:C901" ca="1" si="195">VLOOKUP(B890,f_detailsof_candidates,2,FALSE)</f>
        <v>MOHAMMED RAFIH M R</v>
      </c>
      <c r="D890" s="86" t="str">
        <f t="shared" ref="D890:D901" ca="1" si="196">VLOOKUP(B890,f_detailsof_candidates,3,FALSE)</f>
        <v>FANT</v>
      </c>
      <c r="E890" s="86">
        <f t="shared" ref="E890:E901" ca="1" si="197">VLOOKUP(B890,f_detailsof_candidates,5,FALSE)</f>
        <v>3</v>
      </c>
    </row>
    <row r="891" spans="1:8" ht="14.25" x14ac:dyDescent="0.45">
      <c r="A891" s="86">
        <f ca="1"/>
        <v>2</v>
      </c>
      <c r="B891" s="86" t="str">
        <f ca="1"/>
        <v>B144</v>
      </c>
      <c r="C891" s="86" t="str">
        <f t="shared" ca="1" si="195"/>
        <v>MUHAMMED NAFIH CI</v>
      </c>
      <c r="D891" s="86" t="str">
        <f t="shared" ca="1" si="196"/>
        <v>FANT</v>
      </c>
      <c r="E891" s="86">
        <f t="shared" ca="1" si="197"/>
        <v>4</v>
      </c>
    </row>
    <row r="892" spans="1:8" ht="14.25" x14ac:dyDescent="0.45">
      <c r="A892" s="86">
        <f ca="1"/>
        <v>3</v>
      </c>
      <c r="B892" s="86" t="str">
        <f ca="1"/>
        <v>B145</v>
      </c>
      <c r="C892" s="86" t="str">
        <f t="shared" ca="1" si="195"/>
        <v>YASEEN NOORULLA PH</v>
      </c>
      <c r="D892" s="86" t="str">
        <f t="shared" ca="1" si="196"/>
        <v>FANT</v>
      </c>
      <c r="E892" s="86">
        <f t="shared" ca="1" si="197"/>
        <v>4</v>
      </c>
    </row>
    <row r="893" spans="1:8" ht="14.25" x14ac:dyDescent="0.45">
      <c r="A893" s="86">
        <f ca="1"/>
        <v>4</v>
      </c>
      <c r="B893" s="86" t="str">
        <f ca="1"/>
        <v>B125</v>
      </c>
      <c r="C893" s="86" t="str">
        <f t="shared" ca="1" si="195"/>
        <v>MUHAMMED SHANIFM P</v>
      </c>
      <c r="D893" s="86" t="str">
        <f t="shared" ca="1" si="196"/>
        <v>DAHF</v>
      </c>
      <c r="E893" s="86">
        <f t="shared" ca="1" si="197"/>
        <v>3</v>
      </c>
    </row>
    <row r="894" spans="1:8" ht="14.25" x14ac:dyDescent="0.45">
      <c r="A894" s="86">
        <f ca="1"/>
        <v>5</v>
      </c>
      <c r="B894" s="86" t="str">
        <f ca="1"/>
        <v>B139</v>
      </c>
      <c r="C894" s="86" t="str">
        <f t="shared" ca="1" si="195"/>
        <v>Muhammad</v>
      </c>
      <c r="D894" s="86" t="str">
        <f t="shared" ca="1" si="196"/>
        <v>DAHF</v>
      </c>
      <c r="E894" s="86">
        <f t="shared" ca="1" si="197"/>
        <v>3</v>
      </c>
    </row>
    <row r="895" spans="1:8" ht="14.25" x14ac:dyDescent="0.45">
      <c r="A895" s="86">
        <f ca="1"/>
        <v>6</v>
      </c>
      <c r="B895" s="86" t="str">
        <f ca="1"/>
        <v>B149</v>
      </c>
      <c r="C895" s="86" t="str">
        <f t="shared" ca="1" si="195"/>
        <v>MUHAMMED FARHAN PH</v>
      </c>
      <c r="D895" s="86" t="str">
        <f t="shared" ca="1" si="196"/>
        <v>DAHF</v>
      </c>
      <c r="E895" s="86">
        <f t="shared" ca="1" si="197"/>
        <v>4</v>
      </c>
    </row>
    <row r="896" spans="1:8" ht="14.25" x14ac:dyDescent="0.45">
      <c r="A896" s="86">
        <f ca="1"/>
        <v>7</v>
      </c>
      <c r="B896" s="86" t="str">
        <f ca="1"/>
        <v>B100</v>
      </c>
      <c r="C896" s="86" t="str">
        <f t="shared" ca="1" si="195"/>
        <v>ZAINUL ABID K</v>
      </c>
      <c r="D896" s="86" t="str">
        <f t="shared" ca="1" si="196"/>
        <v>BADF</v>
      </c>
      <c r="E896" s="86">
        <f t="shared" ca="1" si="197"/>
        <v>3</v>
      </c>
    </row>
    <row r="897" spans="1:8" ht="14.25" x14ac:dyDescent="0.45">
      <c r="A897" s="86">
        <f ca="1"/>
        <v>8</v>
      </c>
      <c r="B897" s="86" t="str">
        <f ca="1"/>
        <v>B128</v>
      </c>
      <c r="C897" s="86" t="str">
        <f t="shared" ca="1" si="195"/>
        <v>MOHAMMED AFNAN</v>
      </c>
      <c r="D897" s="86" t="str">
        <f t="shared" ca="1" si="196"/>
        <v>BADF</v>
      </c>
      <c r="E897" s="86">
        <f t="shared" ca="1" si="197"/>
        <v>3</v>
      </c>
    </row>
    <row r="898" spans="1:8" ht="14.25" x14ac:dyDescent="0.45">
      <c r="A898" s="86">
        <f ca="1"/>
        <v>9</v>
      </c>
      <c r="B898" s="86" t="str">
        <f ca="1"/>
        <v>B121</v>
      </c>
      <c r="C898" s="86" t="str">
        <f t="shared" ca="1" si="195"/>
        <v>MOHIDDEEN SHAHSHAD</v>
      </c>
      <c r="D898" s="86" t="str">
        <f t="shared" ca="1" si="196"/>
        <v>BADF</v>
      </c>
      <c r="E898" s="86">
        <f t="shared" ca="1" si="197"/>
        <v>3</v>
      </c>
    </row>
    <row r="899" spans="1:8" ht="14.25" x14ac:dyDescent="0.45">
      <c r="A899" s="86">
        <f ca="1"/>
        <v>10</v>
      </c>
      <c r="B899" s="86" t="str">
        <f ca="1"/>
        <v>B160</v>
      </c>
      <c r="C899" s="86" t="str">
        <f t="shared" ca="1" si="195"/>
        <v>MOHAMMED DAWOOD K</v>
      </c>
      <c r="D899" s="86" t="str">
        <f t="shared" ca="1" si="196"/>
        <v>JARF</v>
      </c>
      <c r="E899" s="86">
        <f t="shared" ca="1" si="197"/>
        <v>4</v>
      </c>
    </row>
    <row r="900" spans="1:8" ht="14.25" x14ac:dyDescent="0.45">
      <c r="A900" s="86">
        <f ca="1"/>
        <v>11</v>
      </c>
      <c r="B900" s="86" t="str">
        <f ca="1"/>
        <v>B107</v>
      </c>
      <c r="C900" s="86" t="str">
        <f t="shared" ca="1" si="195"/>
        <v>MUHAMMED ZAMIL</v>
      </c>
      <c r="D900" s="86" t="str">
        <f t="shared" ca="1" si="196"/>
        <v>JARF</v>
      </c>
      <c r="E900" s="86">
        <f t="shared" ca="1" si="197"/>
        <v>3</v>
      </c>
    </row>
    <row r="901" spans="1:8" ht="14.25" x14ac:dyDescent="0.45">
      <c r="A901" s="86">
        <f ca="1"/>
        <v>12</v>
      </c>
      <c r="B901" s="86" t="str">
        <f ca="1"/>
        <v>B163</v>
      </c>
      <c r="C901" s="86" t="str">
        <f t="shared" ca="1" si="195"/>
        <v>MOHAMMED YOUNUS</v>
      </c>
      <c r="D901" s="86" t="str">
        <f t="shared" ca="1" si="196"/>
        <v>JARF</v>
      </c>
      <c r="E901" s="86">
        <f t="shared" ca="1" si="197"/>
        <v>4</v>
      </c>
    </row>
    <row r="902" spans="1:8" ht="14.25" x14ac:dyDescent="0.45">
      <c r="A902" s="84" t="s">
        <v>225</v>
      </c>
      <c r="B902" s="84" t="str">
        <f>VLOOKUP("JN24",f_detailsof_programs,2,FALSE)</f>
        <v>SHORT STORY ENG</v>
      </c>
      <c r="C902" s="84"/>
      <c r="D902" s="84" t="s">
        <v>688</v>
      </c>
      <c r="E902" s="84" t="s">
        <v>485</v>
      </c>
      <c r="F902" s="84"/>
      <c r="G902" s="84"/>
      <c r="H902" s="84"/>
    </row>
    <row r="903" spans="1:8" ht="14.25" x14ac:dyDescent="0.45">
      <c r="A903" s="85" t="s">
        <v>16</v>
      </c>
      <c r="B903" s="85" t="s">
        <v>480</v>
      </c>
      <c r="C903" s="85" t="s">
        <v>18</v>
      </c>
      <c r="D903" s="85" t="s">
        <v>481</v>
      </c>
      <c r="E903" s="85" t="s">
        <v>19</v>
      </c>
      <c r="F903" s="85" t="s">
        <v>482</v>
      </c>
      <c r="G903" s="85" t="s">
        <v>483</v>
      </c>
      <c r="H903" s="85" t="s">
        <v>484</v>
      </c>
    </row>
    <row r="904" spans="1:8" ht="14.25" x14ac:dyDescent="0.45">
      <c r="A904" s="86" cm="1">
        <f t="array" aca="1" ref="A904:A915" ca="1">_xlfn.SEQUENCE(COUNTA(_xlfn.LET(_xlpm.trimmed,OFFSET(f_listof_program_candidates,MATCH("JN24",f_listof_program_codes,0)-1,6,1,),TRANSPOSE(_xlfn._xlws.FILTER(OFFSET(_xlpm.trimmed,0,0,,COUNTA(_xlpm.trimmed)-5),OFFSET(_xlpm.trimmed,0,0,,COUNTA(_xlpm.trimmed)-5)&lt;&gt;0)))))</f>
        <v>1</v>
      </c>
      <c r="B904" s="86" t="str" cm="1">
        <f t="array" aca="1" ref="B904:B915" ca="1">_xlfn.LET(_xlpm.trimmed,OFFSET(f_listof_program_candidates,MATCH("JN24",f_listof_program_codes,0)-1,6,1,),TRANSPOSE(_xlfn._xlws.FILTER(OFFSET(_xlpm.trimmed,0,0,,COUNTA(_xlpm.trimmed)-5),OFFSET(_xlpm.trimmed,0,0,,COUNTA(_xlpm.trimmed)-5)&lt;&gt;0)))</f>
        <v>B111</v>
      </c>
      <c r="C904" s="86" t="str">
        <f t="shared" ref="C904:C915" ca="1" si="198">VLOOKUP(B904,f_detailsof_candidates,2,FALSE)</f>
        <v>MUHAMMED SAHEEM ASHRAF</v>
      </c>
      <c r="D904" s="86" t="str">
        <f t="shared" ref="D904:D915" ca="1" si="199">VLOOKUP(B904,f_detailsof_candidates,3,FALSE)</f>
        <v>FANT</v>
      </c>
      <c r="E904" s="86">
        <f t="shared" ref="E904:E915" ca="1" si="200">VLOOKUP(B904,f_detailsof_candidates,5,FALSE)</f>
        <v>3</v>
      </c>
    </row>
    <row r="905" spans="1:8" ht="14.25" x14ac:dyDescent="0.45">
      <c r="A905" s="86">
        <f ca="1"/>
        <v>2</v>
      </c>
      <c r="B905" s="86" t="str">
        <f ca="1"/>
        <v>B112</v>
      </c>
      <c r="C905" s="86" t="str">
        <f t="shared" ca="1" si="198"/>
        <v>SHARAZ AHAMMED</v>
      </c>
      <c r="D905" s="86" t="str">
        <f t="shared" ca="1" si="199"/>
        <v>FANT</v>
      </c>
      <c r="E905" s="86">
        <f t="shared" ca="1" si="200"/>
        <v>3</v>
      </c>
    </row>
    <row r="906" spans="1:8" ht="14.25" x14ac:dyDescent="0.45">
      <c r="A906" s="86">
        <f ca="1"/>
        <v>3</v>
      </c>
      <c r="B906" s="86" t="str">
        <f ca="1"/>
        <v>B123</v>
      </c>
      <c r="C906" s="86" t="str">
        <f t="shared" ca="1" si="198"/>
        <v>MUHAMMED YASEEN</v>
      </c>
      <c r="D906" s="86" t="str">
        <f t="shared" ca="1" si="199"/>
        <v>FANT</v>
      </c>
      <c r="E906" s="86">
        <f t="shared" ca="1" si="200"/>
        <v>3</v>
      </c>
    </row>
    <row r="907" spans="1:8" ht="14.25" x14ac:dyDescent="0.45">
      <c r="A907" s="86">
        <f ca="1"/>
        <v>4</v>
      </c>
      <c r="B907" s="86" t="str">
        <f ca="1"/>
        <v>B161</v>
      </c>
      <c r="C907" s="86" t="str">
        <f t="shared" ca="1" si="198"/>
        <v>MUHAMMED RAZI TM</v>
      </c>
      <c r="D907" s="86" t="str">
        <f t="shared" ca="1" si="199"/>
        <v>DAHF</v>
      </c>
      <c r="E907" s="86">
        <f t="shared" ca="1" si="200"/>
        <v>4</v>
      </c>
    </row>
    <row r="908" spans="1:8" ht="14.25" x14ac:dyDescent="0.45">
      <c r="A908" s="86">
        <f ca="1"/>
        <v>5</v>
      </c>
      <c r="B908" s="86" t="str">
        <f ca="1"/>
        <v>B127</v>
      </c>
      <c r="C908" s="86" t="str">
        <f t="shared" ca="1" si="198"/>
        <v>THANSEEHU RAHMAN</v>
      </c>
      <c r="D908" s="86" t="str">
        <f t="shared" ca="1" si="199"/>
        <v>DAHF</v>
      </c>
      <c r="E908" s="86">
        <f t="shared" ca="1" si="200"/>
        <v>3</v>
      </c>
    </row>
    <row r="909" spans="1:8" ht="14.25" x14ac:dyDescent="0.45">
      <c r="A909" s="86">
        <f ca="1"/>
        <v>6</v>
      </c>
      <c r="B909" s="86" t="str">
        <f ca="1"/>
        <v>B159</v>
      </c>
      <c r="C909" s="86" t="str">
        <f t="shared" ca="1" si="198"/>
        <v>AJMAL AHMED MT</v>
      </c>
      <c r="D909" s="86" t="str">
        <f t="shared" ca="1" si="199"/>
        <v>DAHF</v>
      </c>
      <c r="E909" s="86">
        <f t="shared" ca="1" si="200"/>
        <v>4</v>
      </c>
    </row>
    <row r="910" spans="1:8" ht="14.25" x14ac:dyDescent="0.45">
      <c r="A910" s="86">
        <f ca="1"/>
        <v>7</v>
      </c>
      <c r="B910" s="86" t="str">
        <f ca="1"/>
        <v>B100</v>
      </c>
      <c r="C910" s="86" t="str">
        <f t="shared" ca="1" si="198"/>
        <v>ZAINUL ABID K</v>
      </c>
      <c r="D910" s="86" t="str">
        <f t="shared" ca="1" si="199"/>
        <v>BADF</v>
      </c>
      <c r="E910" s="86">
        <f t="shared" ca="1" si="200"/>
        <v>3</v>
      </c>
    </row>
    <row r="911" spans="1:8" ht="14.25" x14ac:dyDescent="0.45">
      <c r="A911" s="86">
        <f ca="1"/>
        <v>8</v>
      </c>
      <c r="B911" s="86" t="str">
        <f ca="1"/>
        <v>B140</v>
      </c>
      <c r="C911" s="86" t="str">
        <f t="shared" ca="1" si="198"/>
        <v>MOHAMMED SHAHID</v>
      </c>
      <c r="D911" s="86" t="str">
        <f t="shared" ca="1" si="199"/>
        <v>BADF</v>
      </c>
      <c r="E911" s="86">
        <f t="shared" ca="1" si="200"/>
        <v>4</v>
      </c>
    </row>
    <row r="912" spans="1:8" ht="14.25" x14ac:dyDescent="0.45">
      <c r="A912" s="86">
        <f ca="1"/>
        <v>9</v>
      </c>
      <c r="B912" s="86" t="str">
        <f ca="1"/>
        <v>B142</v>
      </c>
      <c r="C912" s="86" t="str">
        <f t="shared" ca="1" si="198"/>
        <v>MUHAMMED HAMDAN A.P</v>
      </c>
      <c r="D912" s="86" t="str">
        <f t="shared" ca="1" si="199"/>
        <v>BADF</v>
      </c>
      <c r="E912" s="86">
        <f t="shared" ca="1" si="200"/>
        <v>4</v>
      </c>
    </row>
    <row r="913" spans="1:8" ht="14.25" x14ac:dyDescent="0.45">
      <c r="A913" s="86">
        <f ca="1"/>
        <v>10</v>
      </c>
      <c r="B913" s="86" t="str">
        <f ca="1"/>
        <v>B107</v>
      </c>
      <c r="C913" s="86" t="str">
        <f t="shared" ca="1" si="198"/>
        <v>MUHAMMED ZAMIL</v>
      </c>
      <c r="D913" s="86" t="str">
        <f t="shared" ca="1" si="199"/>
        <v>JARF</v>
      </c>
      <c r="E913" s="86">
        <f t="shared" ca="1" si="200"/>
        <v>3</v>
      </c>
    </row>
    <row r="914" spans="1:8" ht="14.25" x14ac:dyDescent="0.45">
      <c r="A914" s="86">
        <f ca="1"/>
        <v>11</v>
      </c>
      <c r="B914" s="86" t="str">
        <f ca="1"/>
        <v>B133</v>
      </c>
      <c r="C914" s="86" t="str">
        <f t="shared" ca="1" si="198"/>
        <v>MEERAN MOHIUDHEEN RAFIH</v>
      </c>
      <c r="D914" s="86" t="str">
        <f t="shared" ca="1" si="199"/>
        <v>JARF</v>
      </c>
      <c r="E914" s="86">
        <f t="shared" ca="1" si="200"/>
        <v>3</v>
      </c>
    </row>
    <row r="915" spans="1:8" ht="14.25" x14ac:dyDescent="0.45">
      <c r="A915" s="86">
        <f ca="1"/>
        <v>12</v>
      </c>
      <c r="B915" s="86" t="str">
        <f ca="1"/>
        <v>B134</v>
      </c>
      <c r="C915" s="86" t="str">
        <f t="shared" ca="1" si="198"/>
        <v>ABDUL RAHIMAN AZAAN</v>
      </c>
      <c r="D915" s="86" t="str">
        <f t="shared" ca="1" si="199"/>
        <v>JARF</v>
      </c>
      <c r="E915" s="86">
        <f t="shared" ca="1" si="200"/>
        <v>3</v>
      </c>
    </row>
    <row r="916" spans="1:8" ht="14.25" x14ac:dyDescent="0.45">
      <c r="A916" s="84" t="s">
        <v>227</v>
      </c>
      <c r="B916" s="84" t="str">
        <f>VLOOKUP("JN25",f_detailsof_programs,2,FALSE)</f>
        <v>SHORT STORY MLM</v>
      </c>
      <c r="C916" s="84"/>
      <c r="D916" s="84" t="s">
        <v>688</v>
      </c>
      <c r="E916" s="84" t="s">
        <v>485</v>
      </c>
      <c r="F916" s="84"/>
      <c r="G916" s="84"/>
      <c r="H916" s="84"/>
    </row>
    <row r="917" spans="1:8" ht="14.25" x14ac:dyDescent="0.45">
      <c r="A917" s="85" t="s">
        <v>16</v>
      </c>
      <c r="B917" s="85" t="s">
        <v>480</v>
      </c>
      <c r="C917" s="85" t="s">
        <v>18</v>
      </c>
      <c r="D917" s="85" t="s">
        <v>481</v>
      </c>
      <c r="E917" s="85" t="s">
        <v>19</v>
      </c>
      <c r="F917" s="85" t="s">
        <v>482</v>
      </c>
      <c r="G917" s="85" t="s">
        <v>483</v>
      </c>
      <c r="H917" s="85" t="s">
        <v>484</v>
      </c>
    </row>
    <row r="918" spans="1:8" ht="14.25" x14ac:dyDescent="0.45">
      <c r="A918" s="86" cm="1">
        <f t="array" aca="1" ref="A918:A929" ca="1">_xlfn.SEQUENCE(COUNTA(_xlfn.LET(_xlpm.trimmed,OFFSET(f_listof_program_candidates,MATCH("JN25",f_listof_program_codes,0)-1,6,1,),TRANSPOSE(_xlfn._xlws.FILTER(OFFSET(_xlpm.trimmed,0,0,,COUNTA(_xlpm.trimmed)-5),OFFSET(_xlpm.trimmed,0,0,,COUNTA(_xlpm.trimmed)-5)&lt;&gt;0)))))</f>
        <v>1</v>
      </c>
      <c r="B918" s="86" t="str" cm="1">
        <f t="array" aca="1" ref="B918:B929" ca="1">_xlfn.LET(_xlpm.trimmed,OFFSET(f_listof_program_candidates,MATCH("JN25",f_listof_program_codes,0)-1,6,1,),TRANSPOSE(_xlfn._xlws.FILTER(OFFSET(_xlpm.trimmed,0,0,,COUNTA(_xlpm.trimmed)-5),OFFSET(_xlpm.trimmed,0,0,,COUNTA(_xlpm.trimmed)-5)&lt;&gt;0)))</f>
        <v>B115</v>
      </c>
      <c r="C918" s="86" t="str">
        <f t="shared" ref="C918:C929" ca="1" si="201">VLOOKUP(B918,f_detailsof_candidates,2,FALSE)</f>
        <v>HASSAN SAHAL N A</v>
      </c>
      <c r="D918" s="86" t="str">
        <f t="shared" ref="D918:D929" ca="1" si="202">VLOOKUP(B918,f_detailsof_candidates,3,FALSE)</f>
        <v>FANT</v>
      </c>
      <c r="E918" s="86">
        <f t="shared" ref="E918:E929" ca="1" si="203">VLOOKUP(B918,f_detailsof_candidates,5,FALSE)</f>
        <v>3</v>
      </c>
    </row>
    <row r="919" spans="1:8" ht="14.25" x14ac:dyDescent="0.45">
      <c r="A919" s="86">
        <f ca="1"/>
        <v>2</v>
      </c>
      <c r="B919" s="86" t="str">
        <f ca="1"/>
        <v>B143</v>
      </c>
      <c r="C919" s="86" t="str">
        <f t="shared" ca="1" si="201"/>
        <v>MOHAMMED SHADIL AP</v>
      </c>
      <c r="D919" s="86" t="str">
        <f t="shared" ca="1" si="202"/>
        <v>FANT</v>
      </c>
      <c r="E919" s="86">
        <f t="shared" ca="1" si="203"/>
        <v>4</v>
      </c>
    </row>
    <row r="920" spans="1:8" ht="14.25" x14ac:dyDescent="0.45">
      <c r="A920" s="86">
        <f ca="1"/>
        <v>3</v>
      </c>
      <c r="B920" s="86" t="str">
        <f ca="1"/>
        <v>B150</v>
      </c>
      <c r="C920" s="86" t="str">
        <f t="shared" ca="1" si="201"/>
        <v>ABDULLA FAHAD T.U</v>
      </c>
      <c r="D920" s="86" t="str">
        <f t="shared" ca="1" si="202"/>
        <v>FANT</v>
      </c>
      <c r="E920" s="86">
        <f t="shared" ca="1" si="203"/>
        <v>4</v>
      </c>
    </row>
    <row r="921" spans="1:8" ht="14.25" x14ac:dyDescent="0.45">
      <c r="A921" s="86">
        <f ca="1"/>
        <v>4</v>
      </c>
      <c r="B921" s="86" t="str">
        <f ca="1"/>
        <v>B109</v>
      </c>
      <c r="C921" s="86" t="str">
        <f t="shared" ca="1" si="201"/>
        <v>AHAMMED SAFAR ZAKARIYA</v>
      </c>
      <c r="D921" s="86" t="str">
        <f t="shared" ca="1" si="202"/>
        <v>DAHF</v>
      </c>
      <c r="E921" s="86">
        <f t="shared" ca="1" si="203"/>
        <v>3</v>
      </c>
    </row>
    <row r="922" spans="1:8" ht="14.25" x14ac:dyDescent="0.45">
      <c r="A922" s="86">
        <f ca="1"/>
        <v>5</v>
      </c>
      <c r="B922" s="86" t="str">
        <f ca="1"/>
        <v>B114</v>
      </c>
      <c r="C922" s="86" t="str">
        <f t="shared" ca="1" si="201"/>
        <v>AMEEN RAHMAN MTP</v>
      </c>
      <c r="D922" s="86" t="str">
        <f t="shared" ca="1" si="202"/>
        <v>DAHF</v>
      </c>
      <c r="E922" s="86">
        <f t="shared" ca="1" si="203"/>
        <v>3</v>
      </c>
    </row>
    <row r="923" spans="1:8" ht="14.25" x14ac:dyDescent="0.45">
      <c r="A923" s="86">
        <f ca="1"/>
        <v>6</v>
      </c>
      <c r="B923" s="86" t="str">
        <f ca="1"/>
        <v>B132</v>
      </c>
      <c r="C923" s="86" t="str">
        <f t="shared" ca="1" si="201"/>
        <v>MUHAMMED SAEED THUFAIL</v>
      </c>
      <c r="D923" s="86" t="str">
        <f t="shared" ca="1" si="202"/>
        <v>DAHF</v>
      </c>
      <c r="E923" s="86">
        <f t="shared" ca="1" si="203"/>
        <v>3</v>
      </c>
    </row>
    <row r="924" spans="1:8" ht="14.25" x14ac:dyDescent="0.45">
      <c r="A924" s="86">
        <f ca="1"/>
        <v>7</v>
      </c>
      <c r="B924" s="86" t="str">
        <f ca="1"/>
        <v>B138</v>
      </c>
      <c r="C924" s="86" t="str">
        <f t="shared" ca="1" si="201"/>
        <v>HABEEB RAHMAN CA</v>
      </c>
      <c r="D924" s="86" t="str">
        <f t="shared" ca="1" si="202"/>
        <v>BADF</v>
      </c>
      <c r="E924" s="86">
        <f t="shared" ca="1" si="203"/>
        <v>3</v>
      </c>
    </row>
    <row r="925" spans="1:8" ht="14.25" x14ac:dyDescent="0.45">
      <c r="A925" s="86">
        <f ca="1"/>
        <v>8</v>
      </c>
      <c r="B925" s="86" t="str">
        <f ca="1"/>
        <v>B146</v>
      </c>
      <c r="C925" s="86" t="str">
        <f t="shared" ca="1" si="201"/>
        <v>WASEEM NIHAD A M</v>
      </c>
      <c r="D925" s="86" t="str">
        <f t="shared" ca="1" si="202"/>
        <v>BADF</v>
      </c>
      <c r="E925" s="86">
        <f t="shared" ca="1" si="203"/>
        <v>4</v>
      </c>
    </row>
    <row r="926" spans="1:8" ht="14.25" x14ac:dyDescent="0.45">
      <c r="A926" s="86">
        <f ca="1"/>
        <v>9</v>
      </c>
      <c r="B926" s="86" t="str">
        <f ca="1"/>
        <v>B164</v>
      </c>
      <c r="C926" s="86" t="str">
        <f t="shared" ca="1" si="201"/>
        <v>RASALUL AMEEN T</v>
      </c>
      <c r="D926" s="86" t="str">
        <f t="shared" ca="1" si="202"/>
        <v>BADF</v>
      </c>
      <c r="E926" s="86">
        <f t="shared" ca="1" si="203"/>
        <v>4</v>
      </c>
    </row>
    <row r="927" spans="1:8" ht="14.25" x14ac:dyDescent="0.45">
      <c r="A927" s="86">
        <f ca="1"/>
        <v>10</v>
      </c>
      <c r="B927" s="86" t="str">
        <f ca="1"/>
        <v>B108</v>
      </c>
      <c r="C927" s="86" t="str">
        <f t="shared" ca="1" si="201"/>
        <v>ABDUL RAHIMAN FAIZ T A</v>
      </c>
      <c r="D927" s="86" t="str">
        <f t="shared" ca="1" si="202"/>
        <v>JARF</v>
      </c>
      <c r="E927" s="86">
        <f t="shared" ca="1" si="203"/>
        <v>3</v>
      </c>
    </row>
    <row r="928" spans="1:8" ht="14.25" x14ac:dyDescent="0.45">
      <c r="A928" s="86">
        <f ca="1"/>
        <v>11</v>
      </c>
      <c r="B928" s="86" t="str">
        <f ca="1"/>
        <v>B116</v>
      </c>
      <c r="C928" s="86" t="str">
        <f t="shared" ca="1" si="201"/>
        <v>MOHAMMED SABIK BM</v>
      </c>
      <c r="D928" s="86" t="str">
        <f t="shared" ca="1" si="202"/>
        <v>JARF</v>
      </c>
      <c r="E928" s="86">
        <f t="shared" ca="1" si="203"/>
        <v>3</v>
      </c>
    </row>
    <row r="929" spans="1:8" ht="14.25" x14ac:dyDescent="0.45">
      <c r="A929" s="86">
        <f ca="1"/>
        <v>12</v>
      </c>
      <c r="B929" s="86" t="str">
        <f ca="1"/>
        <v>B148</v>
      </c>
      <c r="C929" s="86" t="str">
        <f t="shared" ca="1" si="201"/>
        <v>MOHAMMED BAQIR TS</v>
      </c>
      <c r="D929" s="86" t="str">
        <f t="shared" ca="1" si="202"/>
        <v>JARF</v>
      </c>
      <c r="E929" s="86">
        <f t="shared" ca="1" si="203"/>
        <v>4</v>
      </c>
    </row>
    <row r="930" spans="1:8" ht="14.25" x14ac:dyDescent="0.45">
      <c r="A930" s="84" t="s">
        <v>228</v>
      </c>
      <c r="B930" s="84" t="str">
        <f>VLOOKUP("JN26",f_detailsof_programs,2,FALSE)</f>
        <v>SPELLING BEE</v>
      </c>
      <c r="C930" s="84"/>
      <c r="D930" s="84" t="s">
        <v>688</v>
      </c>
      <c r="E930" s="84" t="s">
        <v>485</v>
      </c>
      <c r="F930" s="84"/>
      <c r="G930" s="84"/>
      <c r="H930" s="84"/>
    </row>
    <row r="931" spans="1:8" ht="14.25" x14ac:dyDescent="0.45">
      <c r="A931" s="85" t="s">
        <v>16</v>
      </c>
      <c r="B931" s="85" t="s">
        <v>480</v>
      </c>
      <c r="C931" s="85" t="s">
        <v>18</v>
      </c>
      <c r="D931" s="85" t="s">
        <v>481</v>
      </c>
      <c r="E931" s="85" t="s">
        <v>19</v>
      </c>
      <c r="F931" s="85" t="s">
        <v>482</v>
      </c>
      <c r="G931" s="85" t="s">
        <v>483</v>
      </c>
      <c r="H931" s="85" t="s">
        <v>484</v>
      </c>
    </row>
    <row r="932" spans="1:8" ht="14.25" x14ac:dyDescent="0.45">
      <c r="A932" s="86" cm="1">
        <f t="array" aca="1" ref="A932:A943" ca="1">_xlfn.SEQUENCE(COUNTA(_xlfn.LET(_xlpm.trimmed,OFFSET(f_listof_program_candidates,MATCH("JN26",f_listof_program_codes,0)-1,6,1,),TRANSPOSE(_xlfn._xlws.FILTER(OFFSET(_xlpm.trimmed,0,0,,COUNTA(_xlpm.trimmed)-5),OFFSET(_xlpm.trimmed,0,0,,COUNTA(_xlpm.trimmed)-5)&lt;&gt;0)))))</f>
        <v>1</v>
      </c>
      <c r="B932" s="86" t="str" cm="1">
        <f t="array" aca="1" ref="B932:B943" ca="1">_xlfn.LET(_xlpm.trimmed,OFFSET(f_listof_program_candidates,MATCH("JN26",f_listof_program_codes,0)-1,6,1,),TRANSPOSE(_xlfn._xlws.FILTER(OFFSET(_xlpm.trimmed,0,0,,COUNTA(_xlpm.trimmed)-5),OFFSET(_xlpm.trimmed,0,0,,COUNTA(_xlpm.trimmed)-5)&lt;&gt;0)))</f>
        <v>B112</v>
      </c>
      <c r="C932" s="86" t="str">
        <f t="shared" ref="C932:C943" ca="1" si="204">VLOOKUP(B932,f_detailsof_candidates,2,FALSE)</f>
        <v>SHARAZ AHAMMED</v>
      </c>
      <c r="D932" s="86" t="str">
        <f t="shared" ref="D932:D943" ca="1" si="205">VLOOKUP(B932,f_detailsof_candidates,3,FALSE)</f>
        <v>FANT</v>
      </c>
      <c r="E932" s="86">
        <f t="shared" ref="E932:E943" ca="1" si="206">VLOOKUP(B932,f_detailsof_candidates,5,FALSE)</f>
        <v>3</v>
      </c>
    </row>
    <row r="933" spans="1:8" ht="14.25" x14ac:dyDescent="0.45">
      <c r="A933" s="86">
        <f ca="1"/>
        <v>2</v>
      </c>
      <c r="B933" s="86" t="str">
        <f ca="1"/>
        <v>B123</v>
      </c>
      <c r="C933" s="86" t="str">
        <f t="shared" ca="1" si="204"/>
        <v>MUHAMMED YASEEN</v>
      </c>
      <c r="D933" s="86" t="str">
        <f t="shared" ca="1" si="205"/>
        <v>FANT</v>
      </c>
      <c r="E933" s="86">
        <f t="shared" ca="1" si="206"/>
        <v>3</v>
      </c>
    </row>
    <row r="934" spans="1:8" ht="14.25" x14ac:dyDescent="0.45">
      <c r="A934" s="86">
        <f ca="1"/>
        <v>3</v>
      </c>
      <c r="B934" s="86" t="str">
        <f ca="1"/>
        <v>B157</v>
      </c>
      <c r="C934" s="86" t="str">
        <f t="shared" ca="1" si="204"/>
        <v>MUHAMMED MIHRAZ</v>
      </c>
      <c r="D934" s="86" t="str">
        <f t="shared" ca="1" si="205"/>
        <v>FANT</v>
      </c>
      <c r="E934" s="86">
        <f t="shared" ca="1" si="206"/>
        <v>4</v>
      </c>
    </row>
    <row r="935" spans="1:8" ht="14.25" x14ac:dyDescent="0.45">
      <c r="A935" s="86">
        <f ca="1"/>
        <v>4</v>
      </c>
      <c r="B935" s="86" t="str">
        <f ca="1"/>
        <v>B124</v>
      </c>
      <c r="C935" s="86" t="str">
        <f t="shared" ca="1" si="204"/>
        <v>MOHAMMED RAED. UA</v>
      </c>
      <c r="D935" s="86" t="str">
        <f t="shared" ca="1" si="205"/>
        <v>DAHF</v>
      </c>
      <c r="E935" s="86">
        <f t="shared" ca="1" si="206"/>
        <v>3</v>
      </c>
    </row>
    <row r="936" spans="1:8" ht="14.25" x14ac:dyDescent="0.45">
      <c r="A936" s="86">
        <f ca="1"/>
        <v>5</v>
      </c>
      <c r="B936" s="86" t="str">
        <f ca="1"/>
        <v>B110</v>
      </c>
      <c r="C936" s="86" t="str">
        <f t="shared" ca="1" si="204"/>
        <v>MUHAMMED MUHAZ P A</v>
      </c>
      <c r="D936" s="86" t="str">
        <f t="shared" ca="1" si="205"/>
        <v>DAHF</v>
      </c>
      <c r="E936" s="86">
        <f t="shared" ca="1" si="206"/>
        <v>3</v>
      </c>
    </row>
    <row r="937" spans="1:8" ht="14.25" x14ac:dyDescent="0.45">
      <c r="A937" s="86">
        <f ca="1"/>
        <v>6</v>
      </c>
      <c r="B937" s="86" t="str">
        <f ca="1"/>
        <v>B158</v>
      </c>
      <c r="C937" s="86" t="str">
        <f t="shared" ca="1" si="204"/>
        <v>FADIL MOHAMMED K M</v>
      </c>
      <c r="D937" s="86" t="str">
        <f t="shared" ca="1" si="205"/>
        <v>DAHF</v>
      </c>
      <c r="E937" s="86">
        <f t="shared" ca="1" si="206"/>
        <v>4</v>
      </c>
    </row>
    <row r="938" spans="1:8" ht="14.25" x14ac:dyDescent="0.45">
      <c r="A938" s="86">
        <f ca="1"/>
        <v>7</v>
      </c>
      <c r="B938" s="86" t="str">
        <f ca="1"/>
        <v>B100</v>
      </c>
      <c r="C938" s="86" t="str">
        <f t="shared" ca="1" si="204"/>
        <v>ZAINUL ABID K</v>
      </c>
      <c r="D938" s="86" t="str">
        <f t="shared" ca="1" si="205"/>
        <v>BADF</v>
      </c>
      <c r="E938" s="86">
        <f t="shared" ca="1" si="206"/>
        <v>3</v>
      </c>
    </row>
    <row r="939" spans="1:8" ht="14.25" x14ac:dyDescent="0.45">
      <c r="A939" s="86">
        <f ca="1"/>
        <v>8</v>
      </c>
      <c r="B939" s="86" t="str">
        <f ca="1"/>
        <v>B142</v>
      </c>
      <c r="C939" s="86" t="str">
        <f t="shared" ca="1" si="204"/>
        <v>MUHAMMED HAMDAN A.P</v>
      </c>
      <c r="D939" s="86" t="str">
        <f t="shared" ca="1" si="205"/>
        <v>BADF</v>
      </c>
      <c r="E939" s="86">
        <f t="shared" ca="1" si="206"/>
        <v>4</v>
      </c>
    </row>
    <row r="940" spans="1:8" ht="14.25" x14ac:dyDescent="0.45">
      <c r="A940" s="86">
        <f ca="1"/>
        <v>9</v>
      </c>
      <c r="B940" s="86" t="str">
        <f ca="1"/>
        <v>B113</v>
      </c>
      <c r="C940" s="86" t="str">
        <f t="shared" ca="1" si="204"/>
        <v>MUHAMMED IHTHISHAM P I</v>
      </c>
      <c r="D940" s="86" t="str">
        <f t="shared" ca="1" si="205"/>
        <v>BADF</v>
      </c>
      <c r="E940" s="86">
        <f t="shared" ca="1" si="206"/>
        <v>3</v>
      </c>
    </row>
    <row r="941" spans="1:8" ht="14.25" x14ac:dyDescent="0.45">
      <c r="A941" s="86">
        <f ca="1"/>
        <v>10</v>
      </c>
      <c r="B941" s="86" t="str">
        <f ca="1"/>
        <v>B126</v>
      </c>
      <c r="C941" s="86" t="str">
        <f t="shared" ca="1" si="204"/>
        <v>AHAMMED JABIR K H</v>
      </c>
      <c r="D941" s="86" t="str">
        <f t="shared" ca="1" si="205"/>
        <v>JARF</v>
      </c>
      <c r="E941" s="86">
        <f t="shared" ca="1" si="206"/>
        <v>3</v>
      </c>
    </row>
    <row r="942" spans="1:8" ht="14.25" x14ac:dyDescent="0.45">
      <c r="A942" s="86">
        <f ca="1"/>
        <v>11</v>
      </c>
      <c r="B942" s="86" t="str">
        <f ca="1"/>
        <v>B116</v>
      </c>
      <c r="C942" s="86" t="str">
        <f t="shared" ca="1" si="204"/>
        <v>MOHAMMED SABIK BM</v>
      </c>
      <c r="D942" s="86" t="str">
        <f t="shared" ca="1" si="205"/>
        <v>JARF</v>
      </c>
      <c r="E942" s="86">
        <f t="shared" ca="1" si="206"/>
        <v>3</v>
      </c>
    </row>
    <row r="943" spans="1:8" ht="14.25" x14ac:dyDescent="0.45">
      <c r="A943" s="86">
        <f ca="1"/>
        <v>12</v>
      </c>
      <c r="B943" s="86" t="str">
        <f ca="1"/>
        <v>B156</v>
      </c>
      <c r="C943" s="86" t="str">
        <f t="shared" ca="1" si="204"/>
        <v>MOHAMMED ANAS A.A</v>
      </c>
      <c r="D943" s="86" t="str">
        <f t="shared" ca="1" si="205"/>
        <v>JARF</v>
      </c>
      <c r="E943" s="86">
        <f t="shared" ca="1" si="206"/>
        <v>4</v>
      </c>
    </row>
    <row r="944" spans="1:8" ht="14.25" x14ac:dyDescent="0.45">
      <c r="A944" s="84" t="s">
        <v>230</v>
      </c>
      <c r="B944" s="84" t="str">
        <f>VLOOKUP("JN27",f_detailsof_programs,2,FALSE)</f>
        <v>SWARF IQ</v>
      </c>
      <c r="C944" s="84"/>
      <c r="D944" s="84" t="s">
        <v>688</v>
      </c>
      <c r="E944" s="84" t="s">
        <v>485</v>
      </c>
      <c r="F944" s="84"/>
      <c r="G944" s="84"/>
      <c r="H944" s="84"/>
    </row>
    <row r="945" spans="1:8" ht="14.25" x14ac:dyDescent="0.45">
      <c r="A945" s="85" t="s">
        <v>16</v>
      </c>
      <c r="B945" s="85" t="s">
        <v>480</v>
      </c>
      <c r="C945" s="85" t="s">
        <v>18</v>
      </c>
      <c r="D945" s="85" t="s">
        <v>481</v>
      </c>
      <c r="E945" s="85" t="s">
        <v>19</v>
      </c>
      <c r="F945" s="85" t="s">
        <v>482</v>
      </c>
      <c r="G945" s="85" t="s">
        <v>483</v>
      </c>
      <c r="H945" s="85" t="s">
        <v>484</v>
      </c>
    </row>
    <row r="946" spans="1:8" ht="14.25" x14ac:dyDescent="0.45">
      <c r="A946" s="86" cm="1">
        <f t="array" aca="1" ref="A946:A957" ca="1">_xlfn.SEQUENCE(COUNTA(_xlfn.LET(_xlpm.trimmed,OFFSET(f_listof_program_candidates,MATCH("JN27",f_listof_program_codes,0)-1,6,1,),TRANSPOSE(_xlfn._xlws.FILTER(OFFSET(_xlpm.trimmed,0,0,,COUNTA(_xlpm.trimmed)-5),OFFSET(_xlpm.trimmed,0,0,,COUNTA(_xlpm.trimmed)-5)&lt;&gt;0)))))</f>
        <v>1</v>
      </c>
      <c r="B946" s="86" t="str" cm="1">
        <f t="array" aca="1" ref="B946:B957" ca="1">_xlfn.LET(_xlpm.trimmed,OFFSET(f_listof_program_candidates,MATCH("JN27",f_listof_program_codes,0)-1,6,1,),TRANSPOSE(_xlfn._xlws.FILTER(OFFSET(_xlpm.trimmed,0,0,,COUNTA(_xlpm.trimmed)-5),OFFSET(_xlpm.trimmed,0,0,,COUNTA(_xlpm.trimmed)-5)&lt;&gt;0)))</f>
        <v>B144</v>
      </c>
      <c r="C946" s="86" t="str">
        <f t="shared" ref="C946:C957" ca="1" si="207">VLOOKUP(B946,f_detailsof_candidates,2,FALSE)</f>
        <v>MUHAMMED NAFIH CI</v>
      </c>
      <c r="D946" s="86" t="str">
        <f t="shared" ref="D946:D957" ca="1" si="208">VLOOKUP(B946,f_detailsof_candidates,3,FALSE)</f>
        <v>FANT</v>
      </c>
      <c r="E946" s="86">
        <f t="shared" ref="E946:E957" ca="1" si="209">VLOOKUP(B946,f_detailsof_candidates,5,FALSE)</f>
        <v>4</v>
      </c>
    </row>
    <row r="947" spans="1:8" ht="14.25" x14ac:dyDescent="0.45">
      <c r="A947" s="86">
        <f ca="1"/>
        <v>2</v>
      </c>
      <c r="B947" s="86" t="str">
        <f ca="1"/>
        <v>B141</v>
      </c>
      <c r="C947" s="86" t="str">
        <f t="shared" ca="1" si="207"/>
        <v>RAFNAS P</v>
      </c>
      <c r="D947" s="86" t="str">
        <f t="shared" ca="1" si="208"/>
        <v>FANT</v>
      </c>
      <c r="E947" s="86">
        <f t="shared" ca="1" si="209"/>
        <v>4</v>
      </c>
    </row>
    <row r="948" spans="1:8" ht="14.25" x14ac:dyDescent="0.45">
      <c r="A948" s="86">
        <f ca="1"/>
        <v>3</v>
      </c>
      <c r="B948" s="86" t="str">
        <f ca="1"/>
        <v>B143</v>
      </c>
      <c r="C948" s="86" t="str">
        <f t="shared" ca="1" si="207"/>
        <v>MOHAMMED SHADIL AP</v>
      </c>
      <c r="D948" s="86" t="str">
        <f t="shared" ca="1" si="208"/>
        <v>FANT</v>
      </c>
      <c r="E948" s="86">
        <f t="shared" ca="1" si="209"/>
        <v>4</v>
      </c>
    </row>
    <row r="949" spans="1:8" ht="14.25" x14ac:dyDescent="0.45">
      <c r="A949" s="86">
        <f ca="1"/>
        <v>4</v>
      </c>
      <c r="B949" s="86" t="str">
        <f ca="1"/>
        <v>B124</v>
      </c>
      <c r="C949" s="86" t="str">
        <f t="shared" ca="1" si="207"/>
        <v>MOHAMMED RAED. UA</v>
      </c>
      <c r="D949" s="86" t="str">
        <f t="shared" ca="1" si="208"/>
        <v>DAHF</v>
      </c>
      <c r="E949" s="86">
        <f t="shared" ca="1" si="209"/>
        <v>3</v>
      </c>
    </row>
    <row r="950" spans="1:8" ht="14.25" x14ac:dyDescent="0.45">
      <c r="A950" s="86">
        <f ca="1"/>
        <v>5</v>
      </c>
      <c r="B950" s="86" t="str">
        <f ca="1"/>
        <v>B125</v>
      </c>
      <c r="C950" s="86" t="str">
        <f t="shared" ca="1" si="207"/>
        <v>MUHAMMED SHANIFM P</v>
      </c>
      <c r="D950" s="86" t="str">
        <f t="shared" ca="1" si="208"/>
        <v>DAHF</v>
      </c>
      <c r="E950" s="86">
        <f t="shared" ca="1" si="209"/>
        <v>3</v>
      </c>
    </row>
    <row r="951" spans="1:8" ht="14.25" x14ac:dyDescent="0.45">
      <c r="A951" s="86">
        <f ca="1"/>
        <v>6</v>
      </c>
      <c r="B951" s="86" t="str">
        <f ca="1"/>
        <v>B159</v>
      </c>
      <c r="C951" s="86" t="str">
        <f t="shared" ca="1" si="207"/>
        <v>AJMAL AHMED MT</v>
      </c>
      <c r="D951" s="86" t="str">
        <f t="shared" ca="1" si="208"/>
        <v>DAHF</v>
      </c>
      <c r="E951" s="86">
        <f t="shared" ca="1" si="209"/>
        <v>4</v>
      </c>
    </row>
    <row r="952" spans="1:8" ht="14.25" x14ac:dyDescent="0.45">
      <c r="A952" s="86">
        <f ca="1"/>
        <v>7</v>
      </c>
      <c r="B952" s="86" t="str">
        <f ca="1"/>
        <v>B100</v>
      </c>
      <c r="C952" s="86" t="str">
        <f t="shared" ca="1" si="207"/>
        <v>ZAINUL ABID K</v>
      </c>
      <c r="D952" s="86" t="str">
        <f t="shared" ca="1" si="208"/>
        <v>BADF</v>
      </c>
      <c r="E952" s="86">
        <f t="shared" ca="1" si="209"/>
        <v>3</v>
      </c>
    </row>
    <row r="953" spans="1:8" ht="14.25" x14ac:dyDescent="0.45">
      <c r="A953" s="86">
        <f ca="1"/>
        <v>8</v>
      </c>
      <c r="B953" s="86" t="str">
        <f ca="1"/>
        <v>B121</v>
      </c>
      <c r="C953" s="86" t="str">
        <f t="shared" ca="1" si="207"/>
        <v>MOHIDDEEN SHAHSHAD</v>
      </c>
      <c r="D953" s="86" t="str">
        <f t="shared" ca="1" si="208"/>
        <v>BADF</v>
      </c>
      <c r="E953" s="86">
        <f t="shared" ca="1" si="209"/>
        <v>3</v>
      </c>
    </row>
    <row r="954" spans="1:8" ht="14.25" x14ac:dyDescent="0.45">
      <c r="A954" s="86">
        <f ca="1"/>
        <v>9</v>
      </c>
      <c r="B954" s="86" t="str">
        <f ca="1"/>
        <v>B128</v>
      </c>
      <c r="C954" s="86" t="str">
        <f t="shared" ca="1" si="207"/>
        <v>MOHAMMED AFNAN</v>
      </c>
      <c r="D954" s="86" t="str">
        <f t="shared" ca="1" si="208"/>
        <v>BADF</v>
      </c>
      <c r="E954" s="86">
        <f t="shared" ca="1" si="209"/>
        <v>3</v>
      </c>
    </row>
    <row r="955" spans="1:8" ht="14.25" x14ac:dyDescent="0.45">
      <c r="A955" s="86">
        <f ca="1"/>
        <v>10</v>
      </c>
      <c r="B955" s="86" t="str">
        <f ca="1"/>
        <v>B148</v>
      </c>
      <c r="C955" s="86" t="str">
        <f t="shared" ca="1" si="207"/>
        <v>MOHAMMED BAQIR TS</v>
      </c>
      <c r="D955" s="86" t="str">
        <f t="shared" ca="1" si="208"/>
        <v>JARF</v>
      </c>
      <c r="E955" s="86">
        <f t="shared" ca="1" si="209"/>
        <v>4</v>
      </c>
    </row>
    <row r="956" spans="1:8" ht="14.25" x14ac:dyDescent="0.45">
      <c r="A956" s="86">
        <f ca="1"/>
        <v>11</v>
      </c>
      <c r="B956" s="86" t="str">
        <f ca="1"/>
        <v>B108</v>
      </c>
      <c r="C956" s="86" t="str">
        <f t="shared" ca="1" si="207"/>
        <v>ABDUL RAHIMAN FAIZ T A</v>
      </c>
      <c r="D956" s="86" t="str">
        <f t="shared" ca="1" si="208"/>
        <v>JARF</v>
      </c>
      <c r="E956" s="86">
        <f t="shared" ca="1" si="209"/>
        <v>3</v>
      </c>
    </row>
    <row r="957" spans="1:8" ht="14.25" x14ac:dyDescent="0.45">
      <c r="A957" s="86">
        <f ca="1"/>
        <v>12</v>
      </c>
      <c r="B957" s="86" t="str">
        <f ca="1"/>
        <v>B163</v>
      </c>
      <c r="C957" s="86" t="str">
        <f t="shared" ca="1" si="207"/>
        <v>MOHAMMED YOUNUS</v>
      </c>
      <c r="D957" s="86" t="str">
        <f t="shared" ca="1" si="208"/>
        <v>JARF</v>
      </c>
      <c r="E957" s="86">
        <f t="shared" ca="1" si="209"/>
        <v>4</v>
      </c>
    </row>
    <row r="958" spans="1:8" ht="14.25" x14ac:dyDescent="0.45">
      <c r="A958" s="84" t="s">
        <v>232</v>
      </c>
      <c r="B958" s="84" t="str">
        <f>VLOOKUP("JN28",f_detailsof_programs,2,FALSE)</f>
        <v>TYPING MASTER ENG</v>
      </c>
      <c r="C958" s="84"/>
      <c r="D958" s="84" t="s">
        <v>688</v>
      </c>
      <c r="E958" s="84" t="s">
        <v>485</v>
      </c>
      <c r="F958" s="84"/>
      <c r="G958" s="84"/>
      <c r="H958" s="84"/>
    </row>
    <row r="959" spans="1:8" ht="14.25" x14ac:dyDescent="0.45">
      <c r="A959" s="85" t="s">
        <v>16</v>
      </c>
      <c r="B959" s="85" t="s">
        <v>480</v>
      </c>
      <c r="C959" s="85" t="s">
        <v>18</v>
      </c>
      <c r="D959" s="85" t="s">
        <v>481</v>
      </c>
      <c r="E959" s="85" t="s">
        <v>19</v>
      </c>
      <c r="F959" s="85" t="s">
        <v>482</v>
      </c>
      <c r="G959" s="85" t="s">
        <v>483</v>
      </c>
      <c r="H959" s="85" t="s">
        <v>484</v>
      </c>
    </row>
    <row r="960" spans="1:8" ht="14.25" x14ac:dyDescent="0.45">
      <c r="A960" s="86" cm="1">
        <f t="array" aca="1" ref="A960:A971" ca="1">_xlfn.SEQUENCE(COUNTA(_xlfn.LET(_xlpm.trimmed,OFFSET(f_listof_program_candidates,MATCH("JN28",f_listof_program_codes,0)-1,6,1,),TRANSPOSE(_xlfn._xlws.FILTER(OFFSET(_xlpm.trimmed,0,0,,COUNTA(_xlpm.trimmed)-5),OFFSET(_xlpm.trimmed,0,0,,COUNTA(_xlpm.trimmed)-5)&lt;&gt;0)))))</f>
        <v>1</v>
      </c>
      <c r="B960" s="86" t="str" cm="1">
        <f t="array" aca="1" ref="B960:B971" ca="1">_xlfn.LET(_xlpm.trimmed,OFFSET(f_listof_program_candidates,MATCH("JN28",f_listof_program_codes,0)-1,6,1,),TRANSPOSE(_xlfn._xlws.FILTER(OFFSET(_xlpm.trimmed,0,0,,COUNTA(_xlpm.trimmed)-5),OFFSET(_xlpm.trimmed,0,0,,COUNTA(_xlpm.trimmed)-5)&lt;&gt;0)))</f>
        <v>B130</v>
      </c>
      <c r="C960" s="86" t="str">
        <f t="shared" ref="C960:C971" ca="1" si="210">VLOOKUP(B960,f_detailsof_candidates,2,FALSE)</f>
        <v>HAFIL ADIL AMANULLAH K K</v>
      </c>
      <c r="D960" s="86" t="str">
        <f t="shared" ref="D960:D971" ca="1" si="211">VLOOKUP(B960,f_detailsof_candidates,3,FALSE)</f>
        <v>FANT</v>
      </c>
      <c r="E960" s="86">
        <f t="shared" ref="E960:E971" ca="1" si="212">VLOOKUP(B960,f_detailsof_candidates,5,FALSE)</f>
        <v>3</v>
      </c>
    </row>
    <row r="961" spans="1:8" ht="14.25" x14ac:dyDescent="0.45">
      <c r="A961" s="86">
        <f ca="1"/>
        <v>2</v>
      </c>
      <c r="B961" s="86" t="str">
        <f ca="1"/>
        <v>B143</v>
      </c>
      <c r="C961" s="86" t="str">
        <f t="shared" ca="1" si="210"/>
        <v>MOHAMMED SHADIL AP</v>
      </c>
      <c r="D961" s="86" t="str">
        <f t="shared" ca="1" si="211"/>
        <v>FANT</v>
      </c>
      <c r="E961" s="86">
        <f t="shared" ca="1" si="212"/>
        <v>4</v>
      </c>
    </row>
    <row r="962" spans="1:8" ht="14.25" x14ac:dyDescent="0.45">
      <c r="A962" s="86">
        <f ca="1"/>
        <v>3</v>
      </c>
      <c r="B962" s="86" t="str">
        <f ca="1"/>
        <v>B141</v>
      </c>
      <c r="C962" s="86" t="str">
        <f t="shared" ca="1" si="210"/>
        <v>RAFNAS P</v>
      </c>
      <c r="D962" s="86" t="str">
        <f t="shared" ca="1" si="211"/>
        <v>FANT</v>
      </c>
      <c r="E962" s="86">
        <f t="shared" ca="1" si="212"/>
        <v>4</v>
      </c>
    </row>
    <row r="963" spans="1:8" ht="14.25" x14ac:dyDescent="0.45">
      <c r="A963" s="86">
        <f ca="1"/>
        <v>4</v>
      </c>
      <c r="B963" s="86" t="str">
        <f ca="1"/>
        <v>B114</v>
      </c>
      <c r="C963" s="86" t="str">
        <f t="shared" ca="1" si="210"/>
        <v>AMEEN RAHMAN MTP</v>
      </c>
      <c r="D963" s="86" t="str">
        <f t="shared" ca="1" si="211"/>
        <v>DAHF</v>
      </c>
      <c r="E963" s="86">
        <f t="shared" ca="1" si="212"/>
        <v>3</v>
      </c>
    </row>
    <row r="964" spans="1:8" ht="14.25" x14ac:dyDescent="0.45">
      <c r="A964" s="86">
        <f ca="1"/>
        <v>5</v>
      </c>
      <c r="B964" s="86" t="str">
        <f ca="1"/>
        <v>B139</v>
      </c>
      <c r="C964" s="86" t="str">
        <f t="shared" ca="1" si="210"/>
        <v>Muhammad</v>
      </c>
      <c r="D964" s="86" t="str">
        <f t="shared" ca="1" si="211"/>
        <v>DAHF</v>
      </c>
      <c r="E964" s="86">
        <f t="shared" ca="1" si="212"/>
        <v>3</v>
      </c>
    </row>
    <row r="965" spans="1:8" ht="14.25" x14ac:dyDescent="0.45">
      <c r="A965" s="86">
        <f ca="1"/>
        <v>6</v>
      </c>
      <c r="B965" s="86" t="str">
        <f ca="1"/>
        <v>B158</v>
      </c>
      <c r="C965" s="86" t="str">
        <f t="shared" ca="1" si="210"/>
        <v>FADIL MOHAMMED K M</v>
      </c>
      <c r="D965" s="86" t="str">
        <f t="shared" ca="1" si="211"/>
        <v>DAHF</v>
      </c>
      <c r="E965" s="86">
        <f t="shared" ca="1" si="212"/>
        <v>4</v>
      </c>
    </row>
    <row r="966" spans="1:8" ht="14.25" x14ac:dyDescent="0.45">
      <c r="A966" s="86">
        <f ca="1"/>
        <v>7</v>
      </c>
      <c r="B966" s="86" t="str">
        <f ca="1"/>
        <v>B103</v>
      </c>
      <c r="C966" s="86" t="str">
        <f t="shared" ca="1" si="210"/>
        <v>MOHAMMED NAFIH BA</v>
      </c>
      <c r="D966" s="86" t="str">
        <f t="shared" ca="1" si="211"/>
        <v>BADF</v>
      </c>
      <c r="E966" s="86">
        <f t="shared" ca="1" si="212"/>
        <v>3</v>
      </c>
    </row>
    <row r="967" spans="1:8" ht="14.25" x14ac:dyDescent="0.45">
      <c r="A967" s="86">
        <f ca="1"/>
        <v>8</v>
      </c>
      <c r="B967" s="86" t="str">
        <f ca="1"/>
        <v>B113</v>
      </c>
      <c r="C967" s="86" t="str">
        <f t="shared" ca="1" si="210"/>
        <v>MUHAMMED IHTHISHAM P I</v>
      </c>
      <c r="D967" s="86" t="str">
        <f t="shared" ca="1" si="211"/>
        <v>BADF</v>
      </c>
      <c r="E967" s="86">
        <f t="shared" ca="1" si="212"/>
        <v>3</v>
      </c>
    </row>
    <row r="968" spans="1:8" ht="14.25" x14ac:dyDescent="0.45">
      <c r="A968" s="86">
        <f ca="1"/>
        <v>9</v>
      </c>
      <c r="B968" s="86" t="str">
        <f ca="1"/>
        <v>B140</v>
      </c>
      <c r="C968" s="86" t="str">
        <f t="shared" ca="1" si="210"/>
        <v>MOHAMMED SHAHID</v>
      </c>
      <c r="D968" s="86" t="str">
        <f t="shared" ca="1" si="211"/>
        <v>BADF</v>
      </c>
      <c r="E968" s="86">
        <f t="shared" ca="1" si="212"/>
        <v>4</v>
      </c>
    </row>
    <row r="969" spans="1:8" ht="14.25" x14ac:dyDescent="0.45">
      <c r="A969" s="86">
        <f ca="1"/>
        <v>10</v>
      </c>
      <c r="B969" s="86" t="str">
        <f ca="1"/>
        <v>B119</v>
      </c>
      <c r="C969" s="86" t="str">
        <f t="shared" ca="1" si="210"/>
        <v>ABDUL SA-AD</v>
      </c>
      <c r="D969" s="86" t="str">
        <f t="shared" ca="1" si="211"/>
        <v>JARF</v>
      </c>
      <c r="E969" s="86">
        <f t="shared" ca="1" si="212"/>
        <v>3</v>
      </c>
    </row>
    <row r="970" spans="1:8" ht="14.25" x14ac:dyDescent="0.45">
      <c r="A970" s="86">
        <f ca="1"/>
        <v>11</v>
      </c>
      <c r="B970" s="86" t="str">
        <f ca="1"/>
        <v>B160</v>
      </c>
      <c r="C970" s="86" t="str">
        <f t="shared" ca="1" si="210"/>
        <v>MOHAMMED DAWOOD K</v>
      </c>
      <c r="D970" s="86" t="str">
        <f t="shared" ca="1" si="211"/>
        <v>JARF</v>
      </c>
      <c r="E970" s="86">
        <f t="shared" ca="1" si="212"/>
        <v>4</v>
      </c>
    </row>
    <row r="971" spans="1:8" ht="14.25" x14ac:dyDescent="0.45">
      <c r="A971" s="86">
        <f ca="1"/>
        <v>12</v>
      </c>
      <c r="B971" s="86" t="str">
        <f ca="1"/>
        <v>B163</v>
      </c>
      <c r="C971" s="86" t="str">
        <f t="shared" ca="1" si="210"/>
        <v>MOHAMMED YOUNUS</v>
      </c>
      <c r="D971" s="86" t="str">
        <f t="shared" ca="1" si="211"/>
        <v>JARF</v>
      </c>
      <c r="E971" s="86">
        <f t="shared" ca="1" si="212"/>
        <v>4</v>
      </c>
    </row>
    <row r="972" spans="1:8" ht="14.25" x14ac:dyDescent="0.45">
      <c r="A972" s="84" t="s">
        <v>234</v>
      </c>
      <c r="B972" s="84" t="str">
        <f>VLOOKUP("JN29",f_detailsof_programs,2,FALSE)</f>
        <v>TYPING MASTER MLM</v>
      </c>
      <c r="C972" s="84"/>
      <c r="D972" s="84" t="s">
        <v>688</v>
      </c>
      <c r="E972" s="84" t="s">
        <v>486</v>
      </c>
      <c r="F972" s="84"/>
      <c r="G972" s="84"/>
      <c r="H972" s="84"/>
    </row>
    <row r="973" spans="1:8" ht="14.25" x14ac:dyDescent="0.45">
      <c r="A973" s="85" t="s">
        <v>16</v>
      </c>
      <c r="B973" s="85" t="s">
        <v>480</v>
      </c>
      <c r="C973" s="85" t="s">
        <v>18</v>
      </c>
      <c r="D973" s="85" t="s">
        <v>481</v>
      </c>
      <c r="E973" s="85" t="s">
        <v>19</v>
      </c>
      <c r="F973" s="85" t="s">
        <v>482</v>
      </c>
      <c r="G973" s="85" t="s">
        <v>483</v>
      </c>
      <c r="H973" s="85" t="s">
        <v>484</v>
      </c>
    </row>
    <row r="974" spans="1:8" ht="14.25" x14ac:dyDescent="0.45">
      <c r="A974" s="86" cm="1">
        <f t="array" aca="1" ref="A974:A981" ca="1">_xlfn.SEQUENCE(COUNTA(_xlfn.LET(_xlpm.trimmed,OFFSET(f_listof_program_candidates,MATCH("JN29",f_listof_program_codes,0)-1,6,1,),TRANSPOSE(_xlfn._xlws.FILTER(OFFSET(_xlpm.trimmed,0,0,,COUNTA(_xlpm.trimmed)-5),OFFSET(_xlpm.trimmed,0,0,,COUNTA(_xlpm.trimmed)-5)&lt;&gt;0)))))</f>
        <v>1</v>
      </c>
      <c r="B974" s="86" t="str" cm="1">
        <f t="array" aca="1" ref="B974:B981" ca="1">_xlfn.LET(_xlpm.trimmed,OFFSET(f_listof_program_candidates,MATCH("JN29",f_listof_program_codes,0)-1,6,1,),TRANSPOSE(_xlfn._xlws.FILTER(OFFSET(_xlpm.trimmed,0,0,,COUNTA(_xlpm.trimmed)-5),OFFSET(_xlpm.trimmed,0,0,,COUNTA(_xlpm.trimmed)-5)&lt;&gt;0)))</f>
        <v>B144</v>
      </c>
      <c r="C974" s="86" t="str">
        <f t="shared" ref="C974:C981" ca="1" si="213">VLOOKUP(B974,f_detailsof_candidates,2,FALSE)</f>
        <v>MUHAMMED NAFIH CI</v>
      </c>
      <c r="D974" s="86" t="str">
        <f t="shared" ref="D974:D981" ca="1" si="214">VLOOKUP(B974,f_detailsof_candidates,3,FALSE)</f>
        <v>FANT</v>
      </c>
      <c r="E974" s="86">
        <f t="shared" ref="E974:E981" ca="1" si="215">VLOOKUP(B974,f_detailsof_candidates,5,FALSE)</f>
        <v>4</v>
      </c>
    </row>
    <row r="975" spans="1:8" ht="14.25" x14ac:dyDescent="0.45">
      <c r="A975" s="86">
        <f ca="1"/>
        <v>2</v>
      </c>
      <c r="B975" s="86" t="str">
        <f ca="1"/>
        <v>B111</v>
      </c>
      <c r="C975" s="86" t="str">
        <f t="shared" ca="1" si="213"/>
        <v>MUHAMMED SAHEEM ASHRAF</v>
      </c>
      <c r="D975" s="86" t="str">
        <f t="shared" ca="1" si="214"/>
        <v>FANT</v>
      </c>
      <c r="E975" s="86">
        <f t="shared" ca="1" si="215"/>
        <v>3</v>
      </c>
    </row>
    <row r="976" spans="1:8" ht="14.25" x14ac:dyDescent="0.45">
      <c r="A976" s="86">
        <f ca="1"/>
        <v>3</v>
      </c>
      <c r="B976" s="86" t="str">
        <f ca="1"/>
        <v>B114</v>
      </c>
      <c r="C976" s="86" t="str">
        <f t="shared" ca="1" si="213"/>
        <v>AMEEN RAHMAN MTP</v>
      </c>
      <c r="D976" s="86" t="str">
        <f t="shared" ca="1" si="214"/>
        <v>DAHF</v>
      </c>
      <c r="E976" s="86">
        <f t="shared" ca="1" si="215"/>
        <v>3</v>
      </c>
    </row>
    <row r="977" spans="1:8" ht="14.25" x14ac:dyDescent="0.45">
      <c r="A977" s="86">
        <f ca="1"/>
        <v>4</v>
      </c>
      <c r="B977" s="86" t="str">
        <f ca="1"/>
        <v>B155</v>
      </c>
      <c r="C977" s="86" t="str">
        <f t="shared" ca="1" si="213"/>
        <v>MUHAMMED A</v>
      </c>
      <c r="D977" s="86" t="str">
        <f t="shared" ca="1" si="214"/>
        <v>DAHF</v>
      </c>
      <c r="E977" s="86">
        <f t="shared" ca="1" si="215"/>
        <v>4</v>
      </c>
    </row>
    <row r="978" spans="1:8" ht="14.25" x14ac:dyDescent="0.45">
      <c r="A978" s="86">
        <f ca="1"/>
        <v>5</v>
      </c>
      <c r="B978" s="86" t="str">
        <f ca="1"/>
        <v>B100</v>
      </c>
      <c r="C978" s="86" t="str">
        <f t="shared" ca="1" si="213"/>
        <v>ZAINUL ABID K</v>
      </c>
      <c r="D978" s="86" t="str">
        <f t="shared" ca="1" si="214"/>
        <v>BADF</v>
      </c>
      <c r="E978" s="86">
        <f t="shared" ca="1" si="215"/>
        <v>3</v>
      </c>
    </row>
    <row r="979" spans="1:8" ht="14.25" x14ac:dyDescent="0.45">
      <c r="A979" s="86">
        <f ca="1"/>
        <v>6</v>
      </c>
      <c r="B979" s="86" t="str">
        <f ca="1"/>
        <v>B103</v>
      </c>
      <c r="C979" s="86" t="str">
        <f t="shared" ca="1" si="213"/>
        <v>MOHAMMED NAFIH BA</v>
      </c>
      <c r="D979" s="86" t="str">
        <f t="shared" ca="1" si="214"/>
        <v>BADF</v>
      </c>
      <c r="E979" s="86">
        <f t="shared" ca="1" si="215"/>
        <v>3</v>
      </c>
    </row>
    <row r="980" spans="1:8" ht="14.25" x14ac:dyDescent="0.45">
      <c r="A980" s="86">
        <f ca="1"/>
        <v>7</v>
      </c>
      <c r="B980" s="86" t="str">
        <f ca="1"/>
        <v>B126</v>
      </c>
      <c r="C980" s="86" t="str">
        <f t="shared" ca="1" si="213"/>
        <v>AHAMMED JABIR K H</v>
      </c>
      <c r="D980" s="86" t="str">
        <f t="shared" ca="1" si="214"/>
        <v>JARF</v>
      </c>
      <c r="E980" s="86">
        <f t="shared" ca="1" si="215"/>
        <v>3</v>
      </c>
    </row>
    <row r="981" spans="1:8" ht="14.25" x14ac:dyDescent="0.45">
      <c r="A981" s="86">
        <f ca="1"/>
        <v>8</v>
      </c>
      <c r="B981" s="86" t="str">
        <f ca="1"/>
        <v>B156</v>
      </c>
      <c r="C981" s="86" t="str">
        <f t="shared" ca="1" si="213"/>
        <v>MOHAMMED ANAS A.A</v>
      </c>
      <c r="D981" s="86" t="str">
        <f t="shared" ca="1" si="214"/>
        <v>JARF</v>
      </c>
      <c r="E981" s="86">
        <f t="shared" ca="1" si="215"/>
        <v>4</v>
      </c>
    </row>
    <row r="982" spans="1:8" ht="14.25" x14ac:dyDescent="0.45">
      <c r="A982" s="84" t="s">
        <v>236</v>
      </c>
      <c r="B982" s="84" t="str">
        <f>VLOOKUP("JN30",f_detailsof_programs,2,FALSE)</f>
        <v>VOCABULARY</v>
      </c>
      <c r="C982" s="84"/>
      <c r="D982" s="84" t="s">
        <v>688</v>
      </c>
      <c r="E982" s="84" t="s">
        <v>485</v>
      </c>
      <c r="F982" s="84"/>
      <c r="G982" s="84"/>
      <c r="H982" s="84"/>
    </row>
    <row r="983" spans="1:8" ht="14.25" x14ac:dyDescent="0.45">
      <c r="A983" s="85" t="s">
        <v>16</v>
      </c>
      <c r="B983" s="85" t="s">
        <v>480</v>
      </c>
      <c r="C983" s="85" t="s">
        <v>18</v>
      </c>
      <c r="D983" s="85" t="s">
        <v>481</v>
      </c>
      <c r="E983" s="85" t="s">
        <v>19</v>
      </c>
      <c r="F983" s="85" t="s">
        <v>482</v>
      </c>
      <c r="G983" s="85" t="s">
        <v>483</v>
      </c>
      <c r="H983" s="85" t="s">
        <v>484</v>
      </c>
    </row>
    <row r="984" spans="1:8" ht="14.25" x14ac:dyDescent="0.45">
      <c r="A984" s="86" cm="1">
        <f t="array" aca="1" ref="A984:A995" ca="1">_xlfn.SEQUENCE(COUNTA(_xlfn.LET(_xlpm.trimmed,OFFSET(f_listof_program_candidates,MATCH("JN30",f_listof_program_codes,0)-1,6,1,),TRANSPOSE(_xlfn._xlws.FILTER(OFFSET(_xlpm.trimmed,0,0,,COUNTA(_xlpm.trimmed)-5),OFFSET(_xlpm.trimmed,0,0,,COUNTA(_xlpm.trimmed)-5)&lt;&gt;0)))))</f>
        <v>1</v>
      </c>
      <c r="B984" s="86" t="str" cm="1">
        <f t="array" aca="1" ref="B984:B995" ca="1">_xlfn.LET(_xlpm.trimmed,OFFSET(f_listof_program_candidates,MATCH("JN30",f_listof_program_codes,0)-1,6,1,),TRANSPOSE(_xlfn._xlws.FILTER(OFFSET(_xlpm.trimmed,0,0,,COUNTA(_xlpm.trimmed)-5),OFFSET(_xlpm.trimmed,0,0,,COUNTA(_xlpm.trimmed)-5)&lt;&gt;0)))</f>
        <v>B120</v>
      </c>
      <c r="C984" s="86" t="str">
        <f t="shared" ref="C984:C995" ca="1" si="216">VLOOKUP(B984,f_detailsof_candidates,2,FALSE)</f>
        <v>MOHAMMED RIYAN</v>
      </c>
      <c r="D984" s="86" t="str">
        <f t="shared" ref="D984:D995" ca="1" si="217">VLOOKUP(B984,f_detailsof_candidates,3,FALSE)</f>
        <v>FANT</v>
      </c>
      <c r="E984" s="86">
        <f t="shared" ref="E984:E995" ca="1" si="218">VLOOKUP(B984,f_detailsof_candidates,5,FALSE)</f>
        <v>3</v>
      </c>
    </row>
    <row r="985" spans="1:8" ht="14.25" x14ac:dyDescent="0.45">
      <c r="A985" s="86">
        <f ca="1"/>
        <v>2</v>
      </c>
      <c r="B985" s="86" t="str">
        <f ca="1"/>
        <v>B135</v>
      </c>
      <c r="C985" s="86" t="str">
        <f t="shared" ca="1" si="216"/>
        <v>MOHAMMED RAFIH M R</v>
      </c>
      <c r="D985" s="86" t="str">
        <f t="shared" ca="1" si="217"/>
        <v>FANT</v>
      </c>
      <c r="E985" s="86">
        <f t="shared" ca="1" si="218"/>
        <v>3</v>
      </c>
    </row>
    <row r="986" spans="1:8" ht="14.25" x14ac:dyDescent="0.45">
      <c r="A986" s="86">
        <f ca="1"/>
        <v>3</v>
      </c>
      <c r="B986" s="86" t="str">
        <f ca="1"/>
        <v>B145</v>
      </c>
      <c r="C986" s="86" t="str">
        <f t="shared" ca="1" si="216"/>
        <v>YASEEN NOORULLA PH</v>
      </c>
      <c r="D986" s="86" t="str">
        <f t="shared" ca="1" si="217"/>
        <v>FANT</v>
      </c>
      <c r="E986" s="86">
        <f t="shared" ca="1" si="218"/>
        <v>4</v>
      </c>
    </row>
    <row r="987" spans="1:8" ht="14.25" x14ac:dyDescent="0.45">
      <c r="A987" s="86">
        <f ca="1"/>
        <v>4</v>
      </c>
      <c r="B987" s="86" t="str">
        <f ca="1"/>
        <v>B159</v>
      </c>
      <c r="C987" s="86" t="str">
        <f t="shared" ca="1" si="216"/>
        <v>AJMAL AHMED MT</v>
      </c>
      <c r="D987" s="86" t="str">
        <f t="shared" ca="1" si="217"/>
        <v>DAHF</v>
      </c>
      <c r="E987" s="86">
        <f t="shared" ca="1" si="218"/>
        <v>4</v>
      </c>
    </row>
    <row r="988" spans="1:8" ht="14.25" x14ac:dyDescent="0.45">
      <c r="A988" s="86">
        <f ca="1"/>
        <v>5</v>
      </c>
      <c r="B988" s="86" t="str">
        <f ca="1"/>
        <v>B132</v>
      </c>
      <c r="C988" s="86" t="str">
        <f t="shared" ca="1" si="216"/>
        <v>MUHAMMED SAEED THUFAIL</v>
      </c>
      <c r="D988" s="86" t="str">
        <f t="shared" ca="1" si="217"/>
        <v>DAHF</v>
      </c>
      <c r="E988" s="86">
        <f t="shared" ca="1" si="218"/>
        <v>3</v>
      </c>
    </row>
    <row r="989" spans="1:8" ht="14.25" x14ac:dyDescent="0.45">
      <c r="A989" s="86">
        <f ca="1"/>
        <v>6</v>
      </c>
      <c r="B989" s="86" t="str">
        <f ca="1"/>
        <v>B158</v>
      </c>
      <c r="C989" s="86" t="str">
        <f t="shared" ca="1" si="216"/>
        <v>FADIL MOHAMMED K M</v>
      </c>
      <c r="D989" s="86" t="str">
        <f t="shared" ca="1" si="217"/>
        <v>DAHF</v>
      </c>
      <c r="E989" s="86">
        <f t="shared" ca="1" si="218"/>
        <v>4</v>
      </c>
    </row>
    <row r="990" spans="1:8" ht="14.25" x14ac:dyDescent="0.45">
      <c r="A990" s="86">
        <f ca="1"/>
        <v>7</v>
      </c>
      <c r="B990" s="86" t="str">
        <f ca="1"/>
        <v>B121</v>
      </c>
      <c r="C990" s="86" t="str">
        <f t="shared" ca="1" si="216"/>
        <v>MOHIDDEEN SHAHSHAD</v>
      </c>
      <c r="D990" s="86" t="str">
        <f t="shared" ca="1" si="217"/>
        <v>BADF</v>
      </c>
      <c r="E990" s="86">
        <f t="shared" ca="1" si="218"/>
        <v>3</v>
      </c>
    </row>
    <row r="991" spans="1:8" ht="14.25" x14ac:dyDescent="0.45">
      <c r="A991" s="86">
        <f ca="1"/>
        <v>8</v>
      </c>
      <c r="B991" s="86" t="str">
        <f ca="1"/>
        <v>B142</v>
      </c>
      <c r="C991" s="86" t="str">
        <f t="shared" ca="1" si="216"/>
        <v>MUHAMMED HAMDAN A.P</v>
      </c>
      <c r="D991" s="86" t="str">
        <f t="shared" ca="1" si="217"/>
        <v>BADF</v>
      </c>
      <c r="E991" s="86">
        <f t="shared" ca="1" si="218"/>
        <v>4</v>
      </c>
    </row>
    <row r="992" spans="1:8" ht="14.25" x14ac:dyDescent="0.45">
      <c r="A992" s="86">
        <f ca="1"/>
        <v>9</v>
      </c>
      <c r="B992" s="86" t="str">
        <f ca="1"/>
        <v>B146</v>
      </c>
      <c r="C992" s="86" t="str">
        <f t="shared" ca="1" si="216"/>
        <v>WASEEM NIHAD A M</v>
      </c>
      <c r="D992" s="86" t="str">
        <f t="shared" ca="1" si="217"/>
        <v>BADF</v>
      </c>
      <c r="E992" s="86">
        <f t="shared" ca="1" si="218"/>
        <v>4</v>
      </c>
    </row>
    <row r="993" spans="1:8" ht="14.25" x14ac:dyDescent="0.45">
      <c r="A993" s="86">
        <f ca="1"/>
        <v>10</v>
      </c>
      <c r="B993" s="86" t="str">
        <f ca="1"/>
        <v>B133</v>
      </c>
      <c r="C993" s="86" t="str">
        <f t="shared" ca="1" si="216"/>
        <v>MEERAN MOHIUDHEEN RAFIH</v>
      </c>
      <c r="D993" s="86" t="str">
        <f t="shared" ca="1" si="217"/>
        <v>JARF</v>
      </c>
      <c r="E993" s="86">
        <f t="shared" ca="1" si="218"/>
        <v>3</v>
      </c>
    </row>
    <row r="994" spans="1:8" ht="14.25" x14ac:dyDescent="0.45">
      <c r="A994" s="86">
        <f ca="1"/>
        <v>11</v>
      </c>
      <c r="B994" s="86" t="str">
        <f ca="1"/>
        <v>B160</v>
      </c>
      <c r="C994" s="86" t="str">
        <f t="shared" ca="1" si="216"/>
        <v>MOHAMMED DAWOOD K</v>
      </c>
      <c r="D994" s="86" t="str">
        <f t="shared" ca="1" si="217"/>
        <v>JARF</v>
      </c>
      <c r="E994" s="86">
        <f t="shared" ca="1" si="218"/>
        <v>4</v>
      </c>
    </row>
    <row r="995" spans="1:8" ht="14.25" x14ac:dyDescent="0.45">
      <c r="A995" s="86">
        <f ca="1"/>
        <v>12</v>
      </c>
      <c r="B995" s="86" t="str">
        <f ca="1"/>
        <v>B134</v>
      </c>
      <c r="C995" s="86" t="str">
        <f t="shared" ca="1" si="216"/>
        <v>ABDUL RAHIMAN AZAAN</v>
      </c>
      <c r="D995" s="86" t="str">
        <f t="shared" ca="1" si="217"/>
        <v>JARF</v>
      </c>
      <c r="E995" s="86">
        <f t="shared" ca="1" si="218"/>
        <v>3</v>
      </c>
    </row>
    <row r="996" spans="1:8" ht="14.25" x14ac:dyDescent="0.45">
      <c r="A996" s="84" t="s">
        <v>237</v>
      </c>
      <c r="B996" s="84" t="str">
        <f>VLOOKUP("JN31",f_detailsof_programs,2,FALSE)</f>
        <v>JUST A MINUTE</v>
      </c>
      <c r="C996" s="84"/>
      <c r="D996" s="84" t="s">
        <v>688</v>
      </c>
      <c r="E996" s="84" t="s">
        <v>485</v>
      </c>
      <c r="F996" s="84"/>
      <c r="G996" s="84"/>
      <c r="H996" s="84"/>
    </row>
    <row r="997" spans="1:8" ht="14.25" x14ac:dyDescent="0.45">
      <c r="A997" s="85" t="s">
        <v>16</v>
      </c>
      <c r="B997" s="85" t="s">
        <v>480</v>
      </c>
      <c r="C997" s="85" t="s">
        <v>18</v>
      </c>
      <c r="D997" s="85" t="s">
        <v>481</v>
      </c>
      <c r="E997" s="85" t="s">
        <v>19</v>
      </c>
      <c r="F997" s="85" t="s">
        <v>482</v>
      </c>
      <c r="G997" s="85" t="s">
        <v>483</v>
      </c>
      <c r="H997" s="85" t="s">
        <v>484</v>
      </c>
    </row>
    <row r="998" spans="1:8" ht="14.25" x14ac:dyDescent="0.45">
      <c r="A998" s="86" cm="1">
        <f t="array" aca="1" ref="A998:A1009" ca="1">_xlfn.SEQUENCE(COUNTA(_xlfn.LET(_xlpm.trimmed,OFFSET(f_listof_program_candidates,MATCH("JN31",f_listof_program_codes,0)-1,6,1,),TRANSPOSE(_xlfn._xlws.FILTER(OFFSET(_xlpm.trimmed,0,0,,COUNTA(_xlpm.trimmed)-5),OFFSET(_xlpm.trimmed,0,0,,COUNTA(_xlpm.trimmed)-5)&lt;&gt;0)))))</f>
        <v>1</v>
      </c>
      <c r="B998" s="86" t="str" cm="1">
        <f t="array" aca="1" ref="B998:B1009" ca="1">_xlfn.LET(_xlpm.trimmed,OFFSET(f_listof_program_candidates,MATCH("JN31",f_listof_program_codes,0)-1,6,1,),TRANSPOSE(_xlfn._xlws.FILTER(OFFSET(_xlpm.trimmed,0,0,,COUNTA(_xlpm.trimmed)-5),OFFSET(_xlpm.trimmed,0,0,,COUNTA(_xlpm.trimmed)-5)&lt;&gt;0)))</f>
        <v>B111</v>
      </c>
      <c r="C998" s="86" t="str">
        <f t="shared" ref="C998:C1009" ca="1" si="219">VLOOKUP(B998,f_detailsof_candidates,2,FALSE)</f>
        <v>MUHAMMED SAHEEM ASHRAF</v>
      </c>
      <c r="D998" s="86" t="str">
        <f t="shared" ref="D998:D1009" ca="1" si="220">VLOOKUP(B998,f_detailsof_candidates,3,FALSE)</f>
        <v>FANT</v>
      </c>
      <c r="E998" s="86">
        <f t="shared" ref="E998:E1009" ca="1" si="221">VLOOKUP(B998,f_detailsof_candidates,5,FALSE)</f>
        <v>3</v>
      </c>
    </row>
    <row r="999" spans="1:8" ht="14.25" x14ac:dyDescent="0.45">
      <c r="A999" s="86">
        <f ca="1"/>
        <v>2</v>
      </c>
      <c r="B999" s="86" t="str">
        <f ca="1"/>
        <v>B129</v>
      </c>
      <c r="C999" s="86" t="str">
        <f t="shared" ca="1" si="219"/>
        <v>MOHAMMED SABITH KU</v>
      </c>
      <c r="D999" s="86" t="str">
        <f t="shared" ca="1" si="220"/>
        <v>FANT</v>
      </c>
      <c r="E999" s="86">
        <f t="shared" ca="1" si="221"/>
        <v>3</v>
      </c>
    </row>
    <row r="1000" spans="1:8" ht="14.25" x14ac:dyDescent="0.45">
      <c r="A1000" s="86">
        <f ca="1"/>
        <v>3</v>
      </c>
      <c r="B1000" s="86" t="str">
        <f ca="1"/>
        <v>B144</v>
      </c>
      <c r="C1000" s="86" t="str">
        <f t="shared" ca="1" si="219"/>
        <v>MUHAMMED NAFIH CI</v>
      </c>
      <c r="D1000" s="86" t="str">
        <f t="shared" ca="1" si="220"/>
        <v>FANT</v>
      </c>
      <c r="E1000" s="86">
        <f t="shared" ca="1" si="221"/>
        <v>4</v>
      </c>
    </row>
    <row r="1001" spans="1:8" ht="14.25" x14ac:dyDescent="0.45">
      <c r="A1001" s="86">
        <f ca="1"/>
        <v>4</v>
      </c>
      <c r="B1001" s="86" t="str">
        <f ca="1"/>
        <v>B109</v>
      </c>
      <c r="C1001" s="86" t="str">
        <f t="shared" ca="1" si="219"/>
        <v>AHAMMED SAFAR ZAKARIYA</v>
      </c>
      <c r="D1001" s="86" t="str">
        <f t="shared" ca="1" si="220"/>
        <v>DAHF</v>
      </c>
      <c r="E1001" s="86">
        <f t="shared" ca="1" si="221"/>
        <v>3</v>
      </c>
    </row>
    <row r="1002" spans="1:8" ht="14.25" x14ac:dyDescent="0.45">
      <c r="A1002" s="86">
        <f ca="1"/>
        <v>5</v>
      </c>
      <c r="B1002" s="86" t="str">
        <f ca="1"/>
        <v>B114</v>
      </c>
      <c r="C1002" s="86" t="str">
        <f t="shared" ca="1" si="219"/>
        <v>AMEEN RAHMAN MTP</v>
      </c>
      <c r="D1002" s="86" t="str">
        <f t="shared" ca="1" si="220"/>
        <v>DAHF</v>
      </c>
      <c r="E1002" s="86">
        <f t="shared" ca="1" si="221"/>
        <v>3</v>
      </c>
    </row>
    <row r="1003" spans="1:8" ht="14.25" x14ac:dyDescent="0.45">
      <c r="A1003" s="86">
        <f ca="1"/>
        <v>6</v>
      </c>
      <c r="B1003" s="86" t="str">
        <f ca="1"/>
        <v>B161</v>
      </c>
      <c r="C1003" s="86" t="str">
        <f t="shared" ca="1" si="219"/>
        <v>MUHAMMED RAZI TM</v>
      </c>
      <c r="D1003" s="86" t="str">
        <f t="shared" ca="1" si="220"/>
        <v>DAHF</v>
      </c>
      <c r="E1003" s="86">
        <f t="shared" ca="1" si="221"/>
        <v>4</v>
      </c>
    </row>
    <row r="1004" spans="1:8" ht="14.25" x14ac:dyDescent="0.45">
      <c r="A1004" s="86">
        <f ca="1"/>
        <v>7</v>
      </c>
      <c r="B1004" s="86" t="str">
        <f ca="1"/>
        <v>B106</v>
      </c>
      <c r="C1004" s="86" t="str">
        <f t="shared" ca="1" si="219"/>
        <v>MUHAMMED ROUHAN M.K</v>
      </c>
      <c r="D1004" s="86" t="str">
        <f t="shared" ca="1" si="220"/>
        <v>BADF</v>
      </c>
      <c r="E1004" s="86">
        <f t="shared" ca="1" si="221"/>
        <v>3</v>
      </c>
    </row>
    <row r="1005" spans="1:8" ht="14.25" x14ac:dyDescent="0.45">
      <c r="A1005" s="86">
        <f ca="1"/>
        <v>8</v>
      </c>
      <c r="B1005" s="86" t="str">
        <f ca="1"/>
        <v>B138</v>
      </c>
      <c r="C1005" s="86" t="str">
        <f t="shared" ca="1" si="219"/>
        <v>HABEEB RAHMAN CA</v>
      </c>
      <c r="D1005" s="86" t="str">
        <f t="shared" ca="1" si="220"/>
        <v>BADF</v>
      </c>
      <c r="E1005" s="86">
        <f t="shared" ca="1" si="221"/>
        <v>3</v>
      </c>
    </row>
    <row r="1006" spans="1:8" ht="14.25" x14ac:dyDescent="0.45">
      <c r="A1006" s="86">
        <f ca="1"/>
        <v>9</v>
      </c>
      <c r="B1006" s="86" t="str">
        <f ca="1"/>
        <v>B164</v>
      </c>
      <c r="C1006" s="86" t="str">
        <f t="shared" ca="1" si="219"/>
        <v>RASALUL AMEEN T</v>
      </c>
      <c r="D1006" s="86" t="str">
        <f t="shared" ca="1" si="220"/>
        <v>BADF</v>
      </c>
      <c r="E1006" s="86">
        <f t="shared" ca="1" si="221"/>
        <v>4</v>
      </c>
    </row>
    <row r="1007" spans="1:8" ht="14.25" x14ac:dyDescent="0.45">
      <c r="A1007" s="86">
        <f ca="1"/>
        <v>10</v>
      </c>
      <c r="B1007" s="86" t="str">
        <f ca="1"/>
        <v>B108</v>
      </c>
      <c r="C1007" s="86" t="str">
        <f t="shared" ca="1" si="219"/>
        <v>ABDUL RAHIMAN FAIZ T A</v>
      </c>
      <c r="D1007" s="86" t="str">
        <f t="shared" ca="1" si="220"/>
        <v>JARF</v>
      </c>
      <c r="E1007" s="86">
        <f t="shared" ca="1" si="221"/>
        <v>3</v>
      </c>
    </row>
    <row r="1008" spans="1:8" ht="14.25" x14ac:dyDescent="0.45">
      <c r="A1008" s="86">
        <f ca="1"/>
        <v>11</v>
      </c>
      <c r="B1008" s="86" t="str">
        <f ca="1"/>
        <v>B116</v>
      </c>
      <c r="C1008" s="86" t="str">
        <f t="shared" ca="1" si="219"/>
        <v>MOHAMMED SABIK BM</v>
      </c>
      <c r="D1008" s="86" t="str">
        <f t="shared" ca="1" si="220"/>
        <v>JARF</v>
      </c>
      <c r="E1008" s="86">
        <f t="shared" ca="1" si="221"/>
        <v>3</v>
      </c>
    </row>
    <row r="1009" spans="1:8" ht="14.25" x14ac:dyDescent="0.45">
      <c r="A1009" s="86">
        <f ca="1"/>
        <v>12</v>
      </c>
      <c r="B1009" s="86" t="str">
        <f ca="1"/>
        <v>B148</v>
      </c>
      <c r="C1009" s="86" t="str">
        <f t="shared" ca="1" si="219"/>
        <v>MOHAMMED BAQIR TS</v>
      </c>
      <c r="D1009" s="86" t="str">
        <f t="shared" ca="1" si="220"/>
        <v>JARF</v>
      </c>
      <c r="E1009" s="86">
        <f t="shared" ca="1" si="221"/>
        <v>4</v>
      </c>
    </row>
    <row r="1010" spans="1:8" ht="14.25" x14ac:dyDescent="0.45">
      <c r="A1010" s="84" t="s">
        <v>239</v>
      </c>
      <c r="B1010" s="84" t="str">
        <f>VLOOKUP("JN32",f_detailsof_programs,2,FALSE)</f>
        <v>MADH GANAM MLM</v>
      </c>
      <c r="C1010" s="84"/>
      <c r="D1010" s="84" t="s">
        <v>688</v>
      </c>
      <c r="E1010" s="84" t="s">
        <v>485</v>
      </c>
      <c r="F1010" s="84"/>
      <c r="G1010" s="84"/>
      <c r="H1010" s="84"/>
    </row>
    <row r="1011" spans="1:8" ht="14.25" x14ac:dyDescent="0.45">
      <c r="A1011" s="85" t="s">
        <v>16</v>
      </c>
      <c r="B1011" s="85" t="s">
        <v>480</v>
      </c>
      <c r="C1011" s="85" t="s">
        <v>18</v>
      </c>
      <c r="D1011" s="85" t="s">
        <v>481</v>
      </c>
      <c r="E1011" s="85" t="s">
        <v>19</v>
      </c>
      <c r="F1011" s="85" t="s">
        <v>482</v>
      </c>
      <c r="G1011" s="85" t="s">
        <v>483</v>
      </c>
      <c r="H1011" s="85" t="s">
        <v>484</v>
      </c>
    </row>
    <row r="1012" spans="1:8" ht="14.25" x14ac:dyDescent="0.45">
      <c r="A1012" s="86" cm="1">
        <f t="array" aca="1" ref="A1012:A1023" ca="1">_xlfn.SEQUENCE(COUNTA(_xlfn.LET(_xlpm.trimmed,OFFSET(f_listof_program_candidates,MATCH("JN32",f_listof_program_codes,0)-1,6,1,),TRANSPOSE(_xlfn._xlws.FILTER(OFFSET(_xlpm.trimmed,0,0,,COUNTA(_xlpm.trimmed)-5),OFFSET(_xlpm.trimmed,0,0,,COUNTA(_xlpm.trimmed)-5)&lt;&gt;0)))))</f>
        <v>1</v>
      </c>
      <c r="B1012" s="86" t="str" cm="1">
        <f t="array" aca="1" ref="B1012:B1023" ca="1">_xlfn.LET(_xlpm.trimmed,OFFSET(f_listof_program_candidates,MATCH("JN32",f_listof_program_codes,0)-1,6,1,),TRANSPOSE(_xlfn._xlws.FILTER(OFFSET(_xlpm.trimmed,0,0,,COUNTA(_xlpm.trimmed)-5),OFFSET(_xlpm.trimmed,0,0,,COUNTA(_xlpm.trimmed)-5)&lt;&gt;0)))</f>
        <v>B120</v>
      </c>
      <c r="C1012" s="86" t="str">
        <f t="shared" ref="C1012:C1023" ca="1" si="222">VLOOKUP(B1012,f_detailsof_candidates,2,FALSE)</f>
        <v>MOHAMMED RIYAN</v>
      </c>
      <c r="D1012" s="86" t="str">
        <f t="shared" ref="D1012:D1023" ca="1" si="223">VLOOKUP(B1012,f_detailsof_candidates,3,FALSE)</f>
        <v>FANT</v>
      </c>
      <c r="E1012" s="86">
        <f t="shared" ref="E1012:E1023" ca="1" si="224">VLOOKUP(B1012,f_detailsof_candidates,5,FALSE)</f>
        <v>3</v>
      </c>
    </row>
    <row r="1013" spans="1:8" ht="14.25" x14ac:dyDescent="0.45">
      <c r="A1013" s="86">
        <f ca="1"/>
        <v>2</v>
      </c>
      <c r="B1013" s="86" t="str">
        <f ca="1"/>
        <v>B129</v>
      </c>
      <c r="C1013" s="86" t="str">
        <f t="shared" ca="1" si="222"/>
        <v>MOHAMMED SABITH KU</v>
      </c>
      <c r="D1013" s="86" t="str">
        <f t="shared" ca="1" si="223"/>
        <v>FANT</v>
      </c>
      <c r="E1013" s="86">
        <f t="shared" ca="1" si="224"/>
        <v>3</v>
      </c>
    </row>
    <row r="1014" spans="1:8" ht="14.25" x14ac:dyDescent="0.45">
      <c r="A1014" s="86">
        <f ca="1"/>
        <v>3</v>
      </c>
      <c r="B1014" s="86" t="str">
        <f ca="1"/>
        <v>B130</v>
      </c>
      <c r="C1014" s="86" t="str">
        <f t="shared" ca="1" si="222"/>
        <v>HAFIL ADIL AMANULLAH K K</v>
      </c>
      <c r="D1014" s="86" t="str">
        <f t="shared" ca="1" si="223"/>
        <v>FANT</v>
      </c>
      <c r="E1014" s="86">
        <f t="shared" ca="1" si="224"/>
        <v>3</v>
      </c>
    </row>
    <row r="1015" spans="1:8" ht="14.25" x14ac:dyDescent="0.45">
      <c r="A1015" s="86">
        <f ca="1"/>
        <v>4</v>
      </c>
      <c r="B1015" s="86" t="str">
        <f ca="1"/>
        <v>B109</v>
      </c>
      <c r="C1015" s="86" t="str">
        <f t="shared" ca="1" si="222"/>
        <v>AHAMMED SAFAR ZAKARIYA</v>
      </c>
      <c r="D1015" s="86" t="str">
        <f t="shared" ca="1" si="223"/>
        <v>DAHF</v>
      </c>
      <c r="E1015" s="86">
        <f t="shared" ca="1" si="224"/>
        <v>3</v>
      </c>
    </row>
    <row r="1016" spans="1:8" ht="14.25" x14ac:dyDescent="0.45">
      <c r="A1016" s="86">
        <f ca="1"/>
        <v>5</v>
      </c>
      <c r="B1016" s="86" t="str">
        <f ca="1"/>
        <v>B139</v>
      </c>
      <c r="C1016" s="86" t="str">
        <f t="shared" ca="1" si="222"/>
        <v>Muhammad</v>
      </c>
      <c r="D1016" s="86" t="str">
        <f t="shared" ca="1" si="223"/>
        <v>DAHF</v>
      </c>
      <c r="E1016" s="86">
        <f t="shared" ca="1" si="224"/>
        <v>3</v>
      </c>
    </row>
    <row r="1017" spans="1:8" ht="14.25" x14ac:dyDescent="0.45">
      <c r="A1017" s="86">
        <f ca="1"/>
        <v>6</v>
      </c>
      <c r="B1017" s="86" t="str">
        <f ca="1"/>
        <v>B159</v>
      </c>
      <c r="C1017" s="86" t="str">
        <f t="shared" ca="1" si="222"/>
        <v>AJMAL AHMED MT</v>
      </c>
      <c r="D1017" s="86" t="str">
        <f t="shared" ca="1" si="223"/>
        <v>DAHF</v>
      </c>
      <c r="E1017" s="86">
        <f t="shared" ca="1" si="224"/>
        <v>4</v>
      </c>
    </row>
    <row r="1018" spans="1:8" ht="14.25" x14ac:dyDescent="0.45">
      <c r="A1018" s="86">
        <f ca="1"/>
        <v>7</v>
      </c>
      <c r="B1018" s="86" t="str">
        <f ca="1"/>
        <v>B117</v>
      </c>
      <c r="C1018" s="86" t="str">
        <f t="shared" ca="1" si="222"/>
        <v>MUHAMMAD SABITH V K P</v>
      </c>
      <c r="D1018" s="86" t="str">
        <f t="shared" ca="1" si="223"/>
        <v>BADF</v>
      </c>
      <c r="E1018" s="86">
        <f t="shared" ca="1" si="224"/>
        <v>3</v>
      </c>
    </row>
    <row r="1019" spans="1:8" ht="14.25" x14ac:dyDescent="0.45">
      <c r="A1019" s="86">
        <f ca="1"/>
        <v>8</v>
      </c>
      <c r="B1019" s="86" t="str">
        <f ca="1"/>
        <v>B146</v>
      </c>
      <c r="C1019" s="86" t="str">
        <f t="shared" ca="1" si="222"/>
        <v>WASEEM NIHAD A M</v>
      </c>
      <c r="D1019" s="86" t="str">
        <f t="shared" ca="1" si="223"/>
        <v>BADF</v>
      </c>
      <c r="E1019" s="86">
        <f t="shared" ca="1" si="224"/>
        <v>4</v>
      </c>
    </row>
    <row r="1020" spans="1:8" ht="14.25" x14ac:dyDescent="0.45">
      <c r="A1020" s="86">
        <f ca="1"/>
        <v>9</v>
      </c>
      <c r="B1020" s="86" t="str">
        <f ca="1"/>
        <v>B153</v>
      </c>
      <c r="C1020" s="86" t="str">
        <f t="shared" ca="1" si="222"/>
        <v>ABDUL KHADER ISHAQUE</v>
      </c>
      <c r="D1020" s="86" t="str">
        <f t="shared" ca="1" si="223"/>
        <v>BADF</v>
      </c>
      <c r="E1020" s="86">
        <f t="shared" ca="1" si="224"/>
        <v>4</v>
      </c>
    </row>
    <row r="1021" spans="1:8" ht="14.25" x14ac:dyDescent="0.45">
      <c r="A1021" s="86">
        <f ca="1"/>
        <v>10</v>
      </c>
      <c r="B1021" s="86" t="str">
        <f ca="1"/>
        <v>B105</v>
      </c>
      <c r="C1021" s="86" t="str">
        <f t="shared" ca="1" si="222"/>
        <v>HASAN THAMMEEM</v>
      </c>
      <c r="D1021" s="86" t="str">
        <f t="shared" ca="1" si="223"/>
        <v>JARF</v>
      </c>
      <c r="E1021" s="86">
        <f t="shared" ca="1" si="224"/>
        <v>3</v>
      </c>
    </row>
    <row r="1022" spans="1:8" ht="14.25" x14ac:dyDescent="0.45">
      <c r="A1022" s="86">
        <f ca="1"/>
        <v>11</v>
      </c>
      <c r="B1022" s="86" t="str">
        <f ca="1"/>
        <v>B134</v>
      </c>
      <c r="C1022" s="86" t="str">
        <f t="shared" ca="1" si="222"/>
        <v>ABDUL RAHIMAN AZAAN</v>
      </c>
      <c r="D1022" s="86" t="str">
        <f t="shared" ca="1" si="223"/>
        <v>JARF</v>
      </c>
      <c r="E1022" s="86">
        <f t="shared" ca="1" si="224"/>
        <v>3</v>
      </c>
    </row>
    <row r="1023" spans="1:8" ht="14.25" x14ac:dyDescent="0.45">
      <c r="A1023" s="86">
        <f ca="1"/>
        <v>12</v>
      </c>
      <c r="B1023" s="86" t="str">
        <f ca="1"/>
        <v>B152</v>
      </c>
      <c r="C1023" s="86" t="str">
        <f t="shared" ca="1" si="222"/>
        <v>MUHAMMED MUNAZIR MM</v>
      </c>
      <c r="D1023" s="86" t="str">
        <f t="shared" ca="1" si="223"/>
        <v>JARF</v>
      </c>
      <c r="E1023" s="86">
        <f t="shared" ca="1" si="224"/>
        <v>4</v>
      </c>
    </row>
    <row r="1024" spans="1:8" ht="14.25" x14ac:dyDescent="0.45">
      <c r="A1024" s="84" t="s">
        <v>241</v>
      </c>
      <c r="B1024" s="84" t="str">
        <f>VLOOKUP("JN33",f_detailsof_programs,2,FALSE)</f>
        <v>MULAFADHA</v>
      </c>
      <c r="C1024" s="84"/>
      <c r="D1024" s="84" t="s">
        <v>688</v>
      </c>
      <c r="E1024" s="84" t="s">
        <v>485</v>
      </c>
      <c r="F1024" s="84"/>
      <c r="G1024" s="84"/>
      <c r="H1024" s="84"/>
    </row>
    <row r="1025" spans="1:8" ht="14.25" x14ac:dyDescent="0.45">
      <c r="A1025" s="85" t="s">
        <v>16</v>
      </c>
      <c r="B1025" s="85" t="s">
        <v>480</v>
      </c>
      <c r="C1025" s="85" t="s">
        <v>18</v>
      </c>
      <c r="D1025" s="85" t="s">
        <v>481</v>
      </c>
      <c r="E1025" s="85" t="s">
        <v>19</v>
      </c>
      <c r="F1025" s="85" t="s">
        <v>482</v>
      </c>
      <c r="G1025" s="85" t="s">
        <v>483</v>
      </c>
      <c r="H1025" s="85" t="s">
        <v>484</v>
      </c>
    </row>
    <row r="1026" spans="1:8" ht="14.25" x14ac:dyDescent="0.45">
      <c r="A1026" s="86" cm="1">
        <f t="array" aca="1" ref="A1026:A1037" ca="1">_xlfn.SEQUENCE(COUNTA(_xlfn.LET(_xlpm.trimmed,OFFSET(f_listof_program_candidates,MATCH("JN33",f_listof_program_codes,0)-1,6,1,),TRANSPOSE(_xlfn._xlws.FILTER(OFFSET(_xlpm.trimmed,0,0,,COUNTA(_xlpm.trimmed)-5),OFFSET(_xlpm.trimmed,0,0,,COUNTA(_xlpm.trimmed)-5)&lt;&gt;0)))))</f>
        <v>1</v>
      </c>
      <c r="B1026" s="86" t="str" cm="1">
        <f t="array" aca="1" ref="B1026:B1037" ca="1">_xlfn.LET(_xlpm.trimmed,OFFSET(f_listof_program_candidates,MATCH("JN33",f_listof_program_codes,0)-1,6,1,),TRANSPOSE(_xlfn._xlws.FILTER(OFFSET(_xlpm.trimmed,0,0,,COUNTA(_xlpm.trimmed)-5),OFFSET(_xlpm.trimmed,0,0,,COUNTA(_xlpm.trimmed)-5)&lt;&gt;0)))</f>
        <v>B102</v>
      </c>
      <c r="C1026" s="86" t="str">
        <f t="shared" ref="C1026:C1037" ca="1" si="225">VLOOKUP(B1026,f_detailsof_candidates,2,FALSE)</f>
        <v>AHMAD MUBASHAR</v>
      </c>
      <c r="D1026" s="86" t="str">
        <f t="shared" ref="D1026:D1037" ca="1" si="226">VLOOKUP(B1026,f_detailsof_candidates,3,FALSE)</f>
        <v>FANT</v>
      </c>
      <c r="E1026" s="86">
        <f t="shared" ref="E1026:E1037" ca="1" si="227">VLOOKUP(B1026,f_detailsof_candidates,5,FALSE)</f>
        <v>3</v>
      </c>
    </row>
    <row r="1027" spans="1:8" ht="14.25" x14ac:dyDescent="0.45">
      <c r="A1027" s="86">
        <f ca="1"/>
        <v>2</v>
      </c>
      <c r="B1027" s="86" t="str">
        <f ca="1"/>
        <v>B135</v>
      </c>
      <c r="C1027" s="86" t="str">
        <f t="shared" ca="1" si="225"/>
        <v>MOHAMMED RAFIH M R</v>
      </c>
      <c r="D1027" s="86" t="str">
        <f t="shared" ca="1" si="226"/>
        <v>FANT</v>
      </c>
      <c r="E1027" s="86">
        <f t="shared" ca="1" si="227"/>
        <v>3</v>
      </c>
    </row>
    <row r="1028" spans="1:8" ht="14.25" x14ac:dyDescent="0.45">
      <c r="A1028" s="86">
        <f ca="1"/>
        <v>3</v>
      </c>
      <c r="B1028" s="86" t="str">
        <f ca="1"/>
        <v>B145</v>
      </c>
      <c r="C1028" s="86" t="str">
        <f t="shared" ca="1" si="225"/>
        <v>YASEEN NOORULLA PH</v>
      </c>
      <c r="D1028" s="86" t="str">
        <f t="shared" ca="1" si="226"/>
        <v>FANT</v>
      </c>
      <c r="E1028" s="86">
        <f t="shared" ca="1" si="227"/>
        <v>4</v>
      </c>
    </row>
    <row r="1029" spans="1:8" ht="14.25" x14ac:dyDescent="0.45">
      <c r="A1029" s="86">
        <f ca="1"/>
        <v>4</v>
      </c>
      <c r="B1029" s="86" t="str">
        <f ca="1"/>
        <v>B124</v>
      </c>
      <c r="C1029" s="86" t="str">
        <f t="shared" ca="1" si="225"/>
        <v>MOHAMMED RAED. UA</v>
      </c>
      <c r="D1029" s="86" t="str">
        <f t="shared" ca="1" si="226"/>
        <v>DAHF</v>
      </c>
      <c r="E1029" s="86">
        <f t="shared" ca="1" si="227"/>
        <v>3</v>
      </c>
    </row>
    <row r="1030" spans="1:8" ht="14.25" x14ac:dyDescent="0.45">
      <c r="A1030" s="86">
        <f ca="1"/>
        <v>5</v>
      </c>
      <c r="B1030" s="86" t="str">
        <f ca="1"/>
        <v>B149</v>
      </c>
      <c r="C1030" s="86" t="str">
        <f t="shared" ca="1" si="225"/>
        <v>MUHAMMED FARHAN PH</v>
      </c>
      <c r="D1030" s="86" t="str">
        <f t="shared" ca="1" si="226"/>
        <v>DAHF</v>
      </c>
      <c r="E1030" s="86">
        <f t="shared" ca="1" si="227"/>
        <v>4</v>
      </c>
    </row>
    <row r="1031" spans="1:8" ht="14.25" x14ac:dyDescent="0.45">
      <c r="A1031" s="86">
        <f ca="1"/>
        <v>6</v>
      </c>
      <c r="B1031" s="86" t="str">
        <f ca="1"/>
        <v>B158</v>
      </c>
      <c r="C1031" s="86" t="str">
        <f t="shared" ca="1" si="225"/>
        <v>FADIL MOHAMMED K M</v>
      </c>
      <c r="D1031" s="86" t="str">
        <f t="shared" ca="1" si="226"/>
        <v>DAHF</v>
      </c>
      <c r="E1031" s="86">
        <f t="shared" ca="1" si="227"/>
        <v>4</v>
      </c>
    </row>
    <row r="1032" spans="1:8" ht="14.25" x14ac:dyDescent="0.45">
      <c r="A1032" s="86">
        <f ca="1"/>
        <v>7</v>
      </c>
      <c r="B1032" s="86" t="str">
        <f ca="1"/>
        <v>B121</v>
      </c>
      <c r="C1032" s="86" t="str">
        <f t="shared" ca="1" si="225"/>
        <v>MOHIDDEEN SHAHSHAD</v>
      </c>
      <c r="D1032" s="86" t="str">
        <f t="shared" ca="1" si="226"/>
        <v>BADF</v>
      </c>
      <c r="E1032" s="86">
        <f t="shared" ca="1" si="227"/>
        <v>3</v>
      </c>
    </row>
    <row r="1033" spans="1:8" ht="14.25" x14ac:dyDescent="0.45">
      <c r="A1033" s="86">
        <f ca="1"/>
        <v>8</v>
      </c>
      <c r="B1033" s="86" t="str">
        <f ca="1"/>
        <v>B137</v>
      </c>
      <c r="C1033" s="86" t="str">
        <f t="shared" ca="1" si="225"/>
        <v>MOHAMMAD IJAN</v>
      </c>
      <c r="D1033" s="86" t="str">
        <f t="shared" ca="1" si="226"/>
        <v>BADF</v>
      </c>
      <c r="E1033" s="86">
        <f t="shared" ca="1" si="227"/>
        <v>3</v>
      </c>
    </row>
    <row r="1034" spans="1:8" ht="14.25" x14ac:dyDescent="0.45">
      <c r="A1034" s="86">
        <f ca="1"/>
        <v>9</v>
      </c>
      <c r="B1034" s="86" t="str">
        <f ca="1"/>
        <v>B142</v>
      </c>
      <c r="C1034" s="86" t="str">
        <f t="shared" ca="1" si="225"/>
        <v>MUHAMMED HAMDAN A.P</v>
      </c>
      <c r="D1034" s="86" t="str">
        <f t="shared" ca="1" si="226"/>
        <v>BADF</v>
      </c>
      <c r="E1034" s="86">
        <f t="shared" ca="1" si="227"/>
        <v>4</v>
      </c>
    </row>
    <row r="1035" spans="1:8" ht="14.25" x14ac:dyDescent="0.45">
      <c r="A1035" s="86">
        <f ca="1"/>
        <v>10</v>
      </c>
      <c r="B1035" s="86" t="str">
        <f ca="1"/>
        <v>B108</v>
      </c>
      <c r="C1035" s="86" t="str">
        <f t="shared" ca="1" si="225"/>
        <v>ABDUL RAHIMAN FAIZ T A</v>
      </c>
      <c r="D1035" s="86" t="str">
        <f t="shared" ca="1" si="226"/>
        <v>JARF</v>
      </c>
      <c r="E1035" s="86">
        <f t="shared" ca="1" si="227"/>
        <v>3</v>
      </c>
    </row>
    <row r="1036" spans="1:8" ht="14.25" x14ac:dyDescent="0.45">
      <c r="A1036" s="86">
        <f ca="1"/>
        <v>11</v>
      </c>
      <c r="B1036" s="86" t="str">
        <f ca="1"/>
        <v>B134</v>
      </c>
      <c r="C1036" s="86" t="str">
        <f t="shared" ca="1" si="225"/>
        <v>ABDUL RAHIMAN AZAAN</v>
      </c>
      <c r="D1036" s="86" t="str">
        <f t="shared" ca="1" si="226"/>
        <v>JARF</v>
      </c>
      <c r="E1036" s="86">
        <f t="shared" ca="1" si="227"/>
        <v>3</v>
      </c>
    </row>
    <row r="1037" spans="1:8" ht="14.25" x14ac:dyDescent="0.45">
      <c r="A1037" s="86">
        <f ca="1"/>
        <v>12</v>
      </c>
      <c r="B1037" s="86" t="str">
        <f ca="1"/>
        <v>B163</v>
      </c>
      <c r="C1037" s="86" t="str">
        <f t="shared" ca="1" si="225"/>
        <v>MOHAMMED YOUNUS</v>
      </c>
      <c r="D1037" s="86" t="str">
        <f t="shared" ca="1" si="226"/>
        <v>JARF</v>
      </c>
      <c r="E1037" s="86">
        <f t="shared" ca="1" si="227"/>
        <v>4</v>
      </c>
    </row>
    <row r="1038" spans="1:8" ht="14.25" x14ac:dyDescent="0.45">
      <c r="A1038" s="84" t="s">
        <v>243</v>
      </c>
      <c r="B1038" s="84" t="str">
        <f>VLOOKUP("JN34",f_detailsof_programs,2,FALSE)</f>
        <v>PADHYAPARAYANAM</v>
      </c>
      <c r="C1038" s="84"/>
      <c r="D1038" s="84" t="s">
        <v>688</v>
      </c>
      <c r="E1038" s="84" t="s">
        <v>485</v>
      </c>
      <c r="F1038" s="84"/>
      <c r="G1038" s="84"/>
      <c r="H1038" s="84"/>
    </row>
    <row r="1039" spans="1:8" ht="14.25" x14ac:dyDescent="0.45">
      <c r="A1039" s="85" t="s">
        <v>16</v>
      </c>
      <c r="B1039" s="85" t="s">
        <v>480</v>
      </c>
      <c r="C1039" s="85" t="s">
        <v>18</v>
      </c>
      <c r="D1039" s="85" t="s">
        <v>481</v>
      </c>
      <c r="E1039" s="85" t="s">
        <v>19</v>
      </c>
      <c r="F1039" s="85" t="s">
        <v>482</v>
      </c>
      <c r="G1039" s="85" t="s">
        <v>483</v>
      </c>
      <c r="H1039" s="85" t="s">
        <v>484</v>
      </c>
    </row>
    <row r="1040" spans="1:8" ht="14.25" x14ac:dyDescent="0.45">
      <c r="A1040" s="86" cm="1">
        <f t="array" aca="1" ref="A1040:A1051" ca="1">_xlfn.SEQUENCE(COUNTA(_xlfn.LET(_xlpm.trimmed,OFFSET(f_listof_program_candidates,MATCH("JN34",f_listof_program_codes,0)-1,6,1,),TRANSPOSE(_xlfn._xlws.FILTER(OFFSET(_xlpm.trimmed,0,0,,COUNTA(_xlpm.trimmed)-5),OFFSET(_xlpm.trimmed,0,0,,COUNTA(_xlpm.trimmed)-5)&lt;&gt;0)))))</f>
        <v>1</v>
      </c>
      <c r="B1040" s="86" t="str" cm="1">
        <f t="array" aca="1" ref="B1040:B1051" ca="1">_xlfn.LET(_xlpm.trimmed,OFFSET(f_listof_program_candidates,MATCH("JN34",f_listof_program_codes,0)-1,6,1,),TRANSPOSE(_xlfn._xlws.FILTER(OFFSET(_xlpm.trimmed,0,0,,COUNTA(_xlpm.trimmed)-5),OFFSET(_xlpm.trimmed,0,0,,COUNTA(_xlpm.trimmed)-5)&lt;&gt;0)))</f>
        <v>B104</v>
      </c>
      <c r="C1040" s="86" t="str">
        <f t="shared" ref="C1040:C1051" ca="1" si="228">VLOOKUP(B1040,f_detailsof_candidates,2,FALSE)</f>
        <v>FAKRUDDIN NAFIL</v>
      </c>
      <c r="D1040" s="86" t="str">
        <f t="shared" ref="D1040:D1051" ca="1" si="229">VLOOKUP(B1040,f_detailsof_candidates,3,FALSE)</f>
        <v>FANT</v>
      </c>
      <c r="E1040" s="86">
        <f t="shared" ref="E1040:E1051" ca="1" si="230">VLOOKUP(B1040,f_detailsof_candidates,5,FALSE)</f>
        <v>3</v>
      </c>
    </row>
    <row r="1041" spans="1:8" ht="14.25" x14ac:dyDescent="0.45">
      <c r="A1041" s="86">
        <f ca="1"/>
        <v>2</v>
      </c>
      <c r="B1041" s="86" t="str">
        <f ca="1"/>
        <v>B115</v>
      </c>
      <c r="C1041" s="86" t="str">
        <f t="shared" ca="1" si="228"/>
        <v>HASSAN SAHAL N A</v>
      </c>
      <c r="D1041" s="86" t="str">
        <f t="shared" ca="1" si="229"/>
        <v>FANT</v>
      </c>
      <c r="E1041" s="86">
        <f t="shared" ca="1" si="230"/>
        <v>3</v>
      </c>
    </row>
    <row r="1042" spans="1:8" ht="14.25" x14ac:dyDescent="0.45">
      <c r="A1042" s="86">
        <f ca="1"/>
        <v>3</v>
      </c>
      <c r="B1042" s="86" t="str">
        <f ca="1"/>
        <v>B129</v>
      </c>
      <c r="C1042" s="86" t="str">
        <f t="shared" ca="1" si="228"/>
        <v>MOHAMMED SABITH KU</v>
      </c>
      <c r="D1042" s="86" t="str">
        <f t="shared" ca="1" si="229"/>
        <v>FANT</v>
      </c>
      <c r="E1042" s="86">
        <f t="shared" ca="1" si="230"/>
        <v>3</v>
      </c>
    </row>
    <row r="1043" spans="1:8" ht="14.25" x14ac:dyDescent="0.45">
      <c r="A1043" s="86">
        <f ca="1"/>
        <v>4</v>
      </c>
      <c r="B1043" s="86" t="str">
        <f ca="1"/>
        <v>B109</v>
      </c>
      <c r="C1043" s="86" t="str">
        <f t="shared" ca="1" si="228"/>
        <v>AHAMMED SAFAR ZAKARIYA</v>
      </c>
      <c r="D1043" s="86" t="str">
        <f t="shared" ca="1" si="229"/>
        <v>DAHF</v>
      </c>
      <c r="E1043" s="86">
        <f t="shared" ca="1" si="230"/>
        <v>3</v>
      </c>
    </row>
    <row r="1044" spans="1:8" ht="14.25" x14ac:dyDescent="0.45">
      <c r="A1044" s="86">
        <f ca="1"/>
        <v>5</v>
      </c>
      <c r="B1044" s="86" t="str">
        <f ca="1"/>
        <v>B124</v>
      </c>
      <c r="C1044" s="86" t="str">
        <f t="shared" ca="1" si="228"/>
        <v>MOHAMMED RAED. UA</v>
      </c>
      <c r="D1044" s="86" t="str">
        <f t="shared" ca="1" si="229"/>
        <v>DAHF</v>
      </c>
      <c r="E1044" s="86">
        <f t="shared" ca="1" si="230"/>
        <v>3</v>
      </c>
    </row>
    <row r="1045" spans="1:8" ht="14.25" x14ac:dyDescent="0.45">
      <c r="A1045" s="86">
        <f ca="1"/>
        <v>6</v>
      </c>
      <c r="B1045" s="86" t="str">
        <f ca="1"/>
        <v>B159</v>
      </c>
      <c r="C1045" s="86" t="str">
        <f t="shared" ca="1" si="228"/>
        <v>AJMAL AHMED MT</v>
      </c>
      <c r="D1045" s="86" t="str">
        <f t="shared" ca="1" si="229"/>
        <v>DAHF</v>
      </c>
      <c r="E1045" s="86">
        <f t="shared" ca="1" si="230"/>
        <v>4</v>
      </c>
    </row>
    <row r="1046" spans="1:8" ht="14.25" x14ac:dyDescent="0.45">
      <c r="A1046" s="86">
        <f ca="1"/>
        <v>7</v>
      </c>
      <c r="B1046" s="86" t="str">
        <f ca="1"/>
        <v>B137</v>
      </c>
      <c r="C1046" s="86" t="str">
        <f t="shared" ca="1" si="228"/>
        <v>MOHAMMAD IJAN</v>
      </c>
      <c r="D1046" s="86" t="str">
        <f t="shared" ca="1" si="229"/>
        <v>BADF</v>
      </c>
      <c r="E1046" s="86">
        <f t="shared" ca="1" si="230"/>
        <v>3</v>
      </c>
    </row>
    <row r="1047" spans="1:8" ht="14.25" x14ac:dyDescent="0.45">
      <c r="A1047" s="86">
        <f ca="1"/>
        <v>8</v>
      </c>
      <c r="B1047" s="86" t="str">
        <f ca="1"/>
        <v>B146</v>
      </c>
      <c r="C1047" s="86" t="str">
        <f t="shared" ca="1" si="228"/>
        <v>WASEEM NIHAD A M</v>
      </c>
      <c r="D1047" s="86" t="str">
        <f t="shared" ca="1" si="229"/>
        <v>BADF</v>
      </c>
      <c r="E1047" s="86">
        <f t="shared" ca="1" si="230"/>
        <v>4</v>
      </c>
    </row>
    <row r="1048" spans="1:8" ht="14.25" x14ac:dyDescent="0.45">
      <c r="A1048" s="86">
        <f ca="1"/>
        <v>9</v>
      </c>
      <c r="B1048" s="86" t="str">
        <f ca="1"/>
        <v>B153</v>
      </c>
      <c r="C1048" s="86" t="str">
        <f t="shared" ca="1" si="228"/>
        <v>ABDUL KHADER ISHAQUE</v>
      </c>
      <c r="D1048" s="86" t="str">
        <f t="shared" ca="1" si="229"/>
        <v>BADF</v>
      </c>
      <c r="E1048" s="86">
        <f t="shared" ca="1" si="230"/>
        <v>4</v>
      </c>
    </row>
    <row r="1049" spans="1:8" ht="14.25" x14ac:dyDescent="0.45">
      <c r="A1049" s="86">
        <f ca="1"/>
        <v>10</v>
      </c>
      <c r="B1049" s="86" t="str">
        <f ca="1"/>
        <v>B133</v>
      </c>
      <c r="C1049" s="86" t="str">
        <f t="shared" ca="1" si="228"/>
        <v>MEERAN MOHIUDHEEN RAFIH</v>
      </c>
      <c r="D1049" s="86" t="str">
        <f t="shared" ca="1" si="229"/>
        <v>JARF</v>
      </c>
      <c r="E1049" s="86">
        <f t="shared" ca="1" si="230"/>
        <v>3</v>
      </c>
    </row>
    <row r="1050" spans="1:8" ht="14.25" x14ac:dyDescent="0.45">
      <c r="A1050" s="86">
        <f ca="1"/>
        <v>11</v>
      </c>
      <c r="B1050" s="86" t="str">
        <f ca="1"/>
        <v>B152</v>
      </c>
      <c r="C1050" s="86" t="str">
        <f t="shared" ca="1" si="228"/>
        <v>MUHAMMED MUNAZIR MM</v>
      </c>
      <c r="D1050" s="86" t="str">
        <f t="shared" ca="1" si="229"/>
        <v>JARF</v>
      </c>
      <c r="E1050" s="86">
        <f t="shared" ca="1" si="230"/>
        <v>4</v>
      </c>
    </row>
    <row r="1051" spans="1:8" ht="14.25" x14ac:dyDescent="0.45">
      <c r="A1051" s="86">
        <f ca="1"/>
        <v>12</v>
      </c>
      <c r="B1051" s="86" t="str">
        <f ca="1"/>
        <v>B162</v>
      </c>
      <c r="C1051" s="86" t="str">
        <f t="shared" ca="1" si="228"/>
        <v>RAYHAN PH</v>
      </c>
      <c r="D1051" s="86" t="str">
        <f t="shared" ca="1" si="229"/>
        <v>JARF</v>
      </c>
      <c r="E1051" s="86">
        <f t="shared" ca="1" si="230"/>
        <v>4</v>
      </c>
    </row>
    <row r="1052" spans="1:8" ht="14.25" x14ac:dyDescent="0.45">
      <c r="A1052" s="84" t="s">
        <v>245</v>
      </c>
      <c r="B1052" s="84" t="str">
        <f>VLOOKUP("JN35",f_detailsof_programs,2,FALSE)</f>
        <v>SONG ARB</v>
      </c>
      <c r="C1052" s="84"/>
      <c r="D1052" s="84" t="s">
        <v>688</v>
      </c>
      <c r="E1052" s="84" t="s">
        <v>485</v>
      </c>
      <c r="F1052" s="84"/>
      <c r="G1052" s="84"/>
      <c r="H1052" s="84"/>
    </row>
    <row r="1053" spans="1:8" ht="14.25" x14ac:dyDescent="0.45">
      <c r="A1053" s="85" t="s">
        <v>16</v>
      </c>
      <c r="B1053" s="85" t="s">
        <v>480</v>
      </c>
      <c r="C1053" s="85" t="s">
        <v>18</v>
      </c>
      <c r="D1053" s="85" t="s">
        <v>481</v>
      </c>
      <c r="E1053" s="85" t="s">
        <v>19</v>
      </c>
      <c r="F1053" s="85" t="s">
        <v>482</v>
      </c>
      <c r="G1053" s="85" t="s">
        <v>483</v>
      </c>
      <c r="H1053" s="85" t="s">
        <v>484</v>
      </c>
    </row>
    <row r="1054" spans="1:8" ht="14.25" x14ac:dyDescent="0.45">
      <c r="A1054" s="86" cm="1">
        <f t="array" aca="1" ref="A1054:A1065" ca="1">_xlfn.SEQUENCE(COUNTA(_xlfn.LET(_xlpm.trimmed,OFFSET(f_listof_program_candidates,MATCH("JN35",f_listof_program_codes,0)-1,6,1,),TRANSPOSE(_xlfn._xlws.FILTER(OFFSET(_xlpm.trimmed,0,0,,COUNTA(_xlpm.trimmed)-5),OFFSET(_xlpm.trimmed,0,0,,COUNTA(_xlpm.trimmed)-5)&lt;&gt;0)))))</f>
        <v>1</v>
      </c>
      <c r="B1054" s="86" t="str" cm="1">
        <f t="array" aca="1" ref="B1054:B1065" ca="1">_xlfn.LET(_xlpm.trimmed,OFFSET(f_listof_program_candidates,MATCH("JN35",f_listof_program_codes,0)-1,6,1,),TRANSPOSE(_xlfn._xlws.FILTER(OFFSET(_xlpm.trimmed,0,0,,COUNTA(_xlpm.trimmed)-5),OFFSET(_xlpm.trimmed,0,0,,COUNTA(_xlpm.trimmed)-5)&lt;&gt;0)))</f>
        <v>B129</v>
      </c>
      <c r="C1054" s="86" t="str">
        <f t="shared" ref="C1054:C1065" ca="1" si="231">VLOOKUP(B1054,f_detailsof_candidates,2,FALSE)</f>
        <v>MOHAMMED SABITH KU</v>
      </c>
      <c r="D1054" s="86" t="str">
        <f t="shared" ref="D1054:D1065" ca="1" si="232">VLOOKUP(B1054,f_detailsof_candidates,3,FALSE)</f>
        <v>FANT</v>
      </c>
      <c r="E1054" s="86">
        <f t="shared" ref="E1054:E1065" ca="1" si="233">VLOOKUP(B1054,f_detailsof_candidates,5,FALSE)</f>
        <v>3</v>
      </c>
    </row>
    <row r="1055" spans="1:8" ht="14.25" x14ac:dyDescent="0.45">
      <c r="A1055" s="86">
        <f ca="1"/>
        <v>2</v>
      </c>
      <c r="B1055" s="86" t="str">
        <f ca="1"/>
        <v>B141</v>
      </c>
      <c r="C1055" s="86" t="str">
        <f t="shared" ca="1" si="231"/>
        <v>RAFNAS P</v>
      </c>
      <c r="D1055" s="86" t="str">
        <f t="shared" ca="1" si="232"/>
        <v>FANT</v>
      </c>
      <c r="E1055" s="86">
        <f t="shared" ca="1" si="233"/>
        <v>4</v>
      </c>
    </row>
    <row r="1056" spans="1:8" ht="14.25" x14ac:dyDescent="0.45">
      <c r="A1056" s="86">
        <f ca="1"/>
        <v>3</v>
      </c>
      <c r="B1056" s="86" t="str">
        <f ca="1"/>
        <v>B143</v>
      </c>
      <c r="C1056" s="86" t="str">
        <f t="shared" ca="1" si="231"/>
        <v>MOHAMMED SHADIL AP</v>
      </c>
      <c r="D1056" s="86" t="str">
        <f t="shared" ca="1" si="232"/>
        <v>FANT</v>
      </c>
      <c r="E1056" s="86">
        <f t="shared" ca="1" si="233"/>
        <v>4</v>
      </c>
    </row>
    <row r="1057" spans="1:8" ht="14.25" x14ac:dyDescent="0.45">
      <c r="A1057" s="86">
        <f ca="1"/>
        <v>4</v>
      </c>
      <c r="B1057" s="86" t="str">
        <f ca="1"/>
        <v>B132</v>
      </c>
      <c r="C1057" s="86" t="str">
        <f t="shared" ca="1" si="231"/>
        <v>MUHAMMED SAEED THUFAIL</v>
      </c>
      <c r="D1057" s="86" t="str">
        <f t="shared" ca="1" si="232"/>
        <v>DAHF</v>
      </c>
      <c r="E1057" s="86">
        <f t="shared" ca="1" si="233"/>
        <v>3</v>
      </c>
    </row>
    <row r="1058" spans="1:8" ht="14.25" x14ac:dyDescent="0.45">
      <c r="A1058" s="86">
        <f ca="1"/>
        <v>5</v>
      </c>
      <c r="B1058" s="86" t="str">
        <f ca="1"/>
        <v>B139</v>
      </c>
      <c r="C1058" s="86" t="str">
        <f t="shared" ca="1" si="231"/>
        <v>Muhammad</v>
      </c>
      <c r="D1058" s="86" t="str">
        <f t="shared" ca="1" si="232"/>
        <v>DAHF</v>
      </c>
      <c r="E1058" s="86">
        <f t="shared" ca="1" si="233"/>
        <v>3</v>
      </c>
    </row>
    <row r="1059" spans="1:8" ht="14.25" x14ac:dyDescent="0.45">
      <c r="A1059" s="86">
        <f ca="1"/>
        <v>6</v>
      </c>
      <c r="B1059" s="86" t="str">
        <f ca="1"/>
        <v>B127</v>
      </c>
      <c r="C1059" s="86" t="str">
        <f t="shared" ca="1" si="231"/>
        <v>THANSEEHU RAHMAN</v>
      </c>
      <c r="D1059" s="86" t="str">
        <f t="shared" ca="1" si="232"/>
        <v>DAHF</v>
      </c>
      <c r="E1059" s="86">
        <f t="shared" ca="1" si="233"/>
        <v>3</v>
      </c>
    </row>
    <row r="1060" spans="1:8" ht="14.25" x14ac:dyDescent="0.45">
      <c r="A1060" s="86">
        <f ca="1"/>
        <v>7</v>
      </c>
      <c r="B1060" s="86" t="str">
        <f ca="1"/>
        <v>B103</v>
      </c>
      <c r="C1060" s="86" t="str">
        <f t="shared" ca="1" si="231"/>
        <v>MOHAMMED NAFIH BA</v>
      </c>
      <c r="D1060" s="86" t="str">
        <f t="shared" ca="1" si="232"/>
        <v>BADF</v>
      </c>
      <c r="E1060" s="86">
        <f t="shared" ca="1" si="233"/>
        <v>3</v>
      </c>
    </row>
    <row r="1061" spans="1:8" ht="14.25" x14ac:dyDescent="0.45">
      <c r="A1061" s="86">
        <f ca="1"/>
        <v>8</v>
      </c>
      <c r="B1061" s="86" t="str">
        <f ca="1"/>
        <v>B121</v>
      </c>
      <c r="C1061" s="86" t="str">
        <f t="shared" ca="1" si="231"/>
        <v>MOHIDDEEN SHAHSHAD</v>
      </c>
      <c r="D1061" s="86" t="str">
        <f t="shared" ca="1" si="232"/>
        <v>BADF</v>
      </c>
      <c r="E1061" s="86">
        <f t="shared" ca="1" si="233"/>
        <v>3</v>
      </c>
    </row>
    <row r="1062" spans="1:8" ht="14.25" x14ac:dyDescent="0.45">
      <c r="A1062" s="86">
        <f ca="1"/>
        <v>9</v>
      </c>
      <c r="B1062" s="86" t="str">
        <f ca="1"/>
        <v>B146</v>
      </c>
      <c r="C1062" s="86" t="str">
        <f t="shared" ca="1" si="231"/>
        <v>WASEEM NIHAD A M</v>
      </c>
      <c r="D1062" s="86" t="str">
        <f t="shared" ca="1" si="232"/>
        <v>BADF</v>
      </c>
      <c r="E1062" s="86">
        <f t="shared" ca="1" si="233"/>
        <v>4</v>
      </c>
    </row>
    <row r="1063" spans="1:8" ht="14.25" x14ac:dyDescent="0.45">
      <c r="A1063" s="86">
        <f ca="1"/>
        <v>10</v>
      </c>
      <c r="B1063" s="86" t="str">
        <f ca="1"/>
        <v>B118</v>
      </c>
      <c r="C1063" s="86" t="str">
        <f t="shared" ca="1" si="231"/>
        <v>Muhammad Muaaz</v>
      </c>
      <c r="D1063" s="86" t="str">
        <f t="shared" ca="1" si="232"/>
        <v>JARF</v>
      </c>
      <c r="E1063" s="86">
        <f t="shared" ca="1" si="233"/>
        <v>3</v>
      </c>
    </row>
    <row r="1064" spans="1:8" ht="14.25" x14ac:dyDescent="0.45">
      <c r="A1064" s="86">
        <f ca="1"/>
        <v>11</v>
      </c>
      <c r="B1064" s="86" t="str">
        <f ca="1"/>
        <v>B126</v>
      </c>
      <c r="C1064" s="86" t="str">
        <f t="shared" ca="1" si="231"/>
        <v>AHAMMED JABIR K H</v>
      </c>
      <c r="D1064" s="86" t="str">
        <f t="shared" ca="1" si="232"/>
        <v>JARF</v>
      </c>
      <c r="E1064" s="86">
        <f t="shared" ca="1" si="233"/>
        <v>3</v>
      </c>
    </row>
    <row r="1065" spans="1:8" ht="14.25" x14ac:dyDescent="0.45">
      <c r="A1065" s="86">
        <f ca="1"/>
        <v>12</v>
      </c>
      <c r="B1065" s="86" t="str">
        <f ca="1"/>
        <v>B160</v>
      </c>
      <c r="C1065" s="86" t="str">
        <f t="shared" ca="1" si="231"/>
        <v>MOHAMMED DAWOOD K</v>
      </c>
      <c r="D1065" s="86" t="str">
        <f t="shared" ca="1" si="232"/>
        <v>JARF</v>
      </c>
      <c r="E1065" s="86">
        <f t="shared" ca="1" si="233"/>
        <v>4</v>
      </c>
    </row>
    <row r="1066" spans="1:8" ht="14.25" x14ac:dyDescent="0.45">
      <c r="A1066" s="84" t="s">
        <v>246</v>
      </c>
      <c r="B1066" s="84" t="str">
        <f>VLOOKUP("JN36",f_detailsof_programs,2,FALSE)</f>
        <v>SONG ENG</v>
      </c>
      <c r="C1066" s="84"/>
      <c r="D1066" s="84" t="s">
        <v>688</v>
      </c>
      <c r="E1066" s="84" t="s">
        <v>485</v>
      </c>
      <c r="F1066" s="84"/>
      <c r="G1066" s="84"/>
      <c r="H1066" s="84"/>
    </row>
    <row r="1067" spans="1:8" ht="14.25" x14ac:dyDescent="0.45">
      <c r="A1067" s="85" t="s">
        <v>16</v>
      </c>
      <c r="B1067" s="85" t="s">
        <v>480</v>
      </c>
      <c r="C1067" s="85" t="s">
        <v>18</v>
      </c>
      <c r="D1067" s="85" t="s">
        <v>481</v>
      </c>
      <c r="E1067" s="85" t="s">
        <v>19</v>
      </c>
      <c r="F1067" s="85" t="s">
        <v>482</v>
      </c>
      <c r="G1067" s="85" t="s">
        <v>483</v>
      </c>
      <c r="H1067" s="85" t="s">
        <v>484</v>
      </c>
    </row>
    <row r="1068" spans="1:8" ht="14.25" x14ac:dyDescent="0.45">
      <c r="A1068" s="86" cm="1">
        <f t="array" aca="1" ref="A1068:A1079" ca="1">_xlfn.SEQUENCE(COUNTA(_xlfn.LET(_xlpm.trimmed,OFFSET(f_listof_program_candidates,MATCH("JN36",f_listof_program_codes,0)-1,6,1,),TRANSPOSE(_xlfn._xlws.FILTER(OFFSET(_xlpm.trimmed,0,0,,COUNTA(_xlpm.trimmed)-5),OFFSET(_xlpm.trimmed,0,0,,COUNTA(_xlpm.trimmed)-5)&lt;&gt;0)))))</f>
        <v>1</v>
      </c>
      <c r="B1068" s="86" t="str" cm="1">
        <f t="array" aca="1" ref="B1068:B1079" ca="1">_xlfn.LET(_xlpm.trimmed,OFFSET(f_listof_program_candidates,MATCH("JN36",f_listof_program_codes,0)-1,6,1,),TRANSPOSE(_xlfn._xlws.FILTER(OFFSET(_xlpm.trimmed,0,0,,COUNTA(_xlpm.trimmed)-5),OFFSET(_xlpm.trimmed,0,0,,COUNTA(_xlpm.trimmed)-5)&lt;&gt;0)))</f>
        <v>B123</v>
      </c>
      <c r="C1068" s="86" t="str">
        <f t="shared" ref="C1068:C1079" ca="1" si="234">VLOOKUP(B1068,f_detailsof_candidates,2,FALSE)</f>
        <v>MUHAMMED YASEEN</v>
      </c>
      <c r="D1068" s="86" t="str">
        <f t="shared" ref="D1068:D1079" ca="1" si="235">VLOOKUP(B1068,f_detailsof_candidates,3,FALSE)</f>
        <v>FANT</v>
      </c>
      <c r="E1068" s="86">
        <f t="shared" ref="E1068:E1079" ca="1" si="236">VLOOKUP(B1068,f_detailsof_candidates,5,FALSE)</f>
        <v>3</v>
      </c>
    </row>
    <row r="1069" spans="1:8" ht="14.25" x14ac:dyDescent="0.45">
      <c r="A1069" s="86">
        <f ca="1"/>
        <v>2</v>
      </c>
      <c r="B1069" s="86" t="str">
        <f ca="1"/>
        <v>B135</v>
      </c>
      <c r="C1069" s="86" t="str">
        <f t="shared" ca="1" si="234"/>
        <v>MOHAMMED RAFIH M R</v>
      </c>
      <c r="D1069" s="86" t="str">
        <f t="shared" ca="1" si="235"/>
        <v>FANT</v>
      </c>
      <c r="E1069" s="86">
        <f t="shared" ca="1" si="236"/>
        <v>3</v>
      </c>
    </row>
    <row r="1070" spans="1:8" ht="14.25" x14ac:dyDescent="0.45">
      <c r="A1070" s="86">
        <f ca="1"/>
        <v>3</v>
      </c>
      <c r="B1070" s="86" t="str">
        <f ca="1"/>
        <v>B150</v>
      </c>
      <c r="C1070" s="86" t="str">
        <f t="shared" ca="1" si="234"/>
        <v>ABDULLA FAHAD T.U</v>
      </c>
      <c r="D1070" s="86" t="str">
        <f t="shared" ca="1" si="235"/>
        <v>FANT</v>
      </c>
      <c r="E1070" s="86">
        <f t="shared" ca="1" si="236"/>
        <v>4</v>
      </c>
    </row>
    <row r="1071" spans="1:8" ht="14.25" x14ac:dyDescent="0.45">
      <c r="A1071" s="86">
        <f ca="1"/>
        <v>4</v>
      </c>
      <c r="B1071" s="86" t="str">
        <f ca="1"/>
        <v>B125</v>
      </c>
      <c r="C1071" s="86" t="str">
        <f t="shared" ca="1" si="234"/>
        <v>MUHAMMED SHANIFM P</v>
      </c>
      <c r="D1071" s="86" t="str">
        <f t="shared" ca="1" si="235"/>
        <v>DAHF</v>
      </c>
      <c r="E1071" s="86">
        <f t="shared" ca="1" si="236"/>
        <v>3</v>
      </c>
    </row>
    <row r="1072" spans="1:8" ht="14.25" x14ac:dyDescent="0.45">
      <c r="A1072" s="86">
        <f ca="1"/>
        <v>5</v>
      </c>
      <c r="B1072" s="86" t="str">
        <f ca="1"/>
        <v>B159</v>
      </c>
      <c r="C1072" s="86" t="str">
        <f t="shared" ca="1" si="234"/>
        <v>AJMAL AHMED MT</v>
      </c>
      <c r="D1072" s="86" t="str">
        <f t="shared" ca="1" si="235"/>
        <v>DAHF</v>
      </c>
      <c r="E1072" s="86">
        <f t="shared" ca="1" si="236"/>
        <v>4</v>
      </c>
    </row>
    <row r="1073" spans="1:8" ht="14.25" x14ac:dyDescent="0.45">
      <c r="A1073" s="86">
        <f ca="1"/>
        <v>6</v>
      </c>
      <c r="B1073" s="86" t="str">
        <f ca="1"/>
        <v>B161</v>
      </c>
      <c r="C1073" s="86" t="str">
        <f t="shared" ca="1" si="234"/>
        <v>MUHAMMED RAZI TM</v>
      </c>
      <c r="D1073" s="86" t="str">
        <f t="shared" ca="1" si="235"/>
        <v>DAHF</v>
      </c>
      <c r="E1073" s="86">
        <f t="shared" ca="1" si="236"/>
        <v>4</v>
      </c>
    </row>
    <row r="1074" spans="1:8" ht="14.25" x14ac:dyDescent="0.45">
      <c r="A1074" s="86">
        <f ca="1"/>
        <v>7</v>
      </c>
      <c r="B1074" s="86" t="str">
        <f ca="1"/>
        <v>B100</v>
      </c>
      <c r="C1074" s="86" t="str">
        <f t="shared" ca="1" si="234"/>
        <v>ZAINUL ABID K</v>
      </c>
      <c r="D1074" s="86" t="str">
        <f t="shared" ca="1" si="235"/>
        <v>BADF</v>
      </c>
      <c r="E1074" s="86">
        <f t="shared" ca="1" si="236"/>
        <v>3</v>
      </c>
    </row>
    <row r="1075" spans="1:8" ht="14.25" x14ac:dyDescent="0.45">
      <c r="A1075" s="86">
        <f ca="1"/>
        <v>8</v>
      </c>
      <c r="B1075" s="86" t="str">
        <f ca="1"/>
        <v>B136</v>
      </c>
      <c r="C1075" s="86" t="str">
        <f t="shared" ca="1" si="234"/>
        <v>MUHAMMAD MIJVAD K</v>
      </c>
      <c r="D1075" s="86" t="str">
        <f t="shared" ca="1" si="235"/>
        <v>BADF</v>
      </c>
      <c r="E1075" s="86">
        <f t="shared" ca="1" si="236"/>
        <v>3</v>
      </c>
    </row>
    <row r="1076" spans="1:8" ht="14.25" x14ac:dyDescent="0.45">
      <c r="A1076" s="86">
        <f ca="1"/>
        <v>9</v>
      </c>
      <c r="B1076" s="86" t="str">
        <f ca="1"/>
        <v>B151</v>
      </c>
      <c r="C1076" s="86" t="str">
        <f t="shared" ca="1" si="234"/>
        <v>ABDUL GAFOOR</v>
      </c>
      <c r="D1076" s="86" t="str">
        <f t="shared" ca="1" si="235"/>
        <v>BADF</v>
      </c>
      <c r="E1076" s="86">
        <f t="shared" ca="1" si="236"/>
        <v>4</v>
      </c>
    </row>
    <row r="1077" spans="1:8" ht="14.25" x14ac:dyDescent="0.45">
      <c r="A1077" s="86">
        <f ca="1"/>
        <v>10</v>
      </c>
      <c r="B1077" s="86" t="str">
        <f ca="1"/>
        <v>B116</v>
      </c>
      <c r="C1077" s="86" t="str">
        <f t="shared" ca="1" si="234"/>
        <v>MOHAMMED SABIK BM</v>
      </c>
      <c r="D1077" s="86" t="str">
        <f t="shared" ca="1" si="235"/>
        <v>JARF</v>
      </c>
      <c r="E1077" s="86">
        <f t="shared" ca="1" si="236"/>
        <v>3</v>
      </c>
    </row>
    <row r="1078" spans="1:8" ht="14.25" x14ac:dyDescent="0.45">
      <c r="A1078" s="86">
        <f ca="1"/>
        <v>11</v>
      </c>
      <c r="B1078" s="86" t="str">
        <f ca="1"/>
        <v>B134</v>
      </c>
      <c r="C1078" s="86" t="str">
        <f t="shared" ca="1" si="234"/>
        <v>ABDUL RAHIMAN AZAAN</v>
      </c>
      <c r="D1078" s="86" t="str">
        <f t="shared" ca="1" si="235"/>
        <v>JARF</v>
      </c>
      <c r="E1078" s="86">
        <f t="shared" ca="1" si="236"/>
        <v>3</v>
      </c>
    </row>
    <row r="1079" spans="1:8" ht="14.25" x14ac:dyDescent="0.45">
      <c r="A1079" s="86">
        <f ca="1"/>
        <v>12</v>
      </c>
      <c r="B1079" s="86" t="str">
        <f ca="1"/>
        <v>B148</v>
      </c>
      <c r="C1079" s="86" t="str">
        <f t="shared" ca="1" si="234"/>
        <v>MOHAMMED BAQIR TS</v>
      </c>
      <c r="D1079" s="86" t="str">
        <f t="shared" ca="1" si="235"/>
        <v>JARF</v>
      </c>
      <c r="E1079" s="86">
        <f t="shared" ca="1" si="236"/>
        <v>4</v>
      </c>
    </row>
    <row r="1080" spans="1:8" ht="14.25" x14ac:dyDescent="0.45">
      <c r="A1080" s="84" t="s">
        <v>248</v>
      </c>
      <c r="B1080" s="84" t="str">
        <f>VLOOKUP("JN37",f_detailsof_programs,2,FALSE)</f>
        <v>SONG URD</v>
      </c>
      <c r="C1080" s="84"/>
      <c r="D1080" s="84" t="s">
        <v>688</v>
      </c>
      <c r="E1080" s="84" t="s">
        <v>485</v>
      </c>
      <c r="F1080" s="84"/>
      <c r="G1080" s="84"/>
      <c r="H1080" s="84"/>
    </row>
    <row r="1081" spans="1:8" ht="14.25" x14ac:dyDescent="0.45">
      <c r="A1081" s="85" t="s">
        <v>16</v>
      </c>
      <c r="B1081" s="85" t="s">
        <v>480</v>
      </c>
      <c r="C1081" s="85" t="s">
        <v>18</v>
      </c>
      <c r="D1081" s="85" t="s">
        <v>481</v>
      </c>
      <c r="E1081" s="85" t="s">
        <v>19</v>
      </c>
      <c r="F1081" s="85" t="s">
        <v>482</v>
      </c>
      <c r="G1081" s="85" t="s">
        <v>483</v>
      </c>
      <c r="H1081" s="85" t="s">
        <v>484</v>
      </c>
    </row>
    <row r="1082" spans="1:8" ht="14.25" x14ac:dyDescent="0.45">
      <c r="A1082" s="86" cm="1">
        <f t="array" aca="1" ref="A1082:A1093" ca="1">_xlfn.SEQUENCE(COUNTA(_xlfn.LET(_xlpm.trimmed,OFFSET(f_listof_program_candidates,MATCH("JN37",f_listof_program_codes,0)-1,6,1,),TRANSPOSE(_xlfn._xlws.FILTER(OFFSET(_xlpm.trimmed,0,0,,COUNTA(_xlpm.trimmed)-5),OFFSET(_xlpm.trimmed,0,0,,COUNTA(_xlpm.trimmed)-5)&lt;&gt;0)))))</f>
        <v>1</v>
      </c>
      <c r="B1082" s="86" t="str" cm="1">
        <f t="array" aca="1" ref="B1082:B1093" ca="1">_xlfn.LET(_xlpm.trimmed,OFFSET(f_listof_program_candidates,MATCH("JN37",f_listof_program_codes,0)-1,6,1,),TRANSPOSE(_xlfn._xlws.FILTER(OFFSET(_xlpm.trimmed,0,0,,COUNTA(_xlpm.trimmed)-5),OFFSET(_xlpm.trimmed,0,0,,COUNTA(_xlpm.trimmed)-5)&lt;&gt;0)))</f>
        <v>B120</v>
      </c>
      <c r="C1082" s="86" t="str">
        <f t="shared" ref="C1082:C1093" ca="1" si="237">VLOOKUP(B1082,f_detailsof_candidates,2,FALSE)</f>
        <v>MOHAMMED RIYAN</v>
      </c>
      <c r="D1082" s="86" t="str">
        <f t="shared" ref="D1082:D1093" ca="1" si="238">VLOOKUP(B1082,f_detailsof_candidates,3,FALSE)</f>
        <v>FANT</v>
      </c>
      <c r="E1082" s="86">
        <f t="shared" ref="E1082:E1093" ca="1" si="239">VLOOKUP(B1082,f_detailsof_candidates,5,FALSE)</f>
        <v>3</v>
      </c>
    </row>
    <row r="1083" spans="1:8" ht="14.25" x14ac:dyDescent="0.45">
      <c r="A1083" s="86">
        <f ca="1"/>
        <v>2</v>
      </c>
      <c r="B1083" s="86" t="str">
        <f ca="1"/>
        <v>B141</v>
      </c>
      <c r="C1083" s="86" t="str">
        <f t="shared" ca="1" si="237"/>
        <v>RAFNAS P</v>
      </c>
      <c r="D1083" s="86" t="str">
        <f t="shared" ca="1" si="238"/>
        <v>FANT</v>
      </c>
      <c r="E1083" s="86">
        <f t="shared" ca="1" si="239"/>
        <v>4</v>
      </c>
    </row>
    <row r="1084" spans="1:8" ht="14.25" x14ac:dyDescent="0.45">
      <c r="A1084" s="86">
        <f ca="1"/>
        <v>3</v>
      </c>
      <c r="B1084" s="86" t="str">
        <f ca="1"/>
        <v>B143</v>
      </c>
      <c r="C1084" s="86" t="str">
        <f t="shared" ca="1" si="237"/>
        <v>MOHAMMED SHADIL AP</v>
      </c>
      <c r="D1084" s="86" t="str">
        <f t="shared" ca="1" si="238"/>
        <v>FANT</v>
      </c>
      <c r="E1084" s="86">
        <f t="shared" ca="1" si="239"/>
        <v>4</v>
      </c>
    </row>
    <row r="1085" spans="1:8" ht="14.25" x14ac:dyDescent="0.45">
      <c r="A1085" s="86">
        <f ca="1"/>
        <v>4</v>
      </c>
      <c r="B1085" s="86" t="str">
        <f ca="1"/>
        <v>B109</v>
      </c>
      <c r="C1085" s="86" t="str">
        <f t="shared" ca="1" si="237"/>
        <v>AHAMMED SAFAR ZAKARIYA</v>
      </c>
      <c r="D1085" s="86" t="str">
        <f t="shared" ca="1" si="238"/>
        <v>DAHF</v>
      </c>
      <c r="E1085" s="86">
        <f t="shared" ca="1" si="239"/>
        <v>3</v>
      </c>
    </row>
    <row r="1086" spans="1:8" ht="14.25" x14ac:dyDescent="0.45">
      <c r="A1086" s="86">
        <f ca="1"/>
        <v>5</v>
      </c>
      <c r="B1086" s="86" t="str">
        <f ca="1"/>
        <v>B132</v>
      </c>
      <c r="C1086" s="86" t="str">
        <f t="shared" ca="1" si="237"/>
        <v>MUHAMMED SAEED THUFAIL</v>
      </c>
      <c r="D1086" s="86" t="str">
        <f t="shared" ca="1" si="238"/>
        <v>DAHF</v>
      </c>
      <c r="E1086" s="86">
        <f t="shared" ca="1" si="239"/>
        <v>3</v>
      </c>
    </row>
    <row r="1087" spans="1:8" ht="14.25" x14ac:dyDescent="0.45">
      <c r="A1087" s="86">
        <f ca="1"/>
        <v>6</v>
      </c>
      <c r="B1087" s="86" t="str">
        <f ca="1"/>
        <v>B154</v>
      </c>
      <c r="C1087" s="86" t="str">
        <f t="shared" ca="1" si="237"/>
        <v>ABDULLA ALBAS</v>
      </c>
      <c r="D1087" s="86" t="str">
        <f t="shared" ca="1" si="238"/>
        <v>DAHF</v>
      </c>
      <c r="E1087" s="86">
        <f t="shared" ca="1" si="239"/>
        <v>4</v>
      </c>
    </row>
    <row r="1088" spans="1:8" ht="14.25" x14ac:dyDescent="0.45">
      <c r="A1088" s="86">
        <f ca="1"/>
        <v>7</v>
      </c>
      <c r="B1088" s="86" t="str">
        <f ca="1"/>
        <v>B117</v>
      </c>
      <c r="C1088" s="86" t="str">
        <f t="shared" ca="1" si="237"/>
        <v>MUHAMMAD SABITH V K P</v>
      </c>
      <c r="D1088" s="86" t="str">
        <f t="shared" ca="1" si="238"/>
        <v>BADF</v>
      </c>
      <c r="E1088" s="86">
        <f t="shared" ca="1" si="239"/>
        <v>3</v>
      </c>
    </row>
    <row r="1089" spans="1:8" ht="14.25" x14ac:dyDescent="0.45">
      <c r="A1089" s="86">
        <f ca="1"/>
        <v>8</v>
      </c>
      <c r="B1089" s="86" t="str">
        <f ca="1"/>
        <v>B128</v>
      </c>
      <c r="C1089" s="86" t="str">
        <f t="shared" ca="1" si="237"/>
        <v>MOHAMMED AFNAN</v>
      </c>
      <c r="D1089" s="86" t="str">
        <f t="shared" ca="1" si="238"/>
        <v>BADF</v>
      </c>
      <c r="E1089" s="86">
        <f t="shared" ca="1" si="239"/>
        <v>3</v>
      </c>
    </row>
    <row r="1090" spans="1:8" ht="14.25" x14ac:dyDescent="0.45">
      <c r="A1090" s="86">
        <f ca="1"/>
        <v>9</v>
      </c>
      <c r="B1090" s="86" t="str">
        <f ca="1"/>
        <v>B153</v>
      </c>
      <c r="C1090" s="86" t="str">
        <f t="shared" ca="1" si="237"/>
        <v>ABDUL KHADER ISHAQUE</v>
      </c>
      <c r="D1090" s="86" t="str">
        <f t="shared" ca="1" si="238"/>
        <v>BADF</v>
      </c>
      <c r="E1090" s="86">
        <f t="shared" ca="1" si="239"/>
        <v>4</v>
      </c>
    </row>
    <row r="1091" spans="1:8" ht="14.25" x14ac:dyDescent="0.45">
      <c r="A1091" s="86">
        <f ca="1"/>
        <v>10</v>
      </c>
      <c r="B1091" s="86" t="str">
        <f ca="1"/>
        <v>B105</v>
      </c>
      <c r="C1091" s="86" t="str">
        <f t="shared" ca="1" si="237"/>
        <v>HASAN THAMMEEM</v>
      </c>
      <c r="D1091" s="86" t="str">
        <f t="shared" ca="1" si="238"/>
        <v>JARF</v>
      </c>
      <c r="E1091" s="86">
        <f t="shared" ca="1" si="239"/>
        <v>3</v>
      </c>
    </row>
    <row r="1092" spans="1:8" ht="14.25" x14ac:dyDescent="0.45">
      <c r="A1092" s="86">
        <f ca="1"/>
        <v>11</v>
      </c>
      <c r="B1092" s="86" t="str">
        <f ca="1"/>
        <v>B118</v>
      </c>
      <c r="C1092" s="86" t="str">
        <f t="shared" ca="1" si="237"/>
        <v>Muhammad Muaaz</v>
      </c>
      <c r="D1092" s="86" t="str">
        <f t="shared" ca="1" si="238"/>
        <v>JARF</v>
      </c>
      <c r="E1092" s="86">
        <f t="shared" ca="1" si="239"/>
        <v>3</v>
      </c>
    </row>
    <row r="1093" spans="1:8" ht="14.25" x14ac:dyDescent="0.45">
      <c r="A1093" s="86">
        <f ca="1"/>
        <v>12</v>
      </c>
      <c r="B1093" s="86" t="str">
        <f ca="1"/>
        <v>B152</v>
      </c>
      <c r="C1093" s="86" t="str">
        <f t="shared" ca="1" si="237"/>
        <v>MUHAMMED MUNAZIR MM</v>
      </c>
      <c r="D1093" s="86" t="str">
        <f t="shared" ca="1" si="238"/>
        <v>JARF</v>
      </c>
      <c r="E1093" s="86">
        <f t="shared" ca="1" si="239"/>
        <v>4</v>
      </c>
    </row>
    <row r="1094" spans="1:8" ht="14.25" x14ac:dyDescent="0.45">
      <c r="A1094" s="84" t="s">
        <v>249</v>
      </c>
      <c r="B1094" s="84" t="str">
        <f>VLOOKUP("JN38",f_detailsof_programs,2,FALSE)</f>
        <v>SPEECH ARB</v>
      </c>
      <c r="C1094" s="84"/>
      <c r="D1094" s="84" t="s">
        <v>688</v>
      </c>
      <c r="E1094" s="84" t="s">
        <v>485</v>
      </c>
      <c r="F1094" s="84"/>
      <c r="G1094" s="84"/>
      <c r="H1094" s="84"/>
    </row>
    <row r="1095" spans="1:8" ht="14.25" x14ac:dyDescent="0.45">
      <c r="A1095" s="85" t="s">
        <v>16</v>
      </c>
      <c r="B1095" s="85" t="s">
        <v>480</v>
      </c>
      <c r="C1095" s="85" t="s">
        <v>18</v>
      </c>
      <c r="D1095" s="85" t="s">
        <v>481</v>
      </c>
      <c r="E1095" s="85" t="s">
        <v>19</v>
      </c>
      <c r="F1095" s="85" t="s">
        <v>482</v>
      </c>
      <c r="G1095" s="85" t="s">
        <v>483</v>
      </c>
      <c r="H1095" s="85" t="s">
        <v>484</v>
      </c>
    </row>
    <row r="1096" spans="1:8" ht="14.25" x14ac:dyDescent="0.45">
      <c r="A1096" s="86" cm="1">
        <f t="array" aca="1" ref="A1096:A1107" ca="1">_xlfn.SEQUENCE(COUNTA(_xlfn.LET(_xlpm.trimmed,OFFSET(f_listof_program_candidates,MATCH("JN38",f_listof_program_codes,0)-1,6,1,),TRANSPOSE(_xlfn._xlws.FILTER(OFFSET(_xlpm.trimmed,0,0,,COUNTA(_xlpm.trimmed)-5),OFFSET(_xlpm.trimmed,0,0,,COUNTA(_xlpm.trimmed)-5)&lt;&gt;0)))))</f>
        <v>1</v>
      </c>
      <c r="B1096" s="86" t="str" cm="1">
        <f t="array" aca="1" ref="B1096:B1107" ca="1">_xlfn.LET(_xlpm.trimmed,OFFSET(f_listof_program_candidates,MATCH("JN38",f_listof_program_codes,0)-1,6,1,),TRANSPOSE(_xlfn._xlws.FILTER(OFFSET(_xlpm.trimmed,0,0,,COUNTA(_xlpm.trimmed)-5),OFFSET(_xlpm.trimmed,0,0,,COUNTA(_xlpm.trimmed)-5)&lt;&gt;0)))</f>
        <v>B135</v>
      </c>
      <c r="C1096" s="86" t="str">
        <f t="shared" ref="C1096:C1107" ca="1" si="240">VLOOKUP(B1096,f_detailsof_candidates,2,FALSE)</f>
        <v>MOHAMMED RAFIH M R</v>
      </c>
      <c r="D1096" s="86" t="str">
        <f t="shared" ref="D1096:D1107" ca="1" si="241">VLOOKUP(B1096,f_detailsof_candidates,3,FALSE)</f>
        <v>FANT</v>
      </c>
      <c r="E1096" s="86">
        <f t="shared" ref="E1096:E1107" ca="1" si="242">VLOOKUP(B1096,f_detailsof_candidates,5,FALSE)</f>
        <v>3</v>
      </c>
    </row>
    <row r="1097" spans="1:8" ht="14.25" x14ac:dyDescent="0.45">
      <c r="A1097" s="86">
        <f ca="1"/>
        <v>2</v>
      </c>
      <c r="B1097" s="86" t="str">
        <f ca="1"/>
        <v>B144</v>
      </c>
      <c r="C1097" s="86" t="str">
        <f t="shared" ca="1" si="240"/>
        <v>MUHAMMED NAFIH CI</v>
      </c>
      <c r="D1097" s="86" t="str">
        <f t="shared" ca="1" si="241"/>
        <v>FANT</v>
      </c>
      <c r="E1097" s="86">
        <f t="shared" ca="1" si="242"/>
        <v>4</v>
      </c>
    </row>
    <row r="1098" spans="1:8" ht="14.25" x14ac:dyDescent="0.45">
      <c r="A1098" s="86">
        <f ca="1"/>
        <v>3</v>
      </c>
      <c r="B1098" s="86" t="str">
        <f ca="1"/>
        <v>B145</v>
      </c>
      <c r="C1098" s="86" t="str">
        <f t="shared" ca="1" si="240"/>
        <v>YASEEN NOORULLA PH</v>
      </c>
      <c r="D1098" s="86" t="str">
        <f t="shared" ca="1" si="241"/>
        <v>FANT</v>
      </c>
      <c r="E1098" s="86">
        <f t="shared" ca="1" si="242"/>
        <v>4</v>
      </c>
    </row>
    <row r="1099" spans="1:8" ht="14.25" x14ac:dyDescent="0.45">
      <c r="A1099" s="86">
        <f ca="1"/>
        <v>4</v>
      </c>
      <c r="B1099" s="86" t="str">
        <f ca="1"/>
        <v>B149</v>
      </c>
      <c r="C1099" s="86" t="str">
        <f t="shared" ca="1" si="240"/>
        <v>MUHAMMED FARHAN PH</v>
      </c>
      <c r="D1099" s="86" t="str">
        <f t="shared" ca="1" si="241"/>
        <v>DAHF</v>
      </c>
      <c r="E1099" s="86">
        <f t="shared" ca="1" si="242"/>
        <v>4</v>
      </c>
    </row>
    <row r="1100" spans="1:8" ht="14.25" x14ac:dyDescent="0.45">
      <c r="A1100" s="86">
        <f ca="1"/>
        <v>5</v>
      </c>
      <c r="B1100" s="86" t="str">
        <f ca="1"/>
        <v>B155</v>
      </c>
      <c r="C1100" s="86" t="str">
        <f t="shared" ca="1" si="240"/>
        <v>MUHAMMED A</v>
      </c>
      <c r="D1100" s="86" t="str">
        <f t="shared" ca="1" si="241"/>
        <v>DAHF</v>
      </c>
      <c r="E1100" s="86">
        <f t="shared" ca="1" si="242"/>
        <v>4</v>
      </c>
    </row>
    <row r="1101" spans="1:8" ht="14.25" x14ac:dyDescent="0.45">
      <c r="A1101" s="86">
        <f ca="1"/>
        <v>6</v>
      </c>
      <c r="B1101" s="86" t="str">
        <f ca="1"/>
        <v>B158</v>
      </c>
      <c r="C1101" s="86" t="str">
        <f t="shared" ca="1" si="240"/>
        <v>FADIL MOHAMMED K M</v>
      </c>
      <c r="D1101" s="86" t="str">
        <f t="shared" ca="1" si="241"/>
        <v>DAHF</v>
      </c>
      <c r="E1101" s="86">
        <f t="shared" ca="1" si="242"/>
        <v>4</v>
      </c>
    </row>
    <row r="1102" spans="1:8" ht="14.25" x14ac:dyDescent="0.45">
      <c r="A1102" s="86">
        <f ca="1"/>
        <v>7</v>
      </c>
      <c r="B1102" s="86" t="str">
        <f ca="1"/>
        <v>B121</v>
      </c>
      <c r="C1102" s="86" t="str">
        <f t="shared" ca="1" si="240"/>
        <v>MOHIDDEEN SHAHSHAD</v>
      </c>
      <c r="D1102" s="86" t="str">
        <f t="shared" ca="1" si="241"/>
        <v>BADF</v>
      </c>
      <c r="E1102" s="86">
        <f t="shared" ca="1" si="242"/>
        <v>3</v>
      </c>
    </row>
    <row r="1103" spans="1:8" ht="14.25" x14ac:dyDescent="0.45">
      <c r="A1103" s="86">
        <f ca="1"/>
        <v>8</v>
      </c>
      <c r="B1103" s="86" t="str">
        <f ca="1"/>
        <v>B128</v>
      </c>
      <c r="C1103" s="86" t="str">
        <f t="shared" ca="1" si="240"/>
        <v>MOHAMMED AFNAN</v>
      </c>
      <c r="D1103" s="86" t="str">
        <f t="shared" ca="1" si="241"/>
        <v>BADF</v>
      </c>
      <c r="E1103" s="86">
        <f t="shared" ca="1" si="242"/>
        <v>3</v>
      </c>
    </row>
    <row r="1104" spans="1:8" ht="14.25" x14ac:dyDescent="0.45">
      <c r="A1104" s="86">
        <f ca="1"/>
        <v>9</v>
      </c>
      <c r="B1104" s="86" t="str">
        <f ca="1"/>
        <v>B138</v>
      </c>
      <c r="C1104" s="86" t="str">
        <f t="shared" ca="1" si="240"/>
        <v>HABEEB RAHMAN CA</v>
      </c>
      <c r="D1104" s="86" t="str">
        <f t="shared" ca="1" si="241"/>
        <v>BADF</v>
      </c>
      <c r="E1104" s="86">
        <f t="shared" ca="1" si="242"/>
        <v>3</v>
      </c>
    </row>
    <row r="1105" spans="1:8" ht="14.25" x14ac:dyDescent="0.45">
      <c r="A1105" s="86">
        <f ca="1"/>
        <v>10</v>
      </c>
      <c r="B1105" s="86" t="str">
        <f ca="1"/>
        <v>B116</v>
      </c>
      <c r="C1105" s="86" t="str">
        <f t="shared" ca="1" si="240"/>
        <v>MOHAMMED SABIK BM</v>
      </c>
      <c r="D1105" s="86" t="str">
        <f t="shared" ca="1" si="241"/>
        <v>JARF</v>
      </c>
      <c r="E1105" s="86">
        <f t="shared" ca="1" si="242"/>
        <v>3</v>
      </c>
    </row>
    <row r="1106" spans="1:8" ht="14.25" x14ac:dyDescent="0.45">
      <c r="A1106" s="86">
        <f ca="1"/>
        <v>11</v>
      </c>
      <c r="B1106" s="86" t="str">
        <f ca="1"/>
        <v>B162</v>
      </c>
      <c r="C1106" s="86" t="str">
        <f t="shared" ca="1" si="240"/>
        <v>RAYHAN PH</v>
      </c>
      <c r="D1106" s="86" t="str">
        <f t="shared" ca="1" si="241"/>
        <v>JARF</v>
      </c>
      <c r="E1106" s="86">
        <f t="shared" ca="1" si="242"/>
        <v>4</v>
      </c>
    </row>
    <row r="1107" spans="1:8" ht="14.25" x14ac:dyDescent="0.45">
      <c r="A1107" s="86">
        <f ca="1"/>
        <v>12</v>
      </c>
      <c r="B1107" s="86" t="str">
        <f ca="1"/>
        <v>B163</v>
      </c>
      <c r="C1107" s="86" t="str">
        <f t="shared" ca="1" si="240"/>
        <v>MOHAMMED YOUNUS</v>
      </c>
      <c r="D1107" s="86" t="str">
        <f t="shared" ca="1" si="241"/>
        <v>JARF</v>
      </c>
      <c r="E1107" s="86">
        <f t="shared" ca="1" si="242"/>
        <v>4</v>
      </c>
    </row>
    <row r="1108" spans="1:8" ht="14.25" x14ac:dyDescent="0.45">
      <c r="A1108" s="84" t="s">
        <v>250</v>
      </c>
      <c r="B1108" s="84" t="str">
        <f>VLOOKUP("JN39",f_detailsof_programs,2,FALSE)</f>
        <v>SPEECH ENG</v>
      </c>
      <c r="C1108" s="84"/>
      <c r="D1108" s="84" t="s">
        <v>688</v>
      </c>
      <c r="E1108" s="84" t="s">
        <v>485</v>
      </c>
      <c r="F1108" s="84"/>
      <c r="G1108" s="84"/>
      <c r="H1108" s="84"/>
    </row>
    <row r="1109" spans="1:8" ht="14.25" x14ac:dyDescent="0.45">
      <c r="A1109" s="85" t="s">
        <v>16</v>
      </c>
      <c r="B1109" s="85" t="s">
        <v>480</v>
      </c>
      <c r="C1109" s="85" t="s">
        <v>18</v>
      </c>
      <c r="D1109" s="85" t="s">
        <v>481</v>
      </c>
      <c r="E1109" s="85" t="s">
        <v>19</v>
      </c>
      <c r="F1109" s="85" t="s">
        <v>482</v>
      </c>
      <c r="G1109" s="85" t="s">
        <v>483</v>
      </c>
      <c r="H1109" s="85" t="s">
        <v>484</v>
      </c>
    </row>
    <row r="1110" spans="1:8" ht="14.25" x14ac:dyDescent="0.45">
      <c r="A1110" s="86" cm="1">
        <f t="array" aca="1" ref="A1110:A1121" ca="1">_xlfn.SEQUENCE(COUNTA(_xlfn.LET(_xlpm.trimmed,OFFSET(f_listof_program_candidates,MATCH("JN39",f_listof_program_codes,0)-1,6,1,),TRANSPOSE(_xlfn._xlws.FILTER(OFFSET(_xlpm.trimmed,0,0,,COUNTA(_xlpm.trimmed)-5),OFFSET(_xlpm.trimmed,0,0,,COUNTA(_xlpm.trimmed)-5)&lt;&gt;0)))))</f>
        <v>1</v>
      </c>
      <c r="B1110" s="86" t="str" cm="1">
        <f t="array" aca="1" ref="B1110:B1121" ca="1">_xlfn.LET(_xlpm.trimmed,OFFSET(f_listof_program_candidates,MATCH("JN39",f_listof_program_codes,0)-1,6,1,),TRANSPOSE(_xlfn._xlws.FILTER(OFFSET(_xlpm.trimmed,0,0,,COUNTA(_xlpm.trimmed)-5),OFFSET(_xlpm.trimmed,0,0,,COUNTA(_xlpm.trimmed)-5)&lt;&gt;0)))</f>
        <v>B123</v>
      </c>
      <c r="C1110" s="86" t="str">
        <f t="shared" ref="C1110:C1121" ca="1" si="243">VLOOKUP(B1110,f_detailsof_candidates,2,FALSE)</f>
        <v>MUHAMMED YASEEN</v>
      </c>
      <c r="D1110" s="86" t="str">
        <f t="shared" ref="D1110:D1121" ca="1" si="244">VLOOKUP(B1110,f_detailsof_candidates,3,FALSE)</f>
        <v>FANT</v>
      </c>
      <c r="E1110" s="86">
        <f t="shared" ref="E1110:E1121" ca="1" si="245">VLOOKUP(B1110,f_detailsof_candidates,5,FALSE)</f>
        <v>3</v>
      </c>
    </row>
    <row r="1111" spans="1:8" ht="14.25" x14ac:dyDescent="0.45">
      <c r="A1111" s="86">
        <f ca="1"/>
        <v>2</v>
      </c>
      <c r="B1111" s="86" t="str">
        <f ca="1"/>
        <v>B135</v>
      </c>
      <c r="C1111" s="86" t="str">
        <f t="shared" ca="1" si="243"/>
        <v>MOHAMMED RAFIH M R</v>
      </c>
      <c r="D1111" s="86" t="str">
        <f t="shared" ca="1" si="244"/>
        <v>FANT</v>
      </c>
      <c r="E1111" s="86">
        <f t="shared" ca="1" si="245"/>
        <v>3</v>
      </c>
    </row>
    <row r="1112" spans="1:8" ht="14.25" x14ac:dyDescent="0.45">
      <c r="A1112" s="86">
        <f ca="1"/>
        <v>3</v>
      </c>
      <c r="B1112" s="86" t="str">
        <f ca="1"/>
        <v>B157</v>
      </c>
      <c r="C1112" s="86" t="str">
        <f t="shared" ca="1" si="243"/>
        <v>MUHAMMED MIHRAZ</v>
      </c>
      <c r="D1112" s="86" t="str">
        <f t="shared" ca="1" si="244"/>
        <v>FANT</v>
      </c>
      <c r="E1112" s="86">
        <f t="shared" ca="1" si="245"/>
        <v>4</v>
      </c>
    </row>
    <row r="1113" spans="1:8" ht="14.25" x14ac:dyDescent="0.45">
      <c r="A1113" s="86">
        <f ca="1"/>
        <v>4</v>
      </c>
      <c r="B1113" s="86" t="str">
        <f ca="1"/>
        <v>B110</v>
      </c>
      <c r="C1113" s="86" t="str">
        <f t="shared" ca="1" si="243"/>
        <v>MUHAMMED MUHAZ P A</v>
      </c>
      <c r="D1113" s="86" t="str">
        <f t="shared" ca="1" si="244"/>
        <v>DAHF</v>
      </c>
      <c r="E1113" s="86">
        <f t="shared" ca="1" si="245"/>
        <v>3</v>
      </c>
    </row>
    <row r="1114" spans="1:8" ht="14.25" x14ac:dyDescent="0.45">
      <c r="A1114" s="86">
        <f ca="1"/>
        <v>5</v>
      </c>
      <c r="B1114" s="86" t="str">
        <f ca="1"/>
        <v>B122</v>
      </c>
      <c r="C1114" s="86" t="str">
        <f t="shared" ca="1" si="243"/>
        <v>MUHAMMAD FAYIZ B</v>
      </c>
      <c r="D1114" s="86" t="str">
        <f t="shared" ca="1" si="244"/>
        <v>DAHF</v>
      </c>
      <c r="E1114" s="86">
        <f t="shared" ca="1" si="245"/>
        <v>3</v>
      </c>
    </row>
    <row r="1115" spans="1:8" ht="14.25" x14ac:dyDescent="0.45">
      <c r="A1115" s="86">
        <f ca="1"/>
        <v>6</v>
      </c>
      <c r="B1115" s="86" t="str">
        <f ca="1"/>
        <v>B127</v>
      </c>
      <c r="C1115" s="86" t="str">
        <f t="shared" ca="1" si="243"/>
        <v>THANSEEHU RAHMAN</v>
      </c>
      <c r="D1115" s="86" t="str">
        <f t="shared" ca="1" si="244"/>
        <v>DAHF</v>
      </c>
      <c r="E1115" s="86">
        <f t="shared" ca="1" si="245"/>
        <v>3</v>
      </c>
    </row>
    <row r="1116" spans="1:8" ht="14.25" x14ac:dyDescent="0.45">
      <c r="A1116" s="86">
        <f ca="1"/>
        <v>7</v>
      </c>
      <c r="B1116" s="86" t="str">
        <f ca="1"/>
        <v>B113</v>
      </c>
      <c r="C1116" s="86" t="str">
        <f t="shared" ca="1" si="243"/>
        <v>MUHAMMED IHTHISHAM P I</v>
      </c>
      <c r="D1116" s="86" t="str">
        <f t="shared" ca="1" si="244"/>
        <v>BADF</v>
      </c>
      <c r="E1116" s="86">
        <f t="shared" ca="1" si="245"/>
        <v>3</v>
      </c>
    </row>
    <row r="1117" spans="1:8" ht="14.25" x14ac:dyDescent="0.45">
      <c r="A1117" s="86">
        <f ca="1"/>
        <v>8</v>
      </c>
      <c r="B1117" s="86" t="str">
        <f ca="1"/>
        <v>B142</v>
      </c>
      <c r="C1117" s="86" t="str">
        <f t="shared" ca="1" si="243"/>
        <v>MUHAMMED HAMDAN A.P</v>
      </c>
      <c r="D1117" s="86" t="str">
        <f t="shared" ca="1" si="244"/>
        <v>BADF</v>
      </c>
      <c r="E1117" s="86">
        <f t="shared" ca="1" si="245"/>
        <v>4</v>
      </c>
    </row>
    <row r="1118" spans="1:8" ht="14.25" x14ac:dyDescent="0.45">
      <c r="A1118" s="86">
        <f ca="1"/>
        <v>9</v>
      </c>
      <c r="B1118" s="86" t="str">
        <f ca="1"/>
        <v>B151</v>
      </c>
      <c r="C1118" s="86" t="str">
        <f t="shared" ca="1" si="243"/>
        <v>ABDUL GAFOOR</v>
      </c>
      <c r="D1118" s="86" t="str">
        <f t="shared" ca="1" si="244"/>
        <v>BADF</v>
      </c>
      <c r="E1118" s="86">
        <f t="shared" ca="1" si="245"/>
        <v>4</v>
      </c>
    </row>
    <row r="1119" spans="1:8" ht="14.25" x14ac:dyDescent="0.45">
      <c r="A1119" s="86">
        <f ca="1"/>
        <v>10</v>
      </c>
      <c r="B1119" s="86" t="str">
        <f ca="1"/>
        <v>B108</v>
      </c>
      <c r="C1119" s="86" t="str">
        <f t="shared" ca="1" si="243"/>
        <v>ABDUL RAHIMAN FAIZ T A</v>
      </c>
      <c r="D1119" s="86" t="str">
        <f t="shared" ca="1" si="244"/>
        <v>JARF</v>
      </c>
      <c r="E1119" s="86">
        <f t="shared" ca="1" si="245"/>
        <v>3</v>
      </c>
    </row>
    <row r="1120" spans="1:8" ht="14.25" x14ac:dyDescent="0.45">
      <c r="A1120" s="86">
        <f ca="1"/>
        <v>11</v>
      </c>
      <c r="B1120" s="86" t="str">
        <f ca="1"/>
        <v>B134</v>
      </c>
      <c r="C1120" s="86" t="str">
        <f t="shared" ca="1" si="243"/>
        <v>ABDUL RAHIMAN AZAAN</v>
      </c>
      <c r="D1120" s="86" t="str">
        <f t="shared" ca="1" si="244"/>
        <v>JARF</v>
      </c>
      <c r="E1120" s="86">
        <f t="shared" ca="1" si="245"/>
        <v>3</v>
      </c>
    </row>
    <row r="1121" spans="1:8" ht="14.25" x14ac:dyDescent="0.45">
      <c r="A1121" s="86">
        <f ca="1"/>
        <v>12</v>
      </c>
      <c r="B1121" s="86" t="str">
        <f ca="1"/>
        <v>B147</v>
      </c>
      <c r="C1121" s="86" t="str">
        <f t="shared" ca="1" si="243"/>
        <v>MOHAMMED SHAMEEM B K</v>
      </c>
      <c r="D1121" s="86" t="str">
        <f t="shared" ca="1" si="244"/>
        <v>JARF</v>
      </c>
      <c r="E1121" s="86">
        <f t="shared" ca="1" si="245"/>
        <v>4</v>
      </c>
    </row>
    <row r="1122" spans="1:8" ht="14.25" x14ac:dyDescent="0.45">
      <c r="A1122" s="84" t="s">
        <v>251</v>
      </c>
      <c r="B1122" s="84" t="str">
        <f>VLOOKUP("JN40",f_detailsof_programs,2,FALSE)</f>
        <v>SPEECH MLM</v>
      </c>
      <c r="C1122" s="84"/>
      <c r="D1122" s="84" t="s">
        <v>688</v>
      </c>
      <c r="E1122" s="84" t="s">
        <v>485</v>
      </c>
      <c r="F1122" s="84"/>
      <c r="G1122" s="84"/>
      <c r="H1122" s="84"/>
    </row>
    <row r="1123" spans="1:8" ht="14.25" x14ac:dyDescent="0.45">
      <c r="A1123" s="85" t="s">
        <v>16</v>
      </c>
      <c r="B1123" s="85" t="s">
        <v>480</v>
      </c>
      <c r="C1123" s="85" t="s">
        <v>18</v>
      </c>
      <c r="D1123" s="85" t="s">
        <v>481</v>
      </c>
      <c r="E1123" s="85" t="s">
        <v>19</v>
      </c>
      <c r="F1123" s="85" t="s">
        <v>482</v>
      </c>
      <c r="G1123" s="85" t="s">
        <v>483</v>
      </c>
      <c r="H1123" s="85" t="s">
        <v>484</v>
      </c>
    </row>
    <row r="1124" spans="1:8" ht="14.25" x14ac:dyDescent="0.45">
      <c r="A1124" s="86" cm="1">
        <f t="array" aca="1" ref="A1124:A1135" ca="1">_xlfn.SEQUENCE(COUNTA(_xlfn.LET(_xlpm.trimmed,OFFSET(f_listof_program_candidates,MATCH("JN40",f_listof_program_codes,0)-1,6,1,),TRANSPOSE(_xlfn._xlws.FILTER(OFFSET(_xlpm.trimmed,0,0,,COUNTA(_xlpm.trimmed)-5),OFFSET(_xlpm.trimmed,0,0,,COUNTA(_xlpm.trimmed)-5)&lt;&gt;0)))))</f>
        <v>1</v>
      </c>
      <c r="B1124" s="86" t="str" cm="1">
        <f t="array" aca="1" ref="B1124:B1135" ca="1">_xlfn.LET(_xlpm.trimmed,OFFSET(f_listof_program_candidates,MATCH("JN40",f_listof_program_codes,0)-1,6,1,),TRANSPOSE(_xlfn._xlws.FILTER(OFFSET(_xlpm.trimmed,0,0,,COUNTA(_xlpm.trimmed)-5),OFFSET(_xlpm.trimmed,0,0,,COUNTA(_xlpm.trimmed)-5)&lt;&gt;0)))</f>
        <v>B129</v>
      </c>
      <c r="C1124" s="86" t="str">
        <f t="shared" ref="C1124:C1135" ca="1" si="246">VLOOKUP(B1124,f_detailsof_candidates,2,FALSE)</f>
        <v>MOHAMMED SABITH KU</v>
      </c>
      <c r="D1124" s="86" t="str">
        <f t="shared" ref="D1124:D1135" ca="1" si="247">VLOOKUP(B1124,f_detailsof_candidates,3,FALSE)</f>
        <v>FANT</v>
      </c>
      <c r="E1124" s="86">
        <f t="shared" ref="E1124:E1135" ca="1" si="248">VLOOKUP(B1124,f_detailsof_candidates,5,FALSE)</f>
        <v>3</v>
      </c>
    </row>
    <row r="1125" spans="1:8" ht="14.25" x14ac:dyDescent="0.45">
      <c r="A1125" s="86">
        <f ca="1"/>
        <v>2</v>
      </c>
      <c r="B1125" s="86" t="str">
        <f ca="1"/>
        <v>B150</v>
      </c>
      <c r="C1125" s="86" t="str">
        <f t="shared" ca="1" si="246"/>
        <v>ABDULLA FAHAD T.U</v>
      </c>
      <c r="D1125" s="86" t="str">
        <f t="shared" ca="1" si="247"/>
        <v>FANT</v>
      </c>
      <c r="E1125" s="86">
        <f t="shared" ca="1" si="248"/>
        <v>4</v>
      </c>
    </row>
    <row r="1126" spans="1:8" ht="14.25" x14ac:dyDescent="0.45">
      <c r="A1126" s="86">
        <f ca="1"/>
        <v>3</v>
      </c>
      <c r="B1126" s="86" t="str">
        <f ca="1"/>
        <v>B104</v>
      </c>
      <c r="C1126" s="86" t="str">
        <f t="shared" ca="1" si="246"/>
        <v>FAKRUDDIN NAFIL</v>
      </c>
      <c r="D1126" s="86" t="str">
        <f t="shared" ca="1" si="247"/>
        <v>FANT</v>
      </c>
      <c r="E1126" s="86">
        <f t="shared" ca="1" si="248"/>
        <v>3</v>
      </c>
    </row>
    <row r="1127" spans="1:8" ht="14.25" x14ac:dyDescent="0.45">
      <c r="A1127" s="86">
        <f ca="1"/>
        <v>4</v>
      </c>
      <c r="B1127" s="86" t="str">
        <f ca="1"/>
        <v>B109</v>
      </c>
      <c r="C1127" s="86" t="str">
        <f t="shared" ca="1" si="246"/>
        <v>AHAMMED SAFAR ZAKARIYA</v>
      </c>
      <c r="D1127" s="86" t="str">
        <f t="shared" ca="1" si="247"/>
        <v>DAHF</v>
      </c>
      <c r="E1127" s="86">
        <f t="shared" ca="1" si="248"/>
        <v>3</v>
      </c>
    </row>
    <row r="1128" spans="1:8" ht="14.25" x14ac:dyDescent="0.45">
      <c r="A1128" s="86">
        <f ca="1"/>
        <v>5</v>
      </c>
      <c r="B1128" s="86" t="str">
        <f ca="1"/>
        <v>B149</v>
      </c>
      <c r="C1128" s="86" t="str">
        <f t="shared" ca="1" si="246"/>
        <v>MUHAMMED FARHAN PH</v>
      </c>
      <c r="D1128" s="86" t="str">
        <f t="shared" ca="1" si="247"/>
        <v>DAHF</v>
      </c>
      <c r="E1128" s="86">
        <f t="shared" ca="1" si="248"/>
        <v>4</v>
      </c>
    </row>
    <row r="1129" spans="1:8" ht="14.25" x14ac:dyDescent="0.45">
      <c r="A1129" s="86">
        <f ca="1"/>
        <v>6</v>
      </c>
      <c r="B1129" s="86" t="str">
        <f ca="1"/>
        <v>B161</v>
      </c>
      <c r="C1129" s="86" t="str">
        <f t="shared" ca="1" si="246"/>
        <v>MUHAMMED RAZI TM</v>
      </c>
      <c r="D1129" s="86" t="str">
        <f t="shared" ca="1" si="247"/>
        <v>DAHF</v>
      </c>
      <c r="E1129" s="86">
        <f t="shared" ca="1" si="248"/>
        <v>4</v>
      </c>
    </row>
    <row r="1130" spans="1:8" ht="14.25" x14ac:dyDescent="0.45">
      <c r="A1130" s="86">
        <f ca="1"/>
        <v>7</v>
      </c>
      <c r="B1130" s="86" t="str">
        <f ca="1"/>
        <v>B106</v>
      </c>
      <c r="C1130" s="86" t="str">
        <f t="shared" ca="1" si="246"/>
        <v>MUHAMMED ROUHAN M.K</v>
      </c>
      <c r="D1130" s="86" t="str">
        <f t="shared" ca="1" si="247"/>
        <v>BADF</v>
      </c>
      <c r="E1130" s="86">
        <f t="shared" ca="1" si="248"/>
        <v>3</v>
      </c>
    </row>
    <row r="1131" spans="1:8" ht="14.25" x14ac:dyDescent="0.45">
      <c r="A1131" s="86">
        <f ca="1"/>
        <v>8</v>
      </c>
      <c r="B1131" s="86" t="str">
        <f ca="1"/>
        <v>B117</v>
      </c>
      <c r="C1131" s="86" t="str">
        <f t="shared" ca="1" si="246"/>
        <v>MUHAMMAD SABITH V K P</v>
      </c>
      <c r="D1131" s="86" t="str">
        <f t="shared" ca="1" si="247"/>
        <v>BADF</v>
      </c>
      <c r="E1131" s="86">
        <f t="shared" ca="1" si="248"/>
        <v>3</v>
      </c>
    </row>
    <row r="1132" spans="1:8" ht="14.25" x14ac:dyDescent="0.45">
      <c r="A1132" s="86">
        <f ca="1"/>
        <v>9</v>
      </c>
      <c r="B1132" s="86" t="str">
        <f ca="1"/>
        <v>B138</v>
      </c>
      <c r="C1132" s="86" t="str">
        <f t="shared" ca="1" si="246"/>
        <v>HABEEB RAHMAN CA</v>
      </c>
      <c r="D1132" s="86" t="str">
        <f t="shared" ca="1" si="247"/>
        <v>BADF</v>
      </c>
      <c r="E1132" s="86">
        <f t="shared" ca="1" si="248"/>
        <v>3</v>
      </c>
    </row>
    <row r="1133" spans="1:8" ht="14.25" x14ac:dyDescent="0.45">
      <c r="A1133" s="86">
        <f ca="1"/>
        <v>10</v>
      </c>
      <c r="B1133" s="86" t="str">
        <f ca="1"/>
        <v>B108</v>
      </c>
      <c r="C1133" s="86" t="str">
        <f t="shared" ca="1" si="246"/>
        <v>ABDUL RAHIMAN FAIZ T A</v>
      </c>
      <c r="D1133" s="86" t="str">
        <f t="shared" ca="1" si="247"/>
        <v>JARF</v>
      </c>
      <c r="E1133" s="86">
        <f t="shared" ca="1" si="248"/>
        <v>3</v>
      </c>
    </row>
    <row r="1134" spans="1:8" ht="14.25" x14ac:dyDescent="0.45">
      <c r="A1134" s="86">
        <f ca="1"/>
        <v>11</v>
      </c>
      <c r="B1134" s="86" t="str">
        <f ca="1"/>
        <v>B162</v>
      </c>
      <c r="C1134" s="86" t="str">
        <f t="shared" ca="1" si="246"/>
        <v>RAYHAN PH</v>
      </c>
      <c r="D1134" s="86" t="str">
        <f t="shared" ca="1" si="247"/>
        <v>JARF</v>
      </c>
      <c r="E1134" s="86">
        <f t="shared" ca="1" si="248"/>
        <v>4</v>
      </c>
    </row>
    <row r="1135" spans="1:8" ht="14.25" x14ac:dyDescent="0.45">
      <c r="A1135" s="86">
        <f ca="1"/>
        <v>12</v>
      </c>
      <c r="B1135" s="86" t="str">
        <f ca="1"/>
        <v>B163</v>
      </c>
      <c r="C1135" s="86" t="str">
        <f t="shared" ca="1" si="246"/>
        <v>MOHAMMED YOUNUS</v>
      </c>
      <c r="D1135" s="86" t="str">
        <f t="shared" ca="1" si="247"/>
        <v>JARF</v>
      </c>
      <c r="E1135" s="86">
        <f t="shared" ca="1" si="248"/>
        <v>4</v>
      </c>
    </row>
    <row r="1136" spans="1:8" ht="14.25" x14ac:dyDescent="0.45">
      <c r="A1136" s="84" t="s">
        <v>252</v>
      </c>
      <c r="B1136" s="84" t="str">
        <f>VLOOKUP("JN41",f_detailsof_programs,2,FALSE)</f>
        <v>SPEECH URD</v>
      </c>
      <c r="C1136" s="84"/>
      <c r="D1136" s="84" t="s">
        <v>688</v>
      </c>
      <c r="E1136" s="84" t="s">
        <v>485</v>
      </c>
      <c r="F1136" s="84"/>
      <c r="G1136" s="84"/>
      <c r="H1136" s="84"/>
    </row>
    <row r="1137" spans="1:8" ht="14.25" x14ac:dyDescent="0.45">
      <c r="A1137" s="85" t="s">
        <v>16</v>
      </c>
      <c r="B1137" s="85" t="s">
        <v>480</v>
      </c>
      <c r="C1137" s="85" t="s">
        <v>18</v>
      </c>
      <c r="D1137" s="85" t="s">
        <v>481</v>
      </c>
      <c r="E1137" s="85" t="s">
        <v>19</v>
      </c>
      <c r="F1137" s="85" t="s">
        <v>482</v>
      </c>
      <c r="G1137" s="85" t="s">
        <v>483</v>
      </c>
      <c r="H1137" s="85" t="s">
        <v>484</v>
      </c>
    </row>
    <row r="1138" spans="1:8" ht="14.25" x14ac:dyDescent="0.45">
      <c r="A1138" s="86" cm="1">
        <f t="array" aca="1" ref="A1138:A1149" ca="1">_xlfn.SEQUENCE(COUNTA(_xlfn.LET(_xlpm.trimmed,OFFSET(f_listof_program_candidates,MATCH("JN41",f_listof_program_codes,0)-1,6,1,),TRANSPOSE(_xlfn._xlws.FILTER(OFFSET(_xlpm.trimmed,0,0,,COUNTA(_xlpm.trimmed)-5),OFFSET(_xlpm.trimmed,0,0,,COUNTA(_xlpm.trimmed)-5)&lt;&gt;0)))))</f>
        <v>1</v>
      </c>
      <c r="B1138" s="86" t="str" cm="1">
        <f t="array" aca="1" ref="B1138:B1149" ca="1">_xlfn.LET(_xlpm.trimmed,OFFSET(f_listof_program_candidates,MATCH("JN41",f_listof_program_codes,0)-1,6,1,),TRANSPOSE(_xlfn._xlws.FILTER(OFFSET(_xlpm.trimmed,0,0,,COUNTA(_xlpm.trimmed)-5),OFFSET(_xlpm.trimmed,0,0,,COUNTA(_xlpm.trimmed)-5)&lt;&gt;0)))</f>
        <v>B112</v>
      </c>
      <c r="C1138" s="86" t="str">
        <f t="shared" ref="C1138:C1149" ca="1" si="249">VLOOKUP(B1138,f_detailsof_candidates,2,FALSE)</f>
        <v>SHARAZ AHAMMED</v>
      </c>
      <c r="D1138" s="86" t="str">
        <f t="shared" ref="D1138:D1149" ca="1" si="250">VLOOKUP(B1138,f_detailsof_candidates,3,FALSE)</f>
        <v>FANT</v>
      </c>
      <c r="E1138" s="86">
        <f t="shared" ref="E1138:E1149" ca="1" si="251">VLOOKUP(B1138,f_detailsof_candidates,5,FALSE)</f>
        <v>3</v>
      </c>
    </row>
    <row r="1139" spans="1:8" ht="14.25" x14ac:dyDescent="0.45">
      <c r="A1139" s="86">
        <f ca="1"/>
        <v>2</v>
      </c>
      <c r="B1139" s="86" t="str">
        <f ca="1"/>
        <v>B120</v>
      </c>
      <c r="C1139" s="86" t="str">
        <f t="shared" ca="1" si="249"/>
        <v>MOHAMMED RIYAN</v>
      </c>
      <c r="D1139" s="86" t="str">
        <f t="shared" ca="1" si="250"/>
        <v>FANT</v>
      </c>
      <c r="E1139" s="86">
        <f t="shared" ca="1" si="251"/>
        <v>3</v>
      </c>
    </row>
    <row r="1140" spans="1:8" ht="14.25" x14ac:dyDescent="0.45">
      <c r="A1140" s="86">
        <f ca="1"/>
        <v>3</v>
      </c>
      <c r="B1140" s="86" t="str">
        <f ca="1"/>
        <v>B144</v>
      </c>
      <c r="C1140" s="86" t="str">
        <f t="shared" ca="1" si="249"/>
        <v>MUHAMMED NAFIH CI</v>
      </c>
      <c r="D1140" s="86" t="str">
        <f t="shared" ca="1" si="250"/>
        <v>FANT</v>
      </c>
      <c r="E1140" s="86">
        <f t="shared" ca="1" si="251"/>
        <v>4</v>
      </c>
    </row>
    <row r="1141" spans="1:8" ht="14.25" x14ac:dyDescent="0.45">
      <c r="A1141" s="86">
        <f ca="1"/>
        <v>4</v>
      </c>
      <c r="B1141" s="86" t="str">
        <f ca="1"/>
        <v>B114</v>
      </c>
      <c r="C1141" s="86" t="str">
        <f t="shared" ca="1" si="249"/>
        <v>AMEEN RAHMAN MTP</v>
      </c>
      <c r="D1141" s="86" t="str">
        <f t="shared" ca="1" si="250"/>
        <v>DAHF</v>
      </c>
      <c r="E1141" s="86">
        <f t="shared" ca="1" si="251"/>
        <v>3</v>
      </c>
    </row>
    <row r="1142" spans="1:8" ht="14.25" x14ac:dyDescent="0.45">
      <c r="A1142" s="86">
        <f ca="1"/>
        <v>5</v>
      </c>
      <c r="B1142" s="86" t="str">
        <f ca="1"/>
        <v>B139</v>
      </c>
      <c r="C1142" s="86" t="str">
        <f t="shared" ca="1" si="249"/>
        <v>Muhammad</v>
      </c>
      <c r="D1142" s="86" t="str">
        <f t="shared" ca="1" si="250"/>
        <v>DAHF</v>
      </c>
      <c r="E1142" s="86">
        <f t="shared" ca="1" si="251"/>
        <v>3</v>
      </c>
    </row>
    <row r="1143" spans="1:8" ht="14.25" x14ac:dyDescent="0.45">
      <c r="A1143" s="86">
        <f ca="1"/>
        <v>6</v>
      </c>
      <c r="B1143" s="86" t="str">
        <f ca="1"/>
        <v>B154</v>
      </c>
      <c r="C1143" s="86" t="str">
        <f t="shared" ca="1" si="249"/>
        <v>ABDULLA ALBAS</v>
      </c>
      <c r="D1143" s="86" t="str">
        <f t="shared" ca="1" si="250"/>
        <v>DAHF</v>
      </c>
      <c r="E1143" s="86">
        <f t="shared" ca="1" si="251"/>
        <v>4</v>
      </c>
    </row>
    <row r="1144" spans="1:8" ht="14.25" x14ac:dyDescent="0.45">
      <c r="A1144" s="86">
        <f ca="1"/>
        <v>7</v>
      </c>
      <c r="B1144" s="86" t="str">
        <f ca="1"/>
        <v>B103</v>
      </c>
      <c r="C1144" s="86" t="str">
        <f t="shared" ca="1" si="249"/>
        <v>MOHAMMED NAFIH BA</v>
      </c>
      <c r="D1144" s="86" t="str">
        <f t="shared" ca="1" si="250"/>
        <v>BADF</v>
      </c>
      <c r="E1144" s="86">
        <f t="shared" ca="1" si="251"/>
        <v>3</v>
      </c>
    </row>
    <row r="1145" spans="1:8" ht="14.25" x14ac:dyDescent="0.45">
      <c r="A1145" s="86">
        <f ca="1"/>
        <v>8</v>
      </c>
      <c r="B1145" s="86" t="str">
        <f ca="1"/>
        <v>B137</v>
      </c>
      <c r="C1145" s="86" t="str">
        <f t="shared" ca="1" si="249"/>
        <v>MOHAMMAD IJAN</v>
      </c>
      <c r="D1145" s="86" t="str">
        <f t="shared" ca="1" si="250"/>
        <v>BADF</v>
      </c>
      <c r="E1145" s="86">
        <f t="shared" ca="1" si="251"/>
        <v>3</v>
      </c>
    </row>
    <row r="1146" spans="1:8" ht="14.25" x14ac:dyDescent="0.45">
      <c r="A1146" s="86">
        <f ca="1"/>
        <v>9</v>
      </c>
      <c r="B1146" s="86" t="str">
        <f ca="1"/>
        <v>B140</v>
      </c>
      <c r="C1146" s="86" t="str">
        <f t="shared" ca="1" si="249"/>
        <v>MOHAMMED SHAHID</v>
      </c>
      <c r="D1146" s="86" t="str">
        <f t="shared" ca="1" si="250"/>
        <v>BADF</v>
      </c>
      <c r="E1146" s="86">
        <f t="shared" ca="1" si="251"/>
        <v>4</v>
      </c>
    </row>
    <row r="1147" spans="1:8" ht="14.25" x14ac:dyDescent="0.45">
      <c r="A1147" s="86">
        <f ca="1"/>
        <v>10</v>
      </c>
      <c r="B1147" s="86" t="str">
        <f ca="1"/>
        <v>B118</v>
      </c>
      <c r="C1147" s="86" t="str">
        <f t="shared" ca="1" si="249"/>
        <v>Muhammad Muaaz</v>
      </c>
      <c r="D1147" s="86" t="str">
        <f t="shared" ca="1" si="250"/>
        <v>JARF</v>
      </c>
      <c r="E1147" s="86">
        <f t="shared" ca="1" si="251"/>
        <v>3</v>
      </c>
    </row>
    <row r="1148" spans="1:8" ht="14.25" x14ac:dyDescent="0.45">
      <c r="A1148" s="86">
        <f ca="1"/>
        <v>11</v>
      </c>
      <c r="B1148" s="86" t="str">
        <f ca="1"/>
        <v>B119</v>
      </c>
      <c r="C1148" s="86" t="str">
        <f t="shared" ca="1" si="249"/>
        <v>ABDUL SA-AD</v>
      </c>
      <c r="D1148" s="86" t="str">
        <f t="shared" ca="1" si="250"/>
        <v>JARF</v>
      </c>
      <c r="E1148" s="86">
        <f t="shared" ca="1" si="251"/>
        <v>3</v>
      </c>
    </row>
    <row r="1149" spans="1:8" ht="14.25" x14ac:dyDescent="0.45">
      <c r="A1149" s="86">
        <f ca="1"/>
        <v>12</v>
      </c>
      <c r="B1149" s="86" t="str">
        <f ca="1"/>
        <v>B147</v>
      </c>
      <c r="C1149" s="86" t="str">
        <f t="shared" ca="1" si="249"/>
        <v>MOHAMMED SHAMEEM B K</v>
      </c>
      <c r="D1149" s="86" t="str">
        <f t="shared" ca="1" si="250"/>
        <v>JARF</v>
      </c>
      <c r="E1149" s="86">
        <f t="shared" ca="1" si="251"/>
        <v>4</v>
      </c>
    </row>
    <row r="1150" spans="1:8" ht="14.25" x14ac:dyDescent="0.45">
      <c r="A1150" s="84" t="s">
        <v>253</v>
      </c>
      <c r="B1150" s="84" t="str">
        <f>VLOOKUP("JN42",f_detailsof_programs,2,FALSE)</f>
        <v>WAʿẒ</v>
      </c>
      <c r="C1150" s="84"/>
      <c r="D1150" s="84" t="s">
        <v>688</v>
      </c>
      <c r="E1150" s="84" t="s">
        <v>485</v>
      </c>
      <c r="F1150" s="84"/>
      <c r="G1150" s="84"/>
      <c r="H1150" s="84"/>
    </row>
    <row r="1151" spans="1:8" ht="14.25" x14ac:dyDescent="0.45">
      <c r="A1151" s="85" t="s">
        <v>16</v>
      </c>
      <c r="B1151" s="85" t="s">
        <v>480</v>
      </c>
      <c r="C1151" s="85" t="s">
        <v>18</v>
      </c>
      <c r="D1151" s="85" t="s">
        <v>481</v>
      </c>
      <c r="E1151" s="85" t="s">
        <v>19</v>
      </c>
      <c r="F1151" s="85" t="s">
        <v>482</v>
      </c>
      <c r="G1151" s="85" t="s">
        <v>483</v>
      </c>
      <c r="H1151" s="85" t="s">
        <v>484</v>
      </c>
    </row>
    <row r="1152" spans="1:8" ht="14.25" x14ac:dyDescent="0.45">
      <c r="A1152" s="86" cm="1">
        <f t="array" aca="1" ref="A1152:A1163" ca="1">_xlfn.SEQUENCE(COUNTA(_xlfn.LET(_xlpm.trimmed,OFFSET(f_listof_program_candidates,MATCH("JN42",f_listof_program_codes,0)-1,6,1,),TRANSPOSE(_xlfn._xlws.FILTER(OFFSET(_xlpm.trimmed,0,0,,COUNTA(_xlpm.trimmed)-5),OFFSET(_xlpm.trimmed,0,0,,COUNTA(_xlpm.trimmed)-5)&lt;&gt;0)))))</f>
        <v>1</v>
      </c>
      <c r="B1152" s="86" t="str" cm="1">
        <f t="array" aca="1" ref="B1152:B1163" ca="1">_xlfn.LET(_xlpm.trimmed,OFFSET(f_listof_program_candidates,MATCH("JN42",f_listof_program_codes,0)-1,6,1,),TRANSPOSE(_xlfn._xlws.FILTER(OFFSET(_xlpm.trimmed,0,0,,COUNTA(_xlpm.trimmed)-5),OFFSET(_xlpm.trimmed,0,0,,COUNTA(_xlpm.trimmed)-5)&lt;&gt;0)))</f>
        <v>B130</v>
      </c>
      <c r="C1152" s="86" t="str">
        <f t="shared" ref="C1152:C1163" ca="1" si="252">VLOOKUP(B1152,f_detailsof_candidates,2,FALSE)</f>
        <v>HAFIL ADIL AMANULLAH K K</v>
      </c>
      <c r="D1152" s="86" t="str">
        <f t="shared" ref="D1152:D1163" ca="1" si="253">VLOOKUP(B1152,f_detailsof_candidates,3,FALSE)</f>
        <v>FANT</v>
      </c>
      <c r="E1152" s="86">
        <f t="shared" ref="E1152:E1163" ca="1" si="254">VLOOKUP(B1152,f_detailsof_candidates,5,FALSE)</f>
        <v>3</v>
      </c>
    </row>
    <row r="1153" spans="1:8" ht="14.25" x14ac:dyDescent="0.45">
      <c r="A1153" s="86">
        <f ca="1"/>
        <v>2</v>
      </c>
      <c r="B1153" s="86" t="str">
        <f ca="1"/>
        <v>B135</v>
      </c>
      <c r="C1153" s="86" t="str">
        <f t="shared" ca="1" si="252"/>
        <v>MOHAMMED RAFIH M R</v>
      </c>
      <c r="D1153" s="86" t="str">
        <f t="shared" ca="1" si="253"/>
        <v>FANT</v>
      </c>
      <c r="E1153" s="86">
        <f t="shared" ca="1" si="254"/>
        <v>3</v>
      </c>
    </row>
    <row r="1154" spans="1:8" ht="14.25" x14ac:dyDescent="0.45">
      <c r="A1154" s="86">
        <f ca="1"/>
        <v>3</v>
      </c>
      <c r="B1154" s="86" t="str">
        <f ca="1"/>
        <v>B143</v>
      </c>
      <c r="C1154" s="86" t="str">
        <f t="shared" ca="1" si="252"/>
        <v>MOHAMMED SHADIL AP</v>
      </c>
      <c r="D1154" s="86" t="str">
        <f t="shared" ca="1" si="253"/>
        <v>FANT</v>
      </c>
      <c r="E1154" s="86">
        <f t="shared" ca="1" si="254"/>
        <v>4</v>
      </c>
    </row>
    <row r="1155" spans="1:8" ht="14.25" x14ac:dyDescent="0.45">
      <c r="A1155" s="86">
        <f ca="1"/>
        <v>4</v>
      </c>
      <c r="B1155" s="86" t="str">
        <f ca="1"/>
        <v>B109</v>
      </c>
      <c r="C1155" s="86" t="str">
        <f t="shared" ca="1" si="252"/>
        <v>AHAMMED SAFAR ZAKARIYA</v>
      </c>
      <c r="D1155" s="86" t="str">
        <f t="shared" ca="1" si="253"/>
        <v>DAHF</v>
      </c>
      <c r="E1155" s="86">
        <f t="shared" ca="1" si="254"/>
        <v>3</v>
      </c>
    </row>
    <row r="1156" spans="1:8" ht="14.25" x14ac:dyDescent="0.45">
      <c r="A1156" s="86">
        <f ca="1"/>
        <v>5</v>
      </c>
      <c r="B1156" s="86" t="str">
        <f ca="1"/>
        <v>B149</v>
      </c>
      <c r="C1156" s="86" t="str">
        <f t="shared" ca="1" si="252"/>
        <v>MUHAMMED FARHAN PH</v>
      </c>
      <c r="D1156" s="86" t="str">
        <f t="shared" ca="1" si="253"/>
        <v>DAHF</v>
      </c>
      <c r="E1156" s="86">
        <f t="shared" ca="1" si="254"/>
        <v>4</v>
      </c>
    </row>
    <row r="1157" spans="1:8" ht="14.25" x14ac:dyDescent="0.45">
      <c r="A1157" s="86">
        <f ca="1"/>
        <v>6</v>
      </c>
      <c r="B1157" s="86" t="str">
        <f ca="1"/>
        <v>B159</v>
      </c>
      <c r="C1157" s="86" t="str">
        <f t="shared" ca="1" si="252"/>
        <v>AJMAL AHMED MT</v>
      </c>
      <c r="D1157" s="86" t="str">
        <f t="shared" ca="1" si="253"/>
        <v>DAHF</v>
      </c>
      <c r="E1157" s="86">
        <f t="shared" ca="1" si="254"/>
        <v>4</v>
      </c>
    </row>
    <row r="1158" spans="1:8" ht="14.25" x14ac:dyDescent="0.45">
      <c r="A1158" s="86">
        <f ca="1"/>
        <v>7</v>
      </c>
      <c r="B1158" s="86" t="str">
        <f ca="1"/>
        <v>B117</v>
      </c>
      <c r="C1158" s="86" t="str">
        <f t="shared" ca="1" si="252"/>
        <v>MUHAMMAD SABITH V K P</v>
      </c>
      <c r="D1158" s="86" t="str">
        <f t="shared" ca="1" si="253"/>
        <v>BADF</v>
      </c>
      <c r="E1158" s="86">
        <f t="shared" ca="1" si="254"/>
        <v>3</v>
      </c>
    </row>
    <row r="1159" spans="1:8" ht="14.25" x14ac:dyDescent="0.45">
      <c r="A1159" s="86">
        <f ca="1"/>
        <v>8</v>
      </c>
      <c r="B1159" s="86" t="str">
        <f ca="1"/>
        <v>B137</v>
      </c>
      <c r="C1159" s="86" t="str">
        <f t="shared" ca="1" si="252"/>
        <v>MOHAMMAD IJAN</v>
      </c>
      <c r="D1159" s="86" t="str">
        <f t="shared" ca="1" si="253"/>
        <v>BADF</v>
      </c>
      <c r="E1159" s="86">
        <f t="shared" ca="1" si="254"/>
        <v>3</v>
      </c>
    </row>
    <row r="1160" spans="1:8" ht="14.25" x14ac:dyDescent="0.45">
      <c r="A1160" s="86">
        <f ca="1"/>
        <v>9</v>
      </c>
      <c r="B1160" s="86" t="str">
        <f ca="1"/>
        <v>B153</v>
      </c>
      <c r="C1160" s="86" t="str">
        <f t="shared" ca="1" si="252"/>
        <v>ABDUL KHADER ISHAQUE</v>
      </c>
      <c r="D1160" s="86" t="str">
        <f t="shared" ca="1" si="253"/>
        <v>BADF</v>
      </c>
      <c r="E1160" s="86">
        <f t="shared" ca="1" si="254"/>
        <v>4</v>
      </c>
    </row>
    <row r="1161" spans="1:8" ht="14.25" x14ac:dyDescent="0.45">
      <c r="A1161" s="86">
        <f ca="1"/>
        <v>10</v>
      </c>
      <c r="B1161" s="86" t="str">
        <f ca="1"/>
        <v>B105</v>
      </c>
      <c r="C1161" s="86" t="str">
        <f t="shared" ca="1" si="252"/>
        <v>HASAN THAMMEEM</v>
      </c>
      <c r="D1161" s="86" t="str">
        <f t="shared" ca="1" si="253"/>
        <v>JARF</v>
      </c>
      <c r="E1161" s="86">
        <f t="shared" ca="1" si="254"/>
        <v>3</v>
      </c>
    </row>
    <row r="1162" spans="1:8" ht="14.25" x14ac:dyDescent="0.45">
      <c r="A1162" s="86">
        <f ca="1"/>
        <v>11</v>
      </c>
      <c r="B1162" s="86" t="str">
        <f ca="1"/>
        <v>B118</v>
      </c>
      <c r="C1162" s="86" t="str">
        <f t="shared" ca="1" si="252"/>
        <v>Muhammad Muaaz</v>
      </c>
      <c r="D1162" s="86" t="str">
        <f t="shared" ca="1" si="253"/>
        <v>JARF</v>
      </c>
      <c r="E1162" s="86">
        <f t="shared" ca="1" si="254"/>
        <v>3</v>
      </c>
    </row>
    <row r="1163" spans="1:8" ht="14.25" x14ac:dyDescent="0.45">
      <c r="A1163" s="86">
        <f ca="1"/>
        <v>12</v>
      </c>
      <c r="B1163" s="86" t="str">
        <f ca="1"/>
        <v>B152</v>
      </c>
      <c r="C1163" s="86" t="str">
        <f t="shared" ca="1" si="252"/>
        <v>MUHAMMED MUNAZIR MM</v>
      </c>
      <c r="D1163" s="86" t="str">
        <f t="shared" ca="1" si="253"/>
        <v>JARF</v>
      </c>
      <c r="E1163" s="86">
        <f t="shared" ca="1" si="254"/>
        <v>4</v>
      </c>
    </row>
    <row r="1164" spans="1:8" ht="14.25" x14ac:dyDescent="0.45">
      <c r="A1164" s="84" t="s">
        <v>254</v>
      </c>
      <c r="B1164" s="84" t="str">
        <f>VLOOKUP("JN43",f_detailsof_programs,2,FALSE)</f>
        <v>WORD FIGHT ENG</v>
      </c>
      <c r="C1164" s="84"/>
      <c r="D1164" s="84" t="s">
        <v>688</v>
      </c>
      <c r="E1164" s="84" t="s">
        <v>485</v>
      </c>
      <c r="F1164" s="84"/>
      <c r="G1164" s="84"/>
      <c r="H1164" s="84"/>
    </row>
    <row r="1165" spans="1:8" ht="14.25" x14ac:dyDescent="0.45">
      <c r="A1165" s="85" t="s">
        <v>16</v>
      </c>
      <c r="B1165" s="85" t="s">
        <v>480</v>
      </c>
      <c r="C1165" s="85" t="s">
        <v>18</v>
      </c>
      <c r="D1165" s="85" t="s">
        <v>481</v>
      </c>
      <c r="E1165" s="85" t="s">
        <v>19</v>
      </c>
      <c r="F1165" s="85" t="s">
        <v>482</v>
      </c>
      <c r="G1165" s="85" t="s">
        <v>483</v>
      </c>
      <c r="H1165" s="85" t="s">
        <v>484</v>
      </c>
    </row>
    <row r="1166" spans="1:8" ht="14.25" x14ac:dyDescent="0.45">
      <c r="A1166" s="86" cm="1">
        <f t="array" aca="1" ref="A1166:A1177" ca="1">_xlfn.SEQUENCE(COUNTA(_xlfn.LET(_xlpm.trimmed,OFFSET(f_listof_program_candidates,MATCH("JN43",f_listof_program_codes,0)-1,6,1,),TRANSPOSE(_xlfn._xlws.FILTER(OFFSET(_xlpm.trimmed,0,0,,COUNTA(_xlpm.trimmed)-5),OFFSET(_xlpm.trimmed,0,0,,COUNTA(_xlpm.trimmed)-5)&lt;&gt;0)))))</f>
        <v>1</v>
      </c>
      <c r="B1166" s="86" t="str" cm="1">
        <f t="array" aca="1" ref="B1166:B1177" ca="1">_xlfn.LET(_xlpm.trimmed,OFFSET(f_listof_program_candidates,MATCH("JN43",f_listof_program_codes,0)-1,6,1,),TRANSPOSE(_xlfn._xlws.FILTER(OFFSET(_xlpm.trimmed,0,0,,COUNTA(_xlpm.trimmed)-5),OFFSET(_xlpm.trimmed,0,0,,COUNTA(_xlpm.trimmed)-5)&lt;&gt;0)))</f>
        <v>B111</v>
      </c>
      <c r="C1166" s="86" t="str">
        <f t="shared" ref="C1166:C1177" ca="1" si="255">VLOOKUP(B1166,f_detailsof_candidates,2,FALSE)</f>
        <v>MUHAMMED SAHEEM ASHRAF</v>
      </c>
      <c r="D1166" s="86" t="str">
        <f t="shared" ref="D1166:D1177" ca="1" si="256">VLOOKUP(B1166,f_detailsof_candidates,3,FALSE)</f>
        <v>FANT</v>
      </c>
      <c r="E1166" s="86">
        <f t="shared" ref="E1166:E1177" ca="1" si="257">VLOOKUP(B1166,f_detailsof_candidates,5,FALSE)</f>
        <v>3</v>
      </c>
    </row>
    <row r="1167" spans="1:8" ht="14.25" x14ac:dyDescent="0.45">
      <c r="A1167" s="86">
        <f ca="1"/>
        <v>2</v>
      </c>
      <c r="B1167" s="86" t="str">
        <f ca="1"/>
        <v>B123</v>
      </c>
      <c r="C1167" s="86" t="str">
        <f t="shared" ca="1" si="255"/>
        <v>MUHAMMED YASEEN</v>
      </c>
      <c r="D1167" s="86" t="str">
        <f t="shared" ca="1" si="256"/>
        <v>FANT</v>
      </c>
      <c r="E1167" s="86">
        <f t="shared" ca="1" si="257"/>
        <v>3</v>
      </c>
    </row>
    <row r="1168" spans="1:8" ht="14.25" x14ac:dyDescent="0.45">
      <c r="A1168" s="86">
        <f ca="1"/>
        <v>3</v>
      </c>
      <c r="B1168" s="86" t="str">
        <f ca="1"/>
        <v>B157</v>
      </c>
      <c r="C1168" s="86" t="str">
        <f t="shared" ca="1" si="255"/>
        <v>MUHAMMED MIHRAZ</v>
      </c>
      <c r="D1168" s="86" t="str">
        <f t="shared" ca="1" si="256"/>
        <v>FANT</v>
      </c>
      <c r="E1168" s="86">
        <f t="shared" ca="1" si="257"/>
        <v>4</v>
      </c>
    </row>
    <row r="1169" spans="1:8" ht="14.25" x14ac:dyDescent="0.45">
      <c r="A1169" s="86">
        <f ca="1"/>
        <v>4</v>
      </c>
      <c r="B1169" s="86" t="str">
        <f ca="1"/>
        <v>B110</v>
      </c>
      <c r="C1169" s="86" t="str">
        <f t="shared" ca="1" si="255"/>
        <v>MUHAMMED MUHAZ P A</v>
      </c>
      <c r="D1169" s="86" t="str">
        <f t="shared" ca="1" si="256"/>
        <v>DAHF</v>
      </c>
      <c r="E1169" s="86">
        <f t="shared" ca="1" si="257"/>
        <v>3</v>
      </c>
    </row>
    <row r="1170" spans="1:8" ht="14.25" x14ac:dyDescent="0.45">
      <c r="A1170" s="86">
        <f ca="1"/>
        <v>5</v>
      </c>
      <c r="B1170" s="86" t="str">
        <f ca="1"/>
        <v>B122</v>
      </c>
      <c r="C1170" s="86" t="str">
        <f t="shared" ca="1" si="255"/>
        <v>MUHAMMAD FAYIZ B</v>
      </c>
      <c r="D1170" s="86" t="str">
        <f t="shared" ca="1" si="256"/>
        <v>DAHF</v>
      </c>
      <c r="E1170" s="86">
        <f t="shared" ca="1" si="257"/>
        <v>3</v>
      </c>
    </row>
    <row r="1171" spans="1:8" ht="14.25" x14ac:dyDescent="0.45">
      <c r="A1171" s="86">
        <f ca="1"/>
        <v>6</v>
      </c>
      <c r="B1171" s="86" t="str">
        <f ca="1"/>
        <v>B158</v>
      </c>
      <c r="C1171" s="86" t="str">
        <f t="shared" ca="1" si="255"/>
        <v>FADIL MOHAMMED K M</v>
      </c>
      <c r="D1171" s="86" t="str">
        <f t="shared" ca="1" si="256"/>
        <v>DAHF</v>
      </c>
      <c r="E1171" s="86">
        <f t="shared" ca="1" si="257"/>
        <v>4</v>
      </c>
    </row>
    <row r="1172" spans="1:8" ht="14.25" x14ac:dyDescent="0.45">
      <c r="A1172" s="86">
        <f ca="1"/>
        <v>7</v>
      </c>
      <c r="B1172" s="86" t="str">
        <f ca="1"/>
        <v>B113</v>
      </c>
      <c r="C1172" s="86" t="str">
        <f t="shared" ca="1" si="255"/>
        <v>MUHAMMED IHTHISHAM P I</v>
      </c>
      <c r="D1172" s="86" t="str">
        <f t="shared" ca="1" si="256"/>
        <v>BADF</v>
      </c>
      <c r="E1172" s="86">
        <f t="shared" ca="1" si="257"/>
        <v>3</v>
      </c>
    </row>
    <row r="1173" spans="1:8" ht="14.25" x14ac:dyDescent="0.45">
      <c r="A1173" s="86">
        <f ca="1"/>
        <v>8</v>
      </c>
      <c r="B1173" s="86" t="str">
        <f ca="1"/>
        <v>B142</v>
      </c>
      <c r="C1173" s="86" t="str">
        <f t="shared" ca="1" si="255"/>
        <v>MUHAMMED HAMDAN A.P</v>
      </c>
      <c r="D1173" s="86" t="str">
        <f t="shared" ca="1" si="256"/>
        <v>BADF</v>
      </c>
      <c r="E1173" s="86">
        <f t="shared" ca="1" si="257"/>
        <v>4</v>
      </c>
    </row>
    <row r="1174" spans="1:8" ht="14.25" x14ac:dyDescent="0.45">
      <c r="A1174" s="86">
        <f ca="1"/>
        <v>9</v>
      </c>
      <c r="B1174" s="86" t="str">
        <f ca="1"/>
        <v>B164</v>
      </c>
      <c r="C1174" s="86" t="str">
        <f t="shared" ca="1" si="255"/>
        <v>RASALUL AMEEN T</v>
      </c>
      <c r="D1174" s="86" t="str">
        <f t="shared" ca="1" si="256"/>
        <v>BADF</v>
      </c>
      <c r="E1174" s="86">
        <f t="shared" ca="1" si="257"/>
        <v>4</v>
      </c>
    </row>
    <row r="1175" spans="1:8" ht="14.25" x14ac:dyDescent="0.45">
      <c r="A1175" s="86">
        <f ca="1"/>
        <v>10</v>
      </c>
      <c r="B1175" s="86" t="str">
        <f ca="1"/>
        <v>B107</v>
      </c>
      <c r="C1175" s="86" t="str">
        <f t="shared" ca="1" si="255"/>
        <v>MUHAMMED ZAMIL</v>
      </c>
      <c r="D1175" s="86" t="str">
        <f t="shared" ca="1" si="256"/>
        <v>JARF</v>
      </c>
      <c r="E1175" s="86">
        <f t="shared" ca="1" si="257"/>
        <v>3</v>
      </c>
    </row>
    <row r="1176" spans="1:8" ht="14.25" x14ac:dyDescent="0.45">
      <c r="A1176" s="86">
        <f ca="1"/>
        <v>11</v>
      </c>
      <c r="B1176" s="86" t="str">
        <f ca="1"/>
        <v>B131</v>
      </c>
      <c r="C1176" s="86" t="str">
        <f t="shared" ca="1" si="255"/>
        <v>MUHAMMED BASSIM. E</v>
      </c>
      <c r="D1176" s="86" t="str">
        <f t="shared" ca="1" si="256"/>
        <v>JARF</v>
      </c>
      <c r="E1176" s="86">
        <f t="shared" ca="1" si="257"/>
        <v>3</v>
      </c>
    </row>
    <row r="1177" spans="1:8" ht="14.25" x14ac:dyDescent="0.45">
      <c r="A1177" s="86">
        <f ca="1"/>
        <v>12</v>
      </c>
      <c r="B1177" s="86" t="str">
        <f ca="1"/>
        <v>B156</v>
      </c>
      <c r="C1177" s="86" t="str">
        <f t="shared" ca="1" si="255"/>
        <v>MOHAMMED ANAS A.A</v>
      </c>
      <c r="D1177" s="86" t="str">
        <f t="shared" ca="1" si="256"/>
        <v>JARF</v>
      </c>
      <c r="E1177" s="86">
        <f t="shared" ca="1" si="257"/>
        <v>4</v>
      </c>
    </row>
    <row r="1178" spans="1:8" ht="14.25" x14ac:dyDescent="0.45">
      <c r="A1178" s="84" t="s">
        <v>256</v>
      </c>
      <c r="B1178" s="84" t="str">
        <f>VLOOKUP("JN44",f_detailsof_programs,2,FALSE)</f>
        <v>INSTANT MAGAZINE MLM</v>
      </c>
      <c r="C1178" s="84"/>
      <c r="D1178" s="84" t="s">
        <v>688</v>
      </c>
      <c r="E1178" s="84" t="s">
        <v>637</v>
      </c>
      <c r="F1178" s="84"/>
      <c r="G1178" s="84"/>
      <c r="H1178" s="84"/>
    </row>
    <row r="1179" spans="1:8" ht="14.25" x14ac:dyDescent="0.45">
      <c r="A1179" s="85" t="s">
        <v>16</v>
      </c>
      <c r="B1179" s="85" t="s">
        <v>480</v>
      </c>
      <c r="C1179" s="85" t="s">
        <v>18</v>
      </c>
      <c r="D1179" s="85" t="s">
        <v>481</v>
      </c>
      <c r="E1179" s="85" t="s">
        <v>19</v>
      </c>
      <c r="F1179" s="85" t="s">
        <v>482</v>
      </c>
      <c r="G1179" s="85" t="s">
        <v>483</v>
      </c>
      <c r="H1179" s="85" t="s">
        <v>484</v>
      </c>
    </row>
    <row r="1180" spans="1:8" ht="14.25" x14ac:dyDescent="0.45">
      <c r="A1180" s="86" cm="1">
        <f t="array" aca="1" ref="A1180:A1199" ca="1">_xlfn.SEQUENCE(COUNTA(_xlfn.LET(_xlpm.trimmed,OFFSET(f_listof_program_candidates,MATCH("JN44",f_listof_program_codes,0)-1,6,1,),TRANSPOSE(_xlfn._xlws.FILTER(OFFSET(_xlpm.trimmed,0,0,,COUNTA(_xlpm.trimmed)-5),OFFSET(_xlpm.trimmed,0,0,,COUNTA(_xlpm.trimmed)-5)&lt;&gt;0)))))</f>
        <v>1</v>
      </c>
      <c r="B1180" s="86" t="str" cm="1">
        <f t="array" aca="1" ref="B1180:B1199" ca="1">_xlfn.LET(_xlpm.trimmed,OFFSET(f_listof_program_candidates,MATCH("JN44",f_listof_program_codes,0)-1,6,1,),TRANSPOSE(_xlfn._xlws.FILTER(OFFSET(_xlpm.trimmed,0,0,,COUNTA(_xlpm.trimmed)-5),OFFSET(_xlpm.trimmed,0,0,,COUNTA(_xlpm.trimmed)-5)&lt;&gt;0)))</f>
        <v>B145</v>
      </c>
      <c r="C1180" s="86" t="str">
        <f t="shared" ref="C1180:C1199" ca="1" si="258">VLOOKUP(B1180,f_detailsof_candidates,2,FALSE)</f>
        <v>YASEEN NOORULLA PH</v>
      </c>
      <c r="D1180" s="86" t="str">
        <f t="shared" ref="D1180:D1199" ca="1" si="259">VLOOKUP(B1180,f_detailsof_candidates,3,FALSE)</f>
        <v>FANT</v>
      </c>
      <c r="E1180" s="86">
        <f t="shared" ref="E1180:E1199" ca="1" si="260">VLOOKUP(B1180,f_detailsof_candidates,5,FALSE)</f>
        <v>4</v>
      </c>
    </row>
    <row r="1181" spans="1:8" ht="14.25" x14ac:dyDescent="0.45">
      <c r="A1181" s="86">
        <f ca="1"/>
        <v>2</v>
      </c>
      <c r="B1181" s="86" t="str">
        <f ca="1"/>
        <v>B129</v>
      </c>
      <c r="C1181" s="86" t="str">
        <f t="shared" ca="1" si="258"/>
        <v>MOHAMMED SABITH KU</v>
      </c>
      <c r="D1181" s="86" t="str">
        <f t="shared" ca="1" si="259"/>
        <v>FANT</v>
      </c>
      <c r="E1181" s="86">
        <f t="shared" ca="1" si="260"/>
        <v>3</v>
      </c>
    </row>
    <row r="1182" spans="1:8" ht="14.25" x14ac:dyDescent="0.45">
      <c r="A1182" s="86">
        <f ca="1"/>
        <v>3</v>
      </c>
      <c r="B1182" s="86" t="str">
        <f ca="1"/>
        <v>B143</v>
      </c>
      <c r="C1182" s="86" t="str">
        <f t="shared" ca="1" si="258"/>
        <v>MOHAMMED SHADIL AP</v>
      </c>
      <c r="D1182" s="86" t="str">
        <f t="shared" ca="1" si="259"/>
        <v>FANT</v>
      </c>
      <c r="E1182" s="86">
        <f t="shared" ca="1" si="260"/>
        <v>4</v>
      </c>
    </row>
    <row r="1183" spans="1:8" ht="14.25" x14ac:dyDescent="0.45">
      <c r="A1183" s="86">
        <f ca="1"/>
        <v>4</v>
      </c>
      <c r="B1183" s="86" t="str">
        <f ca="1"/>
        <v>B144</v>
      </c>
      <c r="C1183" s="86" t="str">
        <f t="shared" ca="1" si="258"/>
        <v>MUHAMMED NAFIH CI</v>
      </c>
      <c r="D1183" s="86" t="str">
        <f t="shared" ca="1" si="259"/>
        <v>FANT</v>
      </c>
      <c r="E1183" s="86">
        <f t="shared" ca="1" si="260"/>
        <v>4</v>
      </c>
    </row>
    <row r="1184" spans="1:8" ht="14.25" x14ac:dyDescent="0.45">
      <c r="A1184" s="86">
        <f ca="1"/>
        <v>5</v>
      </c>
      <c r="B1184" s="86" t="str">
        <f ca="1"/>
        <v>B115</v>
      </c>
      <c r="C1184" s="86" t="str">
        <f t="shared" ca="1" si="258"/>
        <v>HASSAN SAHAL N A</v>
      </c>
      <c r="D1184" s="86" t="str">
        <f t="shared" ca="1" si="259"/>
        <v>FANT</v>
      </c>
      <c r="E1184" s="86">
        <f t="shared" ca="1" si="260"/>
        <v>3</v>
      </c>
    </row>
    <row r="1185" spans="1:8" ht="14.25" x14ac:dyDescent="0.45">
      <c r="A1185" s="86">
        <f ca="1"/>
        <v>6</v>
      </c>
      <c r="B1185" s="86" t="str">
        <f ca="1"/>
        <v>B109</v>
      </c>
      <c r="C1185" s="86" t="str">
        <f t="shared" ca="1" si="258"/>
        <v>AHAMMED SAFAR ZAKARIYA</v>
      </c>
      <c r="D1185" s="86" t="str">
        <f t="shared" ca="1" si="259"/>
        <v>DAHF</v>
      </c>
      <c r="E1185" s="86">
        <f t="shared" ca="1" si="260"/>
        <v>3</v>
      </c>
    </row>
    <row r="1186" spans="1:8" ht="14.25" x14ac:dyDescent="0.45">
      <c r="A1186" s="86">
        <f ca="1"/>
        <v>7</v>
      </c>
      <c r="B1186" s="86" t="str">
        <f ca="1"/>
        <v>B114</v>
      </c>
      <c r="C1186" s="86" t="str">
        <f t="shared" ca="1" si="258"/>
        <v>AMEEN RAHMAN MTP</v>
      </c>
      <c r="D1186" s="86" t="str">
        <f t="shared" ca="1" si="259"/>
        <v>DAHF</v>
      </c>
      <c r="E1186" s="86">
        <f t="shared" ca="1" si="260"/>
        <v>3</v>
      </c>
    </row>
    <row r="1187" spans="1:8" ht="14.25" x14ac:dyDescent="0.45">
      <c r="A1187" s="86">
        <f ca="1"/>
        <v>8</v>
      </c>
      <c r="B1187" s="86" t="str">
        <f ca="1"/>
        <v>B139</v>
      </c>
      <c r="C1187" s="86" t="str">
        <f t="shared" ca="1" si="258"/>
        <v>Muhammad</v>
      </c>
      <c r="D1187" s="86" t="str">
        <f t="shared" ca="1" si="259"/>
        <v>DAHF</v>
      </c>
      <c r="E1187" s="86">
        <f t="shared" ca="1" si="260"/>
        <v>3</v>
      </c>
    </row>
    <row r="1188" spans="1:8" ht="14.25" x14ac:dyDescent="0.45">
      <c r="A1188" s="86">
        <f ca="1"/>
        <v>9</v>
      </c>
      <c r="B1188" s="86" t="str">
        <f ca="1"/>
        <v>B155</v>
      </c>
      <c r="C1188" s="86" t="str">
        <f t="shared" ca="1" si="258"/>
        <v>MUHAMMED A</v>
      </c>
      <c r="D1188" s="86" t="str">
        <f t="shared" ca="1" si="259"/>
        <v>DAHF</v>
      </c>
      <c r="E1188" s="86">
        <f t="shared" ca="1" si="260"/>
        <v>4</v>
      </c>
    </row>
    <row r="1189" spans="1:8" ht="14.25" x14ac:dyDescent="0.45">
      <c r="A1189" s="86">
        <f ca="1"/>
        <v>10</v>
      </c>
      <c r="B1189" s="86" t="str">
        <f ca="1"/>
        <v>B161</v>
      </c>
      <c r="C1189" s="86" t="str">
        <f t="shared" ca="1" si="258"/>
        <v>MUHAMMED RAZI TM</v>
      </c>
      <c r="D1189" s="86" t="str">
        <f t="shared" ca="1" si="259"/>
        <v>DAHF</v>
      </c>
      <c r="E1189" s="86">
        <f t="shared" ca="1" si="260"/>
        <v>4</v>
      </c>
    </row>
    <row r="1190" spans="1:8" ht="14.25" x14ac:dyDescent="0.45">
      <c r="A1190" s="86">
        <f ca="1"/>
        <v>11</v>
      </c>
      <c r="B1190" s="86" t="str">
        <f ca="1"/>
        <v>B106</v>
      </c>
      <c r="C1190" s="86" t="str">
        <f t="shared" ca="1" si="258"/>
        <v>MUHAMMED ROUHAN M.K</v>
      </c>
      <c r="D1190" s="86" t="str">
        <f t="shared" ca="1" si="259"/>
        <v>BADF</v>
      </c>
      <c r="E1190" s="86">
        <f t="shared" ca="1" si="260"/>
        <v>3</v>
      </c>
    </row>
    <row r="1191" spans="1:8" ht="14.25" x14ac:dyDescent="0.45">
      <c r="A1191" s="86">
        <f ca="1"/>
        <v>12</v>
      </c>
      <c r="B1191" s="86" t="str">
        <f ca="1"/>
        <v>B138</v>
      </c>
      <c r="C1191" s="86" t="str">
        <f t="shared" ca="1" si="258"/>
        <v>HABEEB RAHMAN CA</v>
      </c>
      <c r="D1191" s="86" t="str">
        <f t="shared" ca="1" si="259"/>
        <v>BADF</v>
      </c>
      <c r="E1191" s="86">
        <f t="shared" ca="1" si="260"/>
        <v>3</v>
      </c>
    </row>
    <row r="1192" spans="1:8" ht="14.25" x14ac:dyDescent="0.45">
      <c r="A1192" s="86">
        <f ca="1"/>
        <v>13</v>
      </c>
      <c r="B1192" s="86" t="str">
        <f ca="1"/>
        <v>B142</v>
      </c>
      <c r="C1192" s="86" t="str">
        <f t="shared" ca="1" si="258"/>
        <v>MUHAMMED HAMDAN A.P</v>
      </c>
      <c r="D1192" s="86" t="str">
        <f t="shared" ca="1" si="259"/>
        <v>BADF</v>
      </c>
      <c r="E1192" s="86">
        <f t="shared" ca="1" si="260"/>
        <v>4</v>
      </c>
    </row>
    <row r="1193" spans="1:8" ht="14.25" x14ac:dyDescent="0.45">
      <c r="A1193" s="86">
        <f ca="1"/>
        <v>14</v>
      </c>
      <c r="B1193" s="86" t="str">
        <f ca="1"/>
        <v>B146</v>
      </c>
      <c r="C1193" s="86" t="str">
        <f t="shared" ca="1" si="258"/>
        <v>WASEEM NIHAD A M</v>
      </c>
      <c r="D1193" s="86" t="str">
        <f t="shared" ca="1" si="259"/>
        <v>BADF</v>
      </c>
      <c r="E1193" s="86">
        <f t="shared" ca="1" si="260"/>
        <v>4</v>
      </c>
    </row>
    <row r="1194" spans="1:8" ht="14.25" x14ac:dyDescent="0.45">
      <c r="A1194" s="86">
        <f ca="1"/>
        <v>15</v>
      </c>
      <c r="B1194" s="86" t="str">
        <f ca="1"/>
        <v>B164</v>
      </c>
      <c r="C1194" s="86" t="str">
        <f t="shared" ca="1" si="258"/>
        <v>RASALUL AMEEN T</v>
      </c>
      <c r="D1194" s="86" t="str">
        <f t="shared" ca="1" si="259"/>
        <v>BADF</v>
      </c>
      <c r="E1194" s="86">
        <f t="shared" ca="1" si="260"/>
        <v>4</v>
      </c>
    </row>
    <row r="1195" spans="1:8" ht="14.25" x14ac:dyDescent="0.45">
      <c r="A1195" s="86">
        <f ca="1"/>
        <v>16</v>
      </c>
      <c r="B1195" s="86" t="str">
        <f ca="1"/>
        <v>B107</v>
      </c>
      <c r="C1195" s="86" t="str">
        <f t="shared" ca="1" si="258"/>
        <v>MUHAMMED ZAMIL</v>
      </c>
      <c r="D1195" s="86" t="str">
        <f t="shared" ca="1" si="259"/>
        <v>JARF</v>
      </c>
      <c r="E1195" s="86">
        <f t="shared" ca="1" si="260"/>
        <v>3</v>
      </c>
    </row>
    <row r="1196" spans="1:8" ht="14.25" x14ac:dyDescent="0.45">
      <c r="A1196" s="86">
        <f ca="1"/>
        <v>17</v>
      </c>
      <c r="B1196" s="86" t="str">
        <f ca="1"/>
        <v>B108</v>
      </c>
      <c r="C1196" s="86" t="str">
        <f t="shared" ca="1" si="258"/>
        <v>ABDUL RAHIMAN FAIZ T A</v>
      </c>
      <c r="D1196" s="86" t="str">
        <f t="shared" ca="1" si="259"/>
        <v>JARF</v>
      </c>
      <c r="E1196" s="86">
        <f t="shared" ca="1" si="260"/>
        <v>3</v>
      </c>
    </row>
    <row r="1197" spans="1:8" ht="14.25" x14ac:dyDescent="0.45">
      <c r="A1197" s="86">
        <f ca="1"/>
        <v>18</v>
      </c>
      <c r="B1197" s="86" t="str">
        <f ca="1"/>
        <v>B147</v>
      </c>
      <c r="C1197" s="86" t="str">
        <f t="shared" ca="1" si="258"/>
        <v>MOHAMMED SHAMEEM B K</v>
      </c>
      <c r="D1197" s="86" t="str">
        <f t="shared" ca="1" si="259"/>
        <v>JARF</v>
      </c>
      <c r="E1197" s="86">
        <f t="shared" ca="1" si="260"/>
        <v>4</v>
      </c>
    </row>
    <row r="1198" spans="1:8" ht="14.25" x14ac:dyDescent="0.45">
      <c r="A1198" s="86">
        <f ca="1"/>
        <v>19</v>
      </c>
      <c r="B1198" s="86" t="str">
        <f ca="1"/>
        <v>B152</v>
      </c>
      <c r="C1198" s="86" t="str">
        <f t="shared" ca="1" si="258"/>
        <v>MUHAMMED MUNAZIR MM</v>
      </c>
      <c r="D1198" s="86" t="str">
        <f t="shared" ca="1" si="259"/>
        <v>JARF</v>
      </c>
      <c r="E1198" s="86">
        <f t="shared" ca="1" si="260"/>
        <v>4</v>
      </c>
    </row>
    <row r="1199" spans="1:8" ht="14.25" x14ac:dyDescent="0.45">
      <c r="A1199" s="86">
        <f ca="1"/>
        <v>20</v>
      </c>
      <c r="B1199" s="86" t="str">
        <f ca="1"/>
        <v>B162</v>
      </c>
      <c r="C1199" s="86" t="str">
        <f t="shared" ca="1" si="258"/>
        <v>RAYHAN PH</v>
      </c>
      <c r="D1199" s="86" t="str">
        <f t="shared" ca="1" si="259"/>
        <v>JARF</v>
      </c>
      <c r="E1199" s="86">
        <f t="shared" ca="1" si="260"/>
        <v>4</v>
      </c>
    </row>
    <row r="1200" spans="1:8" ht="14.25" x14ac:dyDescent="0.45">
      <c r="A1200" s="84" t="s">
        <v>258</v>
      </c>
      <c r="B1200" s="84" t="str">
        <f>VLOOKUP("JN45",f_detailsof_programs,2,FALSE)</f>
        <v>MASH UP</v>
      </c>
      <c r="C1200" s="84"/>
      <c r="D1200" s="84" t="s">
        <v>688</v>
      </c>
      <c r="E1200" s="84" t="s">
        <v>636</v>
      </c>
      <c r="F1200" s="84"/>
      <c r="G1200" s="84"/>
      <c r="H1200" s="84"/>
    </row>
    <row r="1201" spans="1:8" ht="14.25" x14ac:dyDescent="0.45">
      <c r="A1201" s="85" t="s">
        <v>16</v>
      </c>
      <c r="B1201" s="85" t="s">
        <v>480</v>
      </c>
      <c r="C1201" s="85" t="s">
        <v>18</v>
      </c>
      <c r="D1201" s="85" t="s">
        <v>481</v>
      </c>
      <c r="E1201" s="85" t="s">
        <v>19</v>
      </c>
      <c r="F1201" s="85" t="s">
        <v>482</v>
      </c>
      <c r="G1201" s="85" t="s">
        <v>483</v>
      </c>
      <c r="H1201" s="85" t="s">
        <v>484</v>
      </c>
    </row>
    <row r="1202" spans="1:8" ht="14.25" x14ac:dyDescent="0.45">
      <c r="A1202" s="86" cm="1">
        <f t="array" aca="1" ref="A1202:A1225" ca="1">_xlfn.SEQUENCE(COUNTA(_xlfn.LET(_xlpm.trimmed,OFFSET(f_listof_program_candidates,MATCH("JN45",f_listof_program_codes,0)-1,6,1,),TRANSPOSE(_xlfn._xlws.FILTER(OFFSET(_xlpm.trimmed,0,0,,COUNTA(_xlpm.trimmed)-5),OFFSET(_xlpm.trimmed,0,0,,COUNTA(_xlpm.trimmed)-5)&lt;&gt;0)))))</f>
        <v>1</v>
      </c>
      <c r="B1202" s="86" t="str" cm="1">
        <f t="array" aca="1" ref="B1202:B1225" ca="1">_xlfn.LET(_xlpm.trimmed,OFFSET(f_listof_program_candidates,MATCH("JN45",f_listof_program_codes,0)-1,6,1,),TRANSPOSE(_xlfn._xlws.FILTER(OFFSET(_xlpm.trimmed,0,0,,COUNTA(_xlpm.trimmed)-5),OFFSET(_xlpm.trimmed,0,0,,COUNTA(_xlpm.trimmed)-5)&lt;&gt;0)))</f>
        <v>B115</v>
      </c>
      <c r="C1202" s="86" t="str">
        <f t="shared" ref="C1202:C1225" ca="1" si="261">VLOOKUP(B1202,f_detailsof_candidates,2,FALSE)</f>
        <v>HASSAN SAHAL N A</v>
      </c>
      <c r="D1202" s="86" t="str">
        <f t="shared" ref="D1202:D1225" ca="1" si="262">VLOOKUP(B1202,f_detailsof_candidates,3,FALSE)</f>
        <v>FANT</v>
      </c>
      <c r="E1202" s="86">
        <f t="shared" ref="E1202:E1225" ca="1" si="263">VLOOKUP(B1202,f_detailsof_candidates,5,FALSE)</f>
        <v>3</v>
      </c>
    </row>
    <row r="1203" spans="1:8" ht="14.25" x14ac:dyDescent="0.45">
      <c r="A1203" s="86">
        <f ca="1"/>
        <v>2</v>
      </c>
      <c r="B1203" s="86" t="str">
        <f ca="1"/>
        <v>B120</v>
      </c>
      <c r="C1203" s="86" t="str">
        <f t="shared" ca="1" si="261"/>
        <v>MOHAMMED RIYAN</v>
      </c>
      <c r="D1203" s="86" t="str">
        <f t="shared" ca="1" si="262"/>
        <v>FANT</v>
      </c>
      <c r="E1203" s="86">
        <f t="shared" ca="1" si="263"/>
        <v>3</v>
      </c>
    </row>
    <row r="1204" spans="1:8" ht="14.25" x14ac:dyDescent="0.45">
      <c r="A1204" s="86">
        <f ca="1"/>
        <v>3</v>
      </c>
      <c r="B1204" s="86" t="str">
        <f ca="1"/>
        <v>B129</v>
      </c>
      <c r="C1204" s="86" t="str">
        <f t="shared" ca="1" si="261"/>
        <v>MOHAMMED SABITH KU</v>
      </c>
      <c r="D1204" s="86" t="str">
        <f t="shared" ca="1" si="262"/>
        <v>FANT</v>
      </c>
      <c r="E1204" s="86">
        <f t="shared" ca="1" si="263"/>
        <v>3</v>
      </c>
    </row>
    <row r="1205" spans="1:8" ht="14.25" x14ac:dyDescent="0.45">
      <c r="A1205" s="86">
        <f ca="1"/>
        <v>4</v>
      </c>
      <c r="B1205" s="86" t="str">
        <f ca="1"/>
        <v>B130</v>
      </c>
      <c r="C1205" s="86" t="str">
        <f t="shared" ca="1" si="261"/>
        <v>HAFIL ADIL AMANULLAH K K</v>
      </c>
      <c r="D1205" s="86" t="str">
        <f t="shared" ca="1" si="262"/>
        <v>FANT</v>
      </c>
      <c r="E1205" s="86">
        <f t="shared" ca="1" si="263"/>
        <v>3</v>
      </c>
    </row>
    <row r="1206" spans="1:8" ht="14.25" x14ac:dyDescent="0.45">
      <c r="A1206" s="86">
        <f ca="1"/>
        <v>5</v>
      </c>
      <c r="B1206" s="86" t="str">
        <f ca="1"/>
        <v>B143</v>
      </c>
      <c r="C1206" s="86" t="str">
        <f t="shared" ca="1" si="261"/>
        <v>MOHAMMED SHADIL AP</v>
      </c>
      <c r="D1206" s="86" t="str">
        <f t="shared" ca="1" si="262"/>
        <v>FANT</v>
      </c>
      <c r="E1206" s="86">
        <f t="shared" ca="1" si="263"/>
        <v>4</v>
      </c>
    </row>
    <row r="1207" spans="1:8" ht="14.25" x14ac:dyDescent="0.45">
      <c r="A1207" s="86">
        <f ca="1"/>
        <v>6</v>
      </c>
      <c r="B1207" s="86" t="str">
        <f ca="1"/>
        <v>B111</v>
      </c>
      <c r="C1207" s="86" t="str">
        <f t="shared" ca="1" si="261"/>
        <v>MUHAMMED SAHEEM ASHRAF</v>
      </c>
      <c r="D1207" s="86" t="str">
        <f t="shared" ca="1" si="262"/>
        <v>FANT</v>
      </c>
      <c r="E1207" s="86">
        <f t="shared" ca="1" si="263"/>
        <v>3</v>
      </c>
    </row>
    <row r="1208" spans="1:8" ht="14.25" x14ac:dyDescent="0.45">
      <c r="A1208" s="86">
        <f ca="1"/>
        <v>7</v>
      </c>
      <c r="B1208" s="86" t="str">
        <f ca="1"/>
        <v>B109</v>
      </c>
      <c r="C1208" s="86" t="str">
        <f t="shared" ca="1" si="261"/>
        <v>AHAMMED SAFAR ZAKARIYA</v>
      </c>
      <c r="D1208" s="86" t="str">
        <f t="shared" ca="1" si="262"/>
        <v>DAHF</v>
      </c>
      <c r="E1208" s="86">
        <f t="shared" ca="1" si="263"/>
        <v>3</v>
      </c>
    </row>
    <row r="1209" spans="1:8" ht="14.25" x14ac:dyDescent="0.45">
      <c r="A1209" s="86">
        <f ca="1"/>
        <v>8</v>
      </c>
      <c r="B1209" s="86" t="str">
        <f ca="1"/>
        <v>B132</v>
      </c>
      <c r="C1209" s="86" t="str">
        <f t="shared" ca="1" si="261"/>
        <v>MUHAMMED SAEED THUFAIL</v>
      </c>
      <c r="D1209" s="86" t="str">
        <f t="shared" ca="1" si="262"/>
        <v>DAHF</v>
      </c>
      <c r="E1209" s="86">
        <f t="shared" ca="1" si="263"/>
        <v>3</v>
      </c>
    </row>
    <row r="1210" spans="1:8" ht="14.25" x14ac:dyDescent="0.45">
      <c r="A1210" s="86">
        <f ca="1"/>
        <v>9</v>
      </c>
      <c r="B1210" s="86" t="str">
        <f ca="1"/>
        <v>B139</v>
      </c>
      <c r="C1210" s="86" t="str">
        <f t="shared" ca="1" si="261"/>
        <v>Muhammad</v>
      </c>
      <c r="D1210" s="86" t="str">
        <f t="shared" ca="1" si="262"/>
        <v>DAHF</v>
      </c>
      <c r="E1210" s="86">
        <f t="shared" ca="1" si="263"/>
        <v>3</v>
      </c>
    </row>
    <row r="1211" spans="1:8" ht="14.25" x14ac:dyDescent="0.45">
      <c r="A1211" s="86">
        <f ca="1"/>
        <v>10</v>
      </c>
      <c r="B1211" s="86" t="str">
        <f ca="1"/>
        <v>B154</v>
      </c>
      <c r="C1211" s="86" t="str">
        <f t="shared" ca="1" si="261"/>
        <v>ABDULLA ALBAS</v>
      </c>
      <c r="D1211" s="86" t="str">
        <f t="shared" ca="1" si="262"/>
        <v>DAHF</v>
      </c>
      <c r="E1211" s="86">
        <f t="shared" ca="1" si="263"/>
        <v>4</v>
      </c>
    </row>
    <row r="1212" spans="1:8" ht="14.25" x14ac:dyDescent="0.45">
      <c r="A1212" s="86">
        <f ca="1"/>
        <v>11</v>
      </c>
      <c r="B1212" s="86" t="str">
        <f ca="1"/>
        <v>B155</v>
      </c>
      <c r="C1212" s="86" t="str">
        <f t="shared" ca="1" si="261"/>
        <v>MUHAMMED A</v>
      </c>
      <c r="D1212" s="86" t="str">
        <f t="shared" ca="1" si="262"/>
        <v>DAHF</v>
      </c>
      <c r="E1212" s="86">
        <f t="shared" ca="1" si="263"/>
        <v>4</v>
      </c>
    </row>
    <row r="1213" spans="1:8" ht="14.25" x14ac:dyDescent="0.45">
      <c r="A1213" s="86">
        <f ca="1"/>
        <v>12</v>
      </c>
      <c r="B1213" s="86" t="str">
        <f ca="1"/>
        <v>B159</v>
      </c>
      <c r="C1213" s="86" t="str">
        <f t="shared" ca="1" si="261"/>
        <v>AJMAL AHMED MT</v>
      </c>
      <c r="D1213" s="86" t="str">
        <f t="shared" ca="1" si="262"/>
        <v>DAHF</v>
      </c>
      <c r="E1213" s="86">
        <f t="shared" ca="1" si="263"/>
        <v>4</v>
      </c>
    </row>
    <row r="1214" spans="1:8" ht="14.25" x14ac:dyDescent="0.45">
      <c r="A1214" s="86">
        <f ca="1"/>
        <v>13</v>
      </c>
      <c r="B1214" s="86" t="str">
        <f ca="1"/>
        <v>B146</v>
      </c>
      <c r="C1214" s="86" t="str">
        <f t="shared" ca="1" si="261"/>
        <v>WASEEM NIHAD A M</v>
      </c>
      <c r="D1214" s="86" t="str">
        <f t="shared" ca="1" si="262"/>
        <v>BADF</v>
      </c>
      <c r="E1214" s="86">
        <f t="shared" ca="1" si="263"/>
        <v>4</v>
      </c>
    </row>
    <row r="1215" spans="1:8" ht="14.25" x14ac:dyDescent="0.45">
      <c r="A1215" s="86">
        <f ca="1"/>
        <v>14</v>
      </c>
      <c r="B1215" s="86" t="str">
        <f ca="1"/>
        <v>B153</v>
      </c>
      <c r="C1215" s="86" t="str">
        <f t="shared" ca="1" si="261"/>
        <v>ABDUL KHADER ISHAQUE</v>
      </c>
      <c r="D1215" s="86" t="str">
        <f t="shared" ca="1" si="262"/>
        <v>BADF</v>
      </c>
      <c r="E1215" s="86">
        <f t="shared" ca="1" si="263"/>
        <v>4</v>
      </c>
    </row>
    <row r="1216" spans="1:8" ht="14.25" x14ac:dyDescent="0.45">
      <c r="A1216" s="86">
        <f ca="1"/>
        <v>15</v>
      </c>
      <c r="B1216" s="86" t="str">
        <f ca="1"/>
        <v>B117</v>
      </c>
      <c r="C1216" s="86" t="str">
        <f t="shared" ca="1" si="261"/>
        <v>MUHAMMAD SABITH V K P</v>
      </c>
      <c r="D1216" s="86" t="str">
        <f t="shared" ca="1" si="262"/>
        <v>BADF</v>
      </c>
      <c r="E1216" s="86">
        <f t="shared" ca="1" si="263"/>
        <v>3</v>
      </c>
    </row>
    <row r="1217" spans="1:8" ht="14.25" x14ac:dyDescent="0.45">
      <c r="A1217" s="86">
        <f ca="1"/>
        <v>16</v>
      </c>
      <c r="B1217" s="86" t="str">
        <f ca="1"/>
        <v>B121</v>
      </c>
      <c r="C1217" s="86" t="str">
        <f t="shared" ca="1" si="261"/>
        <v>MOHIDDEEN SHAHSHAD</v>
      </c>
      <c r="D1217" s="86" t="str">
        <f t="shared" ca="1" si="262"/>
        <v>BADF</v>
      </c>
      <c r="E1217" s="86">
        <f t="shared" ca="1" si="263"/>
        <v>3</v>
      </c>
    </row>
    <row r="1218" spans="1:8" ht="14.25" x14ac:dyDescent="0.45">
      <c r="A1218" s="86">
        <f ca="1"/>
        <v>17</v>
      </c>
      <c r="B1218" s="86" t="str">
        <f ca="1"/>
        <v>B128</v>
      </c>
      <c r="C1218" s="86" t="str">
        <f t="shared" ca="1" si="261"/>
        <v>MOHAMMED AFNAN</v>
      </c>
      <c r="D1218" s="86" t="str">
        <f t="shared" ca="1" si="262"/>
        <v>BADF</v>
      </c>
      <c r="E1218" s="86">
        <f t="shared" ca="1" si="263"/>
        <v>3</v>
      </c>
    </row>
    <row r="1219" spans="1:8" ht="14.25" x14ac:dyDescent="0.45">
      <c r="A1219" s="86">
        <f ca="1"/>
        <v>18</v>
      </c>
      <c r="B1219" s="86" t="str">
        <f ca="1"/>
        <v>B103</v>
      </c>
      <c r="C1219" s="86" t="str">
        <f t="shared" ca="1" si="261"/>
        <v>MOHAMMED NAFIH BA</v>
      </c>
      <c r="D1219" s="86" t="str">
        <f t="shared" ca="1" si="262"/>
        <v>BADF</v>
      </c>
      <c r="E1219" s="86">
        <f t="shared" ca="1" si="263"/>
        <v>3</v>
      </c>
    </row>
    <row r="1220" spans="1:8" ht="14.25" x14ac:dyDescent="0.45">
      <c r="A1220" s="86">
        <f ca="1"/>
        <v>19</v>
      </c>
      <c r="B1220" s="86" t="str">
        <f ca="1"/>
        <v>B105</v>
      </c>
      <c r="C1220" s="86" t="str">
        <f t="shared" ca="1" si="261"/>
        <v>HASAN THAMMEEM</v>
      </c>
      <c r="D1220" s="86" t="str">
        <f t="shared" ca="1" si="262"/>
        <v>JARF</v>
      </c>
      <c r="E1220" s="86">
        <f t="shared" ca="1" si="263"/>
        <v>3</v>
      </c>
    </row>
    <row r="1221" spans="1:8" ht="14.25" x14ac:dyDescent="0.45">
      <c r="A1221" s="86">
        <f ca="1"/>
        <v>20</v>
      </c>
      <c r="B1221" s="86" t="str">
        <f ca="1"/>
        <v>B118</v>
      </c>
      <c r="C1221" s="86" t="str">
        <f t="shared" ca="1" si="261"/>
        <v>Muhammad Muaaz</v>
      </c>
      <c r="D1221" s="86" t="str">
        <f t="shared" ca="1" si="262"/>
        <v>JARF</v>
      </c>
      <c r="E1221" s="86">
        <f t="shared" ca="1" si="263"/>
        <v>3</v>
      </c>
    </row>
    <row r="1222" spans="1:8" ht="14.25" x14ac:dyDescent="0.45">
      <c r="A1222" s="86">
        <f ca="1"/>
        <v>21</v>
      </c>
      <c r="B1222" s="86" t="str">
        <f ca="1"/>
        <v>B126</v>
      </c>
      <c r="C1222" s="86" t="str">
        <f t="shared" ca="1" si="261"/>
        <v>AHAMMED JABIR K H</v>
      </c>
      <c r="D1222" s="86" t="str">
        <f t="shared" ca="1" si="262"/>
        <v>JARF</v>
      </c>
      <c r="E1222" s="86">
        <f t="shared" ca="1" si="263"/>
        <v>3</v>
      </c>
    </row>
    <row r="1223" spans="1:8" ht="14.25" x14ac:dyDescent="0.45">
      <c r="A1223" s="86">
        <f ca="1"/>
        <v>22</v>
      </c>
      <c r="B1223" s="86" t="str">
        <f ca="1"/>
        <v>B134</v>
      </c>
      <c r="C1223" s="86" t="str">
        <f t="shared" ca="1" si="261"/>
        <v>ABDUL RAHIMAN AZAAN</v>
      </c>
      <c r="D1223" s="86" t="str">
        <f t="shared" ca="1" si="262"/>
        <v>JARF</v>
      </c>
      <c r="E1223" s="86">
        <f t="shared" ca="1" si="263"/>
        <v>3</v>
      </c>
    </row>
    <row r="1224" spans="1:8" ht="14.25" x14ac:dyDescent="0.45">
      <c r="A1224" s="86">
        <f ca="1"/>
        <v>23</v>
      </c>
      <c r="B1224" s="86" t="str">
        <f ca="1"/>
        <v>B152</v>
      </c>
      <c r="C1224" s="86" t="str">
        <f t="shared" ca="1" si="261"/>
        <v>MUHAMMED MUNAZIR MM</v>
      </c>
      <c r="D1224" s="86" t="str">
        <f t="shared" ca="1" si="262"/>
        <v>JARF</v>
      </c>
      <c r="E1224" s="86">
        <f t="shared" ca="1" si="263"/>
        <v>4</v>
      </c>
    </row>
    <row r="1225" spans="1:8" ht="14.25" x14ac:dyDescent="0.45">
      <c r="A1225" s="86">
        <f ca="1"/>
        <v>24</v>
      </c>
      <c r="B1225" s="86" t="str">
        <f ca="1"/>
        <v>B160</v>
      </c>
      <c r="C1225" s="86" t="str">
        <f t="shared" ca="1" si="261"/>
        <v>MOHAMMED DAWOOD K</v>
      </c>
      <c r="D1225" s="86" t="str">
        <f t="shared" ca="1" si="262"/>
        <v>JARF</v>
      </c>
      <c r="E1225" s="86">
        <f t="shared" ca="1" si="263"/>
        <v>4</v>
      </c>
    </row>
    <row r="1226" spans="1:8" ht="14.25" x14ac:dyDescent="0.45">
      <c r="A1226" s="84" t="s">
        <v>259</v>
      </c>
      <c r="B1226" s="84" t="str">
        <f>VLOOKUP("JN46",f_detailsof_programs,2,FALSE)</f>
        <v>SPEECH &amp; SONG MLM</v>
      </c>
      <c r="C1226" s="84"/>
      <c r="D1226" s="84" t="s">
        <v>688</v>
      </c>
      <c r="E1226" s="84" t="s">
        <v>485</v>
      </c>
      <c r="F1226" s="84"/>
      <c r="G1226" s="84"/>
      <c r="H1226" s="84"/>
    </row>
    <row r="1227" spans="1:8" ht="14.25" x14ac:dyDescent="0.45">
      <c r="A1227" s="85" t="s">
        <v>16</v>
      </c>
      <c r="B1227" s="85" t="s">
        <v>480</v>
      </c>
      <c r="C1227" s="85" t="s">
        <v>18</v>
      </c>
      <c r="D1227" s="85" t="s">
        <v>481</v>
      </c>
      <c r="E1227" s="85" t="s">
        <v>19</v>
      </c>
      <c r="F1227" s="85" t="s">
        <v>482</v>
      </c>
      <c r="G1227" s="85" t="s">
        <v>483</v>
      </c>
      <c r="H1227" s="85" t="s">
        <v>484</v>
      </c>
    </row>
    <row r="1228" spans="1:8" ht="14.25" x14ac:dyDescent="0.45">
      <c r="A1228" s="86" cm="1">
        <f t="array" aca="1" ref="A1228:A1239" ca="1">_xlfn.SEQUENCE(COUNTA(_xlfn.LET(_xlpm.trimmed,OFFSET(f_listof_program_candidates,MATCH("JN46",f_listof_program_codes,0)-1,6,1,),TRANSPOSE(_xlfn._xlws.FILTER(OFFSET(_xlpm.trimmed,0,0,,COUNTA(_xlpm.trimmed)-5),OFFSET(_xlpm.trimmed,0,0,,COUNTA(_xlpm.trimmed)-5)&lt;&gt;0)))))</f>
        <v>1</v>
      </c>
      <c r="B1228" s="86" t="str" cm="1">
        <f t="array" aca="1" ref="B1228:B1239" ca="1">_xlfn.LET(_xlpm.trimmed,OFFSET(f_listof_program_candidates,MATCH("JN46",f_listof_program_codes,0)-1,6,1,),TRANSPOSE(_xlfn._xlws.FILTER(OFFSET(_xlpm.trimmed,0,0,,COUNTA(_xlpm.trimmed)-5),OFFSET(_xlpm.trimmed,0,0,,COUNTA(_xlpm.trimmed)-5)&lt;&gt;0)))</f>
        <v>B129</v>
      </c>
      <c r="C1228" s="86" t="str">
        <f t="shared" ref="C1228:C1239" ca="1" si="264">VLOOKUP(B1228,f_detailsof_candidates,2,FALSE)</f>
        <v>MOHAMMED SABITH KU</v>
      </c>
      <c r="D1228" s="86" t="str">
        <f t="shared" ref="D1228:D1239" ca="1" si="265">VLOOKUP(B1228,f_detailsof_candidates,3,FALSE)</f>
        <v>FANT</v>
      </c>
      <c r="E1228" s="86">
        <f t="shared" ref="E1228:E1239" ca="1" si="266">VLOOKUP(B1228,f_detailsof_candidates,5,FALSE)</f>
        <v>3</v>
      </c>
    </row>
    <row r="1229" spans="1:8" ht="14.25" x14ac:dyDescent="0.45">
      <c r="A1229" s="86">
        <f ca="1"/>
        <v>2</v>
      </c>
      <c r="B1229" s="86" t="str">
        <f ca="1"/>
        <v>B143</v>
      </c>
      <c r="C1229" s="86" t="str">
        <f t="shared" ca="1" si="264"/>
        <v>MOHAMMED SHADIL AP</v>
      </c>
      <c r="D1229" s="86" t="str">
        <f t="shared" ca="1" si="265"/>
        <v>FANT</v>
      </c>
      <c r="E1229" s="86">
        <f t="shared" ca="1" si="266"/>
        <v>4</v>
      </c>
    </row>
    <row r="1230" spans="1:8" ht="14.25" x14ac:dyDescent="0.45">
      <c r="A1230" s="86">
        <f ca="1"/>
        <v>3</v>
      </c>
      <c r="B1230" s="86" t="str">
        <f ca="1"/>
        <v>B157</v>
      </c>
      <c r="C1230" s="86" t="str">
        <f t="shared" ca="1" si="264"/>
        <v>MUHAMMED MIHRAZ</v>
      </c>
      <c r="D1230" s="86" t="str">
        <f t="shared" ca="1" si="265"/>
        <v>FANT</v>
      </c>
      <c r="E1230" s="86">
        <f t="shared" ca="1" si="266"/>
        <v>4</v>
      </c>
    </row>
    <row r="1231" spans="1:8" ht="14.25" x14ac:dyDescent="0.45">
      <c r="A1231" s="86">
        <f ca="1"/>
        <v>4</v>
      </c>
      <c r="B1231" s="86" t="str">
        <f ca="1"/>
        <v>B109</v>
      </c>
      <c r="C1231" s="86" t="str">
        <f t="shared" ca="1" si="264"/>
        <v>AHAMMED SAFAR ZAKARIYA</v>
      </c>
      <c r="D1231" s="86" t="str">
        <f t="shared" ca="1" si="265"/>
        <v>DAHF</v>
      </c>
      <c r="E1231" s="86">
        <f t="shared" ca="1" si="266"/>
        <v>3</v>
      </c>
    </row>
    <row r="1232" spans="1:8" ht="14.25" x14ac:dyDescent="0.45">
      <c r="A1232" s="86">
        <f ca="1"/>
        <v>5</v>
      </c>
      <c r="B1232" s="86" t="str">
        <f ca="1"/>
        <v>B132</v>
      </c>
      <c r="C1232" s="86" t="str">
        <f t="shared" ca="1" si="264"/>
        <v>MUHAMMED SAEED THUFAIL</v>
      </c>
      <c r="D1232" s="86" t="str">
        <f t="shared" ca="1" si="265"/>
        <v>DAHF</v>
      </c>
      <c r="E1232" s="86">
        <f t="shared" ca="1" si="266"/>
        <v>3</v>
      </c>
    </row>
    <row r="1233" spans="1:8" ht="14.25" x14ac:dyDescent="0.45">
      <c r="A1233" s="86">
        <f ca="1"/>
        <v>6</v>
      </c>
      <c r="B1233" s="86" t="str">
        <f ca="1"/>
        <v>B159</v>
      </c>
      <c r="C1233" s="86" t="str">
        <f t="shared" ca="1" si="264"/>
        <v>AJMAL AHMED MT</v>
      </c>
      <c r="D1233" s="86" t="str">
        <f t="shared" ca="1" si="265"/>
        <v>DAHF</v>
      </c>
      <c r="E1233" s="86">
        <f t="shared" ca="1" si="266"/>
        <v>4</v>
      </c>
    </row>
    <row r="1234" spans="1:8" ht="14.25" x14ac:dyDescent="0.45">
      <c r="A1234" s="86">
        <f ca="1"/>
        <v>7</v>
      </c>
      <c r="B1234" s="86" t="str">
        <f ca="1"/>
        <v>B117</v>
      </c>
      <c r="C1234" s="86" t="str">
        <f t="shared" ca="1" si="264"/>
        <v>MUHAMMAD SABITH V K P</v>
      </c>
      <c r="D1234" s="86" t="str">
        <f t="shared" ca="1" si="265"/>
        <v>BADF</v>
      </c>
      <c r="E1234" s="86">
        <f t="shared" ca="1" si="266"/>
        <v>3</v>
      </c>
    </row>
    <row r="1235" spans="1:8" ht="14.25" x14ac:dyDescent="0.45">
      <c r="A1235" s="86">
        <f ca="1"/>
        <v>8</v>
      </c>
      <c r="B1235" s="86" t="str">
        <f ca="1"/>
        <v>B146</v>
      </c>
      <c r="C1235" s="86" t="str">
        <f t="shared" ca="1" si="264"/>
        <v>WASEEM NIHAD A M</v>
      </c>
      <c r="D1235" s="86" t="str">
        <f t="shared" ca="1" si="265"/>
        <v>BADF</v>
      </c>
      <c r="E1235" s="86">
        <f t="shared" ca="1" si="266"/>
        <v>4</v>
      </c>
    </row>
    <row r="1236" spans="1:8" ht="14.25" x14ac:dyDescent="0.45">
      <c r="A1236" s="86">
        <f ca="1"/>
        <v>9</v>
      </c>
      <c r="B1236" s="86" t="str">
        <f ca="1"/>
        <v>B153</v>
      </c>
      <c r="C1236" s="86" t="str">
        <f t="shared" ca="1" si="264"/>
        <v>ABDUL KHADER ISHAQUE</v>
      </c>
      <c r="D1236" s="86" t="str">
        <f t="shared" ca="1" si="265"/>
        <v>BADF</v>
      </c>
      <c r="E1236" s="86">
        <f t="shared" ca="1" si="266"/>
        <v>4</v>
      </c>
    </row>
    <row r="1237" spans="1:8" ht="14.25" x14ac:dyDescent="0.45">
      <c r="A1237" s="86">
        <f ca="1"/>
        <v>10</v>
      </c>
      <c r="B1237" s="86" t="str">
        <f ca="1"/>
        <v>B105</v>
      </c>
      <c r="C1237" s="86" t="str">
        <f t="shared" ca="1" si="264"/>
        <v>HASAN THAMMEEM</v>
      </c>
      <c r="D1237" s="86" t="str">
        <f t="shared" ca="1" si="265"/>
        <v>JARF</v>
      </c>
      <c r="E1237" s="86">
        <f t="shared" ca="1" si="266"/>
        <v>3</v>
      </c>
    </row>
    <row r="1238" spans="1:8" ht="14.25" x14ac:dyDescent="0.45">
      <c r="A1238" s="86">
        <f ca="1"/>
        <v>11</v>
      </c>
      <c r="B1238" s="86" t="str">
        <f ca="1"/>
        <v>B118</v>
      </c>
      <c r="C1238" s="86" t="str">
        <f t="shared" ca="1" si="264"/>
        <v>Muhammad Muaaz</v>
      </c>
      <c r="D1238" s="86" t="str">
        <f t="shared" ca="1" si="265"/>
        <v>JARF</v>
      </c>
      <c r="E1238" s="86">
        <f t="shared" ca="1" si="266"/>
        <v>3</v>
      </c>
    </row>
    <row r="1239" spans="1:8" ht="14.25" x14ac:dyDescent="0.45">
      <c r="A1239" s="86">
        <f ca="1"/>
        <v>12</v>
      </c>
      <c r="B1239" s="86" t="str">
        <f ca="1"/>
        <v>B162</v>
      </c>
      <c r="C1239" s="86" t="str">
        <f t="shared" ca="1" si="264"/>
        <v>RAYHAN PH</v>
      </c>
      <c r="D1239" s="86" t="str">
        <f t="shared" ca="1" si="265"/>
        <v>JARF</v>
      </c>
      <c r="E1239" s="86">
        <f t="shared" ca="1" si="266"/>
        <v>4</v>
      </c>
    </row>
    <row r="1240" spans="1:8" ht="14.25" x14ac:dyDescent="0.45">
      <c r="A1240" s="84" t="s">
        <v>260</v>
      </c>
      <c r="B1240" s="84" t="str">
        <f>VLOOKUP("SN01",f_detailsof_programs,2,FALSE)</f>
        <v>ALFIYA CONTEST</v>
      </c>
      <c r="C1240" s="84"/>
      <c r="D1240" s="84" t="s">
        <v>688</v>
      </c>
      <c r="E1240" s="84" t="s">
        <v>486</v>
      </c>
      <c r="F1240" s="84"/>
      <c r="G1240" s="84"/>
      <c r="H1240" s="84"/>
    </row>
    <row r="1241" spans="1:8" ht="14.25" x14ac:dyDescent="0.45">
      <c r="A1241" s="85" t="s">
        <v>16</v>
      </c>
      <c r="B1241" s="85" t="s">
        <v>480</v>
      </c>
      <c r="C1241" s="85" t="s">
        <v>18</v>
      </c>
      <c r="D1241" s="85" t="s">
        <v>481</v>
      </c>
      <c r="E1241" s="85" t="s">
        <v>19</v>
      </c>
      <c r="F1241" s="85" t="s">
        <v>482</v>
      </c>
      <c r="G1241" s="85" t="s">
        <v>483</v>
      </c>
      <c r="H1241" s="85" t="s">
        <v>484</v>
      </c>
    </row>
    <row r="1242" spans="1:8" ht="14.25" x14ac:dyDescent="0.45">
      <c r="A1242" s="86" cm="1">
        <f t="array" aca="1" ref="A1242:A1249" ca="1">_xlfn.SEQUENCE(COUNTA(_xlfn.LET(_xlpm.trimmed,OFFSET(f_listof_program_candidates,MATCH("SN01",f_listof_program_codes,0)-1,6,1,),TRANSPOSE(_xlfn._xlws.FILTER(OFFSET(_xlpm.trimmed,0,0,,COUNTA(_xlpm.trimmed)-5),OFFSET(_xlpm.trimmed,0,0,,COUNTA(_xlpm.trimmed)-5)&lt;&gt;0)))))</f>
        <v>1</v>
      </c>
      <c r="B1242" s="86" t="str" cm="1">
        <f t="array" aca="1" ref="B1242:B1249" ca="1">_xlfn.LET(_xlpm.trimmed,OFFSET(f_listof_program_candidates,MATCH("SN01",f_listof_program_codes,0)-1,6,1,),TRANSPOSE(_xlfn._xlws.FILTER(OFFSET(_xlpm.trimmed,0,0,,COUNTA(_xlpm.trimmed)-5),OFFSET(_xlpm.trimmed,0,0,,COUNTA(_xlpm.trimmed)-5)&lt;&gt;0)))</f>
        <v>C112</v>
      </c>
      <c r="C1242" s="86" t="str">
        <f t="shared" ref="C1242:C1249" ca="1" si="267">VLOOKUP(B1242,f_detailsof_candidates,2,FALSE)</f>
        <v>MOHAMMED SA'DUDDEEN K</v>
      </c>
      <c r="D1242" s="86" t="str">
        <f t="shared" ref="D1242:D1249" ca="1" si="268">VLOOKUP(B1242,f_detailsof_candidates,3,FALSE)</f>
        <v>FANT</v>
      </c>
      <c r="E1242" s="86">
        <f t="shared" ref="E1242:E1249" ca="1" si="269">VLOOKUP(B1242,f_detailsof_candidates,5,FALSE)</f>
        <v>5</v>
      </c>
    </row>
    <row r="1243" spans="1:8" ht="14.25" x14ac:dyDescent="0.45">
      <c r="A1243" s="86">
        <f ca="1"/>
        <v>2</v>
      </c>
      <c r="B1243" s="86" t="str">
        <f ca="1"/>
        <v>C149</v>
      </c>
      <c r="C1243" s="86" t="str">
        <f t="shared" ca="1" si="267"/>
        <v>ABDUL BAAIS N.A</v>
      </c>
      <c r="D1243" s="86" t="str">
        <f t="shared" ca="1" si="268"/>
        <v>FANT</v>
      </c>
      <c r="E1243" s="86">
        <f t="shared" ca="1" si="269"/>
        <v>6</v>
      </c>
    </row>
    <row r="1244" spans="1:8" ht="14.25" x14ac:dyDescent="0.45">
      <c r="A1244" s="86">
        <f ca="1"/>
        <v>3</v>
      </c>
      <c r="B1244" s="86" t="str">
        <f ca="1"/>
        <v>C133</v>
      </c>
      <c r="C1244" s="86" t="str">
        <f t="shared" ca="1" si="267"/>
        <v>SALMANUL FARIS</v>
      </c>
      <c r="D1244" s="86" t="str">
        <f t="shared" ca="1" si="268"/>
        <v>DAHF</v>
      </c>
      <c r="E1244" s="86">
        <f t="shared" ca="1" si="269"/>
        <v>6</v>
      </c>
    </row>
    <row r="1245" spans="1:8" ht="14.25" x14ac:dyDescent="0.45">
      <c r="A1245" s="86">
        <f ca="1"/>
        <v>4</v>
      </c>
      <c r="B1245" s="86" t="str">
        <f ca="1"/>
        <v>C136</v>
      </c>
      <c r="C1245" s="86" t="str">
        <f t="shared" ca="1" si="267"/>
        <v>MOHAMMED SHAKIR HUSSAIN K.Y</v>
      </c>
      <c r="D1245" s="86" t="str">
        <f t="shared" ca="1" si="268"/>
        <v>DAHF</v>
      </c>
      <c r="E1245" s="86">
        <f t="shared" ca="1" si="269"/>
        <v>6</v>
      </c>
    </row>
    <row r="1246" spans="1:8" ht="14.25" x14ac:dyDescent="0.45">
      <c r="A1246" s="86">
        <f ca="1"/>
        <v>5</v>
      </c>
      <c r="B1246" s="86" t="str">
        <f ca="1"/>
        <v>C109</v>
      </c>
      <c r="C1246" s="86" t="str">
        <f t="shared" ca="1" si="267"/>
        <v>ABDULLA FARHAN M</v>
      </c>
      <c r="D1246" s="86" t="str">
        <f t="shared" ca="1" si="268"/>
        <v>BADF</v>
      </c>
      <c r="E1246" s="86">
        <f t="shared" ca="1" si="269"/>
        <v>5</v>
      </c>
    </row>
    <row r="1247" spans="1:8" ht="14.25" x14ac:dyDescent="0.45">
      <c r="A1247" s="86">
        <f ca="1"/>
        <v>6</v>
      </c>
      <c r="B1247" s="86" t="str">
        <f ca="1"/>
        <v>C148</v>
      </c>
      <c r="C1247" s="86" t="str">
        <f t="shared" ca="1" si="267"/>
        <v>MUHAMMED SHABEEB</v>
      </c>
      <c r="D1247" s="86" t="str">
        <f t="shared" ca="1" si="268"/>
        <v>BADF</v>
      </c>
      <c r="E1247" s="86">
        <f t="shared" ca="1" si="269"/>
        <v>6</v>
      </c>
    </row>
    <row r="1248" spans="1:8" ht="14.25" x14ac:dyDescent="0.45">
      <c r="A1248" s="86">
        <f ca="1"/>
        <v>7</v>
      </c>
      <c r="B1248" s="86" t="str">
        <f ca="1"/>
        <v>C111</v>
      </c>
      <c r="C1248" s="86" t="str">
        <f t="shared" ca="1" si="267"/>
        <v>MUHAMMAD ISMAIL HAMDULLA V K</v>
      </c>
      <c r="D1248" s="86" t="str">
        <f t="shared" ca="1" si="268"/>
        <v>JARF</v>
      </c>
      <c r="E1248" s="86">
        <f t="shared" ca="1" si="269"/>
        <v>5</v>
      </c>
    </row>
    <row r="1249" spans="1:8" ht="14.25" x14ac:dyDescent="0.45">
      <c r="A1249" s="86">
        <f ca="1"/>
        <v>8</v>
      </c>
      <c r="B1249" s="86" t="str">
        <f ca="1"/>
        <v>C175</v>
      </c>
      <c r="C1249" s="86" t="str">
        <f t="shared" ca="1" si="267"/>
        <v>ABDULLAH MAZIN</v>
      </c>
      <c r="D1249" s="86" t="str">
        <f t="shared" ca="1" si="268"/>
        <v>JARF</v>
      </c>
      <c r="E1249" s="86">
        <f t="shared" ca="1" si="269"/>
        <v>7</v>
      </c>
    </row>
    <row r="1250" spans="1:8" ht="14.25" x14ac:dyDescent="0.45">
      <c r="A1250" s="84" t="s">
        <v>263</v>
      </c>
      <c r="B1250" s="84" t="str">
        <f>VLOOKUP("SN02",f_detailsof_programs,2,FALSE)</f>
        <v>CALLIGRAPHY</v>
      </c>
      <c r="C1250" s="84"/>
      <c r="D1250" s="84" t="s">
        <v>688</v>
      </c>
      <c r="E1250" s="84" t="s">
        <v>486</v>
      </c>
      <c r="F1250" s="84"/>
      <c r="G1250" s="84"/>
      <c r="H1250" s="84"/>
    </row>
    <row r="1251" spans="1:8" ht="14.25" x14ac:dyDescent="0.45">
      <c r="A1251" s="85" t="s">
        <v>16</v>
      </c>
      <c r="B1251" s="85" t="s">
        <v>480</v>
      </c>
      <c r="C1251" s="85" t="s">
        <v>18</v>
      </c>
      <c r="D1251" s="85" t="s">
        <v>481</v>
      </c>
      <c r="E1251" s="85" t="s">
        <v>19</v>
      </c>
      <c r="F1251" s="85" t="s">
        <v>482</v>
      </c>
      <c r="G1251" s="85" t="s">
        <v>483</v>
      </c>
      <c r="H1251" s="85" t="s">
        <v>484</v>
      </c>
    </row>
    <row r="1252" spans="1:8" ht="14.25" x14ac:dyDescent="0.45">
      <c r="A1252" s="86" cm="1">
        <f t="array" aca="1" ref="A1252:A1259" ca="1">_xlfn.SEQUENCE(COUNTA(_xlfn.LET(_xlpm.trimmed,OFFSET(f_listof_program_candidates,MATCH("SN02",f_listof_program_codes,0)-1,6,1,),TRANSPOSE(_xlfn._xlws.FILTER(OFFSET(_xlpm.trimmed,0,0,,COUNTA(_xlpm.trimmed)-5),OFFSET(_xlpm.trimmed,0,0,,COUNTA(_xlpm.trimmed)-5)&lt;&gt;0)))))</f>
        <v>1</v>
      </c>
      <c r="B1252" s="86" t="str" cm="1">
        <f t="array" aca="1" ref="B1252:B1259" ca="1">_xlfn.LET(_xlpm.trimmed,OFFSET(f_listof_program_candidates,MATCH("SN02",f_listof_program_codes,0)-1,6,1,),TRANSPOSE(_xlfn._xlws.FILTER(OFFSET(_xlpm.trimmed,0,0,,COUNTA(_xlpm.trimmed)-5),OFFSET(_xlpm.trimmed,0,0,,COUNTA(_xlpm.trimmed)-5)&lt;&gt;0)))</f>
        <v>C115</v>
      </c>
      <c r="C1252" s="86" t="str">
        <f t="shared" ref="C1252:C1259" ca="1" si="270">VLOOKUP(B1252,f_detailsof_candidates,2,FALSE)</f>
        <v>MOHAMMED ABDUL KHADER K</v>
      </c>
      <c r="D1252" s="86" t="str">
        <f t="shared" ref="D1252:D1259" ca="1" si="271">VLOOKUP(B1252,f_detailsof_candidates,3,FALSE)</f>
        <v>FANT</v>
      </c>
      <c r="E1252" s="86">
        <f t="shared" ref="E1252:E1259" ca="1" si="272">VLOOKUP(B1252,f_detailsof_candidates,5,FALSE)</f>
        <v>5</v>
      </c>
    </row>
    <row r="1253" spans="1:8" ht="14.25" x14ac:dyDescent="0.45">
      <c r="A1253" s="86">
        <f ca="1"/>
        <v>2</v>
      </c>
      <c r="B1253" s="86" t="str">
        <f ca="1"/>
        <v>C176</v>
      </c>
      <c r="C1253" s="86" t="str">
        <f t="shared" ca="1" si="270"/>
        <v>MUHAMMED T A</v>
      </c>
      <c r="D1253" s="86" t="str">
        <f t="shared" ca="1" si="271"/>
        <v>FANT</v>
      </c>
      <c r="E1253" s="86">
        <f t="shared" ca="1" si="272"/>
        <v>7</v>
      </c>
    </row>
    <row r="1254" spans="1:8" ht="14.25" x14ac:dyDescent="0.45">
      <c r="A1254" s="86">
        <f ca="1"/>
        <v>3</v>
      </c>
      <c r="B1254" s="86" t="str">
        <f ca="1"/>
        <v>C154</v>
      </c>
      <c r="C1254" s="86" t="str">
        <f t="shared" ca="1" si="270"/>
        <v>MOHAMMED RAZEEN S.P</v>
      </c>
      <c r="D1254" s="86" t="str">
        <f t="shared" ca="1" si="271"/>
        <v>DAHF</v>
      </c>
      <c r="E1254" s="86">
        <f t="shared" ca="1" si="272"/>
        <v>6</v>
      </c>
    </row>
    <row r="1255" spans="1:8" ht="14.25" x14ac:dyDescent="0.45">
      <c r="A1255" s="86">
        <f ca="1"/>
        <v>4</v>
      </c>
      <c r="B1255" s="86" t="str">
        <f ca="1"/>
        <v>C172</v>
      </c>
      <c r="C1255" s="86" t="str">
        <f t="shared" ca="1" si="270"/>
        <v>AHAMED SHAMMAS C.M</v>
      </c>
      <c r="D1255" s="86" t="str">
        <f t="shared" ca="1" si="271"/>
        <v>DAHF</v>
      </c>
      <c r="E1255" s="86">
        <f t="shared" ca="1" si="272"/>
        <v>7</v>
      </c>
    </row>
    <row r="1256" spans="1:8" ht="14.25" x14ac:dyDescent="0.45">
      <c r="A1256" s="86">
        <f ca="1"/>
        <v>5</v>
      </c>
      <c r="B1256" s="86" t="str">
        <f ca="1"/>
        <v>C104</v>
      </c>
      <c r="C1256" s="86" t="str">
        <f t="shared" ca="1" si="270"/>
        <v>HADIL RIJAS</v>
      </c>
      <c r="D1256" s="86" t="str">
        <f t="shared" ca="1" si="271"/>
        <v>BADF</v>
      </c>
      <c r="E1256" s="86">
        <f t="shared" ca="1" si="272"/>
        <v>5</v>
      </c>
    </row>
    <row r="1257" spans="1:8" ht="14.25" x14ac:dyDescent="0.45">
      <c r="A1257" s="86">
        <f ca="1"/>
        <v>6</v>
      </c>
      <c r="B1257" s="86" t="str">
        <f ca="1"/>
        <v>C123</v>
      </c>
      <c r="C1257" s="86" t="str">
        <f t="shared" ca="1" si="270"/>
        <v>MOHAMMED FAQRUDDEEN RAZI</v>
      </c>
      <c r="D1257" s="86" t="str">
        <f t="shared" ca="1" si="271"/>
        <v>BADF</v>
      </c>
      <c r="E1257" s="86">
        <f t="shared" ca="1" si="272"/>
        <v>5</v>
      </c>
    </row>
    <row r="1258" spans="1:8" ht="14.25" x14ac:dyDescent="0.45">
      <c r="A1258" s="86">
        <f ca="1"/>
        <v>7</v>
      </c>
      <c r="B1258" s="86" t="str">
        <f ca="1"/>
        <v>C140</v>
      </c>
      <c r="C1258" s="86" t="str">
        <f t="shared" ca="1" si="270"/>
        <v>IJAS EBRAHIM</v>
      </c>
      <c r="D1258" s="86" t="str">
        <f t="shared" ca="1" si="271"/>
        <v>JARF</v>
      </c>
      <c r="E1258" s="86">
        <f t="shared" ca="1" si="272"/>
        <v>6</v>
      </c>
    </row>
    <row r="1259" spans="1:8" ht="14.25" x14ac:dyDescent="0.45">
      <c r="A1259" s="86">
        <f ca="1"/>
        <v>8</v>
      </c>
      <c r="B1259" s="86" t="str">
        <f ca="1"/>
        <v>C165</v>
      </c>
      <c r="C1259" s="86" t="str">
        <f t="shared" ca="1" si="270"/>
        <v>MUHAMMAD IBN AHMAD</v>
      </c>
      <c r="D1259" s="86" t="str">
        <f t="shared" ca="1" si="271"/>
        <v>JARF</v>
      </c>
      <c r="E1259" s="86">
        <f t="shared" ca="1" si="272"/>
        <v>7</v>
      </c>
    </row>
    <row r="1260" spans="1:8" ht="14.25" x14ac:dyDescent="0.45">
      <c r="A1260" s="84" t="s">
        <v>264</v>
      </c>
      <c r="B1260" s="84" t="str">
        <f>VLOOKUP("SN03",f_detailsof_programs,2,FALSE)</f>
        <v>CAPTION WRITIING URD</v>
      </c>
      <c r="C1260" s="84"/>
      <c r="D1260" s="84" t="s">
        <v>688</v>
      </c>
      <c r="E1260" s="84" t="s">
        <v>485</v>
      </c>
      <c r="F1260" s="84"/>
      <c r="G1260" s="84"/>
      <c r="H1260" s="84"/>
    </row>
    <row r="1261" spans="1:8" ht="14.25" x14ac:dyDescent="0.45">
      <c r="A1261" s="85" t="s">
        <v>16</v>
      </c>
      <c r="B1261" s="85" t="s">
        <v>480</v>
      </c>
      <c r="C1261" s="85" t="s">
        <v>18</v>
      </c>
      <c r="D1261" s="85" t="s">
        <v>481</v>
      </c>
      <c r="E1261" s="85" t="s">
        <v>19</v>
      </c>
      <c r="F1261" s="85" t="s">
        <v>482</v>
      </c>
      <c r="G1261" s="85" t="s">
        <v>483</v>
      </c>
      <c r="H1261" s="85" t="s">
        <v>484</v>
      </c>
    </row>
    <row r="1262" spans="1:8" ht="14.25" x14ac:dyDescent="0.45">
      <c r="A1262" s="86" cm="1">
        <f t="array" aca="1" ref="A1262:A1273" ca="1">_xlfn.SEQUENCE(COUNTA(_xlfn.LET(_xlpm.trimmed,OFFSET(f_listof_program_candidates,MATCH("SN03",f_listof_program_codes,0)-1,6,1,),TRANSPOSE(_xlfn._xlws.FILTER(OFFSET(_xlpm.trimmed,0,0,,COUNTA(_xlpm.trimmed)-5),OFFSET(_xlpm.trimmed,0,0,,COUNTA(_xlpm.trimmed)-5)&lt;&gt;0)))))</f>
        <v>1</v>
      </c>
      <c r="B1262" s="86" t="str" cm="1">
        <f t="array" aca="1" ref="B1262:B1273" ca="1">_xlfn.LET(_xlpm.trimmed,OFFSET(f_listof_program_candidates,MATCH("SN03",f_listof_program_codes,0)-1,6,1,),TRANSPOSE(_xlfn._xlws.FILTER(OFFSET(_xlpm.trimmed,0,0,,COUNTA(_xlpm.trimmed)-5),OFFSET(_xlpm.trimmed,0,0,,COUNTA(_xlpm.trimmed)-5)&lt;&gt;0)))</f>
        <v>C108</v>
      </c>
      <c r="C1262" s="86" t="str">
        <f t="shared" ref="C1262:C1273" ca="1" si="273">VLOOKUP(B1262,f_detailsof_candidates,2,FALSE)</f>
        <v>ABDULLA SALMAN FARIS M</v>
      </c>
      <c r="D1262" s="86" t="str">
        <f t="shared" ref="D1262:D1273" ca="1" si="274">VLOOKUP(B1262,f_detailsof_candidates,3,FALSE)</f>
        <v>FANT</v>
      </c>
      <c r="E1262" s="86">
        <f t="shared" ref="E1262:E1273" ca="1" si="275">VLOOKUP(B1262,f_detailsof_candidates,5,FALSE)</f>
        <v>5</v>
      </c>
    </row>
    <row r="1263" spans="1:8" ht="14.25" x14ac:dyDescent="0.45">
      <c r="A1263" s="86">
        <f ca="1"/>
        <v>2</v>
      </c>
      <c r="B1263" s="86" t="str">
        <f ca="1"/>
        <v>C118</v>
      </c>
      <c r="C1263" s="86" t="str">
        <f t="shared" ca="1" si="273"/>
        <v>MUHAMMAD SHAMMAS</v>
      </c>
      <c r="D1263" s="86" t="str">
        <f t="shared" ca="1" si="274"/>
        <v>FANT</v>
      </c>
      <c r="E1263" s="86">
        <f t="shared" ca="1" si="275"/>
        <v>5</v>
      </c>
    </row>
    <row r="1264" spans="1:8" ht="14.25" x14ac:dyDescent="0.45">
      <c r="A1264" s="86">
        <f ca="1"/>
        <v>3</v>
      </c>
      <c r="B1264" s="86" t="str">
        <f ca="1"/>
        <v>C125</v>
      </c>
      <c r="C1264" s="86" t="str">
        <f t="shared" ca="1" si="273"/>
        <v>AHAMMED MINHAJ E M</v>
      </c>
      <c r="D1264" s="86" t="str">
        <f t="shared" ca="1" si="274"/>
        <v>FANT</v>
      </c>
      <c r="E1264" s="86">
        <f t="shared" ca="1" si="275"/>
        <v>5</v>
      </c>
    </row>
    <row r="1265" spans="1:8" ht="14.25" x14ac:dyDescent="0.45">
      <c r="A1265" s="86">
        <f ca="1"/>
        <v>4</v>
      </c>
      <c r="B1265" s="86" t="str">
        <f ca="1"/>
        <v>C100</v>
      </c>
      <c r="C1265" s="86" t="str">
        <f t="shared" ca="1" si="273"/>
        <v>IBRAHIM AFIL</v>
      </c>
      <c r="D1265" s="86" t="str">
        <f t="shared" ca="1" si="274"/>
        <v>DAHF</v>
      </c>
      <c r="E1265" s="86">
        <f t="shared" ca="1" si="275"/>
        <v>5</v>
      </c>
    </row>
    <row r="1266" spans="1:8" ht="14.25" x14ac:dyDescent="0.45">
      <c r="A1266" s="86">
        <f ca="1"/>
        <v>5</v>
      </c>
      <c r="B1266" s="86" t="str">
        <f ca="1"/>
        <v>C158</v>
      </c>
      <c r="C1266" s="86" t="str">
        <f t="shared" ca="1" si="273"/>
        <v>ABDUL FATHAH AHAMMED C</v>
      </c>
      <c r="D1266" s="86" t="str">
        <f t="shared" ca="1" si="274"/>
        <v>DAHF</v>
      </c>
      <c r="E1266" s="86">
        <f t="shared" ca="1" si="275"/>
        <v>6</v>
      </c>
    </row>
    <row r="1267" spans="1:8" ht="14.25" x14ac:dyDescent="0.45">
      <c r="A1267" s="86">
        <f ca="1"/>
        <v>6</v>
      </c>
      <c r="B1267" s="86" t="str">
        <f ca="1"/>
        <v>C177</v>
      </c>
      <c r="C1267" s="86" t="str">
        <f t="shared" ca="1" si="273"/>
        <v>MOHAMMED HUSSAIN</v>
      </c>
      <c r="D1267" s="86" t="str">
        <f t="shared" ca="1" si="274"/>
        <v>DAHF</v>
      </c>
      <c r="E1267" s="86">
        <f t="shared" ca="1" si="275"/>
        <v>7</v>
      </c>
    </row>
    <row r="1268" spans="1:8" ht="14.25" x14ac:dyDescent="0.45">
      <c r="A1268" s="86">
        <f ca="1"/>
        <v>7</v>
      </c>
      <c r="B1268" s="86" t="str">
        <f ca="1"/>
        <v>C129</v>
      </c>
      <c r="C1268" s="86" t="str">
        <f t="shared" ca="1" si="273"/>
        <v>P K ZAMEEL AHMED</v>
      </c>
      <c r="D1268" s="86" t="str">
        <f t="shared" ca="1" si="274"/>
        <v>BADF</v>
      </c>
      <c r="E1268" s="86">
        <f t="shared" ca="1" si="275"/>
        <v>5</v>
      </c>
    </row>
    <row r="1269" spans="1:8" ht="14.25" x14ac:dyDescent="0.45">
      <c r="A1269" s="86">
        <f ca="1"/>
        <v>8</v>
      </c>
      <c r="B1269" s="86" t="str">
        <f ca="1"/>
        <v>C157</v>
      </c>
      <c r="C1269" s="86" t="str">
        <f t="shared" ca="1" si="273"/>
        <v>HASAN YASIR</v>
      </c>
      <c r="D1269" s="86" t="str">
        <f t="shared" ca="1" si="274"/>
        <v>BADF</v>
      </c>
      <c r="E1269" s="86">
        <f t="shared" ca="1" si="275"/>
        <v>6</v>
      </c>
    </row>
    <row r="1270" spans="1:8" ht="14.25" x14ac:dyDescent="0.45">
      <c r="A1270" s="86">
        <f ca="1"/>
        <v>9</v>
      </c>
      <c r="B1270" s="86" t="str">
        <f ca="1"/>
        <v>C170</v>
      </c>
      <c r="C1270" s="86" t="str">
        <f t="shared" ca="1" si="273"/>
        <v>RUMAIZALI R IBRAHIM</v>
      </c>
      <c r="D1270" s="86" t="str">
        <f t="shared" ca="1" si="274"/>
        <v>BADF</v>
      </c>
      <c r="E1270" s="86">
        <f t="shared" ca="1" si="275"/>
        <v>7</v>
      </c>
    </row>
    <row r="1271" spans="1:8" ht="14.25" x14ac:dyDescent="0.45">
      <c r="A1271" s="86">
        <f ca="1"/>
        <v>10</v>
      </c>
      <c r="B1271" s="86" t="str">
        <f ca="1"/>
        <v>C105</v>
      </c>
      <c r="C1271" s="86" t="str">
        <f t="shared" ca="1" si="273"/>
        <v>AHMAD MANAL KUDINGILA</v>
      </c>
      <c r="D1271" s="86" t="str">
        <f t="shared" ca="1" si="274"/>
        <v>JARF</v>
      </c>
      <c r="E1271" s="86">
        <f t="shared" ca="1" si="275"/>
        <v>5</v>
      </c>
    </row>
    <row r="1272" spans="1:8" ht="14.25" x14ac:dyDescent="0.45">
      <c r="A1272" s="86">
        <f ca="1"/>
        <v>11</v>
      </c>
      <c r="B1272" s="86" t="str">
        <f ca="1"/>
        <v>C116</v>
      </c>
      <c r="C1272" s="86" t="str">
        <f t="shared" ca="1" si="273"/>
        <v>MUAHMMED ANAS P A</v>
      </c>
      <c r="D1272" s="86" t="str">
        <f t="shared" ca="1" si="274"/>
        <v>JARF</v>
      </c>
      <c r="E1272" s="86">
        <f t="shared" ca="1" si="275"/>
        <v>5</v>
      </c>
    </row>
    <row r="1273" spans="1:8" ht="14.25" x14ac:dyDescent="0.45">
      <c r="A1273" s="86">
        <f ca="1"/>
        <v>12</v>
      </c>
      <c r="B1273" s="86" t="str">
        <f ca="1"/>
        <v>C121</v>
      </c>
      <c r="C1273" s="86" t="str">
        <f t="shared" ca="1" si="273"/>
        <v>ABDUL SALAM ARIF</v>
      </c>
      <c r="D1273" s="86" t="str">
        <f t="shared" ca="1" si="274"/>
        <v>JARF</v>
      </c>
      <c r="E1273" s="86">
        <f t="shared" ca="1" si="275"/>
        <v>5</v>
      </c>
    </row>
    <row r="1274" spans="1:8" ht="14.25" x14ac:dyDescent="0.45">
      <c r="A1274" s="84" t="s">
        <v>266</v>
      </c>
      <c r="B1274" s="84" t="str">
        <f>VLOOKUP("SN04",f_detailsof_programs,2,FALSE)</f>
        <v>CARTOON</v>
      </c>
      <c r="C1274" s="84"/>
      <c r="D1274" s="84" t="s">
        <v>688</v>
      </c>
      <c r="E1274" s="84" t="s">
        <v>486</v>
      </c>
      <c r="F1274" s="84"/>
      <c r="G1274" s="84"/>
      <c r="H1274" s="84"/>
    </row>
    <row r="1275" spans="1:8" ht="14.25" x14ac:dyDescent="0.45">
      <c r="A1275" s="85" t="s">
        <v>16</v>
      </c>
      <c r="B1275" s="85" t="s">
        <v>480</v>
      </c>
      <c r="C1275" s="85" t="s">
        <v>18</v>
      </c>
      <c r="D1275" s="85" t="s">
        <v>481</v>
      </c>
      <c r="E1275" s="85" t="s">
        <v>19</v>
      </c>
      <c r="F1275" s="85" t="s">
        <v>482</v>
      </c>
      <c r="G1275" s="85" t="s">
        <v>483</v>
      </c>
      <c r="H1275" s="85" t="s">
        <v>484</v>
      </c>
    </row>
    <row r="1276" spans="1:8" ht="14.25" x14ac:dyDescent="0.45">
      <c r="A1276" s="86" cm="1">
        <f t="array" aca="1" ref="A1276:A1283" ca="1">_xlfn.SEQUENCE(COUNTA(_xlfn.LET(_xlpm.trimmed,OFFSET(f_listof_program_candidates,MATCH("SN04",f_listof_program_codes,0)-1,6,1,),TRANSPOSE(_xlfn._xlws.FILTER(OFFSET(_xlpm.trimmed,0,0,,COUNTA(_xlpm.trimmed)-5),OFFSET(_xlpm.trimmed,0,0,,COUNTA(_xlpm.trimmed)-5)&lt;&gt;0)))))</f>
        <v>1</v>
      </c>
      <c r="B1276" s="86" t="str" cm="1">
        <f t="array" aca="1" ref="B1276:B1283" ca="1">_xlfn.LET(_xlpm.trimmed,OFFSET(f_listof_program_candidates,MATCH("SN04",f_listof_program_codes,0)-1,6,1,),TRANSPOSE(_xlfn._xlws.FILTER(OFFSET(_xlpm.trimmed,0,0,,COUNTA(_xlpm.trimmed)-5),OFFSET(_xlpm.trimmed,0,0,,COUNTA(_xlpm.trimmed)-5)&lt;&gt;0)))</f>
        <v>C142</v>
      </c>
      <c r="C1276" s="86" t="str">
        <f t="shared" ref="C1276:C1283" ca="1" si="276">VLOOKUP(B1276,f_detailsof_candidates,2,FALSE)</f>
        <v>AHMAD AMEEN T S</v>
      </c>
      <c r="D1276" s="86" t="str">
        <f t="shared" ref="D1276:D1283" ca="1" si="277">VLOOKUP(B1276,f_detailsof_candidates,3,FALSE)</f>
        <v>FANT</v>
      </c>
      <c r="E1276" s="86">
        <f t="shared" ref="E1276:E1283" ca="1" si="278">VLOOKUP(B1276,f_detailsof_candidates,5,FALSE)</f>
        <v>6</v>
      </c>
    </row>
    <row r="1277" spans="1:8" ht="14.25" x14ac:dyDescent="0.45">
      <c r="A1277" s="86">
        <f ca="1"/>
        <v>2</v>
      </c>
      <c r="B1277" s="86" t="str">
        <f ca="1"/>
        <v>C176</v>
      </c>
      <c r="C1277" s="86" t="str">
        <f t="shared" ca="1" si="276"/>
        <v>MUHAMMED T A</v>
      </c>
      <c r="D1277" s="86" t="str">
        <f t="shared" ca="1" si="277"/>
        <v>FANT</v>
      </c>
      <c r="E1277" s="86">
        <f t="shared" ca="1" si="278"/>
        <v>7</v>
      </c>
    </row>
    <row r="1278" spans="1:8" ht="14.25" x14ac:dyDescent="0.45">
      <c r="A1278" s="86">
        <f ca="1"/>
        <v>3</v>
      </c>
      <c r="B1278" s="86" t="str">
        <f ca="1"/>
        <v>C154</v>
      </c>
      <c r="C1278" s="86" t="str">
        <f t="shared" ca="1" si="276"/>
        <v>MOHAMMED RAZEEN S.P</v>
      </c>
      <c r="D1278" s="86" t="str">
        <f t="shared" ca="1" si="277"/>
        <v>DAHF</v>
      </c>
      <c r="E1278" s="86">
        <f t="shared" ca="1" si="278"/>
        <v>6</v>
      </c>
    </row>
    <row r="1279" spans="1:8" ht="14.25" x14ac:dyDescent="0.45">
      <c r="A1279" s="86">
        <f ca="1"/>
        <v>4</v>
      </c>
      <c r="B1279" s="86" t="str">
        <f ca="1"/>
        <v>C172</v>
      </c>
      <c r="C1279" s="86" t="str">
        <f t="shared" ca="1" si="276"/>
        <v>AHAMED SHAMMAS C.M</v>
      </c>
      <c r="D1279" s="86" t="str">
        <f t="shared" ca="1" si="277"/>
        <v>DAHF</v>
      </c>
      <c r="E1279" s="86">
        <f t="shared" ca="1" si="278"/>
        <v>7</v>
      </c>
    </row>
    <row r="1280" spans="1:8" ht="14.25" x14ac:dyDescent="0.45">
      <c r="A1280" s="86">
        <f ca="1"/>
        <v>5</v>
      </c>
      <c r="B1280" s="86" t="str">
        <f ca="1"/>
        <v>C104</v>
      </c>
      <c r="C1280" s="86" t="str">
        <f t="shared" ca="1" si="276"/>
        <v>HADIL RIJAS</v>
      </c>
      <c r="D1280" s="86" t="str">
        <f t="shared" ca="1" si="277"/>
        <v>BADF</v>
      </c>
      <c r="E1280" s="86">
        <f t="shared" ca="1" si="278"/>
        <v>5</v>
      </c>
    </row>
    <row r="1281" spans="1:8" ht="14.25" x14ac:dyDescent="0.45">
      <c r="A1281" s="86">
        <f ca="1"/>
        <v>6</v>
      </c>
      <c r="B1281" s="86" t="str">
        <f ca="1"/>
        <v>C171</v>
      </c>
      <c r="C1281" s="86" t="str">
        <f t="shared" ca="1" si="276"/>
        <v>MUHAMMED THASLEEM</v>
      </c>
      <c r="D1281" s="86" t="str">
        <f t="shared" ca="1" si="277"/>
        <v>BADF</v>
      </c>
      <c r="E1281" s="86">
        <f t="shared" ca="1" si="278"/>
        <v>7</v>
      </c>
    </row>
    <row r="1282" spans="1:8" ht="14.25" x14ac:dyDescent="0.45">
      <c r="A1282" s="86">
        <f ca="1"/>
        <v>7</v>
      </c>
      <c r="B1282" s="86" t="str">
        <f ca="1"/>
        <v>C140</v>
      </c>
      <c r="C1282" s="86" t="str">
        <f t="shared" ca="1" si="276"/>
        <v>IJAS EBRAHIM</v>
      </c>
      <c r="D1282" s="86" t="str">
        <f t="shared" ca="1" si="277"/>
        <v>JARF</v>
      </c>
      <c r="E1282" s="86">
        <f t="shared" ca="1" si="278"/>
        <v>6</v>
      </c>
    </row>
    <row r="1283" spans="1:8" ht="14.25" x14ac:dyDescent="0.45">
      <c r="A1283" s="86">
        <f ca="1"/>
        <v>8</v>
      </c>
      <c r="B1283" s="86" t="str">
        <f ca="1"/>
        <v>C143</v>
      </c>
      <c r="C1283" s="86" t="str">
        <f t="shared" ca="1" si="276"/>
        <v>MUHAMMED SINAN M</v>
      </c>
      <c r="D1283" s="86" t="str">
        <f t="shared" ca="1" si="277"/>
        <v>JARF</v>
      </c>
      <c r="E1283" s="86">
        <f t="shared" ca="1" si="278"/>
        <v>6</v>
      </c>
    </row>
    <row r="1284" spans="1:8" ht="14.25" x14ac:dyDescent="0.45">
      <c r="A1284" s="84" t="s">
        <v>267</v>
      </c>
      <c r="B1284" s="84" t="str">
        <f>VLOOKUP("SN05",f_detailsof_programs,2,FALSE)</f>
        <v>ESSAY ARB</v>
      </c>
      <c r="C1284" s="84"/>
      <c r="D1284" s="84" t="s">
        <v>688</v>
      </c>
      <c r="E1284" s="84" t="s">
        <v>485</v>
      </c>
      <c r="F1284" s="84"/>
      <c r="G1284" s="84"/>
      <c r="H1284" s="84"/>
    </row>
    <row r="1285" spans="1:8" ht="14.25" x14ac:dyDescent="0.45">
      <c r="A1285" s="85" t="s">
        <v>16</v>
      </c>
      <c r="B1285" s="85" t="s">
        <v>480</v>
      </c>
      <c r="C1285" s="85" t="s">
        <v>18</v>
      </c>
      <c r="D1285" s="85" t="s">
        <v>481</v>
      </c>
      <c r="E1285" s="85" t="s">
        <v>19</v>
      </c>
      <c r="F1285" s="85" t="s">
        <v>482</v>
      </c>
      <c r="G1285" s="85" t="s">
        <v>483</v>
      </c>
      <c r="H1285" s="85" t="s">
        <v>484</v>
      </c>
    </row>
    <row r="1286" spans="1:8" ht="14.25" x14ac:dyDescent="0.45">
      <c r="A1286" s="86" cm="1">
        <f t="array" aca="1" ref="A1286:A1297" ca="1">_xlfn.SEQUENCE(COUNTA(_xlfn.LET(_xlpm.trimmed,OFFSET(f_listof_program_candidates,MATCH("SN05",f_listof_program_codes,0)-1,6,1,),TRANSPOSE(_xlfn._xlws.FILTER(OFFSET(_xlpm.trimmed,0,0,,COUNTA(_xlpm.trimmed)-5),OFFSET(_xlpm.trimmed,0,0,,COUNTA(_xlpm.trimmed)-5)&lt;&gt;0)))))</f>
        <v>1</v>
      </c>
      <c r="B1286" s="86" t="str" cm="1">
        <f t="array" aca="1" ref="B1286:B1297" ca="1">_xlfn.LET(_xlpm.trimmed,OFFSET(f_listof_program_candidates,MATCH("SN05",f_listof_program_codes,0)-1,6,1,),TRANSPOSE(_xlfn._xlws.FILTER(OFFSET(_xlpm.trimmed,0,0,,COUNTA(_xlpm.trimmed)-5),OFFSET(_xlpm.trimmed,0,0,,COUNTA(_xlpm.trimmed)-5)&lt;&gt;0)))</f>
        <v>C101</v>
      </c>
      <c r="C1286" s="86" t="str">
        <f t="shared" ref="C1286:C1297" ca="1" si="279">VLOOKUP(B1286,f_detailsof_candidates,2,FALSE)</f>
        <v>MUHAMMED KASHIF</v>
      </c>
      <c r="D1286" s="86" t="str">
        <f t="shared" ref="D1286:D1297" ca="1" si="280">VLOOKUP(B1286,f_detailsof_candidates,3,FALSE)</f>
        <v>FANT</v>
      </c>
      <c r="E1286" s="86">
        <f t="shared" ref="E1286:E1297" ca="1" si="281">VLOOKUP(B1286,f_detailsof_candidates,5,FALSE)</f>
        <v>5</v>
      </c>
    </row>
    <row r="1287" spans="1:8" ht="14.25" x14ac:dyDescent="0.45">
      <c r="A1287" s="86">
        <f ca="1"/>
        <v>2</v>
      </c>
      <c r="B1287" s="86" t="str">
        <f ca="1"/>
        <v>C118</v>
      </c>
      <c r="C1287" s="86" t="str">
        <f t="shared" ca="1" si="279"/>
        <v>MUHAMMAD SHAMMAS</v>
      </c>
      <c r="D1287" s="86" t="str">
        <f t="shared" ca="1" si="280"/>
        <v>FANT</v>
      </c>
      <c r="E1287" s="86">
        <f t="shared" ca="1" si="281"/>
        <v>5</v>
      </c>
    </row>
    <row r="1288" spans="1:8" ht="14.25" x14ac:dyDescent="0.45">
      <c r="A1288" s="86">
        <f ca="1"/>
        <v>3</v>
      </c>
      <c r="B1288" s="86" t="str">
        <f ca="1"/>
        <v>C149</v>
      </c>
      <c r="C1288" s="86" t="str">
        <f t="shared" ca="1" si="279"/>
        <v>ABDUL BAAIS N.A</v>
      </c>
      <c r="D1288" s="86" t="str">
        <f t="shared" ca="1" si="280"/>
        <v>FANT</v>
      </c>
      <c r="E1288" s="86">
        <f t="shared" ca="1" si="281"/>
        <v>6</v>
      </c>
    </row>
    <row r="1289" spans="1:8" ht="14.25" x14ac:dyDescent="0.45">
      <c r="A1289" s="86">
        <f ca="1"/>
        <v>4</v>
      </c>
      <c r="B1289" s="86" t="str">
        <f ca="1"/>
        <v>C120</v>
      </c>
      <c r="C1289" s="86" t="str">
        <f t="shared" ca="1" si="279"/>
        <v>MAJID MUHAMMED M</v>
      </c>
      <c r="D1289" s="86" t="str">
        <f t="shared" ca="1" si="280"/>
        <v>DAHF</v>
      </c>
      <c r="E1289" s="86">
        <f t="shared" ca="1" si="281"/>
        <v>5</v>
      </c>
    </row>
    <row r="1290" spans="1:8" ht="14.25" x14ac:dyDescent="0.45">
      <c r="A1290" s="86">
        <f ca="1"/>
        <v>5</v>
      </c>
      <c r="B1290" s="86" t="str">
        <f ca="1"/>
        <v>C153</v>
      </c>
      <c r="C1290" s="86" t="str">
        <f t="shared" ca="1" si="279"/>
        <v>MUHAMMED AHMASH K</v>
      </c>
      <c r="D1290" s="86" t="str">
        <f t="shared" ca="1" si="280"/>
        <v>DAHF</v>
      </c>
      <c r="E1290" s="86">
        <f t="shared" ca="1" si="281"/>
        <v>6</v>
      </c>
    </row>
    <row r="1291" spans="1:8" ht="14.25" x14ac:dyDescent="0.45">
      <c r="A1291" s="86">
        <f ca="1"/>
        <v>6</v>
      </c>
      <c r="B1291" s="86" t="str">
        <f ca="1"/>
        <v>C166</v>
      </c>
      <c r="C1291" s="86" t="str">
        <f t="shared" ca="1" si="279"/>
        <v>RESWAN</v>
      </c>
      <c r="D1291" s="86" t="str">
        <f t="shared" ca="1" si="280"/>
        <v>DAHF</v>
      </c>
      <c r="E1291" s="86">
        <f t="shared" ca="1" si="281"/>
        <v>7</v>
      </c>
    </row>
    <row r="1292" spans="1:8" ht="14.25" x14ac:dyDescent="0.45">
      <c r="A1292" s="86">
        <f ca="1"/>
        <v>7</v>
      </c>
      <c r="B1292" s="86" t="str">
        <f ca="1"/>
        <v>C159</v>
      </c>
      <c r="C1292" s="86" t="str">
        <f t="shared" ca="1" si="279"/>
        <v>MUHAMMED KAIF BS</v>
      </c>
      <c r="D1292" s="86" t="str">
        <f t="shared" ca="1" si="280"/>
        <v>BADF</v>
      </c>
      <c r="E1292" s="86">
        <f t="shared" ca="1" si="281"/>
        <v>6</v>
      </c>
    </row>
    <row r="1293" spans="1:8" ht="14.25" x14ac:dyDescent="0.45">
      <c r="A1293" s="86">
        <f ca="1"/>
        <v>8</v>
      </c>
      <c r="B1293" s="86" t="str">
        <f ca="1"/>
        <v>C148</v>
      </c>
      <c r="C1293" s="86" t="str">
        <f t="shared" ca="1" si="279"/>
        <v>MUHAMMED SHABEEB</v>
      </c>
      <c r="D1293" s="86" t="str">
        <f t="shared" ca="1" si="280"/>
        <v>BADF</v>
      </c>
      <c r="E1293" s="86">
        <f t="shared" ca="1" si="281"/>
        <v>6</v>
      </c>
    </row>
    <row r="1294" spans="1:8" ht="14.25" x14ac:dyDescent="0.45">
      <c r="A1294" s="86">
        <f ca="1"/>
        <v>9</v>
      </c>
      <c r="B1294" s="86" t="str">
        <f ca="1"/>
        <v>C169</v>
      </c>
      <c r="C1294" s="86" t="str">
        <f t="shared" ca="1" si="279"/>
        <v>MOHAMMED THAJUDDEEN A R P</v>
      </c>
      <c r="D1294" s="86" t="str">
        <f t="shared" ca="1" si="280"/>
        <v>BADF</v>
      </c>
      <c r="E1294" s="86">
        <f t="shared" ca="1" si="281"/>
        <v>7</v>
      </c>
    </row>
    <row r="1295" spans="1:8" ht="14.25" x14ac:dyDescent="0.45">
      <c r="A1295" s="86">
        <f ca="1"/>
        <v>10</v>
      </c>
      <c r="B1295" s="86" t="str">
        <f ca="1"/>
        <v>C111</v>
      </c>
      <c r="C1295" s="86" t="str">
        <f t="shared" ca="1" si="279"/>
        <v>MUHAMMAD ISMAIL HAMDULLA V K</v>
      </c>
      <c r="D1295" s="86" t="str">
        <f t="shared" ca="1" si="280"/>
        <v>JARF</v>
      </c>
      <c r="E1295" s="86">
        <f t="shared" ca="1" si="281"/>
        <v>5</v>
      </c>
    </row>
    <row r="1296" spans="1:8" ht="14.25" x14ac:dyDescent="0.45">
      <c r="A1296" s="86">
        <f ca="1"/>
        <v>11</v>
      </c>
      <c r="B1296" s="86" t="str">
        <f ca="1"/>
        <v>C135</v>
      </c>
      <c r="C1296" s="86" t="str">
        <f t="shared" ca="1" si="279"/>
        <v>AHAMAD SHABAB P A</v>
      </c>
      <c r="D1296" s="86" t="str">
        <f t="shared" ca="1" si="280"/>
        <v>JARF</v>
      </c>
      <c r="E1296" s="86">
        <f t="shared" ca="1" si="281"/>
        <v>6</v>
      </c>
    </row>
    <row r="1297" spans="1:8" ht="14.25" x14ac:dyDescent="0.45">
      <c r="A1297" s="86">
        <f ca="1"/>
        <v>12</v>
      </c>
      <c r="B1297" s="86" t="str">
        <f ca="1"/>
        <v>C175</v>
      </c>
      <c r="C1297" s="86" t="str">
        <f t="shared" ca="1" si="279"/>
        <v>ABDULLAH MAZIN</v>
      </c>
      <c r="D1297" s="86" t="str">
        <f t="shared" ca="1" si="280"/>
        <v>JARF</v>
      </c>
      <c r="E1297" s="86">
        <f t="shared" ca="1" si="281"/>
        <v>7</v>
      </c>
    </row>
    <row r="1298" spans="1:8" ht="14.25" x14ac:dyDescent="0.45">
      <c r="A1298" s="84" t="s">
        <v>268</v>
      </c>
      <c r="B1298" s="84" t="str">
        <f>VLOOKUP("SN06",f_detailsof_programs,2,FALSE)</f>
        <v>ESSAY ENG</v>
      </c>
      <c r="C1298" s="84"/>
      <c r="D1298" s="84" t="s">
        <v>688</v>
      </c>
      <c r="E1298" s="84" t="s">
        <v>485</v>
      </c>
      <c r="F1298" s="84"/>
      <c r="G1298" s="84"/>
      <c r="H1298" s="84"/>
    </row>
    <row r="1299" spans="1:8" ht="14.25" x14ac:dyDescent="0.45">
      <c r="A1299" s="85" t="s">
        <v>16</v>
      </c>
      <c r="B1299" s="85" t="s">
        <v>480</v>
      </c>
      <c r="C1299" s="85" t="s">
        <v>18</v>
      </c>
      <c r="D1299" s="85" t="s">
        <v>481</v>
      </c>
      <c r="E1299" s="85" t="s">
        <v>19</v>
      </c>
      <c r="F1299" s="85" t="s">
        <v>482</v>
      </c>
      <c r="G1299" s="85" t="s">
        <v>483</v>
      </c>
      <c r="H1299" s="85" t="s">
        <v>484</v>
      </c>
    </row>
    <row r="1300" spans="1:8" ht="14.25" x14ac:dyDescent="0.45">
      <c r="A1300" s="86" cm="1">
        <f t="array" aca="1" ref="A1300:A1311" ca="1">_xlfn.SEQUENCE(COUNTA(_xlfn.LET(_xlpm.trimmed,OFFSET(f_listof_program_candidates,MATCH("SN06",f_listof_program_codes,0)-1,6,1,),TRANSPOSE(_xlfn._xlws.FILTER(OFFSET(_xlpm.trimmed,0,0,,COUNTA(_xlpm.trimmed)-5),OFFSET(_xlpm.trimmed,0,0,,COUNTA(_xlpm.trimmed)-5)&lt;&gt;0)))))</f>
        <v>1</v>
      </c>
      <c r="B1300" s="86" t="str" cm="1">
        <f t="array" aca="1" ref="B1300:B1311" ca="1">_xlfn.LET(_xlpm.trimmed,OFFSET(f_listof_program_candidates,MATCH("SN06",f_listof_program_codes,0)-1,6,1,),TRANSPOSE(_xlfn._xlws.FILTER(OFFSET(_xlpm.trimmed,0,0,,COUNTA(_xlpm.trimmed)-5),OFFSET(_xlpm.trimmed,0,0,,COUNTA(_xlpm.trimmed)-5)&lt;&gt;0)))</f>
        <v>C108</v>
      </c>
      <c r="C1300" s="86" t="str">
        <f t="shared" ref="C1300:C1311" ca="1" si="282">VLOOKUP(B1300,f_detailsof_candidates,2,FALSE)</f>
        <v>ABDULLA SALMAN FARIS M</v>
      </c>
      <c r="D1300" s="86" t="str">
        <f t="shared" ref="D1300:D1311" ca="1" si="283">VLOOKUP(B1300,f_detailsof_candidates,3,FALSE)</f>
        <v>FANT</v>
      </c>
      <c r="E1300" s="86">
        <f t="shared" ref="E1300:E1311" ca="1" si="284">VLOOKUP(B1300,f_detailsof_candidates,5,FALSE)</f>
        <v>5</v>
      </c>
    </row>
    <row r="1301" spans="1:8" ht="14.25" x14ac:dyDescent="0.45">
      <c r="A1301" s="86">
        <f ca="1"/>
        <v>2</v>
      </c>
      <c r="B1301" s="86" t="str">
        <f ca="1"/>
        <v>C155</v>
      </c>
      <c r="C1301" s="86" t="str">
        <f t="shared" ca="1" si="282"/>
        <v>HASSAN ZARKASH</v>
      </c>
      <c r="D1301" s="86" t="str">
        <f t="shared" ca="1" si="283"/>
        <v>FANT</v>
      </c>
      <c r="E1301" s="86">
        <f t="shared" ca="1" si="284"/>
        <v>6</v>
      </c>
    </row>
    <row r="1302" spans="1:8" ht="14.25" x14ac:dyDescent="0.45">
      <c r="A1302" s="86">
        <f ca="1"/>
        <v>3</v>
      </c>
      <c r="B1302" s="86" t="str">
        <f ca="1"/>
        <v>C168</v>
      </c>
      <c r="C1302" s="86" t="str">
        <f t="shared" ca="1" si="282"/>
        <v>MUHAMMED SHAHAN P.S</v>
      </c>
      <c r="D1302" s="86" t="str">
        <f t="shared" ca="1" si="283"/>
        <v>FANT</v>
      </c>
      <c r="E1302" s="86">
        <f t="shared" ca="1" si="284"/>
        <v>7</v>
      </c>
    </row>
    <row r="1303" spans="1:8" ht="14.25" x14ac:dyDescent="0.45">
      <c r="A1303" s="86">
        <f ca="1"/>
        <v>4</v>
      </c>
      <c r="B1303" s="86" t="str">
        <f ca="1"/>
        <v>C107</v>
      </c>
      <c r="C1303" s="86" t="str">
        <f t="shared" ca="1" si="282"/>
        <v>ADIL ABDULLA A</v>
      </c>
      <c r="D1303" s="86" t="str">
        <f t="shared" ca="1" si="283"/>
        <v>DAHF</v>
      </c>
      <c r="E1303" s="86">
        <f t="shared" ca="1" si="284"/>
        <v>5</v>
      </c>
    </row>
    <row r="1304" spans="1:8" ht="14.25" x14ac:dyDescent="0.45">
      <c r="A1304" s="86">
        <f ca="1"/>
        <v>5</v>
      </c>
      <c r="B1304" s="86" t="str">
        <f ca="1"/>
        <v>C110</v>
      </c>
      <c r="C1304" s="86" t="str">
        <f t="shared" ca="1" si="282"/>
        <v>SHADIL AHAMED</v>
      </c>
      <c r="D1304" s="86" t="str">
        <f t="shared" ca="1" si="283"/>
        <v>DAHF</v>
      </c>
      <c r="E1304" s="86">
        <f t="shared" ca="1" si="284"/>
        <v>5</v>
      </c>
    </row>
    <row r="1305" spans="1:8" ht="14.25" x14ac:dyDescent="0.45">
      <c r="A1305" s="86">
        <f ca="1"/>
        <v>6</v>
      </c>
      <c r="B1305" s="86" t="str">
        <f ca="1"/>
        <v>C133</v>
      </c>
      <c r="C1305" s="86" t="str">
        <f t="shared" ca="1" si="282"/>
        <v>SALMANUL FARIS</v>
      </c>
      <c r="D1305" s="86" t="str">
        <f t="shared" ca="1" si="283"/>
        <v>DAHF</v>
      </c>
      <c r="E1305" s="86">
        <f t="shared" ca="1" si="284"/>
        <v>6</v>
      </c>
    </row>
    <row r="1306" spans="1:8" ht="14.25" x14ac:dyDescent="0.45">
      <c r="A1306" s="86">
        <f ca="1"/>
        <v>7</v>
      </c>
      <c r="B1306" s="86" t="str">
        <f ca="1"/>
        <v>C123</v>
      </c>
      <c r="C1306" s="86" t="str">
        <f t="shared" ca="1" si="282"/>
        <v>MOHAMMED FAQRUDDEEN RAZI</v>
      </c>
      <c r="D1306" s="86" t="str">
        <f t="shared" ca="1" si="283"/>
        <v>BADF</v>
      </c>
      <c r="E1306" s="86">
        <f t="shared" ca="1" si="284"/>
        <v>5</v>
      </c>
    </row>
    <row r="1307" spans="1:8" ht="14.25" x14ac:dyDescent="0.45">
      <c r="A1307" s="86">
        <f ca="1"/>
        <v>8</v>
      </c>
      <c r="B1307" s="86" t="str">
        <f ca="1"/>
        <v>C132</v>
      </c>
      <c r="C1307" s="86" t="str">
        <f t="shared" ca="1" si="282"/>
        <v>MUHAMMAD SHAZIN</v>
      </c>
      <c r="D1307" s="86" t="str">
        <f t="shared" ca="1" si="283"/>
        <v>BADF</v>
      </c>
      <c r="E1307" s="86">
        <f t="shared" ca="1" si="284"/>
        <v>6</v>
      </c>
    </row>
    <row r="1308" spans="1:8" ht="14.25" x14ac:dyDescent="0.45">
      <c r="A1308" s="86">
        <f ca="1"/>
        <v>9</v>
      </c>
      <c r="B1308" s="86" t="str">
        <f ca="1"/>
        <v>C170</v>
      </c>
      <c r="C1308" s="86" t="str">
        <f t="shared" ca="1" si="282"/>
        <v>RUMAIZALI R IBRAHIM</v>
      </c>
      <c r="D1308" s="86" t="str">
        <f t="shared" ca="1" si="283"/>
        <v>BADF</v>
      </c>
      <c r="E1308" s="86">
        <f t="shared" ca="1" si="284"/>
        <v>7</v>
      </c>
    </row>
    <row r="1309" spans="1:8" ht="14.25" x14ac:dyDescent="0.45">
      <c r="A1309" s="86">
        <f ca="1"/>
        <v>10</v>
      </c>
      <c r="B1309" s="86" t="str">
        <f ca="1"/>
        <v>C113</v>
      </c>
      <c r="C1309" s="86" t="str">
        <f t="shared" ca="1" si="282"/>
        <v>SEYYAD MUHAMMED FAHMAN</v>
      </c>
      <c r="D1309" s="86" t="str">
        <f t="shared" ca="1" si="283"/>
        <v>JARF</v>
      </c>
      <c r="E1309" s="86">
        <f t="shared" ca="1" si="284"/>
        <v>5</v>
      </c>
    </row>
    <row r="1310" spans="1:8" ht="14.25" x14ac:dyDescent="0.45">
      <c r="A1310" s="86">
        <f ca="1"/>
        <v>11</v>
      </c>
      <c r="B1310" s="86" t="str">
        <f ca="1"/>
        <v>C135</v>
      </c>
      <c r="C1310" s="86" t="str">
        <f t="shared" ca="1" si="282"/>
        <v>AHAMAD SHABAB P A</v>
      </c>
      <c r="D1310" s="86" t="str">
        <f t="shared" ca="1" si="283"/>
        <v>JARF</v>
      </c>
      <c r="E1310" s="86">
        <f t="shared" ca="1" si="284"/>
        <v>6</v>
      </c>
    </row>
    <row r="1311" spans="1:8" ht="14.25" x14ac:dyDescent="0.45">
      <c r="A1311" s="86">
        <f ca="1"/>
        <v>12</v>
      </c>
      <c r="B1311" s="86" t="str">
        <f ca="1"/>
        <v>C140</v>
      </c>
      <c r="C1311" s="86" t="str">
        <f t="shared" ca="1" si="282"/>
        <v>IJAS EBRAHIM</v>
      </c>
      <c r="D1311" s="86" t="str">
        <f t="shared" ca="1" si="283"/>
        <v>JARF</v>
      </c>
      <c r="E1311" s="86">
        <f t="shared" ca="1" si="284"/>
        <v>6</v>
      </c>
    </row>
    <row r="1312" spans="1:8" ht="14.25" x14ac:dyDescent="0.45">
      <c r="A1312" s="84" t="s">
        <v>269</v>
      </c>
      <c r="B1312" s="84" t="str">
        <f>VLOOKUP("SN07",f_detailsof_programs,2,FALSE)</f>
        <v>ESSAY MLM</v>
      </c>
      <c r="C1312" s="84"/>
      <c r="D1312" s="84" t="s">
        <v>688</v>
      </c>
      <c r="E1312" s="84" t="s">
        <v>485</v>
      </c>
      <c r="F1312" s="84"/>
      <c r="G1312" s="84"/>
      <c r="H1312" s="84"/>
    </row>
    <row r="1313" spans="1:8" ht="14.25" x14ac:dyDescent="0.45">
      <c r="A1313" s="85" t="s">
        <v>16</v>
      </c>
      <c r="B1313" s="85" t="s">
        <v>480</v>
      </c>
      <c r="C1313" s="85" t="s">
        <v>18</v>
      </c>
      <c r="D1313" s="85" t="s">
        <v>481</v>
      </c>
      <c r="E1313" s="85" t="s">
        <v>19</v>
      </c>
      <c r="F1313" s="85" t="s">
        <v>482</v>
      </c>
      <c r="G1313" s="85" t="s">
        <v>483</v>
      </c>
      <c r="H1313" s="85" t="s">
        <v>484</v>
      </c>
    </row>
    <row r="1314" spans="1:8" ht="14.25" x14ac:dyDescent="0.45">
      <c r="A1314" s="86" cm="1">
        <f t="array" aca="1" ref="A1314:A1325" ca="1">_xlfn.SEQUENCE(COUNTA(_xlfn.LET(_xlpm.trimmed,OFFSET(f_listof_program_candidates,MATCH("SN07",f_listof_program_codes,0)-1,6,1,),TRANSPOSE(_xlfn._xlws.FILTER(OFFSET(_xlpm.trimmed,0,0,,COUNTA(_xlpm.trimmed)-5),OFFSET(_xlpm.trimmed,0,0,,COUNTA(_xlpm.trimmed)-5)&lt;&gt;0)))))</f>
        <v>1</v>
      </c>
      <c r="B1314" s="86" t="str" cm="1">
        <f t="array" aca="1" ref="B1314:B1325" ca="1">_xlfn.LET(_xlpm.trimmed,OFFSET(f_listof_program_candidates,MATCH("SN07",f_listof_program_codes,0)-1,6,1,),TRANSPOSE(_xlfn._xlws.FILTER(OFFSET(_xlpm.trimmed,0,0,,COUNTA(_xlpm.trimmed)-5),OFFSET(_xlpm.trimmed,0,0,,COUNTA(_xlpm.trimmed)-5)&lt;&gt;0)))</f>
        <v>C101</v>
      </c>
      <c r="C1314" s="86" t="str">
        <f t="shared" ref="C1314:C1325" ca="1" si="285">VLOOKUP(B1314,f_detailsof_candidates,2,FALSE)</f>
        <v>MUHAMMED KASHIF</v>
      </c>
      <c r="D1314" s="86" t="str">
        <f t="shared" ref="D1314:D1325" ca="1" si="286">VLOOKUP(B1314,f_detailsof_candidates,3,FALSE)</f>
        <v>FANT</v>
      </c>
      <c r="E1314" s="86">
        <f t="shared" ref="E1314:E1325" ca="1" si="287">VLOOKUP(B1314,f_detailsof_candidates,5,FALSE)</f>
        <v>5</v>
      </c>
    </row>
    <row r="1315" spans="1:8" ht="14.25" x14ac:dyDescent="0.45">
      <c r="A1315" s="86">
        <f ca="1"/>
        <v>2</v>
      </c>
      <c r="B1315" s="86" t="str">
        <f ca="1"/>
        <v>C162</v>
      </c>
      <c r="C1315" s="86" t="str">
        <f t="shared" ca="1" si="285"/>
        <v>MUHAMMAD K.A</v>
      </c>
      <c r="D1315" s="86" t="str">
        <f t="shared" ca="1" si="286"/>
        <v>FANT</v>
      </c>
      <c r="E1315" s="86">
        <f t="shared" ca="1" si="287"/>
        <v>7</v>
      </c>
    </row>
    <row r="1316" spans="1:8" ht="14.25" x14ac:dyDescent="0.45">
      <c r="A1316" s="86">
        <f ca="1"/>
        <v>3</v>
      </c>
      <c r="B1316" s="86" t="str">
        <f ca="1"/>
        <v>C173</v>
      </c>
      <c r="C1316" s="86" t="str">
        <f t="shared" ca="1" si="285"/>
        <v>ABDUL HADIL P.M</v>
      </c>
      <c r="D1316" s="86" t="str">
        <f t="shared" ca="1" si="286"/>
        <v>FANT</v>
      </c>
      <c r="E1316" s="86">
        <f t="shared" ca="1" si="287"/>
        <v>7</v>
      </c>
    </row>
    <row r="1317" spans="1:8" ht="14.25" x14ac:dyDescent="0.45">
      <c r="A1317" s="86">
        <f ca="1"/>
        <v>4</v>
      </c>
      <c r="B1317" s="86" t="str">
        <f ca="1"/>
        <v>C128</v>
      </c>
      <c r="C1317" s="86" t="str">
        <f t="shared" ca="1" si="285"/>
        <v>MAHIN SINAN</v>
      </c>
      <c r="D1317" s="86" t="str">
        <f t="shared" ca="1" si="286"/>
        <v>DAHF</v>
      </c>
      <c r="E1317" s="86">
        <f t="shared" ca="1" si="287"/>
        <v>5</v>
      </c>
    </row>
    <row r="1318" spans="1:8" ht="14.25" x14ac:dyDescent="0.45">
      <c r="A1318" s="86">
        <f ca="1"/>
        <v>5</v>
      </c>
      <c r="B1318" s="86" t="str">
        <f ca="1"/>
        <v>C154</v>
      </c>
      <c r="C1318" s="86" t="str">
        <f t="shared" ca="1" si="285"/>
        <v>MOHAMMED RAZEEN S.P</v>
      </c>
      <c r="D1318" s="86" t="str">
        <f t="shared" ca="1" si="286"/>
        <v>DAHF</v>
      </c>
      <c r="E1318" s="86">
        <f t="shared" ca="1" si="287"/>
        <v>6</v>
      </c>
    </row>
    <row r="1319" spans="1:8" ht="14.25" x14ac:dyDescent="0.45">
      <c r="A1319" s="86">
        <f ca="1"/>
        <v>6</v>
      </c>
      <c r="B1319" s="86" t="str">
        <f ca="1"/>
        <v>C161</v>
      </c>
      <c r="C1319" s="86" t="str">
        <f t="shared" ca="1" si="285"/>
        <v>MOHAMMED ABDUL KHADER NABAVI E A</v>
      </c>
      <c r="D1319" s="86" t="str">
        <f t="shared" ca="1" si="286"/>
        <v>DAHF</v>
      </c>
      <c r="E1319" s="86">
        <f t="shared" ca="1" si="287"/>
        <v>7</v>
      </c>
    </row>
    <row r="1320" spans="1:8" ht="14.25" x14ac:dyDescent="0.45">
      <c r="A1320" s="86">
        <f ca="1"/>
        <v>7</v>
      </c>
      <c r="B1320" s="86" t="str">
        <f ca="1"/>
        <v>C103</v>
      </c>
      <c r="C1320" s="86" t="str">
        <f t="shared" ca="1" si="285"/>
        <v>MUHAMMED ABDUL KADER</v>
      </c>
      <c r="D1320" s="86" t="str">
        <f t="shared" ca="1" si="286"/>
        <v>BADF</v>
      </c>
      <c r="E1320" s="86">
        <f t="shared" ca="1" si="287"/>
        <v>5</v>
      </c>
    </row>
    <row r="1321" spans="1:8" ht="14.25" x14ac:dyDescent="0.45">
      <c r="A1321" s="86">
        <f ca="1"/>
        <v>8</v>
      </c>
      <c r="B1321" s="86" t="str">
        <f ca="1"/>
        <v>C145</v>
      </c>
      <c r="C1321" s="86" t="str">
        <f t="shared" ca="1" si="285"/>
        <v>SHAMEEL AHAMMED P</v>
      </c>
      <c r="D1321" s="86" t="str">
        <f t="shared" ca="1" si="286"/>
        <v>BADF</v>
      </c>
      <c r="E1321" s="86">
        <f t="shared" ca="1" si="287"/>
        <v>6</v>
      </c>
    </row>
    <row r="1322" spans="1:8" ht="14.25" x14ac:dyDescent="0.45">
      <c r="A1322" s="86">
        <f ca="1"/>
        <v>9</v>
      </c>
      <c r="B1322" s="86" t="str">
        <f ca="1"/>
        <v>C157</v>
      </c>
      <c r="C1322" s="86" t="str">
        <f t="shared" ca="1" si="285"/>
        <v>HASAN YASIR</v>
      </c>
      <c r="D1322" s="86" t="str">
        <f t="shared" ca="1" si="286"/>
        <v>BADF</v>
      </c>
      <c r="E1322" s="86">
        <f t="shared" ca="1" si="287"/>
        <v>6</v>
      </c>
    </row>
    <row r="1323" spans="1:8" ht="14.25" x14ac:dyDescent="0.45">
      <c r="A1323" s="86">
        <f ca="1"/>
        <v>10</v>
      </c>
      <c r="B1323" s="86" t="str">
        <f ca="1"/>
        <v>C119</v>
      </c>
      <c r="C1323" s="86" t="str">
        <f t="shared" ca="1" si="285"/>
        <v>ARIFUDEEN ABBAS A</v>
      </c>
      <c r="D1323" s="86" t="str">
        <f t="shared" ca="1" si="286"/>
        <v>JARF</v>
      </c>
      <c r="E1323" s="86">
        <f t="shared" ca="1" si="287"/>
        <v>5</v>
      </c>
    </row>
    <row r="1324" spans="1:8" ht="14.25" x14ac:dyDescent="0.45">
      <c r="A1324" s="86">
        <f ca="1"/>
        <v>11</v>
      </c>
      <c r="B1324" s="86" t="str">
        <f ca="1"/>
        <v>C152</v>
      </c>
      <c r="C1324" s="86" t="str">
        <f t="shared" ca="1" si="285"/>
        <v>MUHAMMED SABITH ALI TM</v>
      </c>
      <c r="D1324" s="86" t="str">
        <f t="shared" ca="1" si="286"/>
        <v>JARF</v>
      </c>
      <c r="E1324" s="86">
        <f t="shared" ca="1" si="287"/>
        <v>6</v>
      </c>
    </row>
    <row r="1325" spans="1:8" ht="14.25" x14ac:dyDescent="0.45">
      <c r="A1325" s="86">
        <f ca="1"/>
        <v>12</v>
      </c>
      <c r="B1325" s="86" t="str">
        <f ca="1"/>
        <v>C163</v>
      </c>
      <c r="C1325" s="86" t="str">
        <f t="shared" ca="1" si="285"/>
        <v>MOHAMMED SAHEED A.K</v>
      </c>
      <c r="D1325" s="86" t="str">
        <f t="shared" ca="1" si="286"/>
        <v>JARF</v>
      </c>
      <c r="E1325" s="86">
        <f t="shared" ca="1" si="287"/>
        <v>7</v>
      </c>
    </row>
    <row r="1326" spans="1:8" ht="14.25" x14ac:dyDescent="0.45">
      <c r="A1326" s="84" t="s">
        <v>270</v>
      </c>
      <c r="B1326" s="84" t="str">
        <f>VLOOKUP("SN08",f_detailsof_programs,2,FALSE)</f>
        <v>ESSAY URD</v>
      </c>
      <c r="C1326" s="84"/>
      <c r="D1326" s="84" t="s">
        <v>688</v>
      </c>
      <c r="E1326" s="84" t="s">
        <v>485</v>
      </c>
      <c r="F1326" s="84"/>
      <c r="G1326" s="84"/>
      <c r="H1326" s="84"/>
    </row>
    <row r="1327" spans="1:8" ht="14.25" x14ac:dyDescent="0.45">
      <c r="A1327" s="85" t="s">
        <v>16</v>
      </c>
      <c r="B1327" s="85" t="s">
        <v>480</v>
      </c>
      <c r="C1327" s="85" t="s">
        <v>18</v>
      </c>
      <c r="D1327" s="85" t="s">
        <v>481</v>
      </c>
      <c r="E1327" s="85" t="s">
        <v>19</v>
      </c>
      <c r="F1327" s="85" t="s">
        <v>482</v>
      </c>
      <c r="G1327" s="85" t="s">
        <v>483</v>
      </c>
      <c r="H1327" s="85" t="s">
        <v>484</v>
      </c>
    </row>
    <row r="1328" spans="1:8" ht="14.25" x14ac:dyDescent="0.45">
      <c r="A1328" s="86" cm="1">
        <f t="array" aca="1" ref="A1328:A1339" ca="1">_xlfn.SEQUENCE(COUNTA(_xlfn.LET(_xlpm.trimmed,OFFSET(f_listof_program_candidates,MATCH("SN08",f_listof_program_codes,0)-1,6,1,),TRANSPOSE(_xlfn._xlws.FILTER(OFFSET(_xlpm.trimmed,0,0,,COUNTA(_xlpm.trimmed)-5),OFFSET(_xlpm.trimmed,0,0,,COUNTA(_xlpm.trimmed)-5)&lt;&gt;0)))))</f>
        <v>1</v>
      </c>
      <c r="B1328" s="86" t="str" cm="1">
        <f t="array" aca="1" ref="B1328:B1339" ca="1">_xlfn.LET(_xlpm.trimmed,OFFSET(f_listof_program_candidates,MATCH("SN08",f_listof_program_codes,0)-1,6,1,),TRANSPOSE(_xlfn._xlws.FILTER(OFFSET(_xlpm.trimmed,0,0,,COUNTA(_xlpm.trimmed)-5),OFFSET(_xlpm.trimmed,0,0,,COUNTA(_xlpm.trimmed)-5)&lt;&gt;0)))</f>
        <v>C134</v>
      </c>
      <c r="C1328" s="86" t="str">
        <f t="shared" ref="C1328:C1339" ca="1" si="288">VLOOKUP(B1328,f_detailsof_candidates,2,FALSE)</f>
        <v>MUHAMMED ABDUL NASIF P.A</v>
      </c>
      <c r="D1328" s="86" t="str">
        <f t="shared" ref="D1328:D1339" ca="1" si="289">VLOOKUP(B1328,f_detailsof_candidates,3,FALSE)</f>
        <v>FANT</v>
      </c>
      <c r="E1328" s="86">
        <f t="shared" ref="E1328:E1339" ca="1" si="290">VLOOKUP(B1328,f_detailsof_candidates,5,FALSE)</f>
        <v>6</v>
      </c>
    </row>
    <row r="1329" spans="1:8" ht="14.25" x14ac:dyDescent="0.45">
      <c r="A1329" s="86">
        <f ca="1"/>
        <v>2</v>
      </c>
      <c r="B1329" s="86" t="str">
        <f ca="1"/>
        <v>C138</v>
      </c>
      <c r="C1329" s="86" t="str">
        <f t="shared" ca="1" si="288"/>
        <v>MOHAMMED MOINUDDEEN CHISTY</v>
      </c>
      <c r="D1329" s="86" t="str">
        <f t="shared" ca="1" si="289"/>
        <v>FANT</v>
      </c>
      <c r="E1329" s="86">
        <f t="shared" ca="1" si="290"/>
        <v>6</v>
      </c>
    </row>
    <row r="1330" spans="1:8" ht="14.25" x14ac:dyDescent="0.45">
      <c r="A1330" s="86">
        <f ca="1"/>
        <v>3</v>
      </c>
      <c r="B1330" s="86" t="str">
        <f ca="1"/>
        <v>C156</v>
      </c>
      <c r="C1330" s="86" t="str">
        <f t="shared" ca="1" si="288"/>
        <v>ABDULLA RAMSHAD</v>
      </c>
      <c r="D1330" s="86" t="str">
        <f t="shared" ca="1" si="289"/>
        <v>FANT</v>
      </c>
      <c r="E1330" s="86">
        <f t="shared" ca="1" si="290"/>
        <v>6</v>
      </c>
    </row>
    <row r="1331" spans="1:8" ht="14.25" x14ac:dyDescent="0.45">
      <c r="A1331" s="86">
        <f ca="1"/>
        <v>4</v>
      </c>
      <c r="B1331" s="86" t="str">
        <f ca="1"/>
        <v>C136</v>
      </c>
      <c r="C1331" s="86" t="str">
        <f t="shared" ca="1" si="288"/>
        <v>MOHAMMED SHAKIR HUSSAIN K.Y</v>
      </c>
      <c r="D1331" s="86" t="str">
        <f t="shared" ca="1" si="289"/>
        <v>DAHF</v>
      </c>
      <c r="E1331" s="86">
        <f t="shared" ca="1" si="290"/>
        <v>6</v>
      </c>
    </row>
    <row r="1332" spans="1:8" ht="14.25" x14ac:dyDescent="0.45">
      <c r="A1332" s="86">
        <f ca="1"/>
        <v>5</v>
      </c>
      <c r="B1332" s="86" t="str">
        <f ca="1"/>
        <v>C150</v>
      </c>
      <c r="C1332" s="86" t="str">
        <f t="shared" ca="1" si="288"/>
        <v>MUHAMMED PK</v>
      </c>
      <c r="D1332" s="86" t="str">
        <f t="shared" ca="1" si="289"/>
        <v>DAHF</v>
      </c>
      <c r="E1332" s="86">
        <f t="shared" ca="1" si="290"/>
        <v>6</v>
      </c>
    </row>
    <row r="1333" spans="1:8" ht="14.25" x14ac:dyDescent="0.45">
      <c r="A1333" s="86">
        <f ca="1"/>
        <v>6</v>
      </c>
      <c r="B1333" s="86" t="str">
        <f ca="1"/>
        <v>C158</v>
      </c>
      <c r="C1333" s="86" t="str">
        <f t="shared" ca="1" si="288"/>
        <v>ABDUL FATHAH AHAMMED C</v>
      </c>
      <c r="D1333" s="86" t="str">
        <f t="shared" ca="1" si="289"/>
        <v>DAHF</v>
      </c>
      <c r="E1333" s="86">
        <f t="shared" ca="1" si="290"/>
        <v>6</v>
      </c>
    </row>
    <row r="1334" spans="1:8" ht="14.25" x14ac:dyDescent="0.45">
      <c r="A1334" s="86">
        <f ca="1"/>
        <v>7</v>
      </c>
      <c r="B1334" s="86" t="str">
        <f ca="1"/>
        <v>C129</v>
      </c>
      <c r="C1334" s="86" t="str">
        <f t="shared" ca="1" si="288"/>
        <v>P K ZAMEEL AHMED</v>
      </c>
      <c r="D1334" s="86" t="str">
        <f t="shared" ca="1" si="289"/>
        <v>BADF</v>
      </c>
      <c r="E1334" s="86">
        <f t="shared" ca="1" si="290"/>
        <v>5</v>
      </c>
    </row>
    <row r="1335" spans="1:8" ht="14.25" x14ac:dyDescent="0.45">
      <c r="A1335" s="86">
        <f ca="1"/>
        <v>8</v>
      </c>
      <c r="B1335" s="86" t="str">
        <f ca="1"/>
        <v>C148</v>
      </c>
      <c r="C1335" s="86" t="str">
        <f t="shared" ca="1" si="288"/>
        <v>MUHAMMED SHABEEB</v>
      </c>
      <c r="D1335" s="86" t="str">
        <f t="shared" ca="1" si="289"/>
        <v>BADF</v>
      </c>
      <c r="E1335" s="86">
        <f t="shared" ca="1" si="290"/>
        <v>6</v>
      </c>
    </row>
    <row r="1336" spans="1:8" ht="14.25" x14ac:dyDescent="0.45">
      <c r="A1336" s="86">
        <f ca="1"/>
        <v>9</v>
      </c>
      <c r="B1336" s="86" t="str">
        <f ca="1"/>
        <v>C174</v>
      </c>
      <c r="C1336" s="86" t="str">
        <f t="shared" ca="1" si="288"/>
        <v>MUHAMMAD MUSTHAFA K.M</v>
      </c>
      <c r="D1336" s="86" t="str">
        <f t="shared" ca="1" si="289"/>
        <v>BADF</v>
      </c>
      <c r="E1336" s="86">
        <f t="shared" ca="1" si="290"/>
        <v>7</v>
      </c>
    </row>
    <row r="1337" spans="1:8" ht="14.25" x14ac:dyDescent="0.45">
      <c r="A1337" s="86">
        <f ca="1"/>
        <v>10</v>
      </c>
      <c r="B1337" s="86" t="str">
        <f ca="1"/>
        <v>C116</v>
      </c>
      <c r="C1337" s="86" t="str">
        <f t="shared" ca="1" si="288"/>
        <v>MUAHMMED ANAS P A</v>
      </c>
      <c r="D1337" s="86" t="str">
        <f t="shared" ca="1" si="289"/>
        <v>JARF</v>
      </c>
      <c r="E1337" s="86">
        <f t="shared" ca="1" si="290"/>
        <v>5</v>
      </c>
    </row>
    <row r="1338" spans="1:8" ht="14.25" x14ac:dyDescent="0.45">
      <c r="A1338" s="86">
        <f ca="1"/>
        <v>11</v>
      </c>
      <c r="B1338" s="86" t="str">
        <f ca="1"/>
        <v>C147</v>
      </c>
      <c r="C1338" s="86" t="str">
        <f t="shared" ca="1" si="288"/>
        <v>AHAMED ZAKI FOUZAN T.Z</v>
      </c>
      <c r="D1338" s="86" t="str">
        <f t="shared" ca="1" si="289"/>
        <v>JARF</v>
      </c>
      <c r="E1338" s="86">
        <f t="shared" ca="1" si="290"/>
        <v>6</v>
      </c>
    </row>
    <row r="1339" spans="1:8" ht="14.25" x14ac:dyDescent="0.45">
      <c r="A1339" s="86">
        <f ca="1"/>
        <v>12</v>
      </c>
      <c r="B1339" s="86" t="str">
        <f ca="1"/>
        <v>C165</v>
      </c>
      <c r="C1339" s="86" t="str">
        <f t="shared" ca="1" si="288"/>
        <v>MUHAMMAD IBN AHMAD</v>
      </c>
      <c r="D1339" s="86" t="str">
        <f t="shared" ca="1" si="289"/>
        <v>JARF</v>
      </c>
      <c r="E1339" s="86">
        <f t="shared" ca="1" si="290"/>
        <v>7</v>
      </c>
    </row>
    <row r="1340" spans="1:8" ht="14.25" x14ac:dyDescent="0.45">
      <c r="A1340" s="84" t="s">
        <v>271</v>
      </c>
      <c r="B1340" s="84" t="str">
        <f>VLOOKUP("SN09",f_detailsof_programs,2,FALSE)</f>
        <v>EXCEL EXPERT</v>
      </c>
      <c r="C1340" s="84"/>
      <c r="D1340" s="84" t="s">
        <v>688</v>
      </c>
      <c r="E1340" s="84" t="s">
        <v>486</v>
      </c>
      <c r="F1340" s="84"/>
      <c r="G1340" s="84"/>
      <c r="H1340" s="84"/>
    </row>
    <row r="1341" spans="1:8" ht="14.25" x14ac:dyDescent="0.45">
      <c r="A1341" s="85" t="s">
        <v>16</v>
      </c>
      <c r="B1341" s="85" t="s">
        <v>480</v>
      </c>
      <c r="C1341" s="85" t="s">
        <v>18</v>
      </c>
      <c r="D1341" s="85" t="s">
        <v>481</v>
      </c>
      <c r="E1341" s="85" t="s">
        <v>19</v>
      </c>
      <c r="F1341" s="85" t="s">
        <v>482</v>
      </c>
      <c r="G1341" s="85" t="s">
        <v>483</v>
      </c>
      <c r="H1341" s="85" t="s">
        <v>484</v>
      </c>
    </row>
    <row r="1342" spans="1:8" ht="14.25" x14ac:dyDescent="0.45">
      <c r="A1342" s="86" cm="1">
        <f t="array" aca="1" ref="A1342:A1349" ca="1">_xlfn.SEQUENCE(COUNTA(_xlfn.LET(_xlpm.trimmed,OFFSET(f_listof_program_candidates,MATCH("SN09",f_listof_program_codes,0)-1,6,1,),TRANSPOSE(_xlfn._xlws.FILTER(OFFSET(_xlpm.trimmed,0,0,,COUNTA(_xlpm.trimmed)-5),OFFSET(_xlpm.trimmed,0,0,,COUNTA(_xlpm.trimmed)-5)&lt;&gt;0)))))</f>
        <v>1</v>
      </c>
      <c r="B1342" s="86" t="str" cm="1">
        <f t="array" aca="1" ref="B1342:B1349" ca="1">_xlfn.LET(_xlpm.trimmed,OFFSET(f_listof_program_candidates,MATCH("SN09",f_listof_program_codes,0)-1,6,1,),TRANSPOSE(_xlfn._xlws.FILTER(OFFSET(_xlpm.trimmed,0,0,,COUNTA(_xlpm.trimmed)-5),OFFSET(_xlpm.trimmed,0,0,,COUNTA(_xlpm.trimmed)-5)&lt;&gt;0)))</f>
        <v>C168</v>
      </c>
      <c r="C1342" s="86" t="str">
        <f t="shared" ref="C1342:C1349" ca="1" si="291">VLOOKUP(B1342,f_detailsof_candidates,2,FALSE)</f>
        <v>MUHAMMED SHAHAN P.S</v>
      </c>
      <c r="D1342" s="86" t="str">
        <f t="shared" ref="D1342:D1349" ca="1" si="292">VLOOKUP(B1342,f_detailsof_candidates,3,FALSE)</f>
        <v>FANT</v>
      </c>
      <c r="E1342" s="86">
        <f t="shared" ref="E1342:E1349" ca="1" si="293">VLOOKUP(B1342,f_detailsof_candidates,5,FALSE)</f>
        <v>7</v>
      </c>
    </row>
    <row r="1343" spans="1:8" ht="14.25" x14ac:dyDescent="0.45">
      <c r="A1343" s="86">
        <f ca="1"/>
        <v>2</v>
      </c>
      <c r="B1343" s="86" t="str">
        <f ca="1"/>
        <v>C149</v>
      </c>
      <c r="C1343" s="86" t="str">
        <f t="shared" ca="1" si="291"/>
        <v>ABDUL BAAIS N.A</v>
      </c>
      <c r="D1343" s="86" t="str">
        <f t="shared" ca="1" si="292"/>
        <v>FANT</v>
      </c>
      <c r="E1343" s="86">
        <f t="shared" ca="1" si="293"/>
        <v>6</v>
      </c>
    </row>
    <row r="1344" spans="1:8" ht="14.25" x14ac:dyDescent="0.45">
      <c r="A1344" s="86">
        <f ca="1"/>
        <v>3</v>
      </c>
      <c r="B1344" s="86" t="str">
        <f ca="1"/>
        <v>C110</v>
      </c>
      <c r="C1344" s="86" t="str">
        <f t="shared" ca="1" si="291"/>
        <v>SHADIL AHAMED</v>
      </c>
      <c r="D1344" s="86" t="str">
        <f t="shared" ca="1" si="292"/>
        <v>DAHF</v>
      </c>
      <c r="E1344" s="86">
        <f t="shared" ca="1" si="293"/>
        <v>5</v>
      </c>
    </row>
    <row r="1345" spans="1:8" ht="14.25" x14ac:dyDescent="0.45">
      <c r="A1345" s="86">
        <f ca="1"/>
        <v>4</v>
      </c>
      <c r="B1345" s="86" t="str">
        <f ca="1"/>
        <v>C179</v>
      </c>
      <c r="C1345" s="86" t="str">
        <f t="shared" ca="1" si="291"/>
        <v>MUHAMMED FARHAN</v>
      </c>
      <c r="D1345" s="86" t="str">
        <f t="shared" ca="1" si="292"/>
        <v>DAHF</v>
      </c>
      <c r="E1345" s="86">
        <f t="shared" ca="1" si="293"/>
        <v>7</v>
      </c>
    </row>
    <row r="1346" spans="1:8" ht="14.25" x14ac:dyDescent="0.45">
      <c r="A1346" s="86">
        <f ca="1"/>
        <v>5</v>
      </c>
      <c r="B1346" s="86" t="str">
        <f ca="1"/>
        <v>C123</v>
      </c>
      <c r="C1346" s="86" t="str">
        <f t="shared" ca="1" si="291"/>
        <v>MOHAMMED FAQRUDDEEN RAZI</v>
      </c>
      <c r="D1346" s="86" t="str">
        <f t="shared" ca="1" si="292"/>
        <v>BADF</v>
      </c>
      <c r="E1346" s="86">
        <f t="shared" ca="1" si="293"/>
        <v>5</v>
      </c>
    </row>
    <row r="1347" spans="1:8" ht="14.25" x14ac:dyDescent="0.45">
      <c r="A1347" s="86">
        <f ca="1"/>
        <v>6</v>
      </c>
      <c r="B1347" s="86" t="str">
        <f ca="1"/>
        <v>C141</v>
      </c>
      <c r="C1347" s="86" t="str">
        <f t="shared" ca="1" si="291"/>
        <v>AHMAD MINHAJ</v>
      </c>
      <c r="D1347" s="86" t="str">
        <f t="shared" ca="1" si="292"/>
        <v>BADF</v>
      </c>
      <c r="E1347" s="86">
        <f t="shared" ca="1" si="293"/>
        <v>6</v>
      </c>
    </row>
    <row r="1348" spans="1:8" ht="14.25" x14ac:dyDescent="0.45">
      <c r="A1348" s="86">
        <f ca="1"/>
        <v>7</v>
      </c>
      <c r="B1348" s="86" t="str">
        <f ca="1"/>
        <v>C143</v>
      </c>
      <c r="C1348" s="86" t="str">
        <f t="shared" ca="1" si="291"/>
        <v>MUHAMMED SINAN M</v>
      </c>
      <c r="D1348" s="86" t="str">
        <f t="shared" ca="1" si="292"/>
        <v>JARF</v>
      </c>
      <c r="E1348" s="86">
        <f t="shared" ca="1" si="293"/>
        <v>6</v>
      </c>
    </row>
    <row r="1349" spans="1:8" ht="14.25" x14ac:dyDescent="0.45">
      <c r="A1349" s="86">
        <f ca="1"/>
        <v>8</v>
      </c>
      <c r="B1349" s="86" t="str">
        <f ca="1"/>
        <v>C146</v>
      </c>
      <c r="C1349" s="86" t="str">
        <f t="shared" ca="1" si="291"/>
        <v>IMRAN HUSSAIN TI</v>
      </c>
      <c r="D1349" s="86" t="str">
        <f t="shared" ca="1" si="292"/>
        <v>JARF</v>
      </c>
      <c r="E1349" s="86">
        <f t="shared" ca="1" si="293"/>
        <v>6</v>
      </c>
    </row>
    <row r="1350" spans="1:8" ht="14.25" x14ac:dyDescent="0.45">
      <c r="A1350" s="84" t="s">
        <v>273</v>
      </c>
      <c r="B1350" s="84" t="str">
        <f>VLOOKUP("SN10",f_detailsof_programs,2,FALSE)</f>
        <v>FEATURE ENG</v>
      </c>
      <c r="C1350" s="84"/>
      <c r="D1350" s="84" t="s">
        <v>688</v>
      </c>
      <c r="E1350" s="84" t="s">
        <v>485</v>
      </c>
      <c r="F1350" s="84"/>
      <c r="G1350" s="84"/>
      <c r="H1350" s="84"/>
    </row>
    <row r="1351" spans="1:8" ht="14.25" x14ac:dyDescent="0.45">
      <c r="A1351" s="85" t="s">
        <v>16</v>
      </c>
      <c r="B1351" s="85" t="s">
        <v>480</v>
      </c>
      <c r="C1351" s="85" t="s">
        <v>18</v>
      </c>
      <c r="D1351" s="85" t="s">
        <v>481</v>
      </c>
      <c r="E1351" s="85" t="s">
        <v>19</v>
      </c>
      <c r="F1351" s="85" t="s">
        <v>482</v>
      </c>
      <c r="G1351" s="85" t="s">
        <v>483</v>
      </c>
      <c r="H1351" s="85" t="s">
        <v>484</v>
      </c>
    </row>
    <row r="1352" spans="1:8" ht="14.25" x14ac:dyDescent="0.45">
      <c r="A1352" s="86" cm="1">
        <f t="array" aca="1" ref="A1352:A1363" ca="1">_xlfn.SEQUENCE(COUNTA(_xlfn.LET(_xlpm.trimmed,OFFSET(f_listof_program_candidates,MATCH("SN10",f_listof_program_codes,0)-1,6,1,),TRANSPOSE(_xlfn._xlws.FILTER(OFFSET(_xlpm.trimmed,0,0,,COUNTA(_xlpm.trimmed)-5),OFFSET(_xlpm.trimmed,0,0,,COUNTA(_xlpm.trimmed)-5)&lt;&gt;0)))))</f>
        <v>1</v>
      </c>
      <c r="B1352" s="86" t="str" cm="1">
        <f t="array" aca="1" ref="B1352:B1363" ca="1">_xlfn.LET(_xlpm.trimmed,OFFSET(f_listof_program_candidates,MATCH("SN10",f_listof_program_codes,0)-1,6,1,),TRANSPOSE(_xlfn._xlws.FILTER(OFFSET(_xlpm.trimmed,0,0,,COUNTA(_xlpm.trimmed)-5),OFFSET(_xlpm.trimmed,0,0,,COUNTA(_xlpm.trimmed)-5)&lt;&gt;0)))</f>
        <v>C155</v>
      </c>
      <c r="C1352" s="86" t="str">
        <f t="shared" ref="C1352:C1363" ca="1" si="294">VLOOKUP(B1352,f_detailsof_candidates,2,FALSE)</f>
        <v>HASSAN ZARKASH</v>
      </c>
      <c r="D1352" s="86" t="str">
        <f t="shared" ref="D1352:D1363" ca="1" si="295">VLOOKUP(B1352,f_detailsof_candidates,3,FALSE)</f>
        <v>FANT</v>
      </c>
      <c r="E1352" s="86">
        <f t="shared" ref="E1352:E1363" ca="1" si="296">VLOOKUP(B1352,f_detailsof_candidates,5,FALSE)</f>
        <v>6</v>
      </c>
    </row>
    <row r="1353" spans="1:8" ht="14.25" x14ac:dyDescent="0.45">
      <c r="A1353" s="86">
        <f ca="1"/>
        <v>2</v>
      </c>
      <c r="B1353" s="86" t="str">
        <f ca="1"/>
        <v>C164</v>
      </c>
      <c r="C1353" s="86" t="str">
        <f t="shared" ca="1" si="294"/>
        <v>AHMED FAHEEM MA</v>
      </c>
      <c r="D1353" s="86" t="str">
        <f t="shared" ca="1" si="295"/>
        <v>FANT</v>
      </c>
      <c r="E1353" s="86">
        <f t="shared" ca="1" si="296"/>
        <v>7</v>
      </c>
    </row>
    <row r="1354" spans="1:8" ht="14.25" x14ac:dyDescent="0.45">
      <c r="A1354" s="86">
        <f ca="1"/>
        <v>3</v>
      </c>
      <c r="B1354" s="86" t="str">
        <f ca="1"/>
        <v>C168</v>
      </c>
      <c r="C1354" s="86" t="str">
        <f t="shared" ca="1" si="294"/>
        <v>MUHAMMED SHAHAN P.S</v>
      </c>
      <c r="D1354" s="86" t="str">
        <f t="shared" ca="1" si="295"/>
        <v>FANT</v>
      </c>
      <c r="E1354" s="86">
        <f t="shared" ca="1" si="296"/>
        <v>7</v>
      </c>
    </row>
    <row r="1355" spans="1:8" ht="14.25" x14ac:dyDescent="0.45">
      <c r="A1355" s="86">
        <f ca="1"/>
        <v>4</v>
      </c>
      <c r="B1355" s="86" t="str">
        <f ca="1"/>
        <v>C110</v>
      </c>
      <c r="C1355" s="86" t="str">
        <f t="shared" ca="1" si="294"/>
        <v>SHADIL AHAMED</v>
      </c>
      <c r="D1355" s="86" t="str">
        <f t="shared" ca="1" si="295"/>
        <v>DAHF</v>
      </c>
      <c r="E1355" s="86">
        <f t="shared" ca="1" si="296"/>
        <v>5</v>
      </c>
    </row>
    <row r="1356" spans="1:8" ht="14.25" x14ac:dyDescent="0.45">
      <c r="A1356" s="86">
        <f ca="1"/>
        <v>5</v>
      </c>
      <c r="B1356" s="86" t="str">
        <f ca="1"/>
        <v>C130</v>
      </c>
      <c r="C1356" s="86" t="str">
        <f t="shared" ca="1" si="294"/>
        <v>MOHAMMED HISHAM</v>
      </c>
      <c r="D1356" s="86" t="str">
        <f t="shared" ca="1" si="295"/>
        <v>DAHF</v>
      </c>
      <c r="E1356" s="86">
        <f t="shared" ca="1" si="296"/>
        <v>5</v>
      </c>
    </row>
    <row r="1357" spans="1:8" ht="14.25" x14ac:dyDescent="0.45">
      <c r="A1357" s="86">
        <f ca="1"/>
        <v>6</v>
      </c>
      <c r="B1357" s="86" t="str">
        <f ca="1"/>
        <v>C133</v>
      </c>
      <c r="C1357" s="86" t="str">
        <f t="shared" ca="1" si="294"/>
        <v>SALMANUL FARIS</v>
      </c>
      <c r="D1357" s="86" t="str">
        <f t="shared" ca="1" si="295"/>
        <v>DAHF</v>
      </c>
      <c r="E1357" s="86">
        <f t="shared" ca="1" si="296"/>
        <v>6</v>
      </c>
    </row>
    <row r="1358" spans="1:8" ht="14.25" x14ac:dyDescent="0.45">
      <c r="A1358" s="86">
        <f ca="1"/>
        <v>7</v>
      </c>
      <c r="B1358" s="86" t="str">
        <f ca="1"/>
        <v>C122</v>
      </c>
      <c r="C1358" s="86" t="str">
        <f t="shared" ca="1" si="294"/>
        <v>MOHAMMED K H</v>
      </c>
      <c r="D1358" s="86" t="str">
        <f t="shared" ca="1" si="295"/>
        <v>BADF</v>
      </c>
      <c r="E1358" s="86">
        <f t="shared" ca="1" si="296"/>
        <v>5</v>
      </c>
    </row>
    <row r="1359" spans="1:8" ht="14.25" x14ac:dyDescent="0.45">
      <c r="A1359" s="86">
        <f ca="1"/>
        <v>8</v>
      </c>
      <c r="B1359" s="86" t="str">
        <f ca="1"/>
        <v>C123</v>
      </c>
      <c r="C1359" s="86" t="str">
        <f t="shared" ca="1" si="294"/>
        <v>MOHAMMED FAQRUDDEEN RAZI</v>
      </c>
      <c r="D1359" s="86" t="str">
        <f t="shared" ca="1" si="295"/>
        <v>BADF</v>
      </c>
      <c r="E1359" s="86">
        <f t="shared" ca="1" si="296"/>
        <v>5</v>
      </c>
    </row>
    <row r="1360" spans="1:8" ht="14.25" x14ac:dyDescent="0.45">
      <c r="A1360" s="86">
        <f ca="1"/>
        <v>9</v>
      </c>
      <c r="B1360" s="86" t="str">
        <f ca="1"/>
        <v>C170</v>
      </c>
      <c r="C1360" s="86" t="str">
        <f t="shared" ca="1" si="294"/>
        <v>RUMAIZALI R IBRAHIM</v>
      </c>
      <c r="D1360" s="86" t="str">
        <f t="shared" ca="1" si="295"/>
        <v>BADF</v>
      </c>
      <c r="E1360" s="86">
        <f t="shared" ca="1" si="296"/>
        <v>7</v>
      </c>
    </row>
    <row r="1361" spans="1:8" ht="14.25" x14ac:dyDescent="0.45">
      <c r="A1361" s="86">
        <f ca="1"/>
        <v>10</v>
      </c>
      <c r="B1361" s="86" t="str">
        <f ca="1"/>
        <v>C135</v>
      </c>
      <c r="C1361" s="86" t="str">
        <f t="shared" ca="1" si="294"/>
        <v>AHAMAD SHABAB P A</v>
      </c>
      <c r="D1361" s="86" t="str">
        <f t="shared" ca="1" si="295"/>
        <v>JARF</v>
      </c>
      <c r="E1361" s="86">
        <f t="shared" ca="1" si="296"/>
        <v>6</v>
      </c>
    </row>
    <row r="1362" spans="1:8" ht="14.25" x14ac:dyDescent="0.45">
      <c r="A1362" s="86">
        <f ca="1"/>
        <v>11</v>
      </c>
      <c r="B1362" s="86" t="str">
        <f ca="1"/>
        <v>C140</v>
      </c>
      <c r="C1362" s="86" t="str">
        <f t="shared" ca="1" si="294"/>
        <v>IJAS EBRAHIM</v>
      </c>
      <c r="D1362" s="86" t="str">
        <f t="shared" ca="1" si="295"/>
        <v>JARF</v>
      </c>
      <c r="E1362" s="86">
        <f t="shared" ca="1" si="296"/>
        <v>6</v>
      </c>
    </row>
    <row r="1363" spans="1:8" ht="14.25" x14ac:dyDescent="0.45">
      <c r="A1363" s="86">
        <f ca="1"/>
        <v>12</v>
      </c>
      <c r="B1363" s="86" t="str">
        <f ca="1"/>
        <v>C151</v>
      </c>
      <c r="C1363" s="86" t="str">
        <f t="shared" ca="1" si="294"/>
        <v>MOHAMMED ASHMIL K A</v>
      </c>
      <c r="D1363" s="86" t="str">
        <f t="shared" ca="1" si="295"/>
        <v>JARF</v>
      </c>
      <c r="E1363" s="86">
        <f t="shared" ca="1" si="296"/>
        <v>6</v>
      </c>
    </row>
    <row r="1364" spans="1:8" ht="14.25" x14ac:dyDescent="0.45">
      <c r="A1364" s="84" t="s">
        <v>275</v>
      </c>
      <c r="B1364" s="84" t="str">
        <f>VLOOKUP("SN11",f_detailsof_programs,2,FALSE)</f>
        <v>FEATURE MLM</v>
      </c>
      <c r="C1364" s="84"/>
      <c r="D1364" s="84" t="s">
        <v>688</v>
      </c>
      <c r="E1364" s="84" t="s">
        <v>485</v>
      </c>
      <c r="F1364" s="84"/>
      <c r="G1364" s="84"/>
      <c r="H1364" s="84"/>
    </row>
    <row r="1365" spans="1:8" ht="14.25" x14ac:dyDescent="0.45">
      <c r="A1365" s="85" t="s">
        <v>16</v>
      </c>
      <c r="B1365" s="85" t="s">
        <v>480</v>
      </c>
      <c r="C1365" s="85" t="s">
        <v>18</v>
      </c>
      <c r="D1365" s="85" t="s">
        <v>481</v>
      </c>
      <c r="E1365" s="85" t="s">
        <v>19</v>
      </c>
      <c r="F1365" s="85" t="s">
        <v>482</v>
      </c>
      <c r="G1365" s="85" t="s">
        <v>483</v>
      </c>
      <c r="H1365" s="85" t="s">
        <v>484</v>
      </c>
    </row>
    <row r="1366" spans="1:8" ht="14.25" x14ac:dyDescent="0.45">
      <c r="A1366" s="86" cm="1">
        <f t="array" aca="1" ref="A1366:A1377" ca="1">_xlfn.SEQUENCE(COUNTA(_xlfn.LET(_xlpm.trimmed,OFFSET(f_listof_program_candidates,MATCH("SN11",f_listof_program_codes,0)-1,6,1,),TRANSPOSE(_xlfn._xlws.FILTER(OFFSET(_xlpm.trimmed,0,0,,COUNTA(_xlpm.trimmed)-5),OFFSET(_xlpm.trimmed,0,0,,COUNTA(_xlpm.trimmed)-5)&lt;&gt;0)))))</f>
        <v>1</v>
      </c>
      <c r="B1366" s="86" t="str" cm="1">
        <f t="array" aca="1" ref="B1366:B1377" ca="1">_xlfn.LET(_xlpm.trimmed,OFFSET(f_listof_program_candidates,MATCH("SN11",f_listof_program_codes,0)-1,6,1,),TRANSPOSE(_xlfn._xlws.FILTER(OFFSET(_xlpm.trimmed,0,0,,COUNTA(_xlpm.trimmed)-5),OFFSET(_xlpm.trimmed,0,0,,COUNTA(_xlpm.trimmed)-5)&lt;&gt;0)))</f>
        <v>C101</v>
      </c>
      <c r="C1366" s="86" t="str">
        <f t="shared" ref="C1366:C1377" ca="1" si="297">VLOOKUP(B1366,f_detailsof_candidates,2,FALSE)</f>
        <v>MUHAMMED KASHIF</v>
      </c>
      <c r="D1366" s="86" t="str">
        <f t="shared" ref="D1366:D1377" ca="1" si="298">VLOOKUP(B1366,f_detailsof_candidates,3,FALSE)</f>
        <v>FANT</v>
      </c>
      <c r="E1366" s="86">
        <f t="shared" ref="E1366:E1377" ca="1" si="299">VLOOKUP(B1366,f_detailsof_candidates,5,FALSE)</f>
        <v>5</v>
      </c>
    </row>
    <row r="1367" spans="1:8" ht="14.25" x14ac:dyDescent="0.45">
      <c r="A1367" s="86">
        <f ca="1"/>
        <v>2</v>
      </c>
      <c r="B1367" s="86" t="str">
        <f ca="1"/>
        <v>C137</v>
      </c>
      <c r="C1367" s="86" t="str">
        <f t="shared" ca="1" si="297"/>
        <v>MUHAMMED SHUHAIB S</v>
      </c>
      <c r="D1367" s="86" t="str">
        <f t="shared" ca="1" si="298"/>
        <v>FANT</v>
      </c>
      <c r="E1367" s="86">
        <f t="shared" ca="1" si="299"/>
        <v>6</v>
      </c>
    </row>
    <row r="1368" spans="1:8" ht="14.25" x14ac:dyDescent="0.45">
      <c r="A1368" s="86">
        <f ca="1"/>
        <v>3</v>
      </c>
      <c r="B1368" s="86" t="str">
        <f ca="1"/>
        <v>C173</v>
      </c>
      <c r="C1368" s="86" t="str">
        <f t="shared" ca="1" si="297"/>
        <v>ABDUL HADIL P.M</v>
      </c>
      <c r="D1368" s="86" t="str">
        <f t="shared" ca="1" si="298"/>
        <v>FANT</v>
      </c>
      <c r="E1368" s="86">
        <f t="shared" ca="1" si="299"/>
        <v>7</v>
      </c>
    </row>
    <row r="1369" spans="1:8" ht="14.25" x14ac:dyDescent="0.45">
      <c r="A1369" s="86">
        <f ca="1"/>
        <v>4</v>
      </c>
      <c r="B1369" s="86" t="str">
        <f ca="1"/>
        <v>C128</v>
      </c>
      <c r="C1369" s="86" t="str">
        <f t="shared" ca="1" si="297"/>
        <v>MAHIN SINAN</v>
      </c>
      <c r="D1369" s="86" t="str">
        <f t="shared" ca="1" si="298"/>
        <v>DAHF</v>
      </c>
      <c r="E1369" s="86">
        <f t="shared" ca="1" si="299"/>
        <v>5</v>
      </c>
    </row>
    <row r="1370" spans="1:8" ht="14.25" x14ac:dyDescent="0.45">
      <c r="A1370" s="86">
        <f ca="1"/>
        <v>5</v>
      </c>
      <c r="B1370" s="86" t="str">
        <f ca="1"/>
        <v>C154</v>
      </c>
      <c r="C1370" s="86" t="str">
        <f t="shared" ca="1" si="297"/>
        <v>MOHAMMED RAZEEN S.P</v>
      </c>
      <c r="D1370" s="86" t="str">
        <f t="shared" ca="1" si="298"/>
        <v>DAHF</v>
      </c>
      <c r="E1370" s="86">
        <f t="shared" ca="1" si="299"/>
        <v>6</v>
      </c>
    </row>
    <row r="1371" spans="1:8" ht="14.25" x14ac:dyDescent="0.45">
      <c r="A1371" s="86">
        <f ca="1"/>
        <v>6</v>
      </c>
      <c r="B1371" s="86" t="str">
        <f ca="1"/>
        <v>C161</v>
      </c>
      <c r="C1371" s="86" t="str">
        <f t="shared" ca="1" si="297"/>
        <v>MOHAMMED ABDUL KHADER NABAVI E A</v>
      </c>
      <c r="D1371" s="86" t="str">
        <f t="shared" ca="1" si="298"/>
        <v>DAHF</v>
      </c>
      <c r="E1371" s="86">
        <f t="shared" ca="1" si="299"/>
        <v>7</v>
      </c>
    </row>
    <row r="1372" spans="1:8" ht="14.25" x14ac:dyDescent="0.45">
      <c r="A1372" s="86">
        <f ca="1"/>
        <v>7</v>
      </c>
      <c r="B1372" s="86" t="str">
        <f ca="1"/>
        <v>C103</v>
      </c>
      <c r="C1372" s="86" t="str">
        <f t="shared" ca="1" si="297"/>
        <v>MUHAMMED ABDUL KADER</v>
      </c>
      <c r="D1372" s="86" t="str">
        <f t="shared" ca="1" si="298"/>
        <v>BADF</v>
      </c>
      <c r="E1372" s="86">
        <f t="shared" ca="1" si="299"/>
        <v>5</v>
      </c>
    </row>
    <row r="1373" spans="1:8" ht="14.25" x14ac:dyDescent="0.45">
      <c r="A1373" s="86">
        <f ca="1"/>
        <v>8</v>
      </c>
      <c r="B1373" s="86" t="str">
        <f ca="1"/>
        <v>C157</v>
      </c>
      <c r="C1373" s="86" t="str">
        <f t="shared" ca="1" si="297"/>
        <v>HASAN YASIR</v>
      </c>
      <c r="D1373" s="86" t="str">
        <f t="shared" ca="1" si="298"/>
        <v>BADF</v>
      </c>
      <c r="E1373" s="86">
        <f t="shared" ca="1" si="299"/>
        <v>6</v>
      </c>
    </row>
    <row r="1374" spans="1:8" ht="14.25" x14ac:dyDescent="0.45">
      <c r="A1374" s="86">
        <f ca="1"/>
        <v>9</v>
      </c>
      <c r="B1374" s="86" t="str">
        <f ca="1"/>
        <v>C171</v>
      </c>
      <c r="C1374" s="86" t="str">
        <f t="shared" ca="1" si="297"/>
        <v>MUHAMMED THASLEEM</v>
      </c>
      <c r="D1374" s="86" t="str">
        <f t="shared" ca="1" si="298"/>
        <v>BADF</v>
      </c>
      <c r="E1374" s="86">
        <f t="shared" ca="1" si="299"/>
        <v>7</v>
      </c>
    </row>
    <row r="1375" spans="1:8" ht="14.25" x14ac:dyDescent="0.45">
      <c r="A1375" s="86">
        <f ca="1"/>
        <v>10</v>
      </c>
      <c r="B1375" s="86" t="str">
        <f ca="1"/>
        <v>C116</v>
      </c>
      <c r="C1375" s="86" t="str">
        <f t="shared" ca="1" si="297"/>
        <v>MUAHMMED ANAS P A</v>
      </c>
      <c r="D1375" s="86" t="str">
        <f t="shared" ca="1" si="298"/>
        <v>JARF</v>
      </c>
      <c r="E1375" s="86">
        <f t="shared" ca="1" si="299"/>
        <v>5</v>
      </c>
    </row>
    <row r="1376" spans="1:8" ht="14.25" x14ac:dyDescent="0.45">
      <c r="A1376" s="86">
        <f ca="1"/>
        <v>11</v>
      </c>
      <c r="B1376" s="86" t="str">
        <f ca="1"/>
        <v>C119</v>
      </c>
      <c r="C1376" s="86" t="str">
        <f t="shared" ca="1" si="297"/>
        <v>ARIFUDEEN ABBAS A</v>
      </c>
      <c r="D1376" s="86" t="str">
        <f t="shared" ca="1" si="298"/>
        <v>JARF</v>
      </c>
      <c r="E1376" s="86">
        <f t="shared" ca="1" si="299"/>
        <v>5</v>
      </c>
    </row>
    <row r="1377" spans="1:8" ht="14.25" x14ac:dyDescent="0.45">
      <c r="A1377" s="86">
        <f ca="1"/>
        <v>12</v>
      </c>
      <c r="B1377" s="86" t="str">
        <f ca="1"/>
        <v>C163</v>
      </c>
      <c r="C1377" s="86" t="str">
        <f t="shared" ca="1" si="297"/>
        <v>MOHAMMED SAHEED A.K</v>
      </c>
      <c r="D1377" s="86" t="str">
        <f t="shared" ca="1" si="298"/>
        <v>JARF</v>
      </c>
      <c r="E1377" s="86">
        <f t="shared" ca="1" si="299"/>
        <v>7</v>
      </c>
    </row>
    <row r="1378" spans="1:8" ht="14.25" x14ac:dyDescent="0.45">
      <c r="A1378" s="84" t="s">
        <v>277</v>
      </c>
      <c r="B1378" s="84" t="str">
        <f>VLOOKUP("SN12",f_detailsof_programs,2,FALSE)</f>
        <v>GK TALENT</v>
      </c>
      <c r="C1378" s="84"/>
      <c r="D1378" s="84" t="s">
        <v>688</v>
      </c>
      <c r="E1378" s="84" t="s">
        <v>485</v>
      </c>
      <c r="F1378" s="84"/>
      <c r="G1378" s="84"/>
      <c r="H1378" s="84"/>
    </row>
    <row r="1379" spans="1:8" ht="14.25" x14ac:dyDescent="0.45">
      <c r="A1379" s="85" t="s">
        <v>16</v>
      </c>
      <c r="B1379" s="85" t="s">
        <v>480</v>
      </c>
      <c r="C1379" s="85" t="s">
        <v>18</v>
      </c>
      <c r="D1379" s="85" t="s">
        <v>481</v>
      </c>
      <c r="E1379" s="85" t="s">
        <v>19</v>
      </c>
      <c r="F1379" s="85" t="s">
        <v>482</v>
      </c>
      <c r="G1379" s="85" t="s">
        <v>483</v>
      </c>
      <c r="H1379" s="85" t="s">
        <v>484</v>
      </c>
    </row>
    <row r="1380" spans="1:8" ht="14.25" x14ac:dyDescent="0.45">
      <c r="A1380" s="86" cm="1">
        <f t="array" aca="1" ref="A1380:A1391" ca="1">_xlfn.SEQUENCE(COUNTA(_xlfn.LET(_xlpm.trimmed,OFFSET(f_listof_program_candidates,MATCH("SN12",f_listof_program_codes,0)-1,6,1,),TRANSPOSE(_xlfn._xlws.FILTER(OFFSET(_xlpm.trimmed,0,0,,COUNTA(_xlpm.trimmed)-5),OFFSET(_xlpm.trimmed,0,0,,COUNTA(_xlpm.trimmed)-5)&lt;&gt;0)))))</f>
        <v>1</v>
      </c>
      <c r="B1380" s="86" t="str" cm="1">
        <f t="array" aca="1" ref="B1380:B1391" ca="1">_xlfn.LET(_xlpm.trimmed,OFFSET(f_listof_program_candidates,MATCH("SN12",f_listof_program_codes,0)-1,6,1,),TRANSPOSE(_xlfn._xlws.FILTER(OFFSET(_xlpm.trimmed,0,0,,COUNTA(_xlpm.trimmed)-5),OFFSET(_xlpm.trimmed,0,0,,COUNTA(_xlpm.trimmed)-5)&lt;&gt;0)))</f>
        <v>C115</v>
      </c>
      <c r="C1380" s="86" t="str">
        <f t="shared" ref="C1380:C1391" ca="1" si="300">VLOOKUP(B1380,f_detailsof_candidates,2,FALSE)</f>
        <v>MOHAMMED ABDUL KHADER K</v>
      </c>
      <c r="D1380" s="86" t="str">
        <f t="shared" ref="D1380:D1391" ca="1" si="301">VLOOKUP(B1380,f_detailsof_candidates,3,FALSE)</f>
        <v>FANT</v>
      </c>
      <c r="E1380" s="86">
        <f t="shared" ref="E1380:E1391" ca="1" si="302">VLOOKUP(B1380,f_detailsof_candidates,5,FALSE)</f>
        <v>5</v>
      </c>
    </row>
    <row r="1381" spans="1:8" ht="14.25" x14ac:dyDescent="0.45">
      <c r="A1381" s="86">
        <f ca="1"/>
        <v>2</v>
      </c>
      <c r="B1381" s="86" t="str">
        <f ca="1"/>
        <v>C162</v>
      </c>
      <c r="C1381" s="86" t="str">
        <f t="shared" ca="1" si="300"/>
        <v>MUHAMMAD K.A</v>
      </c>
      <c r="D1381" s="86" t="str">
        <f t="shared" ca="1" si="301"/>
        <v>FANT</v>
      </c>
      <c r="E1381" s="86">
        <f t="shared" ca="1" si="302"/>
        <v>7</v>
      </c>
    </row>
    <row r="1382" spans="1:8" ht="14.25" x14ac:dyDescent="0.45">
      <c r="A1382" s="86">
        <f ca="1"/>
        <v>3</v>
      </c>
      <c r="B1382" s="86" t="str">
        <f ca="1"/>
        <v>C168</v>
      </c>
      <c r="C1382" s="86" t="str">
        <f t="shared" ca="1" si="300"/>
        <v>MUHAMMED SHAHAN P.S</v>
      </c>
      <c r="D1382" s="86" t="str">
        <f t="shared" ca="1" si="301"/>
        <v>FANT</v>
      </c>
      <c r="E1382" s="86">
        <f t="shared" ca="1" si="302"/>
        <v>7</v>
      </c>
    </row>
    <row r="1383" spans="1:8" ht="14.25" x14ac:dyDescent="0.45">
      <c r="A1383" s="86">
        <f ca="1"/>
        <v>4</v>
      </c>
      <c r="B1383" s="86" t="str">
        <f ca="1"/>
        <v>C166</v>
      </c>
      <c r="C1383" s="86" t="str">
        <f t="shared" ca="1" si="300"/>
        <v>RESWAN</v>
      </c>
      <c r="D1383" s="86" t="str">
        <f t="shared" ca="1" si="301"/>
        <v>DAHF</v>
      </c>
      <c r="E1383" s="86">
        <f t="shared" ca="1" si="302"/>
        <v>7</v>
      </c>
    </row>
    <row r="1384" spans="1:8" ht="14.25" x14ac:dyDescent="0.45">
      <c r="A1384" s="86">
        <f ca="1"/>
        <v>5</v>
      </c>
      <c r="B1384" s="86" t="str">
        <f ca="1"/>
        <v>C133</v>
      </c>
      <c r="C1384" s="86" t="str">
        <f t="shared" ca="1" si="300"/>
        <v>SALMANUL FARIS</v>
      </c>
      <c r="D1384" s="86" t="str">
        <f t="shared" ca="1" si="301"/>
        <v>DAHF</v>
      </c>
      <c r="E1384" s="86">
        <f t="shared" ca="1" si="302"/>
        <v>6</v>
      </c>
    </row>
    <row r="1385" spans="1:8" ht="14.25" x14ac:dyDescent="0.45">
      <c r="A1385" s="86">
        <f ca="1"/>
        <v>6</v>
      </c>
      <c r="B1385" s="86" t="str">
        <f ca="1"/>
        <v>C144</v>
      </c>
      <c r="C1385" s="86" t="str">
        <f t="shared" ca="1" si="300"/>
        <v>MUHAMMED ASHKKAR ALI</v>
      </c>
      <c r="D1385" s="86" t="str">
        <f t="shared" ca="1" si="301"/>
        <v>DAHF</v>
      </c>
      <c r="E1385" s="86">
        <f t="shared" ca="1" si="302"/>
        <v>6</v>
      </c>
    </row>
    <row r="1386" spans="1:8" ht="14.25" x14ac:dyDescent="0.45">
      <c r="A1386" s="86">
        <f ca="1"/>
        <v>7</v>
      </c>
      <c r="B1386" s="86" t="str">
        <f ca="1"/>
        <v>C103</v>
      </c>
      <c r="C1386" s="86" t="str">
        <f t="shared" ca="1" si="300"/>
        <v>MUHAMMED ABDUL KADER</v>
      </c>
      <c r="D1386" s="86" t="str">
        <f t="shared" ca="1" si="301"/>
        <v>BADF</v>
      </c>
      <c r="E1386" s="86">
        <f t="shared" ca="1" si="302"/>
        <v>5</v>
      </c>
    </row>
    <row r="1387" spans="1:8" ht="14.25" x14ac:dyDescent="0.45">
      <c r="A1387" s="86">
        <f ca="1"/>
        <v>8</v>
      </c>
      <c r="B1387" s="86" t="str">
        <f ca="1"/>
        <v>C148</v>
      </c>
      <c r="C1387" s="86" t="str">
        <f t="shared" ca="1" si="300"/>
        <v>MUHAMMED SHABEEB</v>
      </c>
      <c r="D1387" s="86" t="str">
        <f t="shared" ca="1" si="301"/>
        <v>BADF</v>
      </c>
      <c r="E1387" s="86">
        <f t="shared" ca="1" si="302"/>
        <v>6</v>
      </c>
    </row>
    <row r="1388" spans="1:8" ht="14.25" x14ac:dyDescent="0.45">
      <c r="A1388" s="86">
        <f ca="1"/>
        <v>9</v>
      </c>
      <c r="B1388" s="86" t="str">
        <f ca="1"/>
        <v>C160</v>
      </c>
      <c r="C1388" s="86" t="str">
        <f t="shared" ca="1" si="300"/>
        <v>AJMAL AM</v>
      </c>
      <c r="D1388" s="86" t="str">
        <f t="shared" ca="1" si="301"/>
        <v>BADF</v>
      </c>
      <c r="E1388" s="86">
        <f t="shared" ca="1" si="302"/>
        <v>7</v>
      </c>
    </row>
    <row r="1389" spans="1:8" ht="14.25" x14ac:dyDescent="0.45">
      <c r="A1389" s="86">
        <f ca="1"/>
        <v>10</v>
      </c>
      <c r="B1389" s="86" t="str">
        <f ca="1"/>
        <v>C119</v>
      </c>
      <c r="C1389" s="86" t="str">
        <f t="shared" ca="1" si="300"/>
        <v>ARIFUDEEN ABBAS A</v>
      </c>
      <c r="D1389" s="86" t="str">
        <f t="shared" ca="1" si="301"/>
        <v>JARF</v>
      </c>
      <c r="E1389" s="86">
        <f t="shared" ca="1" si="302"/>
        <v>5</v>
      </c>
    </row>
    <row r="1390" spans="1:8" ht="14.25" x14ac:dyDescent="0.45">
      <c r="A1390" s="86">
        <f ca="1"/>
        <v>11</v>
      </c>
      <c r="B1390" s="86" t="str">
        <f ca="1"/>
        <v>C140</v>
      </c>
      <c r="C1390" s="86" t="str">
        <f t="shared" ca="1" si="300"/>
        <v>IJAS EBRAHIM</v>
      </c>
      <c r="D1390" s="86" t="str">
        <f t="shared" ca="1" si="301"/>
        <v>JARF</v>
      </c>
      <c r="E1390" s="86">
        <f t="shared" ca="1" si="302"/>
        <v>6</v>
      </c>
    </row>
    <row r="1391" spans="1:8" ht="14.25" x14ac:dyDescent="0.45">
      <c r="A1391" s="86">
        <f ca="1"/>
        <v>12</v>
      </c>
      <c r="B1391" s="86" t="str">
        <f ca="1"/>
        <v>C163</v>
      </c>
      <c r="C1391" s="86" t="str">
        <f t="shared" ca="1" si="300"/>
        <v>MOHAMMED SAHEED A.K</v>
      </c>
      <c r="D1391" s="86" t="str">
        <f t="shared" ca="1" si="301"/>
        <v>JARF</v>
      </c>
      <c r="E1391" s="86">
        <f t="shared" ca="1" si="302"/>
        <v>7</v>
      </c>
    </row>
    <row r="1392" spans="1:8" ht="14.25" x14ac:dyDescent="0.45">
      <c r="A1392" s="84" t="s">
        <v>279</v>
      </c>
      <c r="B1392" s="84" t="str">
        <f>VLOOKUP("SN13",f_detailsof_programs,2,FALSE)</f>
        <v>GRAMMAR QUIZ QUADRILINGUAL</v>
      </c>
      <c r="C1392" s="84"/>
      <c r="D1392" s="84" t="s">
        <v>688</v>
      </c>
      <c r="E1392" s="84" t="s">
        <v>485</v>
      </c>
      <c r="F1392" s="84"/>
      <c r="G1392" s="84"/>
      <c r="H1392" s="84"/>
    </row>
    <row r="1393" spans="1:8" ht="14.25" x14ac:dyDescent="0.45">
      <c r="A1393" s="85" t="s">
        <v>16</v>
      </c>
      <c r="B1393" s="85" t="s">
        <v>480</v>
      </c>
      <c r="C1393" s="85" t="s">
        <v>18</v>
      </c>
      <c r="D1393" s="85" t="s">
        <v>481</v>
      </c>
      <c r="E1393" s="85" t="s">
        <v>19</v>
      </c>
      <c r="F1393" s="85" t="s">
        <v>482</v>
      </c>
      <c r="G1393" s="85" t="s">
        <v>483</v>
      </c>
      <c r="H1393" s="85" t="s">
        <v>484</v>
      </c>
    </row>
    <row r="1394" spans="1:8" ht="14.25" x14ac:dyDescent="0.45">
      <c r="A1394" s="86" cm="1">
        <f t="array" aca="1" ref="A1394:A1405" ca="1">_xlfn.SEQUENCE(COUNTA(_xlfn.LET(_xlpm.trimmed,OFFSET(f_listof_program_candidates,MATCH("SN13",f_listof_program_codes,0)-1,6,1,),TRANSPOSE(_xlfn._xlws.FILTER(OFFSET(_xlpm.trimmed,0,0,,COUNTA(_xlpm.trimmed)-5),OFFSET(_xlpm.trimmed,0,0,,COUNTA(_xlpm.trimmed)-5)&lt;&gt;0)))))</f>
        <v>1</v>
      </c>
      <c r="B1394" s="86" t="str" cm="1">
        <f t="array" aca="1" ref="B1394:B1405" ca="1">_xlfn.LET(_xlpm.trimmed,OFFSET(f_listof_program_candidates,MATCH("SN13",f_listof_program_codes,0)-1,6,1,),TRANSPOSE(_xlfn._xlws.FILTER(OFFSET(_xlpm.trimmed,0,0,,COUNTA(_xlpm.trimmed)-5),OFFSET(_xlpm.trimmed,0,0,,COUNTA(_xlpm.trimmed)-5)&lt;&gt;0)))</f>
        <v>C149</v>
      </c>
      <c r="C1394" s="86" t="str">
        <f t="shared" ref="C1394:C1405" ca="1" si="303">VLOOKUP(B1394,f_detailsof_candidates,2,FALSE)</f>
        <v>ABDUL BAAIS N.A</v>
      </c>
      <c r="D1394" s="86" t="str">
        <f t="shared" ref="D1394:D1405" ca="1" si="304">VLOOKUP(B1394,f_detailsof_candidates,3,FALSE)</f>
        <v>FANT</v>
      </c>
      <c r="E1394" s="86">
        <f t="shared" ref="E1394:E1405" ca="1" si="305">VLOOKUP(B1394,f_detailsof_candidates,5,FALSE)</f>
        <v>6</v>
      </c>
    </row>
    <row r="1395" spans="1:8" ht="14.25" x14ac:dyDescent="0.45">
      <c r="A1395" s="86">
        <f ca="1"/>
        <v>2</v>
      </c>
      <c r="B1395" s="86" t="str">
        <f ca="1"/>
        <v>C155</v>
      </c>
      <c r="C1395" s="86" t="str">
        <f t="shared" ca="1" si="303"/>
        <v>HASSAN ZARKASH</v>
      </c>
      <c r="D1395" s="86" t="str">
        <f t="shared" ca="1" si="304"/>
        <v>FANT</v>
      </c>
      <c r="E1395" s="86">
        <f t="shared" ca="1" si="305"/>
        <v>6</v>
      </c>
    </row>
    <row r="1396" spans="1:8" ht="14.25" x14ac:dyDescent="0.45">
      <c r="A1396" s="86">
        <f ca="1"/>
        <v>3</v>
      </c>
      <c r="B1396" s="86" t="str">
        <f ca="1"/>
        <v>C168</v>
      </c>
      <c r="C1396" s="86" t="str">
        <f t="shared" ca="1" si="303"/>
        <v>MUHAMMED SHAHAN P.S</v>
      </c>
      <c r="D1396" s="86" t="str">
        <f t="shared" ca="1" si="304"/>
        <v>FANT</v>
      </c>
      <c r="E1396" s="86">
        <f t="shared" ca="1" si="305"/>
        <v>7</v>
      </c>
    </row>
    <row r="1397" spans="1:8" ht="14.25" x14ac:dyDescent="0.45">
      <c r="A1397" s="86">
        <f ca="1"/>
        <v>4</v>
      </c>
      <c r="B1397" s="86" t="str">
        <f ca="1"/>
        <v>C117</v>
      </c>
      <c r="C1397" s="86" t="str">
        <f t="shared" ca="1" si="303"/>
        <v>Muhammed fahiz A K</v>
      </c>
      <c r="D1397" s="86" t="str">
        <f t="shared" ca="1" si="304"/>
        <v>DAHF</v>
      </c>
      <c r="E1397" s="86">
        <f t="shared" ca="1" si="305"/>
        <v>5</v>
      </c>
    </row>
    <row r="1398" spans="1:8" ht="14.25" x14ac:dyDescent="0.45">
      <c r="A1398" s="86">
        <f ca="1"/>
        <v>5</v>
      </c>
      <c r="B1398" s="86" t="str">
        <f ca="1"/>
        <v>C150</v>
      </c>
      <c r="C1398" s="86" t="str">
        <f t="shared" ca="1" si="303"/>
        <v>MUHAMMED PK</v>
      </c>
      <c r="D1398" s="86" t="str">
        <f t="shared" ca="1" si="304"/>
        <v>DAHF</v>
      </c>
      <c r="E1398" s="86">
        <f t="shared" ca="1" si="305"/>
        <v>6</v>
      </c>
    </row>
    <row r="1399" spans="1:8" ht="14.25" x14ac:dyDescent="0.45">
      <c r="A1399" s="86">
        <f ca="1"/>
        <v>6</v>
      </c>
      <c r="B1399" s="86" t="str">
        <f ca="1"/>
        <v>C166</v>
      </c>
      <c r="C1399" s="86" t="str">
        <f t="shared" ca="1" si="303"/>
        <v>RESWAN</v>
      </c>
      <c r="D1399" s="86" t="str">
        <f t="shared" ca="1" si="304"/>
        <v>DAHF</v>
      </c>
      <c r="E1399" s="86">
        <f t="shared" ca="1" si="305"/>
        <v>7</v>
      </c>
    </row>
    <row r="1400" spans="1:8" ht="14.25" x14ac:dyDescent="0.45">
      <c r="A1400" s="86">
        <f ca="1"/>
        <v>7</v>
      </c>
      <c r="B1400" s="86" t="str">
        <f ca="1"/>
        <v>C139</v>
      </c>
      <c r="C1400" s="86" t="str">
        <f t="shared" ca="1" si="303"/>
        <v>SULAIMAN FAHAD AP</v>
      </c>
      <c r="D1400" s="86" t="str">
        <f t="shared" ca="1" si="304"/>
        <v>BADF</v>
      </c>
      <c r="E1400" s="86">
        <f t="shared" ca="1" si="305"/>
        <v>6</v>
      </c>
    </row>
    <row r="1401" spans="1:8" ht="14.25" x14ac:dyDescent="0.45">
      <c r="A1401" s="86">
        <f ca="1"/>
        <v>8</v>
      </c>
      <c r="B1401" s="86" t="str">
        <f ca="1"/>
        <v>C148</v>
      </c>
      <c r="C1401" s="86" t="str">
        <f t="shared" ca="1" si="303"/>
        <v>MUHAMMED SHABEEB</v>
      </c>
      <c r="D1401" s="86" t="str">
        <f t="shared" ca="1" si="304"/>
        <v>BADF</v>
      </c>
      <c r="E1401" s="86">
        <f t="shared" ca="1" si="305"/>
        <v>6</v>
      </c>
    </row>
    <row r="1402" spans="1:8" ht="14.25" x14ac:dyDescent="0.45">
      <c r="A1402" s="86">
        <f ca="1"/>
        <v>9</v>
      </c>
      <c r="B1402" s="86" t="str">
        <f ca="1"/>
        <v>C174</v>
      </c>
      <c r="C1402" s="86" t="str">
        <f t="shared" ca="1" si="303"/>
        <v>MUHAMMAD MUSTHAFA K.M</v>
      </c>
      <c r="D1402" s="86" t="str">
        <f t="shared" ca="1" si="304"/>
        <v>BADF</v>
      </c>
      <c r="E1402" s="86">
        <f t="shared" ca="1" si="305"/>
        <v>7</v>
      </c>
    </row>
    <row r="1403" spans="1:8" ht="14.25" x14ac:dyDescent="0.45">
      <c r="A1403" s="86">
        <f ca="1"/>
        <v>10</v>
      </c>
      <c r="B1403" s="86" t="str">
        <f ca="1"/>
        <v>C111</v>
      </c>
      <c r="C1403" s="86" t="str">
        <f t="shared" ca="1" si="303"/>
        <v>MUHAMMAD ISMAIL HAMDULLA V K</v>
      </c>
      <c r="D1403" s="86" t="str">
        <f t="shared" ca="1" si="304"/>
        <v>JARF</v>
      </c>
      <c r="E1403" s="86">
        <f t="shared" ca="1" si="305"/>
        <v>5</v>
      </c>
    </row>
    <row r="1404" spans="1:8" ht="14.25" x14ac:dyDescent="0.45">
      <c r="A1404" s="86">
        <f ca="1"/>
        <v>11</v>
      </c>
      <c r="B1404" s="86" t="str">
        <f ca="1"/>
        <v>C175</v>
      </c>
      <c r="C1404" s="86" t="str">
        <f t="shared" ca="1" si="303"/>
        <v>ABDULLAH MAZIN</v>
      </c>
      <c r="D1404" s="86" t="str">
        <f t="shared" ca="1" si="304"/>
        <v>JARF</v>
      </c>
      <c r="E1404" s="86">
        <f t="shared" ca="1" si="305"/>
        <v>7</v>
      </c>
    </row>
    <row r="1405" spans="1:8" ht="14.25" x14ac:dyDescent="0.45">
      <c r="A1405" s="86">
        <f ca="1"/>
        <v>12</v>
      </c>
      <c r="B1405" s="86" t="str">
        <f ca="1"/>
        <v>C178</v>
      </c>
      <c r="C1405" s="86" t="str">
        <f t="shared" ca="1" si="303"/>
        <v>MUHAMMED ZAYAN N.S</v>
      </c>
      <c r="D1405" s="86" t="str">
        <f t="shared" ca="1" si="304"/>
        <v>JARF</v>
      </c>
      <c r="E1405" s="86">
        <f t="shared" ca="1" si="305"/>
        <v>7</v>
      </c>
    </row>
    <row r="1406" spans="1:8" ht="14.25" x14ac:dyDescent="0.45">
      <c r="A1406" s="84" t="s">
        <v>281</v>
      </c>
      <c r="B1406" s="84" t="str">
        <f>VLOOKUP("SN14",f_detailsof_programs,2,FALSE)</f>
        <v>ḤIFẒ</v>
      </c>
      <c r="C1406" s="84"/>
      <c r="D1406" s="84" t="s">
        <v>688</v>
      </c>
      <c r="E1406" s="84" t="s">
        <v>485</v>
      </c>
      <c r="F1406" s="84"/>
      <c r="G1406" s="84"/>
      <c r="H1406" s="84"/>
    </row>
    <row r="1407" spans="1:8" ht="14.25" x14ac:dyDescent="0.45">
      <c r="A1407" s="85" t="s">
        <v>16</v>
      </c>
      <c r="B1407" s="85" t="s">
        <v>480</v>
      </c>
      <c r="C1407" s="85" t="s">
        <v>18</v>
      </c>
      <c r="D1407" s="85" t="s">
        <v>481</v>
      </c>
      <c r="E1407" s="85" t="s">
        <v>19</v>
      </c>
      <c r="F1407" s="85" t="s">
        <v>482</v>
      </c>
      <c r="G1407" s="85" t="s">
        <v>483</v>
      </c>
      <c r="H1407" s="85" t="s">
        <v>484</v>
      </c>
    </row>
    <row r="1408" spans="1:8" ht="14.25" x14ac:dyDescent="0.45">
      <c r="A1408" s="86" cm="1">
        <f t="array" aca="1" ref="A1408:A1419" ca="1">_xlfn.SEQUENCE(COUNTA(_xlfn.LET(_xlpm.trimmed,OFFSET(f_listof_program_candidates,MATCH("SN14",f_listof_program_codes,0)-1,6,1,),TRANSPOSE(_xlfn._xlws.FILTER(OFFSET(_xlpm.trimmed,0,0,,COUNTA(_xlpm.trimmed)-5),OFFSET(_xlpm.trimmed,0,0,,COUNTA(_xlpm.trimmed)-5)&lt;&gt;0)))))</f>
        <v>1</v>
      </c>
      <c r="B1408" s="86" t="str" cm="1">
        <f t="array" aca="1" ref="B1408:B1419" ca="1">_xlfn.LET(_xlpm.trimmed,OFFSET(f_listof_program_candidates,MATCH("SN14",f_listof_program_codes,0)-1,6,1,),TRANSPOSE(_xlfn._xlws.FILTER(OFFSET(_xlpm.trimmed,0,0,,COUNTA(_xlpm.trimmed)-5),OFFSET(_xlpm.trimmed,0,0,,COUNTA(_xlpm.trimmed)-5)&lt;&gt;0)))</f>
        <v>C112</v>
      </c>
      <c r="C1408" s="86" t="str">
        <f t="shared" ref="C1408:C1419" ca="1" si="306">VLOOKUP(B1408,f_detailsof_candidates,2,FALSE)</f>
        <v>MOHAMMED SA'DUDDEEN K</v>
      </c>
      <c r="D1408" s="86" t="str">
        <f t="shared" ref="D1408:D1419" ca="1" si="307">VLOOKUP(B1408,f_detailsof_candidates,3,FALSE)</f>
        <v>FANT</v>
      </c>
      <c r="E1408" s="86">
        <f t="shared" ref="E1408:E1419" ca="1" si="308">VLOOKUP(B1408,f_detailsof_candidates,5,FALSE)</f>
        <v>5</v>
      </c>
    </row>
    <row r="1409" spans="1:8" ht="14.25" x14ac:dyDescent="0.45">
      <c r="A1409" s="86">
        <f ca="1"/>
        <v>2</v>
      </c>
      <c r="B1409" s="86" t="str">
        <f ca="1"/>
        <v>C118</v>
      </c>
      <c r="C1409" s="86" t="str">
        <f t="shared" ca="1" si="306"/>
        <v>MUHAMMAD SHAMMAS</v>
      </c>
      <c r="D1409" s="86" t="str">
        <f t="shared" ca="1" si="307"/>
        <v>FANT</v>
      </c>
      <c r="E1409" s="86">
        <f t="shared" ca="1" si="308"/>
        <v>5</v>
      </c>
    </row>
    <row r="1410" spans="1:8" ht="14.25" x14ac:dyDescent="0.45">
      <c r="A1410" s="86">
        <f ca="1"/>
        <v>3</v>
      </c>
      <c r="B1410" s="86" t="str">
        <f ca="1"/>
        <v>C142</v>
      </c>
      <c r="C1410" s="86" t="str">
        <f t="shared" ca="1" si="306"/>
        <v>AHMAD AMEEN T S</v>
      </c>
      <c r="D1410" s="86" t="str">
        <f t="shared" ca="1" si="307"/>
        <v>FANT</v>
      </c>
      <c r="E1410" s="86">
        <f t="shared" ca="1" si="308"/>
        <v>6</v>
      </c>
    </row>
    <row r="1411" spans="1:8" ht="14.25" x14ac:dyDescent="0.45">
      <c r="A1411" s="86">
        <f ca="1"/>
        <v>4</v>
      </c>
      <c r="B1411" s="86" t="str">
        <f ca="1"/>
        <v>C120</v>
      </c>
      <c r="C1411" s="86" t="str">
        <f t="shared" ca="1" si="306"/>
        <v>MAJID MUHAMMED M</v>
      </c>
      <c r="D1411" s="86" t="str">
        <f t="shared" ca="1" si="307"/>
        <v>DAHF</v>
      </c>
      <c r="E1411" s="86">
        <f t="shared" ca="1" si="308"/>
        <v>5</v>
      </c>
    </row>
    <row r="1412" spans="1:8" ht="14.25" x14ac:dyDescent="0.45">
      <c r="A1412" s="86">
        <f ca="1"/>
        <v>5</v>
      </c>
      <c r="B1412" s="86" t="str">
        <f ca="1"/>
        <v>C150</v>
      </c>
      <c r="C1412" s="86" t="str">
        <f t="shared" ca="1" si="306"/>
        <v>MUHAMMED PK</v>
      </c>
      <c r="D1412" s="86" t="str">
        <f t="shared" ca="1" si="307"/>
        <v>DAHF</v>
      </c>
      <c r="E1412" s="86">
        <f t="shared" ca="1" si="308"/>
        <v>6</v>
      </c>
    </row>
    <row r="1413" spans="1:8" ht="14.25" x14ac:dyDescent="0.45">
      <c r="A1413" s="86">
        <f ca="1"/>
        <v>6</v>
      </c>
      <c r="B1413" s="86" t="str">
        <f ca="1"/>
        <v>C172</v>
      </c>
      <c r="C1413" s="86" t="str">
        <f t="shared" ca="1" si="306"/>
        <v>AHAMED SHAMMAS C.M</v>
      </c>
      <c r="D1413" s="86" t="str">
        <f t="shared" ca="1" si="307"/>
        <v>DAHF</v>
      </c>
      <c r="E1413" s="86">
        <f t="shared" ca="1" si="308"/>
        <v>7</v>
      </c>
    </row>
    <row r="1414" spans="1:8" ht="14.25" x14ac:dyDescent="0.45">
      <c r="A1414" s="86">
        <f ca="1"/>
        <v>7</v>
      </c>
      <c r="B1414" s="86" t="str">
        <f ca="1"/>
        <v>C139</v>
      </c>
      <c r="C1414" s="86" t="str">
        <f t="shared" ca="1" si="306"/>
        <v>SULAIMAN FAHAD AP</v>
      </c>
      <c r="D1414" s="86" t="str">
        <f t="shared" ca="1" si="307"/>
        <v>BADF</v>
      </c>
      <c r="E1414" s="86">
        <f t="shared" ca="1" si="308"/>
        <v>6</v>
      </c>
    </row>
    <row r="1415" spans="1:8" ht="14.25" x14ac:dyDescent="0.45">
      <c r="A1415" s="86">
        <f ca="1"/>
        <v>8</v>
      </c>
      <c r="B1415" s="86" t="str">
        <f ca="1"/>
        <v>C159</v>
      </c>
      <c r="C1415" s="86" t="str">
        <f t="shared" ca="1" si="306"/>
        <v>MUHAMMED KAIF BS</v>
      </c>
      <c r="D1415" s="86" t="str">
        <f t="shared" ca="1" si="307"/>
        <v>BADF</v>
      </c>
      <c r="E1415" s="86">
        <f t="shared" ca="1" si="308"/>
        <v>6</v>
      </c>
    </row>
    <row r="1416" spans="1:8" ht="14.25" x14ac:dyDescent="0.45">
      <c r="A1416" s="86">
        <f ca="1"/>
        <v>9</v>
      </c>
      <c r="B1416" s="86" t="str">
        <f ca="1"/>
        <v>C171</v>
      </c>
      <c r="C1416" s="86" t="str">
        <f t="shared" ca="1" si="306"/>
        <v>MUHAMMED THASLEEM</v>
      </c>
      <c r="D1416" s="86" t="str">
        <f t="shared" ca="1" si="307"/>
        <v>BADF</v>
      </c>
      <c r="E1416" s="86">
        <f t="shared" ca="1" si="308"/>
        <v>7</v>
      </c>
    </row>
    <row r="1417" spans="1:8" ht="14.25" x14ac:dyDescent="0.45">
      <c r="A1417" s="86">
        <f ca="1"/>
        <v>10</v>
      </c>
      <c r="B1417" s="86" t="str">
        <f ca="1"/>
        <v>C111</v>
      </c>
      <c r="C1417" s="86" t="str">
        <f t="shared" ca="1" si="306"/>
        <v>MUHAMMAD ISMAIL HAMDULLA V K</v>
      </c>
      <c r="D1417" s="86" t="str">
        <f t="shared" ca="1" si="307"/>
        <v>JARF</v>
      </c>
      <c r="E1417" s="86">
        <f t="shared" ca="1" si="308"/>
        <v>5</v>
      </c>
    </row>
    <row r="1418" spans="1:8" ht="14.25" x14ac:dyDescent="0.45">
      <c r="A1418" s="86">
        <f ca="1"/>
        <v>11</v>
      </c>
      <c r="B1418" s="86" t="str">
        <f ca="1"/>
        <v>C116</v>
      </c>
      <c r="C1418" s="86" t="str">
        <f t="shared" ca="1" si="306"/>
        <v>MUAHMMED ANAS P A</v>
      </c>
      <c r="D1418" s="86" t="str">
        <f t="shared" ca="1" si="307"/>
        <v>JARF</v>
      </c>
      <c r="E1418" s="86">
        <f t="shared" ca="1" si="308"/>
        <v>5</v>
      </c>
    </row>
    <row r="1419" spans="1:8" ht="14.25" x14ac:dyDescent="0.45">
      <c r="A1419" s="86">
        <f ca="1"/>
        <v>12</v>
      </c>
      <c r="B1419" s="86" t="str">
        <f ca="1"/>
        <v>C165</v>
      </c>
      <c r="C1419" s="86" t="str">
        <f t="shared" ca="1" si="306"/>
        <v>MUHAMMAD IBN AHMAD</v>
      </c>
      <c r="D1419" s="86" t="str">
        <f t="shared" ca="1" si="307"/>
        <v>JARF</v>
      </c>
      <c r="E1419" s="86">
        <f t="shared" ca="1" si="308"/>
        <v>7</v>
      </c>
    </row>
    <row r="1420" spans="1:8" ht="14.25" x14ac:dyDescent="0.45">
      <c r="A1420" s="84" t="s">
        <v>282</v>
      </c>
      <c r="B1420" s="84" t="str">
        <f>VLOOKUP("SN15",f_detailsof_programs,2,FALSE)</f>
        <v>MATH TALENT</v>
      </c>
      <c r="C1420" s="84"/>
      <c r="D1420" s="84" t="s">
        <v>688</v>
      </c>
      <c r="E1420" s="84" t="s">
        <v>485</v>
      </c>
      <c r="F1420" s="84"/>
      <c r="G1420" s="84"/>
      <c r="H1420" s="84"/>
    </row>
    <row r="1421" spans="1:8" ht="14.25" x14ac:dyDescent="0.45">
      <c r="A1421" s="85" t="s">
        <v>16</v>
      </c>
      <c r="B1421" s="85" t="s">
        <v>480</v>
      </c>
      <c r="C1421" s="85" t="s">
        <v>18</v>
      </c>
      <c r="D1421" s="85" t="s">
        <v>481</v>
      </c>
      <c r="E1421" s="85" t="s">
        <v>19</v>
      </c>
      <c r="F1421" s="85" t="s">
        <v>482</v>
      </c>
      <c r="G1421" s="85" t="s">
        <v>483</v>
      </c>
      <c r="H1421" s="85" t="s">
        <v>484</v>
      </c>
    </row>
    <row r="1422" spans="1:8" ht="14.25" x14ac:dyDescent="0.45">
      <c r="A1422" s="86" cm="1">
        <f t="array" aca="1" ref="A1422:A1433" ca="1">_xlfn.SEQUENCE(COUNTA(_xlfn.LET(_xlpm.trimmed,OFFSET(f_listof_program_candidates,MATCH("SN15",f_listof_program_codes,0)-1,6,1,),TRANSPOSE(_xlfn._xlws.FILTER(OFFSET(_xlpm.trimmed,0,0,,COUNTA(_xlpm.trimmed)-5),OFFSET(_xlpm.trimmed,0,0,,COUNTA(_xlpm.trimmed)-5)&lt;&gt;0)))))</f>
        <v>1</v>
      </c>
      <c r="B1422" s="86" t="str" cm="1">
        <f t="array" aca="1" ref="B1422:B1433" ca="1">_xlfn.LET(_xlpm.trimmed,OFFSET(f_listof_program_candidates,MATCH("SN15",f_listof_program_codes,0)-1,6,1,),TRANSPOSE(_xlfn._xlws.FILTER(OFFSET(_xlpm.trimmed,0,0,,COUNTA(_xlpm.trimmed)-5),OFFSET(_xlpm.trimmed,0,0,,COUNTA(_xlpm.trimmed)-5)&lt;&gt;0)))</f>
        <v>C115</v>
      </c>
      <c r="C1422" s="86" t="str">
        <f t="shared" ref="C1422:C1433" ca="1" si="309">VLOOKUP(B1422,f_detailsof_candidates,2,FALSE)</f>
        <v>MOHAMMED ABDUL KHADER K</v>
      </c>
      <c r="D1422" s="86" t="str">
        <f t="shared" ref="D1422:D1433" ca="1" si="310">VLOOKUP(B1422,f_detailsof_candidates,3,FALSE)</f>
        <v>FANT</v>
      </c>
      <c r="E1422" s="86">
        <f t="shared" ref="E1422:E1433" ca="1" si="311">VLOOKUP(B1422,f_detailsof_candidates,5,FALSE)</f>
        <v>5</v>
      </c>
    </row>
    <row r="1423" spans="1:8" ht="14.25" x14ac:dyDescent="0.45">
      <c r="A1423" s="86">
        <f ca="1"/>
        <v>2</v>
      </c>
      <c r="B1423" s="86" t="str">
        <f ca="1"/>
        <v>C118</v>
      </c>
      <c r="C1423" s="86" t="str">
        <f t="shared" ca="1" si="309"/>
        <v>MUHAMMAD SHAMMAS</v>
      </c>
      <c r="D1423" s="86" t="str">
        <f t="shared" ca="1" si="310"/>
        <v>FANT</v>
      </c>
      <c r="E1423" s="86">
        <f t="shared" ca="1" si="311"/>
        <v>5</v>
      </c>
    </row>
    <row r="1424" spans="1:8" ht="14.25" x14ac:dyDescent="0.45">
      <c r="A1424" s="86">
        <f ca="1"/>
        <v>3</v>
      </c>
      <c r="B1424" s="86" t="str">
        <f ca="1"/>
        <v>C155</v>
      </c>
      <c r="C1424" s="86" t="str">
        <f t="shared" ca="1" si="309"/>
        <v>HASSAN ZARKASH</v>
      </c>
      <c r="D1424" s="86" t="str">
        <f t="shared" ca="1" si="310"/>
        <v>FANT</v>
      </c>
      <c r="E1424" s="86">
        <f t="shared" ca="1" si="311"/>
        <v>6</v>
      </c>
    </row>
    <row r="1425" spans="1:8" ht="14.25" x14ac:dyDescent="0.45">
      <c r="A1425" s="86">
        <f ca="1"/>
        <v>4</v>
      </c>
      <c r="B1425" s="86" t="str">
        <f ca="1"/>
        <v>C100</v>
      </c>
      <c r="C1425" s="86" t="str">
        <f t="shared" ca="1" si="309"/>
        <v>IBRAHIM AFIL</v>
      </c>
      <c r="D1425" s="86" t="str">
        <f t="shared" ca="1" si="310"/>
        <v>DAHF</v>
      </c>
      <c r="E1425" s="86">
        <f t="shared" ca="1" si="311"/>
        <v>5</v>
      </c>
    </row>
    <row r="1426" spans="1:8" ht="14.25" x14ac:dyDescent="0.45">
      <c r="A1426" s="86">
        <f ca="1"/>
        <v>5</v>
      </c>
      <c r="B1426" s="86" t="str">
        <f ca="1"/>
        <v>C117</v>
      </c>
      <c r="C1426" s="86" t="str">
        <f t="shared" ca="1" si="309"/>
        <v>Muhammed fahiz A K</v>
      </c>
      <c r="D1426" s="86" t="str">
        <f t="shared" ca="1" si="310"/>
        <v>DAHF</v>
      </c>
      <c r="E1426" s="86">
        <f t="shared" ca="1" si="311"/>
        <v>5</v>
      </c>
    </row>
    <row r="1427" spans="1:8" ht="14.25" x14ac:dyDescent="0.45">
      <c r="A1427" s="86">
        <f ca="1"/>
        <v>6</v>
      </c>
      <c r="B1427" s="86" t="str">
        <f ca="1"/>
        <v>C144</v>
      </c>
      <c r="C1427" s="86" t="str">
        <f t="shared" ca="1" si="309"/>
        <v>MUHAMMED ASHKKAR ALI</v>
      </c>
      <c r="D1427" s="86" t="str">
        <f t="shared" ca="1" si="310"/>
        <v>DAHF</v>
      </c>
      <c r="E1427" s="86">
        <f t="shared" ca="1" si="311"/>
        <v>6</v>
      </c>
    </row>
    <row r="1428" spans="1:8" ht="14.25" x14ac:dyDescent="0.45">
      <c r="A1428" s="86">
        <f ca="1"/>
        <v>7</v>
      </c>
      <c r="B1428" s="86" t="str">
        <f ca="1"/>
        <v>C122</v>
      </c>
      <c r="C1428" s="86" t="str">
        <f t="shared" ca="1" si="309"/>
        <v>MOHAMMED K H</v>
      </c>
      <c r="D1428" s="86" t="str">
        <f t="shared" ca="1" si="310"/>
        <v>BADF</v>
      </c>
      <c r="E1428" s="86">
        <f t="shared" ca="1" si="311"/>
        <v>5</v>
      </c>
    </row>
    <row r="1429" spans="1:8" ht="14.25" x14ac:dyDescent="0.45">
      <c r="A1429" s="86">
        <f ca="1"/>
        <v>8</v>
      </c>
      <c r="B1429" s="86" t="str">
        <f ca="1"/>
        <v>C148</v>
      </c>
      <c r="C1429" s="86" t="str">
        <f t="shared" ca="1" si="309"/>
        <v>MUHAMMED SHABEEB</v>
      </c>
      <c r="D1429" s="86" t="str">
        <f t="shared" ca="1" si="310"/>
        <v>BADF</v>
      </c>
      <c r="E1429" s="86">
        <f t="shared" ca="1" si="311"/>
        <v>6</v>
      </c>
    </row>
    <row r="1430" spans="1:8" ht="14.25" x14ac:dyDescent="0.45">
      <c r="A1430" s="86">
        <f ca="1"/>
        <v>9</v>
      </c>
      <c r="B1430" s="86" t="str">
        <f ca="1"/>
        <v>C174</v>
      </c>
      <c r="C1430" s="86" t="str">
        <f t="shared" ca="1" si="309"/>
        <v>MUHAMMAD MUSTHAFA K.M</v>
      </c>
      <c r="D1430" s="86" t="str">
        <f t="shared" ca="1" si="310"/>
        <v>BADF</v>
      </c>
      <c r="E1430" s="86">
        <f t="shared" ca="1" si="311"/>
        <v>7</v>
      </c>
    </row>
    <row r="1431" spans="1:8" ht="14.25" x14ac:dyDescent="0.45">
      <c r="A1431" s="86">
        <f ca="1"/>
        <v>10</v>
      </c>
      <c r="B1431" s="86" t="str">
        <f ca="1"/>
        <v>C126</v>
      </c>
      <c r="C1431" s="86" t="str">
        <f t="shared" ca="1" si="309"/>
        <v>ADNAN ABDULLAH B A</v>
      </c>
      <c r="D1431" s="86" t="str">
        <f t="shared" ca="1" si="310"/>
        <v>JARF</v>
      </c>
      <c r="E1431" s="86">
        <f t="shared" ca="1" si="311"/>
        <v>5</v>
      </c>
    </row>
    <row r="1432" spans="1:8" ht="14.25" x14ac:dyDescent="0.45">
      <c r="A1432" s="86">
        <f ca="1"/>
        <v>11</v>
      </c>
      <c r="B1432" s="86" t="str">
        <f ca="1"/>
        <v>C143</v>
      </c>
      <c r="C1432" s="86" t="str">
        <f t="shared" ca="1" si="309"/>
        <v>MUHAMMED SINAN M</v>
      </c>
      <c r="D1432" s="86" t="str">
        <f t="shared" ca="1" si="310"/>
        <v>JARF</v>
      </c>
      <c r="E1432" s="86">
        <f t="shared" ca="1" si="311"/>
        <v>6</v>
      </c>
    </row>
    <row r="1433" spans="1:8" ht="14.25" x14ac:dyDescent="0.45">
      <c r="A1433" s="86">
        <f ca="1"/>
        <v>12</v>
      </c>
      <c r="B1433" s="86" t="str">
        <f ca="1"/>
        <v>C163</v>
      </c>
      <c r="C1433" s="86" t="str">
        <f t="shared" ca="1" si="309"/>
        <v>MOHAMMED SAHEED A.K</v>
      </c>
      <c r="D1433" s="86" t="str">
        <f t="shared" ca="1" si="310"/>
        <v>JARF</v>
      </c>
      <c r="E1433" s="86">
        <f t="shared" ca="1" si="311"/>
        <v>7</v>
      </c>
    </row>
    <row r="1434" spans="1:8" ht="14.25" x14ac:dyDescent="0.45">
      <c r="A1434" s="84" t="s">
        <v>283</v>
      </c>
      <c r="B1434" s="84" t="str">
        <f>VLOOKUP("SN16",f_detailsof_programs,2,FALSE)</f>
        <v>NEWS WRITING ENG</v>
      </c>
      <c r="C1434" s="84"/>
      <c r="D1434" s="84" t="s">
        <v>688</v>
      </c>
      <c r="E1434" s="84" t="s">
        <v>485</v>
      </c>
      <c r="F1434" s="84"/>
      <c r="G1434" s="84"/>
      <c r="H1434" s="84"/>
    </row>
    <row r="1435" spans="1:8" ht="14.25" x14ac:dyDescent="0.45">
      <c r="A1435" s="85" t="s">
        <v>16</v>
      </c>
      <c r="B1435" s="85" t="s">
        <v>480</v>
      </c>
      <c r="C1435" s="85" t="s">
        <v>18</v>
      </c>
      <c r="D1435" s="85" t="s">
        <v>481</v>
      </c>
      <c r="E1435" s="85" t="s">
        <v>19</v>
      </c>
      <c r="F1435" s="85" t="s">
        <v>482</v>
      </c>
      <c r="G1435" s="85" t="s">
        <v>483</v>
      </c>
      <c r="H1435" s="85" t="s">
        <v>484</v>
      </c>
    </row>
    <row r="1436" spans="1:8" ht="14.25" x14ac:dyDescent="0.45">
      <c r="A1436" s="86" cm="1">
        <f t="array" aca="1" ref="A1436:A1447" ca="1">_xlfn.SEQUENCE(COUNTA(_xlfn.LET(_xlpm.trimmed,OFFSET(f_listof_program_candidates,MATCH("SN16",f_listof_program_codes,0)-1,6,1,),TRANSPOSE(_xlfn._xlws.FILTER(OFFSET(_xlpm.trimmed,0,0,,COUNTA(_xlpm.trimmed)-5),OFFSET(_xlpm.trimmed,0,0,,COUNTA(_xlpm.trimmed)-5)&lt;&gt;0)))))</f>
        <v>1</v>
      </c>
      <c r="B1436" s="86" t="str" cm="1">
        <f t="array" aca="1" ref="B1436:B1447" ca="1">_xlfn.LET(_xlpm.trimmed,OFFSET(f_listof_program_candidates,MATCH("SN16",f_listof_program_codes,0)-1,6,1,),TRANSPOSE(_xlfn._xlws.FILTER(OFFSET(_xlpm.trimmed,0,0,,COUNTA(_xlpm.trimmed)-5),OFFSET(_xlpm.trimmed,0,0,,COUNTA(_xlpm.trimmed)-5)&lt;&gt;0)))</f>
        <v>C108</v>
      </c>
      <c r="C1436" s="86" t="str">
        <f t="shared" ref="C1436:C1447" ca="1" si="312">VLOOKUP(B1436,f_detailsof_candidates,2,FALSE)</f>
        <v>ABDULLA SALMAN FARIS M</v>
      </c>
      <c r="D1436" s="86" t="str">
        <f t="shared" ref="D1436:D1447" ca="1" si="313">VLOOKUP(B1436,f_detailsof_candidates,3,FALSE)</f>
        <v>FANT</v>
      </c>
      <c r="E1436" s="86">
        <f t="shared" ref="E1436:E1447" ca="1" si="314">VLOOKUP(B1436,f_detailsof_candidates,5,FALSE)</f>
        <v>5</v>
      </c>
    </row>
    <row r="1437" spans="1:8" ht="14.25" x14ac:dyDescent="0.45">
      <c r="A1437" s="86">
        <f ca="1"/>
        <v>2</v>
      </c>
      <c r="B1437" s="86" t="str">
        <f ca="1"/>
        <v>C127</v>
      </c>
      <c r="C1437" s="86" t="str">
        <f t="shared" ca="1" si="312"/>
        <v>SHAMMAZ P A</v>
      </c>
      <c r="D1437" s="86" t="str">
        <f t="shared" ca="1" si="313"/>
        <v>FANT</v>
      </c>
      <c r="E1437" s="86">
        <f t="shared" ca="1" si="314"/>
        <v>5</v>
      </c>
    </row>
    <row r="1438" spans="1:8" ht="14.25" x14ac:dyDescent="0.45">
      <c r="A1438" s="86">
        <f ca="1"/>
        <v>3</v>
      </c>
      <c r="B1438" s="86" t="str">
        <f ca="1"/>
        <v>C164</v>
      </c>
      <c r="C1438" s="86" t="str">
        <f t="shared" ca="1" si="312"/>
        <v>AHMED FAHEEM MA</v>
      </c>
      <c r="D1438" s="86" t="str">
        <f t="shared" ca="1" si="313"/>
        <v>FANT</v>
      </c>
      <c r="E1438" s="86">
        <f t="shared" ca="1" si="314"/>
        <v>7</v>
      </c>
    </row>
    <row r="1439" spans="1:8" ht="14.25" x14ac:dyDescent="0.45">
      <c r="A1439" s="86">
        <f ca="1"/>
        <v>4</v>
      </c>
      <c r="B1439" s="86" t="str">
        <f ca="1"/>
        <v>C102</v>
      </c>
      <c r="C1439" s="86" t="str">
        <f t="shared" ca="1" si="312"/>
        <v>AHAMMED MAHSHOOK M.B</v>
      </c>
      <c r="D1439" s="86" t="str">
        <f t="shared" ca="1" si="313"/>
        <v>DAHF</v>
      </c>
      <c r="E1439" s="86">
        <f t="shared" ca="1" si="314"/>
        <v>5</v>
      </c>
    </row>
    <row r="1440" spans="1:8" ht="14.25" x14ac:dyDescent="0.45">
      <c r="A1440" s="86">
        <f ca="1"/>
        <v>5</v>
      </c>
      <c r="B1440" s="86" t="str">
        <f ca="1"/>
        <v>C117</v>
      </c>
      <c r="C1440" s="86" t="str">
        <f t="shared" ca="1" si="312"/>
        <v>Muhammed fahiz A K</v>
      </c>
      <c r="D1440" s="86" t="str">
        <f t="shared" ca="1" si="313"/>
        <v>DAHF</v>
      </c>
      <c r="E1440" s="86">
        <f t="shared" ca="1" si="314"/>
        <v>5</v>
      </c>
    </row>
    <row r="1441" spans="1:8" ht="14.25" x14ac:dyDescent="0.45">
      <c r="A1441" s="86">
        <f ca="1"/>
        <v>6</v>
      </c>
      <c r="B1441" s="86" t="str">
        <f ca="1"/>
        <v>C133</v>
      </c>
      <c r="C1441" s="86" t="str">
        <f t="shared" ca="1" si="312"/>
        <v>SALMANUL FARIS</v>
      </c>
      <c r="D1441" s="86" t="str">
        <f t="shared" ca="1" si="313"/>
        <v>DAHF</v>
      </c>
      <c r="E1441" s="86">
        <f t="shared" ca="1" si="314"/>
        <v>6</v>
      </c>
    </row>
    <row r="1442" spans="1:8" ht="14.25" x14ac:dyDescent="0.45">
      <c r="A1442" s="86">
        <f ca="1"/>
        <v>7</v>
      </c>
      <c r="B1442" s="86" t="str">
        <f ca="1"/>
        <v>C106</v>
      </c>
      <c r="C1442" s="86" t="str">
        <f t="shared" ca="1" si="312"/>
        <v>ABDUL RAHMAN ANFHAL M I</v>
      </c>
      <c r="D1442" s="86" t="str">
        <f t="shared" ca="1" si="313"/>
        <v>BADF</v>
      </c>
      <c r="E1442" s="86">
        <f t="shared" ca="1" si="314"/>
        <v>5</v>
      </c>
    </row>
    <row r="1443" spans="1:8" ht="14.25" x14ac:dyDescent="0.45">
      <c r="A1443" s="86">
        <f ca="1"/>
        <v>8</v>
      </c>
      <c r="B1443" s="86" t="str">
        <f ca="1"/>
        <v>C114</v>
      </c>
      <c r="C1443" s="86" t="str">
        <f t="shared" ca="1" si="312"/>
        <v>AJMAL RUWAIS</v>
      </c>
      <c r="D1443" s="86" t="str">
        <f t="shared" ca="1" si="313"/>
        <v>BADF</v>
      </c>
      <c r="E1443" s="86">
        <f t="shared" ca="1" si="314"/>
        <v>5</v>
      </c>
    </row>
    <row r="1444" spans="1:8" ht="14.25" x14ac:dyDescent="0.45">
      <c r="A1444" s="86">
        <f ca="1"/>
        <v>9</v>
      </c>
      <c r="B1444" s="86" t="str">
        <f ca="1"/>
        <v>C145</v>
      </c>
      <c r="C1444" s="86" t="str">
        <f t="shared" ca="1" si="312"/>
        <v>SHAMEEL AHAMMED P</v>
      </c>
      <c r="D1444" s="86" t="str">
        <f t="shared" ca="1" si="313"/>
        <v>BADF</v>
      </c>
      <c r="E1444" s="86">
        <f t="shared" ca="1" si="314"/>
        <v>6</v>
      </c>
    </row>
    <row r="1445" spans="1:8" ht="14.25" x14ac:dyDescent="0.45">
      <c r="A1445" s="86">
        <f ca="1"/>
        <v>10</v>
      </c>
      <c r="B1445" s="86" t="str">
        <f ca="1"/>
        <v>C121</v>
      </c>
      <c r="C1445" s="86" t="str">
        <f t="shared" ca="1" si="312"/>
        <v>ABDUL SALAM ARIF</v>
      </c>
      <c r="D1445" s="86" t="str">
        <f t="shared" ca="1" si="313"/>
        <v>JARF</v>
      </c>
      <c r="E1445" s="86">
        <f t="shared" ca="1" si="314"/>
        <v>5</v>
      </c>
    </row>
    <row r="1446" spans="1:8" ht="14.25" x14ac:dyDescent="0.45">
      <c r="A1446" s="86">
        <f ca="1"/>
        <v>11</v>
      </c>
      <c r="B1446" s="86" t="str">
        <f ca="1"/>
        <v>C126</v>
      </c>
      <c r="C1446" s="86" t="str">
        <f t="shared" ca="1" si="312"/>
        <v>ADNAN ABDULLAH B A</v>
      </c>
      <c r="D1446" s="86" t="str">
        <f t="shared" ca="1" si="313"/>
        <v>JARF</v>
      </c>
      <c r="E1446" s="86">
        <f t="shared" ca="1" si="314"/>
        <v>5</v>
      </c>
    </row>
    <row r="1447" spans="1:8" ht="14.25" x14ac:dyDescent="0.45">
      <c r="A1447" s="86">
        <f ca="1"/>
        <v>12</v>
      </c>
      <c r="B1447" s="86" t="str">
        <f ca="1"/>
        <v>C135</v>
      </c>
      <c r="C1447" s="86" t="str">
        <f t="shared" ca="1" si="312"/>
        <v>AHAMAD SHABAB P A</v>
      </c>
      <c r="D1447" s="86" t="str">
        <f t="shared" ca="1" si="313"/>
        <v>JARF</v>
      </c>
      <c r="E1447" s="86">
        <f t="shared" ca="1" si="314"/>
        <v>6</v>
      </c>
    </row>
    <row r="1448" spans="1:8" ht="14.25" x14ac:dyDescent="0.45">
      <c r="A1448" s="84" t="s">
        <v>285</v>
      </c>
      <c r="B1448" s="84" t="str">
        <f>VLOOKUP("SN17",f_detailsof_programs,2,FALSE)</f>
        <v>NEWS WRITING URD</v>
      </c>
      <c r="C1448" s="84"/>
      <c r="D1448" s="84" t="s">
        <v>688</v>
      </c>
      <c r="E1448" s="84" t="s">
        <v>485</v>
      </c>
      <c r="F1448" s="84"/>
      <c r="G1448" s="84"/>
      <c r="H1448" s="84"/>
    </row>
    <row r="1449" spans="1:8" ht="14.25" x14ac:dyDescent="0.45">
      <c r="A1449" s="85" t="s">
        <v>16</v>
      </c>
      <c r="B1449" s="85" t="s">
        <v>480</v>
      </c>
      <c r="C1449" s="85" t="s">
        <v>18</v>
      </c>
      <c r="D1449" s="85" t="s">
        <v>481</v>
      </c>
      <c r="E1449" s="85" t="s">
        <v>19</v>
      </c>
      <c r="F1449" s="85" t="s">
        <v>482</v>
      </c>
      <c r="G1449" s="85" t="s">
        <v>483</v>
      </c>
      <c r="H1449" s="85" t="s">
        <v>484</v>
      </c>
    </row>
    <row r="1450" spans="1:8" ht="14.25" x14ac:dyDescent="0.45">
      <c r="A1450" s="86" cm="1">
        <f t="array" aca="1" ref="A1450:A1461" ca="1">_xlfn.SEQUENCE(COUNTA(_xlfn.LET(_xlpm.trimmed,OFFSET(f_listof_program_candidates,MATCH("SN17",f_listof_program_codes,0)-1,6,1,),TRANSPOSE(_xlfn._xlws.FILTER(OFFSET(_xlpm.trimmed,0,0,,COUNTA(_xlpm.trimmed)-5),OFFSET(_xlpm.trimmed,0,0,,COUNTA(_xlpm.trimmed)-5)&lt;&gt;0)))))</f>
        <v>1</v>
      </c>
      <c r="B1450" s="86" t="str" cm="1">
        <f t="array" aca="1" ref="B1450:B1461" ca="1">_xlfn.LET(_xlpm.trimmed,OFFSET(f_listof_program_candidates,MATCH("SN17",f_listof_program_codes,0)-1,6,1,),TRANSPOSE(_xlfn._xlws.FILTER(OFFSET(_xlpm.trimmed,0,0,,COUNTA(_xlpm.trimmed)-5),OFFSET(_xlpm.trimmed,0,0,,COUNTA(_xlpm.trimmed)-5)&lt;&gt;0)))</f>
        <v>C125</v>
      </c>
      <c r="C1450" s="86" t="str">
        <f t="shared" ref="C1450:C1461" ca="1" si="315">VLOOKUP(B1450,f_detailsof_candidates,2,FALSE)</f>
        <v>AHAMMED MINHAJ E M</v>
      </c>
      <c r="D1450" s="86" t="str">
        <f t="shared" ref="D1450:D1461" ca="1" si="316">VLOOKUP(B1450,f_detailsof_candidates,3,FALSE)</f>
        <v>FANT</v>
      </c>
      <c r="E1450" s="86">
        <f t="shared" ref="E1450:E1461" ca="1" si="317">VLOOKUP(B1450,f_detailsof_candidates,5,FALSE)</f>
        <v>5</v>
      </c>
    </row>
    <row r="1451" spans="1:8" ht="14.25" x14ac:dyDescent="0.45">
      <c r="A1451" s="86">
        <f ca="1"/>
        <v>2</v>
      </c>
      <c r="B1451" s="86" t="str">
        <f ca="1"/>
        <v>C134</v>
      </c>
      <c r="C1451" s="86" t="str">
        <f t="shared" ca="1" si="315"/>
        <v>MUHAMMED ABDUL NASIF P.A</v>
      </c>
      <c r="D1451" s="86" t="str">
        <f t="shared" ca="1" si="316"/>
        <v>FANT</v>
      </c>
      <c r="E1451" s="86">
        <f t="shared" ca="1" si="317"/>
        <v>6</v>
      </c>
    </row>
    <row r="1452" spans="1:8" ht="14.25" x14ac:dyDescent="0.45">
      <c r="A1452" s="86">
        <f ca="1"/>
        <v>3</v>
      </c>
      <c r="B1452" s="86" t="str">
        <f ca="1"/>
        <v>C138</v>
      </c>
      <c r="C1452" s="86" t="str">
        <f t="shared" ca="1" si="315"/>
        <v>MOHAMMED MOINUDDEEN CHISTY</v>
      </c>
      <c r="D1452" s="86" t="str">
        <f t="shared" ca="1" si="316"/>
        <v>FANT</v>
      </c>
      <c r="E1452" s="86">
        <f t="shared" ca="1" si="317"/>
        <v>6</v>
      </c>
    </row>
    <row r="1453" spans="1:8" ht="14.25" x14ac:dyDescent="0.45">
      <c r="A1453" s="86">
        <f ca="1"/>
        <v>4</v>
      </c>
      <c r="B1453" s="86" t="str">
        <f ca="1"/>
        <v>C136</v>
      </c>
      <c r="C1453" s="86" t="str">
        <f t="shared" ca="1" si="315"/>
        <v>MOHAMMED SHAKIR HUSSAIN K.Y</v>
      </c>
      <c r="D1453" s="86" t="str">
        <f t="shared" ca="1" si="316"/>
        <v>DAHF</v>
      </c>
      <c r="E1453" s="86">
        <f t="shared" ca="1" si="317"/>
        <v>6</v>
      </c>
    </row>
    <row r="1454" spans="1:8" ht="14.25" x14ac:dyDescent="0.45">
      <c r="A1454" s="86">
        <f ca="1"/>
        <v>5</v>
      </c>
      <c r="B1454" s="86" t="str">
        <f ca="1"/>
        <v>C166</v>
      </c>
      <c r="C1454" s="86" t="str">
        <f t="shared" ca="1" si="315"/>
        <v>RESWAN</v>
      </c>
      <c r="D1454" s="86" t="str">
        <f t="shared" ca="1" si="316"/>
        <v>DAHF</v>
      </c>
      <c r="E1454" s="86">
        <f t="shared" ca="1" si="317"/>
        <v>7</v>
      </c>
    </row>
    <row r="1455" spans="1:8" ht="14.25" x14ac:dyDescent="0.45">
      <c r="A1455" s="86">
        <f ca="1"/>
        <v>6</v>
      </c>
      <c r="B1455" s="86" t="str">
        <f ca="1"/>
        <v>C177</v>
      </c>
      <c r="C1455" s="86" t="str">
        <f t="shared" ca="1" si="315"/>
        <v>MOHAMMED HUSSAIN</v>
      </c>
      <c r="D1455" s="86" t="str">
        <f t="shared" ca="1" si="316"/>
        <v>DAHF</v>
      </c>
      <c r="E1455" s="86">
        <f t="shared" ca="1" si="317"/>
        <v>7</v>
      </c>
    </row>
    <row r="1456" spans="1:8" ht="14.25" x14ac:dyDescent="0.45">
      <c r="A1456" s="86">
        <f ca="1"/>
        <v>7</v>
      </c>
      <c r="B1456" s="86" t="str">
        <f ca="1"/>
        <v>C139</v>
      </c>
      <c r="C1456" s="86" t="str">
        <f t="shared" ca="1" si="315"/>
        <v>SULAIMAN FAHAD AP</v>
      </c>
      <c r="D1456" s="86" t="str">
        <f t="shared" ca="1" si="316"/>
        <v>BADF</v>
      </c>
      <c r="E1456" s="86">
        <f t="shared" ca="1" si="317"/>
        <v>6</v>
      </c>
    </row>
    <row r="1457" spans="1:8" ht="14.25" x14ac:dyDescent="0.45">
      <c r="A1457" s="86">
        <f ca="1"/>
        <v>8</v>
      </c>
      <c r="B1457" s="86" t="str">
        <f ca="1"/>
        <v>C104</v>
      </c>
      <c r="C1457" s="86" t="str">
        <f t="shared" ca="1" si="315"/>
        <v>HADIL RIJAS</v>
      </c>
      <c r="D1457" s="86" t="str">
        <f t="shared" ca="1" si="316"/>
        <v>BADF</v>
      </c>
      <c r="E1457" s="86">
        <f t="shared" ca="1" si="317"/>
        <v>5</v>
      </c>
    </row>
    <row r="1458" spans="1:8" ht="14.25" x14ac:dyDescent="0.45">
      <c r="A1458" s="86">
        <f ca="1"/>
        <v>9</v>
      </c>
      <c r="B1458" s="86" t="str">
        <f ca="1"/>
        <v>C174</v>
      </c>
      <c r="C1458" s="86" t="str">
        <f t="shared" ca="1" si="315"/>
        <v>MUHAMMAD MUSTHAFA K.M</v>
      </c>
      <c r="D1458" s="86" t="str">
        <f t="shared" ca="1" si="316"/>
        <v>BADF</v>
      </c>
      <c r="E1458" s="86">
        <f t="shared" ca="1" si="317"/>
        <v>7</v>
      </c>
    </row>
    <row r="1459" spans="1:8" ht="14.25" x14ac:dyDescent="0.45">
      <c r="A1459" s="86">
        <f ca="1"/>
        <v>10</v>
      </c>
      <c r="B1459" s="86" t="str">
        <f ca="1"/>
        <v>C116</v>
      </c>
      <c r="C1459" s="86" t="str">
        <f t="shared" ca="1" si="315"/>
        <v>MUAHMMED ANAS P A</v>
      </c>
      <c r="D1459" s="86" t="str">
        <f t="shared" ca="1" si="316"/>
        <v>JARF</v>
      </c>
      <c r="E1459" s="86">
        <f t="shared" ca="1" si="317"/>
        <v>5</v>
      </c>
    </row>
    <row r="1460" spans="1:8" ht="14.25" x14ac:dyDescent="0.45">
      <c r="A1460" s="86">
        <f ca="1"/>
        <v>11</v>
      </c>
      <c r="B1460" s="86" t="str">
        <f ca="1"/>
        <v>C126</v>
      </c>
      <c r="C1460" s="86" t="str">
        <f t="shared" ca="1" si="315"/>
        <v>ADNAN ABDULLAH B A</v>
      </c>
      <c r="D1460" s="86" t="str">
        <f t="shared" ca="1" si="316"/>
        <v>JARF</v>
      </c>
      <c r="E1460" s="86">
        <f t="shared" ca="1" si="317"/>
        <v>5</v>
      </c>
    </row>
    <row r="1461" spans="1:8" ht="14.25" x14ac:dyDescent="0.45">
      <c r="A1461" s="86">
        <f ca="1"/>
        <v>12</v>
      </c>
      <c r="B1461" s="86" t="str">
        <f ca="1"/>
        <v>C152</v>
      </c>
      <c r="C1461" s="86" t="str">
        <f t="shared" ca="1" si="315"/>
        <v>MUHAMMED SABITH ALI TM</v>
      </c>
      <c r="D1461" s="86" t="str">
        <f t="shared" ca="1" si="316"/>
        <v>JARF</v>
      </c>
      <c r="E1461" s="86">
        <f t="shared" ca="1" si="317"/>
        <v>6</v>
      </c>
    </row>
    <row r="1462" spans="1:8" ht="14.25" x14ac:dyDescent="0.45">
      <c r="A1462" s="84" t="s">
        <v>287</v>
      </c>
      <c r="B1462" s="84" t="str">
        <f>VLOOKUP("SN18",f_detailsof_programs,2,FALSE)</f>
        <v>PHOTOGRAPHY</v>
      </c>
      <c r="C1462" s="84"/>
      <c r="D1462" s="84" t="s">
        <v>688</v>
      </c>
      <c r="E1462" s="84" t="s">
        <v>486</v>
      </c>
      <c r="F1462" s="84"/>
      <c r="G1462" s="84"/>
      <c r="H1462" s="84"/>
    </row>
    <row r="1463" spans="1:8" ht="14.25" x14ac:dyDescent="0.45">
      <c r="A1463" s="85" t="s">
        <v>16</v>
      </c>
      <c r="B1463" s="85" t="s">
        <v>480</v>
      </c>
      <c r="C1463" s="85" t="s">
        <v>18</v>
      </c>
      <c r="D1463" s="85" t="s">
        <v>481</v>
      </c>
      <c r="E1463" s="85" t="s">
        <v>19</v>
      </c>
      <c r="F1463" s="85" t="s">
        <v>482</v>
      </c>
      <c r="G1463" s="85" t="s">
        <v>483</v>
      </c>
      <c r="H1463" s="85" t="s">
        <v>484</v>
      </c>
    </row>
    <row r="1464" spans="1:8" ht="14.25" x14ac:dyDescent="0.45">
      <c r="A1464" s="86" cm="1">
        <f t="array" aca="1" ref="A1464:A1471" ca="1">_xlfn.SEQUENCE(COUNTA(_xlfn.LET(_xlpm.trimmed,OFFSET(f_listof_program_candidates,MATCH("SN18",f_listof_program_codes,0)-1,6,1,),TRANSPOSE(_xlfn._xlws.FILTER(OFFSET(_xlpm.trimmed,0,0,,COUNTA(_xlpm.trimmed)-5),OFFSET(_xlpm.trimmed,0,0,,COUNTA(_xlpm.trimmed)-5)&lt;&gt;0)))))</f>
        <v>1</v>
      </c>
      <c r="B1464" s="86" t="str" cm="1">
        <f t="array" aca="1" ref="B1464:B1471" ca="1">_xlfn.LET(_xlpm.trimmed,OFFSET(f_listof_program_candidates,MATCH("SN18",f_listof_program_codes,0)-1,6,1,),TRANSPOSE(_xlfn._xlws.FILTER(OFFSET(_xlpm.trimmed,0,0,,COUNTA(_xlpm.trimmed)-5),OFFSET(_xlpm.trimmed,0,0,,COUNTA(_xlpm.trimmed)-5)&lt;&gt;0)))</f>
        <v>C115</v>
      </c>
      <c r="C1464" s="86" t="str">
        <f t="shared" ref="C1464:C1471" ca="1" si="318">VLOOKUP(B1464,f_detailsof_candidates,2,FALSE)</f>
        <v>MOHAMMED ABDUL KHADER K</v>
      </c>
      <c r="D1464" s="86" t="str">
        <f t="shared" ref="D1464:D1471" ca="1" si="319">VLOOKUP(B1464,f_detailsof_candidates,3,FALSE)</f>
        <v>FANT</v>
      </c>
      <c r="E1464" s="86">
        <f t="shared" ref="E1464:E1471" ca="1" si="320">VLOOKUP(B1464,f_detailsof_candidates,5,FALSE)</f>
        <v>5</v>
      </c>
    </row>
    <row r="1465" spans="1:8" ht="14.25" x14ac:dyDescent="0.45">
      <c r="A1465" s="86">
        <f ca="1"/>
        <v>2</v>
      </c>
      <c r="B1465" s="86" t="str">
        <f ca="1"/>
        <v>C176</v>
      </c>
      <c r="C1465" s="86" t="str">
        <f t="shared" ca="1" si="318"/>
        <v>MUHAMMED T A</v>
      </c>
      <c r="D1465" s="86" t="str">
        <f t="shared" ca="1" si="319"/>
        <v>FANT</v>
      </c>
      <c r="E1465" s="86">
        <f t="shared" ca="1" si="320"/>
        <v>7</v>
      </c>
    </row>
    <row r="1466" spans="1:8" ht="14.25" x14ac:dyDescent="0.45">
      <c r="A1466" s="86">
        <f ca="1"/>
        <v>3</v>
      </c>
      <c r="B1466" s="86" t="str">
        <f ca="1"/>
        <v>C179</v>
      </c>
      <c r="C1466" s="86" t="str">
        <f t="shared" ca="1" si="318"/>
        <v>MUHAMMED FARHAN</v>
      </c>
      <c r="D1466" s="86" t="str">
        <f t="shared" ca="1" si="319"/>
        <v>DAHF</v>
      </c>
      <c r="E1466" s="86">
        <f t="shared" ca="1" si="320"/>
        <v>7</v>
      </c>
    </row>
    <row r="1467" spans="1:8" ht="14.25" x14ac:dyDescent="0.45">
      <c r="A1467" s="86">
        <f ca="1"/>
        <v>4</v>
      </c>
      <c r="B1467" s="86" t="str">
        <f ca="1"/>
        <v>C107</v>
      </c>
      <c r="C1467" s="86" t="str">
        <f t="shared" ca="1" si="318"/>
        <v>ADIL ABDULLA A</v>
      </c>
      <c r="D1467" s="86" t="str">
        <f t="shared" ca="1" si="319"/>
        <v>DAHF</v>
      </c>
      <c r="E1467" s="86">
        <f t="shared" ca="1" si="320"/>
        <v>5</v>
      </c>
    </row>
    <row r="1468" spans="1:8" ht="14.25" x14ac:dyDescent="0.45">
      <c r="A1468" s="86">
        <f ca="1"/>
        <v>5</v>
      </c>
      <c r="B1468" s="86" t="str">
        <f ca="1"/>
        <v>C124</v>
      </c>
      <c r="C1468" s="86" t="str">
        <f t="shared" ca="1" si="318"/>
        <v>MOHAMMED MUBASHIR</v>
      </c>
      <c r="D1468" s="86" t="str">
        <f t="shared" ca="1" si="319"/>
        <v>BADF</v>
      </c>
      <c r="E1468" s="86">
        <f t="shared" ca="1" si="320"/>
        <v>5</v>
      </c>
    </row>
    <row r="1469" spans="1:8" ht="14.25" x14ac:dyDescent="0.45">
      <c r="A1469" s="86">
        <f ca="1"/>
        <v>6</v>
      </c>
      <c r="B1469" s="86" t="str">
        <f ca="1"/>
        <v>C132</v>
      </c>
      <c r="C1469" s="86" t="str">
        <f t="shared" ca="1" si="318"/>
        <v>MUHAMMAD SHAZIN</v>
      </c>
      <c r="D1469" s="86" t="str">
        <f t="shared" ca="1" si="319"/>
        <v>BADF</v>
      </c>
      <c r="E1469" s="86">
        <f t="shared" ca="1" si="320"/>
        <v>6</v>
      </c>
    </row>
    <row r="1470" spans="1:8" ht="14.25" x14ac:dyDescent="0.45">
      <c r="A1470" s="86">
        <f ca="1"/>
        <v>7</v>
      </c>
      <c r="B1470" s="86" t="str">
        <f ca="1"/>
        <v>C105</v>
      </c>
      <c r="C1470" s="86" t="str">
        <f t="shared" ca="1" si="318"/>
        <v>AHMAD MANAL KUDINGILA</v>
      </c>
      <c r="D1470" s="86" t="str">
        <f t="shared" ca="1" si="319"/>
        <v>JARF</v>
      </c>
      <c r="E1470" s="86">
        <f t="shared" ca="1" si="320"/>
        <v>5</v>
      </c>
    </row>
    <row r="1471" spans="1:8" ht="14.25" x14ac:dyDescent="0.45">
      <c r="A1471" s="86">
        <f ca="1"/>
        <v>8</v>
      </c>
      <c r="B1471" s="86" t="str">
        <f ca="1"/>
        <v>C147</v>
      </c>
      <c r="C1471" s="86" t="str">
        <f t="shared" ca="1" si="318"/>
        <v>AHAMED ZAKI FOUZAN T.Z</v>
      </c>
      <c r="D1471" s="86" t="str">
        <f t="shared" ca="1" si="319"/>
        <v>JARF</v>
      </c>
      <c r="E1471" s="86">
        <f t="shared" ca="1" si="320"/>
        <v>6</v>
      </c>
    </row>
    <row r="1472" spans="1:8" ht="14.25" x14ac:dyDescent="0.45">
      <c r="A1472" s="84" t="s">
        <v>289</v>
      </c>
      <c r="B1472" s="84" t="str">
        <f>VLOOKUP("SN19",f_detailsof_programs,2,FALSE)</f>
        <v>POEM ARB</v>
      </c>
      <c r="C1472" s="84"/>
      <c r="D1472" s="84" t="s">
        <v>688</v>
      </c>
      <c r="E1472" s="84" t="s">
        <v>485</v>
      </c>
      <c r="F1472" s="84"/>
      <c r="G1472" s="84"/>
      <c r="H1472" s="84"/>
    </row>
    <row r="1473" spans="1:8" ht="14.25" x14ac:dyDescent="0.45">
      <c r="A1473" s="85" t="s">
        <v>16</v>
      </c>
      <c r="B1473" s="85" t="s">
        <v>480</v>
      </c>
      <c r="C1473" s="85" t="s">
        <v>18</v>
      </c>
      <c r="D1473" s="85" t="s">
        <v>481</v>
      </c>
      <c r="E1473" s="85" t="s">
        <v>19</v>
      </c>
      <c r="F1473" s="85" t="s">
        <v>482</v>
      </c>
      <c r="G1473" s="85" t="s">
        <v>483</v>
      </c>
      <c r="H1473" s="85" t="s">
        <v>484</v>
      </c>
    </row>
    <row r="1474" spans="1:8" ht="14.25" x14ac:dyDescent="0.45">
      <c r="A1474" s="86" cm="1">
        <f t="array" aca="1" ref="A1474:A1485" ca="1">_xlfn.SEQUENCE(COUNTA(_xlfn.LET(_xlpm.trimmed,OFFSET(f_listof_program_candidates,MATCH("SN19",f_listof_program_codes,0)-1,6,1,),TRANSPOSE(_xlfn._xlws.FILTER(OFFSET(_xlpm.trimmed,0,0,,COUNTA(_xlpm.trimmed)-5),OFFSET(_xlpm.trimmed,0,0,,COUNTA(_xlpm.trimmed)-5)&lt;&gt;0)))))</f>
        <v>1</v>
      </c>
      <c r="B1474" s="86" t="str" cm="1">
        <f t="array" aca="1" ref="B1474:B1485" ca="1">_xlfn.LET(_xlpm.trimmed,OFFSET(f_listof_program_candidates,MATCH("SN19",f_listof_program_codes,0)-1,6,1,),TRANSPOSE(_xlfn._xlws.FILTER(OFFSET(_xlpm.trimmed,0,0,,COUNTA(_xlpm.trimmed)-5),OFFSET(_xlpm.trimmed,0,0,,COUNTA(_xlpm.trimmed)-5)&lt;&gt;0)))</f>
        <v>C101</v>
      </c>
      <c r="C1474" s="86" t="str">
        <f t="shared" ref="C1474:C1485" ca="1" si="321">VLOOKUP(B1474,f_detailsof_candidates,2,FALSE)</f>
        <v>MUHAMMED KASHIF</v>
      </c>
      <c r="D1474" s="86" t="str">
        <f t="shared" ref="D1474:D1485" ca="1" si="322">VLOOKUP(B1474,f_detailsof_candidates,3,FALSE)</f>
        <v>FANT</v>
      </c>
      <c r="E1474" s="86">
        <f t="shared" ref="E1474:E1485" ca="1" si="323">VLOOKUP(B1474,f_detailsof_candidates,5,FALSE)</f>
        <v>5</v>
      </c>
    </row>
    <row r="1475" spans="1:8" ht="14.25" x14ac:dyDescent="0.45">
      <c r="A1475" s="86">
        <f ca="1"/>
        <v>2</v>
      </c>
      <c r="B1475" s="86" t="str">
        <f ca="1"/>
        <v>C112</v>
      </c>
      <c r="C1475" s="86" t="str">
        <f t="shared" ca="1" si="321"/>
        <v>MOHAMMED SA'DUDDEEN K</v>
      </c>
      <c r="D1475" s="86" t="str">
        <f t="shared" ca="1" si="322"/>
        <v>FANT</v>
      </c>
      <c r="E1475" s="86">
        <f t="shared" ca="1" si="323"/>
        <v>5</v>
      </c>
    </row>
    <row r="1476" spans="1:8" ht="14.25" x14ac:dyDescent="0.45">
      <c r="A1476" s="86">
        <f ca="1"/>
        <v>3</v>
      </c>
      <c r="B1476" s="86" t="str">
        <f ca="1"/>
        <v>C118</v>
      </c>
      <c r="C1476" s="86" t="str">
        <f t="shared" ca="1" si="321"/>
        <v>MUHAMMAD SHAMMAS</v>
      </c>
      <c r="D1476" s="86" t="str">
        <f t="shared" ca="1" si="322"/>
        <v>FANT</v>
      </c>
      <c r="E1476" s="86">
        <f t="shared" ca="1" si="323"/>
        <v>5</v>
      </c>
    </row>
    <row r="1477" spans="1:8" ht="14.25" x14ac:dyDescent="0.45">
      <c r="A1477" s="86">
        <f ca="1"/>
        <v>4</v>
      </c>
      <c r="B1477" s="86" t="str">
        <f ca="1"/>
        <v>C120</v>
      </c>
      <c r="C1477" s="86" t="str">
        <f t="shared" ca="1" si="321"/>
        <v>MAJID MUHAMMED M</v>
      </c>
      <c r="D1477" s="86" t="str">
        <f t="shared" ca="1" si="322"/>
        <v>DAHF</v>
      </c>
      <c r="E1477" s="86">
        <f t="shared" ca="1" si="323"/>
        <v>5</v>
      </c>
    </row>
    <row r="1478" spans="1:8" ht="14.25" x14ac:dyDescent="0.45">
      <c r="A1478" s="86">
        <f ca="1"/>
        <v>5</v>
      </c>
      <c r="B1478" s="86" t="str">
        <f ca="1"/>
        <v>C136</v>
      </c>
      <c r="C1478" s="86" t="str">
        <f t="shared" ca="1" si="321"/>
        <v>MOHAMMED SHAKIR HUSSAIN K.Y</v>
      </c>
      <c r="D1478" s="86" t="str">
        <f t="shared" ca="1" si="322"/>
        <v>DAHF</v>
      </c>
      <c r="E1478" s="86">
        <f t="shared" ca="1" si="323"/>
        <v>6</v>
      </c>
    </row>
    <row r="1479" spans="1:8" ht="14.25" x14ac:dyDescent="0.45">
      <c r="A1479" s="86">
        <f ca="1"/>
        <v>6</v>
      </c>
      <c r="B1479" s="86" t="str">
        <f ca="1"/>
        <v>C166</v>
      </c>
      <c r="C1479" s="86" t="str">
        <f t="shared" ca="1" si="321"/>
        <v>RESWAN</v>
      </c>
      <c r="D1479" s="86" t="str">
        <f t="shared" ca="1" si="322"/>
        <v>DAHF</v>
      </c>
      <c r="E1479" s="86">
        <f t="shared" ca="1" si="323"/>
        <v>7</v>
      </c>
    </row>
    <row r="1480" spans="1:8" ht="14.25" x14ac:dyDescent="0.45">
      <c r="A1480" s="86">
        <f ca="1"/>
        <v>7</v>
      </c>
      <c r="B1480" s="86" t="str">
        <f ca="1"/>
        <v>C124</v>
      </c>
      <c r="C1480" s="86" t="str">
        <f t="shared" ca="1" si="321"/>
        <v>MOHAMMED MUBASHIR</v>
      </c>
      <c r="D1480" s="86" t="str">
        <f t="shared" ca="1" si="322"/>
        <v>BADF</v>
      </c>
      <c r="E1480" s="86">
        <f t="shared" ca="1" si="323"/>
        <v>5</v>
      </c>
    </row>
    <row r="1481" spans="1:8" ht="14.25" x14ac:dyDescent="0.45">
      <c r="A1481" s="86">
        <f ca="1"/>
        <v>8</v>
      </c>
      <c r="B1481" s="86" t="str">
        <f ca="1"/>
        <v>C174</v>
      </c>
      <c r="C1481" s="86" t="str">
        <f t="shared" ca="1" si="321"/>
        <v>MUHAMMAD MUSTHAFA K.M</v>
      </c>
      <c r="D1481" s="86" t="str">
        <f t="shared" ca="1" si="322"/>
        <v>BADF</v>
      </c>
      <c r="E1481" s="86">
        <f t="shared" ca="1" si="323"/>
        <v>7</v>
      </c>
    </row>
    <row r="1482" spans="1:8" ht="14.25" x14ac:dyDescent="0.45">
      <c r="A1482" s="86">
        <f ca="1"/>
        <v>9</v>
      </c>
      <c r="B1482" s="86" t="str">
        <f ca="1"/>
        <v>C169</v>
      </c>
      <c r="C1482" s="86" t="str">
        <f t="shared" ca="1" si="321"/>
        <v>MOHAMMED THAJUDDEEN A R P</v>
      </c>
      <c r="D1482" s="86" t="str">
        <f t="shared" ca="1" si="322"/>
        <v>BADF</v>
      </c>
      <c r="E1482" s="86">
        <f t="shared" ca="1" si="323"/>
        <v>7</v>
      </c>
    </row>
    <row r="1483" spans="1:8" ht="14.25" x14ac:dyDescent="0.45">
      <c r="A1483" s="86">
        <f ca="1"/>
        <v>10</v>
      </c>
      <c r="B1483" s="86" t="str">
        <f ca="1"/>
        <v>C111</v>
      </c>
      <c r="C1483" s="86" t="str">
        <f t="shared" ca="1" si="321"/>
        <v>MUHAMMAD ISMAIL HAMDULLA V K</v>
      </c>
      <c r="D1483" s="86" t="str">
        <f t="shared" ca="1" si="322"/>
        <v>JARF</v>
      </c>
      <c r="E1483" s="86">
        <f t="shared" ca="1" si="323"/>
        <v>5</v>
      </c>
    </row>
    <row r="1484" spans="1:8" ht="14.25" x14ac:dyDescent="0.45">
      <c r="A1484" s="86">
        <f ca="1"/>
        <v>11</v>
      </c>
      <c r="B1484" s="86" t="str">
        <f ca="1"/>
        <v>C167</v>
      </c>
      <c r="C1484" s="86" t="str">
        <f t="shared" ca="1" si="321"/>
        <v>MUHAMMED MUJTHABA MK</v>
      </c>
      <c r="D1484" s="86" t="str">
        <f t="shared" ca="1" si="322"/>
        <v>JARF</v>
      </c>
      <c r="E1484" s="86">
        <f t="shared" ca="1" si="323"/>
        <v>7</v>
      </c>
    </row>
    <row r="1485" spans="1:8" ht="14.25" x14ac:dyDescent="0.45">
      <c r="A1485" s="86">
        <f ca="1"/>
        <v>12</v>
      </c>
      <c r="B1485" s="86" t="str">
        <f ca="1"/>
        <v>C175</v>
      </c>
      <c r="C1485" s="86" t="str">
        <f t="shared" ca="1" si="321"/>
        <v>ABDULLAH MAZIN</v>
      </c>
      <c r="D1485" s="86" t="str">
        <f t="shared" ca="1" si="322"/>
        <v>JARF</v>
      </c>
      <c r="E1485" s="86">
        <f t="shared" ca="1" si="323"/>
        <v>7</v>
      </c>
    </row>
    <row r="1486" spans="1:8" ht="14.25" x14ac:dyDescent="0.45">
      <c r="A1486" s="84" t="s">
        <v>290</v>
      </c>
      <c r="B1486" s="84" t="str">
        <f>VLOOKUP("SN20",f_detailsof_programs,2,FALSE)</f>
        <v>POEM ENG</v>
      </c>
      <c r="C1486" s="84"/>
      <c r="D1486" s="84" t="s">
        <v>688</v>
      </c>
      <c r="E1486" s="84" t="s">
        <v>485</v>
      </c>
      <c r="F1486" s="84"/>
      <c r="G1486" s="84"/>
      <c r="H1486" s="84"/>
    </row>
    <row r="1487" spans="1:8" ht="14.25" x14ac:dyDescent="0.45">
      <c r="A1487" s="85" t="s">
        <v>16</v>
      </c>
      <c r="B1487" s="85" t="s">
        <v>480</v>
      </c>
      <c r="C1487" s="85" t="s">
        <v>18</v>
      </c>
      <c r="D1487" s="85" t="s">
        <v>481</v>
      </c>
      <c r="E1487" s="85" t="s">
        <v>19</v>
      </c>
      <c r="F1487" s="85" t="s">
        <v>482</v>
      </c>
      <c r="G1487" s="85" t="s">
        <v>483</v>
      </c>
      <c r="H1487" s="85" t="s">
        <v>484</v>
      </c>
    </row>
    <row r="1488" spans="1:8" ht="14.25" x14ac:dyDescent="0.45">
      <c r="A1488" s="86" cm="1">
        <f t="array" aca="1" ref="A1488:A1499" ca="1">_xlfn.SEQUENCE(COUNTA(_xlfn.LET(_xlpm.trimmed,OFFSET(f_listof_program_candidates,MATCH("SN20",f_listof_program_codes,0)-1,6,1,),TRANSPOSE(_xlfn._xlws.FILTER(OFFSET(_xlpm.trimmed,0,0,,COUNTA(_xlpm.trimmed)-5),OFFSET(_xlpm.trimmed,0,0,,COUNTA(_xlpm.trimmed)-5)&lt;&gt;0)))))</f>
        <v>1</v>
      </c>
      <c r="B1488" s="86" t="str" cm="1">
        <f t="array" aca="1" ref="B1488:B1499" ca="1">_xlfn.LET(_xlpm.trimmed,OFFSET(f_listof_program_candidates,MATCH("SN20",f_listof_program_codes,0)-1,6,1,),TRANSPOSE(_xlfn._xlws.FILTER(OFFSET(_xlpm.trimmed,0,0,,COUNTA(_xlpm.trimmed)-5),OFFSET(_xlpm.trimmed,0,0,,COUNTA(_xlpm.trimmed)-5)&lt;&gt;0)))</f>
        <v>C127</v>
      </c>
      <c r="C1488" s="86" t="str">
        <f t="shared" ref="C1488:C1499" ca="1" si="324">VLOOKUP(B1488,f_detailsof_candidates,2,FALSE)</f>
        <v>SHAMMAZ P A</v>
      </c>
      <c r="D1488" s="86" t="str">
        <f t="shared" ref="D1488:D1499" ca="1" si="325">VLOOKUP(B1488,f_detailsof_candidates,3,FALSE)</f>
        <v>FANT</v>
      </c>
      <c r="E1488" s="86">
        <f t="shared" ref="E1488:E1499" ca="1" si="326">VLOOKUP(B1488,f_detailsof_candidates,5,FALSE)</f>
        <v>5</v>
      </c>
    </row>
    <row r="1489" spans="1:8" ht="14.25" x14ac:dyDescent="0.45">
      <c r="A1489" s="86">
        <f ca="1"/>
        <v>2</v>
      </c>
      <c r="B1489" s="86" t="str">
        <f ca="1"/>
        <v>C155</v>
      </c>
      <c r="C1489" s="86" t="str">
        <f t="shared" ca="1" si="324"/>
        <v>HASSAN ZARKASH</v>
      </c>
      <c r="D1489" s="86" t="str">
        <f t="shared" ca="1" si="325"/>
        <v>FANT</v>
      </c>
      <c r="E1489" s="86">
        <f t="shared" ca="1" si="326"/>
        <v>6</v>
      </c>
    </row>
    <row r="1490" spans="1:8" ht="14.25" x14ac:dyDescent="0.45">
      <c r="A1490" s="86">
        <f ca="1"/>
        <v>3</v>
      </c>
      <c r="B1490" s="86" t="str">
        <f ca="1"/>
        <v>C168</v>
      </c>
      <c r="C1490" s="86" t="str">
        <f t="shared" ca="1" si="324"/>
        <v>MUHAMMED SHAHAN P.S</v>
      </c>
      <c r="D1490" s="86" t="str">
        <f t="shared" ca="1" si="325"/>
        <v>FANT</v>
      </c>
      <c r="E1490" s="86">
        <f t="shared" ca="1" si="326"/>
        <v>7</v>
      </c>
    </row>
    <row r="1491" spans="1:8" ht="14.25" x14ac:dyDescent="0.45">
      <c r="A1491" s="86">
        <f ca="1"/>
        <v>4</v>
      </c>
      <c r="B1491" s="86" t="str">
        <f ca="1"/>
        <v>C107</v>
      </c>
      <c r="C1491" s="86" t="str">
        <f t="shared" ca="1" si="324"/>
        <v>ADIL ABDULLA A</v>
      </c>
      <c r="D1491" s="86" t="str">
        <f t="shared" ca="1" si="325"/>
        <v>DAHF</v>
      </c>
      <c r="E1491" s="86">
        <f t="shared" ca="1" si="326"/>
        <v>5</v>
      </c>
    </row>
    <row r="1492" spans="1:8" ht="14.25" x14ac:dyDescent="0.45">
      <c r="A1492" s="86">
        <f ca="1"/>
        <v>5</v>
      </c>
      <c r="B1492" s="86" t="str">
        <f ca="1"/>
        <v>C130</v>
      </c>
      <c r="C1492" s="86" t="str">
        <f t="shared" ca="1" si="324"/>
        <v>MOHAMMED HISHAM</v>
      </c>
      <c r="D1492" s="86" t="str">
        <f t="shared" ca="1" si="325"/>
        <v>DAHF</v>
      </c>
      <c r="E1492" s="86">
        <f t="shared" ca="1" si="326"/>
        <v>5</v>
      </c>
    </row>
    <row r="1493" spans="1:8" ht="14.25" x14ac:dyDescent="0.45">
      <c r="A1493" s="86">
        <f ca="1"/>
        <v>6</v>
      </c>
      <c r="B1493" s="86" t="str">
        <f ca="1"/>
        <v>C158</v>
      </c>
      <c r="C1493" s="86" t="str">
        <f t="shared" ca="1" si="324"/>
        <v>ABDUL FATHAH AHAMMED C</v>
      </c>
      <c r="D1493" s="86" t="str">
        <f t="shared" ca="1" si="325"/>
        <v>DAHF</v>
      </c>
      <c r="E1493" s="86">
        <f t="shared" ca="1" si="326"/>
        <v>6</v>
      </c>
    </row>
    <row r="1494" spans="1:8" ht="14.25" x14ac:dyDescent="0.45">
      <c r="A1494" s="86">
        <f ca="1"/>
        <v>7</v>
      </c>
      <c r="B1494" s="86" t="str">
        <f ca="1"/>
        <v>C114</v>
      </c>
      <c r="C1494" s="86" t="str">
        <f t="shared" ca="1" si="324"/>
        <v>AJMAL RUWAIS</v>
      </c>
      <c r="D1494" s="86" t="str">
        <f t="shared" ca="1" si="325"/>
        <v>BADF</v>
      </c>
      <c r="E1494" s="86">
        <f t="shared" ca="1" si="326"/>
        <v>5</v>
      </c>
    </row>
    <row r="1495" spans="1:8" ht="14.25" x14ac:dyDescent="0.45">
      <c r="A1495" s="86">
        <f ca="1"/>
        <v>8</v>
      </c>
      <c r="B1495" s="86" t="str">
        <f ca="1"/>
        <v>C145</v>
      </c>
      <c r="C1495" s="86" t="str">
        <f t="shared" ca="1" si="324"/>
        <v>SHAMEEL AHAMMED P</v>
      </c>
      <c r="D1495" s="86" t="str">
        <f t="shared" ca="1" si="325"/>
        <v>BADF</v>
      </c>
      <c r="E1495" s="86">
        <f t="shared" ca="1" si="326"/>
        <v>6</v>
      </c>
    </row>
    <row r="1496" spans="1:8" ht="14.25" x14ac:dyDescent="0.45">
      <c r="A1496" s="86">
        <f ca="1"/>
        <v>9</v>
      </c>
      <c r="B1496" s="86" t="str">
        <f ca="1"/>
        <v>C122</v>
      </c>
      <c r="C1496" s="86" t="str">
        <f t="shared" ca="1" si="324"/>
        <v>MOHAMMED K H</v>
      </c>
      <c r="D1496" s="86" t="str">
        <f t="shared" ca="1" si="325"/>
        <v>BADF</v>
      </c>
      <c r="E1496" s="86">
        <f t="shared" ca="1" si="326"/>
        <v>5</v>
      </c>
    </row>
    <row r="1497" spans="1:8" ht="14.25" x14ac:dyDescent="0.45">
      <c r="A1497" s="86">
        <f ca="1"/>
        <v>10</v>
      </c>
      <c r="B1497" s="86" t="str">
        <f ca="1"/>
        <v>C116</v>
      </c>
      <c r="C1497" s="86" t="str">
        <f t="shared" ca="1" si="324"/>
        <v>MUAHMMED ANAS P A</v>
      </c>
      <c r="D1497" s="86" t="str">
        <f t="shared" ca="1" si="325"/>
        <v>JARF</v>
      </c>
      <c r="E1497" s="86">
        <f t="shared" ca="1" si="326"/>
        <v>5</v>
      </c>
    </row>
    <row r="1498" spans="1:8" ht="14.25" x14ac:dyDescent="0.45">
      <c r="A1498" s="86">
        <f ca="1"/>
        <v>11</v>
      </c>
      <c r="B1498" s="86" t="str">
        <f ca="1"/>
        <v>C121</v>
      </c>
      <c r="C1498" s="86" t="str">
        <f t="shared" ca="1" si="324"/>
        <v>ABDUL SALAM ARIF</v>
      </c>
      <c r="D1498" s="86" t="str">
        <f t="shared" ca="1" si="325"/>
        <v>JARF</v>
      </c>
      <c r="E1498" s="86">
        <f t="shared" ca="1" si="326"/>
        <v>5</v>
      </c>
    </row>
    <row r="1499" spans="1:8" ht="14.25" x14ac:dyDescent="0.45">
      <c r="A1499" s="86">
        <f ca="1"/>
        <v>12</v>
      </c>
      <c r="B1499" s="86" t="str">
        <f ca="1"/>
        <v>C140</v>
      </c>
      <c r="C1499" s="86" t="str">
        <f t="shared" ca="1" si="324"/>
        <v>IJAS EBRAHIM</v>
      </c>
      <c r="D1499" s="86" t="str">
        <f t="shared" ca="1" si="325"/>
        <v>JARF</v>
      </c>
      <c r="E1499" s="86">
        <f t="shared" ca="1" si="326"/>
        <v>6</v>
      </c>
    </row>
    <row r="1500" spans="1:8" ht="14.25" x14ac:dyDescent="0.45">
      <c r="A1500" s="84" t="s">
        <v>291</v>
      </c>
      <c r="B1500" s="84" t="str">
        <f>VLOOKUP("SN21",f_detailsof_programs,2,FALSE)</f>
        <v>POEM MLM</v>
      </c>
      <c r="C1500" s="84"/>
      <c r="D1500" s="84" t="s">
        <v>688</v>
      </c>
      <c r="E1500" s="84" t="s">
        <v>485</v>
      </c>
      <c r="F1500" s="84"/>
      <c r="G1500" s="84"/>
      <c r="H1500" s="84"/>
    </row>
    <row r="1501" spans="1:8" ht="14.25" x14ac:dyDescent="0.45">
      <c r="A1501" s="85" t="s">
        <v>16</v>
      </c>
      <c r="B1501" s="85" t="s">
        <v>480</v>
      </c>
      <c r="C1501" s="85" t="s">
        <v>18</v>
      </c>
      <c r="D1501" s="85" t="s">
        <v>481</v>
      </c>
      <c r="E1501" s="85" t="s">
        <v>19</v>
      </c>
      <c r="F1501" s="85" t="s">
        <v>482</v>
      </c>
      <c r="G1501" s="85" t="s">
        <v>483</v>
      </c>
      <c r="H1501" s="85" t="s">
        <v>484</v>
      </c>
    </row>
    <row r="1502" spans="1:8" ht="14.25" x14ac:dyDescent="0.45">
      <c r="A1502" s="86" cm="1">
        <f t="array" aca="1" ref="A1502:A1513" ca="1">_xlfn.SEQUENCE(COUNTA(_xlfn.LET(_xlpm.trimmed,OFFSET(f_listof_program_candidates,MATCH("SN21",f_listof_program_codes,0)-1,6,1,),TRANSPOSE(_xlfn._xlws.FILTER(OFFSET(_xlpm.trimmed,0,0,,COUNTA(_xlpm.trimmed)-5),OFFSET(_xlpm.trimmed,0,0,,COUNTA(_xlpm.trimmed)-5)&lt;&gt;0)))))</f>
        <v>1</v>
      </c>
      <c r="B1502" s="86" t="str" cm="1">
        <f t="array" aca="1" ref="B1502:B1513" ca="1">_xlfn.LET(_xlpm.trimmed,OFFSET(f_listof_program_candidates,MATCH("SN21",f_listof_program_codes,0)-1,6,1,),TRANSPOSE(_xlfn._xlws.FILTER(OFFSET(_xlpm.trimmed,0,0,,COUNTA(_xlpm.trimmed)-5),OFFSET(_xlpm.trimmed,0,0,,COUNTA(_xlpm.trimmed)-5)&lt;&gt;0)))</f>
        <v>C101</v>
      </c>
      <c r="C1502" s="86" t="str">
        <f t="shared" ref="C1502:C1513" ca="1" si="327">VLOOKUP(B1502,f_detailsof_candidates,2,FALSE)</f>
        <v>MUHAMMED KASHIF</v>
      </c>
      <c r="D1502" s="86" t="str">
        <f t="shared" ref="D1502:D1513" ca="1" si="328">VLOOKUP(B1502,f_detailsof_candidates,3,FALSE)</f>
        <v>FANT</v>
      </c>
      <c r="E1502" s="86">
        <f t="shared" ref="E1502:E1513" ca="1" si="329">VLOOKUP(B1502,f_detailsof_candidates,5,FALSE)</f>
        <v>5</v>
      </c>
    </row>
    <row r="1503" spans="1:8" ht="14.25" x14ac:dyDescent="0.45">
      <c r="A1503" s="86">
        <f ca="1"/>
        <v>2</v>
      </c>
      <c r="B1503" s="86" t="str">
        <f ca="1"/>
        <v>C162</v>
      </c>
      <c r="C1503" s="86" t="str">
        <f t="shared" ca="1" si="327"/>
        <v>MUHAMMAD K.A</v>
      </c>
      <c r="D1503" s="86" t="str">
        <f t="shared" ca="1" si="328"/>
        <v>FANT</v>
      </c>
      <c r="E1503" s="86">
        <f t="shared" ca="1" si="329"/>
        <v>7</v>
      </c>
    </row>
    <row r="1504" spans="1:8" ht="14.25" x14ac:dyDescent="0.45">
      <c r="A1504" s="86">
        <f ca="1"/>
        <v>3</v>
      </c>
      <c r="B1504" s="86" t="str">
        <f ca="1"/>
        <v>C173</v>
      </c>
      <c r="C1504" s="86" t="str">
        <f t="shared" ca="1" si="327"/>
        <v>ABDUL HADIL P.M</v>
      </c>
      <c r="D1504" s="86" t="str">
        <f t="shared" ca="1" si="328"/>
        <v>FANT</v>
      </c>
      <c r="E1504" s="86">
        <f t="shared" ca="1" si="329"/>
        <v>7</v>
      </c>
    </row>
    <row r="1505" spans="1:8" ht="14.25" x14ac:dyDescent="0.45">
      <c r="A1505" s="86">
        <f ca="1"/>
        <v>4</v>
      </c>
      <c r="B1505" s="86" t="str">
        <f ca="1"/>
        <v>C153</v>
      </c>
      <c r="C1505" s="86" t="str">
        <f t="shared" ca="1" si="327"/>
        <v>MUHAMMED AHMASH K</v>
      </c>
      <c r="D1505" s="86" t="str">
        <f t="shared" ca="1" si="328"/>
        <v>DAHF</v>
      </c>
      <c r="E1505" s="86">
        <f t="shared" ca="1" si="329"/>
        <v>6</v>
      </c>
    </row>
    <row r="1506" spans="1:8" ht="14.25" x14ac:dyDescent="0.45">
      <c r="A1506" s="86">
        <f ca="1"/>
        <v>5</v>
      </c>
      <c r="B1506" s="86" t="str">
        <f ca="1"/>
        <v>C154</v>
      </c>
      <c r="C1506" s="86" t="str">
        <f t="shared" ca="1" si="327"/>
        <v>MOHAMMED RAZEEN S.P</v>
      </c>
      <c r="D1506" s="86" t="str">
        <f t="shared" ca="1" si="328"/>
        <v>DAHF</v>
      </c>
      <c r="E1506" s="86">
        <f t="shared" ca="1" si="329"/>
        <v>6</v>
      </c>
    </row>
    <row r="1507" spans="1:8" ht="14.25" x14ac:dyDescent="0.45">
      <c r="A1507" s="86">
        <f ca="1"/>
        <v>6</v>
      </c>
      <c r="B1507" s="86" t="str">
        <f ca="1"/>
        <v>C161</v>
      </c>
      <c r="C1507" s="86" t="str">
        <f t="shared" ca="1" si="327"/>
        <v>MOHAMMED ABDUL KHADER NABAVI E A</v>
      </c>
      <c r="D1507" s="86" t="str">
        <f t="shared" ca="1" si="328"/>
        <v>DAHF</v>
      </c>
      <c r="E1507" s="86">
        <f t="shared" ca="1" si="329"/>
        <v>7</v>
      </c>
    </row>
    <row r="1508" spans="1:8" ht="14.25" x14ac:dyDescent="0.45">
      <c r="A1508" s="86">
        <f ca="1"/>
        <v>7</v>
      </c>
      <c r="B1508" s="86" t="str">
        <f ca="1"/>
        <v>C109</v>
      </c>
      <c r="C1508" s="86" t="str">
        <f t="shared" ca="1" si="327"/>
        <v>ABDULLA FARHAN M</v>
      </c>
      <c r="D1508" s="86" t="str">
        <f t="shared" ca="1" si="328"/>
        <v>BADF</v>
      </c>
      <c r="E1508" s="86">
        <f t="shared" ca="1" si="329"/>
        <v>5</v>
      </c>
    </row>
    <row r="1509" spans="1:8" ht="14.25" x14ac:dyDescent="0.45">
      <c r="A1509" s="86">
        <f ca="1"/>
        <v>8</v>
      </c>
      <c r="B1509" s="86" t="str">
        <f ca="1"/>
        <v>C145</v>
      </c>
      <c r="C1509" s="86" t="str">
        <f t="shared" ca="1" si="327"/>
        <v>SHAMEEL AHAMMED P</v>
      </c>
      <c r="D1509" s="86" t="str">
        <f t="shared" ca="1" si="328"/>
        <v>BADF</v>
      </c>
      <c r="E1509" s="86">
        <f t="shared" ca="1" si="329"/>
        <v>6</v>
      </c>
    </row>
    <row r="1510" spans="1:8" ht="14.25" x14ac:dyDescent="0.45">
      <c r="A1510" s="86">
        <f ca="1"/>
        <v>9</v>
      </c>
      <c r="B1510" s="86" t="str">
        <f ca="1"/>
        <v>C157</v>
      </c>
      <c r="C1510" s="86" t="str">
        <f t="shared" ca="1" si="327"/>
        <v>HASAN YASIR</v>
      </c>
      <c r="D1510" s="86" t="str">
        <f t="shared" ca="1" si="328"/>
        <v>BADF</v>
      </c>
      <c r="E1510" s="86">
        <f t="shared" ca="1" si="329"/>
        <v>6</v>
      </c>
    </row>
    <row r="1511" spans="1:8" ht="14.25" x14ac:dyDescent="0.45">
      <c r="A1511" s="86">
        <f ca="1"/>
        <v>10</v>
      </c>
      <c r="B1511" s="86" t="str">
        <f ca="1"/>
        <v>C119</v>
      </c>
      <c r="C1511" s="86" t="str">
        <f t="shared" ca="1" si="327"/>
        <v>ARIFUDEEN ABBAS A</v>
      </c>
      <c r="D1511" s="86" t="str">
        <f t="shared" ca="1" si="328"/>
        <v>JARF</v>
      </c>
      <c r="E1511" s="86">
        <f t="shared" ca="1" si="329"/>
        <v>5</v>
      </c>
    </row>
    <row r="1512" spans="1:8" ht="14.25" x14ac:dyDescent="0.45">
      <c r="A1512" s="86">
        <f ca="1"/>
        <v>11</v>
      </c>
      <c r="B1512" s="86" t="str">
        <f ca="1"/>
        <v>C152</v>
      </c>
      <c r="C1512" s="86" t="str">
        <f t="shared" ca="1" si="327"/>
        <v>MUHAMMED SABITH ALI TM</v>
      </c>
      <c r="D1512" s="86" t="str">
        <f t="shared" ca="1" si="328"/>
        <v>JARF</v>
      </c>
      <c r="E1512" s="86">
        <f t="shared" ca="1" si="329"/>
        <v>6</v>
      </c>
    </row>
    <row r="1513" spans="1:8" ht="14.25" x14ac:dyDescent="0.45">
      <c r="A1513" s="86">
        <f ca="1"/>
        <v>12</v>
      </c>
      <c r="B1513" s="86" t="str">
        <f ca="1"/>
        <v>C163</v>
      </c>
      <c r="C1513" s="86" t="str">
        <f t="shared" ca="1" si="327"/>
        <v>MOHAMMED SAHEED A.K</v>
      </c>
      <c r="D1513" s="86" t="str">
        <f t="shared" ca="1" si="328"/>
        <v>JARF</v>
      </c>
      <c r="E1513" s="86">
        <f t="shared" ca="1" si="329"/>
        <v>7</v>
      </c>
    </row>
    <row r="1514" spans="1:8" ht="14.25" x14ac:dyDescent="0.45">
      <c r="A1514" s="84" t="s">
        <v>292</v>
      </c>
      <c r="B1514" s="84" t="str">
        <f>VLOOKUP("SN22",f_detailsof_programs,2,FALSE)</f>
        <v>POEM URD</v>
      </c>
      <c r="C1514" s="84"/>
      <c r="D1514" s="84" t="s">
        <v>688</v>
      </c>
      <c r="E1514" s="84" t="s">
        <v>485</v>
      </c>
      <c r="F1514" s="84"/>
      <c r="G1514" s="84"/>
      <c r="H1514" s="84"/>
    </row>
    <row r="1515" spans="1:8" ht="14.25" x14ac:dyDescent="0.45">
      <c r="A1515" s="85" t="s">
        <v>16</v>
      </c>
      <c r="B1515" s="85" t="s">
        <v>480</v>
      </c>
      <c r="C1515" s="85" t="s">
        <v>18</v>
      </c>
      <c r="D1515" s="85" t="s">
        <v>481</v>
      </c>
      <c r="E1515" s="85" t="s">
        <v>19</v>
      </c>
      <c r="F1515" s="85" t="s">
        <v>482</v>
      </c>
      <c r="G1515" s="85" t="s">
        <v>483</v>
      </c>
      <c r="H1515" s="85" t="s">
        <v>484</v>
      </c>
    </row>
    <row r="1516" spans="1:8" ht="14.25" x14ac:dyDescent="0.45">
      <c r="A1516" s="86" cm="1">
        <f t="array" aca="1" ref="A1516:A1527" ca="1">_xlfn.SEQUENCE(COUNTA(_xlfn.LET(_xlpm.trimmed,OFFSET(f_listof_program_candidates,MATCH("SN22",f_listof_program_codes,0)-1,6,1,),TRANSPOSE(_xlfn._xlws.FILTER(OFFSET(_xlpm.trimmed,0,0,,COUNTA(_xlpm.trimmed)-5),OFFSET(_xlpm.trimmed,0,0,,COUNTA(_xlpm.trimmed)-5)&lt;&gt;0)))))</f>
        <v>1</v>
      </c>
      <c r="B1516" s="86" t="str" cm="1">
        <f t="array" aca="1" ref="B1516:B1527" ca="1">_xlfn.LET(_xlpm.trimmed,OFFSET(f_listof_program_candidates,MATCH("SN22",f_listof_program_codes,0)-1,6,1,),TRANSPOSE(_xlfn._xlws.FILTER(OFFSET(_xlpm.trimmed,0,0,,COUNTA(_xlpm.trimmed)-5),OFFSET(_xlpm.trimmed,0,0,,COUNTA(_xlpm.trimmed)-5)&lt;&gt;0)))</f>
        <v>C125</v>
      </c>
      <c r="C1516" s="86" t="str">
        <f t="shared" ref="C1516:C1527" ca="1" si="330">VLOOKUP(B1516,f_detailsof_candidates,2,FALSE)</f>
        <v>AHAMMED MINHAJ E M</v>
      </c>
      <c r="D1516" s="86" t="str">
        <f t="shared" ref="D1516:D1527" ca="1" si="331">VLOOKUP(B1516,f_detailsof_candidates,3,FALSE)</f>
        <v>FANT</v>
      </c>
      <c r="E1516" s="86">
        <f t="shared" ref="E1516:E1527" ca="1" si="332">VLOOKUP(B1516,f_detailsof_candidates,5,FALSE)</f>
        <v>5</v>
      </c>
    </row>
    <row r="1517" spans="1:8" ht="14.25" x14ac:dyDescent="0.45">
      <c r="A1517" s="86">
        <f ca="1"/>
        <v>2</v>
      </c>
      <c r="B1517" s="86" t="str">
        <f ca="1"/>
        <v>C134</v>
      </c>
      <c r="C1517" s="86" t="str">
        <f t="shared" ca="1" si="330"/>
        <v>MUHAMMED ABDUL NASIF P.A</v>
      </c>
      <c r="D1517" s="86" t="str">
        <f t="shared" ca="1" si="331"/>
        <v>FANT</v>
      </c>
      <c r="E1517" s="86">
        <f t="shared" ca="1" si="332"/>
        <v>6</v>
      </c>
    </row>
    <row r="1518" spans="1:8" ht="14.25" x14ac:dyDescent="0.45">
      <c r="A1518" s="86">
        <f ca="1"/>
        <v>3</v>
      </c>
      <c r="B1518" s="86" t="str">
        <f ca="1"/>
        <v>C138</v>
      </c>
      <c r="C1518" s="86" t="str">
        <f t="shared" ca="1" si="330"/>
        <v>MOHAMMED MOINUDDEEN CHISTY</v>
      </c>
      <c r="D1518" s="86" t="str">
        <f t="shared" ca="1" si="331"/>
        <v>FANT</v>
      </c>
      <c r="E1518" s="86">
        <f t="shared" ca="1" si="332"/>
        <v>6</v>
      </c>
    </row>
    <row r="1519" spans="1:8" ht="14.25" x14ac:dyDescent="0.45">
      <c r="A1519" s="86">
        <f ca="1"/>
        <v>4</v>
      </c>
      <c r="B1519" s="86" t="str">
        <f ca="1"/>
        <v>C136</v>
      </c>
      <c r="C1519" s="86" t="str">
        <f t="shared" ca="1" si="330"/>
        <v>MOHAMMED SHAKIR HUSSAIN K.Y</v>
      </c>
      <c r="D1519" s="86" t="str">
        <f t="shared" ca="1" si="331"/>
        <v>DAHF</v>
      </c>
      <c r="E1519" s="86">
        <f t="shared" ca="1" si="332"/>
        <v>6</v>
      </c>
    </row>
    <row r="1520" spans="1:8" ht="14.25" x14ac:dyDescent="0.45">
      <c r="A1520" s="86">
        <f ca="1"/>
        <v>5</v>
      </c>
      <c r="B1520" s="86" t="str">
        <f ca="1"/>
        <v>C158</v>
      </c>
      <c r="C1520" s="86" t="str">
        <f t="shared" ca="1" si="330"/>
        <v>ABDUL FATHAH AHAMMED C</v>
      </c>
      <c r="D1520" s="86" t="str">
        <f t="shared" ca="1" si="331"/>
        <v>DAHF</v>
      </c>
      <c r="E1520" s="86">
        <f t="shared" ca="1" si="332"/>
        <v>6</v>
      </c>
    </row>
    <row r="1521" spans="1:8" ht="14.25" x14ac:dyDescent="0.45">
      <c r="A1521" s="86">
        <f ca="1"/>
        <v>6</v>
      </c>
      <c r="B1521" s="86" t="str">
        <f ca="1"/>
        <v>C177</v>
      </c>
      <c r="C1521" s="86" t="str">
        <f t="shared" ca="1" si="330"/>
        <v>MOHAMMED HUSSAIN</v>
      </c>
      <c r="D1521" s="86" t="str">
        <f t="shared" ca="1" si="331"/>
        <v>DAHF</v>
      </c>
      <c r="E1521" s="86">
        <f t="shared" ca="1" si="332"/>
        <v>7</v>
      </c>
    </row>
    <row r="1522" spans="1:8" ht="14.25" x14ac:dyDescent="0.45">
      <c r="A1522" s="86">
        <f ca="1"/>
        <v>7</v>
      </c>
      <c r="B1522" s="86" t="str">
        <f ca="1"/>
        <v>C129</v>
      </c>
      <c r="C1522" s="86" t="str">
        <f t="shared" ca="1" si="330"/>
        <v>P K ZAMEEL AHMED</v>
      </c>
      <c r="D1522" s="86" t="str">
        <f t="shared" ca="1" si="331"/>
        <v>BADF</v>
      </c>
      <c r="E1522" s="86">
        <f t="shared" ca="1" si="332"/>
        <v>5</v>
      </c>
    </row>
    <row r="1523" spans="1:8" ht="14.25" x14ac:dyDescent="0.45">
      <c r="A1523" s="86">
        <f ca="1"/>
        <v>8</v>
      </c>
      <c r="B1523" s="86" t="str">
        <f ca="1"/>
        <v>C170</v>
      </c>
      <c r="C1523" s="86" t="str">
        <f t="shared" ca="1" si="330"/>
        <v>RUMAIZALI R IBRAHIM</v>
      </c>
      <c r="D1523" s="86" t="str">
        <f t="shared" ca="1" si="331"/>
        <v>BADF</v>
      </c>
      <c r="E1523" s="86">
        <f t="shared" ca="1" si="332"/>
        <v>7</v>
      </c>
    </row>
    <row r="1524" spans="1:8" ht="14.25" x14ac:dyDescent="0.45">
      <c r="A1524" s="86">
        <f ca="1"/>
        <v>9</v>
      </c>
      <c r="B1524" s="86" t="str">
        <f ca="1"/>
        <v>C174</v>
      </c>
      <c r="C1524" s="86" t="str">
        <f t="shared" ca="1" si="330"/>
        <v>MUHAMMAD MUSTHAFA K.M</v>
      </c>
      <c r="D1524" s="86" t="str">
        <f t="shared" ca="1" si="331"/>
        <v>BADF</v>
      </c>
      <c r="E1524" s="86">
        <f t="shared" ca="1" si="332"/>
        <v>7</v>
      </c>
    </row>
    <row r="1525" spans="1:8" ht="14.25" x14ac:dyDescent="0.45">
      <c r="A1525" s="86">
        <f ca="1"/>
        <v>10</v>
      </c>
      <c r="B1525" s="86" t="str">
        <f ca="1"/>
        <v>C105</v>
      </c>
      <c r="C1525" s="86" t="str">
        <f t="shared" ca="1" si="330"/>
        <v>AHMAD MANAL KUDINGILA</v>
      </c>
      <c r="D1525" s="86" t="str">
        <f t="shared" ca="1" si="331"/>
        <v>JARF</v>
      </c>
      <c r="E1525" s="86">
        <f t="shared" ca="1" si="332"/>
        <v>5</v>
      </c>
    </row>
    <row r="1526" spans="1:8" ht="14.25" x14ac:dyDescent="0.45">
      <c r="A1526" s="86">
        <f ca="1"/>
        <v>11</v>
      </c>
      <c r="B1526" s="86" t="str">
        <f ca="1"/>
        <v>C147</v>
      </c>
      <c r="C1526" s="86" t="str">
        <f t="shared" ca="1" si="330"/>
        <v>AHAMED ZAKI FOUZAN T.Z</v>
      </c>
      <c r="D1526" s="86" t="str">
        <f t="shared" ca="1" si="331"/>
        <v>JARF</v>
      </c>
      <c r="E1526" s="86">
        <f t="shared" ca="1" si="332"/>
        <v>6</v>
      </c>
    </row>
    <row r="1527" spans="1:8" ht="14.25" x14ac:dyDescent="0.45">
      <c r="A1527" s="86">
        <f ca="1"/>
        <v>12</v>
      </c>
      <c r="B1527" s="86" t="str">
        <f ca="1"/>
        <v>C165</v>
      </c>
      <c r="C1527" s="86" t="str">
        <f t="shared" ca="1" si="330"/>
        <v>MUHAMMAD IBN AHMAD</v>
      </c>
      <c r="D1527" s="86" t="str">
        <f t="shared" ca="1" si="331"/>
        <v>JARF</v>
      </c>
      <c r="E1527" s="86">
        <f t="shared" ca="1" si="332"/>
        <v>7</v>
      </c>
    </row>
    <row r="1528" spans="1:8" ht="14.25" x14ac:dyDescent="0.45">
      <c r="A1528" s="84" t="s">
        <v>293</v>
      </c>
      <c r="B1528" s="84" t="str">
        <f>VLOOKUP("SN23",f_detailsof_programs,2,FALSE)</f>
        <v>POSTER DESIGNING DIGITAL</v>
      </c>
      <c r="C1528" s="84"/>
      <c r="D1528" s="84" t="s">
        <v>688</v>
      </c>
      <c r="E1528" s="84" t="s">
        <v>486</v>
      </c>
      <c r="F1528" s="84"/>
      <c r="G1528" s="84"/>
      <c r="H1528" s="84"/>
    </row>
    <row r="1529" spans="1:8" ht="14.25" x14ac:dyDescent="0.45">
      <c r="A1529" s="85" t="s">
        <v>16</v>
      </c>
      <c r="B1529" s="85" t="s">
        <v>480</v>
      </c>
      <c r="C1529" s="85" t="s">
        <v>18</v>
      </c>
      <c r="D1529" s="85" t="s">
        <v>481</v>
      </c>
      <c r="E1529" s="85" t="s">
        <v>19</v>
      </c>
      <c r="F1529" s="85" t="s">
        <v>482</v>
      </c>
      <c r="G1529" s="85" t="s">
        <v>483</v>
      </c>
      <c r="H1529" s="85" t="s">
        <v>484</v>
      </c>
    </row>
    <row r="1530" spans="1:8" ht="14.25" x14ac:dyDescent="0.45">
      <c r="A1530" s="86" cm="1">
        <f t="array" aca="1" ref="A1530:A1537" ca="1">_xlfn.SEQUENCE(COUNTA(_xlfn.LET(_xlpm.trimmed,OFFSET(f_listof_program_candidates,MATCH("SN23",f_listof_program_codes,0)-1,6,1,),TRANSPOSE(_xlfn._xlws.FILTER(OFFSET(_xlpm.trimmed,0,0,,COUNTA(_xlpm.trimmed)-5),OFFSET(_xlpm.trimmed,0,0,,COUNTA(_xlpm.trimmed)-5)&lt;&gt;0)))))</f>
        <v>1</v>
      </c>
      <c r="B1530" s="86" t="str" cm="1">
        <f t="array" aca="1" ref="B1530:B1537" ca="1">_xlfn.LET(_xlpm.trimmed,OFFSET(f_listof_program_candidates,MATCH("SN23",f_listof_program_codes,0)-1,6,1,),TRANSPOSE(_xlfn._xlws.FILTER(OFFSET(_xlpm.trimmed,0,0,,COUNTA(_xlpm.trimmed)-5),OFFSET(_xlpm.trimmed,0,0,,COUNTA(_xlpm.trimmed)-5)&lt;&gt;0)))</f>
        <v>C168</v>
      </c>
      <c r="C1530" s="86" t="str">
        <f t="shared" ref="C1530:C1537" ca="1" si="333">VLOOKUP(B1530,f_detailsof_candidates,2,FALSE)</f>
        <v>MUHAMMED SHAHAN P.S</v>
      </c>
      <c r="D1530" s="86" t="str">
        <f t="shared" ref="D1530:D1537" ca="1" si="334">VLOOKUP(B1530,f_detailsof_candidates,3,FALSE)</f>
        <v>FANT</v>
      </c>
      <c r="E1530" s="86">
        <f t="shared" ref="E1530:E1537" ca="1" si="335">VLOOKUP(B1530,f_detailsof_candidates,5,FALSE)</f>
        <v>7</v>
      </c>
    </row>
    <row r="1531" spans="1:8" ht="14.25" x14ac:dyDescent="0.45">
      <c r="A1531" s="86">
        <f ca="1"/>
        <v>2</v>
      </c>
      <c r="B1531" s="86" t="str">
        <f ca="1"/>
        <v>C176</v>
      </c>
      <c r="C1531" s="86" t="str">
        <f t="shared" ca="1" si="333"/>
        <v>MUHAMMED T A</v>
      </c>
      <c r="D1531" s="86" t="str">
        <f t="shared" ca="1" si="334"/>
        <v>FANT</v>
      </c>
      <c r="E1531" s="86">
        <f t="shared" ca="1" si="335"/>
        <v>7</v>
      </c>
    </row>
    <row r="1532" spans="1:8" ht="14.25" x14ac:dyDescent="0.45">
      <c r="A1532" s="86">
        <f ca="1"/>
        <v>3</v>
      </c>
      <c r="B1532" s="86" t="str">
        <f ca="1"/>
        <v>C102</v>
      </c>
      <c r="C1532" s="86" t="str">
        <f t="shared" ca="1" si="333"/>
        <v>AHAMMED MAHSHOOK M.B</v>
      </c>
      <c r="D1532" s="86" t="str">
        <f t="shared" ca="1" si="334"/>
        <v>DAHF</v>
      </c>
      <c r="E1532" s="86">
        <f t="shared" ca="1" si="335"/>
        <v>5</v>
      </c>
    </row>
    <row r="1533" spans="1:8" ht="14.25" x14ac:dyDescent="0.45">
      <c r="A1533" s="86">
        <f ca="1"/>
        <v>4</v>
      </c>
      <c r="B1533" s="86" t="str">
        <f ca="1"/>
        <v>C179</v>
      </c>
      <c r="C1533" s="86" t="str">
        <f t="shared" ca="1" si="333"/>
        <v>MUHAMMED FARHAN</v>
      </c>
      <c r="D1533" s="86" t="str">
        <f t="shared" ca="1" si="334"/>
        <v>DAHF</v>
      </c>
      <c r="E1533" s="86">
        <f t="shared" ca="1" si="335"/>
        <v>7</v>
      </c>
    </row>
    <row r="1534" spans="1:8" ht="14.25" x14ac:dyDescent="0.45">
      <c r="A1534" s="86">
        <f ca="1"/>
        <v>5</v>
      </c>
      <c r="B1534" s="86" t="str">
        <f ca="1"/>
        <v>C124</v>
      </c>
      <c r="C1534" s="86" t="str">
        <f t="shared" ca="1" si="333"/>
        <v>MOHAMMED MUBASHIR</v>
      </c>
      <c r="D1534" s="86" t="str">
        <f t="shared" ca="1" si="334"/>
        <v>BADF</v>
      </c>
      <c r="E1534" s="86">
        <f t="shared" ca="1" si="335"/>
        <v>5</v>
      </c>
    </row>
    <row r="1535" spans="1:8" ht="14.25" x14ac:dyDescent="0.45">
      <c r="A1535" s="86">
        <f ca="1"/>
        <v>6</v>
      </c>
      <c r="B1535" s="86" t="str">
        <f ca="1"/>
        <v>C141</v>
      </c>
      <c r="C1535" s="86" t="str">
        <f t="shared" ca="1" si="333"/>
        <v>AHMAD MINHAJ</v>
      </c>
      <c r="D1535" s="86" t="str">
        <f t="shared" ca="1" si="334"/>
        <v>BADF</v>
      </c>
      <c r="E1535" s="86">
        <f t="shared" ca="1" si="335"/>
        <v>6</v>
      </c>
    </row>
    <row r="1536" spans="1:8" ht="14.25" x14ac:dyDescent="0.45">
      <c r="A1536" s="86">
        <f ca="1"/>
        <v>7</v>
      </c>
      <c r="B1536" s="86" t="str">
        <f ca="1"/>
        <v>C146</v>
      </c>
      <c r="C1536" s="86" t="str">
        <f t="shared" ca="1" si="333"/>
        <v>IMRAN HUSSAIN TI</v>
      </c>
      <c r="D1536" s="86" t="str">
        <f t="shared" ca="1" si="334"/>
        <v>JARF</v>
      </c>
      <c r="E1536" s="86">
        <f t="shared" ca="1" si="335"/>
        <v>6</v>
      </c>
    </row>
    <row r="1537" spans="1:8" ht="14.25" x14ac:dyDescent="0.45">
      <c r="A1537" s="86">
        <f ca="1"/>
        <v>8</v>
      </c>
      <c r="B1537" s="86" t="str">
        <f ca="1"/>
        <v>C165</v>
      </c>
      <c r="C1537" s="86" t="str">
        <f t="shared" ca="1" si="333"/>
        <v>MUHAMMAD IBN AHMAD</v>
      </c>
      <c r="D1537" s="86" t="str">
        <f t="shared" ca="1" si="334"/>
        <v>JARF</v>
      </c>
      <c r="E1537" s="86">
        <f t="shared" ca="1" si="335"/>
        <v>7</v>
      </c>
    </row>
    <row r="1538" spans="1:8" ht="14.25" x14ac:dyDescent="0.45">
      <c r="A1538" s="84" t="s">
        <v>294</v>
      </c>
      <c r="B1538" s="84" t="str">
        <f>VLOOKUP("SN24",f_detailsof_programs,2,FALSE)</f>
        <v>QIRĀʾAH</v>
      </c>
      <c r="C1538" s="84"/>
      <c r="D1538" s="84" t="s">
        <v>688</v>
      </c>
      <c r="E1538" s="84" t="s">
        <v>485</v>
      </c>
      <c r="F1538" s="84"/>
      <c r="G1538" s="84"/>
      <c r="H1538" s="84"/>
    </row>
    <row r="1539" spans="1:8" ht="14.25" x14ac:dyDescent="0.45">
      <c r="A1539" s="85" t="s">
        <v>16</v>
      </c>
      <c r="B1539" s="85" t="s">
        <v>480</v>
      </c>
      <c r="C1539" s="85" t="s">
        <v>18</v>
      </c>
      <c r="D1539" s="85" t="s">
        <v>481</v>
      </c>
      <c r="E1539" s="85" t="s">
        <v>19</v>
      </c>
      <c r="F1539" s="85" t="s">
        <v>482</v>
      </c>
      <c r="G1539" s="85" t="s">
        <v>483</v>
      </c>
      <c r="H1539" s="85" t="s">
        <v>484</v>
      </c>
    </row>
    <row r="1540" spans="1:8" ht="14.25" x14ac:dyDescent="0.45">
      <c r="A1540" s="86" cm="1">
        <f t="array" aca="1" ref="A1540:A1551" ca="1">_xlfn.SEQUENCE(COUNTA(_xlfn.LET(_xlpm.trimmed,OFFSET(f_listof_program_candidates,MATCH("SN24",f_listof_program_codes,0)-1,6,1,),TRANSPOSE(_xlfn._xlws.FILTER(OFFSET(_xlpm.trimmed,0,0,,COUNTA(_xlpm.trimmed)-5),OFFSET(_xlpm.trimmed,0,0,,COUNTA(_xlpm.trimmed)-5)&lt;&gt;0)))))</f>
        <v>1</v>
      </c>
      <c r="B1540" s="86" t="str" cm="1">
        <f t="array" aca="1" ref="B1540:B1551" ca="1">_xlfn.LET(_xlpm.trimmed,OFFSET(f_listof_program_candidates,MATCH("SN24",f_listof_program_codes,0)-1,6,1,),TRANSPOSE(_xlfn._xlws.FILTER(OFFSET(_xlpm.trimmed,0,0,,COUNTA(_xlpm.trimmed)-5),OFFSET(_xlpm.trimmed,0,0,,COUNTA(_xlpm.trimmed)-5)&lt;&gt;0)))</f>
        <v>C112</v>
      </c>
      <c r="C1540" s="86" t="str">
        <f t="shared" ref="C1540:C1551" ca="1" si="336">VLOOKUP(B1540,f_detailsof_candidates,2,FALSE)</f>
        <v>MOHAMMED SA'DUDDEEN K</v>
      </c>
      <c r="D1540" s="86" t="str">
        <f t="shared" ref="D1540:D1551" ca="1" si="337">VLOOKUP(B1540,f_detailsof_candidates,3,FALSE)</f>
        <v>FANT</v>
      </c>
      <c r="E1540" s="86">
        <f t="shared" ref="E1540:E1551" ca="1" si="338">VLOOKUP(B1540,f_detailsof_candidates,5,FALSE)</f>
        <v>5</v>
      </c>
    </row>
    <row r="1541" spans="1:8" ht="14.25" x14ac:dyDescent="0.45">
      <c r="A1541" s="86">
        <f ca="1"/>
        <v>2</v>
      </c>
      <c r="B1541" s="86" t="str">
        <f ca="1"/>
        <v>C131</v>
      </c>
      <c r="C1541" s="86" t="str">
        <f t="shared" ca="1" si="336"/>
        <v>IBRAHIM AHRAZ</v>
      </c>
      <c r="D1541" s="86" t="str">
        <f t="shared" ca="1" si="337"/>
        <v>FANT</v>
      </c>
      <c r="E1541" s="86">
        <f t="shared" ca="1" si="338"/>
        <v>6</v>
      </c>
    </row>
    <row r="1542" spans="1:8" ht="14.25" x14ac:dyDescent="0.45">
      <c r="A1542" s="86">
        <f ca="1"/>
        <v>3</v>
      </c>
      <c r="B1542" s="86" t="str">
        <f ca="1"/>
        <v>C142</v>
      </c>
      <c r="C1542" s="86" t="str">
        <f t="shared" ca="1" si="336"/>
        <v>AHMAD AMEEN T S</v>
      </c>
      <c r="D1542" s="86" t="str">
        <f t="shared" ca="1" si="337"/>
        <v>FANT</v>
      </c>
      <c r="E1542" s="86">
        <f t="shared" ca="1" si="338"/>
        <v>6</v>
      </c>
    </row>
    <row r="1543" spans="1:8" ht="14.25" x14ac:dyDescent="0.45">
      <c r="A1543" s="86">
        <f ca="1"/>
        <v>4</v>
      </c>
      <c r="B1543" s="86" t="str">
        <f ca="1"/>
        <v>C120</v>
      </c>
      <c r="C1543" s="86" t="str">
        <f t="shared" ca="1" si="336"/>
        <v>MAJID MUHAMMED M</v>
      </c>
      <c r="D1543" s="86" t="str">
        <f t="shared" ca="1" si="337"/>
        <v>DAHF</v>
      </c>
      <c r="E1543" s="86">
        <f t="shared" ca="1" si="338"/>
        <v>5</v>
      </c>
    </row>
    <row r="1544" spans="1:8" ht="14.25" x14ac:dyDescent="0.45">
      <c r="A1544" s="86">
        <f ca="1"/>
        <v>5</v>
      </c>
      <c r="B1544" s="86" t="str">
        <f ca="1"/>
        <v>C136</v>
      </c>
      <c r="C1544" s="86" t="str">
        <f t="shared" ca="1" si="336"/>
        <v>MOHAMMED SHAKIR HUSSAIN K.Y</v>
      </c>
      <c r="D1544" s="86" t="str">
        <f t="shared" ca="1" si="337"/>
        <v>DAHF</v>
      </c>
      <c r="E1544" s="86">
        <f t="shared" ca="1" si="338"/>
        <v>6</v>
      </c>
    </row>
    <row r="1545" spans="1:8" ht="14.25" x14ac:dyDescent="0.45">
      <c r="A1545" s="86">
        <f ca="1"/>
        <v>6</v>
      </c>
      <c r="B1545" s="86" t="str">
        <f ca="1"/>
        <v>C150</v>
      </c>
      <c r="C1545" s="86" t="str">
        <f t="shared" ca="1" si="336"/>
        <v>MUHAMMED PK</v>
      </c>
      <c r="D1545" s="86" t="str">
        <f t="shared" ca="1" si="337"/>
        <v>DAHF</v>
      </c>
      <c r="E1545" s="86">
        <f t="shared" ca="1" si="338"/>
        <v>6</v>
      </c>
    </row>
    <row r="1546" spans="1:8" ht="14.25" x14ac:dyDescent="0.45">
      <c r="A1546" s="86">
        <f ca="1"/>
        <v>7</v>
      </c>
      <c r="B1546" s="86" t="str">
        <f ca="1"/>
        <v>C109</v>
      </c>
      <c r="C1546" s="86" t="str">
        <f t="shared" ca="1" si="336"/>
        <v>ABDULLA FARHAN M</v>
      </c>
      <c r="D1546" s="86" t="str">
        <f t="shared" ca="1" si="337"/>
        <v>BADF</v>
      </c>
      <c r="E1546" s="86">
        <f t="shared" ca="1" si="338"/>
        <v>5</v>
      </c>
    </row>
    <row r="1547" spans="1:8" ht="14.25" x14ac:dyDescent="0.45">
      <c r="A1547" s="86">
        <f ca="1"/>
        <v>8</v>
      </c>
      <c r="B1547" s="86" t="str">
        <f ca="1"/>
        <v>C129</v>
      </c>
      <c r="C1547" s="86" t="str">
        <f t="shared" ca="1" si="336"/>
        <v>P K ZAMEEL AHMED</v>
      </c>
      <c r="D1547" s="86" t="str">
        <f t="shared" ca="1" si="337"/>
        <v>BADF</v>
      </c>
      <c r="E1547" s="86">
        <f t="shared" ca="1" si="338"/>
        <v>5</v>
      </c>
    </row>
    <row r="1548" spans="1:8" ht="14.25" x14ac:dyDescent="0.45">
      <c r="A1548" s="86">
        <f ca="1"/>
        <v>9</v>
      </c>
      <c r="B1548" s="86" t="str">
        <f ca="1"/>
        <v>C159</v>
      </c>
      <c r="C1548" s="86" t="str">
        <f t="shared" ca="1" si="336"/>
        <v>MUHAMMED KAIF BS</v>
      </c>
      <c r="D1548" s="86" t="str">
        <f t="shared" ca="1" si="337"/>
        <v>BADF</v>
      </c>
      <c r="E1548" s="86">
        <f t="shared" ca="1" si="338"/>
        <v>6</v>
      </c>
    </row>
    <row r="1549" spans="1:8" ht="14.25" x14ac:dyDescent="0.45">
      <c r="A1549" s="86">
        <f ca="1"/>
        <v>10</v>
      </c>
      <c r="B1549" s="86" t="str">
        <f ca="1"/>
        <v>C111</v>
      </c>
      <c r="C1549" s="86" t="str">
        <f t="shared" ca="1" si="336"/>
        <v>MUHAMMAD ISMAIL HAMDULLA V K</v>
      </c>
      <c r="D1549" s="86" t="str">
        <f t="shared" ca="1" si="337"/>
        <v>JARF</v>
      </c>
      <c r="E1549" s="86">
        <f t="shared" ca="1" si="338"/>
        <v>5</v>
      </c>
    </row>
    <row r="1550" spans="1:8" ht="14.25" x14ac:dyDescent="0.45">
      <c r="A1550" s="86">
        <f ca="1"/>
        <v>11</v>
      </c>
      <c r="B1550" s="86" t="str">
        <f ca="1"/>
        <v>C121</v>
      </c>
      <c r="C1550" s="86" t="str">
        <f t="shared" ca="1" si="336"/>
        <v>ABDUL SALAM ARIF</v>
      </c>
      <c r="D1550" s="86" t="str">
        <f t="shared" ca="1" si="337"/>
        <v>JARF</v>
      </c>
      <c r="E1550" s="86">
        <f t="shared" ca="1" si="338"/>
        <v>5</v>
      </c>
    </row>
    <row r="1551" spans="1:8" ht="14.25" x14ac:dyDescent="0.45">
      <c r="A1551" s="86">
        <f ca="1"/>
        <v>12</v>
      </c>
      <c r="B1551" s="86" t="str">
        <f ca="1"/>
        <v>C165</v>
      </c>
      <c r="C1551" s="86" t="str">
        <f t="shared" ca="1" si="336"/>
        <v>MUHAMMAD IBN AHMAD</v>
      </c>
      <c r="D1551" s="86" t="str">
        <f t="shared" ca="1" si="337"/>
        <v>JARF</v>
      </c>
      <c r="E1551" s="86">
        <f t="shared" ca="1" si="338"/>
        <v>7</v>
      </c>
    </row>
    <row r="1552" spans="1:8" ht="14.25" x14ac:dyDescent="0.45">
      <c r="A1552" s="84" t="s">
        <v>295</v>
      </c>
      <c r="B1552" s="84" t="str">
        <f>VLOOKUP("SN25",f_detailsof_programs,2,FALSE)</f>
        <v>SCIENCE MASTER</v>
      </c>
      <c r="C1552" s="84"/>
      <c r="D1552" s="84" t="s">
        <v>688</v>
      </c>
      <c r="E1552" s="84" t="s">
        <v>485</v>
      </c>
      <c r="F1552" s="84"/>
      <c r="G1552" s="84"/>
      <c r="H1552" s="84"/>
    </row>
    <row r="1553" spans="1:8" ht="14.25" x14ac:dyDescent="0.45">
      <c r="A1553" s="85" t="s">
        <v>16</v>
      </c>
      <c r="B1553" s="85" t="s">
        <v>480</v>
      </c>
      <c r="C1553" s="85" t="s">
        <v>18</v>
      </c>
      <c r="D1553" s="85" t="s">
        <v>481</v>
      </c>
      <c r="E1553" s="85" t="s">
        <v>19</v>
      </c>
      <c r="F1553" s="85" t="s">
        <v>482</v>
      </c>
      <c r="G1553" s="85" t="s">
        <v>483</v>
      </c>
      <c r="H1553" s="85" t="s">
        <v>484</v>
      </c>
    </row>
    <row r="1554" spans="1:8" ht="14.25" x14ac:dyDescent="0.45">
      <c r="A1554" s="86" cm="1">
        <f t="array" aca="1" ref="A1554:A1565" ca="1">_xlfn.SEQUENCE(COUNTA(_xlfn.LET(_xlpm.trimmed,OFFSET(f_listof_program_candidates,MATCH("SN25",f_listof_program_codes,0)-1,6,1,),TRANSPOSE(_xlfn._xlws.FILTER(OFFSET(_xlpm.trimmed,0,0,,COUNTA(_xlpm.trimmed)-5),OFFSET(_xlpm.trimmed,0,0,,COUNTA(_xlpm.trimmed)-5)&lt;&gt;0)))))</f>
        <v>1</v>
      </c>
      <c r="B1554" s="86" t="str" cm="1">
        <f t="array" aca="1" ref="B1554:B1565" ca="1">_xlfn.LET(_xlpm.trimmed,OFFSET(f_listof_program_candidates,MATCH("SN25",f_listof_program_codes,0)-1,6,1,),TRANSPOSE(_xlfn._xlws.FILTER(OFFSET(_xlpm.trimmed,0,0,,COUNTA(_xlpm.trimmed)-5),OFFSET(_xlpm.trimmed,0,0,,COUNTA(_xlpm.trimmed)-5)&lt;&gt;0)))</f>
        <v>C108</v>
      </c>
      <c r="C1554" s="86" t="str">
        <f t="shared" ref="C1554:C1565" ca="1" si="339">VLOOKUP(B1554,f_detailsof_candidates,2,FALSE)</f>
        <v>ABDULLA SALMAN FARIS M</v>
      </c>
      <c r="D1554" s="86" t="str">
        <f t="shared" ref="D1554:D1565" ca="1" si="340">VLOOKUP(B1554,f_detailsof_candidates,3,FALSE)</f>
        <v>FANT</v>
      </c>
      <c r="E1554" s="86">
        <f t="shared" ref="E1554:E1565" ca="1" si="341">VLOOKUP(B1554,f_detailsof_candidates,5,FALSE)</f>
        <v>5</v>
      </c>
    </row>
    <row r="1555" spans="1:8" ht="14.25" x14ac:dyDescent="0.45">
      <c r="A1555" s="86">
        <f ca="1"/>
        <v>2</v>
      </c>
      <c r="B1555" s="86" t="str">
        <f ca="1"/>
        <v>C115</v>
      </c>
      <c r="C1555" s="86" t="str">
        <f t="shared" ca="1" si="339"/>
        <v>MOHAMMED ABDUL KHADER K</v>
      </c>
      <c r="D1555" s="86" t="str">
        <f t="shared" ca="1" si="340"/>
        <v>FANT</v>
      </c>
      <c r="E1555" s="86">
        <f t="shared" ca="1" si="341"/>
        <v>5</v>
      </c>
    </row>
    <row r="1556" spans="1:8" ht="14.25" x14ac:dyDescent="0.45">
      <c r="A1556" s="86">
        <f ca="1"/>
        <v>3</v>
      </c>
      <c r="B1556" s="86" t="str">
        <f ca="1"/>
        <v>C156</v>
      </c>
      <c r="C1556" s="86" t="str">
        <f t="shared" ca="1" si="339"/>
        <v>ABDULLA RAMSHAD</v>
      </c>
      <c r="D1556" s="86" t="str">
        <f t="shared" ca="1" si="340"/>
        <v>FANT</v>
      </c>
      <c r="E1556" s="86">
        <f t="shared" ca="1" si="341"/>
        <v>6</v>
      </c>
    </row>
    <row r="1557" spans="1:8" ht="14.25" x14ac:dyDescent="0.45">
      <c r="A1557" s="86">
        <f ca="1"/>
        <v>4</v>
      </c>
      <c r="B1557" s="86" t="str">
        <f ca="1"/>
        <v>C133</v>
      </c>
      <c r="C1557" s="86" t="str">
        <f t="shared" ca="1" si="339"/>
        <v>SALMANUL FARIS</v>
      </c>
      <c r="D1557" s="86" t="str">
        <f t="shared" ca="1" si="340"/>
        <v>DAHF</v>
      </c>
      <c r="E1557" s="86">
        <f t="shared" ca="1" si="341"/>
        <v>6</v>
      </c>
    </row>
    <row r="1558" spans="1:8" ht="14.25" x14ac:dyDescent="0.45">
      <c r="A1558" s="86">
        <f ca="1"/>
        <v>5</v>
      </c>
      <c r="B1558" s="86" t="str">
        <f ca="1"/>
        <v>C144</v>
      </c>
      <c r="C1558" s="86" t="str">
        <f t="shared" ca="1" si="339"/>
        <v>MUHAMMED ASHKKAR ALI</v>
      </c>
      <c r="D1558" s="86" t="str">
        <f t="shared" ca="1" si="340"/>
        <v>DAHF</v>
      </c>
      <c r="E1558" s="86">
        <f t="shared" ca="1" si="341"/>
        <v>6</v>
      </c>
    </row>
    <row r="1559" spans="1:8" ht="14.25" x14ac:dyDescent="0.45">
      <c r="A1559" s="86">
        <f ca="1"/>
        <v>6</v>
      </c>
      <c r="B1559" s="86" t="str">
        <f ca="1"/>
        <v>C166</v>
      </c>
      <c r="C1559" s="86" t="str">
        <f t="shared" ca="1" si="339"/>
        <v>RESWAN</v>
      </c>
      <c r="D1559" s="86" t="str">
        <f t="shared" ca="1" si="340"/>
        <v>DAHF</v>
      </c>
      <c r="E1559" s="86">
        <f t="shared" ca="1" si="341"/>
        <v>7</v>
      </c>
    </row>
    <row r="1560" spans="1:8" ht="14.25" x14ac:dyDescent="0.45">
      <c r="A1560" s="86">
        <f ca="1"/>
        <v>7</v>
      </c>
      <c r="B1560" s="86" t="str">
        <f ca="1"/>
        <v>C103</v>
      </c>
      <c r="C1560" s="86" t="str">
        <f t="shared" ca="1" si="339"/>
        <v>MUHAMMED ABDUL KADER</v>
      </c>
      <c r="D1560" s="86" t="str">
        <f t="shared" ca="1" si="340"/>
        <v>BADF</v>
      </c>
      <c r="E1560" s="86">
        <f t="shared" ca="1" si="341"/>
        <v>5</v>
      </c>
    </row>
    <row r="1561" spans="1:8" ht="14.25" x14ac:dyDescent="0.45">
      <c r="A1561" s="86">
        <f ca="1"/>
        <v>8</v>
      </c>
      <c r="B1561" s="86" t="str">
        <f ca="1"/>
        <v>C114</v>
      </c>
      <c r="C1561" s="86" t="str">
        <f t="shared" ca="1" si="339"/>
        <v>AJMAL RUWAIS</v>
      </c>
      <c r="D1561" s="86" t="str">
        <f t="shared" ca="1" si="340"/>
        <v>BADF</v>
      </c>
      <c r="E1561" s="86">
        <f t="shared" ca="1" si="341"/>
        <v>5</v>
      </c>
    </row>
    <row r="1562" spans="1:8" ht="14.25" x14ac:dyDescent="0.45">
      <c r="A1562" s="86">
        <f ca="1"/>
        <v>9</v>
      </c>
      <c r="B1562" s="86" t="str">
        <f ca="1"/>
        <v>C170</v>
      </c>
      <c r="C1562" s="86" t="str">
        <f t="shared" ca="1" si="339"/>
        <v>RUMAIZALI R IBRAHIM</v>
      </c>
      <c r="D1562" s="86" t="str">
        <f t="shared" ca="1" si="340"/>
        <v>BADF</v>
      </c>
      <c r="E1562" s="86">
        <f t="shared" ca="1" si="341"/>
        <v>7</v>
      </c>
    </row>
    <row r="1563" spans="1:8" ht="14.25" x14ac:dyDescent="0.45">
      <c r="A1563" s="86">
        <f ca="1"/>
        <v>10</v>
      </c>
      <c r="B1563" s="86" t="str">
        <f ca="1"/>
        <v>C140</v>
      </c>
      <c r="C1563" s="86" t="str">
        <f t="shared" ca="1" si="339"/>
        <v>IJAS EBRAHIM</v>
      </c>
      <c r="D1563" s="86" t="str">
        <f t="shared" ca="1" si="340"/>
        <v>JARF</v>
      </c>
      <c r="E1563" s="86">
        <f t="shared" ca="1" si="341"/>
        <v>6</v>
      </c>
    </row>
    <row r="1564" spans="1:8" ht="14.25" x14ac:dyDescent="0.45">
      <c r="A1564" s="86">
        <f ca="1"/>
        <v>11</v>
      </c>
      <c r="B1564" s="86" t="str">
        <f ca="1"/>
        <v>C143</v>
      </c>
      <c r="C1564" s="86" t="str">
        <f t="shared" ca="1" si="339"/>
        <v>MUHAMMED SINAN M</v>
      </c>
      <c r="D1564" s="86" t="str">
        <f t="shared" ca="1" si="340"/>
        <v>JARF</v>
      </c>
      <c r="E1564" s="86">
        <f t="shared" ca="1" si="341"/>
        <v>6</v>
      </c>
    </row>
    <row r="1565" spans="1:8" ht="14.25" x14ac:dyDescent="0.45">
      <c r="A1565" s="86">
        <f ca="1"/>
        <v>12</v>
      </c>
      <c r="B1565" s="86" t="str">
        <f ca="1"/>
        <v>C151</v>
      </c>
      <c r="C1565" s="86" t="str">
        <f t="shared" ca="1" si="339"/>
        <v>MOHAMMED ASHMIL K A</v>
      </c>
      <c r="D1565" s="86" t="str">
        <f t="shared" ca="1" si="340"/>
        <v>JARF</v>
      </c>
      <c r="E1565" s="86">
        <f t="shared" ca="1" si="341"/>
        <v>6</v>
      </c>
    </row>
    <row r="1566" spans="1:8" ht="14.25" x14ac:dyDescent="0.45">
      <c r="A1566" s="84" t="s">
        <v>296</v>
      </c>
      <c r="B1566" s="84" t="str">
        <f>VLOOKUP("SN26",f_detailsof_programs,2,FALSE)</f>
        <v>SHORT STORY ARB</v>
      </c>
      <c r="C1566" s="84"/>
      <c r="D1566" s="84" t="s">
        <v>688</v>
      </c>
      <c r="E1566" s="84" t="s">
        <v>485</v>
      </c>
      <c r="F1566" s="84"/>
      <c r="G1566" s="84"/>
      <c r="H1566" s="84"/>
    </row>
    <row r="1567" spans="1:8" ht="14.25" x14ac:dyDescent="0.45">
      <c r="A1567" s="85" t="s">
        <v>16</v>
      </c>
      <c r="B1567" s="85" t="s">
        <v>480</v>
      </c>
      <c r="C1567" s="85" t="s">
        <v>18</v>
      </c>
      <c r="D1567" s="85" t="s">
        <v>481</v>
      </c>
      <c r="E1567" s="85" t="s">
        <v>19</v>
      </c>
      <c r="F1567" s="85" t="s">
        <v>482</v>
      </c>
      <c r="G1567" s="85" t="s">
        <v>483</v>
      </c>
      <c r="H1567" s="85" t="s">
        <v>484</v>
      </c>
    </row>
    <row r="1568" spans="1:8" ht="14.25" x14ac:dyDescent="0.45">
      <c r="A1568" s="86" cm="1">
        <f t="array" aca="1" ref="A1568:A1579" ca="1">_xlfn.SEQUENCE(COUNTA(_xlfn.LET(_xlpm.trimmed,OFFSET(f_listof_program_candidates,MATCH("SN26",f_listof_program_codes,0)-1,6,1,),TRANSPOSE(_xlfn._xlws.FILTER(OFFSET(_xlpm.trimmed,0,0,,COUNTA(_xlpm.trimmed)-5),OFFSET(_xlpm.trimmed,0,0,,COUNTA(_xlpm.trimmed)-5)&lt;&gt;0)))))</f>
        <v>1</v>
      </c>
      <c r="B1568" s="86" t="str" cm="1">
        <f t="array" aca="1" ref="B1568:B1579" ca="1">_xlfn.LET(_xlpm.trimmed,OFFSET(f_listof_program_candidates,MATCH("SN26",f_listof_program_codes,0)-1,6,1,),TRANSPOSE(_xlfn._xlws.FILTER(OFFSET(_xlpm.trimmed,0,0,,COUNTA(_xlpm.trimmed)-5),OFFSET(_xlpm.trimmed,0,0,,COUNTA(_xlpm.trimmed)-5)&lt;&gt;0)))</f>
        <v>C112</v>
      </c>
      <c r="C1568" s="86" t="str">
        <f t="shared" ref="C1568:C1579" ca="1" si="342">VLOOKUP(B1568,f_detailsof_candidates,2,FALSE)</f>
        <v>MOHAMMED SA'DUDDEEN K</v>
      </c>
      <c r="D1568" s="86" t="str">
        <f t="shared" ref="D1568:D1579" ca="1" si="343">VLOOKUP(B1568,f_detailsof_candidates,3,FALSE)</f>
        <v>FANT</v>
      </c>
      <c r="E1568" s="86">
        <f t="shared" ref="E1568:E1579" ca="1" si="344">VLOOKUP(B1568,f_detailsof_candidates,5,FALSE)</f>
        <v>5</v>
      </c>
    </row>
    <row r="1569" spans="1:8" ht="14.25" x14ac:dyDescent="0.45">
      <c r="A1569" s="86">
        <f ca="1"/>
        <v>2</v>
      </c>
      <c r="B1569" s="86" t="str">
        <f ca="1"/>
        <v>C118</v>
      </c>
      <c r="C1569" s="86" t="str">
        <f t="shared" ca="1" si="342"/>
        <v>MUHAMMAD SHAMMAS</v>
      </c>
      <c r="D1569" s="86" t="str">
        <f t="shared" ca="1" si="343"/>
        <v>FANT</v>
      </c>
      <c r="E1569" s="86">
        <f t="shared" ca="1" si="344"/>
        <v>5</v>
      </c>
    </row>
    <row r="1570" spans="1:8" ht="14.25" x14ac:dyDescent="0.45">
      <c r="A1570" s="86">
        <f ca="1"/>
        <v>3</v>
      </c>
      <c r="B1570" s="86" t="str">
        <f ca="1"/>
        <v>C149</v>
      </c>
      <c r="C1570" s="86" t="str">
        <f t="shared" ca="1" si="342"/>
        <v>ABDUL BAAIS N.A</v>
      </c>
      <c r="D1570" s="86" t="str">
        <f t="shared" ca="1" si="343"/>
        <v>FANT</v>
      </c>
      <c r="E1570" s="86">
        <f t="shared" ca="1" si="344"/>
        <v>6</v>
      </c>
    </row>
    <row r="1571" spans="1:8" ht="14.25" x14ac:dyDescent="0.45">
      <c r="A1571" s="86">
        <f ca="1"/>
        <v>4</v>
      </c>
      <c r="B1571" s="86" t="str">
        <f ca="1"/>
        <v>C153</v>
      </c>
      <c r="C1571" s="86" t="str">
        <f t="shared" ca="1" si="342"/>
        <v>MUHAMMED AHMASH K</v>
      </c>
      <c r="D1571" s="86" t="str">
        <f t="shared" ca="1" si="343"/>
        <v>DAHF</v>
      </c>
      <c r="E1571" s="86">
        <f t="shared" ca="1" si="344"/>
        <v>6</v>
      </c>
    </row>
    <row r="1572" spans="1:8" ht="14.25" x14ac:dyDescent="0.45">
      <c r="A1572" s="86">
        <f ca="1"/>
        <v>5</v>
      </c>
      <c r="B1572" s="86" t="str">
        <f ca="1"/>
        <v>C172</v>
      </c>
      <c r="C1572" s="86" t="str">
        <f t="shared" ca="1" si="342"/>
        <v>AHAMED SHAMMAS C.M</v>
      </c>
      <c r="D1572" s="86" t="str">
        <f t="shared" ca="1" si="343"/>
        <v>DAHF</v>
      </c>
      <c r="E1572" s="86">
        <f t="shared" ca="1" si="344"/>
        <v>7</v>
      </c>
    </row>
    <row r="1573" spans="1:8" ht="14.25" x14ac:dyDescent="0.45">
      <c r="A1573" s="86">
        <f ca="1"/>
        <v>6</v>
      </c>
      <c r="B1573" s="86" t="str">
        <f ca="1"/>
        <v>C177</v>
      </c>
      <c r="C1573" s="86" t="str">
        <f t="shared" ca="1" si="342"/>
        <v>MOHAMMED HUSSAIN</v>
      </c>
      <c r="D1573" s="86" t="str">
        <f t="shared" ca="1" si="343"/>
        <v>DAHF</v>
      </c>
      <c r="E1573" s="86">
        <f t="shared" ca="1" si="344"/>
        <v>7</v>
      </c>
    </row>
    <row r="1574" spans="1:8" ht="14.25" x14ac:dyDescent="0.45">
      <c r="A1574" s="86">
        <f ca="1"/>
        <v>7</v>
      </c>
      <c r="B1574" s="86" t="str">
        <f ca="1"/>
        <v>C109</v>
      </c>
      <c r="C1574" s="86" t="str">
        <f t="shared" ca="1" si="342"/>
        <v>ABDULLA FARHAN M</v>
      </c>
      <c r="D1574" s="86" t="str">
        <f t="shared" ca="1" si="343"/>
        <v>BADF</v>
      </c>
      <c r="E1574" s="86">
        <f t="shared" ca="1" si="344"/>
        <v>5</v>
      </c>
    </row>
    <row r="1575" spans="1:8" ht="14.25" x14ac:dyDescent="0.45">
      <c r="A1575" s="86">
        <f ca="1"/>
        <v>8</v>
      </c>
      <c r="B1575" s="86" t="str">
        <f ca="1"/>
        <v>C169</v>
      </c>
      <c r="C1575" s="86" t="str">
        <f t="shared" ca="1" si="342"/>
        <v>MOHAMMED THAJUDDEEN A R P</v>
      </c>
      <c r="D1575" s="86" t="str">
        <f t="shared" ca="1" si="343"/>
        <v>BADF</v>
      </c>
      <c r="E1575" s="86">
        <f t="shared" ca="1" si="344"/>
        <v>7</v>
      </c>
    </row>
    <row r="1576" spans="1:8" ht="14.25" x14ac:dyDescent="0.45">
      <c r="A1576" s="86">
        <f ca="1"/>
        <v>9</v>
      </c>
      <c r="B1576" s="86" t="str">
        <f ca="1"/>
        <v>C174</v>
      </c>
      <c r="C1576" s="86" t="str">
        <f t="shared" ca="1" si="342"/>
        <v>MUHAMMAD MUSTHAFA K.M</v>
      </c>
      <c r="D1576" s="86" t="str">
        <f t="shared" ca="1" si="343"/>
        <v>BADF</v>
      </c>
      <c r="E1576" s="86">
        <f t="shared" ca="1" si="344"/>
        <v>7</v>
      </c>
    </row>
    <row r="1577" spans="1:8" ht="14.25" x14ac:dyDescent="0.45">
      <c r="A1577" s="86">
        <f ca="1"/>
        <v>10</v>
      </c>
      <c r="B1577" s="86" t="str">
        <f ca="1"/>
        <v>C111</v>
      </c>
      <c r="C1577" s="86" t="str">
        <f t="shared" ca="1" si="342"/>
        <v>MUHAMMAD ISMAIL HAMDULLA V K</v>
      </c>
      <c r="D1577" s="86" t="str">
        <f t="shared" ca="1" si="343"/>
        <v>JARF</v>
      </c>
      <c r="E1577" s="86">
        <f t="shared" ca="1" si="344"/>
        <v>5</v>
      </c>
    </row>
    <row r="1578" spans="1:8" ht="14.25" x14ac:dyDescent="0.45">
      <c r="A1578" s="86">
        <f ca="1"/>
        <v>11</v>
      </c>
      <c r="B1578" s="86" t="str">
        <f ca="1"/>
        <v>C135</v>
      </c>
      <c r="C1578" s="86" t="str">
        <f t="shared" ca="1" si="342"/>
        <v>AHAMAD SHABAB P A</v>
      </c>
      <c r="D1578" s="86" t="str">
        <f t="shared" ca="1" si="343"/>
        <v>JARF</v>
      </c>
      <c r="E1578" s="86">
        <f t="shared" ca="1" si="344"/>
        <v>6</v>
      </c>
    </row>
    <row r="1579" spans="1:8" ht="14.25" x14ac:dyDescent="0.45">
      <c r="A1579" s="86">
        <f ca="1"/>
        <v>12</v>
      </c>
      <c r="B1579" s="86" t="str">
        <f ca="1"/>
        <v>C167</v>
      </c>
      <c r="C1579" s="86" t="str">
        <f t="shared" ca="1" si="342"/>
        <v>MUHAMMED MUJTHABA MK</v>
      </c>
      <c r="D1579" s="86" t="str">
        <f t="shared" ca="1" si="343"/>
        <v>JARF</v>
      </c>
      <c r="E1579" s="86">
        <f t="shared" ca="1" si="344"/>
        <v>7</v>
      </c>
    </row>
    <row r="1580" spans="1:8" ht="14.25" x14ac:dyDescent="0.45">
      <c r="A1580" s="84" t="s">
        <v>297</v>
      </c>
      <c r="B1580" s="84" t="str">
        <f>VLOOKUP("SN27",f_detailsof_programs,2,FALSE)</f>
        <v>SHORT STORY ENG</v>
      </c>
      <c r="C1580" s="84"/>
      <c r="D1580" s="84" t="s">
        <v>688</v>
      </c>
      <c r="E1580" s="84" t="s">
        <v>485</v>
      </c>
      <c r="F1580" s="84"/>
      <c r="G1580" s="84"/>
      <c r="H1580" s="84"/>
    </row>
    <row r="1581" spans="1:8" ht="14.25" x14ac:dyDescent="0.45">
      <c r="A1581" s="85" t="s">
        <v>16</v>
      </c>
      <c r="B1581" s="85" t="s">
        <v>480</v>
      </c>
      <c r="C1581" s="85" t="s">
        <v>18</v>
      </c>
      <c r="D1581" s="85" t="s">
        <v>481</v>
      </c>
      <c r="E1581" s="85" t="s">
        <v>19</v>
      </c>
      <c r="F1581" s="85" t="s">
        <v>482</v>
      </c>
      <c r="G1581" s="85" t="s">
        <v>483</v>
      </c>
      <c r="H1581" s="85" t="s">
        <v>484</v>
      </c>
    </row>
    <row r="1582" spans="1:8" ht="14.25" x14ac:dyDescent="0.45">
      <c r="A1582" s="86" cm="1">
        <f t="array" aca="1" ref="A1582:A1593" ca="1">_xlfn.SEQUENCE(COUNTA(_xlfn.LET(_xlpm.trimmed,OFFSET(f_listof_program_candidates,MATCH("SN27",f_listof_program_codes,0)-1,6,1,),TRANSPOSE(_xlfn._xlws.FILTER(OFFSET(_xlpm.trimmed,0,0,,COUNTA(_xlpm.trimmed)-5),OFFSET(_xlpm.trimmed,0,0,,COUNTA(_xlpm.trimmed)-5)&lt;&gt;0)))))</f>
        <v>1</v>
      </c>
      <c r="B1582" s="86" t="str" cm="1">
        <f t="array" aca="1" ref="B1582:B1593" ca="1">_xlfn.LET(_xlpm.trimmed,OFFSET(f_listof_program_candidates,MATCH("SN27",f_listof_program_codes,0)-1,6,1,),TRANSPOSE(_xlfn._xlws.FILTER(OFFSET(_xlpm.trimmed,0,0,,COUNTA(_xlpm.trimmed)-5),OFFSET(_xlpm.trimmed,0,0,,COUNTA(_xlpm.trimmed)-5)&lt;&gt;0)))</f>
        <v>C127</v>
      </c>
      <c r="C1582" s="86" t="str">
        <f t="shared" ref="C1582:C1593" ca="1" si="345">VLOOKUP(B1582,f_detailsof_candidates,2,FALSE)</f>
        <v>SHAMMAZ P A</v>
      </c>
      <c r="D1582" s="86" t="str">
        <f t="shared" ref="D1582:D1593" ca="1" si="346">VLOOKUP(B1582,f_detailsof_candidates,3,FALSE)</f>
        <v>FANT</v>
      </c>
      <c r="E1582" s="86">
        <f t="shared" ref="E1582:E1593" ca="1" si="347">VLOOKUP(B1582,f_detailsof_candidates,5,FALSE)</f>
        <v>5</v>
      </c>
    </row>
    <row r="1583" spans="1:8" ht="14.25" x14ac:dyDescent="0.45">
      <c r="A1583" s="86">
        <f ca="1"/>
        <v>2</v>
      </c>
      <c r="B1583" s="86" t="str">
        <f ca="1"/>
        <v>C131</v>
      </c>
      <c r="C1583" s="86" t="str">
        <f t="shared" ca="1" si="345"/>
        <v>IBRAHIM AHRAZ</v>
      </c>
      <c r="D1583" s="86" t="str">
        <f t="shared" ca="1" si="346"/>
        <v>FANT</v>
      </c>
      <c r="E1583" s="86">
        <f t="shared" ca="1" si="347"/>
        <v>6</v>
      </c>
    </row>
    <row r="1584" spans="1:8" ht="14.25" x14ac:dyDescent="0.45">
      <c r="A1584" s="86">
        <f ca="1"/>
        <v>3</v>
      </c>
      <c r="B1584" s="86" t="str">
        <f ca="1"/>
        <v>C164</v>
      </c>
      <c r="C1584" s="86" t="str">
        <f t="shared" ca="1" si="345"/>
        <v>AHMED FAHEEM MA</v>
      </c>
      <c r="D1584" s="86" t="str">
        <f t="shared" ca="1" si="346"/>
        <v>FANT</v>
      </c>
      <c r="E1584" s="86">
        <f t="shared" ca="1" si="347"/>
        <v>7</v>
      </c>
    </row>
    <row r="1585" spans="1:8" ht="14.25" x14ac:dyDescent="0.45">
      <c r="A1585" s="86">
        <f ca="1"/>
        <v>4</v>
      </c>
      <c r="B1585" s="86" t="str">
        <f ca="1"/>
        <v>C102</v>
      </c>
      <c r="C1585" s="86" t="str">
        <f t="shared" ca="1" si="345"/>
        <v>AHAMMED MAHSHOOK M.B</v>
      </c>
      <c r="D1585" s="86" t="str">
        <f t="shared" ca="1" si="346"/>
        <v>DAHF</v>
      </c>
      <c r="E1585" s="86">
        <f t="shared" ca="1" si="347"/>
        <v>5</v>
      </c>
    </row>
    <row r="1586" spans="1:8" ht="14.25" x14ac:dyDescent="0.45">
      <c r="A1586" s="86">
        <f ca="1"/>
        <v>5</v>
      </c>
      <c r="B1586" s="86" t="str">
        <f ca="1"/>
        <v>C107</v>
      </c>
      <c r="C1586" s="86" t="str">
        <f t="shared" ca="1" si="345"/>
        <v>ADIL ABDULLA A</v>
      </c>
      <c r="D1586" s="86" t="str">
        <f t="shared" ca="1" si="346"/>
        <v>DAHF</v>
      </c>
      <c r="E1586" s="86">
        <f t="shared" ca="1" si="347"/>
        <v>5</v>
      </c>
    </row>
    <row r="1587" spans="1:8" ht="14.25" x14ac:dyDescent="0.45">
      <c r="A1587" s="86">
        <f ca="1"/>
        <v>6</v>
      </c>
      <c r="B1587" s="86" t="str">
        <f ca="1"/>
        <v>C110</v>
      </c>
      <c r="C1587" s="86" t="str">
        <f t="shared" ca="1" si="345"/>
        <v>SHADIL AHAMED</v>
      </c>
      <c r="D1587" s="86" t="str">
        <f t="shared" ca="1" si="346"/>
        <v>DAHF</v>
      </c>
      <c r="E1587" s="86">
        <f t="shared" ca="1" si="347"/>
        <v>5</v>
      </c>
    </row>
    <row r="1588" spans="1:8" ht="14.25" x14ac:dyDescent="0.45">
      <c r="A1588" s="86">
        <f ca="1"/>
        <v>7</v>
      </c>
      <c r="B1588" s="86" t="str">
        <f ca="1"/>
        <v>C122</v>
      </c>
      <c r="C1588" s="86" t="str">
        <f t="shared" ca="1" si="345"/>
        <v>MOHAMMED K H</v>
      </c>
      <c r="D1588" s="86" t="str">
        <f t="shared" ca="1" si="346"/>
        <v>BADF</v>
      </c>
      <c r="E1588" s="86">
        <f t="shared" ca="1" si="347"/>
        <v>5</v>
      </c>
    </row>
    <row r="1589" spans="1:8" ht="14.25" x14ac:dyDescent="0.45">
      <c r="A1589" s="86">
        <f ca="1"/>
        <v>8</v>
      </c>
      <c r="B1589" s="86" t="str">
        <f ca="1"/>
        <v>C145</v>
      </c>
      <c r="C1589" s="86" t="str">
        <f t="shared" ca="1" si="345"/>
        <v>SHAMEEL AHAMMED P</v>
      </c>
      <c r="D1589" s="86" t="str">
        <f t="shared" ca="1" si="346"/>
        <v>BADF</v>
      </c>
      <c r="E1589" s="86">
        <f t="shared" ca="1" si="347"/>
        <v>6</v>
      </c>
    </row>
    <row r="1590" spans="1:8" ht="14.25" x14ac:dyDescent="0.45">
      <c r="A1590" s="86">
        <f ca="1"/>
        <v>9</v>
      </c>
      <c r="B1590" s="86" t="str">
        <f ca="1"/>
        <v>C170</v>
      </c>
      <c r="C1590" s="86" t="str">
        <f t="shared" ca="1" si="345"/>
        <v>RUMAIZALI R IBRAHIM</v>
      </c>
      <c r="D1590" s="86" t="str">
        <f t="shared" ca="1" si="346"/>
        <v>BADF</v>
      </c>
      <c r="E1590" s="86">
        <f t="shared" ca="1" si="347"/>
        <v>7</v>
      </c>
    </row>
    <row r="1591" spans="1:8" ht="14.25" x14ac:dyDescent="0.45">
      <c r="A1591" s="86">
        <f ca="1"/>
        <v>10</v>
      </c>
      <c r="B1591" s="86" t="str">
        <f ca="1"/>
        <v>C113</v>
      </c>
      <c r="C1591" s="86" t="str">
        <f t="shared" ca="1" si="345"/>
        <v>SEYYAD MUHAMMED FAHMAN</v>
      </c>
      <c r="D1591" s="86" t="str">
        <f t="shared" ca="1" si="346"/>
        <v>JARF</v>
      </c>
      <c r="E1591" s="86">
        <f t="shared" ca="1" si="347"/>
        <v>5</v>
      </c>
    </row>
    <row r="1592" spans="1:8" ht="14.25" x14ac:dyDescent="0.45">
      <c r="A1592" s="86">
        <f ca="1"/>
        <v>11</v>
      </c>
      <c r="B1592" s="86" t="str">
        <f ca="1"/>
        <v>C146</v>
      </c>
      <c r="C1592" s="86" t="str">
        <f t="shared" ca="1" si="345"/>
        <v>IMRAN HUSSAIN TI</v>
      </c>
      <c r="D1592" s="86" t="str">
        <f t="shared" ca="1" si="346"/>
        <v>JARF</v>
      </c>
      <c r="E1592" s="86">
        <f t="shared" ca="1" si="347"/>
        <v>6</v>
      </c>
    </row>
    <row r="1593" spans="1:8" ht="14.25" x14ac:dyDescent="0.45">
      <c r="A1593" s="86">
        <f ca="1"/>
        <v>12</v>
      </c>
      <c r="B1593" s="86" t="str">
        <f ca="1"/>
        <v>C151</v>
      </c>
      <c r="C1593" s="86" t="str">
        <f t="shared" ca="1" si="345"/>
        <v>MOHAMMED ASHMIL K A</v>
      </c>
      <c r="D1593" s="86" t="str">
        <f t="shared" ca="1" si="346"/>
        <v>JARF</v>
      </c>
      <c r="E1593" s="86">
        <f t="shared" ca="1" si="347"/>
        <v>6</v>
      </c>
    </row>
    <row r="1594" spans="1:8" ht="14.25" x14ac:dyDescent="0.45">
      <c r="A1594" s="84" t="s">
        <v>298</v>
      </c>
      <c r="B1594" s="84" t="str">
        <f>VLOOKUP("SN28",f_detailsof_programs,2,FALSE)</f>
        <v>SLOGAN MAKING</v>
      </c>
      <c r="C1594" s="84"/>
      <c r="D1594" s="84" t="s">
        <v>688</v>
      </c>
      <c r="E1594" s="84" t="s">
        <v>485</v>
      </c>
      <c r="F1594" s="84"/>
      <c r="G1594" s="84"/>
      <c r="H1594" s="84"/>
    </row>
    <row r="1595" spans="1:8" ht="14.25" x14ac:dyDescent="0.45">
      <c r="A1595" s="85" t="s">
        <v>16</v>
      </c>
      <c r="B1595" s="85" t="s">
        <v>480</v>
      </c>
      <c r="C1595" s="85" t="s">
        <v>18</v>
      </c>
      <c r="D1595" s="85" t="s">
        <v>481</v>
      </c>
      <c r="E1595" s="85" t="s">
        <v>19</v>
      </c>
      <c r="F1595" s="85" t="s">
        <v>482</v>
      </c>
      <c r="G1595" s="85" t="s">
        <v>483</v>
      </c>
      <c r="H1595" s="85" t="s">
        <v>484</v>
      </c>
    </row>
    <row r="1596" spans="1:8" ht="14.25" x14ac:dyDescent="0.45">
      <c r="A1596" s="86" cm="1">
        <f t="array" aca="1" ref="A1596:A1607" ca="1">_xlfn.SEQUENCE(COUNTA(_xlfn.LET(_xlpm.trimmed,OFFSET(f_listof_program_candidates,MATCH("SN28",f_listof_program_codes,0)-1,6,1,),TRANSPOSE(_xlfn._xlws.FILTER(OFFSET(_xlpm.trimmed,0,0,,COUNTA(_xlpm.trimmed)-5),OFFSET(_xlpm.trimmed,0,0,,COUNTA(_xlpm.trimmed)-5)&lt;&gt;0)))))</f>
        <v>1</v>
      </c>
      <c r="B1596" s="86" t="str" cm="1">
        <f t="array" aca="1" ref="B1596:B1607" ca="1">_xlfn.LET(_xlpm.trimmed,OFFSET(f_listof_program_candidates,MATCH("SN28",f_listof_program_codes,0)-1,6,1,),TRANSPOSE(_xlfn._xlws.FILTER(OFFSET(_xlpm.trimmed,0,0,,COUNTA(_xlpm.trimmed)-5),OFFSET(_xlpm.trimmed,0,0,,COUNTA(_xlpm.trimmed)-5)&lt;&gt;0)))</f>
        <v>C156</v>
      </c>
      <c r="C1596" s="86" t="str">
        <f t="shared" ref="C1596:C1607" ca="1" si="348">VLOOKUP(B1596,f_detailsof_candidates,2,FALSE)</f>
        <v>ABDULLA RAMSHAD</v>
      </c>
      <c r="D1596" s="86" t="str">
        <f t="shared" ref="D1596:D1607" ca="1" si="349">VLOOKUP(B1596,f_detailsof_candidates,3,FALSE)</f>
        <v>FANT</v>
      </c>
      <c r="E1596" s="86">
        <f t="shared" ref="E1596:E1607" ca="1" si="350">VLOOKUP(B1596,f_detailsof_candidates,5,FALSE)</f>
        <v>6</v>
      </c>
    </row>
    <row r="1597" spans="1:8" ht="14.25" x14ac:dyDescent="0.45">
      <c r="A1597" s="86">
        <f ca="1"/>
        <v>2</v>
      </c>
      <c r="B1597" s="86" t="str">
        <f ca="1"/>
        <v>C162</v>
      </c>
      <c r="C1597" s="86" t="str">
        <f t="shared" ca="1" si="348"/>
        <v>MUHAMMAD K.A</v>
      </c>
      <c r="D1597" s="86" t="str">
        <f t="shared" ca="1" si="349"/>
        <v>FANT</v>
      </c>
      <c r="E1597" s="86">
        <f t="shared" ca="1" si="350"/>
        <v>7</v>
      </c>
    </row>
    <row r="1598" spans="1:8" ht="14.25" x14ac:dyDescent="0.45">
      <c r="A1598" s="86">
        <f ca="1"/>
        <v>3</v>
      </c>
      <c r="B1598" s="86" t="str">
        <f ca="1"/>
        <v>C131</v>
      </c>
      <c r="C1598" s="86" t="str">
        <f t="shared" ca="1" si="348"/>
        <v>IBRAHIM AHRAZ</v>
      </c>
      <c r="D1598" s="86" t="str">
        <f t="shared" ca="1" si="349"/>
        <v>FANT</v>
      </c>
      <c r="E1598" s="86">
        <f t="shared" ca="1" si="350"/>
        <v>6</v>
      </c>
    </row>
    <row r="1599" spans="1:8" ht="14.25" x14ac:dyDescent="0.45">
      <c r="A1599" s="86">
        <f ca="1"/>
        <v>4</v>
      </c>
      <c r="B1599" s="86" t="str">
        <f ca="1"/>
        <v>C153</v>
      </c>
      <c r="C1599" s="86" t="str">
        <f t="shared" ca="1" si="348"/>
        <v>MUHAMMED AHMASH K</v>
      </c>
      <c r="D1599" s="86" t="str">
        <f t="shared" ca="1" si="349"/>
        <v>DAHF</v>
      </c>
      <c r="E1599" s="86">
        <f t="shared" ca="1" si="350"/>
        <v>6</v>
      </c>
    </row>
    <row r="1600" spans="1:8" ht="14.25" x14ac:dyDescent="0.45">
      <c r="A1600" s="86">
        <f ca="1"/>
        <v>5</v>
      </c>
      <c r="B1600" s="86" t="str">
        <f ca="1"/>
        <v>C154</v>
      </c>
      <c r="C1600" s="86" t="str">
        <f t="shared" ca="1" si="348"/>
        <v>MOHAMMED RAZEEN S.P</v>
      </c>
      <c r="D1600" s="86" t="str">
        <f t="shared" ca="1" si="349"/>
        <v>DAHF</v>
      </c>
      <c r="E1600" s="86">
        <f t="shared" ca="1" si="350"/>
        <v>6</v>
      </c>
    </row>
    <row r="1601" spans="1:8" ht="14.25" x14ac:dyDescent="0.45">
      <c r="A1601" s="86">
        <f ca="1"/>
        <v>6</v>
      </c>
      <c r="B1601" s="86" t="str">
        <f ca="1"/>
        <v>C161</v>
      </c>
      <c r="C1601" s="86" t="str">
        <f t="shared" ca="1" si="348"/>
        <v>MOHAMMED ABDUL KHADER NABAVI E A</v>
      </c>
      <c r="D1601" s="86" t="str">
        <f t="shared" ca="1" si="349"/>
        <v>DAHF</v>
      </c>
      <c r="E1601" s="86">
        <f t="shared" ca="1" si="350"/>
        <v>7</v>
      </c>
    </row>
    <row r="1602" spans="1:8" ht="14.25" x14ac:dyDescent="0.45">
      <c r="A1602" s="86">
        <f ca="1"/>
        <v>7</v>
      </c>
      <c r="B1602" s="86" t="str">
        <f ca="1"/>
        <v>C103</v>
      </c>
      <c r="C1602" s="86" t="str">
        <f t="shared" ca="1" si="348"/>
        <v>MUHAMMED ABDUL KADER</v>
      </c>
      <c r="D1602" s="86" t="str">
        <f t="shared" ca="1" si="349"/>
        <v>BADF</v>
      </c>
      <c r="E1602" s="86">
        <f t="shared" ca="1" si="350"/>
        <v>5</v>
      </c>
    </row>
    <row r="1603" spans="1:8" ht="14.25" x14ac:dyDescent="0.45">
      <c r="A1603" s="86">
        <f ca="1"/>
        <v>8</v>
      </c>
      <c r="B1603" s="86" t="str">
        <f ca="1"/>
        <v>C106</v>
      </c>
      <c r="C1603" s="86" t="str">
        <f t="shared" ca="1" si="348"/>
        <v>ABDUL RAHMAN ANFHAL M I</v>
      </c>
      <c r="D1603" s="86" t="str">
        <f t="shared" ca="1" si="349"/>
        <v>BADF</v>
      </c>
      <c r="E1603" s="86">
        <f t="shared" ca="1" si="350"/>
        <v>5</v>
      </c>
    </row>
    <row r="1604" spans="1:8" ht="14.25" x14ac:dyDescent="0.45">
      <c r="A1604" s="86">
        <f ca="1"/>
        <v>9</v>
      </c>
      <c r="B1604" s="86" t="str">
        <f ca="1"/>
        <v>C145</v>
      </c>
      <c r="C1604" s="86" t="str">
        <f t="shared" ca="1" si="348"/>
        <v>SHAMEEL AHAMMED P</v>
      </c>
      <c r="D1604" s="86" t="str">
        <f t="shared" ca="1" si="349"/>
        <v>BADF</v>
      </c>
      <c r="E1604" s="86">
        <f t="shared" ca="1" si="350"/>
        <v>6</v>
      </c>
    </row>
    <row r="1605" spans="1:8" ht="14.25" x14ac:dyDescent="0.45">
      <c r="A1605" s="86">
        <f ca="1"/>
        <v>10</v>
      </c>
      <c r="B1605" s="86" t="str">
        <f ca="1"/>
        <v>C119</v>
      </c>
      <c r="C1605" s="86" t="str">
        <f t="shared" ca="1" si="348"/>
        <v>ARIFUDEEN ABBAS A</v>
      </c>
      <c r="D1605" s="86" t="str">
        <f t="shared" ca="1" si="349"/>
        <v>JARF</v>
      </c>
      <c r="E1605" s="86">
        <f t="shared" ca="1" si="350"/>
        <v>5</v>
      </c>
    </row>
    <row r="1606" spans="1:8" ht="14.25" x14ac:dyDescent="0.45">
      <c r="A1606" s="86">
        <f ca="1"/>
        <v>11</v>
      </c>
      <c r="B1606" s="86" t="str">
        <f ca="1"/>
        <v>C152</v>
      </c>
      <c r="C1606" s="86" t="str">
        <f t="shared" ca="1" si="348"/>
        <v>MUHAMMED SABITH ALI TM</v>
      </c>
      <c r="D1606" s="86" t="str">
        <f t="shared" ca="1" si="349"/>
        <v>JARF</v>
      </c>
      <c r="E1606" s="86">
        <f t="shared" ca="1" si="350"/>
        <v>6</v>
      </c>
    </row>
    <row r="1607" spans="1:8" ht="14.25" x14ac:dyDescent="0.45">
      <c r="A1607" s="86">
        <f ca="1"/>
        <v>12</v>
      </c>
      <c r="B1607" s="86" t="str">
        <f ca="1"/>
        <v>C163</v>
      </c>
      <c r="C1607" s="86" t="str">
        <f t="shared" ca="1" si="348"/>
        <v>MOHAMMED SAHEED A.K</v>
      </c>
      <c r="D1607" s="86" t="str">
        <f t="shared" ca="1" si="349"/>
        <v>JARF</v>
      </c>
      <c r="E1607" s="86">
        <f t="shared" ca="1" si="350"/>
        <v>7</v>
      </c>
    </row>
    <row r="1608" spans="1:8" ht="14.25" x14ac:dyDescent="0.45">
      <c r="A1608" s="84" t="s">
        <v>300</v>
      </c>
      <c r="B1608" s="84" t="str">
        <f>VLOOKUP("SN29",f_detailsof_programs,2,FALSE)</f>
        <v>TAḤLĪL AL-ʿIBĀRAH</v>
      </c>
      <c r="C1608" s="84"/>
      <c r="D1608" s="84" t="s">
        <v>688</v>
      </c>
      <c r="E1608" s="84" t="s">
        <v>485</v>
      </c>
      <c r="F1608" s="84"/>
      <c r="G1608" s="84"/>
      <c r="H1608" s="84"/>
    </row>
    <row r="1609" spans="1:8" ht="14.25" x14ac:dyDescent="0.45">
      <c r="A1609" s="85" t="s">
        <v>16</v>
      </c>
      <c r="B1609" s="85" t="s">
        <v>480</v>
      </c>
      <c r="C1609" s="85" t="s">
        <v>18</v>
      </c>
      <c r="D1609" s="85" t="s">
        <v>481</v>
      </c>
      <c r="E1609" s="85" t="s">
        <v>19</v>
      </c>
      <c r="F1609" s="85" t="s">
        <v>482</v>
      </c>
      <c r="G1609" s="85" t="s">
        <v>483</v>
      </c>
      <c r="H1609" s="85" t="s">
        <v>484</v>
      </c>
    </row>
    <row r="1610" spans="1:8" ht="14.25" x14ac:dyDescent="0.45">
      <c r="A1610" s="86" cm="1">
        <f t="array" aca="1" ref="A1610:A1621" ca="1">_xlfn.SEQUENCE(COUNTA(_xlfn.LET(_xlpm.trimmed,OFFSET(f_listof_program_candidates,MATCH("SN29",f_listof_program_codes,0)-1,6,1,),TRANSPOSE(_xlfn._xlws.FILTER(OFFSET(_xlpm.trimmed,0,0,,COUNTA(_xlpm.trimmed)-5),OFFSET(_xlpm.trimmed,0,0,,COUNTA(_xlpm.trimmed)-5)&lt;&gt;0)))))</f>
        <v>1</v>
      </c>
      <c r="B1610" s="86" t="str" cm="1">
        <f t="array" aca="1" ref="B1610:B1621" ca="1">_xlfn.LET(_xlpm.trimmed,OFFSET(f_listof_program_candidates,MATCH("SN29",f_listof_program_codes,0)-1,6,1,),TRANSPOSE(_xlfn._xlws.FILTER(OFFSET(_xlpm.trimmed,0,0,,COUNTA(_xlpm.trimmed)-5),OFFSET(_xlpm.trimmed,0,0,,COUNTA(_xlpm.trimmed)-5)&lt;&gt;0)))</f>
        <v>C112</v>
      </c>
      <c r="C1610" s="86" t="str">
        <f t="shared" ref="C1610:C1621" ca="1" si="351">VLOOKUP(B1610,f_detailsof_candidates,2,FALSE)</f>
        <v>MOHAMMED SA'DUDDEEN K</v>
      </c>
      <c r="D1610" s="86" t="str">
        <f t="shared" ref="D1610:D1621" ca="1" si="352">VLOOKUP(B1610,f_detailsof_candidates,3,FALSE)</f>
        <v>FANT</v>
      </c>
      <c r="E1610" s="86">
        <f t="shared" ref="E1610:E1621" ca="1" si="353">VLOOKUP(B1610,f_detailsof_candidates,5,FALSE)</f>
        <v>5</v>
      </c>
    </row>
    <row r="1611" spans="1:8" ht="14.25" x14ac:dyDescent="0.45">
      <c r="A1611" s="86">
        <f ca="1"/>
        <v>2</v>
      </c>
      <c r="B1611" s="86" t="str">
        <f ca="1"/>
        <v>C138</v>
      </c>
      <c r="C1611" s="86" t="str">
        <f t="shared" ca="1" si="351"/>
        <v>MOHAMMED MOINUDDEEN CHISTY</v>
      </c>
      <c r="D1611" s="86" t="str">
        <f t="shared" ca="1" si="352"/>
        <v>FANT</v>
      </c>
      <c r="E1611" s="86">
        <f t="shared" ca="1" si="353"/>
        <v>6</v>
      </c>
    </row>
    <row r="1612" spans="1:8" ht="14.25" x14ac:dyDescent="0.45">
      <c r="A1612" s="86">
        <f ca="1"/>
        <v>3</v>
      </c>
      <c r="B1612" s="86" t="str">
        <f ca="1"/>
        <v>C149</v>
      </c>
      <c r="C1612" s="86" t="str">
        <f t="shared" ca="1" si="351"/>
        <v>ABDUL BAAIS N.A</v>
      </c>
      <c r="D1612" s="86" t="str">
        <f t="shared" ca="1" si="352"/>
        <v>FANT</v>
      </c>
      <c r="E1612" s="86">
        <f t="shared" ca="1" si="353"/>
        <v>6</v>
      </c>
    </row>
    <row r="1613" spans="1:8" ht="14.25" x14ac:dyDescent="0.45">
      <c r="A1613" s="86">
        <f ca="1"/>
        <v>4</v>
      </c>
      <c r="B1613" s="86" t="str">
        <f ca="1"/>
        <v>C120</v>
      </c>
      <c r="C1613" s="86" t="str">
        <f t="shared" ca="1" si="351"/>
        <v>MAJID MUHAMMED M</v>
      </c>
      <c r="D1613" s="86" t="str">
        <f t="shared" ca="1" si="352"/>
        <v>DAHF</v>
      </c>
      <c r="E1613" s="86">
        <f t="shared" ca="1" si="353"/>
        <v>5</v>
      </c>
    </row>
    <row r="1614" spans="1:8" ht="14.25" x14ac:dyDescent="0.45">
      <c r="A1614" s="86">
        <f ca="1"/>
        <v>5</v>
      </c>
      <c r="B1614" s="86" t="str">
        <f ca="1"/>
        <v>C136</v>
      </c>
      <c r="C1614" s="86" t="str">
        <f t="shared" ca="1" si="351"/>
        <v>MOHAMMED SHAKIR HUSSAIN K.Y</v>
      </c>
      <c r="D1614" s="86" t="str">
        <f t="shared" ca="1" si="352"/>
        <v>DAHF</v>
      </c>
      <c r="E1614" s="86">
        <f t="shared" ca="1" si="353"/>
        <v>6</v>
      </c>
    </row>
    <row r="1615" spans="1:8" ht="14.25" x14ac:dyDescent="0.45">
      <c r="A1615" s="86">
        <f ca="1"/>
        <v>6</v>
      </c>
      <c r="B1615" s="86" t="str">
        <f ca="1"/>
        <v>C166</v>
      </c>
      <c r="C1615" s="86" t="str">
        <f t="shared" ca="1" si="351"/>
        <v>RESWAN</v>
      </c>
      <c r="D1615" s="86" t="str">
        <f t="shared" ca="1" si="352"/>
        <v>DAHF</v>
      </c>
      <c r="E1615" s="86">
        <f t="shared" ca="1" si="353"/>
        <v>7</v>
      </c>
    </row>
    <row r="1616" spans="1:8" ht="14.25" x14ac:dyDescent="0.45">
      <c r="A1616" s="86">
        <f ca="1"/>
        <v>7</v>
      </c>
      <c r="B1616" s="86" t="str">
        <f ca="1"/>
        <v>C109</v>
      </c>
      <c r="C1616" s="86" t="str">
        <f t="shared" ca="1" si="351"/>
        <v>ABDULLA FARHAN M</v>
      </c>
      <c r="D1616" s="86" t="str">
        <f t="shared" ca="1" si="352"/>
        <v>BADF</v>
      </c>
      <c r="E1616" s="86">
        <f t="shared" ca="1" si="353"/>
        <v>5</v>
      </c>
    </row>
    <row r="1617" spans="1:8" ht="14.25" x14ac:dyDescent="0.45">
      <c r="A1617" s="86">
        <f ca="1"/>
        <v>8</v>
      </c>
      <c r="B1617" s="86" t="str">
        <f ca="1"/>
        <v>C148</v>
      </c>
      <c r="C1617" s="86" t="str">
        <f t="shared" ca="1" si="351"/>
        <v>MUHAMMED SHABEEB</v>
      </c>
      <c r="D1617" s="86" t="str">
        <f t="shared" ca="1" si="352"/>
        <v>BADF</v>
      </c>
      <c r="E1617" s="86">
        <f t="shared" ca="1" si="353"/>
        <v>6</v>
      </c>
    </row>
    <row r="1618" spans="1:8" ht="14.25" x14ac:dyDescent="0.45">
      <c r="A1618" s="86">
        <f ca="1"/>
        <v>9</v>
      </c>
      <c r="B1618" s="86" t="str">
        <f ca="1"/>
        <v>C171</v>
      </c>
      <c r="C1618" s="86" t="str">
        <f t="shared" ca="1" si="351"/>
        <v>MUHAMMED THASLEEM</v>
      </c>
      <c r="D1618" s="86" t="str">
        <f t="shared" ca="1" si="352"/>
        <v>BADF</v>
      </c>
      <c r="E1618" s="86">
        <f t="shared" ca="1" si="353"/>
        <v>7</v>
      </c>
    </row>
    <row r="1619" spans="1:8" ht="14.25" x14ac:dyDescent="0.45">
      <c r="A1619" s="86">
        <f ca="1"/>
        <v>10</v>
      </c>
      <c r="B1619" s="86" t="str">
        <f ca="1"/>
        <v>C143</v>
      </c>
      <c r="C1619" s="86" t="str">
        <f t="shared" ca="1" si="351"/>
        <v>MUHAMMED SINAN M</v>
      </c>
      <c r="D1619" s="86" t="str">
        <f t="shared" ca="1" si="352"/>
        <v>JARF</v>
      </c>
      <c r="E1619" s="86">
        <f t="shared" ca="1" si="353"/>
        <v>6</v>
      </c>
    </row>
    <row r="1620" spans="1:8" ht="14.25" x14ac:dyDescent="0.45">
      <c r="A1620" s="86">
        <f ca="1"/>
        <v>11</v>
      </c>
      <c r="B1620" s="86" t="str">
        <f ca="1"/>
        <v>C175</v>
      </c>
      <c r="C1620" s="86" t="str">
        <f t="shared" ca="1" si="351"/>
        <v>ABDULLAH MAZIN</v>
      </c>
      <c r="D1620" s="86" t="str">
        <f t="shared" ca="1" si="352"/>
        <v>JARF</v>
      </c>
      <c r="E1620" s="86">
        <f t="shared" ca="1" si="353"/>
        <v>7</v>
      </c>
    </row>
    <row r="1621" spans="1:8" ht="14.25" x14ac:dyDescent="0.45">
      <c r="A1621" s="86">
        <f ca="1"/>
        <v>12</v>
      </c>
      <c r="B1621" s="86" t="str">
        <f ca="1"/>
        <v>C163</v>
      </c>
      <c r="C1621" s="86" t="str">
        <f t="shared" ca="1" si="351"/>
        <v>MOHAMMED SAHEED A.K</v>
      </c>
      <c r="D1621" s="86" t="str">
        <f t="shared" ca="1" si="352"/>
        <v>JARF</v>
      </c>
      <c r="E1621" s="86">
        <f t="shared" ca="1" si="353"/>
        <v>7</v>
      </c>
    </row>
    <row r="1622" spans="1:8" ht="14.25" x14ac:dyDescent="0.45">
      <c r="A1622" s="84" t="s">
        <v>302</v>
      </c>
      <c r="B1622" s="84" t="str">
        <f>VLOOKUP("SN30",f_detailsof_programs,2,FALSE)</f>
        <v>ANNOUNCEMENT</v>
      </c>
      <c r="C1622" s="84"/>
      <c r="D1622" s="84" t="s">
        <v>688</v>
      </c>
      <c r="E1622" s="84" t="s">
        <v>485</v>
      </c>
      <c r="F1622" s="84"/>
      <c r="G1622" s="84"/>
      <c r="H1622" s="84"/>
    </row>
    <row r="1623" spans="1:8" ht="14.25" x14ac:dyDescent="0.45">
      <c r="A1623" s="85" t="s">
        <v>16</v>
      </c>
      <c r="B1623" s="85" t="s">
        <v>480</v>
      </c>
      <c r="C1623" s="85" t="s">
        <v>18</v>
      </c>
      <c r="D1623" s="85" t="s">
        <v>481</v>
      </c>
      <c r="E1623" s="85" t="s">
        <v>19</v>
      </c>
      <c r="F1623" s="85" t="s">
        <v>482</v>
      </c>
      <c r="G1623" s="85" t="s">
        <v>483</v>
      </c>
      <c r="H1623" s="85" t="s">
        <v>484</v>
      </c>
    </row>
    <row r="1624" spans="1:8" ht="14.25" x14ac:dyDescent="0.45">
      <c r="A1624" s="86" cm="1">
        <f t="array" aca="1" ref="A1624:A1635" ca="1">_xlfn.SEQUENCE(COUNTA(_xlfn.LET(_xlpm.trimmed,OFFSET(f_listof_program_candidates,MATCH("SN30",f_listof_program_codes,0)-1,6,1,),TRANSPOSE(_xlfn._xlws.FILTER(OFFSET(_xlpm.trimmed,0,0,,COUNTA(_xlpm.trimmed)-5),OFFSET(_xlpm.trimmed,0,0,,COUNTA(_xlpm.trimmed)-5)&lt;&gt;0)))))</f>
        <v>1</v>
      </c>
      <c r="B1624" s="86" t="str" cm="1">
        <f t="array" aca="1" ref="B1624:B1635" ca="1">_xlfn.LET(_xlpm.trimmed,OFFSET(f_listof_program_candidates,MATCH("SN30",f_listof_program_codes,0)-1,6,1,),TRANSPOSE(_xlfn._xlws.FILTER(OFFSET(_xlpm.trimmed,0,0,,COUNTA(_xlpm.trimmed)-5),OFFSET(_xlpm.trimmed,0,0,,COUNTA(_xlpm.trimmed)-5)&lt;&gt;0)))</f>
        <v>C162</v>
      </c>
      <c r="C1624" s="86" t="str">
        <f t="shared" ref="C1624:C1635" ca="1" si="354">VLOOKUP(B1624,f_detailsof_candidates,2,FALSE)</f>
        <v>MUHAMMAD K.A</v>
      </c>
      <c r="D1624" s="86" t="str">
        <f t="shared" ref="D1624:D1635" ca="1" si="355">VLOOKUP(B1624,f_detailsof_candidates,3,FALSE)</f>
        <v>FANT</v>
      </c>
      <c r="E1624" s="86">
        <f t="shared" ref="E1624:E1635" ca="1" si="356">VLOOKUP(B1624,f_detailsof_candidates,5,FALSE)</f>
        <v>7</v>
      </c>
    </row>
    <row r="1625" spans="1:8" ht="14.25" x14ac:dyDescent="0.45">
      <c r="A1625" s="86">
        <f ca="1"/>
        <v>2</v>
      </c>
      <c r="B1625" s="86" t="str">
        <f ca="1"/>
        <v>C131</v>
      </c>
      <c r="C1625" s="86" t="str">
        <f t="shared" ca="1" si="354"/>
        <v>IBRAHIM AHRAZ</v>
      </c>
      <c r="D1625" s="86" t="str">
        <f t="shared" ca="1" si="355"/>
        <v>FANT</v>
      </c>
      <c r="E1625" s="86">
        <f t="shared" ca="1" si="356"/>
        <v>6</v>
      </c>
    </row>
    <row r="1626" spans="1:8" ht="14.25" x14ac:dyDescent="0.45">
      <c r="A1626" s="86">
        <f ca="1"/>
        <v>3</v>
      </c>
      <c r="B1626" s="86" t="str">
        <f ca="1"/>
        <v>C156</v>
      </c>
      <c r="C1626" s="86" t="str">
        <f t="shared" ca="1" si="354"/>
        <v>ABDULLA RAMSHAD</v>
      </c>
      <c r="D1626" s="86" t="str">
        <f t="shared" ca="1" si="355"/>
        <v>FANT</v>
      </c>
      <c r="E1626" s="86">
        <f t="shared" ca="1" si="356"/>
        <v>6</v>
      </c>
    </row>
    <row r="1627" spans="1:8" ht="14.25" x14ac:dyDescent="0.45">
      <c r="A1627" s="86">
        <f ca="1"/>
        <v>4</v>
      </c>
      <c r="B1627" s="86" t="str">
        <f ca="1"/>
        <v>C153</v>
      </c>
      <c r="C1627" s="86" t="str">
        <f t="shared" ca="1" si="354"/>
        <v>MUHAMMED AHMASH K</v>
      </c>
      <c r="D1627" s="86" t="str">
        <f t="shared" ca="1" si="355"/>
        <v>DAHF</v>
      </c>
      <c r="E1627" s="86">
        <f t="shared" ca="1" si="356"/>
        <v>6</v>
      </c>
    </row>
    <row r="1628" spans="1:8" ht="14.25" x14ac:dyDescent="0.45">
      <c r="A1628" s="86">
        <f ca="1"/>
        <v>5</v>
      </c>
      <c r="B1628" s="86" t="str">
        <f ca="1"/>
        <v>C166</v>
      </c>
      <c r="C1628" s="86" t="str">
        <f t="shared" ca="1" si="354"/>
        <v>RESWAN</v>
      </c>
      <c r="D1628" s="86" t="str">
        <f t="shared" ca="1" si="355"/>
        <v>DAHF</v>
      </c>
      <c r="E1628" s="86">
        <f t="shared" ca="1" si="356"/>
        <v>7</v>
      </c>
    </row>
    <row r="1629" spans="1:8" ht="14.25" x14ac:dyDescent="0.45">
      <c r="A1629" s="86">
        <f ca="1"/>
        <v>6</v>
      </c>
      <c r="B1629" s="86" t="str">
        <f ca="1"/>
        <v>C161</v>
      </c>
      <c r="C1629" s="86" t="str">
        <f t="shared" ca="1" si="354"/>
        <v>MOHAMMED ABDUL KHADER NABAVI E A</v>
      </c>
      <c r="D1629" s="86" t="str">
        <f t="shared" ca="1" si="355"/>
        <v>DAHF</v>
      </c>
      <c r="E1629" s="86">
        <f t="shared" ca="1" si="356"/>
        <v>7</v>
      </c>
    </row>
    <row r="1630" spans="1:8" ht="14.25" x14ac:dyDescent="0.45">
      <c r="A1630" s="86">
        <f ca="1"/>
        <v>7</v>
      </c>
      <c r="B1630" s="86" t="str">
        <f ca="1"/>
        <v>C103</v>
      </c>
      <c r="C1630" s="86" t="str">
        <f t="shared" ca="1" si="354"/>
        <v>MUHAMMED ABDUL KADER</v>
      </c>
      <c r="D1630" s="86" t="str">
        <f t="shared" ca="1" si="355"/>
        <v>BADF</v>
      </c>
      <c r="E1630" s="86">
        <f t="shared" ca="1" si="356"/>
        <v>5</v>
      </c>
    </row>
    <row r="1631" spans="1:8" ht="14.25" x14ac:dyDescent="0.45">
      <c r="A1631" s="86">
        <f ca="1"/>
        <v>8</v>
      </c>
      <c r="B1631" s="86" t="str">
        <f ca="1"/>
        <v>C159</v>
      </c>
      <c r="C1631" s="86" t="str">
        <f t="shared" ca="1" si="354"/>
        <v>MUHAMMED KAIF BS</v>
      </c>
      <c r="D1631" s="86" t="str">
        <f t="shared" ca="1" si="355"/>
        <v>BADF</v>
      </c>
      <c r="E1631" s="86">
        <f t="shared" ca="1" si="356"/>
        <v>6</v>
      </c>
    </row>
    <row r="1632" spans="1:8" ht="14.25" x14ac:dyDescent="0.45">
      <c r="A1632" s="86">
        <f ca="1"/>
        <v>9</v>
      </c>
      <c r="B1632" s="86" t="str">
        <f ca="1"/>
        <v>C141</v>
      </c>
      <c r="C1632" s="86" t="str">
        <f t="shared" ca="1" si="354"/>
        <v>AHMAD MINHAJ</v>
      </c>
      <c r="D1632" s="86" t="str">
        <f t="shared" ca="1" si="355"/>
        <v>BADF</v>
      </c>
      <c r="E1632" s="86">
        <f t="shared" ca="1" si="356"/>
        <v>6</v>
      </c>
    </row>
    <row r="1633" spans="1:8" ht="14.25" x14ac:dyDescent="0.45">
      <c r="A1633" s="86">
        <f ca="1"/>
        <v>10</v>
      </c>
      <c r="B1633" s="86" t="str">
        <f ca="1"/>
        <v>C121</v>
      </c>
      <c r="C1633" s="86" t="str">
        <f t="shared" ca="1" si="354"/>
        <v>ABDUL SALAM ARIF</v>
      </c>
      <c r="D1633" s="86" t="str">
        <f t="shared" ca="1" si="355"/>
        <v>JARF</v>
      </c>
      <c r="E1633" s="86">
        <f t="shared" ca="1" si="356"/>
        <v>5</v>
      </c>
    </row>
    <row r="1634" spans="1:8" ht="14.25" x14ac:dyDescent="0.45">
      <c r="A1634" s="86">
        <f ca="1"/>
        <v>11</v>
      </c>
      <c r="B1634" s="86" t="str">
        <f ca="1"/>
        <v>C163</v>
      </c>
      <c r="C1634" s="86" t="str">
        <f t="shared" ca="1" si="354"/>
        <v>MOHAMMED SAHEED A.K</v>
      </c>
      <c r="D1634" s="86" t="str">
        <f t="shared" ca="1" si="355"/>
        <v>JARF</v>
      </c>
      <c r="E1634" s="86">
        <f t="shared" ca="1" si="356"/>
        <v>7</v>
      </c>
    </row>
    <row r="1635" spans="1:8" ht="14.25" x14ac:dyDescent="0.45">
      <c r="A1635" s="86">
        <f ca="1"/>
        <v>12</v>
      </c>
      <c r="B1635" s="86" t="str">
        <f ca="1"/>
        <v>C165</v>
      </c>
      <c r="C1635" s="86" t="str">
        <f t="shared" ca="1" si="354"/>
        <v>MUHAMMAD IBN AHMAD</v>
      </c>
      <c r="D1635" s="86" t="str">
        <f t="shared" ca="1" si="355"/>
        <v>JARF</v>
      </c>
      <c r="E1635" s="86">
        <f t="shared" ca="1" si="356"/>
        <v>7</v>
      </c>
    </row>
    <row r="1636" spans="1:8" ht="14.25" x14ac:dyDescent="0.45">
      <c r="A1636" s="84" t="s">
        <v>304</v>
      </c>
      <c r="B1636" s="84" t="str">
        <f>VLOOKUP("SN31",f_detailsof_programs,2,FALSE)</f>
        <v>EXTEMPORE SPEECH MLM</v>
      </c>
      <c r="C1636" s="84"/>
      <c r="D1636" s="84" t="s">
        <v>688</v>
      </c>
      <c r="E1636" s="84" t="s">
        <v>485</v>
      </c>
      <c r="F1636" s="84"/>
      <c r="G1636" s="84"/>
      <c r="H1636" s="84"/>
    </row>
    <row r="1637" spans="1:8" ht="14.25" x14ac:dyDescent="0.45">
      <c r="A1637" s="85" t="s">
        <v>16</v>
      </c>
      <c r="B1637" s="85" t="s">
        <v>480</v>
      </c>
      <c r="C1637" s="85" t="s">
        <v>18</v>
      </c>
      <c r="D1637" s="85" t="s">
        <v>481</v>
      </c>
      <c r="E1637" s="85" t="s">
        <v>19</v>
      </c>
      <c r="F1637" s="85" t="s">
        <v>482</v>
      </c>
      <c r="G1637" s="85" t="s">
        <v>483</v>
      </c>
      <c r="H1637" s="85" t="s">
        <v>484</v>
      </c>
    </row>
    <row r="1638" spans="1:8" ht="14.25" x14ac:dyDescent="0.45">
      <c r="A1638" s="86" cm="1">
        <f t="array" aca="1" ref="A1638:A1649" ca="1">_xlfn.SEQUENCE(COUNTA(_xlfn.LET(_xlpm.trimmed,OFFSET(f_listof_program_candidates,MATCH("SN31",f_listof_program_codes,0)-1,6,1,),TRANSPOSE(_xlfn._xlws.FILTER(OFFSET(_xlpm.trimmed,0,0,,COUNTA(_xlpm.trimmed)-5),OFFSET(_xlpm.trimmed,0,0,,COUNTA(_xlpm.trimmed)-5)&lt;&gt;0)))))</f>
        <v>1</v>
      </c>
      <c r="B1638" s="86" t="str" cm="1">
        <f t="array" aca="1" ref="B1638:B1649" ca="1">_xlfn.LET(_xlpm.trimmed,OFFSET(f_listof_program_candidates,MATCH("SN31",f_listof_program_codes,0)-1,6,1,),TRANSPOSE(_xlfn._xlws.FILTER(OFFSET(_xlpm.trimmed,0,0,,COUNTA(_xlpm.trimmed)-5),OFFSET(_xlpm.trimmed,0,0,,COUNTA(_xlpm.trimmed)-5)&lt;&gt;0)))</f>
        <v>C101</v>
      </c>
      <c r="C1638" s="86" t="str">
        <f t="shared" ref="C1638:C1649" ca="1" si="357">VLOOKUP(B1638,f_detailsof_candidates,2,FALSE)</f>
        <v>MUHAMMED KASHIF</v>
      </c>
      <c r="D1638" s="86" t="str">
        <f t="shared" ref="D1638:D1649" ca="1" si="358">VLOOKUP(B1638,f_detailsof_candidates,3,FALSE)</f>
        <v>FANT</v>
      </c>
      <c r="E1638" s="86">
        <f t="shared" ref="E1638:E1649" ca="1" si="359">VLOOKUP(B1638,f_detailsof_candidates,5,FALSE)</f>
        <v>5</v>
      </c>
    </row>
    <row r="1639" spans="1:8" ht="14.25" x14ac:dyDescent="0.45">
      <c r="A1639" s="86">
        <f ca="1"/>
        <v>2</v>
      </c>
      <c r="B1639" s="86" t="str">
        <f ca="1"/>
        <v>C162</v>
      </c>
      <c r="C1639" s="86" t="str">
        <f t="shared" ca="1" si="357"/>
        <v>MUHAMMAD K.A</v>
      </c>
      <c r="D1639" s="86" t="str">
        <f t="shared" ca="1" si="358"/>
        <v>FANT</v>
      </c>
      <c r="E1639" s="86">
        <f t="shared" ca="1" si="359"/>
        <v>7</v>
      </c>
    </row>
    <row r="1640" spans="1:8" ht="14.25" x14ac:dyDescent="0.45">
      <c r="A1640" s="86">
        <f ca="1"/>
        <v>3</v>
      </c>
      <c r="B1640" s="86" t="str">
        <f ca="1"/>
        <v>C173</v>
      </c>
      <c r="C1640" s="86" t="str">
        <f t="shared" ca="1" si="357"/>
        <v>ABDUL HADIL P.M</v>
      </c>
      <c r="D1640" s="86" t="str">
        <f t="shared" ca="1" si="358"/>
        <v>FANT</v>
      </c>
      <c r="E1640" s="86">
        <f t="shared" ca="1" si="359"/>
        <v>7</v>
      </c>
    </row>
    <row r="1641" spans="1:8" ht="14.25" x14ac:dyDescent="0.45">
      <c r="A1641" s="86">
        <f ca="1"/>
        <v>4</v>
      </c>
      <c r="B1641" s="86" t="str">
        <f ca="1"/>
        <v>C133</v>
      </c>
      <c r="C1641" s="86" t="str">
        <f t="shared" ca="1" si="357"/>
        <v>SALMANUL FARIS</v>
      </c>
      <c r="D1641" s="86" t="str">
        <f t="shared" ca="1" si="358"/>
        <v>DAHF</v>
      </c>
      <c r="E1641" s="86">
        <f t="shared" ca="1" si="359"/>
        <v>6</v>
      </c>
    </row>
    <row r="1642" spans="1:8" ht="14.25" x14ac:dyDescent="0.45">
      <c r="A1642" s="86">
        <f ca="1"/>
        <v>5</v>
      </c>
      <c r="B1642" s="86" t="str">
        <f ca="1"/>
        <v>C161</v>
      </c>
      <c r="C1642" s="86" t="str">
        <f t="shared" ca="1" si="357"/>
        <v>MOHAMMED ABDUL KHADER NABAVI E A</v>
      </c>
      <c r="D1642" s="86" t="str">
        <f t="shared" ca="1" si="358"/>
        <v>DAHF</v>
      </c>
      <c r="E1642" s="86">
        <f t="shared" ca="1" si="359"/>
        <v>7</v>
      </c>
    </row>
    <row r="1643" spans="1:8" ht="14.25" x14ac:dyDescent="0.45">
      <c r="A1643" s="86">
        <f ca="1"/>
        <v>6</v>
      </c>
      <c r="B1643" s="86" t="str">
        <f ca="1"/>
        <v>C166</v>
      </c>
      <c r="C1643" s="86" t="str">
        <f t="shared" ca="1" si="357"/>
        <v>RESWAN</v>
      </c>
      <c r="D1643" s="86" t="str">
        <f t="shared" ca="1" si="358"/>
        <v>DAHF</v>
      </c>
      <c r="E1643" s="86">
        <f t="shared" ca="1" si="359"/>
        <v>7</v>
      </c>
    </row>
    <row r="1644" spans="1:8" ht="14.25" x14ac:dyDescent="0.45">
      <c r="A1644" s="86">
        <f ca="1"/>
        <v>7</v>
      </c>
      <c r="B1644" s="86" t="str">
        <f ca="1"/>
        <v>C103</v>
      </c>
      <c r="C1644" s="86" t="str">
        <f t="shared" ca="1" si="357"/>
        <v>MUHAMMED ABDUL KADER</v>
      </c>
      <c r="D1644" s="86" t="str">
        <f t="shared" ca="1" si="358"/>
        <v>BADF</v>
      </c>
      <c r="E1644" s="86">
        <f t="shared" ca="1" si="359"/>
        <v>5</v>
      </c>
    </row>
    <row r="1645" spans="1:8" ht="14.25" x14ac:dyDescent="0.45">
      <c r="A1645" s="86">
        <f ca="1"/>
        <v>8</v>
      </c>
      <c r="B1645" s="86" t="str">
        <f ca="1"/>
        <v>C141</v>
      </c>
      <c r="C1645" s="86" t="str">
        <f t="shared" ca="1" si="357"/>
        <v>AHMAD MINHAJ</v>
      </c>
      <c r="D1645" s="86" t="str">
        <f t="shared" ca="1" si="358"/>
        <v>BADF</v>
      </c>
      <c r="E1645" s="86">
        <f t="shared" ca="1" si="359"/>
        <v>6</v>
      </c>
    </row>
    <row r="1646" spans="1:8" ht="14.25" x14ac:dyDescent="0.45">
      <c r="A1646" s="86">
        <f ca="1"/>
        <v>9</v>
      </c>
      <c r="B1646" s="86" t="str">
        <f ca="1"/>
        <v>C171</v>
      </c>
      <c r="C1646" s="86" t="str">
        <f t="shared" ca="1" si="357"/>
        <v>MUHAMMED THASLEEM</v>
      </c>
      <c r="D1646" s="86" t="str">
        <f t="shared" ca="1" si="358"/>
        <v>BADF</v>
      </c>
      <c r="E1646" s="86">
        <f t="shared" ca="1" si="359"/>
        <v>7</v>
      </c>
    </row>
    <row r="1647" spans="1:8" ht="14.25" x14ac:dyDescent="0.45">
      <c r="A1647" s="86">
        <f ca="1"/>
        <v>10</v>
      </c>
      <c r="B1647" s="86" t="str">
        <f ca="1"/>
        <v>C111</v>
      </c>
      <c r="C1647" s="86" t="str">
        <f t="shared" ca="1" si="357"/>
        <v>MUHAMMAD ISMAIL HAMDULLA V K</v>
      </c>
      <c r="D1647" s="86" t="str">
        <f t="shared" ca="1" si="358"/>
        <v>JARF</v>
      </c>
      <c r="E1647" s="86">
        <f t="shared" ca="1" si="359"/>
        <v>5</v>
      </c>
    </row>
    <row r="1648" spans="1:8" ht="14.25" x14ac:dyDescent="0.45">
      <c r="A1648" s="86">
        <f ca="1"/>
        <v>11</v>
      </c>
      <c r="B1648" s="86" t="str">
        <f ca="1"/>
        <v>C113</v>
      </c>
      <c r="C1648" s="86" t="str">
        <f t="shared" ca="1" si="357"/>
        <v>SEYYAD MUHAMMED FAHMAN</v>
      </c>
      <c r="D1648" s="86" t="str">
        <f t="shared" ca="1" si="358"/>
        <v>JARF</v>
      </c>
      <c r="E1648" s="86">
        <f t="shared" ca="1" si="359"/>
        <v>5</v>
      </c>
    </row>
    <row r="1649" spans="1:8" ht="14.25" x14ac:dyDescent="0.45">
      <c r="A1649" s="86">
        <f ca="1"/>
        <v>12</v>
      </c>
      <c r="B1649" s="86" t="str">
        <f ca="1"/>
        <v>C163</v>
      </c>
      <c r="C1649" s="86" t="str">
        <f t="shared" ca="1" si="357"/>
        <v>MOHAMMED SAHEED A.K</v>
      </c>
      <c r="D1649" s="86" t="str">
        <f t="shared" ca="1" si="358"/>
        <v>JARF</v>
      </c>
      <c r="E1649" s="86">
        <f t="shared" ca="1" si="359"/>
        <v>7</v>
      </c>
    </row>
    <row r="1650" spans="1:8" ht="14.25" x14ac:dyDescent="0.45">
      <c r="A1650" s="84" t="s">
        <v>306</v>
      </c>
      <c r="B1650" s="84" t="str">
        <f>VLOOKUP("SN32",f_detailsof_programs,2,FALSE)</f>
        <v>GD MLM</v>
      </c>
      <c r="C1650" s="84"/>
      <c r="D1650" s="84" t="s">
        <v>688</v>
      </c>
      <c r="E1650" s="84" t="s">
        <v>485</v>
      </c>
      <c r="F1650" s="84"/>
      <c r="G1650" s="84"/>
      <c r="H1650" s="84"/>
    </row>
    <row r="1651" spans="1:8" ht="14.25" x14ac:dyDescent="0.45">
      <c r="A1651" s="85" t="s">
        <v>16</v>
      </c>
      <c r="B1651" s="85" t="s">
        <v>480</v>
      </c>
      <c r="C1651" s="85" t="s">
        <v>18</v>
      </c>
      <c r="D1651" s="85" t="s">
        <v>481</v>
      </c>
      <c r="E1651" s="85" t="s">
        <v>19</v>
      </c>
      <c r="F1651" s="85" t="s">
        <v>482</v>
      </c>
      <c r="G1651" s="85" t="s">
        <v>483</v>
      </c>
      <c r="H1651" s="85" t="s">
        <v>484</v>
      </c>
    </row>
    <row r="1652" spans="1:8" ht="14.25" x14ac:dyDescent="0.45">
      <c r="A1652" s="86" cm="1">
        <f t="array" aca="1" ref="A1652:A1663" ca="1">_xlfn.SEQUENCE(COUNTA(_xlfn.LET(_xlpm.trimmed,OFFSET(f_listof_program_candidates,MATCH("SN32",f_listof_program_codes,0)-1,6,1,),TRANSPOSE(_xlfn._xlws.FILTER(OFFSET(_xlpm.trimmed,0,0,,COUNTA(_xlpm.trimmed)-5),OFFSET(_xlpm.trimmed,0,0,,COUNTA(_xlpm.trimmed)-5)&lt;&gt;0)))))</f>
        <v>1</v>
      </c>
      <c r="B1652" s="86" t="str" cm="1">
        <f t="array" aca="1" ref="B1652:B1663" ca="1">_xlfn.LET(_xlpm.trimmed,OFFSET(f_listof_program_candidates,MATCH("SN32",f_listof_program_codes,0)-1,6,1,),TRANSPOSE(_xlfn._xlws.FILTER(OFFSET(_xlpm.trimmed,0,0,,COUNTA(_xlpm.trimmed)-5),OFFSET(_xlpm.trimmed,0,0,,COUNTA(_xlpm.trimmed)-5)&lt;&gt;0)))</f>
        <v>C162</v>
      </c>
      <c r="C1652" s="86" t="str">
        <f t="shared" ref="C1652:C1663" ca="1" si="360">VLOOKUP(B1652,f_detailsof_candidates,2,FALSE)</f>
        <v>MUHAMMAD K.A</v>
      </c>
      <c r="D1652" s="86" t="str">
        <f t="shared" ref="D1652:D1663" ca="1" si="361">VLOOKUP(B1652,f_detailsof_candidates,3,FALSE)</f>
        <v>FANT</v>
      </c>
      <c r="E1652" s="86">
        <f t="shared" ref="E1652:E1663" ca="1" si="362">VLOOKUP(B1652,f_detailsof_candidates,5,FALSE)</f>
        <v>7</v>
      </c>
    </row>
    <row r="1653" spans="1:8" ht="14.25" x14ac:dyDescent="0.45">
      <c r="A1653" s="86">
        <f ca="1"/>
        <v>2</v>
      </c>
      <c r="B1653" s="86" t="str">
        <f ca="1"/>
        <v>C168</v>
      </c>
      <c r="C1653" s="86" t="str">
        <f t="shared" ca="1" si="360"/>
        <v>MUHAMMED SHAHAN P.S</v>
      </c>
      <c r="D1653" s="86" t="str">
        <f t="shared" ca="1" si="361"/>
        <v>FANT</v>
      </c>
      <c r="E1653" s="86">
        <f t="shared" ca="1" si="362"/>
        <v>7</v>
      </c>
    </row>
    <row r="1654" spans="1:8" ht="14.25" x14ac:dyDescent="0.45">
      <c r="A1654" s="86">
        <f ca="1"/>
        <v>3</v>
      </c>
      <c r="B1654" s="86" t="str">
        <f ca="1"/>
        <v>C173</v>
      </c>
      <c r="C1654" s="86" t="str">
        <f t="shared" ca="1" si="360"/>
        <v>ABDUL HADIL P.M</v>
      </c>
      <c r="D1654" s="86" t="str">
        <f t="shared" ca="1" si="361"/>
        <v>FANT</v>
      </c>
      <c r="E1654" s="86">
        <f t="shared" ca="1" si="362"/>
        <v>7</v>
      </c>
    </row>
    <row r="1655" spans="1:8" ht="14.25" x14ac:dyDescent="0.45">
      <c r="A1655" s="86">
        <f ca="1"/>
        <v>4</v>
      </c>
      <c r="B1655" s="86" t="str">
        <f ca="1"/>
        <v>C133</v>
      </c>
      <c r="C1655" s="86" t="str">
        <f t="shared" ca="1" si="360"/>
        <v>SALMANUL FARIS</v>
      </c>
      <c r="D1655" s="86" t="str">
        <f t="shared" ca="1" si="361"/>
        <v>DAHF</v>
      </c>
      <c r="E1655" s="86">
        <f t="shared" ca="1" si="362"/>
        <v>6</v>
      </c>
    </row>
    <row r="1656" spans="1:8" ht="14.25" x14ac:dyDescent="0.45">
      <c r="A1656" s="86">
        <f ca="1"/>
        <v>5</v>
      </c>
      <c r="B1656" s="86" t="str">
        <f ca="1"/>
        <v>C158</v>
      </c>
      <c r="C1656" s="86" t="str">
        <f t="shared" ca="1" si="360"/>
        <v>ABDUL FATHAH AHAMMED C</v>
      </c>
      <c r="D1656" s="86" t="str">
        <f t="shared" ca="1" si="361"/>
        <v>DAHF</v>
      </c>
      <c r="E1656" s="86">
        <f t="shared" ca="1" si="362"/>
        <v>6</v>
      </c>
    </row>
    <row r="1657" spans="1:8" ht="14.25" x14ac:dyDescent="0.45">
      <c r="A1657" s="86">
        <f ca="1"/>
        <v>6</v>
      </c>
      <c r="B1657" s="86" t="str">
        <f ca="1"/>
        <v>C161</v>
      </c>
      <c r="C1657" s="86" t="str">
        <f t="shared" ca="1" si="360"/>
        <v>MOHAMMED ABDUL KHADER NABAVI E A</v>
      </c>
      <c r="D1657" s="86" t="str">
        <f t="shared" ca="1" si="361"/>
        <v>DAHF</v>
      </c>
      <c r="E1657" s="86">
        <f t="shared" ca="1" si="362"/>
        <v>7</v>
      </c>
    </row>
    <row r="1658" spans="1:8" ht="14.25" x14ac:dyDescent="0.45">
      <c r="A1658" s="86">
        <f ca="1"/>
        <v>7</v>
      </c>
      <c r="B1658" s="86" t="str">
        <f ca="1"/>
        <v>C103</v>
      </c>
      <c r="C1658" s="86" t="str">
        <f t="shared" ca="1" si="360"/>
        <v>MUHAMMED ABDUL KADER</v>
      </c>
      <c r="D1658" s="86" t="str">
        <f t="shared" ca="1" si="361"/>
        <v>BADF</v>
      </c>
      <c r="E1658" s="86">
        <f t="shared" ca="1" si="362"/>
        <v>5</v>
      </c>
    </row>
    <row r="1659" spans="1:8" ht="14.25" x14ac:dyDescent="0.45">
      <c r="A1659" s="86">
        <f ca="1"/>
        <v>8</v>
      </c>
      <c r="B1659" s="86" t="str">
        <f ca="1"/>
        <v>C145</v>
      </c>
      <c r="C1659" s="86" t="str">
        <f t="shared" ca="1" si="360"/>
        <v>SHAMEEL AHAMMED P</v>
      </c>
      <c r="D1659" s="86" t="str">
        <f t="shared" ca="1" si="361"/>
        <v>BADF</v>
      </c>
      <c r="E1659" s="86">
        <f t="shared" ca="1" si="362"/>
        <v>6</v>
      </c>
    </row>
    <row r="1660" spans="1:8" ht="14.25" x14ac:dyDescent="0.45">
      <c r="A1660" s="86">
        <f ca="1"/>
        <v>9</v>
      </c>
      <c r="B1660" s="86" t="str">
        <f ca="1"/>
        <v>C157</v>
      </c>
      <c r="C1660" s="86" t="str">
        <f t="shared" ca="1" si="360"/>
        <v>HASAN YASIR</v>
      </c>
      <c r="D1660" s="86" t="str">
        <f t="shared" ca="1" si="361"/>
        <v>BADF</v>
      </c>
      <c r="E1660" s="86">
        <f t="shared" ca="1" si="362"/>
        <v>6</v>
      </c>
    </row>
    <row r="1661" spans="1:8" ht="14.25" x14ac:dyDescent="0.45">
      <c r="A1661" s="86">
        <f ca="1"/>
        <v>10</v>
      </c>
      <c r="B1661" s="86" t="str">
        <f ca="1"/>
        <v>C119</v>
      </c>
      <c r="C1661" s="86" t="str">
        <f t="shared" ca="1" si="360"/>
        <v>ARIFUDEEN ABBAS A</v>
      </c>
      <c r="D1661" s="86" t="str">
        <f t="shared" ca="1" si="361"/>
        <v>JARF</v>
      </c>
      <c r="E1661" s="86">
        <f t="shared" ca="1" si="362"/>
        <v>5</v>
      </c>
    </row>
    <row r="1662" spans="1:8" ht="14.25" x14ac:dyDescent="0.45">
      <c r="A1662" s="86">
        <f ca="1"/>
        <v>11</v>
      </c>
      <c r="B1662" s="86" t="str">
        <f ca="1"/>
        <v>C105</v>
      </c>
      <c r="C1662" s="86" t="str">
        <f t="shared" ca="1" si="360"/>
        <v>AHMAD MANAL KUDINGILA</v>
      </c>
      <c r="D1662" s="86" t="str">
        <f t="shared" ca="1" si="361"/>
        <v>JARF</v>
      </c>
      <c r="E1662" s="86">
        <f t="shared" ca="1" si="362"/>
        <v>5</v>
      </c>
    </row>
    <row r="1663" spans="1:8" ht="14.25" x14ac:dyDescent="0.45">
      <c r="A1663" s="86">
        <f ca="1"/>
        <v>12</v>
      </c>
      <c r="B1663" s="86" t="str">
        <f ca="1"/>
        <v>C163</v>
      </c>
      <c r="C1663" s="86" t="str">
        <f t="shared" ca="1" si="360"/>
        <v>MOHAMMED SAHEED A.K</v>
      </c>
      <c r="D1663" s="86" t="str">
        <f t="shared" ca="1" si="361"/>
        <v>JARF</v>
      </c>
      <c r="E1663" s="86">
        <f t="shared" ca="1" si="362"/>
        <v>7</v>
      </c>
    </row>
    <row r="1664" spans="1:8" ht="14.25" x14ac:dyDescent="0.45">
      <c r="A1664" s="84" t="s">
        <v>308</v>
      </c>
      <c r="B1664" s="84" t="str">
        <f>VLOOKUP("SN33",f_detailsof_programs,2,FALSE)</f>
        <v>HISTORY TALK ENG</v>
      </c>
      <c r="C1664" s="84"/>
      <c r="D1664" s="84" t="s">
        <v>688</v>
      </c>
      <c r="E1664" s="84" t="s">
        <v>486</v>
      </c>
      <c r="F1664" s="84"/>
      <c r="G1664" s="84"/>
      <c r="H1664" s="84"/>
    </row>
    <row r="1665" spans="1:8" ht="14.25" x14ac:dyDescent="0.45">
      <c r="A1665" s="85" t="s">
        <v>16</v>
      </c>
      <c r="B1665" s="85" t="s">
        <v>480</v>
      </c>
      <c r="C1665" s="85" t="s">
        <v>18</v>
      </c>
      <c r="D1665" s="85" t="s">
        <v>481</v>
      </c>
      <c r="E1665" s="85" t="s">
        <v>19</v>
      </c>
      <c r="F1665" s="85" t="s">
        <v>482</v>
      </c>
      <c r="G1665" s="85" t="s">
        <v>483</v>
      </c>
      <c r="H1665" s="85" t="s">
        <v>484</v>
      </c>
    </row>
    <row r="1666" spans="1:8" ht="14.25" x14ac:dyDescent="0.45">
      <c r="A1666" s="86" cm="1">
        <f t="array" aca="1" ref="A1666:A1673" ca="1">_xlfn.SEQUENCE(COUNTA(_xlfn.LET(_xlpm.trimmed,OFFSET(f_listof_program_candidates,MATCH("SN33",f_listof_program_codes,0)-1,6,1,),TRANSPOSE(_xlfn._xlws.FILTER(OFFSET(_xlpm.trimmed,0,0,,COUNTA(_xlpm.trimmed)-5),OFFSET(_xlpm.trimmed,0,0,,COUNTA(_xlpm.trimmed)-5)&lt;&gt;0)))))</f>
        <v>1</v>
      </c>
      <c r="B1666" s="86" t="str" cm="1">
        <f t="array" aca="1" ref="B1666:B1673" ca="1">_xlfn.LET(_xlpm.trimmed,OFFSET(f_listof_program_candidates,MATCH("SN33",f_listof_program_codes,0)-1,6,1,),TRANSPOSE(_xlfn._xlws.FILTER(OFFSET(_xlpm.trimmed,0,0,,COUNTA(_xlpm.trimmed)-5),OFFSET(_xlpm.trimmed,0,0,,COUNTA(_xlpm.trimmed)-5)&lt;&gt;0)))</f>
        <v>C168</v>
      </c>
      <c r="C1666" s="86" t="str">
        <f t="shared" ref="C1666:C1673" ca="1" si="363">VLOOKUP(B1666,f_detailsof_candidates,2,FALSE)</f>
        <v>MUHAMMED SHAHAN P.S</v>
      </c>
      <c r="D1666" s="86" t="str">
        <f t="shared" ref="D1666:D1673" ca="1" si="364">VLOOKUP(B1666,f_detailsof_candidates,3,FALSE)</f>
        <v>FANT</v>
      </c>
      <c r="E1666" s="86">
        <f t="shared" ref="E1666:E1673" ca="1" si="365">VLOOKUP(B1666,f_detailsof_candidates,5,FALSE)</f>
        <v>7</v>
      </c>
    </row>
    <row r="1667" spans="1:8" ht="14.25" x14ac:dyDescent="0.45">
      <c r="A1667" s="86">
        <f ca="1"/>
        <v>2</v>
      </c>
      <c r="B1667" s="86" t="str">
        <f ca="1"/>
        <v>C155</v>
      </c>
      <c r="C1667" s="86" t="str">
        <f t="shared" ca="1" si="363"/>
        <v>HASSAN ZARKASH</v>
      </c>
      <c r="D1667" s="86" t="str">
        <f t="shared" ca="1" si="364"/>
        <v>FANT</v>
      </c>
      <c r="E1667" s="86">
        <f t="shared" ca="1" si="365"/>
        <v>6</v>
      </c>
    </row>
    <row r="1668" spans="1:8" ht="14.25" x14ac:dyDescent="0.45">
      <c r="A1668" s="86">
        <f ca="1"/>
        <v>3</v>
      </c>
      <c r="B1668" s="86" t="str">
        <f ca="1"/>
        <v>C107</v>
      </c>
      <c r="C1668" s="86" t="str">
        <f t="shared" ca="1" si="363"/>
        <v>ADIL ABDULLA A</v>
      </c>
      <c r="D1668" s="86" t="str">
        <f t="shared" ca="1" si="364"/>
        <v>DAHF</v>
      </c>
      <c r="E1668" s="86">
        <f t="shared" ca="1" si="365"/>
        <v>5</v>
      </c>
    </row>
    <row r="1669" spans="1:8" ht="14.25" x14ac:dyDescent="0.45">
      <c r="A1669" s="86">
        <f ca="1"/>
        <v>4</v>
      </c>
      <c r="B1669" s="86" t="str">
        <f ca="1"/>
        <v>C110</v>
      </c>
      <c r="C1669" s="86" t="str">
        <f t="shared" ca="1" si="363"/>
        <v>SHADIL AHAMED</v>
      </c>
      <c r="D1669" s="86" t="str">
        <f t="shared" ca="1" si="364"/>
        <v>DAHF</v>
      </c>
      <c r="E1669" s="86">
        <f t="shared" ca="1" si="365"/>
        <v>5</v>
      </c>
    </row>
    <row r="1670" spans="1:8" ht="14.25" x14ac:dyDescent="0.45">
      <c r="A1670" s="86">
        <f ca="1"/>
        <v>5</v>
      </c>
      <c r="B1670" s="86" t="str">
        <f ca="1"/>
        <v>C114</v>
      </c>
      <c r="C1670" s="86" t="str">
        <f t="shared" ca="1" si="363"/>
        <v>AJMAL RUWAIS</v>
      </c>
      <c r="D1670" s="86" t="str">
        <f t="shared" ca="1" si="364"/>
        <v>BADF</v>
      </c>
      <c r="E1670" s="86">
        <f t="shared" ca="1" si="365"/>
        <v>5</v>
      </c>
    </row>
    <row r="1671" spans="1:8" ht="14.25" x14ac:dyDescent="0.45">
      <c r="A1671" s="86">
        <f ca="1"/>
        <v>6</v>
      </c>
      <c r="B1671" s="86" t="str">
        <f ca="1"/>
        <v>C170</v>
      </c>
      <c r="C1671" s="86" t="str">
        <f t="shared" ca="1" si="363"/>
        <v>RUMAIZALI R IBRAHIM</v>
      </c>
      <c r="D1671" s="86" t="str">
        <f t="shared" ca="1" si="364"/>
        <v>BADF</v>
      </c>
      <c r="E1671" s="86">
        <f t="shared" ca="1" si="365"/>
        <v>7</v>
      </c>
    </row>
    <row r="1672" spans="1:8" ht="14.25" x14ac:dyDescent="0.45">
      <c r="A1672" s="86">
        <f ca="1"/>
        <v>7</v>
      </c>
      <c r="B1672" s="86" t="str">
        <f ca="1"/>
        <v>C113</v>
      </c>
      <c r="C1672" s="86" t="str">
        <f t="shared" ca="1" si="363"/>
        <v>SEYYAD MUHAMMED FAHMAN</v>
      </c>
      <c r="D1672" s="86" t="str">
        <f t="shared" ca="1" si="364"/>
        <v>JARF</v>
      </c>
      <c r="E1672" s="86">
        <f t="shared" ca="1" si="365"/>
        <v>5</v>
      </c>
    </row>
    <row r="1673" spans="1:8" ht="14.25" x14ac:dyDescent="0.45">
      <c r="A1673" s="86">
        <f ca="1"/>
        <v>8</v>
      </c>
      <c r="B1673" s="86" t="str">
        <f ca="1"/>
        <v>C135</v>
      </c>
      <c r="C1673" s="86" t="str">
        <f t="shared" ca="1" si="363"/>
        <v>AHAMAD SHABAB P A</v>
      </c>
      <c r="D1673" s="86" t="str">
        <f t="shared" ca="1" si="364"/>
        <v>JARF</v>
      </c>
      <c r="E1673" s="86">
        <f t="shared" ca="1" si="365"/>
        <v>6</v>
      </c>
    </row>
    <row r="1674" spans="1:8" ht="14.25" x14ac:dyDescent="0.45">
      <c r="A1674" s="84" t="s">
        <v>310</v>
      </c>
      <c r="B1674" s="84" t="str">
        <f>VLOOKUP("SN34",f_detailsof_programs,2,FALSE)</f>
        <v>KAVIYARANG</v>
      </c>
      <c r="C1674" s="84"/>
      <c r="D1674" s="84" t="s">
        <v>688</v>
      </c>
      <c r="E1674" s="84" t="s">
        <v>486</v>
      </c>
      <c r="F1674" s="84"/>
      <c r="G1674" s="84"/>
      <c r="H1674" s="84"/>
    </row>
    <row r="1675" spans="1:8" ht="14.25" x14ac:dyDescent="0.45">
      <c r="A1675" s="85" t="s">
        <v>16</v>
      </c>
      <c r="B1675" s="85" t="s">
        <v>480</v>
      </c>
      <c r="C1675" s="85" t="s">
        <v>18</v>
      </c>
      <c r="D1675" s="85" t="s">
        <v>481</v>
      </c>
      <c r="E1675" s="85" t="s">
        <v>19</v>
      </c>
      <c r="F1675" s="85" t="s">
        <v>482</v>
      </c>
      <c r="G1675" s="85" t="s">
        <v>483</v>
      </c>
      <c r="H1675" s="85" t="s">
        <v>484</v>
      </c>
    </row>
    <row r="1676" spans="1:8" ht="14.25" x14ac:dyDescent="0.45">
      <c r="A1676" s="86" cm="1">
        <f t="array" aca="1" ref="A1676:A1683" ca="1">_xlfn.SEQUENCE(COUNTA(_xlfn.LET(_xlpm.trimmed,OFFSET(f_listof_program_candidates,MATCH("SN34",f_listof_program_codes,0)-1,6,1,),TRANSPOSE(_xlfn._xlws.FILTER(OFFSET(_xlpm.trimmed,0,0,,COUNTA(_xlpm.trimmed)-5),OFFSET(_xlpm.trimmed,0,0,,COUNTA(_xlpm.trimmed)-5)&lt;&gt;0)))))</f>
        <v>1</v>
      </c>
      <c r="B1676" s="86" t="str" cm="1">
        <f t="array" aca="1" ref="B1676:B1683" ca="1">_xlfn.LET(_xlpm.trimmed,OFFSET(f_listof_program_candidates,MATCH("SN34",f_listof_program_codes,0)-1,6,1,),TRANSPOSE(_xlfn._xlws.FILTER(OFFSET(_xlpm.trimmed,0,0,,COUNTA(_xlpm.trimmed)-5),OFFSET(_xlpm.trimmed,0,0,,COUNTA(_xlpm.trimmed)-5)&lt;&gt;0)))</f>
        <v>C173</v>
      </c>
      <c r="C1676" s="86" t="str">
        <f t="shared" ref="C1676:C1683" ca="1" si="366">VLOOKUP(B1676,f_detailsof_candidates,2,FALSE)</f>
        <v>ABDUL HADIL P.M</v>
      </c>
      <c r="D1676" s="86" t="str">
        <f t="shared" ref="D1676:D1683" ca="1" si="367">VLOOKUP(B1676,f_detailsof_candidates,3,FALSE)</f>
        <v>FANT</v>
      </c>
      <c r="E1676" s="86">
        <f t="shared" ref="E1676:E1683" ca="1" si="368">VLOOKUP(B1676,f_detailsof_candidates,5,FALSE)</f>
        <v>7</v>
      </c>
    </row>
    <row r="1677" spans="1:8" ht="14.25" x14ac:dyDescent="0.45">
      <c r="A1677" s="86">
        <f ca="1"/>
        <v>2</v>
      </c>
      <c r="B1677" s="86" t="str">
        <f ca="1"/>
        <v>C176</v>
      </c>
      <c r="C1677" s="86" t="str">
        <f t="shared" ca="1" si="366"/>
        <v>MUHAMMED T A</v>
      </c>
      <c r="D1677" s="86" t="str">
        <f t="shared" ca="1" si="367"/>
        <v>FANT</v>
      </c>
      <c r="E1677" s="86">
        <f t="shared" ca="1" si="368"/>
        <v>7</v>
      </c>
    </row>
    <row r="1678" spans="1:8" ht="14.25" x14ac:dyDescent="0.45">
      <c r="A1678" s="86">
        <f ca="1"/>
        <v>3</v>
      </c>
      <c r="B1678" s="86" t="str">
        <f ca="1"/>
        <v>C153</v>
      </c>
      <c r="C1678" s="86" t="str">
        <f t="shared" ca="1" si="366"/>
        <v>MUHAMMED AHMASH K</v>
      </c>
      <c r="D1678" s="86" t="str">
        <f t="shared" ca="1" si="367"/>
        <v>DAHF</v>
      </c>
      <c r="E1678" s="86">
        <f t="shared" ca="1" si="368"/>
        <v>6</v>
      </c>
    </row>
    <row r="1679" spans="1:8" ht="14.25" x14ac:dyDescent="0.45">
      <c r="A1679" s="86">
        <f ca="1"/>
        <v>4</v>
      </c>
      <c r="B1679" s="86" t="str">
        <f ca="1"/>
        <v>C161</v>
      </c>
      <c r="C1679" s="86" t="str">
        <f t="shared" ca="1" si="366"/>
        <v>MOHAMMED ABDUL KHADER NABAVI E A</v>
      </c>
      <c r="D1679" s="86" t="str">
        <f t="shared" ca="1" si="367"/>
        <v>DAHF</v>
      </c>
      <c r="E1679" s="86">
        <f t="shared" ca="1" si="368"/>
        <v>7</v>
      </c>
    </row>
    <row r="1680" spans="1:8" ht="14.25" x14ac:dyDescent="0.45">
      <c r="A1680" s="86">
        <f ca="1"/>
        <v>5</v>
      </c>
      <c r="B1680" s="86" t="str">
        <f ca="1"/>
        <v>C109</v>
      </c>
      <c r="C1680" s="86" t="str">
        <f t="shared" ca="1" si="366"/>
        <v>ABDULLA FARHAN M</v>
      </c>
      <c r="D1680" s="86" t="str">
        <f t="shared" ca="1" si="367"/>
        <v>BADF</v>
      </c>
      <c r="E1680" s="86">
        <f t="shared" ca="1" si="368"/>
        <v>5</v>
      </c>
    </row>
    <row r="1681" spans="1:8" ht="14.25" x14ac:dyDescent="0.45">
      <c r="A1681" s="86">
        <f ca="1"/>
        <v>6</v>
      </c>
      <c r="B1681" s="86" t="str">
        <f ca="1"/>
        <v>C171</v>
      </c>
      <c r="C1681" s="86" t="str">
        <f t="shared" ca="1" si="366"/>
        <v>MUHAMMED THASLEEM</v>
      </c>
      <c r="D1681" s="86" t="str">
        <f t="shared" ca="1" si="367"/>
        <v>BADF</v>
      </c>
      <c r="E1681" s="86">
        <f t="shared" ca="1" si="368"/>
        <v>7</v>
      </c>
    </row>
    <row r="1682" spans="1:8" ht="14.25" x14ac:dyDescent="0.45">
      <c r="A1682" s="86">
        <f ca="1"/>
        <v>7</v>
      </c>
      <c r="B1682" s="86" t="str">
        <f ca="1"/>
        <v>C121</v>
      </c>
      <c r="C1682" s="86" t="str">
        <f t="shared" ca="1" si="366"/>
        <v>ABDUL SALAM ARIF</v>
      </c>
      <c r="D1682" s="86" t="str">
        <f t="shared" ca="1" si="367"/>
        <v>JARF</v>
      </c>
      <c r="E1682" s="86">
        <f t="shared" ca="1" si="368"/>
        <v>5</v>
      </c>
    </row>
    <row r="1683" spans="1:8" ht="14.25" x14ac:dyDescent="0.45">
      <c r="A1683" s="86">
        <f ca="1"/>
        <v>8</v>
      </c>
      <c r="B1683" s="86" t="str">
        <f ca="1"/>
        <v>C152</v>
      </c>
      <c r="C1683" s="86" t="str">
        <f t="shared" ca="1" si="366"/>
        <v>MUHAMMED SABITH ALI TM</v>
      </c>
      <c r="D1683" s="86" t="str">
        <f t="shared" ca="1" si="367"/>
        <v>JARF</v>
      </c>
      <c r="E1683" s="86">
        <f t="shared" ca="1" si="368"/>
        <v>6</v>
      </c>
    </row>
    <row r="1684" spans="1:8" ht="14.25" x14ac:dyDescent="0.45">
      <c r="A1684" s="84" t="s">
        <v>312</v>
      </c>
      <c r="B1684" s="84" t="str">
        <f>VLOOKUP("SN35",f_detailsof_programs,2,FALSE)</f>
        <v>MOTIVATIONAL SPEECH ENG</v>
      </c>
      <c r="C1684" s="84"/>
      <c r="D1684" s="84" t="s">
        <v>688</v>
      </c>
      <c r="E1684" s="84" t="s">
        <v>486</v>
      </c>
      <c r="F1684" s="84"/>
      <c r="G1684" s="84"/>
      <c r="H1684" s="84"/>
    </row>
    <row r="1685" spans="1:8" ht="14.25" x14ac:dyDescent="0.45">
      <c r="A1685" s="85" t="s">
        <v>16</v>
      </c>
      <c r="B1685" s="85" t="s">
        <v>480</v>
      </c>
      <c r="C1685" s="85" t="s">
        <v>18</v>
      </c>
      <c r="D1685" s="85" t="s">
        <v>481</v>
      </c>
      <c r="E1685" s="85" t="s">
        <v>19</v>
      </c>
      <c r="F1685" s="85" t="s">
        <v>482</v>
      </c>
      <c r="G1685" s="85" t="s">
        <v>483</v>
      </c>
      <c r="H1685" s="85" t="s">
        <v>484</v>
      </c>
    </row>
    <row r="1686" spans="1:8" ht="14.25" x14ac:dyDescent="0.45">
      <c r="A1686" s="86" cm="1">
        <f t="array" aca="1" ref="A1686:A1693" ca="1">_xlfn.SEQUENCE(COUNTA(_xlfn.LET(_xlpm.trimmed,OFFSET(f_listof_program_candidates,MATCH("SN35",f_listof_program_codes,0)-1,6,1,),TRANSPOSE(_xlfn._xlws.FILTER(OFFSET(_xlpm.trimmed,0,0,,COUNTA(_xlpm.trimmed)-5),OFFSET(_xlpm.trimmed,0,0,,COUNTA(_xlpm.trimmed)-5)&lt;&gt;0)))))</f>
        <v>1</v>
      </c>
      <c r="B1686" s="86" t="str" cm="1">
        <f t="array" aca="1" ref="B1686:B1693" ca="1">_xlfn.LET(_xlpm.trimmed,OFFSET(f_listof_program_candidates,MATCH("SN35",f_listof_program_codes,0)-1,6,1,),TRANSPOSE(_xlfn._xlws.FILTER(OFFSET(_xlpm.trimmed,0,0,,COUNTA(_xlpm.trimmed)-5),OFFSET(_xlpm.trimmed,0,0,,COUNTA(_xlpm.trimmed)-5)&lt;&gt;0)))</f>
        <v>C155</v>
      </c>
      <c r="C1686" s="86" t="str">
        <f t="shared" ref="C1686:C1693" ca="1" si="369">VLOOKUP(B1686,f_detailsof_candidates,2,FALSE)</f>
        <v>HASSAN ZARKASH</v>
      </c>
      <c r="D1686" s="86" t="str">
        <f t="shared" ref="D1686:D1693" ca="1" si="370">VLOOKUP(B1686,f_detailsof_candidates,3,FALSE)</f>
        <v>FANT</v>
      </c>
      <c r="E1686" s="86">
        <f t="shared" ref="E1686:E1693" ca="1" si="371">VLOOKUP(B1686,f_detailsof_candidates,5,FALSE)</f>
        <v>6</v>
      </c>
    </row>
    <row r="1687" spans="1:8" ht="14.25" x14ac:dyDescent="0.45">
      <c r="A1687" s="86">
        <f ca="1"/>
        <v>2</v>
      </c>
      <c r="B1687" s="86" t="str">
        <f ca="1"/>
        <v>C108</v>
      </c>
      <c r="C1687" s="86" t="str">
        <f t="shared" ca="1" si="369"/>
        <v>ABDULLA SALMAN FARIS M</v>
      </c>
      <c r="D1687" s="86" t="str">
        <f t="shared" ca="1" si="370"/>
        <v>FANT</v>
      </c>
      <c r="E1687" s="86">
        <f t="shared" ca="1" si="371"/>
        <v>5</v>
      </c>
    </row>
    <row r="1688" spans="1:8" ht="14.25" x14ac:dyDescent="0.45">
      <c r="A1688" s="86">
        <f ca="1"/>
        <v>3</v>
      </c>
      <c r="B1688" s="86" t="str">
        <f ca="1"/>
        <v>C107</v>
      </c>
      <c r="C1688" s="86" t="str">
        <f t="shared" ca="1" si="369"/>
        <v>ADIL ABDULLA A</v>
      </c>
      <c r="D1688" s="86" t="str">
        <f t="shared" ca="1" si="370"/>
        <v>DAHF</v>
      </c>
      <c r="E1688" s="86">
        <f t="shared" ca="1" si="371"/>
        <v>5</v>
      </c>
    </row>
    <row r="1689" spans="1:8" ht="14.25" x14ac:dyDescent="0.45">
      <c r="A1689" s="86">
        <f ca="1"/>
        <v>4</v>
      </c>
      <c r="B1689" s="86" t="str">
        <f ca="1"/>
        <v>C158</v>
      </c>
      <c r="C1689" s="86" t="str">
        <f t="shared" ca="1" si="369"/>
        <v>ABDUL FATHAH AHAMMED C</v>
      </c>
      <c r="D1689" s="86" t="str">
        <f t="shared" ca="1" si="370"/>
        <v>DAHF</v>
      </c>
      <c r="E1689" s="86">
        <f t="shared" ca="1" si="371"/>
        <v>6</v>
      </c>
    </row>
    <row r="1690" spans="1:8" ht="14.25" x14ac:dyDescent="0.45">
      <c r="A1690" s="86">
        <f ca="1"/>
        <v>5</v>
      </c>
      <c r="B1690" s="86" t="str">
        <f ca="1"/>
        <v>C132</v>
      </c>
      <c r="C1690" s="86" t="str">
        <f t="shared" ca="1" si="369"/>
        <v>MUHAMMAD SHAZIN</v>
      </c>
      <c r="D1690" s="86" t="str">
        <f t="shared" ca="1" si="370"/>
        <v>BADF</v>
      </c>
      <c r="E1690" s="86">
        <f t="shared" ca="1" si="371"/>
        <v>6</v>
      </c>
    </row>
    <row r="1691" spans="1:8" ht="14.25" x14ac:dyDescent="0.45">
      <c r="A1691" s="86">
        <f ca="1"/>
        <v>6</v>
      </c>
      <c r="B1691" s="86" t="str">
        <f ca="1"/>
        <v>C170</v>
      </c>
      <c r="C1691" s="86" t="str">
        <f t="shared" ca="1" si="369"/>
        <v>RUMAIZALI R IBRAHIM</v>
      </c>
      <c r="D1691" s="86" t="str">
        <f t="shared" ca="1" si="370"/>
        <v>BADF</v>
      </c>
      <c r="E1691" s="86">
        <f t="shared" ca="1" si="371"/>
        <v>7</v>
      </c>
    </row>
    <row r="1692" spans="1:8" ht="14.25" x14ac:dyDescent="0.45">
      <c r="A1692" s="86">
        <f ca="1"/>
        <v>7</v>
      </c>
      <c r="B1692" s="86" t="str">
        <f ca="1"/>
        <v>C135</v>
      </c>
      <c r="C1692" s="86" t="str">
        <f t="shared" ca="1" si="369"/>
        <v>AHAMAD SHABAB P A</v>
      </c>
      <c r="D1692" s="86" t="str">
        <f t="shared" ca="1" si="370"/>
        <v>JARF</v>
      </c>
      <c r="E1692" s="86">
        <f t="shared" ca="1" si="371"/>
        <v>6</v>
      </c>
    </row>
    <row r="1693" spans="1:8" ht="14.25" x14ac:dyDescent="0.45">
      <c r="A1693" s="86">
        <f ca="1"/>
        <v>8</v>
      </c>
      <c r="B1693" s="86" t="str">
        <f ca="1"/>
        <v>C140</v>
      </c>
      <c r="C1693" s="86" t="str">
        <f t="shared" ca="1" si="369"/>
        <v>IJAS EBRAHIM</v>
      </c>
      <c r="D1693" s="86" t="str">
        <f t="shared" ca="1" si="370"/>
        <v>JARF</v>
      </c>
      <c r="E1693" s="86">
        <f t="shared" ca="1" si="371"/>
        <v>6</v>
      </c>
    </row>
    <row r="1694" spans="1:8" ht="14.25" x14ac:dyDescent="0.45">
      <c r="A1694" s="84" t="s">
        <v>314</v>
      </c>
      <c r="B1694" s="84" t="str">
        <f>VLOOKUP("SN36",f_detailsof_programs,2,FALSE)</f>
        <v>NASHEED ARB</v>
      </c>
      <c r="C1694" s="84"/>
      <c r="D1694" s="84" t="s">
        <v>688</v>
      </c>
      <c r="E1694" s="84" t="s">
        <v>485</v>
      </c>
      <c r="F1694" s="84"/>
      <c r="G1694" s="84"/>
      <c r="H1694" s="84"/>
    </row>
    <row r="1695" spans="1:8" ht="14.25" x14ac:dyDescent="0.45">
      <c r="A1695" s="85" t="s">
        <v>16</v>
      </c>
      <c r="B1695" s="85" t="s">
        <v>480</v>
      </c>
      <c r="C1695" s="85" t="s">
        <v>18</v>
      </c>
      <c r="D1695" s="85" t="s">
        <v>481</v>
      </c>
      <c r="E1695" s="85" t="s">
        <v>19</v>
      </c>
      <c r="F1695" s="85" t="s">
        <v>482</v>
      </c>
      <c r="G1695" s="85" t="s">
        <v>483</v>
      </c>
      <c r="H1695" s="85" t="s">
        <v>484</v>
      </c>
    </row>
    <row r="1696" spans="1:8" ht="14.25" x14ac:dyDescent="0.45">
      <c r="A1696" s="86" cm="1">
        <f t="array" aca="1" ref="A1696:A1707" ca="1">_xlfn.SEQUENCE(COUNTA(_xlfn.LET(_xlpm.trimmed,OFFSET(f_listof_program_candidates,MATCH("SN36",f_listof_program_codes,0)-1,6,1,),TRANSPOSE(_xlfn._xlws.FILTER(OFFSET(_xlpm.trimmed,0,0,,COUNTA(_xlpm.trimmed)-5),OFFSET(_xlpm.trimmed,0,0,,COUNTA(_xlpm.trimmed)-5)&lt;&gt;0)))))</f>
        <v>1</v>
      </c>
      <c r="B1696" s="86" t="str" cm="1">
        <f t="array" aca="1" ref="B1696:B1707" ca="1">_xlfn.LET(_xlpm.trimmed,OFFSET(f_listof_program_candidates,MATCH("SN36",f_listof_program_codes,0)-1,6,1,),TRANSPOSE(_xlfn._xlws.FILTER(OFFSET(_xlpm.trimmed,0,0,,COUNTA(_xlpm.trimmed)-5),OFFSET(_xlpm.trimmed,0,0,,COUNTA(_xlpm.trimmed)-5)&lt;&gt;0)))</f>
        <v>C112</v>
      </c>
      <c r="C1696" s="86" t="str">
        <f t="shared" ref="C1696:C1707" ca="1" si="372">VLOOKUP(B1696,f_detailsof_candidates,2,FALSE)</f>
        <v>MOHAMMED SA'DUDDEEN K</v>
      </c>
      <c r="D1696" s="86" t="str">
        <f t="shared" ref="D1696:D1707" ca="1" si="373">VLOOKUP(B1696,f_detailsof_candidates,3,FALSE)</f>
        <v>FANT</v>
      </c>
      <c r="E1696" s="86">
        <f t="shared" ref="E1696:E1707" ca="1" si="374">VLOOKUP(B1696,f_detailsof_candidates,5,FALSE)</f>
        <v>5</v>
      </c>
    </row>
    <row r="1697" spans="1:8" ht="14.25" x14ac:dyDescent="0.45">
      <c r="A1697" s="86">
        <f ca="1"/>
        <v>2</v>
      </c>
      <c r="B1697" s="86" t="str">
        <f ca="1"/>
        <v>C142</v>
      </c>
      <c r="C1697" s="86" t="str">
        <f t="shared" ca="1" si="372"/>
        <v>AHMAD AMEEN T S</v>
      </c>
      <c r="D1697" s="86" t="str">
        <f t="shared" ca="1" si="373"/>
        <v>FANT</v>
      </c>
      <c r="E1697" s="86">
        <f t="shared" ca="1" si="374"/>
        <v>6</v>
      </c>
    </row>
    <row r="1698" spans="1:8" ht="14.25" x14ac:dyDescent="0.45">
      <c r="A1698" s="86">
        <f ca="1"/>
        <v>3</v>
      </c>
      <c r="B1698" s="86" t="str">
        <f ca="1"/>
        <v>C176</v>
      </c>
      <c r="C1698" s="86" t="str">
        <f t="shared" ca="1" si="372"/>
        <v>MUHAMMED T A</v>
      </c>
      <c r="D1698" s="86" t="str">
        <f t="shared" ca="1" si="373"/>
        <v>FANT</v>
      </c>
      <c r="E1698" s="86">
        <f t="shared" ca="1" si="374"/>
        <v>7</v>
      </c>
    </row>
    <row r="1699" spans="1:8" ht="14.25" x14ac:dyDescent="0.45">
      <c r="A1699" s="86">
        <f ca="1"/>
        <v>4</v>
      </c>
      <c r="B1699" s="86" t="str">
        <f ca="1"/>
        <v>C120</v>
      </c>
      <c r="C1699" s="86" t="str">
        <f t="shared" ca="1" si="372"/>
        <v>MAJID MUHAMMED M</v>
      </c>
      <c r="D1699" s="86" t="str">
        <f t="shared" ca="1" si="373"/>
        <v>DAHF</v>
      </c>
      <c r="E1699" s="86">
        <f t="shared" ca="1" si="374"/>
        <v>5</v>
      </c>
    </row>
    <row r="1700" spans="1:8" ht="14.25" x14ac:dyDescent="0.45">
      <c r="A1700" s="86">
        <f ca="1"/>
        <v>5</v>
      </c>
      <c r="B1700" s="86" t="str">
        <f ca="1"/>
        <v>C136</v>
      </c>
      <c r="C1700" s="86" t="str">
        <f t="shared" ca="1" si="372"/>
        <v>MOHAMMED SHAKIR HUSSAIN K.Y</v>
      </c>
      <c r="D1700" s="86" t="str">
        <f t="shared" ca="1" si="373"/>
        <v>DAHF</v>
      </c>
      <c r="E1700" s="86">
        <f t="shared" ca="1" si="374"/>
        <v>6</v>
      </c>
    </row>
    <row r="1701" spans="1:8" ht="14.25" x14ac:dyDescent="0.45">
      <c r="A1701" s="86">
        <f ca="1"/>
        <v>6</v>
      </c>
      <c r="B1701" s="86" t="str">
        <f ca="1"/>
        <v>C150</v>
      </c>
      <c r="C1701" s="86" t="str">
        <f t="shared" ca="1" si="372"/>
        <v>MUHAMMED PK</v>
      </c>
      <c r="D1701" s="86" t="str">
        <f t="shared" ca="1" si="373"/>
        <v>DAHF</v>
      </c>
      <c r="E1701" s="86">
        <f t="shared" ca="1" si="374"/>
        <v>6</v>
      </c>
    </row>
    <row r="1702" spans="1:8" ht="14.25" x14ac:dyDescent="0.45">
      <c r="A1702" s="86">
        <f ca="1"/>
        <v>7</v>
      </c>
      <c r="B1702" s="86" t="str">
        <f ca="1"/>
        <v>C103</v>
      </c>
      <c r="C1702" s="86" t="str">
        <f t="shared" ca="1" si="372"/>
        <v>MUHAMMED ABDUL KADER</v>
      </c>
      <c r="D1702" s="86" t="str">
        <f t="shared" ca="1" si="373"/>
        <v>BADF</v>
      </c>
      <c r="E1702" s="86">
        <f t="shared" ca="1" si="374"/>
        <v>5</v>
      </c>
    </row>
    <row r="1703" spans="1:8" ht="14.25" x14ac:dyDescent="0.45">
      <c r="A1703" s="86">
        <f ca="1"/>
        <v>8</v>
      </c>
      <c r="B1703" s="86" t="str">
        <f ca="1"/>
        <v>C109</v>
      </c>
      <c r="C1703" s="86" t="str">
        <f t="shared" ca="1" si="372"/>
        <v>ABDULLA FARHAN M</v>
      </c>
      <c r="D1703" s="86" t="str">
        <f t="shared" ca="1" si="373"/>
        <v>BADF</v>
      </c>
      <c r="E1703" s="86">
        <f t="shared" ca="1" si="374"/>
        <v>5</v>
      </c>
    </row>
    <row r="1704" spans="1:8" ht="14.25" x14ac:dyDescent="0.45">
      <c r="A1704" s="86">
        <f ca="1"/>
        <v>9</v>
      </c>
      <c r="B1704" s="86" t="str">
        <f ca="1"/>
        <v>C124</v>
      </c>
      <c r="C1704" s="86" t="str">
        <f t="shared" ca="1" si="372"/>
        <v>MOHAMMED MUBASHIR</v>
      </c>
      <c r="D1704" s="86" t="str">
        <f t="shared" ca="1" si="373"/>
        <v>BADF</v>
      </c>
      <c r="E1704" s="86">
        <f t="shared" ca="1" si="374"/>
        <v>5</v>
      </c>
    </row>
    <row r="1705" spans="1:8" ht="14.25" x14ac:dyDescent="0.45">
      <c r="A1705" s="86">
        <f ca="1"/>
        <v>10</v>
      </c>
      <c r="B1705" s="86" t="str">
        <f ca="1"/>
        <v>C147</v>
      </c>
      <c r="C1705" s="86" t="str">
        <f t="shared" ca="1" si="372"/>
        <v>AHAMED ZAKI FOUZAN T.Z</v>
      </c>
      <c r="D1705" s="86" t="str">
        <f t="shared" ca="1" si="373"/>
        <v>JARF</v>
      </c>
      <c r="E1705" s="86">
        <f t="shared" ca="1" si="374"/>
        <v>6</v>
      </c>
    </row>
    <row r="1706" spans="1:8" ht="14.25" x14ac:dyDescent="0.45">
      <c r="A1706" s="86">
        <f ca="1"/>
        <v>11</v>
      </c>
      <c r="B1706" s="86" t="str">
        <f ca="1"/>
        <v>C165</v>
      </c>
      <c r="C1706" s="86" t="str">
        <f t="shared" ca="1" si="372"/>
        <v>MUHAMMAD IBN AHMAD</v>
      </c>
      <c r="D1706" s="86" t="str">
        <f t="shared" ca="1" si="373"/>
        <v>JARF</v>
      </c>
      <c r="E1706" s="86">
        <f t="shared" ca="1" si="374"/>
        <v>7</v>
      </c>
    </row>
    <row r="1707" spans="1:8" ht="14.25" x14ac:dyDescent="0.45">
      <c r="A1707" s="86">
        <f ca="1"/>
        <v>12</v>
      </c>
      <c r="B1707" s="86" t="str">
        <f ca="1"/>
        <v>C167</v>
      </c>
      <c r="C1707" s="86" t="str">
        <f t="shared" ca="1" si="372"/>
        <v>MUHAMMED MUJTHABA MK</v>
      </c>
      <c r="D1707" s="86" t="str">
        <f t="shared" ca="1" si="373"/>
        <v>JARF</v>
      </c>
      <c r="E1707" s="86">
        <f t="shared" ca="1" si="374"/>
        <v>7</v>
      </c>
    </row>
    <row r="1708" spans="1:8" ht="14.25" x14ac:dyDescent="0.45">
      <c r="A1708" s="84" t="s">
        <v>316</v>
      </c>
      <c r="B1708" s="84" t="str">
        <f>VLOOKUP("SN37",f_detailsof_programs,2,FALSE)</f>
        <v>NEWS WRITING AND READING ENG</v>
      </c>
      <c r="C1708" s="84"/>
      <c r="D1708" s="84" t="s">
        <v>688</v>
      </c>
      <c r="E1708" s="84" t="s">
        <v>485</v>
      </c>
      <c r="F1708" s="84"/>
      <c r="G1708" s="84"/>
      <c r="H1708" s="84"/>
    </row>
    <row r="1709" spans="1:8" ht="14.25" x14ac:dyDescent="0.45">
      <c r="A1709" s="85" t="s">
        <v>16</v>
      </c>
      <c r="B1709" s="85" t="s">
        <v>480</v>
      </c>
      <c r="C1709" s="85" t="s">
        <v>18</v>
      </c>
      <c r="D1709" s="85" t="s">
        <v>481</v>
      </c>
      <c r="E1709" s="85" t="s">
        <v>19</v>
      </c>
      <c r="F1709" s="85" t="s">
        <v>482</v>
      </c>
      <c r="G1709" s="85" t="s">
        <v>483</v>
      </c>
      <c r="H1709" s="85" t="s">
        <v>484</v>
      </c>
    </row>
    <row r="1710" spans="1:8" ht="14.25" x14ac:dyDescent="0.45">
      <c r="A1710" s="86" cm="1">
        <f t="array" aca="1" ref="A1710:A1721" ca="1">_xlfn.SEQUENCE(COUNTA(_xlfn.LET(_xlpm.trimmed,OFFSET(f_listof_program_candidates,MATCH("SN37",f_listof_program_codes,0)-1,6,1,),TRANSPOSE(_xlfn._xlws.FILTER(OFFSET(_xlpm.trimmed,0,0,,COUNTA(_xlpm.trimmed)-5),OFFSET(_xlpm.trimmed,0,0,,COUNTA(_xlpm.trimmed)-5)&lt;&gt;0)))))</f>
        <v>1</v>
      </c>
      <c r="B1710" s="86" t="str" cm="1">
        <f t="array" aca="1" ref="B1710:B1721" ca="1">_xlfn.LET(_xlpm.trimmed,OFFSET(f_listof_program_candidates,MATCH("SN37",f_listof_program_codes,0)-1,6,1,),TRANSPOSE(_xlfn._xlws.FILTER(OFFSET(_xlpm.trimmed,0,0,,COUNTA(_xlpm.trimmed)-5),OFFSET(_xlpm.trimmed,0,0,,COUNTA(_xlpm.trimmed)-5)&lt;&gt;0)))</f>
        <v>C168</v>
      </c>
      <c r="C1710" s="86" t="str">
        <f t="shared" ref="C1710:C1721" ca="1" si="375">VLOOKUP(B1710,f_detailsof_candidates,2,FALSE)</f>
        <v>MUHAMMED SHAHAN P.S</v>
      </c>
      <c r="D1710" s="86" t="str">
        <f t="shared" ref="D1710:D1721" ca="1" si="376">VLOOKUP(B1710,f_detailsof_candidates,3,FALSE)</f>
        <v>FANT</v>
      </c>
      <c r="E1710" s="86">
        <f t="shared" ref="E1710:E1721" ca="1" si="377">VLOOKUP(B1710,f_detailsof_candidates,5,FALSE)</f>
        <v>7</v>
      </c>
    </row>
    <row r="1711" spans="1:8" ht="14.25" x14ac:dyDescent="0.45">
      <c r="A1711" s="86">
        <f ca="1"/>
        <v>2</v>
      </c>
      <c r="B1711" s="86" t="str">
        <f ca="1"/>
        <v>C155</v>
      </c>
      <c r="C1711" s="86" t="str">
        <f t="shared" ca="1" si="375"/>
        <v>HASSAN ZARKASH</v>
      </c>
      <c r="D1711" s="86" t="str">
        <f t="shared" ca="1" si="376"/>
        <v>FANT</v>
      </c>
      <c r="E1711" s="86">
        <f t="shared" ca="1" si="377"/>
        <v>6</v>
      </c>
    </row>
    <row r="1712" spans="1:8" ht="14.25" x14ac:dyDescent="0.45">
      <c r="A1712" s="86">
        <f ca="1"/>
        <v>3</v>
      </c>
      <c r="B1712" s="86" t="str">
        <f ca="1"/>
        <v>C108</v>
      </c>
      <c r="C1712" s="86" t="str">
        <f t="shared" ca="1" si="375"/>
        <v>ABDULLA SALMAN FARIS M</v>
      </c>
      <c r="D1712" s="86" t="str">
        <f t="shared" ca="1" si="376"/>
        <v>FANT</v>
      </c>
      <c r="E1712" s="86">
        <f t="shared" ca="1" si="377"/>
        <v>5</v>
      </c>
    </row>
    <row r="1713" spans="1:8" ht="14.25" x14ac:dyDescent="0.45">
      <c r="A1713" s="86">
        <f ca="1"/>
        <v>4</v>
      </c>
      <c r="B1713" s="86" t="str">
        <f ca="1"/>
        <v>C102</v>
      </c>
      <c r="C1713" s="86" t="str">
        <f t="shared" ca="1" si="375"/>
        <v>AHAMMED MAHSHOOK M.B</v>
      </c>
      <c r="D1713" s="86" t="str">
        <f t="shared" ca="1" si="376"/>
        <v>DAHF</v>
      </c>
      <c r="E1713" s="86">
        <f t="shared" ca="1" si="377"/>
        <v>5</v>
      </c>
    </row>
    <row r="1714" spans="1:8" ht="14.25" x14ac:dyDescent="0.45">
      <c r="A1714" s="86">
        <f ca="1"/>
        <v>5</v>
      </c>
      <c r="B1714" s="86" t="str">
        <f ca="1"/>
        <v>C110</v>
      </c>
      <c r="C1714" s="86" t="str">
        <f t="shared" ca="1" si="375"/>
        <v>SHADIL AHAMED</v>
      </c>
      <c r="D1714" s="86" t="str">
        <f t="shared" ca="1" si="376"/>
        <v>DAHF</v>
      </c>
      <c r="E1714" s="86">
        <f t="shared" ca="1" si="377"/>
        <v>5</v>
      </c>
    </row>
    <row r="1715" spans="1:8" ht="14.25" x14ac:dyDescent="0.45">
      <c r="A1715" s="86">
        <f ca="1"/>
        <v>6</v>
      </c>
      <c r="B1715" s="86" t="str">
        <f ca="1"/>
        <v>C133</v>
      </c>
      <c r="C1715" s="86" t="str">
        <f t="shared" ca="1" si="375"/>
        <v>SALMANUL FARIS</v>
      </c>
      <c r="D1715" s="86" t="str">
        <f t="shared" ca="1" si="376"/>
        <v>DAHF</v>
      </c>
      <c r="E1715" s="86">
        <f t="shared" ca="1" si="377"/>
        <v>6</v>
      </c>
    </row>
    <row r="1716" spans="1:8" ht="14.25" x14ac:dyDescent="0.45">
      <c r="A1716" s="86">
        <f ca="1"/>
        <v>7</v>
      </c>
      <c r="B1716" s="86" t="str">
        <f ca="1"/>
        <v>C123</v>
      </c>
      <c r="C1716" s="86" t="str">
        <f t="shared" ca="1" si="375"/>
        <v>MOHAMMED FAQRUDDEEN RAZI</v>
      </c>
      <c r="D1716" s="86" t="str">
        <f t="shared" ca="1" si="376"/>
        <v>BADF</v>
      </c>
      <c r="E1716" s="86">
        <f t="shared" ca="1" si="377"/>
        <v>5</v>
      </c>
    </row>
    <row r="1717" spans="1:8" ht="14.25" x14ac:dyDescent="0.45">
      <c r="A1717" s="86">
        <f ca="1"/>
        <v>8</v>
      </c>
      <c r="B1717" s="86" t="str">
        <f ca="1"/>
        <v>C145</v>
      </c>
      <c r="C1717" s="86" t="str">
        <f t="shared" ca="1" si="375"/>
        <v>SHAMEEL AHAMMED P</v>
      </c>
      <c r="D1717" s="86" t="str">
        <f t="shared" ca="1" si="376"/>
        <v>BADF</v>
      </c>
      <c r="E1717" s="86">
        <f t="shared" ca="1" si="377"/>
        <v>6</v>
      </c>
    </row>
    <row r="1718" spans="1:8" ht="14.25" x14ac:dyDescent="0.45">
      <c r="A1718" s="86">
        <f ca="1"/>
        <v>9</v>
      </c>
      <c r="B1718" s="86" t="str">
        <f ca="1"/>
        <v>C170</v>
      </c>
      <c r="C1718" s="86" t="str">
        <f t="shared" ca="1" si="375"/>
        <v>RUMAIZALI R IBRAHIM</v>
      </c>
      <c r="D1718" s="86" t="str">
        <f t="shared" ca="1" si="376"/>
        <v>BADF</v>
      </c>
      <c r="E1718" s="86">
        <f t="shared" ca="1" si="377"/>
        <v>7</v>
      </c>
    </row>
    <row r="1719" spans="1:8" ht="14.25" x14ac:dyDescent="0.45">
      <c r="A1719" s="86">
        <f ca="1"/>
        <v>10</v>
      </c>
      <c r="B1719" s="86" t="str">
        <f ca="1"/>
        <v>C113</v>
      </c>
      <c r="C1719" s="86" t="str">
        <f t="shared" ca="1" si="375"/>
        <v>SEYYAD MUHAMMED FAHMAN</v>
      </c>
      <c r="D1719" s="86" t="str">
        <f t="shared" ca="1" si="376"/>
        <v>JARF</v>
      </c>
      <c r="E1719" s="86">
        <f t="shared" ca="1" si="377"/>
        <v>5</v>
      </c>
    </row>
    <row r="1720" spans="1:8" ht="14.25" x14ac:dyDescent="0.45">
      <c r="A1720" s="86">
        <f ca="1"/>
        <v>11</v>
      </c>
      <c r="B1720" s="86" t="str">
        <f ca="1"/>
        <v>C135</v>
      </c>
      <c r="C1720" s="86" t="str">
        <f t="shared" ca="1" si="375"/>
        <v>AHAMAD SHABAB P A</v>
      </c>
      <c r="D1720" s="86" t="str">
        <f t="shared" ca="1" si="376"/>
        <v>JARF</v>
      </c>
      <c r="E1720" s="86">
        <f t="shared" ca="1" si="377"/>
        <v>6</v>
      </c>
    </row>
    <row r="1721" spans="1:8" ht="14.25" x14ac:dyDescent="0.45">
      <c r="A1721" s="86">
        <f ca="1"/>
        <v>12</v>
      </c>
      <c r="B1721" s="86" t="str">
        <f ca="1"/>
        <v>C111</v>
      </c>
      <c r="C1721" s="86" t="str">
        <f t="shared" ca="1" si="375"/>
        <v>MUHAMMAD ISMAIL HAMDULLA V K</v>
      </c>
      <c r="D1721" s="86" t="str">
        <f t="shared" ca="1" si="376"/>
        <v>JARF</v>
      </c>
      <c r="E1721" s="86">
        <f t="shared" ca="1" si="377"/>
        <v>5</v>
      </c>
    </row>
    <row r="1722" spans="1:8" ht="14.25" x14ac:dyDescent="0.45">
      <c r="A1722" s="84" t="s">
        <v>318</v>
      </c>
      <c r="B1722" s="84" t="str">
        <f>VLOOKUP("SN38",f_detailsof_programs,2,FALSE)</f>
        <v>RAP SONG</v>
      </c>
      <c r="C1722" s="84"/>
      <c r="D1722" s="84" t="s">
        <v>688</v>
      </c>
      <c r="E1722" s="84" t="s">
        <v>485</v>
      </c>
      <c r="F1722" s="84"/>
      <c r="G1722" s="84"/>
      <c r="H1722" s="84"/>
    </row>
    <row r="1723" spans="1:8" ht="14.25" x14ac:dyDescent="0.45">
      <c r="A1723" s="85" t="s">
        <v>16</v>
      </c>
      <c r="B1723" s="85" t="s">
        <v>480</v>
      </c>
      <c r="C1723" s="85" t="s">
        <v>18</v>
      </c>
      <c r="D1723" s="85" t="s">
        <v>481</v>
      </c>
      <c r="E1723" s="85" t="s">
        <v>19</v>
      </c>
      <c r="F1723" s="85" t="s">
        <v>482</v>
      </c>
      <c r="G1723" s="85" t="s">
        <v>483</v>
      </c>
      <c r="H1723" s="85" t="s">
        <v>484</v>
      </c>
    </row>
    <row r="1724" spans="1:8" ht="14.25" x14ac:dyDescent="0.45">
      <c r="A1724" s="86" cm="1">
        <f t="array" aca="1" ref="A1724:A1735" ca="1">_xlfn.SEQUENCE(COUNTA(_xlfn.LET(_xlpm.trimmed,OFFSET(f_listof_program_candidates,MATCH("SN38",f_listof_program_codes,0)-1,6,1,),TRANSPOSE(_xlfn._xlws.FILTER(OFFSET(_xlpm.trimmed,0,0,,COUNTA(_xlpm.trimmed)-5),OFFSET(_xlpm.trimmed,0,0,,COUNTA(_xlpm.trimmed)-5)&lt;&gt;0)))))</f>
        <v>1</v>
      </c>
      <c r="B1724" s="86" t="str" cm="1">
        <f t="array" aca="1" ref="B1724:B1735" ca="1">_xlfn.LET(_xlpm.trimmed,OFFSET(f_listof_program_candidates,MATCH("SN38",f_listof_program_codes,0)-1,6,1,),TRANSPOSE(_xlfn._xlws.FILTER(OFFSET(_xlpm.trimmed,0,0,,COUNTA(_xlpm.trimmed)-5),OFFSET(_xlpm.trimmed,0,0,,COUNTA(_xlpm.trimmed)-5)&lt;&gt;0)))</f>
        <v>C176</v>
      </c>
      <c r="C1724" s="86" t="str">
        <f t="shared" ref="C1724:C1735" ca="1" si="378">VLOOKUP(B1724,f_detailsof_candidates,2,FALSE)</f>
        <v>MUHAMMED T A</v>
      </c>
      <c r="D1724" s="86" t="str">
        <f t="shared" ref="D1724:D1735" ca="1" si="379">VLOOKUP(B1724,f_detailsof_candidates,3,FALSE)</f>
        <v>FANT</v>
      </c>
      <c r="E1724" s="86">
        <f t="shared" ref="E1724:E1735" ca="1" si="380">VLOOKUP(B1724,f_detailsof_candidates,5,FALSE)</f>
        <v>7</v>
      </c>
    </row>
    <row r="1725" spans="1:8" ht="14.25" x14ac:dyDescent="0.45">
      <c r="A1725" s="86">
        <f ca="1"/>
        <v>2</v>
      </c>
      <c r="B1725" s="86" t="str">
        <f ca="1"/>
        <v>C162</v>
      </c>
      <c r="C1725" s="86" t="str">
        <f t="shared" ca="1" si="378"/>
        <v>MUHAMMAD K.A</v>
      </c>
      <c r="D1725" s="86" t="str">
        <f t="shared" ca="1" si="379"/>
        <v>FANT</v>
      </c>
      <c r="E1725" s="86">
        <f t="shared" ca="1" si="380"/>
        <v>7</v>
      </c>
    </row>
    <row r="1726" spans="1:8" ht="14.25" x14ac:dyDescent="0.45">
      <c r="A1726" s="86">
        <f ca="1"/>
        <v>3</v>
      </c>
      <c r="B1726" s="86" t="str">
        <f ca="1"/>
        <v>C156</v>
      </c>
      <c r="C1726" s="86" t="str">
        <f t="shared" ca="1" si="378"/>
        <v>ABDULLA RAMSHAD</v>
      </c>
      <c r="D1726" s="86" t="str">
        <f t="shared" ca="1" si="379"/>
        <v>FANT</v>
      </c>
      <c r="E1726" s="86">
        <f t="shared" ca="1" si="380"/>
        <v>6</v>
      </c>
    </row>
    <row r="1727" spans="1:8" ht="14.25" x14ac:dyDescent="0.45">
      <c r="A1727" s="86">
        <f ca="1"/>
        <v>4</v>
      </c>
      <c r="B1727" s="86" t="str">
        <f ca="1"/>
        <v>C158</v>
      </c>
      <c r="C1727" s="86" t="str">
        <f t="shared" ca="1" si="378"/>
        <v>ABDUL FATHAH AHAMMED C</v>
      </c>
      <c r="D1727" s="86" t="str">
        <f t="shared" ca="1" si="379"/>
        <v>DAHF</v>
      </c>
      <c r="E1727" s="86">
        <f t="shared" ca="1" si="380"/>
        <v>6</v>
      </c>
    </row>
    <row r="1728" spans="1:8" ht="14.25" x14ac:dyDescent="0.45">
      <c r="A1728" s="86">
        <f ca="1"/>
        <v>5</v>
      </c>
      <c r="B1728" s="86" t="str">
        <f ca="1"/>
        <v>C161</v>
      </c>
      <c r="C1728" s="86" t="str">
        <f t="shared" ca="1" si="378"/>
        <v>MOHAMMED ABDUL KHADER NABAVI E A</v>
      </c>
      <c r="D1728" s="86" t="str">
        <f t="shared" ca="1" si="379"/>
        <v>DAHF</v>
      </c>
      <c r="E1728" s="86">
        <f t="shared" ca="1" si="380"/>
        <v>7</v>
      </c>
    </row>
    <row r="1729" spans="1:8" ht="14.25" x14ac:dyDescent="0.45">
      <c r="A1729" s="86">
        <f ca="1"/>
        <v>6</v>
      </c>
      <c r="B1729" s="86" t="str">
        <f ca="1"/>
        <v>C166</v>
      </c>
      <c r="C1729" s="86" t="str">
        <f t="shared" ca="1" si="378"/>
        <v>RESWAN</v>
      </c>
      <c r="D1729" s="86" t="str">
        <f t="shared" ca="1" si="379"/>
        <v>DAHF</v>
      </c>
      <c r="E1729" s="86">
        <f t="shared" ca="1" si="380"/>
        <v>7</v>
      </c>
    </row>
    <row r="1730" spans="1:8" ht="14.25" x14ac:dyDescent="0.45">
      <c r="A1730" s="86">
        <f ca="1"/>
        <v>7</v>
      </c>
      <c r="B1730" s="86" t="str">
        <f ca="1"/>
        <v>C104</v>
      </c>
      <c r="C1730" s="86" t="str">
        <f t="shared" ca="1" si="378"/>
        <v>HADIL RIJAS</v>
      </c>
      <c r="D1730" s="86" t="str">
        <f t="shared" ca="1" si="379"/>
        <v>BADF</v>
      </c>
      <c r="E1730" s="86">
        <f t="shared" ca="1" si="380"/>
        <v>5</v>
      </c>
    </row>
    <row r="1731" spans="1:8" ht="14.25" x14ac:dyDescent="0.45">
      <c r="A1731" s="86">
        <f ca="1"/>
        <v>8</v>
      </c>
      <c r="B1731" s="86" t="str">
        <f ca="1"/>
        <v>C106</v>
      </c>
      <c r="C1731" s="86" t="str">
        <f t="shared" ca="1" si="378"/>
        <v>ABDUL RAHMAN ANFHAL M I</v>
      </c>
      <c r="D1731" s="86" t="str">
        <f t="shared" ca="1" si="379"/>
        <v>BADF</v>
      </c>
      <c r="E1731" s="86">
        <f t="shared" ca="1" si="380"/>
        <v>5</v>
      </c>
    </row>
    <row r="1732" spans="1:8" ht="14.25" x14ac:dyDescent="0.45">
      <c r="A1732" s="86">
        <f ca="1"/>
        <v>9</v>
      </c>
      <c r="B1732" s="86" t="str">
        <f ca="1"/>
        <v>C114</v>
      </c>
      <c r="C1732" s="86" t="str">
        <f t="shared" ca="1" si="378"/>
        <v>AJMAL RUWAIS</v>
      </c>
      <c r="D1732" s="86" t="str">
        <f t="shared" ca="1" si="379"/>
        <v>BADF</v>
      </c>
      <c r="E1732" s="86">
        <f t="shared" ca="1" si="380"/>
        <v>5</v>
      </c>
    </row>
    <row r="1733" spans="1:8" ht="14.25" x14ac:dyDescent="0.45">
      <c r="A1733" s="86">
        <f ca="1"/>
        <v>10</v>
      </c>
      <c r="B1733" s="86" t="str">
        <f ca="1"/>
        <v>C121</v>
      </c>
      <c r="C1733" s="86" t="str">
        <f t="shared" ca="1" si="378"/>
        <v>ABDUL SALAM ARIF</v>
      </c>
      <c r="D1733" s="86" t="str">
        <f t="shared" ca="1" si="379"/>
        <v>JARF</v>
      </c>
      <c r="E1733" s="86">
        <f t="shared" ca="1" si="380"/>
        <v>5</v>
      </c>
    </row>
    <row r="1734" spans="1:8" ht="14.25" x14ac:dyDescent="0.45">
      <c r="A1734" s="86">
        <f ca="1"/>
        <v>11</v>
      </c>
      <c r="B1734" s="86" t="str">
        <f ca="1"/>
        <v>C152</v>
      </c>
      <c r="C1734" s="86" t="str">
        <f t="shared" ca="1" si="378"/>
        <v>MUHAMMED SABITH ALI TM</v>
      </c>
      <c r="D1734" s="86" t="str">
        <f t="shared" ca="1" si="379"/>
        <v>JARF</v>
      </c>
      <c r="E1734" s="86">
        <f t="shared" ca="1" si="380"/>
        <v>6</v>
      </c>
    </row>
    <row r="1735" spans="1:8" ht="14.25" x14ac:dyDescent="0.45">
      <c r="A1735" s="86">
        <f ca="1"/>
        <v>12</v>
      </c>
      <c r="B1735" s="86" t="str">
        <f ca="1"/>
        <v>C175</v>
      </c>
      <c r="C1735" s="86" t="str">
        <f t="shared" ca="1" si="378"/>
        <v>ABDULLAH MAZIN</v>
      </c>
      <c r="D1735" s="86" t="str">
        <f t="shared" ca="1" si="379"/>
        <v>JARF</v>
      </c>
      <c r="E1735" s="86">
        <f t="shared" ca="1" si="380"/>
        <v>7</v>
      </c>
    </row>
    <row r="1736" spans="1:8" ht="14.25" x14ac:dyDescent="0.45">
      <c r="A1736" s="84" t="s">
        <v>320</v>
      </c>
      <c r="B1736" s="84" t="str">
        <f>VLOOKUP("SN39",f_detailsof_programs,2,FALSE)</f>
        <v>REVERSE QUIZ</v>
      </c>
      <c r="C1736" s="84"/>
      <c r="D1736" s="84" t="s">
        <v>688</v>
      </c>
      <c r="E1736" s="84" t="s">
        <v>486</v>
      </c>
      <c r="F1736" s="84"/>
      <c r="G1736" s="84"/>
      <c r="H1736" s="84"/>
    </row>
    <row r="1737" spans="1:8" ht="14.25" x14ac:dyDescent="0.45">
      <c r="A1737" s="85" t="s">
        <v>16</v>
      </c>
      <c r="B1737" s="85" t="s">
        <v>480</v>
      </c>
      <c r="C1737" s="85" t="s">
        <v>18</v>
      </c>
      <c r="D1737" s="85" t="s">
        <v>481</v>
      </c>
      <c r="E1737" s="85" t="s">
        <v>19</v>
      </c>
      <c r="F1737" s="85" t="s">
        <v>482</v>
      </c>
      <c r="G1737" s="85" t="s">
        <v>483</v>
      </c>
      <c r="H1737" s="85" t="s">
        <v>484</v>
      </c>
    </row>
    <row r="1738" spans="1:8" ht="14.25" x14ac:dyDescent="0.45">
      <c r="A1738" s="86" cm="1">
        <f t="array" aca="1" ref="A1738:A1745" ca="1">_xlfn.SEQUENCE(COUNTA(_xlfn.LET(_xlpm.trimmed,OFFSET(f_listof_program_candidates,MATCH("SN39",f_listof_program_codes,0)-1,6,1,),TRANSPOSE(_xlfn._xlws.FILTER(OFFSET(_xlpm.trimmed,0,0,,COUNTA(_xlpm.trimmed)-5),OFFSET(_xlpm.trimmed,0,0,,COUNTA(_xlpm.trimmed)-5)&lt;&gt;0)))))</f>
        <v>1</v>
      </c>
      <c r="B1738" s="86" t="str" cm="1">
        <f t="array" aca="1" ref="B1738:B1745" ca="1">_xlfn.LET(_xlpm.trimmed,OFFSET(f_listof_program_candidates,MATCH("SN39",f_listof_program_codes,0)-1,6,1,),TRANSPOSE(_xlfn._xlws.FILTER(OFFSET(_xlpm.trimmed,0,0,,COUNTA(_xlpm.trimmed)-5),OFFSET(_xlpm.trimmed,0,0,,COUNTA(_xlpm.trimmed)-5)&lt;&gt;0)))</f>
        <v>C115</v>
      </c>
      <c r="C1738" s="86" t="str">
        <f t="shared" ref="C1738:C1745" ca="1" si="381">VLOOKUP(B1738,f_detailsof_candidates,2,FALSE)</f>
        <v>MOHAMMED ABDUL KHADER K</v>
      </c>
      <c r="D1738" s="86" t="str">
        <f t="shared" ref="D1738:D1745" ca="1" si="382">VLOOKUP(B1738,f_detailsof_candidates,3,FALSE)</f>
        <v>FANT</v>
      </c>
      <c r="E1738" s="86">
        <f t="shared" ref="E1738:E1745" ca="1" si="383">VLOOKUP(B1738,f_detailsof_candidates,5,FALSE)</f>
        <v>5</v>
      </c>
    </row>
    <row r="1739" spans="1:8" ht="14.25" x14ac:dyDescent="0.45">
      <c r="A1739" s="86">
        <f ca="1"/>
        <v>2</v>
      </c>
      <c r="B1739" s="86" t="str">
        <f ca="1"/>
        <v>C162</v>
      </c>
      <c r="C1739" s="86" t="str">
        <f t="shared" ca="1" si="381"/>
        <v>MUHAMMAD K.A</v>
      </c>
      <c r="D1739" s="86" t="str">
        <f t="shared" ca="1" si="382"/>
        <v>FANT</v>
      </c>
      <c r="E1739" s="86">
        <f t="shared" ca="1" si="383"/>
        <v>7</v>
      </c>
    </row>
    <row r="1740" spans="1:8" ht="14.25" x14ac:dyDescent="0.45">
      <c r="A1740" s="86">
        <f ca="1"/>
        <v>3</v>
      </c>
      <c r="B1740" s="86" t="str">
        <f ca="1"/>
        <v>C133</v>
      </c>
      <c r="C1740" s="86" t="str">
        <f t="shared" ca="1" si="381"/>
        <v>SALMANUL FARIS</v>
      </c>
      <c r="D1740" s="86" t="str">
        <f t="shared" ca="1" si="382"/>
        <v>DAHF</v>
      </c>
      <c r="E1740" s="86">
        <f t="shared" ca="1" si="383"/>
        <v>6</v>
      </c>
    </row>
    <row r="1741" spans="1:8" ht="14.25" x14ac:dyDescent="0.45">
      <c r="A1741" s="86">
        <f ca="1"/>
        <v>4</v>
      </c>
      <c r="B1741" s="86" t="str">
        <f ca="1"/>
        <v>C144</v>
      </c>
      <c r="C1741" s="86" t="str">
        <f t="shared" ca="1" si="381"/>
        <v>MUHAMMED ASHKKAR ALI</v>
      </c>
      <c r="D1741" s="86" t="str">
        <f t="shared" ca="1" si="382"/>
        <v>DAHF</v>
      </c>
      <c r="E1741" s="86">
        <f t="shared" ca="1" si="383"/>
        <v>6</v>
      </c>
    </row>
    <row r="1742" spans="1:8" ht="14.25" x14ac:dyDescent="0.45">
      <c r="A1742" s="86">
        <f ca="1"/>
        <v>5</v>
      </c>
      <c r="B1742" s="86" t="str">
        <f ca="1"/>
        <v>C103</v>
      </c>
      <c r="C1742" s="86" t="str">
        <f t="shared" ca="1" si="381"/>
        <v>MUHAMMED ABDUL KADER</v>
      </c>
      <c r="D1742" s="86" t="str">
        <f t="shared" ca="1" si="382"/>
        <v>BADF</v>
      </c>
      <c r="E1742" s="86">
        <f t="shared" ca="1" si="383"/>
        <v>5</v>
      </c>
    </row>
    <row r="1743" spans="1:8" ht="14.25" x14ac:dyDescent="0.45">
      <c r="A1743" s="86">
        <f ca="1"/>
        <v>6</v>
      </c>
      <c r="B1743" s="86" t="str">
        <f ca="1"/>
        <v>C148</v>
      </c>
      <c r="C1743" s="86" t="str">
        <f t="shared" ca="1" si="381"/>
        <v>MUHAMMED SHABEEB</v>
      </c>
      <c r="D1743" s="86" t="str">
        <f t="shared" ca="1" si="382"/>
        <v>BADF</v>
      </c>
      <c r="E1743" s="86">
        <f t="shared" ca="1" si="383"/>
        <v>6</v>
      </c>
    </row>
    <row r="1744" spans="1:8" ht="14.25" x14ac:dyDescent="0.45">
      <c r="A1744" s="86">
        <f ca="1"/>
        <v>7</v>
      </c>
      <c r="B1744" s="86" t="str">
        <f ca="1"/>
        <v>C140</v>
      </c>
      <c r="C1744" s="86" t="str">
        <f t="shared" ca="1" si="381"/>
        <v>IJAS EBRAHIM</v>
      </c>
      <c r="D1744" s="86" t="str">
        <f t="shared" ca="1" si="382"/>
        <v>JARF</v>
      </c>
      <c r="E1744" s="86">
        <f t="shared" ca="1" si="383"/>
        <v>6</v>
      </c>
    </row>
    <row r="1745" spans="1:8" ht="14.25" x14ac:dyDescent="0.45">
      <c r="A1745" s="86">
        <f ca="1"/>
        <v>8</v>
      </c>
      <c r="B1745" s="86" t="str">
        <f ca="1"/>
        <v>C143</v>
      </c>
      <c r="C1745" s="86" t="str">
        <f t="shared" ca="1" si="381"/>
        <v>MUHAMMED SINAN M</v>
      </c>
      <c r="D1745" s="86" t="str">
        <f t="shared" ca="1" si="382"/>
        <v>JARF</v>
      </c>
      <c r="E1745" s="86">
        <f t="shared" ca="1" si="383"/>
        <v>6</v>
      </c>
    </row>
    <row r="1746" spans="1:8" ht="14.25" x14ac:dyDescent="0.45">
      <c r="A1746" s="84" t="s">
        <v>322</v>
      </c>
      <c r="B1746" s="84" t="str">
        <f>VLOOKUP("SN40",f_detailsof_programs,2,FALSE)</f>
        <v>SONG ENG</v>
      </c>
      <c r="C1746" s="84"/>
      <c r="D1746" s="84" t="s">
        <v>688</v>
      </c>
      <c r="E1746" s="84" t="s">
        <v>485</v>
      </c>
      <c r="F1746" s="84"/>
      <c r="G1746" s="84"/>
      <c r="H1746" s="84"/>
    </row>
    <row r="1747" spans="1:8" ht="14.25" x14ac:dyDescent="0.45">
      <c r="A1747" s="85" t="s">
        <v>16</v>
      </c>
      <c r="B1747" s="85" t="s">
        <v>480</v>
      </c>
      <c r="C1747" s="85" t="s">
        <v>18</v>
      </c>
      <c r="D1747" s="85" t="s">
        <v>481</v>
      </c>
      <c r="E1747" s="85" t="s">
        <v>19</v>
      </c>
      <c r="F1747" s="85" t="s">
        <v>482</v>
      </c>
      <c r="G1747" s="85" t="s">
        <v>483</v>
      </c>
      <c r="H1747" s="85" t="s">
        <v>484</v>
      </c>
    </row>
    <row r="1748" spans="1:8" ht="14.25" x14ac:dyDescent="0.45">
      <c r="A1748" s="86" cm="1">
        <f t="array" aca="1" ref="A1748:A1759" ca="1">_xlfn.SEQUENCE(COUNTA(_xlfn.LET(_xlpm.trimmed,OFFSET(f_listof_program_candidates,MATCH("SN40",f_listof_program_codes,0)-1,6,1,),TRANSPOSE(_xlfn._xlws.FILTER(OFFSET(_xlpm.trimmed,0,0,,COUNTA(_xlpm.trimmed)-5),OFFSET(_xlpm.trimmed,0,0,,COUNTA(_xlpm.trimmed)-5)&lt;&gt;0)))))</f>
        <v>1</v>
      </c>
      <c r="B1748" s="86" t="str" cm="1">
        <f t="array" aca="1" ref="B1748:B1759" ca="1">_xlfn.LET(_xlpm.trimmed,OFFSET(f_listof_program_candidates,MATCH("SN40",f_listof_program_codes,0)-1,6,1,),TRANSPOSE(_xlfn._xlws.FILTER(OFFSET(_xlpm.trimmed,0,0,,COUNTA(_xlpm.trimmed)-5),OFFSET(_xlpm.trimmed,0,0,,COUNTA(_xlpm.trimmed)-5)&lt;&gt;0)))</f>
        <v>C164</v>
      </c>
      <c r="C1748" s="86" t="str">
        <f t="shared" ref="C1748:C1759" ca="1" si="384">VLOOKUP(B1748,f_detailsof_candidates,2,FALSE)</f>
        <v>AHMED FAHEEM MA</v>
      </c>
      <c r="D1748" s="86" t="str">
        <f t="shared" ref="D1748:D1759" ca="1" si="385">VLOOKUP(B1748,f_detailsof_candidates,3,FALSE)</f>
        <v>FANT</v>
      </c>
      <c r="E1748" s="86">
        <f t="shared" ref="E1748:E1759" ca="1" si="386">VLOOKUP(B1748,f_detailsof_candidates,5,FALSE)</f>
        <v>7</v>
      </c>
    </row>
    <row r="1749" spans="1:8" ht="14.25" x14ac:dyDescent="0.45">
      <c r="A1749" s="86">
        <f ca="1"/>
        <v>2</v>
      </c>
      <c r="B1749" s="86" t="str">
        <f ca="1"/>
        <v>C176</v>
      </c>
      <c r="C1749" s="86" t="str">
        <f t="shared" ca="1" si="384"/>
        <v>MUHAMMED T A</v>
      </c>
      <c r="D1749" s="86" t="str">
        <f t="shared" ca="1" si="385"/>
        <v>FANT</v>
      </c>
      <c r="E1749" s="86">
        <f t="shared" ca="1" si="386"/>
        <v>7</v>
      </c>
    </row>
    <row r="1750" spans="1:8" ht="14.25" x14ac:dyDescent="0.45">
      <c r="A1750" s="86">
        <f ca="1"/>
        <v>3</v>
      </c>
      <c r="B1750" s="86" t="str">
        <f ca="1"/>
        <v>C155</v>
      </c>
      <c r="C1750" s="86" t="str">
        <f t="shared" ca="1" si="384"/>
        <v>HASSAN ZARKASH</v>
      </c>
      <c r="D1750" s="86" t="str">
        <f t="shared" ca="1" si="385"/>
        <v>FANT</v>
      </c>
      <c r="E1750" s="86">
        <f t="shared" ca="1" si="386"/>
        <v>6</v>
      </c>
    </row>
    <row r="1751" spans="1:8" ht="14.25" x14ac:dyDescent="0.45">
      <c r="A1751" s="86">
        <f ca="1"/>
        <v>4</v>
      </c>
      <c r="B1751" s="86" t="str">
        <f ca="1"/>
        <v>C107</v>
      </c>
      <c r="C1751" s="86" t="str">
        <f t="shared" ca="1" si="384"/>
        <v>ADIL ABDULLA A</v>
      </c>
      <c r="D1751" s="86" t="str">
        <f t="shared" ca="1" si="385"/>
        <v>DAHF</v>
      </c>
      <c r="E1751" s="86">
        <f t="shared" ca="1" si="386"/>
        <v>5</v>
      </c>
    </row>
    <row r="1752" spans="1:8" ht="14.25" x14ac:dyDescent="0.45">
      <c r="A1752" s="86">
        <f ca="1"/>
        <v>5</v>
      </c>
      <c r="B1752" s="86" t="str">
        <f ca="1"/>
        <v>C158</v>
      </c>
      <c r="C1752" s="86" t="str">
        <f t="shared" ca="1" si="384"/>
        <v>ABDUL FATHAH AHAMMED C</v>
      </c>
      <c r="D1752" s="86" t="str">
        <f t="shared" ca="1" si="385"/>
        <v>DAHF</v>
      </c>
      <c r="E1752" s="86">
        <f t="shared" ca="1" si="386"/>
        <v>6</v>
      </c>
    </row>
    <row r="1753" spans="1:8" ht="14.25" x14ac:dyDescent="0.45">
      <c r="A1753" s="86">
        <f ca="1"/>
        <v>6</v>
      </c>
      <c r="B1753" s="86" t="str">
        <f ca="1"/>
        <v>C179</v>
      </c>
      <c r="C1753" s="86" t="str">
        <f t="shared" ca="1" si="384"/>
        <v>MUHAMMED FARHAN</v>
      </c>
      <c r="D1753" s="86" t="str">
        <f t="shared" ca="1" si="385"/>
        <v>DAHF</v>
      </c>
      <c r="E1753" s="86">
        <f t="shared" ca="1" si="386"/>
        <v>7</v>
      </c>
    </row>
    <row r="1754" spans="1:8" ht="14.25" x14ac:dyDescent="0.45">
      <c r="A1754" s="86">
        <f ca="1"/>
        <v>7</v>
      </c>
      <c r="B1754" s="86" t="str">
        <f ca="1"/>
        <v>C129</v>
      </c>
      <c r="C1754" s="86" t="str">
        <f t="shared" ca="1" si="384"/>
        <v>P K ZAMEEL AHMED</v>
      </c>
      <c r="D1754" s="86" t="str">
        <f t="shared" ca="1" si="385"/>
        <v>BADF</v>
      </c>
      <c r="E1754" s="86">
        <f t="shared" ca="1" si="386"/>
        <v>5</v>
      </c>
    </row>
    <row r="1755" spans="1:8" ht="14.25" x14ac:dyDescent="0.45">
      <c r="A1755" s="86">
        <f ca="1"/>
        <v>8</v>
      </c>
      <c r="B1755" s="86" t="str">
        <f ca="1"/>
        <v>C145</v>
      </c>
      <c r="C1755" s="86" t="str">
        <f t="shared" ca="1" si="384"/>
        <v>SHAMEEL AHAMMED P</v>
      </c>
      <c r="D1755" s="86" t="str">
        <f t="shared" ca="1" si="385"/>
        <v>BADF</v>
      </c>
      <c r="E1755" s="86">
        <f t="shared" ca="1" si="386"/>
        <v>6</v>
      </c>
    </row>
    <row r="1756" spans="1:8" ht="14.25" x14ac:dyDescent="0.45">
      <c r="A1756" s="86">
        <f ca="1"/>
        <v>9</v>
      </c>
      <c r="B1756" s="86" t="str">
        <f ca="1"/>
        <v>C170</v>
      </c>
      <c r="C1756" s="86" t="str">
        <f t="shared" ca="1" si="384"/>
        <v>RUMAIZALI R IBRAHIM</v>
      </c>
      <c r="D1756" s="86" t="str">
        <f t="shared" ca="1" si="385"/>
        <v>BADF</v>
      </c>
      <c r="E1756" s="86">
        <f t="shared" ca="1" si="386"/>
        <v>7</v>
      </c>
    </row>
    <row r="1757" spans="1:8" ht="14.25" x14ac:dyDescent="0.45">
      <c r="A1757" s="86">
        <f ca="1"/>
        <v>10</v>
      </c>
      <c r="B1757" s="86" t="str">
        <f ca="1"/>
        <v>C121</v>
      </c>
      <c r="C1757" s="86" t="str">
        <f t="shared" ca="1" si="384"/>
        <v>ABDUL SALAM ARIF</v>
      </c>
      <c r="D1757" s="86" t="str">
        <f t="shared" ca="1" si="385"/>
        <v>JARF</v>
      </c>
      <c r="E1757" s="86">
        <f t="shared" ca="1" si="386"/>
        <v>5</v>
      </c>
    </row>
    <row r="1758" spans="1:8" ht="14.25" x14ac:dyDescent="0.45">
      <c r="A1758" s="86">
        <f ca="1"/>
        <v>11</v>
      </c>
      <c r="B1758" s="86" t="str">
        <f ca="1"/>
        <v>C126</v>
      </c>
      <c r="C1758" s="86" t="str">
        <f t="shared" ca="1" si="384"/>
        <v>ADNAN ABDULLAH B A</v>
      </c>
      <c r="D1758" s="86" t="str">
        <f t="shared" ca="1" si="385"/>
        <v>JARF</v>
      </c>
      <c r="E1758" s="86">
        <f t="shared" ca="1" si="386"/>
        <v>5</v>
      </c>
    </row>
    <row r="1759" spans="1:8" ht="14.25" x14ac:dyDescent="0.45">
      <c r="A1759" s="86">
        <f ca="1"/>
        <v>12</v>
      </c>
      <c r="B1759" s="86" t="str">
        <f ca="1"/>
        <v>C178</v>
      </c>
      <c r="C1759" s="86" t="str">
        <f t="shared" ca="1" si="384"/>
        <v>MUHAMMED ZAYAN N.S</v>
      </c>
      <c r="D1759" s="86" t="str">
        <f t="shared" ca="1" si="385"/>
        <v>JARF</v>
      </c>
      <c r="E1759" s="86">
        <f t="shared" ca="1" si="386"/>
        <v>7</v>
      </c>
    </row>
    <row r="1760" spans="1:8" ht="14.25" x14ac:dyDescent="0.45">
      <c r="A1760" s="84" t="s">
        <v>323</v>
      </c>
      <c r="B1760" s="84" t="str">
        <f>VLOOKUP("SN41",f_detailsof_programs,2,FALSE)</f>
        <v>SONG MLM</v>
      </c>
      <c r="C1760" s="84"/>
      <c r="D1760" s="84" t="s">
        <v>688</v>
      </c>
      <c r="E1760" s="84" t="s">
        <v>485</v>
      </c>
      <c r="F1760" s="84"/>
      <c r="G1760" s="84"/>
      <c r="H1760" s="84"/>
    </row>
    <row r="1761" spans="1:8" ht="14.25" x14ac:dyDescent="0.45">
      <c r="A1761" s="85" t="s">
        <v>16</v>
      </c>
      <c r="B1761" s="85" t="s">
        <v>480</v>
      </c>
      <c r="C1761" s="85" t="s">
        <v>18</v>
      </c>
      <c r="D1761" s="85" t="s">
        <v>481</v>
      </c>
      <c r="E1761" s="85" t="s">
        <v>19</v>
      </c>
      <c r="F1761" s="85" t="s">
        <v>482</v>
      </c>
      <c r="G1761" s="85" t="s">
        <v>483</v>
      </c>
      <c r="H1761" s="85" t="s">
        <v>484</v>
      </c>
    </row>
    <row r="1762" spans="1:8" ht="14.25" x14ac:dyDescent="0.45">
      <c r="A1762" s="86" cm="1">
        <f t="array" aca="1" ref="A1762:A1773" ca="1">_xlfn.SEQUENCE(COUNTA(_xlfn.LET(_xlpm.trimmed,OFFSET(f_listof_program_candidates,MATCH("SN41",f_listof_program_codes,0)-1,6,1,),TRANSPOSE(_xlfn._xlws.FILTER(OFFSET(_xlpm.trimmed,0,0,,COUNTA(_xlpm.trimmed)-5),OFFSET(_xlpm.trimmed,0,0,,COUNTA(_xlpm.trimmed)-5)&lt;&gt;0)))))</f>
        <v>1</v>
      </c>
      <c r="B1762" s="86" t="str" cm="1">
        <f t="array" aca="1" ref="B1762:B1773" ca="1">_xlfn.LET(_xlpm.trimmed,OFFSET(f_listof_program_candidates,MATCH("SN41",f_listof_program_codes,0)-1,6,1,),TRANSPOSE(_xlfn._xlws.FILTER(OFFSET(_xlpm.trimmed,0,0,,COUNTA(_xlpm.trimmed)-5),OFFSET(_xlpm.trimmed,0,0,,COUNTA(_xlpm.trimmed)-5)&lt;&gt;0)))</f>
        <v>C127</v>
      </c>
      <c r="C1762" s="86" t="str">
        <f t="shared" ref="C1762:C1773" ca="1" si="387">VLOOKUP(B1762,f_detailsof_candidates,2,FALSE)</f>
        <v>SHAMMAZ P A</v>
      </c>
      <c r="D1762" s="86" t="str">
        <f t="shared" ref="D1762:D1773" ca="1" si="388">VLOOKUP(B1762,f_detailsof_candidates,3,FALSE)</f>
        <v>FANT</v>
      </c>
      <c r="E1762" s="86">
        <f t="shared" ref="E1762:E1773" ca="1" si="389">VLOOKUP(B1762,f_detailsof_candidates,5,FALSE)</f>
        <v>5</v>
      </c>
    </row>
    <row r="1763" spans="1:8" ht="14.25" x14ac:dyDescent="0.45">
      <c r="A1763" s="86">
        <f ca="1"/>
        <v>2</v>
      </c>
      <c r="B1763" s="86" t="str">
        <f ca="1"/>
        <v>C131</v>
      </c>
      <c r="C1763" s="86" t="str">
        <f t="shared" ca="1" si="387"/>
        <v>IBRAHIM AHRAZ</v>
      </c>
      <c r="D1763" s="86" t="str">
        <f t="shared" ca="1" si="388"/>
        <v>FANT</v>
      </c>
      <c r="E1763" s="86">
        <f t="shared" ca="1" si="389"/>
        <v>6</v>
      </c>
    </row>
    <row r="1764" spans="1:8" ht="14.25" x14ac:dyDescent="0.45">
      <c r="A1764" s="86">
        <f ca="1"/>
        <v>3</v>
      </c>
      <c r="B1764" s="86" t="str">
        <f ca="1"/>
        <v>C142</v>
      </c>
      <c r="C1764" s="86" t="str">
        <f t="shared" ca="1" si="387"/>
        <v>AHMAD AMEEN T S</v>
      </c>
      <c r="D1764" s="86" t="str">
        <f t="shared" ca="1" si="388"/>
        <v>FANT</v>
      </c>
      <c r="E1764" s="86">
        <f t="shared" ca="1" si="389"/>
        <v>6</v>
      </c>
    </row>
    <row r="1765" spans="1:8" ht="14.25" x14ac:dyDescent="0.45">
      <c r="A1765" s="86">
        <f ca="1"/>
        <v>4</v>
      </c>
      <c r="B1765" s="86" t="str">
        <f ca="1"/>
        <v>C120</v>
      </c>
      <c r="C1765" s="86" t="str">
        <f t="shared" ca="1" si="387"/>
        <v>MAJID MUHAMMED M</v>
      </c>
      <c r="D1765" s="86" t="str">
        <f t="shared" ca="1" si="388"/>
        <v>DAHF</v>
      </c>
      <c r="E1765" s="86">
        <f t="shared" ca="1" si="389"/>
        <v>5</v>
      </c>
    </row>
    <row r="1766" spans="1:8" ht="14.25" x14ac:dyDescent="0.45">
      <c r="A1766" s="86">
        <f ca="1"/>
        <v>5</v>
      </c>
      <c r="B1766" s="86" t="str">
        <f ca="1"/>
        <v>C136</v>
      </c>
      <c r="C1766" s="86" t="str">
        <f t="shared" ca="1" si="387"/>
        <v>MOHAMMED SHAKIR HUSSAIN K.Y</v>
      </c>
      <c r="D1766" s="86" t="str">
        <f t="shared" ca="1" si="388"/>
        <v>DAHF</v>
      </c>
      <c r="E1766" s="86">
        <f t="shared" ca="1" si="389"/>
        <v>6</v>
      </c>
    </row>
    <row r="1767" spans="1:8" ht="14.25" x14ac:dyDescent="0.45">
      <c r="A1767" s="86">
        <f ca="1"/>
        <v>6</v>
      </c>
      <c r="B1767" s="86" t="str">
        <f ca="1"/>
        <v>C150</v>
      </c>
      <c r="C1767" s="86" t="str">
        <f t="shared" ca="1" si="387"/>
        <v>MUHAMMED PK</v>
      </c>
      <c r="D1767" s="86" t="str">
        <f t="shared" ca="1" si="388"/>
        <v>DAHF</v>
      </c>
      <c r="E1767" s="86">
        <f t="shared" ca="1" si="389"/>
        <v>6</v>
      </c>
    </row>
    <row r="1768" spans="1:8" ht="14.25" x14ac:dyDescent="0.45">
      <c r="A1768" s="86">
        <f ca="1"/>
        <v>7</v>
      </c>
      <c r="B1768" s="86" t="str">
        <f ca="1"/>
        <v>C124</v>
      </c>
      <c r="C1768" s="86" t="str">
        <f t="shared" ca="1" si="387"/>
        <v>MOHAMMED MUBASHIR</v>
      </c>
      <c r="D1768" s="86" t="str">
        <f t="shared" ca="1" si="388"/>
        <v>BADF</v>
      </c>
      <c r="E1768" s="86">
        <f t="shared" ca="1" si="389"/>
        <v>5</v>
      </c>
    </row>
    <row r="1769" spans="1:8" ht="14.25" x14ac:dyDescent="0.45">
      <c r="A1769" s="86">
        <f ca="1"/>
        <v>8</v>
      </c>
      <c r="B1769" s="86" t="str">
        <f ca="1"/>
        <v>C160</v>
      </c>
      <c r="C1769" s="86" t="str">
        <f t="shared" ca="1" si="387"/>
        <v>AJMAL AM</v>
      </c>
      <c r="D1769" s="86" t="str">
        <f t="shared" ca="1" si="388"/>
        <v>BADF</v>
      </c>
      <c r="E1769" s="86">
        <f t="shared" ca="1" si="389"/>
        <v>7</v>
      </c>
    </row>
    <row r="1770" spans="1:8" ht="14.25" x14ac:dyDescent="0.45">
      <c r="A1770" s="86">
        <f ca="1"/>
        <v>9</v>
      </c>
      <c r="B1770" s="86" t="str">
        <f ca="1"/>
        <v>C171</v>
      </c>
      <c r="C1770" s="86" t="str">
        <f t="shared" ca="1" si="387"/>
        <v>MUHAMMED THASLEEM</v>
      </c>
      <c r="D1770" s="86" t="str">
        <f t="shared" ca="1" si="388"/>
        <v>BADF</v>
      </c>
      <c r="E1770" s="86">
        <f t="shared" ca="1" si="389"/>
        <v>7</v>
      </c>
    </row>
    <row r="1771" spans="1:8" ht="14.25" x14ac:dyDescent="0.45">
      <c r="A1771" s="86">
        <f ca="1"/>
        <v>10</v>
      </c>
      <c r="B1771" s="86" t="str">
        <f ca="1"/>
        <v>C126</v>
      </c>
      <c r="C1771" s="86" t="str">
        <f t="shared" ca="1" si="387"/>
        <v>ADNAN ABDULLAH B A</v>
      </c>
      <c r="D1771" s="86" t="str">
        <f t="shared" ca="1" si="388"/>
        <v>JARF</v>
      </c>
      <c r="E1771" s="86">
        <f t="shared" ca="1" si="389"/>
        <v>5</v>
      </c>
    </row>
    <row r="1772" spans="1:8" ht="14.25" x14ac:dyDescent="0.45">
      <c r="A1772" s="86">
        <f ca="1"/>
        <v>11</v>
      </c>
      <c r="B1772" s="86" t="str">
        <f ca="1"/>
        <v>C146</v>
      </c>
      <c r="C1772" s="86" t="str">
        <f t="shared" ca="1" si="387"/>
        <v>IMRAN HUSSAIN TI</v>
      </c>
      <c r="D1772" s="86" t="str">
        <f t="shared" ca="1" si="388"/>
        <v>JARF</v>
      </c>
      <c r="E1772" s="86">
        <f t="shared" ca="1" si="389"/>
        <v>6</v>
      </c>
    </row>
    <row r="1773" spans="1:8" ht="14.25" x14ac:dyDescent="0.45">
      <c r="A1773" s="86">
        <f ca="1"/>
        <v>12</v>
      </c>
      <c r="B1773" s="86" t="str">
        <f ca="1"/>
        <v>C167</v>
      </c>
      <c r="C1773" s="86" t="str">
        <f t="shared" ca="1" si="387"/>
        <v>MUHAMMED MUJTHABA MK</v>
      </c>
      <c r="D1773" s="86" t="str">
        <f t="shared" ca="1" si="388"/>
        <v>JARF</v>
      </c>
      <c r="E1773" s="86">
        <f t="shared" ca="1" si="389"/>
        <v>7</v>
      </c>
    </row>
    <row r="1774" spans="1:8" ht="14.25" x14ac:dyDescent="0.45">
      <c r="A1774" s="84" t="s">
        <v>324</v>
      </c>
      <c r="B1774" s="84" t="str">
        <f>VLOOKUP("SN42",f_detailsof_programs,2,FALSE)</f>
        <v>SONG URD</v>
      </c>
      <c r="C1774" s="84"/>
      <c r="D1774" s="84" t="s">
        <v>688</v>
      </c>
      <c r="E1774" s="84" t="s">
        <v>485</v>
      </c>
      <c r="F1774" s="84"/>
      <c r="G1774" s="84"/>
      <c r="H1774" s="84"/>
    </row>
    <row r="1775" spans="1:8" ht="14.25" x14ac:dyDescent="0.45">
      <c r="A1775" s="85" t="s">
        <v>16</v>
      </c>
      <c r="B1775" s="85" t="s">
        <v>480</v>
      </c>
      <c r="C1775" s="85" t="s">
        <v>18</v>
      </c>
      <c r="D1775" s="85" t="s">
        <v>481</v>
      </c>
      <c r="E1775" s="85" t="s">
        <v>19</v>
      </c>
      <c r="F1775" s="85" t="s">
        <v>482</v>
      </c>
      <c r="G1775" s="85" t="s">
        <v>483</v>
      </c>
      <c r="H1775" s="85" t="s">
        <v>484</v>
      </c>
    </row>
    <row r="1776" spans="1:8" ht="14.25" x14ac:dyDescent="0.45">
      <c r="A1776" s="86" cm="1">
        <f t="array" aca="1" ref="A1776:A1787" ca="1">_xlfn.SEQUENCE(COUNTA(_xlfn.LET(_xlpm.trimmed,OFFSET(f_listof_program_candidates,MATCH("SN42",f_listof_program_codes,0)-1,6,1,),TRANSPOSE(_xlfn._xlws.FILTER(OFFSET(_xlpm.trimmed,0,0,,COUNTA(_xlpm.trimmed)-5),OFFSET(_xlpm.trimmed,0,0,,COUNTA(_xlpm.trimmed)-5)&lt;&gt;0)))))</f>
        <v>1</v>
      </c>
      <c r="B1776" s="86" t="str" cm="1">
        <f t="array" aca="1" ref="B1776:B1787" ca="1">_xlfn.LET(_xlpm.trimmed,OFFSET(f_listof_program_candidates,MATCH("SN42",f_listof_program_codes,0)-1,6,1,),TRANSPOSE(_xlfn._xlws.FILTER(OFFSET(_xlpm.trimmed,0,0,,COUNTA(_xlpm.trimmed)-5),OFFSET(_xlpm.trimmed,0,0,,COUNTA(_xlpm.trimmed)-5)&lt;&gt;0)))</f>
        <v>C118</v>
      </c>
      <c r="C1776" s="86" t="str">
        <f t="shared" ref="C1776:C1787" ca="1" si="390">VLOOKUP(B1776,f_detailsof_candidates,2,FALSE)</f>
        <v>MUHAMMAD SHAMMAS</v>
      </c>
      <c r="D1776" s="86" t="str">
        <f t="shared" ref="D1776:D1787" ca="1" si="391">VLOOKUP(B1776,f_detailsof_candidates,3,FALSE)</f>
        <v>FANT</v>
      </c>
      <c r="E1776" s="86">
        <f t="shared" ref="E1776:E1787" ca="1" si="392">VLOOKUP(B1776,f_detailsof_candidates,5,FALSE)</f>
        <v>5</v>
      </c>
    </row>
    <row r="1777" spans="1:8" ht="14.25" x14ac:dyDescent="0.45">
      <c r="A1777" s="86">
        <f ca="1"/>
        <v>2</v>
      </c>
      <c r="B1777" s="86" t="str">
        <f ca="1"/>
        <v>C127</v>
      </c>
      <c r="C1777" s="86" t="str">
        <f t="shared" ca="1" si="390"/>
        <v>SHAMMAZ P A</v>
      </c>
      <c r="D1777" s="86" t="str">
        <f t="shared" ca="1" si="391"/>
        <v>FANT</v>
      </c>
      <c r="E1777" s="86">
        <f t="shared" ca="1" si="392"/>
        <v>5</v>
      </c>
    </row>
    <row r="1778" spans="1:8" ht="14.25" x14ac:dyDescent="0.45">
      <c r="A1778" s="86">
        <f ca="1"/>
        <v>3</v>
      </c>
      <c r="B1778" s="86" t="str">
        <f ca="1"/>
        <v>C131</v>
      </c>
      <c r="C1778" s="86" t="str">
        <f t="shared" ca="1" si="390"/>
        <v>IBRAHIM AHRAZ</v>
      </c>
      <c r="D1778" s="86" t="str">
        <f t="shared" ca="1" si="391"/>
        <v>FANT</v>
      </c>
      <c r="E1778" s="86">
        <f t="shared" ca="1" si="392"/>
        <v>6</v>
      </c>
    </row>
    <row r="1779" spans="1:8" ht="14.25" x14ac:dyDescent="0.45">
      <c r="A1779" s="86">
        <f ca="1"/>
        <v>4</v>
      </c>
      <c r="B1779" s="86" t="str">
        <f ca="1"/>
        <v>C100</v>
      </c>
      <c r="C1779" s="86" t="str">
        <f t="shared" ca="1" si="390"/>
        <v>IBRAHIM AFIL</v>
      </c>
      <c r="D1779" s="86" t="str">
        <f t="shared" ca="1" si="391"/>
        <v>DAHF</v>
      </c>
      <c r="E1779" s="86">
        <f t="shared" ca="1" si="392"/>
        <v>5</v>
      </c>
    </row>
    <row r="1780" spans="1:8" ht="14.25" x14ac:dyDescent="0.45">
      <c r="A1780" s="86">
        <f ca="1"/>
        <v>5</v>
      </c>
      <c r="B1780" s="86" t="str">
        <f ca="1"/>
        <v>C117</v>
      </c>
      <c r="C1780" s="86" t="str">
        <f t="shared" ca="1" si="390"/>
        <v>Muhammed fahiz A K</v>
      </c>
      <c r="D1780" s="86" t="str">
        <f t="shared" ca="1" si="391"/>
        <v>DAHF</v>
      </c>
      <c r="E1780" s="86">
        <f t="shared" ca="1" si="392"/>
        <v>5</v>
      </c>
    </row>
    <row r="1781" spans="1:8" ht="14.25" x14ac:dyDescent="0.45">
      <c r="A1781" s="86">
        <f ca="1"/>
        <v>6</v>
      </c>
      <c r="B1781" s="86" t="str">
        <f ca="1"/>
        <v>C172</v>
      </c>
      <c r="C1781" s="86" t="str">
        <f t="shared" ca="1" si="390"/>
        <v>AHAMED SHAMMAS C.M</v>
      </c>
      <c r="D1781" s="86" t="str">
        <f t="shared" ca="1" si="391"/>
        <v>DAHF</v>
      </c>
      <c r="E1781" s="86">
        <f t="shared" ca="1" si="392"/>
        <v>7</v>
      </c>
    </row>
    <row r="1782" spans="1:8" ht="14.25" x14ac:dyDescent="0.45">
      <c r="A1782" s="86">
        <f ca="1"/>
        <v>7</v>
      </c>
      <c r="B1782" s="86" t="str">
        <f ca="1"/>
        <v>C104</v>
      </c>
      <c r="C1782" s="86" t="str">
        <f t="shared" ca="1" si="390"/>
        <v>HADIL RIJAS</v>
      </c>
      <c r="D1782" s="86" t="str">
        <f t="shared" ca="1" si="391"/>
        <v>BADF</v>
      </c>
      <c r="E1782" s="86">
        <f t="shared" ca="1" si="392"/>
        <v>5</v>
      </c>
    </row>
    <row r="1783" spans="1:8" ht="14.25" x14ac:dyDescent="0.45">
      <c r="A1783" s="86">
        <f ca="1"/>
        <v>8</v>
      </c>
      <c r="B1783" s="86" t="str">
        <f ca="1"/>
        <v>C129</v>
      </c>
      <c r="C1783" s="86" t="str">
        <f t="shared" ca="1" si="390"/>
        <v>P K ZAMEEL AHMED</v>
      </c>
      <c r="D1783" s="86" t="str">
        <f t="shared" ca="1" si="391"/>
        <v>BADF</v>
      </c>
      <c r="E1783" s="86">
        <f t="shared" ca="1" si="392"/>
        <v>5</v>
      </c>
    </row>
    <row r="1784" spans="1:8" ht="14.25" x14ac:dyDescent="0.45">
      <c r="A1784" s="86">
        <f ca="1"/>
        <v>9</v>
      </c>
      <c r="B1784" s="86" t="str">
        <f ca="1"/>
        <v>C171</v>
      </c>
      <c r="C1784" s="86" t="str">
        <f t="shared" ca="1" si="390"/>
        <v>MUHAMMED THASLEEM</v>
      </c>
      <c r="D1784" s="86" t="str">
        <f t="shared" ca="1" si="391"/>
        <v>BADF</v>
      </c>
      <c r="E1784" s="86">
        <f t="shared" ca="1" si="392"/>
        <v>7</v>
      </c>
    </row>
    <row r="1785" spans="1:8" ht="14.25" x14ac:dyDescent="0.45">
      <c r="A1785" s="86">
        <f ca="1"/>
        <v>10</v>
      </c>
      <c r="B1785" s="86" t="str">
        <f ca="1"/>
        <v>C121</v>
      </c>
      <c r="C1785" s="86" t="str">
        <f t="shared" ca="1" si="390"/>
        <v>ABDUL SALAM ARIF</v>
      </c>
      <c r="D1785" s="86" t="str">
        <f t="shared" ca="1" si="391"/>
        <v>JARF</v>
      </c>
      <c r="E1785" s="86">
        <f t="shared" ca="1" si="392"/>
        <v>5</v>
      </c>
    </row>
    <row r="1786" spans="1:8" ht="14.25" x14ac:dyDescent="0.45">
      <c r="A1786" s="86">
        <f ca="1"/>
        <v>11</v>
      </c>
      <c r="B1786" s="86" t="str">
        <f ca="1"/>
        <v>C147</v>
      </c>
      <c r="C1786" s="86" t="str">
        <f t="shared" ca="1" si="390"/>
        <v>AHAMED ZAKI FOUZAN T.Z</v>
      </c>
      <c r="D1786" s="86" t="str">
        <f t="shared" ca="1" si="391"/>
        <v>JARF</v>
      </c>
      <c r="E1786" s="86">
        <f t="shared" ca="1" si="392"/>
        <v>6</v>
      </c>
    </row>
    <row r="1787" spans="1:8" ht="14.25" x14ac:dyDescent="0.45">
      <c r="A1787" s="86">
        <f ca="1"/>
        <v>12</v>
      </c>
      <c r="B1787" s="86" t="str">
        <f ca="1"/>
        <v>C165</v>
      </c>
      <c r="C1787" s="86" t="str">
        <f t="shared" ca="1" si="390"/>
        <v>MUHAMMAD IBN AHMAD</v>
      </c>
      <c r="D1787" s="86" t="str">
        <f t="shared" ca="1" si="391"/>
        <v>JARF</v>
      </c>
      <c r="E1787" s="86">
        <f t="shared" ca="1" si="392"/>
        <v>7</v>
      </c>
    </row>
    <row r="1788" spans="1:8" ht="14.25" x14ac:dyDescent="0.45">
      <c r="A1788" s="84" t="s">
        <v>325</v>
      </c>
      <c r="B1788" s="84" t="str">
        <f>VLOOKUP("SN43",f_detailsof_programs,2,FALSE)</f>
        <v>SPEECH ARB</v>
      </c>
      <c r="C1788" s="84"/>
      <c r="D1788" s="84" t="s">
        <v>688</v>
      </c>
      <c r="E1788" s="84" t="s">
        <v>485</v>
      </c>
      <c r="F1788" s="84"/>
      <c r="G1788" s="84"/>
      <c r="H1788" s="84"/>
    </row>
    <row r="1789" spans="1:8" ht="14.25" x14ac:dyDescent="0.45">
      <c r="A1789" s="85" t="s">
        <v>16</v>
      </c>
      <c r="B1789" s="85" t="s">
        <v>480</v>
      </c>
      <c r="C1789" s="85" t="s">
        <v>18</v>
      </c>
      <c r="D1789" s="85" t="s">
        <v>481</v>
      </c>
      <c r="E1789" s="85" t="s">
        <v>19</v>
      </c>
      <c r="F1789" s="85" t="s">
        <v>482</v>
      </c>
      <c r="G1789" s="85" t="s">
        <v>483</v>
      </c>
      <c r="H1789" s="85" t="s">
        <v>484</v>
      </c>
    </row>
    <row r="1790" spans="1:8" ht="14.25" x14ac:dyDescent="0.45">
      <c r="A1790" s="86" cm="1">
        <f t="array" aca="1" ref="A1790:A1801" ca="1">_xlfn.SEQUENCE(COUNTA(_xlfn.LET(_xlpm.trimmed,OFFSET(f_listof_program_candidates,MATCH("SN43",f_listof_program_codes,0)-1,6,1,),TRANSPOSE(_xlfn._xlws.FILTER(OFFSET(_xlpm.trimmed,0,0,,COUNTA(_xlpm.trimmed)-5),OFFSET(_xlpm.trimmed,0,0,,COUNTA(_xlpm.trimmed)-5)&lt;&gt;0)))))</f>
        <v>1</v>
      </c>
      <c r="B1790" s="86" t="str" cm="1">
        <f t="array" aca="1" ref="B1790:B1801" ca="1">_xlfn.LET(_xlpm.trimmed,OFFSET(f_listof_program_candidates,MATCH("SN43",f_listof_program_codes,0)-1,6,1,),TRANSPOSE(_xlfn._xlws.FILTER(OFFSET(_xlpm.trimmed,0,0,,COUNTA(_xlpm.trimmed)-5),OFFSET(_xlpm.trimmed,0,0,,COUNTA(_xlpm.trimmed)-5)&lt;&gt;0)))</f>
        <v>C156</v>
      </c>
      <c r="C1790" s="86" t="str">
        <f t="shared" ref="C1790:C1801" ca="1" si="393">VLOOKUP(B1790,f_detailsof_candidates,2,FALSE)</f>
        <v>ABDULLA RAMSHAD</v>
      </c>
      <c r="D1790" s="86" t="str">
        <f t="shared" ref="D1790:D1801" ca="1" si="394">VLOOKUP(B1790,f_detailsof_candidates,3,FALSE)</f>
        <v>FANT</v>
      </c>
      <c r="E1790" s="86">
        <f t="shared" ref="E1790:E1801" ca="1" si="395">VLOOKUP(B1790,f_detailsof_candidates,5,FALSE)</f>
        <v>6</v>
      </c>
    </row>
    <row r="1791" spans="1:8" ht="14.25" x14ac:dyDescent="0.45">
      <c r="A1791" s="86">
        <f ca="1"/>
        <v>2</v>
      </c>
      <c r="B1791" s="86" t="str">
        <f ca="1"/>
        <v>C112</v>
      </c>
      <c r="C1791" s="86" t="str">
        <f t="shared" ca="1" si="393"/>
        <v>MOHAMMED SA'DUDDEEN K</v>
      </c>
      <c r="D1791" s="86" t="str">
        <f t="shared" ca="1" si="394"/>
        <v>FANT</v>
      </c>
      <c r="E1791" s="86">
        <f t="shared" ca="1" si="395"/>
        <v>5</v>
      </c>
    </row>
    <row r="1792" spans="1:8" ht="14.25" x14ac:dyDescent="0.45">
      <c r="A1792" s="86">
        <f ca="1"/>
        <v>3</v>
      </c>
      <c r="B1792" s="86" t="str">
        <f ca="1"/>
        <v>C149</v>
      </c>
      <c r="C1792" s="86" t="str">
        <f t="shared" ca="1" si="393"/>
        <v>ABDUL BAAIS N.A</v>
      </c>
      <c r="D1792" s="86" t="str">
        <f t="shared" ca="1" si="394"/>
        <v>FANT</v>
      </c>
      <c r="E1792" s="86">
        <f t="shared" ca="1" si="395"/>
        <v>6</v>
      </c>
    </row>
    <row r="1793" spans="1:8" ht="14.25" x14ac:dyDescent="0.45">
      <c r="A1793" s="86">
        <f ca="1"/>
        <v>4</v>
      </c>
      <c r="B1793" s="86" t="str">
        <f ca="1"/>
        <v>C130</v>
      </c>
      <c r="C1793" s="86" t="str">
        <f t="shared" ca="1" si="393"/>
        <v>MOHAMMED HISHAM</v>
      </c>
      <c r="D1793" s="86" t="str">
        <f t="shared" ca="1" si="394"/>
        <v>DAHF</v>
      </c>
      <c r="E1793" s="86">
        <f t="shared" ca="1" si="395"/>
        <v>5</v>
      </c>
    </row>
    <row r="1794" spans="1:8" ht="14.25" x14ac:dyDescent="0.45">
      <c r="A1794" s="86">
        <f ca="1"/>
        <v>5</v>
      </c>
      <c r="B1794" s="86" t="str">
        <f ca="1"/>
        <v>C153</v>
      </c>
      <c r="C1794" s="86" t="str">
        <f t="shared" ca="1" si="393"/>
        <v>MUHAMMED AHMASH K</v>
      </c>
      <c r="D1794" s="86" t="str">
        <f t="shared" ca="1" si="394"/>
        <v>DAHF</v>
      </c>
      <c r="E1794" s="86">
        <f t="shared" ca="1" si="395"/>
        <v>6</v>
      </c>
    </row>
    <row r="1795" spans="1:8" ht="14.25" x14ac:dyDescent="0.45">
      <c r="A1795" s="86">
        <f ca="1"/>
        <v>6</v>
      </c>
      <c r="B1795" s="86" t="str">
        <f ca="1"/>
        <v>C177</v>
      </c>
      <c r="C1795" s="86" t="str">
        <f t="shared" ca="1" si="393"/>
        <v>MOHAMMED HUSSAIN</v>
      </c>
      <c r="D1795" s="86" t="str">
        <f t="shared" ca="1" si="394"/>
        <v>DAHF</v>
      </c>
      <c r="E1795" s="86">
        <f t="shared" ca="1" si="395"/>
        <v>7</v>
      </c>
    </row>
    <row r="1796" spans="1:8" ht="14.25" x14ac:dyDescent="0.45">
      <c r="A1796" s="86">
        <f ca="1"/>
        <v>7</v>
      </c>
      <c r="B1796" s="86" t="str">
        <f ca="1"/>
        <v>C103</v>
      </c>
      <c r="C1796" s="86" t="str">
        <f t="shared" ca="1" si="393"/>
        <v>MUHAMMED ABDUL KADER</v>
      </c>
      <c r="D1796" s="86" t="str">
        <f t="shared" ca="1" si="394"/>
        <v>BADF</v>
      </c>
      <c r="E1796" s="86">
        <f t="shared" ca="1" si="395"/>
        <v>5</v>
      </c>
    </row>
    <row r="1797" spans="1:8" ht="14.25" x14ac:dyDescent="0.45">
      <c r="A1797" s="86">
        <f ca="1"/>
        <v>8</v>
      </c>
      <c r="B1797" s="86" t="str">
        <f ca="1"/>
        <v>C139</v>
      </c>
      <c r="C1797" s="86" t="str">
        <f t="shared" ca="1" si="393"/>
        <v>SULAIMAN FAHAD AP</v>
      </c>
      <c r="D1797" s="86" t="str">
        <f t="shared" ca="1" si="394"/>
        <v>BADF</v>
      </c>
      <c r="E1797" s="86">
        <f t="shared" ca="1" si="395"/>
        <v>6</v>
      </c>
    </row>
    <row r="1798" spans="1:8" ht="14.25" x14ac:dyDescent="0.45">
      <c r="A1798" s="86">
        <f ca="1"/>
        <v>9</v>
      </c>
      <c r="B1798" s="86" t="str">
        <f ca="1"/>
        <v>C141</v>
      </c>
      <c r="C1798" s="86" t="str">
        <f t="shared" ca="1" si="393"/>
        <v>AHMAD MINHAJ</v>
      </c>
      <c r="D1798" s="86" t="str">
        <f t="shared" ca="1" si="394"/>
        <v>BADF</v>
      </c>
      <c r="E1798" s="86">
        <f t="shared" ca="1" si="395"/>
        <v>6</v>
      </c>
    </row>
    <row r="1799" spans="1:8" ht="14.25" x14ac:dyDescent="0.45">
      <c r="A1799" s="86">
        <f ca="1"/>
        <v>10</v>
      </c>
      <c r="B1799" s="86" t="str">
        <f ca="1"/>
        <v>C111</v>
      </c>
      <c r="C1799" s="86" t="str">
        <f t="shared" ca="1" si="393"/>
        <v>MUHAMMAD ISMAIL HAMDULLA V K</v>
      </c>
      <c r="D1799" s="86" t="str">
        <f t="shared" ca="1" si="394"/>
        <v>JARF</v>
      </c>
      <c r="E1799" s="86">
        <f t="shared" ca="1" si="395"/>
        <v>5</v>
      </c>
    </row>
    <row r="1800" spans="1:8" ht="14.25" x14ac:dyDescent="0.45">
      <c r="A1800" s="86">
        <f ca="1"/>
        <v>11</v>
      </c>
      <c r="B1800" s="86" t="str">
        <f ca="1"/>
        <v>C175</v>
      </c>
      <c r="C1800" s="86" t="str">
        <f t="shared" ca="1" si="393"/>
        <v>ABDULLAH MAZIN</v>
      </c>
      <c r="D1800" s="86" t="str">
        <f t="shared" ca="1" si="394"/>
        <v>JARF</v>
      </c>
      <c r="E1800" s="86">
        <f t="shared" ca="1" si="395"/>
        <v>7</v>
      </c>
    </row>
    <row r="1801" spans="1:8" ht="14.25" x14ac:dyDescent="0.45">
      <c r="A1801" s="86">
        <f ca="1"/>
        <v>12</v>
      </c>
      <c r="B1801" s="86" t="str">
        <f ca="1"/>
        <v>C178</v>
      </c>
      <c r="C1801" s="86" t="str">
        <f t="shared" ca="1" si="393"/>
        <v>MUHAMMED ZAYAN N.S</v>
      </c>
      <c r="D1801" s="86" t="str">
        <f t="shared" ca="1" si="394"/>
        <v>JARF</v>
      </c>
      <c r="E1801" s="86">
        <f t="shared" ca="1" si="395"/>
        <v>7</v>
      </c>
    </row>
    <row r="1802" spans="1:8" ht="14.25" x14ac:dyDescent="0.45">
      <c r="A1802" s="84" t="s">
        <v>326</v>
      </c>
      <c r="B1802" s="84" t="str">
        <f>VLOOKUP("SN44",f_detailsof_programs,2,FALSE)</f>
        <v xml:space="preserve">SPEECH ENG </v>
      </c>
      <c r="C1802" s="84"/>
      <c r="D1802" s="84" t="s">
        <v>688</v>
      </c>
      <c r="E1802" s="84" t="s">
        <v>485</v>
      </c>
      <c r="F1802" s="84"/>
      <c r="G1802" s="84"/>
      <c r="H1802" s="84"/>
    </row>
    <row r="1803" spans="1:8" ht="14.25" x14ac:dyDescent="0.45">
      <c r="A1803" s="85" t="s">
        <v>16</v>
      </c>
      <c r="B1803" s="85" t="s">
        <v>480</v>
      </c>
      <c r="C1803" s="85" t="s">
        <v>18</v>
      </c>
      <c r="D1803" s="85" t="s">
        <v>481</v>
      </c>
      <c r="E1803" s="85" t="s">
        <v>19</v>
      </c>
      <c r="F1803" s="85" t="s">
        <v>482</v>
      </c>
      <c r="G1803" s="85" t="s">
        <v>483</v>
      </c>
      <c r="H1803" s="85" t="s">
        <v>484</v>
      </c>
    </row>
    <row r="1804" spans="1:8" ht="14.25" x14ac:dyDescent="0.45">
      <c r="A1804" s="86" cm="1">
        <f t="array" aca="1" ref="A1804:A1815" ca="1">_xlfn.SEQUENCE(COUNTA(_xlfn.LET(_xlpm.trimmed,OFFSET(f_listof_program_candidates,MATCH("SN44",f_listof_program_codes,0)-1,6,1,),TRANSPOSE(_xlfn._xlws.FILTER(OFFSET(_xlpm.trimmed,0,0,,COUNTA(_xlpm.trimmed)-5),OFFSET(_xlpm.trimmed,0,0,,COUNTA(_xlpm.trimmed)-5)&lt;&gt;0)))))</f>
        <v>1</v>
      </c>
      <c r="B1804" s="86" t="str" cm="1">
        <f t="array" aca="1" ref="B1804:B1815" ca="1">_xlfn.LET(_xlpm.trimmed,OFFSET(f_listof_program_candidates,MATCH("SN44",f_listof_program_codes,0)-1,6,1,),TRANSPOSE(_xlfn._xlws.FILTER(OFFSET(_xlpm.trimmed,0,0,,COUNTA(_xlpm.trimmed)-5),OFFSET(_xlpm.trimmed,0,0,,COUNTA(_xlpm.trimmed)-5)&lt;&gt;0)))</f>
        <v>C155</v>
      </c>
      <c r="C1804" s="86" t="str">
        <f t="shared" ref="C1804:C1815" ca="1" si="396">VLOOKUP(B1804,f_detailsof_candidates,2,FALSE)</f>
        <v>HASSAN ZARKASH</v>
      </c>
      <c r="D1804" s="86" t="str">
        <f t="shared" ref="D1804:D1815" ca="1" si="397">VLOOKUP(B1804,f_detailsof_candidates,3,FALSE)</f>
        <v>FANT</v>
      </c>
      <c r="E1804" s="86">
        <f t="shared" ref="E1804:E1815" ca="1" si="398">VLOOKUP(B1804,f_detailsof_candidates,5,FALSE)</f>
        <v>6</v>
      </c>
    </row>
    <row r="1805" spans="1:8" ht="14.25" x14ac:dyDescent="0.45">
      <c r="A1805" s="86">
        <f ca="1"/>
        <v>2</v>
      </c>
      <c r="B1805" s="86" t="str">
        <f ca="1"/>
        <v>C108</v>
      </c>
      <c r="C1805" s="86" t="str">
        <f t="shared" ca="1" si="396"/>
        <v>ABDULLA SALMAN FARIS M</v>
      </c>
      <c r="D1805" s="86" t="str">
        <f t="shared" ca="1" si="397"/>
        <v>FANT</v>
      </c>
      <c r="E1805" s="86">
        <f t="shared" ca="1" si="398"/>
        <v>5</v>
      </c>
    </row>
    <row r="1806" spans="1:8" ht="14.25" x14ac:dyDescent="0.45">
      <c r="A1806" s="86">
        <f ca="1"/>
        <v>3</v>
      </c>
      <c r="B1806" s="86" t="str">
        <f ca="1"/>
        <v>C168</v>
      </c>
      <c r="C1806" s="86" t="str">
        <f t="shared" ca="1" si="396"/>
        <v>MUHAMMED SHAHAN P.S</v>
      </c>
      <c r="D1806" s="86" t="str">
        <f t="shared" ca="1" si="397"/>
        <v>FANT</v>
      </c>
      <c r="E1806" s="86">
        <f t="shared" ca="1" si="398"/>
        <v>7</v>
      </c>
    </row>
    <row r="1807" spans="1:8" ht="14.25" x14ac:dyDescent="0.45">
      <c r="A1807" s="86">
        <f ca="1"/>
        <v>4</v>
      </c>
      <c r="B1807" s="86" t="str">
        <f ca="1"/>
        <v>C110</v>
      </c>
      <c r="C1807" s="86" t="str">
        <f t="shared" ca="1" si="396"/>
        <v>SHADIL AHAMED</v>
      </c>
      <c r="D1807" s="86" t="str">
        <f t="shared" ca="1" si="397"/>
        <v>DAHF</v>
      </c>
      <c r="E1807" s="86">
        <f t="shared" ca="1" si="398"/>
        <v>5</v>
      </c>
    </row>
    <row r="1808" spans="1:8" ht="14.25" x14ac:dyDescent="0.45">
      <c r="A1808" s="86">
        <f ca="1"/>
        <v>5</v>
      </c>
      <c r="B1808" s="86" t="str">
        <f ca="1"/>
        <v>C107</v>
      </c>
      <c r="C1808" s="86" t="str">
        <f t="shared" ca="1" si="396"/>
        <v>ADIL ABDULLA A</v>
      </c>
      <c r="D1808" s="86" t="str">
        <f t="shared" ca="1" si="397"/>
        <v>DAHF</v>
      </c>
      <c r="E1808" s="86">
        <f t="shared" ca="1" si="398"/>
        <v>5</v>
      </c>
    </row>
    <row r="1809" spans="1:8" ht="14.25" x14ac:dyDescent="0.45">
      <c r="A1809" s="86">
        <f ca="1"/>
        <v>6</v>
      </c>
      <c r="B1809" s="86" t="str">
        <f ca="1"/>
        <v>C154</v>
      </c>
      <c r="C1809" s="86" t="str">
        <f t="shared" ca="1" si="396"/>
        <v>MOHAMMED RAZEEN S.P</v>
      </c>
      <c r="D1809" s="86" t="str">
        <f t="shared" ca="1" si="397"/>
        <v>DAHF</v>
      </c>
      <c r="E1809" s="86">
        <f t="shared" ca="1" si="398"/>
        <v>6</v>
      </c>
    </row>
    <row r="1810" spans="1:8" ht="14.25" x14ac:dyDescent="0.45">
      <c r="A1810" s="86">
        <f ca="1"/>
        <v>7</v>
      </c>
      <c r="B1810" s="86" t="str">
        <f ca="1"/>
        <v>C114</v>
      </c>
      <c r="C1810" s="86" t="str">
        <f t="shared" ca="1" si="396"/>
        <v>AJMAL RUWAIS</v>
      </c>
      <c r="D1810" s="86" t="str">
        <f t="shared" ca="1" si="397"/>
        <v>BADF</v>
      </c>
      <c r="E1810" s="86">
        <f t="shared" ca="1" si="398"/>
        <v>5</v>
      </c>
    </row>
    <row r="1811" spans="1:8" ht="14.25" x14ac:dyDescent="0.45">
      <c r="A1811" s="86">
        <f ca="1"/>
        <v>8</v>
      </c>
      <c r="B1811" s="86" t="str">
        <f ca="1"/>
        <v>C123</v>
      </c>
      <c r="C1811" s="86" t="str">
        <f t="shared" ca="1" si="396"/>
        <v>MOHAMMED FAQRUDDEEN RAZI</v>
      </c>
      <c r="D1811" s="86" t="str">
        <f t="shared" ca="1" si="397"/>
        <v>BADF</v>
      </c>
      <c r="E1811" s="86">
        <f t="shared" ca="1" si="398"/>
        <v>5</v>
      </c>
    </row>
    <row r="1812" spans="1:8" ht="14.25" x14ac:dyDescent="0.45">
      <c r="A1812" s="86">
        <f ca="1"/>
        <v>9</v>
      </c>
      <c r="B1812" s="86" t="str">
        <f ca="1"/>
        <v>C145</v>
      </c>
      <c r="C1812" s="86" t="str">
        <f t="shared" ca="1" si="396"/>
        <v>SHAMEEL AHAMMED P</v>
      </c>
      <c r="D1812" s="86" t="str">
        <f t="shared" ca="1" si="397"/>
        <v>BADF</v>
      </c>
      <c r="E1812" s="86">
        <f t="shared" ca="1" si="398"/>
        <v>6</v>
      </c>
    </row>
    <row r="1813" spans="1:8" ht="14.25" x14ac:dyDescent="0.45">
      <c r="A1813" s="86">
        <f ca="1"/>
        <v>10</v>
      </c>
      <c r="B1813" s="86" t="str">
        <f ca="1"/>
        <v>C113</v>
      </c>
      <c r="C1813" s="86" t="str">
        <f t="shared" ca="1" si="396"/>
        <v>SEYYAD MUHAMMED FAHMAN</v>
      </c>
      <c r="D1813" s="86" t="str">
        <f t="shared" ca="1" si="397"/>
        <v>JARF</v>
      </c>
      <c r="E1813" s="86">
        <f t="shared" ca="1" si="398"/>
        <v>5</v>
      </c>
    </row>
    <row r="1814" spans="1:8" ht="14.25" x14ac:dyDescent="0.45">
      <c r="A1814" s="86">
        <f ca="1"/>
        <v>11</v>
      </c>
      <c r="B1814" s="86" t="str">
        <f ca="1"/>
        <v>C135</v>
      </c>
      <c r="C1814" s="86" t="str">
        <f t="shared" ca="1" si="396"/>
        <v>AHAMAD SHABAB P A</v>
      </c>
      <c r="D1814" s="86" t="str">
        <f t="shared" ca="1" si="397"/>
        <v>JARF</v>
      </c>
      <c r="E1814" s="86">
        <f t="shared" ca="1" si="398"/>
        <v>6</v>
      </c>
    </row>
    <row r="1815" spans="1:8" ht="14.25" x14ac:dyDescent="0.45">
      <c r="A1815" s="86">
        <f ca="1"/>
        <v>12</v>
      </c>
      <c r="B1815" s="86" t="str">
        <f ca="1"/>
        <v>C151</v>
      </c>
      <c r="C1815" s="86" t="str">
        <f t="shared" ca="1" si="396"/>
        <v>MOHAMMED ASHMIL K A</v>
      </c>
      <c r="D1815" s="86" t="str">
        <f t="shared" ca="1" si="397"/>
        <v>JARF</v>
      </c>
      <c r="E1815" s="86">
        <f t="shared" ca="1" si="398"/>
        <v>6</v>
      </c>
    </row>
    <row r="1816" spans="1:8" ht="14.25" x14ac:dyDescent="0.45">
      <c r="A1816" s="84" t="s">
        <v>328</v>
      </c>
      <c r="B1816" s="84" t="str">
        <f>VLOOKUP("SN45",f_detailsof_programs,2,FALSE)</f>
        <v>SPEECH URD</v>
      </c>
      <c r="C1816" s="84"/>
      <c r="D1816" s="84" t="s">
        <v>688</v>
      </c>
      <c r="E1816" s="84" t="s">
        <v>485</v>
      </c>
      <c r="F1816" s="84"/>
      <c r="G1816" s="84"/>
      <c r="H1816" s="84"/>
    </row>
    <row r="1817" spans="1:8" ht="14.25" x14ac:dyDescent="0.45">
      <c r="A1817" s="85" t="s">
        <v>16</v>
      </c>
      <c r="B1817" s="85" t="s">
        <v>480</v>
      </c>
      <c r="C1817" s="85" t="s">
        <v>18</v>
      </c>
      <c r="D1817" s="85" t="s">
        <v>481</v>
      </c>
      <c r="E1817" s="85" t="s">
        <v>19</v>
      </c>
      <c r="F1817" s="85" t="s">
        <v>482</v>
      </c>
      <c r="G1817" s="85" t="s">
        <v>483</v>
      </c>
      <c r="H1817" s="85" t="s">
        <v>484</v>
      </c>
    </row>
    <row r="1818" spans="1:8" ht="14.25" x14ac:dyDescent="0.45">
      <c r="A1818" s="86" cm="1">
        <f t="array" aca="1" ref="A1818:A1829" ca="1">_xlfn.SEQUENCE(COUNTA(_xlfn.LET(_xlpm.trimmed,OFFSET(f_listof_program_candidates,MATCH("SN45",f_listof_program_codes,0)-1,6,1,),TRANSPOSE(_xlfn._xlws.FILTER(OFFSET(_xlpm.trimmed,0,0,,COUNTA(_xlpm.trimmed)-5),OFFSET(_xlpm.trimmed,0,0,,COUNTA(_xlpm.trimmed)-5)&lt;&gt;0)))))</f>
        <v>1</v>
      </c>
      <c r="B1818" s="86" t="str" cm="1">
        <f t="array" aca="1" ref="B1818:B1829" ca="1">_xlfn.LET(_xlpm.trimmed,OFFSET(f_listof_program_candidates,MATCH("SN45",f_listof_program_codes,0)-1,6,1,),TRANSPOSE(_xlfn._xlws.FILTER(OFFSET(_xlpm.trimmed,0,0,,COUNTA(_xlpm.trimmed)-5),OFFSET(_xlpm.trimmed,0,0,,COUNTA(_xlpm.trimmed)-5)&lt;&gt;0)))</f>
        <v>C125</v>
      </c>
      <c r="C1818" s="86" t="str">
        <f t="shared" ref="C1818:C1829" ca="1" si="399">VLOOKUP(B1818,f_detailsof_candidates,2,FALSE)</f>
        <v>AHAMMED MINHAJ E M</v>
      </c>
      <c r="D1818" s="86" t="str">
        <f t="shared" ref="D1818:D1829" ca="1" si="400">VLOOKUP(B1818,f_detailsof_candidates,3,FALSE)</f>
        <v>FANT</v>
      </c>
      <c r="E1818" s="86">
        <f t="shared" ref="E1818:E1829" ca="1" si="401">VLOOKUP(B1818,f_detailsof_candidates,5,FALSE)</f>
        <v>5</v>
      </c>
    </row>
    <row r="1819" spans="1:8" ht="14.25" x14ac:dyDescent="0.45">
      <c r="A1819" s="86">
        <f ca="1"/>
        <v>2</v>
      </c>
      <c r="B1819" s="86" t="str">
        <f ca="1"/>
        <v>C138</v>
      </c>
      <c r="C1819" s="86" t="str">
        <f t="shared" ca="1" si="399"/>
        <v>MOHAMMED MOINUDDEEN CHISTY</v>
      </c>
      <c r="D1819" s="86" t="str">
        <f t="shared" ca="1" si="400"/>
        <v>FANT</v>
      </c>
      <c r="E1819" s="86">
        <f t="shared" ca="1" si="401"/>
        <v>6</v>
      </c>
    </row>
    <row r="1820" spans="1:8" ht="14.25" x14ac:dyDescent="0.45">
      <c r="A1820" s="86">
        <f ca="1"/>
        <v>3</v>
      </c>
      <c r="B1820" s="86" t="str">
        <f ca="1"/>
        <v>C118</v>
      </c>
      <c r="C1820" s="86" t="str">
        <f t="shared" ca="1" si="399"/>
        <v>MUHAMMAD SHAMMAS</v>
      </c>
      <c r="D1820" s="86" t="str">
        <f t="shared" ca="1" si="400"/>
        <v>FANT</v>
      </c>
      <c r="E1820" s="86">
        <f t="shared" ca="1" si="401"/>
        <v>5</v>
      </c>
    </row>
    <row r="1821" spans="1:8" ht="14.25" x14ac:dyDescent="0.45">
      <c r="A1821" s="86">
        <f ca="1"/>
        <v>4</v>
      </c>
      <c r="B1821" s="86" t="str">
        <f ca="1"/>
        <v>C128</v>
      </c>
      <c r="C1821" s="86" t="str">
        <f t="shared" ca="1" si="399"/>
        <v>MAHIN SINAN</v>
      </c>
      <c r="D1821" s="86" t="str">
        <f t="shared" ca="1" si="400"/>
        <v>DAHF</v>
      </c>
      <c r="E1821" s="86">
        <f t="shared" ca="1" si="401"/>
        <v>5</v>
      </c>
    </row>
    <row r="1822" spans="1:8" ht="14.25" x14ac:dyDescent="0.45">
      <c r="A1822" s="86">
        <f ca="1"/>
        <v>5</v>
      </c>
      <c r="B1822" s="86" t="str">
        <f ca="1"/>
        <v>C133</v>
      </c>
      <c r="C1822" s="86" t="str">
        <f t="shared" ca="1" si="399"/>
        <v>SALMANUL FARIS</v>
      </c>
      <c r="D1822" s="86" t="str">
        <f t="shared" ca="1" si="400"/>
        <v>DAHF</v>
      </c>
      <c r="E1822" s="86">
        <f t="shared" ca="1" si="401"/>
        <v>6</v>
      </c>
    </row>
    <row r="1823" spans="1:8" ht="14.25" x14ac:dyDescent="0.45">
      <c r="A1823" s="86">
        <f ca="1"/>
        <v>6</v>
      </c>
      <c r="B1823" s="86" t="str">
        <f ca="1"/>
        <v>C158</v>
      </c>
      <c r="C1823" s="86" t="str">
        <f t="shared" ca="1" si="399"/>
        <v>ABDUL FATHAH AHAMMED C</v>
      </c>
      <c r="D1823" s="86" t="str">
        <f t="shared" ca="1" si="400"/>
        <v>DAHF</v>
      </c>
      <c r="E1823" s="86">
        <f t="shared" ca="1" si="401"/>
        <v>6</v>
      </c>
    </row>
    <row r="1824" spans="1:8" ht="14.25" x14ac:dyDescent="0.45">
      <c r="A1824" s="86">
        <f ca="1"/>
        <v>7</v>
      </c>
      <c r="B1824" s="86" t="str">
        <f ca="1"/>
        <v>C104</v>
      </c>
      <c r="C1824" s="86" t="str">
        <f t="shared" ca="1" si="399"/>
        <v>HADIL RIJAS</v>
      </c>
      <c r="D1824" s="86" t="str">
        <f t="shared" ca="1" si="400"/>
        <v>BADF</v>
      </c>
      <c r="E1824" s="86">
        <f t="shared" ca="1" si="401"/>
        <v>5</v>
      </c>
    </row>
    <row r="1825" spans="1:8" ht="14.25" x14ac:dyDescent="0.45">
      <c r="A1825" s="86">
        <f ca="1"/>
        <v>8</v>
      </c>
      <c r="B1825" s="86" t="str">
        <f ca="1"/>
        <v>C129</v>
      </c>
      <c r="C1825" s="86" t="str">
        <f t="shared" ca="1" si="399"/>
        <v>P K ZAMEEL AHMED</v>
      </c>
      <c r="D1825" s="86" t="str">
        <f t="shared" ca="1" si="400"/>
        <v>BADF</v>
      </c>
      <c r="E1825" s="86">
        <f t="shared" ca="1" si="401"/>
        <v>5</v>
      </c>
    </row>
    <row r="1826" spans="1:8" ht="14.25" x14ac:dyDescent="0.45">
      <c r="A1826" s="86">
        <f ca="1"/>
        <v>9</v>
      </c>
      <c r="B1826" s="86" t="str">
        <f ca="1"/>
        <v>C174</v>
      </c>
      <c r="C1826" s="86" t="str">
        <f t="shared" ca="1" si="399"/>
        <v>MUHAMMAD MUSTHAFA K.M</v>
      </c>
      <c r="D1826" s="86" t="str">
        <f t="shared" ca="1" si="400"/>
        <v>BADF</v>
      </c>
      <c r="E1826" s="86">
        <f t="shared" ca="1" si="401"/>
        <v>7</v>
      </c>
    </row>
    <row r="1827" spans="1:8" ht="14.25" x14ac:dyDescent="0.45">
      <c r="A1827" s="86">
        <f ca="1"/>
        <v>10</v>
      </c>
      <c r="B1827" s="86" t="str">
        <f ca="1"/>
        <v>C116</v>
      </c>
      <c r="C1827" s="86" t="str">
        <f t="shared" ca="1" si="399"/>
        <v>MUAHMMED ANAS P A</v>
      </c>
      <c r="D1827" s="86" t="str">
        <f t="shared" ca="1" si="400"/>
        <v>JARF</v>
      </c>
      <c r="E1827" s="86">
        <f t="shared" ca="1" si="401"/>
        <v>5</v>
      </c>
    </row>
    <row r="1828" spans="1:8" ht="14.25" x14ac:dyDescent="0.45">
      <c r="A1828" s="86">
        <f ca="1"/>
        <v>11</v>
      </c>
      <c r="B1828" s="86" t="str">
        <f ca="1"/>
        <v>C135</v>
      </c>
      <c r="C1828" s="86" t="str">
        <f t="shared" ca="1" si="399"/>
        <v>AHAMAD SHABAB P A</v>
      </c>
      <c r="D1828" s="86" t="str">
        <f t="shared" ca="1" si="400"/>
        <v>JARF</v>
      </c>
      <c r="E1828" s="86">
        <f t="shared" ca="1" si="401"/>
        <v>6</v>
      </c>
    </row>
    <row r="1829" spans="1:8" ht="14.25" x14ac:dyDescent="0.45">
      <c r="A1829" s="86">
        <f ca="1"/>
        <v>12</v>
      </c>
      <c r="B1829" s="86" t="str">
        <f ca="1"/>
        <v>C165</v>
      </c>
      <c r="C1829" s="86" t="str">
        <f t="shared" ca="1" si="399"/>
        <v>MUHAMMAD IBN AHMAD</v>
      </c>
      <c r="D1829" s="86" t="str">
        <f t="shared" ca="1" si="400"/>
        <v>JARF</v>
      </c>
      <c r="E1829" s="86">
        <f t="shared" ca="1" si="401"/>
        <v>7</v>
      </c>
    </row>
    <row r="1830" spans="1:8" ht="14.25" x14ac:dyDescent="0.45">
      <c r="A1830" s="84" t="s">
        <v>329</v>
      </c>
      <c r="B1830" s="84" t="str">
        <f>VLOOKUP("SN46",f_detailsof_programs,2,FALSE)</f>
        <v>TEACHING</v>
      </c>
      <c r="C1830" s="84"/>
      <c r="D1830" s="84" t="s">
        <v>688</v>
      </c>
      <c r="E1830" s="84" t="s">
        <v>485</v>
      </c>
      <c r="F1830" s="84"/>
      <c r="G1830" s="84"/>
      <c r="H1830" s="84"/>
    </row>
    <row r="1831" spans="1:8" ht="14.25" x14ac:dyDescent="0.45">
      <c r="A1831" s="85" t="s">
        <v>16</v>
      </c>
      <c r="B1831" s="85" t="s">
        <v>480</v>
      </c>
      <c r="C1831" s="85" t="s">
        <v>18</v>
      </c>
      <c r="D1831" s="85" t="s">
        <v>481</v>
      </c>
      <c r="E1831" s="85" t="s">
        <v>19</v>
      </c>
      <c r="F1831" s="85" t="s">
        <v>482</v>
      </c>
      <c r="G1831" s="85" t="s">
        <v>483</v>
      </c>
      <c r="H1831" s="85" t="s">
        <v>484</v>
      </c>
    </row>
    <row r="1832" spans="1:8" ht="14.25" x14ac:dyDescent="0.45">
      <c r="A1832" s="86" cm="1">
        <f t="array" aca="1" ref="A1832:A1843" ca="1">_xlfn.SEQUENCE(COUNTA(_xlfn.LET(_xlpm.trimmed,OFFSET(f_listof_program_candidates,MATCH("SN46",f_listof_program_codes,0)-1,6,1,),TRANSPOSE(_xlfn._xlws.FILTER(OFFSET(_xlpm.trimmed,0,0,,COUNTA(_xlpm.trimmed)-5),OFFSET(_xlpm.trimmed,0,0,,COUNTA(_xlpm.trimmed)-5)&lt;&gt;0)))))</f>
        <v>1</v>
      </c>
      <c r="B1832" s="86" t="str" cm="1">
        <f t="array" aca="1" ref="B1832:B1843" ca="1">_xlfn.LET(_xlpm.trimmed,OFFSET(f_listof_program_candidates,MATCH("SN46",f_listof_program_codes,0)-1,6,1,),TRANSPOSE(_xlfn._xlws.FILTER(OFFSET(_xlpm.trimmed,0,0,,COUNTA(_xlpm.trimmed)-5),OFFSET(_xlpm.trimmed,0,0,,COUNTA(_xlpm.trimmed)-5)&lt;&gt;0)))</f>
        <v>C112</v>
      </c>
      <c r="C1832" s="86" t="str">
        <f t="shared" ref="C1832:C1843" ca="1" si="402">VLOOKUP(B1832,f_detailsof_candidates,2,FALSE)</f>
        <v>MOHAMMED SA'DUDDEEN K</v>
      </c>
      <c r="D1832" s="86" t="str">
        <f t="shared" ref="D1832:D1843" ca="1" si="403">VLOOKUP(B1832,f_detailsof_candidates,3,FALSE)</f>
        <v>FANT</v>
      </c>
      <c r="E1832" s="86">
        <f t="shared" ref="E1832:E1843" ca="1" si="404">VLOOKUP(B1832,f_detailsof_candidates,5,FALSE)</f>
        <v>5</v>
      </c>
    </row>
    <row r="1833" spans="1:8" ht="14.25" x14ac:dyDescent="0.45">
      <c r="A1833" s="86">
        <f ca="1"/>
        <v>2</v>
      </c>
      <c r="B1833" s="86" t="str">
        <f ca="1"/>
        <v>C137</v>
      </c>
      <c r="C1833" s="86" t="str">
        <f t="shared" ca="1" si="402"/>
        <v>MUHAMMED SHUHAIB S</v>
      </c>
      <c r="D1833" s="86" t="str">
        <f t="shared" ca="1" si="403"/>
        <v>FANT</v>
      </c>
      <c r="E1833" s="86">
        <f t="shared" ca="1" si="404"/>
        <v>6</v>
      </c>
    </row>
    <row r="1834" spans="1:8" ht="14.25" x14ac:dyDescent="0.45">
      <c r="A1834" s="86">
        <f ca="1"/>
        <v>3</v>
      </c>
      <c r="B1834" s="86" t="str">
        <f ca="1"/>
        <v>C176</v>
      </c>
      <c r="C1834" s="86" t="str">
        <f t="shared" ca="1" si="402"/>
        <v>MUHAMMED T A</v>
      </c>
      <c r="D1834" s="86" t="str">
        <f t="shared" ca="1" si="403"/>
        <v>FANT</v>
      </c>
      <c r="E1834" s="86">
        <f t="shared" ca="1" si="404"/>
        <v>7</v>
      </c>
    </row>
    <row r="1835" spans="1:8" ht="14.25" x14ac:dyDescent="0.45">
      <c r="A1835" s="86">
        <f ca="1"/>
        <v>4</v>
      </c>
      <c r="B1835" s="86" t="str">
        <f ca="1"/>
        <v>C120</v>
      </c>
      <c r="C1835" s="86" t="str">
        <f t="shared" ca="1" si="402"/>
        <v>MAJID MUHAMMED M</v>
      </c>
      <c r="D1835" s="86" t="str">
        <f t="shared" ca="1" si="403"/>
        <v>DAHF</v>
      </c>
      <c r="E1835" s="86">
        <f t="shared" ca="1" si="404"/>
        <v>5</v>
      </c>
    </row>
    <row r="1836" spans="1:8" ht="14.25" x14ac:dyDescent="0.45">
      <c r="A1836" s="86">
        <f ca="1"/>
        <v>5</v>
      </c>
      <c r="B1836" s="86" t="str">
        <f ca="1"/>
        <v>C136</v>
      </c>
      <c r="C1836" s="86" t="str">
        <f t="shared" ca="1" si="402"/>
        <v>MOHAMMED SHAKIR HUSSAIN K.Y</v>
      </c>
      <c r="D1836" s="86" t="str">
        <f t="shared" ca="1" si="403"/>
        <v>DAHF</v>
      </c>
      <c r="E1836" s="86">
        <f t="shared" ca="1" si="404"/>
        <v>6</v>
      </c>
    </row>
    <row r="1837" spans="1:8" ht="14.25" x14ac:dyDescent="0.45">
      <c r="A1837" s="86">
        <f ca="1"/>
        <v>6</v>
      </c>
      <c r="B1837" s="86" t="str">
        <f ca="1"/>
        <v>C166</v>
      </c>
      <c r="C1837" s="86" t="str">
        <f t="shared" ca="1" si="402"/>
        <v>RESWAN</v>
      </c>
      <c r="D1837" s="86" t="str">
        <f t="shared" ca="1" si="403"/>
        <v>DAHF</v>
      </c>
      <c r="E1837" s="86">
        <f t="shared" ca="1" si="404"/>
        <v>7</v>
      </c>
    </row>
    <row r="1838" spans="1:8" ht="14.25" x14ac:dyDescent="0.45">
      <c r="A1838" s="86">
        <f ca="1"/>
        <v>7</v>
      </c>
      <c r="B1838" s="86" t="str">
        <f ca="1"/>
        <v>C109</v>
      </c>
      <c r="C1838" s="86" t="str">
        <f t="shared" ca="1" si="402"/>
        <v>ABDULLA FARHAN M</v>
      </c>
      <c r="D1838" s="86" t="str">
        <f t="shared" ca="1" si="403"/>
        <v>BADF</v>
      </c>
      <c r="E1838" s="86">
        <f t="shared" ca="1" si="404"/>
        <v>5</v>
      </c>
    </row>
    <row r="1839" spans="1:8" ht="14.25" x14ac:dyDescent="0.45">
      <c r="A1839" s="86">
        <f ca="1"/>
        <v>8</v>
      </c>
      <c r="B1839" s="86" t="str">
        <f ca="1"/>
        <v>C141</v>
      </c>
      <c r="C1839" s="86" t="str">
        <f t="shared" ca="1" si="402"/>
        <v>AHMAD MINHAJ</v>
      </c>
      <c r="D1839" s="86" t="str">
        <f t="shared" ca="1" si="403"/>
        <v>BADF</v>
      </c>
      <c r="E1839" s="86">
        <f t="shared" ca="1" si="404"/>
        <v>6</v>
      </c>
    </row>
    <row r="1840" spans="1:8" ht="14.25" x14ac:dyDescent="0.45">
      <c r="A1840" s="86">
        <f ca="1"/>
        <v>9</v>
      </c>
      <c r="B1840" s="86" t="str">
        <f ca="1"/>
        <v>C174</v>
      </c>
      <c r="C1840" s="86" t="str">
        <f t="shared" ca="1" si="402"/>
        <v>MUHAMMAD MUSTHAFA K.M</v>
      </c>
      <c r="D1840" s="86" t="str">
        <f t="shared" ca="1" si="403"/>
        <v>BADF</v>
      </c>
      <c r="E1840" s="86">
        <f t="shared" ca="1" si="404"/>
        <v>7</v>
      </c>
    </row>
    <row r="1841" spans="1:8" ht="14.25" x14ac:dyDescent="0.45">
      <c r="A1841" s="86">
        <f ca="1"/>
        <v>10</v>
      </c>
      <c r="B1841" s="86" t="str">
        <f ca="1"/>
        <v>C113</v>
      </c>
      <c r="C1841" s="86" t="str">
        <f t="shared" ca="1" si="402"/>
        <v>SEYYAD MUHAMMED FAHMAN</v>
      </c>
      <c r="D1841" s="86" t="str">
        <f t="shared" ca="1" si="403"/>
        <v>JARF</v>
      </c>
      <c r="E1841" s="86">
        <f t="shared" ca="1" si="404"/>
        <v>5</v>
      </c>
    </row>
    <row r="1842" spans="1:8" ht="14.25" x14ac:dyDescent="0.45">
      <c r="A1842" s="86">
        <f ca="1"/>
        <v>11</v>
      </c>
      <c r="B1842" s="86" t="str">
        <f ca="1"/>
        <v>C135</v>
      </c>
      <c r="C1842" s="86" t="str">
        <f t="shared" ca="1" si="402"/>
        <v>AHAMAD SHABAB P A</v>
      </c>
      <c r="D1842" s="86" t="str">
        <f t="shared" ca="1" si="403"/>
        <v>JARF</v>
      </c>
      <c r="E1842" s="86">
        <f t="shared" ca="1" si="404"/>
        <v>6</v>
      </c>
    </row>
    <row r="1843" spans="1:8" ht="14.25" x14ac:dyDescent="0.45">
      <c r="A1843" s="86">
        <f ca="1"/>
        <v>12</v>
      </c>
      <c r="B1843" s="86" t="str">
        <f ca="1"/>
        <v>C175</v>
      </c>
      <c r="C1843" s="86" t="str">
        <f t="shared" ca="1" si="402"/>
        <v>ABDULLAH MAZIN</v>
      </c>
      <c r="D1843" s="86" t="str">
        <f t="shared" ca="1" si="403"/>
        <v>JARF</v>
      </c>
      <c r="E1843" s="86">
        <f t="shared" ca="1" si="404"/>
        <v>7</v>
      </c>
    </row>
    <row r="1844" spans="1:8" ht="14.25" x14ac:dyDescent="0.45">
      <c r="A1844" s="84" t="s">
        <v>331</v>
      </c>
      <c r="B1844" s="84" t="str">
        <f>VLOOKUP("SN47",f_detailsof_programs,2,FALSE)</f>
        <v>WAʿẒ</v>
      </c>
      <c r="C1844" s="84"/>
      <c r="D1844" s="84" t="s">
        <v>688</v>
      </c>
      <c r="E1844" s="84" t="s">
        <v>485</v>
      </c>
      <c r="F1844" s="84"/>
      <c r="G1844" s="84"/>
      <c r="H1844" s="84"/>
    </row>
    <row r="1845" spans="1:8" ht="14.25" x14ac:dyDescent="0.45">
      <c r="A1845" s="85" t="s">
        <v>16</v>
      </c>
      <c r="B1845" s="85" t="s">
        <v>480</v>
      </c>
      <c r="C1845" s="85" t="s">
        <v>18</v>
      </c>
      <c r="D1845" s="85" t="s">
        <v>481</v>
      </c>
      <c r="E1845" s="85" t="s">
        <v>19</v>
      </c>
      <c r="F1845" s="85" t="s">
        <v>482</v>
      </c>
      <c r="G1845" s="85" t="s">
        <v>483</v>
      </c>
      <c r="H1845" s="85" t="s">
        <v>484</v>
      </c>
    </row>
    <row r="1846" spans="1:8" ht="14.25" x14ac:dyDescent="0.45">
      <c r="A1846" s="86" cm="1">
        <f t="array" aca="1" ref="A1846:A1857" ca="1">_xlfn.SEQUENCE(COUNTA(_xlfn.LET(_xlpm.trimmed,OFFSET(f_listof_program_candidates,MATCH("SN47",f_listof_program_codes,0)-1,6,1,),TRANSPOSE(_xlfn._xlws.FILTER(OFFSET(_xlpm.trimmed,0,0,,COUNTA(_xlpm.trimmed)-5),OFFSET(_xlpm.trimmed,0,0,,COUNTA(_xlpm.trimmed)-5)&lt;&gt;0)))))</f>
        <v>1</v>
      </c>
      <c r="B1846" s="86" t="str" cm="1">
        <f t="array" aca="1" ref="B1846:B1857" ca="1">_xlfn.LET(_xlpm.trimmed,OFFSET(f_listof_program_candidates,MATCH("SN47",f_listof_program_codes,0)-1,6,1,),TRANSPOSE(_xlfn._xlws.FILTER(OFFSET(_xlpm.trimmed,0,0,,COUNTA(_xlpm.trimmed)-5),OFFSET(_xlpm.trimmed,0,0,,COUNTA(_xlpm.trimmed)-5)&lt;&gt;0)))</f>
        <v>C112</v>
      </c>
      <c r="C1846" s="86" t="str">
        <f t="shared" ref="C1846:C1857" ca="1" si="405">VLOOKUP(B1846,f_detailsof_candidates,2,FALSE)</f>
        <v>MOHAMMED SA'DUDDEEN K</v>
      </c>
      <c r="D1846" s="86" t="str">
        <f t="shared" ref="D1846:D1857" ca="1" si="406">VLOOKUP(B1846,f_detailsof_candidates,3,FALSE)</f>
        <v>FANT</v>
      </c>
      <c r="E1846" s="86">
        <f t="shared" ref="E1846:E1857" ca="1" si="407">VLOOKUP(B1846,f_detailsof_candidates,5,FALSE)</f>
        <v>5</v>
      </c>
    </row>
    <row r="1847" spans="1:8" ht="14.25" x14ac:dyDescent="0.45">
      <c r="A1847" s="86">
        <f ca="1"/>
        <v>2</v>
      </c>
      <c r="B1847" s="86" t="str">
        <f ca="1"/>
        <v>C156</v>
      </c>
      <c r="C1847" s="86" t="str">
        <f t="shared" ca="1" si="405"/>
        <v>ABDULLA RAMSHAD</v>
      </c>
      <c r="D1847" s="86" t="str">
        <f t="shared" ca="1" si="406"/>
        <v>FANT</v>
      </c>
      <c r="E1847" s="86">
        <f t="shared" ca="1" si="407"/>
        <v>6</v>
      </c>
    </row>
    <row r="1848" spans="1:8" ht="14.25" x14ac:dyDescent="0.45">
      <c r="A1848" s="86">
        <f ca="1"/>
        <v>3</v>
      </c>
      <c r="B1848" s="86" t="str">
        <f ca="1"/>
        <v>C176</v>
      </c>
      <c r="C1848" s="86" t="str">
        <f t="shared" ca="1" si="405"/>
        <v>MUHAMMED T A</v>
      </c>
      <c r="D1848" s="86" t="str">
        <f t="shared" ca="1" si="406"/>
        <v>FANT</v>
      </c>
      <c r="E1848" s="86">
        <f t="shared" ca="1" si="407"/>
        <v>7</v>
      </c>
    </row>
    <row r="1849" spans="1:8" ht="14.25" x14ac:dyDescent="0.45">
      <c r="A1849" s="86">
        <f ca="1"/>
        <v>4</v>
      </c>
      <c r="B1849" s="86" t="str">
        <f ca="1"/>
        <v>C120</v>
      </c>
      <c r="C1849" s="86" t="str">
        <f t="shared" ca="1" si="405"/>
        <v>MAJID MUHAMMED M</v>
      </c>
      <c r="D1849" s="86" t="str">
        <f t="shared" ca="1" si="406"/>
        <v>DAHF</v>
      </c>
      <c r="E1849" s="86">
        <f t="shared" ca="1" si="407"/>
        <v>5</v>
      </c>
    </row>
    <row r="1850" spans="1:8" ht="14.25" x14ac:dyDescent="0.45">
      <c r="A1850" s="86">
        <f ca="1"/>
        <v>5</v>
      </c>
      <c r="B1850" s="86" t="str">
        <f ca="1"/>
        <v>C136</v>
      </c>
      <c r="C1850" s="86" t="str">
        <f t="shared" ca="1" si="405"/>
        <v>MOHAMMED SHAKIR HUSSAIN K.Y</v>
      </c>
      <c r="D1850" s="86" t="str">
        <f t="shared" ca="1" si="406"/>
        <v>DAHF</v>
      </c>
      <c r="E1850" s="86">
        <f t="shared" ca="1" si="407"/>
        <v>6</v>
      </c>
    </row>
    <row r="1851" spans="1:8" ht="14.25" x14ac:dyDescent="0.45">
      <c r="A1851" s="86">
        <f ca="1"/>
        <v>6</v>
      </c>
      <c r="B1851" s="86" t="str">
        <f ca="1"/>
        <v>C166</v>
      </c>
      <c r="C1851" s="86" t="str">
        <f t="shared" ca="1" si="405"/>
        <v>RESWAN</v>
      </c>
      <c r="D1851" s="86" t="str">
        <f t="shared" ca="1" si="406"/>
        <v>DAHF</v>
      </c>
      <c r="E1851" s="86">
        <f t="shared" ca="1" si="407"/>
        <v>7</v>
      </c>
    </row>
    <row r="1852" spans="1:8" ht="14.25" x14ac:dyDescent="0.45">
      <c r="A1852" s="86">
        <f ca="1"/>
        <v>7</v>
      </c>
      <c r="B1852" s="86" t="str">
        <f ca="1"/>
        <v>C106</v>
      </c>
      <c r="C1852" s="86" t="str">
        <f t="shared" ca="1" si="405"/>
        <v>ABDUL RAHMAN ANFHAL M I</v>
      </c>
      <c r="D1852" s="86" t="str">
        <f t="shared" ca="1" si="406"/>
        <v>BADF</v>
      </c>
      <c r="E1852" s="86">
        <f t="shared" ca="1" si="407"/>
        <v>5</v>
      </c>
    </row>
    <row r="1853" spans="1:8" ht="14.25" x14ac:dyDescent="0.45">
      <c r="A1853" s="86">
        <f ca="1"/>
        <v>8</v>
      </c>
      <c r="B1853" s="86" t="str">
        <f ca="1"/>
        <v>C159</v>
      </c>
      <c r="C1853" s="86" t="str">
        <f t="shared" ca="1" si="405"/>
        <v>MUHAMMED KAIF BS</v>
      </c>
      <c r="D1853" s="86" t="str">
        <f t="shared" ca="1" si="406"/>
        <v>BADF</v>
      </c>
      <c r="E1853" s="86">
        <f t="shared" ca="1" si="407"/>
        <v>6</v>
      </c>
    </row>
    <row r="1854" spans="1:8" ht="14.25" x14ac:dyDescent="0.45">
      <c r="A1854" s="86">
        <f ca="1"/>
        <v>9</v>
      </c>
      <c r="B1854" s="86" t="str">
        <f ca="1"/>
        <v>C171</v>
      </c>
      <c r="C1854" s="86" t="str">
        <f t="shared" ca="1" si="405"/>
        <v>MUHAMMED THASLEEM</v>
      </c>
      <c r="D1854" s="86" t="str">
        <f t="shared" ca="1" si="406"/>
        <v>BADF</v>
      </c>
      <c r="E1854" s="86">
        <f t="shared" ca="1" si="407"/>
        <v>7</v>
      </c>
    </row>
    <row r="1855" spans="1:8" ht="14.25" x14ac:dyDescent="0.45">
      <c r="A1855" s="86">
        <f ca="1"/>
        <v>10</v>
      </c>
      <c r="B1855" s="86" t="str">
        <f ca="1"/>
        <v>C111</v>
      </c>
      <c r="C1855" s="86" t="str">
        <f t="shared" ca="1" si="405"/>
        <v>MUHAMMAD ISMAIL HAMDULLA V K</v>
      </c>
      <c r="D1855" s="86" t="str">
        <f t="shared" ca="1" si="406"/>
        <v>JARF</v>
      </c>
      <c r="E1855" s="86">
        <f t="shared" ca="1" si="407"/>
        <v>5</v>
      </c>
    </row>
    <row r="1856" spans="1:8" ht="14.25" x14ac:dyDescent="0.45">
      <c r="A1856" s="86">
        <f ca="1"/>
        <v>11</v>
      </c>
      <c r="B1856" s="86" t="str">
        <f ca="1"/>
        <v>C147</v>
      </c>
      <c r="C1856" s="86" t="str">
        <f t="shared" ca="1" si="405"/>
        <v>AHAMED ZAKI FOUZAN T.Z</v>
      </c>
      <c r="D1856" s="86" t="str">
        <f t="shared" ca="1" si="406"/>
        <v>JARF</v>
      </c>
      <c r="E1856" s="86">
        <f t="shared" ca="1" si="407"/>
        <v>6</v>
      </c>
    </row>
    <row r="1857" spans="1:8" ht="14.25" x14ac:dyDescent="0.45">
      <c r="A1857" s="86">
        <f ca="1"/>
        <v>12</v>
      </c>
      <c r="B1857" s="86" t="str">
        <f ca="1"/>
        <v>C167</v>
      </c>
      <c r="C1857" s="86" t="str">
        <f t="shared" ca="1" si="405"/>
        <v>MUHAMMED MUJTHABA MK</v>
      </c>
      <c r="D1857" s="86" t="str">
        <f t="shared" ca="1" si="406"/>
        <v>JARF</v>
      </c>
      <c r="E1857" s="86">
        <f t="shared" ca="1" si="407"/>
        <v>7</v>
      </c>
    </row>
    <row r="1858" spans="1:8" ht="14.25" x14ac:dyDescent="0.45">
      <c r="A1858" s="84" t="s">
        <v>332</v>
      </c>
      <c r="B1858" s="84" t="str">
        <f>VLOOKUP("SN48",f_detailsof_programs,2,FALSE)</f>
        <v>WORD FIGHT URD</v>
      </c>
      <c r="C1858" s="84"/>
      <c r="D1858" s="84" t="s">
        <v>688</v>
      </c>
      <c r="E1858" s="84" t="s">
        <v>485</v>
      </c>
      <c r="F1858" s="84"/>
      <c r="G1858" s="84"/>
      <c r="H1858" s="84"/>
    </row>
    <row r="1859" spans="1:8" ht="14.25" x14ac:dyDescent="0.45">
      <c r="A1859" s="85" t="s">
        <v>16</v>
      </c>
      <c r="B1859" s="85" t="s">
        <v>480</v>
      </c>
      <c r="C1859" s="85" t="s">
        <v>18</v>
      </c>
      <c r="D1859" s="85" t="s">
        <v>481</v>
      </c>
      <c r="E1859" s="85" t="s">
        <v>19</v>
      </c>
      <c r="F1859" s="85" t="s">
        <v>482</v>
      </c>
      <c r="G1859" s="85" t="s">
        <v>483</v>
      </c>
      <c r="H1859" s="85" t="s">
        <v>484</v>
      </c>
    </row>
    <row r="1860" spans="1:8" ht="14.25" x14ac:dyDescent="0.45">
      <c r="A1860" s="86" cm="1">
        <f t="array" aca="1" ref="A1860:A1871" ca="1">_xlfn.SEQUENCE(COUNTA(_xlfn.LET(_xlpm.trimmed,OFFSET(f_listof_program_candidates,MATCH("SN48",f_listof_program_codes,0)-1,6,1,),TRANSPOSE(_xlfn._xlws.FILTER(OFFSET(_xlpm.trimmed,0,0,,COUNTA(_xlpm.trimmed)-5),OFFSET(_xlpm.trimmed,0,0,,COUNTA(_xlpm.trimmed)-5)&lt;&gt;0)))))</f>
        <v>1</v>
      </c>
      <c r="B1860" s="86" t="str" cm="1">
        <f t="array" aca="1" ref="B1860:B1871" ca="1">_xlfn.LET(_xlpm.trimmed,OFFSET(f_listof_program_candidates,MATCH("SN48",f_listof_program_codes,0)-1,6,1,),TRANSPOSE(_xlfn._xlws.FILTER(OFFSET(_xlpm.trimmed,0,0,,COUNTA(_xlpm.trimmed)-5),OFFSET(_xlpm.trimmed,0,0,,COUNTA(_xlpm.trimmed)-5)&lt;&gt;0)))</f>
        <v>C125</v>
      </c>
      <c r="C1860" s="86" t="str">
        <f t="shared" ref="C1860:C1871" ca="1" si="408">VLOOKUP(B1860,f_detailsof_candidates,2,FALSE)</f>
        <v>AHAMMED MINHAJ E M</v>
      </c>
      <c r="D1860" s="86" t="str">
        <f t="shared" ref="D1860:D1871" ca="1" si="409">VLOOKUP(B1860,f_detailsof_candidates,3,FALSE)</f>
        <v>FANT</v>
      </c>
      <c r="E1860" s="86">
        <f t="shared" ref="E1860:E1871" ca="1" si="410">VLOOKUP(B1860,f_detailsof_candidates,5,FALSE)</f>
        <v>5</v>
      </c>
    </row>
    <row r="1861" spans="1:8" ht="14.25" x14ac:dyDescent="0.45">
      <c r="A1861" s="86">
        <f ca="1"/>
        <v>2</v>
      </c>
      <c r="B1861" s="86" t="str">
        <f ca="1"/>
        <v>C138</v>
      </c>
      <c r="C1861" s="86" t="str">
        <f t="shared" ca="1" si="408"/>
        <v>MOHAMMED MOINUDDEEN CHISTY</v>
      </c>
      <c r="D1861" s="86" t="str">
        <f t="shared" ca="1" si="409"/>
        <v>FANT</v>
      </c>
      <c r="E1861" s="86">
        <f t="shared" ca="1" si="410"/>
        <v>6</v>
      </c>
    </row>
    <row r="1862" spans="1:8" ht="14.25" x14ac:dyDescent="0.45">
      <c r="A1862" s="86">
        <f ca="1"/>
        <v>3</v>
      </c>
      <c r="B1862" s="86" t="str">
        <f ca="1"/>
        <v>C134</v>
      </c>
      <c r="C1862" s="86" t="str">
        <f t="shared" ca="1" si="408"/>
        <v>MUHAMMED ABDUL NASIF P.A</v>
      </c>
      <c r="D1862" s="86" t="str">
        <f t="shared" ca="1" si="409"/>
        <v>FANT</v>
      </c>
      <c r="E1862" s="86">
        <f t="shared" ca="1" si="410"/>
        <v>6</v>
      </c>
    </row>
    <row r="1863" spans="1:8" ht="14.25" x14ac:dyDescent="0.45">
      <c r="A1863" s="86">
        <f ca="1"/>
        <v>4</v>
      </c>
      <c r="B1863" s="86" t="str">
        <f ca="1"/>
        <v>C130</v>
      </c>
      <c r="C1863" s="86" t="str">
        <f t="shared" ca="1" si="408"/>
        <v>MOHAMMED HISHAM</v>
      </c>
      <c r="D1863" s="86" t="str">
        <f t="shared" ca="1" si="409"/>
        <v>DAHF</v>
      </c>
      <c r="E1863" s="86">
        <f t="shared" ca="1" si="410"/>
        <v>5</v>
      </c>
    </row>
    <row r="1864" spans="1:8" ht="14.25" x14ac:dyDescent="0.45">
      <c r="A1864" s="86">
        <f ca="1"/>
        <v>5</v>
      </c>
      <c r="B1864" s="86" t="str">
        <f ca="1"/>
        <v>C158</v>
      </c>
      <c r="C1864" s="86" t="str">
        <f t="shared" ca="1" si="408"/>
        <v>ABDUL FATHAH AHAMMED C</v>
      </c>
      <c r="D1864" s="86" t="str">
        <f t="shared" ca="1" si="409"/>
        <v>DAHF</v>
      </c>
      <c r="E1864" s="86">
        <f t="shared" ca="1" si="410"/>
        <v>6</v>
      </c>
    </row>
    <row r="1865" spans="1:8" ht="14.25" x14ac:dyDescent="0.45">
      <c r="A1865" s="86">
        <f ca="1"/>
        <v>6</v>
      </c>
      <c r="B1865" s="86" t="str">
        <f ca="1"/>
        <v>C177</v>
      </c>
      <c r="C1865" s="86" t="str">
        <f t="shared" ca="1" si="408"/>
        <v>MOHAMMED HUSSAIN</v>
      </c>
      <c r="D1865" s="86" t="str">
        <f t="shared" ca="1" si="409"/>
        <v>DAHF</v>
      </c>
      <c r="E1865" s="86">
        <f t="shared" ca="1" si="410"/>
        <v>7</v>
      </c>
    </row>
    <row r="1866" spans="1:8" ht="14.25" x14ac:dyDescent="0.45">
      <c r="A1866" s="86">
        <f ca="1"/>
        <v>7</v>
      </c>
      <c r="B1866" s="86" t="str">
        <f ca="1"/>
        <v>C148</v>
      </c>
      <c r="C1866" s="86" t="str">
        <f t="shared" ca="1" si="408"/>
        <v>MUHAMMED SHABEEB</v>
      </c>
      <c r="D1866" s="86" t="str">
        <f t="shared" ca="1" si="409"/>
        <v>BADF</v>
      </c>
      <c r="E1866" s="86">
        <f t="shared" ca="1" si="410"/>
        <v>6</v>
      </c>
    </row>
    <row r="1867" spans="1:8" ht="14.25" x14ac:dyDescent="0.45">
      <c r="A1867" s="86">
        <f ca="1"/>
        <v>8</v>
      </c>
      <c r="B1867" s="86" t="str">
        <f ca="1"/>
        <v>C169</v>
      </c>
      <c r="C1867" s="86" t="str">
        <f t="shared" ca="1" si="408"/>
        <v>MOHAMMED THAJUDDEEN A R P</v>
      </c>
      <c r="D1867" s="86" t="str">
        <f t="shared" ca="1" si="409"/>
        <v>BADF</v>
      </c>
      <c r="E1867" s="86">
        <f t="shared" ca="1" si="410"/>
        <v>7</v>
      </c>
    </row>
    <row r="1868" spans="1:8" ht="14.25" x14ac:dyDescent="0.45">
      <c r="A1868" s="86">
        <f ca="1"/>
        <v>9</v>
      </c>
      <c r="B1868" s="86" t="str">
        <f ca="1"/>
        <v>C174</v>
      </c>
      <c r="C1868" s="86" t="str">
        <f t="shared" ca="1" si="408"/>
        <v>MUHAMMAD MUSTHAFA K.M</v>
      </c>
      <c r="D1868" s="86" t="str">
        <f t="shared" ca="1" si="409"/>
        <v>BADF</v>
      </c>
      <c r="E1868" s="86">
        <f t="shared" ca="1" si="410"/>
        <v>7</v>
      </c>
    </row>
    <row r="1869" spans="1:8" ht="14.25" x14ac:dyDescent="0.45">
      <c r="A1869" s="86">
        <f ca="1"/>
        <v>10</v>
      </c>
      <c r="B1869" s="86" t="str">
        <f ca="1"/>
        <v>C116</v>
      </c>
      <c r="C1869" s="86" t="str">
        <f t="shared" ca="1" si="408"/>
        <v>MUAHMMED ANAS P A</v>
      </c>
      <c r="D1869" s="86" t="str">
        <f t="shared" ca="1" si="409"/>
        <v>JARF</v>
      </c>
      <c r="E1869" s="86">
        <f t="shared" ca="1" si="410"/>
        <v>5</v>
      </c>
    </row>
    <row r="1870" spans="1:8" ht="14.25" x14ac:dyDescent="0.45">
      <c r="A1870" s="86">
        <f ca="1"/>
        <v>11</v>
      </c>
      <c r="B1870" s="86" t="str">
        <f ca="1"/>
        <v>C126</v>
      </c>
      <c r="C1870" s="86" t="str">
        <f t="shared" ca="1" si="408"/>
        <v>ADNAN ABDULLAH B A</v>
      </c>
      <c r="D1870" s="86" t="str">
        <f t="shared" ca="1" si="409"/>
        <v>JARF</v>
      </c>
      <c r="E1870" s="86">
        <f t="shared" ca="1" si="410"/>
        <v>5</v>
      </c>
    </row>
    <row r="1871" spans="1:8" ht="14.25" x14ac:dyDescent="0.45">
      <c r="A1871" s="86">
        <f ca="1"/>
        <v>12</v>
      </c>
      <c r="B1871" s="86" t="str">
        <f ca="1"/>
        <v>C165</v>
      </c>
      <c r="C1871" s="86" t="str">
        <f t="shared" ca="1" si="408"/>
        <v>MUHAMMAD IBN AHMAD</v>
      </c>
      <c r="D1871" s="86" t="str">
        <f t="shared" ca="1" si="409"/>
        <v>JARF</v>
      </c>
      <c r="E1871" s="86">
        <f t="shared" ca="1" si="410"/>
        <v>7</v>
      </c>
    </row>
    <row r="1872" spans="1:8" ht="14.25" x14ac:dyDescent="0.45">
      <c r="A1872" s="84" t="s">
        <v>334</v>
      </c>
      <c r="B1872" s="84" t="str">
        <f>VLOOKUP("SN49",f_detailsof_programs,2,FALSE)</f>
        <v>FACE TO FACE ENG</v>
      </c>
      <c r="C1872" s="84"/>
      <c r="D1872" s="84" t="s">
        <v>688</v>
      </c>
      <c r="E1872" s="84" t="s">
        <v>486</v>
      </c>
      <c r="F1872" s="84"/>
      <c r="G1872" s="84"/>
      <c r="H1872" s="84"/>
    </row>
    <row r="1873" spans="1:8" ht="14.25" x14ac:dyDescent="0.45">
      <c r="A1873" s="85" t="s">
        <v>16</v>
      </c>
      <c r="B1873" s="85" t="s">
        <v>480</v>
      </c>
      <c r="C1873" s="85" t="s">
        <v>18</v>
      </c>
      <c r="D1873" s="85" t="s">
        <v>481</v>
      </c>
      <c r="E1873" s="85" t="s">
        <v>19</v>
      </c>
      <c r="F1873" s="85" t="s">
        <v>482</v>
      </c>
      <c r="G1873" s="85" t="s">
        <v>483</v>
      </c>
      <c r="H1873" s="85" t="s">
        <v>484</v>
      </c>
    </row>
    <row r="1874" spans="1:8" ht="14.25" x14ac:dyDescent="0.45">
      <c r="A1874" s="86" cm="1">
        <f t="array" aca="1" ref="A1874:A1881" ca="1">_xlfn.SEQUENCE(COUNTA(_xlfn.LET(_xlpm.trimmed,OFFSET(f_listof_program_candidates,MATCH("SN49",f_listof_program_codes,0)-1,6,1,),TRANSPOSE(_xlfn._xlws.FILTER(OFFSET(_xlpm.trimmed,0,0,,COUNTA(_xlpm.trimmed)-5),OFFSET(_xlpm.trimmed,0,0,,COUNTA(_xlpm.trimmed)-5)&lt;&gt;0)))))</f>
        <v>1</v>
      </c>
      <c r="B1874" s="86" t="str" cm="1">
        <f t="array" aca="1" ref="B1874:B1881" ca="1">_xlfn.LET(_xlpm.trimmed,OFFSET(f_listof_program_candidates,MATCH("SN49",f_listof_program_codes,0)-1,6,1,),TRANSPOSE(_xlfn._xlws.FILTER(OFFSET(_xlpm.trimmed,0,0,,COUNTA(_xlpm.trimmed)-5),OFFSET(_xlpm.trimmed,0,0,,COUNTA(_xlpm.trimmed)-5)&lt;&gt;0)))</f>
        <v>C155</v>
      </c>
      <c r="C1874" s="86" t="str">
        <f t="shared" ref="C1874:C1881" ca="1" si="411">VLOOKUP(B1874,f_detailsof_candidates,2,FALSE)</f>
        <v>HASSAN ZARKASH</v>
      </c>
      <c r="D1874" s="86" t="str">
        <f t="shared" ref="D1874:D1881" ca="1" si="412">VLOOKUP(B1874,f_detailsof_candidates,3,FALSE)</f>
        <v>FANT</v>
      </c>
      <c r="E1874" s="86">
        <f t="shared" ref="E1874:E1881" ca="1" si="413">VLOOKUP(B1874,f_detailsof_candidates,5,FALSE)</f>
        <v>6</v>
      </c>
    </row>
    <row r="1875" spans="1:8" ht="14.25" x14ac:dyDescent="0.45">
      <c r="A1875" s="86">
        <f ca="1"/>
        <v>2</v>
      </c>
      <c r="B1875" s="86" t="str">
        <f ca="1"/>
        <v>C168</v>
      </c>
      <c r="C1875" s="86" t="str">
        <f t="shared" ca="1" si="411"/>
        <v>MUHAMMED SHAHAN P.S</v>
      </c>
      <c r="D1875" s="86" t="str">
        <f t="shared" ca="1" si="412"/>
        <v>FANT</v>
      </c>
      <c r="E1875" s="86">
        <f t="shared" ca="1" si="413"/>
        <v>7</v>
      </c>
    </row>
    <row r="1876" spans="1:8" ht="14.25" x14ac:dyDescent="0.45">
      <c r="A1876" s="86">
        <f ca="1"/>
        <v>3</v>
      </c>
      <c r="B1876" s="86" t="str">
        <f ca="1"/>
        <v>C102</v>
      </c>
      <c r="C1876" s="86" t="str">
        <f t="shared" ca="1" si="411"/>
        <v>AHAMMED MAHSHOOK M.B</v>
      </c>
      <c r="D1876" s="86" t="str">
        <f t="shared" ca="1" si="412"/>
        <v>DAHF</v>
      </c>
      <c r="E1876" s="86">
        <f t="shared" ca="1" si="413"/>
        <v>5</v>
      </c>
    </row>
    <row r="1877" spans="1:8" ht="14.25" x14ac:dyDescent="0.45">
      <c r="A1877" s="86">
        <f ca="1"/>
        <v>4</v>
      </c>
      <c r="B1877" s="86" t="str">
        <f ca="1"/>
        <v>C107</v>
      </c>
      <c r="C1877" s="86" t="str">
        <f t="shared" ca="1" si="411"/>
        <v>ADIL ABDULLA A</v>
      </c>
      <c r="D1877" s="86" t="str">
        <f t="shared" ca="1" si="412"/>
        <v>DAHF</v>
      </c>
      <c r="E1877" s="86">
        <f t="shared" ca="1" si="413"/>
        <v>5</v>
      </c>
    </row>
    <row r="1878" spans="1:8" ht="14.25" x14ac:dyDescent="0.45">
      <c r="A1878" s="86">
        <f ca="1"/>
        <v>5</v>
      </c>
      <c r="B1878" s="86" t="str">
        <f ca="1"/>
        <v>C145</v>
      </c>
      <c r="C1878" s="86" t="str">
        <f t="shared" ca="1" si="411"/>
        <v>SHAMEEL AHAMMED P</v>
      </c>
      <c r="D1878" s="86" t="str">
        <f t="shared" ca="1" si="412"/>
        <v>BADF</v>
      </c>
      <c r="E1878" s="86">
        <f t="shared" ca="1" si="413"/>
        <v>6</v>
      </c>
    </row>
    <row r="1879" spans="1:8" ht="14.25" x14ac:dyDescent="0.45">
      <c r="A1879" s="86">
        <f ca="1"/>
        <v>6</v>
      </c>
      <c r="B1879" s="86" t="str">
        <f ca="1"/>
        <v>C170</v>
      </c>
      <c r="C1879" s="86" t="str">
        <f t="shared" ca="1" si="411"/>
        <v>RUMAIZALI R IBRAHIM</v>
      </c>
      <c r="D1879" s="86" t="str">
        <f t="shared" ca="1" si="412"/>
        <v>BADF</v>
      </c>
      <c r="E1879" s="86">
        <f t="shared" ca="1" si="413"/>
        <v>7</v>
      </c>
    </row>
    <row r="1880" spans="1:8" ht="14.25" x14ac:dyDescent="0.45">
      <c r="A1880" s="86">
        <f ca="1"/>
        <v>7</v>
      </c>
      <c r="B1880" s="86" t="str">
        <f ca="1"/>
        <v>C105</v>
      </c>
      <c r="C1880" s="86" t="str">
        <f t="shared" ca="1" si="411"/>
        <v>AHMAD MANAL KUDINGILA</v>
      </c>
      <c r="D1880" s="86" t="str">
        <f t="shared" ca="1" si="412"/>
        <v>JARF</v>
      </c>
      <c r="E1880" s="86">
        <f t="shared" ca="1" si="413"/>
        <v>5</v>
      </c>
    </row>
    <row r="1881" spans="1:8" ht="14.25" x14ac:dyDescent="0.45">
      <c r="A1881" s="86">
        <f ca="1"/>
        <v>8</v>
      </c>
      <c r="B1881" s="86" t="str">
        <f ca="1"/>
        <v>C121</v>
      </c>
      <c r="C1881" s="86" t="str">
        <f t="shared" ca="1" si="411"/>
        <v>ABDUL SALAM ARIF</v>
      </c>
      <c r="D1881" s="86" t="str">
        <f t="shared" ca="1" si="412"/>
        <v>JARF</v>
      </c>
      <c r="E1881" s="86">
        <f t="shared" ca="1" si="413"/>
        <v>5</v>
      </c>
    </row>
    <row r="1882" spans="1:8" ht="14.25" x14ac:dyDescent="0.45">
      <c r="A1882" s="84" t="s">
        <v>336</v>
      </c>
      <c r="B1882" s="84" t="str">
        <f>VLOOKUP("SN50",f_detailsof_programs,2,FALSE)</f>
        <v>INSTANT MAGAZINE ENG</v>
      </c>
      <c r="C1882" s="84"/>
      <c r="D1882" s="84" t="s">
        <v>688</v>
      </c>
      <c r="E1882" s="84" t="s">
        <v>637</v>
      </c>
      <c r="F1882" s="84"/>
      <c r="G1882" s="84"/>
      <c r="H1882" s="84"/>
    </row>
    <row r="1883" spans="1:8" ht="14.25" x14ac:dyDescent="0.45">
      <c r="A1883" s="85" t="s">
        <v>16</v>
      </c>
      <c r="B1883" s="85" t="s">
        <v>480</v>
      </c>
      <c r="C1883" s="85" t="s">
        <v>18</v>
      </c>
      <c r="D1883" s="85" t="s">
        <v>481</v>
      </c>
      <c r="E1883" s="85" t="s">
        <v>19</v>
      </c>
      <c r="F1883" s="85" t="s">
        <v>482</v>
      </c>
      <c r="G1883" s="85" t="s">
        <v>483</v>
      </c>
      <c r="H1883" s="85" t="s">
        <v>484</v>
      </c>
    </row>
    <row r="1884" spans="1:8" ht="14.25" x14ac:dyDescent="0.45">
      <c r="A1884" s="86" cm="1">
        <f t="array" aca="1" ref="A1884:A1903" ca="1">_xlfn.SEQUENCE(COUNTA(_xlfn.LET(_xlpm.trimmed,OFFSET(f_listof_program_candidates,MATCH("SN50",f_listof_program_codes,0)-1,6,1,),TRANSPOSE(_xlfn._xlws.FILTER(OFFSET(_xlpm.trimmed,0,0,,COUNTA(_xlpm.trimmed)-5),OFFSET(_xlpm.trimmed,0,0,,COUNTA(_xlpm.trimmed)-5)&lt;&gt;0)))))</f>
        <v>1</v>
      </c>
      <c r="B1884" s="86" t="str" cm="1">
        <f t="array" aca="1" ref="B1884:B1903" ca="1">_xlfn.LET(_xlpm.trimmed,OFFSET(f_listof_program_candidates,MATCH("SN50",f_listof_program_codes,0)-1,6,1,),TRANSPOSE(_xlfn._xlws.FILTER(OFFSET(_xlpm.trimmed,0,0,,COUNTA(_xlpm.trimmed)-5),OFFSET(_xlpm.trimmed,0,0,,COUNTA(_xlpm.trimmed)-5)&lt;&gt;0)))</f>
        <v>C115</v>
      </c>
      <c r="C1884" s="86" t="str">
        <f t="shared" ref="C1884:C1903" ca="1" si="414">VLOOKUP(B1884,f_detailsof_candidates,2,FALSE)</f>
        <v>MOHAMMED ABDUL KHADER K</v>
      </c>
      <c r="D1884" s="86" t="str">
        <f t="shared" ref="D1884:D1903" ca="1" si="415">VLOOKUP(B1884,f_detailsof_candidates,3,FALSE)</f>
        <v>FANT</v>
      </c>
      <c r="E1884" s="86">
        <f t="shared" ref="E1884:E1903" ca="1" si="416">VLOOKUP(B1884,f_detailsof_candidates,5,FALSE)</f>
        <v>5</v>
      </c>
    </row>
    <row r="1885" spans="1:8" ht="14.25" x14ac:dyDescent="0.45">
      <c r="A1885" s="86">
        <f ca="1"/>
        <v>2</v>
      </c>
      <c r="B1885" s="86" t="str">
        <f ca="1"/>
        <v>C155</v>
      </c>
      <c r="C1885" s="86" t="str">
        <f t="shared" ca="1" si="414"/>
        <v>HASSAN ZARKASH</v>
      </c>
      <c r="D1885" s="86" t="str">
        <f t="shared" ca="1" si="415"/>
        <v>FANT</v>
      </c>
      <c r="E1885" s="86">
        <f t="shared" ca="1" si="416"/>
        <v>6</v>
      </c>
    </row>
    <row r="1886" spans="1:8" ht="14.25" x14ac:dyDescent="0.45">
      <c r="A1886" s="86">
        <f ca="1"/>
        <v>3</v>
      </c>
      <c r="B1886" s="86" t="str">
        <f ca="1"/>
        <v>C164</v>
      </c>
      <c r="C1886" s="86" t="str">
        <f t="shared" ca="1" si="414"/>
        <v>AHMED FAHEEM MA</v>
      </c>
      <c r="D1886" s="86" t="str">
        <f t="shared" ca="1" si="415"/>
        <v>FANT</v>
      </c>
      <c r="E1886" s="86">
        <f t="shared" ca="1" si="416"/>
        <v>7</v>
      </c>
    </row>
    <row r="1887" spans="1:8" ht="14.25" x14ac:dyDescent="0.45">
      <c r="A1887" s="86">
        <f ca="1"/>
        <v>4</v>
      </c>
      <c r="B1887" s="86" t="str">
        <f ca="1"/>
        <v>C168</v>
      </c>
      <c r="C1887" s="86" t="str">
        <f t="shared" ca="1" si="414"/>
        <v>MUHAMMED SHAHAN P.S</v>
      </c>
      <c r="D1887" s="86" t="str">
        <f t="shared" ca="1" si="415"/>
        <v>FANT</v>
      </c>
      <c r="E1887" s="86">
        <f t="shared" ca="1" si="416"/>
        <v>7</v>
      </c>
    </row>
    <row r="1888" spans="1:8" ht="14.25" x14ac:dyDescent="0.45">
      <c r="A1888" s="86">
        <f ca="1"/>
        <v>5</v>
      </c>
      <c r="B1888" s="86" t="str">
        <f ca="1"/>
        <v>C176</v>
      </c>
      <c r="C1888" s="86" t="str">
        <f t="shared" ca="1" si="414"/>
        <v>MUHAMMED T A</v>
      </c>
      <c r="D1888" s="86" t="str">
        <f t="shared" ca="1" si="415"/>
        <v>FANT</v>
      </c>
      <c r="E1888" s="86">
        <f t="shared" ca="1" si="416"/>
        <v>7</v>
      </c>
    </row>
    <row r="1889" spans="1:8" ht="14.25" x14ac:dyDescent="0.45">
      <c r="A1889" s="86">
        <f ca="1"/>
        <v>6</v>
      </c>
      <c r="B1889" s="86" t="str">
        <f ca="1"/>
        <v>C107</v>
      </c>
      <c r="C1889" s="86" t="str">
        <f t="shared" ca="1" si="414"/>
        <v>ADIL ABDULLA A</v>
      </c>
      <c r="D1889" s="86" t="str">
        <f t="shared" ca="1" si="415"/>
        <v>DAHF</v>
      </c>
      <c r="E1889" s="86">
        <f t="shared" ca="1" si="416"/>
        <v>5</v>
      </c>
    </row>
    <row r="1890" spans="1:8" ht="14.25" x14ac:dyDescent="0.45">
      <c r="A1890" s="86">
        <f ca="1"/>
        <v>7</v>
      </c>
      <c r="B1890" s="86" t="str">
        <f ca="1"/>
        <v>C133</v>
      </c>
      <c r="C1890" s="86" t="str">
        <f t="shared" ca="1" si="414"/>
        <v>SALMANUL FARIS</v>
      </c>
      <c r="D1890" s="86" t="str">
        <f t="shared" ca="1" si="415"/>
        <v>DAHF</v>
      </c>
      <c r="E1890" s="86">
        <f t="shared" ca="1" si="416"/>
        <v>6</v>
      </c>
    </row>
    <row r="1891" spans="1:8" ht="14.25" x14ac:dyDescent="0.45">
      <c r="A1891" s="86">
        <f ca="1"/>
        <v>8</v>
      </c>
      <c r="B1891" s="86" t="str">
        <f ca="1"/>
        <v>C136</v>
      </c>
      <c r="C1891" s="86" t="str">
        <f t="shared" ca="1" si="414"/>
        <v>MOHAMMED SHAKIR HUSSAIN K.Y</v>
      </c>
      <c r="D1891" s="86" t="str">
        <f t="shared" ca="1" si="415"/>
        <v>DAHF</v>
      </c>
      <c r="E1891" s="86">
        <f t="shared" ca="1" si="416"/>
        <v>6</v>
      </c>
    </row>
    <row r="1892" spans="1:8" ht="14.25" x14ac:dyDescent="0.45">
      <c r="A1892" s="86">
        <f ca="1"/>
        <v>9</v>
      </c>
      <c r="B1892" s="86" t="str">
        <f ca="1"/>
        <v>C154</v>
      </c>
      <c r="C1892" s="86" t="str">
        <f t="shared" ca="1" si="414"/>
        <v>MOHAMMED RAZEEN S.P</v>
      </c>
      <c r="D1892" s="86" t="str">
        <f t="shared" ca="1" si="415"/>
        <v>DAHF</v>
      </c>
      <c r="E1892" s="86">
        <f t="shared" ca="1" si="416"/>
        <v>6</v>
      </c>
    </row>
    <row r="1893" spans="1:8" ht="14.25" x14ac:dyDescent="0.45">
      <c r="A1893" s="86">
        <f ca="1"/>
        <v>10</v>
      </c>
      <c r="B1893" s="86" t="str">
        <f ca="1"/>
        <v>C172</v>
      </c>
      <c r="C1893" s="86" t="str">
        <f t="shared" ca="1" si="414"/>
        <v>AHAMED SHAMMAS C.M</v>
      </c>
      <c r="D1893" s="86" t="str">
        <f t="shared" ca="1" si="415"/>
        <v>DAHF</v>
      </c>
      <c r="E1893" s="86">
        <f t="shared" ca="1" si="416"/>
        <v>7</v>
      </c>
    </row>
    <row r="1894" spans="1:8" ht="14.25" x14ac:dyDescent="0.45">
      <c r="A1894" s="86">
        <f ca="1"/>
        <v>11</v>
      </c>
      <c r="B1894" s="86" t="str">
        <f ca="1"/>
        <v>C104</v>
      </c>
      <c r="C1894" s="86" t="str">
        <f t="shared" ca="1" si="414"/>
        <v>HADIL RIJAS</v>
      </c>
      <c r="D1894" s="86" t="str">
        <f t="shared" ca="1" si="415"/>
        <v>BADF</v>
      </c>
      <c r="E1894" s="86">
        <f t="shared" ca="1" si="416"/>
        <v>5</v>
      </c>
    </row>
    <row r="1895" spans="1:8" ht="14.25" x14ac:dyDescent="0.45">
      <c r="A1895" s="86">
        <f ca="1"/>
        <v>12</v>
      </c>
      <c r="B1895" s="86" t="str">
        <f ca="1"/>
        <v>C114</v>
      </c>
      <c r="C1895" s="86" t="str">
        <f t="shared" ca="1" si="414"/>
        <v>AJMAL RUWAIS</v>
      </c>
      <c r="D1895" s="86" t="str">
        <f t="shared" ca="1" si="415"/>
        <v>BADF</v>
      </c>
      <c r="E1895" s="86">
        <f t="shared" ca="1" si="416"/>
        <v>5</v>
      </c>
    </row>
    <row r="1896" spans="1:8" ht="14.25" x14ac:dyDescent="0.45">
      <c r="A1896" s="86">
        <f ca="1"/>
        <v>13</v>
      </c>
      <c r="B1896" s="86" t="str">
        <f ca="1"/>
        <v>C171</v>
      </c>
      <c r="C1896" s="86" t="str">
        <f t="shared" ca="1" si="414"/>
        <v>MUHAMMED THASLEEM</v>
      </c>
      <c r="D1896" s="86" t="str">
        <f t="shared" ca="1" si="415"/>
        <v>BADF</v>
      </c>
      <c r="E1896" s="86">
        <f t="shared" ca="1" si="416"/>
        <v>7</v>
      </c>
    </row>
    <row r="1897" spans="1:8" ht="14.25" x14ac:dyDescent="0.45">
      <c r="A1897" s="86">
        <f ca="1"/>
        <v>14</v>
      </c>
      <c r="B1897" s="86" t="str">
        <f ca="1"/>
        <v>C145</v>
      </c>
      <c r="C1897" s="86" t="str">
        <f t="shared" ca="1" si="414"/>
        <v>SHAMEEL AHAMMED P</v>
      </c>
      <c r="D1897" s="86" t="str">
        <f t="shared" ca="1" si="415"/>
        <v>BADF</v>
      </c>
      <c r="E1897" s="86">
        <f t="shared" ca="1" si="416"/>
        <v>6</v>
      </c>
    </row>
    <row r="1898" spans="1:8" ht="14.25" x14ac:dyDescent="0.45">
      <c r="A1898" s="86">
        <f ca="1"/>
        <v>15</v>
      </c>
      <c r="B1898" s="86" t="str">
        <f ca="1"/>
        <v>C170</v>
      </c>
      <c r="C1898" s="86" t="str">
        <f t="shared" ca="1" si="414"/>
        <v>RUMAIZALI R IBRAHIM</v>
      </c>
      <c r="D1898" s="86" t="str">
        <f t="shared" ca="1" si="415"/>
        <v>BADF</v>
      </c>
      <c r="E1898" s="86">
        <f t="shared" ca="1" si="416"/>
        <v>7</v>
      </c>
    </row>
    <row r="1899" spans="1:8" ht="14.25" x14ac:dyDescent="0.45">
      <c r="A1899" s="86">
        <f ca="1"/>
        <v>16</v>
      </c>
      <c r="B1899" s="86" t="str">
        <f ca="1"/>
        <v>C111</v>
      </c>
      <c r="C1899" s="86" t="str">
        <f t="shared" ca="1" si="414"/>
        <v>MUHAMMAD ISMAIL HAMDULLA V K</v>
      </c>
      <c r="D1899" s="86" t="str">
        <f t="shared" ca="1" si="415"/>
        <v>JARF</v>
      </c>
      <c r="E1899" s="86">
        <f t="shared" ca="1" si="416"/>
        <v>5</v>
      </c>
    </row>
    <row r="1900" spans="1:8" ht="14.25" x14ac:dyDescent="0.45">
      <c r="A1900" s="86">
        <f ca="1"/>
        <v>17</v>
      </c>
      <c r="B1900" s="86" t="str">
        <f ca="1"/>
        <v>C135</v>
      </c>
      <c r="C1900" s="86" t="str">
        <f t="shared" ca="1" si="414"/>
        <v>AHAMAD SHABAB P A</v>
      </c>
      <c r="D1900" s="86" t="str">
        <f t="shared" ca="1" si="415"/>
        <v>JARF</v>
      </c>
      <c r="E1900" s="86">
        <f t="shared" ca="1" si="416"/>
        <v>6</v>
      </c>
    </row>
    <row r="1901" spans="1:8" ht="14.25" x14ac:dyDescent="0.45">
      <c r="A1901" s="86">
        <f ca="1"/>
        <v>18</v>
      </c>
      <c r="B1901" s="86" t="str">
        <f ca="1"/>
        <v>C140</v>
      </c>
      <c r="C1901" s="86" t="str">
        <f t="shared" ca="1" si="414"/>
        <v>IJAS EBRAHIM</v>
      </c>
      <c r="D1901" s="86" t="str">
        <f t="shared" ca="1" si="415"/>
        <v>JARF</v>
      </c>
      <c r="E1901" s="86">
        <f t="shared" ca="1" si="416"/>
        <v>6</v>
      </c>
    </row>
    <row r="1902" spans="1:8" ht="14.25" x14ac:dyDescent="0.45">
      <c r="A1902" s="86">
        <f ca="1"/>
        <v>19</v>
      </c>
      <c r="B1902" s="86" t="str">
        <f ca="1"/>
        <v>C165</v>
      </c>
      <c r="C1902" s="86" t="str">
        <f t="shared" ca="1" si="414"/>
        <v>MUHAMMAD IBN AHMAD</v>
      </c>
      <c r="D1902" s="86" t="str">
        <f t="shared" ca="1" si="415"/>
        <v>JARF</v>
      </c>
      <c r="E1902" s="86">
        <f t="shared" ca="1" si="416"/>
        <v>7</v>
      </c>
    </row>
    <row r="1903" spans="1:8" ht="14.25" x14ac:dyDescent="0.45">
      <c r="A1903" s="86">
        <f ca="1"/>
        <v>20</v>
      </c>
      <c r="B1903" s="86" t="str">
        <f ca="1"/>
        <v>C167</v>
      </c>
      <c r="C1903" s="86" t="str">
        <f t="shared" ca="1" si="414"/>
        <v>MUHAMMED MUJTHABA MK</v>
      </c>
      <c r="D1903" s="86" t="str">
        <f t="shared" ca="1" si="415"/>
        <v>JARF</v>
      </c>
      <c r="E1903" s="86">
        <f t="shared" ca="1" si="416"/>
        <v>7</v>
      </c>
    </row>
    <row r="1904" spans="1:8" ht="14.25" x14ac:dyDescent="0.45">
      <c r="A1904" s="84" t="s">
        <v>338</v>
      </c>
      <c r="B1904" s="84" t="str">
        <f>VLOOKUP("SN51",f_detailsof_programs,2,FALSE)</f>
        <v>MALA COMPOSITION</v>
      </c>
      <c r="C1904" s="84"/>
      <c r="D1904" s="84" t="s">
        <v>688</v>
      </c>
      <c r="E1904" s="84" t="s">
        <v>486</v>
      </c>
      <c r="F1904" s="84"/>
      <c r="G1904" s="84"/>
      <c r="H1904" s="84"/>
    </row>
    <row r="1905" spans="1:8" ht="14.25" x14ac:dyDescent="0.45">
      <c r="A1905" s="85" t="s">
        <v>16</v>
      </c>
      <c r="B1905" s="85" t="s">
        <v>480</v>
      </c>
      <c r="C1905" s="85" t="s">
        <v>18</v>
      </c>
      <c r="D1905" s="85" t="s">
        <v>481</v>
      </c>
      <c r="E1905" s="85" t="s">
        <v>19</v>
      </c>
      <c r="F1905" s="85" t="s">
        <v>482</v>
      </c>
      <c r="G1905" s="85" t="s">
        <v>483</v>
      </c>
      <c r="H1905" s="85" t="s">
        <v>484</v>
      </c>
    </row>
    <row r="1906" spans="1:8" ht="14.25" x14ac:dyDescent="0.45">
      <c r="A1906" s="86" cm="1">
        <f t="array" aca="1" ref="A1906:A1913" ca="1">_xlfn.SEQUENCE(COUNTA(_xlfn.LET(_xlpm.trimmed,OFFSET(f_listof_program_candidates,MATCH("SN51",f_listof_program_codes,0)-1,6,1,),TRANSPOSE(_xlfn._xlws.FILTER(OFFSET(_xlpm.trimmed,0,0,,COUNTA(_xlpm.trimmed)-5),OFFSET(_xlpm.trimmed,0,0,,COUNTA(_xlpm.trimmed)-5)&lt;&gt;0)))))</f>
        <v>1</v>
      </c>
      <c r="B1906" s="86" t="str" cm="1">
        <f t="array" aca="1" ref="B1906:B1913" ca="1">_xlfn.LET(_xlpm.trimmed,OFFSET(f_listof_program_candidates,MATCH("SN51",f_listof_program_codes,0)-1,6,1,),TRANSPOSE(_xlfn._xlws.FILTER(OFFSET(_xlpm.trimmed,0,0,,COUNTA(_xlpm.trimmed)-5),OFFSET(_xlpm.trimmed,0,0,,COUNTA(_xlpm.trimmed)-5)&lt;&gt;0)))</f>
        <v>C162</v>
      </c>
      <c r="C1906" s="86" t="str">
        <f t="shared" ref="C1906:C1913" ca="1" si="417">VLOOKUP(B1906,f_detailsof_candidates,2,FALSE)</f>
        <v>MUHAMMAD K.A</v>
      </c>
      <c r="D1906" s="86" t="str">
        <f t="shared" ref="D1906:D1913" ca="1" si="418">VLOOKUP(B1906,f_detailsof_candidates,3,FALSE)</f>
        <v>FANT</v>
      </c>
      <c r="E1906" s="86">
        <f t="shared" ref="E1906:E1913" ca="1" si="419">VLOOKUP(B1906,f_detailsof_candidates,5,FALSE)</f>
        <v>7</v>
      </c>
    </row>
    <row r="1907" spans="1:8" ht="14.25" x14ac:dyDescent="0.45">
      <c r="A1907" s="86">
        <f ca="1"/>
        <v>2</v>
      </c>
      <c r="B1907" s="86" t="str">
        <f ca="1"/>
        <v>C101</v>
      </c>
      <c r="C1907" s="86" t="str">
        <f t="shared" ca="1" si="417"/>
        <v>MUHAMMED KASHIF</v>
      </c>
      <c r="D1907" s="86" t="str">
        <f t="shared" ca="1" si="418"/>
        <v>FANT</v>
      </c>
      <c r="E1907" s="86">
        <f t="shared" ca="1" si="419"/>
        <v>5</v>
      </c>
    </row>
    <row r="1908" spans="1:8" ht="14.25" x14ac:dyDescent="0.45">
      <c r="A1908" s="86">
        <f ca="1"/>
        <v>3</v>
      </c>
      <c r="B1908" s="86" t="str">
        <f ca="1"/>
        <v>C166</v>
      </c>
      <c r="C1908" s="86" t="str">
        <f t="shared" ca="1" si="417"/>
        <v>RESWAN</v>
      </c>
      <c r="D1908" s="86" t="str">
        <f t="shared" ca="1" si="418"/>
        <v>DAHF</v>
      </c>
      <c r="E1908" s="86">
        <f t="shared" ca="1" si="419"/>
        <v>7</v>
      </c>
    </row>
    <row r="1909" spans="1:8" ht="14.25" x14ac:dyDescent="0.45">
      <c r="A1909" s="86">
        <f ca="1"/>
        <v>4</v>
      </c>
      <c r="B1909" s="86" t="str">
        <f ca="1"/>
        <v>C150</v>
      </c>
      <c r="C1909" s="86" t="str">
        <f t="shared" ca="1" si="417"/>
        <v>MUHAMMED PK</v>
      </c>
      <c r="D1909" s="86" t="str">
        <f t="shared" ca="1" si="418"/>
        <v>DAHF</v>
      </c>
      <c r="E1909" s="86">
        <f t="shared" ca="1" si="419"/>
        <v>6</v>
      </c>
    </row>
    <row r="1910" spans="1:8" ht="14.25" x14ac:dyDescent="0.45">
      <c r="A1910" s="86">
        <f ca="1"/>
        <v>5</v>
      </c>
      <c r="B1910" s="86" t="str">
        <f ca="1"/>
        <v>C109</v>
      </c>
      <c r="C1910" s="86" t="str">
        <f t="shared" ca="1" si="417"/>
        <v>ABDULLA FARHAN M</v>
      </c>
      <c r="D1910" s="86" t="str">
        <f t="shared" ca="1" si="418"/>
        <v>BADF</v>
      </c>
      <c r="E1910" s="86">
        <f t="shared" ca="1" si="419"/>
        <v>5</v>
      </c>
    </row>
    <row r="1911" spans="1:8" ht="14.25" x14ac:dyDescent="0.45">
      <c r="A1911" s="86">
        <f ca="1"/>
        <v>6</v>
      </c>
      <c r="B1911" s="86" t="str">
        <f ca="1"/>
        <v>C171</v>
      </c>
      <c r="C1911" s="86" t="str">
        <f t="shared" ca="1" si="417"/>
        <v>MUHAMMED THASLEEM</v>
      </c>
      <c r="D1911" s="86" t="str">
        <f t="shared" ca="1" si="418"/>
        <v>BADF</v>
      </c>
      <c r="E1911" s="86">
        <f t="shared" ca="1" si="419"/>
        <v>7</v>
      </c>
    </row>
    <row r="1912" spans="1:8" ht="14.25" x14ac:dyDescent="0.45">
      <c r="A1912" s="86">
        <f ca="1"/>
        <v>7</v>
      </c>
      <c r="B1912" s="86" t="str">
        <f ca="1"/>
        <v>C167</v>
      </c>
      <c r="C1912" s="86" t="str">
        <f t="shared" ca="1" si="417"/>
        <v>MUHAMMED MUJTHABA MK</v>
      </c>
      <c r="D1912" s="86" t="str">
        <f t="shared" ca="1" si="418"/>
        <v>JARF</v>
      </c>
      <c r="E1912" s="86">
        <f t="shared" ca="1" si="419"/>
        <v>7</v>
      </c>
    </row>
    <row r="1913" spans="1:8" ht="14.25" x14ac:dyDescent="0.45">
      <c r="A1913" s="86">
        <f ca="1"/>
        <v>8</v>
      </c>
      <c r="B1913" s="86" t="str">
        <f ca="1"/>
        <v>C165</v>
      </c>
      <c r="C1913" s="86" t="str">
        <f t="shared" ca="1" si="417"/>
        <v>MUHAMMAD IBN AHMAD</v>
      </c>
      <c r="D1913" s="86" t="str">
        <f t="shared" ca="1" si="418"/>
        <v>JARF</v>
      </c>
      <c r="E1913" s="86">
        <f t="shared" ca="1" si="419"/>
        <v>7</v>
      </c>
    </row>
    <row r="1914" spans="1:8" ht="14.25" x14ac:dyDescent="0.45">
      <c r="A1914" s="84" t="s">
        <v>340</v>
      </c>
      <c r="B1914" s="84" t="str">
        <f>VLOOKUP("SN52",f_detailsof_programs,2,FALSE)</f>
        <v>MASHUP</v>
      </c>
      <c r="C1914" s="84"/>
      <c r="D1914" s="84" t="s">
        <v>688</v>
      </c>
      <c r="E1914" s="84" t="s">
        <v>636</v>
      </c>
      <c r="F1914" s="84"/>
      <c r="G1914" s="84"/>
      <c r="H1914" s="84"/>
    </row>
    <row r="1915" spans="1:8" ht="14.25" x14ac:dyDescent="0.45">
      <c r="A1915" s="85" t="s">
        <v>16</v>
      </c>
      <c r="B1915" s="85" t="s">
        <v>480</v>
      </c>
      <c r="C1915" s="85" t="s">
        <v>18</v>
      </c>
      <c r="D1915" s="85" t="s">
        <v>481</v>
      </c>
      <c r="E1915" s="85" t="s">
        <v>19</v>
      </c>
      <c r="F1915" s="85" t="s">
        <v>482</v>
      </c>
      <c r="G1915" s="85" t="s">
        <v>483</v>
      </c>
      <c r="H1915" s="85" t="s">
        <v>484</v>
      </c>
    </row>
    <row r="1916" spans="1:8" ht="14.25" x14ac:dyDescent="0.45">
      <c r="A1916" s="86" cm="1">
        <f t="array" aca="1" ref="A1916:A1939" ca="1">_xlfn.SEQUENCE(COUNTA(_xlfn.LET(_xlpm.trimmed,OFFSET(f_listof_program_candidates,MATCH("SN52",f_listof_program_codes,0)-1,6,1,),TRANSPOSE(_xlfn._xlws.FILTER(OFFSET(_xlpm.trimmed,0,0,,COUNTA(_xlpm.trimmed)-5),OFFSET(_xlpm.trimmed,0,0,,COUNTA(_xlpm.trimmed)-5)&lt;&gt;0)))))</f>
        <v>1</v>
      </c>
      <c r="B1916" s="86" t="str" cm="1">
        <f t="array" aca="1" ref="B1916:B1939" ca="1">_xlfn.LET(_xlpm.trimmed,OFFSET(f_listof_program_candidates,MATCH("SN52",f_listof_program_codes,0)-1,6,1,),TRANSPOSE(_xlfn._xlws.FILTER(OFFSET(_xlpm.trimmed,0,0,,COUNTA(_xlpm.trimmed)-5),OFFSET(_xlpm.trimmed,0,0,,COUNTA(_xlpm.trimmed)-5)&lt;&gt;0)))</f>
        <v>C168</v>
      </c>
      <c r="C1916" s="86" t="str">
        <f t="shared" ref="C1916:C1939" ca="1" si="420">VLOOKUP(B1916,f_detailsof_candidates,2,FALSE)</f>
        <v>MUHAMMED SHAHAN P.S</v>
      </c>
      <c r="D1916" s="86" t="str">
        <f t="shared" ref="D1916:D1939" ca="1" si="421">VLOOKUP(B1916,f_detailsof_candidates,3,FALSE)</f>
        <v>FANT</v>
      </c>
      <c r="E1916" s="86">
        <f t="shared" ref="E1916:E1939" ca="1" si="422">VLOOKUP(B1916,f_detailsof_candidates,5,FALSE)</f>
        <v>7</v>
      </c>
    </row>
    <row r="1917" spans="1:8" ht="14.25" x14ac:dyDescent="0.45">
      <c r="A1917" s="86">
        <f ca="1"/>
        <v>2</v>
      </c>
      <c r="B1917" s="86" t="str">
        <f ca="1"/>
        <v>C164</v>
      </c>
      <c r="C1917" s="86" t="str">
        <f t="shared" ca="1" si="420"/>
        <v>AHMED FAHEEM MA</v>
      </c>
      <c r="D1917" s="86" t="str">
        <f t="shared" ca="1" si="421"/>
        <v>FANT</v>
      </c>
      <c r="E1917" s="86">
        <f t="shared" ca="1" si="422"/>
        <v>7</v>
      </c>
    </row>
    <row r="1918" spans="1:8" ht="14.25" x14ac:dyDescent="0.45">
      <c r="A1918" s="86">
        <f ca="1"/>
        <v>3</v>
      </c>
      <c r="B1918" s="86" t="str">
        <f ca="1"/>
        <v>C162</v>
      </c>
      <c r="C1918" s="86" t="str">
        <f t="shared" ca="1" si="420"/>
        <v>MUHAMMAD K.A</v>
      </c>
      <c r="D1918" s="86" t="str">
        <f t="shared" ca="1" si="421"/>
        <v>FANT</v>
      </c>
      <c r="E1918" s="86">
        <f t="shared" ca="1" si="422"/>
        <v>7</v>
      </c>
    </row>
    <row r="1919" spans="1:8" ht="14.25" x14ac:dyDescent="0.45">
      <c r="A1919" s="86">
        <f ca="1"/>
        <v>4</v>
      </c>
      <c r="B1919" s="86" t="str">
        <f ca="1"/>
        <v>C156</v>
      </c>
      <c r="C1919" s="86" t="str">
        <f t="shared" ca="1" si="420"/>
        <v>ABDULLA RAMSHAD</v>
      </c>
      <c r="D1919" s="86" t="str">
        <f t="shared" ca="1" si="421"/>
        <v>FANT</v>
      </c>
      <c r="E1919" s="86">
        <f t="shared" ca="1" si="422"/>
        <v>6</v>
      </c>
    </row>
    <row r="1920" spans="1:8" ht="14.25" x14ac:dyDescent="0.45">
      <c r="A1920" s="86">
        <f ca="1"/>
        <v>5</v>
      </c>
      <c r="B1920" s="86" t="str">
        <f ca="1"/>
        <v>C142</v>
      </c>
      <c r="C1920" s="86" t="str">
        <f t="shared" ca="1" si="420"/>
        <v>AHMAD AMEEN T S</v>
      </c>
      <c r="D1920" s="86" t="str">
        <f t="shared" ca="1" si="421"/>
        <v>FANT</v>
      </c>
      <c r="E1920" s="86">
        <f t="shared" ca="1" si="422"/>
        <v>6</v>
      </c>
    </row>
    <row r="1921" spans="1:5" ht="14.25" x14ac:dyDescent="0.45">
      <c r="A1921" s="86">
        <f ca="1"/>
        <v>6</v>
      </c>
      <c r="B1921" s="86" t="str">
        <f ca="1"/>
        <v>C131</v>
      </c>
      <c r="C1921" s="86" t="str">
        <f t="shared" ca="1" si="420"/>
        <v>IBRAHIM AHRAZ</v>
      </c>
      <c r="D1921" s="86" t="str">
        <f t="shared" ca="1" si="421"/>
        <v>FANT</v>
      </c>
      <c r="E1921" s="86">
        <f t="shared" ca="1" si="422"/>
        <v>6</v>
      </c>
    </row>
    <row r="1922" spans="1:5" ht="14.25" x14ac:dyDescent="0.45">
      <c r="A1922" s="86">
        <f ca="1"/>
        <v>7</v>
      </c>
      <c r="B1922" s="86" t="str">
        <f ca="1"/>
        <v>C120</v>
      </c>
      <c r="C1922" s="86" t="str">
        <f t="shared" ca="1" si="420"/>
        <v>MAJID MUHAMMED M</v>
      </c>
      <c r="D1922" s="86" t="str">
        <f t="shared" ca="1" si="421"/>
        <v>DAHF</v>
      </c>
      <c r="E1922" s="86">
        <f t="shared" ca="1" si="422"/>
        <v>5</v>
      </c>
    </row>
    <row r="1923" spans="1:5" ht="14.25" x14ac:dyDescent="0.45">
      <c r="A1923" s="86">
        <f ca="1"/>
        <v>8</v>
      </c>
      <c r="B1923" s="86" t="str">
        <f ca="1"/>
        <v>C136</v>
      </c>
      <c r="C1923" s="86" t="str">
        <f t="shared" ca="1" si="420"/>
        <v>MOHAMMED SHAKIR HUSSAIN K.Y</v>
      </c>
      <c r="D1923" s="86" t="str">
        <f t="shared" ca="1" si="421"/>
        <v>DAHF</v>
      </c>
      <c r="E1923" s="86">
        <f t="shared" ca="1" si="422"/>
        <v>6</v>
      </c>
    </row>
    <row r="1924" spans="1:5" ht="14.25" x14ac:dyDescent="0.45">
      <c r="A1924" s="86">
        <f ca="1"/>
        <v>9</v>
      </c>
      <c r="B1924" s="86" t="str">
        <f ca="1"/>
        <v>C150</v>
      </c>
      <c r="C1924" s="86" t="str">
        <f t="shared" ca="1" si="420"/>
        <v>MUHAMMED PK</v>
      </c>
      <c r="D1924" s="86" t="str">
        <f t="shared" ca="1" si="421"/>
        <v>DAHF</v>
      </c>
      <c r="E1924" s="86">
        <f t="shared" ca="1" si="422"/>
        <v>6</v>
      </c>
    </row>
    <row r="1925" spans="1:5" ht="14.25" x14ac:dyDescent="0.45">
      <c r="A1925" s="86">
        <f ca="1"/>
        <v>10</v>
      </c>
      <c r="B1925" s="86" t="str">
        <f ca="1"/>
        <v>C158</v>
      </c>
      <c r="C1925" s="86" t="str">
        <f t="shared" ca="1" si="420"/>
        <v>ABDUL FATHAH AHAMMED C</v>
      </c>
      <c r="D1925" s="86" t="str">
        <f t="shared" ca="1" si="421"/>
        <v>DAHF</v>
      </c>
      <c r="E1925" s="86">
        <f t="shared" ca="1" si="422"/>
        <v>6</v>
      </c>
    </row>
    <row r="1926" spans="1:5" ht="14.25" x14ac:dyDescent="0.45">
      <c r="A1926" s="86">
        <f ca="1"/>
        <v>11</v>
      </c>
      <c r="B1926" s="86" t="str">
        <f ca="1"/>
        <v>C161</v>
      </c>
      <c r="C1926" s="86" t="str">
        <f t="shared" ca="1" si="420"/>
        <v>MOHAMMED ABDUL KHADER NABAVI E A</v>
      </c>
      <c r="D1926" s="86" t="str">
        <f t="shared" ca="1" si="421"/>
        <v>DAHF</v>
      </c>
      <c r="E1926" s="86">
        <f t="shared" ca="1" si="422"/>
        <v>7</v>
      </c>
    </row>
    <row r="1927" spans="1:5" ht="14.25" x14ac:dyDescent="0.45">
      <c r="A1927" s="86">
        <f ca="1"/>
        <v>12</v>
      </c>
      <c r="B1927" s="86" t="str">
        <f ca="1"/>
        <v>C166</v>
      </c>
      <c r="C1927" s="86" t="str">
        <f t="shared" ca="1" si="420"/>
        <v>RESWAN</v>
      </c>
      <c r="D1927" s="86" t="str">
        <f t="shared" ca="1" si="421"/>
        <v>DAHF</v>
      </c>
      <c r="E1927" s="86">
        <f t="shared" ca="1" si="422"/>
        <v>7</v>
      </c>
    </row>
    <row r="1928" spans="1:5" ht="14.25" x14ac:dyDescent="0.45">
      <c r="A1928" s="86">
        <f ca="1"/>
        <v>13</v>
      </c>
      <c r="B1928" s="86" t="str">
        <f ca="1"/>
        <v>C103</v>
      </c>
      <c r="C1928" s="86" t="str">
        <f t="shared" ca="1" si="420"/>
        <v>MUHAMMED ABDUL KADER</v>
      </c>
      <c r="D1928" s="86" t="str">
        <f t="shared" ca="1" si="421"/>
        <v>BADF</v>
      </c>
      <c r="E1928" s="86">
        <f t="shared" ca="1" si="422"/>
        <v>5</v>
      </c>
    </row>
    <row r="1929" spans="1:5" ht="14.25" x14ac:dyDescent="0.45">
      <c r="A1929" s="86">
        <f ca="1"/>
        <v>14</v>
      </c>
      <c r="B1929" s="86" t="str">
        <f ca="1"/>
        <v>C104</v>
      </c>
      <c r="C1929" s="86" t="str">
        <f t="shared" ca="1" si="420"/>
        <v>HADIL RIJAS</v>
      </c>
      <c r="D1929" s="86" t="str">
        <f t="shared" ca="1" si="421"/>
        <v>BADF</v>
      </c>
      <c r="E1929" s="86">
        <f t="shared" ca="1" si="422"/>
        <v>5</v>
      </c>
    </row>
    <row r="1930" spans="1:5" ht="14.25" x14ac:dyDescent="0.45">
      <c r="A1930" s="86">
        <f ca="1"/>
        <v>15</v>
      </c>
      <c r="B1930" s="86" t="str">
        <f ca="1"/>
        <v>C106</v>
      </c>
      <c r="C1930" s="86" t="str">
        <f t="shared" ca="1" si="420"/>
        <v>ABDUL RAHMAN ANFHAL M I</v>
      </c>
      <c r="D1930" s="86" t="str">
        <f t="shared" ca="1" si="421"/>
        <v>BADF</v>
      </c>
      <c r="E1930" s="86">
        <f t="shared" ca="1" si="422"/>
        <v>5</v>
      </c>
    </row>
    <row r="1931" spans="1:5" ht="14.25" x14ac:dyDescent="0.45">
      <c r="A1931" s="86">
        <f ca="1"/>
        <v>16</v>
      </c>
      <c r="B1931" s="86" t="str">
        <f ca="1"/>
        <v>C160</v>
      </c>
      <c r="C1931" s="86" t="str">
        <f t="shared" ca="1" si="420"/>
        <v>AJMAL AM</v>
      </c>
      <c r="D1931" s="86" t="str">
        <f t="shared" ca="1" si="421"/>
        <v>BADF</v>
      </c>
      <c r="E1931" s="86">
        <f t="shared" ca="1" si="422"/>
        <v>7</v>
      </c>
    </row>
    <row r="1932" spans="1:5" ht="14.25" x14ac:dyDescent="0.45">
      <c r="A1932" s="86">
        <f ca="1"/>
        <v>17</v>
      </c>
      <c r="B1932" s="86" t="str">
        <f ca="1"/>
        <v>C170</v>
      </c>
      <c r="C1932" s="86" t="str">
        <f t="shared" ca="1" si="420"/>
        <v>RUMAIZALI R IBRAHIM</v>
      </c>
      <c r="D1932" s="86" t="str">
        <f t="shared" ca="1" si="421"/>
        <v>BADF</v>
      </c>
      <c r="E1932" s="86">
        <f t="shared" ca="1" si="422"/>
        <v>7</v>
      </c>
    </row>
    <row r="1933" spans="1:5" ht="14.25" x14ac:dyDescent="0.45">
      <c r="A1933" s="86">
        <f ca="1"/>
        <v>18</v>
      </c>
      <c r="B1933" s="86" t="str">
        <f ca="1"/>
        <v>C171</v>
      </c>
      <c r="C1933" s="86" t="str">
        <f t="shared" ca="1" si="420"/>
        <v>MUHAMMED THASLEEM</v>
      </c>
      <c r="D1933" s="86" t="str">
        <f t="shared" ca="1" si="421"/>
        <v>BADF</v>
      </c>
      <c r="E1933" s="86">
        <f t="shared" ca="1" si="422"/>
        <v>7</v>
      </c>
    </row>
    <row r="1934" spans="1:5" ht="14.25" x14ac:dyDescent="0.45">
      <c r="A1934" s="86">
        <f ca="1"/>
        <v>19</v>
      </c>
      <c r="B1934" s="86" t="str">
        <f ca="1"/>
        <v>C105</v>
      </c>
      <c r="C1934" s="86" t="str">
        <f t="shared" ca="1" si="420"/>
        <v>AHMAD MANAL KUDINGILA</v>
      </c>
      <c r="D1934" s="86" t="str">
        <f t="shared" ca="1" si="421"/>
        <v>JARF</v>
      </c>
      <c r="E1934" s="86">
        <f t="shared" ca="1" si="422"/>
        <v>5</v>
      </c>
    </row>
    <row r="1935" spans="1:5" ht="14.25" x14ac:dyDescent="0.45">
      <c r="A1935" s="86">
        <f ca="1"/>
        <v>20</v>
      </c>
      <c r="B1935" s="86" t="str">
        <f ca="1"/>
        <v>C146</v>
      </c>
      <c r="C1935" s="86" t="str">
        <f t="shared" ca="1" si="420"/>
        <v>IMRAN HUSSAIN TI</v>
      </c>
      <c r="D1935" s="86" t="str">
        <f t="shared" ca="1" si="421"/>
        <v>JARF</v>
      </c>
      <c r="E1935" s="86">
        <f t="shared" ca="1" si="422"/>
        <v>6</v>
      </c>
    </row>
    <row r="1936" spans="1:5" ht="14.25" x14ac:dyDescent="0.45">
      <c r="A1936" s="86">
        <f ca="1"/>
        <v>21</v>
      </c>
      <c r="B1936" s="86" t="str">
        <f ca="1"/>
        <v>C147</v>
      </c>
      <c r="C1936" s="86" t="str">
        <f t="shared" ca="1" si="420"/>
        <v>AHAMED ZAKI FOUZAN T.Z</v>
      </c>
      <c r="D1936" s="86" t="str">
        <f t="shared" ca="1" si="421"/>
        <v>JARF</v>
      </c>
      <c r="E1936" s="86">
        <f t="shared" ca="1" si="422"/>
        <v>6</v>
      </c>
    </row>
    <row r="1937" spans="1:8" ht="14.25" x14ac:dyDescent="0.45">
      <c r="A1937" s="86">
        <f ca="1"/>
        <v>22</v>
      </c>
      <c r="B1937" s="86" t="str">
        <f ca="1"/>
        <v>C165</v>
      </c>
      <c r="C1937" s="86" t="str">
        <f t="shared" ca="1" si="420"/>
        <v>MUHAMMAD IBN AHMAD</v>
      </c>
      <c r="D1937" s="86" t="str">
        <f t="shared" ca="1" si="421"/>
        <v>JARF</v>
      </c>
      <c r="E1937" s="86">
        <f t="shared" ca="1" si="422"/>
        <v>7</v>
      </c>
    </row>
    <row r="1938" spans="1:8" ht="14.25" x14ac:dyDescent="0.45">
      <c r="A1938" s="86">
        <f ca="1"/>
        <v>23</v>
      </c>
      <c r="B1938" s="86" t="str">
        <f ca="1"/>
        <v>C167</v>
      </c>
      <c r="C1938" s="86" t="str">
        <f t="shared" ca="1" si="420"/>
        <v>MUHAMMED MUJTHABA MK</v>
      </c>
      <c r="D1938" s="86" t="str">
        <f t="shared" ca="1" si="421"/>
        <v>JARF</v>
      </c>
      <c r="E1938" s="86">
        <f t="shared" ca="1" si="422"/>
        <v>7</v>
      </c>
    </row>
    <row r="1939" spans="1:8" ht="14.25" x14ac:dyDescent="0.45">
      <c r="A1939" s="86">
        <f ca="1"/>
        <v>24</v>
      </c>
      <c r="B1939" s="86" t="str">
        <f ca="1"/>
        <v>C152</v>
      </c>
      <c r="C1939" s="86" t="str">
        <f t="shared" ca="1" si="420"/>
        <v>MUHAMMED SABITH ALI TM</v>
      </c>
      <c r="D1939" s="86" t="str">
        <f t="shared" ca="1" si="421"/>
        <v>JARF</v>
      </c>
      <c r="E1939" s="86">
        <f t="shared" ca="1" si="422"/>
        <v>6</v>
      </c>
    </row>
    <row r="1940" spans="1:8" ht="14.25" x14ac:dyDescent="0.45">
      <c r="A1940" s="84" t="s">
        <v>342</v>
      </c>
      <c r="B1940" s="84" t="str">
        <f>VLOOKUP("SN53",f_detailsof_programs,2,FALSE)</f>
        <v>SPEECH &amp; SONG ARB</v>
      </c>
      <c r="C1940" s="84"/>
      <c r="D1940" s="84" t="s">
        <v>688</v>
      </c>
      <c r="E1940" s="84" t="s">
        <v>485</v>
      </c>
      <c r="F1940" s="84"/>
      <c r="G1940" s="84"/>
      <c r="H1940" s="84"/>
    </row>
    <row r="1941" spans="1:8" ht="14.25" x14ac:dyDescent="0.45">
      <c r="A1941" s="85" t="s">
        <v>16</v>
      </c>
      <c r="B1941" s="85" t="s">
        <v>480</v>
      </c>
      <c r="C1941" s="85" t="s">
        <v>18</v>
      </c>
      <c r="D1941" s="85" t="s">
        <v>481</v>
      </c>
      <c r="E1941" s="85" t="s">
        <v>19</v>
      </c>
      <c r="F1941" s="85" t="s">
        <v>482</v>
      </c>
      <c r="G1941" s="85" t="s">
        <v>483</v>
      </c>
      <c r="H1941" s="85" t="s">
        <v>484</v>
      </c>
    </row>
    <row r="1942" spans="1:8" ht="14.25" x14ac:dyDescent="0.45">
      <c r="A1942" s="86" cm="1">
        <f t="array" aca="1" ref="A1942:A1953" ca="1">_xlfn.SEQUENCE(COUNTA(_xlfn.LET(_xlpm.trimmed,OFFSET(f_listof_program_candidates,MATCH("SN53",f_listof_program_codes,0)-1,6,1,),TRANSPOSE(_xlfn._xlws.FILTER(OFFSET(_xlpm.trimmed,0,0,,COUNTA(_xlpm.trimmed)-5),OFFSET(_xlpm.trimmed,0,0,,COUNTA(_xlpm.trimmed)-5)&lt;&gt;0)))))</f>
        <v>1</v>
      </c>
      <c r="B1942" s="86" t="str" cm="1">
        <f t="array" aca="1" ref="B1942:B1953" ca="1">_xlfn.LET(_xlpm.trimmed,OFFSET(f_listof_program_candidates,MATCH("SN53",f_listof_program_codes,0)-1,6,1,),TRANSPOSE(_xlfn._xlws.FILTER(OFFSET(_xlpm.trimmed,0,0,,COUNTA(_xlpm.trimmed)-5),OFFSET(_xlpm.trimmed,0,0,,COUNTA(_xlpm.trimmed)-5)&lt;&gt;0)))</f>
        <v>C156</v>
      </c>
      <c r="C1942" s="86" t="str">
        <f t="shared" ref="C1942:C1953" ca="1" si="423">VLOOKUP(B1942,f_detailsof_candidates,2,FALSE)</f>
        <v>ABDULLA RAMSHAD</v>
      </c>
      <c r="D1942" s="86" t="str">
        <f t="shared" ref="D1942:D1953" ca="1" si="424">VLOOKUP(B1942,f_detailsof_candidates,3,FALSE)</f>
        <v>FANT</v>
      </c>
      <c r="E1942" s="86">
        <f t="shared" ref="E1942:E1953" ca="1" si="425">VLOOKUP(B1942,f_detailsof_candidates,5,FALSE)</f>
        <v>6</v>
      </c>
    </row>
    <row r="1943" spans="1:8" ht="14.25" x14ac:dyDescent="0.45">
      <c r="A1943" s="86">
        <f ca="1"/>
        <v>2</v>
      </c>
      <c r="B1943" s="86" t="str">
        <f ca="1"/>
        <v>C127</v>
      </c>
      <c r="C1943" s="86" t="str">
        <f t="shared" ca="1" si="423"/>
        <v>SHAMMAZ P A</v>
      </c>
      <c r="D1943" s="86" t="str">
        <f t="shared" ca="1" si="424"/>
        <v>FANT</v>
      </c>
      <c r="E1943" s="86">
        <f t="shared" ca="1" si="425"/>
        <v>5</v>
      </c>
    </row>
    <row r="1944" spans="1:8" ht="14.25" x14ac:dyDescent="0.45">
      <c r="A1944" s="86">
        <f ca="1"/>
        <v>3</v>
      </c>
      <c r="B1944" s="86" t="str">
        <f ca="1"/>
        <v>C131</v>
      </c>
      <c r="C1944" s="86" t="str">
        <f t="shared" ca="1" si="423"/>
        <v>IBRAHIM AHRAZ</v>
      </c>
      <c r="D1944" s="86" t="str">
        <f t="shared" ca="1" si="424"/>
        <v>FANT</v>
      </c>
      <c r="E1944" s="86">
        <f t="shared" ca="1" si="425"/>
        <v>6</v>
      </c>
    </row>
    <row r="1945" spans="1:8" ht="14.25" x14ac:dyDescent="0.45">
      <c r="A1945" s="86">
        <f ca="1"/>
        <v>4</v>
      </c>
      <c r="B1945" s="86" t="str">
        <f ca="1"/>
        <v>C120</v>
      </c>
      <c r="C1945" s="86" t="str">
        <f t="shared" ca="1" si="423"/>
        <v>MAJID MUHAMMED M</v>
      </c>
      <c r="D1945" s="86" t="str">
        <f t="shared" ca="1" si="424"/>
        <v>DAHF</v>
      </c>
      <c r="E1945" s="86">
        <f t="shared" ca="1" si="425"/>
        <v>5</v>
      </c>
    </row>
    <row r="1946" spans="1:8" ht="14.25" x14ac:dyDescent="0.45">
      <c r="A1946" s="86">
        <f ca="1"/>
        <v>5</v>
      </c>
      <c r="B1946" s="86" t="str">
        <f ca="1"/>
        <v>C150</v>
      </c>
      <c r="C1946" s="86" t="str">
        <f t="shared" ca="1" si="423"/>
        <v>MUHAMMED PK</v>
      </c>
      <c r="D1946" s="86" t="str">
        <f t="shared" ca="1" si="424"/>
        <v>DAHF</v>
      </c>
      <c r="E1946" s="86">
        <f t="shared" ca="1" si="425"/>
        <v>6</v>
      </c>
    </row>
    <row r="1947" spans="1:8" ht="14.25" x14ac:dyDescent="0.45">
      <c r="A1947" s="86">
        <f ca="1"/>
        <v>6</v>
      </c>
      <c r="B1947" s="86" t="str">
        <f ca="1"/>
        <v>C153</v>
      </c>
      <c r="C1947" s="86" t="str">
        <f t="shared" ca="1" si="423"/>
        <v>MUHAMMED AHMASH K</v>
      </c>
      <c r="D1947" s="86" t="str">
        <f t="shared" ca="1" si="424"/>
        <v>DAHF</v>
      </c>
      <c r="E1947" s="86">
        <f t="shared" ca="1" si="425"/>
        <v>6</v>
      </c>
    </row>
    <row r="1948" spans="1:8" ht="14.25" x14ac:dyDescent="0.45">
      <c r="A1948" s="86">
        <f ca="1"/>
        <v>7</v>
      </c>
      <c r="B1948" s="86" t="str">
        <f ca="1"/>
        <v>C103</v>
      </c>
      <c r="C1948" s="86" t="str">
        <f t="shared" ca="1" si="423"/>
        <v>MUHAMMED ABDUL KADER</v>
      </c>
      <c r="D1948" s="86" t="str">
        <f t="shared" ca="1" si="424"/>
        <v>BADF</v>
      </c>
      <c r="E1948" s="86">
        <f t="shared" ca="1" si="425"/>
        <v>5</v>
      </c>
    </row>
    <row r="1949" spans="1:8" ht="14.25" x14ac:dyDescent="0.45">
      <c r="A1949" s="86">
        <f ca="1"/>
        <v>8</v>
      </c>
      <c r="B1949" s="86" t="str">
        <f ca="1"/>
        <v>C109</v>
      </c>
      <c r="C1949" s="86" t="str">
        <f t="shared" ca="1" si="423"/>
        <v>ABDULLA FARHAN M</v>
      </c>
      <c r="D1949" s="86" t="str">
        <f t="shared" ca="1" si="424"/>
        <v>BADF</v>
      </c>
      <c r="E1949" s="86">
        <f t="shared" ca="1" si="425"/>
        <v>5</v>
      </c>
    </row>
    <row r="1950" spans="1:8" ht="14.25" x14ac:dyDescent="0.45">
      <c r="A1950" s="86">
        <f ca="1"/>
        <v>9</v>
      </c>
      <c r="B1950" s="86" t="str">
        <f ca="1"/>
        <v>C124</v>
      </c>
      <c r="C1950" s="86" t="str">
        <f t="shared" ca="1" si="423"/>
        <v>MOHAMMED MUBASHIR</v>
      </c>
      <c r="D1950" s="86" t="str">
        <f t="shared" ca="1" si="424"/>
        <v>BADF</v>
      </c>
      <c r="E1950" s="86">
        <f t="shared" ca="1" si="425"/>
        <v>5</v>
      </c>
    </row>
    <row r="1951" spans="1:8" ht="14.25" x14ac:dyDescent="0.45">
      <c r="A1951" s="86">
        <f ca="1"/>
        <v>10</v>
      </c>
      <c r="B1951" s="86" t="str">
        <f ca="1"/>
        <v>C111</v>
      </c>
      <c r="C1951" s="86" t="str">
        <f t="shared" ca="1" si="423"/>
        <v>MUHAMMAD ISMAIL HAMDULLA V K</v>
      </c>
      <c r="D1951" s="86" t="str">
        <f t="shared" ca="1" si="424"/>
        <v>JARF</v>
      </c>
      <c r="E1951" s="86">
        <f t="shared" ca="1" si="425"/>
        <v>5</v>
      </c>
    </row>
    <row r="1952" spans="1:8" ht="14.25" x14ac:dyDescent="0.45">
      <c r="A1952" s="86">
        <f ca="1"/>
        <v>11</v>
      </c>
      <c r="B1952" s="86" t="str">
        <f ca="1"/>
        <v>C165</v>
      </c>
      <c r="C1952" s="86" t="str">
        <f t="shared" ca="1" si="423"/>
        <v>MUHAMMAD IBN AHMAD</v>
      </c>
      <c r="D1952" s="86" t="str">
        <f t="shared" ca="1" si="424"/>
        <v>JARF</v>
      </c>
      <c r="E1952" s="86">
        <f t="shared" ca="1" si="425"/>
        <v>7</v>
      </c>
    </row>
    <row r="1953" spans="1:8" ht="14.25" x14ac:dyDescent="0.45">
      <c r="A1953" s="86">
        <f ca="1"/>
        <v>12</v>
      </c>
      <c r="B1953" s="86" t="str">
        <f ca="1"/>
        <v>C167</v>
      </c>
      <c r="C1953" s="86" t="str">
        <f t="shared" ca="1" si="423"/>
        <v>MUHAMMED MUJTHABA MK</v>
      </c>
      <c r="D1953" s="86" t="str">
        <f t="shared" ca="1" si="424"/>
        <v>JARF</v>
      </c>
      <c r="E1953" s="86">
        <f t="shared" ca="1" si="425"/>
        <v>7</v>
      </c>
    </row>
    <row r="1954" spans="1:8" ht="14.25" x14ac:dyDescent="0.45">
      <c r="A1954" s="84" t="s">
        <v>344</v>
      </c>
      <c r="B1954" s="84" t="str">
        <f>VLOOKUP("SS01",f_detailsof_programs,2,FALSE)</f>
        <v>ABSTRACT WRITING ENG</v>
      </c>
      <c r="C1954" s="84"/>
      <c r="D1954" s="84" t="s">
        <v>688</v>
      </c>
      <c r="E1954" s="84" t="s">
        <v>485</v>
      </c>
      <c r="F1954" s="84"/>
      <c r="G1954" s="84"/>
      <c r="H1954" s="84"/>
    </row>
    <row r="1955" spans="1:8" ht="14.25" x14ac:dyDescent="0.45">
      <c r="A1955" s="85" t="s">
        <v>16</v>
      </c>
      <c r="B1955" s="85" t="s">
        <v>480</v>
      </c>
      <c r="C1955" s="85" t="s">
        <v>18</v>
      </c>
      <c r="D1955" s="85" t="s">
        <v>481</v>
      </c>
      <c r="E1955" s="85" t="s">
        <v>19</v>
      </c>
      <c r="F1955" s="85" t="s">
        <v>482</v>
      </c>
      <c r="G1955" s="85" t="s">
        <v>483</v>
      </c>
      <c r="H1955" s="85" t="s">
        <v>484</v>
      </c>
    </row>
    <row r="1956" spans="1:8" ht="14.25" x14ac:dyDescent="0.45">
      <c r="A1956" s="86" cm="1">
        <f t="array" aca="1" ref="A1956:A1967" ca="1">_xlfn.SEQUENCE(COUNTA(_xlfn.LET(_xlpm.trimmed,OFFSET(f_listof_program_candidates,MATCH("SS01",f_listof_program_codes,0)-1,6,1,),TRANSPOSE(_xlfn._xlws.FILTER(OFFSET(_xlpm.trimmed,0,0,,COUNTA(_xlpm.trimmed)-5),OFFSET(_xlpm.trimmed,0,0,,COUNTA(_xlpm.trimmed)-5)&lt;&gt;0)))))</f>
        <v>1</v>
      </c>
      <c r="B1956" s="86" t="str" cm="1">
        <f t="array" aca="1" ref="B1956:B1967" ca="1">_xlfn.LET(_xlpm.trimmed,OFFSET(f_listof_program_candidates,MATCH("SS01",f_listof_program_codes,0)-1,6,1,),TRANSPOSE(_xlfn._xlws.FILTER(OFFSET(_xlpm.trimmed,0,0,,COUNTA(_xlpm.trimmed)-5),OFFSET(_xlpm.trimmed,0,0,,COUNTA(_xlpm.trimmed)-5)&lt;&gt;0)))</f>
        <v>D128</v>
      </c>
      <c r="C1956" s="86" t="str">
        <f t="shared" ref="C1956:C1967" ca="1" si="426">VLOOKUP(B1956,f_detailsof_candidates,2,FALSE)</f>
        <v>MEHAZIN AMAN T</v>
      </c>
      <c r="D1956" s="86" t="str">
        <f t="shared" ref="D1956:D1967" ca="1" si="427">VLOOKUP(B1956,f_detailsof_candidates,3,FALSE)</f>
        <v>FANT</v>
      </c>
      <c r="E1956" s="86">
        <f t="shared" ref="E1956:E1967" ca="1" si="428">VLOOKUP(B1956,f_detailsof_candidates,5,FALSE)</f>
        <v>8</v>
      </c>
    </row>
    <row r="1957" spans="1:8" ht="14.25" x14ac:dyDescent="0.45">
      <c r="A1957" s="86">
        <f ca="1"/>
        <v>2</v>
      </c>
      <c r="B1957" s="86" t="str">
        <f ca="1"/>
        <v>D132</v>
      </c>
      <c r="C1957" s="86" t="str">
        <f t="shared" ca="1" si="426"/>
        <v>ABOOBAKR MA'ROOF</v>
      </c>
      <c r="D1957" s="86" t="str">
        <f t="shared" ca="1" si="427"/>
        <v>FANT</v>
      </c>
      <c r="E1957" s="86">
        <f t="shared" ca="1" si="428"/>
        <v>9</v>
      </c>
    </row>
    <row r="1958" spans="1:8" ht="14.25" x14ac:dyDescent="0.45">
      <c r="A1958" s="86">
        <f ca="1"/>
        <v>3</v>
      </c>
      <c r="B1958" s="86" t="str">
        <f ca="1"/>
        <v>D165</v>
      </c>
      <c r="C1958" s="86" t="str">
        <f t="shared" ca="1" si="426"/>
        <v>AJMAL KI</v>
      </c>
      <c r="D1958" s="86" t="str">
        <f t="shared" ca="1" si="427"/>
        <v>FANT</v>
      </c>
      <c r="E1958" s="86">
        <f t="shared" ca="1" si="428"/>
        <v>9</v>
      </c>
    </row>
    <row r="1959" spans="1:8" ht="14.25" x14ac:dyDescent="0.45">
      <c r="A1959" s="86">
        <f ca="1"/>
        <v>4</v>
      </c>
      <c r="B1959" s="86" t="str">
        <f ca="1"/>
        <v>D107</v>
      </c>
      <c r="C1959" s="86" t="str">
        <f t="shared" ca="1" si="426"/>
        <v>AHMMED HASHIM M</v>
      </c>
      <c r="D1959" s="86" t="str">
        <f t="shared" ca="1" si="427"/>
        <v>DAHF</v>
      </c>
      <c r="E1959" s="86">
        <f t="shared" ca="1" si="428"/>
        <v>8</v>
      </c>
    </row>
    <row r="1960" spans="1:8" ht="14.25" x14ac:dyDescent="0.45">
      <c r="A1960" s="86">
        <f ca="1"/>
        <v>5</v>
      </c>
      <c r="B1960" s="86" t="str">
        <f ca="1"/>
        <v>D150</v>
      </c>
      <c r="C1960" s="86" t="str">
        <f t="shared" ca="1" si="426"/>
        <v>ABDUL KHADER</v>
      </c>
      <c r="D1960" s="86" t="str">
        <f t="shared" ca="1" si="427"/>
        <v>DAHF</v>
      </c>
      <c r="E1960" s="86">
        <f t="shared" ca="1" si="428"/>
        <v>9</v>
      </c>
    </row>
    <row r="1961" spans="1:8" ht="14.25" x14ac:dyDescent="0.45">
      <c r="A1961" s="86">
        <f ca="1"/>
        <v>6</v>
      </c>
      <c r="B1961" s="86" t="str">
        <f ca="1"/>
        <v>D196</v>
      </c>
      <c r="C1961" s="86" t="str">
        <f t="shared" ca="1" si="426"/>
        <v>ABDUL VAJID K</v>
      </c>
      <c r="D1961" s="86" t="str">
        <f t="shared" ca="1" si="427"/>
        <v>DAHF</v>
      </c>
      <c r="E1961" s="86">
        <f t="shared" ca="1" si="428"/>
        <v>10</v>
      </c>
    </row>
    <row r="1962" spans="1:8" ht="14.25" x14ac:dyDescent="0.45">
      <c r="A1962" s="86">
        <f ca="1"/>
        <v>7</v>
      </c>
      <c r="B1962" s="86" t="str">
        <f ca="1"/>
        <v>D118</v>
      </c>
      <c r="C1962" s="86" t="str">
        <f t="shared" ca="1" si="426"/>
        <v>MOHAMMAD KHALANDAR ZIYAD</v>
      </c>
      <c r="D1962" s="86" t="str">
        <f t="shared" ca="1" si="427"/>
        <v>BADF</v>
      </c>
      <c r="E1962" s="86">
        <f t="shared" ca="1" si="428"/>
        <v>8</v>
      </c>
    </row>
    <row r="1963" spans="1:8" ht="14.25" x14ac:dyDescent="0.45">
      <c r="A1963" s="86">
        <f ca="1"/>
        <v>8</v>
      </c>
      <c r="B1963" s="86" t="str">
        <f ca="1"/>
        <v>D129</v>
      </c>
      <c r="C1963" s="86" t="str">
        <f t="shared" ca="1" si="426"/>
        <v>MUHAMMED UNAIS CK</v>
      </c>
      <c r="D1963" s="86" t="str">
        <f t="shared" ca="1" si="427"/>
        <v>BADF</v>
      </c>
      <c r="E1963" s="86">
        <f t="shared" ca="1" si="428"/>
        <v>8</v>
      </c>
    </row>
    <row r="1964" spans="1:8" ht="14.25" x14ac:dyDescent="0.45">
      <c r="A1964" s="86">
        <f ca="1"/>
        <v>9</v>
      </c>
      <c r="B1964" s="86" t="str">
        <f ca="1"/>
        <v>D195</v>
      </c>
      <c r="C1964" s="86" t="str">
        <f t="shared" ca="1" si="426"/>
        <v>AHMED SWALAHUDHEEN PI</v>
      </c>
      <c r="D1964" s="86" t="str">
        <f t="shared" ca="1" si="427"/>
        <v>BADF</v>
      </c>
      <c r="E1964" s="86">
        <f t="shared" ca="1" si="428"/>
        <v>10</v>
      </c>
    </row>
    <row r="1965" spans="1:8" ht="14.25" x14ac:dyDescent="0.45">
      <c r="A1965" s="86">
        <f ca="1"/>
        <v>10</v>
      </c>
      <c r="B1965" s="86" t="str">
        <f ca="1"/>
        <v>D111</v>
      </c>
      <c r="C1965" s="86" t="str">
        <f t="shared" ca="1" si="426"/>
        <v>MAHAMMED SHAMEEL</v>
      </c>
      <c r="D1965" s="86" t="str">
        <f t="shared" ca="1" si="427"/>
        <v>JARF</v>
      </c>
      <c r="E1965" s="86">
        <f t="shared" ca="1" si="428"/>
        <v>8</v>
      </c>
    </row>
    <row r="1966" spans="1:8" ht="14.25" x14ac:dyDescent="0.45">
      <c r="A1966" s="86">
        <f ca="1"/>
        <v>11</v>
      </c>
      <c r="B1966" s="86" t="str">
        <f ca="1"/>
        <v>D144</v>
      </c>
      <c r="C1966" s="86" t="str">
        <f t="shared" ca="1" si="426"/>
        <v>MUHAMMED RASHAD KA</v>
      </c>
      <c r="D1966" s="86" t="str">
        <f t="shared" ca="1" si="427"/>
        <v>JARF</v>
      </c>
      <c r="E1966" s="86">
        <f t="shared" ca="1" si="428"/>
        <v>9</v>
      </c>
    </row>
    <row r="1967" spans="1:8" ht="14.25" x14ac:dyDescent="0.45">
      <c r="A1967" s="86">
        <f ca="1"/>
        <v>12</v>
      </c>
      <c r="B1967" s="86" t="str">
        <f ca="1"/>
        <v>D193</v>
      </c>
      <c r="C1967" s="86" t="str">
        <f t="shared" ca="1" si="426"/>
        <v>MUHAMMED ABDUL GHANI M.A</v>
      </c>
      <c r="D1967" s="86" t="str">
        <f t="shared" ca="1" si="427"/>
        <v>JARF</v>
      </c>
      <c r="E1967" s="86">
        <f t="shared" ca="1" si="428"/>
        <v>10</v>
      </c>
    </row>
    <row r="1968" spans="1:8" ht="14.25" x14ac:dyDescent="0.45">
      <c r="A1968" s="84" t="s">
        <v>346</v>
      </c>
      <c r="B1968" s="84" t="str">
        <f>VLOOKUP("SS02",f_detailsof_programs,2,FALSE)</f>
        <v>ACADEMIC ESSAY ENG</v>
      </c>
      <c r="C1968" s="84"/>
      <c r="D1968" s="84" t="s">
        <v>688</v>
      </c>
      <c r="E1968" s="84" t="s">
        <v>485</v>
      </c>
      <c r="F1968" s="84"/>
      <c r="G1968" s="84"/>
      <c r="H1968" s="84"/>
    </row>
    <row r="1969" spans="1:8" ht="14.25" x14ac:dyDescent="0.45">
      <c r="A1969" s="85" t="s">
        <v>16</v>
      </c>
      <c r="B1969" s="85" t="s">
        <v>480</v>
      </c>
      <c r="C1969" s="85" t="s">
        <v>18</v>
      </c>
      <c r="D1969" s="85" t="s">
        <v>481</v>
      </c>
      <c r="E1969" s="85" t="s">
        <v>19</v>
      </c>
      <c r="F1969" s="85" t="s">
        <v>482</v>
      </c>
      <c r="G1969" s="85" t="s">
        <v>483</v>
      </c>
      <c r="H1969" s="85" t="s">
        <v>484</v>
      </c>
    </row>
    <row r="1970" spans="1:8" ht="14.25" x14ac:dyDescent="0.45">
      <c r="A1970" s="86" cm="1">
        <f t="array" aca="1" ref="A1970:A1981" ca="1">_xlfn.SEQUENCE(COUNTA(_xlfn.LET(_xlpm.trimmed,OFFSET(f_listof_program_candidates,MATCH("SS02",f_listof_program_codes,0)-1,6,1,),TRANSPOSE(_xlfn._xlws.FILTER(OFFSET(_xlpm.trimmed,0,0,,COUNTA(_xlpm.trimmed)-5),OFFSET(_xlpm.trimmed,0,0,,COUNTA(_xlpm.trimmed)-5)&lt;&gt;0)))))</f>
        <v>1</v>
      </c>
      <c r="B1970" s="86" t="str" cm="1">
        <f t="array" aca="1" ref="B1970:B1981" ca="1">_xlfn.LET(_xlpm.trimmed,OFFSET(f_listof_program_candidates,MATCH("SS02",f_listof_program_codes,0)-1,6,1,),TRANSPOSE(_xlfn._xlws.FILTER(OFFSET(_xlpm.trimmed,0,0,,COUNTA(_xlpm.trimmed)-5),OFFSET(_xlpm.trimmed,0,0,,COUNTA(_xlpm.trimmed)-5)&lt;&gt;0)))</f>
        <v>D132</v>
      </c>
      <c r="C1970" s="86" t="str">
        <f t="shared" ref="C1970:C1981" ca="1" si="429">VLOOKUP(B1970,f_detailsof_candidates,2,FALSE)</f>
        <v>ABOOBAKR MA'ROOF</v>
      </c>
      <c r="D1970" s="86" t="str">
        <f t="shared" ref="D1970:D1981" ca="1" si="430">VLOOKUP(B1970,f_detailsof_candidates,3,FALSE)</f>
        <v>FANT</v>
      </c>
      <c r="E1970" s="86">
        <f t="shared" ref="E1970:E1981" ca="1" si="431">VLOOKUP(B1970,f_detailsof_candidates,5,FALSE)</f>
        <v>9</v>
      </c>
    </row>
    <row r="1971" spans="1:8" ht="14.25" x14ac:dyDescent="0.45">
      <c r="A1971" s="86">
        <f ca="1"/>
        <v>2</v>
      </c>
      <c r="B1971" s="86" t="str">
        <f ca="1"/>
        <v>D133</v>
      </c>
      <c r="C1971" s="86" t="str">
        <f t="shared" ca="1" si="429"/>
        <v>MOHAMMED SHAMSHEER</v>
      </c>
      <c r="D1971" s="86" t="str">
        <f t="shared" ca="1" si="430"/>
        <v>FANT</v>
      </c>
      <c r="E1971" s="86">
        <f t="shared" ca="1" si="431"/>
        <v>9</v>
      </c>
    </row>
    <row r="1972" spans="1:8" ht="14.25" x14ac:dyDescent="0.45">
      <c r="A1972" s="86">
        <f ca="1"/>
        <v>3</v>
      </c>
      <c r="B1972" s="86" t="str">
        <f ca="1"/>
        <v>D165</v>
      </c>
      <c r="C1972" s="86" t="str">
        <f t="shared" ca="1" si="429"/>
        <v>AJMAL KI</v>
      </c>
      <c r="D1972" s="86" t="str">
        <f t="shared" ca="1" si="430"/>
        <v>FANT</v>
      </c>
      <c r="E1972" s="86">
        <f t="shared" ca="1" si="431"/>
        <v>9</v>
      </c>
    </row>
    <row r="1973" spans="1:8" ht="14.25" x14ac:dyDescent="0.45">
      <c r="A1973" s="86">
        <f ca="1"/>
        <v>4</v>
      </c>
      <c r="B1973" s="86" t="str">
        <f ca="1"/>
        <v>D196</v>
      </c>
      <c r="C1973" s="86" t="str">
        <f t="shared" ca="1" si="429"/>
        <v>ABDUL VAJID K</v>
      </c>
      <c r="D1973" s="86" t="str">
        <f t="shared" ca="1" si="430"/>
        <v>DAHF</v>
      </c>
      <c r="E1973" s="86">
        <f t="shared" ca="1" si="431"/>
        <v>10</v>
      </c>
    </row>
    <row r="1974" spans="1:8" ht="14.25" x14ac:dyDescent="0.45">
      <c r="A1974" s="86">
        <f ca="1"/>
        <v>5</v>
      </c>
      <c r="B1974" s="86" t="str">
        <f ca="1"/>
        <v>D150</v>
      </c>
      <c r="C1974" s="86" t="str">
        <f t="shared" ca="1" si="429"/>
        <v>ABDUL KHADER</v>
      </c>
      <c r="D1974" s="86" t="str">
        <f t="shared" ca="1" si="430"/>
        <v>DAHF</v>
      </c>
      <c r="E1974" s="86">
        <f t="shared" ca="1" si="431"/>
        <v>9</v>
      </c>
    </row>
    <row r="1975" spans="1:8" ht="14.25" x14ac:dyDescent="0.45">
      <c r="A1975" s="86">
        <f ca="1"/>
        <v>6</v>
      </c>
      <c r="B1975" s="86" t="str">
        <f ca="1"/>
        <v>D108</v>
      </c>
      <c r="C1975" s="86" t="str">
        <f t="shared" ca="1" si="429"/>
        <v>MOHAMMED HASHIR</v>
      </c>
      <c r="D1975" s="86" t="str">
        <f t="shared" ca="1" si="430"/>
        <v>DAHF</v>
      </c>
      <c r="E1975" s="86">
        <f t="shared" ca="1" si="431"/>
        <v>8</v>
      </c>
    </row>
    <row r="1976" spans="1:8" ht="14.25" x14ac:dyDescent="0.45">
      <c r="A1976" s="86">
        <f ca="1"/>
        <v>7</v>
      </c>
      <c r="B1976" s="86" t="str">
        <f ca="1"/>
        <v>D118</v>
      </c>
      <c r="C1976" s="86" t="str">
        <f t="shared" ca="1" si="429"/>
        <v>MOHAMMAD KHALANDAR ZIYAD</v>
      </c>
      <c r="D1976" s="86" t="str">
        <f t="shared" ca="1" si="430"/>
        <v>BADF</v>
      </c>
      <c r="E1976" s="86">
        <f t="shared" ca="1" si="431"/>
        <v>8</v>
      </c>
    </row>
    <row r="1977" spans="1:8" ht="14.25" x14ac:dyDescent="0.45">
      <c r="A1977" s="86">
        <f ca="1"/>
        <v>8</v>
      </c>
      <c r="B1977" s="86" t="str">
        <f ca="1"/>
        <v>D141</v>
      </c>
      <c r="C1977" s="86" t="str">
        <f t="shared" ca="1" si="429"/>
        <v>MUHAMMAD MUSTHAFA P.K</v>
      </c>
      <c r="D1977" s="86" t="str">
        <f t="shared" ca="1" si="430"/>
        <v>BADF</v>
      </c>
      <c r="E1977" s="86">
        <f t="shared" ca="1" si="431"/>
        <v>9</v>
      </c>
    </row>
    <row r="1978" spans="1:8" ht="14.25" x14ac:dyDescent="0.45">
      <c r="A1978" s="86">
        <f ca="1"/>
        <v>9</v>
      </c>
      <c r="B1978" s="86" t="str">
        <f ca="1"/>
        <v>D195</v>
      </c>
      <c r="C1978" s="86" t="str">
        <f t="shared" ca="1" si="429"/>
        <v>AHMED SWALAHUDHEEN PI</v>
      </c>
      <c r="D1978" s="86" t="str">
        <f t="shared" ca="1" si="430"/>
        <v>BADF</v>
      </c>
      <c r="E1978" s="86">
        <f t="shared" ca="1" si="431"/>
        <v>10</v>
      </c>
    </row>
    <row r="1979" spans="1:8" ht="14.25" x14ac:dyDescent="0.45">
      <c r="A1979" s="86">
        <f ca="1"/>
        <v>10</v>
      </c>
      <c r="B1979" s="86" t="str">
        <f ca="1"/>
        <v>D111</v>
      </c>
      <c r="C1979" s="86" t="str">
        <f t="shared" ca="1" si="429"/>
        <v>MAHAMMED SHAMEEL</v>
      </c>
      <c r="D1979" s="86" t="str">
        <f t="shared" ca="1" si="430"/>
        <v>JARF</v>
      </c>
      <c r="E1979" s="86">
        <f t="shared" ca="1" si="431"/>
        <v>8</v>
      </c>
    </row>
    <row r="1980" spans="1:8" ht="14.25" x14ac:dyDescent="0.45">
      <c r="A1980" s="86">
        <f ca="1"/>
        <v>11</v>
      </c>
      <c r="B1980" s="86" t="str">
        <f ca="1"/>
        <v>D116</v>
      </c>
      <c r="C1980" s="86" t="str">
        <f t="shared" ca="1" si="429"/>
        <v>HASSAN SHADDAD UM</v>
      </c>
      <c r="D1980" s="86" t="str">
        <f t="shared" ca="1" si="430"/>
        <v>JARF</v>
      </c>
      <c r="E1980" s="86">
        <f t="shared" ca="1" si="431"/>
        <v>8</v>
      </c>
    </row>
    <row r="1981" spans="1:8" ht="14.25" x14ac:dyDescent="0.45">
      <c r="A1981" s="86">
        <f ca="1"/>
        <v>12</v>
      </c>
      <c r="B1981" s="86" t="str">
        <f ca="1"/>
        <v>D164</v>
      </c>
      <c r="C1981" s="86" t="str">
        <f t="shared" ca="1" si="429"/>
        <v>AHMED SULTHAN</v>
      </c>
      <c r="D1981" s="86" t="str">
        <f t="shared" ca="1" si="430"/>
        <v>JARF</v>
      </c>
      <c r="E1981" s="86">
        <f t="shared" ca="1" si="431"/>
        <v>9</v>
      </c>
    </row>
    <row r="1982" spans="1:8" ht="14.25" x14ac:dyDescent="0.45">
      <c r="A1982" s="84" t="s">
        <v>348</v>
      </c>
      <c r="B1982" s="84" t="str">
        <f>VLOOKUP("SS03",f_detailsof_programs,2,FALSE)</f>
        <v>ARTICLE SUBMISSION</v>
      </c>
      <c r="C1982" s="84"/>
      <c r="D1982" s="84" t="s">
        <v>688</v>
      </c>
      <c r="E1982" s="84" t="s">
        <v>638</v>
      </c>
      <c r="F1982" s="84"/>
      <c r="G1982" s="84"/>
      <c r="H1982" s="84"/>
    </row>
    <row r="1983" spans="1:8" ht="14.25" x14ac:dyDescent="0.45">
      <c r="A1983" s="85" t="s">
        <v>16</v>
      </c>
      <c r="B1983" s="85" t="s">
        <v>480</v>
      </c>
      <c r="C1983" s="85" t="s">
        <v>18</v>
      </c>
      <c r="D1983" s="85" t="s">
        <v>481</v>
      </c>
      <c r="E1983" s="85" t="s">
        <v>19</v>
      </c>
      <c r="F1983" s="85" t="s">
        <v>482</v>
      </c>
      <c r="G1983" s="85" t="s">
        <v>483</v>
      </c>
      <c r="H1983" s="85" t="s">
        <v>484</v>
      </c>
    </row>
    <row r="1984" spans="1:8" ht="14.25" x14ac:dyDescent="0.45">
      <c r="A1984" s="86" cm="1">
        <f t="array" aca="1" ref="A1984:A1987" ca="1">_xlfn.SEQUENCE(COUNTA(_xlfn.LET(_xlpm.trimmed,OFFSET(f_listof_program_candidates,MATCH("SS03",f_listof_program_codes,0)-1,6,1,),TRANSPOSE(_xlfn._xlws.FILTER(OFFSET(_xlpm.trimmed,0,0,,COUNTA(_xlpm.trimmed)-5),OFFSET(_xlpm.trimmed,0,0,,COUNTA(_xlpm.trimmed)-5)&lt;&gt;0)))))</f>
        <v>1</v>
      </c>
      <c r="B1984" s="86" t="str" cm="1">
        <f t="array" aca="1" ref="B1984:B1987" ca="1">_xlfn.LET(_xlpm.trimmed,OFFSET(f_listof_program_candidates,MATCH("SS03",f_listof_program_codes,0)-1,6,1,),TRANSPOSE(_xlfn._xlws.FILTER(OFFSET(_xlpm.trimmed,0,0,,COUNTA(_xlpm.trimmed)-5),OFFSET(_xlpm.trimmed,0,0,,COUNTA(_xlpm.trimmed)-5)&lt;&gt;0)))</f>
        <v>D128</v>
      </c>
      <c r="C1984" s="86" t="str">
        <f ca="1">VLOOKUP(B1984,f_detailsof_candidates,2,FALSE)</f>
        <v>MEHAZIN AMAN T</v>
      </c>
      <c r="D1984" s="86" t="str">
        <f ca="1">VLOOKUP(B1984,f_detailsof_candidates,3,FALSE)</f>
        <v>FANT</v>
      </c>
      <c r="E1984" s="86">
        <f ca="1">VLOOKUP(B1984,f_detailsof_candidates,5,FALSE)</f>
        <v>8</v>
      </c>
    </row>
    <row r="1985" spans="1:8" ht="14.25" x14ac:dyDescent="0.45">
      <c r="A1985" s="86">
        <f ca="1"/>
        <v>2</v>
      </c>
      <c r="B1985" s="86" t="str">
        <f ca="1"/>
        <v>D108</v>
      </c>
      <c r="C1985" s="86" t="str">
        <f ca="1">VLOOKUP(B1985,f_detailsof_candidates,2,FALSE)</f>
        <v>MOHAMMED HASHIR</v>
      </c>
      <c r="D1985" s="86" t="str">
        <f ca="1">VLOOKUP(B1985,f_detailsof_candidates,3,FALSE)</f>
        <v>DAHF</v>
      </c>
      <c r="E1985" s="86">
        <f ca="1">VLOOKUP(B1985,f_detailsof_candidates,5,FALSE)</f>
        <v>8</v>
      </c>
    </row>
    <row r="1986" spans="1:8" ht="14.25" x14ac:dyDescent="0.45">
      <c r="A1986" s="86">
        <f ca="1"/>
        <v>3</v>
      </c>
      <c r="B1986" s="86" t="str">
        <f ca="1"/>
        <v>D141</v>
      </c>
      <c r="C1986" s="86" t="str">
        <f ca="1">VLOOKUP(B1986,f_detailsof_candidates,2,FALSE)</f>
        <v>MUHAMMAD MUSTHAFA P.K</v>
      </c>
      <c r="D1986" s="86" t="str">
        <f ca="1">VLOOKUP(B1986,f_detailsof_candidates,3,FALSE)</f>
        <v>BADF</v>
      </c>
      <c r="E1986" s="86">
        <f ca="1">VLOOKUP(B1986,f_detailsof_candidates,5,FALSE)</f>
        <v>9</v>
      </c>
    </row>
    <row r="1987" spans="1:8" ht="14.25" x14ac:dyDescent="0.45">
      <c r="A1987" s="86">
        <f ca="1"/>
        <v>4</v>
      </c>
      <c r="B1987" s="86" t="str">
        <f ca="1"/>
        <v>D111</v>
      </c>
      <c r="C1987" s="86" t="str">
        <f ca="1">VLOOKUP(B1987,f_detailsof_candidates,2,FALSE)</f>
        <v>MAHAMMED SHAMEEL</v>
      </c>
      <c r="D1987" s="86" t="str">
        <f ca="1">VLOOKUP(B1987,f_detailsof_candidates,3,FALSE)</f>
        <v>JARF</v>
      </c>
      <c r="E1987" s="86">
        <f ca="1">VLOOKUP(B1987,f_detailsof_candidates,5,FALSE)</f>
        <v>8</v>
      </c>
    </row>
    <row r="1988" spans="1:8" ht="14.25" x14ac:dyDescent="0.45">
      <c r="A1988" s="84" t="s">
        <v>350</v>
      </c>
      <c r="B1988" s="84" t="str">
        <f>VLOOKUP("SS04",f_detailsof_programs,2,FALSE)</f>
        <v>CARTOON</v>
      </c>
      <c r="C1988" s="84"/>
      <c r="D1988" s="84" t="s">
        <v>688</v>
      </c>
      <c r="E1988" s="84" t="s">
        <v>486</v>
      </c>
      <c r="F1988" s="84"/>
      <c r="G1988" s="84"/>
      <c r="H1988" s="84"/>
    </row>
    <row r="1989" spans="1:8" ht="14.25" x14ac:dyDescent="0.45">
      <c r="A1989" s="85" t="s">
        <v>16</v>
      </c>
      <c r="B1989" s="85" t="s">
        <v>480</v>
      </c>
      <c r="C1989" s="85" t="s">
        <v>18</v>
      </c>
      <c r="D1989" s="85" t="s">
        <v>481</v>
      </c>
      <c r="E1989" s="85" t="s">
        <v>19</v>
      </c>
      <c r="F1989" s="85" t="s">
        <v>482</v>
      </c>
      <c r="G1989" s="85" t="s">
        <v>483</v>
      </c>
      <c r="H1989" s="85" t="s">
        <v>484</v>
      </c>
    </row>
    <row r="1990" spans="1:8" ht="14.25" x14ac:dyDescent="0.45">
      <c r="A1990" s="86" cm="1">
        <f t="array" aca="1" ref="A1990:A1997" ca="1">_xlfn.SEQUENCE(COUNTA(_xlfn.LET(_xlpm.trimmed,OFFSET(f_listof_program_candidates,MATCH("SS04",f_listof_program_codes,0)-1,6,1,),TRANSPOSE(_xlfn._xlws.FILTER(OFFSET(_xlpm.trimmed,0,0,,COUNTA(_xlpm.trimmed)-5),OFFSET(_xlpm.trimmed,0,0,,COUNTA(_xlpm.trimmed)-5)&lt;&gt;0)))))</f>
        <v>1</v>
      </c>
      <c r="B1990" s="86" t="str" cm="1">
        <f t="array" aca="1" ref="B1990:B1997" ca="1">_xlfn.LET(_xlpm.trimmed,OFFSET(f_listof_program_candidates,MATCH("SS04",f_listof_program_codes,0)-1,6,1,),TRANSPOSE(_xlfn._xlws.FILTER(OFFSET(_xlpm.trimmed,0,0,,COUNTA(_xlpm.trimmed)-5),OFFSET(_xlpm.trimmed,0,0,,COUNTA(_xlpm.trimmed)-5)&lt;&gt;0)))</f>
        <v>D105</v>
      </c>
      <c r="C1990" s="86" t="str">
        <f t="shared" ref="C1990:C1997" ca="1" si="432">VLOOKUP(B1990,f_detailsof_candidates,2,FALSE)</f>
        <v>ABDUL WADHOOD</v>
      </c>
      <c r="D1990" s="86" t="str">
        <f t="shared" ref="D1990:D1997" ca="1" si="433">VLOOKUP(B1990,f_detailsof_candidates,3,FALSE)</f>
        <v>FANT</v>
      </c>
      <c r="E1990" s="86">
        <f t="shared" ref="E1990:E1997" ca="1" si="434">VLOOKUP(B1990,f_detailsof_candidates,5,FALSE)</f>
        <v>8</v>
      </c>
    </row>
    <row r="1991" spans="1:8" ht="14.25" x14ac:dyDescent="0.45">
      <c r="A1991" s="86">
        <f ca="1"/>
        <v>2</v>
      </c>
      <c r="B1991" s="86" t="str">
        <f ca="1"/>
        <v>D117</v>
      </c>
      <c r="C1991" s="86" t="str">
        <f t="shared" ca="1" si="432"/>
        <v>MOHAMMED SAHL CS</v>
      </c>
      <c r="D1991" s="86" t="str">
        <f t="shared" ca="1" si="433"/>
        <v>FANT</v>
      </c>
      <c r="E1991" s="86">
        <f t="shared" ca="1" si="434"/>
        <v>8</v>
      </c>
    </row>
    <row r="1992" spans="1:8" ht="14.25" x14ac:dyDescent="0.45">
      <c r="A1992" s="86">
        <f ca="1"/>
        <v>3</v>
      </c>
      <c r="B1992" s="86" t="str">
        <f ca="1"/>
        <v>D102</v>
      </c>
      <c r="C1992" s="86" t="str">
        <f t="shared" ca="1" si="432"/>
        <v>JALALUDHEEN K</v>
      </c>
      <c r="D1992" s="86" t="str">
        <f t="shared" ca="1" si="433"/>
        <v>DAHF</v>
      </c>
      <c r="E1992" s="86">
        <f t="shared" ca="1" si="434"/>
        <v>8</v>
      </c>
    </row>
    <row r="1993" spans="1:8" ht="14.25" x14ac:dyDescent="0.45">
      <c r="A1993" s="86">
        <f ca="1"/>
        <v>4</v>
      </c>
      <c r="B1993" s="86" t="str">
        <f ca="1"/>
        <v>D183</v>
      </c>
      <c r="C1993" s="86" t="str">
        <f t="shared" ca="1" si="432"/>
        <v>MOHAMMAD SWALIH K</v>
      </c>
      <c r="D1993" s="86" t="str">
        <f t="shared" ca="1" si="433"/>
        <v>DAHF</v>
      </c>
      <c r="E1993" s="86">
        <f t="shared" ca="1" si="434"/>
        <v>10</v>
      </c>
    </row>
    <row r="1994" spans="1:8" ht="14.25" x14ac:dyDescent="0.45">
      <c r="A1994" s="86">
        <f ca="1"/>
        <v>5</v>
      </c>
      <c r="B1994" s="86" t="str">
        <f ca="1"/>
        <v>D129</v>
      </c>
      <c r="C1994" s="86" t="str">
        <f t="shared" ca="1" si="432"/>
        <v>MUHAMMED UNAIS CK</v>
      </c>
      <c r="D1994" s="86" t="str">
        <f t="shared" ca="1" si="433"/>
        <v>BADF</v>
      </c>
      <c r="E1994" s="86">
        <f t="shared" ca="1" si="434"/>
        <v>8</v>
      </c>
    </row>
    <row r="1995" spans="1:8" ht="14.25" x14ac:dyDescent="0.45">
      <c r="A1995" s="86">
        <f ca="1"/>
        <v>6</v>
      </c>
      <c r="B1995" s="86" t="str">
        <f ca="1"/>
        <v>D173</v>
      </c>
      <c r="C1995" s="86" t="str">
        <f t="shared" ca="1" si="432"/>
        <v>ABOOBACKER SIDDIK</v>
      </c>
      <c r="D1995" s="86" t="str">
        <f t="shared" ca="1" si="433"/>
        <v>BADF</v>
      </c>
      <c r="E1995" s="86">
        <f t="shared" ca="1" si="434"/>
        <v>10</v>
      </c>
    </row>
    <row r="1996" spans="1:8" ht="14.25" x14ac:dyDescent="0.45">
      <c r="A1996" s="86">
        <f ca="1"/>
        <v>7</v>
      </c>
      <c r="B1996" s="86" t="str">
        <f ca="1"/>
        <v>D123</v>
      </c>
      <c r="C1996" s="86" t="str">
        <f t="shared" ca="1" si="432"/>
        <v>MOHAMMED SALIH</v>
      </c>
      <c r="D1996" s="86" t="str">
        <f t="shared" ca="1" si="433"/>
        <v>JARF</v>
      </c>
      <c r="E1996" s="86">
        <f t="shared" ca="1" si="434"/>
        <v>8</v>
      </c>
    </row>
    <row r="1997" spans="1:8" ht="14.25" x14ac:dyDescent="0.45">
      <c r="A1997" s="86">
        <f ca="1"/>
        <v>8</v>
      </c>
      <c r="B1997" s="86" t="str">
        <f ca="1"/>
        <v>D153</v>
      </c>
      <c r="C1997" s="86" t="str">
        <f t="shared" ca="1" si="432"/>
        <v>MUHAMMED UNAIS PT</v>
      </c>
      <c r="D1997" s="86" t="str">
        <f t="shared" ca="1" si="433"/>
        <v>JARF</v>
      </c>
      <c r="E1997" s="86">
        <f t="shared" ca="1" si="434"/>
        <v>9</v>
      </c>
    </row>
    <row r="1998" spans="1:8" ht="14.25" x14ac:dyDescent="0.45">
      <c r="A1998" s="84" t="s">
        <v>351</v>
      </c>
      <c r="B1998" s="84" t="str">
        <f>VLOOKUP("SS05",f_detailsof_programs,2,FALSE)</f>
        <v>ESSAY ARB</v>
      </c>
      <c r="C1998" s="84"/>
      <c r="D1998" s="84" t="s">
        <v>688</v>
      </c>
      <c r="E1998" s="84" t="s">
        <v>485</v>
      </c>
      <c r="F1998" s="84"/>
      <c r="G1998" s="84"/>
      <c r="H1998" s="84"/>
    </row>
    <row r="1999" spans="1:8" ht="14.25" x14ac:dyDescent="0.45">
      <c r="A1999" s="85" t="s">
        <v>16</v>
      </c>
      <c r="B1999" s="85" t="s">
        <v>480</v>
      </c>
      <c r="C1999" s="85" t="s">
        <v>18</v>
      </c>
      <c r="D1999" s="85" t="s">
        <v>481</v>
      </c>
      <c r="E1999" s="85" t="s">
        <v>19</v>
      </c>
      <c r="F1999" s="85" t="s">
        <v>482</v>
      </c>
      <c r="G1999" s="85" t="s">
        <v>483</v>
      </c>
      <c r="H1999" s="85" t="s">
        <v>484</v>
      </c>
    </row>
    <row r="2000" spans="1:8" ht="14.25" x14ac:dyDescent="0.45">
      <c r="A2000" s="86" cm="1">
        <f t="array" aca="1" ref="A2000:A2011" ca="1">_xlfn.SEQUENCE(COUNTA(_xlfn.LET(_xlpm.trimmed,OFFSET(f_listof_program_candidates,MATCH("SS05",f_listof_program_codes,0)-1,6,1,),TRANSPOSE(_xlfn._xlws.FILTER(OFFSET(_xlpm.trimmed,0,0,,COUNTA(_xlpm.trimmed)-5),OFFSET(_xlpm.trimmed,0,0,,COUNTA(_xlpm.trimmed)-5)&lt;&gt;0)))))</f>
        <v>1</v>
      </c>
      <c r="B2000" s="86" t="str" cm="1">
        <f t="array" aca="1" ref="B2000:B2011" ca="1">_xlfn.LET(_xlpm.trimmed,OFFSET(f_listof_program_candidates,MATCH("SS05",f_listof_program_codes,0)-1,6,1,),TRANSPOSE(_xlfn._xlws.FILTER(OFFSET(_xlpm.trimmed,0,0,,COUNTA(_xlpm.trimmed)-5),OFFSET(_xlpm.trimmed,0,0,,COUNTA(_xlpm.trimmed)-5)&lt;&gt;0)))</f>
        <v>D142</v>
      </c>
      <c r="C2000" s="86" t="str">
        <f t="shared" ref="C2000:C2011" ca="1" si="435">VLOOKUP(B2000,f_detailsof_candidates,2,FALSE)</f>
        <v>ISHAM V.K</v>
      </c>
      <c r="D2000" s="86" t="str">
        <f t="shared" ref="D2000:D2011" ca="1" si="436">VLOOKUP(B2000,f_detailsof_candidates,3,FALSE)</f>
        <v>FANT</v>
      </c>
      <c r="E2000" s="86">
        <f t="shared" ref="E2000:E2011" ca="1" si="437">VLOOKUP(B2000,f_detailsof_candidates,5,FALSE)</f>
        <v>9</v>
      </c>
    </row>
    <row r="2001" spans="1:8" ht="14.25" x14ac:dyDescent="0.45">
      <c r="A2001" s="86">
        <f ca="1"/>
        <v>2</v>
      </c>
      <c r="B2001" s="86" t="str">
        <f ca="1"/>
        <v>D177</v>
      </c>
      <c r="C2001" s="86" t="str">
        <f t="shared" ca="1" si="435"/>
        <v>SHAMEEM ABDULLA P.S</v>
      </c>
      <c r="D2001" s="86" t="str">
        <f t="shared" ca="1" si="436"/>
        <v>FANT</v>
      </c>
      <c r="E2001" s="86">
        <f t="shared" ca="1" si="437"/>
        <v>10</v>
      </c>
    </row>
    <row r="2002" spans="1:8" ht="14.25" x14ac:dyDescent="0.45">
      <c r="A2002" s="86">
        <f ca="1"/>
        <v>3</v>
      </c>
      <c r="B2002" s="86" t="str">
        <f ca="1"/>
        <v>D198</v>
      </c>
      <c r="C2002" s="86" t="str">
        <f t="shared" ca="1" si="435"/>
        <v>MUHAMMED SAFWAN</v>
      </c>
      <c r="D2002" s="86" t="str">
        <f t="shared" ca="1" si="436"/>
        <v>FANT</v>
      </c>
      <c r="E2002" s="86">
        <f t="shared" ca="1" si="437"/>
        <v>10</v>
      </c>
    </row>
    <row r="2003" spans="1:8" ht="14.25" x14ac:dyDescent="0.45">
      <c r="A2003" s="86">
        <f ca="1"/>
        <v>4</v>
      </c>
      <c r="B2003" s="86" t="str">
        <f ca="1"/>
        <v>D140</v>
      </c>
      <c r="C2003" s="86" t="str">
        <f t="shared" ca="1" si="435"/>
        <v>MUHAMMED FAISAL A K</v>
      </c>
      <c r="D2003" s="86" t="str">
        <f t="shared" ca="1" si="436"/>
        <v>DAHF</v>
      </c>
      <c r="E2003" s="86">
        <f t="shared" ca="1" si="437"/>
        <v>9</v>
      </c>
    </row>
    <row r="2004" spans="1:8" ht="14.25" x14ac:dyDescent="0.45">
      <c r="A2004" s="86">
        <f ca="1"/>
        <v>5</v>
      </c>
      <c r="B2004" s="86" t="str">
        <f ca="1"/>
        <v>D148</v>
      </c>
      <c r="C2004" s="86" t="str">
        <f t="shared" ca="1" si="435"/>
        <v>UMARUL FAROOK K .K</v>
      </c>
      <c r="D2004" s="86" t="str">
        <f t="shared" ca="1" si="436"/>
        <v>DAHF</v>
      </c>
      <c r="E2004" s="86">
        <f t="shared" ca="1" si="437"/>
        <v>9</v>
      </c>
    </row>
    <row r="2005" spans="1:8" ht="14.25" x14ac:dyDescent="0.45">
      <c r="A2005" s="86">
        <f ca="1"/>
        <v>6</v>
      </c>
      <c r="B2005" s="86" t="str">
        <f ca="1"/>
        <v>D166</v>
      </c>
      <c r="C2005" s="86" t="str">
        <f t="shared" ca="1" si="435"/>
        <v>MOHAMMED IRFAN C</v>
      </c>
      <c r="D2005" s="86" t="str">
        <f t="shared" ca="1" si="436"/>
        <v>DAHF</v>
      </c>
      <c r="E2005" s="86">
        <f t="shared" ca="1" si="437"/>
        <v>9</v>
      </c>
    </row>
    <row r="2006" spans="1:8" ht="14.25" x14ac:dyDescent="0.45">
      <c r="A2006" s="86">
        <f ca="1"/>
        <v>7</v>
      </c>
      <c r="B2006" s="86" t="str">
        <f ca="1"/>
        <v>D119</v>
      </c>
      <c r="C2006" s="86" t="str">
        <f t="shared" ca="1" si="435"/>
        <v>ABU THAHIR</v>
      </c>
      <c r="D2006" s="86" t="str">
        <f t="shared" ca="1" si="436"/>
        <v>BADF</v>
      </c>
      <c r="E2006" s="86">
        <f t="shared" ca="1" si="437"/>
        <v>8</v>
      </c>
    </row>
    <row r="2007" spans="1:8" ht="14.25" x14ac:dyDescent="0.45">
      <c r="A2007" s="86">
        <f ca="1"/>
        <v>8</v>
      </c>
      <c r="B2007" s="86" t="str">
        <f ca="1"/>
        <v>D162</v>
      </c>
      <c r="C2007" s="86" t="str">
        <f t="shared" ca="1" si="435"/>
        <v>ABDURAHMAN P.H</v>
      </c>
      <c r="D2007" s="86" t="str">
        <f t="shared" ca="1" si="436"/>
        <v>BADF</v>
      </c>
      <c r="E2007" s="86">
        <f t="shared" ca="1" si="437"/>
        <v>9</v>
      </c>
    </row>
    <row r="2008" spans="1:8" ht="14.25" x14ac:dyDescent="0.45">
      <c r="A2008" s="86">
        <f ca="1"/>
        <v>9</v>
      </c>
      <c r="B2008" s="86" t="str">
        <f ca="1"/>
        <v>D178</v>
      </c>
      <c r="C2008" s="86" t="str">
        <f t="shared" ca="1" si="435"/>
        <v>AHMED BK</v>
      </c>
      <c r="D2008" s="86" t="str">
        <f t="shared" ca="1" si="436"/>
        <v>BADF</v>
      </c>
      <c r="E2008" s="86">
        <f t="shared" ca="1" si="437"/>
        <v>10</v>
      </c>
    </row>
    <row r="2009" spans="1:8" ht="14.25" x14ac:dyDescent="0.45">
      <c r="A2009" s="86">
        <f ca="1"/>
        <v>10</v>
      </c>
      <c r="B2009" s="86" t="str">
        <f ca="1"/>
        <v>D104</v>
      </c>
      <c r="C2009" s="86" t="str">
        <f t="shared" ca="1" si="435"/>
        <v>MUHAMMAD SHANEED.</v>
      </c>
      <c r="D2009" s="86" t="str">
        <f t="shared" ca="1" si="436"/>
        <v>JARF</v>
      </c>
      <c r="E2009" s="86">
        <f t="shared" ca="1" si="437"/>
        <v>8</v>
      </c>
    </row>
    <row r="2010" spans="1:8" ht="14.25" x14ac:dyDescent="0.45">
      <c r="A2010" s="86">
        <f ca="1"/>
        <v>11</v>
      </c>
      <c r="B2010" s="86" t="str">
        <f ca="1"/>
        <v>D113</v>
      </c>
      <c r="C2010" s="86" t="str">
        <f t="shared" ca="1" si="435"/>
        <v>ZULFIKARALI</v>
      </c>
      <c r="D2010" s="86" t="str">
        <f t="shared" ca="1" si="436"/>
        <v>JARF</v>
      </c>
      <c r="E2010" s="86">
        <f t="shared" ca="1" si="437"/>
        <v>8</v>
      </c>
    </row>
    <row r="2011" spans="1:8" ht="14.25" x14ac:dyDescent="0.45">
      <c r="A2011" s="86">
        <f ca="1"/>
        <v>12</v>
      </c>
      <c r="B2011" s="86" t="str">
        <f ca="1"/>
        <v>D149</v>
      </c>
      <c r="C2011" s="86" t="str">
        <f t="shared" ca="1" si="435"/>
        <v>MOHAMMED MARZOOK AM</v>
      </c>
      <c r="D2011" s="86" t="str">
        <f t="shared" ca="1" si="436"/>
        <v>JARF</v>
      </c>
      <c r="E2011" s="86">
        <f t="shared" ca="1" si="437"/>
        <v>9</v>
      </c>
    </row>
    <row r="2012" spans="1:8" ht="14.25" x14ac:dyDescent="0.45">
      <c r="A2012" s="84" t="s">
        <v>352</v>
      </c>
      <c r="B2012" s="84" t="str">
        <f>VLOOKUP("SS06",f_detailsof_programs,2,FALSE)</f>
        <v>ESSAY MLM</v>
      </c>
      <c r="C2012" s="84"/>
      <c r="D2012" s="84" t="s">
        <v>688</v>
      </c>
      <c r="E2012" s="84" t="s">
        <v>485</v>
      </c>
      <c r="F2012" s="84"/>
      <c r="G2012" s="84"/>
      <c r="H2012" s="84"/>
    </row>
    <row r="2013" spans="1:8" ht="14.25" x14ac:dyDescent="0.45">
      <c r="A2013" s="85" t="s">
        <v>16</v>
      </c>
      <c r="B2013" s="85" t="s">
        <v>480</v>
      </c>
      <c r="C2013" s="85" t="s">
        <v>18</v>
      </c>
      <c r="D2013" s="85" t="s">
        <v>481</v>
      </c>
      <c r="E2013" s="85" t="s">
        <v>19</v>
      </c>
      <c r="F2013" s="85" t="s">
        <v>482</v>
      </c>
      <c r="G2013" s="85" t="s">
        <v>483</v>
      </c>
      <c r="H2013" s="85" t="s">
        <v>484</v>
      </c>
    </row>
    <row r="2014" spans="1:8" ht="14.25" x14ac:dyDescent="0.45">
      <c r="A2014" s="86" cm="1">
        <f t="array" aca="1" ref="A2014:A2025" ca="1">_xlfn.SEQUENCE(COUNTA(_xlfn.LET(_xlpm.trimmed,OFFSET(f_listof_program_candidates,MATCH("SS06",f_listof_program_codes,0)-1,6,1,),TRANSPOSE(_xlfn._xlws.FILTER(OFFSET(_xlpm.trimmed,0,0,,COUNTA(_xlpm.trimmed)-5),OFFSET(_xlpm.trimmed,0,0,,COUNTA(_xlpm.trimmed)-5)&lt;&gt;0)))))</f>
        <v>1</v>
      </c>
      <c r="B2014" s="86" t="str" cm="1">
        <f t="array" aca="1" ref="B2014:B2025" ca="1">_xlfn.LET(_xlpm.trimmed,OFFSET(f_listof_program_candidates,MATCH("SS06",f_listof_program_codes,0)-1,6,1,),TRANSPOSE(_xlfn._xlws.FILTER(OFFSET(_xlpm.trimmed,0,0,,COUNTA(_xlpm.trimmed)-5),OFFSET(_xlpm.trimmed,0,0,,COUNTA(_xlpm.trimmed)-5)&lt;&gt;0)))</f>
        <v>D127</v>
      </c>
      <c r="C2014" s="86" t="str">
        <f t="shared" ref="C2014:C2025" ca="1" si="438">VLOOKUP(B2014,f_detailsof_candidates,2,FALSE)</f>
        <v>SHADIN G</v>
      </c>
      <c r="D2014" s="86" t="str">
        <f t="shared" ref="D2014:D2025" ca="1" si="439">VLOOKUP(B2014,f_detailsof_candidates,3,FALSE)</f>
        <v>FANT</v>
      </c>
      <c r="E2014" s="86">
        <f t="shared" ref="E2014:E2025" ca="1" si="440">VLOOKUP(B2014,f_detailsof_candidates,5,FALSE)</f>
        <v>8</v>
      </c>
    </row>
    <row r="2015" spans="1:8" ht="14.25" x14ac:dyDescent="0.45">
      <c r="A2015" s="86">
        <f ca="1"/>
        <v>2</v>
      </c>
      <c r="B2015" s="86" t="str">
        <f ca="1"/>
        <v>D133</v>
      </c>
      <c r="C2015" s="86" t="str">
        <f t="shared" ca="1" si="438"/>
        <v>MOHAMMED SHAMSHEER</v>
      </c>
      <c r="D2015" s="86" t="str">
        <f t="shared" ca="1" si="439"/>
        <v>FANT</v>
      </c>
      <c r="E2015" s="86">
        <f t="shared" ca="1" si="440"/>
        <v>9</v>
      </c>
    </row>
    <row r="2016" spans="1:8" ht="14.25" x14ac:dyDescent="0.45">
      <c r="A2016" s="86">
        <f ca="1"/>
        <v>3</v>
      </c>
      <c r="B2016" s="86" t="str">
        <f ca="1"/>
        <v>D147</v>
      </c>
      <c r="C2016" s="86" t="str">
        <f t="shared" ca="1" si="438"/>
        <v>MOHAMMED SHAHZAN T.K</v>
      </c>
      <c r="D2016" s="86" t="str">
        <f t="shared" ca="1" si="439"/>
        <v>FANT</v>
      </c>
      <c r="E2016" s="86">
        <f t="shared" ca="1" si="440"/>
        <v>9</v>
      </c>
    </row>
    <row r="2017" spans="1:8" ht="14.25" x14ac:dyDescent="0.45">
      <c r="A2017" s="86">
        <f ca="1"/>
        <v>4</v>
      </c>
      <c r="B2017" s="86" t="str">
        <f ca="1"/>
        <v>D146</v>
      </c>
      <c r="C2017" s="86" t="str">
        <f t="shared" ca="1" si="438"/>
        <v>ABDUL YOUNUS</v>
      </c>
      <c r="D2017" s="86" t="str">
        <f t="shared" ca="1" si="439"/>
        <v>DAHF</v>
      </c>
      <c r="E2017" s="86">
        <f t="shared" ca="1" si="440"/>
        <v>9</v>
      </c>
    </row>
    <row r="2018" spans="1:8" ht="14.25" x14ac:dyDescent="0.45">
      <c r="A2018" s="86">
        <f ca="1"/>
        <v>5</v>
      </c>
      <c r="B2018" s="86" t="str">
        <f ca="1"/>
        <v>D187</v>
      </c>
      <c r="C2018" s="86" t="str">
        <f t="shared" ca="1" si="438"/>
        <v>ABDUL RAHMAN</v>
      </c>
      <c r="D2018" s="86" t="str">
        <f t="shared" ca="1" si="439"/>
        <v>DAHF</v>
      </c>
      <c r="E2018" s="86">
        <f t="shared" ca="1" si="440"/>
        <v>10</v>
      </c>
    </row>
    <row r="2019" spans="1:8" ht="14.25" x14ac:dyDescent="0.45">
      <c r="A2019" s="86">
        <f ca="1"/>
        <v>6</v>
      </c>
      <c r="B2019" s="86" t="str">
        <f ca="1"/>
        <v>D196</v>
      </c>
      <c r="C2019" s="86" t="str">
        <f t="shared" ca="1" si="438"/>
        <v>ABDUL VAJID K</v>
      </c>
      <c r="D2019" s="86" t="str">
        <f t="shared" ca="1" si="439"/>
        <v>DAHF</v>
      </c>
      <c r="E2019" s="86">
        <f t="shared" ca="1" si="440"/>
        <v>10</v>
      </c>
    </row>
    <row r="2020" spans="1:8" ht="14.25" x14ac:dyDescent="0.45">
      <c r="A2020" s="86">
        <f ca="1"/>
        <v>7</v>
      </c>
      <c r="B2020" s="86" t="str">
        <f ca="1"/>
        <v>D137</v>
      </c>
      <c r="C2020" s="86" t="str">
        <f t="shared" ca="1" si="438"/>
        <v>AYYOOB V.N</v>
      </c>
      <c r="D2020" s="86" t="str">
        <f t="shared" ca="1" si="439"/>
        <v>BADF</v>
      </c>
      <c r="E2020" s="86">
        <f t="shared" ca="1" si="440"/>
        <v>9</v>
      </c>
    </row>
    <row r="2021" spans="1:8" ht="14.25" x14ac:dyDescent="0.45">
      <c r="A2021" s="86">
        <f ca="1"/>
        <v>8</v>
      </c>
      <c r="B2021" s="86" t="str">
        <f ca="1"/>
        <v>D157</v>
      </c>
      <c r="C2021" s="86" t="str">
        <f t="shared" ca="1" si="438"/>
        <v>MUHAMMAD MUZAMMIL E.A</v>
      </c>
      <c r="D2021" s="86" t="str">
        <f t="shared" ca="1" si="439"/>
        <v>BADF</v>
      </c>
      <c r="E2021" s="86">
        <f t="shared" ca="1" si="440"/>
        <v>9</v>
      </c>
    </row>
    <row r="2022" spans="1:8" ht="14.25" x14ac:dyDescent="0.45">
      <c r="A2022" s="86">
        <f ca="1"/>
        <v>9</v>
      </c>
      <c r="B2022" s="86" t="str">
        <f ca="1"/>
        <v>D195</v>
      </c>
      <c r="C2022" s="86" t="str">
        <f t="shared" ca="1" si="438"/>
        <v>AHMED SWALAHUDHEEN PI</v>
      </c>
      <c r="D2022" s="86" t="str">
        <f t="shared" ca="1" si="439"/>
        <v>BADF</v>
      </c>
      <c r="E2022" s="86">
        <f t="shared" ca="1" si="440"/>
        <v>10</v>
      </c>
    </row>
    <row r="2023" spans="1:8" ht="14.25" x14ac:dyDescent="0.45">
      <c r="A2023" s="86">
        <f ca="1"/>
        <v>10</v>
      </c>
      <c r="B2023" s="86" t="str">
        <f ca="1"/>
        <v>D136</v>
      </c>
      <c r="C2023" s="86" t="str">
        <f t="shared" ca="1" si="438"/>
        <v>MUHAMMED ASBAQUE</v>
      </c>
      <c r="D2023" s="86" t="str">
        <f t="shared" ca="1" si="439"/>
        <v>JARF</v>
      </c>
      <c r="E2023" s="86">
        <f t="shared" ca="1" si="440"/>
        <v>9</v>
      </c>
    </row>
    <row r="2024" spans="1:8" ht="14.25" x14ac:dyDescent="0.45">
      <c r="A2024" s="86">
        <f ca="1"/>
        <v>11</v>
      </c>
      <c r="B2024" s="86" t="str">
        <f ca="1"/>
        <v>D151</v>
      </c>
      <c r="C2024" s="86" t="str">
        <f t="shared" ca="1" si="438"/>
        <v>MUHAMMED SHANAVAS M.A</v>
      </c>
      <c r="D2024" s="86" t="str">
        <f t="shared" ca="1" si="439"/>
        <v>JARF</v>
      </c>
      <c r="E2024" s="86">
        <f t="shared" ca="1" si="440"/>
        <v>9</v>
      </c>
    </row>
    <row r="2025" spans="1:8" ht="14.25" x14ac:dyDescent="0.45">
      <c r="A2025" s="86">
        <f ca="1"/>
        <v>12</v>
      </c>
      <c r="B2025" s="86" t="str">
        <f ca="1"/>
        <v>D194</v>
      </c>
      <c r="C2025" s="86" t="str">
        <f t="shared" ca="1" si="438"/>
        <v>AYAZ RAHMAN T</v>
      </c>
      <c r="D2025" s="86" t="str">
        <f t="shared" ca="1" si="439"/>
        <v>JARF</v>
      </c>
      <c r="E2025" s="86">
        <f t="shared" ca="1" si="440"/>
        <v>10</v>
      </c>
    </row>
    <row r="2026" spans="1:8" ht="14.25" x14ac:dyDescent="0.45">
      <c r="A2026" s="84" t="s">
        <v>353</v>
      </c>
      <c r="B2026" s="84" t="str">
        <f>VLOOKUP("SS07",f_detailsof_programs,2,FALSE)</f>
        <v>ESSAY URD</v>
      </c>
      <c r="C2026" s="84"/>
      <c r="D2026" s="84" t="s">
        <v>688</v>
      </c>
      <c r="E2026" s="84" t="s">
        <v>485</v>
      </c>
      <c r="F2026" s="84"/>
      <c r="G2026" s="84"/>
      <c r="H2026" s="84"/>
    </row>
    <row r="2027" spans="1:8" ht="14.25" x14ac:dyDescent="0.45">
      <c r="A2027" s="85" t="s">
        <v>16</v>
      </c>
      <c r="B2027" s="85" t="s">
        <v>480</v>
      </c>
      <c r="C2027" s="85" t="s">
        <v>18</v>
      </c>
      <c r="D2027" s="85" t="s">
        <v>481</v>
      </c>
      <c r="E2027" s="85" t="s">
        <v>19</v>
      </c>
      <c r="F2027" s="85" t="s">
        <v>482</v>
      </c>
      <c r="G2027" s="85" t="s">
        <v>483</v>
      </c>
      <c r="H2027" s="85" t="s">
        <v>484</v>
      </c>
    </row>
    <row r="2028" spans="1:8" ht="14.25" x14ac:dyDescent="0.45">
      <c r="A2028" s="86" cm="1">
        <f t="array" aca="1" ref="A2028:A2039" ca="1">_xlfn.SEQUENCE(COUNTA(_xlfn.LET(_xlpm.trimmed,OFFSET(f_listof_program_candidates,MATCH("SS07",f_listof_program_codes,0)-1,6,1,),TRANSPOSE(_xlfn._xlws.FILTER(OFFSET(_xlpm.trimmed,0,0,,COUNTA(_xlpm.trimmed)-5),OFFSET(_xlpm.trimmed,0,0,,COUNTA(_xlpm.trimmed)-5)&lt;&gt;0)))))</f>
        <v>1</v>
      </c>
      <c r="B2028" s="86" t="str" cm="1">
        <f t="array" aca="1" ref="B2028:B2039" ca="1">_xlfn.LET(_xlpm.trimmed,OFFSET(f_listof_program_candidates,MATCH("SS07",f_listof_program_codes,0)-1,6,1,),TRANSPOSE(_xlfn._xlws.FILTER(OFFSET(_xlpm.trimmed,0,0,,COUNTA(_xlpm.trimmed)-5),OFFSET(_xlpm.trimmed,0,0,,COUNTA(_xlpm.trimmed)-5)&lt;&gt;0)))</f>
        <v>D128</v>
      </c>
      <c r="C2028" s="86" t="str">
        <f t="shared" ref="C2028:C2039" ca="1" si="441">VLOOKUP(B2028,f_detailsof_candidates,2,FALSE)</f>
        <v>MEHAZIN AMAN T</v>
      </c>
      <c r="D2028" s="86" t="str">
        <f t="shared" ref="D2028:D2039" ca="1" si="442">VLOOKUP(B2028,f_detailsof_candidates,3,FALSE)</f>
        <v>FANT</v>
      </c>
      <c r="E2028" s="86">
        <f t="shared" ref="E2028:E2039" ca="1" si="443">VLOOKUP(B2028,f_detailsof_candidates,5,FALSE)</f>
        <v>8</v>
      </c>
    </row>
    <row r="2029" spans="1:8" ht="14.25" x14ac:dyDescent="0.45">
      <c r="A2029" s="86">
        <f ca="1"/>
        <v>2</v>
      </c>
      <c r="B2029" s="86" t="str">
        <f ca="1"/>
        <v>D147</v>
      </c>
      <c r="C2029" s="86" t="str">
        <f t="shared" ca="1" si="441"/>
        <v>MOHAMMED SHAHZAN T.K</v>
      </c>
      <c r="D2029" s="86" t="str">
        <f t="shared" ca="1" si="442"/>
        <v>FANT</v>
      </c>
      <c r="E2029" s="86">
        <f t="shared" ca="1" si="443"/>
        <v>9</v>
      </c>
    </row>
    <row r="2030" spans="1:8" ht="14.25" x14ac:dyDescent="0.45">
      <c r="A2030" s="86">
        <f ca="1"/>
        <v>3</v>
      </c>
      <c r="B2030" s="86" t="str">
        <f ca="1"/>
        <v>D184</v>
      </c>
      <c r="C2030" s="86" t="str">
        <f t="shared" ca="1" si="441"/>
        <v>YASEEN</v>
      </c>
      <c r="D2030" s="86" t="str">
        <f t="shared" ca="1" si="442"/>
        <v>FANT</v>
      </c>
      <c r="E2030" s="86">
        <f t="shared" ca="1" si="443"/>
        <v>10</v>
      </c>
    </row>
    <row r="2031" spans="1:8" ht="14.25" x14ac:dyDescent="0.45">
      <c r="A2031" s="86">
        <f ca="1"/>
        <v>4</v>
      </c>
      <c r="B2031" s="86" t="str">
        <f ca="1"/>
        <v>D131</v>
      </c>
      <c r="C2031" s="86" t="str">
        <f t="shared" ca="1" si="441"/>
        <v>MAHAMMAD RIYAZ</v>
      </c>
      <c r="D2031" s="86" t="str">
        <f t="shared" ca="1" si="442"/>
        <v>DAHF</v>
      </c>
      <c r="E2031" s="86">
        <f t="shared" ca="1" si="443"/>
        <v>9</v>
      </c>
    </row>
    <row r="2032" spans="1:8" ht="14.25" x14ac:dyDescent="0.45">
      <c r="A2032" s="86">
        <f ca="1"/>
        <v>5</v>
      </c>
      <c r="B2032" s="86" t="str">
        <f ca="1"/>
        <v>D166</v>
      </c>
      <c r="C2032" s="86" t="str">
        <f t="shared" ca="1" si="441"/>
        <v>MOHAMMED IRFAN C</v>
      </c>
      <c r="D2032" s="86" t="str">
        <f t="shared" ca="1" si="442"/>
        <v>DAHF</v>
      </c>
      <c r="E2032" s="86">
        <f t="shared" ca="1" si="443"/>
        <v>9</v>
      </c>
    </row>
    <row r="2033" spans="1:8" ht="14.25" x14ac:dyDescent="0.45">
      <c r="A2033" s="86">
        <f ca="1"/>
        <v>6</v>
      </c>
      <c r="B2033" s="86" t="str">
        <f ca="1"/>
        <v>D187</v>
      </c>
      <c r="C2033" s="86" t="str">
        <f t="shared" ca="1" si="441"/>
        <v>ABDUL RAHMAN</v>
      </c>
      <c r="D2033" s="86" t="str">
        <f t="shared" ca="1" si="442"/>
        <v>DAHF</v>
      </c>
      <c r="E2033" s="86">
        <f t="shared" ca="1" si="443"/>
        <v>10</v>
      </c>
    </row>
    <row r="2034" spans="1:8" ht="14.25" x14ac:dyDescent="0.45">
      <c r="A2034" s="86">
        <f ca="1"/>
        <v>7</v>
      </c>
      <c r="B2034" s="86" t="str">
        <f ca="1"/>
        <v>D118</v>
      </c>
      <c r="C2034" s="86" t="str">
        <f t="shared" ca="1" si="441"/>
        <v>MOHAMMAD KHALANDAR ZIYAD</v>
      </c>
      <c r="D2034" s="86" t="str">
        <f t="shared" ca="1" si="442"/>
        <v>BADF</v>
      </c>
      <c r="E2034" s="86">
        <f t="shared" ca="1" si="443"/>
        <v>8</v>
      </c>
    </row>
    <row r="2035" spans="1:8" ht="14.25" x14ac:dyDescent="0.45">
      <c r="A2035" s="86">
        <f ca="1"/>
        <v>8</v>
      </c>
      <c r="B2035" s="86" t="str">
        <f ca="1"/>
        <v>D161</v>
      </c>
      <c r="C2035" s="86" t="str">
        <f t="shared" ca="1" si="441"/>
        <v>MOHAMMED ATHHAR THAYYIB MS</v>
      </c>
      <c r="D2035" s="86" t="str">
        <f t="shared" ca="1" si="442"/>
        <v>BADF</v>
      </c>
      <c r="E2035" s="86">
        <f t="shared" ca="1" si="443"/>
        <v>9</v>
      </c>
    </row>
    <row r="2036" spans="1:8" ht="14.25" x14ac:dyDescent="0.45">
      <c r="A2036" s="86">
        <f ca="1"/>
        <v>9</v>
      </c>
      <c r="B2036" s="86" t="str">
        <f ca="1"/>
        <v>D162</v>
      </c>
      <c r="C2036" s="86" t="str">
        <f t="shared" ca="1" si="441"/>
        <v>ABDURAHMAN P.H</v>
      </c>
      <c r="D2036" s="86" t="str">
        <f t="shared" ca="1" si="442"/>
        <v>BADF</v>
      </c>
      <c r="E2036" s="86">
        <f t="shared" ca="1" si="443"/>
        <v>9</v>
      </c>
    </row>
    <row r="2037" spans="1:8" ht="14.25" x14ac:dyDescent="0.45">
      <c r="A2037" s="86">
        <f ca="1"/>
        <v>10</v>
      </c>
      <c r="B2037" s="86" t="str">
        <f ca="1"/>
        <v>D111</v>
      </c>
      <c r="C2037" s="86" t="str">
        <f t="shared" ca="1" si="441"/>
        <v>MAHAMMED SHAMEEL</v>
      </c>
      <c r="D2037" s="86" t="str">
        <f t="shared" ca="1" si="442"/>
        <v>JARF</v>
      </c>
      <c r="E2037" s="86">
        <f t="shared" ca="1" si="443"/>
        <v>8</v>
      </c>
    </row>
    <row r="2038" spans="1:8" ht="14.25" x14ac:dyDescent="0.45">
      <c r="A2038" s="86">
        <f ca="1"/>
        <v>11</v>
      </c>
      <c r="B2038" s="86" t="str">
        <f ca="1"/>
        <v>D116</v>
      </c>
      <c r="C2038" s="86" t="str">
        <f t="shared" ca="1" si="441"/>
        <v>HASSAN SHADDAD UM</v>
      </c>
      <c r="D2038" s="86" t="str">
        <f t="shared" ca="1" si="442"/>
        <v>JARF</v>
      </c>
      <c r="E2038" s="86">
        <f t="shared" ca="1" si="443"/>
        <v>8</v>
      </c>
    </row>
    <row r="2039" spans="1:8" ht="14.25" x14ac:dyDescent="0.45">
      <c r="A2039" s="86">
        <f ca="1"/>
        <v>12</v>
      </c>
      <c r="B2039" s="86" t="str">
        <f ca="1"/>
        <v>D164</v>
      </c>
      <c r="C2039" s="86" t="str">
        <f t="shared" ca="1" si="441"/>
        <v>AHMED SULTHAN</v>
      </c>
      <c r="D2039" s="86" t="str">
        <f t="shared" ca="1" si="442"/>
        <v>JARF</v>
      </c>
      <c r="E2039" s="86">
        <f t="shared" ca="1" si="443"/>
        <v>9</v>
      </c>
    </row>
    <row r="2040" spans="1:8" ht="14.25" x14ac:dyDescent="0.45">
      <c r="A2040" s="84" t="s">
        <v>354</v>
      </c>
      <c r="B2040" s="84" t="str">
        <f>VLOOKUP("SS08",f_detailsof_programs,2,FALSE)</f>
        <v>EXCEL EXPERT</v>
      </c>
      <c r="C2040" s="84"/>
      <c r="D2040" s="84" t="s">
        <v>688</v>
      </c>
      <c r="E2040" s="84" t="s">
        <v>486</v>
      </c>
      <c r="F2040" s="84"/>
      <c r="G2040" s="84"/>
      <c r="H2040" s="84"/>
    </row>
    <row r="2041" spans="1:8" ht="14.25" x14ac:dyDescent="0.45">
      <c r="A2041" s="85" t="s">
        <v>16</v>
      </c>
      <c r="B2041" s="85" t="s">
        <v>480</v>
      </c>
      <c r="C2041" s="85" t="s">
        <v>18</v>
      </c>
      <c r="D2041" s="85" t="s">
        <v>481</v>
      </c>
      <c r="E2041" s="85" t="s">
        <v>19</v>
      </c>
      <c r="F2041" s="85" t="s">
        <v>482</v>
      </c>
      <c r="G2041" s="85" t="s">
        <v>483</v>
      </c>
      <c r="H2041" s="85" t="s">
        <v>484</v>
      </c>
    </row>
    <row r="2042" spans="1:8" ht="14.25" x14ac:dyDescent="0.45">
      <c r="A2042" s="86" cm="1">
        <f t="array" aca="1" ref="A2042:A2049" ca="1">_xlfn.SEQUENCE(COUNTA(_xlfn.LET(_xlpm.trimmed,OFFSET(f_listof_program_candidates,MATCH("SS08",f_listof_program_codes,0)-1,6,1,),TRANSPOSE(_xlfn._xlws.FILTER(OFFSET(_xlpm.trimmed,0,0,,COUNTA(_xlpm.trimmed)-5),OFFSET(_xlpm.trimmed,0,0,,COUNTA(_xlpm.trimmed)-5)&lt;&gt;0)))))</f>
        <v>1</v>
      </c>
      <c r="B2042" s="86" t="str" cm="1">
        <f t="array" aca="1" ref="B2042:B2049" ca="1">_xlfn.LET(_xlpm.trimmed,OFFSET(f_listof_program_candidates,MATCH("SS08",f_listof_program_codes,0)-1,6,1,),TRANSPOSE(_xlfn._xlws.FILTER(OFFSET(_xlpm.trimmed,0,0,,COUNTA(_xlpm.trimmed)-5),OFFSET(_xlpm.trimmed,0,0,,COUNTA(_xlpm.trimmed)-5)&lt;&gt;0)))</f>
        <v>D134</v>
      </c>
      <c r="C2042" s="86" t="str">
        <f t="shared" ref="C2042:C2049" ca="1" si="444">VLOOKUP(B2042,f_detailsof_candidates,2,FALSE)</f>
        <v>AJMAL ANEES</v>
      </c>
      <c r="D2042" s="86" t="str">
        <f t="shared" ref="D2042:D2049" ca="1" si="445">VLOOKUP(B2042,f_detailsof_candidates,3,FALSE)</f>
        <v>FANT</v>
      </c>
      <c r="E2042" s="86">
        <f t="shared" ref="E2042:E2049" ca="1" si="446">VLOOKUP(B2042,f_detailsof_candidates,5,FALSE)</f>
        <v>9</v>
      </c>
    </row>
    <row r="2043" spans="1:8" ht="14.25" x14ac:dyDescent="0.45">
      <c r="A2043" s="86">
        <f ca="1"/>
        <v>2</v>
      </c>
      <c r="B2043" s="86" t="str">
        <f ca="1"/>
        <v>D177</v>
      </c>
      <c r="C2043" s="86" t="str">
        <f t="shared" ca="1" si="444"/>
        <v>SHAMEEM ABDULLA P.S</v>
      </c>
      <c r="D2043" s="86" t="str">
        <f t="shared" ca="1" si="445"/>
        <v>FANT</v>
      </c>
      <c r="E2043" s="86">
        <f t="shared" ca="1" si="446"/>
        <v>10</v>
      </c>
    </row>
    <row r="2044" spans="1:8" ht="14.25" x14ac:dyDescent="0.45">
      <c r="A2044" s="86">
        <f ca="1"/>
        <v>3</v>
      </c>
      <c r="B2044" s="86" t="str">
        <f ca="1"/>
        <v>D108</v>
      </c>
      <c r="C2044" s="86" t="str">
        <f t="shared" ca="1" si="444"/>
        <v>MOHAMMED HASHIR</v>
      </c>
      <c r="D2044" s="86" t="str">
        <f t="shared" ca="1" si="445"/>
        <v>DAHF</v>
      </c>
      <c r="E2044" s="86">
        <f t="shared" ca="1" si="446"/>
        <v>8</v>
      </c>
    </row>
    <row r="2045" spans="1:8" ht="14.25" x14ac:dyDescent="0.45">
      <c r="A2045" s="86">
        <f ca="1"/>
        <v>4</v>
      </c>
      <c r="B2045" s="86" t="str">
        <f ca="1"/>
        <v>D148</v>
      </c>
      <c r="C2045" s="86" t="str">
        <f t="shared" ca="1" si="444"/>
        <v>UMARUL FAROOK K .K</v>
      </c>
      <c r="D2045" s="86" t="str">
        <f t="shared" ca="1" si="445"/>
        <v>DAHF</v>
      </c>
      <c r="E2045" s="86">
        <f t="shared" ca="1" si="446"/>
        <v>9</v>
      </c>
    </row>
    <row r="2046" spans="1:8" ht="14.25" x14ac:dyDescent="0.45">
      <c r="A2046" s="86">
        <f ca="1"/>
        <v>5</v>
      </c>
      <c r="B2046" s="86" t="str">
        <f ca="1"/>
        <v>D124</v>
      </c>
      <c r="C2046" s="86" t="str">
        <f t="shared" ca="1" si="444"/>
        <v>MUHAMMED SUFAZ P</v>
      </c>
      <c r="D2046" s="86" t="str">
        <f t="shared" ca="1" si="445"/>
        <v>BADF</v>
      </c>
      <c r="E2046" s="86">
        <f t="shared" ca="1" si="446"/>
        <v>8</v>
      </c>
    </row>
    <row r="2047" spans="1:8" ht="14.25" x14ac:dyDescent="0.45">
      <c r="A2047" s="86">
        <f ca="1"/>
        <v>6</v>
      </c>
      <c r="B2047" s="86" t="str">
        <f ca="1"/>
        <v>D126</v>
      </c>
      <c r="C2047" s="86" t="str">
        <f t="shared" ca="1" si="444"/>
        <v>MUHAMMED MIDHLAJ KK</v>
      </c>
      <c r="D2047" s="86" t="str">
        <f t="shared" ca="1" si="445"/>
        <v>BADF</v>
      </c>
      <c r="E2047" s="86">
        <f t="shared" ca="1" si="446"/>
        <v>8</v>
      </c>
    </row>
    <row r="2048" spans="1:8" ht="14.25" x14ac:dyDescent="0.45">
      <c r="A2048" s="86">
        <f ca="1"/>
        <v>7</v>
      </c>
      <c r="B2048" s="86" t="str">
        <f ca="1"/>
        <v>D101</v>
      </c>
      <c r="C2048" s="86" t="str">
        <f t="shared" ca="1" si="444"/>
        <v>MOHAMMED AFSAL</v>
      </c>
      <c r="D2048" s="86" t="str">
        <f t="shared" ca="1" si="445"/>
        <v>JARF</v>
      </c>
      <c r="E2048" s="86">
        <f t="shared" ca="1" si="446"/>
        <v>8</v>
      </c>
    </row>
    <row r="2049" spans="1:8" ht="14.25" x14ac:dyDescent="0.45">
      <c r="A2049" s="86">
        <f ca="1"/>
        <v>8</v>
      </c>
      <c r="B2049" s="86" t="str">
        <f ca="1"/>
        <v>D164</v>
      </c>
      <c r="C2049" s="86" t="str">
        <f t="shared" ca="1" si="444"/>
        <v>AHMED SULTHAN</v>
      </c>
      <c r="D2049" s="86" t="str">
        <f t="shared" ca="1" si="445"/>
        <v>JARF</v>
      </c>
      <c r="E2049" s="86">
        <f t="shared" ca="1" si="446"/>
        <v>9</v>
      </c>
    </row>
    <row r="2050" spans="1:8" ht="14.25" x14ac:dyDescent="0.45">
      <c r="A2050" s="84" t="s">
        <v>355</v>
      </c>
      <c r="B2050" s="84" t="str">
        <f>VLOOKUP("SS09",f_detailsof_programs,2,FALSE)</f>
        <v>FEATURE WRITING MLM</v>
      </c>
      <c r="C2050" s="84"/>
      <c r="D2050" s="84" t="s">
        <v>688</v>
      </c>
      <c r="E2050" s="84" t="s">
        <v>485</v>
      </c>
      <c r="F2050" s="84"/>
      <c r="G2050" s="84"/>
      <c r="H2050" s="84"/>
    </row>
    <row r="2051" spans="1:8" ht="14.25" x14ac:dyDescent="0.45">
      <c r="A2051" s="85" t="s">
        <v>16</v>
      </c>
      <c r="B2051" s="85" t="s">
        <v>480</v>
      </c>
      <c r="C2051" s="85" t="s">
        <v>18</v>
      </c>
      <c r="D2051" s="85" t="s">
        <v>481</v>
      </c>
      <c r="E2051" s="85" t="s">
        <v>19</v>
      </c>
      <c r="F2051" s="85" t="s">
        <v>482</v>
      </c>
      <c r="G2051" s="85" t="s">
        <v>483</v>
      </c>
      <c r="H2051" s="85" t="s">
        <v>484</v>
      </c>
    </row>
    <row r="2052" spans="1:8" ht="14.25" x14ac:dyDescent="0.45">
      <c r="A2052" s="86" cm="1">
        <f t="array" aca="1" ref="A2052:A2063" ca="1">_xlfn.SEQUENCE(COUNTA(_xlfn.LET(_xlpm.trimmed,OFFSET(f_listof_program_candidates,MATCH("SS09",f_listof_program_codes,0)-1,6,1,),TRANSPOSE(_xlfn._xlws.FILTER(OFFSET(_xlpm.trimmed,0,0,,COUNTA(_xlpm.trimmed)-5),OFFSET(_xlpm.trimmed,0,0,,COUNTA(_xlpm.trimmed)-5)&lt;&gt;0)))))</f>
        <v>1</v>
      </c>
      <c r="B2052" s="86" t="str" cm="1">
        <f t="array" aca="1" ref="B2052:B2063" ca="1">_xlfn.LET(_xlpm.trimmed,OFFSET(f_listof_program_candidates,MATCH("SS09",f_listof_program_codes,0)-1,6,1,),TRANSPOSE(_xlfn._xlws.FILTER(OFFSET(_xlpm.trimmed,0,0,,COUNTA(_xlpm.trimmed)-5),OFFSET(_xlpm.trimmed,0,0,,COUNTA(_xlpm.trimmed)-5)&lt;&gt;0)))</f>
        <v>D105</v>
      </c>
      <c r="C2052" s="86" t="str">
        <f t="shared" ref="C2052:C2063" ca="1" si="447">VLOOKUP(B2052,f_detailsof_candidates,2,FALSE)</f>
        <v>ABDUL WADHOOD</v>
      </c>
      <c r="D2052" s="86" t="str">
        <f t="shared" ref="D2052:D2063" ca="1" si="448">VLOOKUP(B2052,f_detailsof_candidates,3,FALSE)</f>
        <v>FANT</v>
      </c>
      <c r="E2052" s="86">
        <f t="shared" ref="E2052:E2063" ca="1" si="449">VLOOKUP(B2052,f_detailsof_candidates,5,FALSE)</f>
        <v>8</v>
      </c>
    </row>
    <row r="2053" spans="1:8" ht="14.25" x14ac:dyDescent="0.45">
      <c r="A2053" s="86">
        <f ca="1"/>
        <v>2</v>
      </c>
      <c r="B2053" s="86" t="str">
        <f ca="1"/>
        <v>D127</v>
      </c>
      <c r="C2053" s="86" t="str">
        <f t="shared" ca="1" si="447"/>
        <v>SHADIN G</v>
      </c>
      <c r="D2053" s="86" t="str">
        <f t="shared" ca="1" si="448"/>
        <v>FANT</v>
      </c>
      <c r="E2053" s="86">
        <f t="shared" ca="1" si="449"/>
        <v>8</v>
      </c>
    </row>
    <row r="2054" spans="1:8" ht="14.25" x14ac:dyDescent="0.45">
      <c r="A2054" s="86">
        <f ca="1"/>
        <v>3</v>
      </c>
      <c r="B2054" s="86" t="str">
        <f ca="1"/>
        <v>D128</v>
      </c>
      <c r="C2054" s="86" t="str">
        <f t="shared" ca="1" si="447"/>
        <v>MEHAZIN AMAN T</v>
      </c>
      <c r="D2054" s="86" t="str">
        <f t="shared" ca="1" si="448"/>
        <v>FANT</v>
      </c>
      <c r="E2054" s="86">
        <f t="shared" ca="1" si="449"/>
        <v>8</v>
      </c>
    </row>
    <row r="2055" spans="1:8" ht="14.25" x14ac:dyDescent="0.45">
      <c r="A2055" s="86">
        <f ca="1"/>
        <v>4</v>
      </c>
      <c r="B2055" s="86" t="str">
        <f ca="1"/>
        <v>D121</v>
      </c>
      <c r="C2055" s="86" t="str">
        <f t="shared" ca="1" si="447"/>
        <v>ABDUL RAHMAN MUNZIR</v>
      </c>
      <c r="D2055" s="86" t="str">
        <f t="shared" ca="1" si="448"/>
        <v>DAHF</v>
      </c>
      <c r="E2055" s="86">
        <f t="shared" ca="1" si="449"/>
        <v>8</v>
      </c>
    </row>
    <row r="2056" spans="1:8" ht="14.25" x14ac:dyDescent="0.45">
      <c r="A2056" s="86">
        <f ca="1"/>
        <v>5</v>
      </c>
      <c r="B2056" s="86" t="str">
        <f ca="1"/>
        <v>D146</v>
      </c>
      <c r="C2056" s="86" t="str">
        <f t="shared" ca="1" si="447"/>
        <v>ABDUL YOUNUS</v>
      </c>
      <c r="D2056" s="86" t="str">
        <f t="shared" ca="1" si="448"/>
        <v>DAHF</v>
      </c>
      <c r="E2056" s="86">
        <f t="shared" ca="1" si="449"/>
        <v>9</v>
      </c>
    </row>
    <row r="2057" spans="1:8" ht="14.25" x14ac:dyDescent="0.45">
      <c r="A2057" s="86">
        <f ca="1"/>
        <v>6</v>
      </c>
      <c r="B2057" s="86" t="str">
        <f ca="1"/>
        <v>D196</v>
      </c>
      <c r="C2057" s="86" t="str">
        <f t="shared" ca="1" si="447"/>
        <v>ABDUL VAJID K</v>
      </c>
      <c r="D2057" s="86" t="str">
        <f t="shared" ca="1" si="448"/>
        <v>DAHF</v>
      </c>
      <c r="E2057" s="86">
        <f t="shared" ca="1" si="449"/>
        <v>10</v>
      </c>
    </row>
    <row r="2058" spans="1:8" ht="14.25" x14ac:dyDescent="0.45">
      <c r="A2058" s="86">
        <f ca="1"/>
        <v>7</v>
      </c>
      <c r="B2058" s="86" t="str">
        <f ca="1"/>
        <v>D126</v>
      </c>
      <c r="C2058" s="86" t="str">
        <f t="shared" ca="1" si="447"/>
        <v>MUHAMMED MIDHLAJ KK</v>
      </c>
      <c r="D2058" s="86" t="str">
        <f t="shared" ca="1" si="448"/>
        <v>BADF</v>
      </c>
      <c r="E2058" s="86">
        <f t="shared" ca="1" si="449"/>
        <v>8</v>
      </c>
    </row>
    <row r="2059" spans="1:8" ht="14.25" x14ac:dyDescent="0.45">
      <c r="A2059" s="86">
        <f ca="1"/>
        <v>8</v>
      </c>
      <c r="B2059" s="86" t="str">
        <f ca="1"/>
        <v>D173</v>
      </c>
      <c r="C2059" s="86" t="str">
        <f t="shared" ca="1" si="447"/>
        <v>ABOOBACKER SIDDIK</v>
      </c>
      <c r="D2059" s="86" t="str">
        <f t="shared" ca="1" si="448"/>
        <v>BADF</v>
      </c>
      <c r="E2059" s="86">
        <f t="shared" ca="1" si="449"/>
        <v>10</v>
      </c>
    </row>
    <row r="2060" spans="1:8" ht="14.25" x14ac:dyDescent="0.45">
      <c r="A2060" s="86">
        <f ca="1"/>
        <v>9</v>
      </c>
      <c r="B2060" s="86" t="str">
        <f ca="1"/>
        <v>D195</v>
      </c>
      <c r="C2060" s="86" t="str">
        <f t="shared" ca="1" si="447"/>
        <v>AHMED SWALAHUDHEEN PI</v>
      </c>
      <c r="D2060" s="86" t="str">
        <f t="shared" ca="1" si="448"/>
        <v>BADF</v>
      </c>
      <c r="E2060" s="86">
        <f t="shared" ca="1" si="449"/>
        <v>10</v>
      </c>
    </row>
    <row r="2061" spans="1:8" ht="14.25" x14ac:dyDescent="0.45">
      <c r="A2061" s="86">
        <f ca="1"/>
        <v>10</v>
      </c>
      <c r="B2061" s="86" t="str">
        <f ca="1"/>
        <v>D151</v>
      </c>
      <c r="C2061" s="86" t="str">
        <f t="shared" ca="1" si="447"/>
        <v>MUHAMMED SHANAVAS M.A</v>
      </c>
      <c r="D2061" s="86" t="str">
        <f t="shared" ca="1" si="448"/>
        <v>JARF</v>
      </c>
      <c r="E2061" s="86">
        <f t="shared" ca="1" si="449"/>
        <v>9</v>
      </c>
    </row>
    <row r="2062" spans="1:8" ht="14.25" x14ac:dyDescent="0.45">
      <c r="A2062" s="86">
        <f ca="1"/>
        <v>11</v>
      </c>
      <c r="B2062" s="86" t="str">
        <f ca="1"/>
        <v>D170</v>
      </c>
      <c r="C2062" s="86" t="str">
        <f t="shared" ca="1" si="447"/>
        <v>AHMED ADIL B.K</v>
      </c>
      <c r="D2062" s="86" t="str">
        <f t="shared" ca="1" si="448"/>
        <v>JARF</v>
      </c>
      <c r="E2062" s="86">
        <f t="shared" ca="1" si="449"/>
        <v>10</v>
      </c>
    </row>
    <row r="2063" spans="1:8" ht="14.25" x14ac:dyDescent="0.45">
      <c r="A2063" s="86">
        <f ca="1"/>
        <v>12</v>
      </c>
      <c r="B2063" s="86" t="str">
        <f ca="1"/>
        <v>D194</v>
      </c>
      <c r="C2063" s="86" t="str">
        <f t="shared" ca="1" si="447"/>
        <v>AYAZ RAHMAN T</v>
      </c>
      <c r="D2063" s="86" t="str">
        <f t="shared" ca="1" si="448"/>
        <v>JARF</v>
      </c>
      <c r="E2063" s="86">
        <f t="shared" ca="1" si="449"/>
        <v>10</v>
      </c>
    </row>
    <row r="2064" spans="1:8" ht="14.25" x14ac:dyDescent="0.45">
      <c r="A2064" s="84" t="s">
        <v>356</v>
      </c>
      <c r="B2064" s="84" t="str">
        <f>VLOOKUP("SS10",f_detailsof_programs,2,FALSE)</f>
        <v>HIFZ AND THAJWEED</v>
      </c>
      <c r="C2064" s="84"/>
      <c r="D2064" s="84" t="s">
        <v>688</v>
      </c>
      <c r="E2064" s="84" t="s">
        <v>486</v>
      </c>
      <c r="F2064" s="84"/>
      <c r="G2064" s="84"/>
      <c r="H2064" s="84"/>
    </row>
    <row r="2065" spans="1:8" ht="14.25" x14ac:dyDescent="0.45">
      <c r="A2065" s="85" t="s">
        <v>16</v>
      </c>
      <c r="B2065" s="85" t="s">
        <v>480</v>
      </c>
      <c r="C2065" s="85" t="s">
        <v>18</v>
      </c>
      <c r="D2065" s="85" t="s">
        <v>481</v>
      </c>
      <c r="E2065" s="85" t="s">
        <v>19</v>
      </c>
      <c r="F2065" s="85" t="s">
        <v>482</v>
      </c>
      <c r="G2065" s="85" t="s">
        <v>483</v>
      </c>
      <c r="H2065" s="85" t="s">
        <v>484</v>
      </c>
    </row>
    <row r="2066" spans="1:8" ht="14.25" x14ac:dyDescent="0.45">
      <c r="A2066" s="86" cm="1">
        <f t="array" aca="1" ref="A2066:A2073" ca="1">_xlfn.SEQUENCE(COUNTA(_xlfn.LET(_xlpm.trimmed,OFFSET(f_listof_program_candidates,MATCH("SS10",f_listof_program_codes,0)-1,6,1,),TRANSPOSE(_xlfn._xlws.FILTER(OFFSET(_xlpm.trimmed,0,0,,COUNTA(_xlpm.trimmed)-5),OFFSET(_xlpm.trimmed,0,0,,COUNTA(_xlpm.trimmed)-5)&lt;&gt;0)))))</f>
        <v>1</v>
      </c>
      <c r="B2066" s="86" t="str" cm="1">
        <f t="array" aca="1" ref="B2066:B2073" ca="1">_xlfn.LET(_xlpm.trimmed,OFFSET(f_listof_program_candidates,MATCH("SS10",f_listof_program_codes,0)-1,6,1,),TRANSPOSE(_xlfn._xlws.FILTER(OFFSET(_xlpm.trimmed,0,0,,COUNTA(_xlpm.trimmed)-5),OFFSET(_xlpm.trimmed,0,0,,COUNTA(_xlpm.trimmed)-5)&lt;&gt;0)))</f>
        <v>D175</v>
      </c>
      <c r="C2066" s="86" t="str">
        <f t="shared" ref="C2066:C2073" ca="1" si="450">VLOOKUP(B2066,f_detailsof_candidates,2,FALSE)</f>
        <v>AKBAR P</v>
      </c>
      <c r="D2066" s="86" t="str">
        <f t="shared" ref="D2066:D2073" ca="1" si="451">VLOOKUP(B2066,f_detailsof_candidates,3,FALSE)</f>
        <v>FANT</v>
      </c>
      <c r="E2066" s="86">
        <f t="shared" ref="E2066:E2073" ca="1" si="452">VLOOKUP(B2066,f_detailsof_candidates,5,FALSE)</f>
        <v>10</v>
      </c>
    </row>
    <row r="2067" spans="1:8" ht="14.25" x14ac:dyDescent="0.45">
      <c r="A2067" s="86">
        <f ca="1"/>
        <v>2</v>
      </c>
      <c r="B2067" s="86" t="str">
        <f ca="1"/>
        <v>D180</v>
      </c>
      <c r="C2067" s="86" t="str">
        <f t="shared" ca="1" si="450"/>
        <v>ATHIF ABDULKHADER</v>
      </c>
      <c r="D2067" s="86" t="str">
        <f t="shared" ca="1" si="451"/>
        <v>FANT</v>
      </c>
      <c r="E2067" s="86">
        <f t="shared" ca="1" si="452"/>
        <v>10</v>
      </c>
    </row>
    <row r="2068" spans="1:8" ht="14.25" x14ac:dyDescent="0.45">
      <c r="A2068" s="86">
        <f ca="1"/>
        <v>3</v>
      </c>
      <c r="B2068" s="86" t="str">
        <f ca="1"/>
        <v>D166</v>
      </c>
      <c r="C2068" s="86" t="str">
        <f t="shared" ca="1" si="450"/>
        <v>MOHAMMED IRFAN C</v>
      </c>
      <c r="D2068" s="86" t="str">
        <f t="shared" ca="1" si="451"/>
        <v>DAHF</v>
      </c>
      <c r="E2068" s="86">
        <f t="shared" ca="1" si="452"/>
        <v>9</v>
      </c>
    </row>
    <row r="2069" spans="1:8" ht="14.25" x14ac:dyDescent="0.45">
      <c r="A2069" s="86">
        <f ca="1"/>
        <v>4</v>
      </c>
      <c r="B2069" s="86" t="str">
        <f ca="1"/>
        <v>D172</v>
      </c>
      <c r="C2069" s="86" t="str">
        <f t="shared" ca="1" si="450"/>
        <v>MUHAMMED MUFEED</v>
      </c>
      <c r="D2069" s="86" t="str">
        <f t="shared" ca="1" si="451"/>
        <v>DAHF</v>
      </c>
      <c r="E2069" s="86">
        <f t="shared" ca="1" si="452"/>
        <v>10</v>
      </c>
    </row>
    <row r="2070" spans="1:8" ht="14.25" x14ac:dyDescent="0.45">
      <c r="A2070" s="86">
        <f ca="1"/>
        <v>5</v>
      </c>
      <c r="B2070" s="86" t="str">
        <f ca="1"/>
        <v>D110</v>
      </c>
      <c r="C2070" s="86" t="str">
        <f t="shared" ca="1" si="450"/>
        <v>ABBAS AZNAB M.A</v>
      </c>
      <c r="D2070" s="86" t="str">
        <f t="shared" ca="1" si="451"/>
        <v>BADF</v>
      </c>
      <c r="E2070" s="86">
        <f t="shared" ca="1" si="452"/>
        <v>8</v>
      </c>
    </row>
    <row r="2071" spans="1:8" ht="14.25" x14ac:dyDescent="0.45">
      <c r="A2071" s="86">
        <f ca="1"/>
        <v>6</v>
      </c>
      <c r="B2071" s="86" t="str">
        <f ca="1"/>
        <v>D137</v>
      </c>
      <c r="C2071" s="86" t="str">
        <f t="shared" ca="1" si="450"/>
        <v>AYYOOB V.N</v>
      </c>
      <c r="D2071" s="86" t="str">
        <f t="shared" ca="1" si="451"/>
        <v>BADF</v>
      </c>
      <c r="E2071" s="86">
        <f t="shared" ca="1" si="452"/>
        <v>9</v>
      </c>
    </row>
    <row r="2072" spans="1:8" ht="14.25" x14ac:dyDescent="0.45">
      <c r="A2072" s="86">
        <f ca="1"/>
        <v>7</v>
      </c>
      <c r="B2072" s="86" t="str">
        <f ca="1"/>
        <v>D104</v>
      </c>
      <c r="C2072" s="86" t="str">
        <f t="shared" ca="1" si="450"/>
        <v>MUHAMMAD SHANEED.</v>
      </c>
      <c r="D2072" s="86" t="str">
        <f t="shared" ca="1" si="451"/>
        <v>JARF</v>
      </c>
      <c r="E2072" s="86">
        <f t="shared" ca="1" si="452"/>
        <v>8</v>
      </c>
    </row>
    <row r="2073" spans="1:8" ht="14.25" x14ac:dyDescent="0.45">
      <c r="A2073" s="86">
        <f ca="1"/>
        <v>8</v>
      </c>
      <c r="B2073" s="86" t="str">
        <f ca="1"/>
        <v>D191</v>
      </c>
      <c r="C2073" s="86" t="str">
        <f t="shared" ca="1" si="450"/>
        <v>THAMJEED TM</v>
      </c>
      <c r="D2073" s="86" t="str">
        <f t="shared" ca="1" si="451"/>
        <v>JARF</v>
      </c>
      <c r="E2073" s="86">
        <f t="shared" ca="1" si="452"/>
        <v>10</v>
      </c>
    </row>
    <row r="2074" spans="1:8" ht="14.25" x14ac:dyDescent="0.45">
      <c r="A2074" s="84" t="s">
        <v>358</v>
      </c>
      <c r="B2074" s="84" t="str">
        <f>VLOOKUP("SS11",f_detailsof_programs,2,FALSE)</f>
        <v>PHOTOGRAPHY</v>
      </c>
      <c r="C2074" s="84"/>
      <c r="D2074" s="84" t="s">
        <v>688</v>
      </c>
      <c r="E2074" s="84" t="s">
        <v>486</v>
      </c>
      <c r="F2074" s="84"/>
      <c r="G2074" s="84"/>
      <c r="H2074" s="84"/>
    </row>
    <row r="2075" spans="1:8" ht="14.25" x14ac:dyDescent="0.45">
      <c r="A2075" s="85" t="s">
        <v>16</v>
      </c>
      <c r="B2075" s="85" t="s">
        <v>480</v>
      </c>
      <c r="C2075" s="85" t="s">
        <v>18</v>
      </c>
      <c r="D2075" s="85" t="s">
        <v>481</v>
      </c>
      <c r="E2075" s="85" t="s">
        <v>19</v>
      </c>
      <c r="F2075" s="85" t="s">
        <v>482</v>
      </c>
      <c r="G2075" s="85" t="s">
        <v>483</v>
      </c>
      <c r="H2075" s="85" t="s">
        <v>484</v>
      </c>
    </row>
    <row r="2076" spans="1:8" ht="14.25" x14ac:dyDescent="0.45">
      <c r="A2076" s="86" cm="1">
        <f t="array" aca="1" ref="A2076:A2083" ca="1">_xlfn.SEQUENCE(COUNTA(_xlfn.LET(_xlpm.trimmed,OFFSET(f_listof_program_candidates,MATCH("SS11",f_listof_program_codes,0)-1,6,1,),TRANSPOSE(_xlfn._xlws.FILTER(OFFSET(_xlpm.trimmed,0,0,,COUNTA(_xlpm.trimmed)-5),OFFSET(_xlpm.trimmed,0,0,,COUNTA(_xlpm.trimmed)-5)&lt;&gt;0)))))</f>
        <v>1</v>
      </c>
      <c r="B2076" s="86" t="str" cm="1">
        <f t="array" aca="1" ref="B2076:B2083" ca="1">_xlfn.LET(_xlpm.trimmed,OFFSET(f_listof_program_candidates,MATCH("SS11",f_listof_program_codes,0)-1,6,1,),TRANSPOSE(_xlfn._xlws.FILTER(OFFSET(_xlpm.trimmed,0,0,,COUNTA(_xlpm.trimmed)-5),OFFSET(_xlpm.trimmed,0,0,,COUNTA(_xlpm.trimmed)-5)&lt;&gt;0)))</f>
        <v>D112</v>
      </c>
      <c r="C2076" s="86" t="str">
        <f t="shared" ref="C2076:C2083" ca="1" si="453">VLOOKUP(B2076,f_detailsof_candidates,2,FALSE)</f>
        <v>AMEEN ABDULLA</v>
      </c>
      <c r="D2076" s="86" t="str">
        <f t="shared" ref="D2076:D2083" ca="1" si="454">VLOOKUP(B2076,f_detailsof_candidates,3,FALSE)</f>
        <v>FANT</v>
      </c>
      <c r="E2076" s="86">
        <f t="shared" ref="E2076:E2083" ca="1" si="455">VLOOKUP(B2076,f_detailsof_candidates,5,FALSE)</f>
        <v>8</v>
      </c>
    </row>
    <row r="2077" spans="1:8" ht="14.25" x14ac:dyDescent="0.45">
      <c r="A2077" s="86">
        <f ca="1"/>
        <v>2</v>
      </c>
      <c r="B2077" s="86" t="str">
        <f ca="1"/>
        <v>D120</v>
      </c>
      <c r="C2077" s="86" t="str">
        <f t="shared" ca="1" si="453"/>
        <v>MUHAMMAD SINAN NP</v>
      </c>
      <c r="D2077" s="86" t="str">
        <f t="shared" ca="1" si="454"/>
        <v>FANT</v>
      </c>
      <c r="E2077" s="86">
        <f t="shared" ca="1" si="455"/>
        <v>8</v>
      </c>
    </row>
    <row r="2078" spans="1:8" ht="14.25" x14ac:dyDescent="0.45">
      <c r="A2078" s="86">
        <f ca="1"/>
        <v>3</v>
      </c>
      <c r="B2078" s="86" t="str">
        <f ca="1"/>
        <v>D115</v>
      </c>
      <c r="C2078" s="86" t="str">
        <f t="shared" ca="1" si="453"/>
        <v>ABDULLA M HAKEEM</v>
      </c>
      <c r="D2078" s="86" t="str">
        <f t="shared" ca="1" si="454"/>
        <v>DAHF</v>
      </c>
      <c r="E2078" s="86">
        <f t="shared" ca="1" si="455"/>
        <v>8</v>
      </c>
    </row>
    <row r="2079" spans="1:8" ht="14.25" x14ac:dyDescent="0.45">
      <c r="A2079" s="86">
        <f ca="1"/>
        <v>4</v>
      </c>
      <c r="B2079" s="86" t="str">
        <f ca="1"/>
        <v>D181</v>
      </c>
      <c r="C2079" s="86" t="str">
        <f t="shared" ca="1" si="453"/>
        <v>MUHAMMED SAJJAD</v>
      </c>
      <c r="D2079" s="86" t="str">
        <f t="shared" ca="1" si="454"/>
        <v>DAHF</v>
      </c>
      <c r="E2079" s="86">
        <f t="shared" ca="1" si="455"/>
        <v>10</v>
      </c>
    </row>
    <row r="2080" spans="1:8" ht="14.25" x14ac:dyDescent="0.45">
      <c r="A2080" s="86">
        <f ca="1"/>
        <v>5</v>
      </c>
      <c r="B2080" s="86" t="str">
        <f ca="1"/>
        <v>D126</v>
      </c>
      <c r="C2080" s="86" t="str">
        <f t="shared" ca="1" si="453"/>
        <v>MUHAMMED MIDHLAJ KK</v>
      </c>
      <c r="D2080" s="86" t="str">
        <f t="shared" ca="1" si="454"/>
        <v>BADF</v>
      </c>
      <c r="E2080" s="86">
        <f t="shared" ca="1" si="455"/>
        <v>8</v>
      </c>
    </row>
    <row r="2081" spans="1:8" ht="14.25" x14ac:dyDescent="0.45">
      <c r="A2081" s="86">
        <f ca="1"/>
        <v>6</v>
      </c>
      <c r="B2081" s="86" t="str">
        <f ca="1"/>
        <v>D141</v>
      </c>
      <c r="C2081" s="86" t="str">
        <f t="shared" ca="1" si="453"/>
        <v>MUHAMMAD MUSTHAFA P.K</v>
      </c>
      <c r="D2081" s="86" t="str">
        <f t="shared" ca="1" si="454"/>
        <v>BADF</v>
      </c>
      <c r="E2081" s="86">
        <f t="shared" ca="1" si="455"/>
        <v>9</v>
      </c>
    </row>
    <row r="2082" spans="1:8" ht="14.25" x14ac:dyDescent="0.45">
      <c r="A2082" s="86">
        <f ca="1"/>
        <v>7</v>
      </c>
      <c r="B2082" s="86" t="str">
        <f ca="1"/>
        <v>D123</v>
      </c>
      <c r="C2082" s="86" t="str">
        <f t="shared" ca="1" si="453"/>
        <v>MOHAMMED SALIH</v>
      </c>
      <c r="D2082" s="86" t="str">
        <f t="shared" ca="1" si="454"/>
        <v>JARF</v>
      </c>
      <c r="E2082" s="86">
        <f t="shared" ca="1" si="455"/>
        <v>8</v>
      </c>
    </row>
    <row r="2083" spans="1:8" ht="14.25" x14ac:dyDescent="0.45">
      <c r="A2083" s="86">
        <f ca="1"/>
        <v>8</v>
      </c>
      <c r="B2083" s="86" t="str">
        <f ca="1"/>
        <v>D153</v>
      </c>
      <c r="C2083" s="86" t="str">
        <f t="shared" ca="1" si="453"/>
        <v>MUHAMMED UNAIS PT</v>
      </c>
      <c r="D2083" s="86" t="str">
        <f t="shared" ca="1" si="454"/>
        <v>JARF</v>
      </c>
      <c r="E2083" s="86">
        <f t="shared" ca="1" si="455"/>
        <v>9</v>
      </c>
    </row>
    <row r="2084" spans="1:8" ht="14.25" x14ac:dyDescent="0.45">
      <c r="A2084" s="84" t="s">
        <v>359</v>
      </c>
      <c r="B2084" s="84" t="str">
        <f>VLOOKUP("SS12",f_detailsof_programs,2,FALSE)</f>
        <v>POEM ARB</v>
      </c>
      <c r="C2084" s="84"/>
      <c r="D2084" s="84" t="s">
        <v>688</v>
      </c>
      <c r="E2084" s="84" t="s">
        <v>485</v>
      </c>
      <c r="F2084" s="84"/>
      <c r="G2084" s="84"/>
      <c r="H2084" s="84"/>
    </row>
    <row r="2085" spans="1:8" ht="14.25" x14ac:dyDescent="0.45">
      <c r="A2085" s="85" t="s">
        <v>16</v>
      </c>
      <c r="B2085" s="85" t="s">
        <v>480</v>
      </c>
      <c r="C2085" s="85" t="s">
        <v>18</v>
      </c>
      <c r="D2085" s="85" t="s">
        <v>481</v>
      </c>
      <c r="E2085" s="85" t="s">
        <v>19</v>
      </c>
      <c r="F2085" s="85" t="s">
        <v>482</v>
      </c>
      <c r="G2085" s="85" t="s">
        <v>483</v>
      </c>
      <c r="H2085" s="85" t="s">
        <v>484</v>
      </c>
    </row>
    <row r="2086" spans="1:8" ht="14.25" x14ac:dyDescent="0.45">
      <c r="A2086" s="86" cm="1">
        <f t="array" aca="1" ref="A2086:A2097" ca="1">_xlfn.SEQUENCE(COUNTA(_xlfn.LET(_xlpm.trimmed,OFFSET(f_listof_program_candidates,MATCH("SS12",f_listof_program_codes,0)-1,6,1,),TRANSPOSE(_xlfn._xlws.FILTER(OFFSET(_xlpm.trimmed,0,0,,COUNTA(_xlpm.trimmed)-5),OFFSET(_xlpm.trimmed,0,0,,COUNTA(_xlpm.trimmed)-5)&lt;&gt;0)))))</f>
        <v>1</v>
      </c>
      <c r="B2086" s="86" t="str" cm="1">
        <f t="array" aca="1" ref="B2086:B2097" ca="1">_xlfn.LET(_xlpm.trimmed,OFFSET(f_listof_program_candidates,MATCH("SS12",f_listof_program_codes,0)-1,6,1,),TRANSPOSE(_xlfn._xlws.FILTER(OFFSET(_xlpm.trimmed,0,0,,COUNTA(_xlpm.trimmed)-5),OFFSET(_xlpm.trimmed,0,0,,COUNTA(_xlpm.trimmed)-5)&lt;&gt;0)))</f>
        <v>D142</v>
      </c>
      <c r="C2086" s="86" t="str">
        <f t="shared" ref="C2086:C2097" ca="1" si="456">VLOOKUP(B2086,f_detailsof_candidates,2,FALSE)</f>
        <v>ISHAM V.K</v>
      </c>
      <c r="D2086" s="86" t="str">
        <f t="shared" ref="D2086:D2097" ca="1" si="457">VLOOKUP(B2086,f_detailsof_candidates,3,FALSE)</f>
        <v>FANT</v>
      </c>
      <c r="E2086" s="86">
        <f t="shared" ref="E2086:E2097" ca="1" si="458">VLOOKUP(B2086,f_detailsof_candidates,5,FALSE)</f>
        <v>9</v>
      </c>
    </row>
    <row r="2087" spans="1:8" ht="14.25" x14ac:dyDescent="0.45">
      <c r="A2087" s="86">
        <f ca="1"/>
        <v>2</v>
      </c>
      <c r="B2087" s="86" t="str">
        <f ca="1"/>
        <v>D147</v>
      </c>
      <c r="C2087" s="86" t="str">
        <f t="shared" ca="1" si="456"/>
        <v>MOHAMMED SHAHZAN T.K</v>
      </c>
      <c r="D2087" s="86" t="str">
        <f t="shared" ca="1" si="457"/>
        <v>FANT</v>
      </c>
      <c r="E2087" s="86">
        <f t="shared" ca="1" si="458"/>
        <v>9</v>
      </c>
    </row>
    <row r="2088" spans="1:8" ht="14.25" x14ac:dyDescent="0.45">
      <c r="A2088" s="86">
        <f ca="1"/>
        <v>3</v>
      </c>
      <c r="B2088" s="86" t="str">
        <f ca="1"/>
        <v>D198</v>
      </c>
      <c r="C2088" s="86" t="str">
        <f t="shared" ca="1" si="456"/>
        <v>MUHAMMED SAFWAN</v>
      </c>
      <c r="D2088" s="86" t="str">
        <f t="shared" ca="1" si="457"/>
        <v>FANT</v>
      </c>
      <c r="E2088" s="86">
        <f t="shared" ca="1" si="458"/>
        <v>10</v>
      </c>
    </row>
    <row r="2089" spans="1:8" ht="14.25" x14ac:dyDescent="0.45">
      <c r="A2089" s="86">
        <f ca="1"/>
        <v>4</v>
      </c>
      <c r="B2089" s="86" t="str">
        <f ca="1"/>
        <v>D106</v>
      </c>
      <c r="C2089" s="86" t="str">
        <f t="shared" ca="1" si="456"/>
        <v>MOHAMMED SHAMMAS S.I</v>
      </c>
      <c r="D2089" s="86" t="str">
        <f t="shared" ca="1" si="457"/>
        <v>DAHF</v>
      </c>
      <c r="E2089" s="86">
        <f t="shared" ca="1" si="458"/>
        <v>8</v>
      </c>
    </row>
    <row r="2090" spans="1:8" ht="14.25" x14ac:dyDescent="0.45">
      <c r="A2090" s="86">
        <f ca="1"/>
        <v>5</v>
      </c>
      <c r="B2090" s="86" t="str">
        <f ca="1"/>
        <v>D166</v>
      </c>
      <c r="C2090" s="86" t="str">
        <f t="shared" ca="1" si="456"/>
        <v>MOHAMMED IRFAN C</v>
      </c>
      <c r="D2090" s="86" t="str">
        <f t="shared" ca="1" si="457"/>
        <v>DAHF</v>
      </c>
      <c r="E2090" s="86">
        <f t="shared" ca="1" si="458"/>
        <v>9</v>
      </c>
    </row>
    <row r="2091" spans="1:8" ht="14.25" x14ac:dyDescent="0.45">
      <c r="A2091" s="86">
        <f ca="1"/>
        <v>6</v>
      </c>
      <c r="B2091" s="86" t="str">
        <f ca="1"/>
        <v>D140</v>
      </c>
      <c r="C2091" s="86" t="str">
        <f t="shared" ca="1" si="456"/>
        <v>MUHAMMED FAISAL A K</v>
      </c>
      <c r="D2091" s="86" t="str">
        <f t="shared" ca="1" si="457"/>
        <v>DAHF</v>
      </c>
      <c r="E2091" s="86">
        <f t="shared" ca="1" si="458"/>
        <v>9</v>
      </c>
    </row>
    <row r="2092" spans="1:8" ht="14.25" x14ac:dyDescent="0.45">
      <c r="A2092" s="86">
        <f ca="1"/>
        <v>7</v>
      </c>
      <c r="B2092" s="86" t="str">
        <f ca="1"/>
        <v>D110</v>
      </c>
      <c r="C2092" s="86" t="str">
        <f t="shared" ca="1" si="456"/>
        <v>ABBAS AZNAB M.A</v>
      </c>
      <c r="D2092" s="86" t="str">
        <f t="shared" ca="1" si="457"/>
        <v>BADF</v>
      </c>
      <c r="E2092" s="86">
        <f t="shared" ca="1" si="458"/>
        <v>8</v>
      </c>
    </row>
    <row r="2093" spans="1:8" ht="14.25" x14ac:dyDescent="0.45">
      <c r="A2093" s="86">
        <f ca="1"/>
        <v>8</v>
      </c>
      <c r="B2093" s="86" t="str">
        <f ca="1"/>
        <v>D143</v>
      </c>
      <c r="C2093" s="86" t="str">
        <f t="shared" ca="1" si="456"/>
        <v>MUHAMMED MA</v>
      </c>
      <c r="D2093" s="86" t="str">
        <f t="shared" ca="1" si="457"/>
        <v>BADF</v>
      </c>
      <c r="E2093" s="86">
        <f t="shared" ca="1" si="458"/>
        <v>9</v>
      </c>
    </row>
    <row r="2094" spans="1:8" ht="14.25" x14ac:dyDescent="0.45">
      <c r="A2094" s="86">
        <f ca="1"/>
        <v>9</v>
      </c>
      <c r="B2094" s="86" t="str">
        <f ca="1"/>
        <v>D178</v>
      </c>
      <c r="C2094" s="86" t="str">
        <f t="shared" ca="1" si="456"/>
        <v>AHMED BK</v>
      </c>
      <c r="D2094" s="86" t="str">
        <f t="shared" ca="1" si="457"/>
        <v>BADF</v>
      </c>
      <c r="E2094" s="86">
        <f t="shared" ca="1" si="458"/>
        <v>10</v>
      </c>
    </row>
    <row r="2095" spans="1:8" ht="14.25" x14ac:dyDescent="0.45">
      <c r="A2095" s="86">
        <f ca="1"/>
        <v>10</v>
      </c>
      <c r="B2095" s="86" t="str">
        <f ca="1"/>
        <v>D104</v>
      </c>
      <c r="C2095" s="86" t="str">
        <f t="shared" ca="1" si="456"/>
        <v>MUHAMMAD SHANEED.</v>
      </c>
      <c r="D2095" s="86" t="str">
        <f t="shared" ca="1" si="457"/>
        <v>JARF</v>
      </c>
      <c r="E2095" s="86">
        <f t="shared" ca="1" si="458"/>
        <v>8</v>
      </c>
    </row>
    <row r="2096" spans="1:8" ht="14.25" x14ac:dyDescent="0.45">
      <c r="A2096" s="86">
        <f ca="1"/>
        <v>11</v>
      </c>
      <c r="B2096" s="86" t="str">
        <f ca="1"/>
        <v>D160</v>
      </c>
      <c r="C2096" s="86" t="str">
        <f t="shared" ca="1" si="456"/>
        <v>SALMAN FARIS</v>
      </c>
      <c r="D2096" s="86" t="str">
        <f t="shared" ca="1" si="457"/>
        <v>JARF</v>
      </c>
      <c r="E2096" s="86">
        <f t="shared" ca="1" si="458"/>
        <v>9</v>
      </c>
    </row>
    <row r="2097" spans="1:8" ht="14.25" x14ac:dyDescent="0.45">
      <c r="A2097" s="86">
        <f ca="1"/>
        <v>12</v>
      </c>
      <c r="B2097" s="86" t="str">
        <f ca="1"/>
        <v>D193</v>
      </c>
      <c r="C2097" s="86" t="str">
        <f t="shared" ca="1" si="456"/>
        <v>MUHAMMED ABDUL GHANI M.A</v>
      </c>
      <c r="D2097" s="86" t="str">
        <f t="shared" ca="1" si="457"/>
        <v>JARF</v>
      </c>
      <c r="E2097" s="86">
        <f t="shared" ca="1" si="458"/>
        <v>10</v>
      </c>
    </row>
    <row r="2098" spans="1:8" ht="14.25" x14ac:dyDescent="0.45">
      <c r="A2098" s="84" t="s">
        <v>360</v>
      </c>
      <c r="B2098" s="84" t="str">
        <f>VLOOKUP("SS13",f_detailsof_programs,2,FALSE)</f>
        <v>POEM ENG</v>
      </c>
      <c r="C2098" s="84"/>
      <c r="D2098" s="84" t="s">
        <v>688</v>
      </c>
      <c r="E2098" s="84" t="s">
        <v>485</v>
      </c>
      <c r="F2098" s="84"/>
      <c r="G2098" s="84"/>
      <c r="H2098" s="84"/>
    </row>
    <row r="2099" spans="1:8" ht="14.25" x14ac:dyDescent="0.45">
      <c r="A2099" s="85" t="s">
        <v>16</v>
      </c>
      <c r="B2099" s="85" t="s">
        <v>480</v>
      </c>
      <c r="C2099" s="85" t="s">
        <v>18</v>
      </c>
      <c r="D2099" s="85" t="s">
        <v>481</v>
      </c>
      <c r="E2099" s="85" t="s">
        <v>19</v>
      </c>
      <c r="F2099" s="85" t="s">
        <v>482</v>
      </c>
      <c r="G2099" s="85" t="s">
        <v>483</v>
      </c>
      <c r="H2099" s="85" t="s">
        <v>484</v>
      </c>
    </row>
    <row r="2100" spans="1:8" ht="14.25" x14ac:dyDescent="0.45">
      <c r="A2100" s="86" cm="1">
        <f t="array" aca="1" ref="A2100:A2111" ca="1">_xlfn.SEQUENCE(COUNTA(_xlfn.LET(_xlpm.trimmed,OFFSET(f_listof_program_candidates,MATCH("SS13",f_listof_program_codes,0)-1,6,1,),TRANSPOSE(_xlfn._xlws.FILTER(OFFSET(_xlpm.trimmed,0,0,,COUNTA(_xlpm.trimmed)-5),OFFSET(_xlpm.trimmed,0,0,,COUNTA(_xlpm.trimmed)-5)&lt;&gt;0)))))</f>
        <v>1</v>
      </c>
      <c r="B2100" s="86" t="str" cm="1">
        <f t="array" aca="1" ref="B2100:B2111" ca="1">_xlfn.LET(_xlpm.trimmed,OFFSET(f_listof_program_candidates,MATCH("SS13",f_listof_program_codes,0)-1,6,1,),TRANSPOSE(_xlfn._xlws.FILTER(OFFSET(_xlpm.trimmed,0,0,,COUNTA(_xlpm.trimmed)-5),OFFSET(_xlpm.trimmed,0,0,,COUNTA(_xlpm.trimmed)-5)&lt;&gt;0)))</f>
        <v>D114</v>
      </c>
      <c r="C2100" s="86" t="str">
        <f t="shared" ref="C2100:C2111" ca="1" si="459">VLOOKUP(B2100,f_detailsof_candidates,2,FALSE)</f>
        <v>MUHAMMED ANAS M.N</v>
      </c>
      <c r="D2100" s="86" t="str">
        <f t="shared" ref="D2100:D2111" ca="1" si="460">VLOOKUP(B2100,f_detailsof_candidates,3,FALSE)</f>
        <v>FANT</v>
      </c>
      <c r="E2100" s="86">
        <f t="shared" ref="E2100:E2111" ca="1" si="461">VLOOKUP(B2100,f_detailsof_candidates,5,FALSE)</f>
        <v>8</v>
      </c>
    </row>
    <row r="2101" spans="1:8" ht="14.25" x14ac:dyDescent="0.45">
      <c r="A2101" s="86">
        <f ca="1"/>
        <v>2</v>
      </c>
      <c r="B2101" s="86" t="str">
        <f ca="1"/>
        <v>D138</v>
      </c>
      <c r="C2101" s="86" t="str">
        <f t="shared" ca="1" si="459"/>
        <v>MOHAMMED JAWAD A</v>
      </c>
      <c r="D2101" s="86" t="str">
        <f t="shared" ca="1" si="460"/>
        <v>FANT</v>
      </c>
      <c r="E2101" s="86">
        <f t="shared" ca="1" si="461"/>
        <v>9</v>
      </c>
    </row>
    <row r="2102" spans="1:8" ht="14.25" x14ac:dyDescent="0.45">
      <c r="A2102" s="86">
        <f ca="1"/>
        <v>3</v>
      </c>
      <c r="B2102" s="86" t="str">
        <f ca="1"/>
        <v>D165</v>
      </c>
      <c r="C2102" s="86" t="str">
        <f t="shared" ca="1" si="459"/>
        <v>AJMAL KI</v>
      </c>
      <c r="D2102" s="86" t="str">
        <f t="shared" ca="1" si="460"/>
        <v>FANT</v>
      </c>
      <c r="E2102" s="86">
        <f t="shared" ca="1" si="461"/>
        <v>9</v>
      </c>
    </row>
    <row r="2103" spans="1:8" ht="14.25" x14ac:dyDescent="0.45">
      <c r="A2103" s="86">
        <f ca="1"/>
        <v>4</v>
      </c>
      <c r="B2103" s="86" t="str">
        <f ca="1"/>
        <v>D108</v>
      </c>
      <c r="C2103" s="86" t="str">
        <f t="shared" ca="1" si="459"/>
        <v>MOHAMMED HASHIR</v>
      </c>
      <c r="D2103" s="86" t="str">
        <f t="shared" ca="1" si="460"/>
        <v>DAHF</v>
      </c>
      <c r="E2103" s="86">
        <f t="shared" ca="1" si="461"/>
        <v>8</v>
      </c>
    </row>
    <row r="2104" spans="1:8" ht="14.25" x14ac:dyDescent="0.45">
      <c r="A2104" s="86">
        <f ca="1"/>
        <v>5</v>
      </c>
      <c r="B2104" s="86" t="str">
        <f ca="1"/>
        <v>D181</v>
      </c>
      <c r="C2104" s="86" t="str">
        <f t="shared" ca="1" si="459"/>
        <v>MUHAMMED SAJJAD</v>
      </c>
      <c r="D2104" s="86" t="str">
        <f t="shared" ca="1" si="460"/>
        <v>DAHF</v>
      </c>
      <c r="E2104" s="86">
        <f t="shared" ca="1" si="461"/>
        <v>10</v>
      </c>
    </row>
    <row r="2105" spans="1:8" ht="14.25" x14ac:dyDescent="0.45">
      <c r="A2105" s="86">
        <f ca="1"/>
        <v>6</v>
      </c>
      <c r="B2105" s="86" t="str">
        <f ca="1"/>
        <v>D196</v>
      </c>
      <c r="C2105" s="86" t="str">
        <f t="shared" ca="1" si="459"/>
        <v>ABDUL VAJID K</v>
      </c>
      <c r="D2105" s="86" t="str">
        <f t="shared" ca="1" si="460"/>
        <v>DAHF</v>
      </c>
      <c r="E2105" s="86">
        <f t="shared" ca="1" si="461"/>
        <v>10</v>
      </c>
    </row>
    <row r="2106" spans="1:8" ht="14.25" x14ac:dyDescent="0.45">
      <c r="A2106" s="86">
        <f ca="1"/>
        <v>7</v>
      </c>
      <c r="B2106" s="86" t="str">
        <f ca="1"/>
        <v>D141</v>
      </c>
      <c r="C2106" s="86" t="str">
        <f t="shared" ca="1" si="459"/>
        <v>MUHAMMAD MUSTHAFA P.K</v>
      </c>
      <c r="D2106" s="86" t="str">
        <f t="shared" ca="1" si="460"/>
        <v>BADF</v>
      </c>
      <c r="E2106" s="86">
        <f t="shared" ca="1" si="461"/>
        <v>9</v>
      </c>
    </row>
    <row r="2107" spans="1:8" ht="14.25" x14ac:dyDescent="0.45">
      <c r="A2107" s="86">
        <f ca="1"/>
        <v>8</v>
      </c>
      <c r="B2107" s="86" t="str">
        <f ca="1"/>
        <v>D145</v>
      </c>
      <c r="C2107" s="86" t="str">
        <f t="shared" ca="1" si="459"/>
        <v>ABBAS ARFAS O.R</v>
      </c>
      <c r="D2107" s="86" t="str">
        <f t="shared" ca="1" si="460"/>
        <v>BADF</v>
      </c>
      <c r="E2107" s="86">
        <f t="shared" ca="1" si="461"/>
        <v>9</v>
      </c>
    </row>
    <row r="2108" spans="1:8" ht="14.25" x14ac:dyDescent="0.45">
      <c r="A2108" s="86">
        <f ca="1"/>
        <v>9</v>
      </c>
      <c r="B2108" s="86" t="str">
        <f ca="1"/>
        <v>D174</v>
      </c>
      <c r="C2108" s="86" t="str">
        <f t="shared" ca="1" si="459"/>
        <v>BADRUDHIN A</v>
      </c>
      <c r="D2108" s="86" t="str">
        <f t="shared" ca="1" si="460"/>
        <v>BADF</v>
      </c>
      <c r="E2108" s="86">
        <f t="shared" ca="1" si="461"/>
        <v>10</v>
      </c>
    </row>
    <row r="2109" spans="1:8" ht="14.25" x14ac:dyDescent="0.45">
      <c r="A2109" s="86">
        <f ca="1"/>
        <v>10</v>
      </c>
      <c r="B2109" s="86" t="str">
        <f ca="1"/>
        <v>D154</v>
      </c>
      <c r="C2109" s="86" t="str">
        <f t="shared" ca="1" si="459"/>
        <v>ASHIKK.I</v>
      </c>
      <c r="D2109" s="86" t="str">
        <f t="shared" ca="1" si="460"/>
        <v>JARF</v>
      </c>
      <c r="E2109" s="86">
        <f t="shared" ca="1" si="461"/>
        <v>9</v>
      </c>
    </row>
    <row r="2110" spans="1:8" ht="14.25" x14ac:dyDescent="0.45">
      <c r="A2110" s="86">
        <f ca="1"/>
        <v>11</v>
      </c>
      <c r="B2110" s="86" t="str">
        <f ca="1"/>
        <v>D144</v>
      </c>
      <c r="C2110" s="86" t="str">
        <f t="shared" ca="1" si="459"/>
        <v>MUHAMMED RASHAD KA</v>
      </c>
      <c r="D2110" s="86" t="str">
        <f t="shared" ca="1" si="460"/>
        <v>JARF</v>
      </c>
      <c r="E2110" s="86">
        <f t="shared" ca="1" si="461"/>
        <v>9</v>
      </c>
    </row>
    <row r="2111" spans="1:8" ht="14.25" x14ac:dyDescent="0.45">
      <c r="A2111" s="86">
        <f ca="1"/>
        <v>12</v>
      </c>
      <c r="B2111" s="86" t="str">
        <f ca="1"/>
        <v>D123</v>
      </c>
      <c r="C2111" s="86" t="str">
        <f t="shared" ca="1" si="459"/>
        <v>MOHAMMED SALIH</v>
      </c>
      <c r="D2111" s="86" t="str">
        <f t="shared" ca="1" si="460"/>
        <v>JARF</v>
      </c>
      <c r="E2111" s="86">
        <f t="shared" ca="1" si="461"/>
        <v>8</v>
      </c>
    </row>
    <row r="2112" spans="1:8" ht="14.25" x14ac:dyDescent="0.45">
      <c r="A2112" s="84" t="s">
        <v>361</v>
      </c>
      <c r="B2112" s="84" t="str">
        <f>VLOOKUP("SS14",f_detailsof_programs,2,FALSE)</f>
        <v>POEM MLM</v>
      </c>
      <c r="C2112" s="84"/>
      <c r="D2112" s="84" t="s">
        <v>688</v>
      </c>
      <c r="E2112" s="84" t="s">
        <v>485</v>
      </c>
      <c r="F2112" s="84"/>
      <c r="G2112" s="84"/>
      <c r="H2112" s="84"/>
    </row>
    <row r="2113" spans="1:8" ht="14.25" x14ac:dyDescent="0.45">
      <c r="A2113" s="85" t="s">
        <v>16</v>
      </c>
      <c r="B2113" s="85" t="s">
        <v>480</v>
      </c>
      <c r="C2113" s="85" t="s">
        <v>18</v>
      </c>
      <c r="D2113" s="85" t="s">
        <v>481</v>
      </c>
      <c r="E2113" s="85" t="s">
        <v>19</v>
      </c>
      <c r="F2113" s="85" t="s">
        <v>482</v>
      </c>
      <c r="G2113" s="85" t="s">
        <v>483</v>
      </c>
      <c r="H2113" s="85" t="s">
        <v>484</v>
      </c>
    </row>
    <row r="2114" spans="1:8" ht="14.25" x14ac:dyDescent="0.45">
      <c r="A2114" s="86" cm="1">
        <f t="array" aca="1" ref="A2114:A2125" ca="1">_xlfn.SEQUENCE(COUNTA(_xlfn.LET(_xlpm.trimmed,OFFSET(f_listof_program_candidates,MATCH("SS14",f_listof_program_codes,0)-1,6,1,),TRANSPOSE(_xlfn._xlws.FILTER(OFFSET(_xlpm.trimmed,0,0,,COUNTA(_xlpm.trimmed)-5),OFFSET(_xlpm.trimmed,0,0,,COUNTA(_xlpm.trimmed)-5)&lt;&gt;0)))))</f>
        <v>1</v>
      </c>
      <c r="B2114" s="86" t="str" cm="1">
        <f t="array" aca="1" ref="B2114:B2125" ca="1">_xlfn.LET(_xlpm.trimmed,OFFSET(f_listof_program_candidates,MATCH("SS14",f_listof_program_codes,0)-1,6,1,),TRANSPOSE(_xlfn._xlws.FILTER(OFFSET(_xlpm.trimmed,0,0,,COUNTA(_xlpm.trimmed)-5),OFFSET(_xlpm.trimmed,0,0,,COUNTA(_xlpm.trimmed)-5)&lt;&gt;0)))</f>
        <v>D105</v>
      </c>
      <c r="C2114" s="86" t="str">
        <f t="shared" ref="C2114:C2125" ca="1" si="462">VLOOKUP(B2114,f_detailsof_candidates,2,FALSE)</f>
        <v>ABDUL WADHOOD</v>
      </c>
      <c r="D2114" s="86" t="str">
        <f t="shared" ref="D2114:D2125" ca="1" si="463">VLOOKUP(B2114,f_detailsof_candidates,3,FALSE)</f>
        <v>FANT</v>
      </c>
      <c r="E2114" s="86">
        <f t="shared" ref="E2114:E2125" ca="1" si="464">VLOOKUP(B2114,f_detailsof_candidates,5,FALSE)</f>
        <v>8</v>
      </c>
    </row>
    <row r="2115" spans="1:8" ht="14.25" x14ac:dyDescent="0.45">
      <c r="A2115" s="86">
        <f ca="1"/>
        <v>2</v>
      </c>
      <c r="B2115" s="86" t="str">
        <f ca="1"/>
        <v>D117</v>
      </c>
      <c r="C2115" s="86" t="str">
        <f t="shared" ca="1" si="462"/>
        <v>MOHAMMED SAHL CS</v>
      </c>
      <c r="D2115" s="86" t="str">
        <f t="shared" ca="1" si="463"/>
        <v>FANT</v>
      </c>
      <c r="E2115" s="86">
        <f t="shared" ca="1" si="464"/>
        <v>8</v>
      </c>
    </row>
    <row r="2116" spans="1:8" ht="14.25" x14ac:dyDescent="0.45">
      <c r="A2116" s="86">
        <f ca="1"/>
        <v>3</v>
      </c>
      <c r="B2116" s="86" t="str">
        <f ca="1"/>
        <v>D186</v>
      </c>
      <c r="C2116" s="86" t="str">
        <f t="shared" ca="1" si="462"/>
        <v>SALAHUDDEEN AYYOOBI KM</v>
      </c>
      <c r="D2116" s="86" t="str">
        <f t="shared" ca="1" si="463"/>
        <v>FANT</v>
      </c>
      <c r="E2116" s="86">
        <f t="shared" ca="1" si="464"/>
        <v>10</v>
      </c>
    </row>
    <row r="2117" spans="1:8" ht="14.25" x14ac:dyDescent="0.45">
      <c r="A2117" s="86">
        <f ca="1"/>
        <v>4</v>
      </c>
      <c r="B2117" s="86" t="str">
        <f ca="1"/>
        <v>D107</v>
      </c>
      <c r="C2117" s="86" t="str">
        <f t="shared" ca="1" si="462"/>
        <v>AHMMED HASHIM M</v>
      </c>
      <c r="D2117" s="86" t="str">
        <f t="shared" ca="1" si="463"/>
        <v>DAHF</v>
      </c>
      <c r="E2117" s="86">
        <f t="shared" ca="1" si="464"/>
        <v>8</v>
      </c>
    </row>
    <row r="2118" spans="1:8" ht="14.25" x14ac:dyDescent="0.45">
      <c r="A2118" s="86">
        <f ca="1"/>
        <v>5</v>
      </c>
      <c r="B2118" s="86" t="str">
        <f ca="1"/>
        <v>D179</v>
      </c>
      <c r="C2118" s="86" t="str">
        <f t="shared" ca="1" si="462"/>
        <v>MUHAMMED AKBAR NP</v>
      </c>
      <c r="D2118" s="86" t="str">
        <f t="shared" ca="1" si="463"/>
        <v>DAHF</v>
      </c>
      <c r="E2118" s="86">
        <f t="shared" ca="1" si="464"/>
        <v>10</v>
      </c>
    </row>
    <row r="2119" spans="1:8" ht="14.25" x14ac:dyDescent="0.45">
      <c r="A2119" s="86">
        <f ca="1"/>
        <v>6</v>
      </c>
      <c r="B2119" s="86" t="str">
        <f ca="1"/>
        <v>D152</v>
      </c>
      <c r="C2119" s="86" t="str">
        <f t="shared" ca="1" si="462"/>
        <v>MOHAMMAD ISMAIL SINAN KM</v>
      </c>
      <c r="D2119" s="86" t="str">
        <f t="shared" ca="1" si="463"/>
        <v>DAHF</v>
      </c>
      <c r="E2119" s="86">
        <f t="shared" ca="1" si="464"/>
        <v>9</v>
      </c>
    </row>
    <row r="2120" spans="1:8" ht="14.25" x14ac:dyDescent="0.45">
      <c r="A2120" s="86">
        <f ca="1"/>
        <v>7</v>
      </c>
      <c r="B2120" s="86" t="str">
        <f ca="1"/>
        <v>D126</v>
      </c>
      <c r="C2120" s="86" t="str">
        <f t="shared" ca="1" si="462"/>
        <v>MUHAMMED MIDHLAJ KK</v>
      </c>
      <c r="D2120" s="86" t="str">
        <f t="shared" ca="1" si="463"/>
        <v>BADF</v>
      </c>
      <c r="E2120" s="86">
        <f t="shared" ca="1" si="464"/>
        <v>8</v>
      </c>
    </row>
    <row r="2121" spans="1:8" ht="14.25" x14ac:dyDescent="0.45">
      <c r="A2121" s="86">
        <f ca="1"/>
        <v>8</v>
      </c>
      <c r="B2121" s="86" t="str">
        <f ca="1"/>
        <v>D137</v>
      </c>
      <c r="C2121" s="86" t="str">
        <f t="shared" ca="1" si="462"/>
        <v>AYYOOB V.N</v>
      </c>
      <c r="D2121" s="86" t="str">
        <f t="shared" ca="1" si="463"/>
        <v>BADF</v>
      </c>
      <c r="E2121" s="86">
        <f t="shared" ca="1" si="464"/>
        <v>9</v>
      </c>
    </row>
    <row r="2122" spans="1:8" ht="14.25" x14ac:dyDescent="0.45">
      <c r="A2122" s="86">
        <f ca="1"/>
        <v>9</v>
      </c>
      <c r="B2122" s="86" t="str">
        <f ca="1"/>
        <v>D173</v>
      </c>
      <c r="C2122" s="86" t="str">
        <f t="shared" ca="1" si="462"/>
        <v>ABOOBACKER SIDDIK</v>
      </c>
      <c r="D2122" s="86" t="str">
        <f t="shared" ca="1" si="463"/>
        <v>BADF</v>
      </c>
      <c r="E2122" s="86">
        <f t="shared" ca="1" si="464"/>
        <v>10</v>
      </c>
    </row>
    <row r="2123" spans="1:8" ht="14.25" x14ac:dyDescent="0.45">
      <c r="A2123" s="86">
        <f ca="1"/>
        <v>10</v>
      </c>
      <c r="B2123" s="86" t="str">
        <f ca="1"/>
        <v>D136</v>
      </c>
      <c r="C2123" s="86" t="str">
        <f t="shared" ca="1" si="462"/>
        <v>MUHAMMED ASBAQUE</v>
      </c>
      <c r="D2123" s="86" t="str">
        <f t="shared" ca="1" si="463"/>
        <v>JARF</v>
      </c>
      <c r="E2123" s="86">
        <f t="shared" ca="1" si="464"/>
        <v>9</v>
      </c>
    </row>
    <row r="2124" spans="1:8" ht="14.25" x14ac:dyDescent="0.45">
      <c r="A2124" s="86">
        <f ca="1"/>
        <v>11</v>
      </c>
      <c r="B2124" s="86" t="str">
        <f ca="1"/>
        <v>D151</v>
      </c>
      <c r="C2124" s="86" t="str">
        <f t="shared" ca="1" si="462"/>
        <v>MUHAMMED SHANAVAS M.A</v>
      </c>
      <c r="D2124" s="86" t="str">
        <f t="shared" ca="1" si="463"/>
        <v>JARF</v>
      </c>
      <c r="E2124" s="86">
        <f t="shared" ca="1" si="464"/>
        <v>9</v>
      </c>
    </row>
    <row r="2125" spans="1:8" ht="14.25" x14ac:dyDescent="0.45">
      <c r="A2125" s="86">
        <f ca="1"/>
        <v>12</v>
      </c>
      <c r="B2125" s="86" t="str">
        <f ca="1"/>
        <v>D194</v>
      </c>
      <c r="C2125" s="86" t="str">
        <f t="shared" ca="1" si="462"/>
        <v>AYAZ RAHMAN T</v>
      </c>
      <c r="D2125" s="86" t="str">
        <f t="shared" ca="1" si="463"/>
        <v>JARF</v>
      </c>
      <c r="E2125" s="86">
        <f t="shared" ca="1" si="464"/>
        <v>10</v>
      </c>
    </row>
    <row r="2126" spans="1:8" ht="14.25" x14ac:dyDescent="0.45">
      <c r="A2126" s="84" t="s">
        <v>362</v>
      </c>
      <c r="B2126" s="84" t="str">
        <f>VLOOKUP("SS15",f_detailsof_programs,2,FALSE)</f>
        <v>POEM URD</v>
      </c>
      <c r="C2126" s="84"/>
      <c r="D2126" s="84" t="s">
        <v>688</v>
      </c>
      <c r="E2126" s="84" t="s">
        <v>485</v>
      </c>
      <c r="F2126" s="84"/>
      <c r="G2126" s="84"/>
      <c r="H2126" s="84"/>
    </row>
    <row r="2127" spans="1:8" ht="14.25" x14ac:dyDescent="0.45">
      <c r="A2127" s="85" t="s">
        <v>16</v>
      </c>
      <c r="B2127" s="85" t="s">
        <v>480</v>
      </c>
      <c r="C2127" s="85" t="s">
        <v>18</v>
      </c>
      <c r="D2127" s="85" t="s">
        <v>481</v>
      </c>
      <c r="E2127" s="85" t="s">
        <v>19</v>
      </c>
      <c r="F2127" s="85" t="s">
        <v>482</v>
      </c>
      <c r="G2127" s="85" t="s">
        <v>483</v>
      </c>
      <c r="H2127" s="85" t="s">
        <v>484</v>
      </c>
    </row>
    <row r="2128" spans="1:8" ht="14.25" x14ac:dyDescent="0.45">
      <c r="A2128" s="86" cm="1">
        <f t="array" aca="1" ref="A2128:A2139" ca="1">_xlfn.SEQUENCE(COUNTA(_xlfn.LET(_xlpm.trimmed,OFFSET(f_listof_program_candidates,MATCH("SS15",f_listof_program_codes,0)-1,6,1,),TRANSPOSE(_xlfn._xlws.FILTER(OFFSET(_xlpm.trimmed,0,0,,COUNTA(_xlpm.trimmed)-5),OFFSET(_xlpm.trimmed,0,0,,COUNTA(_xlpm.trimmed)-5)&lt;&gt;0)))))</f>
        <v>1</v>
      </c>
      <c r="B2128" s="86" t="str" cm="1">
        <f t="array" aca="1" ref="B2128:B2139" ca="1">_xlfn.LET(_xlpm.trimmed,OFFSET(f_listof_program_candidates,MATCH("SS15",f_listof_program_codes,0)-1,6,1,),TRANSPOSE(_xlfn._xlws.FILTER(OFFSET(_xlpm.trimmed,0,0,,COUNTA(_xlpm.trimmed)-5),OFFSET(_xlpm.trimmed,0,0,,COUNTA(_xlpm.trimmed)-5)&lt;&gt;0)))</f>
        <v>D128</v>
      </c>
      <c r="C2128" s="86" t="str">
        <f t="shared" ref="C2128:C2139" ca="1" si="465">VLOOKUP(B2128,f_detailsof_candidates,2,FALSE)</f>
        <v>MEHAZIN AMAN T</v>
      </c>
      <c r="D2128" s="86" t="str">
        <f t="shared" ref="D2128:D2139" ca="1" si="466">VLOOKUP(B2128,f_detailsof_candidates,3,FALSE)</f>
        <v>FANT</v>
      </c>
      <c r="E2128" s="86">
        <f t="shared" ref="E2128:E2139" ca="1" si="467">VLOOKUP(B2128,f_detailsof_candidates,5,FALSE)</f>
        <v>8</v>
      </c>
    </row>
    <row r="2129" spans="1:8" ht="14.25" x14ac:dyDescent="0.45">
      <c r="A2129" s="86">
        <f ca="1"/>
        <v>2</v>
      </c>
      <c r="B2129" s="86" t="str">
        <f ca="1"/>
        <v>D184</v>
      </c>
      <c r="C2129" s="86" t="str">
        <f t="shared" ca="1" si="465"/>
        <v>YASEEN</v>
      </c>
      <c r="D2129" s="86" t="str">
        <f t="shared" ca="1" si="466"/>
        <v>FANT</v>
      </c>
      <c r="E2129" s="86">
        <f t="shared" ca="1" si="467"/>
        <v>10</v>
      </c>
    </row>
    <row r="2130" spans="1:8" ht="14.25" x14ac:dyDescent="0.45">
      <c r="A2130" s="86">
        <f ca="1"/>
        <v>3</v>
      </c>
      <c r="B2130" s="86" t="str">
        <f ca="1"/>
        <v>D198</v>
      </c>
      <c r="C2130" s="86" t="str">
        <f t="shared" ca="1" si="465"/>
        <v>MUHAMMED SAFWAN</v>
      </c>
      <c r="D2130" s="86" t="str">
        <f t="shared" ca="1" si="466"/>
        <v>FANT</v>
      </c>
      <c r="E2130" s="86">
        <f t="shared" ca="1" si="467"/>
        <v>10</v>
      </c>
    </row>
    <row r="2131" spans="1:8" ht="14.25" x14ac:dyDescent="0.45">
      <c r="A2131" s="86">
        <f ca="1"/>
        <v>4</v>
      </c>
      <c r="B2131" s="86" t="str">
        <f ca="1"/>
        <v>D131</v>
      </c>
      <c r="C2131" s="86" t="str">
        <f t="shared" ca="1" si="465"/>
        <v>MAHAMMAD RIYAZ</v>
      </c>
      <c r="D2131" s="86" t="str">
        <f t="shared" ca="1" si="466"/>
        <v>DAHF</v>
      </c>
      <c r="E2131" s="86">
        <f t="shared" ca="1" si="467"/>
        <v>9</v>
      </c>
    </row>
    <row r="2132" spans="1:8" ht="14.25" x14ac:dyDescent="0.45">
      <c r="A2132" s="86">
        <f ca="1"/>
        <v>5</v>
      </c>
      <c r="B2132" s="86" t="str">
        <f ca="1"/>
        <v>D125</v>
      </c>
      <c r="C2132" s="86" t="str">
        <f t="shared" ca="1" si="465"/>
        <v>SAYYAD MOHAMMED VASIL</v>
      </c>
      <c r="D2132" s="86" t="str">
        <f t="shared" ca="1" si="466"/>
        <v>DAHF</v>
      </c>
      <c r="E2132" s="86">
        <f t="shared" ca="1" si="467"/>
        <v>8</v>
      </c>
    </row>
    <row r="2133" spans="1:8" ht="14.25" x14ac:dyDescent="0.45">
      <c r="A2133" s="86">
        <f ca="1"/>
        <v>6</v>
      </c>
      <c r="B2133" s="86" t="str">
        <f ca="1"/>
        <v>D130</v>
      </c>
      <c r="C2133" s="86" t="str">
        <f t="shared" ca="1" si="465"/>
        <v>ZAINUDEEN</v>
      </c>
      <c r="D2133" s="86" t="str">
        <f t="shared" ca="1" si="466"/>
        <v>DAHF</v>
      </c>
      <c r="E2133" s="86">
        <f t="shared" ca="1" si="467"/>
        <v>9</v>
      </c>
    </row>
    <row r="2134" spans="1:8" ht="14.25" x14ac:dyDescent="0.45">
      <c r="A2134" s="86">
        <f ca="1"/>
        <v>7</v>
      </c>
      <c r="B2134" s="86" t="str">
        <f ca="1"/>
        <v>D118</v>
      </c>
      <c r="C2134" s="86" t="str">
        <f t="shared" ca="1" si="465"/>
        <v>MOHAMMAD KHALANDAR ZIYAD</v>
      </c>
      <c r="D2134" s="86" t="str">
        <f t="shared" ca="1" si="466"/>
        <v>BADF</v>
      </c>
      <c r="E2134" s="86">
        <f t="shared" ca="1" si="467"/>
        <v>8</v>
      </c>
    </row>
    <row r="2135" spans="1:8" ht="14.25" x14ac:dyDescent="0.45">
      <c r="A2135" s="86">
        <f ca="1"/>
        <v>8</v>
      </c>
      <c r="B2135" s="86" t="str">
        <f ca="1"/>
        <v>D189</v>
      </c>
      <c r="C2135" s="86" t="str">
        <f t="shared" ca="1" si="465"/>
        <v>ASGAR ALI</v>
      </c>
      <c r="D2135" s="86" t="str">
        <f t="shared" ca="1" si="466"/>
        <v>BADF</v>
      </c>
      <c r="E2135" s="86">
        <f t="shared" ca="1" si="467"/>
        <v>10</v>
      </c>
    </row>
    <row r="2136" spans="1:8" ht="14.25" x14ac:dyDescent="0.45">
      <c r="A2136" s="86">
        <f ca="1"/>
        <v>9</v>
      </c>
      <c r="B2136" s="86" t="str">
        <f ca="1"/>
        <v>D162</v>
      </c>
      <c r="C2136" s="86" t="str">
        <f t="shared" ca="1" si="465"/>
        <v>ABDURAHMAN P.H</v>
      </c>
      <c r="D2136" s="86" t="str">
        <f t="shared" ca="1" si="466"/>
        <v>BADF</v>
      </c>
      <c r="E2136" s="86">
        <f t="shared" ca="1" si="467"/>
        <v>9</v>
      </c>
    </row>
    <row r="2137" spans="1:8" ht="14.25" x14ac:dyDescent="0.45">
      <c r="A2137" s="86">
        <f ca="1"/>
        <v>10</v>
      </c>
      <c r="B2137" s="86" t="str">
        <f ca="1"/>
        <v>D101</v>
      </c>
      <c r="C2137" s="86" t="str">
        <f t="shared" ca="1" si="465"/>
        <v>MOHAMMED AFSAL</v>
      </c>
      <c r="D2137" s="86" t="str">
        <f t="shared" ca="1" si="466"/>
        <v>JARF</v>
      </c>
      <c r="E2137" s="86">
        <f t="shared" ca="1" si="467"/>
        <v>8</v>
      </c>
    </row>
    <row r="2138" spans="1:8" ht="14.25" x14ac:dyDescent="0.45">
      <c r="A2138" s="86">
        <f ca="1"/>
        <v>11</v>
      </c>
      <c r="B2138" s="86" t="str">
        <f ca="1"/>
        <v>D164</v>
      </c>
      <c r="C2138" s="86" t="str">
        <f t="shared" ca="1" si="465"/>
        <v>AHMED SULTHAN</v>
      </c>
      <c r="D2138" s="86" t="str">
        <f t="shared" ca="1" si="466"/>
        <v>JARF</v>
      </c>
      <c r="E2138" s="86">
        <f t="shared" ca="1" si="467"/>
        <v>9</v>
      </c>
    </row>
    <row r="2139" spans="1:8" ht="14.25" x14ac:dyDescent="0.45">
      <c r="A2139" s="86">
        <f ca="1"/>
        <v>12</v>
      </c>
      <c r="B2139" s="86" t="str">
        <f ca="1"/>
        <v>D182</v>
      </c>
      <c r="C2139" s="86" t="str">
        <f t="shared" ca="1" si="465"/>
        <v>AHAMED ASIF M</v>
      </c>
      <c r="D2139" s="86" t="str">
        <f t="shared" ca="1" si="466"/>
        <v>JARF</v>
      </c>
      <c r="E2139" s="86">
        <f t="shared" ca="1" si="467"/>
        <v>10</v>
      </c>
    </row>
    <row r="2140" spans="1:8" ht="14.25" x14ac:dyDescent="0.45">
      <c r="A2140" s="84" t="s">
        <v>363</v>
      </c>
      <c r="B2140" s="84" t="str">
        <f>VLOOKUP("SS16",f_detailsof_programs,2,FALSE)</f>
        <v>PROOF READING ARB</v>
      </c>
      <c r="C2140" s="84"/>
      <c r="D2140" s="84" t="s">
        <v>688</v>
      </c>
      <c r="E2140" s="84" t="s">
        <v>485</v>
      </c>
      <c r="F2140" s="84"/>
      <c r="G2140" s="84"/>
      <c r="H2140" s="84"/>
    </row>
    <row r="2141" spans="1:8" ht="14.25" x14ac:dyDescent="0.45">
      <c r="A2141" s="85" t="s">
        <v>16</v>
      </c>
      <c r="B2141" s="85" t="s">
        <v>480</v>
      </c>
      <c r="C2141" s="85" t="s">
        <v>18</v>
      </c>
      <c r="D2141" s="85" t="s">
        <v>481</v>
      </c>
      <c r="E2141" s="85" t="s">
        <v>19</v>
      </c>
      <c r="F2141" s="85" t="s">
        <v>482</v>
      </c>
      <c r="G2141" s="85" t="s">
        <v>483</v>
      </c>
      <c r="H2141" s="85" t="s">
        <v>484</v>
      </c>
    </row>
    <row r="2142" spans="1:8" ht="14.25" x14ac:dyDescent="0.45">
      <c r="A2142" s="86" cm="1">
        <f t="array" aca="1" ref="A2142:A2153" ca="1">_xlfn.SEQUENCE(COUNTA(_xlfn.LET(_xlpm.trimmed,OFFSET(f_listof_program_candidates,MATCH("SS16",f_listof_program_codes,0)-1,6,1,),TRANSPOSE(_xlfn._xlws.FILTER(OFFSET(_xlpm.trimmed,0,0,,COUNTA(_xlpm.trimmed)-5),OFFSET(_xlpm.trimmed,0,0,,COUNTA(_xlpm.trimmed)-5)&lt;&gt;0)))))</f>
        <v>1</v>
      </c>
      <c r="B2142" s="86" t="str" cm="1">
        <f t="array" aca="1" ref="B2142:B2153" ca="1">_xlfn.LET(_xlpm.trimmed,OFFSET(f_listof_program_candidates,MATCH("SS16",f_listof_program_codes,0)-1,6,1,),TRANSPOSE(_xlfn._xlws.FILTER(OFFSET(_xlpm.trimmed,0,0,,COUNTA(_xlpm.trimmed)-5),OFFSET(_xlpm.trimmed,0,0,,COUNTA(_xlpm.trimmed)-5)&lt;&gt;0)))</f>
        <v>D163</v>
      </c>
      <c r="C2142" s="86" t="str">
        <f t="shared" ref="C2142:C2153" ca="1" si="468">VLOOKUP(B2142,f_detailsof_candidates,2,FALSE)</f>
        <v>ABDUL JANIS</v>
      </c>
      <c r="D2142" s="86" t="str">
        <f t="shared" ref="D2142:D2153" ca="1" si="469">VLOOKUP(B2142,f_detailsof_candidates,3,FALSE)</f>
        <v>FANT</v>
      </c>
      <c r="E2142" s="86">
        <f t="shared" ref="E2142:E2153" ca="1" si="470">VLOOKUP(B2142,f_detailsof_candidates,5,FALSE)</f>
        <v>9</v>
      </c>
    </row>
    <row r="2143" spans="1:8" ht="14.25" x14ac:dyDescent="0.45">
      <c r="A2143" s="86">
        <f ca="1"/>
        <v>2</v>
      </c>
      <c r="B2143" s="86" t="str">
        <f ca="1"/>
        <v>D177</v>
      </c>
      <c r="C2143" s="86" t="str">
        <f t="shared" ca="1" si="468"/>
        <v>SHAMEEM ABDULLA P.S</v>
      </c>
      <c r="D2143" s="86" t="str">
        <f t="shared" ca="1" si="469"/>
        <v>FANT</v>
      </c>
      <c r="E2143" s="86">
        <f t="shared" ca="1" si="470"/>
        <v>10</v>
      </c>
    </row>
    <row r="2144" spans="1:8" ht="14.25" x14ac:dyDescent="0.45">
      <c r="A2144" s="86">
        <f ca="1"/>
        <v>3</v>
      </c>
      <c r="B2144" s="86" t="str">
        <f ca="1"/>
        <v>D180</v>
      </c>
      <c r="C2144" s="86" t="str">
        <f t="shared" ca="1" si="468"/>
        <v>ATHIF ABDULKHADER</v>
      </c>
      <c r="D2144" s="86" t="str">
        <f t="shared" ca="1" si="469"/>
        <v>FANT</v>
      </c>
      <c r="E2144" s="86">
        <f t="shared" ca="1" si="470"/>
        <v>10</v>
      </c>
    </row>
    <row r="2145" spans="1:8" ht="14.25" x14ac:dyDescent="0.45">
      <c r="A2145" s="86">
        <f ca="1"/>
        <v>4</v>
      </c>
      <c r="B2145" s="86" t="str">
        <f ca="1"/>
        <v>D106</v>
      </c>
      <c r="C2145" s="86" t="str">
        <f t="shared" ca="1" si="468"/>
        <v>MOHAMMED SHAMMAS S.I</v>
      </c>
      <c r="D2145" s="86" t="str">
        <f t="shared" ca="1" si="469"/>
        <v>DAHF</v>
      </c>
      <c r="E2145" s="86">
        <f t="shared" ca="1" si="470"/>
        <v>8</v>
      </c>
    </row>
    <row r="2146" spans="1:8" ht="14.25" x14ac:dyDescent="0.45">
      <c r="A2146" s="86">
        <f ca="1"/>
        <v>5</v>
      </c>
      <c r="B2146" s="86" t="str">
        <f ca="1"/>
        <v>D166</v>
      </c>
      <c r="C2146" s="86" t="str">
        <f t="shared" ca="1" si="468"/>
        <v>MOHAMMED IRFAN C</v>
      </c>
      <c r="D2146" s="86" t="str">
        <f t="shared" ca="1" si="469"/>
        <v>DAHF</v>
      </c>
      <c r="E2146" s="86">
        <f t="shared" ca="1" si="470"/>
        <v>9</v>
      </c>
    </row>
    <row r="2147" spans="1:8" ht="14.25" x14ac:dyDescent="0.45">
      <c r="A2147" s="86">
        <f ca="1"/>
        <v>6</v>
      </c>
      <c r="B2147" s="86" t="str">
        <f ca="1"/>
        <v>D192</v>
      </c>
      <c r="C2147" s="86" t="str">
        <f t="shared" ca="1" si="468"/>
        <v>MUHAMMED SIFARATH T A</v>
      </c>
      <c r="D2147" s="86" t="str">
        <f t="shared" ca="1" si="469"/>
        <v>DAHF</v>
      </c>
      <c r="E2147" s="86">
        <f t="shared" ca="1" si="470"/>
        <v>10</v>
      </c>
    </row>
    <row r="2148" spans="1:8" ht="14.25" x14ac:dyDescent="0.45">
      <c r="A2148" s="86">
        <f ca="1"/>
        <v>7</v>
      </c>
      <c r="B2148" s="86" t="str">
        <f ca="1"/>
        <v>D119</v>
      </c>
      <c r="C2148" s="86" t="str">
        <f t="shared" ca="1" si="468"/>
        <v>ABU THAHIR</v>
      </c>
      <c r="D2148" s="86" t="str">
        <f t="shared" ca="1" si="469"/>
        <v>BADF</v>
      </c>
      <c r="E2148" s="86">
        <f t="shared" ca="1" si="470"/>
        <v>8</v>
      </c>
    </row>
    <row r="2149" spans="1:8" ht="14.25" x14ac:dyDescent="0.45">
      <c r="A2149" s="86">
        <f ca="1"/>
        <v>8</v>
      </c>
      <c r="B2149" s="86" t="str">
        <f ca="1"/>
        <v>D143</v>
      </c>
      <c r="C2149" s="86" t="str">
        <f t="shared" ca="1" si="468"/>
        <v>MUHAMMED MA</v>
      </c>
      <c r="D2149" s="86" t="str">
        <f t="shared" ca="1" si="469"/>
        <v>BADF</v>
      </c>
      <c r="E2149" s="86">
        <f t="shared" ca="1" si="470"/>
        <v>9</v>
      </c>
    </row>
    <row r="2150" spans="1:8" ht="14.25" x14ac:dyDescent="0.45">
      <c r="A2150" s="86">
        <f ca="1"/>
        <v>9</v>
      </c>
      <c r="B2150" s="86" t="str">
        <f ca="1"/>
        <v>D195</v>
      </c>
      <c r="C2150" s="86" t="str">
        <f t="shared" ca="1" si="468"/>
        <v>AHMED SWALAHUDHEEN PI</v>
      </c>
      <c r="D2150" s="86" t="str">
        <f t="shared" ca="1" si="469"/>
        <v>BADF</v>
      </c>
      <c r="E2150" s="86">
        <f t="shared" ca="1" si="470"/>
        <v>10</v>
      </c>
    </row>
    <row r="2151" spans="1:8" ht="14.25" x14ac:dyDescent="0.45">
      <c r="A2151" s="86">
        <f ca="1"/>
        <v>10</v>
      </c>
      <c r="B2151" s="86" t="str">
        <f ca="1"/>
        <v>D104</v>
      </c>
      <c r="C2151" s="86" t="str">
        <f t="shared" ca="1" si="468"/>
        <v>MUHAMMAD SHANEED.</v>
      </c>
      <c r="D2151" s="86" t="str">
        <f t="shared" ca="1" si="469"/>
        <v>JARF</v>
      </c>
      <c r="E2151" s="86">
        <f t="shared" ca="1" si="470"/>
        <v>8</v>
      </c>
    </row>
    <row r="2152" spans="1:8" ht="14.25" x14ac:dyDescent="0.45">
      <c r="A2152" s="86">
        <f ca="1"/>
        <v>11</v>
      </c>
      <c r="B2152" s="86" t="str">
        <f ca="1"/>
        <v>D113</v>
      </c>
      <c r="C2152" s="86" t="str">
        <f t="shared" ca="1" si="468"/>
        <v>ZULFIKARALI</v>
      </c>
      <c r="D2152" s="86" t="str">
        <f t="shared" ca="1" si="469"/>
        <v>JARF</v>
      </c>
      <c r="E2152" s="86">
        <f t="shared" ca="1" si="470"/>
        <v>8</v>
      </c>
    </row>
    <row r="2153" spans="1:8" ht="14.25" x14ac:dyDescent="0.45">
      <c r="A2153" s="86">
        <f ca="1"/>
        <v>12</v>
      </c>
      <c r="B2153" s="86" t="str">
        <f ca="1"/>
        <v>D139</v>
      </c>
      <c r="C2153" s="86" t="str">
        <f t="shared" ca="1" si="468"/>
        <v>AHAMMED MUBARAK KA</v>
      </c>
      <c r="D2153" s="86" t="str">
        <f t="shared" ca="1" si="469"/>
        <v>JARF</v>
      </c>
      <c r="E2153" s="86">
        <f t="shared" ca="1" si="470"/>
        <v>9</v>
      </c>
    </row>
    <row r="2154" spans="1:8" ht="14.25" x14ac:dyDescent="0.45">
      <c r="A2154" s="84" t="s">
        <v>365</v>
      </c>
      <c r="B2154" s="84" t="str">
        <f>VLOOKUP("SS17",f_detailsof_programs,2,FALSE)</f>
        <v>PROOF READING ENG</v>
      </c>
      <c r="C2154" s="84"/>
      <c r="D2154" s="84" t="s">
        <v>688</v>
      </c>
      <c r="E2154" s="84" t="s">
        <v>485</v>
      </c>
      <c r="F2154" s="84"/>
      <c r="G2154" s="84"/>
      <c r="H2154" s="84"/>
    </row>
    <row r="2155" spans="1:8" ht="14.25" x14ac:dyDescent="0.45">
      <c r="A2155" s="85" t="s">
        <v>16</v>
      </c>
      <c r="B2155" s="85" t="s">
        <v>480</v>
      </c>
      <c r="C2155" s="85" t="s">
        <v>18</v>
      </c>
      <c r="D2155" s="85" t="s">
        <v>481</v>
      </c>
      <c r="E2155" s="85" t="s">
        <v>19</v>
      </c>
      <c r="F2155" s="85" t="s">
        <v>482</v>
      </c>
      <c r="G2155" s="85" t="s">
        <v>483</v>
      </c>
      <c r="H2155" s="85" t="s">
        <v>484</v>
      </c>
    </row>
    <row r="2156" spans="1:8" ht="14.25" x14ac:dyDescent="0.45">
      <c r="A2156" s="86" cm="1">
        <f t="array" aca="1" ref="A2156:A2167" ca="1">_xlfn.SEQUENCE(COUNTA(_xlfn.LET(_xlpm.trimmed,OFFSET(f_listof_program_candidates,MATCH("SS17",f_listof_program_codes,0)-1,6,1,),TRANSPOSE(_xlfn._xlws.FILTER(OFFSET(_xlpm.trimmed,0,0,,COUNTA(_xlpm.trimmed)-5),OFFSET(_xlpm.trimmed,0,0,,COUNTA(_xlpm.trimmed)-5)&lt;&gt;0)))))</f>
        <v>1</v>
      </c>
      <c r="B2156" s="86" t="str" cm="1">
        <f t="array" aca="1" ref="B2156:B2167" ca="1">_xlfn.LET(_xlpm.trimmed,OFFSET(f_listof_program_candidates,MATCH("SS17",f_listof_program_codes,0)-1,6,1,),TRANSPOSE(_xlfn._xlws.FILTER(OFFSET(_xlpm.trimmed,0,0,,COUNTA(_xlpm.trimmed)-5),OFFSET(_xlpm.trimmed,0,0,,COUNTA(_xlpm.trimmed)-5)&lt;&gt;0)))</f>
        <v>D133</v>
      </c>
      <c r="C2156" s="86" t="str">
        <f t="shared" ref="C2156:C2167" ca="1" si="471">VLOOKUP(B2156,f_detailsof_candidates,2,FALSE)</f>
        <v>MOHAMMED SHAMSHEER</v>
      </c>
      <c r="D2156" s="86" t="str">
        <f t="shared" ref="D2156:D2167" ca="1" si="472">VLOOKUP(B2156,f_detailsof_candidates,3,FALSE)</f>
        <v>FANT</v>
      </c>
      <c r="E2156" s="86">
        <f t="shared" ref="E2156:E2167" ca="1" si="473">VLOOKUP(B2156,f_detailsof_candidates,5,FALSE)</f>
        <v>9</v>
      </c>
    </row>
    <row r="2157" spans="1:8" ht="14.25" x14ac:dyDescent="0.45">
      <c r="A2157" s="86">
        <f ca="1"/>
        <v>2</v>
      </c>
      <c r="B2157" s="86" t="str">
        <f ca="1"/>
        <v>D171</v>
      </c>
      <c r="C2157" s="86" t="str">
        <f t="shared" ca="1" si="471"/>
        <v>MOHAMMED ANFAHUDEEN T.A</v>
      </c>
      <c r="D2157" s="86" t="str">
        <f t="shared" ca="1" si="472"/>
        <v>FANT</v>
      </c>
      <c r="E2157" s="86">
        <f t="shared" ca="1" si="473"/>
        <v>10</v>
      </c>
    </row>
    <row r="2158" spans="1:8" ht="14.25" x14ac:dyDescent="0.45">
      <c r="A2158" s="86">
        <f ca="1"/>
        <v>3</v>
      </c>
      <c r="B2158" s="86" t="str">
        <f ca="1"/>
        <v>D177</v>
      </c>
      <c r="C2158" s="86" t="str">
        <f t="shared" ca="1" si="471"/>
        <v>SHAMEEM ABDULLA P.S</v>
      </c>
      <c r="D2158" s="86" t="str">
        <f t="shared" ca="1" si="472"/>
        <v>FANT</v>
      </c>
      <c r="E2158" s="86">
        <f t="shared" ca="1" si="473"/>
        <v>10</v>
      </c>
    </row>
    <row r="2159" spans="1:8" ht="14.25" x14ac:dyDescent="0.45">
      <c r="A2159" s="86">
        <f ca="1"/>
        <v>4</v>
      </c>
      <c r="B2159" s="86" t="str">
        <f ca="1"/>
        <v>D135</v>
      </c>
      <c r="C2159" s="86" t="str">
        <f t="shared" ca="1" si="471"/>
        <v>HASHIR HUSSAIN IK</v>
      </c>
      <c r="D2159" s="86" t="str">
        <f t="shared" ca="1" si="472"/>
        <v>DAHF</v>
      </c>
      <c r="E2159" s="86">
        <f t="shared" ca="1" si="473"/>
        <v>9</v>
      </c>
    </row>
    <row r="2160" spans="1:8" ht="14.25" x14ac:dyDescent="0.45">
      <c r="A2160" s="86">
        <f ca="1"/>
        <v>5</v>
      </c>
      <c r="B2160" s="86" t="str">
        <f ca="1"/>
        <v>D150</v>
      </c>
      <c r="C2160" s="86" t="str">
        <f t="shared" ca="1" si="471"/>
        <v>ABDUL KHADER</v>
      </c>
      <c r="D2160" s="86" t="str">
        <f t="shared" ca="1" si="472"/>
        <v>DAHF</v>
      </c>
      <c r="E2160" s="86">
        <f t="shared" ca="1" si="473"/>
        <v>9</v>
      </c>
    </row>
    <row r="2161" spans="1:8" ht="14.25" x14ac:dyDescent="0.45">
      <c r="A2161" s="86">
        <f ca="1"/>
        <v>6</v>
      </c>
      <c r="B2161" s="86" t="str">
        <f ca="1"/>
        <v>D108</v>
      </c>
      <c r="C2161" s="86" t="str">
        <f t="shared" ca="1" si="471"/>
        <v>MOHAMMED HASHIR</v>
      </c>
      <c r="D2161" s="86" t="str">
        <f t="shared" ca="1" si="472"/>
        <v>DAHF</v>
      </c>
      <c r="E2161" s="86">
        <f t="shared" ca="1" si="473"/>
        <v>8</v>
      </c>
    </row>
    <row r="2162" spans="1:8" ht="14.25" x14ac:dyDescent="0.45">
      <c r="A2162" s="86">
        <f ca="1"/>
        <v>7</v>
      </c>
      <c r="B2162" s="86" t="str">
        <f ca="1"/>
        <v>D110</v>
      </c>
      <c r="C2162" s="86" t="str">
        <f t="shared" ca="1" si="471"/>
        <v>ABBAS AZNAB M.A</v>
      </c>
      <c r="D2162" s="86" t="str">
        <f t="shared" ca="1" si="472"/>
        <v>BADF</v>
      </c>
      <c r="E2162" s="86">
        <f t="shared" ca="1" si="473"/>
        <v>8</v>
      </c>
    </row>
    <row r="2163" spans="1:8" ht="14.25" x14ac:dyDescent="0.45">
      <c r="A2163" s="86">
        <f ca="1"/>
        <v>8</v>
      </c>
      <c r="B2163" s="86" t="str">
        <f ca="1"/>
        <v>D118</v>
      </c>
      <c r="C2163" s="86" t="str">
        <f t="shared" ca="1" si="471"/>
        <v>MOHAMMAD KHALANDAR ZIYAD</v>
      </c>
      <c r="D2163" s="86" t="str">
        <f t="shared" ca="1" si="472"/>
        <v>BADF</v>
      </c>
      <c r="E2163" s="86">
        <f t="shared" ca="1" si="473"/>
        <v>8</v>
      </c>
    </row>
    <row r="2164" spans="1:8" ht="14.25" x14ac:dyDescent="0.45">
      <c r="A2164" s="86">
        <f ca="1"/>
        <v>9</v>
      </c>
      <c r="B2164" s="86" t="str">
        <f ca="1"/>
        <v>D190</v>
      </c>
      <c r="C2164" s="86" t="str">
        <f t="shared" ca="1" si="471"/>
        <v>MOHAMMED AMEEN B.A</v>
      </c>
      <c r="D2164" s="86" t="str">
        <f t="shared" ca="1" si="472"/>
        <v>BADF</v>
      </c>
      <c r="E2164" s="86">
        <f t="shared" ca="1" si="473"/>
        <v>10</v>
      </c>
    </row>
    <row r="2165" spans="1:8" ht="14.25" x14ac:dyDescent="0.45">
      <c r="A2165" s="86">
        <f ca="1"/>
        <v>10</v>
      </c>
      <c r="B2165" s="86" t="str">
        <f ca="1"/>
        <v>D101</v>
      </c>
      <c r="C2165" s="86" t="str">
        <f t="shared" ca="1" si="471"/>
        <v>MOHAMMED AFSAL</v>
      </c>
      <c r="D2165" s="86" t="str">
        <f t="shared" ca="1" si="472"/>
        <v>JARF</v>
      </c>
      <c r="E2165" s="86">
        <f t="shared" ca="1" si="473"/>
        <v>8</v>
      </c>
    </row>
    <row r="2166" spans="1:8" ht="14.25" x14ac:dyDescent="0.45">
      <c r="A2166" s="86">
        <f ca="1"/>
        <v>11</v>
      </c>
      <c r="B2166" s="86" t="str">
        <f ca="1"/>
        <v>D116</v>
      </c>
      <c r="C2166" s="86" t="str">
        <f t="shared" ca="1" si="471"/>
        <v>HASSAN SHADDAD UM</v>
      </c>
      <c r="D2166" s="86" t="str">
        <f t="shared" ca="1" si="472"/>
        <v>JARF</v>
      </c>
      <c r="E2166" s="86">
        <f t="shared" ca="1" si="473"/>
        <v>8</v>
      </c>
    </row>
    <row r="2167" spans="1:8" ht="14.25" x14ac:dyDescent="0.45">
      <c r="A2167" s="86">
        <f ca="1"/>
        <v>12</v>
      </c>
      <c r="B2167" s="86" t="str">
        <f ca="1"/>
        <v>D154</v>
      </c>
      <c r="C2167" s="86" t="str">
        <f t="shared" ca="1" si="471"/>
        <v>ASHIKK.I</v>
      </c>
      <c r="D2167" s="86" t="str">
        <f t="shared" ca="1" si="472"/>
        <v>JARF</v>
      </c>
      <c r="E2167" s="86">
        <f t="shared" ca="1" si="473"/>
        <v>9</v>
      </c>
    </row>
    <row r="2168" spans="1:8" ht="14.25" x14ac:dyDescent="0.45">
      <c r="A2168" s="84" t="s">
        <v>367</v>
      </c>
      <c r="B2168" s="84" t="str">
        <f>VLOOKUP("SS18",f_detailsof_programs,2,FALSE)</f>
        <v>PROOF READING MLM</v>
      </c>
      <c r="C2168" s="84"/>
      <c r="D2168" s="84" t="s">
        <v>688</v>
      </c>
      <c r="E2168" s="84" t="s">
        <v>485</v>
      </c>
      <c r="F2168" s="84"/>
      <c r="G2168" s="84"/>
      <c r="H2168" s="84"/>
    </row>
    <row r="2169" spans="1:8" ht="14.25" x14ac:dyDescent="0.45">
      <c r="A2169" s="85" t="s">
        <v>16</v>
      </c>
      <c r="B2169" s="85" t="s">
        <v>480</v>
      </c>
      <c r="C2169" s="85" t="s">
        <v>18</v>
      </c>
      <c r="D2169" s="85" t="s">
        <v>481</v>
      </c>
      <c r="E2169" s="85" t="s">
        <v>19</v>
      </c>
      <c r="F2169" s="85" t="s">
        <v>482</v>
      </c>
      <c r="G2169" s="85" t="s">
        <v>483</v>
      </c>
      <c r="H2169" s="85" t="s">
        <v>484</v>
      </c>
    </row>
    <row r="2170" spans="1:8" ht="14.25" x14ac:dyDescent="0.45">
      <c r="A2170" s="86" cm="1">
        <f t="array" aca="1" ref="A2170:A2181" ca="1">_xlfn.SEQUENCE(COUNTA(_xlfn.LET(_xlpm.trimmed,OFFSET(f_listof_program_candidates,MATCH("SS18",f_listof_program_codes,0)-1,6,1,),TRANSPOSE(_xlfn._xlws.FILTER(OFFSET(_xlpm.trimmed,0,0,,COUNTA(_xlpm.trimmed)-5),OFFSET(_xlpm.trimmed,0,0,,COUNTA(_xlpm.trimmed)-5)&lt;&gt;0)))))</f>
        <v>1</v>
      </c>
      <c r="B2170" s="86" t="str" cm="1">
        <f t="array" aca="1" ref="B2170:B2181" ca="1">_xlfn.LET(_xlpm.trimmed,OFFSET(f_listof_program_candidates,MATCH("SS18",f_listof_program_codes,0)-1,6,1,),TRANSPOSE(_xlfn._xlws.FILTER(OFFSET(_xlpm.trimmed,0,0,,COUNTA(_xlpm.trimmed)-5),OFFSET(_xlpm.trimmed,0,0,,COUNTA(_xlpm.trimmed)-5)&lt;&gt;0)))</f>
        <v>D105</v>
      </c>
      <c r="C2170" s="86" t="str">
        <f t="shared" ref="C2170:C2181" ca="1" si="474">VLOOKUP(B2170,f_detailsof_candidates,2,FALSE)</f>
        <v>ABDUL WADHOOD</v>
      </c>
      <c r="D2170" s="86" t="str">
        <f t="shared" ref="D2170:D2181" ca="1" si="475">VLOOKUP(B2170,f_detailsof_candidates,3,FALSE)</f>
        <v>FANT</v>
      </c>
      <c r="E2170" s="86">
        <f t="shared" ref="E2170:E2181" ca="1" si="476">VLOOKUP(B2170,f_detailsof_candidates,5,FALSE)</f>
        <v>8</v>
      </c>
    </row>
    <row r="2171" spans="1:8" ht="14.25" x14ac:dyDescent="0.45">
      <c r="A2171" s="86">
        <f ca="1"/>
        <v>2</v>
      </c>
      <c r="B2171" s="86" t="str">
        <f ca="1"/>
        <v>D147</v>
      </c>
      <c r="C2171" s="86" t="str">
        <f t="shared" ca="1" si="474"/>
        <v>MOHAMMED SHAHZAN T.K</v>
      </c>
      <c r="D2171" s="86" t="str">
        <f t="shared" ca="1" si="475"/>
        <v>FANT</v>
      </c>
      <c r="E2171" s="86">
        <f t="shared" ca="1" si="476"/>
        <v>9</v>
      </c>
    </row>
    <row r="2172" spans="1:8" ht="14.25" x14ac:dyDescent="0.45">
      <c r="A2172" s="86">
        <f ca="1"/>
        <v>3</v>
      </c>
      <c r="B2172" s="86" t="str">
        <f ca="1"/>
        <v>D171</v>
      </c>
      <c r="C2172" s="86" t="str">
        <f t="shared" ca="1" si="474"/>
        <v>MOHAMMED ANFAHUDEEN T.A</v>
      </c>
      <c r="D2172" s="86" t="str">
        <f t="shared" ca="1" si="475"/>
        <v>FANT</v>
      </c>
      <c r="E2172" s="86">
        <f t="shared" ca="1" si="476"/>
        <v>10</v>
      </c>
    </row>
    <row r="2173" spans="1:8" ht="14.25" x14ac:dyDescent="0.45">
      <c r="A2173" s="86">
        <f ca="1"/>
        <v>4</v>
      </c>
      <c r="B2173" s="86" t="str">
        <f ca="1"/>
        <v>D103</v>
      </c>
      <c r="C2173" s="86" t="str">
        <f t="shared" ca="1" si="474"/>
        <v>MUHAMMAD RAZI</v>
      </c>
      <c r="D2173" s="86" t="str">
        <f t="shared" ca="1" si="475"/>
        <v>DAHF</v>
      </c>
      <c r="E2173" s="86">
        <f t="shared" ca="1" si="476"/>
        <v>8</v>
      </c>
    </row>
    <row r="2174" spans="1:8" ht="14.25" x14ac:dyDescent="0.45">
      <c r="A2174" s="86">
        <f ca="1"/>
        <v>5</v>
      </c>
      <c r="B2174" s="86" t="str">
        <f ca="1"/>
        <v>D172</v>
      </c>
      <c r="C2174" s="86" t="str">
        <f t="shared" ca="1" si="474"/>
        <v>MUHAMMED MUFEED</v>
      </c>
      <c r="D2174" s="86" t="str">
        <f t="shared" ca="1" si="475"/>
        <v>DAHF</v>
      </c>
      <c r="E2174" s="86">
        <f t="shared" ca="1" si="476"/>
        <v>10</v>
      </c>
    </row>
    <row r="2175" spans="1:8" ht="14.25" x14ac:dyDescent="0.45">
      <c r="A2175" s="86">
        <f ca="1"/>
        <v>6</v>
      </c>
      <c r="B2175" s="86" t="str">
        <f ca="1"/>
        <v>D146</v>
      </c>
      <c r="C2175" s="86" t="str">
        <f t="shared" ca="1" si="474"/>
        <v>ABDUL YOUNUS</v>
      </c>
      <c r="D2175" s="86" t="str">
        <f t="shared" ca="1" si="475"/>
        <v>DAHF</v>
      </c>
      <c r="E2175" s="86">
        <f t="shared" ca="1" si="476"/>
        <v>9</v>
      </c>
    </row>
    <row r="2176" spans="1:8" ht="14.25" x14ac:dyDescent="0.45">
      <c r="A2176" s="86">
        <f ca="1"/>
        <v>7</v>
      </c>
      <c r="B2176" s="86" t="str">
        <f ca="1"/>
        <v>D155</v>
      </c>
      <c r="C2176" s="86" t="str">
        <f t="shared" ca="1" si="474"/>
        <v>MUHAMMED YASIR K</v>
      </c>
      <c r="D2176" s="86" t="str">
        <f t="shared" ca="1" si="475"/>
        <v>BADF</v>
      </c>
      <c r="E2176" s="86">
        <f t="shared" ca="1" si="476"/>
        <v>9</v>
      </c>
    </row>
    <row r="2177" spans="1:8" ht="14.25" x14ac:dyDescent="0.45">
      <c r="A2177" s="86">
        <f ca="1"/>
        <v>8</v>
      </c>
      <c r="B2177" s="86" t="str">
        <f ca="1"/>
        <v>D157</v>
      </c>
      <c r="C2177" s="86" t="str">
        <f t="shared" ca="1" si="474"/>
        <v>MUHAMMAD MUZAMMIL E.A</v>
      </c>
      <c r="D2177" s="86" t="str">
        <f t="shared" ca="1" si="475"/>
        <v>BADF</v>
      </c>
      <c r="E2177" s="86">
        <f t="shared" ca="1" si="476"/>
        <v>9</v>
      </c>
    </row>
    <row r="2178" spans="1:8" ht="14.25" x14ac:dyDescent="0.45">
      <c r="A2178" s="86">
        <f ca="1"/>
        <v>9</v>
      </c>
      <c r="B2178" s="86" t="str">
        <f ca="1"/>
        <v>D195</v>
      </c>
      <c r="C2178" s="86" t="str">
        <f t="shared" ca="1" si="474"/>
        <v>AHMED SWALAHUDHEEN PI</v>
      </c>
      <c r="D2178" s="86" t="str">
        <f t="shared" ca="1" si="475"/>
        <v>BADF</v>
      </c>
      <c r="E2178" s="86">
        <f t="shared" ca="1" si="476"/>
        <v>10</v>
      </c>
    </row>
    <row r="2179" spans="1:8" ht="14.25" x14ac:dyDescent="0.45">
      <c r="A2179" s="86">
        <f ca="1"/>
        <v>10</v>
      </c>
      <c r="B2179" s="86" t="str">
        <f ca="1"/>
        <v>D136</v>
      </c>
      <c r="C2179" s="86" t="str">
        <f t="shared" ca="1" si="474"/>
        <v>MUHAMMED ASBAQUE</v>
      </c>
      <c r="D2179" s="86" t="str">
        <f t="shared" ca="1" si="475"/>
        <v>JARF</v>
      </c>
      <c r="E2179" s="86">
        <f t="shared" ca="1" si="476"/>
        <v>9</v>
      </c>
    </row>
    <row r="2180" spans="1:8" ht="14.25" x14ac:dyDescent="0.45">
      <c r="A2180" s="86">
        <f ca="1"/>
        <v>11</v>
      </c>
      <c r="B2180" s="86" t="str">
        <f ca="1"/>
        <v>D170</v>
      </c>
      <c r="C2180" s="86" t="str">
        <f t="shared" ca="1" si="474"/>
        <v>AHMED ADIL B.K</v>
      </c>
      <c r="D2180" s="86" t="str">
        <f t="shared" ca="1" si="475"/>
        <v>JARF</v>
      </c>
      <c r="E2180" s="86">
        <f t="shared" ca="1" si="476"/>
        <v>10</v>
      </c>
    </row>
    <row r="2181" spans="1:8" ht="14.25" x14ac:dyDescent="0.45">
      <c r="A2181" s="86">
        <f ca="1"/>
        <v>12</v>
      </c>
      <c r="B2181" s="86" t="str">
        <f ca="1"/>
        <v>D194</v>
      </c>
      <c r="C2181" s="86" t="str">
        <f t="shared" ca="1" si="474"/>
        <v>AYAZ RAHMAN T</v>
      </c>
      <c r="D2181" s="86" t="str">
        <f t="shared" ca="1" si="475"/>
        <v>JARF</v>
      </c>
      <c r="E2181" s="86">
        <f t="shared" ca="1" si="476"/>
        <v>10</v>
      </c>
    </row>
    <row r="2182" spans="1:8" ht="14.25" x14ac:dyDescent="0.45">
      <c r="A2182" s="84" t="s">
        <v>369</v>
      </c>
      <c r="B2182" s="84" t="str">
        <f>VLOOKUP("SS19",f_detailsof_programs,2,FALSE)</f>
        <v>PROOF READING URD</v>
      </c>
      <c r="C2182" s="84"/>
      <c r="D2182" s="84" t="s">
        <v>688</v>
      </c>
      <c r="E2182" s="84" t="s">
        <v>485</v>
      </c>
      <c r="F2182" s="84"/>
      <c r="G2182" s="84"/>
      <c r="H2182" s="84"/>
    </row>
    <row r="2183" spans="1:8" ht="14.25" x14ac:dyDescent="0.45">
      <c r="A2183" s="85" t="s">
        <v>16</v>
      </c>
      <c r="B2183" s="85" t="s">
        <v>480</v>
      </c>
      <c r="C2183" s="85" t="s">
        <v>18</v>
      </c>
      <c r="D2183" s="85" t="s">
        <v>481</v>
      </c>
      <c r="E2183" s="85" t="s">
        <v>19</v>
      </c>
      <c r="F2183" s="85" t="s">
        <v>482</v>
      </c>
      <c r="G2183" s="85" t="s">
        <v>483</v>
      </c>
      <c r="H2183" s="85" t="s">
        <v>484</v>
      </c>
    </row>
    <row r="2184" spans="1:8" ht="14.25" x14ac:dyDescent="0.45">
      <c r="A2184" s="86" cm="1">
        <f t="array" aca="1" ref="A2184:A2195" ca="1">_xlfn.SEQUENCE(COUNTA(_xlfn.LET(_xlpm.trimmed,OFFSET(f_listof_program_candidates,MATCH("SS19",f_listof_program_codes,0)-1,6,1,),TRANSPOSE(_xlfn._xlws.FILTER(OFFSET(_xlpm.trimmed,0,0,,COUNTA(_xlpm.trimmed)-5),OFFSET(_xlpm.trimmed,0,0,,COUNTA(_xlpm.trimmed)-5)&lt;&gt;0)))))</f>
        <v>1</v>
      </c>
      <c r="B2184" s="86" t="str" cm="1">
        <f t="array" aca="1" ref="B2184:B2195" ca="1">_xlfn.LET(_xlpm.trimmed,OFFSET(f_listof_program_candidates,MATCH("SS19",f_listof_program_codes,0)-1,6,1,),TRANSPOSE(_xlfn._xlws.FILTER(OFFSET(_xlpm.trimmed,0,0,,COUNTA(_xlpm.trimmed)-5),OFFSET(_xlpm.trimmed,0,0,,COUNTA(_xlpm.trimmed)-5)&lt;&gt;0)))</f>
        <v>D138</v>
      </c>
      <c r="C2184" s="86" t="str">
        <f t="shared" ref="C2184:C2195" ca="1" si="477">VLOOKUP(B2184,f_detailsof_candidates,2,FALSE)</f>
        <v>MOHAMMED JAWAD A</v>
      </c>
      <c r="D2184" s="86" t="str">
        <f t="shared" ref="D2184:D2195" ca="1" si="478">VLOOKUP(B2184,f_detailsof_candidates,3,FALSE)</f>
        <v>FANT</v>
      </c>
      <c r="E2184" s="86">
        <f t="shared" ref="E2184:E2195" ca="1" si="479">VLOOKUP(B2184,f_detailsof_candidates,5,FALSE)</f>
        <v>9</v>
      </c>
    </row>
    <row r="2185" spans="1:8" ht="14.25" x14ac:dyDescent="0.45">
      <c r="A2185" s="86">
        <f ca="1"/>
        <v>2</v>
      </c>
      <c r="B2185" s="86" t="str">
        <f ca="1"/>
        <v>D168</v>
      </c>
      <c r="C2185" s="86" t="str">
        <f t="shared" ca="1" si="477"/>
        <v>MOHAMMED NAFIH KA</v>
      </c>
      <c r="D2185" s="86" t="str">
        <f t="shared" ca="1" si="478"/>
        <v>FANT</v>
      </c>
      <c r="E2185" s="86">
        <f t="shared" ca="1" si="479"/>
        <v>10</v>
      </c>
    </row>
    <row r="2186" spans="1:8" ht="14.25" x14ac:dyDescent="0.45">
      <c r="A2186" s="86">
        <f ca="1"/>
        <v>3</v>
      </c>
      <c r="B2186" s="86" t="str">
        <f ca="1"/>
        <v>D184</v>
      </c>
      <c r="C2186" s="86" t="str">
        <f t="shared" ca="1" si="477"/>
        <v>YASEEN</v>
      </c>
      <c r="D2186" s="86" t="str">
        <f t="shared" ca="1" si="478"/>
        <v>FANT</v>
      </c>
      <c r="E2186" s="86">
        <f t="shared" ca="1" si="479"/>
        <v>10</v>
      </c>
    </row>
    <row r="2187" spans="1:8" ht="14.25" x14ac:dyDescent="0.45">
      <c r="A2187" s="86">
        <f ca="1"/>
        <v>4</v>
      </c>
      <c r="B2187" s="86" t="str">
        <f ca="1"/>
        <v>D179</v>
      </c>
      <c r="C2187" s="86" t="str">
        <f t="shared" ca="1" si="477"/>
        <v>MUHAMMED AKBAR NP</v>
      </c>
      <c r="D2187" s="86" t="str">
        <f t="shared" ca="1" si="478"/>
        <v>DAHF</v>
      </c>
      <c r="E2187" s="86">
        <f t="shared" ca="1" si="479"/>
        <v>10</v>
      </c>
    </row>
    <row r="2188" spans="1:8" ht="14.25" x14ac:dyDescent="0.45">
      <c r="A2188" s="86">
        <f ca="1"/>
        <v>5</v>
      </c>
      <c r="B2188" s="86" t="str">
        <f ca="1"/>
        <v>D187</v>
      </c>
      <c r="C2188" s="86" t="str">
        <f t="shared" ca="1" si="477"/>
        <v>ABDUL RAHMAN</v>
      </c>
      <c r="D2188" s="86" t="str">
        <f t="shared" ca="1" si="478"/>
        <v>DAHF</v>
      </c>
      <c r="E2188" s="86">
        <f t="shared" ca="1" si="479"/>
        <v>10</v>
      </c>
    </row>
    <row r="2189" spans="1:8" ht="14.25" x14ac:dyDescent="0.45">
      <c r="A2189" s="86">
        <f ca="1"/>
        <v>6</v>
      </c>
      <c r="B2189" s="86" t="str">
        <f ca="1"/>
        <v>D192</v>
      </c>
      <c r="C2189" s="86" t="str">
        <f t="shared" ca="1" si="477"/>
        <v>MUHAMMED SIFARATH T A</v>
      </c>
      <c r="D2189" s="86" t="str">
        <f t="shared" ca="1" si="478"/>
        <v>DAHF</v>
      </c>
      <c r="E2189" s="86">
        <f t="shared" ca="1" si="479"/>
        <v>10</v>
      </c>
    </row>
    <row r="2190" spans="1:8" ht="14.25" x14ac:dyDescent="0.45">
      <c r="A2190" s="86">
        <f ca="1"/>
        <v>7</v>
      </c>
      <c r="B2190" s="86" t="str">
        <f ca="1"/>
        <v>D141</v>
      </c>
      <c r="C2190" s="86" t="str">
        <f t="shared" ca="1" si="477"/>
        <v>MUHAMMAD MUSTHAFA P.K</v>
      </c>
      <c r="D2190" s="86" t="str">
        <f t="shared" ca="1" si="478"/>
        <v>BADF</v>
      </c>
      <c r="E2190" s="86">
        <f t="shared" ca="1" si="479"/>
        <v>9</v>
      </c>
    </row>
    <row r="2191" spans="1:8" ht="14.25" x14ac:dyDescent="0.45">
      <c r="A2191" s="86">
        <f ca="1"/>
        <v>8</v>
      </c>
      <c r="B2191" s="86" t="str">
        <f ca="1"/>
        <v>D145</v>
      </c>
      <c r="C2191" s="86" t="str">
        <f t="shared" ca="1" si="477"/>
        <v>ABBAS ARFAS O.R</v>
      </c>
      <c r="D2191" s="86" t="str">
        <f t="shared" ca="1" si="478"/>
        <v>BADF</v>
      </c>
      <c r="E2191" s="86">
        <f t="shared" ca="1" si="479"/>
        <v>9</v>
      </c>
    </row>
    <row r="2192" spans="1:8" ht="14.25" x14ac:dyDescent="0.45">
      <c r="A2192" s="86">
        <f ca="1"/>
        <v>9</v>
      </c>
      <c r="B2192" s="86" t="str">
        <f ca="1"/>
        <v>D189</v>
      </c>
      <c r="C2192" s="86" t="str">
        <f t="shared" ca="1" si="477"/>
        <v>ASGAR ALI</v>
      </c>
      <c r="D2192" s="86" t="str">
        <f t="shared" ca="1" si="478"/>
        <v>BADF</v>
      </c>
      <c r="E2192" s="86">
        <f t="shared" ca="1" si="479"/>
        <v>10</v>
      </c>
    </row>
    <row r="2193" spans="1:8" ht="14.25" x14ac:dyDescent="0.45">
      <c r="A2193" s="86">
        <f ca="1"/>
        <v>10</v>
      </c>
      <c r="B2193" s="86" t="str">
        <f ca="1"/>
        <v>D101</v>
      </c>
      <c r="C2193" s="86" t="str">
        <f t="shared" ca="1" si="477"/>
        <v>MOHAMMED AFSAL</v>
      </c>
      <c r="D2193" s="86" t="str">
        <f t="shared" ca="1" si="478"/>
        <v>JARF</v>
      </c>
      <c r="E2193" s="86">
        <f t="shared" ca="1" si="479"/>
        <v>8</v>
      </c>
    </row>
    <row r="2194" spans="1:8" ht="14.25" x14ac:dyDescent="0.45">
      <c r="A2194" s="86">
        <f ca="1"/>
        <v>11</v>
      </c>
      <c r="B2194" s="86" t="str">
        <f ca="1"/>
        <v>D139</v>
      </c>
      <c r="C2194" s="86" t="str">
        <f t="shared" ca="1" si="477"/>
        <v>AHAMMED MUBARAK KA</v>
      </c>
      <c r="D2194" s="86" t="str">
        <f t="shared" ca="1" si="478"/>
        <v>JARF</v>
      </c>
      <c r="E2194" s="86">
        <f t="shared" ca="1" si="479"/>
        <v>9</v>
      </c>
    </row>
    <row r="2195" spans="1:8" ht="14.25" x14ac:dyDescent="0.45">
      <c r="A2195" s="86">
        <f ca="1"/>
        <v>12</v>
      </c>
      <c r="B2195" s="86" t="str">
        <f ca="1"/>
        <v>D164</v>
      </c>
      <c r="C2195" s="86" t="str">
        <f t="shared" ca="1" si="477"/>
        <v>AHMED SULTHAN</v>
      </c>
      <c r="D2195" s="86" t="str">
        <f t="shared" ca="1" si="478"/>
        <v>JARF</v>
      </c>
      <c r="E2195" s="86">
        <f t="shared" ca="1" si="479"/>
        <v>9</v>
      </c>
    </row>
    <row r="2196" spans="1:8" ht="14.25" x14ac:dyDescent="0.45">
      <c r="A2196" s="84" t="s">
        <v>371</v>
      </c>
      <c r="B2196" s="84" t="str">
        <f>VLOOKUP("SS20",f_detailsof_programs,2,FALSE)</f>
        <v>SCREENPLAY WRITING MLM</v>
      </c>
      <c r="C2196" s="84"/>
      <c r="D2196" s="84" t="s">
        <v>688</v>
      </c>
      <c r="E2196" s="84" t="s">
        <v>486</v>
      </c>
      <c r="F2196" s="84"/>
      <c r="G2196" s="84"/>
      <c r="H2196" s="84"/>
    </row>
    <row r="2197" spans="1:8" ht="14.25" x14ac:dyDescent="0.45">
      <c r="A2197" s="85" t="s">
        <v>16</v>
      </c>
      <c r="B2197" s="85" t="s">
        <v>480</v>
      </c>
      <c r="C2197" s="85" t="s">
        <v>18</v>
      </c>
      <c r="D2197" s="85" t="s">
        <v>481</v>
      </c>
      <c r="E2197" s="85" t="s">
        <v>19</v>
      </c>
      <c r="F2197" s="85" t="s">
        <v>482</v>
      </c>
      <c r="G2197" s="85" t="s">
        <v>483</v>
      </c>
      <c r="H2197" s="85" t="s">
        <v>484</v>
      </c>
    </row>
    <row r="2198" spans="1:8" ht="14.25" x14ac:dyDescent="0.45">
      <c r="A2198" s="86" cm="1">
        <f t="array" aca="1" ref="A2198:A2205" ca="1">_xlfn.SEQUENCE(COUNTA(_xlfn.LET(_xlpm.trimmed,OFFSET(f_listof_program_candidates,MATCH("SS20",f_listof_program_codes,0)-1,6,1,),TRANSPOSE(_xlfn._xlws.FILTER(OFFSET(_xlpm.trimmed,0,0,,COUNTA(_xlpm.trimmed)-5),OFFSET(_xlpm.trimmed,0,0,,COUNTA(_xlpm.trimmed)-5)&lt;&gt;0)))))</f>
        <v>1</v>
      </c>
      <c r="B2198" s="86" t="str" cm="1">
        <f t="array" aca="1" ref="B2198:B2205" ca="1">_xlfn.LET(_xlpm.trimmed,OFFSET(f_listof_program_candidates,MATCH("SS20",f_listof_program_codes,0)-1,6,1,),TRANSPOSE(_xlfn._xlws.FILTER(OFFSET(_xlpm.trimmed,0,0,,COUNTA(_xlpm.trimmed)-5),OFFSET(_xlpm.trimmed,0,0,,COUNTA(_xlpm.trimmed)-5)&lt;&gt;0)))</f>
        <v>D105</v>
      </c>
      <c r="C2198" s="86" t="str">
        <f t="shared" ref="C2198:C2205" ca="1" si="480">VLOOKUP(B2198,f_detailsof_candidates,2,FALSE)</f>
        <v>ABDUL WADHOOD</v>
      </c>
      <c r="D2198" s="86" t="str">
        <f t="shared" ref="D2198:D2205" ca="1" si="481">VLOOKUP(B2198,f_detailsof_candidates,3,FALSE)</f>
        <v>FANT</v>
      </c>
      <c r="E2198" s="86">
        <f t="shared" ref="E2198:E2205" ca="1" si="482">VLOOKUP(B2198,f_detailsof_candidates,5,FALSE)</f>
        <v>8</v>
      </c>
    </row>
    <row r="2199" spans="1:8" ht="14.25" x14ac:dyDescent="0.45">
      <c r="A2199" s="86">
        <f ca="1"/>
        <v>2</v>
      </c>
      <c r="B2199" s="86" t="str">
        <f ca="1"/>
        <v>D128</v>
      </c>
      <c r="C2199" s="86" t="str">
        <f t="shared" ca="1" si="480"/>
        <v>MEHAZIN AMAN T</v>
      </c>
      <c r="D2199" s="86" t="str">
        <f t="shared" ca="1" si="481"/>
        <v>FANT</v>
      </c>
      <c r="E2199" s="86">
        <f t="shared" ca="1" si="482"/>
        <v>8</v>
      </c>
    </row>
    <row r="2200" spans="1:8" ht="14.25" x14ac:dyDescent="0.45">
      <c r="A2200" s="86">
        <f ca="1"/>
        <v>3</v>
      </c>
      <c r="B2200" s="86" t="str">
        <f ca="1"/>
        <v>D107</v>
      </c>
      <c r="C2200" s="86" t="str">
        <f t="shared" ca="1" si="480"/>
        <v>AHMMED HASHIM M</v>
      </c>
      <c r="D2200" s="86" t="str">
        <f t="shared" ca="1" si="481"/>
        <v>DAHF</v>
      </c>
      <c r="E2200" s="86">
        <f t="shared" ca="1" si="482"/>
        <v>8</v>
      </c>
    </row>
    <row r="2201" spans="1:8" ht="14.25" x14ac:dyDescent="0.45">
      <c r="A2201" s="86">
        <f ca="1"/>
        <v>4</v>
      </c>
      <c r="B2201" s="86" t="str">
        <f ca="1"/>
        <v>D152</v>
      </c>
      <c r="C2201" s="86" t="str">
        <f t="shared" ca="1" si="480"/>
        <v>MOHAMMAD ISMAIL SINAN KM</v>
      </c>
      <c r="D2201" s="86" t="str">
        <f t="shared" ca="1" si="481"/>
        <v>DAHF</v>
      </c>
      <c r="E2201" s="86">
        <f t="shared" ca="1" si="482"/>
        <v>9</v>
      </c>
    </row>
    <row r="2202" spans="1:8" ht="14.25" x14ac:dyDescent="0.45">
      <c r="A2202" s="86">
        <f ca="1"/>
        <v>5</v>
      </c>
      <c r="B2202" s="86" t="str">
        <f ca="1"/>
        <v>D141</v>
      </c>
      <c r="C2202" s="86" t="str">
        <f t="shared" ca="1" si="480"/>
        <v>MUHAMMAD MUSTHAFA P.K</v>
      </c>
      <c r="D2202" s="86" t="str">
        <f t="shared" ca="1" si="481"/>
        <v>BADF</v>
      </c>
      <c r="E2202" s="86">
        <f t="shared" ca="1" si="482"/>
        <v>9</v>
      </c>
    </row>
    <row r="2203" spans="1:8" ht="14.25" x14ac:dyDescent="0.45">
      <c r="A2203" s="86">
        <f ca="1"/>
        <v>6</v>
      </c>
      <c r="B2203" s="86" t="str">
        <f ca="1"/>
        <v>D157</v>
      </c>
      <c r="C2203" s="86" t="str">
        <f t="shared" ca="1" si="480"/>
        <v>MUHAMMAD MUZAMMIL E.A</v>
      </c>
      <c r="D2203" s="86" t="str">
        <f t="shared" ca="1" si="481"/>
        <v>BADF</v>
      </c>
      <c r="E2203" s="86">
        <f t="shared" ca="1" si="482"/>
        <v>9</v>
      </c>
    </row>
    <row r="2204" spans="1:8" ht="14.25" x14ac:dyDescent="0.45">
      <c r="A2204" s="86">
        <f ca="1"/>
        <v>7</v>
      </c>
      <c r="B2204" s="86" t="str">
        <f ca="1"/>
        <v>D153</v>
      </c>
      <c r="C2204" s="86" t="str">
        <f t="shared" ca="1" si="480"/>
        <v>MUHAMMED UNAIS PT</v>
      </c>
      <c r="D2204" s="86" t="str">
        <f t="shared" ca="1" si="481"/>
        <v>JARF</v>
      </c>
      <c r="E2204" s="86">
        <f t="shared" ca="1" si="482"/>
        <v>9</v>
      </c>
    </row>
    <row r="2205" spans="1:8" ht="14.25" x14ac:dyDescent="0.45">
      <c r="A2205" s="86">
        <f ca="1"/>
        <v>8</v>
      </c>
      <c r="B2205" s="86" t="str">
        <f ca="1"/>
        <v>D170</v>
      </c>
      <c r="C2205" s="86" t="str">
        <f t="shared" ca="1" si="480"/>
        <v>AHMED ADIL B.K</v>
      </c>
      <c r="D2205" s="86" t="str">
        <f t="shared" ca="1" si="481"/>
        <v>JARF</v>
      </c>
      <c r="E2205" s="86">
        <f t="shared" ca="1" si="482"/>
        <v>10</v>
      </c>
    </row>
    <row r="2206" spans="1:8" ht="14.25" x14ac:dyDescent="0.45">
      <c r="A2206" s="84" t="s">
        <v>373</v>
      </c>
      <c r="B2206" s="84" t="str">
        <f>VLOOKUP("SS21",f_detailsof_programs,2,FALSE)</f>
        <v>SHORT STORY ARB</v>
      </c>
      <c r="C2206" s="84"/>
      <c r="D2206" s="84" t="s">
        <v>688</v>
      </c>
      <c r="E2206" s="84" t="s">
        <v>485</v>
      </c>
      <c r="F2206" s="84"/>
      <c r="G2206" s="84"/>
      <c r="H2206" s="84"/>
    </row>
    <row r="2207" spans="1:8" ht="14.25" x14ac:dyDescent="0.45">
      <c r="A2207" s="85" t="s">
        <v>16</v>
      </c>
      <c r="B2207" s="85" t="s">
        <v>480</v>
      </c>
      <c r="C2207" s="85" t="s">
        <v>18</v>
      </c>
      <c r="D2207" s="85" t="s">
        <v>481</v>
      </c>
      <c r="E2207" s="85" t="s">
        <v>19</v>
      </c>
      <c r="F2207" s="85" t="s">
        <v>482</v>
      </c>
      <c r="G2207" s="85" t="s">
        <v>483</v>
      </c>
      <c r="H2207" s="85" t="s">
        <v>484</v>
      </c>
    </row>
    <row r="2208" spans="1:8" ht="14.25" x14ac:dyDescent="0.45">
      <c r="A2208" s="86" cm="1">
        <f t="array" aca="1" ref="A2208:A2219" ca="1">_xlfn.SEQUENCE(COUNTA(_xlfn.LET(_xlpm.trimmed,OFFSET(f_listof_program_candidates,MATCH("SS21",f_listof_program_codes,0)-1,6,1,),TRANSPOSE(_xlfn._xlws.FILTER(OFFSET(_xlpm.trimmed,0,0,,COUNTA(_xlpm.trimmed)-5),OFFSET(_xlpm.trimmed,0,0,,COUNTA(_xlpm.trimmed)-5)&lt;&gt;0)))))</f>
        <v>1</v>
      </c>
      <c r="B2208" s="86" t="str" cm="1">
        <f t="array" aca="1" ref="B2208:B2219" ca="1">_xlfn.LET(_xlpm.trimmed,OFFSET(f_listof_program_candidates,MATCH("SS21",f_listof_program_codes,0)-1,6,1,),TRANSPOSE(_xlfn._xlws.FILTER(OFFSET(_xlpm.trimmed,0,0,,COUNTA(_xlpm.trimmed)-5),OFFSET(_xlpm.trimmed,0,0,,COUNTA(_xlpm.trimmed)-5)&lt;&gt;0)))</f>
        <v>D142</v>
      </c>
      <c r="C2208" s="86" t="str">
        <f t="shared" ref="C2208:C2219" ca="1" si="483">VLOOKUP(B2208,f_detailsof_candidates,2,FALSE)</f>
        <v>ISHAM V.K</v>
      </c>
      <c r="D2208" s="86" t="str">
        <f t="shared" ref="D2208:D2219" ca="1" si="484">VLOOKUP(B2208,f_detailsof_candidates,3,FALSE)</f>
        <v>FANT</v>
      </c>
      <c r="E2208" s="86">
        <f t="shared" ref="E2208:E2219" ca="1" si="485">VLOOKUP(B2208,f_detailsof_candidates,5,FALSE)</f>
        <v>9</v>
      </c>
    </row>
    <row r="2209" spans="1:8" ht="14.25" x14ac:dyDescent="0.45">
      <c r="A2209" s="86">
        <f ca="1"/>
        <v>2</v>
      </c>
      <c r="B2209" s="86" t="str">
        <f ca="1"/>
        <v>D177</v>
      </c>
      <c r="C2209" s="86" t="str">
        <f t="shared" ca="1" si="483"/>
        <v>SHAMEEM ABDULLA P.S</v>
      </c>
      <c r="D2209" s="86" t="str">
        <f t="shared" ca="1" si="484"/>
        <v>FANT</v>
      </c>
      <c r="E2209" s="86">
        <f t="shared" ca="1" si="485"/>
        <v>10</v>
      </c>
    </row>
    <row r="2210" spans="1:8" ht="14.25" x14ac:dyDescent="0.45">
      <c r="A2210" s="86">
        <f ca="1"/>
        <v>3</v>
      </c>
      <c r="B2210" s="86" t="str">
        <f ca="1"/>
        <v>D198</v>
      </c>
      <c r="C2210" s="86" t="str">
        <f t="shared" ca="1" si="483"/>
        <v>MUHAMMED SAFWAN</v>
      </c>
      <c r="D2210" s="86" t="str">
        <f t="shared" ca="1" si="484"/>
        <v>FANT</v>
      </c>
      <c r="E2210" s="86">
        <f t="shared" ca="1" si="485"/>
        <v>10</v>
      </c>
    </row>
    <row r="2211" spans="1:8" ht="14.25" x14ac:dyDescent="0.45">
      <c r="A2211" s="86">
        <f ca="1"/>
        <v>4</v>
      </c>
      <c r="B2211" s="86" t="str">
        <f ca="1"/>
        <v>D140</v>
      </c>
      <c r="C2211" s="86" t="str">
        <f t="shared" ca="1" si="483"/>
        <v>MUHAMMED FAISAL A K</v>
      </c>
      <c r="D2211" s="86" t="str">
        <f t="shared" ca="1" si="484"/>
        <v>DAHF</v>
      </c>
      <c r="E2211" s="86">
        <f t="shared" ca="1" si="485"/>
        <v>9</v>
      </c>
    </row>
    <row r="2212" spans="1:8" ht="14.25" x14ac:dyDescent="0.45">
      <c r="A2212" s="86">
        <f ca="1"/>
        <v>5</v>
      </c>
      <c r="B2212" s="86" t="str">
        <f ca="1"/>
        <v>D148</v>
      </c>
      <c r="C2212" s="86" t="str">
        <f t="shared" ca="1" si="483"/>
        <v>UMARUL FAROOK K .K</v>
      </c>
      <c r="D2212" s="86" t="str">
        <f t="shared" ca="1" si="484"/>
        <v>DAHF</v>
      </c>
      <c r="E2212" s="86">
        <f t="shared" ca="1" si="485"/>
        <v>9</v>
      </c>
    </row>
    <row r="2213" spans="1:8" ht="14.25" x14ac:dyDescent="0.45">
      <c r="A2213" s="86">
        <f ca="1"/>
        <v>6</v>
      </c>
      <c r="B2213" s="86" t="str">
        <f ca="1"/>
        <v>D152</v>
      </c>
      <c r="C2213" s="86" t="str">
        <f t="shared" ca="1" si="483"/>
        <v>MOHAMMAD ISMAIL SINAN KM</v>
      </c>
      <c r="D2213" s="86" t="str">
        <f t="shared" ca="1" si="484"/>
        <v>DAHF</v>
      </c>
      <c r="E2213" s="86">
        <f t="shared" ca="1" si="485"/>
        <v>9</v>
      </c>
    </row>
    <row r="2214" spans="1:8" ht="14.25" x14ac:dyDescent="0.45">
      <c r="A2214" s="86">
        <f ca="1"/>
        <v>7</v>
      </c>
      <c r="B2214" s="86" t="str">
        <f ca="1"/>
        <v>D143</v>
      </c>
      <c r="C2214" s="86" t="str">
        <f t="shared" ca="1" si="483"/>
        <v>MUHAMMED MA</v>
      </c>
      <c r="D2214" s="86" t="str">
        <f t="shared" ca="1" si="484"/>
        <v>BADF</v>
      </c>
      <c r="E2214" s="86">
        <f t="shared" ca="1" si="485"/>
        <v>9</v>
      </c>
    </row>
    <row r="2215" spans="1:8" ht="14.25" x14ac:dyDescent="0.45">
      <c r="A2215" s="86">
        <f ca="1"/>
        <v>8</v>
      </c>
      <c r="B2215" s="86" t="str">
        <f ca="1"/>
        <v>D162</v>
      </c>
      <c r="C2215" s="86" t="str">
        <f t="shared" ca="1" si="483"/>
        <v>ABDURAHMAN P.H</v>
      </c>
      <c r="D2215" s="86" t="str">
        <f t="shared" ca="1" si="484"/>
        <v>BADF</v>
      </c>
      <c r="E2215" s="86">
        <f t="shared" ca="1" si="485"/>
        <v>9</v>
      </c>
    </row>
    <row r="2216" spans="1:8" ht="14.25" x14ac:dyDescent="0.45">
      <c r="A2216" s="86">
        <f ca="1"/>
        <v>9</v>
      </c>
      <c r="B2216" s="86" t="str">
        <f ca="1"/>
        <v>D178</v>
      </c>
      <c r="C2216" s="86" t="str">
        <f t="shared" ca="1" si="483"/>
        <v>AHMED BK</v>
      </c>
      <c r="D2216" s="86" t="str">
        <f t="shared" ca="1" si="484"/>
        <v>BADF</v>
      </c>
      <c r="E2216" s="86">
        <f t="shared" ca="1" si="485"/>
        <v>10</v>
      </c>
    </row>
    <row r="2217" spans="1:8" ht="14.25" x14ac:dyDescent="0.45">
      <c r="A2217" s="86">
        <f ca="1"/>
        <v>10</v>
      </c>
      <c r="B2217" s="86" t="str">
        <f ca="1"/>
        <v>D113</v>
      </c>
      <c r="C2217" s="86" t="str">
        <f t="shared" ca="1" si="483"/>
        <v>ZULFIKARALI</v>
      </c>
      <c r="D2217" s="86" t="str">
        <f t="shared" ca="1" si="484"/>
        <v>JARF</v>
      </c>
      <c r="E2217" s="86">
        <f t="shared" ca="1" si="485"/>
        <v>8</v>
      </c>
    </row>
    <row r="2218" spans="1:8" ht="14.25" x14ac:dyDescent="0.45">
      <c r="A2218" s="86">
        <f ca="1"/>
        <v>11</v>
      </c>
      <c r="B2218" s="86" t="str">
        <f ca="1"/>
        <v>D149</v>
      </c>
      <c r="C2218" s="86" t="str">
        <f t="shared" ca="1" si="483"/>
        <v>MOHAMMED MARZOOK AM</v>
      </c>
      <c r="D2218" s="86" t="str">
        <f t="shared" ca="1" si="484"/>
        <v>JARF</v>
      </c>
      <c r="E2218" s="86">
        <f t="shared" ca="1" si="485"/>
        <v>9</v>
      </c>
    </row>
    <row r="2219" spans="1:8" ht="14.25" x14ac:dyDescent="0.45">
      <c r="A2219" s="86">
        <f ca="1"/>
        <v>12</v>
      </c>
      <c r="B2219" s="86" t="str">
        <f ca="1"/>
        <v>D160</v>
      </c>
      <c r="C2219" s="86" t="str">
        <f t="shared" ca="1" si="483"/>
        <v>SALMAN FARIS</v>
      </c>
      <c r="D2219" s="86" t="str">
        <f t="shared" ca="1" si="484"/>
        <v>JARF</v>
      </c>
      <c r="E2219" s="86">
        <f t="shared" ca="1" si="485"/>
        <v>9</v>
      </c>
    </row>
    <row r="2220" spans="1:8" ht="14.25" x14ac:dyDescent="0.45">
      <c r="A2220" s="84" t="s">
        <v>374</v>
      </c>
      <c r="B2220" s="84" t="str">
        <f>VLOOKUP("SS22",f_detailsof_programs,2,FALSE)</f>
        <v>SHORT STORY ENG</v>
      </c>
      <c r="C2220" s="84"/>
      <c r="D2220" s="84" t="s">
        <v>688</v>
      </c>
      <c r="E2220" s="84" t="s">
        <v>485</v>
      </c>
      <c r="F2220" s="84"/>
      <c r="G2220" s="84"/>
      <c r="H2220" s="84"/>
    </row>
    <row r="2221" spans="1:8" ht="14.25" x14ac:dyDescent="0.45">
      <c r="A2221" s="85" t="s">
        <v>16</v>
      </c>
      <c r="B2221" s="85" t="s">
        <v>480</v>
      </c>
      <c r="C2221" s="85" t="s">
        <v>18</v>
      </c>
      <c r="D2221" s="85" t="s">
        <v>481</v>
      </c>
      <c r="E2221" s="85" t="s">
        <v>19</v>
      </c>
      <c r="F2221" s="85" t="s">
        <v>482</v>
      </c>
      <c r="G2221" s="85" t="s">
        <v>483</v>
      </c>
      <c r="H2221" s="85" t="s">
        <v>484</v>
      </c>
    </row>
    <row r="2222" spans="1:8" ht="14.25" x14ac:dyDescent="0.45">
      <c r="A2222" s="86" cm="1">
        <f t="array" aca="1" ref="A2222:A2233" ca="1">_xlfn.SEQUENCE(COUNTA(_xlfn.LET(_xlpm.trimmed,OFFSET(f_listof_program_candidates,MATCH("SS22",f_listof_program_codes,0)-1,6,1,),TRANSPOSE(_xlfn._xlws.FILTER(OFFSET(_xlpm.trimmed,0,0,,COUNTA(_xlpm.trimmed)-5),OFFSET(_xlpm.trimmed,0,0,,COUNTA(_xlpm.trimmed)-5)&lt;&gt;0)))))</f>
        <v>1</v>
      </c>
      <c r="B2222" s="86" t="str" cm="1">
        <f t="array" aca="1" ref="B2222:B2233" ca="1">_xlfn.LET(_xlpm.trimmed,OFFSET(f_listof_program_candidates,MATCH("SS22",f_listof_program_codes,0)-1,6,1,),TRANSPOSE(_xlfn._xlws.FILTER(OFFSET(_xlpm.trimmed,0,0,,COUNTA(_xlpm.trimmed)-5),OFFSET(_xlpm.trimmed,0,0,,COUNTA(_xlpm.trimmed)-5)&lt;&gt;0)))</f>
        <v>D114</v>
      </c>
      <c r="C2222" s="86" t="str">
        <f t="shared" ref="C2222:C2233" ca="1" si="486">VLOOKUP(B2222,f_detailsof_candidates,2,FALSE)</f>
        <v>MUHAMMED ANAS M.N</v>
      </c>
      <c r="D2222" s="86" t="str">
        <f t="shared" ref="D2222:D2233" ca="1" si="487">VLOOKUP(B2222,f_detailsof_candidates,3,FALSE)</f>
        <v>FANT</v>
      </c>
      <c r="E2222" s="86">
        <f t="shared" ref="E2222:E2233" ca="1" si="488">VLOOKUP(B2222,f_detailsof_candidates,5,FALSE)</f>
        <v>8</v>
      </c>
    </row>
    <row r="2223" spans="1:8" ht="14.25" x14ac:dyDescent="0.45">
      <c r="A2223" s="86">
        <f ca="1"/>
        <v>2</v>
      </c>
      <c r="B2223" s="86" t="str">
        <f ca="1"/>
        <v>D165</v>
      </c>
      <c r="C2223" s="86" t="str">
        <f t="shared" ca="1" si="486"/>
        <v>AJMAL KI</v>
      </c>
      <c r="D2223" s="86" t="str">
        <f t="shared" ca="1" si="487"/>
        <v>FANT</v>
      </c>
      <c r="E2223" s="86">
        <f t="shared" ca="1" si="488"/>
        <v>9</v>
      </c>
    </row>
    <row r="2224" spans="1:8" ht="14.25" x14ac:dyDescent="0.45">
      <c r="A2224" s="86">
        <f ca="1"/>
        <v>3</v>
      </c>
      <c r="B2224" s="86" t="str">
        <f ca="1"/>
        <v>D177</v>
      </c>
      <c r="C2224" s="86" t="str">
        <f t="shared" ca="1" si="486"/>
        <v>SHAMEEM ABDULLA P.S</v>
      </c>
      <c r="D2224" s="86" t="str">
        <f t="shared" ca="1" si="487"/>
        <v>FANT</v>
      </c>
      <c r="E2224" s="86">
        <f t="shared" ca="1" si="488"/>
        <v>10</v>
      </c>
    </row>
    <row r="2225" spans="1:8" ht="14.25" x14ac:dyDescent="0.45">
      <c r="A2225" s="86">
        <f ca="1"/>
        <v>4</v>
      </c>
      <c r="B2225" s="86" t="str">
        <f ca="1"/>
        <v>D131</v>
      </c>
      <c r="C2225" s="86" t="str">
        <f t="shared" ca="1" si="486"/>
        <v>MAHAMMAD RIYAZ</v>
      </c>
      <c r="D2225" s="86" t="str">
        <f t="shared" ca="1" si="487"/>
        <v>DAHF</v>
      </c>
      <c r="E2225" s="86">
        <f t="shared" ca="1" si="488"/>
        <v>9</v>
      </c>
    </row>
    <row r="2226" spans="1:8" ht="14.25" x14ac:dyDescent="0.45">
      <c r="A2226" s="86">
        <f ca="1"/>
        <v>5</v>
      </c>
      <c r="B2226" s="86" t="str">
        <f ca="1"/>
        <v>D150</v>
      </c>
      <c r="C2226" s="86" t="str">
        <f t="shared" ca="1" si="486"/>
        <v>ABDUL KHADER</v>
      </c>
      <c r="D2226" s="86" t="str">
        <f t="shared" ca="1" si="487"/>
        <v>DAHF</v>
      </c>
      <c r="E2226" s="86">
        <f t="shared" ca="1" si="488"/>
        <v>9</v>
      </c>
    </row>
    <row r="2227" spans="1:8" ht="14.25" x14ac:dyDescent="0.45">
      <c r="A2227" s="86">
        <f ca="1"/>
        <v>6</v>
      </c>
      <c r="B2227" s="86" t="str">
        <f ca="1"/>
        <v>D108</v>
      </c>
      <c r="C2227" s="86" t="str">
        <f t="shared" ca="1" si="486"/>
        <v>MOHAMMED HASHIR</v>
      </c>
      <c r="D2227" s="86" t="str">
        <f t="shared" ca="1" si="487"/>
        <v>DAHF</v>
      </c>
      <c r="E2227" s="86">
        <f t="shared" ca="1" si="488"/>
        <v>8</v>
      </c>
    </row>
    <row r="2228" spans="1:8" ht="14.25" x14ac:dyDescent="0.45">
      <c r="A2228" s="86">
        <f ca="1"/>
        <v>7</v>
      </c>
      <c r="B2228" s="86" t="str">
        <f ca="1"/>
        <v>D126</v>
      </c>
      <c r="C2228" s="86" t="str">
        <f t="shared" ca="1" si="486"/>
        <v>MUHAMMED MIDHLAJ KK</v>
      </c>
      <c r="D2228" s="86" t="str">
        <f t="shared" ca="1" si="487"/>
        <v>BADF</v>
      </c>
      <c r="E2228" s="86">
        <f t="shared" ca="1" si="488"/>
        <v>8</v>
      </c>
    </row>
    <row r="2229" spans="1:8" ht="14.25" x14ac:dyDescent="0.45">
      <c r="A2229" s="86">
        <f ca="1"/>
        <v>8</v>
      </c>
      <c r="B2229" s="86" t="str">
        <f ca="1"/>
        <v>D141</v>
      </c>
      <c r="C2229" s="86" t="str">
        <f t="shared" ca="1" si="486"/>
        <v>MUHAMMAD MUSTHAFA P.K</v>
      </c>
      <c r="D2229" s="86" t="str">
        <f t="shared" ca="1" si="487"/>
        <v>BADF</v>
      </c>
      <c r="E2229" s="86">
        <f t="shared" ca="1" si="488"/>
        <v>9</v>
      </c>
    </row>
    <row r="2230" spans="1:8" ht="14.25" x14ac:dyDescent="0.45">
      <c r="A2230" s="86">
        <f ca="1"/>
        <v>9</v>
      </c>
      <c r="B2230" s="86" t="str">
        <f ca="1"/>
        <v>D145</v>
      </c>
      <c r="C2230" s="86" t="str">
        <f t="shared" ca="1" si="486"/>
        <v>ABBAS ARFAS O.R</v>
      </c>
      <c r="D2230" s="86" t="str">
        <f t="shared" ca="1" si="487"/>
        <v>BADF</v>
      </c>
      <c r="E2230" s="86">
        <f t="shared" ca="1" si="488"/>
        <v>9</v>
      </c>
    </row>
    <row r="2231" spans="1:8" ht="14.25" x14ac:dyDescent="0.45">
      <c r="A2231" s="86">
        <f ca="1"/>
        <v>10</v>
      </c>
      <c r="B2231" s="86" t="str">
        <f ca="1"/>
        <v>D111</v>
      </c>
      <c r="C2231" s="86" t="str">
        <f t="shared" ca="1" si="486"/>
        <v>MAHAMMED SHAMEEL</v>
      </c>
      <c r="D2231" s="86" t="str">
        <f t="shared" ca="1" si="487"/>
        <v>JARF</v>
      </c>
      <c r="E2231" s="86">
        <f t="shared" ca="1" si="488"/>
        <v>8</v>
      </c>
    </row>
    <row r="2232" spans="1:8" ht="14.25" x14ac:dyDescent="0.45">
      <c r="A2232" s="86">
        <f ca="1"/>
        <v>11</v>
      </c>
      <c r="B2232" s="86" t="str">
        <f ca="1"/>
        <v>D164</v>
      </c>
      <c r="C2232" s="86" t="str">
        <f t="shared" ca="1" si="486"/>
        <v>AHMED SULTHAN</v>
      </c>
      <c r="D2232" s="86" t="str">
        <f t="shared" ca="1" si="487"/>
        <v>JARF</v>
      </c>
      <c r="E2232" s="86">
        <f t="shared" ca="1" si="488"/>
        <v>9</v>
      </c>
    </row>
    <row r="2233" spans="1:8" ht="14.25" x14ac:dyDescent="0.45">
      <c r="A2233" s="86">
        <f ca="1"/>
        <v>12</v>
      </c>
      <c r="B2233" s="86" t="str">
        <f ca="1"/>
        <v>D176</v>
      </c>
      <c r="C2233" s="86" t="str">
        <f t="shared" ca="1" si="486"/>
        <v>MOHAMMED NASFAR AFNAN H</v>
      </c>
      <c r="D2233" s="86" t="str">
        <f t="shared" ca="1" si="487"/>
        <v>JARF</v>
      </c>
      <c r="E2233" s="86">
        <f t="shared" ca="1" si="488"/>
        <v>10</v>
      </c>
    </row>
    <row r="2234" spans="1:8" ht="14.25" x14ac:dyDescent="0.45">
      <c r="A2234" s="84" t="s">
        <v>375</v>
      </c>
      <c r="B2234" s="84" t="str">
        <f>VLOOKUP("SS23",f_detailsof_programs,2,FALSE)</f>
        <v>SHORT STORY MLM</v>
      </c>
      <c r="C2234" s="84"/>
      <c r="D2234" s="84" t="s">
        <v>688</v>
      </c>
      <c r="E2234" s="84" t="s">
        <v>485</v>
      </c>
      <c r="F2234" s="84"/>
      <c r="G2234" s="84"/>
      <c r="H2234" s="84"/>
    </row>
    <row r="2235" spans="1:8" ht="14.25" x14ac:dyDescent="0.45">
      <c r="A2235" s="85" t="s">
        <v>16</v>
      </c>
      <c r="B2235" s="85" t="s">
        <v>480</v>
      </c>
      <c r="C2235" s="85" t="s">
        <v>18</v>
      </c>
      <c r="D2235" s="85" t="s">
        <v>481</v>
      </c>
      <c r="E2235" s="85" t="s">
        <v>19</v>
      </c>
      <c r="F2235" s="85" t="s">
        <v>482</v>
      </c>
      <c r="G2235" s="85" t="s">
        <v>483</v>
      </c>
      <c r="H2235" s="85" t="s">
        <v>484</v>
      </c>
    </row>
    <row r="2236" spans="1:8" ht="14.25" x14ac:dyDescent="0.45">
      <c r="A2236" s="86" cm="1">
        <f t="array" aca="1" ref="A2236:A2247" ca="1">_xlfn.SEQUENCE(COUNTA(_xlfn.LET(_xlpm.trimmed,OFFSET(f_listof_program_candidates,MATCH("SS23",f_listof_program_codes,0)-1,6,1,),TRANSPOSE(_xlfn._xlws.FILTER(OFFSET(_xlpm.trimmed,0,0,,COUNTA(_xlpm.trimmed)-5),OFFSET(_xlpm.trimmed,0,0,,COUNTA(_xlpm.trimmed)-5)&lt;&gt;0)))))</f>
        <v>1</v>
      </c>
      <c r="B2236" s="86" t="str" cm="1">
        <f t="array" aca="1" ref="B2236:B2247" ca="1">_xlfn.LET(_xlpm.trimmed,OFFSET(f_listof_program_candidates,MATCH("SS23",f_listof_program_codes,0)-1,6,1,),TRANSPOSE(_xlfn._xlws.FILTER(OFFSET(_xlpm.trimmed,0,0,,COUNTA(_xlpm.trimmed)-5),OFFSET(_xlpm.trimmed,0,0,,COUNTA(_xlpm.trimmed)-5)&lt;&gt;0)))</f>
        <v>D147</v>
      </c>
      <c r="C2236" s="86" t="str">
        <f t="shared" ref="C2236:C2247" ca="1" si="489">VLOOKUP(B2236,f_detailsof_candidates,2,FALSE)</f>
        <v>MOHAMMED SHAHZAN T.K</v>
      </c>
      <c r="D2236" s="86" t="str">
        <f t="shared" ref="D2236:D2247" ca="1" si="490">VLOOKUP(B2236,f_detailsof_candidates,3,FALSE)</f>
        <v>FANT</v>
      </c>
      <c r="E2236" s="86">
        <f t="shared" ref="E2236:E2247" ca="1" si="491">VLOOKUP(B2236,f_detailsof_candidates,5,FALSE)</f>
        <v>9</v>
      </c>
    </row>
    <row r="2237" spans="1:8" ht="14.25" x14ac:dyDescent="0.45">
      <c r="A2237" s="86">
        <f ca="1"/>
        <v>2</v>
      </c>
      <c r="B2237" s="86" t="str">
        <f ca="1"/>
        <v>D112</v>
      </c>
      <c r="C2237" s="86" t="str">
        <f t="shared" ca="1" si="489"/>
        <v>AMEEN ABDULLA</v>
      </c>
      <c r="D2237" s="86" t="str">
        <f t="shared" ca="1" si="490"/>
        <v>FANT</v>
      </c>
      <c r="E2237" s="86">
        <f t="shared" ca="1" si="491"/>
        <v>8</v>
      </c>
    </row>
    <row r="2238" spans="1:8" ht="14.25" x14ac:dyDescent="0.45">
      <c r="A2238" s="86">
        <f ca="1"/>
        <v>3</v>
      </c>
      <c r="B2238" s="86" t="str">
        <f ca="1"/>
        <v>D188</v>
      </c>
      <c r="C2238" s="86" t="str">
        <f t="shared" ca="1" si="489"/>
        <v>AHMED MANHAL HUSSAIN</v>
      </c>
      <c r="D2238" s="86" t="str">
        <f t="shared" ca="1" si="490"/>
        <v>FANT</v>
      </c>
      <c r="E2238" s="86">
        <f t="shared" ca="1" si="491"/>
        <v>10</v>
      </c>
    </row>
    <row r="2239" spans="1:8" ht="14.25" x14ac:dyDescent="0.45">
      <c r="A2239" s="86">
        <f ca="1"/>
        <v>4</v>
      </c>
      <c r="B2239" s="86" t="str">
        <f ca="1"/>
        <v>D103</v>
      </c>
      <c r="C2239" s="86" t="str">
        <f t="shared" ca="1" si="489"/>
        <v>MUHAMMAD RAZI</v>
      </c>
      <c r="D2239" s="86" t="str">
        <f t="shared" ca="1" si="490"/>
        <v>DAHF</v>
      </c>
      <c r="E2239" s="86">
        <f t="shared" ca="1" si="491"/>
        <v>8</v>
      </c>
    </row>
    <row r="2240" spans="1:8" ht="14.25" x14ac:dyDescent="0.45">
      <c r="A2240" s="86">
        <f ca="1"/>
        <v>5</v>
      </c>
      <c r="B2240" s="86" t="str">
        <f ca="1"/>
        <v>D146</v>
      </c>
      <c r="C2240" s="86" t="str">
        <f t="shared" ca="1" si="489"/>
        <v>ABDUL YOUNUS</v>
      </c>
      <c r="D2240" s="86" t="str">
        <f t="shared" ca="1" si="490"/>
        <v>DAHF</v>
      </c>
      <c r="E2240" s="86">
        <f t="shared" ca="1" si="491"/>
        <v>9</v>
      </c>
    </row>
    <row r="2241" spans="1:8" ht="14.25" x14ac:dyDescent="0.45">
      <c r="A2241" s="86">
        <f ca="1"/>
        <v>6</v>
      </c>
      <c r="B2241" s="86" t="str">
        <f ca="1"/>
        <v>D196</v>
      </c>
      <c r="C2241" s="86" t="str">
        <f t="shared" ca="1" si="489"/>
        <v>ABDUL VAJID K</v>
      </c>
      <c r="D2241" s="86" t="str">
        <f t="shared" ca="1" si="490"/>
        <v>DAHF</v>
      </c>
      <c r="E2241" s="86">
        <f t="shared" ca="1" si="491"/>
        <v>10</v>
      </c>
    </row>
    <row r="2242" spans="1:8" ht="14.25" x14ac:dyDescent="0.45">
      <c r="A2242" s="86">
        <f ca="1"/>
        <v>7</v>
      </c>
      <c r="B2242" s="86" t="str">
        <f ca="1"/>
        <v>D109</v>
      </c>
      <c r="C2242" s="86" t="str">
        <f t="shared" ca="1" si="489"/>
        <v>AHAMMED AJEER</v>
      </c>
      <c r="D2242" s="86" t="str">
        <f t="shared" ca="1" si="490"/>
        <v>BADF</v>
      </c>
      <c r="E2242" s="86">
        <f t="shared" ca="1" si="491"/>
        <v>8</v>
      </c>
    </row>
    <row r="2243" spans="1:8" ht="14.25" x14ac:dyDescent="0.45">
      <c r="A2243" s="86">
        <f ca="1"/>
        <v>8</v>
      </c>
      <c r="B2243" s="86" t="str">
        <f ca="1"/>
        <v>D129</v>
      </c>
      <c r="C2243" s="86" t="str">
        <f t="shared" ca="1" si="489"/>
        <v>MUHAMMED UNAIS CK</v>
      </c>
      <c r="D2243" s="86" t="str">
        <f t="shared" ca="1" si="490"/>
        <v>BADF</v>
      </c>
      <c r="E2243" s="86">
        <f t="shared" ca="1" si="491"/>
        <v>8</v>
      </c>
    </row>
    <row r="2244" spans="1:8" ht="14.25" x14ac:dyDescent="0.45">
      <c r="A2244" s="86">
        <f ca="1"/>
        <v>9</v>
      </c>
      <c r="B2244" s="86" t="str">
        <f ca="1"/>
        <v>D157</v>
      </c>
      <c r="C2244" s="86" t="str">
        <f t="shared" ca="1" si="489"/>
        <v>MUHAMMAD MUZAMMIL E.A</v>
      </c>
      <c r="D2244" s="86" t="str">
        <f t="shared" ca="1" si="490"/>
        <v>BADF</v>
      </c>
      <c r="E2244" s="86">
        <f t="shared" ca="1" si="491"/>
        <v>9</v>
      </c>
    </row>
    <row r="2245" spans="1:8" ht="14.25" x14ac:dyDescent="0.45">
      <c r="A2245" s="86">
        <f ca="1"/>
        <v>10</v>
      </c>
      <c r="B2245" s="86" t="str">
        <f ca="1"/>
        <v>D116</v>
      </c>
      <c r="C2245" s="86" t="str">
        <f t="shared" ca="1" si="489"/>
        <v>HASSAN SHADDAD UM</v>
      </c>
      <c r="D2245" s="86" t="str">
        <f t="shared" ca="1" si="490"/>
        <v>JARF</v>
      </c>
      <c r="E2245" s="86">
        <f t="shared" ca="1" si="491"/>
        <v>8</v>
      </c>
    </row>
    <row r="2246" spans="1:8" ht="14.25" x14ac:dyDescent="0.45">
      <c r="A2246" s="86">
        <f ca="1"/>
        <v>11</v>
      </c>
      <c r="B2246" s="86" t="str">
        <f ca="1"/>
        <v>D136</v>
      </c>
      <c r="C2246" s="86" t="str">
        <f t="shared" ca="1" si="489"/>
        <v>MUHAMMED ASBAQUE</v>
      </c>
      <c r="D2246" s="86" t="str">
        <f t="shared" ca="1" si="490"/>
        <v>JARF</v>
      </c>
      <c r="E2246" s="86">
        <f t="shared" ca="1" si="491"/>
        <v>9</v>
      </c>
    </row>
    <row r="2247" spans="1:8" ht="14.25" x14ac:dyDescent="0.45">
      <c r="A2247" s="86">
        <f ca="1"/>
        <v>12</v>
      </c>
      <c r="B2247" s="86" t="str">
        <f ca="1"/>
        <v>D151</v>
      </c>
      <c r="C2247" s="86" t="str">
        <f t="shared" ca="1" si="489"/>
        <v>MUHAMMED SHANAVAS M.A</v>
      </c>
      <c r="D2247" s="86" t="str">
        <f t="shared" ca="1" si="490"/>
        <v>JARF</v>
      </c>
      <c r="E2247" s="86">
        <f t="shared" ca="1" si="491"/>
        <v>9</v>
      </c>
    </row>
    <row r="2248" spans="1:8" ht="14.25" x14ac:dyDescent="0.45">
      <c r="A2248" s="84" t="s">
        <v>376</v>
      </c>
      <c r="B2248" s="84" t="str">
        <f>VLOOKUP("SS24",f_detailsof_programs,2,FALSE)</f>
        <v>SHORT STORY URD</v>
      </c>
      <c r="C2248" s="84"/>
      <c r="D2248" s="84" t="s">
        <v>688</v>
      </c>
      <c r="E2248" s="84" t="s">
        <v>485</v>
      </c>
      <c r="F2248" s="84"/>
      <c r="G2248" s="84"/>
      <c r="H2248" s="84"/>
    </row>
    <row r="2249" spans="1:8" ht="14.25" x14ac:dyDescent="0.45">
      <c r="A2249" s="85" t="s">
        <v>16</v>
      </c>
      <c r="B2249" s="85" t="s">
        <v>480</v>
      </c>
      <c r="C2249" s="85" t="s">
        <v>18</v>
      </c>
      <c r="D2249" s="85" t="s">
        <v>481</v>
      </c>
      <c r="E2249" s="85" t="s">
        <v>19</v>
      </c>
      <c r="F2249" s="85" t="s">
        <v>482</v>
      </c>
      <c r="G2249" s="85" t="s">
        <v>483</v>
      </c>
      <c r="H2249" s="85" t="s">
        <v>484</v>
      </c>
    </row>
    <row r="2250" spans="1:8" ht="14.25" x14ac:dyDescent="0.45">
      <c r="A2250" s="86" cm="1">
        <f t="array" aca="1" ref="A2250:A2261" ca="1">_xlfn.SEQUENCE(COUNTA(_xlfn.LET(_xlpm.trimmed,OFFSET(f_listof_program_candidates,MATCH("SS24",f_listof_program_codes,0)-1,6,1,),TRANSPOSE(_xlfn._xlws.FILTER(OFFSET(_xlpm.trimmed,0,0,,COUNTA(_xlpm.trimmed)-5),OFFSET(_xlpm.trimmed,0,0,,COUNTA(_xlpm.trimmed)-5)&lt;&gt;0)))))</f>
        <v>1</v>
      </c>
      <c r="B2250" s="86" t="str" cm="1">
        <f t="array" aca="1" ref="B2250:B2261" ca="1">_xlfn.LET(_xlpm.trimmed,OFFSET(f_listof_program_candidates,MATCH("SS24",f_listof_program_codes,0)-1,6,1,),TRANSPOSE(_xlfn._xlws.FILTER(OFFSET(_xlpm.trimmed,0,0,,COUNTA(_xlpm.trimmed)-5),OFFSET(_xlpm.trimmed,0,0,,COUNTA(_xlpm.trimmed)-5)&lt;&gt;0)))</f>
        <v>D128</v>
      </c>
      <c r="C2250" s="86" t="str">
        <f t="shared" ref="C2250:C2261" ca="1" si="492">VLOOKUP(B2250,f_detailsof_candidates,2,FALSE)</f>
        <v>MEHAZIN AMAN T</v>
      </c>
      <c r="D2250" s="86" t="str">
        <f t="shared" ref="D2250:D2261" ca="1" si="493">VLOOKUP(B2250,f_detailsof_candidates,3,FALSE)</f>
        <v>FANT</v>
      </c>
      <c r="E2250" s="86">
        <f t="shared" ref="E2250:E2261" ca="1" si="494">VLOOKUP(B2250,f_detailsof_candidates,5,FALSE)</f>
        <v>8</v>
      </c>
    </row>
    <row r="2251" spans="1:8" ht="14.25" x14ac:dyDescent="0.45">
      <c r="A2251" s="86">
        <f ca="1"/>
        <v>2</v>
      </c>
      <c r="B2251" s="86" t="str">
        <f ca="1"/>
        <v>D138</v>
      </c>
      <c r="C2251" s="86" t="str">
        <f t="shared" ca="1" si="492"/>
        <v>MOHAMMED JAWAD A</v>
      </c>
      <c r="D2251" s="86" t="str">
        <f t="shared" ca="1" si="493"/>
        <v>FANT</v>
      </c>
      <c r="E2251" s="86">
        <f t="shared" ca="1" si="494"/>
        <v>9</v>
      </c>
    </row>
    <row r="2252" spans="1:8" ht="14.25" x14ac:dyDescent="0.45">
      <c r="A2252" s="86">
        <f ca="1"/>
        <v>3</v>
      </c>
      <c r="B2252" s="86" t="str">
        <f ca="1"/>
        <v>D147</v>
      </c>
      <c r="C2252" s="86" t="str">
        <f t="shared" ca="1" si="492"/>
        <v>MOHAMMED SHAHZAN T.K</v>
      </c>
      <c r="D2252" s="86" t="str">
        <f t="shared" ca="1" si="493"/>
        <v>FANT</v>
      </c>
      <c r="E2252" s="86">
        <f t="shared" ca="1" si="494"/>
        <v>9</v>
      </c>
    </row>
    <row r="2253" spans="1:8" ht="14.25" x14ac:dyDescent="0.45">
      <c r="A2253" s="86">
        <f ca="1"/>
        <v>4</v>
      </c>
      <c r="B2253" s="86" t="str">
        <f ca="1"/>
        <v>D152</v>
      </c>
      <c r="C2253" s="86" t="str">
        <f t="shared" ca="1" si="492"/>
        <v>MOHAMMAD ISMAIL SINAN KM</v>
      </c>
      <c r="D2253" s="86" t="str">
        <f t="shared" ca="1" si="493"/>
        <v>DAHF</v>
      </c>
      <c r="E2253" s="86">
        <f t="shared" ca="1" si="494"/>
        <v>9</v>
      </c>
    </row>
    <row r="2254" spans="1:8" ht="14.25" x14ac:dyDescent="0.45">
      <c r="A2254" s="86">
        <f ca="1"/>
        <v>5</v>
      </c>
      <c r="B2254" s="86" t="str">
        <f ca="1"/>
        <v>D140</v>
      </c>
      <c r="C2254" s="86" t="str">
        <f t="shared" ca="1" si="492"/>
        <v>MUHAMMED FAISAL A K</v>
      </c>
      <c r="D2254" s="86" t="str">
        <f t="shared" ca="1" si="493"/>
        <v>DAHF</v>
      </c>
      <c r="E2254" s="86">
        <f t="shared" ca="1" si="494"/>
        <v>9</v>
      </c>
    </row>
    <row r="2255" spans="1:8" ht="14.25" x14ac:dyDescent="0.45">
      <c r="A2255" s="86">
        <f ca="1"/>
        <v>6</v>
      </c>
      <c r="B2255" s="86" t="str">
        <f ca="1"/>
        <v>D187</v>
      </c>
      <c r="C2255" s="86" t="str">
        <f t="shared" ca="1" si="492"/>
        <v>ABDUL RAHMAN</v>
      </c>
      <c r="D2255" s="86" t="str">
        <f t="shared" ca="1" si="493"/>
        <v>DAHF</v>
      </c>
      <c r="E2255" s="86">
        <f t="shared" ca="1" si="494"/>
        <v>10</v>
      </c>
    </row>
    <row r="2256" spans="1:8" ht="14.25" x14ac:dyDescent="0.45">
      <c r="A2256" s="86">
        <f ca="1"/>
        <v>7</v>
      </c>
      <c r="B2256" s="86" t="str">
        <f ca="1"/>
        <v>D118</v>
      </c>
      <c r="C2256" s="86" t="str">
        <f t="shared" ca="1" si="492"/>
        <v>MOHAMMAD KHALANDAR ZIYAD</v>
      </c>
      <c r="D2256" s="86" t="str">
        <f t="shared" ca="1" si="493"/>
        <v>BADF</v>
      </c>
      <c r="E2256" s="86">
        <f t="shared" ca="1" si="494"/>
        <v>8</v>
      </c>
    </row>
    <row r="2257" spans="1:8" ht="14.25" x14ac:dyDescent="0.45">
      <c r="A2257" s="86">
        <f ca="1"/>
        <v>8</v>
      </c>
      <c r="B2257" s="86" t="str">
        <f ca="1"/>
        <v>D162</v>
      </c>
      <c r="C2257" s="86" t="str">
        <f t="shared" ca="1" si="492"/>
        <v>ABDURAHMAN P.H</v>
      </c>
      <c r="D2257" s="86" t="str">
        <f t="shared" ca="1" si="493"/>
        <v>BADF</v>
      </c>
      <c r="E2257" s="86">
        <f t="shared" ca="1" si="494"/>
        <v>9</v>
      </c>
    </row>
    <row r="2258" spans="1:8" ht="14.25" x14ac:dyDescent="0.45">
      <c r="A2258" s="86">
        <f ca="1"/>
        <v>9</v>
      </c>
      <c r="B2258" s="86" t="str">
        <f ca="1"/>
        <v>D189</v>
      </c>
      <c r="C2258" s="86" t="str">
        <f t="shared" ca="1" si="492"/>
        <v>ASGAR ALI</v>
      </c>
      <c r="D2258" s="86" t="str">
        <f t="shared" ca="1" si="493"/>
        <v>BADF</v>
      </c>
      <c r="E2258" s="86">
        <f t="shared" ca="1" si="494"/>
        <v>10</v>
      </c>
    </row>
    <row r="2259" spans="1:8" ht="14.25" x14ac:dyDescent="0.45">
      <c r="A2259" s="86">
        <f ca="1"/>
        <v>10</v>
      </c>
      <c r="B2259" s="86" t="str">
        <f ca="1"/>
        <v>D100</v>
      </c>
      <c r="C2259" s="86" t="str">
        <f t="shared" ca="1" si="492"/>
        <v>MOHAMMED RAZI</v>
      </c>
      <c r="D2259" s="86" t="str">
        <f t="shared" ca="1" si="493"/>
        <v>JARF</v>
      </c>
      <c r="E2259" s="86">
        <f t="shared" ca="1" si="494"/>
        <v>8</v>
      </c>
    </row>
    <row r="2260" spans="1:8" ht="14.25" x14ac:dyDescent="0.45">
      <c r="A2260" s="86">
        <f ca="1"/>
        <v>11</v>
      </c>
      <c r="B2260" s="86" t="str">
        <f ca="1"/>
        <v>D116</v>
      </c>
      <c r="C2260" s="86" t="str">
        <f t="shared" ca="1" si="492"/>
        <v>HASSAN SHADDAD UM</v>
      </c>
      <c r="D2260" s="86" t="str">
        <f t="shared" ca="1" si="493"/>
        <v>JARF</v>
      </c>
      <c r="E2260" s="86">
        <f t="shared" ca="1" si="494"/>
        <v>8</v>
      </c>
    </row>
    <row r="2261" spans="1:8" ht="14.25" x14ac:dyDescent="0.45">
      <c r="A2261" s="86">
        <f ca="1"/>
        <v>12</v>
      </c>
      <c r="B2261" s="86" t="str">
        <f ca="1"/>
        <v>D194</v>
      </c>
      <c r="C2261" s="86" t="str">
        <f t="shared" ca="1" si="492"/>
        <v>AYAZ RAHMAN T</v>
      </c>
      <c r="D2261" s="86" t="str">
        <f t="shared" ca="1" si="493"/>
        <v>JARF</v>
      </c>
      <c r="E2261" s="86">
        <f t="shared" ca="1" si="494"/>
        <v>10</v>
      </c>
    </row>
    <row r="2262" spans="1:8" ht="14.25" x14ac:dyDescent="0.45">
      <c r="A2262" s="84" t="s">
        <v>378</v>
      </c>
      <c r="B2262" s="84" t="str">
        <f>VLOOKUP("SS25",f_detailsof_programs,2,FALSE)</f>
        <v>TYPING QUADRILINGUAL</v>
      </c>
      <c r="C2262" s="84"/>
      <c r="D2262" s="84" t="s">
        <v>688</v>
      </c>
      <c r="E2262" s="84" t="s">
        <v>486</v>
      </c>
      <c r="F2262" s="84"/>
      <c r="G2262" s="84"/>
      <c r="H2262" s="84"/>
    </row>
    <row r="2263" spans="1:8" ht="14.25" x14ac:dyDescent="0.45">
      <c r="A2263" s="85" t="s">
        <v>16</v>
      </c>
      <c r="B2263" s="85" t="s">
        <v>480</v>
      </c>
      <c r="C2263" s="85" t="s">
        <v>18</v>
      </c>
      <c r="D2263" s="85" t="s">
        <v>481</v>
      </c>
      <c r="E2263" s="85" t="s">
        <v>19</v>
      </c>
      <c r="F2263" s="85" t="s">
        <v>482</v>
      </c>
      <c r="G2263" s="85" t="s">
        <v>483</v>
      </c>
      <c r="H2263" s="85" t="s">
        <v>484</v>
      </c>
    </row>
    <row r="2264" spans="1:8" ht="14.25" x14ac:dyDescent="0.45">
      <c r="A2264" s="86" cm="1">
        <f t="array" aca="1" ref="A2264:A2271" ca="1">_xlfn.SEQUENCE(COUNTA(_xlfn.LET(_xlpm.trimmed,OFFSET(f_listof_program_candidates,MATCH("SS25",f_listof_program_codes,0)-1,6,1,),TRANSPOSE(_xlfn._xlws.FILTER(OFFSET(_xlpm.trimmed,0,0,,COUNTA(_xlpm.trimmed)-5),OFFSET(_xlpm.trimmed,0,0,,COUNTA(_xlpm.trimmed)-5)&lt;&gt;0)))))</f>
        <v>1</v>
      </c>
      <c r="B2264" s="86" t="str" cm="1">
        <f t="array" aca="1" ref="B2264:B2271" ca="1">_xlfn.LET(_xlpm.trimmed,OFFSET(f_listof_program_candidates,MATCH("SS25",f_listof_program_codes,0)-1,6,1,),TRANSPOSE(_xlfn._xlws.FILTER(OFFSET(_xlpm.trimmed,0,0,,COUNTA(_xlpm.trimmed)-5),OFFSET(_xlpm.trimmed,0,0,,COUNTA(_xlpm.trimmed)-5)&lt;&gt;0)))</f>
        <v>D112</v>
      </c>
      <c r="C2264" s="86" t="str">
        <f t="shared" ref="C2264:C2271" ca="1" si="495">VLOOKUP(B2264,f_detailsof_candidates,2,FALSE)</f>
        <v>AMEEN ABDULLA</v>
      </c>
      <c r="D2264" s="86" t="str">
        <f t="shared" ref="D2264:D2271" ca="1" si="496">VLOOKUP(B2264,f_detailsof_candidates,3,FALSE)</f>
        <v>FANT</v>
      </c>
      <c r="E2264" s="86">
        <f t="shared" ref="E2264:E2271" ca="1" si="497">VLOOKUP(B2264,f_detailsof_candidates,5,FALSE)</f>
        <v>8</v>
      </c>
    </row>
    <row r="2265" spans="1:8" ht="14.25" x14ac:dyDescent="0.45">
      <c r="A2265" s="86">
        <f ca="1"/>
        <v>2</v>
      </c>
      <c r="B2265" s="86" t="str">
        <f ca="1"/>
        <v>D159</v>
      </c>
      <c r="C2265" s="86" t="str">
        <f t="shared" ca="1" si="495"/>
        <v>MUHAMMED MUZAMMIL</v>
      </c>
      <c r="D2265" s="86" t="str">
        <f t="shared" ca="1" si="496"/>
        <v>FANT</v>
      </c>
      <c r="E2265" s="86">
        <f t="shared" ca="1" si="497"/>
        <v>9</v>
      </c>
    </row>
    <row r="2266" spans="1:8" ht="14.25" x14ac:dyDescent="0.45">
      <c r="A2266" s="86">
        <f ca="1"/>
        <v>3</v>
      </c>
      <c r="B2266" s="86" t="str">
        <f ca="1"/>
        <v>D135</v>
      </c>
      <c r="C2266" s="86" t="str">
        <f t="shared" ca="1" si="495"/>
        <v>HASHIR HUSSAIN IK</v>
      </c>
      <c r="D2266" s="86" t="str">
        <f t="shared" ca="1" si="496"/>
        <v>DAHF</v>
      </c>
      <c r="E2266" s="86">
        <f t="shared" ca="1" si="497"/>
        <v>9</v>
      </c>
    </row>
    <row r="2267" spans="1:8" ht="14.25" x14ac:dyDescent="0.45">
      <c r="A2267" s="86">
        <f ca="1"/>
        <v>4</v>
      </c>
      <c r="B2267" s="86" t="str">
        <f ca="1"/>
        <v>D148</v>
      </c>
      <c r="C2267" s="86" t="str">
        <f t="shared" ca="1" si="495"/>
        <v>UMARUL FAROOK K .K</v>
      </c>
      <c r="D2267" s="86" t="str">
        <f t="shared" ca="1" si="496"/>
        <v>DAHF</v>
      </c>
      <c r="E2267" s="86">
        <f t="shared" ca="1" si="497"/>
        <v>9</v>
      </c>
    </row>
    <row r="2268" spans="1:8" ht="14.25" x14ac:dyDescent="0.45">
      <c r="A2268" s="86">
        <f ca="1"/>
        <v>5</v>
      </c>
      <c r="B2268" s="86" t="str">
        <f ca="1"/>
        <v>D126</v>
      </c>
      <c r="C2268" s="86" t="str">
        <f t="shared" ca="1" si="495"/>
        <v>MUHAMMED MIDHLAJ KK</v>
      </c>
      <c r="D2268" s="86" t="str">
        <f t="shared" ca="1" si="496"/>
        <v>BADF</v>
      </c>
      <c r="E2268" s="86">
        <f t="shared" ca="1" si="497"/>
        <v>8</v>
      </c>
    </row>
    <row r="2269" spans="1:8" ht="14.25" x14ac:dyDescent="0.45">
      <c r="A2269" s="86">
        <f ca="1"/>
        <v>6</v>
      </c>
      <c r="B2269" s="86" t="str">
        <f ca="1"/>
        <v>D161</v>
      </c>
      <c r="C2269" s="86" t="str">
        <f t="shared" ca="1" si="495"/>
        <v>MOHAMMED ATHHAR THAYYIB MS</v>
      </c>
      <c r="D2269" s="86" t="str">
        <f t="shared" ca="1" si="496"/>
        <v>BADF</v>
      </c>
      <c r="E2269" s="86">
        <f t="shared" ca="1" si="497"/>
        <v>9</v>
      </c>
    </row>
    <row r="2270" spans="1:8" ht="14.25" x14ac:dyDescent="0.45">
      <c r="A2270" s="86">
        <f ca="1"/>
        <v>7</v>
      </c>
      <c r="B2270" s="86" t="str">
        <f ca="1"/>
        <v>D113</v>
      </c>
      <c r="C2270" s="86" t="str">
        <f t="shared" ca="1" si="495"/>
        <v>ZULFIKARALI</v>
      </c>
      <c r="D2270" s="86" t="str">
        <f t="shared" ca="1" si="496"/>
        <v>JARF</v>
      </c>
      <c r="E2270" s="86">
        <f t="shared" ca="1" si="497"/>
        <v>8</v>
      </c>
    </row>
    <row r="2271" spans="1:8" ht="14.25" x14ac:dyDescent="0.45">
      <c r="A2271" s="86">
        <f ca="1"/>
        <v>8</v>
      </c>
      <c r="B2271" s="86" t="str">
        <f ca="1"/>
        <v>D193</v>
      </c>
      <c r="C2271" s="86" t="str">
        <f t="shared" ca="1" si="495"/>
        <v>MUHAMMED ABDUL GHANI M.A</v>
      </c>
      <c r="D2271" s="86" t="str">
        <f t="shared" ca="1" si="496"/>
        <v>JARF</v>
      </c>
      <c r="E2271" s="86">
        <f t="shared" ca="1" si="497"/>
        <v>10</v>
      </c>
    </row>
    <row r="2272" spans="1:8" ht="14.25" x14ac:dyDescent="0.45">
      <c r="A2272" s="84" t="s">
        <v>380</v>
      </c>
      <c r="B2272" s="84" t="str">
        <f>VLOOKUP("SS26",f_detailsof_programs,2,FALSE)</f>
        <v>WEB DESIGNING</v>
      </c>
      <c r="C2272" s="84"/>
      <c r="D2272" s="84" t="s">
        <v>688</v>
      </c>
      <c r="E2272" s="84" t="s">
        <v>638</v>
      </c>
      <c r="F2272" s="84"/>
      <c r="G2272" s="84"/>
      <c r="H2272" s="84"/>
    </row>
    <row r="2273" spans="1:8" ht="14.25" x14ac:dyDescent="0.45">
      <c r="A2273" s="85" t="s">
        <v>16</v>
      </c>
      <c r="B2273" s="85" t="s">
        <v>480</v>
      </c>
      <c r="C2273" s="85" t="s">
        <v>18</v>
      </c>
      <c r="D2273" s="85" t="s">
        <v>481</v>
      </c>
      <c r="E2273" s="85" t="s">
        <v>19</v>
      </c>
      <c r="F2273" s="85" t="s">
        <v>482</v>
      </c>
      <c r="G2273" s="85" t="s">
        <v>483</v>
      </c>
      <c r="H2273" s="85" t="s">
        <v>484</v>
      </c>
    </row>
    <row r="2274" spans="1:8" ht="14.25" x14ac:dyDescent="0.45">
      <c r="A2274" s="86" cm="1">
        <f t="array" aca="1" ref="A2274:A2277" ca="1">_xlfn.SEQUENCE(COUNTA(_xlfn.LET(_xlpm.trimmed,OFFSET(f_listof_program_candidates,MATCH("SS26",f_listof_program_codes,0)-1,6,1,),TRANSPOSE(_xlfn._xlws.FILTER(OFFSET(_xlpm.trimmed,0,0,,COUNTA(_xlpm.trimmed)-5),OFFSET(_xlpm.trimmed,0,0,,COUNTA(_xlpm.trimmed)-5)&lt;&gt;0)))))</f>
        <v>1</v>
      </c>
      <c r="B2274" s="86" t="str" cm="1">
        <f t="array" aca="1" ref="B2274:B2277" ca="1">_xlfn.LET(_xlpm.trimmed,OFFSET(f_listof_program_candidates,MATCH("SS26",f_listof_program_codes,0)-1,6,1,),TRANSPOSE(_xlfn._xlws.FILTER(OFFSET(_xlpm.trimmed,0,0,,COUNTA(_xlpm.trimmed)-5),OFFSET(_xlpm.trimmed,0,0,,COUNTA(_xlpm.trimmed)-5)&lt;&gt;0)))</f>
        <v>D177</v>
      </c>
      <c r="C2274" s="86" t="str">
        <f ca="1">VLOOKUP(B2274,f_detailsof_candidates,2,FALSE)</f>
        <v>SHAMEEM ABDULLA P.S</v>
      </c>
      <c r="D2274" s="86" t="str">
        <f ca="1">VLOOKUP(B2274,f_detailsof_candidates,3,FALSE)</f>
        <v>FANT</v>
      </c>
      <c r="E2274" s="86">
        <f ca="1">VLOOKUP(B2274,f_detailsof_candidates,5,FALSE)</f>
        <v>10</v>
      </c>
    </row>
    <row r="2275" spans="1:8" ht="14.25" x14ac:dyDescent="0.45">
      <c r="A2275" s="86">
        <f ca="1"/>
        <v>2</v>
      </c>
      <c r="B2275" s="86" t="str">
        <f ca="1"/>
        <v>D108</v>
      </c>
      <c r="C2275" s="86" t="str">
        <f ca="1">VLOOKUP(B2275,f_detailsof_candidates,2,FALSE)</f>
        <v>MOHAMMED HASHIR</v>
      </c>
      <c r="D2275" s="86" t="str">
        <f ca="1">VLOOKUP(B2275,f_detailsof_candidates,3,FALSE)</f>
        <v>DAHF</v>
      </c>
      <c r="E2275" s="86">
        <f ca="1">VLOOKUP(B2275,f_detailsof_candidates,5,FALSE)</f>
        <v>8</v>
      </c>
    </row>
    <row r="2276" spans="1:8" ht="14.25" x14ac:dyDescent="0.45">
      <c r="A2276" s="86">
        <f ca="1"/>
        <v>3</v>
      </c>
      <c r="B2276" s="86" t="str">
        <f ca="1"/>
        <v>D124</v>
      </c>
      <c r="C2276" s="86" t="str">
        <f ca="1">VLOOKUP(B2276,f_detailsof_candidates,2,FALSE)</f>
        <v>MUHAMMED SUFAZ P</v>
      </c>
      <c r="D2276" s="86" t="str">
        <f ca="1">VLOOKUP(B2276,f_detailsof_candidates,3,FALSE)</f>
        <v>BADF</v>
      </c>
      <c r="E2276" s="86">
        <f ca="1">VLOOKUP(B2276,f_detailsof_candidates,5,FALSE)</f>
        <v>8</v>
      </c>
    </row>
    <row r="2277" spans="1:8" ht="14.25" x14ac:dyDescent="0.45">
      <c r="A2277" s="86">
        <f ca="1"/>
        <v>4</v>
      </c>
      <c r="B2277" s="86" t="str">
        <f ca="1"/>
        <v>D101</v>
      </c>
      <c r="C2277" s="86" t="str">
        <f ca="1">VLOOKUP(B2277,f_detailsof_candidates,2,FALSE)</f>
        <v>MOHAMMED AFSAL</v>
      </c>
      <c r="D2277" s="86" t="str">
        <f ca="1">VLOOKUP(B2277,f_detailsof_candidates,3,FALSE)</f>
        <v>JARF</v>
      </c>
      <c r="E2277" s="86">
        <f ca="1">VLOOKUP(B2277,f_detailsof_candidates,5,FALSE)</f>
        <v>8</v>
      </c>
    </row>
    <row r="2278" spans="1:8" ht="14.25" x14ac:dyDescent="0.45">
      <c r="A2278" s="84" t="s">
        <v>382</v>
      </c>
      <c r="B2278" s="84" t="str">
        <f>VLOOKUP("SS27",f_detailsof_programs,2,FALSE)</f>
        <v>ACADEMIC TALK ENG</v>
      </c>
      <c r="C2278" s="84"/>
      <c r="D2278" s="84" t="s">
        <v>688</v>
      </c>
      <c r="E2278" s="84" t="s">
        <v>485</v>
      </c>
      <c r="F2278" s="84"/>
      <c r="G2278" s="84"/>
      <c r="H2278" s="84"/>
    </row>
    <row r="2279" spans="1:8" ht="14.25" x14ac:dyDescent="0.45">
      <c r="A2279" s="85" t="s">
        <v>16</v>
      </c>
      <c r="B2279" s="85" t="s">
        <v>480</v>
      </c>
      <c r="C2279" s="85" t="s">
        <v>18</v>
      </c>
      <c r="D2279" s="85" t="s">
        <v>481</v>
      </c>
      <c r="E2279" s="85" t="s">
        <v>19</v>
      </c>
      <c r="F2279" s="85" t="s">
        <v>482</v>
      </c>
      <c r="G2279" s="85" t="s">
        <v>483</v>
      </c>
      <c r="H2279" s="85" t="s">
        <v>484</v>
      </c>
    </row>
    <row r="2280" spans="1:8" ht="14.25" x14ac:dyDescent="0.45">
      <c r="A2280" s="86" cm="1">
        <f t="array" aca="1" ref="A2280:A2291" ca="1">_xlfn.SEQUENCE(COUNTA(_xlfn.LET(_xlpm.trimmed,OFFSET(f_listof_program_candidates,MATCH("SS27",f_listof_program_codes,0)-1,6,1,),TRANSPOSE(_xlfn._xlws.FILTER(OFFSET(_xlpm.trimmed,0,0,,COUNTA(_xlpm.trimmed)-5),OFFSET(_xlpm.trimmed,0,0,,COUNTA(_xlpm.trimmed)-5)&lt;&gt;0)))))</f>
        <v>1</v>
      </c>
      <c r="B2280" s="86" t="str" cm="1">
        <f t="array" aca="1" ref="B2280:B2291" ca="1">_xlfn.LET(_xlpm.trimmed,OFFSET(f_listof_program_candidates,MATCH("SS27",f_listof_program_codes,0)-1,6,1,),TRANSPOSE(_xlfn._xlws.FILTER(OFFSET(_xlpm.trimmed,0,0,,COUNTA(_xlpm.trimmed)-5),OFFSET(_xlpm.trimmed,0,0,,COUNTA(_xlpm.trimmed)-5)&lt;&gt;0)))</f>
        <v>D114</v>
      </c>
      <c r="C2280" s="86" t="str">
        <f t="shared" ref="C2280:C2291" ca="1" si="498">VLOOKUP(B2280,f_detailsof_candidates,2,FALSE)</f>
        <v>MUHAMMED ANAS M.N</v>
      </c>
      <c r="D2280" s="86" t="str">
        <f t="shared" ref="D2280:D2291" ca="1" si="499">VLOOKUP(B2280,f_detailsof_candidates,3,FALSE)</f>
        <v>FANT</v>
      </c>
      <c r="E2280" s="86">
        <f t="shared" ref="E2280:E2291" ca="1" si="500">VLOOKUP(B2280,f_detailsof_candidates,5,FALSE)</f>
        <v>8</v>
      </c>
    </row>
    <row r="2281" spans="1:8" ht="14.25" x14ac:dyDescent="0.45">
      <c r="A2281" s="86">
        <f ca="1"/>
        <v>2</v>
      </c>
      <c r="B2281" s="86" t="str">
        <f ca="1"/>
        <v>D133</v>
      </c>
      <c r="C2281" s="86" t="str">
        <f t="shared" ca="1" si="498"/>
        <v>MOHAMMED SHAMSHEER</v>
      </c>
      <c r="D2281" s="86" t="str">
        <f t="shared" ca="1" si="499"/>
        <v>FANT</v>
      </c>
      <c r="E2281" s="86">
        <f t="shared" ca="1" si="500"/>
        <v>9</v>
      </c>
    </row>
    <row r="2282" spans="1:8" ht="14.25" x14ac:dyDescent="0.45">
      <c r="A2282" s="86">
        <f ca="1"/>
        <v>3</v>
      </c>
      <c r="B2282" s="86" t="str">
        <f ca="1"/>
        <v>D165</v>
      </c>
      <c r="C2282" s="86" t="str">
        <f t="shared" ca="1" si="498"/>
        <v>AJMAL KI</v>
      </c>
      <c r="D2282" s="86" t="str">
        <f t="shared" ca="1" si="499"/>
        <v>FANT</v>
      </c>
      <c r="E2282" s="86">
        <f t="shared" ca="1" si="500"/>
        <v>9</v>
      </c>
    </row>
    <row r="2283" spans="1:8" ht="14.25" x14ac:dyDescent="0.45">
      <c r="A2283" s="86">
        <f ca="1"/>
        <v>4</v>
      </c>
      <c r="B2283" s="86" t="str">
        <f ca="1"/>
        <v>D108</v>
      </c>
      <c r="C2283" s="86" t="str">
        <f t="shared" ca="1" si="498"/>
        <v>MOHAMMED HASHIR</v>
      </c>
      <c r="D2283" s="86" t="str">
        <f t="shared" ca="1" si="499"/>
        <v>DAHF</v>
      </c>
      <c r="E2283" s="86">
        <f t="shared" ca="1" si="500"/>
        <v>8</v>
      </c>
    </row>
    <row r="2284" spans="1:8" ht="14.25" x14ac:dyDescent="0.45">
      <c r="A2284" s="86">
        <f ca="1"/>
        <v>5</v>
      </c>
      <c r="B2284" s="86" t="str">
        <f ca="1"/>
        <v>D150</v>
      </c>
      <c r="C2284" s="86" t="str">
        <f t="shared" ca="1" si="498"/>
        <v>ABDUL KHADER</v>
      </c>
      <c r="D2284" s="86" t="str">
        <f t="shared" ca="1" si="499"/>
        <v>DAHF</v>
      </c>
      <c r="E2284" s="86">
        <f t="shared" ca="1" si="500"/>
        <v>9</v>
      </c>
    </row>
    <row r="2285" spans="1:8" ht="14.25" x14ac:dyDescent="0.45">
      <c r="A2285" s="86">
        <f ca="1"/>
        <v>6</v>
      </c>
      <c r="B2285" s="86" t="str">
        <f ca="1"/>
        <v>D196</v>
      </c>
      <c r="C2285" s="86" t="str">
        <f t="shared" ca="1" si="498"/>
        <v>ABDUL VAJID K</v>
      </c>
      <c r="D2285" s="86" t="str">
        <f t="shared" ca="1" si="499"/>
        <v>DAHF</v>
      </c>
      <c r="E2285" s="86">
        <f t="shared" ca="1" si="500"/>
        <v>10</v>
      </c>
    </row>
    <row r="2286" spans="1:8" ht="14.25" x14ac:dyDescent="0.45">
      <c r="A2286" s="86">
        <f ca="1"/>
        <v>7</v>
      </c>
      <c r="B2286" s="86" t="str">
        <f ca="1"/>
        <v>D110</v>
      </c>
      <c r="C2286" s="86" t="str">
        <f t="shared" ca="1" si="498"/>
        <v>ABBAS AZNAB M.A</v>
      </c>
      <c r="D2286" s="86" t="str">
        <f t="shared" ca="1" si="499"/>
        <v>BADF</v>
      </c>
      <c r="E2286" s="86">
        <f t="shared" ca="1" si="500"/>
        <v>8</v>
      </c>
    </row>
    <row r="2287" spans="1:8" ht="14.25" x14ac:dyDescent="0.45">
      <c r="A2287" s="86">
        <f ca="1"/>
        <v>8</v>
      </c>
      <c r="B2287" s="86" t="str">
        <f ca="1"/>
        <v>D118</v>
      </c>
      <c r="C2287" s="86" t="str">
        <f t="shared" ca="1" si="498"/>
        <v>MOHAMMAD KHALANDAR ZIYAD</v>
      </c>
      <c r="D2287" s="86" t="str">
        <f t="shared" ca="1" si="499"/>
        <v>BADF</v>
      </c>
      <c r="E2287" s="86">
        <f t="shared" ca="1" si="500"/>
        <v>8</v>
      </c>
    </row>
    <row r="2288" spans="1:8" ht="14.25" x14ac:dyDescent="0.45">
      <c r="A2288" s="86">
        <f ca="1"/>
        <v>9</v>
      </c>
      <c r="B2288" s="86" t="str">
        <f ca="1"/>
        <v>D145</v>
      </c>
      <c r="C2288" s="86" t="str">
        <f t="shared" ca="1" si="498"/>
        <v>ABBAS ARFAS O.R</v>
      </c>
      <c r="D2288" s="86" t="str">
        <f t="shared" ca="1" si="499"/>
        <v>BADF</v>
      </c>
      <c r="E2288" s="86">
        <f t="shared" ca="1" si="500"/>
        <v>9</v>
      </c>
    </row>
    <row r="2289" spans="1:8" ht="14.25" x14ac:dyDescent="0.45">
      <c r="A2289" s="86">
        <f ca="1"/>
        <v>10</v>
      </c>
      <c r="B2289" s="86" t="str">
        <f ca="1"/>
        <v>D123</v>
      </c>
      <c r="C2289" s="86" t="str">
        <f t="shared" ca="1" si="498"/>
        <v>MOHAMMED SALIH</v>
      </c>
      <c r="D2289" s="86" t="str">
        <f t="shared" ca="1" si="499"/>
        <v>JARF</v>
      </c>
      <c r="E2289" s="86">
        <f t="shared" ca="1" si="500"/>
        <v>8</v>
      </c>
    </row>
    <row r="2290" spans="1:8" ht="14.25" x14ac:dyDescent="0.45">
      <c r="A2290" s="86">
        <f ca="1"/>
        <v>11</v>
      </c>
      <c r="B2290" s="86" t="str">
        <f ca="1"/>
        <v>D111</v>
      </c>
      <c r="C2290" s="86" t="str">
        <f t="shared" ca="1" si="498"/>
        <v>MAHAMMED SHAMEEL</v>
      </c>
      <c r="D2290" s="86" t="str">
        <f t="shared" ca="1" si="499"/>
        <v>JARF</v>
      </c>
      <c r="E2290" s="86">
        <f t="shared" ca="1" si="500"/>
        <v>8</v>
      </c>
    </row>
    <row r="2291" spans="1:8" ht="14.25" x14ac:dyDescent="0.45">
      <c r="A2291" s="86">
        <f ca="1"/>
        <v>12</v>
      </c>
      <c r="B2291" s="86" t="str">
        <f ca="1"/>
        <v>D144</v>
      </c>
      <c r="C2291" s="86" t="str">
        <f t="shared" ca="1" si="498"/>
        <v>MUHAMMED RASHAD KA</v>
      </c>
      <c r="D2291" s="86" t="str">
        <f t="shared" ca="1" si="499"/>
        <v>JARF</v>
      </c>
      <c r="E2291" s="86">
        <f t="shared" ca="1" si="500"/>
        <v>9</v>
      </c>
    </row>
    <row r="2292" spans="1:8" ht="14.25" x14ac:dyDescent="0.45">
      <c r="A2292" s="84" t="s">
        <v>384</v>
      </c>
      <c r="B2292" s="84" t="str">
        <f>VLOOKUP("SS28",f_detailsof_programs,2,FALSE)</f>
        <v>ANNOUNCEMENT</v>
      </c>
      <c r="C2292" s="84"/>
      <c r="D2292" s="84" t="s">
        <v>688</v>
      </c>
      <c r="E2292" s="84" t="s">
        <v>485</v>
      </c>
      <c r="F2292" s="84"/>
      <c r="G2292" s="84"/>
      <c r="H2292" s="84"/>
    </row>
    <row r="2293" spans="1:8" ht="14.25" x14ac:dyDescent="0.45">
      <c r="A2293" s="85" t="s">
        <v>16</v>
      </c>
      <c r="B2293" s="85" t="s">
        <v>480</v>
      </c>
      <c r="C2293" s="85" t="s">
        <v>18</v>
      </c>
      <c r="D2293" s="85" t="s">
        <v>481</v>
      </c>
      <c r="E2293" s="85" t="s">
        <v>19</v>
      </c>
      <c r="F2293" s="85" t="s">
        <v>482</v>
      </c>
      <c r="G2293" s="85" t="s">
        <v>483</v>
      </c>
      <c r="H2293" s="85" t="s">
        <v>484</v>
      </c>
    </row>
    <row r="2294" spans="1:8" ht="14.25" x14ac:dyDescent="0.45">
      <c r="A2294" s="86" cm="1">
        <f t="array" aca="1" ref="A2294:A2305" ca="1">_xlfn.SEQUENCE(COUNTA(_xlfn.LET(_xlpm.trimmed,OFFSET(f_listof_program_candidates,MATCH("SS28",f_listof_program_codes,0)-1,6,1,),TRANSPOSE(_xlfn._xlws.FILTER(OFFSET(_xlpm.trimmed,0,0,,COUNTA(_xlpm.trimmed)-5),OFFSET(_xlpm.trimmed,0,0,,COUNTA(_xlpm.trimmed)-5)&lt;&gt;0)))))</f>
        <v>1</v>
      </c>
      <c r="B2294" s="86" t="str" cm="1">
        <f t="array" aca="1" ref="B2294:B2305" ca="1">_xlfn.LET(_xlpm.trimmed,OFFSET(f_listof_program_candidates,MATCH("SS28",f_listof_program_codes,0)-1,6,1,),TRANSPOSE(_xlfn._xlws.FILTER(OFFSET(_xlpm.trimmed,0,0,,COUNTA(_xlpm.trimmed)-5),OFFSET(_xlpm.trimmed,0,0,,COUNTA(_xlpm.trimmed)-5)&lt;&gt;0)))</f>
        <v>D127</v>
      </c>
      <c r="C2294" s="86" t="str">
        <f t="shared" ref="C2294:C2305" ca="1" si="501">VLOOKUP(B2294,f_detailsof_candidates,2,FALSE)</f>
        <v>SHADIN G</v>
      </c>
      <c r="D2294" s="86" t="str">
        <f t="shared" ref="D2294:D2305" ca="1" si="502">VLOOKUP(B2294,f_detailsof_candidates,3,FALSE)</f>
        <v>FANT</v>
      </c>
      <c r="E2294" s="86">
        <f t="shared" ref="E2294:E2305" ca="1" si="503">VLOOKUP(B2294,f_detailsof_candidates,5,FALSE)</f>
        <v>8</v>
      </c>
    </row>
    <row r="2295" spans="1:8" ht="14.25" x14ac:dyDescent="0.45">
      <c r="A2295" s="86">
        <f ca="1"/>
        <v>2</v>
      </c>
      <c r="B2295" s="86" t="str">
        <f ca="1"/>
        <v>D171</v>
      </c>
      <c r="C2295" s="86" t="str">
        <f t="shared" ca="1" si="501"/>
        <v>MOHAMMED ANFAHUDEEN T.A</v>
      </c>
      <c r="D2295" s="86" t="str">
        <f t="shared" ca="1" si="502"/>
        <v>FANT</v>
      </c>
      <c r="E2295" s="86">
        <f t="shared" ca="1" si="503"/>
        <v>10</v>
      </c>
    </row>
    <row r="2296" spans="1:8" ht="14.25" x14ac:dyDescent="0.45">
      <c r="A2296" s="86">
        <f ca="1"/>
        <v>3</v>
      </c>
      <c r="B2296" s="86" t="str">
        <f ca="1"/>
        <v>D184</v>
      </c>
      <c r="C2296" s="86" t="str">
        <f t="shared" ca="1" si="501"/>
        <v>YASEEN</v>
      </c>
      <c r="D2296" s="86" t="str">
        <f t="shared" ca="1" si="502"/>
        <v>FANT</v>
      </c>
      <c r="E2296" s="86">
        <f t="shared" ca="1" si="503"/>
        <v>10</v>
      </c>
    </row>
    <row r="2297" spans="1:8" ht="14.25" x14ac:dyDescent="0.45">
      <c r="A2297" s="86">
        <f ca="1"/>
        <v>4</v>
      </c>
      <c r="B2297" s="86" t="str">
        <f ca="1"/>
        <v>D115</v>
      </c>
      <c r="C2297" s="86" t="str">
        <f t="shared" ca="1" si="501"/>
        <v>ABDULLA M HAKEEM</v>
      </c>
      <c r="D2297" s="86" t="str">
        <f t="shared" ca="1" si="502"/>
        <v>DAHF</v>
      </c>
      <c r="E2297" s="86">
        <f t="shared" ca="1" si="503"/>
        <v>8</v>
      </c>
    </row>
    <row r="2298" spans="1:8" ht="14.25" x14ac:dyDescent="0.45">
      <c r="A2298" s="86">
        <f ca="1"/>
        <v>5</v>
      </c>
      <c r="B2298" s="86" t="str">
        <f ca="1"/>
        <v>D181</v>
      </c>
      <c r="C2298" s="86" t="str">
        <f t="shared" ca="1" si="501"/>
        <v>MUHAMMED SAJJAD</v>
      </c>
      <c r="D2298" s="86" t="str">
        <f t="shared" ca="1" si="502"/>
        <v>DAHF</v>
      </c>
      <c r="E2298" s="86">
        <f t="shared" ca="1" si="503"/>
        <v>10</v>
      </c>
    </row>
    <row r="2299" spans="1:8" ht="14.25" x14ac:dyDescent="0.45">
      <c r="A2299" s="86">
        <f ca="1"/>
        <v>6</v>
      </c>
      <c r="B2299" s="86" t="str">
        <f ca="1"/>
        <v>D196</v>
      </c>
      <c r="C2299" s="86" t="str">
        <f t="shared" ca="1" si="501"/>
        <v>ABDUL VAJID K</v>
      </c>
      <c r="D2299" s="86" t="str">
        <f t="shared" ca="1" si="502"/>
        <v>DAHF</v>
      </c>
      <c r="E2299" s="86">
        <f t="shared" ca="1" si="503"/>
        <v>10</v>
      </c>
    </row>
    <row r="2300" spans="1:8" ht="14.25" x14ac:dyDescent="0.45">
      <c r="A2300" s="86">
        <f ca="1"/>
        <v>7</v>
      </c>
      <c r="B2300" s="86" t="str">
        <f ca="1"/>
        <v>D126</v>
      </c>
      <c r="C2300" s="86" t="str">
        <f t="shared" ca="1" si="501"/>
        <v>MUHAMMED MIDHLAJ KK</v>
      </c>
      <c r="D2300" s="86" t="str">
        <f t="shared" ca="1" si="502"/>
        <v>BADF</v>
      </c>
      <c r="E2300" s="86">
        <f t="shared" ca="1" si="503"/>
        <v>8</v>
      </c>
    </row>
    <row r="2301" spans="1:8" ht="14.25" x14ac:dyDescent="0.45">
      <c r="A2301" s="86">
        <f ca="1"/>
        <v>8</v>
      </c>
      <c r="B2301" s="86" t="str">
        <f ca="1"/>
        <v>D129</v>
      </c>
      <c r="C2301" s="86" t="str">
        <f t="shared" ca="1" si="501"/>
        <v>MUHAMMED UNAIS CK</v>
      </c>
      <c r="D2301" s="86" t="str">
        <f t="shared" ca="1" si="502"/>
        <v>BADF</v>
      </c>
      <c r="E2301" s="86">
        <f t="shared" ca="1" si="503"/>
        <v>8</v>
      </c>
    </row>
    <row r="2302" spans="1:8" ht="14.25" x14ac:dyDescent="0.45">
      <c r="A2302" s="86">
        <f ca="1"/>
        <v>9</v>
      </c>
      <c r="B2302" s="86" t="str">
        <f ca="1"/>
        <v>D173</v>
      </c>
      <c r="C2302" s="86" t="str">
        <f t="shared" ca="1" si="501"/>
        <v>ABOOBACKER SIDDIK</v>
      </c>
      <c r="D2302" s="86" t="str">
        <f t="shared" ca="1" si="502"/>
        <v>BADF</v>
      </c>
      <c r="E2302" s="86">
        <f t="shared" ca="1" si="503"/>
        <v>10</v>
      </c>
    </row>
    <row r="2303" spans="1:8" ht="14.25" x14ac:dyDescent="0.45">
      <c r="A2303" s="86">
        <f ca="1"/>
        <v>10</v>
      </c>
      <c r="B2303" s="86" t="str">
        <f ca="1"/>
        <v>D113</v>
      </c>
      <c r="C2303" s="86" t="str">
        <f t="shared" ca="1" si="501"/>
        <v>ZULFIKARALI</v>
      </c>
      <c r="D2303" s="86" t="str">
        <f t="shared" ca="1" si="502"/>
        <v>JARF</v>
      </c>
      <c r="E2303" s="86">
        <f t="shared" ca="1" si="503"/>
        <v>8</v>
      </c>
    </row>
    <row r="2304" spans="1:8" ht="14.25" x14ac:dyDescent="0.45">
      <c r="A2304" s="86">
        <f ca="1"/>
        <v>11</v>
      </c>
      <c r="B2304" s="86" t="str">
        <f ca="1"/>
        <v>D136</v>
      </c>
      <c r="C2304" s="86" t="str">
        <f t="shared" ca="1" si="501"/>
        <v>MUHAMMED ASBAQUE</v>
      </c>
      <c r="D2304" s="86" t="str">
        <f t="shared" ca="1" si="502"/>
        <v>JARF</v>
      </c>
      <c r="E2304" s="86">
        <f t="shared" ca="1" si="503"/>
        <v>9</v>
      </c>
    </row>
    <row r="2305" spans="1:8" ht="14.25" x14ac:dyDescent="0.45">
      <c r="A2305" s="86">
        <f ca="1"/>
        <v>12</v>
      </c>
      <c r="B2305" s="86" t="str">
        <f ca="1"/>
        <v>D170</v>
      </c>
      <c r="C2305" s="86" t="str">
        <f t="shared" ca="1" si="501"/>
        <v>AHMED ADIL B.K</v>
      </c>
      <c r="D2305" s="86" t="str">
        <f t="shared" ca="1" si="502"/>
        <v>JARF</v>
      </c>
      <c r="E2305" s="86">
        <f t="shared" ca="1" si="503"/>
        <v>10</v>
      </c>
    </row>
    <row r="2306" spans="1:8" ht="14.25" x14ac:dyDescent="0.45">
      <c r="A2306" s="84" t="s">
        <v>385</v>
      </c>
      <c r="B2306" s="84" t="str">
        <f>VLOOKUP("SS29",f_detailsof_programs,2,FALSE)</f>
        <v>DOCUMENTARY NARRATION ARB</v>
      </c>
      <c r="C2306" s="84"/>
      <c r="D2306" s="84" t="s">
        <v>688</v>
      </c>
      <c r="E2306" s="84" t="s">
        <v>486</v>
      </c>
      <c r="F2306" s="84"/>
      <c r="G2306" s="84"/>
      <c r="H2306" s="84"/>
    </row>
    <row r="2307" spans="1:8" ht="14.25" x14ac:dyDescent="0.45">
      <c r="A2307" s="85" t="s">
        <v>16</v>
      </c>
      <c r="B2307" s="85" t="s">
        <v>480</v>
      </c>
      <c r="C2307" s="85" t="s">
        <v>18</v>
      </c>
      <c r="D2307" s="85" t="s">
        <v>481</v>
      </c>
      <c r="E2307" s="85" t="s">
        <v>19</v>
      </c>
      <c r="F2307" s="85" t="s">
        <v>482</v>
      </c>
      <c r="G2307" s="85" t="s">
        <v>483</v>
      </c>
      <c r="H2307" s="85" t="s">
        <v>484</v>
      </c>
    </row>
    <row r="2308" spans="1:8" ht="14.25" x14ac:dyDescent="0.45">
      <c r="A2308" s="86" cm="1">
        <f t="array" aca="1" ref="A2308:A2315" ca="1">_xlfn.SEQUENCE(COUNTA(_xlfn.LET(_xlpm.trimmed,OFFSET(f_listof_program_candidates,MATCH("SS29",f_listof_program_codes,0)-1,6,1,),TRANSPOSE(_xlfn._xlws.FILTER(OFFSET(_xlpm.trimmed,0,0,,COUNTA(_xlpm.trimmed)-5),OFFSET(_xlpm.trimmed,0,0,,COUNTA(_xlpm.trimmed)-5)&lt;&gt;0)))))</f>
        <v>1</v>
      </c>
      <c r="B2308" s="86" t="str" cm="1">
        <f t="array" aca="1" ref="B2308:B2315" ca="1">_xlfn.LET(_xlpm.trimmed,OFFSET(f_listof_program_candidates,MATCH("SS29",f_listof_program_codes,0)-1,6,1,),TRANSPOSE(_xlfn._xlws.FILTER(OFFSET(_xlpm.trimmed,0,0,,COUNTA(_xlpm.trimmed)-5),OFFSET(_xlpm.trimmed,0,0,,COUNTA(_xlpm.trimmed)-5)&lt;&gt;0)))</f>
        <v>D177</v>
      </c>
      <c r="C2308" s="86" t="str">
        <f t="shared" ref="C2308:C2315" ca="1" si="504">VLOOKUP(B2308,f_detailsof_candidates,2,FALSE)</f>
        <v>SHAMEEM ABDULLA P.S</v>
      </c>
      <c r="D2308" s="86" t="str">
        <f t="shared" ref="D2308:D2315" ca="1" si="505">VLOOKUP(B2308,f_detailsof_candidates,3,FALSE)</f>
        <v>FANT</v>
      </c>
      <c r="E2308" s="86">
        <f t="shared" ref="E2308:E2315" ca="1" si="506">VLOOKUP(B2308,f_detailsof_candidates,5,FALSE)</f>
        <v>10</v>
      </c>
    </row>
    <row r="2309" spans="1:8" ht="14.25" x14ac:dyDescent="0.45">
      <c r="A2309" s="86">
        <f ca="1"/>
        <v>2</v>
      </c>
      <c r="B2309" s="86" t="str">
        <f ca="1"/>
        <v>D180</v>
      </c>
      <c r="C2309" s="86" t="str">
        <f t="shared" ca="1" si="504"/>
        <v>ATHIF ABDULKHADER</v>
      </c>
      <c r="D2309" s="86" t="str">
        <f t="shared" ca="1" si="505"/>
        <v>FANT</v>
      </c>
      <c r="E2309" s="86">
        <f t="shared" ca="1" si="506"/>
        <v>10</v>
      </c>
    </row>
    <row r="2310" spans="1:8" ht="14.25" x14ac:dyDescent="0.45">
      <c r="A2310" s="86">
        <f ca="1"/>
        <v>3</v>
      </c>
      <c r="B2310" s="86" t="str">
        <f ca="1"/>
        <v>D140</v>
      </c>
      <c r="C2310" s="86" t="str">
        <f t="shared" ca="1" si="504"/>
        <v>MUHAMMED FAISAL A K</v>
      </c>
      <c r="D2310" s="86" t="str">
        <f t="shared" ca="1" si="505"/>
        <v>DAHF</v>
      </c>
      <c r="E2310" s="86">
        <f t="shared" ca="1" si="506"/>
        <v>9</v>
      </c>
    </row>
    <row r="2311" spans="1:8" ht="14.25" x14ac:dyDescent="0.45">
      <c r="A2311" s="86">
        <f ca="1"/>
        <v>4</v>
      </c>
      <c r="B2311" s="86" t="str">
        <f ca="1"/>
        <v>D166</v>
      </c>
      <c r="C2311" s="86" t="str">
        <f t="shared" ca="1" si="504"/>
        <v>MOHAMMED IRFAN C</v>
      </c>
      <c r="D2311" s="86" t="str">
        <f t="shared" ca="1" si="505"/>
        <v>DAHF</v>
      </c>
      <c r="E2311" s="86">
        <f t="shared" ca="1" si="506"/>
        <v>9</v>
      </c>
    </row>
    <row r="2312" spans="1:8" ht="14.25" x14ac:dyDescent="0.45">
      <c r="A2312" s="86">
        <f ca="1"/>
        <v>5</v>
      </c>
      <c r="B2312" s="86" t="str">
        <f ca="1"/>
        <v>D110</v>
      </c>
      <c r="C2312" s="86" t="str">
        <f t="shared" ca="1" si="504"/>
        <v>ABBAS AZNAB M.A</v>
      </c>
      <c r="D2312" s="86" t="str">
        <f t="shared" ca="1" si="505"/>
        <v>BADF</v>
      </c>
      <c r="E2312" s="86">
        <f t="shared" ca="1" si="506"/>
        <v>8</v>
      </c>
    </row>
    <row r="2313" spans="1:8" ht="14.25" x14ac:dyDescent="0.45">
      <c r="A2313" s="86">
        <f ca="1"/>
        <v>6</v>
      </c>
      <c r="B2313" s="86" t="str">
        <f ca="1"/>
        <v>D178</v>
      </c>
      <c r="C2313" s="86" t="str">
        <f t="shared" ca="1" si="504"/>
        <v>AHMED BK</v>
      </c>
      <c r="D2313" s="86" t="str">
        <f t="shared" ca="1" si="505"/>
        <v>BADF</v>
      </c>
      <c r="E2313" s="86">
        <f t="shared" ca="1" si="506"/>
        <v>10</v>
      </c>
    </row>
    <row r="2314" spans="1:8" ht="14.25" x14ac:dyDescent="0.45">
      <c r="A2314" s="86">
        <f ca="1"/>
        <v>7</v>
      </c>
      <c r="B2314" s="86" t="str">
        <f ca="1"/>
        <v>D104</v>
      </c>
      <c r="C2314" s="86" t="str">
        <f t="shared" ca="1" si="504"/>
        <v>MUHAMMAD SHANEED.</v>
      </c>
      <c r="D2314" s="86" t="str">
        <f t="shared" ca="1" si="505"/>
        <v>JARF</v>
      </c>
      <c r="E2314" s="86">
        <f t="shared" ca="1" si="506"/>
        <v>8</v>
      </c>
    </row>
    <row r="2315" spans="1:8" ht="14.25" x14ac:dyDescent="0.45">
      <c r="A2315" s="86">
        <f ca="1"/>
        <v>8</v>
      </c>
      <c r="B2315" s="86" t="str">
        <f ca="1"/>
        <v>D149</v>
      </c>
      <c r="C2315" s="86" t="str">
        <f t="shared" ca="1" si="504"/>
        <v>MOHAMMED MARZOOK AM</v>
      </c>
      <c r="D2315" s="86" t="str">
        <f t="shared" ca="1" si="505"/>
        <v>JARF</v>
      </c>
      <c r="E2315" s="86">
        <f t="shared" ca="1" si="506"/>
        <v>9</v>
      </c>
    </row>
    <row r="2316" spans="1:8" ht="14.25" x14ac:dyDescent="0.45">
      <c r="A2316" s="84" t="s">
        <v>387</v>
      </c>
      <c r="B2316" s="84" t="str">
        <f>VLOOKUP("SS30",f_detailsof_programs,2,FALSE)</f>
        <v>EXTEMPORE SPEECH ARB</v>
      </c>
      <c r="C2316" s="84"/>
      <c r="D2316" s="84" t="s">
        <v>688</v>
      </c>
      <c r="E2316" s="84" t="s">
        <v>485</v>
      </c>
      <c r="F2316" s="84"/>
      <c r="G2316" s="84"/>
      <c r="H2316" s="84"/>
    </row>
    <row r="2317" spans="1:8" ht="14.25" x14ac:dyDescent="0.45">
      <c r="A2317" s="85" t="s">
        <v>16</v>
      </c>
      <c r="B2317" s="85" t="s">
        <v>480</v>
      </c>
      <c r="C2317" s="85" t="s">
        <v>18</v>
      </c>
      <c r="D2317" s="85" t="s">
        <v>481</v>
      </c>
      <c r="E2317" s="85" t="s">
        <v>19</v>
      </c>
      <c r="F2317" s="85" t="s">
        <v>482</v>
      </c>
      <c r="G2317" s="85" t="s">
        <v>483</v>
      </c>
      <c r="H2317" s="85" t="s">
        <v>484</v>
      </c>
    </row>
    <row r="2318" spans="1:8" ht="14.25" x14ac:dyDescent="0.45">
      <c r="A2318" s="86" cm="1">
        <f t="array" aca="1" ref="A2318:A2329" ca="1">_xlfn.SEQUENCE(COUNTA(_xlfn.LET(_xlpm.trimmed,OFFSET(f_listof_program_candidates,MATCH("SS30",f_listof_program_codes,0)-1,6,1,),TRANSPOSE(_xlfn._xlws.FILTER(OFFSET(_xlpm.trimmed,0,0,,COUNTA(_xlpm.trimmed)-5),OFFSET(_xlpm.trimmed,0,0,,COUNTA(_xlpm.trimmed)-5)&lt;&gt;0)))))</f>
        <v>1</v>
      </c>
      <c r="B2318" s="86" t="str" cm="1">
        <f t="array" aca="1" ref="B2318:B2329" ca="1">_xlfn.LET(_xlpm.trimmed,OFFSET(f_listof_program_candidates,MATCH("SS30",f_listof_program_codes,0)-1,6,1,),TRANSPOSE(_xlfn._xlws.FILTER(OFFSET(_xlpm.trimmed,0,0,,COUNTA(_xlpm.trimmed)-5),OFFSET(_xlpm.trimmed,0,0,,COUNTA(_xlpm.trimmed)-5)&lt;&gt;0)))</f>
        <v>D177</v>
      </c>
      <c r="C2318" s="86" t="str">
        <f t="shared" ref="C2318:C2329" ca="1" si="507">VLOOKUP(B2318,f_detailsof_candidates,2,FALSE)</f>
        <v>SHAMEEM ABDULLA P.S</v>
      </c>
      <c r="D2318" s="86" t="str">
        <f t="shared" ref="D2318:D2329" ca="1" si="508">VLOOKUP(B2318,f_detailsof_candidates,3,FALSE)</f>
        <v>FANT</v>
      </c>
      <c r="E2318" s="86">
        <f t="shared" ref="E2318:E2329" ca="1" si="509">VLOOKUP(B2318,f_detailsof_candidates,5,FALSE)</f>
        <v>10</v>
      </c>
    </row>
    <row r="2319" spans="1:8" ht="14.25" x14ac:dyDescent="0.45">
      <c r="A2319" s="86">
        <f ca="1"/>
        <v>2</v>
      </c>
      <c r="B2319" s="86" t="str">
        <f ca="1"/>
        <v>D142</v>
      </c>
      <c r="C2319" s="86" t="str">
        <f t="shared" ca="1" si="507"/>
        <v>ISHAM V.K</v>
      </c>
      <c r="D2319" s="86" t="str">
        <f t="shared" ca="1" si="508"/>
        <v>FANT</v>
      </c>
      <c r="E2319" s="86">
        <f t="shared" ca="1" si="509"/>
        <v>9</v>
      </c>
    </row>
    <row r="2320" spans="1:8" ht="14.25" x14ac:dyDescent="0.45">
      <c r="A2320" s="86">
        <f ca="1"/>
        <v>3</v>
      </c>
      <c r="B2320" s="86" t="str">
        <f ca="1"/>
        <v>D198</v>
      </c>
      <c r="C2320" s="86" t="str">
        <f t="shared" ca="1" si="507"/>
        <v>MUHAMMED SAFWAN</v>
      </c>
      <c r="D2320" s="86" t="str">
        <f t="shared" ca="1" si="508"/>
        <v>FANT</v>
      </c>
      <c r="E2320" s="86">
        <f t="shared" ca="1" si="509"/>
        <v>10</v>
      </c>
    </row>
    <row r="2321" spans="1:8" ht="14.25" x14ac:dyDescent="0.45">
      <c r="A2321" s="86">
        <f ca="1"/>
        <v>4</v>
      </c>
      <c r="B2321" s="86" t="str">
        <f ca="1"/>
        <v>D106</v>
      </c>
      <c r="C2321" s="86" t="str">
        <f t="shared" ca="1" si="507"/>
        <v>MOHAMMED SHAMMAS S.I</v>
      </c>
      <c r="D2321" s="86" t="str">
        <f t="shared" ca="1" si="508"/>
        <v>DAHF</v>
      </c>
      <c r="E2321" s="86">
        <f t="shared" ca="1" si="509"/>
        <v>8</v>
      </c>
    </row>
    <row r="2322" spans="1:8" ht="14.25" x14ac:dyDescent="0.45">
      <c r="A2322" s="86">
        <f ca="1"/>
        <v>5</v>
      </c>
      <c r="B2322" s="86" t="str">
        <f ca="1"/>
        <v>D107</v>
      </c>
      <c r="C2322" s="86" t="str">
        <f t="shared" ca="1" si="507"/>
        <v>AHMMED HASHIM M</v>
      </c>
      <c r="D2322" s="86" t="str">
        <f t="shared" ca="1" si="508"/>
        <v>DAHF</v>
      </c>
      <c r="E2322" s="86">
        <f t="shared" ca="1" si="509"/>
        <v>8</v>
      </c>
    </row>
    <row r="2323" spans="1:8" ht="14.25" x14ac:dyDescent="0.45">
      <c r="A2323" s="86">
        <f ca="1"/>
        <v>6</v>
      </c>
      <c r="B2323" s="86" t="str">
        <f ca="1"/>
        <v>D140</v>
      </c>
      <c r="C2323" s="86" t="str">
        <f t="shared" ca="1" si="507"/>
        <v>MUHAMMED FAISAL A K</v>
      </c>
      <c r="D2323" s="86" t="str">
        <f t="shared" ca="1" si="508"/>
        <v>DAHF</v>
      </c>
      <c r="E2323" s="86">
        <f t="shared" ca="1" si="509"/>
        <v>9</v>
      </c>
    </row>
    <row r="2324" spans="1:8" ht="14.25" x14ac:dyDescent="0.45">
      <c r="A2324" s="86">
        <f ca="1"/>
        <v>7</v>
      </c>
      <c r="B2324" s="86" t="str">
        <f ca="1"/>
        <v>D119</v>
      </c>
      <c r="C2324" s="86" t="str">
        <f t="shared" ca="1" si="507"/>
        <v>ABU THAHIR</v>
      </c>
      <c r="D2324" s="86" t="str">
        <f t="shared" ca="1" si="508"/>
        <v>BADF</v>
      </c>
      <c r="E2324" s="86">
        <f t="shared" ca="1" si="509"/>
        <v>8</v>
      </c>
    </row>
    <row r="2325" spans="1:8" ht="14.25" x14ac:dyDescent="0.45">
      <c r="A2325" s="86">
        <f ca="1"/>
        <v>8</v>
      </c>
      <c r="B2325" s="86" t="str">
        <f ca="1"/>
        <v>D162</v>
      </c>
      <c r="C2325" s="86" t="str">
        <f t="shared" ca="1" si="507"/>
        <v>ABDURAHMAN P.H</v>
      </c>
      <c r="D2325" s="86" t="str">
        <f t="shared" ca="1" si="508"/>
        <v>BADF</v>
      </c>
      <c r="E2325" s="86">
        <f t="shared" ca="1" si="509"/>
        <v>9</v>
      </c>
    </row>
    <row r="2326" spans="1:8" ht="14.25" x14ac:dyDescent="0.45">
      <c r="A2326" s="86">
        <f ca="1"/>
        <v>9</v>
      </c>
      <c r="B2326" s="86" t="str">
        <f ca="1"/>
        <v>D178</v>
      </c>
      <c r="C2326" s="86" t="str">
        <f t="shared" ca="1" si="507"/>
        <v>AHMED BK</v>
      </c>
      <c r="D2326" s="86" t="str">
        <f t="shared" ca="1" si="508"/>
        <v>BADF</v>
      </c>
      <c r="E2326" s="86">
        <f t="shared" ca="1" si="509"/>
        <v>10</v>
      </c>
    </row>
    <row r="2327" spans="1:8" ht="14.25" x14ac:dyDescent="0.45">
      <c r="A2327" s="86">
        <f ca="1"/>
        <v>10</v>
      </c>
      <c r="B2327" s="86" t="str">
        <f ca="1"/>
        <v>D104</v>
      </c>
      <c r="C2327" s="86" t="str">
        <f t="shared" ca="1" si="507"/>
        <v>MUHAMMAD SHANEED.</v>
      </c>
      <c r="D2327" s="86" t="str">
        <f t="shared" ca="1" si="508"/>
        <v>JARF</v>
      </c>
      <c r="E2327" s="86">
        <f t="shared" ca="1" si="509"/>
        <v>8</v>
      </c>
    </row>
    <row r="2328" spans="1:8" ht="14.25" x14ac:dyDescent="0.45">
      <c r="A2328" s="86">
        <f ca="1"/>
        <v>11</v>
      </c>
      <c r="B2328" s="86" t="str">
        <f ca="1"/>
        <v>D149</v>
      </c>
      <c r="C2328" s="86" t="str">
        <f t="shared" ca="1" si="507"/>
        <v>MOHAMMED MARZOOK AM</v>
      </c>
      <c r="D2328" s="86" t="str">
        <f t="shared" ca="1" si="508"/>
        <v>JARF</v>
      </c>
      <c r="E2328" s="86">
        <f t="shared" ca="1" si="509"/>
        <v>9</v>
      </c>
    </row>
    <row r="2329" spans="1:8" ht="14.25" x14ac:dyDescent="0.45">
      <c r="A2329" s="86">
        <f ca="1"/>
        <v>12</v>
      </c>
      <c r="B2329" s="86" t="str">
        <f ca="1"/>
        <v>D193</v>
      </c>
      <c r="C2329" s="86" t="str">
        <f t="shared" ca="1" si="507"/>
        <v>MUHAMMED ABDUL GHANI M.A</v>
      </c>
      <c r="D2329" s="86" t="str">
        <f t="shared" ca="1" si="508"/>
        <v>JARF</v>
      </c>
      <c r="E2329" s="86">
        <f t="shared" ca="1" si="509"/>
        <v>10</v>
      </c>
    </row>
    <row r="2330" spans="1:8" ht="14.25" x14ac:dyDescent="0.45">
      <c r="A2330" s="84" t="s">
        <v>389</v>
      </c>
      <c r="B2330" s="84" t="str">
        <f>VLOOKUP("SS31",f_detailsof_programs,2,FALSE)</f>
        <v>GD ENG</v>
      </c>
      <c r="C2330" s="84"/>
      <c r="D2330" s="84" t="s">
        <v>688</v>
      </c>
      <c r="E2330" s="84" t="s">
        <v>485</v>
      </c>
      <c r="F2330" s="84"/>
      <c r="G2330" s="84"/>
      <c r="H2330" s="84"/>
    </row>
    <row r="2331" spans="1:8" ht="14.25" x14ac:dyDescent="0.45">
      <c r="A2331" s="85" t="s">
        <v>16</v>
      </c>
      <c r="B2331" s="85" t="s">
        <v>480</v>
      </c>
      <c r="C2331" s="85" t="s">
        <v>18</v>
      </c>
      <c r="D2331" s="85" t="s">
        <v>481</v>
      </c>
      <c r="E2331" s="85" t="s">
        <v>19</v>
      </c>
      <c r="F2331" s="85" t="s">
        <v>482</v>
      </c>
      <c r="G2331" s="85" t="s">
        <v>483</v>
      </c>
      <c r="H2331" s="85" t="s">
        <v>484</v>
      </c>
    </row>
    <row r="2332" spans="1:8" ht="14.25" x14ac:dyDescent="0.45">
      <c r="A2332" s="86" cm="1">
        <f t="array" aca="1" ref="A2332:A2343" ca="1">_xlfn.SEQUENCE(COUNTA(_xlfn.LET(_xlpm.trimmed,OFFSET(f_listof_program_candidates,MATCH("SS31",f_listof_program_codes,0)-1,6,1,),TRANSPOSE(_xlfn._xlws.FILTER(OFFSET(_xlpm.trimmed,0,0,,COUNTA(_xlpm.trimmed)-5),OFFSET(_xlpm.trimmed,0,0,,COUNTA(_xlpm.trimmed)-5)&lt;&gt;0)))))</f>
        <v>1</v>
      </c>
      <c r="B2332" s="86" t="str" cm="1">
        <f t="array" aca="1" ref="B2332:B2343" ca="1">_xlfn.LET(_xlpm.trimmed,OFFSET(f_listof_program_candidates,MATCH("SS31",f_listof_program_codes,0)-1,6,1,),TRANSPOSE(_xlfn._xlws.FILTER(OFFSET(_xlpm.trimmed,0,0,,COUNTA(_xlpm.trimmed)-5),OFFSET(_xlpm.trimmed,0,0,,COUNTA(_xlpm.trimmed)-5)&lt;&gt;0)))</f>
        <v>D132</v>
      </c>
      <c r="C2332" s="86" t="str">
        <f t="shared" ref="C2332:C2343" ca="1" si="510">VLOOKUP(B2332,f_detailsof_candidates,2,FALSE)</f>
        <v>ABOOBAKR MA'ROOF</v>
      </c>
      <c r="D2332" s="86" t="str">
        <f t="shared" ref="D2332:D2343" ca="1" si="511">VLOOKUP(B2332,f_detailsof_candidates,3,FALSE)</f>
        <v>FANT</v>
      </c>
      <c r="E2332" s="86">
        <f t="shared" ref="E2332:E2343" ca="1" si="512">VLOOKUP(B2332,f_detailsof_candidates,5,FALSE)</f>
        <v>9</v>
      </c>
    </row>
    <row r="2333" spans="1:8" ht="14.25" x14ac:dyDescent="0.45">
      <c r="A2333" s="86">
        <f ca="1"/>
        <v>2</v>
      </c>
      <c r="B2333" s="86" t="str">
        <f ca="1"/>
        <v>D165</v>
      </c>
      <c r="C2333" s="86" t="str">
        <f t="shared" ca="1" si="510"/>
        <v>AJMAL KI</v>
      </c>
      <c r="D2333" s="86" t="str">
        <f t="shared" ca="1" si="511"/>
        <v>FANT</v>
      </c>
      <c r="E2333" s="86">
        <f t="shared" ca="1" si="512"/>
        <v>9</v>
      </c>
    </row>
    <row r="2334" spans="1:8" ht="14.25" x14ac:dyDescent="0.45">
      <c r="A2334" s="86">
        <f ca="1"/>
        <v>3</v>
      </c>
      <c r="B2334" s="86" t="str">
        <f ca="1"/>
        <v>D177</v>
      </c>
      <c r="C2334" s="86" t="str">
        <f t="shared" ca="1" si="510"/>
        <v>SHAMEEM ABDULLA P.S</v>
      </c>
      <c r="D2334" s="86" t="str">
        <f t="shared" ca="1" si="511"/>
        <v>FANT</v>
      </c>
      <c r="E2334" s="86">
        <f t="shared" ca="1" si="512"/>
        <v>10</v>
      </c>
    </row>
    <row r="2335" spans="1:8" ht="14.25" x14ac:dyDescent="0.45">
      <c r="A2335" s="86">
        <f ca="1"/>
        <v>4</v>
      </c>
      <c r="B2335" s="86" t="str">
        <f ca="1"/>
        <v>D125</v>
      </c>
      <c r="C2335" s="86" t="str">
        <f t="shared" ca="1" si="510"/>
        <v>SAYYAD MOHAMMED VASIL</v>
      </c>
      <c r="D2335" s="86" t="str">
        <f t="shared" ca="1" si="511"/>
        <v>DAHF</v>
      </c>
      <c r="E2335" s="86">
        <f t="shared" ca="1" si="512"/>
        <v>8</v>
      </c>
    </row>
    <row r="2336" spans="1:8" ht="14.25" x14ac:dyDescent="0.45">
      <c r="A2336" s="86">
        <f ca="1"/>
        <v>5</v>
      </c>
      <c r="B2336" s="86" t="str">
        <f ca="1"/>
        <v>D150</v>
      </c>
      <c r="C2336" s="86" t="str">
        <f t="shared" ca="1" si="510"/>
        <v>ABDUL KHADER</v>
      </c>
      <c r="D2336" s="86" t="str">
        <f t="shared" ca="1" si="511"/>
        <v>DAHF</v>
      </c>
      <c r="E2336" s="86">
        <f t="shared" ca="1" si="512"/>
        <v>9</v>
      </c>
    </row>
    <row r="2337" spans="1:8" ht="14.25" x14ac:dyDescent="0.45">
      <c r="A2337" s="86">
        <f ca="1"/>
        <v>6</v>
      </c>
      <c r="B2337" s="86" t="str">
        <f ca="1"/>
        <v>D108</v>
      </c>
      <c r="C2337" s="86" t="str">
        <f t="shared" ca="1" si="510"/>
        <v>MOHAMMED HASHIR</v>
      </c>
      <c r="D2337" s="86" t="str">
        <f t="shared" ca="1" si="511"/>
        <v>DAHF</v>
      </c>
      <c r="E2337" s="86">
        <f t="shared" ca="1" si="512"/>
        <v>8</v>
      </c>
    </row>
    <row r="2338" spans="1:8" ht="14.25" x14ac:dyDescent="0.45">
      <c r="A2338" s="86">
        <f ca="1"/>
        <v>7</v>
      </c>
      <c r="B2338" s="86" t="str">
        <f ca="1"/>
        <v>D118</v>
      </c>
      <c r="C2338" s="86" t="str">
        <f t="shared" ca="1" si="510"/>
        <v>MOHAMMAD KHALANDAR ZIYAD</v>
      </c>
      <c r="D2338" s="86" t="str">
        <f t="shared" ca="1" si="511"/>
        <v>BADF</v>
      </c>
      <c r="E2338" s="86">
        <f t="shared" ca="1" si="512"/>
        <v>8</v>
      </c>
    </row>
    <row r="2339" spans="1:8" ht="14.25" x14ac:dyDescent="0.45">
      <c r="A2339" s="86">
        <f ca="1"/>
        <v>8</v>
      </c>
      <c r="B2339" s="86" t="str">
        <f ca="1"/>
        <v>D109</v>
      </c>
      <c r="C2339" s="86" t="str">
        <f t="shared" ca="1" si="510"/>
        <v>AHAMMED AJEER</v>
      </c>
      <c r="D2339" s="86" t="str">
        <f t="shared" ca="1" si="511"/>
        <v>BADF</v>
      </c>
      <c r="E2339" s="86">
        <f t="shared" ca="1" si="512"/>
        <v>8</v>
      </c>
    </row>
    <row r="2340" spans="1:8" ht="14.25" x14ac:dyDescent="0.45">
      <c r="A2340" s="86">
        <f ca="1"/>
        <v>9</v>
      </c>
      <c r="B2340" s="86" t="str">
        <f ca="1"/>
        <v>D195</v>
      </c>
      <c r="C2340" s="86" t="str">
        <f t="shared" ca="1" si="510"/>
        <v>AHMED SWALAHUDHEEN PI</v>
      </c>
      <c r="D2340" s="86" t="str">
        <f t="shared" ca="1" si="511"/>
        <v>BADF</v>
      </c>
      <c r="E2340" s="86">
        <f t="shared" ca="1" si="512"/>
        <v>10</v>
      </c>
    </row>
    <row r="2341" spans="1:8" ht="14.25" x14ac:dyDescent="0.45">
      <c r="A2341" s="86">
        <f ca="1"/>
        <v>10</v>
      </c>
      <c r="B2341" s="86" t="str">
        <f ca="1"/>
        <v>D111</v>
      </c>
      <c r="C2341" s="86" t="str">
        <f t="shared" ca="1" si="510"/>
        <v>MAHAMMED SHAMEEL</v>
      </c>
      <c r="D2341" s="86" t="str">
        <f t="shared" ca="1" si="511"/>
        <v>JARF</v>
      </c>
      <c r="E2341" s="86">
        <f t="shared" ca="1" si="512"/>
        <v>8</v>
      </c>
    </row>
    <row r="2342" spans="1:8" ht="14.25" x14ac:dyDescent="0.45">
      <c r="A2342" s="86">
        <f ca="1"/>
        <v>11</v>
      </c>
      <c r="B2342" s="86" t="str">
        <f ca="1"/>
        <v>D116</v>
      </c>
      <c r="C2342" s="86" t="str">
        <f t="shared" ca="1" si="510"/>
        <v>HASSAN SHADDAD UM</v>
      </c>
      <c r="D2342" s="86" t="str">
        <f t="shared" ca="1" si="511"/>
        <v>JARF</v>
      </c>
      <c r="E2342" s="86">
        <f t="shared" ca="1" si="512"/>
        <v>8</v>
      </c>
    </row>
    <row r="2343" spans="1:8" ht="14.25" x14ac:dyDescent="0.45">
      <c r="A2343" s="86">
        <f ca="1"/>
        <v>12</v>
      </c>
      <c r="B2343" s="86" t="str">
        <f ca="1"/>
        <v>D144</v>
      </c>
      <c r="C2343" s="86" t="str">
        <f t="shared" ca="1" si="510"/>
        <v>MUHAMMED RASHAD KA</v>
      </c>
      <c r="D2343" s="86" t="str">
        <f t="shared" ca="1" si="511"/>
        <v>JARF</v>
      </c>
      <c r="E2343" s="86">
        <f t="shared" ca="1" si="512"/>
        <v>9</v>
      </c>
    </row>
    <row r="2344" spans="1:8" ht="14.25" x14ac:dyDescent="0.45">
      <c r="A2344" s="84" t="s">
        <v>391</v>
      </c>
      <c r="B2344" s="84" t="str">
        <f>VLOOKUP("SS32",f_detailsof_programs,2,FALSE)</f>
        <v>GD URD</v>
      </c>
      <c r="C2344" s="84"/>
      <c r="D2344" s="84" t="s">
        <v>688</v>
      </c>
      <c r="E2344" s="84" t="s">
        <v>485</v>
      </c>
      <c r="F2344" s="84"/>
      <c r="G2344" s="84"/>
      <c r="H2344" s="84"/>
    </row>
    <row r="2345" spans="1:8" ht="14.25" x14ac:dyDescent="0.45">
      <c r="A2345" s="85" t="s">
        <v>16</v>
      </c>
      <c r="B2345" s="85" t="s">
        <v>480</v>
      </c>
      <c r="C2345" s="85" t="s">
        <v>18</v>
      </c>
      <c r="D2345" s="85" t="s">
        <v>481</v>
      </c>
      <c r="E2345" s="85" t="s">
        <v>19</v>
      </c>
      <c r="F2345" s="85" t="s">
        <v>482</v>
      </c>
      <c r="G2345" s="85" t="s">
        <v>483</v>
      </c>
      <c r="H2345" s="85" t="s">
        <v>484</v>
      </c>
    </row>
    <row r="2346" spans="1:8" ht="14.25" x14ac:dyDescent="0.45">
      <c r="A2346" s="86" cm="1">
        <f t="array" aca="1" ref="A2346:A2357" ca="1">_xlfn.SEQUENCE(COUNTA(_xlfn.LET(_xlpm.trimmed,OFFSET(f_listof_program_candidates,MATCH("SS32",f_listof_program_codes,0)-1,6,1,),TRANSPOSE(_xlfn._xlws.FILTER(OFFSET(_xlpm.trimmed,0,0,,COUNTA(_xlpm.trimmed)-5),OFFSET(_xlpm.trimmed,0,0,,COUNTA(_xlpm.trimmed)-5)&lt;&gt;0)))))</f>
        <v>1</v>
      </c>
      <c r="B2346" s="86" t="str" cm="1">
        <f t="array" aca="1" ref="B2346:B2357" ca="1">_xlfn.LET(_xlpm.trimmed,OFFSET(f_listof_program_candidates,MATCH("SS32",f_listof_program_codes,0)-1,6,1,),TRANSPOSE(_xlfn._xlws.FILTER(OFFSET(_xlpm.trimmed,0,0,,COUNTA(_xlpm.trimmed)-5),OFFSET(_xlpm.trimmed,0,0,,COUNTA(_xlpm.trimmed)-5)&lt;&gt;0)))</f>
        <v>D112</v>
      </c>
      <c r="C2346" s="86" t="str">
        <f t="shared" ref="C2346:C2357" ca="1" si="513">VLOOKUP(B2346,f_detailsof_candidates,2,FALSE)</f>
        <v>AMEEN ABDULLA</v>
      </c>
      <c r="D2346" s="86" t="str">
        <f t="shared" ref="D2346:D2357" ca="1" si="514">VLOOKUP(B2346,f_detailsof_candidates,3,FALSE)</f>
        <v>FANT</v>
      </c>
      <c r="E2346" s="86">
        <f t="shared" ref="E2346:E2357" ca="1" si="515">VLOOKUP(B2346,f_detailsof_candidates,5,FALSE)</f>
        <v>8</v>
      </c>
    </row>
    <row r="2347" spans="1:8" ht="14.25" x14ac:dyDescent="0.45">
      <c r="A2347" s="86">
        <f ca="1"/>
        <v>2</v>
      </c>
      <c r="B2347" s="86" t="str">
        <f ca="1"/>
        <v>D128</v>
      </c>
      <c r="C2347" s="86" t="str">
        <f t="shared" ca="1" si="513"/>
        <v>MEHAZIN AMAN T</v>
      </c>
      <c r="D2347" s="86" t="str">
        <f t="shared" ca="1" si="514"/>
        <v>FANT</v>
      </c>
      <c r="E2347" s="86">
        <f t="shared" ca="1" si="515"/>
        <v>8</v>
      </c>
    </row>
    <row r="2348" spans="1:8" ht="14.25" x14ac:dyDescent="0.45">
      <c r="A2348" s="86">
        <f ca="1"/>
        <v>3</v>
      </c>
      <c r="B2348" s="86" t="str">
        <f ca="1"/>
        <v>D147</v>
      </c>
      <c r="C2348" s="86" t="str">
        <f t="shared" ca="1" si="513"/>
        <v>MOHAMMED SHAHZAN T.K</v>
      </c>
      <c r="D2348" s="86" t="str">
        <f t="shared" ca="1" si="514"/>
        <v>FANT</v>
      </c>
      <c r="E2348" s="86">
        <f t="shared" ca="1" si="515"/>
        <v>9</v>
      </c>
    </row>
    <row r="2349" spans="1:8" ht="14.25" x14ac:dyDescent="0.45">
      <c r="A2349" s="86">
        <f ca="1"/>
        <v>4</v>
      </c>
      <c r="B2349" s="86" t="str">
        <f ca="1"/>
        <v>D107</v>
      </c>
      <c r="C2349" s="86" t="str">
        <f t="shared" ca="1" si="513"/>
        <v>AHMMED HASHIM M</v>
      </c>
      <c r="D2349" s="86" t="str">
        <f t="shared" ca="1" si="514"/>
        <v>DAHF</v>
      </c>
      <c r="E2349" s="86">
        <f t="shared" ca="1" si="515"/>
        <v>8</v>
      </c>
    </row>
    <row r="2350" spans="1:8" ht="14.25" x14ac:dyDescent="0.45">
      <c r="A2350" s="86">
        <f ca="1"/>
        <v>5</v>
      </c>
      <c r="B2350" s="86" t="str">
        <f ca="1"/>
        <v>D187</v>
      </c>
      <c r="C2350" s="86" t="str">
        <f t="shared" ca="1" si="513"/>
        <v>ABDUL RAHMAN</v>
      </c>
      <c r="D2350" s="86" t="str">
        <f t="shared" ca="1" si="514"/>
        <v>DAHF</v>
      </c>
      <c r="E2350" s="86">
        <f t="shared" ca="1" si="515"/>
        <v>10</v>
      </c>
    </row>
    <row r="2351" spans="1:8" ht="14.25" x14ac:dyDescent="0.45">
      <c r="A2351" s="86">
        <f ca="1"/>
        <v>6</v>
      </c>
      <c r="B2351" s="86" t="str">
        <f ca="1"/>
        <v>D102</v>
      </c>
      <c r="C2351" s="86" t="str">
        <f t="shared" ca="1" si="513"/>
        <v>JALALUDHEEN K</v>
      </c>
      <c r="D2351" s="86" t="str">
        <f t="shared" ca="1" si="514"/>
        <v>DAHF</v>
      </c>
      <c r="E2351" s="86">
        <f t="shared" ca="1" si="515"/>
        <v>8</v>
      </c>
    </row>
    <row r="2352" spans="1:8" ht="14.25" x14ac:dyDescent="0.45">
      <c r="A2352" s="86">
        <f ca="1"/>
        <v>7</v>
      </c>
      <c r="B2352" s="86" t="str">
        <f ca="1"/>
        <v>D118</v>
      </c>
      <c r="C2352" s="86" t="str">
        <f t="shared" ca="1" si="513"/>
        <v>MOHAMMAD KHALANDAR ZIYAD</v>
      </c>
      <c r="D2352" s="86" t="str">
        <f t="shared" ca="1" si="514"/>
        <v>BADF</v>
      </c>
      <c r="E2352" s="86">
        <f t="shared" ca="1" si="515"/>
        <v>8</v>
      </c>
    </row>
    <row r="2353" spans="1:8" ht="14.25" x14ac:dyDescent="0.45">
      <c r="A2353" s="86">
        <f ca="1"/>
        <v>8</v>
      </c>
      <c r="B2353" s="86" t="str">
        <f ca="1"/>
        <v>D126</v>
      </c>
      <c r="C2353" s="86" t="str">
        <f t="shared" ca="1" si="513"/>
        <v>MUHAMMED MIDHLAJ KK</v>
      </c>
      <c r="D2353" s="86" t="str">
        <f t="shared" ca="1" si="514"/>
        <v>BADF</v>
      </c>
      <c r="E2353" s="86">
        <f t="shared" ca="1" si="515"/>
        <v>8</v>
      </c>
    </row>
    <row r="2354" spans="1:8" ht="14.25" x14ac:dyDescent="0.45">
      <c r="A2354" s="86">
        <f ca="1"/>
        <v>9</v>
      </c>
      <c r="B2354" s="86" t="str">
        <f ca="1"/>
        <v>D162</v>
      </c>
      <c r="C2354" s="86" t="str">
        <f t="shared" ca="1" si="513"/>
        <v>ABDURAHMAN P.H</v>
      </c>
      <c r="D2354" s="86" t="str">
        <f t="shared" ca="1" si="514"/>
        <v>BADF</v>
      </c>
      <c r="E2354" s="86">
        <f t="shared" ca="1" si="515"/>
        <v>9</v>
      </c>
    </row>
    <row r="2355" spans="1:8" ht="14.25" x14ac:dyDescent="0.45">
      <c r="A2355" s="86">
        <f ca="1"/>
        <v>10</v>
      </c>
      <c r="B2355" s="86" t="str">
        <f ca="1"/>
        <v>D104</v>
      </c>
      <c r="C2355" s="86" t="str">
        <f t="shared" ca="1" si="513"/>
        <v>MUHAMMAD SHANEED.</v>
      </c>
      <c r="D2355" s="86" t="str">
        <f t="shared" ca="1" si="514"/>
        <v>JARF</v>
      </c>
      <c r="E2355" s="86">
        <f t="shared" ca="1" si="515"/>
        <v>8</v>
      </c>
    </row>
    <row r="2356" spans="1:8" ht="14.25" x14ac:dyDescent="0.45">
      <c r="A2356" s="86">
        <f ca="1"/>
        <v>11</v>
      </c>
      <c r="B2356" s="86" t="str">
        <f ca="1"/>
        <v>D111</v>
      </c>
      <c r="C2356" s="86" t="str">
        <f t="shared" ca="1" si="513"/>
        <v>MAHAMMED SHAMEEL</v>
      </c>
      <c r="D2356" s="86" t="str">
        <f t="shared" ca="1" si="514"/>
        <v>JARF</v>
      </c>
      <c r="E2356" s="86">
        <f t="shared" ca="1" si="515"/>
        <v>8</v>
      </c>
    </row>
    <row r="2357" spans="1:8" ht="14.25" x14ac:dyDescent="0.45">
      <c r="A2357" s="86">
        <f ca="1"/>
        <v>12</v>
      </c>
      <c r="B2357" s="86" t="str">
        <f ca="1"/>
        <v>D164</v>
      </c>
      <c r="C2357" s="86" t="str">
        <f t="shared" ca="1" si="513"/>
        <v>AHMED SULTHAN</v>
      </c>
      <c r="D2357" s="86" t="str">
        <f t="shared" ca="1" si="514"/>
        <v>JARF</v>
      </c>
      <c r="E2357" s="86">
        <f t="shared" ca="1" si="515"/>
        <v>9</v>
      </c>
    </row>
    <row r="2358" spans="1:8" ht="14.25" x14ac:dyDescent="0.45">
      <c r="A2358" s="84" t="s">
        <v>393</v>
      </c>
      <c r="B2358" s="84" t="str">
        <f>VLOOKUP("SS33",f_detailsof_programs,2,FALSE)</f>
        <v>GENERAL SPEECH MLM</v>
      </c>
      <c r="C2358" s="84"/>
      <c r="D2358" s="84" t="s">
        <v>688</v>
      </c>
      <c r="E2358" s="84" t="s">
        <v>485</v>
      </c>
      <c r="F2358" s="84"/>
      <c r="G2358" s="84"/>
      <c r="H2358" s="84"/>
    </row>
    <row r="2359" spans="1:8" ht="14.25" x14ac:dyDescent="0.45">
      <c r="A2359" s="85" t="s">
        <v>16</v>
      </c>
      <c r="B2359" s="85" t="s">
        <v>480</v>
      </c>
      <c r="C2359" s="85" t="s">
        <v>18</v>
      </c>
      <c r="D2359" s="85" t="s">
        <v>481</v>
      </c>
      <c r="E2359" s="85" t="s">
        <v>19</v>
      </c>
      <c r="F2359" s="85" t="s">
        <v>482</v>
      </c>
      <c r="G2359" s="85" t="s">
        <v>483</v>
      </c>
      <c r="H2359" s="85" t="s">
        <v>484</v>
      </c>
    </row>
    <row r="2360" spans="1:8" ht="14.25" x14ac:dyDescent="0.45">
      <c r="A2360" s="86" cm="1">
        <f t="array" aca="1" ref="A2360:A2371" ca="1">_xlfn.SEQUENCE(COUNTA(_xlfn.LET(_xlpm.trimmed,OFFSET(f_listof_program_candidates,MATCH("SS33",f_listof_program_codes,0)-1,6,1,),TRANSPOSE(_xlfn._xlws.FILTER(OFFSET(_xlpm.trimmed,0,0,,COUNTA(_xlpm.trimmed)-5),OFFSET(_xlpm.trimmed,0,0,,COUNTA(_xlpm.trimmed)-5)&lt;&gt;0)))))</f>
        <v>1</v>
      </c>
      <c r="B2360" s="86" t="str" cm="1">
        <f t="array" aca="1" ref="B2360:B2371" ca="1">_xlfn.LET(_xlpm.trimmed,OFFSET(f_listof_program_candidates,MATCH("SS33",f_listof_program_codes,0)-1,6,1,),TRANSPOSE(_xlfn._xlws.FILTER(OFFSET(_xlpm.trimmed,0,0,,COUNTA(_xlpm.trimmed)-5),OFFSET(_xlpm.trimmed,0,0,,COUNTA(_xlpm.trimmed)-5)&lt;&gt;0)))</f>
        <v>D127</v>
      </c>
      <c r="C2360" s="86" t="str">
        <f t="shared" ref="C2360:C2371" ca="1" si="516">VLOOKUP(B2360,f_detailsof_candidates,2,FALSE)</f>
        <v>SHADIN G</v>
      </c>
      <c r="D2360" s="86" t="str">
        <f t="shared" ref="D2360:D2371" ca="1" si="517">VLOOKUP(B2360,f_detailsof_candidates,3,FALSE)</f>
        <v>FANT</v>
      </c>
      <c r="E2360" s="86">
        <f t="shared" ref="E2360:E2371" ca="1" si="518">VLOOKUP(B2360,f_detailsof_candidates,5,FALSE)</f>
        <v>8</v>
      </c>
    </row>
    <row r="2361" spans="1:8" ht="14.25" x14ac:dyDescent="0.45">
      <c r="A2361" s="86">
        <f ca="1"/>
        <v>2</v>
      </c>
      <c r="B2361" s="86" t="str">
        <f ca="1"/>
        <v>D168</v>
      </c>
      <c r="C2361" s="86" t="str">
        <f t="shared" ca="1" si="516"/>
        <v>MOHAMMED NAFIH KA</v>
      </c>
      <c r="D2361" s="86" t="str">
        <f t="shared" ca="1" si="517"/>
        <v>FANT</v>
      </c>
      <c r="E2361" s="86">
        <f t="shared" ca="1" si="518"/>
        <v>10</v>
      </c>
    </row>
    <row r="2362" spans="1:8" ht="14.25" x14ac:dyDescent="0.45">
      <c r="A2362" s="86">
        <f ca="1"/>
        <v>3</v>
      </c>
      <c r="B2362" s="86" t="str">
        <f ca="1"/>
        <v>D171</v>
      </c>
      <c r="C2362" s="86" t="str">
        <f t="shared" ca="1" si="516"/>
        <v>MOHAMMED ANFAHUDEEN T.A</v>
      </c>
      <c r="D2362" s="86" t="str">
        <f t="shared" ca="1" si="517"/>
        <v>FANT</v>
      </c>
      <c r="E2362" s="86">
        <f t="shared" ca="1" si="518"/>
        <v>10</v>
      </c>
    </row>
    <row r="2363" spans="1:8" ht="14.25" x14ac:dyDescent="0.45">
      <c r="A2363" s="86">
        <f ca="1"/>
        <v>4</v>
      </c>
      <c r="B2363" s="86" t="str">
        <f ca="1"/>
        <v>D146</v>
      </c>
      <c r="C2363" s="86" t="str">
        <f t="shared" ca="1" si="516"/>
        <v>ABDUL YOUNUS</v>
      </c>
      <c r="D2363" s="86" t="str">
        <f t="shared" ca="1" si="517"/>
        <v>DAHF</v>
      </c>
      <c r="E2363" s="86">
        <f t="shared" ca="1" si="518"/>
        <v>9</v>
      </c>
    </row>
    <row r="2364" spans="1:8" ht="14.25" x14ac:dyDescent="0.45">
      <c r="A2364" s="86">
        <f ca="1"/>
        <v>5</v>
      </c>
      <c r="B2364" s="86" t="str">
        <f ca="1"/>
        <v>D183</v>
      </c>
      <c r="C2364" s="86" t="str">
        <f t="shared" ca="1" si="516"/>
        <v>MOHAMMAD SWALIH K</v>
      </c>
      <c r="D2364" s="86" t="str">
        <f t="shared" ca="1" si="517"/>
        <v>DAHF</v>
      </c>
      <c r="E2364" s="86">
        <f t="shared" ca="1" si="518"/>
        <v>10</v>
      </c>
    </row>
    <row r="2365" spans="1:8" ht="14.25" x14ac:dyDescent="0.45">
      <c r="A2365" s="86">
        <f ca="1"/>
        <v>6</v>
      </c>
      <c r="B2365" s="86" t="str">
        <f ca="1"/>
        <v>D196</v>
      </c>
      <c r="C2365" s="86" t="str">
        <f t="shared" ca="1" si="516"/>
        <v>ABDUL VAJID K</v>
      </c>
      <c r="D2365" s="86" t="str">
        <f t="shared" ca="1" si="517"/>
        <v>DAHF</v>
      </c>
      <c r="E2365" s="86">
        <f t="shared" ca="1" si="518"/>
        <v>10</v>
      </c>
    </row>
    <row r="2366" spans="1:8" ht="14.25" x14ac:dyDescent="0.45">
      <c r="A2366" s="86">
        <f ca="1"/>
        <v>7</v>
      </c>
      <c r="B2366" s="86" t="str">
        <f ca="1"/>
        <v>D129</v>
      </c>
      <c r="C2366" s="86" t="str">
        <f t="shared" ca="1" si="516"/>
        <v>MUHAMMED UNAIS CK</v>
      </c>
      <c r="D2366" s="86" t="str">
        <f t="shared" ca="1" si="517"/>
        <v>BADF</v>
      </c>
      <c r="E2366" s="86">
        <f t="shared" ca="1" si="518"/>
        <v>8</v>
      </c>
    </row>
    <row r="2367" spans="1:8" ht="14.25" x14ac:dyDescent="0.45">
      <c r="A2367" s="86">
        <f ca="1"/>
        <v>8</v>
      </c>
      <c r="B2367" s="86" t="str">
        <f ca="1"/>
        <v>D141</v>
      </c>
      <c r="C2367" s="86" t="str">
        <f t="shared" ca="1" si="516"/>
        <v>MUHAMMAD MUSTHAFA P.K</v>
      </c>
      <c r="D2367" s="86" t="str">
        <f t="shared" ca="1" si="517"/>
        <v>BADF</v>
      </c>
      <c r="E2367" s="86">
        <f t="shared" ca="1" si="518"/>
        <v>9</v>
      </c>
    </row>
    <row r="2368" spans="1:8" ht="14.25" x14ac:dyDescent="0.45">
      <c r="A2368" s="86">
        <f ca="1"/>
        <v>9</v>
      </c>
      <c r="B2368" s="86" t="str">
        <f ca="1"/>
        <v>D195</v>
      </c>
      <c r="C2368" s="86" t="str">
        <f t="shared" ca="1" si="516"/>
        <v>AHMED SWALAHUDHEEN PI</v>
      </c>
      <c r="D2368" s="86" t="str">
        <f t="shared" ca="1" si="517"/>
        <v>BADF</v>
      </c>
      <c r="E2368" s="86">
        <f t="shared" ca="1" si="518"/>
        <v>10</v>
      </c>
    </row>
    <row r="2369" spans="1:8" ht="14.25" x14ac:dyDescent="0.45">
      <c r="A2369" s="86">
        <f ca="1"/>
        <v>10</v>
      </c>
      <c r="B2369" s="86" t="str">
        <f ca="1"/>
        <v>D151</v>
      </c>
      <c r="C2369" s="86" t="str">
        <f t="shared" ca="1" si="516"/>
        <v>MUHAMMED SHANAVAS M.A</v>
      </c>
      <c r="D2369" s="86" t="str">
        <f t="shared" ca="1" si="517"/>
        <v>JARF</v>
      </c>
      <c r="E2369" s="86">
        <f t="shared" ca="1" si="518"/>
        <v>9</v>
      </c>
    </row>
    <row r="2370" spans="1:8" ht="14.25" x14ac:dyDescent="0.45">
      <c r="A2370" s="86">
        <f ca="1"/>
        <v>11</v>
      </c>
      <c r="B2370" s="86" t="str">
        <f ca="1"/>
        <v>D170</v>
      </c>
      <c r="C2370" s="86" t="str">
        <f t="shared" ca="1" si="516"/>
        <v>AHMED ADIL B.K</v>
      </c>
      <c r="D2370" s="86" t="str">
        <f t="shared" ca="1" si="517"/>
        <v>JARF</v>
      </c>
      <c r="E2370" s="86">
        <f t="shared" ca="1" si="518"/>
        <v>10</v>
      </c>
    </row>
    <row r="2371" spans="1:8" ht="14.25" x14ac:dyDescent="0.45">
      <c r="A2371" s="86">
        <f ca="1"/>
        <v>12</v>
      </c>
      <c r="B2371" s="86" t="str">
        <f ca="1"/>
        <v>D194</v>
      </c>
      <c r="C2371" s="86" t="str">
        <f t="shared" ca="1" si="516"/>
        <v>AYAZ RAHMAN T</v>
      </c>
      <c r="D2371" s="86" t="str">
        <f t="shared" ca="1" si="517"/>
        <v>JARF</v>
      </c>
      <c r="E2371" s="86">
        <f t="shared" ca="1" si="518"/>
        <v>10</v>
      </c>
    </row>
    <row r="2372" spans="1:8" ht="14.25" x14ac:dyDescent="0.45">
      <c r="A2372" s="84" t="s">
        <v>395</v>
      </c>
      <c r="B2372" s="84" t="str">
        <f>VLOOKUP("SS34",f_detailsof_programs,2,FALSE)</f>
        <v>KAVIYARANG</v>
      </c>
      <c r="C2372" s="84"/>
      <c r="D2372" s="84" t="s">
        <v>688</v>
      </c>
      <c r="E2372" s="84" t="s">
        <v>485</v>
      </c>
      <c r="F2372" s="84"/>
      <c r="G2372" s="84"/>
      <c r="H2372" s="84"/>
    </row>
    <row r="2373" spans="1:8" ht="14.25" x14ac:dyDescent="0.45">
      <c r="A2373" s="85" t="s">
        <v>16</v>
      </c>
      <c r="B2373" s="85" t="s">
        <v>480</v>
      </c>
      <c r="C2373" s="85" t="s">
        <v>18</v>
      </c>
      <c r="D2373" s="85" t="s">
        <v>481</v>
      </c>
      <c r="E2373" s="85" t="s">
        <v>19</v>
      </c>
      <c r="F2373" s="85" t="s">
        <v>482</v>
      </c>
      <c r="G2373" s="85" t="s">
        <v>483</v>
      </c>
      <c r="H2373" s="85" t="s">
        <v>484</v>
      </c>
    </row>
    <row r="2374" spans="1:8" ht="14.25" x14ac:dyDescent="0.45">
      <c r="A2374" s="86" cm="1">
        <f t="array" aca="1" ref="A2374:A2385" ca="1">_xlfn.SEQUENCE(COUNTA(_xlfn.LET(_xlpm.trimmed,OFFSET(f_listof_program_candidates,MATCH("SS34",f_listof_program_codes,0)-1,6,1,),TRANSPOSE(_xlfn._xlws.FILTER(OFFSET(_xlpm.trimmed,0,0,,COUNTA(_xlpm.trimmed)-5),OFFSET(_xlpm.trimmed,0,0,,COUNTA(_xlpm.trimmed)-5)&lt;&gt;0)))))</f>
        <v>1</v>
      </c>
      <c r="B2374" s="86" t="str" cm="1">
        <f t="array" aca="1" ref="B2374:B2385" ca="1">_xlfn.LET(_xlpm.trimmed,OFFSET(f_listof_program_candidates,MATCH("SS34",f_listof_program_codes,0)-1,6,1,),TRANSPOSE(_xlfn._xlws.FILTER(OFFSET(_xlpm.trimmed,0,0,,COUNTA(_xlpm.trimmed)-5),OFFSET(_xlpm.trimmed,0,0,,COUNTA(_xlpm.trimmed)-5)&lt;&gt;0)))</f>
        <v>D127</v>
      </c>
      <c r="C2374" s="86" t="str">
        <f t="shared" ref="C2374:C2385" ca="1" si="519">VLOOKUP(B2374,f_detailsof_candidates,2,FALSE)</f>
        <v>SHADIN G</v>
      </c>
      <c r="D2374" s="86" t="str">
        <f t="shared" ref="D2374:D2385" ca="1" si="520">VLOOKUP(B2374,f_detailsof_candidates,3,FALSE)</f>
        <v>FANT</v>
      </c>
      <c r="E2374" s="86">
        <f t="shared" ref="E2374:E2385" ca="1" si="521">VLOOKUP(B2374,f_detailsof_candidates,5,FALSE)</f>
        <v>8</v>
      </c>
    </row>
    <row r="2375" spans="1:8" ht="14.25" x14ac:dyDescent="0.45">
      <c r="A2375" s="86">
        <f ca="1"/>
        <v>2</v>
      </c>
      <c r="B2375" s="86" t="str">
        <f ca="1"/>
        <v>D147</v>
      </c>
      <c r="C2375" s="86" t="str">
        <f t="shared" ca="1" si="519"/>
        <v>MOHAMMED SHAHZAN T.K</v>
      </c>
      <c r="D2375" s="86" t="str">
        <f t="shared" ca="1" si="520"/>
        <v>FANT</v>
      </c>
      <c r="E2375" s="86">
        <f t="shared" ca="1" si="521"/>
        <v>9</v>
      </c>
    </row>
    <row r="2376" spans="1:8" ht="14.25" x14ac:dyDescent="0.45">
      <c r="A2376" s="86">
        <f ca="1"/>
        <v>3</v>
      </c>
      <c r="B2376" s="86" t="str">
        <f ca="1"/>
        <v>D186</v>
      </c>
      <c r="C2376" s="86" t="str">
        <f t="shared" ca="1" si="519"/>
        <v>SALAHUDDEEN AYYOOBI KM</v>
      </c>
      <c r="D2376" s="86" t="str">
        <f t="shared" ca="1" si="520"/>
        <v>FANT</v>
      </c>
      <c r="E2376" s="86">
        <f t="shared" ca="1" si="521"/>
        <v>10</v>
      </c>
    </row>
    <row r="2377" spans="1:8" ht="14.25" x14ac:dyDescent="0.45">
      <c r="A2377" s="86">
        <f ca="1"/>
        <v>4</v>
      </c>
      <c r="B2377" s="86" t="str">
        <f ca="1"/>
        <v>D107</v>
      </c>
      <c r="C2377" s="86" t="str">
        <f t="shared" ca="1" si="519"/>
        <v>AHMMED HASHIM M</v>
      </c>
      <c r="D2377" s="86" t="str">
        <f t="shared" ca="1" si="520"/>
        <v>DAHF</v>
      </c>
      <c r="E2377" s="86">
        <f t="shared" ca="1" si="521"/>
        <v>8</v>
      </c>
    </row>
    <row r="2378" spans="1:8" ht="14.25" x14ac:dyDescent="0.45">
      <c r="A2378" s="86">
        <f ca="1"/>
        <v>5</v>
      </c>
      <c r="B2378" s="86" t="str">
        <f ca="1"/>
        <v>D146</v>
      </c>
      <c r="C2378" s="86" t="str">
        <f t="shared" ca="1" si="519"/>
        <v>ABDUL YOUNUS</v>
      </c>
      <c r="D2378" s="86" t="str">
        <f t="shared" ca="1" si="520"/>
        <v>DAHF</v>
      </c>
      <c r="E2378" s="86">
        <f t="shared" ca="1" si="521"/>
        <v>9</v>
      </c>
    </row>
    <row r="2379" spans="1:8" ht="14.25" x14ac:dyDescent="0.45">
      <c r="A2379" s="86">
        <f ca="1"/>
        <v>6</v>
      </c>
      <c r="B2379" s="86" t="str">
        <f ca="1"/>
        <v>D152</v>
      </c>
      <c r="C2379" s="86" t="str">
        <f t="shared" ca="1" si="519"/>
        <v>MOHAMMAD ISMAIL SINAN KM</v>
      </c>
      <c r="D2379" s="86" t="str">
        <f t="shared" ca="1" si="520"/>
        <v>DAHF</v>
      </c>
      <c r="E2379" s="86">
        <f t="shared" ca="1" si="521"/>
        <v>9</v>
      </c>
    </row>
    <row r="2380" spans="1:8" ht="14.25" x14ac:dyDescent="0.45">
      <c r="A2380" s="86">
        <f ca="1"/>
        <v>7</v>
      </c>
      <c r="B2380" s="86" t="str">
        <f ca="1"/>
        <v>D129</v>
      </c>
      <c r="C2380" s="86" t="str">
        <f t="shared" ca="1" si="519"/>
        <v>MUHAMMED UNAIS CK</v>
      </c>
      <c r="D2380" s="86" t="str">
        <f t="shared" ca="1" si="520"/>
        <v>BADF</v>
      </c>
      <c r="E2380" s="86">
        <f t="shared" ca="1" si="521"/>
        <v>8</v>
      </c>
    </row>
    <row r="2381" spans="1:8" ht="14.25" x14ac:dyDescent="0.45">
      <c r="A2381" s="86">
        <f ca="1"/>
        <v>8</v>
      </c>
      <c r="B2381" s="86" t="str">
        <f ca="1"/>
        <v>D155</v>
      </c>
      <c r="C2381" s="86" t="str">
        <f t="shared" ca="1" si="519"/>
        <v>MUHAMMED YASIR K</v>
      </c>
      <c r="D2381" s="86" t="str">
        <f t="shared" ca="1" si="520"/>
        <v>BADF</v>
      </c>
      <c r="E2381" s="86">
        <f t="shared" ca="1" si="521"/>
        <v>9</v>
      </c>
    </row>
    <row r="2382" spans="1:8" ht="14.25" x14ac:dyDescent="0.45">
      <c r="A2382" s="86">
        <f ca="1"/>
        <v>9</v>
      </c>
      <c r="B2382" s="86" t="str">
        <f ca="1"/>
        <v>D189</v>
      </c>
      <c r="C2382" s="86" t="str">
        <f t="shared" ca="1" si="519"/>
        <v>ASGAR ALI</v>
      </c>
      <c r="D2382" s="86" t="str">
        <f t="shared" ca="1" si="520"/>
        <v>BADF</v>
      </c>
      <c r="E2382" s="86">
        <f t="shared" ca="1" si="521"/>
        <v>10</v>
      </c>
    </row>
    <row r="2383" spans="1:8" ht="14.25" x14ac:dyDescent="0.45">
      <c r="A2383" s="86">
        <f ca="1"/>
        <v>10</v>
      </c>
      <c r="B2383" s="86" t="str">
        <f ca="1"/>
        <v>D113</v>
      </c>
      <c r="C2383" s="86" t="str">
        <f t="shared" ca="1" si="519"/>
        <v>ZULFIKARALI</v>
      </c>
      <c r="D2383" s="86" t="str">
        <f t="shared" ca="1" si="520"/>
        <v>JARF</v>
      </c>
      <c r="E2383" s="86">
        <f t="shared" ca="1" si="521"/>
        <v>8</v>
      </c>
    </row>
    <row r="2384" spans="1:8" ht="14.25" x14ac:dyDescent="0.45">
      <c r="A2384" s="86">
        <f ca="1"/>
        <v>11</v>
      </c>
      <c r="B2384" s="86" t="str">
        <f ca="1"/>
        <v>D154</v>
      </c>
      <c r="C2384" s="86" t="str">
        <f t="shared" ca="1" si="519"/>
        <v>ASHIKK.I</v>
      </c>
      <c r="D2384" s="86" t="str">
        <f t="shared" ca="1" si="520"/>
        <v>JARF</v>
      </c>
      <c r="E2384" s="86">
        <f t="shared" ca="1" si="521"/>
        <v>9</v>
      </c>
    </row>
    <row r="2385" spans="1:8" ht="14.25" x14ac:dyDescent="0.45">
      <c r="A2385" s="86">
        <f ca="1"/>
        <v>12</v>
      </c>
      <c r="B2385" s="86" t="str">
        <f ca="1"/>
        <v>D194</v>
      </c>
      <c r="C2385" s="86" t="str">
        <f t="shared" ca="1" si="519"/>
        <v>AYAZ RAHMAN T</v>
      </c>
      <c r="D2385" s="86" t="str">
        <f t="shared" ca="1" si="520"/>
        <v>JARF</v>
      </c>
      <c r="E2385" s="86">
        <f t="shared" ca="1" si="521"/>
        <v>10</v>
      </c>
    </row>
    <row r="2386" spans="1:8" ht="14.25" x14ac:dyDescent="0.45">
      <c r="A2386" s="84" t="s">
        <v>396</v>
      </c>
      <c r="B2386" s="84" t="str">
        <f>VLOOKUP("SS35",f_detailsof_programs,2,FALSE)</f>
        <v>KHUṬBAH</v>
      </c>
      <c r="C2386" s="84"/>
      <c r="D2386" s="84" t="s">
        <v>688</v>
      </c>
      <c r="E2386" s="84" t="s">
        <v>485</v>
      </c>
      <c r="F2386" s="84"/>
      <c r="G2386" s="84"/>
      <c r="H2386" s="84"/>
    </row>
    <row r="2387" spans="1:8" ht="14.25" x14ac:dyDescent="0.45">
      <c r="A2387" s="85" t="s">
        <v>16</v>
      </c>
      <c r="B2387" s="85" t="s">
        <v>480</v>
      </c>
      <c r="C2387" s="85" t="s">
        <v>18</v>
      </c>
      <c r="D2387" s="85" t="s">
        <v>481</v>
      </c>
      <c r="E2387" s="85" t="s">
        <v>19</v>
      </c>
      <c r="F2387" s="85" t="s">
        <v>482</v>
      </c>
      <c r="G2387" s="85" t="s">
        <v>483</v>
      </c>
      <c r="H2387" s="85" t="s">
        <v>484</v>
      </c>
    </row>
    <row r="2388" spans="1:8" ht="14.25" x14ac:dyDescent="0.45">
      <c r="A2388" s="86" cm="1">
        <f t="array" aca="1" ref="A2388:A2399" ca="1">_xlfn.SEQUENCE(COUNTA(_xlfn.LET(_xlpm.trimmed,OFFSET(f_listof_program_candidates,MATCH("SS35",f_listof_program_codes,0)-1,6,1,),TRANSPOSE(_xlfn._xlws.FILTER(OFFSET(_xlpm.trimmed,0,0,,COUNTA(_xlpm.trimmed)-5),OFFSET(_xlpm.trimmed,0,0,,COUNTA(_xlpm.trimmed)-5)&lt;&gt;0)))))</f>
        <v>1</v>
      </c>
      <c r="B2388" s="86" t="str" cm="1">
        <f t="array" aca="1" ref="B2388:B2399" ca="1">_xlfn.LET(_xlpm.trimmed,OFFSET(f_listof_program_candidates,MATCH("SS35",f_listof_program_codes,0)-1,6,1,),TRANSPOSE(_xlfn._xlws.FILTER(OFFSET(_xlpm.trimmed,0,0,,COUNTA(_xlpm.trimmed)-5),OFFSET(_xlpm.trimmed,0,0,,COUNTA(_xlpm.trimmed)-5)&lt;&gt;0)))</f>
        <v>D127</v>
      </c>
      <c r="C2388" s="86" t="str">
        <f t="shared" ref="C2388:C2399" ca="1" si="522">VLOOKUP(B2388,f_detailsof_candidates,2,FALSE)</f>
        <v>SHADIN G</v>
      </c>
      <c r="D2388" s="86" t="str">
        <f t="shared" ref="D2388:D2399" ca="1" si="523">VLOOKUP(B2388,f_detailsof_candidates,3,FALSE)</f>
        <v>FANT</v>
      </c>
      <c r="E2388" s="86">
        <f t="shared" ref="E2388:E2399" ca="1" si="524">VLOOKUP(B2388,f_detailsof_candidates,5,FALSE)</f>
        <v>8</v>
      </c>
    </row>
    <row r="2389" spans="1:8" ht="14.25" x14ac:dyDescent="0.45">
      <c r="A2389" s="86">
        <f ca="1"/>
        <v>2</v>
      </c>
      <c r="B2389" s="86" t="str">
        <f ca="1"/>
        <v>D159</v>
      </c>
      <c r="C2389" s="86" t="str">
        <f t="shared" ca="1" si="522"/>
        <v>MUHAMMED MUZAMMIL</v>
      </c>
      <c r="D2389" s="86" t="str">
        <f t="shared" ca="1" si="523"/>
        <v>FANT</v>
      </c>
      <c r="E2389" s="86">
        <f t="shared" ca="1" si="524"/>
        <v>9</v>
      </c>
    </row>
    <row r="2390" spans="1:8" ht="14.25" x14ac:dyDescent="0.45">
      <c r="A2390" s="86">
        <f ca="1"/>
        <v>3</v>
      </c>
      <c r="B2390" s="86" t="str">
        <f ca="1"/>
        <v>D198</v>
      </c>
      <c r="C2390" s="86" t="str">
        <f t="shared" ca="1" si="522"/>
        <v>MUHAMMED SAFWAN</v>
      </c>
      <c r="D2390" s="86" t="str">
        <f t="shared" ca="1" si="523"/>
        <v>FANT</v>
      </c>
      <c r="E2390" s="86">
        <f t="shared" ca="1" si="524"/>
        <v>10</v>
      </c>
    </row>
    <row r="2391" spans="1:8" ht="14.25" x14ac:dyDescent="0.45">
      <c r="A2391" s="86">
        <f ca="1"/>
        <v>4</v>
      </c>
      <c r="B2391" s="86" t="str">
        <f ca="1"/>
        <v>D150</v>
      </c>
      <c r="C2391" s="86" t="str">
        <f t="shared" ca="1" si="522"/>
        <v>ABDUL KHADER</v>
      </c>
      <c r="D2391" s="86" t="str">
        <f t="shared" ca="1" si="523"/>
        <v>DAHF</v>
      </c>
      <c r="E2391" s="86">
        <f t="shared" ca="1" si="524"/>
        <v>9</v>
      </c>
    </row>
    <row r="2392" spans="1:8" ht="14.25" x14ac:dyDescent="0.45">
      <c r="A2392" s="86">
        <f ca="1"/>
        <v>5</v>
      </c>
      <c r="B2392" s="86" t="str">
        <f ca="1"/>
        <v>D103</v>
      </c>
      <c r="C2392" s="86" t="str">
        <f t="shared" ca="1" si="522"/>
        <v>MUHAMMAD RAZI</v>
      </c>
      <c r="D2392" s="86" t="str">
        <f t="shared" ca="1" si="523"/>
        <v>DAHF</v>
      </c>
      <c r="E2392" s="86">
        <f t="shared" ca="1" si="524"/>
        <v>8</v>
      </c>
    </row>
    <row r="2393" spans="1:8" ht="14.25" x14ac:dyDescent="0.45">
      <c r="A2393" s="86">
        <f ca="1"/>
        <v>6</v>
      </c>
      <c r="B2393" s="86" t="str">
        <f ca="1"/>
        <v>D166</v>
      </c>
      <c r="C2393" s="86" t="str">
        <f t="shared" ca="1" si="522"/>
        <v>MOHAMMED IRFAN C</v>
      </c>
      <c r="D2393" s="86" t="str">
        <f t="shared" ca="1" si="523"/>
        <v>DAHF</v>
      </c>
      <c r="E2393" s="86">
        <f t="shared" ca="1" si="524"/>
        <v>9</v>
      </c>
    </row>
    <row r="2394" spans="1:8" ht="14.25" x14ac:dyDescent="0.45">
      <c r="A2394" s="86">
        <f ca="1"/>
        <v>7</v>
      </c>
      <c r="B2394" s="86" t="str">
        <f ca="1"/>
        <v>D129</v>
      </c>
      <c r="C2394" s="86" t="str">
        <f t="shared" ca="1" si="522"/>
        <v>MUHAMMED UNAIS CK</v>
      </c>
      <c r="D2394" s="86" t="str">
        <f t="shared" ca="1" si="523"/>
        <v>BADF</v>
      </c>
      <c r="E2394" s="86">
        <f t="shared" ca="1" si="524"/>
        <v>8</v>
      </c>
    </row>
    <row r="2395" spans="1:8" ht="14.25" x14ac:dyDescent="0.45">
      <c r="A2395" s="86">
        <f ca="1"/>
        <v>8</v>
      </c>
      <c r="B2395" s="86" t="str">
        <f ca="1"/>
        <v>D137</v>
      </c>
      <c r="C2395" s="86" t="str">
        <f t="shared" ca="1" si="522"/>
        <v>AYYOOB V.N</v>
      </c>
      <c r="D2395" s="86" t="str">
        <f t="shared" ca="1" si="523"/>
        <v>BADF</v>
      </c>
      <c r="E2395" s="86">
        <f t="shared" ca="1" si="524"/>
        <v>9</v>
      </c>
    </row>
    <row r="2396" spans="1:8" ht="14.25" x14ac:dyDescent="0.45">
      <c r="A2396" s="86">
        <f ca="1"/>
        <v>9</v>
      </c>
      <c r="B2396" s="86" t="str">
        <f ca="1"/>
        <v>D143</v>
      </c>
      <c r="C2396" s="86" t="str">
        <f t="shared" ca="1" si="522"/>
        <v>MUHAMMED MA</v>
      </c>
      <c r="D2396" s="86" t="str">
        <f t="shared" ca="1" si="523"/>
        <v>BADF</v>
      </c>
      <c r="E2396" s="86">
        <f t="shared" ca="1" si="524"/>
        <v>9</v>
      </c>
    </row>
    <row r="2397" spans="1:8" ht="14.25" x14ac:dyDescent="0.45">
      <c r="A2397" s="86">
        <f ca="1"/>
        <v>10</v>
      </c>
      <c r="B2397" s="86" t="str">
        <f ca="1"/>
        <v>D160</v>
      </c>
      <c r="C2397" s="86" t="str">
        <f t="shared" ca="1" si="522"/>
        <v>SALMAN FARIS</v>
      </c>
      <c r="D2397" s="86" t="str">
        <f t="shared" ca="1" si="523"/>
        <v>JARF</v>
      </c>
      <c r="E2397" s="86">
        <f t="shared" ca="1" si="524"/>
        <v>9</v>
      </c>
    </row>
    <row r="2398" spans="1:8" ht="14.25" x14ac:dyDescent="0.45">
      <c r="A2398" s="86">
        <f ca="1"/>
        <v>11</v>
      </c>
      <c r="B2398" s="86" t="str">
        <f ca="1"/>
        <v>D149</v>
      </c>
      <c r="C2398" s="86" t="str">
        <f t="shared" ca="1" si="522"/>
        <v>MOHAMMED MARZOOK AM</v>
      </c>
      <c r="D2398" s="86" t="str">
        <f t="shared" ca="1" si="523"/>
        <v>JARF</v>
      </c>
      <c r="E2398" s="86">
        <f t="shared" ca="1" si="524"/>
        <v>9</v>
      </c>
    </row>
    <row r="2399" spans="1:8" ht="14.25" x14ac:dyDescent="0.45">
      <c r="A2399" s="86">
        <f ca="1"/>
        <v>12</v>
      </c>
      <c r="B2399" s="86" t="str">
        <f ca="1"/>
        <v>D194</v>
      </c>
      <c r="C2399" s="86" t="str">
        <f t="shared" ca="1" si="522"/>
        <v>AYAZ RAHMAN T</v>
      </c>
      <c r="D2399" s="86" t="str">
        <f t="shared" ca="1" si="523"/>
        <v>JARF</v>
      </c>
      <c r="E2399" s="86">
        <f t="shared" ca="1" si="524"/>
        <v>10</v>
      </c>
    </row>
    <row r="2400" spans="1:8" ht="14.25" x14ac:dyDescent="0.45">
      <c r="A2400" s="84" t="s">
        <v>398</v>
      </c>
      <c r="B2400" s="84" t="str">
        <f>VLOOKUP("SS36",f_detailsof_programs,2,FALSE)</f>
        <v>MAPPILAPPATT</v>
      </c>
      <c r="C2400" s="84"/>
      <c r="D2400" s="84" t="s">
        <v>688</v>
      </c>
      <c r="E2400" s="84" t="s">
        <v>486</v>
      </c>
      <c r="F2400" s="84"/>
      <c r="G2400" s="84"/>
      <c r="H2400" s="84"/>
    </row>
    <row r="2401" spans="1:8" ht="14.25" x14ac:dyDescent="0.45">
      <c r="A2401" s="85" t="s">
        <v>16</v>
      </c>
      <c r="B2401" s="85" t="s">
        <v>480</v>
      </c>
      <c r="C2401" s="85" t="s">
        <v>18</v>
      </c>
      <c r="D2401" s="85" t="s">
        <v>481</v>
      </c>
      <c r="E2401" s="85" t="s">
        <v>19</v>
      </c>
      <c r="F2401" s="85" t="s">
        <v>482</v>
      </c>
      <c r="G2401" s="85" t="s">
        <v>483</v>
      </c>
      <c r="H2401" s="85" t="s">
        <v>484</v>
      </c>
    </row>
    <row r="2402" spans="1:8" ht="14.25" x14ac:dyDescent="0.45">
      <c r="A2402" s="86" cm="1">
        <f t="array" aca="1" ref="A2402:A2409" ca="1">_xlfn.SEQUENCE(COUNTA(_xlfn.LET(_xlpm.trimmed,OFFSET(f_listof_program_candidates,MATCH("SS36",f_listof_program_codes,0)-1,6,1,),TRANSPOSE(_xlfn._xlws.FILTER(OFFSET(_xlpm.trimmed,0,0,,COUNTA(_xlpm.trimmed)-5),OFFSET(_xlpm.trimmed,0,0,,COUNTA(_xlpm.trimmed)-5)&lt;&gt;0)))))</f>
        <v>1</v>
      </c>
      <c r="B2402" s="86" t="str" cm="1">
        <f t="array" aca="1" ref="B2402:B2409" ca="1">_xlfn.LET(_xlpm.trimmed,OFFSET(f_listof_program_candidates,MATCH("SS36",f_listof_program_codes,0)-1,6,1,),TRANSPOSE(_xlfn._xlws.FILTER(OFFSET(_xlpm.trimmed,0,0,,COUNTA(_xlpm.trimmed)-5),OFFSET(_xlpm.trimmed,0,0,,COUNTA(_xlpm.trimmed)-5)&lt;&gt;0)))</f>
        <v>D175</v>
      </c>
      <c r="C2402" s="86" t="str">
        <f t="shared" ref="C2402:C2409" ca="1" si="525">VLOOKUP(B2402,f_detailsof_candidates,2,FALSE)</f>
        <v>AKBAR P</v>
      </c>
      <c r="D2402" s="86" t="str">
        <f t="shared" ref="D2402:D2409" ca="1" si="526">VLOOKUP(B2402,f_detailsof_candidates,3,FALSE)</f>
        <v>FANT</v>
      </c>
      <c r="E2402" s="86">
        <f t="shared" ref="E2402:E2409" ca="1" si="527">VLOOKUP(B2402,f_detailsof_candidates,5,FALSE)</f>
        <v>10</v>
      </c>
    </row>
    <row r="2403" spans="1:8" ht="14.25" x14ac:dyDescent="0.45">
      <c r="A2403" s="86">
        <f ca="1"/>
        <v>2</v>
      </c>
      <c r="B2403" s="86" t="str">
        <f ca="1"/>
        <v>D186</v>
      </c>
      <c r="C2403" s="86" t="str">
        <f t="shared" ca="1" si="525"/>
        <v>SALAHUDDEEN AYYOOBI KM</v>
      </c>
      <c r="D2403" s="86" t="str">
        <f t="shared" ca="1" si="526"/>
        <v>FANT</v>
      </c>
      <c r="E2403" s="86">
        <f t="shared" ca="1" si="527"/>
        <v>10</v>
      </c>
    </row>
    <row r="2404" spans="1:8" ht="14.25" x14ac:dyDescent="0.45">
      <c r="A2404" s="86">
        <f ca="1"/>
        <v>3</v>
      </c>
      <c r="B2404" s="86" t="str">
        <f ca="1"/>
        <v>D121</v>
      </c>
      <c r="C2404" s="86" t="str">
        <f t="shared" ca="1" si="525"/>
        <v>ABDUL RAHMAN MUNZIR</v>
      </c>
      <c r="D2404" s="86" t="str">
        <f t="shared" ca="1" si="526"/>
        <v>DAHF</v>
      </c>
      <c r="E2404" s="86">
        <f t="shared" ca="1" si="527"/>
        <v>8</v>
      </c>
    </row>
    <row r="2405" spans="1:8" ht="14.25" x14ac:dyDescent="0.45">
      <c r="A2405" s="86">
        <f ca="1"/>
        <v>4</v>
      </c>
      <c r="B2405" s="86" t="str">
        <f ca="1"/>
        <v>D192</v>
      </c>
      <c r="C2405" s="86" t="str">
        <f t="shared" ca="1" si="525"/>
        <v>MUHAMMED SIFARATH T A</v>
      </c>
      <c r="D2405" s="86" t="str">
        <f t="shared" ca="1" si="526"/>
        <v>DAHF</v>
      </c>
      <c r="E2405" s="86">
        <f t="shared" ca="1" si="527"/>
        <v>10</v>
      </c>
    </row>
    <row r="2406" spans="1:8" ht="14.25" x14ac:dyDescent="0.45">
      <c r="A2406" s="86">
        <f ca="1"/>
        <v>5</v>
      </c>
      <c r="B2406" s="86" t="str">
        <f ca="1"/>
        <v>D155</v>
      </c>
      <c r="C2406" s="86" t="str">
        <f t="shared" ca="1" si="525"/>
        <v>MUHAMMED YASIR K</v>
      </c>
      <c r="D2406" s="86" t="str">
        <f t="shared" ca="1" si="526"/>
        <v>BADF</v>
      </c>
      <c r="E2406" s="86">
        <f t="shared" ca="1" si="527"/>
        <v>9</v>
      </c>
    </row>
    <row r="2407" spans="1:8" ht="14.25" x14ac:dyDescent="0.45">
      <c r="A2407" s="86">
        <f ca="1"/>
        <v>6</v>
      </c>
      <c r="B2407" s="86" t="str">
        <f ca="1"/>
        <v>D189</v>
      </c>
      <c r="C2407" s="86" t="str">
        <f t="shared" ca="1" si="525"/>
        <v>ASGAR ALI</v>
      </c>
      <c r="D2407" s="86" t="str">
        <f t="shared" ca="1" si="526"/>
        <v>BADF</v>
      </c>
      <c r="E2407" s="86">
        <f t="shared" ca="1" si="527"/>
        <v>10</v>
      </c>
    </row>
    <row r="2408" spans="1:8" ht="14.25" x14ac:dyDescent="0.45">
      <c r="A2408" s="86">
        <f ca="1"/>
        <v>7</v>
      </c>
      <c r="B2408" s="86" t="str">
        <f ca="1"/>
        <v>D154</v>
      </c>
      <c r="C2408" s="86" t="str">
        <f t="shared" ca="1" si="525"/>
        <v>ASHIKK.I</v>
      </c>
      <c r="D2408" s="86" t="str">
        <f t="shared" ca="1" si="526"/>
        <v>JARF</v>
      </c>
      <c r="E2408" s="86">
        <f t="shared" ca="1" si="527"/>
        <v>9</v>
      </c>
    </row>
    <row r="2409" spans="1:8" ht="14.25" x14ac:dyDescent="0.45">
      <c r="A2409" s="86">
        <f ca="1"/>
        <v>8</v>
      </c>
      <c r="B2409" s="86" t="str">
        <f ca="1"/>
        <v>D194</v>
      </c>
      <c r="C2409" s="86" t="str">
        <f t="shared" ca="1" si="525"/>
        <v>AYAZ RAHMAN T</v>
      </c>
      <c r="D2409" s="86" t="str">
        <f t="shared" ca="1" si="526"/>
        <v>JARF</v>
      </c>
      <c r="E2409" s="86">
        <f t="shared" ca="1" si="527"/>
        <v>10</v>
      </c>
    </row>
    <row r="2410" spans="1:8" ht="14.25" x14ac:dyDescent="0.45">
      <c r="A2410" s="84" t="s">
        <v>400</v>
      </c>
      <c r="B2410" s="84" t="str">
        <f>VLOOKUP("SS37",f_detailsof_programs,2,FALSE)</f>
        <v>MOCK INTERVIEW ENG</v>
      </c>
      <c r="C2410" s="84"/>
      <c r="D2410" s="84" t="s">
        <v>688</v>
      </c>
      <c r="E2410" s="84" t="s">
        <v>486</v>
      </c>
      <c r="F2410" s="84"/>
      <c r="G2410" s="84"/>
      <c r="H2410" s="84"/>
    </row>
    <row r="2411" spans="1:8" ht="14.25" x14ac:dyDescent="0.45">
      <c r="A2411" s="85" t="s">
        <v>16</v>
      </c>
      <c r="B2411" s="85" t="s">
        <v>480</v>
      </c>
      <c r="C2411" s="85" t="s">
        <v>18</v>
      </c>
      <c r="D2411" s="85" t="s">
        <v>481</v>
      </c>
      <c r="E2411" s="85" t="s">
        <v>19</v>
      </c>
      <c r="F2411" s="85" t="s">
        <v>482</v>
      </c>
      <c r="G2411" s="85" t="s">
        <v>483</v>
      </c>
      <c r="H2411" s="85" t="s">
        <v>484</v>
      </c>
    </row>
    <row r="2412" spans="1:8" ht="14.25" x14ac:dyDescent="0.45">
      <c r="A2412" s="86" cm="1">
        <f t="array" aca="1" ref="A2412:A2419" ca="1">_xlfn.SEQUENCE(COUNTA(_xlfn.LET(_xlpm.trimmed,OFFSET(f_listof_program_candidates,MATCH("SS37",f_listof_program_codes,0)-1,6,1,),TRANSPOSE(_xlfn._xlws.FILTER(OFFSET(_xlpm.trimmed,0,0,,COUNTA(_xlpm.trimmed)-5),OFFSET(_xlpm.trimmed,0,0,,COUNTA(_xlpm.trimmed)-5)&lt;&gt;0)))))</f>
        <v>1</v>
      </c>
      <c r="B2412" s="86" t="str" cm="1">
        <f t="array" aca="1" ref="B2412:B2419" ca="1">_xlfn.LET(_xlpm.trimmed,OFFSET(f_listof_program_candidates,MATCH("SS37",f_listof_program_codes,0)-1,6,1,),TRANSPOSE(_xlfn._xlws.FILTER(OFFSET(_xlpm.trimmed,0,0,,COUNTA(_xlpm.trimmed)-5),OFFSET(_xlpm.trimmed,0,0,,COUNTA(_xlpm.trimmed)-5)&lt;&gt;0)))</f>
        <v>D133</v>
      </c>
      <c r="C2412" s="86" t="str">
        <f t="shared" ref="C2412:C2419" ca="1" si="528">VLOOKUP(B2412,f_detailsof_candidates,2,FALSE)</f>
        <v>MOHAMMED SHAMSHEER</v>
      </c>
      <c r="D2412" s="86" t="str">
        <f t="shared" ref="D2412:D2419" ca="1" si="529">VLOOKUP(B2412,f_detailsof_candidates,3,FALSE)</f>
        <v>FANT</v>
      </c>
      <c r="E2412" s="86">
        <f t="shared" ref="E2412:E2419" ca="1" si="530">VLOOKUP(B2412,f_detailsof_candidates,5,FALSE)</f>
        <v>9</v>
      </c>
    </row>
    <row r="2413" spans="1:8" ht="14.25" x14ac:dyDescent="0.45">
      <c r="A2413" s="86">
        <f ca="1"/>
        <v>2</v>
      </c>
      <c r="B2413" s="86" t="str">
        <f ca="1"/>
        <v>D165</v>
      </c>
      <c r="C2413" s="86" t="str">
        <f t="shared" ca="1" si="528"/>
        <v>AJMAL KI</v>
      </c>
      <c r="D2413" s="86" t="str">
        <f t="shared" ca="1" si="529"/>
        <v>FANT</v>
      </c>
      <c r="E2413" s="86">
        <f t="shared" ca="1" si="530"/>
        <v>9</v>
      </c>
    </row>
    <row r="2414" spans="1:8" ht="14.25" x14ac:dyDescent="0.45">
      <c r="A2414" s="86">
        <f ca="1"/>
        <v>3</v>
      </c>
      <c r="B2414" s="86" t="str">
        <f ca="1"/>
        <v>D108</v>
      </c>
      <c r="C2414" s="86" t="str">
        <f t="shared" ca="1" si="528"/>
        <v>MOHAMMED HASHIR</v>
      </c>
      <c r="D2414" s="86" t="str">
        <f t="shared" ca="1" si="529"/>
        <v>DAHF</v>
      </c>
      <c r="E2414" s="86">
        <f t="shared" ca="1" si="530"/>
        <v>8</v>
      </c>
    </row>
    <row r="2415" spans="1:8" ht="14.25" x14ac:dyDescent="0.45">
      <c r="A2415" s="86">
        <f ca="1"/>
        <v>4</v>
      </c>
      <c r="B2415" s="86" t="str">
        <f ca="1"/>
        <v>D196</v>
      </c>
      <c r="C2415" s="86" t="str">
        <f t="shared" ca="1" si="528"/>
        <v>ABDUL VAJID K</v>
      </c>
      <c r="D2415" s="86" t="str">
        <f t="shared" ca="1" si="529"/>
        <v>DAHF</v>
      </c>
      <c r="E2415" s="86">
        <f t="shared" ca="1" si="530"/>
        <v>10</v>
      </c>
    </row>
    <row r="2416" spans="1:8" ht="14.25" x14ac:dyDescent="0.45">
      <c r="A2416" s="86">
        <f ca="1"/>
        <v>5</v>
      </c>
      <c r="B2416" s="86" t="str">
        <f ca="1"/>
        <v>D145</v>
      </c>
      <c r="C2416" s="86" t="str">
        <f t="shared" ca="1" si="528"/>
        <v>ABBAS ARFAS O.R</v>
      </c>
      <c r="D2416" s="86" t="str">
        <f t="shared" ca="1" si="529"/>
        <v>BADF</v>
      </c>
      <c r="E2416" s="86">
        <f t="shared" ca="1" si="530"/>
        <v>9</v>
      </c>
    </row>
    <row r="2417" spans="1:8" ht="14.25" x14ac:dyDescent="0.45">
      <c r="A2417" s="86">
        <f ca="1"/>
        <v>6</v>
      </c>
      <c r="B2417" s="86" t="str">
        <f ca="1"/>
        <v>D195</v>
      </c>
      <c r="C2417" s="86" t="str">
        <f t="shared" ca="1" si="528"/>
        <v>AHMED SWALAHUDHEEN PI</v>
      </c>
      <c r="D2417" s="86" t="str">
        <f t="shared" ca="1" si="529"/>
        <v>BADF</v>
      </c>
      <c r="E2417" s="86">
        <f t="shared" ca="1" si="530"/>
        <v>10</v>
      </c>
    </row>
    <row r="2418" spans="1:8" ht="14.25" x14ac:dyDescent="0.45">
      <c r="A2418" s="86">
        <f ca="1"/>
        <v>7</v>
      </c>
      <c r="B2418" s="86" t="str">
        <f ca="1"/>
        <v>D111</v>
      </c>
      <c r="C2418" s="86" t="str">
        <f t="shared" ca="1" si="528"/>
        <v>MAHAMMED SHAMEEL</v>
      </c>
      <c r="D2418" s="86" t="str">
        <f t="shared" ca="1" si="529"/>
        <v>JARF</v>
      </c>
      <c r="E2418" s="86">
        <f t="shared" ca="1" si="530"/>
        <v>8</v>
      </c>
    </row>
    <row r="2419" spans="1:8" ht="14.25" x14ac:dyDescent="0.45">
      <c r="A2419" s="86">
        <f ca="1"/>
        <v>8</v>
      </c>
      <c r="B2419" s="86" t="str">
        <f ca="1"/>
        <v>D164</v>
      </c>
      <c r="C2419" s="86" t="str">
        <f t="shared" ca="1" si="528"/>
        <v>AHMED SULTHAN</v>
      </c>
      <c r="D2419" s="86" t="str">
        <f t="shared" ca="1" si="529"/>
        <v>JARF</v>
      </c>
      <c r="E2419" s="86">
        <f t="shared" ca="1" si="530"/>
        <v>9</v>
      </c>
    </row>
    <row r="2420" spans="1:8" ht="14.25" x14ac:dyDescent="0.45">
      <c r="A2420" s="84" t="s">
        <v>402</v>
      </c>
      <c r="B2420" s="84" t="str">
        <f>VLOOKUP("SS38",f_detailsof_programs,2,FALSE)</f>
        <v>NASHEED ARB</v>
      </c>
      <c r="C2420" s="84"/>
      <c r="D2420" s="84" t="s">
        <v>688</v>
      </c>
      <c r="E2420" s="84" t="s">
        <v>485</v>
      </c>
      <c r="F2420" s="84"/>
      <c r="G2420" s="84"/>
      <c r="H2420" s="84"/>
    </row>
    <row r="2421" spans="1:8" ht="14.25" x14ac:dyDescent="0.45">
      <c r="A2421" s="85" t="s">
        <v>16</v>
      </c>
      <c r="B2421" s="85" t="s">
        <v>480</v>
      </c>
      <c r="C2421" s="85" t="s">
        <v>18</v>
      </c>
      <c r="D2421" s="85" t="s">
        <v>481</v>
      </c>
      <c r="E2421" s="85" t="s">
        <v>19</v>
      </c>
      <c r="F2421" s="85" t="s">
        <v>482</v>
      </c>
      <c r="G2421" s="85" t="s">
        <v>483</v>
      </c>
      <c r="H2421" s="85" t="s">
        <v>484</v>
      </c>
    </row>
    <row r="2422" spans="1:8" ht="14.25" x14ac:dyDescent="0.45">
      <c r="A2422" s="86" cm="1">
        <f t="array" aca="1" ref="A2422:A2433" ca="1">_xlfn.SEQUENCE(COUNTA(_xlfn.LET(_xlpm.trimmed,OFFSET(f_listof_program_candidates,MATCH("SS38",f_listof_program_codes,0)-1,6,1,),TRANSPOSE(_xlfn._xlws.FILTER(OFFSET(_xlpm.trimmed,0,0,,COUNTA(_xlpm.trimmed)-5),OFFSET(_xlpm.trimmed,0,0,,COUNTA(_xlpm.trimmed)-5)&lt;&gt;0)))))</f>
        <v>1</v>
      </c>
      <c r="B2422" s="86" t="str" cm="1">
        <f t="array" aca="1" ref="B2422:B2433" ca="1">_xlfn.LET(_xlpm.trimmed,OFFSET(f_listof_program_candidates,MATCH("SS38",f_listof_program_codes,0)-1,6,1,),TRANSPOSE(_xlfn._xlws.FILTER(OFFSET(_xlpm.trimmed,0,0,,COUNTA(_xlpm.trimmed)-5),OFFSET(_xlpm.trimmed,0,0,,COUNTA(_xlpm.trimmed)-5)&lt;&gt;0)))</f>
        <v>D147</v>
      </c>
      <c r="C2422" s="86" t="str">
        <f t="shared" ref="C2422:C2433" ca="1" si="531">VLOOKUP(B2422,f_detailsof_candidates,2,FALSE)</f>
        <v>MOHAMMED SHAHZAN T.K</v>
      </c>
      <c r="D2422" s="86" t="str">
        <f t="shared" ref="D2422:D2433" ca="1" si="532">VLOOKUP(B2422,f_detailsof_candidates,3,FALSE)</f>
        <v>FANT</v>
      </c>
      <c r="E2422" s="86">
        <f t="shared" ref="E2422:E2433" ca="1" si="533">VLOOKUP(B2422,f_detailsof_candidates,5,FALSE)</f>
        <v>9</v>
      </c>
    </row>
    <row r="2423" spans="1:8" ht="14.25" x14ac:dyDescent="0.45">
      <c r="A2423" s="86">
        <f ca="1"/>
        <v>2</v>
      </c>
      <c r="B2423" s="86" t="str">
        <f ca="1"/>
        <v>D175</v>
      </c>
      <c r="C2423" s="86" t="str">
        <f t="shared" ca="1" si="531"/>
        <v>AKBAR P</v>
      </c>
      <c r="D2423" s="86" t="str">
        <f t="shared" ca="1" si="532"/>
        <v>FANT</v>
      </c>
      <c r="E2423" s="86">
        <f t="shared" ca="1" si="533"/>
        <v>10</v>
      </c>
    </row>
    <row r="2424" spans="1:8" ht="14.25" x14ac:dyDescent="0.45">
      <c r="A2424" s="86">
        <f ca="1"/>
        <v>3</v>
      </c>
      <c r="B2424" s="86" t="str">
        <f ca="1"/>
        <v>D186</v>
      </c>
      <c r="C2424" s="86" t="str">
        <f t="shared" ca="1" si="531"/>
        <v>SALAHUDDEEN AYYOOBI KM</v>
      </c>
      <c r="D2424" s="86" t="str">
        <f t="shared" ca="1" si="532"/>
        <v>FANT</v>
      </c>
      <c r="E2424" s="86">
        <f t="shared" ca="1" si="533"/>
        <v>10</v>
      </c>
    </row>
    <row r="2425" spans="1:8" ht="14.25" x14ac:dyDescent="0.45">
      <c r="A2425" s="86">
        <f ca="1"/>
        <v>4</v>
      </c>
      <c r="B2425" s="86" t="str">
        <f ca="1"/>
        <v>D121</v>
      </c>
      <c r="C2425" s="86" t="str">
        <f t="shared" ca="1" si="531"/>
        <v>ABDUL RAHMAN MUNZIR</v>
      </c>
      <c r="D2425" s="86" t="str">
        <f t="shared" ca="1" si="532"/>
        <v>DAHF</v>
      </c>
      <c r="E2425" s="86">
        <f t="shared" ca="1" si="533"/>
        <v>8</v>
      </c>
    </row>
    <row r="2426" spans="1:8" ht="14.25" x14ac:dyDescent="0.45">
      <c r="A2426" s="86">
        <f ca="1"/>
        <v>5</v>
      </c>
      <c r="B2426" s="86" t="str">
        <f ca="1"/>
        <v>D131</v>
      </c>
      <c r="C2426" s="86" t="str">
        <f t="shared" ca="1" si="531"/>
        <v>MAHAMMAD RIYAZ</v>
      </c>
      <c r="D2426" s="86" t="str">
        <f t="shared" ca="1" si="532"/>
        <v>DAHF</v>
      </c>
      <c r="E2426" s="86">
        <f t="shared" ca="1" si="533"/>
        <v>9</v>
      </c>
    </row>
    <row r="2427" spans="1:8" ht="14.25" x14ac:dyDescent="0.45">
      <c r="A2427" s="86">
        <f ca="1"/>
        <v>6</v>
      </c>
      <c r="B2427" s="86" t="str">
        <f ca="1"/>
        <v>D179</v>
      </c>
      <c r="C2427" s="86" t="str">
        <f t="shared" ca="1" si="531"/>
        <v>MUHAMMED AKBAR NP</v>
      </c>
      <c r="D2427" s="86" t="str">
        <f t="shared" ca="1" si="532"/>
        <v>DAHF</v>
      </c>
      <c r="E2427" s="86">
        <f t="shared" ca="1" si="533"/>
        <v>10</v>
      </c>
    </row>
    <row r="2428" spans="1:8" ht="14.25" x14ac:dyDescent="0.45">
      <c r="A2428" s="86">
        <f ca="1"/>
        <v>7</v>
      </c>
      <c r="B2428" s="86" t="str">
        <f ca="1"/>
        <v>D137</v>
      </c>
      <c r="C2428" s="86" t="str">
        <f t="shared" ca="1" si="531"/>
        <v>AYYOOB V.N</v>
      </c>
      <c r="D2428" s="86" t="str">
        <f t="shared" ca="1" si="532"/>
        <v>BADF</v>
      </c>
      <c r="E2428" s="86">
        <f t="shared" ca="1" si="533"/>
        <v>9</v>
      </c>
    </row>
    <row r="2429" spans="1:8" ht="14.25" x14ac:dyDescent="0.45">
      <c r="A2429" s="86">
        <f ca="1"/>
        <v>8</v>
      </c>
      <c r="B2429" s="86" t="str">
        <f ca="1"/>
        <v>D161</v>
      </c>
      <c r="C2429" s="86" t="str">
        <f t="shared" ca="1" si="531"/>
        <v>MOHAMMED ATHHAR THAYYIB MS</v>
      </c>
      <c r="D2429" s="86" t="str">
        <f t="shared" ca="1" si="532"/>
        <v>BADF</v>
      </c>
      <c r="E2429" s="86">
        <f t="shared" ca="1" si="533"/>
        <v>9</v>
      </c>
    </row>
    <row r="2430" spans="1:8" ht="14.25" x14ac:dyDescent="0.45">
      <c r="A2430" s="86">
        <f ca="1"/>
        <v>9</v>
      </c>
      <c r="B2430" s="86" t="str">
        <f ca="1"/>
        <v>D143</v>
      </c>
      <c r="C2430" s="86" t="str">
        <f t="shared" ca="1" si="531"/>
        <v>MUHAMMED MA</v>
      </c>
      <c r="D2430" s="86" t="str">
        <f t="shared" ca="1" si="532"/>
        <v>BADF</v>
      </c>
      <c r="E2430" s="86">
        <f t="shared" ca="1" si="533"/>
        <v>9</v>
      </c>
    </row>
    <row r="2431" spans="1:8" ht="14.25" x14ac:dyDescent="0.45">
      <c r="A2431" s="86">
        <f ca="1"/>
        <v>10</v>
      </c>
      <c r="B2431" s="86" t="str">
        <f ca="1"/>
        <v>D113</v>
      </c>
      <c r="C2431" s="86" t="str">
        <f t="shared" ca="1" si="531"/>
        <v>ZULFIKARALI</v>
      </c>
      <c r="D2431" s="86" t="str">
        <f t="shared" ca="1" si="532"/>
        <v>JARF</v>
      </c>
      <c r="E2431" s="86">
        <f t="shared" ca="1" si="533"/>
        <v>8</v>
      </c>
    </row>
    <row r="2432" spans="1:8" ht="14.25" x14ac:dyDescent="0.45">
      <c r="A2432" s="86">
        <f ca="1"/>
        <v>11</v>
      </c>
      <c r="B2432" s="86" t="str">
        <f ca="1"/>
        <v>D176</v>
      </c>
      <c r="C2432" s="86" t="str">
        <f t="shared" ca="1" si="531"/>
        <v>MOHAMMED NASFAR AFNAN H</v>
      </c>
      <c r="D2432" s="86" t="str">
        <f t="shared" ca="1" si="532"/>
        <v>JARF</v>
      </c>
      <c r="E2432" s="86">
        <f t="shared" ca="1" si="533"/>
        <v>10</v>
      </c>
    </row>
    <row r="2433" spans="1:8" ht="14.25" x14ac:dyDescent="0.45">
      <c r="A2433" s="86">
        <f ca="1"/>
        <v>12</v>
      </c>
      <c r="B2433" s="86" t="str">
        <f ca="1"/>
        <v>D194</v>
      </c>
      <c r="C2433" s="86" t="str">
        <f t="shared" ca="1" si="531"/>
        <v>AYAZ RAHMAN T</v>
      </c>
      <c r="D2433" s="86" t="str">
        <f t="shared" ca="1" si="532"/>
        <v>JARF</v>
      </c>
      <c r="E2433" s="86">
        <f t="shared" ca="1" si="533"/>
        <v>10</v>
      </c>
    </row>
    <row r="2434" spans="1:8" ht="14.25" x14ac:dyDescent="0.45">
      <c r="A2434" s="84" t="s">
        <v>403</v>
      </c>
      <c r="B2434" s="84" t="str">
        <f>VLOOKUP("SS39",f_detailsof_programs,2,FALSE)</f>
        <v>NEWS WRITING &amp; READING ARB</v>
      </c>
      <c r="C2434" s="84"/>
      <c r="D2434" s="84" t="s">
        <v>688</v>
      </c>
      <c r="E2434" s="84" t="s">
        <v>485</v>
      </c>
      <c r="F2434" s="84"/>
      <c r="G2434" s="84"/>
      <c r="H2434" s="84"/>
    </row>
    <row r="2435" spans="1:8" ht="14.25" x14ac:dyDescent="0.45">
      <c r="A2435" s="85" t="s">
        <v>16</v>
      </c>
      <c r="B2435" s="85" t="s">
        <v>480</v>
      </c>
      <c r="C2435" s="85" t="s">
        <v>18</v>
      </c>
      <c r="D2435" s="85" t="s">
        <v>481</v>
      </c>
      <c r="E2435" s="85" t="s">
        <v>19</v>
      </c>
      <c r="F2435" s="85" t="s">
        <v>482</v>
      </c>
      <c r="G2435" s="85" t="s">
        <v>483</v>
      </c>
      <c r="H2435" s="85" t="s">
        <v>484</v>
      </c>
    </row>
    <row r="2436" spans="1:8" ht="14.25" x14ac:dyDescent="0.45">
      <c r="A2436" s="86" cm="1">
        <f t="array" aca="1" ref="A2436:A2447" ca="1">_xlfn.SEQUENCE(COUNTA(_xlfn.LET(_xlpm.trimmed,OFFSET(f_listof_program_candidates,MATCH("SS39",f_listof_program_codes,0)-1,6,1,),TRANSPOSE(_xlfn._xlws.FILTER(OFFSET(_xlpm.trimmed,0,0,,COUNTA(_xlpm.trimmed)-5),OFFSET(_xlpm.trimmed,0,0,,COUNTA(_xlpm.trimmed)-5)&lt;&gt;0)))))</f>
        <v>1</v>
      </c>
      <c r="B2436" s="86" t="str" cm="1">
        <f t="array" aca="1" ref="B2436:B2447" ca="1">_xlfn.LET(_xlpm.trimmed,OFFSET(f_listof_program_candidates,MATCH("SS39",f_listof_program_codes,0)-1,6,1,),TRANSPOSE(_xlfn._xlws.FILTER(OFFSET(_xlpm.trimmed,0,0,,COUNTA(_xlpm.trimmed)-5),OFFSET(_xlpm.trimmed,0,0,,COUNTA(_xlpm.trimmed)-5)&lt;&gt;0)))</f>
        <v>D142</v>
      </c>
      <c r="C2436" s="86" t="str">
        <f t="shared" ref="C2436:C2447" ca="1" si="534">VLOOKUP(B2436,f_detailsof_candidates,2,FALSE)</f>
        <v>ISHAM V.K</v>
      </c>
      <c r="D2436" s="86" t="str">
        <f t="shared" ref="D2436:D2447" ca="1" si="535">VLOOKUP(B2436,f_detailsof_candidates,3,FALSE)</f>
        <v>FANT</v>
      </c>
      <c r="E2436" s="86">
        <f t="shared" ref="E2436:E2447" ca="1" si="536">VLOOKUP(B2436,f_detailsof_candidates,5,FALSE)</f>
        <v>9</v>
      </c>
    </row>
    <row r="2437" spans="1:8" ht="14.25" x14ac:dyDescent="0.45">
      <c r="A2437" s="86">
        <f ca="1"/>
        <v>2</v>
      </c>
      <c r="B2437" s="86" t="str">
        <f ca="1"/>
        <v>D177</v>
      </c>
      <c r="C2437" s="86" t="str">
        <f t="shared" ca="1" si="534"/>
        <v>SHAMEEM ABDULLA P.S</v>
      </c>
      <c r="D2437" s="86" t="str">
        <f t="shared" ca="1" si="535"/>
        <v>FANT</v>
      </c>
      <c r="E2437" s="86">
        <f t="shared" ca="1" si="536"/>
        <v>10</v>
      </c>
    </row>
    <row r="2438" spans="1:8" ht="14.25" x14ac:dyDescent="0.45">
      <c r="A2438" s="86">
        <f ca="1"/>
        <v>3</v>
      </c>
      <c r="B2438" s="86" t="str">
        <f ca="1"/>
        <v>D188</v>
      </c>
      <c r="C2438" s="86" t="str">
        <f t="shared" ca="1" si="534"/>
        <v>AHMED MANHAL HUSSAIN</v>
      </c>
      <c r="D2438" s="86" t="str">
        <f t="shared" ca="1" si="535"/>
        <v>FANT</v>
      </c>
      <c r="E2438" s="86">
        <f t="shared" ca="1" si="536"/>
        <v>10</v>
      </c>
    </row>
    <row r="2439" spans="1:8" ht="14.25" x14ac:dyDescent="0.45">
      <c r="A2439" s="86">
        <f ca="1"/>
        <v>4</v>
      </c>
      <c r="B2439" s="86" t="str">
        <f ca="1"/>
        <v>D140</v>
      </c>
      <c r="C2439" s="86" t="str">
        <f t="shared" ca="1" si="534"/>
        <v>MUHAMMED FAISAL A K</v>
      </c>
      <c r="D2439" s="86" t="str">
        <f t="shared" ca="1" si="535"/>
        <v>DAHF</v>
      </c>
      <c r="E2439" s="86">
        <f t="shared" ca="1" si="536"/>
        <v>9</v>
      </c>
    </row>
    <row r="2440" spans="1:8" ht="14.25" x14ac:dyDescent="0.45">
      <c r="A2440" s="86">
        <f ca="1"/>
        <v>5</v>
      </c>
      <c r="B2440" s="86" t="str">
        <f ca="1"/>
        <v>D166</v>
      </c>
      <c r="C2440" s="86" t="str">
        <f t="shared" ca="1" si="534"/>
        <v>MOHAMMED IRFAN C</v>
      </c>
      <c r="D2440" s="86" t="str">
        <f t="shared" ca="1" si="535"/>
        <v>DAHF</v>
      </c>
      <c r="E2440" s="86">
        <f t="shared" ca="1" si="536"/>
        <v>9</v>
      </c>
    </row>
    <row r="2441" spans="1:8" ht="14.25" x14ac:dyDescent="0.45">
      <c r="A2441" s="86">
        <f ca="1"/>
        <v>6</v>
      </c>
      <c r="B2441" s="86" t="str">
        <f ca="1"/>
        <v>D148</v>
      </c>
      <c r="C2441" s="86" t="str">
        <f t="shared" ca="1" si="534"/>
        <v>UMARUL FAROOK K .K</v>
      </c>
      <c r="D2441" s="86" t="str">
        <f t="shared" ca="1" si="535"/>
        <v>DAHF</v>
      </c>
      <c r="E2441" s="86">
        <f t="shared" ca="1" si="536"/>
        <v>9</v>
      </c>
    </row>
    <row r="2442" spans="1:8" ht="14.25" x14ac:dyDescent="0.45">
      <c r="A2442" s="86">
        <f ca="1"/>
        <v>7</v>
      </c>
      <c r="B2442" s="86" t="str">
        <f ca="1"/>
        <v>D143</v>
      </c>
      <c r="C2442" s="86" t="str">
        <f t="shared" ca="1" si="534"/>
        <v>MUHAMMED MA</v>
      </c>
      <c r="D2442" s="86" t="str">
        <f t="shared" ca="1" si="535"/>
        <v>BADF</v>
      </c>
      <c r="E2442" s="86">
        <f t="shared" ca="1" si="536"/>
        <v>9</v>
      </c>
    </row>
    <row r="2443" spans="1:8" ht="14.25" x14ac:dyDescent="0.45">
      <c r="A2443" s="86">
        <f ca="1"/>
        <v>8</v>
      </c>
      <c r="B2443" s="86" t="str">
        <f ca="1"/>
        <v>D162</v>
      </c>
      <c r="C2443" s="86" t="str">
        <f t="shared" ca="1" si="534"/>
        <v>ABDURAHMAN P.H</v>
      </c>
      <c r="D2443" s="86" t="str">
        <f t="shared" ca="1" si="535"/>
        <v>BADF</v>
      </c>
      <c r="E2443" s="86">
        <f t="shared" ca="1" si="536"/>
        <v>9</v>
      </c>
    </row>
    <row r="2444" spans="1:8" ht="14.25" x14ac:dyDescent="0.45">
      <c r="A2444" s="86">
        <f ca="1"/>
        <v>9</v>
      </c>
      <c r="B2444" s="86" t="str">
        <f ca="1"/>
        <v>D178</v>
      </c>
      <c r="C2444" s="86" t="str">
        <f t="shared" ca="1" si="534"/>
        <v>AHMED BK</v>
      </c>
      <c r="D2444" s="86" t="str">
        <f t="shared" ca="1" si="535"/>
        <v>BADF</v>
      </c>
      <c r="E2444" s="86">
        <f t="shared" ca="1" si="536"/>
        <v>10</v>
      </c>
    </row>
    <row r="2445" spans="1:8" ht="14.25" x14ac:dyDescent="0.45">
      <c r="A2445" s="86">
        <f ca="1"/>
        <v>10</v>
      </c>
      <c r="B2445" s="86" t="str">
        <f ca="1"/>
        <v>D104</v>
      </c>
      <c r="C2445" s="86" t="str">
        <f t="shared" ca="1" si="534"/>
        <v>MUHAMMAD SHANEED.</v>
      </c>
      <c r="D2445" s="86" t="str">
        <f t="shared" ca="1" si="535"/>
        <v>JARF</v>
      </c>
      <c r="E2445" s="86">
        <f t="shared" ca="1" si="536"/>
        <v>8</v>
      </c>
    </row>
    <row r="2446" spans="1:8" ht="14.25" x14ac:dyDescent="0.45">
      <c r="A2446" s="86">
        <f ca="1"/>
        <v>11</v>
      </c>
      <c r="B2446" s="86" t="str">
        <f ca="1"/>
        <v>D139</v>
      </c>
      <c r="C2446" s="86" t="str">
        <f t="shared" ca="1" si="534"/>
        <v>AHAMMED MUBARAK KA</v>
      </c>
      <c r="D2446" s="86" t="str">
        <f t="shared" ca="1" si="535"/>
        <v>JARF</v>
      </c>
      <c r="E2446" s="86">
        <f t="shared" ca="1" si="536"/>
        <v>9</v>
      </c>
    </row>
    <row r="2447" spans="1:8" ht="14.25" x14ac:dyDescent="0.45">
      <c r="A2447" s="86">
        <f ca="1"/>
        <v>12</v>
      </c>
      <c r="B2447" s="86" t="str">
        <f ca="1"/>
        <v>D149</v>
      </c>
      <c r="C2447" s="86" t="str">
        <f t="shared" ca="1" si="534"/>
        <v>MOHAMMED MARZOOK AM</v>
      </c>
      <c r="D2447" s="86" t="str">
        <f t="shared" ca="1" si="535"/>
        <v>JARF</v>
      </c>
      <c r="E2447" s="86">
        <f t="shared" ca="1" si="536"/>
        <v>9</v>
      </c>
    </row>
    <row r="2448" spans="1:8" ht="14.25" x14ac:dyDescent="0.45">
      <c r="A2448" s="84" t="s">
        <v>405</v>
      </c>
      <c r="B2448" s="84" t="str">
        <f>VLOOKUP("SS40",f_detailsof_programs,2,FALSE)</f>
        <v>POLITICAL SATIRE MLM</v>
      </c>
      <c r="C2448" s="84"/>
      <c r="D2448" s="84" t="s">
        <v>688</v>
      </c>
      <c r="E2448" s="84" t="s">
        <v>486</v>
      </c>
      <c r="F2448" s="84"/>
      <c r="G2448" s="84"/>
      <c r="H2448" s="84"/>
    </row>
    <row r="2449" spans="1:8" ht="14.25" x14ac:dyDescent="0.45">
      <c r="A2449" s="85" t="s">
        <v>16</v>
      </c>
      <c r="B2449" s="85" t="s">
        <v>480</v>
      </c>
      <c r="C2449" s="85" t="s">
        <v>18</v>
      </c>
      <c r="D2449" s="85" t="s">
        <v>481</v>
      </c>
      <c r="E2449" s="85" t="s">
        <v>19</v>
      </c>
      <c r="F2449" s="85" t="s">
        <v>482</v>
      </c>
      <c r="G2449" s="85" t="s">
        <v>483</v>
      </c>
      <c r="H2449" s="85" t="s">
        <v>484</v>
      </c>
    </row>
    <row r="2450" spans="1:8" ht="14.25" x14ac:dyDescent="0.45">
      <c r="A2450" s="86" cm="1">
        <f t="array" aca="1" ref="A2450:A2457" ca="1">_xlfn.SEQUENCE(COUNTA(_xlfn.LET(_xlpm.trimmed,OFFSET(f_listof_program_candidates,MATCH("SS40",f_listof_program_codes,0)-1,6,1,),TRANSPOSE(_xlfn._xlws.FILTER(OFFSET(_xlpm.trimmed,0,0,,COUNTA(_xlpm.trimmed)-5),OFFSET(_xlpm.trimmed,0,0,,COUNTA(_xlpm.trimmed)-5)&lt;&gt;0)))))</f>
        <v>1</v>
      </c>
      <c r="B2450" s="86" t="str" cm="1">
        <f t="array" aca="1" ref="B2450:B2457" ca="1">_xlfn.LET(_xlpm.trimmed,OFFSET(f_listof_program_candidates,MATCH("SS40",f_listof_program_codes,0)-1,6,1,),TRANSPOSE(_xlfn._xlws.FILTER(OFFSET(_xlpm.trimmed,0,0,,COUNTA(_xlpm.trimmed)-5),OFFSET(_xlpm.trimmed,0,0,,COUNTA(_xlpm.trimmed)-5)&lt;&gt;0)))</f>
        <v>D127</v>
      </c>
      <c r="C2450" s="86" t="str">
        <f t="shared" ref="C2450:C2457" ca="1" si="537">VLOOKUP(B2450,f_detailsof_candidates,2,FALSE)</f>
        <v>SHADIN G</v>
      </c>
      <c r="D2450" s="86" t="str">
        <f t="shared" ref="D2450:D2457" ca="1" si="538">VLOOKUP(B2450,f_detailsof_candidates,3,FALSE)</f>
        <v>FANT</v>
      </c>
      <c r="E2450" s="86">
        <f t="shared" ref="E2450:E2457" ca="1" si="539">VLOOKUP(B2450,f_detailsof_candidates,5,FALSE)</f>
        <v>8</v>
      </c>
    </row>
    <row r="2451" spans="1:8" ht="14.25" x14ac:dyDescent="0.45">
      <c r="A2451" s="86">
        <f ca="1"/>
        <v>2</v>
      </c>
      <c r="B2451" s="86" t="str">
        <f ca="1"/>
        <v>D128</v>
      </c>
      <c r="C2451" s="86" t="str">
        <f t="shared" ca="1" si="537"/>
        <v>MEHAZIN AMAN T</v>
      </c>
      <c r="D2451" s="86" t="str">
        <f t="shared" ca="1" si="538"/>
        <v>FANT</v>
      </c>
      <c r="E2451" s="86">
        <f t="shared" ca="1" si="539"/>
        <v>8</v>
      </c>
    </row>
    <row r="2452" spans="1:8" ht="14.25" x14ac:dyDescent="0.45">
      <c r="A2452" s="86">
        <f ca="1"/>
        <v>3</v>
      </c>
      <c r="B2452" s="86" t="str">
        <f ca="1"/>
        <v>D140</v>
      </c>
      <c r="C2452" s="86" t="str">
        <f t="shared" ca="1" si="537"/>
        <v>MUHAMMED FAISAL A K</v>
      </c>
      <c r="D2452" s="86" t="str">
        <f t="shared" ca="1" si="538"/>
        <v>DAHF</v>
      </c>
      <c r="E2452" s="86">
        <f t="shared" ca="1" si="539"/>
        <v>9</v>
      </c>
    </row>
    <row r="2453" spans="1:8" ht="14.25" x14ac:dyDescent="0.45">
      <c r="A2453" s="86">
        <f ca="1"/>
        <v>4</v>
      </c>
      <c r="B2453" s="86" t="str">
        <f ca="1"/>
        <v>D152</v>
      </c>
      <c r="C2453" s="86" t="str">
        <f t="shared" ca="1" si="537"/>
        <v>MOHAMMAD ISMAIL SINAN KM</v>
      </c>
      <c r="D2453" s="86" t="str">
        <f t="shared" ca="1" si="538"/>
        <v>DAHF</v>
      </c>
      <c r="E2453" s="86">
        <f t="shared" ca="1" si="539"/>
        <v>9</v>
      </c>
    </row>
    <row r="2454" spans="1:8" ht="14.25" x14ac:dyDescent="0.45">
      <c r="A2454" s="86">
        <f ca="1"/>
        <v>5</v>
      </c>
      <c r="B2454" s="86" t="str">
        <f ca="1"/>
        <v>D141</v>
      </c>
      <c r="C2454" s="86" t="str">
        <f t="shared" ca="1" si="537"/>
        <v>MUHAMMAD MUSTHAFA P.K</v>
      </c>
      <c r="D2454" s="86" t="str">
        <f t="shared" ca="1" si="538"/>
        <v>BADF</v>
      </c>
      <c r="E2454" s="86">
        <f t="shared" ca="1" si="539"/>
        <v>9</v>
      </c>
    </row>
    <row r="2455" spans="1:8" ht="14.25" x14ac:dyDescent="0.45">
      <c r="A2455" s="86">
        <f ca="1"/>
        <v>6</v>
      </c>
      <c r="B2455" s="86" t="str">
        <f ca="1"/>
        <v>D195</v>
      </c>
      <c r="C2455" s="86" t="str">
        <f t="shared" ca="1" si="537"/>
        <v>AHMED SWALAHUDHEEN PI</v>
      </c>
      <c r="D2455" s="86" t="str">
        <f t="shared" ca="1" si="538"/>
        <v>BADF</v>
      </c>
      <c r="E2455" s="86">
        <f t="shared" ca="1" si="539"/>
        <v>10</v>
      </c>
    </row>
    <row r="2456" spans="1:8" ht="14.25" x14ac:dyDescent="0.45">
      <c r="A2456" s="86">
        <f ca="1"/>
        <v>7</v>
      </c>
      <c r="B2456" s="86" t="str">
        <f ca="1"/>
        <v>D113</v>
      </c>
      <c r="C2456" s="86" t="str">
        <f t="shared" ca="1" si="537"/>
        <v>ZULFIKARALI</v>
      </c>
      <c r="D2456" s="86" t="str">
        <f t="shared" ca="1" si="538"/>
        <v>JARF</v>
      </c>
      <c r="E2456" s="86">
        <f t="shared" ca="1" si="539"/>
        <v>8</v>
      </c>
    </row>
    <row r="2457" spans="1:8" ht="14.25" x14ac:dyDescent="0.45">
      <c r="A2457" s="86">
        <f ca="1"/>
        <v>8</v>
      </c>
      <c r="B2457" s="86" t="str">
        <f ca="1"/>
        <v>D170</v>
      </c>
      <c r="C2457" s="86" t="str">
        <f t="shared" ca="1" si="537"/>
        <v>AHMED ADIL B.K</v>
      </c>
      <c r="D2457" s="86" t="str">
        <f t="shared" ca="1" si="538"/>
        <v>JARF</v>
      </c>
      <c r="E2457" s="86">
        <f t="shared" ca="1" si="539"/>
        <v>10</v>
      </c>
    </row>
    <row r="2458" spans="1:8" ht="14.25" x14ac:dyDescent="0.45">
      <c r="A2458" s="84" t="s">
        <v>407</v>
      </c>
      <c r="B2458" s="84" t="str">
        <f>VLOOKUP("SS41",f_detailsof_programs,2,FALSE)</f>
        <v>PROJECT PRESENTATION ENG</v>
      </c>
      <c r="C2458" s="84"/>
      <c r="D2458" s="84" t="s">
        <v>688</v>
      </c>
      <c r="E2458" s="84" t="s">
        <v>638</v>
      </c>
      <c r="F2458" s="84"/>
      <c r="G2458" s="84"/>
      <c r="H2458" s="84"/>
    </row>
    <row r="2459" spans="1:8" ht="14.25" x14ac:dyDescent="0.45">
      <c r="A2459" s="85" t="s">
        <v>16</v>
      </c>
      <c r="B2459" s="85" t="s">
        <v>480</v>
      </c>
      <c r="C2459" s="85" t="s">
        <v>18</v>
      </c>
      <c r="D2459" s="85" t="s">
        <v>481</v>
      </c>
      <c r="E2459" s="85" t="s">
        <v>19</v>
      </c>
      <c r="F2459" s="85" t="s">
        <v>482</v>
      </c>
      <c r="G2459" s="85" t="s">
        <v>483</v>
      </c>
      <c r="H2459" s="85" t="s">
        <v>484</v>
      </c>
    </row>
    <row r="2460" spans="1:8" ht="14.25" x14ac:dyDescent="0.45">
      <c r="A2460" s="86" cm="1">
        <f t="array" aca="1" ref="A2460:A2463" ca="1">_xlfn.SEQUENCE(COUNTA(_xlfn.LET(_xlpm.trimmed,OFFSET(f_listof_program_candidates,MATCH("SS41",f_listof_program_codes,0)-1,6,1,),TRANSPOSE(_xlfn._xlws.FILTER(OFFSET(_xlpm.trimmed,0,0,,COUNTA(_xlpm.trimmed)-5),OFFSET(_xlpm.trimmed,0,0,,COUNTA(_xlpm.trimmed)-5)&lt;&gt;0)))))</f>
        <v>1</v>
      </c>
      <c r="B2460" s="86" t="str" cm="1">
        <f t="array" aca="1" ref="B2460:B2463" ca="1">_xlfn.LET(_xlpm.trimmed,OFFSET(f_listof_program_candidates,MATCH("SS41",f_listof_program_codes,0)-1,6,1,),TRANSPOSE(_xlfn._xlws.FILTER(OFFSET(_xlpm.trimmed,0,0,,COUNTA(_xlpm.trimmed)-5),OFFSET(_xlpm.trimmed,0,0,,COUNTA(_xlpm.trimmed)-5)&lt;&gt;0)))</f>
        <v>D165</v>
      </c>
      <c r="C2460" s="86" t="str">
        <f ca="1">VLOOKUP(B2460,f_detailsof_candidates,2,FALSE)</f>
        <v>AJMAL KI</v>
      </c>
      <c r="D2460" s="86" t="str">
        <f ca="1">VLOOKUP(B2460,f_detailsof_candidates,3,FALSE)</f>
        <v>FANT</v>
      </c>
      <c r="E2460" s="86">
        <f ca="1">VLOOKUP(B2460,f_detailsof_candidates,5,FALSE)</f>
        <v>9</v>
      </c>
    </row>
    <row r="2461" spans="1:8" ht="14.25" x14ac:dyDescent="0.45">
      <c r="A2461" s="86">
        <f ca="1"/>
        <v>2</v>
      </c>
      <c r="B2461" s="86" t="str">
        <f ca="1"/>
        <v>D150</v>
      </c>
      <c r="C2461" s="86" t="str">
        <f ca="1">VLOOKUP(B2461,f_detailsof_candidates,2,FALSE)</f>
        <v>ABDUL KHADER</v>
      </c>
      <c r="D2461" s="86" t="str">
        <f ca="1">VLOOKUP(B2461,f_detailsof_candidates,3,FALSE)</f>
        <v>DAHF</v>
      </c>
      <c r="E2461" s="86">
        <f ca="1">VLOOKUP(B2461,f_detailsof_candidates,5,FALSE)</f>
        <v>9</v>
      </c>
    </row>
    <row r="2462" spans="1:8" ht="14.25" x14ac:dyDescent="0.45">
      <c r="A2462" s="86">
        <f ca="1"/>
        <v>3</v>
      </c>
      <c r="B2462" s="86" t="str">
        <f ca="1"/>
        <v>D118</v>
      </c>
      <c r="C2462" s="86" t="str">
        <f ca="1">VLOOKUP(B2462,f_detailsof_candidates,2,FALSE)</f>
        <v>MOHAMMAD KHALANDAR ZIYAD</v>
      </c>
      <c r="D2462" s="86" t="str">
        <f ca="1">VLOOKUP(B2462,f_detailsof_candidates,3,FALSE)</f>
        <v>BADF</v>
      </c>
      <c r="E2462" s="86">
        <f ca="1">VLOOKUP(B2462,f_detailsof_candidates,5,FALSE)</f>
        <v>8</v>
      </c>
    </row>
    <row r="2463" spans="1:8" ht="14.25" x14ac:dyDescent="0.45">
      <c r="A2463" s="86">
        <f ca="1"/>
        <v>4</v>
      </c>
      <c r="B2463" s="86" t="str">
        <f ca="1"/>
        <v>D111</v>
      </c>
      <c r="C2463" s="86" t="str">
        <f ca="1">VLOOKUP(B2463,f_detailsof_candidates,2,FALSE)</f>
        <v>MAHAMMED SHAMEEL</v>
      </c>
      <c r="D2463" s="86" t="str">
        <f ca="1">VLOOKUP(B2463,f_detailsof_candidates,3,FALSE)</f>
        <v>JARF</v>
      </c>
      <c r="E2463" s="86">
        <f ca="1">VLOOKUP(B2463,f_detailsof_candidates,5,FALSE)</f>
        <v>8</v>
      </c>
    </row>
    <row r="2464" spans="1:8" ht="14.25" x14ac:dyDescent="0.45">
      <c r="A2464" s="84" t="s">
        <v>409</v>
      </c>
      <c r="B2464" s="84" t="str">
        <f>VLOOKUP("SS42",f_detailsof_programs,2,FALSE)</f>
        <v>REVERSE QUIZ</v>
      </c>
      <c r="C2464" s="84"/>
      <c r="D2464" s="84" t="s">
        <v>688</v>
      </c>
      <c r="E2464" s="84" t="s">
        <v>486</v>
      </c>
      <c r="F2464" s="84"/>
      <c r="G2464" s="84"/>
      <c r="H2464" s="84"/>
    </row>
    <row r="2465" spans="1:8" ht="14.25" x14ac:dyDescent="0.45">
      <c r="A2465" s="85" t="s">
        <v>16</v>
      </c>
      <c r="B2465" s="85" t="s">
        <v>480</v>
      </c>
      <c r="C2465" s="85" t="s">
        <v>18</v>
      </c>
      <c r="D2465" s="85" t="s">
        <v>481</v>
      </c>
      <c r="E2465" s="85" t="s">
        <v>19</v>
      </c>
      <c r="F2465" s="85" t="s">
        <v>482</v>
      </c>
      <c r="G2465" s="85" t="s">
        <v>483</v>
      </c>
      <c r="H2465" s="85" t="s">
        <v>484</v>
      </c>
    </row>
    <row r="2466" spans="1:8" ht="14.25" x14ac:dyDescent="0.45">
      <c r="A2466" s="86" cm="1">
        <f t="array" aca="1" ref="A2466:A2473" ca="1">_xlfn.SEQUENCE(COUNTA(_xlfn.LET(_xlpm.trimmed,OFFSET(f_listof_program_candidates,MATCH("SS42",f_listof_program_codes,0)-1,6,1,),TRANSPOSE(_xlfn._xlws.FILTER(OFFSET(_xlpm.trimmed,0,0,,COUNTA(_xlpm.trimmed)-5),OFFSET(_xlpm.trimmed,0,0,,COUNTA(_xlpm.trimmed)-5)&lt;&gt;0)))))</f>
        <v>1</v>
      </c>
      <c r="B2466" s="86" t="str" cm="1">
        <f t="array" aca="1" ref="B2466:B2473" ca="1">_xlfn.LET(_xlpm.trimmed,OFFSET(f_listof_program_candidates,MATCH("SS42",f_listof_program_codes,0)-1,6,1,),TRANSPOSE(_xlfn._xlws.FILTER(OFFSET(_xlpm.trimmed,0,0,,COUNTA(_xlpm.trimmed)-5),OFFSET(_xlpm.trimmed,0,0,,COUNTA(_xlpm.trimmed)-5)&lt;&gt;0)))</f>
        <v>D133</v>
      </c>
      <c r="C2466" s="86" t="str">
        <f t="shared" ref="C2466:C2473" ca="1" si="540">VLOOKUP(B2466,f_detailsof_candidates,2,FALSE)</f>
        <v>MOHAMMED SHAMSHEER</v>
      </c>
      <c r="D2466" s="86" t="str">
        <f t="shared" ref="D2466:D2473" ca="1" si="541">VLOOKUP(B2466,f_detailsof_candidates,3,FALSE)</f>
        <v>FANT</v>
      </c>
      <c r="E2466" s="86">
        <f t="shared" ref="E2466:E2473" ca="1" si="542">VLOOKUP(B2466,f_detailsof_candidates,5,FALSE)</f>
        <v>9</v>
      </c>
    </row>
    <row r="2467" spans="1:8" ht="14.25" x14ac:dyDescent="0.45">
      <c r="A2467" s="86">
        <f ca="1"/>
        <v>2</v>
      </c>
      <c r="B2467" s="86" t="str">
        <f ca="1"/>
        <v>D117</v>
      </c>
      <c r="C2467" s="86" t="str">
        <f t="shared" ca="1" si="540"/>
        <v>MOHAMMED SAHL CS</v>
      </c>
      <c r="D2467" s="86" t="str">
        <f t="shared" ca="1" si="541"/>
        <v>FANT</v>
      </c>
      <c r="E2467" s="86">
        <f t="shared" ca="1" si="542"/>
        <v>8</v>
      </c>
    </row>
    <row r="2468" spans="1:8" ht="14.25" x14ac:dyDescent="0.45">
      <c r="A2468" s="86">
        <f ca="1"/>
        <v>3</v>
      </c>
      <c r="B2468" s="86" t="str">
        <f ca="1"/>
        <v>D172</v>
      </c>
      <c r="C2468" s="86" t="str">
        <f t="shared" ca="1" si="540"/>
        <v>MUHAMMED MUFEED</v>
      </c>
      <c r="D2468" s="86" t="str">
        <f t="shared" ca="1" si="541"/>
        <v>DAHF</v>
      </c>
      <c r="E2468" s="86">
        <f t="shared" ca="1" si="542"/>
        <v>10</v>
      </c>
    </row>
    <row r="2469" spans="1:8" ht="14.25" x14ac:dyDescent="0.45">
      <c r="A2469" s="86">
        <f ca="1"/>
        <v>4</v>
      </c>
      <c r="B2469" s="86" t="str">
        <f ca="1"/>
        <v>D183</v>
      </c>
      <c r="C2469" s="86" t="str">
        <f t="shared" ca="1" si="540"/>
        <v>MOHAMMAD SWALIH K</v>
      </c>
      <c r="D2469" s="86" t="str">
        <f t="shared" ca="1" si="541"/>
        <v>DAHF</v>
      </c>
      <c r="E2469" s="86">
        <f t="shared" ca="1" si="542"/>
        <v>10</v>
      </c>
    </row>
    <row r="2470" spans="1:8" ht="14.25" x14ac:dyDescent="0.45">
      <c r="A2470" s="86">
        <f ca="1"/>
        <v>5</v>
      </c>
      <c r="B2470" s="86" t="str">
        <f ca="1"/>
        <v>D157</v>
      </c>
      <c r="C2470" s="86" t="str">
        <f t="shared" ca="1" si="540"/>
        <v>MUHAMMAD MUZAMMIL E.A</v>
      </c>
      <c r="D2470" s="86" t="str">
        <f t="shared" ca="1" si="541"/>
        <v>BADF</v>
      </c>
      <c r="E2470" s="86">
        <f t="shared" ca="1" si="542"/>
        <v>9</v>
      </c>
    </row>
    <row r="2471" spans="1:8" ht="14.25" x14ac:dyDescent="0.45">
      <c r="A2471" s="86">
        <f ca="1"/>
        <v>6</v>
      </c>
      <c r="B2471" s="86" t="str">
        <f ca="1"/>
        <v>D174</v>
      </c>
      <c r="C2471" s="86" t="str">
        <f t="shared" ca="1" si="540"/>
        <v>BADRUDHIN A</v>
      </c>
      <c r="D2471" s="86" t="str">
        <f t="shared" ca="1" si="541"/>
        <v>BADF</v>
      </c>
      <c r="E2471" s="86">
        <f t="shared" ca="1" si="542"/>
        <v>10</v>
      </c>
    </row>
    <row r="2472" spans="1:8" ht="14.25" x14ac:dyDescent="0.45">
      <c r="A2472" s="86">
        <f ca="1"/>
        <v>7</v>
      </c>
      <c r="B2472" s="86" t="str">
        <f ca="1"/>
        <v>D153</v>
      </c>
      <c r="C2472" s="86" t="str">
        <f t="shared" ca="1" si="540"/>
        <v>MUHAMMED UNAIS PT</v>
      </c>
      <c r="D2472" s="86" t="str">
        <f t="shared" ca="1" si="541"/>
        <v>JARF</v>
      </c>
      <c r="E2472" s="86">
        <f t="shared" ca="1" si="542"/>
        <v>9</v>
      </c>
    </row>
    <row r="2473" spans="1:8" ht="14.25" x14ac:dyDescent="0.45">
      <c r="A2473" s="86">
        <f ca="1"/>
        <v>8</v>
      </c>
      <c r="B2473" s="86" t="str">
        <f ca="1"/>
        <v>D170</v>
      </c>
      <c r="C2473" s="86" t="str">
        <f t="shared" ca="1" si="540"/>
        <v>AHMED ADIL B.K</v>
      </c>
      <c r="D2473" s="86" t="str">
        <f t="shared" ca="1" si="541"/>
        <v>JARF</v>
      </c>
      <c r="E2473" s="86">
        <f t="shared" ca="1" si="542"/>
        <v>10</v>
      </c>
    </row>
    <row r="2474" spans="1:8" ht="14.25" x14ac:dyDescent="0.45">
      <c r="A2474" s="84" t="s">
        <v>410</v>
      </c>
      <c r="B2474" s="84" t="str">
        <f>VLOOKUP("SS43",f_detailsof_programs,2,FALSE)</f>
        <v>SIYASI THAQREER URD</v>
      </c>
      <c r="C2474" s="84"/>
      <c r="D2474" s="84" t="s">
        <v>688</v>
      </c>
      <c r="E2474" s="84" t="s">
        <v>486</v>
      </c>
      <c r="F2474" s="84"/>
      <c r="G2474" s="84"/>
      <c r="H2474" s="84"/>
    </row>
    <row r="2475" spans="1:8" ht="14.25" x14ac:dyDescent="0.45">
      <c r="A2475" s="85" t="s">
        <v>16</v>
      </c>
      <c r="B2475" s="85" t="s">
        <v>480</v>
      </c>
      <c r="C2475" s="85" t="s">
        <v>18</v>
      </c>
      <c r="D2475" s="85" t="s">
        <v>481</v>
      </c>
      <c r="E2475" s="85" t="s">
        <v>19</v>
      </c>
      <c r="F2475" s="85" t="s">
        <v>482</v>
      </c>
      <c r="G2475" s="85" t="s">
        <v>483</v>
      </c>
      <c r="H2475" s="85" t="s">
        <v>484</v>
      </c>
    </row>
    <row r="2476" spans="1:8" ht="14.25" x14ac:dyDescent="0.45">
      <c r="A2476" s="86" cm="1">
        <f t="array" aca="1" ref="A2476:A2483" ca="1">_xlfn.SEQUENCE(COUNTA(_xlfn.LET(_xlpm.trimmed,OFFSET(f_listof_program_candidates,MATCH("SS43",f_listof_program_codes,0)-1,6,1,),TRANSPOSE(_xlfn._xlws.FILTER(OFFSET(_xlpm.trimmed,0,0,,COUNTA(_xlpm.trimmed)-5),OFFSET(_xlpm.trimmed,0,0,,COUNTA(_xlpm.trimmed)-5)&lt;&gt;0)))))</f>
        <v>1</v>
      </c>
      <c r="B2476" s="86" t="str" cm="1">
        <f t="array" aca="1" ref="B2476:B2483" ca="1">_xlfn.LET(_xlpm.trimmed,OFFSET(f_listof_program_candidates,MATCH("SS43",f_listof_program_codes,0)-1,6,1,),TRANSPOSE(_xlfn._xlws.FILTER(OFFSET(_xlpm.trimmed,0,0,,COUNTA(_xlpm.trimmed)-5),OFFSET(_xlpm.trimmed,0,0,,COUNTA(_xlpm.trimmed)-5)&lt;&gt;0)))</f>
        <v>D128</v>
      </c>
      <c r="C2476" s="86" t="str">
        <f t="shared" ref="C2476:C2483" ca="1" si="543">VLOOKUP(B2476,f_detailsof_candidates,2,FALSE)</f>
        <v>MEHAZIN AMAN T</v>
      </c>
      <c r="D2476" s="86" t="str">
        <f t="shared" ref="D2476:D2483" ca="1" si="544">VLOOKUP(B2476,f_detailsof_candidates,3,FALSE)</f>
        <v>FANT</v>
      </c>
      <c r="E2476" s="86">
        <f t="shared" ref="E2476:E2483" ca="1" si="545">VLOOKUP(B2476,f_detailsof_candidates,5,FALSE)</f>
        <v>8</v>
      </c>
    </row>
    <row r="2477" spans="1:8" ht="14.25" x14ac:dyDescent="0.45">
      <c r="A2477" s="86">
        <f ca="1"/>
        <v>2</v>
      </c>
      <c r="B2477" s="86" t="str">
        <f ca="1"/>
        <v>D198</v>
      </c>
      <c r="C2477" s="86" t="str">
        <f t="shared" ca="1" si="543"/>
        <v>MUHAMMED SAFWAN</v>
      </c>
      <c r="D2477" s="86" t="str">
        <f t="shared" ca="1" si="544"/>
        <v>FANT</v>
      </c>
      <c r="E2477" s="86">
        <f t="shared" ca="1" si="545"/>
        <v>10</v>
      </c>
    </row>
    <row r="2478" spans="1:8" ht="14.25" x14ac:dyDescent="0.45">
      <c r="A2478" s="86">
        <f ca="1"/>
        <v>3</v>
      </c>
      <c r="B2478" s="86" t="str">
        <f ca="1"/>
        <v>D183</v>
      </c>
      <c r="C2478" s="86" t="str">
        <f t="shared" ca="1" si="543"/>
        <v>MOHAMMAD SWALIH K</v>
      </c>
      <c r="D2478" s="86" t="str">
        <f t="shared" ca="1" si="544"/>
        <v>DAHF</v>
      </c>
      <c r="E2478" s="86">
        <f t="shared" ca="1" si="545"/>
        <v>10</v>
      </c>
    </row>
    <row r="2479" spans="1:8" ht="14.25" x14ac:dyDescent="0.45">
      <c r="A2479" s="86">
        <f ca="1"/>
        <v>4</v>
      </c>
      <c r="B2479" s="86" t="str">
        <f ca="1"/>
        <v>D187</v>
      </c>
      <c r="C2479" s="86" t="str">
        <f t="shared" ca="1" si="543"/>
        <v>ABDUL RAHMAN</v>
      </c>
      <c r="D2479" s="86" t="str">
        <f t="shared" ca="1" si="544"/>
        <v>DAHF</v>
      </c>
      <c r="E2479" s="86">
        <f t="shared" ca="1" si="545"/>
        <v>10</v>
      </c>
    </row>
    <row r="2480" spans="1:8" ht="14.25" x14ac:dyDescent="0.45">
      <c r="A2480" s="86">
        <f ca="1"/>
        <v>5</v>
      </c>
      <c r="B2480" s="86" t="str">
        <f ca="1"/>
        <v>D118</v>
      </c>
      <c r="C2480" s="86" t="str">
        <f t="shared" ca="1" si="543"/>
        <v>MOHAMMAD KHALANDAR ZIYAD</v>
      </c>
      <c r="D2480" s="86" t="str">
        <f t="shared" ca="1" si="544"/>
        <v>BADF</v>
      </c>
      <c r="E2480" s="86">
        <f t="shared" ca="1" si="545"/>
        <v>8</v>
      </c>
    </row>
    <row r="2481" spans="1:8" ht="14.25" x14ac:dyDescent="0.45">
      <c r="A2481" s="86">
        <f ca="1"/>
        <v>6</v>
      </c>
      <c r="B2481" s="86" t="str">
        <f ca="1"/>
        <v>D145</v>
      </c>
      <c r="C2481" s="86" t="str">
        <f t="shared" ca="1" si="543"/>
        <v>ABBAS ARFAS O.R</v>
      </c>
      <c r="D2481" s="86" t="str">
        <f t="shared" ca="1" si="544"/>
        <v>BADF</v>
      </c>
      <c r="E2481" s="86">
        <f t="shared" ca="1" si="545"/>
        <v>9</v>
      </c>
    </row>
    <row r="2482" spans="1:8" ht="14.25" x14ac:dyDescent="0.45">
      <c r="A2482" s="86">
        <f ca="1"/>
        <v>7</v>
      </c>
      <c r="B2482" s="86" t="str">
        <f ca="1"/>
        <v>D111</v>
      </c>
      <c r="C2482" s="86" t="str">
        <f t="shared" ca="1" si="543"/>
        <v>MAHAMMED SHAMEEL</v>
      </c>
      <c r="D2482" s="86" t="str">
        <f t="shared" ca="1" si="544"/>
        <v>JARF</v>
      </c>
      <c r="E2482" s="86">
        <f t="shared" ca="1" si="545"/>
        <v>8</v>
      </c>
    </row>
    <row r="2483" spans="1:8" ht="14.25" x14ac:dyDescent="0.45">
      <c r="A2483" s="86">
        <f ca="1"/>
        <v>8</v>
      </c>
      <c r="B2483" s="86" t="str">
        <f ca="1"/>
        <v>D164</v>
      </c>
      <c r="C2483" s="86" t="str">
        <f t="shared" ca="1" si="543"/>
        <v>AHMED SULTHAN</v>
      </c>
      <c r="D2483" s="86" t="str">
        <f t="shared" ca="1" si="544"/>
        <v>JARF</v>
      </c>
      <c r="E2483" s="86">
        <f t="shared" ca="1" si="545"/>
        <v>9</v>
      </c>
    </row>
    <row r="2484" spans="1:8" ht="14.25" x14ac:dyDescent="0.45">
      <c r="A2484" s="84" t="s">
        <v>412</v>
      </c>
      <c r="B2484" s="84" t="str">
        <f>VLOOKUP("SS44",f_detailsof_programs,2,FALSE)</f>
        <v>SONG ENG</v>
      </c>
      <c r="C2484" s="84"/>
      <c r="D2484" s="84" t="s">
        <v>688</v>
      </c>
      <c r="E2484" s="84" t="s">
        <v>485</v>
      </c>
      <c r="F2484" s="84"/>
      <c r="G2484" s="84"/>
      <c r="H2484" s="84"/>
    </row>
    <row r="2485" spans="1:8" ht="14.25" x14ac:dyDescent="0.45">
      <c r="A2485" s="85" t="s">
        <v>16</v>
      </c>
      <c r="B2485" s="85" t="s">
        <v>480</v>
      </c>
      <c r="C2485" s="85" t="s">
        <v>18</v>
      </c>
      <c r="D2485" s="85" t="s">
        <v>481</v>
      </c>
      <c r="E2485" s="85" t="s">
        <v>19</v>
      </c>
      <c r="F2485" s="85" t="s">
        <v>482</v>
      </c>
      <c r="G2485" s="85" t="s">
        <v>483</v>
      </c>
      <c r="H2485" s="85" t="s">
        <v>484</v>
      </c>
    </row>
    <row r="2486" spans="1:8" ht="14.25" x14ac:dyDescent="0.45">
      <c r="A2486" s="86" cm="1">
        <f t="array" aca="1" ref="A2486:A2497" ca="1">_xlfn.SEQUENCE(COUNTA(_xlfn.LET(_xlpm.trimmed,OFFSET(f_listof_program_candidates,MATCH("SS44",f_listof_program_codes,0)-1,6,1,),TRANSPOSE(_xlfn._xlws.FILTER(OFFSET(_xlpm.trimmed,0,0,,COUNTA(_xlpm.trimmed)-5),OFFSET(_xlpm.trimmed,0,0,,COUNTA(_xlpm.trimmed)-5)&lt;&gt;0)))))</f>
        <v>1</v>
      </c>
      <c r="B2486" s="86" t="str" cm="1">
        <f t="array" aca="1" ref="B2486:B2497" ca="1">_xlfn.LET(_xlpm.trimmed,OFFSET(f_listof_program_candidates,MATCH("SS44",f_listof_program_codes,0)-1,6,1,),TRANSPOSE(_xlfn._xlws.FILTER(OFFSET(_xlpm.trimmed,0,0,,COUNTA(_xlpm.trimmed)-5),OFFSET(_xlpm.trimmed,0,0,,COUNTA(_xlpm.trimmed)-5)&lt;&gt;0)))</f>
        <v>D105</v>
      </c>
      <c r="C2486" s="86" t="str">
        <f t="shared" ref="C2486:C2497" ca="1" si="546">VLOOKUP(B2486,f_detailsof_candidates,2,FALSE)</f>
        <v>ABDUL WADHOOD</v>
      </c>
      <c r="D2486" s="86" t="str">
        <f t="shared" ref="D2486:D2497" ca="1" si="547">VLOOKUP(B2486,f_detailsof_candidates,3,FALSE)</f>
        <v>FANT</v>
      </c>
      <c r="E2486" s="86">
        <f t="shared" ref="E2486:E2497" ca="1" si="548">VLOOKUP(B2486,f_detailsof_candidates,5,FALSE)</f>
        <v>8</v>
      </c>
    </row>
    <row r="2487" spans="1:8" ht="14.25" x14ac:dyDescent="0.45">
      <c r="A2487" s="86">
        <f ca="1"/>
        <v>2</v>
      </c>
      <c r="B2487" s="86" t="str">
        <f ca="1"/>
        <v>D138</v>
      </c>
      <c r="C2487" s="86" t="str">
        <f t="shared" ca="1" si="546"/>
        <v>MOHAMMED JAWAD A</v>
      </c>
      <c r="D2487" s="86" t="str">
        <f t="shared" ca="1" si="547"/>
        <v>FANT</v>
      </c>
      <c r="E2487" s="86">
        <f t="shared" ca="1" si="548"/>
        <v>9</v>
      </c>
    </row>
    <row r="2488" spans="1:8" ht="14.25" x14ac:dyDescent="0.45">
      <c r="A2488" s="86">
        <f ca="1"/>
        <v>3</v>
      </c>
      <c r="B2488" s="86" t="str">
        <f ca="1"/>
        <v>D147</v>
      </c>
      <c r="C2488" s="86" t="str">
        <f t="shared" ca="1" si="546"/>
        <v>MOHAMMED SHAHZAN T.K</v>
      </c>
      <c r="D2488" s="86" t="str">
        <f t="shared" ca="1" si="547"/>
        <v>FANT</v>
      </c>
      <c r="E2488" s="86">
        <f t="shared" ca="1" si="548"/>
        <v>9</v>
      </c>
    </row>
    <row r="2489" spans="1:8" ht="14.25" x14ac:dyDescent="0.45">
      <c r="A2489" s="86">
        <f ca="1"/>
        <v>4</v>
      </c>
      <c r="B2489" s="86" t="str">
        <f ca="1"/>
        <v>D135</v>
      </c>
      <c r="C2489" s="86" t="str">
        <f t="shared" ca="1" si="546"/>
        <v>HASHIR HUSSAIN IK</v>
      </c>
      <c r="D2489" s="86" t="str">
        <f t="shared" ca="1" si="547"/>
        <v>DAHF</v>
      </c>
      <c r="E2489" s="86">
        <f t="shared" ca="1" si="548"/>
        <v>9</v>
      </c>
    </row>
    <row r="2490" spans="1:8" ht="14.25" x14ac:dyDescent="0.45">
      <c r="A2490" s="86">
        <f ca="1"/>
        <v>5</v>
      </c>
      <c r="B2490" s="86" t="str">
        <f ca="1"/>
        <v>D140</v>
      </c>
      <c r="C2490" s="86" t="str">
        <f t="shared" ca="1" si="546"/>
        <v>MUHAMMED FAISAL A K</v>
      </c>
      <c r="D2490" s="86" t="str">
        <f t="shared" ca="1" si="547"/>
        <v>DAHF</v>
      </c>
      <c r="E2490" s="86">
        <f t="shared" ca="1" si="548"/>
        <v>9</v>
      </c>
    </row>
    <row r="2491" spans="1:8" ht="14.25" x14ac:dyDescent="0.45">
      <c r="A2491" s="86">
        <f ca="1"/>
        <v>6</v>
      </c>
      <c r="B2491" s="86" t="str">
        <f ca="1"/>
        <v>D152</v>
      </c>
      <c r="C2491" s="86" t="str">
        <f t="shared" ca="1" si="546"/>
        <v>MOHAMMAD ISMAIL SINAN KM</v>
      </c>
      <c r="D2491" s="86" t="str">
        <f t="shared" ca="1" si="547"/>
        <v>DAHF</v>
      </c>
      <c r="E2491" s="86">
        <f t="shared" ca="1" si="548"/>
        <v>9</v>
      </c>
    </row>
    <row r="2492" spans="1:8" ht="14.25" x14ac:dyDescent="0.45">
      <c r="A2492" s="86">
        <f ca="1"/>
        <v>7</v>
      </c>
      <c r="B2492" s="86" t="str">
        <f ca="1"/>
        <v>D124</v>
      </c>
      <c r="C2492" s="86" t="str">
        <f t="shared" ca="1" si="546"/>
        <v>MUHAMMED SUFAZ P</v>
      </c>
      <c r="D2492" s="86" t="str">
        <f t="shared" ca="1" si="547"/>
        <v>BADF</v>
      </c>
      <c r="E2492" s="86">
        <f t="shared" ca="1" si="548"/>
        <v>8</v>
      </c>
    </row>
    <row r="2493" spans="1:8" ht="14.25" x14ac:dyDescent="0.45">
      <c r="A2493" s="86">
        <f ca="1"/>
        <v>8</v>
      </c>
      <c r="B2493" s="86" t="str">
        <f ca="1"/>
        <v>D141</v>
      </c>
      <c r="C2493" s="86" t="str">
        <f t="shared" ca="1" si="546"/>
        <v>MUHAMMAD MUSTHAFA P.K</v>
      </c>
      <c r="D2493" s="86" t="str">
        <f t="shared" ca="1" si="547"/>
        <v>BADF</v>
      </c>
      <c r="E2493" s="86">
        <f t="shared" ca="1" si="548"/>
        <v>9</v>
      </c>
    </row>
    <row r="2494" spans="1:8" ht="14.25" x14ac:dyDescent="0.45">
      <c r="A2494" s="86">
        <f ca="1"/>
        <v>9</v>
      </c>
      <c r="B2494" s="86" t="str">
        <f ca="1"/>
        <v>D145</v>
      </c>
      <c r="C2494" s="86" t="str">
        <f t="shared" ca="1" si="546"/>
        <v>ABBAS ARFAS O.R</v>
      </c>
      <c r="D2494" s="86" t="str">
        <f t="shared" ca="1" si="547"/>
        <v>BADF</v>
      </c>
      <c r="E2494" s="86">
        <f t="shared" ca="1" si="548"/>
        <v>9</v>
      </c>
    </row>
    <row r="2495" spans="1:8" ht="14.25" x14ac:dyDescent="0.45">
      <c r="A2495" s="86">
        <f ca="1"/>
        <v>10</v>
      </c>
      <c r="B2495" s="86" t="str">
        <f ca="1"/>
        <v>D100</v>
      </c>
      <c r="C2495" s="86" t="str">
        <f t="shared" ca="1" si="546"/>
        <v>MOHAMMED RAZI</v>
      </c>
      <c r="D2495" s="86" t="str">
        <f t="shared" ca="1" si="547"/>
        <v>JARF</v>
      </c>
      <c r="E2495" s="86">
        <f t="shared" ca="1" si="548"/>
        <v>8</v>
      </c>
    </row>
    <row r="2496" spans="1:8" ht="14.25" x14ac:dyDescent="0.45">
      <c r="A2496" s="86">
        <f ca="1"/>
        <v>11</v>
      </c>
      <c r="B2496" s="86" t="str">
        <f ca="1"/>
        <v>D191</v>
      </c>
      <c r="C2496" s="86" t="str">
        <f t="shared" ca="1" si="546"/>
        <v>THAMJEED TM</v>
      </c>
      <c r="D2496" s="86" t="str">
        <f t="shared" ca="1" si="547"/>
        <v>JARF</v>
      </c>
      <c r="E2496" s="86">
        <f t="shared" ca="1" si="548"/>
        <v>10</v>
      </c>
    </row>
    <row r="2497" spans="1:8" ht="14.25" x14ac:dyDescent="0.45">
      <c r="A2497" s="86">
        <f ca="1"/>
        <v>12</v>
      </c>
      <c r="B2497" s="86" t="str">
        <f ca="1"/>
        <v>D144</v>
      </c>
      <c r="C2497" s="86" t="str">
        <f t="shared" ca="1" si="546"/>
        <v>MUHAMMED RASHAD KA</v>
      </c>
      <c r="D2497" s="86" t="str">
        <f t="shared" ca="1" si="547"/>
        <v>JARF</v>
      </c>
      <c r="E2497" s="86">
        <f t="shared" ca="1" si="548"/>
        <v>9</v>
      </c>
    </row>
    <row r="2498" spans="1:8" ht="14.25" x14ac:dyDescent="0.45">
      <c r="A2498" s="84" t="s">
        <v>413</v>
      </c>
      <c r="B2498" s="84" t="str">
        <f>VLOOKUP("SS45",f_detailsof_programs,2,FALSE)</f>
        <v>TADRĪS</v>
      </c>
      <c r="C2498" s="84"/>
      <c r="D2498" s="84" t="s">
        <v>688</v>
      </c>
      <c r="E2498" s="84" t="s">
        <v>485</v>
      </c>
      <c r="F2498" s="84"/>
      <c r="G2498" s="84"/>
      <c r="H2498" s="84"/>
    </row>
    <row r="2499" spans="1:8" ht="14.25" x14ac:dyDescent="0.45">
      <c r="A2499" s="85" t="s">
        <v>16</v>
      </c>
      <c r="B2499" s="85" t="s">
        <v>480</v>
      </c>
      <c r="C2499" s="85" t="s">
        <v>18</v>
      </c>
      <c r="D2499" s="85" t="s">
        <v>481</v>
      </c>
      <c r="E2499" s="85" t="s">
        <v>19</v>
      </c>
      <c r="F2499" s="85" t="s">
        <v>482</v>
      </c>
      <c r="G2499" s="85" t="s">
        <v>483</v>
      </c>
      <c r="H2499" s="85" t="s">
        <v>484</v>
      </c>
    </row>
    <row r="2500" spans="1:8" ht="14.25" x14ac:dyDescent="0.45">
      <c r="A2500" s="86" cm="1">
        <f t="array" aca="1" ref="A2500:A2511" ca="1">_xlfn.SEQUENCE(COUNTA(_xlfn.LET(_xlpm.trimmed,OFFSET(f_listof_program_candidates,MATCH("SS45",f_listof_program_codes,0)-1,6,1,),TRANSPOSE(_xlfn._xlws.FILTER(OFFSET(_xlpm.trimmed,0,0,,COUNTA(_xlpm.trimmed)-5),OFFSET(_xlpm.trimmed,0,0,,COUNTA(_xlpm.trimmed)-5)&lt;&gt;0)))))</f>
        <v>1</v>
      </c>
      <c r="B2500" s="86" t="str" cm="1">
        <f t="array" aca="1" ref="B2500:B2511" ca="1">_xlfn.LET(_xlpm.trimmed,OFFSET(f_listof_program_candidates,MATCH("SS45",f_listof_program_codes,0)-1,6,1,),TRANSPOSE(_xlfn._xlws.FILTER(OFFSET(_xlpm.trimmed,0,0,,COUNTA(_xlpm.trimmed)-5),OFFSET(_xlpm.trimmed,0,0,,COUNTA(_xlpm.trimmed)-5)&lt;&gt;0)))</f>
        <v>D128</v>
      </c>
      <c r="C2500" s="86" t="str">
        <f t="shared" ref="C2500:C2511" ca="1" si="549">VLOOKUP(B2500,f_detailsof_candidates,2,FALSE)</f>
        <v>MEHAZIN AMAN T</v>
      </c>
      <c r="D2500" s="86" t="str">
        <f t="shared" ref="D2500:D2511" ca="1" si="550">VLOOKUP(B2500,f_detailsof_candidates,3,FALSE)</f>
        <v>FANT</v>
      </c>
      <c r="E2500" s="86">
        <f t="shared" ref="E2500:E2511" ca="1" si="551">VLOOKUP(B2500,f_detailsof_candidates,5,FALSE)</f>
        <v>8</v>
      </c>
    </row>
    <row r="2501" spans="1:8" ht="14.25" x14ac:dyDescent="0.45">
      <c r="A2501" s="86">
        <f ca="1"/>
        <v>2</v>
      </c>
      <c r="B2501" s="86" t="str">
        <f ca="1"/>
        <v>D147</v>
      </c>
      <c r="C2501" s="86" t="str">
        <f t="shared" ca="1" si="549"/>
        <v>MOHAMMED SHAHZAN T.K</v>
      </c>
      <c r="D2501" s="86" t="str">
        <f t="shared" ca="1" si="550"/>
        <v>FANT</v>
      </c>
      <c r="E2501" s="86">
        <f t="shared" ca="1" si="551"/>
        <v>9</v>
      </c>
    </row>
    <row r="2502" spans="1:8" ht="14.25" x14ac:dyDescent="0.45">
      <c r="A2502" s="86">
        <f ca="1"/>
        <v>3</v>
      </c>
      <c r="B2502" s="86" t="str">
        <f ca="1"/>
        <v>D198</v>
      </c>
      <c r="C2502" s="86" t="str">
        <f t="shared" ca="1" si="549"/>
        <v>MUHAMMED SAFWAN</v>
      </c>
      <c r="D2502" s="86" t="str">
        <f t="shared" ca="1" si="550"/>
        <v>FANT</v>
      </c>
      <c r="E2502" s="86">
        <f t="shared" ca="1" si="551"/>
        <v>10</v>
      </c>
    </row>
    <row r="2503" spans="1:8" ht="14.25" x14ac:dyDescent="0.45">
      <c r="A2503" s="86">
        <f ca="1"/>
        <v>4</v>
      </c>
      <c r="B2503" s="86" t="str">
        <f ca="1"/>
        <v>D140</v>
      </c>
      <c r="C2503" s="86" t="str">
        <f t="shared" ca="1" si="549"/>
        <v>MUHAMMED FAISAL A K</v>
      </c>
      <c r="D2503" s="86" t="str">
        <f t="shared" ca="1" si="550"/>
        <v>DAHF</v>
      </c>
      <c r="E2503" s="86">
        <f t="shared" ca="1" si="551"/>
        <v>9</v>
      </c>
    </row>
    <row r="2504" spans="1:8" ht="14.25" x14ac:dyDescent="0.45">
      <c r="A2504" s="86">
        <f ca="1"/>
        <v>5</v>
      </c>
      <c r="B2504" s="86" t="str">
        <f ca="1"/>
        <v>D150</v>
      </c>
      <c r="C2504" s="86" t="str">
        <f t="shared" ca="1" si="549"/>
        <v>ABDUL KHADER</v>
      </c>
      <c r="D2504" s="86" t="str">
        <f t="shared" ca="1" si="550"/>
        <v>DAHF</v>
      </c>
      <c r="E2504" s="86">
        <f t="shared" ca="1" si="551"/>
        <v>9</v>
      </c>
    </row>
    <row r="2505" spans="1:8" ht="14.25" x14ac:dyDescent="0.45">
      <c r="A2505" s="86">
        <f ca="1"/>
        <v>6</v>
      </c>
      <c r="B2505" s="86" t="str">
        <f ca="1"/>
        <v>D166</v>
      </c>
      <c r="C2505" s="86" t="str">
        <f t="shared" ca="1" si="549"/>
        <v>MOHAMMED IRFAN C</v>
      </c>
      <c r="D2505" s="86" t="str">
        <f t="shared" ca="1" si="550"/>
        <v>DAHF</v>
      </c>
      <c r="E2505" s="86">
        <f t="shared" ca="1" si="551"/>
        <v>9</v>
      </c>
    </row>
    <row r="2506" spans="1:8" ht="14.25" x14ac:dyDescent="0.45">
      <c r="A2506" s="86">
        <f ca="1"/>
        <v>7</v>
      </c>
      <c r="B2506" s="86" t="str">
        <f ca="1"/>
        <v>D129</v>
      </c>
      <c r="C2506" s="86" t="str">
        <f t="shared" ca="1" si="549"/>
        <v>MUHAMMED UNAIS CK</v>
      </c>
      <c r="D2506" s="86" t="str">
        <f t="shared" ca="1" si="550"/>
        <v>BADF</v>
      </c>
      <c r="E2506" s="86">
        <f t="shared" ca="1" si="551"/>
        <v>8</v>
      </c>
    </row>
    <row r="2507" spans="1:8" ht="14.25" x14ac:dyDescent="0.45">
      <c r="A2507" s="86">
        <f ca="1"/>
        <v>8</v>
      </c>
      <c r="B2507" s="86" t="str">
        <f ca="1"/>
        <v>D173</v>
      </c>
      <c r="C2507" s="86" t="str">
        <f t="shared" ca="1" si="549"/>
        <v>ABOOBACKER SIDDIK</v>
      </c>
      <c r="D2507" s="86" t="str">
        <f t="shared" ca="1" si="550"/>
        <v>BADF</v>
      </c>
      <c r="E2507" s="86">
        <f t="shared" ca="1" si="551"/>
        <v>10</v>
      </c>
    </row>
    <row r="2508" spans="1:8" ht="14.25" x14ac:dyDescent="0.45">
      <c r="A2508" s="86">
        <f ca="1"/>
        <v>9</v>
      </c>
      <c r="B2508" s="86" t="str">
        <f ca="1"/>
        <v>D195</v>
      </c>
      <c r="C2508" s="86" t="str">
        <f t="shared" ca="1" si="549"/>
        <v>AHMED SWALAHUDHEEN PI</v>
      </c>
      <c r="D2508" s="86" t="str">
        <f t="shared" ca="1" si="550"/>
        <v>BADF</v>
      </c>
      <c r="E2508" s="86">
        <f t="shared" ca="1" si="551"/>
        <v>10</v>
      </c>
    </row>
    <row r="2509" spans="1:8" ht="14.25" x14ac:dyDescent="0.45">
      <c r="A2509" s="86">
        <f ca="1"/>
        <v>10</v>
      </c>
      <c r="B2509" s="86" t="str">
        <f ca="1"/>
        <v>D101</v>
      </c>
      <c r="C2509" s="86" t="str">
        <f t="shared" ca="1" si="549"/>
        <v>MOHAMMED AFSAL</v>
      </c>
      <c r="D2509" s="86" t="str">
        <f t="shared" ca="1" si="550"/>
        <v>JARF</v>
      </c>
      <c r="E2509" s="86">
        <f t="shared" ca="1" si="551"/>
        <v>8</v>
      </c>
    </row>
    <row r="2510" spans="1:8" ht="14.25" x14ac:dyDescent="0.45">
      <c r="A2510" s="86">
        <f ca="1"/>
        <v>11</v>
      </c>
      <c r="B2510" s="86" t="str">
        <f ca="1"/>
        <v>D113</v>
      </c>
      <c r="C2510" s="86" t="str">
        <f t="shared" ca="1" si="549"/>
        <v>ZULFIKARALI</v>
      </c>
      <c r="D2510" s="86" t="str">
        <f t="shared" ca="1" si="550"/>
        <v>JARF</v>
      </c>
      <c r="E2510" s="86">
        <f t="shared" ca="1" si="551"/>
        <v>8</v>
      </c>
    </row>
    <row r="2511" spans="1:8" ht="14.25" x14ac:dyDescent="0.45">
      <c r="A2511" s="86">
        <f ca="1"/>
        <v>12</v>
      </c>
      <c r="B2511" s="86" t="str">
        <f ca="1"/>
        <v>D182</v>
      </c>
      <c r="C2511" s="86" t="str">
        <f t="shared" ca="1" si="549"/>
        <v>AHAMED ASIF M</v>
      </c>
      <c r="D2511" s="86" t="str">
        <f t="shared" ca="1" si="550"/>
        <v>JARF</v>
      </c>
      <c r="E2511" s="86">
        <f t="shared" ca="1" si="551"/>
        <v>10</v>
      </c>
    </row>
    <row r="2512" spans="1:8" ht="14.25" x14ac:dyDescent="0.45">
      <c r="A2512" s="84" t="s">
        <v>415</v>
      </c>
      <c r="B2512" s="84" t="str">
        <f>VLOOKUP("SS46",f_detailsof_programs,2,FALSE)</f>
        <v>WAʿẒ</v>
      </c>
      <c r="C2512" s="84"/>
      <c r="D2512" s="84" t="s">
        <v>688</v>
      </c>
      <c r="E2512" s="84" t="s">
        <v>485</v>
      </c>
      <c r="F2512" s="84"/>
      <c r="G2512" s="84"/>
      <c r="H2512" s="84"/>
    </row>
    <row r="2513" spans="1:8" ht="14.25" x14ac:dyDescent="0.45">
      <c r="A2513" s="85" t="s">
        <v>16</v>
      </c>
      <c r="B2513" s="85" t="s">
        <v>480</v>
      </c>
      <c r="C2513" s="85" t="s">
        <v>18</v>
      </c>
      <c r="D2513" s="85" t="s">
        <v>481</v>
      </c>
      <c r="E2513" s="85" t="s">
        <v>19</v>
      </c>
      <c r="F2513" s="85" t="s">
        <v>482</v>
      </c>
      <c r="G2513" s="85" t="s">
        <v>483</v>
      </c>
      <c r="H2513" s="85" t="s">
        <v>484</v>
      </c>
    </row>
    <row r="2514" spans="1:8" ht="14.25" x14ac:dyDescent="0.45">
      <c r="A2514" s="86" cm="1">
        <f t="array" aca="1" ref="A2514:A2525" ca="1">_xlfn.SEQUENCE(COUNTA(_xlfn.LET(_xlpm.trimmed,OFFSET(f_listof_program_candidates,MATCH("SS46",f_listof_program_codes,0)-1,6,1,),TRANSPOSE(_xlfn._xlws.FILTER(OFFSET(_xlpm.trimmed,0,0,,COUNTA(_xlpm.trimmed)-5),OFFSET(_xlpm.trimmed,0,0,,COUNTA(_xlpm.trimmed)-5)&lt;&gt;0)))))</f>
        <v>1</v>
      </c>
      <c r="B2514" s="86" t="str" cm="1">
        <f t="array" aca="1" ref="B2514:B2525" ca="1">_xlfn.LET(_xlpm.trimmed,OFFSET(f_listof_program_candidates,MATCH("SS46",f_listof_program_codes,0)-1,6,1,),TRANSPOSE(_xlfn._xlws.FILTER(OFFSET(_xlpm.trimmed,0,0,,COUNTA(_xlpm.trimmed)-5),OFFSET(_xlpm.trimmed,0,0,,COUNTA(_xlpm.trimmed)-5)&lt;&gt;0)))</f>
        <v>D127</v>
      </c>
      <c r="C2514" s="86" t="str">
        <f t="shared" ref="C2514:C2525" ca="1" si="552">VLOOKUP(B2514,f_detailsof_candidates,2,FALSE)</f>
        <v>SHADIN G</v>
      </c>
      <c r="D2514" s="86" t="str">
        <f t="shared" ref="D2514:D2525" ca="1" si="553">VLOOKUP(B2514,f_detailsof_candidates,3,FALSE)</f>
        <v>FANT</v>
      </c>
      <c r="E2514" s="86">
        <f t="shared" ref="E2514:E2525" ca="1" si="554">VLOOKUP(B2514,f_detailsof_candidates,5,FALSE)</f>
        <v>8</v>
      </c>
    </row>
    <row r="2515" spans="1:8" ht="14.25" x14ac:dyDescent="0.45">
      <c r="A2515" s="86">
        <f ca="1"/>
        <v>2</v>
      </c>
      <c r="B2515" s="86" t="str">
        <f ca="1"/>
        <v>D175</v>
      </c>
      <c r="C2515" s="86" t="str">
        <f t="shared" ca="1" si="552"/>
        <v>AKBAR P</v>
      </c>
      <c r="D2515" s="86" t="str">
        <f t="shared" ca="1" si="553"/>
        <v>FANT</v>
      </c>
      <c r="E2515" s="86">
        <f t="shared" ca="1" si="554"/>
        <v>10</v>
      </c>
    </row>
    <row r="2516" spans="1:8" ht="14.25" x14ac:dyDescent="0.45">
      <c r="A2516" s="86">
        <f ca="1"/>
        <v>3</v>
      </c>
      <c r="B2516" s="86" t="str">
        <f ca="1"/>
        <v>D186</v>
      </c>
      <c r="C2516" s="86" t="str">
        <f t="shared" ca="1" si="552"/>
        <v>SALAHUDDEEN AYYOOBI KM</v>
      </c>
      <c r="D2516" s="86" t="str">
        <f t="shared" ca="1" si="553"/>
        <v>FANT</v>
      </c>
      <c r="E2516" s="86">
        <f t="shared" ca="1" si="554"/>
        <v>10</v>
      </c>
    </row>
    <row r="2517" spans="1:8" ht="14.25" x14ac:dyDescent="0.45">
      <c r="A2517" s="86">
        <f ca="1"/>
        <v>4</v>
      </c>
      <c r="B2517" s="86" t="str">
        <f ca="1"/>
        <v>D131</v>
      </c>
      <c r="C2517" s="86" t="str">
        <f t="shared" ca="1" si="552"/>
        <v>MAHAMMAD RIYAZ</v>
      </c>
      <c r="D2517" s="86" t="str">
        <f t="shared" ca="1" si="553"/>
        <v>DAHF</v>
      </c>
      <c r="E2517" s="86">
        <f t="shared" ca="1" si="554"/>
        <v>9</v>
      </c>
    </row>
    <row r="2518" spans="1:8" ht="14.25" x14ac:dyDescent="0.45">
      <c r="A2518" s="86">
        <f ca="1"/>
        <v>5</v>
      </c>
      <c r="B2518" s="86" t="str">
        <f ca="1"/>
        <v>D150</v>
      </c>
      <c r="C2518" s="86" t="str">
        <f t="shared" ca="1" si="552"/>
        <v>ABDUL KHADER</v>
      </c>
      <c r="D2518" s="86" t="str">
        <f t="shared" ca="1" si="553"/>
        <v>DAHF</v>
      </c>
      <c r="E2518" s="86">
        <f t="shared" ca="1" si="554"/>
        <v>9</v>
      </c>
    </row>
    <row r="2519" spans="1:8" ht="14.25" x14ac:dyDescent="0.45">
      <c r="A2519" s="86">
        <f ca="1"/>
        <v>6</v>
      </c>
      <c r="B2519" s="86" t="str">
        <f ca="1"/>
        <v>D181</v>
      </c>
      <c r="C2519" s="86" t="str">
        <f t="shared" ca="1" si="552"/>
        <v>MUHAMMED SAJJAD</v>
      </c>
      <c r="D2519" s="86" t="str">
        <f t="shared" ca="1" si="553"/>
        <v>DAHF</v>
      </c>
      <c r="E2519" s="86">
        <f t="shared" ca="1" si="554"/>
        <v>10</v>
      </c>
    </row>
    <row r="2520" spans="1:8" ht="14.25" x14ac:dyDescent="0.45">
      <c r="A2520" s="86">
        <f ca="1"/>
        <v>7</v>
      </c>
      <c r="B2520" s="86" t="str">
        <f ca="1"/>
        <v>D129</v>
      </c>
      <c r="C2520" s="86" t="str">
        <f t="shared" ca="1" si="552"/>
        <v>MUHAMMED UNAIS CK</v>
      </c>
      <c r="D2520" s="86" t="str">
        <f t="shared" ca="1" si="553"/>
        <v>BADF</v>
      </c>
      <c r="E2520" s="86">
        <f t="shared" ca="1" si="554"/>
        <v>8</v>
      </c>
    </row>
    <row r="2521" spans="1:8" ht="14.25" x14ac:dyDescent="0.45">
      <c r="A2521" s="86">
        <f ca="1"/>
        <v>8</v>
      </c>
      <c r="B2521" s="86" t="str">
        <f ca="1"/>
        <v>D155</v>
      </c>
      <c r="C2521" s="86" t="str">
        <f t="shared" ca="1" si="552"/>
        <v>MUHAMMED YASIR K</v>
      </c>
      <c r="D2521" s="86" t="str">
        <f t="shared" ca="1" si="553"/>
        <v>BADF</v>
      </c>
      <c r="E2521" s="86">
        <f t="shared" ca="1" si="554"/>
        <v>9</v>
      </c>
    </row>
    <row r="2522" spans="1:8" ht="14.25" x14ac:dyDescent="0.45">
      <c r="A2522" s="86">
        <f ca="1"/>
        <v>9</v>
      </c>
      <c r="B2522" s="86" t="str">
        <f ca="1"/>
        <v>D137</v>
      </c>
      <c r="C2522" s="86" t="str">
        <f t="shared" ca="1" si="552"/>
        <v>AYYOOB V.N</v>
      </c>
      <c r="D2522" s="86" t="str">
        <f t="shared" ca="1" si="553"/>
        <v>BADF</v>
      </c>
      <c r="E2522" s="86">
        <f t="shared" ca="1" si="554"/>
        <v>9</v>
      </c>
    </row>
    <row r="2523" spans="1:8" ht="14.25" x14ac:dyDescent="0.45">
      <c r="A2523" s="86">
        <f ca="1"/>
        <v>10</v>
      </c>
      <c r="B2523" s="86" t="str">
        <f ca="1"/>
        <v>D154</v>
      </c>
      <c r="C2523" s="86" t="str">
        <f t="shared" ca="1" si="552"/>
        <v>ASHIKK.I</v>
      </c>
      <c r="D2523" s="86" t="str">
        <f t="shared" ca="1" si="553"/>
        <v>JARF</v>
      </c>
      <c r="E2523" s="86">
        <f t="shared" ca="1" si="554"/>
        <v>9</v>
      </c>
    </row>
    <row r="2524" spans="1:8" ht="14.25" x14ac:dyDescent="0.45">
      <c r="A2524" s="86">
        <f ca="1"/>
        <v>11</v>
      </c>
      <c r="B2524" s="86" t="str">
        <f ca="1"/>
        <v>D104</v>
      </c>
      <c r="C2524" s="86" t="str">
        <f t="shared" ca="1" si="552"/>
        <v>MUHAMMAD SHANEED.</v>
      </c>
      <c r="D2524" s="86" t="str">
        <f t="shared" ca="1" si="553"/>
        <v>JARF</v>
      </c>
      <c r="E2524" s="86">
        <f t="shared" ca="1" si="554"/>
        <v>8</v>
      </c>
    </row>
    <row r="2525" spans="1:8" ht="14.25" x14ac:dyDescent="0.45">
      <c r="A2525" s="86">
        <f ca="1"/>
        <v>12</v>
      </c>
      <c r="B2525" s="86" t="str">
        <f ca="1"/>
        <v>D194</v>
      </c>
      <c r="C2525" s="86" t="str">
        <f t="shared" ca="1" si="552"/>
        <v>AYAZ RAHMAN T</v>
      </c>
      <c r="D2525" s="86" t="str">
        <f t="shared" ca="1" si="553"/>
        <v>JARF</v>
      </c>
      <c r="E2525" s="86">
        <f t="shared" ca="1" si="554"/>
        <v>10</v>
      </c>
    </row>
    <row r="2526" spans="1:8" ht="14.25" x14ac:dyDescent="0.45">
      <c r="A2526" s="84" t="s">
        <v>416</v>
      </c>
      <c r="B2526" s="84" t="str">
        <f>VLOOKUP("SS47",f_detailsof_programs,2,FALSE)</f>
        <v>INSTANT DIGITAL TABLOID ARB</v>
      </c>
      <c r="C2526" s="84"/>
      <c r="D2526" s="84" t="s">
        <v>688</v>
      </c>
      <c r="E2526" s="84" t="s">
        <v>485</v>
      </c>
      <c r="F2526" s="84"/>
      <c r="G2526" s="84"/>
      <c r="H2526" s="84"/>
    </row>
    <row r="2527" spans="1:8" ht="14.25" x14ac:dyDescent="0.45">
      <c r="A2527" s="85" t="s">
        <v>16</v>
      </c>
      <c r="B2527" s="85" t="s">
        <v>480</v>
      </c>
      <c r="C2527" s="85" t="s">
        <v>18</v>
      </c>
      <c r="D2527" s="85" t="s">
        <v>481</v>
      </c>
      <c r="E2527" s="85" t="s">
        <v>19</v>
      </c>
      <c r="F2527" s="85" t="s">
        <v>482</v>
      </c>
      <c r="G2527" s="85" t="s">
        <v>483</v>
      </c>
      <c r="H2527" s="85" t="s">
        <v>484</v>
      </c>
    </row>
    <row r="2528" spans="1:8" ht="14.25" x14ac:dyDescent="0.45">
      <c r="A2528" s="86" cm="1">
        <f t="array" aca="1" ref="A2528:A2539" ca="1">_xlfn.SEQUENCE(COUNTA(_xlfn.LET(_xlpm.trimmed,OFFSET(f_listof_program_candidates,MATCH("SS47",f_listof_program_codes,0)-1,6,1,),TRANSPOSE(_xlfn._xlws.FILTER(OFFSET(_xlpm.trimmed,0,0,,COUNTA(_xlpm.trimmed)-5),OFFSET(_xlpm.trimmed,0,0,,COUNTA(_xlpm.trimmed)-5)&lt;&gt;0)))))</f>
        <v>1</v>
      </c>
      <c r="B2528" s="86" t="str" cm="1">
        <f t="array" aca="1" ref="B2528:B2539" ca="1">_xlfn.LET(_xlpm.trimmed,OFFSET(f_listof_program_candidates,MATCH("SS47",f_listof_program_codes,0)-1,6,1,),TRANSPOSE(_xlfn._xlws.FILTER(OFFSET(_xlpm.trimmed,0,0,,COUNTA(_xlpm.trimmed)-5),OFFSET(_xlpm.trimmed,0,0,,COUNTA(_xlpm.trimmed)-5)&lt;&gt;0)))</f>
        <v>D112</v>
      </c>
      <c r="C2528" s="86" t="str">
        <f t="shared" ref="C2528:C2539" ca="1" si="555">VLOOKUP(B2528,f_detailsof_candidates,2,FALSE)</f>
        <v>AMEEN ABDULLA</v>
      </c>
      <c r="D2528" s="86" t="str">
        <f t="shared" ref="D2528:D2539" ca="1" si="556">VLOOKUP(B2528,f_detailsof_candidates,3,FALSE)</f>
        <v>FANT</v>
      </c>
      <c r="E2528" s="86">
        <f t="shared" ref="E2528:E2539" ca="1" si="557">VLOOKUP(B2528,f_detailsof_candidates,5,FALSE)</f>
        <v>8</v>
      </c>
    </row>
    <row r="2529" spans="1:8" ht="14.25" x14ac:dyDescent="0.45">
      <c r="A2529" s="86">
        <f ca="1"/>
        <v>2</v>
      </c>
      <c r="B2529" s="86" t="str">
        <f ca="1"/>
        <v>D128</v>
      </c>
      <c r="C2529" s="86" t="str">
        <f t="shared" ca="1" si="555"/>
        <v>MEHAZIN AMAN T</v>
      </c>
      <c r="D2529" s="86" t="str">
        <f t="shared" ca="1" si="556"/>
        <v>FANT</v>
      </c>
      <c r="E2529" s="86">
        <f t="shared" ca="1" si="557"/>
        <v>8</v>
      </c>
    </row>
    <row r="2530" spans="1:8" ht="14.25" x14ac:dyDescent="0.45">
      <c r="A2530" s="86">
        <f ca="1"/>
        <v>3</v>
      </c>
      <c r="B2530" s="86" t="str">
        <f ca="1"/>
        <v>D177</v>
      </c>
      <c r="C2530" s="86" t="str">
        <f t="shared" ca="1" si="555"/>
        <v>SHAMEEM ABDULLA P.S</v>
      </c>
      <c r="D2530" s="86" t="str">
        <f t="shared" ca="1" si="556"/>
        <v>FANT</v>
      </c>
      <c r="E2530" s="86">
        <f t="shared" ca="1" si="557"/>
        <v>10</v>
      </c>
    </row>
    <row r="2531" spans="1:8" ht="14.25" x14ac:dyDescent="0.45">
      <c r="A2531" s="86">
        <f ca="1"/>
        <v>4</v>
      </c>
      <c r="B2531" s="86" t="str">
        <f ca="1"/>
        <v>D107</v>
      </c>
      <c r="C2531" s="86" t="str">
        <f t="shared" ca="1" si="555"/>
        <v>AHMMED HASHIM M</v>
      </c>
      <c r="D2531" s="86" t="str">
        <f t="shared" ca="1" si="556"/>
        <v>DAHF</v>
      </c>
      <c r="E2531" s="86">
        <f t="shared" ca="1" si="557"/>
        <v>8</v>
      </c>
    </row>
    <row r="2532" spans="1:8" ht="14.25" x14ac:dyDescent="0.45">
      <c r="A2532" s="86">
        <f ca="1"/>
        <v>5</v>
      </c>
      <c r="B2532" s="86" t="str">
        <f ca="1"/>
        <v>D135</v>
      </c>
      <c r="C2532" s="86" t="str">
        <f t="shared" ca="1" si="555"/>
        <v>HASHIR HUSSAIN IK</v>
      </c>
      <c r="D2532" s="86" t="str">
        <f t="shared" ca="1" si="556"/>
        <v>DAHF</v>
      </c>
      <c r="E2532" s="86">
        <f t="shared" ca="1" si="557"/>
        <v>9</v>
      </c>
    </row>
    <row r="2533" spans="1:8" ht="14.25" x14ac:dyDescent="0.45">
      <c r="A2533" s="86">
        <f ca="1"/>
        <v>6</v>
      </c>
      <c r="B2533" s="86" t="str">
        <f ca="1"/>
        <v>D140</v>
      </c>
      <c r="C2533" s="86" t="str">
        <f t="shared" ca="1" si="555"/>
        <v>MUHAMMED FAISAL A K</v>
      </c>
      <c r="D2533" s="86" t="str">
        <f t="shared" ca="1" si="556"/>
        <v>DAHF</v>
      </c>
      <c r="E2533" s="86">
        <f t="shared" ca="1" si="557"/>
        <v>9</v>
      </c>
    </row>
    <row r="2534" spans="1:8" ht="14.25" x14ac:dyDescent="0.45">
      <c r="A2534" s="86">
        <f ca="1"/>
        <v>7</v>
      </c>
      <c r="B2534" s="86" t="str">
        <f ca="1"/>
        <v>D126</v>
      </c>
      <c r="C2534" s="86" t="str">
        <f t="shared" ca="1" si="555"/>
        <v>MUHAMMED MIDHLAJ KK</v>
      </c>
      <c r="D2534" s="86" t="str">
        <f t="shared" ca="1" si="556"/>
        <v>BADF</v>
      </c>
      <c r="E2534" s="86">
        <f t="shared" ca="1" si="557"/>
        <v>8</v>
      </c>
    </row>
    <row r="2535" spans="1:8" ht="14.25" x14ac:dyDescent="0.45">
      <c r="A2535" s="86">
        <f ca="1"/>
        <v>8</v>
      </c>
      <c r="B2535" s="86" t="str">
        <f ca="1"/>
        <v>D162</v>
      </c>
      <c r="C2535" s="86" t="str">
        <f t="shared" ca="1" si="555"/>
        <v>ABDURAHMAN P.H</v>
      </c>
      <c r="D2535" s="86" t="str">
        <f t="shared" ca="1" si="556"/>
        <v>BADF</v>
      </c>
      <c r="E2535" s="86">
        <f t="shared" ca="1" si="557"/>
        <v>9</v>
      </c>
    </row>
    <row r="2536" spans="1:8" ht="14.25" x14ac:dyDescent="0.45">
      <c r="A2536" s="86">
        <f ca="1"/>
        <v>9</v>
      </c>
      <c r="B2536" s="86" t="str">
        <f ca="1"/>
        <v>D178</v>
      </c>
      <c r="C2536" s="86" t="str">
        <f t="shared" ca="1" si="555"/>
        <v>AHMED BK</v>
      </c>
      <c r="D2536" s="86" t="str">
        <f t="shared" ca="1" si="556"/>
        <v>BADF</v>
      </c>
      <c r="E2536" s="86">
        <f t="shared" ca="1" si="557"/>
        <v>10</v>
      </c>
    </row>
    <row r="2537" spans="1:8" ht="14.25" x14ac:dyDescent="0.45">
      <c r="A2537" s="86">
        <f ca="1"/>
        <v>10</v>
      </c>
      <c r="B2537" s="86" t="str">
        <f ca="1"/>
        <v>D104</v>
      </c>
      <c r="C2537" s="86" t="str">
        <f t="shared" ca="1" si="555"/>
        <v>MUHAMMAD SHANEED.</v>
      </c>
      <c r="D2537" s="86" t="str">
        <f t="shared" ca="1" si="556"/>
        <v>JARF</v>
      </c>
      <c r="E2537" s="86">
        <f t="shared" ca="1" si="557"/>
        <v>8</v>
      </c>
    </row>
    <row r="2538" spans="1:8" ht="14.25" x14ac:dyDescent="0.45">
      <c r="A2538" s="86">
        <f ca="1"/>
        <v>11</v>
      </c>
      <c r="B2538" s="86" t="str">
        <f ca="1"/>
        <v>D149</v>
      </c>
      <c r="C2538" s="86" t="str">
        <f t="shared" ca="1" si="555"/>
        <v>MOHAMMED MARZOOK AM</v>
      </c>
      <c r="D2538" s="86" t="str">
        <f t="shared" ca="1" si="556"/>
        <v>JARF</v>
      </c>
      <c r="E2538" s="86">
        <f t="shared" ca="1" si="557"/>
        <v>9</v>
      </c>
    </row>
    <row r="2539" spans="1:8" ht="14.25" x14ac:dyDescent="0.45">
      <c r="A2539" s="86">
        <f ca="1"/>
        <v>12</v>
      </c>
      <c r="B2539" s="86" t="str">
        <f ca="1"/>
        <v>D193</v>
      </c>
      <c r="C2539" s="86" t="str">
        <f t="shared" ca="1" si="555"/>
        <v>MUHAMMED ABDUL GHANI M.A</v>
      </c>
      <c r="D2539" s="86" t="str">
        <f t="shared" ca="1" si="556"/>
        <v>JARF</v>
      </c>
      <c r="E2539" s="86">
        <f t="shared" ca="1" si="557"/>
        <v>10</v>
      </c>
    </row>
    <row r="2540" spans="1:8" ht="14.25" x14ac:dyDescent="0.45">
      <c r="A2540" s="84" t="s">
        <v>418</v>
      </c>
      <c r="B2540" s="84" t="str">
        <f>VLOOKUP("SS48",f_detailsof_programs,2,FALSE)</f>
        <v>MASHUP</v>
      </c>
      <c r="C2540" s="84"/>
      <c r="D2540" s="84" t="s">
        <v>688</v>
      </c>
      <c r="E2540" s="84" t="s">
        <v>636</v>
      </c>
      <c r="F2540" s="84"/>
      <c r="G2540" s="84"/>
      <c r="H2540" s="84"/>
    </row>
    <row r="2541" spans="1:8" ht="14.25" x14ac:dyDescent="0.45">
      <c r="A2541" s="85" t="s">
        <v>16</v>
      </c>
      <c r="B2541" s="85" t="s">
        <v>480</v>
      </c>
      <c r="C2541" s="85" t="s">
        <v>18</v>
      </c>
      <c r="D2541" s="85" t="s">
        <v>481</v>
      </c>
      <c r="E2541" s="85" t="s">
        <v>19</v>
      </c>
      <c r="F2541" s="85" t="s">
        <v>482</v>
      </c>
      <c r="G2541" s="85" t="s">
        <v>483</v>
      </c>
      <c r="H2541" s="85" t="s">
        <v>484</v>
      </c>
    </row>
    <row r="2542" spans="1:8" ht="14.25" x14ac:dyDescent="0.45">
      <c r="A2542" s="86" cm="1">
        <f t="array" aca="1" ref="A2542:A2565" ca="1">_xlfn.SEQUENCE(COUNTA(_xlfn.LET(_xlpm.trimmed,OFFSET(f_listof_program_candidates,MATCH("SS48",f_listof_program_codes,0)-1,6,1,),TRANSPOSE(_xlfn._xlws.FILTER(OFFSET(_xlpm.trimmed,0,0,,COUNTA(_xlpm.trimmed)-5),OFFSET(_xlpm.trimmed,0,0,,COUNTA(_xlpm.trimmed)-5)&lt;&gt;0)))))</f>
        <v>1</v>
      </c>
      <c r="B2542" s="86" t="str" cm="1">
        <f t="array" aca="1" ref="B2542:B2565" ca="1">_xlfn.LET(_xlpm.trimmed,OFFSET(f_listof_program_candidates,MATCH("SS48",f_listof_program_codes,0)-1,6,1,),TRANSPOSE(_xlfn._xlws.FILTER(OFFSET(_xlpm.trimmed,0,0,,COUNTA(_xlpm.trimmed)-5),OFFSET(_xlpm.trimmed,0,0,,COUNTA(_xlpm.trimmed)-5)&lt;&gt;0)))</f>
        <v>D120</v>
      </c>
      <c r="C2542" s="86" t="str">
        <f t="shared" ref="C2542:C2565" ca="1" si="558">VLOOKUP(B2542,f_detailsof_candidates,2,FALSE)</f>
        <v>MUHAMMAD SINAN NP</v>
      </c>
      <c r="D2542" s="86" t="str">
        <f t="shared" ref="D2542:D2565" ca="1" si="559">VLOOKUP(B2542,f_detailsof_candidates,3,FALSE)</f>
        <v>FANT</v>
      </c>
      <c r="E2542" s="86">
        <f t="shared" ref="E2542:E2565" ca="1" si="560">VLOOKUP(B2542,f_detailsof_candidates,5,FALSE)</f>
        <v>8</v>
      </c>
    </row>
    <row r="2543" spans="1:8" ht="14.25" x14ac:dyDescent="0.45">
      <c r="A2543" s="86">
        <f ca="1"/>
        <v>2</v>
      </c>
      <c r="B2543" s="86" t="str">
        <f ca="1"/>
        <v>D134</v>
      </c>
      <c r="C2543" s="86" t="str">
        <f t="shared" ca="1" si="558"/>
        <v>AJMAL ANEES</v>
      </c>
      <c r="D2543" s="86" t="str">
        <f t="shared" ca="1" si="559"/>
        <v>FANT</v>
      </c>
      <c r="E2543" s="86">
        <f t="shared" ca="1" si="560"/>
        <v>9</v>
      </c>
    </row>
    <row r="2544" spans="1:8" ht="14.25" x14ac:dyDescent="0.45">
      <c r="A2544" s="86">
        <f ca="1"/>
        <v>3</v>
      </c>
      <c r="B2544" s="86" t="str">
        <f ca="1"/>
        <v>D147</v>
      </c>
      <c r="C2544" s="86" t="str">
        <f t="shared" ca="1" si="558"/>
        <v>MOHAMMED SHAHZAN T.K</v>
      </c>
      <c r="D2544" s="86" t="str">
        <f t="shared" ca="1" si="559"/>
        <v>FANT</v>
      </c>
      <c r="E2544" s="86">
        <f t="shared" ca="1" si="560"/>
        <v>9</v>
      </c>
    </row>
    <row r="2545" spans="1:5" ht="14.25" x14ac:dyDescent="0.45">
      <c r="A2545" s="86">
        <f ca="1"/>
        <v>4</v>
      </c>
      <c r="B2545" s="86" t="str">
        <f ca="1"/>
        <v>D163</v>
      </c>
      <c r="C2545" s="86" t="str">
        <f t="shared" ca="1" si="558"/>
        <v>ABDUL JANIS</v>
      </c>
      <c r="D2545" s="86" t="str">
        <f t="shared" ca="1" si="559"/>
        <v>FANT</v>
      </c>
      <c r="E2545" s="86">
        <f t="shared" ca="1" si="560"/>
        <v>9</v>
      </c>
    </row>
    <row r="2546" spans="1:5" ht="14.25" x14ac:dyDescent="0.45">
      <c r="A2546" s="86">
        <f ca="1"/>
        <v>5</v>
      </c>
      <c r="B2546" s="86" t="str">
        <f ca="1"/>
        <v>D175</v>
      </c>
      <c r="C2546" s="86" t="str">
        <f t="shared" ca="1" si="558"/>
        <v>AKBAR P</v>
      </c>
      <c r="D2546" s="86" t="str">
        <f t="shared" ca="1" si="559"/>
        <v>FANT</v>
      </c>
      <c r="E2546" s="86">
        <f t="shared" ca="1" si="560"/>
        <v>10</v>
      </c>
    </row>
    <row r="2547" spans="1:5" ht="14.25" x14ac:dyDescent="0.45">
      <c r="A2547" s="86">
        <f ca="1"/>
        <v>6</v>
      </c>
      <c r="B2547" s="86" t="str">
        <f ca="1"/>
        <v>D186</v>
      </c>
      <c r="C2547" s="86" t="str">
        <f t="shared" ca="1" si="558"/>
        <v>SALAHUDDEEN AYYOOBI KM</v>
      </c>
      <c r="D2547" s="86" t="str">
        <f t="shared" ca="1" si="559"/>
        <v>FANT</v>
      </c>
      <c r="E2547" s="86">
        <f t="shared" ca="1" si="560"/>
        <v>10</v>
      </c>
    </row>
    <row r="2548" spans="1:5" ht="14.25" x14ac:dyDescent="0.45">
      <c r="A2548" s="86">
        <f ca="1"/>
        <v>7</v>
      </c>
      <c r="B2548" s="86" t="str">
        <f ca="1"/>
        <v>D121</v>
      </c>
      <c r="C2548" s="86" t="str">
        <f t="shared" ca="1" si="558"/>
        <v>ABDUL RAHMAN MUNZIR</v>
      </c>
      <c r="D2548" s="86" t="str">
        <f t="shared" ca="1" si="559"/>
        <v>DAHF</v>
      </c>
      <c r="E2548" s="86">
        <f t="shared" ca="1" si="560"/>
        <v>8</v>
      </c>
    </row>
    <row r="2549" spans="1:5" ht="14.25" x14ac:dyDescent="0.45">
      <c r="A2549" s="86">
        <f ca="1"/>
        <v>8</v>
      </c>
      <c r="B2549" s="86" t="str">
        <f ca="1"/>
        <v>D131</v>
      </c>
      <c r="C2549" s="86" t="str">
        <f t="shared" ca="1" si="558"/>
        <v>MAHAMMAD RIYAZ</v>
      </c>
      <c r="D2549" s="86" t="str">
        <f t="shared" ca="1" si="559"/>
        <v>DAHF</v>
      </c>
      <c r="E2549" s="86">
        <f t="shared" ca="1" si="560"/>
        <v>9</v>
      </c>
    </row>
    <row r="2550" spans="1:5" ht="14.25" x14ac:dyDescent="0.45">
      <c r="A2550" s="86">
        <f ca="1"/>
        <v>9</v>
      </c>
      <c r="B2550" s="86" t="str">
        <f ca="1"/>
        <v>D179</v>
      </c>
      <c r="C2550" s="86" t="str">
        <f t="shared" ca="1" si="558"/>
        <v>MUHAMMED AKBAR NP</v>
      </c>
      <c r="D2550" s="86" t="str">
        <f t="shared" ca="1" si="559"/>
        <v>DAHF</v>
      </c>
      <c r="E2550" s="86">
        <f t="shared" ca="1" si="560"/>
        <v>10</v>
      </c>
    </row>
    <row r="2551" spans="1:5" ht="14.25" x14ac:dyDescent="0.45">
      <c r="A2551" s="86">
        <f ca="1"/>
        <v>10</v>
      </c>
      <c r="B2551" s="86" t="str">
        <f ca="1"/>
        <v>D130</v>
      </c>
      <c r="C2551" s="86" t="str">
        <f t="shared" ca="1" si="558"/>
        <v>ZAINUDEEN</v>
      </c>
      <c r="D2551" s="86" t="str">
        <f t="shared" ca="1" si="559"/>
        <v>DAHF</v>
      </c>
      <c r="E2551" s="86">
        <f t="shared" ca="1" si="560"/>
        <v>9</v>
      </c>
    </row>
    <row r="2552" spans="1:5" ht="14.25" x14ac:dyDescent="0.45">
      <c r="A2552" s="86">
        <f ca="1"/>
        <v>11</v>
      </c>
      <c r="B2552" s="86" t="str">
        <f ca="1"/>
        <v>D152</v>
      </c>
      <c r="C2552" s="86" t="str">
        <f t="shared" ca="1" si="558"/>
        <v>MOHAMMAD ISMAIL SINAN KM</v>
      </c>
      <c r="D2552" s="86" t="str">
        <f t="shared" ca="1" si="559"/>
        <v>DAHF</v>
      </c>
      <c r="E2552" s="86">
        <f t="shared" ca="1" si="560"/>
        <v>9</v>
      </c>
    </row>
    <row r="2553" spans="1:5" ht="14.25" x14ac:dyDescent="0.45">
      <c r="A2553" s="86">
        <f ca="1"/>
        <v>12</v>
      </c>
      <c r="B2553" s="86" t="str">
        <f ca="1"/>
        <v>D166</v>
      </c>
      <c r="C2553" s="86" t="str">
        <f t="shared" ca="1" si="558"/>
        <v>MOHAMMED IRFAN C</v>
      </c>
      <c r="D2553" s="86" t="str">
        <f t="shared" ca="1" si="559"/>
        <v>DAHF</v>
      </c>
      <c r="E2553" s="86">
        <f t="shared" ca="1" si="560"/>
        <v>9</v>
      </c>
    </row>
    <row r="2554" spans="1:5" ht="14.25" x14ac:dyDescent="0.45">
      <c r="A2554" s="86">
        <f ca="1"/>
        <v>13</v>
      </c>
      <c r="B2554" s="86" t="str">
        <f ca="1"/>
        <v>D137</v>
      </c>
      <c r="C2554" s="86" t="str">
        <f t="shared" ca="1" si="558"/>
        <v>AYYOOB V.N</v>
      </c>
      <c r="D2554" s="86" t="str">
        <f t="shared" ca="1" si="559"/>
        <v>BADF</v>
      </c>
      <c r="E2554" s="86">
        <f t="shared" ca="1" si="560"/>
        <v>9</v>
      </c>
    </row>
    <row r="2555" spans="1:5" ht="14.25" x14ac:dyDescent="0.45">
      <c r="A2555" s="86">
        <f ca="1"/>
        <v>14</v>
      </c>
      <c r="B2555" s="86" t="str">
        <f ca="1"/>
        <v>D141</v>
      </c>
      <c r="C2555" s="86" t="str">
        <f t="shared" ca="1" si="558"/>
        <v>MUHAMMAD MUSTHAFA P.K</v>
      </c>
      <c r="D2555" s="86" t="str">
        <f t="shared" ca="1" si="559"/>
        <v>BADF</v>
      </c>
      <c r="E2555" s="86">
        <f t="shared" ca="1" si="560"/>
        <v>9</v>
      </c>
    </row>
    <row r="2556" spans="1:5" ht="14.25" x14ac:dyDescent="0.45">
      <c r="A2556" s="86">
        <f ca="1"/>
        <v>15</v>
      </c>
      <c r="B2556" s="86" t="str">
        <f ca="1"/>
        <v>D155</v>
      </c>
      <c r="C2556" s="86" t="str">
        <f t="shared" ca="1" si="558"/>
        <v>MUHAMMED YASIR K</v>
      </c>
      <c r="D2556" s="86" t="str">
        <f t="shared" ca="1" si="559"/>
        <v>BADF</v>
      </c>
      <c r="E2556" s="86">
        <f t="shared" ca="1" si="560"/>
        <v>9</v>
      </c>
    </row>
    <row r="2557" spans="1:5" ht="14.25" x14ac:dyDescent="0.45">
      <c r="A2557" s="86">
        <f ca="1"/>
        <v>16</v>
      </c>
      <c r="B2557" s="86" t="str">
        <f ca="1"/>
        <v>D173</v>
      </c>
      <c r="C2557" s="86" t="str">
        <f t="shared" ca="1" si="558"/>
        <v>ABOOBACKER SIDDIK</v>
      </c>
      <c r="D2557" s="86" t="str">
        <f t="shared" ca="1" si="559"/>
        <v>BADF</v>
      </c>
      <c r="E2557" s="86">
        <f t="shared" ca="1" si="560"/>
        <v>10</v>
      </c>
    </row>
    <row r="2558" spans="1:5" ht="14.25" x14ac:dyDescent="0.45">
      <c r="A2558" s="86">
        <f ca="1"/>
        <v>17</v>
      </c>
      <c r="B2558" s="86" t="str">
        <f ca="1"/>
        <v>D189</v>
      </c>
      <c r="C2558" s="86" t="str">
        <f t="shared" ca="1" si="558"/>
        <v>ASGAR ALI</v>
      </c>
      <c r="D2558" s="86" t="str">
        <f t="shared" ca="1" si="559"/>
        <v>BADF</v>
      </c>
      <c r="E2558" s="86">
        <f t="shared" ca="1" si="560"/>
        <v>10</v>
      </c>
    </row>
    <row r="2559" spans="1:5" ht="14.25" x14ac:dyDescent="0.45">
      <c r="A2559" s="86">
        <f ca="1"/>
        <v>18</v>
      </c>
      <c r="B2559" s="86" t="str">
        <f ca="1"/>
        <v>D190</v>
      </c>
      <c r="C2559" s="86" t="str">
        <f t="shared" ca="1" si="558"/>
        <v>MOHAMMED AMEEN B.A</v>
      </c>
      <c r="D2559" s="86" t="str">
        <f t="shared" ca="1" si="559"/>
        <v>BADF</v>
      </c>
      <c r="E2559" s="86">
        <f t="shared" ca="1" si="560"/>
        <v>10</v>
      </c>
    </row>
    <row r="2560" spans="1:5" ht="14.25" x14ac:dyDescent="0.45">
      <c r="A2560" s="86">
        <f ca="1"/>
        <v>19</v>
      </c>
      <c r="B2560" s="86" t="str">
        <f ca="1"/>
        <v>D113</v>
      </c>
      <c r="C2560" s="86" t="str">
        <f t="shared" ca="1" si="558"/>
        <v>ZULFIKARALI</v>
      </c>
      <c r="D2560" s="86" t="str">
        <f t="shared" ca="1" si="559"/>
        <v>JARF</v>
      </c>
      <c r="E2560" s="86">
        <f t="shared" ca="1" si="560"/>
        <v>8</v>
      </c>
    </row>
    <row r="2561" spans="1:8" ht="14.25" x14ac:dyDescent="0.45">
      <c r="A2561" s="86">
        <f ca="1"/>
        <v>20</v>
      </c>
      <c r="B2561" s="86" t="str">
        <f ca="1"/>
        <v>D144</v>
      </c>
      <c r="C2561" s="86" t="str">
        <f t="shared" ca="1" si="558"/>
        <v>MUHAMMED RASHAD KA</v>
      </c>
      <c r="D2561" s="86" t="str">
        <f t="shared" ca="1" si="559"/>
        <v>JARF</v>
      </c>
      <c r="E2561" s="86">
        <f t="shared" ca="1" si="560"/>
        <v>9</v>
      </c>
    </row>
    <row r="2562" spans="1:8" ht="14.25" x14ac:dyDescent="0.45">
      <c r="A2562" s="86">
        <f ca="1"/>
        <v>21</v>
      </c>
      <c r="B2562" s="86" t="str">
        <f ca="1"/>
        <v>D154</v>
      </c>
      <c r="C2562" s="86" t="str">
        <f t="shared" ca="1" si="558"/>
        <v>ASHIKK.I</v>
      </c>
      <c r="D2562" s="86" t="str">
        <f t="shared" ca="1" si="559"/>
        <v>JARF</v>
      </c>
      <c r="E2562" s="86">
        <f t="shared" ca="1" si="560"/>
        <v>9</v>
      </c>
    </row>
    <row r="2563" spans="1:8" ht="14.25" x14ac:dyDescent="0.45">
      <c r="A2563" s="86">
        <f ca="1"/>
        <v>22</v>
      </c>
      <c r="B2563" s="86" t="str">
        <f ca="1"/>
        <v>D176</v>
      </c>
      <c r="C2563" s="86" t="str">
        <f t="shared" ca="1" si="558"/>
        <v>MOHAMMED NASFAR AFNAN H</v>
      </c>
      <c r="D2563" s="86" t="str">
        <f t="shared" ca="1" si="559"/>
        <v>JARF</v>
      </c>
      <c r="E2563" s="86">
        <f t="shared" ca="1" si="560"/>
        <v>10</v>
      </c>
    </row>
    <row r="2564" spans="1:8" ht="14.25" x14ac:dyDescent="0.45">
      <c r="A2564" s="86">
        <f ca="1"/>
        <v>23</v>
      </c>
      <c r="B2564" s="86" t="str">
        <f ca="1"/>
        <v>D191</v>
      </c>
      <c r="C2564" s="86" t="str">
        <f t="shared" ca="1" si="558"/>
        <v>THAMJEED TM</v>
      </c>
      <c r="D2564" s="86" t="str">
        <f t="shared" ca="1" si="559"/>
        <v>JARF</v>
      </c>
      <c r="E2564" s="86">
        <f t="shared" ca="1" si="560"/>
        <v>10</v>
      </c>
    </row>
    <row r="2565" spans="1:8" ht="14.25" x14ac:dyDescent="0.45">
      <c r="A2565" s="86">
        <f ca="1"/>
        <v>24</v>
      </c>
      <c r="B2565" s="86" t="str">
        <f ca="1"/>
        <v>D194</v>
      </c>
      <c r="C2565" s="86" t="str">
        <f t="shared" ca="1" si="558"/>
        <v>AYAZ RAHMAN T</v>
      </c>
      <c r="D2565" s="86" t="str">
        <f t="shared" ca="1" si="559"/>
        <v>JARF</v>
      </c>
      <c r="E2565" s="86">
        <f t="shared" ca="1" si="560"/>
        <v>10</v>
      </c>
    </row>
    <row r="2566" spans="1:8" ht="14.25" x14ac:dyDescent="0.45">
      <c r="A2566" s="84" t="s">
        <v>419</v>
      </c>
      <c r="B2566" s="84" t="str">
        <f>VLOOKUP("SS49",f_detailsof_programs,2,FALSE)</f>
        <v>SPOT TRANSLATION</v>
      </c>
      <c r="C2566" s="84"/>
      <c r="D2566" s="84" t="s">
        <v>688</v>
      </c>
      <c r="E2566" s="84" t="s">
        <v>639</v>
      </c>
      <c r="F2566" s="84"/>
      <c r="G2566" s="84"/>
      <c r="H2566" s="84"/>
    </row>
    <row r="2567" spans="1:8" ht="14.25" x14ac:dyDescent="0.45">
      <c r="A2567" s="85" t="s">
        <v>16</v>
      </c>
      <c r="B2567" s="85" t="s">
        <v>480</v>
      </c>
      <c r="C2567" s="85" t="s">
        <v>18</v>
      </c>
      <c r="D2567" s="85" t="s">
        <v>481</v>
      </c>
      <c r="E2567" s="85" t="s">
        <v>19</v>
      </c>
      <c r="F2567" s="85" t="s">
        <v>482</v>
      </c>
      <c r="G2567" s="85" t="s">
        <v>483</v>
      </c>
      <c r="H2567" s="85" t="s">
        <v>484</v>
      </c>
    </row>
    <row r="2568" spans="1:8" ht="14.25" x14ac:dyDescent="0.45">
      <c r="A2568" s="86" cm="1">
        <f t="array" aca="1" ref="A2568:A2583" ca="1">_xlfn.SEQUENCE(COUNTA(_xlfn.LET(_xlpm.trimmed,OFFSET(f_listof_program_candidates,MATCH("SS49",f_listof_program_codes,0)-1,6,1,),TRANSPOSE(_xlfn._xlws.FILTER(OFFSET(_xlpm.trimmed,0,0,,COUNTA(_xlpm.trimmed)-5),OFFSET(_xlpm.trimmed,0,0,,COUNTA(_xlpm.trimmed)-5)&lt;&gt;0)))))</f>
        <v>1</v>
      </c>
      <c r="B2568" s="86" t="str" cm="1">
        <f t="array" aca="1" ref="B2568:B2583" ca="1">_xlfn.LET(_xlpm.trimmed,OFFSET(f_listof_program_candidates,MATCH("SS49",f_listof_program_codes,0)-1,6,1,),TRANSPOSE(_xlfn._xlws.FILTER(OFFSET(_xlpm.trimmed,0,0,,COUNTA(_xlpm.trimmed)-5),OFFSET(_xlpm.trimmed,0,0,,COUNTA(_xlpm.trimmed)-5)&lt;&gt;0)))</f>
        <v>D128</v>
      </c>
      <c r="C2568" s="86" t="str">
        <f t="shared" ref="C2568:C2583" ca="1" si="561">VLOOKUP(B2568,f_detailsof_candidates,2,FALSE)</f>
        <v>MEHAZIN AMAN T</v>
      </c>
      <c r="D2568" s="86" t="str">
        <f t="shared" ref="D2568:D2583" ca="1" si="562">VLOOKUP(B2568,f_detailsof_candidates,3,FALSE)</f>
        <v>FANT</v>
      </c>
      <c r="E2568" s="86">
        <f t="shared" ref="E2568:E2583" ca="1" si="563">VLOOKUP(B2568,f_detailsof_candidates,5,FALSE)</f>
        <v>8</v>
      </c>
    </row>
    <row r="2569" spans="1:8" ht="14.25" x14ac:dyDescent="0.45">
      <c r="A2569" s="86">
        <f ca="1"/>
        <v>2</v>
      </c>
      <c r="B2569" s="86" t="str">
        <f ca="1"/>
        <v>D127</v>
      </c>
      <c r="C2569" s="86" t="str">
        <f t="shared" ca="1" si="561"/>
        <v>SHADIN G</v>
      </c>
      <c r="D2569" s="86" t="str">
        <f t="shared" ca="1" si="562"/>
        <v>FANT</v>
      </c>
      <c r="E2569" s="86">
        <f t="shared" ca="1" si="563"/>
        <v>8</v>
      </c>
    </row>
    <row r="2570" spans="1:8" ht="14.25" x14ac:dyDescent="0.45">
      <c r="A2570" s="86">
        <f ca="1"/>
        <v>3</v>
      </c>
      <c r="B2570" s="86" t="str">
        <f ca="1"/>
        <v>D177</v>
      </c>
      <c r="C2570" s="86" t="str">
        <f t="shared" ca="1" si="561"/>
        <v>SHAMEEM ABDULLA P.S</v>
      </c>
      <c r="D2570" s="86" t="str">
        <f t="shared" ca="1" si="562"/>
        <v>FANT</v>
      </c>
      <c r="E2570" s="86">
        <f t="shared" ca="1" si="563"/>
        <v>10</v>
      </c>
    </row>
    <row r="2571" spans="1:8" ht="14.25" x14ac:dyDescent="0.45">
      <c r="A2571" s="86">
        <f ca="1"/>
        <v>4</v>
      </c>
      <c r="B2571" s="86" t="str">
        <f ca="1"/>
        <v>D165</v>
      </c>
      <c r="C2571" s="86" t="str">
        <f t="shared" ca="1" si="561"/>
        <v>AJMAL KI</v>
      </c>
      <c r="D2571" s="86" t="str">
        <f t="shared" ca="1" si="562"/>
        <v>FANT</v>
      </c>
      <c r="E2571" s="86">
        <f t="shared" ca="1" si="563"/>
        <v>9</v>
      </c>
    </row>
    <row r="2572" spans="1:8" ht="14.25" x14ac:dyDescent="0.45">
      <c r="A2572" s="86">
        <f ca="1"/>
        <v>5</v>
      </c>
      <c r="B2572" s="86" t="str">
        <f ca="1"/>
        <v>D140</v>
      </c>
      <c r="C2572" s="86" t="str">
        <f t="shared" ca="1" si="561"/>
        <v>MUHAMMED FAISAL A K</v>
      </c>
      <c r="D2572" s="86" t="str">
        <f t="shared" ca="1" si="562"/>
        <v>DAHF</v>
      </c>
      <c r="E2572" s="86">
        <f t="shared" ca="1" si="563"/>
        <v>9</v>
      </c>
    </row>
    <row r="2573" spans="1:8" ht="14.25" x14ac:dyDescent="0.45">
      <c r="A2573" s="86">
        <f ca="1"/>
        <v>6</v>
      </c>
      <c r="B2573" s="86" t="str">
        <f ca="1"/>
        <v>D150</v>
      </c>
      <c r="C2573" s="86" t="str">
        <f t="shared" ca="1" si="561"/>
        <v>ABDUL KHADER</v>
      </c>
      <c r="D2573" s="86" t="str">
        <f t="shared" ca="1" si="562"/>
        <v>DAHF</v>
      </c>
      <c r="E2573" s="86">
        <f t="shared" ca="1" si="563"/>
        <v>9</v>
      </c>
    </row>
    <row r="2574" spans="1:8" ht="14.25" x14ac:dyDescent="0.45">
      <c r="A2574" s="86">
        <f ca="1"/>
        <v>7</v>
      </c>
      <c r="B2574" s="86" t="str">
        <f ca="1"/>
        <v>D166</v>
      </c>
      <c r="C2574" s="86" t="str">
        <f t="shared" ca="1" si="561"/>
        <v>MOHAMMED IRFAN C</v>
      </c>
      <c r="D2574" s="86" t="str">
        <f t="shared" ca="1" si="562"/>
        <v>DAHF</v>
      </c>
      <c r="E2574" s="86">
        <f t="shared" ca="1" si="563"/>
        <v>9</v>
      </c>
    </row>
    <row r="2575" spans="1:8" ht="14.25" x14ac:dyDescent="0.45">
      <c r="A2575" s="86">
        <f ca="1"/>
        <v>8</v>
      </c>
      <c r="B2575" s="86" t="str">
        <f ca="1"/>
        <v>D196</v>
      </c>
      <c r="C2575" s="86" t="str">
        <f t="shared" ca="1" si="561"/>
        <v>ABDUL VAJID K</v>
      </c>
      <c r="D2575" s="86" t="str">
        <f t="shared" ca="1" si="562"/>
        <v>DAHF</v>
      </c>
      <c r="E2575" s="86">
        <f t="shared" ca="1" si="563"/>
        <v>10</v>
      </c>
    </row>
    <row r="2576" spans="1:8" ht="14.25" x14ac:dyDescent="0.45">
      <c r="A2576" s="86">
        <f ca="1"/>
        <v>9</v>
      </c>
      <c r="B2576" s="86" t="str">
        <f ca="1"/>
        <v>D145</v>
      </c>
      <c r="C2576" s="86" t="str">
        <f t="shared" ca="1" si="561"/>
        <v>ABBAS ARFAS O.R</v>
      </c>
      <c r="D2576" s="86" t="str">
        <f t="shared" ca="1" si="562"/>
        <v>BADF</v>
      </c>
      <c r="E2576" s="86">
        <f t="shared" ca="1" si="563"/>
        <v>9</v>
      </c>
    </row>
    <row r="2577" spans="1:8" ht="14.25" x14ac:dyDescent="0.45">
      <c r="A2577" s="86">
        <f ca="1"/>
        <v>10</v>
      </c>
      <c r="B2577" s="86" t="str">
        <f ca="1"/>
        <v>D162</v>
      </c>
      <c r="C2577" s="86" t="str">
        <f t="shared" ca="1" si="561"/>
        <v>ABDURAHMAN P.H</v>
      </c>
      <c r="D2577" s="86" t="str">
        <f t="shared" ca="1" si="562"/>
        <v>BADF</v>
      </c>
      <c r="E2577" s="86">
        <f t="shared" ca="1" si="563"/>
        <v>9</v>
      </c>
    </row>
    <row r="2578" spans="1:8" ht="14.25" x14ac:dyDescent="0.45">
      <c r="A2578" s="86">
        <f ca="1"/>
        <v>11</v>
      </c>
      <c r="B2578" s="86" t="str">
        <f ca="1"/>
        <v>D178</v>
      </c>
      <c r="C2578" s="86" t="str">
        <f t="shared" ca="1" si="561"/>
        <v>AHMED BK</v>
      </c>
      <c r="D2578" s="86" t="str">
        <f t="shared" ca="1" si="562"/>
        <v>BADF</v>
      </c>
      <c r="E2578" s="86">
        <f t="shared" ca="1" si="563"/>
        <v>10</v>
      </c>
    </row>
    <row r="2579" spans="1:8" ht="14.25" x14ac:dyDescent="0.45">
      <c r="A2579" s="86">
        <f ca="1"/>
        <v>12</v>
      </c>
      <c r="B2579" s="86" t="str">
        <f ca="1"/>
        <v>D195</v>
      </c>
      <c r="C2579" s="86" t="str">
        <f t="shared" ca="1" si="561"/>
        <v>AHMED SWALAHUDHEEN PI</v>
      </c>
      <c r="D2579" s="86" t="str">
        <f t="shared" ca="1" si="562"/>
        <v>BADF</v>
      </c>
      <c r="E2579" s="86">
        <f t="shared" ca="1" si="563"/>
        <v>10</v>
      </c>
    </row>
    <row r="2580" spans="1:8" ht="14.25" x14ac:dyDescent="0.45">
      <c r="A2580" s="86">
        <f ca="1"/>
        <v>13</v>
      </c>
      <c r="B2580" s="86" t="str">
        <f ca="1"/>
        <v>D104</v>
      </c>
      <c r="C2580" s="86" t="str">
        <f t="shared" ca="1" si="561"/>
        <v>MUHAMMAD SHANEED.</v>
      </c>
      <c r="D2580" s="86" t="str">
        <f t="shared" ca="1" si="562"/>
        <v>JARF</v>
      </c>
      <c r="E2580" s="86">
        <f t="shared" ca="1" si="563"/>
        <v>8</v>
      </c>
    </row>
    <row r="2581" spans="1:8" ht="14.25" x14ac:dyDescent="0.45">
      <c r="A2581" s="86">
        <f ca="1"/>
        <v>14</v>
      </c>
      <c r="B2581" s="86" t="str">
        <f ca="1"/>
        <v>D111</v>
      </c>
      <c r="C2581" s="86" t="str">
        <f t="shared" ca="1" si="561"/>
        <v>MAHAMMED SHAMEEL</v>
      </c>
      <c r="D2581" s="86" t="str">
        <f t="shared" ca="1" si="562"/>
        <v>JARF</v>
      </c>
      <c r="E2581" s="86">
        <f t="shared" ca="1" si="563"/>
        <v>8</v>
      </c>
    </row>
    <row r="2582" spans="1:8" ht="14.25" x14ac:dyDescent="0.45">
      <c r="A2582" s="86">
        <f ca="1"/>
        <v>15</v>
      </c>
      <c r="B2582" s="86" t="str">
        <f ca="1"/>
        <v>D164</v>
      </c>
      <c r="C2582" s="86" t="str">
        <f t="shared" ca="1" si="561"/>
        <v>AHMED SULTHAN</v>
      </c>
      <c r="D2582" s="86" t="str">
        <f t="shared" ca="1" si="562"/>
        <v>JARF</v>
      </c>
      <c r="E2582" s="86">
        <f t="shared" ca="1" si="563"/>
        <v>9</v>
      </c>
    </row>
    <row r="2583" spans="1:8" ht="14.25" x14ac:dyDescent="0.45">
      <c r="A2583" s="86">
        <f ca="1"/>
        <v>16</v>
      </c>
      <c r="B2583" s="86" t="str">
        <f ca="1"/>
        <v>D170</v>
      </c>
      <c r="C2583" s="86" t="str">
        <f t="shared" ca="1" si="561"/>
        <v>AHMED ADIL B.K</v>
      </c>
      <c r="D2583" s="86" t="str">
        <f t="shared" ca="1" si="562"/>
        <v>JARF</v>
      </c>
      <c r="E2583" s="86">
        <f t="shared" ca="1" si="563"/>
        <v>10</v>
      </c>
    </row>
    <row r="2584" spans="1:8" ht="14.25" x14ac:dyDescent="0.45">
      <c r="A2584" s="84" t="s">
        <v>421</v>
      </c>
      <c r="B2584" s="84" t="str">
        <f>VLOOKUP("GN01",f_detailsof_programs,2,FALSE)</f>
        <v>COLLAGE</v>
      </c>
      <c r="C2584" s="84"/>
      <c r="D2584" s="84" t="s">
        <v>688</v>
      </c>
      <c r="E2584" s="84" t="s">
        <v>640</v>
      </c>
      <c r="F2584" s="84"/>
      <c r="G2584" s="84"/>
      <c r="H2584" s="84"/>
    </row>
    <row r="2585" spans="1:8" ht="14.25" x14ac:dyDescent="0.45">
      <c r="A2585" s="85" t="s">
        <v>16</v>
      </c>
      <c r="B2585" s="85" t="s">
        <v>480</v>
      </c>
      <c r="C2585" s="85" t="s">
        <v>18</v>
      </c>
      <c r="D2585" s="85" t="s">
        <v>481</v>
      </c>
      <c r="E2585" s="85" t="s">
        <v>19</v>
      </c>
      <c r="F2585" s="85" t="s">
        <v>482</v>
      </c>
      <c r="G2585" s="85" t="s">
        <v>483</v>
      </c>
      <c r="H2585" s="85" t="s">
        <v>484</v>
      </c>
    </row>
    <row r="2586" spans="1:8" ht="14.25" x14ac:dyDescent="0.45">
      <c r="A2586" s="86" cm="1">
        <f t="array" aca="1" ref="A2586" ca="1">_xlfn.SEQUENCE(COUNTA(_xlfn.LET(_xlpm.trimmed,OFFSET(f_listof_program_candidates,MATCH("GN01",f_listof_program_codes,0)-1,6,1,),TRANSPOSE(_xlfn._xlws.FILTER(OFFSET(_xlpm.trimmed,0,0,,COUNTA(_xlpm.trimmed)-5),OFFSET(_xlpm.trimmed,0,0,,COUNTA(_xlpm.trimmed)-5)&lt;&gt;0)))))</f>
        <v>1</v>
      </c>
      <c r="B2586" s="86" t="e" cm="1" vm="1">
        <f t="array" aca="1" ref="B2586" ca="1">_xlfn.LET(_xlpm.trimmed,OFFSET(f_listof_program_candidates,MATCH("GN01",f_listof_program_codes,0)-1,6,1,),TRANSPOSE(_xlfn._xlws.FILTER(OFFSET(_xlpm.trimmed,0,0,,COUNTA(_xlpm.trimmed)-5),OFFSET(_xlpm.trimmed,0,0,,COUNTA(_xlpm.trimmed)-5)&lt;&gt;0)))</f>
        <v>#VALUE!</v>
      </c>
      <c r="C2586" s="86" t="e" vm="2">
        <f ca="1">VLOOKUP(B2586,f_detailsof_candidates,2,FALSE)</f>
        <v>#VALUE!</v>
      </c>
      <c r="D2586" s="86" t="e" vm="2">
        <f ca="1">VLOOKUP(B2586,f_detailsof_candidates,3,FALSE)</f>
        <v>#VALUE!</v>
      </c>
      <c r="E2586" s="86" t="e" vm="2">
        <f ca="1">VLOOKUP(B2586,f_detailsof_candidates,5,FALSE)</f>
        <v>#VALUE!</v>
      </c>
    </row>
    <row r="2587" spans="1:8" ht="14.25" x14ac:dyDescent="0.45">
      <c r="A2587" s="84" t="s">
        <v>425</v>
      </c>
      <c r="B2587" s="84" t="str">
        <f>VLOOKUP("GN02",f_detailsof_programs,2,FALSE)</f>
        <v>DIGITAL MAGAZINE</v>
      </c>
      <c r="C2587" s="84"/>
      <c r="D2587" s="84" t="s">
        <v>688</v>
      </c>
      <c r="E2587" s="84" t="s">
        <v>640</v>
      </c>
      <c r="F2587" s="84"/>
      <c r="G2587" s="84"/>
      <c r="H2587" s="84"/>
    </row>
    <row r="2588" spans="1:8" ht="14.25" x14ac:dyDescent="0.45">
      <c r="A2588" s="85" t="s">
        <v>16</v>
      </c>
      <c r="B2588" s="85" t="s">
        <v>480</v>
      </c>
      <c r="C2588" s="85" t="s">
        <v>18</v>
      </c>
      <c r="D2588" s="85" t="s">
        <v>481</v>
      </c>
      <c r="E2588" s="85" t="s">
        <v>19</v>
      </c>
      <c r="F2588" s="85" t="s">
        <v>482</v>
      </c>
      <c r="G2588" s="85" t="s">
        <v>483</v>
      </c>
      <c r="H2588" s="85" t="s">
        <v>484</v>
      </c>
    </row>
    <row r="2589" spans="1:8" ht="14.25" x14ac:dyDescent="0.45">
      <c r="A2589" s="86" cm="1">
        <f t="array" aca="1" ref="A2589" ca="1">_xlfn.SEQUENCE(COUNTA(_xlfn.LET(_xlpm.trimmed,OFFSET(f_listof_program_candidates,MATCH("GN02",f_listof_program_codes,0)-1,6,1,),TRANSPOSE(_xlfn._xlws.FILTER(OFFSET(_xlpm.trimmed,0,0,,COUNTA(_xlpm.trimmed)-5),OFFSET(_xlpm.trimmed,0,0,,COUNTA(_xlpm.trimmed)-5)&lt;&gt;0)))))</f>
        <v>1</v>
      </c>
      <c r="B2589" s="86" t="e" cm="1" vm="1">
        <f t="array" aca="1" ref="B2589" ca="1">_xlfn.LET(_xlpm.trimmed,OFFSET(f_listof_program_candidates,MATCH("GN02",f_listof_program_codes,0)-1,6,1,),TRANSPOSE(_xlfn._xlws.FILTER(OFFSET(_xlpm.trimmed,0,0,,COUNTA(_xlpm.trimmed)-5),OFFSET(_xlpm.trimmed,0,0,,COUNTA(_xlpm.trimmed)-5)&lt;&gt;0)))</f>
        <v>#VALUE!</v>
      </c>
      <c r="C2589" s="86" t="e" vm="2">
        <f ca="1">VLOOKUP(B2589,f_detailsof_candidates,2,FALSE)</f>
        <v>#VALUE!</v>
      </c>
      <c r="D2589" s="86" t="e" vm="2">
        <f ca="1">VLOOKUP(B2589,f_detailsof_candidates,3,FALSE)</f>
        <v>#VALUE!</v>
      </c>
      <c r="E2589" s="86" t="e" vm="2">
        <f ca="1">VLOOKUP(B2589,f_detailsof_candidates,5,FALSE)</f>
        <v>#VALUE!</v>
      </c>
    </row>
    <row r="2590" spans="1:8" ht="14.25" x14ac:dyDescent="0.45">
      <c r="A2590" s="84" t="s">
        <v>427</v>
      </c>
      <c r="B2590" s="84" t="str">
        <f>VLOOKUP("GN03",f_detailsof_programs,2,FALSE)</f>
        <v>DOCUMENTARY</v>
      </c>
      <c r="C2590" s="84"/>
      <c r="D2590" s="84" t="s">
        <v>688</v>
      </c>
      <c r="E2590" s="84" t="s">
        <v>640</v>
      </c>
      <c r="F2590" s="84"/>
      <c r="G2590" s="84"/>
      <c r="H2590" s="84"/>
    </row>
    <row r="2591" spans="1:8" ht="14.25" x14ac:dyDescent="0.45">
      <c r="A2591" s="85" t="s">
        <v>16</v>
      </c>
      <c r="B2591" s="85" t="s">
        <v>480</v>
      </c>
      <c r="C2591" s="85" t="s">
        <v>18</v>
      </c>
      <c r="D2591" s="85" t="s">
        <v>481</v>
      </c>
      <c r="E2591" s="85" t="s">
        <v>19</v>
      </c>
      <c r="F2591" s="85" t="s">
        <v>482</v>
      </c>
      <c r="G2591" s="85" t="s">
        <v>483</v>
      </c>
      <c r="H2591" s="85" t="s">
        <v>484</v>
      </c>
    </row>
    <row r="2592" spans="1:8" ht="14.25" x14ac:dyDescent="0.45">
      <c r="A2592" s="86" cm="1">
        <f t="array" aca="1" ref="A2592" ca="1">_xlfn.SEQUENCE(COUNTA(_xlfn.LET(_xlpm.trimmed,OFFSET(f_listof_program_candidates,MATCH("GN03",f_listof_program_codes,0)-1,6,1,),TRANSPOSE(_xlfn._xlws.FILTER(OFFSET(_xlpm.trimmed,0,0,,COUNTA(_xlpm.trimmed)-5),OFFSET(_xlpm.trimmed,0,0,,COUNTA(_xlpm.trimmed)-5)&lt;&gt;0)))))</f>
        <v>1</v>
      </c>
      <c r="B2592" s="86" t="e" cm="1" vm="1">
        <f t="array" aca="1" ref="B2592" ca="1">_xlfn.LET(_xlpm.trimmed,OFFSET(f_listof_program_candidates,MATCH("GN03",f_listof_program_codes,0)-1,6,1,),TRANSPOSE(_xlfn._xlws.FILTER(OFFSET(_xlpm.trimmed,0,0,,COUNTA(_xlpm.trimmed)-5),OFFSET(_xlpm.trimmed,0,0,,COUNTA(_xlpm.trimmed)-5)&lt;&gt;0)))</f>
        <v>#VALUE!</v>
      </c>
      <c r="C2592" s="86" t="e" vm="2">
        <f ca="1">VLOOKUP(B2592,f_detailsof_candidates,2,FALSE)</f>
        <v>#VALUE!</v>
      </c>
      <c r="D2592" s="86" t="e" vm="2">
        <f ca="1">VLOOKUP(B2592,f_detailsof_candidates,3,FALSE)</f>
        <v>#VALUE!</v>
      </c>
      <c r="E2592" s="86" t="e" vm="2">
        <f ca="1">VLOOKUP(B2592,f_detailsof_candidates,5,FALSE)</f>
        <v>#VALUE!</v>
      </c>
    </row>
    <row r="2593" spans="1:8" ht="14.25" x14ac:dyDescent="0.45">
      <c r="A2593" s="84" t="s">
        <v>429</v>
      </c>
      <c r="B2593" s="84" t="str">
        <f>VLOOKUP("GN04",f_detailsof_programs,2,FALSE)</f>
        <v>PROJECT BRANDING</v>
      </c>
      <c r="C2593" s="84"/>
      <c r="D2593" s="84" t="s">
        <v>688</v>
      </c>
      <c r="E2593" s="84" t="s">
        <v>640</v>
      </c>
      <c r="F2593" s="84"/>
      <c r="G2593" s="84"/>
      <c r="H2593" s="84"/>
    </row>
    <row r="2594" spans="1:8" ht="14.25" x14ac:dyDescent="0.45">
      <c r="A2594" s="85" t="s">
        <v>16</v>
      </c>
      <c r="B2594" s="85" t="s">
        <v>480</v>
      </c>
      <c r="C2594" s="85" t="s">
        <v>18</v>
      </c>
      <c r="D2594" s="85" t="s">
        <v>481</v>
      </c>
      <c r="E2594" s="85" t="s">
        <v>19</v>
      </c>
      <c r="F2594" s="85" t="s">
        <v>482</v>
      </c>
      <c r="G2594" s="85" t="s">
        <v>483</v>
      </c>
      <c r="H2594" s="85" t="s">
        <v>484</v>
      </c>
    </row>
    <row r="2595" spans="1:8" ht="14.25" x14ac:dyDescent="0.45">
      <c r="A2595" s="86" cm="1">
        <f t="array" aca="1" ref="A2595" ca="1">_xlfn.SEQUENCE(COUNTA(_xlfn.LET(_xlpm.trimmed,OFFSET(f_listof_program_candidates,MATCH("GN04",f_listof_program_codes,0)-1,6,1,),TRANSPOSE(_xlfn._xlws.FILTER(OFFSET(_xlpm.trimmed,0,0,,COUNTA(_xlpm.trimmed)-5),OFFSET(_xlpm.trimmed,0,0,,COUNTA(_xlpm.trimmed)-5)&lt;&gt;0)))))</f>
        <v>1</v>
      </c>
      <c r="B2595" s="86" t="e" cm="1" vm="1">
        <f t="array" aca="1" ref="B2595" ca="1">_xlfn.LET(_xlpm.trimmed,OFFSET(f_listof_program_candidates,MATCH("GN04",f_listof_program_codes,0)-1,6,1,),TRANSPOSE(_xlfn._xlws.FILTER(OFFSET(_xlpm.trimmed,0,0,,COUNTA(_xlpm.trimmed)-5),OFFSET(_xlpm.trimmed,0,0,,COUNTA(_xlpm.trimmed)-5)&lt;&gt;0)))</f>
        <v>#VALUE!</v>
      </c>
      <c r="C2595" s="86" t="e" vm="2">
        <f ca="1">VLOOKUP(B2595,f_detailsof_candidates,2,FALSE)</f>
        <v>#VALUE!</v>
      </c>
      <c r="D2595" s="86" t="e" vm="2">
        <f ca="1">VLOOKUP(B2595,f_detailsof_candidates,3,FALSE)</f>
        <v>#VALUE!</v>
      </c>
      <c r="E2595" s="86" t="e" vm="2">
        <f ca="1">VLOOKUP(B2595,f_detailsof_candidates,5,FALSE)</f>
        <v>#VALUE!</v>
      </c>
    </row>
    <row r="2596" spans="1:8" ht="14.25" x14ac:dyDescent="0.45">
      <c r="A2596" s="84" t="s">
        <v>431</v>
      </c>
      <c r="B2596" s="84" t="str">
        <f>VLOOKUP("GN05",f_detailsof_programs,2,FALSE)</f>
        <v>WALL PAINTING</v>
      </c>
      <c r="C2596" s="84"/>
      <c r="D2596" s="84" t="s">
        <v>688</v>
      </c>
      <c r="E2596" s="84" t="s">
        <v>640</v>
      </c>
      <c r="F2596" s="84"/>
      <c r="G2596" s="84"/>
      <c r="H2596" s="84"/>
    </row>
    <row r="2597" spans="1:8" ht="14.25" x14ac:dyDescent="0.45">
      <c r="A2597" s="85" t="s">
        <v>16</v>
      </c>
      <c r="B2597" s="85" t="s">
        <v>480</v>
      </c>
      <c r="C2597" s="85" t="s">
        <v>18</v>
      </c>
      <c r="D2597" s="85" t="s">
        <v>481</v>
      </c>
      <c r="E2597" s="85" t="s">
        <v>19</v>
      </c>
      <c r="F2597" s="85" t="s">
        <v>482</v>
      </c>
      <c r="G2597" s="85" t="s">
        <v>483</v>
      </c>
      <c r="H2597" s="85" t="s">
        <v>484</v>
      </c>
    </row>
    <row r="2598" spans="1:8" ht="14.25" x14ac:dyDescent="0.45">
      <c r="A2598" s="86" cm="1">
        <f t="array" aca="1" ref="A2598" ca="1">_xlfn.SEQUENCE(COUNTA(_xlfn.LET(_xlpm.trimmed,OFFSET(f_listof_program_candidates,MATCH("GN05",f_listof_program_codes,0)-1,6,1,),TRANSPOSE(_xlfn._xlws.FILTER(OFFSET(_xlpm.trimmed,0,0,,COUNTA(_xlpm.trimmed)-5),OFFSET(_xlpm.trimmed,0,0,,COUNTA(_xlpm.trimmed)-5)&lt;&gt;0)))))</f>
        <v>1</v>
      </c>
      <c r="B2598" s="86" t="e" cm="1" vm="1">
        <f t="array" aca="1" ref="B2598" ca="1">_xlfn.LET(_xlpm.trimmed,OFFSET(f_listof_program_candidates,MATCH("GN05",f_listof_program_codes,0)-1,6,1,),TRANSPOSE(_xlfn._xlws.FILTER(OFFSET(_xlpm.trimmed,0,0,,COUNTA(_xlpm.trimmed)-5),OFFSET(_xlpm.trimmed,0,0,,COUNTA(_xlpm.trimmed)-5)&lt;&gt;0)))</f>
        <v>#VALUE!</v>
      </c>
      <c r="C2598" s="86" t="e" vm="2">
        <f ca="1">VLOOKUP(B2598,f_detailsof_candidates,2,FALSE)</f>
        <v>#VALUE!</v>
      </c>
      <c r="D2598" s="86" t="e" vm="2">
        <f ca="1">VLOOKUP(B2598,f_detailsof_candidates,3,FALSE)</f>
        <v>#VALUE!</v>
      </c>
      <c r="E2598" s="86" t="e" vm="2">
        <f ca="1">VLOOKUP(B2598,f_detailsof_candidates,5,FALSE)</f>
        <v>#VALUE!</v>
      </c>
    </row>
    <row r="2599" spans="1:8" ht="14.25" x14ac:dyDescent="0.45">
      <c r="A2599" s="84" t="s">
        <v>433</v>
      </c>
      <c r="B2599" s="84" t="str">
        <f>VLOOKUP("GN06",f_detailsof_programs,2,FALSE)</f>
        <v>CAMPUS BRAIN</v>
      </c>
      <c r="C2599" s="84"/>
      <c r="D2599" s="84" t="s">
        <v>688</v>
      </c>
      <c r="E2599" s="84" t="s">
        <v>638</v>
      </c>
      <c r="F2599" s="84"/>
      <c r="G2599" s="84"/>
      <c r="H2599" s="84"/>
    </row>
    <row r="2600" spans="1:8" ht="14.25" x14ac:dyDescent="0.45">
      <c r="A2600" s="85" t="s">
        <v>16</v>
      </c>
      <c r="B2600" s="85" t="s">
        <v>480</v>
      </c>
      <c r="C2600" s="85" t="s">
        <v>18</v>
      </c>
      <c r="D2600" s="85" t="s">
        <v>481</v>
      </c>
      <c r="E2600" s="85" t="s">
        <v>19</v>
      </c>
      <c r="F2600" s="85" t="s">
        <v>482</v>
      </c>
      <c r="G2600" s="85" t="s">
        <v>483</v>
      </c>
      <c r="H2600" s="85" t="s">
        <v>484</v>
      </c>
    </row>
    <row r="2601" spans="1:8" ht="14.25" x14ac:dyDescent="0.45">
      <c r="A2601" s="86" cm="1">
        <f t="array" aca="1" ref="A2601:A2604" ca="1">_xlfn.SEQUENCE(COUNTA(_xlfn.LET(_xlpm.trimmed,OFFSET(f_listof_program_candidates,MATCH("GN06",f_listof_program_codes,0)-1,6,1,),TRANSPOSE(_xlfn._xlws.FILTER(OFFSET(_xlpm.trimmed,0,0,,COUNTA(_xlpm.trimmed)-5),OFFSET(_xlpm.trimmed,0,0,,COUNTA(_xlpm.trimmed)-5)&lt;&gt;0)))))</f>
        <v>1</v>
      </c>
      <c r="B2601" s="86" t="str" cm="1">
        <f t="array" aca="1" ref="B2601:B2604" ca="1">_xlfn.LET(_xlpm.trimmed,OFFSET(f_listof_program_candidates,MATCH("GN06",f_listof_program_codes,0)-1,6,1,),TRANSPOSE(_xlfn._xlws.FILTER(OFFSET(_xlpm.trimmed,0,0,,COUNTA(_xlpm.trimmed)-5),OFFSET(_xlpm.trimmed,0,0,,COUNTA(_xlpm.trimmed)-5)&lt;&gt;0)))</f>
        <v>D133</v>
      </c>
      <c r="C2601" s="86" t="str">
        <f ca="1">VLOOKUP(B2601,f_detailsof_candidates,2,FALSE)</f>
        <v>MOHAMMED SHAMSHEER</v>
      </c>
      <c r="D2601" s="86" t="str">
        <f ca="1">VLOOKUP(B2601,f_detailsof_candidates,3,FALSE)</f>
        <v>FANT</v>
      </c>
      <c r="E2601" s="86">
        <f ca="1">VLOOKUP(B2601,f_detailsof_candidates,5,FALSE)</f>
        <v>9</v>
      </c>
    </row>
    <row r="2602" spans="1:8" ht="14.25" x14ac:dyDescent="0.45">
      <c r="A2602" s="86">
        <f ca="1"/>
        <v>2</v>
      </c>
      <c r="B2602" s="86" t="str">
        <f ca="1"/>
        <v>C133</v>
      </c>
      <c r="C2602" s="86" t="str">
        <f ca="1">VLOOKUP(B2602,f_detailsof_candidates,2,FALSE)</f>
        <v>SALMANUL FARIS</v>
      </c>
      <c r="D2602" s="86" t="str">
        <f ca="1">VLOOKUP(B2602,f_detailsof_candidates,3,FALSE)</f>
        <v>DAHF</v>
      </c>
      <c r="E2602" s="86">
        <f ca="1">VLOOKUP(B2602,f_detailsof_candidates,5,FALSE)</f>
        <v>6</v>
      </c>
    </row>
    <row r="2603" spans="1:8" ht="14.25" x14ac:dyDescent="0.45">
      <c r="A2603" s="86">
        <f ca="1"/>
        <v>3</v>
      </c>
      <c r="B2603" s="86" t="str">
        <f ca="1"/>
        <v>D110</v>
      </c>
      <c r="C2603" s="86" t="str">
        <f ca="1">VLOOKUP(B2603,f_detailsof_candidates,2,FALSE)</f>
        <v>ABBAS AZNAB M.A</v>
      </c>
      <c r="D2603" s="86" t="str">
        <f ca="1">VLOOKUP(B2603,f_detailsof_candidates,3,FALSE)</f>
        <v>BADF</v>
      </c>
      <c r="E2603" s="86">
        <f ca="1">VLOOKUP(B2603,f_detailsof_candidates,5,FALSE)</f>
        <v>8</v>
      </c>
    </row>
    <row r="2604" spans="1:8" ht="14.25" x14ac:dyDescent="0.45">
      <c r="A2604" s="86">
        <f ca="1"/>
        <v>4</v>
      </c>
      <c r="B2604" s="86" t="str">
        <f ca="1"/>
        <v>D194</v>
      </c>
      <c r="C2604" s="86" t="str">
        <f ca="1">VLOOKUP(B2604,f_detailsof_candidates,2,FALSE)</f>
        <v>AYAZ RAHMAN T</v>
      </c>
      <c r="D2604" s="86" t="str">
        <f ca="1">VLOOKUP(B2604,f_detailsof_candidates,3,FALSE)</f>
        <v>JARF</v>
      </c>
      <c r="E2604" s="86">
        <f ca="1">VLOOKUP(B2604,f_detailsof_candidates,5,FALSE)</f>
        <v>10</v>
      </c>
    </row>
    <row r="2605" spans="1:8" ht="14.25" x14ac:dyDescent="0.45">
      <c r="A2605" s="84" t="s">
        <v>436</v>
      </c>
      <c r="B2605" s="84" t="str">
        <f>VLOOKUP("GN07",f_detailsof_programs,2,FALSE)</f>
        <v>DEBATE ENGLISH</v>
      </c>
      <c r="C2605" s="84"/>
      <c r="D2605" s="84" t="s">
        <v>688</v>
      </c>
      <c r="E2605" s="84" t="s">
        <v>486</v>
      </c>
      <c r="F2605" s="84"/>
      <c r="G2605" s="84"/>
      <c r="H2605" s="84"/>
    </row>
    <row r="2606" spans="1:8" ht="14.25" x14ac:dyDescent="0.45">
      <c r="A2606" s="85" t="s">
        <v>16</v>
      </c>
      <c r="B2606" s="85" t="s">
        <v>480</v>
      </c>
      <c r="C2606" s="85" t="s">
        <v>18</v>
      </c>
      <c r="D2606" s="85" t="s">
        <v>481</v>
      </c>
      <c r="E2606" s="85" t="s">
        <v>19</v>
      </c>
      <c r="F2606" s="85" t="s">
        <v>482</v>
      </c>
      <c r="G2606" s="85" t="s">
        <v>483</v>
      </c>
      <c r="H2606" s="85" t="s">
        <v>484</v>
      </c>
    </row>
    <row r="2607" spans="1:8" ht="14.25" x14ac:dyDescent="0.45">
      <c r="A2607" s="86" cm="1">
        <f t="array" aca="1" ref="A2607:A2614" ca="1">_xlfn.SEQUENCE(COUNTA(_xlfn.LET(_xlpm.trimmed,OFFSET(f_listof_program_candidates,MATCH("GN07",f_listof_program_codes,0)-1,6,1,),TRANSPOSE(_xlfn._xlws.FILTER(OFFSET(_xlpm.trimmed,0,0,,COUNTA(_xlpm.trimmed)-5),OFFSET(_xlpm.trimmed,0,0,,COUNTA(_xlpm.trimmed)-5)&lt;&gt;0)))))</f>
        <v>1</v>
      </c>
      <c r="B2607" s="86" t="str" cm="1">
        <f t="array" aca="1" ref="B2607:B2614" ca="1">_xlfn.LET(_xlpm.trimmed,OFFSET(f_listof_program_candidates,MATCH("GN07",f_listof_program_codes,0)-1,6,1,),TRANSPOSE(_xlfn._xlws.FILTER(OFFSET(_xlpm.trimmed,0,0,,COUNTA(_xlpm.trimmed)-5),OFFSET(_xlpm.trimmed,0,0,,COUNTA(_xlpm.trimmed)-5)&lt;&gt;0)))</f>
        <v>D165</v>
      </c>
      <c r="C2607" s="86" t="str">
        <f t="shared" ref="C2607:C2614" ca="1" si="564">VLOOKUP(B2607,f_detailsof_candidates,2,FALSE)</f>
        <v>AJMAL KI</v>
      </c>
      <c r="D2607" s="86" t="str">
        <f t="shared" ref="D2607:D2614" ca="1" si="565">VLOOKUP(B2607,f_detailsof_candidates,3,FALSE)</f>
        <v>FANT</v>
      </c>
      <c r="E2607" s="86">
        <f t="shared" ref="E2607:E2614" ca="1" si="566">VLOOKUP(B2607,f_detailsof_candidates,5,FALSE)</f>
        <v>9</v>
      </c>
    </row>
    <row r="2608" spans="1:8" ht="14.25" x14ac:dyDescent="0.45">
      <c r="A2608" s="86">
        <f ca="1"/>
        <v>2</v>
      </c>
      <c r="B2608" s="86" t="str">
        <f ca="1"/>
        <v>C168</v>
      </c>
      <c r="C2608" s="86" t="str">
        <f t="shared" ca="1" si="564"/>
        <v>MUHAMMED SHAHAN P.S</v>
      </c>
      <c r="D2608" s="86" t="str">
        <f t="shared" ca="1" si="565"/>
        <v>FANT</v>
      </c>
      <c r="E2608" s="86">
        <f t="shared" ca="1" si="566"/>
        <v>7</v>
      </c>
    </row>
    <row r="2609" spans="1:8" ht="14.25" x14ac:dyDescent="0.45">
      <c r="A2609" s="86">
        <f ca="1"/>
        <v>3</v>
      </c>
      <c r="B2609" s="86" t="str">
        <f ca="1"/>
        <v>D150</v>
      </c>
      <c r="C2609" s="86" t="str">
        <f t="shared" ca="1" si="564"/>
        <v>ABDUL KHADER</v>
      </c>
      <c r="D2609" s="86" t="str">
        <f t="shared" ca="1" si="565"/>
        <v>DAHF</v>
      </c>
      <c r="E2609" s="86">
        <f t="shared" ca="1" si="566"/>
        <v>9</v>
      </c>
    </row>
    <row r="2610" spans="1:8" ht="14.25" x14ac:dyDescent="0.45">
      <c r="A2610" s="86">
        <f ca="1"/>
        <v>4</v>
      </c>
      <c r="B2610" s="86" t="str">
        <f ca="1"/>
        <v>D196</v>
      </c>
      <c r="C2610" s="86" t="str">
        <f t="shared" ca="1" si="564"/>
        <v>ABDUL VAJID K</v>
      </c>
      <c r="D2610" s="86" t="str">
        <f t="shared" ca="1" si="565"/>
        <v>DAHF</v>
      </c>
      <c r="E2610" s="86">
        <f t="shared" ca="1" si="566"/>
        <v>10</v>
      </c>
    </row>
    <row r="2611" spans="1:8" ht="14.25" x14ac:dyDescent="0.45">
      <c r="A2611" s="86">
        <f ca="1"/>
        <v>5</v>
      </c>
      <c r="B2611" s="86" t="str">
        <f ca="1"/>
        <v>D118</v>
      </c>
      <c r="C2611" s="86" t="str">
        <f t="shared" ca="1" si="564"/>
        <v>MOHAMMAD KHALANDAR ZIYAD</v>
      </c>
      <c r="D2611" s="86" t="str">
        <f t="shared" ca="1" si="565"/>
        <v>BADF</v>
      </c>
      <c r="E2611" s="86">
        <f t="shared" ca="1" si="566"/>
        <v>8</v>
      </c>
    </row>
    <row r="2612" spans="1:8" ht="14.25" x14ac:dyDescent="0.45">
      <c r="A2612" s="86">
        <f ca="1"/>
        <v>6</v>
      </c>
      <c r="B2612" s="86" t="str">
        <f ca="1"/>
        <v>C170</v>
      </c>
      <c r="C2612" s="86" t="str">
        <f t="shared" ca="1" si="564"/>
        <v>RUMAIZALI R IBRAHIM</v>
      </c>
      <c r="D2612" s="86" t="str">
        <f t="shared" ca="1" si="565"/>
        <v>BADF</v>
      </c>
      <c r="E2612" s="86">
        <f t="shared" ca="1" si="566"/>
        <v>7</v>
      </c>
    </row>
    <row r="2613" spans="1:8" ht="14.25" x14ac:dyDescent="0.45">
      <c r="A2613" s="86">
        <f ca="1"/>
        <v>7</v>
      </c>
      <c r="B2613" s="86" t="str">
        <f ca="1"/>
        <v>D111</v>
      </c>
      <c r="C2613" s="86" t="str">
        <f t="shared" ca="1" si="564"/>
        <v>MAHAMMED SHAMEEL</v>
      </c>
      <c r="D2613" s="86" t="str">
        <f t="shared" ca="1" si="565"/>
        <v>JARF</v>
      </c>
      <c r="E2613" s="86">
        <f t="shared" ca="1" si="566"/>
        <v>8</v>
      </c>
    </row>
    <row r="2614" spans="1:8" ht="14.25" x14ac:dyDescent="0.45">
      <c r="A2614" s="86">
        <f ca="1"/>
        <v>8</v>
      </c>
      <c r="B2614" s="86" t="str">
        <f ca="1"/>
        <v>C135</v>
      </c>
      <c r="C2614" s="86" t="str">
        <f t="shared" ca="1" si="564"/>
        <v>AHAMAD SHABAB P A</v>
      </c>
      <c r="D2614" s="86" t="str">
        <f t="shared" ca="1" si="565"/>
        <v>JARF</v>
      </c>
      <c r="E2614" s="86">
        <f t="shared" ca="1" si="566"/>
        <v>6</v>
      </c>
    </row>
    <row r="2615" spans="1:8" ht="14.25" x14ac:dyDescent="0.45">
      <c r="A2615" s="84" t="s">
        <v>438</v>
      </c>
      <c r="B2615" s="84" t="str">
        <f>VLOOKUP("GN08",f_detailsof_programs,2,FALSE)</f>
        <v>FATWA COUNCIL</v>
      </c>
      <c r="C2615" s="84"/>
      <c r="D2615" s="84" t="s">
        <v>688</v>
      </c>
      <c r="E2615" s="84" t="s">
        <v>485</v>
      </c>
      <c r="F2615" s="84"/>
      <c r="G2615" s="84"/>
      <c r="H2615" s="84"/>
    </row>
    <row r="2616" spans="1:8" ht="14.25" x14ac:dyDescent="0.45">
      <c r="A2616" s="85" t="s">
        <v>16</v>
      </c>
      <c r="B2616" s="85" t="s">
        <v>480</v>
      </c>
      <c r="C2616" s="85" t="s">
        <v>18</v>
      </c>
      <c r="D2616" s="85" t="s">
        <v>481</v>
      </c>
      <c r="E2616" s="85" t="s">
        <v>19</v>
      </c>
      <c r="F2616" s="85" t="s">
        <v>482</v>
      </c>
      <c r="G2616" s="85" t="s">
        <v>483</v>
      </c>
      <c r="H2616" s="85" t="s">
        <v>484</v>
      </c>
    </row>
    <row r="2617" spans="1:8" ht="14.25" x14ac:dyDescent="0.45">
      <c r="A2617" s="86" cm="1">
        <f t="array" aca="1" ref="A2617:A2628" ca="1">_xlfn.SEQUENCE(COUNTA(_xlfn.LET(_xlpm.trimmed,OFFSET(f_listof_program_candidates,MATCH("GN08",f_listof_program_codes,0)-1,6,1,),TRANSPOSE(_xlfn._xlws.FILTER(OFFSET(_xlpm.trimmed,0,0,,COUNTA(_xlpm.trimmed)-5),OFFSET(_xlpm.trimmed,0,0,,COUNTA(_xlpm.trimmed)-5)&lt;&gt;0)))))</f>
        <v>1</v>
      </c>
      <c r="B2617" s="86" t="str" cm="1">
        <f t="array" aca="1" ref="B2617:B2628" ca="1">_xlfn.LET(_xlpm.trimmed,OFFSET(f_listof_program_candidates,MATCH("GN08",f_listof_program_codes,0)-1,6,1,),TRANSPOSE(_xlfn._xlws.FILTER(OFFSET(_xlpm.trimmed,0,0,,COUNTA(_xlpm.trimmed)-5),OFFSET(_xlpm.trimmed,0,0,,COUNTA(_xlpm.trimmed)-5)&lt;&gt;0)))</f>
        <v>D133</v>
      </c>
      <c r="C2617" s="86" t="str">
        <f t="shared" ref="C2617:C2628" ca="1" si="567">VLOOKUP(B2617,f_detailsof_candidates,2,FALSE)</f>
        <v>MOHAMMED SHAMSHEER</v>
      </c>
      <c r="D2617" s="86" t="str">
        <f t="shared" ref="D2617:D2628" ca="1" si="568">VLOOKUP(B2617,f_detailsof_candidates,3,FALSE)</f>
        <v>FANT</v>
      </c>
      <c r="E2617" s="86">
        <f t="shared" ref="E2617:E2628" ca="1" si="569">VLOOKUP(B2617,f_detailsof_candidates,5,FALSE)</f>
        <v>9</v>
      </c>
    </row>
    <row r="2618" spans="1:8" ht="14.25" x14ac:dyDescent="0.45">
      <c r="A2618" s="86">
        <f ca="1"/>
        <v>2</v>
      </c>
      <c r="B2618" s="86" t="str">
        <f ca="1"/>
        <v>D128</v>
      </c>
      <c r="C2618" s="86" t="str">
        <f t="shared" ca="1" si="567"/>
        <v>MEHAZIN AMAN T</v>
      </c>
      <c r="D2618" s="86" t="str">
        <f t="shared" ca="1" si="568"/>
        <v>FANT</v>
      </c>
      <c r="E2618" s="86">
        <f t="shared" ca="1" si="569"/>
        <v>8</v>
      </c>
    </row>
    <row r="2619" spans="1:8" ht="14.25" x14ac:dyDescent="0.45">
      <c r="A2619" s="86">
        <f ca="1"/>
        <v>3</v>
      </c>
      <c r="B2619" s="86" t="str">
        <f ca="1"/>
        <v>D177</v>
      </c>
      <c r="C2619" s="86" t="str">
        <f t="shared" ca="1" si="567"/>
        <v>SHAMEEM ABDULLA P.S</v>
      </c>
      <c r="D2619" s="86" t="str">
        <f t="shared" ca="1" si="568"/>
        <v>FANT</v>
      </c>
      <c r="E2619" s="86">
        <f t="shared" ca="1" si="569"/>
        <v>10</v>
      </c>
    </row>
    <row r="2620" spans="1:8" ht="14.25" x14ac:dyDescent="0.45">
      <c r="A2620" s="86">
        <f ca="1"/>
        <v>4</v>
      </c>
      <c r="B2620" s="86" t="str">
        <f ca="1"/>
        <v>D140</v>
      </c>
      <c r="C2620" s="86" t="str">
        <f t="shared" ca="1" si="567"/>
        <v>MUHAMMED FAISAL A K</v>
      </c>
      <c r="D2620" s="86" t="str">
        <f t="shared" ca="1" si="568"/>
        <v>DAHF</v>
      </c>
      <c r="E2620" s="86">
        <f t="shared" ca="1" si="569"/>
        <v>9</v>
      </c>
    </row>
    <row r="2621" spans="1:8" ht="14.25" x14ac:dyDescent="0.45">
      <c r="A2621" s="86">
        <f ca="1"/>
        <v>5</v>
      </c>
      <c r="B2621" s="86" t="str">
        <f ca="1"/>
        <v>D150</v>
      </c>
      <c r="C2621" s="86" t="str">
        <f t="shared" ca="1" si="567"/>
        <v>ABDUL KHADER</v>
      </c>
      <c r="D2621" s="86" t="str">
        <f t="shared" ca="1" si="568"/>
        <v>DAHF</v>
      </c>
      <c r="E2621" s="86">
        <f t="shared" ca="1" si="569"/>
        <v>9</v>
      </c>
    </row>
    <row r="2622" spans="1:8" ht="14.25" x14ac:dyDescent="0.45">
      <c r="A2622" s="86">
        <f ca="1"/>
        <v>6</v>
      </c>
      <c r="B2622" s="86" t="str">
        <f ca="1"/>
        <v>D166</v>
      </c>
      <c r="C2622" s="86" t="str">
        <f t="shared" ca="1" si="567"/>
        <v>MOHAMMED IRFAN C</v>
      </c>
      <c r="D2622" s="86" t="str">
        <f t="shared" ca="1" si="568"/>
        <v>DAHF</v>
      </c>
      <c r="E2622" s="86">
        <f t="shared" ca="1" si="569"/>
        <v>9</v>
      </c>
    </row>
    <row r="2623" spans="1:8" ht="14.25" x14ac:dyDescent="0.45">
      <c r="A2623" s="86">
        <f ca="1"/>
        <v>7</v>
      </c>
      <c r="B2623" s="86" t="str">
        <f ca="1"/>
        <v>D162</v>
      </c>
      <c r="C2623" s="86" t="str">
        <f t="shared" ca="1" si="567"/>
        <v>ABDURAHMAN P.H</v>
      </c>
      <c r="D2623" s="86" t="str">
        <f t="shared" ca="1" si="568"/>
        <v>BADF</v>
      </c>
      <c r="E2623" s="86">
        <f t="shared" ca="1" si="569"/>
        <v>9</v>
      </c>
    </row>
    <row r="2624" spans="1:8" ht="14.25" x14ac:dyDescent="0.45">
      <c r="A2624" s="86">
        <f ca="1"/>
        <v>8</v>
      </c>
      <c r="B2624" s="86" t="str">
        <f ca="1"/>
        <v>D195</v>
      </c>
      <c r="C2624" s="86" t="str">
        <f t="shared" ca="1" si="567"/>
        <v>AHMED SWALAHUDHEEN PI</v>
      </c>
      <c r="D2624" s="86" t="str">
        <f t="shared" ca="1" si="568"/>
        <v>BADF</v>
      </c>
      <c r="E2624" s="86">
        <f t="shared" ca="1" si="569"/>
        <v>10</v>
      </c>
    </row>
    <row r="2625" spans="1:8" ht="14.25" x14ac:dyDescent="0.45">
      <c r="A2625" s="86">
        <f ca="1"/>
        <v>9</v>
      </c>
      <c r="B2625" s="86" t="str">
        <f ca="1"/>
        <v>D137</v>
      </c>
      <c r="C2625" s="86" t="str">
        <f t="shared" ca="1" si="567"/>
        <v>AYYOOB V.N</v>
      </c>
      <c r="D2625" s="86" t="str">
        <f t="shared" ca="1" si="568"/>
        <v>BADF</v>
      </c>
      <c r="E2625" s="86">
        <f t="shared" ca="1" si="569"/>
        <v>9</v>
      </c>
    </row>
    <row r="2626" spans="1:8" ht="14.25" x14ac:dyDescent="0.45">
      <c r="A2626" s="86">
        <f ca="1"/>
        <v>10</v>
      </c>
      <c r="B2626" s="86" t="str">
        <f ca="1"/>
        <v>D104</v>
      </c>
      <c r="C2626" s="86" t="str">
        <f t="shared" ca="1" si="567"/>
        <v>MUHAMMAD SHANEED.</v>
      </c>
      <c r="D2626" s="86" t="str">
        <f t="shared" ca="1" si="568"/>
        <v>JARF</v>
      </c>
      <c r="E2626" s="86">
        <f t="shared" ca="1" si="569"/>
        <v>8</v>
      </c>
    </row>
    <row r="2627" spans="1:8" ht="14.25" x14ac:dyDescent="0.45">
      <c r="A2627" s="86">
        <f ca="1"/>
        <v>11</v>
      </c>
      <c r="B2627" s="86" t="str">
        <f ca="1"/>
        <v>D164</v>
      </c>
      <c r="C2627" s="86" t="str">
        <f t="shared" ca="1" si="567"/>
        <v>AHMED SULTHAN</v>
      </c>
      <c r="D2627" s="86" t="str">
        <f t="shared" ca="1" si="568"/>
        <v>JARF</v>
      </c>
      <c r="E2627" s="86">
        <f t="shared" ca="1" si="569"/>
        <v>9</v>
      </c>
    </row>
    <row r="2628" spans="1:8" ht="14.25" x14ac:dyDescent="0.45">
      <c r="A2628" s="86">
        <f ca="1"/>
        <v>12</v>
      </c>
      <c r="B2628" s="86" t="str">
        <f ca="1"/>
        <v>D170</v>
      </c>
      <c r="C2628" s="86" t="str">
        <f t="shared" ca="1" si="567"/>
        <v>AHMED ADIL B.K</v>
      </c>
      <c r="D2628" s="86" t="str">
        <f t="shared" ca="1" si="568"/>
        <v>JARF</v>
      </c>
      <c r="E2628" s="86">
        <f t="shared" ca="1" si="569"/>
        <v>10</v>
      </c>
    </row>
    <row r="2629" spans="1:8" ht="14.25" x14ac:dyDescent="0.45">
      <c r="A2629" s="84" t="s">
        <v>440</v>
      </c>
      <c r="B2629" s="84" t="str">
        <f>VLOOKUP("GN09",f_detailsof_programs,2,FALSE)</f>
        <v>FIQHI DEMO</v>
      </c>
      <c r="C2629" s="84"/>
      <c r="D2629" s="84" t="s">
        <v>688</v>
      </c>
      <c r="E2629" s="84" t="s">
        <v>640</v>
      </c>
      <c r="F2629" s="84"/>
      <c r="G2629" s="84"/>
      <c r="H2629" s="84"/>
    </row>
    <row r="2630" spans="1:8" ht="14.25" x14ac:dyDescent="0.45">
      <c r="A2630" s="85" t="s">
        <v>16</v>
      </c>
      <c r="B2630" s="85" t="s">
        <v>480</v>
      </c>
      <c r="C2630" s="85" t="s">
        <v>18</v>
      </c>
      <c r="D2630" s="85" t="s">
        <v>481</v>
      </c>
      <c r="E2630" s="85" t="s">
        <v>19</v>
      </c>
      <c r="F2630" s="85" t="s">
        <v>482</v>
      </c>
      <c r="G2630" s="85" t="s">
        <v>483</v>
      </c>
      <c r="H2630" s="85" t="s">
        <v>484</v>
      </c>
    </row>
    <row r="2631" spans="1:8" ht="14.25" x14ac:dyDescent="0.45">
      <c r="A2631" s="86" cm="1">
        <f t="array" aca="1" ref="A2631" ca="1">_xlfn.SEQUENCE(COUNTA(_xlfn.LET(_xlpm.trimmed,OFFSET(f_listof_program_candidates,MATCH("GN09",f_listof_program_codes,0)-1,6,1,),TRANSPOSE(_xlfn._xlws.FILTER(OFFSET(_xlpm.trimmed,0,0,,COUNTA(_xlpm.trimmed)-5),OFFSET(_xlpm.trimmed,0,0,,COUNTA(_xlpm.trimmed)-5)&lt;&gt;0)))))</f>
        <v>1</v>
      </c>
      <c r="B2631" s="86" t="e" cm="1" vm="1">
        <f t="array" aca="1" ref="B2631" ca="1">_xlfn.LET(_xlpm.trimmed,OFFSET(f_listof_program_candidates,MATCH("GN09",f_listof_program_codes,0)-1,6,1,),TRANSPOSE(_xlfn._xlws.FILTER(OFFSET(_xlpm.trimmed,0,0,,COUNTA(_xlpm.trimmed)-5),OFFSET(_xlpm.trimmed,0,0,,COUNTA(_xlpm.trimmed)-5)&lt;&gt;0)))</f>
        <v>#VALUE!</v>
      </c>
      <c r="C2631" s="86" t="e" vm="2">
        <f ca="1">VLOOKUP(B2631,f_detailsof_candidates,2,FALSE)</f>
        <v>#VALUE!</v>
      </c>
      <c r="D2631" s="86" t="e" vm="2">
        <f ca="1">VLOOKUP(B2631,f_detailsof_candidates,3,FALSE)</f>
        <v>#VALUE!</v>
      </c>
      <c r="E2631" s="86" t="e" vm="2">
        <f ca="1">VLOOKUP(B2631,f_detailsof_candidates,5,FALSE)</f>
        <v>#VALUE!</v>
      </c>
    </row>
    <row r="2632" spans="1:8" ht="14.25" x14ac:dyDescent="0.45">
      <c r="A2632" s="84" t="s">
        <v>442</v>
      </c>
      <c r="B2632" s="84" t="str">
        <f>VLOOKUP("GN10",f_detailsof_programs,2,FALSE)</f>
        <v>ISHQE RASOOL</v>
      </c>
      <c r="C2632" s="84"/>
      <c r="D2632" s="84" t="s">
        <v>688</v>
      </c>
      <c r="E2632" s="84" t="s">
        <v>636</v>
      </c>
      <c r="F2632" s="84"/>
      <c r="G2632" s="84"/>
      <c r="H2632" s="84"/>
    </row>
    <row r="2633" spans="1:8" ht="14.25" x14ac:dyDescent="0.45">
      <c r="A2633" s="85" t="s">
        <v>16</v>
      </c>
      <c r="B2633" s="85" t="s">
        <v>480</v>
      </c>
      <c r="C2633" s="85" t="s">
        <v>18</v>
      </c>
      <c r="D2633" s="85" t="s">
        <v>481</v>
      </c>
      <c r="E2633" s="85" t="s">
        <v>19</v>
      </c>
      <c r="F2633" s="85" t="s">
        <v>482</v>
      </c>
      <c r="G2633" s="85" t="s">
        <v>483</v>
      </c>
      <c r="H2633" s="85" t="s">
        <v>484</v>
      </c>
    </row>
    <row r="2634" spans="1:8" ht="14.25" x14ac:dyDescent="0.45">
      <c r="A2634" s="86" cm="1">
        <f t="array" aca="1" ref="A2634:A2657" ca="1">_xlfn.SEQUENCE(COUNTA(_xlfn.LET(_xlpm.trimmed,OFFSET(f_listof_program_candidates,MATCH("GN10",f_listof_program_codes,0)-1,6,1,),TRANSPOSE(_xlfn._xlws.FILTER(OFFSET(_xlpm.trimmed,0,0,,COUNTA(_xlpm.trimmed)-5),OFFSET(_xlpm.trimmed,0,0,,COUNTA(_xlpm.trimmed)-5)&lt;&gt;0)))))</f>
        <v>1</v>
      </c>
      <c r="B2634" s="86" t="str" cm="1">
        <f t="array" aca="1" ref="B2634:B2657" ca="1">_xlfn.LET(_xlpm.trimmed,OFFSET(f_listof_program_candidates,MATCH("GN10",f_listof_program_codes,0)-1,6,1,),TRANSPOSE(_xlfn._xlws.FILTER(OFFSET(_xlpm.trimmed,0,0,,COUNTA(_xlpm.trimmed)-5),OFFSET(_xlpm.trimmed,0,0,,COUNTA(_xlpm.trimmed)-5)&lt;&gt;0)))</f>
        <v>D186</v>
      </c>
      <c r="C2634" s="86" t="str">
        <f t="shared" ref="C2634:C2657" ca="1" si="570">VLOOKUP(B2634,f_detailsof_candidates,2,FALSE)</f>
        <v>SALAHUDDEEN AYYOOBI KM</v>
      </c>
      <c r="D2634" s="86" t="str">
        <f t="shared" ref="D2634:D2657" ca="1" si="571">VLOOKUP(B2634,f_detailsof_candidates,3,FALSE)</f>
        <v>FANT</v>
      </c>
      <c r="E2634" s="86">
        <f t="shared" ref="E2634:E2657" ca="1" si="572">VLOOKUP(B2634,f_detailsof_candidates,5,FALSE)</f>
        <v>10</v>
      </c>
    </row>
    <row r="2635" spans="1:8" ht="14.25" x14ac:dyDescent="0.45">
      <c r="A2635" s="86">
        <f ca="1"/>
        <v>2</v>
      </c>
      <c r="B2635" s="86" t="str">
        <f ca="1"/>
        <v>D175</v>
      </c>
      <c r="C2635" s="86" t="str">
        <f t="shared" ca="1" si="570"/>
        <v>AKBAR P</v>
      </c>
      <c r="D2635" s="86" t="str">
        <f t="shared" ca="1" si="571"/>
        <v>FANT</v>
      </c>
      <c r="E2635" s="86">
        <f t="shared" ca="1" si="572"/>
        <v>10</v>
      </c>
    </row>
    <row r="2636" spans="1:8" ht="14.25" x14ac:dyDescent="0.45">
      <c r="A2636" s="86">
        <f ca="1"/>
        <v>3</v>
      </c>
      <c r="B2636" s="86" t="str">
        <f ca="1"/>
        <v>C134</v>
      </c>
      <c r="C2636" s="86" t="str">
        <f t="shared" ca="1" si="570"/>
        <v>MUHAMMED ABDUL NASIF P.A</v>
      </c>
      <c r="D2636" s="86" t="str">
        <f t="shared" ca="1" si="571"/>
        <v>FANT</v>
      </c>
      <c r="E2636" s="86">
        <f t="shared" ca="1" si="572"/>
        <v>6</v>
      </c>
    </row>
    <row r="2637" spans="1:8" ht="14.25" x14ac:dyDescent="0.45">
      <c r="A2637" s="86">
        <f ca="1"/>
        <v>4</v>
      </c>
      <c r="B2637" s="86" t="str">
        <f ca="1"/>
        <v>D147</v>
      </c>
      <c r="C2637" s="86" t="str">
        <f t="shared" ca="1" si="570"/>
        <v>MOHAMMED SHAHZAN T.K</v>
      </c>
      <c r="D2637" s="86" t="str">
        <f t="shared" ca="1" si="571"/>
        <v>FANT</v>
      </c>
      <c r="E2637" s="86">
        <f t="shared" ca="1" si="572"/>
        <v>9</v>
      </c>
    </row>
    <row r="2638" spans="1:8" ht="14.25" x14ac:dyDescent="0.45">
      <c r="A2638" s="86">
        <f ca="1"/>
        <v>5</v>
      </c>
      <c r="B2638" s="86" t="str">
        <f ca="1"/>
        <v>B143</v>
      </c>
      <c r="C2638" s="86" t="str">
        <f t="shared" ca="1" si="570"/>
        <v>MOHAMMED SHADIL AP</v>
      </c>
      <c r="D2638" s="86" t="str">
        <f t="shared" ca="1" si="571"/>
        <v>FANT</v>
      </c>
      <c r="E2638" s="86">
        <f t="shared" ca="1" si="572"/>
        <v>4</v>
      </c>
    </row>
    <row r="2639" spans="1:8" ht="14.25" x14ac:dyDescent="0.45">
      <c r="A2639" s="86">
        <f ca="1"/>
        <v>6</v>
      </c>
      <c r="B2639" s="86" t="str">
        <f ca="1"/>
        <v>B129</v>
      </c>
      <c r="C2639" s="86" t="str">
        <f t="shared" ca="1" si="570"/>
        <v>MOHAMMED SABITH KU</v>
      </c>
      <c r="D2639" s="86" t="str">
        <f t="shared" ca="1" si="571"/>
        <v>FANT</v>
      </c>
      <c r="E2639" s="86">
        <f t="shared" ca="1" si="572"/>
        <v>3</v>
      </c>
    </row>
    <row r="2640" spans="1:8" ht="14.25" x14ac:dyDescent="0.45">
      <c r="A2640" s="86">
        <f ca="1"/>
        <v>7</v>
      </c>
      <c r="B2640" s="86" t="str">
        <f ca="1"/>
        <v>C120</v>
      </c>
      <c r="C2640" s="86" t="str">
        <f t="shared" ca="1" si="570"/>
        <v>MAJID MUHAMMED M</v>
      </c>
      <c r="D2640" s="86" t="str">
        <f t="shared" ca="1" si="571"/>
        <v>DAHF</v>
      </c>
      <c r="E2640" s="86">
        <f t="shared" ca="1" si="572"/>
        <v>5</v>
      </c>
    </row>
    <row r="2641" spans="1:5" ht="14.25" x14ac:dyDescent="0.45">
      <c r="A2641" s="86">
        <f ca="1"/>
        <v>8</v>
      </c>
      <c r="B2641" s="86" t="str">
        <f ca="1"/>
        <v>D121</v>
      </c>
      <c r="C2641" s="86" t="str">
        <f t="shared" ca="1" si="570"/>
        <v>ABDUL RAHMAN MUNZIR</v>
      </c>
      <c r="D2641" s="86" t="str">
        <f t="shared" ca="1" si="571"/>
        <v>DAHF</v>
      </c>
      <c r="E2641" s="86">
        <f t="shared" ca="1" si="572"/>
        <v>8</v>
      </c>
    </row>
    <row r="2642" spans="1:5" ht="14.25" x14ac:dyDescent="0.45">
      <c r="A2642" s="86">
        <f ca="1"/>
        <v>9</v>
      </c>
      <c r="B2642" s="86" t="str">
        <f ca="1"/>
        <v>D131</v>
      </c>
      <c r="C2642" s="86" t="str">
        <f t="shared" ca="1" si="570"/>
        <v>MAHAMMAD RIYAZ</v>
      </c>
      <c r="D2642" s="86" t="str">
        <f t="shared" ca="1" si="571"/>
        <v>DAHF</v>
      </c>
      <c r="E2642" s="86">
        <f t="shared" ca="1" si="572"/>
        <v>9</v>
      </c>
    </row>
    <row r="2643" spans="1:5" ht="14.25" x14ac:dyDescent="0.45">
      <c r="A2643" s="86">
        <f ca="1"/>
        <v>10</v>
      </c>
      <c r="B2643" s="86" t="str">
        <f ca="1"/>
        <v>D140</v>
      </c>
      <c r="C2643" s="86" t="str">
        <f t="shared" ca="1" si="570"/>
        <v>MUHAMMED FAISAL A K</v>
      </c>
      <c r="D2643" s="86" t="str">
        <f t="shared" ca="1" si="571"/>
        <v>DAHF</v>
      </c>
      <c r="E2643" s="86">
        <f t="shared" ca="1" si="572"/>
        <v>9</v>
      </c>
    </row>
    <row r="2644" spans="1:5" ht="14.25" x14ac:dyDescent="0.45">
      <c r="A2644" s="86">
        <f ca="1"/>
        <v>11</v>
      </c>
      <c r="B2644" s="86" t="str">
        <f ca="1"/>
        <v>D166</v>
      </c>
      <c r="C2644" s="86" t="str">
        <f t="shared" ca="1" si="570"/>
        <v>MOHAMMED IRFAN C</v>
      </c>
      <c r="D2644" s="86" t="str">
        <f t="shared" ca="1" si="571"/>
        <v>DAHF</v>
      </c>
      <c r="E2644" s="86">
        <f t="shared" ca="1" si="572"/>
        <v>9</v>
      </c>
    </row>
    <row r="2645" spans="1:5" ht="14.25" x14ac:dyDescent="0.45">
      <c r="A2645" s="86">
        <f ca="1"/>
        <v>12</v>
      </c>
      <c r="B2645" s="86" t="str">
        <f ca="1"/>
        <v>D179</v>
      </c>
      <c r="C2645" s="86" t="str">
        <f t="shared" ca="1" si="570"/>
        <v>MUHAMMED AKBAR NP</v>
      </c>
      <c r="D2645" s="86" t="str">
        <f t="shared" ca="1" si="571"/>
        <v>DAHF</v>
      </c>
      <c r="E2645" s="86">
        <f t="shared" ca="1" si="572"/>
        <v>10</v>
      </c>
    </row>
    <row r="2646" spans="1:5" ht="14.25" x14ac:dyDescent="0.45">
      <c r="A2646" s="86">
        <f ca="1"/>
        <v>13</v>
      </c>
      <c r="B2646" s="86" t="str">
        <f ca="1"/>
        <v>D155</v>
      </c>
      <c r="C2646" s="86" t="str">
        <f t="shared" ca="1" si="570"/>
        <v>MUHAMMED YASIR K</v>
      </c>
      <c r="D2646" s="86" t="str">
        <f t="shared" ca="1" si="571"/>
        <v>BADF</v>
      </c>
      <c r="E2646" s="86">
        <f t="shared" ca="1" si="572"/>
        <v>9</v>
      </c>
    </row>
    <row r="2647" spans="1:5" ht="14.25" x14ac:dyDescent="0.45">
      <c r="A2647" s="86">
        <f ca="1"/>
        <v>14</v>
      </c>
      <c r="B2647" s="86" t="str">
        <f ca="1"/>
        <v>D137</v>
      </c>
      <c r="C2647" s="86" t="str">
        <f t="shared" ca="1" si="570"/>
        <v>AYYOOB V.N</v>
      </c>
      <c r="D2647" s="86" t="str">
        <f t="shared" ca="1" si="571"/>
        <v>BADF</v>
      </c>
      <c r="E2647" s="86">
        <f t="shared" ca="1" si="572"/>
        <v>9</v>
      </c>
    </row>
    <row r="2648" spans="1:5" ht="14.25" x14ac:dyDescent="0.45">
      <c r="A2648" s="86">
        <f ca="1"/>
        <v>15</v>
      </c>
      <c r="B2648" s="86" t="str">
        <f ca="1"/>
        <v>D124</v>
      </c>
      <c r="C2648" s="86" t="str">
        <f t="shared" ca="1" si="570"/>
        <v>MUHAMMED SUFAZ P</v>
      </c>
      <c r="D2648" s="86" t="str">
        <f t="shared" ca="1" si="571"/>
        <v>BADF</v>
      </c>
      <c r="E2648" s="86">
        <f t="shared" ca="1" si="572"/>
        <v>8</v>
      </c>
    </row>
    <row r="2649" spans="1:5" ht="14.25" x14ac:dyDescent="0.45">
      <c r="A2649" s="86">
        <f ca="1"/>
        <v>16</v>
      </c>
      <c r="B2649" s="86" t="str">
        <f ca="1"/>
        <v>B153</v>
      </c>
      <c r="C2649" s="86" t="str">
        <f t="shared" ca="1" si="570"/>
        <v>ABDUL KHADER ISHAQUE</v>
      </c>
      <c r="D2649" s="86" t="str">
        <f t="shared" ca="1" si="571"/>
        <v>BADF</v>
      </c>
      <c r="E2649" s="86">
        <f t="shared" ca="1" si="572"/>
        <v>4</v>
      </c>
    </row>
    <row r="2650" spans="1:5" ht="14.25" x14ac:dyDescent="0.45">
      <c r="A2650" s="86">
        <f ca="1"/>
        <v>17</v>
      </c>
      <c r="B2650" s="86" t="str">
        <f ca="1"/>
        <v>D178</v>
      </c>
      <c r="C2650" s="86" t="str">
        <f t="shared" ca="1" si="570"/>
        <v>AHMED BK</v>
      </c>
      <c r="D2650" s="86" t="str">
        <f t="shared" ca="1" si="571"/>
        <v>BADF</v>
      </c>
      <c r="E2650" s="86">
        <f t="shared" ca="1" si="572"/>
        <v>10</v>
      </c>
    </row>
    <row r="2651" spans="1:5" ht="14.25" x14ac:dyDescent="0.45">
      <c r="A2651" s="86">
        <f ca="1"/>
        <v>18</v>
      </c>
      <c r="B2651" s="86" t="str">
        <f ca="1"/>
        <v>D161</v>
      </c>
      <c r="C2651" s="86" t="str">
        <f t="shared" ca="1" si="570"/>
        <v>MOHAMMED ATHHAR THAYYIB MS</v>
      </c>
      <c r="D2651" s="86" t="str">
        <f t="shared" ca="1" si="571"/>
        <v>BADF</v>
      </c>
      <c r="E2651" s="86">
        <f t="shared" ca="1" si="572"/>
        <v>9</v>
      </c>
    </row>
    <row r="2652" spans="1:5" ht="14.25" x14ac:dyDescent="0.45">
      <c r="A2652" s="86">
        <f ca="1"/>
        <v>19</v>
      </c>
      <c r="B2652" s="86" t="str">
        <f ca="1"/>
        <v>D194</v>
      </c>
      <c r="C2652" s="86" t="str">
        <f t="shared" ca="1" si="570"/>
        <v>AYAZ RAHMAN T</v>
      </c>
      <c r="D2652" s="86" t="str">
        <f t="shared" ca="1" si="571"/>
        <v>JARF</v>
      </c>
      <c r="E2652" s="86">
        <f t="shared" ca="1" si="572"/>
        <v>10</v>
      </c>
    </row>
    <row r="2653" spans="1:5" ht="14.25" x14ac:dyDescent="0.45">
      <c r="A2653" s="86">
        <f ca="1"/>
        <v>20</v>
      </c>
      <c r="B2653" s="86" t="str">
        <f ca="1"/>
        <v>D176</v>
      </c>
      <c r="C2653" s="86" t="str">
        <f t="shared" ca="1" si="570"/>
        <v>MOHAMMED NASFAR AFNAN H</v>
      </c>
      <c r="D2653" s="86" t="str">
        <f t="shared" ca="1" si="571"/>
        <v>JARF</v>
      </c>
      <c r="E2653" s="86">
        <f t="shared" ca="1" si="572"/>
        <v>10</v>
      </c>
    </row>
    <row r="2654" spans="1:5" ht="14.25" x14ac:dyDescent="0.45">
      <c r="A2654" s="86">
        <f ca="1"/>
        <v>21</v>
      </c>
      <c r="B2654" s="86" t="str">
        <f ca="1"/>
        <v>C165</v>
      </c>
      <c r="C2654" s="86" t="str">
        <f t="shared" ca="1" si="570"/>
        <v>MUHAMMAD IBN AHMAD</v>
      </c>
      <c r="D2654" s="86" t="str">
        <f t="shared" ca="1" si="571"/>
        <v>JARF</v>
      </c>
      <c r="E2654" s="86">
        <f t="shared" ca="1" si="572"/>
        <v>7</v>
      </c>
    </row>
    <row r="2655" spans="1:5" ht="14.25" x14ac:dyDescent="0.45">
      <c r="A2655" s="86">
        <f ca="1"/>
        <v>22</v>
      </c>
      <c r="B2655" s="86" t="str">
        <f ca="1"/>
        <v>C167</v>
      </c>
      <c r="C2655" s="86" t="str">
        <f t="shared" ca="1" si="570"/>
        <v>MUHAMMED MUJTHABA MK</v>
      </c>
      <c r="D2655" s="86" t="str">
        <f t="shared" ca="1" si="571"/>
        <v>JARF</v>
      </c>
      <c r="E2655" s="86">
        <f t="shared" ca="1" si="572"/>
        <v>7</v>
      </c>
    </row>
    <row r="2656" spans="1:5" ht="14.25" x14ac:dyDescent="0.45">
      <c r="A2656" s="86">
        <f ca="1"/>
        <v>23</v>
      </c>
      <c r="B2656" s="86" t="str">
        <f ca="1"/>
        <v>D136</v>
      </c>
      <c r="C2656" s="86" t="str">
        <f t="shared" ca="1" si="570"/>
        <v>MUHAMMED ASBAQUE</v>
      </c>
      <c r="D2656" s="86" t="str">
        <f t="shared" ca="1" si="571"/>
        <v>JARF</v>
      </c>
      <c r="E2656" s="86">
        <f t="shared" ca="1" si="572"/>
        <v>9</v>
      </c>
    </row>
    <row r="2657" spans="1:8" ht="14.25" x14ac:dyDescent="0.45">
      <c r="A2657" s="86">
        <f ca="1"/>
        <v>24</v>
      </c>
      <c r="B2657" s="86" t="str">
        <f ca="1"/>
        <v>C147</v>
      </c>
      <c r="C2657" s="86" t="str">
        <f t="shared" ca="1" si="570"/>
        <v>AHAMED ZAKI FOUZAN T.Z</v>
      </c>
      <c r="D2657" s="86" t="str">
        <f t="shared" ca="1" si="571"/>
        <v>JARF</v>
      </c>
      <c r="E2657" s="86">
        <f t="shared" ca="1" si="572"/>
        <v>6</v>
      </c>
    </row>
    <row r="2658" spans="1:8" ht="14.25" x14ac:dyDescent="0.45">
      <c r="A2658" s="84" t="s">
        <v>444</v>
      </c>
      <c r="B2658" s="84" t="str">
        <f>VLOOKUP("GN11",f_detailsof_programs,2,FALSE)</f>
        <v>MUNĀẒARAH</v>
      </c>
      <c r="C2658" s="84"/>
      <c r="D2658" s="84" t="s">
        <v>688</v>
      </c>
      <c r="E2658" s="84" t="s">
        <v>485</v>
      </c>
      <c r="F2658" s="84"/>
      <c r="G2658" s="84"/>
      <c r="H2658" s="84"/>
    </row>
    <row r="2659" spans="1:8" ht="14.25" x14ac:dyDescent="0.45">
      <c r="A2659" s="85" t="s">
        <v>16</v>
      </c>
      <c r="B2659" s="85" t="s">
        <v>480</v>
      </c>
      <c r="C2659" s="85" t="s">
        <v>18</v>
      </c>
      <c r="D2659" s="85" t="s">
        <v>481</v>
      </c>
      <c r="E2659" s="85" t="s">
        <v>19</v>
      </c>
      <c r="F2659" s="85" t="s">
        <v>482</v>
      </c>
      <c r="G2659" s="85" t="s">
        <v>483</v>
      </c>
      <c r="H2659" s="85" t="s">
        <v>484</v>
      </c>
    </row>
    <row r="2660" spans="1:8" ht="14.25" x14ac:dyDescent="0.45">
      <c r="A2660" s="86" cm="1">
        <f t="array" aca="1" ref="A2660:A2671" ca="1">_xlfn.SEQUENCE(COUNTA(_xlfn.LET(_xlpm.trimmed,OFFSET(f_listof_program_candidates,MATCH("GN11",f_listof_program_codes,0)-1,6,1,),TRANSPOSE(_xlfn._xlws.FILTER(OFFSET(_xlpm.trimmed,0,0,,COUNTA(_xlpm.trimmed)-5),OFFSET(_xlpm.trimmed,0,0,,COUNTA(_xlpm.trimmed)-5)&lt;&gt;0)))))</f>
        <v>1</v>
      </c>
      <c r="B2660" s="86" t="str" cm="1">
        <f t="array" aca="1" ref="B2660:B2671" ca="1">_xlfn.LET(_xlpm.trimmed,OFFSET(f_listof_program_candidates,MATCH("GN11",f_listof_program_codes,0)-1,6,1,),TRANSPOSE(_xlfn._xlws.FILTER(OFFSET(_xlpm.trimmed,0,0,,COUNTA(_xlpm.trimmed)-5),OFFSET(_xlpm.trimmed,0,0,,COUNTA(_xlpm.trimmed)-5)&lt;&gt;0)))</f>
        <v>D177</v>
      </c>
      <c r="C2660" s="86" t="str">
        <f t="shared" ref="C2660:C2671" ca="1" si="573">VLOOKUP(B2660,f_detailsof_candidates,2,FALSE)</f>
        <v>SHAMEEM ABDULLA P.S</v>
      </c>
      <c r="D2660" s="86" t="str">
        <f t="shared" ref="D2660:D2671" ca="1" si="574">VLOOKUP(B2660,f_detailsof_candidates,3,FALSE)</f>
        <v>FANT</v>
      </c>
      <c r="E2660" s="86">
        <f t="shared" ref="E2660:E2671" ca="1" si="575">VLOOKUP(B2660,f_detailsof_candidates,5,FALSE)</f>
        <v>10</v>
      </c>
    </row>
    <row r="2661" spans="1:8" ht="14.25" x14ac:dyDescent="0.45">
      <c r="A2661" s="86">
        <f ca="1"/>
        <v>2</v>
      </c>
      <c r="B2661" s="86" t="str">
        <f ca="1"/>
        <v>D128</v>
      </c>
      <c r="C2661" s="86" t="str">
        <f t="shared" ca="1" si="573"/>
        <v>MEHAZIN AMAN T</v>
      </c>
      <c r="D2661" s="86" t="str">
        <f t="shared" ca="1" si="574"/>
        <v>FANT</v>
      </c>
      <c r="E2661" s="86">
        <f t="shared" ca="1" si="575"/>
        <v>8</v>
      </c>
    </row>
    <row r="2662" spans="1:8" ht="14.25" x14ac:dyDescent="0.45">
      <c r="A2662" s="86">
        <f ca="1"/>
        <v>3</v>
      </c>
      <c r="B2662" s="86" t="str">
        <f ca="1"/>
        <v>D142</v>
      </c>
      <c r="C2662" s="86" t="str">
        <f t="shared" ca="1" si="573"/>
        <v>ISHAM V.K</v>
      </c>
      <c r="D2662" s="86" t="str">
        <f t="shared" ca="1" si="574"/>
        <v>FANT</v>
      </c>
      <c r="E2662" s="86">
        <f t="shared" ca="1" si="575"/>
        <v>9</v>
      </c>
    </row>
    <row r="2663" spans="1:8" ht="14.25" x14ac:dyDescent="0.45">
      <c r="A2663" s="86">
        <f ca="1"/>
        <v>4</v>
      </c>
      <c r="B2663" s="86" t="str">
        <f ca="1"/>
        <v>D140</v>
      </c>
      <c r="C2663" s="86" t="str">
        <f t="shared" ca="1" si="573"/>
        <v>MUHAMMED FAISAL A K</v>
      </c>
      <c r="D2663" s="86" t="str">
        <f t="shared" ca="1" si="574"/>
        <v>DAHF</v>
      </c>
      <c r="E2663" s="86">
        <f t="shared" ca="1" si="575"/>
        <v>9</v>
      </c>
    </row>
    <row r="2664" spans="1:8" ht="14.25" x14ac:dyDescent="0.45">
      <c r="A2664" s="86">
        <f ca="1"/>
        <v>5</v>
      </c>
      <c r="B2664" s="86" t="str">
        <f ca="1"/>
        <v>D107</v>
      </c>
      <c r="C2664" s="86" t="str">
        <f t="shared" ca="1" si="573"/>
        <v>AHMMED HASHIM M</v>
      </c>
      <c r="D2664" s="86" t="str">
        <f t="shared" ca="1" si="574"/>
        <v>DAHF</v>
      </c>
      <c r="E2664" s="86">
        <f t="shared" ca="1" si="575"/>
        <v>8</v>
      </c>
    </row>
    <row r="2665" spans="1:8" ht="14.25" x14ac:dyDescent="0.45">
      <c r="A2665" s="86">
        <f ca="1"/>
        <v>6</v>
      </c>
      <c r="B2665" s="86" t="str">
        <f ca="1"/>
        <v>C136</v>
      </c>
      <c r="C2665" s="86" t="str">
        <f t="shared" ca="1" si="573"/>
        <v>MOHAMMED SHAKIR HUSSAIN K.Y</v>
      </c>
      <c r="D2665" s="86" t="str">
        <f t="shared" ca="1" si="574"/>
        <v>DAHF</v>
      </c>
      <c r="E2665" s="86">
        <f t="shared" ca="1" si="575"/>
        <v>6</v>
      </c>
    </row>
    <row r="2666" spans="1:8" ht="14.25" x14ac:dyDescent="0.45">
      <c r="A2666" s="86">
        <f ca="1"/>
        <v>7</v>
      </c>
      <c r="B2666" s="86" t="str">
        <f ca="1"/>
        <v>D178</v>
      </c>
      <c r="C2666" s="86" t="str">
        <f t="shared" ca="1" si="573"/>
        <v>AHMED BK</v>
      </c>
      <c r="D2666" s="86" t="str">
        <f t="shared" ca="1" si="574"/>
        <v>BADF</v>
      </c>
      <c r="E2666" s="86">
        <f t="shared" ca="1" si="575"/>
        <v>10</v>
      </c>
    </row>
    <row r="2667" spans="1:8" ht="14.25" x14ac:dyDescent="0.45">
      <c r="A2667" s="86">
        <f ca="1"/>
        <v>8</v>
      </c>
      <c r="B2667" s="86" t="str">
        <f ca="1"/>
        <v>D162</v>
      </c>
      <c r="C2667" s="86" t="str">
        <f t="shared" ca="1" si="573"/>
        <v>ABDURAHMAN P.H</v>
      </c>
      <c r="D2667" s="86" t="str">
        <f t="shared" ca="1" si="574"/>
        <v>BADF</v>
      </c>
      <c r="E2667" s="86">
        <f t="shared" ca="1" si="575"/>
        <v>9</v>
      </c>
    </row>
    <row r="2668" spans="1:8" ht="14.25" x14ac:dyDescent="0.45">
      <c r="A2668" s="86">
        <f ca="1"/>
        <v>9</v>
      </c>
      <c r="B2668" s="86" t="str">
        <f ca="1"/>
        <v>D195</v>
      </c>
      <c r="C2668" s="86" t="str">
        <f t="shared" ca="1" si="573"/>
        <v>AHMED SWALAHUDHEEN PI</v>
      </c>
      <c r="D2668" s="86" t="str">
        <f t="shared" ca="1" si="574"/>
        <v>BADF</v>
      </c>
      <c r="E2668" s="86">
        <f t="shared" ca="1" si="575"/>
        <v>10</v>
      </c>
    </row>
    <row r="2669" spans="1:8" ht="14.25" x14ac:dyDescent="0.45">
      <c r="A2669" s="86">
        <f ca="1"/>
        <v>10</v>
      </c>
      <c r="B2669" s="86" t="str">
        <f ca="1"/>
        <v>D149</v>
      </c>
      <c r="C2669" s="86" t="str">
        <f t="shared" ca="1" si="573"/>
        <v>MOHAMMED MARZOOK AM</v>
      </c>
      <c r="D2669" s="86" t="str">
        <f t="shared" ca="1" si="574"/>
        <v>JARF</v>
      </c>
      <c r="E2669" s="86">
        <f t="shared" ca="1" si="575"/>
        <v>9</v>
      </c>
    </row>
    <row r="2670" spans="1:8" ht="14.25" x14ac:dyDescent="0.45">
      <c r="A2670" s="86">
        <f ca="1"/>
        <v>11</v>
      </c>
      <c r="B2670" s="86" t="str">
        <f ca="1"/>
        <v>D104</v>
      </c>
      <c r="C2670" s="86" t="str">
        <f t="shared" ca="1" si="573"/>
        <v>MUHAMMAD SHANEED.</v>
      </c>
      <c r="D2670" s="86" t="str">
        <f t="shared" ca="1" si="574"/>
        <v>JARF</v>
      </c>
      <c r="E2670" s="86">
        <f t="shared" ca="1" si="575"/>
        <v>8</v>
      </c>
    </row>
    <row r="2671" spans="1:8" ht="14.25" x14ac:dyDescent="0.45">
      <c r="A2671" s="86">
        <f ca="1"/>
        <v>12</v>
      </c>
      <c r="B2671" s="86" t="str">
        <f ca="1"/>
        <v>C175</v>
      </c>
      <c r="C2671" s="86" t="str">
        <f t="shared" ca="1" si="573"/>
        <v>ABDULLAH MAZIN</v>
      </c>
      <c r="D2671" s="86" t="str">
        <f t="shared" ca="1" si="574"/>
        <v>JARF</v>
      </c>
      <c r="E2671" s="86">
        <f t="shared" ca="1" si="575"/>
        <v>7</v>
      </c>
    </row>
    <row r="2672" spans="1:8" ht="14.25" x14ac:dyDescent="0.45">
      <c r="A2672" s="84" t="s">
        <v>446</v>
      </c>
      <c r="B2672" s="84" t="str">
        <f>VLOOKUP("GN12",f_detailsof_programs,2,FALSE)</f>
        <v>MUSHĀʿARAH</v>
      </c>
      <c r="C2672" s="84"/>
      <c r="D2672" s="84" t="s">
        <v>688</v>
      </c>
      <c r="E2672" s="84" t="s">
        <v>637</v>
      </c>
      <c r="F2672" s="84"/>
      <c r="G2672" s="84"/>
      <c r="H2672" s="84"/>
    </row>
    <row r="2673" spans="1:8" ht="14.25" x14ac:dyDescent="0.45">
      <c r="A2673" s="85" t="s">
        <v>16</v>
      </c>
      <c r="B2673" s="85" t="s">
        <v>480</v>
      </c>
      <c r="C2673" s="85" t="s">
        <v>18</v>
      </c>
      <c r="D2673" s="85" t="s">
        <v>481</v>
      </c>
      <c r="E2673" s="85" t="s">
        <v>19</v>
      </c>
      <c r="F2673" s="85" t="s">
        <v>482</v>
      </c>
      <c r="G2673" s="85" t="s">
        <v>483</v>
      </c>
      <c r="H2673" s="85" t="s">
        <v>484</v>
      </c>
    </row>
    <row r="2674" spans="1:8" ht="14.25" x14ac:dyDescent="0.45">
      <c r="A2674" s="86" cm="1">
        <f t="array" aca="1" ref="A2674:A2693" ca="1">_xlfn.SEQUENCE(COUNTA(_xlfn.LET(_xlpm.trimmed,OFFSET(f_listof_program_candidates,MATCH("GN12",f_listof_program_codes,0)-1,6,1,),TRANSPOSE(_xlfn._xlws.FILTER(OFFSET(_xlpm.trimmed,0,0,,COUNTA(_xlpm.trimmed)-5),OFFSET(_xlpm.trimmed,0,0,,COUNTA(_xlpm.trimmed)-5)&lt;&gt;0)))))</f>
        <v>1</v>
      </c>
      <c r="B2674" s="86" t="str" cm="1">
        <f t="array" aca="1" ref="B2674:B2693" ca="1">_xlfn.LET(_xlpm.trimmed,OFFSET(f_listof_program_candidates,MATCH("GN12",f_listof_program_codes,0)-1,6,1,),TRANSPOSE(_xlfn._xlws.FILTER(OFFSET(_xlpm.trimmed,0,0,,COUNTA(_xlpm.trimmed)-5),OFFSET(_xlpm.trimmed,0,0,,COUNTA(_xlpm.trimmed)-5)&lt;&gt;0)))</f>
        <v>C112</v>
      </c>
      <c r="C2674" s="86" t="str">
        <f t="shared" ref="C2674:C2693" ca="1" si="576">VLOOKUP(B2674,f_detailsof_candidates,2,FALSE)</f>
        <v>MOHAMMED SA'DUDDEEN K</v>
      </c>
      <c r="D2674" s="86" t="str">
        <f t="shared" ref="D2674:D2693" ca="1" si="577">VLOOKUP(B2674,f_detailsof_candidates,3,FALSE)</f>
        <v>FANT</v>
      </c>
      <c r="E2674" s="86">
        <f t="shared" ref="E2674:E2693" ca="1" si="578">VLOOKUP(B2674,f_detailsof_candidates,5,FALSE)</f>
        <v>5</v>
      </c>
    </row>
    <row r="2675" spans="1:8" ht="14.25" x14ac:dyDescent="0.45">
      <c r="A2675" s="86">
        <f ca="1"/>
        <v>2</v>
      </c>
      <c r="B2675" s="86" t="str">
        <f ca="1"/>
        <v>C162</v>
      </c>
      <c r="C2675" s="86" t="str">
        <f t="shared" ca="1" si="576"/>
        <v>MUHAMMAD K.A</v>
      </c>
      <c r="D2675" s="86" t="str">
        <f t="shared" ca="1" si="577"/>
        <v>FANT</v>
      </c>
      <c r="E2675" s="86">
        <f t="shared" ca="1" si="578"/>
        <v>7</v>
      </c>
    </row>
    <row r="2676" spans="1:8" ht="14.25" x14ac:dyDescent="0.45">
      <c r="A2676" s="86">
        <f ca="1"/>
        <v>3</v>
      </c>
      <c r="B2676" s="86" t="str">
        <f ca="1"/>
        <v>B123</v>
      </c>
      <c r="C2676" s="86" t="str">
        <f t="shared" ca="1" si="576"/>
        <v>MUHAMMED YASEEN</v>
      </c>
      <c r="D2676" s="86" t="str">
        <f t="shared" ca="1" si="577"/>
        <v>FANT</v>
      </c>
      <c r="E2676" s="86">
        <f t="shared" ca="1" si="578"/>
        <v>3</v>
      </c>
    </row>
    <row r="2677" spans="1:8" ht="14.25" x14ac:dyDescent="0.45">
      <c r="A2677" s="86">
        <f ca="1"/>
        <v>4</v>
      </c>
      <c r="B2677" s="86" t="str">
        <f ca="1"/>
        <v>B130</v>
      </c>
      <c r="C2677" s="86" t="str">
        <f t="shared" ca="1" si="576"/>
        <v>HAFIL ADIL AMANULLAH K K</v>
      </c>
      <c r="D2677" s="86" t="str">
        <f t="shared" ca="1" si="577"/>
        <v>FANT</v>
      </c>
      <c r="E2677" s="86">
        <f t="shared" ca="1" si="578"/>
        <v>3</v>
      </c>
    </row>
    <row r="2678" spans="1:8" ht="14.25" x14ac:dyDescent="0.45">
      <c r="A2678" s="86">
        <f ca="1"/>
        <v>5</v>
      </c>
      <c r="B2678" s="86" t="str">
        <f ca="1"/>
        <v>C142</v>
      </c>
      <c r="C2678" s="86" t="str">
        <f t="shared" ca="1" si="576"/>
        <v>AHMAD AMEEN T S</v>
      </c>
      <c r="D2678" s="86" t="str">
        <f t="shared" ca="1" si="577"/>
        <v>FANT</v>
      </c>
      <c r="E2678" s="86">
        <f t="shared" ca="1" si="578"/>
        <v>6</v>
      </c>
    </row>
    <row r="2679" spans="1:8" ht="14.25" x14ac:dyDescent="0.45">
      <c r="A2679" s="86">
        <f ca="1"/>
        <v>6</v>
      </c>
      <c r="B2679" s="86" t="str">
        <f ca="1"/>
        <v>C136</v>
      </c>
      <c r="C2679" s="86" t="str">
        <f t="shared" ca="1" si="576"/>
        <v>MOHAMMED SHAKIR HUSSAIN K.Y</v>
      </c>
      <c r="D2679" s="86" t="str">
        <f t="shared" ca="1" si="577"/>
        <v>DAHF</v>
      </c>
      <c r="E2679" s="86">
        <f t="shared" ca="1" si="578"/>
        <v>6</v>
      </c>
    </row>
    <row r="2680" spans="1:8" ht="14.25" x14ac:dyDescent="0.45">
      <c r="A2680" s="86">
        <f ca="1"/>
        <v>7</v>
      </c>
      <c r="B2680" s="86" t="str">
        <f ca="1"/>
        <v>D106</v>
      </c>
      <c r="C2680" s="86" t="str">
        <f t="shared" ca="1" si="576"/>
        <v>MOHAMMED SHAMMAS S.I</v>
      </c>
      <c r="D2680" s="86" t="str">
        <f t="shared" ca="1" si="577"/>
        <v>DAHF</v>
      </c>
      <c r="E2680" s="86">
        <f t="shared" ca="1" si="578"/>
        <v>8</v>
      </c>
    </row>
    <row r="2681" spans="1:8" ht="14.25" x14ac:dyDescent="0.45">
      <c r="A2681" s="86">
        <f ca="1"/>
        <v>8</v>
      </c>
      <c r="B2681" s="86" t="str">
        <f ca="1"/>
        <v>D107</v>
      </c>
      <c r="C2681" s="86" t="str">
        <f t="shared" ca="1" si="576"/>
        <v>AHMMED HASHIM M</v>
      </c>
      <c r="D2681" s="86" t="str">
        <f t="shared" ca="1" si="577"/>
        <v>DAHF</v>
      </c>
      <c r="E2681" s="86">
        <f t="shared" ca="1" si="578"/>
        <v>8</v>
      </c>
    </row>
    <row r="2682" spans="1:8" ht="14.25" x14ac:dyDescent="0.45">
      <c r="A2682" s="86">
        <f ca="1"/>
        <v>9</v>
      </c>
      <c r="B2682" s="86" t="str">
        <f ca="1"/>
        <v>D150</v>
      </c>
      <c r="C2682" s="86" t="str">
        <f t="shared" ca="1" si="576"/>
        <v>ABDUL KHADER</v>
      </c>
      <c r="D2682" s="86" t="str">
        <f t="shared" ca="1" si="577"/>
        <v>DAHF</v>
      </c>
      <c r="E2682" s="86">
        <f t="shared" ca="1" si="578"/>
        <v>9</v>
      </c>
    </row>
    <row r="2683" spans="1:8" ht="14.25" x14ac:dyDescent="0.45">
      <c r="A2683" s="86">
        <f ca="1"/>
        <v>10</v>
      </c>
      <c r="B2683" s="86" t="str">
        <f ca="1"/>
        <v>D183</v>
      </c>
      <c r="C2683" s="86" t="str">
        <f t="shared" ca="1" si="576"/>
        <v>MOHAMMAD SWALIH K</v>
      </c>
      <c r="D2683" s="86" t="str">
        <f t="shared" ca="1" si="577"/>
        <v>DAHF</v>
      </c>
      <c r="E2683" s="86">
        <f t="shared" ca="1" si="578"/>
        <v>10</v>
      </c>
    </row>
    <row r="2684" spans="1:8" ht="14.25" x14ac:dyDescent="0.45">
      <c r="A2684" s="86">
        <f ca="1"/>
        <v>11</v>
      </c>
      <c r="B2684" s="86" t="str">
        <f ca="1"/>
        <v>D162</v>
      </c>
      <c r="C2684" s="86" t="str">
        <f t="shared" ca="1" si="576"/>
        <v>ABDURAHMAN P.H</v>
      </c>
      <c r="D2684" s="86" t="str">
        <f t="shared" ca="1" si="577"/>
        <v>BADF</v>
      </c>
      <c r="E2684" s="86">
        <f t="shared" ca="1" si="578"/>
        <v>9</v>
      </c>
    </row>
    <row r="2685" spans="1:8" ht="14.25" x14ac:dyDescent="0.45">
      <c r="A2685" s="86">
        <f ca="1"/>
        <v>12</v>
      </c>
      <c r="B2685" s="86" t="str">
        <f ca="1"/>
        <v>D178</v>
      </c>
      <c r="C2685" s="86" t="str">
        <f t="shared" ca="1" si="576"/>
        <v>AHMED BK</v>
      </c>
      <c r="D2685" s="86" t="str">
        <f t="shared" ca="1" si="577"/>
        <v>BADF</v>
      </c>
      <c r="E2685" s="86">
        <f t="shared" ca="1" si="578"/>
        <v>10</v>
      </c>
    </row>
    <row r="2686" spans="1:8" ht="14.25" x14ac:dyDescent="0.45">
      <c r="A2686" s="86">
        <f ca="1"/>
        <v>13</v>
      </c>
      <c r="B2686" s="86" t="str">
        <f ca="1"/>
        <v>D137</v>
      </c>
      <c r="C2686" s="86" t="str">
        <f t="shared" ca="1" si="576"/>
        <v>AYYOOB V.N</v>
      </c>
      <c r="D2686" s="86" t="str">
        <f t="shared" ca="1" si="577"/>
        <v>BADF</v>
      </c>
      <c r="E2686" s="86">
        <f t="shared" ca="1" si="578"/>
        <v>9</v>
      </c>
    </row>
    <row r="2687" spans="1:8" ht="14.25" x14ac:dyDescent="0.45">
      <c r="A2687" s="86">
        <f ca="1"/>
        <v>14</v>
      </c>
      <c r="B2687" s="86" t="str">
        <f ca="1"/>
        <v>D110</v>
      </c>
      <c r="C2687" s="86" t="str">
        <f t="shared" ca="1" si="576"/>
        <v>ABBAS AZNAB M.A</v>
      </c>
      <c r="D2687" s="86" t="str">
        <f t="shared" ca="1" si="577"/>
        <v>BADF</v>
      </c>
      <c r="E2687" s="86">
        <f t="shared" ca="1" si="578"/>
        <v>8</v>
      </c>
    </row>
    <row r="2688" spans="1:8" ht="14.25" x14ac:dyDescent="0.45">
      <c r="A2688" s="86">
        <f ca="1"/>
        <v>15</v>
      </c>
      <c r="B2688" s="86" t="str">
        <f ca="1"/>
        <v>C148</v>
      </c>
      <c r="C2688" s="86" t="str">
        <f t="shared" ca="1" si="576"/>
        <v>MUHAMMED SHABEEB</v>
      </c>
      <c r="D2688" s="86" t="str">
        <f t="shared" ca="1" si="577"/>
        <v>BADF</v>
      </c>
      <c r="E2688" s="86">
        <f t="shared" ca="1" si="578"/>
        <v>6</v>
      </c>
    </row>
    <row r="2689" spans="1:8" ht="14.25" x14ac:dyDescent="0.45">
      <c r="A2689" s="86">
        <f ca="1"/>
        <v>16</v>
      </c>
      <c r="B2689" s="86" t="str">
        <f ca="1"/>
        <v>D193</v>
      </c>
      <c r="C2689" s="86" t="str">
        <f t="shared" ca="1" si="576"/>
        <v>MUHAMMED ABDUL GHANI M.A</v>
      </c>
      <c r="D2689" s="86" t="str">
        <f t="shared" ca="1" si="577"/>
        <v>JARF</v>
      </c>
      <c r="E2689" s="86">
        <f t="shared" ca="1" si="578"/>
        <v>10</v>
      </c>
    </row>
    <row r="2690" spans="1:8" ht="14.25" x14ac:dyDescent="0.45">
      <c r="A2690" s="86">
        <f ca="1"/>
        <v>17</v>
      </c>
      <c r="B2690" s="86" t="str">
        <f ca="1"/>
        <v>D104</v>
      </c>
      <c r="C2690" s="86" t="str">
        <f t="shared" ca="1" si="576"/>
        <v>MUHAMMAD SHANEED.</v>
      </c>
      <c r="D2690" s="86" t="str">
        <f t="shared" ca="1" si="577"/>
        <v>JARF</v>
      </c>
      <c r="E2690" s="86">
        <f t="shared" ca="1" si="578"/>
        <v>8</v>
      </c>
    </row>
    <row r="2691" spans="1:8" ht="14.25" x14ac:dyDescent="0.45">
      <c r="A2691" s="86">
        <f ca="1"/>
        <v>18</v>
      </c>
      <c r="B2691" s="86" t="str">
        <f ca="1"/>
        <v>C175</v>
      </c>
      <c r="C2691" s="86" t="str">
        <f t="shared" ca="1" si="576"/>
        <v>ABDULLAH MAZIN</v>
      </c>
      <c r="D2691" s="86" t="str">
        <f t="shared" ca="1" si="577"/>
        <v>JARF</v>
      </c>
      <c r="E2691" s="86">
        <f t="shared" ca="1" si="578"/>
        <v>7</v>
      </c>
    </row>
    <row r="2692" spans="1:8" ht="14.25" x14ac:dyDescent="0.45">
      <c r="A2692" s="86">
        <f ca="1"/>
        <v>19</v>
      </c>
      <c r="B2692" s="86" t="str">
        <f ca="1"/>
        <v>C111</v>
      </c>
      <c r="C2692" s="86" t="str">
        <f t="shared" ca="1" si="576"/>
        <v>MUHAMMAD ISMAIL HAMDULLA V K</v>
      </c>
      <c r="D2692" s="86" t="str">
        <f t="shared" ca="1" si="577"/>
        <v>JARF</v>
      </c>
      <c r="E2692" s="86">
        <f t="shared" ca="1" si="578"/>
        <v>5</v>
      </c>
    </row>
    <row r="2693" spans="1:8" ht="14.25" x14ac:dyDescent="0.45">
      <c r="A2693" s="86">
        <f ca="1"/>
        <v>20</v>
      </c>
      <c r="B2693" s="86" t="str">
        <f ca="1"/>
        <v>C135</v>
      </c>
      <c r="C2693" s="86" t="str">
        <f t="shared" ca="1" si="576"/>
        <v>AHAMAD SHABAB P A</v>
      </c>
      <c r="D2693" s="86" t="str">
        <f t="shared" ca="1" si="577"/>
        <v>JARF</v>
      </c>
      <c r="E2693" s="86">
        <f t="shared" ca="1" si="578"/>
        <v>6</v>
      </c>
    </row>
    <row r="2694" spans="1:8" ht="14.25" x14ac:dyDescent="0.45">
      <c r="A2694" s="84" t="s">
        <v>448</v>
      </c>
      <c r="B2694" s="84" t="str">
        <f>VLOOKUP("GN13",f_detailsof_programs,2,FALSE)</f>
        <v>QAWWALI URD</v>
      </c>
      <c r="C2694" s="84"/>
      <c r="D2694" s="84" t="s">
        <v>688</v>
      </c>
      <c r="E2694" s="84" t="s">
        <v>641</v>
      </c>
      <c r="F2694" s="84"/>
      <c r="G2694" s="84"/>
      <c r="H2694" s="84"/>
    </row>
    <row r="2695" spans="1:8" ht="14.25" x14ac:dyDescent="0.45">
      <c r="A2695" s="85" t="s">
        <v>16</v>
      </c>
      <c r="B2695" s="85" t="s">
        <v>480</v>
      </c>
      <c r="C2695" s="85" t="s">
        <v>18</v>
      </c>
      <c r="D2695" s="85" t="s">
        <v>481</v>
      </c>
      <c r="E2695" s="85" t="s">
        <v>19</v>
      </c>
      <c r="F2695" s="85" t="s">
        <v>482</v>
      </c>
      <c r="G2695" s="85" t="s">
        <v>483</v>
      </c>
      <c r="H2695" s="85" t="s">
        <v>484</v>
      </c>
    </row>
    <row r="2696" spans="1:8" ht="14.25" x14ac:dyDescent="0.45">
      <c r="A2696" s="86" cm="1">
        <f t="array" aca="1" ref="A2696:A2723" ca="1">_xlfn.SEQUENCE(COUNTA(_xlfn.LET(_xlpm.trimmed,OFFSET(f_listof_program_candidates,MATCH("GN13",f_listof_program_codes,0)-1,6,1,),TRANSPOSE(_xlfn._xlws.FILTER(OFFSET(_xlpm.trimmed,0,0,,COUNTA(_xlpm.trimmed)-5),OFFSET(_xlpm.trimmed,0,0,,COUNTA(_xlpm.trimmed)-5)&lt;&gt;0)))))</f>
        <v>1</v>
      </c>
      <c r="B2696" s="86" t="str" cm="1">
        <f t="array" aca="1" ref="B2696:B2723" ca="1">_xlfn.LET(_xlpm.trimmed,OFFSET(f_listof_program_candidates,MATCH("GN13",f_listof_program_codes,0)-1,6,1,),TRANSPOSE(_xlfn._xlws.FILTER(OFFSET(_xlpm.trimmed,0,0,,COUNTA(_xlpm.trimmed)-5),OFFSET(_xlpm.trimmed,0,0,,COUNTA(_xlpm.trimmed)-5)&lt;&gt;0)))</f>
        <v>D186</v>
      </c>
      <c r="C2696" s="86" t="str">
        <f t="shared" ref="C2696:C2723" ca="1" si="579">VLOOKUP(B2696,f_detailsof_candidates,2,FALSE)</f>
        <v>SALAHUDDEEN AYYOOBI KM</v>
      </c>
      <c r="D2696" s="86" t="str">
        <f t="shared" ref="D2696:D2723" ca="1" si="580">VLOOKUP(B2696,f_detailsof_candidates,3,FALSE)</f>
        <v>FANT</v>
      </c>
      <c r="E2696" s="86">
        <f t="shared" ref="E2696:E2723" ca="1" si="581">VLOOKUP(B2696,f_detailsof_candidates,5,FALSE)</f>
        <v>10</v>
      </c>
    </row>
    <row r="2697" spans="1:8" ht="14.25" x14ac:dyDescent="0.45">
      <c r="A2697" s="86">
        <f ca="1"/>
        <v>2</v>
      </c>
      <c r="B2697" s="86" t="str">
        <f ca="1"/>
        <v>D175</v>
      </c>
      <c r="C2697" s="86" t="str">
        <f t="shared" ca="1" si="579"/>
        <v>AKBAR P</v>
      </c>
      <c r="D2697" s="86" t="str">
        <f t="shared" ca="1" si="580"/>
        <v>FANT</v>
      </c>
      <c r="E2697" s="86">
        <f t="shared" ca="1" si="581"/>
        <v>10</v>
      </c>
    </row>
    <row r="2698" spans="1:8" ht="14.25" x14ac:dyDescent="0.45">
      <c r="A2698" s="86">
        <f ca="1"/>
        <v>3</v>
      </c>
      <c r="B2698" s="86" t="str">
        <f ca="1"/>
        <v>C134</v>
      </c>
      <c r="C2698" s="86" t="str">
        <f t="shared" ca="1" si="579"/>
        <v>MUHAMMED ABDUL NASIF P.A</v>
      </c>
      <c r="D2698" s="86" t="str">
        <f t="shared" ca="1" si="580"/>
        <v>FANT</v>
      </c>
      <c r="E2698" s="86">
        <f t="shared" ca="1" si="581"/>
        <v>6</v>
      </c>
    </row>
    <row r="2699" spans="1:8" ht="14.25" x14ac:dyDescent="0.45">
      <c r="A2699" s="86">
        <f ca="1"/>
        <v>4</v>
      </c>
      <c r="B2699" s="86" t="str">
        <f ca="1"/>
        <v>D147</v>
      </c>
      <c r="C2699" s="86" t="str">
        <f t="shared" ca="1" si="579"/>
        <v>MOHAMMED SHAHZAN T.K</v>
      </c>
      <c r="D2699" s="86" t="str">
        <f t="shared" ca="1" si="580"/>
        <v>FANT</v>
      </c>
      <c r="E2699" s="86">
        <f t="shared" ca="1" si="581"/>
        <v>9</v>
      </c>
    </row>
    <row r="2700" spans="1:8" ht="14.25" x14ac:dyDescent="0.45">
      <c r="A2700" s="86">
        <f ca="1"/>
        <v>5</v>
      </c>
      <c r="B2700" s="86" t="str">
        <f ca="1"/>
        <v>D120</v>
      </c>
      <c r="C2700" s="86" t="str">
        <f t="shared" ca="1" si="579"/>
        <v>MUHAMMAD SINAN NP</v>
      </c>
      <c r="D2700" s="86" t="str">
        <f t="shared" ca="1" si="580"/>
        <v>FANT</v>
      </c>
      <c r="E2700" s="86">
        <f t="shared" ca="1" si="581"/>
        <v>8</v>
      </c>
    </row>
    <row r="2701" spans="1:8" ht="14.25" x14ac:dyDescent="0.45">
      <c r="A2701" s="86">
        <f ca="1"/>
        <v>6</v>
      </c>
      <c r="B2701" s="86" t="str">
        <f ca="1"/>
        <v>C127</v>
      </c>
      <c r="C2701" s="86" t="str">
        <f t="shared" ca="1" si="579"/>
        <v>SHAMMAZ P A</v>
      </c>
      <c r="D2701" s="86" t="str">
        <f t="shared" ca="1" si="580"/>
        <v>FANT</v>
      </c>
      <c r="E2701" s="86">
        <f t="shared" ca="1" si="581"/>
        <v>5</v>
      </c>
    </row>
    <row r="2702" spans="1:8" ht="14.25" x14ac:dyDescent="0.45">
      <c r="A2702" s="86">
        <f ca="1"/>
        <v>7</v>
      </c>
      <c r="B2702" s="86" t="str">
        <f ca="1"/>
        <v>B143</v>
      </c>
      <c r="C2702" s="86" t="str">
        <f t="shared" ca="1" si="579"/>
        <v>MOHAMMED SHADIL AP</v>
      </c>
      <c r="D2702" s="86" t="str">
        <f t="shared" ca="1" si="580"/>
        <v>FANT</v>
      </c>
      <c r="E2702" s="86">
        <f t="shared" ca="1" si="581"/>
        <v>4</v>
      </c>
    </row>
    <row r="2703" spans="1:8" ht="14.25" x14ac:dyDescent="0.45">
      <c r="A2703" s="86">
        <f ca="1"/>
        <v>8</v>
      </c>
      <c r="B2703" s="86" t="str">
        <f ca="1"/>
        <v>D140</v>
      </c>
      <c r="C2703" s="86" t="str">
        <f t="shared" ca="1" si="579"/>
        <v>MUHAMMED FAISAL A K</v>
      </c>
      <c r="D2703" s="86" t="str">
        <f t="shared" ca="1" si="580"/>
        <v>DAHF</v>
      </c>
      <c r="E2703" s="86">
        <f t="shared" ca="1" si="581"/>
        <v>9</v>
      </c>
    </row>
    <row r="2704" spans="1:8" ht="14.25" x14ac:dyDescent="0.45">
      <c r="A2704" s="86">
        <f ca="1"/>
        <v>9</v>
      </c>
      <c r="B2704" s="86" t="str">
        <f ca="1"/>
        <v>D179</v>
      </c>
      <c r="C2704" s="86" t="str">
        <f t="shared" ca="1" si="579"/>
        <v>MUHAMMED AKBAR NP</v>
      </c>
      <c r="D2704" s="86" t="str">
        <f t="shared" ca="1" si="580"/>
        <v>DAHF</v>
      </c>
      <c r="E2704" s="86">
        <f t="shared" ca="1" si="581"/>
        <v>10</v>
      </c>
    </row>
    <row r="2705" spans="1:5" ht="14.25" x14ac:dyDescent="0.45">
      <c r="A2705" s="86">
        <f ca="1"/>
        <v>10</v>
      </c>
      <c r="B2705" s="86" t="str">
        <f ca="1"/>
        <v>C150</v>
      </c>
      <c r="C2705" s="86" t="str">
        <f t="shared" ca="1" si="579"/>
        <v>MUHAMMED PK</v>
      </c>
      <c r="D2705" s="86" t="str">
        <f t="shared" ca="1" si="580"/>
        <v>DAHF</v>
      </c>
      <c r="E2705" s="86">
        <f t="shared" ca="1" si="581"/>
        <v>6</v>
      </c>
    </row>
    <row r="2706" spans="1:5" ht="14.25" x14ac:dyDescent="0.45">
      <c r="A2706" s="86">
        <f ca="1"/>
        <v>11</v>
      </c>
      <c r="B2706" s="86" t="str">
        <f ca="1"/>
        <v>D192</v>
      </c>
      <c r="C2706" s="86" t="str">
        <f t="shared" ca="1" si="579"/>
        <v>MUHAMMED SIFARATH T A</v>
      </c>
      <c r="D2706" s="86" t="str">
        <f t="shared" ca="1" si="580"/>
        <v>DAHF</v>
      </c>
      <c r="E2706" s="86">
        <f t="shared" ca="1" si="581"/>
        <v>10</v>
      </c>
    </row>
    <row r="2707" spans="1:5" ht="14.25" x14ac:dyDescent="0.45">
      <c r="A2707" s="86">
        <f ca="1"/>
        <v>12</v>
      </c>
      <c r="B2707" s="86" t="str">
        <f ca="1"/>
        <v>D131</v>
      </c>
      <c r="C2707" s="86" t="str">
        <f t="shared" ca="1" si="579"/>
        <v>MAHAMMAD RIYAZ</v>
      </c>
      <c r="D2707" s="86" t="str">
        <f t="shared" ca="1" si="580"/>
        <v>DAHF</v>
      </c>
      <c r="E2707" s="86">
        <f t="shared" ca="1" si="581"/>
        <v>9</v>
      </c>
    </row>
    <row r="2708" spans="1:5" ht="14.25" x14ac:dyDescent="0.45">
      <c r="A2708" s="86">
        <f ca="1"/>
        <v>13</v>
      </c>
      <c r="B2708" s="86" t="str">
        <f ca="1"/>
        <v>D121</v>
      </c>
      <c r="C2708" s="86" t="str">
        <f t="shared" ca="1" si="579"/>
        <v>ABDUL RAHMAN MUNZIR</v>
      </c>
      <c r="D2708" s="86" t="str">
        <f t="shared" ca="1" si="580"/>
        <v>DAHF</v>
      </c>
      <c r="E2708" s="86">
        <f t="shared" ca="1" si="581"/>
        <v>8</v>
      </c>
    </row>
    <row r="2709" spans="1:5" ht="14.25" x14ac:dyDescent="0.45">
      <c r="A2709" s="86">
        <f ca="1"/>
        <v>14</v>
      </c>
      <c r="B2709" s="86" t="str">
        <f ca="1"/>
        <v>D166</v>
      </c>
      <c r="C2709" s="86" t="str">
        <f t="shared" ca="1" si="579"/>
        <v>MOHAMMED IRFAN C</v>
      </c>
      <c r="D2709" s="86" t="str">
        <f t="shared" ca="1" si="580"/>
        <v>DAHF</v>
      </c>
      <c r="E2709" s="86">
        <f t="shared" ca="1" si="581"/>
        <v>9</v>
      </c>
    </row>
    <row r="2710" spans="1:5" ht="14.25" x14ac:dyDescent="0.45">
      <c r="A2710" s="86">
        <f ca="1"/>
        <v>15</v>
      </c>
      <c r="B2710" s="86" t="str">
        <f ca="1"/>
        <v>D155</v>
      </c>
      <c r="C2710" s="86" t="str">
        <f t="shared" ca="1" si="579"/>
        <v>MUHAMMED YASIR K</v>
      </c>
      <c r="D2710" s="86" t="str">
        <f t="shared" ca="1" si="580"/>
        <v>BADF</v>
      </c>
      <c r="E2710" s="86">
        <f t="shared" ca="1" si="581"/>
        <v>9</v>
      </c>
    </row>
    <row r="2711" spans="1:5" ht="14.25" x14ac:dyDescent="0.45">
      <c r="A2711" s="86">
        <f ca="1"/>
        <v>16</v>
      </c>
      <c r="B2711" s="86" t="str">
        <f ca="1"/>
        <v>D137</v>
      </c>
      <c r="C2711" s="86" t="str">
        <f t="shared" ca="1" si="579"/>
        <v>AYYOOB V.N</v>
      </c>
      <c r="D2711" s="86" t="str">
        <f t="shared" ca="1" si="580"/>
        <v>BADF</v>
      </c>
      <c r="E2711" s="86">
        <f t="shared" ca="1" si="581"/>
        <v>9</v>
      </c>
    </row>
    <row r="2712" spans="1:5" ht="14.25" x14ac:dyDescent="0.45">
      <c r="A2712" s="86">
        <f ca="1"/>
        <v>17</v>
      </c>
      <c r="B2712" s="86" t="str">
        <f ca="1"/>
        <v>D124</v>
      </c>
      <c r="C2712" s="86" t="str">
        <f t="shared" ca="1" si="579"/>
        <v>MUHAMMED SUFAZ P</v>
      </c>
      <c r="D2712" s="86" t="str">
        <f t="shared" ca="1" si="580"/>
        <v>BADF</v>
      </c>
      <c r="E2712" s="86">
        <f t="shared" ca="1" si="581"/>
        <v>8</v>
      </c>
    </row>
    <row r="2713" spans="1:5" ht="14.25" x14ac:dyDescent="0.45">
      <c r="A2713" s="86">
        <f ca="1"/>
        <v>18</v>
      </c>
      <c r="B2713" s="86" t="str">
        <f ca="1"/>
        <v>D141</v>
      </c>
      <c r="C2713" s="86" t="str">
        <f t="shared" ca="1" si="579"/>
        <v>MUHAMMAD MUSTHAFA P.K</v>
      </c>
      <c r="D2713" s="86" t="str">
        <f t="shared" ca="1" si="580"/>
        <v>BADF</v>
      </c>
      <c r="E2713" s="86">
        <f t="shared" ca="1" si="581"/>
        <v>9</v>
      </c>
    </row>
    <row r="2714" spans="1:5" ht="14.25" x14ac:dyDescent="0.45">
      <c r="A2714" s="86">
        <f ca="1"/>
        <v>19</v>
      </c>
      <c r="B2714" s="86" t="str">
        <f ca="1"/>
        <v>D178</v>
      </c>
      <c r="C2714" s="86" t="str">
        <f t="shared" ca="1" si="579"/>
        <v>AHMED BK</v>
      </c>
      <c r="D2714" s="86" t="str">
        <f t="shared" ca="1" si="580"/>
        <v>BADF</v>
      </c>
      <c r="E2714" s="86">
        <f t="shared" ca="1" si="581"/>
        <v>10</v>
      </c>
    </row>
    <row r="2715" spans="1:5" ht="14.25" x14ac:dyDescent="0.45">
      <c r="A2715" s="86">
        <f ca="1"/>
        <v>20</v>
      </c>
      <c r="B2715" s="86" t="str">
        <f ca="1"/>
        <v>D161</v>
      </c>
      <c r="C2715" s="86" t="str">
        <f t="shared" ca="1" si="579"/>
        <v>MOHAMMED ATHHAR THAYYIB MS</v>
      </c>
      <c r="D2715" s="86" t="str">
        <f t="shared" ca="1" si="580"/>
        <v>BADF</v>
      </c>
      <c r="E2715" s="86">
        <f t="shared" ca="1" si="581"/>
        <v>9</v>
      </c>
    </row>
    <row r="2716" spans="1:5" ht="14.25" x14ac:dyDescent="0.45">
      <c r="A2716" s="86">
        <f ca="1"/>
        <v>21</v>
      </c>
      <c r="B2716" s="86" t="str">
        <f ca="1"/>
        <v>D189</v>
      </c>
      <c r="C2716" s="86" t="str">
        <f t="shared" ca="1" si="579"/>
        <v>ASGAR ALI</v>
      </c>
      <c r="D2716" s="86" t="str">
        <f t="shared" ca="1" si="580"/>
        <v>BADF</v>
      </c>
      <c r="E2716" s="86">
        <f t="shared" ca="1" si="581"/>
        <v>10</v>
      </c>
    </row>
    <row r="2717" spans="1:5" ht="14.25" x14ac:dyDescent="0.45">
      <c r="A2717" s="86">
        <f ca="1"/>
        <v>22</v>
      </c>
      <c r="B2717" s="86" t="str">
        <f ca="1"/>
        <v>D194</v>
      </c>
      <c r="C2717" s="86" t="str">
        <f t="shared" ca="1" si="579"/>
        <v>AYAZ RAHMAN T</v>
      </c>
      <c r="D2717" s="86" t="str">
        <f t="shared" ca="1" si="580"/>
        <v>JARF</v>
      </c>
      <c r="E2717" s="86">
        <f t="shared" ca="1" si="581"/>
        <v>10</v>
      </c>
    </row>
    <row r="2718" spans="1:5" ht="14.25" x14ac:dyDescent="0.45">
      <c r="A2718" s="86">
        <f ca="1"/>
        <v>23</v>
      </c>
      <c r="B2718" s="86" t="str">
        <f ca="1"/>
        <v>D176</v>
      </c>
      <c r="C2718" s="86" t="str">
        <f t="shared" ca="1" si="579"/>
        <v>MOHAMMED NASFAR AFNAN H</v>
      </c>
      <c r="D2718" s="86" t="str">
        <f t="shared" ca="1" si="580"/>
        <v>JARF</v>
      </c>
      <c r="E2718" s="86">
        <f t="shared" ca="1" si="581"/>
        <v>10</v>
      </c>
    </row>
    <row r="2719" spans="1:5" ht="14.25" x14ac:dyDescent="0.45">
      <c r="A2719" s="86">
        <f ca="1"/>
        <v>24</v>
      </c>
      <c r="B2719" s="86" t="str">
        <f ca="1"/>
        <v>C165</v>
      </c>
      <c r="C2719" s="86" t="str">
        <f t="shared" ca="1" si="579"/>
        <v>MUHAMMAD IBN AHMAD</v>
      </c>
      <c r="D2719" s="86" t="str">
        <f t="shared" ca="1" si="580"/>
        <v>JARF</v>
      </c>
      <c r="E2719" s="86">
        <f t="shared" ca="1" si="581"/>
        <v>7</v>
      </c>
    </row>
    <row r="2720" spans="1:5" ht="14.25" x14ac:dyDescent="0.45">
      <c r="A2720" s="86">
        <f ca="1"/>
        <v>25</v>
      </c>
      <c r="B2720" s="86" t="str">
        <f ca="1"/>
        <v>C167</v>
      </c>
      <c r="C2720" s="86" t="str">
        <f t="shared" ca="1" si="579"/>
        <v>MUHAMMED MUJTHABA MK</v>
      </c>
      <c r="D2720" s="86" t="str">
        <f t="shared" ca="1" si="580"/>
        <v>JARF</v>
      </c>
      <c r="E2720" s="86">
        <f t="shared" ca="1" si="581"/>
        <v>7</v>
      </c>
    </row>
    <row r="2721" spans="1:8" ht="14.25" x14ac:dyDescent="0.45">
      <c r="A2721" s="86">
        <f ca="1"/>
        <v>26</v>
      </c>
      <c r="B2721" s="86" t="str">
        <f ca="1"/>
        <v>D136</v>
      </c>
      <c r="C2721" s="86" t="str">
        <f t="shared" ca="1" si="579"/>
        <v>MUHAMMED ASBAQUE</v>
      </c>
      <c r="D2721" s="86" t="str">
        <f t="shared" ca="1" si="580"/>
        <v>JARF</v>
      </c>
      <c r="E2721" s="86">
        <f t="shared" ca="1" si="581"/>
        <v>9</v>
      </c>
    </row>
    <row r="2722" spans="1:8" ht="14.25" x14ac:dyDescent="0.45">
      <c r="A2722" s="86">
        <f ca="1"/>
        <v>27</v>
      </c>
      <c r="B2722" s="86" t="str">
        <f ca="1"/>
        <v>C147</v>
      </c>
      <c r="C2722" s="86" t="str">
        <f t="shared" ca="1" si="579"/>
        <v>AHAMED ZAKI FOUZAN T.Z</v>
      </c>
      <c r="D2722" s="86" t="str">
        <f t="shared" ca="1" si="580"/>
        <v>JARF</v>
      </c>
      <c r="E2722" s="86">
        <f t="shared" ca="1" si="581"/>
        <v>6</v>
      </c>
    </row>
    <row r="2723" spans="1:8" ht="14.25" x14ac:dyDescent="0.45">
      <c r="A2723" s="86">
        <f ca="1"/>
        <v>28</v>
      </c>
      <c r="B2723" s="86" t="str">
        <f ca="1"/>
        <v>D113</v>
      </c>
      <c r="C2723" s="86" t="str">
        <f t="shared" ca="1" si="579"/>
        <v>ZULFIKARALI</v>
      </c>
      <c r="D2723" s="86" t="str">
        <f t="shared" ca="1" si="580"/>
        <v>JARF</v>
      </c>
      <c r="E2723" s="86">
        <f t="shared" ca="1" si="581"/>
        <v>8</v>
      </c>
    </row>
    <row r="2724" spans="1:8" ht="14.25" x14ac:dyDescent="0.45">
      <c r="A2724" s="84" t="s">
        <v>450</v>
      </c>
      <c r="B2724" s="84" t="str">
        <f>VLOOKUP("GN14",f_detailsof_programs,2,FALSE)</f>
        <v>SUFI SANGEEDAM</v>
      </c>
      <c r="C2724" s="84"/>
      <c r="D2724" s="84" t="s">
        <v>688</v>
      </c>
      <c r="E2724" s="84" t="s">
        <v>485</v>
      </c>
      <c r="F2724" s="84"/>
      <c r="G2724" s="84"/>
      <c r="H2724" s="84"/>
    </row>
    <row r="2725" spans="1:8" ht="14.25" x14ac:dyDescent="0.45">
      <c r="A2725" s="85" t="s">
        <v>16</v>
      </c>
      <c r="B2725" s="85" t="s">
        <v>480</v>
      </c>
      <c r="C2725" s="85" t="s">
        <v>18</v>
      </c>
      <c r="D2725" s="85" t="s">
        <v>481</v>
      </c>
      <c r="E2725" s="85" t="s">
        <v>19</v>
      </c>
      <c r="F2725" s="85" t="s">
        <v>482</v>
      </c>
      <c r="G2725" s="85" t="s">
        <v>483</v>
      </c>
      <c r="H2725" s="85" t="s">
        <v>484</v>
      </c>
    </row>
    <row r="2726" spans="1:8" ht="14.25" x14ac:dyDescent="0.45">
      <c r="A2726" s="86" cm="1">
        <f t="array" aca="1" ref="A2726:A2737" ca="1">_xlfn.SEQUENCE(COUNTA(_xlfn.LET(_xlpm.trimmed,OFFSET(f_listof_program_candidates,MATCH("GN14",f_listof_program_codes,0)-1,6,1,),TRANSPOSE(_xlfn._xlws.FILTER(OFFSET(_xlpm.trimmed,0,0,,COUNTA(_xlpm.trimmed)-5),OFFSET(_xlpm.trimmed,0,0,,COUNTA(_xlpm.trimmed)-5)&lt;&gt;0)))))</f>
        <v>1</v>
      </c>
      <c r="B2726" s="86" t="str" cm="1">
        <f t="array" aca="1" ref="B2726:B2737" ca="1">_xlfn.LET(_xlpm.trimmed,OFFSET(f_listof_program_candidates,MATCH("GN14",f_listof_program_codes,0)-1,6,1,),TRANSPOSE(_xlfn._xlws.FILTER(OFFSET(_xlpm.trimmed,0,0,,COUNTA(_xlpm.trimmed)-5),OFFSET(_xlpm.trimmed,0,0,,COUNTA(_xlpm.trimmed)-5)&lt;&gt;0)))</f>
        <v>D186</v>
      </c>
      <c r="C2726" s="86" t="str">
        <f t="shared" ref="C2726:C2737" ca="1" si="582">VLOOKUP(B2726,f_detailsof_candidates,2,FALSE)</f>
        <v>SALAHUDDEEN AYYOOBI KM</v>
      </c>
      <c r="D2726" s="86" t="str">
        <f t="shared" ref="D2726:D2737" ca="1" si="583">VLOOKUP(B2726,f_detailsof_candidates,3,FALSE)</f>
        <v>FANT</v>
      </c>
      <c r="E2726" s="86">
        <f t="shared" ref="E2726:E2737" ca="1" si="584">VLOOKUP(B2726,f_detailsof_candidates,5,FALSE)</f>
        <v>10</v>
      </c>
    </row>
    <row r="2727" spans="1:8" ht="14.25" x14ac:dyDescent="0.45">
      <c r="A2727" s="86">
        <f ca="1"/>
        <v>2</v>
      </c>
      <c r="B2727" s="86" t="str">
        <f ca="1"/>
        <v>D175</v>
      </c>
      <c r="C2727" s="86" t="str">
        <f t="shared" ca="1" si="582"/>
        <v>AKBAR P</v>
      </c>
      <c r="D2727" s="86" t="str">
        <f t="shared" ca="1" si="583"/>
        <v>FANT</v>
      </c>
      <c r="E2727" s="86">
        <f t="shared" ca="1" si="584"/>
        <v>10</v>
      </c>
    </row>
    <row r="2728" spans="1:8" ht="14.25" x14ac:dyDescent="0.45">
      <c r="A2728" s="86">
        <f ca="1"/>
        <v>3</v>
      </c>
      <c r="B2728" s="86" t="str">
        <f ca="1"/>
        <v>C134</v>
      </c>
      <c r="C2728" s="86" t="str">
        <f t="shared" ca="1" si="582"/>
        <v>MUHAMMED ABDUL NASIF P.A</v>
      </c>
      <c r="D2728" s="86" t="str">
        <f t="shared" ca="1" si="583"/>
        <v>FANT</v>
      </c>
      <c r="E2728" s="86">
        <f t="shared" ca="1" si="584"/>
        <v>6</v>
      </c>
    </row>
    <row r="2729" spans="1:8" ht="14.25" x14ac:dyDescent="0.45">
      <c r="A2729" s="86">
        <f ca="1"/>
        <v>4</v>
      </c>
      <c r="B2729" s="86" t="str">
        <f ca="1"/>
        <v>D140</v>
      </c>
      <c r="C2729" s="86" t="str">
        <f t="shared" ca="1" si="582"/>
        <v>MUHAMMED FAISAL A K</v>
      </c>
      <c r="D2729" s="86" t="str">
        <f t="shared" ca="1" si="583"/>
        <v>DAHF</v>
      </c>
      <c r="E2729" s="86">
        <f t="shared" ca="1" si="584"/>
        <v>9</v>
      </c>
    </row>
    <row r="2730" spans="1:8" ht="14.25" x14ac:dyDescent="0.45">
      <c r="A2730" s="86">
        <f ca="1"/>
        <v>5</v>
      </c>
      <c r="B2730" s="86" t="str">
        <f ca="1"/>
        <v>D179</v>
      </c>
      <c r="C2730" s="86" t="str">
        <f t="shared" ca="1" si="582"/>
        <v>MUHAMMED AKBAR NP</v>
      </c>
      <c r="D2730" s="86" t="str">
        <f t="shared" ca="1" si="583"/>
        <v>DAHF</v>
      </c>
      <c r="E2730" s="86">
        <f t="shared" ca="1" si="584"/>
        <v>10</v>
      </c>
    </row>
    <row r="2731" spans="1:8" ht="14.25" x14ac:dyDescent="0.45">
      <c r="A2731" s="86">
        <f ca="1"/>
        <v>6</v>
      </c>
      <c r="B2731" s="86" t="str">
        <f ca="1"/>
        <v>D131</v>
      </c>
      <c r="C2731" s="86" t="str">
        <f t="shared" ca="1" si="582"/>
        <v>MAHAMMAD RIYAZ</v>
      </c>
      <c r="D2731" s="86" t="str">
        <f t="shared" ca="1" si="583"/>
        <v>DAHF</v>
      </c>
      <c r="E2731" s="86">
        <f t="shared" ca="1" si="584"/>
        <v>9</v>
      </c>
    </row>
    <row r="2732" spans="1:8" ht="14.25" x14ac:dyDescent="0.45">
      <c r="A2732" s="86">
        <f ca="1"/>
        <v>7</v>
      </c>
      <c r="B2732" s="86" t="str">
        <f ca="1"/>
        <v>D124</v>
      </c>
      <c r="C2732" s="86" t="str">
        <f t="shared" ca="1" si="582"/>
        <v>MUHAMMED SUFAZ P</v>
      </c>
      <c r="D2732" s="86" t="str">
        <f t="shared" ca="1" si="583"/>
        <v>BADF</v>
      </c>
      <c r="E2732" s="86">
        <f t="shared" ca="1" si="584"/>
        <v>8</v>
      </c>
    </row>
    <row r="2733" spans="1:8" ht="14.25" x14ac:dyDescent="0.45">
      <c r="A2733" s="86">
        <f ca="1"/>
        <v>8</v>
      </c>
      <c r="B2733" s="86" t="str">
        <f ca="1"/>
        <v>D155</v>
      </c>
      <c r="C2733" s="86" t="str">
        <f t="shared" ca="1" si="582"/>
        <v>MUHAMMED YASIR K</v>
      </c>
      <c r="D2733" s="86" t="str">
        <f t="shared" ca="1" si="583"/>
        <v>BADF</v>
      </c>
      <c r="E2733" s="86">
        <f t="shared" ca="1" si="584"/>
        <v>9</v>
      </c>
    </row>
    <row r="2734" spans="1:8" ht="14.25" x14ac:dyDescent="0.45">
      <c r="A2734" s="86">
        <f ca="1"/>
        <v>9</v>
      </c>
      <c r="B2734" s="86" t="str">
        <f ca="1"/>
        <v>D137</v>
      </c>
      <c r="C2734" s="86" t="str">
        <f t="shared" ca="1" si="582"/>
        <v>AYYOOB V.N</v>
      </c>
      <c r="D2734" s="86" t="str">
        <f t="shared" ca="1" si="583"/>
        <v>BADF</v>
      </c>
      <c r="E2734" s="86">
        <f t="shared" ca="1" si="584"/>
        <v>9</v>
      </c>
    </row>
    <row r="2735" spans="1:8" ht="14.25" x14ac:dyDescent="0.45">
      <c r="A2735" s="86">
        <f ca="1"/>
        <v>10</v>
      </c>
      <c r="B2735" s="86" t="str">
        <f ca="1"/>
        <v>D194</v>
      </c>
      <c r="C2735" s="86" t="str">
        <f t="shared" ca="1" si="582"/>
        <v>AYAZ RAHMAN T</v>
      </c>
      <c r="D2735" s="86" t="str">
        <f t="shared" ca="1" si="583"/>
        <v>JARF</v>
      </c>
      <c r="E2735" s="86">
        <f t="shared" ca="1" si="584"/>
        <v>10</v>
      </c>
    </row>
    <row r="2736" spans="1:8" ht="14.25" x14ac:dyDescent="0.45">
      <c r="A2736" s="86">
        <f ca="1"/>
        <v>11</v>
      </c>
      <c r="B2736" s="86" t="str">
        <f ca="1"/>
        <v>C165</v>
      </c>
      <c r="C2736" s="86" t="str">
        <f t="shared" ca="1" si="582"/>
        <v>MUHAMMAD IBN AHMAD</v>
      </c>
      <c r="D2736" s="86" t="str">
        <f t="shared" ca="1" si="583"/>
        <v>JARF</v>
      </c>
      <c r="E2736" s="86">
        <f t="shared" ca="1" si="584"/>
        <v>7</v>
      </c>
    </row>
    <row r="2737" spans="1:5" ht="14.25" x14ac:dyDescent="0.45">
      <c r="A2737" s="86">
        <f ca="1"/>
        <v>12</v>
      </c>
      <c r="B2737" s="86" t="str">
        <f ca="1"/>
        <v>D176</v>
      </c>
      <c r="C2737" s="86" t="str">
        <f t="shared" ca="1" si="582"/>
        <v>MOHAMMED NASFAR AFNAN H</v>
      </c>
      <c r="D2737" s="86" t="str">
        <f t="shared" ca="1" si="583"/>
        <v>JARF</v>
      </c>
      <c r="E2737" s="86">
        <f t="shared" ca="1" si="584"/>
        <v>10</v>
      </c>
    </row>
    <row r="2738" spans="1:5" ht="14.25" x14ac:dyDescent="0.45"/>
    <row r="2739" spans="1:5" ht="14.25" x14ac:dyDescent="0.45"/>
    <row r="2740" spans="1:5" ht="14.25" x14ac:dyDescent="0.45"/>
    <row r="2741" spans="1:5" ht="14.25" x14ac:dyDescent="0.45"/>
    <row r="2742" spans="1:5" ht="14.25" x14ac:dyDescent="0.45"/>
    <row r="2743" spans="1:5" ht="14.25" x14ac:dyDescent="0.45"/>
    <row r="2744" spans="1:5" ht="14.25" x14ac:dyDescent="0.45"/>
    <row r="2745" spans="1:5" ht="14.25" x14ac:dyDescent="0.45"/>
    <row r="2746" spans="1:5" ht="14.25" x14ac:dyDescent="0.45"/>
    <row r="2747" spans="1:5" ht="14.25" x14ac:dyDescent="0.45"/>
    <row r="2748" spans="1:5" ht="14.25" x14ac:dyDescent="0.45"/>
    <row r="2749" spans="1:5" ht="14.25" x14ac:dyDescent="0.45"/>
    <row r="2750" spans="1:5" ht="14.25" x14ac:dyDescent="0.45"/>
    <row r="2751" spans="1:5" ht="14.25" x14ac:dyDescent="0.45"/>
    <row r="2752" spans="1:5" ht="14.25" x14ac:dyDescent="0.45"/>
    <row r="2753" ht="14.25" x14ac:dyDescent="0.45"/>
    <row r="2754" ht="14.25" x14ac:dyDescent="0.45"/>
    <row r="2755" ht="14.25" x14ac:dyDescent="0.45"/>
    <row r="2756" ht="14.25" x14ac:dyDescent="0.45"/>
    <row r="2757" ht="14.25" x14ac:dyDescent="0.45"/>
    <row r="2758" ht="14.25" x14ac:dyDescent="0.45"/>
    <row r="2759" ht="14.25" x14ac:dyDescent="0.45"/>
    <row r="2760" ht="14.25" x14ac:dyDescent="0.45"/>
    <row r="2761" ht="14.25" x14ac:dyDescent="0.45"/>
    <row r="2762" ht="14.25" x14ac:dyDescent="0.45"/>
    <row r="2763" ht="14.25" x14ac:dyDescent="0.45"/>
    <row r="2764" ht="14.25" x14ac:dyDescent="0.45"/>
    <row r="2765" ht="14.25" x14ac:dyDescent="0.45"/>
    <row r="2766" ht="14.25" x14ac:dyDescent="0.45"/>
    <row r="2767" ht="14.25" x14ac:dyDescent="0.45"/>
    <row r="2768" ht="14.25" x14ac:dyDescent="0.45"/>
    <row r="2769" ht="14.25" x14ac:dyDescent="0.45"/>
    <row r="2770" ht="14.25" x14ac:dyDescent="0.45"/>
    <row r="2771" ht="14.25" x14ac:dyDescent="0.45"/>
    <row r="2772" ht="14.25" x14ac:dyDescent="0.45"/>
    <row r="2773" ht="14.25" x14ac:dyDescent="0.45"/>
    <row r="2774" ht="14.25" x14ac:dyDescent="0.45"/>
    <row r="2775" ht="14.25" x14ac:dyDescent="0.45"/>
    <row r="2776" ht="14.25" x14ac:dyDescent="0.45"/>
    <row r="2777" ht="14.25" x14ac:dyDescent="0.45"/>
    <row r="2778" ht="14.25" x14ac:dyDescent="0.45"/>
    <row r="2779" ht="14.25" x14ac:dyDescent="0.45"/>
    <row r="2780" ht="14.25" x14ac:dyDescent="0.45"/>
    <row r="2781" ht="14.25" x14ac:dyDescent="0.45"/>
    <row r="2782" ht="14.25" x14ac:dyDescent="0.45"/>
    <row r="2783" ht="14.25" x14ac:dyDescent="0.45"/>
    <row r="2784" ht="14.25" x14ac:dyDescent="0.45"/>
    <row r="2785" ht="14.25" x14ac:dyDescent="0.45"/>
    <row r="2786" ht="14.25" x14ac:dyDescent="0.45"/>
    <row r="2787" ht="14.25" x14ac:dyDescent="0.45"/>
    <row r="2788" ht="14.25" x14ac:dyDescent="0.45"/>
    <row r="2789" ht="14.25" x14ac:dyDescent="0.45"/>
    <row r="2790" ht="14.25" x14ac:dyDescent="0.45"/>
    <row r="2791" ht="14.25" x14ac:dyDescent="0.45"/>
    <row r="2792" ht="14.25" x14ac:dyDescent="0.45"/>
    <row r="2793" ht="14.25" x14ac:dyDescent="0.45"/>
    <row r="2794" ht="14.25" x14ac:dyDescent="0.45"/>
    <row r="2795" ht="14.25" x14ac:dyDescent="0.45"/>
    <row r="2796" ht="14.25" x14ac:dyDescent="0.45"/>
    <row r="2797" ht="14.25" x14ac:dyDescent="0.45"/>
    <row r="2798" ht="14.25" x14ac:dyDescent="0.45"/>
    <row r="2799" ht="14.25" x14ac:dyDescent="0.45"/>
    <row r="2800" ht="14.25" x14ac:dyDescent="0.45"/>
    <row r="2801" ht="14.25" x14ac:dyDescent="0.45"/>
    <row r="2802" ht="14.25" x14ac:dyDescent="0.45"/>
    <row r="2803" ht="14.25" x14ac:dyDescent="0.45"/>
    <row r="2804" ht="14.25" x14ac:dyDescent="0.45"/>
    <row r="2805" ht="14.25" x14ac:dyDescent="0.45"/>
    <row r="2806" ht="14.25" x14ac:dyDescent="0.45"/>
    <row r="2807" ht="14.25" x14ac:dyDescent="0.45"/>
    <row r="2808" ht="14.25" x14ac:dyDescent="0.45"/>
    <row r="2809" ht="14.25" x14ac:dyDescent="0.45"/>
    <row r="2810" ht="14.25" x14ac:dyDescent="0.45"/>
    <row r="2811" ht="14.25" x14ac:dyDescent="0.45"/>
    <row r="2812" ht="14.25" x14ac:dyDescent="0.45"/>
    <row r="2813" ht="14.25" x14ac:dyDescent="0.45"/>
    <row r="2814" ht="14.25" x14ac:dyDescent="0.45"/>
    <row r="2815" ht="14.25" x14ac:dyDescent="0.45"/>
    <row r="2816" ht="14.25" x14ac:dyDescent="0.45"/>
    <row r="2817" ht="14.25" x14ac:dyDescent="0.45"/>
    <row r="2818" ht="14.25" x14ac:dyDescent="0.45"/>
    <row r="2819" ht="14.25" x14ac:dyDescent="0.45"/>
    <row r="2820" ht="14.25" x14ac:dyDescent="0.45"/>
    <row r="2821" ht="14.25" x14ac:dyDescent="0.45"/>
    <row r="2822" ht="14.25" x14ac:dyDescent="0.45"/>
    <row r="2823" ht="14.25" x14ac:dyDescent="0.45"/>
    <row r="2824" ht="14.25" x14ac:dyDescent="0.45"/>
    <row r="2825" ht="14.25" x14ac:dyDescent="0.45"/>
    <row r="2826" ht="14.25" x14ac:dyDescent="0.45"/>
    <row r="2827" ht="14.25" x14ac:dyDescent="0.45"/>
    <row r="2828" ht="14.25" x14ac:dyDescent="0.45"/>
    <row r="2829" ht="14.25" x14ac:dyDescent="0.45"/>
    <row r="2830" ht="14.25" x14ac:dyDescent="0.45"/>
    <row r="2831" ht="14.25" x14ac:dyDescent="0.45"/>
    <row r="2832" ht="14.25" x14ac:dyDescent="0.45"/>
    <row r="2833" ht="14.25" x14ac:dyDescent="0.45"/>
    <row r="2834" ht="14.25" x14ac:dyDescent="0.45"/>
    <row r="2835" ht="14.25" x14ac:dyDescent="0.45"/>
    <row r="2836" ht="14.25" x14ac:dyDescent="0.45"/>
    <row r="2837" ht="14.25" x14ac:dyDescent="0.45"/>
    <row r="2838" ht="14.25" x14ac:dyDescent="0.45"/>
    <row r="2839" ht="14.25" x14ac:dyDescent="0.45"/>
    <row r="2840" ht="14.25" x14ac:dyDescent="0.45"/>
    <row r="2841" ht="14.25" x14ac:dyDescent="0.45"/>
    <row r="2842" ht="14.25" x14ac:dyDescent="0.45"/>
    <row r="2843" ht="14.25" x14ac:dyDescent="0.45"/>
    <row r="2844" ht="14.25" x14ac:dyDescent="0.45"/>
    <row r="2845" ht="14.25" x14ac:dyDescent="0.45"/>
    <row r="2846" ht="14.25" x14ac:dyDescent="0.45"/>
    <row r="2847" ht="14.25" x14ac:dyDescent="0.45"/>
    <row r="2848" ht="14.25" x14ac:dyDescent="0.45"/>
    <row r="2849" ht="14.25" x14ac:dyDescent="0.45"/>
    <row r="2850" ht="14.25" x14ac:dyDescent="0.45"/>
    <row r="2851" ht="14.25" x14ac:dyDescent="0.45"/>
    <row r="2852" ht="14.25" x14ac:dyDescent="0.45"/>
    <row r="2853" ht="14.25" x14ac:dyDescent="0.45"/>
    <row r="2854" ht="14.25" x14ac:dyDescent="0.45"/>
    <row r="2855" ht="14.25" x14ac:dyDescent="0.45"/>
    <row r="2856" ht="14.25" x14ac:dyDescent="0.45"/>
    <row r="2857" ht="14.25" x14ac:dyDescent="0.45"/>
    <row r="2858" ht="14.25" x14ac:dyDescent="0.45"/>
    <row r="2859" ht="14.25" x14ac:dyDescent="0.45"/>
    <row r="2860" ht="14.25" x14ac:dyDescent="0.45"/>
    <row r="2861" ht="14.25" x14ac:dyDescent="0.45"/>
    <row r="2862" ht="14.25" x14ac:dyDescent="0.45"/>
    <row r="2863" ht="14.25" x14ac:dyDescent="0.45"/>
    <row r="2864" ht="14.25" x14ac:dyDescent="0.45"/>
    <row r="2865" ht="14.25" x14ac:dyDescent="0.45"/>
    <row r="2866" ht="14.25" x14ac:dyDescent="0.45"/>
    <row r="2867" ht="14.25" x14ac:dyDescent="0.45"/>
    <row r="2868" ht="14.25" x14ac:dyDescent="0.45"/>
    <row r="2869" ht="14.25" x14ac:dyDescent="0.45"/>
    <row r="2870" ht="14.25" x14ac:dyDescent="0.45"/>
    <row r="2871" ht="14.25" x14ac:dyDescent="0.45"/>
    <row r="2872" ht="14.25" x14ac:dyDescent="0.45"/>
    <row r="2873" ht="14.25" x14ac:dyDescent="0.45"/>
    <row r="2874" ht="14.25" x14ac:dyDescent="0.45"/>
    <row r="2875" ht="14.25" x14ac:dyDescent="0.45"/>
    <row r="2876" ht="14.25" x14ac:dyDescent="0.45"/>
    <row r="2877" ht="14.25" x14ac:dyDescent="0.45"/>
    <row r="2878" ht="14.25" x14ac:dyDescent="0.45"/>
    <row r="2879" ht="14.25" x14ac:dyDescent="0.45"/>
    <row r="2880" ht="14.25" x14ac:dyDescent="0.45"/>
    <row r="2881" ht="14.25" x14ac:dyDescent="0.45"/>
    <row r="2882" ht="14.25" x14ac:dyDescent="0.45"/>
    <row r="2883" ht="14.25" x14ac:dyDescent="0.45"/>
    <row r="2884" ht="14.25" x14ac:dyDescent="0.45"/>
    <row r="2885" ht="14.25" x14ac:dyDescent="0.45"/>
    <row r="2886" ht="14.25" x14ac:dyDescent="0.45"/>
    <row r="2887" ht="14.25" x14ac:dyDescent="0.45"/>
    <row r="2888" ht="14.25" x14ac:dyDescent="0.45"/>
    <row r="2889" ht="14.25" x14ac:dyDescent="0.45"/>
    <row r="2890" ht="14.25" x14ac:dyDescent="0.45"/>
    <row r="2891" ht="14.25" x14ac:dyDescent="0.45"/>
    <row r="2892" ht="14.25" x14ac:dyDescent="0.45"/>
    <row r="2893" ht="14.25" x14ac:dyDescent="0.45"/>
    <row r="2894" ht="14.25" x14ac:dyDescent="0.45"/>
    <row r="2895" ht="14.25" x14ac:dyDescent="0.45"/>
    <row r="2896" ht="14.25" x14ac:dyDescent="0.45"/>
    <row r="2897" ht="14.25" x14ac:dyDescent="0.45"/>
    <row r="2898" ht="14.25" x14ac:dyDescent="0.45"/>
    <row r="2899" ht="14.25" x14ac:dyDescent="0.45"/>
    <row r="2900" ht="14.25" x14ac:dyDescent="0.45"/>
    <row r="2901" ht="14.25" x14ac:dyDescent="0.45"/>
    <row r="2902" ht="14.25" x14ac:dyDescent="0.45"/>
    <row r="2903" ht="14.25" x14ac:dyDescent="0.45"/>
    <row r="2904" ht="14.25" x14ac:dyDescent="0.45"/>
    <row r="2905" ht="14.25" x14ac:dyDescent="0.45"/>
    <row r="2906" ht="14.25" x14ac:dyDescent="0.45"/>
    <row r="2907" ht="14.25" x14ac:dyDescent="0.45"/>
    <row r="2908" ht="14.25" x14ac:dyDescent="0.45"/>
    <row r="2909" ht="14.25" x14ac:dyDescent="0.45"/>
    <row r="2910" ht="14.25" x14ac:dyDescent="0.45"/>
    <row r="2911" ht="14.25" x14ac:dyDescent="0.45"/>
    <row r="2912" ht="14.25" x14ac:dyDescent="0.45"/>
    <row r="2913" ht="14.25" x14ac:dyDescent="0.45"/>
    <row r="2914" ht="14.25" x14ac:dyDescent="0.45"/>
    <row r="2915" ht="14.25" x14ac:dyDescent="0.45"/>
    <row r="2916" ht="14.25" x14ac:dyDescent="0.45"/>
    <row r="2917" ht="14.25" x14ac:dyDescent="0.45"/>
    <row r="2918" ht="14.25" x14ac:dyDescent="0.45"/>
    <row r="2919" ht="14.25" x14ac:dyDescent="0.45"/>
    <row r="2920" ht="14.25" x14ac:dyDescent="0.45"/>
    <row r="2921" ht="14.25" x14ac:dyDescent="0.45"/>
    <row r="2922" ht="14.25" x14ac:dyDescent="0.45"/>
    <row r="2923" ht="14.25" x14ac:dyDescent="0.45"/>
    <row r="2924" ht="14.25" x14ac:dyDescent="0.45"/>
    <row r="2925" ht="14.25" x14ac:dyDescent="0.45"/>
    <row r="2926" ht="14.25" x14ac:dyDescent="0.45"/>
    <row r="2927" ht="14.25" x14ac:dyDescent="0.45"/>
    <row r="2928" ht="14.25" x14ac:dyDescent="0.45"/>
    <row r="2929" ht="14.25" x14ac:dyDescent="0.45"/>
    <row r="2930" ht="14.25" x14ac:dyDescent="0.45"/>
    <row r="2931" ht="14.25" x14ac:dyDescent="0.45"/>
    <row r="2932" ht="14.25" x14ac:dyDescent="0.45"/>
    <row r="2933" ht="14.25" x14ac:dyDescent="0.45"/>
    <row r="2934" ht="14.25" x14ac:dyDescent="0.45"/>
    <row r="2935" ht="14.25" x14ac:dyDescent="0.45"/>
    <row r="2936" ht="14.25" x14ac:dyDescent="0.45"/>
    <row r="2937" ht="14.25" x14ac:dyDescent="0.45"/>
    <row r="2938" ht="14.25" x14ac:dyDescent="0.45"/>
    <row r="2939" ht="14.25" x14ac:dyDescent="0.45"/>
    <row r="2940" ht="14.25" x14ac:dyDescent="0.45"/>
    <row r="2941" ht="14.25" x14ac:dyDescent="0.45"/>
    <row r="2942" ht="14.25" x14ac:dyDescent="0.45"/>
    <row r="2943" ht="14.25" x14ac:dyDescent="0.45"/>
    <row r="2944" ht="14.25" x14ac:dyDescent="0.45"/>
    <row r="2945" ht="14.25" x14ac:dyDescent="0.45"/>
    <row r="2946" ht="14.25" x14ac:dyDescent="0.45"/>
    <row r="2947" ht="14.25" x14ac:dyDescent="0.45"/>
    <row r="2948" ht="14.25" x14ac:dyDescent="0.45"/>
    <row r="2949" ht="14.25" x14ac:dyDescent="0.45"/>
    <row r="2950" ht="14.25" x14ac:dyDescent="0.45"/>
    <row r="2951" ht="14.25" x14ac:dyDescent="0.45"/>
    <row r="2952" ht="14.25" x14ac:dyDescent="0.45"/>
    <row r="2953" ht="14.25" x14ac:dyDescent="0.45"/>
    <row r="2954" ht="14.25" x14ac:dyDescent="0.45"/>
    <row r="2955" ht="14.25" x14ac:dyDescent="0.45"/>
    <row r="2956" ht="14.25" x14ac:dyDescent="0.45"/>
    <row r="2957" ht="14.25" x14ac:dyDescent="0.45"/>
    <row r="2958" ht="14.25" x14ac:dyDescent="0.45"/>
    <row r="2959" ht="14.25" x14ac:dyDescent="0.45"/>
    <row r="2960" ht="14.25" x14ac:dyDescent="0.45"/>
    <row r="2961" ht="14.25" x14ac:dyDescent="0.45"/>
    <row r="2962" ht="14.25" x14ac:dyDescent="0.45"/>
    <row r="2963" ht="14.25" x14ac:dyDescent="0.45"/>
    <row r="2964" ht="14.25" x14ac:dyDescent="0.45"/>
    <row r="2965" ht="14.25" x14ac:dyDescent="0.45"/>
    <row r="2966" ht="14.25" x14ac:dyDescent="0.45"/>
    <row r="2967" ht="14.25" x14ac:dyDescent="0.45"/>
    <row r="2968" ht="14.25" x14ac:dyDescent="0.45"/>
    <row r="2969" ht="14.25" x14ac:dyDescent="0.45"/>
    <row r="2970" ht="14.25" x14ac:dyDescent="0.45"/>
    <row r="2971" ht="14.25" x14ac:dyDescent="0.45"/>
    <row r="2972" ht="14.25" x14ac:dyDescent="0.45"/>
    <row r="2973" ht="14.25" x14ac:dyDescent="0.45"/>
    <row r="2974" ht="14.25" x14ac:dyDescent="0.45"/>
    <row r="2975" ht="14.25" x14ac:dyDescent="0.45"/>
    <row r="2976" ht="14.25" x14ac:dyDescent="0.45"/>
    <row r="2977" ht="14.25" x14ac:dyDescent="0.45"/>
    <row r="2978" ht="14.25" x14ac:dyDescent="0.45"/>
    <row r="2979" ht="14.25" x14ac:dyDescent="0.45"/>
    <row r="2980" ht="14.25" x14ac:dyDescent="0.45"/>
    <row r="2981" ht="14.25" x14ac:dyDescent="0.45"/>
    <row r="2982" ht="14.25" x14ac:dyDescent="0.45"/>
    <row r="2983" ht="14.25" x14ac:dyDescent="0.45"/>
    <row r="2984" ht="14.25" x14ac:dyDescent="0.45"/>
    <row r="2985" ht="14.25" x14ac:dyDescent="0.45"/>
    <row r="2986" ht="14.25" x14ac:dyDescent="0.45"/>
    <row r="2987" ht="14.25" x14ac:dyDescent="0.45"/>
    <row r="2988" ht="14.25" x14ac:dyDescent="0.45"/>
    <row r="2989" ht="14.25" x14ac:dyDescent="0.45"/>
    <row r="2990" ht="14.25" x14ac:dyDescent="0.45"/>
    <row r="2991" ht="14.25" x14ac:dyDescent="0.45"/>
    <row r="2992" ht="14.25" x14ac:dyDescent="0.45"/>
    <row r="2993" ht="14.25" x14ac:dyDescent="0.45"/>
    <row r="2994" ht="14.25" x14ac:dyDescent="0.45"/>
    <row r="2995" ht="14.25" x14ac:dyDescent="0.45"/>
    <row r="2996" ht="14.25" x14ac:dyDescent="0.45"/>
    <row r="2997" ht="14.25" x14ac:dyDescent="0.45"/>
    <row r="2998" ht="14.25" x14ac:dyDescent="0.45"/>
    <row r="2999" ht="14.25" x14ac:dyDescent="0.45"/>
    <row r="3000" ht="14.25" x14ac:dyDescent="0.45"/>
    <row r="3001" ht="14.25" x14ac:dyDescent="0.45"/>
    <row r="3002" ht="14.25" x14ac:dyDescent="0.45"/>
    <row r="3003" ht="14.25" x14ac:dyDescent="0.45"/>
    <row r="3004" ht="14.25" x14ac:dyDescent="0.45"/>
    <row r="3005" ht="14.25" x14ac:dyDescent="0.45"/>
    <row r="3006" ht="14.25" x14ac:dyDescent="0.45"/>
    <row r="3007" ht="14.25" x14ac:dyDescent="0.45"/>
    <row r="3008" ht="14.25" x14ac:dyDescent="0.45"/>
    <row r="3009" ht="14.25" x14ac:dyDescent="0.45"/>
    <row r="3010" ht="14.25" x14ac:dyDescent="0.45"/>
    <row r="3011" ht="14.25" x14ac:dyDescent="0.45"/>
    <row r="3012" ht="14.25" x14ac:dyDescent="0.45"/>
    <row r="3013" ht="14.25" x14ac:dyDescent="0.45"/>
    <row r="3014" ht="14.25" x14ac:dyDescent="0.45"/>
    <row r="3015" ht="14.25" x14ac:dyDescent="0.45"/>
    <row r="3016" ht="14.25" x14ac:dyDescent="0.45"/>
    <row r="3017" ht="14.25" x14ac:dyDescent="0.45"/>
    <row r="3018" ht="14.25" x14ac:dyDescent="0.45"/>
    <row r="3019" ht="14.25" x14ac:dyDescent="0.45"/>
    <row r="3020" ht="14.25" x14ac:dyDescent="0.45"/>
    <row r="3021" ht="14.25" x14ac:dyDescent="0.45"/>
    <row r="3022" ht="14.25" x14ac:dyDescent="0.45"/>
    <row r="3023" ht="14.25" x14ac:dyDescent="0.45"/>
    <row r="3024" ht="14.25" x14ac:dyDescent="0.45"/>
    <row r="3025" ht="14.25" x14ac:dyDescent="0.45"/>
    <row r="3026" ht="14.25" x14ac:dyDescent="0.45"/>
    <row r="3027" ht="14.25" x14ac:dyDescent="0.45"/>
    <row r="3028" ht="14.25" x14ac:dyDescent="0.45"/>
    <row r="3029" ht="14.25" x14ac:dyDescent="0.45"/>
    <row r="3030" ht="14.25" x14ac:dyDescent="0.45"/>
    <row r="3031" ht="14.25" x14ac:dyDescent="0.45"/>
    <row r="3032" ht="14.25" x14ac:dyDescent="0.45"/>
    <row r="3033" ht="14.25" x14ac:dyDescent="0.45"/>
    <row r="3034" ht="14.25" x14ac:dyDescent="0.45"/>
    <row r="3035" ht="14.25" x14ac:dyDescent="0.45"/>
    <row r="3036" ht="14.25" x14ac:dyDescent="0.45"/>
    <row r="3037" ht="14.25" x14ac:dyDescent="0.45"/>
    <row r="3038" ht="14.25" x14ac:dyDescent="0.45"/>
    <row r="3039" ht="14.25" x14ac:dyDescent="0.45"/>
    <row r="3040" ht="14.25" x14ac:dyDescent="0.45"/>
    <row r="3041" ht="14.25" x14ac:dyDescent="0.45"/>
    <row r="3042" ht="14.25" x14ac:dyDescent="0.45"/>
    <row r="3043" ht="14.25" x14ac:dyDescent="0.45"/>
    <row r="3044" ht="14.25" x14ac:dyDescent="0.45"/>
    <row r="3045" ht="14.25" x14ac:dyDescent="0.45"/>
    <row r="3046" ht="14.25" x14ac:dyDescent="0.45"/>
    <row r="3047" ht="14.25" x14ac:dyDescent="0.45"/>
    <row r="3048" ht="14.25" x14ac:dyDescent="0.45"/>
    <row r="3049" ht="14.25" x14ac:dyDescent="0.45"/>
    <row r="3050" ht="14.25" x14ac:dyDescent="0.45"/>
    <row r="3051" ht="14.25" x14ac:dyDescent="0.45"/>
    <row r="3052" ht="14.25" x14ac:dyDescent="0.45"/>
    <row r="3053" ht="14.25" x14ac:dyDescent="0.45"/>
    <row r="3054" ht="14.25" x14ac:dyDescent="0.45"/>
    <row r="3055" ht="14.25" x14ac:dyDescent="0.45"/>
    <row r="3056" ht="14.25" x14ac:dyDescent="0.45"/>
    <row r="3057" ht="14.25" x14ac:dyDescent="0.45"/>
    <row r="3058" ht="14.25" x14ac:dyDescent="0.45"/>
    <row r="3059" ht="14.25" x14ac:dyDescent="0.45"/>
    <row r="3060" ht="14.25" x14ac:dyDescent="0.45"/>
    <row r="3061" ht="14.25" x14ac:dyDescent="0.45"/>
    <row r="3062" ht="14.25" x14ac:dyDescent="0.45"/>
    <row r="3063" ht="14.25" x14ac:dyDescent="0.45"/>
    <row r="3064" ht="14.25" x14ac:dyDescent="0.45"/>
    <row r="3065" ht="14.25" x14ac:dyDescent="0.45"/>
    <row r="3066" ht="14.25" x14ac:dyDescent="0.45"/>
    <row r="3067" ht="14.25" x14ac:dyDescent="0.45"/>
    <row r="3068" ht="14.25" x14ac:dyDescent="0.45"/>
    <row r="3069" ht="14.25" x14ac:dyDescent="0.45"/>
    <row r="3070" ht="14.25" x14ac:dyDescent="0.45"/>
    <row r="3071" ht="14.25" x14ac:dyDescent="0.45"/>
    <row r="3072" ht="14.25" x14ac:dyDescent="0.45"/>
    <row r="3073" ht="14.25" x14ac:dyDescent="0.45"/>
    <row r="3074" ht="14.25" x14ac:dyDescent="0.45"/>
    <row r="3075" ht="14.25" x14ac:dyDescent="0.45"/>
    <row r="3076" ht="14.25" x14ac:dyDescent="0.45"/>
    <row r="3077" ht="14.25" x14ac:dyDescent="0.45"/>
    <row r="3078" ht="14.25" x14ac:dyDescent="0.45"/>
    <row r="3079" ht="14.25" x14ac:dyDescent="0.45"/>
    <row r="3080" ht="14.25" x14ac:dyDescent="0.45"/>
    <row r="3081" ht="14.25" x14ac:dyDescent="0.45"/>
    <row r="3082" ht="14.25" x14ac:dyDescent="0.45"/>
    <row r="3083" ht="14.25" x14ac:dyDescent="0.45"/>
    <row r="3084" ht="14.25" x14ac:dyDescent="0.45"/>
    <row r="3085" ht="14.25" x14ac:dyDescent="0.45"/>
    <row r="3086" ht="14.25" x14ac:dyDescent="0.45"/>
    <row r="3087" ht="14.25" x14ac:dyDescent="0.45"/>
    <row r="3088" ht="14.25" x14ac:dyDescent="0.45"/>
    <row r="3089" ht="14.25" x14ac:dyDescent="0.45"/>
    <row r="3090" ht="14.25" x14ac:dyDescent="0.45"/>
    <row r="3091" ht="14.25" x14ac:dyDescent="0.45"/>
    <row r="3092" ht="14.25" x14ac:dyDescent="0.45"/>
    <row r="3093" ht="14.25" x14ac:dyDescent="0.45"/>
    <row r="3094" ht="14.25" x14ac:dyDescent="0.45"/>
    <row r="3095" ht="14.25" x14ac:dyDescent="0.45"/>
    <row r="3096" ht="14.25" x14ac:dyDescent="0.45"/>
    <row r="3097" ht="14.25" x14ac:dyDescent="0.45"/>
    <row r="3098" ht="14.25" x14ac:dyDescent="0.45"/>
    <row r="3099" ht="14.25" x14ac:dyDescent="0.45"/>
    <row r="3100" ht="14.25" x14ac:dyDescent="0.45"/>
    <row r="3101" ht="14.25" x14ac:dyDescent="0.45"/>
    <row r="3102" ht="14.25" x14ac:dyDescent="0.45"/>
    <row r="3103" ht="14.25" x14ac:dyDescent="0.45"/>
    <row r="3104" ht="14.25" x14ac:dyDescent="0.45"/>
    <row r="3105" ht="14.25" x14ac:dyDescent="0.45"/>
    <row r="3106" ht="14.25" x14ac:dyDescent="0.45"/>
    <row r="3107" ht="14.25" x14ac:dyDescent="0.45"/>
    <row r="3108" ht="14.25" x14ac:dyDescent="0.45"/>
    <row r="3109" ht="14.25" x14ac:dyDescent="0.45"/>
    <row r="3110" ht="14.25" x14ac:dyDescent="0.45"/>
    <row r="3111" ht="14.25" x14ac:dyDescent="0.45"/>
    <row r="3112" ht="14.25" x14ac:dyDescent="0.45"/>
    <row r="3113" ht="14.25" x14ac:dyDescent="0.45"/>
    <row r="3114" ht="14.25" x14ac:dyDescent="0.45"/>
    <row r="3115" ht="14.25" x14ac:dyDescent="0.45"/>
    <row r="3116" ht="14.25" x14ac:dyDescent="0.45"/>
    <row r="3117" ht="14.25" x14ac:dyDescent="0.45"/>
    <row r="3118" ht="14.25" x14ac:dyDescent="0.45"/>
    <row r="3119" ht="14.25" x14ac:dyDescent="0.45"/>
    <row r="3120" ht="14.25" x14ac:dyDescent="0.45"/>
    <row r="3121" ht="14.25" x14ac:dyDescent="0.45"/>
    <row r="3122" ht="14.25" x14ac:dyDescent="0.45"/>
    <row r="3123" ht="14.25" x14ac:dyDescent="0.45"/>
    <row r="3124" ht="14.25" x14ac:dyDescent="0.45"/>
    <row r="3125" ht="14.25" x14ac:dyDescent="0.45"/>
    <row r="3126" ht="14.25" x14ac:dyDescent="0.45"/>
    <row r="3127" ht="14.25" x14ac:dyDescent="0.45"/>
    <row r="3128" ht="14.25" x14ac:dyDescent="0.45"/>
    <row r="3129" ht="14.25" x14ac:dyDescent="0.45"/>
    <row r="3130" ht="14.25" x14ac:dyDescent="0.45"/>
    <row r="3131" ht="14.25" x14ac:dyDescent="0.45"/>
    <row r="3132" ht="14.25" x14ac:dyDescent="0.45"/>
    <row r="3133" ht="14.25" x14ac:dyDescent="0.45"/>
    <row r="3134" ht="14.25" x14ac:dyDescent="0.45"/>
    <row r="3135" ht="14.25" x14ac:dyDescent="0.45"/>
    <row r="3136" ht="14.25" x14ac:dyDescent="0.45"/>
    <row r="3137" ht="14.25" x14ac:dyDescent="0.45"/>
    <row r="3138" ht="14.25" x14ac:dyDescent="0.45"/>
    <row r="3139" ht="14.25" x14ac:dyDescent="0.45"/>
    <row r="3140" ht="14.25" x14ac:dyDescent="0.45"/>
    <row r="3141" ht="14.25" x14ac:dyDescent="0.45"/>
    <row r="3142" ht="14.25" x14ac:dyDescent="0.45"/>
    <row r="3143" ht="14.25" x14ac:dyDescent="0.45"/>
    <row r="3144" ht="14.25" x14ac:dyDescent="0.45"/>
    <row r="3145" ht="14.25" x14ac:dyDescent="0.45"/>
    <row r="3146" ht="14.25" x14ac:dyDescent="0.45"/>
    <row r="3147" ht="14.25" x14ac:dyDescent="0.45"/>
    <row r="3148" ht="14.25" x14ac:dyDescent="0.45"/>
    <row r="3149" ht="14.25" x14ac:dyDescent="0.45"/>
    <row r="3150" ht="14.25" x14ac:dyDescent="0.45"/>
    <row r="3151" ht="14.25" x14ac:dyDescent="0.45"/>
    <row r="3152" ht="14.25" x14ac:dyDescent="0.45"/>
    <row r="3153" ht="14.25" x14ac:dyDescent="0.45"/>
    <row r="3154" ht="14.25" x14ac:dyDescent="0.45"/>
    <row r="3155" ht="14.25" x14ac:dyDescent="0.45"/>
    <row r="3156" ht="14.25" x14ac:dyDescent="0.45"/>
    <row r="3157" ht="14.25" x14ac:dyDescent="0.45"/>
    <row r="3158" ht="14.25" x14ac:dyDescent="0.45"/>
    <row r="3159" ht="14.25" x14ac:dyDescent="0.45"/>
    <row r="3160" ht="14.25" x14ac:dyDescent="0.45"/>
    <row r="3161" ht="14.25" x14ac:dyDescent="0.45"/>
    <row r="3162" ht="14.25" x14ac:dyDescent="0.45"/>
    <row r="3163" ht="14.25" x14ac:dyDescent="0.45"/>
    <row r="3164" ht="14.25" x14ac:dyDescent="0.45"/>
    <row r="3165" ht="14.25" x14ac:dyDescent="0.45"/>
    <row r="3166" ht="14.25" x14ac:dyDescent="0.45"/>
    <row r="3167" ht="14.25" x14ac:dyDescent="0.45"/>
    <row r="3168" ht="14.25" x14ac:dyDescent="0.45"/>
    <row r="3169" ht="14.25" x14ac:dyDescent="0.45"/>
    <row r="3170" ht="14.25" x14ac:dyDescent="0.45"/>
    <row r="3171" ht="14.25" x14ac:dyDescent="0.45"/>
    <row r="3172" ht="14.25" x14ac:dyDescent="0.45"/>
    <row r="3173" ht="14.25" x14ac:dyDescent="0.45"/>
    <row r="3174" ht="14.25" x14ac:dyDescent="0.45"/>
    <row r="3175" ht="14.25" x14ac:dyDescent="0.45"/>
    <row r="3176" ht="14.25" x14ac:dyDescent="0.45"/>
    <row r="3177" ht="14.25" x14ac:dyDescent="0.45"/>
    <row r="3178" ht="14.25" x14ac:dyDescent="0.45"/>
    <row r="3179" ht="14.25" x14ac:dyDescent="0.45"/>
    <row r="3180" ht="14.25" x14ac:dyDescent="0.45"/>
    <row r="3181" ht="14.25" x14ac:dyDescent="0.45"/>
    <row r="3182" ht="14.25" x14ac:dyDescent="0.45"/>
    <row r="3183" ht="14.25" x14ac:dyDescent="0.45"/>
    <row r="3184" ht="14.25" x14ac:dyDescent="0.45"/>
    <row r="3185" ht="14.25" x14ac:dyDescent="0.45"/>
    <row r="3186" ht="14.25" x14ac:dyDescent="0.45"/>
    <row r="3187" ht="14.25" x14ac:dyDescent="0.45"/>
    <row r="3188" ht="14.25" x14ac:dyDescent="0.45"/>
    <row r="3189" ht="14.25" x14ac:dyDescent="0.45"/>
    <row r="3190" ht="14.25" x14ac:dyDescent="0.45"/>
    <row r="3191" ht="14.25" x14ac:dyDescent="0.45"/>
    <row r="3192" ht="14.25" x14ac:dyDescent="0.45"/>
    <row r="3193" ht="14.25" x14ac:dyDescent="0.45"/>
    <row r="3194" ht="14.25" x14ac:dyDescent="0.45"/>
    <row r="3195" ht="14.25" x14ac:dyDescent="0.45"/>
    <row r="3196" ht="14.25" x14ac:dyDescent="0.45"/>
    <row r="3197" ht="14.25" x14ac:dyDescent="0.45"/>
    <row r="3198" ht="14.25" x14ac:dyDescent="0.45"/>
    <row r="3199" ht="14.25" x14ac:dyDescent="0.45"/>
    <row r="3200" ht="14.25" x14ac:dyDescent="0.45"/>
    <row r="3201" ht="14.25" x14ac:dyDescent="0.45"/>
    <row r="3202" ht="14.25" x14ac:dyDescent="0.45"/>
    <row r="3203" ht="14.25" x14ac:dyDescent="0.45"/>
    <row r="3204" ht="14.25" x14ac:dyDescent="0.45"/>
    <row r="3205" ht="14.25" x14ac:dyDescent="0.45"/>
    <row r="3206" ht="14.25" x14ac:dyDescent="0.45"/>
    <row r="3207" ht="14.25" x14ac:dyDescent="0.45"/>
    <row r="3208" ht="14.25" x14ac:dyDescent="0.45"/>
    <row r="3209" ht="14.25" x14ac:dyDescent="0.45"/>
    <row r="3210" ht="14.25" x14ac:dyDescent="0.45"/>
    <row r="3211" ht="14.25" x14ac:dyDescent="0.45"/>
    <row r="3212" ht="14.25" x14ac:dyDescent="0.45"/>
    <row r="3213" ht="14.25" x14ac:dyDescent="0.45"/>
    <row r="3214" ht="14.25" x14ac:dyDescent="0.45"/>
    <row r="3215" ht="14.25" x14ac:dyDescent="0.45"/>
    <row r="3216" ht="14.25" x14ac:dyDescent="0.45"/>
    <row r="3217" ht="14.25" x14ac:dyDescent="0.45"/>
    <row r="3218" ht="14.25" x14ac:dyDescent="0.45"/>
    <row r="3219" ht="14.25" x14ac:dyDescent="0.45"/>
    <row r="3220" ht="14.25" x14ac:dyDescent="0.45"/>
    <row r="3221" ht="14.25" x14ac:dyDescent="0.45"/>
    <row r="3222" ht="14.25" x14ac:dyDescent="0.45"/>
    <row r="3223" ht="14.25" x14ac:dyDescent="0.45"/>
    <row r="3224" ht="14.25" x14ac:dyDescent="0.45"/>
    <row r="3225" ht="14.25" x14ac:dyDescent="0.45"/>
    <row r="3226" ht="14.25" x14ac:dyDescent="0.45"/>
    <row r="3227" ht="14.25" x14ac:dyDescent="0.45"/>
    <row r="3228" ht="14.25" x14ac:dyDescent="0.45"/>
    <row r="3229" ht="14.25" x14ac:dyDescent="0.45"/>
    <row r="3230" ht="14.25" x14ac:dyDescent="0.45"/>
    <row r="3231" ht="14.25" x14ac:dyDescent="0.45"/>
    <row r="3232" ht="14.25" x14ac:dyDescent="0.45"/>
    <row r="3233" ht="14.25" x14ac:dyDescent="0.45"/>
    <row r="3234" ht="14.25" x14ac:dyDescent="0.45"/>
    <row r="3235" ht="14.25" x14ac:dyDescent="0.45"/>
    <row r="3236" ht="14.25" x14ac:dyDescent="0.45"/>
    <row r="3237" ht="14.25" x14ac:dyDescent="0.45"/>
    <row r="3238" ht="14.25" x14ac:dyDescent="0.45"/>
    <row r="3239" ht="14.25" x14ac:dyDescent="0.45"/>
    <row r="3240" ht="14.25" x14ac:dyDescent="0.45"/>
    <row r="3241" ht="14.25" x14ac:dyDescent="0.45"/>
    <row r="3242" ht="14.25" x14ac:dyDescent="0.45"/>
    <row r="3243" ht="14.25" x14ac:dyDescent="0.45"/>
    <row r="3244" ht="14.25" x14ac:dyDescent="0.45"/>
    <row r="3245" ht="14.25" x14ac:dyDescent="0.45"/>
    <row r="3246" ht="14.25" x14ac:dyDescent="0.45"/>
    <row r="3247" ht="14.25" x14ac:dyDescent="0.45"/>
    <row r="3248" ht="14.25" x14ac:dyDescent="0.45"/>
    <row r="3249" ht="14.25" x14ac:dyDescent="0.45"/>
    <row r="3250" ht="14.25" x14ac:dyDescent="0.45"/>
    <row r="3251" ht="14.25" x14ac:dyDescent="0.45"/>
    <row r="3252" ht="14.25" x14ac:dyDescent="0.45"/>
    <row r="3253" ht="14.25" x14ac:dyDescent="0.45"/>
    <row r="3254" ht="14.25" x14ac:dyDescent="0.45"/>
    <row r="3255" ht="14.25" x14ac:dyDescent="0.45"/>
    <row r="3256" ht="14.25" x14ac:dyDescent="0.45"/>
    <row r="3257" ht="14.25" x14ac:dyDescent="0.45"/>
    <row r="3258" ht="14.25" x14ac:dyDescent="0.45"/>
    <row r="3259" ht="14.25" x14ac:dyDescent="0.45"/>
    <row r="3260" ht="14.25" x14ac:dyDescent="0.45"/>
    <row r="3261" ht="14.25" x14ac:dyDescent="0.45"/>
    <row r="3262" ht="14.25" x14ac:dyDescent="0.45"/>
    <row r="3263" ht="14.25" x14ac:dyDescent="0.45"/>
    <row r="3264" ht="14.25" x14ac:dyDescent="0.45"/>
    <row r="3265" ht="14.25" x14ac:dyDescent="0.45"/>
    <row r="3266" ht="14.25" x14ac:dyDescent="0.45"/>
    <row r="3267" ht="14.25" x14ac:dyDescent="0.45"/>
    <row r="3268" ht="14.25" x14ac:dyDescent="0.45"/>
    <row r="3269" ht="14.25" x14ac:dyDescent="0.45"/>
    <row r="3270" ht="14.25" x14ac:dyDescent="0.45"/>
    <row r="3271" ht="14.25" x14ac:dyDescent="0.45"/>
    <row r="3272" ht="14.25" x14ac:dyDescent="0.45"/>
    <row r="3273" ht="14.25" x14ac:dyDescent="0.45"/>
    <row r="3274" ht="14.25" x14ac:dyDescent="0.45"/>
    <row r="3275" ht="14.25" x14ac:dyDescent="0.45"/>
    <row r="3276" ht="14.25" x14ac:dyDescent="0.45"/>
    <row r="3277" ht="14.25" x14ac:dyDescent="0.45"/>
    <row r="3278" ht="14.25" x14ac:dyDescent="0.45"/>
    <row r="3279" ht="14.25" x14ac:dyDescent="0.45"/>
    <row r="3280" ht="14.25" x14ac:dyDescent="0.45"/>
    <row r="3281" ht="14.25" x14ac:dyDescent="0.45"/>
    <row r="3282" ht="14.25" x14ac:dyDescent="0.45"/>
    <row r="3283" ht="14.25" x14ac:dyDescent="0.45"/>
    <row r="3284" ht="14.25" x14ac:dyDescent="0.45"/>
    <row r="3285" ht="14.25" x14ac:dyDescent="0.45"/>
    <row r="3286" ht="14.25" x14ac:dyDescent="0.45"/>
    <row r="3287" ht="14.25" x14ac:dyDescent="0.45"/>
    <row r="3288" ht="14.25" x14ac:dyDescent="0.45"/>
    <row r="3289" ht="14.25" x14ac:dyDescent="0.45"/>
    <row r="3290" ht="14.25" x14ac:dyDescent="0.45"/>
    <row r="3291" ht="14.25" x14ac:dyDescent="0.45"/>
    <row r="3292" ht="14.25" x14ac:dyDescent="0.45"/>
    <row r="3293" ht="14.25" x14ac:dyDescent="0.45"/>
    <row r="3294" ht="14.25" x14ac:dyDescent="0.45"/>
    <row r="3295" ht="14.25" x14ac:dyDescent="0.45"/>
    <row r="3296" ht="14.25" x14ac:dyDescent="0.45"/>
    <row r="3297" ht="14.25" x14ac:dyDescent="0.45"/>
    <row r="3298" ht="14.25" x14ac:dyDescent="0.45"/>
    <row r="3299" ht="14.25" x14ac:dyDescent="0.45"/>
    <row r="3300" ht="14.25" x14ac:dyDescent="0.45"/>
    <row r="3301" ht="14.25" x14ac:dyDescent="0.45"/>
    <row r="3302" ht="14.25" x14ac:dyDescent="0.45"/>
    <row r="3303" ht="14.25" x14ac:dyDescent="0.45"/>
    <row r="3304" ht="14.25" x14ac:dyDescent="0.45"/>
    <row r="3305" ht="14.25" x14ac:dyDescent="0.45"/>
    <row r="3306" ht="14.25" x14ac:dyDescent="0.45"/>
    <row r="3307" ht="14.25" x14ac:dyDescent="0.45"/>
    <row r="3308" ht="14.25" x14ac:dyDescent="0.45"/>
    <row r="3309" ht="14.25" x14ac:dyDescent="0.45"/>
    <row r="3310" ht="14.25" x14ac:dyDescent="0.45"/>
    <row r="3311" ht="14.25" x14ac:dyDescent="0.45"/>
    <row r="3312" ht="14.25" x14ac:dyDescent="0.45"/>
    <row r="3313" ht="14.25" x14ac:dyDescent="0.45"/>
    <row r="3314" ht="14.25" x14ac:dyDescent="0.45"/>
    <row r="3315" ht="14.25" x14ac:dyDescent="0.45"/>
    <row r="3316" ht="14.25" x14ac:dyDescent="0.45"/>
    <row r="3317" ht="14.25" x14ac:dyDescent="0.45"/>
    <row r="3318" ht="14.25" x14ac:dyDescent="0.45"/>
    <row r="3319" ht="14.25" x14ac:dyDescent="0.45"/>
    <row r="3320" ht="14.25" x14ac:dyDescent="0.45"/>
    <row r="3321" ht="14.25" x14ac:dyDescent="0.45"/>
    <row r="3322" ht="14.25" x14ac:dyDescent="0.45"/>
    <row r="3323" ht="14.25" x14ac:dyDescent="0.45"/>
    <row r="3324" ht="14.25" x14ac:dyDescent="0.45"/>
    <row r="3325" ht="14.25" x14ac:dyDescent="0.45"/>
    <row r="3326" ht="14.25" x14ac:dyDescent="0.45"/>
    <row r="3327" ht="14.25" x14ac:dyDescent="0.45"/>
    <row r="3328" ht="14.25" x14ac:dyDescent="0.45"/>
    <row r="3329" ht="14.25" x14ac:dyDescent="0.45"/>
    <row r="3330" ht="14.25" x14ac:dyDescent="0.45"/>
    <row r="3331" ht="14.25" x14ac:dyDescent="0.45"/>
    <row r="3332" ht="14.25" x14ac:dyDescent="0.45"/>
    <row r="3333" ht="14.25" x14ac:dyDescent="0.45"/>
    <row r="3334" ht="14.25" x14ac:dyDescent="0.45"/>
    <row r="3335" ht="14.25" x14ac:dyDescent="0.45"/>
    <row r="3336" ht="14.25" x14ac:dyDescent="0.45"/>
    <row r="3337" ht="14.25" x14ac:dyDescent="0.45"/>
    <row r="3338" ht="14.25" x14ac:dyDescent="0.45"/>
    <row r="3339" ht="14.25" x14ac:dyDescent="0.45"/>
    <row r="3340" ht="14.25" x14ac:dyDescent="0.45"/>
    <row r="3341" ht="14.25" x14ac:dyDescent="0.45"/>
    <row r="3342" ht="14.25" x14ac:dyDescent="0.45"/>
    <row r="3343" ht="14.25" x14ac:dyDescent="0.45"/>
    <row r="3344" ht="14.25" x14ac:dyDescent="0.45"/>
    <row r="3345" ht="14.25" x14ac:dyDescent="0.45"/>
    <row r="3346" ht="14.25" x14ac:dyDescent="0.45"/>
    <row r="3347" ht="14.25" x14ac:dyDescent="0.45"/>
    <row r="3348" ht="14.25" x14ac:dyDescent="0.45"/>
    <row r="3349" ht="14.25" x14ac:dyDescent="0.45"/>
    <row r="3350" ht="14.25" x14ac:dyDescent="0.45"/>
    <row r="3351" ht="14.25" x14ac:dyDescent="0.45"/>
    <row r="3352" ht="14.25" x14ac:dyDescent="0.45"/>
    <row r="3353" ht="14.25" x14ac:dyDescent="0.45"/>
    <row r="3354" ht="14.25" x14ac:dyDescent="0.45"/>
    <row r="3355" ht="14.25" x14ac:dyDescent="0.45"/>
    <row r="3356" ht="14.25" x14ac:dyDescent="0.45"/>
    <row r="3357" ht="14.25" x14ac:dyDescent="0.45"/>
    <row r="3358" ht="14.25" x14ac:dyDescent="0.45"/>
    <row r="3359" ht="14.25" x14ac:dyDescent="0.45"/>
    <row r="3360" ht="14.25" x14ac:dyDescent="0.45"/>
    <row r="3361" ht="14.25" x14ac:dyDescent="0.45"/>
    <row r="3362" ht="14.25" x14ac:dyDescent="0.45"/>
    <row r="3363" ht="14.25" x14ac:dyDescent="0.45"/>
    <row r="3364" ht="14.25" x14ac:dyDescent="0.45"/>
    <row r="3365" ht="14.25" x14ac:dyDescent="0.45"/>
    <row r="3366" ht="14.25" x14ac:dyDescent="0.45"/>
    <row r="3367" ht="14.25" x14ac:dyDescent="0.45"/>
    <row r="3368" ht="14.25" x14ac:dyDescent="0.45"/>
    <row r="3369" ht="14.25" x14ac:dyDescent="0.45"/>
    <row r="3370" ht="14.25" x14ac:dyDescent="0.45"/>
    <row r="3371" ht="14.25" x14ac:dyDescent="0.45"/>
    <row r="3372" ht="14.25" x14ac:dyDescent="0.45"/>
    <row r="3373" ht="14.25" x14ac:dyDescent="0.45"/>
    <row r="3374" ht="14.25" x14ac:dyDescent="0.45"/>
    <row r="3375" ht="14.25" x14ac:dyDescent="0.45"/>
    <row r="3376" ht="14.25" x14ac:dyDescent="0.45"/>
    <row r="3377" ht="14.25" x14ac:dyDescent="0.45"/>
    <row r="3378" ht="14.25" x14ac:dyDescent="0.45"/>
    <row r="3379" ht="14.25" x14ac:dyDescent="0.45"/>
    <row r="3380" ht="14.25" x14ac:dyDescent="0.45"/>
    <row r="3381" ht="14.25" x14ac:dyDescent="0.45"/>
    <row r="3382" ht="14.25" x14ac:dyDescent="0.45"/>
    <row r="3383" ht="14.25" x14ac:dyDescent="0.45"/>
    <row r="3384" ht="14.25" x14ac:dyDescent="0.45"/>
    <row r="3385" ht="14.25" x14ac:dyDescent="0.45"/>
    <row r="3386" ht="14.25" x14ac:dyDescent="0.45"/>
    <row r="3387" ht="14.25" x14ac:dyDescent="0.45"/>
    <row r="3388" ht="14.25" x14ac:dyDescent="0.45"/>
    <row r="3389" ht="14.25" x14ac:dyDescent="0.45"/>
    <row r="3390" ht="14.25" x14ac:dyDescent="0.45"/>
    <row r="3391" ht="14.25" x14ac:dyDescent="0.45"/>
    <row r="3392" ht="14.25" x14ac:dyDescent="0.45"/>
    <row r="3393" ht="14.25" x14ac:dyDescent="0.45"/>
    <row r="3394" ht="14.25" x14ac:dyDescent="0.45"/>
    <row r="3395" ht="14.25" x14ac:dyDescent="0.45"/>
    <row r="3396" ht="14.25" x14ac:dyDescent="0.45"/>
    <row r="3397" ht="14.25" x14ac:dyDescent="0.45"/>
    <row r="3398" ht="14.25" x14ac:dyDescent="0.45"/>
    <row r="3399" ht="14.25" x14ac:dyDescent="0.45"/>
    <row r="3400" ht="14.25" x14ac:dyDescent="0.45"/>
    <row r="3401" ht="14.25" x14ac:dyDescent="0.45"/>
    <row r="3402" ht="14.25" x14ac:dyDescent="0.45"/>
    <row r="3403" ht="14.25" x14ac:dyDescent="0.45"/>
    <row r="3404" ht="14.25" x14ac:dyDescent="0.45"/>
    <row r="3405" ht="14.25" x14ac:dyDescent="0.45"/>
    <row r="3406" ht="14.25" x14ac:dyDescent="0.45"/>
    <row r="3407" ht="14.25" x14ac:dyDescent="0.45"/>
    <row r="3408" ht="14.25" x14ac:dyDescent="0.45"/>
    <row r="3409" ht="14.25" x14ac:dyDescent="0.45"/>
    <row r="3410" ht="14.25" x14ac:dyDescent="0.45"/>
    <row r="3411" ht="14.25" x14ac:dyDescent="0.45"/>
    <row r="3412" ht="14.25" x14ac:dyDescent="0.45"/>
    <row r="3413" ht="14.25" x14ac:dyDescent="0.45"/>
    <row r="3414" ht="14.25" x14ac:dyDescent="0.45"/>
    <row r="3415" ht="14.25" x14ac:dyDescent="0.45"/>
    <row r="3416" ht="14.25" x14ac:dyDescent="0.45"/>
    <row r="3417" ht="14.25" x14ac:dyDescent="0.45"/>
    <row r="3418" ht="14.25" x14ac:dyDescent="0.45"/>
    <row r="3419" ht="14.25" x14ac:dyDescent="0.45"/>
    <row r="3420" ht="14.25" x14ac:dyDescent="0.45"/>
    <row r="3421" ht="14.25" x14ac:dyDescent="0.45"/>
    <row r="3422" ht="14.25" x14ac:dyDescent="0.45"/>
    <row r="3423" ht="14.25" x14ac:dyDescent="0.45"/>
    <row r="3424" ht="14.25" x14ac:dyDescent="0.45"/>
    <row r="3425" ht="14.25" x14ac:dyDescent="0.45"/>
    <row r="3426" ht="14.25" x14ac:dyDescent="0.45"/>
    <row r="3427" ht="14.25" x14ac:dyDescent="0.45"/>
    <row r="3428" ht="14.25" x14ac:dyDescent="0.45"/>
    <row r="3429" ht="14.25" x14ac:dyDescent="0.45"/>
    <row r="3430" ht="14.25" x14ac:dyDescent="0.45"/>
    <row r="3431" ht="14.25" x14ac:dyDescent="0.45"/>
    <row r="3432" ht="14.25" x14ac:dyDescent="0.45"/>
    <row r="3433" ht="14.25" x14ac:dyDescent="0.45"/>
    <row r="3434" ht="14.25" x14ac:dyDescent="0.45"/>
    <row r="3435" ht="14.25" x14ac:dyDescent="0.45"/>
    <row r="3436" ht="14.25" x14ac:dyDescent="0.45"/>
    <row r="3437" ht="14.25" x14ac:dyDescent="0.45"/>
    <row r="3438" ht="14.25" x14ac:dyDescent="0.45"/>
    <row r="3439" ht="14.25" x14ac:dyDescent="0.45"/>
    <row r="3440" ht="14.25" x14ac:dyDescent="0.45"/>
    <row r="3441" ht="14.25" x14ac:dyDescent="0.45"/>
    <row r="3442" ht="14.25" x14ac:dyDescent="0.45"/>
    <row r="3443" ht="14.25" x14ac:dyDescent="0.45"/>
    <row r="3444" ht="14.25" x14ac:dyDescent="0.45"/>
    <row r="3445" ht="14.25" x14ac:dyDescent="0.45"/>
    <row r="3446" ht="14.25" x14ac:dyDescent="0.45"/>
    <row r="3447" ht="14.25" x14ac:dyDescent="0.45"/>
    <row r="3448" ht="14.25" x14ac:dyDescent="0.45"/>
    <row r="3449" ht="14.25" x14ac:dyDescent="0.45"/>
    <row r="3450" ht="14.25" x14ac:dyDescent="0.45"/>
    <row r="3451" ht="14.25" x14ac:dyDescent="0.45"/>
    <row r="3452" ht="14.25" x14ac:dyDescent="0.45"/>
    <row r="3453" ht="14.25" x14ac:dyDescent="0.45"/>
    <row r="3454" ht="14.25" x14ac:dyDescent="0.45"/>
    <row r="3455" ht="14.25" x14ac:dyDescent="0.45"/>
    <row r="3456" ht="14.25" x14ac:dyDescent="0.45"/>
    <row r="3457" ht="14.25" x14ac:dyDescent="0.45"/>
    <row r="3458" ht="14.25" x14ac:dyDescent="0.45"/>
    <row r="3459" ht="14.25" x14ac:dyDescent="0.45"/>
    <row r="3460" ht="14.25" x14ac:dyDescent="0.45"/>
    <row r="3461" ht="14.25" x14ac:dyDescent="0.45"/>
    <row r="3462" ht="14.25" x14ac:dyDescent="0.45"/>
    <row r="3463" ht="14.25" x14ac:dyDescent="0.45"/>
    <row r="3464" ht="14.25" x14ac:dyDescent="0.45"/>
    <row r="3465" ht="14.25" x14ac:dyDescent="0.45"/>
    <row r="3466" ht="14.25" x14ac:dyDescent="0.45"/>
    <row r="3467" ht="14.25" x14ac:dyDescent="0.45"/>
    <row r="3468" ht="14.25" x14ac:dyDescent="0.45"/>
    <row r="3469" ht="14.25" x14ac:dyDescent="0.45"/>
    <row r="3470" ht="14.25" x14ac:dyDescent="0.45"/>
    <row r="3471" ht="14.25" x14ac:dyDescent="0.45"/>
    <row r="3472" ht="14.25" x14ac:dyDescent="0.45"/>
    <row r="3473" ht="14.25" x14ac:dyDescent="0.45"/>
    <row r="3474" ht="14.25" x14ac:dyDescent="0.45"/>
    <row r="3475" ht="14.25" x14ac:dyDescent="0.45"/>
    <row r="3476" ht="14.25" x14ac:dyDescent="0.45"/>
    <row r="3477" ht="14.25" x14ac:dyDescent="0.45"/>
    <row r="3478" ht="14.25" x14ac:dyDescent="0.45"/>
    <row r="3479" ht="14.25" x14ac:dyDescent="0.45"/>
    <row r="3480" ht="14.25" x14ac:dyDescent="0.45"/>
    <row r="3481" ht="14.25" x14ac:dyDescent="0.45"/>
    <row r="3482" ht="14.25" x14ac:dyDescent="0.45"/>
    <row r="3483" ht="14.25" x14ac:dyDescent="0.45"/>
    <row r="3484" ht="14.25" x14ac:dyDescent="0.45"/>
    <row r="3485" ht="14.25" x14ac:dyDescent="0.45"/>
    <row r="3486" ht="14.25" x14ac:dyDescent="0.45"/>
    <row r="3487" ht="14.25" x14ac:dyDescent="0.45"/>
    <row r="3488" ht="14.25" x14ac:dyDescent="0.45"/>
    <row r="3489" ht="14.25" x14ac:dyDescent="0.45"/>
    <row r="3490" ht="14.25" x14ac:dyDescent="0.45"/>
    <row r="3491" ht="14.25" x14ac:dyDescent="0.45"/>
    <row r="3492" ht="14.25" x14ac:dyDescent="0.45"/>
    <row r="3493" ht="14.25" x14ac:dyDescent="0.45"/>
    <row r="3494" ht="14.25" x14ac:dyDescent="0.45"/>
    <row r="3495" ht="14.25" x14ac:dyDescent="0.45"/>
    <row r="3496" ht="14.25" x14ac:dyDescent="0.45"/>
    <row r="3497" ht="14.25" x14ac:dyDescent="0.45"/>
    <row r="3498" ht="14.25" x14ac:dyDescent="0.45"/>
    <row r="3499" ht="14.25" x14ac:dyDescent="0.45"/>
    <row r="3500" ht="14.25" x14ac:dyDescent="0.45"/>
    <row r="3501" ht="14.25" x14ac:dyDescent="0.45"/>
    <row r="3502" ht="14.25" x14ac:dyDescent="0.45"/>
    <row r="3503" ht="14.25" x14ac:dyDescent="0.45"/>
    <row r="3504" ht="14.25" x14ac:dyDescent="0.45"/>
    <row r="3505" ht="14.25" x14ac:dyDescent="0.45"/>
    <row r="3506" ht="14.25" x14ac:dyDescent="0.45"/>
    <row r="3507" ht="14.25" x14ac:dyDescent="0.45"/>
    <row r="3508" ht="14.25" x14ac:dyDescent="0.45"/>
    <row r="3509" ht="14.25" x14ac:dyDescent="0.45"/>
    <row r="3510" ht="14.25" x14ac:dyDescent="0.45"/>
    <row r="3511" ht="14.25" x14ac:dyDescent="0.45"/>
    <row r="3512" ht="14.25" x14ac:dyDescent="0.45"/>
    <row r="3513" ht="14.25" x14ac:dyDescent="0.45"/>
    <row r="3514" ht="14.25" x14ac:dyDescent="0.45"/>
    <row r="3515" ht="14.25" x14ac:dyDescent="0.45"/>
    <row r="3516" ht="14.25" x14ac:dyDescent="0.45"/>
    <row r="3517" ht="14.25" x14ac:dyDescent="0.45"/>
    <row r="3518" ht="14.25" x14ac:dyDescent="0.45"/>
    <row r="3519" ht="14.25" x14ac:dyDescent="0.45"/>
    <row r="3520" ht="14.25" x14ac:dyDescent="0.45"/>
    <row r="3521" ht="14.25" x14ac:dyDescent="0.45"/>
    <row r="3522" ht="14.25" x14ac:dyDescent="0.45"/>
    <row r="3523" ht="14.25" x14ac:dyDescent="0.45"/>
    <row r="3524" ht="14.25" x14ac:dyDescent="0.45"/>
    <row r="3525" ht="14.25" x14ac:dyDescent="0.45"/>
    <row r="3526" ht="14.25" x14ac:dyDescent="0.45"/>
    <row r="3527" ht="14.25" x14ac:dyDescent="0.45"/>
    <row r="3528" ht="14.25" x14ac:dyDescent="0.45"/>
    <row r="3529" ht="14.25" x14ac:dyDescent="0.45"/>
    <row r="3530" ht="14.25" x14ac:dyDescent="0.45"/>
    <row r="3531" ht="14.25" x14ac:dyDescent="0.45"/>
    <row r="3532" ht="14.25" x14ac:dyDescent="0.45"/>
    <row r="3533" ht="14.25" x14ac:dyDescent="0.45"/>
    <row r="3534" ht="14.25" x14ac:dyDescent="0.45"/>
    <row r="3535" ht="14.25" x14ac:dyDescent="0.45"/>
    <row r="3536" ht="14.25" x14ac:dyDescent="0.45"/>
    <row r="3537" ht="14.25" x14ac:dyDescent="0.45"/>
    <row r="3538" ht="14.25" x14ac:dyDescent="0.45"/>
    <row r="3539" ht="14.25" x14ac:dyDescent="0.45"/>
    <row r="3540" ht="14.25" x14ac:dyDescent="0.45"/>
    <row r="3541" ht="14.25" x14ac:dyDescent="0.45"/>
    <row r="3542" ht="14.25" x14ac:dyDescent="0.45"/>
    <row r="3543" ht="14.25" x14ac:dyDescent="0.45"/>
    <row r="3544" ht="14.25" x14ac:dyDescent="0.45"/>
    <row r="3545" ht="14.25" x14ac:dyDescent="0.45"/>
    <row r="3546" ht="14.25" x14ac:dyDescent="0.45"/>
    <row r="3547" ht="14.25" x14ac:dyDescent="0.45"/>
    <row r="3548" ht="14.25" x14ac:dyDescent="0.45"/>
    <row r="3549" ht="14.25" x14ac:dyDescent="0.45"/>
    <row r="3550" ht="14.25" x14ac:dyDescent="0.45"/>
    <row r="3551" ht="14.25" x14ac:dyDescent="0.45"/>
    <row r="3552" ht="14.25" x14ac:dyDescent="0.45"/>
    <row r="3553" ht="14.25" x14ac:dyDescent="0.45"/>
    <row r="3554" ht="14.25" x14ac:dyDescent="0.45"/>
    <row r="3555" ht="14.25" x14ac:dyDescent="0.45"/>
    <row r="3556" ht="14.25" x14ac:dyDescent="0.45"/>
    <row r="3557" ht="14.25" x14ac:dyDescent="0.45"/>
    <row r="3558" ht="14.25" x14ac:dyDescent="0.45"/>
    <row r="3559" ht="14.25" x14ac:dyDescent="0.45"/>
    <row r="3560" ht="14.25" x14ac:dyDescent="0.45"/>
    <row r="3561" ht="14.25" x14ac:dyDescent="0.45"/>
    <row r="3562" ht="14.25" x14ac:dyDescent="0.45"/>
    <row r="3563" ht="14.25" x14ac:dyDescent="0.45"/>
    <row r="3564" ht="14.25" x14ac:dyDescent="0.45"/>
    <row r="3565" ht="14.25" x14ac:dyDescent="0.45"/>
    <row r="3566" ht="14.25" x14ac:dyDescent="0.45"/>
    <row r="3567" ht="14.25" x14ac:dyDescent="0.45"/>
    <row r="3568" ht="14.25" x14ac:dyDescent="0.45"/>
    <row r="3569" ht="14.25" x14ac:dyDescent="0.45"/>
    <row r="3570" ht="14.25" x14ac:dyDescent="0.45"/>
    <row r="3571" ht="14.25" x14ac:dyDescent="0.45"/>
    <row r="3572" ht="14.25" x14ac:dyDescent="0.45"/>
    <row r="3573" ht="14.25" x14ac:dyDescent="0.45"/>
    <row r="3574" ht="14.25" x14ac:dyDescent="0.45"/>
    <row r="3575" ht="14.25" x14ac:dyDescent="0.45"/>
    <row r="3576" ht="14.25" x14ac:dyDescent="0.45"/>
    <row r="3577" ht="14.25" x14ac:dyDescent="0.45"/>
    <row r="3578" ht="14.25" x14ac:dyDescent="0.45"/>
    <row r="3579" ht="14.25" x14ac:dyDescent="0.45"/>
    <row r="3580" ht="14.25" x14ac:dyDescent="0.45"/>
    <row r="3581" ht="14.25" x14ac:dyDescent="0.45"/>
    <row r="3582" ht="14.25" x14ac:dyDescent="0.45"/>
    <row r="3583" ht="14.25" x14ac:dyDescent="0.45"/>
    <row r="3584" ht="14.25" x14ac:dyDescent="0.45"/>
    <row r="3585" ht="14.25" x14ac:dyDescent="0.45"/>
    <row r="3586" ht="14.25" x14ac:dyDescent="0.45"/>
    <row r="3587" ht="14.25" x14ac:dyDescent="0.45"/>
    <row r="3588" ht="14.25" x14ac:dyDescent="0.45"/>
    <row r="3589" ht="14.25" x14ac:dyDescent="0.45"/>
    <row r="3590" ht="14.25" x14ac:dyDescent="0.45"/>
    <row r="3591" ht="14.25" x14ac:dyDescent="0.45"/>
    <row r="3592" ht="14.25" x14ac:dyDescent="0.45"/>
    <row r="3593" ht="14.25" x14ac:dyDescent="0.45"/>
    <row r="3594" ht="14.25" x14ac:dyDescent="0.45"/>
    <row r="3595" ht="14.25" x14ac:dyDescent="0.45"/>
    <row r="3596" ht="14.25" x14ac:dyDescent="0.45"/>
    <row r="3597" ht="14.25" x14ac:dyDescent="0.45"/>
    <row r="3598" ht="14.25" x14ac:dyDescent="0.45"/>
    <row r="3599" ht="14.25" x14ac:dyDescent="0.45"/>
    <row r="3600" ht="14.25" x14ac:dyDescent="0.45"/>
    <row r="3601" ht="14.25" x14ac:dyDescent="0.45"/>
    <row r="3602" ht="14.25" x14ac:dyDescent="0.45"/>
    <row r="3603" ht="14.25" x14ac:dyDescent="0.45"/>
    <row r="3604" ht="14.25" x14ac:dyDescent="0.45"/>
    <row r="3605" ht="14.25" x14ac:dyDescent="0.45"/>
    <row r="3606" ht="14.25" x14ac:dyDescent="0.45"/>
    <row r="3607" ht="14.25" x14ac:dyDescent="0.45"/>
    <row r="3608" ht="14.25" x14ac:dyDescent="0.45"/>
    <row r="3609" ht="14.25" x14ac:dyDescent="0.45"/>
    <row r="3610" ht="14.25" x14ac:dyDescent="0.45"/>
    <row r="3611" ht="14.25" x14ac:dyDescent="0.45"/>
    <row r="3612" ht="14.25" x14ac:dyDescent="0.45"/>
    <row r="3613" ht="14.25" x14ac:dyDescent="0.45"/>
    <row r="3614" ht="14.25" x14ac:dyDescent="0.45"/>
    <row r="3615" ht="14.25" x14ac:dyDescent="0.45"/>
    <row r="3616" ht="14.25" x14ac:dyDescent="0.45"/>
    <row r="3617" ht="14.25" x14ac:dyDescent="0.45"/>
    <row r="3618" ht="14.25" x14ac:dyDescent="0.45"/>
    <row r="3619" ht="14.25" x14ac:dyDescent="0.45"/>
    <row r="3620" ht="14.25" x14ac:dyDescent="0.45"/>
    <row r="3621" ht="14.25" x14ac:dyDescent="0.45"/>
    <row r="3622" ht="14.25" x14ac:dyDescent="0.45"/>
    <row r="3623" ht="14.25" x14ac:dyDescent="0.45"/>
    <row r="3624" ht="14.25" x14ac:dyDescent="0.45"/>
    <row r="3625" ht="14.25" x14ac:dyDescent="0.45"/>
    <row r="3626" ht="14.25" x14ac:dyDescent="0.45"/>
    <row r="3627" ht="14.25" x14ac:dyDescent="0.45"/>
    <row r="3628" ht="14.25" x14ac:dyDescent="0.45"/>
    <row r="3629" ht="14.25" x14ac:dyDescent="0.45"/>
    <row r="3630" ht="14.25" x14ac:dyDescent="0.45"/>
    <row r="3631" ht="14.25" x14ac:dyDescent="0.45"/>
    <row r="3632" ht="14.25" x14ac:dyDescent="0.45"/>
    <row r="3633" ht="14.25" x14ac:dyDescent="0.45"/>
    <row r="3634" ht="14.25" x14ac:dyDescent="0.45"/>
    <row r="3635" ht="14.25" x14ac:dyDescent="0.45"/>
    <row r="3636" ht="14.25" x14ac:dyDescent="0.45"/>
    <row r="3637" ht="14.25" x14ac:dyDescent="0.45"/>
    <row r="3638" ht="14.25" x14ac:dyDescent="0.45"/>
    <row r="3639" ht="14.25" x14ac:dyDescent="0.45"/>
    <row r="3640" ht="14.25" x14ac:dyDescent="0.45"/>
    <row r="3641" ht="14.25" x14ac:dyDescent="0.45"/>
    <row r="3642" ht="14.25" x14ac:dyDescent="0.45"/>
    <row r="3643" ht="14.25" x14ac:dyDescent="0.45"/>
    <row r="3644" ht="14.25" x14ac:dyDescent="0.45"/>
    <row r="3645" ht="14.25" x14ac:dyDescent="0.45"/>
    <row r="3646" ht="14.25" x14ac:dyDescent="0.45"/>
    <row r="3647" ht="14.25" x14ac:dyDescent="0.45"/>
    <row r="3648" ht="14.25" x14ac:dyDescent="0.45"/>
    <row r="3649" ht="14.25" x14ac:dyDescent="0.45"/>
    <row r="3650" ht="14.25" x14ac:dyDescent="0.45"/>
    <row r="3651" ht="14.25" x14ac:dyDescent="0.45"/>
    <row r="3652" ht="14.25" x14ac:dyDescent="0.45"/>
    <row r="3653" ht="14.25" x14ac:dyDescent="0.45"/>
    <row r="3654" ht="14.25" x14ac:dyDescent="0.45"/>
    <row r="3655" ht="14.25" x14ac:dyDescent="0.45"/>
    <row r="3656" ht="14.25" x14ac:dyDescent="0.45"/>
    <row r="3657" ht="14.25" x14ac:dyDescent="0.45"/>
    <row r="3658" ht="14.25" x14ac:dyDescent="0.45"/>
    <row r="3659" ht="14.25" x14ac:dyDescent="0.45"/>
    <row r="3660" ht="14.25" x14ac:dyDescent="0.45"/>
    <row r="3661" ht="14.25" x14ac:dyDescent="0.45"/>
    <row r="3662" ht="14.25" x14ac:dyDescent="0.45"/>
    <row r="3663" ht="14.25" x14ac:dyDescent="0.45"/>
    <row r="3664" ht="14.25" x14ac:dyDescent="0.45"/>
    <row r="3665" ht="14.25" x14ac:dyDescent="0.45"/>
    <row r="3666" ht="14.25" x14ac:dyDescent="0.45"/>
    <row r="3667" ht="14.25" x14ac:dyDescent="0.45"/>
    <row r="3668" ht="14.25" x14ac:dyDescent="0.45"/>
    <row r="3669" ht="14.25" x14ac:dyDescent="0.45"/>
    <row r="3670" ht="14.25" x14ac:dyDescent="0.45"/>
    <row r="3671" ht="14.25" x14ac:dyDescent="0.45"/>
    <row r="3672" ht="14.25" x14ac:dyDescent="0.45"/>
    <row r="3673" ht="14.25" x14ac:dyDescent="0.45"/>
    <row r="3674" ht="14.25" x14ac:dyDescent="0.45"/>
    <row r="3675" ht="14.25" x14ac:dyDescent="0.45"/>
    <row r="3676" ht="14.25" x14ac:dyDescent="0.45"/>
    <row r="3677" ht="14.25" x14ac:dyDescent="0.45"/>
    <row r="3678" ht="14.25" x14ac:dyDescent="0.45"/>
    <row r="3679" ht="14.25" x14ac:dyDescent="0.45"/>
    <row r="3680" ht="14.25" x14ac:dyDescent="0.45"/>
    <row r="3681" ht="14.25" x14ac:dyDescent="0.45"/>
    <row r="3682" ht="14.25" x14ac:dyDescent="0.45"/>
    <row r="3683" ht="14.25" x14ac:dyDescent="0.45"/>
    <row r="3684" ht="14.25" x14ac:dyDescent="0.45"/>
    <row r="3685" ht="14.25" x14ac:dyDescent="0.45"/>
    <row r="3686" ht="14.25" x14ac:dyDescent="0.45"/>
    <row r="3687" ht="14.25" x14ac:dyDescent="0.45"/>
    <row r="3688" ht="14.25" x14ac:dyDescent="0.45"/>
    <row r="3689" ht="14.25" x14ac:dyDescent="0.45"/>
    <row r="3690" ht="14.25" x14ac:dyDescent="0.45"/>
    <row r="3691" ht="14.25" x14ac:dyDescent="0.45"/>
    <row r="3692" ht="14.25" x14ac:dyDescent="0.45"/>
    <row r="3693" ht="14.25" x14ac:dyDescent="0.45"/>
    <row r="3694" ht="14.25" x14ac:dyDescent="0.45"/>
    <row r="3695" ht="14.25" x14ac:dyDescent="0.45"/>
    <row r="3696" ht="14.25" x14ac:dyDescent="0.45"/>
    <row r="3697" ht="14.25" x14ac:dyDescent="0.45"/>
    <row r="3698" ht="14.25" x14ac:dyDescent="0.45"/>
    <row r="3699" ht="14.25" x14ac:dyDescent="0.45"/>
    <row r="3700" ht="14.25" x14ac:dyDescent="0.45"/>
    <row r="3701" ht="14.25" x14ac:dyDescent="0.45"/>
    <row r="3702" ht="14.25" x14ac:dyDescent="0.45"/>
    <row r="3703" ht="14.25" x14ac:dyDescent="0.45"/>
    <row r="3704" ht="14.25" x14ac:dyDescent="0.45"/>
    <row r="3705" ht="14.25" x14ac:dyDescent="0.45"/>
    <row r="3706" ht="14.25" x14ac:dyDescent="0.45"/>
    <row r="3707" ht="14.25" x14ac:dyDescent="0.45"/>
    <row r="3708" ht="14.25" x14ac:dyDescent="0.45"/>
    <row r="3709" ht="14.25" x14ac:dyDescent="0.45"/>
    <row r="3710" ht="14.25" x14ac:dyDescent="0.45"/>
    <row r="3711" ht="14.25" x14ac:dyDescent="0.45"/>
    <row r="3712" ht="14.25" x14ac:dyDescent="0.45"/>
    <row r="3713" ht="14.25" x14ac:dyDescent="0.45"/>
    <row r="3714" ht="14.25" x14ac:dyDescent="0.45"/>
    <row r="3715" ht="14.25" x14ac:dyDescent="0.45"/>
    <row r="3716" ht="14.25" x14ac:dyDescent="0.45"/>
    <row r="3717" ht="14.25" x14ac:dyDescent="0.45"/>
    <row r="3718" ht="14.25" x14ac:dyDescent="0.45"/>
    <row r="3719" ht="14.25" x14ac:dyDescent="0.45"/>
    <row r="3720" ht="14.25" x14ac:dyDescent="0.45"/>
    <row r="3721" ht="14.25" x14ac:dyDescent="0.45"/>
    <row r="3722" ht="14.25" x14ac:dyDescent="0.45"/>
    <row r="3723" ht="14.25" x14ac:dyDescent="0.45"/>
    <row r="3724" ht="14.25" x14ac:dyDescent="0.45"/>
    <row r="3725" ht="14.25" x14ac:dyDescent="0.45"/>
    <row r="3726" ht="14.25" x14ac:dyDescent="0.45"/>
    <row r="3727" ht="14.25" x14ac:dyDescent="0.45"/>
    <row r="3728" ht="14.25" x14ac:dyDescent="0.45"/>
    <row r="3729" ht="14.25" x14ac:dyDescent="0.45"/>
    <row r="3730" ht="14.25" x14ac:dyDescent="0.45"/>
    <row r="3731" ht="14.25" x14ac:dyDescent="0.45"/>
    <row r="3732" ht="14.25" x14ac:dyDescent="0.45"/>
    <row r="3733" ht="14.25" x14ac:dyDescent="0.45"/>
    <row r="3734" ht="14.25" x14ac:dyDescent="0.45"/>
    <row r="3735" ht="14.25" x14ac:dyDescent="0.45"/>
    <row r="3736" ht="14.25" x14ac:dyDescent="0.45"/>
    <row r="3737" ht="14.25" x14ac:dyDescent="0.45"/>
    <row r="3738" ht="14.25" x14ac:dyDescent="0.45"/>
    <row r="3739" ht="14.25" x14ac:dyDescent="0.45"/>
    <row r="3740" ht="14.25" x14ac:dyDescent="0.45"/>
    <row r="3741" ht="14.25" x14ac:dyDescent="0.45"/>
    <row r="3742" ht="14.25" x14ac:dyDescent="0.45"/>
    <row r="3743" ht="14.25" x14ac:dyDescent="0.45"/>
    <row r="3744" ht="14.25" x14ac:dyDescent="0.45"/>
    <row r="3745" ht="14.25" x14ac:dyDescent="0.45"/>
    <row r="3746" ht="14.25" x14ac:dyDescent="0.45"/>
    <row r="3747" ht="14.25" x14ac:dyDescent="0.45"/>
    <row r="3748" ht="14.25" x14ac:dyDescent="0.45"/>
    <row r="3749" ht="14.25" x14ac:dyDescent="0.45"/>
    <row r="3750" ht="14.25" x14ac:dyDescent="0.45"/>
    <row r="3751" ht="14.25" x14ac:dyDescent="0.45"/>
    <row r="3752" ht="14.25" x14ac:dyDescent="0.45"/>
    <row r="3753" ht="14.25" x14ac:dyDescent="0.45"/>
    <row r="3754" ht="14.25" x14ac:dyDescent="0.45"/>
    <row r="3755" ht="14.25" x14ac:dyDescent="0.45"/>
    <row r="3756" ht="14.25" x14ac:dyDescent="0.45"/>
    <row r="3757" ht="14.25" x14ac:dyDescent="0.45"/>
    <row r="3758" ht="14.25" x14ac:dyDescent="0.45"/>
    <row r="3759" ht="14.25" x14ac:dyDescent="0.45"/>
    <row r="3760" ht="14.25" x14ac:dyDescent="0.45"/>
    <row r="3761" ht="14.25" x14ac:dyDescent="0.45"/>
    <row r="3762" ht="14.25" x14ac:dyDescent="0.45"/>
    <row r="3763" ht="14.25" x14ac:dyDescent="0.45"/>
    <row r="3764" ht="14.25" x14ac:dyDescent="0.45"/>
    <row r="3765" ht="14.25" x14ac:dyDescent="0.45"/>
    <row r="3766" ht="14.25" x14ac:dyDescent="0.45"/>
    <row r="3767" ht="14.25" x14ac:dyDescent="0.45"/>
    <row r="3768" ht="14.25" x14ac:dyDescent="0.45"/>
    <row r="3769" ht="14.25" x14ac:dyDescent="0.45"/>
    <row r="3770" ht="14.25" x14ac:dyDescent="0.45"/>
    <row r="3771" ht="14.25" x14ac:dyDescent="0.45"/>
    <row r="3772" ht="14.25" x14ac:dyDescent="0.45"/>
    <row r="3773" ht="14.25" x14ac:dyDescent="0.45"/>
    <row r="3774" ht="14.25" x14ac:dyDescent="0.45"/>
    <row r="3775" ht="14.25" x14ac:dyDescent="0.45"/>
    <row r="3776" ht="14.25" x14ac:dyDescent="0.45"/>
    <row r="3777" ht="14.25" x14ac:dyDescent="0.45"/>
    <row r="3778" ht="14.25" x14ac:dyDescent="0.45"/>
    <row r="3779" ht="14.25" x14ac:dyDescent="0.45"/>
    <row r="3780" ht="14.25" x14ac:dyDescent="0.45"/>
    <row r="3781" ht="14.25" x14ac:dyDescent="0.45"/>
    <row r="3782" ht="14.25" x14ac:dyDescent="0.45"/>
    <row r="3783" ht="14.25" x14ac:dyDescent="0.45"/>
    <row r="3784" ht="14.25" x14ac:dyDescent="0.45"/>
    <row r="3785" ht="14.25" x14ac:dyDescent="0.45"/>
    <row r="3786" ht="14.25" x14ac:dyDescent="0.45"/>
    <row r="3787" ht="14.25" x14ac:dyDescent="0.45"/>
    <row r="3788" ht="14.25" x14ac:dyDescent="0.45"/>
    <row r="3789" ht="14.25" x14ac:dyDescent="0.45"/>
    <row r="3790" ht="14.25" x14ac:dyDescent="0.45"/>
    <row r="3791" ht="14.25" x14ac:dyDescent="0.45"/>
    <row r="3792" ht="14.25" x14ac:dyDescent="0.45"/>
    <row r="3793" ht="14.25" x14ac:dyDescent="0.45"/>
    <row r="3794" ht="14.25" x14ac:dyDescent="0.45"/>
    <row r="3795" ht="14.25" x14ac:dyDescent="0.45"/>
    <row r="3796" ht="14.25" x14ac:dyDescent="0.45"/>
    <row r="3797" ht="14.25" x14ac:dyDescent="0.45"/>
    <row r="3798" ht="14.25" x14ac:dyDescent="0.45"/>
    <row r="3799" ht="14.25" x14ac:dyDescent="0.45"/>
    <row r="3800" ht="14.25" x14ac:dyDescent="0.45"/>
    <row r="3801" ht="14.25" x14ac:dyDescent="0.45"/>
    <row r="3802" ht="14.25" x14ac:dyDescent="0.45"/>
    <row r="3803" ht="14.25" x14ac:dyDescent="0.45"/>
    <row r="3804" ht="14.25" x14ac:dyDescent="0.45"/>
    <row r="3805" ht="14.25" x14ac:dyDescent="0.45"/>
    <row r="3806" ht="14.25" x14ac:dyDescent="0.45"/>
    <row r="3807" ht="14.25" x14ac:dyDescent="0.45"/>
    <row r="3808" ht="14.25" x14ac:dyDescent="0.45"/>
    <row r="3809" ht="14.25" x14ac:dyDescent="0.45"/>
    <row r="3810" ht="14.25" x14ac:dyDescent="0.45"/>
    <row r="3811" ht="14.25" x14ac:dyDescent="0.45"/>
    <row r="3812" ht="14.25" x14ac:dyDescent="0.45"/>
    <row r="3813" ht="14.25" x14ac:dyDescent="0.45"/>
    <row r="3814" ht="14.25" x14ac:dyDescent="0.45"/>
    <row r="3815" ht="14.25" x14ac:dyDescent="0.45"/>
    <row r="3816" ht="14.25" x14ac:dyDescent="0.45"/>
    <row r="3817" ht="14.25" x14ac:dyDescent="0.45"/>
    <row r="3818" ht="14.25" x14ac:dyDescent="0.45"/>
    <row r="3819" ht="14.25" x14ac:dyDescent="0.45"/>
    <row r="3820" ht="14.25" x14ac:dyDescent="0.45"/>
    <row r="3821" ht="14.25" x14ac:dyDescent="0.45"/>
    <row r="3822" ht="14.25" x14ac:dyDescent="0.45"/>
    <row r="3823" ht="14.25" x14ac:dyDescent="0.45"/>
    <row r="3824" ht="14.25" x14ac:dyDescent="0.45"/>
    <row r="3825" ht="14.25" x14ac:dyDescent="0.45"/>
    <row r="3826" ht="14.25" x14ac:dyDescent="0.45"/>
    <row r="3827" ht="14.25" x14ac:dyDescent="0.45"/>
    <row r="3828" ht="14.25" x14ac:dyDescent="0.45"/>
    <row r="3829" ht="14.25" x14ac:dyDescent="0.45"/>
    <row r="3830" ht="14.25" x14ac:dyDescent="0.45"/>
    <row r="3831" ht="14.25" x14ac:dyDescent="0.45"/>
    <row r="3832" ht="14.25" x14ac:dyDescent="0.45"/>
    <row r="3833" ht="14.25" x14ac:dyDescent="0.45"/>
    <row r="3834" ht="14.25" x14ac:dyDescent="0.45"/>
    <row r="3835" ht="14.25" x14ac:dyDescent="0.45"/>
    <row r="3836" ht="14.25" x14ac:dyDescent="0.45"/>
    <row r="3837" ht="14.25" x14ac:dyDescent="0.45"/>
    <row r="3838" ht="14.25" x14ac:dyDescent="0.45"/>
    <row r="3839" ht="14.25" x14ac:dyDescent="0.45"/>
    <row r="3840" ht="14.25" x14ac:dyDescent="0.45"/>
    <row r="3841" ht="14.25" x14ac:dyDescent="0.45"/>
    <row r="3842" ht="14.25" x14ac:dyDescent="0.45"/>
    <row r="3843" ht="14.25" x14ac:dyDescent="0.45"/>
    <row r="3844" ht="14.25" x14ac:dyDescent="0.45"/>
    <row r="3845" ht="14.25" x14ac:dyDescent="0.45"/>
    <row r="3846" ht="14.25" x14ac:dyDescent="0.45"/>
    <row r="3847" ht="14.25" x14ac:dyDescent="0.45"/>
    <row r="3848" ht="14.25" x14ac:dyDescent="0.45"/>
    <row r="3849" ht="14.25" x14ac:dyDescent="0.45"/>
    <row r="3850" ht="14.25" x14ac:dyDescent="0.45"/>
    <row r="3851" ht="14.25" x14ac:dyDescent="0.45"/>
    <row r="3852" ht="14.25" x14ac:dyDescent="0.45"/>
    <row r="3853" ht="14.25" x14ac:dyDescent="0.45"/>
    <row r="3854" ht="14.25" x14ac:dyDescent="0.45"/>
    <row r="3855" ht="14.25" x14ac:dyDescent="0.45"/>
    <row r="3856" ht="14.25" x14ac:dyDescent="0.45"/>
    <row r="3857" ht="14.25" x14ac:dyDescent="0.45"/>
    <row r="3858" ht="14.25" x14ac:dyDescent="0.45"/>
    <row r="3859" ht="14.25" x14ac:dyDescent="0.45"/>
    <row r="3860" ht="14.25" x14ac:dyDescent="0.45"/>
    <row r="3861" ht="14.25" x14ac:dyDescent="0.45"/>
    <row r="3862" ht="14.25" x14ac:dyDescent="0.45"/>
    <row r="3863" ht="14.25" x14ac:dyDescent="0.45"/>
    <row r="3864" ht="14.25" x14ac:dyDescent="0.45"/>
    <row r="3865" ht="14.25" x14ac:dyDescent="0.45"/>
    <row r="3866" ht="14.25" x14ac:dyDescent="0.45"/>
    <row r="3867" ht="14.25" x14ac:dyDescent="0.45"/>
    <row r="3868" ht="14.25" x14ac:dyDescent="0.45"/>
    <row r="3869" ht="14.25" x14ac:dyDescent="0.45"/>
    <row r="3870" ht="14.25" x14ac:dyDescent="0.45"/>
    <row r="3871" ht="14.25" x14ac:dyDescent="0.45"/>
    <row r="3872" ht="14.25" x14ac:dyDescent="0.45"/>
    <row r="3873" ht="14.25" x14ac:dyDescent="0.45"/>
    <row r="3874" ht="14.25" x14ac:dyDescent="0.45"/>
    <row r="3875" ht="14.25" x14ac:dyDescent="0.45"/>
    <row r="3876" ht="14.25" x14ac:dyDescent="0.45"/>
    <row r="3877" ht="14.25" x14ac:dyDescent="0.45"/>
    <row r="3878" ht="14.25" x14ac:dyDescent="0.45"/>
    <row r="3879" ht="14.25" x14ac:dyDescent="0.45"/>
    <row r="3880" ht="14.25" x14ac:dyDescent="0.45"/>
    <row r="3881" ht="14.25" x14ac:dyDescent="0.45"/>
    <row r="3882" ht="14.25" x14ac:dyDescent="0.45"/>
    <row r="3883" ht="14.25" x14ac:dyDescent="0.45"/>
    <row r="3884" ht="14.25" x14ac:dyDescent="0.45"/>
    <row r="3885" ht="14.25" x14ac:dyDescent="0.45"/>
    <row r="3886" ht="14.25" x14ac:dyDescent="0.45"/>
    <row r="3887" ht="14.25" x14ac:dyDescent="0.45"/>
    <row r="3888" ht="14.25" x14ac:dyDescent="0.45"/>
    <row r="3889" ht="14.25" x14ac:dyDescent="0.45"/>
    <row r="3890" ht="14.25" x14ac:dyDescent="0.45"/>
    <row r="3891" ht="14.25" x14ac:dyDescent="0.45"/>
    <row r="3892" ht="14.25" x14ac:dyDescent="0.45"/>
    <row r="3893" ht="14.25" x14ac:dyDescent="0.45"/>
    <row r="3894" ht="14.25" x14ac:dyDescent="0.45"/>
    <row r="3895" ht="14.25" x14ac:dyDescent="0.45"/>
    <row r="3896" ht="14.25" x14ac:dyDescent="0.45"/>
    <row r="3897" ht="14.25" x14ac:dyDescent="0.45"/>
    <row r="3898" ht="14.25" x14ac:dyDescent="0.45"/>
    <row r="3899" ht="14.25" x14ac:dyDescent="0.45"/>
    <row r="3900" ht="14.25" x14ac:dyDescent="0.45"/>
    <row r="3901" ht="14.25" x14ac:dyDescent="0.45"/>
    <row r="3902" ht="14.25" x14ac:dyDescent="0.45"/>
    <row r="3903" ht="14.25" x14ac:dyDescent="0.45"/>
    <row r="3904" ht="14.25" x14ac:dyDescent="0.45"/>
    <row r="3905" ht="14.25" x14ac:dyDescent="0.45"/>
    <row r="3906" ht="14.25" x14ac:dyDescent="0.45"/>
    <row r="3907" ht="14.25" x14ac:dyDescent="0.45"/>
    <row r="3908" ht="14.25" x14ac:dyDescent="0.45"/>
    <row r="3909" ht="14.25" x14ac:dyDescent="0.45"/>
    <row r="3910" ht="14.25" x14ac:dyDescent="0.45"/>
    <row r="3911" ht="14.25" x14ac:dyDescent="0.45"/>
    <row r="3912" ht="14.25" x14ac:dyDescent="0.45"/>
    <row r="3913" ht="14.25" x14ac:dyDescent="0.45"/>
    <row r="3914" ht="14.25" x14ac:dyDescent="0.45"/>
    <row r="3915" ht="14.25" x14ac:dyDescent="0.45"/>
    <row r="3916" ht="14.25" x14ac:dyDescent="0.45"/>
    <row r="3917" ht="14.25" x14ac:dyDescent="0.45"/>
    <row r="3918" ht="14.25" x14ac:dyDescent="0.45"/>
    <row r="3919" ht="14.25" x14ac:dyDescent="0.45"/>
    <row r="3920" ht="14.25" x14ac:dyDescent="0.45"/>
    <row r="3921" ht="14.25" x14ac:dyDescent="0.45"/>
    <row r="3922" ht="14.25" x14ac:dyDescent="0.45"/>
    <row r="3923" ht="14.25" x14ac:dyDescent="0.45"/>
    <row r="3924" ht="14.25" x14ac:dyDescent="0.45"/>
    <row r="3925" ht="14.25" x14ac:dyDescent="0.45"/>
    <row r="3926" ht="14.25" x14ac:dyDescent="0.45"/>
    <row r="3927" ht="14.25" x14ac:dyDescent="0.45"/>
    <row r="3928" ht="14.25" x14ac:dyDescent="0.45"/>
    <row r="3929" ht="14.25" x14ac:dyDescent="0.45"/>
    <row r="3930" ht="14.25" x14ac:dyDescent="0.45"/>
    <row r="3931" ht="14.25" x14ac:dyDescent="0.45"/>
    <row r="3932" ht="14.25" x14ac:dyDescent="0.45"/>
    <row r="3933" ht="14.25" x14ac:dyDescent="0.45"/>
    <row r="3934" ht="14.25" x14ac:dyDescent="0.45"/>
    <row r="3935" ht="14.25" x14ac:dyDescent="0.45"/>
    <row r="3936" ht="14.25" x14ac:dyDescent="0.45"/>
    <row r="3937" ht="14.25" x14ac:dyDescent="0.45"/>
    <row r="3938" ht="14.25" x14ac:dyDescent="0.45"/>
    <row r="3939" ht="14.25" x14ac:dyDescent="0.45"/>
    <row r="3940" ht="14.25" x14ac:dyDescent="0.45"/>
    <row r="3941" ht="14.25" x14ac:dyDescent="0.45"/>
    <row r="3942" ht="14.25" x14ac:dyDescent="0.45"/>
    <row r="3943" ht="14.25" x14ac:dyDescent="0.45"/>
    <row r="3944" ht="14.25" x14ac:dyDescent="0.45"/>
    <row r="3945" ht="14.25" x14ac:dyDescent="0.45"/>
    <row r="3946" ht="14.25" x14ac:dyDescent="0.45"/>
    <row r="3947" ht="14.25" x14ac:dyDescent="0.45"/>
    <row r="3948" ht="14.25" x14ac:dyDescent="0.45"/>
    <row r="3949" ht="14.25" x14ac:dyDescent="0.45"/>
    <row r="3950" ht="14.25" x14ac:dyDescent="0.45"/>
    <row r="3951" ht="14.25" x14ac:dyDescent="0.45"/>
    <row r="3952" ht="14.25" x14ac:dyDescent="0.45"/>
    <row r="3953" ht="14.25" x14ac:dyDescent="0.45"/>
    <row r="3954" ht="14.25" x14ac:dyDescent="0.45"/>
    <row r="3955" ht="14.25" x14ac:dyDescent="0.45"/>
    <row r="3956" ht="14.25" x14ac:dyDescent="0.45"/>
    <row r="3957" ht="14.25" x14ac:dyDescent="0.45"/>
    <row r="3958" ht="14.25" x14ac:dyDescent="0.45"/>
    <row r="3959" ht="14.25" x14ac:dyDescent="0.45"/>
    <row r="3960" ht="14.25" x14ac:dyDescent="0.45"/>
    <row r="3961" ht="14.25" x14ac:dyDescent="0.45"/>
    <row r="3962" ht="14.25" x14ac:dyDescent="0.45"/>
    <row r="3963" ht="14.25" x14ac:dyDescent="0.45"/>
    <row r="3964" ht="14.25" x14ac:dyDescent="0.45"/>
    <row r="3965" ht="14.25" x14ac:dyDescent="0.45"/>
    <row r="3966" ht="14.25" x14ac:dyDescent="0.45"/>
    <row r="3967" ht="14.25" x14ac:dyDescent="0.45"/>
    <row r="3968" ht="14.25" x14ac:dyDescent="0.45"/>
    <row r="3969" ht="14.25" x14ac:dyDescent="0.45"/>
    <row r="3970" ht="14.25" x14ac:dyDescent="0.45"/>
    <row r="3971" ht="14.25" x14ac:dyDescent="0.45"/>
    <row r="3972" ht="14.25" x14ac:dyDescent="0.45"/>
    <row r="3973" ht="14.25" x14ac:dyDescent="0.45"/>
    <row r="3974" ht="14.25" x14ac:dyDescent="0.45"/>
    <row r="3975" ht="14.25" x14ac:dyDescent="0.45"/>
    <row r="3976" ht="14.25" x14ac:dyDescent="0.45"/>
    <row r="3977" ht="14.25" x14ac:dyDescent="0.45"/>
    <row r="3978" ht="14.25" x14ac:dyDescent="0.45"/>
    <row r="3979" ht="14.25" x14ac:dyDescent="0.45"/>
    <row r="3980" ht="14.25" x14ac:dyDescent="0.45"/>
    <row r="3981" ht="14.25" x14ac:dyDescent="0.45"/>
    <row r="3982" ht="14.25" x14ac:dyDescent="0.45"/>
    <row r="3983" ht="14.25" x14ac:dyDescent="0.45"/>
    <row r="3984" ht="14.25" x14ac:dyDescent="0.45"/>
    <row r="3985" ht="14.25" x14ac:dyDescent="0.45"/>
    <row r="3986" ht="14.25" x14ac:dyDescent="0.45"/>
    <row r="3987" ht="14.25" x14ac:dyDescent="0.45"/>
    <row r="3988" ht="14.25" x14ac:dyDescent="0.45"/>
    <row r="3989" ht="14.25" x14ac:dyDescent="0.45"/>
    <row r="3990" ht="14.25" x14ac:dyDescent="0.45"/>
    <row r="3991" ht="14.25" x14ac:dyDescent="0.45"/>
    <row r="3992" ht="14.25" x14ac:dyDescent="0.45"/>
    <row r="3993" ht="14.25" x14ac:dyDescent="0.45"/>
    <row r="3994" ht="14.25" x14ac:dyDescent="0.45"/>
    <row r="3995" ht="14.25" x14ac:dyDescent="0.45"/>
    <row r="3996" ht="14.25" x14ac:dyDescent="0.45"/>
    <row r="3997" ht="14.25" x14ac:dyDescent="0.45"/>
    <row r="3998" ht="14.25" x14ac:dyDescent="0.45"/>
    <row r="3999" ht="14.25" x14ac:dyDescent="0.45"/>
    <row r="4000" ht="14.25" x14ac:dyDescent="0.45"/>
    <row r="4001" ht="14.25" x14ac:dyDescent="0.45"/>
    <row r="4002" ht="14.25" x14ac:dyDescent="0.45"/>
    <row r="4003" ht="14.25" x14ac:dyDescent="0.45"/>
    <row r="4004" ht="14.25" x14ac:dyDescent="0.45"/>
    <row r="4005" ht="14.25" x14ac:dyDescent="0.45"/>
    <row r="4006" ht="14.25" x14ac:dyDescent="0.45"/>
    <row r="4007" ht="14.25" x14ac:dyDescent="0.45"/>
    <row r="4008" ht="14.25" x14ac:dyDescent="0.45"/>
    <row r="4009" ht="14.25" x14ac:dyDescent="0.45"/>
    <row r="4010" ht="14.25" x14ac:dyDescent="0.45"/>
    <row r="4011" ht="14.25" x14ac:dyDescent="0.45"/>
    <row r="4012" ht="14.25" x14ac:dyDescent="0.45"/>
    <row r="4013" ht="14.25" x14ac:dyDescent="0.45"/>
    <row r="4014" ht="14.25" x14ac:dyDescent="0.45"/>
    <row r="4015" ht="14.25" x14ac:dyDescent="0.45"/>
    <row r="4016" ht="14.25" x14ac:dyDescent="0.45"/>
    <row r="4017" ht="14.25" x14ac:dyDescent="0.45"/>
    <row r="4018" ht="14.25" x14ac:dyDescent="0.45"/>
    <row r="4019" ht="14.25" x14ac:dyDescent="0.45"/>
    <row r="4020" ht="14.25" x14ac:dyDescent="0.45"/>
    <row r="4021" ht="14.25" x14ac:dyDescent="0.45"/>
    <row r="4022" ht="14.25" x14ac:dyDescent="0.45"/>
    <row r="4023" ht="14.25" x14ac:dyDescent="0.45"/>
    <row r="4024" ht="14.25" x14ac:dyDescent="0.45"/>
    <row r="4025" ht="14.25" x14ac:dyDescent="0.45"/>
    <row r="4026" ht="14.25" x14ac:dyDescent="0.45"/>
    <row r="4027" ht="14.25" x14ac:dyDescent="0.45"/>
    <row r="4028" ht="14.25" x14ac:dyDescent="0.45"/>
    <row r="4029" ht="14.25" x14ac:dyDescent="0.45"/>
    <row r="4030" ht="14.25" x14ac:dyDescent="0.45"/>
    <row r="4031" ht="14.25" x14ac:dyDescent="0.45"/>
    <row r="4032" ht="14.25" x14ac:dyDescent="0.45"/>
    <row r="4033" ht="14.25" x14ac:dyDescent="0.45"/>
    <row r="4034" ht="14.25" x14ac:dyDescent="0.45"/>
    <row r="4035" ht="14.25" x14ac:dyDescent="0.45"/>
    <row r="4036" ht="14.25" x14ac:dyDescent="0.45"/>
    <row r="4037" ht="14.25" x14ac:dyDescent="0.45"/>
    <row r="4038" ht="14.25" x14ac:dyDescent="0.45"/>
    <row r="4039" ht="14.25" x14ac:dyDescent="0.45"/>
    <row r="4040" ht="14.25" x14ac:dyDescent="0.45"/>
    <row r="4041" ht="14.25" x14ac:dyDescent="0.45"/>
    <row r="4042" ht="14.25" x14ac:dyDescent="0.45"/>
    <row r="4043" ht="14.25" x14ac:dyDescent="0.45"/>
    <row r="4044" ht="14.25" x14ac:dyDescent="0.45"/>
    <row r="4045" ht="14.25" x14ac:dyDescent="0.45"/>
    <row r="4046" ht="14.25" x14ac:dyDescent="0.45"/>
    <row r="4047" ht="14.25" x14ac:dyDescent="0.45"/>
    <row r="4048" ht="14.25" x14ac:dyDescent="0.45"/>
    <row r="4049" ht="14.25" x14ac:dyDescent="0.45"/>
    <row r="4050" ht="14.25" x14ac:dyDescent="0.45"/>
    <row r="4051" ht="14.25" x14ac:dyDescent="0.45"/>
    <row r="4052" ht="14.25" x14ac:dyDescent="0.45"/>
    <row r="4053" ht="14.25" x14ac:dyDescent="0.45"/>
    <row r="4054" ht="14.25" x14ac:dyDescent="0.45"/>
    <row r="4055" ht="14.25" x14ac:dyDescent="0.45"/>
    <row r="4056" ht="14.25" x14ac:dyDescent="0.45"/>
    <row r="4057" ht="14.25" x14ac:dyDescent="0.45"/>
    <row r="4058" ht="14.25" x14ac:dyDescent="0.45"/>
    <row r="4059" ht="14.25" x14ac:dyDescent="0.45"/>
    <row r="4060" ht="14.25" x14ac:dyDescent="0.45"/>
    <row r="4061" ht="14.25" x14ac:dyDescent="0.45"/>
    <row r="4062" ht="14.25" x14ac:dyDescent="0.45"/>
    <row r="4063" ht="14.25" x14ac:dyDescent="0.45"/>
    <row r="4064" ht="14.25" x14ac:dyDescent="0.45"/>
    <row r="4065" ht="14.25" x14ac:dyDescent="0.45"/>
    <row r="4066" ht="14.25" x14ac:dyDescent="0.45"/>
    <row r="4067" ht="14.25" x14ac:dyDescent="0.45"/>
    <row r="4068" ht="14.25" x14ac:dyDescent="0.45"/>
    <row r="4069" ht="14.25" x14ac:dyDescent="0.45"/>
    <row r="4070" ht="14.25" x14ac:dyDescent="0.45"/>
    <row r="4071" ht="14.25" x14ac:dyDescent="0.45"/>
    <row r="4072" ht="14.25" x14ac:dyDescent="0.45"/>
    <row r="4073" ht="14.25" x14ac:dyDescent="0.45"/>
    <row r="4074" ht="14.25" x14ac:dyDescent="0.45"/>
    <row r="4075" ht="14.25" x14ac:dyDescent="0.45"/>
    <row r="4076" ht="14.25" x14ac:dyDescent="0.45"/>
    <row r="4077" ht="14.25" x14ac:dyDescent="0.45"/>
    <row r="4078" ht="14.25" x14ac:dyDescent="0.45"/>
    <row r="4079" ht="14.25" x14ac:dyDescent="0.45"/>
    <row r="4080" ht="14.25" x14ac:dyDescent="0.45"/>
    <row r="4081" ht="14.25" x14ac:dyDescent="0.45"/>
    <row r="4082" ht="14.25" x14ac:dyDescent="0.45"/>
    <row r="4083" ht="14.25" x14ac:dyDescent="0.45"/>
    <row r="4084" ht="14.25" x14ac:dyDescent="0.45"/>
    <row r="4085" ht="14.25" x14ac:dyDescent="0.45"/>
    <row r="4086" ht="14.25" x14ac:dyDescent="0.45"/>
    <row r="4087" ht="14.25" x14ac:dyDescent="0.45"/>
    <row r="4088" ht="14.25" x14ac:dyDescent="0.45"/>
    <row r="4089" ht="14.25" x14ac:dyDescent="0.45"/>
    <row r="4090" ht="14.25" x14ac:dyDescent="0.45"/>
    <row r="4091" ht="14.25" x14ac:dyDescent="0.45"/>
    <row r="4092" ht="14.25" x14ac:dyDescent="0.45"/>
    <row r="4093" ht="14.25" x14ac:dyDescent="0.45"/>
    <row r="4094" ht="14.25" x14ac:dyDescent="0.45"/>
    <row r="4095" ht="14.25" x14ac:dyDescent="0.45"/>
    <row r="4096" ht="14.25" x14ac:dyDescent="0.45"/>
    <row r="4097" ht="14.25" x14ac:dyDescent="0.45"/>
    <row r="4098" ht="14.25" x14ac:dyDescent="0.45"/>
    <row r="4099" ht="14.25" x14ac:dyDescent="0.45"/>
    <row r="4100" ht="14.25" x14ac:dyDescent="0.45"/>
    <row r="4101" ht="14.25" x14ac:dyDescent="0.45"/>
    <row r="4102" ht="14.25" x14ac:dyDescent="0.45"/>
    <row r="4103" ht="14.25" x14ac:dyDescent="0.45"/>
    <row r="4104" ht="14.25" x14ac:dyDescent="0.45"/>
    <row r="4105" ht="14.25" x14ac:dyDescent="0.45"/>
    <row r="4106" ht="14.25" x14ac:dyDescent="0.45"/>
    <row r="4107" ht="14.25" x14ac:dyDescent="0.45"/>
    <row r="4108" ht="14.25" x14ac:dyDescent="0.45"/>
    <row r="4109" ht="14.25" x14ac:dyDescent="0.45"/>
    <row r="4110" ht="14.25" x14ac:dyDescent="0.45"/>
    <row r="4111" ht="14.25" x14ac:dyDescent="0.45"/>
    <row r="4112" ht="14.25" x14ac:dyDescent="0.45"/>
    <row r="4113" ht="14.25" x14ac:dyDescent="0.45"/>
    <row r="4114" ht="14.25" x14ac:dyDescent="0.45"/>
    <row r="4115" ht="14.25" x14ac:dyDescent="0.45"/>
    <row r="4116" ht="14.25" x14ac:dyDescent="0.45"/>
    <row r="4117" ht="14.25" x14ac:dyDescent="0.45"/>
    <row r="4118" ht="14.25" x14ac:dyDescent="0.45"/>
    <row r="4119" ht="14.25" x14ac:dyDescent="0.45"/>
    <row r="4120" ht="14.25" x14ac:dyDescent="0.45"/>
    <row r="4121" ht="14.25" x14ac:dyDescent="0.45"/>
    <row r="4122" ht="14.25" x14ac:dyDescent="0.45"/>
    <row r="4123" ht="14.25" x14ac:dyDescent="0.45"/>
    <row r="4124" ht="14.25" x14ac:dyDescent="0.45"/>
    <row r="4125" ht="14.25" x14ac:dyDescent="0.45"/>
    <row r="4126" ht="14.25" x14ac:dyDescent="0.45"/>
    <row r="4127" ht="14.25" x14ac:dyDescent="0.45"/>
    <row r="4128" ht="14.25" x14ac:dyDescent="0.45"/>
    <row r="4129" ht="14.25" x14ac:dyDescent="0.45"/>
    <row r="4130" ht="14.25" x14ac:dyDescent="0.45"/>
    <row r="4131" ht="14.25" x14ac:dyDescent="0.45"/>
    <row r="4132" ht="14.25" x14ac:dyDescent="0.45"/>
    <row r="4133" ht="14.25" x14ac:dyDescent="0.45"/>
    <row r="4134" ht="14.25" x14ac:dyDescent="0.45"/>
    <row r="4135" ht="14.25" x14ac:dyDescent="0.45"/>
    <row r="4136" ht="14.25" x14ac:dyDescent="0.45"/>
    <row r="4137" ht="14.25" x14ac:dyDescent="0.45"/>
    <row r="4138" ht="14.25" x14ac:dyDescent="0.45"/>
    <row r="4139" ht="14.25" x14ac:dyDescent="0.45"/>
    <row r="4140" ht="14.25" x14ac:dyDescent="0.45"/>
    <row r="4141" ht="14.25" x14ac:dyDescent="0.45"/>
    <row r="4142" ht="14.25" x14ac:dyDescent="0.45"/>
    <row r="4143" ht="14.25" x14ac:dyDescent="0.45"/>
    <row r="4144" ht="14.25" x14ac:dyDescent="0.45"/>
    <row r="4145" ht="14.25" x14ac:dyDescent="0.45"/>
    <row r="4146" ht="14.25" x14ac:dyDescent="0.45"/>
    <row r="4147" ht="14.25" x14ac:dyDescent="0.45"/>
    <row r="4148" ht="14.25" x14ac:dyDescent="0.45"/>
    <row r="4149" ht="14.25" x14ac:dyDescent="0.45"/>
    <row r="4150" ht="14.25" x14ac:dyDescent="0.45"/>
    <row r="4151" ht="14.25" x14ac:dyDescent="0.45"/>
    <row r="4152" ht="14.25" x14ac:dyDescent="0.45"/>
    <row r="4153" ht="14.25" x14ac:dyDescent="0.45"/>
    <row r="4154" ht="14.25" x14ac:dyDescent="0.45"/>
    <row r="4155" ht="14.25" x14ac:dyDescent="0.45"/>
    <row r="4156" ht="14.25" x14ac:dyDescent="0.45"/>
    <row r="4157" ht="14.25" x14ac:dyDescent="0.45"/>
    <row r="4158" ht="14.25" x14ac:dyDescent="0.45"/>
    <row r="4159" ht="14.25" x14ac:dyDescent="0.45"/>
    <row r="4160" ht="14.25" x14ac:dyDescent="0.45"/>
    <row r="4161" ht="14.25" x14ac:dyDescent="0.45"/>
    <row r="4162" ht="14.25" x14ac:dyDescent="0.45"/>
    <row r="4163" ht="14.25" x14ac:dyDescent="0.45"/>
    <row r="4164" ht="14.25" x14ac:dyDescent="0.45"/>
    <row r="4165" ht="14.25" x14ac:dyDescent="0.45"/>
    <row r="4166" ht="14.25" x14ac:dyDescent="0.45"/>
    <row r="4167" ht="14.25" x14ac:dyDescent="0.45"/>
    <row r="4168" ht="14.25" x14ac:dyDescent="0.45"/>
    <row r="4169" ht="14.25" x14ac:dyDescent="0.45"/>
    <row r="4170" ht="14.25" x14ac:dyDescent="0.45"/>
    <row r="4171" ht="14.25" x14ac:dyDescent="0.45"/>
    <row r="4172" ht="14.25" x14ac:dyDescent="0.45"/>
    <row r="4173" ht="14.25" x14ac:dyDescent="0.45"/>
    <row r="4174" ht="14.25" x14ac:dyDescent="0.45"/>
    <row r="4175" ht="14.25" x14ac:dyDescent="0.45"/>
    <row r="4176" ht="14.25" x14ac:dyDescent="0.45"/>
    <row r="4177" ht="14.25" x14ac:dyDescent="0.45"/>
    <row r="4178" ht="14.25" x14ac:dyDescent="0.45"/>
    <row r="4179" ht="14.25" x14ac:dyDescent="0.45"/>
    <row r="4180" ht="14.25" x14ac:dyDescent="0.45"/>
    <row r="4181" ht="14.25" x14ac:dyDescent="0.45"/>
    <row r="4182" ht="14.25" x14ac:dyDescent="0.45"/>
    <row r="4183" ht="14.25" x14ac:dyDescent="0.45"/>
    <row r="4184" ht="14.25" x14ac:dyDescent="0.45"/>
    <row r="4185" ht="14.25" x14ac:dyDescent="0.45"/>
    <row r="4186" ht="14.25" x14ac:dyDescent="0.45"/>
    <row r="4187" ht="14.25" x14ac:dyDescent="0.45"/>
    <row r="4188" ht="14.25" x14ac:dyDescent="0.45"/>
    <row r="4189" ht="14.25" x14ac:dyDescent="0.45"/>
    <row r="4190" ht="14.25" x14ac:dyDescent="0.45"/>
    <row r="4191" ht="14.25" x14ac:dyDescent="0.45"/>
    <row r="4192" ht="14.25" x14ac:dyDescent="0.45"/>
    <row r="4193" ht="14.25" x14ac:dyDescent="0.45"/>
    <row r="4194" ht="14.25" x14ac:dyDescent="0.45"/>
    <row r="4195" ht="14.25" x14ac:dyDescent="0.45"/>
    <row r="4196" ht="14.25" x14ac:dyDescent="0.45"/>
    <row r="4197" ht="14.25" x14ac:dyDescent="0.45"/>
    <row r="4198" ht="14.25" x14ac:dyDescent="0.45"/>
    <row r="4199" ht="14.25" x14ac:dyDescent="0.45"/>
    <row r="4200" ht="14.25" x14ac:dyDescent="0.45"/>
    <row r="4201" ht="14.25" x14ac:dyDescent="0.45"/>
    <row r="4202" ht="14.25" x14ac:dyDescent="0.45"/>
    <row r="4203" ht="14.25" x14ac:dyDescent="0.45"/>
    <row r="4204" ht="14.25" x14ac:dyDescent="0.45"/>
    <row r="4205" ht="14.25" x14ac:dyDescent="0.45"/>
    <row r="4206" ht="14.25" x14ac:dyDescent="0.45"/>
    <row r="4207" ht="14.25" x14ac:dyDescent="0.45"/>
    <row r="4208" ht="14.25" x14ac:dyDescent="0.45"/>
    <row r="4209" ht="14.25" x14ac:dyDescent="0.45"/>
    <row r="4210" ht="14.25" x14ac:dyDescent="0.45"/>
    <row r="4211" ht="14.25" x14ac:dyDescent="0.45"/>
    <row r="4212" ht="14.25" x14ac:dyDescent="0.45"/>
    <row r="4213" ht="14.25" x14ac:dyDescent="0.45"/>
    <row r="4214" ht="14.25" x14ac:dyDescent="0.45"/>
    <row r="4215" ht="14.25" x14ac:dyDescent="0.45"/>
    <row r="4216" ht="14.25" x14ac:dyDescent="0.45"/>
    <row r="4217" ht="14.25" x14ac:dyDescent="0.45"/>
    <row r="4218" ht="14.25" x14ac:dyDescent="0.45"/>
    <row r="4219" ht="14.25" x14ac:dyDescent="0.45"/>
    <row r="4220" ht="14.25" x14ac:dyDescent="0.45"/>
    <row r="4221" ht="14.25" x14ac:dyDescent="0.45"/>
    <row r="4222" ht="14.25" x14ac:dyDescent="0.45"/>
    <row r="4223" ht="14.25" x14ac:dyDescent="0.45"/>
    <row r="4224" ht="14.25" x14ac:dyDescent="0.45"/>
    <row r="4225" ht="14.25" x14ac:dyDescent="0.45"/>
    <row r="4226" ht="14.25" x14ac:dyDescent="0.45"/>
    <row r="4227" ht="14.25" x14ac:dyDescent="0.45"/>
    <row r="4228" ht="14.25" x14ac:dyDescent="0.45"/>
    <row r="4229" ht="14.25" x14ac:dyDescent="0.45"/>
    <row r="4230" ht="14.25" x14ac:dyDescent="0.45"/>
    <row r="4231" ht="14.25" x14ac:dyDescent="0.45"/>
    <row r="4232" ht="14.25" x14ac:dyDescent="0.45"/>
    <row r="4233" ht="14.25" x14ac:dyDescent="0.45"/>
    <row r="4234" ht="14.25" x14ac:dyDescent="0.45"/>
    <row r="4235" ht="14.25" x14ac:dyDescent="0.45"/>
    <row r="4236" ht="14.25" x14ac:dyDescent="0.45"/>
    <row r="4237" ht="14.25" x14ac:dyDescent="0.45"/>
    <row r="4238" ht="14.25" x14ac:dyDescent="0.45"/>
    <row r="4239" ht="14.25" x14ac:dyDescent="0.45"/>
    <row r="4240" ht="14.25" x14ac:dyDescent="0.45"/>
    <row r="4241" ht="14.25" x14ac:dyDescent="0.45"/>
    <row r="4242" ht="14.25" x14ac:dyDescent="0.45"/>
    <row r="4243" ht="14.25" x14ac:dyDescent="0.45"/>
    <row r="4244" ht="14.25" x14ac:dyDescent="0.45"/>
    <row r="4245" ht="14.25" x14ac:dyDescent="0.45"/>
    <row r="4246" ht="14.25" x14ac:dyDescent="0.45"/>
    <row r="4247" ht="14.25" x14ac:dyDescent="0.45"/>
    <row r="4248" ht="14.25" x14ac:dyDescent="0.45"/>
    <row r="4249" ht="14.25" x14ac:dyDescent="0.45"/>
    <row r="4250" ht="14.25" x14ac:dyDescent="0.45"/>
    <row r="4251" ht="14.25" x14ac:dyDescent="0.45"/>
    <row r="4252" ht="14.25" x14ac:dyDescent="0.45"/>
    <row r="4253" ht="14.25" x14ac:dyDescent="0.45"/>
    <row r="4254" ht="14.25" x14ac:dyDescent="0.45"/>
    <row r="4255" ht="14.25" x14ac:dyDescent="0.45"/>
    <row r="4256" ht="14.25" x14ac:dyDescent="0.45"/>
    <row r="4257" ht="14.25" x14ac:dyDescent="0.45"/>
    <row r="4258" ht="14.25" x14ac:dyDescent="0.45"/>
    <row r="4259" ht="14.25" x14ac:dyDescent="0.45"/>
    <row r="4260" ht="14.25" x14ac:dyDescent="0.45"/>
    <row r="4261" ht="14.25" x14ac:dyDescent="0.45"/>
    <row r="4262" ht="14.25" x14ac:dyDescent="0.45"/>
    <row r="4263" ht="14.25" x14ac:dyDescent="0.45"/>
    <row r="4264" ht="14.25" x14ac:dyDescent="0.45"/>
    <row r="4265" ht="14.25" x14ac:dyDescent="0.45"/>
    <row r="4266" ht="14.25" x14ac:dyDescent="0.45"/>
    <row r="4267" ht="14.25" x14ac:dyDescent="0.45"/>
    <row r="4268" ht="14.25" x14ac:dyDescent="0.45"/>
    <row r="4269" ht="14.25" x14ac:dyDescent="0.45"/>
    <row r="4270" ht="14.25" x14ac:dyDescent="0.45"/>
    <row r="4271" ht="14.25" x14ac:dyDescent="0.45"/>
    <row r="4272" ht="14.25" x14ac:dyDescent="0.45"/>
    <row r="4273" ht="14.25" x14ac:dyDescent="0.45"/>
    <row r="4274" ht="14.25" x14ac:dyDescent="0.45"/>
    <row r="4275" ht="14.25" x14ac:dyDescent="0.45"/>
    <row r="4276" ht="14.25" x14ac:dyDescent="0.45"/>
    <row r="4277" ht="14.25" x14ac:dyDescent="0.45"/>
    <row r="4278" ht="14.25" x14ac:dyDescent="0.45"/>
    <row r="4279" ht="14.25" x14ac:dyDescent="0.45"/>
    <row r="4280" ht="14.25" x14ac:dyDescent="0.45"/>
    <row r="4281" ht="14.25" x14ac:dyDescent="0.45"/>
    <row r="4282" ht="14.25" x14ac:dyDescent="0.45"/>
    <row r="4283" ht="14.25" x14ac:dyDescent="0.45"/>
    <row r="4284" ht="14.25" x14ac:dyDescent="0.45"/>
    <row r="4285" ht="14.25" x14ac:dyDescent="0.45"/>
    <row r="4286" ht="14.25" x14ac:dyDescent="0.45"/>
    <row r="4287" ht="14.25" x14ac:dyDescent="0.45"/>
    <row r="4288" ht="14.25" x14ac:dyDescent="0.45"/>
    <row r="4289" ht="14.25" x14ac:dyDescent="0.45"/>
    <row r="4290" ht="14.25" x14ac:dyDescent="0.45"/>
    <row r="4291" ht="14.25" x14ac:dyDescent="0.45"/>
    <row r="4292" ht="14.25" x14ac:dyDescent="0.45"/>
    <row r="4293" ht="14.25" x14ac:dyDescent="0.45"/>
    <row r="4294" ht="14.25" x14ac:dyDescent="0.45"/>
    <row r="4295" ht="14.25" x14ac:dyDescent="0.45"/>
    <row r="4296" ht="14.25" x14ac:dyDescent="0.45"/>
    <row r="4297" ht="14.25" x14ac:dyDescent="0.45"/>
    <row r="4298" ht="14.25" x14ac:dyDescent="0.45"/>
    <row r="4299" ht="14.25" x14ac:dyDescent="0.45"/>
    <row r="4300" ht="14.25" x14ac:dyDescent="0.45"/>
    <row r="4301" ht="14.25" x14ac:dyDescent="0.45"/>
    <row r="4302" ht="14.25" x14ac:dyDescent="0.45"/>
    <row r="4303" ht="14.25" x14ac:dyDescent="0.45"/>
    <row r="4304" ht="14.25" x14ac:dyDescent="0.45"/>
    <row r="4305" ht="14.25" x14ac:dyDescent="0.45"/>
    <row r="4306" ht="14.25" x14ac:dyDescent="0.45"/>
    <row r="4307" ht="14.25" x14ac:dyDescent="0.45"/>
    <row r="4308" ht="14.25" x14ac:dyDescent="0.45"/>
    <row r="4309" ht="14.25" x14ac:dyDescent="0.45"/>
    <row r="4310" ht="14.25" x14ac:dyDescent="0.45"/>
    <row r="4311" ht="14.25" x14ac:dyDescent="0.45"/>
    <row r="4312" ht="14.25" x14ac:dyDescent="0.45"/>
    <row r="4313" ht="14.25" x14ac:dyDescent="0.45"/>
    <row r="4314" ht="14.25" x14ac:dyDescent="0.45"/>
    <row r="4315" ht="14.25" x14ac:dyDescent="0.45"/>
    <row r="4316" ht="14.25" x14ac:dyDescent="0.45"/>
    <row r="4317" ht="14.25" x14ac:dyDescent="0.45"/>
    <row r="4318" ht="14.25" x14ac:dyDescent="0.45"/>
    <row r="4319" ht="14.25" x14ac:dyDescent="0.45"/>
    <row r="4320" ht="14.25" x14ac:dyDescent="0.45"/>
    <row r="4321" ht="14.25" x14ac:dyDescent="0.45"/>
    <row r="4322" ht="14.25" x14ac:dyDescent="0.45"/>
    <row r="4323" ht="14.25" x14ac:dyDescent="0.45"/>
    <row r="4324" ht="14.25" x14ac:dyDescent="0.45"/>
    <row r="4325" ht="14.25" x14ac:dyDescent="0.45"/>
    <row r="4326" ht="14.25" x14ac:dyDescent="0.45"/>
    <row r="4327" ht="14.25" x14ac:dyDescent="0.45"/>
    <row r="4328" ht="14.25" x14ac:dyDescent="0.45"/>
    <row r="4329" ht="14.25" x14ac:dyDescent="0.45"/>
    <row r="4330" ht="14.25" x14ac:dyDescent="0.45"/>
    <row r="4331" ht="14.25" x14ac:dyDescent="0.45"/>
    <row r="4332" ht="14.25" x14ac:dyDescent="0.45"/>
    <row r="4333" ht="14.25" x14ac:dyDescent="0.45"/>
    <row r="4334" ht="14.25" x14ac:dyDescent="0.45"/>
    <row r="4335" ht="14.25" x14ac:dyDescent="0.45"/>
    <row r="4336" ht="14.25" x14ac:dyDescent="0.45"/>
    <row r="4337" ht="14.25" x14ac:dyDescent="0.45"/>
    <row r="4338" ht="14.25" x14ac:dyDescent="0.45"/>
    <row r="4339" ht="14.25" x14ac:dyDescent="0.45"/>
    <row r="4340" ht="14.25" x14ac:dyDescent="0.45"/>
    <row r="4341" ht="14.25" x14ac:dyDescent="0.45"/>
    <row r="4342" ht="14.25" x14ac:dyDescent="0.45"/>
    <row r="4343" ht="14.25" x14ac:dyDescent="0.45"/>
    <row r="4344" ht="14.25" x14ac:dyDescent="0.45"/>
    <row r="4345" ht="14.25" x14ac:dyDescent="0.45"/>
    <row r="4346" ht="14.25" x14ac:dyDescent="0.45"/>
    <row r="4347" ht="14.25" x14ac:dyDescent="0.45"/>
    <row r="4348" ht="14.25" x14ac:dyDescent="0.45"/>
    <row r="4349" ht="14.25" x14ac:dyDescent="0.45"/>
    <row r="4350" ht="14.25" x14ac:dyDescent="0.45"/>
    <row r="4351" ht="14.25" x14ac:dyDescent="0.45"/>
    <row r="4352" ht="14.25" x14ac:dyDescent="0.45"/>
    <row r="4353" ht="14.25" x14ac:dyDescent="0.45"/>
    <row r="4354" ht="14.25" x14ac:dyDescent="0.45"/>
    <row r="4355" ht="14.25" x14ac:dyDescent="0.45"/>
    <row r="4356" ht="14.25" x14ac:dyDescent="0.45"/>
    <row r="4357" ht="14.25" x14ac:dyDescent="0.45"/>
    <row r="4358" ht="14.25" x14ac:dyDescent="0.45"/>
    <row r="4359" ht="14.25" x14ac:dyDescent="0.45"/>
    <row r="4360" ht="14.25" x14ac:dyDescent="0.45"/>
    <row r="4361" ht="14.25" x14ac:dyDescent="0.45"/>
    <row r="4362" ht="14.25" x14ac:dyDescent="0.45"/>
    <row r="4363" ht="14.25" x14ac:dyDescent="0.45"/>
    <row r="4364" ht="14.25" x14ac:dyDescent="0.45"/>
    <row r="4365" ht="14.25" x14ac:dyDescent="0.45"/>
    <row r="4366" ht="14.25" x14ac:dyDescent="0.45"/>
    <row r="4367" ht="14.25" x14ac:dyDescent="0.45"/>
    <row r="4368" ht="14.25" x14ac:dyDescent="0.45"/>
    <row r="4369" ht="14.25" x14ac:dyDescent="0.45"/>
    <row r="4370" ht="14.25" x14ac:dyDescent="0.45"/>
    <row r="4371" ht="14.25" x14ac:dyDescent="0.45"/>
    <row r="4372" ht="14.25" x14ac:dyDescent="0.45"/>
    <row r="4373" ht="14.25" x14ac:dyDescent="0.45"/>
    <row r="4374" ht="14.25" x14ac:dyDescent="0.45"/>
    <row r="4375" ht="14.25" x14ac:dyDescent="0.45"/>
    <row r="4376" ht="14.25" x14ac:dyDescent="0.45"/>
    <row r="4377" ht="14.25" x14ac:dyDescent="0.45"/>
    <row r="4378" ht="14.25" x14ac:dyDescent="0.45"/>
    <row r="4379" ht="14.25" x14ac:dyDescent="0.45"/>
    <row r="4380" ht="14.25" x14ac:dyDescent="0.45"/>
    <row r="4381" ht="14.25" x14ac:dyDescent="0.45"/>
    <row r="4382" ht="14.25" x14ac:dyDescent="0.45"/>
    <row r="4383" ht="14.25" x14ac:dyDescent="0.45"/>
    <row r="4384" ht="14.25" x14ac:dyDescent="0.45"/>
    <row r="4385" ht="14.25" x14ac:dyDescent="0.45"/>
    <row r="4386" ht="14.25" x14ac:dyDescent="0.45"/>
    <row r="4387" ht="14.25" x14ac:dyDescent="0.45"/>
    <row r="4388" ht="14.25" x14ac:dyDescent="0.45"/>
    <row r="4389" ht="14.25" x14ac:dyDescent="0.45"/>
    <row r="4390" ht="14.25" x14ac:dyDescent="0.45"/>
    <row r="4391" ht="14.25" x14ac:dyDescent="0.45"/>
    <row r="4392" ht="14.25" x14ac:dyDescent="0.45"/>
    <row r="4393" ht="14.25" x14ac:dyDescent="0.45"/>
    <row r="4394" ht="14.25" x14ac:dyDescent="0.45"/>
    <row r="4395" ht="14.25" x14ac:dyDescent="0.45"/>
    <row r="4396" ht="14.25" x14ac:dyDescent="0.45"/>
    <row r="4397" ht="14.25" x14ac:dyDescent="0.45"/>
    <row r="4398" ht="14.25" x14ac:dyDescent="0.45"/>
    <row r="4399" ht="14.25" x14ac:dyDescent="0.45"/>
    <row r="4400" ht="14.25" x14ac:dyDescent="0.45"/>
    <row r="4401" ht="14.25" x14ac:dyDescent="0.45"/>
    <row r="4402" ht="14.25" x14ac:dyDescent="0.45"/>
    <row r="4403" ht="14.25" x14ac:dyDescent="0.45"/>
    <row r="4404" ht="14.25" x14ac:dyDescent="0.45"/>
    <row r="4405" ht="14.25" x14ac:dyDescent="0.45"/>
    <row r="4406" ht="14.25" x14ac:dyDescent="0.45"/>
    <row r="4407" ht="14.25" x14ac:dyDescent="0.45"/>
    <row r="4408" ht="14.25" x14ac:dyDescent="0.45"/>
    <row r="4409" ht="14.25" x14ac:dyDescent="0.45"/>
    <row r="4410" ht="14.25" x14ac:dyDescent="0.45"/>
    <row r="4411" ht="14.25" x14ac:dyDescent="0.45"/>
    <row r="4412" ht="14.25" x14ac:dyDescent="0.45"/>
    <row r="4413" ht="14.25" x14ac:dyDescent="0.45"/>
    <row r="4414" ht="14.25" x14ac:dyDescent="0.45"/>
    <row r="4415" ht="14.25" x14ac:dyDescent="0.45"/>
    <row r="4416" ht="14.25" x14ac:dyDescent="0.45"/>
    <row r="4417" ht="14.25" x14ac:dyDescent="0.45"/>
    <row r="4418" ht="14.25" x14ac:dyDescent="0.45"/>
    <row r="4419" ht="14.25" x14ac:dyDescent="0.45"/>
    <row r="4420" ht="14.25" x14ac:dyDescent="0.45"/>
    <row r="4421" ht="14.25" x14ac:dyDescent="0.45"/>
    <row r="4422" ht="14.25" x14ac:dyDescent="0.45"/>
    <row r="4423" ht="14.25" x14ac:dyDescent="0.45"/>
    <row r="4424" ht="14.25" x14ac:dyDescent="0.45"/>
    <row r="4425" ht="14.25" x14ac:dyDescent="0.45"/>
    <row r="4426" ht="14.25" x14ac:dyDescent="0.45"/>
    <row r="4427" ht="14.25" x14ac:dyDescent="0.45"/>
    <row r="4428" ht="14.25" x14ac:dyDescent="0.45"/>
    <row r="4429" ht="14.25" x14ac:dyDescent="0.45"/>
    <row r="4430" ht="14.25" x14ac:dyDescent="0.45"/>
    <row r="4431" ht="14.25" x14ac:dyDescent="0.45"/>
    <row r="4432" ht="14.25" x14ac:dyDescent="0.45"/>
    <row r="4433" ht="14.25" x14ac:dyDescent="0.45"/>
    <row r="4434" ht="14.25" x14ac:dyDescent="0.45"/>
    <row r="4435" ht="14.25" x14ac:dyDescent="0.45"/>
    <row r="4436" ht="14.25" x14ac:dyDescent="0.45"/>
    <row r="4437" ht="14.25" x14ac:dyDescent="0.45"/>
    <row r="4438" ht="14.25" x14ac:dyDescent="0.45"/>
    <row r="4439" ht="14.25" x14ac:dyDescent="0.45"/>
    <row r="4440" ht="14.25" x14ac:dyDescent="0.45"/>
    <row r="4441" ht="14.25" x14ac:dyDescent="0.45"/>
    <row r="4442" ht="14.25" x14ac:dyDescent="0.45"/>
    <row r="4443" ht="14.25" x14ac:dyDescent="0.45"/>
    <row r="4444" ht="14.25" x14ac:dyDescent="0.45"/>
    <row r="4445" ht="14.25" x14ac:dyDescent="0.45"/>
    <row r="4446" ht="14.25" x14ac:dyDescent="0.45"/>
    <row r="4447" ht="14.25" x14ac:dyDescent="0.45"/>
    <row r="4448" ht="14.25" x14ac:dyDescent="0.45"/>
    <row r="4449" ht="14.25" x14ac:dyDescent="0.45"/>
    <row r="4450" ht="14.25" x14ac:dyDescent="0.45"/>
    <row r="4451" ht="14.25" x14ac:dyDescent="0.45"/>
    <row r="4452" ht="14.25" x14ac:dyDescent="0.45"/>
    <row r="4453" ht="14.25" x14ac:dyDescent="0.45"/>
    <row r="4454" ht="14.25" x14ac:dyDescent="0.45"/>
    <row r="4455" ht="14.25" x14ac:dyDescent="0.45"/>
    <row r="4456" ht="14.25" x14ac:dyDescent="0.45"/>
    <row r="4457" ht="14.25" x14ac:dyDescent="0.45"/>
    <row r="4458" ht="14.25" x14ac:dyDescent="0.45"/>
    <row r="4459" ht="14.25" x14ac:dyDescent="0.45"/>
    <row r="4460" ht="14.25" x14ac:dyDescent="0.45"/>
    <row r="4461" ht="14.25" x14ac:dyDescent="0.45"/>
    <row r="4462" ht="14.25" x14ac:dyDescent="0.45"/>
    <row r="4463" ht="14.25" x14ac:dyDescent="0.45"/>
    <row r="4464" ht="14.25" x14ac:dyDescent="0.45"/>
    <row r="4465" ht="14.25" x14ac:dyDescent="0.45"/>
    <row r="4466" ht="14.25" x14ac:dyDescent="0.45"/>
    <row r="4467" ht="14.25" x14ac:dyDescent="0.45"/>
    <row r="4468" ht="14.25" x14ac:dyDescent="0.45"/>
    <row r="4469" ht="14.25" x14ac:dyDescent="0.45"/>
    <row r="4470" ht="14.25" x14ac:dyDescent="0.45"/>
    <row r="4471" ht="14.25" x14ac:dyDescent="0.45"/>
    <row r="4472" ht="14.25" x14ac:dyDescent="0.45"/>
    <row r="4473" ht="14.25" x14ac:dyDescent="0.45"/>
    <row r="4474" ht="14.25" x14ac:dyDescent="0.45"/>
    <row r="4475" ht="14.25" x14ac:dyDescent="0.45"/>
    <row r="4476" ht="14.25" x14ac:dyDescent="0.45"/>
    <row r="4477" ht="14.25" x14ac:dyDescent="0.45"/>
    <row r="4478" ht="14.25" x14ac:dyDescent="0.45"/>
    <row r="4479" ht="14.25" x14ac:dyDescent="0.45"/>
    <row r="4480" ht="14.25" x14ac:dyDescent="0.45"/>
    <row r="4481" ht="14.25" x14ac:dyDescent="0.45"/>
    <row r="4482" ht="14.25" x14ac:dyDescent="0.45"/>
    <row r="4483" ht="14.25" x14ac:dyDescent="0.45"/>
    <row r="4484" ht="14.25" x14ac:dyDescent="0.45"/>
    <row r="4485" ht="14.25" x14ac:dyDescent="0.45"/>
    <row r="4486" ht="14.25" x14ac:dyDescent="0.45"/>
    <row r="4487" ht="14.25" x14ac:dyDescent="0.45"/>
    <row r="4488" ht="14.25" x14ac:dyDescent="0.45"/>
    <row r="4489" ht="14.25" x14ac:dyDescent="0.45"/>
    <row r="4490" ht="14.25" x14ac:dyDescent="0.45"/>
    <row r="4491" ht="14.25" x14ac:dyDescent="0.45"/>
    <row r="4492" ht="14.25" x14ac:dyDescent="0.45"/>
    <row r="4493" ht="14.25" x14ac:dyDescent="0.45"/>
    <row r="4494" ht="14.25" x14ac:dyDescent="0.45"/>
    <row r="4495" ht="14.25" x14ac:dyDescent="0.45"/>
    <row r="4496" ht="14.25" x14ac:dyDescent="0.45"/>
    <row r="4497" ht="14.25" x14ac:dyDescent="0.45"/>
    <row r="4498" ht="14.25" x14ac:dyDescent="0.45"/>
    <row r="4499" ht="14.25" x14ac:dyDescent="0.45"/>
    <row r="4500" ht="14.25" x14ac:dyDescent="0.45"/>
    <row r="4501" ht="14.25" x14ac:dyDescent="0.45"/>
    <row r="4502" ht="14.25" x14ac:dyDescent="0.45"/>
    <row r="4503" ht="14.25" x14ac:dyDescent="0.45"/>
    <row r="4504" ht="14.25" x14ac:dyDescent="0.45"/>
    <row r="4505" ht="14.25" x14ac:dyDescent="0.45"/>
    <row r="4506" ht="14.25" x14ac:dyDescent="0.45"/>
    <row r="4507" ht="14.25" x14ac:dyDescent="0.45"/>
    <row r="4508" ht="14.25" x14ac:dyDescent="0.45"/>
    <row r="4509" ht="14.25" x14ac:dyDescent="0.45"/>
    <row r="4510" ht="14.25" x14ac:dyDescent="0.45"/>
    <row r="4511" ht="14.25" x14ac:dyDescent="0.45"/>
    <row r="4512" ht="14.25" x14ac:dyDescent="0.45"/>
    <row r="4513" ht="14.25" x14ac:dyDescent="0.45"/>
    <row r="4514" ht="14.25" x14ac:dyDescent="0.45"/>
    <row r="4515" ht="14.25" x14ac:dyDescent="0.45"/>
    <row r="4516" ht="14.25" x14ac:dyDescent="0.45"/>
    <row r="4517" ht="14.25" x14ac:dyDescent="0.45"/>
    <row r="4518" ht="14.25" x14ac:dyDescent="0.45"/>
    <row r="4519" ht="14.25" x14ac:dyDescent="0.45"/>
    <row r="4520" ht="14.25" x14ac:dyDescent="0.45"/>
    <row r="4521" ht="14.25" x14ac:dyDescent="0.45"/>
    <row r="4522" ht="14.25" x14ac:dyDescent="0.45"/>
    <row r="4523" ht="14.25" x14ac:dyDescent="0.45"/>
    <row r="4524" ht="14.25" x14ac:dyDescent="0.45"/>
    <row r="4525" ht="14.25" x14ac:dyDescent="0.45"/>
    <row r="4526" ht="14.25" x14ac:dyDescent="0.45"/>
    <row r="4527" ht="14.25" x14ac:dyDescent="0.45"/>
    <row r="4528" ht="14.25" x14ac:dyDescent="0.45"/>
    <row r="4529" ht="14.25" x14ac:dyDescent="0.45"/>
    <row r="4530" ht="14.25" x14ac:dyDescent="0.45"/>
    <row r="4531" ht="14.25" x14ac:dyDescent="0.45"/>
    <row r="4532" ht="14.25" x14ac:dyDescent="0.45"/>
    <row r="4533" ht="14.25" x14ac:dyDescent="0.45"/>
    <row r="4534" ht="14.25" x14ac:dyDescent="0.45"/>
    <row r="4535" ht="14.25" x14ac:dyDescent="0.45"/>
    <row r="4536" ht="14.25" x14ac:dyDescent="0.45"/>
    <row r="4537" ht="14.25" x14ac:dyDescent="0.45"/>
    <row r="4538" ht="14.25" x14ac:dyDescent="0.45"/>
    <row r="4539" ht="14.25" x14ac:dyDescent="0.45"/>
    <row r="4540" ht="14.25" x14ac:dyDescent="0.45"/>
    <row r="4541" ht="14.25" x14ac:dyDescent="0.45"/>
    <row r="4542" ht="14.25" x14ac:dyDescent="0.45"/>
    <row r="4543" ht="14.25" x14ac:dyDescent="0.45"/>
    <row r="4544" ht="14.25" x14ac:dyDescent="0.45"/>
    <row r="4545" ht="14.25" x14ac:dyDescent="0.45"/>
    <row r="4546" ht="14.25" x14ac:dyDescent="0.45"/>
    <row r="4547" ht="14.25" x14ac:dyDescent="0.45"/>
    <row r="4548" ht="14.25" x14ac:dyDescent="0.45"/>
    <row r="4549" ht="14.25" x14ac:dyDescent="0.45"/>
    <row r="4550" ht="14.25" x14ac:dyDescent="0.45"/>
    <row r="4551" ht="14.25" x14ac:dyDescent="0.45"/>
    <row r="4552" ht="14.25" x14ac:dyDescent="0.45"/>
    <row r="4553" ht="14.25" x14ac:dyDescent="0.45"/>
    <row r="4554" ht="14.25" x14ac:dyDescent="0.45"/>
    <row r="4555" ht="14.25" x14ac:dyDescent="0.45"/>
    <row r="4556" ht="14.25" x14ac:dyDescent="0.45"/>
    <row r="4557" ht="14.25" x14ac:dyDescent="0.45"/>
    <row r="4558" ht="14.25" x14ac:dyDescent="0.45"/>
    <row r="4559" ht="14.25" x14ac:dyDescent="0.45"/>
    <row r="4560" ht="14.25" x14ac:dyDescent="0.45"/>
    <row r="4561" ht="14.25" x14ac:dyDescent="0.45"/>
    <row r="4562" ht="14.25" x14ac:dyDescent="0.45"/>
    <row r="4563" ht="14.25" x14ac:dyDescent="0.45"/>
    <row r="4564" ht="14.25" x14ac:dyDescent="0.45"/>
    <row r="4565" ht="14.25" x14ac:dyDescent="0.45"/>
    <row r="4566" ht="14.25" x14ac:dyDescent="0.45"/>
    <row r="4567" ht="14.25" x14ac:dyDescent="0.45"/>
    <row r="4568" ht="14.25" x14ac:dyDescent="0.45"/>
    <row r="4569" ht="14.25" x14ac:dyDescent="0.45"/>
    <row r="4570" ht="14.25" x14ac:dyDescent="0.45"/>
    <row r="4571" ht="14.25" x14ac:dyDescent="0.45"/>
    <row r="4572" ht="14.25" x14ac:dyDescent="0.45"/>
    <row r="4573" ht="14.25" x14ac:dyDescent="0.45"/>
    <row r="4574" ht="14.25" x14ac:dyDescent="0.45"/>
    <row r="4575" ht="14.25" x14ac:dyDescent="0.45"/>
    <row r="4576" ht="14.25" x14ac:dyDescent="0.45"/>
    <row r="4577" ht="14.25" x14ac:dyDescent="0.45"/>
    <row r="4578" ht="14.25" x14ac:dyDescent="0.45"/>
    <row r="4579" ht="14.25" x14ac:dyDescent="0.45"/>
    <row r="4580" ht="14.25" x14ac:dyDescent="0.45"/>
    <row r="4581" ht="14.25" x14ac:dyDescent="0.45"/>
    <row r="4582" ht="14.25" x14ac:dyDescent="0.45"/>
    <row r="4583" ht="14.25" x14ac:dyDescent="0.45"/>
    <row r="4584" ht="14.25" x14ac:dyDescent="0.45"/>
    <row r="4585" ht="14.25" x14ac:dyDescent="0.45"/>
    <row r="4586" ht="14.25" x14ac:dyDescent="0.45"/>
    <row r="4587" ht="14.25" x14ac:dyDescent="0.45"/>
    <row r="4588" ht="14.25" x14ac:dyDescent="0.45"/>
    <row r="4589" ht="14.25" x14ac:dyDescent="0.45"/>
    <row r="4590" ht="14.25" x14ac:dyDescent="0.45"/>
    <row r="4591" ht="14.25" x14ac:dyDescent="0.45"/>
    <row r="4592" ht="14.25" x14ac:dyDescent="0.45"/>
    <row r="4593" ht="14.25" x14ac:dyDescent="0.45"/>
    <row r="4594" ht="14.25" x14ac:dyDescent="0.45"/>
    <row r="4595" ht="14.25" x14ac:dyDescent="0.45"/>
    <row r="4596" ht="14.25" x14ac:dyDescent="0.45"/>
    <row r="4597" ht="14.25" x14ac:dyDescent="0.45"/>
    <row r="4598" ht="14.25" x14ac:dyDescent="0.45"/>
    <row r="4599" ht="14.25" x14ac:dyDescent="0.45"/>
    <row r="4600" ht="14.25" x14ac:dyDescent="0.45"/>
    <row r="4601" ht="14.25" x14ac:dyDescent="0.45"/>
    <row r="4602" ht="14.25" x14ac:dyDescent="0.45"/>
    <row r="4603" ht="14.25" x14ac:dyDescent="0.45"/>
    <row r="4604" ht="14.25" x14ac:dyDescent="0.45"/>
    <row r="4605" ht="14.25" x14ac:dyDescent="0.45"/>
    <row r="4606" ht="14.25" x14ac:dyDescent="0.45"/>
    <row r="4607" ht="14.25" x14ac:dyDescent="0.45"/>
    <row r="4608" ht="14.25" x14ac:dyDescent="0.45"/>
    <row r="4609" ht="14.25" x14ac:dyDescent="0.45"/>
    <row r="4610" ht="14.25" x14ac:dyDescent="0.45"/>
    <row r="4611" ht="14.25" x14ac:dyDescent="0.45"/>
    <row r="4612" ht="14.25" x14ac:dyDescent="0.45"/>
    <row r="4613" ht="14.25" x14ac:dyDescent="0.45"/>
    <row r="4614" ht="14.25" x14ac:dyDescent="0.45"/>
    <row r="4615" ht="14.25" x14ac:dyDescent="0.45"/>
    <row r="4616" ht="14.25" x14ac:dyDescent="0.45"/>
    <row r="4617" ht="14.25" x14ac:dyDescent="0.45"/>
    <row r="4618" ht="14.25" x14ac:dyDescent="0.45"/>
    <row r="4619" ht="14.25" x14ac:dyDescent="0.45"/>
    <row r="4620" ht="14.25" x14ac:dyDescent="0.45"/>
    <row r="4621" ht="14.25" x14ac:dyDescent="0.45"/>
    <row r="4622" ht="14.25" x14ac:dyDescent="0.45"/>
    <row r="4623" ht="14.25" x14ac:dyDescent="0.45"/>
    <row r="4624" ht="14.25" x14ac:dyDescent="0.45"/>
    <row r="4625" ht="14.25" x14ac:dyDescent="0.45"/>
    <row r="4626" ht="14.25" x14ac:dyDescent="0.45"/>
    <row r="4627" ht="14.25" x14ac:dyDescent="0.45"/>
    <row r="4628" ht="14.25" x14ac:dyDescent="0.45"/>
    <row r="4629" ht="14.25" x14ac:dyDescent="0.45"/>
    <row r="4630" ht="14.25" x14ac:dyDescent="0.45"/>
    <row r="4631" ht="14.25" x14ac:dyDescent="0.45"/>
    <row r="4632" ht="14.25" x14ac:dyDescent="0.45"/>
    <row r="4633" ht="14.25" x14ac:dyDescent="0.45"/>
    <row r="4634" ht="14.25" x14ac:dyDescent="0.45"/>
    <row r="4635" ht="14.25" x14ac:dyDescent="0.45"/>
    <row r="4636" ht="14.25" x14ac:dyDescent="0.45"/>
    <row r="4637" ht="14.25" x14ac:dyDescent="0.45"/>
    <row r="4638" ht="14.25" x14ac:dyDescent="0.45"/>
    <row r="4639" ht="14.25" x14ac:dyDescent="0.45"/>
    <row r="4640" ht="14.25" x14ac:dyDescent="0.45"/>
    <row r="4641" ht="14.25" x14ac:dyDescent="0.45"/>
    <row r="4642" ht="14.25" x14ac:dyDescent="0.45"/>
    <row r="4643" ht="14.25" x14ac:dyDescent="0.45"/>
    <row r="4644" ht="14.25" x14ac:dyDescent="0.45"/>
    <row r="4645" ht="14.25" x14ac:dyDescent="0.45"/>
    <row r="4646" ht="14.25" x14ac:dyDescent="0.45"/>
    <row r="4647" ht="14.25" x14ac:dyDescent="0.45"/>
    <row r="4648" ht="14.25" x14ac:dyDescent="0.45"/>
    <row r="4649" ht="14.25" x14ac:dyDescent="0.45"/>
    <row r="4650" ht="14.25" x14ac:dyDescent="0.45"/>
    <row r="4651" ht="14.25" x14ac:dyDescent="0.45"/>
    <row r="4652" ht="14.25" x14ac:dyDescent="0.45"/>
    <row r="4653" ht="14.25" x14ac:dyDescent="0.45"/>
    <row r="4654" ht="14.25" x14ac:dyDescent="0.45"/>
    <row r="4655" ht="14.25" x14ac:dyDescent="0.45"/>
    <row r="4656" ht="14.25" x14ac:dyDescent="0.45"/>
    <row r="4657" ht="14.25" x14ac:dyDescent="0.45"/>
    <row r="4658" ht="14.25" x14ac:dyDescent="0.45"/>
    <row r="4659" ht="14.25" x14ac:dyDescent="0.45"/>
    <row r="4660" ht="14.25" x14ac:dyDescent="0.45"/>
    <row r="4661" ht="14.25" x14ac:dyDescent="0.45"/>
    <row r="4662" ht="14.25" x14ac:dyDescent="0.45"/>
    <row r="4663" ht="14.25" x14ac:dyDescent="0.45"/>
    <row r="4664" ht="14.25" x14ac:dyDescent="0.45"/>
    <row r="4665" ht="14.25" x14ac:dyDescent="0.45"/>
    <row r="4666" ht="14.25" x14ac:dyDescent="0.45"/>
    <row r="4667" ht="14.25" x14ac:dyDescent="0.45"/>
    <row r="4668" ht="14.25" x14ac:dyDescent="0.45"/>
    <row r="4669" ht="14.25" x14ac:dyDescent="0.45"/>
    <row r="4670" ht="14.25" x14ac:dyDescent="0.45"/>
    <row r="4671" ht="14.25" x14ac:dyDescent="0.45"/>
    <row r="4672" ht="14.25" x14ac:dyDescent="0.45"/>
    <row r="4673" ht="14.25" x14ac:dyDescent="0.45"/>
    <row r="4674" ht="14.25" x14ac:dyDescent="0.45"/>
    <row r="4675" ht="14.25" x14ac:dyDescent="0.45"/>
    <row r="4676" ht="14.25" x14ac:dyDescent="0.45"/>
    <row r="4677" ht="14.25" x14ac:dyDescent="0.45"/>
    <row r="4678" ht="14.25" x14ac:dyDescent="0.45"/>
    <row r="4679" ht="14.25" x14ac:dyDescent="0.45"/>
    <row r="4680" ht="14.25" x14ac:dyDescent="0.45"/>
    <row r="4681" ht="14.25" x14ac:dyDescent="0.45"/>
    <row r="4682" ht="14.25" x14ac:dyDescent="0.45"/>
    <row r="4683" ht="14.25" x14ac:dyDescent="0.45"/>
    <row r="4684" ht="14.25" x14ac:dyDescent="0.45"/>
    <row r="4685" ht="14.25" x14ac:dyDescent="0.45"/>
    <row r="4686" ht="14.25" x14ac:dyDescent="0.45"/>
    <row r="4687" ht="14.25" x14ac:dyDescent="0.45"/>
    <row r="4688" ht="14.25" x14ac:dyDescent="0.45"/>
    <row r="4689" ht="14.25" x14ac:dyDescent="0.45"/>
    <row r="4690" ht="14.25" x14ac:dyDescent="0.45"/>
    <row r="4691" ht="14.25" x14ac:dyDescent="0.45"/>
    <row r="4692" ht="14.25" x14ac:dyDescent="0.45"/>
    <row r="4693" ht="14.25" x14ac:dyDescent="0.45"/>
    <row r="4694" ht="14.25" x14ac:dyDescent="0.45"/>
    <row r="4695" ht="14.25" x14ac:dyDescent="0.45"/>
    <row r="4696" ht="14.25" x14ac:dyDescent="0.45"/>
    <row r="4697" ht="14.25" x14ac:dyDescent="0.45"/>
    <row r="4698" ht="14.25" x14ac:dyDescent="0.45"/>
    <row r="4699" ht="14.25" x14ac:dyDescent="0.45"/>
    <row r="4700" ht="14.25" x14ac:dyDescent="0.45"/>
    <row r="4701" ht="14.25" x14ac:dyDescent="0.45"/>
    <row r="4702" ht="14.25" x14ac:dyDescent="0.45"/>
    <row r="4703" ht="14.25" x14ac:dyDescent="0.45"/>
    <row r="4704" ht="14.25" x14ac:dyDescent="0.45"/>
    <row r="4705" ht="14.25" x14ac:dyDescent="0.45"/>
    <row r="4706" ht="14.25" x14ac:dyDescent="0.45"/>
    <row r="4707" ht="14.25" x14ac:dyDescent="0.45"/>
    <row r="4708" ht="14.25" x14ac:dyDescent="0.45"/>
    <row r="4709" ht="14.25" x14ac:dyDescent="0.45"/>
    <row r="4710" ht="14.25" x14ac:dyDescent="0.45"/>
    <row r="4711" ht="14.25" x14ac:dyDescent="0.45"/>
    <row r="4712" ht="14.25" x14ac:dyDescent="0.45"/>
    <row r="4713" ht="14.25" x14ac:dyDescent="0.45"/>
    <row r="4714" ht="14.25" x14ac:dyDescent="0.45"/>
    <row r="4715" ht="14.25" x14ac:dyDescent="0.45"/>
    <row r="4716" ht="14.25" x14ac:dyDescent="0.45"/>
    <row r="4717" ht="14.25" x14ac:dyDescent="0.45"/>
    <row r="4718" ht="14.25" x14ac:dyDescent="0.45"/>
    <row r="4719" ht="14.25" x14ac:dyDescent="0.45"/>
    <row r="4720" ht="14.25" x14ac:dyDescent="0.45"/>
    <row r="4721" ht="14.25" x14ac:dyDescent="0.45"/>
    <row r="4722" ht="14.25" x14ac:dyDescent="0.45"/>
    <row r="4723" ht="14.25" x14ac:dyDescent="0.45"/>
    <row r="4724" ht="14.25" x14ac:dyDescent="0.45"/>
    <row r="4725" ht="14.25" x14ac:dyDescent="0.45"/>
    <row r="4726" ht="14.25" x14ac:dyDescent="0.45"/>
    <row r="4727" ht="14.25" x14ac:dyDescent="0.45"/>
    <row r="4728" ht="14.25" x14ac:dyDescent="0.45"/>
    <row r="4729" ht="14.25" x14ac:dyDescent="0.45"/>
    <row r="4730" ht="14.25" x14ac:dyDescent="0.45"/>
    <row r="4731" ht="14.25" x14ac:dyDescent="0.45"/>
    <row r="4732" ht="14.25" x14ac:dyDescent="0.45"/>
    <row r="4733" ht="14.25" x14ac:dyDescent="0.45"/>
    <row r="4734" ht="14.25" x14ac:dyDescent="0.45"/>
    <row r="4735" ht="14.25" x14ac:dyDescent="0.45"/>
    <row r="4736" ht="14.25" x14ac:dyDescent="0.45"/>
    <row r="4737" ht="14.25" x14ac:dyDescent="0.45"/>
    <row r="4738" ht="14.25" x14ac:dyDescent="0.45"/>
    <row r="4739" ht="14.25" x14ac:dyDescent="0.45"/>
    <row r="4740" ht="14.25" x14ac:dyDescent="0.45"/>
    <row r="4741" ht="14.25" x14ac:dyDescent="0.45"/>
    <row r="4742" ht="14.25" x14ac:dyDescent="0.45"/>
    <row r="4743" ht="14.25" x14ac:dyDescent="0.45"/>
    <row r="4744" ht="14.25" x14ac:dyDescent="0.45"/>
    <row r="4745" ht="14.25" x14ac:dyDescent="0.45"/>
    <row r="4746" ht="14.25" x14ac:dyDescent="0.45"/>
    <row r="4747" ht="14.25" x14ac:dyDescent="0.45"/>
    <row r="4748" ht="14.25" x14ac:dyDescent="0.45"/>
    <row r="4749" ht="14.25" x14ac:dyDescent="0.45"/>
    <row r="4750" ht="14.25" x14ac:dyDescent="0.45"/>
    <row r="4751" ht="14.25" x14ac:dyDescent="0.45"/>
    <row r="4752" ht="14.25" x14ac:dyDescent="0.45"/>
    <row r="4753" ht="14.25" x14ac:dyDescent="0.45"/>
    <row r="4754" ht="14.25" x14ac:dyDescent="0.45"/>
    <row r="4755" ht="14.25" x14ac:dyDescent="0.45"/>
    <row r="4756" ht="14.25" x14ac:dyDescent="0.45"/>
    <row r="4757" ht="14.25" x14ac:dyDescent="0.45"/>
    <row r="4758" ht="14.25" x14ac:dyDescent="0.45"/>
    <row r="4759" ht="14.25" x14ac:dyDescent="0.45"/>
    <row r="4760" ht="14.25" x14ac:dyDescent="0.45"/>
    <row r="4761" ht="14.25" x14ac:dyDescent="0.45"/>
    <row r="4762" ht="14.25" x14ac:dyDescent="0.45"/>
    <row r="4763" ht="14.25" x14ac:dyDescent="0.45"/>
    <row r="4764" ht="14.25" x14ac:dyDescent="0.45"/>
    <row r="4765" ht="14.25" x14ac:dyDescent="0.45"/>
    <row r="4766" ht="14.25" x14ac:dyDescent="0.45"/>
    <row r="4767" ht="14.25" x14ac:dyDescent="0.45"/>
    <row r="4768" ht="14.25" x14ac:dyDescent="0.45"/>
    <row r="4769" ht="14.25" x14ac:dyDescent="0.45"/>
    <row r="4770" ht="14.25" x14ac:dyDescent="0.45"/>
    <row r="4771" ht="14.25" x14ac:dyDescent="0.45"/>
    <row r="4772" ht="14.25" x14ac:dyDescent="0.45"/>
    <row r="4773" ht="14.25" x14ac:dyDescent="0.45"/>
    <row r="4774" ht="14.25" x14ac:dyDescent="0.45"/>
    <row r="4775" ht="14.25" x14ac:dyDescent="0.45"/>
    <row r="4776" ht="14.25" x14ac:dyDescent="0.45"/>
    <row r="4777" ht="14.25" x14ac:dyDescent="0.45"/>
    <row r="4778" ht="14.25" x14ac:dyDescent="0.45"/>
    <row r="4779" ht="14.25" x14ac:dyDescent="0.45"/>
    <row r="4780" ht="14.25" x14ac:dyDescent="0.45"/>
    <row r="4781" ht="14.25" x14ac:dyDescent="0.45"/>
    <row r="4782" ht="14.25" x14ac:dyDescent="0.45"/>
    <row r="4783" ht="14.25" x14ac:dyDescent="0.45"/>
    <row r="4784" ht="14.25" x14ac:dyDescent="0.45"/>
    <row r="4785" ht="14.25" x14ac:dyDescent="0.45"/>
    <row r="4786" ht="14.25" x14ac:dyDescent="0.45"/>
    <row r="4787" ht="14.25" x14ac:dyDescent="0.45"/>
    <row r="4788" ht="14.25" x14ac:dyDescent="0.45"/>
    <row r="4789" ht="14.25" x14ac:dyDescent="0.45"/>
    <row r="4790" ht="14.25" x14ac:dyDescent="0.45"/>
    <row r="4791" ht="14.25" x14ac:dyDescent="0.45"/>
    <row r="4792" ht="14.25" x14ac:dyDescent="0.45"/>
    <row r="4793" ht="14.25" x14ac:dyDescent="0.45"/>
    <row r="4794" ht="14.25" x14ac:dyDescent="0.45"/>
    <row r="4795" ht="14.25" x14ac:dyDescent="0.45"/>
    <row r="4796" ht="14.25" x14ac:dyDescent="0.45"/>
    <row r="4797" ht="14.25" x14ac:dyDescent="0.45"/>
    <row r="4798" ht="14.25" x14ac:dyDescent="0.45"/>
    <row r="4799" ht="14.25" x14ac:dyDescent="0.45"/>
    <row r="4800" ht="14.25" x14ac:dyDescent="0.45"/>
    <row r="4801" ht="14.25" x14ac:dyDescent="0.45"/>
    <row r="4802" ht="14.25" x14ac:dyDescent="0.45"/>
    <row r="4803" ht="14.25" x14ac:dyDescent="0.45"/>
    <row r="4804" ht="14.25" x14ac:dyDescent="0.45"/>
    <row r="4805" ht="14.25" x14ac:dyDescent="0.45"/>
    <row r="4806" ht="14.25" x14ac:dyDescent="0.45"/>
    <row r="4807" ht="14.25" x14ac:dyDescent="0.45"/>
    <row r="4808" ht="14.25" x14ac:dyDescent="0.45"/>
    <row r="4809" ht="14.25" x14ac:dyDescent="0.45"/>
    <row r="4810" ht="14.25" x14ac:dyDescent="0.45"/>
    <row r="4811" ht="14.25" x14ac:dyDescent="0.45"/>
    <row r="4812" ht="14.25" x14ac:dyDescent="0.45"/>
    <row r="4813" ht="14.25" x14ac:dyDescent="0.45"/>
    <row r="4814" ht="14.25" x14ac:dyDescent="0.45"/>
    <row r="4815" ht="14.25" x14ac:dyDescent="0.45"/>
    <row r="4816" ht="14.25" x14ac:dyDescent="0.45"/>
    <row r="4817" ht="14.25" x14ac:dyDescent="0.45"/>
    <row r="4818" ht="14.25" x14ac:dyDescent="0.45"/>
    <row r="4819" ht="14.25" x14ac:dyDescent="0.45"/>
    <row r="4820" ht="14.25" x14ac:dyDescent="0.45"/>
    <row r="4821" ht="14.25" x14ac:dyDescent="0.45"/>
    <row r="4822" ht="14.25" x14ac:dyDescent="0.45"/>
    <row r="4823" ht="14.25" x14ac:dyDescent="0.45"/>
    <row r="4824" ht="14.25" x14ac:dyDescent="0.45"/>
    <row r="4825" ht="14.25" x14ac:dyDescent="0.45"/>
    <row r="4826" ht="14.25" x14ac:dyDescent="0.45"/>
    <row r="4827" ht="14.25" x14ac:dyDescent="0.45"/>
    <row r="4828" ht="14.25" x14ac:dyDescent="0.45"/>
    <row r="4829" ht="14.25" x14ac:dyDescent="0.45"/>
    <row r="4830" ht="14.25" x14ac:dyDescent="0.45"/>
    <row r="4831" ht="14.25" x14ac:dyDescent="0.45"/>
    <row r="4832" ht="14.25" x14ac:dyDescent="0.45"/>
    <row r="4833" ht="14.25" x14ac:dyDescent="0.45"/>
    <row r="4834" ht="14.25" x14ac:dyDescent="0.45"/>
    <row r="4835" ht="14.25" x14ac:dyDescent="0.45"/>
    <row r="4836" ht="14.25" x14ac:dyDescent="0.45"/>
    <row r="4837" ht="14.25" x14ac:dyDescent="0.45"/>
    <row r="4838" ht="14.25" x14ac:dyDescent="0.45"/>
    <row r="4839" ht="14.25" x14ac:dyDescent="0.45"/>
    <row r="4840" ht="14.25" x14ac:dyDescent="0.45"/>
    <row r="4841" ht="14.25" x14ac:dyDescent="0.45"/>
    <row r="4842" ht="14.25" x14ac:dyDescent="0.45"/>
    <row r="4843" ht="14.25" x14ac:dyDescent="0.45"/>
    <row r="4844" ht="14.25" x14ac:dyDescent="0.45"/>
    <row r="4845" ht="14.25" x14ac:dyDescent="0.45"/>
    <row r="4846" ht="14.25" x14ac:dyDescent="0.45"/>
    <row r="4847" ht="14.25" x14ac:dyDescent="0.45"/>
    <row r="4848" ht="14.25" x14ac:dyDescent="0.45"/>
    <row r="4849" ht="14.25" x14ac:dyDescent="0.45"/>
    <row r="4850" ht="14.25" x14ac:dyDescent="0.45"/>
    <row r="4851" ht="14.25" x14ac:dyDescent="0.45"/>
    <row r="4852" ht="14.25" x14ac:dyDescent="0.45"/>
    <row r="4853" ht="14.25" x14ac:dyDescent="0.45"/>
    <row r="4854" ht="14.25" x14ac:dyDescent="0.45"/>
    <row r="4855" ht="14.25" x14ac:dyDescent="0.45"/>
    <row r="4856" ht="14.25" x14ac:dyDescent="0.45"/>
    <row r="4857" ht="14.25" x14ac:dyDescent="0.45"/>
    <row r="4858" ht="14.25" x14ac:dyDescent="0.45"/>
    <row r="4859" ht="14.25" x14ac:dyDescent="0.45"/>
    <row r="4860" ht="14.25" x14ac:dyDescent="0.45"/>
    <row r="4861" ht="14.25" x14ac:dyDescent="0.45"/>
    <row r="4862" ht="14.25" x14ac:dyDescent="0.45"/>
    <row r="4863" ht="14.25" x14ac:dyDescent="0.45"/>
    <row r="4864" ht="14.25" x14ac:dyDescent="0.45"/>
    <row r="4865" ht="14.25" x14ac:dyDescent="0.45"/>
    <row r="4866" ht="14.25" x14ac:dyDescent="0.45"/>
    <row r="4867" ht="14.25" x14ac:dyDescent="0.45"/>
    <row r="4868" ht="14.25" x14ac:dyDescent="0.45"/>
    <row r="4869" ht="14.25" x14ac:dyDescent="0.45"/>
    <row r="4870" ht="14.25" x14ac:dyDescent="0.45"/>
    <row r="4871" ht="14.25" x14ac:dyDescent="0.45"/>
    <row r="4872" ht="14.25" x14ac:dyDescent="0.45"/>
    <row r="4873" ht="14.25" x14ac:dyDescent="0.45"/>
    <row r="4874" ht="14.25" x14ac:dyDescent="0.45"/>
    <row r="4875" ht="14.25" x14ac:dyDescent="0.45"/>
    <row r="4876" ht="14.25" x14ac:dyDescent="0.45"/>
    <row r="4877" ht="14.25" x14ac:dyDescent="0.45"/>
    <row r="4878" ht="14.25" x14ac:dyDescent="0.45"/>
    <row r="4879" ht="14.25" x14ac:dyDescent="0.45"/>
    <row r="4880" ht="14.25" x14ac:dyDescent="0.45"/>
    <row r="4881" ht="14.25" x14ac:dyDescent="0.45"/>
    <row r="4882" ht="14.25" x14ac:dyDescent="0.45"/>
    <row r="4883" ht="14.25" x14ac:dyDescent="0.45"/>
    <row r="4884" ht="14.25" x14ac:dyDescent="0.45"/>
    <row r="4885" ht="14.25" x14ac:dyDescent="0.45"/>
    <row r="4886" ht="14.25" x14ac:dyDescent="0.45"/>
    <row r="4887" ht="14.25" x14ac:dyDescent="0.45"/>
    <row r="4888" ht="14.25" x14ac:dyDescent="0.45"/>
    <row r="4889" ht="14.25" x14ac:dyDescent="0.45"/>
    <row r="4890" ht="14.25" x14ac:dyDescent="0.45"/>
    <row r="4891" ht="14.25" x14ac:dyDescent="0.45"/>
    <row r="4892" ht="14.25" x14ac:dyDescent="0.45"/>
    <row r="4893" ht="14.25" x14ac:dyDescent="0.45"/>
    <row r="4894" ht="14.25" x14ac:dyDescent="0.45"/>
    <row r="4895" ht="14.25" x14ac:dyDescent="0.45"/>
    <row r="4896" ht="14.25" x14ac:dyDescent="0.45"/>
    <row r="4897" ht="14.25" x14ac:dyDescent="0.45"/>
    <row r="4898" ht="14.25" x14ac:dyDescent="0.45"/>
    <row r="4899" ht="14.25" x14ac:dyDescent="0.45"/>
    <row r="4900" ht="14.25" x14ac:dyDescent="0.45"/>
    <row r="4901" ht="14.25" x14ac:dyDescent="0.45"/>
    <row r="4902" ht="14.25" x14ac:dyDescent="0.45"/>
    <row r="4903" ht="14.25" x14ac:dyDescent="0.45"/>
    <row r="4904" ht="14.25" x14ac:dyDescent="0.45"/>
    <row r="4905" ht="14.25" x14ac:dyDescent="0.45"/>
    <row r="4906" ht="14.25" x14ac:dyDescent="0.45"/>
    <row r="4907" ht="14.25" x14ac:dyDescent="0.45"/>
    <row r="4908" ht="14.25" x14ac:dyDescent="0.45"/>
    <row r="4909" ht="14.25" x14ac:dyDescent="0.45"/>
    <row r="4910" ht="14.25" x14ac:dyDescent="0.45"/>
    <row r="4911" ht="14.25" x14ac:dyDescent="0.45"/>
    <row r="4912" ht="14.25" x14ac:dyDescent="0.45"/>
    <row r="4913" ht="14.25" x14ac:dyDescent="0.45"/>
    <row r="4914" ht="14.25" x14ac:dyDescent="0.45"/>
    <row r="4915" ht="14.25" x14ac:dyDescent="0.45"/>
    <row r="4916" ht="14.25" x14ac:dyDescent="0.45"/>
    <row r="4917" ht="14.25" x14ac:dyDescent="0.45"/>
    <row r="4918" ht="14.25" x14ac:dyDescent="0.45"/>
    <row r="4919" ht="14.25" x14ac:dyDescent="0.45"/>
    <row r="4920" ht="14.25" x14ac:dyDescent="0.45"/>
    <row r="4921" ht="14.25" x14ac:dyDescent="0.45"/>
    <row r="4922" ht="14.25" x14ac:dyDescent="0.45"/>
    <row r="4923" ht="14.25" x14ac:dyDescent="0.45"/>
    <row r="4924" ht="14.25" x14ac:dyDescent="0.45"/>
    <row r="4925" ht="14.25" x14ac:dyDescent="0.45"/>
    <row r="4926" ht="14.25" x14ac:dyDescent="0.45"/>
    <row r="4927" ht="14.25" x14ac:dyDescent="0.45"/>
    <row r="4928" ht="14.25" x14ac:dyDescent="0.45"/>
    <row r="4929" ht="14.25" x14ac:dyDescent="0.45"/>
    <row r="4930" ht="14.25" x14ac:dyDescent="0.45"/>
    <row r="4931" ht="14.25" x14ac:dyDescent="0.45"/>
    <row r="4932" ht="14.25" x14ac:dyDescent="0.45"/>
    <row r="4933" ht="14.25" x14ac:dyDescent="0.45"/>
    <row r="4934" ht="14.25" x14ac:dyDescent="0.45"/>
    <row r="4935" ht="14.25" x14ac:dyDescent="0.45"/>
    <row r="4936" ht="14.25" x14ac:dyDescent="0.45"/>
    <row r="4937" ht="14.25" x14ac:dyDescent="0.45"/>
    <row r="4938" ht="14.25" x14ac:dyDescent="0.45"/>
    <row r="4939" ht="14.25" x14ac:dyDescent="0.45"/>
    <row r="4940" ht="14.25" x14ac:dyDescent="0.45"/>
    <row r="4941" ht="14.25" x14ac:dyDescent="0.45"/>
    <row r="4942" ht="14.25" x14ac:dyDescent="0.45"/>
    <row r="4943" ht="14.25" x14ac:dyDescent="0.45"/>
    <row r="4944" ht="14.25" x14ac:dyDescent="0.45"/>
    <row r="4945" ht="14.25" x14ac:dyDescent="0.45"/>
    <row r="4946" ht="14.25" x14ac:dyDescent="0.45"/>
    <row r="4947" ht="14.25" x14ac:dyDescent="0.45"/>
    <row r="4948" ht="14.25" x14ac:dyDescent="0.45"/>
    <row r="4949" ht="14.25" x14ac:dyDescent="0.45"/>
    <row r="4950" ht="14.25" x14ac:dyDescent="0.45"/>
    <row r="4951" ht="14.25" x14ac:dyDescent="0.45"/>
    <row r="4952" ht="14.25" x14ac:dyDescent="0.45"/>
    <row r="4953" ht="14.25" x14ac:dyDescent="0.45"/>
    <row r="4954" ht="14.25" x14ac:dyDescent="0.45"/>
    <row r="4955" ht="14.25" x14ac:dyDescent="0.45"/>
    <row r="4956" ht="14.25" x14ac:dyDescent="0.45"/>
    <row r="4957" ht="14.25" x14ac:dyDescent="0.45"/>
    <row r="4958" ht="14.25" x14ac:dyDescent="0.45"/>
    <row r="4959" ht="14.25" x14ac:dyDescent="0.45"/>
    <row r="4960" ht="14.25" x14ac:dyDescent="0.45"/>
    <row r="4961" ht="14.25" x14ac:dyDescent="0.45"/>
    <row r="4962" ht="14.25" x14ac:dyDescent="0.45"/>
    <row r="4963" ht="14.25" x14ac:dyDescent="0.45"/>
    <row r="4964" ht="14.25" x14ac:dyDescent="0.45"/>
    <row r="4965" ht="14.25" x14ac:dyDescent="0.45"/>
    <row r="4966" ht="14.25" x14ac:dyDescent="0.45"/>
    <row r="4967" ht="14.25" x14ac:dyDescent="0.45"/>
    <row r="4968" ht="14.25" x14ac:dyDescent="0.45"/>
    <row r="4969" ht="14.25" x14ac:dyDescent="0.45"/>
    <row r="4970" ht="14.25" x14ac:dyDescent="0.45"/>
    <row r="4971" ht="14.25" x14ac:dyDescent="0.45"/>
    <row r="4972" ht="14.25" x14ac:dyDescent="0.45"/>
    <row r="4973" ht="14.25" x14ac:dyDescent="0.45"/>
    <row r="4974" ht="14.25" x14ac:dyDescent="0.45"/>
    <row r="4975" ht="14.25" x14ac:dyDescent="0.45"/>
    <row r="4976" ht="14.25" x14ac:dyDescent="0.45"/>
    <row r="4977" ht="14.25" x14ac:dyDescent="0.45"/>
    <row r="4978" ht="14.25" x14ac:dyDescent="0.45"/>
    <row r="4979" ht="14.25" x14ac:dyDescent="0.45"/>
    <row r="4980" ht="14.25" x14ac:dyDescent="0.45"/>
    <row r="4981" ht="14.25" x14ac:dyDescent="0.45"/>
    <row r="4982" ht="14.25" x14ac:dyDescent="0.45"/>
    <row r="4983" ht="14.25" x14ac:dyDescent="0.45"/>
    <row r="4984" ht="14.25" x14ac:dyDescent="0.45"/>
    <row r="4985" ht="14.25" x14ac:dyDescent="0.45"/>
    <row r="4986" ht="14.25" x14ac:dyDescent="0.45"/>
    <row r="4987" ht="14.25" x14ac:dyDescent="0.45"/>
    <row r="4988" ht="14.25" x14ac:dyDescent="0.45"/>
    <row r="4989" ht="14.25" x14ac:dyDescent="0.45"/>
    <row r="4990" ht="14.25" x14ac:dyDescent="0.45"/>
    <row r="4991" ht="14.25" x14ac:dyDescent="0.45"/>
    <row r="4992" ht="14.25" x14ac:dyDescent="0.45"/>
    <row r="4993" ht="14.25" x14ac:dyDescent="0.45"/>
    <row r="4994" ht="14.25" x14ac:dyDescent="0.45"/>
    <row r="4995" ht="14.25" x14ac:dyDescent="0.45"/>
    <row r="4996" ht="14.25" x14ac:dyDescent="0.45"/>
    <row r="4997" ht="14.25" x14ac:dyDescent="0.45"/>
  </sheetData>
  <mergeCells count="1">
    <mergeCell ref="F1:H1"/>
  </mergeCells>
  <phoneticPr fontId="13" type="noConversion"/>
  <printOptions horizontalCentered="1" verticalCentered="1"/>
  <pageMargins left="0.25" right="0.25" top="0.75" bottom="0.75" header="0.3" footer="0.3"/>
  <pageSetup paperSize="9" orientation="portrait" r:id="rId1"/>
  <headerFooter>
    <oddFooter>&amp;C&amp;P</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C54DFDF-18BE-4B32-A0F9-00BEB6E58055}">
          <x14:formula1>
            <xm:f>fetcher!$E$2:$E$6</xm:f>
          </x14:formula1>
          <xm:sqref>L2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EF821-3C73-49A1-B8C5-6342005235AA}">
  <sheetPr codeName="Sheet8"/>
  <dimension ref="A1:F5"/>
  <sheetViews>
    <sheetView workbookViewId="0">
      <selection activeCell="F12" sqref="F12"/>
    </sheetView>
  </sheetViews>
  <sheetFormatPr defaultRowHeight="14.25" x14ac:dyDescent="0.45"/>
  <cols>
    <col min="1" max="1" width="9.06640625" style="6"/>
    <col min="2" max="2" width="11.46484375" style="6" customWidth="1"/>
    <col min="3" max="3" width="43.9296875" style="6" customWidth="1"/>
    <col min="4" max="5" width="7.33203125" style="6" customWidth="1"/>
    <col min="6" max="6" width="13.59765625" style="6" customWidth="1"/>
    <col min="10" max="10" width="16.3984375" bestFit="1" customWidth="1"/>
    <col min="11" max="11" width="10.33203125" bestFit="1" customWidth="1"/>
    <col min="13" max="13" width="16.3984375" bestFit="1" customWidth="1"/>
  </cols>
  <sheetData>
    <row r="1" spans="1:6" ht="34.15" customHeight="1" x14ac:dyDescent="0.45"/>
    <row r="2" spans="1:6" s="92" customFormat="1" ht="18" x14ac:dyDescent="0.55000000000000004">
      <c r="A2" s="90"/>
      <c r="B2" s="90"/>
      <c r="C2" s="91" t="s">
        <v>491</v>
      </c>
      <c r="D2" s="90"/>
      <c r="E2" s="90"/>
      <c r="F2" s="90"/>
    </row>
    <row r="3" spans="1:6" x14ac:dyDescent="0.45">
      <c r="A3" s="88"/>
      <c r="B3" s="88"/>
      <c r="C3" s="89" t="s">
        <v>89</v>
      </c>
      <c r="D3" s="88"/>
      <c r="E3" s="88"/>
      <c r="F3" s="88"/>
    </row>
    <row r="4" spans="1:6" x14ac:dyDescent="0.45">
      <c r="A4" s="88" t="s">
        <v>480</v>
      </c>
      <c r="B4" s="88"/>
      <c r="C4" s="88"/>
      <c r="D4" s="88"/>
      <c r="E4" s="88"/>
      <c r="F4" s="88" t="s">
        <v>19</v>
      </c>
    </row>
    <row r="5" spans="1:6" x14ac:dyDescent="0.45">
      <c r="A5" s="6" t="s">
        <v>27</v>
      </c>
      <c r="B5" s="6" t="s">
        <v>74</v>
      </c>
      <c r="C5" s="6" t="s">
        <v>75</v>
      </c>
      <c r="D5" s="6" t="s">
        <v>489</v>
      </c>
      <c r="E5" s="6" t="s">
        <v>490</v>
      </c>
      <c r="F5" s="6" t="s">
        <v>488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tnFillProgramsOfCandidates">
              <controlPr defaultSize="0" print="0" autoFill="0" autoPict="0" macro="[0]!btnFillProgramsOfCandidates_Click">
                <anchor moveWithCells="1">
                  <from>
                    <xdr:col>6</xdr:col>
                    <xdr:colOff>500063</xdr:colOff>
                    <xdr:row>2</xdr:row>
                    <xdr:rowOff>61913</xdr:rowOff>
                  </from>
                  <to>
                    <xdr:col>8</xdr:col>
                    <xdr:colOff>414338</xdr:colOff>
                    <xdr:row>4</xdr:row>
                    <xdr:rowOff>161925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0CC226D-B526-4831-AA78-903686687D5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28</vt:i4>
      </vt:variant>
    </vt:vector>
  </HeadingPairs>
  <TitlesOfParts>
    <vt:vector size="36" baseType="lpstr">
      <vt:lpstr>fetcher</vt:lpstr>
      <vt:lpstr>TICKLIST</vt:lpstr>
      <vt:lpstr>TEAM CANDs (4t 4s)</vt:lpstr>
      <vt:lpstr>JUDGEMENT SHEET (4t)</vt:lpstr>
      <vt:lpstr>Judge. SHEET PRINT STATUS (R)</vt:lpstr>
      <vt:lpstr>Grp Pr. TICKLIST (M)</vt:lpstr>
      <vt:lpstr>Pr. CANDIDATES</vt:lpstr>
      <vt:lpstr>Cn PROGRAMS</vt:lpstr>
      <vt:lpstr>f_all_program_candidates</vt:lpstr>
      <vt:lpstr>f_detailsof_candi_chests_and_names</vt:lpstr>
      <vt:lpstr>f_detailsof_candidates</vt:lpstr>
      <vt:lpstr>f_detailsof_programs</vt:lpstr>
      <vt:lpstr>f_detailsof_teams</vt:lpstr>
      <vt:lpstr>f_lisof_teams_codes</vt:lpstr>
      <vt:lpstr>f_listof_candidate_classes</vt:lpstr>
      <vt:lpstr>f_listof_candidate_names</vt:lpstr>
      <vt:lpstr>f_listof_candidate_program_code</vt:lpstr>
      <vt:lpstr>f_listof_candidate_sections</vt:lpstr>
      <vt:lpstr>f_listof_candidate_teams</vt:lpstr>
      <vt:lpstr>f_listof_chest_nos</vt:lpstr>
      <vt:lpstr>f_listof_program_candi_count</vt:lpstr>
      <vt:lpstr>f_listof_program_candidate_number_in_team</vt:lpstr>
      <vt:lpstr>f_listof_program_candidate_teams</vt:lpstr>
      <vt:lpstr>f_listof_program_candidates</vt:lpstr>
      <vt:lpstr>f_listof_program_codes</vt:lpstr>
      <vt:lpstr>f_listof_program_names</vt:lpstr>
      <vt:lpstr>f_listof_program_sections</vt:lpstr>
      <vt:lpstr>f_listof_program_single_or_group</vt:lpstr>
      <vt:lpstr>f_listof_sections</vt:lpstr>
      <vt:lpstr>f_listof_stage_or_non_stg</vt:lpstr>
      <vt:lpstr>f_listof_teams_names</vt:lpstr>
      <vt:lpstr>f_str_festname</vt:lpstr>
      <vt:lpstr>'Grp Pr. TICKLIST (M)'!Print_Area</vt:lpstr>
      <vt:lpstr>'JUDGEMENT SHEET (4t)'!Print_Area</vt:lpstr>
      <vt:lpstr>'Pr. CANDIDATES'!Print_Area</vt:lpstr>
      <vt:lpstr>slct_team</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Muhammed Ashraf</dc:creator>
  <cp:keywords/>
  <dc:description/>
  <cp:lastModifiedBy>Muhammed Ashraf</cp:lastModifiedBy>
  <cp:revision/>
  <cp:lastPrinted>2023-10-27T06:01:07Z</cp:lastPrinted>
  <dcterms:created xsi:type="dcterms:W3CDTF">2023-08-02T16:19:22Z</dcterms:created>
  <dcterms:modified xsi:type="dcterms:W3CDTF">2024-04-19T04:39:26Z</dcterms:modified>
  <cp:category/>
  <cp:contentStatus/>
</cp:coreProperties>
</file>